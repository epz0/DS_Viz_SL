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\DS_Viz_Exp\data\"/>
    </mc:Choice>
  </mc:AlternateContent>
  <xr:revisionPtr revIDLastSave="0" documentId="13_ncr:1_{7C750E17-9710-4E46-B66E-FC1276088076}" xr6:coauthVersionLast="47" xr6:coauthVersionMax="47" xr10:uidLastSave="{00000000-0000-0000-0000-000000000000}"/>
  <bookViews>
    <workbookView xWindow="-120" yWindow="-16320" windowWidth="29040" windowHeight="15720" tabRatio="771" firstSheet="7" activeTab="7" xr2:uid="{01C1E004-6B61-4708-8A2C-D2C98DFC92F2}"/>
  </bookViews>
  <sheets>
    <sheet name="Debrief_raw" sheetId="3" state="hidden" r:id="rId1"/>
    <sheet name="masked_data_raw" sheetId="2" state="hidden" r:id="rId2"/>
    <sheet name="summary" sheetId="4" r:id="rId3"/>
    <sheet name="Fluency-MT1" sheetId="5" r:id="rId4"/>
    <sheet name="masked_data_qualAnalysis_base" sheetId="6" r:id="rId5"/>
    <sheet name="100_rand_gallery" sheetId="9" r:id="rId6"/>
    <sheet name="DimensionsEval" sheetId="7" r:id="rId7"/>
    <sheet name="ExpData-100R-Expanded" sheetId="12" r:id="rId8"/>
    <sheet name="Sheet4" sheetId="35" r:id="rId9"/>
    <sheet name="ExpData-100R-Base" sheetId="11" r:id="rId10"/>
    <sheet name="Sheet2" sheetId="34" r:id="rId11"/>
    <sheet name="Sheet3" sheetId="33" r:id="rId12"/>
    <sheet name="GW_Study" sheetId="30" r:id="rId13"/>
    <sheet name="Gower_Weight" sheetId="13" r:id="rId14"/>
    <sheet name="Jaccard_Weight" sheetId="28" r:id="rId15"/>
    <sheet name="Sheet1" sheetId="27" r:id="rId16"/>
    <sheet name="Scrnsht" sheetId="31" r:id="rId17"/>
    <sheet name="ColorScheme" sheetId="16" r:id="rId18"/>
    <sheet name="Novelty-MT3-Global-Base" sheetId="18" r:id="rId19"/>
    <sheet name="Novelty-MT3-GLOBAL-calc" sheetId="17" r:id="rId20"/>
    <sheet name="Novelty-MT3-GLOBAL-topy" sheetId="20" r:id="rId21"/>
    <sheet name="Novelty-MT3-Local-Base" sheetId="19" r:id="rId22"/>
    <sheet name="Novelty-MT3-LOCAL-calc" sheetId="21" r:id="rId23"/>
    <sheet name="Novelty-MT3-LOCAL-topy" sheetId="22" r:id="rId24"/>
    <sheet name="Novelty-MT3-ALL-topy" sheetId="23" r:id="rId25"/>
    <sheet name="VARIETY-MT2-base" sheetId="24" r:id="rId26"/>
    <sheet name="VARIETY-MT2-topy" sheetId="25" r:id="rId27"/>
    <sheet name="Fluency-MT1-topy" sheetId="26" r:id="rId28"/>
  </sheets>
  <externalReferences>
    <externalReference r:id="rId29"/>
  </externalReferences>
  <definedNames>
    <definedName name="_xlnm._FilterDatabase" localSheetId="5" hidden="1">'100_rand_gallery'!$B$1:$AY$1</definedName>
    <definedName name="_xlnm._FilterDatabase" localSheetId="9" hidden="1">'ExpData-100R-Base'!$A$1:$AX$560</definedName>
    <definedName name="_xlnm._FilterDatabase" localSheetId="7" hidden="1">'ExpData-100R-Expanded'!$A$1:$BX$560</definedName>
    <definedName name="_xlnm._FilterDatabase" localSheetId="4" hidden="1">masked_data_qualAnalysis_base!$A$1:$AW$460</definedName>
    <definedName name="_xlnm._FilterDatabase" localSheetId="1" hidden="1">masked_data_raw!$A$1:$I$460</definedName>
    <definedName name="_xlnm._FilterDatabase" localSheetId="19" hidden="1">'Novelty-MT3-GLOBAL-calc'!$L$2:$L$53</definedName>
    <definedName name="_xlnm._FilterDatabase" localSheetId="20" hidden="1">'Novelty-MT3-GLOBAL-topy'!$T$1:$X$257</definedName>
    <definedName name="_xlnm._FilterDatabase" localSheetId="21" hidden="1">'Novelty-MT3-Local-Base'!#REF!</definedName>
    <definedName name="_xlnm._FilterDatabase" localSheetId="22" hidden="1">'Novelty-MT3-LOCAL-calc'!#REF!</definedName>
    <definedName name="_xlnm._FilterDatabase" localSheetId="23" hidden="1">'Novelty-MT3-LOCAL-topy'!$K$1:$O$211</definedName>
    <definedName name="_xlnm._FilterDatabase" localSheetId="2" hidden="1">summary!$L$1:$M$1</definedName>
    <definedName name="predMatSup">[1]features!$D$27:$K$27</definedName>
    <definedName name="scrnsht">Scrnsht!$A$1:$B$560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35" l="1"/>
  <c r="J101" i="33"/>
  <c r="I101" i="33"/>
  <c r="J100" i="33"/>
  <c r="I100" i="33"/>
  <c r="J99" i="33"/>
  <c r="I99" i="33"/>
  <c r="J98" i="33"/>
  <c r="I98" i="33"/>
  <c r="J97" i="33"/>
  <c r="I97" i="33"/>
  <c r="J96" i="33"/>
  <c r="I96" i="33"/>
  <c r="J95" i="33"/>
  <c r="I95" i="33"/>
  <c r="J94" i="33"/>
  <c r="I94" i="33"/>
  <c r="J93" i="33"/>
  <c r="I93" i="33"/>
  <c r="J92" i="33"/>
  <c r="I92" i="33"/>
  <c r="J91" i="33"/>
  <c r="I91" i="33"/>
  <c r="J90" i="33"/>
  <c r="I90" i="33"/>
  <c r="J89" i="33"/>
  <c r="I89" i="33"/>
  <c r="J88" i="33"/>
  <c r="I88" i="33"/>
  <c r="J87" i="33"/>
  <c r="I87" i="33"/>
  <c r="I86" i="33"/>
  <c r="J86" i="33"/>
  <c r="J85" i="33"/>
  <c r="I85" i="33"/>
  <c r="J84" i="33"/>
  <c r="I83" i="33"/>
  <c r="I84" i="33"/>
  <c r="J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I75" i="33"/>
  <c r="J75" i="33"/>
  <c r="J74" i="33"/>
  <c r="I74" i="33"/>
  <c r="J73" i="33"/>
  <c r="I73" i="33"/>
  <c r="J72" i="33"/>
  <c r="I72" i="33"/>
  <c r="J71" i="33"/>
  <c r="I71" i="33"/>
  <c r="J70" i="33"/>
  <c r="I70" i="33"/>
  <c r="J61" i="33"/>
  <c r="J62" i="33"/>
  <c r="J63" i="33"/>
  <c r="J64" i="33"/>
  <c r="J65" i="33"/>
  <c r="J66" i="33"/>
  <c r="J67" i="33"/>
  <c r="J68" i="33"/>
  <c r="J69" i="33"/>
  <c r="I57" i="33"/>
  <c r="I58" i="33"/>
  <c r="I59" i="33"/>
  <c r="I60" i="33"/>
  <c r="I61" i="33"/>
  <c r="I62" i="33"/>
  <c r="I63" i="33"/>
  <c r="I64" i="33"/>
  <c r="I65" i="33"/>
  <c r="I66" i="33"/>
  <c r="I67" i="33"/>
  <c r="I68" i="33"/>
  <c r="I69" i="33"/>
  <c r="J56" i="33"/>
  <c r="J57" i="33"/>
  <c r="J58" i="33"/>
  <c r="J59" i="33"/>
  <c r="J60" i="33"/>
  <c r="I56" i="33"/>
  <c r="I102" i="33"/>
  <c r="J55" i="33"/>
  <c r="J102" i="33"/>
  <c r="I55" i="33"/>
  <c r="J54" i="33"/>
  <c r="I54" i="33"/>
  <c r="J53" i="33"/>
  <c r="I53" i="33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6" i="33"/>
  <c r="I47" i="33"/>
  <c r="I48" i="33"/>
  <c r="I49" i="33"/>
  <c r="I50" i="33"/>
  <c r="I51" i="33"/>
  <c r="I52" i="33"/>
  <c r="I2" i="33"/>
  <c r="J5" i="33"/>
  <c r="J6" i="33"/>
  <c r="J11" i="33"/>
  <c r="J12" i="33"/>
  <c r="J14" i="33"/>
  <c r="J15" i="33"/>
  <c r="J18" i="33"/>
  <c r="J19" i="33"/>
  <c r="J20" i="33"/>
  <c r="J21" i="33"/>
  <c r="J22" i="33"/>
  <c r="J25" i="33"/>
  <c r="J26" i="33"/>
  <c r="J44" i="33"/>
  <c r="J45" i="33"/>
  <c r="J46" i="33"/>
  <c r="J47" i="33"/>
  <c r="J48" i="33"/>
  <c r="J49" i="33"/>
  <c r="J50" i="33"/>
  <c r="J51" i="33"/>
  <c r="J52" i="33"/>
  <c r="J2" i="33"/>
  <c r="J3" i="33"/>
  <c r="J4" i="33"/>
  <c r="J7" i="33"/>
  <c r="J8" i="33"/>
  <c r="J9" i="33"/>
  <c r="J10" i="33"/>
  <c r="J13" i="33"/>
  <c r="J16" i="33"/>
  <c r="J17" i="33"/>
  <c r="J23" i="33"/>
  <c r="J24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H3" i="34"/>
  <c r="I3" i="34"/>
  <c r="H4" i="34"/>
  <c r="I4" i="34"/>
  <c r="H5" i="34"/>
  <c r="I5" i="34"/>
  <c r="H6" i="34"/>
  <c r="I6" i="34"/>
  <c r="H7" i="34"/>
  <c r="I7" i="34" s="1"/>
  <c r="H8" i="34"/>
  <c r="I8" i="34"/>
  <c r="H9" i="34"/>
  <c r="I9" i="34"/>
  <c r="H10" i="34"/>
  <c r="I10" i="34"/>
  <c r="H11" i="34"/>
  <c r="I11" i="34"/>
  <c r="H12" i="34"/>
  <c r="I12" i="34"/>
  <c r="H13" i="34"/>
  <c r="I13" i="34"/>
  <c r="H14" i="34"/>
  <c r="I14" i="34"/>
  <c r="H15" i="34"/>
  <c r="I15" i="34"/>
  <c r="H16" i="34"/>
  <c r="I16" i="34"/>
  <c r="H17" i="34"/>
  <c r="I17" i="34" s="1"/>
  <c r="H18" i="34"/>
  <c r="I18" i="34"/>
  <c r="H19" i="34"/>
  <c r="I19" i="34"/>
  <c r="H20" i="34"/>
  <c r="I20" i="34"/>
  <c r="H21" i="34"/>
  <c r="I21" i="34"/>
  <c r="H22" i="34"/>
  <c r="I22" i="34"/>
  <c r="H23" i="34"/>
  <c r="I23" i="34"/>
  <c r="H24" i="34"/>
  <c r="I24" i="34"/>
  <c r="H25" i="34"/>
  <c r="I25" i="34"/>
  <c r="H26" i="34"/>
  <c r="I26" i="34"/>
  <c r="H27" i="34"/>
  <c r="I27" i="34" s="1"/>
  <c r="H28" i="34"/>
  <c r="I28" i="34"/>
  <c r="H29" i="34"/>
  <c r="I29" i="34"/>
  <c r="H30" i="34"/>
  <c r="I30" i="34"/>
  <c r="H31" i="34"/>
  <c r="I31" i="34"/>
  <c r="H32" i="34"/>
  <c r="I32" i="34"/>
  <c r="H33" i="34"/>
  <c r="I33" i="34"/>
  <c r="H34" i="34"/>
  <c r="I34" i="34"/>
  <c r="H35" i="34"/>
  <c r="I35" i="34"/>
  <c r="H36" i="34"/>
  <c r="I36" i="34"/>
  <c r="H37" i="34"/>
  <c r="I37" i="34" s="1"/>
  <c r="H38" i="34"/>
  <c r="I38" i="34"/>
  <c r="H39" i="34"/>
  <c r="I39" i="34"/>
  <c r="H40" i="34"/>
  <c r="I40" i="34"/>
  <c r="H41" i="34"/>
  <c r="I41" i="34"/>
  <c r="H42" i="34"/>
  <c r="I42" i="34"/>
  <c r="H43" i="34"/>
  <c r="I43" i="34"/>
  <c r="H44" i="34"/>
  <c r="I44" i="34"/>
  <c r="H45" i="34"/>
  <c r="I45" i="34"/>
  <c r="H46" i="34"/>
  <c r="I46" i="34"/>
  <c r="H47" i="34"/>
  <c r="I47" i="34" s="1"/>
  <c r="H48" i="34"/>
  <c r="I48" i="34"/>
  <c r="H49" i="34"/>
  <c r="I49" i="34"/>
  <c r="H50" i="34"/>
  <c r="I50" i="34"/>
  <c r="H51" i="34"/>
  <c r="I51" i="34"/>
  <c r="H52" i="34"/>
  <c r="I52" i="34"/>
  <c r="H53" i="34"/>
  <c r="I53" i="34"/>
  <c r="H54" i="34"/>
  <c r="I54" i="34"/>
  <c r="H55" i="34"/>
  <c r="I55" i="34"/>
  <c r="H56" i="34"/>
  <c r="I56" i="34"/>
  <c r="H57" i="34"/>
  <c r="I57" i="34" s="1"/>
  <c r="H58" i="34"/>
  <c r="I58" i="34"/>
  <c r="H59" i="34"/>
  <c r="I59" i="34"/>
  <c r="H60" i="34"/>
  <c r="I60" i="34"/>
  <c r="H61" i="34"/>
  <c r="I61" i="34"/>
  <c r="H62" i="34"/>
  <c r="I62" i="34"/>
  <c r="H63" i="34"/>
  <c r="I63" i="34"/>
  <c r="H64" i="34"/>
  <c r="I64" i="34"/>
  <c r="H65" i="34"/>
  <c r="I65" i="34"/>
  <c r="H66" i="34"/>
  <c r="I66" i="34"/>
  <c r="H67" i="34"/>
  <c r="I67" i="34" s="1"/>
  <c r="H68" i="34"/>
  <c r="I68" i="34"/>
  <c r="H69" i="34"/>
  <c r="I69" i="34"/>
  <c r="H70" i="34"/>
  <c r="I70" i="34"/>
  <c r="H71" i="34"/>
  <c r="I71" i="34"/>
  <c r="H72" i="34"/>
  <c r="I72" i="34"/>
  <c r="H73" i="34"/>
  <c r="I73" i="34"/>
  <c r="H74" i="34"/>
  <c r="I74" i="34"/>
  <c r="H75" i="34"/>
  <c r="I75" i="34"/>
  <c r="H76" i="34"/>
  <c r="I76" i="34"/>
  <c r="H77" i="34"/>
  <c r="I77" i="34" s="1"/>
  <c r="H78" i="34"/>
  <c r="I78" i="34"/>
  <c r="H79" i="34"/>
  <c r="I79" i="34"/>
  <c r="H80" i="34"/>
  <c r="I80" i="34"/>
  <c r="H81" i="34"/>
  <c r="I81" i="34"/>
  <c r="H82" i="34"/>
  <c r="I82" i="34"/>
  <c r="H83" i="34"/>
  <c r="I83" i="34"/>
  <c r="H84" i="34"/>
  <c r="I84" i="34"/>
  <c r="H85" i="34"/>
  <c r="I85" i="34"/>
  <c r="H86" i="34"/>
  <c r="I86" i="34"/>
  <c r="H87" i="34"/>
  <c r="I87" i="34" s="1"/>
  <c r="H88" i="34"/>
  <c r="I88" i="34"/>
  <c r="H89" i="34"/>
  <c r="I89" i="34"/>
  <c r="H90" i="34"/>
  <c r="I90" i="34"/>
  <c r="H91" i="34"/>
  <c r="I91" i="34"/>
  <c r="H92" i="34"/>
  <c r="I92" i="34"/>
  <c r="H93" i="34"/>
  <c r="I93" i="34"/>
  <c r="H94" i="34"/>
  <c r="I94" i="34"/>
  <c r="H95" i="34"/>
  <c r="I95" i="34"/>
  <c r="H96" i="34"/>
  <c r="I96" i="34"/>
  <c r="H97" i="34"/>
  <c r="I97" i="34" s="1"/>
  <c r="H98" i="34"/>
  <c r="I98" i="34"/>
  <c r="H99" i="34"/>
  <c r="I99" i="34"/>
  <c r="H100" i="34"/>
  <c r="I100" i="34"/>
  <c r="H101" i="34"/>
  <c r="I101" i="34"/>
  <c r="H102" i="34"/>
  <c r="I102" i="34"/>
  <c r="H103" i="34"/>
  <c r="I103" i="34"/>
  <c r="H104" i="34"/>
  <c r="I104" i="34"/>
  <c r="H105" i="34"/>
  <c r="I105" i="34"/>
  <c r="H106" i="34"/>
  <c r="I106" i="34"/>
  <c r="H107" i="34"/>
  <c r="I107" i="34" s="1"/>
  <c r="H108" i="34"/>
  <c r="I108" i="34"/>
  <c r="H109" i="34"/>
  <c r="I109" i="34"/>
  <c r="H110" i="34"/>
  <c r="I110" i="34"/>
  <c r="H111" i="34"/>
  <c r="I111" i="34"/>
  <c r="H112" i="34"/>
  <c r="I112" i="34"/>
  <c r="H113" i="34"/>
  <c r="I113" i="34"/>
  <c r="H114" i="34"/>
  <c r="I114" i="34"/>
  <c r="H115" i="34"/>
  <c r="I115" i="34"/>
  <c r="H116" i="34"/>
  <c r="I116" i="34"/>
  <c r="H117" i="34"/>
  <c r="I117" i="34" s="1"/>
  <c r="H118" i="34"/>
  <c r="I118" i="34"/>
  <c r="H119" i="34"/>
  <c r="I119" i="34"/>
  <c r="H120" i="34"/>
  <c r="I120" i="34"/>
  <c r="H121" i="34"/>
  <c r="I121" i="34"/>
  <c r="H122" i="34"/>
  <c r="I122" i="34"/>
  <c r="H123" i="34"/>
  <c r="I123" i="34"/>
  <c r="H124" i="34"/>
  <c r="I124" i="34"/>
  <c r="H125" i="34"/>
  <c r="I125" i="34"/>
  <c r="H126" i="34"/>
  <c r="I126" i="34"/>
  <c r="H127" i="34"/>
  <c r="I127" i="34" s="1"/>
  <c r="H128" i="34"/>
  <c r="I128" i="34"/>
  <c r="H129" i="34"/>
  <c r="I129" i="34"/>
  <c r="H130" i="34"/>
  <c r="I130" i="34"/>
  <c r="H131" i="34"/>
  <c r="I131" i="34"/>
  <c r="H132" i="34"/>
  <c r="I132" i="34"/>
  <c r="H133" i="34"/>
  <c r="I133" i="34"/>
  <c r="H134" i="34"/>
  <c r="I134" i="34"/>
  <c r="H135" i="34"/>
  <c r="I135" i="34"/>
  <c r="H136" i="34"/>
  <c r="I136" i="34"/>
  <c r="H137" i="34"/>
  <c r="I137" i="34" s="1"/>
  <c r="H138" i="34"/>
  <c r="I138" i="34"/>
  <c r="H139" i="34"/>
  <c r="I139" i="34"/>
  <c r="H140" i="34"/>
  <c r="I140" i="34"/>
  <c r="H141" i="34"/>
  <c r="I141" i="34"/>
  <c r="H142" i="34"/>
  <c r="I142" i="34"/>
  <c r="H143" i="34"/>
  <c r="I143" i="34"/>
  <c r="H144" i="34"/>
  <c r="I144" i="34"/>
  <c r="H145" i="34"/>
  <c r="I145" i="34"/>
  <c r="H146" i="34"/>
  <c r="I146" i="34"/>
  <c r="H147" i="34"/>
  <c r="I147" i="34" s="1"/>
  <c r="H148" i="34"/>
  <c r="I148" i="34"/>
  <c r="H149" i="34"/>
  <c r="I149" i="34"/>
  <c r="H150" i="34"/>
  <c r="I150" i="34"/>
  <c r="H151" i="34"/>
  <c r="I151" i="34"/>
  <c r="H152" i="34"/>
  <c r="I152" i="34"/>
  <c r="H153" i="34"/>
  <c r="I153" i="34"/>
  <c r="H154" i="34"/>
  <c r="I154" i="34"/>
  <c r="H155" i="34"/>
  <c r="I155" i="34"/>
  <c r="H156" i="34"/>
  <c r="I156" i="34"/>
  <c r="H157" i="34"/>
  <c r="I157" i="34" s="1"/>
  <c r="H158" i="34"/>
  <c r="I158" i="34"/>
  <c r="H159" i="34"/>
  <c r="I159" i="34"/>
  <c r="H160" i="34"/>
  <c r="I160" i="34"/>
  <c r="H161" i="34"/>
  <c r="I161" i="34"/>
  <c r="H162" i="34"/>
  <c r="I162" i="34"/>
  <c r="H163" i="34"/>
  <c r="I163" i="34"/>
  <c r="H164" i="34"/>
  <c r="I164" i="34"/>
  <c r="H165" i="34"/>
  <c r="I165" i="34"/>
  <c r="H166" i="34"/>
  <c r="I166" i="34"/>
  <c r="H167" i="34"/>
  <c r="I167" i="34" s="1"/>
  <c r="H168" i="34"/>
  <c r="I168" i="34"/>
  <c r="H169" i="34"/>
  <c r="I169" i="34"/>
  <c r="H170" i="34"/>
  <c r="I170" i="34"/>
  <c r="H171" i="34"/>
  <c r="I171" i="34"/>
  <c r="H172" i="34"/>
  <c r="I172" i="34"/>
  <c r="H173" i="34"/>
  <c r="I173" i="34"/>
  <c r="H174" i="34"/>
  <c r="I174" i="34"/>
  <c r="H175" i="34"/>
  <c r="I175" i="34"/>
  <c r="H176" i="34"/>
  <c r="I176" i="34"/>
  <c r="H177" i="34"/>
  <c r="I177" i="34" s="1"/>
  <c r="H178" i="34"/>
  <c r="I178" i="34"/>
  <c r="H179" i="34"/>
  <c r="I179" i="34"/>
  <c r="H180" i="34"/>
  <c r="I180" i="34"/>
  <c r="H181" i="34"/>
  <c r="I181" i="34"/>
  <c r="H182" i="34"/>
  <c r="I182" i="34"/>
  <c r="H183" i="34"/>
  <c r="I183" i="34"/>
  <c r="H184" i="34"/>
  <c r="I184" i="34"/>
  <c r="H185" i="34"/>
  <c r="I185" i="34"/>
  <c r="H186" i="34"/>
  <c r="I186" i="34"/>
  <c r="H187" i="34"/>
  <c r="I187" i="34" s="1"/>
  <c r="H188" i="34"/>
  <c r="I188" i="34"/>
  <c r="H189" i="34"/>
  <c r="I189" i="34"/>
  <c r="H190" i="34"/>
  <c r="I190" i="34"/>
  <c r="H191" i="34"/>
  <c r="I191" i="34"/>
  <c r="H192" i="34"/>
  <c r="I192" i="34"/>
  <c r="H193" i="34"/>
  <c r="I193" i="34"/>
  <c r="H194" i="34"/>
  <c r="I194" i="34"/>
  <c r="H195" i="34"/>
  <c r="I195" i="34"/>
  <c r="H196" i="34"/>
  <c r="I196" i="34"/>
  <c r="H197" i="34"/>
  <c r="I197" i="34" s="1"/>
  <c r="H198" i="34"/>
  <c r="I198" i="34"/>
  <c r="H199" i="34"/>
  <c r="I199" i="34"/>
  <c r="H200" i="34"/>
  <c r="I200" i="34"/>
  <c r="H201" i="34"/>
  <c r="I201" i="34"/>
  <c r="H202" i="34"/>
  <c r="I202" i="34"/>
  <c r="H203" i="34"/>
  <c r="I203" i="34"/>
  <c r="H204" i="34"/>
  <c r="I204" i="34"/>
  <c r="H205" i="34"/>
  <c r="I205" i="34"/>
  <c r="H206" i="34"/>
  <c r="I206" i="34"/>
  <c r="H207" i="34"/>
  <c r="I207" i="34" s="1"/>
  <c r="H208" i="34"/>
  <c r="I208" i="34"/>
  <c r="H209" i="34"/>
  <c r="I209" i="34"/>
  <c r="H210" i="34"/>
  <c r="I210" i="34"/>
  <c r="H211" i="34"/>
  <c r="I211" i="34"/>
  <c r="H212" i="34"/>
  <c r="I212" i="34"/>
  <c r="H213" i="34"/>
  <c r="I213" i="34"/>
  <c r="H214" i="34"/>
  <c r="I214" i="34"/>
  <c r="H215" i="34"/>
  <c r="I215" i="34"/>
  <c r="H216" i="34"/>
  <c r="I216" i="34"/>
  <c r="H217" i="34"/>
  <c r="I217" i="34" s="1"/>
  <c r="H218" i="34"/>
  <c r="I218" i="34"/>
  <c r="H219" i="34"/>
  <c r="I219" i="34"/>
  <c r="H220" i="34"/>
  <c r="I220" i="34"/>
  <c r="H221" i="34"/>
  <c r="I221" i="34"/>
  <c r="H222" i="34"/>
  <c r="I222" i="34"/>
  <c r="H223" i="34"/>
  <c r="I223" i="34"/>
  <c r="H224" i="34"/>
  <c r="I224" i="34"/>
  <c r="H225" i="34"/>
  <c r="I225" i="34"/>
  <c r="H226" i="34"/>
  <c r="I226" i="34"/>
  <c r="H227" i="34"/>
  <c r="I227" i="34" s="1"/>
  <c r="H228" i="34"/>
  <c r="I228" i="34"/>
  <c r="H229" i="34"/>
  <c r="I229" i="34"/>
  <c r="H230" i="34"/>
  <c r="I230" i="34"/>
  <c r="H231" i="34"/>
  <c r="I231" i="34"/>
  <c r="H232" i="34"/>
  <c r="I232" i="34"/>
  <c r="H233" i="34"/>
  <c r="I233" i="34"/>
  <c r="H234" i="34"/>
  <c r="I234" i="34"/>
  <c r="H235" i="34"/>
  <c r="I235" i="34"/>
  <c r="H236" i="34"/>
  <c r="I236" i="34"/>
  <c r="H237" i="34"/>
  <c r="I237" i="34" s="1"/>
  <c r="H238" i="34"/>
  <c r="I238" i="34"/>
  <c r="H239" i="34"/>
  <c r="I239" i="34"/>
  <c r="H240" i="34"/>
  <c r="I240" i="34"/>
  <c r="H241" i="34"/>
  <c r="I241" i="34"/>
  <c r="H242" i="34"/>
  <c r="I242" i="34"/>
  <c r="H243" i="34"/>
  <c r="I243" i="34"/>
  <c r="H244" i="34"/>
  <c r="I244" i="34"/>
  <c r="H245" i="34"/>
  <c r="I245" i="34"/>
  <c r="H246" i="34"/>
  <c r="I246" i="34"/>
  <c r="H247" i="34"/>
  <c r="I247" i="34" s="1"/>
  <c r="H248" i="34"/>
  <c r="I248" i="34"/>
  <c r="H249" i="34"/>
  <c r="I249" i="34"/>
  <c r="H250" i="34"/>
  <c r="I250" i="34"/>
  <c r="H251" i="34"/>
  <c r="I251" i="34"/>
  <c r="H252" i="34"/>
  <c r="I252" i="34"/>
  <c r="H253" i="34"/>
  <c r="I253" i="34"/>
  <c r="H254" i="34"/>
  <c r="I254" i="34"/>
  <c r="H255" i="34"/>
  <c r="I255" i="34"/>
  <c r="H256" i="34"/>
  <c r="I256" i="34"/>
  <c r="H257" i="34"/>
  <c r="I257" i="34" s="1"/>
  <c r="H258" i="34"/>
  <c r="I258" i="34"/>
  <c r="H259" i="34"/>
  <c r="I259" i="34"/>
  <c r="H260" i="34"/>
  <c r="I260" i="34"/>
  <c r="H261" i="34"/>
  <c r="I261" i="34"/>
  <c r="H262" i="34"/>
  <c r="I262" i="34"/>
  <c r="H263" i="34"/>
  <c r="I263" i="34"/>
  <c r="H264" i="34"/>
  <c r="I264" i="34"/>
  <c r="H265" i="34"/>
  <c r="I265" i="34"/>
  <c r="H266" i="34"/>
  <c r="I266" i="34"/>
  <c r="H267" i="34"/>
  <c r="I267" i="34" s="1"/>
  <c r="H268" i="34"/>
  <c r="I268" i="34"/>
  <c r="H269" i="34"/>
  <c r="I269" i="34"/>
  <c r="H270" i="34"/>
  <c r="I270" i="34"/>
  <c r="H271" i="34"/>
  <c r="I271" i="34"/>
  <c r="H272" i="34"/>
  <c r="I272" i="34"/>
  <c r="H273" i="34"/>
  <c r="I273" i="34"/>
  <c r="H274" i="34"/>
  <c r="I274" i="34"/>
  <c r="H275" i="34"/>
  <c r="I275" i="34"/>
  <c r="H276" i="34"/>
  <c r="I276" i="34"/>
  <c r="H277" i="34"/>
  <c r="I277" i="34" s="1"/>
  <c r="H278" i="34"/>
  <c r="I278" i="34"/>
  <c r="H279" i="34"/>
  <c r="I279" i="34"/>
  <c r="H280" i="34"/>
  <c r="I280" i="34"/>
  <c r="H281" i="34"/>
  <c r="I281" i="34"/>
  <c r="H282" i="34"/>
  <c r="I282" i="34"/>
  <c r="H283" i="34"/>
  <c r="I283" i="34"/>
  <c r="H284" i="34"/>
  <c r="I284" i="34"/>
  <c r="H285" i="34"/>
  <c r="I285" i="34"/>
  <c r="H286" i="34"/>
  <c r="I286" i="34"/>
  <c r="H287" i="34"/>
  <c r="I287" i="34" s="1"/>
  <c r="H288" i="34"/>
  <c r="I288" i="34"/>
  <c r="H289" i="34"/>
  <c r="I289" i="34"/>
  <c r="H290" i="34"/>
  <c r="I290" i="34"/>
  <c r="H291" i="34"/>
  <c r="I291" i="34"/>
  <c r="H292" i="34"/>
  <c r="I292" i="34"/>
  <c r="H293" i="34"/>
  <c r="I293" i="34"/>
  <c r="H294" i="34"/>
  <c r="I294" i="34"/>
  <c r="H295" i="34"/>
  <c r="I295" i="34"/>
  <c r="H296" i="34"/>
  <c r="I296" i="34"/>
  <c r="H297" i="34"/>
  <c r="I297" i="34" s="1"/>
  <c r="H298" i="34"/>
  <c r="I298" i="34"/>
  <c r="H299" i="34"/>
  <c r="I299" i="34"/>
  <c r="H300" i="34"/>
  <c r="I300" i="34"/>
  <c r="H301" i="34"/>
  <c r="I301" i="34"/>
  <c r="H302" i="34"/>
  <c r="I302" i="34"/>
  <c r="H303" i="34"/>
  <c r="I303" i="34"/>
  <c r="H304" i="34"/>
  <c r="I304" i="34"/>
  <c r="H305" i="34"/>
  <c r="I305" i="34"/>
  <c r="H306" i="34"/>
  <c r="I306" i="34"/>
  <c r="H307" i="34"/>
  <c r="I307" i="34" s="1"/>
  <c r="H308" i="34"/>
  <c r="I308" i="34"/>
  <c r="H309" i="34"/>
  <c r="I309" i="34"/>
  <c r="H310" i="34"/>
  <c r="I310" i="34"/>
  <c r="H311" i="34"/>
  <c r="I311" i="34"/>
  <c r="H312" i="34"/>
  <c r="I312" i="34"/>
  <c r="H313" i="34"/>
  <c r="I313" i="34"/>
  <c r="H314" i="34"/>
  <c r="I314" i="34"/>
  <c r="H315" i="34"/>
  <c r="I315" i="34"/>
  <c r="H316" i="34"/>
  <c r="I316" i="34"/>
  <c r="H317" i="34"/>
  <c r="I317" i="34" s="1"/>
  <c r="H318" i="34"/>
  <c r="I318" i="34"/>
  <c r="H319" i="34"/>
  <c r="I319" i="34"/>
  <c r="H320" i="34"/>
  <c r="I320" i="34"/>
  <c r="H321" i="34"/>
  <c r="I321" i="34"/>
  <c r="H322" i="34"/>
  <c r="I322" i="34"/>
  <c r="H323" i="34"/>
  <c r="I323" i="34"/>
  <c r="H324" i="34"/>
  <c r="I324" i="34"/>
  <c r="H325" i="34"/>
  <c r="I325" i="34"/>
  <c r="H326" i="34"/>
  <c r="I326" i="34"/>
  <c r="H327" i="34"/>
  <c r="I327" i="34" s="1"/>
  <c r="H328" i="34"/>
  <c r="I328" i="34"/>
  <c r="H329" i="34"/>
  <c r="I329" i="34"/>
  <c r="H330" i="34"/>
  <c r="I330" i="34"/>
  <c r="H331" i="34"/>
  <c r="I331" i="34"/>
  <c r="H332" i="34"/>
  <c r="I332" i="34"/>
  <c r="H333" i="34"/>
  <c r="I333" i="34"/>
  <c r="H334" i="34"/>
  <c r="I334" i="34"/>
  <c r="H335" i="34"/>
  <c r="I335" i="34"/>
  <c r="H336" i="34"/>
  <c r="I336" i="34"/>
  <c r="H337" i="34"/>
  <c r="I337" i="34" s="1"/>
  <c r="H338" i="34"/>
  <c r="I338" i="34"/>
  <c r="H339" i="34"/>
  <c r="I339" i="34"/>
  <c r="H340" i="34"/>
  <c r="I340" i="34"/>
  <c r="H341" i="34"/>
  <c r="I341" i="34"/>
  <c r="H342" i="34"/>
  <c r="I342" i="34"/>
  <c r="H343" i="34"/>
  <c r="I343" i="34"/>
  <c r="H344" i="34"/>
  <c r="I344" i="34"/>
  <c r="H345" i="34"/>
  <c r="I345" i="34"/>
  <c r="H346" i="34"/>
  <c r="I346" i="34"/>
  <c r="H347" i="34"/>
  <c r="I347" i="34" s="1"/>
  <c r="H348" i="34"/>
  <c r="I348" i="34"/>
  <c r="H349" i="34"/>
  <c r="I349" i="34"/>
  <c r="H350" i="34"/>
  <c r="I350" i="34"/>
  <c r="H351" i="34"/>
  <c r="I351" i="34"/>
  <c r="H352" i="34"/>
  <c r="I352" i="34"/>
  <c r="H353" i="34"/>
  <c r="I353" i="34"/>
  <c r="H354" i="34"/>
  <c r="I354" i="34"/>
  <c r="H355" i="34"/>
  <c r="I355" i="34"/>
  <c r="H356" i="34"/>
  <c r="I356" i="34"/>
  <c r="H357" i="34"/>
  <c r="I357" i="34" s="1"/>
  <c r="H358" i="34"/>
  <c r="I358" i="34"/>
  <c r="H359" i="34"/>
  <c r="I359" i="34"/>
  <c r="H360" i="34"/>
  <c r="I360" i="34"/>
  <c r="H361" i="34"/>
  <c r="I361" i="34"/>
  <c r="H362" i="34"/>
  <c r="I362" i="34"/>
  <c r="H363" i="34"/>
  <c r="I363" i="34"/>
  <c r="H364" i="34"/>
  <c r="I364" i="34"/>
  <c r="H365" i="34"/>
  <c r="I365" i="34"/>
  <c r="H366" i="34"/>
  <c r="I366" i="34"/>
  <c r="H367" i="34"/>
  <c r="I367" i="34" s="1"/>
  <c r="H368" i="34"/>
  <c r="I368" i="34"/>
  <c r="H369" i="34"/>
  <c r="I369" i="34"/>
  <c r="H370" i="34"/>
  <c r="I370" i="34"/>
  <c r="H371" i="34"/>
  <c r="I371" i="34"/>
  <c r="H372" i="34"/>
  <c r="I372" i="34"/>
  <c r="H373" i="34"/>
  <c r="I373" i="34"/>
  <c r="H374" i="34"/>
  <c r="I374" i="34"/>
  <c r="H375" i="34"/>
  <c r="I375" i="34"/>
  <c r="H376" i="34"/>
  <c r="I376" i="34"/>
  <c r="H377" i="34"/>
  <c r="I377" i="34" s="1"/>
  <c r="H378" i="34"/>
  <c r="I378" i="34"/>
  <c r="H379" i="34"/>
  <c r="I379" i="34"/>
  <c r="H380" i="34"/>
  <c r="I380" i="34"/>
  <c r="H381" i="34"/>
  <c r="I381" i="34"/>
  <c r="H382" i="34"/>
  <c r="I382" i="34"/>
  <c r="H383" i="34"/>
  <c r="I383" i="34"/>
  <c r="H384" i="34"/>
  <c r="I384" i="34"/>
  <c r="H385" i="34"/>
  <c r="I385" i="34"/>
  <c r="H386" i="34"/>
  <c r="I386" i="34"/>
  <c r="H387" i="34"/>
  <c r="I387" i="34" s="1"/>
  <c r="H388" i="34"/>
  <c r="I388" i="34"/>
  <c r="H389" i="34"/>
  <c r="I389" i="34"/>
  <c r="H390" i="34"/>
  <c r="I390" i="34"/>
  <c r="H391" i="34"/>
  <c r="I391" i="34"/>
  <c r="H392" i="34"/>
  <c r="I392" i="34"/>
  <c r="H393" i="34"/>
  <c r="I393" i="34"/>
  <c r="H394" i="34"/>
  <c r="I394" i="34"/>
  <c r="H395" i="34"/>
  <c r="I395" i="34"/>
  <c r="H396" i="34"/>
  <c r="I396" i="34"/>
  <c r="H397" i="34"/>
  <c r="I397" i="34" s="1"/>
  <c r="H398" i="34"/>
  <c r="I398" i="34"/>
  <c r="H399" i="34"/>
  <c r="I399" i="34"/>
  <c r="H400" i="34"/>
  <c r="I400" i="34"/>
  <c r="H401" i="34"/>
  <c r="I401" i="34"/>
  <c r="H402" i="34"/>
  <c r="I402" i="34"/>
  <c r="H403" i="34"/>
  <c r="I403" i="34"/>
  <c r="H404" i="34"/>
  <c r="I404" i="34"/>
  <c r="H405" i="34"/>
  <c r="I405" i="34"/>
  <c r="H406" i="34"/>
  <c r="I406" i="34"/>
  <c r="H407" i="34"/>
  <c r="I407" i="34" s="1"/>
  <c r="H408" i="34"/>
  <c r="I408" i="34"/>
  <c r="H409" i="34"/>
  <c r="I409" i="34"/>
  <c r="H410" i="34"/>
  <c r="I410" i="34"/>
  <c r="H411" i="34"/>
  <c r="I411" i="34"/>
  <c r="H412" i="34"/>
  <c r="I412" i="34"/>
  <c r="H413" i="34"/>
  <c r="I413" i="34"/>
  <c r="H414" i="34"/>
  <c r="I414" i="34"/>
  <c r="H415" i="34"/>
  <c r="I415" i="34"/>
  <c r="H416" i="34"/>
  <c r="I416" i="34"/>
  <c r="H417" i="34"/>
  <c r="I417" i="34" s="1"/>
  <c r="H418" i="34"/>
  <c r="I418" i="34"/>
  <c r="H419" i="34"/>
  <c r="I419" i="34"/>
  <c r="H420" i="34"/>
  <c r="I420" i="34"/>
  <c r="H421" i="34"/>
  <c r="I421" i="34"/>
  <c r="H422" i="34"/>
  <c r="I422" i="34"/>
  <c r="H423" i="34"/>
  <c r="I423" i="34"/>
  <c r="H424" i="34"/>
  <c r="I424" i="34"/>
  <c r="H425" i="34"/>
  <c r="I425" i="34"/>
  <c r="H426" i="34"/>
  <c r="I426" i="34"/>
  <c r="H427" i="34"/>
  <c r="I427" i="34" s="1"/>
  <c r="H428" i="34"/>
  <c r="I428" i="34"/>
  <c r="H429" i="34"/>
  <c r="I429" i="34"/>
  <c r="H430" i="34"/>
  <c r="I430" i="34"/>
  <c r="H431" i="34"/>
  <c r="I431" i="34"/>
  <c r="H432" i="34"/>
  <c r="I432" i="34"/>
  <c r="H433" i="34"/>
  <c r="I433" i="34"/>
  <c r="H434" i="34"/>
  <c r="I434" i="34"/>
  <c r="H435" i="34"/>
  <c r="I435" i="34"/>
  <c r="H436" i="34"/>
  <c r="I436" i="34"/>
  <c r="H437" i="34"/>
  <c r="I437" i="34" s="1"/>
  <c r="H438" i="34"/>
  <c r="I438" i="34"/>
  <c r="H439" i="34"/>
  <c r="I439" i="34"/>
  <c r="H440" i="34"/>
  <c r="I440" i="34"/>
  <c r="H441" i="34"/>
  <c r="I441" i="34"/>
  <c r="H442" i="34"/>
  <c r="I442" i="34"/>
  <c r="H443" i="34"/>
  <c r="I443" i="34"/>
  <c r="H444" i="34"/>
  <c r="I444" i="34"/>
  <c r="H445" i="34"/>
  <c r="I445" i="34"/>
  <c r="H446" i="34"/>
  <c r="I446" i="34"/>
  <c r="H447" i="34"/>
  <c r="I447" i="34" s="1"/>
  <c r="H448" i="34"/>
  <c r="I448" i="34"/>
  <c r="H449" i="34"/>
  <c r="I449" i="34"/>
  <c r="H450" i="34"/>
  <c r="I450" i="34"/>
  <c r="H451" i="34"/>
  <c r="I451" i="34"/>
  <c r="H452" i="34"/>
  <c r="I452" i="34"/>
  <c r="H453" i="34"/>
  <c r="I453" i="34"/>
  <c r="H454" i="34"/>
  <c r="I454" i="34"/>
  <c r="H455" i="34"/>
  <c r="I455" i="34"/>
  <c r="H456" i="34"/>
  <c r="I456" i="34"/>
  <c r="H457" i="34"/>
  <c r="I457" i="34" s="1"/>
  <c r="H458" i="34"/>
  <c r="I458" i="34"/>
  <c r="H459" i="34"/>
  <c r="I459" i="34"/>
  <c r="H460" i="34"/>
  <c r="I460" i="34"/>
  <c r="H461" i="34"/>
  <c r="I461" i="34"/>
  <c r="H462" i="34"/>
  <c r="I462" i="34"/>
  <c r="H463" i="34"/>
  <c r="I463" i="34"/>
  <c r="H464" i="34"/>
  <c r="I464" i="34"/>
  <c r="H465" i="34"/>
  <c r="I465" i="34"/>
  <c r="H466" i="34"/>
  <c r="I466" i="34"/>
  <c r="H467" i="34"/>
  <c r="I467" i="34" s="1"/>
  <c r="H468" i="34"/>
  <c r="I468" i="34"/>
  <c r="H469" i="34"/>
  <c r="I469" i="34"/>
  <c r="H470" i="34"/>
  <c r="I470" i="34"/>
  <c r="H471" i="34"/>
  <c r="I471" i="34"/>
  <c r="H472" i="34"/>
  <c r="I472" i="34"/>
  <c r="H473" i="34"/>
  <c r="I473" i="34"/>
  <c r="H474" i="34"/>
  <c r="I474" i="34"/>
  <c r="H475" i="34"/>
  <c r="I475" i="34"/>
  <c r="H476" i="34"/>
  <c r="I476" i="34"/>
  <c r="H477" i="34"/>
  <c r="I477" i="34" s="1"/>
  <c r="H478" i="34"/>
  <c r="I478" i="34"/>
  <c r="H479" i="34"/>
  <c r="I479" i="34"/>
  <c r="H480" i="34"/>
  <c r="I480" i="34"/>
  <c r="H481" i="34"/>
  <c r="I481" i="34"/>
  <c r="H482" i="34"/>
  <c r="I482" i="34"/>
  <c r="H483" i="34"/>
  <c r="I483" i="34"/>
  <c r="H484" i="34"/>
  <c r="I484" i="34"/>
  <c r="H485" i="34"/>
  <c r="I485" i="34"/>
  <c r="H486" i="34"/>
  <c r="I486" i="34"/>
  <c r="H487" i="34"/>
  <c r="I487" i="34" s="1"/>
  <c r="H488" i="34"/>
  <c r="I488" i="34"/>
  <c r="H489" i="34"/>
  <c r="I489" i="34"/>
  <c r="H490" i="34"/>
  <c r="I490" i="34"/>
  <c r="H491" i="34"/>
  <c r="I491" i="34"/>
  <c r="H492" i="34"/>
  <c r="I492" i="34"/>
  <c r="H493" i="34"/>
  <c r="I493" i="34"/>
  <c r="H494" i="34"/>
  <c r="I494" i="34"/>
  <c r="H495" i="34"/>
  <c r="I495" i="34"/>
  <c r="H496" i="34"/>
  <c r="I496" i="34"/>
  <c r="H497" i="34"/>
  <c r="I497" i="34" s="1"/>
  <c r="H498" i="34"/>
  <c r="I498" i="34"/>
  <c r="H499" i="34"/>
  <c r="I499" i="34"/>
  <c r="H500" i="34"/>
  <c r="I500" i="34"/>
  <c r="H501" i="34"/>
  <c r="I501" i="34"/>
  <c r="H502" i="34"/>
  <c r="I502" i="34"/>
  <c r="H503" i="34"/>
  <c r="I503" i="34"/>
  <c r="H504" i="34"/>
  <c r="I504" i="34"/>
  <c r="H505" i="34"/>
  <c r="I505" i="34"/>
  <c r="H506" i="34"/>
  <c r="I506" i="34"/>
  <c r="H507" i="34"/>
  <c r="I507" i="34" s="1"/>
  <c r="H508" i="34"/>
  <c r="I508" i="34"/>
  <c r="H509" i="34"/>
  <c r="I509" i="34"/>
  <c r="H510" i="34"/>
  <c r="I510" i="34"/>
  <c r="H511" i="34"/>
  <c r="I511" i="34"/>
  <c r="H512" i="34"/>
  <c r="I512" i="34"/>
  <c r="H513" i="34"/>
  <c r="I513" i="34"/>
  <c r="H514" i="34"/>
  <c r="I514" i="34"/>
  <c r="H515" i="34"/>
  <c r="I515" i="34"/>
  <c r="H516" i="34"/>
  <c r="I516" i="34"/>
  <c r="H517" i="34"/>
  <c r="I517" i="34" s="1"/>
  <c r="H518" i="34"/>
  <c r="I518" i="34"/>
  <c r="H519" i="34"/>
  <c r="I519" i="34"/>
  <c r="H520" i="34"/>
  <c r="I520" i="34"/>
  <c r="H521" i="34"/>
  <c r="I521" i="34"/>
  <c r="H522" i="34"/>
  <c r="I522" i="34"/>
  <c r="H523" i="34"/>
  <c r="I523" i="34"/>
  <c r="H524" i="34"/>
  <c r="I524" i="34"/>
  <c r="H525" i="34"/>
  <c r="I525" i="34"/>
  <c r="H526" i="34"/>
  <c r="I526" i="34"/>
  <c r="H527" i="34"/>
  <c r="I527" i="34" s="1"/>
  <c r="H528" i="34"/>
  <c r="I528" i="34"/>
  <c r="H529" i="34"/>
  <c r="I529" i="34"/>
  <c r="H530" i="34"/>
  <c r="I530" i="34"/>
  <c r="H531" i="34"/>
  <c r="I531" i="34"/>
  <c r="H532" i="34"/>
  <c r="I532" i="34"/>
  <c r="H533" i="34"/>
  <c r="I533" i="34"/>
  <c r="H534" i="34"/>
  <c r="I534" i="34"/>
  <c r="H535" i="34"/>
  <c r="I535" i="34"/>
  <c r="H536" i="34"/>
  <c r="I536" i="34"/>
  <c r="H537" i="34"/>
  <c r="I537" i="34" s="1"/>
  <c r="H538" i="34"/>
  <c r="I538" i="34"/>
  <c r="H539" i="34"/>
  <c r="I539" i="34"/>
  <c r="H540" i="34"/>
  <c r="I540" i="34"/>
  <c r="H541" i="34"/>
  <c r="I541" i="34"/>
  <c r="H542" i="34"/>
  <c r="I542" i="34"/>
  <c r="H543" i="34"/>
  <c r="I543" i="34"/>
  <c r="H544" i="34"/>
  <c r="I544" i="34"/>
  <c r="H545" i="34"/>
  <c r="I545" i="34"/>
  <c r="H546" i="34"/>
  <c r="I546" i="34"/>
  <c r="H547" i="34"/>
  <c r="I547" i="34" s="1"/>
  <c r="H548" i="34"/>
  <c r="I548" i="34"/>
  <c r="H549" i="34"/>
  <c r="I549" i="34"/>
  <c r="H550" i="34"/>
  <c r="I550" i="34"/>
  <c r="H551" i="34"/>
  <c r="I551" i="34"/>
  <c r="H552" i="34"/>
  <c r="I552" i="34"/>
  <c r="H553" i="34"/>
  <c r="I553" i="34"/>
  <c r="H554" i="34"/>
  <c r="I554" i="34"/>
  <c r="H555" i="34"/>
  <c r="I555" i="34"/>
  <c r="H556" i="34"/>
  <c r="I556" i="34"/>
  <c r="H557" i="34"/>
  <c r="I557" i="34" s="1"/>
  <c r="H558" i="34"/>
  <c r="I558" i="34"/>
  <c r="H559" i="34"/>
  <c r="I559" i="34"/>
  <c r="H560" i="34"/>
  <c r="I560" i="34"/>
  <c r="I2" i="34"/>
  <c r="H2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G75" i="34"/>
  <c r="G76" i="34"/>
  <c r="G77" i="34"/>
  <c r="G78" i="34"/>
  <c r="G79" i="34"/>
  <c r="G80" i="34"/>
  <c r="G81" i="34"/>
  <c r="G82" i="34"/>
  <c r="G83" i="34"/>
  <c r="G84" i="34"/>
  <c r="G85" i="34"/>
  <c r="G86" i="34"/>
  <c r="G87" i="34"/>
  <c r="G88" i="34"/>
  <c r="G89" i="34"/>
  <c r="G90" i="34"/>
  <c r="G91" i="34"/>
  <c r="G92" i="34"/>
  <c r="G93" i="34"/>
  <c r="G94" i="34"/>
  <c r="G95" i="34"/>
  <c r="G96" i="34"/>
  <c r="G97" i="34"/>
  <c r="G98" i="34"/>
  <c r="G99" i="34"/>
  <c r="G100" i="34"/>
  <c r="G101" i="34"/>
  <c r="G102" i="34"/>
  <c r="G103" i="34"/>
  <c r="G104" i="34"/>
  <c r="G105" i="34"/>
  <c r="G106" i="34"/>
  <c r="G107" i="34"/>
  <c r="G108" i="34"/>
  <c r="G109" i="34"/>
  <c r="G110" i="34"/>
  <c r="G111" i="34"/>
  <c r="G112" i="34"/>
  <c r="G113" i="34"/>
  <c r="G114" i="34"/>
  <c r="G115" i="34"/>
  <c r="G116" i="34"/>
  <c r="G117" i="34"/>
  <c r="G118" i="34"/>
  <c r="G119" i="34"/>
  <c r="G120" i="34"/>
  <c r="G121" i="34"/>
  <c r="G122" i="34"/>
  <c r="G123" i="34"/>
  <c r="G124" i="34"/>
  <c r="G125" i="34"/>
  <c r="G126" i="34"/>
  <c r="G127" i="34"/>
  <c r="G128" i="34"/>
  <c r="G129" i="34"/>
  <c r="G130" i="34"/>
  <c r="G131" i="34"/>
  <c r="G132" i="34"/>
  <c r="G133" i="34"/>
  <c r="G134" i="34"/>
  <c r="G135" i="34"/>
  <c r="G136" i="34"/>
  <c r="G137" i="34"/>
  <c r="G138" i="34"/>
  <c r="G139" i="34"/>
  <c r="G140" i="34"/>
  <c r="G141" i="34"/>
  <c r="G142" i="34"/>
  <c r="G143" i="34"/>
  <c r="G144" i="34"/>
  <c r="G145" i="34"/>
  <c r="G146" i="34"/>
  <c r="G147" i="34"/>
  <c r="G148" i="34"/>
  <c r="G149" i="34"/>
  <c r="G150" i="34"/>
  <c r="G151" i="34"/>
  <c r="G152" i="34"/>
  <c r="G153" i="34"/>
  <c r="G154" i="34"/>
  <c r="G155" i="34"/>
  <c r="G156" i="34"/>
  <c r="G157" i="34"/>
  <c r="G158" i="34"/>
  <c r="G159" i="34"/>
  <c r="G160" i="34"/>
  <c r="G161" i="34"/>
  <c r="G162" i="34"/>
  <c r="G163" i="34"/>
  <c r="G164" i="34"/>
  <c r="G165" i="34"/>
  <c r="G166" i="34"/>
  <c r="G167" i="34"/>
  <c r="G168" i="34"/>
  <c r="G169" i="34"/>
  <c r="G170" i="34"/>
  <c r="G171" i="34"/>
  <c r="G172" i="34"/>
  <c r="G173" i="34"/>
  <c r="G174" i="34"/>
  <c r="G175" i="34"/>
  <c r="G176" i="34"/>
  <c r="G177" i="34"/>
  <c r="G178" i="34"/>
  <c r="G179" i="34"/>
  <c r="G180" i="34"/>
  <c r="G181" i="34"/>
  <c r="G182" i="34"/>
  <c r="G183" i="34"/>
  <c r="G184" i="34"/>
  <c r="G185" i="34"/>
  <c r="G186" i="34"/>
  <c r="G187" i="34"/>
  <c r="G188" i="34"/>
  <c r="G189" i="34"/>
  <c r="G190" i="34"/>
  <c r="G191" i="34"/>
  <c r="G192" i="34"/>
  <c r="G193" i="34"/>
  <c r="G194" i="34"/>
  <c r="G195" i="34"/>
  <c r="G196" i="34"/>
  <c r="G197" i="34"/>
  <c r="G198" i="34"/>
  <c r="G199" i="34"/>
  <c r="G200" i="34"/>
  <c r="G201" i="34"/>
  <c r="G202" i="34"/>
  <c r="G203" i="34"/>
  <c r="G204" i="34"/>
  <c r="G205" i="34"/>
  <c r="G206" i="34"/>
  <c r="G207" i="34"/>
  <c r="G208" i="34"/>
  <c r="G209" i="34"/>
  <c r="G210" i="34"/>
  <c r="G211" i="34"/>
  <c r="G212" i="34"/>
  <c r="G213" i="34"/>
  <c r="G214" i="34"/>
  <c r="G215" i="34"/>
  <c r="G216" i="34"/>
  <c r="G217" i="34"/>
  <c r="G218" i="34"/>
  <c r="G219" i="34"/>
  <c r="G220" i="34"/>
  <c r="G221" i="34"/>
  <c r="G222" i="34"/>
  <c r="G223" i="34"/>
  <c r="G224" i="34"/>
  <c r="G225" i="34"/>
  <c r="G226" i="34"/>
  <c r="G227" i="34"/>
  <c r="G228" i="34"/>
  <c r="G229" i="34"/>
  <c r="G230" i="34"/>
  <c r="G231" i="34"/>
  <c r="G232" i="34"/>
  <c r="G233" i="34"/>
  <c r="G234" i="34"/>
  <c r="G235" i="34"/>
  <c r="G236" i="34"/>
  <c r="G237" i="34"/>
  <c r="G238" i="34"/>
  <c r="G239" i="34"/>
  <c r="G240" i="34"/>
  <c r="G241" i="34"/>
  <c r="G242" i="34"/>
  <c r="G243" i="34"/>
  <c r="G244" i="34"/>
  <c r="G245" i="34"/>
  <c r="G246" i="34"/>
  <c r="G247" i="34"/>
  <c r="G248" i="34"/>
  <c r="G249" i="34"/>
  <c r="G250" i="34"/>
  <c r="G251" i="34"/>
  <c r="G252" i="34"/>
  <c r="G253" i="34"/>
  <c r="G254" i="34"/>
  <c r="G255" i="34"/>
  <c r="G256" i="34"/>
  <c r="G257" i="34"/>
  <c r="G258" i="34"/>
  <c r="G259" i="34"/>
  <c r="G260" i="34"/>
  <c r="G261" i="34"/>
  <c r="G262" i="34"/>
  <c r="G263" i="34"/>
  <c r="G264" i="34"/>
  <c r="G265" i="34"/>
  <c r="G266" i="34"/>
  <c r="G267" i="34"/>
  <c r="G268" i="34"/>
  <c r="G269" i="34"/>
  <c r="G270" i="34"/>
  <c r="G271" i="34"/>
  <c r="G272" i="34"/>
  <c r="G273" i="34"/>
  <c r="G274" i="34"/>
  <c r="G275" i="34"/>
  <c r="G276" i="34"/>
  <c r="G277" i="34"/>
  <c r="G278" i="34"/>
  <c r="G279" i="34"/>
  <c r="G280" i="34"/>
  <c r="G281" i="34"/>
  <c r="G282" i="34"/>
  <c r="G283" i="34"/>
  <c r="G284" i="34"/>
  <c r="G285" i="34"/>
  <c r="G286" i="34"/>
  <c r="G287" i="34"/>
  <c r="G288" i="34"/>
  <c r="G289" i="34"/>
  <c r="G290" i="34"/>
  <c r="G291" i="34"/>
  <c r="G292" i="34"/>
  <c r="G293" i="34"/>
  <c r="G294" i="34"/>
  <c r="G295" i="34"/>
  <c r="G296" i="34"/>
  <c r="G297" i="34"/>
  <c r="G298" i="34"/>
  <c r="G299" i="34"/>
  <c r="G300" i="34"/>
  <c r="G301" i="34"/>
  <c r="G302" i="34"/>
  <c r="G303" i="34"/>
  <c r="G304" i="34"/>
  <c r="G305" i="34"/>
  <c r="G306" i="34"/>
  <c r="G307" i="34"/>
  <c r="G308" i="34"/>
  <c r="G309" i="34"/>
  <c r="G310" i="34"/>
  <c r="G311" i="34"/>
  <c r="G312" i="34"/>
  <c r="G313" i="34"/>
  <c r="G314" i="34"/>
  <c r="G315" i="34"/>
  <c r="G316" i="34"/>
  <c r="G317" i="34"/>
  <c r="G318" i="34"/>
  <c r="G319" i="34"/>
  <c r="G320" i="34"/>
  <c r="G321" i="34"/>
  <c r="G322" i="34"/>
  <c r="G323" i="34"/>
  <c r="G324" i="34"/>
  <c r="G325" i="34"/>
  <c r="G326" i="34"/>
  <c r="G327" i="34"/>
  <c r="G328" i="34"/>
  <c r="G329" i="34"/>
  <c r="G330" i="34"/>
  <c r="G331" i="34"/>
  <c r="G332" i="34"/>
  <c r="G333" i="34"/>
  <c r="G334" i="34"/>
  <c r="G335" i="34"/>
  <c r="G336" i="34"/>
  <c r="G337" i="34"/>
  <c r="G338" i="34"/>
  <c r="G339" i="34"/>
  <c r="G340" i="34"/>
  <c r="G341" i="34"/>
  <c r="G342" i="34"/>
  <c r="G343" i="34"/>
  <c r="G344" i="34"/>
  <c r="G345" i="34"/>
  <c r="G346" i="34"/>
  <c r="G347" i="34"/>
  <c r="G348" i="34"/>
  <c r="G349" i="34"/>
  <c r="G350" i="34"/>
  <c r="G351" i="34"/>
  <c r="G352" i="34"/>
  <c r="G353" i="34"/>
  <c r="G354" i="34"/>
  <c r="G355" i="34"/>
  <c r="G356" i="34"/>
  <c r="G357" i="34"/>
  <c r="G358" i="34"/>
  <c r="G359" i="34"/>
  <c r="G360" i="34"/>
  <c r="G361" i="34"/>
  <c r="G362" i="34"/>
  <c r="G363" i="34"/>
  <c r="G364" i="34"/>
  <c r="G365" i="34"/>
  <c r="G366" i="34"/>
  <c r="G367" i="34"/>
  <c r="G368" i="34"/>
  <c r="G369" i="34"/>
  <c r="G370" i="34"/>
  <c r="G371" i="34"/>
  <c r="G372" i="34"/>
  <c r="G373" i="34"/>
  <c r="G374" i="34"/>
  <c r="G375" i="34"/>
  <c r="G376" i="34"/>
  <c r="G377" i="34"/>
  <c r="G378" i="34"/>
  <c r="G379" i="34"/>
  <c r="G380" i="34"/>
  <c r="G381" i="34"/>
  <c r="G382" i="34"/>
  <c r="G383" i="34"/>
  <c r="G384" i="34"/>
  <c r="G385" i="34"/>
  <c r="G386" i="34"/>
  <c r="G387" i="34"/>
  <c r="G388" i="34"/>
  <c r="G389" i="34"/>
  <c r="G390" i="34"/>
  <c r="G391" i="34"/>
  <c r="G392" i="34"/>
  <c r="G393" i="34"/>
  <c r="G394" i="34"/>
  <c r="G395" i="34"/>
  <c r="G396" i="34"/>
  <c r="G397" i="34"/>
  <c r="G398" i="34"/>
  <c r="G399" i="34"/>
  <c r="G400" i="34"/>
  <c r="G401" i="34"/>
  <c r="G402" i="34"/>
  <c r="G403" i="34"/>
  <c r="G404" i="34"/>
  <c r="G405" i="34"/>
  <c r="G406" i="34"/>
  <c r="G407" i="34"/>
  <c r="G408" i="34"/>
  <c r="G409" i="34"/>
  <c r="G410" i="34"/>
  <c r="G411" i="34"/>
  <c r="G412" i="34"/>
  <c r="G413" i="34"/>
  <c r="G414" i="34"/>
  <c r="G415" i="34"/>
  <c r="G416" i="34"/>
  <c r="G417" i="34"/>
  <c r="G418" i="34"/>
  <c r="G419" i="34"/>
  <c r="G420" i="34"/>
  <c r="G421" i="34"/>
  <c r="G422" i="34"/>
  <c r="G423" i="34"/>
  <c r="G424" i="34"/>
  <c r="G425" i="34"/>
  <c r="G426" i="34"/>
  <c r="G427" i="34"/>
  <c r="G428" i="34"/>
  <c r="G429" i="34"/>
  <c r="G430" i="34"/>
  <c r="G431" i="34"/>
  <c r="G432" i="34"/>
  <c r="G433" i="34"/>
  <c r="G434" i="34"/>
  <c r="G435" i="34"/>
  <c r="G436" i="34"/>
  <c r="G437" i="34"/>
  <c r="G438" i="34"/>
  <c r="G439" i="34"/>
  <c r="G440" i="34"/>
  <c r="G441" i="34"/>
  <c r="G442" i="34"/>
  <c r="G443" i="34"/>
  <c r="G444" i="34"/>
  <c r="G445" i="34"/>
  <c r="G446" i="34"/>
  <c r="G447" i="34"/>
  <c r="G448" i="34"/>
  <c r="G449" i="34"/>
  <c r="G450" i="34"/>
  <c r="G451" i="34"/>
  <c r="G452" i="34"/>
  <c r="G453" i="34"/>
  <c r="G454" i="34"/>
  <c r="G455" i="34"/>
  <c r="G456" i="34"/>
  <c r="G457" i="34"/>
  <c r="G458" i="34"/>
  <c r="G459" i="34"/>
  <c r="G460" i="34"/>
  <c r="G461" i="34"/>
  <c r="G462" i="34"/>
  <c r="G463" i="34"/>
  <c r="G464" i="34"/>
  <c r="G465" i="34"/>
  <c r="G466" i="34"/>
  <c r="G467" i="34"/>
  <c r="G468" i="34"/>
  <c r="G469" i="34"/>
  <c r="G470" i="34"/>
  <c r="G471" i="34"/>
  <c r="G472" i="34"/>
  <c r="G473" i="34"/>
  <c r="G474" i="34"/>
  <c r="G475" i="34"/>
  <c r="G476" i="34"/>
  <c r="G477" i="34"/>
  <c r="G478" i="34"/>
  <c r="G479" i="34"/>
  <c r="G480" i="34"/>
  <c r="G481" i="34"/>
  <c r="G482" i="34"/>
  <c r="G483" i="34"/>
  <c r="G484" i="34"/>
  <c r="G485" i="34"/>
  <c r="G486" i="34"/>
  <c r="G487" i="34"/>
  <c r="G488" i="34"/>
  <c r="G489" i="34"/>
  <c r="G490" i="34"/>
  <c r="G491" i="34"/>
  <c r="G492" i="34"/>
  <c r="G493" i="34"/>
  <c r="G494" i="34"/>
  <c r="G495" i="34"/>
  <c r="G496" i="34"/>
  <c r="G497" i="34"/>
  <c r="G498" i="34"/>
  <c r="G499" i="34"/>
  <c r="G500" i="34"/>
  <c r="G501" i="34"/>
  <c r="G502" i="34"/>
  <c r="G503" i="34"/>
  <c r="G504" i="34"/>
  <c r="G505" i="34"/>
  <c r="G506" i="34"/>
  <c r="G507" i="34"/>
  <c r="G508" i="34"/>
  <c r="G509" i="34"/>
  <c r="G510" i="34"/>
  <c r="G511" i="34"/>
  <c r="G512" i="34"/>
  <c r="G513" i="34"/>
  <c r="G514" i="34"/>
  <c r="G515" i="34"/>
  <c r="G516" i="34"/>
  <c r="G517" i="34"/>
  <c r="G518" i="34"/>
  <c r="G519" i="34"/>
  <c r="G520" i="34"/>
  <c r="G521" i="34"/>
  <c r="G522" i="34"/>
  <c r="G523" i="34"/>
  <c r="G524" i="34"/>
  <c r="G525" i="34"/>
  <c r="G526" i="34"/>
  <c r="G527" i="34"/>
  <c r="G528" i="34"/>
  <c r="G529" i="34"/>
  <c r="G530" i="34"/>
  <c r="G531" i="34"/>
  <c r="G532" i="34"/>
  <c r="G533" i="34"/>
  <c r="G534" i="34"/>
  <c r="G535" i="34"/>
  <c r="G536" i="34"/>
  <c r="G537" i="34"/>
  <c r="G538" i="34"/>
  <c r="G539" i="34"/>
  <c r="G540" i="34"/>
  <c r="G541" i="34"/>
  <c r="G542" i="34"/>
  <c r="G543" i="34"/>
  <c r="G544" i="34"/>
  <c r="G545" i="34"/>
  <c r="G546" i="34"/>
  <c r="G547" i="34"/>
  <c r="G548" i="34"/>
  <c r="G549" i="34"/>
  <c r="G550" i="34"/>
  <c r="G551" i="34"/>
  <c r="G552" i="34"/>
  <c r="G553" i="34"/>
  <c r="G554" i="34"/>
  <c r="G555" i="34"/>
  <c r="G556" i="34"/>
  <c r="G557" i="34"/>
  <c r="G558" i="34"/>
  <c r="G559" i="34"/>
  <c r="G560" i="34"/>
  <c r="G2" i="34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91" i="34"/>
  <c r="F92" i="34"/>
  <c r="F93" i="34"/>
  <c r="F94" i="34"/>
  <c r="F95" i="34"/>
  <c r="F96" i="34"/>
  <c r="F97" i="34"/>
  <c r="F98" i="34"/>
  <c r="F99" i="34"/>
  <c r="F100" i="34"/>
  <c r="F101" i="34"/>
  <c r="F102" i="34"/>
  <c r="F103" i="34"/>
  <c r="F104" i="34"/>
  <c r="F105" i="34"/>
  <c r="F106" i="34"/>
  <c r="F107" i="34"/>
  <c r="F108" i="34"/>
  <c r="F109" i="34"/>
  <c r="F110" i="34"/>
  <c r="F111" i="34"/>
  <c r="F112" i="34"/>
  <c r="F113" i="34"/>
  <c r="F114" i="34"/>
  <c r="F115" i="34"/>
  <c r="F116" i="34"/>
  <c r="F117" i="34"/>
  <c r="F118" i="34"/>
  <c r="F119" i="34"/>
  <c r="F120" i="34"/>
  <c r="F121" i="34"/>
  <c r="F122" i="34"/>
  <c r="F123" i="34"/>
  <c r="F124" i="34"/>
  <c r="F125" i="34"/>
  <c r="F126" i="34"/>
  <c r="F127" i="34"/>
  <c r="F128" i="34"/>
  <c r="F129" i="34"/>
  <c r="F130" i="34"/>
  <c r="F131" i="34"/>
  <c r="F132" i="34"/>
  <c r="F133" i="34"/>
  <c r="F134" i="34"/>
  <c r="F135" i="34"/>
  <c r="F136" i="34"/>
  <c r="F137" i="34"/>
  <c r="F138" i="34"/>
  <c r="F139" i="34"/>
  <c r="F140" i="34"/>
  <c r="F141" i="34"/>
  <c r="F142" i="34"/>
  <c r="F143" i="34"/>
  <c r="F144" i="34"/>
  <c r="F145" i="34"/>
  <c r="F146" i="34"/>
  <c r="F147" i="34"/>
  <c r="F148" i="34"/>
  <c r="F149" i="34"/>
  <c r="F150" i="34"/>
  <c r="F151" i="34"/>
  <c r="F152" i="34"/>
  <c r="F153" i="34"/>
  <c r="F154" i="34"/>
  <c r="F155" i="34"/>
  <c r="F156" i="34"/>
  <c r="F157" i="34"/>
  <c r="F158" i="34"/>
  <c r="F159" i="34"/>
  <c r="F160" i="34"/>
  <c r="F161" i="34"/>
  <c r="F162" i="34"/>
  <c r="F163" i="34"/>
  <c r="F164" i="34"/>
  <c r="F165" i="34"/>
  <c r="F166" i="34"/>
  <c r="F167" i="34"/>
  <c r="F168" i="34"/>
  <c r="F169" i="34"/>
  <c r="F170" i="34"/>
  <c r="F171" i="34"/>
  <c r="F172" i="34"/>
  <c r="F173" i="34"/>
  <c r="F174" i="34"/>
  <c r="F175" i="34"/>
  <c r="F176" i="34"/>
  <c r="F177" i="34"/>
  <c r="F178" i="34"/>
  <c r="F179" i="34"/>
  <c r="F180" i="34"/>
  <c r="F181" i="34"/>
  <c r="F182" i="34"/>
  <c r="F183" i="34"/>
  <c r="F184" i="34"/>
  <c r="F185" i="34"/>
  <c r="F186" i="34"/>
  <c r="F187" i="34"/>
  <c r="F188" i="34"/>
  <c r="F189" i="34"/>
  <c r="F190" i="34"/>
  <c r="F191" i="34"/>
  <c r="F192" i="34"/>
  <c r="F193" i="34"/>
  <c r="F194" i="34"/>
  <c r="F195" i="34"/>
  <c r="F196" i="34"/>
  <c r="F197" i="34"/>
  <c r="F198" i="34"/>
  <c r="F199" i="34"/>
  <c r="F200" i="34"/>
  <c r="F201" i="34"/>
  <c r="F202" i="34"/>
  <c r="F203" i="34"/>
  <c r="F204" i="34"/>
  <c r="F205" i="34"/>
  <c r="F206" i="34"/>
  <c r="F207" i="34"/>
  <c r="F208" i="34"/>
  <c r="F209" i="34"/>
  <c r="F210" i="34"/>
  <c r="F211" i="34"/>
  <c r="F212" i="34"/>
  <c r="F213" i="34"/>
  <c r="F214" i="34"/>
  <c r="F215" i="34"/>
  <c r="F216" i="34"/>
  <c r="F217" i="34"/>
  <c r="F218" i="34"/>
  <c r="F219" i="34"/>
  <c r="F220" i="34"/>
  <c r="F221" i="34"/>
  <c r="F222" i="34"/>
  <c r="F223" i="34"/>
  <c r="F224" i="34"/>
  <c r="F225" i="34"/>
  <c r="F226" i="34"/>
  <c r="F227" i="34"/>
  <c r="F228" i="34"/>
  <c r="F229" i="34"/>
  <c r="F230" i="34"/>
  <c r="F231" i="34"/>
  <c r="F232" i="34"/>
  <c r="F233" i="34"/>
  <c r="F234" i="34"/>
  <c r="F235" i="34"/>
  <c r="F236" i="34"/>
  <c r="F237" i="34"/>
  <c r="F238" i="34"/>
  <c r="F239" i="34"/>
  <c r="F240" i="34"/>
  <c r="F241" i="34"/>
  <c r="F242" i="34"/>
  <c r="F243" i="34"/>
  <c r="F244" i="34"/>
  <c r="F245" i="34"/>
  <c r="F246" i="34"/>
  <c r="F247" i="34"/>
  <c r="F248" i="34"/>
  <c r="F249" i="34"/>
  <c r="F250" i="34"/>
  <c r="F251" i="34"/>
  <c r="F252" i="34"/>
  <c r="F253" i="34"/>
  <c r="F254" i="34"/>
  <c r="F255" i="34"/>
  <c r="F256" i="34"/>
  <c r="F257" i="34"/>
  <c r="F258" i="34"/>
  <c r="F259" i="34"/>
  <c r="F260" i="34"/>
  <c r="F261" i="34"/>
  <c r="F262" i="34"/>
  <c r="F263" i="34"/>
  <c r="F264" i="34"/>
  <c r="F265" i="34"/>
  <c r="F266" i="34"/>
  <c r="F267" i="34"/>
  <c r="F268" i="34"/>
  <c r="F269" i="34"/>
  <c r="F270" i="34"/>
  <c r="F271" i="34"/>
  <c r="F272" i="34"/>
  <c r="F273" i="34"/>
  <c r="F274" i="34"/>
  <c r="F275" i="34"/>
  <c r="F276" i="34"/>
  <c r="F277" i="34"/>
  <c r="F278" i="34"/>
  <c r="F279" i="34"/>
  <c r="F280" i="34"/>
  <c r="F281" i="34"/>
  <c r="F282" i="34"/>
  <c r="F283" i="34"/>
  <c r="F284" i="34"/>
  <c r="F285" i="34"/>
  <c r="F286" i="34"/>
  <c r="F287" i="34"/>
  <c r="F288" i="34"/>
  <c r="F289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F302" i="34"/>
  <c r="F303" i="34"/>
  <c r="F304" i="34"/>
  <c r="F305" i="34"/>
  <c r="F306" i="34"/>
  <c r="F307" i="34"/>
  <c r="F308" i="34"/>
  <c r="F309" i="34"/>
  <c r="F310" i="34"/>
  <c r="F311" i="34"/>
  <c r="F312" i="34"/>
  <c r="F313" i="34"/>
  <c r="F314" i="34"/>
  <c r="F315" i="34"/>
  <c r="F316" i="34"/>
  <c r="F317" i="34"/>
  <c r="F318" i="34"/>
  <c r="F319" i="34"/>
  <c r="F320" i="34"/>
  <c r="F321" i="34"/>
  <c r="F322" i="34"/>
  <c r="F323" i="34"/>
  <c r="F324" i="34"/>
  <c r="F325" i="34"/>
  <c r="F326" i="34"/>
  <c r="F327" i="34"/>
  <c r="F328" i="34"/>
  <c r="F329" i="34"/>
  <c r="F330" i="34"/>
  <c r="F331" i="34"/>
  <c r="F332" i="34"/>
  <c r="F333" i="34"/>
  <c r="F334" i="34"/>
  <c r="F335" i="34"/>
  <c r="F336" i="34"/>
  <c r="F337" i="34"/>
  <c r="F338" i="34"/>
  <c r="F339" i="34"/>
  <c r="F340" i="34"/>
  <c r="F341" i="34"/>
  <c r="F342" i="34"/>
  <c r="F343" i="34"/>
  <c r="F344" i="34"/>
  <c r="F345" i="34"/>
  <c r="F346" i="34"/>
  <c r="F347" i="34"/>
  <c r="F348" i="34"/>
  <c r="F349" i="34"/>
  <c r="F350" i="34"/>
  <c r="F351" i="34"/>
  <c r="F352" i="34"/>
  <c r="F353" i="34"/>
  <c r="F354" i="34"/>
  <c r="F355" i="34"/>
  <c r="F356" i="34"/>
  <c r="F357" i="34"/>
  <c r="F358" i="34"/>
  <c r="F359" i="34"/>
  <c r="F360" i="34"/>
  <c r="F361" i="34"/>
  <c r="F362" i="34"/>
  <c r="F363" i="34"/>
  <c r="F364" i="34"/>
  <c r="F365" i="34"/>
  <c r="F366" i="34"/>
  <c r="F367" i="34"/>
  <c r="F368" i="34"/>
  <c r="F369" i="34"/>
  <c r="F370" i="34"/>
  <c r="F371" i="34"/>
  <c r="F372" i="34"/>
  <c r="F373" i="34"/>
  <c r="F374" i="34"/>
  <c r="F375" i="34"/>
  <c r="F376" i="34"/>
  <c r="F377" i="34"/>
  <c r="F378" i="34"/>
  <c r="F379" i="34"/>
  <c r="F380" i="34"/>
  <c r="F381" i="34"/>
  <c r="F382" i="34"/>
  <c r="F383" i="34"/>
  <c r="F384" i="34"/>
  <c r="F385" i="34"/>
  <c r="F386" i="34"/>
  <c r="F387" i="34"/>
  <c r="F388" i="34"/>
  <c r="F389" i="34"/>
  <c r="F390" i="34"/>
  <c r="F391" i="34"/>
  <c r="F392" i="34"/>
  <c r="F393" i="34"/>
  <c r="F394" i="34"/>
  <c r="F395" i="34"/>
  <c r="F396" i="34"/>
  <c r="F397" i="34"/>
  <c r="F398" i="34"/>
  <c r="F399" i="34"/>
  <c r="F400" i="34"/>
  <c r="F401" i="34"/>
  <c r="F402" i="34"/>
  <c r="F403" i="34"/>
  <c r="F404" i="34"/>
  <c r="F405" i="34"/>
  <c r="F406" i="34"/>
  <c r="F407" i="34"/>
  <c r="F408" i="34"/>
  <c r="F409" i="34"/>
  <c r="F410" i="34"/>
  <c r="F411" i="34"/>
  <c r="F412" i="34"/>
  <c r="F413" i="34"/>
  <c r="F414" i="34"/>
  <c r="F415" i="34"/>
  <c r="F416" i="34"/>
  <c r="F417" i="34"/>
  <c r="F418" i="34"/>
  <c r="F419" i="34"/>
  <c r="F420" i="34"/>
  <c r="F421" i="34"/>
  <c r="F422" i="34"/>
  <c r="F423" i="34"/>
  <c r="F424" i="34"/>
  <c r="F425" i="34"/>
  <c r="F426" i="34"/>
  <c r="F427" i="34"/>
  <c r="F428" i="34"/>
  <c r="F429" i="34"/>
  <c r="F430" i="34"/>
  <c r="F431" i="34"/>
  <c r="F432" i="34"/>
  <c r="F433" i="34"/>
  <c r="F434" i="34"/>
  <c r="F435" i="34"/>
  <c r="F436" i="34"/>
  <c r="F437" i="34"/>
  <c r="F438" i="34"/>
  <c r="F439" i="34"/>
  <c r="F440" i="34"/>
  <c r="F441" i="34"/>
  <c r="F442" i="34"/>
  <c r="F443" i="34"/>
  <c r="F444" i="34"/>
  <c r="F445" i="34"/>
  <c r="F446" i="34"/>
  <c r="F447" i="34"/>
  <c r="F448" i="34"/>
  <c r="F449" i="34"/>
  <c r="F450" i="34"/>
  <c r="F451" i="34"/>
  <c r="F452" i="34"/>
  <c r="F453" i="34"/>
  <c r="F454" i="34"/>
  <c r="F455" i="34"/>
  <c r="F456" i="34"/>
  <c r="F457" i="34"/>
  <c r="F458" i="34"/>
  <c r="F459" i="34"/>
  <c r="F460" i="34"/>
  <c r="F461" i="34"/>
  <c r="F462" i="34"/>
  <c r="F463" i="34"/>
  <c r="F464" i="34"/>
  <c r="F465" i="34"/>
  <c r="F466" i="34"/>
  <c r="F467" i="34"/>
  <c r="F468" i="34"/>
  <c r="F469" i="34"/>
  <c r="F470" i="34"/>
  <c r="F471" i="34"/>
  <c r="F472" i="34"/>
  <c r="F473" i="34"/>
  <c r="F474" i="34"/>
  <c r="F475" i="34"/>
  <c r="F476" i="34"/>
  <c r="F477" i="34"/>
  <c r="F478" i="34"/>
  <c r="F479" i="34"/>
  <c r="F480" i="34"/>
  <c r="F481" i="34"/>
  <c r="F482" i="34"/>
  <c r="F483" i="34"/>
  <c r="F484" i="34"/>
  <c r="F485" i="34"/>
  <c r="F486" i="34"/>
  <c r="F487" i="34"/>
  <c r="F488" i="34"/>
  <c r="F489" i="34"/>
  <c r="F490" i="34"/>
  <c r="F491" i="34"/>
  <c r="F492" i="34"/>
  <c r="F493" i="34"/>
  <c r="F494" i="34"/>
  <c r="F495" i="34"/>
  <c r="F496" i="34"/>
  <c r="F497" i="34"/>
  <c r="F498" i="34"/>
  <c r="F499" i="34"/>
  <c r="F500" i="34"/>
  <c r="F501" i="34"/>
  <c r="F502" i="34"/>
  <c r="F503" i="34"/>
  <c r="F504" i="34"/>
  <c r="F505" i="34"/>
  <c r="F506" i="34"/>
  <c r="F507" i="34"/>
  <c r="F508" i="34"/>
  <c r="F509" i="34"/>
  <c r="F510" i="34"/>
  <c r="F511" i="34"/>
  <c r="F512" i="34"/>
  <c r="F513" i="34"/>
  <c r="F514" i="34"/>
  <c r="F515" i="34"/>
  <c r="F516" i="34"/>
  <c r="F517" i="34"/>
  <c r="F518" i="34"/>
  <c r="F519" i="34"/>
  <c r="F520" i="34"/>
  <c r="F521" i="34"/>
  <c r="F522" i="34"/>
  <c r="F523" i="34"/>
  <c r="F524" i="34"/>
  <c r="F525" i="34"/>
  <c r="F526" i="34"/>
  <c r="F527" i="34"/>
  <c r="F528" i="34"/>
  <c r="F529" i="34"/>
  <c r="F530" i="34"/>
  <c r="F531" i="34"/>
  <c r="F532" i="34"/>
  <c r="F533" i="34"/>
  <c r="F534" i="34"/>
  <c r="F535" i="34"/>
  <c r="F536" i="34"/>
  <c r="F537" i="34"/>
  <c r="F538" i="34"/>
  <c r="F539" i="34"/>
  <c r="F540" i="34"/>
  <c r="F541" i="34"/>
  <c r="F542" i="34"/>
  <c r="F543" i="34"/>
  <c r="F544" i="34"/>
  <c r="F545" i="34"/>
  <c r="F546" i="34"/>
  <c r="F547" i="34"/>
  <c r="F548" i="34"/>
  <c r="F549" i="34"/>
  <c r="F550" i="34"/>
  <c r="F551" i="34"/>
  <c r="F552" i="34"/>
  <c r="F553" i="34"/>
  <c r="F554" i="34"/>
  <c r="F555" i="34"/>
  <c r="F556" i="34"/>
  <c r="F557" i="34"/>
  <c r="F558" i="34"/>
  <c r="F559" i="34"/>
  <c r="F560" i="34"/>
  <c r="F2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62" i="34"/>
  <c r="E63" i="34"/>
  <c r="E64" i="34"/>
  <c r="E65" i="34"/>
  <c r="E66" i="34"/>
  <c r="E67" i="34"/>
  <c r="E68" i="34"/>
  <c r="E69" i="34"/>
  <c r="E70" i="34"/>
  <c r="E71" i="34"/>
  <c r="E72" i="34"/>
  <c r="E73" i="34"/>
  <c r="E74" i="34"/>
  <c r="E75" i="34"/>
  <c r="E76" i="34"/>
  <c r="E77" i="34"/>
  <c r="E78" i="34"/>
  <c r="E79" i="34"/>
  <c r="E80" i="34"/>
  <c r="E81" i="34"/>
  <c r="E82" i="34"/>
  <c r="E83" i="34"/>
  <c r="E84" i="34"/>
  <c r="E85" i="34"/>
  <c r="E86" i="34"/>
  <c r="E87" i="34"/>
  <c r="E88" i="34"/>
  <c r="E89" i="34"/>
  <c r="E90" i="34"/>
  <c r="E91" i="34"/>
  <c r="E92" i="34"/>
  <c r="E93" i="34"/>
  <c r="E94" i="34"/>
  <c r="E95" i="34"/>
  <c r="E96" i="34"/>
  <c r="E97" i="34"/>
  <c r="E98" i="34"/>
  <c r="E99" i="34"/>
  <c r="E100" i="34"/>
  <c r="E101" i="34"/>
  <c r="E102" i="34"/>
  <c r="E103" i="34"/>
  <c r="E104" i="34"/>
  <c r="E105" i="34"/>
  <c r="E106" i="34"/>
  <c r="E107" i="34"/>
  <c r="E108" i="34"/>
  <c r="E109" i="34"/>
  <c r="E110" i="34"/>
  <c r="E111" i="34"/>
  <c r="E112" i="34"/>
  <c r="E113" i="34"/>
  <c r="E114" i="34"/>
  <c r="E115" i="34"/>
  <c r="E116" i="34"/>
  <c r="E117" i="34"/>
  <c r="E118" i="34"/>
  <c r="E119" i="34"/>
  <c r="E120" i="34"/>
  <c r="E121" i="34"/>
  <c r="E122" i="34"/>
  <c r="E123" i="34"/>
  <c r="E124" i="34"/>
  <c r="E125" i="34"/>
  <c r="E126" i="34"/>
  <c r="E127" i="34"/>
  <c r="E128" i="34"/>
  <c r="E129" i="34"/>
  <c r="E130" i="34"/>
  <c r="E131" i="34"/>
  <c r="E132" i="34"/>
  <c r="E133" i="34"/>
  <c r="E134" i="34"/>
  <c r="E135" i="34"/>
  <c r="E136" i="34"/>
  <c r="E137" i="34"/>
  <c r="E138" i="34"/>
  <c r="E139" i="34"/>
  <c r="E140" i="34"/>
  <c r="E141" i="34"/>
  <c r="E142" i="34"/>
  <c r="E143" i="34"/>
  <c r="E144" i="34"/>
  <c r="E145" i="34"/>
  <c r="E146" i="34"/>
  <c r="E147" i="34"/>
  <c r="E148" i="34"/>
  <c r="E149" i="34"/>
  <c r="E150" i="34"/>
  <c r="E151" i="34"/>
  <c r="E152" i="34"/>
  <c r="E153" i="34"/>
  <c r="E154" i="34"/>
  <c r="E155" i="34"/>
  <c r="E156" i="34"/>
  <c r="E157" i="34"/>
  <c r="E158" i="34"/>
  <c r="E159" i="34"/>
  <c r="E160" i="34"/>
  <c r="E161" i="34"/>
  <c r="E162" i="34"/>
  <c r="E163" i="34"/>
  <c r="E164" i="34"/>
  <c r="E165" i="34"/>
  <c r="E166" i="34"/>
  <c r="E167" i="34"/>
  <c r="E168" i="34"/>
  <c r="E169" i="34"/>
  <c r="E170" i="34"/>
  <c r="E171" i="34"/>
  <c r="E172" i="34"/>
  <c r="E173" i="34"/>
  <c r="E174" i="34"/>
  <c r="E175" i="34"/>
  <c r="E176" i="34"/>
  <c r="E177" i="34"/>
  <c r="E178" i="34"/>
  <c r="E179" i="34"/>
  <c r="E180" i="34"/>
  <c r="E181" i="34"/>
  <c r="E182" i="34"/>
  <c r="E183" i="34"/>
  <c r="E184" i="34"/>
  <c r="E185" i="34"/>
  <c r="E186" i="34"/>
  <c r="E187" i="34"/>
  <c r="E188" i="34"/>
  <c r="E189" i="34"/>
  <c r="E190" i="34"/>
  <c r="E191" i="34"/>
  <c r="E192" i="34"/>
  <c r="E193" i="34"/>
  <c r="E194" i="34"/>
  <c r="E195" i="34"/>
  <c r="E196" i="34"/>
  <c r="E197" i="34"/>
  <c r="E198" i="34"/>
  <c r="E199" i="34"/>
  <c r="E200" i="34"/>
  <c r="E201" i="34"/>
  <c r="E202" i="34"/>
  <c r="E203" i="34"/>
  <c r="E204" i="34"/>
  <c r="E205" i="34"/>
  <c r="E206" i="34"/>
  <c r="E207" i="34"/>
  <c r="E208" i="34"/>
  <c r="E209" i="34"/>
  <c r="E210" i="34"/>
  <c r="E211" i="34"/>
  <c r="E212" i="34"/>
  <c r="E213" i="34"/>
  <c r="E214" i="34"/>
  <c r="E215" i="34"/>
  <c r="E216" i="34"/>
  <c r="E217" i="34"/>
  <c r="E218" i="34"/>
  <c r="E219" i="34"/>
  <c r="E220" i="34"/>
  <c r="E221" i="34"/>
  <c r="E222" i="34"/>
  <c r="E223" i="34"/>
  <c r="E224" i="34"/>
  <c r="E225" i="34"/>
  <c r="E226" i="34"/>
  <c r="E227" i="34"/>
  <c r="E228" i="34"/>
  <c r="E229" i="34"/>
  <c r="E230" i="34"/>
  <c r="E231" i="34"/>
  <c r="E232" i="34"/>
  <c r="E233" i="34"/>
  <c r="E234" i="34"/>
  <c r="E235" i="34"/>
  <c r="E236" i="34"/>
  <c r="E237" i="34"/>
  <c r="E238" i="34"/>
  <c r="E239" i="34"/>
  <c r="E240" i="34"/>
  <c r="E241" i="34"/>
  <c r="E242" i="34"/>
  <c r="E243" i="34"/>
  <c r="E244" i="34"/>
  <c r="E245" i="34"/>
  <c r="E246" i="34"/>
  <c r="E247" i="34"/>
  <c r="E248" i="34"/>
  <c r="E249" i="34"/>
  <c r="E250" i="34"/>
  <c r="E251" i="34"/>
  <c r="E252" i="34"/>
  <c r="E253" i="34"/>
  <c r="E254" i="34"/>
  <c r="E255" i="34"/>
  <c r="E256" i="34"/>
  <c r="E257" i="34"/>
  <c r="E258" i="34"/>
  <c r="E259" i="34"/>
  <c r="E260" i="34"/>
  <c r="E261" i="34"/>
  <c r="E262" i="34"/>
  <c r="E263" i="34"/>
  <c r="E264" i="34"/>
  <c r="E265" i="34"/>
  <c r="E266" i="34"/>
  <c r="E267" i="34"/>
  <c r="E268" i="34"/>
  <c r="E269" i="34"/>
  <c r="E270" i="34"/>
  <c r="E271" i="34"/>
  <c r="E272" i="34"/>
  <c r="E273" i="34"/>
  <c r="E274" i="34"/>
  <c r="E275" i="34"/>
  <c r="E276" i="34"/>
  <c r="E277" i="34"/>
  <c r="E278" i="34"/>
  <c r="E279" i="34"/>
  <c r="E280" i="34"/>
  <c r="E281" i="34"/>
  <c r="E282" i="34"/>
  <c r="E283" i="34"/>
  <c r="E284" i="34"/>
  <c r="E285" i="34"/>
  <c r="E286" i="34"/>
  <c r="E287" i="34"/>
  <c r="E288" i="34"/>
  <c r="E289" i="34"/>
  <c r="E290" i="34"/>
  <c r="E291" i="34"/>
  <c r="E292" i="34"/>
  <c r="E293" i="34"/>
  <c r="E294" i="34"/>
  <c r="E295" i="34"/>
  <c r="E296" i="34"/>
  <c r="E297" i="34"/>
  <c r="E298" i="34"/>
  <c r="E299" i="34"/>
  <c r="E300" i="34"/>
  <c r="E301" i="34"/>
  <c r="E302" i="34"/>
  <c r="E303" i="34"/>
  <c r="E304" i="34"/>
  <c r="E305" i="34"/>
  <c r="E306" i="34"/>
  <c r="E307" i="34"/>
  <c r="E308" i="34"/>
  <c r="E309" i="34"/>
  <c r="E310" i="34"/>
  <c r="E311" i="34"/>
  <c r="E312" i="34"/>
  <c r="E313" i="34"/>
  <c r="E314" i="34"/>
  <c r="E315" i="34"/>
  <c r="E316" i="34"/>
  <c r="E317" i="34"/>
  <c r="E318" i="34"/>
  <c r="E319" i="34"/>
  <c r="E320" i="34"/>
  <c r="E321" i="34"/>
  <c r="E322" i="34"/>
  <c r="E323" i="34"/>
  <c r="E324" i="34"/>
  <c r="E325" i="34"/>
  <c r="E326" i="34"/>
  <c r="E327" i="34"/>
  <c r="E328" i="34"/>
  <c r="E329" i="34"/>
  <c r="E330" i="34"/>
  <c r="E331" i="34"/>
  <c r="E332" i="34"/>
  <c r="E333" i="34"/>
  <c r="E334" i="34"/>
  <c r="E335" i="34"/>
  <c r="E336" i="34"/>
  <c r="E337" i="34"/>
  <c r="E338" i="34"/>
  <c r="E339" i="34"/>
  <c r="E340" i="34"/>
  <c r="E341" i="34"/>
  <c r="E342" i="34"/>
  <c r="E343" i="34"/>
  <c r="E344" i="34"/>
  <c r="E345" i="34"/>
  <c r="E346" i="34"/>
  <c r="E347" i="34"/>
  <c r="E348" i="34"/>
  <c r="E349" i="34"/>
  <c r="E350" i="34"/>
  <c r="E351" i="34"/>
  <c r="E352" i="34"/>
  <c r="E353" i="34"/>
  <c r="E354" i="34"/>
  <c r="E355" i="34"/>
  <c r="E356" i="34"/>
  <c r="E357" i="34"/>
  <c r="E358" i="34"/>
  <c r="E359" i="34"/>
  <c r="E360" i="34"/>
  <c r="E361" i="34"/>
  <c r="E362" i="34"/>
  <c r="E363" i="34"/>
  <c r="E364" i="34"/>
  <c r="E365" i="34"/>
  <c r="E366" i="34"/>
  <c r="E367" i="34"/>
  <c r="E368" i="34"/>
  <c r="E369" i="34"/>
  <c r="E370" i="34"/>
  <c r="E371" i="34"/>
  <c r="E372" i="34"/>
  <c r="E373" i="34"/>
  <c r="E374" i="34"/>
  <c r="E375" i="34"/>
  <c r="E376" i="34"/>
  <c r="E377" i="34"/>
  <c r="E378" i="34"/>
  <c r="E379" i="34"/>
  <c r="E380" i="34"/>
  <c r="E381" i="34"/>
  <c r="E382" i="34"/>
  <c r="E383" i="34"/>
  <c r="E384" i="34"/>
  <c r="E385" i="34"/>
  <c r="E386" i="34"/>
  <c r="E387" i="34"/>
  <c r="E388" i="34"/>
  <c r="E389" i="34"/>
  <c r="E390" i="34"/>
  <c r="E391" i="34"/>
  <c r="E392" i="34"/>
  <c r="E393" i="34"/>
  <c r="E394" i="34"/>
  <c r="E395" i="34"/>
  <c r="E396" i="34"/>
  <c r="E397" i="34"/>
  <c r="E398" i="34"/>
  <c r="E399" i="34"/>
  <c r="E400" i="34"/>
  <c r="E401" i="34"/>
  <c r="E402" i="34"/>
  <c r="E403" i="34"/>
  <c r="E404" i="34"/>
  <c r="E405" i="34"/>
  <c r="E406" i="34"/>
  <c r="E407" i="34"/>
  <c r="E408" i="34"/>
  <c r="E409" i="34"/>
  <c r="E410" i="34"/>
  <c r="E411" i="34"/>
  <c r="E412" i="34"/>
  <c r="E413" i="34"/>
  <c r="E414" i="34"/>
  <c r="E415" i="34"/>
  <c r="E416" i="34"/>
  <c r="E417" i="34"/>
  <c r="E418" i="34"/>
  <c r="E419" i="34"/>
  <c r="E420" i="34"/>
  <c r="E421" i="34"/>
  <c r="E422" i="34"/>
  <c r="E423" i="34"/>
  <c r="E424" i="34"/>
  <c r="E425" i="34"/>
  <c r="E426" i="34"/>
  <c r="E427" i="34"/>
  <c r="E428" i="34"/>
  <c r="E429" i="34"/>
  <c r="E430" i="34"/>
  <c r="E431" i="34"/>
  <c r="E432" i="34"/>
  <c r="E433" i="34"/>
  <c r="E434" i="34"/>
  <c r="E435" i="34"/>
  <c r="E436" i="34"/>
  <c r="E437" i="34"/>
  <c r="E438" i="34"/>
  <c r="E439" i="34"/>
  <c r="E440" i="34"/>
  <c r="E441" i="34"/>
  <c r="E442" i="34"/>
  <c r="E443" i="34"/>
  <c r="E444" i="34"/>
  <c r="E445" i="34"/>
  <c r="E446" i="34"/>
  <c r="E447" i="34"/>
  <c r="E448" i="34"/>
  <c r="E449" i="34"/>
  <c r="E450" i="34"/>
  <c r="E451" i="34"/>
  <c r="E452" i="34"/>
  <c r="E453" i="34"/>
  <c r="E454" i="34"/>
  <c r="E455" i="34"/>
  <c r="E456" i="34"/>
  <c r="E457" i="34"/>
  <c r="E458" i="34"/>
  <c r="E459" i="34"/>
  <c r="E460" i="34"/>
  <c r="E461" i="34"/>
  <c r="E462" i="34"/>
  <c r="E463" i="34"/>
  <c r="E464" i="34"/>
  <c r="E465" i="34"/>
  <c r="E466" i="34"/>
  <c r="E467" i="34"/>
  <c r="E468" i="34"/>
  <c r="E469" i="34"/>
  <c r="E470" i="34"/>
  <c r="E471" i="34"/>
  <c r="E472" i="34"/>
  <c r="E473" i="34"/>
  <c r="E474" i="34"/>
  <c r="E475" i="34"/>
  <c r="E476" i="34"/>
  <c r="E477" i="34"/>
  <c r="E478" i="34"/>
  <c r="E479" i="34"/>
  <c r="E480" i="34"/>
  <c r="E481" i="34"/>
  <c r="E482" i="34"/>
  <c r="E483" i="34"/>
  <c r="E484" i="34"/>
  <c r="E485" i="34"/>
  <c r="E486" i="34"/>
  <c r="E487" i="34"/>
  <c r="E488" i="34"/>
  <c r="E489" i="34"/>
  <c r="E490" i="34"/>
  <c r="E491" i="34"/>
  <c r="E492" i="34"/>
  <c r="E493" i="34"/>
  <c r="E494" i="34"/>
  <c r="E495" i="34"/>
  <c r="E496" i="34"/>
  <c r="E497" i="34"/>
  <c r="E498" i="34"/>
  <c r="E499" i="34"/>
  <c r="E500" i="34"/>
  <c r="E501" i="34"/>
  <c r="E502" i="34"/>
  <c r="E503" i="34"/>
  <c r="E504" i="34"/>
  <c r="E505" i="34"/>
  <c r="E506" i="34"/>
  <c r="E507" i="34"/>
  <c r="E508" i="34"/>
  <c r="E509" i="34"/>
  <c r="E510" i="34"/>
  <c r="E511" i="34"/>
  <c r="E512" i="34"/>
  <c r="E513" i="34"/>
  <c r="E514" i="34"/>
  <c r="E515" i="34"/>
  <c r="E516" i="34"/>
  <c r="E517" i="34"/>
  <c r="E518" i="34"/>
  <c r="E519" i="34"/>
  <c r="E520" i="34"/>
  <c r="E521" i="34"/>
  <c r="E522" i="34"/>
  <c r="E523" i="34"/>
  <c r="E524" i="34"/>
  <c r="E525" i="34"/>
  <c r="E526" i="34"/>
  <c r="E527" i="34"/>
  <c r="E528" i="34"/>
  <c r="E529" i="34"/>
  <c r="E530" i="34"/>
  <c r="E531" i="34"/>
  <c r="E532" i="34"/>
  <c r="E533" i="34"/>
  <c r="E534" i="34"/>
  <c r="E535" i="34"/>
  <c r="E536" i="34"/>
  <c r="E537" i="34"/>
  <c r="E538" i="34"/>
  <c r="E539" i="34"/>
  <c r="E540" i="34"/>
  <c r="E541" i="34"/>
  <c r="E542" i="34"/>
  <c r="E543" i="34"/>
  <c r="E544" i="34"/>
  <c r="E545" i="34"/>
  <c r="E546" i="34"/>
  <c r="E547" i="34"/>
  <c r="E548" i="34"/>
  <c r="E549" i="34"/>
  <c r="E550" i="34"/>
  <c r="E551" i="34"/>
  <c r="E552" i="34"/>
  <c r="E553" i="34"/>
  <c r="E554" i="34"/>
  <c r="E555" i="34"/>
  <c r="E556" i="34"/>
  <c r="E557" i="34"/>
  <c r="E558" i="34"/>
  <c r="E559" i="34"/>
  <c r="E560" i="34"/>
  <c r="E2" i="34"/>
  <c r="J43" i="33"/>
  <c r="BW461" i="12"/>
  <c r="BW462" i="12"/>
  <c r="BW463" i="12"/>
  <c r="BW464" i="12"/>
  <c r="BW465" i="12"/>
  <c r="BW466" i="12"/>
  <c r="BW467" i="12"/>
  <c r="BW468" i="12"/>
  <c r="BW469" i="12"/>
  <c r="BW470" i="12"/>
  <c r="BW471" i="12"/>
  <c r="BW472" i="12"/>
  <c r="BW473" i="12"/>
  <c r="BW474" i="12"/>
  <c r="BW475" i="12"/>
  <c r="BW476" i="12"/>
  <c r="BW477" i="12"/>
  <c r="BW478" i="12"/>
  <c r="BW479" i="12"/>
  <c r="BW480" i="12"/>
  <c r="BW481" i="12"/>
  <c r="BW482" i="12"/>
  <c r="BW483" i="12"/>
  <c r="BW484" i="12"/>
  <c r="BW485" i="12"/>
  <c r="BW486" i="12"/>
  <c r="BW487" i="12"/>
  <c r="BW488" i="12"/>
  <c r="BW489" i="12"/>
  <c r="BW490" i="12"/>
  <c r="BW491" i="12"/>
  <c r="BW492" i="12"/>
  <c r="BW493" i="12"/>
  <c r="BW494" i="12"/>
  <c r="BW495" i="12"/>
  <c r="BW496" i="12"/>
  <c r="BW497" i="12"/>
  <c r="BW498" i="12"/>
  <c r="BW499" i="12"/>
  <c r="BW500" i="12"/>
  <c r="BW501" i="12"/>
  <c r="BW502" i="12"/>
  <c r="BW503" i="12"/>
  <c r="BW504" i="12"/>
  <c r="BW505" i="12"/>
  <c r="BW506" i="12"/>
  <c r="BW507" i="12"/>
  <c r="BW508" i="12"/>
  <c r="BW509" i="12"/>
  <c r="BW510" i="12"/>
  <c r="BW511" i="12"/>
  <c r="BW512" i="12"/>
  <c r="BW513" i="12"/>
  <c r="BW514" i="12"/>
  <c r="BW515" i="12"/>
  <c r="BW516" i="12"/>
  <c r="BW517" i="12"/>
  <c r="BW518" i="12"/>
  <c r="BW519" i="12"/>
  <c r="BW520" i="12"/>
  <c r="BW521" i="12"/>
  <c r="BW522" i="12"/>
  <c r="BW523" i="12"/>
  <c r="BW524" i="12"/>
  <c r="BW525" i="12"/>
  <c r="BW526" i="12"/>
  <c r="BW527" i="12"/>
  <c r="BW528" i="12"/>
  <c r="BW529" i="12"/>
  <c r="BW530" i="12"/>
  <c r="BW531" i="12"/>
  <c r="BW532" i="12"/>
  <c r="BW533" i="12"/>
  <c r="BW534" i="12"/>
  <c r="BW535" i="12"/>
  <c r="BW536" i="12"/>
  <c r="BW537" i="12"/>
  <c r="BW538" i="12"/>
  <c r="BW539" i="12"/>
  <c r="BW540" i="12"/>
  <c r="BW541" i="12"/>
  <c r="BW542" i="12"/>
  <c r="BW543" i="12"/>
  <c r="BW544" i="12"/>
  <c r="BW545" i="12"/>
  <c r="BW546" i="12"/>
  <c r="BW547" i="12"/>
  <c r="BW548" i="12"/>
  <c r="BW549" i="12"/>
  <c r="BW550" i="12"/>
  <c r="BW551" i="12"/>
  <c r="BW552" i="12"/>
  <c r="BW553" i="12"/>
  <c r="BW554" i="12"/>
  <c r="BW555" i="12"/>
  <c r="BW556" i="12"/>
  <c r="BW557" i="12"/>
  <c r="BW558" i="12"/>
  <c r="BW559" i="12"/>
  <c r="BW560" i="12"/>
  <c r="AD12" i="13"/>
  <c r="AN3" i="30"/>
  <c r="AN4" i="30"/>
  <c r="AN5" i="30"/>
  <c r="AN6" i="30"/>
  <c r="AN7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2" i="30"/>
  <c r="AF32" i="30"/>
  <c r="AG31" i="30"/>
  <c r="AG30" i="30"/>
  <c r="AG29" i="30"/>
  <c r="AG28" i="30"/>
  <c r="AG27" i="30"/>
  <c r="AG26" i="30"/>
  <c r="AG25" i="30"/>
  <c r="AG24" i="30"/>
  <c r="AG23" i="30"/>
  <c r="AG22" i="30"/>
  <c r="AG21" i="30"/>
  <c r="AG20" i="30"/>
  <c r="AG19" i="30"/>
  <c r="AG18" i="30"/>
  <c r="AG17" i="30"/>
  <c r="AG16" i="30"/>
  <c r="AG15" i="30"/>
  <c r="AG14" i="30"/>
  <c r="AG13" i="30"/>
  <c r="AG12" i="30"/>
  <c r="AG11" i="30"/>
  <c r="AG10" i="30"/>
  <c r="AJ9" i="30"/>
  <c r="AK9" i="30" s="1"/>
  <c r="AG9" i="30"/>
  <c r="AJ8" i="30"/>
  <c r="AK8" i="30" s="1"/>
  <c r="AG8" i="30"/>
  <c r="AJ7" i="30"/>
  <c r="AK7" i="30" s="1"/>
  <c r="AG7" i="30"/>
  <c r="AJ6" i="30"/>
  <c r="AK6" i="30" s="1"/>
  <c r="AG6" i="30"/>
  <c r="AJ5" i="30"/>
  <c r="AK5" i="30" s="1"/>
  <c r="AG5" i="30"/>
  <c r="AJ4" i="30"/>
  <c r="AK4" i="30" s="1"/>
  <c r="AG4" i="30"/>
  <c r="AJ3" i="30"/>
  <c r="AJ10" i="30" s="1"/>
  <c r="AK10" i="30" s="1"/>
  <c r="AG3" i="30"/>
  <c r="AD11" i="13"/>
  <c r="AA3" i="30"/>
  <c r="AA4" i="30"/>
  <c r="AA5" i="30"/>
  <c r="AA6" i="30"/>
  <c r="AA7" i="30"/>
  <c r="AA8" i="30"/>
  <c r="AA9" i="30"/>
  <c r="AA10" i="30"/>
  <c r="AA11" i="30"/>
  <c r="AA12" i="30"/>
  <c r="AA13" i="30"/>
  <c r="AA14" i="30"/>
  <c r="AA15" i="30"/>
  <c r="AA16" i="30"/>
  <c r="AA17" i="30"/>
  <c r="AA18" i="30"/>
  <c r="AA19" i="30"/>
  <c r="AA20" i="30"/>
  <c r="AA21" i="30"/>
  <c r="AA22" i="30"/>
  <c r="AA23" i="30"/>
  <c r="AA24" i="30"/>
  <c r="AA25" i="30"/>
  <c r="AA26" i="30"/>
  <c r="AA27" i="30"/>
  <c r="AA28" i="30"/>
  <c r="AA29" i="30"/>
  <c r="AA30" i="30"/>
  <c r="AA2" i="30"/>
  <c r="W4" i="30"/>
  <c r="W5" i="30"/>
  <c r="W6" i="30"/>
  <c r="W7" i="30"/>
  <c r="W8" i="30"/>
  <c r="W9" i="30"/>
  <c r="W3" i="30"/>
  <c r="S32" i="30"/>
  <c r="N3" i="30"/>
  <c r="N4" i="30"/>
  <c r="N5" i="30"/>
  <c r="N6" i="30"/>
  <c r="N7" i="30"/>
  <c r="N8" i="30"/>
  <c r="N9" i="30"/>
  <c r="N10" i="30"/>
  <c r="N11" i="30"/>
  <c r="N12" i="30"/>
  <c r="N13" i="30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29" i="30"/>
  <c r="N30" i="30"/>
  <c r="N2" i="30"/>
  <c r="K4" i="30"/>
  <c r="K5" i="30"/>
  <c r="K6" i="30"/>
  <c r="K7" i="30"/>
  <c r="K8" i="30"/>
  <c r="K9" i="30"/>
  <c r="K10" i="30"/>
  <c r="K3" i="30"/>
  <c r="F32" i="30"/>
  <c r="G4" i="30" s="1"/>
  <c r="J4" i="30"/>
  <c r="J5" i="30"/>
  <c r="J6" i="30"/>
  <c r="J7" i="30"/>
  <c r="J8" i="30"/>
  <c r="J9" i="30"/>
  <c r="AD10" i="13"/>
  <c r="J3" i="30"/>
  <c r="AD9" i="13"/>
  <c r="AD8" i="13"/>
  <c r="K10" i="27"/>
  <c r="L10" i="27" s="1"/>
  <c r="K9" i="27"/>
  <c r="L9" i="27" s="1"/>
  <c r="K8" i="27"/>
  <c r="L8" i="27" s="1"/>
  <c r="K7" i="27"/>
  <c r="L7" i="27" s="1"/>
  <c r="K6" i="27"/>
  <c r="L6" i="27" s="1"/>
  <c r="K5" i="27"/>
  <c r="L5" i="27" s="1"/>
  <c r="K4" i="27"/>
  <c r="L4" i="27" s="1"/>
  <c r="AD7" i="13"/>
  <c r="AD6" i="13"/>
  <c r="AD5" i="13"/>
  <c r="AD4" i="13"/>
  <c r="AD2" i="13"/>
  <c r="X2" i="24"/>
  <c r="AB2" i="24" s="1"/>
  <c r="Y2" i="24"/>
  <c r="Z2" i="24"/>
  <c r="AA2" i="24"/>
  <c r="X3" i="24"/>
  <c r="Y3" i="24"/>
  <c r="AB3" i="24" s="1"/>
  <c r="Z3" i="24"/>
  <c r="AA3" i="24"/>
  <c r="X4" i="24"/>
  <c r="Y4" i="24"/>
  <c r="Z4" i="24"/>
  <c r="AA4" i="24"/>
  <c r="AB4" i="24"/>
  <c r="X5" i="24"/>
  <c r="Y5" i="24"/>
  <c r="Z5" i="24"/>
  <c r="AA5" i="24"/>
  <c r="AB5" i="24"/>
  <c r="X6" i="24"/>
  <c r="Y6" i="24"/>
  <c r="Z6" i="24"/>
  <c r="AB6" i="24" s="1"/>
  <c r="AA6" i="24"/>
  <c r="X7" i="24"/>
  <c r="AB7" i="24" s="1"/>
  <c r="Y7" i="24"/>
  <c r="Z7" i="24"/>
  <c r="AA7" i="24"/>
  <c r="X8" i="24"/>
  <c r="AB8" i="24" s="1"/>
  <c r="Y8" i="24"/>
  <c r="Z8" i="24"/>
  <c r="AA8" i="24"/>
  <c r="X9" i="24"/>
  <c r="AB9" i="24" s="1"/>
  <c r="Y9" i="24"/>
  <c r="Z9" i="24"/>
  <c r="AA9" i="24"/>
  <c r="X10" i="24"/>
  <c r="AB10" i="24" s="1"/>
  <c r="Y10" i="24"/>
  <c r="Z10" i="24"/>
  <c r="AA10" i="24"/>
  <c r="X11" i="24"/>
  <c r="Y11" i="24"/>
  <c r="AB11" i="24" s="1"/>
  <c r="Z11" i="24"/>
  <c r="AA11" i="24"/>
  <c r="X12" i="24"/>
  <c r="Y12" i="24"/>
  <c r="Z12" i="24"/>
  <c r="AA12" i="24"/>
  <c r="AB12" i="24"/>
  <c r="X13" i="24"/>
  <c r="Y13" i="24"/>
  <c r="Z13" i="24"/>
  <c r="AA13" i="24"/>
  <c r="AB13" i="24"/>
  <c r="X14" i="24"/>
  <c r="Y14" i="24"/>
  <c r="Z14" i="24"/>
  <c r="AB14" i="24" s="1"/>
  <c r="AA14" i="24"/>
  <c r="X15" i="24"/>
  <c r="AB15" i="24" s="1"/>
  <c r="Y15" i="24"/>
  <c r="Z15" i="24"/>
  <c r="AA15" i="24"/>
  <c r="X16" i="24"/>
  <c r="AB16" i="24" s="1"/>
  <c r="Y16" i="24"/>
  <c r="Z16" i="24"/>
  <c r="AA16" i="24"/>
  <c r="X17" i="24"/>
  <c r="AB17" i="24" s="1"/>
  <c r="Y17" i="24"/>
  <c r="Z17" i="24"/>
  <c r="AA17" i="24"/>
  <c r="X18" i="24"/>
  <c r="AB18" i="24" s="1"/>
  <c r="Y18" i="24"/>
  <c r="Z18" i="24"/>
  <c r="AA18" i="24"/>
  <c r="X19" i="24"/>
  <c r="Y19" i="24"/>
  <c r="AB19" i="24" s="1"/>
  <c r="Z19" i="24"/>
  <c r="AA19" i="24"/>
  <c r="X20" i="24"/>
  <c r="Y20" i="24"/>
  <c r="Z20" i="24"/>
  <c r="AA20" i="24"/>
  <c r="AB20" i="24"/>
  <c r="X21" i="24"/>
  <c r="Y21" i="24"/>
  <c r="Z21" i="24"/>
  <c r="AA21" i="24"/>
  <c r="AB21" i="24"/>
  <c r="X22" i="24"/>
  <c r="Y22" i="24"/>
  <c r="Z22" i="24"/>
  <c r="AB22" i="24" s="1"/>
  <c r="AA22" i="24"/>
  <c r="X23" i="24"/>
  <c r="AB23" i="24" s="1"/>
  <c r="Y23" i="24"/>
  <c r="Z23" i="24"/>
  <c r="AA23" i="24"/>
  <c r="X24" i="24"/>
  <c r="AB24" i="24" s="1"/>
  <c r="Y24" i="24"/>
  <c r="Z24" i="24"/>
  <c r="AA24" i="24"/>
  <c r="X25" i="24"/>
  <c r="AB25" i="24" s="1"/>
  <c r="Y25" i="24"/>
  <c r="Z25" i="24"/>
  <c r="AA25" i="24"/>
  <c r="X26" i="24"/>
  <c r="AB26" i="24" s="1"/>
  <c r="Y26" i="24"/>
  <c r="Z26" i="24"/>
  <c r="AA26" i="24"/>
  <c r="X27" i="24"/>
  <c r="Y27" i="24"/>
  <c r="AB27" i="24" s="1"/>
  <c r="Z27" i="24"/>
  <c r="AA27" i="24"/>
  <c r="X28" i="24"/>
  <c r="Y28" i="24"/>
  <c r="Z28" i="24"/>
  <c r="AA28" i="24"/>
  <c r="AB28" i="24"/>
  <c r="X29" i="24"/>
  <c r="Y29" i="24"/>
  <c r="Z29" i="24"/>
  <c r="AA29" i="24"/>
  <c r="AB29" i="24"/>
  <c r="X30" i="24"/>
  <c r="Y30" i="24"/>
  <c r="Z30" i="24"/>
  <c r="AB30" i="24" s="1"/>
  <c r="AA30" i="24"/>
  <c r="X31" i="24"/>
  <c r="AB31" i="24" s="1"/>
  <c r="Y31" i="24"/>
  <c r="Z31" i="24"/>
  <c r="AA31" i="24"/>
  <c r="X32" i="24"/>
  <c r="AB32" i="24" s="1"/>
  <c r="Y32" i="24"/>
  <c r="Z32" i="24"/>
  <c r="AA32" i="24"/>
  <c r="X33" i="24"/>
  <c r="AB33" i="24" s="1"/>
  <c r="Y33" i="24"/>
  <c r="Z33" i="24"/>
  <c r="AA33" i="24"/>
  <c r="X34" i="24"/>
  <c r="AB34" i="24" s="1"/>
  <c r="Y34" i="24"/>
  <c r="Z34" i="24"/>
  <c r="AA34" i="24"/>
  <c r="X35" i="24"/>
  <c r="Y35" i="24"/>
  <c r="AB35" i="24" s="1"/>
  <c r="Z35" i="24"/>
  <c r="AA35" i="24"/>
  <c r="X36" i="24"/>
  <c r="Y36" i="24"/>
  <c r="Z36" i="24"/>
  <c r="AA36" i="24"/>
  <c r="AB36" i="24"/>
  <c r="X37" i="24"/>
  <c r="Y37" i="24"/>
  <c r="Z37" i="24"/>
  <c r="AA37" i="24"/>
  <c r="AB37" i="24"/>
  <c r="X38" i="24"/>
  <c r="Y38" i="24"/>
  <c r="Z38" i="24"/>
  <c r="AB38" i="24" s="1"/>
  <c r="AA38" i="24"/>
  <c r="X39" i="24"/>
  <c r="AB39" i="24" s="1"/>
  <c r="Y39" i="24"/>
  <c r="Z39" i="24"/>
  <c r="AA39" i="24"/>
  <c r="X40" i="24"/>
  <c r="AB40" i="24" s="1"/>
  <c r="Y40" i="24"/>
  <c r="Z40" i="24"/>
  <c r="AA40" i="24"/>
  <c r="X41" i="24"/>
  <c r="AB41" i="24" s="1"/>
  <c r="Y41" i="24"/>
  <c r="Z41" i="24"/>
  <c r="AA41" i="24"/>
  <c r="X42" i="24"/>
  <c r="AB42" i="24" s="1"/>
  <c r="Y42" i="24"/>
  <c r="Z42" i="24"/>
  <c r="AA42" i="24"/>
  <c r="X43" i="24"/>
  <c r="Y43" i="24"/>
  <c r="AB43" i="24" s="1"/>
  <c r="Z43" i="24"/>
  <c r="AA43" i="24"/>
  <c r="X44" i="24"/>
  <c r="Y44" i="24"/>
  <c r="Z44" i="24"/>
  <c r="AA44" i="24"/>
  <c r="AB44" i="24"/>
  <c r="X45" i="24"/>
  <c r="Y45" i="24"/>
  <c r="Z45" i="24"/>
  <c r="AA45" i="24"/>
  <c r="AB45" i="24"/>
  <c r="X46" i="24"/>
  <c r="Y46" i="24"/>
  <c r="Z46" i="24"/>
  <c r="AB46" i="24" s="1"/>
  <c r="AA46" i="24"/>
  <c r="X47" i="24"/>
  <c r="AB47" i="24" s="1"/>
  <c r="Y47" i="24"/>
  <c r="Z47" i="24"/>
  <c r="AA47" i="24"/>
  <c r="X48" i="24"/>
  <c r="AB48" i="24" s="1"/>
  <c r="Y48" i="24"/>
  <c r="Z48" i="24"/>
  <c r="AA48" i="24"/>
  <c r="X49" i="24"/>
  <c r="AB49" i="24" s="1"/>
  <c r="Y49" i="24"/>
  <c r="Z49" i="24"/>
  <c r="AA49" i="24"/>
  <c r="X50" i="24"/>
  <c r="AB50" i="24" s="1"/>
  <c r="Y50" i="24"/>
  <c r="Z50" i="24"/>
  <c r="AA50" i="24"/>
  <c r="X51" i="24"/>
  <c r="Y51" i="24"/>
  <c r="AB51" i="24" s="1"/>
  <c r="Z51" i="24"/>
  <c r="AA51" i="24"/>
  <c r="X52" i="24"/>
  <c r="Y52" i="24"/>
  <c r="Z52" i="24"/>
  <c r="AA52" i="24"/>
  <c r="AB52" i="24"/>
  <c r="X53" i="24"/>
  <c r="Y53" i="24"/>
  <c r="Z53" i="24"/>
  <c r="AA53" i="24"/>
  <c r="AB53" i="24"/>
  <c r="X54" i="24"/>
  <c r="Y54" i="24"/>
  <c r="Z54" i="24"/>
  <c r="AB54" i="24" s="1"/>
  <c r="AA54" i="24"/>
  <c r="X55" i="24"/>
  <c r="AB55" i="24" s="1"/>
  <c r="Y55" i="24"/>
  <c r="Z55" i="24"/>
  <c r="AA55" i="24"/>
  <c r="X56" i="24"/>
  <c r="AB56" i="24" s="1"/>
  <c r="Y56" i="24"/>
  <c r="Z56" i="24"/>
  <c r="AA56" i="24"/>
  <c r="X57" i="24"/>
  <c r="AB57" i="24" s="1"/>
  <c r="Y57" i="24"/>
  <c r="Z57" i="24"/>
  <c r="AA57" i="24"/>
  <c r="X58" i="24"/>
  <c r="AB58" i="24" s="1"/>
  <c r="Y58" i="24"/>
  <c r="Z58" i="24"/>
  <c r="AA58" i="24"/>
  <c r="X59" i="24"/>
  <c r="Y59" i="24"/>
  <c r="AB59" i="24" s="1"/>
  <c r="Z59" i="24"/>
  <c r="AA59" i="24"/>
  <c r="X60" i="24"/>
  <c r="Y60" i="24"/>
  <c r="Z60" i="24"/>
  <c r="AA60" i="24"/>
  <c r="AB60" i="24"/>
  <c r="X61" i="24"/>
  <c r="Y61" i="24"/>
  <c r="Z61" i="24"/>
  <c r="AA61" i="24"/>
  <c r="AB61" i="24"/>
  <c r="X62" i="24"/>
  <c r="Y62" i="24"/>
  <c r="Z62" i="24"/>
  <c r="AB62" i="24" s="1"/>
  <c r="AA62" i="24"/>
  <c r="X63" i="24"/>
  <c r="AB63" i="24" s="1"/>
  <c r="Y63" i="24"/>
  <c r="Z63" i="24"/>
  <c r="AA63" i="24"/>
  <c r="X64" i="24"/>
  <c r="AB64" i="24" s="1"/>
  <c r="Y64" i="24"/>
  <c r="Z64" i="24"/>
  <c r="AA64" i="24"/>
  <c r="X65" i="24"/>
  <c r="AB65" i="24" s="1"/>
  <c r="Y65" i="24"/>
  <c r="Z65" i="24"/>
  <c r="AA65" i="24"/>
  <c r="X66" i="24"/>
  <c r="AB66" i="24" s="1"/>
  <c r="Y66" i="24"/>
  <c r="Z66" i="24"/>
  <c r="AA66" i="24"/>
  <c r="X67" i="24"/>
  <c r="Y67" i="24"/>
  <c r="AB67" i="24" s="1"/>
  <c r="Z67" i="24"/>
  <c r="AA67" i="24"/>
  <c r="X68" i="24"/>
  <c r="Y68" i="24"/>
  <c r="Z68" i="24"/>
  <c r="AA68" i="24"/>
  <c r="AB68" i="24"/>
  <c r="X69" i="24"/>
  <c r="Y69" i="24"/>
  <c r="Z69" i="24"/>
  <c r="AA69" i="24"/>
  <c r="AB69" i="24"/>
  <c r="X70" i="24"/>
  <c r="Y70" i="24"/>
  <c r="Z70" i="24"/>
  <c r="AB70" i="24" s="1"/>
  <c r="AA70" i="24"/>
  <c r="X71" i="24"/>
  <c r="AB71" i="24" s="1"/>
  <c r="Y71" i="24"/>
  <c r="Z71" i="24"/>
  <c r="AA71" i="24"/>
  <c r="X72" i="24"/>
  <c r="AB72" i="24" s="1"/>
  <c r="Y72" i="24"/>
  <c r="Z72" i="24"/>
  <c r="AA72" i="24"/>
  <c r="X73" i="24"/>
  <c r="AB73" i="24" s="1"/>
  <c r="Y73" i="24"/>
  <c r="Z73" i="24"/>
  <c r="AA73" i="24"/>
  <c r="X74" i="24"/>
  <c r="AB74" i="24" s="1"/>
  <c r="Y74" i="24"/>
  <c r="Z74" i="24"/>
  <c r="AA74" i="24"/>
  <c r="X75" i="24"/>
  <c r="Y75" i="24"/>
  <c r="AB75" i="24" s="1"/>
  <c r="Z75" i="24"/>
  <c r="AA75" i="24"/>
  <c r="X76" i="24"/>
  <c r="Y76" i="24"/>
  <c r="Z76" i="24"/>
  <c r="AA76" i="24"/>
  <c r="AB76" i="24"/>
  <c r="X77" i="24"/>
  <c r="Y77" i="24"/>
  <c r="Z77" i="24"/>
  <c r="AA77" i="24"/>
  <c r="AB77" i="24"/>
  <c r="X78" i="24"/>
  <c r="Y78" i="24"/>
  <c r="Z78" i="24"/>
  <c r="AB78" i="24" s="1"/>
  <c r="AA78" i="24"/>
  <c r="X79" i="24"/>
  <c r="AB79" i="24" s="1"/>
  <c r="Y79" i="24"/>
  <c r="Z79" i="24"/>
  <c r="AA79" i="24"/>
  <c r="X80" i="24"/>
  <c r="AB80" i="24" s="1"/>
  <c r="Y80" i="24"/>
  <c r="Z80" i="24"/>
  <c r="AA80" i="24"/>
  <c r="X81" i="24"/>
  <c r="AB81" i="24" s="1"/>
  <c r="Y81" i="24"/>
  <c r="Z81" i="24"/>
  <c r="AA81" i="24"/>
  <c r="X82" i="24"/>
  <c r="AB82" i="24" s="1"/>
  <c r="Y82" i="24"/>
  <c r="Z82" i="24"/>
  <c r="AA82" i="24"/>
  <c r="X83" i="24"/>
  <c r="Y83" i="24"/>
  <c r="AB83" i="24" s="1"/>
  <c r="Z83" i="24"/>
  <c r="AA83" i="24"/>
  <c r="X84" i="24"/>
  <c r="Y84" i="24"/>
  <c r="Z84" i="24"/>
  <c r="AA84" i="24"/>
  <c r="AB84" i="24"/>
  <c r="X85" i="24"/>
  <c r="Y85" i="24"/>
  <c r="Z85" i="24"/>
  <c r="AA85" i="24"/>
  <c r="AB85" i="24"/>
  <c r="X86" i="24"/>
  <c r="Y86" i="24"/>
  <c r="Z86" i="24"/>
  <c r="AB86" i="24" s="1"/>
  <c r="AA86" i="24"/>
  <c r="X87" i="24"/>
  <c r="Y87" i="24"/>
  <c r="AB87" i="24" s="1"/>
  <c r="Z87" i="24"/>
  <c r="AA87" i="24"/>
  <c r="X88" i="24"/>
  <c r="AB88" i="24" s="1"/>
  <c r="Y88" i="24"/>
  <c r="Z88" i="24"/>
  <c r="AA88" i="24"/>
  <c r="X89" i="24"/>
  <c r="AB89" i="24" s="1"/>
  <c r="Y89" i="24"/>
  <c r="Z89" i="24"/>
  <c r="AA89" i="24"/>
  <c r="X90" i="24"/>
  <c r="AB90" i="24" s="1"/>
  <c r="Y90" i="24"/>
  <c r="Z90" i="24"/>
  <c r="AA90" i="24"/>
  <c r="X91" i="24"/>
  <c r="AB91" i="24" s="1"/>
  <c r="Y91" i="24"/>
  <c r="Z91" i="24"/>
  <c r="AA91" i="24"/>
  <c r="X92" i="24"/>
  <c r="Y92" i="24"/>
  <c r="Z92" i="24"/>
  <c r="AA92" i="24"/>
  <c r="AB92" i="24"/>
  <c r="X93" i="24"/>
  <c r="Y93" i="24"/>
  <c r="Z93" i="24"/>
  <c r="AA93" i="24"/>
  <c r="AB93" i="24"/>
  <c r="X94" i="24"/>
  <c r="Y94" i="24"/>
  <c r="Z94" i="24"/>
  <c r="AB94" i="24" s="1"/>
  <c r="AA94" i="24"/>
  <c r="X95" i="24"/>
  <c r="AB95" i="24" s="1"/>
  <c r="Y95" i="24"/>
  <c r="Z95" i="24"/>
  <c r="AA95" i="24"/>
  <c r="X96" i="24"/>
  <c r="AB96" i="24" s="1"/>
  <c r="Y96" i="24"/>
  <c r="Z96" i="24"/>
  <c r="AA96" i="24"/>
  <c r="X97" i="24"/>
  <c r="AB97" i="24" s="1"/>
  <c r="Y97" i="24"/>
  <c r="Z97" i="24"/>
  <c r="AA97" i="24"/>
  <c r="X98" i="24"/>
  <c r="AB98" i="24" s="1"/>
  <c r="Y98" i="24"/>
  <c r="Z98" i="24"/>
  <c r="AA98" i="24"/>
  <c r="X99" i="24"/>
  <c r="AB99" i="24" s="1"/>
  <c r="Y99" i="24"/>
  <c r="Z99" i="24"/>
  <c r="AA99" i="24"/>
  <c r="X100" i="24"/>
  <c r="Y100" i="24"/>
  <c r="Z100" i="24"/>
  <c r="AA100" i="24"/>
  <c r="AB100" i="24"/>
  <c r="X101" i="24"/>
  <c r="Y101" i="24"/>
  <c r="Z101" i="24"/>
  <c r="AA101" i="24"/>
  <c r="AB101" i="24"/>
  <c r="X102" i="24"/>
  <c r="Y102" i="24"/>
  <c r="Z102" i="24"/>
  <c r="AB102" i="24" s="1"/>
  <c r="AA102" i="24"/>
  <c r="X103" i="24"/>
  <c r="Y103" i="24"/>
  <c r="AB103" i="24" s="1"/>
  <c r="Z103" i="24"/>
  <c r="AA103" i="24"/>
  <c r="X104" i="24"/>
  <c r="AB104" i="24" s="1"/>
  <c r="Y104" i="24"/>
  <c r="Z104" i="24"/>
  <c r="AA104" i="24"/>
  <c r="X105" i="24"/>
  <c r="AB105" i="24" s="1"/>
  <c r="Y105" i="24"/>
  <c r="Z105" i="24"/>
  <c r="AA105" i="24"/>
  <c r="X106" i="24"/>
  <c r="AB106" i="24" s="1"/>
  <c r="Y106" i="24"/>
  <c r="Z106" i="24"/>
  <c r="AA106" i="24"/>
  <c r="X107" i="24"/>
  <c r="AB107" i="24" s="1"/>
  <c r="Y107" i="24"/>
  <c r="Z107" i="24"/>
  <c r="AA107" i="24"/>
  <c r="X108" i="24"/>
  <c r="Y108" i="24"/>
  <c r="Z108" i="24"/>
  <c r="AA108" i="24"/>
  <c r="AB108" i="24"/>
  <c r="X109" i="24"/>
  <c r="Y109" i="24"/>
  <c r="Z109" i="24"/>
  <c r="AA109" i="24"/>
  <c r="AB109" i="24"/>
  <c r="X110" i="24"/>
  <c r="Y110" i="24"/>
  <c r="Z110" i="24"/>
  <c r="AB110" i="24" s="1"/>
  <c r="AA110" i="24"/>
  <c r="X111" i="24"/>
  <c r="Y111" i="24"/>
  <c r="AB111" i="24" s="1"/>
  <c r="Z111" i="24"/>
  <c r="AA111" i="24"/>
  <c r="X112" i="24"/>
  <c r="AB112" i="24" s="1"/>
  <c r="Y112" i="24"/>
  <c r="Z112" i="24"/>
  <c r="AA112" i="24"/>
  <c r="X113" i="24"/>
  <c r="AB113" i="24" s="1"/>
  <c r="Y113" i="24"/>
  <c r="Z113" i="24"/>
  <c r="AA113" i="24"/>
  <c r="X114" i="24"/>
  <c r="AB114" i="24" s="1"/>
  <c r="Y114" i="24"/>
  <c r="Z114" i="24"/>
  <c r="AA114" i="24"/>
  <c r="X115" i="24"/>
  <c r="Y115" i="24"/>
  <c r="AB115" i="24" s="1"/>
  <c r="Z115" i="24"/>
  <c r="AA115" i="24"/>
  <c r="X116" i="24"/>
  <c r="Y116" i="24"/>
  <c r="Z116" i="24"/>
  <c r="AA116" i="24"/>
  <c r="AB116" i="24"/>
  <c r="X117" i="24"/>
  <c r="Y117" i="24"/>
  <c r="Z117" i="24"/>
  <c r="AA117" i="24"/>
  <c r="AB117" i="24"/>
  <c r="X118" i="24"/>
  <c r="Y118" i="24"/>
  <c r="Z118" i="24"/>
  <c r="AB118" i="24" s="1"/>
  <c r="AA118" i="24"/>
  <c r="X119" i="24"/>
  <c r="AB119" i="24" s="1"/>
  <c r="Y119" i="24"/>
  <c r="Z119" i="24"/>
  <c r="AA119" i="24"/>
  <c r="X120" i="24"/>
  <c r="AB120" i="24" s="1"/>
  <c r="Y120" i="24"/>
  <c r="Z120" i="24"/>
  <c r="AA120" i="24"/>
  <c r="X121" i="24"/>
  <c r="AB121" i="24" s="1"/>
  <c r="Y121" i="24"/>
  <c r="Z121" i="24"/>
  <c r="AA121" i="24"/>
  <c r="X122" i="24"/>
  <c r="AB122" i="24" s="1"/>
  <c r="Y122" i="24"/>
  <c r="Z122" i="24"/>
  <c r="AA122" i="24"/>
  <c r="X123" i="24"/>
  <c r="Y123" i="24"/>
  <c r="AB123" i="24" s="1"/>
  <c r="Z123" i="24"/>
  <c r="AA123" i="24"/>
  <c r="X124" i="24"/>
  <c r="Y124" i="24"/>
  <c r="Z124" i="24"/>
  <c r="AA124" i="24"/>
  <c r="AB124" i="24"/>
  <c r="X125" i="24"/>
  <c r="Y125" i="24"/>
  <c r="Z125" i="24"/>
  <c r="AA125" i="24"/>
  <c r="AB125" i="24"/>
  <c r="X126" i="24"/>
  <c r="Y126" i="24"/>
  <c r="Z126" i="24"/>
  <c r="AB126" i="24" s="1"/>
  <c r="AA126" i="24"/>
  <c r="X127" i="24"/>
  <c r="AB127" i="24" s="1"/>
  <c r="Y127" i="24"/>
  <c r="Z127" i="24"/>
  <c r="AA127" i="24"/>
  <c r="X128" i="24"/>
  <c r="AB128" i="24" s="1"/>
  <c r="Y128" i="24"/>
  <c r="Z128" i="24"/>
  <c r="AA128" i="24"/>
  <c r="X129" i="24"/>
  <c r="AB129" i="24" s="1"/>
  <c r="Y129" i="24"/>
  <c r="Z129" i="24"/>
  <c r="AA129" i="24"/>
  <c r="X130" i="24"/>
  <c r="AB130" i="24" s="1"/>
  <c r="Y130" i="24"/>
  <c r="Z130" i="24"/>
  <c r="AA130" i="24"/>
  <c r="X131" i="24"/>
  <c r="Y131" i="24"/>
  <c r="AB131" i="24" s="1"/>
  <c r="Z131" i="24"/>
  <c r="AA131" i="24"/>
  <c r="X132" i="24"/>
  <c r="Y132" i="24"/>
  <c r="Z132" i="24"/>
  <c r="AA132" i="24"/>
  <c r="AB132" i="24"/>
  <c r="X133" i="24"/>
  <c r="Y133" i="24"/>
  <c r="Z133" i="24"/>
  <c r="AA133" i="24"/>
  <c r="AB133" i="24"/>
  <c r="X134" i="24"/>
  <c r="Y134" i="24"/>
  <c r="Z134" i="24"/>
  <c r="AB134" i="24" s="1"/>
  <c r="AA134" i="24"/>
  <c r="X135" i="24"/>
  <c r="Y135" i="24"/>
  <c r="AB135" i="24" s="1"/>
  <c r="Z135" i="24"/>
  <c r="AA135" i="24"/>
  <c r="X136" i="24"/>
  <c r="AB136" i="24" s="1"/>
  <c r="Y136" i="24"/>
  <c r="Z136" i="24"/>
  <c r="AA136" i="24"/>
  <c r="X137" i="24"/>
  <c r="AB137" i="24" s="1"/>
  <c r="Y137" i="24"/>
  <c r="Z137" i="24"/>
  <c r="AA137" i="24"/>
  <c r="X138" i="24"/>
  <c r="AB138" i="24" s="1"/>
  <c r="Y138" i="24"/>
  <c r="Z138" i="24"/>
  <c r="AA138" i="24"/>
  <c r="X139" i="24"/>
  <c r="Y139" i="24"/>
  <c r="AB139" i="24" s="1"/>
  <c r="Z139" i="24"/>
  <c r="AA139" i="24"/>
  <c r="X140" i="24"/>
  <c r="Y140" i="24"/>
  <c r="Z140" i="24"/>
  <c r="AA140" i="24"/>
  <c r="AB140" i="24"/>
  <c r="X141" i="24"/>
  <c r="Y141" i="24"/>
  <c r="Z141" i="24"/>
  <c r="AA141" i="24"/>
  <c r="AB141" i="24"/>
  <c r="X142" i="24"/>
  <c r="Y142" i="24"/>
  <c r="Z142" i="24"/>
  <c r="AB142" i="24" s="1"/>
  <c r="AA142" i="24"/>
  <c r="X143" i="24"/>
  <c r="AB143" i="24" s="1"/>
  <c r="Y143" i="24"/>
  <c r="Z143" i="24"/>
  <c r="AA143" i="24"/>
  <c r="X144" i="24"/>
  <c r="AB144" i="24" s="1"/>
  <c r="Y144" i="24"/>
  <c r="Z144" i="24"/>
  <c r="AA144" i="24"/>
  <c r="X145" i="24"/>
  <c r="AB145" i="24" s="1"/>
  <c r="Y145" i="24"/>
  <c r="Z145" i="24"/>
  <c r="AA145" i="24"/>
  <c r="X146" i="24"/>
  <c r="AB146" i="24" s="1"/>
  <c r="Y146" i="24"/>
  <c r="Z146" i="24"/>
  <c r="AA146" i="24"/>
  <c r="X147" i="24"/>
  <c r="Y147" i="24"/>
  <c r="AB147" i="24" s="1"/>
  <c r="Z147" i="24"/>
  <c r="AA147" i="24"/>
  <c r="X148" i="24"/>
  <c r="Y148" i="24"/>
  <c r="Z148" i="24"/>
  <c r="AA148" i="24"/>
  <c r="AB148" i="24"/>
  <c r="X149" i="24"/>
  <c r="Y149" i="24"/>
  <c r="Z149" i="24"/>
  <c r="AA149" i="24"/>
  <c r="AB149" i="24"/>
  <c r="X150" i="24"/>
  <c r="Y150" i="24"/>
  <c r="Z150" i="24"/>
  <c r="AB150" i="24" s="1"/>
  <c r="AA150" i="24"/>
  <c r="X151" i="24"/>
  <c r="AB151" i="24" s="1"/>
  <c r="Y151" i="24"/>
  <c r="Z151" i="24"/>
  <c r="AA151" i="24"/>
  <c r="X152" i="24"/>
  <c r="AB152" i="24" s="1"/>
  <c r="Y152" i="24"/>
  <c r="Z152" i="24"/>
  <c r="AA152" i="24"/>
  <c r="X153" i="24"/>
  <c r="AB153" i="24" s="1"/>
  <c r="Y153" i="24"/>
  <c r="Z153" i="24"/>
  <c r="AA153" i="24"/>
  <c r="X154" i="24"/>
  <c r="AB154" i="24" s="1"/>
  <c r="Y154" i="24"/>
  <c r="Z154" i="24"/>
  <c r="AA154" i="24"/>
  <c r="X155" i="24"/>
  <c r="Y155" i="24"/>
  <c r="AB155" i="24" s="1"/>
  <c r="Z155" i="24"/>
  <c r="AA155" i="24"/>
  <c r="X156" i="24"/>
  <c r="Y156" i="24"/>
  <c r="Z156" i="24"/>
  <c r="AA156" i="24"/>
  <c r="AB156" i="24"/>
  <c r="X157" i="24"/>
  <c r="Y157" i="24"/>
  <c r="Z157" i="24"/>
  <c r="AA157" i="24"/>
  <c r="AB157" i="24"/>
  <c r="X158" i="24"/>
  <c r="Y158" i="24"/>
  <c r="Z158" i="24"/>
  <c r="AB158" i="24" s="1"/>
  <c r="AA158" i="24"/>
  <c r="X159" i="24"/>
  <c r="AB159" i="24" s="1"/>
  <c r="Y159" i="24"/>
  <c r="Z159" i="24"/>
  <c r="AA159" i="24"/>
  <c r="X160" i="24"/>
  <c r="AB160" i="24" s="1"/>
  <c r="Y160" i="24"/>
  <c r="Z160" i="24"/>
  <c r="AA160" i="24"/>
  <c r="X161" i="24"/>
  <c r="AB161" i="24" s="1"/>
  <c r="Y161" i="24"/>
  <c r="Z161" i="24"/>
  <c r="AA161" i="24"/>
  <c r="X162" i="24"/>
  <c r="AB162" i="24" s="1"/>
  <c r="Y162" i="24"/>
  <c r="Z162" i="24"/>
  <c r="AA162" i="24"/>
  <c r="X163" i="24"/>
  <c r="Y163" i="24"/>
  <c r="AB163" i="24" s="1"/>
  <c r="Z163" i="24"/>
  <c r="AA163" i="24"/>
  <c r="X164" i="24"/>
  <c r="Y164" i="24"/>
  <c r="Z164" i="24"/>
  <c r="AA164" i="24"/>
  <c r="AB164" i="24"/>
  <c r="X165" i="24"/>
  <c r="Y165" i="24"/>
  <c r="Z165" i="24"/>
  <c r="AA165" i="24"/>
  <c r="AB165" i="24"/>
  <c r="X166" i="24"/>
  <c r="Y166" i="24"/>
  <c r="Z166" i="24"/>
  <c r="AB166" i="24" s="1"/>
  <c r="AA166" i="24"/>
  <c r="X167" i="24"/>
  <c r="AB167" i="24" s="1"/>
  <c r="Y167" i="24"/>
  <c r="Z167" i="24"/>
  <c r="AA167" i="24"/>
  <c r="X168" i="24"/>
  <c r="AB168" i="24" s="1"/>
  <c r="Y168" i="24"/>
  <c r="Z168" i="24"/>
  <c r="AA168" i="24"/>
  <c r="X169" i="24"/>
  <c r="AB169" i="24" s="1"/>
  <c r="Y169" i="24"/>
  <c r="Z169" i="24"/>
  <c r="AA169" i="24"/>
  <c r="X170" i="24"/>
  <c r="AB170" i="24" s="1"/>
  <c r="Y170" i="24"/>
  <c r="Z170" i="24"/>
  <c r="AA170" i="24"/>
  <c r="X171" i="24"/>
  <c r="Y171" i="24"/>
  <c r="AB171" i="24" s="1"/>
  <c r="Z171" i="24"/>
  <c r="AA171" i="24"/>
  <c r="X172" i="24"/>
  <c r="Y172" i="24"/>
  <c r="Z172" i="24"/>
  <c r="AA172" i="24"/>
  <c r="AB172" i="24"/>
  <c r="X173" i="24"/>
  <c r="Y173" i="24"/>
  <c r="Z173" i="24"/>
  <c r="AA173" i="24"/>
  <c r="AB173" i="24"/>
  <c r="X174" i="24"/>
  <c r="Y174" i="24"/>
  <c r="Z174" i="24"/>
  <c r="AB174" i="24" s="1"/>
  <c r="AA174" i="24"/>
  <c r="X175" i="24"/>
  <c r="AB175" i="24" s="1"/>
  <c r="Y175" i="24"/>
  <c r="Z175" i="24"/>
  <c r="AA175" i="24"/>
  <c r="X176" i="24"/>
  <c r="AB176" i="24" s="1"/>
  <c r="Y176" i="24"/>
  <c r="Z176" i="24"/>
  <c r="AA176" i="24"/>
  <c r="X177" i="24"/>
  <c r="AB177" i="24" s="1"/>
  <c r="Y177" i="24"/>
  <c r="Z177" i="24"/>
  <c r="AA177" i="24"/>
  <c r="X178" i="24"/>
  <c r="AB178" i="24" s="1"/>
  <c r="Y178" i="24"/>
  <c r="Z178" i="24"/>
  <c r="AA178" i="24"/>
  <c r="X179" i="24"/>
  <c r="Y179" i="24"/>
  <c r="AB179" i="24" s="1"/>
  <c r="Z179" i="24"/>
  <c r="AA179" i="24"/>
  <c r="X180" i="24"/>
  <c r="Y180" i="24"/>
  <c r="Z180" i="24"/>
  <c r="AA180" i="24"/>
  <c r="AB180" i="24"/>
  <c r="X181" i="24"/>
  <c r="Y181" i="24"/>
  <c r="Z181" i="24"/>
  <c r="AA181" i="24"/>
  <c r="AB181" i="24"/>
  <c r="X182" i="24"/>
  <c r="Y182" i="24"/>
  <c r="Z182" i="24"/>
  <c r="AB182" i="24" s="1"/>
  <c r="AA182" i="24"/>
  <c r="X183" i="24"/>
  <c r="AB183" i="24" s="1"/>
  <c r="Y183" i="24"/>
  <c r="Z183" i="24"/>
  <c r="AA183" i="24"/>
  <c r="X184" i="24"/>
  <c r="AB184" i="24" s="1"/>
  <c r="Y184" i="24"/>
  <c r="Z184" i="24"/>
  <c r="AA184" i="24"/>
  <c r="X185" i="24"/>
  <c r="AB185" i="24" s="1"/>
  <c r="Y185" i="24"/>
  <c r="Z185" i="24"/>
  <c r="AA185" i="24"/>
  <c r="X186" i="24"/>
  <c r="AB186" i="24" s="1"/>
  <c r="Y186" i="24"/>
  <c r="Z186" i="24"/>
  <c r="AA186" i="24"/>
  <c r="X187" i="24"/>
  <c r="Y187" i="24"/>
  <c r="AB187" i="24" s="1"/>
  <c r="Z187" i="24"/>
  <c r="AA187" i="24"/>
  <c r="X188" i="24"/>
  <c r="Y188" i="24"/>
  <c r="Z188" i="24"/>
  <c r="AA188" i="24"/>
  <c r="AB188" i="24"/>
  <c r="X189" i="24"/>
  <c r="Y189" i="24"/>
  <c r="Z189" i="24"/>
  <c r="AA189" i="24"/>
  <c r="AB189" i="24"/>
  <c r="X190" i="24"/>
  <c r="Y190" i="24"/>
  <c r="Z190" i="24"/>
  <c r="AB190" i="24" s="1"/>
  <c r="AA190" i="24"/>
  <c r="X191" i="24"/>
  <c r="AB191" i="24" s="1"/>
  <c r="Y191" i="24"/>
  <c r="Z191" i="24"/>
  <c r="AA191" i="24"/>
  <c r="X192" i="24"/>
  <c r="AB192" i="24" s="1"/>
  <c r="Y192" i="24"/>
  <c r="Z192" i="24"/>
  <c r="AA192" i="24"/>
  <c r="X193" i="24"/>
  <c r="AB193" i="24" s="1"/>
  <c r="Y193" i="24"/>
  <c r="Z193" i="24"/>
  <c r="AA193" i="24"/>
  <c r="X194" i="24"/>
  <c r="AB194" i="24" s="1"/>
  <c r="Y194" i="24"/>
  <c r="Z194" i="24"/>
  <c r="AA194" i="24"/>
  <c r="X195" i="24"/>
  <c r="Y195" i="24"/>
  <c r="AB195" i="24" s="1"/>
  <c r="Z195" i="24"/>
  <c r="AA195" i="24"/>
  <c r="X196" i="24"/>
  <c r="Y196" i="24"/>
  <c r="Z196" i="24"/>
  <c r="AA196" i="24"/>
  <c r="AB196" i="24"/>
  <c r="X197" i="24"/>
  <c r="Y197" i="24"/>
  <c r="Z197" i="24"/>
  <c r="AA197" i="24"/>
  <c r="AB197" i="24"/>
  <c r="X198" i="24"/>
  <c r="Y198" i="24"/>
  <c r="Z198" i="24"/>
  <c r="AB198" i="24" s="1"/>
  <c r="AA198" i="24"/>
  <c r="X199" i="24"/>
  <c r="AB199" i="24" s="1"/>
  <c r="Y199" i="24"/>
  <c r="Z199" i="24"/>
  <c r="AA199" i="24"/>
  <c r="X200" i="24"/>
  <c r="AB200" i="24" s="1"/>
  <c r="Y200" i="24"/>
  <c r="Z200" i="24"/>
  <c r="AA200" i="24"/>
  <c r="X201" i="24"/>
  <c r="AB201" i="24" s="1"/>
  <c r="Y201" i="24"/>
  <c r="Z201" i="24"/>
  <c r="AA201" i="24"/>
  <c r="X202" i="24"/>
  <c r="AB202" i="24" s="1"/>
  <c r="Y202" i="24"/>
  <c r="Z202" i="24"/>
  <c r="AA202" i="24"/>
  <c r="X203" i="24"/>
  <c r="Y203" i="24"/>
  <c r="AB203" i="24" s="1"/>
  <c r="Z203" i="24"/>
  <c r="AA203" i="24"/>
  <c r="X204" i="24"/>
  <c r="Y204" i="24"/>
  <c r="Z204" i="24"/>
  <c r="AA204" i="24"/>
  <c r="AB204" i="24"/>
  <c r="X205" i="24"/>
  <c r="Y205" i="24"/>
  <c r="Z205" i="24"/>
  <c r="AA205" i="24"/>
  <c r="AB205" i="24"/>
  <c r="X206" i="24"/>
  <c r="Y206" i="24"/>
  <c r="Z206" i="24"/>
  <c r="AB206" i="24" s="1"/>
  <c r="AA206" i="24"/>
  <c r="X207" i="24"/>
  <c r="AB207" i="24" s="1"/>
  <c r="Y207" i="24"/>
  <c r="Z207" i="24"/>
  <c r="AA207" i="24"/>
  <c r="X208" i="24"/>
  <c r="AB208" i="24" s="1"/>
  <c r="Y208" i="24"/>
  <c r="Z208" i="24"/>
  <c r="AA208" i="24"/>
  <c r="X209" i="24"/>
  <c r="AB209" i="24" s="1"/>
  <c r="Y209" i="24"/>
  <c r="Z209" i="24"/>
  <c r="AA209" i="24"/>
  <c r="X210" i="24"/>
  <c r="AB210" i="24" s="1"/>
  <c r="Y210" i="24"/>
  <c r="Z210" i="24"/>
  <c r="AA210" i="24"/>
  <c r="X211" i="24"/>
  <c r="Y211" i="24"/>
  <c r="AB211" i="24" s="1"/>
  <c r="Z211" i="24"/>
  <c r="AA211" i="24"/>
  <c r="X212" i="24"/>
  <c r="Y212" i="24"/>
  <c r="Z212" i="24"/>
  <c r="AA212" i="24"/>
  <c r="AB212" i="24"/>
  <c r="X213" i="24"/>
  <c r="Y213" i="24"/>
  <c r="Z213" i="24"/>
  <c r="AA213" i="24"/>
  <c r="AB213" i="24"/>
  <c r="X214" i="24"/>
  <c r="Y214" i="24"/>
  <c r="Z214" i="24"/>
  <c r="AB214" i="24" s="1"/>
  <c r="AA214" i="24"/>
  <c r="X215" i="24"/>
  <c r="AB215" i="24" s="1"/>
  <c r="Y215" i="24"/>
  <c r="Z215" i="24"/>
  <c r="AA215" i="24"/>
  <c r="X216" i="24"/>
  <c r="AB216" i="24" s="1"/>
  <c r="Y216" i="24"/>
  <c r="Z216" i="24"/>
  <c r="AA216" i="24"/>
  <c r="X217" i="24"/>
  <c r="AB217" i="24" s="1"/>
  <c r="Y217" i="24"/>
  <c r="Z217" i="24"/>
  <c r="AA217" i="24"/>
  <c r="X218" i="24"/>
  <c r="AB218" i="24" s="1"/>
  <c r="Y218" i="24"/>
  <c r="Z218" i="24"/>
  <c r="AA218" i="24"/>
  <c r="X219" i="24"/>
  <c r="Y219" i="24"/>
  <c r="AB219" i="24" s="1"/>
  <c r="Z219" i="24"/>
  <c r="AA219" i="24"/>
  <c r="X220" i="24"/>
  <c r="Y220" i="24"/>
  <c r="Z220" i="24"/>
  <c r="AA220" i="24"/>
  <c r="AB220" i="24"/>
  <c r="X221" i="24"/>
  <c r="Y221" i="24"/>
  <c r="Z221" i="24"/>
  <c r="AA221" i="24"/>
  <c r="AB221" i="24"/>
  <c r="X222" i="24"/>
  <c r="Y222" i="24"/>
  <c r="Z222" i="24"/>
  <c r="AB222" i="24" s="1"/>
  <c r="AA222" i="24"/>
  <c r="X223" i="24"/>
  <c r="AB223" i="24" s="1"/>
  <c r="Y223" i="24"/>
  <c r="Z223" i="24"/>
  <c r="AA223" i="24"/>
  <c r="X224" i="24"/>
  <c r="AB224" i="24" s="1"/>
  <c r="Y224" i="24"/>
  <c r="Z224" i="24"/>
  <c r="AA224" i="24"/>
  <c r="X225" i="24"/>
  <c r="AB225" i="24" s="1"/>
  <c r="Y225" i="24"/>
  <c r="Z225" i="24"/>
  <c r="AA225" i="24"/>
  <c r="X226" i="24"/>
  <c r="AB226" i="24" s="1"/>
  <c r="Y226" i="24"/>
  <c r="Z226" i="24"/>
  <c r="AA226" i="24"/>
  <c r="X227" i="24"/>
  <c r="Y227" i="24"/>
  <c r="AB227" i="24" s="1"/>
  <c r="Z227" i="24"/>
  <c r="AA227" i="24"/>
  <c r="X228" i="24"/>
  <c r="Y228" i="24"/>
  <c r="Z228" i="24"/>
  <c r="AA228" i="24"/>
  <c r="AB228" i="24"/>
  <c r="X229" i="24"/>
  <c r="Y229" i="24"/>
  <c r="Z229" i="24"/>
  <c r="AA229" i="24"/>
  <c r="AB229" i="24"/>
  <c r="X230" i="24"/>
  <c r="Y230" i="24"/>
  <c r="Z230" i="24"/>
  <c r="AB230" i="24" s="1"/>
  <c r="AA230" i="24"/>
  <c r="X231" i="24"/>
  <c r="AB231" i="24" s="1"/>
  <c r="Y231" i="24"/>
  <c r="Z231" i="24"/>
  <c r="AA231" i="24"/>
  <c r="X232" i="24"/>
  <c r="AB232" i="24" s="1"/>
  <c r="Y232" i="24"/>
  <c r="Z232" i="24"/>
  <c r="AA232" i="24"/>
  <c r="X233" i="24"/>
  <c r="AB233" i="24" s="1"/>
  <c r="Y233" i="24"/>
  <c r="Z233" i="24"/>
  <c r="AA233" i="24"/>
  <c r="X234" i="24"/>
  <c r="AB234" i="24" s="1"/>
  <c r="Y234" i="24"/>
  <c r="Z234" i="24"/>
  <c r="AA234" i="24"/>
  <c r="X235" i="24"/>
  <c r="Y235" i="24"/>
  <c r="AB235" i="24" s="1"/>
  <c r="Z235" i="24"/>
  <c r="AA235" i="24"/>
  <c r="X236" i="24"/>
  <c r="Y236" i="24"/>
  <c r="Z236" i="24"/>
  <c r="AA236" i="24"/>
  <c r="AB236" i="24"/>
  <c r="X237" i="24"/>
  <c r="Y237" i="24"/>
  <c r="Z237" i="24"/>
  <c r="AA237" i="24"/>
  <c r="AB237" i="24"/>
  <c r="X238" i="24"/>
  <c r="Y238" i="24"/>
  <c r="Z238" i="24"/>
  <c r="AB238" i="24" s="1"/>
  <c r="AA238" i="24"/>
  <c r="X239" i="24"/>
  <c r="AB239" i="24" s="1"/>
  <c r="Y239" i="24"/>
  <c r="Z239" i="24"/>
  <c r="AA239" i="24"/>
  <c r="X240" i="24"/>
  <c r="AB240" i="24" s="1"/>
  <c r="Y240" i="24"/>
  <c r="Z240" i="24"/>
  <c r="AA240" i="24"/>
  <c r="X241" i="24"/>
  <c r="AB241" i="24" s="1"/>
  <c r="Y241" i="24"/>
  <c r="Z241" i="24"/>
  <c r="AA241" i="24"/>
  <c r="X242" i="24"/>
  <c r="AB242" i="24" s="1"/>
  <c r="Y242" i="24"/>
  <c r="Z242" i="24"/>
  <c r="AA242" i="24"/>
  <c r="X243" i="24"/>
  <c r="AB243" i="24" s="1"/>
  <c r="Y243" i="24"/>
  <c r="Z243" i="24"/>
  <c r="AA243" i="24"/>
  <c r="X244" i="24"/>
  <c r="Y244" i="24"/>
  <c r="Z244" i="24"/>
  <c r="AA244" i="24"/>
  <c r="AB244" i="24"/>
  <c r="X245" i="24"/>
  <c r="Y245" i="24"/>
  <c r="Z245" i="24"/>
  <c r="AA245" i="24"/>
  <c r="AB245" i="24"/>
  <c r="X246" i="24"/>
  <c r="Y246" i="24"/>
  <c r="Z246" i="24"/>
  <c r="AB246" i="24" s="1"/>
  <c r="AA246" i="24"/>
  <c r="X247" i="24"/>
  <c r="Y247" i="24"/>
  <c r="AB247" i="24" s="1"/>
  <c r="Z247" i="24"/>
  <c r="AA247" i="24"/>
  <c r="X248" i="24"/>
  <c r="AB248" i="24" s="1"/>
  <c r="Y248" i="24"/>
  <c r="Z248" i="24"/>
  <c r="AA248" i="24"/>
  <c r="X249" i="24"/>
  <c r="AB249" i="24" s="1"/>
  <c r="Y249" i="24"/>
  <c r="Z249" i="24"/>
  <c r="AA249" i="24"/>
  <c r="X250" i="24"/>
  <c r="AB250" i="24" s="1"/>
  <c r="Y250" i="24"/>
  <c r="Z250" i="24"/>
  <c r="AA250" i="24"/>
  <c r="X251" i="24"/>
  <c r="AB251" i="24" s="1"/>
  <c r="Y251" i="24"/>
  <c r="Z251" i="24"/>
  <c r="AA251" i="24"/>
  <c r="X252" i="24"/>
  <c r="Y252" i="24"/>
  <c r="Z252" i="24"/>
  <c r="AA252" i="24"/>
  <c r="AB252" i="24"/>
  <c r="X253" i="24"/>
  <c r="Y253" i="24"/>
  <c r="Z253" i="24"/>
  <c r="AA253" i="24"/>
  <c r="AB253" i="24"/>
  <c r="X254" i="24"/>
  <c r="Y254" i="24"/>
  <c r="Z254" i="24"/>
  <c r="AB254" i="24" s="1"/>
  <c r="AA254" i="24"/>
  <c r="X255" i="24"/>
  <c r="Y255" i="24"/>
  <c r="AB255" i="24" s="1"/>
  <c r="Z255" i="24"/>
  <c r="AA255" i="24"/>
  <c r="X256" i="24"/>
  <c r="AB256" i="24" s="1"/>
  <c r="Y256" i="24"/>
  <c r="Z256" i="24"/>
  <c r="AA256" i="24"/>
  <c r="X257" i="24"/>
  <c r="AB257" i="24" s="1"/>
  <c r="Y257" i="24"/>
  <c r="Z257" i="24"/>
  <c r="AA257" i="24"/>
  <c r="X258" i="24"/>
  <c r="AB258" i="24" s="1"/>
  <c r="Y258" i="24"/>
  <c r="Z258" i="24"/>
  <c r="AA258" i="24"/>
  <c r="X259" i="24"/>
  <c r="AB259" i="24" s="1"/>
  <c r="Y259" i="24"/>
  <c r="Z259" i="24"/>
  <c r="AA259" i="24"/>
  <c r="X260" i="24"/>
  <c r="Y260" i="24"/>
  <c r="Z260" i="24"/>
  <c r="AA260" i="24"/>
  <c r="AB260" i="24"/>
  <c r="X261" i="24"/>
  <c r="Y261" i="24"/>
  <c r="Z261" i="24"/>
  <c r="AA261" i="24"/>
  <c r="AB261" i="24"/>
  <c r="X262" i="24"/>
  <c r="Y262" i="24"/>
  <c r="Z262" i="24"/>
  <c r="AB262" i="24" s="1"/>
  <c r="AA262" i="24"/>
  <c r="X263" i="24"/>
  <c r="Y263" i="24"/>
  <c r="AB263" i="24" s="1"/>
  <c r="Z263" i="24"/>
  <c r="AA263" i="24"/>
  <c r="X264" i="24"/>
  <c r="AB264" i="24" s="1"/>
  <c r="Y264" i="24"/>
  <c r="Z264" i="24"/>
  <c r="AA264" i="24"/>
  <c r="X265" i="24"/>
  <c r="AB265" i="24" s="1"/>
  <c r="Y265" i="24"/>
  <c r="Z265" i="24"/>
  <c r="AA265" i="24"/>
  <c r="X266" i="24"/>
  <c r="AB266" i="24" s="1"/>
  <c r="Y266" i="24"/>
  <c r="Z266" i="24"/>
  <c r="AA266" i="24"/>
  <c r="X267" i="24"/>
  <c r="AB267" i="24" s="1"/>
  <c r="Y267" i="24"/>
  <c r="Z267" i="24"/>
  <c r="AA267" i="24"/>
  <c r="X268" i="24"/>
  <c r="Y268" i="24"/>
  <c r="Z268" i="24"/>
  <c r="AA268" i="24"/>
  <c r="AB268" i="24"/>
  <c r="X269" i="24"/>
  <c r="Y269" i="24"/>
  <c r="Z269" i="24"/>
  <c r="AA269" i="24"/>
  <c r="AB269" i="24"/>
  <c r="X270" i="24"/>
  <c r="Y270" i="24"/>
  <c r="Z270" i="24"/>
  <c r="AB270" i="24" s="1"/>
  <c r="AA270" i="24"/>
  <c r="X271" i="24"/>
  <c r="Y271" i="24"/>
  <c r="AB271" i="24" s="1"/>
  <c r="Z271" i="24"/>
  <c r="AA271" i="24"/>
  <c r="X272" i="24"/>
  <c r="AB272" i="24" s="1"/>
  <c r="Y272" i="24"/>
  <c r="Z272" i="24"/>
  <c r="AA272" i="24"/>
  <c r="X273" i="24"/>
  <c r="AB273" i="24" s="1"/>
  <c r="Y273" i="24"/>
  <c r="Z273" i="24"/>
  <c r="AA273" i="24"/>
  <c r="X274" i="24"/>
  <c r="AB274" i="24" s="1"/>
  <c r="Y274" i="24"/>
  <c r="Z274" i="24"/>
  <c r="AA274" i="24"/>
  <c r="X275" i="24"/>
  <c r="AB275" i="24" s="1"/>
  <c r="Y275" i="24"/>
  <c r="Z275" i="24"/>
  <c r="AA275" i="24"/>
  <c r="X276" i="24"/>
  <c r="Y276" i="24"/>
  <c r="Z276" i="24"/>
  <c r="AA276" i="24"/>
  <c r="AB276" i="24"/>
  <c r="X277" i="24"/>
  <c r="Y277" i="24"/>
  <c r="Z277" i="24"/>
  <c r="AA277" i="24"/>
  <c r="AB277" i="24"/>
  <c r="X278" i="24"/>
  <c r="Y278" i="24"/>
  <c r="Z278" i="24"/>
  <c r="AB278" i="24" s="1"/>
  <c r="AA278" i="24"/>
  <c r="X279" i="24"/>
  <c r="Y279" i="24"/>
  <c r="AB279" i="24" s="1"/>
  <c r="Z279" i="24"/>
  <c r="AA279" i="24"/>
  <c r="X280" i="24"/>
  <c r="AB280" i="24" s="1"/>
  <c r="Y280" i="24"/>
  <c r="Z280" i="24"/>
  <c r="AA280" i="24"/>
  <c r="X281" i="24"/>
  <c r="AB281" i="24" s="1"/>
  <c r="Y281" i="24"/>
  <c r="Z281" i="24"/>
  <c r="AA281" i="24"/>
  <c r="X282" i="24"/>
  <c r="AB282" i="24" s="1"/>
  <c r="Y282" i="24"/>
  <c r="Z282" i="24"/>
  <c r="AA282" i="24"/>
  <c r="X283" i="24"/>
  <c r="AB283" i="24" s="1"/>
  <c r="Y283" i="24"/>
  <c r="Z283" i="24"/>
  <c r="AA283" i="24"/>
  <c r="X284" i="24"/>
  <c r="Y284" i="24"/>
  <c r="Z284" i="24"/>
  <c r="AA284" i="24"/>
  <c r="AB284" i="24"/>
  <c r="X285" i="24"/>
  <c r="Y285" i="24"/>
  <c r="Z285" i="24"/>
  <c r="AA285" i="24"/>
  <c r="AB285" i="24"/>
  <c r="X286" i="24"/>
  <c r="Y286" i="24"/>
  <c r="Z286" i="24"/>
  <c r="AB286" i="24" s="1"/>
  <c r="AA286" i="24"/>
  <c r="X287" i="24"/>
  <c r="Y287" i="24"/>
  <c r="AB287" i="24" s="1"/>
  <c r="Z287" i="24"/>
  <c r="AA287" i="24"/>
  <c r="X288" i="24"/>
  <c r="AB288" i="24" s="1"/>
  <c r="Y288" i="24"/>
  <c r="Z288" i="24"/>
  <c r="AA288" i="24"/>
  <c r="X289" i="24"/>
  <c r="AB289" i="24" s="1"/>
  <c r="Y289" i="24"/>
  <c r="Z289" i="24"/>
  <c r="AA289" i="24"/>
  <c r="X290" i="24"/>
  <c r="AB290" i="24" s="1"/>
  <c r="Y290" i="24"/>
  <c r="Z290" i="24"/>
  <c r="AA290" i="24"/>
  <c r="X291" i="24"/>
  <c r="AB291" i="24" s="1"/>
  <c r="Y291" i="24"/>
  <c r="Z291" i="24"/>
  <c r="AA291" i="24"/>
  <c r="X292" i="24"/>
  <c r="Y292" i="24"/>
  <c r="Z292" i="24"/>
  <c r="AA292" i="24"/>
  <c r="AB292" i="24"/>
  <c r="X293" i="24"/>
  <c r="Y293" i="24"/>
  <c r="Z293" i="24"/>
  <c r="AA293" i="24"/>
  <c r="AB293" i="24"/>
  <c r="X294" i="24"/>
  <c r="Y294" i="24"/>
  <c r="Z294" i="24"/>
  <c r="AB294" i="24" s="1"/>
  <c r="AA294" i="24"/>
  <c r="X295" i="24"/>
  <c r="Y295" i="24"/>
  <c r="AB295" i="24" s="1"/>
  <c r="Z295" i="24"/>
  <c r="AA295" i="24"/>
  <c r="X296" i="24"/>
  <c r="AB296" i="24" s="1"/>
  <c r="Y296" i="24"/>
  <c r="Z296" i="24"/>
  <c r="AA296" i="24"/>
  <c r="X297" i="24"/>
  <c r="AB297" i="24" s="1"/>
  <c r="Y297" i="24"/>
  <c r="Z297" i="24"/>
  <c r="AA297" i="24"/>
  <c r="X298" i="24"/>
  <c r="AB298" i="24" s="1"/>
  <c r="Y298" i="24"/>
  <c r="Z298" i="24"/>
  <c r="AA298" i="24"/>
  <c r="X299" i="24"/>
  <c r="AB299" i="24" s="1"/>
  <c r="Y299" i="24"/>
  <c r="Z299" i="24"/>
  <c r="AA299" i="24"/>
  <c r="X300" i="24"/>
  <c r="Y300" i="24"/>
  <c r="Z300" i="24"/>
  <c r="AA300" i="24"/>
  <c r="AB300" i="24"/>
  <c r="X301" i="24"/>
  <c r="Y301" i="24"/>
  <c r="Z301" i="24"/>
  <c r="AA301" i="24"/>
  <c r="AB301" i="24"/>
  <c r="X302" i="24"/>
  <c r="Y302" i="24"/>
  <c r="Z302" i="24"/>
  <c r="AB302" i="24" s="1"/>
  <c r="AA302" i="24"/>
  <c r="X303" i="24"/>
  <c r="Y303" i="24"/>
  <c r="AB303" i="24" s="1"/>
  <c r="Z303" i="24"/>
  <c r="AA303" i="24"/>
  <c r="X304" i="24"/>
  <c r="AB304" i="24" s="1"/>
  <c r="Y304" i="24"/>
  <c r="Z304" i="24"/>
  <c r="AA304" i="24"/>
  <c r="X305" i="24"/>
  <c r="AB305" i="24" s="1"/>
  <c r="Y305" i="24"/>
  <c r="Z305" i="24"/>
  <c r="AA305" i="24"/>
  <c r="X306" i="24"/>
  <c r="AB306" i="24" s="1"/>
  <c r="Y306" i="24"/>
  <c r="Z306" i="24"/>
  <c r="AA306" i="24"/>
  <c r="X307" i="24"/>
  <c r="AB307" i="24" s="1"/>
  <c r="Y307" i="24"/>
  <c r="Z307" i="24"/>
  <c r="AA307" i="24"/>
  <c r="X308" i="24"/>
  <c r="Y308" i="24"/>
  <c r="Z308" i="24"/>
  <c r="AA308" i="24"/>
  <c r="AB308" i="24"/>
  <c r="X309" i="24"/>
  <c r="Y309" i="24"/>
  <c r="Z309" i="24"/>
  <c r="AA309" i="24"/>
  <c r="AB309" i="24"/>
  <c r="X310" i="24"/>
  <c r="Y310" i="24"/>
  <c r="Z310" i="24"/>
  <c r="AB310" i="24" s="1"/>
  <c r="AA310" i="24"/>
  <c r="X311" i="24"/>
  <c r="Y311" i="24"/>
  <c r="AB311" i="24" s="1"/>
  <c r="Z311" i="24"/>
  <c r="AA311" i="24"/>
  <c r="X312" i="24"/>
  <c r="AB312" i="24" s="1"/>
  <c r="Y312" i="24"/>
  <c r="Z312" i="24"/>
  <c r="AA312" i="24"/>
  <c r="X313" i="24"/>
  <c r="AB313" i="24" s="1"/>
  <c r="Y313" i="24"/>
  <c r="Z313" i="24"/>
  <c r="AA313" i="24"/>
  <c r="X314" i="24"/>
  <c r="AB314" i="24" s="1"/>
  <c r="Y314" i="24"/>
  <c r="Z314" i="24"/>
  <c r="AA314" i="24"/>
  <c r="X315" i="24"/>
  <c r="AB315" i="24" s="1"/>
  <c r="Y315" i="24"/>
  <c r="Z315" i="24"/>
  <c r="AA315" i="24"/>
  <c r="X316" i="24"/>
  <c r="Y316" i="24"/>
  <c r="Z316" i="24"/>
  <c r="AA316" i="24"/>
  <c r="AB316" i="24"/>
  <c r="X317" i="24"/>
  <c r="Y317" i="24"/>
  <c r="Z317" i="24"/>
  <c r="AA317" i="24"/>
  <c r="AB317" i="24"/>
  <c r="X318" i="24"/>
  <c r="Y318" i="24"/>
  <c r="Z318" i="24"/>
  <c r="AB318" i="24" s="1"/>
  <c r="AA318" i="24"/>
  <c r="X319" i="24"/>
  <c r="Y319" i="24"/>
  <c r="AB319" i="24" s="1"/>
  <c r="Z319" i="24"/>
  <c r="AA319" i="24"/>
  <c r="X320" i="24"/>
  <c r="AB320" i="24" s="1"/>
  <c r="Y320" i="24"/>
  <c r="Z320" i="24"/>
  <c r="AA320" i="24"/>
  <c r="X321" i="24"/>
  <c r="AB321" i="24" s="1"/>
  <c r="Y321" i="24"/>
  <c r="Z321" i="24"/>
  <c r="AA321" i="24"/>
  <c r="X322" i="24"/>
  <c r="AB322" i="24" s="1"/>
  <c r="Y322" i="24"/>
  <c r="Z322" i="24"/>
  <c r="AA322" i="24"/>
  <c r="X323" i="24"/>
  <c r="AB323" i="24" s="1"/>
  <c r="Y323" i="24"/>
  <c r="Z323" i="24"/>
  <c r="AA323" i="24"/>
  <c r="X324" i="24"/>
  <c r="Y324" i="24"/>
  <c r="Z324" i="24"/>
  <c r="AA324" i="24"/>
  <c r="AB324" i="24"/>
  <c r="X325" i="24"/>
  <c r="Y325" i="24"/>
  <c r="Z325" i="24"/>
  <c r="AA325" i="24"/>
  <c r="AB325" i="24"/>
  <c r="X326" i="24"/>
  <c r="Y326" i="24"/>
  <c r="Z326" i="24"/>
  <c r="AB326" i="24" s="1"/>
  <c r="AA326" i="24"/>
  <c r="X327" i="24"/>
  <c r="Y327" i="24"/>
  <c r="AB327" i="24" s="1"/>
  <c r="Z327" i="24"/>
  <c r="AA327" i="24"/>
  <c r="X328" i="24"/>
  <c r="AB328" i="24" s="1"/>
  <c r="Y328" i="24"/>
  <c r="Z328" i="24"/>
  <c r="AA328" i="24"/>
  <c r="X329" i="24"/>
  <c r="AB329" i="24" s="1"/>
  <c r="Y329" i="24"/>
  <c r="Z329" i="24"/>
  <c r="AA329" i="24"/>
  <c r="X330" i="24"/>
  <c r="AB330" i="24" s="1"/>
  <c r="Y330" i="24"/>
  <c r="Z330" i="24"/>
  <c r="AA330" i="24"/>
  <c r="X331" i="24"/>
  <c r="AB331" i="24" s="1"/>
  <c r="Y331" i="24"/>
  <c r="Z331" i="24"/>
  <c r="AA331" i="24"/>
  <c r="X332" i="24"/>
  <c r="Y332" i="24"/>
  <c r="Z332" i="24"/>
  <c r="AA332" i="24"/>
  <c r="AB332" i="24"/>
  <c r="X333" i="24"/>
  <c r="Y333" i="24"/>
  <c r="Z333" i="24"/>
  <c r="AA333" i="24"/>
  <c r="AB333" i="24"/>
  <c r="X334" i="24"/>
  <c r="Y334" i="24"/>
  <c r="Z334" i="24"/>
  <c r="AB334" i="24" s="1"/>
  <c r="AA334" i="24"/>
  <c r="X335" i="24"/>
  <c r="Y335" i="24"/>
  <c r="AB335" i="24" s="1"/>
  <c r="Z335" i="24"/>
  <c r="AA335" i="24"/>
  <c r="X336" i="24"/>
  <c r="AB336" i="24" s="1"/>
  <c r="Y336" i="24"/>
  <c r="Z336" i="24"/>
  <c r="AA336" i="24"/>
  <c r="X337" i="24"/>
  <c r="AB337" i="24" s="1"/>
  <c r="Y337" i="24"/>
  <c r="Z337" i="24"/>
  <c r="AA337" i="24"/>
  <c r="X338" i="24"/>
  <c r="AB338" i="24" s="1"/>
  <c r="Y338" i="24"/>
  <c r="Z338" i="24"/>
  <c r="AA338" i="24"/>
  <c r="X339" i="24"/>
  <c r="AB339" i="24" s="1"/>
  <c r="Y339" i="24"/>
  <c r="Z339" i="24"/>
  <c r="AA339" i="24"/>
  <c r="X340" i="24"/>
  <c r="Y340" i="24"/>
  <c r="Z340" i="24"/>
  <c r="AA340" i="24"/>
  <c r="AB340" i="24"/>
  <c r="X341" i="24"/>
  <c r="Y341" i="24"/>
  <c r="Z341" i="24"/>
  <c r="AA341" i="24"/>
  <c r="AB341" i="24"/>
  <c r="X342" i="24"/>
  <c r="Y342" i="24"/>
  <c r="Z342" i="24"/>
  <c r="AB342" i="24" s="1"/>
  <c r="AA342" i="24"/>
  <c r="X343" i="24"/>
  <c r="Y343" i="24"/>
  <c r="AB343" i="24" s="1"/>
  <c r="Z343" i="24"/>
  <c r="AA343" i="24"/>
  <c r="X344" i="24"/>
  <c r="AB344" i="24" s="1"/>
  <c r="Y344" i="24"/>
  <c r="Z344" i="24"/>
  <c r="AA344" i="24"/>
  <c r="X345" i="24"/>
  <c r="AB345" i="24" s="1"/>
  <c r="Y345" i="24"/>
  <c r="Z345" i="24"/>
  <c r="AA345" i="24"/>
  <c r="X346" i="24"/>
  <c r="AB346" i="24" s="1"/>
  <c r="Y346" i="24"/>
  <c r="Z346" i="24"/>
  <c r="AA346" i="24"/>
  <c r="X347" i="24"/>
  <c r="AB347" i="24" s="1"/>
  <c r="Y347" i="24"/>
  <c r="Z347" i="24"/>
  <c r="AA347" i="24"/>
  <c r="X348" i="24"/>
  <c r="Y348" i="24"/>
  <c r="Z348" i="24"/>
  <c r="AA348" i="24"/>
  <c r="AB348" i="24"/>
  <c r="X349" i="24"/>
  <c r="Y349" i="24"/>
  <c r="Z349" i="24"/>
  <c r="AA349" i="24"/>
  <c r="AB349" i="24"/>
  <c r="X350" i="24"/>
  <c r="Y350" i="24"/>
  <c r="Z350" i="24"/>
  <c r="AB350" i="24" s="1"/>
  <c r="AA350" i="24"/>
  <c r="X351" i="24"/>
  <c r="Y351" i="24"/>
  <c r="AB351" i="24" s="1"/>
  <c r="Z351" i="24"/>
  <c r="AA351" i="24"/>
  <c r="X352" i="24"/>
  <c r="AB352" i="24" s="1"/>
  <c r="Y352" i="24"/>
  <c r="Z352" i="24"/>
  <c r="AA352" i="24"/>
  <c r="X353" i="24"/>
  <c r="AB353" i="24" s="1"/>
  <c r="Y353" i="24"/>
  <c r="Z353" i="24"/>
  <c r="AA353" i="24"/>
  <c r="X354" i="24"/>
  <c r="AB354" i="24" s="1"/>
  <c r="Y354" i="24"/>
  <c r="Z354" i="24"/>
  <c r="AA354" i="24"/>
  <c r="X355" i="24"/>
  <c r="AB355" i="24" s="1"/>
  <c r="Y355" i="24"/>
  <c r="Z355" i="24"/>
  <c r="AA355" i="24"/>
  <c r="X356" i="24"/>
  <c r="Y356" i="24"/>
  <c r="Z356" i="24"/>
  <c r="AA356" i="24"/>
  <c r="AB356" i="24"/>
  <c r="X357" i="24"/>
  <c r="Y357" i="24"/>
  <c r="Z357" i="24"/>
  <c r="AA357" i="24"/>
  <c r="AB357" i="24"/>
  <c r="X358" i="24"/>
  <c r="Y358" i="24"/>
  <c r="Z358" i="24"/>
  <c r="AB358" i="24" s="1"/>
  <c r="AA358" i="24"/>
  <c r="X359" i="24"/>
  <c r="Y359" i="24"/>
  <c r="AB359" i="24" s="1"/>
  <c r="Z359" i="24"/>
  <c r="AA359" i="24"/>
  <c r="X360" i="24"/>
  <c r="AB360" i="24" s="1"/>
  <c r="Y360" i="24"/>
  <c r="Z360" i="24"/>
  <c r="AA360" i="24"/>
  <c r="X361" i="24"/>
  <c r="AB361" i="24" s="1"/>
  <c r="Y361" i="24"/>
  <c r="Z361" i="24"/>
  <c r="AA361" i="24"/>
  <c r="X362" i="24"/>
  <c r="AB362" i="24" s="1"/>
  <c r="Y362" i="24"/>
  <c r="Z362" i="24"/>
  <c r="AA362" i="24"/>
  <c r="X363" i="24"/>
  <c r="AB363" i="24" s="1"/>
  <c r="Y363" i="24"/>
  <c r="Z363" i="24"/>
  <c r="AA363" i="24"/>
  <c r="X364" i="24"/>
  <c r="Y364" i="24"/>
  <c r="Z364" i="24"/>
  <c r="AA364" i="24"/>
  <c r="AB364" i="24"/>
  <c r="X365" i="24"/>
  <c r="Y365" i="24"/>
  <c r="Z365" i="24"/>
  <c r="AA365" i="24"/>
  <c r="AB365" i="24"/>
  <c r="X366" i="24"/>
  <c r="Y366" i="24"/>
  <c r="Z366" i="24"/>
  <c r="AB366" i="24" s="1"/>
  <c r="AA366" i="24"/>
  <c r="X367" i="24"/>
  <c r="Y367" i="24"/>
  <c r="AB367" i="24" s="1"/>
  <c r="Z367" i="24"/>
  <c r="AA367" i="24"/>
  <c r="X368" i="24"/>
  <c r="AB368" i="24" s="1"/>
  <c r="Y368" i="24"/>
  <c r="Z368" i="24"/>
  <c r="AA368" i="24"/>
  <c r="X369" i="24"/>
  <c r="AB369" i="24" s="1"/>
  <c r="Y369" i="24"/>
  <c r="Z369" i="24"/>
  <c r="AA369" i="24"/>
  <c r="X370" i="24"/>
  <c r="AB370" i="24" s="1"/>
  <c r="Y370" i="24"/>
  <c r="Z370" i="24"/>
  <c r="AA370" i="24"/>
  <c r="X371" i="24"/>
  <c r="AB371" i="24" s="1"/>
  <c r="Y371" i="24"/>
  <c r="Z371" i="24"/>
  <c r="AA371" i="24"/>
  <c r="X372" i="24"/>
  <c r="Y372" i="24"/>
  <c r="Z372" i="24"/>
  <c r="AA372" i="24"/>
  <c r="AB372" i="24"/>
  <c r="X373" i="24"/>
  <c r="Y373" i="24"/>
  <c r="Z373" i="24"/>
  <c r="AA373" i="24"/>
  <c r="AB373" i="24"/>
  <c r="X374" i="24"/>
  <c r="Y374" i="24"/>
  <c r="Z374" i="24"/>
  <c r="AB374" i="24" s="1"/>
  <c r="AA374" i="24"/>
  <c r="X375" i="24"/>
  <c r="Y375" i="24"/>
  <c r="AB375" i="24" s="1"/>
  <c r="Z375" i="24"/>
  <c r="AA375" i="24"/>
  <c r="X376" i="24"/>
  <c r="AB376" i="24" s="1"/>
  <c r="Y376" i="24"/>
  <c r="Z376" i="24"/>
  <c r="AA376" i="24"/>
  <c r="X377" i="24"/>
  <c r="AB377" i="24" s="1"/>
  <c r="Y377" i="24"/>
  <c r="Z377" i="24"/>
  <c r="AA377" i="24"/>
  <c r="X378" i="24"/>
  <c r="AB378" i="24" s="1"/>
  <c r="Y378" i="24"/>
  <c r="Z378" i="24"/>
  <c r="AA378" i="24"/>
  <c r="X379" i="24"/>
  <c r="AB379" i="24" s="1"/>
  <c r="Y379" i="24"/>
  <c r="Z379" i="24"/>
  <c r="AA379" i="24"/>
  <c r="X380" i="24"/>
  <c r="Y380" i="24"/>
  <c r="Z380" i="24"/>
  <c r="AA380" i="24"/>
  <c r="AB380" i="24"/>
  <c r="X381" i="24"/>
  <c r="Y381" i="24"/>
  <c r="Z381" i="24"/>
  <c r="AA381" i="24"/>
  <c r="AB381" i="24"/>
  <c r="X382" i="24"/>
  <c r="Y382" i="24"/>
  <c r="Z382" i="24"/>
  <c r="AB382" i="24" s="1"/>
  <c r="AA382" i="24"/>
  <c r="X383" i="24"/>
  <c r="Y383" i="24"/>
  <c r="AB383" i="24" s="1"/>
  <c r="Z383" i="24"/>
  <c r="AA383" i="24"/>
  <c r="X384" i="24"/>
  <c r="AB384" i="24" s="1"/>
  <c r="Y384" i="24"/>
  <c r="Z384" i="24"/>
  <c r="AA384" i="24"/>
  <c r="X385" i="24"/>
  <c r="AB385" i="24" s="1"/>
  <c r="Y385" i="24"/>
  <c r="Z385" i="24"/>
  <c r="AA385" i="24"/>
  <c r="X386" i="24"/>
  <c r="AB386" i="24" s="1"/>
  <c r="Y386" i="24"/>
  <c r="Z386" i="24"/>
  <c r="AA386" i="24"/>
  <c r="X387" i="24"/>
  <c r="AB387" i="24" s="1"/>
  <c r="Y387" i="24"/>
  <c r="Z387" i="24"/>
  <c r="AA387" i="24"/>
  <c r="X388" i="24"/>
  <c r="Y388" i="24"/>
  <c r="Z388" i="24"/>
  <c r="AA388" i="24"/>
  <c r="AB388" i="24"/>
  <c r="X389" i="24"/>
  <c r="Y389" i="24"/>
  <c r="Z389" i="24"/>
  <c r="AA389" i="24"/>
  <c r="AB389" i="24"/>
  <c r="X390" i="24"/>
  <c r="Y390" i="24"/>
  <c r="Z390" i="24"/>
  <c r="AB390" i="24" s="1"/>
  <c r="AA390" i="24"/>
  <c r="X391" i="24"/>
  <c r="Y391" i="24"/>
  <c r="AB391" i="24" s="1"/>
  <c r="Z391" i="24"/>
  <c r="AA391" i="24"/>
  <c r="X392" i="24"/>
  <c r="AB392" i="24" s="1"/>
  <c r="Y392" i="24"/>
  <c r="Z392" i="24"/>
  <c r="AA392" i="24"/>
  <c r="X393" i="24"/>
  <c r="AB393" i="24" s="1"/>
  <c r="Y393" i="24"/>
  <c r="Z393" i="24"/>
  <c r="AA393" i="24"/>
  <c r="X394" i="24"/>
  <c r="AB394" i="24" s="1"/>
  <c r="Y394" i="24"/>
  <c r="Z394" i="24"/>
  <c r="AA394" i="24"/>
  <c r="X395" i="24"/>
  <c r="AB395" i="24" s="1"/>
  <c r="Y395" i="24"/>
  <c r="Z395" i="24"/>
  <c r="AA395" i="24"/>
  <c r="X396" i="24"/>
  <c r="Y396" i="24"/>
  <c r="Z396" i="24"/>
  <c r="AA396" i="24"/>
  <c r="AB396" i="24"/>
  <c r="X397" i="24"/>
  <c r="Y397" i="24"/>
  <c r="Z397" i="24"/>
  <c r="AA397" i="24"/>
  <c r="AB397" i="24"/>
  <c r="X398" i="24"/>
  <c r="Y398" i="24"/>
  <c r="Z398" i="24"/>
  <c r="AB398" i="24" s="1"/>
  <c r="AA398" i="24"/>
  <c r="X399" i="24"/>
  <c r="Y399" i="24"/>
  <c r="AB399" i="24" s="1"/>
  <c r="Z399" i="24"/>
  <c r="AA399" i="24"/>
  <c r="X400" i="24"/>
  <c r="AB400" i="24" s="1"/>
  <c r="Y400" i="24"/>
  <c r="Z400" i="24"/>
  <c r="AA400" i="24"/>
  <c r="X401" i="24"/>
  <c r="AB401" i="24" s="1"/>
  <c r="Y401" i="24"/>
  <c r="Z401" i="24"/>
  <c r="AA401" i="24"/>
  <c r="X402" i="24"/>
  <c r="AB402" i="24" s="1"/>
  <c r="Y402" i="24"/>
  <c r="Z402" i="24"/>
  <c r="AA402" i="24"/>
  <c r="X403" i="24"/>
  <c r="AB403" i="24" s="1"/>
  <c r="Y403" i="24"/>
  <c r="Z403" i="24"/>
  <c r="AA403" i="24"/>
  <c r="X404" i="24"/>
  <c r="Y404" i="24"/>
  <c r="Z404" i="24"/>
  <c r="AA404" i="24"/>
  <c r="AB404" i="24"/>
  <c r="X405" i="24"/>
  <c r="Y405" i="24"/>
  <c r="Z405" i="24"/>
  <c r="AA405" i="24"/>
  <c r="AB405" i="24"/>
  <c r="X406" i="24"/>
  <c r="Y406" i="24"/>
  <c r="Z406" i="24"/>
  <c r="AB406" i="24" s="1"/>
  <c r="AA406" i="24"/>
  <c r="X407" i="24"/>
  <c r="Y407" i="24"/>
  <c r="AB407" i="24" s="1"/>
  <c r="Z407" i="24"/>
  <c r="AA407" i="24"/>
  <c r="X408" i="24"/>
  <c r="AB408" i="24" s="1"/>
  <c r="Y408" i="24"/>
  <c r="Z408" i="24"/>
  <c r="AA408" i="24"/>
  <c r="X409" i="24"/>
  <c r="AB409" i="24" s="1"/>
  <c r="Y409" i="24"/>
  <c r="Z409" i="24"/>
  <c r="AA409" i="24"/>
  <c r="X410" i="24"/>
  <c r="AB410" i="24" s="1"/>
  <c r="Y410" i="24"/>
  <c r="Z410" i="24"/>
  <c r="AA410" i="24"/>
  <c r="X411" i="24"/>
  <c r="AB411" i="24" s="1"/>
  <c r="Y411" i="24"/>
  <c r="Z411" i="24"/>
  <c r="AA411" i="24"/>
  <c r="X412" i="24"/>
  <c r="Y412" i="24"/>
  <c r="Z412" i="24"/>
  <c r="AA412" i="24"/>
  <c r="AB412" i="24"/>
  <c r="X413" i="24"/>
  <c r="Y413" i="24"/>
  <c r="Z413" i="24"/>
  <c r="AA413" i="24"/>
  <c r="AB413" i="24"/>
  <c r="X414" i="24"/>
  <c r="Y414" i="24"/>
  <c r="Z414" i="24"/>
  <c r="AB414" i="24" s="1"/>
  <c r="AA414" i="24"/>
  <c r="X415" i="24"/>
  <c r="Y415" i="24"/>
  <c r="AB415" i="24" s="1"/>
  <c r="Z415" i="24"/>
  <c r="AA415" i="24"/>
  <c r="X416" i="24"/>
  <c r="AB416" i="24" s="1"/>
  <c r="Y416" i="24"/>
  <c r="Z416" i="24"/>
  <c r="AA416" i="24"/>
  <c r="X417" i="24"/>
  <c r="AB417" i="24" s="1"/>
  <c r="Y417" i="24"/>
  <c r="Z417" i="24"/>
  <c r="AA417" i="24"/>
  <c r="X418" i="24"/>
  <c r="AB418" i="24" s="1"/>
  <c r="Y418" i="24"/>
  <c r="Z418" i="24"/>
  <c r="AA418" i="24"/>
  <c r="X419" i="24"/>
  <c r="AB419" i="24" s="1"/>
  <c r="Y419" i="24"/>
  <c r="Z419" i="24"/>
  <c r="AA419" i="24"/>
  <c r="X420" i="24"/>
  <c r="Y420" i="24"/>
  <c r="Z420" i="24"/>
  <c r="AA420" i="24"/>
  <c r="AB420" i="24"/>
  <c r="X421" i="24"/>
  <c r="Y421" i="24"/>
  <c r="Z421" i="24"/>
  <c r="AA421" i="24"/>
  <c r="AB421" i="24"/>
  <c r="X422" i="24"/>
  <c r="Y422" i="24"/>
  <c r="Z422" i="24"/>
  <c r="AB422" i="24" s="1"/>
  <c r="AA422" i="24"/>
  <c r="X423" i="24"/>
  <c r="Y423" i="24"/>
  <c r="AB423" i="24" s="1"/>
  <c r="Z423" i="24"/>
  <c r="AA423" i="24"/>
  <c r="X424" i="24"/>
  <c r="AB424" i="24" s="1"/>
  <c r="Y424" i="24"/>
  <c r="Z424" i="24"/>
  <c r="AA424" i="24"/>
  <c r="X425" i="24"/>
  <c r="AB425" i="24" s="1"/>
  <c r="Y425" i="24"/>
  <c r="Z425" i="24"/>
  <c r="AA425" i="24"/>
  <c r="X426" i="24"/>
  <c r="AB426" i="24" s="1"/>
  <c r="Y426" i="24"/>
  <c r="Z426" i="24"/>
  <c r="AA426" i="24"/>
  <c r="X427" i="24"/>
  <c r="AB427" i="24" s="1"/>
  <c r="Y427" i="24"/>
  <c r="Z427" i="24"/>
  <c r="AA427" i="24"/>
  <c r="X428" i="24"/>
  <c r="Y428" i="24"/>
  <c r="Z428" i="24"/>
  <c r="AA428" i="24"/>
  <c r="AB428" i="24"/>
  <c r="X429" i="24"/>
  <c r="Y429" i="24"/>
  <c r="Z429" i="24"/>
  <c r="AA429" i="24"/>
  <c r="AB429" i="24"/>
  <c r="X430" i="24"/>
  <c r="Y430" i="24"/>
  <c r="Z430" i="24"/>
  <c r="AB430" i="24" s="1"/>
  <c r="AA430" i="24"/>
  <c r="X431" i="24"/>
  <c r="Y431" i="24"/>
  <c r="AB431" i="24" s="1"/>
  <c r="Z431" i="24"/>
  <c r="AA431" i="24"/>
  <c r="X432" i="24"/>
  <c r="AB432" i="24" s="1"/>
  <c r="Y432" i="24"/>
  <c r="Z432" i="24"/>
  <c r="AA432" i="24"/>
  <c r="X433" i="24"/>
  <c r="AB433" i="24" s="1"/>
  <c r="Y433" i="24"/>
  <c r="Z433" i="24"/>
  <c r="AA433" i="24"/>
  <c r="X434" i="24"/>
  <c r="AB434" i="24" s="1"/>
  <c r="Y434" i="24"/>
  <c r="Z434" i="24"/>
  <c r="AA434" i="24"/>
  <c r="X435" i="24"/>
  <c r="AB435" i="24" s="1"/>
  <c r="Y435" i="24"/>
  <c r="Z435" i="24"/>
  <c r="AA435" i="24"/>
  <c r="X436" i="24"/>
  <c r="Y436" i="24"/>
  <c r="Z436" i="24"/>
  <c r="AA436" i="24"/>
  <c r="AB436" i="24"/>
  <c r="X437" i="24"/>
  <c r="Y437" i="24"/>
  <c r="Z437" i="24"/>
  <c r="AA437" i="24"/>
  <c r="AB437" i="24"/>
  <c r="X438" i="24"/>
  <c r="Y438" i="24"/>
  <c r="Z438" i="24"/>
  <c r="AB438" i="24" s="1"/>
  <c r="AA438" i="24"/>
  <c r="X439" i="24"/>
  <c r="Y439" i="24"/>
  <c r="AB439" i="24" s="1"/>
  <c r="Z439" i="24"/>
  <c r="AA439" i="24"/>
  <c r="X440" i="24"/>
  <c r="AB440" i="24" s="1"/>
  <c r="Y440" i="24"/>
  <c r="Z440" i="24"/>
  <c r="AA440" i="24"/>
  <c r="X441" i="24"/>
  <c r="AB441" i="24" s="1"/>
  <c r="Y441" i="24"/>
  <c r="Z441" i="24"/>
  <c r="AA441" i="24"/>
  <c r="X442" i="24"/>
  <c r="AB442" i="24" s="1"/>
  <c r="Y442" i="24"/>
  <c r="Z442" i="24"/>
  <c r="AA442" i="24"/>
  <c r="X443" i="24"/>
  <c r="AB443" i="24" s="1"/>
  <c r="Y443" i="24"/>
  <c r="Z443" i="24"/>
  <c r="AA443" i="24"/>
  <c r="X444" i="24"/>
  <c r="Y444" i="24"/>
  <c r="Z444" i="24"/>
  <c r="AA444" i="24"/>
  <c r="AB444" i="24"/>
  <c r="X445" i="24"/>
  <c r="Y445" i="24"/>
  <c r="Z445" i="24"/>
  <c r="AA445" i="24"/>
  <c r="AB445" i="24"/>
  <c r="X446" i="24"/>
  <c r="Y446" i="24"/>
  <c r="Z446" i="24"/>
  <c r="AB446" i="24" s="1"/>
  <c r="AA446" i="24"/>
  <c r="X447" i="24"/>
  <c r="Y447" i="24"/>
  <c r="AB447" i="24" s="1"/>
  <c r="Z447" i="24"/>
  <c r="AA447" i="24"/>
  <c r="X448" i="24"/>
  <c r="AB448" i="24" s="1"/>
  <c r="Y448" i="24"/>
  <c r="Z448" i="24"/>
  <c r="AA448" i="24"/>
  <c r="X449" i="24"/>
  <c r="AB449" i="24" s="1"/>
  <c r="Y449" i="24"/>
  <c r="Z449" i="24"/>
  <c r="AA449" i="24"/>
  <c r="X450" i="24"/>
  <c r="AB450" i="24" s="1"/>
  <c r="Y450" i="24"/>
  <c r="Z450" i="24"/>
  <c r="AA450" i="24"/>
  <c r="X451" i="24"/>
  <c r="Y451" i="24"/>
  <c r="AB451" i="24" s="1"/>
  <c r="Z451" i="24"/>
  <c r="AA451" i="24"/>
  <c r="X452" i="24"/>
  <c r="Y452" i="24"/>
  <c r="Z452" i="24"/>
  <c r="AA452" i="24"/>
  <c r="AB452" i="24"/>
  <c r="X453" i="24"/>
  <c r="Y453" i="24"/>
  <c r="Z453" i="24"/>
  <c r="AA453" i="24"/>
  <c r="AB453" i="24"/>
  <c r="X454" i="24"/>
  <c r="Y454" i="24"/>
  <c r="Z454" i="24"/>
  <c r="AB454" i="24" s="1"/>
  <c r="AA454" i="24"/>
  <c r="X455" i="24"/>
  <c r="Y455" i="24"/>
  <c r="AB455" i="24" s="1"/>
  <c r="Z455" i="24"/>
  <c r="AA455" i="24"/>
  <c r="X456" i="24"/>
  <c r="AB456" i="24" s="1"/>
  <c r="Y456" i="24"/>
  <c r="Z456" i="24"/>
  <c r="AA456" i="24"/>
  <c r="X457" i="24"/>
  <c r="AB457" i="24" s="1"/>
  <c r="Y457" i="24"/>
  <c r="Z457" i="24"/>
  <c r="AA457" i="24"/>
  <c r="X458" i="24"/>
  <c r="AB458" i="24" s="1"/>
  <c r="Y458" i="24"/>
  <c r="Z458" i="24"/>
  <c r="AA458" i="24"/>
  <c r="X459" i="24"/>
  <c r="AB459" i="24" s="1"/>
  <c r="Y459" i="24"/>
  <c r="Z459" i="24"/>
  <c r="AA459" i="24"/>
  <c r="X460" i="24"/>
  <c r="Y460" i="24"/>
  <c r="Z460" i="24"/>
  <c r="AA460" i="24"/>
  <c r="AB460" i="24"/>
  <c r="N2" i="24"/>
  <c r="N3" i="24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8" i="24"/>
  <c r="N139" i="24"/>
  <c r="N140" i="24"/>
  <c r="N141" i="24"/>
  <c r="N142" i="24"/>
  <c r="N143" i="24"/>
  <c r="N144" i="24"/>
  <c r="N145" i="24"/>
  <c r="N146" i="24"/>
  <c r="N147" i="24"/>
  <c r="N148" i="24"/>
  <c r="N149" i="24"/>
  <c r="N150" i="24"/>
  <c r="N151" i="24"/>
  <c r="N152" i="24"/>
  <c r="N153" i="24"/>
  <c r="N154" i="24"/>
  <c r="N155" i="24"/>
  <c r="N156" i="24"/>
  <c r="N157" i="24"/>
  <c r="N158" i="24"/>
  <c r="N159" i="24"/>
  <c r="N160" i="24"/>
  <c r="N161" i="24"/>
  <c r="N162" i="24"/>
  <c r="N163" i="24"/>
  <c r="N164" i="24"/>
  <c r="N165" i="24"/>
  <c r="N166" i="24"/>
  <c r="N167" i="24"/>
  <c r="N168" i="24"/>
  <c r="N169" i="24"/>
  <c r="N170" i="24"/>
  <c r="N171" i="24"/>
  <c r="N172" i="24"/>
  <c r="N173" i="24"/>
  <c r="N174" i="24"/>
  <c r="N175" i="24"/>
  <c r="N176" i="24"/>
  <c r="N177" i="24"/>
  <c r="N178" i="24"/>
  <c r="N179" i="24"/>
  <c r="N180" i="24"/>
  <c r="N181" i="24"/>
  <c r="N182" i="24"/>
  <c r="N183" i="24"/>
  <c r="N184" i="24"/>
  <c r="N185" i="24"/>
  <c r="N186" i="24"/>
  <c r="N187" i="24"/>
  <c r="N188" i="24"/>
  <c r="N189" i="24"/>
  <c r="N190" i="24"/>
  <c r="N191" i="24"/>
  <c r="N192" i="24"/>
  <c r="N193" i="24"/>
  <c r="N194" i="24"/>
  <c r="N195" i="24"/>
  <c r="N196" i="24"/>
  <c r="N197" i="24"/>
  <c r="N198" i="24"/>
  <c r="N199" i="24"/>
  <c r="N200" i="24"/>
  <c r="N201" i="24"/>
  <c r="N202" i="24"/>
  <c r="N203" i="24"/>
  <c r="N204" i="24"/>
  <c r="N205" i="24"/>
  <c r="N206" i="24"/>
  <c r="N207" i="24"/>
  <c r="N208" i="24"/>
  <c r="N209" i="24"/>
  <c r="N210" i="24"/>
  <c r="N211" i="24"/>
  <c r="N212" i="24"/>
  <c r="N213" i="24"/>
  <c r="N214" i="24"/>
  <c r="N215" i="24"/>
  <c r="N216" i="24"/>
  <c r="N217" i="24"/>
  <c r="N218" i="24"/>
  <c r="N219" i="24"/>
  <c r="N220" i="24"/>
  <c r="N221" i="24"/>
  <c r="N222" i="24"/>
  <c r="N223" i="24"/>
  <c r="N224" i="24"/>
  <c r="N225" i="24"/>
  <c r="N226" i="24"/>
  <c r="N227" i="24"/>
  <c r="N228" i="24"/>
  <c r="N229" i="24"/>
  <c r="N230" i="24"/>
  <c r="N231" i="24"/>
  <c r="N232" i="24"/>
  <c r="N233" i="24"/>
  <c r="N234" i="24"/>
  <c r="N235" i="24"/>
  <c r="N236" i="24"/>
  <c r="N237" i="24"/>
  <c r="N238" i="24"/>
  <c r="N239" i="24"/>
  <c r="N240" i="24"/>
  <c r="N241" i="24"/>
  <c r="N242" i="24"/>
  <c r="N243" i="24"/>
  <c r="N244" i="24"/>
  <c r="N245" i="24"/>
  <c r="N246" i="24"/>
  <c r="N247" i="24"/>
  <c r="N248" i="24"/>
  <c r="N249" i="24"/>
  <c r="N250" i="24"/>
  <c r="N251" i="24"/>
  <c r="N252" i="24"/>
  <c r="N253" i="24"/>
  <c r="N254" i="24"/>
  <c r="N255" i="24"/>
  <c r="N256" i="24"/>
  <c r="N257" i="24"/>
  <c r="N258" i="24"/>
  <c r="N259" i="24"/>
  <c r="N260" i="24"/>
  <c r="N261" i="24"/>
  <c r="N262" i="24"/>
  <c r="N263" i="24"/>
  <c r="N264" i="24"/>
  <c r="N265" i="24"/>
  <c r="N266" i="24"/>
  <c r="N267" i="24"/>
  <c r="N268" i="24"/>
  <c r="N269" i="24"/>
  <c r="N270" i="24"/>
  <c r="N271" i="24"/>
  <c r="N272" i="24"/>
  <c r="N273" i="24"/>
  <c r="N274" i="24"/>
  <c r="N275" i="24"/>
  <c r="N276" i="24"/>
  <c r="N277" i="24"/>
  <c r="N278" i="24"/>
  <c r="N279" i="24"/>
  <c r="N280" i="24"/>
  <c r="N281" i="24"/>
  <c r="N282" i="24"/>
  <c r="N283" i="24"/>
  <c r="N284" i="24"/>
  <c r="N285" i="24"/>
  <c r="N286" i="24"/>
  <c r="N287" i="24"/>
  <c r="N288" i="24"/>
  <c r="N289" i="24"/>
  <c r="N290" i="24"/>
  <c r="N291" i="24"/>
  <c r="N292" i="24"/>
  <c r="N293" i="24"/>
  <c r="N294" i="24"/>
  <c r="N295" i="24"/>
  <c r="N296" i="24"/>
  <c r="N297" i="24"/>
  <c r="N298" i="24"/>
  <c r="N299" i="24"/>
  <c r="N300" i="24"/>
  <c r="N301" i="24"/>
  <c r="N302" i="24"/>
  <c r="N303" i="24"/>
  <c r="N304" i="24"/>
  <c r="N305" i="24"/>
  <c r="N306" i="24"/>
  <c r="N307" i="24"/>
  <c r="N308" i="24"/>
  <c r="N309" i="24"/>
  <c r="N310" i="24"/>
  <c r="N311" i="24"/>
  <c r="N312" i="24"/>
  <c r="N313" i="24"/>
  <c r="N314" i="24"/>
  <c r="N315" i="24"/>
  <c r="N316" i="24"/>
  <c r="N317" i="24"/>
  <c r="N318" i="24"/>
  <c r="N319" i="24"/>
  <c r="N320" i="24"/>
  <c r="N321" i="24"/>
  <c r="N322" i="24"/>
  <c r="N323" i="24"/>
  <c r="N324" i="24"/>
  <c r="N325" i="24"/>
  <c r="N326" i="24"/>
  <c r="N327" i="24"/>
  <c r="N328" i="24"/>
  <c r="N329" i="24"/>
  <c r="N330" i="24"/>
  <c r="N331" i="24"/>
  <c r="N332" i="24"/>
  <c r="N333" i="24"/>
  <c r="N334" i="24"/>
  <c r="N335" i="24"/>
  <c r="N336" i="24"/>
  <c r="N337" i="24"/>
  <c r="N338" i="24"/>
  <c r="N339" i="24"/>
  <c r="N340" i="24"/>
  <c r="N341" i="24"/>
  <c r="N342" i="24"/>
  <c r="N343" i="24"/>
  <c r="N344" i="24"/>
  <c r="N345" i="24"/>
  <c r="N346" i="24"/>
  <c r="N347" i="24"/>
  <c r="N348" i="24"/>
  <c r="N349" i="24"/>
  <c r="N350" i="24"/>
  <c r="N351" i="24"/>
  <c r="N352" i="24"/>
  <c r="N353" i="24"/>
  <c r="N354" i="24"/>
  <c r="N355" i="24"/>
  <c r="N356" i="24"/>
  <c r="N357" i="24"/>
  <c r="N358" i="24"/>
  <c r="N359" i="24"/>
  <c r="N360" i="24"/>
  <c r="N361" i="24"/>
  <c r="N362" i="24"/>
  <c r="N363" i="24"/>
  <c r="N364" i="24"/>
  <c r="N365" i="24"/>
  <c r="N366" i="24"/>
  <c r="N367" i="24"/>
  <c r="N368" i="24"/>
  <c r="N369" i="24"/>
  <c r="N370" i="24"/>
  <c r="N371" i="24"/>
  <c r="N372" i="24"/>
  <c r="N373" i="24"/>
  <c r="N374" i="24"/>
  <c r="N375" i="24"/>
  <c r="N376" i="24"/>
  <c r="N377" i="24"/>
  <c r="N378" i="24"/>
  <c r="N379" i="24"/>
  <c r="N380" i="24"/>
  <c r="N381" i="24"/>
  <c r="N382" i="24"/>
  <c r="N383" i="24"/>
  <c r="N384" i="24"/>
  <c r="N385" i="24"/>
  <c r="N386" i="24"/>
  <c r="N387" i="24"/>
  <c r="N388" i="24"/>
  <c r="N389" i="24"/>
  <c r="N390" i="24"/>
  <c r="N391" i="24"/>
  <c r="N392" i="24"/>
  <c r="N393" i="24"/>
  <c r="N394" i="24"/>
  <c r="N395" i="24"/>
  <c r="N396" i="24"/>
  <c r="N397" i="24"/>
  <c r="N398" i="24"/>
  <c r="N399" i="24"/>
  <c r="N400" i="24"/>
  <c r="N401" i="24"/>
  <c r="N402" i="24"/>
  <c r="N403" i="24"/>
  <c r="N404" i="24"/>
  <c r="N405" i="24"/>
  <c r="N406" i="24"/>
  <c r="N407" i="24"/>
  <c r="N408" i="24"/>
  <c r="N409" i="24"/>
  <c r="N410" i="24"/>
  <c r="N411" i="24"/>
  <c r="N412" i="24"/>
  <c r="N413" i="24"/>
  <c r="N414" i="24"/>
  <c r="N415" i="24"/>
  <c r="N416" i="24"/>
  <c r="N417" i="24"/>
  <c r="N418" i="24"/>
  <c r="N419" i="24"/>
  <c r="N420" i="24"/>
  <c r="N421" i="24"/>
  <c r="N422" i="24"/>
  <c r="N423" i="24"/>
  <c r="N424" i="24"/>
  <c r="N425" i="24"/>
  <c r="N426" i="24"/>
  <c r="N427" i="24"/>
  <c r="N428" i="24"/>
  <c r="N429" i="24"/>
  <c r="N430" i="24"/>
  <c r="N431" i="24"/>
  <c r="N432" i="24"/>
  <c r="N433" i="24"/>
  <c r="N434" i="24"/>
  <c r="N435" i="24"/>
  <c r="N436" i="24"/>
  <c r="N437" i="24"/>
  <c r="N438" i="24"/>
  <c r="N439" i="24"/>
  <c r="N440" i="24"/>
  <c r="N441" i="24"/>
  <c r="N442" i="24"/>
  <c r="N443" i="24"/>
  <c r="N444" i="24"/>
  <c r="N445" i="24"/>
  <c r="N446" i="24"/>
  <c r="N447" i="24"/>
  <c r="N448" i="24"/>
  <c r="N449" i="24"/>
  <c r="N450" i="24"/>
  <c r="N451" i="24"/>
  <c r="N452" i="24"/>
  <c r="N453" i="24"/>
  <c r="N454" i="24"/>
  <c r="N455" i="24"/>
  <c r="N456" i="24"/>
  <c r="N457" i="24"/>
  <c r="N458" i="24"/>
  <c r="N459" i="24"/>
  <c r="N460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M117" i="24"/>
  <c r="M118" i="24"/>
  <c r="M119" i="24"/>
  <c r="M120" i="24"/>
  <c r="M121" i="24"/>
  <c r="M122" i="24"/>
  <c r="M123" i="24"/>
  <c r="M124" i="24"/>
  <c r="M125" i="24"/>
  <c r="M126" i="24"/>
  <c r="M127" i="24"/>
  <c r="M128" i="24"/>
  <c r="M129" i="24"/>
  <c r="M130" i="24"/>
  <c r="M131" i="24"/>
  <c r="M132" i="24"/>
  <c r="M133" i="24"/>
  <c r="M134" i="24"/>
  <c r="M135" i="24"/>
  <c r="M136" i="24"/>
  <c r="M137" i="24"/>
  <c r="M138" i="24"/>
  <c r="M139" i="24"/>
  <c r="M140" i="24"/>
  <c r="M141" i="24"/>
  <c r="M142" i="24"/>
  <c r="M143" i="24"/>
  <c r="M144" i="24"/>
  <c r="M145" i="24"/>
  <c r="M146" i="24"/>
  <c r="M147" i="24"/>
  <c r="M148" i="24"/>
  <c r="M149" i="24"/>
  <c r="M150" i="24"/>
  <c r="M151" i="24"/>
  <c r="M152" i="24"/>
  <c r="M153" i="24"/>
  <c r="M154" i="24"/>
  <c r="M155" i="24"/>
  <c r="M156" i="24"/>
  <c r="M157" i="24"/>
  <c r="M158" i="24"/>
  <c r="M159" i="24"/>
  <c r="M160" i="24"/>
  <c r="M161" i="24"/>
  <c r="M162" i="24"/>
  <c r="M163" i="24"/>
  <c r="M164" i="24"/>
  <c r="M165" i="24"/>
  <c r="M166" i="24"/>
  <c r="M167" i="24"/>
  <c r="M168" i="24"/>
  <c r="M169" i="24"/>
  <c r="M170" i="24"/>
  <c r="M171" i="24"/>
  <c r="M172" i="24"/>
  <c r="M173" i="24"/>
  <c r="M174" i="24"/>
  <c r="M175" i="24"/>
  <c r="M176" i="24"/>
  <c r="M177" i="24"/>
  <c r="M178" i="24"/>
  <c r="M179" i="24"/>
  <c r="M180" i="24"/>
  <c r="M181" i="24"/>
  <c r="M182" i="24"/>
  <c r="M183" i="24"/>
  <c r="M184" i="24"/>
  <c r="M185" i="24"/>
  <c r="M186" i="24"/>
  <c r="M187" i="24"/>
  <c r="M188" i="24"/>
  <c r="M189" i="24"/>
  <c r="M190" i="24"/>
  <c r="M191" i="24"/>
  <c r="M192" i="24"/>
  <c r="M193" i="24"/>
  <c r="M194" i="24"/>
  <c r="M195" i="24"/>
  <c r="M196" i="24"/>
  <c r="M197" i="24"/>
  <c r="M198" i="24"/>
  <c r="M199" i="24"/>
  <c r="M200" i="24"/>
  <c r="M201" i="24"/>
  <c r="M202" i="24"/>
  <c r="M203" i="24"/>
  <c r="M204" i="24"/>
  <c r="M205" i="24"/>
  <c r="M206" i="24"/>
  <c r="M207" i="24"/>
  <c r="M208" i="24"/>
  <c r="M209" i="24"/>
  <c r="M210" i="24"/>
  <c r="M211" i="24"/>
  <c r="M212" i="24"/>
  <c r="M213" i="24"/>
  <c r="M214" i="24"/>
  <c r="M215" i="24"/>
  <c r="M216" i="24"/>
  <c r="M217" i="24"/>
  <c r="M218" i="24"/>
  <c r="M219" i="24"/>
  <c r="M220" i="24"/>
  <c r="M221" i="24"/>
  <c r="M222" i="24"/>
  <c r="M223" i="24"/>
  <c r="M224" i="24"/>
  <c r="M225" i="24"/>
  <c r="M226" i="24"/>
  <c r="M227" i="24"/>
  <c r="M228" i="24"/>
  <c r="M229" i="24"/>
  <c r="M230" i="24"/>
  <c r="M231" i="24"/>
  <c r="M232" i="24"/>
  <c r="M233" i="24"/>
  <c r="M234" i="24"/>
  <c r="M235" i="24"/>
  <c r="M236" i="24"/>
  <c r="M237" i="24"/>
  <c r="M238" i="24"/>
  <c r="M239" i="24"/>
  <c r="M240" i="24"/>
  <c r="M241" i="24"/>
  <c r="M242" i="24"/>
  <c r="M243" i="24"/>
  <c r="M244" i="24"/>
  <c r="M245" i="24"/>
  <c r="M246" i="24"/>
  <c r="M247" i="24"/>
  <c r="M248" i="24"/>
  <c r="M249" i="24"/>
  <c r="M250" i="24"/>
  <c r="M251" i="24"/>
  <c r="M252" i="24"/>
  <c r="M253" i="24"/>
  <c r="M254" i="24"/>
  <c r="M255" i="24"/>
  <c r="M256" i="24"/>
  <c r="M257" i="24"/>
  <c r="M258" i="24"/>
  <c r="M259" i="24"/>
  <c r="M260" i="24"/>
  <c r="M261" i="24"/>
  <c r="M262" i="24"/>
  <c r="M263" i="24"/>
  <c r="M264" i="24"/>
  <c r="M265" i="24"/>
  <c r="M266" i="24"/>
  <c r="M267" i="24"/>
  <c r="M268" i="24"/>
  <c r="M269" i="24"/>
  <c r="M270" i="24"/>
  <c r="M271" i="24"/>
  <c r="M272" i="24"/>
  <c r="M273" i="24"/>
  <c r="M274" i="24"/>
  <c r="M275" i="24"/>
  <c r="M276" i="24"/>
  <c r="M277" i="24"/>
  <c r="M278" i="24"/>
  <c r="M279" i="24"/>
  <c r="M280" i="24"/>
  <c r="M281" i="24"/>
  <c r="M282" i="24"/>
  <c r="M283" i="24"/>
  <c r="M284" i="24"/>
  <c r="M285" i="24"/>
  <c r="M286" i="24"/>
  <c r="M287" i="24"/>
  <c r="M288" i="24"/>
  <c r="M289" i="24"/>
  <c r="M290" i="24"/>
  <c r="M291" i="24"/>
  <c r="M292" i="24"/>
  <c r="M293" i="24"/>
  <c r="M294" i="24"/>
  <c r="M295" i="24"/>
  <c r="M296" i="24"/>
  <c r="M297" i="24"/>
  <c r="M298" i="24"/>
  <c r="M299" i="24"/>
  <c r="M300" i="24"/>
  <c r="M301" i="24"/>
  <c r="M302" i="24"/>
  <c r="M303" i="24"/>
  <c r="M304" i="24"/>
  <c r="M305" i="24"/>
  <c r="M306" i="24"/>
  <c r="M307" i="24"/>
  <c r="M308" i="24"/>
  <c r="M309" i="24"/>
  <c r="M310" i="24"/>
  <c r="M311" i="24"/>
  <c r="M312" i="24"/>
  <c r="M313" i="24"/>
  <c r="M314" i="24"/>
  <c r="M315" i="24"/>
  <c r="M316" i="24"/>
  <c r="M317" i="24"/>
  <c r="M318" i="24"/>
  <c r="M319" i="24"/>
  <c r="M320" i="24"/>
  <c r="M321" i="24"/>
  <c r="M322" i="24"/>
  <c r="M323" i="24"/>
  <c r="M324" i="24"/>
  <c r="M325" i="24"/>
  <c r="M326" i="24"/>
  <c r="M327" i="24"/>
  <c r="M328" i="24"/>
  <c r="M329" i="24"/>
  <c r="M330" i="24"/>
  <c r="M331" i="24"/>
  <c r="M332" i="24"/>
  <c r="M333" i="24"/>
  <c r="M334" i="24"/>
  <c r="M335" i="24"/>
  <c r="M336" i="24"/>
  <c r="M337" i="24"/>
  <c r="M338" i="24"/>
  <c r="M339" i="24"/>
  <c r="M340" i="24"/>
  <c r="M341" i="24"/>
  <c r="M342" i="24"/>
  <c r="M343" i="24"/>
  <c r="M344" i="24"/>
  <c r="M345" i="24"/>
  <c r="M346" i="24"/>
  <c r="M347" i="24"/>
  <c r="M348" i="24"/>
  <c r="M349" i="24"/>
  <c r="M350" i="24"/>
  <c r="M351" i="24"/>
  <c r="M352" i="24"/>
  <c r="M353" i="24"/>
  <c r="M354" i="24"/>
  <c r="M355" i="24"/>
  <c r="M356" i="24"/>
  <c r="M357" i="24"/>
  <c r="M358" i="24"/>
  <c r="M359" i="24"/>
  <c r="M360" i="24"/>
  <c r="M361" i="24"/>
  <c r="M362" i="24"/>
  <c r="M363" i="24"/>
  <c r="M364" i="24"/>
  <c r="M365" i="24"/>
  <c r="M366" i="24"/>
  <c r="M367" i="24"/>
  <c r="M368" i="24"/>
  <c r="M369" i="24"/>
  <c r="M370" i="24"/>
  <c r="M371" i="24"/>
  <c r="M372" i="24"/>
  <c r="M373" i="24"/>
  <c r="M374" i="24"/>
  <c r="M375" i="24"/>
  <c r="M376" i="24"/>
  <c r="M377" i="24"/>
  <c r="M378" i="24"/>
  <c r="M379" i="24"/>
  <c r="M380" i="24"/>
  <c r="M381" i="24"/>
  <c r="M382" i="24"/>
  <c r="M383" i="24"/>
  <c r="M384" i="24"/>
  <c r="M385" i="24"/>
  <c r="M386" i="24"/>
  <c r="M387" i="24"/>
  <c r="M388" i="24"/>
  <c r="M389" i="24"/>
  <c r="M390" i="24"/>
  <c r="M391" i="24"/>
  <c r="M392" i="24"/>
  <c r="M393" i="24"/>
  <c r="M394" i="24"/>
  <c r="M395" i="24"/>
  <c r="M396" i="24"/>
  <c r="M397" i="24"/>
  <c r="M398" i="24"/>
  <c r="M399" i="24"/>
  <c r="M400" i="24"/>
  <c r="M401" i="24"/>
  <c r="M402" i="24"/>
  <c r="M403" i="24"/>
  <c r="M404" i="24"/>
  <c r="M405" i="24"/>
  <c r="M406" i="24"/>
  <c r="M407" i="24"/>
  <c r="M408" i="24"/>
  <c r="M409" i="24"/>
  <c r="M410" i="24"/>
  <c r="M411" i="24"/>
  <c r="M412" i="24"/>
  <c r="M413" i="24"/>
  <c r="M414" i="24"/>
  <c r="M415" i="24"/>
  <c r="M416" i="24"/>
  <c r="M417" i="24"/>
  <c r="M418" i="24"/>
  <c r="M419" i="24"/>
  <c r="M420" i="24"/>
  <c r="M421" i="24"/>
  <c r="M422" i="24"/>
  <c r="M423" i="24"/>
  <c r="M424" i="24"/>
  <c r="M425" i="24"/>
  <c r="M426" i="24"/>
  <c r="M427" i="24"/>
  <c r="M428" i="24"/>
  <c r="M429" i="24"/>
  <c r="M430" i="24"/>
  <c r="M431" i="24"/>
  <c r="M432" i="24"/>
  <c r="M433" i="24"/>
  <c r="M434" i="24"/>
  <c r="M435" i="24"/>
  <c r="M436" i="24"/>
  <c r="M437" i="24"/>
  <c r="M438" i="24"/>
  <c r="M439" i="24"/>
  <c r="M440" i="24"/>
  <c r="M441" i="24"/>
  <c r="M442" i="24"/>
  <c r="M443" i="24"/>
  <c r="M444" i="24"/>
  <c r="M445" i="24"/>
  <c r="M446" i="24"/>
  <c r="M447" i="24"/>
  <c r="M448" i="24"/>
  <c r="M449" i="24"/>
  <c r="M450" i="24"/>
  <c r="M451" i="24"/>
  <c r="M452" i="24"/>
  <c r="M453" i="24"/>
  <c r="M454" i="24"/>
  <c r="M455" i="24"/>
  <c r="M456" i="24"/>
  <c r="M457" i="24"/>
  <c r="M458" i="24"/>
  <c r="M459" i="24"/>
  <c r="M460" i="24"/>
  <c r="M2" i="24"/>
  <c r="L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L117" i="24"/>
  <c r="L118" i="24"/>
  <c r="L119" i="24"/>
  <c r="L120" i="24"/>
  <c r="L121" i="24"/>
  <c r="L122" i="24"/>
  <c r="L123" i="24"/>
  <c r="L124" i="24"/>
  <c r="L125" i="24"/>
  <c r="L126" i="24"/>
  <c r="L127" i="24"/>
  <c r="L128" i="24"/>
  <c r="L129" i="24"/>
  <c r="L130" i="24"/>
  <c r="L131" i="24"/>
  <c r="L132" i="24"/>
  <c r="L133" i="24"/>
  <c r="L134" i="24"/>
  <c r="L135" i="24"/>
  <c r="L136" i="24"/>
  <c r="L137" i="24"/>
  <c r="L138" i="24"/>
  <c r="L139" i="24"/>
  <c r="L140" i="24"/>
  <c r="L141" i="24"/>
  <c r="L142" i="24"/>
  <c r="L143" i="24"/>
  <c r="L144" i="24"/>
  <c r="L145" i="24"/>
  <c r="L146" i="24"/>
  <c r="L147" i="24"/>
  <c r="L148" i="24"/>
  <c r="L149" i="24"/>
  <c r="L150" i="24"/>
  <c r="L151" i="24"/>
  <c r="L152" i="24"/>
  <c r="L153" i="24"/>
  <c r="L154" i="24"/>
  <c r="L155" i="24"/>
  <c r="L156" i="24"/>
  <c r="L157" i="24"/>
  <c r="L158" i="24"/>
  <c r="L159" i="24"/>
  <c r="L160" i="24"/>
  <c r="L161" i="24"/>
  <c r="L162" i="24"/>
  <c r="L163" i="24"/>
  <c r="L164" i="24"/>
  <c r="L165" i="24"/>
  <c r="L166" i="24"/>
  <c r="L167" i="24"/>
  <c r="L168" i="24"/>
  <c r="L169" i="24"/>
  <c r="L170" i="24"/>
  <c r="L171" i="24"/>
  <c r="L172" i="24"/>
  <c r="L173" i="24"/>
  <c r="L174" i="24"/>
  <c r="L175" i="24"/>
  <c r="L176" i="24"/>
  <c r="L177" i="24"/>
  <c r="L178" i="24"/>
  <c r="L179" i="24"/>
  <c r="L180" i="24"/>
  <c r="L181" i="24"/>
  <c r="L182" i="24"/>
  <c r="L183" i="24"/>
  <c r="L184" i="24"/>
  <c r="L185" i="24"/>
  <c r="L186" i="24"/>
  <c r="L187" i="24"/>
  <c r="L188" i="24"/>
  <c r="L189" i="24"/>
  <c r="L190" i="24"/>
  <c r="L191" i="24"/>
  <c r="L192" i="24"/>
  <c r="L193" i="24"/>
  <c r="L194" i="24"/>
  <c r="L195" i="24"/>
  <c r="L196" i="24"/>
  <c r="L197" i="24"/>
  <c r="L198" i="24"/>
  <c r="L199" i="24"/>
  <c r="L200" i="24"/>
  <c r="L201" i="24"/>
  <c r="L202" i="24"/>
  <c r="L203" i="24"/>
  <c r="L204" i="24"/>
  <c r="L205" i="24"/>
  <c r="L206" i="24"/>
  <c r="L207" i="24"/>
  <c r="L208" i="24"/>
  <c r="L209" i="24"/>
  <c r="L210" i="24"/>
  <c r="L211" i="24"/>
  <c r="L212" i="24"/>
  <c r="L213" i="24"/>
  <c r="L214" i="24"/>
  <c r="L215" i="24"/>
  <c r="L216" i="24"/>
  <c r="L217" i="24"/>
  <c r="L218" i="24"/>
  <c r="L219" i="24"/>
  <c r="L220" i="24"/>
  <c r="L221" i="24"/>
  <c r="L222" i="24"/>
  <c r="L223" i="24"/>
  <c r="L224" i="24"/>
  <c r="L225" i="24"/>
  <c r="L226" i="24"/>
  <c r="L227" i="24"/>
  <c r="L228" i="24"/>
  <c r="L229" i="24"/>
  <c r="L230" i="24"/>
  <c r="L231" i="24"/>
  <c r="L232" i="24"/>
  <c r="L233" i="24"/>
  <c r="L234" i="24"/>
  <c r="L235" i="24"/>
  <c r="L236" i="24"/>
  <c r="L237" i="24"/>
  <c r="L238" i="24"/>
  <c r="L239" i="24"/>
  <c r="L240" i="24"/>
  <c r="L241" i="24"/>
  <c r="L242" i="24"/>
  <c r="L243" i="24"/>
  <c r="L244" i="24"/>
  <c r="L245" i="24"/>
  <c r="L246" i="24"/>
  <c r="L247" i="24"/>
  <c r="L248" i="24"/>
  <c r="L249" i="24"/>
  <c r="L250" i="24"/>
  <c r="L251" i="24"/>
  <c r="L252" i="24"/>
  <c r="L253" i="24"/>
  <c r="L254" i="24"/>
  <c r="L255" i="24"/>
  <c r="L256" i="24"/>
  <c r="L257" i="24"/>
  <c r="L258" i="24"/>
  <c r="L259" i="24"/>
  <c r="L260" i="24"/>
  <c r="L261" i="24"/>
  <c r="L262" i="24"/>
  <c r="L263" i="24"/>
  <c r="L264" i="24"/>
  <c r="L265" i="24"/>
  <c r="L266" i="24"/>
  <c r="L267" i="24"/>
  <c r="L268" i="24"/>
  <c r="L269" i="24"/>
  <c r="L270" i="24"/>
  <c r="L271" i="24"/>
  <c r="L272" i="24"/>
  <c r="L273" i="24"/>
  <c r="L274" i="24"/>
  <c r="L275" i="24"/>
  <c r="L276" i="24"/>
  <c r="L277" i="24"/>
  <c r="L278" i="24"/>
  <c r="L279" i="24"/>
  <c r="L280" i="24"/>
  <c r="L281" i="24"/>
  <c r="L282" i="24"/>
  <c r="L283" i="24"/>
  <c r="L284" i="24"/>
  <c r="L285" i="24"/>
  <c r="L286" i="24"/>
  <c r="L287" i="24"/>
  <c r="L288" i="24"/>
  <c r="L289" i="24"/>
  <c r="L290" i="24"/>
  <c r="L291" i="24"/>
  <c r="L292" i="24"/>
  <c r="L293" i="24"/>
  <c r="L294" i="24"/>
  <c r="L295" i="24"/>
  <c r="L296" i="24"/>
  <c r="L297" i="24"/>
  <c r="L298" i="24"/>
  <c r="L299" i="24"/>
  <c r="L300" i="24"/>
  <c r="L301" i="24"/>
  <c r="L302" i="24"/>
  <c r="L303" i="24"/>
  <c r="L304" i="24"/>
  <c r="L305" i="24"/>
  <c r="L306" i="24"/>
  <c r="L307" i="24"/>
  <c r="L308" i="24"/>
  <c r="L309" i="24"/>
  <c r="L310" i="24"/>
  <c r="L311" i="24"/>
  <c r="L312" i="24"/>
  <c r="L313" i="24"/>
  <c r="L314" i="24"/>
  <c r="L315" i="24"/>
  <c r="L316" i="24"/>
  <c r="L317" i="24"/>
  <c r="L318" i="24"/>
  <c r="L319" i="24"/>
  <c r="L320" i="24"/>
  <c r="L321" i="24"/>
  <c r="L322" i="24"/>
  <c r="L323" i="24"/>
  <c r="L324" i="24"/>
  <c r="L325" i="24"/>
  <c r="L326" i="24"/>
  <c r="L327" i="24"/>
  <c r="L328" i="24"/>
  <c r="L329" i="24"/>
  <c r="L330" i="24"/>
  <c r="L331" i="24"/>
  <c r="L332" i="24"/>
  <c r="L333" i="24"/>
  <c r="L334" i="24"/>
  <c r="L335" i="24"/>
  <c r="L336" i="24"/>
  <c r="L337" i="24"/>
  <c r="L338" i="24"/>
  <c r="L339" i="24"/>
  <c r="L340" i="24"/>
  <c r="L341" i="24"/>
  <c r="L342" i="24"/>
  <c r="L343" i="24"/>
  <c r="L344" i="24"/>
  <c r="L345" i="24"/>
  <c r="L346" i="24"/>
  <c r="L347" i="24"/>
  <c r="L348" i="24"/>
  <c r="L349" i="24"/>
  <c r="L350" i="24"/>
  <c r="L351" i="24"/>
  <c r="L352" i="24"/>
  <c r="L353" i="24"/>
  <c r="L354" i="24"/>
  <c r="L355" i="24"/>
  <c r="L356" i="24"/>
  <c r="L357" i="24"/>
  <c r="L358" i="24"/>
  <c r="L359" i="24"/>
  <c r="L360" i="24"/>
  <c r="L361" i="24"/>
  <c r="L362" i="24"/>
  <c r="L363" i="24"/>
  <c r="L364" i="24"/>
  <c r="L365" i="24"/>
  <c r="L366" i="24"/>
  <c r="L367" i="24"/>
  <c r="L368" i="24"/>
  <c r="L369" i="24"/>
  <c r="L370" i="24"/>
  <c r="L371" i="24"/>
  <c r="L372" i="24"/>
  <c r="L373" i="24"/>
  <c r="L374" i="24"/>
  <c r="L375" i="24"/>
  <c r="L376" i="24"/>
  <c r="L377" i="24"/>
  <c r="L378" i="24"/>
  <c r="L379" i="24"/>
  <c r="L380" i="24"/>
  <c r="L381" i="24"/>
  <c r="L382" i="24"/>
  <c r="L383" i="24"/>
  <c r="L384" i="24"/>
  <c r="L385" i="24"/>
  <c r="L386" i="24"/>
  <c r="L387" i="24"/>
  <c r="L388" i="24"/>
  <c r="L389" i="24"/>
  <c r="L390" i="24"/>
  <c r="L391" i="24"/>
  <c r="L392" i="24"/>
  <c r="L393" i="24"/>
  <c r="L394" i="24"/>
  <c r="L395" i="24"/>
  <c r="L396" i="24"/>
  <c r="L397" i="24"/>
  <c r="L398" i="24"/>
  <c r="L399" i="24"/>
  <c r="L400" i="24"/>
  <c r="L401" i="24"/>
  <c r="L402" i="24"/>
  <c r="L403" i="24"/>
  <c r="L404" i="24"/>
  <c r="L405" i="24"/>
  <c r="L406" i="24"/>
  <c r="L407" i="24"/>
  <c r="L408" i="24"/>
  <c r="L409" i="24"/>
  <c r="L410" i="24"/>
  <c r="L411" i="24"/>
  <c r="L412" i="24"/>
  <c r="L413" i="24"/>
  <c r="L414" i="24"/>
  <c r="L415" i="24"/>
  <c r="L416" i="24"/>
  <c r="L417" i="24"/>
  <c r="L418" i="24"/>
  <c r="L419" i="24"/>
  <c r="L420" i="24"/>
  <c r="L421" i="24"/>
  <c r="L422" i="24"/>
  <c r="L423" i="24"/>
  <c r="L424" i="24"/>
  <c r="L425" i="24"/>
  <c r="L426" i="24"/>
  <c r="L427" i="24"/>
  <c r="L428" i="24"/>
  <c r="L429" i="24"/>
  <c r="L430" i="24"/>
  <c r="L431" i="24"/>
  <c r="L432" i="24"/>
  <c r="L433" i="24"/>
  <c r="L434" i="24"/>
  <c r="L435" i="24"/>
  <c r="L436" i="24"/>
  <c r="L437" i="24"/>
  <c r="L438" i="24"/>
  <c r="L439" i="24"/>
  <c r="L440" i="24"/>
  <c r="L441" i="24"/>
  <c r="L442" i="24"/>
  <c r="L443" i="24"/>
  <c r="L444" i="24"/>
  <c r="L445" i="24"/>
  <c r="L446" i="24"/>
  <c r="L447" i="24"/>
  <c r="L448" i="24"/>
  <c r="L449" i="24"/>
  <c r="L450" i="24"/>
  <c r="L451" i="24"/>
  <c r="L452" i="24"/>
  <c r="L453" i="24"/>
  <c r="L454" i="24"/>
  <c r="L455" i="24"/>
  <c r="L456" i="24"/>
  <c r="L457" i="24"/>
  <c r="L458" i="24"/>
  <c r="L459" i="24"/>
  <c r="L460" i="24"/>
  <c r="L2" i="24"/>
  <c r="AH3" i="20" a="1"/>
  <c r="AH3" i="20" s="1"/>
  <c r="AH4" i="20" a="1"/>
  <c r="AH4" i="20" s="1"/>
  <c r="AH5" i="20" a="1"/>
  <c r="AH5" i="20" s="1"/>
  <c r="AH6" i="20" a="1"/>
  <c r="AH6" i="20"/>
  <c r="AH7" i="20" a="1"/>
  <c r="AH7" i="20" s="1"/>
  <c r="AH8" i="20" a="1"/>
  <c r="AH8" i="20" s="1"/>
  <c r="AH9" i="20" a="1"/>
  <c r="AH9" i="20" s="1"/>
  <c r="AH10" i="20" a="1"/>
  <c r="AH10" i="20"/>
  <c r="AH11" i="20" a="1"/>
  <c r="AH11" i="20" s="1"/>
  <c r="AH12" i="20" a="1"/>
  <c r="AH12" i="20" s="1"/>
  <c r="AH13" i="20" a="1"/>
  <c r="AH13" i="20" s="1"/>
  <c r="AH14" i="20" a="1"/>
  <c r="AH14" i="20"/>
  <c r="AH15" i="20" a="1"/>
  <c r="AH15" i="20" s="1"/>
  <c r="AH16" i="20" a="1"/>
  <c r="AH16" i="20" s="1"/>
  <c r="AH17" i="20" a="1"/>
  <c r="AH17" i="20" s="1"/>
  <c r="AH18" i="20" a="1"/>
  <c r="AH18" i="20"/>
  <c r="AH19" i="20" a="1"/>
  <c r="AH19" i="20" s="1"/>
  <c r="AH20" i="20" a="1"/>
  <c r="AH20" i="20" s="1"/>
  <c r="AH21" i="20" a="1"/>
  <c r="AH21" i="20" s="1"/>
  <c r="AH22" i="20" a="1"/>
  <c r="AH22" i="20"/>
  <c r="AH23" i="20" a="1"/>
  <c r="AH23" i="20" s="1"/>
  <c r="AH24" i="20" a="1"/>
  <c r="AH24" i="20" s="1"/>
  <c r="AH25" i="20" a="1"/>
  <c r="AH25" i="20" s="1"/>
  <c r="AH26" i="20" a="1"/>
  <c r="AH26" i="20"/>
  <c r="AH27" i="20" a="1"/>
  <c r="AH27" i="20" s="1"/>
  <c r="AH28" i="20" a="1"/>
  <c r="AH28" i="20" s="1"/>
  <c r="AH29" i="20" a="1"/>
  <c r="AH29" i="20" s="1"/>
  <c r="AH30" i="20" a="1"/>
  <c r="AH30" i="20"/>
  <c r="AH31" i="20" a="1"/>
  <c r="AH31" i="20" s="1"/>
  <c r="AH2" i="20" a="1"/>
  <c r="AH2" i="20" s="1"/>
  <c r="AG3" i="20" a="1"/>
  <c r="AG3" i="20" s="1"/>
  <c r="AG4" i="20" a="1"/>
  <c r="AG4" i="20" s="1"/>
  <c r="AG5" i="20" a="1"/>
  <c r="AG5" i="20" s="1"/>
  <c r="AG6" i="20" a="1"/>
  <c r="AG6" i="20"/>
  <c r="AG7" i="20" a="1"/>
  <c r="AG7" i="20" s="1"/>
  <c r="AG8" i="20" a="1"/>
  <c r="AG8" i="20" s="1"/>
  <c r="AG9" i="20" a="1"/>
  <c r="AG9" i="20" s="1"/>
  <c r="AG10" i="20" a="1"/>
  <c r="AG10" i="20"/>
  <c r="AG11" i="20" a="1"/>
  <c r="AG11" i="20" s="1"/>
  <c r="AG12" i="20" a="1"/>
  <c r="AG12" i="20" s="1"/>
  <c r="AG13" i="20" a="1"/>
  <c r="AG13" i="20" s="1"/>
  <c r="AG14" i="20" a="1"/>
  <c r="AG14" i="20"/>
  <c r="AG15" i="20" a="1"/>
  <c r="AG15" i="20" s="1"/>
  <c r="AG16" i="20" a="1"/>
  <c r="AG16" i="20" s="1"/>
  <c r="AG17" i="20" a="1"/>
  <c r="AG17" i="20" s="1"/>
  <c r="AG18" i="20" a="1"/>
  <c r="AG18" i="20"/>
  <c r="AG19" i="20" a="1"/>
  <c r="AG19" i="20" s="1"/>
  <c r="AG20" i="20" a="1"/>
  <c r="AG20" i="20" s="1"/>
  <c r="AG21" i="20" a="1"/>
  <c r="AG21" i="20" s="1"/>
  <c r="AG22" i="20" a="1"/>
  <c r="AG22" i="20"/>
  <c r="AG23" i="20" a="1"/>
  <c r="AG23" i="20" s="1"/>
  <c r="AG24" i="20" a="1"/>
  <c r="AG24" i="20" s="1"/>
  <c r="AG25" i="20" a="1"/>
  <c r="AG25" i="20" s="1"/>
  <c r="AG26" i="20" a="1"/>
  <c r="AG26" i="20"/>
  <c r="AG27" i="20" a="1"/>
  <c r="AG27" i="20" s="1"/>
  <c r="AG28" i="20" a="1"/>
  <c r="AG28" i="20" s="1"/>
  <c r="AG29" i="20" a="1"/>
  <c r="AG29" i="20" s="1"/>
  <c r="AG30" i="20" a="1"/>
  <c r="AG30" i="20"/>
  <c r="AG31" i="20" a="1"/>
  <c r="AG31" i="20" s="1"/>
  <c r="AG2" i="20" a="1"/>
  <c r="AG2" i="20" s="1"/>
  <c r="AE3" i="20"/>
  <c r="AF3" i="20"/>
  <c r="AE4" i="20"/>
  <c r="AF4" i="20"/>
  <c r="AE5" i="20"/>
  <c r="AF5" i="20"/>
  <c r="AE6" i="20"/>
  <c r="AF6" i="20"/>
  <c r="AE7" i="20"/>
  <c r="AF7" i="20"/>
  <c r="AE8" i="20"/>
  <c r="AF8" i="20"/>
  <c r="AE9" i="20"/>
  <c r="AF9" i="20"/>
  <c r="AE10" i="20"/>
  <c r="AF10" i="20"/>
  <c r="AE11" i="20"/>
  <c r="AF11" i="20"/>
  <c r="AE12" i="20"/>
  <c r="AF12" i="20"/>
  <c r="AE13" i="20"/>
  <c r="AF13" i="20"/>
  <c r="AE14" i="20"/>
  <c r="AF14" i="20"/>
  <c r="AE15" i="20"/>
  <c r="AF15" i="20"/>
  <c r="AE16" i="20"/>
  <c r="AF16" i="20"/>
  <c r="AE17" i="20"/>
  <c r="AF17" i="20"/>
  <c r="AE18" i="20"/>
  <c r="AF18" i="20"/>
  <c r="AE19" i="20"/>
  <c r="AF19" i="20"/>
  <c r="AE20" i="20"/>
  <c r="AF20" i="20"/>
  <c r="AE21" i="20"/>
  <c r="AF21" i="20"/>
  <c r="AE22" i="20"/>
  <c r="AF22" i="20"/>
  <c r="AE23" i="20"/>
  <c r="AF23" i="20"/>
  <c r="AE24" i="20"/>
  <c r="AF24" i="20"/>
  <c r="AE25" i="20"/>
  <c r="AF25" i="20"/>
  <c r="AE26" i="20"/>
  <c r="AF26" i="20"/>
  <c r="AE27" i="20"/>
  <c r="AF27" i="20"/>
  <c r="AE28" i="20"/>
  <c r="AF28" i="20"/>
  <c r="AE29" i="20"/>
  <c r="AF29" i="20"/>
  <c r="AE30" i="20"/>
  <c r="AF30" i="20"/>
  <c r="AE31" i="20"/>
  <c r="AF31" i="20"/>
  <c r="AF2" i="20"/>
  <c r="AE2" i="20"/>
  <c r="AD3" i="20"/>
  <c r="AD4" i="20"/>
  <c r="AD5" i="20"/>
  <c r="AD6" i="20"/>
  <c r="AD7" i="20"/>
  <c r="AD8" i="20"/>
  <c r="AD9" i="20"/>
  <c r="AD10" i="20"/>
  <c r="AD11" i="20"/>
  <c r="AD12" i="20"/>
  <c r="AD13" i="20"/>
  <c r="AD14" i="20"/>
  <c r="AD15" i="20"/>
  <c r="AD16" i="20"/>
  <c r="AD17" i="20"/>
  <c r="AD18" i="20"/>
  <c r="AD19" i="20"/>
  <c r="AD20" i="20"/>
  <c r="AD21" i="20"/>
  <c r="AD22" i="20"/>
  <c r="AD23" i="20"/>
  <c r="AD24" i="20"/>
  <c r="AD25" i="20"/>
  <c r="AD26" i="20"/>
  <c r="AD27" i="20"/>
  <c r="AD28" i="20"/>
  <c r="AD29" i="20"/>
  <c r="AD30" i="20"/>
  <c r="AD31" i="20"/>
  <c r="AD2" i="20"/>
  <c r="AC3" i="20"/>
  <c r="AC4" i="20"/>
  <c r="AC5" i="20"/>
  <c r="AC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C25" i="20"/>
  <c r="AC26" i="20"/>
  <c r="AC27" i="20"/>
  <c r="AC28" i="20"/>
  <c r="AC29" i="20"/>
  <c r="AC30" i="20"/>
  <c r="AC31" i="20"/>
  <c r="AC2" i="20"/>
  <c r="AF3" i="22" a="1"/>
  <c r="AF3" i="22" s="1"/>
  <c r="AF4" i="22" a="1"/>
  <c r="AF4" i="22" s="1"/>
  <c r="AF5" i="22" a="1"/>
  <c r="AF5" i="22" s="1"/>
  <c r="AF6" i="22" a="1"/>
  <c r="AF6" i="22"/>
  <c r="AF7" i="22" a="1"/>
  <c r="AF7" i="22" s="1"/>
  <c r="AF8" i="22" a="1"/>
  <c r="AF8" i="22" s="1"/>
  <c r="AF9" i="22" a="1"/>
  <c r="AF9" i="22" s="1"/>
  <c r="AF10" i="22" a="1"/>
  <c r="AF10" i="22"/>
  <c r="AF11" i="22" a="1"/>
  <c r="AF11" i="22" s="1"/>
  <c r="AF12" i="22" a="1"/>
  <c r="AF12" i="22" s="1"/>
  <c r="AF13" i="22" a="1"/>
  <c r="AF13" i="22" s="1"/>
  <c r="AF14" i="22" a="1"/>
  <c r="AF14" i="22"/>
  <c r="AF15" i="22" a="1"/>
  <c r="AF15" i="22" s="1"/>
  <c r="AF16" i="22" a="1"/>
  <c r="AF16" i="22" s="1"/>
  <c r="AF17" i="22" a="1"/>
  <c r="AF17" i="22" s="1"/>
  <c r="AF18" i="22" a="1"/>
  <c r="AF18" i="22"/>
  <c r="AF19" i="22" a="1"/>
  <c r="AF19" i="22" s="1"/>
  <c r="AF20" i="22" a="1"/>
  <c r="AF20" i="22" s="1"/>
  <c r="AF21" i="22" a="1"/>
  <c r="AF21" i="22" s="1"/>
  <c r="AF22" i="22" a="1"/>
  <c r="AF22" i="22"/>
  <c r="AF23" i="22" a="1"/>
  <c r="AF23" i="22" s="1"/>
  <c r="AF24" i="22" a="1"/>
  <c r="AF24" i="22" s="1"/>
  <c r="AF25" i="22" a="1"/>
  <c r="AF25" i="22" s="1"/>
  <c r="AF26" i="22" a="1"/>
  <c r="AF26" i="22"/>
  <c r="AF27" i="22" a="1"/>
  <c r="AF27" i="22" s="1"/>
  <c r="AF28" i="22" a="1"/>
  <c r="AF28" i="22" s="1"/>
  <c r="AF29" i="22" a="1"/>
  <c r="AF29" i="22" s="1"/>
  <c r="AF30" i="22" a="1"/>
  <c r="AF30" i="22"/>
  <c r="AF31" i="22" a="1"/>
  <c r="AF31" i="22" s="1"/>
  <c r="AF2" i="22" a="1"/>
  <c r="AF2" i="22" s="1"/>
  <c r="AE3" i="22" a="1"/>
  <c r="AE3" i="22" s="1"/>
  <c r="AE4" i="22" a="1"/>
  <c r="AE4" i="22" s="1"/>
  <c r="AE5" i="22" a="1"/>
  <c r="AE5" i="22"/>
  <c r="AE6" i="22" a="1"/>
  <c r="AE6" i="22" s="1"/>
  <c r="AE7" i="22" a="1"/>
  <c r="AE7" i="22" s="1"/>
  <c r="AE8" i="22" a="1"/>
  <c r="AE8" i="22" s="1"/>
  <c r="AE9" i="22" a="1"/>
  <c r="AE9" i="22" s="1"/>
  <c r="AE10" i="22" a="1"/>
  <c r="AE10" i="22" s="1"/>
  <c r="AE11" i="22" a="1"/>
  <c r="AE11" i="22" s="1"/>
  <c r="AE12" i="22" a="1"/>
  <c r="AE12" i="22" s="1"/>
  <c r="AE13" i="22" a="1"/>
  <c r="AE13" i="22" s="1"/>
  <c r="AE14" i="22" a="1"/>
  <c r="AE14" i="22" s="1"/>
  <c r="AE15" i="22" a="1"/>
  <c r="AE15" i="22" s="1"/>
  <c r="AE16" i="22" a="1"/>
  <c r="AE16" i="22" s="1"/>
  <c r="AE17" i="22" a="1"/>
  <c r="AE17" i="22" s="1"/>
  <c r="AE18" i="22" a="1"/>
  <c r="AE18" i="22" s="1"/>
  <c r="AE19" i="22" a="1"/>
  <c r="AE19" i="22" s="1"/>
  <c r="AE20" i="22" a="1"/>
  <c r="AE20" i="22" s="1"/>
  <c r="AE21" i="22" a="1"/>
  <c r="AE21" i="22" s="1"/>
  <c r="AE22" i="22" a="1"/>
  <c r="AE22" i="22" s="1"/>
  <c r="AE23" i="22" a="1"/>
  <c r="AE23" i="22" s="1"/>
  <c r="AE24" i="22" a="1"/>
  <c r="AE24" i="22" s="1"/>
  <c r="AE25" i="22" a="1"/>
  <c r="AE25" i="22" s="1"/>
  <c r="AE26" i="22" a="1"/>
  <c r="AE26" i="22" s="1"/>
  <c r="AE27" i="22" a="1"/>
  <c r="AE27" i="22" s="1"/>
  <c r="AE28" i="22" a="1"/>
  <c r="AE28" i="22" s="1"/>
  <c r="AE29" i="22" a="1"/>
  <c r="AE29" i="22" s="1"/>
  <c r="AE30" i="22" a="1"/>
  <c r="AE30" i="22" s="1"/>
  <c r="AE31" i="22" a="1"/>
  <c r="AE31" i="22" s="1"/>
  <c r="AE2" i="22" a="1"/>
  <c r="AE2" i="22" s="1"/>
  <c r="AC3" i="22"/>
  <c r="AD3" i="22"/>
  <c r="AC4" i="22"/>
  <c r="AD4" i="22"/>
  <c r="AC5" i="22"/>
  <c r="AD5" i="22"/>
  <c r="AC6" i="22"/>
  <c r="AD6" i="22"/>
  <c r="AC7" i="22"/>
  <c r="AD7" i="22"/>
  <c r="AC8" i="22"/>
  <c r="AD8" i="22"/>
  <c r="AC9" i="22"/>
  <c r="AD9" i="22"/>
  <c r="AC10" i="22"/>
  <c r="AD10" i="22"/>
  <c r="AC11" i="22"/>
  <c r="AD11" i="22"/>
  <c r="AC12" i="22"/>
  <c r="AD12" i="22"/>
  <c r="AC13" i="22"/>
  <c r="AD13" i="22"/>
  <c r="AC14" i="22"/>
  <c r="AD14" i="22"/>
  <c r="AC15" i="22"/>
  <c r="AD15" i="22"/>
  <c r="AC16" i="22"/>
  <c r="AD16" i="22"/>
  <c r="AC17" i="22"/>
  <c r="AD17" i="22"/>
  <c r="AC18" i="22"/>
  <c r="AD18" i="22"/>
  <c r="AC19" i="22"/>
  <c r="AD19" i="22"/>
  <c r="AC20" i="22"/>
  <c r="AD20" i="22"/>
  <c r="AC21" i="22"/>
  <c r="AD21" i="22"/>
  <c r="AC22" i="22"/>
  <c r="AD22" i="22"/>
  <c r="AC23" i="22"/>
  <c r="AD23" i="22"/>
  <c r="AC24" i="22"/>
  <c r="AD24" i="22"/>
  <c r="AC25" i="22"/>
  <c r="AD25" i="22"/>
  <c r="AC26" i="22"/>
  <c r="AD26" i="22"/>
  <c r="AC27" i="22"/>
  <c r="AD27" i="22"/>
  <c r="AC28" i="22"/>
  <c r="AD28" i="22"/>
  <c r="AC29" i="22"/>
  <c r="AD29" i="22"/>
  <c r="AC30" i="22"/>
  <c r="AD30" i="22"/>
  <c r="AC31" i="22"/>
  <c r="AD31" i="22"/>
  <c r="AD2" i="22"/>
  <c r="AC2" i="22"/>
  <c r="AB3" i="22"/>
  <c r="AB4" i="22"/>
  <c r="AB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2" i="22"/>
  <c r="AA3" i="22"/>
  <c r="AA4" i="22"/>
  <c r="AA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2" i="22"/>
  <c r="AB3" i="20"/>
  <c r="AB4" i="20"/>
  <c r="AB5" i="20"/>
  <c r="AB6" i="20"/>
  <c r="AB7" i="20"/>
  <c r="AB8" i="20"/>
  <c r="AB9" i="20"/>
  <c r="AB10" i="20"/>
  <c r="AB11" i="20"/>
  <c r="AB12" i="20"/>
  <c r="AB13" i="20"/>
  <c r="AB14" i="20"/>
  <c r="AB15" i="20"/>
  <c r="AB16" i="20"/>
  <c r="AB17" i="20"/>
  <c r="AB18" i="20"/>
  <c r="AB19" i="20"/>
  <c r="AB20" i="20"/>
  <c r="AB21" i="20"/>
  <c r="AB22" i="20"/>
  <c r="AB23" i="20"/>
  <c r="AB24" i="20"/>
  <c r="AB25" i="20"/>
  <c r="AB26" i="20"/>
  <c r="AB27" i="20"/>
  <c r="AB28" i="20"/>
  <c r="AB29" i="20"/>
  <c r="AB30" i="20"/>
  <c r="AB31" i="20"/>
  <c r="AB2" i="20"/>
  <c r="AA3" i="20"/>
  <c r="AA4" i="20"/>
  <c r="AA5" i="20"/>
  <c r="AA6" i="20"/>
  <c r="AA7" i="20"/>
  <c r="AA8" i="20"/>
  <c r="AA9" i="20"/>
  <c r="AA10" i="20"/>
  <c r="AA11" i="20"/>
  <c r="AA12" i="20"/>
  <c r="AA13" i="20"/>
  <c r="AA14" i="20"/>
  <c r="AA15" i="20"/>
  <c r="AA16" i="20"/>
  <c r="AA17" i="20"/>
  <c r="AA18" i="20"/>
  <c r="AA19" i="20"/>
  <c r="AA20" i="20"/>
  <c r="AA21" i="20"/>
  <c r="AA22" i="20"/>
  <c r="AA23" i="20"/>
  <c r="AA24" i="20"/>
  <c r="AA25" i="20"/>
  <c r="AA26" i="20"/>
  <c r="AA27" i="20"/>
  <c r="AA28" i="20"/>
  <c r="AA29" i="20"/>
  <c r="AA30" i="20"/>
  <c r="AA31" i="20"/>
  <c r="AA2" i="20"/>
  <c r="Y3" i="22"/>
  <c r="Z3" i="22"/>
  <c r="Y4" i="22"/>
  <c r="Z4" i="22"/>
  <c r="Y5" i="22"/>
  <c r="Z5" i="22"/>
  <c r="Y6" i="22"/>
  <c r="Z6" i="22"/>
  <c r="Y7" i="22"/>
  <c r="Z7" i="22"/>
  <c r="Y8" i="22"/>
  <c r="Z8" i="22"/>
  <c r="Y9" i="22"/>
  <c r="Z9" i="22"/>
  <c r="Y10" i="22"/>
  <c r="Z10" i="22"/>
  <c r="Y11" i="22"/>
  <c r="Z11" i="22"/>
  <c r="Y12" i="22"/>
  <c r="Z12" i="22"/>
  <c r="Y13" i="22"/>
  <c r="Z13" i="22"/>
  <c r="Y14" i="22"/>
  <c r="Z14" i="22"/>
  <c r="Y15" i="22"/>
  <c r="Z15" i="22"/>
  <c r="Y16" i="22"/>
  <c r="Z16" i="22"/>
  <c r="Y17" i="22"/>
  <c r="Z17" i="22"/>
  <c r="Y18" i="22"/>
  <c r="Z18" i="22"/>
  <c r="Y19" i="22"/>
  <c r="Z19" i="22"/>
  <c r="Y20" i="22"/>
  <c r="Z20" i="22"/>
  <c r="Y21" i="22"/>
  <c r="Z21" i="22"/>
  <c r="Y22" i="22"/>
  <c r="Z22" i="22"/>
  <c r="Y23" i="22"/>
  <c r="Z23" i="22"/>
  <c r="Y24" i="22"/>
  <c r="Z24" i="22"/>
  <c r="Y25" i="22"/>
  <c r="Z25" i="22"/>
  <c r="Y26" i="22"/>
  <c r="Z26" i="22"/>
  <c r="Y27" i="22"/>
  <c r="Z27" i="22"/>
  <c r="Y28" i="22"/>
  <c r="Z28" i="22"/>
  <c r="Y29" i="22"/>
  <c r="Z29" i="22"/>
  <c r="Y30" i="22"/>
  <c r="Z30" i="22"/>
  <c r="Y31" i="22"/>
  <c r="Z31" i="22"/>
  <c r="Z2" i="22"/>
  <c r="Y2" i="22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N78" i="21"/>
  <c r="N79" i="21"/>
  <c r="N80" i="21"/>
  <c r="N81" i="21"/>
  <c r="N82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N97" i="21"/>
  <c r="N98" i="21"/>
  <c r="N99" i="21"/>
  <c r="N100" i="21"/>
  <c r="N101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N116" i="21"/>
  <c r="N117" i="21"/>
  <c r="N118" i="21"/>
  <c r="N119" i="21"/>
  <c r="N120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N135" i="21"/>
  <c r="N136" i="21"/>
  <c r="N137" i="21"/>
  <c r="N138" i="21"/>
  <c r="N139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N154" i="21"/>
  <c r="N155" i="21"/>
  <c r="N156" i="21"/>
  <c r="N157" i="21"/>
  <c r="N158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N173" i="21"/>
  <c r="N174" i="21"/>
  <c r="N175" i="21"/>
  <c r="N176" i="21"/>
  <c r="N177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N192" i="21"/>
  <c r="N193" i="21"/>
  <c r="N194" i="21"/>
  <c r="N195" i="21"/>
  <c r="N196" i="21"/>
  <c r="N197" i="21"/>
  <c r="N198" i="21"/>
  <c r="N199" i="21"/>
  <c r="N200" i="21"/>
  <c r="N201" i="21"/>
  <c r="N202" i="21"/>
  <c r="N203" i="21"/>
  <c r="N204" i="21"/>
  <c r="N205" i="21"/>
  <c r="N206" i="21"/>
  <c r="N207" i="21"/>
  <c r="N208" i="21"/>
  <c r="N209" i="21"/>
  <c r="N210" i="21"/>
  <c r="N211" i="21"/>
  <c r="N212" i="21"/>
  <c r="N213" i="21"/>
  <c r="N214" i="21"/>
  <c r="N215" i="21"/>
  <c r="N216" i="21"/>
  <c r="N217" i="21"/>
  <c r="N218" i="21"/>
  <c r="N219" i="21"/>
  <c r="N220" i="21"/>
  <c r="N221" i="21"/>
  <c r="N222" i="21"/>
  <c r="N223" i="21"/>
  <c r="N224" i="21"/>
  <c r="N225" i="21"/>
  <c r="N226" i="21"/>
  <c r="N227" i="21"/>
  <c r="N228" i="21"/>
  <c r="N229" i="21"/>
  <c r="N230" i="21"/>
  <c r="N231" i="21"/>
  <c r="N232" i="21"/>
  <c r="N233" i="21"/>
  <c r="N234" i="21"/>
  <c r="N235" i="21"/>
  <c r="N236" i="21"/>
  <c r="N237" i="21"/>
  <c r="N238" i="21"/>
  <c r="N239" i="21"/>
  <c r="N240" i="21"/>
  <c r="N241" i="21"/>
  <c r="N242" i="21"/>
  <c r="N243" i="21"/>
  <c r="N244" i="21"/>
  <c r="N245" i="21"/>
  <c r="N246" i="21"/>
  <c r="N247" i="21"/>
  <c r="N248" i="21"/>
  <c r="N249" i="21"/>
  <c r="N250" i="21"/>
  <c r="N251" i="21"/>
  <c r="N252" i="21"/>
  <c r="N253" i="21"/>
  <c r="N254" i="21"/>
  <c r="N255" i="21"/>
  <c r="N256" i="21"/>
  <c r="N257" i="21"/>
  <c r="N258" i="21"/>
  <c r="N259" i="21"/>
  <c r="N260" i="21"/>
  <c r="N261" i="21"/>
  <c r="N262" i="21"/>
  <c r="N263" i="21"/>
  <c r="N264" i="21"/>
  <c r="N265" i="21"/>
  <c r="N266" i="21"/>
  <c r="N267" i="21"/>
  <c r="N268" i="21"/>
  <c r="N269" i="21"/>
  <c r="N270" i="21"/>
  <c r="N271" i="21"/>
  <c r="N272" i="21"/>
  <c r="N273" i="21"/>
  <c r="N274" i="21"/>
  <c r="N275" i="21"/>
  <c r="N276" i="21"/>
  <c r="N277" i="21"/>
  <c r="N278" i="21"/>
  <c r="N279" i="21"/>
  <c r="N280" i="21"/>
  <c r="N281" i="21"/>
  <c r="N282" i="21"/>
  <c r="N283" i="21"/>
  <c r="N284" i="21"/>
  <c r="N285" i="21"/>
  <c r="N286" i="21"/>
  <c r="N287" i="21"/>
  <c r="N288" i="21"/>
  <c r="N289" i="21"/>
  <c r="N290" i="21"/>
  <c r="N291" i="21"/>
  <c r="N292" i="21"/>
  <c r="N293" i="21"/>
  <c r="N294" i="21"/>
  <c r="N295" i="21"/>
  <c r="N296" i="21"/>
  <c r="N297" i="21"/>
  <c r="N298" i="21"/>
  <c r="N299" i="21"/>
  <c r="N300" i="21"/>
  <c r="N301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N337" i="21"/>
  <c r="N338" i="21"/>
  <c r="N339" i="21"/>
  <c r="N340" i="21"/>
  <c r="N341" i="21"/>
  <c r="N342" i="21"/>
  <c r="N343" i="21"/>
  <c r="N344" i="21"/>
  <c r="N345" i="21"/>
  <c r="N346" i="21"/>
  <c r="N347" i="21"/>
  <c r="N348" i="21"/>
  <c r="N349" i="21"/>
  <c r="N350" i="21"/>
  <c r="N351" i="21"/>
  <c r="N352" i="21"/>
  <c r="N353" i="21"/>
  <c r="N354" i="21"/>
  <c r="N355" i="21"/>
  <c r="N356" i="21"/>
  <c r="N357" i="21"/>
  <c r="N358" i="21"/>
  <c r="N359" i="21"/>
  <c r="N360" i="21"/>
  <c r="N361" i="21"/>
  <c r="N362" i="21"/>
  <c r="N363" i="21"/>
  <c r="N364" i="21"/>
  <c r="N365" i="21"/>
  <c r="N366" i="21"/>
  <c r="N367" i="21"/>
  <c r="N368" i="21"/>
  <c r="N369" i="21"/>
  <c r="N370" i="21"/>
  <c r="N371" i="21"/>
  <c r="N372" i="21"/>
  <c r="N373" i="21"/>
  <c r="N374" i="21"/>
  <c r="N375" i="21"/>
  <c r="N376" i="21"/>
  <c r="N377" i="21"/>
  <c r="N378" i="21"/>
  <c r="N379" i="21"/>
  <c r="N380" i="21"/>
  <c r="N381" i="21"/>
  <c r="N382" i="21"/>
  <c r="N383" i="21"/>
  <c r="N384" i="21"/>
  <c r="N385" i="21"/>
  <c r="N386" i="21"/>
  <c r="N387" i="21"/>
  <c r="N388" i="21"/>
  <c r="N389" i="21"/>
  <c r="N390" i="21"/>
  <c r="N391" i="21"/>
  <c r="N392" i="21"/>
  <c r="N393" i="21"/>
  <c r="N394" i="21"/>
  <c r="N395" i="21"/>
  <c r="N396" i="21"/>
  <c r="N397" i="21"/>
  <c r="N398" i="21"/>
  <c r="N399" i="21"/>
  <c r="N400" i="21"/>
  <c r="N401" i="21"/>
  <c r="N402" i="21"/>
  <c r="N403" i="21"/>
  <c r="N404" i="21"/>
  <c r="N405" i="21"/>
  <c r="N406" i="21"/>
  <c r="N407" i="21"/>
  <c r="N408" i="21"/>
  <c r="N409" i="21"/>
  <c r="N410" i="21"/>
  <c r="N411" i="21"/>
  <c r="N412" i="21"/>
  <c r="N413" i="21"/>
  <c r="N414" i="21"/>
  <c r="N415" i="21"/>
  <c r="N416" i="21"/>
  <c r="N417" i="21"/>
  <c r="N418" i="21"/>
  <c r="N419" i="21"/>
  <c r="N420" i="21"/>
  <c r="N421" i="21"/>
  <c r="N422" i="21"/>
  <c r="N423" i="21"/>
  <c r="N424" i="21"/>
  <c r="N425" i="21"/>
  <c r="N426" i="21"/>
  <c r="N427" i="21"/>
  <c r="N428" i="21"/>
  <c r="N429" i="21"/>
  <c r="N430" i="21"/>
  <c r="N431" i="21"/>
  <c r="N432" i="21"/>
  <c r="N433" i="21"/>
  <c r="N434" i="21"/>
  <c r="N435" i="21"/>
  <c r="N436" i="21"/>
  <c r="N437" i="21"/>
  <c r="N438" i="21"/>
  <c r="N439" i="21"/>
  <c r="N440" i="21"/>
  <c r="N441" i="21"/>
  <c r="N442" i="21"/>
  <c r="N443" i="21"/>
  <c r="N444" i="21"/>
  <c r="N445" i="21"/>
  <c r="N446" i="21"/>
  <c r="N447" i="21"/>
  <c r="N448" i="21"/>
  <c r="N449" i="21"/>
  <c r="N450" i="21"/>
  <c r="N451" i="21"/>
  <c r="N452" i="21"/>
  <c r="N453" i="21"/>
  <c r="N454" i="21"/>
  <c r="N455" i="21"/>
  <c r="N456" i="21"/>
  <c r="N457" i="21"/>
  <c r="N458" i="21"/>
  <c r="N459" i="21"/>
  <c r="N460" i="21"/>
  <c r="N461" i="21"/>
  <c r="N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M245" i="21"/>
  <c r="M246" i="21"/>
  <c r="M247" i="21"/>
  <c r="M248" i="21"/>
  <c r="M249" i="21"/>
  <c r="M250" i="21"/>
  <c r="M251" i="21"/>
  <c r="M252" i="21"/>
  <c r="M253" i="21"/>
  <c r="M254" i="21"/>
  <c r="M255" i="21"/>
  <c r="M256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77" i="21"/>
  <c r="M278" i="21"/>
  <c r="M279" i="21"/>
  <c r="M280" i="21"/>
  <c r="M281" i="21"/>
  <c r="M282" i="21"/>
  <c r="M283" i="21"/>
  <c r="M284" i="21"/>
  <c r="M285" i="21"/>
  <c r="M286" i="21"/>
  <c r="M287" i="21"/>
  <c r="M288" i="21"/>
  <c r="M289" i="21"/>
  <c r="M290" i="21"/>
  <c r="M291" i="21"/>
  <c r="M292" i="21"/>
  <c r="M293" i="21"/>
  <c r="M294" i="21"/>
  <c r="M295" i="21"/>
  <c r="M296" i="21"/>
  <c r="M297" i="21"/>
  <c r="M298" i="21"/>
  <c r="M299" i="21"/>
  <c r="M300" i="21"/>
  <c r="M301" i="21"/>
  <c r="M302" i="21"/>
  <c r="M303" i="21"/>
  <c r="M304" i="21"/>
  <c r="M305" i="21"/>
  <c r="M306" i="21"/>
  <c r="M307" i="21"/>
  <c r="M308" i="21"/>
  <c r="M309" i="21"/>
  <c r="M310" i="21"/>
  <c r="M311" i="21"/>
  <c r="M312" i="21"/>
  <c r="M313" i="21"/>
  <c r="M314" i="21"/>
  <c r="M315" i="21"/>
  <c r="M316" i="21"/>
  <c r="M317" i="21"/>
  <c r="M318" i="21"/>
  <c r="M319" i="21"/>
  <c r="M320" i="21"/>
  <c r="M321" i="21"/>
  <c r="M322" i="21"/>
  <c r="M323" i="21"/>
  <c r="M324" i="21"/>
  <c r="M325" i="21"/>
  <c r="M326" i="21"/>
  <c r="M327" i="21"/>
  <c r="M328" i="21"/>
  <c r="M329" i="21"/>
  <c r="M330" i="21"/>
  <c r="M331" i="21"/>
  <c r="M332" i="21"/>
  <c r="M333" i="21"/>
  <c r="M334" i="21"/>
  <c r="M335" i="21"/>
  <c r="M336" i="21"/>
  <c r="M337" i="21"/>
  <c r="M338" i="21"/>
  <c r="M339" i="21"/>
  <c r="M340" i="21"/>
  <c r="M341" i="21"/>
  <c r="M342" i="21"/>
  <c r="M343" i="21"/>
  <c r="M344" i="21"/>
  <c r="M345" i="21"/>
  <c r="M346" i="21"/>
  <c r="M347" i="21"/>
  <c r="M348" i="21"/>
  <c r="M349" i="21"/>
  <c r="M350" i="21"/>
  <c r="M351" i="21"/>
  <c r="M352" i="21"/>
  <c r="M353" i="21"/>
  <c r="M354" i="21"/>
  <c r="M355" i="21"/>
  <c r="M356" i="21"/>
  <c r="M357" i="21"/>
  <c r="M358" i="21"/>
  <c r="M359" i="21"/>
  <c r="M360" i="21"/>
  <c r="M361" i="21"/>
  <c r="M362" i="21"/>
  <c r="M363" i="21"/>
  <c r="M364" i="21"/>
  <c r="M365" i="21"/>
  <c r="M366" i="21"/>
  <c r="M367" i="21"/>
  <c r="M368" i="21"/>
  <c r="M369" i="21"/>
  <c r="M370" i="21"/>
  <c r="M371" i="21"/>
  <c r="M372" i="21"/>
  <c r="M373" i="21"/>
  <c r="M374" i="21"/>
  <c r="M375" i="21"/>
  <c r="M376" i="21"/>
  <c r="M377" i="21"/>
  <c r="M378" i="21"/>
  <c r="M379" i="21"/>
  <c r="M380" i="21"/>
  <c r="M381" i="21"/>
  <c r="M382" i="21"/>
  <c r="M383" i="21"/>
  <c r="M384" i="21"/>
  <c r="M385" i="21"/>
  <c r="M386" i="21"/>
  <c r="M387" i="21"/>
  <c r="M388" i="21"/>
  <c r="M389" i="21"/>
  <c r="M390" i="21"/>
  <c r="M391" i="21"/>
  <c r="M392" i="21"/>
  <c r="M393" i="21"/>
  <c r="M394" i="21"/>
  <c r="M395" i="21"/>
  <c r="M396" i="21"/>
  <c r="M397" i="21"/>
  <c r="M398" i="21"/>
  <c r="M399" i="21"/>
  <c r="M400" i="21"/>
  <c r="M401" i="21"/>
  <c r="M402" i="21"/>
  <c r="M403" i="21"/>
  <c r="M404" i="21"/>
  <c r="M405" i="21"/>
  <c r="M406" i="21"/>
  <c r="M407" i="21"/>
  <c r="M408" i="21"/>
  <c r="M409" i="21"/>
  <c r="M410" i="21"/>
  <c r="M411" i="21"/>
  <c r="M412" i="21"/>
  <c r="M413" i="21"/>
  <c r="M414" i="21"/>
  <c r="M415" i="21"/>
  <c r="M416" i="21"/>
  <c r="M417" i="21"/>
  <c r="M418" i="21"/>
  <c r="M419" i="21"/>
  <c r="M420" i="21"/>
  <c r="M421" i="21"/>
  <c r="M422" i="21"/>
  <c r="M423" i="21"/>
  <c r="M424" i="21"/>
  <c r="M425" i="21"/>
  <c r="M426" i="21"/>
  <c r="M427" i="21"/>
  <c r="M428" i="21"/>
  <c r="M429" i="21"/>
  <c r="M430" i="21"/>
  <c r="M431" i="21"/>
  <c r="M432" i="21"/>
  <c r="M433" i="21"/>
  <c r="M434" i="21"/>
  <c r="M435" i="21"/>
  <c r="M436" i="21"/>
  <c r="M437" i="21"/>
  <c r="M438" i="21"/>
  <c r="M439" i="21"/>
  <c r="M440" i="21"/>
  <c r="M441" i="21"/>
  <c r="M442" i="21"/>
  <c r="M443" i="21"/>
  <c r="M444" i="21"/>
  <c r="M445" i="21"/>
  <c r="M446" i="21"/>
  <c r="M447" i="21"/>
  <c r="M448" i="21"/>
  <c r="M449" i="21"/>
  <c r="M450" i="21"/>
  <c r="M451" i="21"/>
  <c r="M452" i="21"/>
  <c r="M453" i="21"/>
  <c r="M454" i="21"/>
  <c r="M455" i="21"/>
  <c r="M456" i="21"/>
  <c r="M457" i="21"/>
  <c r="M458" i="21"/>
  <c r="M459" i="21"/>
  <c r="M460" i="21"/>
  <c r="M461" i="21"/>
  <c r="M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54" i="21"/>
  <c r="L155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L392" i="21"/>
  <c r="L393" i="21"/>
  <c r="L394" i="21"/>
  <c r="L395" i="21"/>
  <c r="L396" i="21"/>
  <c r="L397" i="21"/>
  <c r="L398" i="21"/>
  <c r="L399" i="21"/>
  <c r="L400" i="21"/>
  <c r="L401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L415" i="21"/>
  <c r="L416" i="21"/>
  <c r="L417" i="21"/>
  <c r="L418" i="21"/>
  <c r="L419" i="21"/>
  <c r="L420" i="21"/>
  <c r="L421" i="21"/>
  <c r="L422" i="21"/>
  <c r="L423" i="21"/>
  <c r="L424" i="21"/>
  <c r="L425" i="21"/>
  <c r="L426" i="21"/>
  <c r="L427" i="21"/>
  <c r="L428" i="21"/>
  <c r="L429" i="21"/>
  <c r="L430" i="21"/>
  <c r="L431" i="21"/>
  <c r="L432" i="21"/>
  <c r="L433" i="21"/>
  <c r="L434" i="21"/>
  <c r="L435" i="21"/>
  <c r="L436" i="21"/>
  <c r="L437" i="21"/>
  <c r="L438" i="21"/>
  <c r="L439" i="21"/>
  <c r="L440" i="21"/>
  <c r="L441" i="21"/>
  <c r="L442" i="21"/>
  <c r="L443" i="21"/>
  <c r="L444" i="21"/>
  <c r="L445" i="21"/>
  <c r="L446" i="21"/>
  <c r="L447" i="21"/>
  <c r="L448" i="21"/>
  <c r="L449" i="21"/>
  <c r="L450" i="21"/>
  <c r="L451" i="21"/>
  <c r="L452" i="21"/>
  <c r="L453" i="21"/>
  <c r="L454" i="21"/>
  <c r="L455" i="21"/>
  <c r="L456" i="21"/>
  <c r="L457" i="21"/>
  <c r="L458" i="21"/>
  <c r="L459" i="21"/>
  <c r="L460" i="21"/>
  <c r="L461" i="21"/>
  <c r="L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15" i="21"/>
  <c r="K116" i="21"/>
  <c r="K117" i="21"/>
  <c r="K118" i="21"/>
  <c r="K119" i="21"/>
  <c r="K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35" i="21"/>
  <c r="K136" i="21"/>
  <c r="K137" i="21"/>
  <c r="K138" i="21"/>
  <c r="K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54" i="21"/>
  <c r="K155" i="21"/>
  <c r="K156" i="21"/>
  <c r="K157" i="21"/>
  <c r="K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72" i="21"/>
  <c r="K173" i="21"/>
  <c r="K174" i="21"/>
  <c r="K175" i="21"/>
  <c r="K176" i="21"/>
  <c r="K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91" i="21"/>
  <c r="K192" i="21"/>
  <c r="K193" i="21"/>
  <c r="K194" i="21"/>
  <c r="K195" i="21"/>
  <c r="K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210" i="21"/>
  <c r="K211" i="21"/>
  <c r="K212" i="21"/>
  <c r="K213" i="21"/>
  <c r="K214" i="21"/>
  <c r="K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29" i="21"/>
  <c r="K230" i="21"/>
  <c r="K231" i="21"/>
  <c r="K232" i="21"/>
  <c r="K233" i="21"/>
  <c r="K234" i="21"/>
  <c r="K235" i="21"/>
  <c r="K236" i="21"/>
  <c r="K237" i="21"/>
  <c r="K238" i="21"/>
  <c r="K239" i="21"/>
  <c r="K240" i="21"/>
  <c r="K241" i="21"/>
  <c r="K242" i="21"/>
  <c r="K243" i="21"/>
  <c r="K244" i="21"/>
  <c r="K245" i="21"/>
  <c r="K246" i="21"/>
  <c r="K247" i="21"/>
  <c r="K248" i="21"/>
  <c r="K249" i="21"/>
  <c r="K250" i="21"/>
  <c r="K251" i="21"/>
  <c r="K252" i="21"/>
  <c r="K253" i="21"/>
  <c r="K254" i="21"/>
  <c r="K255" i="21"/>
  <c r="K256" i="21"/>
  <c r="K257" i="21"/>
  <c r="K258" i="21"/>
  <c r="K259" i="21"/>
  <c r="K260" i="21"/>
  <c r="K261" i="21"/>
  <c r="K262" i="21"/>
  <c r="K263" i="21"/>
  <c r="K264" i="21"/>
  <c r="K265" i="21"/>
  <c r="K266" i="21"/>
  <c r="K267" i="21"/>
  <c r="K268" i="21"/>
  <c r="K269" i="21"/>
  <c r="K270" i="21"/>
  <c r="K271" i="21"/>
  <c r="K272" i="21"/>
  <c r="K273" i="21"/>
  <c r="K274" i="21"/>
  <c r="K275" i="21"/>
  <c r="K276" i="21"/>
  <c r="K277" i="21"/>
  <c r="K278" i="21"/>
  <c r="K279" i="21"/>
  <c r="K280" i="21"/>
  <c r="K281" i="21"/>
  <c r="K282" i="21"/>
  <c r="K283" i="21"/>
  <c r="K284" i="21"/>
  <c r="K285" i="21"/>
  <c r="K286" i="21"/>
  <c r="K287" i="21"/>
  <c r="K288" i="21"/>
  <c r="K289" i="21"/>
  <c r="K290" i="21"/>
  <c r="K291" i="21"/>
  <c r="K292" i="21"/>
  <c r="K293" i="21"/>
  <c r="K294" i="21"/>
  <c r="K295" i="21"/>
  <c r="K296" i="21"/>
  <c r="K297" i="21"/>
  <c r="K298" i="21"/>
  <c r="K299" i="21"/>
  <c r="K300" i="21"/>
  <c r="K301" i="21"/>
  <c r="K302" i="21"/>
  <c r="K303" i="21"/>
  <c r="K304" i="21"/>
  <c r="K305" i="21"/>
  <c r="K306" i="21"/>
  <c r="K307" i="21"/>
  <c r="K308" i="21"/>
  <c r="K309" i="21"/>
  <c r="K310" i="21"/>
  <c r="K311" i="21"/>
  <c r="K312" i="21"/>
  <c r="K313" i="21"/>
  <c r="K314" i="21"/>
  <c r="K315" i="21"/>
  <c r="K316" i="21"/>
  <c r="K317" i="21"/>
  <c r="K318" i="21"/>
  <c r="K319" i="21"/>
  <c r="K320" i="21"/>
  <c r="K321" i="21"/>
  <c r="K322" i="21"/>
  <c r="K323" i="21"/>
  <c r="K324" i="21"/>
  <c r="K325" i="21"/>
  <c r="K326" i="21"/>
  <c r="K327" i="21"/>
  <c r="K328" i="21"/>
  <c r="K329" i="21"/>
  <c r="K330" i="21"/>
  <c r="K331" i="21"/>
  <c r="K332" i="21"/>
  <c r="K333" i="21"/>
  <c r="K334" i="21"/>
  <c r="K335" i="21"/>
  <c r="K336" i="21"/>
  <c r="K337" i="21"/>
  <c r="K338" i="21"/>
  <c r="K339" i="21"/>
  <c r="K340" i="21"/>
  <c r="K341" i="21"/>
  <c r="K342" i="21"/>
  <c r="K343" i="21"/>
  <c r="K344" i="21"/>
  <c r="K345" i="21"/>
  <c r="K346" i="21"/>
  <c r="K347" i="21"/>
  <c r="K348" i="21"/>
  <c r="K349" i="21"/>
  <c r="K350" i="21"/>
  <c r="K351" i="21"/>
  <c r="K352" i="21"/>
  <c r="K353" i="21"/>
  <c r="K354" i="21"/>
  <c r="K355" i="21"/>
  <c r="K356" i="21"/>
  <c r="K357" i="21"/>
  <c r="K358" i="21"/>
  <c r="K359" i="21"/>
  <c r="K360" i="21"/>
  <c r="K361" i="21"/>
  <c r="K362" i="21"/>
  <c r="K363" i="21"/>
  <c r="K364" i="21"/>
  <c r="K365" i="21"/>
  <c r="K366" i="21"/>
  <c r="K367" i="21"/>
  <c r="K368" i="21"/>
  <c r="K369" i="21"/>
  <c r="K370" i="21"/>
  <c r="K371" i="21"/>
  <c r="K372" i="21"/>
  <c r="K373" i="21"/>
  <c r="K374" i="21"/>
  <c r="K375" i="21"/>
  <c r="K376" i="21"/>
  <c r="K377" i="21"/>
  <c r="K378" i="21"/>
  <c r="K379" i="21"/>
  <c r="K380" i="21"/>
  <c r="K381" i="21"/>
  <c r="K382" i="21"/>
  <c r="K383" i="21"/>
  <c r="K384" i="21"/>
  <c r="K385" i="21"/>
  <c r="K386" i="21"/>
  <c r="K387" i="21"/>
  <c r="K388" i="21"/>
  <c r="K389" i="21"/>
  <c r="K390" i="21"/>
  <c r="K391" i="21"/>
  <c r="K392" i="21"/>
  <c r="K393" i="21"/>
  <c r="K394" i="21"/>
  <c r="K395" i="21"/>
  <c r="K396" i="21"/>
  <c r="K397" i="21"/>
  <c r="K398" i="21"/>
  <c r="K399" i="21"/>
  <c r="K400" i="21"/>
  <c r="K401" i="21"/>
  <c r="K402" i="21"/>
  <c r="K403" i="21"/>
  <c r="K404" i="21"/>
  <c r="K405" i="21"/>
  <c r="K406" i="21"/>
  <c r="K407" i="21"/>
  <c r="K408" i="21"/>
  <c r="K409" i="21"/>
  <c r="K410" i="21"/>
  <c r="K411" i="21"/>
  <c r="K412" i="21"/>
  <c r="K413" i="21"/>
  <c r="K414" i="21"/>
  <c r="K415" i="21"/>
  <c r="K416" i="21"/>
  <c r="K417" i="21"/>
  <c r="K418" i="21"/>
  <c r="K419" i="21"/>
  <c r="K420" i="21"/>
  <c r="K421" i="21"/>
  <c r="K422" i="21"/>
  <c r="K423" i="21"/>
  <c r="K424" i="21"/>
  <c r="K425" i="21"/>
  <c r="K426" i="21"/>
  <c r="K427" i="21"/>
  <c r="K428" i="21"/>
  <c r="K429" i="21"/>
  <c r="K430" i="21"/>
  <c r="K431" i="21"/>
  <c r="K432" i="21"/>
  <c r="K433" i="21"/>
  <c r="K434" i="21"/>
  <c r="K435" i="21"/>
  <c r="K436" i="21"/>
  <c r="K437" i="21"/>
  <c r="K438" i="21"/>
  <c r="K439" i="21"/>
  <c r="K440" i="21"/>
  <c r="K441" i="21"/>
  <c r="K442" i="21"/>
  <c r="K443" i="21"/>
  <c r="K444" i="21"/>
  <c r="K445" i="21"/>
  <c r="K446" i="21"/>
  <c r="K447" i="21"/>
  <c r="K448" i="21"/>
  <c r="K449" i="21"/>
  <c r="K450" i="21"/>
  <c r="K451" i="21"/>
  <c r="K452" i="21"/>
  <c r="K453" i="21"/>
  <c r="K454" i="21"/>
  <c r="K455" i="21"/>
  <c r="K456" i="21"/>
  <c r="K457" i="21"/>
  <c r="K458" i="21"/>
  <c r="K459" i="21"/>
  <c r="K460" i="21"/>
  <c r="K461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35" i="21"/>
  <c r="J136" i="21"/>
  <c r="J137" i="21"/>
  <c r="J138" i="21"/>
  <c r="J139" i="21"/>
  <c r="J140" i="21"/>
  <c r="J141" i="21"/>
  <c r="J142" i="21"/>
  <c r="J143" i="21"/>
  <c r="J144" i="21"/>
  <c r="J145" i="21"/>
  <c r="J146" i="21"/>
  <c r="J147" i="21"/>
  <c r="J148" i="21"/>
  <c r="J149" i="21"/>
  <c r="J150" i="21"/>
  <c r="J151" i="21"/>
  <c r="J152" i="21"/>
  <c r="J153" i="21"/>
  <c r="J154" i="21"/>
  <c r="J155" i="21"/>
  <c r="J156" i="21"/>
  <c r="J157" i="21"/>
  <c r="J158" i="21"/>
  <c r="J159" i="21"/>
  <c r="J160" i="21"/>
  <c r="J161" i="21"/>
  <c r="J162" i="21"/>
  <c r="J163" i="21"/>
  <c r="J164" i="21"/>
  <c r="J165" i="21"/>
  <c r="J166" i="21"/>
  <c r="J167" i="21"/>
  <c r="J168" i="21"/>
  <c r="J169" i="21"/>
  <c r="J170" i="21"/>
  <c r="J171" i="21"/>
  <c r="J172" i="21"/>
  <c r="J173" i="21"/>
  <c r="J174" i="21"/>
  <c r="J175" i="21"/>
  <c r="J176" i="21"/>
  <c r="J177" i="21"/>
  <c r="J178" i="21"/>
  <c r="J179" i="21"/>
  <c r="J180" i="21"/>
  <c r="J181" i="21"/>
  <c r="J182" i="21"/>
  <c r="J183" i="21"/>
  <c r="J184" i="21"/>
  <c r="J185" i="21"/>
  <c r="J186" i="21"/>
  <c r="J187" i="21"/>
  <c r="J188" i="21"/>
  <c r="J189" i="21"/>
  <c r="J190" i="21"/>
  <c r="J191" i="21"/>
  <c r="J192" i="21"/>
  <c r="J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217" i="21"/>
  <c r="J218" i="21"/>
  <c r="J219" i="21"/>
  <c r="J220" i="21"/>
  <c r="J221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J245" i="21"/>
  <c r="J246" i="21"/>
  <c r="J247" i="21"/>
  <c r="J248" i="21"/>
  <c r="J249" i="21"/>
  <c r="J250" i="21"/>
  <c r="J251" i="21"/>
  <c r="J252" i="21"/>
  <c r="J253" i="21"/>
  <c r="J254" i="21"/>
  <c r="J255" i="21"/>
  <c r="J256" i="21"/>
  <c r="J257" i="21"/>
  <c r="J258" i="21"/>
  <c r="J259" i="21"/>
  <c r="J260" i="21"/>
  <c r="J261" i="21"/>
  <c r="J262" i="21"/>
  <c r="J263" i="21"/>
  <c r="J264" i="21"/>
  <c r="J265" i="21"/>
  <c r="J266" i="21"/>
  <c r="J267" i="21"/>
  <c r="J268" i="21"/>
  <c r="J269" i="21"/>
  <c r="J270" i="21"/>
  <c r="J271" i="21"/>
  <c r="J272" i="21"/>
  <c r="J273" i="21"/>
  <c r="J274" i="21"/>
  <c r="J275" i="21"/>
  <c r="J276" i="21"/>
  <c r="J277" i="21"/>
  <c r="J278" i="21"/>
  <c r="J279" i="21"/>
  <c r="J280" i="21"/>
  <c r="J281" i="21"/>
  <c r="J282" i="21"/>
  <c r="J283" i="21"/>
  <c r="J284" i="21"/>
  <c r="J285" i="21"/>
  <c r="J286" i="21"/>
  <c r="J287" i="21"/>
  <c r="J288" i="21"/>
  <c r="J289" i="21"/>
  <c r="J290" i="21"/>
  <c r="J291" i="21"/>
  <c r="J292" i="21"/>
  <c r="J293" i="21"/>
  <c r="J294" i="21"/>
  <c r="J295" i="21"/>
  <c r="J296" i="21"/>
  <c r="J297" i="21"/>
  <c r="J298" i="21"/>
  <c r="J299" i="21"/>
  <c r="J300" i="21"/>
  <c r="J301" i="21"/>
  <c r="J302" i="21"/>
  <c r="J303" i="21"/>
  <c r="J304" i="21"/>
  <c r="J305" i="21"/>
  <c r="J306" i="21"/>
  <c r="J307" i="21"/>
  <c r="J308" i="21"/>
  <c r="J309" i="21"/>
  <c r="J310" i="21"/>
  <c r="J311" i="21"/>
  <c r="J312" i="21"/>
  <c r="J313" i="21"/>
  <c r="J314" i="21"/>
  <c r="J315" i="21"/>
  <c r="J316" i="21"/>
  <c r="J317" i="21"/>
  <c r="J318" i="21"/>
  <c r="J319" i="21"/>
  <c r="J320" i="21"/>
  <c r="J321" i="21"/>
  <c r="J322" i="21"/>
  <c r="J323" i="21"/>
  <c r="J324" i="21"/>
  <c r="J325" i="21"/>
  <c r="J326" i="21"/>
  <c r="J327" i="21"/>
  <c r="J328" i="21"/>
  <c r="J329" i="21"/>
  <c r="J330" i="21"/>
  <c r="J331" i="21"/>
  <c r="J332" i="21"/>
  <c r="J333" i="21"/>
  <c r="J334" i="21"/>
  <c r="J335" i="21"/>
  <c r="J336" i="21"/>
  <c r="J337" i="21"/>
  <c r="J338" i="21"/>
  <c r="J339" i="21"/>
  <c r="J340" i="21"/>
  <c r="J341" i="21"/>
  <c r="J342" i="21"/>
  <c r="J343" i="21"/>
  <c r="J344" i="21"/>
  <c r="J345" i="21"/>
  <c r="J346" i="21"/>
  <c r="J347" i="21"/>
  <c r="J348" i="21"/>
  <c r="J349" i="21"/>
  <c r="J350" i="21"/>
  <c r="J351" i="21"/>
  <c r="J352" i="21"/>
  <c r="J353" i="21"/>
  <c r="J354" i="21"/>
  <c r="J355" i="21"/>
  <c r="J356" i="21"/>
  <c r="J357" i="21"/>
  <c r="J358" i="21"/>
  <c r="J359" i="21"/>
  <c r="J360" i="21"/>
  <c r="J361" i="21"/>
  <c r="J362" i="21"/>
  <c r="J363" i="21"/>
  <c r="J364" i="21"/>
  <c r="J365" i="21"/>
  <c r="J366" i="21"/>
  <c r="J367" i="21"/>
  <c r="J368" i="21"/>
  <c r="J369" i="21"/>
  <c r="J370" i="21"/>
  <c r="J371" i="21"/>
  <c r="J372" i="21"/>
  <c r="J373" i="21"/>
  <c r="J374" i="21"/>
  <c r="J375" i="21"/>
  <c r="J376" i="21"/>
  <c r="J377" i="21"/>
  <c r="J378" i="21"/>
  <c r="J379" i="21"/>
  <c r="J380" i="21"/>
  <c r="J381" i="21"/>
  <c r="J382" i="21"/>
  <c r="J383" i="21"/>
  <c r="J384" i="21"/>
  <c r="J385" i="21"/>
  <c r="J386" i="21"/>
  <c r="J387" i="21"/>
  <c r="J388" i="21"/>
  <c r="J389" i="21"/>
  <c r="J390" i="21"/>
  <c r="J391" i="21"/>
  <c r="J392" i="21"/>
  <c r="J393" i="21"/>
  <c r="J394" i="21"/>
  <c r="J395" i="21"/>
  <c r="J396" i="21"/>
  <c r="J397" i="21"/>
  <c r="J398" i="21"/>
  <c r="J399" i="21"/>
  <c r="J400" i="21"/>
  <c r="J401" i="21"/>
  <c r="J402" i="21"/>
  <c r="J403" i="21"/>
  <c r="J404" i="21"/>
  <c r="J405" i="21"/>
  <c r="J406" i="21"/>
  <c r="J407" i="21"/>
  <c r="J408" i="21"/>
  <c r="J409" i="21"/>
  <c r="J410" i="21"/>
  <c r="J411" i="21"/>
  <c r="J412" i="21"/>
  <c r="J413" i="21"/>
  <c r="J414" i="21"/>
  <c r="J415" i="21"/>
  <c r="J416" i="21"/>
  <c r="J417" i="21"/>
  <c r="J418" i="21"/>
  <c r="J419" i="21"/>
  <c r="J420" i="21"/>
  <c r="J421" i="21"/>
  <c r="J422" i="21"/>
  <c r="J423" i="21"/>
  <c r="J424" i="21"/>
  <c r="J425" i="21"/>
  <c r="J426" i="21"/>
  <c r="J427" i="21"/>
  <c r="J428" i="21"/>
  <c r="J429" i="21"/>
  <c r="J430" i="21"/>
  <c r="J431" i="21"/>
  <c r="J432" i="21"/>
  <c r="J433" i="21"/>
  <c r="J434" i="21"/>
  <c r="J435" i="21"/>
  <c r="J436" i="21"/>
  <c r="J437" i="21"/>
  <c r="J438" i="21"/>
  <c r="J439" i="21"/>
  <c r="J440" i="21"/>
  <c r="J441" i="21"/>
  <c r="J442" i="21"/>
  <c r="J443" i="21"/>
  <c r="J444" i="21"/>
  <c r="J445" i="21"/>
  <c r="J446" i="21"/>
  <c r="J447" i="21"/>
  <c r="J448" i="21"/>
  <c r="J449" i="21"/>
  <c r="J450" i="21"/>
  <c r="J451" i="21"/>
  <c r="J452" i="21"/>
  <c r="J453" i="21"/>
  <c r="J454" i="21"/>
  <c r="J455" i="21"/>
  <c r="J456" i="21"/>
  <c r="J457" i="21"/>
  <c r="J458" i="21"/>
  <c r="J459" i="21"/>
  <c r="J460" i="21"/>
  <c r="J461" i="21"/>
  <c r="K3" i="21"/>
  <c r="J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I260" i="21"/>
  <c r="I261" i="21"/>
  <c r="I262" i="21"/>
  <c r="I263" i="21"/>
  <c r="I264" i="21"/>
  <c r="I265" i="21"/>
  <c r="I266" i="21"/>
  <c r="I267" i="21"/>
  <c r="I268" i="21"/>
  <c r="I269" i="21"/>
  <c r="I270" i="21"/>
  <c r="I271" i="21"/>
  <c r="I272" i="21"/>
  <c r="I273" i="21"/>
  <c r="I274" i="21"/>
  <c r="I275" i="21"/>
  <c r="I276" i="21"/>
  <c r="I277" i="21"/>
  <c r="I278" i="21"/>
  <c r="I279" i="21"/>
  <c r="I280" i="21"/>
  <c r="I281" i="21"/>
  <c r="I282" i="21"/>
  <c r="I283" i="21"/>
  <c r="I284" i="21"/>
  <c r="I285" i="21"/>
  <c r="I286" i="21"/>
  <c r="I287" i="21"/>
  <c r="I288" i="21"/>
  <c r="I289" i="21"/>
  <c r="I290" i="21"/>
  <c r="I291" i="21"/>
  <c r="I292" i="21"/>
  <c r="I293" i="21"/>
  <c r="I294" i="21"/>
  <c r="I295" i="21"/>
  <c r="I296" i="21"/>
  <c r="I297" i="21"/>
  <c r="I298" i="21"/>
  <c r="I299" i="21"/>
  <c r="I300" i="21"/>
  <c r="I301" i="21"/>
  <c r="I302" i="21"/>
  <c r="I303" i="21"/>
  <c r="I304" i="21"/>
  <c r="I305" i="21"/>
  <c r="I306" i="21"/>
  <c r="I307" i="21"/>
  <c r="I308" i="21"/>
  <c r="I309" i="21"/>
  <c r="I310" i="21"/>
  <c r="I311" i="21"/>
  <c r="I312" i="21"/>
  <c r="I313" i="21"/>
  <c r="I314" i="21"/>
  <c r="I315" i="21"/>
  <c r="I316" i="21"/>
  <c r="I317" i="21"/>
  <c r="I318" i="21"/>
  <c r="I319" i="21"/>
  <c r="I320" i="21"/>
  <c r="I321" i="21"/>
  <c r="I322" i="21"/>
  <c r="I323" i="21"/>
  <c r="I324" i="21"/>
  <c r="I325" i="21"/>
  <c r="I326" i="21"/>
  <c r="I327" i="21"/>
  <c r="I328" i="21"/>
  <c r="I329" i="21"/>
  <c r="I330" i="21"/>
  <c r="I331" i="21"/>
  <c r="I332" i="21"/>
  <c r="I333" i="21"/>
  <c r="I334" i="21"/>
  <c r="I335" i="21"/>
  <c r="I336" i="21"/>
  <c r="I337" i="21"/>
  <c r="I338" i="21"/>
  <c r="I339" i="21"/>
  <c r="I340" i="21"/>
  <c r="I341" i="21"/>
  <c r="I342" i="21"/>
  <c r="I343" i="21"/>
  <c r="I344" i="21"/>
  <c r="I345" i="21"/>
  <c r="I346" i="21"/>
  <c r="I347" i="21"/>
  <c r="I348" i="21"/>
  <c r="I349" i="21"/>
  <c r="I350" i="21"/>
  <c r="I351" i="21"/>
  <c r="I352" i="21"/>
  <c r="I353" i="21"/>
  <c r="I354" i="21"/>
  <c r="I355" i="21"/>
  <c r="I356" i="21"/>
  <c r="I357" i="21"/>
  <c r="I358" i="21"/>
  <c r="I359" i="21"/>
  <c r="I360" i="21"/>
  <c r="I361" i="21"/>
  <c r="I362" i="21"/>
  <c r="I363" i="21"/>
  <c r="I364" i="21"/>
  <c r="I365" i="21"/>
  <c r="I366" i="21"/>
  <c r="I367" i="21"/>
  <c r="I368" i="21"/>
  <c r="I369" i="21"/>
  <c r="I370" i="21"/>
  <c r="I371" i="21"/>
  <c r="I372" i="21"/>
  <c r="I373" i="21"/>
  <c r="I374" i="21"/>
  <c r="I375" i="21"/>
  <c r="I376" i="21"/>
  <c r="I377" i="21"/>
  <c r="I378" i="21"/>
  <c r="I379" i="21"/>
  <c r="I380" i="21"/>
  <c r="I381" i="21"/>
  <c r="I382" i="21"/>
  <c r="I383" i="21"/>
  <c r="I384" i="21"/>
  <c r="I385" i="21"/>
  <c r="I386" i="21"/>
  <c r="I387" i="21"/>
  <c r="I388" i="21"/>
  <c r="I389" i="21"/>
  <c r="I390" i="21"/>
  <c r="I391" i="21"/>
  <c r="I392" i="21"/>
  <c r="I393" i="21"/>
  <c r="I394" i="21"/>
  <c r="I395" i="21"/>
  <c r="I396" i="21"/>
  <c r="I397" i="21"/>
  <c r="I398" i="21"/>
  <c r="I399" i="21"/>
  <c r="I400" i="21"/>
  <c r="I401" i="21"/>
  <c r="I402" i="21"/>
  <c r="I403" i="21"/>
  <c r="I404" i="21"/>
  <c r="I405" i="21"/>
  <c r="I406" i="21"/>
  <c r="I407" i="21"/>
  <c r="I408" i="21"/>
  <c r="I409" i="21"/>
  <c r="I410" i="21"/>
  <c r="I411" i="21"/>
  <c r="I412" i="21"/>
  <c r="I413" i="21"/>
  <c r="I414" i="21"/>
  <c r="I415" i="21"/>
  <c r="I416" i="21"/>
  <c r="I417" i="21"/>
  <c r="I418" i="21"/>
  <c r="I419" i="21"/>
  <c r="I420" i="21"/>
  <c r="I421" i="21"/>
  <c r="I422" i="21"/>
  <c r="I423" i="21"/>
  <c r="I424" i="21"/>
  <c r="I425" i="21"/>
  <c r="I426" i="21"/>
  <c r="I427" i="21"/>
  <c r="I428" i="21"/>
  <c r="I429" i="21"/>
  <c r="I430" i="21"/>
  <c r="I431" i="21"/>
  <c r="I432" i="21"/>
  <c r="I433" i="21"/>
  <c r="I434" i="21"/>
  <c r="I435" i="21"/>
  <c r="I436" i="21"/>
  <c r="I437" i="21"/>
  <c r="I438" i="21"/>
  <c r="I439" i="21"/>
  <c r="I440" i="21"/>
  <c r="I441" i="21"/>
  <c r="I442" i="21"/>
  <c r="I443" i="21"/>
  <c r="I444" i="21"/>
  <c r="I445" i="21"/>
  <c r="I446" i="21"/>
  <c r="I447" i="21"/>
  <c r="I448" i="21"/>
  <c r="I449" i="21"/>
  <c r="I450" i="21"/>
  <c r="I451" i="21"/>
  <c r="I452" i="21"/>
  <c r="I453" i="21"/>
  <c r="I454" i="21"/>
  <c r="I455" i="21"/>
  <c r="I456" i="21"/>
  <c r="I457" i="21"/>
  <c r="I458" i="21"/>
  <c r="I459" i="21"/>
  <c r="I460" i="21"/>
  <c r="I461" i="21"/>
  <c r="I3" i="21"/>
  <c r="AZ4" i="19"/>
  <c r="BA4" i="19" s="1"/>
  <c r="AZ5" i="19"/>
  <c r="BA5" i="19" s="1"/>
  <c r="AZ6" i="19"/>
  <c r="BA6" i="19" s="1"/>
  <c r="AZ7" i="19"/>
  <c r="BA7" i="19" s="1"/>
  <c r="AZ8" i="19"/>
  <c r="BA8" i="19" s="1"/>
  <c r="AZ9" i="19"/>
  <c r="BA9" i="19" s="1"/>
  <c r="AZ10" i="19"/>
  <c r="BA10" i="19" s="1"/>
  <c r="AZ11" i="19"/>
  <c r="BA11" i="19" s="1"/>
  <c r="AZ12" i="19"/>
  <c r="BA12" i="19" s="1"/>
  <c r="AZ13" i="19"/>
  <c r="BA13" i="19" s="1"/>
  <c r="AZ14" i="19"/>
  <c r="BA14" i="19" s="1"/>
  <c r="AZ15" i="19"/>
  <c r="BA15" i="19" s="1"/>
  <c r="AZ16" i="19"/>
  <c r="BA16" i="19" s="1"/>
  <c r="AZ17" i="19"/>
  <c r="BA17" i="19" s="1"/>
  <c r="AZ18" i="19"/>
  <c r="BA18" i="19" s="1"/>
  <c r="AZ3" i="19"/>
  <c r="BA3" i="19" s="1"/>
  <c r="AW4" i="19"/>
  <c r="AX4" i="19" s="1"/>
  <c r="AW5" i="19"/>
  <c r="AX5" i="19" s="1"/>
  <c r="AW6" i="19"/>
  <c r="AX6" i="19" s="1"/>
  <c r="AW7" i="19"/>
  <c r="AX7" i="19" s="1"/>
  <c r="AW8" i="19"/>
  <c r="AX8" i="19" s="1"/>
  <c r="AW9" i="19"/>
  <c r="AX9" i="19" s="1"/>
  <c r="AW10" i="19"/>
  <c r="AX10" i="19" s="1"/>
  <c r="AW3" i="19"/>
  <c r="AX3" i="19" s="1"/>
  <c r="AU11" i="19"/>
  <c r="AU19" i="19"/>
  <c r="AU27" i="19"/>
  <c r="AT4" i="19"/>
  <c r="AU4" i="19" s="1"/>
  <c r="AT5" i="19"/>
  <c r="AU5" i="19" s="1"/>
  <c r="AT6" i="19"/>
  <c r="AU6" i="19" s="1"/>
  <c r="AT7" i="19"/>
  <c r="AU7" i="19" s="1"/>
  <c r="AT8" i="19"/>
  <c r="AU8" i="19" s="1"/>
  <c r="AT9" i="19"/>
  <c r="AU9" i="19" s="1"/>
  <c r="AT10" i="19"/>
  <c r="AU10" i="19" s="1"/>
  <c r="AT11" i="19"/>
  <c r="AT12" i="19"/>
  <c r="AU12" i="19" s="1"/>
  <c r="AT13" i="19"/>
  <c r="AU13" i="19" s="1"/>
  <c r="AT14" i="19"/>
  <c r="AU14" i="19" s="1"/>
  <c r="AT15" i="19"/>
  <c r="AU15" i="19" s="1"/>
  <c r="AT16" i="19"/>
  <c r="AU16" i="19" s="1"/>
  <c r="AT17" i="19"/>
  <c r="AU17" i="19" s="1"/>
  <c r="AT18" i="19"/>
  <c r="AU18" i="19" s="1"/>
  <c r="AT19" i="19"/>
  <c r="AT20" i="19"/>
  <c r="AU20" i="19" s="1"/>
  <c r="AT21" i="19"/>
  <c r="AU21" i="19" s="1"/>
  <c r="AT22" i="19"/>
  <c r="AU22" i="19" s="1"/>
  <c r="AT23" i="19"/>
  <c r="AU23" i="19" s="1"/>
  <c r="AT24" i="19"/>
  <c r="AU24" i="19" s="1"/>
  <c r="AT25" i="19"/>
  <c r="AU25" i="19" s="1"/>
  <c r="AT26" i="19"/>
  <c r="AU26" i="19" s="1"/>
  <c r="AT27" i="19"/>
  <c r="AT28" i="19"/>
  <c r="AU28" i="19" s="1"/>
  <c r="AT29" i="19"/>
  <c r="AU29" i="19" s="1"/>
  <c r="AT30" i="19"/>
  <c r="AU30" i="19" s="1"/>
  <c r="AT31" i="19"/>
  <c r="AU31" i="19" s="1"/>
  <c r="AT3" i="19"/>
  <c r="AU3" i="19" s="1"/>
  <c r="AQ4" i="19"/>
  <c r="AR4" i="19" s="1"/>
  <c r="AQ5" i="19"/>
  <c r="AR5" i="19" s="1"/>
  <c r="AQ6" i="19"/>
  <c r="AR6" i="19" s="1"/>
  <c r="AQ7" i="19"/>
  <c r="AR7" i="19" s="1"/>
  <c r="AQ3" i="19"/>
  <c r="AR3" i="19" s="1"/>
  <c r="AN4" i="19"/>
  <c r="AO4" i="19" s="1"/>
  <c r="AN3" i="19"/>
  <c r="AO3" i="19" s="1"/>
  <c r="AK4" i="19"/>
  <c r="AL4" i="19" s="1"/>
  <c r="AK3" i="19"/>
  <c r="AL3" i="19" s="1"/>
  <c r="I4" i="17"/>
  <c r="O4" i="17" s="1"/>
  <c r="J4" i="17"/>
  <c r="K4" i="17"/>
  <c r="L4" i="17"/>
  <c r="M4" i="17"/>
  <c r="N4" i="17"/>
  <c r="I5" i="17"/>
  <c r="O5" i="17" s="1"/>
  <c r="J5" i="17"/>
  <c r="K5" i="17"/>
  <c r="L5" i="17"/>
  <c r="M5" i="17"/>
  <c r="N5" i="17"/>
  <c r="I6" i="17"/>
  <c r="J6" i="17"/>
  <c r="O6" i="17" s="1"/>
  <c r="K6" i="17"/>
  <c r="L6" i="17"/>
  <c r="M6" i="17"/>
  <c r="N6" i="17"/>
  <c r="I7" i="17"/>
  <c r="J7" i="17"/>
  <c r="K7" i="17"/>
  <c r="O7" i="17" s="1"/>
  <c r="L7" i="17"/>
  <c r="M7" i="17"/>
  <c r="N7" i="17"/>
  <c r="I8" i="17"/>
  <c r="J8" i="17"/>
  <c r="K8" i="17"/>
  <c r="L8" i="17"/>
  <c r="O8" i="17" s="1"/>
  <c r="M8" i="17"/>
  <c r="N8" i="17"/>
  <c r="I9" i="17"/>
  <c r="J9" i="17"/>
  <c r="K9" i="17"/>
  <c r="L9" i="17"/>
  <c r="M9" i="17"/>
  <c r="O9" i="17" s="1"/>
  <c r="N9" i="17"/>
  <c r="I10" i="17"/>
  <c r="J10" i="17"/>
  <c r="K10" i="17"/>
  <c r="L10" i="17"/>
  <c r="M10" i="17"/>
  <c r="N10" i="17"/>
  <c r="O10" i="17" s="1"/>
  <c r="I11" i="17"/>
  <c r="J11" i="17"/>
  <c r="K11" i="17"/>
  <c r="L11" i="17"/>
  <c r="M11" i="17"/>
  <c r="N11" i="17"/>
  <c r="O11" i="17"/>
  <c r="I12" i="17"/>
  <c r="O12" i="17" s="1"/>
  <c r="J12" i="17"/>
  <c r="K12" i="17"/>
  <c r="L12" i="17"/>
  <c r="M12" i="17"/>
  <c r="N12" i="17"/>
  <c r="I13" i="17"/>
  <c r="O13" i="17" s="1"/>
  <c r="J13" i="17"/>
  <c r="K13" i="17"/>
  <c r="L13" i="17"/>
  <c r="M13" i="17"/>
  <c r="N13" i="17"/>
  <c r="I14" i="17"/>
  <c r="J14" i="17"/>
  <c r="O14" i="17" s="1"/>
  <c r="K14" i="17"/>
  <c r="L14" i="17"/>
  <c r="M14" i="17"/>
  <c r="N14" i="17"/>
  <c r="I15" i="17"/>
  <c r="O15" i="17" s="1"/>
  <c r="J15" i="17"/>
  <c r="K15" i="17"/>
  <c r="L15" i="17"/>
  <c r="M15" i="17"/>
  <c r="N15" i="17"/>
  <c r="I16" i="17"/>
  <c r="J16" i="17"/>
  <c r="K16" i="17"/>
  <c r="L16" i="17"/>
  <c r="O16" i="17" s="1"/>
  <c r="M16" i="17"/>
  <c r="N16" i="17"/>
  <c r="I17" i="17"/>
  <c r="J17" i="17"/>
  <c r="K17" i="17"/>
  <c r="L17" i="17"/>
  <c r="M17" i="17"/>
  <c r="O17" i="17" s="1"/>
  <c r="N17" i="17"/>
  <c r="I18" i="17"/>
  <c r="J18" i="17"/>
  <c r="K18" i="17"/>
  <c r="L18" i="17"/>
  <c r="M18" i="17"/>
  <c r="N18" i="17"/>
  <c r="O18" i="17" s="1"/>
  <c r="I19" i="17"/>
  <c r="J19" i="17"/>
  <c r="K19" i="17"/>
  <c r="L19" i="17"/>
  <c r="M19" i="17"/>
  <c r="N19" i="17"/>
  <c r="O19" i="17"/>
  <c r="I20" i="17"/>
  <c r="O20" i="17" s="1"/>
  <c r="J20" i="17"/>
  <c r="K20" i="17"/>
  <c r="L20" i="17"/>
  <c r="M20" i="17"/>
  <c r="N20" i="17"/>
  <c r="I21" i="17"/>
  <c r="O21" i="17" s="1"/>
  <c r="J21" i="17"/>
  <c r="K21" i="17"/>
  <c r="L21" i="17"/>
  <c r="M21" i="17"/>
  <c r="N21" i="17"/>
  <c r="I22" i="17"/>
  <c r="J22" i="17"/>
  <c r="O22" i="17" s="1"/>
  <c r="K22" i="17"/>
  <c r="L22" i="17"/>
  <c r="M22" i="17"/>
  <c r="N22" i="17"/>
  <c r="I23" i="17"/>
  <c r="O23" i="17" s="1"/>
  <c r="J23" i="17"/>
  <c r="K23" i="17"/>
  <c r="L23" i="17"/>
  <c r="M23" i="17"/>
  <c r="N23" i="17"/>
  <c r="I24" i="17"/>
  <c r="O24" i="17" s="1"/>
  <c r="J24" i="17"/>
  <c r="K24" i="17"/>
  <c r="L24" i="17"/>
  <c r="M24" i="17"/>
  <c r="N24" i="17"/>
  <c r="I25" i="17"/>
  <c r="J25" i="17"/>
  <c r="K25" i="17"/>
  <c r="L25" i="17"/>
  <c r="M25" i="17"/>
  <c r="O25" i="17" s="1"/>
  <c r="N25" i="17"/>
  <c r="I26" i="17"/>
  <c r="J26" i="17"/>
  <c r="K26" i="17"/>
  <c r="L26" i="17"/>
  <c r="M26" i="17"/>
  <c r="N26" i="17"/>
  <c r="O26" i="17" s="1"/>
  <c r="I27" i="17"/>
  <c r="J27" i="17"/>
  <c r="K27" i="17"/>
  <c r="L27" i="17"/>
  <c r="M27" i="17"/>
  <c r="N27" i="17"/>
  <c r="O27" i="17"/>
  <c r="I28" i="17"/>
  <c r="O28" i="17" s="1"/>
  <c r="J28" i="17"/>
  <c r="K28" i="17"/>
  <c r="L28" i="17"/>
  <c r="M28" i="17"/>
  <c r="N28" i="17"/>
  <c r="I29" i="17"/>
  <c r="O29" i="17" s="1"/>
  <c r="J29" i="17"/>
  <c r="K29" i="17"/>
  <c r="L29" i="17"/>
  <c r="M29" i="17"/>
  <c r="N29" i="17"/>
  <c r="I30" i="17"/>
  <c r="J30" i="17"/>
  <c r="O30" i="17" s="1"/>
  <c r="K30" i="17"/>
  <c r="L30" i="17"/>
  <c r="M30" i="17"/>
  <c r="N30" i="17"/>
  <c r="I31" i="17"/>
  <c r="O31" i="17" s="1"/>
  <c r="J31" i="17"/>
  <c r="K31" i="17"/>
  <c r="L31" i="17"/>
  <c r="M31" i="17"/>
  <c r="N31" i="17"/>
  <c r="I32" i="17"/>
  <c r="O32" i="17" s="1"/>
  <c r="J32" i="17"/>
  <c r="K32" i="17"/>
  <c r="L32" i="17"/>
  <c r="M32" i="17"/>
  <c r="N32" i="17"/>
  <c r="I33" i="17"/>
  <c r="J33" i="17"/>
  <c r="K33" i="17"/>
  <c r="L33" i="17"/>
  <c r="M33" i="17"/>
  <c r="O33" i="17" s="1"/>
  <c r="N33" i="17"/>
  <c r="I34" i="17"/>
  <c r="J34" i="17"/>
  <c r="K34" i="17"/>
  <c r="L34" i="17"/>
  <c r="M34" i="17"/>
  <c r="N34" i="17"/>
  <c r="O34" i="17" s="1"/>
  <c r="I35" i="17"/>
  <c r="J35" i="17"/>
  <c r="K35" i="17"/>
  <c r="L35" i="17"/>
  <c r="M35" i="17"/>
  <c r="N35" i="17"/>
  <c r="O35" i="17"/>
  <c r="I36" i="17"/>
  <c r="O36" i="17" s="1"/>
  <c r="J36" i="17"/>
  <c r="K36" i="17"/>
  <c r="L36" i="17"/>
  <c r="M36" i="17"/>
  <c r="N36" i="17"/>
  <c r="I37" i="17"/>
  <c r="O37" i="17" s="1"/>
  <c r="J37" i="17"/>
  <c r="K37" i="17"/>
  <c r="L37" i="17"/>
  <c r="M37" i="17"/>
  <c r="N37" i="17"/>
  <c r="I38" i="17"/>
  <c r="J38" i="17"/>
  <c r="O38" i="17" s="1"/>
  <c r="K38" i="17"/>
  <c r="L38" i="17"/>
  <c r="M38" i="17"/>
  <c r="N38" i="17"/>
  <c r="I39" i="17"/>
  <c r="O39" i="17" s="1"/>
  <c r="J39" i="17"/>
  <c r="K39" i="17"/>
  <c r="L39" i="17"/>
  <c r="M39" i="17"/>
  <c r="N39" i="17"/>
  <c r="I40" i="17"/>
  <c r="O40" i="17" s="1"/>
  <c r="J40" i="17"/>
  <c r="K40" i="17"/>
  <c r="L40" i="17"/>
  <c r="M40" i="17"/>
  <c r="N40" i="17"/>
  <c r="I41" i="17"/>
  <c r="J41" i="17"/>
  <c r="K41" i="17"/>
  <c r="L41" i="17"/>
  <c r="M41" i="17"/>
  <c r="O41" i="17" s="1"/>
  <c r="N41" i="17"/>
  <c r="I42" i="17"/>
  <c r="J42" i="17"/>
  <c r="K42" i="17"/>
  <c r="L42" i="17"/>
  <c r="M42" i="17"/>
  <c r="N42" i="17"/>
  <c r="O42" i="17" s="1"/>
  <c r="I43" i="17"/>
  <c r="J43" i="17"/>
  <c r="K43" i="17"/>
  <c r="L43" i="17"/>
  <c r="M43" i="17"/>
  <c r="N43" i="17"/>
  <c r="O43" i="17"/>
  <c r="I44" i="17"/>
  <c r="O44" i="17" s="1"/>
  <c r="J44" i="17"/>
  <c r="K44" i="17"/>
  <c r="L44" i="17"/>
  <c r="M44" i="17"/>
  <c r="N44" i="17"/>
  <c r="I45" i="17"/>
  <c r="O45" i="17" s="1"/>
  <c r="J45" i="17"/>
  <c r="K45" i="17"/>
  <c r="L45" i="17"/>
  <c r="M45" i="17"/>
  <c r="N45" i="17"/>
  <c r="I46" i="17"/>
  <c r="J46" i="17"/>
  <c r="O46" i="17" s="1"/>
  <c r="K46" i="17"/>
  <c r="L46" i="17"/>
  <c r="M46" i="17"/>
  <c r="N46" i="17"/>
  <c r="I47" i="17"/>
  <c r="O47" i="17" s="1"/>
  <c r="J47" i="17"/>
  <c r="K47" i="17"/>
  <c r="L47" i="17"/>
  <c r="M47" i="17"/>
  <c r="N47" i="17"/>
  <c r="I48" i="17"/>
  <c r="O48" i="17" s="1"/>
  <c r="J48" i="17"/>
  <c r="K48" i="17"/>
  <c r="L48" i="17"/>
  <c r="M48" i="17"/>
  <c r="N48" i="17"/>
  <c r="I49" i="17"/>
  <c r="J49" i="17"/>
  <c r="K49" i="17"/>
  <c r="L49" i="17"/>
  <c r="M49" i="17"/>
  <c r="O49" i="17" s="1"/>
  <c r="N49" i="17"/>
  <c r="I50" i="17"/>
  <c r="J50" i="17"/>
  <c r="K50" i="17"/>
  <c r="L50" i="17"/>
  <c r="O50" i="17" s="1"/>
  <c r="M50" i="17"/>
  <c r="N50" i="17"/>
  <c r="I51" i="17"/>
  <c r="J51" i="17"/>
  <c r="K51" i="17"/>
  <c r="L51" i="17"/>
  <c r="M51" i="17"/>
  <c r="O51" i="17" s="1"/>
  <c r="N51" i="17"/>
  <c r="I52" i="17"/>
  <c r="O52" i="17" s="1"/>
  <c r="J52" i="17"/>
  <c r="K52" i="17"/>
  <c r="L52" i="17"/>
  <c r="M52" i="17"/>
  <c r="N52" i="17"/>
  <c r="I53" i="17"/>
  <c r="J53" i="17"/>
  <c r="K53" i="17"/>
  <c r="L53" i="17"/>
  <c r="M53" i="17"/>
  <c r="N53" i="17"/>
  <c r="O53" i="17"/>
  <c r="I54" i="17"/>
  <c r="J54" i="17"/>
  <c r="O54" i="17" s="1"/>
  <c r="K54" i="17"/>
  <c r="L54" i="17"/>
  <c r="M54" i="17"/>
  <c r="N54" i="17"/>
  <c r="I55" i="17"/>
  <c r="O55" i="17" s="1"/>
  <c r="J55" i="17"/>
  <c r="K55" i="17"/>
  <c r="L55" i="17"/>
  <c r="M55" i="17"/>
  <c r="N55" i="17"/>
  <c r="I56" i="17"/>
  <c r="O56" i="17" s="1"/>
  <c r="J56" i="17"/>
  <c r="K56" i="17"/>
  <c r="L56" i="17"/>
  <c r="M56" i="17"/>
  <c r="N56" i="17"/>
  <c r="I57" i="17"/>
  <c r="J57" i="17"/>
  <c r="K57" i="17"/>
  <c r="O57" i="17" s="1"/>
  <c r="L57" i="17"/>
  <c r="M57" i="17"/>
  <c r="N57" i="17"/>
  <c r="I58" i="17"/>
  <c r="J58" i="17"/>
  <c r="K58" i="17"/>
  <c r="L58" i="17"/>
  <c r="O58" i="17" s="1"/>
  <c r="M58" i="17"/>
  <c r="N58" i="17"/>
  <c r="I59" i="17"/>
  <c r="J59" i="17"/>
  <c r="K59" i="17"/>
  <c r="L59" i="17"/>
  <c r="M59" i="17"/>
  <c r="O59" i="17" s="1"/>
  <c r="N59" i="17"/>
  <c r="I60" i="17"/>
  <c r="O60" i="17" s="1"/>
  <c r="J60" i="17"/>
  <c r="K60" i="17"/>
  <c r="L60" i="17"/>
  <c r="M60" i="17"/>
  <c r="N60" i="17"/>
  <c r="I61" i="17"/>
  <c r="J61" i="17"/>
  <c r="K61" i="17"/>
  <c r="L61" i="17"/>
  <c r="M61" i="17"/>
  <c r="N61" i="17"/>
  <c r="O61" i="17"/>
  <c r="I62" i="17"/>
  <c r="J62" i="17"/>
  <c r="O62" i="17" s="1"/>
  <c r="K62" i="17"/>
  <c r="L62" i="17"/>
  <c r="M62" i="17"/>
  <c r="N62" i="17"/>
  <c r="I63" i="17"/>
  <c r="O63" i="17" s="1"/>
  <c r="J63" i="17"/>
  <c r="K63" i="17"/>
  <c r="L63" i="17"/>
  <c r="M63" i="17"/>
  <c r="N63" i="17"/>
  <c r="I64" i="17"/>
  <c r="O64" i="17" s="1"/>
  <c r="J64" i="17"/>
  <c r="K64" i="17"/>
  <c r="L64" i="17"/>
  <c r="M64" i="17"/>
  <c r="N64" i="17"/>
  <c r="I65" i="17"/>
  <c r="J65" i="17"/>
  <c r="K65" i="17"/>
  <c r="O65" i="17" s="1"/>
  <c r="L65" i="17"/>
  <c r="M65" i="17"/>
  <c r="N65" i="17"/>
  <c r="I66" i="17"/>
  <c r="J66" i="17"/>
  <c r="K66" i="17"/>
  <c r="O66" i="17" s="1"/>
  <c r="L66" i="17"/>
  <c r="M66" i="17"/>
  <c r="N66" i="17"/>
  <c r="I67" i="17"/>
  <c r="J67" i="17"/>
  <c r="K67" i="17"/>
  <c r="L67" i="17"/>
  <c r="M67" i="17"/>
  <c r="O67" i="17" s="1"/>
  <c r="N67" i="17"/>
  <c r="I68" i="17"/>
  <c r="O68" i="17" s="1"/>
  <c r="J68" i="17"/>
  <c r="K68" i="17"/>
  <c r="L68" i="17"/>
  <c r="M68" i="17"/>
  <c r="N68" i="17"/>
  <c r="I69" i="17"/>
  <c r="J69" i="17"/>
  <c r="K69" i="17"/>
  <c r="L69" i="17"/>
  <c r="M69" i="17"/>
  <c r="N69" i="17"/>
  <c r="O69" i="17"/>
  <c r="I70" i="17"/>
  <c r="J70" i="17"/>
  <c r="O70" i="17" s="1"/>
  <c r="K70" i="17"/>
  <c r="L70" i="17"/>
  <c r="M70" i="17"/>
  <c r="N70" i="17"/>
  <c r="I71" i="17"/>
  <c r="O71" i="17" s="1"/>
  <c r="J71" i="17"/>
  <c r="K71" i="17"/>
  <c r="L71" i="17"/>
  <c r="M71" i="17"/>
  <c r="N71" i="17"/>
  <c r="I72" i="17"/>
  <c r="O72" i="17" s="1"/>
  <c r="J72" i="17"/>
  <c r="K72" i="17"/>
  <c r="L72" i="17"/>
  <c r="M72" i="17"/>
  <c r="N72" i="17"/>
  <c r="I73" i="17"/>
  <c r="J73" i="17"/>
  <c r="O73" i="17" s="1"/>
  <c r="K73" i="17"/>
  <c r="L73" i="17"/>
  <c r="M73" i="17"/>
  <c r="N73" i="17"/>
  <c r="I74" i="17"/>
  <c r="J74" i="17"/>
  <c r="K74" i="17"/>
  <c r="O74" i="17" s="1"/>
  <c r="L74" i="17"/>
  <c r="M74" i="17"/>
  <c r="N74" i="17"/>
  <c r="I75" i="17"/>
  <c r="J75" i="17"/>
  <c r="K75" i="17"/>
  <c r="L75" i="17"/>
  <c r="M75" i="17"/>
  <c r="O75" i="17" s="1"/>
  <c r="N75" i="17"/>
  <c r="I76" i="17"/>
  <c r="O76" i="17" s="1"/>
  <c r="J76" i="17"/>
  <c r="K76" i="17"/>
  <c r="L76" i="17"/>
  <c r="M76" i="17"/>
  <c r="N76" i="17"/>
  <c r="I77" i="17"/>
  <c r="J77" i="17"/>
  <c r="K77" i="17"/>
  <c r="L77" i="17"/>
  <c r="M77" i="17"/>
  <c r="N77" i="17"/>
  <c r="O77" i="17"/>
  <c r="I78" i="17"/>
  <c r="J78" i="17"/>
  <c r="O78" i="17" s="1"/>
  <c r="K78" i="17"/>
  <c r="L78" i="17"/>
  <c r="M78" i="17"/>
  <c r="N78" i="17"/>
  <c r="I79" i="17"/>
  <c r="O79" i="17" s="1"/>
  <c r="J79" i="17"/>
  <c r="K79" i="17"/>
  <c r="L79" i="17"/>
  <c r="M79" i="17"/>
  <c r="N79" i="17"/>
  <c r="I80" i="17"/>
  <c r="O80" i="17" s="1"/>
  <c r="J80" i="17"/>
  <c r="K80" i="17"/>
  <c r="L80" i="17"/>
  <c r="M80" i="17"/>
  <c r="N80" i="17"/>
  <c r="I81" i="17"/>
  <c r="J81" i="17"/>
  <c r="O81" i="17" s="1"/>
  <c r="K81" i="17"/>
  <c r="L81" i="17"/>
  <c r="M81" i="17"/>
  <c r="N81" i="17"/>
  <c r="I82" i="17"/>
  <c r="J82" i="17"/>
  <c r="K82" i="17"/>
  <c r="O82" i="17" s="1"/>
  <c r="L82" i="17"/>
  <c r="M82" i="17"/>
  <c r="N82" i="17"/>
  <c r="I83" i="17"/>
  <c r="J83" i="17"/>
  <c r="K83" i="17"/>
  <c r="L83" i="17"/>
  <c r="M83" i="17"/>
  <c r="O83" i="17" s="1"/>
  <c r="N83" i="17"/>
  <c r="I84" i="17"/>
  <c r="O84" i="17" s="1"/>
  <c r="J84" i="17"/>
  <c r="K84" i="17"/>
  <c r="L84" i="17"/>
  <c r="M84" i="17"/>
  <c r="N84" i="17"/>
  <c r="I85" i="17"/>
  <c r="J85" i="17"/>
  <c r="K85" i="17"/>
  <c r="L85" i="17"/>
  <c r="M85" i="17"/>
  <c r="N85" i="17"/>
  <c r="O85" i="17"/>
  <c r="I86" i="17"/>
  <c r="J86" i="17"/>
  <c r="O86" i="17" s="1"/>
  <c r="K86" i="17"/>
  <c r="L86" i="17"/>
  <c r="M86" i="17"/>
  <c r="N86" i="17"/>
  <c r="I87" i="17"/>
  <c r="O87" i="17" s="1"/>
  <c r="J87" i="17"/>
  <c r="K87" i="17"/>
  <c r="L87" i="17"/>
  <c r="M87" i="17"/>
  <c r="N87" i="17"/>
  <c r="I88" i="17"/>
  <c r="O88" i="17" s="1"/>
  <c r="J88" i="17"/>
  <c r="K88" i="17"/>
  <c r="L88" i="17"/>
  <c r="M88" i="17"/>
  <c r="N88" i="17"/>
  <c r="I89" i="17"/>
  <c r="J89" i="17"/>
  <c r="O89" i="17" s="1"/>
  <c r="K89" i="17"/>
  <c r="L89" i="17"/>
  <c r="M89" i="17"/>
  <c r="N89" i="17"/>
  <c r="I90" i="17"/>
  <c r="J90" i="17"/>
  <c r="K90" i="17"/>
  <c r="O90" i="17" s="1"/>
  <c r="L90" i="17"/>
  <c r="M90" i="17"/>
  <c r="N90" i="17"/>
  <c r="I91" i="17"/>
  <c r="J91" i="17"/>
  <c r="K91" i="17"/>
  <c r="L91" i="17"/>
  <c r="M91" i="17"/>
  <c r="O91" i="17" s="1"/>
  <c r="N91" i="17"/>
  <c r="I92" i="17"/>
  <c r="O92" i="17" s="1"/>
  <c r="J92" i="17"/>
  <c r="K92" i="17"/>
  <c r="L92" i="17"/>
  <c r="M92" i="17"/>
  <c r="N92" i="17"/>
  <c r="I93" i="17"/>
  <c r="J93" i="17"/>
  <c r="K93" i="17"/>
  <c r="L93" i="17"/>
  <c r="M93" i="17"/>
  <c r="N93" i="17"/>
  <c r="O93" i="17"/>
  <c r="I94" i="17"/>
  <c r="J94" i="17"/>
  <c r="O94" i="17" s="1"/>
  <c r="K94" i="17"/>
  <c r="L94" i="17"/>
  <c r="M94" i="17"/>
  <c r="N94" i="17"/>
  <c r="I95" i="17"/>
  <c r="O95" i="17" s="1"/>
  <c r="J95" i="17"/>
  <c r="K95" i="17"/>
  <c r="L95" i="17"/>
  <c r="M95" i="17"/>
  <c r="N95" i="17"/>
  <c r="I96" i="17"/>
  <c r="O96" i="17" s="1"/>
  <c r="J96" i="17"/>
  <c r="K96" i="17"/>
  <c r="L96" i="17"/>
  <c r="M96" i="17"/>
  <c r="N96" i="17"/>
  <c r="I97" i="17"/>
  <c r="J97" i="17"/>
  <c r="O97" i="17" s="1"/>
  <c r="K97" i="17"/>
  <c r="L97" i="17"/>
  <c r="M97" i="17"/>
  <c r="N97" i="17"/>
  <c r="I98" i="17"/>
  <c r="J98" i="17"/>
  <c r="K98" i="17"/>
  <c r="O98" i="17" s="1"/>
  <c r="L98" i="17"/>
  <c r="M98" i="17"/>
  <c r="N98" i="17"/>
  <c r="I99" i="17"/>
  <c r="J99" i="17"/>
  <c r="K99" i="17"/>
  <c r="L99" i="17"/>
  <c r="M99" i="17"/>
  <c r="O99" i="17" s="1"/>
  <c r="N99" i="17"/>
  <c r="I100" i="17"/>
  <c r="O100" i="17" s="1"/>
  <c r="J100" i="17"/>
  <c r="K100" i="17"/>
  <c r="L100" i="17"/>
  <c r="M100" i="17"/>
  <c r="N100" i="17"/>
  <c r="I101" i="17"/>
  <c r="J101" i="17"/>
  <c r="K101" i="17"/>
  <c r="L101" i="17"/>
  <c r="M101" i="17"/>
  <c r="N101" i="17"/>
  <c r="O101" i="17"/>
  <c r="I102" i="17"/>
  <c r="J102" i="17"/>
  <c r="O102" i="17" s="1"/>
  <c r="K102" i="17"/>
  <c r="L102" i="17"/>
  <c r="M102" i="17"/>
  <c r="N102" i="17"/>
  <c r="I103" i="17"/>
  <c r="O103" i="17" s="1"/>
  <c r="J103" i="17"/>
  <c r="K103" i="17"/>
  <c r="L103" i="17"/>
  <c r="M103" i="17"/>
  <c r="N103" i="17"/>
  <c r="I104" i="17"/>
  <c r="O104" i="17" s="1"/>
  <c r="J104" i="17"/>
  <c r="K104" i="17"/>
  <c r="L104" i="17"/>
  <c r="M104" i="17"/>
  <c r="N104" i="17"/>
  <c r="I105" i="17"/>
  <c r="J105" i="17"/>
  <c r="O105" i="17" s="1"/>
  <c r="K105" i="17"/>
  <c r="L105" i="17"/>
  <c r="M105" i="17"/>
  <c r="N105" i="17"/>
  <c r="I106" i="17"/>
  <c r="J106" i="17"/>
  <c r="K106" i="17"/>
  <c r="O106" i="17" s="1"/>
  <c r="L106" i="17"/>
  <c r="M106" i="17"/>
  <c r="N106" i="17"/>
  <c r="I107" i="17"/>
  <c r="J107" i="17"/>
  <c r="K107" i="17"/>
  <c r="L107" i="17"/>
  <c r="M107" i="17"/>
  <c r="O107" i="17" s="1"/>
  <c r="N107" i="17"/>
  <c r="I108" i="17"/>
  <c r="O108" i="17" s="1"/>
  <c r="J108" i="17"/>
  <c r="K108" i="17"/>
  <c r="L108" i="17"/>
  <c r="M108" i="17"/>
  <c r="N108" i="17"/>
  <c r="I109" i="17"/>
  <c r="J109" i="17"/>
  <c r="K109" i="17"/>
  <c r="L109" i="17"/>
  <c r="M109" i="17"/>
  <c r="N109" i="17"/>
  <c r="O109" i="17"/>
  <c r="I110" i="17"/>
  <c r="J110" i="17"/>
  <c r="O110" i="17" s="1"/>
  <c r="K110" i="17"/>
  <c r="L110" i="17"/>
  <c r="M110" i="17"/>
  <c r="N110" i="17"/>
  <c r="I111" i="17"/>
  <c r="O111" i="17" s="1"/>
  <c r="J111" i="17"/>
  <c r="K111" i="17"/>
  <c r="L111" i="17"/>
  <c r="M111" i="17"/>
  <c r="N111" i="17"/>
  <c r="I112" i="17"/>
  <c r="O112" i="17" s="1"/>
  <c r="J112" i="17"/>
  <c r="K112" i="17"/>
  <c r="L112" i="17"/>
  <c r="M112" i="17"/>
  <c r="N112" i="17"/>
  <c r="I113" i="17"/>
  <c r="J113" i="17"/>
  <c r="O113" i="17" s="1"/>
  <c r="K113" i="17"/>
  <c r="L113" i="17"/>
  <c r="M113" i="17"/>
  <c r="N113" i="17"/>
  <c r="I114" i="17"/>
  <c r="J114" i="17"/>
  <c r="K114" i="17"/>
  <c r="O114" i="17" s="1"/>
  <c r="L114" i="17"/>
  <c r="M114" i="17"/>
  <c r="N114" i="17"/>
  <c r="I115" i="17"/>
  <c r="J115" i="17"/>
  <c r="K115" i="17"/>
  <c r="L115" i="17"/>
  <c r="M115" i="17"/>
  <c r="O115" i="17" s="1"/>
  <c r="N115" i="17"/>
  <c r="I116" i="17"/>
  <c r="O116" i="17" s="1"/>
  <c r="J116" i="17"/>
  <c r="K116" i="17"/>
  <c r="L116" i="17"/>
  <c r="M116" i="17"/>
  <c r="N116" i="17"/>
  <c r="I117" i="17"/>
  <c r="J117" i="17"/>
  <c r="K117" i="17"/>
  <c r="L117" i="17"/>
  <c r="M117" i="17"/>
  <c r="N117" i="17"/>
  <c r="O117" i="17"/>
  <c r="I118" i="17"/>
  <c r="J118" i="17"/>
  <c r="O118" i="17" s="1"/>
  <c r="K118" i="17"/>
  <c r="L118" i="17"/>
  <c r="M118" i="17"/>
  <c r="N118" i="17"/>
  <c r="I119" i="17"/>
  <c r="O119" i="17" s="1"/>
  <c r="J119" i="17"/>
  <c r="K119" i="17"/>
  <c r="L119" i="17"/>
  <c r="M119" i="17"/>
  <c r="N119" i="17"/>
  <c r="I120" i="17"/>
  <c r="O120" i="17" s="1"/>
  <c r="J120" i="17"/>
  <c r="K120" i="17"/>
  <c r="L120" i="17"/>
  <c r="M120" i="17"/>
  <c r="N120" i="17"/>
  <c r="I121" i="17"/>
  <c r="J121" i="17"/>
  <c r="O121" i="17" s="1"/>
  <c r="K121" i="17"/>
  <c r="L121" i="17"/>
  <c r="M121" i="17"/>
  <c r="N121" i="17"/>
  <c r="I122" i="17"/>
  <c r="J122" i="17"/>
  <c r="K122" i="17"/>
  <c r="O122" i="17" s="1"/>
  <c r="L122" i="17"/>
  <c r="M122" i="17"/>
  <c r="N122" i="17"/>
  <c r="I123" i="17"/>
  <c r="J123" i="17"/>
  <c r="K123" i="17"/>
  <c r="L123" i="17"/>
  <c r="M123" i="17"/>
  <c r="O123" i="17" s="1"/>
  <c r="N123" i="17"/>
  <c r="I124" i="17"/>
  <c r="O124" i="17" s="1"/>
  <c r="J124" i="17"/>
  <c r="K124" i="17"/>
  <c r="L124" i="17"/>
  <c r="M124" i="17"/>
  <c r="N124" i="17"/>
  <c r="I125" i="17"/>
  <c r="J125" i="17"/>
  <c r="K125" i="17"/>
  <c r="L125" i="17"/>
  <c r="M125" i="17"/>
  <c r="N125" i="17"/>
  <c r="O125" i="17"/>
  <c r="I126" i="17"/>
  <c r="J126" i="17"/>
  <c r="O126" i="17" s="1"/>
  <c r="K126" i="17"/>
  <c r="L126" i="17"/>
  <c r="M126" i="17"/>
  <c r="N126" i="17"/>
  <c r="I127" i="17"/>
  <c r="O127" i="17" s="1"/>
  <c r="J127" i="17"/>
  <c r="K127" i="17"/>
  <c r="L127" i="17"/>
  <c r="M127" i="17"/>
  <c r="N127" i="17"/>
  <c r="I128" i="17"/>
  <c r="O128" i="17" s="1"/>
  <c r="J128" i="17"/>
  <c r="K128" i="17"/>
  <c r="L128" i="17"/>
  <c r="M128" i="17"/>
  <c r="N128" i="17"/>
  <c r="I129" i="17"/>
  <c r="J129" i="17"/>
  <c r="O129" i="17" s="1"/>
  <c r="K129" i="17"/>
  <c r="L129" i="17"/>
  <c r="M129" i="17"/>
  <c r="N129" i="17"/>
  <c r="I130" i="17"/>
  <c r="J130" i="17"/>
  <c r="K130" i="17"/>
  <c r="O130" i="17" s="1"/>
  <c r="L130" i="17"/>
  <c r="M130" i="17"/>
  <c r="N130" i="17"/>
  <c r="I131" i="17"/>
  <c r="J131" i="17"/>
  <c r="K131" i="17"/>
  <c r="L131" i="17"/>
  <c r="M131" i="17"/>
  <c r="O131" i="17" s="1"/>
  <c r="N131" i="17"/>
  <c r="I132" i="17"/>
  <c r="O132" i="17" s="1"/>
  <c r="J132" i="17"/>
  <c r="K132" i="17"/>
  <c r="L132" i="17"/>
  <c r="M132" i="17"/>
  <c r="N132" i="17"/>
  <c r="I133" i="17"/>
  <c r="J133" i="17"/>
  <c r="K133" i="17"/>
  <c r="L133" i="17"/>
  <c r="M133" i="17"/>
  <c r="N133" i="17"/>
  <c r="O133" i="17"/>
  <c r="I134" i="17"/>
  <c r="J134" i="17"/>
  <c r="O134" i="17" s="1"/>
  <c r="K134" i="17"/>
  <c r="L134" i="17"/>
  <c r="M134" i="17"/>
  <c r="N134" i="17"/>
  <c r="I135" i="17"/>
  <c r="O135" i="17" s="1"/>
  <c r="J135" i="17"/>
  <c r="K135" i="17"/>
  <c r="L135" i="17"/>
  <c r="M135" i="17"/>
  <c r="N135" i="17"/>
  <c r="I136" i="17"/>
  <c r="O136" i="17" s="1"/>
  <c r="J136" i="17"/>
  <c r="K136" i="17"/>
  <c r="L136" i="17"/>
  <c r="M136" i="17"/>
  <c r="N136" i="17"/>
  <c r="I137" i="17"/>
  <c r="J137" i="17"/>
  <c r="O137" i="17" s="1"/>
  <c r="K137" i="17"/>
  <c r="L137" i="17"/>
  <c r="M137" i="17"/>
  <c r="N137" i="17"/>
  <c r="I138" i="17"/>
  <c r="J138" i="17"/>
  <c r="K138" i="17"/>
  <c r="O138" i="17" s="1"/>
  <c r="L138" i="17"/>
  <c r="M138" i="17"/>
  <c r="N138" i="17"/>
  <c r="I139" i="17"/>
  <c r="J139" i="17"/>
  <c r="K139" i="17"/>
  <c r="L139" i="17"/>
  <c r="M139" i="17"/>
  <c r="O139" i="17" s="1"/>
  <c r="N139" i="17"/>
  <c r="I140" i="17"/>
  <c r="O140" i="17" s="1"/>
  <c r="J140" i="17"/>
  <c r="K140" i="17"/>
  <c r="L140" i="17"/>
  <c r="M140" i="17"/>
  <c r="N140" i="17"/>
  <c r="I141" i="17"/>
  <c r="J141" i="17"/>
  <c r="K141" i="17"/>
  <c r="L141" i="17"/>
  <c r="M141" i="17"/>
  <c r="N141" i="17"/>
  <c r="O141" i="17"/>
  <c r="I142" i="17"/>
  <c r="J142" i="17"/>
  <c r="O142" i="17" s="1"/>
  <c r="K142" i="17"/>
  <c r="L142" i="17"/>
  <c r="M142" i="17"/>
  <c r="N142" i="17"/>
  <c r="I143" i="17"/>
  <c r="O143" i="17" s="1"/>
  <c r="J143" i="17"/>
  <c r="K143" i="17"/>
  <c r="L143" i="17"/>
  <c r="M143" i="17"/>
  <c r="N143" i="17"/>
  <c r="I144" i="17"/>
  <c r="O144" i="17" s="1"/>
  <c r="J144" i="17"/>
  <c r="K144" i="17"/>
  <c r="L144" i="17"/>
  <c r="M144" i="17"/>
  <c r="N144" i="17"/>
  <c r="I145" i="17"/>
  <c r="J145" i="17"/>
  <c r="O145" i="17" s="1"/>
  <c r="K145" i="17"/>
  <c r="L145" i="17"/>
  <c r="M145" i="17"/>
  <c r="N145" i="17"/>
  <c r="I146" i="17"/>
  <c r="J146" i="17"/>
  <c r="K146" i="17"/>
  <c r="O146" i="17" s="1"/>
  <c r="L146" i="17"/>
  <c r="M146" i="17"/>
  <c r="N146" i="17"/>
  <c r="I147" i="17"/>
  <c r="J147" i="17"/>
  <c r="K147" i="17"/>
  <c r="L147" i="17"/>
  <c r="M147" i="17"/>
  <c r="O147" i="17" s="1"/>
  <c r="N147" i="17"/>
  <c r="I148" i="17"/>
  <c r="O148" i="17" s="1"/>
  <c r="J148" i="17"/>
  <c r="K148" i="17"/>
  <c r="L148" i="17"/>
  <c r="M148" i="17"/>
  <c r="N148" i="17"/>
  <c r="I149" i="17"/>
  <c r="J149" i="17"/>
  <c r="K149" i="17"/>
  <c r="L149" i="17"/>
  <c r="M149" i="17"/>
  <c r="N149" i="17"/>
  <c r="O149" i="17"/>
  <c r="I150" i="17"/>
  <c r="J150" i="17"/>
  <c r="O150" i="17" s="1"/>
  <c r="K150" i="17"/>
  <c r="L150" i="17"/>
  <c r="M150" i="17"/>
  <c r="N150" i="17"/>
  <c r="I151" i="17"/>
  <c r="O151" i="17" s="1"/>
  <c r="J151" i="17"/>
  <c r="K151" i="17"/>
  <c r="L151" i="17"/>
  <c r="M151" i="17"/>
  <c r="N151" i="17"/>
  <c r="I152" i="17"/>
  <c r="O152" i="17" s="1"/>
  <c r="J152" i="17"/>
  <c r="K152" i="17"/>
  <c r="L152" i="17"/>
  <c r="M152" i="17"/>
  <c r="N152" i="17"/>
  <c r="I153" i="17"/>
  <c r="J153" i="17"/>
  <c r="O153" i="17" s="1"/>
  <c r="K153" i="17"/>
  <c r="L153" i="17"/>
  <c r="M153" i="17"/>
  <c r="N153" i="17"/>
  <c r="I154" i="17"/>
  <c r="J154" i="17"/>
  <c r="K154" i="17"/>
  <c r="O154" i="17" s="1"/>
  <c r="L154" i="17"/>
  <c r="M154" i="17"/>
  <c r="N154" i="17"/>
  <c r="I155" i="17"/>
  <c r="J155" i="17"/>
  <c r="K155" i="17"/>
  <c r="L155" i="17"/>
  <c r="M155" i="17"/>
  <c r="O155" i="17" s="1"/>
  <c r="N155" i="17"/>
  <c r="I156" i="17"/>
  <c r="O156" i="17" s="1"/>
  <c r="J156" i="17"/>
  <c r="K156" i="17"/>
  <c r="L156" i="17"/>
  <c r="M156" i="17"/>
  <c r="N156" i="17"/>
  <c r="I157" i="17"/>
  <c r="J157" i="17"/>
  <c r="K157" i="17"/>
  <c r="L157" i="17"/>
  <c r="M157" i="17"/>
  <c r="N157" i="17"/>
  <c r="O157" i="17"/>
  <c r="I158" i="17"/>
  <c r="J158" i="17"/>
  <c r="O158" i="17" s="1"/>
  <c r="K158" i="17"/>
  <c r="L158" i="17"/>
  <c r="M158" i="17"/>
  <c r="N158" i="17"/>
  <c r="I159" i="17"/>
  <c r="O159" i="17" s="1"/>
  <c r="J159" i="17"/>
  <c r="K159" i="17"/>
  <c r="L159" i="17"/>
  <c r="M159" i="17"/>
  <c r="N159" i="17"/>
  <c r="I160" i="17"/>
  <c r="O160" i="17" s="1"/>
  <c r="J160" i="17"/>
  <c r="K160" i="17"/>
  <c r="L160" i="17"/>
  <c r="M160" i="17"/>
  <c r="N160" i="17"/>
  <c r="I161" i="17"/>
  <c r="J161" i="17"/>
  <c r="O161" i="17" s="1"/>
  <c r="K161" i="17"/>
  <c r="L161" i="17"/>
  <c r="M161" i="17"/>
  <c r="N161" i="17"/>
  <c r="I162" i="17"/>
  <c r="J162" i="17"/>
  <c r="K162" i="17"/>
  <c r="O162" i="17" s="1"/>
  <c r="L162" i="17"/>
  <c r="M162" i="17"/>
  <c r="N162" i="17"/>
  <c r="I163" i="17"/>
  <c r="J163" i="17"/>
  <c r="K163" i="17"/>
  <c r="L163" i="17"/>
  <c r="M163" i="17"/>
  <c r="O163" i="17" s="1"/>
  <c r="N163" i="17"/>
  <c r="I164" i="17"/>
  <c r="O164" i="17" s="1"/>
  <c r="J164" i="17"/>
  <c r="K164" i="17"/>
  <c r="L164" i="17"/>
  <c r="M164" i="17"/>
  <c r="N164" i="17"/>
  <c r="I165" i="17"/>
  <c r="J165" i="17"/>
  <c r="K165" i="17"/>
  <c r="L165" i="17"/>
  <c r="M165" i="17"/>
  <c r="N165" i="17"/>
  <c r="O165" i="17"/>
  <c r="I166" i="17"/>
  <c r="J166" i="17"/>
  <c r="O166" i="17" s="1"/>
  <c r="K166" i="17"/>
  <c r="L166" i="17"/>
  <c r="M166" i="17"/>
  <c r="N166" i="17"/>
  <c r="I167" i="17"/>
  <c r="O167" i="17" s="1"/>
  <c r="J167" i="17"/>
  <c r="K167" i="17"/>
  <c r="L167" i="17"/>
  <c r="M167" i="17"/>
  <c r="N167" i="17"/>
  <c r="I168" i="17"/>
  <c r="O168" i="17" s="1"/>
  <c r="J168" i="17"/>
  <c r="K168" i="17"/>
  <c r="L168" i="17"/>
  <c r="M168" i="17"/>
  <c r="N168" i="17"/>
  <c r="I169" i="17"/>
  <c r="J169" i="17"/>
  <c r="O169" i="17" s="1"/>
  <c r="K169" i="17"/>
  <c r="L169" i="17"/>
  <c r="M169" i="17"/>
  <c r="N169" i="17"/>
  <c r="I170" i="17"/>
  <c r="J170" i="17"/>
  <c r="K170" i="17"/>
  <c r="O170" i="17" s="1"/>
  <c r="L170" i="17"/>
  <c r="M170" i="17"/>
  <c r="N170" i="17"/>
  <c r="I171" i="17"/>
  <c r="J171" i="17"/>
  <c r="K171" i="17"/>
  <c r="L171" i="17"/>
  <c r="M171" i="17"/>
  <c r="O171" i="17" s="1"/>
  <c r="N171" i="17"/>
  <c r="I172" i="17"/>
  <c r="O172" i="17" s="1"/>
  <c r="J172" i="17"/>
  <c r="K172" i="17"/>
  <c r="L172" i="17"/>
  <c r="M172" i="17"/>
  <c r="N172" i="17"/>
  <c r="I173" i="17"/>
  <c r="J173" i="17"/>
  <c r="K173" i="17"/>
  <c r="L173" i="17"/>
  <c r="M173" i="17"/>
  <c r="N173" i="17"/>
  <c r="O173" i="17"/>
  <c r="I174" i="17"/>
  <c r="J174" i="17"/>
  <c r="O174" i="17" s="1"/>
  <c r="K174" i="17"/>
  <c r="L174" i="17"/>
  <c r="M174" i="17"/>
  <c r="N174" i="17"/>
  <c r="I175" i="17"/>
  <c r="O175" i="17" s="1"/>
  <c r="J175" i="17"/>
  <c r="K175" i="17"/>
  <c r="L175" i="17"/>
  <c r="M175" i="17"/>
  <c r="N175" i="17"/>
  <c r="I176" i="17"/>
  <c r="O176" i="17" s="1"/>
  <c r="J176" i="17"/>
  <c r="K176" i="17"/>
  <c r="L176" i="17"/>
  <c r="M176" i="17"/>
  <c r="N176" i="17"/>
  <c r="I177" i="17"/>
  <c r="J177" i="17"/>
  <c r="O177" i="17" s="1"/>
  <c r="K177" i="17"/>
  <c r="L177" i="17"/>
  <c r="M177" i="17"/>
  <c r="N177" i="17"/>
  <c r="I178" i="17"/>
  <c r="J178" i="17"/>
  <c r="K178" i="17"/>
  <c r="O178" i="17" s="1"/>
  <c r="L178" i="17"/>
  <c r="M178" i="17"/>
  <c r="N178" i="17"/>
  <c r="I179" i="17"/>
  <c r="J179" i="17"/>
  <c r="K179" i="17"/>
  <c r="L179" i="17"/>
  <c r="M179" i="17"/>
  <c r="O179" i="17" s="1"/>
  <c r="N179" i="17"/>
  <c r="I180" i="17"/>
  <c r="O180" i="17" s="1"/>
  <c r="J180" i="17"/>
  <c r="K180" i="17"/>
  <c r="L180" i="17"/>
  <c r="M180" i="17"/>
  <c r="N180" i="17"/>
  <c r="I181" i="17"/>
  <c r="O181" i="17" s="1"/>
  <c r="J181" i="17"/>
  <c r="K181" i="17"/>
  <c r="L181" i="17"/>
  <c r="M181" i="17"/>
  <c r="N181" i="17"/>
  <c r="I182" i="17"/>
  <c r="J182" i="17"/>
  <c r="O182" i="17" s="1"/>
  <c r="K182" i="17"/>
  <c r="L182" i="17"/>
  <c r="M182" i="17"/>
  <c r="N182" i="17"/>
  <c r="I183" i="17"/>
  <c r="O183" i="17" s="1"/>
  <c r="J183" i="17"/>
  <c r="K183" i="17"/>
  <c r="L183" i="17"/>
  <c r="M183" i="17"/>
  <c r="N183" i="17"/>
  <c r="I184" i="17"/>
  <c r="O184" i="17" s="1"/>
  <c r="J184" i="17"/>
  <c r="K184" i="17"/>
  <c r="L184" i="17"/>
  <c r="M184" i="17"/>
  <c r="N184" i="17"/>
  <c r="I185" i="17"/>
  <c r="J185" i="17"/>
  <c r="O185" i="17" s="1"/>
  <c r="K185" i="17"/>
  <c r="L185" i="17"/>
  <c r="M185" i="17"/>
  <c r="N185" i="17"/>
  <c r="I186" i="17"/>
  <c r="J186" i="17"/>
  <c r="K186" i="17"/>
  <c r="O186" i="17" s="1"/>
  <c r="L186" i="17"/>
  <c r="M186" i="17"/>
  <c r="N186" i="17"/>
  <c r="I187" i="17"/>
  <c r="J187" i="17"/>
  <c r="K187" i="17"/>
  <c r="L187" i="17"/>
  <c r="M187" i="17"/>
  <c r="N187" i="17"/>
  <c r="O187" i="17"/>
  <c r="I188" i="17"/>
  <c r="O188" i="17" s="1"/>
  <c r="J188" i="17"/>
  <c r="K188" i="17"/>
  <c r="L188" i="17"/>
  <c r="M188" i="17"/>
  <c r="N188" i="17"/>
  <c r="I189" i="17"/>
  <c r="O189" i="17" s="1"/>
  <c r="J189" i="17"/>
  <c r="K189" i="17"/>
  <c r="L189" i="17"/>
  <c r="M189" i="17"/>
  <c r="N189" i="17"/>
  <c r="I190" i="17"/>
  <c r="J190" i="17"/>
  <c r="O190" i="17" s="1"/>
  <c r="K190" i="17"/>
  <c r="L190" i="17"/>
  <c r="M190" i="17"/>
  <c r="N190" i="17"/>
  <c r="I191" i="17"/>
  <c r="O191" i="17" s="1"/>
  <c r="J191" i="17"/>
  <c r="K191" i="17"/>
  <c r="L191" i="17"/>
  <c r="M191" i="17"/>
  <c r="N191" i="17"/>
  <c r="I192" i="17"/>
  <c r="O192" i="17" s="1"/>
  <c r="J192" i="17"/>
  <c r="K192" i="17"/>
  <c r="L192" i="17"/>
  <c r="M192" i="17"/>
  <c r="N192" i="17"/>
  <c r="I193" i="17"/>
  <c r="J193" i="17"/>
  <c r="O193" i="17" s="1"/>
  <c r="K193" i="17"/>
  <c r="L193" i="17"/>
  <c r="M193" i="17"/>
  <c r="N193" i="17"/>
  <c r="I194" i="17"/>
  <c r="J194" i="17"/>
  <c r="K194" i="17"/>
  <c r="O194" i="17" s="1"/>
  <c r="L194" i="17"/>
  <c r="M194" i="17"/>
  <c r="N194" i="17"/>
  <c r="I195" i="17"/>
  <c r="J195" i="17"/>
  <c r="K195" i="17"/>
  <c r="L195" i="17"/>
  <c r="M195" i="17"/>
  <c r="N195" i="17"/>
  <c r="O195" i="17"/>
  <c r="I196" i="17"/>
  <c r="O196" i="17" s="1"/>
  <c r="J196" i="17"/>
  <c r="K196" i="17"/>
  <c r="L196" i="17"/>
  <c r="M196" i="17"/>
  <c r="N196" i="17"/>
  <c r="I197" i="17"/>
  <c r="O197" i="17" s="1"/>
  <c r="J197" i="17"/>
  <c r="K197" i="17"/>
  <c r="L197" i="17"/>
  <c r="M197" i="17"/>
  <c r="N197" i="17"/>
  <c r="I198" i="17"/>
  <c r="J198" i="17"/>
  <c r="O198" i="17" s="1"/>
  <c r="K198" i="17"/>
  <c r="L198" i="17"/>
  <c r="M198" i="17"/>
  <c r="N198" i="17"/>
  <c r="I199" i="17"/>
  <c r="O199" i="17" s="1"/>
  <c r="J199" i="17"/>
  <c r="K199" i="17"/>
  <c r="L199" i="17"/>
  <c r="M199" i="17"/>
  <c r="N199" i="17"/>
  <c r="I200" i="17"/>
  <c r="O200" i="17" s="1"/>
  <c r="J200" i="17"/>
  <c r="K200" i="17"/>
  <c r="L200" i="17"/>
  <c r="M200" i="17"/>
  <c r="N200" i="17"/>
  <c r="I201" i="17"/>
  <c r="J201" i="17"/>
  <c r="O201" i="17" s="1"/>
  <c r="K201" i="17"/>
  <c r="L201" i="17"/>
  <c r="M201" i="17"/>
  <c r="N201" i="17"/>
  <c r="I202" i="17"/>
  <c r="J202" i="17"/>
  <c r="K202" i="17"/>
  <c r="O202" i="17" s="1"/>
  <c r="L202" i="17"/>
  <c r="M202" i="17"/>
  <c r="N202" i="17"/>
  <c r="I203" i="17"/>
  <c r="J203" i="17"/>
  <c r="K203" i="17"/>
  <c r="L203" i="17"/>
  <c r="M203" i="17"/>
  <c r="N203" i="17"/>
  <c r="O203" i="17"/>
  <c r="I204" i="17"/>
  <c r="O204" i="17" s="1"/>
  <c r="J204" i="17"/>
  <c r="K204" i="17"/>
  <c r="L204" i="17"/>
  <c r="M204" i="17"/>
  <c r="N204" i="17"/>
  <c r="I205" i="17"/>
  <c r="O205" i="17" s="1"/>
  <c r="J205" i="17"/>
  <c r="K205" i="17"/>
  <c r="L205" i="17"/>
  <c r="M205" i="17"/>
  <c r="N205" i="17"/>
  <c r="I206" i="17"/>
  <c r="J206" i="17"/>
  <c r="O206" i="17" s="1"/>
  <c r="K206" i="17"/>
  <c r="L206" i="17"/>
  <c r="M206" i="17"/>
  <c r="N206" i="17"/>
  <c r="I207" i="17"/>
  <c r="O207" i="17" s="1"/>
  <c r="J207" i="17"/>
  <c r="K207" i="17"/>
  <c r="L207" i="17"/>
  <c r="M207" i="17"/>
  <c r="N207" i="17"/>
  <c r="I208" i="17"/>
  <c r="O208" i="17" s="1"/>
  <c r="J208" i="17"/>
  <c r="K208" i="17"/>
  <c r="L208" i="17"/>
  <c r="M208" i="17"/>
  <c r="N208" i="17"/>
  <c r="I209" i="17"/>
  <c r="J209" i="17"/>
  <c r="O209" i="17" s="1"/>
  <c r="K209" i="17"/>
  <c r="L209" i="17"/>
  <c r="M209" i="17"/>
  <c r="N209" i="17"/>
  <c r="I210" i="17"/>
  <c r="J210" i="17"/>
  <c r="K210" i="17"/>
  <c r="O210" i="17" s="1"/>
  <c r="L210" i="17"/>
  <c r="M210" i="17"/>
  <c r="N210" i="17"/>
  <c r="I211" i="17"/>
  <c r="J211" i="17"/>
  <c r="K211" i="17"/>
  <c r="L211" i="17"/>
  <c r="M211" i="17"/>
  <c r="N211" i="17"/>
  <c r="O211" i="17"/>
  <c r="I212" i="17"/>
  <c r="O212" i="17" s="1"/>
  <c r="J212" i="17"/>
  <c r="K212" i="17"/>
  <c r="L212" i="17"/>
  <c r="M212" i="17"/>
  <c r="N212" i="17"/>
  <c r="I213" i="17"/>
  <c r="O213" i="17" s="1"/>
  <c r="J213" i="17"/>
  <c r="K213" i="17"/>
  <c r="L213" i="17"/>
  <c r="M213" i="17"/>
  <c r="N213" i="17"/>
  <c r="I214" i="17"/>
  <c r="J214" i="17"/>
  <c r="O214" i="17" s="1"/>
  <c r="K214" i="17"/>
  <c r="L214" i="17"/>
  <c r="M214" i="17"/>
  <c r="N214" i="17"/>
  <c r="I215" i="17"/>
  <c r="O215" i="17" s="1"/>
  <c r="J215" i="17"/>
  <c r="K215" i="17"/>
  <c r="L215" i="17"/>
  <c r="M215" i="17"/>
  <c r="N215" i="17"/>
  <c r="I216" i="17"/>
  <c r="O216" i="17" s="1"/>
  <c r="J216" i="17"/>
  <c r="K216" i="17"/>
  <c r="L216" i="17"/>
  <c r="M216" i="17"/>
  <c r="N216" i="17"/>
  <c r="I217" i="17"/>
  <c r="J217" i="17"/>
  <c r="O217" i="17" s="1"/>
  <c r="K217" i="17"/>
  <c r="L217" i="17"/>
  <c r="M217" i="17"/>
  <c r="N217" i="17"/>
  <c r="I218" i="17"/>
  <c r="O218" i="17" s="1"/>
  <c r="J218" i="17"/>
  <c r="K218" i="17"/>
  <c r="L218" i="17"/>
  <c r="M218" i="17"/>
  <c r="N218" i="17"/>
  <c r="I219" i="17"/>
  <c r="J219" i="17"/>
  <c r="K219" i="17"/>
  <c r="L219" i="17"/>
  <c r="M219" i="17"/>
  <c r="N219" i="17"/>
  <c r="O219" i="17"/>
  <c r="I220" i="17"/>
  <c r="O220" i="17" s="1"/>
  <c r="J220" i="17"/>
  <c r="K220" i="17"/>
  <c r="L220" i="17"/>
  <c r="M220" i="17"/>
  <c r="N220" i="17"/>
  <c r="I221" i="17"/>
  <c r="O221" i="17" s="1"/>
  <c r="J221" i="17"/>
  <c r="K221" i="17"/>
  <c r="L221" i="17"/>
  <c r="M221" i="17"/>
  <c r="N221" i="17"/>
  <c r="I222" i="17"/>
  <c r="J222" i="17"/>
  <c r="O222" i="17" s="1"/>
  <c r="K222" i="17"/>
  <c r="L222" i="17"/>
  <c r="M222" i="17"/>
  <c r="N222" i="17"/>
  <c r="I223" i="17"/>
  <c r="O223" i="17" s="1"/>
  <c r="J223" i="17"/>
  <c r="K223" i="17"/>
  <c r="L223" i="17"/>
  <c r="M223" i="17"/>
  <c r="N223" i="17"/>
  <c r="I224" i="17"/>
  <c r="O224" i="17" s="1"/>
  <c r="J224" i="17"/>
  <c r="K224" i="17"/>
  <c r="L224" i="17"/>
  <c r="M224" i="17"/>
  <c r="N224" i="17"/>
  <c r="I225" i="17"/>
  <c r="J225" i="17"/>
  <c r="O225" i="17" s="1"/>
  <c r="K225" i="17"/>
  <c r="L225" i="17"/>
  <c r="M225" i="17"/>
  <c r="N225" i="17"/>
  <c r="I226" i="17"/>
  <c r="O226" i="17" s="1"/>
  <c r="J226" i="17"/>
  <c r="K226" i="17"/>
  <c r="L226" i="17"/>
  <c r="M226" i="17"/>
  <c r="N226" i="17"/>
  <c r="I227" i="17"/>
  <c r="J227" i="17"/>
  <c r="K227" i="17"/>
  <c r="L227" i="17"/>
  <c r="M227" i="17"/>
  <c r="N227" i="17"/>
  <c r="O227" i="17"/>
  <c r="I228" i="17"/>
  <c r="O228" i="17" s="1"/>
  <c r="J228" i="17"/>
  <c r="K228" i="17"/>
  <c r="L228" i="17"/>
  <c r="M228" i="17"/>
  <c r="N228" i="17"/>
  <c r="I229" i="17"/>
  <c r="O229" i="17" s="1"/>
  <c r="J229" i="17"/>
  <c r="K229" i="17"/>
  <c r="L229" i="17"/>
  <c r="M229" i="17"/>
  <c r="N229" i="17"/>
  <c r="I230" i="17"/>
  <c r="J230" i="17"/>
  <c r="O230" i="17" s="1"/>
  <c r="K230" i="17"/>
  <c r="L230" i="17"/>
  <c r="M230" i="17"/>
  <c r="N230" i="17"/>
  <c r="I231" i="17"/>
  <c r="O231" i="17" s="1"/>
  <c r="J231" i="17"/>
  <c r="K231" i="17"/>
  <c r="L231" i="17"/>
  <c r="M231" i="17"/>
  <c r="N231" i="17"/>
  <c r="I232" i="17"/>
  <c r="O232" i="17" s="1"/>
  <c r="J232" i="17"/>
  <c r="K232" i="17"/>
  <c r="L232" i="17"/>
  <c r="M232" i="17"/>
  <c r="N232" i="17"/>
  <c r="I233" i="17"/>
  <c r="J233" i="17"/>
  <c r="O233" i="17" s="1"/>
  <c r="K233" i="17"/>
  <c r="L233" i="17"/>
  <c r="M233" i="17"/>
  <c r="N233" i="17"/>
  <c r="I234" i="17"/>
  <c r="O234" i="17" s="1"/>
  <c r="J234" i="17"/>
  <c r="K234" i="17"/>
  <c r="L234" i="17"/>
  <c r="M234" i="17"/>
  <c r="N234" i="17"/>
  <c r="I235" i="17"/>
  <c r="J235" i="17"/>
  <c r="K235" i="17"/>
  <c r="L235" i="17"/>
  <c r="M235" i="17"/>
  <c r="N235" i="17"/>
  <c r="O235" i="17"/>
  <c r="I236" i="17"/>
  <c r="O236" i="17" s="1"/>
  <c r="J236" i="17"/>
  <c r="K236" i="17"/>
  <c r="L236" i="17"/>
  <c r="M236" i="17"/>
  <c r="N236" i="17"/>
  <c r="I237" i="17"/>
  <c r="O237" i="17" s="1"/>
  <c r="J237" i="17"/>
  <c r="K237" i="17"/>
  <c r="L237" i="17"/>
  <c r="M237" i="17"/>
  <c r="N237" i="17"/>
  <c r="I238" i="17"/>
  <c r="J238" i="17"/>
  <c r="O238" i="17" s="1"/>
  <c r="K238" i="17"/>
  <c r="L238" i="17"/>
  <c r="M238" i="17"/>
  <c r="N238" i="17"/>
  <c r="I239" i="17"/>
  <c r="O239" i="17" s="1"/>
  <c r="J239" i="17"/>
  <c r="K239" i="17"/>
  <c r="L239" i="17"/>
  <c r="M239" i="17"/>
  <c r="N239" i="17"/>
  <c r="I240" i="17"/>
  <c r="O240" i="17" s="1"/>
  <c r="J240" i="17"/>
  <c r="K240" i="17"/>
  <c r="L240" i="17"/>
  <c r="M240" i="17"/>
  <c r="N240" i="17"/>
  <c r="I241" i="17"/>
  <c r="J241" i="17"/>
  <c r="O241" i="17" s="1"/>
  <c r="K241" i="17"/>
  <c r="L241" i="17"/>
  <c r="M241" i="17"/>
  <c r="N241" i="17"/>
  <c r="I242" i="17"/>
  <c r="O242" i="17" s="1"/>
  <c r="J242" i="17"/>
  <c r="K242" i="17"/>
  <c r="L242" i="17"/>
  <c r="M242" i="17"/>
  <c r="N242" i="17"/>
  <c r="I243" i="17"/>
  <c r="J243" i="17"/>
  <c r="K243" i="17"/>
  <c r="L243" i="17"/>
  <c r="M243" i="17"/>
  <c r="N243" i="17"/>
  <c r="O243" i="17"/>
  <c r="I244" i="17"/>
  <c r="O244" i="17" s="1"/>
  <c r="J244" i="17"/>
  <c r="K244" i="17"/>
  <c r="L244" i="17"/>
  <c r="M244" i="17"/>
  <c r="N244" i="17"/>
  <c r="I245" i="17"/>
  <c r="O245" i="17" s="1"/>
  <c r="J245" i="17"/>
  <c r="K245" i="17"/>
  <c r="L245" i="17"/>
  <c r="M245" i="17"/>
  <c r="N245" i="17"/>
  <c r="I246" i="17"/>
  <c r="J246" i="17"/>
  <c r="O246" i="17" s="1"/>
  <c r="K246" i="17"/>
  <c r="L246" i="17"/>
  <c r="M246" i="17"/>
  <c r="N246" i="17"/>
  <c r="I247" i="17"/>
  <c r="O247" i="17" s="1"/>
  <c r="J247" i="17"/>
  <c r="K247" i="17"/>
  <c r="L247" i="17"/>
  <c r="M247" i="17"/>
  <c r="N247" i="17"/>
  <c r="I248" i="17"/>
  <c r="O248" i="17" s="1"/>
  <c r="J248" i="17"/>
  <c r="K248" i="17"/>
  <c r="L248" i="17"/>
  <c r="M248" i="17"/>
  <c r="N248" i="17"/>
  <c r="I249" i="17"/>
  <c r="J249" i="17"/>
  <c r="O249" i="17" s="1"/>
  <c r="K249" i="17"/>
  <c r="L249" i="17"/>
  <c r="M249" i="17"/>
  <c r="N249" i="17"/>
  <c r="I250" i="17"/>
  <c r="O250" i="17" s="1"/>
  <c r="J250" i="17"/>
  <c r="K250" i="17"/>
  <c r="L250" i="17"/>
  <c r="M250" i="17"/>
  <c r="N250" i="17"/>
  <c r="I251" i="17"/>
  <c r="J251" i="17"/>
  <c r="K251" i="17"/>
  <c r="L251" i="17"/>
  <c r="M251" i="17"/>
  <c r="N251" i="17"/>
  <c r="O251" i="17"/>
  <c r="I252" i="17"/>
  <c r="O252" i="17" s="1"/>
  <c r="J252" i="17"/>
  <c r="K252" i="17"/>
  <c r="L252" i="17"/>
  <c r="M252" i="17"/>
  <c r="N252" i="17"/>
  <c r="I253" i="17"/>
  <c r="O253" i="17" s="1"/>
  <c r="J253" i="17"/>
  <c r="K253" i="17"/>
  <c r="L253" i="17"/>
  <c r="M253" i="17"/>
  <c r="N253" i="17"/>
  <c r="I254" i="17"/>
  <c r="J254" i="17"/>
  <c r="O254" i="17" s="1"/>
  <c r="K254" i="17"/>
  <c r="L254" i="17"/>
  <c r="M254" i="17"/>
  <c r="N254" i="17"/>
  <c r="I255" i="17"/>
  <c r="O255" i="17" s="1"/>
  <c r="J255" i="17"/>
  <c r="K255" i="17"/>
  <c r="L255" i="17"/>
  <c r="M255" i="17"/>
  <c r="N255" i="17"/>
  <c r="I256" i="17"/>
  <c r="O256" i="17" s="1"/>
  <c r="J256" i="17"/>
  <c r="K256" i="17"/>
  <c r="L256" i="17"/>
  <c r="M256" i="17"/>
  <c r="N256" i="17"/>
  <c r="I257" i="17"/>
  <c r="J257" i="17"/>
  <c r="O257" i="17" s="1"/>
  <c r="K257" i="17"/>
  <c r="L257" i="17"/>
  <c r="M257" i="17"/>
  <c r="N257" i="17"/>
  <c r="I258" i="17"/>
  <c r="O258" i="17" s="1"/>
  <c r="J258" i="17"/>
  <c r="K258" i="17"/>
  <c r="L258" i="17"/>
  <c r="M258" i="17"/>
  <c r="N258" i="17"/>
  <c r="I259" i="17"/>
  <c r="J259" i="17"/>
  <c r="K259" i="17"/>
  <c r="L259" i="17"/>
  <c r="M259" i="17"/>
  <c r="N259" i="17"/>
  <c r="O259" i="17"/>
  <c r="I260" i="17"/>
  <c r="O260" i="17" s="1"/>
  <c r="J260" i="17"/>
  <c r="K260" i="17"/>
  <c r="L260" i="17"/>
  <c r="M260" i="17"/>
  <c r="N260" i="17"/>
  <c r="I261" i="17"/>
  <c r="O261" i="17" s="1"/>
  <c r="J261" i="17"/>
  <c r="K261" i="17"/>
  <c r="L261" i="17"/>
  <c r="M261" i="17"/>
  <c r="N261" i="17"/>
  <c r="I262" i="17"/>
  <c r="J262" i="17"/>
  <c r="O262" i="17" s="1"/>
  <c r="K262" i="17"/>
  <c r="L262" i="17"/>
  <c r="M262" i="17"/>
  <c r="N262" i="17"/>
  <c r="I263" i="17"/>
  <c r="O263" i="17" s="1"/>
  <c r="J263" i="17"/>
  <c r="K263" i="17"/>
  <c r="L263" i="17"/>
  <c r="M263" i="17"/>
  <c r="N263" i="17"/>
  <c r="I264" i="17"/>
  <c r="O264" i="17" s="1"/>
  <c r="J264" i="17"/>
  <c r="K264" i="17"/>
  <c r="L264" i="17"/>
  <c r="M264" i="17"/>
  <c r="N264" i="17"/>
  <c r="I265" i="17"/>
  <c r="J265" i="17"/>
  <c r="O265" i="17" s="1"/>
  <c r="K265" i="17"/>
  <c r="L265" i="17"/>
  <c r="M265" i="17"/>
  <c r="N265" i="17"/>
  <c r="I266" i="17"/>
  <c r="O266" i="17" s="1"/>
  <c r="J266" i="17"/>
  <c r="K266" i="17"/>
  <c r="L266" i="17"/>
  <c r="M266" i="17"/>
  <c r="N266" i="17"/>
  <c r="I267" i="17"/>
  <c r="J267" i="17"/>
  <c r="K267" i="17"/>
  <c r="L267" i="17"/>
  <c r="M267" i="17"/>
  <c r="N267" i="17"/>
  <c r="O267" i="17"/>
  <c r="I268" i="17"/>
  <c r="O268" i="17" s="1"/>
  <c r="J268" i="17"/>
  <c r="K268" i="17"/>
  <c r="L268" i="17"/>
  <c r="M268" i="17"/>
  <c r="N268" i="17"/>
  <c r="I269" i="17"/>
  <c r="O269" i="17" s="1"/>
  <c r="J269" i="17"/>
  <c r="K269" i="17"/>
  <c r="L269" i="17"/>
  <c r="M269" i="17"/>
  <c r="N269" i="17"/>
  <c r="I270" i="17"/>
  <c r="J270" i="17"/>
  <c r="O270" i="17" s="1"/>
  <c r="K270" i="17"/>
  <c r="L270" i="17"/>
  <c r="M270" i="17"/>
  <c r="N270" i="17"/>
  <c r="I271" i="17"/>
  <c r="O271" i="17" s="1"/>
  <c r="J271" i="17"/>
  <c r="K271" i="17"/>
  <c r="L271" i="17"/>
  <c r="M271" i="17"/>
  <c r="N271" i="17"/>
  <c r="I272" i="17"/>
  <c r="O272" i="17" s="1"/>
  <c r="J272" i="17"/>
  <c r="K272" i="17"/>
  <c r="L272" i="17"/>
  <c r="M272" i="17"/>
  <c r="N272" i="17"/>
  <c r="I273" i="17"/>
  <c r="J273" i="17"/>
  <c r="O273" i="17" s="1"/>
  <c r="K273" i="17"/>
  <c r="L273" i="17"/>
  <c r="M273" i="17"/>
  <c r="N273" i="17"/>
  <c r="I274" i="17"/>
  <c r="O274" i="17" s="1"/>
  <c r="J274" i="17"/>
  <c r="K274" i="17"/>
  <c r="L274" i="17"/>
  <c r="M274" i="17"/>
  <c r="N274" i="17"/>
  <c r="I275" i="17"/>
  <c r="J275" i="17"/>
  <c r="K275" i="17"/>
  <c r="L275" i="17"/>
  <c r="M275" i="17"/>
  <c r="N275" i="17"/>
  <c r="O275" i="17"/>
  <c r="I276" i="17"/>
  <c r="O276" i="17" s="1"/>
  <c r="J276" i="17"/>
  <c r="K276" i="17"/>
  <c r="L276" i="17"/>
  <c r="M276" i="17"/>
  <c r="N276" i="17"/>
  <c r="I277" i="17"/>
  <c r="O277" i="17" s="1"/>
  <c r="J277" i="17"/>
  <c r="K277" i="17"/>
  <c r="L277" i="17"/>
  <c r="M277" i="17"/>
  <c r="N277" i="17"/>
  <c r="I278" i="17"/>
  <c r="J278" i="17"/>
  <c r="O278" i="17" s="1"/>
  <c r="K278" i="17"/>
  <c r="L278" i="17"/>
  <c r="M278" i="17"/>
  <c r="N278" i="17"/>
  <c r="I279" i="17"/>
  <c r="O279" i="17" s="1"/>
  <c r="J279" i="17"/>
  <c r="K279" i="17"/>
  <c r="L279" i="17"/>
  <c r="M279" i="17"/>
  <c r="N279" i="17"/>
  <c r="I280" i="17"/>
  <c r="O280" i="17" s="1"/>
  <c r="J280" i="17"/>
  <c r="K280" i="17"/>
  <c r="L280" i="17"/>
  <c r="M280" i="17"/>
  <c r="N280" i="17"/>
  <c r="I281" i="17"/>
  <c r="J281" i="17"/>
  <c r="O281" i="17" s="1"/>
  <c r="K281" i="17"/>
  <c r="L281" i="17"/>
  <c r="M281" i="17"/>
  <c r="N281" i="17"/>
  <c r="I282" i="17"/>
  <c r="O282" i="17" s="1"/>
  <c r="J282" i="17"/>
  <c r="K282" i="17"/>
  <c r="L282" i="17"/>
  <c r="M282" i="17"/>
  <c r="N282" i="17"/>
  <c r="I283" i="17"/>
  <c r="J283" i="17"/>
  <c r="K283" i="17"/>
  <c r="L283" i="17"/>
  <c r="M283" i="17"/>
  <c r="N283" i="17"/>
  <c r="O283" i="17"/>
  <c r="I284" i="17"/>
  <c r="O284" i="17" s="1"/>
  <c r="J284" i="17"/>
  <c r="K284" i="17"/>
  <c r="L284" i="17"/>
  <c r="M284" i="17"/>
  <c r="N284" i="17"/>
  <c r="I285" i="17"/>
  <c r="O285" i="17" s="1"/>
  <c r="J285" i="17"/>
  <c r="K285" i="17"/>
  <c r="L285" i="17"/>
  <c r="M285" i="17"/>
  <c r="N285" i="17"/>
  <c r="I286" i="17"/>
  <c r="J286" i="17"/>
  <c r="O286" i="17" s="1"/>
  <c r="K286" i="17"/>
  <c r="L286" i="17"/>
  <c r="M286" i="17"/>
  <c r="N286" i="17"/>
  <c r="I287" i="17"/>
  <c r="O287" i="17" s="1"/>
  <c r="J287" i="17"/>
  <c r="K287" i="17"/>
  <c r="L287" i="17"/>
  <c r="M287" i="17"/>
  <c r="N287" i="17"/>
  <c r="I288" i="17"/>
  <c r="O288" i="17" s="1"/>
  <c r="J288" i="17"/>
  <c r="K288" i="17"/>
  <c r="L288" i="17"/>
  <c r="M288" i="17"/>
  <c r="N288" i="17"/>
  <c r="I289" i="17"/>
  <c r="J289" i="17"/>
  <c r="O289" i="17" s="1"/>
  <c r="K289" i="17"/>
  <c r="L289" i="17"/>
  <c r="M289" i="17"/>
  <c r="N289" i="17"/>
  <c r="I290" i="17"/>
  <c r="O290" i="17" s="1"/>
  <c r="J290" i="17"/>
  <c r="K290" i="17"/>
  <c r="L290" i="17"/>
  <c r="M290" i="17"/>
  <c r="N290" i="17"/>
  <c r="I291" i="17"/>
  <c r="J291" i="17"/>
  <c r="K291" i="17"/>
  <c r="L291" i="17"/>
  <c r="M291" i="17"/>
  <c r="N291" i="17"/>
  <c r="O291" i="17"/>
  <c r="I292" i="17"/>
  <c r="O292" i="17" s="1"/>
  <c r="J292" i="17"/>
  <c r="K292" i="17"/>
  <c r="L292" i="17"/>
  <c r="M292" i="17"/>
  <c r="N292" i="17"/>
  <c r="I293" i="17"/>
  <c r="O293" i="17" s="1"/>
  <c r="J293" i="17"/>
  <c r="K293" i="17"/>
  <c r="L293" i="17"/>
  <c r="M293" i="17"/>
  <c r="N293" i="17"/>
  <c r="I294" i="17"/>
  <c r="J294" i="17"/>
  <c r="O294" i="17" s="1"/>
  <c r="K294" i="17"/>
  <c r="L294" i="17"/>
  <c r="M294" i="17"/>
  <c r="N294" i="17"/>
  <c r="I295" i="17"/>
  <c r="O295" i="17" s="1"/>
  <c r="J295" i="17"/>
  <c r="K295" i="17"/>
  <c r="L295" i="17"/>
  <c r="M295" i="17"/>
  <c r="N295" i="17"/>
  <c r="I296" i="17"/>
  <c r="O296" i="17" s="1"/>
  <c r="J296" i="17"/>
  <c r="K296" i="17"/>
  <c r="L296" i="17"/>
  <c r="M296" i="17"/>
  <c r="N296" i="17"/>
  <c r="I297" i="17"/>
  <c r="J297" i="17"/>
  <c r="O297" i="17" s="1"/>
  <c r="K297" i="17"/>
  <c r="L297" i="17"/>
  <c r="M297" i="17"/>
  <c r="N297" i="17"/>
  <c r="I298" i="17"/>
  <c r="O298" i="17" s="1"/>
  <c r="J298" i="17"/>
  <c r="K298" i="17"/>
  <c r="L298" i="17"/>
  <c r="M298" i="17"/>
  <c r="N298" i="17"/>
  <c r="I299" i="17"/>
  <c r="J299" i="17"/>
  <c r="K299" i="17"/>
  <c r="L299" i="17"/>
  <c r="M299" i="17"/>
  <c r="N299" i="17"/>
  <c r="O299" i="17"/>
  <c r="I300" i="17"/>
  <c r="O300" i="17" s="1"/>
  <c r="J300" i="17"/>
  <c r="K300" i="17"/>
  <c r="L300" i="17"/>
  <c r="M300" i="17"/>
  <c r="N300" i="17"/>
  <c r="I301" i="17"/>
  <c r="O301" i="17" s="1"/>
  <c r="J301" i="17"/>
  <c r="K301" i="17"/>
  <c r="L301" i="17"/>
  <c r="M301" i="17"/>
  <c r="N301" i="17"/>
  <c r="I302" i="17"/>
  <c r="J302" i="17"/>
  <c r="O302" i="17" s="1"/>
  <c r="K302" i="17"/>
  <c r="L302" i="17"/>
  <c r="M302" i="17"/>
  <c r="N302" i="17"/>
  <c r="I303" i="17"/>
  <c r="O303" i="17" s="1"/>
  <c r="J303" i="17"/>
  <c r="K303" i="17"/>
  <c r="L303" i="17"/>
  <c r="M303" i="17"/>
  <c r="N303" i="17"/>
  <c r="I304" i="17"/>
  <c r="O304" i="17" s="1"/>
  <c r="J304" i="17"/>
  <c r="K304" i="17"/>
  <c r="L304" i="17"/>
  <c r="M304" i="17"/>
  <c r="N304" i="17"/>
  <c r="I305" i="17"/>
  <c r="J305" i="17"/>
  <c r="O305" i="17" s="1"/>
  <c r="K305" i="17"/>
  <c r="L305" i="17"/>
  <c r="M305" i="17"/>
  <c r="N305" i="17"/>
  <c r="I306" i="17"/>
  <c r="O306" i="17" s="1"/>
  <c r="J306" i="17"/>
  <c r="K306" i="17"/>
  <c r="L306" i="17"/>
  <c r="M306" i="17"/>
  <c r="N306" i="17"/>
  <c r="I307" i="17"/>
  <c r="J307" i="17"/>
  <c r="K307" i="17"/>
  <c r="L307" i="17"/>
  <c r="M307" i="17"/>
  <c r="N307" i="17"/>
  <c r="O307" i="17"/>
  <c r="I308" i="17"/>
  <c r="O308" i="17" s="1"/>
  <c r="J308" i="17"/>
  <c r="K308" i="17"/>
  <c r="L308" i="17"/>
  <c r="M308" i="17"/>
  <c r="N308" i="17"/>
  <c r="I309" i="17"/>
  <c r="O309" i="17" s="1"/>
  <c r="J309" i="17"/>
  <c r="K309" i="17"/>
  <c r="L309" i="17"/>
  <c r="M309" i="17"/>
  <c r="N309" i="17"/>
  <c r="I310" i="17"/>
  <c r="J310" i="17"/>
  <c r="O310" i="17" s="1"/>
  <c r="K310" i="17"/>
  <c r="L310" i="17"/>
  <c r="M310" i="17"/>
  <c r="N310" i="17"/>
  <c r="I311" i="17"/>
  <c r="O311" i="17" s="1"/>
  <c r="J311" i="17"/>
  <c r="K311" i="17"/>
  <c r="L311" i="17"/>
  <c r="M311" i="17"/>
  <c r="N311" i="17"/>
  <c r="I312" i="17"/>
  <c r="O312" i="17" s="1"/>
  <c r="J312" i="17"/>
  <c r="K312" i="17"/>
  <c r="L312" i="17"/>
  <c r="M312" i="17"/>
  <c r="N312" i="17"/>
  <c r="I313" i="17"/>
  <c r="J313" i="17"/>
  <c r="O313" i="17" s="1"/>
  <c r="K313" i="17"/>
  <c r="L313" i="17"/>
  <c r="M313" i="17"/>
  <c r="N313" i="17"/>
  <c r="I314" i="17"/>
  <c r="O314" i="17" s="1"/>
  <c r="J314" i="17"/>
  <c r="K314" i="17"/>
  <c r="L314" i="17"/>
  <c r="M314" i="17"/>
  <c r="N314" i="17"/>
  <c r="I315" i="17"/>
  <c r="J315" i="17"/>
  <c r="K315" i="17"/>
  <c r="L315" i="17"/>
  <c r="M315" i="17"/>
  <c r="N315" i="17"/>
  <c r="O315" i="17"/>
  <c r="I316" i="17"/>
  <c r="O316" i="17" s="1"/>
  <c r="J316" i="17"/>
  <c r="K316" i="17"/>
  <c r="L316" i="17"/>
  <c r="M316" i="17"/>
  <c r="N316" i="17"/>
  <c r="I317" i="17"/>
  <c r="O317" i="17" s="1"/>
  <c r="J317" i="17"/>
  <c r="K317" i="17"/>
  <c r="L317" i="17"/>
  <c r="M317" i="17"/>
  <c r="N317" i="17"/>
  <c r="I318" i="17"/>
  <c r="J318" i="17"/>
  <c r="O318" i="17" s="1"/>
  <c r="K318" i="17"/>
  <c r="L318" i="17"/>
  <c r="M318" i="17"/>
  <c r="N318" i="17"/>
  <c r="I319" i="17"/>
  <c r="O319" i="17" s="1"/>
  <c r="J319" i="17"/>
  <c r="K319" i="17"/>
  <c r="L319" i="17"/>
  <c r="M319" i="17"/>
  <c r="N319" i="17"/>
  <c r="I320" i="17"/>
  <c r="O320" i="17" s="1"/>
  <c r="J320" i="17"/>
  <c r="K320" i="17"/>
  <c r="L320" i="17"/>
  <c r="M320" i="17"/>
  <c r="N320" i="17"/>
  <c r="I321" i="17"/>
  <c r="J321" i="17"/>
  <c r="O321" i="17" s="1"/>
  <c r="K321" i="17"/>
  <c r="L321" i="17"/>
  <c r="M321" i="17"/>
  <c r="N321" i="17"/>
  <c r="I322" i="17"/>
  <c r="O322" i="17" s="1"/>
  <c r="J322" i="17"/>
  <c r="K322" i="17"/>
  <c r="L322" i="17"/>
  <c r="M322" i="17"/>
  <c r="N322" i="17"/>
  <c r="I323" i="17"/>
  <c r="J323" i="17"/>
  <c r="K323" i="17"/>
  <c r="L323" i="17"/>
  <c r="M323" i="17"/>
  <c r="N323" i="17"/>
  <c r="O323" i="17"/>
  <c r="I324" i="17"/>
  <c r="O324" i="17" s="1"/>
  <c r="J324" i="17"/>
  <c r="K324" i="17"/>
  <c r="L324" i="17"/>
  <c r="M324" i="17"/>
  <c r="N324" i="17"/>
  <c r="I325" i="17"/>
  <c r="O325" i="17" s="1"/>
  <c r="J325" i="17"/>
  <c r="K325" i="17"/>
  <c r="L325" i="17"/>
  <c r="M325" i="17"/>
  <c r="N325" i="17"/>
  <c r="I326" i="17"/>
  <c r="J326" i="17"/>
  <c r="O326" i="17" s="1"/>
  <c r="K326" i="17"/>
  <c r="L326" i="17"/>
  <c r="M326" i="17"/>
  <c r="N326" i="17"/>
  <c r="I327" i="17"/>
  <c r="O327" i="17" s="1"/>
  <c r="J327" i="17"/>
  <c r="K327" i="17"/>
  <c r="L327" i="17"/>
  <c r="M327" i="17"/>
  <c r="N327" i="17"/>
  <c r="I328" i="17"/>
  <c r="O328" i="17" s="1"/>
  <c r="J328" i="17"/>
  <c r="K328" i="17"/>
  <c r="L328" i="17"/>
  <c r="M328" i="17"/>
  <c r="N328" i="17"/>
  <c r="I329" i="17"/>
  <c r="J329" i="17"/>
  <c r="O329" i="17" s="1"/>
  <c r="K329" i="17"/>
  <c r="L329" i="17"/>
  <c r="M329" i="17"/>
  <c r="N329" i="17"/>
  <c r="I330" i="17"/>
  <c r="O330" i="17" s="1"/>
  <c r="J330" i="17"/>
  <c r="K330" i="17"/>
  <c r="L330" i="17"/>
  <c r="M330" i="17"/>
  <c r="N330" i="17"/>
  <c r="I331" i="17"/>
  <c r="J331" i="17"/>
  <c r="K331" i="17"/>
  <c r="L331" i="17"/>
  <c r="M331" i="17"/>
  <c r="N331" i="17"/>
  <c r="O331" i="17"/>
  <c r="I332" i="17"/>
  <c r="O332" i="17" s="1"/>
  <c r="J332" i="17"/>
  <c r="K332" i="17"/>
  <c r="L332" i="17"/>
  <c r="M332" i="17"/>
  <c r="N332" i="17"/>
  <c r="I333" i="17"/>
  <c r="O333" i="17" s="1"/>
  <c r="J333" i="17"/>
  <c r="K333" i="17"/>
  <c r="L333" i="17"/>
  <c r="M333" i="17"/>
  <c r="N333" i="17"/>
  <c r="I334" i="17"/>
  <c r="J334" i="17"/>
  <c r="O334" i="17" s="1"/>
  <c r="K334" i="17"/>
  <c r="L334" i="17"/>
  <c r="M334" i="17"/>
  <c r="N334" i="17"/>
  <c r="I335" i="17"/>
  <c r="O335" i="17" s="1"/>
  <c r="J335" i="17"/>
  <c r="K335" i="17"/>
  <c r="L335" i="17"/>
  <c r="M335" i="17"/>
  <c r="N335" i="17"/>
  <c r="I336" i="17"/>
  <c r="O336" i="17" s="1"/>
  <c r="J336" i="17"/>
  <c r="K336" i="17"/>
  <c r="L336" i="17"/>
  <c r="M336" i="17"/>
  <c r="N336" i="17"/>
  <c r="I337" i="17"/>
  <c r="J337" i="17"/>
  <c r="O337" i="17" s="1"/>
  <c r="K337" i="17"/>
  <c r="L337" i="17"/>
  <c r="M337" i="17"/>
  <c r="N337" i="17"/>
  <c r="I338" i="17"/>
  <c r="O338" i="17" s="1"/>
  <c r="J338" i="17"/>
  <c r="K338" i="17"/>
  <c r="L338" i="17"/>
  <c r="M338" i="17"/>
  <c r="N338" i="17"/>
  <c r="I339" i="17"/>
  <c r="J339" i="17"/>
  <c r="K339" i="17"/>
  <c r="L339" i="17"/>
  <c r="M339" i="17"/>
  <c r="N339" i="17"/>
  <c r="O339" i="17"/>
  <c r="I340" i="17"/>
  <c r="O340" i="17" s="1"/>
  <c r="J340" i="17"/>
  <c r="K340" i="17"/>
  <c r="L340" i="17"/>
  <c r="M340" i="17"/>
  <c r="N340" i="17"/>
  <c r="I341" i="17"/>
  <c r="O341" i="17" s="1"/>
  <c r="J341" i="17"/>
  <c r="K341" i="17"/>
  <c r="L341" i="17"/>
  <c r="M341" i="17"/>
  <c r="N341" i="17"/>
  <c r="I342" i="17"/>
  <c r="J342" i="17"/>
  <c r="O342" i="17" s="1"/>
  <c r="K342" i="17"/>
  <c r="L342" i="17"/>
  <c r="M342" i="17"/>
  <c r="N342" i="17"/>
  <c r="I343" i="17"/>
  <c r="O343" i="17" s="1"/>
  <c r="J343" i="17"/>
  <c r="K343" i="17"/>
  <c r="L343" i="17"/>
  <c r="M343" i="17"/>
  <c r="N343" i="17"/>
  <c r="I344" i="17"/>
  <c r="O344" i="17" s="1"/>
  <c r="J344" i="17"/>
  <c r="K344" i="17"/>
  <c r="L344" i="17"/>
  <c r="M344" i="17"/>
  <c r="N344" i="17"/>
  <c r="I345" i="17"/>
  <c r="J345" i="17"/>
  <c r="O345" i="17" s="1"/>
  <c r="K345" i="17"/>
  <c r="L345" i="17"/>
  <c r="M345" i="17"/>
  <c r="N345" i="17"/>
  <c r="I346" i="17"/>
  <c r="O346" i="17" s="1"/>
  <c r="J346" i="17"/>
  <c r="K346" i="17"/>
  <c r="L346" i="17"/>
  <c r="M346" i="17"/>
  <c r="N346" i="17"/>
  <c r="I347" i="17"/>
  <c r="J347" i="17"/>
  <c r="K347" i="17"/>
  <c r="L347" i="17"/>
  <c r="M347" i="17"/>
  <c r="N347" i="17"/>
  <c r="O347" i="17"/>
  <c r="I348" i="17"/>
  <c r="O348" i="17" s="1"/>
  <c r="J348" i="17"/>
  <c r="K348" i="17"/>
  <c r="L348" i="17"/>
  <c r="M348" i="17"/>
  <c r="N348" i="17"/>
  <c r="I349" i="17"/>
  <c r="O349" i="17" s="1"/>
  <c r="J349" i="17"/>
  <c r="K349" i="17"/>
  <c r="L349" i="17"/>
  <c r="M349" i="17"/>
  <c r="N349" i="17"/>
  <c r="I350" i="17"/>
  <c r="J350" i="17"/>
  <c r="O350" i="17" s="1"/>
  <c r="K350" i="17"/>
  <c r="L350" i="17"/>
  <c r="M350" i="17"/>
  <c r="N350" i="17"/>
  <c r="I351" i="17"/>
  <c r="O351" i="17" s="1"/>
  <c r="J351" i="17"/>
  <c r="K351" i="17"/>
  <c r="L351" i="17"/>
  <c r="M351" i="17"/>
  <c r="N351" i="17"/>
  <c r="I352" i="17"/>
  <c r="O352" i="17" s="1"/>
  <c r="J352" i="17"/>
  <c r="K352" i="17"/>
  <c r="L352" i="17"/>
  <c r="M352" i="17"/>
  <c r="N352" i="17"/>
  <c r="I353" i="17"/>
  <c r="J353" i="17"/>
  <c r="O353" i="17" s="1"/>
  <c r="K353" i="17"/>
  <c r="L353" i="17"/>
  <c r="M353" i="17"/>
  <c r="N353" i="17"/>
  <c r="I354" i="17"/>
  <c r="O354" i="17" s="1"/>
  <c r="J354" i="17"/>
  <c r="K354" i="17"/>
  <c r="L354" i="17"/>
  <c r="M354" i="17"/>
  <c r="N354" i="17"/>
  <c r="I355" i="17"/>
  <c r="J355" i="17"/>
  <c r="K355" i="17"/>
  <c r="L355" i="17"/>
  <c r="M355" i="17"/>
  <c r="N355" i="17"/>
  <c r="O355" i="17"/>
  <c r="I356" i="17"/>
  <c r="O356" i="17" s="1"/>
  <c r="J356" i="17"/>
  <c r="K356" i="17"/>
  <c r="L356" i="17"/>
  <c r="M356" i="17"/>
  <c r="N356" i="17"/>
  <c r="I357" i="17"/>
  <c r="O357" i="17" s="1"/>
  <c r="J357" i="17"/>
  <c r="K357" i="17"/>
  <c r="L357" i="17"/>
  <c r="M357" i="17"/>
  <c r="N357" i="17"/>
  <c r="I358" i="17"/>
  <c r="J358" i="17"/>
  <c r="O358" i="17" s="1"/>
  <c r="K358" i="17"/>
  <c r="L358" i="17"/>
  <c r="M358" i="17"/>
  <c r="N358" i="17"/>
  <c r="I359" i="17"/>
  <c r="O359" i="17" s="1"/>
  <c r="J359" i="17"/>
  <c r="K359" i="17"/>
  <c r="L359" i="17"/>
  <c r="M359" i="17"/>
  <c r="N359" i="17"/>
  <c r="I360" i="17"/>
  <c r="O360" i="17" s="1"/>
  <c r="J360" i="17"/>
  <c r="K360" i="17"/>
  <c r="L360" i="17"/>
  <c r="M360" i="17"/>
  <c r="N360" i="17"/>
  <c r="I361" i="17"/>
  <c r="J361" i="17"/>
  <c r="O361" i="17" s="1"/>
  <c r="K361" i="17"/>
  <c r="L361" i="17"/>
  <c r="M361" i="17"/>
  <c r="N361" i="17"/>
  <c r="I362" i="17"/>
  <c r="O362" i="17" s="1"/>
  <c r="J362" i="17"/>
  <c r="K362" i="17"/>
  <c r="L362" i="17"/>
  <c r="M362" i="17"/>
  <c r="N362" i="17"/>
  <c r="I363" i="17"/>
  <c r="J363" i="17"/>
  <c r="K363" i="17"/>
  <c r="L363" i="17"/>
  <c r="M363" i="17"/>
  <c r="N363" i="17"/>
  <c r="O363" i="17"/>
  <c r="I364" i="17"/>
  <c r="O364" i="17" s="1"/>
  <c r="J364" i="17"/>
  <c r="K364" i="17"/>
  <c r="L364" i="17"/>
  <c r="M364" i="17"/>
  <c r="N364" i="17"/>
  <c r="I365" i="17"/>
  <c r="O365" i="17" s="1"/>
  <c r="J365" i="17"/>
  <c r="K365" i="17"/>
  <c r="L365" i="17"/>
  <c r="M365" i="17"/>
  <c r="N365" i="17"/>
  <c r="I366" i="17"/>
  <c r="J366" i="17"/>
  <c r="O366" i="17" s="1"/>
  <c r="K366" i="17"/>
  <c r="L366" i="17"/>
  <c r="M366" i="17"/>
  <c r="N366" i="17"/>
  <c r="I367" i="17"/>
  <c r="O367" i="17" s="1"/>
  <c r="J367" i="17"/>
  <c r="K367" i="17"/>
  <c r="L367" i="17"/>
  <c r="M367" i="17"/>
  <c r="N367" i="17"/>
  <c r="I368" i="17"/>
  <c r="O368" i="17" s="1"/>
  <c r="J368" i="17"/>
  <c r="K368" i="17"/>
  <c r="L368" i="17"/>
  <c r="M368" i="17"/>
  <c r="N368" i="17"/>
  <c r="I369" i="17"/>
  <c r="J369" i="17"/>
  <c r="O369" i="17" s="1"/>
  <c r="K369" i="17"/>
  <c r="L369" i="17"/>
  <c r="M369" i="17"/>
  <c r="N369" i="17"/>
  <c r="I370" i="17"/>
  <c r="O370" i="17" s="1"/>
  <c r="J370" i="17"/>
  <c r="K370" i="17"/>
  <c r="L370" i="17"/>
  <c r="M370" i="17"/>
  <c r="N370" i="17"/>
  <c r="I371" i="17"/>
  <c r="J371" i="17"/>
  <c r="K371" i="17"/>
  <c r="L371" i="17"/>
  <c r="M371" i="17"/>
  <c r="N371" i="17"/>
  <c r="O371" i="17"/>
  <c r="I372" i="17"/>
  <c r="O372" i="17" s="1"/>
  <c r="J372" i="17"/>
  <c r="K372" i="17"/>
  <c r="L372" i="17"/>
  <c r="M372" i="17"/>
  <c r="N372" i="17"/>
  <c r="I373" i="17"/>
  <c r="O373" i="17" s="1"/>
  <c r="J373" i="17"/>
  <c r="K373" i="17"/>
  <c r="L373" i="17"/>
  <c r="M373" i="17"/>
  <c r="N373" i="17"/>
  <c r="I374" i="17"/>
  <c r="J374" i="17"/>
  <c r="O374" i="17" s="1"/>
  <c r="K374" i="17"/>
  <c r="L374" i="17"/>
  <c r="M374" i="17"/>
  <c r="N374" i="17"/>
  <c r="I375" i="17"/>
  <c r="O375" i="17" s="1"/>
  <c r="J375" i="17"/>
  <c r="K375" i="17"/>
  <c r="L375" i="17"/>
  <c r="M375" i="17"/>
  <c r="N375" i="17"/>
  <c r="I376" i="17"/>
  <c r="O376" i="17" s="1"/>
  <c r="J376" i="17"/>
  <c r="K376" i="17"/>
  <c r="L376" i="17"/>
  <c r="M376" i="17"/>
  <c r="N376" i="17"/>
  <c r="I377" i="17"/>
  <c r="J377" i="17"/>
  <c r="O377" i="17" s="1"/>
  <c r="K377" i="17"/>
  <c r="L377" i="17"/>
  <c r="M377" i="17"/>
  <c r="N377" i="17"/>
  <c r="I378" i="17"/>
  <c r="O378" i="17" s="1"/>
  <c r="J378" i="17"/>
  <c r="K378" i="17"/>
  <c r="L378" i="17"/>
  <c r="M378" i="17"/>
  <c r="N378" i="17"/>
  <c r="I379" i="17"/>
  <c r="J379" i="17"/>
  <c r="K379" i="17"/>
  <c r="L379" i="17"/>
  <c r="M379" i="17"/>
  <c r="N379" i="17"/>
  <c r="O379" i="17"/>
  <c r="I380" i="17"/>
  <c r="O380" i="17" s="1"/>
  <c r="J380" i="17"/>
  <c r="K380" i="17"/>
  <c r="L380" i="17"/>
  <c r="M380" i="17"/>
  <c r="N380" i="17"/>
  <c r="I381" i="17"/>
  <c r="O381" i="17" s="1"/>
  <c r="J381" i="17"/>
  <c r="K381" i="17"/>
  <c r="L381" i="17"/>
  <c r="M381" i="17"/>
  <c r="N381" i="17"/>
  <c r="I382" i="17"/>
  <c r="J382" i="17"/>
  <c r="O382" i="17" s="1"/>
  <c r="K382" i="17"/>
  <c r="L382" i="17"/>
  <c r="M382" i="17"/>
  <c r="N382" i="17"/>
  <c r="I383" i="17"/>
  <c r="O383" i="17" s="1"/>
  <c r="J383" i="17"/>
  <c r="K383" i="17"/>
  <c r="L383" i="17"/>
  <c r="M383" i="17"/>
  <c r="N383" i="17"/>
  <c r="I384" i="17"/>
  <c r="O384" i="17" s="1"/>
  <c r="J384" i="17"/>
  <c r="K384" i="17"/>
  <c r="L384" i="17"/>
  <c r="M384" i="17"/>
  <c r="N384" i="17"/>
  <c r="I385" i="17"/>
  <c r="J385" i="17"/>
  <c r="O385" i="17" s="1"/>
  <c r="K385" i="17"/>
  <c r="L385" i="17"/>
  <c r="M385" i="17"/>
  <c r="N385" i="17"/>
  <c r="I386" i="17"/>
  <c r="O386" i="17" s="1"/>
  <c r="J386" i="17"/>
  <c r="K386" i="17"/>
  <c r="L386" i="17"/>
  <c r="M386" i="17"/>
  <c r="N386" i="17"/>
  <c r="I387" i="17"/>
  <c r="J387" i="17"/>
  <c r="K387" i="17"/>
  <c r="L387" i="17"/>
  <c r="M387" i="17"/>
  <c r="N387" i="17"/>
  <c r="O387" i="17"/>
  <c r="I388" i="17"/>
  <c r="O388" i="17" s="1"/>
  <c r="J388" i="17"/>
  <c r="K388" i="17"/>
  <c r="L388" i="17"/>
  <c r="M388" i="17"/>
  <c r="N388" i="17"/>
  <c r="I389" i="17"/>
  <c r="O389" i="17" s="1"/>
  <c r="J389" i="17"/>
  <c r="K389" i="17"/>
  <c r="L389" i="17"/>
  <c r="M389" i="17"/>
  <c r="N389" i="17"/>
  <c r="I390" i="17"/>
  <c r="J390" i="17"/>
  <c r="O390" i="17" s="1"/>
  <c r="K390" i="17"/>
  <c r="L390" i="17"/>
  <c r="M390" i="17"/>
  <c r="N390" i="17"/>
  <c r="I391" i="17"/>
  <c r="O391" i="17" s="1"/>
  <c r="J391" i="17"/>
  <c r="K391" i="17"/>
  <c r="L391" i="17"/>
  <c r="M391" i="17"/>
  <c r="N391" i="17"/>
  <c r="I392" i="17"/>
  <c r="O392" i="17" s="1"/>
  <c r="J392" i="17"/>
  <c r="K392" i="17"/>
  <c r="L392" i="17"/>
  <c r="M392" i="17"/>
  <c r="N392" i="17"/>
  <c r="I393" i="17"/>
  <c r="J393" i="17"/>
  <c r="O393" i="17" s="1"/>
  <c r="K393" i="17"/>
  <c r="L393" i="17"/>
  <c r="M393" i="17"/>
  <c r="N393" i="17"/>
  <c r="I394" i="17"/>
  <c r="O394" i="17" s="1"/>
  <c r="J394" i="17"/>
  <c r="K394" i="17"/>
  <c r="L394" i="17"/>
  <c r="M394" i="17"/>
  <c r="N394" i="17"/>
  <c r="I395" i="17"/>
  <c r="J395" i="17"/>
  <c r="K395" i="17"/>
  <c r="L395" i="17"/>
  <c r="M395" i="17"/>
  <c r="N395" i="17"/>
  <c r="O395" i="17"/>
  <c r="I396" i="17"/>
  <c r="O396" i="17" s="1"/>
  <c r="J396" i="17"/>
  <c r="K396" i="17"/>
  <c r="L396" i="17"/>
  <c r="M396" i="17"/>
  <c r="N396" i="17"/>
  <c r="I397" i="17"/>
  <c r="O397" i="17" s="1"/>
  <c r="J397" i="17"/>
  <c r="K397" i="17"/>
  <c r="L397" i="17"/>
  <c r="M397" i="17"/>
  <c r="N397" i="17"/>
  <c r="I398" i="17"/>
  <c r="J398" i="17"/>
  <c r="O398" i="17" s="1"/>
  <c r="K398" i="17"/>
  <c r="L398" i="17"/>
  <c r="M398" i="17"/>
  <c r="N398" i="17"/>
  <c r="I399" i="17"/>
  <c r="O399" i="17" s="1"/>
  <c r="J399" i="17"/>
  <c r="K399" i="17"/>
  <c r="L399" i="17"/>
  <c r="M399" i="17"/>
  <c r="N399" i="17"/>
  <c r="I400" i="17"/>
  <c r="O400" i="17" s="1"/>
  <c r="J400" i="17"/>
  <c r="K400" i="17"/>
  <c r="L400" i="17"/>
  <c r="M400" i="17"/>
  <c r="N400" i="17"/>
  <c r="I401" i="17"/>
  <c r="J401" i="17"/>
  <c r="O401" i="17" s="1"/>
  <c r="K401" i="17"/>
  <c r="L401" i="17"/>
  <c r="M401" i="17"/>
  <c r="N401" i="17"/>
  <c r="I402" i="17"/>
  <c r="O402" i="17" s="1"/>
  <c r="J402" i="17"/>
  <c r="K402" i="17"/>
  <c r="L402" i="17"/>
  <c r="M402" i="17"/>
  <c r="N402" i="17"/>
  <c r="I403" i="17"/>
  <c r="J403" i="17"/>
  <c r="K403" i="17"/>
  <c r="L403" i="17"/>
  <c r="M403" i="17"/>
  <c r="N403" i="17"/>
  <c r="O403" i="17"/>
  <c r="I404" i="17"/>
  <c r="O404" i="17" s="1"/>
  <c r="J404" i="17"/>
  <c r="K404" i="17"/>
  <c r="L404" i="17"/>
  <c r="M404" i="17"/>
  <c r="N404" i="17"/>
  <c r="I405" i="17"/>
  <c r="O405" i="17" s="1"/>
  <c r="J405" i="17"/>
  <c r="K405" i="17"/>
  <c r="L405" i="17"/>
  <c r="M405" i="17"/>
  <c r="N405" i="17"/>
  <c r="I406" i="17"/>
  <c r="J406" i="17"/>
  <c r="O406" i="17" s="1"/>
  <c r="K406" i="17"/>
  <c r="L406" i="17"/>
  <c r="M406" i="17"/>
  <c r="N406" i="17"/>
  <c r="I407" i="17"/>
  <c r="O407" i="17" s="1"/>
  <c r="J407" i="17"/>
  <c r="K407" i="17"/>
  <c r="L407" i="17"/>
  <c r="M407" i="17"/>
  <c r="N407" i="17"/>
  <c r="I408" i="17"/>
  <c r="O408" i="17" s="1"/>
  <c r="J408" i="17"/>
  <c r="K408" i="17"/>
  <c r="L408" i="17"/>
  <c r="M408" i="17"/>
  <c r="N408" i="17"/>
  <c r="I409" i="17"/>
  <c r="J409" i="17"/>
  <c r="O409" i="17" s="1"/>
  <c r="K409" i="17"/>
  <c r="L409" i="17"/>
  <c r="M409" i="17"/>
  <c r="N409" i="17"/>
  <c r="I410" i="17"/>
  <c r="O410" i="17" s="1"/>
  <c r="J410" i="17"/>
  <c r="K410" i="17"/>
  <c r="L410" i="17"/>
  <c r="M410" i="17"/>
  <c r="N410" i="17"/>
  <c r="I411" i="17"/>
  <c r="J411" i="17"/>
  <c r="K411" i="17"/>
  <c r="L411" i="17"/>
  <c r="M411" i="17"/>
  <c r="N411" i="17"/>
  <c r="O411" i="17"/>
  <c r="I412" i="17"/>
  <c r="O412" i="17" s="1"/>
  <c r="J412" i="17"/>
  <c r="K412" i="17"/>
  <c r="L412" i="17"/>
  <c r="M412" i="17"/>
  <c r="N412" i="17"/>
  <c r="I413" i="17"/>
  <c r="O413" i="17" s="1"/>
  <c r="J413" i="17"/>
  <c r="K413" i="17"/>
  <c r="L413" i="17"/>
  <c r="M413" i="17"/>
  <c r="N413" i="17"/>
  <c r="I414" i="17"/>
  <c r="J414" i="17"/>
  <c r="O414" i="17" s="1"/>
  <c r="K414" i="17"/>
  <c r="L414" i="17"/>
  <c r="M414" i="17"/>
  <c r="N414" i="17"/>
  <c r="I415" i="17"/>
  <c r="O415" i="17" s="1"/>
  <c r="J415" i="17"/>
  <c r="K415" i="17"/>
  <c r="L415" i="17"/>
  <c r="M415" i="17"/>
  <c r="N415" i="17"/>
  <c r="I416" i="17"/>
  <c r="O416" i="17" s="1"/>
  <c r="J416" i="17"/>
  <c r="K416" i="17"/>
  <c r="L416" i="17"/>
  <c r="M416" i="17"/>
  <c r="N416" i="17"/>
  <c r="I417" i="17"/>
  <c r="J417" i="17"/>
  <c r="O417" i="17" s="1"/>
  <c r="K417" i="17"/>
  <c r="L417" i="17"/>
  <c r="M417" i="17"/>
  <c r="N417" i="17"/>
  <c r="I418" i="17"/>
  <c r="O418" i="17" s="1"/>
  <c r="J418" i="17"/>
  <c r="K418" i="17"/>
  <c r="L418" i="17"/>
  <c r="M418" i="17"/>
  <c r="N418" i="17"/>
  <c r="I419" i="17"/>
  <c r="J419" i="17"/>
  <c r="K419" i="17"/>
  <c r="L419" i="17"/>
  <c r="M419" i="17"/>
  <c r="N419" i="17"/>
  <c r="O419" i="17"/>
  <c r="I420" i="17"/>
  <c r="O420" i="17" s="1"/>
  <c r="J420" i="17"/>
  <c r="K420" i="17"/>
  <c r="L420" i="17"/>
  <c r="M420" i="17"/>
  <c r="N420" i="17"/>
  <c r="I421" i="17"/>
  <c r="O421" i="17" s="1"/>
  <c r="J421" i="17"/>
  <c r="K421" i="17"/>
  <c r="L421" i="17"/>
  <c r="M421" i="17"/>
  <c r="N421" i="17"/>
  <c r="I422" i="17"/>
  <c r="J422" i="17"/>
  <c r="O422" i="17" s="1"/>
  <c r="K422" i="17"/>
  <c r="L422" i="17"/>
  <c r="M422" i="17"/>
  <c r="N422" i="17"/>
  <c r="I423" i="17"/>
  <c r="O423" i="17" s="1"/>
  <c r="J423" i="17"/>
  <c r="K423" i="17"/>
  <c r="L423" i="17"/>
  <c r="M423" i="17"/>
  <c r="N423" i="17"/>
  <c r="I424" i="17"/>
  <c r="O424" i="17" s="1"/>
  <c r="J424" i="17"/>
  <c r="K424" i="17"/>
  <c r="L424" i="17"/>
  <c r="M424" i="17"/>
  <c r="N424" i="17"/>
  <c r="I425" i="17"/>
  <c r="J425" i="17"/>
  <c r="O425" i="17" s="1"/>
  <c r="K425" i="17"/>
  <c r="L425" i="17"/>
  <c r="M425" i="17"/>
  <c r="N425" i="17"/>
  <c r="I426" i="17"/>
  <c r="O426" i="17" s="1"/>
  <c r="J426" i="17"/>
  <c r="K426" i="17"/>
  <c r="L426" i="17"/>
  <c r="M426" i="17"/>
  <c r="N426" i="17"/>
  <c r="I427" i="17"/>
  <c r="J427" i="17"/>
  <c r="K427" i="17"/>
  <c r="L427" i="17"/>
  <c r="M427" i="17"/>
  <c r="N427" i="17"/>
  <c r="O427" i="17"/>
  <c r="I428" i="17"/>
  <c r="O428" i="17" s="1"/>
  <c r="J428" i="17"/>
  <c r="K428" i="17"/>
  <c r="L428" i="17"/>
  <c r="M428" i="17"/>
  <c r="N428" i="17"/>
  <c r="I429" i="17"/>
  <c r="O429" i="17" s="1"/>
  <c r="J429" i="17"/>
  <c r="K429" i="17"/>
  <c r="L429" i="17"/>
  <c r="M429" i="17"/>
  <c r="N429" i="17"/>
  <c r="I430" i="17"/>
  <c r="J430" i="17"/>
  <c r="O430" i="17" s="1"/>
  <c r="K430" i="17"/>
  <c r="L430" i="17"/>
  <c r="M430" i="17"/>
  <c r="N430" i="17"/>
  <c r="I431" i="17"/>
  <c r="O431" i="17" s="1"/>
  <c r="J431" i="17"/>
  <c r="K431" i="17"/>
  <c r="L431" i="17"/>
  <c r="M431" i="17"/>
  <c r="N431" i="17"/>
  <c r="I432" i="17"/>
  <c r="O432" i="17" s="1"/>
  <c r="J432" i="17"/>
  <c r="K432" i="17"/>
  <c r="L432" i="17"/>
  <c r="M432" i="17"/>
  <c r="N432" i="17"/>
  <c r="I433" i="17"/>
  <c r="J433" i="17"/>
  <c r="O433" i="17" s="1"/>
  <c r="K433" i="17"/>
  <c r="L433" i="17"/>
  <c r="M433" i="17"/>
  <c r="N433" i="17"/>
  <c r="I434" i="17"/>
  <c r="O434" i="17" s="1"/>
  <c r="J434" i="17"/>
  <c r="K434" i="17"/>
  <c r="L434" i="17"/>
  <c r="M434" i="17"/>
  <c r="N434" i="17"/>
  <c r="I435" i="17"/>
  <c r="J435" i="17"/>
  <c r="K435" i="17"/>
  <c r="L435" i="17"/>
  <c r="M435" i="17"/>
  <c r="N435" i="17"/>
  <c r="O435" i="17"/>
  <c r="I436" i="17"/>
  <c r="O436" i="17" s="1"/>
  <c r="J436" i="17"/>
  <c r="K436" i="17"/>
  <c r="L436" i="17"/>
  <c r="M436" i="17"/>
  <c r="N436" i="17"/>
  <c r="I437" i="17"/>
  <c r="O437" i="17" s="1"/>
  <c r="J437" i="17"/>
  <c r="K437" i="17"/>
  <c r="L437" i="17"/>
  <c r="M437" i="17"/>
  <c r="N437" i="17"/>
  <c r="I438" i="17"/>
  <c r="J438" i="17"/>
  <c r="O438" i="17" s="1"/>
  <c r="K438" i="17"/>
  <c r="L438" i="17"/>
  <c r="M438" i="17"/>
  <c r="N438" i="17"/>
  <c r="I439" i="17"/>
  <c r="O439" i="17" s="1"/>
  <c r="J439" i="17"/>
  <c r="K439" i="17"/>
  <c r="L439" i="17"/>
  <c r="M439" i="17"/>
  <c r="N439" i="17"/>
  <c r="I440" i="17"/>
  <c r="O440" i="17" s="1"/>
  <c r="J440" i="17"/>
  <c r="K440" i="17"/>
  <c r="L440" i="17"/>
  <c r="M440" i="17"/>
  <c r="N440" i="17"/>
  <c r="I441" i="17"/>
  <c r="J441" i="17"/>
  <c r="O441" i="17" s="1"/>
  <c r="K441" i="17"/>
  <c r="L441" i="17"/>
  <c r="M441" i="17"/>
  <c r="N441" i="17"/>
  <c r="I442" i="17"/>
  <c r="O442" i="17" s="1"/>
  <c r="J442" i="17"/>
  <c r="K442" i="17"/>
  <c r="L442" i="17"/>
  <c r="M442" i="17"/>
  <c r="N442" i="17"/>
  <c r="I443" i="17"/>
  <c r="J443" i="17"/>
  <c r="K443" i="17"/>
  <c r="L443" i="17"/>
  <c r="M443" i="17"/>
  <c r="N443" i="17"/>
  <c r="O443" i="17"/>
  <c r="I444" i="17"/>
  <c r="O444" i="17" s="1"/>
  <c r="J444" i="17"/>
  <c r="K444" i="17"/>
  <c r="L444" i="17"/>
  <c r="M444" i="17"/>
  <c r="N444" i="17"/>
  <c r="I445" i="17"/>
  <c r="O445" i="17" s="1"/>
  <c r="J445" i="17"/>
  <c r="K445" i="17"/>
  <c r="L445" i="17"/>
  <c r="M445" i="17"/>
  <c r="N445" i="17"/>
  <c r="I446" i="17"/>
  <c r="J446" i="17"/>
  <c r="O446" i="17" s="1"/>
  <c r="K446" i="17"/>
  <c r="L446" i="17"/>
  <c r="M446" i="17"/>
  <c r="N446" i="17"/>
  <c r="I447" i="17"/>
  <c r="O447" i="17" s="1"/>
  <c r="J447" i="17"/>
  <c r="K447" i="17"/>
  <c r="L447" i="17"/>
  <c r="M447" i="17"/>
  <c r="N447" i="17"/>
  <c r="I448" i="17"/>
  <c r="O448" i="17" s="1"/>
  <c r="J448" i="17"/>
  <c r="K448" i="17"/>
  <c r="L448" i="17"/>
  <c r="M448" i="17"/>
  <c r="N448" i="17"/>
  <c r="I449" i="17"/>
  <c r="J449" i="17"/>
  <c r="O449" i="17" s="1"/>
  <c r="K449" i="17"/>
  <c r="L449" i="17"/>
  <c r="M449" i="17"/>
  <c r="N449" i="17"/>
  <c r="I450" i="17"/>
  <c r="O450" i="17" s="1"/>
  <c r="J450" i="17"/>
  <c r="K450" i="17"/>
  <c r="L450" i="17"/>
  <c r="M450" i="17"/>
  <c r="N450" i="17"/>
  <c r="I451" i="17"/>
  <c r="J451" i="17"/>
  <c r="K451" i="17"/>
  <c r="L451" i="17"/>
  <c r="M451" i="17"/>
  <c r="N451" i="17"/>
  <c r="O451" i="17"/>
  <c r="I452" i="17"/>
  <c r="O452" i="17" s="1"/>
  <c r="J452" i="17"/>
  <c r="K452" i="17"/>
  <c r="L452" i="17"/>
  <c r="M452" i="17"/>
  <c r="N452" i="17"/>
  <c r="I453" i="17"/>
  <c r="O453" i="17" s="1"/>
  <c r="J453" i="17"/>
  <c r="K453" i="17"/>
  <c r="L453" i="17"/>
  <c r="M453" i="17"/>
  <c r="N453" i="17"/>
  <c r="I454" i="17"/>
  <c r="J454" i="17"/>
  <c r="O454" i="17" s="1"/>
  <c r="K454" i="17"/>
  <c r="L454" i="17"/>
  <c r="M454" i="17"/>
  <c r="N454" i="17"/>
  <c r="I455" i="17"/>
  <c r="O455" i="17" s="1"/>
  <c r="J455" i="17"/>
  <c r="K455" i="17"/>
  <c r="L455" i="17"/>
  <c r="M455" i="17"/>
  <c r="N455" i="17"/>
  <c r="I456" i="17"/>
  <c r="O456" i="17" s="1"/>
  <c r="J456" i="17"/>
  <c r="K456" i="17"/>
  <c r="L456" i="17"/>
  <c r="M456" i="17"/>
  <c r="N456" i="17"/>
  <c r="I457" i="17"/>
  <c r="J457" i="17"/>
  <c r="O457" i="17" s="1"/>
  <c r="K457" i="17"/>
  <c r="L457" i="17"/>
  <c r="M457" i="17"/>
  <c r="N457" i="17"/>
  <c r="I458" i="17"/>
  <c r="O458" i="17" s="1"/>
  <c r="J458" i="17"/>
  <c r="K458" i="17"/>
  <c r="L458" i="17"/>
  <c r="M458" i="17"/>
  <c r="N458" i="17"/>
  <c r="I459" i="17"/>
  <c r="J459" i="17"/>
  <c r="K459" i="17"/>
  <c r="L459" i="17"/>
  <c r="M459" i="17"/>
  <c r="N459" i="17"/>
  <c r="O459" i="17"/>
  <c r="I460" i="17"/>
  <c r="O460" i="17" s="1"/>
  <c r="J460" i="17"/>
  <c r="K460" i="17"/>
  <c r="L460" i="17"/>
  <c r="M460" i="17"/>
  <c r="N460" i="17"/>
  <c r="I461" i="17"/>
  <c r="O461" i="17" s="1"/>
  <c r="J461" i="17"/>
  <c r="K461" i="17"/>
  <c r="L461" i="17"/>
  <c r="M461" i="17"/>
  <c r="N461" i="17"/>
  <c r="M3" i="17"/>
  <c r="N3" i="17"/>
  <c r="L3" i="17"/>
  <c r="K3" i="17"/>
  <c r="J3" i="17"/>
  <c r="I3" i="17"/>
  <c r="AN4" i="18"/>
  <c r="AN5" i="18"/>
  <c r="AN6" i="18"/>
  <c r="AN7" i="18"/>
  <c r="AN8" i="18"/>
  <c r="AN9" i="18"/>
  <c r="AN10" i="18"/>
  <c r="AN11" i="18"/>
  <c r="AN12" i="18"/>
  <c r="AN13" i="18"/>
  <c r="AN14" i="18"/>
  <c r="AN15" i="18"/>
  <c r="AN16" i="18"/>
  <c r="AN17" i="18"/>
  <c r="AN18" i="18"/>
  <c r="AN19" i="18"/>
  <c r="AN20" i="18"/>
  <c r="AN21" i="18"/>
  <c r="AN22" i="18"/>
  <c r="AN23" i="18"/>
  <c r="AN24" i="18"/>
  <c r="AN25" i="18"/>
  <c r="AN26" i="18"/>
  <c r="AN27" i="18"/>
  <c r="AN28" i="18"/>
  <c r="AN29" i="18"/>
  <c r="AN30" i="18"/>
  <c r="AN31" i="18"/>
  <c r="AN32" i="18"/>
  <c r="AN33" i="18"/>
  <c r="AN34" i="18"/>
  <c r="AN35" i="18"/>
  <c r="AN36" i="18"/>
  <c r="AN37" i="18"/>
  <c r="AN38" i="18"/>
  <c r="AN39" i="18"/>
  <c r="AN40" i="18"/>
  <c r="AN41" i="18"/>
  <c r="AN42" i="18"/>
  <c r="AN43" i="18"/>
  <c r="AN44" i="18"/>
  <c r="AN45" i="18"/>
  <c r="AN46" i="18"/>
  <c r="AN47" i="18"/>
  <c r="AN48" i="18"/>
  <c r="AN49" i="18"/>
  <c r="AN50" i="18"/>
  <c r="AN51" i="18"/>
  <c r="AN52" i="18"/>
  <c r="AN53" i="18"/>
  <c r="AN54" i="18"/>
  <c r="AN55" i="18"/>
  <c r="AN56" i="18"/>
  <c r="AN57" i="18"/>
  <c r="AN58" i="18"/>
  <c r="AN59" i="18"/>
  <c r="AN60" i="18"/>
  <c r="AN61" i="18"/>
  <c r="AN62" i="18"/>
  <c r="AN63" i="18"/>
  <c r="AN64" i="18"/>
  <c r="AN65" i="18"/>
  <c r="AN66" i="18"/>
  <c r="AN67" i="18"/>
  <c r="AN68" i="18"/>
  <c r="AN69" i="18"/>
  <c r="AN70" i="18"/>
  <c r="AN71" i="18"/>
  <c r="AN72" i="18"/>
  <c r="AN73" i="18"/>
  <c r="AN74" i="18"/>
  <c r="AN75" i="18"/>
  <c r="AN76" i="18"/>
  <c r="AN77" i="18"/>
  <c r="AN78" i="18"/>
  <c r="AN79" i="18"/>
  <c r="AN80" i="18"/>
  <c r="AN81" i="18"/>
  <c r="AN82" i="18"/>
  <c r="AN83" i="18"/>
  <c r="AN84" i="18"/>
  <c r="AN85" i="18"/>
  <c r="AN86" i="18"/>
  <c r="AN87" i="18"/>
  <c r="AN88" i="18"/>
  <c r="AN89" i="18"/>
  <c r="AN90" i="18"/>
  <c r="AN91" i="18"/>
  <c r="AN92" i="18"/>
  <c r="AN93" i="18"/>
  <c r="AN94" i="18"/>
  <c r="AN95" i="18"/>
  <c r="AN96" i="18"/>
  <c r="AN97" i="18"/>
  <c r="AN98" i="18"/>
  <c r="AN99" i="18"/>
  <c r="AN100" i="18"/>
  <c r="AN101" i="18"/>
  <c r="AN102" i="18"/>
  <c r="AN3" i="18"/>
  <c r="AL63" i="18"/>
  <c r="AK35" i="18"/>
  <c r="AI11" i="18"/>
  <c r="AI75" i="18"/>
  <c r="AH47" i="18"/>
  <c r="BW5" i="18"/>
  <c r="BX5" i="18" s="1"/>
  <c r="BW4" i="18"/>
  <c r="BX4" i="18" s="1"/>
  <c r="BT4" i="18"/>
  <c r="BU4" i="18" s="1"/>
  <c r="BW3" i="18"/>
  <c r="BX3" i="18" s="1"/>
  <c r="BT3" i="18"/>
  <c r="BU3" i="18" s="1"/>
  <c r="BE4" i="18"/>
  <c r="BF4" i="18" s="1"/>
  <c r="AM29" i="18" s="1"/>
  <c r="BE5" i="18"/>
  <c r="BF5" i="18" s="1"/>
  <c r="AM31" i="18" s="1"/>
  <c r="BE6" i="18"/>
  <c r="BF6" i="18" s="1"/>
  <c r="AM81" i="18" s="1"/>
  <c r="BE7" i="18"/>
  <c r="BF7" i="18" s="1"/>
  <c r="AM22" i="18" s="1"/>
  <c r="BE8" i="18"/>
  <c r="BF8" i="18" s="1"/>
  <c r="AM76" i="18" s="1"/>
  <c r="BE9" i="18"/>
  <c r="BF9" i="18" s="1"/>
  <c r="AM78" i="18" s="1"/>
  <c r="BE10" i="18"/>
  <c r="BF10" i="18" s="1"/>
  <c r="AM60" i="18" s="1"/>
  <c r="BE11" i="18"/>
  <c r="BF11" i="18" s="1"/>
  <c r="AM20" i="18" s="1"/>
  <c r="BE12" i="18"/>
  <c r="BF12" i="18" s="1"/>
  <c r="AM4" i="18" s="1"/>
  <c r="BE13" i="18"/>
  <c r="BF13" i="18" s="1"/>
  <c r="AM12" i="18" s="1"/>
  <c r="BE14" i="18"/>
  <c r="BF14" i="18" s="1"/>
  <c r="AM68" i="18" s="1"/>
  <c r="BE3" i="18"/>
  <c r="BF3" i="18" s="1"/>
  <c r="AM28" i="18" s="1"/>
  <c r="BB4" i="18"/>
  <c r="BC4" i="18" s="1"/>
  <c r="AL56" i="18" s="1"/>
  <c r="BB5" i="18"/>
  <c r="BC5" i="18" s="1"/>
  <c r="AL8" i="18" s="1"/>
  <c r="BB6" i="18"/>
  <c r="BC6" i="18" s="1"/>
  <c r="AL9" i="18" s="1"/>
  <c r="BB7" i="18"/>
  <c r="BC7" i="18" s="1"/>
  <c r="AL22" i="18" s="1"/>
  <c r="BB8" i="18"/>
  <c r="BC8" i="18" s="1"/>
  <c r="AL46" i="18" s="1"/>
  <c r="BB3" i="18"/>
  <c r="BC3" i="18" s="1"/>
  <c r="AL24" i="18" s="1"/>
  <c r="BH4" i="18"/>
  <c r="BI4" i="18" s="1"/>
  <c r="AK12" i="18" s="1"/>
  <c r="BH5" i="18"/>
  <c r="BI5" i="18" s="1"/>
  <c r="AK52" i="18" s="1"/>
  <c r="BH6" i="18"/>
  <c r="BI6" i="18" s="1"/>
  <c r="AK14" i="18" s="1"/>
  <c r="BH7" i="18"/>
  <c r="BI7" i="18" s="1"/>
  <c r="AK36" i="18" s="1"/>
  <c r="BH8" i="18"/>
  <c r="BI8" i="18" s="1"/>
  <c r="AK30" i="18" s="1"/>
  <c r="BH9" i="18"/>
  <c r="BI9" i="18" s="1"/>
  <c r="AK61" i="18" s="1"/>
  <c r="BH10" i="18"/>
  <c r="BI10" i="18" s="1"/>
  <c r="AK78" i="18" s="1"/>
  <c r="BH11" i="18"/>
  <c r="BI11" i="18" s="1"/>
  <c r="AK37" i="18" s="1"/>
  <c r="BH12" i="18"/>
  <c r="BI12" i="18" s="1"/>
  <c r="AK76" i="18" s="1"/>
  <c r="BH13" i="18"/>
  <c r="BI13" i="18" s="1"/>
  <c r="AK23" i="18" s="1"/>
  <c r="BH14" i="18"/>
  <c r="BI14" i="18" s="1"/>
  <c r="AK63" i="18" s="1"/>
  <c r="BH15" i="18"/>
  <c r="BI15" i="18" s="1"/>
  <c r="AK60" i="18" s="1"/>
  <c r="BH16" i="18"/>
  <c r="BI16" i="18" s="1"/>
  <c r="AK45" i="18" s="1"/>
  <c r="BH17" i="18"/>
  <c r="BI17" i="18" s="1"/>
  <c r="AK46" i="18" s="1"/>
  <c r="BH18" i="18"/>
  <c r="BI18" i="18" s="1"/>
  <c r="AK92" i="18" s="1"/>
  <c r="BH19" i="18"/>
  <c r="BI19" i="18" s="1"/>
  <c r="AK69" i="18" s="1"/>
  <c r="BH20" i="18"/>
  <c r="BI20" i="18" s="1"/>
  <c r="AK80" i="18" s="1"/>
  <c r="BH21" i="18"/>
  <c r="BI21" i="18" s="1"/>
  <c r="AK44" i="18" s="1"/>
  <c r="BH22" i="18"/>
  <c r="BI22" i="18" s="1"/>
  <c r="AK34" i="18" s="1"/>
  <c r="BH23" i="18"/>
  <c r="BI23" i="18" s="1"/>
  <c r="AK29" i="18" s="1"/>
  <c r="BH24" i="18"/>
  <c r="BI24" i="18" s="1"/>
  <c r="AK85" i="18" s="1"/>
  <c r="BH25" i="18"/>
  <c r="BI25" i="18" s="1"/>
  <c r="AK8" i="18" s="1"/>
  <c r="BH26" i="18"/>
  <c r="BI26" i="18" s="1"/>
  <c r="AK40" i="18" s="1"/>
  <c r="BH27" i="18"/>
  <c r="BI27" i="18" s="1"/>
  <c r="AK4" i="18" s="1"/>
  <c r="BH28" i="18"/>
  <c r="BI28" i="18" s="1"/>
  <c r="AK93" i="18" s="1"/>
  <c r="BH29" i="18"/>
  <c r="BI29" i="18" s="1"/>
  <c r="AK54" i="18" s="1"/>
  <c r="BH30" i="18"/>
  <c r="BI30" i="18" s="1"/>
  <c r="AK81" i="18" s="1"/>
  <c r="BH31" i="18"/>
  <c r="BI31" i="18" s="1"/>
  <c r="AK38" i="18" s="1"/>
  <c r="BH3" i="18"/>
  <c r="BI3" i="18" s="1"/>
  <c r="AK28" i="18" s="1"/>
  <c r="AD4" i="18"/>
  <c r="AD5" i="18"/>
  <c r="AD6" i="18"/>
  <c r="AD7" i="18"/>
  <c r="AD8" i="18"/>
  <c r="AD9" i="18"/>
  <c r="AD10" i="18"/>
  <c r="AD11" i="18"/>
  <c r="AD12" i="18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25" i="18"/>
  <c r="AD26" i="18"/>
  <c r="AD27" i="18"/>
  <c r="AD28" i="18"/>
  <c r="AD29" i="18"/>
  <c r="AD30" i="18"/>
  <c r="AD31" i="18"/>
  <c r="AD32" i="18"/>
  <c r="AD33" i="18"/>
  <c r="AD34" i="18"/>
  <c r="AD35" i="18"/>
  <c r="AD36" i="18"/>
  <c r="AD37" i="18"/>
  <c r="AD38" i="18"/>
  <c r="AD39" i="18"/>
  <c r="AD40" i="18"/>
  <c r="AD41" i="18"/>
  <c r="AD42" i="18"/>
  <c r="AD43" i="18"/>
  <c r="AD44" i="18"/>
  <c r="AD45" i="18"/>
  <c r="AD46" i="18"/>
  <c r="AD47" i="18"/>
  <c r="AD48" i="18"/>
  <c r="AD49" i="18"/>
  <c r="AD50" i="18"/>
  <c r="AD51" i="18"/>
  <c r="AD52" i="18"/>
  <c r="AD53" i="18"/>
  <c r="AD54" i="18"/>
  <c r="AD55" i="18"/>
  <c r="AD56" i="18"/>
  <c r="AD57" i="18"/>
  <c r="AD58" i="18"/>
  <c r="AD59" i="18"/>
  <c r="AD60" i="18"/>
  <c r="AD61" i="18"/>
  <c r="AD62" i="18"/>
  <c r="AD63" i="18"/>
  <c r="AD64" i="18"/>
  <c r="AD65" i="18"/>
  <c r="AD66" i="18"/>
  <c r="AD67" i="18"/>
  <c r="AD68" i="18"/>
  <c r="AD69" i="18"/>
  <c r="AD70" i="18"/>
  <c r="AD71" i="18"/>
  <c r="AD72" i="18"/>
  <c r="AD73" i="18"/>
  <c r="AD74" i="18"/>
  <c r="AD75" i="18"/>
  <c r="AD76" i="18"/>
  <c r="AD77" i="18"/>
  <c r="AD78" i="18"/>
  <c r="AD79" i="18"/>
  <c r="AD80" i="18"/>
  <c r="AD81" i="18"/>
  <c r="AD82" i="18"/>
  <c r="AD83" i="18"/>
  <c r="AD84" i="18"/>
  <c r="AD85" i="18"/>
  <c r="AD86" i="18"/>
  <c r="AD87" i="18"/>
  <c r="AD88" i="18"/>
  <c r="AD89" i="18"/>
  <c r="AD90" i="18"/>
  <c r="AD91" i="18"/>
  <c r="AD92" i="18"/>
  <c r="AD93" i="18"/>
  <c r="AD94" i="18"/>
  <c r="AD95" i="18"/>
  <c r="AD96" i="18"/>
  <c r="AD97" i="18"/>
  <c r="AD98" i="18"/>
  <c r="AD99" i="18"/>
  <c r="AD100" i="18"/>
  <c r="AD101" i="18"/>
  <c r="AD102" i="18"/>
  <c r="AD3" i="18"/>
  <c r="AV4" i="18"/>
  <c r="AW4" i="18" s="1"/>
  <c r="AI92" i="18" s="1"/>
  <c r="AV5" i="18"/>
  <c r="AW5" i="18" s="1"/>
  <c r="AI22" i="18" s="1"/>
  <c r="AV3" i="18"/>
  <c r="AW3" i="18" s="1"/>
  <c r="AI4" i="18" s="1"/>
  <c r="AS4" i="18"/>
  <c r="AT4" i="18" s="1"/>
  <c r="AH56" i="18" s="1"/>
  <c r="AS3" i="18"/>
  <c r="AT3" i="18" s="1"/>
  <c r="AH3" i="18" s="1"/>
  <c r="BA17" i="17"/>
  <c r="AZ4" i="17"/>
  <c r="BX3" i="12"/>
  <c r="BX4" i="12"/>
  <c r="BX5" i="12"/>
  <c r="BX6" i="12"/>
  <c r="BX7" i="12"/>
  <c r="BX8" i="12"/>
  <c r="BX9" i="12"/>
  <c r="BX10" i="12"/>
  <c r="BX11" i="12"/>
  <c r="BX12" i="12"/>
  <c r="BX13" i="12"/>
  <c r="BX14" i="12"/>
  <c r="BX15" i="12"/>
  <c r="BX16" i="12"/>
  <c r="BX17" i="12"/>
  <c r="BX18" i="12"/>
  <c r="BX19" i="12"/>
  <c r="BX20" i="12"/>
  <c r="BX21" i="12"/>
  <c r="BX22" i="12"/>
  <c r="BX23" i="12"/>
  <c r="BX24" i="12"/>
  <c r="BX25" i="12"/>
  <c r="BX26" i="12"/>
  <c r="BX27" i="12"/>
  <c r="BX28" i="12"/>
  <c r="BX29" i="12"/>
  <c r="BX30" i="12"/>
  <c r="BX31" i="12"/>
  <c r="BX32" i="12"/>
  <c r="BX33" i="12"/>
  <c r="BX34" i="12"/>
  <c r="BX35" i="12"/>
  <c r="BX36" i="12"/>
  <c r="BX37" i="12"/>
  <c r="BX38" i="12"/>
  <c r="BX39" i="12"/>
  <c r="BX40" i="12"/>
  <c r="BX41" i="12"/>
  <c r="BX42" i="12"/>
  <c r="BX43" i="12"/>
  <c r="BX44" i="12"/>
  <c r="BX45" i="12"/>
  <c r="BX46" i="12"/>
  <c r="BX47" i="12"/>
  <c r="BX48" i="12"/>
  <c r="BX49" i="12"/>
  <c r="BX50" i="12"/>
  <c r="BX51" i="12"/>
  <c r="BX52" i="12"/>
  <c r="BX53" i="12"/>
  <c r="BX54" i="12"/>
  <c r="BX55" i="12"/>
  <c r="BX56" i="12"/>
  <c r="BX57" i="12"/>
  <c r="BX58" i="12"/>
  <c r="BX59" i="12"/>
  <c r="BX60" i="12"/>
  <c r="BX61" i="12"/>
  <c r="BX62" i="12"/>
  <c r="BX63" i="12"/>
  <c r="BX64" i="12"/>
  <c r="BX65" i="12"/>
  <c r="BX66" i="12"/>
  <c r="BX67" i="12"/>
  <c r="BX68" i="12"/>
  <c r="BX69" i="12"/>
  <c r="BX70" i="12"/>
  <c r="BX71" i="12"/>
  <c r="BX72" i="12"/>
  <c r="BX73" i="12"/>
  <c r="BX74" i="12"/>
  <c r="BX75" i="12"/>
  <c r="BX76" i="12"/>
  <c r="BX77" i="12"/>
  <c r="BX78" i="12"/>
  <c r="BX79" i="12"/>
  <c r="BX80" i="12"/>
  <c r="BX81" i="12"/>
  <c r="BX82" i="12"/>
  <c r="BX83" i="12"/>
  <c r="BX84" i="12"/>
  <c r="BX85" i="12"/>
  <c r="BX86" i="12"/>
  <c r="BX87" i="12"/>
  <c r="BX88" i="12"/>
  <c r="BX89" i="12"/>
  <c r="BX90" i="12"/>
  <c r="BX91" i="12"/>
  <c r="BX92" i="12"/>
  <c r="BX93" i="12"/>
  <c r="BX94" i="12"/>
  <c r="BX95" i="12"/>
  <c r="BX96" i="12"/>
  <c r="BX97" i="12"/>
  <c r="BX98" i="12"/>
  <c r="BX99" i="12"/>
  <c r="BX100" i="12"/>
  <c r="BX101" i="12"/>
  <c r="BX102" i="12"/>
  <c r="BX103" i="12"/>
  <c r="BX104" i="12"/>
  <c r="BX105" i="12"/>
  <c r="BX106" i="12"/>
  <c r="BX107" i="12"/>
  <c r="BX108" i="12"/>
  <c r="BX109" i="12"/>
  <c r="BX110" i="12"/>
  <c r="BX111" i="12"/>
  <c r="BX112" i="12"/>
  <c r="BX113" i="12"/>
  <c r="BX114" i="12"/>
  <c r="BX115" i="12"/>
  <c r="BX116" i="12"/>
  <c r="BX117" i="12"/>
  <c r="BX118" i="12"/>
  <c r="BX119" i="12"/>
  <c r="BX120" i="12"/>
  <c r="BX121" i="12"/>
  <c r="BX122" i="12"/>
  <c r="BX123" i="12"/>
  <c r="BX124" i="12"/>
  <c r="BX125" i="12"/>
  <c r="BX126" i="12"/>
  <c r="BX127" i="12"/>
  <c r="BX128" i="12"/>
  <c r="BX129" i="12"/>
  <c r="BX130" i="12"/>
  <c r="BX131" i="12"/>
  <c r="BX132" i="12"/>
  <c r="BX133" i="12"/>
  <c r="BX134" i="12"/>
  <c r="BX135" i="12"/>
  <c r="BX136" i="12"/>
  <c r="BX137" i="12"/>
  <c r="BX138" i="12"/>
  <c r="BX139" i="12"/>
  <c r="BX140" i="12"/>
  <c r="BX141" i="12"/>
  <c r="BX142" i="12"/>
  <c r="BX143" i="12"/>
  <c r="BX144" i="12"/>
  <c r="BX145" i="12"/>
  <c r="BX146" i="12"/>
  <c r="BX147" i="12"/>
  <c r="BX148" i="12"/>
  <c r="BX149" i="12"/>
  <c r="BX150" i="12"/>
  <c r="BX151" i="12"/>
  <c r="BX152" i="12"/>
  <c r="BX153" i="12"/>
  <c r="BX154" i="12"/>
  <c r="BX155" i="12"/>
  <c r="BX156" i="12"/>
  <c r="BX157" i="12"/>
  <c r="BX158" i="12"/>
  <c r="BX159" i="12"/>
  <c r="BX160" i="12"/>
  <c r="BX161" i="12"/>
  <c r="BX162" i="12"/>
  <c r="BX163" i="12"/>
  <c r="BX164" i="12"/>
  <c r="BX165" i="12"/>
  <c r="BX166" i="12"/>
  <c r="BX167" i="12"/>
  <c r="BX168" i="12"/>
  <c r="BX169" i="12"/>
  <c r="BX170" i="12"/>
  <c r="BX171" i="12"/>
  <c r="BX172" i="12"/>
  <c r="BX173" i="12"/>
  <c r="BX174" i="12"/>
  <c r="BX175" i="12"/>
  <c r="BX176" i="12"/>
  <c r="BX177" i="12"/>
  <c r="BX178" i="12"/>
  <c r="BX179" i="12"/>
  <c r="BX180" i="12"/>
  <c r="BX181" i="12"/>
  <c r="BX182" i="12"/>
  <c r="BX183" i="12"/>
  <c r="BX184" i="12"/>
  <c r="BX185" i="12"/>
  <c r="BX186" i="12"/>
  <c r="BX187" i="12"/>
  <c r="BX188" i="12"/>
  <c r="BX189" i="12"/>
  <c r="BX190" i="12"/>
  <c r="BX191" i="12"/>
  <c r="BX192" i="12"/>
  <c r="BX193" i="12"/>
  <c r="BX194" i="12"/>
  <c r="BX195" i="12"/>
  <c r="BX196" i="12"/>
  <c r="BX197" i="12"/>
  <c r="BX198" i="12"/>
  <c r="BX199" i="12"/>
  <c r="BX200" i="12"/>
  <c r="BX201" i="12"/>
  <c r="BX202" i="12"/>
  <c r="BX203" i="12"/>
  <c r="BX204" i="12"/>
  <c r="BX205" i="12"/>
  <c r="BX206" i="12"/>
  <c r="BX207" i="12"/>
  <c r="BX208" i="12"/>
  <c r="BX209" i="12"/>
  <c r="BX210" i="12"/>
  <c r="BX211" i="12"/>
  <c r="BX212" i="12"/>
  <c r="BX213" i="12"/>
  <c r="BX214" i="12"/>
  <c r="BX215" i="12"/>
  <c r="BX216" i="12"/>
  <c r="BX217" i="12"/>
  <c r="BX218" i="12"/>
  <c r="BX219" i="12"/>
  <c r="BX220" i="12"/>
  <c r="BX221" i="12"/>
  <c r="BX222" i="12"/>
  <c r="BX223" i="12"/>
  <c r="BX224" i="12"/>
  <c r="BX225" i="12"/>
  <c r="BX226" i="12"/>
  <c r="BX227" i="12"/>
  <c r="BX228" i="12"/>
  <c r="BX229" i="12"/>
  <c r="BX230" i="12"/>
  <c r="BX231" i="12"/>
  <c r="BX232" i="12"/>
  <c r="BX233" i="12"/>
  <c r="BX234" i="12"/>
  <c r="BX235" i="12"/>
  <c r="BX236" i="12"/>
  <c r="BX237" i="12"/>
  <c r="BX238" i="12"/>
  <c r="BX239" i="12"/>
  <c r="BX240" i="12"/>
  <c r="BX241" i="12"/>
  <c r="BX242" i="12"/>
  <c r="BX243" i="12"/>
  <c r="BX244" i="12"/>
  <c r="BX245" i="12"/>
  <c r="BX246" i="12"/>
  <c r="BX247" i="12"/>
  <c r="BX248" i="12"/>
  <c r="BX249" i="12"/>
  <c r="BX250" i="12"/>
  <c r="BX251" i="12"/>
  <c r="BX252" i="12"/>
  <c r="BX253" i="12"/>
  <c r="BX254" i="12"/>
  <c r="BX255" i="12"/>
  <c r="BX256" i="12"/>
  <c r="BX257" i="12"/>
  <c r="BX258" i="12"/>
  <c r="BX259" i="12"/>
  <c r="BX260" i="12"/>
  <c r="BX261" i="12"/>
  <c r="BX262" i="12"/>
  <c r="BX263" i="12"/>
  <c r="BX264" i="12"/>
  <c r="BX265" i="12"/>
  <c r="BX266" i="12"/>
  <c r="BX267" i="12"/>
  <c r="BX268" i="12"/>
  <c r="BX269" i="12"/>
  <c r="BX270" i="12"/>
  <c r="BX271" i="12"/>
  <c r="BX272" i="12"/>
  <c r="BX273" i="12"/>
  <c r="BX274" i="12"/>
  <c r="BX275" i="12"/>
  <c r="BX276" i="12"/>
  <c r="BX277" i="12"/>
  <c r="BX278" i="12"/>
  <c r="BX279" i="12"/>
  <c r="BX280" i="12"/>
  <c r="BX281" i="12"/>
  <c r="BX282" i="12"/>
  <c r="BX283" i="12"/>
  <c r="BX284" i="12"/>
  <c r="BX285" i="12"/>
  <c r="BX286" i="12"/>
  <c r="BX287" i="12"/>
  <c r="BX288" i="12"/>
  <c r="BX289" i="12"/>
  <c r="BX290" i="12"/>
  <c r="BX291" i="12"/>
  <c r="BX292" i="12"/>
  <c r="BX293" i="12"/>
  <c r="BX294" i="12"/>
  <c r="BX295" i="12"/>
  <c r="BX296" i="12"/>
  <c r="BX297" i="12"/>
  <c r="BX298" i="12"/>
  <c r="BX299" i="12"/>
  <c r="BX300" i="12"/>
  <c r="BX301" i="12"/>
  <c r="BX302" i="12"/>
  <c r="BX303" i="12"/>
  <c r="BX304" i="12"/>
  <c r="BX305" i="12"/>
  <c r="BX306" i="12"/>
  <c r="BX307" i="12"/>
  <c r="BX308" i="12"/>
  <c r="BX309" i="12"/>
  <c r="BX310" i="12"/>
  <c r="BX311" i="12"/>
  <c r="BX312" i="12"/>
  <c r="BX313" i="12"/>
  <c r="BX314" i="12"/>
  <c r="BX315" i="12"/>
  <c r="BX316" i="12"/>
  <c r="BX317" i="12"/>
  <c r="BX318" i="12"/>
  <c r="BX319" i="12"/>
  <c r="BX320" i="12"/>
  <c r="BX321" i="12"/>
  <c r="BX322" i="12"/>
  <c r="BX323" i="12"/>
  <c r="BX324" i="12"/>
  <c r="BX325" i="12"/>
  <c r="BX326" i="12"/>
  <c r="BX327" i="12"/>
  <c r="BX328" i="12"/>
  <c r="BX329" i="12"/>
  <c r="BX330" i="12"/>
  <c r="BX331" i="12"/>
  <c r="BX332" i="12"/>
  <c r="BX333" i="12"/>
  <c r="BX334" i="12"/>
  <c r="BX335" i="12"/>
  <c r="BX336" i="12"/>
  <c r="BX337" i="12"/>
  <c r="BX338" i="12"/>
  <c r="BX339" i="12"/>
  <c r="BX340" i="12"/>
  <c r="BX341" i="12"/>
  <c r="BX342" i="12"/>
  <c r="BX343" i="12"/>
  <c r="BX344" i="12"/>
  <c r="BX345" i="12"/>
  <c r="BX346" i="12"/>
  <c r="BX347" i="12"/>
  <c r="BX348" i="12"/>
  <c r="BX349" i="12"/>
  <c r="BX350" i="12"/>
  <c r="BX351" i="12"/>
  <c r="BX352" i="12"/>
  <c r="BX353" i="12"/>
  <c r="BX354" i="12"/>
  <c r="BX355" i="12"/>
  <c r="BX356" i="12"/>
  <c r="BX357" i="12"/>
  <c r="BX358" i="12"/>
  <c r="BX359" i="12"/>
  <c r="BX360" i="12"/>
  <c r="BX361" i="12"/>
  <c r="BX362" i="12"/>
  <c r="BX363" i="12"/>
  <c r="BX364" i="12"/>
  <c r="BX365" i="12"/>
  <c r="BX366" i="12"/>
  <c r="BX367" i="12"/>
  <c r="BX368" i="12"/>
  <c r="BX369" i="12"/>
  <c r="BX370" i="12"/>
  <c r="BX371" i="12"/>
  <c r="BX372" i="12"/>
  <c r="BX373" i="12"/>
  <c r="BX374" i="12"/>
  <c r="BX375" i="12"/>
  <c r="BX376" i="12"/>
  <c r="BX377" i="12"/>
  <c r="BX378" i="12"/>
  <c r="BX379" i="12"/>
  <c r="BX380" i="12"/>
  <c r="BX381" i="12"/>
  <c r="BX382" i="12"/>
  <c r="BX383" i="12"/>
  <c r="BX384" i="12"/>
  <c r="BX385" i="12"/>
  <c r="BX386" i="12"/>
  <c r="BX387" i="12"/>
  <c r="BX388" i="12"/>
  <c r="BX389" i="12"/>
  <c r="BX390" i="12"/>
  <c r="BX391" i="12"/>
  <c r="BX392" i="12"/>
  <c r="BX393" i="12"/>
  <c r="BX394" i="12"/>
  <c r="BX395" i="12"/>
  <c r="BX396" i="12"/>
  <c r="BX397" i="12"/>
  <c r="BX398" i="12"/>
  <c r="BX399" i="12"/>
  <c r="BX400" i="12"/>
  <c r="BX401" i="12"/>
  <c r="BX402" i="12"/>
  <c r="BX403" i="12"/>
  <c r="BX404" i="12"/>
  <c r="BX405" i="12"/>
  <c r="BX406" i="12"/>
  <c r="BX407" i="12"/>
  <c r="BX408" i="12"/>
  <c r="BX409" i="12"/>
  <c r="BX410" i="12"/>
  <c r="BX411" i="12"/>
  <c r="BX412" i="12"/>
  <c r="BX413" i="12"/>
  <c r="BX414" i="12"/>
  <c r="BX415" i="12"/>
  <c r="BX416" i="12"/>
  <c r="BX417" i="12"/>
  <c r="BX418" i="12"/>
  <c r="BX419" i="12"/>
  <c r="BX420" i="12"/>
  <c r="BX421" i="12"/>
  <c r="BX422" i="12"/>
  <c r="BX423" i="12"/>
  <c r="BX424" i="12"/>
  <c r="BX425" i="12"/>
  <c r="BX426" i="12"/>
  <c r="BX427" i="12"/>
  <c r="BX428" i="12"/>
  <c r="BX429" i="12"/>
  <c r="BX430" i="12"/>
  <c r="BX431" i="12"/>
  <c r="BX432" i="12"/>
  <c r="BX433" i="12"/>
  <c r="BX434" i="12"/>
  <c r="BX435" i="12"/>
  <c r="BX436" i="12"/>
  <c r="BX437" i="12"/>
  <c r="BX438" i="12"/>
  <c r="BX439" i="12"/>
  <c r="BX440" i="12"/>
  <c r="BX441" i="12"/>
  <c r="BX442" i="12"/>
  <c r="BX443" i="12"/>
  <c r="BX444" i="12"/>
  <c r="BX445" i="12"/>
  <c r="BX446" i="12"/>
  <c r="BX447" i="12"/>
  <c r="BX448" i="12"/>
  <c r="BX449" i="12"/>
  <c r="BX450" i="12"/>
  <c r="BX451" i="12"/>
  <c r="BX452" i="12"/>
  <c r="BX453" i="12"/>
  <c r="BX454" i="12"/>
  <c r="BX455" i="12"/>
  <c r="BX456" i="12"/>
  <c r="BX457" i="12"/>
  <c r="BX458" i="12"/>
  <c r="BX459" i="12"/>
  <c r="BX460" i="12"/>
  <c r="BX461" i="12"/>
  <c r="BX462" i="12"/>
  <c r="BX463" i="12"/>
  <c r="BX464" i="12"/>
  <c r="BX465" i="12"/>
  <c r="BX466" i="12"/>
  <c r="BX467" i="12"/>
  <c r="BX468" i="12"/>
  <c r="BX469" i="12"/>
  <c r="BX470" i="12"/>
  <c r="BX471" i="12"/>
  <c r="BX472" i="12"/>
  <c r="BX473" i="12"/>
  <c r="BX474" i="12"/>
  <c r="BX475" i="12"/>
  <c r="BX476" i="12"/>
  <c r="BX477" i="12"/>
  <c r="BX478" i="12"/>
  <c r="BX479" i="12"/>
  <c r="BX480" i="12"/>
  <c r="BX481" i="12"/>
  <c r="BX482" i="12"/>
  <c r="BX483" i="12"/>
  <c r="BX484" i="12"/>
  <c r="BX485" i="12"/>
  <c r="BX486" i="12"/>
  <c r="BX487" i="12"/>
  <c r="BX488" i="12"/>
  <c r="BX489" i="12"/>
  <c r="BX490" i="12"/>
  <c r="BX491" i="12"/>
  <c r="BX492" i="12"/>
  <c r="BX493" i="12"/>
  <c r="BX494" i="12"/>
  <c r="BX495" i="12"/>
  <c r="BX496" i="12"/>
  <c r="BX497" i="12"/>
  <c r="BX498" i="12"/>
  <c r="BX499" i="12"/>
  <c r="BX500" i="12"/>
  <c r="BX501" i="12"/>
  <c r="BX502" i="12"/>
  <c r="BX503" i="12"/>
  <c r="BX504" i="12"/>
  <c r="BX505" i="12"/>
  <c r="BX506" i="12"/>
  <c r="BX507" i="12"/>
  <c r="BX508" i="12"/>
  <c r="BX509" i="12"/>
  <c r="BX510" i="12"/>
  <c r="BX511" i="12"/>
  <c r="BX512" i="12"/>
  <c r="BX513" i="12"/>
  <c r="BX514" i="12"/>
  <c r="BX515" i="12"/>
  <c r="BX516" i="12"/>
  <c r="BX517" i="12"/>
  <c r="BX518" i="12"/>
  <c r="BX519" i="12"/>
  <c r="BX520" i="12"/>
  <c r="BX521" i="12"/>
  <c r="BX522" i="12"/>
  <c r="BX523" i="12"/>
  <c r="BX524" i="12"/>
  <c r="BX525" i="12"/>
  <c r="BX526" i="12"/>
  <c r="BX527" i="12"/>
  <c r="BX528" i="12"/>
  <c r="BX529" i="12"/>
  <c r="BX530" i="12"/>
  <c r="BX531" i="12"/>
  <c r="BX532" i="12"/>
  <c r="BX533" i="12"/>
  <c r="BX534" i="12"/>
  <c r="BX535" i="12"/>
  <c r="BX536" i="12"/>
  <c r="BX537" i="12"/>
  <c r="BX538" i="12"/>
  <c r="BX539" i="12"/>
  <c r="BX540" i="12"/>
  <c r="BX541" i="12"/>
  <c r="BX542" i="12"/>
  <c r="BX543" i="12"/>
  <c r="BX544" i="12"/>
  <c r="BX545" i="12"/>
  <c r="BX546" i="12"/>
  <c r="BX547" i="12"/>
  <c r="BX548" i="12"/>
  <c r="BX549" i="12"/>
  <c r="BX550" i="12"/>
  <c r="BX551" i="12"/>
  <c r="BX552" i="12"/>
  <c r="BX553" i="12"/>
  <c r="BX554" i="12"/>
  <c r="BX555" i="12"/>
  <c r="BX556" i="12"/>
  <c r="BX557" i="12"/>
  <c r="BX558" i="12"/>
  <c r="BX559" i="12"/>
  <c r="BX560" i="12"/>
  <c r="BX2" i="12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2" i="16"/>
  <c r="AD3" i="13"/>
  <c r="AU560" i="11"/>
  <c r="H560" i="11"/>
  <c r="E560" i="11"/>
  <c r="AU559" i="11"/>
  <c r="H559" i="11"/>
  <c r="E559" i="11"/>
  <c r="AU558" i="11"/>
  <c r="H558" i="11"/>
  <c r="E558" i="11"/>
  <c r="AU557" i="11"/>
  <c r="H557" i="11"/>
  <c r="E557" i="11"/>
  <c r="AU556" i="11"/>
  <c r="H556" i="11"/>
  <c r="E556" i="11"/>
  <c r="AU555" i="11"/>
  <c r="H555" i="11"/>
  <c r="E555" i="11"/>
  <c r="AU554" i="11"/>
  <c r="H554" i="11"/>
  <c r="E554" i="11"/>
  <c r="AU553" i="11"/>
  <c r="H553" i="11"/>
  <c r="E553" i="11"/>
  <c r="AU552" i="11"/>
  <c r="H552" i="11"/>
  <c r="E552" i="11"/>
  <c r="AU551" i="11"/>
  <c r="H551" i="11"/>
  <c r="E551" i="11"/>
  <c r="AU550" i="11"/>
  <c r="H550" i="11"/>
  <c r="E550" i="11"/>
  <c r="AU549" i="11"/>
  <c r="H549" i="11"/>
  <c r="E549" i="11"/>
  <c r="AU548" i="11"/>
  <c r="H548" i="11"/>
  <c r="E548" i="11"/>
  <c r="AU547" i="11"/>
  <c r="H547" i="11"/>
  <c r="E547" i="11"/>
  <c r="AU546" i="11"/>
  <c r="H546" i="11"/>
  <c r="E546" i="11"/>
  <c r="AU545" i="11"/>
  <c r="H545" i="11"/>
  <c r="E545" i="11"/>
  <c r="AU544" i="11"/>
  <c r="H544" i="11"/>
  <c r="E544" i="11"/>
  <c r="AU543" i="11"/>
  <c r="H543" i="11"/>
  <c r="E543" i="11"/>
  <c r="AU542" i="11"/>
  <c r="H542" i="11"/>
  <c r="E542" i="11"/>
  <c r="AU541" i="11"/>
  <c r="H541" i="11"/>
  <c r="E541" i="11"/>
  <c r="AU540" i="11"/>
  <c r="H540" i="11"/>
  <c r="E540" i="11"/>
  <c r="AU539" i="11"/>
  <c r="H539" i="11"/>
  <c r="E539" i="11"/>
  <c r="AU538" i="11"/>
  <c r="H538" i="11"/>
  <c r="E538" i="11"/>
  <c r="AU537" i="11"/>
  <c r="H537" i="11"/>
  <c r="E537" i="11"/>
  <c r="AU536" i="11"/>
  <c r="H536" i="11"/>
  <c r="E536" i="11"/>
  <c r="AU535" i="11"/>
  <c r="H535" i="11"/>
  <c r="E535" i="11"/>
  <c r="AU534" i="11"/>
  <c r="H534" i="11"/>
  <c r="E534" i="11"/>
  <c r="AU533" i="11"/>
  <c r="H533" i="11"/>
  <c r="E533" i="11"/>
  <c r="AU532" i="11"/>
  <c r="H532" i="11"/>
  <c r="E532" i="11"/>
  <c r="AU531" i="11"/>
  <c r="H531" i="11"/>
  <c r="E531" i="11"/>
  <c r="AU530" i="11"/>
  <c r="H530" i="11"/>
  <c r="E530" i="11"/>
  <c r="AU529" i="11"/>
  <c r="H529" i="11"/>
  <c r="E529" i="11"/>
  <c r="AU528" i="11"/>
  <c r="H528" i="11"/>
  <c r="E528" i="11"/>
  <c r="AU527" i="11"/>
  <c r="H527" i="11"/>
  <c r="E527" i="11"/>
  <c r="AU526" i="11"/>
  <c r="H526" i="11"/>
  <c r="E526" i="11"/>
  <c r="AU525" i="11"/>
  <c r="H525" i="11"/>
  <c r="E525" i="11"/>
  <c r="AU524" i="11"/>
  <c r="H524" i="11"/>
  <c r="E524" i="11"/>
  <c r="AU523" i="11"/>
  <c r="H523" i="11"/>
  <c r="E523" i="11"/>
  <c r="AU522" i="11"/>
  <c r="H522" i="11"/>
  <c r="E522" i="11"/>
  <c r="AU521" i="11"/>
  <c r="H521" i="11"/>
  <c r="E521" i="11"/>
  <c r="AU520" i="11"/>
  <c r="H520" i="11"/>
  <c r="E520" i="11"/>
  <c r="AU519" i="11"/>
  <c r="H519" i="11"/>
  <c r="E519" i="11"/>
  <c r="AU518" i="11"/>
  <c r="H518" i="11"/>
  <c r="E518" i="11"/>
  <c r="AU517" i="11"/>
  <c r="H517" i="11"/>
  <c r="E517" i="11"/>
  <c r="AU516" i="11"/>
  <c r="H516" i="11"/>
  <c r="E516" i="11"/>
  <c r="AU515" i="11"/>
  <c r="H515" i="11"/>
  <c r="E515" i="11"/>
  <c r="AU514" i="11"/>
  <c r="H514" i="11"/>
  <c r="E514" i="11"/>
  <c r="AU513" i="11"/>
  <c r="H513" i="11"/>
  <c r="E513" i="11"/>
  <c r="AU512" i="11"/>
  <c r="H512" i="11"/>
  <c r="E512" i="11"/>
  <c r="AU511" i="11"/>
  <c r="H511" i="11"/>
  <c r="E511" i="11"/>
  <c r="AU510" i="11"/>
  <c r="H510" i="11"/>
  <c r="E510" i="11"/>
  <c r="AU509" i="11"/>
  <c r="H509" i="11"/>
  <c r="E509" i="11"/>
  <c r="AU508" i="11"/>
  <c r="H508" i="11"/>
  <c r="E508" i="11"/>
  <c r="AU507" i="11"/>
  <c r="H507" i="11"/>
  <c r="E507" i="11"/>
  <c r="AU506" i="11"/>
  <c r="H506" i="11"/>
  <c r="E506" i="11"/>
  <c r="AU505" i="11"/>
  <c r="H505" i="11"/>
  <c r="E505" i="11"/>
  <c r="AU504" i="11"/>
  <c r="H504" i="11"/>
  <c r="E504" i="11"/>
  <c r="AU503" i="11"/>
  <c r="H503" i="11"/>
  <c r="E503" i="11"/>
  <c r="AU502" i="11"/>
  <c r="H502" i="11"/>
  <c r="E502" i="11"/>
  <c r="AU501" i="11"/>
  <c r="H501" i="11"/>
  <c r="E501" i="11"/>
  <c r="AU500" i="11"/>
  <c r="H500" i="11"/>
  <c r="E500" i="11"/>
  <c r="AU499" i="11"/>
  <c r="H499" i="11"/>
  <c r="E499" i="11"/>
  <c r="AU498" i="11"/>
  <c r="H498" i="11"/>
  <c r="E498" i="11"/>
  <c r="AU497" i="11"/>
  <c r="H497" i="11"/>
  <c r="E497" i="11"/>
  <c r="AU496" i="11"/>
  <c r="H496" i="11"/>
  <c r="E496" i="11"/>
  <c r="AU495" i="11"/>
  <c r="H495" i="11"/>
  <c r="E495" i="11"/>
  <c r="AU494" i="11"/>
  <c r="H494" i="11"/>
  <c r="E494" i="11"/>
  <c r="AU493" i="11"/>
  <c r="H493" i="11"/>
  <c r="E493" i="11"/>
  <c r="AU492" i="11"/>
  <c r="H492" i="11"/>
  <c r="E492" i="11"/>
  <c r="AU491" i="11"/>
  <c r="H491" i="11"/>
  <c r="E491" i="11"/>
  <c r="AU490" i="11"/>
  <c r="H490" i="11"/>
  <c r="E490" i="11"/>
  <c r="AU489" i="11"/>
  <c r="H489" i="11"/>
  <c r="E489" i="11"/>
  <c r="AU488" i="11"/>
  <c r="H488" i="11"/>
  <c r="E488" i="11"/>
  <c r="AU487" i="11"/>
  <c r="H487" i="11"/>
  <c r="E487" i="11"/>
  <c r="AU486" i="11"/>
  <c r="H486" i="11"/>
  <c r="E486" i="11"/>
  <c r="AU485" i="11"/>
  <c r="H485" i="11"/>
  <c r="E485" i="11"/>
  <c r="AU484" i="11"/>
  <c r="H484" i="11"/>
  <c r="E484" i="11"/>
  <c r="AU483" i="11"/>
  <c r="H483" i="11"/>
  <c r="E483" i="11"/>
  <c r="AU482" i="11"/>
  <c r="H482" i="11"/>
  <c r="E482" i="11"/>
  <c r="AU481" i="11"/>
  <c r="H481" i="11"/>
  <c r="E481" i="11"/>
  <c r="AU480" i="11"/>
  <c r="H480" i="11"/>
  <c r="E480" i="11"/>
  <c r="AU479" i="11"/>
  <c r="H479" i="11"/>
  <c r="E479" i="11"/>
  <c r="AU478" i="11"/>
  <c r="H478" i="11"/>
  <c r="E478" i="11"/>
  <c r="AU477" i="11"/>
  <c r="H477" i="11"/>
  <c r="E477" i="11"/>
  <c r="AU476" i="11"/>
  <c r="H476" i="11"/>
  <c r="E476" i="11"/>
  <c r="AU475" i="11"/>
  <c r="H475" i="11"/>
  <c r="E475" i="11"/>
  <c r="AU474" i="11"/>
  <c r="H474" i="11"/>
  <c r="E474" i="11"/>
  <c r="AU473" i="11"/>
  <c r="H473" i="11"/>
  <c r="E473" i="11"/>
  <c r="AU472" i="11"/>
  <c r="H472" i="11"/>
  <c r="E472" i="11"/>
  <c r="AU471" i="11"/>
  <c r="H471" i="11"/>
  <c r="E471" i="11"/>
  <c r="AU470" i="11"/>
  <c r="H470" i="11"/>
  <c r="E470" i="11"/>
  <c r="AU469" i="11"/>
  <c r="H469" i="11"/>
  <c r="E469" i="11"/>
  <c r="AU468" i="11"/>
  <c r="H468" i="11"/>
  <c r="E468" i="11"/>
  <c r="AU467" i="11"/>
  <c r="H467" i="11"/>
  <c r="E467" i="11"/>
  <c r="AU466" i="11"/>
  <c r="H466" i="11"/>
  <c r="E466" i="11"/>
  <c r="AU465" i="11"/>
  <c r="H465" i="11"/>
  <c r="E465" i="11"/>
  <c r="AU464" i="11"/>
  <c r="H464" i="11"/>
  <c r="E464" i="11"/>
  <c r="AU463" i="11"/>
  <c r="H463" i="11"/>
  <c r="E463" i="11"/>
  <c r="AU462" i="11"/>
  <c r="H462" i="11"/>
  <c r="E462" i="11"/>
  <c r="AU461" i="11"/>
  <c r="H461" i="11"/>
  <c r="E461" i="11"/>
  <c r="AU460" i="11"/>
  <c r="E460" i="11"/>
  <c r="AU459" i="11"/>
  <c r="E459" i="11"/>
  <c r="AU458" i="11"/>
  <c r="E458" i="11"/>
  <c r="AU457" i="11"/>
  <c r="E457" i="11"/>
  <c r="AU456" i="11"/>
  <c r="E456" i="11"/>
  <c r="AU455" i="11"/>
  <c r="E455" i="11"/>
  <c r="AU454" i="11"/>
  <c r="E454" i="11"/>
  <c r="AU453" i="11"/>
  <c r="E453" i="11"/>
  <c r="AU452" i="11"/>
  <c r="E452" i="11"/>
  <c r="AU451" i="11"/>
  <c r="E451" i="11"/>
  <c r="AU450" i="11"/>
  <c r="E450" i="11"/>
  <c r="AU449" i="11"/>
  <c r="E449" i="11"/>
  <c r="AU448" i="11"/>
  <c r="E448" i="11"/>
  <c r="AU447" i="11"/>
  <c r="E447" i="11"/>
  <c r="AU446" i="11"/>
  <c r="E446" i="11"/>
  <c r="AU445" i="11"/>
  <c r="E445" i="11"/>
  <c r="AU444" i="11"/>
  <c r="E444" i="11"/>
  <c r="AU443" i="11"/>
  <c r="E443" i="11"/>
  <c r="AU442" i="11"/>
  <c r="E442" i="11"/>
  <c r="AU441" i="11"/>
  <c r="E441" i="11"/>
  <c r="AU440" i="11"/>
  <c r="E440" i="11"/>
  <c r="AU439" i="11"/>
  <c r="E439" i="11"/>
  <c r="AU438" i="11"/>
  <c r="E438" i="11"/>
  <c r="AU437" i="11"/>
  <c r="E437" i="11"/>
  <c r="AU436" i="11"/>
  <c r="E436" i="11"/>
  <c r="AU435" i="11"/>
  <c r="E435" i="11"/>
  <c r="AU434" i="11"/>
  <c r="E434" i="11"/>
  <c r="AU433" i="11"/>
  <c r="E433" i="11"/>
  <c r="AU432" i="11"/>
  <c r="E432" i="11"/>
  <c r="AU431" i="11"/>
  <c r="E431" i="11"/>
  <c r="AU430" i="11"/>
  <c r="E430" i="11"/>
  <c r="AU429" i="11"/>
  <c r="E429" i="11"/>
  <c r="AU428" i="11"/>
  <c r="E428" i="11"/>
  <c r="AU427" i="11"/>
  <c r="E427" i="11"/>
  <c r="AU426" i="11"/>
  <c r="E426" i="11"/>
  <c r="AU425" i="11"/>
  <c r="E425" i="11"/>
  <c r="AU424" i="11"/>
  <c r="E424" i="11"/>
  <c r="AU423" i="11"/>
  <c r="E423" i="11"/>
  <c r="AU422" i="11"/>
  <c r="E422" i="11"/>
  <c r="AU421" i="11"/>
  <c r="E421" i="11"/>
  <c r="AU420" i="11"/>
  <c r="E420" i="11"/>
  <c r="AU419" i="11"/>
  <c r="E419" i="11"/>
  <c r="AU418" i="11"/>
  <c r="E418" i="11"/>
  <c r="AU417" i="11"/>
  <c r="E417" i="11"/>
  <c r="AU416" i="11"/>
  <c r="E416" i="11"/>
  <c r="AU415" i="11"/>
  <c r="E415" i="11"/>
  <c r="AU414" i="11"/>
  <c r="E414" i="11"/>
  <c r="AU413" i="11"/>
  <c r="E413" i="11"/>
  <c r="AU412" i="11"/>
  <c r="E412" i="11"/>
  <c r="AU411" i="11"/>
  <c r="E411" i="11"/>
  <c r="AU410" i="11"/>
  <c r="E410" i="11"/>
  <c r="AU409" i="11"/>
  <c r="E409" i="11"/>
  <c r="AU408" i="11"/>
  <c r="E408" i="11"/>
  <c r="AU407" i="11"/>
  <c r="E407" i="11"/>
  <c r="AU406" i="11"/>
  <c r="E406" i="11"/>
  <c r="AU405" i="11"/>
  <c r="E405" i="11"/>
  <c r="AU404" i="11"/>
  <c r="E404" i="11"/>
  <c r="AU403" i="11"/>
  <c r="E403" i="11"/>
  <c r="AU402" i="11"/>
  <c r="E402" i="11"/>
  <c r="AU401" i="11"/>
  <c r="E401" i="11"/>
  <c r="AU400" i="11"/>
  <c r="E400" i="11"/>
  <c r="AU399" i="11"/>
  <c r="E399" i="11"/>
  <c r="AU398" i="11"/>
  <c r="E398" i="11"/>
  <c r="AU397" i="11"/>
  <c r="E397" i="11"/>
  <c r="AU396" i="11"/>
  <c r="E396" i="11"/>
  <c r="AU395" i="11"/>
  <c r="E395" i="11"/>
  <c r="AU394" i="11"/>
  <c r="E394" i="11"/>
  <c r="AU393" i="11"/>
  <c r="E393" i="11"/>
  <c r="AU392" i="11"/>
  <c r="E392" i="11"/>
  <c r="AU391" i="11"/>
  <c r="E391" i="11"/>
  <c r="AU390" i="11"/>
  <c r="E390" i="11"/>
  <c r="AU389" i="11"/>
  <c r="E389" i="11"/>
  <c r="AU388" i="11"/>
  <c r="E388" i="11"/>
  <c r="AU387" i="11"/>
  <c r="E387" i="11"/>
  <c r="AU386" i="11"/>
  <c r="E386" i="11"/>
  <c r="AU385" i="11"/>
  <c r="E385" i="11"/>
  <c r="AU384" i="11"/>
  <c r="E384" i="11"/>
  <c r="AU383" i="11"/>
  <c r="E383" i="11"/>
  <c r="AU382" i="11"/>
  <c r="E382" i="11"/>
  <c r="AU381" i="11"/>
  <c r="E381" i="11"/>
  <c r="AU380" i="11"/>
  <c r="E380" i="11"/>
  <c r="AU379" i="11"/>
  <c r="E379" i="11"/>
  <c r="AU378" i="11"/>
  <c r="E378" i="11"/>
  <c r="AU377" i="11"/>
  <c r="E377" i="11"/>
  <c r="AU376" i="11"/>
  <c r="E376" i="11"/>
  <c r="AU375" i="11"/>
  <c r="E375" i="11"/>
  <c r="AU374" i="11"/>
  <c r="E374" i="11"/>
  <c r="AU373" i="11"/>
  <c r="E373" i="11"/>
  <c r="AU372" i="11"/>
  <c r="E372" i="11"/>
  <c r="AU371" i="11"/>
  <c r="E371" i="11"/>
  <c r="AU370" i="11"/>
  <c r="E370" i="11"/>
  <c r="AU369" i="11"/>
  <c r="E369" i="11"/>
  <c r="AU368" i="11"/>
  <c r="E368" i="11"/>
  <c r="AU367" i="11"/>
  <c r="E367" i="11"/>
  <c r="AU366" i="11"/>
  <c r="E366" i="11"/>
  <c r="AU365" i="11"/>
  <c r="E365" i="11"/>
  <c r="AU364" i="11"/>
  <c r="E364" i="11"/>
  <c r="AU363" i="11"/>
  <c r="E363" i="11"/>
  <c r="AU362" i="11"/>
  <c r="E362" i="11"/>
  <c r="AU361" i="11"/>
  <c r="E361" i="11"/>
  <c r="AU360" i="11"/>
  <c r="E360" i="11"/>
  <c r="AU359" i="11"/>
  <c r="E359" i="11"/>
  <c r="AU358" i="11"/>
  <c r="E358" i="11"/>
  <c r="AU357" i="11"/>
  <c r="E357" i="11"/>
  <c r="AU356" i="11"/>
  <c r="E356" i="11"/>
  <c r="AU355" i="11"/>
  <c r="E355" i="11"/>
  <c r="AU354" i="11"/>
  <c r="E354" i="11"/>
  <c r="AU353" i="11"/>
  <c r="E353" i="11"/>
  <c r="AU352" i="11"/>
  <c r="E352" i="11"/>
  <c r="AU351" i="11"/>
  <c r="E351" i="11"/>
  <c r="AU350" i="11"/>
  <c r="E350" i="11"/>
  <c r="AU349" i="11"/>
  <c r="E349" i="11"/>
  <c r="AU348" i="11"/>
  <c r="E348" i="11"/>
  <c r="AU347" i="11"/>
  <c r="E347" i="11"/>
  <c r="AU346" i="11"/>
  <c r="E346" i="11"/>
  <c r="AU345" i="11"/>
  <c r="E345" i="11"/>
  <c r="AU344" i="11"/>
  <c r="E344" i="11"/>
  <c r="AU343" i="11"/>
  <c r="E343" i="11"/>
  <c r="AU342" i="11"/>
  <c r="E342" i="11"/>
  <c r="AU341" i="11"/>
  <c r="E341" i="11"/>
  <c r="AU340" i="11"/>
  <c r="E340" i="11"/>
  <c r="AU339" i="11"/>
  <c r="E339" i="11"/>
  <c r="AU338" i="11"/>
  <c r="E338" i="11"/>
  <c r="AU337" i="11"/>
  <c r="E337" i="11"/>
  <c r="AU336" i="11"/>
  <c r="E336" i="11"/>
  <c r="AU335" i="11"/>
  <c r="E335" i="11"/>
  <c r="AU334" i="11"/>
  <c r="E334" i="11"/>
  <c r="AU333" i="11"/>
  <c r="E333" i="11"/>
  <c r="AU332" i="11"/>
  <c r="E332" i="11"/>
  <c r="AU331" i="11"/>
  <c r="E331" i="11"/>
  <c r="AU330" i="11"/>
  <c r="E330" i="11"/>
  <c r="AU329" i="11"/>
  <c r="E329" i="11"/>
  <c r="AU328" i="11"/>
  <c r="E328" i="11"/>
  <c r="AU327" i="11"/>
  <c r="E327" i="11"/>
  <c r="AU326" i="11"/>
  <c r="E326" i="11"/>
  <c r="AU325" i="11"/>
  <c r="E325" i="11"/>
  <c r="AU324" i="11"/>
  <c r="E324" i="11"/>
  <c r="AU323" i="11"/>
  <c r="E323" i="11"/>
  <c r="AU322" i="11"/>
  <c r="E322" i="11"/>
  <c r="AU321" i="11"/>
  <c r="E321" i="11"/>
  <c r="AU320" i="11"/>
  <c r="E320" i="11"/>
  <c r="AU319" i="11"/>
  <c r="E319" i="11"/>
  <c r="AU318" i="11"/>
  <c r="E318" i="11"/>
  <c r="AU317" i="11"/>
  <c r="E317" i="11"/>
  <c r="AU316" i="11"/>
  <c r="E316" i="11"/>
  <c r="AU315" i="11"/>
  <c r="E315" i="11"/>
  <c r="AU314" i="11"/>
  <c r="E314" i="11"/>
  <c r="AU313" i="11"/>
  <c r="E313" i="11"/>
  <c r="AU312" i="11"/>
  <c r="E312" i="11"/>
  <c r="AU311" i="11"/>
  <c r="E311" i="11"/>
  <c r="AU310" i="11"/>
  <c r="E310" i="11"/>
  <c r="AU309" i="11"/>
  <c r="E309" i="11"/>
  <c r="AU308" i="11"/>
  <c r="E308" i="11"/>
  <c r="AU307" i="11"/>
  <c r="E307" i="11"/>
  <c r="AU306" i="11"/>
  <c r="E306" i="11"/>
  <c r="AU305" i="11"/>
  <c r="E305" i="11"/>
  <c r="AU304" i="11"/>
  <c r="E304" i="11"/>
  <c r="AU303" i="11"/>
  <c r="E303" i="11"/>
  <c r="AU302" i="11"/>
  <c r="E302" i="11"/>
  <c r="AU301" i="11"/>
  <c r="E301" i="11"/>
  <c r="AU300" i="11"/>
  <c r="E300" i="11"/>
  <c r="AU299" i="11"/>
  <c r="E299" i="11"/>
  <c r="AU298" i="11"/>
  <c r="E298" i="11"/>
  <c r="AU297" i="11"/>
  <c r="E297" i="11"/>
  <c r="AU296" i="11"/>
  <c r="E296" i="11"/>
  <c r="AU295" i="11"/>
  <c r="E295" i="11"/>
  <c r="AU294" i="11"/>
  <c r="E294" i="11"/>
  <c r="AU293" i="11"/>
  <c r="E293" i="11"/>
  <c r="AU292" i="11"/>
  <c r="E292" i="11"/>
  <c r="AU291" i="11"/>
  <c r="E291" i="11"/>
  <c r="AU290" i="11"/>
  <c r="E290" i="11"/>
  <c r="AU289" i="11"/>
  <c r="E289" i="11"/>
  <c r="AU288" i="11"/>
  <c r="E288" i="11"/>
  <c r="AU287" i="11"/>
  <c r="E287" i="11"/>
  <c r="AU286" i="11"/>
  <c r="E286" i="11"/>
  <c r="AU285" i="11"/>
  <c r="E285" i="11"/>
  <c r="AU284" i="11"/>
  <c r="E284" i="11"/>
  <c r="AU283" i="11"/>
  <c r="E283" i="11"/>
  <c r="AU282" i="11"/>
  <c r="E282" i="11"/>
  <c r="AU281" i="11"/>
  <c r="E281" i="11"/>
  <c r="AU280" i="11"/>
  <c r="E280" i="11"/>
  <c r="AU279" i="11"/>
  <c r="E279" i="11"/>
  <c r="AU278" i="11"/>
  <c r="E278" i="11"/>
  <c r="AU277" i="11"/>
  <c r="E277" i="11"/>
  <c r="AU276" i="11"/>
  <c r="E276" i="11"/>
  <c r="AU275" i="11"/>
  <c r="E275" i="11"/>
  <c r="AU274" i="11"/>
  <c r="E274" i="11"/>
  <c r="AU273" i="11"/>
  <c r="E273" i="11"/>
  <c r="AU272" i="11"/>
  <c r="E272" i="11"/>
  <c r="AU271" i="11"/>
  <c r="E271" i="11"/>
  <c r="AU270" i="11"/>
  <c r="E270" i="11"/>
  <c r="AU269" i="11"/>
  <c r="E269" i="11"/>
  <c r="AU268" i="11"/>
  <c r="E268" i="11"/>
  <c r="AU267" i="11"/>
  <c r="E267" i="11"/>
  <c r="AU266" i="11"/>
  <c r="E266" i="11"/>
  <c r="AU265" i="11"/>
  <c r="E265" i="11"/>
  <c r="AU264" i="11"/>
  <c r="E264" i="11"/>
  <c r="AU263" i="11"/>
  <c r="E263" i="11"/>
  <c r="AU262" i="11"/>
  <c r="E262" i="11"/>
  <c r="AU261" i="11"/>
  <c r="E261" i="11"/>
  <c r="AU260" i="11"/>
  <c r="E260" i="11"/>
  <c r="AU259" i="11"/>
  <c r="E259" i="11"/>
  <c r="AU258" i="11"/>
  <c r="E258" i="11"/>
  <c r="AU257" i="11"/>
  <c r="E257" i="11"/>
  <c r="AU256" i="11"/>
  <c r="E256" i="11"/>
  <c r="AU255" i="11"/>
  <c r="E255" i="11"/>
  <c r="AU254" i="11"/>
  <c r="E254" i="11"/>
  <c r="AU253" i="11"/>
  <c r="E253" i="11"/>
  <c r="AU252" i="11"/>
  <c r="E252" i="11"/>
  <c r="AU251" i="11"/>
  <c r="E251" i="11"/>
  <c r="AU250" i="11"/>
  <c r="E250" i="11"/>
  <c r="AU249" i="11"/>
  <c r="E249" i="11"/>
  <c r="AU248" i="11"/>
  <c r="E248" i="11"/>
  <c r="AU247" i="11"/>
  <c r="E247" i="11"/>
  <c r="AU246" i="11"/>
  <c r="E246" i="11"/>
  <c r="AU245" i="11"/>
  <c r="E245" i="11"/>
  <c r="AU244" i="11"/>
  <c r="E244" i="11"/>
  <c r="AU243" i="11"/>
  <c r="E243" i="11"/>
  <c r="AU242" i="11"/>
  <c r="E242" i="11"/>
  <c r="AU241" i="11"/>
  <c r="E241" i="11"/>
  <c r="AU240" i="11"/>
  <c r="E240" i="11"/>
  <c r="AU239" i="11"/>
  <c r="E239" i="11"/>
  <c r="AU238" i="11"/>
  <c r="E238" i="11"/>
  <c r="AU237" i="11"/>
  <c r="E237" i="11"/>
  <c r="AU236" i="11"/>
  <c r="E236" i="11"/>
  <c r="AU235" i="11"/>
  <c r="E235" i="11"/>
  <c r="AU234" i="11"/>
  <c r="E234" i="11"/>
  <c r="AU233" i="11"/>
  <c r="E233" i="11"/>
  <c r="AU232" i="11"/>
  <c r="E232" i="11"/>
  <c r="AU231" i="11"/>
  <c r="E231" i="11"/>
  <c r="AU230" i="11"/>
  <c r="E230" i="11"/>
  <c r="AU229" i="11"/>
  <c r="E229" i="11"/>
  <c r="AU228" i="11"/>
  <c r="E228" i="11"/>
  <c r="AU227" i="11"/>
  <c r="E227" i="11"/>
  <c r="AU226" i="11"/>
  <c r="E226" i="11"/>
  <c r="AU225" i="11"/>
  <c r="E225" i="11"/>
  <c r="AU224" i="11"/>
  <c r="E224" i="11"/>
  <c r="AU223" i="11"/>
  <c r="E223" i="11"/>
  <c r="AU222" i="11"/>
  <c r="E222" i="11"/>
  <c r="AU221" i="11"/>
  <c r="E221" i="11"/>
  <c r="AU220" i="11"/>
  <c r="E220" i="11"/>
  <c r="AU219" i="11"/>
  <c r="E219" i="11"/>
  <c r="AU218" i="11"/>
  <c r="E218" i="11"/>
  <c r="AU217" i="11"/>
  <c r="E217" i="11"/>
  <c r="AU216" i="11"/>
  <c r="E216" i="11"/>
  <c r="AU215" i="11"/>
  <c r="E215" i="11"/>
  <c r="AU214" i="11"/>
  <c r="E214" i="11"/>
  <c r="AU213" i="11"/>
  <c r="E213" i="11"/>
  <c r="AU212" i="11"/>
  <c r="E212" i="11"/>
  <c r="AU211" i="11"/>
  <c r="E211" i="11"/>
  <c r="AU210" i="11"/>
  <c r="E210" i="11"/>
  <c r="AU209" i="11"/>
  <c r="E209" i="11"/>
  <c r="AU208" i="11"/>
  <c r="E208" i="11"/>
  <c r="AU207" i="11"/>
  <c r="E207" i="11"/>
  <c r="AU206" i="11"/>
  <c r="E206" i="11"/>
  <c r="AU205" i="11"/>
  <c r="E205" i="11"/>
  <c r="AU204" i="11"/>
  <c r="E204" i="11"/>
  <c r="AU203" i="11"/>
  <c r="E203" i="11"/>
  <c r="AU202" i="11"/>
  <c r="E202" i="11"/>
  <c r="AU201" i="11"/>
  <c r="E201" i="11"/>
  <c r="AU200" i="11"/>
  <c r="E200" i="11"/>
  <c r="AU199" i="11"/>
  <c r="E199" i="11"/>
  <c r="AU198" i="11"/>
  <c r="E198" i="11"/>
  <c r="AU197" i="11"/>
  <c r="E197" i="11"/>
  <c r="AU196" i="11"/>
  <c r="E196" i="11"/>
  <c r="AU195" i="11"/>
  <c r="E195" i="11"/>
  <c r="AU194" i="11"/>
  <c r="E194" i="11"/>
  <c r="AU193" i="11"/>
  <c r="E193" i="11"/>
  <c r="AU192" i="11"/>
  <c r="E192" i="11"/>
  <c r="AU191" i="11"/>
  <c r="E191" i="11"/>
  <c r="AU190" i="11"/>
  <c r="E190" i="11"/>
  <c r="AU189" i="11"/>
  <c r="E189" i="11"/>
  <c r="AU188" i="11"/>
  <c r="E188" i="11"/>
  <c r="AU187" i="11"/>
  <c r="E187" i="11"/>
  <c r="AU186" i="11"/>
  <c r="E186" i="11"/>
  <c r="AU185" i="11"/>
  <c r="E185" i="11"/>
  <c r="AU184" i="11"/>
  <c r="E184" i="11"/>
  <c r="AU183" i="11"/>
  <c r="E183" i="11"/>
  <c r="AU182" i="11"/>
  <c r="E182" i="11"/>
  <c r="AU181" i="11"/>
  <c r="E181" i="11"/>
  <c r="AU180" i="11"/>
  <c r="E180" i="11"/>
  <c r="AU179" i="11"/>
  <c r="E179" i="11"/>
  <c r="AU178" i="11"/>
  <c r="E178" i="11"/>
  <c r="AU177" i="11"/>
  <c r="E177" i="11"/>
  <c r="AU176" i="11"/>
  <c r="E176" i="11"/>
  <c r="AU175" i="11"/>
  <c r="E175" i="11"/>
  <c r="AU174" i="11"/>
  <c r="E174" i="11"/>
  <c r="AU173" i="11"/>
  <c r="E173" i="11"/>
  <c r="AU172" i="11"/>
  <c r="E172" i="11"/>
  <c r="AU171" i="11"/>
  <c r="E171" i="11"/>
  <c r="AU170" i="11"/>
  <c r="E170" i="11"/>
  <c r="AU169" i="11"/>
  <c r="E169" i="11"/>
  <c r="AU168" i="11"/>
  <c r="E168" i="11"/>
  <c r="AU167" i="11"/>
  <c r="E167" i="11"/>
  <c r="AU166" i="11"/>
  <c r="E166" i="11"/>
  <c r="AU165" i="11"/>
  <c r="E165" i="11"/>
  <c r="AU164" i="11"/>
  <c r="E164" i="11"/>
  <c r="AU163" i="11"/>
  <c r="E163" i="11"/>
  <c r="AU162" i="11"/>
  <c r="E162" i="11"/>
  <c r="AU161" i="11"/>
  <c r="E161" i="11"/>
  <c r="AU160" i="11"/>
  <c r="E160" i="11"/>
  <c r="AU159" i="11"/>
  <c r="E159" i="11"/>
  <c r="AU158" i="11"/>
  <c r="E158" i="11"/>
  <c r="AU157" i="11"/>
  <c r="E157" i="11"/>
  <c r="AU156" i="11"/>
  <c r="E156" i="11"/>
  <c r="AU155" i="11"/>
  <c r="E155" i="11"/>
  <c r="AU154" i="11"/>
  <c r="E154" i="11"/>
  <c r="AU153" i="11"/>
  <c r="E153" i="11"/>
  <c r="AU152" i="11"/>
  <c r="E152" i="11"/>
  <c r="AU151" i="11"/>
  <c r="E151" i="11"/>
  <c r="AU150" i="11"/>
  <c r="E150" i="11"/>
  <c r="AU149" i="11"/>
  <c r="E149" i="11"/>
  <c r="AU148" i="11"/>
  <c r="E148" i="11"/>
  <c r="AU147" i="11"/>
  <c r="E147" i="11"/>
  <c r="AU146" i="11"/>
  <c r="E146" i="11"/>
  <c r="AU145" i="11"/>
  <c r="E145" i="11"/>
  <c r="AU144" i="11"/>
  <c r="E144" i="11"/>
  <c r="AU143" i="11"/>
  <c r="E143" i="11"/>
  <c r="AU142" i="11"/>
  <c r="E142" i="11"/>
  <c r="AU141" i="11"/>
  <c r="E141" i="11"/>
  <c r="AU140" i="11"/>
  <c r="E140" i="11"/>
  <c r="AU139" i="11"/>
  <c r="E139" i="11"/>
  <c r="AU138" i="11"/>
  <c r="E138" i="11"/>
  <c r="AU137" i="11"/>
  <c r="E137" i="11"/>
  <c r="AU136" i="11"/>
  <c r="E136" i="11"/>
  <c r="AU135" i="11"/>
  <c r="E135" i="11"/>
  <c r="AU134" i="11"/>
  <c r="E134" i="11"/>
  <c r="AU133" i="11"/>
  <c r="E133" i="11"/>
  <c r="AU132" i="11"/>
  <c r="E132" i="11"/>
  <c r="AU131" i="11"/>
  <c r="E131" i="11"/>
  <c r="AU130" i="11"/>
  <c r="E130" i="11"/>
  <c r="AU129" i="11"/>
  <c r="E129" i="11"/>
  <c r="AU128" i="11"/>
  <c r="E128" i="11"/>
  <c r="AU127" i="11"/>
  <c r="E127" i="11"/>
  <c r="AU126" i="11"/>
  <c r="E126" i="11"/>
  <c r="AU125" i="11"/>
  <c r="E125" i="11"/>
  <c r="AU124" i="11"/>
  <c r="E124" i="11"/>
  <c r="AU123" i="11"/>
  <c r="E123" i="11"/>
  <c r="AU122" i="11"/>
  <c r="E122" i="11"/>
  <c r="AU121" i="11"/>
  <c r="E121" i="11"/>
  <c r="AU120" i="11"/>
  <c r="E120" i="11"/>
  <c r="AU119" i="11"/>
  <c r="E119" i="11"/>
  <c r="AU118" i="11"/>
  <c r="E118" i="11"/>
  <c r="AU117" i="11"/>
  <c r="E117" i="11"/>
  <c r="AU116" i="11"/>
  <c r="E116" i="11"/>
  <c r="AU115" i="11"/>
  <c r="E115" i="11"/>
  <c r="AU114" i="11"/>
  <c r="E114" i="11"/>
  <c r="AU113" i="11"/>
  <c r="E113" i="11"/>
  <c r="AU112" i="11"/>
  <c r="E112" i="11"/>
  <c r="AU111" i="11"/>
  <c r="E111" i="11"/>
  <c r="AU110" i="11"/>
  <c r="E110" i="11"/>
  <c r="AU109" i="11"/>
  <c r="E109" i="11"/>
  <c r="AU108" i="11"/>
  <c r="E108" i="11"/>
  <c r="AU107" i="11"/>
  <c r="E107" i="11"/>
  <c r="AU106" i="11"/>
  <c r="E106" i="11"/>
  <c r="AU105" i="11"/>
  <c r="E105" i="11"/>
  <c r="AU104" i="11"/>
  <c r="E104" i="11"/>
  <c r="AU103" i="11"/>
  <c r="E103" i="11"/>
  <c r="AU102" i="11"/>
  <c r="E102" i="11"/>
  <c r="AU101" i="11"/>
  <c r="E101" i="11"/>
  <c r="AU100" i="11"/>
  <c r="E100" i="11"/>
  <c r="AU99" i="11"/>
  <c r="E99" i="11"/>
  <c r="AU98" i="11"/>
  <c r="E98" i="11"/>
  <c r="AU97" i="11"/>
  <c r="E97" i="11"/>
  <c r="AU96" i="11"/>
  <c r="E96" i="11"/>
  <c r="AU95" i="11"/>
  <c r="E95" i="11"/>
  <c r="AU94" i="11"/>
  <c r="E94" i="11"/>
  <c r="AU93" i="11"/>
  <c r="E93" i="11"/>
  <c r="AU92" i="11"/>
  <c r="E92" i="11"/>
  <c r="AU91" i="11"/>
  <c r="E91" i="11"/>
  <c r="AU90" i="11"/>
  <c r="E90" i="11"/>
  <c r="AU89" i="11"/>
  <c r="E89" i="11"/>
  <c r="AU88" i="11"/>
  <c r="E88" i="11"/>
  <c r="AU87" i="11"/>
  <c r="E87" i="11"/>
  <c r="AU86" i="11"/>
  <c r="E86" i="11"/>
  <c r="AU85" i="11"/>
  <c r="E85" i="11"/>
  <c r="AU84" i="11"/>
  <c r="E84" i="11"/>
  <c r="AU83" i="11"/>
  <c r="E83" i="11"/>
  <c r="AU82" i="11"/>
  <c r="E82" i="11"/>
  <c r="AU81" i="11"/>
  <c r="E81" i="11"/>
  <c r="AU80" i="11"/>
  <c r="E80" i="11"/>
  <c r="AU79" i="11"/>
  <c r="E79" i="11"/>
  <c r="AU78" i="11"/>
  <c r="E78" i="11"/>
  <c r="AU77" i="11"/>
  <c r="E77" i="11"/>
  <c r="AU76" i="11"/>
  <c r="E76" i="11"/>
  <c r="AU75" i="11"/>
  <c r="E75" i="11"/>
  <c r="AU74" i="11"/>
  <c r="E74" i="11"/>
  <c r="AU73" i="11"/>
  <c r="E73" i="11"/>
  <c r="AU72" i="11"/>
  <c r="E72" i="11"/>
  <c r="AU71" i="11"/>
  <c r="E71" i="11"/>
  <c r="AU70" i="11"/>
  <c r="E70" i="11"/>
  <c r="AU69" i="11"/>
  <c r="E69" i="11"/>
  <c r="AU68" i="11"/>
  <c r="E68" i="11"/>
  <c r="AU67" i="11"/>
  <c r="E67" i="11"/>
  <c r="AU66" i="11"/>
  <c r="E66" i="11"/>
  <c r="AU65" i="11"/>
  <c r="E65" i="11"/>
  <c r="AU64" i="11"/>
  <c r="E64" i="11"/>
  <c r="AU63" i="11"/>
  <c r="E63" i="11"/>
  <c r="AU62" i="11"/>
  <c r="E62" i="11"/>
  <c r="AU61" i="11"/>
  <c r="E61" i="11"/>
  <c r="AU60" i="11"/>
  <c r="E60" i="11"/>
  <c r="AU59" i="11"/>
  <c r="E59" i="11"/>
  <c r="AU58" i="11"/>
  <c r="E58" i="11"/>
  <c r="AU57" i="11"/>
  <c r="E57" i="11"/>
  <c r="AU56" i="11"/>
  <c r="E56" i="11"/>
  <c r="AU55" i="11"/>
  <c r="E55" i="11"/>
  <c r="AU54" i="11"/>
  <c r="E54" i="11"/>
  <c r="AU53" i="11"/>
  <c r="E53" i="11"/>
  <c r="AU52" i="11"/>
  <c r="E52" i="11"/>
  <c r="AU51" i="11"/>
  <c r="E51" i="11"/>
  <c r="AU50" i="11"/>
  <c r="E50" i="11"/>
  <c r="AU49" i="11"/>
  <c r="E49" i="11"/>
  <c r="AU48" i="11"/>
  <c r="E48" i="11"/>
  <c r="AU47" i="11"/>
  <c r="E47" i="11"/>
  <c r="AU46" i="11"/>
  <c r="E46" i="11"/>
  <c r="AU45" i="11"/>
  <c r="E45" i="11"/>
  <c r="AU44" i="11"/>
  <c r="E44" i="11"/>
  <c r="AU43" i="11"/>
  <c r="E43" i="11"/>
  <c r="AU42" i="11"/>
  <c r="E42" i="11"/>
  <c r="AU41" i="11"/>
  <c r="E41" i="11"/>
  <c r="AU40" i="11"/>
  <c r="E40" i="11"/>
  <c r="AU39" i="11"/>
  <c r="E39" i="11"/>
  <c r="AU38" i="11"/>
  <c r="E38" i="11"/>
  <c r="AU37" i="11"/>
  <c r="E37" i="11"/>
  <c r="AU36" i="11"/>
  <c r="E36" i="11"/>
  <c r="AU35" i="11"/>
  <c r="E35" i="11"/>
  <c r="AU34" i="11"/>
  <c r="E34" i="11"/>
  <c r="AU33" i="11"/>
  <c r="E33" i="11"/>
  <c r="AU32" i="11"/>
  <c r="E32" i="11"/>
  <c r="AU31" i="11"/>
  <c r="E31" i="11"/>
  <c r="AU30" i="11"/>
  <c r="E30" i="11"/>
  <c r="AU29" i="11"/>
  <c r="E29" i="11"/>
  <c r="AU28" i="11"/>
  <c r="E28" i="11"/>
  <c r="AU27" i="11"/>
  <c r="E27" i="11"/>
  <c r="AU26" i="11"/>
  <c r="E26" i="11"/>
  <c r="AU25" i="11"/>
  <c r="E25" i="11"/>
  <c r="AU24" i="11"/>
  <c r="E24" i="11"/>
  <c r="AU23" i="11"/>
  <c r="E23" i="11"/>
  <c r="AU22" i="11"/>
  <c r="E22" i="11"/>
  <c r="AU21" i="11"/>
  <c r="E21" i="11"/>
  <c r="AU20" i="11"/>
  <c r="E20" i="11"/>
  <c r="AU19" i="11"/>
  <c r="E19" i="11"/>
  <c r="AU18" i="11"/>
  <c r="E18" i="11"/>
  <c r="AU17" i="11"/>
  <c r="E17" i="11"/>
  <c r="AU16" i="11"/>
  <c r="E16" i="11"/>
  <c r="AU15" i="11"/>
  <c r="E15" i="11"/>
  <c r="AU14" i="11"/>
  <c r="E14" i="11"/>
  <c r="E13" i="11"/>
  <c r="AU12" i="11"/>
  <c r="E12" i="11"/>
  <c r="AU11" i="11"/>
  <c r="E11" i="11"/>
  <c r="AU10" i="11"/>
  <c r="E10" i="11"/>
  <c r="AU9" i="11"/>
  <c r="E9" i="11"/>
  <c r="AU8" i="11"/>
  <c r="E8" i="11"/>
  <c r="AU7" i="11"/>
  <c r="E7" i="11"/>
  <c r="AU6" i="11"/>
  <c r="E6" i="11"/>
  <c r="AU5" i="11"/>
  <c r="E5" i="11"/>
  <c r="AU4" i="11"/>
  <c r="E4" i="11"/>
  <c r="AU3" i="11"/>
  <c r="E3" i="11"/>
  <c r="AU2" i="11"/>
  <c r="E2" i="11"/>
  <c r="AV22" i="9"/>
  <c r="AV3" i="9"/>
  <c r="AV4" i="9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3" i="9"/>
  <c r="AV24" i="9"/>
  <c r="AV25" i="9"/>
  <c r="AV26" i="9"/>
  <c r="AV27" i="9"/>
  <c r="AV28" i="9"/>
  <c r="AV29" i="9"/>
  <c r="AV30" i="9"/>
  <c r="AV31" i="9"/>
  <c r="AV32" i="9"/>
  <c r="AV33" i="9"/>
  <c r="AV34" i="9"/>
  <c r="AV35" i="9"/>
  <c r="AV36" i="9"/>
  <c r="AV37" i="9"/>
  <c r="AV38" i="9"/>
  <c r="AV39" i="9"/>
  <c r="AV40" i="9"/>
  <c r="AV41" i="9"/>
  <c r="AV42" i="9"/>
  <c r="AV43" i="9"/>
  <c r="AV44" i="9"/>
  <c r="AV45" i="9"/>
  <c r="AV46" i="9"/>
  <c r="AV47" i="9"/>
  <c r="AV48" i="9"/>
  <c r="AV49" i="9"/>
  <c r="AV50" i="9"/>
  <c r="AV51" i="9"/>
  <c r="AV52" i="9"/>
  <c r="AV53" i="9"/>
  <c r="AV54" i="9"/>
  <c r="AV55" i="9"/>
  <c r="AV56" i="9"/>
  <c r="AV57" i="9"/>
  <c r="AV58" i="9"/>
  <c r="AV59" i="9"/>
  <c r="AV60" i="9"/>
  <c r="AV61" i="9"/>
  <c r="AV62" i="9"/>
  <c r="AV63" i="9"/>
  <c r="AV64" i="9"/>
  <c r="AV65" i="9"/>
  <c r="AV66" i="9"/>
  <c r="AV67" i="9"/>
  <c r="AV68" i="9"/>
  <c r="AV69" i="9"/>
  <c r="AV70" i="9"/>
  <c r="AV71" i="9"/>
  <c r="AV72" i="9"/>
  <c r="AV73" i="9"/>
  <c r="AV74" i="9"/>
  <c r="AV75" i="9"/>
  <c r="AV76" i="9"/>
  <c r="AV77" i="9"/>
  <c r="AV78" i="9"/>
  <c r="AV79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93" i="9"/>
  <c r="AV94" i="9"/>
  <c r="AV95" i="9"/>
  <c r="AV96" i="9"/>
  <c r="AV97" i="9"/>
  <c r="AV98" i="9"/>
  <c r="AV99" i="9"/>
  <c r="AV100" i="9"/>
  <c r="AV101" i="9"/>
  <c r="AV2" i="9"/>
  <c r="E24" i="9"/>
  <c r="E86" i="9"/>
  <c r="E15" i="9"/>
  <c r="E40" i="9"/>
  <c r="E14" i="9"/>
  <c r="E61" i="9"/>
  <c r="E66" i="9"/>
  <c r="E50" i="9"/>
  <c r="E45" i="9"/>
  <c r="E75" i="9"/>
  <c r="E49" i="9"/>
  <c r="E63" i="9"/>
  <c r="E68" i="9"/>
  <c r="E62" i="9"/>
  <c r="E57" i="9"/>
  <c r="E60" i="9"/>
  <c r="E27" i="9"/>
  <c r="E19" i="9"/>
  <c r="E72" i="9"/>
  <c r="E5" i="9"/>
  <c r="E94" i="9"/>
  <c r="E82" i="9"/>
  <c r="E16" i="9"/>
  <c r="E35" i="9"/>
  <c r="E95" i="9"/>
  <c r="E17" i="9"/>
  <c r="E26" i="9"/>
  <c r="E39" i="9"/>
  <c r="E37" i="9"/>
  <c r="E80" i="9"/>
  <c r="E83" i="9"/>
  <c r="E28" i="9"/>
  <c r="E56" i="9"/>
  <c r="E7" i="9"/>
  <c r="E101" i="9"/>
  <c r="E22" i="9"/>
  <c r="E67" i="9"/>
  <c r="E25" i="9"/>
  <c r="E79" i="9"/>
  <c r="E48" i="9"/>
  <c r="E47" i="9"/>
  <c r="E8" i="9"/>
  <c r="E71" i="9"/>
  <c r="E76" i="9"/>
  <c r="E12" i="9"/>
  <c r="E81" i="9"/>
  <c r="E73" i="9"/>
  <c r="E29" i="9"/>
  <c r="E77" i="9"/>
  <c r="E20" i="9"/>
  <c r="E36" i="9"/>
  <c r="E84" i="9"/>
  <c r="E51" i="9"/>
  <c r="E38" i="9"/>
  <c r="E6" i="9"/>
  <c r="E99" i="9"/>
  <c r="E74" i="9"/>
  <c r="E78" i="9"/>
  <c r="E3" i="9"/>
  <c r="E10" i="9"/>
  <c r="E53" i="9"/>
  <c r="E87" i="9"/>
  <c r="E58" i="9"/>
  <c r="E21" i="9"/>
  <c r="E89" i="9"/>
  <c r="E13" i="9"/>
  <c r="E92" i="9"/>
  <c r="E65" i="9"/>
  <c r="E34" i="9"/>
  <c r="E55" i="9"/>
  <c r="E18" i="9"/>
  <c r="E70" i="9"/>
  <c r="E98" i="9"/>
  <c r="E41" i="9"/>
  <c r="E42" i="9"/>
  <c r="E54" i="9"/>
  <c r="E93" i="9"/>
  <c r="E91" i="9"/>
  <c r="E46" i="9"/>
  <c r="E43" i="9"/>
  <c r="E9" i="9"/>
  <c r="E11" i="9"/>
  <c r="E33" i="9"/>
  <c r="E64" i="9"/>
  <c r="E90" i="9"/>
  <c r="E44" i="9"/>
  <c r="E23" i="9"/>
  <c r="E100" i="9"/>
  <c r="E32" i="9"/>
  <c r="E97" i="9"/>
  <c r="E96" i="9"/>
  <c r="E4" i="9"/>
  <c r="E30" i="9"/>
  <c r="E52" i="9"/>
  <c r="E31" i="9"/>
  <c r="E85" i="9"/>
  <c r="E88" i="9"/>
  <c r="E2" i="9"/>
  <c r="E59" i="9"/>
  <c r="E69" i="9"/>
  <c r="H24" i="9"/>
  <c r="H86" i="9"/>
  <c r="H15" i="9"/>
  <c r="H40" i="9"/>
  <c r="H14" i="9"/>
  <c r="H61" i="9"/>
  <c r="H66" i="9"/>
  <c r="H50" i="9"/>
  <c r="H45" i="9"/>
  <c r="H75" i="9"/>
  <c r="H49" i="9"/>
  <c r="H63" i="9"/>
  <c r="H68" i="9"/>
  <c r="H62" i="9"/>
  <c r="H57" i="9"/>
  <c r="H60" i="9"/>
  <c r="H27" i="9"/>
  <c r="H19" i="9"/>
  <c r="H72" i="9"/>
  <c r="H5" i="9"/>
  <c r="H94" i="9"/>
  <c r="H82" i="9"/>
  <c r="H16" i="9"/>
  <c r="H35" i="9"/>
  <c r="H95" i="9"/>
  <c r="H17" i="9"/>
  <c r="H26" i="9"/>
  <c r="H39" i="9"/>
  <c r="H37" i="9"/>
  <c r="H80" i="9"/>
  <c r="H83" i="9"/>
  <c r="H28" i="9"/>
  <c r="H56" i="9"/>
  <c r="H7" i="9"/>
  <c r="H101" i="9"/>
  <c r="H22" i="9"/>
  <c r="H67" i="9"/>
  <c r="H25" i="9"/>
  <c r="H79" i="9"/>
  <c r="H48" i="9"/>
  <c r="H47" i="9"/>
  <c r="H8" i="9"/>
  <c r="H71" i="9"/>
  <c r="H76" i="9"/>
  <c r="H12" i="9"/>
  <c r="H81" i="9"/>
  <c r="H73" i="9"/>
  <c r="H29" i="9"/>
  <c r="H77" i="9"/>
  <c r="H20" i="9"/>
  <c r="H36" i="9"/>
  <c r="H84" i="9"/>
  <c r="H51" i="9"/>
  <c r="H38" i="9"/>
  <c r="H6" i="9"/>
  <c r="H99" i="9"/>
  <c r="H74" i="9"/>
  <c r="H78" i="9"/>
  <c r="H3" i="9"/>
  <c r="H10" i="9"/>
  <c r="H53" i="9"/>
  <c r="H87" i="9"/>
  <c r="H58" i="9"/>
  <c r="H21" i="9"/>
  <c r="H89" i="9"/>
  <c r="H13" i="9"/>
  <c r="H92" i="9"/>
  <c r="H65" i="9"/>
  <c r="H34" i="9"/>
  <c r="H55" i="9"/>
  <c r="H18" i="9"/>
  <c r="H70" i="9"/>
  <c r="H98" i="9"/>
  <c r="H41" i="9"/>
  <c r="H42" i="9"/>
  <c r="H54" i="9"/>
  <c r="H93" i="9"/>
  <c r="H91" i="9"/>
  <c r="H46" i="9"/>
  <c r="H43" i="9"/>
  <c r="H9" i="9"/>
  <c r="H11" i="9"/>
  <c r="H33" i="9"/>
  <c r="H64" i="9"/>
  <c r="H90" i="9"/>
  <c r="H44" i="9"/>
  <c r="H23" i="9"/>
  <c r="H100" i="9"/>
  <c r="H32" i="9"/>
  <c r="H97" i="9"/>
  <c r="H96" i="9"/>
  <c r="H4" i="9"/>
  <c r="H30" i="9"/>
  <c r="H52" i="9"/>
  <c r="H31" i="9"/>
  <c r="H85" i="9"/>
  <c r="H88" i="9"/>
  <c r="H2" i="9"/>
  <c r="H59" i="9"/>
  <c r="H69" i="9"/>
  <c r="AV460" i="6"/>
  <c r="AV445" i="6"/>
  <c r="AV312" i="6"/>
  <c r="AV311" i="6"/>
  <c r="AV310" i="6"/>
  <c r="AV313" i="6"/>
  <c r="AV267" i="6"/>
  <c r="C463" i="6"/>
  <c r="C464" i="6" s="1"/>
  <c r="AV30" i="6"/>
  <c r="AV9" i="6"/>
  <c r="AV8" i="6"/>
  <c r="E10" i="6"/>
  <c r="E6" i="6"/>
  <c r="E11" i="6"/>
  <c r="E2" i="6"/>
  <c r="E12" i="6"/>
  <c r="E13" i="6"/>
  <c r="E7" i="6"/>
  <c r="E8" i="6"/>
  <c r="E9" i="6"/>
  <c r="E3" i="6"/>
  <c r="E14" i="6"/>
  <c r="E15" i="6"/>
  <c r="E4" i="6"/>
  <c r="E16" i="6"/>
  <c r="E17" i="6"/>
  <c r="E22" i="6"/>
  <c r="E18" i="6"/>
  <c r="E23" i="6"/>
  <c r="E19" i="6"/>
  <c r="E24" i="6"/>
  <c r="E25" i="6"/>
  <c r="E26" i="6"/>
  <c r="E20" i="6"/>
  <c r="E21" i="6"/>
  <c r="E27" i="6"/>
  <c r="E28" i="6"/>
  <c r="E29" i="6"/>
  <c r="E30" i="6"/>
  <c r="E31" i="6"/>
  <c r="E32" i="6"/>
  <c r="E33" i="6"/>
  <c r="E35" i="6"/>
  <c r="E36" i="6"/>
  <c r="E37" i="6"/>
  <c r="E34" i="6"/>
  <c r="E38" i="6"/>
  <c r="E39" i="6"/>
  <c r="E40" i="6"/>
  <c r="E41" i="6"/>
  <c r="E42" i="6"/>
  <c r="E44" i="6"/>
  <c r="E45" i="6"/>
  <c r="E43" i="6"/>
  <c r="E46" i="6"/>
  <c r="E53" i="6"/>
  <c r="E47" i="6"/>
  <c r="E54" i="6"/>
  <c r="E48" i="6"/>
  <c r="E55" i="6"/>
  <c r="E56" i="6"/>
  <c r="E57" i="6"/>
  <c r="E49" i="6"/>
  <c r="E50" i="6"/>
  <c r="E51" i="6"/>
  <c r="E52" i="6"/>
  <c r="E58" i="6"/>
  <c r="E59" i="6"/>
  <c r="E60" i="6"/>
  <c r="E61" i="6"/>
  <c r="E62" i="6"/>
  <c r="E65" i="6"/>
  <c r="E66" i="6"/>
  <c r="E67" i="6"/>
  <c r="E74" i="6"/>
  <c r="E68" i="6"/>
  <c r="E75" i="6"/>
  <c r="E76" i="6"/>
  <c r="E69" i="6"/>
  <c r="E77" i="6"/>
  <c r="E63" i="6"/>
  <c r="E70" i="6"/>
  <c r="E71" i="6"/>
  <c r="E72" i="6"/>
  <c r="E78" i="6"/>
  <c r="E64" i="6"/>
  <c r="E79" i="6"/>
  <c r="E73" i="6"/>
  <c r="E80" i="6"/>
  <c r="E81" i="6"/>
  <c r="E82" i="6"/>
  <c r="E83" i="6"/>
  <c r="E84" i="6"/>
  <c r="E91" i="6"/>
  <c r="E85" i="6"/>
  <c r="E92" i="6"/>
  <c r="E86" i="6"/>
  <c r="E93" i="6"/>
  <c r="E94" i="6"/>
  <c r="E95" i="6"/>
  <c r="E87" i="6"/>
  <c r="E88" i="6"/>
  <c r="E89" i="6"/>
  <c r="E90" i="6"/>
  <c r="E96" i="6"/>
  <c r="E97" i="6"/>
  <c r="E98" i="6"/>
  <c r="E99" i="6"/>
  <c r="E102" i="6"/>
  <c r="E100" i="6"/>
  <c r="E103" i="6"/>
  <c r="E101" i="6"/>
  <c r="E104" i="6"/>
  <c r="E111" i="6"/>
  <c r="E112" i="6"/>
  <c r="E113" i="6"/>
  <c r="E105" i="6"/>
  <c r="E114" i="6"/>
  <c r="E106" i="6"/>
  <c r="E107" i="6"/>
  <c r="E108" i="6"/>
  <c r="E109" i="6"/>
  <c r="E115" i="6"/>
  <c r="E116" i="6"/>
  <c r="E117" i="6"/>
  <c r="E118" i="6"/>
  <c r="E110" i="6"/>
  <c r="E119" i="6"/>
  <c r="E120" i="6"/>
  <c r="E121" i="6"/>
  <c r="E122" i="6"/>
  <c r="E124" i="6"/>
  <c r="E125" i="6"/>
  <c r="E126" i="6"/>
  <c r="E127" i="6"/>
  <c r="E128" i="6"/>
  <c r="E129" i="6"/>
  <c r="E137" i="6"/>
  <c r="E138" i="6"/>
  <c r="E139" i="6"/>
  <c r="E130" i="6"/>
  <c r="E140" i="6"/>
  <c r="E141" i="6"/>
  <c r="E131" i="6"/>
  <c r="E142" i="6"/>
  <c r="E132" i="6"/>
  <c r="E133" i="6"/>
  <c r="E134" i="6"/>
  <c r="E143" i="6"/>
  <c r="E144" i="6"/>
  <c r="E145" i="6"/>
  <c r="E146" i="6"/>
  <c r="E147" i="6"/>
  <c r="E135" i="6"/>
  <c r="E136" i="6"/>
  <c r="E148" i="6"/>
  <c r="E123" i="6"/>
  <c r="E149" i="6"/>
  <c r="E150" i="6"/>
  <c r="E151" i="6"/>
  <c r="E156" i="6"/>
  <c r="E152" i="6"/>
  <c r="E157" i="6"/>
  <c r="E153" i="6"/>
  <c r="E158" i="6"/>
  <c r="E159" i="6"/>
  <c r="E160" i="6"/>
  <c r="E154" i="6"/>
  <c r="E155" i="6"/>
  <c r="E161" i="6"/>
  <c r="E162" i="6"/>
  <c r="E163" i="6"/>
  <c r="E164" i="6"/>
  <c r="E165" i="6"/>
  <c r="E166" i="6"/>
  <c r="E167" i="6"/>
  <c r="E168" i="6"/>
  <c r="E177" i="6"/>
  <c r="E169" i="6"/>
  <c r="E170" i="6"/>
  <c r="E178" i="6"/>
  <c r="E171" i="6"/>
  <c r="E179" i="6"/>
  <c r="E172" i="6"/>
  <c r="E173" i="6"/>
  <c r="E174" i="6"/>
  <c r="E175" i="6"/>
  <c r="E180" i="6"/>
  <c r="E181" i="6"/>
  <c r="E182" i="6"/>
  <c r="E183" i="6"/>
  <c r="E176" i="6"/>
  <c r="E184" i="6"/>
  <c r="E185" i="6"/>
  <c r="E186" i="6"/>
  <c r="E187" i="6"/>
  <c r="E188" i="6"/>
  <c r="E189" i="6"/>
  <c r="E190" i="6"/>
  <c r="E191" i="6"/>
  <c r="E192" i="6"/>
  <c r="E193" i="6"/>
  <c r="E200" i="6"/>
  <c r="E201" i="6"/>
  <c r="E202" i="6"/>
  <c r="E194" i="6"/>
  <c r="E203" i="6"/>
  <c r="E195" i="6"/>
  <c r="E204" i="6"/>
  <c r="E196" i="6"/>
  <c r="E197" i="6"/>
  <c r="E198" i="6"/>
  <c r="E205" i="6"/>
  <c r="E206" i="6"/>
  <c r="E207" i="6"/>
  <c r="E208" i="6"/>
  <c r="E209" i="6"/>
  <c r="E199" i="6"/>
  <c r="E210" i="6"/>
  <c r="E211" i="6"/>
  <c r="E212" i="6"/>
  <c r="E213" i="6"/>
  <c r="E214" i="6"/>
  <c r="E221" i="6"/>
  <c r="E215" i="6"/>
  <c r="E222" i="6"/>
  <c r="E216" i="6"/>
  <c r="E223" i="6"/>
  <c r="E224" i="6"/>
  <c r="E217" i="6"/>
  <c r="E218" i="6"/>
  <c r="E219" i="6"/>
  <c r="E220" i="6"/>
  <c r="E225" i="6"/>
  <c r="E226" i="6"/>
  <c r="E227" i="6"/>
  <c r="E228" i="6"/>
  <c r="E229" i="6"/>
  <c r="E230" i="6"/>
  <c r="E231" i="6"/>
  <c r="E232" i="6"/>
  <c r="E233" i="6"/>
  <c r="E234" i="6"/>
  <c r="E246" i="6"/>
  <c r="E247" i="6"/>
  <c r="E248" i="6"/>
  <c r="E249" i="6"/>
  <c r="E235" i="6"/>
  <c r="E236" i="6"/>
  <c r="E250" i="6"/>
  <c r="E237" i="6"/>
  <c r="E251" i="6"/>
  <c r="E238" i="6"/>
  <c r="E252" i="6"/>
  <c r="E239" i="6"/>
  <c r="E240" i="6"/>
  <c r="E253" i="6"/>
  <c r="E254" i="6"/>
  <c r="E255" i="6"/>
  <c r="E256" i="6"/>
  <c r="E257" i="6"/>
  <c r="E258" i="6"/>
  <c r="E241" i="6"/>
  <c r="E242" i="6"/>
  <c r="E243" i="6"/>
  <c r="E244" i="6"/>
  <c r="E245" i="6"/>
  <c r="E259" i="6"/>
  <c r="E260" i="6"/>
  <c r="E261" i="6"/>
  <c r="E262" i="6"/>
  <c r="E264" i="6"/>
  <c r="E265" i="6"/>
  <c r="E263" i="6"/>
  <c r="E266" i="6"/>
  <c r="E267" i="6"/>
  <c r="E268" i="6"/>
  <c r="E269" i="6"/>
  <c r="E270" i="6"/>
  <c r="E276" i="6"/>
  <c r="E271" i="6"/>
  <c r="E277" i="6"/>
  <c r="E272" i="6"/>
  <c r="E278" i="6"/>
  <c r="E279" i="6"/>
  <c r="E273" i="6"/>
  <c r="E274" i="6"/>
  <c r="E275" i="6"/>
  <c r="E280" i="6"/>
  <c r="E281" i="6"/>
  <c r="E282" i="6"/>
  <c r="E283" i="6"/>
  <c r="E284" i="6"/>
  <c r="E285" i="6"/>
  <c r="E286" i="6"/>
  <c r="E287" i="6"/>
  <c r="E288" i="6"/>
  <c r="E289" i="6"/>
  <c r="E290" i="6"/>
  <c r="E296" i="6"/>
  <c r="E291" i="6"/>
  <c r="E297" i="6"/>
  <c r="E292" i="6"/>
  <c r="E298" i="6"/>
  <c r="E299" i="6"/>
  <c r="E300" i="6"/>
  <c r="E301" i="6"/>
  <c r="E293" i="6"/>
  <c r="E294" i="6"/>
  <c r="E295" i="6"/>
  <c r="E302" i="6"/>
  <c r="E303" i="6"/>
  <c r="E304" i="6"/>
  <c r="E305" i="6"/>
  <c r="E306" i="6"/>
  <c r="E307" i="6"/>
  <c r="E308" i="6"/>
  <c r="E309" i="6"/>
  <c r="E313" i="6"/>
  <c r="E310" i="6"/>
  <c r="E311" i="6"/>
  <c r="E314" i="6"/>
  <c r="E315" i="6"/>
  <c r="E316" i="6"/>
  <c r="E312" i="6"/>
  <c r="E317" i="6"/>
  <c r="E318" i="6"/>
  <c r="E319" i="6"/>
  <c r="E320" i="6"/>
  <c r="E321" i="6"/>
  <c r="E329" i="6"/>
  <c r="E322" i="6"/>
  <c r="E330" i="6"/>
  <c r="E331" i="6"/>
  <c r="E323" i="6"/>
  <c r="E332" i="6"/>
  <c r="E324" i="6"/>
  <c r="E325" i="6"/>
  <c r="E326" i="6"/>
  <c r="E327" i="6"/>
  <c r="E333" i="6"/>
  <c r="E334" i="6"/>
  <c r="E335" i="6"/>
  <c r="E336" i="6"/>
  <c r="E328" i="6"/>
  <c r="E337" i="6"/>
  <c r="E338" i="6"/>
  <c r="E339" i="6"/>
  <c r="E340" i="6"/>
  <c r="E341" i="6"/>
  <c r="E348" i="6"/>
  <c r="E342" i="6"/>
  <c r="E349" i="6"/>
  <c r="E343" i="6"/>
  <c r="E350" i="6"/>
  <c r="E351" i="6"/>
  <c r="E352" i="6"/>
  <c r="E344" i="6"/>
  <c r="E345" i="6"/>
  <c r="E346" i="6"/>
  <c r="E347" i="6"/>
  <c r="E353" i="6"/>
  <c r="E354" i="6"/>
  <c r="E355" i="6"/>
  <c r="E356" i="6"/>
  <c r="E357" i="6"/>
  <c r="E359" i="6"/>
  <c r="E362" i="6"/>
  <c r="E358" i="6"/>
  <c r="E363" i="6"/>
  <c r="E360" i="6"/>
  <c r="E364" i="6"/>
  <c r="E365" i="6"/>
  <c r="E366" i="6"/>
  <c r="E367" i="6"/>
  <c r="E361" i="6"/>
  <c r="E368" i="6"/>
  <c r="E369" i="6"/>
  <c r="E370" i="6"/>
  <c r="E376" i="6"/>
  <c r="E371" i="6"/>
  <c r="E377" i="6"/>
  <c r="E372" i="6"/>
  <c r="E378" i="6"/>
  <c r="E379" i="6"/>
  <c r="E380" i="6"/>
  <c r="E373" i="6"/>
  <c r="E374" i="6"/>
  <c r="E375" i="6"/>
  <c r="E381" i="6"/>
  <c r="E382" i="6"/>
  <c r="E383" i="6"/>
  <c r="E384" i="6"/>
  <c r="E385" i="6"/>
  <c r="E386" i="6"/>
  <c r="E387" i="6"/>
  <c r="E394" i="6"/>
  <c r="E388" i="6"/>
  <c r="E395" i="6"/>
  <c r="E389" i="6"/>
  <c r="E396" i="6"/>
  <c r="E397" i="6"/>
  <c r="E390" i="6"/>
  <c r="E391" i="6"/>
  <c r="E392" i="6"/>
  <c r="E393" i="6"/>
  <c r="E398" i="6"/>
  <c r="E399" i="6"/>
  <c r="E406" i="6"/>
  <c r="E400" i="6"/>
  <c r="E407" i="6"/>
  <c r="E401" i="6"/>
  <c r="E408" i="6"/>
  <c r="E409" i="6"/>
  <c r="E410" i="6"/>
  <c r="E402" i="6"/>
  <c r="E403" i="6"/>
  <c r="E404" i="6"/>
  <c r="E405" i="6"/>
  <c r="E411" i="6"/>
  <c r="E412" i="6"/>
  <c r="E413" i="6"/>
  <c r="E414" i="6"/>
  <c r="E417" i="6"/>
  <c r="E415" i="6"/>
  <c r="E416" i="6"/>
  <c r="E418" i="6"/>
  <c r="E419" i="6"/>
  <c r="E420" i="6"/>
  <c r="E421" i="6"/>
  <c r="E422" i="6"/>
  <c r="E427" i="6"/>
  <c r="E423" i="6"/>
  <c r="E424" i="6"/>
  <c r="E428" i="6"/>
  <c r="E429" i="6"/>
  <c r="E430" i="6"/>
  <c r="E425" i="6"/>
  <c r="E426" i="6"/>
  <c r="E431" i="6"/>
  <c r="E432" i="6"/>
  <c r="E433" i="6"/>
  <c r="E442" i="6"/>
  <c r="E434" i="6"/>
  <c r="E443" i="6"/>
  <c r="E435" i="6"/>
  <c r="E444" i="6"/>
  <c r="E445" i="6"/>
  <c r="E436" i="6"/>
  <c r="E446" i="6"/>
  <c r="E437" i="6"/>
  <c r="E438" i="6"/>
  <c r="E439" i="6"/>
  <c r="E440" i="6"/>
  <c r="E447" i="6"/>
  <c r="E448" i="6"/>
  <c r="E441" i="6"/>
  <c r="E449" i="6"/>
  <c r="E450" i="6"/>
  <c r="E451" i="6"/>
  <c r="E454" i="6"/>
  <c r="E452" i="6"/>
  <c r="E453" i="6"/>
  <c r="E455" i="6"/>
  <c r="E456" i="6"/>
  <c r="E457" i="6"/>
  <c r="E458" i="6"/>
  <c r="E459" i="6"/>
  <c r="E460" i="6"/>
  <c r="E5" i="6"/>
  <c r="AV10" i="6"/>
  <c r="AV6" i="6"/>
  <c r="AV11" i="6"/>
  <c r="AV2" i="6"/>
  <c r="AV12" i="6"/>
  <c r="AV7" i="6"/>
  <c r="AV3" i="6"/>
  <c r="AV14" i="6"/>
  <c r="AV15" i="6"/>
  <c r="AV4" i="6"/>
  <c r="AV16" i="6"/>
  <c r="AV17" i="6"/>
  <c r="AV22" i="6"/>
  <c r="AV18" i="6"/>
  <c r="AV23" i="6"/>
  <c r="AV19" i="6"/>
  <c r="AV24" i="6"/>
  <c r="AV25" i="6"/>
  <c r="AV26" i="6"/>
  <c r="AV20" i="6"/>
  <c r="AV21" i="6"/>
  <c r="AV27" i="6"/>
  <c r="AV28" i="6"/>
  <c r="AV29" i="6"/>
  <c r="AV31" i="6"/>
  <c r="AV32" i="6"/>
  <c r="AV33" i="6"/>
  <c r="AV35" i="6"/>
  <c r="AV36" i="6"/>
  <c r="AV37" i="6"/>
  <c r="AV34" i="6"/>
  <c r="AV38" i="6"/>
  <c r="AV39" i="6"/>
  <c r="AV40" i="6"/>
  <c r="AV41" i="6"/>
  <c r="AV42" i="6"/>
  <c r="AV44" i="6"/>
  <c r="AV45" i="6"/>
  <c r="AV43" i="6"/>
  <c r="AV46" i="6"/>
  <c r="AV53" i="6"/>
  <c r="AV47" i="6"/>
  <c r="AV54" i="6"/>
  <c r="AV48" i="6"/>
  <c r="AV55" i="6"/>
  <c r="AV56" i="6"/>
  <c r="AV57" i="6"/>
  <c r="AV49" i="6"/>
  <c r="AV50" i="6"/>
  <c r="AV51" i="6"/>
  <c r="AV52" i="6"/>
  <c r="AV58" i="6"/>
  <c r="AV59" i="6"/>
  <c r="AV60" i="6"/>
  <c r="AV61" i="6"/>
  <c r="AV62" i="6"/>
  <c r="AV65" i="6"/>
  <c r="AV66" i="6"/>
  <c r="AV67" i="6"/>
  <c r="AV74" i="6"/>
  <c r="AV68" i="6"/>
  <c r="AV75" i="6"/>
  <c r="AV76" i="6"/>
  <c r="AV69" i="6"/>
  <c r="AV77" i="6"/>
  <c r="AV63" i="6"/>
  <c r="AV70" i="6"/>
  <c r="AV71" i="6"/>
  <c r="AV72" i="6"/>
  <c r="AV78" i="6"/>
  <c r="AV64" i="6"/>
  <c r="AV79" i="6"/>
  <c r="AV73" i="6"/>
  <c r="AV80" i="6"/>
  <c r="AV81" i="6"/>
  <c r="AV82" i="6"/>
  <c r="AV83" i="6"/>
  <c r="AV84" i="6"/>
  <c r="AV91" i="6"/>
  <c r="AV85" i="6"/>
  <c r="AV92" i="6"/>
  <c r="AV86" i="6"/>
  <c r="AV93" i="6"/>
  <c r="AV94" i="6"/>
  <c r="AV95" i="6"/>
  <c r="AV87" i="6"/>
  <c r="AV88" i="6"/>
  <c r="AV89" i="6"/>
  <c r="AV90" i="6"/>
  <c r="AV96" i="6"/>
  <c r="AV97" i="6"/>
  <c r="AV98" i="6"/>
  <c r="AV99" i="6"/>
  <c r="AV102" i="6"/>
  <c r="AV100" i="6"/>
  <c r="AV103" i="6"/>
  <c r="AV101" i="6"/>
  <c r="AV104" i="6"/>
  <c r="AV111" i="6"/>
  <c r="AV112" i="6"/>
  <c r="AV113" i="6"/>
  <c r="AV105" i="6"/>
  <c r="AV114" i="6"/>
  <c r="AV106" i="6"/>
  <c r="AV107" i="6"/>
  <c r="AV108" i="6"/>
  <c r="AV109" i="6"/>
  <c r="AV115" i="6"/>
  <c r="AV116" i="6"/>
  <c r="AV117" i="6"/>
  <c r="AV118" i="6"/>
  <c r="AV110" i="6"/>
  <c r="AV119" i="6"/>
  <c r="AV120" i="6"/>
  <c r="AV121" i="6"/>
  <c r="AV122" i="6"/>
  <c r="AV124" i="6"/>
  <c r="AV125" i="6"/>
  <c r="AV126" i="6"/>
  <c r="AV127" i="6"/>
  <c r="AV128" i="6"/>
  <c r="AV129" i="6"/>
  <c r="AV137" i="6"/>
  <c r="AV138" i="6"/>
  <c r="AV139" i="6"/>
  <c r="AV130" i="6"/>
  <c r="AV140" i="6"/>
  <c r="AV141" i="6"/>
  <c r="AV131" i="6"/>
  <c r="AV142" i="6"/>
  <c r="AV132" i="6"/>
  <c r="AV133" i="6"/>
  <c r="AV134" i="6"/>
  <c r="AV143" i="6"/>
  <c r="AV144" i="6"/>
  <c r="AV145" i="6"/>
  <c r="AV146" i="6"/>
  <c r="AV147" i="6"/>
  <c r="AV135" i="6"/>
  <c r="AV136" i="6"/>
  <c r="AV148" i="6"/>
  <c r="AV123" i="6"/>
  <c r="AV149" i="6"/>
  <c r="AV150" i="6"/>
  <c r="AV151" i="6"/>
  <c r="AV156" i="6"/>
  <c r="AV152" i="6"/>
  <c r="AV157" i="6"/>
  <c r="AV153" i="6"/>
  <c r="AV158" i="6"/>
  <c r="AV159" i="6"/>
  <c r="AV160" i="6"/>
  <c r="AV154" i="6"/>
  <c r="AV155" i="6"/>
  <c r="AV161" i="6"/>
  <c r="AV162" i="6"/>
  <c r="AV163" i="6"/>
  <c r="AV164" i="6"/>
  <c r="AV165" i="6"/>
  <c r="AV166" i="6"/>
  <c r="AV167" i="6"/>
  <c r="AV168" i="6"/>
  <c r="AV177" i="6"/>
  <c r="AV169" i="6"/>
  <c r="AV170" i="6"/>
  <c r="AV178" i="6"/>
  <c r="AV171" i="6"/>
  <c r="AV179" i="6"/>
  <c r="AV172" i="6"/>
  <c r="AV173" i="6"/>
  <c r="AV174" i="6"/>
  <c r="AV175" i="6"/>
  <c r="AV180" i="6"/>
  <c r="AV181" i="6"/>
  <c r="AV182" i="6"/>
  <c r="AV183" i="6"/>
  <c r="AV176" i="6"/>
  <c r="AV184" i="6"/>
  <c r="AV185" i="6"/>
  <c r="AV186" i="6"/>
  <c r="AV187" i="6"/>
  <c r="AV188" i="6"/>
  <c r="AV189" i="6"/>
  <c r="AV190" i="6"/>
  <c r="AV191" i="6"/>
  <c r="AV192" i="6"/>
  <c r="AV193" i="6"/>
  <c r="AV200" i="6"/>
  <c r="AV201" i="6"/>
  <c r="AV202" i="6"/>
  <c r="AV194" i="6"/>
  <c r="AV203" i="6"/>
  <c r="AV195" i="6"/>
  <c r="AV204" i="6"/>
  <c r="AV196" i="6"/>
  <c r="AV197" i="6"/>
  <c r="AV198" i="6"/>
  <c r="AV205" i="6"/>
  <c r="AV206" i="6"/>
  <c r="AV207" i="6"/>
  <c r="AV208" i="6"/>
  <c r="AV209" i="6"/>
  <c r="AV199" i="6"/>
  <c r="AV210" i="6"/>
  <c r="AV211" i="6"/>
  <c r="AV212" i="6"/>
  <c r="AV213" i="6"/>
  <c r="AV214" i="6"/>
  <c r="AV221" i="6"/>
  <c r="AV215" i="6"/>
  <c r="AV222" i="6"/>
  <c r="AV216" i="6"/>
  <c r="AV223" i="6"/>
  <c r="AV224" i="6"/>
  <c r="AV217" i="6"/>
  <c r="AV218" i="6"/>
  <c r="AV219" i="6"/>
  <c r="AV220" i="6"/>
  <c r="AV225" i="6"/>
  <c r="AV226" i="6"/>
  <c r="AV227" i="6"/>
  <c r="AV228" i="6"/>
  <c r="AV229" i="6"/>
  <c r="AV230" i="6"/>
  <c r="AV231" i="6"/>
  <c r="AV232" i="6"/>
  <c r="AV233" i="6"/>
  <c r="AV234" i="6"/>
  <c r="AV246" i="6"/>
  <c r="AV247" i="6"/>
  <c r="AV248" i="6"/>
  <c r="AV249" i="6"/>
  <c r="AV235" i="6"/>
  <c r="AV236" i="6"/>
  <c r="AV250" i="6"/>
  <c r="AV237" i="6"/>
  <c r="AV251" i="6"/>
  <c r="AV238" i="6"/>
  <c r="AV252" i="6"/>
  <c r="AV239" i="6"/>
  <c r="AV240" i="6"/>
  <c r="AV253" i="6"/>
  <c r="AV254" i="6"/>
  <c r="AV255" i="6"/>
  <c r="AV256" i="6"/>
  <c r="AV257" i="6"/>
  <c r="AV258" i="6"/>
  <c r="AV241" i="6"/>
  <c r="AV242" i="6"/>
  <c r="AV243" i="6"/>
  <c r="AV244" i="6"/>
  <c r="AV245" i="6"/>
  <c r="AV259" i="6"/>
  <c r="AV260" i="6"/>
  <c r="AV261" i="6"/>
  <c r="AV262" i="6"/>
  <c r="AV264" i="6"/>
  <c r="AV265" i="6"/>
  <c r="AV263" i="6"/>
  <c r="AV266" i="6"/>
  <c r="AV268" i="6"/>
  <c r="AV269" i="6"/>
  <c r="AV270" i="6"/>
  <c r="AV276" i="6"/>
  <c r="AV271" i="6"/>
  <c r="AV277" i="6"/>
  <c r="AV272" i="6"/>
  <c r="AV278" i="6"/>
  <c r="AV279" i="6"/>
  <c r="AV273" i="6"/>
  <c r="AV274" i="6"/>
  <c r="AV275" i="6"/>
  <c r="AV280" i="6"/>
  <c r="AV281" i="6"/>
  <c r="AV282" i="6"/>
  <c r="AV283" i="6"/>
  <c r="AV284" i="6"/>
  <c r="AV285" i="6"/>
  <c r="AV286" i="6"/>
  <c r="AV287" i="6"/>
  <c r="AV288" i="6"/>
  <c r="AV289" i="6"/>
  <c r="AV290" i="6"/>
  <c r="AV296" i="6"/>
  <c r="AV291" i="6"/>
  <c r="AV297" i="6"/>
  <c r="AV292" i="6"/>
  <c r="AV298" i="6"/>
  <c r="AV299" i="6"/>
  <c r="AV300" i="6"/>
  <c r="AV301" i="6"/>
  <c r="AV293" i="6"/>
  <c r="AV294" i="6"/>
  <c r="AV295" i="6"/>
  <c r="AV302" i="6"/>
  <c r="AV303" i="6"/>
  <c r="AV304" i="6"/>
  <c r="AV305" i="6"/>
  <c r="AV306" i="6"/>
  <c r="AV307" i="6"/>
  <c r="AV308" i="6"/>
  <c r="AV309" i="6"/>
  <c r="AV314" i="6"/>
  <c r="AV315" i="6"/>
  <c r="AV316" i="6"/>
  <c r="AV317" i="6"/>
  <c r="AV318" i="6"/>
  <c r="AV319" i="6"/>
  <c r="AV320" i="6"/>
  <c r="AV321" i="6"/>
  <c r="AV329" i="6"/>
  <c r="AV322" i="6"/>
  <c r="AV330" i="6"/>
  <c r="AV331" i="6"/>
  <c r="AV323" i="6"/>
  <c r="AV332" i="6"/>
  <c r="AV324" i="6"/>
  <c r="AV325" i="6"/>
  <c r="AV326" i="6"/>
  <c r="AV327" i="6"/>
  <c r="AV333" i="6"/>
  <c r="AV334" i="6"/>
  <c r="AV335" i="6"/>
  <c r="AV336" i="6"/>
  <c r="AV328" i="6"/>
  <c r="AV337" i="6"/>
  <c r="AV338" i="6"/>
  <c r="AV339" i="6"/>
  <c r="AV340" i="6"/>
  <c r="AV341" i="6"/>
  <c r="AV348" i="6"/>
  <c r="AV342" i="6"/>
  <c r="AV349" i="6"/>
  <c r="AV343" i="6"/>
  <c r="AV350" i="6"/>
  <c r="AV351" i="6"/>
  <c r="AV352" i="6"/>
  <c r="AV344" i="6"/>
  <c r="AV345" i="6"/>
  <c r="AV346" i="6"/>
  <c r="AV347" i="6"/>
  <c r="AV353" i="6"/>
  <c r="AV354" i="6"/>
  <c r="AV355" i="6"/>
  <c r="AV356" i="6"/>
  <c r="AV357" i="6"/>
  <c r="AV359" i="6"/>
  <c r="AV362" i="6"/>
  <c r="AV358" i="6"/>
  <c r="AV363" i="6"/>
  <c r="AV360" i="6"/>
  <c r="AV364" i="6"/>
  <c r="AV365" i="6"/>
  <c r="AV366" i="6"/>
  <c r="AV367" i="6"/>
  <c r="AV361" i="6"/>
  <c r="AV368" i="6"/>
  <c r="AV369" i="6"/>
  <c r="AV370" i="6"/>
  <c r="AV376" i="6"/>
  <c r="AV371" i="6"/>
  <c r="AV377" i="6"/>
  <c r="AV372" i="6"/>
  <c r="AV378" i="6"/>
  <c r="AV379" i="6"/>
  <c r="AV380" i="6"/>
  <c r="AV373" i="6"/>
  <c r="AV374" i="6"/>
  <c r="AV375" i="6"/>
  <c r="AV381" i="6"/>
  <c r="AV382" i="6"/>
  <c r="AV383" i="6"/>
  <c r="AV384" i="6"/>
  <c r="AV385" i="6"/>
  <c r="AV386" i="6"/>
  <c r="AV387" i="6"/>
  <c r="AV394" i="6"/>
  <c r="AV388" i="6"/>
  <c r="AV395" i="6"/>
  <c r="AV389" i="6"/>
  <c r="AV396" i="6"/>
  <c r="AV397" i="6"/>
  <c r="AV390" i="6"/>
  <c r="AV391" i="6"/>
  <c r="AV392" i="6"/>
  <c r="AV393" i="6"/>
  <c r="AV398" i="6"/>
  <c r="AV399" i="6"/>
  <c r="AV406" i="6"/>
  <c r="AV400" i="6"/>
  <c r="AV407" i="6"/>
  <c r="AV401" i="6"/>
  <c r="AV408" i="6"/>
  <c r="AV409" i="6"/>
  <c r="AV410" i="6"/>
  <c r="AV402" i="6"/>
  <c r="AV403" i="6"/>
  <c r="AV404" i="6"/>
  <c r="AV405" i="6"/>
  <c r="AV411" i="6"/>
  <c r="AV412" i="6"/>
  <c r="AV413" i="6"/>
  <c r="AV414" i="6"/>
  <c r="AV417" i="6"/>
  <c r="AV415" i="6"/>
  <c r="AV416" i="6"/>
  <c r="AV418" i="6"/>
  <c r="AV419" i="6"/>
  <c r="AV420" i="6"/>
  <c r="AV421" i="6"/>
  <c r="AV422" i="6"/>
  <c r="AV427" i="6"/>
  <c r="AV423" i="6"/>
  <c r="AV424" i="6"/>
  <c r="AV428" i="6"/>
  <c r="AV429" i="6"/>
  <c r="AV430" i="6"/>
  <c r="AV425" i="6"/>
  <c r="AV426" i="6"/>
  <c r="AV431" i="6"/>
  <c r="AV432" i="6"/>
  <c r="AV433" i="6"/>
  <c r="AV442" i="6"/>
  <c r="AV434" i="6"/>
  <c r="AV443" i="6"/>
  <c r="AV435" i="6"/>
  <c r="AV444" i="6"/>
  <c r="AV436" i="6"/>
  <c r="AV446" i="6"/>
  <c r="AV437" i="6"/>
  <c r="AV438" i="6"/>
  <c r="AV439" i="6"/>
  <c r="AV440" i="6"/>
  <c r="AV447" i="6"/>
  <c r="AV448" i="6"/>
  <c r="AV441" i="6"/>
  <c r="AV449" i="6"/>
  <c r="AV450" i="6"/>
  <c r="AV451" i="6"/>
  <c r="AV454" i="6"/>
  <c r="AV452" i="6"/>
  <c r="AV453" i="6"/>
  <c r="AV455" i="6"/>
  <c r="AV456" i="6"/>
  <c r="AV457" i="6"/>
  <c r="AV458" i="6"/>
  <c r="AV459" i="6"/>
  <c r="AV5" i="6"/>
  <c r="C2" i="7"/>
  <c r="AK3" i="30" l="1"/>
  <c r="X5" i="30"/>
  <c r="X3" i="30"/>
  <c r="T27" i="30"/>
  <c r="T19" i="30"/>
  <c r="T11" i="30"/>
  <c r="T26" i="30"/>
  <c r="T18" i="30"/>
  <c r="T10" i="30"/>
  <c r="T25" i="30"/>
  <c r="T17" i="30"/>
  <c r="T9" i="30"/>
  <c r="T3" i="30"/>
  <c r="T24" i="30"/>
  <c r="T16" i="30"/>
  <c r="T8" i="30"/>
  <c r="X4" i="30"/>
  <c r="T31" i="30"/>
  <c r="T23" i="30"/>
  <c r="T15" i="30"/>
  <c r="T7" i="30"/>
  <c r="T30" i="30"/>
  <c r="T22" i="30"/>
  <c r="T14" i="30"/>
  <c r="T6" i="30"/>
  <c r="T29" i="30"/>
  <c r="T21" i="30"/>
  <c r="T13" i="30"/>
  <c r="T5" i="30"/>
  <c r="T28" i="30"/>
  <c r="T20" i="30"/>
  <c r="T12" i="30"/>
  <c r="T4" i="30"/>
  <c r="X9" i="30"/>
  <c r="X8" i="30"/>
  <c r="X7" i="30"/>
  <c r="X6" i="30"/>
  <c r="W10" i="30"/>
  <c r="X10" i="30" s="1"/>
  <c r="G3" i="30"/>
  <c r="G27" i="30"/>
  <c r="G19" i="30"/>
  <c r="G11" i="30"/>
  <c r="G26" i="30"/>
  <c r="G18" i="30"/>
  <c r="G10" i="30"/>
  <c r="G25" i="30"/>
  <c r="G17" i="30"/>
  <c r="G9" i="30"/>
  <c r="G24" i="30"/>
  <c r="G16" i="30"/>
  <c r="G8" i="30"/>
  <c r="G31" i="30"/>
  <c r="G23" i="30"/>
  <c r="G15" i="30"/>
  <c r="G7" i="30"/>
  <c r="G30" i="30"/>
  <c r="G22" i="30"/>
  <c r="G14" i="30"/>
  <c r="G6" i="30"/>
  <c r="G29" i="30"/>
  <c r="G21" i="30"/>
  <c r="G13" i="30"/>
  <c r="G5" i="30"/>
  <c r="G28" i="30"/>
  <c r="G20" i="30"/>
  <c r="G12" i="30"/>
  <c r="J10" i="30"/>
  <c r="O3" i="17"/>
  <c r="AM99" i="18"/>
  <c r="AH39" i="18"/>
  <c r="AI67" i="18"/>
  <c r="AK99" i="18"/>
  <c r="AK19" i="18"/>
  <c r="AL55" i="18"/>
  <c r="AM91" i="18"/>
  <c r="AH95" i="18"/>
  <c r="AH31" i="18"/>
  <c r="AI59" i="18"/>
  <c r="AK91" i="18"/>
  <c r="AK11" i="18"/>
  <c r="AL47" i="18"/>
  <c r="AM59" i="18"/>
  <c r="AH87" i="18"/>
  <c r="AH23" i="18"/>
  <c r="AI51" i="18"/>
  <c r="AK83" i="18"/>
  <c r="AL3" i="18"/>
  <c r="AL39" i="18"/>
  <c r="AM51" i="18"/>
  <c r="AH79" i="18"/>
  <c r="AH15" i="18"/>
  <c r="AI43" i="18"/>
  <c r="AK75" i="18"/>
  <c r="AL95" i="18"/>
  <c r="AL31" i="18"/>
  <c r="AM43" i="18"/>
  <c r="AH71" i="18"/>
  <c r="AH7" i="18"/>
  <c r="AI35" i="18"/>
  <c r="AK67" i="18"/>
  <c r="AL87" i="18"/>
  <c r="AL23" i="18"/>
  <c r="AM35" i="18"/>
  <c r="AH63" i="18"/>
  <c r="AI99" i="18"/>
  <c r="AI27" i="18"/>
  <c r="AK51" i="18"/>
  <c r="AL79" i="18"/>
  <c r="AL15" i="18"/>
  <c r="AM27" i="18"/>
  <c r="AH55" i="18"/>
  <c r="AI83" i="18"/>
  <c r="AI19" i="18"/>
  <c r="AK43" i="18"/>
  <c r="AL71" i="18"/>
  <c r="AL7" i="18"/>
  <c r="AM19" i="18"/>
  <c r="AM67" i="18"/>
  <c r="AM11" i="18"/>
  <c r="AH102" i="18"/>
  <c r="AH94" i="18"/>
  <c r="AH86" i="18"/>
  <c r="AH78" i="18"/>
  <c r="AH70" i="18"/>
  <c r="AH62" i="18"/>
  <c r="AH54" i="18"/>
  <c r="AH46" i="18"/>
  <c r="AH38" i="18"/>
  <c r="AH30" i="18"/>
  <c r="AH22" i="18"/>
  <c r="AH14" i="18"/>
  <c r="AH6" i="18"/>
  <c r="AI98" i="18"/>
  <c r="AI90" i="18"/>
  <c r="AI82" i="18"/>
  <c r="AI74" i="18"/>
  <c r="AI66" i="18"/>
  <c r="AI58" i="18"/>
  <c r="AI50" i="18"/>
  <c r="AI42" i="18"/>
  <c r="AI34" i="18"/>
  <c r="AI26" i="18"/>
  <c r="AI18" i="18"/>
  <c r="AI10" i="18"/>
  <c r="AK98" i="18"/>
  <c r="AK90" i="18"/>
  <c r="AK82" i="18"/>
  <c r="AK74" i="18"/>
  <c r="AK66" i="18"/>
  <c r="AK58" i="18"/>
  <c r="AK50" i="18"/>
  <c r="AK42" i="18"/>
  <c r="AK26" i="18"/>
  <c r="AK18" i="18"/>
  <c r="AK10" i="18"/>
  <c r="AL102" i="18"/>
  <c r="AL94" i="18"/>
  <c r="AL86" i="18"/>
  <c r="AL78" i="18"/>
  <c r="AL70" i="18"/>
  <c r="AL62" i="18"/>
  <c r="AL54" i="18"/>
  <c r="AL38" i="18"/>
  <c r="AL30" i="18"/>
  <c r="AL14" i="18"/>
  <c r="AL6" i="18"/>
  <c r="AM98" i="18"/>
  <c r="AM90" i="18"/>
  <c r="AM82" i="18"/>
  <c r="AM74" i="18"/>
  <c r="AM66" i="18"/>
  <c r="AM58" i="18"/>
  <c r="AM50" i="18"/>
  <c r="AM42" i="18"/>
  <c r="AM34" i="18"/>
  <c r="AM26" i="18"/>
  <c r="AM18" i="18"/>
  <c r="AM10" i="18"/>
  <c r="AI91" i="18"/>
  <c r="AK59" i="18"/>
  <c r="AM83" i="18"/>
  <c r="AH101" i="18"/>
  <c r="AH93" i="18"/>
  <c r="AH85" i="18"/>
  <c r="AH77" i="18"/>
  <c r="AH69" i="18"/>
  <c r="AH61" i="18"/>
  <c r="AH53" i="18"/>
  <c r="AH45" i="18"/>
  <c r="AH37" i="18"/>
  <c r="AH29" i="18"/>
  <c r="AH21" i="18"/>
  <c r="AH13" i="18"/>
  <c r="AH5" i="18"/>
  <c r="AI97" i="18"/>
  <c r="AI89" i="18"/>
  <c r="AI81" i="18"/>
  <c r="AI73" i="18"/>
  <c r="AI65" i="18"/>
  <c r="AI57" i="18"/>
  <c r="AI49" i="18"/>
  <c r="AI41" i="18"/>
  <c r="AI33" i="18"/>
  <c r="AI25" i="18"/>
  <c r="AI17" i="18"/>
  <c r="AI9" i="18"/>
  <c r="AK97" i="18"/>
  <c r="AK89" i="18"/>
  <c r="AK73" i="18"/>
  <c r="AK65" i="18"/>
  <c r="AK57" i="18"/>
  <c r="AK49" i="18"/>
  <c r="AK41" i="18"/>
  <c r="AK33" i="18"/>
  <c r="AK25" i="18"/>
  <c r="AK17" i="18"/>
  <c r="AK9" i="18"/>
  <c r="AL101" i="18"/>
  <c r="AL93" i="18"/>
  <c r="AL85" i="18"/>
  <c r="AL77" i="18"/>
  <c r="AL69" i="18"/>
  <c r="AL61" i="18"/>
  <c r="AL53" i="18"/>
  <c r="AL45" i="18"/>
  <c r="AL37" i="18"/>
  <c r="AL29" i="18"/>
  <c r="AL21" i="18"/>
  <c r="AL13" i="18"/>
  <c r="AL5" i="18"/>
  <c r="AM97" i="18"/>
  <c r="AM89" i="18"/>
  <c r="AM73" i="18"/>
  <c r="AM65" i="18"/>
  <c r="AM57" i="18"/>
  <c r="AM49" i="18"/>
  <c r="AM41" i="18"/>
  <c r="AM33" i="18"/>
  <c r="AM25" i="18"/>
  <c r="AM17" i="18"/>
  <c r="AM9" i="18"/>
  <c r="AH100" i="18"/>
  <c r="AH92" i="18"/>
  <c r="AH84" i="18"/>
  <c r="AH76" i="18"/>
  <c r="AH68" i="18"/>
  <c r="AH60" i="18"/>
  <c r="AH52" i="18"/>
  <c r="AH44" i="18"/>
  <c r="AH36" i="18"/>
  <c r="AH28" i="18"/>
  <c r="AH20" i="18"/>
  <c r="AH12" i="18"/>
  <c r="AH4" i="18"/>
  <c r="AI96" i="18"/>
  <c r="AI88" i="18"/>
  <c r="AI80" i="18"/>
  <c r="AI72" i="18"/>
  <c r="AI64" i="18"/>
  <c r="AI56" i="18"/>
  <c r="AI48" i="18"/>
  <c r="AI40" i="18"/>
  <c r="AI32" i="18"/>
  <c r="AI24" i="18"/>
  <c r="AI16" i="18"/>
  <c r="AI8" i="18"/>
  <c r="AK96" i="18"/>
  <c r="AK88" i="18"/>
  <c r="AK72" i="18"/>
  <c r="AK64" i="18"/>
  <c r="AK56" i="18"/>
  <c r="AK48" i="18"/>
  <c r="AK32" i="18"/>
  <c r="AK24" i="18"/>
  <c r="AK16" i="18"/>
  <c r="AL100" i="18"/>
  <c r="AL92" i="18"/>
  <c r="AL84" i="18"/>
  <c r="AL76" i="18"/>
  <c r="AL68" i="18"/>
  <c r="AL60" i="18"/>
  <c r="AL52" i="18"/>
  <c r="AL44" i="18"/>
  <c r="AL36" i="18"/>
  <c r="AL28" i="18"/>
  <c r="AL20" i="18"/>
  <c r="AL12" i="18"/>
  <c r="AL4" i="18"/>
  <c r="AM96" i="18"/>
  <c r="AM88" i="18"/>
  <c r="AM80" i="18"/>
  <c r="AM72" i="18"/>
  <c r="AM64" i="18"/>
  <c r="AM56" i="18"/>
  <c r="AM48" i="18"/>
  <c r="AM40" i="18"/>
  <c r="AM32" i="18"/>
  <c r="AM24" i="18"/>
  <c r="AM16" i="18"/>
  <c r="AM8" i="18"/>
  <c r="AM75" i="18"/>
  <c r="AH99" i="18"/>
  <c r="AH91" i="18"/>
  <c r="AH83" i="18"/>
  <c r="AH75" i="18"/>
  <c r="AH67" i="18"/>
  <c r="AH59" i="18"/>
  <c r="AH51" i="18"/>
  <c r="AH43" i="18"/>
  <c r="AH35" i="18"/>
  <c r="AH27" i="18"/>
  <c r="AH19" i="18"/>
  <c r="AH11" i="18"/>
  <c r="AI3" i="18"/>
  <c r="AI95" i="18"/>
  <c r="AI87" i="18"/>
  <c r="AI79" i="18"/>
  <c r="AI71" i="18"/>
  <c r="AI63" i="18"/>
  <c r="AI55" i="18"/>
  <c r="AI47" i="18"/>
  <c r="AI39" i="18"/>
  <c r="AI31" i="18"/>
  <c r="AI23" i="18"/>
  <c r="AI15" i="18"/>
  <c r="AI7" i="18"/>
  <c r="AK3" i="18"/>
  <c r="AK95" i="18"/>
  <c r="AK87" i="18"/>
  <c r="AK79" i="18"/>
  <c r="AK71" i="18"/>
  <c r="AK55" i="18"/>
  <c r="AK47" i="18"/>
  <c r="AK39" i="18"/>
  <c r="AK31" i="18"/>
  <c r="AK15" i="18"/>
  <c r="AK7" i="18"/>
  <c r="AL99" i="18"/>
  <c r="AL91" i="18"/>
  <c r="AL83" i="18"/>
  <c r="AL75" i="18"/>
  <c r="AL67" i="18"/>
  <c r="AL59" i="18"/>
  <c r="AL51" i="18"/>
  <c r="AL43" i="18"/>
  <c r="AL35" i="18"/>
  <c r="AL27" i="18"/>
  <c r="AL19" i="18"/>
  <c r="AL11" i="18"/>
  <c r="AM3" i="18"/>
  <c r="AM95" i="18"/>
  <c r="AM87" i="18"/>
  <c r="AM79" i="18"/>
  <c r="AM71" i="18"/>
  <c r="AM63" i="18"/>
  <c r="AM55" i="18"/>
  <c r="AM47" i="18"/>
  <c r="AM39" i="18"/>
  <c r="AM23" i="18"/>
  <c r="AM15" i="18"/>
  <c r="AM7" i="18"/>
  <c r="AH98" i="18"/>
  <c r="AH90" i="18"/>
  <c r="AH82" i="18"/>
  <c r="AH74" i="18"/>
  <c r="AH66" i="18"/>
  <c r="AH58" i="18"/>
  <c r="AH50" i="18"/>
  <c r="AH42" i="18"/>
  <c r="AH34" i="18"/>
  <c r="AH26" i="18"/>
  <c r="AH18" i="18"/>
  <c r="AH10" i="18"/>
  <c r="AI102" i="18"/>
  <c r="AI94" i="18"/>
  <c r="AI86" i="18"/>
  <c r="AI78" i="18"/>
  <c r="AI70" i="18"/>
  <c r="AI62" i="18"/>
  <c r="AI54" i="18"/>
  <c r="AI46" i="18"/>
  <c r="AI38" i="18"/>
  <c r="AI30" i="18"/>
  <c r="AI14" i="18"/>
  <c r="AI6" i="18"/>
  <c r="AK102" i="18"/>
  <c r="AK94" i="18"/>
  <c r="AK86" i="18"/>
  <c r="AK70" i="18"/>
  <c r="AK62" i="18"/>
  <c r="AK22" i="18"/>
  <c r="AK6" i="18"/>
  <c r="AL98" i="18"/>
  <c r="AL90" i="18"/>
  <c r="AL82" i="18"/>
  <c r="AL74" i="18"/>
  <c r="AL66" i="18"/>
  <c r="AL58" i="18"/>
  <c r="AL50" i="18"/>
  <c r="AL42" i="18"/>
  <c r="AL34" i="18"/>
  <c r="AL26" i="18"/>
  <c r="AL18" i="18"/>
  <c r="AL10" i="18"/>
  <c r="AM102" i="18"/>
  <c r="AM94" i="18"/>
  <c r="AM86" i="18"/>
  <c r="AM70" i="18"/>
  <c r="AM62" i="18"/>
  <c r="AM54" i="18"/>
  <c r="AM46" i="18"/>
  <c r="AM38" i="18"/>
  <c r="AM30" i="18"/>
  <c r="AM14" i="18"/>
  <c r="AM6" i="18"/>
  <c r="AK27" i="18"/>
  <c r="AH97" i="18"/>
  <c r="AH89" i="18"/>
  <c r="AH81" i="18"/>
  <c r="AH73" i="18"/>
  <c r="AH65" i="18"/>
  <c r="AH57" i="18"/>
  <c r="AH49" i="18"/>
  <c r="AH41" i="18"/>
  <c r="AH33" i="18"/>
  <c r="AH25" i="18"/>
  <c r="AH17" i="18"/>
  <c r="AH9" i="18"/>
  <c r="AI101" i="18"/>
  <c r="AI93" i="18"/>
  <c r="AI85" i="18"/>
  <c r="AI77" i="18"/>
  <c r="AI69" i="18"/>
  <c r="AI61" i="18"/>
  <c r="AI53" i="18"/>
  <c r="AI45" i="18"/>
  <c r="AI37" i="18"/>
  <c r="AI29" i="18"/>
  <c r="AI21" i="18"/>
  <c r="AI13" i="18"/>
  <c r="AI5" i="18"/>
  <c r="AK101" i="18"/>
  <c r="AK77" i="18"/>
  <c r="AK53" i="18"/>
  <c r="AK21" i="18"/>
  <c r="AK13" i="18"/>
  <c r="AK5" i="18"/>
  <c r="AL97" i="18"/>
  <c r="AL89" i="18"/>
  <c r="AL81" i="18"/>
  <c r="AL73" i="18"/>
  <c r="AL65" i="18"/>
  <c r="AL57" i="18"/>
  <c r="AL49" i="18"/>
  <c r="AL41" i="18"/>
  <c r="AL33" i="18"/>
  <c r="AL25" i="18"/>
  <c r="AL17" i="18"/>
  <c r="AM101" i="18"/>
  <c r="AM93" i="18"/>
  <c r="AM85" i="18"/>
  <c r="AM77" i="18"/>
  <c r="AM69" i="18"/>
  <c r="AM61" i="18"/>
  <c r="AM53" i="18"/>
  <c r="AM45" i="18"/>
  <c r="AM37" i="18"/>
  <c r="AM21" i="18"/>
  <c r="AM13" i="18"/>
  <c r="AM5" i="18"/>
  <c r="AH96" i="18"/>
  <c r="AH88" i="18"/>
  <c r="AH80" i="18"/>
  <c r="AH72" i="18"/>
  <c r="AH64" i="18"/>
  <c r="AH48" i="18"/>
  <c r="AH40" i="18"/>
  <c r="AH32" i="18"/>
  <c r="AH24" i="18"/>
  <c r="AH16" i="18"/>
  <c r="AH8" i="18"/>
  <c r="AI100" i="18"/>
  <c r="AI84" i="18"/>
  <c r="AI76" i="18"/>
  <c r="AI68" i="18"/>
  <c r="AI60" i="18"/>
  <c r="AI52" i="18"/>
  <c r="AI44" i="18"/>
  <c r="AI36" i="18"/>
  <c r="AI28" i="18"/>
  <c r="AI20" i="18"/>
  <c r="AI12" i="18"/>
  <c r="AK100" i="18"/>
  <c r="AK84" i="18"/>
  <c r="AK68" i="18"/>
  <c r="AK20" i="18"/>
  <c r="AL96" i="18"/>
  <c r="AL88" i="18"/>
  <c r="AL80" i="18"/>
  <c r="AL72" i="18"/>
  <c r="AL64" i="18"/>
  <c r="AL48" i="18"/>
  <c r="AL40" i="18"/>
  <c r="AL32" i="18"/>
  <c r="AL16" i="18"/>
  <c r="AM100" i="18"/>
  <c r="AM92" i="18"/>
  <c r="AM84" i="18"/>
  <c r="AM52" i="18"/>
  <c r="AM44" i="18"/>
  <c r="AM36" i="18"/>
  <c r="AY6" i="18"/>
  <c r="AZ6" i="18" s="1"/>
  <c r="AJ81" i="18" s="1"/>
  <c r="AY5" i="18"/>
  <c r="AZ5" i="18" s="1"/>
  <c r="AJ22" i="18" s="1"/>
  <c r="AY4" i="18"/>
  <c r="AZ4" i="18" s="1"/>
  <c r="AJ29" i="18" s="1"/>
  <c r="AY3" i="18"/>
  <c r="AZ3" i="18" s="1"/>
  <c r="AJ4" i="18" s="1"/>
  <c r="AY8" i="18"/>
  <c r="AZ8" i="18" s="1"/>
  <c r="AJ94" i="18" s="1"/>
  <c r="AY7" i="18"/>
  <c r="AZ7" i="18" s="1"/>
  <c r="AJ55" i="18" s="1"/>
  <c r="O3" i="5"/>
  <c r="P3" i="5"/>
  <c r="O4" i="5"/>
  <c r="P4" i="5"/>
  <c r="O5" i="5"/>
  <c r="P5" i="5"/>
  <c r="O6" i="5"/>
  <c r="P6" i="5"/>
  <c r="N4" i="5"/>
  <c r="N5" i="5"/>
  <c r="N6" i="5"/>
  <c r="N3" i="5"/>
  <c r="J3" i="5"/>
  <c r="K3" i="5"/>
  <c r="J4" i="5"/>
  <c r="K4" i="5"/>
  <c r="J5" i="5"/>
  <c r="K5" i="5"/>
  <c r="J6" i="5"/>
  <c r="K6" i="5"/>
  <c r="J7" i="5"/>
  <c r="K7" i="5"/>
  <c r="I3" i="5"/>
  <c r="I4" i="5"/>
  <c r="I5" i="5"/>
  <c r="I6" i="5"/>
  <c r="I7" i="5"/>
  <c r="N32" i="4"/>
  <c r="O32" i="4"/>
  <c r="P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" i="5"/>
  <c r="C3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Y3" i="4"/>
  <c r="Y2" i="4"/>
  <c r="Y4" i="4" s="1"/>
  <c r="V3" i="4"/>
  <c r="V4" i="4"/>
  <c r="V2" i="4"/>
  <c r="AJ83" i="18" l="1"/>
  <c r="AJ91" i="18"/>
  <c r="AJ88" i="18"/>
  <c r="AJ32" i="18"/>
  <c r="AJ5" i="18"/>
  <c r="AJ96" i="18"/>
  <c r="AJ10" i="18"/>
  <c r="AJ13" i="18"/>
  <c r="AJ25" i="18"/>
  <c r="AJ66" i="18"/>
  <c r="AJ69" i="18"/>
  <c r="AJ33" i="18"/>
  <c r="AJ74" i="18"/>
  <c r="AJ77" i="18"/>
  <c r="AJ89" i="18"/>
  <c r="AJ19" i="18"/>
  <c r="AJ38" i="18"/>
  <c r="AJ97" i="18"/>
  <c r="AJ27" i="18"/>
  <c r="AJ24" i="18"/>
  <c r="AJ30" i="18"/>
  <c r="AJ18" i="18"/>
  <c r="AJ82" i="18"/>
  <c r="AJ35" i="18"/>
  <c r="AJ99" i="18"/>
  <c r="AJ21" i="18"/>
  <c r="AJ85" i="18"/>
  <c r="AJ46" i="18"/>
  <c r="AJ40" i="18"/>
  <c r="AJ36" i="18"/>
  <c r="AJ41" i="18"/>
  <c r="AJ71" i="18"/>
  <c r="AJ79" i="18"/>
  <c r="AJ3" i="18"/>
  <c r="AJ23" i="18"/>
  <c r="AJ47" i="18"/>
  <c r="AJ87" i="18"/>
  <c r="AJ7" i="18"/>
  <c r="AJ39" i="18"/>
  <c r="AJ95" i="18"/>
  <c r="AJ63" i="18"/>
  <c r="AJ26" i="18"/>
  <c r="AJ90" i="18"/>
  <c r="AJ43" i="18"/>
  <c r="AJ76" i="18"/>
  <c r="AJ93" i="18"/>
  <c r="AJ54" i="18"/>
  <c r="AJ48" i="18"/>
  <c r="AJ68" i="18"/>
  <c r="AJ49" i="18"/>
  <c r="AJ20" i="18"/>
  <c r="AJ15" i="18"/>
  <c r="AJ31" i="18"/>
  <c r="AJ34" i="18"/>
  <c r="AJ98" i="18"/>
  <c r="AJ51" i="18"/>
  <c r="AJ12" i="18"/>
  <c r="AJ37" i="18"/>
  <c r="AJ101" i="18"/>
  <c r="AJ56" i="18"/>
  <c r="AJ100" i="18"/>
  <c r="AJ57" i="18"/>
  <c r="AJ28" i="18"/>
  <c r="AJ42" i="18"/>
  <c r="AJ60" i="18"/>
  <c r="AJ59" i="18"/>
  <c r="AJ44" i="18"/>
  <c r="AJ45" i="18"/>
  <c r="AJ6" i="18"/>
  <c r="AJ102" i="18"/>
  <c r="AJ64" i="18"/>
  <c r="AJ70" i="18"/>
  <c r="AJ65" i="18"/>
  <c r="AJ52" i="18"/>
  <c r="AJ50" i="18"/>
  <c r="AJ86" i="18"/>
  <c r="AJ67" i="18"/>
  <c r="AJ92" i="18"/>
  <c r="AJ53" i="18"/>
  <c r="AJ14" i="18"/>
  <c r="AJ8" i="18"/>
  <c r="AJ72" i="18"/>
  <c r="AJ9" i="18"/>
  <c r="AJ73" i="18"/>
  <c r="AJ84" i="18"/>
  <c r="AJ58" i="18"/>
  <c r="AJ11" i="18"/>
  <c r="AJ75" i="18"/>
  <c r="AJ78" i="18"/>
  <c r="AJ61" i="18"/>
  <c r="AJ16" i="18"/>
  <c r="AJ80" i="18"/>
  <c r="AJ17" i="18"/>
  <c r="AJ62" i="18"/>
  <c r="C34" i="5"/>
  <c r="D34" i="5"/>
  <c r="V5" i="4"/>
  <c r="E3" i="5"/>
  <c r="E27" i="5"/>
  <c r="E20" i="5"/>
  <c r="E13" i="5"/>
  <c r="E15" i="5"/>
  <c r="E24" i="5"/>
  <c r="E5" i="5"/>
  <c r="E22" i="5"/>
  <c r="E8" i="5"/>
  <c r="E10" i="5"/>
  <c r="E16" i="5"/>
  <c r="E7" i="5"/>
  <c r="E32" i="5"/>
  <c r="E23" i="5"/>
  <c r="E21" i="5"/>
  <c r="E19" i="5"/>
  <c r="E28" i="5"/>
  <c r="E26" i="5"/>
  <c r="E4" i="5"/>
  <c r="E25" i="5"/>
  <c r="E30" i="5"/>
  <c r="E31" i="5"/>
  <c r="E14" i="5"/>
  <c r="E18" i="5"/>
  <c r="E11" i="5"/>
  <c r="E12" i="5"/>
  <c r="E29" i="5"/>
  <c r="E17" i="5"/>
  <c r="E6" i="5"/>
  <c r="E9" i="5"/>
  <c r="E34" i="5" l="1"/>
  <c r="O45" i="21"/>
  <c r="O11" i="21"/>
  <c r="O21" i="21"/>
  <c r="O44" i="21"/>
  <c r="O52" i="21"/>
  <c r="O109" i="21"/>
  <c r="O123" i="21"/>
  <c r="O147" i="21"/>
  <c r="O10" i="21"/>
  <c r="O20" i="21"/>
  <c r="O43" i="21"/>
  <c r="O68" i="21"/>
  <c r="O140" i="21"/>
  <c r="O29" i="21"/>
  <c r="O51" i="21"/>
  <c r="O132" i="21"/>
  <c r="O148" i="21"/>
  <c r="O53" i="21"/>
  <c r="O12" i="21"/>
  <c r="O28" i="21"/>
  <c r="O108" i="21"/>
  <c r="O139" i="21"/>
  <c r="O204" i="21"/>
  <c r="O37" i="21"/>
  <c r="O69" i="21"/>
  <c r="O83" i="21"/>
  <c r="O3" i="21"/>
  <c r="O36" i="21"/>
  <c r="O93" i="21"/>
  <c r="O67" i="21"/>
  <c r="O92" i="21"/>
  <c r="O97" i="21"/>
  <c r="O107" i="21"/>
  <c r="O173" i="21"/>
  <c r="O181" i="21"/>
  <c r="O189" i="21"/>
  <c r="O196" i="21"/>
  <c r="O212" i="21"/>
  <c r="O276" i="21"/>
  <c r="O356" i="21"/>
  <c r="O77" i="21"/>
  <c r="O91" i="21"/>
  <c r="O117" i="21"/>
  <c r="O131" i="21"/>
  <c r="O165" i="21"/>
  <c r="O172" i="21"/>
  <c r="O228" i="21"/>
  <c r="O76" i="21"/>
  <c r="O116" i="21"/>
  <c r="O157" i="21"/>
  <c r="O164" i="21"/>
  <c r="O61" i="21"/>
  <c r="O75" i="21"/>
  <c r="O101" i="21"/>
  <c r="O115" i="21"/>
  <c r="O163" i="21"/>
  <c r="O171" i="21"/>
  <c r="O179" i="21"/>
  <c r="O205" i="21"/>
  <c r="O237" i="21"/>
  <c r="O373" i="21"/>
  <c r="O60" i="21"/>
  <c r="O85" i="21"/>
  <c r="O100" i="21"/>
  <c r="O125" i="21"/>
  <c r="O149" i="21"/>
  <c r="O156" i="21"/>
  <c r="O244" i="21"/>
  <c r="O59" i="21"/>
  <c r="O84" i="21"/>
  <c r="O99" i="21"/>
  <c r="O124" i="21"/>
  <c r="O133" i="21"/>
  <c r="O236" i="21"/>
  <c r="O260" i="21"/>
  <c r="O265" i="21"/>
  <c r="O331" i="21"/>
  <c r="O418" i="21"/>
  <c r="O452" i="21"/>
  <c r="O141" i="21"/>
  <c r="O155" i="21"/>
  <c r="O180" i="21"/>
  <c r="O213" i="21"/>
  <c r="O245" i="21"/>
  <c r="O257" i="21"/>
  <c r="O308" i="21"/>
  <c r="O221" i="21"/>
  <c r="O253" i="21"/>
  <c r="O317" i="21"/>
  <c r="O357" i="21"/>
  <c r="O188" i="21"/>
  <c r="O220" i="21"/>
  <c r="O252" i="21"/>
  <c r="O332" i="21"/>
  <c r="O381" i="21"/>
  <c r="O187" i="21"/>
  <c r="O197" i="21"/>
  <c r="O229" i="21"/>
  <c r="O261" i="21"/>
  <c r="O285" i="21"/>
  <c r="O284" i="21"/>
  <c r="O316" i="21"/>
  <c r="O341" i="21"/>
  <c r="O355" i="21"/>
  <c r="O365" i="21"/>
  <c r="O396" i="21"/>
  <c r="O426" i="21"/>
  <c r="O293" i="21"/>
  <c r="O340" i="21"/>
  <c r="O364" i="21"/>
  <c r="O380" i="21"/>
  <c r="O394" i="21"/>
  <c r="O404" i="21"/>
  <c r="O269" i="21"/>
  <c r="O292" i="21"/>
  <c r="O325" i="21"/>
  <c r="O339" i="21"/>
  <c r="O372" i="21"/>
  <c r="O410" i="21"/>
  <c r="O268" i="21"/>
  <c r="O273" i="21"/>
  <c r="O301" i="21"/>
  <c r="O324" i="21"/>
  <c r="O349" i="21"/>
  <c r="O388" i="21"/>
  <c r="O402" i="21"/>
  <c r="O300" i="21"/>
  <c r="O323" i="21"/>
  <c r="O348" i="21"/>
  <c r="O207" i="21"/>
  <c r="O64" i="21"/>
  <c r="O195" i="21"/>
  <c r="O211" i="21"/>
  <c r="O145" i="21"/>
  <c r="O209" i="21"/>
  <c r="O79" i="21"/>
  <c r="O200" i="21"/>
  <c r="O202" i="21"/>
  <c r="O102" i="21"/>
  <c r="O150" i="21"/>
  <c r="O201" i="21"/>
  <c r="O214" i="21"/>
  <c r="O206" i="21"/>
  <c r="O190" i="21"/>
  <c r="O203" i="21"/>
  <c r="O208" i="21"/>
  <c r="O354" i="21"/>
  <c r="O371" i="21"/>
  <c r="O379" i="21"/>
  <c r="O436" i="21"/>
  <c r="O277" i="21"/>
  <c r="O309" i="21"/>
  <c r="O333" i="21"/>
  <c r="O347" i="21"/>
  <c r="O420" i="21"/>
  <c r="O442" i="21"/>
  <c r="O389" i="21"/>
  <c r="O405" i="21"/>
  <c r="O421" i="21"/>
  <c r="O437" i="21"/>
  <c r="O453" i="21"/>
  <c r="O387" i="21"/>
  <c r="O403" i="21"/>
  <c r="O419" i="21"/>
  <c r="O435" i="21"/>
  <c r="O451" i="21"/>
  <c r="O461" i="21"/>
  <c r="O434" i="21"/>
  <c r="O450" i="21"/>
  <c r="O460" i="21"/>
  <c r="O397" i="21"/>
  <c r="O413" i="21"/>
  <c r="O429" i="21"/>
  <c r="O445" i="21"/>
  <c r="O412" i="21"/>
  <c r="O428" i="21"/>
  <c r="O444" i="21"/>
  <c r="O395" i="21"/>
  <c r="O411" i="21"/>
  <c r="O427" i="21"/>
  <c r="O443" i="21"/>
  <c r="O14" i="21"/>
  <c r="O13" i="21"/>
  <c r="O17" i="21"/>
  <c r="O46" i="21"/>
  <c r="O95" i="21"/>
  <c r="O120" i="21"/>
  <c r="O241" i="21"/>
  <c r="O4" i="21"/>
  <c r="O89" i="21"/>
  <c r="O23" i="21"/>
  <c r="O7" i="21"/>
  <c r="O22" i="21"/>
  <c r="O26" i="21"/>
  <c r="O31" i="21"/>
  <c r="O35" i="21"/>
  <c r="O40" i="21"/>
  <c r="O49" i="21"/>
  <c r="O198" i="21"/>
  <c r="O232" i="21"/>
  <c r="O50" i="21"/>
  <c r="O134" i="21"/>
  <c r="O178" i="21"/>
  <c r="O18" i="21"/>
  <c r="O54" i="21"/>
  <c r="O80" i="21"/>
  <c r="O110" i="21"/>
  <c r="O16" i="21"/>
  <c r="O56" i="21"/>
  <c r="O74" i="21"/>
  <c r="O239" i="21"/>
  <c r="O248" i="21"/>
  <c r="O8" i="21"/>
  <c r="O6" i="21"/>
  <c r="O25" i="21"/>
  <c r="O30" i="21"/>
  <c r="O34" i="21"/>
  <c r="O39" i="21"/>
  <c r="O114" i="21"/>
  <c r="O129" i="21"/>
  <c r="O193" i="21"/>
  <c r="O230" i="21"/>
  <c r="O27" i="21"/>
  <c r="O15" i="21"/>
  <c r="O48" i="21"/>
  <c r="O65" i="21"/>
  <c r="O175" i="21"/>
  <c r="O185" i="21"/>
  <c r="O262" i="21"/>
  <c r="O282" i="21"/>
  <c r="O319" i="21"/>
  <c r="O47" i="21"/>
  <c r="O32" i="21"/>
  <c r="O41" i="21"/>
  <c r="O105" i="21"/>
  <c r="O250" i="21"/>
  <c r="O5" i="21"/>
  <c r="O9" i="21"/>
  <c r="O19" i="21"/>
  <c r="O24" i="21"/>
  <c r="O33" i="21"/>
  <c r="O38" i="21"/>
  <c r="O42" i="21"/>
  <c r="O55" i="21"/>
  <c r="O58" i="21"/>
  <c r="O63" i="21"/>
  <c r="O70" i="21"/>
  <c r="O94" i="21"/>
  <c r="O104" i="21"/>
  <c r="O119" i="21"/>
  <c r="O144" i="21"/>
  <c r="O159" i="21"/>
  <c r="O170" i="21"/>
  <c r="O255" i="21"/>
  <c r="O73" i="21"/>
  <c r="O88" i="21"/>
  <c r="O98" i="21"/>
  <c r="O113" i="21"/>
  <c r="O128" i="21"/>
  <c r="O136" i="21"/>
  <c r="O162" i="21"/>
  <c r="O174" i="21"/>
  <c r="O246" i="21"/>
  <c r="O310" i="21"/>
  <c r="O78" i="21"/>
  <c r="O82" i="21"/>
  <c r="O103" i="21"/>
  <c r="O118" i="21"/>
  <c r="O122" i="21"/>
  <c r="O151" i="21"/>
  <c r="O166" i="21"/>
  <c r="O177" i="21"/>
  <c r="O192" i="21"/>
  <c r="O258" i="21"/>
  <c r="O263" i="21"/>
  <c r="O338" i="21"/>
  <c r="O377" i="21"/>
  <c r="O399" i="21"/>
  <c r="O57" i="21"/>
  <c r="O72" i="21"/>
  <c r="O87" i="21"/>
  <c r="O112" i="21"/>
  <c r="O127" i="21"/>
  <c r="O143" i="21"/>
  <c r="O154" i="21"/>
  <c r="O158" i="21"/>
  <c r="O161" i="21"/>
  <c r="O169" i="21"/>
  <c r="O216" i="21"/>
  <c r="O225" i="21"/>
  <c r="O227" i="21"/>
  <c r="O62" i="21"/>
  <c r="O66" i="21"/>
  <c r="O81" i="21"/>
  <c r="O96" i="21"/>
  <c r="O106" i="21"/>
  <c r="O121" i="21"/>
  <c r="O135" i="21"/>
  <c r="O138" i="21"/>
  <c r="O146" i="21"/>
  <c r="O176" i="21"/>
  <c r="O218" i="21"/>
  <c r="O234" i="21"/>
  <c r="O243" i="21"/>
  <c r="O305" i="21"/>
  <c r="O71" i="21"/>
  <c r="O86" i="21"/>
  <c r="O90" i="21"/>
  <c r="O111" i="21"/>
  <c r="O126" i="21"/>
  <c r="O130" i="21"/>
  <c r="O142" i="21"/>
  <c r="O153" i="21"/>
  <c r="O160" i="21"/>
  <c r="O168" i="21"/>
  <c r="O183" i="21"/>
  <c r="O191" i="21"/>
  <c r="O223" i="21"/>
  <c r="O210" i="21"/>
  <c r="O215" i="21"/>
  <c r="O219" i="21"/>
  <c r="O224" i="21"/>
  <c r="O233" i="21"/>
  <c r="O238" i="21"/>
  <c r="O242" i="21"/>
  <c r="O247" i="21"/>
  <c r="O251" i="21"/>
  <c r="O256" i="21"/>
  <c r="O272" i="21"/>
  <c r="O287" i="21"/>
  <c r="O137" i="21"/>
  <c r="O152" i="21"/>
  <c r="O167" i="21"/>
  <c r="O182" i="21"/>
  <c r="O186" i="21"/>
  <c r="O266" i="21"/>
  <c r="O334" i="21"/>
  <c r="O343" i="21"/>
  <c r="O353" i="21"/>
  <c r="O367" i="21"/>
  <c r="O448" i="21"/>
  <c r="O362" i="21"/>
  <c r="O392" i="21"/>
  <c r="O415" i="21"/>
  <c r="O438" i="21"/>
  <c r="O449" i="21"/>
  <c r="O278" i="21"/>
  <c r="O291" i="21"/>
  <c r="O296" i="21"/>
  <c r="O328" i="21"/>
  <c r="O439" i="21"/>
  <c r="O194" i="21"/>
  <c r="O199" i="21"/>
  <c r="O217" i="21"/>
  <c r="O222" i="21"/>
  <c r="O226" i="21"/>
  <c r="O231" i="21"/>
  <c r="O235" i="21"/>
  <c r="O240" i="21"/>
  <c r="O249" i="21"/>
  <c r="O254" i="21"/>
  <c r="O267" i="21"/>
  <c r="O314" i="21"/>
  <c r="O358" i="21"/>
  <c r="O386" i="21"/>
  <c r="O184" i="21"/>
  <c r="O271" i="21"/>
  <c r="O382" i="21"/>
  <c r="O281" i="21"/>
  <c r="O286" i="21"/>
  <c r="O290" i="21"/>
  <c r="O295" i="21"/>
  <c r="O299" i="21"/>
  <c r="O304" i="21"/>
  <c r="O313" i="21"/>
  <c r="O318" i="21"/>
  <c r="O322" i="21"/>
  <c r="O337" i="21"/>
  <c r="O352" i="21"/>
  <c r="O374" i="21"/>
  <c r="O390" i="21"/>
  <c r="O407" i="21"/>
  <c r="O416" i="21"/>
  <c r="O422" i="21"/>
  <c r="O458" i="21"/>
  <c r="O327" i="21"/>
  <c r="O342" i="21"/>
  <c r="O346" i="21"/>
  <c r="O361" i="21"/>
  <c r="O366" i="21"/>
  <c r="O370" i="21"/>
  <c r="O454" i="21"/>
  <c r="O459" i="21"/>
  <c r="O275" i="21"/>
  <c r="O280" i="21"/>
  <c r="O289" i="21"/>
  <c r="O294" i="21"/>
  <c r="O298" i="21"/>
  <c r="O303" i="21"/>
  <c r="O307" i="21"/>
  <c r="O312" i="21"/>
  <c r="O321" i="21"/>
  <c r="O336" i="21"/>
  <c r="O351" i="21"/>
  <c r="O376" i="21"/>
  <c r="O400" i="21"/>
  <c r="O417" i="21"/>
  <c r="O455" i="21"/>
  <c r="O270" i="21"/>
  <c r="O326" i="21"/>
  <c r="O330" i="21"/>
  <c r="O345" i="21"/>
  <c r="O360" i="21"/>
  <c r="O369" i="21"/>
  <c r="O378" i="21"/>
  <c r="O393" i="21"/>
  <c r="O423" i="21"/>
  <c r="O425" i="21"/>
  <c r="O432" i="21"/>
  <c r="O259" i="21"/>
  <c r="O264" i="21"/>
  <c r="O274" i="21"/>
  <c r="O279" i="21"/>
  <c r="O283" i="21"/>
  <c r="O288" i="21"/>
  <c r="O297" i="21"/>
  <c r="O302" i="21"/>
  <c r="O306" i="21"/>
  <c r="O311" i="21"/>
  <c r="O315" i="21"/>
  <c r="O320" i="21"/>
  <c r="O335" i="21"/>
  <c r="O350" i="21"/>
  <c r="O391" i="21"/>
  <c r="O398" i="21"/>
  <c r="O433" i="21"/>
  <c r="O329" i="21"/>
  <c r="O344" i="21"/>
  <c r="O359" i="21"/>
  <c r="O363" i="21"/>
  <c r="O368" i="21"/>
  <c r="O375" i="21"/>
  <c r="O401" i="21"/>
  <c r="O406" i="21"/>
  <c r="O409" i="21"/>
  <c r="O385" i="21"/>
  <c r="O384" i="21"/>
  <c r="O431" i="21"/>
  <c r="O441" i="21"/>
  <c r="O447" i="21"/>
  <c r="O457" i="21"/>
  <c r="O383" i="21"/>
  <c r="O408" i="21"/>
  <c r="O414" i="21"/>
  <c r="O424" i="21"/>
  <c r="O430" i="21"/>
  <c r="O440" i="21"/>
  <c r="O446" i="21"/>
  <c r="O456" i="21"/>
</calcChain>
</file>

<file path=xl/sharedStrings.xml><?xml version="1.0" encoding="utf-8"?>
<sst xmlns="http://schemas.openxmlformats.org/spreadsheetml/2006/main" count="119240" uniqueCount="2943">
  <si>
    <t>GroupID</t>
  </si>
  <si>
    <t>ParticipantID</t>
  </si>
  <si>
    <t>SolutionID</t>
  </si>
  <si>
    <t>PrePost</t>
  </si>
  <si>
    <t>Include</t>
  </si>
  <si>
    <t>maxStress</t>
  </si>
  <si>
    <t>hasBreak</t>
  </si>
  <si>
    <t>budgetUsed</t>
  </si>
  <si>
    <t>result</t>
  </si>
  <si>
    <t>NI</t>
  </si>
  <si>
    <t>P_I7A</t>
  </si>
  <si>
    <t>S_1Q4</t>
  </si>
  <si>
    <t>KYY</t>
  </si>
  <si>
    <t>win</t>
  </si>
  <si>
    <t>S_1B0</t>
  </si>
  <si>
    <t>S_0M4</t>
  </si>
  <si>
    <t>S_6U7</t>
  </si>
  <si>
    <t>S_6B5</t>
  </si>
  <si>
    <t>fail</t>
  </si>
  <si>
    <t>S_4U3</t>
  </si>
  <si>
    <t>S_7W0</t>
  </si>
  <si>
    <t>S_3X6</t>
  </si>
  <si>
    <t>S_9B4</t>
  </si>
  <si>
    <t>S_0T2</t>
  </si>
  <si>
    <t>S_1U0</t>
  </si>
  <si>
    <t>S_1J8</t>
  </si>
  <si>
    <t>S_8O8</t>
  </si>
  <si>
    <t>S_9F6</t>
  </si>
  <si>
    <t>S_9T2</t>
  </si>
  <si>
    <t>ZSB</t>
  </si>
  <si>
    <t>S_3X7</t>
  </si>
  <si>
    <t>S_9E0</t>
  </si>
  <si>
    <t>S_3B9</t>
  </si>
  <si>
    <t>S_8I8</t>
  </si>
  <si>
    <t>S_8A5</t>
  </si>
  <si>
    <t>S_9X8</t>
  </si>
  <si>
    <t>S_8D0</t>
  </si>
  <si>
    <t>S_3A8</t>
  </si>
  <si>
    <t>S_7X6</t>
  </si>
  <si>
    <t>S_2I5</t>
  </si>
  <si>
    <t>S_5N2</t>
  </si>
  <si>
    <t>S_4B4</t>
  </si>
  <si>
    <t>S_8C2</t>
  </si>
  <si>
    <t>VZ</t>
  </si>
  <si>
    <t>P_W5V</t>
  </si>
  <si>
    <t>XX</t>
  </si>
  <si>
    <t>P_G7R</t>
  </si>
  <si>
    <t>P_I9B</t>
  </si>
  <si>
    <t>P_T4B</t>
  </si>
  <si>
    <t>P_L3X</t>
  </si>
  <si>
    <t>P_A4T</t>
  </si>
  <si>
    <t>P_X2G</t>
  </si>
  <si>
    <t>P_P8M</t>
  </si>
  <si>
    <t>P_B2P</t>
  </si>
  <si>
    <t>P_O7W</t>
  </si>
  <si>
    <t>P_N5O</t>
  </si>
  <si>
    <t>P_V1M</t>
  </si>
  <si>
    <t>P_J8S</t>
  </si>
  <si>
    <t>P_L7K</t>
  </si>
  <si>
    <t>P_K5X</t>
  </si>
  <si>
    <t>P_B0Z</t>
  </si>
  <si>
    <t>P_M4M</t>
  </si>
  <si>
    <t>P_L4V</t>
  </si>
  <si>
    <t>S_6I4</t>
  </si>
  <si>
    <t>S_1X1</t>
  </si>
  <si>
    <t>S_7Y0</t>
  </si>
  <si>
    <t>P_M8L</t>
  </si>
  <si>
    <t>P_V2A</t>
  </si>
  <si>
    <t>P_A6W</t>
  </si>
  <si>
    <t>P_S3X</t>
  </si>
  <si>
    <t>P_Z2A</t>
  </si>
  <si>
    <t>P_X0F</t>
  </si>
  <si>
    <t>P_H7P</t>
  </si>
  <si>
    <t>P_D8O</t>
  </si>
  <si>
    <t>P_X0T</t>
  </si>
  <si>
    <t>P_W6F</t>
  </si>
  <si>
    <t>P_B7Q</t>
  </si>
  <si>
    <t>Participant ID</t>
  </si>
  <si>
    <t>Please indicate how you felt while playing the game for each of the items: [1. I felt confident]</t>
  </si>
  <si>
    <t>Please indicate how you felt while playing the game for each of the items: [2. I felt skilful]</t>
  </si>
  <si>
    <t>Please indicate how you felt while playing the game for each of the items: [3. I was interested in the game's story]</t>
  </si>
  <si>
    <t>Please indicate how you felt while playing the game for each of the items: [4. I thought it was fun]</t>
  </si>
  <si>
    <t>Please indicate how you felt while playing the game for each of the items: [5. I was fully occupied with the game]</t>
  </si>
  <si>
    <t>Please indicate how you felt while playing the game for each of the items: [6. I felt happy]</t>
  </si>
  <si>
    <t>Please indicate how you felt while playing the game for each of the items: [7. It gave me a bad mood]</t>
  </si>
  <si>
    <t>Please indicate how you felt while playing the game for each of the items: [8. I thought about other things]</t>
  </si>
  <si>
    <t>Please indicate how you felt while playing the game for each of the items: [9. I found it tiresome]</t>
  </si>
  <si>
    <t>Please indicate how you felt while playing the game for each of the items: [10. I felt competent]</t>
  </si>
  <si>
    <t>Please indicate how you felt while playing the game for each of the items: [11. I thought it was hard]</t>
  </si>
  <si>
    <t>Please indicate how you felt while playing the game for each of the items: [12. It was aesthetically pleasing]</t>
  </si>
  <si>
    <t>Please indicate how you felt while playing the game for each of the items: [13. I forgot everything around me]</t>
  </si>
  <si>
    <t>Please indicate how you felt while playing the game for each of the items: [14. I felt good]</t>
  </si>
  <si>
    <t>Please indicate how you felt while playing the game for each of the items: [15. I was good at it]</t>
  </si>
  <si>
    <t>Please indicate how you felt while playing the game for each of the items: [16. I felt bored]</t>
  </si>
  <si>
    <t>Please indicate how you felt while playing the game for each of the items: [17. I felt successful]</t>
  </si>
  <si>
    <t>Please indicate how you felt while playing the game for each of the items: [19. I felt that I could explore things]</t>
  </si>
  <si>
    <t>Please indicate how you felt while playing the game for each of the items: [20. I enjoyed it]</t>
  </si>
  <si>
    <t>Please indicate how you felt while playing the game for each of the items: [21. I was fast at reaching the game's targets]</t>
  </si>
  <si>
    <t>Please indicate how you felt while playing the game for each of the items: [22. I felt annoyed]</t>
  </si>
  <si>
    <t>Please indicate how you felt while playing the game for each of the items: [23. I felt pressured]</t>
  </si>
  <si>
    <t>Please indicate how you felt while playing the game for each of the items: [24. I felt irritable]</t>
  </si>
  <si>
    <t>Please indicate how you felt while playing the game for each of the items: [25. I lost track of time]</t>
  </si>
  <si>
    <t>Please indicate how you felt while playing the game for each of the items: [26. I felt challenged]</t>
  </si>
  <si>
    <t>Please indicate how you felt while playing the game for each of the items: [27. I found it impressive]</t>
  </si>
  <si>
    <t>Please indicate how you felt while playing the game for each of the items: [28. I was deeply concentrated in the game]</t>
  </si>
  <si>
    <t>Please indicate how you felt while playing the game for each of the items: [29. I felt frustrated]</t>
  </si>
  <si>
    <t>Please indicate how you felt while playing the game for each of the items: [30. It felt like a rich experience]</t>
  </si>
  <si>
    <t>Please indicate how you felt while playing the game for each of the items: [31. I lost connection with the outside world]</t>
  </si>
  <si>
    <t>Please indicate how you felt while playing the game for each of the items: [32. I felt time pressure]</t>
  </si>
  <si>
    <t>Please indicate how you felt while playing the game for each of the items: [33. I had to put a lot of effort into it]</t>
  </si>
  <si>
    <t>How many hours per week do you spend playing computer/video games?</t>
  </si>
  <si>
    <t>How often do you play: [Computer games in general]</t>
  </si>
  <si>
    <t>How often do you play: [Engineering games (such as Poly Bridge, Kerbal Space Program, etc.)]</t>
  </si>
  <si>
    <t>How often do you play: [Physics and simulation games (e.g., The Sims, Cities: Skylines, etc.)]</t>
  </si>
  <si>
    <t>How often do you play: [Sandbox games (e.g., Minecraft, Gary's modbox, etc.)]</t>
  </si>
  <si>
    <t>How often do you play: [Puzzle games (e.g., Portal, Baba is You, Tetris, etc.)]</t>
  </si>
  <si>
    <t xml:space="preserve">What is you current level of education? Please indicate the degree and year. </t>
  </si>
  <si>
    <t>During your education have you taken any modules on which of the following topics? Tick all that apply.</t>
  </si>
  <si>
    <t>Age</t>
  </si>
  <si>
    <t>Gender (optional)</t>
  </si>
  <si>
    <t>Gender (self describe)</t>
  </si>
  <si>
    <t>fairly</t>
  </si>
  <si>
    <t>moderately</t>
  </si>
  <si>
    <t>extremely</t>
  </si>
  <si>
    <t>not at all</t>
  </si>
  <si>
    <t>slightly</t>
  </si>
  <si>
    <t>0 - never</t>
  </si>
  <si>
    <t>3rd year bachelor</t>
  </si>
  <si>
    <t>Product Design, Computer Aided Design</t>
  </si>
  <si>
    <t>Man</t>
  </si>
  <si>
    <t>PhD Year 1</t>
  </si>
  <si>
    <t>None of the above</t>
  </si>
  <si>
    <t>Woman</t>
  </si>
  <si>
    <t>First year PhD</t>
  </si>
  <si>
    <t>Structures, Computer Aided Design</t>
  </si>
  <si>
    <t>PhD year 1</t>
  </si>
  <si>
    <t>Structures, Product Design, Engineering Drawing, Computer Aided Design</t>
  </si>
  <si>
    <t>PhD 1st year</t>
  </si>
  <si>
    <t>2nd year PhD</t>
  </si>
  <si>
    <t>first year PhD</t>
  </si>
  <si>
    <t>Structures, Engineering Drawing</t>
  </si>
  <si>
    <t>PhD engineering year 3</t>
  </si>
  <si>
    <t>0.5-1</t>
  </si>
  <si>
    <t>Manufacturing Engineering, third year</t>
  </si>
  <si>
    <t>0-3 during term, 20-30 holiday</t>
  </si>
  <si>
    <t>6 - daily</t>
  </si>
  <si>
    <t>Undergraduate, Engineering, First year</t>
  </si>
  <si>
    <t>Masters (2023)</t>
  </si>
  <si>
    <t>Structures, Engineering Drawing, Computer Aided Design</t>
  </si>
  <si>
    <t>Researcher 2024</t>
  </si>
  <si>
    <t>Engineering Drawing</t>
  </si>
  <si>
    <t>Undergraduate, second year</t>
  </si>
  <si>
    <t>3rd year undergrad</t>
  </si>
  <si>
    <t>not a lot recently but i used to play 15 hours a week on average, sometimes at stretches of 10 hours in a day</t>
  </si>
  <si>
    <t>Engineering 1st year</t>
  </si>
  <si>
    <t>4th year undergraduate</t>
  </si>
  <si>
    <t xml:space="preserve"> less than 1hour</t>
  </si>
  <si>
    <t xml:space="preserve">Masters (MPhil) </t>
  </si>
  <si>
    <t>In term, 1-2. Out of term, 25</t>
  </si>
  <si>
    <t>4th Year Engineering</t>
  </si>
  <si>
    <t>I do not play in most weeks, but a lot (~4h) on some days.</t>
  </si>
  <si>
    <t>MPhil (1 year)</t>
  </si>
  <si>
    <t>Masters degree 2021</t>
  </si>
  <si>
    <t>MEng (4th year undergrad)</t>
  </si>
  <si>
    <t>4th year Engineering PhD student</t>
  </si>
  <si>
    <t>PhD (2nd year)</t>
  </si>
  <si>
    <t>Engineering, Fourth Year</t>
  </si>
  <si>
    <t>MEng 2019</t>
  </si>
  <si>
    <t>PhD year 2</t>
  </si>
  <si>
    <t>Non-binary</t>
  </si>
  <si>
    <t>1st year PhD</t>
  </si>
  <si>
    <t>Product Design, Engineering Drawing, Computer Aided Design</t>
  </si>
  <si>
    <t>PhD 3rd year</t>
  </si>
  <si>
    <t>Product Design</t>
  </si>
  <si>
    <t>N</t>
  </si>
  <si>
    <t>IntervMoment</t>
  </si>
  <si>
    <t># Sol KYY</t>
  </si>
  <si>
    <t># Sol ZSB</t>
  </si>
  <si>
    <t>Total # Sol</t>
  </si>
  <si>
    <r>
      <t>Fluency MT1</t>
    </r>
    <r>
      <rPr>
        <b/>
        <vertAlign val="subscript"/>
        <sz val="11"/>
        <color theme="1"/>
        <rFont val="Calibri"/>
        <family val="2"/>
        <scheme val="minor"/>
      </rPr>
      <t>[KYY]</t>
    </r>
  </si>
  <si>
    <r>
      <t>Fluency MT1</t>
    </r>
    <r>
      <rPr>
        <b/>
        <vertAlign val="subscript"/>
        <sz val="11"/>
        <color theme="1"/>
        <rFont val="Calibri"/>
        <family val="2"/>
        <scheme val="minor"/>
      </rPr>
      <t>[ZSB]</t>
    </r>
  </si>
  <si>
    <r>
      <t>Fluency MT1</t>
    </r>
    <r>
      <rPr>
        <b/>
        <vertAlign val="subscript"/>
        <sz val="11"/>
        <color theme="1"/>
        <rFont val="Calibri"/>
        <family val="2"/>
        <scheme val="minor"/>
      </rPr>
      <t>[Session]</t>
    </r>
  </si>
  <si>
    <t>Min</t>
  </si>
  <si>
    <t>First Q</t>
  </si>
  <si>
    <t>Median</t>
  </si>
  <si>
    <t>Third Q</t>
  </si>
  <si>
    <t xml:space="preserve">Max </t>
  </si>
  <si>
    <t>FQ - Min</t>
  </si>
  <si>
    <t>Med - FQ</t>
  </si>
  <si>
    <t>TQ - Med</t>
  </si>
  <si>
    <t>Max - TQ</t>
  </si>
  <si>
    <t>H0 = KYY / ZSB have same average fluency</t>
  </si>
  <si>
    <t>T-Test [scipy]</t>
  </si>
  <si>
    <t>Ttest_relResult(statistic=-3.7764382827252887, pvalue=0.0007314982817029818)</t>
  </si>
  <si>
    <t>--&gt; Reject</t>
  </si>
  <si>
    <t>Sig. difference between Fluency values in KYY/ZSB</t>
  </si>
  <si>
    <t>type</t>
  </si>
  <si>
    <t>numAnchorsUsed</t>
  </si>
  <si>
    <t>deckType_1</t>
  </si>
  <si>
    <t>deckType_2</t>
  </si>
  <si>
    <t>deckShape_1</t>
  </si>
  <si>
    <t>structureShape_1</t>
  </si>
  <si>
    <t>deckShape_2</t>
  </si>
  <si>
    <t>deckShape_3</t>
  </si>
  <si>
    <t>structurePosition_Top</t>
  </si>
  <si>
    <t>structurePosition_Bottom</t>
  </si>
  <si>
    <t>structurePosition_Rock</t>
  </si>
  <si>
    <t>structureShape_2</t>
  </si>
  <si>
    <t>deckShape_4</t>
  </si>
  <si>
    <t>hasBraces_1</t>
  </si>
  <si>
    <t>hasBraces_2</t>
  </si>
  <si>
    <t>roadAsStrut</t>
  </si>
  <si>
    <t>rockSupportShape</t>
  </si>
  <si>
    <t>rockSupportMat</t>
  </si>
  <si>
    <t>structureSize</t>
  </si>
  <si>
    <t>materialRoad</t>
  </si>
  <si>
    <t>materialReinfRoad</t>
  </si>
  <si>
    <t>materialWood</t>
  </si>
  <si>
    <t>materialSteel</t>
  </si>
  <si>
    <t>MaterialOther</t>
  </si>
  <si>
    <t>leftAnchorConnected</t>
  </si>
  <si>
    <t>rightAnchorConnected</t>
  </si>
  <si>
    <t>midAnchorConnected</t>
  </si>
  <si>
    <t>hasDangling</t>
  </si>
  <si>
    <t>restOnRock</t>
  </si>
  <si>
    <t>predominantMaterialSupport</t>
  </si>
  <si>
    <t>predominantMaterialDeck</t>
  </si>
  <si>
    <t>hasDiamonds</t>
  </si>
  <si>
    <t>hasStructure</t>
  </si>
  <si>
    <t>isModded</t>
  </si>
  <si>
    <t>exploitType</t>
  </si>
  <si>
    <t>failType</t>
  </si>
  <si>
    <t>Used for</t>
  </si>
  <si>
    <t>Paralell plot + Dim redux</t>
  </si>
  <si>
    <t>Dim redux</t>
  </si>
  <si>
    <t>Dimension</t>
  </si>
  <si>
    <t>Guide?</t>
  </si>
  <si>
    <t>Y</t>
  </si>
  <si>
    <t>Condensed</t>
  </si>
  <si>
    <t>number of anchors</t>
  </si>
  <si>
    <t>deck type</t>
  </si>
  <si>
    <t>deck shape</t>
  </si>
  <si>
    <t>structure shape</t>
  </si>
  <si>
    <t>has braces</t>
  </si>
  <si>
    <t>structure size</t>
  </si>
  <si>
    <t>structure position</t>
  </si>
  <si>
    <t>solution</t>
  </si>
  <si>
    <t>deck</t>
  </si>
  <si>
    <t>structure</t>
  </si>
  <si>
    <t>road as strut</t>
  </si>
  <si>
    <t>rock support shape</t>
  </si>
  <si>
    <t>left anchor connected</t>
  </si>
  <si>
    <t>right anchor connected</t>
  </si>
  <si>
    <t>mid anchor connected</t>
  </si>
  <si>
    <t>rock support material</t>
  </si>
  <si>
    <t>road used</t>
  </si>
  <si>
    <t>wood used</t>
  </si>
  <si>
    <t>steel used</t>
  </si>
  <si>
    <t>reinforced road used</t>
  </si>
  <si>
    <t>other material</t>
  </si>
  <si>
    <t>has structure</t>
  </si>
  <si>
    <t>is modded</t>
  </si>
  <si>
    <t>exploit type</t>
  </si>
  <si>
    <t>fail type</t>
  </si>
  <si>
    <t>has dangling  material</t>
  </si>
  <si>
    <t>rests on rock</t>
  </si>
  <si>
    <t>predominant structure material</t>
  </si>
  <si>
    <t>predominant deck material</t>
  </si>
  <si>
    <t>has diamond structure</t>
  </si>
  <si>
    <t>Focus</t>
  </si>
  <si>
    <t>doubleFeature</t>
  </si>
  <si>
    <t>Choices</t>
  </si>
  <si>
    <t>bridge</t>
  </si>
  <si>
    <t>ramp</t>
  </si>
  <si>
    <t>exploit</t>
  </si>
  <si>
    <t>nothing</t>
  </si>
  <si>
    <t>crane</t>
  </si>
  <si>
    <t>continuous</t>
  </si>
  <si>
    <t>right</t>
  </si>
  <si>
    <t>middle</t>
  </si>
  <si>
    <t>multiple</t>
  </si>
  <si>
    <t>straight</t>
  </si>
  <si>
    <t>arch</t>
  </si>
  <si>
    <t>inclined</t>
  </si>
  <si>
    <t>declined</t>
  </si>
  <si>
    <t>s-shape</t>
  </si>
  <si>
    <t>platform</t>
  </si>
  <si>
    <t>loop</t>
  </si>
  <si>
    <t>N/A</t>
  </si>
  <si>
    <t>A-truss</t>
  </si>
  <si>
    <t>braces</t>
  </si>
  <si>
    <t>other</t>
  </si>
  <si>
    <t>yes</t>
  </si>
  <si>
    <t>no</t>
  </si>
  <si>
    <t>diamond</t>
  </si>
  <si>
    <t>Y-shape</t>
  </si>
  <si>
    <t>steel</t>
  </si>
  <si>
    <t>wood</t>
  </si>
  <si>
    <t>road</t>
  </si>
  <si>
    <t>small</t>
  </si>
  <si>
    <t>medium</t>
  </si>
  <si>
    <t>large</t>
  </si>
  <si>
    <t>road+support</t>
  </si>
  <si>
    <t>mod</t>
  </si>
  <si>
    <t>break</t>
  </si>
  <si>
    <t>Definition</t>
  </si>
  <si>
    <t xml:space="preserve">The overall type of the deck, considering if it spans the gap (continuity) and if it connects to the anchor point on the right side. </t>
  </si>
  <si>
    <t xml:space="preserve">The type of solution created.The "bridge" type connects materials to anchors on both sides of the gap and "ramp" to only one side. </t>
  </si>
  <si>
    <t>The number of anchors that have been used (out of the 3 available).</t>
  </si>
  <si>
    <t xml:space="preserve">The overall shape(s) that are employed in building the deck, combinations are possible. </t>
  </si>
  <si>
    <t>double feature</t>
  </si>
  <si>
    <t>The overall position of the structural elements of the solution
in relation to the deck and rock anchor point. Can be combined</t>
  </si>
  <si>
    <t>The overall shape of the structural elements of the solution. Can be combined.</t>
  </si>
  <si>
    <t xml:space="preserve">The existence of braces in the structure to provide extra support by resting against the terrain or rock. </t>
  </si>
  <si>
    <t>The use of road or reinforced road as structural materials.</t>
  </si>
  <si>
    <t>The overall shape of the structural elements connected to the rock anchor point.</t>
  </si>
  <si>
    <t xml:space="preserve">The material(s) used in the rock support elements. </t>
  </si>
  <si>
    <t xml:space="preserve">If the reinforced road material has been used in the solution. If save files are available a numeric value is possible (length of material used). </t>
  </si>
  <si>
    <t xml:space="preserve">If the wood material has been used in the solution. If save files are available a numeric value is possible (length of material used). </t>
  </si>
  <si>
    <t xml:space="preserve">If the steel material has been used in the solution. If save files are available a numeric value is possible (length of material used). </t>
  </si>
  <si>
    <t>If other materials have been used in the solution.</t>
  </si>
  <si>
    <t>If the solution employs the "dangling road" strategy of unsupported road segments.</t>
  </si>
  <si>
    <t xml:space="preserve">If the deck of the solution rests on the rock. </t>
  </si>
  <si>
    <t>If the left anchor is connected and to what material(s).</t>
  </si>
  <si>
    <t>If the right anchor is connected and to what material(s).</t>
  </si>
  <si>
    <t>If the rock anchor is connected and to what material(s).</t>
  </si>
  <si>
    <t>The predominant material used in the solution. If save files are available, the predominant material can be assesd comparing the length of materials used.</t>
  </si>
  <si>
    <t xml:space="preserve">If the structure uses the "diamond shape" structure to reinforce the structure, and of what type of material. </t>
  </si>
  <si>
    <t>If the solution has structure or not.</t>
  </si>
  <si>
    <t xml:space="preserve">If there are double features (e.g. double arch) in the solution and in which part (deck or structure). </t>
  </si>
  <si>
    <t xml:space="preserve">If the solution is modded - based on the values for stress and budget from gallery. </t>
  </si>
  <si>
    <t>The type of exploit used to solve the level (from the gallery)</t>
  </si>
  <si>
    <t>The type of failure observed - either solution break or car stuck.</t>
  </si>
  <si>
    <t>missing_section</t>
  </si>
  <si>
    <t>no_deck</t>
  </si>
  <si>
    <t>fully_connected</t>
  </si>
  <si>
    <t>right_overhang</t>
  </si>
  <si>
    <t>crane_support</t>
  </si>
  <si>
    <t>landing_platform</t>
  </si>
  <si>
    <t>inverted_arch</t>
  </si>
  <si>
    <t>no_structure</t>
  </si>
  <si>
    <t>top_structure</t>
  </si>
  <si>
    <t>bottom_structure</t>
  </si>
  <si>
    <t>rock_structure</t>
  </si>
  <si>
    <t>standard_truss</t>
  </si>
  <si>
    <t>arch_truss</t>
  </si>
  <si>
    <t>square_truss</t>
  </si>
  <si>
    <t>other_truss</t>
  </si>
  <si>
    <t>no_truss</t>
  </si>
  <si>
    <t>no_braces</t>
  </si>
  <si>
    <t>terrain_brace</t>
  </si>
  <si>
    <t>rock_brace</t>
  </si>
  <si>
    <t>vertical_beam</t>
  </si>
  <si>
    <t>multiple_beams</t>
  </si>
  <si>
    <t>no_support</t>
  </si>
  <si>
    <t>multiple_materials</t>
  </si>
  <si>
    <t>reinforced_road</t>
  </si>
  <si>
    <t>no_connection</t>
  </si>
  <si>
    <t>road_only</t>
  </si>
  <si>
    <t>support_only</t>
  </si>
  <si>
    <t>wood_diamond</t>
  </si>
  <si>
    <t>steel_diamond</t>
  </si>
  <si>
    <t>double_structure</t>
  </si>
  <si>
    <t>double_deck</t>
  </si>
  <si>
    <t>no_exploit</t>
  </si>
  <si>
    <t>falling_road</t>
  </si>
  <si>
    <t>no_fail</t>
  </si>
  <si>
    <t>car_stuck</t>
  </si>
  <si>
    <t>*check video</t>
  </si>
  <si>
    <t>Obs</t>
  </si>
  <si>
    <t>*KYY or ZSB</t>
  </si>
  <si>
    <t>-</t>
  </si>
  <si>
    <t xml:space="preserve">The overall size of the structural elements. If save files are available, size is evaluated using the length of the materials used. </t>
  </si>
  <si>
    <t xml:space="preserve">If the road material has been used in the solution. If save files are available a numeric value is possible (average length of material used). </t>
  </si>
  <si>
    <t>Done</t>
  </si>
  <si>
    <t>All</t>
  </si>
  <si>
    <t>Remaining</t>
  </si>
  <si>
    <t>a-truss</t>
  </si>
  <si>
    <t>*falls in water</t>
  </si>
  <si>
    <t>**KYY OR ZSB</t>
  </si>
  <si>
    <t>*car falls  in water</t>
  </si>
  <si>
    <t>Gallery</t>
  </si>
  <si>
    <t>video</t>
  </si>
  <si>
    <t>videoPreview</t>
  </si>
  <si>
    <t>orZDj</t>
  </si>
  <si>
    <t>https://dfp529wcvahka.cloudfront.net/ws/GalleryEntry/orZDj/video/XQ61wITx.dat</t>
  </si>
  <si>
    <t>https://dfp529wcvahka.cloudfront.net/ws/GalleryEntry/orZDj/video_preview/zHxMQYjH.png</t>
  </si>
  <si>
    <t>Ao5M3</t>
  </si>
  <si>
    <t>https://dfp529wcvahka.cloudfront.net/ws/GalleryEntry/Ao5M3/video/Av7zKzRg.dat</t>
  </si>
  <si>
    <t>https://dfp529wcvahka.cloudfront.net/ws/GalleryEntry/Ao5M3/video_preview/0AqdVqWZ.png</t>
  </si>
  <si>
    <t>RR1k2</t>
  </si>
  <si>
    <t>https://dfp529wcvahka.cloudfront.net/ws/GalleryEntry/RR1k2/video/0qmgQrEK.dat</t>
  </si>
  <si>
    <t>https://dfp529wcvahka.cloudfront.net/ws/GalleryEntry/RR1k2/video_preview/CcWzfmSj.png</t>
  </si>
  <si>
    <t>8w7rl</t>
  </si>
  <si>
    <t>https://dfp529wcvahka.cloudfront.net/ws/GalleryEntry/8w7rl/video/WIGojyyK.dat</t>
  </si>
  <si>
    <t>https://dfp529wcvahka.cloudfront.net/ws/GalleryEntry/8w7rl/video_preview/Zj4b89RV.png</t>
  </si>
  <si>
    <t>e3zza</t>
  </si>
  <si>
    <t>https://dfp529wcvahka.cloudfront.net/ws/GalleryEntry/e3zza/video/IsvRMeFw.dat</t>
  </si>
  <si>
    <t>https://dfp529wcvahka.cloudfront.net/ws/GalleryEntry/e3zza/video_preview/mWYHmivP.png</t>
  </si>
  <si>
    <t>7Rkox</t>
  </si>
  <si>
    <t>https://dfp529wcvahka.cloudfront.net/ws/GalleryEntry/7Rkox/video/owr1ojqQ.dat</t>
  </si>
  <si>
    <t>https://dfp529wcvahka.cloudfront.net/ws/GalleryEntry/7Rkox/video_preview/Gpnc3lwv.png</t>
  </si>
  <si>
    <t>M5o9X</t>
  </si>
  <si>
    <t>https://dfp529wcvahka.cloudfront.net/ws/GalleryEntry/M5o9X/video/2hbsCuxW.dat</t>
  </si>
  <si>
    <t>https://dfp529wcvahka.cloudfront.net/ws/GalleryEntry/M5o9X/video_preview/AGdPEWQW.png</t>
  </si>
  <si>
    <t>nR3De</t>
  </si>
  <si>
    <t>https://dfp529wcvahka.cloudfront.net/ws/GalleryEntry/nR3De/video/4oPM2uol.dat</t>
  </si>
  <si>
    <t>https://dfp529wcvahka.cloudfront.net/ws/GalleryEntry/nR3De/video_preview/LyHFxvwa.png</t>
  </si>
  <si>
    <t>j2Q4e</t>
  </si>
  <si>
    <t>https://dfp529wcvahka.cloudfront.net/ws/GalleryEntry/j2Q4e/video/JuFdlM2x.dat</t>
  </si>
  <si>
    <t>https://dfp529wcvahka.cloudfront.net/ws/GalleryEntry/j2Q4e/video_preview/vOmbZSGz.png</t>
  </si>
  <si>
    <t>ENaG2</t>
  </si>
  <si>
    <t>https://dfp529wcvahka.cloudfront.net/ws/GalleryEntry/ENaG2/video/KUheeprr.dat</t>
  </si>
  <si>
    <t>https://dfp529wcvahka.cloudfront.net/ws/GalleryEntry/ENaG2/video_preview/IMY7Bybh.png</t>
  </si>
  <si>
    <t>q7BeJ</t>
  </si>
  <si>
    <t>https://dfp529wcvahka.cloudfront.net/ws/GalleryEntry/q7BeJ/video/c5muUY0Z.dat</t>
  </si>
  <si>
    <t>https://dfp529wcvahka.cloudfront.net/ws/GalleryEntry/q7BeJ/video_preview/BYKYfxae.png</t>
  </si>
  <si>
    <t>j2DG5</t>
  </si>
  <si>
    <t>https://dfp529wcvahka.cloudfront.net/ws/GalleryEntry/j2DG5/video/sT9XOC6W.dat</t>
  </si>
  <si>
    <t>https://dfp529wcvahka.cloudfront.net/ws/GalleryEntry/j2DG5/video_preview/2XmXCrTy.png</t>
  </si>
  <si>
    <t>MmNJ9</t>
  </si>
  <si>
    <t>https://dfp529wcvahka.cloudfront.net/ws/GalleryEntry/MmNJ9/video/OepU2HRN.dat</t>
  </si>
  <si>
    <t>https://dfp529wcvahka.cloudfront.net/ws/GalleryEntry/MmNJ9/video_preview/BPSf7uzq.png</t>
  </si>
  <si>
    <t>OBXYa</t>
  </si>
  <si>
    <t>https://dfp529wcvahka.cloudfront.net/ws/GalleryEntry/OBXYa/video/mOB9zwkb.dat</t>
  </si>
  <si>
    <t>https://dfp529wcvahka.cloudfront.net/ws/GalleryEntry/OBXYa/video_preview/UjfHTx35.png</t>
  </si>
  <si>
    <t>mKK82</t>
  </si>
  <si>
    <t>https://dfp529wcvahka.cloudfront.net/ws/GalleryEntry/mKK82/video/F6yQcdWQ.dat</t>
  </si>
  <si>
    <t>https://dfp529wcvahka.cloudfront.net/ws/GalleryEntry/mKK82/video_preview/66RMKW5P.png</t>
  </si>
  <si>
    <t>l5wPj</t>
  </si>
  <si>
    <t>https://dfp529wcvahka.cloudfront.net/ws/GalleryEntry/l5wPj/video/r3RIfJAs.dat</t>
  </si>
  <si>
    <t>https://dfp529wcvahka.cloudfront.net/ws/GalleryEntry/l5wPj/video_preview/vafNTFJN.png</t>
  </si>
  <si>
    <t>LNaRw</t>
  </si>
  <si>
    <t>https://dfp529wcvahka.cloudfront.net/ws/GalleryEntry/LNaRw/video/1RPJkHoy.dat</t>
  </si>
  <si>
    <t>https://dfp529wcvahka.cloudfront.net/ws/GalleryEntry/LNaRw/video_preview/aoVyXt99.png</t>
  </si>
  <si>
    <t>b3ENz</t>
  </si>
  <si>
    <t>https://dfp529wcvahka.cloudfront.net/ws/GalleryEntry/b3ENz/video/NKmlHOZE.dat</t>
  </si>
  <si>
    <t>https://dfp529wcvahka.cloudfront.net/ws/GalleryEntry/b3ENz/video_preview/IO8adRmZ.png</t>
  </si>
  <si>
    <t>a5m8l</t>
  </si>
  <si>
    <t>https://dfp529wcvahka.cloudfront.net/ws/GalleryEntry/a5m8l/video/wwknlQw8.dat</t>
  </si>
  <si>
    <t>https://dfp529wcvahka.cloudfront.net/ws/GalleryEntry/a5m8l/video_preview/fRpJggaO.png</t>
  </si>
  <si>
    <t>pazDd</t>
  </si>
  <si>
    <t>https://dfp529wcvahka.cloudfront.net/ws/GalleryEntry/pazDd/video/OxF0w2F5.dat</t>
  </si>
  <si>
    <t>https://dfp529wcvahka.cloudfront.net/ws/GalleryEntry/pazDd/video_preview/hga3leHo.png</t>
  </si>
  <si>
    <t>1qe8G</t>
  </si>
  <si>
    <t>https://dfp529wcvahka.cloudfront.net/ws/GalleryEntry/1qe8G/video/6suPEhu4.dat</t>
  </si>
  <si>
    <t>https://dfp529wcvahka.cloudfront.net/ws/GalleryEntry/1qe8G/video_preview/oHSfJSVH.png</t>
  </si>
  <si>
    <t>W7PGq</t>
  </si>
  <si>
    <t>https://dfp529wcvahka.cloudfront.net/ws/GalleryEntry/W7PGq/video/RCGCXuHR.dat</t>
  </si>
  <si>
    <t>https://dfp529wcvahka.cloudfront.net/ws/GalleryEntry/W7PGq/video_preview/fGZMf6nh.png</t>
  </si>
  <si>
    <t>rlXM4</t>
  </si>
  <si>
    <t>https://dfp529wcvahka.cloudfront.net/ws/GalleryEntry/rlXM4/video/oOlzpoYl.dat</t>
  </si>
  <si>
    <t>https://dfp529wcvahka.cloudfront.net/ws/GalleryEntry/rlXM4/video_preview/KYGkNQvv.png</t>
  </si>
  <si>
    <t>9d8Bd</t>
  </si>
  <si>
    <t>https://dfp529wcvahka.cloudfront.net/ws/GalleryEntry/9d8Bd/video/3ICh8RRD.dat</t>
  </si>
  <si>
    <t>https://dfp529wcvahka.cloudfront.net/ws/GalleryEntry/9d8Bd/video_preview/sEeluzQx.png</t>
  </si>
  <si>
    <t>D5GKP</t>
  </si>
  <si>
    <t>https://dfp529wcvahka.cloudfront.net/ws/GalleryEntry/D5GKP/video/4XdVDcK6.dat</t>
  </si>
  <si>
    <t>https://dfp529wcvahka.cloudfront.net/ws/GalleryEntry/D5GKP/video_preview/NiHFnRjB.png</t>
  </si>
  <si>
    <t>w87kx</t>
  </si>
  <si>
    <t>https://dfp529wcvahka.cloudfront.net/ws/GalleryEntry/w87kx/video/2UvAMbEI.dat</t>
  </si>
  <si>
    <t>https://dfp529wcvahka.cloudfront.net/ws/GalleryEntry/w87kx/video_preview/gJ8cO9Rb.png</t>
  </si>
  <si>
    <t>9ZDod</t>
  </si>
  <si>
    <t>https://dfp529wcvahka.cloudfront.net/ws/GalleryEntry/9ZDod/video/KrzKqD9G.dat</t>
  </si>
  <si>
    <t>https://dfp529wcvahka.cloudfront.net/ws/GalleryEntry/9ZDod/video_preview/2Po8Fegl.png</t>
  </si>
  <si>
    <t>b3BX3</t>
  </si>
  <si>
    <t>https://dfp529wcvahka.cloudfront.net/ws/GalleryEntry/b3BX3/video/Gden2M2W.dat</t>
  </si>
  <si>
    <t>https://dfp529wcvahka.cloudfront.net/ws/GalleryEntry/b3BX3/video_preview/mdJrjNwt.png</t>
  </si>
  <si>
    <t>Dzmd4</t>
  </si>
  <si>
    <t>https://dfp529wcvahka.cloudfront.net/ws/GalleryEntry/Dzmd4/video/em1GwMQA.dat</t>
  </si>
  <si>
    <t>https://dfp529wcvahka.cloudfront.net/ws/GalleryEntry/Dzmd4/video_preview/05wjvPHl.png</t>
  </si>
  <si>
    <t>doRRG</t>
  </si>
  <si>
    <t>https://dfp529wcvahka.cloudfront.net/ws/GalleryEntry/doRRG/video/ymdfifAZ.dat</t>
  </si>
  <si>
    <t>https://dfp529wcvahka.cloudfront.net/ws/GalleryEntry/doRRG/video_preview/nHg2bI3T.png</t>
  </si>
  <si>
    <t>rdDr4</t>
  </si>
  <si>
    <t>https://dfp529wcvahka.cloudfront.net/ws/GalleryEntry/rdDr4/video/HipuMIn1.dat</t>
  </si>
  <si>
    <t>https://dfp529wcvahka.cloudfront.net/ws/GalleryEntry/rdDr4/video_preview/SB1oz9fS.png</t>
  </si>
  <si>
    <t>RM2Yx</t>
  </si>
  <si>
    <t>https://dfp529wcvahka.cloudfront.net/ws/GalleryEntry/RM2Yx/video/YVKkHbIe.dat</t>
  </si>
  <si>
    <t>https://dfp529wcvahka.cloudfront.net/ws/GalleryEntry/RM2Yx/video_preview/vmrKLPdE.png</t>
  </si>
  <si>
    <t>b77M7</t>
  </si>
  <si>
    <t>https://dfp529wcvahka.cloudfront.net/ws/GalleryEntry/b77M7/video/UchVOlIx.dat</t>
  </si>
  <si>
    <t>https://dfp529wcvahka.cloudfront.net/ws/GalleryEntry/b77M7/video_preview/zmZnthHQ.png</t>
  </si>
  <si>
    <t>l2v13</t>
  </si>
  <si>
    <t>https://dfp529wcvahka.cloudfront.net/ws/GalleryEntry/l2v13/video/KBVz3iDY.dat</t>
  </si>
  <si>
    <t>https://dfp529wcvahka.cloudfront.net/ws/GalleryEntry/l2v13/video_preview/hy622q3S.png</t>
  </si>
  <si>
    <t>339l9</t>
  </si>
  <si>
    <t>https://dfp529wcvahka.cloudfront.net/ws/GalleryEntry/339l9/video/6mlTf1Aq.dat</t>
  </si>
  <si>
    <t>https://dfp529wcvahka.cloudfront.net/ws/GalleryEntry/339l9/video_preview/DOVqA2co.png</t>
  </si>
  <si>
    <t>zopw3</t>
  </si>
  <si>
    <t>https://dfp529wcvahka.cloudfront.net/ws/GalleryEntry/zopw3/video/S7Fy6E1N.dat</t>
  </si>
  <si>
    <t>https://dfp529wcvahka.cloudfront.net/ws/GalleryEntry/zopw3/video_preview/fs2GxvXS.png</t>
  </si>
  <si>
    <t>AMMOv</t>
  </si>
  <si>
    <t>https://dfp529wcvahka.cloudfront.net/ws/GalleryEntry/AMMOv/video/H7Y2TUXe.dat</t>
  </si>
  <si>
    <t>https://dfp529wcvahka.cloudfront.net/ws/GalleryEntry/AMMOv/video_preview/cHYGZwHw.png</t>
  </si>
  <si>
    <t>OB5yR</t>
  </si>
  <si>
    <t>https://dfp529wcvahka.cloudfront.net/ws/GalleryEntry/OB5yR/video/jBKpO5Px.dat</t>
  </si>
  <si>
    <t>https://dfp529wcvahka.cloudfront.net/ws/GalleryEntry/OB5yR/video_preview/DHAIzxft.png</t>
  </si>
  <si>
    <t>b1g4G</t>
  </si>
  <si>
    <t>https://dfp529wcvahka.cloudfront.net/ws/GalleryEntry/b1g4G/video/5iadh8s1.dat</t>
  </si>
  <si>
    <t>https://dfp529wcvahka.cloudfront.net/ws/GalleryEntry/b1g4G/video_preview/hkczhnS8.png</t>
  </si>
  <si>
    <t>R5eOr</t>
  </si>
  <si>
    <t>https://dfp529wcvahka.cloudfront.net/ws/GalleryEntry/R5eOr/video/zew8EJNt.dat</t>
  </si>
  <si>
    <t>https://dfp529wcvahka.cloudfront.net/ws/GalleryEntry/R5eOr/video_preview/m18GdnYp.png</t>
  </si>
  <si>
    <t>j28Zy</t>
  </si>
  <si>
    <t>https://dfp529wcvahka.cloudfront.net/ws/GalleryEntry/j28Zy/video/BlJxjIEQ.dat</t>
  </si>
  <si>
    <t>https://dfp529wcvahka.cloudfront.net/ws/GalleryEntry/j28Zy/video_preview/5cK8jCuQ.png</t>
  </si>
  <si>
    <t>gQq3e</t>
  </si>
  <si>
    <t>https://dfp529wcvahka.cloudfront.net/ws/GalleryEntry/gQq3e/video/v4xMGBtW.dat</t>
  </si>
  <si>
    <t>https://dfp529wcvahka.cloudfront.net/ws/GalleryEntry/gQq3e/video_preview/gF5nYHxQ.png</t>
  </si>
  <si>
    <t>45Pq6</t>
  </si>
  <si>
    <t>https://dfp529wcvahka.cloudfront.net/ws/GalleryEntry/45Pq6/video/kiMDViWE.dat</t>
  </si>
  <si>
    <t>https://dfp529wcvahka.cloudfront.net/ws/GalleryEntry/45Pq6/video_preview/KK8UsDUK.png</t>
  </si>
  <si>
    <t>paQa5</t>
  </si>
  <si>
    <t>https://dfp529wcvahka.cloudfront.net/ws/GalleryEntry/paQa5/video/I26cLGym.dat</t>
  </si>
  <si>
    <t>https://dfp529wcvahka.cloudfront.net/ws/GalleryEntry/paQa5/video_preview/bHrqscfU.png</t>
  </si>
  <si>
    <t>qeG7o</t>
  </si>
  <si>
    <t>https://dfp529wcvahka.cloudfront.net/ws/GalleryEntry/qeG7o/video/fRFolIPp.dat</t>
  </si>
  <si>
    <t>https://dfp529wcvahka.cloudfront.net/ws/GalleryEntry/qeG7o/video_preview/Tr1Jo7oj.png</t>
  </si>
  <si>
    <t>5Xo9p</t>
  </si>
  <si>
    <t>https://dfp529wcvahka.cloudfront.net/ws/GalleryEntry/5Xo9p/video/DfY2TP3L.dat</t>
  </si>
  <si>
    <t>https://dfp529wcvahka.cloudfront.net/ws/GalleryEntry/5Xo9p/video_preview/HnYcbPyQ.png</t>
  </si>
  <si>
    <t>rlaqJ</t>
  </si>
  <si>
    <t>https://dfp529wcvahka.cloudfront.net/ws/GalleryEntry/rlaqJ/video/PaF150Sy.dat</t>
  </si>
  <si>
    <t>https://dfp529wcvahka.cloudfront.net/ws/GalleryEntry/rlaqJ/video_preview/qunlw1uv.png</t>
  </si>
  <si>
    <t>Pl8wY</t>
  </si>
  <si>
    <t>https://dfp529wcvahka.cloudfront.net/ws/GalleryEntry/Pl8wY/video/p7zjsUL4.dat</t>
  </si>
  <si>
    <t>https://dfp529wcvahka.cloudfront.net/ws/GalleryEntry/Pl8wY/video_preview/qHCDG7T1.png</t>
  </si>
  <si>
    <t>bD2r4</t>
  </si>
  <si>
    <t>https://dfp529wcvahka.cloudfront.net/ws/GalleryEntry/bD2r4/video/OoGKGTlU.dat</t>
  </si>
  <si>
    <t>https://dfp529wcvahka.cloudfront.net/ws/GalleryEntry/bD2r4/video_preview/nIhWrmnG.png</t>
  </si>
  <si>
    <t>QlJOY</t>
  </si>
  <si>
    <t>https://dfp529wcvahka.cloudfront.net/ws/GalleryEntry/QlJOY/video/ZFbvmwbS.dat</t>
  </si>
  <si>
    <t>https://dfp529wcvahka.cloudfront.net/ws/GalleryEntry/QlJOY/video_preview/pwo5OjTA.png</t>
  </si>
  <si>
    <t>aEzNe</t>
  </si>
  <si>
    <t>https://dfp529wcvahka.cloudfront.net/ws/GalleryEntry/aEzNe/video/7J27wOKa.dat</t>
  </si>
  <si>
    <t>https://dfp529wcvahka.cloudfront.net/ws/GalleryEntry/aEzNe/video_preview/rxZ0ar89.png</t>
  </si>
  <si>
    <t>dol5G</t>
  </si>
  <si>
    <t>https://dfp529wcvahka.cloudfront.net/ws/GalleryEntry/dol5G/video/TaQU6bkm.dat</t>
  </si>
  <si>
    <t>https://dfp529wcvahka.cloudfront.net/ws/GalleryEntry/dol5G/video_preview/tWv4v1PG.png</t>
  </si>
  <si>
    <t>RME97</t>
  </si>
  <si>
    <t>https://dfp529wcvahka.cloudfront.net/ws/GalleryEntry/RME97/video/hdUZfOam.dat</t>
  </si>
  <si>
    <t>https://dfp529wcvahka.cloudfront.net/ws/GalleryEntry/RME97/video_preview/WedgygwJ.png</t>
  </si>
  <si>
    <t>jedzJ</t>
  </si>
  <si>
    <t>https://dfp529wcvahka.cloudfront.net/ws/GalleryEntry/jedzJ/video/trxajcZz.dat</t>
  </si>
  <si>
    <t>https://dfp529wcvahka.cloudfront.net/ws/GalleryEntry/jedzJ/video_preview/PfPGNfIa.png</t>
  </si>
  <si>
    <t>Dz244</t>
  </si>
  <si>
    <t>https://dfp529wcvahka.cloudfront.net/ws/GalleryEntry/Dz244/video/mzbp5RkA.dat</t>
  </si>
  <si>
    <t>https://dfp529wcvahka.cloudfront.net/ws/GalleryEntry/Dz244/video_preview/2Cdpysmx.png</t>
  </si>
  <si>
    <t>2qlDd</t>
  </si>
  <si>
    <t>https://dfp529wcvahka.cloudfront.net/ws/GalleryEntry/2qlDd/video/qIV9SuOn.dat</t>
  </si>
  <si>
    <t>https://dfp529wcvahka.cloudfront.net/ws/GalleryEntry/2qlDd/video_preview/prcBLOJb.png</t>
  </si>
  <si>
    <t>Z38De</t>
  </si>
  <si>
    <t>https://dfp529wcvahka.cloudfront.net/ws/GalleryEntry/Z38De/video/AP6M9E4M.dat</t>
  </si>
  <si>
    <t>https://dfp529wcvahka.cloudfront.net/ws/GalleryEntry/Z38De/video_preview/v0tTCoha.png</t>
  </si>
  <si>
    <t>pQ58d</t>
  </si>
  <si>
    <t>https://dfp529wcvahka.cloudfront.net/ws/GalleryEntry/pQ58d/video/TXCwxBPy.dat</t>
  </si>
  <si>
    <t>https://dfp529wcvahka.cloudfront.net/ws/GalleryEntry/pQ58d/video_preview/504rYx50.png</t>
  </si>
  <si>
    <t>qYMZl</t>
  </si>
  <si>
    <t>https://dfp529wcvahka.cloudfront.net/ws/GalleryEntry/qYMZl/video/NfgzORhn.dat</t>
  </si>
  <si>
    <t>https://dfp529wcvahka.cloudfront.net/ws/GalleryEntry/qYMZl/video_preview/BsUApPxJ.png</t>
  </si>
  <si>
    <t>0QpXj</t>
  </si>
  <si>
    <t>https://dfp529wcvahka.cloudfront.net/ws/GalleryEntry/0QpXj/video/qt76rjeD.dat</t>
  </si>
  <si>
    <t>https://dfp529wcvahka.cloudfront.net/ws/GalleryEntry/0QpXj/video_preview/lFHG8RTi.png</t>
  </si>
  <si>
    <t>4XWll</t>
  </si>
  <si>
    <t>https://dfp529wcvahka.cloudfront.net/ws/GalleryEntry/4XWll/video/K0glhs4S.dat</t>
  </si>
  <si>
    <t>https://dfp529wcvahka.cloudfront.net/ws/GalleryEntry/4XWll/video_preview/i8mIZMPc.png</t>
  </si>
  <si>
    <t>K8d03</t>
  </si>
  <si>
    <t>https://dfp529wcvahka.cloudfront.net/ws/GalleryEntry/K8d03/video/3dldNGnf.dat</t>
  </si>
  <si>
    <t>https://dfp529wcvahka.cloudfront.net/ws/GalleryEntry/K8d03/video_preview/kQkex4t3.png</t>
  </si>
  <si>
    <t>v8Mpa</t>
  </si>
  <si>
    <t>https://dfp529wcvahka.cloudfront.net/ws/GalleryEntry/v8Mpa/video/jbPLYAMl.dat</t>
  </si>
  <si>
    <t>https://dfp529wcvahka.cloudfront.net/ws/GalleryEntry/v8Mpa/video_preview/GmM2Os6u.png</t>
  </si>
  <si>
    <t>Lak8z</t>
  </si>
  <si>
    <t>https://dfp529wcvahka.cloudfront.net/ws/GalleryEntry/Lak8z/video/QLRZ2sx8.dat</t>
  </si>
  <si>
    <t>https://dfp529wcvahka.cloudfront.net/ws/GalleryEntry/Lak8z/video_preview/FgFkid4f.png</t>
  </si>
  <si>
    <t>Ag5q6</t>
  </si>
  <si>
    <t>https://dfp529wcvahka.cloudfront.net/ws/GalleryEntry/Ag5q6/video/q9htkWeR.dat</t>
  </si>
  <si>
    <t>https://dfp529wcvahka.cloudfront.net/ws/GalleryEntry/Ag5q6/video_preview/Ms4W68bQ.png</t>
  </si>
  <si>
    <t>VeP9n</t>
  </si>
  <si>
    <t>https://dfp529wcvahka.cloudfront.net/ws/GalleryEntry/VeP9n/video/1p1LkiAR.dat</t>
  </si>
  <si>
    <t>https://dfp529wcvahka.cloudfront.net/ws/GalleryEntry/VeP9n/video_preview/CB0AVoI8.png</t>
  </si>
  <si>
    <t>7lOE6</t>
  </si>
  <si>
    <t>https://dfp529wcvahka.cloudfront.net/ws/GalleryEntry/7lOE6/video/cj91C3nO.dat</t>
  </si>
  <si>
    <t>https://dfp529wcvahka.cloudfront.net/ws/GalleryEntry/7lOE6/video_preview/wUazsx0o.png</t>
  </si>
  <si>
    <t>W4k0O</t>
  </si>
  <si>
    <t>https://dfp529wcvahka.cloudfront.net/ws/GalleryEntry/W4k0O/video/i8nV4LjZ.dat</t>
  </si>
  <si>
    <t>https://dfp529wcvahka.cloudfront.net/ws/GalleryEntry/W4k0O/video_preview/gthr8zLg.png</t>
  </si>
  <si>
    <t>n9w59</t>
  </si>
  <si>
    <t>https://dfp529wcvahka.cloudfront.net/ws/GalleryEntry/n9w59/video/3MHourYG.dat</t>
  </si>
  <si>
    <t>https://dfp529wcvahka.cloudfront.net/ws/GalleryEntry/n9w59/video_preview/nXjmRj3z.png</t>
  </si>
  <si>
    <t>D5eOO</t>
  </si>
  <si>
    <t>https://dfp529wcvahka.cloudfront.net/ws/GalleryEntry/D5eOO/video/GdOlJ3Gl.dat</t>
  </si>
  <si>
    <t>https://dfp529wcvahka.cloudfront.net/ws/GalleryEntry/D5eOO/video_preview/EQjSuFSk.png</t>
  </si>
  <si>
    <t>KvqzD</t>
  </si>
  <si>
    <t>https://dfp529wcvahka.cloudfront.net/ws/GalleryEntry/KvqzD/video/xAxOAEPY.dat</t>
  </si>
  <si>
    <t>https://dfp529wcvahka.cloudfront.net/ws/GalleryEntry/KvqzD/video_preview/ZAF6eFqT.png</t>
  </si>
  <si>
    <t>9ZMgx</t>
  </si>
  <si>
    <t>https://dfp529wcvahka.cloudfront.net/ws/GalleryEntry/9ZMgx/video/tjcIA5Ha.dat</t>
  </si>
  <si>
    <t>https://dfp529wcvahka.cloudfront.net/ws/GalleryEntry/9ZMgx/video_preview/18g8DC0F.png</t>
  </si>
  <si>
    <t>paq0d</t>
  </si>
  <si>
    <t>https://dfp529wcvahka.cloudfront.net/ws/GalleryEntry/paq0d/video/EzEq67AD.dat</t>
  </si>
  <si>
    <t>https://dfp529wcvahka.cloudfront.net/ws/GalleryEntry/paq0d/video_preview/nKcNkO30.png</t>
  </si>
  <si>
    <t>Y3pP2</t>
  </si>
  <si>
    <t>https://dfp529wcvahka.cloudfront.net/ws/GalleryEntry/Y3pP2/video/yX9TzhVg.dat</t>
  </si>
  <si>
    <t>https://dfp529wcvahka.cloudfront.net/ws/GalleryEntry/Y3pP2/video_preview/STiD0XCf.png</t>
  </si>
  <si>
    <t>EB3WD</t>
  </si>
  <si>
    <t>https://dfp529wcvahka.cloudfront.net/ws/GalleryEntry/EB3WD/video/qGadIPYc.dat</t>
  </si>
  <si>
    <t>https://dfp529wcvahka.cloudfront.net/ws/GalleryEntry/EB3WD/video_preview/mhIJvGep.png</t>
  </si>
  <si>
    <t>EB5ye</t>
  </si>
  <si>
    <t>https://dfp529wcvahka.cloudfront.net/ws/GalleryEntry/EB5ye/video/npwfYUUk.dat</t>
  </si>
  <si>
    <t>https://dfp529wcvahka.cloudfront.net/ws/GalleryEntry/EB5ye/video_preview/jSe6P1d1.png</t>
  </si>
  <si>
    <t>klQQL</t>
  </si>
  <si>
    <t>https://dfp529wcvahka.cloudfront.net/ws/GalleryEntry/klQQL/video/8htrNtBM.dat</t>
  </si>
  <si>
    <t>https://dfp529wcvahka.cloudfront.net/ws/GalleryEntry/klQQL/video_preview/pPicDBWC.png</t>
  </si>
  <si>
    <t>W7DY1</t>
  </si>
  <si>
    <t>https://dfp529wcvahka.cloudfront.net/ws/GalleryEntry/W7DY1/video/YUvI4k0N.dat</t>
  </si>
  <si>
    <t>https://dfp529wcvahka.cloudfront.net/ws/GalleryEntry/W7DY1/video_preview/G7wXe8T3.png</t>
  </si>
  <si>
    <t>VPZgQ</t>
  </si>
  <si>
    <t>https://dfp529wcvahka.cloudfront.net/ws/GalleryEntry/VPZgQ/video/MXUpWMaK.dat</t>
  </si>
  <si>
    <t>https://dfp529wcvahka.cloudfront.net/ws/GalleryEntry/VPZgQ/video_preview/WzGD85Fi.png</t>
  </si>
  <si>
    <t>ezQez</t>
  </si>
  <si>
    <t>https://dfp529wcvahka.cloudfront.net/ws/GalleryEntry/ezQez/video/gEva98uO.dat</t>
  </si>
  <si>
    <t>https://dfp529wcvahka.cloudfront.net/ws/GalleryEntry/ezQez/video_preview/zIT0gp4K.png</t>
  </si>
  <si>
    <t>EBEL0</t>
  </si>
  <si>
    <t>https://dfp529wcvahka.cloudfront.net/ws/GalleryEntry/EBEL0/video/FJZZnc5H.dat</t>
  </si>
  <si>
    <t>https://dfp529wcvahka.cloudfront.net/ws/GalleryEntry/EBEL0/video_preview/sg0gFp2J.png</t>
  </si>
  <si>
    <t>4Ld2q</t>
  </si>
  <si>
    <t>https://dfp529wcvahka.cloudfront.net/ws/GalleryEntry/4Ld2q/video/vxMmzM88.dat</t>
  </si>
  <si>
    <t>https://dfp529wcvahka.cloudfront.net/ws/GalleryEntry/4Ld2q/video_preview/UYSBlL1p.png</t>
  </si>
  <si>
    <t>5G1B5</t>
  </si>
  <si>
    <t>https://dfp529wcvahka.cloudfront.net/ws/GalleryEntry/5G1B5/video/M6obHEmG.dat</t>
  </si>
  <si>
    <t>https://dfp529wcvahka.cloudfront.net/ws/GalleryEntry/5G1B5/video_preview/v6HVJ0eD.png</t>
  </si>
  <si>
    <t>BNPjd</t>
  </si>
  <si>
    <t>https://dfp529wcvahka.cloudfront.net/ws/GalleryEntry/BNPjd/video/Xy53TY2n.dat</t>
  </si>
  <si>
    <t>https://dfp529wcvahka.cloudfront.net/ws/GalleryEntry/BNPjd/video_preview/VeMILkYC.png</t>
  </si>
  <si>
    <t>MmXa9</t>
  </si>
  <si>
    <t>https://dfp529wcvahka.cloudfront.net/ws/GalleryEntry/MmXa9/video/jg4DIffY.dat</t>
  </si>
  <si>
    <t>https://dfp529wcvahka.cloudfront.net/ws/GalleryEntry/MmXa9/video_preview/J6SnZolv.png</t>
  </si>
  <si>
    <t>vMdWJ</t>
  </si>
  <si>
    <t>https://dfp529wcvahka.cloudfront.net/ws/GalleryEntry/vMdWJ/video/RaotZSxC.dat</t>
  </si>
  <si>
    <t>https://dfp529wcvahka.cloudfront.net/ws/GalleryEntry/vMdWJ/video_preview/sSLCSjru.png</t>
  </si>
  <si>
    <t>eDdjE</t>
  </si>
  <si>
    <t>https://dfp529wcvahka.cloudfront.net/ws/GalleryEntry/eDdjE/video/x4In0LDr.dat</t>
  </si>
  <si>
    <t>https://dfp529wcvahka.cloudfront.net/ws/GalleryEntry/eDdjE/video_preview/j6w4YB3u.png</t>
  </si>
  <si>
    <t>AMR1N</t>
  </si>
  <si>
    <t>https://dfp529wcvahka.cloudfront.net/ws/GalleryEntry/AMR1N/video/FHBrFP2r.dat</t>
  </si>
  <si>
    <t>https://dfp529wcvahka.cloudfront.net/ws/GalleryEntry/AMR1N/video_preview/YzkCW019.png</t>
  </si>
  <si>
    <t>ZL8zX</t>
  </si>
  <si>
    <t>https://dfp529wcvahka.cloudfront.net/ws/GalleryEntry/ZL8zX/video/Q7V0G3Ad.dat</t>
  </si>
  <si>
    <t>https://dfp529wcvahka.cloudfront.net/ws/GalleryEntry/ZL8zX/video_preview/9XJSBhwM.png</t>
  </si>
  <si>
    <t>bjjNm</t>
  </si>
  <si>
    <t>https://dfp529wcvahka.cloudfront.net/ws/GalleryEntry/bjjNm/video/dzgurb6V.dat</t>
  </si>
  <si>
    <t>https://dfp529wcvahka.cloudfront.net/ws/GalleryEntry/bjjNm/video_preview/xhoMHDlH.png</t>
  </si>
  <si>
    <t>xNzX1</t>
  </si>
  <si>
    <t>https://dfp529wcvahka.cloudfront.net/ws/GalleryEntry/xNzX1/video/rha2FK2E.dat</t>
  </si>
  <si>
    <t>https://dfp529wcvahka.cloudfront.net/ws/GalleryEntry/xNzX1/video_preview/LAVJIWd2.png</t>
  </si>
  <si>
    <t>x3yyd</t>
  </si>
  <si>
    <t>https://dfp529wcvahka.cloudfront.net/ws/GalleryEntry/x3yyd/video/j7tqx0UI.dat</t>
  </si>
  <si>
    <t>https://dfp529wcvahka.cloudfront.net/ws/GalleryEntry/x3yyd/video_preview/8ik1RITJ.png</t>
  </si>
  <si>
    <t>1ppo0</t>
  </si>
  <si>
    <t>https://dfp529wcvahka.cloudfront.net/ws/GalleryEntry/1ppo0/video/ZTjIlkQX.dat</t>
  </si>
  <si>
    <t>https://dfp529wcvahka.cloudfront.net/ws/GalleryEntry/1ppo0/video_preview/wOSTMQFp.png</t>
  </si>
  <si>
    <t>bd98w</t>
  </si>
  <si>
    <t>https://dfp529wcvahka.cloudfront.net/ws/GalleryEntry/bd98w/video/JowiKATV.dat</t>
  </si>
  <si>
    <t>https://dfp529wcvahka.cloudfront.net/ws/GalleryEntry/bd98w/video_preview/qX3JsbpG.png</t>
  </si>
  <si>
    <t>jg255</t>
  </si>
  <si>
    <t>https://dfp529wcvahka.cloudfront.net/ws/GalleryEntry/jg255/video/SmX7GwKR.dat</t>
  </si>
  <si>
    <t>https://dfp529wcvahka.cloudfront.net/ws/GalleryEntry/jg255/video_preview/YFqoXeXi.png</t>
  </si>
  <si>
    <t>bdpx7</t>
  </si>
  <si>
    <t>https://dfp529wcvahka.cloudfront.net/ws/GalleryEntry/bdpx7/video/DRb7Tm6d.dat</t>
  </si>
  <si>
    <t>https://dfp529wcvahka.cloudfront.net/ws/GalleryEntry/bdpx7/video_preview/JLQJX2E6.png</t>
  </si>
  <si>
    <t>RMlR7</t>
  </si>
  <si>
    <t>https://dfp529wcvahka.cloudfront.net/ws/GalleryEntry/RMlR7/video/RGppCLXG.dat</t>
  </si>
  <si>
    <t>https://dfp529wcvahka.cloudfront.net/ws/GalleryEntry/RMlR7/video_preview/dh8NAy9J.png</t>
  </si>
  <si>
    <t>VeJ65</t>
  </si>
  <si>
    <t>https://dfp529wcvahka.cloudfront.net/ws/GalleryEntry/VeJ65/video/FFxPEIMa.dat</t>
  </si>
  <si>
    <t>https://dfp529wcvahka.cloudfront.net/ws/GalleryEntry/VeJ65/video_preview/QpirxDnX.png</t>
  </si>
  <si>
    <t>0QJQe</t>
  </si>
  <si>
    <t>https://dfp529wcvahka.cloudfront.net/ws/GalleryEntry/0QJQe/video/Q7P2wj7M.dat</t>
  </si>
  <si>
    <t>https://dfp529wcvahka.cloudfront.net/ws/GalleryEntry/0QJQe/video_preview/qc2LnL7U.png</t>
  </si>
  <si>
    <t>Lgzg6</t>
  </si>
  <si>
    <t>https://dfp529wcvahka.cloudfront.net/ws/GalleryEntry/Lgzg6/video/D8D2T7sc.dat</t>
  </si>
  <si>
    <t>https://dfp529wcvahka.cloudfront.net/ws/GalleryEntry/Lgzg6/video_preview/qmliG9ng.png</t>
  </si>
  <si>
    <t>FullID</t>
  </si>
  <si>
    <t>y-shape</t>
  </si>
  <si>
    <t>car_water</t>
  </si>
  <si>
    <t>car_hitbox</t>
  </si>
  <si>
    <t>Metric</t>
  </si>
  <si>
    <t>Jaccard</t>
  </si>
  <si>
    <t>Gower</t>
  </si>
  <si>
    <t>Validation</t>
  </si>
  <si>
    <t>DkSh-straight</t>
  </si>
  <si>
    <t>DkSh-arch</t>
  </si>
  <si>
    <t>DkSh-inclined</t>
  </si>
  <si>
    <t>DkSh-declined</t>
  </si>
  <si>
    <t>DkSh-ramp</t>
  </si>
  <si>
    <t>DkSh-s-shape</t>
  </si>
  <si>
    <t>DkSh-platform</t>
  </si>
  <si>
    <t>DkSh-landing_platform</t>
  </si>
  <si>
    <t>DkSh-inverted_arch</t>
  </si>
  <si>
    <t>DkSh-loop</t>
  </si>
  <si>
    <t>DkSh-Validation</t>
  </si>
  <si>
    <t>P_A4T-KYY-S_1Q4</t>
  </si>
  <si>
    <t>OK</t>
  </si>
  <si>
    <t>P_A4T-ZSB-S_7W0</t>
  </si>
  <si>
    <t>P_A4T-ZSB-S_9F6</t>
  </si>
  <si>
    <t>P_A4T-KYY-S_0M4</t>
  </si>
  <si>
    <t>P_A4T-KYY-S_1B0</t>
  </si>
  <si>
    <t>P_A4T-KYY-S_4U3</t>
  </si>
  <si>
    <t>P_A4T-KYY-S_6B5</t>
  </si>
  <si>
    <t>P_A4T-KYY-S_6U7</t>
  </si>
  <si>
    <t>P_A4T-ZSB-S_0T2</t>
  </si>
  <si>
    <t>P_A4T-ZSB-S_1J8</t>
  </si>
  <si>
    <t>P_A4T-ZSB-S_1U0</t>
  </si>
  <si>
    <t>P_A4T-ZSB-S_3X6</t>
  </si>
  <si>
    <t>P_A4T-ZSB-S_8O8</t>
  </si>
  <si>
    <t>P_A4T-ZSB-S_9B4</t>
  </si>
  <si>
    <t>P_A4T-ZSB-S_9T2</t>
  </si>
  <si>
    <t>P_A6W-KYY-S_0M4</t>
  </si>
  <si>
    <t>P_A6W-KYY-S_1B0</t>
  </si>
  <si>
    <t>P_A6W-KYY-S_1Q4</t>
  </si>
  <si>
    <t>P_A6W-KYY-S_6B5</t>
  </si>
  <si>
    <t>P_A6W-KYY-S_6U7</t>
  </si>
  <si>
    <t>P_A6W-ZSB-S_0T2</t>
  </si>
  <si>
    <t>P_A6W-ZSB-S_1J8</t>
  </si>
  <si>
    <t>P_A6W-ZSB-S_1U0</t>
  </si>
  <si>
    <t>P_A6W-ZSB-S_3X6</t>
  </si>
  <si>
    <t>P_A6W-ZSB-S_4U3</t>
  </si>
  <si>
    <t>P_A6W-ZSB-S_7W0</t>
  </si>
  <si>
    <t>P_A6W-ZSB-S_8O8</t>
  </si>
  <si>
    <t>P_A6W-ZSB-S_9B4</t>
  </si>
  <si>
    <t>P_A6W-ZSB-S_9F6</t>
  </si>
  <si>
    <t>P_B0Z-KYY-S_0M4</t>
  </si>
  <si>
    <t>P_B0Z-KYY-S_1B0</t>
  </si>
  <si>
    <t>P_B0Z-KYY-S_1Q4</t>
  </si>
  <si>
    <t>P_B0Z-KYY-S_6U7</t>
  </si>
  <si>
    <t>P_B0Z-ZSB-S_3X6</t>
  </si>
  <si>
    <t>P_B0Z-ZSB-S_4U3</t>
  </si>
  <si>
    <t>P_B0Z-ZSB-S_6B5</t>
  </si>
  <si>
    <t>P_B0Z-ZSB-S_7W0</t>
  </si>
  <si>
    <t>P_B0Z-ZSB-S_9B4</t>
  </si>
  <si>
    <t>P_B2P-KYY-S_0M4</t>
  </si>
  <si>
    <t>P_B2P-KYY-S_1B0</t>
  </si>
  <si>
    <t>P_B2P-KYY-S_1Q4</t>
  </si>
  <si>
    <t>P_B2P-KYY-S_6U7</t>
  </si>
  <si>
    <t>P_B2P-ZSB-S_4U3</t>
  </si>
  <si>
    <t>P_B2P-ZSB-S_6B5</t>
  </si>
  <si>
    <t>P_B7Q-KYY-S_0M4</t>
  </si>
  <si>
    <t>P_B7Q-KYY-S_1B0</t>
  </si>
  <si>
    <t>P_B7Q-KYY-S_1Q4</t>
  </si>
  <si>
    <t>P_B7Q-KYY-S_4U3</t>
  </si>
  <si>
    <t>P_B7Q-KYY-S_6B5</t>
  </si>
  <si>
    <t>P_B7Q-KYY-S_6U7</t>
  </si>
  <si>
    <t>P_B7Q-KYY-S_7W0</t>
  </si>
  <si>
    <t>P_B7Q-ZSB-S_0T2</t>
  </si>
  <si>
    <t>P_B7Q-ZSB-S_1J8</t>
  </si>
  <si>
    <t>P_B7Q-ZSB-S_1U0</t>
  </si>
  <si>
    <t>P_B7Q-ZSB-S_3X6</t>
  </si>
  <si>
    <t>P_B7Q-ZSB-S_3X7</t>
  </si>
  <si>
    <t>P_B7Q-ZSB-S_8O8</t>
  </si>
  <si>
    <t>P_B7Q-ZSB-S_9B4</t>
  </si>
  <si>
    <t>P_B7Q-ZSB-S_9E0</t>
  </si>
  <si>
    <t>P_B7Q-ZSB-S_9F6</t>
  </si>
  <si>
    <t>P_B7Q-ZSB-S_9T2</t>
  </si>
  <si>
    <t>P_D8O-KYY-S_4U3</t>
  </si>
  <si>
    <t>P_D8O-ZSB-S_8I8</t>
  </si>
  <si>
    <t>P_D8O-KYY-S_0M4</t>
  </si>
  <si>
    <t>P_D8O-KYY-S_0T2</t>
  </si>
  <si>
    <t>P_D8O-KYY-S_1B0</t>
  </si>
  <si>
    <t>P_D8O-KYY-S_1Q4</t>
  </si>
  <si>
    <t>P_D8O-KYY-S_3X6</t>
  </si>
  <si>
    <t>P_D8O-KYY-S_6B5</t>
  </si>
  <si>
    <t>P_D8O-KYY-S_6U7</t>
  </si>
  <si>
    <t>P_D8O-KYY-S_7W0</t>
  </si>
  <si>
    <t>P_D8O-KYY-S_9B4</t>
  </si>
  <si>
    <t>P_D8O-ZSB-S_1J8</t>
  </si>
  <si>
    <t>P_D8O-ZSB-S_1U0</t>
  </si>
  <si>
    <t>P_D8O-ZSB-S_3B9</t>
  </si>
  <si>
    <t>P_D8O-ZSB-S_3X7</t>
  </si>
  <si>
    <t>P_D8O-ZSB-S_8A5</t>
  </si>
  <si>
    <t>P_D8O-ZSB-S_8O8</t>
  </si>
  <si>
    <t>P_D8O-ZSB-S_9E0</t>
  </si>
  <si>
    <t>P_D8O-ZSB-S_9F6</t>
  </si>
  <si>
    <t>P_D8O-ZSB-S_9T2</t>
  </si>
  <si>
    <t>P_D8O-ZSB-S_9X8</t>
  </si>
  <si>
    <t>P_G7R-KYY-S_0M4</t>
  </si>
  <si>
    <t>P_G7R-KYY-S_1B0</t>
  </si>
  <si>
    <t>P_G7R-KYY-S_1Q4</t>
  </si>
  <si>
    <t>P_G7R-KYY-S_4U3</t>
  </si>
  <si>
    <t>P_G7R-KYY-S_6B5</t>
  </si>
  <si>
    <t>P_G7R-KYY-S_6U7</t>
  </si>
  <si>
    <t>P_G7R-KYY-S_7W0</t>
  </si>
  <si>
    <t>P_G7R-ZSB-S_0T2</t>
  </si>
  <si>
    <t>P_G7R-ZSB-S_1J8</t>
  </si>
  <si>
    <t>P_G7R-ZSB-S_1U0</t>
  </si>
  <si>
    <t>P_G7R-ZSB-S_3X6</t>
  </si>
  <si>
    <t>P_G7R-ZSB-S_3X7</t>
  </si>
  <si>
    <t>P_G7R-ZSB-S_8O8</t>
  </si>
  <si>
    <t>P_G7R-ZSB-S_9B4</t>
  </si>
  <si>
    <t>P_G7R-ZSB-S_9F6</t>
  </si>
  <si>
    <t>P_G7R-ZSB-S_9T2</t>
  </si>
  <si>
    <t>P_H7P-ZSB-S_0T2</t>
  </si>
  <si>
    <t>P_H7P-ZSB-S_1J8</t>
  </si>
  <si>
    <t>P_H7P-KYY-S_0M4</t>
  </si>
  <si>
    <t>P_H7P-KYY-S_1B0</t>
  </si>
  <si>
    <t>P_H7P-KYY-S_1Q4</t>
  </si>
  <si>
    <t>P_H7P-KYY-S_3X6</t>
  </si>
  <si>
    <t>P_H7P-KYY-S_4U3</t>
  </si>
  <si>
    <t>P_H7P-KYY-S_6B5</t>
  </si>
  <si>
    <t>P_H7P-KYY-S_6U7</t>
  </si>
  <si>
    <t>P_H7P-KYY-S_7W0</t>
  </si>
  <si>
    <t>P_H7P-KYY-S_9B4</t>
  </si>
  <si>
    <t>P_H7P-ZSB-S_1U0</t>
  </si>
  <si>
    <t>P_H7P-ZSB-S_3A8</t>
  </si>
  <si>
    <t>P_H7P-ZSB-S_3B9</t>
  </si>
  <si>
    <t>P_H7P-ZSB-S_3X7</t>
  </si>
  <si>
    <t>P_H7P-ZSB-S_8A5</t>
  </si>
  <si>
    <t>P_H7P-ZSB-S_8D0</t>
  </si>
  <si>
    <t>P_H7P-ZSB-S_8I8</t>
  </si>
  <si>
    <t>P_H7P-ZSB-S_8O8</t>
  </si>
  <si>
    <t>P_H7P-ZSB-S_9E0</t>
  </si>
  <si>
    <t>P_H7P-ZSB-S_9F6</t>
  </si>
  <si>
    <t>P_H7P-ZSB-S_9T2</t>
  </si>
  <si>
    <t>P_H7P-ZSB-S_9X8</t>
  </si>
  <si>
    <t>P_I7A-KYY-S_9F6</t>
  </si>
  <si>
    <t>P_I7A-KYY-S_0M4</t>
  </si>
  <si>
    <t>P_I7A-KYY-S_0T2</t>
  </si>
  <si>
    <t>P_I7A-KYY-S_1B0</t>
  </si>
  <si>
    <t>P_I7A-KYY-S_1J8</t>
  </si>
  <si>
    <t>P_I7A-KYY-S_1Q4</t>
  </si>
  <si>
    <t>P_I7A-KYY-S_1U0</t>
  </si>
  <si>
    <t>P_I7A-KYY-S_3X6</t>
  </si>
  <si>
    <t>P_I7A-KYY-S_4U3</t>
  </si>
  <si>
    <t>P_I7A-KYY-S_6B5</t>
  </si>
  <si>
    <t>P_I7A-KYY-S_6U7</t>
  </si>
  <si>
    <t>P_I7A-KYY-S_7W0</t>
  </si>
  <si>
    <t>P_I7A-KYY-S_8O8</t>
  </si>
  <si>
    <t>P_I7A-KYY-S_9B4</t>
  </si>
  <si>
    <t>P_I7A-ZSB-S_2I5</t>
  </si>
  <si>
    <t>P_I7A-ZSB-S_3A8</t>
  </si>
  <si>
    <t>P_I7A-ZSB-S_3B9</t>
  </si>
  <si>
    <t>P_I7A-ZSB-S_3X7</t>
  </si>
  <si>
    <t>P_I7A-ZSB-S_4B4</t>
  </si>
  <si>
    <t>P_I7A-ZSB-S_5N2</t>
  </si>
  <si>
    <t>P_I7A-ZSB-S_7X6</t>
  </si>
  <si>
    <t>P_I7A-ZSB-S_8A5</t>
  </si>
  <si>
    <t>P_I7A-ZSB-S_8C2</t>
  </si>
  <si>
    <t>P_I7A-ZSB-S_8D0</t>
  </si>
  <si>
    <t>P_I7A-ZSB-S_8I8</t>
  </si>
  <si>
    <t>P_I7A-ZSB-S_9E0</t>
  </si>
  <si>
    <t>P_I7A-ZSB-S_9T2</t>
  </si>
  <si>
    <t>P_I7A-ZSB-S_9X8</t>
  </si>
  <si>
    <t>P_I9B-KYY-S_0M4</t>
  </si>
  <si>
    <t>P_I9B-KYY-S_1B0</t>
  </si>
  <si>
    <t>P_I9B-KYY-S_1Q4</t>
  </si>
  <si>
    <t>P_I9B-KYY-S_6B5</t>
  </si>
  <si>
    <t>P_I9B-KYY-S_6U7</t>
  </si>
  <si>
    <t>P_I9B-ZSB-S_0T2</t>
  </si>
  <si>
    <t>P_I9B-ZSB-S_1J8</t>
  </si>
  <si>
    <t>P_I9B-ZSB-S_1U0</t>
  </si>
  <si>
    <t>P_I9B-ZSB-S_3X6</t>
  </si>
  <si>
    <t>P_I9B-ZSB-S_4U3</t>
  </si>
  <si>
    <t>P_I9B-ZSB-S_7W0</t>
  </si>
  <si>
    <t>P_I9B-ZSB-S_8O8</t>
  </si>
  <si>
    <t>P_I9B-ZSB-S_9B4</t>
  </si>
  <si>
    <t>P_I9B-ZSB-S_9F6</t>
  </si>
  <si>
    <t>P_I9B-ZSB-S_9T2</t>
  </si>
  <si>
    <t>P_J8S-KYY-S_0M4</t>
  </si>
  <si>
    <t>P_J8S-KYY-S_0T2</t>
  </si>
  <si>
    <t>P_J8S-KYY-S_1B0</t>
  </si>
  <si>
    <t>P_J8S-KYY-S_1Q4</t>
  </si>
  <si>
    <t>P_J8S-KYY-S_1U0</t>
  </si>
  <si>
    <t>P_J8S-KYY-S_3X6</t>
  </si>
  <si>
    <t>P_J8S-KYY-S_4U3</t>
  </si>
  <si>
    <t>P_J8S-KYY-S_6B5</t>
  </si>
  <si>
    <t>P_J8S-KYY-S_6U7</t>
  </si>
  <si>
    <t>P_J8S-KYY-S_7W0</t>
  </si>
  <si>
    <t>P_J8S-KYY-S_9B4</t>
  </si>
  <si>
    <t>P_J8S-ZSB-S_1J8</t>
  </si>
  <si>
    <t>P_J8S-ZSB-S_3B9</t>
  </si>
  <si>
    <t>P_J8S-ZSB-S_3X7</t>
  </si>
  <si>
    <t>P_J8S-ZSB-S_8A5</t>
  </si>
  <si>
    <t>P_J8S-ZSB-S_8D0</t>
  </si>
  <si>
    <t>P_J8S-ZSB-S_8I8</t>
  </si>
  <si>
    <t>P_J8S-ZSB-S_8O8</t>
  </si>
  <si>
    <t>P_J8S-ZSB-S_9E0</t>
  </si>
  <si>
    <t>P_J8S-ZSB-S_9F6</t>
  </si>
  <si>
    <t>P_J8S-ZSB-S_9T2</t>
  </si>
  <si>
    <t>P_J8S-ZSB-S_9X8</t>
  </si>
  <si>
    <t>P_K5X-KYY-S_0M4</t>
  </si>
  <si>
    <t>P_K5X-KYY-S_0T2</t>
  </si>
  <si>
    <t>P_K5X-KYY-S_1B0</t>
  </si>
  <si>
    <t>P_K5X-KYY-S_1J8</t>
  </si>
  <si>
    <t>P_K5X-KYY-S_1Q4</t>
  </si>
  <si>
    <t>P_K5X-KYY-S_1U0</t>
  </si>
  <si>
    <t>P_K5X-KYY-S_3X6</t>
  </si>
  <si>
    <t>P_K5X-KYY-S_4U3</t>
  </si>
  <si>
    <t>P_K5X-KYY-S_6B5</t>
  </si>
  <si>
    <t>P_K5X-KYY-S_6U7</t>
  </si>
  <si>
    <t>P_K5X-KYY-S_7W0</t>
  </si>
  <si>
    <t>P_K5X-KYY-S_9B4</t>
  </si>
  <si>
    <t>P_K5X-ZSB-S_2I5</t>
  </si>
  <si>
    <t>P_K5X-ZSB-S_3A8</t>
  </si>
  <si>
    <t>P_K5X-ZSB-S_3B9</t>
  </si>
  <si>
    <t>P_K5X-ZSB-S_3X7</t>
  </si>
  <si>
    <t>P_K5X-ZSB-S_5N2</t>
  </si>
  <si>
    <t>P_K5X-ZSB-S_7X6</t>
  </si>
  <si>
    <t>P_K5X-ZSB-S_8A5</t>
  </si>
  <si>
    <t>P_K5X-ZSB-S_8D0</t>
  </si>
  <si>
    <t>P_K5X-ZSB-S_8I8</t>
  </si>
  <si>
    <t>P_K5X-ZSB-S_8O8</t>
  </si>
  <si>
    <t>P_K5X-ZSB-S_9E0</t>
  </si>
  <si>
    <t>P_K5X-ZSB-S_9F6</t>
  </si>
  <si>
    <t>P_K5X-ZSB-S_9T2</t>
  </si>
  <si>
    <t>P_K5X-ZSB-S_9X8</t>
  </si>
  <si>
    <t>P_L3X-KYY-S_0M4</t>
  </si>
  <si>
    <t>P_L3X-KYY-S_1B0</t>
  </si>
  <si>
    <t>P_L3X-KYY-S_1Q4</t>
  </si>
  <si>
    <t>P_L3X-KYY-S_4U3</t>
  </si>
  <si>
    <t>P_L3X-KYY-S_6B5</t>
  </si>
  <si>
    <t>P_L3X-KYY-S_6U7</t>
  </si>
  <si>
    <t>P_L3X-KYY-S_7W0</t>
  </si>
  <si>
    <t>P_L3X-ZSB-S_0T2</t>
  </si>
  <si>
    <t>P_L3X-ZSB-S_1J8</t>
  </si>
  <si>
    <t>P_L3X-ZSB-S_1U0</t>
  </si>
  <si>
    <t>P_L3X-ZSB-S_3X6</t>
  </si>
  <si>
    <t>P_L3X-ZSB-S_8O8</t>
  </si>
  <si>
    <t>P_L3X-ZSB-S_9B4</t>
  </si>
  <si>
    <t>P_L3X-ZSB-S_9F6</t>
  </si>
  <si>
    <t>P_L3X-ZSB-S_9T2</t>
  </si>
  <si>
    <t>P_L4V-KYY-S_0M4</t>
  </si>
  <si>
    <t>P_L4V-KYY-S_0T2</t>
  </si>
  <si>
    <t>P_L4V-KYY-S_1B0</t>
  </si>
  <si>
    <t>P_L4V-KYY-S_1J8</t>
  </si>
  <si>
    <t>P_L4V-KYY-S_1Q4</t>
  </si>
  <si>
    <t>P_L4V-KYY-S_1U0</t>
  </si>
  <si>
    <t>P_L4V-KYY-S_3X6</t>
  </si>
  <si>
    <t>P_L4V-KYY-S_3X7</t>
  </si>
  <si>
    <t>P_L4V-KYY-S_4U3</t>
  </si>
  <si>
    <t>P_L4V-KYY-S_6B5</t>
  </si>
  <si>
    <t>P_L4V-KYY-S_6U7</t>
  </si>
  <si>
    <t>P_L4V-KYY-S_7W0</t>
  </si>
  <si>
    <t>P_L4V-KYY-S_8O8</t>
  </si>
  <si>
    <t>P_L4V-KYY-S_9B4</t>
  </si>
  <si>
    <t>P_L4V-KYY-S_9E0</t>
  </si>
  <si>
    <t>P_L4V-KYY-S_9F6</t>
  </si>
  <si>
    <t>P_L4V-KYY-S_9T2</t>
  </si>
  <si>
    <t>P_L4V-ZSB-S_1X1</t>
  </si>
  <si>
    <t>P_L4V-ZSB-S_2I5</t>
  </si>
  <si>
    <t>P_L4V-ZSB-S_3A8</t>
  </si>
  <si>
    <t>P_L4V-ZSB-S_3B9</t>
  </si>
  <si>
    <t>P_L4V-ZSB-S_4B4</t>
  </si>
  <si>
    <t>P_L4V-ZSB-S_5N2</t>
  </si>
  <si>
    <t>P_L4V-ZSB-S_6I4</t>
  </si>
  <si>
    <t>P_L4V-ZSB-S_7X6</t>
  </si>
  <si>
    <t>P_L4V-ZSB-S_7Y0</t>
  </si>
  <si>
    <t>P_L4V-ZSB-S_8A5</t>
  </si>
  <si>
    <t>P_L4V-ZSB-S_8C2</t>
  </si>
  <si>
    <t>P_L4V-ZSB-S_8D0</t>
  </si>
  <si>
    <t>P_L4V-ZSB-S_8I8</t>
  </si>
  <si>
    <t>P_L4V-ZSB-S_9X8</t>
  </si>
  <si>
    <t>P_L7K-KYY-S_0M4</t>
  </si>
  <si>
    <t>P_L7K-KYY-S_1B0</t>
  </si>
  <si>
    <t>P_L7K-KYY-S_1Q4</t>
  </si>
  <si>
    <t>P_L7K-KYY-S_6U7</t>
  </si>
  <si>
    <t>P_L7K-ZSB-S_4U3</t>
  </si>
  <si>
    <t>P_L7K-ZSB-S_6B5</t>
  </si>
  <si>
    <t>P_M4M-KYY-S_0M4</t>
  </si>
  <si>
    <t>P_M4M-KYY-S_1B0</t>
  </si>
  <si>
    <t>P_M4M-KYY-S_1Q4</t>
  </si>
  <si>
    <t>P_M4M-ZSB-S_6U7</t>
  </si>
  <si>
    <t>P_M8L-KYY-S_0M4</t>
  </si>
  <si>
    <t>P_M8L-KYY-S_1B0</t>
  </si>
  <si>
    <t>P_M8L-KYY-S_1Q4</t>
  </si>
  <si>
    <t>P_M8L-KYY-S_4U3</t>
  </si>
  <si>
    <t>P_M8L-KYY-S_6B5</t>
  </si>
  <si>
    <t>P_M8L-KYY-S_6U7</t>
  </si>
  <si>
    <t>P_M8L-ZSB-S_0T2</t>
  </si>
  <si>
    <t>P_M8L-ZSB-S_1J8</t>
  </si>
  <si>
    <t>P_M8L-ZSB-S_1U0</t>
  </si>
  <si>
    <t>P_M8L-ZSB-S_3X6</t>
  </si>
  <si>
    <t>P_M8L-ZSB-S_7W0</t>
  </si>
  <si>
    <t>P_M8L-ZSB-S_8O8</t>
  </si>
  <si>
    <t>P_M8L-ZSB-S_9B4</t>
  </si>
  <si>
    <t>P_M8L-ZSB-S_9F6</t>
  </si>
  <si>
    <t>P_N5O-KYY-S_0M4</t>
  </si>
  <si>
    <t>P_N5O-KYY-S_1B0</t>
  </si>
  <si>
    <t>P_N5O-KYY-S_1Q4</t>
  </si>
  <si>
    <t>P_N5O-ZSB-S_4U3</t>
  </si>
  <si>
    <t>P_N5O-ZSB-S_6B5</t>
  </si>
  <si>
    <t>P_N5O-ZSB-S_6U7</t>
  </si>
  <si>
    <t>P_O7W-KYY-S_0M4</t>
  </si>
  <si>
    <t>P_O7W-KYY-S_1B0</t>
  </si>
  <si>
    <t>P_O7W-KYY-S_1Q4</t>
  </si>
  <si>
    <t>P_O7W-KYY-S_4U3</t>
  </si>
  <si>
    <t>P_O7W-KYY-S_6B5</t>
  </si>
  <si>
    <t>P_O7W-KYY-S_6U7</t>
  </si>
  <si>
    <t>P_O7W-ZSB-S_0T2</t>
  </si>
  <si>
    <t>P_O7W-ZSB-S_1J8</t>
  </si>
  <si>
    <t>P_O7W-ZSB-S_1U0</t>
  </si>
  <si>
    <t>P_O7W-ZSB-S_3B9</t>
  </si>
  <si>
    <t>P_O7W-ZSB-S_3X6</t>
  </si>
  <si>
    <t>P_O7W-ZSB-S_3X7</t>
  </si>
  <si>
    <t>P_O7W-ZSB-S_7W0</t>
  </si>
  <si>
    <t>P_O7W-ZSB-S_8I8</t>
  </si>
  <si>
    <t>P_O7W-ZSB-S_8O8</t>
  </si>
  <si>
    <t>P_O7W-ZSB-S_9B4</t>
  </si>
  <si>
    <t>P_O7W-ZSB-S_9E0</t>
  </si>
  <si>
    <t>P_O7W-ZSB-S_9F6</t>
  </si>
  <si>
    <t>P_O7W-ZSB-S_9T2</t>
  </si>
  <si>
    <t>P_P8M-KYY-S_0M4</t>
  </si>
  <si>
    <t>P_P8M-KYY-S_1B0</t>
  </si>
  <si>
    <t>P_P8M-KYY-S_1Q4</t>
  </si>
  <si>
    <t>P_P8M-KYY-S_6U7</t>
  </si>
  <si>
    <t>P_P8M-ZSB-S_0T2</t>
  </si>
  <si>
    <t>P_P8M-ZSB-S_3X6</t>
  </si>
  <si>
    <t>P_P8M-ZSB-S_4U3</t>
  </si>
  <si>
    <t>P_P8M-ZSB-S_6B5</t>
  </si>
  <si>
    <t>P_P8M-ZSB-S_7W0</t>
  </si>
  <si>
    <t>P_P8M-ZSB-S_9B4</t>
  </si>
  <si>
    <t>P_S3X-KYY-S_0M4</t>
  </si>
  <si>
    <t>P_S3X-KYY-S_0T2</t>
  </si>
  <si>
    <t>P_S3X-KYY-S_1B0</t>
  </si>
  <si>
    <t>P_S3X-KYY-S_1Q4</t>
  </si>
  <si>
    <t>P_S3X-KYY-S_3X6</t>
  </si>
  <si>
    <t>P_S3X-KYY-S_4U3</t>
  </si>
  <si>
    <t>P_S3X-KYY-S_6B5</t>
  </si>
  <si>
    <t>P_S3X-KYY-S_6U7</t>
  </si>
  <si>
    <t>P_S3X-KYY-S_7W0</t>
  </si>
  <si>
    <t>P_S3X-KYY-S_9B4</t>
  </si>
  <si>
    <t>P_S3X-ZSB-S_1J8</t>
  </si>
  <si>
    <t>P_S3X-ZSB-S_1U0</t>
  </si>
  <si>
    <t>P_S3X-ZSB-S_3B9</t>
  </si>
  <si>
    <t>P_S3X-ZSB-S_3X7</t>
  </si>
  <si>
    <t>P_S3X-ZSB-S_8A5</t>
  </si>
  <si>
    <t>P_S3X-ZSB-S_8D0</t>
  </si>
  <si>
    <t>P_S3X-ZSB-S_8I8</t>
  </si>
  <si>
    <t>P_S3X-ZSB-S_8O8</t>
  </si>
  <si>
    <t>P_S3X-ZSB-S_9E0</t>
  </si>
  <si>
    <t>P_S3X-ZSB-S_9F6</t>
  </si>
  <si>
    <t>P_S3X-ZSB-S_9T2</t>
  </si>
  <si>
    <t>P_S3X-ZSB-S_9X8</t>
  </si>
  <si>
    <t>P_T4B-KYY-S_0M4</t>
  </si>
  <si>
    <t>P_T4B-KYY-S_1B0</t>
  </si>
  <si>
    <t>P_T4B-KYY-S_1Q4</t>
  </si>
  <si>
    <t>P_T4B-KYY-S_4U3</t>
  </si>
  <si>
    <t>P_T4B-KYY-S_6B5</t>
  </si>
  <si>
    <t>P_T4B-KYY-S_6U7</t>
  </si>
  <si>
    <t>P_T4B-KYY-S_7W0</t>
  </si>
  <si>
    <t>P_T4B-ZSB-S_0T2</t>
  </si>
  <si>
    <t>P_T4B-ZSB-S_1J8</t>
  </si>
  <si>
    <t>P_T4B-ZSB-S_1U0</t>
  </si>
  <si>
    <t>P_T4B-ZSB-S_3X6</t>
  </si>
  <si>
    <t>P_T4B-ZSB-S_3X7</t>
  </si>
  <si>
    <t>P_T4B-ZSB-S_8O8</t>
  </si>
  <si>
    <t>P_T4B-ZSB-S_9B4</t>
  </si>
  <si>
    <t>P_T4B-ZSB-S_9E0</t>
  </si>
  <si>
    <t>P_T4B-ZSB-S_9F6</t>
  </si>
  <si>
    <t>P_T4B-ZSB-S_9T2</t>
  </si>
  <si>
    <t>P_V1M-KYY-S_1B0</t>
  </si>
  <si>
    <t>P_V1M-KYY-S_0M4</t>
  </si>
  <si>
    <t>P_V1M-KYY-S_1Q4</t>
  </si>
  <si>
    <t>P_V1M-KYY-S_6U7</t>
  </si>
  <si>
    <t>P_V1M-ZSB-S_0T2</t>
  </si>
  <si>
    <t>P_V1M-ZSB-S_1J8</t>
  </si>
  <si>
    <t>P_V1M-ZSB-S_1U0</t>
  </si>
  <si>
    <t>P_V1M-ZSB-S_3X6</t>
  </si>
  <si>
    <t>P_V1M-ZSB-S_4U3</t>
  </si>
  <si>
    <t>P_V1M-ZSB-S_6B5</t>
  </si>
  <si>
    <t>P_V1M-ZSB-S_7W0</t>
  </si>
  <si>
    <t>P_V1M-ZSB-S_9B4</t>
  </si>
  <si>
    <t>P_V2A-KYY-S_0M4</t>
  </si>
  <si>
    <t>P_V2A-KYY-S_1B0</t>
  </si>
  <si>
    <t>P_V2A-KYY-S_1Q4</t>
  </si>
  <si>
    <t>P_V2A-KYY-S_4U3</t>
  </si>
  <si>
    <t>P_V2A-KYY-S_6B5</t>
  </si>
  <si>
    <t>P_V2A-KYY-S_6U7</t>
  </si>
  <si>
    <t>P_V2A-ZSB-S_0T2</t>
  </si>
  <si>
    <t>P_V2A-ZSB-S_1J8</t>
  </si>
  <si>
    <t>P_V2A-ZSB-S_1U0</t>
  </si>
  <si>
    <t>P_V2A-ZSB-S_3X6</t>
  </si>
  <si>
    <t>P_V2A-ZSB-S_3X7</t>
  </si>
  <si>
    <t>P_V2A-ZSB-S_7W0</t>
  </si>
  <si>
    <t>P_V2A-ZSB-S_8O8</t>
  </si>
  <si>
    <t>P_V2A-ZSB-S_9B4</t>
  </si>
  <si>
    <t>P_V2A-ZSB-S_9E0</t>
  </si>
  <si>
    <t>P_V2A-ZSB-S_9F6</t>
  </si>
  <si>
    <t>P_V2A-ZSB-S_9T2</t>
  </si>
  <si>
    <t>P_W5V-KYY-S_0M4</t>
  </si>
  <si>
    <t>P_W5V-KYY-S_1B0</t>
  </si>
  <si>
    <t>P_W5V-KYY-S_1Q4</t>
  </si>
  <si>
    <t>P_W5V-KYY-S_4U3</t>
  </si>
  <si>
    <t>P_W5V-KYY-S_6B5</t>
  </si>
  <si>
    <t>P_W5V-KYY-S_6U7</t>
  </si>
  <si>
    <t>P_W5V-KYY-S_7W0</t>
  </si>
  <si>
    <t>P_W5V-ZSB-S_0T2</t>
  </si>
  <si>
    <t>P_W5V-ZSB-S_1J8</t>
  </si>
  <si>
    <t>P_W5V-ZSB-S_1U0</t>
  </si>
  <si>
    <t>P_W5V-ZSB-S_3X6</t>
  </si>
  <si>
    <t>P_W5V-ZSB-S_9B4</t>
  </si>
  <si>
    <t>P_W6F-KYY-S_0M4</t>
  </si>
  <si>
    <t>P_W6F-KYY-S_1B0</t>
  </si>
  <si>
    <t>P_W6F-KYY-S_1Q4</t>
  </si>
  <si>
    <t>P_W6F-KYY-S_4U3</t>
  </si>
  <si>
    <t>P_W6F-KYY-S_6B5</t>
  </si>
  <si>
    <t>P_W6F-KYY-S_6U7</t>
  </si>
  <si>
    <t>P_W6F-KYY-S_7W0</t>
  </si>
  <si>
    <t>P_W6F-ZSB-S_0T2</t>
  </si>
  <si>
    <t>P_W6F-ZSB-S_1J8</t>
  </si>
  <si>
    <t>P_W6F-ZSB-S_1U0</t>
  </si>
  <si>
    <t>P_W6F-ZSB-S_3X6</t>
  </si>
  <si>
    <t>P_W6F-ZSB-S_3X7</t>
  </si>
  <si>
    <t>P_W6F-ZSB-S_8O8</t>
  </si>
  <si>
    <t>P_W6F-ZSB-S_9B4</t>
  </si>
  <si>
    <t>P_W6F-ZSB-S_9F6</t>
  </si>
  <si>
    <t>P_W6F-ZSB-S_9T2</t>
  </si>
  <si>
    <t>P_X0F-KYY-S_1B0</t>
  </si>
  <si>
    <t>P_X0F-KYY-S_1Q4</t>
  </si>
  <si>
    <t>P_X0F-ZSB-S_0M4</t>
  </si>
  <si>
    <t>P_X0F-ZSB-S_4U3</t>
  </si>
  <si>
    <t>P_X0F-ZSB-S_6B5</t>
  </si>
  <si>
    <t>P_X0F-ZSB-S_6U7</t>
  </si>
  <si>
    <t>P_X0F-ZSB-S_7W0</t>
  </si>
  <si>
    <t>P_X0T-KYY-S_0M4</t>
  </si>
  <si>
    <t>P_X0T-KYY-S_1B0</t>
  </si>
  <si>
    <t>P_X0T-KYY-S_1Q4</t>
  </si>
  <si>
    <t>P_X0T-KYY-S_6B5</t>
  </si>
  <si>
    <t>P_X0T-KYY-S_6U7</t>
  </si>
  <si>
    <t>P_X0T-ZSB-S_0T2</t>
  </si>
  <si>
    <t>P_X0T-ZSB-S_1U0</t>
  </si>
  <si>
    <t>P_X0T-ZSB-S_3X6</t>
  </si>
  <si>
    <t>P_X0T-ZSB-S_4U3</t>
  </si>
  <si>
    <t>P_X0T-ZSB-S_7W0</t>
  </si>
  <si>
    <t>P_X0T-ZSB-S_9B4</t>
  </si>
  <si>
    <t>P_X2G-KYY-S_0M4</t>
  </si>
  <si>
    <t>P_X2G-KYY-S_1B0</t>
  </si>
  <si>
    <t>P_X2G-KYY-S_1Q4</t>
  </si>
  <si>
    <t>P_X2G-KYY-S_3X6</t>
  </si>
  <si>
    <t>P_X2G-KYY-S_4U3</t>
  </si>
  <si>
    <t>P_X2G-KYY-S_6B5</t>
  </si>
  <si>
    <t>P_X2G-KYY-S_6U7</t>
  </si>
  <si>
    <t>P_X2G-KYY-S_7W0</t>
  </si>
  <si>
    <t>P_X2G-KYY-S_9B4</t>
  </si>
  <si>
    <t>P_X2G-ZSB-S_0T2</t>
  </si>
  <si>
    <t>P_X2G-ZSB-S_1J8</t>
  </si>
  <si>
    <t>P_X2G-ZSB-S_1U0</t>
  </si>
  <si>
    <t>P_X2G-ZSB-S_3B9</t>
  </si>
  <si>
    <t>P_X2G-ZSB-S_3X7</t>
  </si>
  <si>
    <t>P_X2G-ZSB-S_8I8</t>
  </si>
  <si>
    <t>P_X2G-ZSB-S_8O8</t>
  </si>
  <si>
    <t>P_X2G-ZSB-S_9E0</t>
  </si>
  <si>
    <t>P_X2G-ZSB-S_9F6</t>
  </si>
  <si>
    <t>P_X2G-ZSB-S_9T2</t>
  </si>
  <si>
    <t>P_Z2A-KYY-S_1B0</t>
  </si>
  <si>
    <t>P_Z2A-KYY-S_1Q4</t>
  </si>
  <si>
    <t>P_Z2A-ZSB-S_0M4</t>
  </si>
  <si>
    <t>P_Z2A-ZSB-S_3X6</t>
  </si>
  <si>
    <t>P_Z2A-ZSB-S_4U3</t>
  </si>
  <si>
    <t>P_Z2A-ZSB-S_6B5</t>
  </si>
  <si>
    <t>P_Z2A-ZSB-S_6U7</t>
  </si>
  <si>
    <t>P_Z2A-ZSB-S_7W0</t>
  </si>
  <si>
    <t>P_Z2A-ZSB-S_9B4</t>
  </si>
  <si>
    <t>StSh-standard_truss</t>
  </si>
  <si>
    <t>StSh-arch_truss</t>
  </si>
  <si>
    <t>StSh-A-truss</t>
  </si>
  <si>
    <t>StSh-square_truss</t>
  </si>
  <si>
    <t>StSh-braces</t>
  </si>
  <si>
    <t>StSh-other_truss</t>
  </si>
  <si>
    <t>StSh-other</t>
  </si>
  <si>
    <t>StSh-no_truss</t>
  </si>
  <si>
    <t>StSh-Validation</t>
  </si>
  <si>
    <t>Br-no_braces</t>
  </si>
  <si>
    <t>hasBraces</t>
  </si>
  <si>
    <t>Br-hasBraces_1</t>
  </si>
  <si>
    <t>Br-hasBraces_2</t>
  </si>
  <si>
    <t>'type'</t>
  </si>
  <si>
    <t xml:space="preserve"> 'budgetUsed'</t>
  </si>
  <si>
    <t>numAnchorsUsed'</t>
  </si>
  <si>
    <t xml:space="preserve"> 'deckType_1'</t>
  </si>
  <si>
    <t xml:space="preserve"> 'deckType_2'</t>
  </si>
  <si>
    <t>structurePosition_Top'</t>
  </si>
  <si>
    <t xml:space="preserve"> 'structurePosition_Bottom'</t>
  </si>
  <si>
    <t>structurePosition_Rock'</t>
  </si>
  <si>
    <t xml:space="preserve"> 'roadAsStrut'</t>
  </si>
  <si>
    <t xml:space="preserve"> 'rockSupportShape'</t>
  </si>
  <si>
    <t xml:space="preserve"> 'rockSupportMat'</t>
  </si>
  <si>
    <t>structureSize'</t>
  </si>
  <si>
    <t xml:space="preserve"> 'materialRoad'</t>
  </si>
  <si>
    <t xml:space="preserve"> 'materialReinfRoad'</t>
  </si>
  <si>
    <t xml:space="preserve"> 'materialWood'</t>
  </si>
  <si>
    <t>materialSteel'</t>
  </si>
  <si>
    <t xml:space="preserve"> 'MaterialOther'</t>
  </si>
  <si>
    <t xml:space="preserve"> 'leftAnchorConnected'</t>
  </si>
  <si>
    <t xml:space="preserve"> 'rightAnchorConnected'</t>
  </si>
  <si>
    <t>midAnchorConnected'</t>
  </si>
  <si>
    <t xml:space="preserve"> 'hasDangling'</t>
  </si>
  <si>
    <t xml:space="preserve"> 'restOnRock'</t>
  </si>
  <si>
    <t>predominantMaterialSupport'</t>
  </si>
  <si>
    <t xml:space="preserve"> 'predominantMaterialDeck'</t>
  </si>
  <si>
    <t xml:space="preserve"> 'hasDiamonds'</t>
  </si>
  <si>
    <t>hasStructure'</t>
  </si>
  <si>
    <t xml:space="preserve"> 'doubleFeature'</t>
  </si>
  <si>
    <t xml:space="preserve"> 'isModded'</t>
  </si>
  <si>
    <t xml:space="preserve"> 'exploitType'</t>
  </si>
  <si>
    <t>listJac</t>
  </si>
  <si>
    <t>[1,0,0,1,1,0,0,0,0,0,1,0,0,0,0,0,1,0,1,0,0]</t>
  </si>
  <si>
    <t>[0,1,1,0,0,0,0,0,0,0,1,0,0,0,0,0,0,0,1,0,0]</t>
  </si>
  <si>
    <t>[0,1,0,0,0,0,0,0,0,0,1,0,0,0,0,0,0,0,1,0,0]</t>
  </si>
  <si>
    <t>[1,1,0,0,1,0,0,0,0,0,1,0,0,0,0,0,0,0,1,0,0]</t>
  </si>
  <si>
    <t>[1,1,0,0,1,0,0,0,0,0,1,0,0,0,0,0,1,0,1,0,0]</t>
  </si>
  <si>
    <t>[0,1,1,0,0,0,0,0,0,0,1,0,0,0,0,0,1,0,1,0,0]</t>
  </si>
  <si>
    <t>[1,1,1,0,0,0,0,0,0,0,1,0,0,0,0,0,0,0,1,0,0]</t>
  </si>
  <si>
    <t>[0,1,0,0,0,0,0,0,0,0,1,0,0,0,0,0,1,0,1,0,0]</t>
  </si>
  <si>
    <t>[1,1,0,0,0,0,0,0,0,0,1,0,0,1,0,0,0,0,1,0,0]</t>
  </si>
  <si>
    <t>[0,1,0,0,0,0,0,0,0,0,1,1,0,0,0,0,0,0,1,0,0]</t>
  </si>
  <si>
    <t>[1,0,0,0,0,0,1,0,0,0,0,1,0,0,0,0,0,0,1,0,0]</t>
  </si>
  <si>
    <t>[1,1,0,0,0,0,0,0,0,0,1,1,0,0,0,0,0,0,1,0,0]</t>
  </si>
  <si>
    <t>[1,1,0,0,0,0,0,0,0,0,0,1,0,0,0,0,0,0,1,0,0]</t>
  </si>
  <si>
    <t>[1,0,0,0,0,0,1,0,0,0,0,1,0,0,0,1,0,0,1,0,0]</t>
  </si>
  <si>
    <t>[0,0,1,0,0,0,0,0,0,0,1,0,0,0,0,0,0,0,1,0,0]</t>
  </si>
  <si>
    <t>[0,0,1,1,0,0,0,0,0,0,1,0,0,0,0,0,0,0,1,0,0]</t>
  </si>
  <si>
    <t>[0,1,0,0,0,0,0,0,0,0,0,0,0,0,0,0,1,0,1,0,0]</t>
  </si>
  <si>
    <t>[0,1,1,1,0,0,0,0,0,0,1,0,0,0,0,0,0,0,1,0,0]</t>
  </si>
  <si>
    <t>[0,0,0,0,0,0,0,0,0,0,0,0,0,0,0,0,1,0,1,0,0]</t>
  </si>
  <si>
    <t>[1,1,0,0,0,0,0,0,0,0,1,0,0,0,0,0,1,0,1,0,0]</t>
  </si>
  <si>
    <t>[0,1,0,0,0,0,0,0,0,0,0,0,0,0,0,1,1,0,1,0,0]</t>
  </si>
  <si>
    <t>[0,1,0,0,0,0,0,0,0,0,0,0,0,0,0,1,0,0,1,0,0]</t>
  </si>
  <si>
    <t>[0,1,0,1,0,0,0,0,0,0,1,0,0,0,0,0,0,0,1,0,0]</t>
  </si>
  <si>
    <t>[0,0,1,1,0,0,0,0,0,0,0,1,0,1,0,0,0,0,1,0,0]</t>
  </si>
  <si>
    <t>[0,0,1,1,0,0,0,0,0,0,0,1,0,0,0,0,0,0,1,0,0]</t>
  </si>
  <si>
    <t>[0,1,0,0,0,0,0,0,0,0,1,0,1,0,0,0,0,0,1,0,0]</t>
  </si>
  <si>
    <t>[0,1,0,0,0,0,0,0,0,0,0,1,0,0,0,0,0,0,1,0,0]</t>
  </si>
  <si>
    <t>[0,0,1,0,0,0,0,0,0,0,0,0,0,0,0,0,1,0,1,0,0]</t>
  </si>
  <si>
    <t>[0,0,0,0,1,0,0,0,0,0,0,0,0,0,0,1,0,0,1,0,0]</t>
  </si>
  <si>
    <t>[1,0,0,0,0,1,1,0,0,0,1,0,0,0,0,0,0,0,1,0,0]</t>
  </si>
  <si>
    <t>[0,1,0,0,0,0,0,0,0,0,0,1,0,1,0,0,0,0,1,0,0]</t>
  </si>
  <si>
    <t>[0,1,1,0,0,0,0,0,0,0,0,1,0,0,0,0,0,0,1,0,0]</t>
  </si>
  <si>
    <t>[0,0,0,0,1,0,0,0,0,0,0,0,0,0,0,0,1,0,1,0,0]</t>
  </si>
  <si>
    <t>[0,1,0,0,0,0,0,0,0,0,0,0,0,1,0,0,1,0,1,0,0]</t>
  </si>
  <si>
    <t>[0,0,1,0,0,0,0,0,0,0,0,1,0,0,0,0,0,0,1,0,0]</t>
  </si>
  <si>
    <t>[0,0,0,0,1,0,0,1,0,0,1,0,0,0,0,1,0,0,1,0,0]</t>
  </si>
  <si>
    <t>[1,0,1,0,0,0,0,0,0,0,0,1,0,0,0,0,0,0,1,0,0]</t>
  </si>
  <si>
    <t>[1,0,1,0,0,0,0,0,0,0,1,1,0,0,0,0,0,0,1,0,0]</t>
  </si>
  <si>
    <t>[1,0,1,0,0,0,0,0,0,0,0,1,0,1,0,0,0,0,1,0,0]</t>
  </si>
  <si>
    <t>[1,0,0,0,0,0,0,0,0,0,0,1,0,0,0,0,0,0,1,0,0]</t>
  </si>
  <si>
    <t>[0,0,0,0,1,0,0,0,0,0,1,0,0,0,0,0,0,0,1,0,0]</t>
  </si>
  <si>
    <t>[1,0,0,0,0,0,0,0,0,0,1,0,0,0,0,0,1,0,1,0,0]</t>
  </si>
  <si>
    <t>[1,0,0,0,0,0,0,0,0,0,1,0,0,0,0,0,0,0,1,0,0]</t>
  </si>
  <si>
    <t>[0,0,1,0,0,0,0,0,0,0,1,0,0,0,0,1,0,0,1,0,0]</t>
  </si>
  <si>
    <t>[1,0,1,0,0,0,1,0,0,0,1,0,0,0,0,0,0,0,1,0,0]</t>
  </si>
  <si>
    <t>[0,0,1,0,0,0,1,0,0,0,1,0,0,0,0,0,0,0,1,0,0]</t>
  </si>
  <si>
    <t>[0,0,1,0,0,0,1,0,0,0,1,0,0,0,0,1,0,0,1,0,0]</t>
  </si>
  <si>
    <t>[0,1,1,0,0,0,0,1,0,0,1,0,0,0,0,0,0,0,1,0,0]</t>
  </si>
  <si>
    <t>[0,0,0,0,1,0,1,0,0,0,1,0,0,0,0,0,0,0,1,0,0]</t>
  </si>
  <si>
    <t>[1,0,1,0,0,0,0,0,0,0,1,0,0,0,0,0,1,0,1,0,0]</t>
  </si>
  <si>
    <t>[0,0,1,1,0,0,0,0,0,0,1,0,0,0,0,0,1,0,1,0,0]</t>
  </si>
  <si>
    <t>[0,0,0,0,1,0,0,1,0,0,1,0,0,0,0,0,0,0,1,0,0]</t>
  </si>
  <si>
    <t>[1,0,1,0,0,0,0,0,0,0,1,0,0,0,0,0,0,0,1,0,0]</t>
  </si>
  <si>
    <t>[0,1,0,0,0,1,0,0,0,0,1,0,0,0,0,0,0,0,1,0,0]</t>
  </si>
  <si>
    <t>[0,1,0,0,0,0,0,0,0,0,0,1,1,0,0,0,0,0,1,0,0]</t>
  </si>
  <si>
    <t>[0,1,0,0,0,0,0,0,0,0,0,1,0,0,0,0,1,0,1,0,0]</t>
  </si>
  <si>
    <t>[0,0,1,0,0,0,0,0,1,0,0,1,0,0,0,1,0,0,1,0,0]</t>
  </si>
  <si>
    <t>[0,1,0,0,0,0,0,0,0,0,1,0,0,0,0,1,0,0,1,0,0]</t>
  </si>
  <si>
    <t>[0,1,0,0,0,0,0,0,0,0,0,1,0,0,0,1,0,0,1,0,0]</t>
  </si>
  <si>
    <t>[0,1,0,0,0,0,0,0,1,0,0,1,0,0,0,1,0,0,1,0,0]</t>
  </si>
  <si>
    <t>[0,1,1,0,0,0,0,0,0,0,1,1,0,0,0,0,0,0,1,0,0]</t>
  </si>
  <si>
    <t>[0,1,0,0,0,0,0,0,1,0,1,1,0,0,0,0,0,0,1,0,0]</t>
  </si>
  <si>
    <t>[0,1,0,1,0,1,0,0,0,0,1,0,0,0,0,0,0,0,1,0,0]</t>
  </si>
  <si>
    <t>[0,1,0,0,0,0,0,0,0,0,0,0,1,0,0,0,0,0,1,0,0]</t>
  </si>
  <si>
    <t>[0,0,1,0,0,0,0,0,0,0,0,0,0,0,0,1,0,0,1,0,0]</t>
  </si>
  <si>
    <t>[1,0,1,0,0,0,0,0,0,0,0,0,0,0,0,0,1,0,1,0,0]</t>
  </si>
  <si>
    <t>[1,0,1,1,0,0,0,0,0,0,0,0,0,0,0,0,1,0,1,0,0]</t>
  </si>
  <si>
    <t>[1,0,1,1,0,0,0,0,0,0,0,1,0,0,0,0,1,0,1,0,0]</t>
  </si>
  <si>
    <t>[1,0,1,1,0,0,0,0,0,0,1,0,0,0,0,0,0,0,1,0,0]</t>
  </si>
  <si>
    <t>[0,0,1,1,0,0,0,0,0,0,1,1,0,0,0,0,0,0,1,0,0]</t>
  </si>
  <si>
    <t>[1,1,0,0,0,0,0,0,0,0,0,1,0,0,0,0,1,0,1,0,0]</t>
  </si>
  <si>
    <t>[1,1,1,0,0,0,0,0,0,0,0,1,0,0,0,1,0,0,1,0,0]</t>
  </si>
  <si>
    <t>[1,1,1,0,0,0,0,0,0,0,0,1,0,0,0,0,0,0,1,0,0]</t>
  </si>
  <si>
    <t>[1,1,0,0,0,0,0,0,0,0,1,0,0,0,0,1,0,0,1,0,0]</t>
  </si>
  <si>
    <t>[0,0,0,1,0,0,0,0,0,0,1,0,0,0,0,0,0,0,1,0,0]</t>
  </si>
  <si>
    <t>[0,0,0,1,0,0,0,0,0,0,0,0,0,0,0,0,1,0,1,0,0]</t>
  </si>
  <si>
    <t>[1,1,0,0,0,0,0,0,0,0,1,0,0,0,0,0,0,0,1,0,0]</t>
  </si>
  <si>
    <t>[0,1,0,1,0,0,0,0,0,0,1,0,0,0,0,0,1,0,1,0,0]</t>
  </si>
  <si>
    <t>[1,1,1,0,0,0,0,0,1,0,0,0,0,0,0,1,0,0,1,0,0]</t>
  </si>
  <si>
    <t>[1,1,1,1,0,0,0,0,0,0,0,0,0,0,0,1,0,0,1,0,0]</t>
  </si>
  <si>
    <t>[0,0,1,1,0,0,0,0,1,0,0,1,0,0,0,0,1,0,1,0,0]</t>
  </si>
  <si>
    <t>[1,0,1,1,0,0,0,0,0,0,0,1,0,0,0,0,0,0,1,0,0]</t>
  </si>
  <si>
    <t>[1,1,0,0,0,1,0,0,0,0,1,1,0,0,0,0,0,0,1,0,0]</t>
  </si>
  <si>
    <t>[1,1,0,0,0,1,0,0,0,0,1,0,0,0,0,1,0,0,1,0,0]</t>
  </si>
  <si>
    <t>[0,0,0,0,0,0,0,0,1,0,0,1,0,0,0,0,0,0,1,0,0]</t>
  </si>
  <si>
    <t>[0,0,0,1,0,0,0,0,0,0,0,1,0,0,0,0,0,0,1,0,0]</t>
  </si>
  <si>
    <t>[0,1,0,1,0,0,0,0,0,0,1,1,0,0,0,0,0,0,1,0,0]</t>
  </si>
  <si>
    <t>[0,1,1,0,0,0,0,0,1,0,0,1,1,0,0,0,0,0,1,0,0]</t>
  </si>
  <si>
    <t>[0,1,1,0,0,0,0,0,1,0,0,1,0,0,0,0,0,0,1,0,0]</t>
  </si>
  <si>
    <t>[0,1,0,0,0,0,0,0,1,0,0,1,0,0,0,0,0,0,1,0,0]</t>
  </si>
  <si>
    <t>[0,1,0,0,0,0,0,0,1,0,0,1,1,0,0,0,0,0,1,0,0]</t>
  </si>
  <si>
    <t>[1,0,0,1,1,0,0,0,0,0,1,0,0,0,0,0,0,0,1,0,0]</t>
  </si>
  <si>
    <t>[1,1,0,1,0,0,0,0,0,0,0,0,0,0,0,0,1,0,1,0,0]</t>
  </si>
  <si>
    <t>[0,1,0,0,0,0,0,0,0,0,0,0,0,0,0,0,0,1,1,0,0]</t>
  </si>
  <si>
    <t>[0,1,0,1,1,0,0,0,0,0,1,1,0,0,0,0,0,0,1,0,0]</t>
  </si>
  <si>
    <t>[0,1,0,0,0,0,0,0,1,0,1,0,0,0,0,0,0,0,1,0,0]</t>
  </si>
  <si>
    <t>[0,1,0,0,0,1,0,0,1,0,1,0,0,0,0,0,0,0,1,0,0]</t>
  </si>
  <si>
    <t>[0,0,1,0,0,0,0,0,0,0,1,0,0,0,0,0,1,0,1,0,0]</t>
  </si>
  <si>
    <t>[0,1,0,1,1,0,0,0,0,0,1,0,0,0,0,0,0,0,1,0,0]</t>
  </si>
  <si>
    <t>[0,1,1,0,0,0,0,0,1,0,1,0,0,0,0,0,0,0,1,0,0]</t>
  </si>
  <si>
    <t>[0,0,0,0,0,0,0,0,1,0,1,0,0,0,0,0,0,0,1,0,0]</t>
  </si>
  <si>
    <t>[1,1,1,0,0,0,0,0,0,0,0,0,0,0,0,0,0,1,1,0,0]</t>
  </si>
  <si>
    <t>[1,1,1,0,0,0,0,0,0,0,1,0,0,1,0,0,0,0,1,0,0]</t>
  </si>
  <si>
    <t>[1,1,1,0,0,0,0,0,0,0,1,1,0,0,0,0,0,0,1,0,0]</t>
  </si>
  <si>
    <t>[1,0,0,0,1,0,0,0,0,0,1,0,0,0,0,0,0,0,1,0,0]</t>
  </si>
  <si>
    <t>[1,0,0,0,1,0,0,0,0,0,1,0,0,0,0,0,1,0,1,0,0]</t>
  </si>
  <si>
    <t>[0,1,1,0,0,0,1,0,0,0,1,0,0,1,0,0,0,0,1,0,0]</t>
  </si>
  <si>
    <t>[0,1,1,0,0,0,1,0,0,0,1,0,0,0,0,0,0,0,1,0,0]</t>
  </si>
  <si>
    <t>[0,1,0,0,0,1,1,0,0,0,1,0,0,0,0,1,0,0,1,0,0]</t>
  </si>
  <si>
    <t>[0,1,1,0,0,0,0,0,0,0,1,0,1,0,0,0,0,0,1,0,0]</t>
  </si>
  <si>
    <t>[0,1,1,0,0,0,0,0,1,0,1,0,1,0,0,0,0,0,1,0,0]</t>
  </si>
  <si>
    <t>[1,1,0,1,0,0,0,0,0,0,1,0,0,0,0,0,1,0,1,0,0]</t>
  </si>
  <si>
    <t>[1,1,0,1,0,0,0,0,0,0,1,0,0,0,0,0,0,0,1,0,0]</t>
  </si>
  <si>
    <t>[0,1,1,0,0,0,0,0,0,0,0,0,0,0,0,1,0,0,1,0,0]</t>
  </si>
  <si>
    <t>[0,1,1,0,0,0,0,0,0,0,0,0,0,0,0,0,1,0,1,0,0]</t>
  </si>
  <si>
    <t>[0,1,0,0,0,0,0,0,1,0,0,0,0,0,0,0,0,1,1,0,0]</t>
  </si>
  <si>
    <t>[0,1,0,0,0,1,0,0,1,0,0,0,0,0,0,0,1,0,1,0,0]</t>
  </si>
  <si>
    <t>[0,1,0,0,0,1,0,0,0,0,0,1,0,0,0,0,0,0,1,0,0]</t>
  </si>
  <si>
    <t>[0,0,1,1,0,0,0,0,0,0,0,0,0,0,0,0,1,0,1,0,0]</t>
  </si>
  <si>
    <t>[1,0,1,0,0,0,0,0,0,0,1,0,0,0,0,1,0,0,1,0,0]</t>
  </si>
  <si>
    <t>[0,0,1,1,0,0,0,0,0,0,0,0,0,0,0,0,0,1,1,0,0]</t>
  </si>
  <si>
    <t>[0,1,1,0,0,0,1,0,0,0,1,0,0,0,0,1,0,0,1,0,0]</t>
  </si>
  <si>
    <t>[0,1,1,1,0,0,0,1,0,0,0,0,0,0,0,0,1,0,0,1,1]</t>
  </si>
  <si>
    <t>[0,0,1,0,0,0,0,0,0,0,0,1,0,0,0,1,0,0,1,0,0]</t>
  </si>
  <si>
    <t>[0,1,0,0,0,1,0,0,1,0,0,1,0,0,0,0,0,0,1,0,0]</t>
  </si>
  <si>
    <t>[1,0,1,0,0,0,0,1,1,0,0,0,0,0,0,0,1,0,0,1,1]</t>
  </si>
  <si>
    <t>[0,1,0,0,0,1,0,0,1,0,0,0,0,0,0,0,1,0,0,1,1]</t>
  </si>
  <si>
    <t>[0,1,1,1,0,0,0,0,0,0,0,1,0,0,0,0,0,0,1,0,0]</t>
  </si>
  <si>
    <t>[1,1,1,1,0,0,0,0,0,0,1,0,0,0,0,0,0,0,1,0,0]</t>
  </si>
  <si>
    <t>[0,0,1,1,0,0,1,0,0,0,1,0,0,0,0,0,0,0,1,0,0]</t>
  </si>
  <si>
    <t>[1,1,0,0,0,1,0,0,0,0,0,1,0,0,0,0,0,0,1,0,0]</t>
  </si>
  <si>
    <t>[1,0,0,0,0,1,0,0,0,0,0,0,1,0,0,0,0,0,1,0,0]</t>
  </si>
  <si>
    <t>[0,1,1,0,0,0,0,0,0,0,0,1,0,0,0,1,0,0,1,0,0]</t>
  </si>
  <si>
    <t>[0,0,0,0,1,0,0,0,1,0,1,0,0,0,0,0,1,0,0,1,1]</t>
  </si>
  <si>
    <t>[1,0,1,0,0,0,0,0,0,0,0,0,1,0,0,0,0,0,1,0,0]</t>
  </si>
  <si>
    <t>[0,1,0,0,1,0,0,0,0,0,0,0,0,0,0,0,1,0,1,0,0]</t>
  </si>
  <si>
    <t>[0,1,0,0,1,0,0,0,0,0,1,1,0,0,0,0,0,0,1,0,0]</t>
  </si>
  <si>
    <t>gowerW</t>
  </si>
  <si>
    <t>GALL</t>
  </si>
  <si>
    <t>UNK</t>
  </si>
  <si>
    <t>P</t>
  </si>
  <si>
    <t>Cind</t>
  </si>
  <si>
    <t>Cname</t>
  </si>
  <si>
    <t>purple</t>
  </si>
  <si>
    <t>green</t>
  </si>
  <si>
    <t>blue</t>
  </si>
  <si>
    <t>pink</t>
  </si>
  <si>
    <t>brown</t>
  </si>
  <si>
    <t>red</t>
  </si>
  <si>
    <t>teal</t>
  </si>
  <si>
    <t>orange</t>
  </si>
  <si>
    <t>magenta</t>
  </si>
  <si>
    <t>yellow</t>
  </si>
  <si>
    <t>sky blue</t>
  </si>
  <si>
    <t>grey</t>
  </si>
  <si>
    <t>lime green</t>
  </si>
  <si>
    <t>light purple</t>
  </si>
  <si>
    <t>tan</t>
  </si>
  <si>
    <t>aqua</t>
  </si>
  <si>
    <t>mauve</t>
  </si>
  <si>
    <t>maroon</t>
  </si>
  <si>
    <t>olive</t>
  </si>
  <si>
    <t>salmon</t>
  </si>
  <si>
    <t>beige</t>
  </si>
  <si>
    <t>royal blue</t>
  </si>
  <si>
    <t>black</t>
  </si>
  <si>
    <t>hot pink</t>
  </si>
  <si>
    <t>peach</t>
  </si>
  <si>
    <t>indigo</t>
  </si>
  <si>
    <t>mustard</t>
  </si>
  <si>
    <t>burnt orange</t>
  </si>
  <si>
    <t>grass green</t>
  </si>
  <si>
    <t>pea green</t>
  </si>
  <si>
    <t>plum</t>
  </si>
  <si>
    <t>RGBA-Win</t>
  </si>
  <si>
    <t>RGBA-AreaCH</t>
  </si>
  <si>
    <t>#7e1e9c</t>
  </si>
  <si>
    <t>#15b01a</t>
  </si>
  <si>
    <t>#0343df</t>
  </si>
  <si>
    <t>#ff81c0</t>
  </si>
  <si>
    <t>#653700</t>
  </si>
  <si>
    <t>#e50000</t>
  </si>
  <si>
    <t>#029386</t>
  </si>
  <si>
    <t>#f97306</t>
  </si>
  <si>
    <t>#c20078</t>
  </si>
  <si>
    <t>#ffff14</t>
  </si>
  <si>
    <t>#75bbfd</t>
  </si>
  <si>
    <t>#929591</t>
  </si>
  <si>
    <t>#89fe05</t>
  </si>
  <si>
    <t>#bf77f6</t>
  </si>
  <si>
    <t>#d1b26f</t>
  </si>
  <si>
    <t>#13eac9</t>
  </si>
  <si>
    <t>#ae7181</t>
  </si>
  <si>
    <t>#650021</t>
  </si>
  <si>
    <t>#6e750e</t>
  </si>
  <si>
    <t>#ff796c</t>
  </si>
  <si>
    <t>#e6daa6</t>
  </si>
  <si>
    <t>#0504aa</t>
  </si>
  <si>
    <t>#ff028d</t>
  </si>
  <si>
    <t>#ffb07c</t>
  </si>
  <si>
    <t>#ceb301</t>
  </si>
  <si>
    <t>#c04e01</t>
  </si>
  <si>
    <t>#380282</t>
  </si>
  <si>
    <t>#8eab12</t>
  </si>
  <si>
    <t>#3f9b0b</t>
  </si>
  <si>
    <t>#580f41</t>
  </si>
  <si>
    <t>#000000</t>
  </si>
  <si>
    <t>rgba(126, 30, 156, 1)</t>
  </si>
  <si>
    <t>rgba(21, 176, 26, 1)</t>
  </si>
  <si>
    <t>rgba(3, 67, 223, 1)</t>
  </si>
  <si>
    <t>rgba(255, 129, 192, 1)</t>
  </si>
  <si>
    <t>rgba(101, 55, 0, 1)</t>
  </si>
  <si>
    <t>rgba(229, 0, 0, 1)</t>
  </si>
  <si>
    <t>rgba(2, 147, 134, 1)</t>
  </si>
  <si>
    <t>rgba(249, 115, 6, 1)</t>
  </si>
  <si>
    <t>rgba(194, 0, 120, 1)</t>
  </si>
  <si>
    <t>rgba(255, 255, 20, 1)</t>
  </si>
  <si>
    <t>rgba(117, 187, 253, 1)</t>
  </si>
  <si>
    <t>rgba(146, 149, 145, 1)</t>
  </si>
  <si>
    <t>rgba(137, 254, 5, 1)</t>
  </si>
  <si>
    <t>rgba(191, 119, 246, 1)</t>
  </si>
  <si>
    <t>rgba(209, 178, 111, 1)</t>
  </si>
  <si>
    <t>rgba(19, 234, 201, 1)</t>
  </si>
  <si>
    <t>rgba(174, 113, 129, 1)</t>
  </si>
  <si>
    <t>rgba(101, 0, 33, 1)</t>
  </si>
  <si>
    <t>rgba(110, 117, 14, 1)</t>
  </si>
  <si>
    <t>rgba(255, 121, 108, 1)</t>
  </si>
  <si>
    <t>rgba(230, 218, 166, 1)</t>
  </si>
  <si>
    <t>rgba(5, 4, 170, 1)</t>
  </si>
  <si>
    <t>rgba(255, 2, 141, 1)</t>
  </si>
  <si>
    <t>rgba(255, 176, 124, 1)</t>
  </si>
  <si>
    <t>rgba(206, 179, 1, 1)</t>
  </si>
  <si>
    <t>rgba(192, 78, 1, 1)</t>
  </si>
  <si>
    <t>rgba(56, 2, 130, 1)</t>
  </si>
  <si>
    <t>rgba(142, 171, 18, 1)</t>
  </si>
  <si>
    <t>rgba(63, 155, 11, 1)</t>
  </si>
  <si>
    <t>rgba(88, 15, 65, 1)</t>
  </si>
  <si>
    <t>rgba(0, 0, 0, 1)</t>
  </si>
  <si>
    <t>RGBA-Fail</t>
  </si>
  <si>
    <t>rgba(126, 30, 156, 0.5)</t>
  </si>
  <si>
    <t>rgba(21, 176, 26, 0.5)</t>
  </si>
  <si>
    <t>rgba(3, 67, 223, 0.5)</t>
  </si>
  <si>
    <t>rgba(255, 129, 192, 0.5)</t>
  </si>
  <si>
    <t>rgba(101, 55, 0, 0.5)</t>
  </si>
  <si>
    <t>rgba(229, 0, 0, 0.5)</t>
  </si>
  <si>
    <t>rgba(2, 147, 134, 0.5)</t>
  </si>
  <si>
    <t>rgba(249, 115, 6, 0.5)</t>
  </si>
  <si>
    <t>rgba(194, 0, 120, 0.5)</t>
  </si>
  <si>
    <t>rgba(255, 255, 20, 0.5)</t>
  </si>
  <si>
    <t>rgba(117, 187, 253, 0.5)</t>
  </si>
  <si>
    <t>rgba(146, 149, 145, 0.5)</t>
  </si>
  <si>
    <t>rgba(137, 254, 5, 0.5)</t>
  </si>
  <si>
    <t>rgba(191, 119, 246, 0.5)</t>
  </si>
  <si>
    <t>rgba(209, 178, 111, 0.5)</t>
  </si>
  <si>
    <t>rgba(19, 234, 201, 0.5)</t>
  </si>
  <si>
    <t>rgba(174, 113, 129, 0.5)</t>
  </si>
  <si>
    <t>rgba(101, 0, 33, 0.5)</t>
  </si>
  <si>
    <t>rgba(110, 117, 14, 0.5)</t>
  </si>
  <si>
    <t>rgba(255, 121, 108, 0.5)</t>
  </si>
  <si>
    <t>rgba(230, 218, 166, 0.5)</t>
  </si>
  <si>
    <t>rgba(5, 4, 170, 0.5)</t>
  </si>
  <si>
    <t>rgba(255, 2, 141, 0.5)</t>
  </si>
  <si>
    <t>rgba(255, 176, 124, 0.5)</t>
  </si>
  <si>
    <t>rgba(206, 179, 1, 0.5)</t>
  </si>
  <si>
    <t>rgba(192, 78, 1, 0.5)</t>
  </si>
  <si>
    <t>rgba(56, 2, 130, 0.5)</t>
  </si>
  <si>
    <t>rgba(142, 171, 18, 0.5)</t>
  </si>
  <si>
    <t>rgba(63, 155, 11, 0.5)</t>
  </si>
  <si>
    <t>rgba(88, 15, 65, 0.5)</t>
  </si>
  <si>
    <t>rgba(0, 0, 0, 0.5)</t>
  </si>
  <si>
    <t>rgba(126, 30, 156, 0.25)</t>
  </si>
  <si>
    <t>rgba(21, 176, 26, 0.25)</t>
  </si>
  <si>
    <t>rgba(3, 67, 223, 0.25)</t>
  </si>
  <si>
    <t>rgba(255, 129, 192, 0.25)</t>
  </si>
  <si>
    <t>rgba(101, 55, 0, 0.25)</t>
  </si>
  <si>
    <t>rgba(229, 0, 0, 0.25)</t>
  </si>
  <si>
    <t>rgba(2, 147, 134, 0.25)</t>
  </si>
  <si>
    <t>rgba(249, 115, 6, 0.25)</t>
  </si>
  <si>
    <t>rgba(194, 0, 120, 0.25)</t>
  </si>
  <si>
    <t>rgba(255, 255, 20, 0.25)</t>
  </si>
  <si>
    <t>rgba(117, 187, 253, 0.25)</t>
  </si>
  <si>
    <t>rgba(146, 149, 145, 0.25)</t>
  </si>
  <si>
    <t>rgba(137, 254, 5, 0.25)</t>
  </si>
  <si>
    <t>rgba(191, 119, 246, 0.25)</t>
  </si>
  <si>
    <t>rgba(209, 178, 111, 0.25)</t>
  </si>
  <si>
    <t>rgba(19, 234, 201, 0.25)</t>
  </si>
  <si>
    <t>rgba(174, 113, 129, 0.25)</t>
  </si>
  <si>
    <t>rgba(101, 0, 33, 0.25)</t>
  </si>
  <si>
    <t>rgba(110, 117, 14, 0.25)</t>
  </si>
  <si>
    <t>rgba(255, 121, 108, 0.25)</t>
  </si>
  <si>
    <t>rgba(230, 218, 166, 0.25)</t>
  </si>
  <si>
    <t>rgba(5, 4, 170, 0.25)</t>
  </si>
  <si>
    <t>rgba(255, 2, 141, 0.25)</t>
  </si>
  <si>
    <t>rgba(255, 176, 124, 0.25)</t>
  </si>
  <si>
    <t>rgba(206, 179, 1, 0.25)</t>
  </si>
  <si>
    <t>rgba(192, 78, 1, 0.25)</t>
  </si>
  <si>
    <t>rgba(56, 2, 130, 0.25)</t>
  </si>
  <si>
    <t>rgba(142, 171, 18, 0.25)</t>
  </si>
  <si>
    <t>rgba(63, 155, 11, 0.25)</t>
  </si>
  <si>
    <t>rgba(88, 15, 65, 0.25)</t>
  </si>
  <si>
    <t>rgba(0, 0, 0, 0.25)</t>
  </si>
  <si>
    <t>colors</t>
  </si>
  <si>
    <t>HEX-Win</t>
  </si>
  <si>
    <t>HEX-Fail</t>
  </si>
  <si>
    <t>HEX-AreaCH</t>
  </si>
  <si>
    <t>fj (weights of m)</t>
  </si>
  <si>
    <t>m (attributes)</t>
  </si>
  <si>
    <t>deck type (o)</t>
  </si>
  <si>
    <t>deck type (s)</t>
  </si>
  <si>
    <t>WEIGHTS</t>
  </si>
  <si>
    <t>Cj</t>
  </si>
  <si>
    <t>S11</t>
  </si>
  <si>
    <t>S12</t>
  </si>
  <si>
    <t>S13</t>
  </si>
  <si>
    <t>S14</t>
  </si>
  <si>
    <t>S15</t>
  </si>
  <si>
    <t>S16</t>
  </si>
  <si>
    <t>deckType</t>
  </si>
  <si>
    <t>continuous/fully_connected</t>
  </si>
  <si>
    <t>missing_section/right</t>
  </si>
  <si>
    <t>continuous/right_overhang</t>
  </si>
  <si>
    <t>missing_section/multiple</t>
  </si>
  <si>
    <t>missing_section/right_overhang</t>
  </si>
  <si>
    <t>missing_section/middle</t>
  </si>
  <si>
    <t>deckShape</t>
  </si>
  <si>
    <t>declined/inclined/arch/landing_platform</t>
  </si>
  <si>
    <t>inverted_arch/inclined/straight/landing_platform</t>
  </si>
  <si>
    <t>declined/inclined/arch/straight</t>
  </si>
  <si>
    <t>arch/declined</t>
  </si>
  <si>
    <t>arch/inclined/declined</t>
  </si>
  <si>
    <t>arch/inverted_arch</t>
  </si>
  <si>
    <t>arch/straight</t>
  </si>
  <si>
    <t>declined/arch</t>
  </si>
  <si>
    <t>declined/inclined/arch</t>
  </si>
  <si>
    <t>inclined/arch</t>
  </si>
  <si>
    <t>inclined/arch/declined</t>
  </si>
  <si>
    <t>inclined/declined</t>
  </si>
  <si>
    <t>inclined/declined/arch</t>
  </si>
  <si>
    <t>inclined/platform/arch</t>
  </si>
  <si>
    <t>inclined/platform/declined</t>
  </si>
  <si>
    <t>inclined/straight</t>
  </si>
  <si>
    <t>inclined/straight/declined</t>
  </si>
  <si>
    <t>inverted_arch/ramp</t>
  </si>
  <si>
    <t>inverted_arch/ramp/arch</t>
  </si>
  <si>
    <t>inverted_arch/ramp/straight</t>
  </si>
  <si>
    <t>inverted_arch/s-shape/arch</t>
  </si>
  <si>
    <t>ramp/arch</t>
  </si>
  <si>
    <t>s-shape/arch</t>
  </si>
  <si>
    <t>straight/arch</t>
  </si>
  <si>
    <t>straight/arch/declined</t>
  </si>
  <si>
    <t>straight/inclined</t>
  </si>
  <si>
    <t>straight/inclined/arch</t>
  </si>
  <si>
    <t>straight/inclined/declined</t>
  </si>
  <si>
    <t>straight/inclined/landing_platform</t>
  </si>
  <si>
    <t>straight/platform</t>
  </si>
  <si>
    <t>straight/s-shape</t>
  </si>
  <si>
    <t>straight/s-shape/arch</t>
  </si>
  <si>
    <t>compatib</t>
  </si>
  <si>
    <t>first occ</t>
  </si>
  <si>
    <t>StructPos</t>
  </si>
  <si>
    <t>top_structure/bottom_structure/rock_structure</t>
  </si>
  <si>
    <t>top_structure/rock_structure</t>
  </si>
  <si>
    <t>bottom_structure/rock_structure</t>
  </si>
  <si>
    <t>arch_truss/standard_truss</t>
  </si>
  <si>
    <t>standard_truss/other</t>
  </si>
  <si>
    <t>standard_truss/other_truss</t>
  </si>
  <si>
    <t>arch_truss/other</t>
  </si>
  <si>
    <t>arch_truss/other_truss</t>
  </si>
  <si>
    <t>standard_truss/arch_truss</t>
  </si>
  <si>
    <t>StructShape</t>
  </si>
  <si>
    <t>Anchors</t>
  </si>
  <si>
    <t>Type</t>
  </si>
  <si>
    <t>Deck Type</t>
  </si>
  <si>
    <t>Structure Position</t>
  </si>
  <si>
    <t>Structure Shape</t>
  </si>
  <si>
    <t>Deck Shape</t>
  </si>
  <si>
    <t>continuous/fully connected</t>
  </si>
  <si>
    <t>missing section/right</t>
  </si>
  <si>
    <t>continuous/right overhang</t>
  </si>
  <si>
    <t>missing section/multiple</t>
  </si>
  <si>
    <t>missing section/right overhang</t>
  </si>
  <si>
    <t>missing section/middle</t>
  </si>
  <si>
    <t>arch truss</t>
  </si>
  <si>
    <t>arch truss/other</t>
  </si>
  <si>
    <t>arch truss/other truss</t>
  </si>
  <si>
    <t>arch/inverted arch</t>
  </si>
  <si>
    <t>no truss</t>
  </si>
  <si>
    <t>declined/inclined/arch/landing platform</t>
  </si>
  <si>
    <t>other truss</t>
  </si>
  <si>
    <t>square truss</t>
  </si>
  <si>
    <t>standard truss</t>
  </si>
  <si>
    <t>standard truss/arch truss</t>
  </si>
  <si>
    <t>standard truss/other</t>
  </si>
  <si>
    <t>standard truss/other truss</t>
  </si>
  <si>
    <t>inverted arch/inclined/straight/landing platform</t>
  </si>
  <si>
    <t>inverted arch/ramp</t>
  </si>
  <si>
    <t>inverted arch/ramp/arch</t>
  </si>
  <si>
    <t>inverted arch/ramp/straight</t>
  </si>
  <si>
    <t>inverted arch/s-shape/arch</t>
  </si>
  <si>
    <t>straight/inclined/landing platform</t>
  </si>
  <si>
    <t>none</t>
  </si>
  <si>
    <t>top/rock</t>
  </si>
  <si>
    <t>bottom/rock</t>
  </si>
  <si>
    <t>top/bottom/rock</t>
  </si>
  <si>
    <t>top</t>
  </si>
  <si>
    <t>bottom</t>
  </si>
  <si>
    <t>M1</t>
  </si>
  <si>
    <t>f1*S11</t>
  </si>
  <si>
    <t>f2*S12</t>
  </si>
  <si>
    <t>f3*S13</t>
  </si>
  <si>
    <t>f4*S14</t>
  </si>
  <si>
    <t>f5*S15</t>
  </si>
  <si>
    <t>f6*S16</t>
  </si>
  <si>
    <t>other/standard_truss</t>
  </si>
  <si>
    <t>standard_truss/square_truss</t>
  </si>
  <si>
    <t>other_truss/other</t>
  </si>
  <si>
    <t>arch_truss/square_truss</t>
  </si>
  <si>
    <t>standard_truss/a-truss</t>
  </si>
  <si>
    <t>other/square_truss</t>
  </si>
  <si>
    <t>arch_truss/a-truss</t>
  </si>
  <si>
    <t>straight/inverted_arch/inclined/arch</t>
  </si>
  <si>
    <t>straight/declined/inclined/arch</t>
  </si>
  <si>
    <t>straight/ramp/declined</t>
  </si>
  <si>
    <t>straight/ramp/arch</t>
  </si>
  <si>
    <t>inclined/arch/straight</t>
  </si>
  <si>
    <t>straight/s-shape/platform</t>
  </si>
  <si>
    <t>ramp/landing_platform</t>
  </si>
  <si>
    <t>straight/inclined/platform</t>
  </si>
  <si>
    <t>inclined/platform</t>
  </si>
  <si>
    <t>inclined/arch/landing_platform</t>
  </si>
  <si>
    <t>ramp/platform</t>
  </si>
  <si>
    <t>inclined/inverted_arch</t>
  </si>
  <si>
    <t>arch/inclined</t>
  </si>
  <si>
    <t>declined/s-shape/arch</t>
  </si>
  <si>
    <t>arch/inclined/straight</t>
  </si>
  <si>
    <t>declined/inclined</t>
  </si>
  <si>
    <t>inverted_arch/inclined/declined</t>
  </si>
  <si>
    <t>inverted_arch/inclined/arch</t>
  </si>
  <si>
    <t>inverted_arch/arch</t>
  </si>
  <si>
    <t>arch/straight/declined</t>
  </si>
  <si>
    <t>declined/ramp/arch</t>
  </si>
  <si>
    <t>straight/ramp</t>
  </si>
  <si>
    <t>arch/inclined/platform</t>
  </si>
  <si>
    <t>arch/s-shape/platform</t>
  </si>
  <si>
    <t>inclined/inverted_arch/arch</t>
  </si>
  <si>
    <t>arch/inverted_arch/s-shape</t>
  </si>
  <si>
    <t>inclined/ramp/arch</t>
  </si>
  <si>
    <t>arch/s-shape</t>
  </si>
  <si>
    <t>top_structure/bottom_structure</t>
  </si>
  <si>
    <t>GLOBAL [GALLERY]</t>
  </si>
  <si>
    <t>other_structure</t>
  </si>
  <si>
    <t>other_deck</t>
  </si>
  <si>
    <t>other_shape</t>
  </si>
  <si>
    <t>LOCAL [FULL SET KYY]</t>
  </si>
  <si>
    <t>M1-KYY</t>
  </si>
  <si>
    <t>M1-ZSB</t>
  </si>
  <si>
    <t>Avg_M1_KYY_Local</t>
  </si>
  <si>
    <t>Avg_M1_ZSB_Local</t>
  </si>
  <si>
    <t>Avg_M1_KYY_Global</t>
  </si>
  <si>
    <t>Avg_M1_ZSB_Global</t>
  </si>
  <si>
    <t>Max_M1_KYY_Local</t>
  </si>
  <si>
    <t>Max_M1_ZSB_Local</t>
  </si>
  <si>
    <t>Min_M1_KYY_Local</t>
  </si>
  <si>
    <t>Min_M1_ZSB_Local</t>
  </si>
  <si>
    <t>Median_M1_KYY_Local</t>
  </si>
  <si>
    <t>Median_M1_ZSB_Local</t>
  </si>
  <si>
    <t>Max_M1_KYY_Global</t>
  </si>
  <si>
    <t>Max_M1_ZSB_Global</t>
  </si>
  <si>
    <t>Min_M1_KYY_Global</t>
  </si>
  <si>
    <t>Min_M1_ZSB_Global</t>
  </si>
  <si>
    <t>Median_M1_KYY_Global</t>
  </si>
  <si>
    <t>Median_M1_ZSB_Global</t>
  </si>
  <si>
    <t>left</t>
  </si>
  <si>
    <t>missing_section/left</t>
  </si>
  <si>
    <t>PhysicalPrinciple</t>
  </si>
  <si>
    <t>WorkingPrinciple</t>
  </si>
  <si>
    <t>Embodiment</t>
  </si>
  <si>
    <t>Detail</t>
  </si>
  <si>
    <t>road-wood-steel</t>
  </si>
  <si>
    <t>road-reinforced_road-wood-steel</t>
  </si>
  <si>
    <t>reinforced_road-wood-steel</t>
  </si>
  <si>
    <t>road-steel</t>
  </si>
  <si>
    <t>reinforced_road-steel</t>
  </si>
  <si>
    <t>wood-steel</t>
  </si>
  <si>
    <t>road-reinforced_road-wood-</t>
  </si>
  <si>
    <t>road-</t>
  </si>
  <si>
    <t>road-wood</t>
  </si>
  <si>
    <t>reinforced_road-wood</t>
  </si>
  <si>
    <t>straight/ramp/declined + standard_truss/other</t>
  </si>
  <si>
    <t>top_structure/rock_structure + 3anc</t>
  </si>
  <si>
    <t>inclined/arch + standard_truss</t>
  </si>
  <si>
    <t>top_structure/bottom_structure/rock_structure + 3anc</t>
  </si>
  <si>
    <t>arch + standard_truss</t>
  </si>
  <si>
    <t>bottom_structure + 2anc</t>
  </si>
  <si>
    <t>straight/ramp/arch + standard_truss</t>
  </si>
  <si>
    <t>straight/ramp/arch + standard_truss/other</t>
  </si>
  <si>
    <t>top_structure/bottom_structure + 2anc</t>
  </si>
  <si>
    <t>inclined/arch + standard_truss/other</t>
  </si>
  <si>
    <t>straight/inclined/arch + standard_truss</t>
  </si>
  <si>
    <t>top_structure/bottom_structure + 3anc</t>
  </si>
  <si>
    <t>arch + standard_truss/other</t>
  </si>
  <si>
    <t>bottom_structure/rock_structure + 3anc</t>
  </si>
  <si>
    <t>arch/straight + standard_truss/square_truss</t>
  </si>
  <si>
    <t>arch + standard_truss/arch_truss</t>
  </si>
  <si>
    <t>top_structure + 2anc</t>
  </si>
  <si>
    <t>straight/platform + arch_truss</t>
  </si>
  <si>
    <t>arch/straight + standard_truss/arch_truss</t>
  </si>
  <si>
    <t>arch/straight + arch_truss</t>
  </si>
  <si>
    <t>straight/platform + arch_truss/other_truss</t>
  </si>
  <si>
    <t>inclined + standard_truss</t>
  </si>
  <si>
    <t>top_structure/rock_structure + 2anc</t>
  </si>
  <si>
    <t>inclined/declined + standard_truss</t>
  </si>
  <si>
    <t>arch + other</t>
  </si>
  <si>
    <t>rock_structure + 3anc</t>
  </si>
  <si>
    <t>other_shape + standard_truss</t>
  </si>
  <si>
    <t>no_deck + other</t>
  </si>
  <si>
    <t>arch/straight + standard_truss/other</t>
  </si>
  <si>
    <t>arch + other_truss/other</t>
  </si>
  <si>
    <t>arch + other_truss</t>
  </si>
  <si>
    <t>arch/declined + standard_truss</t>
  </si>
  <si>
    <t>top_structure + 3anc</t>
  </si>
  <si>
    <t>inclined/declined + arch_truss/square_truss</t>
  </si>
  <si>
    <t>inclined/declined + arch_truss</t>
  </si>
  <si>
    <t>arch + standard_truss/a-truss</t>
  </si>
  <si>
    <t>arch + arch_truss</t>
  </si>
  <si>
    <t>inclined + other</t>
  </si>
  <si>
    <t>bottom_structure/rock_structure + 2anc</t>
  </si>
  <si>
    <t>ramp + other_truss</t>
  </si>
  <si>
    <t>straight/s-shape/platform + standard_truss</t>
  </si>
  <si>
    <t>arch + arch_truss/square_truss</t>
  </si>
  <si>
    <t>inclined/arch + arch_truss</t>
  </si>
  <si>
    <t>ramp + other</t>
  </si>
  <si>
    <t>other_shape + other_truss</t>
  </si>
  <si>
    <t>arch + other_shape</t>
  </si>
  <si>
    <t>inclined + arch_truss</t>
  </si>
  <si>
    <t>other_shape + standard_truss/other_truss</t>
  </si>
  <si>
    <t>inclined/straight + arch_truss</t>
  </si>
  <si>
    <t>inclined/straight + standard_truss/arch_truss</t>
  </si>
  <si>
    <t>inclined/straight + arch_truss/square_truss</t>
  </si>
  <si>
    <t>other_shape + arch_truss</t>
  </si>
  <si>
    <t>ramp + standard_truss</t>
  </si>
  <si>
    <t>other_shape + standard_truss/other</t>
  </si>
  <si>
    <t>inclined + standard_truss/other_truss</t>
  </si>
  <si>
    <t>straight/inclined/platform + standard_truss</t>
  </si>
  <si>
    <t>inclined/platform + standard_truss</t>
  </si>
  <si>
    <t>inclined/platform + standard_truss/other_truss</t>
  </si>
  <si>
    <t>inclined/straight + standard_truss/other</t>
  </si>
  <si>
    <t>top_structure/bottom_structure/rock_structure + 2anc</t>
  </si>
  <si>
    <t>inclined/declined + standard_truss/other</t>
  </si>
  <si>
    <t>inclined/straight + standard_truss</t>
  </si>
  <si>
    <t>s-shape/arch + standard_truss</t>
  </si>
  <si>
    <t>arch + arch_truss/a-truss</t>
  </si>
  <si>
    <t>arch + arch_truss/other</t>
  </si>
  <si>
    <t>inclined/inverted_arch + arch_truss/other_truss</t>
  </si>
  <si>
    <t>arch + standard_truss/other_truss</t>
  </si>
  <si>
    <t>arch + arch_truss/other_truss</t>
  </si>
  <si>
    <t>other_shape + arch_truss/other_truss</t>
  </si>
  <si>
    <t>inclined/arch + standard_truss/arch_truss</t>
  </si>
  <si>
    <t>other_shape + standard_truss/arch_truss</t>
  </si>
  <si>
    <t>arch + a-truss</t>
  </si>
  <si>
    <t>inclined + other_truss</t>
  </si>
  <si>
    <t>inclined/straight + other</t>
  </si>
  <si>
    <t>inclined/straight/declined + other</t>
  </si>
  <si>
    <t>inclined/straight/declined + arch_truss/other</t>
  </si>
  <si>
    <t>inclined/straight/declined + standard_truss</t>
  </si>
  <si>
    <t>inclined/declined + standard_truss/arch_truss</t>
  </si>
  <si>
    <t>arch/straight + arch_truss/other</t>
  </si>
  <si>
    <t>straight/inclined/arch + arch_truss/other_truss</t>
  </si>
  <si>
    <t>straight/inclined/arch + arch_truss</t>
  </si>
  <si>
    <t>arch/straight + standard_truss/other_truss</t>
  </si>
  <si>
    <t>declined + standard_truss</t>
  </si>
  <si>
    <t>declined + other</t>
  </si>
  <si>
    <t>rock_structure + 2anc</t>
  </si>
  <si>
    <t>arch/straight + standard_truss</t>
  </si>
  <si>
    <t>arch/declined + standard_truss/other</t>
  </si>
  <si>
    <t>straight/inverted_arch/inclined/arch + other_truss</t>
  </si>
  <si>
    <t>declined/inclined/arch/straight + other_truss</t>
  </si>
  <si>
    <t>other_shape + arch_truss/other</t>
  </si>
  <si>
    <t>inclined/straight/declined + arch_truss</t>
  </si>
  <si>
    <t>straight/s-shape/arch + standard_truss/arch_truss</t>
  </si>
  <si>
    <t>straight/s-shape/arch + standard_truss/other_truss</t>
  </si>
  <si>
    <t>inverted_arch + arch_truss</t>
  </si>
  <si>
    <t>declined + arch_truss</t>
  </si>
  <si>
    <t>arch/declined + standard_truss/arch_truss</t>
  </si>
  <si>
    <t>inclined/inverted_arch/arch + arch_truss/a-truss</t>
  </si>
  <si>
    <t>inclined/inverted_arch/arch + arch_truss</t>
  </si>
  <si>
    <t>other_shape + arch_truss/a-truss</t>
  </si>
  <si>
    <t>straight/ramp/declined + standard_truss</t>
  </si>
  <si>
    <t>straight/arch/declined + other</t>
  </si>
  <si>
    <t>arch + no_truss</t>
  </si>
  <si>
    <t>no_structure + 3anc</t>
  </si>
  <si>
    <t>inverted_arch/s-shape/arch + standard_truss</t>
  </si>
  <si>
    <t>inclined + standard_truss/other</t>
  </si>
  <si>
    <t>inclined/inverted_arch/arch + standard_truss</t>
  </si>
  <si>
    <t>inverted_arch + standard_truss</t>
  </si>
  <si>
    <t>straight/inclined/arch + no_truss</t>
  </si>
  <si>
    <t>straight/inclined/arch + standard_truss/square_truss</t>
  </si>
  <si>
    <t>straight/inclined/arch + standard_truss/arch_truss</t>
  </si>
  <si>
    <t>inclined/platform/arch + standard_truss/square_truss</t>
  </si>
  <si>
    <t>inclined/platform/arch + standard_truss</t>
  </si>
  <si>
    <t>inclined/arch + standard_truss/a-truss</t>
  </si>
  <si>
    <t>inclined/inverted_arch/arch + standard_truss/a-truss</t>
  </si>
  <si>
    <t>straight/arch/declined + standard_truss/other</t>
  </si>
  <si>
    <t>straight/arch/declined + standard_truss</t>
  </si>
  <si>
    <t>inclined/arch + other_truss</t>
  </si>
  <si>
    <t>inclined/ramp/arch + standard_truss/other</t>
  </si>
  <si>
    <t>s-shape/arch + standard_truss/other</t>
  </si>
  <si>
    <t>inclined/ramp/arch + standard_truss</t>
  </si>
  <si>
    <t>inclined/arch + other</t>
  </si>
  <si>
    <t>other_shape + no_truss</t>
  </si>
  <si>
    <t>inverted_arch/s-shape/arch + other</t>
  </si>
  <si>
    <t>Weigth Type</t>
  </si>
  <si>
    <t>Type, Exploit, Deck main, Structure main (3), Structure secondary, Material main (2)</t>
  </si>
  <si>
    <t>material</t>
  </si>
  <si>
    <t>anchor</t>
  </si>
  <si>
    <t>budget</t>
  </si>
  <si>
    <t>w</t>
  </si>
  <si>
    <t>All equal</t>
  </si>
  <si>
    <t>Core features (3), Secondary (2), Additional (1)</t>
  </si>
  <si>
    <t>No weights</t>
  </si>
  <si>
    <t>Core (3), Secondary (2), Additional (1)</t>
  </si>
  <si>
    <t>Deck &amp; Structure (2), Others (1)</t>
  </si>
  <si>
    <t>Type (5), Deck (4), Struct (3), Mat (2), Additional (1)</t>
  </si>
  <si>
    <t>Type (5), Struct (4), Deck (3), Mat (2), Extra (1)</t>
  </si>
  <si>
    <t>Type (5), Mat (4), Struct (3), Deck (2), Extra (1)</t>
  </si>
  <si>
    <t>All equal (balanced)</t>
  </si>
  <si>
    <t>w_id</t>
  </si>
  <si>
    <t>w_type</t>
  </si>
  <si>
    <t>w_jac</t>
  </si>
  <si>
    <t>[1,1,1,1,1,1,1,1,1,1,1,1,1,1,1,1,1,1,1,1,1,1,1,1,1,1,1,1,1]</t>
  </si>
  <si>
    <t>[3,1,2,2,3,3,3,3,1,2,1,1,1,1,1,1,1,1,1,1,1,1,2,2,1,1,2,1,3]</t>
  </si>
  <si>
    <t>[2,1,2,2,2,2,2,2,1,1,1,1,1,1,1,1,1,1,1,1,1,1,1,1,1,1,1,1,1]</t>
  </si>
  <si>
    <t>[5,1,5,4,4,3,3,3,1,3,3,3,2,2,2,2,2,3,3,3,1,1,2,2,1,1,3,1,5]</t>
  </si>
  <si>
    <t>[5,1,5,3,3,4,4,4,1,4,4,4,2,2,2,2,2,4,4,4,1,1,2,2,1,1,4,1,5]</t>
  </si>
  <si>
    <t>[5,1,3,3,3,3,3,3,1,3,3,3,4,4,4,4,4,3,3,3,1,1,3,3,1,1,3,1,5]</t>
  </si>
  <si>
    <t>[3.67,11,2.75,2.75,2.75,3.67,3.67,3.67,3.67,3.67,3.67,3.67,2.2,2.2,2.2,2.2,2.2,2.75,2.75,2.75,2.75,3.67,3.67,2.75,3.67,3.67,3.67,3.67,3.67]</t>
  </si>
  <si>
    <t>[11,11,5.5,5.5,8.25,11,11,11,3.67,7.33,3.67,3.67,4.4,4.4,4.4,4.4,4.4,2.75,2.75,2.75,2.75,3.67,7.33,5.5,3.67,3.67,7.33,3.67,11]</t>
  </si>
  <si>
    <t>WTp</t>
  </si>
  <si>
    <t>W1</t>
  </si>
  <si>
    <t>W2</t>
  </si>
  <si>
    <t>W5</t>
  </si>
  <si>
    <t>W3</t>
  </si>
  <si>
    <t>W4</t>
  </si>
  <si>
    <t>W6</t>
  </si>
  <si>
    <t>W7</t>
  </si>
  <si>
    <t>W8</t>
  </si>
  <si>
    <t>detailed</t>
  </si>
  <si>
    <t>Solution</t>
  </si>
  <si>
    <t>'budgetUsed'</t>
  </si>
  <si>
    <t>'deckType_1'</t>
  </si>
  <si>
    <t>'deckType_2'</t>
  </si>
  <si>
    <t>'structurePosition_Bottom'</t>
  </si>
  <si>
    <t>'roadAsStrut'</t>
  </si>
  <si>
    <t>'rockSupportShape'</t>
  </si>
  <si>
    <t>'rockSupportMat'</t>
  </si>
  <si>
    <t>'materialRoad'</t>
  </si>
  <si>
    <t>'materialReinfRoad'</t>
  </si>
  <si>
    <t>'materialWood'</t>
  </si>
  <si>
    <t>'MaterialOther'</t>
  </si>
  <si>
    <t>'leftAnchorConnected'</t>
  </si>
  <si>
    <t>'rightAnchorConnected'</t>
  </si>
  <si>
    <t>'hasDangling'</t>
  </si>
  <si>
    <t>'restOnRock'</t>
  </si>
  <si>
    <t>'predominantMaterialDeck'</t>
  </si>
  <si>
    <t>'hasDiamonds'</t>
  </si>
  <si>
    <t>'doubleFeature'</t>
  </si>
  <si>
    <t>'isModded'</t>
  </si>
  <si>
    <t>'exploitType'</t>
  </si>
  <si>
    <t>Game exploit</t>
  </si>
  <si>
    <t>Deck</t>
  </si>
  <si>
    <t>Structure</t>
  </si>
  <si>
    <t>Material</t>
  </si>
  <si>
    <t>Category</t>
  </si>
  <si>
    <t>Total</t>
  </si>
  <si>
    <t>Weigth</t>
  </si>
  <si>
    <t>FULL GOWER</t>
  </si>
  <si>
    <t>JACCARD</t>
  </si>
  <si>
    <t>Detailed Study</t>
  </si>
  <si>
    <t>W9</t>
  </si>
  <si>
    <t>Defining feat</t>
  </si>
  <si>
    <t>Detailed Study2</t>
  </si>
  <si>
    <t>W10</t>
  </si>
  <si>
    <t>Detailed Main</t>
  </si>
  <si>
    <t>FULL GOWER - only important</t>
  </si>
  <si>
    <t>Simplified</t>
  </si>
  <si>
    <t>W11</t>
  </si>
  <si>
    <t>https://static.wixstatic.com/media/aa2f94_e03708cc1ae34e259d992ba38710ebd0~mv2.png/v1/fill/w_594,h_360,al_c,q_85,usm_0.66_1.00_0.01,enc_auto/aa2f94_e03708cc1ae34e259d992ba38710ebd0~mv2.png</t>
  </si>
  <si>
    <t>https://static.wixstatic.com/media/aa2f94_3b72f2aff47c4674a99afc6e0bef0c09~mv2.png/v1/fill/w_594,h_360,al_c,q_85,usm_0.66_1.00_0.01,enc_auto/aa2f94_3b72f2aff47c4674a99afc6e0bef0c09~mv2.png</t>
  </si>
  <si>
    <t>https://static.wixstatic.com/media/aa2f94_3d6b6671079c472d9daffbc9128083c5~mv2.png/v1/fill/w_594,h_360,al_c,q_85,usm_0.66_1.00_0.01,enc_auto/aa2f94_3d6b6671079c472d9daffbc9128083c5~mv2.png</t>
  </si>
  <si>
    <t>https://static.wixstatic.com/media/aa2f94_c09f0692bca64a87b7a476c42af95511~mv2.png/v1/fill/w_594,h_360,al_c,q_85,usm_0.66_1.00_0.01,enc_auto/aa2f94_c09f0692bca64a87b7a476c42af95511~mv2.png</t>
  </si>
  <si>
    <t>https://static.wixstatic.com/media/aa2f94_71cbd05052fc4514a262800b9b5c9307~mv2.png/v1/fill/w_594,h_360,al_c,q_85,usm_0.66_1.00_0.01,enc_auto/aa2f94_71cbd05052fc4514a262800b9b5c9307~mv2.png</t>
  </si>
  <si>
    <t>https://static.wixstatic.com/media/aa2f94_8fd079eae779414fb3fe41af37f42a18~mv2.png/v1/fill/w_594,h_360,al_c,q_85,usm_0.66_1.00_0.01,enc_auto/aa2f94_8fd079eae779414fb3fe41af37f42a18~mv2.png</t>
  </si>
  <si>
    <t>https://static.wixstatic.com/media/aa2f94_f5bb05d5cbbb4d74bec5a19e65df12e6~mv2.png/v1/fill/w_594,h_360,al_c,q_85,usm_0.66_1.00_0.01,enc_auto/aa2f94_f5bb05d5cbbb4d74bec5a19e65df12e6~mv2.png</t>
  </si>
  <si>
    <t>https://static.wixstatic.com/media/aa2f94_6c5eeff7f7d7489392952a8b6c96505f~mv2.png/v1/fill/w_594,h_360,al_c,q_85,usm_0.66_1.00_0.01,enc_auto/aa2f94_6c5eeff7f7d7489392952a8b6c96505f~mv2.png</t>
  </si>
  <si>
    <t>https://static.wixstatic.com/media/aa2f94_a97c4b49a6654a06b47cb4f944fee1df~mv2.png/v1/fill/w_594,h_360,al_c,q_85,usm_0.66_1.00_0.01,enc_auto/aa2f94_a97c4b49a6654a06b47cb4f944fee1df~mv2.png</t>
  </si>
  <si>
    <t>https://static.wixstatic.com/media/aa2f94_5d3af9a6e0bd4a16b2f53a183385e499~mv2.png/v1/fill/w_594,h_360,al_c,q_85,usm_0.66_1.00_0.01,enc_auto/aa2f94_5d3af9a6e0bd4a16b2f53a183385e499~mv2.png</t>
  </si>
  <si>
    <t>https://static.wixstatic.com/media/aa2f94_1f55162346754a55b45b3d62b104239e~mv2.png/v1/fill/w_594,h_360,al_c,q_85,usm_0.66_1.00_0.01,enc_auto/aa2f94_1f55162346754a55b45b3d62b104239e~mv2.png</t>
  </si>
  <si>
    <t>https://static.wixstatic.com/media/aa2f94_e41a67e5bd754efa82f8eb27666eb843~mv2.png/v1/fill/w_594,h_360,al_c,q_85,usm_0.66_1.00_0.01,enc_auto/aa2f94_e41a67e5bd754efa82f8eb27666eb843~mv2.png</t>
  </si>
  <si>
    <t>https://static.wixstatic.com/media/aa2f94_475cd7e19d6e4f7092457ebc90e209d9~mv2.png/v1/fill/w_594,h_360,al_c,q_85,usm_0.66_1.00_0.01,enc_auto/aa2f94_475cd7e19d6e4f7092457ebc90e209d9~mv2.png</t>
  </si>
  <si>
    <t>https://static.wixstatic.com/media/aa2f94_3b812ae9210c4f648680cb348d5b8e61~mv2.png/v1/fill/w_594,h_360,al_c,q_85,usm_0.66_1.00_0.01,enc_auto/aa2f94_3b812ae9210c4f648680cb348d5b8e61~mv2.png</t>
  </si>
  <si>
    <t>https://static.wixstatic.com/media/aa2f94_bfef00d49ca84fe19a7bad7d7da0d463~mv2.png/v1/fill/w_594,h_360,al_c,q_85,usm_0.66_1.00_0.01,enc_auto/aa2f94_bfef00d49ca84fe19a7bad7d7da0d463~mv2.png</t>
  </si>
  <si>
    <t>https://static.wixstatic.com/media/aa2f94_32be09d3896f4d70a532bd45424323d8~mv2.png/v1/fill/w_594,h_360,al_c,q_85,usm_0.66_1.00_0.01,enc_auto/aa2f94_32be09d3896f4d70a532bd45424323d8~mv2.png</t>
  </si>
  <si>
    <t>https://static.wixstatic.com/media/aa2f94_3a0278b8ac0042c79baca6194a7d9358~mv2.png/v1/fill/w_594,h_360,al_c,q_85,usm_0.66_1.00_0.01,enc_auto/aa2f94_3a0278b8ac0042c79baca6194a7d9358~mv2.png</t>
  </si>
  <si>
    <t>https://static.wixstatic.com/media/aa2f94_490cb9bff5274833a12ca7fc80316a1b~mv2.png/v1/fill/w_594,h_360,al_c,q_85,usm_0.66_1.00_0.01,enc_auto/aa2f94_490cb9bff5274833a12ca7fc80316a1b~mv2.png</t>
  </si>
  <si>
    <t>https://static.wixstatic.com/media/aa2f94_38f222c356604b189913c22baa7a20a1~mv2.png/v1/fill/w_594,h_360,al_c,q_85,usm_0.66_1.00_0.01,enc_auto/aa2f94_38f222c356604b189913c22baa7a20a1~mv2.png</t>
  </si>
  <si>
    <t>https://static.wixstatic.com/media/aa2f94_87f849a21f854568b68b074fda0409c2~mv2.png/v1/fill/w_594,h_360,al_c,q_85,usm_0.66_1.00_0.01,enc_auto/aa2f94_87f849a21f854568b68b074fda0409c2~mv2.png</t>
  </si>
  <si>
    <t>https://static.wixstatic.com/media/aa2f94_c1d6e3812fa34e09bdaf9ff6c30a6b0f~mv2.png/v1/fill/w_594,h_360,al_c,q_85,usm_0.66_1.00_0.01,enc_auto/aa2f94_c1d6e3812fa34e09bdaf9ff6c30a6b0f~mv2.png</t>
  </si>
  <si>
    <t>https://static.wixstatic.com/media/aa2f94_970c0e3289cd4beb8ed8f76861f70993~mv2.png/v1/fill/w_594,h_360,al_c,q_85,usm_0.66_1.00_0.01,enc_auto/aa2f94_970c0e3289cd4beb8ed8f76861f70993~mv2.png</t>
  </si>
  <si>
    <t>https://static.wixstatic.com/media/aa2f94_9f3fc41a4e9248cda3fcdea3495557c2~mv2.png/v1/fill/w_594,h_360,al_c,q_85,usm_0.66_1.00_0.01,enc_auto/aa2f94_9f3fc41a4e9248cda3fcdea3495557c2~mv2.png</t>
  </si>
  <si>
    <t>https://static.wixstatic.com/media/aa2f94_278bd27811f844458f3af64c22ceed89~mv2.png/v1/fill/w_594,h_360,al_c,q_85,usm_0.66_1.00_0.01,enc_auto/aa2f94_278bd27811f844458f3af64c22ceed89~mv2.png</t>
  </si>
  <si>
    <t>https://static.wixstatic.com/media/aa2f94_8d337bac8f654fc4913e49ae21d7a8dd~mv2.png/v1/fill/w_594,h_360,al_c,q_85,usm_0.66_1.00_0.01,enc_auto/aa2f94_8d337bac8f654fc4913e49ae21d7a8dd~mv2.png</t>
  </si>
  <si>
    <t>https://static.wixstatic.com/media/aa2f94_a69b6b109668485090a4bc5e96dd29f2~mv2.png/v1/fill/w_594,h_360,al_c,q_85,usm_0.66_1.00_0.01,enc_auto/aa2f94_a69b6b109668485090a4bc5e96dd29f2~mv2.png</t>
  </si>
  <si>
    <t>https://static.wixstatic.com/media/aa2f94_a72075ccec304fb4920bb135f2cffe67~mv2.png/v1/fill/w_594,h_360,al_c,q_85,usm_0.66_1.00_0.01,enc_auto/aa2f94_a72075ccec304fb4920bb135f2cffe67~mv2.png</t>
  </si>
  <si>
    <t>https://static.wixstatic.com/media/aa2f94_975562d251534b89b60a5dcd1c6e98e8~mv2.png/v1/fill/w_594,h_360,al_c,q_85,usm_0.66_1.00_0.01,enc_auto/aa2f94_975562d251534b89b60a5dcd1c6e98e8~mv2.png</t>
  </si>
  <si>
    <t>https://static.wixstatic.com/media/aa2f94_d4d413c1df5e4ef9a74061ac766524fa~mv2.png/v1/fill/w_594,h_360,al_c,q_85,usm_0.66_1.00_0.01,enc_auto/aa2f94_d4d413c1df5e4ef9a74061ac766524fa~mv2.png</t>
  </si>
  <si>
    <t>https://static.wixstatic.com/media/aa2f94_71b63ee3c91d4de2b479880b7d72c234~mv2.png/v1/fill/w_594,h_360,al_c,q_85,usm_0.66_1.00_0.01,enc_auto/aa2f94_71b63ee3c91d4de2b479880b7d72c234~mv2.png</t>
  </si>
  <si>
    <t>https://static.wixstatic.com/media/aa2f94_65b439353b6943b497ca3cb874088f77~mv2.png/v1/fill/w_594,h_360,al_c,q_85,usm_0.66_1.00_0.01,enc_auto/aa2f94_65b439353b6943b497ca3cb874088f77~mv2.png</t>
  </si>
  <si>
    <t>https://static.wixstatic.com/media/aa2f94_3722cb42f2eb4f838fede255ceb480e9~mv2.png/v1/fill/w_594,h_360,al_c,q_85,usm_0.66_1.00_0.01,enc_auto/aa2f94_3722cb42f2eb4f838fede255ceb480e9~mv2.png</t>
  </si>
  <si>
    <t>https://static.wixstatic.com/media/aa2f94_0f9a7bd56f184eff9fd1b85845a2a0e8~mv2.png/v1/fill/w_594,h_360,al_c,q_85,usm_0.66_1.00_0.01,enc_auto/aa2f94_0f9a7bd56f184eff9fd1b85845a2a0e8~mv2.png</t>
  </si>
  <si>
    <t>https://static.wixstatic.com/media/aa2f94_f63a796efefa4647af1f36fc7ba8d03b~mv2.png/v1/fill/w_594,h_360,al_c,q_85,usm_0.66_1.00_0.01,enc_auto/aa2f94_f63a796efefa4647af1f36fc7ba8d03b~mv2.png</t>
  </si>
  <si>
    <t>https://static.wixstatic.com/media/aa2f94_9a70fc4d4ac94de3bb843b0e95cf9fc8~mv2.png/v1/fill/w_594,h_360,al_c,q_85,usm_0.66_1.00_0.01,enc_auto/aa2f94_9a70fc4d4ac94de3bb843b0e95cf9fc8~mv2.png</t>
  </si>
  <si>
    <t>https://static.wixstatic.com/media/aa2f94_66b72bef215d44e7a3443fc5e1da5e1b~mv2.png/v1/fill/w_594,h_360,al_c,q_85,usm_0.66_1.00_0.01,enc_auto/aa2f94_66b72bef215d44e7a3443fc5e1da5e1b~mv2.png</t>
  </si>
  <si>
    <t>https://static.wixstatic.com/media/aa2f94_b4a74820d856484fb8ac02164bb428e5~mv2.png/v1/fill/w_594,h_360,al_c,q_85,usm_0.66_1.00_0.01,enc_auto/aa2f94_b4a74820d856484fb8ac02164bb428e5~mv2.png</t>
  </si>
  <si>
    <t>https://static.wixstatic.com/media/aa2f94_1b4ff671cc03496c8c43202e8e61a4db~mv2.png/v1/fill/w_594,h_360,al_c,q_85,usm_0.66_1.00_0.01,enc_auto/aa2f94_1b4ff671cc03496c8c43202e8e61a4db~mv2.png</t>
  </si>
  <si>
    <t>https://static.wixstatic.com/media/aa2f94_8cc4903c01e044e8810076495c7a8693~mv2.png/v1/fill/w_594,h_360,al_c,q_85,usm_0.66_1.00_0.01,enc_auto/aa2f94_8cc4903c01e044e8810076495c7a8693~mv2.png</t>
  </si>
  <si>
    <t>https://static.wixstatic.com/media/aa2f94_a8b6768e6c9841139a2a9c263ff20c31~mv2.png/v1/fill/w_594,h_360,al_c,q_85,usm_0.66_1.00_0.01,enc_auto/aa2f94_a8b6768e6c9841139a2a9c263ff20c31~mv2.png</t>
  </si>
  <si>
    <t>https://static.wixstatic.com/media/aa2f94_103ac73ce72f402fb42ebaf1066452f1~mv2.png/v1/fill/w_594,h_360,al_c,q_85,usm_0.66_1.00_0.01,enc_auto/aa2f94_103ac73ce72f402fb42ebaf1066452f1~mv2.png</t>
  </si>
  <si>
    <t>https://static.wixstatic.com/media/aa2f94_fa81e38d7e3e42ccb27afce9f7409796~mv2.png/v1/fill/w_594,h_360,al_c,q_85,usm_0.66_1.00_0.01,enc_auto/aa2f94_fa81e38d7e3e42ccb27afce9f7409796~mv2.png</t>
  </si>
  <si>
    <t>https://static.wixstatic.com/media/aa2f94_b80f795b8b6e4be7a4c6202f2d7639b4~mv2.png/v1/fill/w_594,h_360,al_c,q_85,usm_0.66_1.00_0.01,enc_auto/aa2f94_b80f795b8b6e4be7a4c6202f2d7639b4~mv2.png</t>
  </si>
  <si>
    <t>https://static.wixstatic.com/media/aa2f94_bd071952e50849f4a61cb2b28e78165c~mv2.png/v1/fill/w_594,h_360,al_c,q_85,usm_0.66_1.00_0.01,enc_auto/aa2f94_bd071952e50849f4a61cb2b28e78165c~mv2.png</t>
  </si>
  <si>
    <t>https://static.wixstatic.com/media/aa2f94_3d9e7b79afce4682907ca8b7d38407c9~mv2.png/v1/fill/w_595,h_356,al_c,q_85,usm_0.66_1.00_0.01,enc_auto/aa2f94_3d9e7b79afce4682907ca8b7d38407c9~mv2.png</t>
  </si>
  <si>
    <t>https://static.wixstatic.com/media/aa2f94_e1aa2cd3f6d74cfeafcfa47fbb8ecd63~mv2.png/v1/fill/w_595,h_356,al_c,q_85,usm_0.66_1.00_0.01,enc_auto/aa2f94_e1aa2cd3f6d74cfeafcfa47fbb8ecd63~mv2.png</t>
  </si>
  <si>
    <t>https://static.wixstatic.com/media/aa2f94_449798d42ec2460fa3448a164839c0a2~mv2.png/v1/fill/w_605,h_363,al_c,q_85,usm_0.66_1.00_0.01,enc_auto/aa2f94_449798d42ec2460fa3448a164839c0a2~mv2.png</t>
  </si>
  <si>
    <t>https://static.wixstatic.com/media/aa2f94_64ae259b0a64405c81d201669f9443bd~mv2.png/v1/fill/w_595,h_356,al_c,q_85,usm_0.66_1.00_0.01,enc_auto/aa2f94_64ae259b0a64405c81d201669f9443bd~mv2.png</t>
  </si>
  <si>
    <t>https://static.wixstatic.com/media/aa2f94_f5bf1fd734634736a95f7fe089858fa0~mv2.png/v1/fill/w_595,h_356,al_c,q_85,usm_0.66_1.00_0.01,enc_auto/aa2f94_f5bf1fd734634736a95f7fe089858fa0~mv2.png</t>
  </si>
  <si>
    <t>https://static.wixstatic.com/media/aa2f94_171195f43ab04762b3e66c04d9327629~mv2.png/v1/fill/w_595,h_356,al_c,q_85,usm_0.66_1.00_0.01,enc_auto/aa2f94_171195f43ab04762b3e66c04d9327629~mv2.png</t>
  </si>
  <si>
    <t>https://static.wixstatic.com/media/aa2f94_13f7a8c8a1284d7fbd42c47a6dedaabf~mv2.png/v1/fill/w_595,h_356,al_c,q_85,usm_0.66_1.00_0.01,enc_auto/aa2f94_13f7a8c8a1284d7fbd42c47a6dedaabf~mv2.png</t>
  </si>
  <si>
    <t>https://static.wixstatic.com/media/aa2f94_f0ced5c07db54f5789acd0d6acf6a3b3~mv2.png/v1/fill/w_595,h_356,al_c,q_85,usm_0.66_1.00_0.01,enc_auto/aa2f94_f0ced5c07db54f5789acd0d6acf6a3b3~mv2.png</t>
  </si>
  <si>
    <t>https://static.wixstatic.com/media/aa2f94_091dacb1af894ada953cc259dcc0547e~mv2.png/v1/fill/w_595,h_356,al_c,q_85,usm_0.66_1.00_0.01,enc_auto/aa2f94_091dacb1af894ada953cc259dcc0547e~mv2.png</t>
  </si>
  <si>
    <t>https://static.wixstatic.com/media/aa2f94_07e45727a1a94bf3b65a003cf7c2cc45~mv2.png/v1/fill/w_595,h_356,al_c,q_85,usm_0.66_1.00_0.01,enc_auto/aa2f94_07e45727a1a94bf3b65a003cf7c2cc45~mv2.png</t>
  </si>
  <si>
    <t>https://static.wixstatic.com/media/aa2f94_030a95b5d9594897973b6d5232e130ab~mv2.png/v1/fill/w_595,h_356,al_c,q_85,usm_0.66_1.00_0.01,enc_auto/aa2f94_030a95b5d9594897973b6d5232e130ab~mv2.png</t>
  </si>
  <si>
    <t>https://static.wixstatic.com/media/aa2f94_9090de165def466da65a4410ee6ecd2d~mv2.png/v1/fill/w_595,h_356,al_c,q_85,usm_0.66_1.00_0.01,enc_auto/aa2f94_9090de165def466da65a4410ee6ecd2d~mv2.png</t>
  </si>
  <si>
    <t>https://static.wixstatic.com/media/aa2f94_6bcf91c857f84c0a8748f8791436d37e~mv2.png/v1/fill/w_595,h_356,al_c,q_85,usm_0.66_1.00_0.01,enc_auto/aa2f94_6bcf91c857f84c0a8748f8791436d37e~mv2.png</t>
  </si>
  <si>
    <t>https://static.wixstatic.com/media/aa2f94_b4a6e344d1a0481ab4257a38f6cbeb2a~mv2.png/v1/fill/w_595,h_356,al_c,q_85,usm_0.66_1.00_0.01,enc_auto/aa2f94_b4a6e344d1a0481ab4257a38f6cbeb2a~mv2.png</t>
  </si>
  <si>
    <t>https://static.wixstatic.com/media/aa2f94_6431e0b5cbab4c7fa2aa461ab79575f2~mv2.png/v1/fill/w_595,h_356,al_c,q_85,usm_0.66_1.00_0.01,enc_auto/aa2f94_6431e0b5cbab4c7fa2aa461ab79575f2~mv2.png</t>
  </si>
  <si>
    <t>https://static.wixstatic.com/media/aa2f94_219af601b3584bb2bda077b55e489b2d~mv2.png/v1/fill/w_595,h_356,al_c,q_85,usm_0.66_1.00_0.01,enc_auto/aa2f94_219af601b3584bb2bda077b55e489b2d~mv2.png</t>
  </si>
  <si>
    <t>https://static.wixstatic.com/media/aa2f94_20e7e9395ed2484c8efe0bb419dffdab~mv2.png/v1/fill/w_595,h_356,al_c,q_85,usm_0.66_1.00_0.01,enc_auto/aa2f94_20e7e9395ed2484c8efe0bb419dffdab~mv2.png</t>
  </si>
  <si>
    <t>https://static.wixstatic.com/media/aa2f94_ec9a67481607494e94428b7afe2ccd2a~mv2.png/v1/fill/w_594,h_360,al_c,q_85,usm_0.66_1.00_0.01,enc_auto/aa2f94_ec9a67481607494e94428b7afe2ccd2a~mv2.png</t>
  </si>
  <si>
    <t>https://static.wixstatic.com/media/aa2f94_039d5737c60045dab549504192c4775b~mv2.png/v1/fill/w_594,h_360,al_c,q_85,usm_0.66_1.00_0.01,enc_auto/aa2f94_039d5737c60045dab549504192c4775b~mv2.png</t>
  </si>
  <si>
    <t>https://static.wixstatic.com/media/aa2f94_6696ed28ff53437dbca7b547fd622717~mv2.png/v1/fill/w_594,h_360,al_c,q_85,usm_0.66_1.00_0.01,enc_auto/aa2f94_6696ed28ff53437dbca7b547fd622717~mv2.png</t>
  </si>
  <si>
    <t>https://static.wixstatic.com/media/aa2f94_3ad77a9923944acab07525c1cc9689ec~mv2.png/v1/fill/w_594,h_360,al_c,q_85,usm_0.66_1.00_0.01,enc_auto/aa2f94_3ad77a9923944acab07525c1cc9689ec~mv2.png</t>
  </si>
  <si>
    <t>https://static.wixstatic.com/media/aa2f94_e2d35f8eda5c40d9821ca03434818ce6~mv2.png/v1/fill/w_594,h_360,al_c,q_85,usm_0.66_1.00_0.01,enc_auto/aa2f94_e2d35f8eda5c40d9821ca03434818ce6~mv2.png</t>
  </si>
  <si>
    <t>https://static.wixstatic.com/media/aa2f94_41a0fb2a0ad04bb9a286196046a1e115~mv2.png/v1/fill/w_594,h_360,al_c,q_85,usm_0.66_1.00_0.01,enc_auto/aa2f94_41a0fb2a0ad04bb9a286196046a1e115~mv2.png</t>
  </si>
  <si>
    <t>https://static.wixstatic.com/media/aa2f94_c08c1a9c91174815987c5a8b104abe75~mv2.png/v1/fill/w_594,h_360,al_c,q_85,usm_0.66_1.00_0.01,enc_auto/aa2f94_c08c1a9c91174815987c5a8b104abe75~mv2.png</t>
  </si>
  <si>
    <t>https://static.wixstatic.com/media/aa2f94_a977cc53a1364fbd9084a6826bb36c76~mv2.png/v1/fill/w_594,h_360,al_c,q_85,usm_0.66_1.00_0.01,enc_auto/aa2f94_a977cc53a1364fbd9084a6826bb36c76~mv2.png</t>
  </si>
  <si>
    <t>https://static.wixstatic.com/media/aa2f94_a13642da01fc4c29a0c88f50d3ab759e~mv2.png/v1/fill/w_594,h_360,al_c,q_85,usm_0.66_1.00_0.01,enc_auto/aa2f94_a13642da01fc4c29a0c88f50d3ab759e~mv2.png</t>
  </si>
  <si>
    <t>https://static.wixstatic.com/media/aa2f94_9f9b06ca264c45f58a928ece92fc62a0~mv2.png/v1/fill/w_594,h_360,al_c,q_85,usm_0.66_1.00_0.01,enc_auto/aa2f94_9f9b06ca264c45f58a928ece92fc62a0~mv2.png</t>
  </si>
  <si>
    <t>https://static.wixstatic.com/media/aa2f94_2dd29a0d0ddc47c5855607664c226cbe~mv2.png/v1/fill/w_594,h_360,al_c,q_85,usm_0.66_1.00_0.01,enc_auto/aa2f94_2dd29a0d0ddc47c5855607664c226cbe~mv2.png</t>
  </si>
  <si>
    <t>https://static.wixstatic.com/media/aa2f94_ebddff14f15648aa913d42121b2682a3~mv2.png/v1/fill/w_594,h_360,al_c,q_85,usm_0.66_1.00_0.01,enc_auto/aa2f94_ebddff14f15648aa913d42121b2682a3~mv2.png</t>
  </si>
  <si>
    <t>https://static.wixstatic.com/media/aa2f94_dc44bb2e2374442fadf2afcef36ecf49~mv2.png/v1/fill/w_594,h_360,al_c,q_85,usm_0.66_1.00_0.01,enc_auto/aa2f94_dc44bb2e2374442fadf2afcef36ecf49~mv2.png</t>
  </si>
  <si>
    <t>https://static.wixstatic.com/media/aa2f94_1f926748112944b490afbb9d0e10ffba~mv2.png/v1/fill/w_594,h_360,al_c,q_85,usm_0.66_1.00_0.01,enc_auto/aa2f94_1f926748112944b490afbb9d0e10ffba~mv2.png</t>
  </si>
  <si>
    <t>https://static.wixstatic.com/media/aa2f94_23d3442b13304b818525b141c02dc4da~mv2.png/v1/fill/w_594,h_360,al_c,q_85,usm_0.66_1.00_0.01,enc_auto/aa2f94_23d3442b13304b818525b141c02dc4da~mv2.png</t>
  </si>
  <si>
    <t>https://static.wixstatic.com/media/aa2f94_88c2f9c3a6fd4b77911a70c82a6f8766~mv2.png/v1/fill/w_594,h_360,al_c,q_85,usm_0.66_1.00_0.01,enc_auto/aa2f94_88c2f9c3a6fd4b77911a70c82a6f8766~mv2.png</t>
  </si>
  <si>
    <t>https://static.wixstatic.com/media/aa2f94_9b84c0388b5d44159889f824c26f48e9~mv2.png/v1/fill/w_594,h_360,al_c,q_85,usm_0.66_1.00_0.01,enc_auto/aa2f94_9b84c0388b5d44159889f824c26f48e9~mv2.png</t>
  </si>
  <si>
    <t>https://static.wixstatic.com/media/aa2f94_cf1bb96413ab4695bf474ab57ec6750c~mv2.png/v1/fill/w_594,h_360,al_c,q_85,usm_0.66_1.00_0.01,enc_auto/aa2f94_cf1bb96413ab4695bf474ab57ec6750c~mv2.png</t>
  </si>
  <si>
    <t>https://static.wixstatic.com/media/aa2f94_cfcc6d09e39e4152a426d7c10a2f27ae~mv2.png/v1/fill/w_594,h_360,al_c,q_85,usm_0.66_1.00_0.01,enc_auto/aa2f94_cfcc6d09e39e4152a426d7c10a2f27ae~mv2.png</t>
  </si>
  <si>
    <t>https://static.wixstatic.com/media/aa2f94_8ebe6f076e9e4efdb7b843c1fea35971~mv2.png/v1/fill/w_594,h_360,al_c,q_85,usm_0.66_1.00_0.01,enc_auto/aa2f94_8ebe6f076e9e4efdb7b843c1fea35971~mv2.png</t>
  </si>
  <si>
    <t>https://static.wixstatic.com/media/aa2f94_edd982b613044ac29fa913f74c49844f~mv2.png/v1/fill/w_594,h_360,al_c,q_85,usm_0.66_1.00_0.01,enc_auto/aa2f94_edd982b613044ac29fa913f74c49844f~mv2.png</t>
  </si>
  <si>
    <t>https://static.wixstatic.com/media/aa2f94_45f9fd9849c1425db08daeae084bed04~mv2.png/v1/fill/w_594,h_360,al_c,q_85,usm_0.66_1.00_0.01,enc_auto/aa2f94_45f9fd9849c1425db08daeae084bed04~mv2.png</t>
  </si>
  <si>
    <t>https://static.wixstatic.com/media/aa2f94_4adbb62e658141c0967d51d4c236af66~mv2.png/v1/fill/w_594,h_360,al_c,q_85,usm_0.66_1.00_0.01,enc_auto/aa2f94_4adbb62e658141c0967d51d4c236af66~mv2.png</t>
  </si>
  <si>
    <t>https://static.wixstatic.com/media/aa2f94_897a9fd592fc40bb8fb3b065cf5f1b88~mv2.png/v1/fill/w_594,h_360,al_c,q_85,usm_0.66_1.00_0.01,enc_auto/aa2f94_897a9fd592fc40bb8fb3b065cf5f1b88~mv2.png</t>
  </si>
  <si>
    <t>https://static.wixstatic.com/media/aa2f94_ea70da40f793464981b0f2c15ebb2e39~mv2.png/v1/fill/w_594,h_360,al_c,q_85,usm_0.66_1.00_0.01,enc_auto/aa2f94_ea70da40f793464981b0f2c15ebb2e39~mv2.png</t>
  </si>
  <si>
    <t>https://static.wixstatic.com/media/aa2f94_b1faf0c9bcb94eb4945f1bf2a6254154~mv2.png/v1/fill/w_594,h_360,al_c,q_85,usm_0.66_1.00_0.01,enc_auto/aa2f94_b1faf0c9bcb94eb4945f1bf2a6254154~mv2.png</t>
  </si>
  <si>
    <t>https://static.wixstatic.com/media/aa2f94_1af6543fd8cf45098ce30ffcc5466459~mv2.png/v1/fill/w_594,h_360,al_c,q_85,usm_0.66_1.00_0.01,enc_auto/aa2f94_1af6543fd8cf45098ce30ffcc5466459~mv2.png</t>
  </si>
  <si>
    <t>https://static.wixstatic.com/media/aa2f94_995d61e421714fd1bd1b1a9e4bdfa073~mv2.png/v1/fill/w_594,h_360,al_c,q_85,usm_0.66_1.00_0.01,enc_auto/aa2f94_995d61e421714fd1bd1b1a9e4bdfa073~mv2.png</t>
  </si>
  <si>
    <t>https://static.wixstatic.com/media/aa2f94_b1b293a07d0b4494aaa073e00ffbac34~mv2.png/v1/fill/w_594,h_360,al_c,q_85,usm_0.66_1.00_0.01,enc_auto/aa2f94_b1b293a07d0b4494aaa073e00ffbac34~mv2.png</t>
  </si>
  <si>
    <t>https://static.wixstatic.com/media/aa2f94_893adcbf296848f7b8ab544a8cdfe274~mv2.png/v1/fill/w_594,h_360,al_c,q_85,usm_0.66_1.00_0.01,enc_auto/aa2f94_893adcbf296848f7b8ab544a8cdfe274~mv2.png</t>
  </si>
  <si>
    <t>https://static.wixstatic.com/media/aa2f94_bc254f68c0da4ae3919b0efb530b8b6a~mv2.png/v1/fill/w_594,h_360,al_c,q_85,usm_0.66_1.00_0.01,enc_auto/aa2f94_bc254f68c0da4ae3919b0efb530b8b6a~mv2.png</t>
  </si>
  <si>
    <t>https://static.wixstatic.com/media/aa2f94_9c19cacab31445b0b34ddaf1805cd829~mv2.png/v1/fill/w_594,h_360,al_c,q_85,usm_0.66_1.00_0.01,enc_auto/aa2f94_9c19cacab31445b0b34ddaf1805cd829~mv2.png</t>
  </si>
  <si>
    <t>https://static.wixstatic.com/media/aa2f94_dfe345ff847343ee87c2697b971f8099~mv2.png/v1/fill/w_594,h_360,al_c,q_85,usm_0.66_1.00_0.01,enc_auto/aa2f94_dfe345ff847343ee87c2697b971f8099~mv2.png</t>
  </si>
  <si>
    <t>https://static.wixstatic.com/media/aa2f94_17927298ffce45f49e8aa0c7fd121cb6~mv2.png/v1/fill/w_594,h_360,al_c,q_85,usm_0.66_1.00_0.01,enc_auto/aa2f94_17927298ffce45f49e8aa0c7fd121cb6~mv2.png</t>
  </si>
  <si>
    <t>https://static.wixstatic.com/media/aa2f94_2fe263586c674abbbaed069649b3d09f~mv2.png/v1/fill/w_594,h_360,al_c,q_85,usm_0.66_1.00_0.01,enc_auto/aa2f94_2fe263586c674abbbaed069649b3d09f~mv2.png</t>
  </si>
  <si>
    <t>https://static.wixstatic.com/media/aa2f94_c026183729304ae884fbb69d451d1f6d~mv2.png/v1/fill/w_594,h_360,al_c,q_85,usm_0.66_1.00_0.01,enc_auto/aa2f94_c026183729304ae884fbb69d451d1f6d~mv2.png</t>
  </si>
  <si>
    <t>https://static.wixstatic.com/media/aa2f94_4da7fb2315524e998d5cf1de6cad3bcc~mv2.png/v1/fill/w_594,h_360,al_c,q_85,usm_0.66_1.00_0.01,enc_auto/aa2f94_4da7fb2315524e998d5cf1de6cad3bcc~mv2.png</t>
  </si>
  <si>
    <t>https://static.wixstatic.com/media/aa2f94_83fe6bf389a04271906543e920ec2bca~mv2.png/v1/fill/w_594,h_360,al_c,q_85,usm_0.66_1.00_0.01,enc_auto/aa2f94_83fe6bf389a04271906543e920ec2bca~mv2.png</t>
  </si>
  <si>
    <t>https://static.wixstatic.com/media/aa2f94_e73a917880fa48839b934e7d6e5d4601~mv2.png/v1/fill/w_594,h_360,al_c,q_85,usm_0.66_1.00_0.01,enc_auto/aa2f94_e73a917880fa48839b934e7d6e5d4601~mv2.png</t>
  </si>
  <si>
    <t>https://static.wixstatic.com/media/aa2f94_f3910ee4de844d209361ba12daf398cb~mv2.png/v1/fill/w_594,h_360,al_c,q_85,usm_0.66_1.00_0.01,enc_auto/aa2f94_f3910ee4de844d209361ba12daf398cb~mv2.png</t>
  </si>
  <si>
    <t>https://static.wixstatic.com/media/aa2f94_cfb01f89a1b04c8d922d3e8817b59b39~mv2.png/v1/fill/w_594,h_360,al_c,q_85,usm_0.66_1.00_0.01,enc_auto/aa2f94_cfb01f89a1b04c8d922d3e8817b59b39~mv2.png</t>
  </si>
  <si>
    <t>https://static.wixstatic.com/media/aa2f94_f37dc8d1c54f44a88a3285e847d51ab4~mv2.png/v1/fill/w_594,h_360,al_c,q_85,usm_0.66_1.00_0.01,enc_auto/aa2f94_f37dc8d1c54f44a88a3285e847d51ab4~mv2.png</t>
  </si>
  <si>
    <t>https://static.wixstatic.com/media/aa2f94_766080e495094a63bb527f435c7cc085~mv2.png/v1/fill/w_594,h_360,al_c,q_85,usm_0.66_1.00_0.01,enc_auto/aa2f94_766080e495094a63bb527f435c7cc085~mv2.png</t>
  </si>
  <si>
    <t>https://static.wixstatic.com/media/aa2f94_496e61b40a4e4a3aaf54de8d53349640~mv2.png/v1/fill/w_594,h_360,al_c,q_85,usm_0.66_1.00_0.01,enc_auto/aa2f94_496e61b40a4e4a3aaf54de8d53349640~mv2.png</t>
  </si>
  <si>
    <t>https://static.wixstatic.com/media/aa2f94_35e9a9276d8e400599f333623b352b0c~mv2.png/v1/fill/w_594,h_360,al_c,q_85,usm_0.66_1.00_0.01,enc_auto/aa2f94_35e9a9276d8e400599f333623b352b0c~mv2.png</t>
  </si>
  <si>
    <t>https://static.wixstatic.com/media/aa2f94_65582037476c42f6be52a7a44da87571~mv2.png/v1/fill/w_594,h_360,al_c,q_85,usm_0.66_1.00_0.01,enc_auto/aa2f94_65582037476c42f6be52a7a44da87571~mv2.png</t>
  </si>
  <si>
    <t>https://static.wixstatic.com/media/aa2f94_08a738d4526d4aa89d1db4b0641e3c4b~mv2.png/v1/fill/w_594,h_360,al_c,q_85,usm_0.66_1.00_0.01,enc_auto/aa2f94_08a738d4526d4aa89d1db4b0641e3c4b~mv2.png</t>
  </si>
  <si>
    <t>https://static.wixstatic.com/media/aa2f94_ff22ded425c948e0ab98a44c1e9375a4~mv2.png/v1/fill/w_594,h_360,al_c,q_85,usm_0.66_1.00_0.01,enc_auto/aa2f94_ff22ded425c948e0ab98a44c1e9375a4~mv2.png</t>
  </si>
  <si>
    <t>https://static.wixstatic.com/media/aa2f94_0aeb74b223944e449fea738de818c4b6~mv2.png/v1/fill/w_594,h_360,al_c,q_85,usm_0.66_1.00_0.01,enc_auto/aa2f94_0aeb74b223944e449fea738de818c4b6~mv2.png</t>
  </si>
  <si>
    <t>https://static.wixstatic.com/media/aa2f94_bc7abddaab3447239077f45284742110~mv2.png/v1/fill/w_594,h_360,al_c,q_85,usm_0.66_1.00_0.01,enc_auto/aa2f94_bc7abddaab3447239077f45284742110~mv2.png</t>
  </si>
  <si>
    <t>https://static.wixstatic.com/media/aa2f94_8d5f0f9c51da4755b6a7949dd0387fed~mv2.png/v1/fill/w_594,h_360,al_c,q_85,usm_0.66_1.00_0.01,enc_auto/aa2f94_8d5f0f9c51da4755b6a7949dd0387fed~mv2.png</t>
  </si>
  <si>
    <t>https://static.wixstatic.com/media/aa2f94_e01a79e874fc4655bc45d346a961a01f~mv2.png/v1/fill/w_594,h_360,al_c,q_85,usm_0.66_1.00_0.01,enc_auto/aa2f94_e01a79e874fc4655bc45d346a961a01f~mv2.png</t>
  </si>
  <si>
    <t>https://static.wixstatic.com/media/aa2f94_77a1495f34f7498a8bcaa932bafbe900~mv2.png/v1/fill/w_594,h_360,al_c,q_85,usm_0.66_1.00_0.01,enc_auto/aa2f94_77a1495f34f7498a8bcaa932bafbe900~mv2.png</t>
  </si>
  <si>
    <t>https://static.wixstatic.com/media/aa2f94_12335c2251cb46faad73cd09f2daa79b~mv2.png/v1/fill/w_594,h_360,al_c,q_85,usm_0.66_1.00_0.01,enc_auto/aa2f94_12335c2251cb46faad73cd09f2daa79b~mv2.png</t>
  </si>
  <si>
    <t>https://static.wixstatic.com/media/aa2f94_bdbb3e5ce5dc4adb8afbd2b413acc7ac~mv2.png/v1/fill/w_594,h_360,al_c,q_85,usm_0.66_1.00_0.01,enc_auto/aa2f94_bdbb3e5ce5dc4adb8afbd2b413acc7ac~mv2.png</t>
  </si>
  <si>
    <t>https://static.wixstatic.com/media/aa2f94_c4f6d8e4d7e241bc9149dc5e25be6f79~mv2.png/v1/fill/w_594,h_360,al_c,q_85,usm_0.66_1.00_0.01,enc_auto/aa2f94_c4f6d8e4d7e241bc9149dc5e25be6f79~mv2.png</t>
  </si>
  <si>
    <t>https://static.wixstatic.com/media/aa2f94_1683ed73325941fe9cdeaa2b051d0956~mv2.png/v1/fill/w_594,h_360,al_c,q_85,usm_0.66_1.00_0.01,enc_auto/aa2f94_1683ed73325941fe9cdeaa2b051d0956~mv2.png</t>
  </si>
  <si>
    <t>https://static.wixstatic.com/media/aa2f94_bb423f8eff934136a52e6a2c1f4dea6b~mv2.png/v1/fill/w_594,h_360,al_c,q_85,usm_0.66_1.00_0.01,enc_auto/aa2f94_bb423f8eff934136a52e6a2c1f4dea6b~mv2.png</t>
  </si>
  <si>
    <t>https://static.wixstatic.com/media/aa2f94_32bdfa62cb504c2eaf9339a1ce7432ab~mv2.png/v1/fill/w_594,h_360,al_c,q_85,usm_0.66_1.00_0.01,enc_auto/aa2f94_32bdfa62cb504c2eaf9339a1ce7432ab~mv2.png</t>
  </si>
  <si>
    <t>https://static.wixstatic.com/media/aa2f94_2cdbbeb2909a4aa8a46dedda4cb8ad39~mv2.png/v1/fill/w_594,h_360,al_c,q_85,usm_0.66_1.00_0.01,enc_auto/aa2f94_2cdbbeb2909a4aa8a46dedda4cb8ad39~mv2.png</t>
  </si>
  <si>
    <t>https://static.wixstatic.com/media/aa2f94_577196eb61b04a6989eb11d2d0b0d1c9~mv2.png/v1/fill/w_594,h_360,al_c,q_85,usm_0.66_1.00_0.01,enc_auto/aa2f94_577196eb61b04a6989eb11d2d0b0d1c9~mv2.png</t>
  </si>
  <si>
    <t>https://static.wixstatic.com/media/aa2f94_518dfd810a2e482db188517764e26460~mv2.png/v1/fill/w_594,h_360,al_c,q_85,usm_0.66_1.00_0.01,enc_auto/aa2f94_518dfd810a2e482db188517764e26460~mv2.png</t>
  </si>
  <si>
    <t>https://static.wixstatic.com/media/aa2f94_09ad4c9455b5430990b02d549df6f233~mv2.png/v1/fill/w_594,h_360,al_c,q_85,usm_0.66_1.00_0.01,enc_auto/aa2f94_09ad4c9455b5430990b02d549df6f233~mv2.png</t>
  </si>
  <si>
    <t>https://static.wixstatic.com/media/aa2f94_fb7c0a4d087841c0ba67098baf1ab580~mv2.png/v1/fill/w_1553,h_942,al_c,q_90,enc_auto/aa2f94_fb7c0a4d087841c0ba67098baf1ab580~mv2.png</t>
  </si>
  <si>
    <t>https://static.wixstatic.com/media/aa2f94_1d33bdf6e25b43e7aa51a15118392dac~mv2.png/v1/fill/w_594,h_360,al_c,q_85,usm_0.66_1.00_0.01,enc_auto/aa2f94_1d33bdf6e25b43e7aa51a15118392dac~mv2.png</t>
  </si>
  <si>
    <t>https://static.wixstatic.com/media/aa2f94_ba25951136a54d6b801424efef5b53b8~mv2.png/v1/fill/w_1553,h_942,al_c,q_90,enc_auto/aa2f94_ba25951136a54d6b801424efef5b53b8~mv2.png</t>
  </si>
  <si>
    <t>https://static.wixstatic.com/media/aa2f94_70ec9ace608e463ea08145e6b87baf07~mv2.png/v1/fill/w_594,h_360,al_c,q_85,usm_0.66_1.00_0.01,enc_auto/aa2f94_70ec9ace608e463ea08145e6b87baf07~mv2.png</t>
  </si>
  <si>
    <t>https://static.wixstatic.com/media/aa2f94_0000748aa76846ff8d7dc28045aff205~mv2.png/v1/fill/w_594,h_360,al_c,q_85,usm_0.66_1.00_0.01,enc_auto/aa2f94_0000748aa76846ff8d7dc28045aff205~mv2.png</t>
  </si>
  <si>
    <t>https://static.wixstatic.com/media/aa2f94_5b26fbeda66449f780e804f3305d0e5e~mv2.png/v1/fill/w_594,h_360,al_c,q_85,usm_0.66_1.00_0.01,enc_auto/aa2f94_5b26fbeda66449f780e804f3305d0e5e~mv2.png</t>
  </si>
  <si>
    <t>https://static.wixstatic.com/media/aa2f94_a8994b7de17347ce99392a00136d89e4~mv2.png/v1/fill/w_594,h_360,al_c,q_85,usm_0.66_1.00_0.01,enc_auto/aa2f94_a8994b7de17347ce99392a00136d89e4~mv2.png</t>
  </si>
  <si>
    <t>https://static.wixstatic.com/media/aa2f94_9174cb3036044fe68f0103c13932fb54~mv2.png/v1/fill/w_594,h_360,al_c,q_85,usm_0.66_1.00_0.01,enc_auto/aa2f94_9174cb3036044fe68f0103c13932fb54~mv2.png</t>
  </si>
  <si>
    <t>https://static.wixstatic.com/media/aa2f94_bd01f3d08fe144f28a55f844f403b7d3~mv2.png/v1/fill/w_594,h_360,al_c,q_85,usm_0.66_1.00_0.01,enc_auto/aa2f94_bd01f3d08fe144f28a55f844f403b7d3~mv2.png</t>
  </si>
  <si>
    <t>https://static.wixstatic.com/media/aa2f94_c302343139834ece8e4d50ed4a4be162~mv2.png/v1/fill/w_594,h_360,al_c,q_85,usm_0.66_1.00_0.01,enc_auto/aa2f94_c302343139834ece8e4d50ed4a4be162~mv2.png</t>
  </si>
  <si>
    <t>https://static.wixstatic.com/media/aa2f94_1cdf1c78a1fa4072b35e1d1589181274~mv2.png/v1/fill/w_594,h_360,al_c,q_85,usm_0.66_1.00_0.01,enc_auto/aa2f94_1cdf1c78a1fa4072b35e1d1589181274~mv2.png</t>
  </si>
  <si>
    <t>https://static.wixstatic.com/media/aa2f94_e8ce05eb23944302995bbda0b9699f80~mv2.png/v1/fill/w_594,h_360,al_c,q_85,usm_0.66_1.00_0.01,enc_auto/aa2f94_e8ce05eb23944302995bbda0b9699f80~mv2.png</t>
  </si>
  <si>
    <t>https://static.wixstatic.com/media/aa2f94_e974d13488494beaba3a6da00f7a73f6~mv2.png/v1/fill/w_594,h_360,al_c,q_85,usm_0.66_1.00_0.01,enc_auto/aa2f94_e974d13488494beaba3a6da00f7a73f6~mv2.png</t>
  </si>
  <si>
    <t>https://static.wixstatic.com/media/aa2f94_25e504921ff84cefa40d606c016267aa~mv2.png/v1/fill/w_587,h_356,al_c,q_85,usm_0.66_1.00_0.01,enc_auto/aa2f94_25e504921ff84cefa40d606c016267aa~mv2.png</t>
  </si>
  <si>
    <t>https://static.wixstatic.com/media/aa2f94_2c80e59351bc4fbda90ea8bf0f072e70~mv2.png/v1/fill/w_595,h_356,al_c,q_85,usm_0.66_1.00_0.01,enc_auto/aa2f94_2c80e59351bc4fbda90ea8bf0f072e70~mv2.png</t>
  </si>
  <si>
    <t>https://static.wixstatic.com/media/aa2f94_5a2ee7d2f1b444d7beb5e91a9e7169eb~mv2.png/v1/fill/w_594,h_360,al_c,q_85,usm_0.66_1.00_0.01,enc_auto/aa2f94_5a2ee7d2f1b444d7beb5e91a9e7169eb~mv2.png</t>
  </si>
  <si>
    <t>https://static.wixstatic.com/media/aa2f94_650947c4df98474898de0bf07d184f39~mv2.png/v1/fill/w_594,h_360,al_c,q_85,usm_0.66_1.00_0.01,enc_auto/aa2f94_650947c4df98474898de0bf07d184f39~mv2.png</t>
  </si>
  <si>
    <t>https://static.wixstatic.com/media/aa2f94_963fb0305de54755a0d77847808a17ab~mv2.png/v1/fill/w_594,h_360,al_c,q_85,usm_0.66_1.00_0.01,enc_auto/aa2f94_963fb0305de54755a0d77847808a17ab~mv2.png</t>
  </si>
  <si>
    <t>https://static.wixstatic.com/media/aa2f94_d87e24c6e369465a8ceb9e09b9ac3b9e~mv2.png/v1/fill/w_594,h_360,al_c,q_85,usm_0.66_1.00_0.01,enc_auto/aa2f94_d87e24c6e369465a8ceb9e09b9ac3b9e~mv2.png</t>
  </si>
  <si>
    <t>https://static.wixstatic.com/media/aa2f94_8ea0034805ab454d905cb2cc258c5111~mv2.png/v1/fill/w_594,h_360,al_c,q_85,usm_0.66_1.00_0.01,enc_auto/aa2f94_8ea0034805ab454d905cb2cc258c5111~mv2.png</t>
  </si>
  <si>
    <t>https://static.wixstatic.com/media/aa2f94_da93b20ab02545179d311de3d4fe7fae~mv2.png/v1/fill/w_594,h_360,al_c,q_85,usm_0.66_1.00_0.01,enc_auto/aa2f94_da93b20ab02545179d311de3d4fe7fae~mv2.png</t>
  </si>
  <si>
    <t>https://static.wixstatic.com/media/aa2f94_7f1a96613cf0410fb719d3b84a999207~mv2.png/v1/fill/w_594,h_360,al_c,q_85,usm_0.66_1.00_0.01,enc_auto/aa2f94_7f1a96613cf0410fb719d3b84a999207~mv2.png</t>
  </si>
  <si>
    <t>https://static.wixstatic.com/media/aa2f94_4f1b02bcad13415fa4b547b563a027b0~mv2.png/v1/fill/w_595,h_356,al_c,q_85,usm_0.66_1.00_0.01,enc_auto/aa2f94_4f1b02bcad13415fa4b547b563a027b0~mv2.png</t>
  </si>
  <si>
    <t>https://static.wixstatic.com/media/aa2f94_7196c76773e744e4b4014677112df2ef~mv2.png/v1/fill/w_594,h_360,al_c,q_85,usm_0.66_1.00_0.01,enc_auto/aa2f94_7196c76773e744e4b4014677112df2ef~mv2.png</t>
  </si>
  <si>
    <t>https://static.wixstatic.com/media/aa2f94_6d3b001d47444ad5ad3b248b0060e159~mv2.png/v1/fill/w_594,h_360,al_c,q_85,usm_0.66_1.00_0.01,enc_auto/aa2f94_6d3b001d47444ad5ad3b248b0060e159~mv2.png</t>
  </si>
  <si>
    <t>https://static.wixstatic.com/media/aa2f94_583410157c8f4d82995e1f0b1c1757c2~mv2.png/v1/fill/w_594,h_360,al_c,q_85,usm_0.66_1.00_0.01,enc_auto/aa2f94_583410157c8f4d82995e1f0b1c1757c2~mv2.png</t>
  </si>
  <si>
    <t>https://static.wixstatic.com/media/aa2f94_2b7c4d74177f4778ab8752477ae0fcab~mv2.png/v1/fill/w_594,h_360,al_c,q_85,usm_0.66_1.00_0.01,enc_auto/aa2f94_2b7c4d74177f4778ab8752477ae0fcab~mv2.png</t>
  </si>
  <si>
    <t>https://static.wixstatic.com/media/aa2f94_3d43283cb739449bad21ada6e01f193e~mv2.png/v1/fill/w_594,h_360,al_c,q_85,usm_0.66_1.00_0.01,enc_auto/aa2f94_3d43283cb739449bad21ada6e01f193e~mv2.png</t>
  </si>
  <si>
    <t>https://static.wixstatic.com/media/aa2f94_fd5bf85fc405484ba4ba6f3f5a5e5399~mv2.png/v1/fill/w_594,h_360,al_c,q_85,usm_0.66_1.00_0.01,enc_auto/aa2f94_fd5bf85fc405484ba4ba6f3f5a5e5399~mv2.png</t>
  </si>
  <si>
    <t>https://static.wixstatic.com/media/aa2f94_38b9f3a315e64a0db5aa6226a1e321f8~mv2.png/v1/fill/w_594,h_360,al_c,q_85,usm_0.66_1.00_0.01,enc_auto/aa2f94_38b9f3a315e64a0db5aa6226a1e321f8~mv2.png</t>
  </si>
  <si>
    <t>https://static.wixstatic.com/media/aa2f94_8ac439870b9e473896eb8497f3b5fce4~mv2.png/v1/fill/w_594,h_360,al_c,q_85,usm_0.66_1.00_0.01,enc_auto/aa2f94_8ac439870b9e473896eb8497f3b5fce4~mv2.png</t>
  </si>
  <si>
    <t>https://static.wixstatic.com/media/aa2f94_f862814a2f7847ed8ce0ccca5f6a2870~mv2.png/v1/fill/w_594,h_360,al_c,q_85,usm_0.66_1.00_0.01,enc_auto/aa2f94_f862814a2f7847ed8ce0ccca5f6a2870~mv2.png</t>
  </si>
  <si>
    <t>https://static.wixstatic.com/media/aa2f94_841d586c0cef4687b0cceee17a6e291a~mv2.png/v1/fill/w_594,h_360,al_c,q_85,usm_0.66_1.00_0.01,enc_auto/aa2f94_841d586c0cef4687b0cceee17a6e291a~mv2.png</t>
  </si>
  <si>
    <t>https://static.wixstatic.com/media/aa2f94_2e3f2e84181b414c8bc5c76a72d7b0ed~mv2.png/v1/fill/w_594,h_360,al_c,q_85,usm_0.66_1.00_0.01,enc_auto/aa2f94_2e3f2e84181b414c8bc5c76a72d7b0ed~mv2.png</t>
  </si>
  <si>
    <t>https://static.wixstatic.com/media/aa2f94_b5f6e0fa45e9442ba60d3660a0127041~mv2.png/v1/fill/w_594,h_360,al_c,q_85,usm_0.66_1.00_0.01,enc_auto/aa2f94_b5f6e0fa45e9442ba60d3660a0127041~mv2.png</t>
  </si>
  <si>
    <t>https://static.wixstatic.com/media/aa2f94_9a7f4410a94741e5972541d8e6cd5058~mv2.png/v1/fill/w_594,h_360,al_c,q_85,usm_0.66_1.00_0.01,enc_auto/aa2f94_9a7f4410a94741e5972541d8e6cd5058~mv2.png</t>
  </si>
  <si>
    <t>https://static.wixstatic.com/media/aa2f94_f24393c1954b4998baf960c69006e1ab~mv2.png/v1/fill/w_594,h_360,al_c,q_85,usm_0.66_1.00_0.01,enc_auto/aa2f94_f24393c1954b4998baf960c69006e1ab~mv2.png</t>
  </si>
  <si>
    <t>https://static.wixstatic.com/media/aa2f94_9f0a117eaa9f4684aead84c0f78771c4~mv2.png/v1/fill/w_594,h_360,al_c,q_85,usm_0.66_1.00_0.01,enc_auto/aa2f94_9f0a117eaa9f4684aead84c0f78771c4~mv2.png</t>
  </si>
  <si>
    <t>https://static.wixstatic.com/media/aa2f94_57b713d658e445b3a6ea11ef8f84655b~mv2.png/v1/fill/w_594,h_360,al_c,q_85,usm_0.66_1.00_0.01,enc_auto/aa2f94_57b713d658e445b3a6ea11ef8f84655b~mv2.png</t>
  </si>
  <si>
    <t>https://static.wixstatic.com/media/aa2f94_f7ffff1b054e458daa0a4754a230a3e7~mv2.png/v1/fill/w_594,h_360,al_c,q_85,usm_0.66_1.00_0.01,enc_auto/aa2f94_f7ffff1b054e458daa0a4754a230a3e7~mv2.png</t>
  </si>
  <si>
    <t>https://static.wixstatic.com/media/aa2f94_4a7913f6482b47d58670e6af992eaed0~mv2.png/v1/fill/w_594,h_360,al_c,q_85,usm_0.66_1.00_0.01,enc_auto/aa2f94_4a7913f6482b47d58670e6af992eaed0~mv2.png</t>
  </si>
  <si>
    <t>https://static.wixstatic.com/media/aa2f94_d6fe8a5e802d4249988028ab674462be~mv2.png/v1/fill/w_594,h_360,al_c,q_85,usm_0.66_1.00_0.01,enc_auto/aa2f94_d6fe8a5e802d4249988028ab674462be~mv2.png</t>
  </si>
  <si>
    <t>https://static.wixstatic.com/media/aa2f94_081c52648c8442b6bdbf4f23d6f59444~mv2.png/v1/fill/w_594,h_360,al_c,q_85,usm_0.66_1.00_0.01,enc_auto/aa2f94_081c52648c8442b6bdbf4f23d6f59444~mv2.png</t>
  </si>
  <si>
    <t>https://static.wixstatic.com/media/aa2f94_cbd5b19075084d04a6546f729f00138e~mv2.png/v1/fill/w_594,h_360,al_c,q_85,usm_0.66_1.00_0.01,enc_auto/aa2f94_cbd5b19075084d04a6546f729f00138e~mv2.png</t>
  </si>
  <si>
    <t>https://static.wixstatic.com/media/aa2f94_5571ea2f4baf41928c499fd57a4bd2ff~mv2.png/v1/fill/w_594,h_360,al_c,q_85,usm_0.66_1.00_0.01,enc_auto/aa2f94_5571ea2f4baf41928c499fd57a4bd2ff~mv2.png</t>
  </si>
  <si>
    <t>https://static.wixstatic.com/media/aa2f94_284c1b479ad741848012fbf760bb9913~mv2.png/v1/fill/w_594,h_360,al_c,q_85,usm_0.66_1.00_0.01,enc_auto/aa2f94_284c1b479ad741848012fbf760bb9913~mv2.png</t>
  </si>
  <si>
    <t>https://static.wixstatic.com/media/aa2f94_a419bc06939f4a02b5c4ef92263326a5~mv2.png/v1/fill/w_594,h_360,al_c,q_85,usm_0.66_1.00_0.01,enc_auto/aa2f94_a419bc06939f4a02b5c4ef92263326a5~mv2.png</t>
  </si>
  <si>
    <t>https://static.wixstatic.com/media/aa2f94_04cc818b7c384a01a5915917c65e2a18~mv2.png/v1/fill/w_594,h_360,al_c,q_85,usm_0.66_1.00_0.01,enc_auto/aa2f94_04cc818b7c384a01a5915917c65e2a18~mv2.png</t>
  </si>
  <si>
    <t>https://static.wixstatic.com/media/aa2f94_dd00206491ef4fa285b176f071493967~mv2.png/v1/fill/w_594,h_360,al_c,q_85,usm_0.66_1.00_0.01,enc_auto/aa2f94_dd00206491ef4fa285b176f071493967~mv2.png</t>
  </si>
  <si>
    <t>https://static.wixstatic.com/media/aa2f94_32d9e74459334572bd465347ed8264b8~mv2.png/v1/fill/w_594,h_360,al_c,q_85,usm_0.66_1.00_0.01,enc_auto/aa2f94_32d9e74459334572bd465347ed8264b8~mv2.png</t>
  </si>
  <si>
    <t>https://static.wixstatic.com/media/aa2f94_21b8b61557024d479ff94f2e38f0f6b4~mv2.png/v1/fill/w_594,h_360,al_c,q_85,usm_0.66_1.00_0.01,enc_auto/aa2f94_21b8b61557024d479ff94f2e38f0f6b4~mv2.png</t>
  </si>
  <si>
    <t>https://static.wixstatic.com/media/aa2f94_d7880be613e04ef7aff8f2fa2df2b346~mv2.png/v1/fill/w_594,h_360,al_c,q_85,usm_0.66_1.00_0.01,enc_auto/aa2f94_d7880be613e04ef7aff8f2fa2df2b346~mv2.png</t>
  </si>
  <si>
    <t>https://static.wixstatic.com/media/aa2f94_254d032880874368a08db604d3203263~mv2.png/v1/fill/w_594,h_360,al_c,q_85,usm_0.66_1.00_0.01,enc_auto/aa2f94_254d032880874368a08db604d3203263~mv2.png</t>
  </si>
  <si>
    <t>https://static.wixstatic.com/media/aa2f94_166f446210ea47069b747894d28b1f63~mv2.png/v1/fill/w_594,h_360,al_c,q_85,usm_0.66_1.00_0.01,enc_auto/aa2f94_166f446210ea47069b747894d28b1f63~mv2.png</t>
  </si>
  <si>
    <t>https://static.wixstatic.com/media/aa2f94_87ce9859530a4ba38c7e3f8cc8ab6b2a~mv2.png/v1/fill/w_594,h_360,al_c,q_85,usm_0.66_1.00_0.01,enc_auto/aa2f94_87ce9859530a4ba38c7e3f8cc8ab6b2a~mv2.png</t>
  </si>
  <si>
    <t>https://static.wixstatic.com/media/aa2f94_7c2e17007dca4af7a1117e2b29be307f~mv2.png/v1/fill/w_594,h_360,al_c,q_85,usm_0.66_1.00_0.01,enc_auto/aa2f94_7c2e17007dca4af7a1117e2b29be307f~mv2.png</t>
  </si>
  <si>
    <t>https://static.wixstatic.com/media/aa2f94_656b271aeec8490cba28c5e4d99e0442~mv2.png/v1/fill/w_594,h_360,al_c,q_85,usm_0.66_1.00_0.01,enc_auto/aa2f94_656b271aeec8490cba28c5e4d99e0442~mv2.png</t>
  </si>
  <si>
    <t>https://static.wixstatic.com/media/aa2f94_2ce43507c2e44e9db2a028192479bcbe~mv2.png/v1/fill/w_594,h_360,al_c,q_85,usm_0.66_1.00_0.01,enc_auto/aa2f94_2ce43507c2e44e9db2a028192479bcbe~mv2.png</t>
  </si>
  <si>
    <t>https://static.wixstatic.com/media/aa2f94_904ad03a2b5045d09dd5148fd51ff05c~mv2.png/v1/fill/w_594,h_360,al_c,q_85,usm_0.66_1.00_0.01,enc_auto/aa2f94_904ad03a2b5045d09dd5148fd51ff05c~mv2.png</t>
  </si>
  <si>
    <t>https://static.wixstatic.com/media/aa2f94_56356893c27a4983be66c364f2b3529b~mv2.png/v1/fill/w_594,h_360,al_c,q_85,usm_0.66_1.00_0.01,enc_auto/aa2f94_56356893c27a4983be66c364f2b3529b~mv2.png</t>
  </si>
  <si>
    <t>https://static.wixstatic.com/media/aa2f94_62764e3967514b359287965707253ef2~mv2.png/v1/fill/w_594,h_360,al_c,q_85,usm_0.66_1.00_0.01,enc_auto/aa2f94_62764e3967514b359287965707253ef2~mv2.png</t>
  </si>
  <si>
    <t>https://static.wixstatic.com/media/aa2f94_86109ef0c2904916b7cf82e0f9d172be~mv2.png/v1/fill/w_594,h_360,al_c,q_85,usm_0.66_1.00_0.01,enc_auto/aa2f94_86109ef0c2904916b7cf82e0f9d172be~mv2.png</t>
  </si>
  <si>
    <t>https://static.wixstatic.com/media/aa2f94_7ad363dfb7994701b76bd118c34c08fd~mv2.png/v1/fill/w_594,h_360,al_c,q_85,usm_0.66_1.00_0.01,enc_auto/aa2f94_7ad363dfb7994701b76bd118c34c08fd~mv2.png</t>
  </si>
  <si>
    <t>https://static.wixstatic.com/media/aa2f94_eac4f7f06f0a486bbf5a6c6911115549~mv2.png/v1/fill/w_594,h_360,al_c,q_85,usm_0.66_1.00_0.01,enc_auto/aa2f94_eac4f7f06f0a486bbf5a6c6911115549~mv2.png</t>
  </si>
  <si>
    <t>https://static.wixstatic.com/media/aa2f94_b9b664b4db234e3ea4e1c1f80d1cf201~mv2.png/v1/fill/w_594,h_360,al_c,q_85,usm_0.66_1.00_0.01,enc_auto/aa2f94_b9b664b4db234e3ea4e1c1f80d1cf201~mv2.png</t>
  </si>
  <si>
    <t>https://static.wixstatic.com/media/aa2f94_fa5fffa3dd194f8595dc1e6d90a6f222~mv2.png/v1/fill/w_594,h_360,al_c,q_85,usm_0.66_1.00_0.01,enc_auto/aa2f94_fa5fffa3dd194f8595dc1e6d90a6f222~mv2.png</t>
  </si>
  <si>
    <t>https://static.wixstatic.com/media/aa2f94_f0d0b6e00f5a491892f6dd68343c4056~mv2.png/v1/fill/w_594,h_360,al_c,q_85,usm_0.66_1.00_0.01,enc_auto/aa2f94_f0d0b6e00f5a491892f6dd68343c4056~mv2.png</t>
  </si>
  <si>
    <t>https://static.wixstatic.com/media/aa2f94_b09f6058e5d14c1d95696d4600b30283~mv2.png/v1/fill/w_594,h_360,al_c,q_85,usm_0.66_1.00_0.01,enc_auto/aa2f94_b09f6058e5d14c1d95696d4600b30283~mv2.png</t>
  </si>
  <si>
    <t>https://static.wixstatic.com/media/aa2f94_01735716da36458aa04770665ff2b8cd~mv2.png/v1/fill/w_594,h_360,al_c,q_85,usm_0.66_1.00_0.01,enc_auto/aa2f94_01735716da36458aa04770665ff2b8cd~mv2.png</t>
  </si>
  <si>
    <t>https://static.wixstatic.com/media/aa2f94_bf46e62629094c9ba99ed5b327265bcf~mv2.png/v1/fill/w_594,h_360,al_c,q_85,usm_0.66_1.00_0.01,enc_auto/aa2f94_bf46e62629094c9ba99ed5b327265bcf~mv2.png</t>
  </si>
  <si>
    <t>https://static.wixstatic.com/media/aa2f94_cec904f2b01f4eab8a19182cc36774ee~mv2.png/v1/fill/w_594,h_360,al_c,q_85,usm_0.66_1.00_0.01,enc_auto/aa2f94_cec904f2b01f4eab8a19182cc36774ee~mv2.png</t>
  </si>
  <si>
    <t>https://static.wixstatic.com/media/aa2f94_2182bb36734a415b9a06e912ee99fef2~mv2.png/v1/fill/w_594,h_360,al_c,q_85,usm_0.66_1.00_0.01,enc_auto/aa2f94_2182bb36734a415b9a06e912ee99fef2~mv2.png</t>
  </si>
  <si>
    <t>https://static.wixstatic.com/media/aa2f94_f091e0ea63334dca924c5d02a88676df~mv2.png/v1/fill/w_594,h_360,al_c,q_85,usm_0.66_1.00_0.01,enc_auto/aa2f94_f091e0ea63334dca924c5d02a88676df~mv2.png</t>
  </si>
  <si>
    <t>https://static.wixstatic.com/media/aa2f94_97e0a0ee1fef42e7ad9ab570b22cfc0e~mv2.png/v1/fill/w_594,h_360,al_c,q_85,usm_0.66_1.00_0.01,enc_auto/aa2f94_97e0a0ee1fef42e7ad9ab570b22cfc0e~mv2.png</t>
  </si>
  <si>
    <t>https://static.wixstatic.com/media/aa2f94_2a22c281f8ac422eb2396b61671a6c31~mv2.png/v1/fill/w_594,h_360,al_c,q_85,usm_0.66_1.00_0.01,enc_auto/aa2f94_2a22c281f8ac422eb2396b61671a6c31~mv2.png</t>
  </si>
  <si>
    <t>https://static.wixstatic.com/media/aa2f94_a96abee4436447b0ab489f104bc37def~mv2.png/v1/fill/w_594,h_360,al_c,q_85,usm_0.66_1.00_0.01,enc_auto/aa2f94_a96abee4436447b0ab489f104bc37def~mv2.png</t>
  </si>
  <si>
    <t>https://static.wixstatic.com/media/aa2f94_4382723b4fc24840b9dba33e05fb9237~mv2.png/v1/fill/w_594,h_360,al_c,q_85,usm_0.66_1.00_0.01,enc_auto/aa2f94_4382723b4fc24840b9dba33e05fb9237~mv2.png</t>
  </si>
  <si>
    <t>https://static.wixstatic.com/media/aa2f94_d86a88f4331c473e84f34fae540985ac~mv2.png/v1/fill/w_594,h_360,al_c,q_85,usm_0.66_1.00_0.01,enc_auto/aa2f94_d86a88f4331c473e84f34fae540985ac~mv2.png</t>
  </si>
  <si>
    <t>https://static.wixstatic.com/media/aa2f94_26bdc8fb7e28498b981d5382f8009472~mv2.png/v1/fill/w_594,h_360,al_c,q_85,usm_0.66_1.00_0.01,enc_auto/aa2f94_26bdc8fb7e28498b981d5382f8009472~mv2.png</t>
  </si>
  <si>
    <t>https://static.wixstatic.com/media/aa2f94_8a2098fcbbda4f299b521403d34b5bb3~mv2.png/v1/fill/w_594,h_360,al_c,q_85,usm_0.66_1.00_0.01,enc_auto/aa2f94_8a2098fcbbda4f299b521403d34b5bb3~mv2.png</t>
  </si>
  <si>
    <t>https://static.wixstatic.com/media/aa2f94_30fe83880fe24d058bcca9a780c04896~mv2.png/v1/fill/w_594,h_360,al_c,q_85,usm_0.66_1.00_0.01,enc_auto/aa2f94_30fe83880fe24d058bcca9a780c04896~mv2.png</t>
  </si>
  <si>
    <t>https://static.wixstatic.com/media/aa2f94_82f2a9e3c2c34118a99b48644725f33c~mv2.png/v1/fill/w_594,h_360,al_c,q_85,usm_0.66_1.00_0.01,enc_auto/aa2f94_82f2a9e3c2c34118a99b48644725f33c~mv2.png</t>
  </si>
  <si>
    <t>https://static.wixstatic.com/media/aa2f94_80b793e89f4c4f0aa9392749c258705e~mv2.png/v1/fill/w_594,h_360,al_c,q_85,usm_0.66_1.00_0.01,enc_auto/aa2f94_80b793e89f4c4f0aa9392749c258705e~mv2.png</t>
  </si>
  <si>
    <t>https://static.wixstatic.com/media/aa2f94_9008da87d9dc4c14a48e16e0ad132135~mv2.png/v1/fill/w_594,h_360,al_c,q_85,usm_0.66_1.00_0.01,enc_auto/aa2f94_9008da87d9dc4c14a48e16e0ad132135~mv2.png</t>
  </si>
  <si>
    <t>https://static.wixstatic.com/media/aa2f94_dbaf23f00ebe4b14aa12731a215b07bf~mv2.png/v1/fill/w_594,h_360,al_c,q_85,usm_0.66_1.00_0.01,enc_auto/aa2f94_dbaf23f00ebe4b14aa12731a215b07bf~mv2.png</t>
  </si>
  <si>
    <t>https://static.wixstatic.com/media/aa2f94_f45539160f874b20afe787b41c71c8bf~mv2.png/v1/fill/w_594,h_360,al_c,q_85,usm_0.66_1.00_0.01,enc_auto/aa2f94_f45539160f874b20afe787b41c71c8bf~mv2.png</t>
  </si>
  <si>
    <t>https://static.wixstatic.com/media/aa2f94_ea687c6124dc4d45ab8a6af4e7f0e12b~mv2.png/v1/fill/w_594,h_360,al_c,q_85,usm_0.66_1.00_0.01,enc_auto/aa2f94_ea687c6124dc4d45ab8a6af4e7f0e12b~mv2.png</t>
  </si>
  <si>
    <t>https://static.wixstatic.com/media/aa2f94_78b70045e2354e8fa7795a7b858849e7~mv2.png/v1/fill/w_594,h_360,al_c,q_85,usm_0.66_1.00_0.01,enc_auto/aa2f94_78b70045e2354e8fa7795a7b858849e7~mv2.png</t>
  </si>
  <si>
    <t>https://static.wixstatic.com/media/aa2f94_ab86600a739f47b2b33158cec53b4a5f~mv2.png/v1/fill/w_594,h_360,al_c,q_85,usm_0.66_1.00_0.01,enc_auto/aa2f94_ab86600a739f47b2b33158cec53b4a5f~mv2.png</t>
  </si>
  <si>
    <t>https://static.wixstatic.com/media/aa2f94_944fdb35a1b7465eb6a695eaecf951f3~mv2.png/v1/fill/w_594,h_360,al_c,q_85,usm_0.66_1.00_0.01,enc_auto/aa2f94_944fdb35a1b7465eb6a695eaecf951f3~mv2.png</t>
  </si>
  <si>
    <t>https://static.wixstatic.com/media/aa2f94_c392be3de21648ebad9bc97616ba5f13~mv2.png/v1/fill/w_594,h_360,al_c,q_85,usm_0.66_1.00_0.01,enc_auto/aa2f94_c392be3de21648ebad9bc97616ba5f13~mv2.png</t>
  </si>
  <si>
    <t>https://static.wixstatic.com/media/aa2f94_fc2c2d8397944b479cc0c157da1963ba~mv2.png/v1/fill/w_594,h_360,al_c,q_85,usm_0.66_1.00_0.01,enc_auto/aa2f94_fc2c2d8397944b479cc0c157da1963ba~mv2.png</t>
  </si>
  <si>
    <t>https://static.wixstatic.com/media/aa2f94_76f4642afa6449e8ae2e35c711f1f8f3~mv2.png/v1/fill/w_594,h_360,al_c,q_85,usm_0.66_1.00_0.01,enc_auto/aa2f94_76f4642afa6449e8ae2e35c711f1f8f3~mv2.png</t>
  </si>
  <si>
    <t>https://static.wixstatic.com/media/aa2f94_c76817efbc1a48da8cf19846434582fc~mv2.png/v1/fill/w_594,h_360,al_c,q_85,usm_0.66_1.00_0.01,enc_auto/aa2f94_c76817efbc1a48da8cf19846434582fc~mv2.png</t>
  </si>
  <si>
    <t>https://static.wixstatic.com/media/aa2f94_803ddb5f65df4cef98984d358a53d64f~mv2.png/v1/fill/w_594,h_360,al_c,q_85,usm_0.66_1.00_0.01,enc_auto/aa2f94_803ddb5f65df4cef98984d358a53d64f~mv2.png</t>
  </si>
  <si>
    <t>https://static.wixstatic.com/media/aa2f94_65a16ea1ddb648f0ad88ff2305ca4d64~mv2.png/v1/fill/w_594,h_360,al_c,q_85,usm_0.66_1.00_0.01,enc_auto/aa2f94_65a16ea1ddb648f0ad88ff2305ca4d64~mv2.png</t>
  </si>
  <si>
    <t>https://static.wixstatic.com/media/aa2f94_8df3cb1479cc468d9e10db26bca861f7~mv2.png/v1/fill/w_594,h_360,al_c,q_85,usm_0.66_1.00_0.01,enc_auto/aa2f94_8df3cb1479cc468d9e10db26bca861f7~mv2.png</t>
  </si>
  <si>
    <t>https://static.wixstatic.com/media/aa2f94_0e773db7f1f242cab3f63419e8f098a6~mv2.png/v1/fill/w_594,h_360,al_c,q_85,usm_0.66_1.00_0.01,enc_auto/aa2f94_0e773db7f1f242cab3f63419e8f098a6~mv2.png</t>
  </si>
  <si>
    <t>https://static.wixstatic.com/media/aa2f94_216a8340d4c94ff39bdd7ebc2ad26e59~mv2.png/v1/fill/w_594,h_360,al_c,q_85,usm_0.66_1.00_0.01,enc_auto/aa2f94_216a8340d4c94ff39bdd7ebc2ad26e59~mv2.png</t>
  </si>
  <si>
    <t>https://static.wixstatic.com/media/aa2f94_cdac8c659b22430b8861152875416fe6~mv2.png/v1/fill/w_594,h_360,al_c,q_85,usm_0.66_1.00_0.01,enc_auto/aa2f94_cdac8c659b22430b8861152875416fe6~mv2.png</t>
  </si>
  <si>
    <t>https://static.wixstatic.com/media/aa2f94_4b43dc1ab23049d59ec74ee5a40d7c36~mv2.png/v1/fill/w_594,h_360,al_c,q_85,usm_0.66_1.00_0.01,enc_auto/aa2f94_4b43dc1ab23049d59ec74ee5a40d7c36~mv2.png</t>
  </si>
  <si>
    <t>https://static.wixstatic.com/media/aa2f94_b639a7153fd249579fbf1afedfcdc644~mv2.png/v1/fill/w_594,h_360,al_c,q_85,usm_0.66_1.00_0.01,enc_auto/aa2f94_b639a7153fd249579fbf1afedfcdc644~mv2.png</t>
  </si>
  <si>
    <t>https://static.wixstatic.com/media/aa2f94_3c768c289c8644d19338af63d41c65b4~mv2.png/v1/fill/w_594,h_360,al_c,q_85,usm_0.66_1.00_0.01,enc_auto/aa2f94_3c768c289c8644d19338af63d41c65b4~mv2.png</t>
  </si>
  <si>
    <t>https://static.wixstatic.com/media/aa2f94_1851f45a111d4154ad35e41c1d1fedfd~mv2.png/v1/fill/w_594,h_360,al_c,q_85,usm_0.66_1.00_0.01,enc_auto/aa2f94_1851f45a111d4154ad35e41c1d1fedfd~mv2.png</t>
  </si>
  <si>
    <t>https://static.wixstatic.com/media/aa2f94_bf37ddeed008444185cde517c600578c~mv2.png/v1/fill/w_594,h_360,al_c,q_85,usm_0.66_1.00_0.01,enc_auto/aa2f94_bf37ddeed008444185cde517c600578c~mv2.png</t>
  </si>
  <si>
    <t>https://static.wixstatic.com/media/aa2f94_bb53e01a95c548d28b269069ef7ad82c~mv2.png/v1/fill/w_594,h_360,al_c,q_85,usm_0.66_1.00_0.01,enc_auto/aa2f94_bb53e01a95c548d28b269069ef7ad82c~mv2.png</t>
  </si>
  <si>
    <t>https://static.wixstatic.com/media/aa2f94_442c0b9b685b4b49bf8cb22931e186d6~mv2.png/v1/fill/w_594,h_360,al_c,q_85,usm_0.66_1.00_0.01,enc_auto/aa2f94_442c0b9b685b4b49bf8cb22931e186d6~mv2.png</t>
  </si>
  <si>
    <t>https://static.wixstatic.com/media/aa2f94_ce596f3ba0ee4b2fbb93bab27df67c08~mv2.png/v1/fill/w_594,h_360,al_c,q_85,usm_0.66_1.00_0.01,enc_auto/aa2f94_ce596f3ba0ee4b2fbb93bab27df67c08~mv2.png</t>
  </si>
  <si>
    <t>https://static.wixstatic.com/media/aa2f94_5206ae42f0ca4d7ba20a43ac1a3afd66~mv2.png/v1/fill/w_594,h_360,al_c,q_85,usm_0.66_1.00_0.01,enc_auto/aa2f94_5206ae42f0ca4d7ba20a43ac1a3afd66~mv2.png</t>
  </si>
  <si>
    <t>https://static.wixstatic.com/media/aa2f94_80f605a2e58a4aaa95bce2a96a16da6d~mv2.png/v1/fill/w_594,h_360,al_c,q_85,usm_0.66_1.00_0.01,enc_auto/aa2f94_80f605a2e58a4aaa95bce2a96a16da6d~mv2.png</t>
  </si>
  <si>
    <t>https://static.wixstatic.com/media/aa2f94_6d212101a5e84a13808f84fb8a825aec~mv2.png/v1/fill/w_594,h_360,al_c,q_85,usm_0.66_1.00_0.01,enc_auto/aa2f94_6d212101a5e84a13808f84fb8a825aec~mv2.png</t>
  </si>
  <si>
    <t>https://static.wixstatic.com/media/aa2f94_f9f09e40e3504a7786d83ba01ca5fc60~mv2.png/v1/fill/w_594,h_360,al_c,q_85,usm_0.66_1.00_0.01,enc_auto/aa2f94_f9f09e40e3504a7786d83ba01ca5fc60~mv2.png</t>
  </si>
  <si>
    <t>https://static.wixstatic.com/media/aa2f94_cb0a2f89c1cb4dcfa0747f35b17f48b2~mv2.png/v1/fill/w_594,h_360,al_c,q_85,usm_0.66_1.00_0.01,enc_auto/aa2f94_cb0a2f89c1cb4dcfa0747f35b17f48b2~mv2.png</t>
  </si>
  <si>
    <t>https://static.wixstatic.com/media/aa2f94_27aa6dd88f474d14bd8cd3321eb29d75~mv2.png/v1/fill/w_594,h_360,al_c,q_85,usm_0.66_1.00_0.01,enc_auto/aa2f94_27aa6dd88f474d14bd8cd3321eb29d75~mv2.png</t>
  </si>
  <si>
    <t>https://static.wixstatic.com/media/aa2f94_5a17459aa0f947c7902272b68714b399~mv2.png/v1/fill/w_594,h_360,al_c,q_85,usm_0.66_1.00_0.01,enc_auto/aa2f94_5a17459aa0f947c7902272b68714b399~mv2.png</t>
  </si>
  <si>
    <t>https://static.wixstatic.com/media/aa2f94_25518084c3a7412ba034864fa36368a6~mv2.png/v1/fill/w_594,h_360,al_c,q_85,usm_0.66_1.00_0.01,enc_auto/aa2f94_25518084c3a7412ba034864fa36368a6~mv2.png</t>
  </si>
  <si>
    <t>https://static.wixstatic.com/media/aa2f94_916ccee6d1c143efa98160e74cb95580~mv2.png/v1/fill/w_594,h_360,al_c,q_85,usm_0.66_1.00_0.01,enc_auto/aa2f94_916ccee6d1c143efa98160e74cb95580~mv2.png</t>
  </si>
  <si>
    <t>https://static.wixstatic.com/media/aa2f94_90b471852de941569b05219324a8ef1f~mv2.png/v1/fill/w_594,h_360,al_c,q_85,usm_0.66_1.00_0.01,enc_auto/aa2f94_90b471852de941569b05219324a8ef1f~mv2.png</t>
  </si>
  <si>
    <t>https://static.wixstatic.com/media/aa2f94_40d7f87b7aac427bad79354e9dec69f5~mv2.png/v1/fill/w_594,h_360,al_c,q_85,usm_0.66_1.00_0.01,enc_auto/aa2f94_40d7f87b7aac427bad79354e9dec69f5~mv2.png</t>
  </si>
  <si>
    <t>https://static.wixstatic.com/media/aa2f94_9219e61d8d694fe6b936f57bd4f8be76~mv2.png/v1/fill/w_594,h_360,al_c,q_85,usm_0.66_1.00_0.01,enc_auto/aa2f94_9219e61d8d694fe6b936f57bd4f8be76~mv2.png</t>
  </si>
  <si>
    <t>https://static.wixstatic.com/media/aa2f94_b78a2819cb214e76a565c7701a72455f~mv2.png/v1/fill/w_594,h_360,al_c,q_85,usm_0.66_1.00_0.01,enc_auto/aa2f94_b78a2819cb214e76a565c7701a72455f~mv2.png</t>
  </si>
  <si>
    <t>https://static.wixstatic.com/media/aa2f94_2c491bdf0a55466dbdd71c306ff8c032~mv2.png/v1/fill/w_594,h_360,al_c,q_85,usm_0.66_1.00_0.01,enc_auto/aa2f94_2c491bdf0a55466dbdd71c306ff8c032~mv2.png</t>
  </si>
  <si>
    <t>https://static.wixstatic.com/media/aa2f94_22b6c2c47dc44338b7e3731338c5b017~mv2.png/v1/fill/w_594,h_360,al_c,q_85,usm_0.66_1.00_0.01,enc_auto/aa2f94_22b6c2c47dc44338b7e3731338c5b017~mv2.png</t>
  </si>
  <si>
    <t>https://static.wixstatic.com/media/aa2f94_9b3e771ab86c44629baeaca232c36627~mv2.png/v1/fill/w_594,h_360,al_c,q_85,usm_0.66_1.00_0.01,enc_auto/aa2f94_9b3e771ab86c44629baeaca232c36627~mv2.png</t>
  </si>
  <si>
    <t>https://static.wixstatic.com/media/aa2f94_292e73601f9a49239948b2105f0d4543~mv2.png/v1/fill/w_594,h_360,al_c,q_85,usm_0.66_1.00_0.01,enc_auto/aa2f94_292e73601f9a49239948b2105f0d4543~mv2.png</t>
  </si>
  <si>
    <t>https://static.wixstatic.com/media/aa2f94_cb9f39fca6924f30ac1e4a39a6e3b13a~mv2.png/v1/fill/w_594,h_360,al_c,q_85,usm_0.66_1.00_0.01,enc_auto/aa2f94_cb9f39fca6924f30ac1e4a39a6e3b13a~mv2.png</t>
  </si>
  <si>
    <t>https://static.wixstatic.com/media/aa2f94_66c2f0e8e9064f01a595df73a552f574~mv2.png/v1/fill/w_594,h_360,al_c,q_85,usm_0.66_1.00_0.01,enc_auto/aa2f94_66c2f0e8e9064f01a595df73a552f574~mv2.png</t>
  </si>
  <si>
    <t>https://static.wixstatic.com/media/aa2f94_bb069528179e49a9ae0240e53e2108b2~mv2.png/v1/fill/w_594,h_360,al_c,q_85,usm_0.66_1.00_0.01,enc_auto/aa2f94_bb069528179e49a9ae0240e53e2108b2~mv2.png</t>
  </si>
  <si>
    <t>https://static.wixstatic.com/media/aa2f94_1f4bd9c8199144e99022f34a09577e22~mv2.png/v1/fill/w_594,h_360,al_c,q_85,usm_0.66_1.00_0.01,enc_auto/aa2f94_1f4bd9c8199144e99022f34a09577e22~mv2.png</t>
  </si>
  <si>
    <t>https://static.wixstatic.com/media/aa2f94_c7cace8e06524a5890c4d05e5ca3cf60~mv2.png/v1/fill/w_594,h_360,al_c,q_85,usm_0.66_1.00_0.01,enc_auto/aa2f94_c7cace8e06524a5890c4d05e5ca3cf60~mv2.png</t>
  </si>
  <si>
    <t>https://static.wixstatic.com/media/aa2f94_e7349df3c9c3409b88e72268b5321c16~mv2.png/v1/fill/w_594,h_360,al_c,q_85,usm_0.66_1.00_0.01,enc_auto/aa2f94_e7349df3c9c3409b88e72268b5321c16~mv2.png</t>
  </si>
  <si>
    <t>https://static.wixstatic.com/media/aa2f94_3741836e19d148689ee76599373e99f4~mv2.png/v1/fill/w_594,h_360,al_c,q_85,usm_0.66_1.00_0.01,enc_auto/aa2f94_3741836e19d148689ee76599373e99f4~mv2.png</t>
  </si>
  <si>
    <t>https://static.wixstatic.com/media/aa2f94_ebbd0455817b4879ba649eba4845d39f~mv2.png/v1/fill/w_594,h_360,al_c,q_85,usm_0.66_1.00_0.01,enc_auto/aa2f94_ebbd0455817b4879ba649eba4845d39f~mv2.png</t>
  </si>
  <si>
    <t>https://static.wixstatic.com/media/aa2f94_a264c8ee177a477a92d2a92dc30119a9~mv2.png/v1/fill/w_594,h_360,al_c,q_85,usm_0.66_1.00_0.01,enc_auto/aa2f94_a264c8ee177a477a92d2a92dc30119a9~mv2.png</t>
  </si>
  <si>
    <t>https://static.wixstatic.com/media/aa2f94_2c7255ce3c564e3493b9bd82fdfca4e0~mv2.png/v1/fill/w_594,h_360,al_c,q_85,usm_0.66_1.00_0.01,enc_auto/aa2f94_2c7255ce3c564e3493b9bd82fdfca4e0~mv2.png</t>
  </si>
  <si>
    <t>https://static.wixstatic.com/media/aa2f94_083284c5e74c4548838177d5a2379522~mv2.png/v1/fill/w_594,h_360,al_c,q_85,usm_0.66_1.00_0.01,enc_auto/aa2f94_083284c5e74c4548838177d5a2379522~mv2.png</t>
  </si>
  <si>
    <t>https://static.wixstatic.com/media/aa2f94_522be6c61f68465cbbd92166da66f274~mv2.png/v1/fill/w_594,h_360,al_c,q_85,usm_0.66_1.00_0.01,enc_auto/aa2f94_522be6c61f68465cbbd92166da66f274~mv2.png</t>
  </si>
  <si>
    <t>https://static.wixstatic.com/media/aa2f94_7803286868f6448984dbce189b479996~mv2.png/v1/fill/w_594,h_360,al_c,q_85,usm_0.66_1.00_0.01,enc_auto/aa2f94_7803286868f6448984dbce189b479996~mv2.png</t>
  </si>
  <si>
    <t>https://static.wixstatic.com/media/aa2f94_43e46bf13aea4a6a9c4fa8574a8b10dd~mv2.png/v1/fill/w_594,h_360,al_c,q_85,usm_0.66_1.00_0.01,enc_auto/aa2f94_43e46bf13aea4a6a9c4fa8574a8b10dd~mv2.png</t>
  </si>
  <si>
    <t>https://static.wixstatic.com/media/aa2f94_722352030bcf46e3afdae714ff1b06f0~mv2.png/v1/fill/w_594,h_360,al_c,q_85,usm_0.66_1.00_0.01,enc_auto/aa2f94_722352030bcf46e3afdae714ff1b06f0~mv2.png</t>
  </si>
  <si>
    <t>https://static.wixstatic.com/media/aa2f94_d197cd296aad489490e18e9abb810752~mv2.png/v1/fill/w_594,h_360,al_c,q_85,usm_0.66_1.00_0.01,enc_auto/aa2f94_d197cd296aad489490e18e9abb810752~mv2.png</t>
  </si>
  <si>
    <t>https://static.wixstatic.com/media/aa2f94_7a0e3b3e3d554800b316ae018ae3172c~mv2.png/v1/fill/w_594,h_360,al_c,q_85,usm_0.66_1.00_0.01,enc_auto/aa2f94_7a0e3b3e3d554800b316ae018ae3172c~mv2.png</t>
  </si>
  <si>
    <t>https://static.wixstatic.com/media/aa2f94_60c0fe4af8824553aacce7a06c16713b~mv2.png/v1/fill/w_594,h_360,al_c,q_85,usm_0.66_1.00_0.01,enc_auto/aa2f94_60c0fe4af8824553aacce7a06c16713b~mv2.png</t>
  </si>
  <si>
    <t>https://static.wixstatic.com/media/aa2f94_88cb5157a79a4f0483e328e718a78bc0~mv2.png/v1/fill/w_594,h_360,al_c,q_85,usm_0.66_1.00_0.01,enc_auto/aa2f94_88cb5157a79a4f0483e328e718a78bc0~mv2.png</t>
  </si>
  <si>
    <t>https://static.wixstatic.com/media/aa2f94_8dbafd4fbb284be3a0263af79f3b2379~mv2.png/v1/fill/w_594,h_360,al_c,q_85,usm_0.66_1.00_0.01,enc_auto/aa2f94_8dbafd4fbb284be3a0263af79f3b2379~mv2.png</t>
  </si>
  <si>
    <t>https://static.wixstatic.com/media/aa2f94_6153673cc6bd4cf6bd460ae4721d09b6~mv2.png/v1/fill/w_594,h_360,al_c,q_85,usm_0.66_1.00_0.01,enc_auto/aa2f94_6153673cc6bd4cf6bd460ae4721d09b6~mv2.png</t>
  </si>
  <si>
    <t>https://static.wixstatic.com/media/aa2f94_95978822b34948e097fcd0374271ae8d~mv2.png/v1/fill/w_594,h_360,al_c,q_85,usm_0.66_1.00_0.01,enc_auto/aa2f94_95978822b34948e097fcd0374271ae8d~mv2.png</t>
  </si>
  <si>
    <t>https://static.wixstatic.com/media/aa2f94_ff41887b6be64ef0b6b9d24ec60fc530~mv2.png/v1/fill/w_594,h_360,al_c,q_85,usm_0.66_1.00_0.01,enc_auto/aa2f94_ff41887b6be64ef0b6b9d24ec60fc530~mv2.png</t>
  </si>
  <si>
    <t>https://static.wixstatic.com/media/aa2f94_1587afd3c7ca4062bc38e2a5ec6d7b07~mv2.png/v1/fill/w_594,h_360,al_c,q_85,usm_0.66_1.00_0.01,enc_auto/aa2f94_1587afd3c7ca4062bc38e2a5ec6d7b07~mv2.png</t>
  </si>
  <si>
    <t>https://static.wixstatic.com/media/aa2f94_93864151f90a43cd8e2678b0f2e4cb33~mv2.png/v1/fill/w_594,h_360,al_c,q_85,usm_0.66_1.00_0.01,enc_auto/aa2f94_93864151f90a43cd8e2678b0f2e4cb33~mv2.png</t>
  </si>
  <si>
    <t>https://static.wixstatic.com/media/aa2f94_5157cc3a3ce24f76a4b331ed5f439179~mv2.png/v1/fill/w_594,h_360,al_c,q_85,usm_0.66_1.00_0.01,enc_auto/aa2f94_5157cc3a3ce24f76a4b331ed5f439179~mv2.png</t>
  </si>
  <si>
    <t>https://static.wixstatic.com/media/aa2f94_d932b6866e8d444f995d970d1b7cc6a7~mv2.png/v1/fill/w_594,h_360,al_c,q_85,usm_0.66_1.00_0.01,enc_auto/aa2f94_d932b6866e8d444f995d970d1b7cc6a7~mv2.png</t>
  </si>
  <si>
    <t>https://static.wixstatic.com/media/aa2f94_6b02ffa0415a4491b2dfe68b3b3ed510~mv2.png/v1/fill/w_594,h_360,al_c,q_85,usm_0.66_1.00_0.01,enc_auto/aa2f94_6b02ffa0415a4491b2dfe68b3b3ed510~mv2.png</t>
  </si>
  <si>
    <t>https://static.wixstatic.com/media/aa2f94_97e20f69b9c34a13898fbd98d378ddd6~mv2.png/v1/fill/w_594,h_360,al_c,q_85,usm_0.66_1.00_0.01,enc_auto/aa2f94_97e20f69b9c34a13898fbd98d378ddd6~mv2.png</t>
  </si>
  <si>
    <t>https://static.wixstatic.com/media/aa2f94_5f49a5f4fb244481bac7b25b10ea8d38~mv2.png/v1/fill/w_594,h_360,al_c,q_85,usm_0.66_1.00_0.01,enc_auto/aa2f94_5f49a5f4fb244481bac7b25b10ea8d38~mv2.png</t>
  </si>
  <si>
    <t>https://static.wixstatic.com/media/aa2f94_20655704bd4844b1a2f0079207dcd986~mv2.png/v1/fill/w_594,h_360,al_c,q_85,usm_0.66_1.00_0.01,enc_auto/aa2f94_20655704bd4844b1a2f0079207dcd986~mv2.png</t>
  </si>
  <si>
    <t>https://static.wixstatic.com/media/aa2f94_7401b1cfdbf04a4bb903c93d99c83bf5~mv2.png/v1/fill/w_594,h_360,al_c,q_85,usm_0.66_1.00_0.01,enc_auto/aa2f94_7401b1cfdbf04a4bb903c93d99c83bf5~mv2.png</t>
  </si>
  <si>
    <t>https://static.wixstatic.com/media/aa2f94_87fe15cd93ff4374a255ed8429e2cc1a~mv2.png/v1/fill/w_594,h_360,al_c,q_85,usm_0.66_1.00_0.01,enc_auto/aa2f94_87fe15cd93ff4374a255ed8429e2cc1a~mv2.png</t>
  </si>
  <si>
    <t>https://static.wixstatic.com/media/aa2f94_42d782995b164583ac8d80c4394e110e~mv2.png/v1/fill/w_594,h_360,al_c,q_85,usm_0.66_1.00_0.01,enc_auto/aa2f94_42d782995b164583ac8d80c4394e110e~mv2.png</t>
  </si>
  <si>
    <t>https://static.wixstatic.com/media/aa2f94_02cd95c3e0da48b5aee2cd6c79efc138~mv2.png/v1/fill/w_594,h_360,al_c,q_85,usm_0.66_1.00_0.01,enc_auto/aa2f94_02cd95c3e0da48b5aee2cd6c79efc138~mv2.png</t>
  </si>
  <si>
    <t>https://static.wixstatic.com/media/aa2f94_e70554b4f62b43098a910817995ef392~mv2.png/v1/fill/w_594,h_360,al_c,q_85,usm_0.66_1.00_0.01,enc_auto/aa2f94_e70554b4f62b43098a910817995ef392~mv2.png</t>
  </si>
  <si>
    <t>https://static.wixstatic.com/media/aa2f94_0a2a9e962f6b4d359acc709aff286d5e~mv2.png/v1/fill/w_594,h_360,al_c,q_85,usm_0.66_1.00_0.01,enc_auto/aa2f94_0a2a9e962f6b4d359acc709aff286d5e~mv2.png</t>
  </si>
  <si>
    <t>https://static.wixstatic.com/media/aa2f94_64937596135640a8889f3e4b7072ae02~mv2.png/v1/fill/w_594,h_360,al_c,q_85,usm_0.66_1.00_0.01,enc_auto/aa2f94_64937596135640a8889f3e4b7072ae02~mv2.png</t>
  </si>
  <si>
    <t>https://static.wixstatic.com/media/aa2f94_fac0d9d7c33643198f79ac2d1239f09d~mv2.png/v1/fill/w_594,h_360,al_c,q_85,usm_0.66_1.00_0.01,enc_auto/aa2f94_fac0d9d7c33643198f79ac2d1239f09d~mv2.png</t>
  </si>
  <si>
    <t>https://static.wixstatic.com/media/aa2f94_e02f58c16995425c8c921b6361e2fe51~mv2.png/v1/fill/w_594,h_360,al_c,q_85,usm_0.66_1.00_0.01,enc_auto/aa2f94_e02f58c16995425c8c921b6361e2fe51~mv2.png</t>
  </si>
  <si>
    <t>https://static.wixstatic.com/media/aa2f94_e44df45240a649a7aecbb0cdbfa35875~mv2.png/v1/fill/w_594,h_360,al_c,q_85,usm_0.66_1.00_0.01,enc_auto/aa2f94_e44df45240a649a7aecbb0cdbfa35875~mv2.png</t>
  </si>
  <si>
    <t>https://static.wixstatic.com/media/aa2f94_83a80a01159b4a0396c4919704a0e546~mv2.png/v1/fill/w_594,h_360,al_c,q_85,usm_0.66_1.00_0.01,enc_auto/aa2f94_83a80a01159b4a0396c4919704a0e546~mv2.png</t>
  </si>
  <si>
    <t>https://static.wixstatic.com/media/aa2f94_63be44b85db24506bf73a68464173491~mv2.png/v1/fill/w_594,h_360,al_c,q_85,usm_0.66_1.00_0.01,enc_auto/aa2f94_63be44b85db24506bf73a68464173491~mv2.png</t>
  </si>
  <si>
    <t>https://static.wixstatic.com/media/aa2f94_97598392711c48be9b650c107ad8ebb8~mv2.png/v1/fill/w_594,h_360,al_c,q_85,usm_0.66_1.00_0.01,enc_auto/aa2f94_97598392711c48be9b650c107ad8ebb8~mv2.png</t>
  </si>
  <si>
    <t>https://static.wixstatic.com/media/aa2f94_4e713cab8c04421796745c76f1dfabeb~mv2.png/v1/fill/w_594,h_360,al_c,q_85,usm_0.66_1.00_0.01,enc_auto/aa2f94_4e713cab8c04421796745c76f1dfabeb~mv2.png</t>
  </si>
  <si>
    <t>https://static.wixstatic.com/media/aa2f94_89c7392a50a042cda4ab921d380e344b~mv2.png/v1/fill/w_594,h_360,al_c,q_85,usm_0.66_1.00_0.01,enc_auto/aa2f94_89c7392a50a042cda4ab921d380e344b~mv2.png</t>
  </si>
  <si>
    <t>https://static.wixstatic.com/media/aa2f94_b402c970a9fd4460b7813da44001a3d9~mv2.png/v1/fill/w_594,h_360,al_c,q_85,usm_0.66_1.00_0.01,enc_auto/aa2f94_b402c970a9fd4460b7813da44001a3d9~mv2.png</t>
  </si>
  <si>
    <t>https://static.wixstatic.com/media/aa2f94_10aea23401be450cba95337b142a97cd~mv2.png/v1/fill/w_594,h_360,al_c,q_85,usm_0.66_1.00_0.01,enc_auto/aa2f94_10aea23401be450cba95337b142a97cd~mv2.png</t>
  </si>
  <si>
    <t>https://static.wixstatic.com/media/aa2f94_75fc8496b470455ba99f41b9e6da23d9~mv2.png/v1/fill/w_594,h_360,al_c,q_85,usm_0.66_1.00_0.01,enc_auto/aa2f94_75fc8496b470455ba99f41b9e6da23d9~mv2.png</t>
  </si>
  <si>
    <t>https://static.wixstatic.com/media/aa2f94_a058e28582f843dea5973460fd5f9e4a~mv2.png/v1/fill/w_594,h_360,al_c,q_85,usm_0.66_1.00_0.01,enc_auto/aa2f94_a058e28582f843dea5973460fd5f9e4a~mv2.png</t>
  </si>
  <si>
    <t>https://static.wixstatic.com/media/aa2f94_42ff801f94064d50b9402603cebb6422~mv2.png/v1/fill/w_594,h_360,al_c,q_85,usm_0.66_1.00_0.01,enc_auto/aa2f94_42ff801f94064d50b9402603cebb6422~mv2.png</t>
  </si>
  <si>
    <t>https://static.wixstatic.com/media/aa2f94_3d47c2a5c7214f89a3ea5f86db4491cb~mv2.png/v1/fill/w_594,h_360,al_c,q_85,usm_0.66_1.00_0.01,enc_auto/aa2f94_3d47c2a5c7214f89a3ea5f86db4491cb~mv2.png</t>
  </si>
  <si>
    <t>https://static.wixstatic.com/media/aa2f94_38e62a6255044f929c9ac14a3ecae600~mv2.png/v1/fill/w_594,h_360,al_c,q_85,usm_0.66_1.00_0.01,enc_auto/aa2f94_38e62a6255044f929c9ac14a3ecae600~mv2.png</t>
  </si>
  <si>
    <t>https://static.wixstatic.com/media/aa2f94_9dca0712987d4488be5bffcf23ef80d4~mv2.png/v1/fill/w_594,h_360,al_c,q_85,usm_0.66_1.00_0.01,enc_auto/aa2f94_9dca0712987d4488be5bffcf23ef80d4~mv2.png</t>
  </si>
  <si>
    <t>https://static.wixstatic.com/media/aa2f94_24e824a40cbd46f19d5fcc78c658061d~mv2.png/v1/fill/w_594,h_360,al_c,q_85,usm_0.66_1.00_0.01,enc_auto/aa2f94_24e824a40cbd46f19d5fcc78c658061d~mv2.png</t>
  </si>
  <si>
    <t>https://static.wixstatic.com/media/aa2f94_79cda577db224339abd769b975ef9578~mv2.png/v1/fill/w_594,h_360,al_c,q_85,usm_0.66_1.00_0.01,enc_auto/aa2f94_79cda577db224339abd769b975ef9578~mv2.png</t>
  </si>
  <si>
    <t>https://static.wixstatic.com/media/aa2f94_4ce083fc42904a8bbe4a8d6a25d4a96d~mv2.png/v1/fill/w_594,h_360,al_c,q_85,usm_0.66_1.00_0.01,enc_auto/aa2f94_4ce083fc42904a8bbe4a8d6a25d4a96d~mv2.png</t>
  </si>
  <si>
    <t>https://static.wixstatic.com/media/aa2f94_d3fa33821e724d7cac0953292be8d306~mv2.png/v1/fill/w_594,h_360,al_c,q_85,usm_0.66_1.00_0.01,enc_auto/aa2f94_d3fa33821e724d7cac0953292be8d306~mv2.png</t>
  </si>
  <si>
    <t>https://static.wixstatic.com/media/aa2f94_f900f33c34394d96804c302070daad18~mv2.png/v1/fill/w_594,h_360,al_c,q_85,usm_0.66_1.00_0.01,enc_auto/aa2f94_f900f33c34394d96804c302070daad18~mv2.png</t>
  </si>
  <si>
    <t>https://static.wixstatic.com/media/aa2f94_4fadee978e3d49a296c265b36a073581~mv2.png/v1/fill/w_594,h_360,al_c,q_85,usm_0.66_1.00_0.01,enc_auto/aa2f94_4fadee978e3d49a296c265b36a073581~mv2.png</t>
  </si>
  <si>
    <t>https://static.wixstatic.com/media/aa2f94_00fde0a1974d44a38eb240f4bd37f6b6~mv2.png/v1/fill/w_594,h_360,al_c,q_85,usm_0.66_1.00_0.01,enc_auto/aa2f94_00fde0a1974d44a38eb240f4bd37f6b6~mv2.png</t>
  </si>
  <si>
    <t>https://static.wixstatic.com/media/aa2f94_c6328083c9764a77a1f789796457fd29~mv2.png/v1/fill/w_594,h_360,al_c,q_85,usm_0.66_1.00_0.01,enc_auto/aa2f94_c6328083c9764a77a1f789796457fd29~mv2.png</t>
  </si>
  <si>
    <t>https://static.wixstatic.com/media/aa2f94_1f8b13e4a79041e08f066dfa79d7b19f~mv2.png/v1/fill/w_594,h_360,al_c,q_85,usm_0.66_1.00_0.01,enc_auto/aa2f94_1f8b13e4a79041e08f066dfa79d7b19f~mv2.png</t>
  </si>
  <si>
    <t>https://static.wixstatic.com/media/aa2f94_66da4362ad614268b25e5559099f543b~mv2.png/v1/fill/w_594,h_360,al_c,q_85,usm_0.66_1.00_0.01,enc_auto/aa2f94_66da4362ad614268b25e5559099f543b~mv2.png</t>
  </si>
  <si>
    <t>https://static.wixstatic.com/media/aa2f94_1e7231ba5feb45abb279c32825bd75cc~mv2.png/v1/fill/w_594,h_360,al_c,q_85,usm_0.66_1.00_0.01,enc_auto/aa2f94_1e7231ba5feb45abb279c32825bd75cc~mv2.png</t>
  </si>
  <si>
    <t>https://static.wixstatic.com/media/aa2f94_2d82eae5ba7a4ea68b937dea18536c8c~mv2.png/v1/fill/w_594,h_360,al_c,q_85,usm_0.66_1.00_0.01,enc_auto/aa2f94_2d82eae5ba7a4ea68b937dea18536c8c~mv2.png</t>
  </si>
  <si>
    <t>https://static.wixstatic.com/media/aa2f94_078354e103584661950ec3220293d9cb~mv2.png/v1/fill/w_594,h_360,al_c,q_85,usm_0.66_1.00_0.01,enc_auto/aa2f94_078354e103584661950ec3220293d9cb~mv2.png</t>
  </si>
  <si>
    <t>https://static.wixstatic.com/media/aa2f94_56f0467487a44d9999dbe96e287ee48c~mv2.png/v1/fill/w_594,h_360,al_c,q_85,usm_0.66_1.00_0.01,enc_auto/aa2f94_56f0467487a44d9999dbe96e287ee48c~mv2.png</t>
  </si>
  <si>
    <t>https://static.wixstatic.com/media/aa2f94_bb5133be1f0944f1aae452b09ce24336~mv2.png/v1/fill/w_594,h_360,al_c,q_85,usm_0.66_1.00_0.01,enc_auto/aa2f94_bb5133be1f0944f1aae452b09ce24336~mv2.png</t>
  </si>
  <si>
    <t>https://static.wixstatic.com/media/aa2f94_c8013dea63ba43038ec706a7eac163a8~mv2.png/v1/fill/w_594,h_360,al_c,q_85,usm_0.66_1.00_0.01,enc_auto/aa2f94_c8013dea63ba43038ec706a7eac163a8~mv2.png</t>
  </si>
  <si>
    <t>https://static.wixstatic.com/media/aa2f94_158d01c7afa94b4789860812397168a8~mv2.png/v1/fill/w_594,h_360,al_c,q_85,usm_0.66_1.00_0.01,enc_auto/aa2f94_158d01c7afa94b4789860812397168a8~mv2.png</t>
  </si>
  <si>
    <t>https://static.wixstatic.com/media/aa2f94_5e1d6384e65c4f289d90c609686c2871~mv2.png/v1/fill/w_594,h_360,al_c,q_85,usm_0.66_1.00_0.01,enc_auto/aa2f94_5e1d6384e65c4f289d90c609686c2871~mv2.png</t>
  </si>
  <si>
    <t>https://static.wixstatic.com/media/aa2f94_5089ae02212f4c41b7fe7264261a0485~mv2.png/v1/fill/w_594,h_360,al_c,q_85,usm_0.66_1.00_0.01,enc_auto/aa2f94_5089ae02212f4c41b7fe7264261a0485~mv2.png</t>
  </si>
  <si>
    <t>https://static.wixstatic.com/media/aa2f94_3f8777df603d474d84d8e14cb7c42fce~mv2.png/v1/fill/w_594,h_360,al_c,q_85,usm_0.66_1.00_0.01,enc_auto/aa2f94_3f8777df603d474d84d8e14cb7c42fce~mv2.png</t>
  </si>
  <si>
    <t>https://static.wixstatic.com/media/aa2f94_e78bc91e96154299a6139e2b912b5d59~mv2.png/v1/fill/w_594,h_360,al_c,q_85,usm_0.66_1.00_0.01,enc_auto/aa2f94_e78bc91e96154299a6139e2b912b5d59~mv2.png</t>
  </si>
  <si>
    <t>https://static.wixstatic.com/media/aa2f94_244c47d98d864dac8576de001cadd29b~mv2.png/v1/fill/w_594,h_360,al_c,q_85,usm_0.66_1.00_0.01,enc_auto/aa2f94_244c47d98d864dac8576de001cadd29b~mv2.png</t>
  </si>
  <si>
    <t>https://static.wixstatic.com/media/aa2f94_d8a8daccab754cb48cedec31f424d003~mv2.png/v1/fill/w_594,h_360,al_c,q_85,usm_0.66_1.00_0.01,enc_auto/aa2f94_d8a8daccab754cb48cedec31f424d003~mv2.png</t>
  </si>
  <si>
    <t>https://static.wixstatic.com/media/aa2f94_4fc4a7d839d6449289dbec42f5d52e75~mv2.png/v1/fill/w_594,h_360,al_c,q_85,usm_0.66_1.00_0.01,enc_auto/aa2f94_4fc4a7d839d6449289dbec42f5d52e75~mv2.png</t>
  </si>
  <si>
    <t>https://static.wixstatic.com/media/aa2f94_1cf3fd63750a44a093ae3611886a863e~mv2.png/v1/fill/w_594,h_360,al_c,q_85,usm_0.66_1.00_0.01,enc_auto/aa2f94_1cf3fd63750a44a093ae3611886a863e~mv2.png</t>
  </si>
  <si>
    <t>https://static.wixstatic.com/media/aa2f94_b6884ae563974e6a8fdd8fb1bd85fb63~mv2.png/v1/fill/w_594,h_360,al_c,q_85,usm_0.66_1.00_0.01,enc_auto/aa2f94_b6884ae563974e6a8fdd8fb1bd85fb63~mv2.png</t>
  </si>
  <si>
    <t>https://static.wixstatic.com/media/aa2f94_36735cbc42df4fa58618a00c6629fe04~mv2.png/v1/fill/w_594,h_360,al_c,q_85,usm_0.66_1.00_0.01,enc_auto/aa2f94_36735cbc42df4fa58618a00c6629fe04~mv2.png</t>
  </si>
  <si>
    <t>https://static.wixstatic.com/media/aa2f94_958b99134fb144bb9eff4da5a662c6f2~mv2.png/v1/fill/w_594,h_360,al_c,q_85,usm_0.66_1.00_0.01,enc_auto/aa2f94_958b99134fb144bb9eff4da5a662c6f2~mv2.png</t>
  </si>
  <si>
    <t>https://static.wixstatic.com/media/aa2f94_bc2b15d6052b41a987f5b6cb946f0df0~mv2.png/v1/fill/w_594,h_360,al_c,q_85,usm_0.66_1.00_0.01,enc_auto/aa2f94_bc2b15d6052b41a987f5b6cb946f0df0~mv2.png</t>
  </si>
  <si>
    <t>https://static.wixstatic.com/media/aa2f94_94078736f9d946daba5425892972861b~mv2.png/v1/fill/w_594,h_360,al_c,q_85,usm_0.66_1.00_0.01,enc_auto/aa2f94_94078736f9d946daba5425892972861b~mv2.png</t>
  </si>
  <si>
    <t>https://static.wixstatic.com/media/aa2f94_6570f9c1371d48728c5e56774c54ed01~mv2.png/v1/fill/w_594,h_360,al_c,q_85,usm_0.66_1.00_0.01,enc_auto/aa2f94_6570f9c1371d48728c5e56774c54ed01~mv2.png</t>
  </si>
  <si>
    <t>https://static.wixstatic.com/media/aa2f94_e0857f87a313463eaa45bbb95d48c85b~mv2.png/v1/fill/w_594,h_360,al_c,q_85,usm_0.66_1.00_0.01,enc_auto/aa2f94_e0857f87a313463eaa45bbb95d48c85b~mv2.png</t>
  </si>
  <si>
    <t>https://static.wixstatic.com/media/aa2f94_4773f75457314dc488225799b8ab8547~mv2.png/v1/fill/w_594,h_360,al_c,q_85,usm_0.66_1.00_0.01,enc_auto/aa2f94_4773f75457314dc488225799b8ab8547~mv2.png</t>
  </si>
  <si>
    <t>https://static.wixstatic.com/media/aa2f94_8ba03db7eb754f13b0873c1f97c818fd~mv2.png/v1/fill/w_594,h_360,al_c,q_85,usm_0.66_1.00_0.01,enc_auto/aa2f94_8ba03db7eb754f13b0873c1f97c818fd~mv2.png</t>
  </si>
  <si>
    <t>https://static.wixstatic.com/media/aa2f94_e72048e48f444b5ea50142c4a685c82b~mv2.png/v1/fill/w_594,h_360,al_c,q_85,usm_0.66_1.00_0.01,enc_auto/aa2f94_e72048e48f444b5ea50142c4a685c82b~mv2.png</t>
  </si>
  <si>
    <t>https://static.wixstatic.com/media/aa2f94_eec9ba9b9f394fb890df28000af3fa79~mv2.png/v1/fill/w_594,h_360,al_c,q_85,usm_0.66_1.00_0.01,enc_auto/aa2f94_eec9ba9b9f394fb890df28000af3fa79~mv2.png</t>
  </si>
  <si>
    <t>https://static.wixstatic.com/media/aa2f94_5e118ca26a0d4021bedf51d4242d10de~mv2.png/v1/fill/w_594,h_360,al_c,q_85,usm_0.66_1.00_0.01,enc_auto/aa2f94_5e118ca26a0d4021bedf51d4242d10de~mv2.png</t>
  </si>
  <si>
    <t>https://static.wixstatic.com/media/aa2f94_5465129e4f884c60b45225fad75468ab~mv2.png/v1/fill/w_594,h_360,al_c,q_85,usm_0.66_1.00_0.01,enc_auto/aa2f94_5465129e4f884c60b45225fad75468ab~mv2.png</t>
  </si>
  <si>
    <t>https://static.wixstatic.com/media/aa2f94_b5342dc106214c2b8433aecb49ccfd2d~mv2.png/v1/fill/w_594,h_360,al_c,q_85,usm_0.66_1.00_0.01,enc_auto/aa2f94_b5342dc106214c2b8433aecb49ccfd2d~mv2.png</t>
  </si>
  <si>
    <t>https://static.wixstatic.com/media/aa2f94_756b70ebb7fc4cc09719ceb69722d051~mv2.png/v1/fill/w_594,h_360,al_c,q_85,usm_0.66_1.00_0.01,enc_auto/aa2f94_756b70ebb7fc4cc09719ceb69722d051~mv2.png</t>
  </si>
  <si>
    <t>https://static.wixstatic.com/media/aa2f94_398a1e48a91b4d56967f65a00e628d5e~mv2.png/v1/fill/w_594,h_360,al_c,q_85,usm_0.66_1.00_0.01,enc_auto/aa2f94_398a1e48a91b4d56967f65a00e628d5e~mv2.png</t>
  </si>
  <si>
    <t>https://static.wixstatic.com/media/aa2f94_714aa67be8d24758824c61659fc81767~mv2.png/v1/fill/w_594,h_360,al_c,q_85,usm_0.66_1.00_0.01,enc_auto/aa2f94_714aa67be8d24758824c61659fc81767~mv2.png</t>
  </si>
  <si>
    <t>https://static.wixstatic.com/media/aa2f94_706164a23cbe4e46ae0df6ff2e2b77b3~mv2.png/v1/fill/w_594,h_360,al_c,q_85,usm_0.66_1.00_0.01,enc_auto/aa2f94_706164a23cbe4e46ae0df6ff2e2b77b3~mv2.png</t>
  </si>
  <si>
    <t>https://static.wixstatic.com/media/aa2f94_8706ec505c074087ab19f3470ff8d4ec~mv2.png/v1/fill/w_594,h_360,al_c,q_85,usm_0.66_1.00_0.01,enc_auto/aa2f94_8706ec505c074087ab19f3470ff8d4ec~mv2.png</t>
  </si>
  <si>
    <t>https://static.wixstatic.com/media/aa2f94_56f752d5f0ee42c2bb3bdd1c84898812~mv2.png/v1/fill/w_594,h_360,al_c,q_85,usm_0.66_1.00_0.01,enc_auto/aa2f94_56f752d5f0ee42c2bb3bdd1c84898812~mv2.png</t>
  </si>
  <si>
    <t>https://static.wixstatic.com/media/aa2f94_68ad1f708e764dab8e439a4db749bbfa~mv2.png/v1/fill/w_594,h_360,al_c,q_85,usm_0.66_1.00_0.01,enc_auto/aa2f94_68ad1f708e764dab8e439a4db749bbfa~mv2.png</t>
  </si>
  <si>
    <t>https://static.wixstatic.com/media/aa2f94_cd57dec996f8495d9d9fed0ab84cf2f3~mv2.png/v1/fill/w_594,h_360,al_c,q_85,usm_0.66_1.00_0.01,enc_auto/aa2f94_cd57dec996f8495d9d9fed0ab84cf2f3~mv2.png</t>
  </si>
  <si>
    <t>https://static.wixstatic.com/media/aa2f94_38c8d3bac8d24bd5b63a3077d7b666f4~mv2.png/v1/fill/w_594,h_360,al_c,q_85,usm_0.66_1.00_0.01,enc_auto/aa2f94_38c8d3bac8d24bd5b63a3077d7b666f4~mv2.png</t>
  </si>
  <si>
    <t>https://static.wixstatic.com/media/aa2f94_f80d135add4e4081933bbb94edd0773c~mv2.png/v1/fill/w_594,h_360,al_c,q_85,usm_0.66_1.00_0.01,enc_auto/aa2f94_f80d135add4e4081933bbb94edd0773c~mv2.png</t>
  </si>
  <si>
    <t>https://static.wixstatic.com/media/aa2f94_74f83a05f23e442bb23c860b6f32e2b5~mv2.png/v1/fill/w_594,h_360,al_c,q_85,usm_0.66_1.00_0.01,enc_auto/aa2f94_74f83a05f23e442bb23c860b6f32e2b5~mv2.png</t>
  </si>
  <si>
    <t>https://static.wixstatic.com/media/aa2f94_6694c000b2854d36b29f5435e6d591ce~mv2.png/v1/fill/w_594,h_360,al_c,q_85,usm_0.66_1.00_0.01,enc_auto/aa2f94_6694c000b2854d36b29f5435e6d591ce~mv2.png</t>
  </si>
  <si>
    <t>https://static.wixstatic.com/media/aa2f94_6de8e4be10864aafbcd04a9310932cbd~mv2.png/v1/fill/w_594,h_360,al_c,q_85,usm_0.66_1.00_0.01,enc_auto/aa2f94_6de8e4be10864aafbcd04a9310932cbd~mv2.png</t>
  </si>
  <si>
    <t>https://static.wixstatic.com/media/aa2f94_7648add228204acaa25399ee9c39a732~mv2.png/v1/fill/w_594,h_360,al_c,q_85,usm_0.66_1.00_0.01,enc_auto/aa2f94_7648add228204acaa25399ee9c39a732~mv2.png</t>
  </si>
  <si>
    <t>https://static.wixstatic.com/media/aa2f94_d13a4c0676cb49da8f4a7bdf1b8fcd46~mv2.png/v1/fill/w_594,h_360,al_c,q_85,usm_0.66_1.00_0.01,enc_auto/aa2f94_d13a4c0676cb49da8f4a7bdf1b8fcd46~mv2.png</t>
  </si>
  <si>
    <t>https://static.wixstatic.com/media/aa2f94_a150ab9945ec492e838db40d652efb43~mv2.png/v1/fill/w_594,h_360,al_c,q_85,usm_0.66_1.00_0.01,enc_auto/aa2f94_a150ab9945ec492e838db40d652efb43~mv2.png</t>
  </si>
  <si>
    <t>https://static.wixstatic.com/media/aa2f94_eb667511ec7848beaace70807a44a76a~mv2.png/v1/fill/w_594,h_360,al_c,q_85,usm_0.66_1.00_0.01,enc_auto/aa2f94_eb667511ec7848beaace70807a44a76a~mv2.png</t>
  </si>
  <si>
    <t>https://static.wixstatic.com/media/aa2f94_0d7db7118242483baeefd643c66b9ff2~mv2.png/v1/fill/w_594,h_360,al_c,q_85,usm_0.66_1.00_0.01,enc_auto/aa2f94_0d7db7118242483baeefd643c66b9ff2~mv2.png</t>
  </si>
  <si>
    <t>https://static.wixstatic.com/media/aa2f94_feab5560ef764102a810d6fd88d75d8f~mv2.png/v1/fill/w_594,h_360,al_c,q_85,usm_0.66_1.00_0.01,enc_auto/aa2f94_feab5560ef764102a810d6fd88d75d8f~mv2.png</t>
  </si>
  <si>
    <t>https://static.wixstatic.com/media/aa2f94_9fcec7cc65444ab9817115ac1f8225a3~mv2.png/v1/fill/w_594,h_360,al_c,q_85,usm_0.66_1.00_0.01,enc_auto/aa2f94_9fcec7cc65444ab9817115ac1f8225a3~mv2.png</t>
  </si>
  <si>
    <t>https://static.wixstatic.com/media/aa2f94_8d55021880eb4dc49459fbcda14a7626~mv2.png/v1/fill/w_594,h_360,al_c,q_85,usm_0.66_1.00_0.01,enc_auto/aa2f94_8d55021880eb4dc49459fbcda14a7626~mv2.png</t>
  </si>
  <si>
    <t>https://static.wixstatic.com/media/aa2f94_cceb15727ea74a0db889a457324ca431~mv2.png/v1/fill/w_594,h_360,al_c,q_85,usm_0.66_1.00_0.01,enc_auto/aa2f94_cceb15727ea74a0db889a457324ca431~mv2.png</t>
  </si>
  <si>
    <t>https://static.wixstatic.com/media/aa2f94_2c4aa30a38c14d89ae2c19f3fa46b5bd~mv2.png/v1/fill/w_594,h_360,al_c,q_85,usm_0.66_1.00_0.01,enc_auto/aa2f94_2c4aa30a38c14d89ae2c19f3fa46b5bd~mv2.png</t>
  </si>
  <si>
    <t>https://static.wixstatic.com/media/aa2f94_3c1b23f4c05b421082795bb1298d80c1~mv2.png/v1/fill/w_594,h_360,al_c,q_85,usm_0.66_1.00_0.01,enc_auto/aa2f94_3c1b23f4c05b421082795bb1298d80c1~mv2.png</t>
  </si>
  <si>
    <t>https://static.wixstatic.com/media/aa2f94_45c04de10ccf4b7b9ed183fce2c326b5~mv2.png/v1/fill/w_594,h_360,al_c,q_85,usm_0.66_1.00_0.01,enc_auto/aa2f94_45c04de10ccf4b7b9ed183fce2c326b5~mv2.png</t>
  </si>
  <si>
    <t>https://static.wixstatic.com/media/aa2f94_2ba1d918239b49db888f6ef1cdf738c4~mv2.png/v1/fill/w_594,h_360,al_c,q_85,usm_0.66_1.00_0.01,enc_auto/aa2f94_2ba1d918239b49db888f6ef1cdf738c4~mv2.png</t>
  </si>
  <si>
    <t>https://static.wixstatic.com/media/aa2f94_f49539ace7c941c9a9b66ee76a470f36~mv2.png/v1/fill/w_594,h_360,al_c,q_85,usm_0.66_1.00_0.01,enc_auto/aa2f94_f49539ace7c941c9a9b66ee76a470f36~mv2.png</t>
  </si>
  <si>
    <t>https://static.wixstatic.com/media/aa2f94_db69566e09114175abf24659ddb99082~mv2.png/v1/fill/w_594,h_360,al_c,q_85,usm_0.66_1.00_0.01,enc_auto/aa2f94_db69566e09114175abf24659ddb99082~mv2.png</t>
  </si>
  <si>
    <t>https://static.wixstatic.com/media/aa2f94_182ef28aebde45e3831c58e46f15167f~mv2.png/v1/fill/w_594,h_360,al_c,q_85,usm_0.66_1.00_0.01,enc_auto/aa2f94_182ef28aebde45e3831c58e46f15167f~mv2.png</t>
  </si>
  <si>
    <t>https://static.wixstatic.com/media/aa2f94_f894caa0277e40ebbfbc91f54109dc97~mv2.png/v1/fill/w_594,h_360,al_c,q_85,usm_0.66_1.00_0.01,enc_auto/aa2f94_f894caa0277e40ebbfbc91f54109dc97~mv2.png</t>
  </si>
  <si>
    <t>https://static.wixstatic.com/media/aa2f94_ab12e90a47bb4f84aa8b0faadff8446d~mv2.png/v1/fill/w_594,h_360,al_c,q_85,usm_0.66_1.00_0.01,enc_auto/aa2f94_ab12e90a47bb4f84aa8b0faadff8446d~mv2.png</t>
  </si>
  <si>
    <t>https://static.wixstatic.com/media/aa2f94_2167c5c6f88f4b729300c24f57e25c78~mv2.png/v1/fill/w_594,h_360,al_c,q_85,usm_0.66_1.00_0.01,enc_auto/aa2f94_2167c5c6f88f4b729300c24f57e25c78~mv2.png</t>
  </si>
  <si>
    <t>https://static.wixstatic.com/media/aa2f94_5df3dfa76e244c1c94ed34803cb7f1ac~mv2.png/v1/fill/w_594,h_360,al_c,q_85,usm_0.66_1.00_0.01,enc_auto/aa2f94_5df3dfa76e244c1c94ed34803cb7f1ac~mv2.png</t>
  </si>
  <si>
    <t>https://static.wixstatic.com/media/aa2f94_63a54b14ad9d4b769488b98c68b29db9~mv2.png/v1/fill/w_594,h_360,al_c,q_85,usm_0.66_1.00_0.01,enc_auto/aa2f94_63a54b14ad9d4b769488b98c68b29db9~mv2.png</t>
  </si>
  <si>
    <t>https://static.wixstatic.com/media/aa2f94_0cb5bd70c1254dc7b02cc97b7d244878~mv2.png/v1/fill/w_594,h_360,al_c,q_85,usm_0.66_1.00_0.01,enc_auto/aa2f94_0cb5bd70c1254dc7b02cc97b7d244878~mv2.png</t>
  </si>
  <si>
    <t>https://static.wixstatic.com/media/aa2f94_1bdf57048603421290ff70fb4614b94b~mv2.png/v1/fill/w_594,h_360,al_c,q_85,usm_0.66_1.00_0.01,enc_auto/aa2f94_1bdf57048603421290ff70fb4614b94b~mv2.png</t>
  </si>
  <si>
    <t>https://static.wixstatic.com/media/aa2f94_6cdab973b26d4db4bf7abc0b5794e618~mv2.png/v1/fill/w_594,h_360,al_c,q_85,usm_0.66_1.00_0.01,enc_auto/aa2f94_6cdab973b26d4db4bf7abc0b5794e618~mv2.png</t>
  </si>
  <si>
    <t>https://static.wixstatic.com/media/aa2f94_b429f47e50324335950d8e856a0e3b99~mv2.png/v1/fill/w_594,h_360,al_c,q_85,usm_0.66_1.00_0.01,enc_auto/aa2f94_b429f47e50324335950d8e856a0e3b99~mv2.png</t>
  </si>
  <si>
    <t>https://static.wixstatic.com/media/aa2f94_b166aa056c7f4f1dbb466d660560a81e~mv2.png/v1/fill/w_594,h_360,al_c,q_85,usm_0.66_1.00_0.01,enc_auto/aa2f94_b166aa056c7f4f1dbb466d660560a81e~mv2.png</t>
  </si>
  <si>
    <t>https://static.wixstatic.com/media/aa2f94_f4d09238016241d394638a6eba8bdf42~mv2.png/v1/fill/w_594,h_360,al_c,q_85,usm_0.66_1.00_0.01,enc_auto/aa2f94_f4d09238016241d394638a6eba8bdf42~mv2.png</t>
  </si>
  <si>
    <t>https://static.wixstatic.com/media/aa2f94_9180e31b8878467aa2e2a7e8e58c95b8~mv2.png/v1/fill/w_594,h_360,al_c,q_85,usm_0.66_1.00_0.01,enc_auto/aa2f94_9180e31b8878467aa2e2a7e8e58c95b8~mv2.png</t>
  </si>
  <si>
    <t>https://static.wixstatic.com/media/aa2f94_6a8ca63afd1740d2810b35d2b015455c~mv2.png/v1/fill/w_594,h_360,al_c,q_85,usm_0.66_1.00_0.01,enc_auto/aa2f94_6a8ca63afd1740d2810b35d2b015455c~mv2.png</t>
  </si>
  <si>
    <t>https://static.wixstatic.com/media/aa2f94_4141c8fbf46f4d7b813b35c3b8b2859d~mv2.png/v1/fill/w_594,h_360,al_c,q_85,usm_0.66_1.00_0.01,enc_auto/aa2f94_4141c8fbf46f4d7b813b35c3b8b2859d~mv2.png</t>
  </si>
  <si>
    <t>https://static.wixstatic.com/media/aa2f94_7355ee5f24fe4eeab85eb49998657ce2~mv2.png/v1/fill/w_594,h_360,al_c,q_85,usm_0.66_1.00_0.01,enc_auto/aa2f94_7355ee5f24fe4eeab85eb49998657ce2~mv2.png</t>
  </si>
  <si>
    <t>https://static.wixstatic.com/media/aa2f94_1ad45a3eaec14b7d8cd2aee009744c0f~mv2.png/v1/fill/w_594,h_360,al_c,q_85,usm_0.66_1.00_0.01,enc_auto/aa2f94_1ad45a3eaec14b7d8cd2aee009744c0f~mv2.png</t>
  </si>
  <si>
    <t>https://static.wixstatic.com/media/aa2f94_75c28eee97e8432389dbc5a72d26e1ed~mv2.png/v1/fill/w_594,h_360,al_c,q_85,usm_0.66_1.00_0.01,enc_auto/aa2f94_75c28eee97e8432389dbc5a72d26e1ed~mv2.png</t>
  </si>
  <si>
    <t>https://static.wixstatic.com/media/aa2f94_d2aa58e53e0542839c611601f8bd67a8~mv2.png/v1/fill/w_594,h_360,al_c,q_85,usm_0.66_1.00_0.01,enc_auto/aa2f94_d2aa58e53e0542839c611601f8bd67a8~mv2.png</t>
  </si>
  <si>
    <t>https://static.wixstatic.com/media/aa2f94_f8179bc178644a8f892ec7a0ae5894f9~mv2.png/v1/fill/w_594,h_360,al_c,q_85,usm_0.66_1.00_0.01,enc_auto/aa2f94_f8179bc178644a8f892ec7a0ae5894f9~mv2.png</t>
  </si>
  <si>
    <t>https://static.wixstatic.com/media/aa2f94_6b2ad08a749f4986ad862adfe5488009~mv2.png/v1/fill/w_594,h_360,al_c,q_85,usm_0.66_1.00_0.01,enc_auto/aa2f94_6b2ad08a749f4986ad862adfe5488009~mv2.png</t>
  </si>
  <si>
    <t>https://static.wixstatic.com/media/aa2f94_786b5e103634480f89544f0789a1b0b1~mv2.png/v1/fill/w_594,h_360,al_c,q_85,usm_0.66_1.00_0.01,enc_auto/aa2f94_786b5e103634480f89544f0789a1b0b1~mv2.png</t>
  </si>
  <si>
    <t>https://static.wixstatic.com/media/aa2f94_94bb0b2c05d745fe8a0978909d39cd3f~mv2.png/v1/fill/w_594,h_360,al_c,q_85,usm_0.66_1.00_0.01,enc_auto/aa2f94_94bb0b2c05d745fe8a0978909d39cd3f~mv2.png</t>
  </si>
  <si>
    <t>https://static.wixstatic.com/media/aa2f94_cf1786df67f14b1482ce2fe230f827ce~mv2.png/v1/fill/w_594,h_360,al_c,q_85,usm_0.66_1.00_0.01,enc_auto/aa2f94_cf1786df67f14b1482ce2fe230f827ce~mv2.png</t>
  </si>
  <si>
    <t>https://static.wixstatic.com/media/aa2f94_31afd1770f4e420eb67c4d444d872cfe~mv2.png/v1/fill/w_594,h_360,al_c,q_85,usm_0.66_1.00_0.01,enc_auto/aa2f94_31afd1770f4e420eb67c4d444d872cfe~mv2.png</t>
  </si>
  <si>
    <t>https://static.wixstatic.com/media/aa2f94_4012ae69103f4049bccbd886b204832b~mv2.png/v1/fill/w_594,h_360,al_c,q_85,usm_0.66_1.00_0.01,enc_auto/aa2f94_4012ae69103f4049bccbd886b204832b~mv2.png</t>
  </si>
  <si>
    <t>https://static.wixstatic.com/media/aa2f94_9fc05ffb7ca648deb3cc12fbd0e29243~mv2.png/v1/fill/w_594,h_360,al_c,q_85,usm_0.66_1.00_0.01,enc_auto/aa2f94_9fc05ffb7ca648deb3cc12fbd0e29243~mv2.png</t>
  </si>
  <si>
    <t>https://static.wixstatic.com/media/aa2f94_2eca33f9075147cc87e7c0640966990d~mv2.png/v1/fill/w_593,h_363,al_c,q_85,usm_0.66_1.00_0.01,enc_auto/aa2f94_2eca33f9075147cc87e7c0640966990d~mv2.png</t>
  </si>
  <si>
    <t>https://static.wixstatic.com/media/aa2f94_7b13bf2f12124783bcbbc3af416aac0e~mv2.png/v1/fill/w_593,h_363,al_c,q_85,usm_0.66_1.00_0.01,enc_auto/aa2f94_7b13bf2f12124783bcbbc3af416aac0e~mv2.png</t>
  </si>
  <si>
    <t>https://static.wixstatic.com/media/aa2f94_a9a1a48b363e4b67b86593c60807544a~mv2.png/v1/fill/w_593,h_363,al_c,q_85,usm_0.66_1.00_0.01,enc_auto/aa2f94_a9a1a48b363e4b67b86593c60807544a~mv2.png</t>
  </si>
  <si>
    <t>https://static.wixstatic.com/media/aa2f94_8d3c9a2cfe194db2a147fcc3b9dc44f9~mv2.png/v1/fill/w_593,h_363,al_c,q_85,usm_0.66_1.00_0.01,enc_auto/aa2f94_8d3c9a2cfe194db2a147fcc3b9dc44f9~mv2.png</t>
  </si>
  <si>
    <t>https://static.wixstatic.com/media/aa2f94_47f54dc63b25479087b49a95fe84d661~mv2.png/v1/fill/w_593,h_363,al_c,q_85,usm_0.66_1.00_0.01,enc_auto/aa2f94_47f54dc63b25479087b49a95fe84d661~mv2.png</t>
  </si>
  <si>
    <t>https://static.wixstatic.com/media/aa2f94_70300640275d441c86cef27523450b25~mv2.png/v1/fill/w_593,h_363,al_c,q_85,usm_0.66_1.00_0.01,enc_auto/aa2f94_70300640275d441c86cef27523450b25~mv2.png</t>
  </si>
  <si>
    <t>https://static.wixstatic.com/media/aa2f94_83c1f5605f424b8caf602da248ebf028~mv2.png/v1/fill/w_593,h_363,al_c,q_85,usm_0.66_1.00_0.01,enc_auto/aa2f94_83c1f5605f424b8caf602da248ebf028~mv2.png</t>
  </si>
  <si>
    <t>https://static.wixstatic.com/media/aa2f94_167451e31c884132b96655ac6de40d8a~mv2.png/v1/fill/w_593,h_363,al_c,q_85,usm_0.66_1.00_0.01,enc_auto/aa2f94_167451e31c884132b96655ac6de40d8a~mv2.png</t>
  </si>
  <si>
    <t>https://static.wixstatic.com/media/aa2f94_759cc15e39894ad188270be156bfa4d4~mv2.png/v1/fill/w_593,h_363,al_c,q_85,usm_0.66_1.00_0.01,enc_auto/aa2f94_759cc15e39894ad188270be156bfa4d4~mv2.png</t>
  </si>
  <si>
    <t>https://static.wixstatic.com/media/aa2f94_708655e6a9c3473485cb5ba539d05e2c~mv2.png/v1/fill/w_593,h_363,al_c,q_85,usm_0.66_1.00_0.01,enc_auto/aa2f94_708655e6a9c3473485cb5ba539d05e2c~mv2.png</t>
  </si>
  <si>
    <t>https://static.wixstatic.com/media/aa2f94_67f3edc2da9642bf98cc1003d790ce1b~mv2.png/v1/fill/w_593,h_363,al_c,q_85,usm_0.66_1.00_0.01,enc_auto/aa2f94_67f3edc2da9642bf98cc1003d790ce1b~mv2.png</t>
  </si>
  <si>
    <t>https://static.wixstatic.com/media/aa2f94_cde52320b23c489db76fb64a1b13ba28~mv2.png/v1/fill/w_593,h_363,al_c,q_85,usm_0.66_1.00_0.01,enc_auto/aa2f94_cde52320b23c489db76fb64a1b13ba28~mv2.png</t>
  </si>
  <si>
    <t>https://static.wixstatic.com/media/aa2f94_a93508e94412437982f8c325d6e7a953~mv2.png/v1/fill/w_593,h_363,al_c,q_85,usm_0.66_1.00_0.01,enc_auto/aa2f94_a93508e94412437982f8c325d6e7a953~mv2.png</t>
  </si>
  <si>
    <t>https://static.wixstatic.com/media/aa2f94_65a4cb184000485490ff3963c0d7c42f~mv2.png/v1/fill/w_593,h_363,al_c,q_85,usm_0.66_1.00_0.01,enc_auto/aa2f94_65a4cb184000485490ff3963c0d7c42f~mv2.png</t>
  </si>
  <si>
    <t>https://static.wixstatic.com/media/aa2f94_72dbfa7bcf3747f3b7a60c3806140f4f~mv2.png/v1/fill/w_593,h_363,al_c,q_85,usm_0.66_1.00_0.01,enc_auto/aa2f94_72dbfa7bcf3747f3b7a60c3806140f4f~mv2.png</t>
  </si>
  <si>
    <t>https://static.wixstatic.com/media/aa2f94_008f57fb95544f66b7f9f0ca6e9077f9~mv2.png/v1/fill/w_593,h_363,al_c,q_85,usm_0.66_1.00_0.01,enc_auto/aa2f94_008f57fb95544f66b7f9f0ca6e9077f9~mv2.png</t>
  </si>
  <si>
    <t>https://static.wixstatic.com/media/aa2f94_0d87f3dc90ff499b9caeeb0a23d8c046~mv2.png/v1/fill/w_594,h_360,al_c,q_85,usm_0.66_1.00_0.01,enc_auto/aa2f94_0d87f3dc90ff499b9caeeb0a23d8c046~mv2.png</t>
  </si>
  <si>
    <t>https://static.wixstatic.com/media/aa2f94_e7dd9bac2c5347339e347190b62e8016~mv2.png/v1/fill/w_594,h_360,al_c,q_85,usm_0.66_1.00_0.01,enc_auto/aa2f94_e7dd9bac2c5347339e347190b62e8016~mv2.png</t>
  </si>
  <si>
    <t>https://static.wixstatic.com/media/aa2f94_3c7867db942c4c719b064069e7e86a8e~mv2.png/v1/fill/w_594,h_360,al_c,q_85,usm_0.66_1.00_0.01,enc_auto/aa2f94_3c7867db942c4c719b064069e7e86a8e~mv2.png</t>
  </si>
  <si>
    <t>https://static.wixstatic.com/media/aa2f94_70503b32d0e349a1b5985870f12ee773~mv2.png/v1/fill/w_594,h_360,al_c,q_85,usm_0.66_1.00_0.01,enc_auto/aa2f94_70503b32d0e349a1b5985870f12ee773~mv2.png</t>
  </si>
  <si>
    <t>https://static.wixstatic.com/media/aa2f94_e540fdaa7bf0453cb81652781f4ca656~mv2.png/v1/fill/w_594,h_360,al_c,q_85,usm_0.66_1.00_0.01,enc_auto/aa2f94_e540fdaa7bf0453cb81652781f4ca656~mv2.png</t>
  </si>
  <si>
    <t>https://static.wixstatic.com/media/aa2f94_87b5c6af4dd540dbb67ba396b1305ebc~mv2.png/v1/fill/w_594,h_360,al_c,q_85,usm_0.66_1.00_0.01,enc_auto/aa2f94_87b5c6af4dd540dbb67ba396b1305ebc~mv2.png</t>
  </si>
  <si>
    <t>https://static.wixstatic.com/media/aa2f94_71069fc0b1f54a07b5004868f37cacee~mv2.png/v1/fill/w_594,h_360,al_c,q_85,usm_0.66_1.00_0.01,enc_auto/aa2f94_71069fc0b1f54a07b5004868f37cacee~mv2.png</t>
  </si>
  <si>
    <t>https://static.wixstatic.com/media/aa2f94_fe411dd1dec9491bbbbee8fd7eba42df~mv2.png/v1/fill/w_595,h_346,al_c,q_85,usm_0.66_1.00_0.01,enc_auto/aa2f94_fe411dd1dec9491bbbbee8fd7eba42df~mv2.png</t>
  </si>
  <si>
    <t>https://static.wixstatic.com/media/aa2f94_082e78aee1dd4a52af1358be1e76dff8~mv2.png/v1/fill/w_595,h_346,al_c,q_85,usm_0.66_1.00_0.01,enc_auto/aa2f94_082e78aee1dd4a52af1358be1e76dff8~mv2.png</t>
  </si>
  <si>
    <t>https://static.wixstatic.com/media/aa2f94_dbfe291dd1bb4adebff2e40116996688~mv2.png/v1/fill/w_595,h_346,al_c,q_85,usm_0.66_1.00_0.01,enc_auto/aa2f94_dbfe291dd1bb4adebff2e40116996688~mv2.png</t>
  </si>
  <si>
    <t>https://static.wixstatic.com/media/aa2f94_e635d39d24ff45dfaa3fbe3e1bb2fc12~mv2.png/v1/fill/w_595,h_346,al_c,q_85,usm_0.66_1.00_0.01,enc_auto/aa2f94_e635d39d24ff45dfaa3fbe3e1bb2fc12~mv2.png</t>
  </si>
  <si>
    <t>https://static.wixstatic.com/media/aa2f94_5ba51132ea1f446d991673005adb8ac0~mv2.png/v1/fill/w_595,h_346,al_c,q_85,usm_0.66_1.00_0.01,enc_auto/aa2f94_5ba51132ea1f446d991673005adb8ac0~mv2.png</t>
  </si>
  <si>
    <t>https://static.wixstatic.com/media/aa2f94_2fb2b24fc72f4b85b99926cbf1a9ea1b~mv2.png/v1/fill/w_595,h_346,al_c,q_85,usm_0.66_1.00_0.01,enc_auto/aa2f94_2fb2b24fc72f4b85b99926cbf1a9ea1b~mv2.png</t>
  </si>
  <si>
    <t>https://static.wixstatic.com/media/aa2f94_4edeb295ec3849fea41f1fa06e24bddf~mv2.png/v1/fill/w_595,h_346,al_c,q_85,usm_0.66_1.00_0.01,enc_auto/aa2f94_4edeb295ec3849fea41f1fa06e24bddf~mv2.png</t>
  </si>
  <si>
    <t>https://static.wixstatic.com/media/aa2f94_0d546bd0574f484bb2bbba02e1763734~mv2.png/v1/fill/w_595,h_346,al_c,q_85,usm_0.66_1.00_0.01,enc_auto/aa2f94_0d546bd0574f484bb2bbba02e1763734~mv2.png</t>
  </si>
  <si>
    <t>https://static.wixstatic.com/media/aa2f94_8e1fb83fa5bf41178d79b7b2cb24c699~mv2.png/v1/fill/w_595,h_346,al_c,q_85,usm_0.66_1.00_0.01,enc_auto/aa2f94_8e1fb83fa5bf41178d79b7b2cb24c699~mv2.png</t>
  </si>
  <si>
    <t>https://static.wixstatic.com/media/aa2f94_d11e8359b36d4198bfb275384b23ad04~mv2.png/v1/fill/w_595,h_346,al_c,q_85,usm_0.66_1.00_0.01,enc_auto/aa2f94_d11e8359b36d4198bfb275384b23ad04~mv2.png</t>
  </si>
  <si>
    <t>https://static.wixstatic.com/media/aa2f94_78591cc2a4964f978bf430b1f4455df4~mv2.png/v1/fill/w_595,h_346,al_c,q_85,usm_0.66_1.00_0.01,enc_auto/aa2f94_78591cc2a4964f978bf430b1f4455df4~mv2.png</t>
  </si>
  <si>
    <t>https://static.wixstatic.com/media/aa2f94_7e5df0ff4cb9470da7187b8864bb6bdf~mv2.png/v1/fill/w_594,h_360,al_c,q_85,usm_0.66_1.00_0.01,enc_auto/aa2f94_7e5df0ff4cb9470da7187b8864bb6bdf~mv2.png</t>
  </si>
  <si>
    <t>https://static.wixstatic.com/media/aa2f94_86e34b95690b4c36972e8d04bc3ee367~mv2.png/v1/fill/w_594,h_360,al_c,q_85,usm_0.66_1.00_0.01,enc_auto/aa2f94_86e34b95690b4c36972e8d04bc3ee367~mv2.png</t>
  </si>
  <si>
    <t>https://static.wixstatic.com/media/aa2f94_0642fb123dae4ba383f091d2cba55a10~mv2.png/v1/fill/w_594,h_360,al_c,q_85,usm_0.66_1.00_0.01,enc_auto/aa2f94_0642fb123dae4ba383f091d2cba55a10~mv2.png</t>
  </si>
  <si>
    <t>https://static.wixstatic.com/media/aa2f94_936bbdfe9aa947139e4b65cb4646e8ac~mv2.png/v1/fill/w_594,h_360,al_c,q_85,usm_0.66_1.00_0.01,enc_auto/aa2f94_936bbdfe9aa947139e4b65cb4646e8ac~mv2.png</t>
  </si>
  <si>
    <t>https://static.wixstatic.com/media/aa2f94_bc9670759287446690913a81fccfbd3d~mv2.png/v1/fill/w_594,h_360,al_c,q_85,usm_0.66_1.00_0.01,enc_auto/aa2f94_bc9670759287446690913a81fccfbd3d~mv2.png</t>
  </si>
  <si>
    <t>https://static.wixstatic.com/media/aa2f94_949796ee92c4460f8bd513cf6601655e~mv2.png/v1/fill/w_594,h_360,al_c,q_85,usm_0.66_1.00_0.01,enc_auto/aa2f94_949796ee92c4460f8bd513cf6601655e~mv2.png</t>
  </si>
  <si>
    <t>https://static.wixstatic.com/media/aa2f94_caa4d82950184c38b6fd154c0f9d1612~mv2.png/v1/fill/w_594,h_360,al_c,q_85,usm_0.66_1.00_0.01,enc_auto/aa2f94_caa4d82950184c38b6fd154c0f9d1612~mv2.png</t>
  </si>
  <si>
    <t>https://static.wixstatic.com/media/aa2f94_969392d15d40480f961d8c086b1ae458~mv2.png/v1/fill/w_594,h_360,al_c,q_85,usm_0.66_1.00_0.01,enc_auto/aa2f94_969392d15d40480f961d8c086b1ae458~mv2.png</t>
  </si>
  <si>
    <t>https://static.wixstatic.com/media/aa2f94_e508cac9d96c4d8e89a611218197023e~mv2.png/v1/fill/w_594,h_360,al_c,q_85,usm_0.66_1.00_0.01,enc_auto/aa2f94_e508cac9d96c4d8e89a611218197023e~mv2.png</t>
  </si>
  <si>
    <t>https://static.wixstatic.com/media/aa2f94_581c576bdc9941d9bac018e3066cbb8d~mv2.png/v1/fill/w_594,h_360,al_c,q_85,usm_0.66_1.00_0.01,enc_auto/aa2f94_581c576bdc9941d9bac018e3066cbb8d~mv2.png</t>
  </si>
  <si>
    <t>https://static.wixstatic.com/media/aa2f94_eed1cbf0da5c445b834b0ec134cfd700~mv2.png/v1/fill/w_594,h_360,al_c,q_85,usm_0.66_1.00_0.01,enc_auto/aa2f94_eed1cbf0da5c445b834b0ec134cfd700~mv2.png</t>
  </si>
  <si>
    <t>https://static.wixstatic.com/media/aa2f94_49891c9e230648cda7128afdeb685613~mv2.png/v1/fill/w_594,h_360,al_c,q_85,usm_0.66_1.00_0.01,enc_auto/aa2f94_49891c9e230648cda7128afdeb685613~mv2.png</t>
  </si>
  <si>
    <t>https://static.wixstatic.com/media/aa2f94_a8896e8480fc4e0fb72ec3970680ce88~mv2.png/v1/fill/w_594,h_360,al_c,q_85,usm_0.66_1.00_0.01,enc_auto/aa2f94_a8896e8480fc4e0fb72ec3970680ce88~mv2.png</t>
  </si>
  <si>
    <t>https://static.wixstatic.com/media/aa2f94_c5bbad1415264efd82867aa91921ca43~mv2.png/v1/fill/w_594,h_360,al_c,q_85,usm_0.66_1.00_0.01,enc_auto/aa2f94_c5bbad1415264efd82867aa91921ca43~mv2.png</t>
  </si>
  <si>
    <t>https://static.wixstatic.com/media/aa2f94_4fcf55f3719546ec8619de3903fa60db~mv2.png/v1/fill/w_594,h_360,al_c,q_85,usm_0.66_1.00_0.01,enc_auto/aa2f94_4fcf55f3719546ec8619de3903fa60db~mv2.png</t>
  </si>
  <si>
    <t>https://static.wixstatic.com/media/aa2f94_4ca560586c0c4accb6ea3c2fad1974a7~mv2.png/v1/fill/w_594,h_360,al_c,q_85,usm_0.66_1.00_0.01,enc_auto/aa2f94_4ca560586c0c4accb6ea3c2fad1974a7~mv2.png</t>
  </si>
  <si>
    <t>https://static.wixstatic.com/media/aa2f94_45095a97381e407ca1220b651129ef07~mv2.png/v1/fill/w_594,h_360,al_c,q_85,usm_0.66_1.00_0.01,enc_auto/aa2f94_45095a97381e407ca1220b651129ef07~mv2.png</t>
  </si>
  <si>
    <t>https://static.wixstatic.com/media/aa2f94_cc156a45f9274fd88215e675cf6ea4d8~mv2.png/v1/fill/w_594,h_360,al_c,q_85,usm_0.66_1.00_0.01,enc_auto/aa2f94_cc156a45f9274fd88215e675cf6ea4d8~mv2.png</t>
  </si>
  <si>
    <t>https://static.wixstatic.com/media/aa2f94_5ec9d6afcf09498e9a2264bb5486f96d~mv2.png/v1/fill/w_594,h_360,al_c,q_85,usm_0.66_1.00_0.01,enc_auto/aa2f94_5ec9d6afcf09498e9a2264bb5486f96d~mv2.png</t>
  </si>
  <si>
    <t>https://static.wixstatic.com/media/aa2f94_92d3cab3f32f4973ae69e036f05eec50~mv2.png/v1/fill/w_594,h_360,al_c,q_85,usm_0.66_1.00_0.01,enc_auto/aa2f94_92d3cab3f32f4973ae69e036f05eec50~mv2.png</t>
  </si>
  <si>
    <t>https://static.wixstatic.com/media/aa2f94_1c34730e061d4bddac88e864f48fb35b~mv2.png/v1/fill/w_594,h_360,al_c,q_85,usm_0.66_1.00_0.01,enc_auto/aa2f94_1c34730e061d4bddac88e864f48fb35b~mv2.png</t>
  </si>
  <si>
    <t>https://static.wixstatic.com/media/aa2f94_4eca8b075c834ce691b8a0153bad755f~mv2.png/v1/fill/w_594,h_360,al_c,q_85,usm_0.66_1.00_0.01,enc_auto/aa2f94_4eca8b075c834ce691b8a0153bad755f~mv2.png</t>
  </si>
  <si>
    <t>https://static.wixstatic.com/media/aa2f94_16265c17b0e641139361c275586e3036~mv2.png/v1/fill/w_594,h_360,al_c,q_85,usm_0.66_1.00_0.01,enc_auto/aa2f94_16265c17b0e641139361c275586e3036~mv2.png</t>
  </si>
  <si>
    <t>https://static.wixstatic.com/media/aa2f94_ecd75db88bc04ae084f489cd410a13ee~mv2.png/v1/fill/w_594,h_360,al_c,q_85,usm_0.66_1.00_0.01,enc_auto/aa2f94_ecd75db88bc04ae084f489cd410a13ee~mv2.png</t>
  </si>
  <si>
    <t>https://static.wixstatic.com/media/aa2f94_b576f28b039744c8bf9346b8c88844a0~mv2.png/v1/fill/w_594,h_360,al_c,q_85,usm_0.66_1.00_0.01,enc_auto/aa2f94_b576f28b039744c8bf9346b8c88844a0~mv2.png</t>
  </si>
  <si>
    <t>https://static.wixstatic.com/media/aa2f94_90f2a07fe4a34e54ba8a8297d72ed055~mv2.png/v1/fill/w_594,h_360,al_c,q_85,usm_0.66_1.00_0.01,enc_auto/aa2f94_90f2a07fe4a34e54ba8a8297d72ed055~mv2.png</t>
  </si>
  <si>
    <t>https://static.wixstatic.com/media/aa2f94_b5ea2cee4b8d4e4e8a409b4269c9f458~mv2.png/v1/fill/w_594,h_360,al_c,q_85,usm_0.66_1.00_0.01,enc_auto/aa2f94_b5ea2cee4b8d4e4e8a409b4269c9f458~mv2.png</t>
  </si>
  <si>
    <t>SOLUTION MASKING KEY</t>
  </si>
  <si>
    <t>Original ID</t>
  </si>
  <si>
    <t>Random 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</si>
  <si>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</si>
  <si>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</si>
  <si>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</si>
  <si>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</si>
  <si>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</si>
  <si>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</si>
  <si>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</si>
  <si>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</si>
  <si>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</si>
  <si>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</si>
  <si>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</si>
  <si>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</si>
  <si>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</si>
  <si>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</si>
  <si>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</si>
  <si>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</si>
  <si>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</si>
  <si>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</si>
  <si>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</si>
  <si>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</si>
  <si>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</si>
  <si>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</si>
  <si>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</si>
  <si>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</si>
  <si>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</si>
  <si>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</si>
  <si>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</si>
  <si>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</si>
  <si>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</si>
  <si>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</si>
  <si>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</si>
  <si>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PARTICIPANT MASKING KEY</t>
  </si>
  <si>
    <t>P_001</t>
  </si>
  <si>
    <t>P_002</t>
  </si>
  <si>
    <t>P_003</t>
  </si>
  <si>
    <t>P_004</t>
  </si>
  <si>
    <t>P_005</t>
  </si>
  <si>
    <t>P_006</t>
  </si>
  <si>
    <t>P_007</t>
  </si>
  <si>
    <t>P_008</t>
  </si>
  <si>
    <t>P_009</t>
  </si>
  <si>
    <t>P_010</t>
  </si>
  <si>
    <t>P_011</t>
  </si>
  <si>
    <t>P_012</t>
  </si>
  <si>
    <t>P_013</t>
  </si>
  <si>
    <t>P_014</t>
  </si>
  <si>
    <t>P_015</t>
  </si>
  <si>
    <t>P_016</t>
  </si>
  <si>
    <t>P_017</t>
  </si>
  <si>
    <t>P_018</t>
  </si>
  <si>
    <t>P_019</t>
  </si>
  <si>
    <t>P_020</t>
  </si>
  <si>
    <t>P_021</t>
  </si>
  <si>
    <t>P_022</t>
  </si>
  <si>
    <t>P_023</t>
  </si>
  <si>
    <t>P_024</t>
  </si>
  <si>
    <t>P_025</t>
  </si>
  <si>
    <t>P_026</t>
  </si>
  <si>
    <t>P_027</t>
  </si>
  <si>
    <t>P_028</t>
  </si>
  <si>
    <t>P_029</t>
  </si>
  <si>
    <t>P_030</t>
  </si>
  <si>
    <t>P_031</t>
  </si>
  <si>
    <t>P_F2Y</t>
  </si>
  <si>
    <t>P_032</t>
  </si>
  <si>
    <t>P_V2N</t>
  </si>
  <si>
    <t>P_033</t>
  </si>
  <si>
    <t>P_K1T</t>
  </si>
  <si>
    <t>P_034</t>
  </si>
  <si>
    <t>P_C2T</t>
  </si>
  <si>
    <t>P_035</t>
  </si>
  <si>
    <t>P_B5Q</t>
  </si>
  <si>
    <t>P_036</t>
  </si>
  <si>
    <t>P_B1D</t>
  </si>
  <si>
    <t>P_037</t>
  </si>
  <si>
    <t>P_N7D</t>
  </si>
  <si>
    <t>P_038</t>
  </si>
  <si>
    <t>P_B0G</t>
  </si>
  <si>
    <t>P_039</t>
  </si>
  <si>
    <t>P_Y9Y</t>
  </si>
  <si>
    <t>P_040</t>
  </si>
  <si>
    <t>P_Q0L</t>
  </si>
  <si>
    <t xml:space="preserve">Original ID </t>
  </si>
  <si>
    <t>Random ID chosen</t>
  </si>
  <si>
    <t>Pre</t>
  </si>
  <si>
    <t>Pst</t>
  </si>
  <si>
    <t>https://raw.githubusercontent.com/epz0/bridgespace/main/img/P_028-Pst-07.png</t>
  </si>
  <si>
    <t>Pt</t>
  </si>
  <si>
    <t>PrPs</t>
  </si>
  <si>
    <t>Sol</t>
  </si>
  <si>
    <t>ScrSht</t>
  </si>
  <si>
    <t>Link</t>
  </si>
  <si>
    <t>https://raw.githubusercontent.com/epz0/bridgespace/main/img/P_007-Pre-01.png</t>
  </si>
  <si>
    <t>https://raw.githubusercontent.com/epz0/bridgespace/main/img/P_007-Pst-07.png</t>
  </si>
  <si>
    <t>https://raw.githubusercontent.com/epz0/bridgespace/main/img/P_007-Pst-14.png</t>
  </si>
  <si>
    <t>https://raw.githubusercontent.com/epz0/bridgespace/main/img/P_007-Pre-03.png</t>
  </si>
  <si>
    <t>https://raw.githubusercontent.com/epz0/bridgespace/main/img/P_007-Pre-02.png</t>
  </si>
  <si>
    <t>https://raw.githubusercontent.com/epz0/bridgespace/main/img/P_007-Pre-06.png</t>
  </si>
  <si>
    <t>https://raw.githubusercontent.com/epz0/bridgespace/main/img/P_007-Pre-05.png</t>
  </si>
  <si>
    <t>https://raw.githubusercontent.com/epz0/bridgespace/main/img/P_007-Pre-04.png</t>
  </si>
  <si>
    <t>https://raw.githubusercontent.com/epz0/bridgespace/main/img/P_007-Pst-10.png</t>
  </si>
  <si>
    <t>https://raw.githubusercontent.com/epz0/bridgespace/main/img/P_007-Pst-12.png</t>
  </si>
  <si>
    <t>https://raw.githubusercontent.com/epz0/bridgespace/main/img/P_007-Pst-11.png</t>
  </si>
  <si>
    <t>https://raw.githubusercontent.com/epz0/bridgespace/main/img/P_007-Pst-08.png</t>
  </si>
  <si>
    <t>https://raw.githubusercontent.com/epz0/bridgespace/main/img/P_007-Pst-13.png</t>
  </si>
  <si>
    <t>https://raw.githubusercontent.com/epz0/bridgespace/main/img/P_007-Pst-09.png</t>
  </si>
  <si>
    <t>https://raw.githubusercontent.com/epz0/bridgespace/main/img/P_007-Pst-15.png</t>
  </si>
  <si>
    <t>https://raw.githubusercontent.com/epz0/bridgespace/main/img/P_022-Pre-03.png</t>
  </si>
  <si>
    <t>https://raw.githubusercontent.com/epz0/bridgespace/main/img/P_022-Pre-02.png</t>
  </si>
  <si>
    <t>https://raw.githubusercontent.com/epz0/bridgespace/main/img/P_022-Pre-01.png</t>
  </si>
  <si>
    <t>https://raw.githubusercontent.com/epz0/bridgespace/main/img/P_022-Pre-05.png</t>
  </si>
  <si>
    <t>https://raw.githubusercontent.com/epz0/bridgespace/main/img/P_022-Pre-04.png</t>
  </si>
  <si>
    <t>https://raw.githubusercontent.com/epz0/bridgespace/main/img/P_022-Pst-10.png</t>
  </si>
  <si>
    <t>https://raw.githubusercontent.com/epz0/bridgespace/main/img/P_022-Pst-12.png</t>
  </si>
  <si>
    <t>https://raw.githubusercontent.com/epz0/bridgespace/main/img/P_022-Pst-11.png</t>
  </si>
  <si>
    <t>https://raw.githubusercontent.com/epz0/bridgespace/main/img/P_022-Pst-08.png</t>
  </si>
  <si>
    <t>https://raw.githubusercontent.com/epz0/bridgespace/main/img/P_022-Pst-06.png</t>
  </si>
  <si>
    <t>https://raw.githubusercontent.com/epz0/bridgespace/main/img/P_022-Pst-07.png</t>
  </si>
  <si>
    <t>https://raw.githubusercontent.com/epz0/bridgespace/main/img/P_022-Pst-13.png</t>
  </si>
  <si>
    <t>https://raw.githubusercontent.com/epz0/bridgespace/main/img/P_022-Pst-09.png</t>
  </si>
  <si>
    <t>https://raw.githubusercontent.com/epz0/bridgespace/main/img/P_022-Pst-14.png</t>
  </si>
  <si>
    <t>https://raw.githubusercontent.com/epz0/bridgespace/main/img/P_017-Pre-03.png</t>
  </si>
  <si>
    <t>https://raw.githubusercontent.com/epz0/bridgespace/main/img/P_017-Pre-02.png</t>
  </si>
  <si>
    <t>https://raw.githubusercontent.com/epz0/bridgespace/main/img/P_017-Pre-01.png</t>
  </si>
  <si>
    <t>https://raw.githubusercontent.com/epz0/bridgespace/main/img/P_017-Pre-04.png</t>
  </si>
  <si>
    <t>https://raw.githubusercontent.com/epz0/bridgespace/main/img/P_017-Pst-08.png</t>
  </si>
  <si>
    <t>https://raw.githubusercontent.com/epz0/bridgespace/main/img/P_017-Pst-06.png</t>
  </si>
  <si>
    <t>https://raw.githubusercontent.com/epz0/bridgespace/main/img/P_017-Pst-05.png</t>
  </si>
  <si>
    <t>https://raw.githubusercontent.com/epz0/bridgespace/main/img/P_017-Pst-07.png</t>
  </si>
  <si>
    <t>https://raw.githubusercontent.com/epz0/bridgespace/main/img/P_017-Pst-09.png</t>
  </si>
  <si>
    <t>https://raw.githubusercontent.com/epz0/bridgespace/main/img/P_010-Pre-03.png</t>
  </si>
  <si>
    <t>https://raw.githubusercontent.com/epz0/bridgespace/main/img/P_010-Pre-02.png</t>
  </si>
  <si>
    <t>https://raw.githubusercontent.com/epz0/bridgespace/main/img/P_010-Pre-01.png</t>
  </si>
  <si>
    <t>https://raw.githubusercontent.com/epz0/bridgespace/main/img/P_010-Pre-04.png</t>
  </si>
  <si>
    <t>https://raw.githubusercontent.com/epz0/bridgespace/main/img/P_010-Pst-06.png</t>
  </si>
  <si>
    <t>https://raw.githubusercontent.com/epz0/bridgespace/main/img/P_010-Pst-05.png</t>
  </si>
  <si>
    <t>https://raw.githubusercontent.com/epz0/bridgespace/main/img/P_030-Pre-03.png</t>
  </si>
  <si>
    <t>https://raw.githubusercontent.com/epz0/bridgespace/main/img/P_030-Pre-02.png</t>
  </si>
  <si>
    <t>https://raw.githubusercontent.com/epz0/bridgespace/main/img/P_030-Pre-01.png</t>
  </si>
  <si>
    <t>https://raw.githubusercontent.com/epz0/bridgespace/main/img/P_030-Pre-06.png</t>
  </si>
  <si>
    <t>https://raw.githubusercontent.com/epz0/bridgespace/main/img/P_030-Pre-05.png</t>
  </si>
  <si>
    <t>https://raw.githubusercontent.com/epz0/bridgespace/main/img/P_030-Pre-04.png</t>
  </si>
  <si>
    <t>https://raw.githubusercontent.com/epz0/bridgespace/main/img/P_030-Pre-07.png</t>
  </si>
  <si>
    <t>https://raw.githubusercontent.com/epz0/bridgespace/main/img/P_030-Pst-10.png</t>
  </si>
  <si>
    <t>https://raw.githubusercontent.com/epz0/bridgespace/main/img/P_030-Pst-12.png</t>
  </si>
  <si>
    <t>https://raw.githubusercontent.com/epz0/bridgespace/main/img/P_030-Pst-11.png</t>
  </si>
  <si>
    <t>https://raw.githubusercontent.com/epz0/bridgespace/main/img/P_030-Pst-08.png</t>
  </si>
  <si>
    <t>https://raw.githubusercontent.com/epz0/bridgespace/main/img/P_030-Pst-16.png</t>
  </si>
  <si>
    <t>https://raw.githubusercontent.com/epz0/bridgespace/main/img/P_030-Pst-13.png</t>
  </si>
  <si>
    <t>https://raw.githubusercontent.com/epz0/bridgespace/main/img/P_030-Pst-09.png</t>
  </si>
  <si>
    <t>https://raw.githubusercontent.com/epz0/bridgespace/main/img/P_030-Pst-17.png</t>
  </si>
  <si>
    <t>https://raw.githubusercontent.com/epz0/bridgespace/main/img/P_030-Pst-14.png</t>
  </si>
  <si>
    <t>https://raw.githubusercontent.com/epz0/bridgespace/main/img/P_030-Pst-15.png</t>
  </si>
  <si>
    <t>https://raw.githubusercontent.com/epz0/bridgespace/main/img/P_027-Pre-06.png</t>
  </si>
  <si>
    <t>https://raw.githubusercontent.com/epz0/bridgespace/main/img/P_027-Pst-19.png</t>
  </si>
  <si>
    <t>https://raw.githubusercontent.com/epz0/bridgespace/main/img/P_027-Pre-03.png</t>
  </si>
  <si>
    <t>https://raw.githubusercontent.com/epz0/bridgespace/main/img/P_027-Pre-10.png</t>
  </si>
  <si>
    <t>https://raw.githubusercontent.com/epz0/bridgespace/main/img/P_027-Pre-02.png</t>
  </si>
  <si>
    <t>https://raw.githubusercontent.com/epz0/bridgespace/main/img/P_027-Pre-01.png</t>
  </si>
  <si>
    <t>https://raw.githubusercontent.com/epz0/bridgespace/main/img/P_027-Pre-08.png</t>
  </si>
  <si>
    <t>https://raw.githubusercontent.com/epz0/bridgespace/main/img/P_027-Pre-05.png</t>
  </si>
  <si>
    <t>https://raw.githubusercontent.com/epz0/bridgespace/main/img/P_027-Pre-04.png</t>
  </si>
  <si>
    <t>https://raw.githubusercontent.com/epz0/bridgespace/main/img/P_027-Pre-07.png</t>
  </si>
  <si>
    <t>https://raw.githubusercontent.com/epz0/bridgespace/main/img/P_027-Pre-09.png</t>
  </si>
  <si>
    <t>https://raw.githubusercontent.com/epz0/bridgespace/main/img/P_027-Pst-12.png</t>
  </si>
  <si>
    <t>https://raw.githubusercontent.com/epz0/bridgespace/main/img/P_027-Pst-11.png</t>
  </si>
  <si>
    <t>https://raw.githubusercontent.com/epz0/bridgespace/main/img/P_027-Pst-18.png</t>
  </si>
  <si>
    <t>https://raw.githubusercontent.com/epz0/bridgespace/main/img/P_027-Pst-16.png</t>
  </si>
  <si>
    <t>https://raw.githubusercontent.com/epz0/bridgespace/main/img/P_027-Pst-20.png</t>
  </si>
  <si>
    <t>https://raw.githubusercontent.com/epz0/bridgespace/main/img/P_027-Pst-13.png</t>
  </si>
  <si>
    <t>https://raw.githubusercontent.com/epz0/bridgespace/main/img/P_027-Pst-17.png</t>
  </si>
  <si>
    <t>https://raw.githubusercontent.com/epz0/bridgespace/main/img/P_027-Pst-14.png</t>
  </si>
  <si>
    <t>https://raw.githubusercontent.com/epz0/bridgespace/main/img/P_027-Pst-15.png</t>
  </si>
  <si>
    <t>https://raw.githubusercontent.com/epz0/bridgespace/main/img/P_027-Pst-21.png</t>
  </si>
  <si>
    <t>https://raw.githubusercontent.com/epz0/bridgespace/main/img/P_003-Pre-03.png</t>
  </si>
  <si>
    <t>https://raw.githubusercontent.com/epz0/bridgespace/main/img/P_003-Pre-02.png</t>
  </si>
  <si>
    <t>https://raw.githubusercontent.com/epz0/bridgespace/main/img/P_003-Pre-01.png</t>
  </si>
  <si>
    <t>https://raw.githubusercontent.com/epz0/bridgespace/main/img/P_003-Pre-06.png</t>
  </si>
  <si>
    <t>https://raw.githubusercontent.com/epz0/bridgespace/main/img/P_003-Pre-05.png</t>
  </si>
  <si>
    <t>https://raw.githubusercontent.com/epz0/bridgespace/main/img/P_003-Pre-04.png</t>
  </si>
  <si>
    <t>https://raw.githubusercontent.com/epz0/bridgespace/main/img/P_003-Pre-07.png</t>
  </si>
  <si>
    <t>https://raw.githubusercontent.com/epz0/bridgespace/main/img/P_003-Pst-10.png</t>
  </si>
  <si>
    <t>https://raw.githubusercontent.com/epz0/bridgespace/main/img/P_003-Pst-12.png</t>
  </si>
  <si>
    <t>https://raw.githubusercontent.com/epz0/bridgespace/main/img/P_003-Pst-11.png</t>
  </si>
  <si>
    <t>https://raw.githubusercontent.com/epz0/bridgespace/main/img/P_003-Pst-08.png</t>
  </si>
  <si>
    <t>https://raw.githubusercontent.com/epz0/bridgespace/main/img/P_003-Pst-16.png</t>
  </si>
  <si>
    <t>https://raw.githubusercontent.com/epz0/bridgespace/main/img/P_003-Pst-13.png</t>
  </si>
  <si>
    <t>https://raw.githubusercontent.com/epz0/bridgespace/main/img/P_003-Pst-09.png</t>
  </si>
  <si>
    <t>https://raw.githubusercontent.com/epz0/bridgespace/main/img/P_003-Pst-14.png</t>
  </si>
  <si>
    <t>https://raw.githubusercontent.com/epz0/bridgespace/main/img/P_003-Pst-15.png</t>
  </si>
  <si>
    <t>https://raw.githubusercontent.com/epz0/bridgespace/main/img/P_026-Pst-10.png</t>
  </si>
  <si>
    <t>https://raw.githubusercontent.com/epz0/bridgespace/main/img/P_026-Pst-12.png</t>
  </si>
  <si>
    <t>https://raw.githubusercontent.com/epz0/bridgespace/main/img/P_026-Pre-03.png</t>
  </si>
  <si>
    <t>https://raw.githubusercontent.com/epz0/bridgespace/main/img/P_026-Pre-02.png</t>
  </si>
  <si>
    <t>https://raw.githubusercontent.com/epz0/bridgespace/main/img/P_026-Pre-01.png</t>
  </si>
  <si>
    <t>https://raw.githubusercontent.com/epz0/bridgespace/main/img/P_026-Pre-08.png</t>
  </si>
  <si>
    <t>https://raw.githubusercontent.com/epz0/bridgespace/main/img/P_026-Pre-06.png</t>
  </si>
  <si>
    <t>https://raw.githubusercontent.com/epz0/bridgespace/main/img/P_026-Pre-05.png</t>
  </si>
  <si>
    <t>https://raw.githubusercontent.com/epz0/bridgespace/main/img/P_026-Pre-04.png</t>
  </si>
  <si>
    <t>https://raw.githubusercontent.com/epz0/bridgespace/main/img/P_026-Pre-07.png</t>
  </si>
  <si>
    <t>https://raw.githubusercontent.com/epz0/bridgespace/main/img/P_026-Pre-09.png</t>
  </si>
  <si>
    <t>https://raw.githubusercontent.com/epz0/bridgespace/main/img/P_026-Pst-11.png</t>
  </si>
  <si>
    <t>https://raw.githubusercontent.com/epz0/bridgespace/main/img/P_026-Pst-23.png</t>
  </si>
  <si>
    <t>https://raw.githubusercontent.com/epz0/bridgespace/main/img/P_026-Pst-18.png</t>
  </si>
  <si>
    <t>https://raw.githubusercontent.com/epz0/bridgespace/main/img/P_026-Pst-16.png</t>
  </si>
  <si>
    <t>https://raw.githubusercontent.com/epz0/bridgespace/main/img/P_026-Pst-20.png</t>
  </si>
  <si>
    <t>https://raw.githubusercontent.com/epz0/bridgespace/main/img/P_026-Pst-22.png</t>
  </si>
  <si>
    <t>https://raw.githubusercontent.com/epz0/bridgespace/main/img/P_026-Pst-19.png</t>
  </si>
  <si>
    <t>https://raw.githubusercontent.com/epz0/bridgespace/main/img/P_026-Pst-13.png</t>
  </si>
  <si>
    <t>https://raw.githubusercontent.com/epz0/bridgespace/main/img/P_026-Pst-17.png</t>
  </si>
  <si>
    <t>https://raw.githubusercontent.com/epz0/bridgespace/main/img/P_026-Pst-14.png</t>
  </si>
  <si>
    <t>https://raw.githubusercontent.com/epz0/bridgespace/main/img/P_026-Pst-15.png</t>
  </si>
  <si>
    <t>https://raw.githubusercontent.com/epz0/bridgespace/main/img/P_026-Pst-21.png</t>
  </si>
  <si>
    <t>https://raw.githubusercontent.com/epz0/bridgespace/main/img/P_001-Pre-14.png</t>
  </si>
  <si>
    <t>https://raw.githubusercontent.com/epz0/bridgespace/main/img/P_001-Pre-03.png</t>
  </si>
  <si>
    <t>https://raw.githubusercontent.com/epz0/bridgespace/main/img/P_001-Pre-10.png</t>
  </si>
  <si>
    <t>https://raw.githubusercontent.com/epz0/bridgespace/main/img/P_001-Pre-02.png</t>
  </si>
  <si>
    <t>https://raw.githubusercontent.com/epz0/bridgespace/main/img/P_001-Pre-12.png</t>
  </si>
  <si>
    <t>https://raw.githubusercontent.com/epz0/bridgespace/main/img/P_001-Pre-01.png</t>
  </si>
  <si>
    <t>https://raw.githubusercontent.com/epz0/bridgespace/main/img/P_001-Pre-11.png</t>
  </si>
  <si>
    <t>https://raw.githubusercontent.com/epz0/bridgespace/main/img/P_001-Pre-08.png</t>
  </si>
  <si>
    <t>https://raw.githubusercontent.com/epz0/bridgespace/main/img/P_001-Pre-06.png</t>
  </si>
  <si>
    <t>https://raw.githubusercontent.com/epz0/bridgespace/main/img/P_001-Pre-05.png</t>
  </si>
  <si>
    <t>https://raw.githubusercontent.com/epz0/bridgespace/main/img/P_001-Pre-04.png</t>
  </si>
  <si>
    <t>https://raw.githubusercontent.com/epz0/bridgespace/main/img/P_001-Pre-07.png</t>
  </si>
  <si>
    <t>https://raw.githubusercontent.com/epz0/bridgespace/main/img/P_001-Pre-13.png</t>
  </si>
  <si>
    <t>https://raw.githubusercontent.com/epz0/bridgespace/main/img/P_001-Pre-09.png</t>
  </si>
  <si>
    <t>https://raw.githubusercontent.com/epz0/bridgespace/main/img/P_001-Pst-25.png</t>
  </si>
  <si>
    <t>https://raw.githubusercontent.com/epz0/bridgespace/main/img/P_001-Pst-23.png</t>
  </si>
  <si>
    <t>https://raw.githubusercontent.com/epz0/bridgespace/main/img/P_001-Pst-18.png</t>
  </si>
  <si>
    <t>https://raw.githubusercontent.com/epz0/bridgespace/main/img/P_001-Pst-16.png</t>
  </si>
  <si>
    <t>https://raw.githubusercontent.com/epz0/bridgespace/main/img/P_001-Pst-27.png</t>
  </si>
  <si>
    <t>https://raw.githubusercontent.com/epz0/bridgespace/main/img/P_001-Pst-26.png</t>
  </si>
  <si>
    <t>https://raw.githubusercontent.com/epz0/bridgespace/main/img/P_001-Pst-24.png</t>
  </si>
  <si>
    <t>https://raw.githubusercontent.com/epz0/bridgespace/main/img/P_001-Pst-20.png</t>
  </si>
  <si>
    <t>https://raw.githubusercontent.com/epz0/bridgespace/main/img/P_001-Pst-28.png</t>
  </si>
  <si>
    <t>https://raw.githubusercontent.com/epz0/bridgespace/main/img/P_001-Pst-22.png</t>
  </si>
  <si>
    <t>https://raw.githubusercontent.com/epz0/bridgespace/main/img/P_001-Pst-19.png</t>
  </si>
  <si>
    <t>https://raw.githubusercontent.com/epz0/bridgespace/main/img/P_001-Pst-17.png</t>
  </si>
  <si>
    <t>https://raw.githubusercontent.com/epz0/bridgespace/main/img/P_001-Pst-15.png</t>
  </si>
  <si>
    <t>https://raw.githubusercontent.com/epz0/bridgespace/main/img/P_001-Pst-21.png</t>
  </si>
  <si>
    <t>https://raw.githubusercontent.com/epz0/bridgespace/main/img/P_004-Pre-03.png</t>
  </si>
  <si>
    <t>https://raw.githubusercontent.com/epz0/bridgespace/main/img/P_004-Pre-02.png</t>
  </si>
  <si>
    <t>https://raw.githubusercontent.com/epz0/bridgespace/main/img/P_004-Pre-01.png</t>
  </si>
  <si>
    <t>https://raw.githubusercontent.com/epz0/bridgespace/main/img/P_004-Pre-05.png</t>
  </si>
  <si>
    <t>https://raw.githubusercontent.com/epz0/bridgespace/main/img/P_004-Pre-04.png</t>
  </si>
  <si>
    <t>https://raw.githubusercontent.com/epz0/bridgespace/main/img/P_004-Pst-10.png</t>
  </si>
  <si>
    <t>https://raw.githubusercontent.com/epz0/bridgespace/main/img/P_004-Pst-12.png</t>
  </si>
  <si>
    <t>https://raw.githubusercontent.com/epz0/bridgespace/main/img/P_004-Pst-11.png</t>
  </si>
  <si>
    <t>https://raw.githubusercontent.com/epz0/bridgespace/main/img/P_004-Pst-08.png</t>
  </si>
  <si>
    <t>https://raw.githubusercontent.com/epz0/bridgespace/main/img/P_004-Pst-06.png</t>
  </si>
  <si>
    <t>https://raw.githubusercontent.com/epz0/bridgespace/main/img/P_004-Pst-07.png</t>
  </si>
  <si>
    <t>https://raw.githubusercontent.com/epz0/bridgespace/main/img/P_004-Pst-13.png</t>
  </si>
  <si>
    <t>https://raw.githubusercontent.com/epz0/bridgespace/main/img/P_004-Pst-09.png</t>
  </si>
  <si>
    <t>https://raw.githubusercontent.com/epz0/bridgespace/main/img/P_004-Pst-14.png</t>
  </si>
  <si>
    <t>https://raw.githubusercontent.com/epz0/bridgespace/main/img/P_004-Pst-15.png</t>
  </si>
  <si>
    <t>https://raw.githubusercontent.com/epz0/bridgespace/main/img/P_014-Pre-03.png</t>
  </si>
  <si>
    <t>https://raw.githubusercontent.com/epz0/bridgespace/main/img/P_014-Pre-10.png</t>
  </si>
  <si>
    <t>https://raw.githubusercontent.com/epz0/bridgespace/main/img/P_014-Pre-02.png</t>
  </si>
  <si>
    <t>https://raw.githubusercontent.com/epz0/bridgespace/main/img/P_014-Pre-01.png</t>
  </si>
  <si>
    <t>https://raw.githubusercontent.com/epz0/bridgespace/main/img/P_014-Pre-11.png</t>
  </si>
  <si>
    <t>https://raw.githubusercontent.com/epz0/bridgespace/main/img/P_014-Pre-08.png</t>
  </si>
  <si>
    <t>https://raw.githubusercontent.com/epz0/bridgespace/main/img/P_014-Pre-06.png</t>
  </si>
  <si>
    <t>https://raw.githubusercontent.com/epz0/bridgespace/main/img/P_014-Pre-05.png</t>
  </si>
  <si>
    <t>https://raw.githubusercontent.com/epz0/bridgespace/main/img/P_014-Pre-04.png</t>
  </si>
  <si>
    <t>https://raw.githubusercontent.com/epz0/bridgespace/main/img/P_014-Pre-07.png</t>
  </si>
  <si>
    <t>https://raw.githubusercontent.com/epz0/bridgespace/main/img/P_014-Pre-09.png</t>
  </si>
  <si>
    <t>https://raw.githubusercontent.com/epz0/bridgespace/main/img/P_014-Pst-12.png</t>
  </si>
  <si>
    <t>https://raw.githubusercontent.com/epz0/bridgespace/main/img/P_014-Pst-18.png</t>
  </si>
  <si>
    <t>https://raw.githubusercontent.com/epz0/bridgespace/main/img/P_014-Pst-16.png</t>
  </si>
  <si>
    <t>https://raw.githubusercontent.com/epz0/bridgespace/main/img/P_014-Pst-20.png</t>
  </si>
  <si>
    <t>https://raw.githubusercontent.com/epz0/bridgespace/main/img/P_014-Pst-22.png</t>
  </si>
  <si>
    <t>https://raw.githubusercontent.com/epz0/bridgespace/main/img/P_014-Pst-19.png</t>
  </si>
  <si>
    <t>https://raw.githubusercontent.com/epz0/bridgespace/main/img/P_014-Pst-13.png</t>
  </si>
  <si>
    <t>https://raw.githubusercontent.com/epz0/bridgespace/main/img/P_014-Pst-17.png</t>
  </si>
  <si>
    <t>https://raw.githubusercontent.com/epz0/bridgespace/main/img/P_014-Pst-14.png</t>
  </si>
  <si>
    <t>https://raw.githubusercontent.com/epz0/bridgespace/main/img/P_014-Pst-15.png</t>
  </si>
  <si>
    <t>https://raw.githubusercontent.com/epz0/bridgespace/main/img/P_014-Pst-21.png</t>
  </si>
  <si>
    <t>https://raw.githubusercontent.com/epz0/bridgespace/main/img/P_016-Pre-03.png</t>
  </si>
  <si>
    <t>https://raw.githubusercontent.com/epz0/bridgespace/main/img/P_016-Pre-10.png</t>
  </si>
  <si>
    <t>https://raw.githubusercontent.com/epz0/bridgespace/main/img/P_016-Pre-02.png</t>
  </si>
  <si>
    <t>https://raw.githubusercontent.com/epz0/bridgespace/main/img/P_016-Pre-12.png</t>
  </si>
  <si>
    <t>https://raw.githubusercontent.com/epz0/bridgespace/main/img/P_016-Pre-01.png</t>
  </si>
  <si>
    <t>https://raw.githubusercontent.com/epz0/bridgespace/main/img/P_016-Pre-11.png</t>
  </si>
  <si>
    <t>https://raw.githubusercontent.com/epz0/bridgespace/main/img/P_016-Pre-08.png</t>
  </si>
  <si>
    <t>https://raw.githubusercontent.com/epz0/bridgespace/main/img/P_016-Pre-06.png</t>
  </si>
  <si>
    <t>https://raw.githubusercontent.com/epz0/bridgespace/main/img/P_016-Pre-05.png</t>
  </si>
  <si>
    <t>https://raw.githubusercontent.com/epz0/bridgespace/main/img/P_016-Pre-04.png</t>
  </si>
  <si>
    <t>https://raw.githubusercontent.com/epz0/bridgespace/main/img/P_016-Pre-07.png</t>
  </si>
  <si>
    <t>https://raw.githubusercontent.com/epz0/bridgespace/main/img/P_016-Pre-09.png</t>
  </si>
  <si>
    <t>https://raw.githubusercontent.com/epz0/bridgespace/main/img/P_016-Pst-25.png</t>
  </si>
  <si>
    <t>https://raw.githubusercontent.com/epz0/bridgespace/main/img/P_016-Pst-23.png</t>
  </si>
  <si>
    <t>https://raw.githubusercontent.com/epz0/bridgespace/main/img/P_016-Pst-18.png</t>
  </si>
  <si>
    <t>https://raw.githubusercontent.com/epz0/bridgespace/main/img/P_016-Pst-16.png</t>
  </si>
  <si>
    <t>https://raw.githubusercontent.com/epz0/bridgespace/main/img/P_016-Pst-26.png</t>
  </si>
  <si>
    <t>https://raw.githubusercontent.com/epz0/bridgespace/main/img/P_016-Pst-24.png</t>
  </si>
  <si>
    <t>https://raw.githubusercontent.com/epz0/bridgespace/main/img/P_016-Pst-20.png</t>
  </si>
  <si>
    <t>https://raw.githubusercontent.com/epz0/bridgespace/main/img/P_016-Pst-22.png</t>
  </si>
  <si>
    <t>https://raw.githubusercontent.com/epz0/bridgespace/main/img/P_016-Pst-19.png</t>
  </si>
  <si>
    <t>https://raw.githubusercontent.com/epz0/bridgespace/main/img/P_016-Pst-13.png</t>
  </si>
  <si>
    <t>https://raw.githubusercontent.com/epz0/bridgespace/main/img/P_016-Pst-17.png</t>
  </si>
  <si>
    <t>https://raw.githubusercontent.com/epz0/bridgespace/main/img/P_016-Pst-14.png</t>
  </si>
  <si>
    <t>https://raw.githubusercontent.com/epz0/bridgespace/main/img/P_016-Pst-15.png</t>
  </si>
  <si>
    <t>https://raw.githubusercontent.com/epz0/bridgespace/main/img/P_016-Pst-21.png</t>
  </si>
  <si>
    <t>https://raw.githubusercontent.com/epz0/bridgespace/main/img/P_006-Pre-03.png</t>
  </si>
  <si>
    <t>https://raw.githubusercontent.com/epz0/bridgespace/main/img/P_006-Pre-02.png</t>
  </si>
  <si>
    <t>https://raw.githubusercontent.com/epz0/bridgespace/main/img/P_006-Pre-01.png</t>
  </si>
  <si>
    <t>https://raw.githubusercontent.com/epz0/bridgespace/main/img/P_006-Pre-06.png</t>
  </si>
  <si>
    <t>https://raw.githubusercontent.com/epz0/bridgespace/main/img/P_006-Pre-05.png</t>
  </si>
  <si>
    <t>https://raw.githubusercontent.com/epz0/bridgespace/main/img/P_006-Pre-04.png</t>
  </si>
  <si>
    <t>https://raw.githubusercontent.com/epz0/bridgespace/main/img/P_006-Pre-07.png</t>
  </si>
  <si>
    <t>https://raw.githubusercontent.com/epz0/bridgespace/main/img/P_006-Pst-10.png</t>
  </si>
  <si>
    <t>https://raw.githubusercontent.com/epz0/bridgespace/main/img/P_006-Pst-12.png</t>
  </si>
  <si>
    <t>https://raw.githubusercontent.com/epz0/bridgespace/main/img/P_006-Pst-11.png</t>
  </si>
  <si>
    <t>https://raw.githubusercontent.com/epz0/bridgespace/main/img/P_006-Pst-08.png</t>
  </si>
  <si>
    <t>https://raw.githubusercontent.com/epz0/bridgespace/main/img/P_006-Pst-13.png</t>
  </si>
  <si>
    <t>https://raw.githubusercontent.com/epz0/bridgespace/main/img/P_006-Pst-09.png</t>
  </si>
  <si>
    <t>https://raw.githubusercontent.com/epz0/bridgespace/main/img/P_006-Pst-14.png</t>
  </si>
  <si>
    <t>https://raw.githubusercontent.com/epz0/bridgespace/main/img/P_006-Pst-15.png</t>
  </si>
  <si>
    <t>https://raw.githubusercontent.com/epz0/bridgespace/main/img/P_019-Pre-03.png</t>
  </si>
  <si>
    <t>https://raw.githubusercontent.com/epz0/bridgespace/main/img/P_019-Pre-10.png</t>
  </si>
  <si>
    <t>https://raw.githubusercontent.com/epz0/bridgespace/main/img/P_019-Pre-02.png</t>
  </si>
  <si>
    <t>https://raw.githubusercontent.com/epz0/bridgespace/main/img/P_019-Pre-12.png</t>
  </si>
  <si>
    <t>https://raw.githubusercontent.com/epz0/bridgespace/main/img/P_019-Pre-01.png</t>
  </si>
  <si>
    <t>https://raw.githubusercontent.com/epz0/bridgespace/main/img/P_019-Pre-11.png</t>
  </si>
  <si>
    <t>https://raw.githubusercontent.com/epz0/bridgespace/main/img/P_019-Pre-08.png</t>
  </si>
  <si>
    <t>https://raw.githubusercontent.com/epz0/bridgespace/main/img/P_019-Pre-16.png</t>
  </si>
  <si>
    <t>https://raw.githubusercontent.com/epz0/bridgespace/main/img/P_019-Pre-06.png</t>
  </si>
  <si>
    <t>https://raw.githubusercontent.com/epz0/bridgespace/main/img/P_019-Pre-05.png</t>
  </si>
  <si>
    <t>https://raw.githubusercontent.com/epz0/bridgespace/main/img/P_019-Pre-04.png</t>
  </si>
  <si>
    <t>https://raw.githubusercontent.com/epz0/bridgespace/main/img/P_019-Pre-07.png</t>
  </si>
  <si>
    <t>https://raw.githubusercontent.com/epz0/bridgespace/main/img/P_019-Pre-13.png</t>
  </si>
  <si>
    <t>https://raw.githubusercontent.com/epz0/bridgespace/main/img/P_019-Pre-09.png</t>
  </si>
  <si>
    <t>https://raw.githubusercontent.com/epz0/bridgespace/main/img/P_019-Pre-17.png</t>
  </si>
  <si>
    <t>https://raw.githubusercontent.com/epz0/bridgespace/main/img/P_019-Pre-14.png</t>
  </si>
  <si>
    <t>https://raw.githubusercontent.com/epz0/bridgespace/main/img/P_019-Pre-15.png</t>
  </si>
  <si>
    <t>https://raw.githubusercontent.com/epz0/bridgespace/main/img/P_019-Pst-30.png</t>
  </si>
  <si>
    <t>https://raw.githubusercontent.com/epz0/bridgespace/main/img/P_019-Pst-25.png</t>
  </si>
  <si>
    <t>https://raw.githubusercontent.com/epz0/bridgespace/main/img/P_019-Pst-23.png</t>
  </si>
  <si>
    <t>https://raw.githubusercontent.com/epz0/bridgespace/main/img/P_019-Pst-18.png</t>
  </si>
  <si>
    <t>https://raw.githubusercontent.com/epz0/bridgespace/main/img/P_019-Pst-27.png</t>
  </si>
  <si>
    <t>https://raw.githubusercontent.com/epz0/bridgespace/main/img/P_019-Pst-26.png</t>
  </si>
  <si>
    <t>https://raw.githubusercontent.com/epz0/bridgespace/main/img/P_019-Pst-29.png</t>
  </si>
  <si>
    <t>https://raw.githubusercontent.com/epz0/bridgespace/main/img/P_019-Pst-24.png</t>
  </si>
  <si>
    <t>https://raw.githubusercontent.com/epz0/bridgespace/main/img/P_019-Pst-31.png</t>
  </si>
  <si>
    <t>https://raw.githubusercontent.com/epz0/bridgespace/main/img/P_019-Pst-20.png</t>
  </si>
  <si>
    <t>https://raw.githubusercontent.com/epz0/bridgespace/main/img/P_019-Pst-28.png</t>
  </si>
  <si>
    <t>https://raw.githubusercontent.com/epz0/bridgespace/main/img/P_019-Pst-22.png</t>
  </si>
  <si>
    <t>https://raw.githubusercontent.com/epz0/bridgespace/main/img/P_019-Pst-19.png</t>
  </si>
  <si>
    <t>https://raw.githubusercontent.com/epz0/bridgespace/main/img/P_019-Pst-21.png</t>
  </si>
  <si>
    <t>https://raw.githubusercontent.com/epz0/bridgespace/main/img/P_015-Pre-03.png</t>
  </si>
  <si>
    <t>https://raw.githubusercontent.com/epz0/bridgespace/main/img/P_015-Pre-02.png</t>
  </si>
  <si>
    <t>https://raw.githubusercontent.com/epz0/bridgespace/main/img/P_015-Pre-01.png</t>
  </si>
  <si>
    <t>https://raw.githubusercontent.com/epz0/bridgespace/main/img/P_015-Pre-04.png</t>
  </si>
  <si>
    <t>https://raw.githubusercontent.com/epz0/bridgespace/main/img/P_015-Pst-06.png</t>
  </si>
  <si>
    <t>https://raw.githubusercontent.com/epz0/bridgespace/main/img/P_015-Pst-05.png</t>
  </si>
  <si>
    <t>https://raw.githubusercontent.com/epz0/bridgespace/main/img/P_018-Pre-03.png</t>
  </si>
  <si>
    <t>https://raw.githubusercontent.com/epz0/bridgespace/main/img/P_018-Pre-02.png</t>
  </si>
  <si>
    <t>https://raw.githubusercontent.com/epz0/bridgespace/main/img/P_018-Pre-01.png</t>
  </si>
  <si>
    <t>https://raw.githubusercontent.com/epz0/bridgespace/main/img/P_018-Pst-04.png</t>
  </si>
  <si>
    <t>https://raw.githubusercontent.com/epz0/bridgespace/main/img/P_020-Pre-03.png</t>
  </si>
  <si>
    <t>https://raw.githubusercontent.com/epz0/bridgespace/main/img/P_020-Pre-02.png</t>
  </si>
  <si>
    <t>https://raw.githubusercontent.com/epz0/bridgespace/main/img/P_020-Pre-01.png</t>
  </si>
  <si>
    <t>https://raw.githubusercontent.com/epz0/bridgespace/main/img/P_020-Pre-06.png</t>
  </si>
  <si>
    <t>https://raw.githubusercontent.com/epz0/bridgespace/main/img/P_020-Pre-05.png</t>
  </si>
  <si>
    <t>https://raw.githubusercontent.com/epz0/bridgespace/main/img/P_020-Pre-04.png</t>
  </si>
  <si>
    <t>https://raw.githubusercontent.com/epz0/bridgespace/main/img/P_020-Pst-10.png</t>
  </si>
  <si>
    <t>https://raw.githubusercontent.com/epz0/bridgespace/main/img/P_020-Pst-12.png</t>
  </si>
  <si>
    <t>https://raw.githubusercontent.com/epz0/bridgespace/main/img/P_020-Pst-11.png</t>
  </si>
  <si>
    <t>https://raw.githubusercontent.com/epz0/bridgespace/main/img/P_020-Pst-08.png</t>
  </si>
  <si>
    <t>https://raw.githubusercontent.com/epz0/bridgespace/main/img/P_020-Pst-07.png</t>
  </si>
  <si>
    <t>https://raw.githubusercontent.com/epz0/bridgespace/main/img/P_020-Pst-13.png</t>
  </si>
  <si>
    <t>https://raw.githubusercontent.com/epz0/bridgespace/main/img/P_020-Pst-09.png</t>
  </si>
  <si>
    <t>https://raw.githubusercontent.com/epz0/bridgespace/main/img/P_020-Pst-14.png</t>
  </si>
  <si>
    <t>https://raw.githubusercontent.com/epz0/bridgespace/main/img/P_012-Pre-03.png</t>
  </si>
  <si>
    <t>https://raw.githubusercontent.com/epz0/bridgespace/main/img/P_012-Pre-02.png</t>
  </si>
  <si>
    <t>https://raw.githubusercontent.com/epz0/bridgespace/main/img/P_012-Pre-01.png</t>
  </si>
  <si>
    <t>https://raw.githubusercontent.com/epz0/bridgespace/main/img/P_012-Pst-06.png</t>
  </si>
  <si>
    <t>https://raw.githubusercontent.com/epz0/bridgespace/main/img/P_012-Pst-05.png</t>
  </si>
  <si>
    <t>https://raw.githubusercontent.com/epz0/bridgespace/main/img/P_012-Pst-04.png</t>
  </si>
  <si>
    <t>https://raw.githubusercontent.com/epz0/bridgespace/main/img/P_011-Pre-03.png</t>
  </si>
  <si>
    <t>https://raw.githubusercontent.com/epz0/bridgespace/main/img/P_011-Pre-02.png</t>
  </si>
  <si>
    <t>https://raw.githubusercontent.com/epz0/bridgespace/main/img/P_011-Pre-01.png</t>
  </si>
  <si>
    <t>https://raw.githubusercontent.com/epz0/bridgespace/main/img/P_011-Pre-06.png</t>
  </si>
  <si>
    <t>https://raw.githubusercontent.com/epz0/bridgespace/main/img/P_011-Pre-05.png</t>
  </si>
  <si>
    <t>https://raw.githubusercontent.com/epz0/bridgespace/main/img/P_011-Pre-04.png</t>
  </si>
  <si>
    <t>https://raw.githubusercontent.com/epz0/bridgespace/main/img/P_011-Pst-10.png</t>
  </si>
  <si>
    <t>https://raw.githubusercontent.com/epz0/bridgespace/main/img/P_011-Pst-12.png</t>
  </si>
  <si>
    <t>https://raw.githubusercontent.com/epz0/bridgespace/main/img/P_011-Pst-11.png</t>
  </si>
  <si>
    <t>https://raw.githubusercontent.com/epz0/bridgespace/main/img/P_011-Pst-18.png</t>
  </si>
  <si>
    <t>https://raw.githubusercontent.com/epz0/bridgespace/main/img/P_011-Pst-08.png</t>
  </si>
  <si>
    <t>https://raw.githubusercontent.com/epz0/bridgespace/main/img/P_011-Pst-16.png</t>
  </si>
  <si>
    <t>https://raw.githubusercontent.com/epz0/bridgespace/main/img/P_011-Pst-07.png</t>
  </si>
  <si>
    <t>https://raw.githubusercontent.com/epz0/bridgespace/main/img/P_011-Pst-19.png</t>
  </si>
  <si>
    <t>https://raw.githubusercontent.com/epz0/bridgespace/main/img/P_011-Pst-13.png</t>
  </si>
  <si>
    <t>https://raw.githubusercontent.com/epz0/bridgespace/main/img/P_011-Pst-09.png</t>
  </si>
  <si>
    <t>https://raw.githubusercontent.com/epz0/bridgespace/main/img/P_011-Pst-17.png</t>
  </si>
  <si>
    <t>https://raw.githubusercontent.com/epz0/bridgespace/main/img/P_011-Pst-14.png</t>
  </si>
  <si>
    <t>https://raw.githubusercontent.com/epz0/bridgespace/main/img/P_011-Pst-15.png</t>
  </si>
  <si>
    <t>https://raw.githubusercontent.com/epz0/bridgespace/main/img/P_009-Pre-03.png</t>
  </si>
  <si>
    <t>https://raw.githubusercontent.com/epz0/bridgespace/main/img/P_009-Pre-02.png</t>
  </si>
  <si>
    <t>https://raw.githubusercontent.com/epz0/bridgespace/main/img/P_009-Pre-01.png</t>
  </si>
  <si>
    <t>https://raw.githubusercontent.com/epz0/bridgespace/main/img/P_009-Pre-04.png</t>
  </si>
  <si>
    <t>https://raw.githubusercontent.com/epz0/bridgespace/main/img/P_009-Pst-10.png</t>
  </si>
  <si>
    <t>https://raw.githubusercontent.com/epz0/bridgespace/main/img/P_009-Pst-08.png</t>
  </si>
  <si>
    <t>https://raw.githubusercontent.com/epz0/bridgespace/main/img/P_009-Pst-06.png</t>
  </si>
  <si>
    <t>https://raw.githubusercontent.com/epz0/bridgespace/main/img/P_009-Pst-05.png</t>
  </si>
  <si>
    <t>https://raw.githubusercontent.com/epz0/bridgespace/main/img/P_009-Pst-07.png</t>
  </si>
  <si>
    <t>https://raw.githubusercontent.com/epz0/bridgespace/main/img/P_009-Pst-09.png</t>
  </si>
  <si>
    <t>https://raw.githubusercontent.com/epz0/bridgespace/main/img/P_023-Pre-03.png</t>
  </si>
  <si>
    <t>https://raw.githubusercontent.com/epz0/bridgespace/main/img/P_023-Pre-10.png</t>
  </si>
  <si>
    <t>https://raw.githubusercontent.com/epz0/bridgespace/main/img/P_023-Pre-02.png</t>
  </si>
  <si>
    <t>https://raw.githubusercontent.com/epz0/bridgespace/main/img/P_023-Pre-01.png</t>
  </si>
  <si>
    <t>https://raw.githubusercontent.com/epz0/bridgespace/main/img/P_023-Pre-08.png</t>
  </si>
  <si>
    <t>https://raw.githubusercontent.com/epz0/bridgespace/main/img/P_023-Pre-06.png</t>
  </si>
  <si>
    <t>https://raw.githubusercontent.com/epz0/bridgespace/main/img/P_023-Pre-05.png</t>
  </si>
  <si>
    <t>https://raw.githubusercontent.com/epz0/bridgespace/main/img/P_023-Pre-04.png</t>
  </si>
  <si>
    <t>https://raw.githubusercontent.com/epz0/bridgespace/main/img/P_023-Pre-07.png</t>
  </si>
  <si>
    <t>https://raw.githubusercontent.com/epz0/bridgespace/main/img/P_023-Pre-09.png</t>
  </si>
  <si>
    <t>https://raw.githubusercontent.com/epz0/bridgespace/main/img/P_023-Pst-12.png</t>
  </si>
  <si>
    <t>https://raw.githubusercontent.com/epz0/bridgespace/main/img/P_023-Pst-11.png</t>
  </si>
  <si>
    <t>https://raw.githubusercontent.com/epz0/bridgespace/main/img/P_023-Pst-18.png</t>
  </si>
  <si>
    <t>https://raw.githubusercontent.com/epz0/bridgespace/main/img/P_023-Pst-16.png</t>
  </si>
  <si>
    <t>https://raw.githubusercontent.com/epz0/bridgespace/main/img/P_023-Pst-20.png</t>
  </si>
  <si>
    <t>https://raw.githubusercontent.com/epz0/bridgespace/main/img/P_023-Pst-22.png</t>
  </si>
  <si>
    <t>https://raw.githubusercontent.com/epz0/bridgespace/main/img/P_023-Pst-19.png</t>
  </si>
  <si>
    <t>https://raw.githubusercontent.com/epz0/bridgespace/main/img/P_023-Pst-13.png</t>
  </si>
  <si>
    <t>https://raw.githubusercontent.com/epz0/bridgespace/main/img/P_023-Pst-17.png</t>
  </si>
  <si>
    <t>https://raw.githubusercontent.com/epz0/bridgespace/main/img/P_023-Pst-14.png</t>
  </si>
  <si>
    <t>https://raw.githubusercontent.com/epz0/bridgespace/main/img/P_023-Pst-15.png</t>
  </si>
  <si>
    <t>https://raw.githubusercontent.com/epz0/bridgespace/main/img/P_023-Pst-21.png</t>
  </si>
  <si>
    <t>https://raw.githubusercontent.com/epz0/bridgespace/main/img/P_005-Pre-03.png</t>
  </si>
  <si>
    <t>https://raw.githubusercontent.com/epz0/bridgespace/main/img/P_005-Pre-02.png</t>
  </si>
  <si>
    <t>https://raw.githubusercontent.com/epz0/bridgespace/main/img/P_005-Pre-01.png</t>
  </si>
  <si>
    <t>https://raw.githubusercontent.com/epz0/bridgespace/main/img/P_005-Pre-06.png</t>
  </si>
  <si>
    <t>https://raw.githubusercontent.com/epz0/bridgespace/main/img/P_005-Pre-05.png</t>
  </si>
  <si>
    <t>https://raw.githubusercontent.com/epz0/bridgespace/main/img/P_005-Pre-04.png</t>
  </si>
  <si>
    <t>https://raw.githubusercontent.com/epz0/bridgespace/main/img/P_005-Pre-07.png</t>
  </si>
  <si>
    <t>https://raw.githubusercontent.com/epz0/bridgespace/main/img/P_005-Pst-10.png</t>
  </si>
  <si>
    <t>https://raw.githubusercontent.com/epz0/bridgespace/main/img/P_005-Pst-12.png</t>
  </si>
  <si>
    <t>https://raw.githubusercontent.com/epz0/bridgespace/main/img/P_005-Pst-11.png</t>
  </si>
  <si>
    <t>https://raw.githubusercontent.com/epz0/bridgespace/main/img/P_005-Pst-08.png</t>
  </si>
  <si>
    <t>https://raw.githubusercontent.com/epz0/bridgespace/main/img/P_005-Pst-16.png</t>
  </si>
  <si>
    <t>https://raw.githubusercontent.com/epz0/bridgespace/main/img/P_005-Pst-13.png</t>
  </si>
  <si>
    <t>https://raw.githubusercontent.com/epz0/bridgespace/main/img/P_005-Pst-09.png</t>
  </si>
  <si>
    <t>https://raw.githubusercontent.com/epz0/bridgespace/main/img/P_005-Pst-17.png</t>
  </si>
  <si>
    <t>https://raw.githubusercontent.com/epz0/bridgespace/main/img/P_005-Pst-14.png</t>
  </si>
  <si>
    <t>https://raw.githubusercontent.com/epz0/bridgespace/main/img/P_005-Pst-15.png</t>
  </si>
  <si>
    <t>https://raw.githubusercontent.com/epz0/bridgespace/main/img/P_013-Pre-02.png</t>
  </si>
  <si>
    <t>https://raw.githubusercontent.com/epz0/bridgespace/main/img/P_013-Pre-03.png</t>
  </si>
  <si>
    <t>https://raw.githubusercontent.com/epz0/bridgespace/main/img/P_013-Pre-01.png</t>
  </si>
  <si>
    <t>https://raw.githubusercontent.com/epz0/bridgespace/main/img/P_013-Pre-04.png</t>
  </si>
  <si>
    <t>https://raw.githubusercontent.com/epz0/bridgespace/main/img/P_013-Pst-10.png</t>
  </si>
  <si>
    <t>https://raw.githubusercontent.com/epz0/bridgespace/main/img/P_013-Pst-12.png</t>
  </si>
  <si>
    <t>https://raw.githubusercontent.com/epz0/bridgespace/main/img/P_013-Pst-11.png</t>
  </si>
  <si>
    <t>https://raw.githubusercontent.com/epz0/bridgespace/main/img/P_013-Pst-08.png</t>
  </si>
  <si>
    <t>https://raw.githubusercontent.com/epz0/bridgespace/main/img/P_013-Pst-06.png</t>
  </si>
  <si>
    <t>https://raw.githubusercontent.com/epz0/bridgespace/main/img/P_013-Pst-05.png</t>
  </si>
  <si>
    <t>https://raw.githubusercontent.com/epz0/bridgespace/main/img/P_013-Pst-07.png</t>
  </si>
  <si>
    <t>https://raw.githubusercontent.com/epz0/bridgespace/main/img/P_013-Pst-09.png</t>
  </si>
  <si>
    <t>https://raw.githubusercontent.com/epz0/bridgespace/main/img/P_021-Pre-03.png</t>
  </si>
  <si>
    <t>https://raw.githubusercontent.com/epz0/bridgespace/main/img/P_021-Pre-02.png</t>
  </si>
  <si>
    <t>https://raw.githubusercontent.com/epz0/bridgespace/main/img/P_021-Pre-01.png</t>
  </si>
  <si>
    <t>https://raw.githubusercontent.com/epz0/bridgespace/main/img/P_021-Pre-06.png</t>
  </si>
  <si>
    <t>https://raw.githubusercontent.com/epz0/bridgespace/main/img/P_021-Pre-05.png</t>
  </si>
  <si>
    <t>https://raw.githubusercontent.com/epz0/bridgespace/main/img/P_021-Pre-04.png</t>
  </si>
  <si>
    <t>https://raw.githubusercontent.com/epz0/bridgespace/main/img/P_021-Pst-10.png</t>
  </si>
  <si>
    <t>https://raw.githubusercontent.com/epz0/bridgespace/main/img/P_021-Pst-12.png</t>
  </si>
  <si>
    <t>https://raw.githubusercontent.com/epz0/bridgespace/main/img/P_021-Pst-11.png</t>
  </si>
  <si>
    <t>https://raw.githubusercontent.com/epz0/bridgespace/main/img/P_021-Pst-08.png</t>
  </si>
  <si>
    <t>https://raw.githubusercontent.com/epz0/bridgespace/main/img/P_021-Pst-16.png</t>
  </si>
  <si>
    <t>https://raw.githubusercontent.com/epz0/bridgespace/main/img/P_021-Pst-07.png</t>
  </si>
  <si>
    <t>https://raw.githubusercontent.com/epz0/bridgespace/main/img/P_021-Pst-13.png</t>
  </si>
  <si>
    <t>https://raw.githubusercontent.com/epz0/bridgespace/main/img/P_021-Pst-09.png</t>
  </si>
  <si>
    <t>https://raw.githubusercontent.com/epz0/bridgespace/main/img/P_021-Pst-17.png</t>
  </si>
  <si>
    <t>https://raw.githubusercontent.com/epz0/bridgespace/main/img/P_021-Pst-14.png</t>
  </si>
  <si>
    <t>https://raw.githubusercontent.com/epz0/bridgespace/main/img/P_021-Pst-15.png</t>
  </si>
  <si>
    <t>https://raw.githubusercontent.com/epz0/bridgespace/main/img/P_002-Pre-03.png</t>
  </si>
  <si>
    <t>https://raw.githubusercontent.com/epz0/bridgespace/main/img/P_002-Pre-02.png</t>
  </si>
  <si>
    <t>https://raw.githubusercontent.com/epz0/bridgespace/main/img/P_002-Pre-01.png</t>
  </si>
  <si>
    <t>https://raw.githubusercontent.com/epz0/bridgespace/main/img/P_002-Pre-06.png</t>
  </si>
  <si>
    <t>https://raw.githubusercontent.com/epz0/bridgespace/main/img/P_002-Pre-05.png</t>
  </si>
  <si>
    <t>https://raw.githubusercontent.com/epz0/bridgespace/main/img/P_002-Pre-04.png</t>
  </si>
  <si>
    <t>https://raw.githubusercontent.com/epz0/bridgespace/main/img/P_002-Pre-07.png</t>
  </si>
  <si>
    <t>https://raw.githubusercontent.com/epz0/bridgespace/main/img/P_002-Pst-10.png</t>
  </si>
  <si>
    <t>https://raw.githubusercontent.com/epz0/bridgespace/main/img/P_002-Pst-12.png</t>
  </si>
  <si>
    <t>https://raw.githubusercontent.com/epz0/bridgespace/main/img/P_002-Pst-11.png</t>
  </si>
  <si>
    <t>https://raw.githubusercontent.com/epz0/bridgespace/main/img/P_002-Pst-08.png</t>
  </si>
  <si>
    <t>https://raw.githubusercontent.com/epz0/bridgespace/main/img/P_002-Pst-09.png</t>
  </si>
  <si>
    <t>https://raw.githubusercontent.com/epz0/bridgespace/main/img/P_029-Pre-03.png</t>
  </si>
  <si>
    <t>https://raw.githubusercontent.com/epz0/bridgespace/main/img/P_029-Pre-02.png</t>
  </si>
  <si>
    <t>https://raw.githubusercontent.com/epz0/bridgespace/main/img/P_029-Pre-01.png</t>
  </si>
  <si>
    <t>https://raw.githubusercontent.com/epz0/bridgespace/main/img/P_029-Pre-06.png</t>
  </si>
  <si>
    <t>https://raw.githubusercontent.com/epz0/bridgespace/main/img/P_029-Pre-05.png</t>
  </si>
  <si>
    <t>https://raw.githubusercontent.com/epz0/bridgespace/main/img/P_029-Pre-04.png</t>
  </si>
  <si>
    <t>https://raw.githubusercontent.com/epz0/bridgespace/main/img/P_029-Pre-07.png</t>
  </si>
  <si>
    <t>https://raw.githubusercontent.com/epz0/bridgespace/main/img/P_029-Pst-10.png</t>
  </si>
  <si>
    <t>https://raw.githubusercontent.com/epz0/bridgespace/main/img/P_029-Pst-12.png</t>
  </si>
  <si>
    <t>https://raw.githubusercontent.com/epz0/bridgespace/main/img/P_029-Pst-11.png</t>
  </si>
  <si>
    <t>https://raw.githubusercontent.com/epz0/bridgespace/main/img/P_029-Pst-08.png</t>
  </si>
  <si>
    <t>https://raw.githubusercontent.com/epz0/bridgespace/main/img/P_029-Pst-16.png</t>
  </si>
  <si>
    <t>https://raw.githubusercontent.com/epz0/bridgespace/main/img/P_029-Pst-13.png</t>
  </si>
  <si>
    <t>https://raw.githubusercontent.com/epz0/bridgespace/main/img/P_029-Pst-09.png</t>
  </si>
  <si>
    <t>https://raw.githubusercontent.com/epz0/bridgespace/main/img/P_029-Pst-14.png</t>
  </si>
  <si>
    <t>https://raw.githubusercontent.com/epz0/bridgespace/main/img/P_029-Pst-15.png</t>
  </si>
  <si>
    <t>https://raw.githubusercontent.com/epz0/bridgespace/main/img/P_025-Pre-02.png</t>
  </si>
  <si>
    <t>https://raw.githubusercontent.com/epz0/bridgespace/main/img/P_025-Pre-01.png</t>
  </si>
  <si>
    <t>https://raw.githubusercontent.com/epz0/bridgespace/main/img/P_025-Pst-03.png</t>
  </si>
  <si>
    <t>https://raw.githubusercontent.com/epz0/bridgespace/main/img/P_025-Pst-06.png</t>
  </si>
  <si>
    <t>https://raw.githubusercontent.com/epz0/bridgespace/main/img/P_025-Pst-05.png</t>
  </si>
  <si>
    <t>https://raw.githubusercontent.com/epz0/bridgespace/main/img/P_025-Pst-04.png</t>
  </si>
  <si>
    <t>https://raw.githubusercontent.com/epz0/bridgespace/main/img/P_025-Pst-07.png</t>
  </si>
  <si>
    <t>https://raw.githubusercontent.com/epz0/bridgespace/main/img/P_028-Pre-03.png</t>
  </si>
  <si>
    <t>https://raw.githubusercontent.com/epz0/bridgespace/main/img/P_028-Pre-02.png</t>
  </si>
  <si>
    <t>https://raw.githubusercontent.com/epz0/bridgespace/main/img/P_028-Pre-01.png</t>
  </si>
  <si>
    <t>https://raw.githubusercontent.com/epz0/bridgespace/main/img/P_028-Pre-05.png</t>
  </si>
  <si>
    <t>https://raw.githubusercontent.com/epz0/bridgespace/main/img/P_028-Pre-04.png</t>
  </si>
  <si>
    <t>https://raw.githubusercontent.com/epz0/bridgespace/main/img/P_028-Pst-10.png</t>
  </si>
  <si>
    <t>https://raw.githubusercontent.com/epz0/bridgespace/main/img/P_028-Pst-11.png</t>
  </si>
  <si>
    <t>https://raw.githubusercontent.com/epz0/bridgespace/main/img/P_028-Pst-08.png</t>
  </si>
  <si>
    <t>https://raw.githubusercontent.com/epz0/bridgespace/main/img/P_028-Pst-06.png</t>
  </si>
  <si>
    <t>https://raw.githubusercontent.com/epz0/bridgespace/main/img/P_028-Pst-09.png</t>
  </si>
  <si>
    <t>https://raw.githubusercontent.com/epz0/bridgespace/main/img/P_008-Pre-03.png</t>
  </si>
  <si>
    <t>https://raw.githubusercontent.com/epz0/bridgespace/main/img/P_008-Pre-02.png</t>
  </si>
  <si>
    <t>https://raw.githubusercontent.com/epz0/bridgespace/main/img/P_008-Pre-01.png</t>
  </si>
  <si>
    <t>https://raw.githubusercontent.com/epz0/bridgespace/main/img/P_008-Pre-08.png</t>
  </si>
  <si>
    <t>https://raw.githubusercontent.com/epz0/bridgespace/main/img/P_008-Pre-06.png</t>
  </si>
  <si>
    <t>https://raw.githubusercontent.com/epz0/bridgespace/main/img/P_008-Pre-05.png</t>
  </si>
  <si>
    <t>https://raw.githubusercontent.com/epz0/bridgespace/main/img/P_008-Pre-04.png</t>
  </si>
  <si>
    <t>https://raw.githubusercontent.com/epz0/bridgespace/main/img/P_008-Pre-07.png</t>
  </si>
  <si>
    <t>https://raw.githubusercontent.com/epz0/bridgespace/main/img/P_008-Pre-09.png</t>
  </si>
  <si>
    <t>https://raw.githubusercontent.com/epz0/bridgespace/main/img/P_008-Pst-10.png</t>
  </si>
  <si>
    <t>https://raw.githubusercontent.com/epz0/bridgespace/main/img/P_008-Pst-12.png</t>
  </si>
  <si>
    <t>https://raw.githubusercontent.com/epz0/bridgespace/main/img/P_008-Pst-11.png</t>
  </si>
  <si>
    <t>https://raw.githubusercontent.com/epz0/bridgespace/main/img/P_008-Pst-18.png</t>
  </si>
  <si>
    <t>https://raw.githubusercontent.com/epz0/bridgespace/main/img/P_008-Pst-16.png</t>
  </si>
  <si>
    <t>https://raw.githubusercontent.com/epz0/bridgespace/main/img/P_008-Pst-19.png</t>
  </si>
  <si>
    <t>https://raw.githubusercontent.com/epz0/bridgespace/main/img/P_008-Pst-13.png</t>
  </si>
  <si>
    <t>https://raw.githubusercontent.com/epz0/bridgespace/main/img/P_008-Pst-17.png</t>
  </si>
  <si>
    <t>https://raw.githubusercontent.com/epz0/bridgespace/main/img/P_008-Pst-14.png</t>
  </si>
  <si>
    <t>https://raw.githubusercontent.com/epz0/bridgespace/main/img/P_008-Pst-15.png</t>
  </si>
  <si>
    <t>https://raw.githubusercontent.com/epz0/bridgespace/main/img/P_024-Pre-02.png</t>
  </si>
  <si>
    <t>https://raw.githubusercontent.com/epz0/bridgespace/main/img/P_024-Pre-01.png</t>
  </si>
  <si>
    <t>https://raw.githubusercontent.com/epz0/bridgespace/main/img/P_024-Pst-03.png</t>
  </si>
  <si>
    <t>https://raw.githubusercontent.com/epz0/bridgespace/main/img/P_024-Pst-08.png</t>
  </si>
  <si>
    <t>https://raw.githubusercontent.com/epz0/bridgespace/main/img/P_024-Pst-06.png</t>
  </si>
  <si>
    <t>https://raw.githubusercontent.com/epz0/bridgespace/main/img/P_024-Pst-05.png</t>
  </si>
  <si>
    <t>https://raw.githubusercontent.com/epz0/bridgespace/main/img/P_024-Pst-04.png</t>
  </si>
  <si>
    <t>https://raw.githubusercontent.com/epz0/bridgespace/main/img/P_024-Pst-07.png</t>
  </si>
  <si>
    <t>https://raw.githubusercontent.com/epz0/bridgespace/main/img/P_024-Pst-09.png</t>
  </si>
  <si>
    <t>ActualStress</t>
  </si>
  <si>
    <t>ActualBudget</t>
  </si>
  <si>
    <t>deltaBudget</t>
  </si>
  <si>
    <t>deltaStress</t>
  </si>
  <si>
    <t>Average</t>
  </si>
  <si>
    <t>HsBc-no_braces</t>
  </si>
  <si>
    <t>HsBc-terrain_brace</t>
  </si>
  <si>
    <t>HsBc-rock_brace</t>
  </si>
  <si>
    <t>[0,0,0,0,1,0,0,1,0,0,0,0,0,0,0,1,0,0,0,1,0]</t>
  </si>
  <si>
    <t>[0,1,1,0,0,0,0,1,0,0,1,0,0,0,0,0,0,0,0,1,0]</t>
  </si>
  <si>
    <t>[0,1,0,0,0,0,0,0,0,0,0,1,0,0,0,0,0,0,0,1,0]</t>
  </si>
  <si>
    <t>[0,1,0,0,0,0,0,0,1,0,0,1,0,0,0,1,0,0,0,0,1]</t>
  </si>
  <si>
    <t>[0,1,1,0,1,0,0,0,0,0,1,0,0,0,0,0,1,0,0,1,0]</t>
  </si>
  <si>
    <t>[0,1,0,0,0,1,0,0,0,0,1,0,0,0,0,0,1,0,0,1,0]</t>
  </si>
  <si>
    <t>[0,1,1,0,1,0,0,0,0,0,1,0,0,0,0,0,0,0,0,1,0]</t>
  </si>
  <si>
    <t>[0,1,0,0,0,0,0,0,0,0,1,0,0,0,0,0,0,0,0,1,0]</t>
  </si>
  <si>
    <t>[1,0,1,1,0,0,0,0,0,0,0,1,0,0,0,0,0,0,0,1,0]</t>
  </si>
  <si>
    <t>[0,1,0,0,0,0,0,0,0,0,0,1,0,0,0,0,1,0,0,1,0]</t>
  </si>
  <si>
    <t>[0,1,1,1,0,0,0,0,0,0,1,0,0,0,0,0,0,0,0,1,0]</t>
  </si>
  <si>
    <t>[0,0,0,0,1,0,0,0,0,0,0,1,0,0,0,0,1,0,0,1,0]</t>
  </si>
  <si>
    <t>[0,0,0,0,0,0,0,0,0,1,0,0,0,0,0,0,1,0,0,0,1]</t>
  </si>
  <si>
    <t>[1,1,0,0,0,0,0,0,0,0,0,1,0,0,0,0,0,0,0,1,0]</t>
  </si>
  <si>
    <t>[1,1,0,0,0,1,0,0,0,0,1,0,0,0,0,0,0,0,0,1,0]</t>
  </si>
  <si>
    <t>[1,1,0,1,0,0,0,0,0,0,1,0,0,0,0,0,0,0,0,1,0]</t>
  </si>
  <si>
    <t>[0,1,0,0,0,0,0,0,0,0,0,0,0,0,0,0,1,0,0,1,0]</t>
  </si>
  <si>
    <t>[1,0,1,1,0,0,0,0,0,0,1,0,0,0,0,0,1,0,0,1,0]</t>
  </si>
  <si>
    <t>[1,0,0,0,0,0,1,0,0,0,0,1,0,0,0,0,0,0,0,1,0]</t>
  </si>
  <si>
    <t>[1,0,1,0,0,0,0,0,0,0,0,1,0,0,0,0,0,0,0,1,0]</t>
  </si>
  <si>
    <t>[1,0,1,0,0,0,0,0,0,0,0,0,0,1,0,0,0,0,0,1,0]</t>
  </si>
  <si>
    <t>[0,0,1,1,0,0,0,0,0,0,0,1,0,0,0,0,0,0,0,1,0]</t>
  </si>
  <si>
    <t>[0,1,0,0,1,0,0,0,1,0,1,0,0,0,0,0,1,0,0,0,1]</t>
  </si>
  <si>
    <t>[1,1,1,0,0,0,0,0,0,0,0,1,0,0,0,0,0,0,0,1,0]</t>
  </si>
  <si>
    <t>[1,1,0,0,0,0,0,0,0,0,1,0,0,0,0,0,1,0,0,1,0]</t>
  </si>
  <si>
    <t>[0,0,1,1,0,0,0,0,0,0,0,0,0,0,0,0,1,0,0,1,0]</t>
  </si>
  <si>
    <t>[1,0,0,0,1,0,0,0,1,0,0,0,0,0,0,0,1,0,0,1,0]</t>
  </si>
  <si>
    <t>[0,1,0,0,0,0,0,0,0,0,1,0,0,0,0,1,0,0,0,1,0]</t>
  </si>
  <si>
    <t>[0,1,0,0,1,0,0,0,0,0,0,0,0,0,0,0,1,0,0,1,0]</t>
  </si>
  <si>
    <t>[1,0,1,1,0,0,0,0,0,0,1,0,0,0,0,0,0,0,0,1,0]</t>
  </si>
  <si>
    <t>[0,1,1,0,0,0,0,0,0,0,1,0,0,0,0,1,0,0,0,1,0]</t>
  </si>
  <si>
    <t>[1,0,1,0,0,0,0,1,0,0,1,0,0,0,0,0,0,0,0,1,0]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</si>
</sst>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0" borderId="0" xfId="0" applyFont="1"/>
    <xf numFmtId="0" fontId="0" fillId="0" borderId="0" xfId="0" quotePrefix="1"/>
    <xf numFmtId="0" fontId="7" fillId="3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left" vertical="top"/>
    </xf>
    <xf numFmtId="0" fontId="6" fillId="3" borderId="0" xfId="0" applyFont="1" applyFill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6" fillId="3" borderId="7" xfId="0" applyFont="1" applyFill="1" applyBorder="1"/>
    <xf numFmtId="0" fontId="6" fillId="3" borderId="3" xfId="0" applyFont="1" applyFill="1" applyBorder="1"/>
    <xf numFmtId="0" fontId="6" fillId="3" borderId="9" xfId="0" applyFont="1" applyFill="1" applyBorder="1"/>
    <xf numFmtId="0" fontId="6" fillId="4" borderId="0" xfId="0" applyFont="1" applyFill="1"/>
    <xf numFmtId="0" fontId="7" fillId="4" borderId="1" xfId="0" applyFont="1" applyFill="1" applyBorder="1" applyAlignment="1">
      <alignment horizontal="center" vertical="top"/>
    </xf>
    <xf numFmtId="0" fontId="6" fillId="5" borderId="0" xfId="0" applyFont="1" applyFill="1"/>
    <xf numFmtId="0" fontId="6" fillId="3" borderId="3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7" fillId="4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7" fillId="3" borderId="4" xfId="0" applyFont="1" applyFill="1" applyBorder="1" applyAlignment="1">
      <alignment horizontal="left" vertical="top"/>
    </xf>
    <xf numFmtId="0" fontId="6" fillId="3" borderId="0" xfId="0" applyFont="1" applyFill="1" applyAlignment="1">
      <alignment horizontal="left"/>
    </xf>
    <xf numFmtId="0" fontId="6" fillId="3" borderId="10" xfId="0" applyFont="1" applyFill="1" applyBorder="1" applyAlignment="1">
      <alignment horizontal="left"/>
    </xf>
    <xf numFmtId="0" fontId="7" fillId="3" borderId="0" xfId="0" applyFont="1" applyFill="1" applyAlignment="1">
      <alignment horizontal="left" vertical="top"/>
    </xf>
    <xf numFmtId="0" fontId="7" fillId="3" borderId="6" xfId="0" applyFont="1" applyFill="1" applyBorder="1" applyAlignment="1">
      <alignment horizontal="left" vertical="top"/>
    </xf>
    <xf numFmtId="0" fontId="7" fillId="3" borderId="10" xfId="0" applyFont="1" applyFill="1" applyBorder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6" borderId="0" xfId="0" applyFill="1"/>
    <xf numFmtId="0" fontId="0" fillId="6" borderId="5" xfId="0" applyFill="1" applyBorder="1"/>
    <xf numFmtId="0" fontId="0" fillId="6" borderId="3" xfId="0" applyFill="1" applyBorder="1"/>
    <xf numFmtId="0" fontId="0" fillId="6" borderId="8" xfId="0" applyFill="1" applyBorder="1"/>
    <xf numFmtId="0" fontId="1" fillId="0" borderId="11" xfId="0" applyFont="1" applyBorder="1"/>
    <xf numFmtId="9" fontId="1" fillId="0" borderId="12" xfId="0" applyNumberFormat="1" applyFont="1" applyBorder="1"/>
    <xf numFmtId="0" fontId="1" fillId="0" borderId="13" xfId="0" applyFont="1" applyBorder="1"/>
    <xf numFmtId="9" fontId="1" fillId="0" borderId="14" xfId="1" applyFont="1" applyBorder="1"/>
    <xf numFmtId="0" fontId="1" fillId="0" borderId="15" xfId="0" applyFont="1" applyBorder="1"/>
    <xf numFmtId="9" fontId="1" fillId="0" borderId="16" xfId="0" applyNumberFormat="1" applyFont="1" applyBorder="1"/>
    <xf numFmtId="0" fontId="2" fillId="7" borderId="1" xfId="0" applyFont="1" applyFill="1" applyBorder="1" applyAlignment="1">
      <alignment horizontal="left" vertical="top"/>
    </xf>
    <xf numFmtId="0" fontId="0" fillId="7" borderId="0" xfId="0" applyFill="1"/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7" borderId="4" xfId="0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0" fontId="0" fillId="6" borderId="4" xfId="0" applyFill="1" applyBorder="1"/>
    <xf numFmtId="0" fontId="0" fillId="6" borderId="2" xfId="0" applyFill="1" applyBorder="1"/>
    <xf numFmtId="0" fontId="0" fillId="6" borderId="6" xfId="0" applyFill="1" applyBorder="1"/>
    <xf numFmtId="0" fontId="0" fillId="6" borderId="7" xfId="0" applyFill="1" applyBorder="1"/>
    <xf numFmtId="0" fontId="0" fillId="0" borderId="0" xfId="0" applyAlignment="1">
      <alignment horizontal="left" vertical="center"/>
    </xf>
    <xf numFmtId="0" fontId="2" fillId="8" borderId="1" xfId="0" applyFont="1" applyFill="1" applyBorder="1" applyAlignment="1">
      <alignment horizontal="left" vertical="top"/>
    </xf>
    <xf numFmtId="0" fontId="0" fillId="8" borderId="0" xfId="0" applyFill="1"/>
    <xf numFmtId="0" fontId="7" fillId="9" borderId="1" xfId="0" applyFont="1" applyFill="1" applyBorder="1" applyAlignment="1">
      <alignment horizontal="center" vertical="top"/>
    </xf>
    <xf numFmtId="0" fontId="7" fillId="9" borderId="0" xfId="0" applyFont="1" applyFill="1" applyAlignment="1">
      <alignment horizontal="center" vertical="top"/>
    </xf>
    <xf numFmtId="0" fontId="6" fillId="10" borderId="3" xfId="0" applyFont="1" applyFill="1" applyBorder="1"/>
    <xf numFmtId="0" fontId="6" fillId="10" borderId="7" xfId="0" applyFont="1" applyFill="1" applyBorder="1"/>
    <xf numFmtId="0" fontId="6" fillId="10" borderId="0" xfId="0" applyFont="1" applyFill="1"/>
    <xf numFmtId="0" fontId="6" fillId="9" borderId="0" xfId="0" applyFont="1" applyFill="1"/>
    <xf numFmtId="0" fontId="10" fillId="0" borderId="0" xfId="0" applyFont="1" applyAlignment="1">
      <alignment horizontal="center" vertical="center" wrapText="1"/>
    </xf>
    <xf numFmtId="0" fontId="10" fillId="0" borderId="0" xfId="0" applyFont="1"/>
    <xf numFmtId="0" fontId="1" fillId="0" borderId="3" xfId="0" applyFont="1" applyBorder="1" applyAlignment="1">
      <alignment vertical="center"/>
    </xf>
    <xf numFmtId="0" fontId="7" fillId="3" borderId="1" xfId="0" applyFont="1" applyFill="1" applyBorder="1" applyAlignment="1">
      <alignment horizontal="right" vertical="top"/>
    </xf>
    <xf numFmtId="0" fontId="7" fillId="9" borderId="1" xfId="0" applyFont="1" applyFill="1" applyBorder="1" applyAlignment="1">
      <alignment horizontal="right" vertical="top"/>
    </xf>
    <xf numFmtId="0" fontId="6" fillId="3" borderId="0" xfId="0" applyFont="1" applyFill="1" applyAlignment="1">
      <alignment horizontal="right"/>
    </xf>
    <xf numFmtId="0" fontId="6" fillId="3" borderId="9" xfId="0" applyFont="1" applyFill="1" applyBorder="1" applyAlignment="1">
      <alignment horizontal="right"/>
    </xf>
    <xf numFmtId="0" fontId="6" fillId="10" borderId="3" xfId="0" applyFont="1" applyFill="1" applyBorder="1" applyAlignment="1">
      <alignment horizontal="right"/>
    </xf>
    <xf numFmtId="0" fontId="6" fillId="10" borderId="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7" fillId="11" borderId="1" xfId="0" applyFont="1" applyFill="1" applyBorder="1" applyAlignment="1">
      <alignment horizontal="left" vertical="top"/>
    </xf>
    <xf numFmtId="0" fontId="7" fillId="11" borderId="6" xfId="0" applyFont="1" applyFill="1" applyBorder="1" applyAlignment="1">
      <alignment horizontal="left" vertical="top"/>
    </xf>
    <xf numFmtId="0" fontId="6" fillId="11" borderId="0" xfId="0" applyFont="1" applyFill="1" applyAlignment="1">
      <alignment horizontal="left"/>
    </xf>
    <xf numFmtId="0" fontId="6" fillId="11" borderId="3" xfId="0" applyFont="1" applyFill="1" applyBorder="1" applyAlignment="1">
      <alignment horizontal="left"/>
    </xf>
    <xf numFmtId="0" fontId="7" fillId="11" borderId="0" xfId="0" applyFont="1" applyFill="1" applyAlignment="1">
      <alignment horizontal="left" vertical="top"/>
    </xf>
    <xf numFmtId="0" fontId="7" fillId="11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vertical="top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4" xfId="0" applyBorder="1"/>
    <xf numFmtId="0" fontId="0" fillId="12" borderId="0" xfId="0" applyFill="1"/>
    <xf numFmtId="0" fontId="0" fillId="12" borderId="0" xfId="0" applyFill="1" applyAlignment="1">
      <alignment horizontal="left"/>
    </xf>
    <xf numFmtId="0" fontId="7" fillId="13" borderId="1" xfId="0" applyFont="1" applyFill="1" applyBorder="1" applyAlignment="1">
      <alignment horizontal="left" vertical="top"/>
    </xf>
    <xf numFmtId="0" fontId="7" fillId="13" borderId="1" xfId="0" applyFont="1" applyFill="1" applyBorder="1" applyAlignment="1">
      <alignment horizontal="center" vertical="top"/>
    </xf>
    <xf numFmtId="0" fontId="7" fillId="13" borderId="1" xfId="0" applyFont="1" applyFill="1" applyBorder="1" applyAlignment="1">
      <alignment vertical="top"/>
    </xf>
    <xf numFmtId="0" fontId="7" fillId="13" borderId="6" xfId="0" applyFont="1" applyFill="1" applyBorder="1" applyAlignment="1">
      <alignment horizontal="left" vertical="top"/>
    </xf>
    <xf numFmtId="0" fontId="6" fillId="13" borderId="0" xfId="0" applyFont="1" applyFill="1" applyAlignment="1">
      <alignment horizontal="left"/>
    </xf>
    <xf numFmtId="0" fontId="6" fillId="13" borderId="3" xfId="0" applyFont="1" applyFill="1" applyBorder="1" applyAlignment="1">
      <alignment horizontal="left"/>
    </xf>
    <xf numFmtId="164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7" fillId="13" borderId="0" xfId="0" applyFont="1" applyFill="1" applyAlignment="1">
      <alignment horizontal="left" vertical="top"/>
    </xf>
    <xf numFmtId="0" fontId="7" fillId="14" borderId="1" xfId="0" applyFont="1" applyFill="1" applyBorder="1" applyAlignment="1">
      <alignment horizontal="left" vertical="top"/>
    </xf>
    <xf numFmtId="0" fontId="7" fillId="14" borderId="1" xfId="0" applyFont="1" applyFill="1" applyBorder="1" applyAlignment="1">
      <alignment horizontal="center" vertical="top"/>
    </xf>
    <xf numFmtId="0" fontId="7" fillId="14" borderId="1" xfId="0" applyFont="1" applyFill="1" applyBorder="1" applyAlignment="1">
      <alignment vertical="top"/>
    </xf>
    <xf numFmtId="0" fontId="6" fillId="14" borderId="0" xfId="0" applyFont="1" applyFill="1"/>
    <xf numFmtId="0" fontId="7" fillId="14" borderId="5" xfId="0" applyFont="1" applyFill="1" applyBorder="1" applyAlignment="1">
      <alignment horizontal="left" vertical="top"/>
    </xf>
    <xf numFmtId="9" fontId="0" fillId="0" borderId="0" xfId="1" applyFont="1"/>
    <xf numFmtId="0" fontId="1" fillId="0" borderId="17" xfId="0" applyFont="1" applyBorder="1"/>
    <xf numFmtId="0" fontId="1" fillId="0" borderId="18" xfId="0" applyFont="1" applyBorder="1"/>
    <xf numFmtId="0" fontId="1" fillId="0" borderId="14" xfId="0" applyFont="1" applyBorder="1"/>
    <xf numFmtId="0" fontId="0" fillId="0" borderId="13" xfId="0" applyBorder="1"/>
    <xf numFmtId="0" fontId="0" fillId="15" borderId="14" xfId="0" applyFill="1" applyBorder="1"/>
    <xf numFmtId="0" fontId="0" fillId="0" borderId="15" xfId="0" applyBorder="1"/>
    <xf numFmtId="0" fontId="0" fillId="15" borderId="16" xfId="0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9" fontId="1" fillId="0" borderId="0" xfId="1" applyFont="1"/>
    <xf numFmtId="0" fontId="11" fillId="0" borderId="0" xfId="2"/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11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6" fillId="13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9900"/>
      <color rgb="FF006666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8</xdr:row>
      <xdr:rowOff>7620</xdr:rowOff>
    </xdr:from>
    <xdr:to>
      <xdr:col>15</xdr:col>
      <xdr:colOff>373380</xdr:colOff>
      <xdr:row>28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F6EB8C-B97F-4314-AD39-CB01DAD5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860" y="1569720"/>
          <a:ext cx="5170170" cy="39319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universityofcambridgecloud-my.sharepoint.com/personal/ep650_cam_ac_uk/Documents/Documentos/_PHD/__Research/_Empirical%20studies/_Experiment01-22-23/PolyBridgeData/PY_SourceFiles/SupportExcel/summary/FullListLevelsLayout.xlsx?38F98A48" TargetMode="External"/><Relationship Id="rId1" Type="http://schemas.openxmlformats.org/officeDocument/2006/relationships/externalLinkPath" Target="file:///\\38F98A48\FullListLevelsLayo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ListLevelsNames"/>
      <sheetName val="AllDump"/>
      <sheetName val="FullListInfo"/>
      <sheetName val="prelim_analysis"/>
      <sheetName val="Classification14m"/>
      <sheetName val="features"/>
      <sheetName val="SummaryFirst100"/>
      <sheetName val="Sheet1"/>
      <sheetName val="heatmap-base"/>
      <sheetName val="sankey-base"/>
      <sheetName val="Sheet3"/>
      <sheetName val="sankey-values"/>
    </sheetNames>
    <sheetDataSet>
      <sheetData sheetId="0"/>
      <sheetData sheetId="1"/>
      <sheetData sheetId="2"/>
      <sheetData sheetId="3"/>
      <sheetData sheetId="4"/>
      <sheetData sheetId="5">
        <row r="9">
          <cell r="D9" t="str">
            <v>perspective</v>
          </cell>
        </row>
        <row r="27">
          <cell r="D27" t="str">
            <v>Road</v>
          </cell>
          <cell r="E27" t="str">
            <v>Reinforced Road</v>
          </cell>
          <cell r="F27" t="str">
            <v>Wood</v>
          </cell>
          <cell r="G27" t="str">
            <v>Steel</v>
          </cell>
          <cell r="H27" t="str">
            <v>Rope</v>
          </cell>
          <cell r="I27" t="str">
            <v>Cable</v>
          </cell>
          <cell r="J27" t="str">
            <v>Spring</v>
          </cell>
          <cell r="K27" t="str">
            <v>no support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dfp529wcvahka.cloudfront.net/ws/GalleryEntry/ZL8zX/video_preview/9XJSBhwM.png" TargetMode="External"/><Relationship Id="rId1" Type="http://schemas.openxmlformats.org/officeDocument/2006/relationships/hyperlink" Target="https://dfp529wcvahka.cloudfront.net/ws/GalleryEntry/w87kx/video_preview/gJ8cO9Rb.pn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9F51-B6A9-45E6-95F6-E1ABD158BA29}">
  <sheetPr codeName="Sheet9"/>
  <dimension ref="A1:AR31"/>
  <sheetViews>
    <sheetView workbookViewId="0">
      <selection activeCell="D9" sqref="D9"/>
    </sheetView>
  </sheetViews>
  <sheetFormatPr defaultRowHeight="14.4" x14ac:dyDescent="0.3"/>
  <sheetData>
    <row r="1" spans="1:44" x14ac:dyDescent="0.3">
      <c r="A1" s="4" t="s">
        <v>77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91</v>
      </c>
      <c r="P1" s="4" t="s">
        <v>92</v>
      </c>
      <c r="Q1" s="4" t="s">
        <v>93</v>
      </c>
      <c r="R1" s="4" t="s">
        <v>94</v>
      </c>
      <c r="S1" s="4" t="s">
        <v>95</v>
      </c>
      <c r="T1" s="4" t="s">
        <v>96</v>
      </c>
      <c r="U1" s="4" t="s">
        <v>97</v>
      </c>
      <c r="V1" s="4" t="s">
        <v>98</v>
      </c>
      <c r="W1" s="4" t="s">
        <v>99</v>
      </c>
      <c r="X1" s="4" t="s">
        <v>100</v>
      </c>
      <c r="Y1" s="4" t="s">
        <v>101</v>
      </c>
      <c r="Z1" s="4" t="s">
        <v>102</v>
      </c>
      <c r="AA1" s="4" t="s">
        <v>103</v>
      </c>
      <c r="AB1" s="4" t="s">
        <v>104</v>
      </c>
      <c r="AC1" s="4" t="s">
        <v>105</v>
      </c>
      <c r="AD1" s="4" t="s">
        <v>106</v>
      </c>
      <c r="AE1" s="4" t="s">
        <v>107</v>
      </c>
      <c r="AF1" s="4" t="s">
        <v>108</v>
      </c>
      <c r="AG1" s="4" t="s">
        <v>109</v>
      </c>
      <c r="AH1" s="4" t="s">
        <v>110</v>
      </c>
      <c r="AI1" s="4" t="s">
        <v>111</v>
      </c>
      <c r="AJ1" s="4" t="s">
        <v>112</v>
      </c>
      <c r="AK1" s="4" t="s">
        <v>113</v>
      </c>
      <c r="AL1" s="4" t="s">
        <v>114</v>
      </c>
      <c r="AM1" s="4" t="s">
        <v>115</v>
      </c>
      <c r="AN1" s="4" t="s">
        <v>116</v>
      </c>
      <c r="AO1" s="4" t="s">
        <v>117</v>
      </c>
      <c r="AP1" s="4" t="s">
        <v>118</v>
      </c>
      <c r="AQ1" s="4" t="s">
        <v>119</v>
      </c>
      <c r="AR1" s="4" t="s">
        <v>120</v>
      </c>
    </row>
    <row r="2" spans="1:44" x14ac:dyDescent="0.3">
      <c r="A2" s="4" t="s">
        <v>10</v>
      </c>
      <c r="B2" s="4" t="s">
        <v>121</v>
      </c>
      <c r="C2" s="4" t="s">
        <v>122</v>
      </c>
      <c r="D2" s="4" t="s">
        <v>123</v>
      </c>
      <c r="E2" s="4" t="s">
        <v>123</v>
      </c>
      <c r="F2" s="4" t="s">
        <v>123</v>
      </c>
      <c r="G2" s="4" t="s">
        <v>123</v>
      </c>
      <c r="H2" s="4" t="s">
        <v>124</v>
      </c>
      <c r="I2" s="4" t="s">
        <v>122</v>
      </c>
      <c r="J2" s="4" t="s">
        <v>122</v>
      </c>
      <c r="K2" s="4" t="s">
        <v>122</v>
      </c>
      <c r="L2" s="4" t="s">
        <v>125</v>
      </c>
      <c r="M2" s="4" t="s">
        <v>123</v>
      </c>
      <c r="N2" s="4" t="s">
        <v>121</v>
      </c>
      <c r="O2" s="4" t="s">
        <v>123</v>
      </c>
      <c r="P2" s="4" t="s">
        <v>121</v>
      </c>
      <c r="Q2" s="4" t="s">
        <v>125</v>
      </c>
      <c r="R2" s="4" t="s">
        <v>121</v>
      </c>
      <c r="S2" s="4" t="s">
        <v>121</v>
      </c>
      <c r="T2" s="4" t="s">
        <v>123</v>
      </c>
      <c r="U2" s="4" t="s">
        <v>122</v>
      </c>
      <c r="V2" s="4" t="s">
        <v>125</v>
      </c>
      <c r="W2" s="4" t="s">
        <v>125</v>
      </c>
      <c r="X2" s="4" t="s">
        <v>125</v>
      </c>
      <c r="Y2" s="4" t="s">
        <v>123</v>
      </c>
      <c r="Z2" s="4" t="s">
        <v>121</v>
      </c>
      <c r="AA2" s="4" t="s">
        <v>123</v>
      </c>
      <c r="AB2" s="4" t="s">
        <v>123</v>
      </c>
      <c r="AC2" s="4" t="s">
        <v>124</v>
      </c>
      <c r="AD2" s="4" t="s">
        <v>121</v>
      </c>
      <c r="AE2" s="4" t="s">
        <v>121</v>
      </c>
      <c r="AF2" s="4" t="s">
        <v>125</v>
      </c>
      <c r="AG2" s="4" t="s">
        <v>125</v>
      </c>
      <c r="AH2" s="4">
        <v>8</v>
      </c>
      <c r="AI2" s="4">
        <v>4</v>
      </c>
      <c r="AJ2" s="4">
        <v>1</v>
      </c>
      <c r="AK2" s="4">
        <v>4</v>
      </c>
      <c r="AL2" s="4" t="s">
        <v>126</v>
      </c>
      <c r="AM2" s="4" t="s">
        <v>126</v>
      </c>
      <c r="AN2" s="4" t="s">
        <v>127</v>
      </c>
      <c r="AO2" s="4" t="s">
        <v>128</v>
      </c>
      <c r="AP2" s="4">
        <v>25</v>
      </c>
      <c r="AQ2" s="4" t="s">
        <v>129</v>
      </c>
    </row>
    <row r="3" spans="1:44" x14ac:dyDescent="0.3">
      <c r="A3" s="4" t="s">
        <v>44</v>
      </c>
      <c r="B3" s="4" t="s">
        <v>122</v>
      </c>
      <c r="C3" s="4" t="s">
        <v>125</v>
      </c>
      <c r="D3" s="4" t="s">
        <v>125</v>
      </c>
      <c r="E3" s="4" t="s">
        <v>122</v>
      </c>
      <c r="F3" s="4" t="s">
        <v>121</v>
      </c>
      <c r="G3" s="4" t="s">
        <v>121</v>
      </c>
      <c r="H3" s="4" t="s">
        <v>125</v>
      </c>
      <c r="I3" s="4" t="s">
        <v>125</v>
      </c>
      <c r="J3" s="4" t="s">
        <v>125</v>
      </c>
      <c r="K3" s="4" t="s">
        <v>124</v>
      </c>
      <c r="L3" s="4" t="s">
        <v>125</v>
      </c>
      <c r="M3" s="4" t="s">
        <v>122</v>
      </c>
      <c r="N3" s="4" t="s">
        <v>125</v>
      </c>
      <c r="O3" s="4" t="s">
        <v>125</v>
      </c>
      <c r="P3" s="4" t="s">
        <v>125</v>
      </c>
      <c r="Q3" s="4" t="s">
        <v>124</v>
      </c>
      <c r="R3" s="4" t="s">
        <v>125</v>
      </c>
      <c r="S3" s="4" t="s">
        <v>122</v>
      </c>
      <c r="T3" s="4" t="s">
        <v>122</v>
      </c>
      <c r="U3" s="4" t="s">
        <v>124</v>
      </c>
      <c r="V3" s="4" t="s">
        <v>124</v>
      </c>
      <c r="W3" s="4" t="s">
        <v>125</v>
      </c>
      <c r="X3" s="4" t="s">
        <v>124</v>
      </c>
      <c r="Y3" s="4" t="s">
        <v>125</v>
      </c>
      <c r="Z3" s="4" t="s">
        <v>122</v>
      </c>
      <c r="AA3" s="4" t="s">
        <v>125</v>
      </c>
      <c r="AB3" s="4" t="s">
        <v>125</v>
      </c>
      <c r="AC3" s="4" t="s">
        <v>125</v>
      </c>
      <c r="AD3" s="4" t="s">
        <v>122</v>
      </c>
      <c r="AE3" s="4" t="s">
        <v>125</v>
      </c>
      <c r="AF3" s="4" t="s">
        <v>122</v>
      </c>
      <c r="AG3" s="4" t="s">
        <v>122</v>
      </c>
      <c r="AH3" s="4">
        <v>0</v>
      </c>
      <c r="AI3" s="4" t="s">
        <v>126</v>
      </c>
      <c r="AJ3" s="4" t="s">
        <v>126</v>
      </c>
      <c r="AK3" s="4" t="s">
        <v>126</v>
      </c>
      <c r="AL3" s="4" t="s">
        <v>126</v>
      </c>
      <c r="AM3" s="4" t="s">
        <v>126</v>
      </c>
      <c r="AN3" s="4" t="s">
        <v>130</v>
      </c>
      <c r="AO3" s="4" t="s">
        <v>131</v>
      </c>
      <c r="AP3" s="4">
        <v>27</v>
      </c>
      <c r="AQ3" s="4" t="s">
        <v>132</v>
      </c>
    </row>
    <row r="4" spans="1:44" x14ac:dyDescent="0.3">
      <c r="A4" s="4" t="s">
        <v>46</v>
      </c>
      <c r="B4" s="4" t="s">
        <v>123</v>
      </c>
      <c r="C4" s="4" t="s">
        <v>121</v>
      </c>
      <c r="D4" s="4" t="s">
        <v>123</v>
      </c>
      <c r="E4" s="4" t="s">
        <v>123</v>
      </c>
      <c r="F4" s="4" t="s">
        <v>123</v>
      </c>
      <c r="G4" s="4" t="s">
        <v>123</v>
      </c>
      <c r="H4" s="4" t="s">
        <v>124</v>
      </c>
      <c r="I4" s="4" t="s">
        <v>124</v>
      </c>
      <c r="J4" s="4" t="s">
        <v>124</v>
      </c>
      <c r="K4" s="4" t="s">
        <v>121</v>
      </c>
      <c r="L4" s="4" t="s">
        <v>122</v>
      </c>
      <c r="M4" s="4" t="s">
        <v>121</v>
      </c>
      <c r="N4" s="4" t="s">
        <v>122</v>
      </c>
      <c r="O4" s="4" t="s">
        <v>123</v>
      </c>
      <c r="P4" s="4" t="s">
        <v>121</v>
      </c>
      <c r="Q4" s="4" t="s">
        <v>124</v>
      </c>
      <c r="R4" s="4" t="s">
        <v>123</v>
      </c>
      <c r="S4" s="4" t="s">
        <v>123</v>
      </c>
      <c r="T4" s="4" t="s">
        <v>123</v>
      </c>
      <c r="U4" s="4" t="s">
        <v>121</v>
      </c>
      <c r="V4" s="4" t="s">
        <v>124</v>
      </c>
      <c r="W4" s="4" t="s">
        <v>125</v>
      </c>
      <c r="X4" s="4" t="s">
        <v>124</v>
      </c>
      <c r="Y4" s="4" t="s">
        <v>123</v>
      </c>
      <c r="Z4" s="4" t="s">
        <v>123</v>
      </c>
      <c r="AA4" s="4" t="s">
        <v>123</v>
      </c>
      <c r="AB4" s="4" t="s">
        <v>123</v>
      </c>
      <c r="AC4" s="4" t="s">
        <v>124</v>
      </c>
      <c r="AD4" s="4" t="s">
        <v>121</v>
      </c>
      <c r="AE4" s="4" t="s">
        <v>121</v>
      </c>
      <c r="AF4" s="4" t="s">
        <v>125</v>
      </c>
      <c r="AG4" s="4" t="s">
        <v>122</v>
      </c>
      <c r="AH4" s="4">
        <v>5</v>
      </c>
      <c r="AI4" s="4">
        <v>2</v>
      </c>
      <c r="AJ4" s="4">
        <v>2</v>
      </c>
      <c r="AK4" s="4" t="s">
        <v>126</v>
      </c>
      <c r="AL4" s="4" t="s">
        <v>126</v>
      </c>
      <c r="AM4" s="4">
        <v>4</v>
      </c>
      <c r="AN4" s="4" t="s">
        <v>133</v>
      </c>
      <c r="AO4" s="4" t="s">
        <v>134</v>
      </c>
      <c r="AP4" s="4">
        <v>26</v>
      </c>
      <c r="AQ4" s="4" t="s">
        <v>132</v>
      </c>
    </row>
    <row r="5" spans="1:44" x14ac:dyDescent="0.3">
      <c r="A5" s="4" t="s">
        <v>47</v>
      </c>
      <c r="B5" s="4" t="s">
        <v>125</v>
      </c>
      <c r="C5" s="4" t="s">
        <v>125</v>
      </c>
      <c r="D5" s="4" t="s">
        <v>121</v>
      </c>
      <c r="E5" s="4" t="s">
        <v>123</v>
      </c>
      <c r="F5" s="4" t="s">
        <v>123</v>
      </c>
      <c r="G5" s="4" t="s">
        <v>123</v>
      </c>
      <c r="H5" s="4" t="s">
        <v>124</v>
      </c>
      <c r="I5" s="4" t="s">
        <v>124</v>
      </c>
      <c r="J5" s="4" t="s">
        <v>125</v>
      </c>
      <c r="K5" s="4" t="s">
        <v>125</v>
      </c>
      <c r="L5" s="4" t="s">
        <v>121</v>
      </c>
      <c r="M5" s="4" t="s">
        <v>123</v>
      </c>
      <c r="N5" s="4" t="s">
        <v>123</v>
      </c>
      <c r="O5" s="4" t="s">
        <v>123</v>
      </c>
      <c r="P5" s="4" t="s">
        <v>124</v>
      </c>
      <c r="Q5" s="4" t="s">
        <v>124</v>
      </c>
      <c r="R5" s="4" t="s">
        <v>122</v>
      </c>
      <c r="S5" s="4" t="s">
        <v>123</v>
      </c>
      <c r="T5" s="4" t="s">
        <v>123</v>
      </c>
      <c r="U5" s="4" t="s">
        <v>122</v>
      </c>
      <c r="V5" s="4" t="s">
        <v>124</v>
      </c>
      <c r="W5" s="4" t="s">
        <v>125</v>
      </c>
      <c r="X5" s="4" t="s">
        <v>124</v>
      </c>
      <c r="Y5" s="4" t="s">
        <v>121</v>
      </c>
      <c r="Z5" s="4" t="s">
        <v>121</v>
      </c>
      <c r="AA5" s="4" t="s">
        <v>123</v>
      </c>
      <c r="AB5" s="4" t="s">
        <v>123</v>
      </c>
      <c r="AC5" s="4" t="s">
        <v>124</v>
      </c>
      <c r="AD5" s="4" t="s">
        <v>121</v>
      </c>
      <c r="AE5" s="4" t="s">
        <v>123</v>
      </c>
      <c r="AF5" s="4" t="s">
        <v>125</v>
      </c>
      <c r="AG5" s="4" t="s">
        <v>122</v>
      </c>
      <c r="AH5" s="4">
        <v>0</v>
      </c>
      <c r="AI5" s="4">
        <v>1</v>
      </c>
      <c r="AJ5" s="4" t="s">
        <v>126</v>
      </c>
      <c r="AK5" s="4" t="s">
        <v>126</v>
      </c>
      <c r="AL5" s="4" t="s">
        <v>126</v>
      </c>
      <c r="AM5" s="4">
        <v>1</v>
      </c>
      <c r="AN5" s="4" t="s">
        <v>135</v>
      </c>
      <c r="AO5" s="4" t="s">
        <v>136</v>
      </c>
      <c r="AP5" s="4">
        <v>24</v>
      </c>
      <c r="AQ5" s="4" t="s">
        <v>132</v>
      </c>
    </row>
    <row r="6" spans="1:44" x14ac:dyDescent="0.3">
      <c r="A6" s="4" t="s">
        <v>48</v>
      </c>
      <c r="B6" s="4" t="s">
        <v>121</v>
      </c>
      <c r="C6" s="4" t="s">
        <v>121</v>
      </c>
      <c r="D6" s="4" t="s">
        <v>125</v>
      </c>
      <c r="E6" s="4" t="s">
        <v>121</v>
      </c>
      <c r="F6" s="4" t="s">
        <v>123</v>
      </c>
      <c r="G6" s="4" t="s">
        <v>121</v>
      </c>
      <c r="H6" s="4" t="s">
        <v>124</v>
      </c>
      <c r="I6" s="4" t="s">
        <v>122</v>
      </c>
      <c r="J6" s="4" t="s">
        <v>124</v>
      </c>
      <c r="K6" s="4" t="s">
        <v>121</v>
      </c>
      <c r="L6" s="4" t="s">
        <v>125</v>
      </c>
      <c r="M6" s="4" t="s">
        <v>122</v>
      </c>
      <c r="N6" s="4" t="s">
        <v>125</v>
      </c>
      <c r="O6" s="4" t="s">
        <v>121</v>
      </c>
      <c r="P6" s="4" t="s">
        <v>121</v>
      </c>
      <c r="Q6" s="4" t="s">
        <v>124</v>
      </c>
      <c r="R6" s="4" t="s">
        <v>121</v>
      </c>
      <c r="S6" s="4" t="s">
        <v>121</v>
      </c>
      <c r="T6" s="4" t="s">
        <v>121</v>
      </c>
      <c r="U6" s="4" t="s">
        <v>121</v>
      </c>
      <c r="V6" s="4" t="s">
        <v>124</v>
      </c>
      <c r="W6" s="4" t="s">
        <v>124</v>
      </c>
      <c r="X6" s="4" t="s">
        <v>124</v>
      </c>
      <c r="Y6" s="4" t="s">
        <v>125</v>
      </c>
      <c r="Z6" s="4" t="s">
        <v>122</v>
      </c>
      <c r="AA6" s="4" t="s">
        <v>122</v>
      </c>
      <c r="AB6" s="4" t="s">
        <v>121</v>
      </c>
      <c r="AC6" s="4" t="s">
        <v>124</v>
      </c>
      <c r="AD6" s="4" t="s">
        <v>122</v>
      </c>
      <c r="AE6" s="4" t="s">
        <v>125</v>
      </c>
      <c r="AF6" s="4" t="s">
        <v>125</v>
      </c>
      <c r="AG6" s="4" t="s">
        <v>125</v>
      </c>
      <c r="AH6" s="4">
        <v>0</v>
      </c>
      <c r="AI6" s="4" t="s">
        <v>126</v>
      </c>
      <c r="AJ6" s="4" t="s">
        <v>126</v>
      </c>
      <c r="AK6" s="4" t="s">
        <v>126</v>
      </c>
      <c r="AL6" s="4" t="s">
        <v>126</v>
      </c>
      <c r="AM6" s="4" t="s">
        <v>126</v>
      </c>
      <c r="AN6" s="4" t="s">
        <v>137</v>
      </c>
      <c r="AO6" s="4" t="s">
        <v>131</v>
      </c>
      <c r="AP6" s="4">
        <v>23</v>
      </c>
      <c r="AQ6" s="4" t="s">
        <v>129</v>
      </c>
    </row>
    <row r="7" spans="1:44" x14ac:dyDescent="0.3">
      <c r="A7" s="4" t="s">
        <v>49</v>
      </c>
      <c r="B7" s="4" t="s">
        <v>125</v>
      </c>
      <c r="C7" s="4" t="s">
        <v>124</v>
      </c>
      <c r="D7" s="4" t="s">
        <v>121</v>
      </c>
      <c r="E7" s="4" t="s">
        <v>122</v>
      </c>
      <c r="F7" s="4" t="s">
        <v>123</v>
      </c>
      <c r="G7" s="4" t="s">
        <v>122</v>
      </c>
      <c r="H7" s="4" t="s">
        <v>125</v>
      </c>
      <c r="I7" s="4" t="s">
        <v>124</v>
      </c>
      <c r="J7" s="4" t="s">
        <v>125</v>
      </c>
      <c r="K7" s="4" t="s">
        <v>125</v>
      </c>
      <c r="L7" s="4" t="s">
        <v>122</v>
      </c>
      <c r="M7" s="4" t="s">
        <v>121</v>
      </c>
      <c r="N7" s="4" t="s">
        <v>121</v>
      </c>
      <c r="O7" s="4" t="s">
        <v>121</v>
      </c>
      <c r="P7" s="4" t="s">
        <v>124</v>
      </c>
      <c r="Q7" s="4" t="s">
        <v>125</v>
      </c>
      <c r="R7" s="4" t="s">
        <v>125</v>
      </c>
      <c r="S7" s="4" t="s">
        <v>122</v>
      </c>
      <c r="T7" s="4" t="s">
        <v>122</v>
      </c>
      <c r="U7" s="4" t="s">
        <v>124</v>
      </c>
      <c r="V7" s="4" t="s">
        <v>124</v>
      </c>
      <c r="W7" s="4" t="s">
        <v>125</v>
      </c>
      <c r="X7" s="4" t="s">
        <v>124</v>
      </c>
      <c r="Y7" s="4" t="s">
        <v>122</v>
      </c>
      <c r="Z7" s="4" t="s">
        <v>122</v>
      </c>
      <c r="AA7" s="4" t="s">
        <v>122</v>
      </c>
      <c r="AB7" s="4" t="s">
        <v>121</v>
      </c>
      <c r="AC7" s="4" t="s">
        <v>122</v>
      </c>
      <c r="AD7" s="4" t="s">
        <v>124</v>
      </c>
      <c r="AE7" s="4" t="s">
        <v>122</v>
      </c>
      <c r="AF7" s="4" t="s">
        <v>125</v>
      </c>
      <c r="AG7" s="4" t="s">
        <v>122</v>
      </c>
      <c r="AH7" s="4">
        <v>0</v>
      </c>
      <c r="AI7" s="4" t="s">
        <v>126</v>
      </c>
      <c r="AJ7" s="4" t="s">
        <v>126</v>
      </c>
      <c r="AK7" s="4" t="s">
        <v>126</v>
      </c>
      <c r="AL7" s="4" t="s">
        <v>126</v>
      </c>
      <c r="AM7" s="4" t="s">
        <v>126</v>
      </c>
      <c r="AN7" s="4" t="s">
        <v>138</v>
      </c>
      <c r="AO7" s="4" t="s">
        <v>131</v>
      </c>
      <c r="AP7" s="4">
        <v>25</v>
      </c>
      <c r="AQ7" s="4" t="s">
        <v>132</v>
      </c>
    </row>
    <row r="8" spans="1:44" x14ac:dyDescent="0.3">
      <c r="A8" s="4" t="s">
        <v>50</v>
      </c>
      <c r="B8" s="4" t="s">
        <v>121</v>
      </c>
      <c r="C8" s="4" t="s">
        <v>121</v>
      </c>
      <c r="D8" s="4" t="s">
        <v>125</v>
      </c>
      <c r="E8" s="4" t="s">
        <v>121</v>
      </c>
      <c r="F8" s="4" t="s">
        <v>121</v>
      </c>
      <c r="G8" s="4" t="s">
        <v>123</v>
      </c>
      <c r="H8" s="4" t="s">
        <v>124</v>
      </c>
      <c r="I8" s="4" t="s">
        <v>125</v>
      </c>
      <c r="J8" s="4" t="s">
        <v>124</v>
      </c>
      <c r="K8" s="4" t="s">
        <v>121</v>
      </c>
      <c r="L8" s="4" t="s">
        <v>124</v>
      </c>
      <c r="M8" s="4" t="s">
        <v>122</v>
      </c>
      <c r="N8" s="4" t="s">
        <v>122</v>
      </c>
      <c r="O8" s="4" t="s">
        <v>121</v>
      </c>
      <c r="P8" s="4" t="s">
        <v>121</v>
      </c>
      <c r="Q8" s="4" t="s">
        <v>125</v>
      </c>
      <c r="R8" s="4" t="s">
        <v>121</v>
      </c>
      <c r="S8" s="4" t="s">
        <v>121</v>
      </c>
      <c r="T8" s="4" t="s">
        <v>121</v>
      </c>
      <c r="U8" s="4" t="s">
        <v>121</v>
      </c>
      <c r="V8" s="4" t="s">
        <v>124</v>
      </c>
      <c r="W8" s="4" t="s">
        <v>122</v>
      </c>
      <c r="X8" s="4" t="s">
        <v>124</v>
      </c>
      <c r="Y8" s="4" t="s">
        <v>121</v>
      </c>
      <c r="Z8" s="4" t="s">
        <v>125</v>
      </c>
      <c r="AA8" s="4" t="s">
        <v>122</v>
      </c>
      <c r="AB8" s="4" t="s">
        <v>121</v>
      </c>
      <c r="AC8" s="4" t="s">
        <v>124</v>
      </c>
      <c r="AD8" s="4" t="s">
        <v>122</v>
      </c>
      <c r="AE8" s="4" t="s">
        <v>121</v>
      </c>
      <c r="AF8" s="4" t="s">
        <v>124</v>
      </c>
      <c r="AG8" s="4" t="s">
        <v>125</v>
      </c>
      <c r="AH8" s="4">
        <v>1</v>
      </c>
      <c r="AI8" s="4">
        <v>1</v>
      </c>
      <c r="AJ8" s="4">
        <v>2</v>
      </c>
      <c r="AK8" s="4">
        <v>1</v>
      </c>
      <c r="AL8" s="4">
        <v>1</v>
      </c>
      <c r="AM8" s="4">
        <v>2</v>
      </c>
      <c r="AN8" s="4" t="s">
        <v>139</v>
      </c>
      <c r="AO8" s="4" t="s">
        <v>140</v>
      </c>
      <c r="AP8" s="4">
        <v>22</v>
      </c>
      <c r="AQ8" s="4" t="s">
        <v>132</v>
      </c>
    </row>
    <row r="9" spans="1:44" x14ac:dyDescent="0.3">
      <c r="A9" s="4" t="s">
        <v>51</v>
      </c>
      <c r="B9" s="4" t="s">
        <v>121</v>
      </c>
      <c r="C9" s="4" t="s">
        <v>122</v>
      </c>
      <c r="D9" s="4" t="s">
        <v>121</v>
      </c>
      <c r="E9" s="4" t="s">
        <v>121</v>
      </c>
      <c r="F9" s="4" t="s">
        <v>121</v>
      </c>
      <c r="G9" s="4" t="s">
        <v>121</v>
      </c>
      <c r="H9" s="4" t="s">
        <v>124</v>
      </c>
      <c r="I9" s="4" t="s">
        <v>125</v>
      </c>
      <c r="J9" s="4" t="s">
        <v>124</v>
      </c>
      <c r="K9" s="4" t="s">
        <v>122</v>
      </c>
      <c r="L9" s="4" t="s">
        <v>124</v>
      </c>
      <c r="M9" s="4" t="s">
        <v>121</v>
      </c>
      <c r="N9" s="4" t="s">
        <v>122</v>
      </c>
      <c r="O9" s="4" t="s">
        <v>121</v>
      </c>
      <c r="P9" s="4" t="s">
        <v>122</v>
      </c>
      <c r="Q9" s="4" t="s">
        <v>124</v>
      </c>
      <c r="R9" s="4" t="s">
        <v>122</v>
      </c>
      <c r="S9" s="4" t="s">
        <v>121</v>
      </c>
      <c r="T9" s="4" t="s">
        <v>121</v>
      </c>
      <c r="U9" s="4" t="s">
        <v>121</v>
      </c>
      <c r="V9" s="4" t="s">
        <v>124</v>
      </c>
      <c r="W9" s="4" t="s">
        <v>124</v>
      </c>
      <c r="X9" s="4" t="s">
        <v>124</v>
      </c>
      <c r="Y9" s="4" t="s">
        <v>123</v>
      </c>
      <c r="Z9" s="4" t="s">
        <v>121</v>
      </c>
      <c r="AA9" s="4" t="s">
        <v>123</v>
      </c>
      <c r="AB9" s="4" t="s">
        <v>121</v>
      </c>
      <c r="AC9" s="4" t="s">
        <v>124</v>
      </c>
      <c r="AD9" s="4" t="s">
        <v>121</v>
      </c>
      <c r="AE9" s="4" t="s">
        <v>122</v>
      </c>
      <c r="AF9" s="4" t="s">
        <v>124</v>
      </c>
      <c r="AG9" s="4" t="s">
        <v>122</v>
      </c>
      <c r="AH9" s="4">
        <v>0</v>
      </c>
      <c r="AI9" s="4" t="s">
        <v>126</v>
      </c>
      <c r="AJ9" s="4" t="s">
        <v>126</v>
      </c>
      <c r="AK9" s="4" t="s">
        <v>126</v>
      </c>
      <c r="AL9" s="4" t="s">
        <v>126</v>
      </c>
      <c r="AM9" s="4" t="s">
        <v>126</v>
      </c>
      <c r="AN9" s="4" t="s">
        <v>141</v>
      </c>
      <c r="AO9" s="4" t="s">
        <v>136</v>
      </c>
      <c r="AP9" s="4">
        <v>25</v>
      </c>
      <c r="AQ9" s="4" t="s">
        <v>132</v>
      </c>
    </row>
    <row r="10" spans="1:44" x14ac:dyDescent="0.3">
      <c r="A10" s="4" t="s">
        <v>52</v>
      </c>
      <c r="B10" s="4" t="s">
        <v>122</v>
      </c>
      <c r="C10" s="4" t="s">
        <v>121</v>
      </c>
      <c r="D10" s="4" t="s">
        <v>123</v>
      </c>
      <c r="E10" s="4" t="s">
        <v>123</v>
      </c>
      <c r="F10" s="4" t="s">
        <v>122</v>
      </c>
      <c r="G10" s="4" t="s">
        <v>121</v>
      </c>
      <c r="H10" s="4" t="s">
        <v>124</v>
      </c>
      <c r="I10" s="4" t="s">
        <v>124</v>
      </c>
      <c r="J10" s="4" t="s">
        <v>124</v>
      </c>
      <c r="K10" s="4" t="s">
        <v>121</v>
      </c>
      <c r="L10" s="4" t="s">
        <v>122</v>
      </c>
      <c r="M10" s="4" t="s">
        <v>123</v>
      </c>
      <c r="N10" s="4" t="s">
        <v>122</v>
      </c>
      <c r="O10" s="4" t="s">
        <v>121</v>
      </c>
      <c r="P10" s="4" t="s">
        <v>122</v>
      </c>
      <c r="Q10" s="4" t="s">
        <v>124</v>
      </c>
      <c r="R10" s="4" t="s">
        <v>121</v>
      </c>
      <c r="S10" s="4" t="s">
        <v>121</v>
      </c>
      <c r="T10" s="4" t="s">
        <v>123</v>
      </c>
      <c r="U10" s="4" t="s">
        <v>122</v>
      </c>
      <c r="V10" s="4" t="s">
        <v>122</v>
      </c>
      <c r="W10" s="4" t="s">
        <v>122</v>
      </c>
      <c r="X10" s="4" t="s">
        <v>125</v>
      </c>
      <c r="Y10" s="4" t="s">
        <v>122</v>
      </c>
      <c r="Z10" s="4" t="s">
        <v>122</v>
      </c>
      <c r="AA10" s="4" t="s">
        <v>121</v>
      </c>
      <c r="AB10" s="4" t="s">
        <v>121</v>
      </c>
      <c r="AC10" s="4" t="s">
        <v>124</v>
      </c>
      <c r="AD10" s="4" t="s">
        <v>121</v>
      </c>
      <c r="AE10" s="4" t="s">
        <v>121</v>
      </c>
      <c r="AF10" s="4" t="s">
        <v>122</v>
      </c>
      <c r="AG10" s="4" t="s">
        <v>122</v>
      </c>
      <c r="AH10" s="4" t="s">
        <v>142</v>
      </c>
      <c r="AI10" s="4">
        <v>2</v>
      </c>
      <c r="AJ10" s="4" t="s">
        <v>126</v>
      </c>
      <c r="AK10" s="4" t="s">
        <v>126</v>
      </c>
      <c r="AL10" s="4" t="s">
        <v>126</v>
      </c>
      <c r="AM10" s="4">
        <v>2</v>
      </c>
      <c r="AN10" s="4" t="s">
        <v>143</v>
      </c>
      <c r="AO10" s="4" t="s">
        <v>136</v>
      </c>
      <c r="AP10" s="4">
        <v>22</v>
      </c>
      <c r="AQ10" s="4" t="s">
        <v>132</v>
      </c>
    </row>
    <row r="11" spans="1:44" x14ac:dyDescent="0.3">
      <c r="A11" s="4" t="s">
        <v>53</v>
      </c>
      <c r="B11" s="4" t="s">
        <v>121</v>
      </c>
      <c r="C11" s="4" t="s">
        <v>124</v>
      </c>
      <c r="D11" s="4" t="s">
        <v>121</v>
      </c>
      <c r="E11" s="4" t="s">
        <v>123</v>
      </c>
      <c r="F11" s="4" t="s">
        <v>121</v>
      </c>
      <c r="G11" s="4" t="s">
        <v>121</v>
      </c>
      <c r="H11" s="4" t="s">
        <v>124</v>
      </c>
      <c r="I11" s="4" t="s">
        <v>124</v>
      </c>
      <c r="J11" s="4" t="s">
        <v>125</v>
      </c>
      <c r="K11" s="4" t="s">
        <v>121</v>
      </c>
      <c r="L11" s="4" t="s">
        <v>125</v>
      </c>
      <c r="M11" s="4" t="s">
        <v>121</v>
      </c>
      <c r="N11" s="4" t="s">
        <v>123</v>
      </c>
      <c r="O11" s="4" t="s">
        <v>121</v>
      </c>
      <c r="P11" s="4" t="s">
        <v>125</v>
      </c>
      <c r="Q11" s="4" t="s">
        <v>122</v>
      </c>
      <c r="R11" s="4" t="s">
        <v>121</v>
      </c>
      <c r="S11" s="4" t="s">
        <v>123</v>
      </c>
      <c r="T11" s="4" t="s">
        <v>123</v>
      </c>
      <c r="U11" s="4" t="s">
        <v>121</v>
      </c>
      <c r="V11" s="4" t="s">
        <v>125</v>
      </c>
      <c r="W11" s="4" t="s">
        <v>124</v>
      </c>
      <c r="X11" s="4" t="s">
        <v>124</v>
      </c>
      <c r="Y11" s="4" t="s">
        <v>121</v>
      </c>
      <c r="Z11" s="4" t="s">
        <v>122</v>
      </c>
      <c r="AA11" s="4" t="s">
        <v>125</v>
      </c>
      <c r="AB11" s="4" t="s">
        <v>121</v>
      </c>
      <c r="AC11" s="4" t="s">
        <v>125</v>
      </c>
      <c r="AD11" s="4" t="s">
        <v>122</v>
      </c>
      <c r="AE11" s="4" t="s">
        <v>123</v>
      </c>
      <c r="AF11" s="4" t="s">
        <v>125</v>
      </c>
      <c r="AG11" s="4" t="s">
        <v>125</v>
      </c>
      <c r="AH11" s="4" t="s">
        <v>144</v>
      </c>
      <c r="AI11" s="4">
        <v>4</v>
      </c>
      <c r="AJ11" s="4" t="s">
        <v>145</v>
      </c>
      <c r="AK11" s="4">
        <v>2</v>
      </c>
      <c r="AL11" s="4">
        <v>5</v>
      </c>
      <c r="AM11" s="4">
        <v>1</v>
      </c>
      <c r="AN11" s="4" t="s">
        <v>146</v>
      </c>
      <c r="AO11" s="4" t="s">
        <v>136</v>
      </c>
      <c r="AP11" s="4">
        <v>19</v>
      </c>
      <c r="AQ11" s="4" t="s">
        <v>129</v>
      </c>
    </row>
    <row r="12" spans="1:44" x14ac:dyDescent="0.3">
      <c r="A12" s="4" t="s">
        <v>54</v>
      </c>
      <c r="B12" s="4" t="s">
        <v>121</v>
      </c>
      <c r="C12" s="4" t="s">
        <v>121</v>
      </c>
      <c r="D12" s="4" t="s">
        <v>122</v>
      </c>
      <c r="E12" s="4" t="s">
        <v>121</v>
      </c>
      <c r="F12" s="4" t="s">
        <v>123</v>
      </c>
      <c r="G12" s="4" t="s">
        <v>121</v>
      </c>
      <c r="H12" s="4" t="s">
        <v>124</v>
      </c>
      <c r="I12" s="4" t="s">
        <v>124</v>
      </c>
      <c r="J12" s="4" t="s">
        <v>124</v>
      </c>
      <c r="K12" s="4" t="s">
        <v>121</v>
      </c>
      <c r="L12" s="4" t="s">
        <v>124</v>
      </c>
      <c r="M12" s="4" t="s">
        <v>121</v>
      </c>
      <c r="N12" s="4" t="s">
        <v>122</v>
      </c>
      <c r="O12" s="4" t="s">
        <v>121</v>
      </c>
      <c r="P12" s="4" t="s">
        <v>121</v>
      </c>
      <c r="Q12" s="4" t="s">
        <v>124</v>
      </c>
      <c r="R12" s="4" t="s">
        <v>121</v>
      </c>
      <c r="S12" s="4" t="s">
        <v>123</v>
      </c>
      <c r="T12" s="4" t="s">
        <v>121</v>
      </c>
      <c r="U12" s="4" t="s">
        <v>123</v>
      </c>
      <c r="V12" s="4" t="s">
        <v>125</v>
      </c>
      <c r="W12" s="4" t="s">
        <v>124</v>
      </c>
      <c r="X12" s="4" t="s">
        <v>124</v>
      </c>
      <c r="Y12" s="4" t="s">
        <v>123</v>
      </c>
      <c r="Z12" s="4" t="s">
        <v>122</v>
      </c>
      <c r="AA12" s="4" t="s">
        <v>125</v>
      </c>
      <c r="AB12" s="4" t="s">
        <v>121</v>
      </c>
      <c r="AC12" s="4" t="s">
        <v>125</v>
      </c>
      <c r="AD12" s="4" t="s">
        <v>122</v>
      </c>
      <c r="AE12" s="4" t="s">
        <v>121</v>
      </c>
      <c r="AF12" s="4" t="s">
        <v>124</v>
      </c>
      <c r="AG12" s="4" t="s">
        <v>125</v>
      </c>
      <c r="AH12" s="4">
        <v>5</v>
      </c>
      <c r="AI12" s="4" t="s">
        <v>145</v>
      </c>
      <c r="AJ12" s="4">
        <v>3</v>
      </c>
      <c r="AK12" s="4">
        <v>2</v>
      </c>
      <c r="AL12" s="4">
        <v>3</v>
      </c>
      <c r="AM12" s="4">
        <v>4</v>
      </c>
      <c r="AN12" s="4" t="s">
        <v>147</v>
      </c>
      <c r="AO12" s="4" t="s">
        <v>148</v>
      </c>
      <c r="AP12" s="4">
        <v>22</v>
      </c>
      <c r="AQ12" s="4" t="s">
        <v>129</v>
      </c>
    </row>
    <row r="13" spans="1:44" x14ac:dyDescent="0.3">
      <c r="A13" s="4" t="s">
        <v>55</v>
      </c>
      <c r="B13" s="4" t="s">
        <v>121</v>
      </c>
      <c r="C13" s="4" t="s">
        <v>123</v>
      </c>
      <c r="D13" s="4" t="s">
        <v>123</v>
      </c>
      <c r="E13" s="4" t="s">
        <v>123</v>
      </c>
      <c r="F13" s="4" t="s">
        <v>123</v>
      </c>
      <c r="G13" s="4" t="s">
        <v>123</v>
      </c>
      <c r="H13" s="4" t="s">
        <v>124</v>
      </c>
      <c r="I13" s="4" t="s">
        <v>124</v>
      </c>
      <c r="J13" s="4" t="s">
        <v>124</v>
      </c>
      <c r="K13" s="4" t="s">
        <v>123</v>
      </c>
      <c r="L13" s="4" t="s">
        <v>125</v>
      </c>
      <c r="M13" s="4" t="s">
        <v>123</v>
      </c>
      <c r="N13" s="4" t="s">
        <v>123</v>
      </c>
      <c r="O13" s="4" t="s">
        <v>123</v>
      </c>
      <c r="P13" s="4" t="s">
        <v>122</v>
      </c>
      <c r="Q13" s="4" t="s">
        <v>124</v>
      </c>
      <c r="R13" s="4" t="s">
        <v>121</v>
      </c>
      <c r="S13" s="4" t="s">
        <v>123</v>
      </c>
      <c r="T13" s="4" t="s">
        <v>123</v>
      </c>
      <c r="U13" s="4" t="s">
        <v>122</v>
      </c>
      <c r="V13" s="4" t="s">
        <v>125</v>
      </c>
      <c r="W13" s="4" t="s">
        <v>122</v>
      </c>
      <c r="X13" s="4" t="s">
        <v>124</v>
      </c>
      <c r="Y13" s="4" t="s">
        <v>122</v>
      </c>
      <c r="Z13" s="4" t="s">
        <v>123</v>
      </c>
      <c r="AA13" s="4" t="s">
        <v>123</v>
      </c>
      <c r="AB13" s="4" t="s">
        <v>123</v>
      </c>
      <c r="AC13" s="4" t="s">
        <v>125</v>
      </c>
      <c r="AD13" s="4" t="s">
        <v>123</v>
      </c>
      <c r="AE13" s="4" t="s">
        <v>123</v>
      </c>
      <c r="AF13" s="4" t="s">
        <v>122</v>
      </c>
      <c r="AG13" s="4" t="s">
        <v>121</v>
      </c>
      <c r="AH13" s="4">
        <v>0</v>
      </c>
      <c r="AI13" s="4" t="s">
        <v>126</v>
      </c>
      <c r="AJ13" s="4" t="s">
        <v>126</v>
      </c>
      <c r="AK13" s="4" t="s">
        <v>126</v>
      </c>
      <c r="AL13" s="4">
        <v>1</v>
      </c>
      <c r="AM13" s="4">
        <v>1</v>
      </c>
      <c r="AN13" s="4" t="s">
        <v>149</v>
      </c>
      <c r="AO13" s="4" t="s">
        <v>150</v>
      </c>
      <c r="AP13" s="4">
        <v>27</v>
      </c>
      <c r="AQ13" s="4" t="s">
        <v>132</v>
      </c>
    </row>
    <row r="14" spans="1:44" x14ac:dyDescent="0.3">
      <c r="A14" s="4" t="s">
        <v>56</v>
      </c>
      <c r="B14" s="4" t="s">
        <v>124</v>
      </c>
      <c r="C14" s="4" t="s">
        <v>122</v>
      </c>
      <c r="D14" s="4" t="s">
        <v>121</v>
      </c>
      <c r="E14" s="4" t="s">
        <v>123</v>
      </c>
      <c r="F14" s="4" t="s">
        <v>123</v>
      </c>
      <c r="G14" s="4" t="s">
        <v>122</v>
      </c>
      <c r="H14" s="4" t="s">
        <v>125</v>
      </c>
      <c r="I14" s="4" t="s">
        <v>122</v>
      </c>
      <c r="J14" s="4" t="s">
        <v>124</v>
      </c>
      <c r="K14" s="4" t="s">
        <v>124</v>
      </c>
      <c r="L14" s="4" t="s">
        <v>125</v>
      </c>
      <c r="M14" s="4" t="s">
        <v>122</v>
      </c>
      <c r="N14" s="4" t="s">
        <v>124</v>
      </c>
      <c r="O14" s="4" t="s">
        <v>121</v>
      </c>
      <c r="P14" s="4" t="s">
        <v>124</v>
      </c>
      <c r="Q14" s="4" t="s">
        <v>124</v>
      </c>
      <c r="R14" s="4" t="s">
        <v>122</v>
      </c>
      <c r="S14" s="4" t="s">
        <v>122</v>
      </c>
      <c r="T14" s="4" t="s">
        <v>123</v>
      </c>
      <c r="U14" s="4" t="s">
        <v>125</v>
      </c>
      <c r="V14" s="4" t="s">
        <v>124</v>
      </c>
      <c r="W14" s="4" t="s">
        <v>124</v>
      </c>
      <c r="X14" s="4" t="s">
        <v>124</v>
      </c>
      <c r="Y14" s="4" t="s">
        <v>125</v>
      </c>
      <c r="Z14" s="4" t="s">
        <v>121</v>
      </c>
      <c r="AA14" s="4" t="s">
        <v>122</v>
      </c>
      <c r="AB14" s="4" t="s">
        <v>122</v>
      </c>
      <c r="AC14" s="4" t="s">
        <v>124</v>
      </c>
      <c r="AD14" s="4" t="s">
        <v>125</v>
      </c>
      <c r="AE14" s="4" t="s">
        <v>124</v>
      </c>
      <c r="AF14" s="4" t="s">
        <v>124</v>
      </c>
      <c r="AG14" s="4" t="s">
        <v>122</v>
      </c>
      <c r="AH14" s="4">
        <v>0</v>
      </c>
      <c r="AI14" s="4" t="s">
        <v>126</v>
      </c>
      <c r="AJ14" s="4" t="s">
        <v>126</v>
      </c>
      <c r="AK14" s="4" t="s">
        <v>126</v>
      </c>
      <c r="AL14" s="4" t="s">
        <v>126</v>
      </c>
      <c r="AM14" s="4">
        <v>3</v>
      </c>
      <c r="AN14" s="4" t="s">
        <v>137</v>
      </c>
      <c r="AO14" s="4" t="s">
        <v>150</v>
      </c>
      <c r="AP14" s="4">
        <v>27</v>
      </c>
      <c r="AQ14" s="4" t="s">
        <v>132</v>
      </c>
    </row>
    <row r="15" spans="1:44" x14ac:dyDescent="0.3">
      <c r="A15" s="4" t="s">
        <v>57</v>
      </c>
      <c r="B15" s="4" t="s">
        <v>121</v>
      </c>
      <c r="C15" s="4" t="s">
        <v>122</v>
      </c>
      <c r="D15" s="4" t="s">
        <v>121</v>
      </c>
      <c r="E15" s="4" t="s">
        <v>123</v>
      </c>
      <c r="F15" s="4" t="s">
        <v>123</v>
      </c>
      <c r="G15" s="4" t="s">
        <v>123</v>
      </c>
      <c r="H15" s="4" t="s">
        <v>124</v>
      </c>
      <c r="I15" s="4" t="s">
        <v>124</v>
      </c>
      <c r="J15" s="4" t="s">
        <v>125</v>
      </c>
      <c r="K15" s="4" t="s">
        <v>122</v>
      </c>
      <c r="L15" s="4" t="s">
        <v>125</v>
      </c>
      <c r="M15" s="4" t="s">
        <v>121</v>
      </c>
      <c r="N15" s="4" t="s">
        <v>121</v>
      </c>
      <c r="O15" s="4" t="s">
        <v>121</v>
      </c>
      <c r="P15" s="4" t="s">
        <v>122</v>
      </c>
      <c r="Q15" s="4" t="s">
        <v>125</v>
      </c>
      <c r="R15" s="4" t="s">
        <v>122</v>
      </c>
      <c r="S15" s="4" t="s">
        <v>123</v>
      </c>
      <c r="T15" s="4" t="s">
        <v>123</v>
      </c>
      <c r="U15" s="4" t="s">
        <v>123</v>
      </c>
      <c r="V15" s="4" t="s">
        <v>125</v>
      </c>
      <c r="W15" s="4" t="s">
        <v>125</v>
      </c>
      <c r="X15" s="4" t="s">
        <v>125</v>
      </c>
      <c r="Y15" s="4" t="s">
        <v>123</v>
      </c>
      <c r="Z15" s="4" t="s">
        <v>122</v>
      </c>
      <c r="AA15" s="4" t="s">
        <v>121</v>
      </c>
      <c r="AB15" s="4" t="s">
        <v>123</v>
      </c>
      <c r="AC15" s="4" t="s">
        <v>122</v>
      </c>
      <c r="AD15" s="4" t="s">
        <v>123</v>
      </c>
      <c r="AE15" s="4" t="s">
        <v>123</v>
      </c>
      <c r="AF15" s="4" t="s">
        <v>124</v>
      </c>
      <c r="AG15" s="4" t="s">
        <v>122</v>
      </c>
      <c r="AH15" s="4">
        <v>3</v>
      </c>
      <c r="AI15" s="4">
        <v>2</v>
      </c>
      <c r="AJ15" s="4">
        <v>1</v>
      </c>
      <c r="AK15" s="4" t="s">
        <v>126</v>
      </c>
      <c r="AL15" s="4" t="s">
        <v>126</v>
      </c>
      <c r="AM15" s="4">
        <v>1</v>
      </c>
      <c r="AN15" s="4" t="s">
        <v>151</v>
      </c>
      <c r="AO15" s="4" t="s">
        <v>136</v>
      </c>
      <c r="AP15" s="4">
        <v>20</v>
      </c>
      <c r="AQ15" s="4" t="s">
        <v>129</v>
      </c>
    </row>
    <row r="16" spans="1:44" x14ac:dyDescent="0.3">
      <c r="A16" s="4" t="s">
        <v>58</v>
      </c>
      <c r="B16" s="4" t="s">
        <v>125</v>
      </c>
      <c r="C16" s="4" t="s">
        <v>124</v>
      </c>
      <c r="D16" s="4" t="s">
        <v>121</v>
      </c>
      <c r="E16" s="4" t="s">
        <v>121</v>
      </c>
      <c r="F16" s="4" t="s">
        <v>123</v>
      </c>
      <c r="G16" s="4" t="s">
        <v>122</v>
      </c>
      <c r="H16" s="4" t="s">
        <v>125</v>
      </c>
      <c r="I16" s="4" t="s">
        <v>124</v>
      </c>
      <c r="J16" s="4" t="s">
        <v>125</v>
      </c>
      <c r="K16" s="4" t="s">
        <v>124</v>
      </c>
      <c r="L16" s="4" t="s">
        <v>125</v>
      </c>
      <c r="M16" s="4" t="s">
        <v>125</v>
      </c>
      <c r="N16" s="4" t="s">
        <v>121</v>
      </c>
      <c r="O16" s="4" t="s">
        <v>122</v>
      </c>
      <c r="P16" s="4" t="s">
        <v>124</v>
      </c>
      <c r="Q16" s="4" t="s">
        <v>124</v>
      </c>
      <c r="R16" s="4" t="s">
        <v>124</v>
      </c>
      <c r="S16" s="4" t="s">
        <v>123</v>
      </c>
      <c r="T16" s="4" t="s">
        <v>122</v>
      </c>
      <c r="U16" s="4" t="s">
        <v>124</v>
      </c>
      <c r="V16" s="4" t="s">
        <v>125</v>
      </c>
      <c r="W16" s="4" t="s">
        <v>123</v>
      </c>
      <c r="X16" s="4" t="s">
        <v>124</v>
      </c>
      <c r="Y16" s="4" t="s">
        <v>123</v>
      </c>
      <c r="Z16" s="4" t="s">
        <v>122</v>
      </c>
      <c r="AA16" s="4" t="s">
        <v>124</v>
      </c>
      <c r="AB16" s="4" t="s">
        <v>121</v>
      </c>
      <c r="AC16" s="4" t="s">
        <v>125</v>
      </c>
      <c r="AD16" s="4" t="s">
        <v>125</v>
      </c>
      <c r="AE16" s="4" t="s">
        <v>125</v>
      </c>
      <c r="AF16" s="4" t="s">
        <v>123</v>
      </c>
      <c r="AG16" s="4" t="s">
        <v>122</v>
      </c>
      <c r="AH16" s="4">
        <v>0</v>
      </c>
      <c r="AI16" s="4">
        <v>1</v>
      </c>
      <c r="AJ16" s="4" t="s">
        <v>126</v>
      </c>
      <c r="AK16" s="4">
        <v>1</v>
      </c>
      <c r="AL16" s="4">
        <v>1</v>
      </c>
      <c r="AM16" s="4">
        <v>3</v>
      </c>
      <c r="AN16" s="4" t="s">
        <v>152</v>
      </c>
      <c r="AO16" s="4" t="s">
        <v>136</v>
      </c>
      <c r="AP16" s="4">
        <v>22</v>
      </c>
      <c r="AQ16" s="4" t="s">
        <v>132</v>
      </c>
    </row>
    <row r="17" spans="1:43" x14ac:dyDescent="0.3">
      <c r="A17" s="4" t="s">
        <v>59</v>
      </c>
      <c r="B17" s="4" t="s">
        <v>122</v>
      </c>
      <c r="C17" s="4" t="s">
        <v>122</v>
      </c>
      <c r="D17" s="4" t="s">
        <v>121</v>
      </c>
      <c r="E17" s="4" t="s">
        <v>123</v>
      </c>
      <c r="F17" s="4" t="s">
        <v>121</v>
      </c>
      <c r="G17" s="4" t="s">
        <v>122</v>
      </c>
      <c r="H17" s="4" t="s">
        <v>124</v>
      </c>
      <c r="I17" s="4" t="s">
        <v>122</v>
      </c>
      <c r="J17" s="4" t="s">
        <v>125</v>
      </c>
      <c r="K17" s="4" t="s">
        <v>122</v>
      </c>
      <c r="L17" s="4" t="s">
        <v>125</v>
      </c>
      <c r="M17" s="4" t="s">
        <v>121</v>
      </c>
      <c r="N17" s="4" t="s">
        <v>125</v>
      </c>
      <c r="O17" s="4" t="s">
        <v>122</v>
      </c>
      <c r="P17" s="4" t="s">
        <v>122</v>
      </c>
      <c r="Q17" s="4" t="s">
        <v>125</v>
      </c>
      <c r="R17" s="4" t="s">
        <v>122</v>
      </c>
      <c r="S17" s="4" t="s">
        <v>123</v>
      </c>
      <c r="T17" s="4" t="s">
        <v>122</v>
      </c>
      <c r="U17" s="4" t="s">
        <v>122</v>
      </c>
      <c r="V17" s="4" t="s">
        <v>125</v>
      </c>
      <c r="W17" s="4" t="s">
        <v>125</v>
      </c>
      <c r="X17" s="4" t="s">
        <v>124</v>
      </c>
      <c r="Y17" s="4" t="s">
        <v>125</v>
      </c>
      <c r="Z17" s="4" t="s">
        <v>121</v>
      </c>
      <c r="AA17" s="4" t="s">
        <v>125</v>
      </c>
      <c r="AB17" s="4" t="s">
        <v>122</v>
      </c>
      <c r="AC17" s="4" t="s">
        <v>124</v>
      </c>
      <c r="AD17" s="4" t="s">
        <v>125</v>
      </c>
      <c r="AE17" s="4" t="s">
        <v>124</v>
      </c>
      <c r="AF17" s="4" t="s">
        <v>124</v>
      </c>
      <c r="AG17" s="4" t="s">
        <v>125</v>
      </c>
      <c r="AH17" s="4" t="s">
        <v>153</v>
      </c>
      <c r="AI17" s="4" t="s">
        <v>145</v>
      </c>
      <c r="AJ17" s="4">
        <v>2</v>
      </c>
      <c r="AK17" s="4">
        <v>1</v>
      </c>
      <c r="AL17" s="4" t="s">
        <v>126</v>
      </c>
      <c r="AM17" s="4">
        <v>1</v>
      </c>
      <c r="AN17" s="4" t="s">
        <v>154</v>
      </c>
      <c r="AO17" s="4" t="s">
        <v>136</v>
      </c>
      <c r="AP17" s="4">
        <v>19</v>
      </c>
      <c r="AQ17" s="4" t="s">
        <v>129</v>
      </c>
    </row>
    <row r="18" spans="1:43" x14ac:dyDescent="0.3">
      <c r="A18" s="4" t="s">
        <v>60</v>
      </c>
      <c r="B18" s="4" t="s">
        <v>125</v>
      </c>
      <c r="C18" s="4" t="s">
        <v>122</v>
      </c>
      <c r="D18" s="4" t="s">
        <v>121</v>
      </c>
      <c r="E18" s="4" t="s">
        <v>121</v>
      </c>
      <c r="F18" s="4" t="s">
        <v>121</v>
      </c>
      <c r="G18" s="4" t="s">
        <v>122</v>
      </c>
      <c r="H18" s="4" t="s">
        <v>124</v>
      </c>
      <c r="I18" s="4" t="s">
        <v>122</v>
      </c>
      <c r="J18" s="4" t="s">
        <v>125</v>
      </c>
      <c r="K18" s="4" t="s">
        <v>122</v>
      </c>
      <c r="L18" s="4" t="s">
        <v>121</v>
      </c>
      <c r="M18" s="4" t="s">
        <v>123</v>
      </c>
      <c r="N18" s="4" t="s">
        <v>122</v>
      </c>
      <c r="O18" s="4" t="s">
        <v>121</v>
      </c>
      <c r="P18" s="4" t="s">
        <v>124</v>
      </c>
      <c r="Q18" s="4" t="s">
        <v>125</v>
      </c>
      <c r="R18" s="4" t="s">
        <v>122</v>
      </c>
      <c r="S18" s="4" t="s">
        <v>123</v>
      </c>
      <c r="T18" s="4" t="s">
        <v>121</v>
      </c>
      <c r="U18" s="4" t="s">
        <v>124</v>
      </c>
      <c r="V18" s="4" t="s">
        <v>125</v>
      </c>
      <c r="W18" s="4" t="s">
        <v>121</v>
      </c>
      <c r="X18" s="4" t="s">
        <v>122</v>
      </c>
      <c r="Y18" s="4" t="s">
        <v>123</v>
      </c>
      <c r="Z18" s="4" t="s">
        <v>123</v>
      </c>
      <c r="AA18" s="4" t="s">
        <v>123</v>
      </c>
      <c r="AB18" s="4" t="s">
        <v>122</v>
      </c>
      <c r="AC18" s="4" t="s">
        <v>125</v>
      </c>
      <c r="AD18" s="4" t="s">
        <v>121</v>
      </c>
      <c r="AE18" s="4" t="s">
        <v>122</v>
      </c>
      <c r="AF18" s="4" t="s">
        <v>123</v>
      </c>
      <c r="AG18" s="4" t="s">
        <v>125</v>
      </c>
      <c r="AH18" s="4">
        <v>8</v>
      </c>
      <c r="AI18" s="4" t="s">
        <v>145</v>
      </c>
      <c r="AJ18" s="4" t="s">
        <v>126</v>
      </c>
      <c r="AK18" s="4" t="s">
        <v>126</v>
      </c>
      <c r="AL18" s="4">
        <v>1</v>
      </c>
      <c r="AM18" s="4" t="s">
        <v>126</v>
      </c>
      <c r="AN18" s="4" t="s">
        <v>155</v>
      </c>
      <c r="AO18" s="4" t="s">
        <v>136</v>
      </c>
      <c r="AP18" s="4">
        <v>23</v>
      </c>
      <c r="AQ18" s="4" t="s">
        <v>129</v>
      </c>
    </row>
    <row r="19" spans="1:43" x14ac:dyDescent="0.3">
      <c r="A19" s="4" t="s">
        <v>61</v>
      </c>
      <c r="B19" s="4" t="s">
        <v>125</v>
      </c>
      <c r="C19" s="4" t="s">
        <v>125</v>
      </c>
      <c r="D19" s="4" t="s">
        <v>123</v>
      </c>
      <c r="E19" s="4" t="s">
        <v>121</v>
      </c>
      <c r="F19" s="4" t="s">
        <v>123</v>
      </c>
      <c r="G19" s="4" t="s">
        <v>122</v>
      </c>
      <c r="H19" s="4" t="s">
        <v>122</v>
      </c>
      <c r="I19" s="4" t="s">
        <v>122</v>
      </c>
      <c r="J19" s="4" t="s">
        <v>122</v>
      </c>
      <c r="K19" s="4" t="s">
        <v>124</v>
      </c>
      <c r="L19" s="4" t="s">
        <v>125</v>
      </c>
      <c r="M19" s="4" t="s">
        <v>123</v>
      </c>
      <c r="N19" s="4" t="s">
        <v>122</v>
      </c>
      <c r="O19" s="4" t="s">
        <v>122</v>
      </c>
      <c r="P19" s="4" t="s">
        <v>124</v>
      </c>
      <c r="Q19" s="4" t="s">
        <v>124</v>
      </c>
      <c r="R19" s="4" t="s">
        <v>125</v>
      </c>
      <c r="S19" s="4" t="s">
        <v>121</v>
      </c>
      <c r="T19" s="4" t="s">
        <v>121</v>
      </c>
      <c r="U19" s="4" t="s">
        <v>124</v>
      </c>
      <c r="V19" s="4" t="s">
        <v>124</v>
      </c>
      <c r="W19" s="4" t="s">
        <v>121</v>
      </c>
      <c r="X19" s="4" t="s">
        <v>124</v>
      </c>
      <c r="Y19" s="4" t="s">
        <v>123</v>
      </c>
      <c r="Z19" s="4" t="s">
        <v>123</v>
      </c>
      <c r="AA19" s="4" t="s">
        <v>121</v>
      </c>
      <c r="AB19" s="4" t="s">
        <v>121</v>
      </c>
      <c r="AC19" s="4" t="s">
        <v>122</v>
      </c>
      <c r="AD19" s="4" t="s">
        <v>122</v>
      </c>
      <c r="AE19" s="4" t="s">
        <v>122</v>
      </c>
      <c r="AF19" s="4" t="s">
        <v>121</v>
      </c>
      <c r="AG19" s="4" t="s">
        <v>121</v>
      </c>
      <c r="AH19" s="4" t="s">
        <v>156</v>
      </c>
      <c r="AI19" s="4">
        <v>1</v>
      </c>
      <c r="AJ19" s="4" t="s">
        <v>126</v>
      </c>
      <c r="AK19" s="4" t="s">
        <v>126</v>
      </c>
      <c r="AL19" s="4" t="s">
        <v>126</v>
      </c>
      <c r="AM19" s="4">
        <v>2</v>
      </c>
      <c r="AN19" s="4" t="s">
        <v>157</v>
      </c>
      <c r="AO19" s="4" t="s">
        <v>140</v>
      </c>
      <c r="AP19" s="4">
        <v>26</v>
      </c>
      <c r="AQ19" s="4" t="s">
        <v>132</v>
      </c>
    </row>
    <row r="20" spans="1:43" x14ac:dyDescent="0.3">
      <c r="A20" s="4" t="s">
        <v>62</v>
      </c>
      <c r="B20" s="4" t="s">
        <v>121</v>
      </c>
      <c r="C20" s="4" t="s">
        <v>121</v>
      </c>
      <c r="D20" s="4" t="s">
        <v>124</v>
      </c>
      <c r="E20" s="4" t="s">
        <v>123</v>
      </c>
      <c r="F20" s="4" t="s">
        <v>123</v>
      </c>
      <c r="G20" s="4" t="s">
        <v>121</v>
      </c>
      <c r="H20" s="4" t="s">
        <v>124</v>
      </c>
      <c r="I20" s="4" t="s">
        <v>124</v>
      </c>
      <c r="J20" s="4" t="s">
        <v>124</v>
      </c>
      <c r="K20" s="4" t="s">
        <v>121</v>
      </c>
      <c r="L20" s="4" t="s">
        <v>122</v>
      </c>
      <c r="M20" s="4" t="s">
        <v>121</v>
      </c>
      <c r="N20" s="4" t="s">
        <v>121</v>
      </c>
      <c r="O20" s="4" t="s">
        <v>121</v>
      </c>
      <c r="P20" s="4" t="s">
        <v>121</v>
      </c>
      <c r="Q20" s="4" t="s">
        <v>124</v>
      </c>
      <c r="R20" s="4" t="s">
        <v>121</v>
      </c>
      <c r="S20" s="4" t="s">
        <v>121</v>
      </c>
      <c r="T20" s="4" t="s">
        <v>123</v>
      </c>
      <c r="U20" s="4" t="s">
        <v>121</v>
      </c>
      <c r="V20" s="4" t="s">
        <v>125</v>
      </c>
      <c r="W20" s="4" t="s">
        <v>122</v>
      </c>
      <c r="X20" s="4" t="s">
        <v>124</v>
      </c>
      <c r="Y20" s="4" t="s">
        <v>121</v>
      </c>
      <c r="Z20" s="4" t="s">
        <v>121</v>
      </c>
      <c r="AA20" s="4" t="s">
        <v>122</v>
      </c>
      <c r="AB20" s="4" t="s">
        <v>123</v>
      </c>
      <c r="AC20" s="4" t="s">
        <v>124</v>
      </c>
      <c r="AD20" s="4" t="s">
        <v>122</v>
      </c>
      <c r="AE20" s="4" t="s">
        <v>121</v>
      </c>
      <c r="AF20" s="4" t="s">
        <v>121</v>
      </c>
      <c r="AG20" s="4" t="s">
        <v>122</v>
      </c>
      <c r="AH20" s="4" t="s">
        <v>158</v>
      </c>
      <c r="AI20" s="4" t="s">
        <v>145</v>
      </c>
      <c r="AJ20" s="4">
        <v>3</v>
      </c>
      <c r="AK20" s="4">
        <v>1</v>
      </c>
      <c r="AL20" s="4">
        <v>4</v>
      </c>
      <c r="AM20" s="4">
        <v>3</v>
      </c>
      <c r="AN20" s="4" t="s">
        <v>159</v>
      </c>
      <c r="AO20" s="4" t="s">
        <v>148</v>
      </c>
      <c r="AP20" s="4">
        <v>22</v>
      </c>
      <c r="AQ20" s="4" t="s">
        <v>129</v>
      </c>
    </row>
    <row r="21" spans="1:43" x14ac:dyDescent="0.3">
      <c r="A21" s="4" t="s">
        <v>66</v>
      </c>
      <c r="B21" s="4" t="s">
        <v>122</v>
      </c>
      <c r="C21" s="4" t="s">
        <v>125</v>
      </c>
      <c r="D21" s="4" t="s">
        <v>122</v>
      </c>
      <c r="E21" s="4" t="s">
        <v>121</v>
      </c>
      <c r="F21" s="4" t="s">
        <v>121</v>
      </c>
      <c r="G21" s="4" t="s">
        <v>121</v>
      </c>
      <c r="H21" s="4" t="s">
        <v>124</v>
      </c>
      <c r="I21" s="4" t="s">
        <v>125</v>
      </c>
      <c r="J21" s="4" t="s">
        <v>125</v>
      </c>
      <c r="K21" s="4" t="s">
        <v>122</v>
      </c>
      <c r="L21" s="4" t="s">
        <v>125</v>
      </c>
      <c r="M21" s="4" t="s">
        <v>121</v>
      </c>
      <c r="N21" s="4" t="s">
        <v>125</v>
      </c>
      <c r="O21" s="4" t="s">
        <v>121</v>
      </c>
      <c r="P21" s="4" t="s">
        <v>122</v>
      </c>
      <c r="Q21" s="4" t="s">
        <v>124</v>
      </c>
      <c r="R21" s="4" t="s">
        <v>121</v>
      </c>
      <c r="S21" s="4" t="s">
        <v>121</v>
      </c>
      <c r="T21" s="4" t="s">
        <v>121</v>
      </c>
      <c r="U21" s="4" t="s">
        <v>122</v>
      </c>
      <c r="V21" s="4" t="s">
        <v>124</v>
      </c>
      <c r="W21" s="4" t="s">
        <v>125</v>
      </c>
      <c r="X21" s="4" t="s">
        <v>124</v>
      </c>
      <c r="Y21" s="4" t="s">
        <v>125</v>
      </c>
      <c r="Z21" s="4" t="s">
        <v>121</v>
      </c>
      <c r="AA21" s="4" t="s">
        <v>122</v>
      </c>
      <c r="AB21" s="4" t="s">
        <v>122</v>
      </c>
      <c r="AC21" s="4" t="s">
        <v>125</v>
      </c>
      <c r="AD21" s="4" t="s">
        <v>122</v>
      </c>
      <c r="AE21" s="4" t="s">
        <v>122</v>
      </c>
      <c r="AF21" s="4" t="s">
        <v>125</v>
      </c>
      <c r="AG21" s="4" t="s">
        <v>125</v>
      </c>
      <c r="AH21" s="4" t="s">
        <v>160</v>
      </c>
      <c r="AI21" s="4">
        <v>2</v>
      </c>
      <c r="AJ21" s="4">
        <v>1</v>
      </c>
      <c r="AK21" s="4" t="s">
        <v>126</v>
      </c>
      <c r="AL21" s="4">
        <v>2</v>
      </c>
      <c r="AM21" s="4">
        <v>3</v>
      </c>
      <c r="AN21" s="4" t="s">
        <v>161</v>
      </c>
      <c r="AO21" s="4" t="s">
        <v>131</v>
      </c>
      <c r="AP21" s="4">
        <v>22</v>
      </c>
      <c r="AQ21" s="4" t="s">
        <v>132</v>
      </c>
    </row>
    <row r="22" spans="1:43" x14ac:dyDescent="0.3">
      <c r="A22" s="4" t="s">
        <v>67</v>
      </c>
      <c r="B22" s="4" t="s">
        <v>123</v>
      </c>
      <c r="C22" s="4" t="s">
        <v>121</v>
      </c>
      <c r="D22" s="4" t="s">
        <v>122</v>
      </c>
      <c r="E22" s="4" t="s">
        <v>121</v>
      </c>
      <c r="F22" s="4" t="s">
        <v>121</v>
      </c>
      <c r="G22" s="4" t="s">
        <v>121</v>
      </c>
      <c r="H22" s="4" t="s">
        <v>124</v>
      </c>
      <c r="I22" s="4" t="s">
        <v>124</v>
      </c>
      <c r="J22" s="4" t="s">
        <v>125</v>
      </c>
      <c r="K22" s="4" t="s">
        <v>121</v>
      </c>
      <c r="L22" s="4" t="s">
        <v>124</v>
      </c>
      <c r="M22" s="4" t="s">
        <v>122</v>
      </c>
      <c r="N22" s="4" t="s">
        <v>125</v>
      </c>
      <c r="O22" s="4" t="s">
        <v>125</v>
      </c>
      <c r="P22" s="4" t="s">
        <v>125</v>
      </c>
      <c r="Q22" s="4" t="s">
        <v>125</v>
      </c>
      <c r="R22" s="4" t="s">
        <v>121</v>
      </c>
      <c r="S22" s="4" t="s">
        <v>125</v>
      </c>
      <c r="T22" s="4" t="s">
        <v>121</v>
      </c>
      <c r="U22" s="4" t="s">
        <v>122</v>
      </c>
      <c r="V22" s="4" t="s">
        <v>124</v>
      </c>
      <c r="W22" s="4" t="s">
        <v>124</v>
      </c>
      <c r="X22" s="4" t="s">
        <v>124</v>
      </c>
      <c r="Y22" s="4" t="s">
        <v>122</v>
      </c>
      <c r="Z22" s="4" t="s">
        <v>122</v>
      </c>
      <c r="AA22" s="4" t="s">
        <v>121</v>
      </c>
      <c r="AB22" s="4" t="s">
        <v>122</v>
      </c>
      <c r="AC22" s="4" t="s">
        <v>124</v>
      </c>
      <c r="AD22" s="4" t="s">
        <v>124</v>
      </c>
      <c r="AE22" s="4" t="s">
        <v>125</v>
      </c>
      <c r="AF22" s="4" t="s">
        <v>124</v>
      </c>
      <c r="AG22" s="4" t="s">
        <v>124</v>
      </c>
      <c r="AH22" s="4">
        <v>0</v>
      </c>
      <c r="AI22" s="4" t="s">
        <v>126</v>
      </c>
      <c r="AJ22" s="4" t="s">
        <v>126</v>
      </c>
      <c r="AK22" s="4" t="s">
        <v>126</v>
      </c>
      <c r="AL22" s="4" t="s">
        <v>126</v>
      </c>
      <c r="AM22" s="4" t="s">
        <v>126</v>
      </c>
      <c r="AN22" s="4" t="s">
        <v>154</v>
      </c>
      <c r="AO22" s="4" t="s">
        <v>136</v>
      </c>
      <c r="AP22" s="4">
        <v>19</v>
      </c>
      <c r="AQ22" s="4" t="s">
        <v>132</v>
      </c>
    </row>
    <row r="23" spans="1:43" x14ac:dyDescent="0.3">
      <c r="A23" s="4" t="s">
        <v>68</v>
      </c>
      <c r="B23" s="4" t="s">
        <v>121</v>
      </c>
      <c r="C23" s="4" t="s">
        <v>122</v>
      </c>
      <c r="D23" s="4" t="s">
        <v>122</v>
      </c>
      <c r="E23" s="4" t="s">
        <v>121</v>
      </c>
      <c r="F23" s="4" t="s">
        <v>121</v>
      </c>
      <c r="G23" s="4" t="s">
        <v>123</v>
      </c>
      <c r="H23" s="4" t="s">
        <v>124</v>
      </c>
      <c r="I23" s="4" t="s">
        <v>122</v>
      </c>
      <c r="J23" s="4" t="s">
        <v>124</v>
      </c>
      <c r="K23" s="4" t="s">
        <v>121</v>
      </c>
      <c r="L23" s="4" t="s">
        <v>125</v>
      </c>
      <c r="M23" s="4" t="s">
        <v>121</v>
      </c>
      <c r="N23" s="4" t="s">
        <v>122</v>
      </c>
      <c r="O23" s="4" t="s">
        <v>121</v>
      </c>
      <c r="P23" s="4" t="s">
        <v>122</v>
      </c>
      <c r="Q23" s="4" t="s">
        <v>125</v>
      </c>
      <c r="R23" s="4" t="s">
        <v>122</v>
      </c>
      <c r="S23" s="4" t="s">
        <v>123</v>
      </c>
      <c r="T23" s="4" t="s">
        <v>121</v>
      </c>
      <c r="U23" s="4" t="s">
        <v>122</v>
      </c>
      <c r="V23" s="4" t="s">
        <v>124</v>
      </c>
      <c r="W23" s="4" t="s">
        <v>125</v>
      </c>
      <c r="X23" s="4" t="s">
        <v>124</v>
      </c>
      <c r="Y23" s="4" t="s">
        <v>125</v>
      </c>
      <c r="Z23" s="4" t="s">
        <v>122</v>
      </c>
      <c r="AA23" s="4" t="s">
        <v>122</v>
      </c>
      <c r="AB23" s="4" t="s">
        <v>122</v>
      </c>
      <c r="AC23" s="4" t="s">
        <v>125</v>
      </c>
      <c r="AD23" s="4" t="s">
        <v>122</v>
      </c>
      <c r="AE23" s="4" t="s">
        <v>122</v>
      </c>
      <c r="AF23" s="4" t="s">
        <v>124</v>
      </c>
      <c r="AG23" s="4" t="s">
        <v>125</v>
      </c>
      <c r="AH23" s="4">
        <v>0</v>
      </c>
      <c r="AI23" s="4">
        <v>2</v>
      </c>
      <c r="AJ23" s="4" t="s">
        <v>126</v>
      </c>
      <c r="AK23" s="4" t="s">
        <v>126</v>
      </c>
      <c r="AL23" s="4" t="s">
        <v>126</v>
      </c>
      <c r="AM23" s="4" t="s">
        <v>126</v>
      </c>
      <c r="AN23" s="4" t="s">
        <v>162</v>
      </c>
      <c r="AO23" s="4" t="s">
        <v>148</v>
      </c>
      <c r="AP23" s="4">
        <v>24</v>
      </c>
      <c r="AQ23" s="4" t="s">
        <v>129</v>
      </c>
    </row>
    <row r="24" spans="1:43" x14ac:dyDescent="0.3">
      <c r="A24" s="4" t="s">
        <v>69</v>
      </c>
      <c r="B24" s="4" t="s">
        <v>121</v>
      </c>
      <c r="C24" s="4" t="s">
        <v>121</v>
      </c>
      <c r="D24" s="4" t="s">
        <v>121</v>
      </c>
      <c r="E24" s="4" t="s">
        <v>123</v>
      </c>
      <c r="F24" s="4" t="s">
        <v>123</v>
      </c>
      <c r="G24" s="4" t="s">
        <v>121</v>
      </c>
      <c r="H24" s="4" t="s">
        <v>125</v>
      </c>
      <c r="I24" s="4" t="s">
        <v>125</v>
      </c>
      <c r="J24" s="4" t="s">
        <v>125</v>
      </c>
      <c r="K24" s="4" t="s">
        <v>121</v>
      </c>
      <c r="L24" s="4" t="s">
        <v>125</v>
      </c>
      <c r="M24" s="4" t="s">
        <v>123</v>
      </c>
      <c r="N24" s="4" t="s">
        <v>122</v>
      </c>
      <c r="O24" s="4" t="s">
        <v>121</v>
      </c>
      <c r="P24" s="4" t="s">
        <v>121</v>
      </c>
      <c r="Q24" s="4" t="s">
        <v>125</v>
      </c>
      <c r="R24" s="4" t="s">
        <v>121</v>
      </c>
      <c r="S24" s="4" t="s">
        <v>121</v>
      </c>
      <c r="T24" s="4" t="s">
        <v>121</v>
      </c>
      <c r="U24" s="4" t="s">
        <v>121</v>
      </c>
      <c r="V24" s="4" t="s">
        <v>125</v>
      </c>
      <c r="W24" s="4" t="s">
        <v>125</v>
      </c>
      <c r="X24" s="4" t="s">
        <v>125</v>
      </c>
      <c r="Y24" s="4" t="s">
        <v>121</v>
      </c>
      <c r="Z24" s="4" t="s">
        <v>121</v>
      </c>
      <c r="AA24" s="4" t="s">
        <v>121</v>
      </c>
      <c r="AB24" s="4" t="s">
        <v>122</v>
      </c>
      <c r="AC24" s="4" t="s">
        <v>122</v>
      </c>
      <c r="AD24" s="4" t="s">
        <v>121</v>
      </c>
      <c r="AE24" s="4" t="s">
        <v>122</v>
      </c>
      <c r="AF24" s="4" t="s">
        <v>124</v>
      </c>
      <c r="AG24" s="4" t="s">
        <v>122</v>
      </c>
      <c r="AH24" s="4">
        <v>0</v>
      </c>
      <c r="AI24" s="4">
        <v>1</v>
      </c>
      <c r="AJ24" s="4" t="s">
        <v>126</v>
      </c>
      <c r="AK24" s="4" t="s">
        <v>126</v>
      </c>
      <c r="AL24" s="4">
        <v>1</v>
      </c>
      <c r="AM24" s="4" t="s">
        <v>126</v>
      </c>
      <c r="AN24" s="4" t="s">
        <v>163</v>
      </c>
      <c r="AO24" s="4" t="s">
        <v>136</v>
      </c>
      <c r="AP24" s="4">
        <v>22</v>
      </c>
      <c r="AQ24" s="4" t="s">
        <v>132</v>
      </c>
    </row>
    <row r="25" spans="1:43" x14ac:dyDescent="0.3">
      <c r="A25" s="4" t="s">
        <v>70</v>
      </c>
      <c r="B25" s="4" t="s">
        <v>122</v>
      </c>
      <c r="C25" s="4" t="s">
        <v>125</v>
      </c>
      <c r="D25" s="4" t="s">
        <v>122</v>
      </c>
      <c r="E25" s="4" t="s">
        <v>123</v>
      </c>
      <c r="F25" s="4" t="s">
        <v>123</v>
      </c>
      <c r="G25" s="4" t="s">
        <v>121</v>
      </c>
      <c r="H25" s="4" t="s">
        <v>125</v>
      </c>
      <c r="I25" s="4" t="s">
        <v>124</v>
      </c>
      <c r="J25" s="4" t="s">
        <v>124</v>
      </c>
      <c r="K25" s="4" t="s">
        <v>122</v>
      </c>
      <c r="L25" s="4" t="s">
        <v>122</v>
      </c>
      <c r="M25" s="4" t="s">
        <v>123</v>
      </c>
      <c r="N25" s="4" t="s">
        <v>121</v>
      </c>
      <c r="O25" s="4" t="s">
        <v>122</v>
      </c>
      <c r="P25" s="4" t="s">
        <v>125</v>
      </c>
      <c r="Q25" s="4" t="s">
        <v>124</v>
      </c>
      <c r="R25" s="4" t="s">
        <v>122</v>
      </c>
      <c r="S25" s="4" t="s">
        <v>121</v>
      </c>
      <c r="T25" s="4" t="s">
        <v>121</v>
      </c>
      <c r="U25" s="4" t="s">
        <v>125</v>
      </c>
      <c r="V25" s="4" t="s">
        <v>125</v>
      </c>
      <c r="W25" s="4" t="s">
        <v>124</v>
      </c>
      <c r="X25" s="4" t="s">
        <v>124</v>
      </c>
      <c r="Y25" s="4" t="s">
        <v>125</v>
      </c>
      <c r="Z25" s="4" t="s">
        <v>122</v>
      </c>
      <c r="AA25" s="4" t="s">
        <v>123</v>
      </c>
      <c r="AB25" s="4" t="s">
        <v>123</v>
      </c>
      <c r="AC25" s="4" t="s">
        <v>125</v>
      </c>
      <c r="AD25" s="4" t="s">
        <v>123</v>
      </c>
      <c r="AE25" s="4" t="s">
        <v>121</v>
      </c>
      <c r="AF25" s="4" t="s">
        <v>125</v>
      </c>
      <c r="AG25" s="4" t="s">
        <v>121</v>
      </c>
      <c r="AH25" s="4">
        <v>10</v>
      </c>
      <c r="AI25" s="4">
        <v>5</v>
      </c>
      <c r="AJ25" s="4">
        <v>1</v>
      </c>
      <c r="AK25" s="4">
        <v>1</v>
      </c>
      <c r="AL25" s="4">
        <v>3</v>
      </c>
      <c r="AM25" s="4">
        <v>4</v>
      </c>
      <c r="AN25" s="4" t="s">
        <v>164</v>
      </c>
      <c r="AO25" s="4" t="s">
        <v>148</v>
      </c>
      <c r="AP25" s="4">
        <v>26</v>
      </c>
      <c r="AQ25" s="4" t="s">
        <v>129</v>
      </c>
    </row>
    <row r="26" spans="1:43" x14ac:dyDescent="0.3">
      <c r="A26" s="4" t="s">
        <v>71</v>
      </c>
      <c r="B26" s="4" t="s">
        <v>121</v>
      </c>
      <c r="C26" s="4" t="s">
        <v>121</v>
      </c>
      <c r="D26" s="4" t="s">
        <v>123</v>
      </c>
      <c r="E26" s="4" t="s">
        <v>123</v>
      </c>
      <c r="F26" s="4" t="s">
        <v>123</v>
      </c>
      <c r="G26" s="4" t="s">
        <v>123</v>
      </c>
      <c r="H26" s="4" t="s">
        <v>124</v>
      </c>
      <c r="I26" s="4" t="s">
        <v>124</v>
      </c>
      <c r="J26" s="4" t="s">
        <v>124</v>
      </c>
      <c r="K26" s="4" t="s">
        <v>121</v>
      </c>
      <c r="L26" s="4" t="s">
        <v>125</v>
      </c>
      <c r="M26" s="4" t="s">
        <v>121</v>
      </c>
      <c r="N26" s="4" t="s">
        <v>121</v>
      </c>
      <c r="O26" s="4" t="s">
        <v>121</v>
      </c>
      <c r="P26" s="4" t="s">
        <v>121</v>
      </c>
      <c r="Q26" s="4" t="s">
        <v>124</v>
      </c>
      <c r="R26" s="4" t="s">
        <v>122</v>
      </c>
      <c r="S26" s="4" t="s">
        <v>121</v>
      </c>
      <c r="T26" s="4" t="s">
        <v>123</v>
      </c>
      <c r="U26" s="4" t="s">
        <v>122</v>
      </c>
      <c r="V26" s="4" t="s">
        <v>124</v>
      </c>
      <c r="W26" s="4" t="s">
        <v>125</v>
      </c>
      <c r="X26" s="4" t="s">
        <v>124</v>
      </c>
      <c r="Y26" s="4" t="s">
        <v>122</v>
      </c>
      <c r="Z26" s="4" t="s">
        <v>121</v>
      </c>
      <c r="AA26" s="4" t="s">
        <v>121</v>
      </c>
      <c r="AB26" s="4" t="s">
        <v>123</v>
      </c>
      <c r="AC26" s="4" t="s">
        <v>124</v>
      </c>
      <c r="AD26" s="4" t="s">
        <v>122</v>
      </c>
      <c r="AE26" s="4" t="s">
        <v>122</v>
      </c>
      <c r="AF26" s="4" t="s">
        <v>125</v>
      </c>
      <c r="AG26" s="4" t="s">
        <v>125</v>
      </c>
      <c r="AH26" s="4">
        <v>3</v>
      </c>
      <c r="AI26" s="4">
        <v>1</v>
      </c>
      <c r="AJ26" s="4" t="s">
        <v>126</v>
      </c>
      <c r="AK26" s="4" t="s">
        <v>126</v>
      </c>
      <c r="AL26" s="4" t="s">
        <v>126</v>
      </c>
      <c r="AM26" s="4" t="s">
        <v>126</v>
      </c>
      <c r="AN26" s="4" t="s">
        <v>165</v>
      </c>
      <c r="AO26" s="4" t="s">
        <v>150</v>
      </c>
      <c r="AP26" s="4">
        <v>29</v>
      </c>
      <c r="AQ26" s="4" t="s">
        <v>129</v>
      </c>
    </row>
    <row r="27" spans="1:43" x14ac:dyDescent="0.3">
      <c r="A27" s="4" t="s">
        <v>72</v>
      </c>
      <c r="B27" s="4" t="s">
        <v>122</v>
      </c>
      <c r="C27" s="4" t="s">
        <v>121</v>
      </c>
      <c r="D27" s="4" t="s">
        <v>124</v>
      </c>
      <c r="E27" s="4" t="s">
        <v>121</v>
      </c>
      <c r="F27" s="4" t="s">
        <v>122</v>
      </c>
      <c r="G27" s="4" t="s">
        <v>121</v>
      </c>
      <c r="H27" s="4" t="s">
        <v>124</v>
      </c>
      <c r="I27" s="4" t="s">
        <v>125</v>
      </c>
      <c r="J27" s="4" t="s">
        <v>125</v>
      </c>
      <c r="K27" s="4" t="s">
        <v>122</v>
      </c>
      <c r="L27" s="4" t="s">
        <v>124</v>
      </c>
      <c r="M27" s="4" t="s">
        <v>121</v>
      </c>
      <c r="N27" s="4" t="s">
        <v>124</v>
      </c>
      <c r="O27" s="4" t="s">
        <v>121</v>
      </c>
      <c r="P27" s="4" t="s">
        <v>121</v>
      </c>
      <c r="Q27" s="4" t="s">
        <v>125</v>
      </c>
      <c r="R27" s="4" t="s">
        <v>122</v>
      </c>
      <c r="S27" s="4" t="s">
        <v>123</v>
      </c>
      <c r="T27" s="4" t="s">
        <v>121</v>
      </c>
      <c r="U27" s="4" t="s">
        <v>121</v>
      </c>
      <c r="V27" s="4" t="s">
        <v>124</v>
      </c>
      <c r="W27" s="4" t="s">
        <v>125</v>
      </c>
      <c r="X27" s="4" t="s">
        <v>124</v>
      </c>
      <c r="Y27" s="4" t="s">
        <v>125</v>
      </c>
      <c r="Z27" s="4" t="s">
        <v>121</v>
      </c>
      <c r="AA27" s="4" t="s">
        <v>121</v>
      </c>
      <c r="AB27" s="4" t="s">
        <v>125</v>
      </c>
      <c r="AC27" s="4" t="s">
        <v>124</v>
      </c>
      <c r="AD27" s="4" t="s">
        <v>122</v>
      </c>
      <c r="AE27" s="4" t="s">
        <v>124</v>
      </c>
      <c r="AF27" s="4" t="s">
        <v>125</v>
      </c>
      <c r="AG27" s="4" t="s">
        <v>122</v>
      </c>
      <c r="AH27" s="4">
        <v>6</v>
      </c>
      <c r="AI27" s="4">
        <v>3</v>
      </c>
      <c r="AJ27" s="4" t="s">
        <v>126</v>
      </c>
      <c r="AK27" s="4" t="s">
        <v>126</v>
      </c>
      <c r="AL27" s="4" t="s">
        <v>126</v>
      </c>
      <c r="AM27" s="4">
        <v>2</v>
      </c>
      <c r="AN27" s="4" t="s">
        <v>166</v>
      </c>
      <c r="AO27" s="4" t="s">
        <v>148</v>
      </c>
      <c r="AP27" s="4">
        <v>21</v>
      </c>
      <c r="AQ27" s="4" t="s">
        <v>129</v>
      </c>
    </row>
    <row r="28" spans="1:43" x14ac:dyDescent="0.3">
      <c r="A28" s="4" t="s">
        <v>73</v>
      </c>
      <c r="B28" s="4" t="s">
        <v>121</v>
      </c>
      <c r="C28" s="4" t="s">
        <v>121</v>
      </c>
      <c r="D28" s="4" t="s">
        <v>124</v>
      </c>
      <c r="E28" s="4" t="s">
        <v>123</v>
      </c>
      <c r="F28" s="4" t="s">
        <v>123</v>
      </c>
      <c r="G28" s="4" t="s">
        <v>123</v>
      </c>
      <c r="H28" s="4" t="s">
        <v>124</v>
      </c>
      <c r="I28" s="4" t="s">
        <v>124</v>
      </c>
      <c r="J28" s="4" t="s">
        <v>124</v>
      </c>
      <c r="K28" s="4" t="s">
        <v>121</v>
      </c>
      <c r="L28" s="4" t="s">
        <v>125</v>
      </c>
      <c r="M28" s="4" t="s">
        <v>123</v>
      </c>
      <c r="N28" s="4" t="s">
        <v>121</v>
      </c>
      <c r="O28" s="4" t="s">
        <v>121</v>
      </c>
      <c r="P28" s="4" t="s">
        <v>121</v>
      </c>
      <c r="Q28" s="4" t="s">
        <v>124</v>
      </c>
      <c r="R28" s="4" t="s">
        <v>121</v>
      </c>
      <c r="S28" s="4" t="s">
        <v>123</v>
      </c>
      <c r="T28" s="4" t="s">
        <v>123</v>
      </c>
      <c r="U28" s="4" t="s">
        <v>122</v>
      </c>
      <c r="V28" s="4" t="s">
        <v>124</v>
      </c>
      <c r="W28" s="4" t="s">
        <v>124</v>
      </c>
      <c r="X28" s="4" t="s">
        <v>124</v>
      </c>
      <c r="Y28" s="4" t="s">
        <v>123</v>
      </c>
      <c r="Z28" s="4" t="s">
        <v>121</v>
      </c>
      <c r="AA28" s="4" t="s">
        <v>122</v>
      </c>
      <c r="AB28" s="4" t="s">
        <v>123</v>
      </c>
      <c r="AC28" s="4" t="s">
        <v>124</v>
      </c>
      <c r="AD28" s="4" t="s">
        <v>122</v>
      </c>
      <c r="AE28" s="4" t="s">
        <v>123</v>
      </c>
      <c r="AF28" s="4" t="s">
        <v>122</v>
      </c>
      <c r="AG28" s="4" t="s">
        <v>122</v>
      </c>
      <c r="AH28" s="4">
        <v>2</v>
      </c>
      <c r="AI28" s="4">
        <v>3</v>
      </c>
      <c r="AJ28" s="4">
        <v>1</v>
      </c>
      <c r="AK28" s="4">
        <v>1</v>
      </c>
      <c r="AL28" s="4">
        <v>1</v>
      </c>
      <c r="AM28" s="4">
        <v>2</v>
      </c>
      <c r="AN28" s="4" t="s">
        <v>167</v>
      </c>
      <c r="AO28" s="4" t="s">
        <v>148</v>
      </c>
      <c r="AP28" s="4">
        <v>26</v>
      </c>
      <c r="AQ28" s="4" t="s">
        <v>129</v>
      </c>
    </row>
    <row r="29" spans="1:43" x14ac:dyDescent="0.3">
      <c r="A29" s="4" t="s">
        <v>74</v>
      </c>
      <c r="B29" s="4" t="s">
        <v>121</v>
      </c>
      <c r="C29" s="4" t="s">
        <v>122</v>
      </c>
      <c r="D29" s="4" t="s">
        <v>122</v>
      </c>
      <c r="E29" s="4" t="s">
        <v>123</v>
      </c>
      <c r="F29" s="4" t="s">
        <v>123</v>
      </c>
      <c r="G29" s="4" t="s">
        <v>123</v>
      </c>
      <c r="H29" s="4" t="s">
        <v>124</v>
      </c>
      <c r="I29" s="4" t="s">
        <v>125</v>
      </c>
      <c r="J29" s="4" t="s">
        <v>124</v>
      </c>
      <c r="K29" s="4" t="s">
        <v>121</v>
      </c>
      <c r="L29" s="4" t="s">
        <v>125</v>
      </c>
      <c r="M29" s="4" t="s">
        <v>122</v>
      </c>
      <c r="N29" s="4" t="s">
        <v>121</v>
      </c>
      <c r="O29" s="4" t="s">
        <v>123</v>
      </c>
      <c r="P29" s="4" t="s">
        <v>121</v>
      </c>
      <c r="Q29" s="4" t="s">
        <v>124</v>
      </c>
      <c r="R29" s="4" t="s">
        <v>123</v>
      </c>
      <c r="S29" s="4" t="s">
        <v>123</v>
      </c>
      <c r="T29" s="4" t="s">
        <v>123</v>
      </c>
      <c r="U29" s="4" t="s">
        <v>122</v>
      </c>
      <c r="V29" s="4" t="s">
        <v>122</v>
      </c>
      <c r="W29" s="4" t="s">
        <v>125</v>
      </c>
      <c r="X29" s="4" t="s">
        <v>124</v>
      </c>
      <c r="Y29" s="4" t="s">
        <v>123</v>
      </c>
      <c r="Z29" s="4" t="s">
        <v>122</v>
      </c>
      <c r="AA29" s="4" t="s">
        <v>125</v>
      </c>
      <c r="AB29" s="4" t="s">
        <v>123</v>
      </c>
      <c r="AC29" s="4" t="s">
        <v>122</v>
      </c>
      <c r="AD29" s="4" t="s">
        <v>122</v>
      </c>
      <c r="AE29" s="4" t="s">
        <v>121</v>
      </c>
      <c r="AF29" s="4" t="s">
        <v>125</v>
      </c>
      <c r="AG29" s="4" t="s">
        <v>124</v>
      </c>
      <c r="AH29" s="4">
        <v>3</v>
      </c>
      <c r="AI29" s="4">
        <v>2</v>
      </c>
      <c r="AJ29" s="4">
        <v>1</v>
      </c>
      <c r="AK29" s="4">
        <v>4</v>
      </c>
      <c r="AL29" s="4" t="s">
        <v>145</v>
      </c>
      <c r="AM29" s="4">
        <v>4</v>
      </c>
      <c r="AN29" s="4" t="s">
        <v>168</v>
      </c>
      <c r="AO29" s="4" t="s">
        <v>131</v>
      </c>
      <c r="AP29" s="4">
        <v>29</v>
      </c>
      <c r="AQ29" s="4" t="s">
        <v>169</v>
      </c>
    </row>
    <row r="30" spans="1:43" x14ac:dyDescent="0.3">
      <c r="A30" s="4" t="s">
        <v>75</v>
      </c>
      <c r="B30" s="4" t="s">
        <v>122</v>
      </c>
      <c r="C30" s="4" t="s">
        <v>122</v>
      </c>
      <c r="D30" s="4" t="s">
        <v>121</v>
      </c>
      <c r="E30" s="4" t="s">
        <v>123</v>
      </c>
      <c r="F30" s="4" t="s">
        <v>123</v>
      </c>
      <c r="G30" s="4" t="s">
        <v>121</v>
      </c>
      <c r="H30" s="4" t="s">
        <v>124</v>
      </c>
      <c r="I30" s="4" t="s">
        <v>124</v>
      </c>
      <c r="J30" s="4" t="s">
        <v>122</v>
      </c>
      <c r="K30" s="4" t="s">
        <v>122</v>
      </c>
      <c r="L30" s="4" t="s">
        <v>125</v>
      </c>
      <c r="M30" s="4" t="s">
        <v>121</v>
      </c>
      <c r="N30" s="4" t="s">
        <v>121</v>
      </c>
      <c r="O30" s="4" t="s">
        <v>121</v>
      </c>
      <c r="P30" s="4" t="s">
        <v>122</v>
      </c>
      <c r="Q30" s="4" t="s">
        <v>124</v>
      </c>
      <c r="R30" s="4" t="s">
        <v>122</v>
      </c>
      <c r="S30" s="4" t="s">
        <v>121</v>
      </c>
      <c r="T30" s="4" t="s">
        <v>121</v>
      </c>
      <c r="U30" s="4" t="s">
        <v>124</v>
      </c>
      <c r="V30" s="4" t="s">
        <v>125</v>
      </c>
      <c r="W30" s="4" t="s">
        <v>124</v>
      </c>
      <c r="X30" s="4" t="s">
        <v>124</v>
      </c>
      <c r="Y30" s="4" t="s">
        <v>125</v>
      </c>
      <c r="Z30" s="4" t="s">
        <v>122</v>
      </c>
      <c r="AA30" s="4" t="s">
        <v>123</v>
      </c>
      <c r="AB30" s="4" t="s">
        <v>123</v>
      </c>
      <c r="AC30" s="4" t="s">
        <v>125</v>
      </c>
      <c r="AD30" s="4" t="s">
        <v>121</v>
      </c>
      <c r="AE30" s="4" t="s">
        <v>121</v>
      </c>
      <c r="AF30" s="4" t="s">
        <v>124</v>
      </c>
      <c r="AG30" s="4" t="s">
        <v>121</v>
      </c>
      <c r="AH30" s="4">
        <v>0.5</v>
      </c>
      <c r="AI30" s="4">
        <v>2</v>
      </c>
      <c r="AJ30" s="4" t="s">
        <v>126</v>
      </c>
      <c r="AK30" s="4" t="s">
        <v>126</v>
      </c>
      <c r="AL30" s="4" t="s">
        <v>126</v>
      </c>
      <c r="AM30" s="4" t="s">
        <v>126</v>
      </c>
      <c r="AN30" s="4" t="s">
        <v>170</v>
      </c>
      <c r="AO30" s="4" t="s">
        <v>171</v>
      </c>
      <c r="AP30" s="4">
        <v>25</v>
      </c>
      <c r="AQ30" s="4" t="s">
        <v>129</v>
      </c>
    </row>
    <row r="31" spans="1:43" x14ac:dyDescent="0.3">
      <c r="A31" s="4" t="s">
        <v>76</v>
      </c>
      <c r="B31" s="4" t="s">
        <v>121</v>
      </c>
      <c r="C31" s="4" t="s">
        <v>122</v>
      </c>
      <c r="D31" s="4" t="s">
        <v>121</v>
      </c>
      <c r="E31" s="4" t="s">
        <v>121</v>
      </c>
      <c r="F31" s="4" t="s">
        <v>123</v>
      </c>
      <c r="G31" s="4" t="s">
        <v>121</v>
      </c>
      <c r="H31" s="4" t="s">
        <v>124</v>
      </c>
      <c r="I31" s="4" t="s">
        <v>125</v>
      </c>
      <c r="J31" s="4" t="s">
        <v>122</v>
      </c>
      <c r="K31" s="4" t="s">
        <v>125</v>
      </c>
      <c r="L31" s="4" t="s">
        <v>125</v>
      </c>
      <c r="M31" s="4" t="s">
        <v>121</v>
      </c>
      <c r="N31" s="4" t="s">
        <v>121</v>
      </c>
      <c r="O31" s="4" t="s">
        <v>121</v>
      </c>
      <c r="P31" s="4" t="s">
        <v>125</v>
      </c>
      <c r="Q31" s="4" t="s">
        <v>122</v>
      </c>
      <c r="R31" s="4" t="s">
        <v>125</v>
      </c>
      <c r="S31" s="4" t="s">
        <v>121</v>
      </c>
      <c r="T31" s="4" t="s">
        <v>121</v>
      </c>
      <c r="U31" s="4" t="s">
        <v>122</v>
      </c>
      <c r="V31" s="4" t="s">
        <v>125</v>
      </c>
      <c r="W31" s="4" t="s">
        <v>125</v>
      </c>
      <c r="X31" s="4" t="s">
        <v>124</v>
      </c>
      <c r="Y31" s="4" t="s">
        <v>121</v>
      </c>
      <c r="Z31" s="4" t="s">
        <v>121</v>
      </c>
      <c r="AA31" s="4" t="s">
        <v>121</v>
      </c>
      <c r="AB31" s="4" t="s">
        <v>122</v>
      </c>
      <c r="AC31" s="4" t="s">
        <v>122</v>
      </c>
      <c r="AD31" s="4" t="s">
        <v>121</v>
      </c>
      <c r="AE31" s="4" t="s">
        <v>122</v>
      </c>
      <c r="AF31" s="4" t="s">
        <v>122</v>
      </c>
      <c r="AG31" s="4" t="s">
        <v>125</v>
      </c>
      <c r="AH31" s="4">
        <v>0</v>
      </c>
      <c r="AI31" s="4">
        <v>1</v>
      </c>
      <c r="AJ31" s="4" t="s">
        <v>126</v>
      </c>
      <c r="AK31" s="4" t="s">
        <v>126</v>
      </c>
      <c r="AL31" s="4" t="s">
        <v>126</v>
      </c>
      <c r="AM31" s="4" t="s">
        <v>126</v>
      </c>
      <c r="AN31" s="4" t="s">
        <v>172</v>
      </c>
      <c r="AO31" s="4" t="s">
        <v>173</v>
      </c>
      <c r="AP31" s="4">
        <v>28</v>
      </c>
      <c r="AQ31" s="4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7AF6-B824-429E-B669-09D32B879C2E}">
  <sheetPr codeName="Sheet3"/>
  <dimension ref="A1:O460"/>
  <sheetViews>
    <sheetView zoomScaleNormal="100" workbookViewId="0">
      <selection activeCell="D9" sqref="D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/>
      <c r="K1" s="1"/>
      <c r="L1" s="1"/>
      <c r="M1" s="1"/>
      <c r="N1" s="1"/>
      <c r="O1" s="1"/>
    </row>
    <row r="2" spans="1:15" x14ac:dyDescent="0.3">
      <c r="A2" t="s">
        <v>43</v>
      </c>
      <c r="B2" t="s">
        <v>50</v>
      </c>
      <c r="C2" t="s">
        <v>11</v>
      </c>
      <c r="D2" t="s">
        <v>12</v>
      </c>
      <c r="E2" t="b">
        <v>1</v>
      </c>
      <c r="F2">
        <v>99.9</v>
      </c>
      <c r="G2">
        <v>0</v>
      </c>
      <c r="H2">
        <v>13397</v>
      </c>
      <c r="I2" t="s">
        <v>18</v>
      </c>
    </row>
    <row r="3" spans="1:15" x14ac:dyDescent="0.3">
      <c r="A3" t="s">
        <v>43</v>
      </c>
      <c r="B3" t="s">
        <v>50</v>
      </c>
      <c r="C3" t="s">
        <v>14</v>
      </c>
      <c r="D3" t="s">
        <v>12</v>
      </c>
      <c r="E3" t="b">
        <v>1</v>
      </c>
      <c r="F3">
        <v>100</v>
      </c>
      <c r="G3">
        <v>1</v>
      </c>
      <c r="H3">
        <v>14512</v>
      </c>
      <c r="I3" t="s">
        <v>13</v>
      </c>
    </row>
    <row r="4" spans="1:15" x14ac:dyDescent="0.3">
      <c r="A4" t="s">
        <v>43</v>
      </c>
      <c r="B4" t="s">
        <v>50</v>
      </c>
      <c r="C4" t="s">
        <v>15</v>
      </c>
      <c r="D4" t="s">
        <v>12</v>
      </c>
      <c r="E4" t="b">
        <v>1</v>
      </c>
      <c r="F4">
        <v>69.2</v>
      </c>
      <c r="G4">
        <v>0</v>
      </c>
      <c r="H4">
        <v>15028</v>
      </c>
      <c r="I4" t="s">
        <v>13</v>
      </c>
    </row>
    <row r="5" spans="1:15" x14ac:dyDescent="0.3">
      <c r="A5" t="s">
        <v>43</v>
      </c>
      <c r="B5" t="s">
        <v>50</v>
      </c>
      <c r="C5" t="s">
        <v>16</v>
      </c>
      <c r="D5" t="s">
        <v>12</v>
      </c>
      <c r="E5" t="b">
        <v>1</v>
      </c>
      <c r="F5">
        <v>100</v>
      </c>
      <c r="G5">
        <v>1</v>
      </c>
      <c r="H5">
        <v>17066</v>
      </c>
      <c r="I5" t="s">
        <v>18</v>
      </c>
    </row>
    <row r="6" spans="1:15" x14ac:dyDescent="0.3">
      <c r="A6" t="s">
        <v>43</v>
      </c>
      <c r="B6" t="s">
        <v>50</v>
      </c>
      <c r="C6" t="s">
        <v>17</v>
      </c>
      <c r="D6" t="s">
        <v>12</v>
      </c>
      <c r="E6" t="b">
        <v>1</v>
      </c>
      <c r="F6">
        <v>100</v>
      </c>
      <c r="G6">
        <v>1</v>
      </c>
      <c r="H6">
        <v>18768</v>
      </c>
      <c r="I6" t="s">
        <v>18</v>
      </c>
    </row>
    <row r="7" spans="1:15" x14ac:dyDescent="0.3">
      <c r="A7" t="s">
        <v>43</v>
      </c>
      <c r="B7" t="s">
        <v>50</v>
      </c>
      <c r="C7" t="s">
        <v>19</v>
      </c>
      <c r="D7" t="s">
        <v>12</v>
      </c>
      <c r="E7" t="b">
        <v>1</v>
      </c>
      <c r="F7">
        <v>100</v>
      </c>
      <c r="G7">
        <v>1</v>
      </c>
      <c r="H7">
        <v>20421</v>
      </c>
      <c r="I7" t="s">
        <v>18</v>
      </c>
    </row>
    <row r="8" spans="1:15" x14ac:dyDescent="0.3">
      <c r="A8" t="s">
        <v>43</v>
      </c>
      <c r="B8" t="s">
        <v>50</v>
      </c>
      <c r="C8" t="s">
        <v>20</v>
      </c>
      <c r="D8" t="s">
        <v>12</v>
      </c>
      <c r="E8" t="b">
        <v>1</v>
      </c>
      <c r="F8">
        <v>87</v>
      </c>
      <c r="G8">
        <v>0</v>
      </c>
      <c r="H8">
        <v>12099</v>
      </c>
      <c r="I8" t="s">
        <v>13</v>
      </c>
    </row>
    <row r="9" spans="1:15" x14ac:dyDescent="0.3">
      <c r="A9" t="s">
        <v>43</v>
      </c>
      <c r="B9" t="s">
        <v>50</v>
      </c>
      <c r="C9" t="s">
        <v>21</v>
      </c>
      <c r="D9" t="s">
        <v>29</v>
      </c>
      <c r="E9" t="b">
        <v>1</v>
      </c>
      <c r="F9">
        <v>88</v>
      </c>
      <c r="G9">
        <v>0</v>
      </c>
      <c r="H9">
        <v>9763</v>
      </c>
      <c r="I9" t="s">
        <v>13</v>
      </c>
    </row>
    <row r="10" spans="1:15" x14ac:dyDescent="0.3">
      <c r="A10" t="s">
        <v>43</v>
      </c>
      <c r="B10" t="s">
        <v>50</v>
      </c>
      <c r="C10" t="s">
        <v>22</v>
      </c>
      <c r="D10" t="s">
        <v>29</v>
      </c>
      <c r="E10" t="b">
        <v>1</v>
      </c>
      <c r="F10">
        <v>100</v>
      </c>
      <c r="G10">
        <v>1</v>
      </c>
      <c r="H10">
        <v>15206</v>
      </c>
      <c r="I10" t="s">
        <v>18</v>
      </c>
    </row>
    <row r="11" spans="1:15" x14ac:dyDescent="0.3">
      <c r="A11" t="s">
        <v>43</v>
      </c>
      <c r="B11" t="s">
        <v>50</v>
      </c>
      <c r="C11" t="s">
        <v>23</v>
      </c>
      <c r="D11" t="s">
        <v>29</v>
      </c>
      <c r="E11" t="b">
        <v>1</v>
      </c>
      <c r="F11">
        <v>100</v>
      </c>
      <c r="G11">
        <v>1</v>
      </c>
      <c r="H11">
        <v>9668</v>
      </c>
      <c r="I11" t="s">
        <v>18</v>
      </c>
    </row>
    <row r="12" spans="1:15" x14ac:dyDescent="0.3">
      <c r="A12" t="s">
        <v>43</v>
      </c>
      <c r="B12" t="s">
        <v>50</v>
      </c>
      <c r="C12" t="s">
        <v>24</v>
      </c>
      <c r="D12" t="s">
        <v>29</v>
      </c>
      <c r="E12" t="b">
        <v>1</v>
      </c>
      <c r="F12">
        <v>100</v>
      </c>
      <c r="G12">
        <v>1</v>
      </c>
      <c r="H12">
        <v>13608</v>
      </c>
      <c r="I12" t="s">
        <v>18</v>
      </c>
    </row>
    <row r="13" spans="1:15" x14ac:dyDescent="0.3">
      <c r="A13" t="s">
        <v>43</v>
      </c>
      <c r="B13" t="s">
        <v>50</v>
      </c>
      <c r="C13" t="s">
        <v>25</v>
      </c>
      <c r="D13" t="s">
        <v>29</v>
      </c>
      <c r="E13" t="b">
        <v>1</v>
      </c>
      <c r="F13">
        <v>100</v>
      </c>
      <c r="G13">
        <v>1</v>
      </c>
      <c r="H13">
        <v>16249</v>
      </c>
      <c r="I13" t="s">
        <v>18</v>
      </c>
    </row>
    <row r="14" spans="1:15" x14ac:dyDescent="0.3">
      <c r="A14" t="s">
        <v>43</v>
      </c>
      <c r="B14" t="s">
        <v>50</v>
      </c>
      <c r="C14" t="s">
        <v>26</v>
      </c>
      <c r="D14" t="s">
        <v>29</v>
      </c>
      <c r="E14" t="b">
        <v>1</v>
      </c>
      <c r="F14">
        <v>92.5</v>
      </c>
      <c r="G14">
        <v>0</v>
      </c>
      <c r="H14">
        <v>16613</v>
      </c>
      <c r="I14" t="s">
        <v>13</v>
      </c>
    </row>
    <row r="15" spans="1:15" x14ac:dyDescent="0.3">
      <c r="A15" t="s">
        <v>43</v>
      </c>
      <c r="B15" t="s">
        <v>50</v>
      </c>
      <c r="C15" t="s">
        <v>27</v>
      </c>
      <c r="D15" t="s">
        <v>29</v>
      </c>
      <c r="E15" t="b">
        <v>1</v>
      </c>
      <c r="F15">
        <v>99.9</v>
      </c>
      <c r="G15">
        <v>0</v>
      </c>
      <c r="H15">
        <v>11915</v>
      </c>
      <c r="I15" t="s">
        <v>18</v>
      </c>
    </row>
    <row r="16" spans="1:15" x14ac:dyDescent="0.3">
      <c r="A16" t="s">
        <v>43</v>
      </c>
      <c r="B16" t="s">
        <v>50</v>
      </c>
      <c r="C16" t="s">
        <v>28</v>
      </c>
      <c r="D16" t="s">
        <v>29</v>
      </c>
      <c r="E16" t="b">
        <v>1</v>
      </c>
      <c r="F16">
        <v>88.2</v>
      </c>
      <c r="G16">
        <v>0</v>
      </c>
      <c r="H16">
        <v>27467</v>
      </c>
      <c r="I16" t="s">
        <v>13</v>
      </c>
    </row>
    <row r="17" spans="1:9" x14ac:dyDescent="0.3">
      <c r="A17" t="s">
        <v>45</v>
      </c>
      <c r="B17" t="s">
        <v>68</v>
      </c>
      <c r="C17" t="s">
        <v>11</v>
      </c>
      <c r="D17" t="s">
        <v>12</v>
      </c>
      <c r="E17" t="b">
        <v>1</v>
      </c>
      <c r="F17">
        <v>100</v>
      </c>
      <c r="G17">
        <v>1</v>
      </c>
      <c r="H17">
        <v>11946</v>
      </c>
      <c r="I17" t="s">
        <v>13</v>
      </c>
    </row>
    <row r="18" spans="1:9" x14ac:dyDescent="0.3">
      <c r="A18" t="s">
        <v>45</v>
      </c>
      <c r="B18" t="s">
        <v>68</v>
      </c>
      <c r="C18" t="s">
        <v>14</v>
      </c>
      <c r="D18" t="s">
        <v>12</v>
      </c>
      <c r="E18" t="b">
        <v>1</v>
      </c>
      <c r="F18">
        <v>91</v>
      </c>
      <c r="G18">
        <v>0</v>
      </c>
      <c r="H18">
        <v>14925</v>
      </c>
      <c r="I18" t="s">
        <v>13</v>
      </c>
    </row>
    <row r="19" spans="1:9" x14ac:dyDescent="0.3">
      <c r="A19" t="s">
        <v>45</v>
      </c>
      <c r="B19" t="s">
        <v>68</v>
      </c>
      <c r="C19" t="s">
        <v>15</v>
      </c>
      <c r="D19" t="s">
        <v>12</v>
      </c>
      <c r="E19" t="b">
        <v>1</v>
      </c>
      <c r="F19">
        <v>100</v>
      </c>
      <c r="G19">
        <v>1</v>
      </c>
      <c r="H19">
        <v>11618</v>
      </c>
      <c r="I19" t="s">
        <v>18</v>
      </c>
    </row>
    <row r="20" spans="1:9" x14ac:dyDescent="0.3">
      <c r="A20" t="s">
        <v>45</v>
      </c>
      <c r="B20" t="s">
        <v>68</v>
      </c>
      <c r="C20" t="s">
        <v>16</v>
      </c>
      <c r="D20" t="s">
        <v>12</v>
      </c>
      <c r="E20" t="b">
        <v>1</v>
      </c>
      <c r="F20">
        <v>100</v>
      </c>
      <c r="G20">
        <v>1</v>
      </c>
      <c r="H20">
        <v>15080</v>
      </c>
      <c r="I20" t="s">
        <v>18</v>
      </c>
    </row>
    <row r="21" spans="1:9" x14ac:dyDescent="0.3">
      <c r="A21" t="s">
        <v>45</v>
      </c>
      <c r="B21" t="s">
        <v>68</v>
      </c>
      <c r="C21" t="s">
        <v>17</v>
      </c>
      <c r="D21" t="s">
        <v>12</v>
      </c>
      <c r="E21" t="b">
        <v>1</v>
      </c>
      <c r="F21">
        <v>83.3</v>
      </c>
      <c r="G21">
        <v>0</v>
      </c>
      <c r="H21">
        <v>14818</v>
      </c>
      <c r="I21" t="s">
        <v>13</v>
      </c>
    </row>
    <row r="22" spans="1:9" x14ac:dyDescent="0.3">
      <c r="A22" t="s">
        <v>45</v>
      </c>
      <c r="B22" t="s">
        <v>68</v>
      </c>
      <c r="C22" t="s">
        <v>19</v>
      </c>
      <c r="D22" t="s">
        <v>29</v>
      </c>
      <c r="E22" t="b">
        <v>1</v>
      </c>
      <c r="F22">
        <v>71.8</v>
      </c>
      <c r="G22">
        <v>0</v>
      </c>
      <c r="H22">
        <v>14160</v>
      </c>
      <c r="I22" t="s">
        <v>13</v>
      </c>
    </row>
    <row r="23" spans="1:9" x14ac:dyDescent="0.3">
      <c r="A23" t="s">
        <v>45</v>
      </c>
      <c r="B23" t="s">
        <v>68</v>
      </c>
      <c r="C23" t="s">
        <v>20</v>
      </c>
      <c r="D23" t="s">
        <v>29</v>
      </c>
      <c r="E23" t="b">
        <v>1</v>
      </c>
      <c r="F23">
        <v>100</v>
      </c>
      <c r="G23">
        <v>1</v>
      </c>
      <c r="H23">
        <v>9939</v>
      </c>
      <c r="I23" t="s">
        <v>13</v>
      </c>
    </row>
    <row r="24" spans="1:9" x14ac:dyDescent="0.3">
      <c r="A24" t="s">
        <v>45</v>
      </c>
      <c r="B24" t="s">
        <v>68</v>
      </c>
      <c r="C24" t="s">
        <v>21</v>
      </c>
      <c r="D24" t="s">
        <v>29</v>
      </c>
      <c r="E24" t="b">
        <v>1</v>
      </c>
      <c r="F24">
        <v>92.6</v>
      </c>
      <c r="G24">
        <v>0</v>
      </c>
      <c r="H24">
        <v>10426</v>
      </c>
      <c r="I24" t="s">
        <v>13</v>
      </c>
    </row>
    <row r="25" spans="1:9" x14ac:dyDescent="0.3">
      <c r="A25" t="s">
        <v>45</v>
      </c>
      <c r="B25" t="s">
        <v>68</v>
      </c>
      <c r="C25" t="s">
        <v>22</v>
      </c>
      <c r="D25" t="s">
        <v>29</v>
      </c>
      <c r="E25" t="b">
        <v>1</v>
      </c>
      <c r="F25">
        <v>99.8</v>
      </c>
      <c r="G25">
        <v>0</v>
      </c>
      <c r="H25">
        <v>9408</v>
      </c>
      <c r="I25" t="s">
        <v>13</v>
      </c>
    </row>
    <row r="26" spans="1:9" x14ac:dyDescent="0.3">
      <c r="A26" t="s">
        <v>45</v>
      </c>
      <c r="B26" t="s">
        <v>68</v>
      </c>
      <c r="C26" t="s">
        <v>23</v>
      </c>
      <c r="D26" t="s">
        <v>29</v>
      </c>
      <c r="E26" t="b">
        <v>1</v>
      </c>
      <c r="F26">
        <v>100</v>
      </c>
      <c r="G26">
        <v>1</v>
      </c>
      <c r="H26">
        <v>9025</v>
      </c>
      <c r="I26" t="s">
        <v>18</v>
      </c>
    </row>
    <row r="27" spans="1:9" x14ac:dyDescent="0.3">
      <c r="A27" t="s">
        <v>45</v>
      </c>
      <c r="B27" t="s">
        <v>68</v>
      </c>
      <c r="C27" t="s">
        <v>24</v>
      </c>
      <c r="D27" t="s">
        <v>29</v>
      </c>
      <c r="E27" t="b">
        <v>1</v>
      </c>
      <c r="F27">
        <v>67.900000000000006</v>
      </c>
      <c r="G27">
        <v>0</v>
      </c>
      <c r="H27">
        <v>12060</v>
      </c>
      <c r="I27" t="s">
        <v>13</v>
      </c>
    </row>
    <row r="28" spans="1:9" x14ac:dyDescent="0.3">
      <c r="A28" t="s">
        <v>45</v>
      </c>
      <c r="B28" t="s">
        <v>68</v>
      </c>
      <c r="C28" t="s">
        <v>25</v>
      </c>
      <c r="D28" t="s">
        <v>29</v>
      </c>
      <c r="E28" t="b">
        <v>1</v>
      </c>
      <c r="F28">
        <v>54.9</v>
      </c>
      <c r="G28">
        <v>0</v>
      </c>
      <c r="H28">
        <v>12165</v>
      </c>
      <c r="I28" t="s">
        <v>13</v>
      </c>
    </row>
    <row r="29" spans="1:9" x14ac:dyDescent="0.3">
      <c r="A29" t="s">
        <v>45</v>
      </c>
      <c r="B29" t="s">
        <v>68</v>
      </c>
      <c r="C29" t="s">
        <v>26</v>
      </c>
      <c r="D29" t="s">
        <v>29</v>
      </c>
      <c r="E29" t="b">
        <v>1</v>
      </c>
      <c r="F29">
        <v>100</v>
      </c>
      <c r="G29">
        <v>1</v>
      </c>
      <c r="H29">
        <v>21200</v>
      </c>
      <c r="I29" t="s">
        <v>18</v>
      </c>
    </row>
    <row r="30" spans="1:9" x14ac:dyDescent="0.3">
      <c r="A30" t="s">
        <v>45</v>
      </c>
      <c r="B30" t="s">
        <v>68</v>
      </c>
      <c r="C30" t="s">
        <v>27</v>
      </c>
      <c r="D30" t="s">
        <v>29</v>
      </c>
      <c r="E30" t="b">
        <v>1</v>
      </c>
      <c r="F30">
        <v>100</v>
      </c>
      <c r="G30">
        <v>1</v>
      </c>
      <c r="H30">
        <v>24094</v>
      </c>
      <c r="I30" t="s">
        <v>18</v>
      </c>
    </row>
    <row r="31" spans="1:9" x14ac:dyDescent="0.3">
      <c r="A31" t="s">
        <v>9</v>
      </c>
      <c r="B31" t="s">
        <v>60</v>
      </c>
      <c r="C31" t="s">
        <v>11</v>
      </c>
      <c r="D31" t="s">
        <v>12</v>
      </c>
      <c r="E31" t="b">
        <v>1</v>
      </c>
      <c r="F31">
        <v>100</v>
      </c>
      <c r="G31">
        <v>1</v>
      </c>
      <c r="H31">
        <v>9662</v>
      </c>
      <c r="I31" t="s">
        <v>18</v>
      </c>
    </row>
    <row r="32" spans="1:9" x14ac:dyDescent="0.3">
      <c r="A32" t="s">
        <v>9</v>
      </c>
      <c r="B32" t="s">
        <v>60</v>
      </c>
      <c r="C32" t="s">
        <v>14</v>
      </c>
      <c r="D32" t="s">
        <v>12</v>
      </c>
      <c r="E32" t="b">
        <v>1</v>
      </c>
      <c r="F32">
        <v>100</v>
      </c>
      <c r="G32">
        <v>1</v>
      </c>
      <c r="H32">
        <v>13424</v>
      </c>
      <c r="I32" t="s">
        <v>18</v>
      </c>
    </row>
    <row r="33" spans="1:9" x14ac:dyDescent="0.3">
      <c r="A33" t="s">
        <v>9</v>
      </c>
      <c r="B33" t="s">
        <v>60</v>
      </c>
      <c r="C33" t="s">
        <v>15</v>
      </c>
      <c r="D33" t="s">
        <v>12</v>
      </c>
      <c r="E33" t="b">
        <v>1</v>
      </c>
      <c r="F33">
        <v>100</v>
      </c>
      <c r="G33">
        <v>1</v>
      </c>
      <c r="H33">
        <v>9375</v>
      </c>
      <c r="I33" t="s">
        <v>18</v>
      </c>
    </row>
    <row r="34" spans="1:9" x14ac:dyDescent="0.3">
      <c r="A34" t="s">
        <v>9</v>
      </c>
      <c r="B34" t="s">
        <v>60</v>
      </c>
      <c r="C34" t="s">
        <v>16</v>
      </c>
      <c r="D34" t="s">
        <v>12</v>
      </c>
      <c r="E34" t="b">
        <v>1</v>
      </c>
      <c r="F34">
        <v>100</v>
      </c>
      <c r="G34">
        <v>1</v>
      </c>
      <c r="H34">
        <v>15476</v>
      </c>
      <c r="I34" t="s">
        <v>18</v>
      </c>
    </row>
    <row r="35" spans="1:9" x14ac:dyDescent="0.3">
      <c r="A35" t="s">
        <v>9</v>
      </c>
      <c r="B35" t="s">
        <v>60</v>
      </c>
      <c r="C35" t="s">
        <v>17</v>
      </c>
      <c r="D35" t="s">
        <v>29</v>
      </c>
      <c r="E35" t="b">
        <v>1</v>
      </c>
      <c r="F35">
        <v>98.2</v>
      </c>
      <c r="G35">
        <v>0</v>
      </c>
      <c r="H35">
        <v>12211</v>
      </c>
      <c r="I35" t="s">
        <v>13</v>
      </c>
    </row>
    <row r="36" spans="1:9" x14ac:dyDescent="0.3">
      <c r="A36" t="s">
        <v>9</v>
      </c>
      <c r="B36" t="s">
        <v>60</v>
      </c>
      <c r="C36" t="s">
        <v>19</v>
      </c>
      <c r="D36" t="s">
        <v>29</v>
      </c>
      <c r="E36" t="b">
        <v>1</v>
      </c>
      <c r="F36">
        <v>100</v>
      </c>
      <c r="G36">
        <v>1</v>
      </c>
      <c r="H36">
        <v>13046</v>
      </c>
      <c r="I36" t="s">
        <v>13</v>
      </c>
    </row>
    <row r="37" spans="1:9" x14ac:dyDescent="0.3">
      <c r="A37" t="s">
        <v>9</v>
      </c>
      <c r="B37" t="s">
        <v>60</v>
      </c>
      <c r="C37" t="s">
        <v>20</v>
      </c>
      <c r="D37" t="s">
        <v>29</v>
      </c>
      <c r="E37" t="b">
        <v>1</v>
      </c>
      <c r="F37">
        <v>100</v>
      </c>
      <c r="G37">
        <v>1</v>
      </c>
      <c r="H37">
        <v>15062</v>
      </c>
      <c r="I37" t="s">
        <v>18</v>
      </c>
    </row>
    <row r="38" spans="1:9" x14ac:dyDescent="0.3">
      <c r="A38" t="s">
        <v>9</v>
      </c>
      <c r="B38" t="s">
        <v>60</v>
      </c>
      <c r="C38" t="s">
        <v>21</v>
      </c>
      <c r="D38" t="s">
        <v>29</v>
      </c>
      <c r="E38" t="b">
        <v>1</v>
      </c>
      <c r="F38">
        <v>100</v>
      </c>
      <c r="G38">
        <v>1</v>
      </c>
      <c r="H38">
        <v>16155</v>
      </c>
      <c r="I38" t="s">
        <v>18</v>
      </c>
    </row>
    <row r="39" spans="1:9" x14ac:dyDescent="0.3">
      <c r="A39" t="s">
        <v>9</v>
      </c>
      <c r="B39" t="s">
        <v>60</v>
      </c>
      <c r="C39" t="s">
        <v>22</v>
      </c>
      <c r="D39" t="s">
        <v>29</v>
      </c>
      <c r="E39" t="b">
        <v>1</v>
      </c>
      <c r="F39">
        <v>100</v>
      </c>
      <c r="G39">
        <v>1</v>
      </c>
      <c r="H39">
        <v>12810</v>
      </c>
      <c r="I39" t="s">
        <v>18</v>
      </c>
    </row>
    <row r="40" spans="1:9" x14ac:dyDescent="0.3">
      <c r="A40" t="s">
        <v>45</v>
      </c>
      <c r="B40" t="s">
        <v>53</v>
      </c>
      <c r="C40" t="s">
        <v>11</v>
      </c>
      <c r="D40" t="s">
        <v>12</v>
      </c>
      <c r="E40" t="b">
        <v>1</v>
      </c>
      <c r="F40">
        <v>46.7</v>
      </c>
      <c r="G40">
        <v>0</v>
      </c>
      <c r="H40">
        <v>15420</v>
      </c>
      <c r="I40" t="s">
        <v>13</v>
      </c>
    </row>
    <row r="41" spans="1:9" x14ac:dyDescent="0.3">
      <c r="A41" t="s">
        <v>45</v>
      </c>
      <c r="B41" t="s">
        <v>53</v>
      </c>
      <c r="C41" t="s">
        <v>14</v>
      </c>
      <c r="D41" t="s">
        <v>12</v>
      </c>
      <c r="E41" t="b">
        <v>1</v>
      </c>
      <c r="F41">
        <v>44.9</v>
      </c>
      <c r="G41">
        <v>0</v>
      </c>
      <c r="H41">
        <v>13413</v>
      </c>
      <c r="I41" t="s">
        <v>13</v>
      </c>
    </row>
    <row r="42" spans="1:9" x14ac:dyDescent="0.3">
      <c r="A42" t="s">
        <v>45</v>
      </c>
      <c r="B42" t="s">
        <v>53</v>
      </c>
      <c r="C42" t="s">
        <v>15</v>
      </c>
      <c r="D42" t="s">
        <v>12</v>
      </c>
      <c r="E42" t="b">
        <v>1</v>
      </c>
      <c r="F42">
        <v>76.2</v>
      </c>
      <c r="G42">
        <v>0</v>
      </c>
      <c r="H42">
        <v>11804</v>
      </c>
      <c r="I42" t="s">
        <v>13</v>
      </c>
    </row>
    <row r="43" spans="1:9" x14ac:dyDescent="0.3">
      <c r="A43" t="s">
        <v>45</v>
      </c>
      <c r="B43" t="s">
        <v>53</v>
      </c>
      <c r="C43" t="s">
        <v>16</v>
      </c>
      <c r="D43" t="s">
        <v>12</v>
      </c>
      <c r="E43" t="b">
        <v>1</v>
      </c>
      <c r="F43">
        <v>100</v>
      </c>
      <c r="G43">
        <v>1</v>
      </c>
      <c r="H43">
        <v>10809</v>
      </c>
      <c r="I43" t="s">
        <v>18</v>
      </c>
    </row>
    <row r="44" spans="1:9" x14ac:dyDescent="0.3">
      <c r="A44" t="s">
        <v>45</v>
      </c>
      <c r="B44" t="s">
        <v>53</v>
      </c>
      <c r="C44" t="s">
        <v>17</v>
      </c>
      <c r="D44" t="s">
        <v>29</v>
      </c>
      <c r="E44" t="b">
        <v>1</v>
      </c>
      <c r="F44">
        <v>82.6</v>
      </c>
      <c r="G44">
        <v>0</v>
      </c>
      <c r="H44">
        <v>11891</v>
      </c>
      <c r="I44" t="s">
        <v>13</v>
      </c>
    </row>
    <row r="45" spans="1:9" x14ac:dyDescent="0.3">
      <c r="A45" t="s">
        <v>45</v>
      </c>
      <c r="B45" t="s">
        <v>53</v>
      </c>
      <c r="C45" t="s">
        <v>19</v>
      </c>
      <c r="D45" t="s">
        <v>29</v>
      </c>
      <c r="E45" t="b">
        <v>1</v>
      </c>
      <c r="F45">
        <v>100</v>
      </c>
      <c r="G45">
        <v>1</v>
      </c>
      <c r="H45">
        <v>12848</v>
      </c>
      <c r="I45" t="s">
        <v>18</v>
      </c>
    </row>
    <row r="46" spans="1:9" x14ac:dyDescent="0.3">
      <c r="A46" t="s">
        <v>9</v>
      </c>
      <c r="B46" t="s">
        <v>76</v>
      </c>
      <c r="C46" t="s">
        <v>11</v>
      </c>
      <c r="D46" t="s">
        <v>12</v>
      </c>
      <c r="E46" t="b">
        <v>1</v>
      </c>
      <c r="F46">
        <v>68.599999999999994</v>
      </c>
      <c r="G46">
        <v>0</v>
      </c>
      <c r="H46">
        <v>11742</v>
      </c>
      <c r="I46" t="s">
        <v>13</v>
      </c>
    </row>
    <row r="47" spans="1:9" x14ac:dyDescent="0.3">
      <c r="A47" t="s">
        <v>9</v>
      </c>
      <c r="B47" t="s">
        <v>76</v>
      </c>
      <c r="C47" t="s">
        <v>14</v>
      </c>
      <c r="D47" t="s">
        <v>12</v>
      </c>
      <c r="E47" t="b">
        <v>1</v>
      </c>
      <c r="F47">
        <v>81.8</v>
      </c>
      <c r="G47">
        <v>0</v>
      </c>
      <c r="H47">
        <v>13582</v>
      </c>
      <c r="I47" t="s">
        <v>13</v>
      </c>
    </row>
    <row r="48" spans="1:9" x14ac:dyDescent="0.3">
      <c r="A48" t="s">
        <v>9</v>
      </c>
      <c r="B48" t="s">
        <v>76</v>
      </c>
      <c r="C48" t="s">
        <v>15</v>
      </c>
      <c r="D48" t="s">
        <v>12</v>
      </c>
      <c r="E48" t="b">
        <v>1</v>
      </c>
      <c r="F48">
        <v>100</v>
      </c>
      <c r="G48">
        <v>1</v>
      </c>
      <c r="H48">
        <v>13485</v>
      </c>
      <c r="I48" t="s">
        <v>18</v>
      </c>
    </row>
    <row r="49" spans="1:9" x14ac:dyDescent="0.3">
      <c r="A49" t="s">
        <v>9</v>
      </c>
      <c r="B49" t="s">
        <v>76</v>
      </c>
      <c r="C49" t="s">
        <v>16</v>
      </c>
      <c r="D49" t="s">
        <v>12</v>
      </c>
      <c r="E49" t="b">
        <v>1</v>
      </c>
      <c r="F49">
        <v>100</v>
      </c>
      <c r="G49">
        <v>1</v>
      </c>
      <c r="H49">
        <v>12651</v>
      </c>
      <c r="I49" t="s">
        <v>18</v>
      </c>
    </row>
    <row r="50" spans="1:9" x14ac:dyDescent="0.3">
      <c r="A50" t="s">
        <v>9</v>
      </c>
      <c r="B50" t="s">
        <v>76</v>
      </c>
      <c r="C50" t="s">
        <v>17</v>
      </c>
      <c r="D50" t="s">
        <v>12</v>
      </c>
      <c r="E50" t="b">
        <v>1</v>
      </c>
      <c r="F50">
        <v>100</v>
      </c>
      <c r="G50">
        <v>1</v>
      </c>
      <c r="H50">
        <v>18290</v>
      </c>
      <c r="I50" t="s">
        <v>18</v>
      </c>
    </row>
    <row r="51" spans="1:9" x14ac:dyDescent="0.3">
      <c r="A51" t="s">
        <v>9</v>
      </c>
      <c r="B51" t="s">
        <v>76</v>
      </c>
      <c r="C51" t="s">
        <v>19</v>
      </c>
      <c r="D51" t="s">
        <v>12</v>
      </c>
      <c r="E51" t="b">
        <v>1</v>
      </c>
      <c r="F51">
        <v>100</v>
      </c>
      <c r="G51">
        <v>1</v>
      </c>
      <c r="H51">
        <v>22643</v>
      </c>
      <c r="I51" t="s">
        <v>18</v>
      </c>
    </row>
    <row r="52" spans="1:9" x14ac:dyDescent="0.3">
      <c r="A52" t="s">
        <v>9</v>
      </c>
      <c r="B52" t="s">
        <v>76</v>
      </c>
      <c r="C52" t="s">
        <v>20</v>
      </c>
      <c r="D52" t="s">
        <v>12</v>
      </c>
      <c r="E52" t="b">
        <v>1</v>
      </c>
      <c r="F52">
        <v>100</v>
      </c>
      <c r="G52">
        <v>1</v>
      </c>
      <c r="H52">
        <v>10515</v>
      </c>
      <c r="I52" t="s">
        <v>18</v>
      </c>
    </row>
    <row r="53" spans="1:9" x14ac:dyDescent="0.3">
      <c r="A53" t="s">
        <v>9</v>
      </c>
      <c r="B53" t="s">
        <v>76</v>
      </c>
      <c r="C53" t="s">
        <v>21</v>
      </c>
      <c r="D53" t="s">
        <v>29</v>
      </c>
      <c r="E53" t="b">
        <v>1</v>
      </c>
      <c r="F53">
        <v>99.9</v>
      </c>
      <c r="G53">
        <v>0</v>
      </c>
      <c r="H53">
        <v>10869</v>
      </c>
      <c r="I53" t="s">
        <v>18</v>
      </c>
    </row>
    <row r="54" spans="1:9" x14ac:dyDescent="0.3">
      <c r="A54" t="s">
        <v>9</v>
      </c>
      <c r="B54" t="s">
        <v>76</v>
      </c>
      <c r="C54" t="s">
        <v>22</v>
      </c>
      <c r="D54" t="s">
        <v>29</v>
      </c>
      <c r="E54" t="b">
        <v>1</v>
      </c>
      <c r="F54">
        <v>100</v>
      </c>
      <c r="G54">
        <v>1</v>
      </c>
      <c r="H54">
        <v>9669</v>
      </c>
      <c r="I54" t="s">
        <v>18</v>
      </c>
    </row>
    <row r="55" spans="1:9" x14ac:dyDescent="0.3">
      <c r="A55" t="s">
        <v>9</v>
      </c>
      <c r="B55" t="s">
        <v>76</v>
      </c>
      <c r="C55" t="s">
        <v>23</v>
      </c>
      <c r="D55" t="s">
        <v>29</v>
      </c>
      <c r="E55" t="b">
        <v>1</v>
      </c>
      <c r="F55">
        <v>100</v>
      </c>
      <c r="G55">
        <v>1</v>
      </c>
      <c r="H55">
        <v>15511</v>
      </c>
      <c r="I55" t="s">
        <v>18</v>
      </c>
    </row>
    <row r="56" spans="1:9" x14ac:dyDescent="0.3">
      <c r="A56" t="s">
        <v>9</v>
      </c>
      <c r="B56" t="s">
        <v>76</v>
      </c>
      <c r="C56" t="s">
        <v>24</v>
      </c>
      <c r="D56" t="s">
        <v>29</v>
      </c>
      <c r="E56" t="b">
        <v>1</v>
      </c>
      <c r="F56">
        <v>100</v>
      </c>
      <c r="G56">
        <v>1</v>
      </c>
      <c r="H56">
        <v>14479</v>
      </c>
      <c r="I56" t="s">
        <v>13</v>
      </c>
    </row>
    <row r="57" spans="1:9" x14ac:dyDescent="0.3">
      <c r="A57" t="s">
        <v>9</v>
      </c>
      <c r="B57" t="s">
        <v>76</v>
      </c>
      <c r="C57" t="s">
        <v>25</v>
      </c>
      <c r="D57" t="s">
        <v>29</v>
      </c>
      <c r="E57" t="b">
        <v>1</v>
      </c>
      <c r="F57">
        <v>100</v>
      </c>
      <c r="G57">
        <v>1</v>
      </c>
      <c r="H57">
        <v>13391</v>
      </c>
      <c r="I57" t="s">
        <v>18</v>
      </c>
    </row>
    <row r="58" spans="1:9" x14ac:dyDescent="0.3">
      <c r="A58" t="s">
        <v>9</v>
      </c>
      <c r="B58" t="s">
        <v>76</v>
      </c>
      <c r="C58" t="s">
        <v>26</v>
      </c>
      <c r="D58" t="s">
        <v>29</v>
      </c>
      <c r="E58" t="b">
        <v>1</v>
      </c>
      <c r="F58">
        <v>100</v>
      </c>
      <c r="G58">
        <v>1</v>
      </c>
      <c r="H58">
        <v>16337</v>
      </c>
      <c r="I58" t="s">
        <v>13</v>
      </c>
    </row>
    <row r="59" spans="1:9" x14ac:dyDescent="0.3">
      <c r="A59" t="s">
        <v>9</v>
      </c>
      <c r="B59" t="s">
        <v>76</v>
      </c>
      <c r="C59" t="s">
        <v>27</v>
      </c>
      <c r="D59" t="s">
        <v>29</v>
      </c>
      <c r="E59" t="b">
        <v>1</v>
      </c>
      <c r="F59">
        <v>35.4</v>
      </c>
      <c r="G59">
        <v>0</v>
      </c>
      <c r="H59">
        <v>21200</v>
      </c>
      <c r="I59" t="s">
        <v>13</v>
      </c>
    </row>
    <row r="60" spans="1:9" x14ac:dyDescent="0.3">
      <c r="A60" t="s">
        <v>9</v>
      </c>
      <c r="B60" t="s">
        <v>76</v>
      </c>
      <c r="C60" t="s">
        <v>28</v>
      </c>
      <c r="D60" t="s">
        <v>29</v>
      </c>
      <c r="E60" t="b">
        <v>1</v>
      </c>
      <c r="F60">
        <v>63.1</v>
      </c>
      <c r="G60">
        <v>0</v>
      </c>
      <c r="H60">
        <v>14293</v>
      </c>
      <c r="I60" t="s">
        <v>13</v>
      </c>
    </row>
    <row r="61" spans="1:9" x14ac:dyDescent="0.3">
      <c r="A61" t="s">
        <v>9</v>
      </c>
      <c r="B61" t="s">
        <v>76</v>
      </c>
      <c r="C61" t="s">
        <v>30</v>
      </c>
      <c r="D61" t="s">
        <v>29</v>
      </c>
      <c r="E61" t="b">
        <v>1</v>
      </c>
      <c r="F61">
        <v>100</v>
      </c>
      <c r="G61">
        <v>1</v>
      </c>
      <c r="H61">
        <v>12226</v>
      </c>
      <c r="I61" t="s">
        <v>13</v>
      </c>
    </row>
    <row r="62" spans="1:9" x14ac:dyDescent="0.3">
      <c r="A62" t="s">
        <v>9</v>
      </c>
      <c r="B62" t="s">
        <v>76</v>
      </c>
      <c r="C62" t="s">
        <v>31</v>
      </c>
      <c r="D62" t="s">
        <v>29</v>
      </c>
      <c r="E62" t="b">
        <v>1</v>
      </c>
      <c r="F62">
        <v>94.4</v>
      </c>
      <c r="G62">
        <v>0</v>
      </c>
      <c r="H62">
        <v>17795</v>
      </c>
      <c r="I62" t="s">
        <v>13</v>
      </c>
    </row>
    <row r="63" spans="1:9" x14ac:dyDescent="0.3">
      <c r="A63" t="s">
        <v>43</v>
      </c>
      <c r="B63" t="s">
        <v>73</v>
      </c>
      <c r="C63" t="s">
        <v>11</v>
      </c>
      <c r="D63" t="s">
        <v>12</v>
      </c>
      <c r="E63" t="b">
        <v>1</v>
      </c>
      <c r="F63">
        <v>59</v>
      </c>
      <c r="G63">
        <v>0</v>
      </c>
      <c r="H63">
        <v>13004</v>
      </c>
      <c r="I63" t="s">
        <v>13</v>
      </c>
    </row>
    <row r="64" spans="1:9" x14ac:dyDescent="0.3">
      <c r="A64" t="s">
        <v>43</v>
      </c>
      <c r="B64" t="s">
        <v>73</v>
      </c>
      <c r="C64" t="s">
        <v>14</v>
      </c>
      <c r="D64" t="s">
        <v>12</v>
      </c>
      <c r="E64" t="b">
        <v>1</v>
      </c>
      <c r="F64">
        <v>100</v>
      </c>
      <c r="G64">
        <v>1</v>
      </c>
      <c r="H64">
        <v>7762</v>
      </c>
      <c r="I64" t="s">
        <v>18</v>
      </c>
    </row>
    <row r="65" spans="1:9" x14ac:dyDescent="0.3">
      <c r="A65" t="s">
        <v>43</v>
      </c>
      <c r="B65" t="s">
        <v>73</v>
      </c>
      <c r="C65" t="s">
        <v>15</v>
      </c>
      <c r="D65" t="s">
        <v>12</v>
      </c>
      <c r="E65" t="b">
        <v>1</v>
      </c>
      <c r="F65">
        <v>100</v>
      </c>
      <c r="G65">
        <v>1</v>
      </c>
      <c r="H65">
        <v>9923</v>
      </c>
      <c r="I65" t="s">
        <v>18</v>
      </c>
    </row>
    <row r="66" spans="1:9" x14ac:dyDescent="0.3">
      <c r="A66" t="s">
        <v>43</v>
      </c>
      <c r="B66" t="s">
        <v>73</v>
      </c>
      <c r="C66" t="s">
        <v>16</v>
      </c>
      <c r="D66" t="s">
        <v>12</v>
      </c>
      <c r="E66" t="b">
        <v>1</v>
      </c>
      <c r="F66">
        <v>100</v>
      </c>
      <c r="G66">
        <v>1</v>
      </c>
      <c r="H66">
        <v>12820</v>
      </c>
      <c r="I66" t="s">
        <v>18</v>
      </c>
    </row>
    <row r="67" spans="1:9" x14ac:dyDescent="0.3">
      <c r="A67" t="s">
        <v>43</v>
      </c>
      <c r="B67" t="s">
        <v>73</v>
      </c>
      <c r="C67" t="s">
        <v>17</v>
      </c>
      <c r="D67" t="s">
        <v>12</v>
      </c>
      <c r="E67" t="b">
        <v>1</v>
      </c>
      <c r="F67">
        <v>100</v>
      </c>
      <c r="G67">
        <v>1</v>
      </c>
      <c r="H67">
        <v>14874</v>
      </c>
      <c r="I67" t="s">
        <v>18</v>
      </c>
    </row>
    <row r="68" spans="1:9" x14ac:dyDescent="0.3">
      <c r="A68" t="s">
        <v>43</v>
      </c>
      <c r="B68" t="s">
        <v>73</v>
      </c>
      <c r="C68" t="s">
        <v>19</v>
      </c>
      <c r="D68" t="s">
        <v>12</v>
      </c>
      <c r="E68" t="b">
        <v>1</v>
      </c>
      <c r="F68">
        <v>99.9</v>
      </c>
      <c r="G68">
        <v>0</v>
      </c>
      <c r="H68">
        <v>8443</v>
      </c>
      <c r="I68" t="s">
        <v>18</v>
      </c>
    </row>
    <row r="69" spans="1:9" x14ac:dyDescent="0.3">
      <c r="A69" t="s">
        <v>43</v>
      </c>
      <c r="B69" t="s">
        <v>73</v>
      </c>
      <c r="C69" t="s">
        <v>20</v>
      </c>
      <c r="D69" t="s">
        <v>12</v>
      </c>
      <c r="E69" t="b">
        <v>1</v>
      </c>
      <c r="F69">
        <v>88.9</v>
      </c>
      <c r="G69">
        <v>0</v>
      </c>
      <c r="H69">
        <v>13880</v>
      </c>
      <c r="I69" t="s">
        <v>13</v>
      </c>
    </row>
    <row r="70" spans="1:9" x14ac:dyDescent="0.3">
      <c r="A70" t="s">
        <v>43</v>
      </c>
      <c r="B70" t="s">
        <v>73</v>
      </c>
      <c r="C70" t="s">
        <v>21</v>
      </c>
      <c r="D70" t="s">
        <v>12</v>
      </c>
      <c r="E70" t="b">
        <v>1</v>
      </c>
      <c r="F70">
        <v>100</v>
      </c>
      <c r="G70">
        <v>1</v>
      </c>
      <c r="H70">
        <v>12415</v>
      </c>
      <c r="I70" t="s">
        <v>18</v>
      </c>
    </row>
    <row r="71" spans="1:9" x14ac:dyDescent="0.3">
      <c r="A71" t="s">
        <v>43</v>
      </c>
      <c r="B71" t="s">
        <v>73</v>
      </c>
      <c r="C71" t="s">
        <v>22</v>
      </c>
      <c r="D71" t="s">
        <v>12</v>
      </c>
      <c r="E71" t="b">
        <v>1</v>
      </c>
      <c r="F71">
        <v>100</v>
      </c>
      <c r="G71">
        <v>1</v>
      </c>
      <c r="H71">
        <v>12776</v>
      </c>
      <c r="I71" t="s">
        <v>18</v>
      </c>
    </row>
    <row r="72" spans="1:9" x14ac:dyDescent="0.3">
      <c r="A72" t="s">
        <v>43</v>
      </c>
      <c r="B72" t="s">
        <v>73</v>
      </c>
      <c r="C72" t="s">
        <v>23</v>
      </c>
      <c r="D72" t="s">
        <v>12</v>
      </c>
      <c r="E72" t="b">
        <v>1</v>
      </c>
      <c r="F72">
        <v>100</v>
      </c>
      <c r="G72">
        <v>1</v>
      </c>
      <c r="H72">
        <v>13351</v>
      </c>
      <c r="I72" t="s">
        <v>18</v>
      </c>
    </row>
    <row r="73" spans="1:9" x14ac:dyDescent="0.3">
      <c r="A73" t="s">
        <v>43</v>
      </c>
      <c r="B73" t="s">
        <v>73</v>
      </c>
      <c r="C73" t="s">
        <v>24</v>
      </c>
      <c r="D73" t="s">
        <v>29</v>
      </c>
      <c r="E73" t="b">
        <v>1</v>
      </c>
      <c r="F73">
        <v>100</v>
      </c>
      <c r="G73">
        <v>1</v>
      </c>
      <c r="H73">
        <v>13667</v>
      </c>
      <c r="I73" t="s">
        <v>18</v>
      </c>
    </row>
    <row r="74" spans="1:9" x14ac:dyDescent="0.3">
      <c r="A74" t="s">
        <v>43</v>
      </c>
      <c r="B74" t="s">
        <v>73</v>
      </c>
      <c r="C74" t="s">
        <v>25</v>
      </c>
      <c r="D74" t="s">
        <v>29</v>
      </c>
      <c r="E74" t="b">
        <v>1</v>
      </c>
      <c r="F74">
        <v>100</v>
      </c>
      <c r="G74">
        <v>1</v>
      </c>
      <c r="H74">
        <v>12651</v>
      </c>
      <c r="I74" t="s">
        <v>18</v>
      </c>
    </row>
    <row r="75" spans="1:9" x14ac:dyDescent="0.3">
      <c r="A75" t="s">
        <v>43</v>
      </c>
      <c r="B75" t="s">
        <v>73</v>
      </c>
      <c r="C75" t="s">
        <v>26</v>
      </c>
      <c r="D75" t="s">
        <v>29</v>
      </c>
      <c r="E75" t="b">
        <v>1</v>
      </c>
      <c r="F75">
        <v>92.5</v>
      </c>
      <c r="G75">
        <v>0</v>
      </c>
      <c r="H75">
        <v>18112</v>
      </c>
      <c r="I75" t="s">
        <v>13</v>
      </c>
    </row>
    <row r="76" spans="1:9" x14ac:dyDescent="0.3">
      <c r="A76" t="s">
        <v>43</v>
      </c>
      <c r="B76" t="s">
        <v>73</v>
      </c>
      <c r="C76" t="s">
        <v>27</v>
      </c>
      <c r="D76" t="s">
        <v>29</v>
      </c>
      <c r="E76" t="b">
        <v>1</v>
      </c>
      <c r="F76">
        <v>58.8</v>
      </c>
      <c r="G76">
        <v>0</v>
      </c>
      <c r="H76">
        <v>18403</v>
      </c>
      <c r="I76" t="s">
        <v>13</v>
      </c>
    </row>
    <row r="77" spans="1:9" x14ac:dyDescent="0.3">
      <c r="A77" t="s">
        <v>43</v>
      </c>
      <c r="B77" t="s">
        <v>73</v>
      </c>
      <c r="C77" t="s">
        <v>28</v>
      </c>
      <c r="D77" t="s">
        <v>29</v>
      </c>
      <c r="E77" t="b">
        <v>1</v>
      </c>
      <c r="F77">
        <v>100</v>
      </c>
      <c r="G77">
        <v>1</v>
      </c>
      <c r="H77">
        <v>17540</v>
      </c>
      <c r="I77" t="s">
        <v>18</v>
      </c>
    </row>
    <row r="78" spans="1:9" x14ac:dyDescent="0.3">
      <c r="A78" t="s">
        <v>43</v>
      </c>
      <c r="B78" t="s">
        <v>73</v>
      </c>
      <c r="C78" t="s">
        <v>30</v>
      </c>
      <c r="D78" t="s">
        <v>29</v>
      </c>
      <c r="E78" t="b">
        <v>1</v>
      </c>
      <c r="F78">
        <v>85.9</v>
      </c>
      <c r="G78">
        <v>0</v>
      </c>
      <c r="H78">
        <v>15725</v>
      </c>
      <c r="I78" t="s">
        <v>13</v>
      </c>
    </row>
    <row r="79" spans="1:9" x14ac:dyDescent="0.3">
      <c r="A79" t="s">
        <v>43</v>
      </c>
      <c r="B79" t="s">
        <v>73</v>
      </c>
      <c r="C79" t="s">
        <v>31</v>
      </c>
      <c r="D79" t="s">
        <v>29</v>
      </c>
      <c r="E79" t="b">
        <v>1</v>
      </c>
      <c r="F79">
        <v>51.5</v>
      </c>
      <c r="G79">
        <v>0</v>
      </c>
      <c r="H79">
        <v>28294</v>
      </c>
      <c r="I79" t="s">
        <v>13</v>
      </c>
    </row>
    <row r="80" spans="1:9" x14ac:dyDescent="0.3">
      <c r="A80" t="s">
        <v>43</v>
      </c>
      <c r="B80" t="s">
        <v>73</v>
      </c>
      <c r="C80" t="s">
        <v>32</v>
      </c>
      <c r="D80" t="s">
        <v>29</v>
      </c>
      <c r="E80" t="b">
        <v>1</v>
      </c>
      <c r="F80">
        <v>100</v>
      </c>
      <c r="G80">
        <v>1</v>
      </c>
      <c r="H80">
        <v>14606</v>
      </c>
      <c r="I80" t="s">
        <v>18</v>
      </c>
    </row>
    <row r="81" spans="1:9" x14ac:dyDescent="0.3">
      <c r="A81" t="s">
        <v>43</v>
      </c>
      <c r="B81" t="s">
        <v>73</v>
      </c>
      <c r="C81" t="s">
        <v>33</v>
      </c>
      <c r="D81" t="s">
        <v>29</v>
      </c>
      <c r="E81" t="b">
        <v>1</v>
      </c>
      <c r="F81">
        <v>99.9</v>
      </c>
      <c r="G81">
        <v>0</v>
      </c>
      <c r="H81">
        <v>17982</v>
      </c>
      <c r="I81" t="s">
        <v>18</v>
      </c>
    </row>
    <row r="82" spans="1:9" x14ac:dyDescent="0.3">
      <c r="A82" t="s">
        <v>43</v>
      </c>
      <c r="B82" t="s">
        <v>73</v>
      </c>
      <c r="C82" t="s">
        <v>34</v>
      </c>
      <c r="D82" t="s">
        <v>29</v>
      </c>
      <c r="E82" t="b">
        <v>1</v>
      </c>
      <c r="F82">
        <v>100</v>
      </c>
      <c r="G82">
        <v>1</v>
      </c>
      <c r="H82">
        <v>20145</v>
      </c>
      <c r="I82" t="s">
        <v>18</v>
      </c>
    </row>
    <row r="83" spans="1:9" x14ac:dyDescent="0.3">
      <c r="A83" t="s">
        <v>43</v>
      </c>
      <c r="B83" t="s">
        <v>73</v>
      </c>
      <c r="C83" t="s">
        <v>35</v>
      </c>
      <c r="D83" t="s">
        <v>29</v>
      </c>
      <c r="E83" t="b">
        <v>1</v>
      </c>
      <c r="F83">
        <v>100</v>
      </c>
      <c r="G83">
        <v>1</v>
      </c>
      <c r="H83">
        <v>24190</v>
      </c>
      <c r="I83" t="s">
        <v>18</v>
      </c>
    </row>
    <row r="84" spans="1:9" x14ac:dyDescent="0.3">
      <c r="A84" t="s">
        <v>45</v>
      </c>
      <c r="B84" t="s">
        <v>46</v>
      </c>
      <c r="C84" t="s">
        <v>11</v>
      </c>
      <c r="D84" t="s">
        <v>12</v>
      </c>
      <c r="E84" t="b">
        <v>1</v>
      </c>
      <c r="F84">
        <v>64.400000000000006</v>
      </c>
      <c r="G84">
        <v>0</v>
      </c>
      <c r="H84">
        <v>15051</v>
      </c>
      <c r="I84" t="s">
        <v>13</v>
      </c>
    </row>
    <row r="85" spans="1:9" x14ac:dyDescent="0.3">
      <c r="A85" t="s">
        <v>45</v>
      </c>
      <c r="B85" t="s">
        <v>46</v>
      </c>
      <c r="C85" t="s">
        <v>14</v>
      </c>
      <c r="D85" t="s">
        <v>12</v>
      </c>
      <c r="E85" t="b">
        <v>1</v>
      </c>
      <c r="F85">
        <v>86.6</v>
      </c>
      <c r="G85">
        <v>0</v>
      </c>
      <c r="H85">
        <v>12594</v>
      </c>
      <c r="I85" t="s">
        <v>13</v>
      </c>
    </row>
    <row r="86" spans="1:9" x14ac:dyDescent="0.3">
      <c r="A86" t="s">
        <v>45</v>
      </c>
      <c r="B86" t="s">
        <v>46</v>
      </c>
      <c r="C86" t="s">
        <v>15</v>
      </c>
      <c r="D86" t="s">
        <v>12</v>
      </c>
      <c r="E86" t="b">
        <v>1</v>
      </c>
      <c r="F86">
        <v>82.1</v>
      </c>
      <c r="G86">
        <v>0</v>
      </c>
      <c r="H86">
        <v>9768</v>
      </c>
      <c r="I86" t="s">
        <v>13</v>
      </c>
    </row>
    <row r="87" spans="1:9" x14ac:dyDescent="0.3">
      <c r="A87" t="s">
        <v>45</v>
      </c>
      <c r="B87" t="s">
        <v>46</v>
      </c>
      <c r="C87" t="s">
        <v>16</v>
      </c>
      <c r="D87" t="s">
        <v>12</v>
      </c>
      <c r="E87" t="b">
        <v>1</v>
      </c>
      <c r="F87">
        <v>100</v>
      </c>
      <c r="G87">
        <v>1</v>
      </c>
      <c r="H87">
        <v>9078</v>
      </c>
      <c r="I87" t="s">
        <v>18</v>
      </c>
    </row>
    <row r="88" spans="1:9" x14ac:dyDescent="0.3">
      <c r="A88" t="s">
        <v>45</v>
      </c>
      <c r="B88" t="s">
        <v>46</v>
      </c>
      <c r="C88" t="s">
        <v>17</v>
      </c>
      <c r="D88" t="s">
        <v>12</v>
      </c>
      <c r="E88" t="b">
        <v>1</v>
      </c>
      <c r="F88">
        <v>82.1</v>
      </c>
      <c r="G88">
        <v>0</v>
      </c>
      <c r="H88">
        <v>9633</v>
      </c>
      <c r="I88" t="s">
        <v>13</v>
      </c>
    </row>
    <row r="89" spans="1:9" x14ac:dyDescent="0.3">
      <c r="A89" t="s">
        <v>45</v>
      </c>
      <c r="B89" t="s">
        <v>46</v>
      </c>
      <c r="C89" t="s">
        <v>19</v>
      </c>
      <c r="D89" t="s">
        <v>12</v>
      </c>
      <c r="E89" t="b">
        <v>1</v>
      </c>
      <c r="F89">
        <v>82.1</v>
      </c>
      <c r="G89">
        <v>0</v>
      </c>
      <c r="H89">
        <v>9647</v>
      </c>
      <c r="I89" t="s">
        <v>13</v>
      </c>
    </row>
    <row r="90" spans="1:9" x14ac:dyDescent="0.3">
      <c r="A90" t="s">
        <v>45</v>
      </c>
      <c r="B90" t="s">
        <v>46</v>
      </c>
      <c r="C90" t="s">
        <v>20</v>
      </c>
      <c r="D90" t="s">
        <v>12</v>
      </c>
      <c r="E90" t="b">
        <v>1</v>
      </c>
      <c r="F90">
        <v>100</v>
      </c>
      <c r="G90">
        <v>1</v>
      </c>
      <c r="H90">
        <v>9026</v>
      </c>
      <c r="I90" t="s">
        <v>18</v>
      </c>
    </row>
    <row r="91" spans="1:9" x14ac:dyDescent="0.3">
      <c r="A91" t="s">
        <v>45</v>
      </c>
      <c r="B91" t="s">
        <v>46</v>
      </c>
      <c r="C91" t="s">
        <v>21</v>
      </c>
      <c r="D91" t="s">
        <v>29</v>
      </c>
      <c r="E91" t="b">
        <v>1</v>
      </c>
      <c r="F91">
        <v>75.2</v>
      </c>
      <c r="G91">
        <v>0</v>
      </c>
      <c r="H91">
        <v>11608</v>
      </c>
      <c r="I91" t="s">
        <v>13</v>
      </c>
    </row>
    <row r="92" spans="1:9" x14ac:dyDescent="0.3">
      <c r="A92" t="s">
        <v>45</v>
      </c>
      <c r="B92" t="s">
        <v>46</v>
      </c>
      <c r="C92" t="s">
        <v>22</v>
      </c>
      <c r="D92" t="s">
        <v>29</v>
      </c>
      <c r="E92" t="b">
        <v>1</v>
      </c>
      <c r="F92">
        <v>81.599999999999994</v>
      </c>
      <c r="G92">
        <v>0</v>
      </c>
      <c r="H92">
        <v>10879</v>
      </c>
      <c r="I92" t="s">
        <v>13</v>
      </c>
    </row>
    <row r="93" spans="1:9" x14ac:dyDescent="0.3">
      <c r="A93" t="s">
        <v>45</v>
      </c>
      <c r="B93" t="s">
        <v>46</v>
      </c>
      <c r="C93" t="s">
        <v>23</v>
      </c>
      <c r="D93" t="s">
        <v>29</v>
      </c>
      <c r="E93" t="b">
        <v>1</v>
      </c>
      <c r="F93">
        <v>100</v>
      </c>
      <c r="G93">
        <v>1</v>
      </c>
      <c r="H93">
        <v>10379</v>
      </c>
      <c r="I93" t="s">
        <v>18</v>
      </c>
    </row>
    <row r="94" spans="1:9" x14ac:dyDescent="0.3">
      <c r="A94" t="s">
        <v>45</v>
      </c>
      <c r="B94" t="s">
        <v>46</v>
      </c>
      <c r="C94" t="s">
        <v>24</v>
      </c>
      <c r="D94" t="s">
        <v>29</v>
      </c>
      <c r="E94" t="b">
        <v>1</v>
      </c>
      <c r="F94">
        <v>96.5</v>
      </c>
      <c r="G94">
        <v>0</v>
      </c>
      <c r="H94">
        <v>11058</v>
      </c>
      <c r="I94" t="s">
        <v>13</v>
      </c>
    </row>
    <row r="95" spans="1:9" x14ac:dyDescent="0.3">
      <c r="A95" t="s">
        <v>45</v>
      </c>
      <c r="B95" t="s">
        <v>46</v>
      </c>
      <c r="C95" t="s">
        <v>25</v>
      </c>
      <c r="D95" t="s">
        <v>29</v>
      </c>
      <c r="E95" t="b">
        <v>1</v>
      </c>
      <c r="F95">
        <v>97</v>
      </c>
      <c r="G95">
        <v>0</v>
      </c>
      <c r="H95">
        <v>9812</v>
      </c>
      <c r="I95" t="s">
        <v>13</v>
      </c>
    </row>
    <row r="96" spans="1:9" x14ac:dyDescent="0.3">
      <c r="A96" t="s">
        <v>45</v>
      </c>
      <c r="B96" t="s">
        <v>46</v>
      </c>
      <c r="C96" t="s">
        <v>26</v>
      </c>
      <c r="D96" t="s">
        <v>29</v>
      </c>
      <c r="E96" t="b">
        <v>1</v>
      </c>
      <c r="F96">
        <v>100</v>
      </c>
      <c r="G96">
        <v>1</v>
      </c>
      <c r="H96">
        <v>9942</v>
      </c>
      <c r="I96" t="s">
        <v>18</v>
      </c>
    </row>
    <row r="97" spans="1:9" x14ac:dyDescent="0.3">
      <c r="A97" t="s">
        <v>45</v>
      </c>
      <c r="B97" t="s">
        <v>46</v>
      </c>
      <c r="C97" t="s">
        <v>27</v>
      </c>
      <c r="D97" t="s">
        <v>29</v>
      </c>
      <c r="E97" t="b">
        <v>1</v>
      </c>
      <c r="F97">
        <v>100</v>
      </c>
      <c r="G97">
        <v>1</v>
      </c>
      <c r="H97">
        <v>9447</v>
      </c>
      <c r="I97" t="s">
        <v>18</v>
      </c>
    </row>
    <row r="98" spans="1:9" x14ac:dyDescent="0.3">
      <c r="A98" t="s">
        <v>45</v>
      </c>
      <c r="B98" t="s">
        <v>46</v>
      </c>
      <c r="C98" t="s">
        <v>28</v>
      </c>
      <c r="D98" t="s">
        <v>29</v>
      </c>
      <c r="E98" t="b">
        <v>1</v>
      </c>
      <c r="F98">
        <v>91.9</v>
      </c>
      <c r="G98">
        <v>0</v>
      </c>
      <c r="H98">
        <v>9495</v>
      </c>
      <c r="I98" t="s">
        <v>13</v>
      </c>
    </row>
    <row r="99" spans="1:9" x14ac:dyDescent="0.3">
      <c r="A99" t="s">
        <v>45</v>
      </c>
      <c r="B99" t="s">
        <v>46</v>
      </c>
      <c r="C99" t="s">
        <v>30</v>
      </c>
      <c r="D99" t="s">
        <v>29</v>
      </c>
      <c r="E99" t="b">
        <v>1</v>
      </c>
      <c r="F99">
        <v>93.3</v>
      </c>
      <c r="G99">
        <v>0</v>
      </c>
      <c r="H99">
        <v>9336</v>
      </c>
      <c r="I99" t="s">
        <v>13</v>
      </c>
    </row>
    <row r="100" spans="1:9" x14ac:dyDescent="0.3">
      <c r="A100" t="s">
        <v>45</v>
      </c>
      <c r="B100" t="s">
        <v>72</v>
      </c>
      <c r="C100" t="s">
        <v>11</v>
      </c>
      <c r="D100" t="s">
        <v>12</v>
      </c>
      <c r="E100" t="b">
        <v>1</v>
      </c>
      <c r="F100">
        <v>100</v>
      </c>
      <c r="G100">
        <v>1</v>
      </c>
      <c r="H100">
        <v>10629</v>
      </c>
      <c r="I100" t="s">
        <v>18</v>
      </c>
    </row>
    <row r="101" spans="1:9" x14ac:dyDescent="0.3">
      <c r="A101" t="s">
        <v>45</v>
      </c>
      <c r="B101" t="s">
        <v>72</v>
      </c>
      <c r="C101" t="s">
        <v>14</v>
      </c>
      <c r="D101" t="s">
        <v>12</v>
      </c>
      <c r="E101" t="b">
        <v>1</v>
      </c>
      <c r="F101">
        <v>98.3</v>
      </c>
      <c r="G101">
        <v>0</v>
      </c>
      <c r="H101">
        <v>11224</v>
      </c>
      <c r="I101" t="s">
        <v>13</v>
      </c>
    </row>
    <row r="102" spans="1:9" x14ac:dyDescent="0.3">
      <c r="A102" t="s">
        <v>45</v>
      </c>
      <c r="B102" t="s">
        <v>72</v>
      </c>
      <c r="C102" t="s">
        <v>15</v>
      </c>
      <c r="D102" t="s">
        <v>12</v>
      </c>
      <c r="E102" t="b">
        <v>1</v>
      </c>
      <c r="F102">
        <v>40.4</v>
      </c>
      <c r="G102">
        <v>0</v>
      </c>
      <c r="H102">
        <v>13046</v>
      </c>
      <c r="I102" t="s">
        <v>13</v>
      </c>
    </row>
    <row r="103" spans="1:9" x14ac:dyDescent="0.3">
      <c r="A103" t="s">
        <v>45</v>
      </c>
      <c r="B103" t="s">
        <v>72</v>
      </c>
      <c r="C103" t="s">
        <v>16</v>
      </c>
      <c r="D103" t="s">
        <v>12</v>
      </c>
      <c r="E103" t="b">
        <v>1</v>
      </c>
      <c r="F103">
        <v>100</v>
      </c>
      <c r="G103">
        <v>1</v>
      </c>
      <c r="H103">
        <v>11463</v>
      </c>
      <c r="I103" t="s">
        <v>18</v>
      </c>
    </row>
    <row r="104" spans="1:9" x14ac:dyDescent="0.3">
      <c r="A104" t="s">
        <v>45</v>
      </c>
      <c r="B104" t="s">
        <v>72</v>
      </c>
      <c r="C104" t="s">
        <v>17</v>
      </c>
      <c r="D104" t="s">
        <v>12</v>
      </c>
      <c r="E104" t="b">
        <v>1</v>
      </c>
      <c r="F104">
        <v>99.9</v>
      </c>
      <c r="G104">
        <v>0</v>
      </c>
      <c r="H104">
        <v>9469</v>
      </c>
      <c r="I104" t="s">
        <v>13</v>
      </c>
    </row>
    <row r="105" spans="1:9" x14ac:dyDescent="0.3">
      <c r="A105" t="s">
        <v>45</v>
      </c>
      <c r="B105" t="s">
        <v>72</v>
      </c>
      <c r="C105" t="s">
        <v>19</v>
      </c>
      <c r="D105" t="s">
        <v>12</v>
      </c>
      <c r="E105" t="b">
        <v>1</v>
      </c>
      <c r="F105">
        <v>75.8</v>
      </c>
      <c r="G105">
        <v>0</v>
      </c>
      <c r="H105">
        <v>10738</v>
      </c>
      <c r="I105" t="s">
        <v>13</v>
      </c>
    </row>
    <row r="106" spans="1:9" x14ac:dyDescent="0.3">
      <c r="A106" t="s">
        <v>45</v>
      </c>
      <c r="B106" t="s">
        <v>72</v>
      </c>
      <c r="C106" t="s">
        <v>20</v>
      </c>
      <c r="D106" t="s">
        <v>12</v>
      </c>
      <c r="E106" t="b">
        <v>1</v>
      </c>
      <c r="F106">
        <v>47</v>
      </c>
      <c r="G106">
        <v>0</v>
      </c>
      <c r="H106">
        <v>13771</v>
      </c>
      <c r="I106" t="s">
        <v>13</v>
      </c>
    </row>
    <row r="107" spans="1:9" x14ac:dyDescent="0.3">
      <c r="A107" t="s">
        <v>45</v>
      </c>
      <c r="B107" t="s">
        <v>72</v>
      </c>
      <c r="C107" t="s">
        <v>21</v>
      </c>
      <c r="D107" t="s">
        <v>12</v>
      </c>
      <c r="E107" t="b">
        <v>1</v>
      </c>
      <c r="F107">
        <v>100</v>
      </c>
      <c r="G107">
        <v>1</v>
      </c>
      <c r="H107">
        <v>10997</v>
      </c>
      <c r="I107" t="s">
        <v>18</v>
      </c>
    </row>
    <row r="108" spans="1:9" x14ac:dyDescent="0.3">
      <c r="A108" t="s">
        <v>45</v>
      </c>
      <c r="B108" t="s">
        <v>72</v>
      </c>
      <c r="C108" t="s">
        <v>22</v>
      </c>
      <c r="D108" t="s">
        <v>12</v>
      </c>
      <c r="E108" t="b">
        <v>1</v>
      </c>
      <c r="F108">
        <v>94.9</v>
      </c>
      <c r="G108">
        <v>0</v>
      </c>
      <c r="H108">
        <v>11422</v>
      </c>
      <c r="I108" t="s">
        <v>13</v>
      </c>
    </row>
    <row r="109" spans="1:9" x14ac:dyDescent="0.3">
      <c r="A109" t="s">
        <v>45</v>
      </c>
      <c r="B109" t="s">
        <v>72</v>
      </c>
      <c r="C109" t="s">
        <v>23</v>
      </c>
      <c r="D109" t="s">
        <v>29</v>
      </c>
      <c r="E109" t="b">
        <v>1</v>
      </c>
      <c r="F109">
        <v>99.9</v>
      </c>
      <c r="G109">
        <v>0</v>
      </c>
      <c r="H109">
        <v>14387</v>
      </c>
      <c r="I109" t="s">
        <v>18</v>
      </c>
    </row>
    <row r="110" spans="1:9" x14ac:dyDescent="0.3">
      <c r="A110" t="s">
        <v>45</v>
      </c>
      <c r="B110" t="s">
        <v>72</v>
      </c>
      <c r="C110" t="s">
        <v>24</v>
      </c>
      <c r="D110" t="s">
        <v>29</v>
      </c>
      <c r="E110" t="b">
        <v>1</v>
      </c>
      <c r="F110">
        <v>100</v>
      </c>
      <c r="G110">
        <v>1</v>
      </c>
      <c r="H110">
        <v>16213</v>
      </c>
      <c r="I110" t="s">
        <v>18</v>
      </c>
    </row>
    <row r="111" spans="1:9" x14ac:dyDescent="0.3">
      <c r="A111" t="s">
        <v>45</v>
      </c>
      <c r="B111" t="s">
        <v>72</v>
      </c>
      <c r="C111" t="s">
        <v>25</v>
      </c>
      <c r="D111" t="s">
        <v>29</v>
      </c>
      <c r="E111" t="b">
        <v>1</v>
      </c>
      <c r="F111">
        <v>99.9</v>
      </c>
      <c r="G111">
        <v>0</v>
      </c>
      <c r="H111">
        <v>21864</v>
      </c>
      <c r="I111" t="s">
        <v>18</v>
      </c>
    </row>
    <row r="112" spans="1:9" x14ac:dyDescent="0.3">
      <c r="A112" t="s">
        <v>45</v>
      </c>
      <c r="B112" t="s">
        <v>72</v>
      </c>
      <c r="C112" t="s">
        <v>26</v>
      </c>
      <c r="D112" t="s">
        <v>29</v>
      </c>
      <c r="E112" t="b">
        <v>1</v>
      </c>
      <c r="F112">
        <v>100</v>
      </c>
      <c r="G112">
        <v>1</v>
      </c>
      <c r="H112">
        <v>29679</v>
      </c>
      <c r="I112" t="s">
        <v>13</v>
      </c>
    </row>
    <row r="113" spans="1:9" x14ac:dyDescent="0.3">
      <c r="A113" t="s">
        <v>45</v>
      </c>
      <c r="B113" t="s">
        <v>72</v>
      </c>
      <c r="C113" t="s">
        <v>27</v>
      </c>
      <c r="D113" t="s">
        <v>29</v>
      </c>
      <c r="E113" t="b">
        <v>1</v>
      </c>
      <c r="F113">
        <v>100</v>
      </c>
      <c r="G113">
        <v>1</v>
      </c>
      <c r="H113">
        <v>29694</v>
      </c>
      <c r="I113" t="s">
        <v>18</v>
      </c>
    </row>
    <row r="114" spans="1:9" x14ac:dyDescent="0.3">
      <c r="A114" t="s">
        <v>45</v>
      </c>
      <c r="B114" t="s">
        <v>72</v>
      </c>
      <c r="C114" t="s">
        <v>28</v>
      </c>
      <c r="D114" t="s">
        <v>29</v>
      </c>
      <c r="E114" t="b">
        <v>1</v>
      </c>
      <c r="F114">
        <v>100</v>
      </c>
      <c r="G114">
        <v>1</v>
      </c>
      <c r="H114">
        <v>21104</v>
      </c>
      <c r="I114" t="s">
        <v>18</v>
      </c>
    </row>
    <row r="115" spans="1:9" x14ac:dyDescent="0.3">
      <c r="A115" t="s">
        <v>45</v>
      </c>
      <c r="B115" t="s">
        <v>72</v>
      </c>
      <c r="C115" t="s">
        <v>30</v>
      </c>
      <c r="D115" t="s">
        <v>29</v>
      </c>
      <c r="E115" t="b">
        <v>1</v>
      </c>
      <c r="F115">
        <v>100</v>
      </c>
      <c r="G115">
        <v>1</v>
      </c>
      <c r="H115">
        <v>21629</v>
      </c>
      <c r="I115" t="s">
        <v>18</v>
      </c>
    </row>
    <row r="116" spans="1:9" x14ac:dyDescent="0.3">
      <c r="A116" t="s">
        <v>45</v>
      </c>
      <c r="B116" t="s">
        <v>72</v>
      </c>
      <c r="C116" t="s">
        <v>31</v>
      </c>
      <c r="D116" t="s">
        <v>29</v>
      </c>
      <c r="E116" t="b">
        <v>1</v>
      </c>
      <c r="F116">
        <v>100</v>
      </c>
      <c r="G116">
        <v>1</v>
      </c>
      <c r="H116">
        <v>21275</v>
      </c>
      <c r="I116" t="s">
        <v>18</v>
      </c>
    </row>
    <row r="117" spans="1:9" x14ac:dyDescent="0.3">
      <c r="A117" t="s">
        <v>45</v>
      </c>
      <c r="B117" t="s">
        <v>72</v>
      </c>
      <c r="C117" t="s">
        <v>32</v>
      </c>
      <c r="D117" t="s">
        <v>29</v>
      </c>
      <c r="E117" t="b">
        <v>1</v>
      </c>
      <c r="F117">
        <v>100</v>
      </c>
      <c r="G117">
        <v>1</v>
      </c>
      <c r="H117">
        <v>21750</v>
      </c>
      <c r="I117" t="s">
        <v>18</v>
      </c>
    </row>
    <row r="118" spans="1:9" x14ac:dyDescent="0.3">
      <c r="A118" t="s">
        <v>45</v>
      </c>
      <c r="B118" t="s">
        <v>72</v>
      </c>
      <c r="C118" t="s">
        <v>33</v>
      </c>
      <c r="D118" t="s">
        <v>29</v>
      </c>
      <c r="E118" t="b">
        <v>1</v>
      </c>
      <c r="F118">
        <v>100</v>
      </c>
      <c r="G118">
        <v>1</v>
      </c>
      <c r="H118">
        <v>22104</v>
      </c>
      <c r="I118" t="s">
        <v>18</v>
      </c>
    </row>
    <row r="119" spans="1:9" x14ac:dyDescent="0.3">
      <c r="A119" t="s">
        <v>45</v>
      </c>
      <c r="B119" t="s">
        <v>72</v>
      </c>
      <c r="C119" t="s">
        <v>34</v>
      </c>
      <c r="D119" t="s">
        <v>29</v>
      </c>
      <c r="E119" t="b">
        <v>1</v>
      </c>
      <c r="F119">
        <v>100</v>
      </c>
      <c r="G119">
        <v>1</v>
      </c>
      <c r="H119">
        <v>6657</v>
      </c>
      <c r="I119" t="s">
        <v>18</v>
      </c>
    </row>
    <row r="120" spans="1:9" x14ac:dyDescent="0.3">
      <c r="A120" t="s">
        <v>45</v>
      </c>
      <c r="B120" t="s">
        <v>72</v>
      </c>
      <c r="C120" t="s">
        <v>35</v>
      </c>
      <c r="D120" t="s">
        <v>29</v>
      </c>
      <c r="E120" t="b">
        <v>1</v>
      </c>
      <c r="F120">
        <v>100</v>
      </c>
      <c r="G120">
        <v>1</v>
      </c>
      <c r="H120">
        <v>8749</v>
      </c>
      <c r="I120" t="s">
        <v>18</v>
      </c>
    </row>
    <row r="121" spans="1:9" x14ac:dyDescent="0.3">
      <c r="A121" t="s">
        <v>45</v>
      </c>
      <c r="B121" t="s">
        <v>72</v>
      </c>
      <c r="C121" t="s">
        <v>36</v>
      </c>
      <c r="D121" t="s">
        <v>29</v>
      </c>
      <c r="E121" t="b">
        <v>1</v>
      </c>
      <c r="F121">
        <v>100</v>
      </c>
      <c r="G121">
        <v>1</v>
      </c>
      <c r="H121">
        <v>10173</v>
      </c>
      <c r="I121" t="s">
        <v>18</v>
      </c>
    </row>
    <row r="122" spans="1:9" x14ac:dyDescent="0.3">
      <c r="A122" t="s">
        <v>45</v>
      </c>
      <c r="B122" t="s">
        <v>72</v>
      </c>
      <c r="C122" t="s">
        <v>37</v>
      </c>
      <c r="D122" t="s">
        <v>29</v>
      </c>
      <c r="E122" t="b">
        <v>1</v>
      </c>
      <c r="F122">
        <v>96.6</v>
      </c>
      <c r="G122">
        <v>0</v>
      </c>
      <c r="H122">
        <v>12440</v>
      </c>
      <c r="I122" t="s">
        <v>13</v>
      </c>
    </row>
    <row r="123" spans="1:9" x14ac:dyDescent="0.3">
      <c r="A123" t="s">
        <v>9</v>
      </c>
      <c r="B123" t="s">
        <v>10</v>
      </c>
      <c r="C123" t="s">
        <v>11</v>
      </c>
      <c r="D123" t="s">
        <v>12</v>
      </c>
      <c r="E123" t="b">
        <v>1</v>
      </c>
      <c r="F123">
        <v>51.1</v>
      </c>
      <c r="G123">
        <v>0</v>
      </c>
      <c r="H123">
        <v>15157</v>
      </c>
      <c r="I123" t="s">
        <v>13</v>
      </c>
    </row>
    <row r="124" spans="1:9" x14ac:dyDescent="0.3">
      <c r="A124" t="s">
        <v>9</v>
      </c>
      <c r="B124" t="s">
        <v>10</v>
      </c>
      <c r="C124" t="s">
        <v>14</v>
      </c>
      <c r="D124" t="s">
        <v>12</v>
      </c>
      <c r="E124" t="b">
        <v>1</v>
      </c>
      <c r="F124">
        <v>50.9</v>
      </c>
      <c r="G124">
        <v>0</v>
      </c>
      <c r="H124">
        <v>13845</v>
      </c>
      <c r="I124" t="s">
        <v>13</v>
      </c>
    </row>
    <row r="125" spans="1:9" x14ac:dyDescent="0.3">
      <c r="A125" t="s">
        <v>9</v>
      </c>
      <c r="B125" t="s">
        <v>10</v>
      </c>
      <c r="C125" t="s">
        <v>15</v>
      </c>
      <c r="D125" t="s">
        <v>12</v>
      </c>
      <c r="E125" t="b">
        <v>1</v>
      </c>
      <c r="F125">
        <v>49.8</v>
      </c>
      <c r="G125">
        <v>0</v>
      </c>
      <c r="H125">
        <v>12988</v>
      </c>
      <c r="I125" t="s">
        <v>13</v>
      </c>
    </row>
    <row r="126" spans="1:9" x14ac:dyDescent="0.3">
      <c r="A126" t="s">
        <v>9</v>
      </c>
      <c r="B126" t="s">
        <v>10</v>
      </c>
      <c r="C126" t="s">
        <v>16</v>
      </c>
      <c r="D126" t="s">
        <v>12</v>
      </c>
      <c r="E126" t="b">
        <v>1</v>
      </c>
      <c r="F126">
        <v>68.2</v>
      </c>
      <c r="G126">
        <v>0</v>
      </c>
      <c r="H126">
        <v>11982</v>
      </c>
      <c r="I126" t="s">
        <v>13</v>
      </c>
    </row>
    <row r="127" spans="1:9" x14ac:dyDescent="0.3">
      <c r="A127" t="s">
        <v>9</v>
      </c>
      <c r="B127" t="s">
        <v>10</v>
      </c>
      <c r="C127" t="s">
        <v>17</v>
      </c>
      <c r="D127" t="s">
        <v>12</v>
      </c>
      <c r="E127" t="b">
        <v>1</v>
      </c>
      <c r="F127">
        <v>100</v>
      </c>
      <c r="G127">
        <v>1</v>
      </c>
      <c r="H127">
        <v>10979</v>
      </c>
      <c r="I127" t="s">
        <v>18</v>
      </c>
    </row>
    <row r="128" spans="1:9" x14ac:dyDescent="0.3">
      <c r="A128" t="s">
        <v>9</v>
      </c>
      <c r="B128" t="s">
        <v>10</v>
      </c>
      <c r="C128" t="s">
        <v>19</v>
      </c>
      <c r="D128" t="s">
        <v>12</v>
      </c>
      <c r="E128" t="b">
        <v>1</v>
      </c>
      <c r="F128">
        <v>70</v>
      </c>
      <c r="G128">
        <v>0</v>
      </c>
      <c r="H128">
        <v>11664</v>
      </c>
      <c r="I128" t="s">
        <v>13</v>
      </c>
    </row>
    <row r="129" spans="1:9" x14ac:dyDescent="0.3">
      <c r="A129" t="s">
        <v>9</v>
      </c>
      <c r="B129" t="s">
        <v>10</v>
      </c>
      <c r="C129" t="s">
        <v>20</v>
      </c>
      <c r="D129" t="s">
        <v>12</v>
      </c>
      <c r="E129" t="b">
        <v>1</v>
      </c>
      <c r="F129">
        <v>100</v>
      </c>
      <c r="G129">
        <v>1</v>
      </c>
      <c r="H129">
        <v>11362</v>
      </c>
      <c r="I129" t="s">
        <v>18</v>
      </c>
    </row>
    <row r="130" spans="1:9" x14ac:dyDescent="0.3">
      <c r="A130" t="s">
        <v>9</v>
      </c>
      <c r="B130" t="s">
        <v>10</v>
      </c>
      <c r="C130" t="s">
        <v>21</v>
      </c>
      <c r="D130" t="s">
        <v>12</v>
      </c>
      <c r="E130" t="b">
        <v>1</v>
      </c>
      <c r="F130">
        <v>100</v>
      </c>
      <c r="G130">
        <v>1</v>
      </c>
      <c r="H130">
        <v>9959</v>
      </c>
      <c r="I130" t="s">
        <v>18</v>
      </c>
    </row>
    <row r="131" spans="1:9" x14ac:dyDescent="0.3">
      <c r="A131" t="s">
        <v>9</v>
      </c>
      <c r="B131" t="s">
        <v>10</v>
      </c>
      <c r="C131" t="s">
        <v>22</v>
      </c>
      <c r="D131" t="s">
        <v>12</v>
      </c>
      <c r="E131" t="b">
        <v>1</v>
      </c>
      <c r="F131">
        <v>100</v>
      </c>
      <c r="G131">
        <v>1</v>
      </c>
      <c r="H131">
        <v>11364</v>
      </c>
      <c r="I131" t="s">
        <v>18</v>
      </c>
    </row>
    <row r="132" spans="1:9" x14ac:dyDescent="0.3">
      <c r="A132" t="s">
        <v>9</v>
      </c>
      <c r="B132" t="s">
        <v>10</v>
      </c>
      <c r="C132" t="s">
        <v>23</v>
      </c>
      <c r="D132" t="s">
        <v>12</v>
      </c>
      <c r="E132" t="b">
        <v>1</v>
      </c>
      <c r="F132">
        <v>100</v>
      </c>
      <c r="G132">
        <v>1</v>
      </c>
      <c r="H132">
        <v>10691</v>
      </c>
      <c r="I132" t="s">
        <v>18</v>
      </c>
    </row>
    <row r="133" spans="1:9" x14ac:dyDescent="0.3">
      <c r="A133" t="s">
        <v>9</v>
      </c>
      <c r="B133" t="s">
        <v>10</v>
      </c>
      <c r="C133" t="s">
        <v>24</v>
      </c>
      <c r="D133" t="s">
        <v>12</v>
      </c>
      <c r="E133" t="b">
        <v>1</v>
      </c>
      <c r="F133">
        <v>71.599999999999994</v>
      </c>
      <c r="G133">
        <v>0</v>
      </c>
      <c r="H133">
        <v>11640</v>
      </c>
      <c r="I133" t="s">
        <v>13</v>
      </c>
    </row>
    <row r="134" spans="1:9" x14ac:dyDescent="0.3">
      <c r="A134" t="s">
        <v>9</v>
      </c>
      <c r="B134" t="s">
        <v>10</v>
      </c>
      <c r="C134" t="s">
        <v>25</v>
      </c>
      <c r="D134" t="s">
        <v>12</v>
      </c>
      <c r="E134" t="b">
        <v>1</v>
      </c>
      <c r="F134">
        <v>100</v>
      </c>
      <c r="G134">
        <v>1</v>
      </c>
      <c r="H134">
        <v>11350</v>
      </c>
      <c r="I134" t="s">
        <v>18</v>
      </c>
    </row>
    <row r="135" spans="1:9" x14ac:dyDescent="0.3">
      <c r="A135" t="s">
        <v>9</v>
      </c>
      <c r="B135" t="s">
        <v>10</v>
      </c>
      <c r="C135" t="s">
        <v>26</v>
      </c>
      <c r="D135" t="s">
        <v>12</v>
      </c>
      <c r="E135" t="b">
        <v>1</v>
      </c>
      <c r="F135">
        <v>100</v>
      </c>
      <c r="G135">
        <v>1</v>
      </c>
      <c r="H135">
        <v>11665</v>
      </c>
      <c r="I135" t="s">
        <v>18</v>
      </c>
    </row>
    <row r="136" spans="1:9" x14ac:dyDescent="0.3">
      <c r="A136" t="s">
        <v>9</v>
      </c>
      <c r="B136" t="s">
        <v>10</v>
      </c>
      <c r="C136" t="s">
        <v>27</v>
      </c>
      <c r="D136" t="s">
        <v>12</v>
      </c>
      <c r="E136" t="b">
        <v>1</v>
      </c>
      <c r="F136">
        <v>67.5</v>
      </c>
      <c r="G136">
        <v>0</v>
      </c>
      <c r="H136">
        <v>12671</v>
      </c>
      <c r="I136" t="s">
        <v>13</v>
      </c>
    </row>
    <row r="137" spans="1:9" x14ac:dyDescent="0.3">
      <c r="A137" t="s">
        <v>9</v>
      </c>
      <c r="B137" t="s">
        <v>10</v>
      </c>
      <c r="C137" t="s">
        <v>28</v>
      </c>
      <c r="D137" t="s">
        <v>29</v>
      </c>
      <c r="E137" t="b">
        <v>1</v>
      </c>
      <c r="F137">
        <v>100</v>
      </c>
      <c r="G137">
        <v>1</v>
      </c>
      <c r="H137">
        <v>10885</v>
      </c>
      <c r="I137" t="s">
        <v>18</v>
      </c>
    </row>
    <row r="138" spans="1:9" x14ac:dyDescent="0.3">
      <c r="A138" t="s">
        <v>9</v>
      </c>
      <c r="B138" t="s">
        <v>10</v>
      </c>
      <c r="C138" t="s">
        <v>30</v>
      </c>
      <c r="D138" t="s">
        <v>29</v>
      </c>
      <c r="E138" t="b">
        <v>1</v>
      </c>
      <c r="F138">
        <v>100</v>
      </c>
      <c r="G138">
        <v>1</v>
      </c>
      <c r="H138">
        <v>14222</v>
      </c>
      <c r="I138" t="s">
        <v>18</v>
      </c>
    </row>
    <row r="139" spans="1:9" x14ac:dyDescent="0.3">
      <c r="A139" t="s">
        <v>9</v>
      </c>
      <c r="B139" t="s">
        <v>10</v>
      </c>
      <c r="C139" t="s">
        <v>31</v>
      </c>
      <c r="D139" t="s">
        <v>29</v>
      </c>
      <c r="E139" t="b">
        <v>1</v>
      </c>
      <c r="F139">
        <v>100</v>
      </c>
      <c r="G139">
        <v>1</v>
      </c>
      <c r="H139">
        <v>17083</v>
      </c>
      <c r="I139" t="s">
        <v>18</v>
      </c>
    </row>
    <row r="140" spans="1:9" x14ac:dyDescent="0.3">
      <c r="A140" t="s">
        <v>9</v>
      </c>
      <c r="B140" t="s">
        <v>10</v>
      </c>
      <c r="C140" t="s">
        <v>32</v>
      </c>
      <c r="D140" t="s">
        <v>29</v>
      </c>
      <c r="E140" t="b">
        <v>1</v>
      </c>
      <c r="F140">
        <v>51.4</v>
      </c>
      <c r="G140">
        <v>0</v>
      </c>
      <c r="H140">
        <v>14956</v>
      </c>
      <c r="I140" t="s">
        <v>13</v>
      </c>
    </row>
    <row r="141" spans="1:9" x14ac:dyDescent="0.3">
      <c r="A141" t="s">
        <v>9</v>
      </c>
      <c r="B141" t="s">
        <v>10</v>
      </c>
      <c r="C141" t="s">
        <v>33</v>
      </c>
      <c r="D141" t="s">
        <v>29</v>
      </c>
      <c r="E141" t="b">
        <v>1</v>
      </c>
      <c r="F141">
        <v>100</v>
      </c>
      <c r="G141">
        <v>1</v>
      </c>
      <c r="H141">
        <v>13950</v>
      </c>
      <c r="I141" t="s">
        <v>18</v>
      </c>
    </row>
    <row r="142" spans="1:9" x14ac:dyDescent="0.3">
      <c r="A142" t="s">
        <v>9</v>
      </c>
      <c r="B142" t="s">
        <v>10</v>
      </c>
      <c r="C142" t="s">
        <v>34</v>
      </c>
      <c r="D142" t="s">
        <v>29</v>
      </c>
      <c r="E142" t="b">
        <v>1</v>
      </c>
      <c r="F142">
        <v>100</v>
      </c>
      <c r="G142">
        <v>1</v>
      </c>
      <c r="H142">
        <v>14212</v>
      </c>
      <c r="I142" t="s">
        <v>18</v>
      </c>
    </row>
    <row r="143" spans="1:9" x14ac:dyDescent="0.3">
      <c r="A143" t="s">
        <v>9</v>
      </c>
      <c r="B143" t="s">
        <v>10</v>
      </c>
      <c r="C143" t="s">
        <v>35</v>
      </c>
      <c r="D143" t="s">
        <v>29</v>
      </c>
      <c r="E143" t="b">
        <v>1</v>
      </c>
      <c r="F143">
        <v>100</v>
      </c>
      <c r="G143">
        <v>1</v>
      </c>
      <c r="H143">
        <v>15909</v>
      </c>
      <c r="I143" t="s">
        <v>18</v>
      </c>
    </row>
    <row r="144" spans="1:9" x14ac:dyDescent="0.3">
      <c r="A144" t="s">
        <v>9</v>
      </c>
      <c r="B144" t="s">
        <v>10</v>
      </c>
      <c r="C144" t="s">
        <v>36</v>
      </c>
      <c r="D144" t="s">
        <v>29</v>
      </c>
      <c r="E144" t="b">
        <v>1</v>
      </c>
      <c r="F144">
        <v>100</v>
      </c>
      <c r="G144">
        <v>1</v>
      </c>
      <c r="H144">
        <v>14106</v>
      </c>
      <c r="I144" t="s">
        <v>18</v>
      </c>
    </row>
    <row r="145" spans="1:9" x14ac:dyDescent="0.3">
      <c r="A145" t="s">
        <v>9</v>
      </c>
      <c r="B145" t="s">
        <v>10</v>
      </c>
      <c r="C145" t="s">
        <v>37</v>
      </c>
      <c r="D145" t="s">
        <v>29</v>
      </c>
      <c r="E145" t="b">
        <v>1</v>
      </c>
      <c r="F145">
        <v>100</v>
      </c>
      <c r="G145">
        <v>1</v>
      </c>
      <c r="H145">
        <v>14668</v>
      </c>
      <c r="I145" t="s">
        <v>18</v>
      </c>
    </row>
    <row r="146" spans="1:9" x14ac:dyDescent="0.3">
      <c r="A146" t="s">
        <v>9</v>
      </c>
      <c r="B146" t="s">
        <v>10</v>
      </c>
      <c r="C146" t="s">
        <v>38</v>
      </c>
      <c r="D146" t="s">
        <v>29</v>
      </c>
      <c r="E146" t="b">
        <v>1</v>
      </c>
      <c r="F146">
        <v>100</v>
      </c>
      <c r="G146">
        <v>1</v>
      </c>
      <c r="H146">
        <v>16019</v>
      </c>
      <c r="I146" t="s">
        <v>18</v>
      </c>
    </row>
    <row r="147" spans="1:9" x14ac:dyDescent="0.3">
      <c r="A147" t="s">
        <v>9</v>
      </c>
      <c r="B147" t="s">
        <v>10</v>
      </c>
      <c r="C147" t="s">
        <v>39</v>
      </c>
      <c r="D147" t="s">
        <v>29</v>
      </c>
      <c r="E147" t="b">
        <v>1</v>
      </c>
      <c r="F147">
        <v>100</v>
      </c>
      <c r="G147">
        <v>1</v>
      </c>
      <c r="H147">
        <v>13269</v>
      </c>
      <c r="I147" t="s">
        <v>18</v>
      </c>
    </row>
    <row r="148" spans="1:9" x14ac:dyDescent="0.3">
      <c r="A148" t="s">
        <v>9</v>
      </c>
      <c r="B148" t="s">
        <v>10</v>
      </c>
      <c r="C148" t="s">
        <v>40</v>
      </c>
      <c r="D148" t="s">
        <v>29</v>
      </c>
      <c r="E148" t="b">
        <v>1</v>
      </c>
      <c r="F148">
        <v>100</v>
      </c>
      <c r="G148">
        <v>1</v>
      </c>
      <c r="H148">
        <v>13632</v>
      </c>
      <c r="I148" t="s">
        <v>18</v>
      </c>
    </row>
    <row r="149" spans="1:9" x14ac:dyDescent="0.3">
      <c r="A149" t="s">
        <v>9</v>
      </c>
      <c r="B149" t="s">
        <v>10</v>
      </c>
      <c r="C149" t="s">
        <v>41</v>
      </c>
      <c r="D149" t="s">
        <v>29</v>
      </c>
      <c r="E149" t="b">
        <v>1</v>
      </c>
      <c r="F149">
        <v>100</v>
      </c>
      <c r="G149">
        <v>1</v>
      </c>
      <c r="H149">
        <v>12926</v>
      </c>
      <c r="I149" t="s">
        <v>18</v>
      </c>
    </row>
    <row r="150" spans="1:9" x14ac:dyDescent="0.3">
      <c r="A150" t="s">
        <v>9</v>
      </c>
      <c r="B150" t="s">
        <v>10</v>
      </c>
      <c r="C150" t="s">
        <v>42</v>
      </c>
      <c r="D150" t="s">
        <v>29</v>
      </c>
      <c r="E150" t="b">
        <v>1</v>
      </c>
      <c r="F150">
        <v>100</v>
      </c>
      <c r="G150">
        <v>1</v>
      </c>
      <c r="H150">
        <v>14591</v>
      </c>
      <c r="I150" t="s">
        <v>13</v>
      </c>
    </row>
    <row r="151" spans="1:9" x14ac:dyDescent="0.3">
      <c r="A151" t="s">
        <v>9</v>
      </c>
      <c r="B151" t="s">
        <v>47</v>
      </c>
      <c r="C151" t="s">
        <v>11</v>
      </c>
      <c r="D151" t="s">
        <v>12</v>
      </c>
      <c r="E151" t="b">
        <v>1</v>
      </c>
      <c r="F151">
        <v>83.5</v>
      </c>
      <c r="G151">
        <v>0</v>
      </c>
      <c r="H151">
        <v>11630</v>
      </c>
      <c r="I151" t="s">
        <v>13</v>
      </c>
    </row>
    <row r="152" spans="1:9" x14ac:dyDescent="0.3">
      <c r="A152" t="s">
        <v>9</v>
      </c>
      <c r="B152" t="s">
        <v>47</v>
      </c>
      <c r="C152" t="s">
        <v>14</v>
      </c>
      <c r="D152" t="s">
        <v>12</v>
      </c>
      <c r="E152" t="b">
        <v>1</v>
      </c>
      <c r="F152">
        <v>100</v>
      </c>
      <c r="G152">
        <v>1</v>
      </c>
      <c r="H152">
        <v>9041</v>
      </c>
      <c r="I152" t="s">
        <v>18</v>
      </c>
    </row>
    <row r="153" spans="1:9" x14ac:dyDescent="0.3">
      <c r="A153" t="s">
        <v>9</v>
      </c>
      <c r="B153" t="s">
        <v>47</v>
      </c>
      <c r="C153" t="s">
        <v>15</v>
      </c>
      <c r="D153" t="s">
        <v>12</v>
      </c>
      <c r="E153" t="b">
        <v>1</v>
      </c>
      <c r="F153">
        <v>100</v>
      </c>
      <c r="G153">
        <v>1</v>
      </c>
      <c r="H153">
        <v>9017</v>
      </c>
      <c r="I153" t="s">
        <v>18</v>
      </c>
    </row>
    <row r="154" spans="1:9" x14ac:dyDescent="0.3">
      <c r="A154" t="s">
        <v>9</v>
      </c>
      <c r="B154" t="s">
        <v>47</v>
      </c>
      <c r="C154" t="s">
        <v>16</v>
      </c>
      <c r="D154" t="s">
        <v>12</v>
      </c>
      <c r="E154" t="b">
        <v>1</v>
      </c>
      <c r="F154">
        <v>47.1</v>
      </c>
      <c r="G154">
        <v>0</v>
      </c>
      <c r="H154">
        <v>14503</v>
      </c>
      <c r="I154" t="s">
        <v>13</v>
      </c>
    </row>
    <row r="155" spans="1:9" x14ac:dyDescent="0.3">
      <c r="A155" t="s">
        <v>9</v>
      </c>
      <c r="B155" t="s">
        <v>47</v>
      </c>
      <c r="C155" t="s">
        <v>17</v>
      </c>
      <c r="D155" t="s">
        <v>12</v>
      </c>
      <c r="E155" t="b">
        <v>1</v>
      </c>
      <c r="F155">
        <v>45.4</v>
      </c>
      <c r="G155">
        <v>0</v>
      </c>
      <c r="H155">
        <v>26028</v>
      </c>
      <c r="I155" t="s">
        <v>18</v>
      </c>
    </row>
    <row r="156" spans="1:9" x14ac:dyDescent="0.3">
      <c r="A156" t="s">
        <v>9</v>
      </c>
      <c r="B156" t="s">
        <v>47</v>
      </c>
      <c r="C156" t="s">
        <v>19</v>
      </c>
      <c r="D156" t="s">
        <v>29</v>
      </c>
      <c r="E156" t="b">
        <v>1</v>
      </c>
      <c r="F156">
        <v>65.8</v>
      </c>
      <c r="G156">
        <v>0</v>
      </c>
      <c r="H156">
        <v>19295</v>
      </c>
      <c r="I156" t="s">
        <v>13</v>
      </c>
    </row>
    <row r="157" spans="1:9" x14ac:dyDescent="0.3">
      <c r="A157" t="s">
        <v>9</v>
      </c>
      <c r="B157" t="s">
        <v>47</v>
      </c>
      <c r="C157" t="s">
        <v>20</v>
      </c>
      <c r="D157" t="s">
        <v>29</v>
      </c>
      <c r="E157" t="b">
        <v>1</v>
      </c>
      <c r="F157">
        <v>81.2</v>
      </c>
      <c r="G157">
        <v>0</v>
      </c>
      <c r="H157">
        <v>16803</v>
      </c>
      <c r="I157" t="s">
        <v>13</v>
      </c>
    </row>
    <row r="158" spans="1:9" x14ac:dyDescent="0.3">
      <c r="A158" t="s">
        <v>9</v>
      </c>
      <c r="B158" t="s">
        <v>47</v>
      </c>
      <c r="C158" t="s">
        <v>21</v>
      </c>
      <c r="D158" t="s">
        <v>29</v>
      </c>
      <c r="E158" t="b">
        <v>1</v>
      </c>
      <c r="F158">
        <v>100</v>
      </c>
      <c r="G158">
        <v>1</v>
      </c>
      <c r="H158">
        <v>11724</v>
      </c>
      <c r="I158" t="s">
        <v>18</v>
      </c>
    </row>
    <row r="159" spans="1:9" x14ac:dyDescent="0.3">
      <c r="A159" t="s">
        <v>9</v>
      </c>
      <c r="B159" t="s">
        <v>47</v>
      </c>
      <c r="C159" t="s">
        <v>22</v>
      </c>
      <c r="D159" t="s">
        <v>29</v>
      </c>
      <c r="E159" t="b">
        <v>1</v>
      </c>
      <c r="F159">
        <v>100</v>
      </c>
      <c r="G159">
        <v>1</v>
      </c>
      <c r="H159">
        <v>11780</v>
      </c>
      <c r="I159" t="s">
        <v>18</v>
      </c>
    </row>
    <row r="160" spans="1:9" x14ac:dyDescent="0.3">
      <c r="A160" t="s">
        <v>9</v>
      </c>
      <c r="B160" t="s">
        <v>47</v>
      </c>
      <c r="C160" t="s">
        <v>23</v>
      </c>
      <c r="D160" t="s">
        <v>29</v>
      </c>
      <c r="E160" t="b">
        <v>1</v>
      </c>
      <c r="F160">
        <v>95.2</v>
      </c>
      <c r="G160">
        <v>0</v>
      </c>
      <c r="H160">
        <v>14631</v>
      </c>
      <c r="I160" t="s">
        <v>13</v>
      </c>
    </row>
    <row r="161" spans="1:9" x14ac:dyDescent="0.3">
      <c r="A161" t="s">
        <v>9</v>
      </c>
      <c r="B161" t="s">
        <v>47</v>
      </c>
      <c r="C161" t="s">
        <v>24</v>
      </c>
      <c r="D161" t="s">
        <v>29</v>
      </c>
      <c r="E161" t="b">
        <v>1</v>
      </c>
      <c r="F161">
        <v>100</v>
      </c>
      <c r="G161">
        <v>1</v>
      </c>
      <c r="H161">
        <v>11235</v>
      </c>
      <c r="I161" t="s">
        <v>18</v>
      </c>
    </row>
    <row r="162" spans="1:9" x14ac:dyDescent="0.3">
      <c r="A162" t="s">
        <v>9</v>
      </c>
      <c r="B162" t="s">
        <v>47</v>
      </c>
      <c r="C162" t="s">
        <v>25</v>
      </c>
      <c r="D162" t="s">
        <v>29</v>
      </c>
      <c r="E162" t="b">
        <v>1</v>
      </c>
      <c r="F162">
        <v>70.8</v>
      </c>
      <c r="G162">
        <v>0</v>
      </c>
      <c r="H162">
        <v>17009</v>
      </c>
      <c r="I162" t="s">
        <v>13</v>
      </c>
    </row>
    <row r="163" spans="1:9" x14ac:dyDescent="0.3">
      <c r="A163" t="s">
        <v>9</v>
      </c>
      <c r="B163" t="s">
        <v>47</v>
      </c>
      <c r="C163" t="s">
        <v>26</v>
      </c>
      <c r="D163" t="s">
        <v>29</v>
      </c>
      <c r="E163" t="b">
        <v>1</v>
      </c>
      <c r="F163">
        <v>100</v>
      </c>
      <c r="G163">
        <v>1</v>
      </c>
      <c r="H163">
        <v>14157</v>
      </c>
      <c r="I163" t="s">
        <v>18</v>
      </c>
    </row>
    <row r="164" spans="1:9" x14ac:dyDescent="0.3">
      <c r="A164" t="s">
        <v>9</v>
      </c>
      <c r="B164" t="s">
        <v>47</v>
      </c>
      <c r="C164" t="s">
        <v>27</v>
      </c>
      <c r="D164" t="s">
        <v>29</v>
      </c>
      <c r="E164" t="b">
        <v>1</v>
      </c>
      <c r="F164">
        <v>100</v>
      </c>
      <c r="G164">
        <v>1</v>
      </c>
      <c r="H164">
        <v>15509</v>
      </c>
      <c r="I164" t="s">
        <v>18</v>
      </c>
    </row>
    <row r="165" spans="1:9" x14ac:dyDescent="0.3">
      <c r="A165" t="s">
        <v>9</v>
      </c>
      <c r="B165" t="s">
        <v>47</v>
      </c>
      <c r="C165" t="s">
        <v>28</v>
      </c>
      <c r="D165" t="s">
        <v>29</v>
      </c>
      <c r="E165" t="b">
        <v>1</v>
      </c>
      <c r="F165">
        <v>100</v>
      </c>
      <c r="G165">
        <v>1</v>
      </c>
      <c r="H165">
        <v>14985</v>
      </c>
      <c r="I165" t="s">
        <v>18</v>
      </c>
    </row>
    <row r="166" spans="1:9" x14ac:dyDescent="0.3">
      <c r="A166" t="s">
        <v>45</v>
      </c>
      <c r="B166" t="s">
        <v>57</v>
      </c>
      <c r="C166" t="s">
        <v>11</v>
      </c>
      <c r="D166" t="s">
        <v>12</v>
      </c>
      <c r="E166" t="b">
        <v>1</v>
      </c>
      <c r="F166">
        <v>100</v>
      </c>
      <c r="G166">
        <v>1</v>
      </c>
      <c r="H166">
        <v>9297</v>
      </c>
      <c r="I166" t="s">
        <v>18</v>
      </c>
    </row>
    <row r="167" spans="1:9" x14ac:dyDescent="0.3">
      <c r="A167" t="s">
        <v>45</v>
      </c>
      <c r="B167" t="s">
        <v>57</v>
      </c>
      <c r="C167" t="s">
        <v>14</v>
      </c>
      <c r="D167" t="s">
        <v>12</v>
      </c>
      <c r="E167" t="b">
        <v>1</v>
      </c>
      <c r="F167">
        <v>92.3</v>
      </c>
      <c r="G167">
        <v>0</v>
      </c>
      <c r="H167">
        <v>10124</v>
      </c>
      <c r="I167" t="s">
        <v>13</v>
      </c>
    </row>
    <row r="168" spans="1:9" x14ac:dyDescent="0.3">
      <c r="A168" t="s">
        <v>45</v>
      </c>
      <c r="B168" t="s">
        <v>57</v>
      </c>
      <c r="C168" t="s">
        <v>15</v>
      </c>
      <c r="D168" t="s">
        <v>12</v>
      </c>
      <c r="E168" t="b">
        <v>1</v>
      </c>
      <c r="F168">
        <v>81.400000000000006</v>
      </c>
      <c r="G168">
        <v>0</v>
      </c>
      <c r="H168">
        <v>11783</v>
      </c>
      <c r="I168" t="s">
        <v>13</v>
      </c>
    </row>
    <row r="169" spans="1:9" x14ac:dyDescent="0.3">
      <c r="A169" t="s">
        <v>45</v>
      </c>
      <c r="B169" t="s">
        <v>57</v>
      </c>
      <c r="C169" t="s">
        <v>16</v>
      </c>
      <c r="D169" t="s">
        <v>12</v>
      </c>
      <c r="E169" t="b">
        <v>1</v>
      </c>
      <c r="F169">
        <v>100</v>
      </c>
      <c r="G169">
        <v>1</v>
      </c>
      <c r="H169">
        <v>8655</v>
      </c>
      <c r="I169" t="s">
        <v>18</v>
      </c>
    </row>
    <row r="170" spans="1:9" x14ac:dyDescent="0.3">
      <c r="A170" t="s">
        <v>45</v>
      </c>
      <c r="B170" t="s">
        <v>57</v>
      </c>
      <c r="C170" t="s">
        <v>17</v>
      </c>
      <c r="D170" t="s">
        <v>12</v>
      </c>
      <c r="E170" t="b">
        <v>1</v>
      </c>
      <c r="F170">
        <v>100</v>
      </c>
      <c r="G170">
        <v>1</v>
      </c>
      <c r="H170">
        <v>9534</v>
      </c>
      <c r="I170" t="s">
        <v>18</v>
      </c>
    </row>
    <row r="171" spans="1:9" x14ac:dyDescent="0.3">
      <c r="A171" t="s">
        <v>45</v>
      </c>
      <c r="B171" t="s">
        <v>57</v>
      </c>
      <c r="C171" t="s">
        <v>19</v>
      </c>
      <c r="D171" t="s">
        <v>12</v>
      </c>
      <c r="E171" t="b">
        <v>1</v>
      </c>
      <c r="F171">
        <v>62.3</v>
      </c>
      <c r="G171">
        <v>0</v>
      </c>
      <c r="H171">
        <v>10140</v>
      </c>
      <c r="I171" t="s">
        <v>13</v>
      </c>
    </row>
    <row r="172" spans="1:9" x14ac:dyDescent="0.3">
      <c r="A172" t="s">
        <v>45</v>
      </c>
      <c r="B172" t="s">
        <v>57</v>
      </c>
      <c r="C172" t="s">
        <v>20</v>
      </c>
      <c r="D172" t="s">
        <v>12</v>
      </c>
      <c r="E172" t="b">
        <v>1</v>
      </c>
      <c r="F172">
        <v>99.2</v>
      </c>
      <c r="G172">
        <v>0</v>
      </c>
      <c r="H172">
        <v>8677</v>
      </c>
      <c r="I172" t="s">
        <v>13</v>
      </c>
    </row>
    <row r="173" spans="1:9" x14ac:dyDescent="0.3">
      <c r="A173" t="s">
        <v>45</v>
      </c>
      <c r="B173" t="s">
        <v>57</v>
      </c>
      <c r="C173" t="s">
        <v>21</v>
      </c>
      <c r="D173" t="s">
        <v>12</v>
      </c>
      <c r="E173" t="b">
        <v>1</v>
      </c>
      <c r="F173">
        <v>100</v>
      </c>
      <c r="G173">
        <v>1</v>
      </c>
      <c r="H173">
        <v>7863</v>
      </c>
      <c r="I173" t="s">
        <v>18</v>
      </c>
    </row>
    <row r="174" spans="1:9" x14ac:dyDescent="0.3">
      <c r="A174" t="s">
        <v>45</v>
      </c>
      <c r="B174" t="s">
        <v>57</v>
      </c>
      <c r="C174" t="s">
        <v>22</v>
      </c>
      <c r="D174" t="s">
        <v>12</v>
      </c>
      <c r="E174" t="b">
        <v>1</v>
      </c>
      <c r="F174">
        <v>100</v>
      </c>
      <c r="G174">
        <v>1</v>
      </c>
      <c r="H174">
        <v>7998</v>
      </c>
      <c r="I174" t="s">
        <v>18</v>
      </c>
    </row>
    <row r="175" spans="1:9" x14ac:dyDescent="0.3">
      <c r="A175" t="s">
        <v>45</v>
      </c>
      <c r="B175" t="s">
        <v>57</v>
      </c>
      <c r="C175" t="s">
        <v>23</v>
      </c>
      <c r="D175" t="s">
        <v>12</v>
      </c>
      <c r="E175" t="b">
        <v>1</v>
      </c>
      <c r="F175">
        <v>100</v>
      </c>
      <c r="G175">
        <v>1</v>
      </c>
      <c r="H175">
        <v>8738</v>
      </c>
      <c r="I175" t="s">
        <v>18</v>
      </c>
    </row>
    <row r="176" spans="1:9" x14ac:dyDescent="0.3">
      <c r="A176" t="s">
        <v>45</v>
      </c>
      <c r="B176" t="s">
        <v>57</v>
      </c>
      <c r="C176" t="s">
        <v>24</v>
      </c>
      <c r="D176" t="s">
        <v>12</v>
      </c>
      <c r="E176" t="b">
        <v>1</v>
      </c>
      <c r="F176">
        <v>100</v>
      </c>
      <c r="G176">
        <v>1</v>
      </c>
      <c r="H176">
        <v>8122</v>
      </c>
      <c r="I176" t="s">
        <v>13</v>
      </c>
    </row>
    <row r="177" spans="1:9" x14ac:dyDescent="0.3">
      <c r="A177" t="s">
        <v>45</v>
      </c>
      <c r="B177" t="s">
        <v>57</v>
      </c>
      <c r="C177" t="s">
        <v>25</v>
      </c>
      <c r="D177" t="s">
        <v>29</v>
      </c>
      <c r="E177" t="b">
        <v>1</v>
      </c>
      <c r="F177">
        <v>99.6</v>
      </c>
      <c r="G177">
        <v>0</v>
      </c>
      <c r="H177">
        <v>8148</v>
      </c>
      <c r="I177" t="s">
        <v>13</v>
      </c>
    </row>
    <row r="178" spans="1:9" x14ac:dyDescent="0.3">
      <c r="A178" t="s">
        <v>45</v>
      </c>
      <c r="B178" t="s">
        <v>57</v>
      </c>
      <c r="C178" t="s">
        <v>26</v>
      </c>
      <c r="D178" t="s">
        <v>29</v>
      </c>
      <c r="E178" t="b">
        <v>1</v>
      </c>
      <c r="F178">
        <v>100</v>
      </c>
      <c r="G178">
        <v>1</v>
      </c>
      <c r="H178">
        <v>9359</v>
      </c>
      <c r="I178" t="s">
        <v>18</v>
      </c>
    </row>
    <row r="179" spans="1:9" x14ac:dyDescent="0.3">
      <c r="A179" t="s">
        <v>45</v>
      </c>
      <c r="B179" t="s">
        <v>57</v>
      </c>
      <c r="C179" t="s">
        <v>27</v>
      </c>
      <c r="D179" t="s">
        <v>29</v>
      </c>
      <c r="E179" t="b">
        <v>1</v>
      </c>
      <c r="F179">
        <v>100</v>
      </c>
      <c r="G179">
        <v>1</v>
      </c>
      <c r="H179">
        <v>9232</v>
      </c>
      <c r="I179" t="s">
        <v>18</v>
      </c>
    </row>
    <row r="180" spans="1:9" x14ac:dyDescent="0.3">
      <c r="A180" t="s">
        <v>45</v>
      </c>
      <c r="B180" t="s">
        <v>57</v>
      </c>
      <c r="C180" t="s">
        <v>28</v>
      </c>
      <c r="D180" t="s">
        <v>29</v>
      </c>
      <c r="E180" t="b">
        <v>1</v>
      </c>
      <c r="F180">
        <v>100</v>
      </c>
      <c r="G180">
        <v>1</v>
      </c>
      <c r="H180">
        <v>9313</v>
      </c>
      <c r="I180" t="s">
        <v>18</v>
      </c>
    </row>
    <row r="181" spans="1:9" x14ac:dyDescent="0.3">
      <c r="A181" t="s">
        <v>45</v>
      </c>
      <c r="B181" t="s">
        <v>57</v>
      </c>
      <c r="C181" t="s">
        <v>30</v>
      </c>
      <c r="D181" t="s">
        <v>29</v>
      </c>
      <c r="E181" t="b">
        <v>1</v>
      </c>
      <c r="F181">
        <v>100</v>
      </c>
      <c r="G181">
        <v>1</v>
      </c>
      <c r="H181">
        <v>9538</v>
      </c>
      <c r="I181" t="s">
        <v>18</v>
      </c>
    </row>
    <row r="182" spans="1:9" x14ac:dyDescent="0.3">
      <c r="A182" t="s">
        <v>45</v>
      </c>
      <c r="B182" t="s">
        <v>57</v>
      </c>
      <c r="C182" t="s">
        <v>31</v>
      </c>
      <c r="D182" t="s">
        <v>29</v>
      </c>
      <c r="E182" t="b">
        <v>1</v>
      </c>
      <c r="F182">
        <v>100</v>
      </c>
      <c r="G182">
        <v>1</v>
      </c>
      <c r="H182">
        <v>9526</v>
      </c>
      <c r="I182" t="s">
        <v>18</v>
      </c>
    </row>
    <row r="183" spans="1:9" x14ac:dyDescent="0.3">
      <c r="A183" t="s">
        <v>45</v>
      </c>
      <c r="B183" t="s">
        <v>57</v>
      </c>
      <c r="C183" t="s">
        <v>32</v>
      </c>
      <c r="D183" t="s">
        <v>29</v>
      </c>
      <c r="E183" t="b">
        <v>1</v>
      </c>
      <c r="F183">
        <v>100</v>
      </c>
      <c r="G183">
        <v>1</v>
      </c>
      <c r="H183">
        <v>9220</v>
      </c>
      <c r="I183" t="s">
        <v>18</v>
      </c>
    </row>
    <row r="184" spans="1:9" x14ac:dyDescent="0.3">
      <c r="A184" t="s">
        <v>45</v>
      </c>
      <c r="B184" t="s">
        <v>57</v>
      </c>
      <c r="C184" t="s">
        <v>33</v>
      </c>
      <c r="D184" t="s">
        <v>29</v>
      </c>
      <c r="E184" t="b">
        <v>1</v>
      </c>
      <c r="F184">
        <v>100</v>
      </c>
      <c r="G184">
        <v>1</v>
      </c>
      <c r="H184">
        <v>8993</v>
      </c>
      <c r="I184" t="s">
        <v>18</v>
      </c>
    </row>
    <row r="185" spans="1:9" x14ac:dyDescent="0.3">
      <c r="A185" t="s">
        <v>45</v>
      </c>
      <c r="B185" t="s">
        <v>57</v>
      </c>
      <c r="C185" t="s">
        <v>34</v>
      </c>
      <c r="D185" t="s">
        <v>29</v>
      </c>
      <c r="E185" t="b">
        <v>1</v>
      </c>
      <c r="F185">
        <v>100</v>
      </c>
      <c r="G185">
        <v>1</v>
      </c>
      <c r="H185">
        <v>9280</v>
      </c>
      <c r="I185" t="s">
        <v>18</v>
      </c>
    </row>
    <row r="186" spans="1:9" x14ac:dyDescent="0.3">
      <c r="A186" t="s">
        <v>45</v>
      </c>
      <c r="B186" t="s">
        <v>57</v>
      </c>
      <c r="C186" t="s">
        <v>35</v>
      </c>
      <c r="D186" t="s">
        <v>29</v>
      </c>
      <c r="E186" t="b">
        <v>1</v>
      </c>
      <c r="F186">
        <v>100</v>
      </c>
      <c r="G186">
        <v>1</v>
      </c>
      <c r="H186">
        <v>9630</v>
      </c>
      <c r="I186" t="s">
        <v>18</v>
      </c>
    </row>
    <row r="187" spans="1:9" x14ac:dyDescent="0.3">
      <c r="A187" t="s">
        <v>45</v>
      </c>
      <c r="B187" t="s">
        <v>57</v>
      </c>
      <c r="C187" t="s">
        <v>36</v>
      </c>
      <c r="D187" t="s">
        <v>29</v>
      </c>
      <c r="E187" t="b">
        <v>1</v>
      </c>
      <c r="F187">
        <v>100</v>
      </c>
      <c r="G187">
        <v>1</v>
      </c>
      <c r="H187">
        <v>9312</v>
      </c>
      <c r="I187" t="s">
        <v>18</v>
      </c>
    </row>
    <row r="188" spans="1:9" x14ac:dyDescent="0.3">
      <c r="A188" t="s">
        <v>43</v>
      </c>
      <c r="B188" t="s">
        <v>59</v>
      </c>
      <c r="C188" t="s">
        <v>11</v>
      </c>
      <c r="D188" t="s">
        <v>12</v>
      </c>
      <c r="E188" t="b">
        <v>1</v>
      </c>
      <c r="F188">
        <v>57.1</v>
      </c>
      <c r="G188">
        <v>0</v>
      </c>
      <c r="H188">
        <v>16614</v>
      </c>
      <c r="I188" t="s">
        <v>13</v>
      </c>
    </row>
    <row r="189" spans="1:9" x14ac:dyDescent="0.3">
      <c r="A189" t="s">
        <v>43</v>
      </c>
      <c r="B189" t="s">
        <v>59</v>
      </c>
      <c r="C189" t="s">
        <v>14</v>
      </c>
      <c r="D189" t="s">
        <v>12</v>
      </c>
      <c r="E189" t="b">
        <v>1</v>
      </c>
      <c r="F189">
        <v>38.9</v>
      </c>
      <c r="G189">
        <v>0</v>
      </c>
      <c r="H189">
        <v>12454</v>
      </c>
      <c r="I189" t="s">
        <v>13</v>
      </c>
    </row>
    <row r="190" spans="1:9" x14ac:dyDescent="0.3">
      <c r="A190" t="s">
        <v>43</v>
      </c>
      <c r="B190" t="s">
        <v>59</v>
      </c>
      <c r="C190" t="s">
        <v>15</v>
      </c>
      <c r="D190" t="s">
        <v>12</v>
      </c>
      <c r="E190" t="b">
        <v>1</v>
      </c>
      <c r="F190">
        <v>100</v>
      </c>
      <c r="G190">
        <v>1</v>
      </c>
      <c r="H190">
        <v>10911</v>
      </c>
      <c r="I190" t="s">
        <v>18</v>
      </c>
    </row>
    <row r="191" spans="1:9" x14ac:dyDescent="0.3">
      <c r="A191" t="s">
        <v>43</v>
      </c>
      <c r="B191" t="s">
        <v>59</v>
      </c>
      <c r="C191" t="s">
        <v>16</v>
      </c>
      <c r="D191" t="s">
        <v>12</v>
      </c>
      <c r="E191" t="b">
        <v>1</v>
      </c>
      <c r="F191">
        <v>64.7</v>
      </c>
      <c r="G191">
        <v>0</v>
      </c>
      <c r="H191">
        <v>12619</v>
      </c>
      <c r="I191" t="s">
        <v>13</v>
      </c>
    </row>
    <row r="192" spans="1:9" x14ac:dyDescent="0.3">
      <c r="A192" t="s">
        <v>43</v>
      </c>
      <c r="B192" t="s">
        <v>59</v>
      </c>
      <c r="C192" t="s">
        <v>17</v>
      </c>
      <c r="D192" t="s">
        <v>12</v>
      </c>
      <c r="E192" t="b">
        <v>1</v>
      </c>
      <c r="F192">
        <v>27</v>
      </c>
      <c r="G192">
        <v>0</v>
      </c>
      <c r="H192">
        <v>23829</v>
      </c>
      <c r="I192" t="s">
        <v>13</v>
      </c>
    </row>
    <row r="193" spans="1:9" x14ac:dyDescent="0.3">
      <c r="A193" t="s">
        <v>43</v>
      </c>
      <c r="B193" t="s">
        <v>59</v>
      </c>
      <c r="C193" t="s">
        <v>19</v>
      </c>
      <c r="D193" t="s">
        <v>12</v>
      </c>
      <c r="E193" t="b">
        <v>1</v>
      </c>
      <c r="F193">
        <v>32.5</v>
      </c>
      <c r="G193">
        <v>0</v>
      </c>
      <c r="H193">
        <v>23538</v>
      </c>
      <c r="I193" t="s">
        <v>13</v>
      </c>
    </row>
    <row r="194" spans="1:9" x14ac:dyDescent="0.3">
      <c r="A194" t="s">
        <v>43</v>
      </c>
      <c r="B194" t="s">
        <v>59</v>
      </c>
      <c r="C194" t="s">
        <v>20</v>
      </c>
      <c r="D194" t="s">
        <v>12</v>
      </c>
      <c r="E194" t="b">
        <v>1</v>
      </c>
      <c r="F194">
        <v>23.2</v>
      </c>
      <c r="G194">
        <v>0</v>
      </c>
      <c r="H194">
        <v>28131</v>
      </c>
      <c r="I194" t="s">
        <v>13</v>
      </c>
    </row>
    <row r="195" spans="1:9" x14ac:dyDescent="0.3">
      <c r="A195" t="s">
        <v>43</v>
      </c>
      <c r="B195" t="s">
        <v>59</v>
      </c>
      <c r="C195" t="s">
        <v>21</v>
      </c>
      <c r="D195" t="s">
        <v>12</v>
      </c>
      <c r="E195" t="b">
        <v>1</v>
      </c>
      <c r="F195">
        <v>60.1</v>
      </c>
      <c r="G195">
        <v>0</v>
      </c>
      <c r="H195">
        <v>11226</v>
      </c>
      <c r="I195" t="s">
        <v>13</v>
      </c>
    </row>
    <row r="196" spans="1:9" x14ac:dyDescent="0.3">
      <c r="A196" t="s">
        <v>43</v>
      </c>
      <c r="B196" t="s">
        <v>59</v>
      </c>
      <c r="C196" t="s">
        <v>22</v>
      </c>
      <c r="D196" t="s">
        <v>12</v>
      </c>
      <c r="E196" t="b">
        <v>1</v>
      </c>
      <c r="F196">
        <v>76.5</v>
      </c>
      <c r="G196">
        <v>0</v>
      </c>
      <c r="H196">
        <v>10444</v>
      </c>
      <c r="I196" t="s">
        <v>13</v>
      </c>
    </row>
    <row r="197" spans="1:9" x14ac:dyDescent="0.3">
      <c r="A197" t="s">
        <v>43</v>
      </c>
      <c r="B197" t="s">
        <v>59</v>
      </c>
      <c r="C197" t="s">
        <v>23</v>
      </c>
      <c r="D197" t="s">
        <v>12</v>
      </c>
      <c r="E197" t="b">
        <v>1</v>
      </c>
      <c r="F197">
        <v>72.2</v>
      </c>
      <c r="G197">
        <v>0</v>
      </c>
      <c r="H197">
        <v>10019</v>
      </c>
      <c r="I197" t="s">
        <v>13</v>
      </c>
    </row>
    <row r="198" spans="1:9" x14ac:dyDescent="0.3">
      <c r="A198" t="s">
        <v>43</v>
      </c>
      <c r="B198" t="s">
        <v>59</v>
      </c>
      <c r="C198" t="s">
        <v>24</v>
      </c>
      <c r="D198" t="s">
        <v>12</v>
      </c>
      <c r="E198" t="b">
        <v>1</v>
      </c>
      <c r="F198">
        <v>100</v>
      </c>
      <c r="G198">
        <v>1</v>
      </c>
      <c r="H198">
        <v>11236</v>
      </c>
      <c r="I198" t="s">
        <v>18</v>
      </c>
    </row>
    <row r="199" spans="1:9" x14ac:dyDescent="0.3">
      <c r="A199" t="s">
        <v>43</v>
      </c>
      <c r="B199" t="s">
        <v>59</v>
      </c>
      <c r="C199" t="s">
        <v>25</v>
      </c>
      <c r="D199" t="s">
        <v>12</v>
      </c>
      <c r="E199" t="b">
        <v>1</v>
      </c>
      <c r="F199">
        <v>100</v>
      </c>
      <c r="G199">
        <v>1</v>
      </c>
      <c r="H199">
        <v>11942</v>
      </c>
      <c r="I199" t="s">
        <v>18</v>
      </c>
    </row>
    <row r="200" spans="1:9" x14ac:dyDescent="0.3">
      <c r="A200" t="s">
        <v>43</v>
      </c>
      <c r="B200" t="s">
        <v>59</v>
      </c>
      <c r="C200" t="s">
        <v>26</v>
      </c>
      <c r="D200" t="s">
        <v>29</v>
      </c>
      <c r="E200" t="b">
        <v>1</v>
      </c>
      <c r="F200">
        <v>100</v>
      </c>
      <c r="G200">
        <v>1</v>
      </c>
      <c r="H200">
        <v>9371</v>
      </c>
      <c r="I200" t="s">
        <v>18</v>
      </c>
    </row>
    <row r="201" spans="1:9" x14ac:dyDescent="0.3">
      <c r="A201" t="s">
        <v>43</v>
      </c>
      <c r="B201" t="s">
        <v>59</v>
      </c>
      <c r="C201" t="s">
        <v>27</v>
      </c>
      <c r="D201" t="s">
        <v>29</v>
      </c>
      <c r="E201" t="b">
        <v>1</v>
      </c>
      <c r="F201">
        <v>100</v>
      </c>
      <c r="G201">
        <v>1</v>
      </c>
      <c r="H201">
        <v>10194</v>
      </c>
      <c r="I201" t="s">
        <v>18</v>
      </c>
    </row>
    <row r="202" spans="1:9" x14ac:dyDescent="0.3">
      <c r="A202" t="s">
        <v>43</v>
      </c>
      <c r="B202" t="s">
        <v>59</v>
      </c>
      <c r="C202" t="s">
        <v>28</v>
      </c>
      <c r="D202" t="s">
        <v>29</v>
      </c>
      <c r="E202" t="b">
        <v>1</v>
      </c>
      <c r="F202">
        <v>100</v>
      </c>
      <c r="G202">
        <v>1</v>
      </c>
      <c r="H202">
        <v>12403</v>
      </c>
      <c r="I202" t="s">
        <v>18</v>
      </c>
    </row>
    <row r="203" spans="1:9" x14ac:dyDescent="0.3">
      <c r="A203" t="s">
        <v>43</v>
      </c>
      <c r="B203" t="s">
        <v>59</v>
      </c>
      <c r="C203" t="s">
        <v>30</v>
      </c>
      <c r="D203" t="s">
        <v>29</v>
      </c>
      <c r="E203" t="b">
        <v>1</v>
      </c>
      <c r="F203">
        <v>100</v>
      </c>
      <c r="G203">
        <v>1</v>
      </c>
      <c r="H203">
        <v>18169</v>
      </c>
      <c r="I203" t="s">
        <v>18</v>
      </c>
    </row>
    <row r="204" spans="1:9" x14ac:dyDescent="0.3">
      <c r="A204" t="s">
        <v>43</v>
      </c>
      <c r="B204" t="s">
        <v>59</v>
      </c>
      <c r="C204" t="s">
        <v>31</v>
      </c>
      <c r="D204" t="s">
        <v>29</v>
      </c>
      <c r="E204" t="b">
        <v>1</v>
      </c>
      <c r="F204">
        <v>100</v>
      </c>
      <c r="G204">
        <v>1</v>
      </c>
      <c r="H204">
        <v>18736</v>
      </c>
      <c r="I204" t="s">
        <v>18</v>
      </c>
    </row>
    <row r="205" spans="1:9" x14ac:dyDescent="0.3">
      <c r="A205" t="s">
        <v>43</v>
      </c>
      <c r="B205" t="s">
        <v>59</v>
      </c>
      <c r="C205" t="s">
        <v>32</v>
      </c>
      <c r="D205" t="s">
        <v>29</v>
      </c>
      <c r="E205" t="b">
        <v>1</v>
      </c>
      <c r="F205">
        <v>100</v>
      </c>
      <c r="G205">
        <v>1</v>
      </c>
      <c r="H205">
        <v>19303</v>
      </c>
      <c r="I205" t="s">
        <v>18</v>
      </c>
    </row>
    <row r="206" spans="1:9" x14ac:dyDescent="0.3">
      <c r="A206" t="s">
        <v>43</v>
      </c>
      <c r="B206" t="s">
        <v>59</v>
      </c>
      <c r="C206" t="s">
        <v>33</v>
      </c>
      <c r="D206" t="s">
        <v>29</v>
      </c>
      <c r="E206" t="b">
        <v>1</v>
      </c>
      <c r="F206">
        <v>99.9</v>
      </c>
      <c r="G206">
        <v>0</v>
      </c>
      <c r="H206">
        <v>25007</v>
      </c>
      <c r="I206" t="s">
        <v>18</v>
      </c>
    </row>
    <row r="207" spans="1:9" x14ac:dyDescent="0.3">
      <c r="A207" t="s">
        <v>43</v>
      </c>
      <c r="B207" t="s">
        <v>59</v>
      </c>
      <c r="C207" t="s">
        <v>34</v>
      </c>
      <c r="D207" t="s">
        <v>29</v>
      </c>
      <c r="E207" t="b">
        <v>1</v>
      </c>
      <c r="F207">
        <v>100</v>
      </c>
      <c r="G207">
        <v>1</v>
      </c>
      <c r="H207">
        <v>25432</v>
      </c>
      <c r="I207" t="s">
        <v>18</v>
      </c>
    </row>
    <row r="208" spans="1:9" x14ac:dyDescent="0.3">
      <c r="A208" t="s">
        <v>43</v>
      </c>
      <c r="B208" t="s">
        <v>59</v>
      </c>
      <c r="C208" t="s">
        <v>35</v>
      </c>
      <c r="D208" t="s">
        <v>29</v>
      </c>
      <c r="E208" t="b">
        <v>1</v>
      </c>
      <c r="F208">
        <v>100</v>
      </c>
      <c r="G208">
        <v>1</v>
      </c>
      <c r="H208">
        <v>20523</v>
      </c>
      <c r="I208" t="s">
        <v>18</v>
      </c>
    </row>
    <row r="209" spans="1:9" x14ac:dyDescent="0.3">
      <c r="A209" t="s">
        <v>43</v>
      </c>
      <c r="B209" t="s">
        <v>59</v>
      </c>
      <c r="C209" t="s">
        <v>36</v>
      </c>
      <c r="D209" t="s">
        <v>29</v>
      </c>
      <c r="E209" t="b">
        <v>1</v>
      </c>
      <c r="F209">
        <v>96.3</v>
      </c>
      <c r="G209">
        <v>0</v>
      </c>
      <c r="H209">
        <v>21275</v>
      </c>
      <c r="I209" t="s">
        <v>13</v>
      </c>
    </row>
    <row r="210" spans="1:9" x14ac:dyDescent="0.3">
      <c r="A210" t="s">
        <v>43</v>
      </c>
      <c r="B210" t="s">
        <v>59</v>
      </c>
      <c r="C210" t="s">
        <v>37</v>
      </c>
      <c r="D210" t="s">
        <v>29</v>
      </c>
      <c r="E210" t="b">
        <v>1</v>
      </c>
      <c r="F210">
        <v>92.6</v>
      </c>
      <c r="G210">
        <v>0</v>
      </c>
      <c r="H210">
        <v>22874</v>
      </c>
      <c r="I210" t="s">
        <v>13</v>
      </c>
    </row>
    <row r="211" spans="1:9" x14ac:dyDescent="0.3">
      <c r="A211" t="s">
        <v>43</v>
      </c>
      <c r="B211" t="s">
        <v>59</v>
      </c>
      <c r="C211" t="s">
        <v>38</v>
      </c>
      <c r="D211" t="s">
        <v>29</v>
      </c>
      <c r="E211" t="b">
        <v>1</v>
      </c>
      <c r="F211">
        <v>51.3</v>
      </c>
      <c r="G211">
        <v>0</v>
      </c>
      <c r="H211">
        <v>24311</v>
      </c>
      <c r="I211" t="s">
        <v>13</v>
      </c>
    </row>
    <row r="212" spans="1:9" x14ac:dyDescent="0.3">
      <c r="A212" t="s">
        <v>43</v>
      </c>
      <c r="B212" t="s">
        <v>59</v>
      </c>
      <c r="C212" t="s">
        <v>39</v>
      </c>
      <c r="D212" t="s">
        <v>29</v>
      </c>
      <c r="E212" t="b">
        <v>1</v>
      </c>
      <c r="F212">
        <v>57.1</v>
      </c>
      <c r="G212">
        <v>0</v>
      </c>
      <c r="H212">
        <v>22433</v>
      </c>
      <c r="I212" t="s">
        <v>13</v>
      </c>
    </row>
    <row r="213" spans="1:9" x14ac:dyDescent="0.3">
      <c r="A213" t="s">
        <v>43</v>
      </c>
      <c r="B213" t="s">
        <v>59</v>
      </c>
      <c r="C213" t="s">
        <v>40</v>
      </c>
      <c r="D213" t="s">
        <v>29</v>
      </c>
      <c r="E213" t="b">
        <v>1</v>
      </c>
      <c r="F213">
        <v>100</v>
      </c>
      <c r="G213">
        <v>1</v>
      </c>
      <c r="H213">
        <v>16706</v>
      </c>
      <c r="I213" t="s">
        <v>18</v>
      </c>
    </row>
    <row r="214" spans="1:9" x14ac:dyDescent="0.3">
      <c r="A214" t="s">
        <v>43</v>
      </c>
      <c r="B214" t="s">
        <v>49</v>
      </c>
      <c r="C214" t="s">
        <v>11</v>
      </c>
      <c r="D214" t="s">
        <v>12</v>
      </c>
      <c r="E214" t="b">
        <v>1</v>
      </c>
      <c r="F214">
        <v>100</v>
      </c>
      <c r="G214">
        <v>1</v>
      </c>
      <c r="H214">
        <v>10277</v>
      </c>
      <c r="I214" t="s">
        <v>18</v>
      </c>
    </row>
    <row r="215" spans="1:9" x14ac:dyDescent="0.3">
      <c r="A215" t="s">
        <v>43</v>
      </c>
      <c r="B215" t="s">
        <v>49</v>
      </c>
      <c r="C215" t="s">
        <v>14</v>
      </c>
      <c r="D215" t="s">
        <v>12</v>
      </c>
      <c r="E215" t="b">
        <v>1</v>
      </c>
      <c r="F215">
        <v>100</v>
      </c>
      <c r="G215">
        <v>1</v>
      </c>
      <c r="H215">
        <v>15914</v>
      </c>
      <c r="I215" t="s">
        <v>18</v>
      </c>
    </row>
    <row r="216" spans="1:9" x14ac:dyDescent="0.3">
      <c r="A216" t="s">
        <v>43</v>
      </c>
      <c r="B216" t="s">
        <v>49</v>
      </c>
      <c r="C216" t="s">
        <v>15</v>
      </c>
      <c r="D216" t="s">
        <v>12</v>
      </c>
      <c r="E216" t="b">
        <v>1</v>
      </c>
      <c r="F216">
        <v>100</v>
      </c>
      <c r="G216">
        <v>1</v>
      </c>
      <c r="H216">
        <v>16666</v>
      </c>
      <c r="I216" t="s">
        <v>18</v>
      </c>
    </row>
    <row r="217" spans="1:9" x14ac:dyDescent="0.3">
      <c r="A217" t="s">
        <v>43</v>
      </c>
      <c r="B217" t="s">
        <v>49</v>
      </c>
      <c r="C217" t="s">
        <v>16</v>
      </c>
      <c r="D217" t="s">
        <v>12</v>
      </c>
      <c r="E217" t="b">
        <v>1</v>
      </c>
      <c r="F217">
        <v>100</v>
      </c>
      <c r="G217">
        <v>1</v>
      </c>
      <c r="H217">
        <v>17904</v>
      </c>
      <c r="I217" t="s">
        <v>18</v>
      </c>
    </row>
    <row r="218" spans="1:9" x14ac:dyDescent="0.3">
      <c r="A218" t="s">
        <v>43</v>
      </c>
      <c r="B218" t="s">
        <v>49</v>
      </c>
      <c r="C218" t="s">
        <v>17</v>
      </c>
      <c r="D218" t="s">
        <v>12</v>
      </c>
      <c r="E218" t="b">
        <v>1</v>
      </c>
      <c r="F218">
        <v>100</v>
      </c>
      <c r="G218">
        <v>1</v>
      </c>
      <c r="H218">
        <v>18509</v>
      </c>
      <c r="I218" t="s">
        <v>18</v>
      </c>
    </row>
    <row r="219" spans="1:9" x14ac:dyDescent="0.3">
      <c r="A219" t="s">
        <v>43</v>
      </c>
      <c r="B219" t="s">
        <v>49</v>
      </c>
      <c r="C219" t="s">
        <v>19</v>
      </c>
      <c r="D219" t="s">
        <v>12</v>
      </c>
      <c r="E219" t="b">
        <v>1</v>
      </c>
      <c r="F219">
        <v>51.7</v>
      </c>
      <c r="G219">
        <v>0</v>
      </c>
      <c r="H219">
        <v>18694</v>
      </c>
      <c r="I219" t="s">
        <v>13</v>
      </c>
    </row>
    <row r="220" spans="1:9" x14ac:dyDescent="0.3">
      <c r="A220" t="s">
        <v>43</v>
      </c>
      <c r="B220" t="s">
        <v>49</v>
      </c>
      <c r="C220" t="s">
        <v>20</v>
      </c>
      <c r="D220" t="s">
        <v>12</v>
      </c>
      <c r="E220" t="b">
        <v>1</v>
      </c>
      <c r="F220">
        <v>71.8</v>
      </c>
      <c r="G220">
        <v>0</v>
      </c>
      <c r="H220">
        <v>17905</v>
      </c>
      <c r="I220" t="s">
        <v>13</v>
      </c>
    </row>
    <row r="221" spans="1:9" x14ac:dyDescent="0.3">
      <c r="A221" t="s">
        <v>43</v>
      </c>
      <c r="B221" t="s">
        <v>49</v>
      </c>
      <c r="C221" t="s">
        <v>21</v>
      </c>
      <c r="D221" t="s">
        <v>29</v>
      </c>
      <c r="E221" t="b">
        <v>1</v>
      </c>
      <c r="F221">
        <v>82.3</v>
      </c>
      <c r="G221">
        <v>0</v>
      </c>
      <c r="H221">
        <v>14547</v>
      </c>
      <c r="I221" t="s">
        <v>13</v>
      </c>
    </row>
    <row r="222" spans="1:9" x14ac:dyDescent="0.3">
      <c r="A222" t="s">
        <v>43</v>
      </c>
      <c r="B222" t="s">
        <v>49</v>
      </c>
      <c r="C222" t="s">
        <v>22</v>
      </c>
      <c r="D222" t="s">
        <v>29</v>
      </c>
      <c r="E222" t="b">
        <v>1</v>
      </c>
      <c r="F222">
        <v>48.9</v>
      </c>
      <c r="G222">
        <v>0</v>
      </c>
      <c r="H222">
        <v>19244</v>
      </c>
      <c r="I222" t="s">
        <v>13</v>
      </c>
    </row>
    <row r="223" spans="1:9" x14ac:dyDescent="0.3">
      <c r="A223" t="s">
        <v>43</v>
      </c>
      <c r="B223" t="s">
        <v>49</v>
      </c>
      <c r="C223" t="s">
        <v>23</v>
      </c>
      <c r="D223" t="s">
        <v>29</v>
      </c>
      <c r="E223" t="b">
        <v>1</v>
      </c>
      <c r="F223">
        <v>53</v>
      </c>
      <c r="G223">
        <v>0</v>
      </c>
      <c r="H223">
        <v>16700</v>
      </c>
      <c r="I223" t="s">
        <v>13</v>
      </c>
    </row>
    <row r="224" spans="1:9" x14ac:dyDescent="0.3">
      <c r="A224" t="s">
        <v>43</v>
      </c>
      <c r="B224" t="s">
        <v>49</v>
      </c>
      <c r="C224" t="s">
        <v>24</v>
      </c>
      <c r="D224" t="s">
        <v>29</v>
      </c>
      <c r="E224" t="b">
        <v>1</v>
      </c>
      <c r="F224">
        <v>52.6</v>
      </c>
      <c r="G224">
        <v>0</v>
      </c>
      <c r="H224">
        <v>17523</v>
      </c>
      <c r="I224" t="s">
        <v>13</v>
      </c>
    </row>
    <row r="225" spans="1:9" x14ac:dyDescent="0.3">
      <c r="A225" t="s">
        <v>43</v>
      </c>
      <c r="B225" t="s">
        <v>49</v>
      </c>
      <c r="C225" t="s">
        <v>25</v>
      </c>
      <c r="D225" t="s">
        <v>29</v>
      </c>
      <c r="E225" t="b">
        <v>1</v>
      </c>
      <c r="F225">
        <v>61.8</v>
      </c>
      <c r="G225">
        <v>0</v>
      </c>
      <c r="H225">
        <v>15800</v>
      </c>
      <c r="I225" t="s">
        <v>13</v>
      </c>
    </row>
    <row r="226" spans="1:9" x14ac:dyDescent="0.3">
      <c r="A226" t="s">
        <v>43</v>
      </c>
      <c r="B226" t="s">
        <v>49</v>
      </c>
      <c r="C226" t="s">
        <v>26</v>
      </c>
      <c r="D226" t="s">
        <v>29</v>
      </c>
      <c r="E226" t="b">
        <v>1</v>
      </c>
      <c r="F226">
        <v>100</v>
      </c>
      <c r="G226">
        <v>1</v>
      </c>
      <c r="H226">
        <v>15498</v>
      </c>
      <c r="I226" t="s">
        <v>18</v>
      </c>
    </row>
    <row r="227" spans="1:9" x14ac:dyDescent="0.3">
      <c r="A227" t="s">
        <v>43</v>
      </c>
      <c r="B227" t="s">
        <v>49</v>
      </c>
      <c r="C227" t="s">
        <v>27</v>
      </c>
      <c r="D227" t="s">
        <v>29</v>
      </c>
      <c r="E227" t="b">
        <v>1</v>
      </c>
      <c r="F227">
        <v>100</v>
      </c>
      <c r="G227">
        <v>1</v>
      </c>
      <c r="H227">
        <v>13569</v>
      </c>
      <c r="I227" t="s">
        <v>18</v>
      </c>
    </row>
    <row r="228" spans="1:9" x14ac:dyDescent="0.3">
      <c r="A228" t="s">
        <v>43</v>
      </c>
      <c r="B228" t="s">
        <v>49</v>
      </c>
      <c r="C228" t="s">
        <v>28</v>
      </c>
      <c r="D228" t="s">
        <v>29</v>
      </c>
      <c r="E228" t="b">
        <v>1</v>
      </c>
      <c r="F228">
        <v>85.1</v>
      </c>
      <c r="G228">
        <v>0</v>
      </c>
      <c r="H228">
        <v>14602</v>
      </c>
      <c r="I228" t="s">
        <v>13</v>
      </c>
    </row>
    <row r="229" spans="1:9" x14ac:dyDescent="0.3">
      <c r="A229" t="s">
        <v>43</v>
      </c>
      <c r="B229" t="s">
        <v>62</v>
      </c>
      <c r="C229" t="s">
        <v>11</v>
      </c>
      <c r="D229" t="s">
        <v>12</v>
      </c>
      <c r="E229" t="b">
        <v>1</v>
      </c>
      <c r="F229">
        <v>100</v>
      </c>
      <c r="G229">
        <v>1</v>
      </c>
      <c r="H229">
        <v>10163</v>
      </c>
      <c r="I229" t="s">
        <v>18</v>
      </c>
    </row>
    <row r="230" spans="1:9" x14ac:dyDescent="0.3">
      <c r="A230" t="s">
        <v>43</v>
      </c>
      <c r="B230" t="s">
        <v>62</v>
      </c>
      <c r="C230" t="s">
        <v>14</v>
      </c>
      <c r="D230" t="s">
        <v>12</v>
      </c>
      <c r="E230" t="b">
        <v>1</v>
      </c>
      <c r="F230">
        <v>100</v>
      </c>
      <c r="G230">
        <v>1</v>
      </c>
      <c r="H230">
        <v>11266</v>
      </c>
      <c r="I230" t="s">
        <v>18</v>
      </c>
    </row>
    <row r="231" spans="1:9" x14ac:dyDescent="0.3">
      <c r="A231" t="s">
        <v>43</v>
      </c>
      <c r="B231" t="s">
        <v>62</v>
      </c>
      <c r="C231" t="s">
        <v>15</v>
      </c>
      <c r="D231" t="s">
        <v>12</v>
      </c>
      <c r="E231" t="b">
        <v>1</v>
      </c>
      <c r="F231">
        <v>49.9</v>
      </c>
      <c r="G231">
        <v>0</v>
      </c>
      <c r="H231">
        <v>11608</v>
      </c>
      <c r="I231" t="s">
        <v>13</v>
      </c>
    </row>
    <row r="232" spans="1:9" x14ac:dyDescent="0.3">
      <c r="A232" t="s">
        <v>43</v>
      </c>
      <c r="B232" t="s">
        <v>62</v>
      </c>
      <c r="C232" t="s">
        <v>16</v>
      </c>
      <c r="D232" t="s">
        <v>12</v>
      </c>
      <c r="E232" t="b">
        <v>1</v>
      </c>
      <c r="F232">
        <v>60.2</v>
      </c>
      <c r="G232">
        <v>0</v>
      </c>
      <c r="H232">
        <v>10461</v>
      </c>
      <c r="I232" t="s">
        <v>13</v>
      </c>
    </row>
    <row r="233" spans="1:9" x14ac:dyDescent="0.3">
      <c r="A233" t="s">
        <v>43</v>
      </c>
      <c r="B233" t="s">
        <v>62</v>
      </c>
      <c r="C233" t="s">
        <v>17</v>
      </c>
      <c r="D233" t="s">
        <v>12</v>
      </c>
      <c r="E233" t="b">
        <v>1</v>
      </c>
      <c r="F233">
        <v>95.6</v>
      </c>
      <c r="G233">
        <v>0</v>
      </c>
      <c r="H233">
        <v>8818</v>
      </c>
      <c r="I233" t="s">
        <v>13</v>
      </c>
    </row>
    <row r="234" spans="1:9" x14ac:dyDescent="0.3">
      <c r="A234" t="s">
        <v>43</v>
      </c>
      <c r="B234" t="s">
        <v>62</v>
      </c>
      <c r="C234" t="s">
        <v>19</v>
      </c>
      <c r="D234" t="s">
        <v>12</v>
      </c>
      <c r="E234" t="b">
        <v>1</v>
      </c>
      <c r="F234">
        <v>95.7</v>
      </c>
      <c r="G234">
        <v>0</v>
      </c>
      <c r="H234">
        <v>8638</v>
      </c>
      <c r="I234" t="s">
        <v>13</v>
      </c>
    </row>
    <row r="235" spans="1:9" x14ac:dyDescent="0.3">
      <c r="A235" t="s">
        <v>43</v>
      </c>
      <c r="B235" t="s">
        <v>62</v>
      </c>
      <c r="C235" t="s">
        <v>20</v>
      </c>
      <c r="D235" t="s">
        <v>12</v>
      </c>
      <c r="E235" t="b">
        <v>1</v>
      </c>
      <c r="F235">
        <v>100</v>
      </c>
      <c r="G235">
        <v>1</v>
      </c>
      <c r="H235">
        <v>8390</v>
      </c>
      <c r="I235" t="s">
        <v>18</v>
      </c>
    </row>
    <row r="236" spans="1:9" x14ac:dyDescent="0.3">
      <c r="A236" t="s">
        <v>43</v>
      </c>
      <c r="B236" t="s">
        <v>62</v>
      </c>
      <c r="C236" t="s">
        <v>21</v>
      </c>
      <c r="D236" t="s">
        <v>12</v>
      </c>
      <c r="E236" t="b">
        <v>1</v>
      </c>
      <c r="F236">
        <v>95</v>
      </c>
      <c r="G236">
        <v>0</v>
      </c>
      <c r="H236">
        <v>8461</v>
      </c>
      <c r="I236" t="s">
        <v>13</v>
      </c>
    </row>
    <row r="237" spans="1:9" x14ac:dyDescent="0.3">
      <c r="A237" t="s">
        <v>43</v>
      </c>
      <c r="B237" t="s">
        <v>62</v>
      </c>
      <c r="C237" t="s">
        <v>22</v>
      </c>
      <c r="D237" t="s">
        <v>12</v>
      </c>
      <c r="E237" t="b">
        <v>1</v>
      </c>
      <c r="F237">
        <v>100</v>
      </c>
      <c r="G237">
        <v>1</v>
      </c>
      <c r="H237">
        <v>10552</v>
      </c>
      <c r="I237" t="s">
        <v>18</v>
      </c>
    </row>
    <row r="238" spans="1:9" x14ac:dyDescent="0.3">
      <c r="A238" t="s">
        <v>43</v>
      </c>
      <c r="B238" t="s">
        <v>62</v>
      </c>
      <c r="C238" t="s">
        <v>23</v>
      </c>
      <c r="D238" t="s">
        <v>12</v>
      </c>
      <c r="E238" t="b">
        <v>1</v>
      </c>
      <c r="F238">
        <v>72.8</v>
      </c>
      <c r="G238">
        <v>0</v>
      </c>
      <c r="H238">
        <v>10898</v>
      </c>
      <c r="I238" t="s">
        <v>13</v>
      </c>
    </row>
    <row r="239" spans="1:9" x14ac:dyDescent="0.3">
      <c r="A239" t="s">
        <v>43</v>
      </c>
      <c r="B239" t="s">
        <v>62</v>
      </c>
      <c r="C239" t="s">
        <v>24</v>
      </c>
      <c r="D239" t="s">
        <v>12</v>
      </c>
      <c r="E239" t="b">
        <v>1</v>
      </c>
      <c r="F239">
        <v>100</v>
      </c>
      <c r="G239">
        <v>1</v>
      </c>
      <c r="H239">
        <v>9273</v>
      </c>
      <c r="I239" t="s">
        <v>18</v>
      </c>
    </row>
    <row r="240" spans="1:9" x14ac:dyDescent="0.3">
      <c r="A240" t="s">
        <v>43</v>
      </c>
      <c r="B240" t="s">
        <v>62</v>
      </c>
      <c r="C240" t="s">
        <v>25</v>
      </c>
      <c r="D240" t="s">
        <v>12</v>
      </c>
      <c r="E240" t="b">
        <v>1</v>
      </c>
      <c r="F240">
        <v>100</v>
      </c>
      <c r="G240">
        <v>1</v>
      </c>
      <c r="H240">
        <v>9089</v>
      </c>
      <c r="I240" t="s">
        <v>18</v>
      </c>
    </row>
    <row r="241" spans="1:9" x14ac:dyDescent="0.3">
      <c r="A241" t="s">
        <v>43</v>
      </c>
      <c r="B241" t="s">
        <v>62</v>
      </c>
      <c r="C241" t="s">
        <v>26</v>
      </c>
      <c r="D241" t="s">
        <v>12</v>
      </c>
      <c r="E241" t="b">
        <v>1</v>
      </c>
      <c r="F241">
        <v>100</v>
      </c>
      <c r="G241">
        <v>1</v>
      </c>
      <c r="H241">
        <v>9293</v>
      </c>
      <c r="I241" t="s">
        <v>18</v>
      </c>
    </row>
    <row r="242" spans="1:9" x14ac:dyDescent="0.3">
      <c r="A242" t="s">
        <v>43</v>
      </c>
      <c r="B242" t="s">
        <v>62</v>
      </c>
      <c r="C242" t="s">
        <v>27</v>
      </c>
      <c r="D242" t="s">
        <v>12</v>
      </c>
      <c r="E242" t="b">
        <v>1</v>
      </c>
      <c r="F242">
        <v>100</v>
      </c>
      <c r="G242">
        <v>1</v>
      </c>
      <c r="H242">
        <v>9749</v>
      </c>
      <c r="I242" t="s">
        <v>18</v>
      </c>
    </row>
    <row r="243" spans="1:9" x14ac:dyDescent="0.3">
      <c r="A243" t="s">
        <v>43</v>
      </c>
      <c r="B243" t="s">
        <v>62</v>
      </c>
      <c r="C243" t="s">
        <v>28</v>
      </c>
      <c r="D243" t="s">
        <v>12</v>
      </c>
      <c r="E243" t="b">
        <v>1</v>
      </c>
      <c r="F243">
        <v>89.3</v>
      </c>
      <c r="G243">
        <v>0</v>
      </c>
      <c r="H243">
        <v>9757</v>
      </c>
      <c r="I243" t="s">
        <v>13</v>
      </c>
    </row>
    <row r="244" spans="1:9" x14ac:dyDescent="0.3">
      <c r="A244" t="s">
        <v>43</v>
      </c>
      <c r="B244" t="s">
        <v>62</v>
      </c>
      <c r="C244" t="s">
        <v>30</v>
      </c>
      <c r="D244" t="s">
        <v>12</v>
      </c>
      <c r="E244" t="b">
        <v>1</v>
      </c>
      <c r="F244">
        <v>100</v>
      </c>
      <c r="G244">
        <v>1</v>
      </c>
      <c r="H244">
        <v>9373</v>
      </c>
      <c r="I244" t="s">
        <v>18</v>
      </c>
    </row>
    <row r="245" spans="1:9" x14ac:dyDescent="0.3">
      <c r="A245" t="s">
        <v>43</v>
      </c>
      <c r="B245" t="s">
        <v>62</v>
      </c>
      <c r="C245" t="s">
        <v>31</v>
      </c>
      <c r="D245" t="s">
        <v>12</v>
      </c>
      <c r="E245" t="b">
        <v>1</v>
      </c>
      <c r="F245">
        <v>85.4</v>
      </c>
      <c r="G245">
        <v>0</v>
      </c>
      <c r="H245">
        <v>9437</v>
      </c>
      <c r="I245" t="s">
        <v>13</v>
      </c>
    </row>
    <row r="246" spans="1:9" x14ac:dyDescent="0.3">
      <c r="A246" t="s">
        <v>43</v>
      </c>
      <c r="B246" t="s">
        <v>62</v>
      </c>
      <c r="C246" t="s">
        <v>32</v>
      </c>
      <c r="D246" t="s">
        <v>29</v>
      </c>
      <c r="E246" t="b">
        <v>1</v>
      </c>
      <c r="F246">
        <v>82.2</v>
      </c>
      <c r="G246">
        <v>0</v>
      </c>
      <c r="H246">
        <v>8876</v>
      </c>
      <c r="I246" t="s">
        <v>13</v>
      </c>
    </row>
    <row r="247" spans="1:9" x14ac:dyDescent="0.3">
      <c r="A247" t="s">
        <v>43</v>
      </c>
      <c r="B247" t="s">
        <v>62</v>
      </c>
      <c r="C247" t="s">
        <v>33</v>
      </c>
      <c r="D247" t="s">
        <v>29</v>
      </c>
      <c r="E247" t="b">
        <v>1</v>
      </c>
      <c r="F247">
        <v>100</v>
      </c>
      <c r="G247">
        <v>1</v>
      </c>
      <c r="H247">
        <v>8853</v>
      </c>
      <c r="I247" t="s">
        <v>18</v>
      </c>
    </row>
    <row r="248" spans="1:9" x14ac:dyDescent="0.3">
      <c r="A248" t="s">
        <v>43</v>
      </c>
      <c r="B248" t="s">
        <v>62</v>
      </c>
      <c r="C248" t="s">
        <v>34</v>
      </c>
      <c r="D248" t="s">
        <v>29</v>
      </c>
      <c r="E248" t="b">
        <v>1</v>
      </c>
      <c r="F248">
        <v>100</v>
      </c>
      <c r="G248">
        <v>1</v>
      </c>
      <c r="H248">
        <v>8651</v>
      </c>
      <c r="I248" t="s">
        <v>18</v>
      </c>
    </row>
    <row r="249" spans="1:9" x14ac:dyDescent="0.3">
      <c r="A249" t="s">
        <v>43</v>
      </c>
      <c r="B249" t="s">
        <v>62</v>
      </c>
      <c r="C249" t="s">
        <v>35</v>
      </c>
      <c r="D249" t="s">
        <v>29</v>
      </c>
      <c r="E249" t="b">
        <v>1</v>
      </c>
      <c r="F249">
        <v>100</v>
      </c>
      <c r="G249">
        <v>1</v>
      </c>
      <c r="H249">
        <v>8705</v>
      </c>
      <c r="I249" t="s">
        <v>18</v>
      </c>
    </row>
    <row r="250" spans="1:9" x14ac:dyDescent="0.3">
      <c r="A250" t="s">
        <v>43</v>
      </c>
      <c r="B250" t="s">
        <v>62</v>
      </c>
      <c r="C250" t="s">
        <v>36</v>
      </c>
      <c r="D250" t="s">
        <v>29</v>
      </c>
      <c r="E250" t="b">
        <v>1</v>
      </c>
      <c r="F250">
        <v>93</v>
      </c>
      <c r="G250">
        <v>0</v>
      </c>
      <c r="H250">
        <v>8739</v>
      </c>
      <c r="I250" t="s">
        <v>13</v>
      </c>
    </row>
    <row r="251" spans="1:9" x14ac:dyDescent="0.3">
      <c r="A251" t="s">
        <v>43</v>
      </c>
      <c r="B251" t="s">
        <v>62</v>
      </c>
      <c r="C251" t="s">
        <v>37</v>
      </c>
      <c r="D251" t="s">
        <v>29</v>
      </c>
      <c r="E251" t="b">
        <v>1</v>
      </c>
      <c r="F251">
        <v>100</v>
      </c>
      <c r="G251">
        <v>1</v>
      </c>
      <c r="H251">
        <v>10649</v>
      </c>
      <c r="I251" t="s">
        <v>18</v>
      </c>
    </row>
    <row r="252" spans="1:9" x14ac:dyDescent="0.3">
      <c r="A252" t="s">
        <v>43</v>
      </c>
      <c r="B252" t="s">
        <v>62</v>
      </c>
      <c r="C252" t="s">
        <v>38</v>
      </c>
      <c r="D252" t="s">
        <v>29</v>
      </c>
      <c r="E252" t="b">
        <v>1</v>
      </c>
      <c r="F252">
        <v>100</v>
      </c>
      <c r="G252">
        <v>1</v>
      </c>
      <c r="H252">
        <v>7742</v>
      </c>
      <c r="I252" t="s">
        <v>18</v>
      </c>
    </row>
    <row r="253" spans="1:9" x14ac:dyDescent="0.3">
      <c r="A253" t="s">
        <v>43</v>
      </c>
      <c r="B253" t="s">
        <v>62</v>
      </c>
      <c r="C253" t="s">
        <v>39</v>
      </c>
      <c r="D253" t="s">
        <v>29</v>
      </c>
      <c r="E253" t="b">
        <v>1</v>
      </c>
      <c r="F253">
        <v>100</v>
      </c>
      <c r="G253">
        <v>1</v>
      </c>
      <c r="H253">
        <v>8098</v>
      </c>
      <c r="I253" t="s">
        <v>18</v>
      </c>
    </row>
    <row r="254" spans="1:9" x14ac:dyDescent="0.3">
      <c r="A254" t="s">
        <v>43</v>
      </c>
      <c r="B254" t="s">
        <v>62</v>
      </c>
      <c r="C254" t="s">
        <v>40</v>
      </c>
      <c r="D254" t="s">
        <v>29</v>
      </c>
      <c r="E254" t="b">
        <v>1</v>
      </c>
      <c r="F254">
        <v>100</v>
      </c>
      <c r="G254">
        <v>1</v>
      </c>
      <c r="H254">
        <v>7899</v>
      </c>
      <c r="I254" t="s">
        <v>18</v>
      </c>
    </row>
    <row r="255" spans="1:9" x14ac:dyDescent="0.3">
      <c r="A255" t="s">
        <v>43</v>
      </c>
      <c r="B255" t="s">
        <v>62</v>
      </c>
      <c r="C255" t="s">
        <v>41</v>
      </c>
      <c r="D255" t="s">
        <v>29</v>
      </c>
      <c r="E255" t="b">
        <v>1</v>
      </c>
      <c r="F255">
        <v>100</v>
      </c>
      <c r="G255">
        <v>1</v>
      </c>
      <c r="H255">
        <v>7958</v>
      </c>
      <c r="I255" t="s">
        <v>18</v>
      </c>
    </row>
    <row r="256" spans="1:9" x14ac:dyDescent="0.3">
      <c r="A256" t="s">
        <v>43</v>
      </c>
      <c r="B256" t="s">
        <v>62</v>
      </c>
      <c r="C256" t="s">
        <v>42</v>
      </c>
      <c r="D256" t="s">
        <v>29</v>
      </c>
      <c r="E256" t="b">
        <v>1</v>
      </c>
      <c r="F256">
        <v>100</v>
      </c>
      <c r="G256">
        <v>1</v>
      </c>
      <c r="H256">
        <v>8808</v>
      </c>
      <c r="I256" t="s">
        <v>18</v>
      </c>
    </row>
    <row r="257" spans="1:9" x14ac:dyDescent="0.3">
      <c r="A257" t="s">
        <v>43</v>
      </c>
      <c r="B257" t="s">
        <v>62</v>
      </c>
      <c r="C257" t="s">
        <v>63</v>
      </c>
      <c r="D257" t="s">
        <v>29</v>
      </c>
      <c r="E257" t="b">
        <v>1</v>
      </c>
      <c r="F257">
        <v>96.2</v>
      </c>
      <c r="G257">
        <v>0</v>
      </c>
      <c r="H257">
        <v>10935</v>
      </c>
      <c r="I257" t="s">
        <v>13</v>
      </c>
    </row>
    <row r="258" spans="1:9" x14ac:dyDescent="0.3">
      <c r="A258" t="s">
        <v>43</v>
      </c>
      <c r="B258" t="s">
        <v>62</v>
      </c>
      <c r="C258" t="s">
        <v>64</v>
      </c>
      <c r="D258" t="s">
        <v>29</v>
      </c>
      <c r="E258" t="b">
        <v>1</v>
      </c>
      <c r="F258">
        <v>26.8</v>
      </c>
      <c r="G258">
        <v>0</v>
      </c>
      <c r="H258">
        <v>25730</v>
      </c>
      <c r="I258" t="s">
        <v>13</v>
      </c>
    </row>
    <row r="259" spans="1:9" x14ac:dyDescent="0.3">
      <c r="A259" t="s">
        <v>43</v>
      </c>
      <c r="B259" t="s">
        <v>62</v>
      </c>
      <c r="C259" t="s">
        <v>65</v>
      </c>
      <c r="D259" t="s">
        <v>29</v>
      </c>
      <c r="E259" t="b">
        <v>1</v>
      </c>
      <c r="F259">
        <v>100</v>
      </c>
      <c r="G259">
        <v>1</v>
      </c>
      <c r="H259">
        <v>17652</v>
      </c>
      <c r="I259" t="s">
        <v>18</v>
      </c>
    </row>
    <row r="260" spans="1:9" x14ac:dyDescent="0.3">
      <c r="A260" t="s">
        <v>43</v>
      </c>
      <c r="B260" t="s">
        <v>58</v>
      </c>
      <c r="C260" t="s">
        <v>11</v>
      </c>
      <c r="D260" t="s">
        <v>12</v>
      </c>
      <c r="E260" t="b">
        <v>1</v>
      </c>
      <c r="F260">
        <v>100</v>
      </c>
      <c r="G260">
        <v>1</v>
      </c>
      <c r="H260">
        <v>9746</v>
      </c>
      <c r="I260" t="s">
        <v>13</v>
      </c>
    </row>
    <row r="261" spans="1:9" x14ac:dyDescent="0.3">
      <c r="A261" t="s">
        <v>43</v>
      </c>
      <c r="B261" t="s">
        <v>58</v>
      </c>
      <c r="C261" t="s">
        <v>14</v>
      </c>
      <c r="D261" t="s">
        <v>12</v>
      </c>
      <c r="E261" t="b">
        <v>1</v>
      </c>
      <c r="F261">
        <v>79.900000000000006</v>
      </c>
      <c r="G261">
        <v>0</v>
      </c>
      <c r="H261">
        <v>10669</v>
      </c>
      <c r="I261" t="s">
        <v>13</v>
      </c>
    </row>
    <row r="262" spans="1:9" x14ac:dyDescent="0.3">
      <c r="A262" t="s">
        <v>43</v>
      </c>
      <c r="B262" t="s">
        <v>58</v>
      </c>
      <c r="C262" t="s">
        <v>15</v>
      </c>
      <c r="D262" t="s">
        <v>12</v>
      </c>
      <c r="E262" t="b">
        <v>1</v>
      </c>
      <c r="F262">
        <v>100</v>
      </c>
      <c r="G262">
        <v>1</v>
      </c>
      <c r="H262">
        <v>9809</v>
      </c>
      <c r="I262" t="s">
        <v>18</v>
      </c>
    </row>
    <row r="263" spans="1:9" x14ac:dyDescent="0.3">
      <c r="A263" t="s">
        <v>43</v>
      </c>
      <c r="B263" t="s">
        <v>58</v>
      </c>
      <c r="C263" t="s">
        <v>16</v>
      </c>
      <c r="D263" t="s">
        <v>12</v>
      </c>
      <c r="E263" t="b">
        <v>1</v>
      </c>
      <c r="F263">
        <v>100</v>
      </c>
      <c r="G263">
        <v>1</v>
      </c>
      <c r="H263">
        <v>8981</v>
      </c>
      <c r="I263" t="s">
        <v>18</v>
      </c>
    </row>
    <row r="264" spans="1:9" x14ac:dyDescent="0.3">
      <c r="A264" t="s">
        <v>43</v>
      </c>
      <c r="B264" t="s">
        <v>58</v>
      </c>
      <c r="C264" t="s">
        <v>17</v>
      </c>
      <c r="D264" t="s">
        <v>29</v>
      </c>
      <c r="E264" t="b">
        <v>1</v>
      </c>
      <c r="F264">
        <v>100</v>
      </c>
      <c r="G264">
        <v>1</v>
      </c>
      <c r="H264">
        <v>16046</v>
      </c>
      <c r="I264" t="s">
        <v>18</v>
      </c>
    </row>
    <row r="265" spans="1:9" x14ac:dyDescent="0.3">
      <c r="A265" t="s">
        <v>43</v>
      </c>
      <c r="B265" t="s">
        <v>58</v>
      </c>
      <c r="C265" t="s">
        <v>19</v>
      </c>
      <c r="D265" t="s">
        <v>29</v>
      </c>
      <c r="E265" t="b">
        <v>1</v>
      </c>
      <c r="F265">
        <v>100</v>
      </c>
      <c r="G265">
        <v>1</v>
      </c>
      <c r="H265">
        <v>22277</v>
      </c>
      <c r="I265" t="s">
        <v>18</v>
      </c>
    </row>
    <row r="266" spans="1:9" x14ac:dyDescent="0.3">
      <c r="A266" t="s">
        <v>45</v>
      </c>
      <c r="B266" t="s">
        <v>61</v>
      </c>
      <c r="C266" t="s">
        <v>11</v>
      </c>
      <c r="D266" t="s">
        <v>12</v>
      </c>
      <c r="E266" t="b">
        <v>1</v>
      </c>
      <c r="F266">
        <v>100</v>
      </c>
      <c r="G266">
        <v>1</v>
      </c>
      <c r="H266">
        <v>3954</v>
      </c>
      <c r="I266" t="s">
        <v>18</v>
      </c>
    </row>
    <row r="267" spans="1:9" x14ac:dyDescent="0.3">
      <c r="A267" t="s">
        <v>45</v>
      </c>
      <c r="B267" t="s">
        <v>61</v>
      </c>
      <c r="C267" t="s">
        <v>14</v>
      </c>
      <c r="D267" t="s">
        <v>12</v>
      </c>
      <c r="E267" t="b">
        <v>1</v>
      </c>
      <c r="F267">
        <v>99.9</v>
      </c>
      <c r="G267">
        <v>0</v>
      </c>
      <c r="H267">
        <v>7128</v>
      </c>
      <c r="I267" t="s">
        <v>18</v>
      </c>
    </row>
    <row r="268" spans="1:9" x14ac:dyDescent="0.3">
      <c r="A268" t="s">
        <v>45</v>
      </c>
      <c r="B268" t="s">
        <v>61</v>
      </c>
      <c r="C268" t="s">
        <v>15</v>
      </c>
      <c r="D268" t="s">
        <v>12</v>
      </c>
      <c r="E268" t="b">
        <v>1</v>
      </c>
      <c r="F268">
        <v>100</v>
      </c>
      <c r="G268">
        <v>1</v>
      </c>
      <c r="H268">
        <v>19310</v>
      </c>
      <c r="I268" t="s">
        <v>18</v>
      </c>
    </row>
    <row r="269" spans="1:9" x14ac:dyDescent="0.3">
      <c r="A269" t="s">
        <v>45</v>
      </c>
      <c r="B269" t="s">
        <v>61</v>
      </c>
      <c r="C269" t="s">
        <v>16</v>
      </c>
      <c r="D269" t="s">
        <v>29</v>
      </c>
      <c r="E269" t="b">
        <v>1</v>
      </c>
      <c r="F269">
        <v>52.5</v>
      </c>
      <c r="G269">
        <v>0</v>
      </c>
      <c r="H269">
        <v>19599</v>
      </c>
      <c r="I269" t="s">
        <v>13</v>
      </c>
    </row>
    <row r="270" spans="1:9" x14ac:dyDescent="0.3">
      <c r="A270" t="s">
        <v>45</v>
      </c>
      <c r="B270" t="s">
        <v>66</v>
      </c>
      <c r="C270" t="s">
        <v>11</v>
      </c>
      <c r="D270" t="s">
        <v>12</v>
      </c>
      <c r="E270" t="b">
        <v>1</v>
      </c>
      <c r="F270">
        <v>100</v>
      </c>
      <c r="G270">
        <v>1</v>
      </c>
      <c r="H270">
        <v>11318</v>
      </c>
      <c r="I270" t="s">
        <v>18</v>
      </c>
    </row>
    <row r="271" spans="1:9" x14ac:dyDescent="0.3">
      <c r="A271" t="s">
        <v>45</v>
      </c>
      <c r="B271" t="s">
        <v>66</v>
      </c>
      <c r="C271" t="s">
        <v>14</v>
      </c>
      <c r="D271" t="s">
        <v>12</v>
      </c>
      <c r="E271" t="b">
        <v>1</v>
      </c>
      <c r="F271">
        <v>65.099999999999994</v>
      </c>
      <c r="G271">
        <v>0</v>
      </c>
      <c r="H271">
        <v>16990</v>
      </c>
      <c r="I271" t="s">
        <v>13</v>
      </c>
    </row>
    <row r="272" spans="1:9" x14ac:dyDescent="0.3">
      <c r="A272" t="s">
        <v>45</v>
      </c>
      <c r="B272" t="s">
        <v>66</v>
      </c>
      <c r="C272" t="s">
        <v>15</v>
      </c>
      <c r="D272" t="s">
        <v>12</v>
      </c>
      <c r="E272" t="b">
        <v>1</v>
      </c>
      <c r="F272">
        <v>100</v>
      </c>
      <c r="G272">
        <v>1</v>
      </c>
      <c r="H272">
        <v>14819</v>
      </c>
      <c r="I272" t="s">
        <v>18</v>
      </c>
    </row>
    <row r="273" spans="1:9" x14ac:dyDescent="0.3">
      <c r="A273" t="s">
        <v>45</v>
      </c>
      <c r="B273" t="s">
        <v>66</v>
      </c>
      <c r="C273" t="s">
        <v>16</v>
      </c>
      <c r="D273" t="s">
        <v>12</v>
      </c>
      <c r="E273" t="b">
        <v>1</v>
      </c>
      <c r="F273">
        <v>53.4</v>
      </c>
      <c r="G273">
        <v>0</v>
      </c>
      <c r="H273">
        <v>15116</v>
      </c>
      <c r="I273" t="s">
        <v>13</v>
      </c>
    </row>
    <row r="274" spans="1:9" x14ac:dyDescent="0.3">
      <c r="A274" t="s">
        <v>45</v>
      </c>
      <c r="B274" t="s">
        <v>66</v>
      </c>
      <c r="C274" t="s">
        <v>17</v>
      </c>
      <c r="D274" t="s">
        <v>12</v>
      </c>
      <c r="E274" t="b">
        <v>1</v>
      </c>
      <c r="F274">
        <v>61.2</v>
      </c>
      <c r="G274">
        <v>0</v>
      </c>
      <c r="H274">
        <v>13386</v>
      </c>
      <c r="I274" t="s">
        <v>13</v>
      </c>
    </row>
    <row r="275" spans="1:9" x14ac:dyDescent="0.3">
      <c r="A275" t="s">
        <v>45</v>
      </c>
      <c r="B275" t="s">
        <v>66</v>
      </c>
      <c r="C275" t="s">
        <v>19</v>
      </c>
      <c r="D275" t="s">
        <v>12</v>
      </c>
      <c r="E275" t="b">
        <v>1</v>
      </c>
      <c r="F275">
        <v>73.099999999999994</v>
      </c>
      <c r="G275">
        <v>0</v>
      </c>
      <c r="H275">
        <v>12000</v>
      </c>
      <c r="I275" t="s">
        <v>13</v>
      </c>
    </row>
    <row r="276" spans="1:9" x14ac:dyDescent="0.3">
      <c r="A276" t="s">
        <v>45</v>
      </c>
      <c r="B276" t="s">
        <v>66</v>
      </c>
      <c r="C276" t="s">
        <v>20</v>
      </c>
      <c r="D276" t="s">
        <v>29</v>
      </c>
      <c r="E276" t="b">
        <v>1</v>
      </c>
      <c r="F276">
        <v>100</v>
      </c>
      <c r="G276">
        <v>1</v>
      </c>
      <c r="H276">
        <v>11646</v>
      </c>
      <c r="I276" t="s">
        <v>18</v>
      </c>
    </row>
    <row r="277" spans="1:9" x14ac:dyDescent="0.3">
      <c r="A277" t="s">
        <v>45</v>
      </c>
      <c r="B277" t="s">
        <v>66</v>
      </c>
      <c r="C277" t="s">
        <v>21</v>
      </c>
      <c r="D277" t="s">
        <v>29</v>
      </c>
      <c r="E277" t="b">
        <v>1</v>
      </c>
      <c r="F277">
        <v>100</v>
      </c>
      <c r="G277">
        <v>1</v>
      </c>
      <c r="H277">
        <v>8741</v>
      </c>
      <c r="I277" t="s">
        <v>18</v>
      </c>
    </row>
    <row r="278" spans="1:9" x14ac:dyDescent="0.3">
      <c r="A278" t="s">
        <v>45</v>
      </c>
      <c r="B278" t="s">
        <v>66</v>
      </c>
      <c r="C278" t="s">
        <v>22</v>
      </c>
      <c r="D278" t="s">
        <v>29</v>
      </c>
      <c r="E278" t="b">
        <v>1</v>
      </c>
      <c r="F278">
        <v>80.400000000000006</v>
      </c>
      <c r="G278">
        <v>0</v>
      </c>
      <c r="H278">
        <v>8849</v>
      </c>
      <c r="I278" t="s">
        <v>13</v>
      </c>
    </row>
    <row r="279" spans="1:9" x14ac:dyDescent="0.3">
      <c r="A279" t="s">
        <v>45</v>
      </c>
      <c r="B279" t="s">
        <v>66</v>
      </c>
      <c r="C279" t="s">
        <v>23</v>
      </c>
      <c r="D279" t="s">
        <v>29</v>
      </c>
      <c r="E279" t="b">
        <v>1</v>
      </c>
      <c r="F279">
        <v>100</v>
      </c>
      <c r="G279">
        <v>1</v>
      </c>
      <c r="H279">
        <v>8289</v>
      </c>
      <c r="I279" t="s">
        <v>18</v>
      </c>
    </row>
    <row r="280" spans="1:9" x14ac:dyDescent="0.3">
      <c r="A280" t="s">
        <v>45</v>
      </c>
      <c r="B280" t="s">
        <v>66</v>
      </c>
      <c r="C280" t="s">
        <v>24</v>
      </c>
      <c r="D280" t="s">
        <v>29</v>
      </c>
      <c r="E280" t="b">
        <v>1</v>
      </c>
      <c r="F280">
        <v>82.6</v>
      </c>
      <c r="G280">
        <v>0</v>
      </c>
      <c r="H280">
        <v>8811</v>
      </c>
      <c r="I280" t="s">
        <v>13</v>
      </c>
    </row>
    <row r="281" spans="1:9" x14ac:dyDescent="0.3">
      <c r="A281" t="s">
        <v>45</v>
      </c>
      <c r="B281" t="s">
        <v>66</v>
      </c>
      <c r="C281" t="s">
        <v>25</v>
      </c>
      <c r="D281" t="s">
        <v>29</v>
      </c>
      <c r="E281" t="b">
        <v>1</v>
      </c>
      <c r="F281">
        <v>100</v>
      </c>
      <c r="G281">
        <v>1</v>
      </c>
      <c r="H281">
        <v>8591</v>
      </c>
      <c r="I281" t="s">
        <v>18</v>
      </c>
    </row>
    <row r="282" spans="1:9" x14ac:dyDescent="0.3">
      <c r="A282" t="s">
        <v>45</v>
      </c>
      <c r="B282" t="s">
        <v>66</v>
      </c>
      <c r="C282" t="s">
        <v>26</v>
      </c>
      <c r="D282" t="s">
        <v>29</v>
      </c>
      <c r="E282" t="b">
        <v>1</v>
      </c>
      <c r="F282">
        <v>100</v>
      </c>
      <c r="G282">
        <v>1</v>
      </c>
      <c r="H282">
        <v>8718</v>
      </c>
      <c r="I282" t="s">
        <v>18</v>
      </c>
    </row>
    <row r="283" spans="1:9" x14ac:dyDescent="0.3">
      <c r="A283" t="s">
        <v>45</v>
      </c>
      <c r="B283" t="s">
        <v>66</v>
      </c>
      <c r="C283" t="s">
        <v>27</v>
      </c>
      <c r="D283" t="s">
        <v>29</v>
      </c>
      <c r="E283" t="b">
        <v>1</v>
      </c>
      <c r="F283">
        <v>94</v>
      </c>
      <c r="G283">
        <v>0</v>
      </c>
      <c r="H283">
        <v>8778</v>
      </c>
      <c r="I283" t="s">
        <v>13</v>
      </c>
    </row>
    <row r="284" spans="1:9" x14ac:dyDescent="0.3">
      <c r="A284" t="s">
        <v>9</v>
      </c>
      <c r="B284" t="s">
        <v>55</v>
      </c>
      <c r="C284" t="s">
        <v>11</v>
      </c>
      <c r="D284" t="s">
        <v>12</v>
      </c>
      <c r="E284" t="b">
        <v>1</v>
      </c>
      <c r="F284">
        <v>100</v>
      </c>
      <c r="G284">
        <v>1</v>
      </c>
      <c r="H284">
        <v>10938</v>
      </c>
      <c r="I284" t="s">
        <v>18</v>
      </c>
    </row>
    <row r="285" spans="1:9" x14ac:dyDescent="0.3">
      <c r="A285" t="s">
        <v>9</v>
      </c>
      <c r="B285" t="s">
        <v>55</v>
      </c>
      <c r="C285" t="s">
        <v>14</v>
      </c>
      <c r="D285" t="s">
        <v>12</v>
      </c>
      <c r="E285" t="b">
        <v>1</v>
      </c>
      <c r="F285">
        <v>100</v>
      </c>
      <c r="G285">
        <v>1</v>
      </c>
      <c r="H285">
        <v>11712</v>
      </c>
      <c r="I285" t="s">
        <v>18</v>
      </c>
    </row>
    <row r="286" spans="1:9" x14ac:dyDescent="0.3">
      <c r="A286" t="s">
        <v>9</v>
      </c>
      <c r="B286" t="s">
        <v>55</v>
      </c>
      <c r="C286" t="s">
        <v>15</v>
      </c>
      <c r="D286" t="s">
        <v>12</v>
      </c>
      <c r="E286" t="b">
        <v>1</v>
      </c>
      <c r="F286">
        <v>99</v>
      </c>
      <c r="G286">
        <v>0</v>
      </c>
      <c r="H286">
        <v>12195</v>
      </c>
      <c r="I286" t="s">
        <v>13</v>
      </c>
    </row>
    <row r="287" spans="1:9" x14ac:dyDescent="0.3">
      <c r="A287" t="s">
        <v>9</v>
      </c>
      <c r="B287" t="s">
        <v>55</v>
      </c>
      <c r="C287" t="s">
        <v>16</v>
      </c>
      <c r="D287" t="s">
        <v>29</v>
      </c>
      <c r="E287" t="b">
        <v>1</v>
      </c>
      <c r="F287">
        <v>100</v>
      </c>
      <c r="G287">
        <v>1</v>
      </c>
      <c r="H287">
        <v>8935</v>
      </c>
      <c r="I287" t="s">
        <v>18</v>
      </c>
    </row>
    <row r="288" spans="1:9" x14ac:dyDescent="0.3">
      <c r="A288" t="s">
        <v>9</v>
      </c>
      <c r="B288" t="s">
        <v>55</v>
      </c>
      <c r="C288" t="s">
        <v>17</v>
      </c>
      <c r="D288" t="s">
        <v>29</v>
      </c>
      <c r="E288" t="b">
        <v>1</v>
      </c>
      <c r="F288">
        <v>100</v>
      </c>
      <c r="G288">
        <v>1</v>
      </c>
      <c r="H288">
        <v>9244</v>
      </c>
      <c r="I288" t="s">
        <v>18</v>
      </c>
    </row>
    <row r="289" spans="1:9" x14ac:dyDescent="0.3">
      <c r="A289" t="s">
        <v>9</v>
      </c>
      <c r="B289" t="s">
        <v>55</v>
      </c>
      <c r="C289" t="s">
        <v>19</v>
      </c>
      <c r="D289" t="s">
        <v>29</v>
      </c>
      <c r="E289" t="b">
        <v>1</v>
      </c>
      <c r="F289">
        <v>100</v>
      </c>
      <c r="G289">
        <v>1</v>
      </c>
      <c r="H289">
        <v>8280</v>
      </c>
      <c r="I289" t="s">
        <v>18</v>
      </c>
    </row>
    <row r="290" spans="1:9" x14ac:dyDescent="0.3">
      <c r="A290" t="s">
        <v>43</v>
      </c>
      <c r="B290" t="s">
        <v>54</v>
      </c>
      <c r="C290" t="s">
        <v>11</v>
      </c>
      <c r="D290" t="s">
        <v>12</v>
      </c>
      <c r="E290" t="b">
        <v>1</v>
      </c>
      <c r="F290">
        <v>78.2</v>
      </c>
      <c r="G290">
        <v>0</v>
      </c>
      <c r="H290">
        <v>11824</v>
      </c>
      <c r="I290" t="s">
        <v>13</v>
      </c>
    </row>
    <row r="291" spans="1:9" x14ac:dyDescent="0.3">
      <c r="A291" t="s">
        <v>43</v>
      </c>
      <c r="B291" t="s">
        <v>54</v>
      </c>
      <c r="C291" t="s">
        <v>14</v>
      </c>
      <c r="D291" t="s">
        <v>12</v>
      </c>
      <c r="E291" t="b">
        <v>1</v>
      </c>
      <c r="F291">
        <v>83.8</v>
      </c>
      <c r="G291">
        <v>0</v>
      </c>
      <c r="H291">
        <v>9985</v>
      </c>
      <c r="I291" t="s">
        <v>13</v>
      </c>
    </row>
    <row r="292" spans="1:9" x14ac:dyDescent="0.3">
      <c r="A292" t="s">
        <v>43</v>
      </c>
      <c r="B292" t="s">
        <v>54</v>
      </c>
      <c r="C292" t="s">
        <v>15</v>
      </c>
      <c r="D292" t="s">
        <v>12</v>
      </c>
      <c r="E292" t="b">
        <v>1</v>
      </c>
      <c r="F292">
        <v>85.9</v>
      </c>
      <c r="G292">
        <v>0</v>
      </c>
      <c r="H292">
        <v>9624</v>
      </c>
      <c r="I292" t="s">
        <v>13</v>
      </c>
    </row>
    <row r="293" spans="1:9" x14ac:dyDescent="0.3">
      <c r="A293" t="s">
        <v>43</v>
      </c>
      <c r="B293" t="s">
        <v>54</v>
      </c>
      <c r="C293" t="s">
        <v>16</v>
      </c>
      <c r="D293" t="s">
        <v>12</v>
      </c>
      <c r="E293" t="b">
        <v>1</v>
      </c>
      <c r="F293">
        <v>88.6</v>
      </c>
      <c r="G293">
        <v>0</v>
      </c>
      <c r="H293">
        <v>9426</v>
      </c>
      <c r="I293" t="s">
        <v>13</v>
      </c>
    </row>
    <row r="294" spans="1:9" x14ac:dyDescent="0.3">
      <c r="A294" t="s">
        <v>43</v>
      </c>
      <c r="B294" t="s">
        <v>54</v>
      </c>
      <c r="C294" t="s">
        <v>17</v>
      </c>
      <c r="D294" t="s">
        <v>12</v>
      </c>
      <c r="E294" t="b">
        <v>1</v>
      </c>
      <c r="F294">
        <v>91.4</v>
      </c>
      <c r="G294">
        <v>0</v>
      </c>
      <c r="H294">
        <v>8948</v>
      </c>
      <c r="I294" t="s">
        <v>13</v>
      </c>
    </row>
    <row r="295" spans="1:9" x14ac:dyDescent="0.3">
      <c r="A295" t="s">
        <v>43</v>
      </c>
      <c r="B295" t="s">
        <v>54</v>
      </c>
      <c r="C295" t="s">
        <v>19</v>
      </c>
      <c r="D295" t="s">
        <v>12</v>
      </c>
      <c r="E295" t="b">
        <v>1</v>
      </c>
      <c r="F295">
        <v>99.7</v>
      </c>
      <c r="G295">
        <v>0</v>
      </c>
      <c r="H295">
        <v>8565</v>
      </c>
      <c r="I295" t="s">
        <v>13</v>
      </c>
    </row>
    <row r="296" spans="1:9" x14ac:dyDescent="0.3">
      <c r="A296" t="s">
        <v>43</v>
      </c>
      <c r="B296" t="s">
        <v>54</v>
      </c>
      <c r="C296" t="s">
        <v>20</v>
      </c>
      <c r="D296" t="s">
        <v>29</v>
      </c>
      <c r="E296" t="b">
        <v>1</v>
      </c>
      <c r="F296">
        <v>100</v>
      </c>
      <c r="G296">
        <v>1</v>
      </c>
      <c r="H296">
        <v>7991</v>
      </c>
      <c r="I296" t="s">
        <v>18</v>
      </c>
    </row>
    <row r="297" spans="1:9" x14ac:dyDescent="0.3">
      <c r="A297" t="s">
        <v>43</v>
      </c>
      <c r="B297" t="s">
        <v>54</v>
      </c>
      <c r="C297" t="s">
        <v>21</v>
      </c>
      <c r="D297" t="s">
        <v>29</v>
      </c>
      <c r="E297" t="b">
        <v>1</v>
      </c>
      <c r="F297">
        <v>100</v>
      </c>
      <c r="G297">
        <v>1</v>
      </c>
      <c r="H297">
        <v>7792</v>
      </c>
      <c r="I297" t="s">
        <v>18</v>
      </c>
    </row>
    <row r="298" spans="1:9" x14ac:dyDescent="0.3">
      <c r="A298" t="s">
        <v>43</v>
      </c>
      <c r="B298" t="s">
        <v>54</v>
      </c>
      <c r="C298" t="s">
        <v>22</v>
      </c>
      <c r="D298" t="s">
        <v>29</v>
      </c>
      <c r="E298" t="b">
        <v>1</v>
      </c>
      <c r="F298">
        <v>100</v>
      </c>
      <c r="G298">
        <v>1</v>
      </c>
      <c r="H298">
        <v>8434</v>
      </c>
      <c r="I298" t="s">
        <v>18</v>
      </c>
    </row>
    <row r="299" spans="1:9" x14ac:dyDescent="0.3">
      <c r="A299" t="s">
        <v>43</v>
      </c>
      <c r="B299" t="s">
        <v>54</v>
      </c>
      <c r="C299" t="s">
        <v>23</v>
      </c>
      <c r="D299" t="s">
        <v>29</v>
      </c>
      <c r="E299" t="b">
        <v>1</v>
      </c>
      <c r="F299">
        <v>100</v>
      </c>
      <c r="G299">
        <v>1</v>
      </c>
      <c r="H299">
        <v>8230</v>
      </c>
      <c r="I299" t="s">
        <v>13</v>
      </c>
    </row>
    <row r="300" spans="1:9" x14ac:dyDescent="0.3">
      <c r="A300" t="s">
        <v>43</v>
      </c>
      <c r="B300" t="s">
        <v>54</v>
      </c>
      <c r="C300" t="s">
        <v>24</v>
      </c>
      <c r="D300" t="s">
        <v>29</v>
      </c>
      <c r="E300" t="b">
        <v>1</v>
      </c>
      <c r="F300">
        <v>100</v>
      </c>
      <c r="G300">
        <v>1</v>
      </c>
      <c r="H300">
        <v>8190</v>
      </c>
      <c r="I300" t="s">
        <v>18</v>
      </c>
    </row>
    <row r="301" spans="1:9" x14ac:dyDescent="0.3">
      <c r="A301" t="s">
        <v>43</v>
      </c>
      <c r="B301" t="s">
        <v>54</v>
      </c>
      <c r="C301" t="s">
        <v>25</v>
      </c>
      <c r="D301" t="s">
        <v>29</v>
      </c>
      <c r="E301" t="b">
        <v>1</v>
      </c>
      <c r="F301">
        <v>100</v>
      </c>
      <c r="G301">
        <v>1</v>
      </c>
      <c r="H301">
        <v>8175</v>
      </c>
      <c r="I301" t="s">
        <v>18</v>
      </c>
    </row>
    <row r="302" spans="1:9" x14ac:dyDescent="0.3">
      <c r="A302" t="s">
        <v>43</v>
      </c>
      <c r="B302" t="s">
        <v>54</v>
      </c>
      <c r="C302" t="s">
        <v>26</v>
      </c>
      <c r="D302" t="s">
        <v>29</v>
      </c>
      <c r="E302" t="b">
        <v>1</v>
      </c>
      <c r="F302">
        <v>100</v>
      </c>
      <c r="G302">
        <v>1</v>
      </c>
      <c r="H302">
        <v>8139</v>
      </c>
      <c r="I302" t="s">
        <v>18</v>
      </c>
    </row>
    <row r="303" spans="1:9" x14ac:dyDescent="0.3">
      <c r="A303" t="s">
        <v>43</v>
      </c>
      <c r="B303" t="s">
        <v>54</v>
      </c>
      <c r="C303" t="s">
        <v>27</v>
      </c>
      <c r="D303" t="s">
        <v>29</v>
      </c>
      <c r="E303" t="b">
        <v>1</v>
      </c>
      <c r="F303">
        <v>100</v>
      </c>
      <c r="G303">
        <v>1</v>
      </c>
      <c r="H303">
        <v>8142</v>
      </c>
      <c r="I303" t="s">
        <v>18</v>
      </c>
    </row>
    <row r="304" spans="1:9" x14ac:dyDescent="0.3">
      <c r="A304" t="s">
        <v>43</v>
      </c>
      <c r="B304" t="s">
        <v>54</v>
      </c>
      <c r="C304" t="s">
        <v>28</v>
      </c>
      <c r="D304" t="s">
        <v>29</v>
      </c>
      <c r="E304" t="b">
        <v>1</v>
      </c>
      <c r="F304">
        <v>100</v>
      </c>
      <c r="G304">
        <v>1</v>
      </c>
      <c r="H304">
        <v>8129</v>
      </c>
      <c r="I304" t="s">
        <v>18</v>
      </c>
    </row>
    <row r="305" spans="1:9" x14ac:dyDescent="0.3">
      <c r="A305" t="s">
        <v>43</v>
      </c>
      <c r="B305" t="s">
        <v>54</v>
      </c>
      <c r="C305" t="s">
        <v>30</v>
      </c>
      <c r="D305" t="s">
        <v>29</v>
      </c>
      <c r="E305" t="b">
        <v>1</v>
      </c>
      <c r="F305">
        <v>100</v>
      </c>
      <c r="G305">
        <v>1</v>
      </c>
      <c r="H305">
        <v>8204</v>
      </c>
      <c r="I305" t="s">
        <v>18</v>
      </c>
    </row>
    <row r="306" spans="1:9" x14ac:dyDescent="0.3">
      <c r="A306" t="s">
        <v>43</v>
      </c>
      <c r="B306" t="s">
        <v>54</v>
      </c>
      <c r="C306" t="s">
        <v>31</v>
      </c>
      <c r="D306" t="s">
        <v>29</v>
      </c>
      <c r="E306" t="b">
        <v>1</v>
      </c>
      <c r="F306">
        <v>100</v>
      </c>
      <c r="G306">
        <v>1</v>
      </c>
      <c r="H306">
        <v>8219</v>
      </c>
      <c r="I306" t="s">
        <v>18</v>
      </c>
    </row>
    <row r="307" spans="1:9" x14ac:dyDescent="0.3">
      <c r="A307" t="s">
        <v>43</v>
      </c>
      <c r="B307" t="s">
        <v>54</v>
      </c>
      <c r="C307" t="s">
        <v>32</v>
      </c>
      <c r="D307" t="s">
        <v>29</v>
      </c>
      <c r="E307" t="b">
        <v>1</v>
      </c>
      <c r="F307">
        <v>100</v>
      </c>
      <c r="G307">
        <v>1</v>
      </c>
      <c r="H307">
        <v>8146</v>
      </c>
      <c r="I307" t="s">
        <v>18</v>
      </c>
    </row>
    <row r="308" spans="1:9" x14ac:dyDescent="0.3">
      <c r="A308" t="s">
        <v>43</v>
      </c>
      <c r="B308" t="s">
        <v>54</v>
      </c>
      <c r="C308" t="s">
        <v>33</v>
      </c>
      <c r="D308" t="s">
        <v>29</v>
      </c>
      <c r="E308" t="b">
        <v>1</v>
      </c>
      <c r="F308">
        <v>100</v>
      </c>
      <c r="G308">
        <v>1</v>
      </c>
      <c r="H308">
        <v>8185</v>
      </c>
      <c r="I308" t="s">
        <v>18</v>
      </c>
    </row>
    <row r="309" spans="1:9" x14ac:dyDescent="0.3">
      <c r="A309" t="s">
        <v>9</v>
      </c>
      <c r="B309" t="s">
        <v>52</v>
      </c>
      <c r="C309" t="s">
        <v>11</v>
      </c>
      <c r="D309" t="s">
        <v>12</v>
      </c>
      <c r="E309" t="b">
        <v>1</v>
      </c>
      <c r="F309">
        <v>100</v>
      </c>
      <c r="G309">
        <v>1</v>
      </c>
      <c r="H309">
        <v>10586</v>
      </c>
      <c r="I309" t="s">
        <v>18</v>
      </c>
    </row>
    <row r="310" spans="1:9" x14ac:dyDescent="0.3">
      <c r="A310" t="s">
        <v>9</v>
      </c>
      <c r="B310" t="s">
        <v>52</v>
      </c>
      <c r="C310" t="s">
        <v>14</v>
      </c>
      <c r="D310" t="s">
        <v>12</v>
      </c>
      <c r="E310" t="b">
        <v>1</v>
      </c>
      <c r="F310">
        <v>100</v>
      </c>
      <c r="G310">
        <v>1</v>
      </c>
      <c r="H310">
        <v>3639</v>
      </c>
      <c r="I310" t="s">
        <v>18</v>
      </c>
    </row>
    <row r="311" spans="1:9" x14ac:dyDescent="0.3">
      <c r="A311" t="s">
        <v>9</v>
      </c>
      <c r="B311" t="s">
        <v>52</v>
      </c>
      <c r="C311" t="s">
        <v>15</v>
      </c>
      <c r="D311" t="s">
        <v>12</v>
      </c>
      <c r="E311" t="b">
        <v>1</v>
      </c>
      <c r="F311">
        <v>99.9</v>
      </c>
      <c r="G311">
        <v>0</v>
      </c>
      <c r="H311">
        <v>5056</v>
      </c>
      <c r="I311" t="s">
        <v>18</v>
      </c>
    </row>
    <row r="312" spans="1:9" x14ac:dyDescent="0.3">
      <c r="A312" t="s">
        <v>9</v>
      </c>
      <c r="B312" t="s">
        <v>52</v>
      </c>
      <c r="C312" t="s">
        <v>16</v>
      </c>
      <c r="D312" t="s">
        <v>12</v>
      </c>
      <c r="E312" t="b">
        <v>1</v>
      </c>
      <c r="F312">
        <v>100</v>
      </c>
      <c r="G312">
        <v>1</v>
      </c>
      <c r="H312">
        <v>16027</v>
      </c>
      <c r="I312" t="s">
        <v>18</v>
      </c>
    </row>
    <row r="313" spans="1:9" x14ac:dyDescent="0.3">
      <c r="A313" t="s">
        <v>9</v>
      </c>
      <c r="B313" t="s">
        <v>52</v>
      </c>
      <c r="C313" t="s">
        <v>17</v>
      </c>
      <c r="D313" t="s">
        <v>29</v>
      </c>
      <c r="E313" t="b">
        <v>1</v>
      </c>
      <c r="F313">
        <v>100</v>
      </c>
      <c r="G313">
        <v>1</v>
      </c>
      <c r="H313">
        <v>15384</v>
      </c>
      <c r="I313" t="s">
        <v>18</v>
      </c>
    </row>
    <row r="314" spans="1:9" x14ac:dyDescent="0.3">
      <c r="A314" t="s">
        <v>9</v>
      </c>
      <c r="B314" t="s">
        <v>52</v>
      </c>
      <c r="C314" t="s">
        <v>19</v>
      </c>
      <c r="D314" t="s">
        <v>29</v>
      </c>
      <c r="E314" t="b">
        <v>1</v>
      </c>
      <c r="F314">
        <v>100</v>
      </c>
      <c r="G314">
        <v>1</v>
      </c>
      <c r="H314">
        <v>19446</v>
      </c>
      <c r="I314" t="s">
        <v>18</v>
      </c>
    </row>
    <row r="315" spans="1:9" x14ac:dyDescent="0.3">
      <c r="A315" t="s">
        <v>9</v>
      </c>
      <c r="B315" t="s">
        <v>52</v>
      </c>
      <c r="C315" t="s">
        <v>20</v>
      </c>
      <c r="D315" t="s">
        <v>29</v>
      </c>
      <c r="E315" t="b">
        <v>1</v>
      </c>
      <c r="F315">
        <v>100</v>
      </c>
      <c r="G315">
        <v>1</v>
      </c>
      <c r="H315">
        <v>20193</v>
      </c>
      <c r="I315" t="s">
        <v>18</v>
      </c>
    </row>
    <row r="316" spans="1:9" x14ac:dyDescent="0.3">
      <c r="A316" t="s">
        <v>9</v>
      </c>
      <c r="B316" t="s">
        <v>52</v>
      </c>
      <c r="C316" t="s">
        <v>21</v>
      </c>
      <c r="D316" t="s">
        <v>29</v>
      </c>
      <c r="E316" t="b">
        <v>1</v>
      </c>
      <c r="F316">
        <v>100</v>
      </c>
      <c r="G316">
        <v>1</v>
      </c>
      <c r="H316">
        <v>9109</v>
      </c>
      <c r="I316" t="s">
        <v>18</v>
      </c>
    </row>
    <row r="317" spans="1:9" x14ac:dyDescent="0.3">
      <c r="A317" t="s">
        <v>9</v>
      </c>
      <c r="B317" t="s">
        <v>52</v>
      </c>
      <c r="C317" t="s">
        <v>22</v>
      </c>
      <c r="D317" t="s">
        <v>29</v>
      </c>
      <c r="E317" t="b">
        <v>1</v>
      </c>
      <c r="F317">
        <v>85.8</v>
      </c>
      <c r="G317">
        <v>0</v>
      </c>
      <c r="H317">
        <v>18026</v>
      </c>
      <c r="I317" t="s">
        <v>13</v>
      </c>
    </row>
    <row r="318" spans="1:9" x14ac:dyDescent="0.3">
      <c r="A318" t="s">
        <v>9</v>
      </c>
      <c r="B318" t="s">
        <v>52</v>
      </c>
      <c r="C318" t="s">
        <v>23</v>
      </c>
      <c r="D318" t="s">
        <v>29</v>
      </c>
      <c r="E318" t="b">
        <v>1</v>
      </c>
      <c r="F318">
        <v>86.3</v>
      </c>
      <c r="G318">
        <v>0</v>
      </c>
      <c r="H318">
        <v>14454</v>
      </c>
      <c r="I318" t="s">
        <v>13</v>
      </c>
    </row>
    <row r="319" spans="1:9" x14ac:dyDescent="0.3">
      <c r="A319" t="s">
        <v>43</v>
      </c>
      <c r="B319" t="s">
        <v>69</v>
      </c>
      <c r="C319" t="s">
        <v>11</v>
      </c>
      <c r="D319" t="s">
        <v>12</v>
      </c>
      <c r="E319" t="b">
        <v>1</v>
      </c>
      <c r="F319">
        <v>100</v>
      </c>
      <c r="G319">
        <v>1</v>
      </c>
      <c r="H319">
        <v>2977</v>
      </c>
      <c r="I319" t="s">
        <v>18</v>
      </c>
    </row>
    <row r="320" spans="1:9" x14ac:dyDescent="0.3">
      <c r="A320" t="s">
        <v>43</v>
      </c>
      <c r="B320" t="s">
        <v>69</v>
      </c>
      <c r="C320" t="s">
        <v>14</v>
      </c>
      <c r="D320" t="s">
        <v>12</v>
      </c>
      <c r="E320" t="b">
        <v>1</v>
      </c>
      <c r="F320">
        <v>100</v>
      </c>
      <c r="G320">
        <v>1</v>
      </c>
      <c r="H320">
        <v>9503</v>
      </c>
      <c r="I320" t="s">
        <v>18</v>
      </c>
    </row>
    <row r="321" spans="1:9" x14ac:dyDescent="0.3">
      <c r="A321" t="s">
        <v>43</v>
      </c>
      <c r="B321" t="s">
        <v>69</v>
      </c>
      <c r="C321" t="s">
        <v>15</v>
      </c>
      <c r="D321" t="s">
        <v>12</v>
      </c>
      <c r="E321" t="b">
        <v>1</v>
      </c>
      <c r="F321">
        <v>100</v>
      </c>
      <c r="G321">
        <v>1</v>
      </c>
      <c r="H321">
        <v>6605</v>
      </c>
      <c r="I321" t="s">
        <v>18</v>
      </c>
    </row>
    <row r="322" spans="1:9" x14ac:dyDescent="0.3">
      <c r="A322" t="s">
        <v>43</v>
      </c>
      <c r="B322" t="s">
        <v>69</v>
      </c>
      <c r="C322" t="s">
        <v>16</v>
      </c>
      <c r="D322" t="s">
        <v>12</v>
      </c>
      <c r="E322" t="b">
        <v>1</v>
      </c>
      <c r="F322">
        <v>100</v>
      </c>
      <c r="G322">
        <v>1</v>
      </c>
      <c r="H322">
        <v>11196</v>
      </c>
      <c r="I322" t="s">
        <v>18</v>
      </c>
    </row>
    <row r="323" spans="1:9" x14ac:dyDescent="0.3">
      <c r="A323" t="s">
        <v>43</v>
      </c>
      <c r="B323" t="s">
        <v>69</v>
      </c>
      <c r="C323" t="s">
        <v>17</v>
      </c>
      <c r="D323" t="s">
        <v>12</v>
      </c>
      <c r="E323" t="b">
        <v>1</v>
      </c>
      <c r="F323">
        <v>100</v>
      </c>
      <c r="G323">
        <v>1</v>
      </c>
      <c r="H323">
        <v>13258</v>
      </c>
      <c r="I323" t="s">
        <v>18</v>
      </c>
    </row>
    <row r="324" spans="1:9" x14ac:dyDescent="0.3">
      <c r="A324" t="s">
        <v>43</v>
      </c>
      <c r="B324" t="s">
        <v>69</v>
      </c>
      <c r="C324" t="s">
        <v>19</v>
      </c>
      <c r="D324" t="s">
        <v>12</v>
      </c>
      <c r="E324" t="b">
        <v>1</v>
      </c>
      <c r="F324">
        <v>68.2</v>
      </c>
      <c r="G324">
        <v>0</v>
      </c>
      <c r="H324">
        <v>14259</v>
      </c>
      <c r="I324" t="s">
        <v>13</v>
      </c>
    </row>
    <row r="325" spans="1:9" x14ac:dyDescent="0.3">
      <c r="A325" t="s">
        <v>43</v>
      </c>
      <c r="B325" t="s">
        <v>69</v>
      </c>
      <c r="C325" t="s">
        <v>20</v>
      </c>
      <c r="D325" t="s">
        <v>12</v>
      </c>
      <c r="E325" t="b">
        <v>1</v>
      </c>
      <c r="F325">
        <v>90.9</v>
      </c>
      <c r="G325">
        <v>0</v>
      </c>
      <c r="H325">
        <v>12316</v>
      </c>
      <c r="I325" t="s">
        <v>13</v>
      </c>
    </row>
    <row r="326" spans="1:9" x14ac:dyDescent="0.3">
      <c r="A326" t="s">
        <v>43</v>
      </c>
      <c r="B326" t="s">
        <v>69</v>
      </c>
      <c r="C326" t="s">
        <v>21</v>
      </c>
      <c r="D326" t="s">
        <v>12</v>
      </c>
      <c r="E326" t="b">
        <v>1</v>
      </c>
      <c r="F326">
        <v>100</v>
      </c>
      <c r="G326">
        <v>1</v>
      </c>
      <c r="H326">
        <v>15845</v>
      </c>
      <c r="I326" t="s">
        <v>18</v>
      </c>
    </row>
    <row r="327" spans="1:9" x14ac:dyDescent="0.3">
      <c r="A327" t="s">
        <v>43</v>
      </c>
      <c r="B327" t="s">
        <v>69</v>
      </c>
      <c r="C327" t="s">
        <v>22</v>
      </c>
      <c r="D327" t="s">
        <v>12</v>
      </c>
      <c r="E327" t="b">
        <v>1</v>
      </c>
      <c r="F327">
        <v>100</v>
      </c>
      <c r="G327">
        <v>1</v>
      </c>
      <c r="H327">
        <v>17857</v>
      </c>
      <c r="I327" t="s">
        <v>18</v>
      </c>
    </row>
    <row r="328" spans="1:9" x14ac:dyDescent="0.3">
      <c r="A328" t="s">
        <v>43</v>
      </c>
      <c r="B328" t="s">
        <v>69</v>
      </c>
      <c r="C328" t="s">
        <v>23</v>
      </c>
      <c r="D328" t="s">
        <v>12</v>
      </c>
      <c r="E328" t="b">
        <v>1</v>
      </c>
      <c r="F328">
        <v>56.4</v>
      </c>
      <c r="G328">
        <v>0</v>
      </c>
      <c r="H328">
        <v>18749</v>
      </c>
      <c r="I328" t="s">
        <v>13</v>
      </c>
    </row>
    <row r="329" spans="1:9" x14ac:dyDescent="0.3">
      <c r="A329" t="s">
        <v>43</v>
      </c>
      <c r="B329" t="s">
        <v>69</v>
      </c>
      <c r="C329" t="s">
        <v>24</v>
      </c>
      <c r="D329" t="s">
        <v>29</v>
      </c>
      <c r="E329" t="b">
        <v>1</v>
      </c>
      <c r="F329">
        <v>100</v>
      </c>
      <c r="G329">
        <v>1</v>
      </c>
      <c r="H329">
        <v>11475</v>
      </c>
      <c r="I329" t="s">
        <v>18</v>
      </c>
    </row>
    <row r="330" spans="1:9" x14ac:dyDescent="0.3">
      <c r="A330" t="s">
        <v>43</v>
      </c>
      <c r="B330" t="s">
        <v>69</v>
      </c>
      <c r="C330" t="s">
        <v>25</v>
      </c>
      <c r="D330" t="s">
        <v>29</v>
      </c>
      <c r="E330" t="b">
        <v>1</v>
      </c>
      <c r="F330">
        <v>100</v>
      </c>
      <c r="G330">
        <v>1</v>
      </c>
      <c r="H330">
        <v>9988</v>
      </c>
      <c r="I330" t="s">
        <v>18</v>
      </c>
    </row>
    <row r="331" spans="1:9" x14ac:dyDescent="0.3">
      <c r="A331" t="s">
        <v>43</v>
      </c>
      <c r="B331" t="s">
        <v>69</v>
      </c>
      <c r="C331" t="s">
        <v>26</v>
      </c>
      <c r="D331" t="s">
        <v>29</v>
      </c>
      <c r="E331" t="b">
        <v>1</v>
      </c>
      <c r="F331">
        <v>100</v>
      </c>
      <c r="G331">
        <v>1</v>
      </c>
      <c r="H331">
        <v>10804</v>
      </c>
      <c r="I331" t="s">
        <v>18</v>
      </c>
    </row>
    <row r="332" spans="1:9" x14ac:dyDescent="0.3">
      <c r="A332" t="s">
        <v>43</v>
      </c>
      <c r="B332" t="s">
        <v>69</v>
      </c>
      <c r="C332" t="s">
        <v>27</v>
      </c>
      <c r="D332" t="s">
        <v>29</v>
      </c>
      <c r="E332" t="b">
        <v>1</v>
      </c>
      <c r="F332">
        <v>88.2</v>
      </c>
      <c r="G332">
        <v>0</v>
      </c>
      <c r="H332">
        <v>13713</v>
      </c>
      <c r="I332" t="s">
        <v>13</v>
      </c>
    </row>
    <row r="333" spans="1:9" x14ac:dyDescent="0.3">
      <c r="A333" t="s">
        <v>43</v>
      </c>
      <c r="B333" t="s">
        <v>69</v>
      </c>
      <c r="C333" t="s">
        <v>28</v>
      </c>
      <c r="D333" t="s">
        <v>29</v>
      </c>
      <c r="E333" t="b">
        <v>1</v>
      </c>
      <c r="F333">
        <v>100</v>
      </c>
      <c r="G333">
        <v>1</v>
      </c>
      <c r="H333">
        <v>12617</v>
      </c>
      <c r="I333" t="s">
        <v>18</v>
      </c>
    </row>
    <row r="334" spans="1:9" x14ac:dyDescent="0.3">
      <c r="A334" t="s">
        <v>43</v>
      </c>
      <c r="B334" t="s">
        <v>69</v>
      </c>
      <c r="C334" t="s">
        <v>30</v>
      </c>
      <c r="D334" t="s">
        <v>29</v>
      </c>
      <c r="E334" t="b">
        <v>1</v>
      </c>
      <c r="F334">
        <v>63.4</v>
      </c>
      <c r="G334">
        <v>0</v>
      </c>
      <c r="H334">
        <v>14100</v>
      </c>
      <c r="I334" t="s">
        <v>13</v>
      </c>
    </row>
    <row r="335" spans="1:9" x14ac:dyDescent="0.3">
      <c r="A335" t="s">
        <v>43</v>
      </c>
      <c r="B335" t="s">
        <v>69</v>
      </c>
      <c r="C335" t="s">
        <v>31</v>
      </c>
      <c r="D335" t="s">
        <v>29</v>
      </c>
      <c r="E335" t="b">
        <v>1</v>
      </c>
      <c r="F335">
        <v>100</v>
      </c>
      <c r="G335">
        <v>1</v>
      </c>
      <c r="H335">
        <v>12895</v>
      </c>
      <c r="I335" t="s">
        <v>18</v>
      </c>
    </row>
    <row r="336" spans="1:9" x14ac:dyDescent="0.3">
      <c r="A336" t="s">
        <v>43</v>
      </c>
      <c r="B336" t="s">
        <v>69</v>
      </c>
      <c r="C336" t="s">
        <v>32</v>
      </c>
      <c r="D336" t="s">
        <v>29</v>
      </c>
      <c r="E336" t="b">
        <v>1</v>
      </c>
      <c r="F336">
        <v>100</v>
      </c>
      <c r="G336">
        <v>1</v>
      </c>
      <c r="H336">
        <v>18781</v>
      </c>
      <c r="I336" t="s">
        <v>18</v>
      </c>
    </row>
    <row r="337" spans="1:9" x14ac:dyDescent="0.3">
      <c r="A337" t="s">
        <v>43</v>
      </c>
      <c r="B337" t="s">
        <v>69</v>
      </c>
      <c r="C337" t="s">
        <v>33</v>
      </c>
      <c r="D337" t="s">
        <v>29</v>
      </c>
      <c r="E337" t="b">
        <v>1</v>
      </c>
      <c r="F337">
        <v>99.6</v>
      </c>
      <c r="G337">
        <v>0</v>
      </c>
      <c r="H337">
        <v>18914</v>
      </c>
      <c r="I337" t="s">
        <v>13</v>
      </c>
    </row>
    <row r="338" spans="1:9" x14ac:dyDescent="0.3">
      <c r="A338" t="s">
        <v>43</v>
      </c>
      <c r="B338" t="s">
        <v>69</v>
      </c>
      <c r="C338" t="s">
        <v>34</v>
      </c>
      <c r="D338" t="s">
        <v>29</v>
      </c>
      <c r="E338" t="b">
        <v>1</v>
      </c>
      <c r="F338">
        <v>100</v>
      </c>
      <c r="G338">
        <v>1</v>
      </c>
      <c r="H338">
        <v>25084</v>
      </c>
      <c r="I338" t="s">
        <v>18</v>
      </c>
    </row>
    <row r="339" spans="1:9" x14ac:dyDescent="0.3">
      <c r="A339" t="s">
        <v>43</v>
      </c>
      <c r="B339" t="s">
        <v>69</v>
      </c>
      <c r="C339" t="s">
        <v>35</v>
      </c>
      <c r="D339" t="s">
        <v>29</v>
      </c>
      <c r="E339" t="b">
        <v>1</v>
      </c>
      <c r="F339">
        <v>91.1</v>
      </c>
      <c r="G339">
        <v>0</v>
      </c>
      <c r="H339">
        <v>25115</v>
      </c>
      <c r="I339" t="s">
        <v>13</v>
      </c>
    </row>
    <row r="340" spans="1:9" x14ac:dyDescent="0.3">
      <c r="A340" t="s">
        <v>43</v>
      </c>
      <c r="B340" t="s">
        <v>69</v>
      </c>
      <c r="C340" t="s">
        <v>36</v>
      </c>
      <c r="D340" t="s">
        <v>29</v>
      </c>
      <c r="E340" t="b">
        <v>1</v>
      </c>
      <c r="F340">
        <v>100</v>
      </c>
      <c r="G340">
        <v>1</v>
      </c>
      <c r="H340">
        <v>24040</v>
      </c>
      <c r="I340" t="s">
        <v>18</v>
      </c>
    </row>
    <row r="341" spans="1:9" x14ac:dyDescent="0.3">
      <c r="A341" t="s">
        <v>45</v>
      </c>
      <c r="B341" t="s">
        <v>48</v>
      </c>
      <c r="C341" t="s">
        <v>11</v>
      </c>
      <c r="D341" t="s">
        <v>12</v>
      </c>
      <c r="E341" t="b">
        <v>1</v>
      </c>
      <c r="F341">
        <v>100</v>
      </c>
      <c r="G341">
        <v>1</v>
      </c>
      <c r="H341">
        <v>9851</v>
      </c>
      <c r="I341" t="s">
        <v>18</v>
      </c>
    </row>
    <row r="342" spans="1:9" x14ac:dyDescent="0.3">
      <c r="A342" t="s">
        <v>45</v>
      </c>
      <c r="B342" t="s">
        <v>48</v>
      </c>
      <c r="C342" t="s">
        <v>14</v>
      </c>
      <c r="D342" t="s">
        <v>12</v>
      </c>
      <c r="E342" t="b">
        <v>1</v>
      </c>
      <c r="F342">
        <v>100</v>
      </c>
      <c r="G342">
        <v>1</v>
      </c>
      <c r="H342">
        <v>11173</v>
      </c>
      <c r="I342" t="s">
        <v>18</v>
      </c>
    </row>
    <row r="343" spans="1:9" x14ac:dyDescent="0.3">
      <c r="A343" t="s">
        <v>45</v>
      </c>
      <c r="B343" t="s">
        <v>48</v>
      </c>
      <c r="C343" t="s">
        <v>15</v>
      </c>
      <c r="D343" t="s">
        <v>12</v>
      </c>
      <c r="E343" t="b">
        <v>1</v>
      </c>
      <c r="F343">
        <v>100</v>
      </c>
      <c r="G343">
        <v>1</v>
      </c>
      <c r="H343">
        <v>9607</v>
      </c>
      <c r="I343" t="s">
        <v>18</v>
      </c>
    </row>
    <row r="344" spans="1:9" x14ac:dyDescent="0.3">
      <c r="A344" t="s">
        <v>45</v>
      </c>
      <c r="B344" t="s">
        <v>48</v>
      </c>
      <c r="C344" t="s">
        <v>16</v>
      </c>
      <c r="D344" t="s">
        <v>12</v>
      </c>
      <c r="E344" t="b">
        <v>1</v>
      </c>
      <c r="F344">
        <v>86.1</v>
      </c>
      <c r="G344">
        <v>0</v>
      </c>
      <c r="H344">
        <v>12546</v>
      </c>
      <c r="I344" t="s">
        <v>13</v>
      </c>
    </row>
    <row r="345" spans="1:9" x14ac:dyDescent="0.3">
      <c r="A345" t="s">
        <v>45</v>
      </c>
      <c r="B345" t="s">
        <v>48</v>
      </c>
      <c r="C345" t="s">
        <v>17</v>
      </c>
      <c r="D345" t="s">
        <v>12</v>
      </c>
      <c r="E345" t="b">
        <v>1</v>
      </c>
      <c r="F345">
        <v>86.1</v>
      </c>
      <c r="G345">
        <v>0</v>
      </c>
      <c r="H345">
        <v>22810</v>
      </c>
      <c r="I345" t="s">
        <v>13</v>
      </c>
    </row>
    <row r="346" spans="1:9" x14ac:dyDescent="0.3">
      <c r="A346" t="s">
        <v>45</v>
      </c>
      <c r="B346" t="s">
        <v>48</v>
      </c>
      <c r="C346" t="s">
        <v>19</v>
      </c>
      <c r="D346" t="s">
        <v>12</v>
      </c>
      <c r="E346" t="b">
        <v>1</v>
      </c>
      <c r="F346">
        <v>100</v>
      </c>
      <c r="G346">
        <v>1</v>
      </c>
      <c r="H346">
        <v>19958</v>
      </c>
      <c r="I346" t="s">
        <v>18</v>
      </c>
    </row>
    <row r="347" spans="1:9" x14ac:dyDescent="0.3">
      <c r="A347" t="s">
        <v>45</v>
      </c>
      <c r="B347" t="s">
        <v>48</v>
      </c>
      <c r="C347" t="s">
        <v>20</v>
      </c>
      <c r="D347" t="s">
        <v>12</v>
      </c>
      <c r="E347" t="b">
        <v>1</v>
      </c>
      <c r="F347">
        <v>100</v>
      </c>
      <c r="G347">
        <v>1</v>
      </c>
      <c r="H347">
        <v>9111</v>
      </c>
      <c r="I347" t="s">
        <v>18</v>
      </c>
    </row>
    <row r="348" spans="1:9" x14ac:dyDescent="0.3">
      <c r="A348" t="s">
        <v>45</v>
      </c>
      <c r="B348" t="s">
        <v>48</v>
      </c>
      <c r="C348" t="s">
        <v>21</v>
      </c>
      <c r="D348" t="s">
        <v>29</v>
      </c>
      <c r="E348" t="b">
        <v>1</v>
      </c>
      <c r="F348">
        <v>34.6</v>
      </c>
      <c r="G348">
        <v>0</v>
      </c>
      <c r="H348">
        <v>15444</v>
      </c>
      <c r="I348" t="s">
        <v>13</v>
      </c>
    </row>
    <row r="349" spans="1:9" x14ac:dyDescent="0.3">
      <c r="A349" t="s">
        <v>45</v>
      </c>
      <c r="B349" t="s">
        <v>48</v>
      </c>
      <c r="C349" t="s">
        <v>22</v>
      </c>
      <c r="D349" t="s">
        <v>29</v>
      </c>
      <c r="E349" t="b">
        <v>1</v>
      </c>
      <c r="F349">
        <v>60.2</v>
      </c>
      <c r="G349">
        <v>0</v>
      </c>
      <c r="H349">
        <v>12368</v>
      </c>
      <c r="I349" t="s">
        <v>13</v>
      </c>
    </row>
    <row r="350" spans="1:9" x14ac:dyDescent="0.3">
      <c r="A350" t="s">
        <v>45</v>
      </c>
      <c r="B350" t="s">
        <v>48</v>
      </c>
      <c r="C350" t="s">
        <v>23</v>
      </c>
      <c r="D350" t="s">
        <v>29</v>
      </c>
      <c r="E350" t="b">
        <v>1</v>
      </c>
      <c r="F350">
        <v>100</v>
      </c>
      <c r="G350">
        <v>1</v>
      </c>
      <c r="H350">
        <v>8376</v>
      </c>
      <c r="I350" t="s">
        <v>18</v>
      </c>
    </row>
    <row r="351" spans="1:9" x14ac:dyDescent="0.3">
      <c r="A351" t="s">
        <v>45</v>
      </c>
      <c r="B351" t="s">
        <v>48</v>
      </c>
      <c r="C351" t="s">
        <v>24</v>
      </c>
      <c r="D351" t="s">
        <v>29</v>
      </c>
      <c r="E351" t="b">
        <v>1</v>
      </c>
      <c r="F351">
        <v>96.3</v>
      </c>
      <c r="G351">
        <v>0</v>
      </c>
      <c r="H351">
        <v>9500</v>
      </c>
      <c r="I351" t="s">
        <v>13</v>
      </c>
    </row>
    <row r="352" spans="1:9" x14ac:dyDescent="0.3">
      <c r="A352" t="s">
        <v>45</v>
      </c>
      <c r="B352" t="s">
        <v>48</v>
      </c>
      <c r="C352" t="s">
        <v>25</v>
      </c>
      <c r="D352" t="s">
        <v>29</v>
      </c>
      <c r="E352" t="b">
        <v>1</v>
      </c>
      <c r="F352">
        <v>100</v>
      </c>
      <c r="G352">
        <v>1</v>
      </c>
      <c r="H352">
        <v>10687</v>
      </c>
      <c r="I352" t="s">
        <v>18</v>
      </c>
    </row>
    <row r="353" spans="1:9" x14ac:dyDescent="0.3">
      <c r="A353" t="s">
        <v>45</v>
      </c>
      <c r="B353" t="s">
        <v>48</v>
      </c>
      <c r="C353" t="s">
        <v>26</v>
      </c>
      <c r="D353" t="s">
        <v>29</v>
      </c>
      <c r="E353" t="b">
        <v>1</v>
      </c>
      <c r="F353">
        <v>100</v>
      </c>
      <c r="G353">
        <v>1</v>
      </c>
      <c r="H353">
        <v>8481</v>
      </c>
      <c r="I353" t="s">
        <v>18</v>
      </c>
    </row>
    <row r="354" spans="1:9" x14ac:dyDescent="0.3">
      <c r="A354" t="s">
        <v>45</v>
      </c>
      <c r="B354" t="s">
        <v>48</v>
      </c>
      <c r="C354" t="s">
        <v>27</v>
      </c>
      <c r="D354" t="s">
        <v>29</v>
      </c>
      <c r="E354" t="b">
        <v>1</v>
      </c>
      <c r="F354">
        <v>100</v>
      </c>
      <c r="G354">
        <v>1</v>
      </c>
      <c r="H354">
        <v>11209</v>
      </c>
      <c r="I354" t="s">
        <v>18</v>
      </c>
    </row>
    <row r="355" spans="1:9" x14ac:dyDescent="0.3">
      <c r="A355" t="s">
        <v>45</v>
      </c>
      <c r="B355" t="s">
        <v>48</v>
      </c>
      <c r="C355" t="s">
        <v>28</v>
      </c>
      <c r="D355" t="s">
        <v>29</v>
      </c>
      <c r="E355" t="b">
        <v>1</v>
      </c>
      <c r="F355">
        <v>100</v>
      </c>
      <c r="G355">
        <v>1</v>
      </c>
      <c r="H355">
        <v>13193</v>
      </c>
      <c r="I355" t="s">
        <v>18</v>
      </c>
    </row>
    <row r="356" spans="1:9" x14ac:dyDescent="0.3">
      <c r="A356" t="s">
        <v>45</v>
      </c>
      <c r="B356" t="s">
        <v>48</v>
      </c>
      <c r="C356" t="s">
        <v>30</v>
      </c>
      <c r="D356" t="s">
        <v>29</v>
      </c>
      <c r="E356" t="b">
        <v>1</v>
      </c>
      <c r="F356">
        <v>99.9</v>
      </c>
      <c r="G356">
        <v>0</v>
      </c>
      <c r="H356">
        <v>14853</v>
      </c>
      <c r="I356" t="s">
        <v>18</v>
      </c>
    </row>
    <row r="357" spans="1:9" x14ac:dyDescent="0.3">
      <c r="A357" t="s">
        <v>45</v>
      </c>
      <c r="B357" t="s">
        <v>48</v>
      </c>
      <c r="C357" t="s">
        <v>31</v>
      </c>
      <c r="D357" t="s">
        <v>29</v>
      </c>
      <c r="E357" t="b">
        <v>1</v>
      </c>
      <c r="F357">
        <v>68.900000000000006</v>
      </c>
      <c r="G357">
        <v>0</v>
      </c>
      <c r="H357">
        <v>14714</v>
      </c>
      <c r="I357" t="s">
        <v>13</v>
      </c>
    </row>
    <row r="358" spans="1:9" x14ac:dyDescent="0.3">
      <c r="A358" t="s">
        <v>9</v>
      </c>
      <c r="B358" t="s">
        <v>56</v>
      </c>
      <c r="C358" t="s">
        <v>11</v>
      </c>
      <c r="D358" t="s">
        <v>12</v>
      </c>
      <c r="E358" t="b">
        <v>1</v>
      </c>
      <c r="F358">
        <v>100</v>
      </c>
      <c r="G358">
        <v>1</v>
      </c>
      <c r="H358">
        <v>3733</v>
      </c>
      <c r="I358" t="s">
        <v>18</v>
      </c>
    </row>
    <row r="359" spans="1:9" x14ac:dyDescent="0.3">
      <c r="A359" t="s">
        <v>9</v>
      </c>
      <c r="B359" t="s">
        <v>56</v>
      </c>
      <c r="C359" t="s">
        <v>14</v>
      </c>
      <c r="D359" t="s">
        <v>12</v>
      </c>
      <c r="E359" t="b">
        <v>1</v>
      </c>
      <c r="F359">
        <v>99.9</v>
      </c>
      <c r="G359">
        <v>0</v>
      </c>
      <c r="H359">
        <v>4686</v>
      </c>
      <c r="I359" t="s">
        <v>18</v>
      </c>
    </row>
    <row r="360" spans="1:9" x14ac:dyDescent="0.3">
      <c r="A360" t="s">
        <v>9</v>
      </c>
      <c r="B360" t="s">
        <v>56</v>
      </c>
      <c r="C360" t="s">
        <v>15</v>
      </c>
      <c r="D360" t="s">
        <v>12</v>
      </c>
      <c r="E360" t="b">
        <v>1</v>
      </c>
      <c r="F360">
        <v>100</v>
      </c>
      <c r="G360">
        <v>1</v>
      </c>
      <c r="H360">
        <v>11104</v>
      </c>
      <c r="I360" t="s">
        <v>18</v>
      </c>
    </row>
    <row r="361" spans="1:9" x14ac:dyDescent="0.3">
      <c r="A361" t="s">
        <v>9</v>
      </c>
      <c r="B361" t="s">
        <v>56</v>
      </c>
      <c r="C361" t="s">
        <v>16</v>
      </c>
      <c r="D361" t="s">
        <v>12</v>
      </c>
      <c r="E361" t="b">
        <v>1</v>
      </c>
      <c r="F361">
        <v>100</v>
      </c>
      <c r="G361">
        <v>1</v>
      </c>
      <c r="H361">
        <v>13365</v>
      </c>
      <c r="I361" t="s">
        <v>18</v>
      </c>
    </row>
    <row r="362" spans="1:9" x14ac:dyDescent="0.3">
      <c r="A362" t="s">
        <v>9</v>
      </c>
      <c r="B362" t="s">
        <v>56</v>
      </c>
      <c r="C362" t="s">
        <v>17</v>
      </c>
      <c r="D362" t="s">
        <v>29</v>
      </c>
      <c r="E362" t="b">
        <v>1</v>
      </c>
      <c r="F362">
        <v>100</v>
      </c>
      <c r="G362">
        <v>1</v>
      </c>
      <c r="H362">
        <v>14683</v>
      </c>
      <c r="I362" t="s">
        <v>18</v>
      </c>
    </row>
    <row r="363" spans="1:9" x14ac:dyDescent="0.3">
      <c r="A363" t="s">
        <v>9</v>
      </c>
      <c r="B363" t="s">
        <v>56</v>
      </c>
      <c r="C363" t="s">
        <v>19</v>
      </c>
      <c r="D363" t="s">
        <v>29</v>
      </c>
      <c r="E363" t="b">
        <v>1</v>
      </c>
      <c r="F363">
        <v>100</v>
      </c>
      <c r="G363">
        <v>1</v>
      </c>
      <c r="H363">
        <v>14882</v>
      </c>
      <c r="I363" t="s">
        <v>18</v>
      </c>
    </row>
    <row r="364" spans="1:9" x14ac:dyDescent="0.3">
      <c r="A364" t="s">
        <v>9</v>
      </c>
      <c r="B364" t="s">
        <v>56</v>
      </c>
      <c r="C364" t="s">
        <v>20</v>
      </c>
      <c r="D364" t="s">
        <v>29</v>
      </c>
      <c r="E364" t="b">
        <v>1</v>
      </c>
      <c r="F364">
        <v>100</v>
      </c>
      <c r="G364">
        <v>1</v>
      </c>
      <c r="H364">
        <v>14883</v>
      </c>
      <c r="I364" t="s">
        <v>18</v>
      </c>
    </row>
    <row r="365" spans="1:9" x14ac:dyDescent="0.3">
      <c r="A365" t="s">
        <v>9</v>
      </c>
      <c r="B365" t="s">
        <v>56</v>
      </c>
      <c r="C365" t="s">
        <v>21</v>
      </c>
      <c r="D365" t="s">
        <v>29</v>
      </c>
      <c r="E365" t="b">
        <v>1</v>
      </c>
      <c r="F365">
        <v>100</v>
      </c>
      <c r="G365">
        <v>1</v>
      </c>
      <c r="H365">
        <v>15028</v>
      </c>
      <c r="I365" t="s">
        <v>18</v>
      </c>
    </row>
    <row r="366" spans="1:9" x14ac:dyDescent="0.3">
      <c r="A366" t="s">
        <v>9</v>
      </c>
      <c r="B366" t="s">
        <v>56</v>
      </c>
      <c r="C366" t="s">
        <v>22</v>
      </c>
      <c r="D366" t="s">
        <v>29</v>
      </c>
      <c r="E366" t="b">
        <v>1</v>
      </c>
      <c r="F366">
        <v>63.8</v>
      </c>
      <c r="G366">
        <v>0</v>
      </c>
      <c r="H366">
        <v>15602</v>
      </c>
      <c r="I366" t="s">
        <v>13</v>
      </c>
    </row>
    <row r="367" spans="1:9" x14ac:dyDescent="0.3">
      <c r="A367" t="s">
        <v>9</v>
      </c>
      <c r="B367" t="s">
        <v>56</v>
      </c>
      <c r="C367" t="s">
        <v>23</v>
      </c>
      <c r="D367" t="s">
        <v>29</v>
      </c>
      <c r="E367" t="b">
        <v>1</v>
      </c>
      <c r="F367">
        <v>100</v>
      </c>
      <c r="G367">
        <v>1</v>
      </c>
      <c r="H367">
        <v>19103</v>
      </c>
      <c r="I367" t="s">
        <v>18</v>
      </c>
    </row>
    <row r="368" spans="1:9" x14ac:dyDescent="0.3">
      <c r="A368" t="s">
        <v>9</v>
      </c>
      <c r="B368" t="s">
        <v>56</v>
      </c>
      <c r="C368" t="s">
        <v>24</v>
      </c>
      <c r="D368" t="s">
        <v>29</v>
      </c>
      <c r="E368" t="b">
        <v>1</v>
      </c>
      <c r="F368">
        <v>100</v>
      </c>
      <c r="G368">
        <v>1</v>
      </c>
      <c r="H368">
        <v>19509</v>
      </c>
      <c r="I368" t="s">
        <v>18</v>
      </c>
    </row>
    <row r="369" spans="1:9" x14ac:dyDescent="0.3">
      <c r="A369" t="s">
        <v>9</v>
      </c>
      <c r="B369" t="s">
        <v>56</v>
      </c>
      <c r="C369" t="s">
        <v>25</v>
      </c>
      <c r="D369" t="s">
        <v>29</v>
      </c>
      <c r="E369" t="b">
        <v>1</v>
      </c>
      <c r="F369">
        <v>100</v>
      </c>
      <c r="G369">
        <v>1</v>
      </c>
      <c r="H369">
        <v>19184</v>
      </c>
      <c r="I369" t="s">
        <v>18</v>
      </c>
    </row>
    <row r="370" spans="1:9" x14ac:dyDescent="0.3">
      <c r="A370" t="s">
        <v>9</v>
      </c>
      <c r="B370" t="s">
        <v>67</v>
      </c>
      <c r="C370" t="s">
        <v>11</v>
      </c>
      <c r="D370" t="s">
        <v>12</v>
      </c>
      <c r="E370" t="b">
        <v>1</v>
      </c>
      <c r="F370">
        <v>100</v>
      </c>
      <c r="G370">
        <v>1</v>
      </c>
      <c r="H370">
        <v>12934</v>
      </c>
      <c r="I370" t="s">
        <v>18</v>
      </c>
    </row>
    <row r="371" spans="1:9" x14ac:dyDescent="0.3">
      <c r="A371" t="s">
        <v>9</v>
      </c>
      <c r="B371" t="s">
        <v>67</v>
      </c>
      <c r="C371" t="s">
        <v>14</v>
      </c>
      <c r="D371" t="s">
        <v>12</v>
      </c>
      <c r="E371" t="b">
        <v>1</v>
      </c>
      <c r="F371">
        <v>85.9</v>
      </c>
      <c r="G371">
        <v>0</v>
      </c>
      <c r="H371">
        <v>16911</v>
      </c>
      <c r="I371" t="s">
        <v>13</v>
      </c>
    </row>
    <row r="372" spans="1:9" x14ac:dyDescent="0.3">
      <c r="A372" t="s">
        <v>9</v>
      </c>
      <c r="B372" t="s">
        <v>67</v>
      </c>
      <c r="C372" t="s">
        <v>15</v>
      </c>
      <c r="D372" t="s">
        <v>12</v>
      </c>
      <c r="E372" t="b">
        <v>1</v>
      </c>
      <c r="F372">
        <v>43.8</v>
      </c>
      <c r="G372">
        <v>0</v>
      </c>
      <c r="H372">
        <v>17943</v>
      </c>
      <c r="I372" t="s">
        <v>13</v>
      </c>
    </row>
    <row r="373" spans="1:9" x14ac:dyDescent="0.3">
      <c r="A373" t="s">
        <v>9</v>
      </c>
      <c r="B373" t="s">
        <v>67</v>
      </c>
      <c r="C373" t="s">
        <v>16</v>
      </c>
      <c r="D373" t="s">
        <v>12</v>
      </c>
      <c r="E373" t="b">
        <v>1</v>
      </c>
      <c r="F373">
        <v>44.5</v>
      </c>
      <c r="G373">
        <v>0</v>
      </c>
      <c r="H373">
        <v>16540</v>
      </c>
      <c r="I373" t="s">
        <v>13</v>
      </c>
    </row>
    <row r="374" spans="1:9" x14ac:dyDescent="0.3">
      <c r="A374" t="s">
        <v>9</v>
      </c>
      <c r="B374" t="s">
        <v>67</v>
      </c>
      <c r="C374" t="s">
        <v>17</v>
      </c>
      <c r="D374" t="s">
        <v>12</v>
      </c>
      <c r="E374" t="b">
        <v>1</v>
      </c>
      <c r="F374">
        <v>62.3</v>
      </c>
      <c r="G374">
        <v>0</v>
      </c>
      <c r="H374">
        <v>14810</v>
      </c>
      <c r="I374" t="s">
        <v>13</v>
      </c>
    </row>
    <row r="375" spans="1:9" x14ac:dyDescent="0.3">
      <c r="A375" t="s">
        <v>9</v>
      </c>
      <c r="B375" t="s">
        <v>67</v>
      </c>
      <c r="C375" t="s">
        <v>19</v>
      </c>
      <c r="D375" t="s">
        <v>12</v>
      </c>
      <c r="E375" t="b">
        <v>1</v>
      </c>
      <c r="F375">
        <v>83.2</v>
      </c>
      <c r="G375">
        <v>0</v>
      </c>
      <c r="H375">
        <v>12045</v>
      </c>
      <c r="I375" t="s">
        <v>13</v>
      </c>
    </row>
    <row r="376" spans="1:9" x14ac:dyDescent="0.3">
      <c r="A376" t="s">
        <v>9</v>
      </c>
      <c r="B376" t="s">
        <v>67</v>
      </c>
      <c r="C376" t="s">
        <v>20</v>
      </c>
      <c r="D376" t="s">
        <v>29</v>
      </c>
      <c r="E376" t="b">
        <v>1</v>
      </c>
      <c r="F376">
        <v>100</v>
      </c>
      <c r="G376">
        <v>1</v>
      </c>
      <c r="H376">
        <v>9742</v>
      </c>
      <c r="I376" t="s">
        <v>18</v>
      </c>
    </row>
    <row r="377" spans="1:9" x14ac:dyDescent="0.3">
      <c r="A377" t="s">
        <v>9</v>
      </c>
      <c r="B377" t="s">
        <v>67</v>
      </c>
      <c r="C377" t="s">
        <v>21</v>
      </c>
      <c r="D377" t="s">
        <v>29</v>
      </c>
      <c r="E377" t="b">
        <v>1</v>
      </c>
      <c r="F377">
        <v>100</v>
      </c>
      <c r="G377">
        <v>1</v>
      </c>
      <c r="H377">
        <v>10549</v>
      </c>
      <c r="I377" t="s">
        <v>18</v>
      </c>
    </row>
    <row r="378" spans="1:9" x14ac:dyDescent="0.3">
      <c r="A378" t="s">
        <v>9</v>
      </c>
      <c r="B378" t="s">
        <v>67</v>
      </c>
      <c r="C378" t="s">
        <v>22</v>
      </c>
      <c r="D378" t="s">
        <v>29</v>
      </c>
      <c r="E378" t="b">
        <v>1</v>
      </c>
      <c r="F378">
        <v>100</v>
      </c>
      <c r="G378">
        <v>1</v>
      </c>
      <c r="H378">
        <v>20097</v>
      </c>
      <c r="I378" t="s">
        <v>18</v>
      </c>
    </row>
    <row r="379" spans="1:9" x14ac:dyDescent="0.3">
      <c r="A379" t="s">
        <v>9</v>
      </c>
      <c r="B379" t="s">
        <v>67</v>
      </c>
      <c r="C379" t="s">
        <v>23</v>
      </c>
      <c r="D379" t="s">
        <v>29</v>
      </c>
      <c r="E379" t="b">
        <v>1</v>
      </c>
      <c r="F379">
        <v>47.8</v>
      </c>
      <c r="G379">
        <v>0</v>
      </c>
      <c r="H379">
        <v>15375</v>
      </c>
      <c r="I379" t="s">
        <v>13</v>
      </c>
    </row>
    <row r="380" spans="1:9" x14ac:dyDescent="0.3">
      <c r="A380" t="s">
        <v>9</v>
      </c>
      <c r="B380" t="s">
        <v>67</v>
      </c>
      <c r="C380" t="s">
        <v>24</v>
      </c>
      <c r="D380" t="s">
        <v>29</v>
      </c>
      <c r="E380" t="b">
        <v>1</v>
      </c>
      <c r="F380">
        <v>53.1</v>
      </c>
      <c r="G380">
        <v>0</v>
      </c>
      <c r="H380">
        <v>12173</v>
      </c>
      <c r="I380" t="s">
        <v>13</v>
      </c>
    </row>
    <row r="381" spans="1:9" x14ac:dyDescent="0.3">
      <c r="A381" t="s">
        <v>9</v>
      </c>
      <c r="B381" t="s">
        <v>67</v>
      </c>
      <c r="C381" t="s">
        <v>25</v>
      </c>
      <c r="D381" t="s">
        <v>29</v>
      </c>
      <c r="E381" t="b">
        <v>1</v>
      </c>
      <c r="F381">
        <v>56.6</v>
      </c>
      <c r="G381">
        <v>0</v>
      </c>
      <c r="H381">
        <v>11010</v>
      </c>
      <c r="I381" t="s">
        <v>13</v>
      </c>
    </row>
    <row r="382" spans="1:9" x14ac:dyDescent="0.3">
      <c r="A382" t="s">
        <v>9</v>
      </c>
      <c r="B382" t="s">
        <v>67</v>
      </c>
      <c r="C382" t="s">
        <v>26</v>
      </c>
      <c r="D382" t="s">
        <v>29</v>
      </c>
      <c r="E382" t="b">
        <v>1</v>
      </c>
      <c r="F382">
        <v>100</v>
      </c>
      <c r="G382">
        <v>1</v>
      </c>
      <c r="H382">
        <v>9899</v>
      </c>
      <c r="I382" t="s">
        <v>18</v>
      </c>
    </row>
    <row r="383" spans="1:9" x14ac:dyDescent="0.3">
      <c r="A383" t="s">
        <v>9</v>
      </c>
      <c r="B383" t="s">
        <v>67</v>
      </c>
      <c r="C383" t="s">
        <v>27</v>
      </c>
      <c r="D383" t="s">
        <v>29</v>
      </c>
      <c r="E383" t="b">
        <v>1</v>
      </c>
      <c r="F383">
        <v>52.8</v>
      </c>
      <c r="G383">
        <v>0</v>
      </c>
      <c r="H383">
        <v>16680</v>
      </c>
      <c r="I383" t="s">
        <v>13</v>
      </c>
    </row>
    <row r="384" spans="1:9" x14ac:dyDescent="0.3">
      <c r="A384" t="s">
        <v>9</v>
      </c>
      <c r="B384" t="s">
        <v>67</v>
      </c>
      <c r="C384" t="s">
        <v>28</v>
      </c>
      <c r="D384" t="s">
        <v>29</v>
      </c>
      <c r="E384" t="b">
        <v>1</v>
      </c>
      <c r="F384">
        <v>59.8</v>
      </c>
      <c r="G384">
        <v>0</v>
      </c>
      <c r="H384">
        <v>14565</v>
      </c>
      <c r="I384" t="s">
        <v>13</v>
      </c>
    </row>
    <row r="385" spans="1:9" x14ac:dyDescent="0.3">
      <c r="A385" t="s">
        <v>9</v>
      </c>
      <c r="B385" t="s">
        <v>67</v>
      </c>
      <c r="C385" t="s">
        <v>30</v>
      </c>
      <c r="D385" t="s">
        <v>29</v>
      </c>
      <c r="E385" t="b">
        <v>1</v>
      </c>
      <c r="F385">
        <v>100</v>
      </c>
      <c r="G385">
        <v>1</v>
      </c>
      <c r="H385">
        <v>13633</v>
      </c>
      <c r="I385" t="s">
        <v>18</v>
      </c>
    </row>
    <row r="386" spans="1:9" x14ac:dyDescent="0.3">
      <c r="A386" t="s">
        <v>9</v>
      </c>
      <c r="B386" t="s">
        <v>67</v>
      </c>
      <c r="C386" t="s">
        <v>31</v>
      </c>
      <c r="D386" t="s">
        <v>29</v>
      </c>
      <c r="E386" t="b">
        <v>1</v>
      </c>
      <c r="F386">
        <v>59.5</v>
      </c>
      <c r="G386">
        <v>0</v>
      </c>
      <c r="H386">
        <v>13679</v>
      </c>
      <c r="I386" t="s">
        <v>13</v>
      </c>
    </row>
    <row r="387" spans="1:9" x14ac:dyDescent="0.3">
      <c r="A387" t="s">
        <v>43</v>
      </c>
      <c r="B387" t="s">
        <v>44</v>
      </c>
      <c r="C387" t="s">
        <v>11</v>
      </c>
      <c r="D387" t="s">
        <v>12</v>
      </c>
      <c r="E387" t="b">
        <v>1</v>
      </c>
      <c r="F387">
        <v>100</v>
      </c>
      <c r="G387">
        <v>1</v>
      </c>
      <c r="H387">
        <v>14115</v>
      </c>
      <c r="I387" t="s">
        <v>18</v>
      </c>
    </row>
    <row r="388" spans="1:9" x14ac:dyDescent="0.3">
      <c r="A388" t="s">
        <v>43</v>
      </c>
      <c r="B388" t="s">
        <v>44</v>
      </c>
      <c r="C388" t="s">
        <v>14</v>
      </c>
      <c r="D388" t="s">
        <v>12</v>
      </c>
      <c r="E388" t="b">
        <v>1</v>
      </c>
      <c r="F388">
        <v>100</v>
      </c>
      <c r="G388">
        <v>1</v>
      </c>
      <c r="H388">
        <v>26505</v>
      </c>
      <c r="I388" t="s">
        <v>18</v>
      </c>
    </row>
    <row r="389" spans="1:9" x14ac:dyDescent="0.3">
      <c r="A389" t="s">
        <v>43</v>
      </c>
      <c r="B389" t="s">
        <v>44</v>
      </c>
      <c r="C389" t="s">
        <v>15</v>
      </c>
      <c r="D389" t="s">
        <v>12</v>
      </c>
      <c r="E389" t="b">
        <v>1</v>
      </c>
      <c r="F389">
        <v>100</v>
      </c>
      <c r="G389">
        <v>1</v>
      </c>
      <c r="H389">
        <v>27807</v>
      </c>
      <c r="I389" t="s">
        <v>18</v>
      </c>
    </row>
    <row r="390" spans="1:9" x14ac:dyDescent="0.3">
      <c r="A390" t="s">
        <v>43</v>
      </c>
      <c r="B390" t="s">
        <v>44</v>
      </c>
      <c r="C390" t="s">
        <v>16</v>
      </c>
      <c r="D390" t="s">
        <v>12</v>
      </c>
      <c r="E390" t="b">
        <v>1</v>
      </c>
      <c r="F390">
        <v>100</v>
      </c>
      <c r="G390">
        <v>1</v>
      </c>
      <c r="H390">
        <v>19633</v>
      </c>
      <c r="I390" t="s">
        <v>18</v>
      </c>
    </row>
    <row r="391" spans="1:9" x14ac:dyDescent="0.3">
      <c r="A391" t="s">
        <v>43</v>
      </c>
      <c r="B391" t="s">
        <v>44</v>
      </c>
      <c r="C391" t="s">
        <v>17</v>
      </c>
      <c r="D391" t="s">
        <v>12</v>
      </c>
      <c r="E391" t="b">
        <v>1</v>
      </c>
      <c r="F391">
        <v>100</v>
      </c>
      <c r="G391">
        <v>1</v>
      </c>
      <c r="H391">
        <v>11516</v>
      </c>
      <c r="I391" t="s">
        <v>18</v>
      </c>
    </row>
    <row r="392" spans="1:9" x14ac:dyDescent="0.3">
      <c r="A392" t="s">
        <v>43</v>
      </c>
      <c r="B392" t="s">
        <v>44</v>
      </c>
      <c r="C392" t="s">
        <v>19</v>
      </c>
      <c r="D392" t="s">
        <v>12</v>
      </c>
      <c r="E392" t="b">
        <v>1</v>
      </c>
      <c r="F392">
        <v>100</v>
      </c>
      <c r="G392">
        <v>1</v>
      </c>
      <c r="H392">
        <v>14465</v>
      </c>
      <c r="I392" t="s">
        <v>18</v>
      </c>
    </row>
    <row r="393" spans="1:9" x14ac:dyDescent="0.3">
      <c r="A393" t="s">
        <v>43</v>
      </c>
      <c r="B393" t="s">
        <v>44</v>
      </c>
      <c r="C393" t="s">
        <v>20</v>
      </c>
      <c r="D393" t="s">
        <v>12</v>
      </c>
      <c r="E393" t="b">
        <v>1</v>
      </c>
      <c r="F393">
        <v>78.599999999999994</v>
      </c>
      <c r="G393">
        <v>0</v>
      </c>
      <c r="H393">
        <v>17218</v>
      </c>
      <c r="I393" t="s">
        <v>13</v>
      </c>
    </row>
    <row r="394" spans="1:9" x14ac:dyDescent="0.3">
      <c r="A394" t="s">
        <v>43</v>
      </c>
      <c r="B394" t="s">
        <v>44</v>
      </c>
      <c r="C394" t="s">
        <v>21</v>
      </c>
      <c r="D394" t="s">
        <v>29</v>
      </c>
      <c r="E394" t="b">
        <v>1</v>
      </c>
      <c r="F394">
        <v>100</v>
      </c>
      <c r="G394">
        <v>1</v>
      </c>
      <c r="H394">
        <v>9586</v>
      </c>
      <c r="I394" t="s">
        <v>18</v>
      </c>
    </row>
    <row r="395" spans="1:9" x14ac:dyDescent="0.3">
      <c r="A395" t="s">
        <v>43</v>
      </c>
      <c r="B395" t="s">
        <v>44</v>
      </c>
      <c r="C395" t="s">
        <v>22</v>
      </c>
      <c r="D395" t="s">
        <v>29</v>
      </c>
      <c r="E395" t="b">
        <v>1</v>
      </c>
      <c r="F395">
        <v>44.5</v>
      </c>
      <c r="G395">
        <v>0</v>
      </c>
      <c r="H395">
        <v>15364</v>
      </c>
      <c r="I395" t="s">
        <v>13</v>
      </c>
    </row>
    <row r="396" spans="1:9" x14ac:dyDescent="0.3">
      <c r="A396" t="s">
        <v>43</v>
      </c>
      <c r="B396" t="s">
        <v>44</v>
      </c>
      <c r="C396" t="s">
        <v>23</v>
      </c>
      <c r="D396" t="s">
        <v>29</v>
      </c>
      <c r="E396" t="b">
        <v>1</v>
      </c>
      <c r="F396">
        <v>68.2</v>
      </c>
      <c r="G396">
        <v>0</v>
      </c>
      <c r="H396">
        <v>14760</v>
      </c>
      <c r="I396" t="s">
        <v>13</v>
      </c>
    </row>
    <row r="397" spans="1:9" x14ac:dyDescent="0.3">
      <c r="A397" t="s">
        <v>43</v>
      </c>
      <c r="B397" t="s">
        <v>44</v>
      </c>
      <c r="C397" t="s">
        <v>24</v>
      </c>
      <c r="D397" t="s">
        <v>29</v>
      </c>
      <c r="E397" t="b">
        <v>1</v>
      </c>
      <c r="F397">
        <v>100</v>
      </c>
      <c r="G397">
        <v>1</v>
      </c>
      <c r="H397">
        <v>10538</v>
      </c>
      <c r="I397" t="s">
        <v>18</v>
      </c>
    </row>
    <row r="398" spans="1:9" x14ac:dyDescent="0.3">
      <c r="A398" t="s">
        <v>43</v>
      </c>
      <c r="B398" t="s">
        <v>44</v>
      </c>
      <c r="C398" t="s">
        <v>25</v>
      </c>
      <c r="D398" t="s">
        <v>29</v>
      </c>
      <c r="E398" t="b">
        <v>1</v>
      </c>
      <c r="F398">
        <v>47</v>
      </c>
      <c r="G398">
        <v>0</v>
      </c>
      <c r="H398">
        <v>15882</v>
      </c>
      <c r="I398" t="s">
        <v>13</v>
      </c>
    </row>
    <row r="399" spans="1:9" x14ac:dyDescent="0.3">
      <c r="A399" t="s">
        <v>45</v>
      </c>
      <c r="B399" t="s">
        <v>75</v>
      </c>
      <c r="C399" t="s">
        <v>11</v>
      </c>
      <c r="D399" t="s">
        <v>12</v>
      </c>
      <c r="E399" t="b">
        <v>1</v>
      </c>
      <c r="F399">
        <v>99.9</v>
      </c>
      <c r="G399">
        <v>0</v>
      </c>
      <c r="H399">
        <v>22156</v>
      </c>
      <c r="I399" t="s">
        <v>18</v>
      </c>
    </row>
    <row r="400" spans="1:9" x14ac:dyDescent="0.3">
      <c r="A400" t="s">
        <v>45</v>
      </c>
      <c r="B400" t="s">
        <v>75</v>
      </c>
      <c r="C400" t="s">
        <v>14</v>
      </c>
      <c r="D400" t="s">
        <v>12</v>
      </c>
      <c r="E400" t="b">
        <v>1</v>
      </c>
      <c r="F400">
        <v>100</v>
      </c>
      <c r="G400">
        <v>1</v>
      </c>
      <c r="H400">
        <v>21851</v>
      </c>
      <c r="I400" t="s">
        <v>13</v>
      </c>
    </row>
    <row r="401" spans="1:9" x14ac:dyDescent="0.3">
      <c r="A401" t="s">
        <v>45</v>
      </c>
      <c r="B401" t="s">
        <v>75</v>
      </c>
      <c r="C401" t="s">
        <v>15</v>
      </c>
      <c r="D401" t="s">
        <v>12</v>
      </c>
      <c r="E401" t="b">
        <v>1</v>
      </c>
      <c r="F401">
        <v>89.9</v>
      </c>
      <c r="G401">
        <v>0</v>
      </c>
      <c r="H401">
        <v>19855</v>
      </c>
      <c r="I401" t="s">
        <v>13</v>
      </c>
    </row>
    <row r="402" spans="1:9" x14ac:dyDescent="0.3">
      <c r="A402" t="s">
        <v>45</v>
      </c>
      <c r="B402" t="s">
        <v>75</v>
      </c>
      <c r="C402" t="s">
        <v>16</v>
      </c>
      <c r="D402" t="s">
        <v>12</v>
      </c>
      <c r="E402" t="b">
        <v>1</v>
      </c>
      <c r="F402">
        <v>100</v>
      </c>
      <c r="G402">
        <v>1</v>
      </c>
      <c r="H402">
        <v>17386</v>
      </c>
      <c r="I402" t="s">
        <v>18</v>
      </c>
    </row>
    <row r="403" spans="1:9" x14ac:dyDescent="0.3">
      <c r="A403" t="s">
        <v>45</v>
      </c>
      <c r="B403" t="s">
        <v>75</v>
      </c>
      <c r="C403" t="s">
        <v>17</v>
      </c>
      <c r="D403" t="s">
        <v>12</v>
      </c>
      <c r="E403" t="b">
        <v>1</v>
      </c>
      <c r="F403">
        <v>100</v>
      </c>
      <c r="G403">
        <v>1</v>
      </c>
      <c r="H403">
        <v>14657</v>
      </c>
      <c r="I403" t="s">
        <v>18</v>
      </c>
    </row>
    <row r="404" spans="1:9" x14ac:dyDescent="0.3">
      <c r="A404" t="s">
        <v>45</v>
      </c>
      <c r="B404" t="s">
        <v>75</v>
      </c>
      <c r="C404" t="s">
        <v>19</v>
      </c>
      <c r="D404" t="s">
        <v>12</v>
      </c>
      <c r="E404" t="b">
        <v>1</v>
      </c>
      <c r="F404">
        <v>100</v>
      </c>
      <c r="G404">
        <v>1</v>
      </c>
      <c r="H404">
        <v>14900</v>
      </c>
      <c r="I404" t="s">
        <v>18</v>
      </c>
    </row>
    <row r="405" spans="1:9" x14ac:dyDescent="0.3">
      <c r="A405" t="s">
        <v>45</v>
      </c>
      <c r="B405" t="s">
        <v>75</v>
      </c>
      <c r="C405" t="s">
        <v>20</v>
      </c>
      <c r="D405" t="s">
        <v>12</v>
      </c>
      <c r="E405" t="b">
        <v>1</v>
      </c>
      <c r="F405">
        <v>100</v>
      </c>
      <c r="G405">
        <v>1</v>
      </c>
      <c r="H405">
        <v>14795</v>
      </c>
      <c r="I405" t="s">
        <v>18</v>
      </c>
    </row>
    <row r="406" spans="1:9" x14ac:dyDescent="0.3">
      <c r="A406" t="s">
        <v>45</v>
      </c>
      <c r="B406" t="s">
        <v>75</v>
      </c>
      <c r="C406" t="s">
        <v>21</v>
      </c>
      <c r="D406" t="s">
        <v>29</v>
      </c>
      <c r="E406" t="b">
        <v>1</v>
      </c>
      <c r="F406">
        <v>100</v>
      </c>
      <c r="G406">
        <v>1</v>
      </c>
      <c r="H406">
        <v>12316</v>
      </c>
      <c r="I406" t="s">
        <v>18</v>
      </c>
    </row>
    <row r="407" spans="1:9" x14ac:dyDescent="0.3">
      <c r="A407" t="s">
        <v>45</v>
      </c>
      <c r="B407" t="s">
        <v>75</v>
      </c>
      <c r="C407" t="s">
        <v>22</v>
      </c>
      <c r="D407" t="s">
        <v>29</v>
      </c>
      <c r="E407" t="b">
        <v>1</v>
      </c>
      <c r="F407">
        <v>100</v>
      </c>
      <c r="G407">
        <v>1</v>
      </c>
      <c r="H407">
        <v>12716</v>
      </c>
      <c r="I407" t="s">
        <v>18</v>
      </c>
    </row>
    <row r="408" spans="1:9" x14ac:dyDescent="0.3">
      <c r="A408" t="s">
        <v>45</v>
      </c>
      <c r="B408" t="s">
        <v>75</v>
      </c>
      <c r="C408" t="s">
        <v>23</v>
      </c>
      <c r="D408" t="s">
        <v>29</v>
      </c>
      <c r="E408" t="b">
        <v>1</v>
      </c>
      <c r="F408">
        <v>86</v>
      </c>
      <c r="G408">
        <v>0</v>
      </c>
      <c r="H408">
        <v>14923</v>
      </c>
      <c r="I408" t="s">
        <v>13</v>
      </c>
    </row>
    <row r="409" spans="1:9" x14ac:dyDescent="0.3">
      <c r="A409" t="s">
        <v>45</v>
      </c>
      <c r="B409" t="s">
        <v>75</v>
      </c>
      <c r="C409" t="s">
        <v>24</v>
      </c>
      <c r="D409" t="s">
        <v>29</v>
      </c>
      <c r="E409" t="b">
        <v>1</v>
      </c>
      <c r="F409">
        <v>100</v>
      </c>
      <c r="G409">
        <v>1</v>
      </c>
      <c r="H409">
        <v>11338</v>
      </c>
      <c r="I409" t="s">
        <v>18</v>
      </c>
    </row>
    <row r="410" spans="1:9" x14ac:dyDescent="0.3">
      <c r="A410" t="s">
        <v>45</v>
      </c>
      <c r="B410" t="s">
        <v>75</v>
      </c>
      <c r="C410" t="s">
        <v>25</v>
      </c>
      <c r="D410" t="s">
        <v>29</v>
      </c>
      <c r="E410" t="b">
        <v>1</v>
      </c>
      <c r="F410">
        <v>71.099999999999994</v>
      </c>
      <c r="G410">
        <v>0</v>
      </c>
      <c r="H410">
        <v>14241</v>
      </c>
      <c r="I410" t="s">
        <v>13</v>
      </c>
    </row>
    <row r="411" spans="1:9" x14ac:dyDescent="0.3">
      <c r="A411" t="s">
        <v>45</v>
      </c>
      <c r="B411" t="s">
        <v>75</v>
      </c>
      <c r="C411" t="s">
        <v>26</v>
      </c>
      <c r="D411" t="s">
        <v>29</v>
      </c>
      <c r="E411" t="b">
        <v>1</v>
      </c>
      <c r="F411">
        <v>98.4</v>
      </c>
      <c r="G411">
        <v>0</v>
      </c>
      <c r="H411">
        <v>13310</v>
      </c>
      <c r="I411" t="s">
        <v>13</v>
      </c>
    </row>
    <row r="412" spans="1:9" x14ac:dyDescent="0.3">
      <c r="A412" t="s">
        <v>45</v>
      </c>
      <c r="B412" t="s">
        <v>75</v>
      </c>
      <c r="C412" t="s">
        <v>27</v>
      </c>
      <c r="D412" t="s">
        <v>29</v>
      </c>
      <c r="E412" t="b">
        <v>1</v>
      </c>
      <c r="F412">
        <v>100</v>
      </c>
      <c r="G412">
        <v>1</v>
      </c>
      <c r="H412">
        <v>11037</v>
      </c>
      <c r="I412" t="s">
        <v>18</v>
      </c>
    </row>
    <row r="413" spans="1:9" x14ac:dyDescent="0.3">
      <c r="A413" t="s">
        <v>45</v>
      </c>
      <c r="B413" t="s">
        <v>75</v>
      </c>
      <c r="C413" t="s">
        <v>28</v>
      </c>
      <c r="D413" t="s">
        <v>29</v>
      </c>
      <c r="E413" t="b">
        <v>1</v>
      </c>
      <c r="F413">
        <v>100</v>
      </c>
      <c r="G413">
        <v>1</v>
      </c>
      <c r="H413">
        <v>11252</v>
      </c>
      <c r="I413" t="s">
        <v>18</v>
      </c>
    </row>
    <row r="414" spans="1:9" x14ac:dyDescent="0.3">
      <c r="A414" t="s">
        <v>45</v>
      </c>
      <c r="B414" t="s">
        <v>75</v>
      </c>
      <c r="C414" t="s">
        <v>30</v>
      </c>
      <c r="D414" t="s">
        <v>29</v>
      </c>
      <c r="E414" t="b">
        <v>1</v>
      </c>
      <c r="F414">
        <v>100</v>
      </c>
      <c r="G414">
        <v>1</v>
      </c>
      <c r="H414">
        <v>11072</v>
      </c>
      <c r="I414" t="s">
        <v>18</v>
      </c>
    </row>
    <row r="415" spans="1:9" x14ac:dyDescent="0.3">
      <c r="A415" t="s">
        <v>43</v>
      </c>
      <c r="B415" t="s">
        <v>71</v>
      </c>
      <c r="C415" t="s">
        <v>11</v>
      </c>
      <c r="D415" t="s">
        <v>12</v>
      </c>
      <c r="E415" t="b">
        <v>1</v>
      </c>
      <c r="F415">
        <v>100</v>
      </c>
      <c r="G415">
        <v>1</v>
      </c>
      <c r="H415">
        <v>13389</v>
      </c>
      <c r="I415" t="s">
        <v>18</v>
      </c>
    </row>
    <row r="416" spans="1:9" x14ac:dyDescent="0.3">
      <c r="A416" t="s">
        <v>43</v>
      </c>
      <c r="B416" t="s">
        <v>71</v>
      </c>
      <c r="C416" t="s">
        <v>14</v>
      </c>
      <c r="D416" t="s">
        <v>12</v>
      </c>
      <c r="E416" t="b">
        <v>1</v>
      </c>
      <c r="F416">
        <v>100</v>
      </c>
      <c r="G416">
        <v>1</v>
      </c>
      <c r="H416">
        <v>13115</v>
      </c>
      <c r="I416" t="s">
        <v>18</v>
      </c>
    </row>
    <row r="417" spans="1:9" x14ac:dyDescent="0.3">
      <c r="A417" t="s">
        <v>43</v>
      </c>
      <c r="B417" t="s">
        <v>71</v>
      </c>
      <c r="C417" t="s">
        <v>15</v>
      </c>
      <c r="D417" t="s">
        <v>29</v>
      </c>
      <c r="E417" t="b">
        <v>1</v>
      </c>
      <c r="F417">
        <v>81</v>
      </c>
      <c r="G417">
        <v>0</v>
      </c>
      <c r="H417">
        <v>15133</v>
      </c>
      <c r="I417" t="s">
        <v>13</v>
      </c>
    </row>
    <row r="418" spans="1:9" x14ac:dyDescent="0.3">
      <c r="A418" t="s">
        <v>43</v>
      </c>
      <c r="B418" t="s">
        <v>71</v>
      </c>
      <c r="C418" t="s">
        <v>16</v>
      </c>
      <c r="D418" t="s">
        <v>29</v>
      </c>
      <c r="E418" t="b">
        <v>1</v>
      </c>
      <c r="F418">
        <v>62.1</v>
      </c>
      <c r="G418">
        <v>0</v>
      </c>
      <c r="H418">
        <v>19718</v>
      </c>
      <c r="I418" t="s">
        <v>13</v>
      </c>
    </row>
    <row r="419" spans="1:9" x14ac:dyDescent="0.3">
      <c r="A419" t="s">
        <v>43</v>
      </c>
      <c r="B419" t="s">
        <v>71</v>
      </c>
      <c r="C419" t="s">
        <v>17</v>
      </c>
      <c r="D419" t="s">
        <v>29</v>
      </c>
      <c r="E419" t="b">
        <v>1</v>
      </c>
      <c r="F419">
        <v>62.1</v>
      </c>
      <c r="G419">
        <v>0</v>
      </c>
      <c r="H419">
        <v>25766</v>
      </c>
      <c r="I419" t="s">
        <v>13</v>
      </c>
    </row>
    <row r="420" spans="1:9" x14ac:dyDescent="0.3">
      <c r="A420" t="s">
        <v>43</v>
      </c>
      <c r="B420" t="s">
        <v>71</v>
      </c>
      <c r="C420" t="s">
        <v>19</v>
      </c>
      <c r="D420" t="s">
        <v>29</v>
      </c>
      <c r="E420" t="b">
        <v>1</v>
      </c>
      <c r="F420">
        <v>55.8</v>
      </c>
      <c r="G420">
        <v>0</v>
      </c>
      <c r="H420">
        <v>28933</v>
      </c>
      <c r="I420" t="s">
        <v>13</v>
      </c>
    </row>
    <row r="421" spans="1:9" x14ac:dyDescent="0.3">
      <c r="A421" t="s">
        <v>43</v>
      </c>
      <c r="B421" t="s">
        <v>71</v>
      </c>
      <c r="C421" t="s">
        <v>20</v>
      </c>
      <c r="D421" t="s">
        <v>29</v>
      </c>
      <c r="E421" t="b">
        <v>1</v>
      </c>
      <c r="F421">
        <v>55.4</v>
      </c>
      <c r="G421">
        <v>0</v>
      </c>
      <c r="H421">
        <v>29965</v>
      </c>
      <c r="I421" t="s">
        <v>13</v>
      </c>
    </row>
    <row r="422" spans="1:9" x14ac:dyDescent="0.3">
      <c r="A422" t="s">
        <v>9</v>
      </c>
      <c r="B422" t="s">
        <v>74</v>
      </c>
      <c r="C422" t="s">
        <v>11</v>
      </c>
      <c r="D422" t="s">
        <v>12</v>
      </c>
      <c r="E422" t="b">
        <v>1</v>
      </c>
      <c r="F422">
        <v>42.4</v>
      </c>
      <c r="G422">
        <v>0</v>
      </c>
      <c r="H422">
        <v>27658</v>
      </c>
      <c r="I422" t="s">
        <v>13</v>
      </c>
    </row>
    <row r="423" spans="1:9" x14ac:dyDescent="0.3">
      <c r="A423" t="s">
        <v>9</v>
      </c>
      <c r="B423" t="s">
        <v>74</v>
      </c>
      <c r="C423" t="s">
        <v>14</v>
      </c>
      <c r="D423" t="s">
        <v>12</v>
      </c>
      <c r="E423" t="b">
        <v>1</v>
      </c>
      <c r="F423">
        <v>100</v>
      </c>
      <c r="G423">
        <v>1</v>
      </c>
      <c r="H423">
        <v>28839</v>
      </c>
      <c r="I423" t="s">
        <v>18</v>
      </c>
    </row>
    <row r="424" spans="1:9" x14ac:dyDescent="0.3">
      <c r="A424" t="s">
        <v>9</v>
      </c>
      <c r="B424" t="s">
        <v>74</v>
      </c>
      <c r="C424" t="s">
        <v>15</v>
      </c>
      <c r="D424" t="s">
        <v>12</v>
      </c>
      <c r="E424" t="b">
        <v>1</v>
      </c>
      <c r="F424">
        <v>39.799999999999997</v>
      </c>
      <c r="G424">
        <v>0</v>
      </c>
      <c r="H424">
        <v>29125</v>
      </c>
      <c r="I424" t="s">
        <v>13</v>
      </c>
    </row>
    <row r="425" spans="1:9" x14ac:dyDescent="0.3">
      <c r="A425" t="s">
        <v>9</v>
      </c>
      <c r="B425" t="s">
        <v>74</v>
      </c>
      <c r="C425" t="s">
        <v>16</v>
      </c>
      <c r="D425" t="s">
        <v>12</v>
      </c>
      <c r="E425" t="b">
        <v>1</v>
      </c>
      <c r="F425">
        <v>40.6</v>
      </c>
      <c r="G425">
        <v>0</v>
      </c>
      <c r="H425">
        <v>21240</v>
      </c>
      <c r="I425" t="s">
        <v>13</v>
      </c>
    </row>
    <row r="426" spans="1:9" x14ac:dyDescent="0.3">
      <c r="A426" t="s">
        <v>9</v>
      </c>
      <c r="B426" t="s">
        <v>74</v>
      </c>
      <c r="C426" t="s">
        <v>17</v>
      </c>
      <c r="D426" t="s">
        <v>12</v>
      </c>
      <c r="E426" t="b">
        <v>1</v>
      </c>
      <c r="F426">
        <v>54.7</v>
      </c>
      <c r="G426">
        <v>0</v>
      </c>
      <c r="H426">
        <v>17491</v>
      </c>
      <c r="I426" t="s">
        <v>13</v>
      </c>
    </row>
    <row r="427" spans="1:9" x14ac:dyDescent="0.3">
      <c r="A427" t="s">
        <v>9</v>
      </c>
      <c r="B427" t="s">
        <v>74</v>
      </c>
      <c r="C427" t="s">
        <v>19</v>
      </c>
      <c r="D427" t="s">
        <v>29</v>
      </c>
      <c r="E427" t="b">
        <v>1</v>
      </c>
      <c r="F427">
        <v>100</v>
      </c>
      <c r="G427">
        <v>1</v>
      </c>
      <c r="H427">
        <v>21705</v>
      </c>
      <c r="I427" t="s">
        <v>18</v>
      </c>
    </row>
    <row r="428" spans="1:9" x14ac:dyDescent="0.3">
      <c r="A428" t="s">
        <v>9</v>
      </c>
      <c r="B428" t="s">
        <v>74</v>
      </c>
      <c r="C428" t="s">
        <v>20</v>
      </c>
      <c r="D428" t="s">
        <v>29</v>
      </c>
      <c r="E428" t="b">
        <v>1</v>
      </c>
      <c r="F428">
        <v>99.9</v>
      </c>
      <c r="G428">
        <v>0</v>
      </c>
      <c r="H428">
        <v>22101</v>
      </c>
      <c r="I428" t="s">
        <v>18</v>
      </c>
    </row>
    <row r="429" spans="1:9" x14ac:dyDescent="0.3">
      <c r="A429" t="s">
        <v>9</v>
      </c>
      <c r="B429" t="s">
        <v>74</v>
      </c>
      <c r="C429" t="s">
        <v>21</v>
      </c>
      <c r="D429" t="s">
        <v>29</v>
      </c>
      <c r="E429" t="b">
        <v>1</v>
      </c>
      <c r="F429">
        <v>45.7</v>
      </c>
      <c r="G429">
        <v>0</v>
      </c>
      <c r="H429">
        <v>20690</v>
      </c>
      <c r="I429" t="s">
        <v>13</v>
      </c>
    </row>
    <row r="430" spans="1:9" x14ac:dyDescent="0.3">
      <c r="A430" t="s">
        <v>9</v>
      </c>
      <c r="B430" t="s">
        <v>74</v>
      </c>
      <c r="C430" t="s">
        <v>22</v>
      </c>
      <c r="D430" t="s">
        <v>29</v>
      </c>
      <c r="E430" t="b">
        <v>1</v>
      </c>
      <c r="F430">
        <v>41.9</v>
      </c>
      <c r="G430">
        <v>0</v>
      </c>
      <c r="H430">
        <v>28790</v>
      </c>
      <c r="I430" t="s">
        <v>13</v>
      </c>
    </row>
    <row r="431" spans="1:9" x14ac:dyDescent="0.3">
      <c r="A431" t="s">
        <v>9</v>
      </c>
      <c r="B431" t="s">
        <v>74</v>
      </c>
      <c r="C431" t="s">
        <v>23</v>
      </c>
      <c r="D431" t="s">
        <v>29</v>
      </c>
      <c r="E431" t="b">
        <v>1</v>
      </c>
      <c r="F431">
        <v>54.1</v>
      </c>
      <c r="G431">
        <v>0</v>
      </c>
      <c r="H431">
        <v>22388</v>
      </c>
      <c r="I431" t="s">
        <v>13</v>
      </c>
    </row>
    <row r="432" spans="1:9" x14ac:dyDescent="0.3">
      <c r="A432" t="s">
        <v>9</v>
      </c>
      <c r="B432" t="s">
        <v>74</v>
      </c>
      <c r="C432" t="s">
        <v>24</v>
      </c>
      <c r="D432" t="s">
        <v>29</v>
      </c>
      <c r="E432" t="b">
        <v>1</v>
      </c>
      <c r="F432">
        <v>87.3</v>
      </c>
      <c r="G432">
        <v>0</v>
      </c>
      <c r="H432">
        <v>14838</v>
      </c>
      <c r="I432" t="s">
        <v>13</v>
      </c>
    </row>
    <row r="433" spans="1:9" x14ac:dyDescent="0.3">
      <c r="A433" t="s">
        <v>45</v>
      </c>
      <c r="B433" t="s">
        <v>51</v>
      </c>
      <c r="C433" t="s">
        <v>11</v>
      </c>
      <c r="D433" t="s">
        <v>12</v>
      </c>
      <c r="E433" t="b">
        <v>1</v>
      </c>
      <c r="F433">
        <v>46.9</v>
      </c>
      <c r="G433">
        <v>0</v>
      </c>
      <c r="H433">
        <v>14408</v>
      </c>
      <c r="I433" t="s">
        <v>13</v>
      </c>
    </row>
    <row r="434" spans="1:9" x14ac:dyDescent="0.3">
      <c r="A434" t="s">
        <v>45</v>
      </c>
      <c r="B434" t="s">
        <v>51</v>
      </c>
      <c r="C434" t="s">
        <v>14</v>
      </c>
      <c r="D434" t="s">
        <v>12</v>
      </c>
      <c r="E434" t="b">
        <v>1</v>
      </c>
      <c r="F434">
        <v>45.6</v>
      </c>
      <c r="G434">
        <v>0</v>
      </c>
      <c r="H434">
        <v>13001</v>
      </c>
      <c r="I434" t="s">
        <v>13</v>
      </c>
    </row>
    <row r="435" spans="1:9" x14ac:dyDescent="0.3">
      <c r="A435" t="s">
        <v>45</v>
      </c>
      <c r="B435" t="s">
        <v>51</v>
      </c>
      <c r="C435" t="s">
        <v>15</v>
      </c>
      <c r="D435" t="s">
        <v>12</v>
      </c>
      <c r="E435" t="b">
        <v>1</v>
      </c>
      <c r="F435">
        <v>100</v>
      </c>
      <c r="G435">
        <v>1</v>
      </c>
      <c r="H435">
        <v>11503</v>
      </c>
      <c r="I435" t="s">
        <v>18</v>
      </c>
    </row>
    <row r="436" spans="1:9" x14ac:dyDescent="0.3">
      <c r="A436" t="s">
        <v>45</v>
      </c>
      <c r="B436" t="s">
        <v>51</v>
      </c>
      <c r="C436" t="s">
        <v>16</v>
      </c>
      <c r="D436" t="s">
        <v>12</v>
      </c>
      <c r="E436" t="b">
        <v>1</v>
      </c>
      <c r="F436">
        <v>45</v>
      </c>
      <c r="G436">
        <v>0</v>
      </c>
      <c r="H436">
        <v>13733</v>
      </c>
      <c r="I436" t="s">
        <v>13</v>
      </c>
    </row>
    <row r="437" spans="1:9" x14ac:dyDescent="0.3">
      <c r="A437" t="s">
        <v>45</v>
      </c>
      <c r="B437" t="s">
        <v>51</v>
      </c>
      <c r="C437" t="s">
        <v>17</v>
      </c>
      <c r="D437" t="s">
        <v>12</v>
      </c>
      <c r="E437" t="b">
        <v>1</v>
      </c>
      <c r="F437">
        <v>100</v>
      </c>
      <c r="G437">
        <v>1</v>
      </c>
      <c r="H437">
        <v>12235</v>
      </c>
      <c r="I437" t="s">
        <v>18</v>
      </c>
    </row>
    <row r="438" spans="1:9" x14ac:dyDescent="0.3">
      <c r="A438" t="s">
        <v>45</v>
      </c>
      <c r="B438" t="s">
        <v>51</v>
      </c>
      <c r="C438" t="s">
        <v>19</v>
      </c>
      <c r="D438" t="s">
        <v>12</v>
      </c>
      <c r="E438" t="b">
        <v>1</v>
      </c>
      <c r="F438">
        <v>91.9</v>
      </c>
      <c r="G438">
        <v>0</v>
      </c>
      <c r="H438">
        <v>12966</v>
      </c>
      <c r="I438" t="s">
        <v>13</v>
      </c>
    </row>
    <row r="439" spans="1:9" x14ac:dyDescent="0.3">
      <c r="A439" t="s">
        <v>45</v>
      </c>
      <c r="B439" t="s">
        <v>51</v>
      </c>
      <c r="C439" t="s">
        <v>20</v>
      </c>
      <c r="D439" t="s">
        <v>12</v>
      </c>
      <c r="E439" t="b">
        <v>1</v>
      </c>
      <c r="F439">
        <v>100</v>
      </c>
      <c r="G439">
        <v>1</v>
      </c>
      <c r="H439">
        <v>11667</v>
      </c>
      <c r="I439" t="s">
        <v>18</v>
      </c>
    </row>
    <row r="440" spans="1:9" x14ac:dyDescent="0.3">
      <c r="A440" t="s">
        <v>45</v>
      </c>
      <c r="B440" t="s">
        <v>51</v>
      </c>
      <c r="C440" t="s">
        <v>21</v>
      </c>
      <c r="D440" t="s">
        <v>12</v>
      </c>
      <c r="E440" t="b">
        <v>1</v>
      </c>
      <c r="F440">
        <v>52.6</v>
      </c>
      <c r="G440">
        <v>0</v>
      </c>
      <c r="H440">
        <v>13074</v>
      </c>
      <c r="I440" t="s">
        <v>13</v>
      </c>
    </row>
    <row r="441" spans="1:9" x14ac:dyDescent="0.3">
      <c r="A441" t="s">
        <v>45</v>
      </c>
      <c r="B441" t="s">
        <v>51</v>
      </c>
      <c r="C441" t="s">
        <v>22</v>
      </c>
      <c r="D441" t="s">
        <v>12</v>
      </c>
      <c r="E441" t="b">
        <v>1</v>
      </c>
      <c r="F441">
        <v>52</v>
      </c>
      <c r="G441">
        <v>0</v>
      </c>
      <c r="H441">
        <v>12708</v>
      </c>
      <c r="I441" t="s">
        <v>13</v>
      </c>
    </row>
    <row r="442" spans="1:9" x14ac:dyDescent="0.3">
      <c r="A442" t="s">
        <v>45</v>
      </c>
      <c r="B442" t="s">
        <v>51</v>
      </c>
      <c r="C442" t="s">
        <v>23</v>
      </c>
      <c r="D442" t="s">
        <v>29</v>
      </c>
      <c r="E442" t="b">
        <v>1</v>
      </c>
      <c r="F442">
        <v>100</v>
      </c>
      <c r="G442">
        <v>1</v>
      </c>
      <c r="H442">
        <v>12027</v>
      </c>
      <c r="I442" t="s">
        <v>18</v>
      </c>
    </row>
    <row r="443" spans="1:9" x14ac:dyDescent="0.3">
      <c r="A443" t="s">
        <v>45</v>
      </c>
      <c r="B443" t="s">
        <v>51</v>
      </c>
      <c r="C443" t="s">
        <v>24</v>
      </c>
      <c r="D443" t="s">
        <v>29</v>
      </c>
      <c r="E443" t="b">
        <v>1</v>
      </c>
      <c r="F443">
        <v>100</v>
      </c>
      <c r="G443">
        <v>1</v>
      </c>
      <c r="H443">
        <v>12393</v>
      </c>
      <c r="I443" t="s">
        <v>18</v>
      </c>
    </row>
    <row r="444" spans="1:9" x14ac:dyDescent="0.3">
      <c r="A444" t="s">
        <v>45</v>
      </c>
      <c r="B444" t="s">
        <v>51</v>
      </c>
      <c r="C444" t="s">
        <v>25</v>
      </c>
      <c r="D444" t="s">
        <v>29</v>
      </c>
      <c r="E444" t="b">
        <v>1</v>
      </c>
      <c r="F444">
        <v>100</v>
      </c>
      <c r="G444">
        <v>1</v>
      </c>
      <c r="H444">
        <v>9003</v>
      </c>
      <c r="I444" t="s">
        <v>18</v>
      </c>
    </row>
    <row r="445" spans="1:9" x14ac:dyDescent="0.3">
      <c r="A445" t="s">
        <v>45</v>
      </c>
      <c r="B445" t="s">
        <v>51</v>
      </c>
      <c r="C445" t="s">
        <v>26</v>
      </c>
      <c r="D445" t="s">
        <v>29</v>
      </c>
      <c r="E445" t="b">
        <v>1</v>
      </c>
      <c r="F445">
        <v>100</v>
      </c>
      <c r="G445">
        <v>1</v>
      </c>
      <c r="H445">
        <v>11142</v>
      </c>
      <c r="I445" t="s">
        <v>18</v>
      </c>
    </row>
    <row r="446" spans="1:9" x14ac:dyDescent="0.3">
      <c r="A446" t="s">
        <v>45</v>
      </c>
      <c r="B446" t="s">
        <v>51</v>
      </c>
      <c r="C446" t="s">
        <v>27</v>
      </c>
      <c r="D446" t="s">
        <v>29</v>
      </c>
      <c r="E446" t="b">
        <v>1</v>
      </c>
      <c r="F446">
        <v>93.1</v>
      </c>
      <c r="G446">
        <v>0</v>
      </c>
      <c r="H446">
        <v>13574</v>
      </c>
      <c r="I446" t="s">
        <v>13</v>
      </c>
    </row>
    <row r="447" spans="1:9" x14ac:dyDescent="0.3">
      <c r="A447" t="s">
        <v>45</v>
      </c>
      <c r="B447" t="s">
        <v>51</v>
      </c>
      <c r="C447" t="s">
        <v>28</v>
      </c>
      <c r="D447" t="s">
        <v>29</v>
      </c>
      <c r="E447" t="b">
        <v>1</v>
      </c>
      <c r="F447">
        <v>100</v>
      </c>
      <c r="G447">
        <v>1</v>
      </c>
      <c r="H447">
        <v>7428</v>
      </c>
      <c r="I447" t="s">
        <v>18</v>
      </c>
    </row>
    <row r="448" spans="1:9" x14ac:dyDescent="0.3">
      <c r="A448" t="s">
        <v>45</v>
      </c>
      <c r="B448" t="s">
        <v>51</v>
      </c>
      <c r="C448" t="s">
        <v>30</v>
      </c>
      <c r="D448" t="s">
        <v>29</v>
      </c>
      <c r="E448" t="b">
        <v>1</v>
      </c>
      <c r="F448">
        <v>100</v>
      </c>
      <c r="G448">
        <v>1</v>
      </c>
      <c r="H448">
        <v>11117</v>
      </c>
      <c r="I448" t="s">
        <v>18</v>
      </c>
    </row>
    <row r="449" spans="1:9" x14ac:dyDescent="0.3">
      <c r="A449" t="s">
        <v>45</v>
      </c>
      <c r="B449" t="s">
        <v>51</v>
      </c>
      <c r="C449" t="s">
        <v>31</v>
      </c>
      <c r="D449" t="s">
        <v>29</v>
      </c>
      <c r="E449" t="b">
        <v>1</v>
      </c>
      <c r="F449">
        <v>100</v>
      </c>
      <c r="G449">
        <v>1</v>
      </c>
      <c r="H449">
        <v>12695</v>
      </c>
      <c r="I449" t="s">
        <v>18</v>
      </c>
    </row>
    <row r="450" spans="1:9" x14ac:dyDescent="0.3">
      <c r="A450" t="s">
        <v>45</v>
      </c>
      <c r="B450" t="s">
        <v>51</v>
      </c>
      <c r="C450" t="s">
        <v>32</v>
      </c>
      <c r="D450" t="s">
        <v>29</v>
      </c>
      <c r="E450" t="b">
        <v>1</v>
      </c>
      <c r="F450">
        <v>100</v>
      </c>
      <c r="G450">
        <v>1</v>
      </c>
      <c r="H450">
        <v>14079</v>
      </c>
      <c r="I450" t="s">
        <v>18</v>
      </c>
    </row>
    <row r="451" spans="1:9" x14ac:dyDescent="0.3">
      <c r="A451" t="s">
        <v>45</v>
      </c>
      <c r="B451" t="s">
        <v>51</v>
      </c>
      <c r="C451" t="s">
        <v>33</v>
      </c>
      <c r="D451" t="s">
        <v>29</v>
      </c>
      <c r="E451" t="b">
        <v>1</v>
      </c>
      <c r="F451">
        <v>100</v>
      </c>
      <c r="G451">
        <v>1</v>
      </c>
      <c r="H451">
        <v>15656</v>
      </c>
      <c r="I451" t="s">
        <v>18</v>
      </c>
    </row>
    <row r="452" spans="1:9" x14ac:dyDescent="0.3">
      <c r="A452" t="s">
        <v>9</v>
      </c>
      <c r="B452" t="s">
        <v>70</v>
      </c>
      <c r="C452" t="s">
        <v>11</v>
      </c>
      <c r="D452" t="s">
        <v>12</v>
      </c>
      <c r="E452" t="b">
        <v>1</v>
      </c>
      <c r="F452">
        <v>100</v>
      </c>
      <c r="G452">
        <v>1</v>
      </c>
      <c r="H452">
        <v>15694</v>
      </c>
      <c r="I452" t="s">
        <v>18</v>
      </c>
    </row>
    <row r="453" spans="1:9" x14ac:dyDescent="0.3">
      <c r="A453" t="s">
        <v>9</v>
      </c>
      <c r="B453" t="s">
        <v>70</v>
      </c>
      <c r="C453" t="s">
        <v>14</v>
      </c>
      <c r="D453" t="s">
        <v>12</v>
      </c>
      <c r="E453" t="b">
        <v>1</v>
      </c>
      <c r="F453">
        <v>100</v>
      </c>
      <c r="G453">
        <v>1</v>
      </c>
      <c r="H453">
        <v>15052</v>
      </c>
      <c r="I453" t="s">
        <v>18</v>
      </c>
    </row>
    <row r="454" spans="1:9" x14ac:dyDescent="0.3">
      <c r="A454" t="s">
        <v>9</v>
      </c>
      <c r="B454" t="s">
        <v>70</v>
      </c>
      <c r="C454" t="s">
        <v>15</v>
      </c>
      <c r="D454" t="s">
        <v>29</v>
      </c>
      <c r="E454" t="b">
        <v>1</v>
      </c>
      <c r="F454">
        <v>100</v>
      </c>
      <c r="G454">
        <v>1</v>
      </c>
      <c r="H454">
        <v>16073</v>
      </c>
      <c r="I454" t="s">
        <v>18</v>
      </c>
    </row>
    <row r="455" spans="1:9" x14ac:dyDescent="0.3">
      <c r="A455" t="s">
        <v>9</v>
      </c>
      <c r="B455" t="s">
        <v>70</v>
      </c>
      <c r="C455" t="s">
        <v>16</v>
      </c>
      <c r="D455" t="s">
        <v>29</v>
      </c>
      <c r="E455" t="b">
        <v>1</v>
      </c>
      <c r="F455">
        <v>86.2</v>
      </c>
      <c r="G455">
        <v>0</v>
      </c>
      <c r="H455">
        <v>20585</v>
      </c>
      <c r="I455" t="s">
        <v>13</v>
      </c>
    </row>
    <row r="456" spans="1:9" x14ac:dyDescent="0.3">
      <c r="A456" t="s">
        <v>9</v>
      </c>
      <c r="B456" t="s">
        <v>70</v>
      </c>
      <c r="C456" t="s">
        <v>17</v>
      </c>
      <c r="D456" t="s">
        <v>29</v>
      </c>
      <c r="E456" t="b">
        <v>1</v>
      </c>
      <c r="F456">
        <v>85.9</v>
      </c>
      <c r="G456">
        <v>0</v>
      </c>
      <c r="H456">
        <v>16799</v>
      </c>
      <c r="I456" t="s">
        <v>13</v>
      </c>
    </row>
    <row r="457" spans="1:9" x14ac:dyDescent="0.3">
      <c r="A457" t="s">
        <v>9</v>
      </c>
      <c r="B457" t="s">
        <v>70</v>
      </c>
      <c r="C457" t="s">
        <v>19</v>
      </c>
      <c r="D457" t="s">
        <v>29</v>
      </c>
      <c r="E457" t="b">
        <v>1</v>
      </c>
      <c r="F457">
        <v>85.9</v>
      </c>
      <c r="G457">
        <v>0</v>
      </c>
      <c r="H457">
        <v>13494</v>
      </c>
      <c r="I457" t="s">
        <v>13</v>
      </c>
    </row>
    <row r="458" spans="1:9" x14ac:dyDescent="0.3">
      <c r="A458" t="s">
        <v>9</v>
      </c>
      <c r="B458" t="s">
        <v>70</v>
      </c>
      <c r="C458" t="s">
        <v>20</v>
      </c>
      <c r="D458" t="s">
        <v>29</v>
      </c>
      <c r="E458" t="b">
        <v>1</v>
      </c>
      <c r="F458">
        <v>55</v>
      </c>
      <c r="G458">
        <v>0</v>
      </c>
      <c r="H458">
        <v>15131</v>
      </c>
      <c r="I458" t="s">
        <v>13</v>
      </c>
    </row>
    <row r="459" spans="1:9" x14ac:dyDescent="0.3">
      <c r="A459" t="s">
        <v>9</v>
      </c>
      <c r="B459" t="s">
        <v>70</v>
      </c>
      <c r="C459" t="s">
        <v>21</v>
      </c>
      <c r="D459" t="s">
        <v>29</v>
      </c>
      <c r="E459" t="b">
        <v>1</v>
      </c>
      <c r="F459">
        <v>57.8</v>
      </c>
      <c r="G459">
        <v>0</v>
      </c>
      <c r="H459">
        <v>16647</v>
      </c>
      <c r="I459" t="s">
        <v>13</v>
      </c>
    </row>
    <row r="460" spans="1:9" x14ac:dyDescent="0.3">
      <c r="A460" t="s">
        <v>9</v>
      </c>
      <c r="B460" t="s">
        <v>70</v>
      </c>
      <c r="C460" t="s">
        <v>22</v>
      </c>
      <c r="D460" t="s">
        <v>29</v>
      </c>
      <c r="E460" t="b">
        <v>1</v>
      </c>
      <c r="F460">
        <v>34.1</v>
      </c>
      <c r="G460">
        <v>0</v>
      </c>
      <c r="H460">
        <v>18024</v>
      </c>
      <c r="I460" t="s">
        <v>13</v>
      </c>
    </row>
  </sheetData>
  <autoFilter ref="A1:I460" xr:uid="{9DF77AF6-B824-429E-B669-09D32B879C2E}">
    <sortState xmlns:xlrd2="http://schemas.microsoft.com/office/spreadsheetml/2017/richdata2" ref="A2:I460">
      <sortCondition ref="B1:B46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B5FD-13CD-4981-B2D1-85B34BD7C6FC}">
  <sheetPr>
    <tabColor rgb="FFC00000"/>
  </sheetPr>
  <dimension ref="A1:Y460"/>
  <sheetViews>
    <sheetView workbookViewId="0">
      <selection activeCell="F10" sqref="F10"/>
    </sheetView>
  </sheetViews>
  <sheetFormatPr defaultRowHeight="14.4" x14ac:dyDescent="0.3"/>
  <cols>
    <col min="23" max="23" width="2.88671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L1" s="1" t="s">
        <v>0</v>
      </c>
      <c r="M1" s="1" t="s">
        <v>1</v>
      </c>
      <c r="N1" s="1" t="s">
        <v>176</v>
      </c>
      <c r="O1" s="1" t="s">
        <v>177</v>
      </c>
      <c r="P1" s="1" t="s">
        <v>178</v>
      </c>
      <c r="Q1" s="1"/>
      <c r="R1" s="1"/>
      <c r="U1" s="5" t="s">
        <v>0</v>
      </c>
      <c r="V1" s="5" t="s">
        <v>174</v>
      </c>
      <c r="X1" s="7" t="s">
        <v>175</v>
      </c>
      <c r="Y1" s="5" t="s">
        <v>174</v>
      </c>
    </row>
    <row r="2" spans="1:25" x14ac:dyDescent="0.3">
      <c r="A2" t="s">
        <v>9</v>
      </c>
      <c r="B2" t="s">
        <v>10</v>
      </c>
      <c r="C2" t="s">
        <v>11</v>
      </c>
      <c r="D2" t="s">
        <v>12</v>
      </c>
      <c r="E2" t="b">
        <v>1</v>
      </c>
      <c r="F2">
        <v>51.1</v>
      </c>
      <c r="G2">
        <v>0</v>
      </c>
      <c r="H2">
        <v>15157</v>
      </c>
      <c r="I2" t="s">
        <v>13</v>
      </c>
      <c r="L2" t="s">
        <v>9</v>
      </c>
      <c r="M2" t="s">
        <v>10</v>
      </c>
      <c r="N2">
        <f>COUNTIFS($B$2:$B$460,M2,$D$2:$D$460,RIGHT($N$1,3))</f>
        <v>14</v>
      </c>
      <c r="O2">
        <f>COUNTIFS($B$2:$B$460,M2,$D$2:$D$460,RIGHT($O$1,3))</f>
        <v>14</v>
      </c>
      <c r="P2">
        <f>SUM(N2:O2)</f>
        <v>28</v>
      </c>
      <c r="U2" s="6" t="s">
        <v>9</v>
      </c>
      <c r="V2" s="6">
        <f>COUNTIF($L$2:$L$31,U2)</f>
        <v>10</v>
      </c>
      <c r="X2" s="5" t="s">
        <v>12</v>
      </c>
      <c r="Y2" s="6">
        <f>COUNTIF($D$2:$D$460,X2)</f>
        <v>204</v>
      </c>
    </row>
    <row r="3" spans="1:25" x14ac:dyDescent="0.3">
      <c r="A3" t="s">
        <v>9</v>
      </c>
      <c r="B3" t="s">
        <v>10</v>
      </c>
      <c r="C3" t="s">
        <v>14</v>
      </c>
      <c r="D3" t="s">
        <v>12</v>
      </c>
      <c r="E3" t="b">
        <v>1</v>
      </c>
      <c r="F3">
        <v>50.9</v>
      </c>
      <c r="G3">
        <v>0</v>
      </c>
      <c r="H3">
        <v>13845</v>
      </c>
      <c r="I3" t="s">
        <v>13</v>
      </c>
      <c r="L3" t="s">
        <v>9</v>
      </c>
      <c r="M3" t="s">
        <v>47</v>
      </c>
      <c r="N3">
        <f t="shared" ref="N3:N31" si="0">COUNTIFS($B$2:$B$460,M3,$D$2:$D$460,RIGHT($N$1,3))</f>
        <v>5</v>
      </c>
      <c r="O3">
        <f t="shared" ref="O3:O31" si="1">COUNTIFS($B$2:$B$460,M3,$D$2:$D$460,RIGHT($O$1,3))</f>
        <v>10</v>
      </c>
      <c r="P3">
        <f t="shared" ref="P3:P31" si="2">SUM(N3:O3)</f>
        <v>15</v>
      </c>
      <c r="U3" s="6" t="s">
        <v>43</v>
      </c>
      <c r="V3" s="6">
        <f t="shared" ref="V3:V4" si="3">COUNTIF($L$2:$L$31,U3)</f>
        <v>10</v>
      </c>
      <c r="X3" s="5" t="s">
        <v>29</v>
      </c>
      <c r="Y3" s="6">
        <f>COUNTIF($D$2:$D$460,X3)</f>
        <v>255</v>
      </c>
    </row>
    <row r="4" spans="1:25" x14ac:dyDescent="0.3">
      <c r="A4" t="s">
        <v>9</v>
      </c>
      <c r="B4" t="s">
        <v>10</v>
      </c>
      <c r="C4" t="s">
        <v>15</v>
      </c>
      <c r="D4" t="s">
        <v>12</v>
      </c>
      <c r="E4" t="b">
        <v>1</v>
      </c>
      <c r="F4">
        <v>49.8</v>
      </c>
      <c r="G4">
        <v>0</v>
      </c>
      <c r="H4">
        <v>12988</v>
      </c>
      <c r="I4" t="s">
        <v>13</v>
      </c>
      <c r="L4" t="s">
        <v>9</v>
      </c>
      <c r="M4" t="s">
        <v>52</v>
      </c>
      <c r="N4">
        <f t="shared" si="0"/>
        <v>4</v>
      </c>
      <c r="O4">
        <f t="shared" si="1"/>
        <v>6</v>
      </c>
      <c r="P4">
        <f t="shared" si="2"/>
        <v>10</v>
      </c>
      <c r="U4" s="6" t="s">
        <v>45</v>
      </c>
      <c r="V4" s="6">
        <f t="shared" si="3"/>
        <v>10</v>
      </c>
      <c r="Y4" s="5">
        <f>SUM(Y2:Y3)</f>
        <v>459</v>
      </c>
    </row>
    <row r="5" spans="1:25" x14ac:dyDescent="0.3">
      <c r="A5" t="s">
        <v>9</v>
      </c>
      <c r="B5" t="s">
        <v>10</v>
      </c>
      <c r="C5" t="s">
        <v>16</v>
      </c>
      <c r="D5" t="s">
        <v>12</v>
      </c>
      <c r="E5" t="b">
        <v>1</v>
      </c>
      <c r="F5">
        <v>68.2</v>
      </c>
      <c r="G5">
        <v>0</v>
      </c>
      <c r="H5">
        <v>11982</v>
      </c>
      <c r="I5" t="s">
        <v>13</v>
      </c>
      <c r="L5" t="s">
        <v>9</v>
      </c>
      <c r="M5" t="s">
        <v>55</v>
      </c>
      <c r="N5">
        <f t="shared" si="0"/>
        <v>3</v>
      </c>
      <c r="O5">
        <f t="shared" si="1"/>
        <v>3</v>
      </c>
      <c r="P5">
        <f t="shared" si="2"/>
        <v>6</v>
      </c>
      <c r="V5" s="5">
        <f>SUM(V2:V4)</f>
        <v>30</v>
      </c>
    </row>
    <row r="6" spans="1:25" x14ac:dyDescent="0.3">
      <c r="A6" t="s">
        <v>9</v>
      </c>
      <c r="B6" t="s">
        <v>10</v>
      </c>
      <c r="C6" t="s">
        <v>17</v>
      </c>
      <c r="D6" t="s">
        <v>12</v>
      </c>
      <c r="E6" t="b">
        <v>1</v>
      </c>
      <c r="F6">
        <v>100</v>
      </c>
      <c r="G6">
        <v>1</v>
      </c>
      <c r="H6">
        <v>10979</v>
      </c>
      <c r="I6" t="s">
        <v>18</v>
      </c>
      <c r="L6" t="s">
        <v>9</v>
      </c>
      <c r="M6" t="s">
        <v>56</v>
      </c>
      <c r="N6">
        <f t="shared" si="0"/>
        <v>4</v>
      </c>
      <c r="O6">
        <f t="shared" si="1"/>
        <v>8</v>
      </c>
      <c r="P6">
        <f t="shared" si="2"/>
        <v>12</v>
      </c>
    </row>
    <row r="7" spans="1:25" x14ac:dyDescent="0.3">
      <c r="A7" t="s">
        <v>9</v>
      </c>
      <c r="B7" t="s">
        <v>10</v>
      </c>
      <c r="C7" t="s">
        <v>19</v>
      </c>
      <c r="D7" t="s">
        <v>12</v>
      </c>
      <c r="E7" t="b">
        <v>1</v>
      </c>
      <c r="F7">
        <v>70</v>
      </c>
      <c r="G7">
        <v>0</v>
      </c>
      <c r="H7">
        <v>11664</v>
      </c>
      <c r="I7" t="s">
        <v>13</v>
      </c>
      <c r="L7" t="s">
        <v>9</v>
      </c>
      <c r="M7" t="s">
        <v>60</v>
      </c>
      <c r="N7">
        <f t="shared" si="0"/>
        <v>4</v>
      </c>
      <c r="O7">
        <f t="shared" si="1"/>
        <v>5</v>
      </c>
      <c r="P7">
        <f t="shared" si="2"/>
        <v>9</v>
      </c>
    </row>
    <row r="8" spans="1:25" x14ac:dyDescent="0.3">
      <c r="A8" t="s">
        <v>9</v>
      </c>
      <c r="B8" t="s">
        <v>10</v>
      </c>
      <c r="C8" t="s">
        <v>20</v>
      </c>
      <c r="D8" t="s">
        <v>12</v>
      </c>
      <c r="E8" t="b">
        <v>1</v>
      </c>
      <c r="F8">
        <v>100</v>
      </c>
      <c r="G8">
        <v>1</v>
      </c>
      <c r="H8">
        <v>11362</v>
      </c>
      <c r="I8" t="s">
        <v>18</v>
      </c>
      <c r="L8" t="s">
        <v>9</v>
      </c>
      <c r="M8" t="s">
        <v>67</v>
      </c>
      <c r="N8">
        <f t="shared" si="0"/>
        <v>6</v>
      </c>
      <c r="O8">
        <f t="shared" si="1"/>
        <v>11</v>
      </c>
      <c r="P8">
        <f t="shared" si="2"/>
        <v>17</v>
      </c>
    </row>
    <row r="9" spans="1:25" x14ac:dyDescent="0.3">
      <c r="A9" t="s">
        <v>9</v>
      </c>
      <c r="B9" t="s">
        <v>10</v>
      </c>
      <c r="C9" t="s">
        <v>21</v>
      </c>
      <c r="D9" t="s">
        <v>12</v>
      </c>
      <c r="E9" t="b">
        <v>1</v>
      </c>
      <c r="F9">
        <v>100</v>
      </c>
      <c r="G9">
        <v>1</v>
      </c>
      <c r="H9">
        <v>9959</v>
      </c>
      <c r="I9" t="s">
        <v>18</v>
      </c>
      <c r="L9" t="s">
        <v>9</v>
      </c>
      <c r="M9" t="s">
        <v>70</v>
      </c>
      <c r="N9">
        <f t="shared" si="0"/>
        <v>2</v>
      </c>
      <c r="O9">
        <f t="shared" si="1"/>
        <v>7</v>
      </c>
      <c r="P9">
        <f t="shared" si="2"/>
        <v>9</v>
      </c>
    </row>
    <row r="10" spans="1:25" x14ac:dyDescent="0.3">
      <c r="A10" t="s">
        <v>9</v>
      </c>
      <c r="B10" t="s">
        <v>10</v>
      </c>
      <c r="C10" t="s">
        <v>22</v>
      </c>
      <c r="D10" t="s">
        <v>12</v>
      </c>
      <c r="E10" t="b">
        <v>1</v>
      </c>
      <c r="F10">
        <v>100</v>
      </c>
      <c r="G10">
        <v>1</v>
      </c>
      <c r="H10">
        <v>11364</v>
      </c>
      <c r="I10" t="s">
        <v>18</v>
      </c>
      <c r="L10" t="s">
        <v>9</v>
      </c>
      <c r="M10" t="s">
        <v>74</v>
      </c>
      <c r="N10">
        <f t="shared" si="0"/>
        <v>5</v>
      </c>
      <c r="O10">
        <f t="shared" si="1"/>
        <v>6</v>
      </c>
      <c r="P10">
        <f t="shared" si="2"/>
        <v>11</v>
      </c>
    </row>
    <row r="11" spans="1:25" x14ac:dyDescent="0.3">
      <c r="A11" t="s">
        <v>9</v>
      </c>
      <c r="B11" t="s">
        <v>10</v>
      </c>
      <c r="C11" t="s">
        <v>23</v>
      </c>
      <c r="D11" t="s">
        <v>12</v>
      </c>
      <c r="E11" t="b">
        <v>1</v>
      </c>
      <c r="F11">
        <v>100</v>
      </c>
      <c r="G11">
        <v>1</v>
      </c>
      <c r="H11">
        <v>10691</v>
      </c>
      <c r="I11" t="s">
        <v>18</v>
      </c>
      <c r="L11" t="s">
        <v>9</v>
      </c>
      <c r="M11" t="s">
        <v>76</v>
      </c>
      <c r="N11">
        <f t="shared" si="0"/>
        <v>7</v>
      </c>
      <c r="O11">
        <f t="shared" si="1"/>
        <v>10</v>
      </c>
      <c r="P11">
        <f t="shared" si="2"/>
        <v>17</v>
      </c>
    </row>
    <row r="12" spans="1:25" x14ac:dyDescent="0.3">
      <c r="A12" t="s">
        <v>9</v>
      </c>
      <c r="B12" t="s">
        <v>10</v>
      </c>
      <c r="C12" t="s">
        <v>24</v>
      </c>
      <c r="D12" t="s">
        <v>12</v>
      </c>
      <c r="E12" t="b">
        <v>1</v>
      </c>
      <c r="F12">
        <v>71.599999999999994</v>
      </c>
      <c r="G12">
        <v>0</v>
      </c>
      <c r="H12">
        <v>11640</v>
      </c>
      <c r="I12" t="s">
        <v>13</v>
      </c>
      <c r="L12" t="s">
        <v>43</v>
      </c>
      <c r="M12" t="s">
        <v>44</v>
      </c>
      <c r="N12">
        <f t="shared" si="0"/>
        <v>7</v>
      </c>
      <c r="O12">
        <f t="shared" si="1"/>
        <v>5</v>
      </c>
      <c r="P12">
        <f t="shared" si="2"/>
        <v>12</v>
      </c>
    </row>
    <row r="13" spans="1:25" x14ac:dyDescent="0.3">
      <c r="A13" t="s">
        <v>9</v>
      </c>
      <c r="B13" t="s">
        <v>10</v>
      </c>
      <c r="C13" t="s">
        <v>25</v>
      </c>
      <c r="D13" t="s">
        <v>12</v>
      </c>
      <c r="E13" t="b">
        <v>1</v>
      </c>
      <c r="F13">
        <v>100</v>
      </c>
      <c r="G13">
        <v>1</v>
      </c>
      <c r="H13">
        <v>11350</v>
      </c>
      <c r="I13" t="s">
        <v>18</v>
      </c>
      <c r="L13" t="s">
        <v>43</v>
      </c>
      <c r="M13" t="s">
        <v>49</v>
      </c>
      <c r="N13">
        <f t="shared" si="0"/>
        <v>7</v>
      </c>
      <c r="O13">
        <f t="shared" si="1"/>
        <v>8</v>
      </c>
      <c r="P13">
        <f t="shared" si="2"/>
        <v>15</v>
      </c>
    </row>
    <row r="14" spans="1:25" x14ac:dyDescent="0.3">
      <c r="A14" t="s">
        <v>9</v>
      </c>
      <c r="B14" t="s">
        <v>10</v>
      </c>
      <c r="C14" t="s">
        <v>26</v>
      </c>
      <c r="D14" t="s">
        <v>12</v>
      </c>
      <c r="E14" t="b">
        <v>1</v>
      </c>
      <c r="F14">
        <v>100</v>
      </c>
      <c r="G14">
        <v>1</v>
      </c>
      <c r="H14">
        <v>11665</v>
      </c>
      <c r="I14" t="s">
        <v>18</v>
      </c>
      <c r="L14" t="s">
        <v>43</v>
      </c>
      <c r="M14" t="s">
        <v>50</v>
      </c>
      <c r="N14">
        <f t="shared" si="0"/>
        <v>7</v>
      </c>
      <c r="O14">
        <f t="shared" si="1"/>
        <v>8</v>
      </c>
      <c r="P14">
        <f t="shared" si="2"/>
        <v>15</v>
      </c>
    </row>
    <row r="15" spans="1:25" x14ac:dyDescent="0.3">
      <c r="A15" t="s">
        <v>9</v>
      </c>
      <c r="B15" t="s">
        <v>10</v>
      </c>
      <c r="C15" t="s">
        <v>27</v>
      </c>
      <c r="D15" t="s">
        <v>12</v>
      </c>
      <c r="E15" t="b">
        <v>1</v>
      </c>
      <c r="F15">
        <v>67.5</v>
      </c>
      <c r="G15">
        <v>0</v>
      </c>
      <c r="H15">
        <v>12671</v>
      </c>
      <c r="I15" t="s">
        <v>13</v>
      </c>
      <c r="L15" t="s">
        <v>43</v>
      </c>
      <c r="M15" t="s">
        <v>54</v>
      </c>
      <c r="N15">
        <f t="shared" si="0"/>
        <v>6</v>
      </c>
      <c r="O15">
        <f t="shared" si="1"/>
        <v>13</v>
      </c>
      <c r="P15">
        <f t="shared" si="2"/>
        <v>19</v>
      </c>
    </row>
    <row r="16" spans="1:25" x14ac:dyDescent="0.3">
      <c r="A16" t="s">
        <v>9</v>
      </c>
      <c r="B16" t="s">
        <v>10</v>
      </c>
      <c r="C16" t="s">
        <v>28</v>
      </c>
      <c r="D16" t="s">
        <v>29</v>
      </c>
      <c r="E16" t="b">
        <v>1</v>
      </c>
      <c r="F16">
        <v>100</v>
      </c>
      <c r="G16">
        <v>1</v>
      </c>
      <c r="H16">
        <v>10885</v>
      </c>
      <c r="I16" t="s">
        <v>18</v>
      </c>
      <c r="L16" t="s">
        <v>43</v>
      </c>
      <c r="M16" t="s">
        <v>58</v>
      </c>
      <c r="N16">
        <f t="shared" si="0"/>
        <v>4</v>
      </c>
      <c r="O16">
        <f t="shared" si="1"/>
        <v>2</v>
      </c>
      <c r="P16">
        <f t="shared" si="2"/>
        <v>6</v>
      </c>
    </row>
    <row r="17" spans="1:16" x14ac:dyDescent="0.3">
      <c r="A17" t="s">
        <v>9</v>
      </c>
      <c r="B17" t="s">
        <v>10</v>
      </c>
      <c r="C17" t="s">
        <v>30</v>
      </c>
      <c r="D17" t="s">
        <v>29</v>
      </c>
      <c r="E17" t="b">
        <v>1</v>
      </c>
      <c r="F17">
        <v>100</v>
      </c>
      <c r="G17">
        <v>1</v>
      </c>
      <c r="H17">
        <v>14222</v>
      </c>
      <c r="I17" t="s">
        <v>18</v>
      </c>
      <c r="L17" t="s">
        <v>43</v>
      </c>
      <c r="M17" t="s">
        <v>59</v>
      </c>
      <c r="N17">
        <f t="shared" si="0"/>
        <v>12</v>
      </c>
      <c r="O17">
        <f t="shared" si="1"/>
        <v>14</v>
      </c>
      <c r="P17">
        <f t="shared" si="2"/>
        <v>26</v>
      </c>
    </row>
    <row r="18" spans="1:16" x14ac:dyDescent="0.3">
      <c r="A18" t="s">
        <v>9</v>
      </c>
      <c r="B18" t="s">
        <v>10</v>
      </c>
      <c r="C18" t="s">
        <v>31</v>
      </c>
      <c r="D18" t="s">
        <v>29</v>
      </c>
      <c r="E18" t="b">
        <v>1</v>
      </c>
      <c r="F18">
        <v>100</v>
      </c>
      <c r="G18">
        <v>1</v>
      </c>
      <c r="H18">
        <v>17083</v>
      </c>
      <c r="I18" t="s">
        <v>18</v>
      </c>
      <c r="L18" t="s">
        <v>43</v>
      </c>
      <c r="M18" t="s">
        <v>62</v>
      </c>
      <c r="N18">
        <f t="shared" si="0"/>
        <v>17</v>
      </c>
      <c r="O18">
        <f t="shared" si="1"/>
        <v>14</v>
      </c>
      <c r="P18">
        <f t="shared" si="2"/>
        <v>31</v>
      </c>
    </row>
    <row r="19" spans="1:16" x14ac:dyDescent="0.3">
      <c r="A19" t="s">
        <v>9</v>
      </c>
      <c r="B19" t="s">
        <v>10</v>
      </c>
      <c r="C19" t="s">
        <v>32</v>
      </c>
      <c r="D19" t="s">
        <v>29</v>
      </c>
      <c r="E19" t="b">
        <v>1</v>
      </c>
      <c r="F19">
        <v>51.4</v>
      </c>
      <c r="G19">
        <v>0</v>
      </c>
      <c r="H19">
        <v>14956</v>
      </c>
      <c r="I19" t="s">
        <v>13</v>
      </c>
      <c r="L19" t="s">
        <v>43</v>
      </c>
      <c r="M19" t="s">
        <v>69</v>
      </c>
      <c r="N19">
        <f t="shared" si="0"/>
        <v>10</v>
      </c>
      <c r="O19">
        <f t="shared" si="1"/>
        <v>12</v>
      </c>
      <c r="P19">
        <f t="shared" si="2"/>
        <v>22</v>
      </c>
    </row>
    <row r="20" spans="1:16" x14ac:dyDescent="0.3">
      <c r="A20" t="s">
        <v>9</v>
      </c>
      <c r="B20" t="s">
        <v>10</v>
      </c>
      <c r="C20" t="s">
        <v>33</v>
      </c>
      <c r="D20" t="s">
        <v>29</v>
      </c>
      <c r="E20" t="b">
        <v>1</v>
      </c>
      <c r="F20">
        <v>100</v>
      </c>
      <c r="G20">
        <v>1</v>
      </c>
      <c r="H20">
        <v>13950</v>
      </c>
      <c r="I20" t="s">
        <v>18</v>
      </c>
      <c r="L20" t="s">
        <v>43</v>
      </c>
      <c r="M20" t="s">
        <v>71</v>
      </c>
      <c r="N20">
        <f t="shared" si="0"/>
        <v>2</v>
      </c>
      <c r="O20">
        <f t="shared" si="1"/>
        <v>5</v>
      </c>
      <c r="P20">
        <f t="shared" si="2"/>
        <v>7</v>
      </c>
    </row>
    <row r="21" spans="1:16" x14ac:dyDescent="0.3">
      <c r="A21" t="s">
        <v>9</v>
      </c>
      <c r="B21" t="s">
        <v>10</v>
      </c>
      <c r="C21" t="s">
        <v>34</v>
      </c>
      <c r="D21" t="s">
        <v>29</v>
      </c>
      <c r="E21" t="b">
        <v>1</v>
      </c>
      <c r="F21">
        <v>100</v>
      </c>
      <c r="G21">
        <v>1</v>
      </c>
      <c r="H21">
        <v>14212</v>
      </c>
      <c r="I21" t="s">
        <v>18</v>
      </c>
      <c r="L21" t="s">
        <v>43</v>
      </c>
      <c r="M21" t="s">
        <v>73</v>
      </c>
      <c r="N21">
        <f t="shared" si="0"/>
        <v>10</v>
      </c>
      <c r="O21">
        <f t="shared" si="1"/>
        <v>11</v>
      </c>
      <c r="P21">
        <f t="shared" si="2"/>
        <v>21</v>
      </c>
    </row>
    <row r="22" spans="1:16" x14ac:dyDescent="0.3">
      <c r="A22" t="s">
        <v>9</v>
      </c>
      <c r="B22" t="s">
        <v>10</v>
      </c>
      <c r="C22" t="s">
        <v>35</v>
      </c>
      <c r="D22" t="s">
        <v>29</v>
      </c>
      <c r="E22" t="b">
        <v>1</v>
      </c>
      <c r="F22">
        <v>100</v>
      </c>
      <c r="G22">
        <v>1</v>
      </c>
      <c r="H22">
        <v>15909</v>
      </c>
      <c r="I22" t="s">
        <v>18</v>
      </c>
      <c r="L22" t="s">
        <v>45</v>
      </c>
      <c r="M22" t="s">
        <v>46</v>
      </c>
      <c r="N22">
        <f t="shared" si="0"/>
        <v>7</v>
      </c>
      <c r="O22">
        <f t="shared" si="1"/>
        <v>9</v>
      </c>
      <c r="P22">
        <f t="shared" si="2"/>
        <v>16</v>
      </c>
    </row>
    <row r="23" spans="1:16" x14ac:dyDescent="0.3">
      <c r="A23" t="s">
        <v>9</v>
      </c>
      <c r="B23" t="s">
        <v>10</v>
      </c>
      <c r="C23" t="s">
        <v>36</v>
      </c>
      <c r="D23" t="s">
        <v>29</v>
      </c>
      <c r="E23" t="b">
        <v>1</v>
      </c>
      <c r="F23">
        <v>100</v>
      </c>
      <c r="G23">
        <v>1</v>
      </c>
      <c r="H23">
        <v>14106</v>
      </c>
      <c r="I23" t="s">
        <v>18</v>
      </c>
      <c r="L23" t="s">
        <v>45</v>
      </c>
      <c r="M23" t="s">
        <v>48</v>
      </c>
      <c r="N23">
        <f t="shared" si="0"/>
        <v>7</v>
      </c>
      <c r="O23">
        <f t="shared" si="1"/>
        <v>10</v>
      </c>
      <c r="P23">
        <f t="shared" si="2"/>
        <v>17</v>
      </c>
    </row>
    <row r="24" spans="1:16" x14ac:dyDescent="0.3">
      <c r="A24" t="s">
        <v>9</v>
      </c>
      <c r="B24" t="s">
        <v>10</v>
      </c>
      <c r="C24" t="s">
        <v>37</v>
      </c>
      <c r="D24" t="s">
        <v>29</v>
      </c>
      <c r="E24" t="b">
        <v>1</v>
      </c>
      <c r="F24">
        <v>100</v>
      </c>
      <c r="G24">
        <v>1</v>
      </c>
      <c r="H24">
        <v>14668</v>
      </c>
      <c r="I24" t="s">
        <v>18</v>
      </c>
      <c r="L24" t="s">
        <v>45</v>
      </c>
      <c r="M24" t="s">
        <v>51</v>
      </c>
      <c r="N24">
        <f t="shared" si="0"/>
        <v>9</v>
      </c>
      <c r="O24">
        <f t="shared" si="1"/>
        <v>10</v>
      </c>
      <c r="P24">
        <f t="shared" si="2"/>
        <v>19</v>
      </c>
    </row>
    <row r="25" spans="1:16" x14ac:dyDescent="0.3">
      <c r="A25" t="s">
        <v>9</v>
      </c>
      <c r="B25" t="s">
        <v>10</v>
      </c>
      <c r="C25" t="s">
        <v>38</v>
      </c>
      <c r="D25" t="s">
        <v>29</v>
      </c>
      <c r="E25" t="b">
        <v>1</v>
      </c>
      <c r="F25">
        <v>100</v>
      </c>
      <c r="G25">
        <v>1</v>
      </c>
      <c r="H25">
        <v>16019</v>
      </c>
      <c r="I25" t="s">
        <v>18</v>
      </c>
      <c r="L25" t="s">
        <v>45</v>
      </c>
      <c r="M25" t="s">
        <v>53</v>
      </c>
      <c r="N25">
        <f t="shared" si="0"/>
        <v>4</v>
      </c>
      <c r="O25">
        <f t="shared" si="1"/>
        <v>2</v>
      </c>
      <c r="P25">
        <f t="shared" si="2"/>
        <v>6</v>
      </c>
    </row>
    <row r="26" spans="1:16" x14ac:dyDescent="0.3">
      <c r="A26" t="s">
        <v>9</v>
      </c>
      <c r="B26" t="s">
        <v>10</v>
      </c>
      <c r="C26" t="s">
        <v>39</v>
      </c>
      <c r="D26" t="s">
        <v>29</v>
      </c>
      <c r="E26" t="b">
        <v>1</v>
      </c>
      <c r="F26">
        <v>100</v>
      </c>
      <c r="G26">
        <v>1</v>
      </c>
      <c r="H26">
        <v>13269</v>
      </c>
      <c r="I26" t="s">
        <v>18</v>
      </c>
      <c r="L26" t="s">
        <v>45</v>
      </c>
      <c r="M26" t="s">
        <v>57</v>
      </c>
      <c r="N26">
        <f t="shared" si="0"/>
        <v>11</v>
      </c>
      <c r="O26">
        <f t="shared" si="1"/>
        <v>11</v>
      </c>
      <c r="P26">
        <f t="shared" si="2"/>
        <v>22</v>
      </c>
    </row>
    <row r="27" spans="1:16" x14ac:dyDescent="0.3">
      <c r="A27" t="s">
        <v>9</v>
      </c>
      <c r="B27" t="s">
        <v>10</v>
      </c>
      <c r="C27" t="s">
        <v>40</v>
      </c>
      <c r="D27" t="s">
        <v>29</v>
      </c>
      <c r="E27" t="b">
        <v>1</v>
      </c>
      <c r="F27">
        <v>100</v>
      </c>
      <c r="G27">
        <v>1</v>
      </c>
      <c r="H27">
        <v>13632</v>
      </c>
      <c r="I27" t="s">
        <v>18</v>
      </c>
      <c r="L27" t="s">
        <v>45</v>
      </c>
      <c r="M27" t="s">
        <v>61</v>
      </c>
      <c r="N27">
        <f t="shared" si="0"/>
        <v>3</v>
      </c>
      <c r="O27">
        <f t="shared" si="1"/>
        <v>1</v>
      </c>
      <c r="P27">
        <f t="shared" si="2"/>
        <v>4</v>
      </c>
    </row>
    <row r="28" spans="1:16" x14ac:dyDescent="0.3">
      <c r="A28" t="s">
        <v>9</v>
      </c>
      <c r="B28" t="s">
        <v>10</v>
      </c>
      <c r="C28" t="s">
        <v>41</v>
      </c>
      <c r="D28" t="s">
        <v>29</v>
      </c>
      <c r="E28" t="b">
        <v>1</v>
      </c>
      <c r="F28">
        <v>100</v>
      </c>
      <c r="G28">
        <v>1</v>
      </c>
      <c r="H28">
        <v>12926</v>
      </c>
      <c r="I28" t="s">
        <v>18</v>
      </c>
      <c r="L28" t="s">
        <v>45</v>
      </c>
      <c r="M28" t="s">
        <v>66</v>
      </c>
      <c r="N28">
        <f t="shared" si="0"/>
        <v>6</v>
      </c>
      <c r="O28">
        <f t="shared" si="1"/>
        <v>8</v>
      </c>
      <c r="P28">
        <f t="shared" si="2"/>
        <v>14</v>
      </c>
    </row>
    <row r="29" spans="1:16" x14ac:dyDescent="0.3">
      <c r="A29" t="s">
        <v>9</v>
      </c>
      <c r="B29" t="s">
        <v>10</v>
      </c>
      <c r="C29" t="s">
        <v>42</v>
      </c>
      <c r="D29" t="s">
        <v>29</v>
      </c>
      <c r="E29" t="b">
        <v>1</v>
      </c>
      <c r="F29">
        <v>100</v>
      </c>
      <c r="G29">
        <v>1</v>
      </c>
      <c r="H29">
        <v>14591</v>
      </c>
      <c r="I29" t="s">
        <v>13</v>
      </c>
      <c r="L29" t="s">
        <v>45</v>
      </c>
      <c r="M29" t="s">
        <v>68</v>
      </c>
      <c r="N29">
        <f t="shared" si="0"/>
        <v>5</v>
      </c>
      <c r="O29">
        <f t="shared" si="1"/>
        <v>9</v>
      </c>
      <c r="P29">
        <f t="shared" si="2"/>
        <v>14</v>
      </c>
    </row>
    <row r="30" spans="1:16" x14ac:dyDescent="0.3">
      <c r="A30" t="s">
        <v>43</v>
      </c>
      <c r="B30" t="s">
        <v>44</v>
      </c>
      <c r="C30" t="s">
        <v>11</v>
      </c>
      <c r="D30" t="s">
        <v>12</v>
      </c>
      <c r="E30" t="b">
        <v>1</v>
      </c>
      <c r="F30">
        <v>100</v>
      </c>
      <c r="G30">
        <v>1</v>
      </c>
      <c r="H30">
        <v>14115</v>
      </c>
      <c r="I30" t="s">
        <v>18</v>
      </c>
      <c r="L30" t="s">
        <v>45</v>
      </c>
      <c r="M30" t="s">
        <v>72</v>
      </c>
      <c r="N30">
        <f t="shared" si="0"/>
        <v>9</v>
      </c>
      <c r="O30">
        <f t="shared" si="1"/>
        <v>14</v>
      </c>
      <c r="P30">
        <f t="shared" si="2"/>
        <v>23</v>
      </c>
    </row>
    <row r="31" spans="1:16" x14ac:dyDescent="0.3">
      <c r="A31" t="s">
        <v>43</v>
      </c>
      <c r="B31" t="s">
        <v>44</v>
      </c>
      <c r="C31" t="s">
        <v>14</v>
      </c>
      <c r="D31" t="s">
        <v>12</v>
      </c>
      <c r="E31" t="b">
        <v>1</v>
      </c>
      <c r="F31">
        <v>100</v>
      </c>
      <c r="G31">
        <v>1</v>
      </c>
      <c r="H31">
        <v>26505</v>
      </c>
      <c r="I31" t="s">
        <v>18</v>
      </c>
      <c r="L31" t="s">
        <v>45</v>
      </c>
      <c r="M31" t="s">
        <v>75</v>
      </c>
      <c r="N31">
        <f t="shared" si="0"/>
        <v>7</v>
      </c>
      <c r="O31">
        <f t="shared" si="1"/>
        <v>9</v>
      </c>
      <c r="P31">
        <f t="shared" si="2"/>
        <v>16</v>
      </c>
    </row>
    <row r="32" spans="1:16" x14ac:dyDescent="0.3">
      <c r="A32" t="s">
        <v>43</v>
      </c>
      <c r="B32" t="s">
        <v>44</v>
      </c>
      <c r="C32" t="s">
        <v>15</v>
      </c>
      <c r="D32" t="s">
        <v>12</v>
      </c>
      <c r="E32" t="b">
        <v>1</v>
      </c>
      <c r="F32">
        <v>100</v>
      </c>
      <c r="G32">
        <v>1</v>
      </c>
      <c r="H32">
        <v>27807</v>
      </c>
      <c r="I32" t="s">
        <v>18</v>
      </c>
      <c r="N32">
        <f t="shared" ref="N32:P32" si="4">SUM(N2:N31)</f>
        <v>204</v>
      </c>
      <c r="O32">
        <f t="shared" si="4"/>
        <v>255</v>
      </c>
      <c r="P32">
        <f t="shared" si="4"/>
        <v>459</v>
      </c>
    </row>
    <row r="33" spans="1:9" x14ac:dyDescent="0.3">
      <c r="A33" t="s">
        <v>43</v>
      </c>
      <c r="B33" t="s">
        <v>44</v>
      </c>
      <c r="C33" t="s">
        <v>16</v>
      </c>
      <c r="D33" t="s">
        <v>12</v>
      </c>
      <c r="E33" t="b">
        <v>1</v>
      </c>
      <c r="F33">
        <v>100</v>
      </c>
      <c r="G33">
        <v>1</v>
      </c>
      <c r="H33">
        <v>19633</v>
      </c>
      <c r="I33" t="s">
        <v>18</v>
      </c>
    </row>
    <row r="34" spans="1:9" x14ac:dyDescent="0.3">
      <c r="A34" t="s">
        <v>43</v>
      </c>
      <c r="B34" t="s">
        <v>44</v>
      </c>
      <c r="C34" t="s">
        <v>17</v>
      </c>
      <c r="D34" t="s">
        <v>12</v>
      </c>
      <c r="E34" t="b">
        <v>1</v>
      </c>
      <c r="F34">
        <v>100</v>
      </c>
      <c r="G34">
        <v>1</v>
      </c>
      <c r="H34">
        <v>11516</v>
      </c>
      <c r="I34" t="s">
        <v>18</v>
      </c>
    </row>
    <row r="35" spans="1:9" x14ac:dyDescent="0.3">
      <c r="A35" t="s">
        <v>43</v>
      </c>
      <c r="B35" t="s">
        <v>44</v>
      </c>
      <c r="C35" t="s">
        <v>19</v>
      </c>
      <c r="D35" t="s">
        <v>12</v>
      </c>
      <c r="E35" t="b">
        <v>1</v>
      </c>
      <c r="F35">
        <v>100</v>
      </c>
      <c r="G35">
        <v>1</v>
      </c>
      <c r="H35">
        <v>14465</v>
      </c>
      <c r="I35" t="s">
        <v>18</v>
      </c>
    </row>
    <row r="36" spans="1:9" x14ac:dyDescent="0.3">
      <c r="A36" t="s">
        <v>43</v>
      </c>
      <c r="B36" t="s">
        <v>44</v>
      </c>
      <c r="C36" t="s">
        <v>20</v>
      </c>
      <c r="D36" t="s">
        <v>12</v>
      </c>
      <c r="E36" t="b">
        <v>1</v>
      </c>
      <c r="F36">
        <v>78.599999999999994</v>
      </c>
      <c r="G36">
        <v>0</v>
      </c>
      <c r="H36">
        <v>17218</v>
      </c>
      <c r="I36" t="s">
        <v>13</v>
      </c>
    </row>
    <row r="37" spans="1:9" x14ac:dyDescent="0.3">
      <c r="A37" t="s">
        <v>43</v>
      </c>
      <c r="B37" t="s">
        <v>44</v>
      </c>
      <c r="C37" t="s">
        <v>21</v>
      </c>
      <c r="D37" t="s">
        <v>29</v>
      </c>
      <c r="E37" t="b">
        <v>1</v>
      </c>
      <c r="F37">
        <v>100</v>
      </c>
      <c r="G37">
        <v>1</v>
      </c>
      <c r="H37">
        <v>9586</v>
      </c>
      <c r="I37" t="s">
        <v>18</v>
      </c>
    </row>
    <row r="38" spans="1:9" x14ac:dyDescent="0.3">
      <c r="A38" t="s">
        <v>43</v>
      </c>
      <c r="B38" t="s">
        <v>44</v>
      </c>
      <c r="C38" t="s">
        <v>22</v>
      </c>
      <c r="D38" t="s">
        <v>29</v>
      </c>
      <c r="E38" t="b">
        <v>1</v>
      </c>
      <c r="F38">
        <v>44.5</v>
      </c>
      <c r="G38">
        <v>0</v>
      </c>
      <c r="H38">
        <v>15364</v>
      </c>
      <c r="I38" t="s">
        <v>13</v>
      </c>
    </row>
    <row r="39" spans="1:9" x14ac:dyDescent="0.3">
      <c r="A39" t="s">
        <v>43</v>
      </c>
      <c r="B39" t="s">
        <v>44</v>
      </c>
      <c r="C39" t="s">
        <v>23</v>
      </c>
      <c r="D39" t="s">
        <v>29</v>
      </c>
      <c r="E39" t="b">
        <v>1</v>
      </c>
      <c r="F39">
        <v>68.2</v>
      </c>
      <c r="G39">
        <v>0</v>
      </c>
      <c r="H39">
        <v>14760</v>
      </c>
      <c r="I39" t="s">
        <v>13</v>
      </c>
    </row>
    <row r="40" spans="1:9" x14ac:dyDescent="0.3">
      <c r="A40" t="s">
        <v>43</v>
      </c>
      <c r="B40" t="s">
        <v>44</v>
      </c>
      <c r="C40" t="s">
        <v>24</v>
      </c>
      <c r="D40" t="s">
        <v>29</v>
      </c>
      <c r="E40" t="b">
        <v>1</v>
      </c>
      <c r="F40">
        <v>100</v>
      </c>
      <c r="G40">
        <v>1</v>
      </c>
      <c r="H40">
        <v>10538</v>
      </c>
      <c r="I40" t="s">
        <v>18</v>
      </c>
    </row>
    <row r="41" spans="1:9" x14ac:dyDescent="0.3">
      <c r="A41" t="s">
        <v>43</v>
      </c>
      <c r="B41" t="s">
        <v>44</v>
      </c>
      <c r="C41" t="s">
        <v>25</v>
      </c>
      <c r="D41" t="s">
        <v>29</v>
      </c>
      <c r="E41" t="b">
        <v>1</v>
      </c>
      <c r="F41">
        <v>47</v>
      </c>
      <c r="G41">
        <v>0</v>
      </c>
      <c r="H41">
        <v>15882</v>
      </c>
      <c r="I41" t="s">
        <v>13</v>
      </c>
    </row>
    <row r="42" spans="1:9" x14ac:dyDescent="0.3">
      <c r="A42" t="s">
        <v>45</v>
      </c>
      <c r="B42" t="s">
        <v>46</v>
      </c>
      <c r="C42" t="s">
        <v>11</v>
      </c>
      <c r="D42" t="s">
        <v>12</v>
      </c>
      <c r="E42" t="b">
        <v>1</v>
      </c>
      <c r="F42">
        <v>64.400000000000006</v>
      </c>
      <c r="G42">
        <v>0</v>
      </c>
      <c r="H42">
        <v>15051</v>
      </c>
      <c r="I42" t="s">
        <v>13</v>
      </c>
    </row>
    <row r="43" spans="1:9" x14ac:dyDescent="0.3">
      <c r="A43" t="s">
        <v>45</v>
      </c>
      <c r="B43" t="s">
        <v>46</v>
      </c>
      <c r="C43" t="s">
        <v>14</v>
      </c>
      <c r="D43" t="s">
        <v>12</v>
      </c>
      <c r="E43" t="b">
        <v>1</v>
      </c>
      <c r="F43">
        <v>86.6</v>
      </c>
      <c r="G43">
        <v>0</v>
      </c>
      <c r="H43">
        <v>12594</v>
      </c>
      <c r="I43" t="s">
        <v>13</v>
      </c>
    </row>
    <row r="44" spans="1:9" x14ac:dyDescent="0.3">
      <c r="A44" t="s">
        <v>45</v>
      </c>
      <c r="B44" t="s">
        <v>46</v>
      </c>
      <c r="C44" t="s">
        <v>15</v>
      </c>
      <c r="D44" t="s">
        <v>12</v>
      </c>
      <c r="E44" t="b">
        <v>1</v>
      </c>
      <c r="F44">
        <v>82.1</v>
      </c>
      <c r="G44">
        <v>0</v>
      </c>
      <c r="H44">
        <v>9768</v>
      </c>
      <c r="I44" t="s">
        <v>13</v>
      </c>
    </row>
    <row r="45" spans="1:9" x14ac:dyDescent="0.3">
      <c r="A45" t="s">
        <v>45</v>
      </c>
      <c r="B45" t="s">
        <v>46</v>
      </c>
      <c r="C45" t="s">
        <v>16</v>
      </c>
      <c r="D45" t="s">
        <v>12</v>
      </c>
      <c r="E45" t="b">
        <v>1</v>
      </c>
      <c r="F45">
        <v>100</v>
      </c>
      <c r="G45">
        <v>1</v>
      </c>
      <c r="H45">
        <v>9078</v>
      </c>
      <c r="I45" t="s">
        <v>18</v>
      </c>
    </row>
    <row r="46" spans="1:9" x14ac:dyDescent="0.3">
      <c r="A46" t="s">
        <v>45</v>
      </c>
      <c r="B46" t="s">
        <v>46</v>
      </c>
      <c r="C46" t="s">
        <v>17</v>
      </c>
      <c r="D46" t="s">
        <v>12</v>
      </c>
      <c r="E46" t="b">
        <v>1</v>
      </c>
      <c r="F46">
        <v>82.1</v>
      </c>
      <c r="G46">
        <v>0</v>
      </c>
      <c r="H46">
        <v>9633</v>
      </c>
      <c r="I46" t="s">
        <v>13</v>
      </c>
    </row>
    <row r="47" spans="1:9" x14ac:dyDescent="0.3">
      <c r="A47" t="s">
        <v>45</v>
      </c>
      <c r="B47" t="s">
        <v>46</v>
      </c>
      <c r="C47" t="s">
        <v>19</v>
      </c>
      <c r="D47" t="s">
        <v>12</v>
      </c>
      <c r="E47" t="b">
        <v>1</v>
      </c>
      <c r="F47">
        <v>82.1</v>
      </c>
      <c r="G47">
        <v>0</v>
      </c>
      <c r="H47">
        <v>9647</v>
      </c>
      <c r="I47" t="s">
        <v>13</v>
      </c>
    </row>
    <row r="48" spans="1:9" x14ac:dyDescent="0.3">
      <c r="A48" t="s">
        <v>45</v>
      </c>
      <c r="B48" t="s">
        <v>46</v>
      </c>
      <c r="C48" t="s">
        <v>20</v>
      </c>
      <c r="D48" t="s">
        <v>12</v>
      </c>
      <c r="E48" t="b">
        <v>1</v>
      </c>
      <c r="F48">
        <v>100</v>
      </c>
      <c r="G48">
        <v>1</v>
      </c>
      <c r="H48">
        <v>9026</v>
      </c>
      <c r="I48" t="s">
        <v>18</v>
      </c>
    </row>
    <row r="49" spans="1:9" x14ac:dyDescent="0.3">
      <c r="A49" t="s">
        <v>45</v>
      </c>
      <c r="B49" t="s">
        <v>46</v>
      </c>
      <c r="C49" t="s">
        <v>21</v>
      </c>
      <c r="D49" t="s">
        <v>29</v>
      </c>
      <c r="E49" t="b">
        <v>1</v>
      </c>
      <c r="F49">
        <v>75.2</v>
      </c>
      <c r="G49">
        <v>0</v>
      </c>
      <c r="H49">
        <v>11608</v>
      </c>
      <c r="I49" t="s">
        <v>13</v>
      </c>
    </row>
    <row r="50" spans="1:9" x14ac:dyDescent="0.3">
      <c r="A50" t="s">
        <v>45</v>
      </c>
      <c r="B50" t="s">
        <v>46</v>
      </c>
      <c r="C50" t="s">
        <v>22</v>
      </c>
      <c r="D50" t="s">
        <v>29</v>
      </c>
      <c r="E50" t="b">
        <v>1</v>
      </c>
      <c r="F50">
        <v>81.599999999999994</v>
      </c>
      <c r="G50">
        <v>0</v>
      </c>
      <c r="H50">
        <v>10879</v>
      </c>
      <c r="I50" t="s">
        <v>13</v>
      </c>
    </row>
    <row r="51" spans="1:9" x14ac:dyDescent="0.3">
      <c r="A51" t="s">
        <v>45</v>
      </c>
      <c r="B51" t="s">
        <v>46</v>
      </c>
      <c r="C51" t="s">
        <v>23</v>
      </c>
      <c r="D51" t="s">
        <v>29</v>
      </c>
      <c r="E51" t="b">
        <v>1</v>
      </c>
      <c r="F51">
        <v>100</v>
      </c>
      <c r="G51">
        <v>1</v>
      </c>
      <c r="H51">
        <v>10379</v>
      </c>
      <c r="I51" t="s">
        <v>18</v>
      </c>
    </row>
    <row r="52" spans="1:9" x14ac:dyDescent="0.3">
      <c r="A52" t="s">
        <v>45</v>
      </c>
      <c r="B52" t="s">
        <v>46</v>
      </c>
      <c r="C52" t="s">
        <v>24</v>
      </c>
      <c r="D52" t="s">
        <v>29</v>
      </c>
      <c r="E52" t="b">
        <v>1</v>
      </c>
      <c r="F52">
        <v>96.5</v>
      </c>
      <c r="G52">
        <v>0</v>
      </c>
      <c r="H52">
        <v>11058</v>
      </c>
      <c r="I52" t="s">
        <v>13</v>
      </c>
    </row>
    <row r="53" spans="1:9" x14ac:dyDescent="0.3">
      <c r="A53" t="s">
        <v>45</v>
      </c>
      <c r="B53" t="s">
        <v>46</v>
      </c>
      <c r="C53" t="s">
        <v>25</v>
      </c>
      <c r="D53" t="s">
        <v>29</v>
      </c>
      <c r="E53" t="b">
        <v>1</v>
      </c>
      <c r="F53">
        <v>97</v>
      </c>
      <c r="G53">
        <v>0</v>
      </c>
      <c r="H53">
        <v>9812</v>
      </c>
      <c r="I53" t="s">
        <v>13</v>
      </c>
    </row>
    <row r="54" spans="1:9" x14ac:dyDescent="0.3">
      <c r="A54" t="s">
        <v>45</v>
      </c>
      <c r="B54" t="s">
        <v>46</v>
      </c>
      <c r="C54" t="s">
        <v>26</v>
      </c>
      <c r="D54" t="s">
        <v>29</v>
      </c>
      <c r="E54" t="b">
        <v>1</v>
      </c>
      <c r="F54">
        <v>100</v>
      </c>
      <c r="G54">
        <v>1</v>
      </c>
      <c r="H54">
        <v>9942</v>
      </c>
      <c r="I54" t="s">
        <v>18</v>
      </c>
    </row>
    <row r="55" spans="1:9" x14ac:dyDescent="0.3">
      <c r="A55" t="s">
        <v>45</v>
      </c>
      <c r="B55" t="s">
        <v>46</v>
      </c>
      <c r="C55" t="s">
        <v>27</v>
      </c>
      <c r="D55" t="s">
        <v>29</v>
      </c>
      <c r="E55" t="b">
        <v>1</v>
      </c>
      <c r="F55">
        <v>100</v>
      </c>
      <c r="G55">
        <v>1</v>
      </c>
      <c r="H55">
        <v>9447</v>
      </c>
      <c r="I55" t="s">
        <v>18</v>
      </c>
    </row>
    <row r="56" spans="1:9" x14ac:dyDescent="0.3">
      <c r="A56" t="s">
        <v>45</v>
      </c>
      <c r="B56" t="s">
        <v>46</v>
      </c>
      <c r="C56" t="s">
        <v>28</v>
      </c>
      <c r="D56" t="s">
        <v>29</v>
      </c>
      <c r="E56" t="b">
        <v>1</v>
      </c>
      <c r="F56">
        <v>91.9</v>
      </c>
      <c r="G56">
        <v>0</v>
      </c>
      <c r="H56">
        <v>9495</v>
      </c>
      <c r="I56" t="s">
        <v>13</v>
      </c>
    </row>
    <row r="57" spans="1:9" x14ac:dyDescent="0.3">
      <c r="A57" t="s">
        <v>45</v>
      </c>
      <c r="B57" t="s">
        <v>46</v>
      </c>
      <c r="C57" t="s">
        <v>30</v>
      </c>
      <c r="D57" t="s">
        <v>29</v>
      </c>
      <c r="E57" t="b">
        <v>1</v>
      </c>
      <c r="F57">
        <v>93.3</v>
      </c>
      <c r="G57">
        <v>0</v>
      </c>
      <c r="H57">
        <v>9336</v>
      </c>
      <c r="I57" t="s">
        <v>13</v>
      </c>
    </row>
    <row r="58" spans="1:9" x14ac:dyDescent="0.3">
      <c r="A58" t="s">
        <v>9</v>
      </c>
      <c r="B58" t="s">
        <v>47</v>
      </c>
      <c r="C58" t="s">
        <v>11</v>
      </c>
      <c r="D58" t="s">
        <v>12</v>
      </c>
      <c r="E58" t="b">
        <v>1</v>
      </c>
      <c r="F58">
        <v>83.5</v>
      </c>
      <c r="G58">
        <v>0</v>
      </c>
      <c r="H58">
        <v>11630</v>
      </c>
      <c r="I58" t="s">
        <v>13</v>
      </c>
    </row>
    <row r="59" spans="1:9" x14ac:dyDescent="0.3">
      <c r="A59" t="s">
        <v>9</v>
      </c>
      <c r="B59" t="s">
        <v>47</v>
      </c>
      <c r="C59" t="s">
        <v>14</v>
      </c>
      <c r="D59" t="s">
        <v>12</v>
      </c>
      <c r="E59" t="b">
        <v>1</v>
      </c>
      <c r="F59">
        <v>100</v>
      </c>
      <c r="G59">
        <v>1</v>
      </c>
      <c r="H59">
        <v>9041</v>
      </c>
      <c r="I59" t="s">
        <v>18</v>
      </c>
    </row>
    <row r="60" spans="1:9" x14ac:dyDescent="0.3">
      <c r="A60" t="s">
        <v>9</v>
      </c>
      <c r="B60" t="s">
        <v>47</v>
      </c>
      <c r="C60" t="s">
        <v>15</v>
      </c>
      <c r="D60" t="s">
        <v>12</v>
      </c>
      <c r="E60" t="b">
        <v>1</v>
      </c>
      <c r="F60">
        <v>100</v>
      </c>
      <c r="G60">
        <v>1</v>
      </c>
      <c r="H60">
        <v>9017</v>
      </c>
      <c r="I60" t="s">
        <v>18</v>
      </c>
    </row>
    <row r="61" spans="1:9" x14ac:dyDescent="0.3">
      <c r="A61" t="s">
        <v>9</v>
      </c>
      <c r="B61" t="s">
        <v>47</v>
      </c>
      <c r="C61" t="s">
        <v>16</v>
      </c>
      <c r="D61" t="s">
        <v>12</v>
      </c>
      <c r="E61" t="b">
        <v>1</v>
      </c>
      <c r="F61">
        <v>47.1</v>
      </c>
      <c r="G61">
        <v>0</v>
      </c>
      <c r="H61">
        <v>14503</v>
      </c>
      <c r="I61" t="s">
        <v>13</v>
      </c>
    </row>
    <row r="62" spans="1:9" x14ac:dyDescent="0.3">
      <c r="A62" t="s">
        <v>9</v>
      </c>
      <c r="B62" t="s">
        <v>47</v>
      </c>
      <c r="C62" t="s">
        <v>17</v>
      </c>
      <c r="D62" t="s">
        <v>12</v>
      </c>
      <c r="E62" t="b">
        <v>1</v>
      </c>
      <c r="F62">
        <v>45.4</v>
      </c>
      <c r="G62">
        <v>0</v>
      </c>
      <c r="H62">
        <v>26028</v>
      </c>
      <c r="I62" t="s">
        <v>18</v>
      </c>
    </row>
    <row r="63" spans="1:9" x14ac:dyDescent="0.3">
      <c r="A63" t="s">
        <v>9</v>
      </c>
      <c r="B63" t="s">
        <v>47</v>
      </c>
      <c r="C63" t="s">
        <v>19</v>
      </c>
      <c r="D63" t="s">
        <v>29</v>
      </c>
      <c r="E63" t="b">
        <v>1</v>
      </c>
      <c r="F63">
        <v>65.8</v>
      </c>
      <c r="G63">
        <v>0</v>
      </c>
      <c r="H63">
        <v>19295</v>
      </c>
      <c r="I63" t="s">
        <v>13</v>
      </c>
    </row>
    <row r="64" spans="1:9" x14ac:dyDescent="0.3">
      <c r="A64" t="s">
        <v>9</v>
      </c>
      <c r="B64" t="s">
        <v>47</v>
      </c>
      <c r="C64" t="s">
        <v>20</v>
      </c>
      <c r="D64" t="s">
        <v>29</v>
      </c>
      <c r="E64" t="b">
        <v>1</v>
      </c>
      <c r="F64">
        <v>81.2</v>
      </c>
      <c r="G64">
        <v>0</v>
      </c>
      <c r="H64">
        <v>16803</v>
      </c>
      <c r="I64" t="s">
        <v>13</v>
      </c>
    </row>
    <row r="65" spans="1:9" x14ac:dyDescent="0.3">
      <c r="A65" t="s">
        <v>9</v>
      </c>
      <c r="B65" t="s">
        <v>47</v>
      </c>
      <c r="C65" t="s">
        <v>21</v>
      </c>
      <c r="D65" t="s">
        <v>29</v>
      </c>
      <c r="E65" t="b">
        <v>1</v>
      </c>
      <c r="F65">
        <v>100</v>
      </c>
      <c r="G65">
        <v>1</v>
      </c>
      <c r="H65">
        <v>11724</v>
      </c>
      <c r="I65" t="s">
        <v>18</v>
      </c>
    </row>
    <row r="66" spans="1:9" x14ac:dyDescent="0.3">
      <c r="A66" t="s">
        <v>9</v>
      </c>
      <c r="B66" t="s">
        <v>47</v>
      </c>
      <c r="C66" t="s">
        <v>22</v>
      </c>
      <c r="D66" t="s">
        <v>29</v>
      </c>
      <c r="E66" t="b">
        <v>1</v>
      </c>
      <c r="F66">
        <v>100</v>
      </c>
      <c r="G66">
        <v>1</v>
      </c>
      <c r="H66">
        <v>11780</v>
      </c>
      <c r="I66" t="s">
        <v>18</v>
      </c>
    </row>
    <row r="67" spans="1:9" x14ac:dyDescent="0.3">
      <c r="A67" t="s">
        <v>9</v>
      </c>
      <c r="B67" t="s">
        <v>47</v>
      </c>
      <c r="C67" t="s">
        <v>23</v>
      </c>
      <c r="D67" t="s">
        <v>29</v>
      </c>
      <c r="E67" t="b">
        <v>1</v>
      </c>
      <c r="F67">
        <v>95.2</v>
      </c>
      <c r="G67">
        <v>0</v>
      </c>
      <c r="H67">
        <v>14631</v>
      </c>
      <c r="I67" t="s">
        <v>13</v>
      </c>
    </row>
    <row r="68" spans="1:9" x14ac:dyDescent="0.3">
      <c r="A68" t="s">
        <v>9</v>
      </c>
      <c r="B68" t="s">
        <v>47</v>
      </c>
      <c r="C68" t="s">
        <v>24</v>
      </c>
      <c r="D68" t="s">
        <v>29</v>
      </c>
      <c r="E68" t="b">
        <v>1</v>
      </c>
      <c r="F68">
        <v>100</v>
      </c>
      <c r="G68">
        <v>1</v>
      </c>
      <c r="H68">
        <v>11235</v>
      </c>
      <c r="I68" t="s">
        <v>18</v>
      </c>
    </row>
    <row r="69" spans="1:9" x14ac:dyDescent="0.3">
      <c r="A69" t="s">
        <v>9</v>
      </c>
      <c r="B69" t="s">
        <v>47</v>
      </c>
      <c r="C69" t="s">
        <v>25</v>
      </c>
      <c r="D69" t="s">
        <v>29</v>
      </c>
      <c r="E69" t="b">
        <v>1</v>
      </c>
      <c r="F69">
        <v>70.8</v>
      </c>
      <c r="G69">
        <v>0</v>
      </c>
      <c r="H69">
        <v>17009</v>
      </c>
      <c r="I69" t="s">
        <v>13</v>
      </c>
    </row>
    <row r="70" spans="1:9" x14ac:dyDescent="0.3">
      <c r="A70" t="s">
        <v>9</v>
      </c>
      <c r="B70" t="s">
        <v>47</v>
      </c>
      <c r="C70" t="s">
        <v>26</v>
      </c>
      <c r="D70" t="s">
        <v>29</v>
      </c>
      <c r="E70" t="b">
        <v>1</v>
      </c>
      <c r="F70">
        <v>100</v>
      </c>
      <c r="G70">
        <v>1</v>
      </c>
      <c r="H70">
        <v>14157</v>
      </c>
      <c r="I70" t="s">
        <v>18</v>
      </c>
    </row>
    <row r="71" spans="1:9" x14ac:dyDescent="0.3">
      <c r="A71" t="s">
        <v>9</v>
      </c>
      <c r="B71" t="s">
        <v>47</v>
      </c>
      <c r="C71" t="s">
        <v>27</v>
      </c>
      <c r="D71" t="s">
        <v>29</v>
      </c>
      <c r="E71" t="b">
        <v>1</v>
      </c>
      <c r="F71">
        <v>100</v>
      </c>
      <c r="G71">
        <v>1</v>
      </c>
      <c r="H71">
        <v>15509</v>
      </c>
      <c r="I71" t="s">
        <v>18</v>
      </c>
    </row>
    <row r="72" spans="1:9" x14ac:dyDescent="0.3">
      <c r="A72" t="s">
        <v>9</v>
      </c>
      <c r="B72" t="s">
        <v>47</v>
      </c>
      <c r="C72" t="s">
        <v>28</v>
      </c>
      <c r="D72" t="s">
        <v>29</v>
      </c>
      <c r="E72" t="b">
        <v>1</v>
      </c>
      <c r="F72">
        <v>100</v>
      </c>
      <c r="G72">
        <v>1</v>
      </c>
      <c r="H72">
        <v>14985</v>
      </c>
      <c r="I72" t="s">
        <v>18</v>
      </c>
    </row>
    <row r="73" spans="1:9" x14ac:dyDescent="0.3">
      <c r="A73" t="s">
        <v>45</v>
      </c>
      <c r="B73" t="s">
        <v>48</v>
      </c>
      <c r="C73" t="s">
        <v>11</v>
      </c>
      <c r="D73" t="s">
        <v>12</v>
      </c>
      <c r="E73" t="b">
        <v>1</v>
      </c>
      <c r="F73">
        <v>100</v>
      </c>
      <c r="G73">
        <v>1</v>
      </c>
      <c r="H73">
        <v>9851</v>
      </c>
      <c r="I73" t="s">
        <v>18</v>
      </c>
    </row>
    <row r="74" spans="1:9" x14ac:dyDescent="0.3">
      <c r="A74" t="s">
        <v>45</v>
      </c>
      <c r="B74" t="s">
        <v>48</v>
      </c>
      <c r="C74" t="s">
        <v>14</v>
      </c>
      <c r="D74" t="s">
        <v>12</v>
      </c>
      <c r="E74" t="b">
        <v>1</v>
      </c>
      <c r="F74">
        <v>100</v>
      </c>
      <c r="G74">
        <v>1</v>
      </c>
      <c r="H74">
        <v>11173</v>
      </c>
      <c r="I74" t="s">
        <v>18</v>
      </c>
    </row>
    <row r="75" spans="1:9" x14ac:dyDescent="0.3">
      <c r="A75" t="s">
        <v>45</v>
      </c>
      <c r="B75" t="s">
        <v>48</v>
      </c>
      <c r="C75" t="s">
        <v>15</v>
      </c>
      <c r="D75" t="s">
        <v>12</v>
      </c>
      <c r="E75" t="b">
        <v>1</v>
      </c>
      <c r="F75">
        <v>100</v>
      </c>
      <c r="G75">
        <v>1</v>
      </c>
      <c r="H75">
        <v>9607</v>
      </c>
      <c r="I75" t="s">
        <v>18</v>
      </c>
    </row>
    <row r="76" spans="1:9" x14ac:dyDescent="0.3">
      <c r="A76" t="s">
        <v>45</v>
      </c>
      <c r="B76" t="s">
        <v>48</v>
      </c>
      <c r="C76" t="s">
        <v>16</v>
      </c>
      <c r="D76" t="s">
        <v>12</v>
      </c>
      <c r="E76" t="b">
        <v>1</v>
      </c>
      <c r="F76">
        <v>86.1</v>
      </c>
      <c r="G76">
        <v>0</v>
      </c>
      <c r="H76">
        <v>12546</v>
      </c>
      <c r="I76" t="s">
        <v>13</v>
      </c>
    </row>
    <row r="77" spans="1:9" x14ac:dyDescent="0.3">
      <c r="A77" t="s">
        <v>45</v>
      </c>
      <c r="B77" t="s">
        <v>48</v>
      </c>
      <c r="C77" t="s">
        <v>17</v>
      </c>
      <c r="D77" t="s">
        <v>12</v>
      </c>
      <c r="E77" t="b">
        <v>1</v>
      </c>
      <c r="F77">
        <v>86.1</v>
      </c>
      <c r="G77">
        <v>0</v>
      </c>
      <c r="H77">
        <v>22810</v>
      </c>
      <c r="I77" t="s">
        <v>13</v>
      </c>
    </row>
    <row r="78" spans="1:9" x14ac:dyDescent="0.3">
      <c r="A78" t="s">
        <v>45</v>
      </c>
      <c r="B78" t="s">
        <v>48</v>
      </c>
      <c r="C78" t="s">
        <v>19</v>
      </c>
      <c r="D78" t="s">
        <v>12</v>
      </c>
      <c r="E78" t="b">
        <v>1</v>
      </c>
      <c r="F78">
        <v>100</v>
      </c>
      <c r="G78">
        <v>1</v>
      </c>
      <c r="H78">
        <v>19958</v>
      </c>
      <c r="I78" t="s">
        <v>18</v>
      </c>
    </row>
    <row r="79" spans="1:9" x14ac:dyDescent="0.3">
      <c r="A79" t="s">
        <v>45</v>
      </c>
      <c r="B79" t="s">
        <v>48</v>
      </c>
      <c r="C79" t="s">
        <v>20</v>
      </c>
      <c r="D79" t="s">
        <v>12</v>
      </c>
      <c r="E79" t="b">
        <v>1</v>
      </c>
      <c r="F79">
        <v>100</v>
      </c>
      <c r="G79">
        <v>1</v>
      </c>
      <c r="H79">
        <v>9111</v>
      </c>
      <c r="I79" t="s">
        <v>18</v>
      </c>
    </row>
    <row r="80" spans="1:9" x14ac:dyDescent="0.3">
      <c r="A80" t="s">
        <v>45</v>
      </c>
      <c r="B80" t="s">
        <v>48</v>
      </c>
      <c r="C80" t="s">
        <v>21</v>
      </c>
      <c r="D80" t="s">
        <v>29</v>
      </c>
      <c r="E80" t="b">
        <v>1</v>
      </c>
      <c r="F80">
        <v>34.6</v>
      </c>
      <c r="G80">
        <v>0</v>
      </c>
      <c r="H80">
        <v>15444</v>
      </c>
      <c r="I80" t="s">
        <v>13</v>
      </c>
    </row>
    <row r="81" spans="1:9" x14ac:dyDescent="0.3">
      <c r="A81" t="s">
        <v>45</v>
      </c>
      <c r="B81" t="s">
        <v>48</v>
      </c>
      <c r="C81" t="s">
        <v>22</v>
      </c>
      <c r="D81" t="s">
        <v>29</v>
      </c>
      <c r="E81" t="b">
        <v>1</v>
      </c>
      <c r="F81">
        <v>60.2</v>
      </c>
      <c r="G81">
        <v>0</v>
      </c>
      <c r="H81">
        <v>12368</v>
      </c>
      <c r="I81" t="s">
        <v>13</v>
      </c>
    </row>
    <row r="82" spans="1:9" x14ac:dyDescent="0.3">
      <c r="A82" t="s">
        <v>45</v>
      </c>
      <c r="B82" t="s">
        <v>48</v>
      </c>
      <c r="C82" t="s">
        <v>23</v>
      </c>
      <c r="D82" t="s">
        <v>29</v>
      </c>
      <c r="E82" t="b">
        <v>1</v>
      </c>
      <c r="F82">
        <v>100</v>
      </c>
      <c r="G82">
        <v>1</v>
      </c>
      <c r="H82">
        <v>8376</v>
      </c>
      <c r="I82" t="s">
        <v>18</v>
      </c>
    </row>
    <row r="83" spans="1:9" x14ac:dyDescent="0.3">
      <c r="A83" t="s">
        <v>45</v>
      </c>
      <c r="B83" t="s">
        <v>48</v>
      </c>
      <c r="C83" t="s">
        <v>24</v>
      </c>
      <c r="D83" t="s">
        <v>29</v>
      </c>
      <c r="E83" t="b">
        <v>1</v>
      </c>
      <c r="F83">
        <v>96.3</v>
      </c>
      <c r="G83">
        <v>0</v>
      </c>
      <c r="H83">
        <v>9500</v>
      </c>
      <c r="I83" t="s">
        <v>13</v>
      </c>
    </row>
    <row r="84" spans="1:9" x14ac:dyDescent="0.3">
      <c r="A84" t="s">
        <v>45</v>
      </c>
      <c r="B84" t="s">
        <v>48</v>
      </c>
      <c r="C84" t="s">
        <v>25</v>
      </c>
      <c r="D84" t="s">
        <v>29</v>
      </c>
      <c r="E84" t="b">
        <v>1</v>
      </c>
      <c r="F84">
        <v>100</v>
      </c>
      <c r="G84">
        <v>1</v>
      </c>
      <c r="H84">
        <v>10687</v>
      </c>
      <c r="I84" t="s">
        <v>18</v>
      </c>
    </row>
    <row r="85" spans="1:9" x14ac:dyDescent="0.3">
      <c r="A85" t="s">
        <v>45</v>
      </c>
      <c r="B85" t="s">
        <v>48</v>
      </c>
      <c r="C85" t="s">
        <v>26</v>
      </c>
      <c r="D85" t="s">
        <v>29</v>
      </c>
      <c r="E85" t="b">
        <v>1</v>
      </c>
      <c r="F85">
        <v>100</v>
      </c>
      <c r="G85">
        <v>1</v>
      </c>
      <c r="H85">
        <v>8481</v>
      </c>
      <c r="I85" t="s">
        <v>18</v>
      </c>
    </row>
    <row r="86" spans="1:9" x14ac:dyDescent="0.3">
      <c r="A86" t="s">
        <v>45</v>
      </c>
      <c r="B86" t="s">
        <v>48</v>
      </c>
      <c r="C86" t="s">
        <v>27</v>
      </c>
      <c r="D86" t="s">
        <v>29</v>
      </c>
      <c r="E86" t="b">
        <v>1</v>
      </c>
      <c r="F86">
        <v>100</v>
      </c>
      <c r="G86">
        <v>1</v>
      </c>
      <c r="H86">
        <v>11209</v>
      </c>
      <c r="I86" t="s">
        <v>18</v>
      </c>
    </row>
    <row r="87" spans="1:9" x14ac:dyDescent="0.3">
      <c r="A87" t="s">
        <v>45</v>
      </c>
      <c r="B87" t="s">
        <v>48</v>
      </c>
      <c r="C87" t="s">
        <v>28</v>
      </c>
      <c r="D87" t="s">
        <v>29</v>
      </c>
      <c r="E87" t="b">
        <v>1</v>
      </c>
      <c r="F87">
        <v>100</v>
      </c>
      <c r="G87">
        <v>1</v>
      </c>
      <c r="H87">
        <v>13193</v>
      </c>
      <c r="I87" t="s">
        <v>18</v>
      </c>
    </row>
    <row r="88" spans="1:9" x14ac:dyDescent="0.3">
      <c r="A88" t="s">
        <v>45</v>
      </c>
      <c r="B88" t="s">
        <v>48</v>
      </c>
      <c r="C88" t="s">
        <v>30</v>
      </c>
      <c r="D88" t="s">
        <v>29</v>
      </c>
      <c r="E88" t="b">
        <v>1</v>
      </c>
      <c r="F88">
        <v>99.9</v>
      </c>
      <c r="G88">
        <v>0</v>
      </c>
      <c r="H88">
        <v>14853</v>
      </c>
      <c r="I88" t="s">
        <v>18</v>
      </c>
    </row>
    <row r="89" spans="1:9" x14ac:dyDescent="0.3">
      <c r="A89" t="s">
        <v>45</v>
      </c>
      <c r="B89" t="s">
        <v>48</v>
      </c>
      <c r="C89" t="s">
        <v>31</v>
      </c>
      <c r="D89" t="s">
        <v>29</v>
      </c>
      <c r="E89" t="b">
        <v>1</v>
      </c>
      <c r="F89">
        <v>68.900000000000006</v>
      </c>
      <c r="G89">
        <v>0</v>
      </c>
      <c r="H89">
        <v>14714</v>
      </c>
      <c r="I89" t="s">
        <v>13</v>
      </c>
    </row>
    <row r="90" spans="1:9" x14ac:dyDescent="0.3">
      <c r="A90" t="s">
        <v>43</v>
      </c>
      <c r="B90" t="s">
        <v>49</v>
      </c>
      <c r="C90" t="s">
        <v>11</v>
      </c>
      <c r="D90" t="s">
        <v>12</v>
      </c>
      <c r="E90" t="b">
        <v>1</v>
      </c>
      <c r="F90">
        <v>100</v>
      </c>
      <c r="G90">
        <v>1</v>
      </c>
      <c r="H90">
        <v>10277</v>
      </c>
      <c r="I90" t="s">
        <v>18</v>
      </c>
    </row>
    <row r="91" spans="1:9" x14ac:dyDescent="0.3">
      <c r="A91" t="s">
        <v>43</v>
      </c>
      <c r="B91" t="s">
        <v>49</v>
      </c>
      <c r="C91" t="s">
        <v>14</v>
      </c>
      <c r="D91" t="s">
        <v>12</v>
      </c>
      <c r="E91" t="b">
        <v>1</v>
      </c>
      <c r="F91">
        <v>100</v>
      </c>
      <c r="G91">
        <v>1</v>
      </c>
      <c r="H91">
        <v>15914</v>
      </c>
      <c r="I91" t="s">
        <v>18</v>
      </c>
    </row>
    <row r="92" spans="1:9" x14ac:dyDescent="0.3">
      <c r="A92" t="s">
        <v>43</v>
      </c>
      <c r="B92" t="s">
        <v>49</v>
      </c>
      <c r="C92" t="s">
        <v>15</v>
      </c>
      <c r="D92" t="s">
        <v>12</v>
      </c>
      <c r="E92" t="b">
        <v>1</v>
      </c>
      <c r="F92">
        <v>100</v>
      </c>
      <c r="G92">
        <v>1</v>
      </c>
      <c r="H92">
        <v>16666</v>
      </c>
      <c r="I92" t="s">
        <v>18</v>
      </c>
    </row>
    <row r="93" spans="1:9" x14ac:dyDescent="0.3">
      <c r="A93" t="s">
        <v>43</v>
      </c>
      <c r="B93" t="s">
        <v>49</v>
      </c>
      <c r="C93" t="s">
        <v>16</v>
      </c>
      <c r="D93" t="s">
        <v>12</v>
      </c>
      <c r="E93" t="b">
        <v>1</v>
      </c>
      <c r="F93">
        <v>100</v>
      </c>
      <c r="G93">
        <v>1</v>
      </c>
      <c r="H93">
        <v>17904</v>
      </c>
      <c r="I93" t="s">
        <v>18</v>
      </c>
    </row>
    <row r="94" spans="1:9" x14ac:dyDescent="0.3">
      <c r="A94" t="s">
        <v>43</v>
      </c>
      <c r="B94" t="s">
        <v>49</v>
      </c>
      <c r="C94" t="s">
        <v>17</v>
      </c>
      <c r="D94" t="s">
        <v>12</v>
      </c>
      <c r="E94" t="b">
        <v>1</v>
      </c>
      <c r="F94">
        <v>100</v>
      </c>
      <c r="G94">
        <v>1</v>
      </c>
      <c r="H94">
        <v>18509</v>
      </c>
      <c r="I94" t="s">
        <v>18</v>
      </c>
    </row>
    <row r="95" spans="1:9" x14ac:dyDescent="0.3">
      <c r="A95" t="s">
        <v>43</v>
      </c>
      <c r="B95" t="s">
        <v>49</v>
      </c>
      <c r="C95" t="s">
        <v>19</v>
      </c>
      <c r="D95" t="s">
        <v>12</v>
      </c>
      <c r="E95" t="b">
        <v>1</v>
      </c>
      <c r="F95">
        <v>51.7</v>
      </c>
      <c r="G95">
        <v>0</v>
      </c>
      <c r="H95">
        <v>18694</v>
      </c>
      <c r="I95" t="s">
        <v>13</v>
      </c>
    </row>
    <row r="96" spans="1:9" x14ac:dyDescent="0.3">
      <c r="A96" t="s">
        <v>43</v>
      </c>
      <c r="B96" t="s">
        <v>49</v>
      </c>
      <c r="C96" t="s">
        <v>20</v>
      </c>
      <c r="D96" t="s">
        <v>12</v>
      </c>
      <c r="E96" t="b">
        <v>1</v>
      </c>
      <c r="F96">
        <v>71.8</v>
      </c>
      <c r="G96">
        <v>0</v>
      </c>
      <c r="H96">
        <v>17905</v>
      </c>
      <c r="I96" t="s">
        <v>13</v>
      </c>
    </row>
    <row r="97" spans="1:9" x14ac:dyDescent="0.3">
      <c r="A97" t="s">
        <v>43</v>
      </c>
      <c r="B97" t="s">
        <v>49</v>
      </c>
      <c r="C97" t="s">
        <v>21</v>
      </c>
      <c r="D97" t="s">
        <v>29</v>
      </c>
      <c r="E97" t="b">
        <v>1</v>
      </c>
      <c r="F97">
        <v>82.3</v>
      </c>
      <c r="G97">
        <v>0</v>
      </c>
      <c r="H97">
        <v>14547</v>
      </c>
      <c r="I97" t="s">
        <v>13</v>
      </c>
    </row>
    <row r="98" spans="1:9" x14ac:dyDescent="0.3">
      <c r="A98" t="s">
        <v>43</v>
      </c>
      <c r="B98" t="s">
        <v>49</v>
      </c>
      <c r="C98" t="s">
        <v>22</v>
      </c>
      <c r="D98" t="s">
        <v>29</v>
      </c>
      <c r="E98" t="b">
        <v>1</v>
      </c>
      <c r="F98">
        <v>48.9</v>
      </c>
      <c r="G98">
        <v>0</v>
      </c>
      <c r="H98">
        <v>19244</v>
      </c>
      <c r="I98" t="s">
        <v>13</v>
      </c>
    </row>
    <row r="99" spans="1:9" x14ac:dyDescent="0.3">
      <c r="A99" t="s">
        <v>43</v>
      </c>
      <c r="B99" t="s">
        <v>49</v>
      </c>
      <c r="C99" t="s">
        <v>23</v>
      </c>
      <c r="D99" t="s">
        <v>29</v>
      </c>
      <c r="E99" t="b">
        <v>1</v>
      </c>
      <c r="F99">
        <v>53</v>
      </c>
      <c r="G99">
        <v>0</v>
      </c>
      <c r="H99">
        <v>16700</v>
      </c>
      <c r="I99" t="s">
        <v>13</v>
      </c>
    </row>
    <row r="100" spans="1:9" x14ac:dyDescent="0.3">
      <c r="A100" t="s">
        <v>43</v>
      </c>
      <c r="B100" t="s">
        <v>49</v>
      </c>
      <c r="C100" t="s">
        <v>24</v>
      </c>
      <c r="D100" t="s">
        <v>29</v>
      </c>
      <c r="E100" t="b">
        <v>1</v>
      </c>
      <c r="F100">
        <v>52.6</v>
      </c>
      <c r="G100">
        <v>0</v>
      </c>
      <c r="H100">
        <v>17523</v>
      </c>
      <c r="I100" t="s">
        <v>13</v>
      </c>
    </row>
    <row r="101" spans="1:9" x14ac:dyDescent="0.3">
      <c r="A101" t="s">
        <v>43</v>
      </c>
      <c r="B101" t="s">
        <v>49</v>
      </c>
      <c r="C101" t="s">
        <v>25</v>
      </c>
      <c r="D101" t="s">
        <v>29</v>
      </c>
      <c r="E101" t="b">
        <v>1</v>
      </c>
      <c r="F101">
        <v>61.8</v>
      </c>
      <c r="G101">
        <v>0</v>
      </c>
      <c r="H101">
        <v>15800</v>
      </c>
      <c r="I101" t="s">
        <v>13</v>
      </c>
    </row>
    <row r="102" spans="1:9" x14ac:dyDescent="0.3">
      <c r="A102" t="s">
        <v>43</v>
      </c>
      <c r="B102" t="s">
        <v>49</v>
      </c>
      <c r="C102" t="s">
        <v>26</v>
      </c>
      <c r="D102" t="s">
        <v>29</v>
      </c>
      <c r="E102" t="b">
        <v>1</v>
      </c>
      <c r="F102">
        <v>100</v>
      </c>
      <c r="G102">
        <v>1</v>
      </c>
      <c r="H102">
        <v>15498</v>
      </c>
      <c r="I102" t="s">
        <v>18</v>
      </c>
    </row>
    <row r="103" spans="1:9" x14ac:dyDescent="0.3">
      <c r="A103" t="s">
        <v>43</v>
      </c>
      <c r="B103" t="s">
        <v>49</v>
      </c>
      <c r="C103" t="s">
        <v>27</v>
      </c>
      <c r="D103" t="s">
        <v>29</v>
      </c>
      <c r="E103" t="b">
        <v>1</v>
      </c>
      <c r="F103">
        <v>100</v>
      </c>
      <c r="G103">
        <v>1</v>
      </c>
      <c r="H103">
        <v>13569</v>
      </c>
      <c r="I103" t="s">
        <v>18</v>
      </c>
    </row>
    <row r="104" spans="1:9" x14ac:dyDescent="0.3">
      <c r="A104" t="s">
        <v>43</v>
      </c>
      <c r="B104" t="s">
        <v>49</v>
      </c>
      <c r="C104" t="s">
        <v>28</v>
      </c>
      <c r="D104" t="s">
        <v>29</v>
      </c>
      <c r="E104" t="b">
        <v>1</v>
      </c>
      <c r="F104">
        <v>85.1</v>
      </c>
      <c r="G104">
        <v>0</v>
      </c>
      <c r="H104">
        <v>14602</v>
      </c>
      <c r="I104" t="s">
        <v>13</v>
      </c>
    </row>
    <row r="105" spans="1:9" x14ac:dyDescent="0.3">
      <c r="A105" t="s">
        <v>43</v>
      </c>
      <c r="B105" t="s">
        <v>50</v>
      </c>
      <c r="C105" t="s">
        <v>11</v>
      </c>
      <c r="D105" t="s">
        <v>12</v>
      </c>
      <c r="E105" t="b">
        <v>1</v>
      </c>
      <c r="F105">
        <v>99.9</v>
      </c>
      <c r="G105">
        <v>0</v>
      </c>
      <c r="H105">
        <v>13397</v>
      </c>
      <c r="I105" t="s">
        <v>18</v>
      </c>
    </row>
    <row r="106" spans="1:9" x14ac:dyDescent="0.3">
      <c r="A106" t="s">
        <v>43</v>
      </c>
      <c r="B106" t="s">
        <v>50</v>
      </c>
      <c r="C106" t="s">
        <v>14</v>
      </c>
      <c r="D106" t="s">
        <v>12</v>
      </c>
      <c r="E106" t="b">
        <v>1</v>
      </c>
      <c r="F106">
        <v>100</v>
      </c>
      <c r="G106">
        <v>1</v>
      </c>
      <c r="H106">
        <v>14512</v>
      </c>
      <c r="I106" t="s">
        <v>13</v>
      </c>
    </row>
    <row r="107" spans="1:9" x14ac:dyDescent="0.3">
      <c r="A107" t="s">
        <v>43</v>
      </c>
      <c r="B107" t="s">
        <v>50</v>
      </c>
      <c r="C107" t="s">
        <v>15</v>
      </c>
      <c r="D107" t="s">
        <v>12</v>
      </c>
      <c r="E107" t="b">
        <v>1</v>
      </c>
      <c r="F107">
        <v>69.2</v>
      </c>
      <c r="G107">
        <v>0</v>
      </c>
      <c r="H107">
        <v>15028</v>
      </c>
      <c r="I107" t="s">
        <v>13</v>
      </c>
    </row>
    <row r="108" spans="1:9" x14ac:dyDescent="0.3">
      <c r="A108" t="s">
        <v>43</v>
      </c>
      <c r="B108" t="s">
        <v>50</v>
      </c>
      <c r="C108" t="s">
        <v>16</v>
      </c>
      <c r="D108" t="s">
        <v>12</v>
      </c>
      <c r="E108" t="b">
        <v>1</v>
      </c>
      <c r="F108">
        <v>100</v>
      </c>
      <c r="G108">
        <v>1</v>
      </c>
      <c r="H108">
        <v>17066</v>
      </c>
      <c r="I108" t="s">
        <v>18</v>
      </c>
    </row>
    <row r="109" spans="1:9" x14ac:dyDescent="0.3">
      <c r="A109" t="s">
        <v>43</v>
      </c>
      <c r="B109" t="s">
        <v>50</v>
      </c>
      <c r="C109" t="s">
        <v>17</v>
      </c>
      <c r="D109" t="s">
        <v>12</v>
      </c>
      <c r="E109" t="b">
        <v>1</v>
      </c>
      <c r="F109">
        <v>100</v>
      </c>
      <c r="G109">
        <v>1</v>
      </c>
      <c r="H109">
        <v>18768</v>
      </c>
      <c r="I109" t="s">
        <v>18</v>
      </c>
    </row>
    <row r="110" spans="1:9" x14ac:dyDescent="0.3">
      <c r="A110" t="s">
        <v>43</v>
      </c>
      <c r="B110" t="s">
        <v>50</v>
      </c>
      <c r="C110" t="s">
        <v>19</v>
      </c>
      <c r="D110" t="s">
        <v>12</v>
      </c>
      <c r="E110" t="b">
        <v>1</v>
      </c>
      <c r="F110">
        <v>100</v>
      </c>
      <c r="G110">
        <v>1</v>
      </c>
      <c r="H110">
        <v>20421</v>
      </c>
      <c r="I110" t="s">
        <v>18</v>
      </c>
    </row>
    <row r="111" spans="1:9" x14ac:dyDescent="0.3">
      <c r="A111" t="s">
        <v>43</v>
      </c>
      <c r="B111" t="s">
        <v>50</v>
      </c>
      <c r="C111" t="s">
        <v>20</v>
      </c>
      <c r="D111" t="s">
        <v>12</v>
      </c>
      <c r="E111" t="b">
        <v>1</v>
      </c>
      <c r="F111">
        <v>87</v>
      </c>
      <c r="G111">
        <v>0</v>
      </c>
      <c r="H111">
        <v>12099</v>
      </c>
      <c r="I111" t="s">
        <v>13</v>
      </c>
    </row>
    <row r="112" spans="1:9" x14ac:dyDescent="0.3">
      <c r="A112" t="s">
        <v>43</v>
      </c>
      <c r="B112" t="s">
        <v>50</v>
      </c>
      <c r="C112" t="s">
        <v>21</v>
      </c>
      <c r="D112" t="s">
        <v>29</v>
      </c>
      <c r="E112" t="b">
        <v>1</v>
      </c>
      <c r="F112">
        <v>88</v>
      </c>
      <c r="G112">
        <v>0</v>
      </c>
      <c r="H112">
        <v>9763</v>
      </c>
      <c r="I112" t="s">
        <v>13</v>
      </c>
    </row>
    <row r="113" spans="1:9" x14ac:dyDescent="0.3">
      <c r="A113" t="s">
        <v>43</v>
      </c>
      <c r="B113" t="s">
        <v>50</v>
      </c>
      <c r="C113" t="s">
        <v>22</v>
      </c>
      <c r="D113" t="s">
        <v>29</v>
      </c>
      <c r="E113" t="b">
        <v>1</v>
      </c>
      <c r="F113">
        <v>100</v>
      </c>
      <c r="G113">
        <v>1</v>
      </c>
      <c r="H113">
        <v>15206</v>
      </c>
      <c r="I113" t="s">
        <v>18</v>
      </c>
    </row>
    <row r="114" spans="1:9" x14ac:dyDescent="0.3">
      <c r="A114" t="s">
        <v>43</v>
      </c>
      <c r="B114" t="s">
        <v>50</v>
      </c>
      <c r="C114" t="s">
        <v>23</v>
      </c>
      <c r="D114" t="s">
        <v>29</v>
      </c>
      <c r="E114" t="b">
        <v>1</v>
      </c>
      <c r="F114">
        <v>100</v>
      </c>
      <c r="G114">
        <v>1</v>
      </c>
      <c r="H114">
        <v>9668</v>
      </c>
      <c r="I114" t="s">
        <v>18</v>
      </c>
    </row>
    <row r="115" spans="1:9" x14ac:dyDescent="0.3">
      <c r="A115" t="s">
        <v>43</v>
      </c>
      <c r="B115" t="s">
        <v>50</v>
      </c>
      <c r="C115" t="s">
        <v>24</v>
      </c>
      <c r="D115" t="s">
        <v>29</v>
      </c>
      <c r="E115" t="b">
        <v>1</v>
      </c>
      <c r="F115">
        <v>100</v>
      </c>
      <c r="G115">
        <v>1</v>
      </c>
      <c r="H115">
        <v>13608</v>
      </c>
      <c r="I115" t="s">
        <v>18</v>
      </c>
    </row>
    <row r="116" spans="1:9" x14ac:dyDescent="0.3">
      <c r="A116" t="s">
        <v>43</v>
      </c>
      <c r="B116" t="s">
        <v>50</v>
      </c>
      <c r="C116" t="s">
        <v>25</v>
      </c>
      <c r="D116" t="s">
        <v>29</v>
      </c>
      <c r="E116" t="b">
        <v>1</v>
      </c>
      <c r="F116">
        <v>100</v>
      </c>
      <c r="G116">
        <v>1</v>
      </c>
      <c r="H116">
        <v>16249</v>
      </c>
      <c r="I116" t="s">
        <v>18</v>
      </c>
    </row>
    <row r="117" spans="1:9" x14ac:dyDescent="0.3">
      <c r="A117" t="s">
        <v>43</v>
      </c>
      <c r="B117" t="s">
        <v>50</v>
      </c>
      <c r="C117" t="s">
        <v>26</v>
      </c>
      <c r="D117" t="s">
        <v>29</v>
      </c>
      <c r="E117" t="b">
        <v>1</v>
      </c>
      <c r="F117">
        <v>92.5</v>
      </c>
      <c r="G117">
        <v>0</v>
      </c>
      <c r="H117">
        <v>16613</v>
      </c>
      <c r="I117" t="s">
        <v>13</v>
      </c>
    </row>
    <row r="118" spans="1:9" x14ac:dyDescent="0.3">
      <c r="A118" t="s">
        <v>43</v>
      </c>
      <c r="B118" t="s">
        <v>50</v>
      </c>
      <c r="C118" t="s">
        <v>27</v>
      </c>
      <c r="D118" t="s">
        <v>29</v>
      </c>
      <c r="E118" t="b">
        <v>1</v>
      </c>
      <c r="F118">
        <v>99.9</v>
      </c>
      <c r="G118">
        <v>0</v>
      </c>
      <c r="H118">
        <v>11915</v>
      </c>
      <c r="I118" t="s">
        <v>18</v>
      </c>
    </row>
    <row r="119" spans="1:9" x14ac:dyDescent="0.3">
      <c r="A119" t="s">
        <v>43</v>
      </c>
      <c r="B119" t="s">
        <v>50</v>
      </c>
      <c r="C119" t="s">
        <v>28</v>
      </c>
      <c r="D119" t="s">
        <v>29</v>
      </c>
      <c r="E119" t="b">
        <v>1</v>
      </c>
      <c r="F119">
        <v>88.2</v>
      </c>
      <c r="G119">
        <v>0</v>
      </c>
      <c r="H119">
        <v>27467</v>
      </c>
      <c r="I119" t="s">
        <v>13</v>
      </c>
    </row>
    <row r="120" spans="1:9" x14ac:dyDescent="0.3">
      <c r="A120" t="s">
        <v>45</v>
      </c>
      <c r="B120" t="s">
        <v>51</v>
      </c>
      <c r="C120" t="s">
        <v>11</v>
      </c>
      <c r="D120" t="s">
        <v>12</v>
      </c>
      <c r="E120" t="b">
        <v>1</v>
      </c>
      <c r="F120">
        <v>46.9</v>
      </c>
      <c r="G120">
        <v>0</v>
      </c>
      <c r="H120">
        <v>14408</v>
      </c>
      <c r="I120" t="s">
        <v>13</v>
      </c>
    </row>
    <row r="121" spans="1:9" x14ac:dyDescent="0.3">
      <c r="A121" t="s">
        <v>45</v>
      </c>
      <c r="B121" t="s">
        <v>51</v>
      </c>
      <c r="C121" t="s">
        <v>14</v>
      </c>
      <c r="D121" t="s">
        <v>12</v>
      </c>
      <c r="E121" t="b">
        <v>1</v>
      </c>
      <c r="F121">
        <v>45.6</v>
      </c>
      <c r="G121">
        <v>0</v>
      </c>
      <c r="H121">
        <v>13001</v>
      </c>
      <c r="I121" t="s">
        <v>13</v>
      </c>
    </row>
    <row r="122" spans="1:9" x14ac:dyDescent="0.3">
      <c r="A122" t="s">
        <v>45</v>
      </c>
      <c r="B122" t="s">
        <v>51</v>
      </c>
      <c r="C122" t="s">
        <v>15</v>
      </c>
      <c r="D122" t="s">
        <v>12</v>
      </c>
      <c r="E122" t="b">
        <v>1</v>
      </c>
      <c r="F122">
        <v>100</v>
      </c>
      <c r="G122">
        <v>1</v>
      </c>
      <c r="H122">
        <v>11503</v>
      </c>
      <c r="I122" t="s">
        <v>18</v>
      </c>
    </row>
    <row r="123" spans="1:9" x14ac:dyDescent="0.3">
      <c r="A123" t="s">
        <v>45</v>
      </c>
      <c r="B123" t="s">
        <v>51</v>
      </c>
      <c r="C123" t="s">
        <v>16</v>
      </c>
      <c r="D123" t="s">
        <v>12</v>
      </c>
      <c r="E123" t="b">
        <v>1</v>
      </c>
      <c r="F123">
        <v>45</v>
      </c>
      <c r="G123">
        <v>0</v>
      </c>
      <c r="H123">
        <v>13733</v>
      </c>
      <c r="I123" t="s">
        <v>13</v>
      </c>
    </row>
    <row r="124" spans="1:9" x14ac:dyDescent="0.3">
      <c r="A124" t="s">
        <v>45</v>
      </c>
      <c r="B124" t="s">
        <v>51</v>
      </c>
      <c r="C124" t="s">
        <v>17</v>
      </c>
      <c r="D124" t="s">
        <v>12</v>
      </c>
      <c r="E124" t="b">
        <v>1</v>
      </c>
      <c r="F124">
        <v>100</v>
      </c>
      <c r="G124">
        <v>1</v>
      </c>
      <c r="H124">
        <v>12235</v>
      </c>
      <c r="I124" t="s">
        <v>18</v>
      </c>
    </row>
    <row r="125" spans="1:9" x14ac:dyDescent="0.3">
      <c r="A125" t="s">
        <v>45</v>
      </c>
      <c r="B125" t="s">
        <v>51</v>
      </c>
      <c r="C125" t="s">
        <v>19</v>
      </c>
      <c r="D125" t="s">
        <v>12</v>
      </c>
      <c r="E125" t="b">
        <v>1</v>
      </c>
      <c r="F125">
        <v>91.9</v>
      </c>
      <c r="G125">
        <v>0</v>
      </c>
      <c r="H125">
        <v>12966</v>
      </c>
      <c r="I125" t="s">
        <v>13</v>
      </c>
    </row>
    <row r="126" spans="1:9" x14ac:dyDescent="0.3">
      <c r="A126" t="s">
        <v>45</v>
      </c>
      <c r="B126" t="s">
        <v>51</v>
      </c>
      <c r="C126" t="s">
        <v>20</v>
      </c>
      <c r="D126" t="s">
        <v>12</v>
      </c>
      <c r="E126" t="b">
        <v>1</v>
      </c>
      <c r="F126">
        <v>100</v>
      </c>
      <c r="G126">
        <v>1</v>
      </c>
      <c r="H126">
        <v>11667</v>
      </c>
      <c r="I126" t="s">
        <v>18</v>
      </c>
    </row>
    <row r="127" spans="1:9" x14ac:dyDescent="0.3">
      <c r="A127" t="s">
        <v>45</v>
      </c>
      <c r="B127" t="s">
        <v>51</v>
      </c>
      <c r="C127" t="s">
        <v>21</v>
      </c>
      <c r="D127" t="s">
        <v>12</v>
      </c>
      <c r="E127" t="b">
        <v>1</v>
      </c>
      <c r="F127">
        <v>52.6</v>
      </c>
      <c r="G127">
        <v>0</v>
      </c>
      <c r="H127">
        <v>13074</v>
      </c>
      <c r="I127" t="s">
        <v>13</v>
      </c>
    </row>
    <row r="128" spans="1:9" x14ac:dyDescent="0.3">
      <c r="A128" t="s">
        <v>45</v>
      </c>
      <c r="B128" t="s">
        <v>51</v>
      </c>
      <c r="C128" t="s">
        <v>22</v>
      </c>
      <c r="D128" t="s">
        <v>12</v>
      </c>
      <c r="E128" t="b">
        <v>1</v>
      </c>
      <c r="F128">
        <v>52</v>
      </c>
      <c r="G128">
        <v>0</v>
      </c>
      <c r="H128">
        <v>12708</v>
      </c>
      <c r="I128" t="s">
        <v>13</v>
      </c>
    </row>
    <row r="129" spans="1:9" x14ac:dyDescent="0.3">
      <c r="A129" t="s">
        <v>45</v>
      </c>
      <c r="B129" t="s">
        <v>51</v>
      </c>
      <c r="C129" t="s">
        <v>23</v>
      </c>
      <c r="D129" t="s">
        <v>29</v>
      </c>
      <c r="E129" t="b">
        <v>1</v>
      </c>
      <c r="F129">
        <v>100</v>
      </c>
      <c r="G129">
        <v>1</v>
      </c>
      <c r="H129">
        <v>12027</v>
      </c>
      <c r="I129" t="s">
        <v>18</v>
      </c>
    </row>
    <row r="130" spans="1:9" x14ac:dyDescent="0.3">
      <c r="A130" t="s">
        <v>45</v>
      </c>
      <c r="B130" t="s">
        <v>51</v>
      </c>
      <c r="C130" t="s">
        <v>24</v>
      </c>
      <c r="D130" t="s">
        <v>29</v>
      </c>
      <c r="E130" t="b">
        <v>1</v>
      </c>
      <c r="F130">
        <v>100</v>
      </c>
      <c r="G130">
        <v>1</v>
      </c>
      <c r="H130">
        <v>12393</v>
      </c>
      <c r="I130" t="s">
        <v>18</v>
      </c>
    </row>
    <row r="131" spans="1:9" x14ac:dyDescent="0.3">
      <c r="A131" t="s">
        <v>45</v>
      </c>
      <c r="B131" t="s">
        <v>51</v>
      </c>
      <c r="C131" t="s">
        <v>25</v>
      </c>
      <c r="D131" t="s">
        <v>29</v>
      </c>
      <c r="E131" t="b">
        <v>1</v>
      </c>
      <c r="F131">
        <v>100</v>
      </c>
      <c r="G131">
        <v>1</v>
      </c>
      <c r="H131">
        <v>9003</v>
      </c>
      <c r="I131" t="s">
        <v>18</v>
      </c>
    </row>
    <row r="132" spans="1:9" x14ac:dyDescent="0.3">
      <c r="A132" t="s">
        <v>45</v>
      </c>
      <c r="B132" t="s">
        <v>51</v>
      </c>
      <c r="C132" t="s">
        <v>26</v>
      </c>
      <c r="D132" t="s">
        <v>29</v>
      </c>
      <c r="E132" t="b">
        <v>1</v>
      </c>
      <c r="F132">
        <v>100</v>
      </c>
      <c r="G132">
        <v>1</v>
      </c>
      <c r="H132">
        <v>11142</v>
      </c>
      <c r="I132" t="s">
        <v>18</v>
      </c>
    </row>
    <row r="133" spans="1:9" x14ac:dyDescent="0.3">
      <c r="A133" t="s">
        <v>45</v>
      </c>
      <c r="B133" t="s">
        <v>51</v>
      </c>
      <c r="C133" t="s">
        <v>27</v>
      </c>
      <c r="D133" t="s">
        <v>29</v>
      </c>
      <c r="E133" t="b">
        <v>1</v>
      </c>
      <c r="F133">
        <v>93.1</v>
      </c>
      <c r="G133">
        <v>0</v>
      </c>
      <c r="H133">
        <v>13574</v>
      </c>
      <c r="I133" t="s">
        <v>13</v>
      </c>
    </row>
    <row r="134" spans="1:9" x14ac:dyDescent="0.3">
      <c r="A134" t="s">
        <v>45</v>
      </c>
      <c r="B134" t="s">
        <v>51</v>
      </c>
      <c r="C134" t="s">
        <v>28</v>
      </c>
      <c r="D134" t="s">
        <v>29</v>
      </c>
      <c r="E134" t="b">
        <v>1</v>
      </c>
      <c r="F134">
        <v>100</v>
      </c>
      <c r="G134">
        <v>1</v>
      </c>
      <c r="H134">
        <v>7428</v>
      </c>
      <c r="I134" t="s">
        <v>18</v>
      </c>
    </row>
    <row r="135" spans="1:9" x14ac:dyDescent="0.3">
      <c r="A135" t="s">
        <v>45</v>
      </c>
      <c r="B135" t="s">
        <v>51</v>
      </c>
      <c r="C135" t="s">
        <v>30</v>
      </c>
      <c r="D135" t="s">
        <v>29</v>
      </c>
      <c r="E135" t="b">
        <v>1</v>
      </c>
      <c r="F135">
        <v>100</v>
      </c>
      <c r="G135">
        <v>1</v>
      </c>
      <c r="H135">
        <v>11117</v>
      </c>
      <c r="I135" t="s">
        <v>18</v>
      </c>
    </row>
    <row r="136" spans="1:9" x14ac:dyDescent="0.3">
      <c r="A136" t="s">
        <v>45</v>
      </c>
      <c r="B136" t="s">
        <v>51</v>
      </c>
      <c r="C136" t="s">
        <v>31</v>
      </c>
      <c r="D136" t="s">
        <v>29</v>
      </c>
      <c r="E136" t="b">
        <v>1</v>
      </c>
      <c r="F136">
        <v>100</v>
      </c>
      <c r="G136">
        <v>1</v>
      </c>
      <c r="H136">
        <v>12695</v>
      </c>
      <c r="I136" t="s">
        <v>18</v>
      </c>
    </row>
    <row r="137" spans="1:9" x14ac:dyDescent="0.3">
      <c r="A137" t="s">
        <v>45</v>
      </c>
      <c r="B137" t="s">
        <v>51</v>
      </c>
      <c r="C137" t="s">
        <v>32</v>
      </c>
      <c r="D137" t="s">
        <v>29</v>
      </c>
      <c r="E137" t="b">
        <v>1</v>
      </c>
      <c r="F137">
        <v>100</v>
      </c>
      <c r="G137">
        <v>1</v>
      </c>
      <c r="H137">
        <v>14079</v>
      </c>
      <c r="I137" t="s">
        <v>18</v>
      </c>
    </row>
    <row r="138" spans="1:9" x14ac:dyDescent="0.3">
      <c r="A138" t="s">
        <v>45</v>
      </c>
      <c r="B138" t="s">
        <v>51</v>
      </c>
      <c r="C138" t="s">
        <v>33</v>
      </c>
      <c r="D138" t="s">
        <v>29</v>
      </c>
      <c r="E138" t="b">
        <v>1</v>
      </c>
      <c r="F138">
        <v>100</v>
      </c>
      <c r="G138">
        <v>1</v>
      </c>
      <c r="H138">
        <v>15656</v>
      </c>
      <c r="I138" t="s">
        <v>18</v>
      </c>
    </row>
    <row r="139" spans="1:9" x14ac:dyDescent="0.3">
      <c r="A139" t="s">
        <v>9</v>
      </c>
      <c r="B139" t="s">
        <v>52</v>
      </c>
      <c r="C139" t="s">
        <v>11</v>
      </c>
      <c r="D139" t="s">
        <v>12</v>
      </c>
      <c r="E139" t="b">
        <v>1</v>
      </c>
      <c r="F139">
        <v>100</v>
      </c>
      <c r="G139">
        <v>1</v>
      </c>
      <c r="H139">
        <v>10586</v>
      </c>
      <c r="I139" t="s">
        <v>18</v>
      </c>
    </row>
    <row r="140" spans="1:9" x14ac:dyDescent="0.3">
      <c r="A140" t="s">
        <v>9</v>
      </c>
      <c r="B140" t="s">
        <v>52</v>
      </c>
      <c r="C140" t="s">
        <v>14</v>
      </c>
      <c r="D140" t="s">
        <v>12</v>
      </c>
      <c r="E140" t="b">
        <v>1</v>
      </c>
      <c r="F140">
        <v>100</v>
      </c>
      <c r="G140">
        <v>1</v>
      </c>
      <c r="H140">
        <v>3639</v>
      </c>
      <c r="I140" t="s">
        <v>18</v>
      </c>
    </row>
    <row r="141" spans="1:9" x14ac:dyDescent="0.3">
      <c r="A141" t="s">
        <v>9</v>
      </c>
      <c r="B141" t="s">
        <v>52</v>
      </c>
      <c r="C141" t="s">
        <v>15</v>
      </c>
      <c r="D141" t="s">
        <v>12</v>
      </c>
      <c r="E141" t="b">
        <v>1</v>
      </c>
      <c r="F141">
        <v>99.9</v>
      </c>
      <c r="G141">
        <v>0</v>
      </c>
      <c r="H141">
        <v>5056</v>
      </c>
      <c r="I141" t="s">
        <v>18</v>
      </c>
    </row>
    <row r="142" spans="1:9" x14ac:dyDescent="0.3">
      <c r="A142" t="s">
        <v>9</v>
      </c>
      <c r="B142" t="s">
        <v>52</v>
      </c>
      <c r="C142" t="s">
        <v>16</v>
      </c>
      <c r="D142" t="s">
        <v>12</v>
      </c>
      <c r="E142" t="b">
        <v>1</v>
      </c>
      <c r="F142">
        <v>100</v>
      </c>
      <c r="G142">
        <v>1</v>
      </c>
      <c r="H142">
        <v>16027</v>
      </c>
      <c r="I142" t="s">
        <v>18</v>
      </c>
    </row>
    <row r="143" spans="1:9" x14ac:dyDescent="0.3">
      <c r="A143" t="s">
        <v>9</v>
      </c>
      <c r="B143" t="s">
        <v>52</v>
      </c>
      <c r="C143" t="s">
        <v>17</v>
      </c>
      <c r="D143" t="s">
        <v>29</v>
      </c>
      <c r="E143" t="b">
        <v>1</v>
      </c>
      <c r="F143">
        <v>100</v>
      </c>
      <c r="G143">
        <v>1</v>
      </c>
      <c r="H143">
        <v>15384</v>
      </c>
      <c r="I143" t="s">
        <v>18</v>
      </c>
    </row>
    <row r="144" spans="1:9" x14ac:dyDescent="0.3">
      <c r="A144" t="s">
        <v>9</v>
      </c>
      <c r="B144" t="s">
        <v>52</v>
      </c>
      <c r="C144" t="s">
        <v>19</v>
      </c>
      <c r="D144" t="s">
        <v>29</v>
      </c>
      <c r="E144" t="b">
        <v>1</v>
      </c>
      <c r="F144">
        <v>100</v>
      </c>
      <c r="G144">
        <v>1</v>
      </c>
      <c r="H144">
        <v>19446</v>
      </c>
      <c r="I144" t="s">
        <v>18</v>
      </c>
    </row>
    <row r="145" spans="1:9" x14ac:dyDescent="0.3">
      <c r="A145" t="s">
        <v>9</v>
      </c>
      <c r="B145" t="s">
        <v>52</v>
      </c>
      <c r="C145" t="s">
        <v>20</v>
      </c>
      <c r="D145" t="s">
        <v>29</v>
      </c>
      <c r="E145" t="b">
        <v>1</v>
      </c>
      <c r="F145">
        <v>100</v>
      </c>
      <c r="G145">
        <v>1</v>
      </c>
      <c r="H145">
        <v>20193</v>
      </c>
      <c r="I145" t="s">
        <v>18</v>
      </c>
    </row>
    <row r="146" spans="1:9" x14ac:dyDescent="0.3">
      <c r="A146" t="s">
        <v>9</v>
      </c>
      <c r="B146" t="s">
        <v>52</v>
      </c>
      <c r="C146" t="s">
        <v>21</v>
      </c>
      <c r="D146" t="s">
        <v>29</v>
      </c>
      <c r="E146" t="b">
        <v>1</v>
      </c>
      <c r="F146">
        <v>100</v>
      </c>
      <c r="G146">
        <v>1</v>
      </c>
      <c r="H146">
        <v>9109</v>
      </c>
      <c r="I146" t="s">
        <v>18</v>
      </c>
    </row>
    <row r="147" spans="1:9" x14ac:dyDescent="0.3">
      <c r="A147" t="s">
        <v>9</v>
      </c>
      <c r="B147" t="s">
        <v>52</v>
      </c>
      <c r="C147" t="s">
        <v>22</v>
      </c>
      <c r="D147" t="s">
        <v>29</v>
      </c>
      <c r="E147" t="b">
        <v>1</v>
      </c>
      <c r="F147">
        <v>85.8</v>
      </c>
      <c r="G147">
        <v>0</v>
      </c>
      <c r="H147">
        <v>18026</v>
      </c>
      <c r="I147" t="s">
        <v>13</v>
      </c>
    </row>
    <row r="148" spans="1:9" x14ac:dyDescent="0.3">
      <c r="A148" t="s">
        <v>9</v>
      </c>
      <c r="B148" t="s">
        <v>52</v>
      </c>
      <c r="C148" t="s">
        <v>23</v>
      </c>
      <c r="D148" t="s">
        <v>29</v>
      </c>
      <c r="E148" t="b">
        <v>1</v>
      </c>
      <c r="F148">
        <v>86.3</v>
      </c>
      <c r="G148">
        <v>0</v>
      </c>
      <c r="H148">
        <v>14454</v>
      </c>
      <c r="I148" t="s">
        <v>13</v>
      </c>
    </row>
    <row r="149" spans="1:9" x14ac:dyDescent="0.3">
      <c r="A149" t="s">
        <v>45</v>
      </c>
      <c r="B149" t="s">
        <v>53</v>
      </c>
      <c r="C149" t="s">
        <v>11</v>
      </c>
      <c r="D149" t="s">
        <v>12</v>
      </c>
      <c r="E149" t="b">
        <v>1</v>
      </c>
      <c r="F149">
        <v>46.7</v>
      </c>
      <c r="G149">
        <v>0</v>
      </c>
      <c r="H149">
        <v>15420</v>
      </c>
      <c r="I149" t="s">
        <v>13</v>
      </c>
    </row>
    <row r="150" spans="1:9" x14ac:dyDescent="0.3">
      <c r="A150" t="s">
        <v>45</v>
      </c>
      <c r="B150" t="s">
        <v>53</v>
      </c>
      <c r="C150" t="s">
        <v>14</v>
      </c>
      <c r="D150" t="s">
        <v>12</v>
      </c>
      <c r="E150" t="b">
        <v>1</v>
      </c>
      <c r="F150">
        <v>44.9</v>
      </c>
      <c r="G150">
        <v>0</v>
      </c>
      <c r="H150">
        <v>13413</v>
      </c>
      <c r="I150" t="s">
        <v>13</v>
      </c>
    </row>
    <row r="151" spans="1:9" x14ac:dyDescent="0.3">
      <c r="A151" t="s">
        <v>45</v>
      </c>
      <c r="B151" t="s">
        <v>53</v>
      </c>
      <c r="C151" t="s">
        <v>15</v>
      </c>
      <c r="D151" t="s">
        <v>12</v>
      </c>
      <c r="E151" t="b">
        <v>1</v>
      </c>
      <c r="F151">
        <v>76.2</v>
      </c>
      <c r="G151">
        <v>0</v>
      </c>
      <c r="H151">
        <v>11804</v>
      </c>
      <c r="I151" t="s">
        <v>13</v>
      </c>
    </row>
    <row r="152" spans="1:9" x14ac:dyDescent="0.3">
      <c r="A152" t="s">
        <v>45</v>
      </c>
      <c r="B152" t="s">
        <v>53</v>
      </c>
      <c r="C152" t="s">
        <v>16</v>
      </c>
      <c r="D152" t="s">
        <v>12</v>
      </c>
      <c r="E152" t="b">
        <v>1</v>
      </c>
      <c r="F152">
        <v>100</v>
      </c>
      <c r="G152">
        <v>1</v>
      </c>
      <c r="H152">
        <v>10809</v>
      </c>
      <c r="I152" t="s">
        <v>18</v>
      </c>
    </row>
    <row r="153" spans="1:9" x14ac:dyDescent="0.3">
      <c r="A153" t="s">
        <v>45</v>
      </c>
      <c r="B153" t="s">
        <v>53</v>
      </c>
      <c r="C153" t="s">
        <v>17</v>
      </c>
      <c r="D153" t="s">
        <v>29</v>
      </c>
      <c r="E153" t="b">
        <v>1</v>
      </c>
      <c r="F153">
        <v>82.6</v>
      </c>
      <c r="G153">
        <v>0</v>
      </c>
      <c r="H153">
        <v>11891</v>
      </c>
      <c r="I153" t="s">
        <v>13</v>
      </c>
    </row>
    <row r="154" spans="1:9" x14ac:dyDescent="0.3">
      <c r="A154" t="s">
        <v>45</v>
      </c>
      <c r="B154" t="s">
        <v>53</v>
      </c>
      <c r="C154" t="s">
        <v>19</v>
      </c>
      <c r="D154" t="s">
        <v>29</v>
      </c>
      <c r="E154" t="b">
        <v>1</v>
      </c>
      <c r="F154">
        <v>100</v>
      </c>
      <c r="G154">
        <v>1</v>
      </c>
      <c r="H154">
        <v>12848</v>
      </c>
      <c r="I154" t="s">
        <v>18</v>
      </c>
    </row>
    <row r="155" spans="1:9" x14ac:dyDescent="0.3">
      <c r="A155" t="s">
        <v>43</v>
      </c>
      <c r="B155" t="s">
        <v>54</v>
      </c>
      <c r="C155" t="s">
        <v>11</v>
      </c>
      <c r="D155" t="s">
        <v>12</v>
      </c>
      <c r="E155" t="b">
        <v>1</v>
      </c>
      <c r="F155">
        <v>78.2</v>
      </c>
      <c r="G155">
        <v>0</v>
      </c>
      <c r="H155">
        <v>11824</v>
      </c>
      <c r="I155" t="s">
        <v>13</v>
      </c>
    </row>
    <row r="156" spans="1:9" x14ac:dyDescent="0.3">
      <c r="A156" t="s">
        <v>43</v>
      </c>
      <c r="B156" t="s">
        <v>54</v>
      </c>
      <c r="C156" t="s">
        <v>14</v>
      </c>
      <c r="D156" t="s">
        <v>12</v>
      </c>
      <c r="E156" t="b">
        <v>1</v>
      </c>
      <c r="F156">
        <v>83.8</v>
      </c>
      <c r="G156">
        <v>0</v>
      </c>
      <c r="H156">
        <v>9985</v>
      </c>
      <c r="I156" t="s">
        <v>13</v>
      </c>
    </row>
    <row r="157" spans="1:9" x14ac:dyDescent="0.3">
      <c r="A157" t="s">
        <v>43</v>
      </c>
      <c r="B157" t="s">
        <v>54</v>
      </c>
      <c r="C157" t="s">
        <v>15</v>
      </c>
      <c r="D157" t="s">
        <v>12</v>
      </c>
      <c r="E157" t="b">
        <v>1</v>
      </c>
      <c r="F157">
        <v>85.9</v>
      </c>
      <c r="G157">
        <v>0</v>
      </c>
      <c r="H157">
        <v>9624</v>
      </c>
      <c r="I157" t="s">
        <v>13</v>
      </c>
    </row>
    <row r="158" spans="1:9" x14ac:dyDescent="0.3">
      <c r="A158" t="s">
        <v>43</v>
      </c>
      <c r="B158" t="s">
        <v>54</v>
      </c>
      <c r="C158" t="s">
        <v>16</v>
      </c>
      <c r="D158" t="s">
        <v>12</v>
      </c>
      <c r="E158" t="b">
        <v>1</v>
      </c>
      <c r="F158">
        <v>88.6</v>
      </c>
      <c r="G158">
        <v>0</v>
      </c>
      <c r="H158">
        <v>9426</v>
      </c>
      <c r="I158" t="s">
        <v>13</v>
      </c>
    </row>
    <row r="159" spans="1:9" x14ac:dyDescent="0.3">
      <c r="A159" t="s">
        <v>43</v>
      </c>
      <c r="B159" t="s">
        <v>54</v>
      </c>
      <c r="C159" t="s">
        <v>17</v>
      </c>
      <c r="D159" t="s">
        <v>12</v>
      </c>
      <c r="E159" t="b">
        <v>1</v>
      </c>
      <c r="F159">
        <v>91.4</v>
      </c>
      <c r="G159">
        <v>0</v>
      </c>
      <c r="H159">
        <v>8948</v>
      </c>
      <c r="I159" t="s">
        <v>13</v>
      </c>
    </row>
    <row r="160" spans="1:9" x14ac:dyDescent="0.3">
      <c r="A160" t="s">
        <v>43</v>
      </c>
      <c r="B160" t="s">
        <v>54</v>
      </c>
      <c r="C160" t="s">
        <v>19</v>
      </c>
      <c r="D160" t="s">
        <v>12</v>
      </c>
      <c r="E160" t="b">
        <v>1</v>
      </c>
      <c r="F160">
        <v>99.7</v>
      </c>
      <c r="G160">
        <v>0</v>
      </c>
      <c r="H160">
        <v>8565</v>
      </c>
      <c r="I160" t="s">
        <v>13</v>
      </c>
    </row>
    <row r="161" spans="1:9" x14ac:dyDescent="0.3">
      <c r="A161" t="s">
        <v>43</v>
      </c>
      <c r="B161" t="s">
        <v>54</v>
      </c>
      <c r="C161" t="s">
        <v>20</v>
      </c>
      <c r="D161" t="s">
        <v>29</v>
      </c>
      <c r="E161" t="b">
        <v>1</v>
      </c>
      <c r="F161">
        <v>100</v>
      </c>
      <c r="G161">
        <v>1</v>
      </c>
      <c r="H161">
        <v>7991</v>
      </c>
      <c r="I161" t="s">
        <v>18</v>
      </c>
    </row>
    <row r="162" spans="1:9" x14ac:dyDescent="0.3">
      <c r="A162" t="s">
        <v>43</v>
      </c>
      <c r="B162" t="s">
        <v>54</v>
      </c>
      <c r="C162" t="s">
        <v>21</v>
      </c>
      <c r="D162" t="s">
        <v>29</v>
      </c>
      <c r="E162" t="b">
        <v>1</v>
      </c>
      <c r="F162">
        <v>100</v>
      </c>
      <c r="G162">
        <v>1</v>
      </c>
      <c r="H162">
        <v>7792</v>
      </c>
      <c r="I162" t="s">
        <v>18</v>
      </c>
    </row>
    <row r="163" spans="1:9" x14ac:dyDescent="0.3">
      <c r="A163" t="s">
        <v>43</v>
      </c>
      <c r="B163" t="s">
        <v>54</v>
      </c>
      <c r="C163" t="s">
        <v>22</v>
      </c>
      <c r="D163" t="s">
        <v>29</v>
      </c>
      <c r="E163" t="b">
        <v>1</v>
      </c>
      <c r="F163">
        <v>100</v>
      </c>
      <c r="G163">
        <v>1</v>
      </c>
      <c r="H163">
        <v>8434</v>
      </c>
      <c r="I163" t="s">
        <v>18</v>
      </c>
    </row>
    <row r="164" spans="1:9" x14ac:dyDescent="0.3">
      <c r="A164" t="s">
        <v>43</v>
      </c>
      <c r="B164" t="s">
        <v>54</v>
      </c>
      <c r="C164" t="s">
        <v>23</v>
      </c>
      <c r="D164" t="s">
        <v>29</v>
      </c>
      <c r="E164" t="b">
        <v>1</v>
      </c>
      <c r="F164">
        <v>100</v>
      </c>
      <c r="G164">
        <v>1</v>
      </c>
      <c r="H164">
        <v>8230</v>
      </c>
      <c r="I164" t="s">
        <v>13</v>
      </c>
    </row>
    <row r="165" spans="1:9" x14ac:dyDescent="0.3">
      <c r="A165" t="s">
        <v>43</v>
      </c>
      <c r="B165" t="s">
        <v>54</v>
      </c>
      <c r="C165" t="s">
        <v>24</v>
      </c>
      <c r="D165" t="s">
        <v>29</v>
      </c>
      <c r="E165" t="b">
        <v>1</v>
      </c>
      <c r="F165">
        <v>100</v>
      </c>
      <c r="G165">
        <v>1</v>
      </c>
      <c r="H165">
        <v>8190</v>
      </c>
      <c r="I165" t="s">
        <v>18</v>
      </c>
    </row>
    <row r="166" spans="1:9" x14ac:dyDescent="0.3">
      <c r="A166" t="s">
        <v>43</v>
      </c>
      <c r="B166" t="s">
        <v>54</v>
      </c>
      <c r="C166" t="s">
        <v>25</v>
      </c>
      <c r="D166" t="s">
        <v>29</v>
      </c>
      <c r="E166" t="b">
        <v>1</v>
      </c>
      <c r="F166">
        <v>100</v>
      </c>
      <c r="G166">
        <v>1</v>
      </c>
      <c r="H166">
        <v>8175</v>
      </c>
      <c r="I166" t="s">
        <v>18</v>
      </c>
    </row>
    <row r="167" spans="1:9" x14ac:dyDescent="0.3">
      <c r="A167" t="s">
        <v>43</v>
      </c>
      <c r="B167" t="s">
        <v>54</v>
      </c>
      <c r="C167" t="s">
        <v>26</v>
      </c>
      <c r="D167" t="s">
        <v>29</v>
      </c>
      <c r="E167" t="b">
        <v>1</v>
      </c>
      <c r="F167">
        <v>100</v>
      </c>
      <c r="G167">
        <v>1</v>
      </c>
      <c r="H167">
        <v>8139</v>
      </c>
      <c r="I167" t="s">
        <v>18</v>
      </c>
    </row>
    <row r="168" spans="1:9" x14ac:dyDescent="0.3">
      <c r="A168" t="s">
        <v>43</v>
      </c>
      <c r="B168" t="s">
        <v>54</v>
      </c>
      <c r="C168" t="s">
        <v>27</v>
      </c>
      <c r="D168" t="s">
        <v>29</v>
      </c>
      <c r="E168" t="b">
        <v>1</v>
      </c>
      <c r="F168">
        <v>100</v>
      </c>
      <c r="G168">
        <v>1</v>
      </c>
      <c r="H168">
        <v>8142</v>
      </c>
      <c r="I168" t="s">
        <v>18</v>
      </c>
    </row>
    <row r="169" spans="1:9" x14ac:dyDescent="0.3">
      <c r="A169" t="s">
        <v>43</v>
      </c>
      <c r="B169" t="s">
        <v>54</v>
      </c>
      <c r="C169" t="s">
        <v>28</v>
      </c>
      <c r="D169" t="s">
        <v>29</v>
      </c>
      <c r="E169" t="b">
        <v>1</v>
      </c>
      <c r="F169">
        <v>100</v>
      </c>
      <c r="G169">
        <v>1</v>
      </c>
      <c r="H169">
        <v>8129</v>
      </c>
      <c r="I169" t="s">
        <v>18</v>
      </c>
    </row>
    <row r="170" spans="1:9" x14ac:dyDescent="0.3">
      <c r="A170" t="s">
        <v>43</v>
      </c>
      <c r="B170" t="s">
        <v>54</v>
      </c>
      <c r="C170" t="s">
        <v>30</v>
      </c>
      <c r="D170" t="s">
        <v>29</v>
      </c>
      <c r="E170" t="b">
        <v>1</v>
      </c>
      <c r="F170">
        <v>100</v>
      </c>
      <c r="G170">
        <v>1</v>
      </c>
      <c r="H170">
        <v>8204</v>
      </c>
      <c r="I170" t="s">
        <v>18</v>
      </c>
    </row>
    <row r="171" spans="1:9" x14ac:dyDescent="0.3">
      <c r="A171" t="s">
        <v>43</v>
      </c>
      <c r="B171" t="s">
        <v>54</v>
      </c>
      <c r="C171" t="s">
        <v>31</v>
      </c>
      <c r="D171" t="s">
        <v>29</v>
      </c>
      <c r="E171" t="b">
        <v>1</v>
      </c>
      <c r="F171">
        <v>100</v>
      </c>
      <c r="G171">
        <v>1</v>
      </c>
      <c r="H171">
        <v>8219</v>
      </c>
      <c r="I171" t="s">
        <v>18</v>
      </c>
    </row>
    <row r="172" spans="1:9" x14ac:dyDescent="0.3">
      <c r="A172" t="s">
        <v>43</v>
      </c>
      <c r="B172" t="s">
        <v>54</v>
      </c>
      <c r="C172" t="s">
        <v>32</v>
      </c>
      <c r="D172" t="s">
        <v>29</v>
      </c>
      <c r="E172" t="b">
        <v>1</v>
      </c>
      <c r="F172">
        <v>100</v>
      </c>
      <c r="G172">
        <v>1</v>
      </c>
      <c r="H172">
        <v>8146</v>
      </c>
      <c r="I172" t="s">
        <v>18</v>
      </c>
    </row>
    <row r="173" spans="1:9" x14ac:dyDescent="0.3">
      <c r="A173" t="s">
        <v>43</v>
      </c>
      <c r="B173" t="s">
        <v>54</v>
      </c>
      <c r="C173" t="s">
        <v>33</v>
      </c>
      <c r="D173" t="s">
        <v>29</v>
      </c>
      <c r="E173" t="b">
        <v>1</v>
      </c>
      <c r="F173">
        <v>100</v>
      </c>
      <c r="G173">
        <v>1</v>
      </c>
      <c r="H173">
        <v>8185</v>
      </c>
      <c r="I173" t="s">
        <v>18</v>
      </c>
    </row>
    <row r="174" spans="1:9" x14ac:dyDescent="0.3">
      <c r="A174" t="s">
        <v>9</v>
      </c>
      <c r="B174" t="s">
        <v>55</v>
      </c>
      <c r="C174" t="s">
        <v>11</v>
      </c>
      <c r="D174" t="s">
        <v>12</v>
      </c>
      <c r="E174" t="b">
        <v>1</v>
      </c>
      <c r="F174">
        <v>100</v>
      </c>
      <c r="G174">
        <v>1</v>
      </c>
      <c r="H174">
        <v>10938</v>
      </c>
      <c r="I174" t="s">
        <v>18</v>
      </c>
    </row>
    <row r="175" spans="1:9" x14ac:dyDescent="0.3">
      <c r="A175" t="s">
        <v>9</v>
      </c>
      <c r="B175" t="s">
        <v>55</v>
      </c>
      <c r="C175" t="s">
        <v>14</v>
      </c>
      <c r="D175" t="s">
        <v>12</v>
      </c>
      <c r="E175" t="b">
        <v>1</v>
      </c>
      <c r="F175">
        <v>100</v>
      </c>
      <c r="G175">
        <v>1</v>
      </c>
      <c r="H175">
        <v>11712</v>
      </c>
      <c r="I175" t="s">
        <v>18</v>
      </c>
    </row>
    <row r="176" spans="1:9" x14ac:dyDescent="0.3">
      <c r="A176" t="s">
        <v>9</v>
      </c>
      <c r="B176" t="s">
        <v>55</v>
      </c>
      <c r="C176" t="s">
        <v>15</v>
      </c>
      <c r="D176" t="s">
        <v>12</v>
      </c>
      <c r="E176" t="b">
        <v>1</v>
      </c>
      <c r="F176">
        <v>99</v>
      </c>
      <c r="G176">
        <v>0</v>
      </c>
      <c r="H176">
        <v>12195</v>
      </c>
      <c r="I176" t="s">
        <v>13</v>
      </c>
    </row>
    <row r="177" spans="1:9" x14ac:dyDescent="0.3">
      <c r="A177" t="s">
        <v>9</v>
      </c>
      <c r="B177" t="s">
        <v>55</v>
      </c>
      <c r="C177" t="s">
        <v>16</v>
      </c>
      <c r="D177" t="s">
        <v>29</v>
      </c>
      <c r="E177" t="b">
        <v>1</v>
      </c>
      <c r="F177">
        <v>100</v>
      </c>
      <c r="G177">
        <v>1</v>
      </c>
      <c r="H177">
        <v>8935</v>
      </c>
      <c r="I177" t="s">
        <v>18</v>
      </c>
    </row>
    <row r="178" spans="1:9" x14ac:dyDescent="0.3">
      <c r="A178" t="s">
        <v>9</v>
      </c>
      <c r="B178" t="s">
        <v>55</v>
      </c>
      <c r="C178" t="s">
        <v>17</v>
      </c>
      <c r="D178" t="s">
        <v>29</v>
      </c>
      <c r="E178" t="b">
        <v>1</v>
      </c>
      <c r="F178">
        <v>100</v>
      </c>
      <c r="G178">
        <v>1</v>
      </c>
      <c r="H178">
        <v>9244</v>
      </c>
      <c r="I178" t="s">
        <v>18</v>
      </c>
    </row>
    <row r="179" spans="1:9" x14ac:dyDescent="0.3">
      <c r="A179" t="s">
        <v>9</v>
      </c>
      <c r="B179" t="s">
        <v>55</v>
      </c>
      <c r="C179" t="s">
        <v>19</v>
      </c>
      <c r="D179" t="s">
        <v>29</v>
      </c>
      <c r="E179" t="b">
        <v>1</v>
      </c>
      <c r="F179">
        <v>100</v>
      </c>
      <c r="G179">
        <v>1</v>
      </c>
      <c r="H179">
        <v>8280</v>
      </c>
      <c r="I179" t="s">
        <v>18</v>
      </c>
    </row>
    <row r="180" spans="1:9" x14ac:dyDescent="0.3">
      <c r="A180" t="s">
        <v>9</v>
      </c>
      <c r="B180" t="s">
        <v>56</v>
      </c>
      <c r="C180" t="s">
        <v>11</v>
      </c>
      <c r="D180" t="s">
        <v>12</v>
      </c>
      <c r="E180" t="b">
        <v>1</v>
      </c>
      <c r="F180">
        <v>100</v>
      </c>
      <c r="G180">
        <v>1</v>
      </c>
      <c r="H180">
        <v>3733</v>
      </c>
      <c r="I180" t="s">
        <v>18</v>
      </c>
    </row>
    <row r="181" spans="1:9" x14ac:dyDescent="0.3">
      <c r="A181" t="s">
        <v>9</v>
      </c>
      <c r="B181" t="s">
        <v>56</v>
      </c>
      <c r="C181" t="s">
        <v>14</v>
      </c>
      <c r="D181" t="s">
        <v>12</v>
      </c>
      <c r="E181" t="b">
        <v>1</v>
      </c>
      <c r="F181">
        <v>99.9</v>
      </c>
      <c r="G181">
        <v>0</v>
      </c>
      <c r="H181">
        <v>4686</v>
      </c>
      <c r="I181" t="s">
        <v>18</v>
      </c>
    </row>
    <row r="182" spans="1:9" x14ac:dyDescent="0.3">
      <c r="A182" t="s">
        <v>9</v>
      </c>
      <c r="B182" t="s">
        <v>56</v>
      </c>
      <c r="C182" t="s">
        <v>15</v>
      </c>
      <c r="D182" t="s">
        <v>12</v>
      </c>
      <c r="E182" t="b">
        <v>1</v>
      </c>
      <c r="F182">
        <v>100</v>
      </c>
      <c r="G182">
        <v>1</v>
      </c>
      <c r="H182">
        <v>11104</v>
      </c>
      <c r="I182" t="s">
        <v>18</v>
      </c>
    </row>
    <row r="183" spans="1:9" x14ac:dyDescent="0.3">
      <c r="A183" t="s">
        <v>9</v>
      </c>
      <c r="B183" t="s">
        <v>56</v>
      </c>
      <c r="C183" t="s">
        <v>16</v>
      </c>
      <c r="D183" t="s">
        <v>12</v>
      </c>
      <c r="E183" t="b">
        <v>1</v>
      </c>
      <c r="F183">
        <v>100</v>
      </c>
      <c r="G183">
        <v>1</v>
      </c>
      <c r="H183">
        <v>13365</v>
      </c>
      <c r="I183" t="s">
        <v>18</v>
      </c>
    </row>
    <row r="184" spans="1:9" x14ac:dyDescent="0.3">
      <c r="A184" t="s">
        <v>9</v>
      </c>
      <c r="B184" t="s">
        <v>56</v>
      </c>
      <c r="C184" t="s">
        <v>17</v>
      </c>
      <c r="D184" t="s">
        <v>29</v>
      </c>
      <c r="E184" t="b">
        <v>1</v>
      </c>
      <c r="F184">
        <v>100</v>
      </c>
      <c r="G184">
        <v>1</v>
      </c>
      <c r="H184">
        <v>14683</v>
      </c>
      <c r="I184" t="s">
        <v>18</v>
      </c>
    </row>
    <row r="185" spans="1:9" x14ac:dyDescent="0.3">
      <c r="A185" t="s">
        <v>9</v>
      </c>
      <c r="B185" t="s">
        <v>56</v>
      </c>
      <c r="C185" t="s">
        <v>19</v>
      </c>
      <c r="D185" t="s">
        <v>29</v>
      </c>
      <c r="E185" t="b">
        <v>1</v>
      </c>
      <c r="F185">
        <v>100</v>
      </c>
      <c r="G185">
        <v>1</v>
      </c>
      <c r="H185">
        <v>14882</v>
      </c>
      <c r="I185" t="s">
        <v>18</v>
      </c>
    </row>
    <row r="186" spans="1:9" x14ac:dyDescent="0.3">
      <c r="A186" t="s">
        <v>9</v>
      </c>
      <c r="B186" t="s">
        <v>56</v>
      </c>
      <c r="C186" t="s">
        <v>20</v>
      </c>
      <c r="D186" t="s">
        <v>29</v>
      </c>
      <c r="E186" t="b">
        <v>1</v>
      </c>
      <c r="F186">
        <v>100</v>
      </c>
      <c r="G186">
        <v>1</v>
      </c>
      <c r="H186">
        <v>14883</v>
      </c>
      <c r="I186" t="s">
        <v>18</v>
      </c>
    </row>
    <row r="187" spans="1:9" x14ac:dyDescent="0.3">
      <c r="A187" t="s">
        <v>9</v>
      </c>
      <c r="B187" t="s">
        <v>56</v>
      </c>
      <c r="C187" t="s">
        <v>21</v>
      </c>
      <c r="D187" t="s">
        <v>29</v>
      </c>
      <c r="E187" t="b">
        <v>1</v>
      </c>
      <c r="F187">
        <v>100</v>
      </c>
      <c r="G187">
        <v>1</v>
      </c>
      <c r="H187">
        <v>15028</v>
      </c>
      <c r="I187" t="s">
        <v>18</v>
      </c>
    </row>
    <row r="188" spans="1:9" x14ac:dyDescent="0.3">
      <c r="A188" t="s">
        <v>9</v>
      </c>
      <c r="B188" t="s">
        <v>56</v>
      </c>
      <c r="C188" t="s">
        <v>22</v>
      </c>
      <c r="D188" t="s">
        <v>29</v>
      </c>
      <c r="E188" t="b">
        <v>1</v>
      </c>
      <c r="F188">
        <v>63.8</v>
      </c>
      <c r="G188">
        <v>0</v>
      </c>
      <c r="H188">
        <v>15602</v>
      </c>
      <c r="I188" t="s">
        <v>13</v>
      </c>
    </row>
    <row r="189" spans="1:9" x14ac:dyDescent="0.3">
      <c r="A189" t="s">
        <v>9</v>
      </c>
      <c r="B189" t="s">
        <v>56</v>
      </c>
      <c r="C189" t="s">
        <v>23</v>
      </c>
      <c r="D189" t="s">
        <v>29</v>
      </c>
      <c r="E189" t="b">
        <v>1</v>
      </c>
      <c r="F189">
        <v>100</v>
      </c>
      <c r="G189">
        <v>1</v>
      </c>
      <c r="H189">
        <v>19103</v>
      </c>
      <c r="I189" t="s">
        <v>18</v>
      </c>
    </row>
    <row r="190" spans="1:9" x14ac:dyDescent="0.3">
      <c r="A190" t="s">
        <v>9</v>
      </c>
      <c r="B190" t="s">
        <v>56</v>
      </c>
      <c r="C190" t="s">
        <v>24</v>
      </c>
      <c r="D190" t="s">
        <v>29</v>
      </c>
      <c r="E190" t="b">
        <v>1</v>
      </c>
      <c r="F190">
        <v>100</v>
      </c>
      <c r="G190">
        <v>1</v>
      </c>
      <c r="H190">
        <v>19509</v>
      </c>
      <c r="I190" t="s">
        <v>18</v>
      </c>
    </row>
    <row r="191" spans="1:9" x14ac:dyDescent="0.3">
      <c r="A191" t="s">
        <v>9</v>
      </c>
      <c r="B191" t="s">
        <v>56</v>
      </c>
      <c r="C191" t="s">
        <v>25</v>
      </c>
      <c r="D191" t="s">
        <v>29</v>
      </c>
      <c r="E191" t="b">
        <v>1</v>
      </c>
      <c r="F191">
        <v>100</v>
      </c>
      <c r="G191">
        <v>1</v>
      </c>
      <c r="H191">
        <v>19184</v>
      </c>
      <c r="I191" t="s">
        <v>18</v>
      </c>
    </row>
    <row r="192" spans="1:9" x14ac:dyDescent="0.3">
      <c r="A192" t="s">
        <v>45</v>
      </c>
      <c r="B192" t="s">
        <v>57</v>
      </c>
      <c r="C192" t="s">
        <v>11</v>
      </c>
      <c r="D192" t="s">
        <v>12</v>
      </c>
      <c r="E192" t="b">
        <v>1</v>
      </c>
      <c r="F192">
        <v>100</v>
      </c>
      <c r="G192">
        <v>1</v>
      </c>
      <c r="H192">
        <v>9297</v>
      </c>
      <c r="I192" t="s">
        <v>18</v>
      </c>
    </row>
    <row r="193" spans="1:9" x14ac:dyDescent="0.3">
      <c r="A193" t="s">
        <v>45</v>
      </c>
      <c r="B193" t="s">
        <v>57</v>
      </c>
      <c r="C193" t="s">
        <v>14</v>
      </c>
      <c r="D193" t="s">
        <v>12</v>
      </c>
      <c r="E193" t="b">
        <v>1</v>
      </c>
      <c r="F193">
        <v>92.3</v>
      </c>
      <c r="G193">
        <v>0</v>
      </c>
      <c r="H193">
        <v>10124</v>
      </c>
      <c r="I193" t="s">
        <v>13</v>
      </c>
    </row>
    <row r="194" spans="1:9" x14ac:dyDescent="0.3">
      <c r="A194" t="s">
        <v>45</v>
      </c>
      <c r="B194" t="s">
        <v>57</v>
      </c>
      <c r="C194" t="s">
        <v>15</v>
      </c>
      <c r="D194" t="s">
        <v>12</v>
      </c>
      <c r="E194" t="b">
        <v>1</v>
      </c>
      <c r="F194">
        <v>81.400000000000006</v>
      </c>
      <c r="G194">
        <v>0</v>
      </c>
      <c r="H194">
        <v>11783</v>
      </c>
      <c r="I194" t="s">
        <v>13</v>
      </c>
    </row>
    <row r="195" spans="1:9" x14ac:dyDescent="0.3">
      <c r="A195" t="s">
        <v>45</v>
      </c>
      <c r="B195" t="s">
        <v>57</v>
      </c>
      <c r="C195" t="s">
        <v>16</v>
      </c>
      <c r="D195" t="s">
        <v>12</v>
      </c>
      <c r="E195" t="b">
        <v>1</v>
      </c>
      <c r="F195">
        <v>100</v>
      </c>
      <c r="G195">
        <v>1</v>
      </c>
      <c r="H195">
        <v>8655</v>
      </c>
      <c r="I195" t="s">
        <v>18</v>
      </c>
    </row>
    <row r="196" spans="1:9" x14ac:dyDescent="0.3">
      <c r="A196" t="s">
        <v>45</v>
      </c>
      <c r="B196" t="s">
        <v>57</v>
      </c>
      <c r="C196" t="s">
        <v>17</v>
      </c>
      <c r="D196" t="s">
        <v>12</v>
      </c>
      <c r="E196" t="b">
        <v>1</v>
      </c>
      <c r="F196">
        <v>100</v>
      </c>
      <c r="G196">
        <v>1</v>
      </c>
      <c r="H196">
        <v>9534</v>
      </c>
      <c r="I196" t="s">
        <v>18</v>
      </c>
    </row>
    <row r="197" spans="1:9" x14ac:dyDescent="0.3">
      <c r="A197" t="s">
        <v>45</v>
      </c>
      <c r="B197" t="s">
        <v>57</v>
      </c>
      <c r="C197" t="s">
        <v>19</v>
      </c>
      <c r="D197" t="s">
        <v>12</v>
      </c>
      <c r="E197" t="b">
        <v>1</v>
      </c>
      <c r="F197">
        <v>62.3</v>
      </c>
      <c r="G197">
        <v>0</v>
      </c>
      <c r="H197">
        <v>10140</v>
      </c>
      <c r="I197" t="s">
        <v>13</v>
      </c>
    </row>
    <row r="198" spans="1:9" x14ac:dyDescent="0.3">
      <c r="A198" t="s">
        <v>45</v>
      </c>
      <c r="B198" t="s">
        <v>57</v>
      </c>
      <c r="C198" t="s">
        <v>20</v>
      </c>
      <c r="D198" t="s">
        <v>12</v>
      </c>
      <c r="E198" t="b">
        <v>1</v>
      </c>
      <c r="F198">
        <v>99.2</v>
      </c>
      <c r="G198">
        <v>0</v>
      </c>
      <c r="H198">
        <v>8677</v>
      </c>
      <c r="I198" t="s">
        <v>13</v>
      </c>
    </row>
    <row r="199" spans="1:9" x14ac:dyDescent="0.3">
      <c r="A199" t="s">
        <v>45</v>
      </c>
      <c r="B199" t="s">
        <v>57</v>
      </c>
      <c r="C199" t="s">
        <v>21</v>
      </c>
      <c r="D199" t="s">
        <v>12</v>
      </c>
      <c r="E199" t="b">
        <v>1</v>
      </c>
      <c r="F199">
        <v>100</v>
      </c>
      <c r="G199">
        <v>1</v>
      </c>
      <c r="H199">
        <v>7863</v>
      </c>
      <c r="I199" t="s">
        <v>18</v>
      </c>
    </row>
    <row r="200" spans="1:9" x14ac:dyDescent="0.3">
      <c r="A200" t="s">
        <v>45</v>
      </c>
      <c r="B200" t="s">
        <v>57</v>
      </c>
      <c r="C200" t="s">
        <v>22</v>
      </c>
      <c r="D200" t="s">
        <v>12</v>
      </c>
      <c r="E200" t="b">
        <v>1</v>
      </c>
      <c r="F200">
        <v>100</v>
      </c>
      <c r="G200">
        <v>1</v>
      </c>
      <c r="H200">
        <v>7998</v>
      </c>
      <c r="I200" t="s">
        <v>18</v>
      </c>
    </row>
    <row r="201" spans="1:9" x14ac:dyDescent="0.3">
      <c r="A201" t="s">
        <v>45</v>
      </c>
      <c r="B201" t="s">
        <v>57</v>
      </c>
      <c r="C201" t="s">
        <v>23</v>
      </c>
      <c r="D201" t="s">
        <v>12</v>
      </c>
      <c r="E201" t="b">
        <v>1</v>
      </c>
      <c r="F201">
        <v>100</v>
      </c>
      <c r="G201">
        <v>1</v>
      </c>
      <c r="H201">
        <v>8738</v>
      </c>
      <c r="I201" t="s">
        <v>18</v>
      </c>
    </row>
    <row r="202" spans="1:9" x14ac:dyDescent="0.3">
      <c r="A202" t="s">
        <v>45</v>
      </c>
      <c r="B202" t="s">
        <v>57</v>
      </c>
      <c r="C202" t="s">
        <v>24</v>
      </c>
      <c r="D202" t="s">
        <v>12</v>
      </c>
      <c r="E202" t="b">
        <v>1</v>
      </c>
      <c r="F202">
        <v>100</v>
      </c>
      <c r="G202">
        <v>1</v>
      </c>
      <c r="H202">
        <v>8122</v>
      </c>
      <c r="I202" t="s">
        <v>13</v>
      </c>
    </row>
    <row r="203" spans="1:9" x14ac:dyDescent="0.3">
      <c r="A203" t="s">
        <v>45</v>
      </c>
      <c r="B203" t="s">
        <v>57</v>
      </c>
      <c r="C203" t="s">
        <v>25</v>
      </c>
      <c r="D203" t="s">
        <v>29</v>
      </c>
      <c r="E203" t="b">
        <v>1</v>
      </c>
      <c r="F203">
        <v>99.6</v>
      </c>
      <c r="G203">
        <v>0</v>
      </c>
      <c r="H203">
        <v>8148</v>
      </c>
      <c r="I203" t="s">
        <v>13</v>
      </c>
    </row>
    <row r="204" spans="1:9" x14ac:dyDescent="0.3">
      <c r="A204" t="s">
        <v>45</v>
      </c>
      <c r="B204" t="s">
        <v>57</v>
      </c>
      <c r="C204" t="s">
        <v>26</v>
      </c>
      <c r="D204" t="s">
        <v>29</v>
      </c>
      <c r="E204" t="b">
        <v>1</v>
      </c>
      <c r="F204">
        <v>100</v>
      </c>
      <c r="G204">
        <v>1</v>
      </c>
      <c r="H204">
        <v>9359</v>
      </c>
      <c r="I204" t="s">
        <v>18</v>
      </c>
    </row>
    <row r="205" spans="1:9" x14ac:dyDescent="0.3">
      <c r="A205" t="s">
        <v>45</v>
      </c>
      <c r="B205" t="s">
        <v>57</v>
      </c>
      <c r="C205" t="s">
        <v>27</v>
      </c>
      <c r="D205" t="s">
        <v>29</v>
      </c>
      <c r="E205" t="b">
        <v>1</v>
      </c>
      <c r="F205">
        <v>100</v>
      </c>
      <c r="G205">
        <v>1</v>
      </c>
      <c r="H205">
        <v>9232</v>
      </c>
      <c r="I205" t="s">
        <v>18</v>
      </c>
    </row>
    <row r="206" spans="1:9" x14ac:dyDescent="0.3">
      <c r="A206" t="s">
        <v>45</v>
      </c>
      <c r="B206" t="s">
        <v>57</v>
      </c>
      <c r="C206" t="s">
        <v>28</v>
      </c>
      <c r="D206" t="s">
        <v>29</v>
      </c>
      <c r="E206" t="b">
        <v>1</v>
      </c>
      <c r="F206">
        <v>100</v>
      </c>
      <c r="G206">
        <v>1</v>
      </c>
      <c r="H206">
        <v>9313</v>
      </c>
      <c r="I206" t="s">
        <v>18</v>
      </c>
    </row>
    <row r="207" spans="1:9" x14ac:dyDescent="0.3">
      <c r="A207" t="s">
        <v>45</v>
      </c>
      <c r="B207" t="s">
        <v>57</v>
      </c>
      <c r="C207" t="s">
        <v>30</v>
      </c>
      <c r="D207" t="s">
        <v>29</v>
      </c>
      <c r="E207" t="b">
        <v>1</v>
      </c>
      <c r="F207">
        <v>100</v>
      </c>
      <c r="G207">
        <v>1</v>
      </c>
      <c r="H207">
        <v>9538</v>
      </c>
      <c r="I207" t="s">
        <v>18</v>
      </c>
    </row>
    <row r="208" spans="1:9" x14ac:dyDescent="0.3">
      <c r="A208" t="s">
        <v>45</v>
      </c>
      <c r="B208" t="s">
        <v>57</v>
      </c>
      <c r="C208" t="s">
        <v>31</v>
      </c>
      <c r="D208" t="s">
        <v>29</v>
      </c>
      <c r="E208" t="b">
        <v>1</v>
      </c>
      <c r="F208">
        <v>100</v>
      </c>
      <c r="G208">
        <v>1</v>
      </c>
      <c r="H208">
        <v>9526</v>
      </c>
      <c r="I208" t="s">
        <v>18</v>
      </c>
    </row>
    <row r="209" spans="1:9" x14ac:dyDescent="0.3">
      <c r="A209" t="s">
        <v>45</v>
      </c>
      <c r="B209" t="s">
        <v>57</v>
      </c>
      <c r="C209" t="s">
        <v>32</v>
      </c>
      <c r="D209" t="s">
        <v>29</v>
      </c>
      <c r="E209" t="b">
        <v>1</v>
      </c>
      <c r="F209">
        <v>100</v>
      </c>
      <c r="G209">
        <v>1</v>
      </c>
      <c r="H209">
        <v>9220</v>
      </c>
      <c r="I209" t="s">
        <v>18</v>
      </c>
    </row>
    <row r="210" spans="1:9" x14ac:dyDescent="0.3">
      <c r="A210" t="s">
        <v>45</v>
      </c>
      <c r="B210" t="s">
        <v>57</v>
      </c>
      <c r="C210" t="s">
        <v>33</v>
      </c>
      <c r="D210" t="s">
        <v>29</v>
      </c>
      <c r="E210" t="b">
        <v>1</v>
      </c>
      <c r="F210">
        <v>100</v>
      </c>
      <c r="G210">
        <v>1</v>
      </c>
      <c r="H210">
        <v>8993</v>
      </c>
      <c r="I210" t="s">
        <v>18</v>
      </c>
    </row>
    <row r="211" spans="1:9" x14ac:dyDescent="0.3">
      <c r="A211" t="s">
        <v>45</v>
      </c>
      <c r="B211" t="s">
        <v>57</v>
      </c>
      <c r="C211" t="s">
        <v>34</v>
      </c>
      <c r="D211" t="s">
        <v>29</v>
      </c>
      <c r="E211" t="b">
        <v>1</v>
      </c>
      <c r="F211">
        <v>100</v>
      </c>
      <c r="G211">
        <v>1</v>
      </c>
      <c r="H211">
        <v>9280</v>
      </c>
      <c r="I211" t="s">
        <v>18</v>
      </c>
    </row>
    <row r="212" spans="1:9" x14ac:dyDescent="0.3">
      <c r="A212" t="s">
        <v>45</v>
      </c>
      <c r="B212" t="s">
        <v>57</v>
      </c>
      <c r="C212" t="s">
        <v>35</v>
      </c>
      <c r="D212" t="s">
        <v>29</v>
      </c>
      <c r="E212" t="b">
        <v>1</v>
      </c>
      <c r="F212">
        <v>100</v>
      </c>
      <c r="G212">
        <v>1</v>
      </c>
      <c r="H212">
        <v>9630</v>
      </c>
      <c r="I212" t="s">
        <v>18</v>
      </c>
    </row>
    <row r="213" spans="1:9" x14ac:dyDescent="0.3">
      <c r="A213" t="s">
        <v>45</v>
      </c>
      <c r="B213" t="s">
        <v>57</v>
      </c>
      <c r="C213" t="s">
        <v>36</v>
      </c>
      <c r="D213" t="s">
        <v>29</v>
      </c>
      <c r="E213" t="b">
        <v>1</v>
      </c>
      <c r="F213">
        <v>100</v>
      </c>
      <c r="G213">
        <v>1</v>
      </c>
      <c r="H213">
        <v>9312</v>
      </c>
      <c r="I213" t="s">
        <v>18</v>
      </c>
    </row>
    <row r="214" spans="1:9" x14ac:dyDescent="0.3">
      <c r="A214" t="s">
        <v>43</v>
      </c>
      <c r="B214" t="s">
        <v>58</v>
      </c>
      <c r="C214" t="s">
        <v>11</v>
      </c>
      <c r="D214" t="s">
        <v>12</v>
      </c>
      <c r="E214" t="b">
        <v>1</v>
      </c>
      <c r="F214">
        <v>100</v>
      </c>
      <c r="G214">
        <v>1</v>
      </c>
      <c r="H214">
        <v>9746</v>
      </c>
      <c r="I214" t="s">
        <v>13</v>
      </c>
    </row>
    <row r="215" spans="1:9" x14ac:dyDescent="0.3">
      <c r="A215" t="s">
        <v>43</v>
      </c>
      <c r="B215" t="s">
        <v>58</v>
      </c>
      <c r="C215" t="s">
        <v>14</v>
      </c>
      <c r="D215" t="s">
        <v>12</v>
      </c>
      <c r="E215" t="b">
        <v>1</v>
      </c>
      <c r="F215">
        <v>79.900000000000006</v>
      </c>
      <c r="G215">
        <v>0</v>
      </c>
      <c r="H215">
        <v>10669</v>
      </c>
      <c r="I215" t="s">
        <v>13</v>
      </c>
    </row>
    <row r="216" spans="1:9" x14ac:dyDescent="0.3">
      <c r="A216" t="s">
        <v>43</v>
      </c>
      <c r="B216" t="s">
        <v>58</v>
      </c>
      <c r="C216" t="s">
        <v>15</v>
      </c>
      <c r="D216" t="s">
        <v>12</v>
      </c>
      <c r="E216" t="b">
        <v>1</v>
      </c>
      <c r="F216">
        <v>100</v>
      </c>
      <c r="G216">
        <v>1</v>
      </c>
      <c r="H216">
        <v>9809</v>
      </c>
      <c r="I216" t="s">
        <v>18</v>
      </c>
    </row>
    <row r="217" spans="1:9" x14ac:dyDescent="0.3">
      <c r="A217" t="s">
        <v>43</v>
      </c>
      <c r="B217" t="s">
        <v>58</v>
      </c>
      <c r="C217" t="s">
        <v>16</v>
      </c>
      <c r="D217" t="s">
        <v>12</v>
      </c>
      <c r="E217" t="b">
        <v>1</v>
      </c>
      <c r="F217">
        <v>100</v>
      </c>
      <c r="G217">
        <v>1</v>
      </c>
      <c r="H217">
        <v>8981</v>
      </c>
      <c r="I217" t="s">
        <v>18</v>
      </c>
    </row>
    <row r="218" spans="1:9" x14ac:dyDescent="0.3">
      <c r="A218" t="s">
        <v>43</v>
      </c>
      <c r="B218" t="s">
        <v>58</v>
      </c>
      <c r="C218" t="s">
        <v>17</v>
      </c>
      <c r="D218" t="s">
        <v>29</v>
      </c>
      <c r="E218" t="b">
        <v>1</v>
      </c>
      <c r="F218">
        <v>100</v>
      </c>
      <c r="G218">
        <v>1</v>
      </c>
      <c r="H218">
        <v>16046</v>
      </c>
      <c r="I218" t="s">
        <v>18</v>
      </c>
    </row>
    <row r="219" spans="1:9" x14ac:dyDescent="0.3">
      <c r="A219" t="s">
        <v>43</v>
      </c>
      <c r="B219" t="s">
        <v>58</v>
      </c>
      <c r="C219" t="s">
        <v>19</v>
      </c>
      <c r="D219" t="s">
        <v>29</v>
      </c>
      <c r="E219" t="b">
        <v>1</v>
      </c>
      <c r="F219">
        <v>100</v>
      </c>
      <c r="G219">
        <v>1</v>
      </c>
      <c r="H219">
        <v>22277</v>
      </c>
      <c r="I219" t="s">
        <v>18</v>
      </c>
    </row>
    <row r="220" spans="1:9" x14ac:dyDescent="0.3">
      <c r="A220" t="s">
        <v>43</v>
      </c>
      <c r="B220" t="s">
        <v>59</v>
      </c>
      <c r="C220" t="s">
        <v>11</v>
      </c>
      <c r="D220" t="s">
        <v>12</v>
      </c>
      <c r="E220" t="b">
        <v>1</v>
      </c>
      <c r="F220">
        <v>57.1</v>
      </c>
      <c r="G220">
        <v>0</v>
      </c>
      <c r="H220">
        <v>16614</v>
      </c>
      <c r="I220" t="s">
        <v>13</v>
      </c>
    </row>
    <row r="221" spans="1:9" x14ac:dyDescent="0.3">
      <c r="A221" t="s">
        <v>43</v>
      </c>
      <c r="B221" t="s">
        <v>59</v>
      </c>
      <c r="C221" t="s">
        <v>14</v>
      </c>
      <c r="D221" t="s">
        <v>12</v>
      </c>
      <c r="E221" t="b">
        <v>1</v>
      </c>
      <c r="F221">
        <v>38.9</v>
      </c>
      <c r="G221">
        <v>0</v>
      </c>
      <c r="H221">
        <v>12454</v>
      </c>
      <c r="I221" t="s">
        <v>13</v>
      </c>
    </row>
    <row r="222" spans="1:9" x14ac:dyDescent="0.3">
      <c r="A222" t="s">
        <v>43</v>
      </c>
      <c r="B222" t="s">
        <v>59</v>
      </c>
      <c r="C222" t="s">
        <v>15</v>
      </c>
      <c r="D222" t="s">
        <v>12</v>
      </c>
      <c r="E222" t="b">
        <v>1</v>
      </c>
      <c r="F222">
        <v>100</v>
      </c>
      <c r="G222">
        <v>1</v>
      </c>
      <c r="H222">
        <v>10911</v>
      </c>
      <c r="I222" t="s">
        <v>18</v>
      </c>
    </row>
    <row r="223" spans="1:9" x14ac:dyDescent="0.3">
      <c r="A223" t="s">
        <v>43</v>
      </c>
      <c r="B223" t="s">
        <v>59</v>
      </c>
      <c r="C223" t="s">
        <v>16</v>
      </c>
      <c r="D223" t="s">
        <v>12</v>
      </c>
      <c r="E223" t="b">
        <v>1</v>
      </c>
      <c r="F223">
        <v>64.7</v>
      </c>
      <c r="G223">
        <v>0</v>
      </c>
      <c r="H223">
        <v>12619</v>
      </c>
      <c r="I223" t="s">
        <v>13</v>
      </c>
    </row>
    <row r="224" spans="1:9" x14ac:dyDescent="0.3">
      <c r="A224" t="s">
        <v>43</v>
      </c>
      <c r="B224" t="s">
        <v>59</v>
      </c>
      <c r="C224" t="s">
        <v>17</v>
      </c>
      <c r="D224" t="s">
        <v>12</v>
      </c>
      <c r="E224" t="b">
        <v>1</v>
      </c>
      <c r="F224">
        <v>27</v>
      </c>
      <c r="G224">
        <v>0</v>
      </c>
      <c r="H224">
        <v>23829</v>
      </c>
      <c r="I224" t="s">
        <v>13</v>
      </c>
    </row>
    <row r="225" spans="1:9" x14ac:dyDescent="0.3">
      <c r="A225" t="s">
        <v>43</v>
      </c>
      <c r="B225" t="s">
        <v>59</v>
      </c>
      <c r="C225" t="s">
        <v>19</v>
      </c>
      <c r="D225" t="s">
        <v>12</v>
      </c>
      <c r="E225" t="b">
        <v>1</v>
      </c>
      <c r="F225">
        <v>32.5</v>
      </c>
      <c r="G225">
        <v>0</v>
      </c>
      <c r="H225">
        <v>23538</v>
      </c>
      <c r="I225" t="s">
        <v>13</v>
      </c>
    </row>
    <row r="226" spans="1:9" x14ac:dyDescent="0.3">
      <c r="A226" t="s">
        <v>43</v>
      </c>
      <c r="B226" t="s">
        <v>59</v>
      </c>
      <c r="C226" t="s">
        <v>20</v>
      </c>
      <c r="D226" t="s">
        <v>12</v>
      </c>
      <c r="E226" t="b">
        <v>1</v>
      </c>
      <c r="F226">
        <v>23.2</v>
      </c>
      <c r="G226">
        <v>0</v>
      </c>
      <c r="H226">
        <v>28131</v>
      </c>
      <c r="I226" t="s">
        <v>13</v>
      </c>
    </row>
    <row r="227" spans="1:9" x14ac:dyDescent="0.3">
      <c r="A227" t="s">
        <v>43</v>
      </c>
      <c r="B227" t="s">
        <v>59</v>
      </c>
      <c r="C227" t="s">
        <v>21</v>
      </c>
      <c r="D227" t="s">
        <v>12</v>
      </c>
      <c r="E227" t="b">
        <v>1</v>
      </c>
      <c r="F227">
        <v>60.1</v>
      </c>
      <c r="G227">
        <v>0</v>
      </c>
      <c r="H227">
        <v>11226</v>
      </c>
      <c r="I227" t="s">
        <v>13</v>
      </c>
    </row>
    <row r="228" spans="1:9" x14ac:dyDescent="0.3">
      <c r="A228" t="s">
        <v>43</v>
      </c>
      <c r="B228" t="s">
        <v>59</v>
      </c>
      <c r="C228" t="s">
        <v>22</v>
      </c>
      <c r="D228" t="s">
        <v>12</v>
      </c>
      <c r="E228" t="b">
        <v>1</v>
      </c>
      <c r="F228">
        <v>76.5</v>
      </c>
      <c r="G228">
        <v>0</v>
      </c>
      <c r="H228">
        <v>10444</v>
      </c>
      <c r="I228" t="s">
        <v>13</v>
      </c>
    </row>
    <row r="229" spans="1:9" x14ac:dyDescent="0.3">
      <c r="A229" t="s">
        <v>43</v>
      </c>
      <c r="B229" t="s">
        <v>59</v>
      </c>
      <c r="C229" t="s">
        <v>23</v>
      </c>
      <c r="D229" t="s">
        <v>12</v>
      </c>
      <c r="E229" t="b">
        <v>1</v>
      </c>
      <c r="F229">
        <v>72.2</v>
      </c>
      <c r="G229">
        <v>0</v>
      </c>
      <c r="H229">
        <v>10019</v>
      </c>
      <c r="I229" t="s">
        <v>13</v>
      </c>
    </row>
    <row r="230" spans="1:9" x14ac:dyDescent="0.3">
      <c r="A230" t="s">
        <v>43</v>
      </c>
      <c r="B230" t="s">
        <v>59</v>
      </c>
      <c r="C230" t="s">
        <v>24</v>
      </c>
      <c r="D230" t="s">
        <v>12</v>
      </c>
      <c r="E230" t="b">
        <v>1</v>
      </c>
      <c r="F230">
        <v>100</v>
      </c>
      <c r="G230">
        <v>1</v>
      </c>
      <c r="H230">
        <v>11236</v>
      </c>
      <c r="I230" t="s">
        <v>18</v>
      </c>
    </row>
    <row r="231" spans="1:9" x14ac:dyDescent="0.3">
      <c r="A231" t="s">
        <v>43</v>
      </c>
      <c r="B231" t="s">
        <v>59</v>
      </c>
      <c r="C231" t="s">
        <v>25</v>
      </c>
      <c r="D231" t="s">
        <v>12</v>
      </c>
      <c r="E231" t="b">
        <v>1</v>
      </c>
      <c r="F231">
        <v>100</v>
      </c>
      <c r="G231">
        <v>1</v>
      </c>
      <c r="H231">
        <v>11942</v>
      </c>
      <c r="I231" t="s">
        <v>18</v>
      </c>
    </row>
    <row r="232" spans="1:9" x14ac:dyDescent="0.3">
      <c r="A232" t="s">
        <v>43</v>
      </c>
      <c r="B232" t="s">
        <v>59</v>
      </c>
      <c r="C232" t="s">
        <v>26</v>
      </c>
      <c r="D232" t="s">
        <v>29</v>
      </c>
      <c r="E232" t="b">
        <v>1</v>
      </c>
      <c r="F232">
        <v>100</v>
      </c>
      <c r="G232">
        <v>1</v>
      </c>
      <c r="H232">
        <v>9371</v>
      </c>
      <c r="I232" t="s">
        <v>18</v>
      </c>
    </row>
    <row r="233" spans="1:9" x14ac:dyDescent="0.3">
      <c r="A233" t="s">
        <v>43</v>
      </c>
      <c r="B233" t="s">
        <v>59</v>
      </c>
      <c r="C233" t="s">
        <v>27</v>
      </c>
      <c r="D233" t="s">
        <v>29</v>
      </c>
      <c r="E233" t="b">
        <v>1</v>
      </c>
      <c r="F233">
        <v>100</v>
      </c>
      <c r="G233">
        <v>1</v>
      </c>
      <c r="H233">
        <v>10194</v>
      </c>
      <c r="I233" t="s">
        <v>18</v>
      </c>
    </row>
    <row r="234" spans="1:9" x14ac:dyDescent="0.3">
      <c r="A234" t="s">
        <v>43</v>
      </c>
      <c r="B234" t="s">
        <v>59</v>
      </c>
      <c r="C234" t="s">
        <v>28</v>
      </c>
      <c r="D234" t="s">
        <v>29</v>
      </c>
      <c r="E234" t="b">
        <v>1</v>
      </c>
      <c r="F234">
        <v>100</v>
      </c>
      <c r="G234">
        <v>1</v>
      </c>
      <c r="H234">
        <v>12403</v>
      </c>
      <c r="I234" t="s">
        <v>18</v>
      </c>
    </row>
    <row r="235" spans="1:9" x14ac:dyDescent="0.3">
      <c r="A235" t="s">
        <v>43</v>
      </c>
      <c r="B235" t="s">
        <v>59</v>
      </c>
      <c r="C235" t="s">
        <v>30</v>
      </c>
      <c r="D235" t="s">
        <v>29</v>
      </c>
      <c r="E235" t="b">
        <v>1</v>
      </c>
      <c r="F235">
        <v>100</v>
      </c>
      <c r="G235">
        <v>1</v>
      </c>
      <c r="H235">
        <v>18169</v>
      </c>
      <c r="I235" t="s">
        <v>18</v>
      </c>
    </row>
    <row r="236" spans="1:9" x14ac:dyDescent="0.3">
      <c r="A236" t="s">
        <v>43</v>
      </c>
      <c r="B236" t="s">
        <v>59</v>
      </c>
      <c r="C236" t="s">
        <v>31</v>
      </c>
      <c r="D236" t="s">
        <v>29</v>
      </c>
      <c r="E236" t="b">
        <v>1</v>
      </c>
      <c r="F236">
        <v>100</v>
      </c>
      <c r="G236">
        <v>1</v>
      </c>
      <c r="H236">
        <v>18736</v>
      </c>
      <c r="I236" t="s">
        <v>18</v>
      </c>
    </row>
    <row r="237" spans="1:9" x14ac:dyDescent="0.3">
      <c r="A237" t="s">
        <v>43</v>
      </c>
      <c r="B237" t="s">
        <v>59</v>
      </c>
      <c r="C237" t="s">
        <v>32</v>
      </c>
      <c r="D237" t="s">
        <v>29</v>
      </c>
      <c r="E237" t="b">
        <v>1</v>
      </c>
      <c r="F237">
        <v>100</v>
      </c>
      <c r="G237">
        <v>1</v>
      </c>
      <c r="H237">
        <v>19303</v>
      </c>
      <c r="I237" t="s">
        <v>18</v>
      </c>
    </row>
    <row r="238" spans="1:9" x14ac:dyDescent="0.3">
      <c r="A238" t="s">
        <v>43</v>
      </c>
      <c r="B238" t="s">
        <v>59</v>
      </c>
      <c r="C238" t="s">
        <v>33</v>
      </c>
      <c r="D238" t="s">
        <v>29</v>
      </c>
      <c r="E238" t="b">
        <v>1</v>
      </c>
      <c r="F238">
        <v>99.9</v>
      </c>
      <c r="G238">
        <v>0</v>
      </c>
      <c r="H238">
        <v>25007</v>
      </c>
      <c r="I238" t="s">
        <v>18</v>
      </c>
    </row>
    <row r="239" spans="1:9" x14ac:dyDescent="0.3">
      <c r="A239" t="s">
        <v>43</v>
      </c>
      <c r="B239" t="s">
        <v>59</v>
      </c>
      <c r="C239" t="s">
        <v>34</v>
      </c>
      <c r="D239" t="s">
        <v>29</v>
      </c>
      <c r="E239" t="b">
        <v>1</v>
      </c>
      <c r="F239">
        <v>100</v>
      </c>
      <c r="G239">
        <v>1</v>
      </c>
      <c r="H239">
        <v>25432</v>
      </c>
      <c r="I239" t="s">
        <v>18</v>
      </c>
    </row>
    <row r="240" spans="1:9" x14ac:dyDescent="0.3">
      <c r="A240" t="s">
        <v>43</v>
      </c>
      <c r="B240" t="s">
        <v>59</v>
      </c>
      <c r="C240" t="s">
        <v>35</v>
      </c>
      <c r="D240" t="s">
        <v>29</v>
      </c>
      <c r="E240" t="b">
        <v>1</v>
      </c>
      <c r="F240">
        <v>100</v>
      </c>
      <c r="G240">
        <v>1</v>
      </c>
      <c r="H240">
        <v>20523</v>
      </c>
      <c r="I240" t="s">
        <v>18</v>
      </c>
    </row>
    <row r="241" spans="1:9" x14ac:dyDescent="0.3">
      <c r="A241" t="s">
        <v>43</v>
      </c>
      <c r="B241" t="s">
        <v>59</v>
      </c>
      <c r="C241" t="s">
        <v>36</v>
      </c>
      <c r="D241" t="s">
        <v>29</v>
      </c>
      <c r="E241" t="b">
        <v>1</v>
      </c>
      <c r="F241">
        <v>96.3</v>
      </c>
      <c r="G241">
        <v>0</v>
      </c>
      <c r="H241">
        <v>21275</v>
      </c>
      <c r="I241" t="s">
        <v>13</v>
      </c>
    </row>
    <row r="242" spans="1:9" x14ac:dyDescent="0.3">
      <c r="A242" t="s">
        <v>43</v>
      </c>
      <c r="B242" t="s">
        <v>59</v>
      </c>
      <c r="C242" t="s">
        <v>37</v>
      </c>
      <c r="D242" t="s">
        <v>29</v>
      </c>
      <c r="E242" t="b">
        <v>1</v>
      </c>
      <c r="F242">
        <v>92.6</v>
      </c>
      <c r="G242">
        <v>0</v>
      </c>
      <c r="H242">
        <v>22874</v>
      </c>
      <c r="I242" t="s">
        <v>13</v>
      </c>
    </row>
    <row r="243" spans="1:9" x14ac:dyDescent="0.3">
      <c r="A243" t="s">
        <v>43</v>
      </c>
      <c r="B243" t="s">
        <v>59</v>
      </c>
      <c r="C243" t="s">
        <v>38</v>
      </c>
      <c r="D243" t="s">
        <v>29</v>
      </c>
      <c r="E243" t="b">
        <v>1</v>
      </c>
      <c r="F243">
        <v>51.3</v>
      </c>
      <c r="G243">
        <v>0</v>
      </c>
      <c r="H243">
        <v>24311</v>
      </c>
      <c r="I243" t="s">
        <v>13</v>
      </c>
    </row>
    <row r="244" spans="1:9" x14ac:dyDescent="0.3">
      <c r="A244" t="s">
        <v>43</v>
      </c>
      <c r="B244" t="s">
        <v>59</v>
      </c>
      <c r="C244" t="s">
        <v>39</v>
      </c>
      <c r="D244" t="s">
        <v>29</v>
      </c>
      <c r="E244" t="b">
        <v>1</v>
      </c>
      <c r="F244">
        <v>57.1</v>
      </c>
      <c r="G244">
        <v>0</v>
      </c>
      <c r="H244">
        <v>22433</v>
      </c>
      <c r="I244" t="s">
        <v>13</v>
      </c>
    </row>
    <row r="245" spans="1:9" x14ac:dyDescent="0.3">
      <c r="A245" t="s">
        <v>43</v>
      </c>
      <c r="B245" t="s">
        <v>59</v>
      </c>
      <c r="C245" t="s">
        <v>40</v>
      </c>
      <c r="D245" t="s">
        <v>29</v>
      </c>
      <c r="E245" t="b">
        <v>1</v>
      </c>
      <c r="F245">
        <v>100</v>
      </c>
      <c r="G245">
        <v>1</v>
      </c>
      <c r="H245">
        <v>16706</v>
      </c>
      <c r="I245" t="s">
        <v>18</v>
      </c>
    </row>
    <row r="246" spans="1:9" x14ac:dyDescent="0.3">
      <c r="A246" t="s">
        <v>9</v>
      </c>
      <c r="B246" t="s">
        <v>60</v>
      </c>
      <c r="C246" t="s">
        <v>11</v>
      </c>
      <c r="D246" t="s">
        <v>12</v>
      </c>
      <c r="E246" t="b">
        <v>1</v>
      </c>
      <c r="F246">
        <v>100</v>
      </c>
      <c r="G246">
        <v>1</v>
      </c>
      <c r="H246">
        <v>9662</v>
      </c>
      <c r="I246" t="s">
        <v>18</v>
      </c>
    </row>
    <row r="247" spans="1:9" x14ac:dyDescent="0.3">
      <c r="A247" t="s">
        <v>9</v>
      </c>
      <c r="B247" t="s">
        <v>60</v>
      </c>
      <c r="C247" t="s">
        <v>14</v>
      </c>
      <c r="D247" t="s">
        <v>12</v>
      </c>
      <c r="E247" t="b">
        <v>1</v>
      </c>
      <c r="F247">
        <v>100</v>
      </c>
      <c r="G247">
        <v>1</v>
      </c>
      <c r="H247">
        <v>13424</v>
      </c>
      <c r="I247" t="s">
        <v>18</v>
      </c>
    </row>
    <row r="248" spans="1:9" x14ac:dyDescent="0.3">
      <c r="A248" t="s">
        <v>9</v>
      </c>
      <c r="B248" t="s">
        <v>60</v>
      </c>
      <c r="C248" t="s">
        <v>15</v>
      </c>
      <c r="D248" t="s">
        <v>12</v>
      </c>
      <c r="E248" t="b">
        <v>1</v>
      </c>
      <c r="F248">
        <v>100</v>
      </c>
      <c r="G248">
        <v>1</v>
      </c>
      <c r="H248">
        <v>9375</v>
      </c>
      <c r="I248" t="s">
        <v>18</v>
      </c>
    </row>
    <row r="249" spans="1:9" x14ac:dyDescent="0.3">
      <c r="A249" t="s">
        <v>9</v>
      </c>
      <c r="B249" t="s">
        <v>60</v>
      </c>
      <c r="C249" t="s">
        <v>16</v>
      </c>
      <c r="D249" t="s">
        <v>12</v>
      </c>
      <c r="E249" t="b">
        <v>1</v>
      </c>
      <c r="F249">
        <v>100</v>
      </c>
      <c r="G249">
        <v>1</v>
      </c>
      <c r="H249">
        <v>15476</v>
      </c>
      <c r="I249" t="s">
        <v>18</v>
      </c>
    </row>
    <row r="250" spans="1:9" x14ac:dyDescent="0.3">
      <c r="A250" t="s">
        <v>9</v>
      </c>
      <c r="B250" t="s">
        <v>60</v>
      </c>
      <c r="C250" t="s">
        <v>17</v>
      </c>
      <c r="D250" t="s">
        <v>29</v>
      </c>
      <c r="E250" t="b">
        <v>1</v>
      </c>
      <c r="F250">
        <v>98.2</v>
      </c>
      <c r="G250">
        <v>0</v>
      </c>
      <c r="H250">
        <v>12211</v>
      </c>
      <c r="I250" t="s">
        <v>13</v>
      </c>
    </row>
    <row r="251" spans="1:9" x14ac:dyDescent="0.3">
      <c r="A251" t="s">
        <v>9</v>
      </c>
      <c r="B251" t="s">
        <v>60</v>
      </c>
      <c r="C251" t="s">
        <v>19</v>
      </c>
      <c r="D251" t="s">
        <v>29</v>
      </c>
      <c r="E251" t="b">
        <v>1</v>
      </c>
      <c r="F251">
        <v>100</v>
      </c>
      <c r="G251">
        <v>1</v>
      </c>
      <c r="H251">
        <v>13046</v>
      </c>
      <c r="I251" t="s">
        <v>13</v>
      </c>
    </row>
    <row r="252" spans="1:9" x14ac:dyDescent="0.3">
      <c r="A252" t="s">
        <v>9</v>
      </c>
      <c r="B252" t="s">
        <v>60</v>
      </c>
      <c r="C252" t="s">
        <v>20</v>
      </c>
      <c r="D252" t="s">
        <v>29</v>
      </c>
      <c r="E252" t="b">
        <v>1</v>
      </c>
      <c r="F252">
        <v>100</v>
      </c>
      <c r="G252">
        <v>1</v>
      </c>
      <c r="H252">
        <v>15062</v>
      </c>
      <c r="I252" t="s">
        <v>18</v>
      </c>
    </row>
    <row r="253" spans="1:9" x14ac:dyDescent="0.3">
      <c r="A253" t="s">
        <v>9</v>
      </c>
      <c r="B253" t="s">
        <v>60</v>
      </c>
      <c r="C253" t="s">
        <v>21</v>
      </c>
      <c r="D253" t="s">
        <v>29</v>
      </c>
      <c r="E253" t="b">
        <v>1</v>
      </c>
      <c r="F253">
        <v>100</v>
      </c>
      <c r="G253">
        <v>1</v>
      </c>
      <c r="H253">
        <v>16155</v>
      </c>
      <c r="I253" t="s">
        <v>18</v>
      </c>
    </row>
    <row r="254" spans="1:9" x14ac:dyDescent="0.3">
      <c r="A254" t="s">
        <v>9</v>
      </c>
      <c r="B254" t="s">
        <v>60</v>
      </c>
      <c r="C254" t="s">
        <v>22</v>
      </c>
      <c r="D254" t="s">
        <v>29</v>
      </c>
      <c r="E254" t="b">
        <v>1</v>
      </c>
      <c r="F254">
        <v>100</v>
      </c>
      <c r="G254">
        <v>1</v>
      </c>
      <c r="H254">
        <v>12810</v>
      </c>
      <c r="I254" t="s">
        <v>18</v>
      </c>
    </row>
    <row r="255" spans="1:9" x14ac:dyDescent="0.3">
      <c r="A255" t="s">
        <v>45</v>
      </c>
      <c r="B255" t="s">
        <v>61</v>
      </c>
      <c r="C255" t="s">
        <v>11</v>
      </c>
      <c r="D255" t="s">
        <v>12</v>
      </c>
      <c r="E255" t="b">
        <v>1</v>
      </c>
      <c r="F255">
        <v>100</v>
      </c>
      <c r="G255">
        <v>1</v>
      </c>
      <c r="H255">
        <v>3954</v>
      </c>
      <c r="I255" t="s">
        <v>18</v>
      </c>
    </row>
    <row r="256" spans="1:9" x14ac:dyDescent="0.3">
      <c r="A256" t="s">
        <v>45</v>
      </c>
      <c r="B256" t="s">
        <v>61</v>
      </c>
      <c r="C256" t="s">
        <v>14</v>
      </c>
      <c r="D256" t="s">
        <v>12</v>
      </c>
      <c r="E256" t="b">
        <v>1</v>
      </c>
      <c r="F256">
        <v>99.9</v>
      </c>
      <c r="G256">
        <v>0</v>
      </c>
      <c r="H256">
        <v>7128</v>
      </c>
      <c r="I256" t="s">
        <v>18</v>
      </c>
    </row>
    <row r="257" spans="1:9" x14ac:dyDescent="0.3">
      <c r="A257" t="s">
        <v>45</v>
      </c>
      <c r="B257" t="s">
        <v>61</v>
      </c>
      <c r="C257" t="s">
        <v>15</v>
      </c>
      <c r="D257" t="s">
        <v>12</v>
      </c>
      <c r="E257" t="b">
        <v>1</v>
      </c>
      <c r="F257">
        <v>100</v>
      </c>
      <c r="G257">
        <v>1</v>
      </c>
      <c r="H257">
        <v>19310</v>
      </c>
      <c r="I257" t="s">
        <v>18</v>
      </c>
    </row>
    <row r="258" spans="1:9" x14ac:dyDescent="0.3">
      <c r="A258" t="s">
        <v>45</v>
      </c>
      <c r="B258" t="s">
        <v>61</v>
      </c>
      <c r="C258" t="s">
        <v>16</v>
      </c>
      <c r="D258" t="s">
        <v>29</v>
      </c>
      <c r="E258" t="b">
        <v>1</v>
      </c>
      <c r="F258">
        <v>52.5</v>
      </c>
      <c r="G258">
        <v>0</v>
      </c>
      <c r="H258">
        <v>19599</v>
      </c>
      <c r="I258" t="s">
        <v>13</v>
      </c>
    </row>
    <row r="259" spans="1:9" x14ac:dyDescent="0.3">
      <c r="A259" t="s">
        <v>43</v>
      </c>
      <c r="B259" t="s">
        <v>62</v>
      </c>
      <c r="C259" t="s">
        <v>11</v>
      </c>
      <c r="D259" t="s">
        <v>12</v>
      </c>
      <c r="E259" t="b">
        <v>1</v>
      </c>
      <c r="F259">
        <v>100</v>
      </c>
      <c r="G259">
        <v>1</v>
      </c>
      <c r="H259">
        <v>10163</v>
      </c>
      <c r="I259" t="s">
        <v>18</v>
      </c>
    </row>
    <row r="260" spans="1:9" x14ac:dyDescent="0.3">
      <c r="A260" t="s">
        <v>43</v>
      </c>
      <c r="B260" t="s">
        <v>62</v>
      </c>
      <c r="C260" t="s">
        <v>14</v>
      </c>
      <c r="D260" t="s">
        <v>12</v>
      </c>
      <c r="E260" t="b">
        <v>1</v>
      </c>
      <c r="F260">
        <v>100</v>
      </c>
      <c r="G260">
        <v>1</v>
      </c>
      <c r="H260">
        <v>11266</v>
      </c>
      <c r="I260" t="s">
        <v>18</v>
      </c>
    </row>
    <row r="261" spans="1:9" x14ac:dyDescent="0.3">
      <c r="A261" t="s">
        <v>43</v>
      </c>
      <c r="B261" t="s">
        <v>62</v>
      </c>
      <c r="C261" t="s">
        <v>15</v>
      </c>
      <c r="D261" t="s">
        <v>12</v>
      </c>
      <c r="E261" t="b">
        <v>1</v>
      </c>
      <c r="F261">
        <v>49.9</v>
      </c>
      <c r="G261">
        <v>0</v>
      </c>
      <c r="H261">
        <v>11608</v>
      </c>
      <c r="I261" t="s">
        <v>13</v>
      </c>
    </row>
    <row r="262" spans="1:9" x14ac:dyDescent="0.3">
      <c r="A262" t="s">
        <v>43</v>
      </c>
      <c r="B262" t="s">
        <v>62</v>
      </c>
      <c r="C262" t="s">
        <v>16</v>
      </c>
      <c r="D262" t="s">
        <v>12</v>
      </c>
      <c r="E262" t="b">
        <v>1</v>
      </c>
      <c r="F262">
        <v>60.2</v>
      </c>
      <c r="G262">
        <v>0</v>
      </c>
      <c r="H262">
        <v>10461</v>
      </c>
      <c r="I262" t="s">
        <v>13</v>
      </c>
    </row>
    <row r="263" spans="1:9" x14ac:dyDescent="0.3">
      <c r="A263" t="s">
        <v>43</v>
      </c>
      <c r="B263" t="s">
        <v>62</v>
      </c>
      <c r="C263" t="s">
        <v>17</v>
      </c>
      <c r="D263" t="s">
        <v>12</v>
      </c>
      <c r="E263" t="b">
        <v>1</v>
      </c>
      <c r="F263">
        <v>95.6</v>
      </c>
      <c r="G263">
        <v>0</v>
      </c>
      <c r="H263">
        <v>8818</v>
      </c>
      <c r="I263" t="s">
        <v>13</v>
      </c>
    </row>
    <row r="264" spans="1:9" x14ac:dyDescent="0.3">
      <c r="A264" t="s">
        <v>43</v>
      </c>
      <c r="B264" t="s">
        <v>62</v>
      </c>
      <c r="C264" t="s">
        <v>19</v>
      </c>
      <c r="D264" t="s">
        <v>12</v>
      </c>
      <c r="E264" t="b">
        <v>1</v>
      </c>
      <c r="F264">
        <v>95.7</v>
      </c>
      <c r="G264">
        <v>0</v>
      </c>
      <c r="H264">
        <v>8638</v>
      </c>
      <c r="I264" t="s">
        <v>13</v>
      </c>
    </row>
    <row r="265" spans="1:9" x14ac:dyDescent="0.3">
      <c r="A265" t="s">
        <v>43</v>
      </c>
      <c r="B265" t="s">
        <v>62</v>
      </c>
      <c r="C265" t="s">
        <v>20</v>
      </c>
      <c r="D265" t="s">
        <v>12</v>
      </c>
      <c r="E265" t="b">
        <v>1</v>
      </c>
      <c r="F265">
        <v>100</v>
      </c>
      <c r="G265">
        <v>1</v>
      </c>
      <c r="H265">
        <v>8390</v>
      </c>
      <c r="I265" t="s">
        <v>18</v>
      </c>
    </row>
    <row r="266" spans="1:9" x14ac:dyDescent="0.3">
      <c r="A266" t="s">
        <v>43</v>
      </c>
      <c r="B266" t="s">
        <v>62</v>
      </c>
      <c r="C266" t="s">
        <v>21</v>
      </c>
      <c r="D266" t="s">
        <v>12</v>
      </c>
      <c r="E266" t="b">
        <v>1</v>
      </c>
      <c r="F266">
        <v>95</v>
      </c>
      <c r="G266">
        <v>0</v>
      </c>
      <c r="H266">
        <v>8461</v>
      </c>
      <c r="I266" t="s">
        <v>13</v>
      </c>
    </row>
    <row r="267" spans="1:9" x14ac:dyDescent="0.3">
      <c r="A267" t="s">
        <v>43</v>
      </c>
      <c r="B267" t="s">
        <v>62</v>
      </c>
      <c r="C267" t="s">
        <v>22</v>
      </c>
      <c r="D267" t="s">
        <v>12</v>
      </c>
      <c r="E267" t="b">
        <v>1</v>
      </c>
      <c r="F267">
        <v>100</v>
      </c>
      <c r="G267">
        <v>1</v>
      </c>
      <c r="H267">
        <v>10552</v>
      </c>
      <c r="I267" t="s">
        <v>18</v>
      </c>
    </row>
    <row r="268" spans="1:9" x14ac:dyDescent="0.3">
      <c r="A268" t="s">
        <v>43</v>
      </c>
      <c r="B268" t="s">
        <v>62</v>
      </c>
      <c r="C268" t="s">
        <v>23</v>
      </c>
      <c r="D268" t="s">
        <v>12</v>
      </c>
      <c r="E268" t="b">
        <v>1</v>
      </c>
      <c r="F268">
        <v>72.8</v>
      </c>
      <c r="G268">
        <v>0</v>
      </c>
      <c r="H268">
        <v>10898</v>
      </c>
      <c r="I268" t="s">
        <v>13</v>
      </c>
    </row>
    <row r="269" spans="1:9" x14ac:dyDescent="0.3">
      <c r="A269" t="s">
        <v>43</v>
      </c>
      <c r="B269" t="s">
        <v>62</v>
      </c>
      <c r="C269" t="s">
        <v>24</v>
      </c>
      <c r="D269" t="s">
        <v>12</v>
      </c>
      <c r="E269" t="b">
        <v>1</v>
      </c>
      <c r="F269">
        <v>100</v>
      </c>
      <c r="G269">
        <v>1</v>
      </c>
      <c r="H269">
        <v>9273</v>
      </c>
      <c r="I269" t="s">
        <v>18</v>
      </c>
    </row>
    <row r="270" spans="1:9" x14ac:dyDescent="0.3">
      <c r="A270" t="s">
        <v>43</v>
      </c>
      <c r="B270" t="s">
        <v>62</v>
      </c>
      <c r="C270" t="s">
        <v>25</v>
      </c>
      <c r="D270" t="s">
        <v>12</v>
      </c>
      <c r="E270" t="b">
        <v>1</v>
      </c>
      <c r="F270">
        <v>100</v>
      </c>
      <c r="G270">
        <v>1</v>
      </c>
      <c r="H270">
        <v>9089</v>
      </c>
      <c r="I270" t="s">
        <v>18</v>
      </c>
    </row>
    <row r="271" spans="1:9" x14ac:dyDescent="0.3">
      <c r="A271" t="s">
        <v>43</v>
      </c>
      <c r="B271" t="s">
        <v>62</v>
      </c>
      <c r="C271" t="s">
        <v>26</v>
      </c>
      <c r="D271" t="s">
        <v>12</v>
      </c>
      <c r="E271" t="b">
        <v>1</v>
      </c>
      <c r="F271">
        <v>100</v>
      </c>
      <c r="G271">
        <v>1</v>
      </c>
      <c r="H271">
        <v>9293</v>
      </c>
      <c r="I271" t="s">
        <v>18</v>
      </c>
    </row>
    <row r="272" spans="1:9" x14ac:dyDescent="0.3">
      <c r="A272" t="s">
        <v>43</v>
      </c>
      <c r="B272" t="s">
        <v>62</v>
      </c>
      <c r="C272" t="s">
        <v>27</v>
      </c>
      <c r="D272" t="s">
        <v>12</v>
      </c>
      <c r="E272" t="b">
        <v>1</v>
      </c>
      <c r="F272">
        <v>100</v>
      </c>
      <c r="G272">
        <v>1</v>
      </c>
      <c r="H272">
        <v>9749</v>
      </c>
      <c r="I272" t="s">
        <v>18</v>
      </c>
    </row>
    <row r="273" spans="1:9" x14ac:dyDescent="0.3">
      <c r="A273" t="s">
        <v>43</v>
      </c>
      <c r="B273" t="s">
        <v>62</v>
      </c>
      <c r="C273" t="s">
        <v>28</v>
      </c>
      <c r="D273" t="s">
        <v>12</v>
      </c>
      <c r="E273" t="b">
        <v>1</v>
      </c>
      <c r="F273">
        <v>89.3</v>
      </c>
      <c r="G273">
        <v>0</v>
      </c>
      <c r="H273">
        <v>9757</v>
      </c>
      <c r="I273" t="s">
        <v>13</v>
      </c>
    </row>
    <row r="274" spans="1:9" x14ac:dyDescent="0.3">
      <c r="A274" t="s">
        <v>43</v>
      </c>
      <c r="B274" t="s">
        <v>62</v>
      </c>
      <c r="C274" t="s">
        <v>30</v>
      </c>
      <c r="D274" t="s">
        <v>12</v>
      </c>
      <c r="E274" t="b">
        <v>1</v>
      </c>
      <c r="F274">
        <v>100</v>
      </c>
      <c r="G274">
        <v>1</v>
      </c>
      <c r="H274">
        <v>9373</v>
      </c>
      <c r="I274" t="s">
        <v>18</v>
      </c>
    </row>
    <row r="275" spans="1:9" x14ac:dyDescent="0.3">
      <c r="A275" t="s">
        <v>43</v>
      </c>
      <c r="B275" t="s">
        <v>62</v>
      </c>
      <c r="C275" t="s">
        <v>31</v>
      </c>
      <c r="D275" t="s">
        <v>12</v>
      </c>
      <c r="E275" t="b">
        <v>1</v>
      </c>
      <c r="F275">
        <v>85.4</v>
      </c>
      <c r="G275">
        <v>0</v>
      </c>
      <c r="H275">
        <v>9437</v>
      </c>
      <c r="I275" t="s">
        <v>13</v>
      </c>
    </row>
    <row r="276" spans="1:9" x14ac:dyDescent="0.3">
      <c r="A276" t="s">
        <v>43</v>
      </c>
      <c r="B276" t="s">
        <v>62</v>
      </c>
      <c r="C276" t="s">
        <v>32</v>
      </c>
      <c r="D276" t="s">
        <v>29</v>
      </c>
      <c r="E276" t="b">
        <v>1</v>
      </c>
      <c r="F276">
        <v>82.2</v>
      </c>
      <c r="G276">
        <v>0</v>
      </c>
      <c r="H276">
        <v>8876</v>
      </c>
      <c r="I276" t="s">
        <v>13</v>
      </c>
    </row>
    <row r="277" spans="1:9" x14ac:dyDescent="0.3">
      <c r="A277" t="s">
        <v>43</v>
      </c>
      <c r="B277" t="s">
        <v>62</v>
      </c>
      <c r="C277" t="s">
        <v>33</v>
      </c>
      <c r="D277" t="s">
        <v>29</v>
      </c>
      <c r="E277" t="b">
        <v>1</v>
      </c>
      <c r="F277">
        <v>100</v>
      </c>
      <c r="G277">
        <v>1</v>
      </c>
      <c r="H277">
        <v>8853</v>
      </c>
      <c r="I277" t="s">
        <v>18</v>
      </c>
    </row>
    <row r="278" spans="1:9" x14ac:dyDescent="0.3">
      <c r="A278" t="s">
        <v>43</v>
      </c>
      <c r="B278" t="s">
        <v>62</v>
      </c>
      <c r="C278" t="s">
        <v>34</v>
      </c>
      <c r="D278" t="s">
        <v>29</v>
      </c>
      <c r="E278" t="b">
        <v>1</v>
      </c>
      <c r="F278">
        <v>100</v>
      </c>
      <c r="G278">
        <v>1</v>
      </c>
      <c r="H278">
        <v>8651</v>
      </c>
      <c r="I278" t="s">
        <v>18</v>
      </c>
    </row>
    <row r="279" spans="1:9" x14ac:dyDescent="0.3">
      <c r="A279" t="s">
        <v>43</v>
      </c>
      <c r="B279" t="s">
        <v>62</v>
      </c>
      <c r="C279" t="s">
        <v>35</v>
      </c>
      <c r="D279" t="s">
        <v>29</v>
      </c>
      <c r="E279" t="b">
        <v>1</v>
      </c>
      <c r="F279">
        <v>100</v>
      </c>
      <c r="G279">
        <v>1</v>
      </c>
      <c r="H279">
        <v>8705</v>
      </c>
      <c r="I279" t="s">
        <v>18</v>
      </c>
    </row>
    <row r="280" spans="1:9" x14ac:dyDescent="0.3">
      <c r="A280" t="s">
        <v>43</v>
      </c>
      <c r="B280" t="s">
        <v>62</v>
      </c>
      <c r="C280" t="s">
        <v>36</v>
      </c>
      <c r="D280" t="s">
        <v>29</v>
      </c>
      <c r="E280" t="b">
        <v>1</v>
      </c>
      <c r="F280">
        <v>93</v>
      </c>
      <c r="G280">
        <v>0</v>
      </c>
      <c r="H280">
        <v>8739</v>
      </c>
      <c r="I280" t="s">
        <v>13</v>
      </c>
    </row>
    <row r="281" spans="1:9" x14ac:dyDescent="0.3">
      <c r="A281" t="s">
        <v>43</v>
      </c>
      <c r="B281" t="s">
        <v>62</v>
      </c>
      <c r="C281" t="s">
        <v>37</v>
      </c>
      <c r="D281" t="s">
        <v>29</v>
      </c>
      <c r="E281" t="b">
        <v>1</v>
      </c>
      <c r="F281">
        <v>100</v>
      </c>
      <c r="G281">
        <v>1</v>
      </c>
      <c r="H281">
        <v>10649</v>
      </c>
      <c r="I281" t="s">
        <v>18</v>
      </c>
    </row>
    <row r="282" spans="1:9" x14ac:dyDescent="0.3">
      <c r="A282" t="s">
        <v>43</v>
      </c>
      <c r="B282" t="s">
        <v>62</v>
      </c>
      <c r="C282" t="s">
        <v>38</v>
      </c>
      <c r="D282" t="s">
        <v>29</v>
      </c>
      <c r="E282" t="b">
        <v>1</v>
      </c>
      <c r="F282">
        <v>100</v>
      </c>
      <c r="G282">
        <v>1</v>
      </c>
      <c r="H282">
        <v>7742</v>
      </c>
      <c r="I282" t="s">
        <v>18</v>
      </c>
    </row>
    <row r="283" spans="1:9" x14ac:dyDescent="0.3">
      <c r="A283" t="s">
        <v>43</v>
      </c>
      <c r="B283" t="s">
        <v>62</v>
      </c>
      <c r="C283" t="s">
        <v>39</v>
      </c>
      <c r="D283" t="s">
        <v>29</v>
      </c>
      <c r="E283" t="b">
        <v>1</v>
      </c>
      <c r="F283">
        <v>100</v>
      </c>
      <c r="G283">
        <v>1</v>
      </c>
      <c r="H283">
        <v>8098</v>
      </c>
      <c r="I283" t="s">
        <v>18</v>
      </c>
    </row>
    <row r="284" spans="1:9" x14ac:dyDescent="0.3">
      <c r="A284" t="s">
        <v>43</v>
      </c>
      <c r="B284" t="s">
        <v>62</v>
      </c>
      <c r="C284" t="s">
        <v>40</v>
      </c>
      <c r="D284" t="s">
        <v>29</v>
      </c>
      <c r="E284" t="b">
        <v>1</v>
      </c>
      <c r="F284">
        <v>100</v>
      </c>
      <c r="G284">
        <v>1</v>
      </c>
      <c r="H284">
        <v>7899</v>
      </c>
      <c r="I284" t="s">
        <v>18</v>
      </c>
    </row>
    <row r="285" spans="1:9" x14ac:dyDescent="0.3">
      <c r="A285" t="s">
        <v>43</v>
      </c>
      <c r="B285" t="s">
        <v>62</v>
      </c>
      <c r="C285" t="s">
        <v>41</v>
      </c>
      <c r="D285" t="s">
        <v>29</v>
      </c>
      <c r="E285" t="b">
        <v>1</v>
      </c>
      <c r="F285">
        <v>100</v>
      </c>
      <c r="G285">
        <v>1</v>
      </c>
      <c r="H285">
        <v>7958</v>
      </c>
      <c r="I285" t="s">
        <v>18</v>
      </c>
    </row>
    <row r="286" spans="1:9" x14ac:dyDescent="0.3">
      <c r="A286" t="s">
        <v>43</v>
      </c>
      <c r="B286" t="s">
        <v>62</v>
      </c>
      <c r="C286" t="s">
        <v>42</v>
      </c>
      <c r="D286" t="s">
        <v>29</v>
      </c>
      <c r="E286" t="b">
        <v>1</v>
      </c>
      <c r="F286">
        <v>100</v>
      </c>
      <c r="G286">
        <v>1</v>
      </c>
      <c r="H286">
        <v>8808</v>
      </c>
      <c r="I286" t="s">
        <v>18</v>
      </c>
    </row>
    <row r="287" spans="1:9" x14ac:dyDescent="0.3">
      <c r="A287" t="s">
        <v>43</v>
      </c>
      <c r="B287" t="s">
        <v>62</v>
      </c>
      <c r="C287" t="s">
        <v>63</v>
      </c>
      <c r="D287" t="s">
        <v>29</v>
      </c>
      <c r="E287" t="b">
        <v>1</v>
      </c>
      <c r="F287">
        <v>96.2</v>
      </c>
      <c r="G287">
        <v>0</v>
      </c>
      <c r="H287">
        <v>10935</v>
      </c>
      <c r="I287" t="s">
        <v>13</v>
      </c>
    </row>
    <row r="288" spans="1:9" x14ac:dyDescent="0.3">
      <c r="A288" t="s">
        <v>43</v>
      </c>
      <c r="B288" t="s">
        <v>62</v>
      </c>
      <c r="C288" t="s">
        <v>64</v>
      </c>
      <c r="D288" t="s">
        <v>29</v>
      </c>
      <c r="E288" t="b">
        <v>1</v>
      </c>
      <c r="F288">
        <v>26.8</v>
      </c>
      <c r="G288">
        <v>0</v>
      </c>
      <c r="H288">
        <v>25730</v>
      </c>
      <c r="I288" t="s">
        <v>13</v>
      </c>
    </row>
    <row r="289" spans="1:9" x14ac:dyDescent="0.3">
      <c r="A289" t="s">
        <v>43</v>
      </c>
      <c r="B289" t="s">
        <v>62</v>
      </c>
      <c r="C289" t="s">
        <v>65</v>
      </c>
      <c r="D289" t="s">
        <v>29</v>
      </c>
      <c r="E289" t="b">
        <v>1</v>
      </c>
      <c r="F289">
        <v>100</v>
      </c>
      <c r="G289">
        <v>1</v>
      </c>
      <c r="H289">
        <v>17652</v>
      </c>
      <c r="I289" t="s">
        <v>18</v>
      </c>
    </row>
    <row r="290" spans="1:9" x14ac:dyDescent="0.3">
      <c r="A290" t="s">
        <v>45</v>
      </c>
      <c r="B290" t="s">
        <v>66</v>
      </c>
      <c r="C290" t="s">
        <v>11</v>
      </c>
      <c r="D290" t="s">
        <v>12</v>
      </c>
      <c r="E290" t="b">
        <v>1</v>
      </c>
      <c r="F290">
        <v>100</v>
      </c>
      <c r="G290">
        <v>1</v>
      </c>
      <c r="H290">
        <v>11318</v>
      </c>
      <c r="I290" t="s">
        <v>18</v>
      </c>
    </row>
    <row r="291" spans="1:9" x14ac:dyDescent="0.3">
      <c r="A291" t="s">
        <v>45</v>
      </c>
      <c r="B291" t="s">
        <v>66</v>
      </c>
      <c r="C291" t="s">
        <v>14</v>
      </c>
      <c r="D291" t="s">
        <v>12</v>
      </c>
      <c r="E291" t="b">
        <v>1</v>
      </c>
      <c r="F291">
        <v>65.099999999999994</v>
      </c>
      <c r="G291">
        <v>0</v>
      </c>
      <c r="H291">
        <v>16990</v>
      </c>
      <c r="I291" t="s">
        <v>13</v>
      </c>
    </row>
    <row r="292" spans="1:9" x14ac:dyDescent="0.3">
      <c r="A292" t="s">
        <v>45</v>
      </c>
      <c r="B292" t="s">
        <v>66</v>
      </c>
      <c r="C292" t="s">
        <v>15</v>
      </c>
      <c r="D292" t="s">
        <v>12</v>
      </c>
      <c r="E292" t="b">
        <v>1</v>
      </c>
      <c r="F292">
        <v>100</v>
      </c>
      <c r="G292">
        <v>1</v>
      </c>
      <c r="H292">
        <v>14819</v>
      </c>
      <c r="I292" t="s">
        <v>18</v>
      </c>
    </row>
    <row r="293" spans="1:9" x14ac:dyDescent="0.3">
      <c r="A293" t="s">
        <v>45</v>
      </c>
      <c r="B293" t="s">
        <v>66</v>
      </c>
      <c r="C293" t="s">
        <v>16</v>
      </c>
      <c r="D293" t="s">
        <v>12</v>
      </c>
      <c r="E293" t="b">
        <v>1</v>
      </c>
      <c r="F293">
        <v>53.4</v>
      </c>
      <c r="G293">
        <v>0</v>
      </c>
      <c r="H293">
        <v>15116</v>
      </c>
      <c r="I293" t="s">
        <v>13</v>
      </c>
    </row>
    <row r="294" spans="1:9" x14ac:dyDescent="0.3">
      <c r="A294" t="s">
        <v>45</v>
      </c>
      <c r="B294" t="s">
        <v>66</v>
      </c>
      <c r="C294" t="s">
        <v>17</v>
      </c>
      <c r="D294" t="s">
        <v>12</v>
      </c>
      <c r="E294" t="b">
        <v>1</v>
      </c>
      <c r="F294">
        <v>61.2</v>
      </c>
      <c r="G294">
        <v>0</v>
      </c>
      <c r="H294">
        <v>13386</v>
      </c>
      <c r="I294" t="s">
        <v>13</v>
      </c>
    </row>
    <row r="295" spans="1:9" x14ac:dyDescent="0.3">
      <c r="A295" t="s">
        <v>45</v>
      </c>
      <c r="B295" t="s">
        <v>66</v>
      </c>
      <c r="C295" t="s">
        <v>19</v>
      </c>
      <c r="D295" t="s">
        <v>12</v>
      </c>
      <c r="E295" t="b">
        <v>1</v>
      </c>
      <c r="F295">
        <v>73.099999999999994</v>
      </c>
      <c r="G295">
        <v>0</v>
      </c>
      <c r="H295">
        <v>12000</v>
      </c>
      <c r="I295" t="s">
        <v>13</v>
      </c>
    </row>
    <row r="296" spans="1:9" x14ac:dyDescent="0.3">
      <c r="A296" t="s">
        <v>45</v>
      </c>
      <c r="B296" t="s">
        <v>66</v>
      </c>
      <c r="C296" t="s">
        <v>20</v>
      </c>
      <c r="D296" t="s">
        <v>29</v>
      </c>
      <c r="E296" t="b">
        <v>1</v>
      </c>
      <c r="F296">
        <v>100</v>
      </c>
      <c r="G296">
        <v>1</v>
      </c>
      <c r="H296">
        <v>11646</v>
      </c>
      <c r="I296" t="s">
        <v>18</v>
      </c>
    </row>
    <row r="297" spans="1:9" x14ac:dyDescent="0.3">
      <c r="A297" t="s">
        <v>45</v>
      </c>
      <c r="B297" t="s">
        <v>66</v>
      </c>
      <c r="C297" t="s">
        <v>21</v>
      </c>
      <c r="D297" t="s">
        <v>29</v>
      </c>
      <c r="E297" t="b">
        <v>1</v>
      </c>
      <c r="F297">
        <v>100</v>
      </c>
      <c r="G297">
        <v>1</v>
      </c>
      <c r="H297">
        <v>8741</v>
      </c>
      <c r="I297" t="s">
        <v>18</v>
      </c>
    </row>
    <row r="298" spans="1:9" x14ac:dyDescent="0.3">
      <c r="A298" t="s">
        <v>45</v>
      </c>
      <c r="B298" t="s">
        <v>66</v>
      </c>
      <c r="C298" t="s">
        <v>22</v>
      </c>
      <c r="D298" t="s">
        <v>29</v>
      </c>
      <c r="E298" t="b">
        <v>1</v>
      </c>
      <c r="F298">
        <v>80.400000000000006</v>
      </c>
      <c r="G298">
        <v>0</v>
      </c>
      <c r="H298">
        <v>8849</v>
      </c>
      <c r="I298" t="s">
        <v>13</v>
      </c>
    </row>
    <row r="299" spans="1:9" x14ac:dyDescent="0.3">
      <c r="A299" t="s">
        <v>45</v>
      </c>
      <c r="B299" t="s">
        <v>66</v>
      </c>
      <c r="C299" t="s">
        <v>23</v>
      </c>
      <c r="D299" t="s">
        <v>29</v>
      </c>
      <c r="E299" t="b">
        <v>1</v>
      </c>
      <c r="F299">
        <v>100</v>
      </c>
      <c r="G299">
        <v>1</v>
      </c>
      <c r="H299">
        <v>8289</v>
      </c>
      <c r="I299" t="s">
        <v>18</v>
      </c>
    </row>
    <row r="300" spans="1:9" x14ac:dyDescent="0.3">
      <c r="A300" t="s">
        <v>45</v>
      </c>
      <c r="B300" t="s">
        <v>66</v>
      </c>
      <c r="C300" t="s">
        <v>24</v>
      </c>
      <c r="D300" t="s">
        <v>29</v>
      </c>
      <c r="E300" t="b">
        <v>1</v>
      </c>
      <c r="F300">
        <v>82.6</v>
      </c>
      <c r="G300">
        <v>0</v>
      </c>
      <c r="H300">
        <v>8811</v>
      </c>
      <c r="I300" t="s">
        <v>13</v>
      </c>
    </row>
    <row r="301" spans="1:9" x14ac:dyDescent="0.3">
      <c r="A301" t="s">
        <v>45</v>
      </c>
      <c r="B301" t="s">
        <v>66</v>
      </c>
      <c r="C301" t="s">
        <v>25</v>
      </c>
      <c r="D301" t="s">
        <v>29</v>
      </c>
      <c r="E301" t="b">
        <v>1</v>
      </c>
      <c r="F301">
        <v>100</v>
      </c>
      <c r="G301">
        <v>1</v>
      </c>
      <c r="H301">
        <v>8591</v>
      </c>
      <c r="I301" t="s">
        <v>18</v>
      </c>
    </row>
    <row r="302" spans="1:9" x14ac:dyDescent="0.3">
      <c r="A302" t="s">
        <v>45</v>
      </c>
      <c r="B302" t="s">
        <v>66</v>
      </c>
      <c r="C302" t="s">
        <v>26</v>
      </c>
      <c r="D302" t="s">
        <v>29</v>
      </c>
      <c r="E302" t="b">
        <v>1</v>
      </c>
      <c r="F302">
        <v>100</v>
      </c>
      <c r="G302">
        <v>1</v>
      </c>
      <c r="H302">
        <v>8718</v>
      </c>
      <c r="I302" t="s">
        <v>18</v>
      </c>
    </row>
    <row r="303" spans="1:9" x14ac:dyDescent="0.3">
      <c r="A303" t="s">
        <v>45</v>
      </c>
      <c r="B303" t="s">
        <v>66</v>
      </c>
      <c r="C303" t="s">
        <v>27</v>
      </c>
      <c r="D303" t="s">
        <v>29</v>
      </c>
      <c r="E303" t="b">
        <v>1</v>
      </c>
      <c r="F303">
        <v>94</v>
      </c>
      <c r="G303">
        <v>0</v>
      </c>
      <c r="H303">
        <v>8778</v>
      </c>
      <c r="I303" t="s">
        <v>13</v>
      </c>
    </row>
    <row r="304" spans="1:9" x14ac:dyDescent="0.3">
      <c r="A304" t="s">
        <v>9</v>
      </c>
      <c r="B304" t="s">
        <v>67</v>
      </c>
      <c r="C304" t="s">
        <v>11</v>
      </c>
      <c r="D304" t="s">
        <v>12</v>
      </c>
      <c r="E304" t="b">
        <v>1</v>
      </c>
      <c r="F304">
        <v>100</v>
      </c>
      <c r="G304">
        <v>1</v>
      </c>
      <c r="H304">
        <v>12934</v>
      </c>
      <c r="I304" t="s">
        <v>18</v>
      </c>
    </row>
    <row r="305" spans="1:9" x14ac:dyDescent="0.3">
      <c r="A305" t="s">
        <v>9</v>
      </c>
      <c r="B305" t="s">
        <v>67</v>
      </c>
      <c r="C305" t="s">
        <v>14</v>
      </c>
      <c r="D305" t="s">
        <v>12</v>
      </c>
      <c r="E305" t="b">
        <v>1</v>
      </c>
      <c r="F305">
        <v>85.9</v>
      </c>
      <c r="G305">
        <v>0</v>
      </c>
      <c r="H305">
        <v>16911</v>
      </c>
      <c r="I305" t="s">
        <v>13</v>
      </c>
    </row>
    <row r="306" spans="1:9" x14ac:dyDescent="0.3">
      <c r="A306" t="s">
        <v>9</v>
      </c>
      <c r="B306" t="s">
        <v>67</v>
      </c>
      <c r="C306" t="s">
        <v>15</v>
      </c>
      <c r="D306" t="s">
        <v>12</v>
      </c>
      <c r="E306" t="b">
        <v>1</v>
      </c>
      <c r="F306">
        <v>43.8</v>
      </c>
      <c r="G306">
        <v>0</v>
      </c>
      <c r="H306">
        <v>17943</v>
      </c>
      <c r="I306" t="s">
        <v>13</v>
      </c>
    </row>
    <row r="307" spans="1:9" x14ac:dyDescent="0.3">
      <c r="A307" t="s">
        <v>9</v>
      </c>
      <c r="B307" t="s">
        <v>67</v>
      </c>
      <c r="C307" t="s">
        <v>16</v>
      </c>
      <c r="D307" t="s">
        <v>12</v>
      </c>
      <c r="E307" t="b">
        <v>1</v>
      </c>
      <c r="F307">
        <v>44.5</v>
      </c>
      <c r="G307">
        <v>0</v>
      </c>
      <c r="H307">
        <v>16540</v>
      </c>
      <c r="I307" t="s">
        <v>13</v>
      </c>
    </row>
    <row r="308" spans="1:9" x14ac:dyDescent="0.3">
      <c r="A308" t="s">
        <v>9</v>
      </c>
      <c r="B308" t="s">
        <v>67</v>
      </c>
      <c r="C308" t="s">
        <v>17</v>
      </c>
      <c r="D308" t="s">
        <v>12</v>
      </c>
      <c r="E308" t="b">
        <v>1</v>
      </c>
      <c r="F308">
        <v>62.3</v>
      </c>
      <c r="G308">
        <v>0</v>
      </c>
      <c r="H308">
        <v>14810</v>
      </c>
      <c r="I308" t="s">
        <v>13</v>
      </c>
    </row>
    <row r="309" spans="1:9" x14ac:dyDescent="0.3">
      <c r="A309" t="s">
        <v>9</v>
      </c>
      <c r="B309" t="s">
        <v>67</v>
      </c>
      <c r="C309" t="s">
        <v>19</v>
      </c>
      <c r="D309" t="s">
        <v>12</v>
      </c>
      <c r="E309" t="b">
        <v>1</v>
      </c>
      <c r="F309">
        <v>83.2</v>
      </c>
      <c r="G309">
        <v>0</v>
      </c>
      <c r="H309">
        <v>12045</v>
      </c>
      <c r="I309" t="s">
        <v>13</v>
      </c>
    </row>
    <row r="310" spans="1:9" x14ac:dyDescent="0.3">
      <c r="A310" t="s">
        <v>9</v>
      </c>
      <c r="B310" t="s">
        <v>67</v>
      </c>
      <c r="C310" t="s">
        <v>20</v>
      </c>
      <c r="D310" t="s">
        <v>29</v>
      </c>
      <c r="E310" t="b">
        <v>1</v>
      </c>
      <c r="F310">
        <v>100</v>
      </c>
      <c r="G310">
        <v>1</v>
      </c>
      <c r="H310">
        <v>9742</v>
      </c>
      <c r="I310" t="s">
        <v>18</v>
      </c>
    </row>
    <row r="311" spans="1:9" x14ac:dyDescent="0.3">
      <c r="A311" t="s">
        <v>9</v>
      </c>
      <c r="B311" t="s">
        <v>67</v>
      </c>
      <c r="C311" t="s">
        <v>21</v>
      </c>
      <c r="D311" t="s">
        <v>29</v>
      </c>
      <c r="E311" t="b">
        <v>1</v>
      </c>
      <c r="F311">
        <v>100</v>
      </c>
      <c r="G311">
        <v>1</v>
      </c>
      <c r="H311">
        <v>10549</v>
      </c>
      <c r="I311" t="s">
        <v>18</v>
      </c>
    </row>
    <row r="312" spans="1:9" x14ac:dyDescent="0.3">
      <c r="A312" t="s">
        <v>9</v>
      </c>
      <c r="B312" t="s">
        <v>67</v>
      </c>
      <c r="C312" t="s">
        <v>22</v>
      </c>
      <c r="D312" t="s">
        <v>29</v>
      </c>
      <c r="E312" t="b">
        <v>1</v>
      </c>
      <c r="F312">
        <v>100</v>
      </c>
      <c r="G312">
        <v>1</v>
      </c>
      <c r="H312">
        <v>20097</v>
      </c>
      <c r="I312" t="s">
        <v>18</v>
      </c>
    </row>
    <row r="313" spans="1:9" x14ac:dyDescent="0.3">
      <c r="A313" t="s">
        <v>9</v>
      </c>
      <c r="B313" t="s">
        <v>67</v>
      </c>
      <c r="C313" t="s">
        <v>23</v>
      </c>
      <c r="D313" t="s">
        <v>29</v>
      </c>
      <c r="E313" t="b">
        <v>1</v>
      </c>
      <c r="F313">
        <v>47.8</v>
      </c>
      <c r="G313">
        <v>0</v>
      </c>
      <c r="H313">
        <v>15375</v>
      </c>
      <c r="I313" t="s">
        <v>13</v>
      </c>
    </row>
    <row r="314" spans="1:9" x14ac:dyDescent="0.3">
      <c r="A314" t="s">
        <v>9</v>
      </c>
      <c r="B314" t="s">
        <v>67</v>
      </c>
      <c r="C314" t="s">
        <v>24</v>
      </c>
      <c r="D314" t="s">
        <v>29</v>
      </c>
      <c r="E314" t="b">
        <v>1</v>
      </c>
      <c r="F314">
        <v>53.1</v>
      </c>
      <c r="G314">
        <v>0</v>
      </c>
      <c r="H314">
        <v>12173</v>
      </c>
      <c r="I314" t="s">
        <v>13</v>
      </c>
    </row>
    <row r="315" spans="1:9" x14ac:dyDescent="0.3">
      <c r="A315" t="s">
        <v>9</v>
      </c>
      <c r="B315" t="s">
        <v>67</v>
      </c>
      <c r="C315" t="s">
        <v>25</v>
      </c>
      <c r="D315" t="s">
        <v>29</v>
      </c>
      <c r="E315" t="b">
        <v>1</v>
      </c>
      <c r="F315">
        <v>56.6</v>
      </c>
      <c r="G315">
        <v>0</v>
      </c>
      <c r="H315">
        <v>11010</v>
      </c>
      <c r="I315" t="s">
        <v>13</v>
      </c>
    </row>
    <row r="316" spans="1:9" x14ac:dyDescent="0.3">
      <c r="A316" t="s">
        <v>9</v>
      </c>
      <c r="B316" t="s">
        <v>67</v>
      </c>
      <c r="C316" t="s">
        <v>26</v>
      </c>
      <c r="D316" t="s">
        <v>29</v>
      </c>
      <c r="E316" t="b">
        <v>1</v>
      </c>
      <c r="F316">
        <v>100</v>
      </c>
      <c r="G316">
        <v>1</v>
      </c>
      <c r="H316">
        <v>9899</v>
      </c>
      <c r="I316" t="s">
        <v>18</v>
      </c>
    </row>
    <row r="317" spans="1:9" x14ac:dyDescent="0.3">
      <c r="A317" t="s">
        <v>9</v>
      </c>
      <c r="B317" t="s">
        <v>67</v>
      </c>
      <c r="C317" t="s">
        <v>27</v>
      </c>
      <c r="D317" t="s">
        <v>29</v>
      </c>
      <c r="E317" t="b">
        <v>1</v>
      </c>
      <c r="F317">
        <v>52.8</v>
      </c>
      <c r="G317">
        <v>0</v>
      </c>
      <c r="H317">
        <v>16680</v>
      </c>
      <c r="I317" t="s">
        <v>13</v>
      </c>
    </row>
    <row r="318" spans="1:9" x14ac:dyDescent="0.3">
      <c r="A318" t="s">
        <v>9</v>
      </c>
      <c r="B318" t="s">
        <v>67</v>
      </c>
      <c r="C318" t="s">
        <v>28</v>
      </c>
      <c r="D318" t="s">
        <v>29</v>
      </c>
      <c r="E318" t="b">
        <v>1</v>
      </c>
      <c r="F318">
        <v>59.8</v>
      </c>
      <c r="G318">
        <v>0</v>
      </c>
      <c r="H318">
        <v>14565</v>
      </c>
      <c r="I318" t="s">
        <v>13</v>
      </c>
    </row>
    <row r="319" spans="1:9" x14ac:dyDescent="0.3">
      <c r="A319" t="s">
        <v>9</v>
      </c>
      <c r="B319" t="s">
        <v>67</v>
      </c>
      <c r="C319" t="s">
        <v>30</v>
      </c>
      <c r="D319" t="s">
        <v>29</v>
      </c>
      <c r="E319" t="b">
        <v>1</v>
      </c>
      <c r="F319">
        <v>100</v>
      </c>
      <c r="G319">
        <v>1</v>
      </c>
      <c r="H319">
        <v>13633</v>
      </c>
      <c r="I319" t="s">
        <v>18</v>
      </c>
    </row>
    <row r="320" spans="1:9" x14ac:dyDescent="0.3">
      <c r="A320" t="s">
        <v>9</v>
      </c>
      <c r="B320" t="s">
        <v>67</v>
      </c>
      <c r="C320" t="s">
        <v>31</v>
      </c>
      <c r="D320" t="s">
        <v>29</v>
      </c>
      <c r="E320" t="b">
        <v>1</v>
      </c>
      <c r="F320">
        <v>59.5</v>
      </c>
      <c r="G320">
        <v>0</v>
      </c>
      <c r="H320">
        <v>13679</v>
      </c>
      <c r="I320" t="s">
        <v>13</v>
      </c>
    </row>
    <row r="321" spans="1:9" x14ac:dyDescent="0.3">
      <c r="A321" t="s">
        <v>45</v>
      </c>
      <c r="B321" t="s">
        <v>68</v>
      </c>
      <c r="C321" t="s">
        <v>11</v>
      </c>
      <c r="D321" t="s">
        <v>12</v>
      </c>
      <c r="E321" t="b">
        <v>1</v>
      </c>
      <c r="F321">
        <v>100</v>
      </c>
      <c r="G321">
        <v>1</v>
      </c>
      <c r="H321">
        <v>11946</v>
      </c>
      <c r="I321" t="s">
        <v>13</v>
      </c>
    </row>
    <row r="322" spans="1:9" x14ac:dyDescent="0.3">
      <c r="A322" t="s">
        <v>45</v>
      </c>
      <c r="B322" t="s">
        <v>68</v>
      </c>
      <c r="C322" t="s">
        <v>14</v>
      </c>
      <c r="D322" t="s">
        <v>12</v>
      </c>
      <c r="E322" t="b">
        <v>1</v>
      </c>
      <c r="F322">
        <v>91</v>
      </c>
      <c r="G322">
        <v>0</v>
      </c>
      <c r="H322">
        <v>14925</v>
      </c>
      <c r="I322" t="s">
        <v>13</v>
      </c>
    </row>
    <row r="323" spans="1:9" x14ac:dyDescent="0.3">
      <c r="A323" t="s">
        <v>45</v>
      </c>
      <c r="B323" t="s">
        <v>68</v>
      </c>
      <c r="C323" t="s">
        <v>15</v>
      </c>
      <c r="D323" t="s">
        <v>12</v>
      </c>
      <c r="E323" t="b">
        <v>1</v>
      </c>
      <c r="F323">
        <v>100</v>
      </c>
      <c r="G323">
        <v>1</v>
      </c>
      <c r="H323">
        <v>11618</v>
      </c>
      <c r="I323" t="s">
        <v>18</v>
      </c>
    </row>
    <row r="324" spans="1:9" x14ac:dyDescent="0.3">
      <c r="A324" t="s">
        <v>45</v>
      </c>
      <c r="B324" t="s">
        <v>68</v>
      </c>
      <c r="C324" t="s">
        <v>16</v>
      </c>
      <c r="D324" t="s">
        <v>12</v>
      </c>
      <c r="E324" t="b">
        <v>1</v>
      </c>
      <c r="F324">
        <v>100</v>
      </c>
      <c r="G324">
        <v>1</v>
      </c>
      <c r="H324">
        <v>15080</v>
      </c>
      <c r="I324" t="s">
        <v>18</v>
      </c>
    </row>
    <row r="325" spans="1:9" x14ac:dyDescent="0.3">
      <c r="A325" t="s">
        <v>45</v>
      </c>
      <c r="B325" t="s">
        <v>68</v>
      </c>
      <c r="C325" t="s">
        <v>17</v>
      </c>
      <c r="D325" t="s">
        <v>12</v>
      </c>
      <c r="E325" t="b">
        <v>1</v>
      </c>
      <c r="F325">
        <v>83.3</v>
      </c>
      <c r="G325">
        <v>0</v>
      </c>
      <c r="H325">
        <v>14818</v>
      </c>
      <c r="I325" t="s">
        <v>13</v>
      </c>
    </row>
    <row r="326" spans="1:9" x14ac:dyDescent="0.3">
      <c r="A326" t="s">
        <v>45</v>
      </c>
      <c r="B326" t="s">
        <v>68</v>
      </c>
      <c r="C326" t="s">
        <v>19</v>
      </c>
      <c r="D326" t="s">
        <v>29</v>
      </c>
      <c r="E326" t="b">
        <v>1</v>
      </c>
      <c r="F326">
        <v>71.8</v>
      </c>
      <c r="G326">
        <v>0</v>
      </c>
      <c r="H326">
        <v>14160</v>
      </c>
      <c r="I326" t="s">
        <v>13</v>
      </c>
    </row>
    <row r="327" spans="1:9" x14ac:dyDescent="0.3">
      <c r="A327" t="s">
        <v>45</v>
      </c>
      <c r="B327" t="s">
        <v>68</v>
      </c>
      <c r="C327" t="s">
        <v>20</v>
      </c>
      <c r="D327" t="s">
        <v>29</v>
      </c>
      <c r="E327" t="b">
        <v>1</v>
      </c>
      <c r="F327">
        <v>100</v>
      </c>
      <c r="G327">
        <v>1</v>
      </c>
      <c r="H327">
        <v>9939</v>
      </c>
      <c r="I327" t="s">
        <v>13</v>
      </c>
    </row>
    <row r="328" spans="1:9" x14ac:dyDescent="0.3">
      <c r="A328" t="s">
        <v>45</v>
      </c>
      <c r="B328" t="s">
        <v>68</v>
      </c>
      <c r="C328" t="s">
        <v>21</v>
      </c>
      <c r="D328" t="s">
        <v>29</v>
      </c>
      <c r="E328" t="b">
        <v>1</v>
      </c>
      <c r="F328">
        <v>92.6</v>
      </c>
      <c r="G328">
        <v>0</v>
      </c>
      <c r="H328">
        <v>10426</v>
      </c>
      <c r="I328" t="s">
        <v>13</v>
      </c>
    </row>
    <row r="329" spans="1:9" x14ac:dyDescent="0.3">
      <c r="A329" t="s">
        <v>45</v>
      </c>
      <c r="B329" t="s">
        <v>68</v>
      </c>
      <c r="C329" t="s">
        <v>22</v>
      </c>
      <c r="D329" t="s">
        <v>29</v>
      </c>
      <c r="E329" t="b">
        <v>1</v>
      </c>
      <c r="F329">
        <v>99.8</v>
      </c>
      <c r="G329">
        <v>0</v>
      </c>
      <c r="H329">
        <v>9408</v>
      </c>
      <c r="I329" t="s">
        <v>13</v>
      </c>
    </row>
    <row r="330" spans="1:9" x14ac:dyDescent="0.3">
      <c r="A330" t="s">
        <v>45</v>
      </c>
      <c r="B330" t="s">
        <v>68</v>
      </c>
      <c r="C330" t="s">
        <v>23</v>
      </c>
      <c r="D330" t="s">
        <v>29</v>
      </c>
      <c r="E330" t="b">
        <v>1</v>
      </c>
      <c r="F330">
        <v>100</v>
      </c>
      <c r="G330">
        <v>1</v>
      </c>
      <c r="H330">
        <v>9025</v>
      </c>
      <c r="I330" t="s">
        <v>18</v>
      </c>
    </row>
    <row r="331" spans="1:9" x14ac:dyDescent="0.3">
      <c r="A331" t="s">
        <v>45</v>
      </c>
      <c r="B331" t="s">
        <v>68</v>
      </c>
      <c r="C331" t="s">
        <v>24</v>
      </c>
      <c r="D331" t="s">
        <v>29</v>
      </c>
      <c r="E331" t="b">
        <v>1</v>
      </c>
      <c r="F331">
        <v>67.900000000000006</v>
      </c>
      <c r="G331">
        <v>0</v>
      </c>
      <c r="H331">
        <v>12060</v>
      </c>
      <c r="I331" t="s">
        <v>13</v>
      </c>
    </row>
    <row r="332" spans="1:9" x14ac:dyDescent="0.3">
      <c r="A332" t="s">
        <v>45</v>
      </c>
      <c r="B332" t="s">
        <v>68</v>
      </c>
      <c r="C332" t="s">
        <v>25</v>
      </c>
      <c r="D332" t="s">
        <v>29</v>
      </c>
      <c r="E332" t="b">
        <v>1</v>
      </c>
      <c r="F332">
        <v>54.9</v>
      </c>
      <c r="G332">
        <v>0</v>
      </c>
      <c r="H332">
        <v>12165</v>
      </c>
      <c r="I332" t="s">
        <v>13</v>
      </c>
    </row>
    <row r="333" spans="1:9" x14ac:dyDescent="0.3">
      <c r="A333" t="s">
        <v>45</v>
      </c>
      <c r="B333" t="s">
        <v>68</v>
      </c>
      <c r="C333" t="s">
        <v>26</v>
      </c>
      <c r="D333" t="s">
        <v>29</v>
      </c>
      <c r="E333" t="b">
        <v>1</v>
      </c>
      <c r="F333">
        <v>100</v>
      </c>
      <c r="G333">
        <v>1</v>
      </c>
      <c r="H333">
        <v>21200</v>
      </c>
      <c r="I333" t="s">
        <v>18</v>
      </c>
    </row>
    <row r="334" spans="1:9" x14ac:dyDescent="0.3">
      <c r="A334" t="s">
        <v>45</v>
      </c>
      <c r="B334" t="s">
        <v>68</v>
      </c>
      <c r="C334" t="s">
        <v>27</v>
      </c>
      <c r="D334" t="s">
        <v>29</v>
      </c>
      <c r="E334" t="b">
        <v>1</v>
      </c>
      <c r="F334">
        <v>100</v>
      </c>
      <c r="G334">
        <v>1</v>
      </c>
      <c r="H334">
        <v>24094</v>
      </c>
      <c r="I334" t="s">
        <v>18</v>
      </c>
    </row>
    <row r="335" spans="1:9" x14ac:dyDescent="0.3">
      <c r="A335" t="s">
        <v>43</v>
      </c>
      <c r="B335" t="s">
        <v>69</v>
      </c>
      <c r="C335" t="s">
        <v>11</v>
      </c>
      <c r="D335" t="s">
        <v>12</v>
      </c>
      <c r="E335" t="b">
        <v>1</v>
      </c>
      <c r="F335">
        <v>100</v>
      </c>
      <c r="G335">
        <v>1</v>
      </c>
      <c r="H335">
        <v>2977</v>
      </c>
      <c r="I335" t="s">
        <v>18</v>
      </c>
    </row>
    <row r="336" spans="1:9" x14ac:dyDescent="0.3">
      <c r="A336" t="s">
        <v>43</v>
      </c>
      <c r="B336" t="s">
        <v>69</v>
      </c>
      <c r="C336" t="s">
        <v>14</v>
      </c>
      <c r="D336" t="s">
        <v>12</v>
      </c>
      <c r="E336" t="b">
        <v>1</v>
      </c>
      <c r="F336">
        <v>100</v>
      </c>
      <c r="G336">
        <v>1</v>
      </c>
      <c r="H336">
        <v>9503</v>
      </c>
      <c r="I336" t="s">
        <v>18</v>
      </c>
    </row>
    <row r="337" spans="1:9" x14ac:dyDescent="0.3">
      <c r="A337" t="s">
        <v>43</v>
      </c>
      <c r="B337" t="s">
        <v>69</v>
      </c>
      <c r="C337" t="s">
        <v>15</v>
      </c>
      <c r="D337" t="s">
        <v>12</v>
      </c>
      <c r="E337" t="b">
        <v>1</v>
      </c>
      <c r="F337">
        <v>100</v>
      </c>
      <c r="G337">
        <v>1</v>
      </c>
      <c r="H337">
        <v>6605</v>
      </c>
      <c r="I337" t="s">
        <v>18</v>
      </c>
    </row>
    <row r="338" spans="1:9" x14ac:dyDescent="0.3">
      <c r="A338" t="s">
        <v>43</v>
      </c>
      <c r="B338" t="s">
        <v>69</v>
      </c>
      <c r="C338" t="s">
        <v>16</v>
      </c>
      <c r="D338" t="s">
        <v>12</v>
      </c>
      <c r="E338" t="b">
        <v>1</v>
      </c>
      <c r="F338">
        <v>100</v>
      </c>
      <c r="G338">
        <v>1</v>
      </c>
      <c r="H338">
        <v>11196</v>
      </c>
      <c r="I338" t="s">
        <v>18</v>
      </c>
    </row>
    <row r="339" spans="1:9" x14ac:dyDescent="0.3">
      <c r="A339" t="s">
        <v>43</v>
      </c>
      <c r="B339" t="s">
        <v>69</v>
      </c>
      <c r="C339" t="s">
        <v>17</v>
      </c>
      <c r="D339" t="s">
        <v>12</v>
      </c>
      <c r="E339" t="b">
        <v>1</v>
      </c>
      <c r="F339">
        <v>100</v>
      </c>
      <c r="G339">
        <v>1</v>
      </c>
      <c r="H339">
        <v>13258</v>
      </c>
      <c r="I339" t="s">
        <v>18</v>
      </c>
    </row>
    <row r="340" spans="1:9" x14ac:dyDescent="0.3">
      <c r="A340" t="s">
        <v>43</v>
      </c>
      <c r="B340" t="s">
        <v>69</v>
      </c>
      <c r="C340" t="s">
        <v>19</v>
      </c>
      <c r="D340" t="s">
        <v>12</v>
      </c>
      <c r="E340" t="b">
        <v>1</v>
      </c>
      <c r="F340">
        <v>68.2</v>
      </c>
      <c r="G340">
        <v>0</v>
      </c>
      <c r="H340">
        <v>14259</v>
      </c>
      <c r="I340" t="s">
        <v>13</v>
      </c>
    </row>
    <row r="341" spans="1:9" x14ac:dyDescent="0.3">
      <c r="A341" t="s">
        <v>43</v>
      </c>
      <c r="B341" t="s">
        <v>69</v>
      </c>
      <c r="C341" t="s">
        <v>20</v>
      </c>
      <c r="D341" t="s">
        <v>12</v>
      </c>
      <c r="E341" t="b">
        <v>1</v>
      </c>
      <c r="F341">
        <v>90.9</v>
      </c>
      <c r="G341">
        <v>0</v>
      </c>
      <c r="H341">
        <v>12316</v>
      </c>
      <c r="I341" t="s">
        <v>13</v>
      </c>
    </row>
    <row r="342" spans="1:9" x14ac:dyDescent="0.3">
      <c r="A342" t="s">
        <v>43</v>
      </c>
      <c r="B342" t="s">
        <v>69</v>
      </c>
      <c r="C342" t="s">
        <v>21</v>
      </c>
      <c r="D342" t="s">
        <v>12</v>
      </c>
      <c r="E342" t="b">
        <v>1</v>
      </c>
      <c r="F342">
        <v>100</v>
      </c>
      <c r="G342">
        <v>1</v>
      </c>
      <c r="H342">
        <v>15845</v>
      </c>
      <c r="I342" t="s">
        <v>18</v>
      </c>
    </row>
    <row r="343" spans="1:9" x14ac:dyDescent="0.3">
      <c r="A343" t="s">
        <v>43</v>
      </c>
      <c r="B343" t="s">
        <v>69</v>
      </c>
      <c r="C343" t="s">
        <v>22</v>
      </c>
      <c r="D343" t="s">
        <v>12</v>
      </c>
      <c r="E343" t="b">
        <v>1</v>
      </c>
      <c r="F343">
        <v>100</v>
      </c>
      <c r="G343">
        <v>1</v>
      </c>
      <c r="H343">
        <v>17857</v>
      </c>
      <c r="I343" t="s">
        <v>18</v>
      </c>
    </row>
    <row r="344" spans="1:9" x14ac:dyDescent="0.3">
      <c r="A344" t="s">
        <v>43</v>
      </c>
      <c r="B344" t="s">
        <v>69</v>
      </c>
      <c r="C344" t="s">
        <v>23</v>
      </c>
      <c r="D344" t="s">
        <v>12</v>
      </c>
      <c r="E344" t="b">
        <v>1</v>
      </c>
      <c r="F344">
        <v>56.4</v>
      </c>
      <c r="G344">
        <v>0</v>
      </c>
      <c r="H344">
        <v>18749</v>
      </c>
      <c r="I344" t="s">
        <v>13</v>
      </c>
    </row>
    <row r="345" spans="1:9" x14ac:dyDescent="0.3">
      <c r="A345" t="s">
        <v>43</v>
      </c>
      <c r="B345" t="s">
        <v>69</v>
      </c>
      <c r="C345" t="s">
        <v>24</v>
      </c>
      <c r="D345" t="s">
        <v>29</v>
      </c>
      <c r="E345" t="b">
        <v>1</v>
      </c>
      <c r="F345">
        <v>100</v>
      </c>
      <c r="G345">
        <v>1</v>
      </c>
      <c r="H345">
        <v>11475</v>
      </c>
      <c r="I345" t="s">
        <v>18</v>
      </c>
    </row>
    <row r="346" spans="1:9" x14ac:dyDescent="0.3">
      <c r="A346" t="s">
        <v>43</v>
      </c>
      <c r="B346" t="s">
        <v>69</v>
      </c>
      <c r="C346" t="s">
        <v>25</v>
      </c>
      <c r="D346" t="s">
        <v>29</v>
      </c>
      <c r="E346" t="b">
        <v>1</v>
      </c>
      <c r="F346">
        <v>100</v>
      </c>
      <c r="G346">
        <v>1</v>
      </c>
      <c r="H346">
        <v>9988</v>
      </c>
      <c r="I346" t="s">
        <v>18</v>
      </c>
    </row>
    <row r="347" spans="1:9" x14ac:dyDescent="0.3">
      <c r="A347" t="s">
        <v>43</v>
      </c>
      <c r="B347" t="s">
        <v>69</v>
      </c>
      <c r="C347" t="s">
        <v>26</v>
      </c>
      <c r="D347" t="s">
        <v>29</v>
      </c>
      <c r="E347" t="b">
        <v>1</v>
      </c>
      <c r="F347">
        <v>100</v>
      </c>
      <c r="G347">
        <v>1</v>
      </c>
      <c r="H347">
        <v>10804</v>
      </c>
      <c r="I347" t="s">
        <v>18</v>
      </c>
    </row>
    <row r="348" spans="1:9" x14ac:dyDescent="0.3">
      <c r="A348" t="s">
        <v>43</v>
      </c>
      <c r="B348" t="s">
        <v>69</v>
      </c>
      <c r="C348" t="s">
        <v>27</v>
      </c>
      <c r="D348" t="s">
        <v>29</v>
      </c>
      <c r="E348" t="b">
        <v>1</v>
      </c>
      <c r="F348">
        <v>88.2</v>
      </c>
      <c r="G348">
        <v>0</v>
      </c>
      <c r="H348">
        <v>13713</v>
      </c>
      <c r="I348" t="s">
        <v>13</v>
      </c>
    </row>
    <row r="349" spans="1:9" x14ac:dyDescent="0.3">
      <c r="A349" t="s">
        <v>43</v>
      </c>
      <c r="B349" t="s">
        <v>69</v>
      </c>
      <c r="C349" t="s">
        <v>28</v>
      </c>
      <c r="D349" t="s">
        <v>29</v>
      </c>
      <c r="E349" t="b">
        <v>1</v>
      </c>
      <c r="F349">
        <v>100</v>
      </c>
      <c r="G349">
        <v>1</v>
      </c>
      <c r="H349">
        <v>12617</v>
      </c>
      <c r="I349" t="s">
        <v>18</v>
      </c>
    </row>
    <row r="350" spans="1:9" x14ac:dyDescent="0.3">
      <c r="A350" t="s">
        <v>43</v>
      </c>
      <c r="B350" t="s">
        <v>69</v>
      </c>
      <c r="C350" t="s">
        <v>30</v>
      </c>
      <c r="D350" t="s">
        <v>29</v>
      </c>
      <c r="E350" t="b">
        <v>1</v>
      </c>
      <c r="F350">
        <v>63.4</v>
      </c>
      <c r="G350">
        <v>0</v>
      </c>
      <c r="H350">
        <v>14100</v>
      </c>
      <c r="I350" t="s">
        <v>13</v>
      </c>
    </row>
    <row r="351" spans="1:9" x14ac:dyDescent="0.3">
      <c r="A351" t="s">
        <v>43</v>
      </c>
      <c r="B351" t="s">
        <v>69</v>
      </c>
      <c r="C351" t="s">
        <v>31</v>
      </c>
      <c r="D351" t="s">
        <v>29</v>
      </c>
      <c r="E351" t="b">
        <v>1</v>
      </c>
      <c r="F351">
        <v>100</v>
      </c>
      <c r="G351">
        <v>1</v>
      </c>
      <c r="H351">
        <v>12895</v>
      </c>
      <c r="I351" t="s">
        <v>18</v>
      </c>
    </row>
    <row r="352" spans="1:9" x14ac:dyDescent="0.3">
      <c r="A352" t="s">
        <v>43</v>
      </c>
      <c r="B352" t="s">
        <v>69</v>
      </c>
      <c r="C352" t="s">
        <v>32</v>
      </c>
      <c r="D352" t="s">
        <v>29</v>
      </c>
      <c r="E352" t="b">
        <v>1</v>
      </c>
      <c r="F352">
        <v>100</v>
      </c>
      <c r="G352">
        <v>1</v>
      </c>
      <c r="H352">
        <v>18781</v>
      </c>
      <c r="I352" t="s">
        <v>18</v>
      </c>
    </row>
    <row r="353" spans="1:9" x14ac:dyDescent="0.3">
      <c r="A353" t="s">
        <v>43</v>
      </c>
      <c r="B353" t="s">
        <v>69</v>
      </c>
      <c r="C353" t="s">
        <v>33</v>
      </c>
      <c r="D353" t="s">
        <v>29</v>
      </c>
      <c r="E353" t="b">
        <v>1</v>
      </c>
      <c r="F353">
        <v>99.6</v>
      </c>
      <c r="G353">
        <v>0</v>
      </c>
      <c r="H353">
        <v>18914</v>
      </c>
      <c r="I353" t="s">
        <v>13</v>
      </c>
    </row>
    <row r="354" spans="1:9" x14ac:dyDescent="0.3">
      <c r="A354" t="s">
        <v>43</v>
      </c>
      <c r="B354" t="s">
        <v>69</v>
      </c>
      <c r="C354" t="s">
        <v>34</v>
      </c>
      <c r="D354" t="s">
        <v>29</v>
      </c>
      <c r="E354" t="b">
        <v>1</v>
      </c>
      <c r="F354">
        <v>100</v>
      </c>
      <c r="G354">
        <v>1</v>
      </c>
      <c r="H354">
        <v>25084</v>
      </c>
      <c r="I354" t="s">
        <v>18</v>
      </c>
    </row>
    <row r="355" spans="1:9" x14ac:dyDescent="0.3">
      <c r="A355" t="s">
        <v>43</v>
      </c>
      <c r="B355" t="s">
        <v>69</v>
      </c>
      <c r="C355" t="s">
        <v>35</v>
      </c>
      <c r="D355" t="s">
        <v>29</v>
      </c>
      <c r="E355" t="b">
        <v>1</v>
      </c>
      <c r="F355">
        <v>91.1</v>
      </c>
      <c r="G355">
        <v>0</v>
      </c>
      <c r="H355">
        <v>25115</v>
      </c>
      <c r="I355" t="s">
        <v>13</v>
      </c>
    </row>
    <row r="356" spans="1:9" x14ac:dyDescent="0.3">
      <c r="A356" t="s">
        <v>43</v>
      </c>
      <c r="B356" t="s">
        <v>69</v>
      </c>
      <c r="C356" t="s">
        <v>36</v>
      </c>
      <c r="D356" t="s">
        <v>29</v>
      </c>
      <c r="E356" t="b">
        <v>1</v>
      </c>
      <c r="F356">
        <v>100</v>
      </c>
      <c r="G356">
        <v>1</v>
      </c>
      <c r="H356">
        <v>24040</v>
      </c>
      <c r="I356" t="s">
        <v>18</v>
      </c>
    </row>
    <row r="357" spans="1:9" x14ac:dyDescent="0.3">
      <c r="A357" t="s">
        <v>9</v>
      </c>
      <c r="B357" t="s">
        <v>70</v>
      </c>
      <c r="C357" t="s">
        <v>11</v>
      </c>
      <c r="D357" t="s">
        <v>12</v>
      </c>
      <c r="E357" t="b">
        <v>1</v>
      </c>
      <c r="F357">
        <v>100</v>
      </c>
      <c r="G357">
        <v>1</v>
      </c>
      <c r="H357">
        <v>15694</v>
      </c>
      <c r="I357" t="s">
        <v>18</v>
      </c>
    </row>
    <row r="358" spans="1:9" x14ac:dyDescent="0.3">
      <c r="A358" t="s">
        <v>9</v>
      </c>
      <c r="B358" t="s">
        <v>70</v>
      </c>
      <c r="C358" t="s">
        <v>14</v>
      </c>
      <c r="D358" t="s">
        <v>12</v>
      </c>
      <c r="E358" t="b">
        <v>1</v>
      </c>
      <c r="F358">
        <v>100</v>
      </c>
      <c r="G358">
        <v>1</v>
      </c>
      <c r="H358">
        <v>15052</v>
      </c>
      <c r="I358" t="s">
        <v>18</v>
      </c>
    </row>
    <row r="359" spans="1:9" x14ac:dyDescent="0.3">
      <c r="A359" t="s">
        <v>9</v>
      </c>
      <c r="B359" t="s">
        <v>70</v>
      </c>
      <c r="C359" t="s">
        <v>15</v>
      </c>
      <c r="D359" t="s">
        <v>29</v>
      </c>
      <c r="E359" t="b">
        <v>1</v>
      </c>
      <c r="F359">
        <v>100</v>
      </c>
      <c r="G359">
        <v>1</v>
      </c>
      <c r="H359">
        <v>16073</v>
      </c>
      <c r="I359" t="s">
        <v>18</v>
      </c>
    </row>
    <row r="360" spans="1:9" x14ac:dyDescent="0.3">
      <c r="A360" t="s">
        <v>9</v>
      </c>
      <c r="B360" t="s">
        <v>70</v>
      </c>
      <c r="C360" t="s">
        <v>16</v>
      </c>
      <c r="D360" t="s">
        <v>29</v>
      </c>
      <c r="E360" t="b">
        <v>1</v>
      </c>
      <c r="F360">
        <v>86.2</v>
      </c>
      <c r="G360">
        <v>0</v>
      </c>
      <c r="H360">
        <v>20585</v>
      </c>
      <c r="I360" t="s">
        <v>13</v>
      </c>
    </row>
    <row r="361" spans="1:9" x14ac:dyDescent="0.3">
      <c r="A361" t="s">
        <v>9</v>
      </c>
      <c r="B361" t="s">
        <v>70</v>
      </c>
      <c r="C361" t="s">
        <v>17</v>
      </c>
      <c r="D361" t="s">
        <v>29</v>
      </c>
      <c r="E361" t="b">
        <v>1</v>
      </c>
      <c r="F361">
        <v>85.9</v>
      </c>
      <c r="G361">
        <v>0</v>
      </c>
      <c r="H361">
        <v>16799</v>
      </c>
      <c r="I361" t="s">
        <v>13</v>
      </c>
    </row>
    <row r="362" spans="1:9" x14ac:dyDescent="0.3">
      <c r="A362" t="s">
        <v>9</v>
      </c>
      <c r="B362" t="s">
        <v>70</v>
      </c>
      <c r="C362" t="s">
        <v>19</v>
      </c>
      <c r="D362" t="s">
        <v>29</v>
      </c>
      <c r="E362" t="b">
        <v>1</v>
      </c>
      <c r="F362">
        <v>85.9</v>
      </c>
      <c r="G362">
        <v>0</v>
      </c>
      <c r="H362">
        <v>13494</v>
      </c>
      <c r="I362" t="s">
        <v>13</v>
      </c>
    </row>
    <row r="363" spans="1:9" x14ac:dyDescent="0.3">
      <c r="A363" t="s">
        <v>9</v>
      </c>
      <c r="B363" t="s">
        <v>70</v>
      </c>
      <c r="C363" t="s">
        <v>20</v>
      </c>
      <c r="D363" t="s">
        <v>29</v>
      </c>
      <c r="E363" t="b">
        <v>1</v>
      </c>
      <c r="F363">
        <v>55</v>
      </c>
      <c r="G363">
        <v>0</v>
      </c>
      <c r="H363">
        <v>15131</v>
      </c>
      <c r="I363" t="s">
        <v>13</v>
      </c>
    </row>
    <row r="364" spans="1:9" x14ac:dyDescent="0.3">
      <c r="A364" t="s">
        <v>9</v>
      </c>
      <c r="B364" t="s">
        <v>70</v>
      </c>
      <c r="C364" t="s">
        <v>21</v>
      </c>
      <c r="D364" t="s">
        <v>29</v>
      </c>
      <c r="E364" t="b">
        <v>1</v>
      </c>
      <c r="F364">
        <v>57.8</v>
      </c>
      <c r="G364">
        <v>0</v>
      </c>
      <c r="H364">
        <v>16647</v>
      </c>
      <c r="I364" t="s">
        <v>13</v>
      </c>
    </row>
    <row r="365" spans="1:9" x14ac:dyDescent="0.3">
      <c r="A365" t="s">
        <v>9</v>
      </c>
      <c r="B365" t="s">
        <v>70</v>
      </c>
      <c r="C365" t="s">
        <v>22</v>
      </c>
      <c r="D365" t="s">
        <v>29</v>
      </c>
      <c r="E365" t="b">
        <v>1</v>
      </c>
      <c r="F365">
        <v>34.1</v>
      </c>
      <c r="G365">
        <v>0</v>
      </c>
      <c r="H365">
        <v>18024</v>
      </c>
      <c r="I365" t="s">
        <v>13</v>
      </c>
    </row>
    <row r="366" spans="1:9" x14ac:dyDescent="0.3">
      <c r="A366" t="s">
        <v>43</v>
      </c>
      <c r="B366" t="s">
        <v>71</v>
      </c>
      <c r="C366" t="s">
        <v>11</v>
      </c>
      <c r="D366" t="s">
        <v>12</v>
      </c>
      <c r="E366" t="b">
        <v>1</v>
      </c>
      <c r="F366">
        <v>100</v>
      </c>
      <c r="G366">
        <v>1</v>
      </c>
      <c r="H366">
        <v>13389</v>
      </c>
      <c r="I366" t="s">
        <v>18</v>
      </c>
    </row>
    <row r="367" spans="1:9" x14ac:dyDescent="0.3">
      <c r="A367" t="s">
        <v>43</v>
      </c>
      <c r="B367" t="s">
        <v>71</v>
      </c>
      <c r="C367" t="s">
        <v>14</v>
      </c>
      <c r="D367" t="s">
        <v>12</v>
      </c>
      <c r="E367" t="b">
        <v>1</v>
      </c>
      <c r="F367">
        <v>100</v>
      </c>
      <c r="G367">
        <v>1</v>
      </c>
      <c r="H367">
        <v>13115</v>
      </c>
      <c r="I367" t="s">
        <v>18</v>
      </c>
    </row>
    <row r="368" spans="1:9" x14ac:dyDescent="0.3">
      <c r="A368" t="s">
        <v>43</v>
      </c>
      <c r="B368" t="s">
        <v>71</v>
      </c>
      <c r="C368" t="s">
        <v>15</v>
      </c>
      <c r="D368" t="s">
        <v>29</v>
      </c>
      <c r="E368" t="b">
        <v>1</v>
      </c>
      <c r="F368">
        <v>81</v>
      </c>
      <c r="G368">
        <v>0</v>
      </c>
      <c r="H368">
        <v>15133</v>
      </c>
      <c r="I368" t="s">
        <v>13</v>
      </c>
    </row>
    <row r="369" spans="1:9" x14ac:dyDescent="0.3">
      <c r="A369" t="s">
        <v>43</v>
      </c>
      <c r="B369" t="s">
        <v>71</v>
      </c>
      <c r="C369" t="s">
        <v>16</v>
      </c>
      <c r="D369" t="s">
        <v>29</v>
      </c>
      <c r="E369" t="b">
        <v>1</v>
      </c>
      <c r="F369">
        <v>62.1</v>
      </c>
      <c r="G369">
        <v>0</v>
      </c>
      <c r="H369">
        <v>19718</v>
      </c>
      <c r="I369" t="s">
        <v>13</v>
      </c>
    </row>
    <row r="370" spans="1:9" x14ac:dyDescent="0.3">
      <c r="A370" t="s">
        <v>43</v>
      </c>
      <c r="B370" t="s">
        <v>71</v>
      </c>
      <c r="C370" t="s">
        <v>17</v>
      </c>
      <c r="D370" t="s">
        <v>29</v>
      </c>
      <c r="E370" t="b">
        <v>1</v>
      </c>
      <c r="F370">
        <v>62.1</v>
      </c>
      <c r="G370">
        <v>0</v>
      </c>
      <c r="H370">
        <v>25766</v>
      </c>
      <c r="I370" t="s">
        <v>13</v>
      </c>
    </row>
    <row r="371" spans="1:9" x14ac:dyDescent="0.3">
      <c r="A371" t="s">
        <v>43</v>
      </c>
      <c r="B371" t="s">
        <v>71</v>
      </c>
      <c r="C371" t="s">
        <v>19</v>
      </c>
      <c r="D371" t="s">
        <v>29</v>
      </c>
      <c r="E371" t="b">
        <v>1</v>
      </c>
      <c r="F371">
        <v>55.8</v>
      </c>
      <c r="G371">
        <v>0</v>
      </c>
      <c r="H371">
        <v>28933</v>
      </c>
      <c r="I371" t="s">
        <v>13</v>
      </c>
    </row>
    <row r="372" spans="1:9" x14ac:dyDescent="0.3">
      <c r="A372" t="s">
        <v>43</v>
      </c>
      <c r="B372" t="s">
        <v>71</v>
      </c>
      <c r="C372" t="s">
        <v>20</v>
      </c>
      <c r="D372" t="s">
        <v>29</v>
      </c>
      <c r="E372" t="b">
        <v>1</v>
      </c>
      <c r="F372">
        <v>55.4</v>
      </c>
      <c r="G372">
        <v>0</v>
      </c>
      <c r="H372">
        <v>29965</v>
      </c>
      <c r="I372" t="s">
        <v>13</v>
      </c>
    </row>
    <row r="373" spans="1:9" x14ac:dyDescent="0.3">
      <c r="A373" t="s">
        <v>45</v>
      </c>
      <c r="B373" t="s">
        <v>72</v>
      </c>
      <c r="C373" t="s">
        <v>11</v>
      </c>
      <c r="D373" t="s">
        <v>12</v>
      </c>
      <c r="E373" t="b">
        <v>1</v>
      </c>
      <c r="F373">
        <v>100</v>
      </c>
      <c r="G373">
        <v>1</v>
      </c>
      <c r="H373">
        <v>10629</v>
      </c>
      <c r="I373" t="s">
        <v>18</v>
      </c>
    </row>
    <row r="374" spans="1:9" x14ac:dyDescent="0.3">
      <c r="A374" t="s">
        <v>45</v>
      </c>
      <c r="B374" t="s">
        <v>72</v>
      </c>
      <c r="C374" t="s">
        <v>14</v>
      </c>
      <c r="D374" t="s">
        <v>12</v>
      </c>
      <c r="E374" t="b">
        <v>1</v>
      </c>
      <c r="F374">
        <v>98.3</v>
      </c>
      <c r="G374">
        <v>0</v>
      </c>
      <c r="H374">
        <v>11224</v>
      </c>
      <c r="I374" t="s">
        <v>13</v>
      </c>
    </row>
    <row r="375" spans="1:9" x14ac:dyDescent="0.3">
      <c r="A375" t="s">
        <v>45</v>
      </c>
      <c r="B375" t="s">
        <v>72</v>
      </c>
      <c r="C375" t="s">
        <v>15</v>
      </c>
      <c r="D375" t="s">
        <v>12</v>
      </c>
      <c r="E375" t="b">
        <v>1</v>
      </c>
      <c r="F375">
        <v>40.4</v>
      </c>
      <c r="G375">
        <v>0</v>
      </c>
      <c r="H375">
        <v>13046</v>
      </c>
      <c r="I375" t="s">
        <v>13</v>
      </c>
    </row>
    <row r="376" spans="1:9" x14ac:dyDescent="0.3">
      <c r="A376" t="s">
        <v>45</v>
      </c>
      <c r="B376" t="s">
        <v>72</v>
      </c>
      <c r="C376" t="s">
        <v>16</v>
      </c>
      <c r="D376" t="s">
        <v>12</v>
      </c>
      <c r="E376" t="b">
        <v>1</v>
      </c>
      <c r="F376">
        <v>100</v>
      </c>
      <c r="G376">
        <v>1</v>
      </c>
      <c r="H376">
        <v>11463</v>
      </c>
      <c r="I376" t="s">
        <v>18</v>
      </c>
    </row>
    <row r="377" spans="1:9" x14ac:dyDescent="0.3">
      <c r="A377" t="s">
        <v>45</v>
      </c>
      <c r="B377" t="s">
        <v>72</v>
      </c>
      <c r="C377" t="s">
        <v>17</v>
      </c>
      <c r="D377" t="s">
        <v>12</v>
      </c>
      <c r="E377" t="b">
        <v>1</v>
      </c>
      <c r="F377">
        <v>99.9</v>
      </c>
      <c r="G377">
        <v>0</v>
      </c>
      <c r="H377">
        <v>9469</v>
      </c>
      <c r="I377" t="s">
        <v>13</v>
      </c>
    </row>
    <row r="378" spans="1:9" x14ac:dyDescent="0.3">
      <c r="A378" t="s">
        <v>45</v>
      </c>
      <c r="B378" t="s">
        <v>72</v>
      </c>
      <c r="C378" t="s">
        <v>19</v>
      </c>
      <c r="D378" t="s">
        <v>12</v>
      </c>
      <c r="E378" t="b">
        <v>1</v>
      </c>
      <c r="F378">
        <v>75.8</v>
      </c>
      <c r="G378">
        <v>0</v>
      </c>
      <c r="H378">
        <v>10738</v>
      </c>
      <c r="I378" t="s">
        <v>13</v>
      </c>
    </row>
    <row r="379" spans="1:9" x14ac:dyDescent="0.3">
      <c r="A379" t="s">
        <v>45</v>
      </c>
      <c r="B379" t="s">
        <v>72</v>
      </c>
      <c r="C379" t="s">
        <v>20</v>
      </c>
      <c r="D379" t="s">
        <v>12</v>
      </c>
      <c r="E379" t="b">
        <v>1</v>
      </c>
      <c r="F379">
        <v>47</v>
      </c>
      <c r="G379">
        <v>0</v>
      </c>
      <c r="H379">
        <v>13771</v>
      </c>
      <c r="I379" t="s">
        <v>13</v>
      </c>
    </row>
    <row r="380" spans="1:9" x14ac:dyDescent="0.3">
      <c r="A380" t="s">
        <v>45</v>
      </c>
      <c r="B380" t="s">
        <v>72</v>
      </c>
      <c r="C380" t="s">
        <v>21</v>
      </c>
      <c r="D380" t="s">
        <v>12</v>
      </c>
      <c r="E380" t="b">
        <v>1</v>
      </c>
      <c r="F380">
        <v>100</v>
      </c>
      <c r="G380">
        <v>1</v>
      </c>
      <c r="H380">
        <v>10997</v>
      </c>
      <c r="I380" t="s">
        <v>18</v>
      </c>
    </row>
    <row r="381" spans="1:9" x14ac:dyDescent="0.3">
      <c r="A381" t="s">
        <v>45</v>
      </c>
      <c r="B381" t="s">
        <v>72</v>
      </c>
      <c r="C381" t="s">
        <v>22</v>
      </c>
      <c r="D381" t="s">
        <v>12</v>
      </c>
      <c r="E381" t="b">
        <v>1</v>
      </c>
      <c r="F381">
        <v>94.9</v>
      </c>
      <c r="G381">
        <v>0</v>
      </c>
      <c r="H381">
        <v>11422</v>
      </c>
      <c r="I381" t="s">
        <v>13</v>
      </c>
    </row>
    <row r="382" spans="1:9" x14ac:dyDescent="0.3">
      <c r="A382" t="s">
        <v>45</v>
      </c>
      <c r="B382" t="s">
        <v>72</v>
      </c>
      <c r="C382" t="s">
        <v>23</v>
      </c>
      <c r="D382" t="s">
        <v>29</v>
      </c>
      <c r="E382" t="b">
        <v>1</v>
      </c>
      <c r="F382">
        <v>99.9</v>
      </c>
      <c r="G382">
        <v>0</v>
      </c>
      <c r="H382">
        <v>14387</v>
      </c>
      <c r="I382" t="s">
        <v>18</v>
      </c>
    </row>
    <row r="383" spans="1:9" x14ac:dyDescent="0.3">
      <c r="A383" t="s">
        <v>45</v>
      </c>
      <c r="B383" t="s">
        <v>72</v>
      </c>
      <c r="C383" t="s">
        <v>24</v>
      </c>
      <c r="D383" t="s">
        <v>29</v>
      </c>
      <c r="E383" t="b">
        <v>1</v>
      </c>
      <c r="F383">
        <v>100</v>
      </c>
      <c r="G383">
        <v>1</v>
      </c>
      <c r="H383">
        <v>16213</v>
      </c>
      <c r="I383" t="s">
        <v>18</v>
      </c>
    </row>
    <row r="384" spans="1:9" x14ac:dyDescent="0.3">
      <c r="A384" t="s">
        <v>45</v>
      </c>
      <c r="B384" t="s">
        <v>72</v>
      </c>
      <c r="C384" t="s">
        <v>25</v>
      </c>
      <c r="D384" t="s">
        <v>29</v>
      </c>
      <c r="E384" t="b">
        <v>1</v>
      </c>
      <c r="F384">
        <v>99.9</v>
      </c>
      <c r="G384">
        <v>0</v>
      </c>
      <c r="H384">
        <v>21864</v>
      </c>
      <c r="I384" t="s">
        <v>18</v>
      </c>
    </row>
    <row r="385" spans="1:9" x14ac:dyDescent="0.3">
      <c r="A385" t="s">
        <v>45</v>
      </c>
      <c r="B385" t="s">
        <v>72</v>
      </c>
      <c r="C385" t="s">
        <v>26</v>
      </c>
      <c r="D385" t="s">
        <v>29</v>
      </c>
      <c r="E385" t="b">
        <v>1</v>
      </c>
      <c r="F385">
        <v>100</v>
      </c>
      <c r="G385">
        <v>1</v>
      </c>
      <c r="H385">
        <v>29679</v>
      </c>
      <c r="I385" t="s">
        <v>13</v>
      </c>
    </row>
    <row r="386" spans="1:9" x14ac:dyDescent="0.3">
      <c r="A386" t="s">
        <v>45</v>
      </c>
      <c r="B386" t="s">
        <v>72</v>
      </c>
      <c r="C386" t="s">
        <v>27</v>
      </c>
      <c r="D386" t="s">
        <v>29</v>
      </c>
      <c r="E386" t="b">
        <v>1</v>
      </c>
      <c r="F386">
        <v>100</v>
      </c>
      <c r="G386">
        <v>1</v>
      </c>
      <c r="H386">
        <v>29694</v>
      </c>
      <c r="I386" t="s">
        <v>18</v>
      </c>
    </row>
    <row r="387" spans="1:9" x14ac:dyDescent="0.3">
      <c r="A387" t="s">
        <v>45</v>
      </c>
      <c r="B387" t="s">
        <v>72</v>
      </c>
      <c r="C387" t="s">
        <v>28</v>
      </c>
      <c r="D387" t="s">
        <v>29</v>
      </c>
      <c r="E387" t="b">
        <v>1</v>
      </c>
      <c r="F387">
        <v>100</v>
      </c>
      <c r="G387">
        <v>1</v>
      </c>
      <c r="H387">
        <v>21104</v>
      </c>
      <c r="I387" t="s">
        <v>18</v>
      </c>
    </row>
    <row r="388" spans="1:9" x14ac:dyDescent="0.3">
      <c r="A388" t="s">
        <v>45</v>
      </c>
      <c r="B388" t="s">
        <v>72</v>
      </c>
      <c r="C388" t="s">
        <v>30</v>
      </c>
      <c r="D388" t="s">
        <v>29</v>
      </c>
      <c r="E388" t="b">
        <v>1</v>
      </c>
      <c r="F388">
        <v>100</v>
      </c>
      <c r="G388">
        <v>1</v>
      </c>
      <c r="H388">
        <v>21629</v>
      </c>
      <c r="I388" t="s">
        <v>18</v>
      </c>
    </row>
    <row r="389" spans="1:9" x14ac:dyDescent="0.3">
      <c r="A389" t="s">
        <v>45</v>
      </c>
      <c r="B389" t="s">
        <v>72</v>
      </c>
      <c r="C389" t="s">
        <v>31</v>
      </c>
      <c r="D389" t="s">
        <v>29</v>
      </c>
      <c r="E389" t="b">
        <v>1</v>
      </c>
      <c r="F389">
        <v>100</v>
      </c>
      <c r="G389">
        <v>1</v>
      </c>
      <c r="H389">
        <v>21275</v>
      </c>
      <c r="I389" t="s">
        <v>18</v>
      </c>
    </row>
    <row r="390" spans="1:9" x14ac:dyDescent="0.3">
      <c r="A390" t="s">
        <v>45</v>
      </c>
      <c r="B390" t="s">
        <v>72</v>
      </c>
      <c r="C390" t="s">
        <v>32</v>
      </c>
      <c r="D390" t="s">
        <v>29</v>
      </c>
      <c r="E390" t="b">
        <v>1</v>
      </c>
      <c r="F390">
        <v>100</v>
      </c>
      <c r="G390">
        <v>1</v>
      </c>
      <c r="H390">
        <v>21750</v>
      </c>
      <c r="I390" t="s">
        <v>18</v>
      </c>
    </row>
    <row r="391" spans="1:9" x14ac:dyDescent="0.3">
      <c r="A391" t="s">
        <v>45</v>
      </c>
      <c r="B391" t="s">
        <v>72</v>
      </c>
      <c r="C391" t="s">
        <v>33</v>
      </c>
      <c r="D391" t="s">
        <v>29</v>
      </c>
      <c r="E391" t="b">
        <v>1</v>
      </c>
      <c r="F391">
        <v>100</v>
      </c>
      <c r="G391">
        <v>1</v>
      </c>
      <c r="H391">
        <v>22104</v>
      </c>
      <c r="I391" t="s">
        <v>18</v>
      </c>
    </row>
    <row r="392" spans="1:9" x14ac:dyDescent="0.3">
      <c r="A392" t="s">
        <v>45</v>
      </c>
      <c r="B392" t="s">
        <v>72</v>
      </c>
      <c r="C392" t="s">
        <v>34</v>
      </c>
      <c r="D392" t="s">
        <v>29</v>
      </c>
      <c r="E392" t="b">
        <v>1</v>
      </c>
      <c r="F392">
        <v>100</v>
      </c>
      <c r="G392">
        <v>1</v>
      </c>
      <c r="H392">
        <v>6657</v>
      </c>
      <c r="I392" t="s">
        <v>18</v>
      </c>
    </row>
    <row r="393" spans="1:9" x14ac:dyDescent="0.3">
      <c r="A393" t="s">
        <v>45</v>
      </c>
      <c r="B393" t="s">
        <v>72</v>
      </c>
      <c r="C393" t="s">
        <v>35</v>
      </c>
      <c r="D393" t="s">
        <v>29</v>
      </c>
      <c r="E393" t="b">
        <v>1</v>
      </c>
      <c r="F393">
        <v>100</v>
      </c>
      <c r="G393">
        <v>1</v>
      </c>
      <c r="H393">
        <v>8749</v>
      </c>
      <c r="I393" t="s">
        <v>18</v>
      </c>
    </row>
    <row r="394" spans="1:9" x14ac:dyDescent="0.3">
      <c r="A394" t="s">
        <v>45</v>
      </c>
      <c r="B394" t="s">
        <v>72</v>
      </c>
      <c r="C394" t="s">
        <v>36</v>
      </c>
      <c r="D394" t="s">
        <v>29</v>
      </c>
      <c r="E394" t="b">
        <v>1</v>
      </c>
      <c r="F394">
        <v>100</v>
      </c>
      <c r="G394">
        <v>1</v>
      </c>
      <c r="H394">
        <v>10173</v>
      </c>
      <c r="I394" t="s">
        <v>18</v>
      </c>
    </row>
    <row r="395" spans="1:9" x14ac:dyDescent="0.3">
      <c r="A395" t="s">
        <v>45</v>
      </c>
      <c r="B395" t="s">
        <v>72</v>
      </c>
      <c r="C395" t="s">
        <v>37</v>
      </c>
      <c r="D395" t="s">
        <v>29</v>
      </c>
      <c r="E395" t="b">
        <v>1</v>
      </c>
      <c r="F395">
        <v>96.6</v>
      </c>
      <c r="G395">
        <v>0</v>
      </c>
      <c r="H395">
        <v>12440</v>
      </c>
      <c r="I395" t="s">
        <v>13</v>
      </c>
    </row>
    <row r="396" spans="1:9" x14ac:dyDescent="0.3">
      <c r="A396" t="s">
        <v>43</v>
      </c>
      <c r="B396" t="s">
        <v>73</v>
      </c>
      <c r="C396" t="s">
        <v>11</v>
      </c>
      <c r="D396" t="s">
        <v>12</v>
      </c>
      <c r="E396" t="b">
        <v>1</v>
      </c>
      <c r="F396">
        <v>59</v>
      </c>
      <c r="G396">
        <v>0</v>
      </c>
      <c r="H396">
        <v>13004</v>
      </c>
      <c r="I396" t="s">
        <v>13</v>
      </c>
    </row>
    <row r="397" spans="1:9" x14ac:dyDescent="0.3">
      <c r="A397" t="s">
        <v>43</v>
      </c>
      <c r="B397" t="s">
        <v>73</v>
      </c>
      <c r="C397" t="s">
        <v>14</v>
      </c>
      <c r="D397" t="s">
        <v>12</v>
      </c>
      <c r="E397" t="b">
        <v>1</v>
      </c>
      <c r="F397">
        <v>100</v>
      </c>
      <c r="G397">
        <v>1</v>
      </c>
      <c r="H397">
        <v>7762</v>
      </c>
      <c r="I397" t="s">
        <v>18</v>
      </c>
    </row>
    <row r="398" spans="1:9" x14ac:dyDescent="0.3">
      <c r="A398" t="s">
        <v>43</v>
      </c>
      <c r="B398" t="s">
        <v>73</v>
      </c>
      <c r="C398" t="s">
        <v>15</v>
      </c>
      <c r="D398" t="s">
        <v>12</v>
      </c>
      <c r="E398" t="b">
        <v>1</v>
      </c>
      <c r="F398">
        <v>100</v>
      </c>
      <c r="G398">
        <v>1</v>
      </c>
      <c r="H398">
        <v>9923</v>
      </c>
      <c r="I398" t="s">
        <v>18</v>
      </c>
    </row>
    <row r="399" spans="1:9" x14ac:dyDescent="0.3">
      <c r="A399" t="s">
        <v>43</v>
      </c>
      <c r="B399" t="s">
        <v>73</v>
      </c>
      <c r="C399" t="s">
        <v>16</v>
      </c>
      <c r="D399" t="s">
        <v>12</v>
      </c>
      <c r="E399" t="b">
        <v>1</v>
      </c>
      <c r="F399">
        <v>100</v>
      </c>
      <c r="G399">
        <v>1</v>
      </c>
      <c r="H399">
        <v>12820</v>
      </c>
      <c r="I399" t="s">
        <v>18</v>
      </c>
    </row>
    <row r="400" spans="1:9" x14ac:dyDescent="0.3">
      <c r="A400" t="s">
        <v>43</v>
      </c>
      <c r="B400" t="s">
        <v>73</v>
      </c>
      <c r="C400" t="s">
        <v>17</v>
      </c>
      <c r="D400" t="s">
        <v>12</v>
      </c>
      <c r="E400" t="b">
        <v>1</v>
      </c>
      <c r="F400">
        <v>100</v>
      </c>
      <c r="G400">
        <v>1</v>
      </c>
      <c r="H400">
        <v>14874</v>
      </c>
      <c r="I400" t="s">
        <v>18</v>
      </c>
    </row>
    <row r="401" spans="1:9" x14ac:dyDescent="0.3">
      <c r="A401" t="s">
        <v>43</v>
      </c>
      <c r="B401" t="s">
        <v>73</v>
      </c>
      <c r="C401" t="s">
        <v>19</v>
      </c>
      <c r="D401" t="s">
        <v>12</v>
      </c>
      <c r="E401" t="b">
        <v>1</v>
      </c>
      <c r="F401">
        <v>99.9</v>
      </c>
      <c r="G401">
        <v>0</v>
      </c>
      <c r="H401">
        <v>8443</v>
      </c>
      <c r="I401" t="s">
        <v>18</v>
      </c>
    </row>
    <row r="402" spans="1:9" x14ac:dyDescent="0.3">
      <c r="A402" t="s">
        <v>43</v>
      </c>
      <c r="B402" t="s">
        <v>73</v>
      </c>
      <c r="C402" t="s">
        <v>20</v>
      </c>
      <c r="D402" t="s">
        <v>12</v>
      </c>
      <c r="E402" t="b">
        <v>1</v>
      </c>
      <c r="F402">
        <v>88.9</v>
      </c>
      <c r="G402">
        <v>0</v>
      </c>
      <c r="H402">
        <v>13880</v>
      </c>
      <c r="I402" t="s">
        <v>13</v>
      </c>
    </row>
    <row r="403" spans="1:9" x14ac:dyDescent="0.3">
      <c r="A403" t="s">
        <v>43</v>
      </c>
      <c r="B403" t="s">
        <v>73</v>
      </c>
      <c r="C403" t="s">
        <v>21</v>
      </c>
      <c r="D403" t="s">
        <v>12</v>
      </c>
      <c r="E403" t="b">
        <v>1</v>
      </c>
      <c r="F403">
        <v>100</v>
      </c>
      <c r="G403">
        <v>1</v>
      </c>
      <c r="H403">
        <v>12415</v>
      </c>
      <c r="I403" t="s">
        <v>18</v>
      </c>
    </row>
    <row r="404" spans="1:9" x14ac:dyDescent="0.3">
      <c r="A404" t="s">
        <v>43</v>
      </c>
      <c r="B404" t="s">
        <v>73</v>
      </c>
      <c r="C404" t="s">
        <v>22</v>
      </c>
      <c r="D404" t="s">
        <v>12</v>
      </c>
      <c r="E404" t="b">
        <v>1</v>
      </c>
      <c r="F404">
        <v>100</v>
      </c>
      <c r="G404">
        <v>1</v>
      </c>
      <c r="H404">
        <v>12776</v>
      </c>
      <c r="I404" t="s">
        <v>18</v>
      </c>
    </row>
    <row r="405" spans="1:9" x14ac:dyDescent="0.3">
      <c r="A405" t="s">
        <v>43</v>
      </c>
      <c r="B405" t="s">
        <v>73</v>
      </c>
      <c r="C405" t="s">
        <v>23</v>
      </c>
      <c r="D405" t="s">
        <v>12</v>
      </c>
      <c r="E405" t="b">
        <v>1</v>
      </c>
      <c r="F405">
        <v>100</v>
      </c>
      <c r="G405">
        <v>1</v>
      </c>
      <c r="H405">
        <v>13351</v>
      </c>
      <c r="I405" t="s">
        <v>18</v>
      </c>
    </row>
    <row r="406" spans="1:9" x14ac:dyDescent="0.3">
      <c r="A406" t="s">
        <v>43</v>
      </c>
      <c r="B406" t="s">
        <v>73</v>
      </c>
      <c r="C406" t="s">
        <v>24</v>
      </c>
      <c r="D406" t="s">
        <v>29</v>
      </c>
      <c r="E406" t="b">
        <v>1</v>
      </c>
      <c r="F406">
        <v>100</v>
      </c>
      <c r="G406">
        <v>1</v>
      </c>
      <c r="H406">
        <v>13667</v>
      </c>
      <c r="I406" t="s">
        <v>18</v>
      </c>
    </row>
    <row r="407" spans="1:9" x14ac:dyDescent="0.3">
      <c r="A407" t="s">
        <v>43</v>
      </c>
      <c r="B407" t="s">
        <v>73</v>
      </c>
      <c r="C407" t="s">
        <v>25</v>
      </c>
      <c r="D407" t="s">
        <v>29</v>
      </c>
      <c r="E407" t="b">
        <v>1</v>
      </c>
      <c r="F407">
        <v>100</v>
      </c>
      <c r="G407">
        <v>1</v>
      </c>
      <c r="H407">
        <v>12651</v>
      </c>
      <c r="I407" t="s">
        <v>18</v>
      </c>
    </row>
    <row r="408" spans="1:9" x14ac:dyDescent="0.3">
      <c r="A408" t="s">
        <v>43</v>
      </c>
      <c r="B408" t="s">
        <v>73</v>
      </c>
      <c r="C408" t="s">
        <v>26</v>
      </c>
      <c r="D408" t="s">
        <v>29</v>
      </c>
      <c r="E408" t="b">
        <v>1</v>
      </c>
      <c r="F408">
        <v>92.5</v>
      </c>
      <c r="G408">
        <v>0</v>
      </c>
      <c r="H408">
        <v>18112</v>
      </c>
      <c r="I408" t="s">
        <v>13</v>
      </c>
    </row>
    <row r="409" spans="1:9" x14ac:dyDescent="0.3">
      <c r="A409" t="s">
        <v>43</v>
      </c>
      <c r="B409" t="s">
        <v>73</v>
      </c>
      <c r="C409" t="s">
        <v>27</v>
      </c>
      <c r="D409" t="s">
        <v>29</v>
      </c>
      <c r="E409" t="b">
        <v>1</v>
      </c>
      <c r="F409">
        <v>58.8</v>
      </c>
      <c r="G409">
        <v>0</v>
      </c>
      <c r="H409">
        <v>18403</v>
      </c>
      <c r="I409" t="s">
        <v>13</v>
      </c>
    </row>
    <row r="410" spans="1:9" x14ac:dyDescent="0.3">
      <c r="A410" t="s">
        <v>43</v>
      </c>
      <c r="B410" t="s">
        <v>73</v>
      </c>
      <c r="C410" t="s">
        <v>28</v>
      </c>
      <c r="D410" t="s">
        <v>29</v>
      </c>
      <c r="E410" t="b">
        <v>1</v>
      </c>
      <c r="F410">
        <v>100</v>
      </c>
      <c r="G410">
        <v>1</v>
      </c>
      <c r="H410">
        <v>17540</v>
      </c>
      <c r="I410" t="s">
        <v>18</v>
      </c>
    </row>
    <row r="411" spans="1:9" x14ac:dyDescent="0.3">
      <c r="A411" t="s">
        <v>43</v>
      </c>
      <c r="B411" t="s">
        <v>73</v>
      </c>
      <c r="C411" t="s">
        <v>30</v>
      </c>
      <c r="D411" t="s">
        <v>29</v>
      </c>
      <c r="E411" t="b">
        <v>1</v>
      </c>
      <c r="F411">
        <v>85.9</v>
      </c>
      <c r="G411">
        <v>0</v>
      </c>
      <c r="H411">
        <v>15725</v>
      </c>
      <c r="I411" t="s">
        <v>13</v>
      </c>
    </row>
    <row r="412" spans="1:9" x14ac:dyDescent="0.3">
      <c r="A412" t="s">
        <v>43</v>
      </c>
      <c r="B412" t="s">
        <v>73</v>
      </c>
      <c r="C412" t="s">
        <v>31</v>
      </c>
      <c r="D412" t="s">
        <v>29</v>
      </c>
      <c r="E412" t="b">
        <v>1</v>
      </c>
      <c r="F412">
        <v>51.5</v>
      </c>
      <c r="G412">
        <v>0</v>
      </c>
      <c r="H412">
        <v>28294</v>
      </c>
      <c r="I412" t="s">
        <v>13</v>
      </c>
    </row>
    <row r="413" spans="1:9" x14ac:dyDescent="0.3">
      <c r="A413" t="s">
        <v>43</v>
      </c>
      <c r="B413" t="s">
        <v>73</v>
      </c>
      <c r="C413" t="s">
        <v>32</v>
      </c>
      <c r="D413" t="s">
        <v>29</v>
      </c>
      <c r="E413" t="b">
        <v>1</v>
      </c>
      <c r="F413">
        <v>100</v>
      </c>
      <c r="G413">
        <v>1</v>
      </c>
      <c r="H413">
        <v>14606</v>
      </c>
      <c r="I413" t="s">
        <v>18</v>
      </c>
    </row>
    <row r="414" spans="1:9" x14ac:dyDescent="0.3">
      <c r="A414" t="s">
        <v>43</v>
      </c>
      <c r="B414" t="s">
        <v>73</v>
      </c>
      <c r="C414" t="s">
        <v>33</v>
      </c>
      <c r="D414" t="s">
        <v>29</v>
      </c>
      <c r="E414" t="b">
        <v>1</v>
      </c>
      <c r="F414">
        <v>99.9</v>
      </c>
      <c r="G414">
        <v>0</v>
      </c>
      <c r="H414">
        <v>17982</v>
      </c>
      <c r="I414" t="s">
        <v>18</v>
      </c>
    </row>
    <row r="415" spans="1:9" x14ac:dyDescent="0.3">
      <c r="A415" t="s">
        <v>43</v>
      </c>
      <c r="B415" t="s">
        <v>73</v>
      </c>
      <c r="C415" t="s">
        <v>34</v>
      </c>
      <c r="D415" t="s">
        <v>29</v>
      </c>
      <c r="E415" t="b">
        <v>1</v>
      </c>
      <c r="F415">
        <v>100</v>
      </c>
      <c r="G415">
        <v>1</v>
      </c>
      <c r="H415">
        <v>20145</v>
      </c>
      <c r="I415" t="s">
        <v>18</v>
      </c>
    </row>
    <row r="416" spans="1:9" x14ac:dyDescent="0.3">
      <c r="A416" t="s">
        <v>43</v>
      </c>
      <c r="B416" t="s">
        <v>73</v>
      </c>
      <c r="C416" t="s">
        <v>35</v>
      </c>
      <c r="D416" t="s">
        <v>29</v>
      </c>
      <c r="E416" t="b">
        <v>1</v>
      </c>
      <c r="F416">
        <v>100</v>
      </c>
      <c r="G416">
        <v>1</v>
      </c>
      <c r="H416">
        <v>24190</v>
      </c>
      <c r="I416" t="s">
        <v>18</v>
      </c>
    </row>
    <row r="417" spans="1:9" x14ac:dyDescent="0.3">
      <c r="A417" t="s">
        <v>9</v>
      </c>
      <c r="B417" t="s">
        <v>74</v>
      </c>
      <c r="C417" t="s">
        <v>11</v>
      </c>
      <c r="D417" t="s">
        <v>12</v>
      </c>
      <c r="E417" t="b">
        <v>1</v>
      </c>
      <c r="F417">
        <v>42.4</v>
      </c>
      <c r="G417">
        <v>0</v>
      </c>
      <c r="H417">
        <v>27658</v>
      </c>
      <c r="I417" t="s">
        <v>13</v>
      </c>
    </row>
    <row r="418" spans="1:9" x14ac:dyDescent="0.3">
      <c r="A418" t="s">
        <v>9</v>
      </c>
      <c r="B418" t="s">
        <v>74</v>
      </c>
      <c r="C418" t="s">
        <v>14</v>
      </c>
      <c r="D418" t="s">
        <v>12</v>
      </c>
      <c r="E418" t="b">
        <v>1</v>
      </c>
      <c r="F418">
        <v>100</v>
      </c>
      <c r="G418">
        <v>1</v>
      </c>
      <c r="H418">
        <v>28839</v>
      </c>
      <c r="I418" t="s">
        <v>18</v>
      </c>
    </row>
    <row r="419" spans="1:9" x14ac:dyDescent="0.3">
      <c r="A419" t="s">
        <v>9</v>
      </c>
      <c r="B419" t="s">
        <v>74</v>
      </c>
      <c r="C419" t="s">
        <v>15</v>
      </c>
      <c r="D419" t="s">
        <v>12</v>
      </c>
      <c r="E419" t="b">
        <v>1</v>
      </c>
      <c r="F419">
        <v>39.799999999999997</v>
      </c>
      <c r="G419">
        <v>0</v>
      </c>
      <c r="H419">
        <v>29125</v>
      </c>
      <c r="I419" t="s">
        <v>13</v>
      </c>
    </row>
    <row r="420" spans="1:9" x14ac:dyDescent="0.3">
      <c r="A420" t="s">
        <v>9</v>
      </c>
      <c r="B420" t="s">
        <v>74</v>
      </c>
      <c r="C420" t="s">
        <v>16</v>
      </c>
      <c r="D420" t="s">
        <v>12</v>
      </c>
      <c r="E420" t="b">
        <v>1</v>
      </c>
      <c r="F420">
        <v>40.6</v>
      </c>
      <c r="G420">
        <v>0</v>
      </c>
      <c r="H420">
        <v>21240</v>
      </c>
      <c r="I420" t="s">
        <v>13</v>
      </c>
    </row>
    <row r="421" spans="1:9" x14ac:dyDescent="0.3">
      <c r="A421" t="s">
        <v>9</v>
      </c>
      <c r="B421" t="s">
        <v>74</v>
      </c>
      <c r="C421" t="s">
        <v>17</v>
      </c>
      <c r="D421" t="s">
        <v>12</v>
      </c>
      <c r="E421" t="b">
        <v>1</v>
      </c>
      <c r="F421">
        <v>54.7</v>
      </c>
      <c r="G421">
        <v>0</v>
      </c>
      <c r="H421">
        <v>17491</v>
      </c>
      <c r="I421" t="s">
        <v>13</v>
      </c>
    </row>
    <row r="422" spans="1:9" x14ac:dyDescent="0.3">
      <c r="A422" t="s">
        <v>9</v>
      </c>
      <c r="B422" t="s">
        <v>74</v>
      </c>
      <c r="C422" t="s">
        <v>19</v>
      </c>
      <c r="D422" t="s">
        <v>29</v>
      </c>
      <c r="E422" t="b">
        <v>1</v>
      </c>
      <c r="F422">
        <v>100</v>
      </c>
      <c r="G422">
        <v>1</v>
      </c>
      <c r="H422">
        <v>21705</v>
      </c>
      <c r="I422" t="s">
        <v>18</v>
      </c>
    </row>
    <row r="423" spans="1:9" x14ac:dyDescent="0.3">
      <c r="A423" t="s">
        <v>9</v>
      </c>
      <c r="B423" t="s">
        <v>74</v>
      </c>
      <c r="C423" t="s">
        <v>20</v>
      </c>
      <c r="D423" t="s">
        <v>29</v>
      </c>
      <c r="E423" t="b">
        <v>1</v>
      </c>
      <c r="F423">
        <v>99.9</v>
      </c>
      <c r="G423">
        <v>0</v>
      </c>
      <c r="H423">
        <v>22101</v>
      </c>
      <c r="I423" t="s">
        <v>18</v>
      </c>
    </row>
    <row r="424" spans="1:9" x14ac:dyDescent="0.3">
      <c r="A424" t="s">
        <v>9</v>
      </c>
      <c r="B424" t="s">
        <v>74</v>
      </c>
      <c r="C424" t="s">
        <v>21</v>
      </c>
      <c r="D424" t="s">
        <v>29</v>
      </c>
      <c r="E424" t="b">
        <v>1</v>
      </c>
      <c r="F424">
        <v>45.7</v>
      </c>
      <c r="G424">
        <v>0</v>
      </c>
      <c r="H424">
        <v>20690</v>
      </c>
      <c r="I424" t="s">
        <v>13</v>
      </c>
    </row>
    <row r="425" spans="1:9" x14ac:dyDescent="0.3">
      <c r="A425" t="s">
        <v>9</v>
      </c>
      <c r="B425" t="s">
        <v>74</v>
      </c>
      <c r="C425" t="s">
        <v>22</v>
      </c>
      <c r="D425" t="s">
        <v>29</v>
      </c>
      <c r="E425" t="b">
        <v>1</v>
      </c>
      <c r="F425">
        <v>41.9</v>
      </c>
      <c r="G425">
        <v>0</v>
      </c>
      <c r="H425">
        <v>28790</v>
      </c>
      <c r="I425" t="s">
        <v>13</v>
      </c>
    </row>
    <row r="426" spans="1:9" x14ac:dyDescent="0.3">
      <c r="A426" t="s">
        <v>9</v>
      </c>
      <c r="B426" t="s">
        <v>74</v>
      </c>
      <c r="C426" t="s">
        <v>23</v>
      </c>
      <c r="D426" t="s">
        <v>29</v>
      </c>
      <c r="E426" t="b">
        <v>1</v>
      </c>
      <c r="F426">
        <v>54.1</v>
      </c>
      <c r="G426">
        <v>0</v>
      </c>
      <c r="H426">
        <v>22388</v>
      </c>
      <c r="I426" t="s">
        <v>13</v>
      </c>
    </row>
    <row r="427" spans="1:9" x14ac:dyDescent="0.3">
      <c r="A427" t="s">
        <v>9</v>
      </c>
      <c r="B427" t="s">
        <v>74</v>
      </c>
      <c r="C427" t="s">
        <v>24</v>
      </c>
      <c r="D427" t="s">
        <v>29</v>
      </c>
      <c r="E427" t="b">
        <v>1</v>
      </c>
      <c r="F427">
        <v>87.3</v>
      </c>
      <c r="G427">
        <v>0</v>
      </c>
      <c r="H427">
        <v>14838</v>
      </c>
      <c r="I427" t="s">
        <v>13</v>
      </c>
    </row>
    <row r="428" spans="1:9" x14ac:dyDescent="0.3">
      <c r="A428" t="s">
        <v>45</v>
      </c>
      <c r="B428" t="s">
        <v>75</v>
      </c>
      <c r="C428" t="s">
        <v>11</v>
      </c>
      <c r="D428" t="s">
        <v>12</v>
      </c>
      <c r="E428" t="b">
        <v>1</v>
      </c>
      <c r="F428">
        <v>99.9</v>
      </c>
      <c r="G428">
        <v>0</v>
      </c>
      <c r="H428">
        <v>22156</v>
      </c>
      <c r="I428" t="s">
        <v>18</v>
      </c>
    </row>
    <row r="429" spans="1:9" x14ac:dyDescent="0.3">
      <c r="A429" t="s">
        <v>45</v>
      </c>
      <c r="B429" t="s">
        <v>75</v>
      </c>
      <c r="C429" t="s">
        <v>14</v>
      </c>
      <c r="D429" t="s">
        <v>12</v>
      </c>
      <c r="E429" t="b">
        <v>1</v>
      </c>
      <c r="F429">
        <v>100</v>
      </c>
      <c r="G429">
        <v>1</v>
      </c>
      <c r="H429">
        <v>21851</v>
      </c>
      <c r="I429" t="s">
        <v>13</v>
      </c>
    </row>
    <row r="430" spans="1:9" x14ac:dyDescent="0.3">
      <c r="A430" t="s">
        <v>45</v>
      </c>
      <c r="B430" t="s">
        <v>75</v>
      </c>
      <c r="C430" t="s">
        <v>15</v>
      </c>
      <c r="D430" t="s">
        <v>12</v>
      </c>
      <c r="E430" t="b">
        <v>1</v>
      </c>
      <c r="F430">
        <v>89.9</v>
      </c>
      <c r="G430">
        <v>0</v>
      </c>
      <c r="H430">
        <v>19855</v>
      </c>
      <c r="I430" t="s">
        <v>13</v>
      </c>
    </row>
    <row r="431" spans="1:9" x14ac:dyDescent="0.3">
      <c r="A431" t="s">
        <v>45</v>
      </c>
      <c r="B431" t="s">
        <v>75</v>
      </c>
      <c r="C431" t="s">
        <v>16</v>
      </c>
      <c r="D431" t="s">
        <v>12</v>
      </c>
      <c r="E431" t="b">
        <v>1</v>
      </c>
      <c r="F431">
        <v>100</v>
      </c>
      <c r="G431">
        <v>1</v>
      </c>
      <c r="H431">
        <v>17386</v>
      </c>
      <c r="I431" t="s">
        <v>18</v>
      </c>
    </row>
    <row r="432" spans="1:9" x14ac:dyDescent="0.3">
      <c r="A432" t="s">
        <v>45</v>
      </c>
      <c r="B432" t="s">
        <v>75</v>
      </c>
      <c r="C432" t="s">
        <v>17</v>
      </c>
      <c r="D432" t="s">
        <v>12</v>
      </c>
      <c r="E432" t="b">
        <v>1</v>
      </c>
      <c r="F432">
        <v>100</v>
      </c>
      <c r="G432">
        <v>1</v>
      </c>
      <c r="H432">
        <v>14657</v>
      </c>
      <c r="I432" t="s">
        <v>18</v>
      </c>
    </row>
    <row r="433" spans="1:9" x14ac:dyDescent="0.3">
      <c r="A433" t="s">
        <v>45</v>
      </c>
      <c r="B433" t="s">
        <v>75</v>
      </c>
      <c r="C433" t="s">
        <v>19</v>
      </c>
      <c r="D433" t="s">
        <v>12</v>
      </c>
      <c r="E433" t="b">
        <v>1</v>
      </c>
      <c r="F433">
        <v>100</v>
      </c>
      <c r="G433">
        <v>1</v>
      </c>
      <c r="H433">
        <v>14900</v>
      </c>
      <c r="I433" t="s">
        <v>18</v>
      </c>
    </row>
    <row r="434" spans="1:9" x14ac:dyDescent="0.3">
      <c r="A434" t="s">
        <v>45</v>
      </c>
      <c r="B434" t="s">
        <v>75</v>
      </c>
      <c r="C434" t="s">
        <v>20</v>
      </c>
      <c r="D434" t="s">
        <v>12</v>
      </c>
      <c r="E434" t="b">
        <v>1</v>
      </c>
      <c r="F434">
        <v>100</v>
      </c>
      <c r="G434">
        <v>1</v>
      </c>
      <c r="H434">
        <v>14795</v>
      </c>
      <c r="I434" t="s">
        <v>18</v>
      </c>
    </row>
    <row r="435" spans="1:9" x14ac:dyDescent="0.3">
      <c r="A435" t="s">
        <v>45</v>
      </c>
      <c r="B435" t="s">
        <v>75</v>
      </c>
      <c r="C435" t="s">
        <v>21</v>
      </c>
      <c r="D435" t="s">
        <v>29</v>
      </c>
      <c r="E435" t="b">
        <v>1</v>
      </c>
      <c r="F435">
        <v>100</v>
      </c>
      <c r="G435">
        <v>1</v>
      </c>
      <c r="H435">
        <v>12316</v>
      </c>
      <c r="I435" t="s">
        <v>18</v>
      </c>
    </row>
    <row r="436" spans="1:9" x14ac:dyDescent="0.3">
      <c r="A436" t="s">
        <v>45</v>
      </c>
      <c r="B436" t="s">
        <v>75</v>
      </c>
      <c r="C436" t="s">
        <v>22</v>
      </c>
      <c r="D436" t="s">
        <v>29</v>
      </c>
      <c r="E436" t="b">
        <v>1</v>
      </c>
      <c r="F436">
        <v>100</v>
      </c>
      <c r="G436">
        <v>1</v>
      </c>
      <c r="H436">
        <v>12716</v>
      </c>
      <c r="I436" t="s">
        <v>18</v>
      </c>
    </row>
    <row r="437" spans="1:9" x14ac:dyDescent="0.3">
      <c r="A437" t="s">
        <v>45</v>
      </c>
      <c r="B437" t="s">
        <v>75</v>
      </c>
      <c r="C437" t="s">
        <v>23</v>
      </c>
      <c r="D437" t="s">
        <v>29</v>
      </c>
      <c r="E437" t="b">
        <v>1</v>
      </c>
      <c r="F437">
        <v>86</v>
      </c>
      <c r="G437">
        <v>0</v>
      </c>
      <c r="H437">
        <v>14923</v>
      </c>
      <c r="I437" t="s">
        <v>13</v>
      </c>
    </row>
    <row r="438" spans="1:9" x14ac:dyDescent="0.3">
      <c r="A438" t="s">
        <v>45</v>
      </c>
      <c r="B438" t="s">
        <v>75</v>
      </c>
      <c r="C438" t="s">
        <v>24</v>
      </c>
      <c r="D438" t="s">
        <v>29</v>
      </c>
      <c r="E438" t="b">
        <v>1</v>
      </c>
      <c r="F438">
        <v>100</v>
      </c>
      <c r="G438">
        <v>1</v>
      </c>
      <c r="H438">
        <v>11338</v>
      </c>
      <c r="I438" t="s">
        <v>18</v>
      </c>
    </row>
    <row r="439" spans="1:9" x14ac:dyDescent="0.3">
      <c r="A439" t="s">
        <v>45</v>
      </c>
      <c r="B439" t="s">
        <v>75</v>
      </c>
      <c r="C439" t="s">
        <v>25</v>
      </c>
      <c r="D439" t="s">
        <v>29</v>
      </c>
      <c r="E439" t="b">
        <v>1</v>
      </c>
      <c r="F439">
        <v>71.099999999999994</v>
      </c>
      <c r="G439">
        <v>0</v>
      </c>
      <c r="H439">
        <v>14241</v>
      </c>
      <c r="I439" t="s">
        <v>13</v>
      </c>
    </row>
    <row r="440" spans="1:9" x14ac:dyDescent="0.3">
      <c r="A440" t="s">
        <v>45</v>
      </c>
      <c r="B440" t="s">
        <v>75</v>
      </c>
      <c r="C440" t="s">
        <v>26</v>
      </c>
      <c r="D440" t="s">
        <v>29</v>
      </c>
      <c r="E440" t="b">
        <v>1</v>
      </c>
      <c r="F440">
        <v>98.4</v>
      </c>
      <c r="G440">
        <v>0</v>
      </c>
      <c r="H440">
        <v>13310</v>
      </c>
      <c r="I440" t="s">
        <v>13</v>
      </c>
    </row>
    <row r="441" spans="1:9" x14ac:dyDescent="0.3">
      <c r="A441" t="s">
        <v>45</v>
      </c>
      <c r="B441" t="s">
        <v>75</v>
      </c>
      <c r="C441" t="s">
        <v>27</v>
      </c>
      <c r="D441" t="s">
        <v>29</v>
      </c>
      <c r="E441" t="b">
        <v>1</v>
      </c>
      <c r="F441">
        <v>100</v>
      </c>
      <c r="G441">
        <v>1</v>
      </c>
      <c r="H441">
        <v>11037</v>
      </c>
      <c r="I441" t="s">
        <v>18</v>
      </c>
    </row>
    <row r="442" spans="1:9" x14ac:dyDescent="0.3">
      <c r="A442" t="s">
        <v>45</v>
      </c>
      <c r="B442" t="s">
        <v>75</v>
      </c>
      <c r="C442" t="s">
        <v>28</v>
      </c>
      <c r="D442" t="s">
        <v>29</v>
      </c>
      <c r="E442" t="b">
        <v>1</v>
      </c>
      <c r="F442">
        <v>100</v>
      </c>
      <c r="G442">
        <v>1</v>
      </c>
      <c r="H442">
        <v>11252</v>
      </c>
      <c r="I442" t="s">
        <v>18</v>
      </c>
    </row>
    <row r="443" spans="1:9" x14ac:dyDescent="0.3">
      <c r="A443" t="s">
        <v>45</v>
      </c>
      <c r="B443" t="s">
        <v>75</v>
      </c>
      <c r="C443" t="s">
        <v>30</v>
      </c>
      <c r="D443" t="s">
        <v>29</v>
      </c>
      <c r="E443" t="b">
        <v>1</v>
      </c>
      <c r="F443">
        <v>100</v>
      </c>
      <c r="G443">
        <v>1</v>
      </c>
      <c r="H443">
        <v>11072</v>
      </c>
      <c r="I443" t="s">
        <v>18</v>
      </c>
    </row>
    <row r="444" spans="1:9" x14ac:dyDescent="0.3">
      <c r="A444" t="s">
        <v>9</v>
      </c>
      <c r="B444" t="s">
        <v>76</v>
      </c>
      <c r="C444" t="s">
        <v>11</v>
      </c>
      <c r="D444" t="s">
        <v>12</v>
      </c>
      <c r="E444" t="b">
        <v>1</v>
      </c>
      <c r="F444">
        <v>68.599999999999994</v>
      </c>
      <c r="G444">
        <v>0</v>
      </c>
      <c r="H444">
        <v>11742</v>
      </c>
      <c r="I444" t="s">
        <v>13</v>
      </c>
    </row>
    <row r="445" spans="1:9" x14ac:dyDescent="0.3">
      <c r="A445" t="s">
        <v>9</v>
      </c>
      <c r="B445" t="s">
        <v>76</v>
      </c>
      <c r="C445" t="s">
        <v>14</v>
      </c>
      <c r="D445" t="s">
        <v>12</v>
      </c>
      <c r="E445" t="b">
        <v>1</v>
      </c>
      <c r="F445">
        <v>81.8</v>
      </c>
      <c r="G445">
        <v>0</v>
      </c>
      <c r="H445">
        <v>13582</v>
      </c>
      <c r="I445" t="s">
        <v>13</v>
      </c>
    </row>
    <row r="446" spans="1:9" x14ac:dyDescent="0.3">
      <c r="A446" t="s">
        <v>9</v>
      </c>
      <c r="B446" t="s">
        <v>76</v>
      </c>
      <c r="C446" t="s">
        <v>15</v>
      </c>
      <c r="D446" t="s">
        <v>12</v>
      </c>
      <c r="E446" t="b">
        <v>1</v>
      </c>
      <c r="F446">
        <v>100</v>
      </c>
      <c r="G446">
        <v>1</v>
      </c>
      <c r="H446">
        <v>13485</v>
      </c>
      <c r="I446" t="s">
        <v>18</v>
      </c>
    </row>
    <row r="447" spans="1:9" x14ac:dyDescent="0.3">
      <c r="A447" t="s">
        <v>9</v>
      </c>
      <c r="B447" t="s">
        <v>76</v>
      </c>
      <c r="C447" t="s">
        <v>16</v>
      </c>
      <c r="D447" t="s">
        <v>12</v>
      </c>
      <c r="E447" t="b">
        <v>1</v>
      </c>
      <c r="F447">
        <v>100</v>
      </c>
      <c r="G447">
        <v>1</v>
      </c>
      <c r="H447">
        <v>12651</v>
      </c>
      <c r="I447" t="s">
        <v>18</v>
      </c>
    </row>
    <row r="448" spans="1:9" x14ac:dyDescent="0.3">
      <c r="A448" t="s">
        <v>9</v>
      </c>
      <c r="B448" t="s">
        <v>76</v>
      </c>
      <c r="C448" t="s">
        <v>17</v>
      </c>
      <c r="D448" t="s">
        <v>12</v>
      </c>
      <c r="E448" t="b">
        <v>1</v>
      </c>
      <c r="F448">
        <v>100</v>
      </c>
      <c r="G448">
        <v>1</v>
      </c>
      <c r="H448">
        <v>18290</v>
      </c>
      <c r="I448" t="s">
        <v>18</v>
      </c>
    </row>
    <row r="449" spans="1:9" x14ac:dyDescent="0.3">
      <c r="A449" t="s">
        <v>9</v>
      </c>
      <c r="B449" t="s">
        <v>76</v>
      </c>
      <c r="C449" t="s">
        <v>19</v>
      </c>
      <c r="D449" t="s">
        <v>12</v>
      </c>
      <c r="E449" t="b">
        <v>1</v>
      </c>
      <c r="F449">
        <v>100</v>
      </c>
      <c r="G449">
        <v>1</v>
      </c>
      <c r="H449">
        <v>22643</v>
      </c>
      <c r="I449" t="s">
        <v>18</v>
      </c>
    </row>
    <row r="450" spans="1:9" x14ac:dyDescent="0.3">
      <c r="A450" t="s">
        <v>9</v>
      </c>
      <c r="B450" t="s">
        <v>76</v>
      </c>
      <c r="C450" t="s">
        <v>20</v>
      </c>
      <c r="D450" t="s">
        <v>12</v>
      </c>
      <c r="E450" t="b">
        <v>1</v>
      </c>
      <c r="F450">
        <v>100</v>
      </c>
      <c r="G450">
        <v>1</v>
      </c>
      <c r="H450">
        <v>10515</v>
      </c>
      <c r="I450" t="s">
        <v>18</v>
      </c>
    </row>
    <row r="451" spans="1:9" x14ac:dyDescent="0.3">
      <c r="A451" t="s">
        <v>9</v>
      </c>
      <c r="B451" t="s">
        <v>76</v>
      </c>
      <c r="C451" t="s">
        <v>21</v>
      </c>
      <c r="D451" t="s">
        <v>29</v>
      </c>
      <c r="E451" t="b">
        <v>1</v>
      </c>
      <c r="F451">
        <v>99.9</v>
      </c>
      <c r="G451">
        <v>0</v>
      </c>
      <c r="H451">
        <v>10869</v>
      </c>
      <c r="I451" t="s">
        <v>18</v>
      </c>
    </row>
    <row r="452" spans="1:9" x14ac:dyDescent="0.3">
      <c r="A452" t="s">
        <v>9</v>
      </c>
      <c r="B452" t="s">
        <v>76</v>
      </c>
      <c r="C452" t="s">
        <v>22</v>
      </c>
      <c r="D452" t="s">
        <v>29</v>
      </c>
      <c r="E452" t="b">
        <v>1</v>
      </c>
      <c r="F452">
        <v>100</v>
      </c>
      <c r="G452">
        <v>1</v>
      </c>
      <c r="H452">
        <v>9669</v>
      </c>
      <c r="I452" t="s">
        <v>18</v>
      </c>
    </row>
    <row r="453" spans="1:9" x14ac:dyDescent="0.3">
      <c r="A453" t="s">
        <v>9</v>
      </c>
      <c r="B453" t="s">
        <v>76</v>
      </c>
      <c r="C453" t="s">
        <v>23</v>
      </c>
      <c r="D453" t="s">
        <v>29</v>
      </c>
      <c r="E453" t="b">
        <v>1</v>
      </c>
      <c r="F453">
        <v>100</v>
      </c>
      <c r="G453">
        <v>1</v>
      </c>
      <c r="H453">
        <v>15511</v>
      </c>
      <c r="I453" t="s">
        <v>18</v>
      </c>
    </row>
    <row r="454" spans="1:9" x14ac:dyDescent="0.3">
      <c r="A454" t="s">
        <v>9</v>
      </c>
      <c r="B454" t="s">
        <v>76</v>
      </c>
      <c r="C454" t="s">
        <v>24</v>
      </c>
      <c r="D454" t="s">
        <v>29</v>
      </c>
      <c r="E454" t="b">
        <v>1</v>
      </c>
      <c r="F454">
        <v>100</v>
      </c>
      <c r="G454">
        <v>1</v>
      </c>
      <c r="H454">
        <v>14479</v>
      </c>
      <c r="I454" t="s">
        <v>13</v>
      </c>
    </row>
    <row r="455" spans="1:9" x14ac:dyDescent="0.3">
      <c r="A455" t="s">
        <v>9</v>
      </c>
      <c r="B455" t="s">
        <v>76</v>
      </c>
      <c r="C455" t="s">
        <v>25</v>
      </c>
      <c r="D455" t="s">
        <v>29</v>
      </c>
      <c r="E455" t="b">
        <v>1</v>
      </c>
      <c r="F455">
        <v>100</v>
      </c>
      <c r="G455">
        <v>1</v>
      </c>
      <c r="H455">
        <v>13391</v>
      </c>
      <c r="I455" t="s">
        <v>18</v>
      </c>
    </row>
    <row r="456" spans="1:9" x14ac:dyDescent="0.3">
      <c r="A456" t="s">
        <v>9</v>
      </c>
      <c r="B456" t="s">
        <v>76</v>
      </c>
      <c r="C456" t="s">
        <v>26</v>
      </c>
      <c r="D456" t="s">
        <v>29</v>
      </c>
      <c r="E456" t="b">
        <v>1</v>
      </c>
      <c r="F456">
        <v>100</v>
      </c>
      <c r="G456">
        <v>1</v>
      </c>
      <c r="H456">
        <v>16337</v>
      </c>
      <c r="I456" t="s">
        <v>13</v>
      </c>
    </row>
    <row r="457" spans="1:9" x14ac:dyDescent="0.3">
      <c r="A457" t="s">
        <v>9</v>
      </c>
      <c r="B457" t="s">
        <v>76</v>
      </c>
      <c r="C457" t="s">
        <v>27</v>
      </c>
      <c r="D457" t="s">
        <v>29</v>
      </c>
      <c r="E457" t="b">
        <v>1</v>
      </c>
      <c r="F457">
        <v>35.4</v>
      </c>
      <c r="G457">
        <v>0</v>
      </c>
      <c r="H457">
        <v>21200</v>
      </c>
      <c r="I457" t="s">
        <v>13</v>
      </c>
    </row>
    <row r="458" spans="1:9" x14ac:dyDescent="0.3">
      <c r="A458" t="s">
        <v>9</v>
      </c>
      <c r="B458" t="s">
        <v>76</v>
      </c>
      <c r="C458" t="s">
        <v>28</v>
      </c>
      <c r="D458" t="s">
        <v>29</v>
      </c>
      <c r="E458" t="b">
        <v>1</v>
      </c>
      <c r="F458">
        <v>63.1</v>
      </c>
      <c r="G458">
        <v>0</v>
      </c>
      <c r="H458">
        <v>14293</v>
      </c>
      <c r="I458" t="s">
        <v>13</v>
      </c>
    </row>
    <row r="459" spans="1:9" x14ac:dyDescent="0.3">
      <c r="A459" t="s">
        <v>9</v>
      </c>
      <c r="B459" t="s">
        <v>76</v>
      </c>
      <c r="C459" t="s">
        <v>30</v>
      </c>
      <c r="D459" t="s">
        <v>29</v>
      </c>
      <c r="E459" t="b">
        <v>1</v>
      </c>
      <c r="F459">
        <v>100</v>
      </c>
      <c r="G459">
        <v>1</v>
      </c>
      <c r="H459">
        <v>12226</v>
      </c>
      <c r="I459" t="s">
        <v>13</v>
      </c>
    </row>
    <row r="460" spans="1:9" x14ac:dyDescent="0.3">
      <c r="A460" t="s">
        <v>9</v>
      </c>
      <c r="B460" t="s">
        <v>76</v>
      </c>
      <c r="C460" t="s">
        <v>31</v>
      </c>
      <c r="D460" t="s">
        <v>29</v>
      </c>
      <c r="E460" t="b">
        <v>1</v>
      </c>
      <c r="F460">
        <v>94.4</v>
      </c>
      <c r="G460">
        <v>0</v>
      </c>
      <c r="H460">
        <v>17795</v>
      </c>
      <c r="I460" t="s">
        <v>13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8092-FE3E-4C97-BAA2-A9328154F5C5}">
  <sheetPr>
    <tabColor rgb="FFC00000"/>
  </sheetPr>
  <dimension ref="A1:P35"/>
  <sheetViews>
    <sheetView workbookViewId="0">
      <selection activeCell="L40" sqref="L40"/>
    </sheetView>
  </sheetViews>
  <sheetFormatPr defaultRowHeight="14.4" x14ac:dyDescent="0.3"/>
  <cols>
    <col min="3" max="3" width="15.33203125" bestFit="1" customWidth="1"/>
    <col min="4" max="4" width="15.44140625" bestFit="1" customWidth="1"/>
    <col min="5" max="5" width="17.5546875" bestFit="1" customWidth="1"/>
  </cols>
  <sheetData>
    <row r="1" spans="1:16" x14ac:dyDescent="0.3">
      <c r="C1" t="s">
        <v>176</v>
      </c>
      <c r="D1" t="s">
        <v>177</v>
      </c>
      <c r="E1" t="s">
        <v>178</v>
      </c>
    </row>
    <row r="2" spans="1:16" ht="15.6" x14ac:dyDescent="0.35">
      <c r="A2" s="1" t="s">
        <v>0</v>
      </c>
      <c r="B2" s="1" t="s">
        <v>1</v>
      </c>
      <c r="C2" s="5" t="s">
        <v>179</v>
      </c>
      <c r="D2" s="5" t="s">
        <v>180</v>
      </c>
      <c r="E2" s="5" t="s">
        <v>181</v>
      </c>
      <c r="I2" s="7" t="s">
        <v>179</v>
      </c>
      <c r="J2" s="7" t="s">
        <v>180</v>
      </c>
      <c r="K2" s="7" t="s">
        <v>181</v>
      </c>
      <c r="N2" s="7" t="s">
        <v>179</v>
      </c>
      <c r="O2" s="7" t="s">
        <v>180</v>
      </c>
      <c r="P2" s="7" t="s">
        <v>181</v>
      </c>
    </row>
    <row r="3" spans="1:16" x14ac:dyDescent="0.3">
      <c r="A3" t="s">
        <v>9</v>
      </c>
      <c r="B3" t="s">
        <v>10</v>
      </c>
      <c r="C3" s="6">
        <f>COUNTIFS(summary!$B$2:$B$460,'Fluency-MT1'!$B3,summary!$D$2:$D$460,RIGHT('Fluency-MT1'!$C$1,3))</f>
        <v>14</v>
      </c>
      <c r="D3" s="6">
        <f>COUNTIFS(summary!$B$2:$B$460,'Fluency-MT1'!$B3,summary!$D$2:$D$460,RIGHT('Fluency-MT1'!$D$1,3))</f>
        <v>14</v>
      </c>
      <c r="E3" s="6">
        <f>SUM(C3:D3)</f>
        <v>28</v>
      </c>
      <c r="H3" t="s">
        <v>182</v>
      </c>
      <c r="I3">
        <f>MIN(C$3:C$32)</f>
        <v>2</v>
      </c>
      <c r="J3">
        <f t="shared" ref="J3:K3" si="0">MIN(D$3:D$32)</f>
        <v>1</v>
      </c>
      <c r="K3">
        <f t="shared" si="0"/>
        <v>4</v>
      </c>
      <c r="M3" t="s">
        <v>187</v>
      </c>
      <c r="N3">
        <f t="shared" ref="N3:P6" si="1">I4-I3</f>
        <v>2</v>
      </c>
      <c r="O3">
        <f t="shared" si="1"/>
        <v>5</v>
      </c>
      <c r="P3">
        <f t="shared" si="1"/>
        <v>6.25</v>
      </c>
    </row>
    <row r="4" spans="1:16" x14ac:dyDescent="0.3">
      <c r="A4" t="s">
        <v>9</v>
      </c>
      <c r="B4" t="s">
        <v>47</v>
      </c>
      <c r="C4" s="6">
        <f>COUNTIFS(summary!$B$2:$B$460,'Fluency-MT1'!$B4,summary!$D$2:$D$460,RIGHT('Fluency-MT1'!$C$1,3))</f>
        <v>5</v>
      </c>
      <c r="D4" s="6">
        <f>COUNTIFS(summary!$B$2:$B$460,'Fluency-MT1'!$B4,summary!$D$2:$D$460,RIGHT('Fluency-MT1'!$D$1,3))</f>
        <v>10</v>
      </c>
      <c r="E4" s="6">
        <f t="shared" ref="E4:E32" si="2">SUM(C4:D4)</f>
        <v>15</v>
      </c>
      <c r="H4" t="s">
        <v>183</v>
      </c>
      <c r="I4">
        <f>_xlfn.QUARTILE.INC(C$3:C$32,1)</f>
        <v>4</v>
      </c>
      <c r="J4">
        <f t="shared" ref="J4:K4" si="3">_xlfn.QUARTILE.INC(D$3:D$32,1)</f>
        <v>6</v>
      </c>
      <c r="K4">
        <f t="shared" si="3"/>
        <v>10.25</v>
      </c>
      <c r="M4" t="s">
        <v>188</v>
      </c>
      <c r="N4">
        <f t="shared" si="1"/>
        <v>2.5</v>
      </c>
      <c r="O4">
        <f t="shared" si="1"/>
        <v>3</v>
      </c>
      <c r="P4">
        <f t="shared" si="1"/>
        <v>4.75</v>
      </c>
    </row>
    <row r="5" spans="1:16" x14ac:dyDescent="0.3">
      <c r="A5" t="s">
        <v>9</v>
      </c>
      <c r="B5" t="s">
        <v>52</v>
      </c>
      <c r="C5" s="6">
        <f>COUNTIFS(summary!$B$2:$B$460,'Fluency-MT1'!$B5,summary!$D$2:$D$460,RIGHT('Fluency-MT1'!$C$1,3))</f>
        <v>4</v>
      </c>
      <c r="D5" s="6">
        <f>COUNTIFS(summary!$B$2:$B$460,'Fluency-MT1'!$B5,summary!$D$2:$D$460,RIGHT('Fluency-MT1'!$D$1,3))</f>
        <v>6</v>
      </c>
      <c r="E5" s="6">
        <f t="shared" si="2"/>
        <v>10</v>
      </c>
      <c r="H5" t="s">
        <v>184</v>
      </c>
      <c r="I5">
        <f>_xlfn.QUARTILE.INC(C$3:C$32,2)</f>
        <v>6.5</v>
      </c>
      <c r="J5">
        <f t="shared" ref="J5:K5" si="4">_xlfn.QUARTILE.INC(D$3:D$32,2)</f>
        <v>9</v>
      </c>
      <c r="K5">
        <f t="shared" si="4"/>
        <v>15</v>
      </c>
      <c r="M5" t="s">
        <v>189</v>
      </c>
      <c r="N5">
        <f t="shared" si="1"/>
        <v>2</v>
      </c>
      <c r="O5">
        <f t="shared" si="1"/>
        <v>2</v>
      </c>
      <c r="P5">
        <f t="shared" si="1"/>
        <v>4</v>
      </c>
    </row>
    <row r="6" spans="1:16" x14ac:dyDescent="0.3">
      <c r="A6" t="s">
        <v>9</v>
      </c>
      <c r="B6" t="s">
        <v>55</v>
      </c>
      <c r="C6" s="6">
        <f>COUNTIFS(summary!$B$2:$B$460,'Fluency-MT1'!$B6,summary!$D$2:$D$460,RIGHT('Fluency-MT1'!$C$1,3))</f>
        <v>3</v>
      </c>
      <c r="D6" s="6">
        <f>COUNTIFS(summary!$B$2:$B$460,'Fluency-MT1'!$B6,summary!$D$2:$D$460,RIGHT('Fluency-MT1'!$D$1,3))</f>
        <v>3</v>
      </c>
      <c r="E6" s="6">
        <f t="shared" si="2"/>
        <v>6</v>
      </c>
      <c r="H6" t="s">
        <v>185</v>
      </c>
      <c r="I6">
        <f>_xlfn.QUARTILE.INC(C$3:C$32,3)</f>
        <v>8.5</v>
      </c>
      <c r="J6">
        <f t="shared" ref="J6:K6" si="5">_xlfn.QUARTILE.INC(D$3:D$32,3)</f>
        <v>11</v>
      </c>
      <c r="K6">
        <f t="shared" si="5"/>
        <v>19</v>
      </c>
      <c r="M6" t="s">
        <v>190</v>
      </c>
      <c r="N6">
        <f t="shared" si="1"/>
        <v>8.5</v>
      </c>
      <c r="O6">
        <f t="shared" si="1"/>
        <v>3</v>
      </c>
      <c r="P6">
        <f t="shared" si="1"/>
        <v>12</v>
      </c>
    </row>
    <row r="7" spans="1:16" x14ac:dyDescent="0.3">
      <c r="A7" t="s">
        <v>9</v>
      </c>
      <c r="B7" t="s">
        <v>56</v>
      </c>
      <c r="C7" s="6">
        <f>COUNTIFS(summary!$B$2:$B$460,'Fluency-MT1'!$B7,summary!$D$2:$D$460,RIGHT('Fluency-MT1'!$C$1,3))</f>
        <v>4</v>
      </c>
      <c r="D7" s="6">
        <f>COUNTIFS(summary!$B$2:$B$460,'Fluency-MT1'!$B7,summary!$D$2:$D$460,RIGHT('Fluency-MT1'!$D$1,3))</f>
        <v>8</v>
      </c>
      <c r="E7" s="6">
        <f t="shared" si="2"/>
        <v>12</v>
      </c>
      <c r="H7" t="s">
        <v>186</v>
      </c>
      <c r="I7">
        <f>MAX(C$3:C$32)</f>
        <v>17</v>
      </c>
      <c r="J7">
        <f t="shared" ref="J7:K7" si="6">MAX(D$3:D$32)</f>
        <v>14</v>
      </c>
      <c r="K7">
        <f t="shared" si="6"/>
        <v>31</v>
      </c>
    </row>
    <row r="8" spans="1:16" x14ac:dyDescent="0.3">
      <c r="A8" t="s">
        <v>9</v>
      </c>
      <c r="B8" t="s">
        <v>60</v>
      </c>
      <c r="C8" s="6">
        <f>COUNTIFS(summary!$B$2:$B$460,'Fluency-MT1'!$B8,summary!$D$2:$D$460,RIGHT('Fluency-MT1'!$C$1,3))</f>
        <v>4</v>
      </c>
      <c r="D8" s="6">
        <f>COUNTIFS(summary!$B$2:$B$460,'Fluency-MT1'!$B8,summary!$D$2:$D$460,RIGHT('Fluency-MT1'!$D$1,3))</f>
        <v>5</v>
      </c>
      <c r="E8" s="6">
        <f t="shared" si="2"/>
        <v>9</v>
      </c>
    </row>
    <row r="9" spans="1:16" x14ac:dyDescent="0.3">
      <c r="A9" t="s">
        <v>9</v>
      </c>
      <c r="B9" t="s">
        <v>67</v>
      </c>
      <c r="C9" s="6">
        <f>COUNTIFS(summary!$B$2:$B$460,'Fluency-MT1'!$B9,summary!$D$2:$D$460,RIGHT('Fluency-MT1'!$C$1,3))</f>
        <v>6</v>
      </c>
      <c r="D9" s="6">
        <f>COUNTIFS(summary!$B$2:$B$460,'Fluency-MT1'!$B9,summary!$D$2:$D$460,RIGHT('Fluency-MT1'!$D$1,3))</f>
        <v>11</v>
      </c>
      <c r="E9" s="6">
        <f t="shared" si="2"/>
        <v>17</v>
      </c>
    </row>
    <row r="10" spans="1:16" x14ac:dyDescent="0.3">
      <c r="A10" t="s">
        <v>9</v>
      </c>
      <c r="B10" t="s">
        <v>70</v>
      </c>
      <c r="C10" s="6">
        <f>COUNTIFS(summary!$B$2:$B$460,'Fluency-MT1'!$B10,summary!$D$2:$D$460,RIGHT('Fluency-MT1'!$C$1,3))</f>
        <v>2</v>
      </c>
      <c r="D10" s="6">
        <f>COUNTIFS(summary!$B$2:$B$460,'Fluency-MT1'!$B10,summary!$D$2:$D$460,RIGHT('Fluency-MT1'!$D$1,3))</f>
        <v>7</v>
      </c>
      <c r="E10" s="6">
        <f t="shared" si="2"/>
        <v>9</v>
      </c>
    </row>
    <row r="11" spans="1:16" x14ac:dyDescent="0.3">
      <c r="A11" t="s">
        <v>9</v>
      </c>
      <c r="B11" t="s">
        <v>74</v>
      </c>
      <c r="C11" s="6">
        <f>COUNTIFS(summary!$B$2:$B$460,'Fluency-MT1'!$B11,summary!$D$2:$D$460,RIGHT('Fluency-MT1'!$C$1,3))</f>
        <v>5</v>
      </c>
      <c r="D11" s="6">
        <f>COUNTIFS(summary!$B$2:$B$460,'Fluency-MT1'!$B11,summary!$D$2:$D$460,RIGHT('Fluency-MT1'!$D$1,3))</f>
        <v>6</v>
      </c>
      <c r="E11" s="6">
        <f t="shared" si="2"/>
        <v>11</v>
      </c>
    </row>
    <row r="12" spans="1:16" x14ac:dyDescent="0.3">
      <c r="A12" t="s">
        <v>9</v>
      </c>
      <c r="B12" t="s">
        <v>76</v>
      </c>
      <c r="C12" s="6">
        <f>COUNTIFS(summary!$B$2:$B$460,'Fluency-MT1'!$B12,summary!$D$2:$D$460,RIGHT('Fluency-MT1'!$C$1,3))</f>
        <v>7</v>
      </c>
      <c r="D12" s="6">
        <f>COUNTIFS(summary!$B$2:$B$460,'Fluency-MT1'!$B12,summary!$D$2:$D$460,RIGHT('Fluency-MT1'!$D$1,3))</f>
        <v>10</v>
      </c>
      <c r="E12" s="6">
        <f t="shared" si="2"/>
        <v>17</v>
      </c>
    </row>
    <row r="13" spans="1:16" x14ac:dyDescent="0.3">
      <c r="A13" t="s">
        <v>43</v>
      </c>
      <c r="B13" t="s">
        <v>44</v>
      </c>
      <c r="C13" s="6">
        <f>COUNTIFS(summary!$B$2:$B$460,'Fluency-MT1'!$B13,summary!$D$2:$D$460,RIGHT('Fluency-MT1'!$C$1,3))</f>
        <v>7</v>
      </c>
      <c r="D13" s="6">
        <f>COUNTIFS(summary!$B$2:$B$460,'Fluency-MT1'!$B13,summary!$D$2:$D$460,RIGHT('Fluency-MT1'!$D$1,3))</f>
        <v>5</v>
      </c>
      <c r="E13" s="6">
        <f t="shared" si="2"/>
        <v>12</v>
      </c>
    </row>
    <row r="14" spans="1:16" x14ac:dyDescent="0.3">
      <c r="A14" t="s">
        <v>43</v>
      </c>
      <c r="B14" t="s">
        <v>49</v>
      </c>
      <c r="C14" s="6">
        <f>COUNTIFS(summary!$B$2:$B$460,'Fluency-MT1'!$B14,summary!$D$2:$D$460,RIGHT('Fluency-MT1'!$C$1,3))</f>
        <v>7</v>
      </c>
      <c r="D14" s="6">
        <f>COUNTIFS(summary!$B$2:$B$460,'Fluency-MT1'!$B14,summary!$D$2:$D$460,RIGHT('Fluency-MT1'!$D$1,3))</f>
        <v>8</v>
      </c>
      <c r="E14" s="6">
        <f t="shared" si="2"/>
        <v>15</v>
      </c>
    </row>
    <row r="15" spans="1:16" x14ac:dyDescent="0.3">
      <c r="A15" t="s">
        <v>43</v>
      </c>
      <c r="B15" t="s">
        <v>50</v>
      </c>
      <c r="C15" s="6">
        <f>COUNTIFS(summary!$B$2:$B$460,'Fluency-MT1'!$B15,summary!$D$2:$D$460,RIGHT('Fluency-MT1'!$C$1,3))</f>
        <v>7</v>
      </c>
      <c r="D15" s="6">
        <f>COUNTIFS(summary!$B$2:$B$460,'Fluency-MT1'!$B15,summary!$D$2:$D$460,RIGHT('Fluency-MT1'!$D$1,3))</f>
        <v>8</v>
      </c>
      <c r="E15" s="6">
        <f t="shared" si="2"/>
        <v>15</v>
      </c>
    </row>
    <row r="16" spans="1:16" x14ac:dyDescent="0.3">
      <c r="A16" t="s">
        <v>43</v>
      </c>
      <c r="B16" t="s">
        <v>54</v>
      </c>
      <c r="C16" s="6">
        <f>COUNTIFS(summary!$B$2:$B$460,'Fluency-MT1'!$B16,summary!$D$2:$D$460,RIGHT('Fluency-MT1'!$C$1,3))</f>
        <v>6</v>
      </c>
      <c r="D16" s="6">
        <f>COUNTIFS(summary!$B$2:$B$460,'Fluency-MT1'!$B16,summary!$D$2:$D$460,RIGHT('Fluency-MT1'!$D$1,3))</f>
        <v>13</v>
      </c>
      <c r="E16" s="6">
        <f t="shared" si="2"/>
        <v>19</v>
      </c>
    </row>
    <row r="17" spans="1:8" x14ac:dyDescent="0.3">
      <c r="A17" t="s">
        <v>43</v>
      </c>
      <c r="B17" t="s">
        <v>58</v>
      </c>
      <c r="C17" s="6">
        <f>COUNTIFS(summary!$B$2:$B$460,'Fluency-MT1'!$B17,summary!$D$2:$D$460,RIGHT('Fluency-MT1'!$C$1,3))</f>
        <v>4</v>
      </c>
      <c r="D17" s="6">
        <f>COUNTIFS(summary!$B$2:$B$460,'Fluency-MT1'!$B17,summary!$D$2:$D$460,RIGHT('Fluency-MT1'!$D$1,3))</f>
        <v>2</v>
      </c>
      <c r="E17" s="6">
        <f t="shared" si="2"/>
        <v>6</v>
      </c>
    </row>
    <row r="18" spans="1:8" x14ac:dyDescent="0.3">
      <c r="A18" t="s">
        <v>43</v>
      </c>
      <c r="B18" t="s">
        <v>59</v>
      </c>
      <c r="C18" s="6">
        <f>COUNTIFS(summary!$B$2:$B$460,'Fluency-MT1'!$B18,summary!$D$2:$D$460,RIGHT('Fluency-MT1'!$C$1,3))</f>
        <v>12</v>
      </c>
      <c r="D18" s="6">
        <f>COUNTIFS(summary!$B$2:$B$460,'Fluency-MT1'!$B18,summary!$D$2:$D$460,RIGHT('Fluency-MT1'!$D$1,3))</f>
        <v>14</v>
      </c>
      <c r="E18" s="6">
        <f t="shared" si="2"/>
        <v>26</v>
      </c>
    </row>
    <row r="19" spans="1:8" x14ac:dyDescent="0.3">
      <c r="A19" s="8" t="s">
        <v>43</v>
      </c>
      <c r="B19" s="8" t="s">
        <v>62</v>
      </c>
      <c r="C19" s="9">
        <f>COUNTIFS(summary!$B$2:$B$460,'Fluency-MT1'!$B19,summary!$D$2:$D$460,RIGHT('Fluency-MT1'!$C$1,3))</f>
        <v>17</v>
      </c>
      <c r="D19" s="9">
        <f>COUNTIFS(summary!$B$2:$B$460,'Fluency-MT1'!$B19,summary!$D$2:$D$460,RIGHT('Fluency-MT1'!$D$1,3))</f>
        <v>14</v>
      </c>
      <c r="E19" s="9">
        <f t="shared" si="2"/>
        <v>31</v>
      </c>
    </row>
    <row r="20" spans="1:8" x14ac:dyDescent="0.3">
      <c r="A20" t="s">
        <v>43</v>
      </c>
      <c r="B20" t="s">
        <v>69</v>
      </c>
      <c r="C20" s="6">
        <f>COUNTIFS(summary!$B$2:$B$460,'Fluency-MT1'!$B20,summary!$D$2:$D$460,RIGHT('Fluency-MT1'!$C$1,3))</f>
        <v>10</v>
      </c>
      <c r="D20" s="6">
        <f>COUNTIFS(summary!$B$2:$B$460,'Fluency-MT1'!$B20,summary!$D$2:$D$460,RIGHT('Fluency-MT1'!$D$1,3))</f>
        <v>12</v>
      </c>
      <c r="E20" s="6">
        <f t="shared" si="2"/>
        <v>22</v>
      </c>
    </row>
    <row r="21" spans="1:8" x14ac:dyDescent="0.3">
      <c r="A21" t="s">
        <v>43</v>
      </c>
      <c r="B21" t="s">
        <v>71</v>
      </c>
      <c r="C21" s="6">
        <f>COUNTIFS(summary!$B$2:$B$460,'Fluency-MT1'!$B21,summary!$D$2:$D$460,RIGHT('Fluency-MT1'!$C$1,3))</f>
        <v>2</v>
      </c>
      <c r="D21" s="6">
        <f>COUNTIFS(summary!$B$2:$B$460,'Fluency-MT1'!$B21,summary!$D$2:$D$460,RIGHT('Fluency-MT1'!$D$1,3))</f>
        <v>5</v>
      </c>
      <c r="E21" s="6">
        <f t="shared" si="2"/>
        <v>7</v>
      </c>
    </row>
    <row r="22" spans="1:8" x14ac:dyDescent="0.3">
      <c r="A22" t="s">
        <v>43</v>
      </c>
      <c r="B22" t="s">
        <v>73</v>
      </c>
      <c r="C22" s="6">
        <f>COUNTIFS(summary!$B$2:$B$460,'Fluency-MT1'!$B22,summary!$D$2:$D$460,RIGHT('Fluency-MT1'!$C$1,3))</f>
        <v>10</v>
      </c>
      <c r="D22" s="6">
        <f>COUNTIFS(summary!$B$2:$B$460,'Fluency-MT1'!$B22,summary!$D$2:$D$460,RIGHT('Fluency-MT1'!$D$1,3))</f>
        <v>11</v>
      </c>
      <c r="E22" s="6">
        <f t="shared" si="2"/>
        <v>21</v>
      </c>
    </row>
    <row r="23" spans="1:8" x14ac:dyDescent="0.3">
      <c r="A23" t="s">
        <v>45</v>
      </c>
      <c r="B23" t="s">
        <v>46</v>
      </c>
      <c r="C23" s="6">
        <f>COUNTIFS(summary!$B$2:$B$460,'Fluency-MT1'!$B23,summary!$D$2:$D$460,RIGHT('Fluency-MT1'!$C$1,3))</f>
        <v>7</v>
      </c>
      <c r="D23" s="6">
        <f>COUNTIFS(summary!$B$2:$B$460,'Fluency-MT1'!$B23,summary!$D$2:$D$460,RIGHT('Fluency-MT1'!$D$1,3))</f>
        <v>9</v>
      </c>
      <c r="E23" s="6">
        <f t="shared" si="2"/>
        <v>16</v>
      </c>
    </row>
    <row r="24" spans="1:8" x14ac:dyDescent="0.3">
      <c r="A24" t="s">
        <v>45</v>
      </c>
      <c r="B24" t="s">
        <v>48</v>
      </c>
      <c r="C24" s="6">
        <f>COUNTIFS(summary!$B$2:$B$460,'Fluency-MT1'!$B24,summary!$D$2:$D$460,RIGHT('Fluency-MT1'!$C$1,3))</f>
        <v>7</v>
      </c>
      <c r="D24" s="6">
        <f>COUNTIFS(summary!$B$2:$B$460,'Fluency-MT1'!$B24,summary!$D$2:$D$460,RIGHT('Fluency-MT1'!$D$1,3))</f>
        <v>10</v>
      </c>
      <c r="E24" s="6">
        <f t="shared" si="2"/>
        <v>17</v>
      </c>
    </row>
    <row r="25" spans="1:8" x14ac:dyDescent="0.3">
      <c r="A25" t="s">
        <v>45</v>
      </c>
      <c r="B25" t="s">
        <v>51</v>
      </c>
      <c r="C25" s="6">
        <f>COUNTIFS(summary!$B$2:$B$460,'Fluency-MT1'!$B25,summary!$D$2:$D$460,RIGHT('Fluency-MT1'!$C$1,3))</f>
        <v>9</v>
      </c>
      <c r="D25" s="6">
        <f>COUNTIFS(summary!$B$2:$B$460,'Fluency-MT1'!$B25,summary!$D$2:$D$460,RIGHT('Fluency-MT1'!$D$1,3))</f>
        <v>10</v>
      </c>
      <c r="E25" s="6">
        <f t="shared" si="2"/>
        <v>19</v>
      </c>
    </row>
    <row r="26" spans="1:8" x14ac:dyDescent="0.3">
      <c r="A26" t="s">
        <v>45</v>
      </c>
      <c r="B26" t="s">
        <v>53</v>
      </c>
      <c r="C26" s="6">
        <f>COUNTIFS(summary!$B$2:$B$460,'Fluency-MT1'!$B26,summary!$D$2:$D$460,RIGHT('Fluency-MT1'!$C$1,3))</f>
        <v>4</v>
      </c>
      <c r="D26" s="6">
        <f>COUNTIFS(summary!$B$2:$B$460,'Fluency-MT1'!$B26,summary!$D$2:$D$460,RIGHT('Fluency-MT1'!$D$1,3))</f>
        <v>2</v>
      </c>
      <c r="E26" s="6">
        <f t="shared" si="2"/>
        <v>6</v>
      </c>
    </row>
    <row r="27" spans="1:8" x14ac:dyDescent="0.3">
      <c r="A27" t="s">
        <v>45</v>
      </c>
      <c r="B27" t="s">
        <v>57</v>
      </c>
      <c r="C27" s="6">
        <f>COUNTIFS(summary!$B$2:$B$460,'Fluency-MT1'!$B27,summary!$D$2:$D$460,RIGHT('Fluency-MT1'!$C$1,3))</f>
        <v>11</v>
      </c>
      <c r="D27" s="6">
        <f>COUNTIFS(summary!$B$2:$B$460,'Fluency-MT1'!$B27,summary!$D$2:$D$460,RIGHT('Fluency-MT1'!$D$1,3))</f>
        <v>11</v>
      </c>
      <c r="E27" s="6">
        <f t="shared" si="2"/>
        <v>22</v>
      </c>
    </row>
    <row r="28" spans="1:8" x14ac:dyDescent="0.3">
      <c r="A28" t="s">
        <v>45</v>
      </c>
      <c r="B28" t="s">
        <v>61</v>
      </c>
      <c r="C28" s="6">
        <f>COUNTIFS(summary!$B$2:$B$460,'Fluency-MT1'!$B28,summary!$D$2:$D$460,RIGHT('Fluency-MT1'!$C$1,3))</f>
        <v>3</v>
      </c>
      <c r="D28" s="6">
        <f>COUNTIFS(summary!$B$2:$B$460,'Fluency-MT1'!$B28,summary!$D$2:$D$460,RIGHT('Fluency-MT1'!$D$1,3))</f>
        <v>1</v>
      </c>
      <c r="E28" s="6">
        <f t="shared" si="2"/>
        <v>4</v>
      </c>
    </row>
    <row r="29" spans="1:8" x14ac:dyDescent="0.3">
      <c r="A29" t="s">
        <v>45</v>
      </c>
      <c r="B29" t="s">
        <v>66</v>
      </c>
      <c r="C29" s="6">
        <f>COUNTIFS(summary!$B$2:$B$460,'Fluency-MT1'!$B29,summary!$D$2:$D$460,RIGHT('Fluency-MT1'!$C$1,3))</f>
        <v>6</v>
      </c>
      <c r="D29" s="6">
        <f>COUNTIFS(summary!$B$2:$B$460,'Fluency-MT1'!$B29,summary!$D$2:$D$460,RIGHT('Fluency-MT1'!$D$1,3))</f>
        <v>8</v>
      </c>
      <c r="E29" s="6">
        <f t="shared" si="2"/>
        <v>14</v>
      </c>
    </row>
    <row r="30" spans="1:8" x14ac:dyDescent="0.3">
      <c r="A30" t="s">
        <v>45</v>
      </c>
      <c r="B30" t="s">
        <v>68</v>
      </c>
      <c r="C30" s="6">
        <f>COUNTIFS(summary!$B$2:$B$460,'Fluency-MT1'!$B30,summary!$D$2:$D$460,RIGHT('Fluency-MT1'!$C$1,3))</f>
        <v>5</v>
      </c>
      <c r="D30" s="6">
        <f>COUNTIFS(summary!$B$2:$B$460,'Fluency-MT1'!$B30,summary!$D$2:$D$460,RIGHT('Fluency-MT1'!$D$1,3))</f>
        <v>9</v>
      </c>
      <c r="E30" s="6">
        <f t="shared" si="2"/>
        <v>14</v>
      </c>
    </row>
    <row r="31" spans="1:8" x14ac:dyDescent="0.3">
      <c r="A31" t="s">
        <v>45</v>
      </c>
      <c r="B31" t="s">
        <v>72</v>
      </c>
      <c r="C31" s="6">
        <f>COUNTIFS(summary!$B$2:$B$460,'Fluency-MT1'!$B31,summary!$D$2:$D$460,RIGHT('Fluency-MT1'!$C$1,3))</f>
        <v>9</v>
      </c>
      <c r="D31" s="6">
        <f>COUNTIFS(summary!$B$2:$B$460,'Fluency-MT1'!$B31,summary!$D$2:$D$460,RIGHT('Fluency-MT1'!$D$1,3))</f>
        <v>14</v>
      </c>
      <c r="E31" s="6">
        <f t="shared" si="2"/>
        <v>23</v>
      </c>
      <c r="H31" t="s">
        <v>191</v>
      </c>
    </row>
    <row r="32" spans="1:8" x14ac:dyDescent="0.3">
      <c r="A32" t="s">
        <v>45</v>
      </c>
      <c r="B32" t="s">
        <v>75</v>
      </c>
      <c r="C32" s="6">
        <f>COUNTIFS(summary!$B$2:$B$460,'Fluency-MT1'!$B32,summary!$D$2:$D$460,RIGHT('Fluency-MT1'!$C$1,3))</f>
        <v>7</v>
      </c>
      <c r="D32" s="6">
        <f>COUNTIFS(summary!$B$2:$B$460,'Fluency-MT1'!$B32,summary!$D$2:$D$460,RIGHT('Fluency-MT1'!$D$1,3))</f>
        <v>9</v>
      </c>
      <c r="E32" s="6">
        <f t="shared" si="2"/>
        <v>16</v>
      </c>
      <c r="H32" t="s">
        <v>192</v>
      </c>
    </row>
    <row r="33" spans="3:8" x14ac:dyDescent="0.3">
      <c r="H33" s="10" t="s">
        <v>193</v>
      </c>
    </row>
    <row r="34" spans="3:8" x14ac:dyDescent="0.3">
      <c r="C34">
        <f>SUM(C3:C32)</f>
        <v>204</v>
      </c>
      <c r="D34">
        <f>SUM(D3:D32)</f>
        <v>255</v>
      </c>
      <c r="E34">
        <f>SUM(E3:E32)</f>
        <v>459</v>
      </c>
      <c r="H34" s="11" t="s">
        <v>194</v>
      </c>
    </row>
    <row r="35" spans="3:8" x14ac:dyDescent="0.3">
      <c r="H35" t="s">
        <v>195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3812-56B8-4D7D-9A58-B0A19275D078}">
  <sheetPr>
    <tabColor theme="5" tint="0.39997558519241921"/>
  </sheetPr>
  <dimension ref="A1:AW464"/>
  <sheetViews>
    <sheetView zoomScaleNormal="100" workbookViewId="0">
      <pane xSplit="3" ySplit="1" topLeftCell="AA2" activePane="bottomRight" state="frozen"/>
      <selection pane="topRight" activeCell="D1" sqref="D1"/>
      <selection pane="bottomLeft" activeCell="A2" sqref="A2"/>
      <selection pane="bottomRight" activeCell="AA34" sqref="AA34"/>
    </sheetView>
  </sheetViews>
  <sheetFormatPr defaultRowHeight="14.4" x14ac:dyDescent="0.3"/>
  <cols>
    <col min="1" max="1" width="4" customWidth="1"/>
    <col min="2" max="2" width="14.6640625" bestFit="1" customWidth="1"/>
    <col min="10" max="11" width="8.88671875" style="49"/>
    <col min="13" max="13" width="16.88671875" bestFit="1" customWidth="1"/>
    <col min="14" max="15" width="11.44140625" bestFit="1" customWidth="1"/>
    <col min="16" max="16" width="12.5546875" bestFit="1" customWidth="1"/>
    <col min="17" max="19" width="12.5546875" customWidth="1"/>
    <col min="20" max="20" width="16.44140625" bestFit="1" customWidth="1"/>
    <col min="21" max="22" width="16.44140625" customWidth="1"/>
    <col min="25" max="26" width="11.88671875" bestFit="1" customWidth="1"/>
    <col min="27" max="27" width="11.44140625" bestFit="1" customWidth="1"/>
    <col min="28" max="28" width="17.44140625" bestFit="1" customWidth="1"/>
    <col min="29" max="29" width="15.44140625" bestFit="1" customWidth="1"/>
    <col min="30" max="30" width="12.5546875" bestFit="1" customWidth="1"/>
    <col min="31" max="31" width="13" bestFit="1" customWidth="1"/>
    <col min="32" max="32" width="17.88671875" bestFit="1" customWidth="1"/>
    <col min="33" max="33" width="14" bestFit="1" customWidth="1"/>
    <col min="34" max="34" width="13.109375" bestFit="1" customWidth="1"/>
    <col min="35" max="35" width="13.88671875" bestFit="1" customWidth="1"/>
    <col min="36" max="36" width="20.33203125" bestFit="1" customWidth="1"/>
    <col min="37" max="37" width="21.44140625" bestFit="1" customWidth="1"/>
    <col min="38" max="38" width="20.5546875" bestFit="1" customWidth="1"/>
    <col min="39" max="39" width="11.6640625" bestFit="1" customWidth="1"/>
    <col min="40" max="40" width="11.109375" bestFit="1" customWidth="1"/>
    <col min="41" max="41" width="27.6640625" bestFit="1" customWidth="1"/>
    <col min="42" max="42" width="24.88671875" bestFit="1" customWidth="1"/>
    <col min="43" max="43" width="13" bestFit="1" customWidth="1"/>
    <col min="44" max="44" width="12.109375" bestFit="1" customWidth="1"/>
    <col min="45" max="45" width="12.109375" customWidth="1"/>
    <col min="46" max="46" width="10" bestFit="1" customWidth="1"/>
    <col min="47" max="47" width="11.5546875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684</v>
      </c>
      <c r="F1" s="2" t="s">
        <v>4</v>
      </c>
      <c r="G1" s="3" t="s">
        <v>5</v>
      </c>
      <c r="H1" s="3" t="s">
        <v>6</v>
      </c>
      <c r="I1" s="3" t="s">
        <v>7</v>
      </c>
      <c r="J1" s="48" t="s">
        <v>8</v>
      </c>
      <c r="K1" s="48"/>
      <c r="L1" s="12" t="s">
        <v>196</v>
      </c>
      <c r="M1" s="13" t="s">
        <v>197</v>
      </c>
      <c r="N1" s="12" t="s">
        <v>198</v>
      </c>
      <c r="O1" s="12" t="s">
        <v>199</v>
      </c>
      <c r="P1" s="12" t="s">
        <v>200</v>
      </c>
      <c r="Q1" s="12" t="s">
        <v>202</v>
      </c>
      <c r="R1" s="12" t="s">
        <v>203</v>
      </c>
      <c r="S1" s="12" t="s">
        <v>208</v>
      </c>
      <c r="T1" s="14" t="s">
        <v>204</v>
      </c>
      <c r="U1" s="20" t="s">
        <v>205</v>
      </c>
      <c r="V1" s="14" t="s">
        <v>206</v>
      </c>
      <c r="W1" s="19" t="s">
        <v>201</v>
      </c>
      <c r="X1" s="18" t="s">
        <v>207</v>
      </c>
      <c r="Y1" s="21" t="s">
        <v>209</v>
      </c>
      <c r="Z1" s="21" t="s">
        <v>210</v>
      </c>
      <c r="AA1" s="21" t="s">
        <v>211</v>
      </c>
      <c r="AB1" s="21" t="s">
        <v>212</v>
      </c>
      <c r="AC1" s="21" t="s">
        <v>213</v>
      </c>
      <c r="AD1" s="23" t="s">
        <v>214</v>
      </c>
      <c r="AE1" s="23" t="s">
        <v>215</v>
      </c>
      <c r="AF1" s="23" t="s">
        <v>216</v>
      </c>
      <c r="AG1" s="23" t="s">
        <v>217</v>
      </c>
      <c r="AH1" s="23" t="s">
        <v>218</v>
      </c>
      <c r="AI1" s="23" t="s">
        <v>219</v>
      </c>
      <c r="AJ1" s="22" t="s">
        <v>220</v>
      </c>
      <c r="AK1" s="22" t="s">
        <v>221</v>
      </c>
      <c r="AL1" s="22" t="s">
        <v>222</v>
      </c>
      <c r="AM1" s="22" t="s">
        <v>223</v>
      </c>
      <c r="AN1" s="22" t="s">
        <v>224</v>
      </c>
      <c r="AO1" s="23" t="s">
        <v>225</v>
      </c>
      <c r="AP1" s="23" t="s">
        <v>226</v>
      </c>
      <c r="AQ1" s="21" t="s">
        <v>227</v>
      </c>
      <c r="AR1" s="21" t="s">
        <v>228</v>
      </c>
      <c r="AS1" s="21" t="s">
        <v>270</v>
      </c>
      <c r="AT1" s="21" t="s">
        <v>229</v>
      </c>
      <c r="AU1" s="21" t="s">
        <v>230</v>
      </c>
      <c r="AV1" s="21" t="s">
        <v>231</v>
      </c>
      <c r="AW1" s="21" t="s">
        <v>369</v>
      </c>
    </row>
    <row r="2" spans="1:49" x14ac:dyDescent="0.3">
      <c r="A2" s="38" t="s">
        <v>43</v>
      </c>
      <c r="B2" s="38" t="s">
        <v>50</v>
      </c>
      <c r="C2" s="38" t="s">
        <v>11</v>
      </c>
      <c r="D2" s="38" t="s">
        <v>12</v>
      </c>
      <c r="E2" s="38" t="str">
        <f t="shared" ref="E2:E65" si="0">B2&amp;"-"&amp;D2&amp;"-"&amp;C2</f>
        <v>P_A4T-KYY-S_1Q4</v>
      </c>
      <c r="F2" s="38" t="b">
        <v>1</v>
      </c>
      <c r="G2" s="38">
        <v>99.9</v>
      </c>
      <c r="H2" s="38">
        <v>0</v>
      </c>
      <c r="I2" s="38">
        <v>13397</v>
      </c>
      <c r="J2" s="49" t="s">
        <v>18</v>
      </c>
      <c r="L2" s="55" t="s">
        <v>272</v>
      </c>
      <c r="M2" s="55">
        <v>3</v>
      </c>
      <c r="N2" s="55" t="s">
        <v>333</v>
      </c>
      <c r="O2" s="55" t="s">
        <v>279</v>
      </c>
      <c r="P2" s="56" t="s">
        <v>281</v>
      </c>
      <c r="Q2" s="57" t="s">
        <v>273</v>
      </c>
      <c r="R2" s="57" t="s">
        <v>284</v>
      </c>
      <c r="S2" s="58" t="s">
        <v>371</v>
      </c>
      <c r="T2" s="55" t="s">
        <v>341</v>
      </c>
      <c r="U2" s="55" t="s">
        <v>340</v>
      </c>
      <c r="V2" s="56" t="s">
        <v>343</v>
      </c>
      <c r="W2" s="40" t="s">
        <v>344</v>
      </c>
      <c r="X2" s="41" t="s">
        <v>291</v>
      </c>
      <c r="Y2" s="38" t="s">
        <v>349</v>
      </c>
      <c r="Z2" s="38" t="s">
        <v>349</v>
      </c>
      <c r="AA2" s="38" t="s">
        <v>293</v>
      </c>
      <c r="AB2" s="38" t="s">
        <v>353</v>
      </c>
      <c r="AC2" s="38" t="s">
        <v>355</v>
      </c>
      <c r="AD2" s="38" t="s">
        <v>300</v>
      </c>
      <c r="AE2" s="38" t="s">
        <v>292</v>
      </c>
      <c r="AF2" s="38" t="s">
        <v>293</v>
      </c>
      <c r="AG2" s="38" t="s">
        <v>292</v>
      </c>
      <c r="AH2" s="38" t="s">
        <v>292</v>
      </c>
      <c r="AI2" s="38" t="s">
        <v>293</v>
      </c>
      <c r="AJ2" s="38" t="s">
        <v>302</v>
      </c>
      <c r="AK2" s="38" t="s">
        <v>358</v>
      </c>
      <c r="AL2" s="38" t="s">
        <v>359</v>
      </c>
      <c r="AM2" s="38" t="s">
        <v>293</v>
      </c>
      <c r="AN2" s="38" t="s">
        <v>293</v>
      </c>
      <c r="AO2" s="38" t="s">
        <v>297</v>
      </c>
      <c r="AP2" s="38" t="s">
        <v>298</v>
      </c>
      <c r="AQ2" s="38" t="s">
        <v>293</v>
      </c>
      <c r="AR2" s="38" t="s">
        <v>292</v>
      </c>
      <c r="AS2" s="38" t="s">
        <v>293</v>
      </c>
      <c r="AT2" s="38" t="s">
        <v>293</v>
      </c>
      <c r="AU2" s="38" t="s">
        <v>364</v>
      </c>
      <c r="AV2" s="38" t="str">
        <f t="shared" ref="AV2:AV12" si="1">IF(J2="fail",IF(H2=1,"break","car_stuck"),"no_fail")</f>
        <v>car_stuck</v>
      </c>
      <c r="AW2" s="38" t="s">
        <v>368</v>
      </c>
    </row>
    <row r="3" spans="1:49" x14ac:dyDescent="0.3">
      <c r="A3" s="38" t="s">
        <v>43</v>
      </c>
      <c r="B3" s="38" t="s">
        <v>50</v>
      </c>
      <c r="C3" s="38" t="s">
        <v>20</v>
      </c>
      <c r="D3" s="38" t="s">
        <v>29</v>
      </c>
      <c r="E3" s="38" t="str">
        <f t="shared" si="0"/>
        <v>P_A4T-ZSB-S_7W0</v>
      </c>
      <c r="F3" s="38" t="b">
        <v>1</v>
      </c>
      <c r="G3" s="38">
        <v>87</v>
      </c>
      <c r="H3" s="38">
        <v>0</v>
      </c>
      <c r="I3" s="38">
        <v>12099</v>
      </c>
      <c r="J3" s="49" t="s">
        <v>13</v>
      </c>
      <c r="L3" s="39" t="s">
        <v>272</v>
      </c>
      <c r="M3" s="39">
        <v>3</v>
      </c>
      <c r="N3" s="39" t="s">
        <v>277</v>
      </c>
      <c r="O3" s="39" t="s">
        <v>335</v>
      </c>
      <c r="P3" s="40" t="s">
        <v>283</v>
      </c>
      <c r="Q3" s="38" t="s">
        <v>282</v>
      </c>
      <c r="R3" s="38" t="s">
        <v>371</v>
      </c>
      <c r="S3" s="41" t="s">
        <v>371</v>
      </c>
      <c r="T3" s="39" t="s">
        <v>341</v>
      </c>
      <c r="U3" s="39" t="s">
        <v>342</v>
      </c>
      <c r="V3" s="40" t="s">
        <v>343</v>
      </c>
      <c r="W3" s="40" t="s">
        <v>344</v>
      </c>
      <c r="X3" s="41"/>
      <c r="Y3" s="38" t="s">
        <v>349</v>
      </c>
      <c r="Z3" s="38" t="s">
        <v>349</v>
      </c>
      <c r="AA3" s="38" t="s">
        <v>293</v>
      </c>
      <c r="AB3" s="38" t="s">
        <v>353</v>
      </c>
      <c r="AC3" s="38" t="s">
        <v>297</v>
      </c>
      <c r="AD3" s="38" t="s">
        <v>301</v>
      </c>
      <c r="AE3" s="38" t="s">
        <v>292</v>
      </c>
      <c r="AF3" s="38" t="s">
        <v>293</v>
      </c>
      <c r="AG3" s="38" t="s">
        <v>292</v>
      </c>
      <c r="AH3" s="38" t="s">
        <v>293</v>
      </c>
      <c r="AI3" s="38" t="s">
        <v>293</v>
      </c>
      <c r="AJ3" s="38" t="s">
        <v>302</v>
      </c>
      <c r="AK3" s="38" t="s">
        <v>302</v>
      </c>
      <c r="AL3" s="38" t="s">
        <v>359</v>
      </c>
      <c r="AM3" s="38" t="s">
        <v>293</v>
      </c>
      <c r="AN3" s="38" t="s">
        <v>293</v>
      </c>
      <c r="AO3" s="38" t="s">
        <v>297</v>
      </c>
      <c r="AP3" s="38" t="s">
        <v>298</v>
      </c>
      <c r="AQ3" s="38" t="s">
        <v>293</v>
      </c>
      <c r="AR3" s="38" t="s">
        <v>292</v>
      </c>
      <c r="AS3" s="38" t="s">
        <v>293</v>
      </c>
      <c r="AT3" s="38" t="s">
        <v>293</v>
      </c>
      <c r="AU3" s="38" t="s">
        <v>364</v>
      </c>
      <c r="AV3" s="38" t="str">
        <f t="shared" si="1"/>
        <v>no_fail</v>
      </c>
      <c r="AW3" s="38" t="s">
        <v>370</v>
      </c>
    </row>
    <row r="4" spans="1:49" x14ac:dyDescent="0.3">
      <c r="A4" s="38" t="s">
        <v>43</v>
      </c>
      <c r="B4" s="38" t="s">
        <v>50</v>
      </c>
      <c r="C4" s="38" t="s">
        <v>27</v>
      </c>
      <c r="D4" s="38" t="s">
        <v>29</v>
      </c>
      <c r="E4" s="38" t="str">
        <f t="shared" si="0"/>
        <v>P_A4T-ZSB-S_9F6</v>
      </c>
      <c r="F4" s="38" t="b">
        <v>1</v>
      </c>
      <c r="G4" s="38">
        <v>99.9</v>
      </c>
      <c r="H4" s="38">
        <v>0</v>
      </c>
      <c r="I4" s="38">
        <v>11915</v>
      </c>
      <c r="J4" s="49" t="s">
        <v>18</v>
      </c>
      <c r="L4" s="39" t="s">
        <v>272</v>
      </c>
      <c r="M4" s="39">
        <v>2</v>
      </c>
      <c r="N4" s="39" t="s">
        <v>333</v>
      </c>
      <c r="O4" s="39" t="s">
        <v>280</v>
      </c>
      <c r="P4" s="40" t="s">
        <v>282</v>
      </c>
      <c r="Q4" s="40" t="s">
        <v>371</v>
      </c>
      <c r="R4" s="38" t="s">
        <v>371</v>
      </c>
      <c r="S4" s="41" t="s">
        <v>371</v>
      </c>
      <c r="T4" s="39" t="s">
        <v>340</v>
      </c>
      <c r="U4" s="39" t="s">
        <v>342</v>
      </c>
      <c r="V4" s="40" t="s">
        <v>340</v>
      </c>
      <c r="W4" s="40" t="s">
        <v>344</v>
      </c>
      <c r="X4" s="41"/>
      <c r="Y4" s="38" t="s">
        <v>349</v>
      </c>
      <c r="Z4" s="38" t="s">
        <v>349</v>
      </c>
      <c r="AA4" s="38" t="s">
        <v>293</v>
      </c>
      <c r="AB4" s="38" t="s">
        <v>354</v>
      </c>
      <c r="AC4" s="38" t="s">
        <v>354</v>
      </c>
      <c r="AD4" s="38" t="s">
        <v>300</v>
      </c>
      <c r="AE4" s="38" t="s">
        <v>292</v>
      </c>
      <c r="AF4" s="38" t="s">
        <v>293</v>
      </c>
      <c r="AG4" s="38" t="s">
        <v>292</v>
      </c>
      <c r="AH4" s="38" t="s">
        <v>292</v>
      </c>
      <c r="AI4" s="38" t="s">
        <v>293</v>
      </c>
      <c r="AJ4" s="38" t="s">
        <v>359</v>
      </c>
      <c r="AK4" s="38" t="s">
        <v>359</v>
      </c>
      <c r="AL4" s="38" t="s">
        <v>357</v>
      </c>
      <c r="AM4" s="38" t="s">
        <v>293</v>
      </c>
      <c r="AN4" s="38" t="s">
        <v>293</v>
      </c>
      <c r="AO4" s="38" t="s">
        <v>297</v>
      </c>
      <c r="AP4" s="38" t="s">
        <v>298</v>
      </c>
      <c r="AQ4" s="38" t="s">
        <v>293</v>
      </c>
      <c r="AR4" s="38" t="s">
        <v>292</v>
      </c>
      <c r="AS4" s="38" t="s">
        <v>293</v>
      </c>
      <c r="AT4" s="38" t="s">
        <v>293</v>
      </c>
      <c r="AU4" s="38" t="s">
        <v>364</v>
      </c>
      <c r="AV4" s="38" t="str">
        <f t="shared" si="1"/>
        <v>car_stuck</v>
      </c>
      <c r="AW4" s="38" t="s">
        <v>368</v>
      </c>
    </row>
    <row r="5" spans="1:49" x14ac:dyDescent="0.3">
      <c r="A5" t="s">
        <v>43</v>
      </c>
      <c r="B5" t="s">
        <v>50</v>
      </c>
      <c r="C5" t="s">
        <v>15</v>
      </c>
      <c r="D5" t="s">
        <v>12</v>
      </c>
      <c r="E5" t="str">
        <f t="shared" si="0"/>
        <v>P_A4T-KYY-S_0M4</v>
      </c>
      <c r="F5" t="b">
        <v>1</v>
      </c>
      <c r="G5">
        <v>69.2</v>
      </c>
      <c r="H5">
        <v>0</v>
      </c>
      <c r="I5">
        <v>15028</v>
      </c>
      <c r="J5" s="49" t="s">
        <v>13</v>
      </c>
      <c r="L5" s="16" t="s">
        <v>272</v>
      </c>
      <c r="M5" s="16">
        <v>3</v>
      </c>
      <c r="N5" s="16" t="s">
        <v>277</v>
      </c>
      <c r="O5" s="16" t="s">
        <v>335</v>
      </c>
      <c r="P5" s="15" t="s">
        <v>281</v>
      </c>
      <c r="Q5" s="15" t="s">
        <v>273</v>
      </c>
      <c r="R5" s="15" t="s">
        <v>282</v>
      </c>
      <c r="S5" s="17" t="s">
        <v>371</v>
      </c>
      <c r="T5" s="16" t="s">
        <v>341</v>
      </c>
      <c r="U5" s="16" t="s">
        <v>340</v>
      </c>
      <c r="V5" s="15" t="s">
        <v>343</v>
      </c>
      <c r="W5" s="15" t="s">
        <v>344</v>
      </c>
      <c r="X5" s="17"/>
      <c r="Y5" t="s">
        <v>349</v>
      </c>
      <c r="Z5" t="s">
        <v>349</v>
      </c>
      <c r="AA5" t="s">
        <v>293</v>
      </c>
      <c r="AB5" t="s">
        <v>353</v>
      </c>
      <c r="AC5" t="s">
        <v>355</v>
      </c>
      <c r="AD5" t="s">
        <v>300</v>
      </c>
      <c r="AE5" t="s">
        <v>292</v>
      </c>
      <c r="AF5" t="s">
        <v>293</v>
      </c>
      <c r="AG5" t="s">
        <v>292</v>
      </c>
      <c r="AH5" t="s">
        <v>292</v>
      </c>
      <c r="AI5" t="s">
        <v>293</v>
      </c>
      <c r="AJ5" t="s">
        <v>302</v>
      </c>
      <c r="AK5" t="s">
        <v>302</v>
      </c>
      <c r="AL5" t="s">
        <v>359</v>
      </c>
      <c r="AM5" t="s">
        <v>293</v>
      </c>
      <c r="AN5" t="s">
        <v>293</v>
      </c>
      <c r="AO5" t="s">
        <v>297</v>
      </c>
      <c r="AP5" t="s">
        <v>298</v>
      </c>
      <c r="AQ5" t="s">
        <v>293</v>
      </c>
      <c r="AR5" t="s">
        <v>292</v>
      </c>
      <c r="AS5" t="s">
        <v>293</v>
      </c>
      <c r="AT5" t="s">
        <v>293</v>
      </c>
      <c r="AU5" t="s">
        <v>364</v>
      </c>
      <c r="AV5" t="str">
        <f t="shared" si="1"/>
        <v>no_fail</v>
      </c>
    </row>
    <row r="6" spans="1:49" x14ac:dyDescent="0.3">
      <c r="A6" t="s">
        <v>43</v>
      </c>
      <c r="B6" t="s">
        <v>50</v>
      </c>
      <c r="C6" t="s">
        <v>14</v>
      </c>
      <c r="D6" t="s">
        <v>12</v>
      </c>
      <c r="E6" t="str">
        <f t="shared" si="0"/>
        <v>P_A4T-KYY-S_1B0</v>
      </c>
      <c r="F6" t="b">
        <v>1</v>
      </c>
      <c r="G6">
        <v>100</v>
      </c>
      <c r="H6">
        <v>1</v>
      </c>
      <c r="I6">
        <v>14512</v>
      </c>
      <c r="J6" s="49" t="s">
        <v>13</v>
      </c>
      <c r="L6" s="16" t="s">
        <v>272</v>
      </c>
      <c r="M6" s="16">
        <v>3</v>
      </c>
      <c r="N6" s="16" t="s">
        <v>277</v>
      </c>
      <c r="O6" s="16" t="s">
        <v>335</v>
      </c>
      <c r="P6" s="15" t="s">
        <v>281</v>
      </c>
      <c r="Q6" s="15" t="s">
        <v>273</v>
      </c>
      <c r="R6" s="15" t="s">
        <v>282</v>
      </c>
      <c r="S6" s="17" t="s">
        <v>371</v>
      </c>
      <c r="T6" s="16" t="s">
        <v>341</v>
      </c>
      <c r="U6" s="16" t="s">
        <v>340</v>
      </c>
      <c r="V6" s="15" t="s">
        <v>343</v>
      </c>
      <c r="W6" s="15" t="s">
        <v>344</v>
      </c>
      <c r="X6" s="17"/>
      <c r="Y6" t="s">
        <v>349</v>
      </c>
      <c r="Z6" t="s">
        <v>349</v>
      </c>
      <c r="AA6" t="s">
        <v>293</v>
      </c>
      <c r="AB6" t="s">
        <v>353</v>
      </c>
      <c r="AC6" t="s">
        <v>355</v>
      </c>
      <c r="AD6" t="s">
        <v>300</v>
      </c>
      <c r="AE6" t="s">
        <v>292</v>
      </c>
      <c r="AF6" t="s">
        <v>293</v>
      </c>
      <c r="AG6" t="s">
        <v>292</v>
      </c>
      <c r="AH6" t="s">
        <v>292</v>
      </c>
      <c r="AI6" t="s">
        <v>293</v>
      </c>
      <c r="AJ6" t="s">
        <v>302</v>
      </c>
      <c r="AK6" t="s">
        <v>358</v>
      </c>
      <c r="AL6" t="s">
        <v>359</v>
      </c>
      <c r="AM6" t="s">
        <v>293</v>
      </c>
      <c r="AN6" t="s">
        <v>293</v>
      </c>
      <c r="AO6" t="s">
        <v>297</v>
      </c>
      <c r="AP6" t="s">
        <v>298</v>
      </c>
      <c r="AQ6" t="s">
        <v>293</v>
      </c>
      <c r="AR6" t="s">
        <v>292</v>
      </c>
      <c r="AS6" t="s">
        <v>293</v>
      </c>
      <c r="AT6" t="s">
        <v>293</v>
      </c>
      <c r="AU6" t="s">
        <v>364</v>
      </c>
      <c r="AV6" t="str">
        <f t="shared" si="1"/>
        <v>no_fail</v>
      </c>
    </row>
    <row r="7" spans="1:49" x14ac:dyDescent="0.3">
      <c r="A7" t="s">
        <v>43</v>
      </c>
      <c r="B7" t="s">
        <v>50</v>
      </c>
      <c r="C7" t="s">
        <v>19</v>
      </c>
      <c r="D7" t="s">
        <v>12</v>
      </c>
      <c r="E7" t="str">
        <f t="shared" si="0"/>
        <v>P_A4T-KYY-S_4U3</v>
      </c>
      <c r="F7" t="b">
        <v>1</v>
      </c>
      <c r="G7">
        <v>100</v>
      </c>
      <c r="H7">
        <v>1</v>
      </c>
      <c r="I7">
        <v>20421</v>
      </c>
      <c r="J7" s="49" t="s">
        <v>18</v>
      </c>
      <c r="L7" s="16" t="s">
        <v>272</v>
      </c>
      <c r="M7" s="16">
        <v>3</v>
      </c>
      <c r="N7" s="16" t="s">
        <v>277</v>
      </c>
      <c r="O7" s="16" t="s">
        <v>335</v>
      </c>
      <c r="P7" s="15" t="s">
        <v>281</v>
      </c>
      <c r="Q7" s="15" t="s">
        <v>273</v>
      </c>
      <c r="R7" s="15" t="s">
        <v>282</v>
      </c>
      <c r="S7" s="17" t="s">
        <v>371</v>
      </c>
      <c r="T7" s="16" t="s">
        <v>341</v>
      </c>
      <c r="U7" s="16" t="s">
        <v>340</v>
      </c>
      <c r="V7" s="15" t="s">
        <v>343</v>
      </c>
      <c r="W7" s="15" t="s">
        <v>344</v>
      </c>
      <c r="X7" s="17"/>
      <c r="Y7" t="s">
        <v>349</v>
      </c>
      <c r="Z7" t="s">
        <v>349</v>
      </c>
      <c r="AA7" t="s">
        <v>293</v>
      </c>
      <c r="AB7" t="s">
        <v>353</v>
      </c>
      <c r="AC7" t="s">
        <v>355</v>
      </c>
      <c r="AD7" t="s">
        <v>301</v>
      </c>
      <c r="AE7" t="s">
        <v>292</v>
      </c>
      <c r="AF7" t="s">
        <v>292</v>
      </c>
      <c r="AG7" t="s">
        <v>292</v>
      </c>
      <c r="AH7" t="s">
        <v>292</v>
      </c>
      <c r="AI7" t="s">
        <v>293</v>
      </c>
      <c r="AJ7" t="s">
        <v>302</v>
      </c>
      <c r="AK7" t="s">
        <v>302</v>
      </c>
      <c r="AL7" t="s">
        <v>359</v>
      </c>
      <c r="AM7" t="s">
        <v>293</v>
      </c>
      <c r="AN7" t="s">
        <v>293</v>
      </c>
      <c r="AO7" t="s">
        <v>296</v>
      </c>
      <c r="AP7" t="s">
        <v>356</v>
      </c>
      <c r="AQ7" t="s">
        <v>293</v>
      </c>
      <c r="AR7" t="s">
        <v>292</v>
      </c>
      <c r="AS7" t="s">
        <v>293</v>
      </c>
      <c r="AT7" t="s">
        <v>293</v>
      </c>
      <c r="AU7" t="s">
        <v>364</v>
      </c>
      <c r="AV7" t="str">
        <f t="shared" si="1"/>
        <v>break</v>
      </c>
    </row>
    <row r="8" spans="1:49" x14ac:dyDescent="0.3">
      <c r="A8" t="s">
        <v>43</v>
      </c>
      <c r="B8" t="s">
        <v>50</v>
      </c>
      <c r="C8" t="s">
        <v>17</v>
      </c>
      <c r="D8" t="s">
        <v>12</v>
      </c>
      <c r="E8" t="str">
        <f t="shared" si="0"/>
        <v>P_A4T-KYY-S_6B5</v>
      </c>
      <c r="F8" t="b">
        <v>1</v>
      </c>
      <c r="G8">
        <v>100</v>
      </c>
      <c r="H8">
        <v>1</v>
      </c>
      <c r="I8">
        <v>18768</v>
      </c>
      <c r="J8" s="49" t="s">
        <v>18</v>
      </c>
      <c r="L8" s="16" t="s">
        <v>272</v>
      </c>
      <c r="M8" s="16">
        <v>3</v>
      </c>
      <c r="N8" s="16" t="s">
        <v>277</v>
      </c>
      <c r="O8" s="16" t="s">
        <v>335</v>
      </c>
      <c r="P8" s="15" t="s">
        <v>281</v>
      </c>
      <c r="Q8" s="15" t="s">
        <v>273</v>
      </c>
      <c r="R8" t="s">
        <v>282</v>
      </c>
      <c r="S8" s="17" t="s">
        <v>371</v>
      </c>
      <c r="T8" s="16" t="s">
        <v>341</v>
      </c>
      <c r="U8" s="16" t="s">
        <v>340</v>
      </c>
      <c r="V8" s="15" t="s">
        <v>343</v>
      </c>
      <c r="W8" s="15" t="s">
        <v>344</v>
      </c>
      <c r="X8" s="17"/>
      <c r="Y8" t="s">
        <v>349</v>
      </c>
      <c r="Z8" t="s">
        <v>349</v>
      </c>
      <c r="AA8" t="s">
        <v>293</v>
      </c>
      <c r="AB8" t="s">
        <v>353</v>
      </c>
      <c r="AC8" t="s">
        <v>355</v>
      </c>
      <c r="AD8" t="s">
        <v>301</v>
      </c>
      <c r="AE8" t="s">
        <v>292</v>
      </c>
      <c r="AF8" t="s">
        <v>293</v>
      </c>
      <c r="AG8" t="s">
        <v>292</v>
      </c>
      <c r="AH8" t="s">
        <v>292</v>
      </c>
      <c r="AI8" t="s">
        <v>293</v>
      </c>
      <c r="AJ8" t="s">
        <v>302</v>
      </c>
      <c r="AK8" t="s">
        <v>302</v>
      </c>
      <c r="AL8" t="s">
        <v>359</v>
      </c>
      <c r="AM8" t="s">
        <v>293</v>
      </c>
      <c r="AN8" t="s">
        <v>293</v>
      </c>
      <c r="AO8" t="s">
        <v>296</v>
      </c>
      <c r="AP8" t="s">
        <v>298</v>
      </c>
      <c r="AQ8" t="s">
        <v>293</v>
      </c>
      <c r="AR8" t="s">
        <v>292</v>
      </c>
      <c r="AS8" t="s">
        <v>293</v>
      </c>
      <c r="AT8" t="s">
        <v>293</v>
      </c>
      <c r="AU8" t="s">
        <v>364</v>
      </c>
      <c r="AV8" t="str">
        <f t="shared" si="1"/>
        <v>break</v>
      </c>
    </row>
    <row r="9" spans="1:49" x14ac:dyDescent="0.3">
      <c r="A9" t="s">
        <v>43</v>
      </c>
      <c r="B9" t="s">
        <v>50</v>
      </c>
      <c r="C9" t="s">
        <v>16</v>
      </c>
      <c r="D9" t="s">
        <v>12</v>
      </c>
      <c r="E9" t="str">
        <f t="shared" si="0"/>
        <v>P_A4T-KYY-S_6U7</v>
      </c>
      <c r="F9" t="b">
        <v>1</v>
      </c>
      <c r="G9">
        <v>100</v>
      </c>
      <c r="H9">
        <v>1</v>
      </c>
      <c r="I9">
        <v>17066</v>
      </c>
      <c r="J9" s="49" t="s">
        <v>18</v>
      </c>
      <c r="L9" s="16" t="s">
        <v>272</v>
      </c>
      <c r="M9" s="16">
        <v>3</v>
      </c>
      <c r="N9" s="16" t="s">
        <v>277</v>
      </c>
      <c r="O9" s="16" t="s">
        <v>335</v>
      </c>
      <c r="P9" s="15" t="s">
        <v>281</v>
      </c>
      <c r="Q9" t="s">
        <v>273</v>
      </c>
      <c r="R9" t="s">
        <v>282</v>
      </c>
      <c r="S9" s="17" t="s">
        <v>371</v>
      </c>
      <c r="T9" s="16" t="s">
        <v>341</v>
      </c>
      <c r="U9" s="16" t="s">
        <v>340</v>
      </c>
      <c r="V9" s="15" t="s">
        <v>343</v>
      </c>
      <c r="W9" s="15" t="s">
        <v>344</v>
      </c>
      <c r="X9" s="17" t="s">
        <v>291</v>
      </c>
      <c r="Y9" t="s">
        <v>349</v>
      </c>
      <c r="Z9" t="s">
        <v>349</v>
      </c>
      <c r="AA9" t="s">
        <v>293</v>
      </c>
      <c r="AB9" t="s">
        <v>353</v>
      </c>
      <c r="AC9" t="s">
        <v>355</v>
      </c>
      <c r="AD9" t="s">
        <v>301</v>
      </c>
      <c r="AE9" t="s">
        <v>292</v>
      </c>
      <c r="AF9" t="s">
        <v>293</v>
      </c>
      <c r="AG9" t="s">
        <v>292</v>
      </c>
      <c r="AH9" t="s">
        <v>292</v>
      </c>
      <c r="AI9" t="s">
        <v>293</v>
      </c>
      <c r="AJ9" t="s">
        <v>302</v>
      </c>
      <c r="AK9" t="s">
        <v>302</v>
      </c>
      <c r="AL9" t="s">
        <v>359</v>
      </c>
      <c r="AM9" t="s">
        <v>293</v>
      </c>
      <c r="AN9" t="s">
        <v>293</v>
      </c>
      <c r="AO9" t="s">
        <v>296</v>
      </c>
      <c r="AP9" t="s">
        <v>298</v>
      </c>
      <c r="AQ9" t="s">
        <v>293</v>
      </c>
      <c r="AR9" t="s">
        <v>292</v>
      </c>
      <c r="AS9" t="s">
        <v>293</v>
      </c>
      <c r="AT9" t="s">
        <v>293</v>
      </c>
      <c r="AU9" t="s">
        <v>364</v>
      </c>
      <c r="AV9" t="str">
        <f t="shared" si="1"/>
        <v>break</v>
      </c>
    </row>
    <row r="10" spans="1:49" x14ac:dyDescent="0.3">
      <c r="A10" t="s">
        <v>43</v>
      </c>
      <c r="B10" t="s">
        <v>50</v>
      </c>
      <c r="C10" t="s">
        <v>23</v>
      </c>
      <c r="D10" t="s">
        <v>29</v>
      </c>
      <c r="E10" t="str">
        <f t="shared" si="0"/>
        <v>P_A4T-ZSB-S_0T2</v>
      </c>
      <c r="F10" t="b">
        <v>1</v>
      </c>
      <c r="G10">
        <v>100</v>
      </c>
      <c r="H10">
        <v>1</v>
      </c>
      <c r="I10">
        <v>9668</v>
      </c>
      <c r="J10" s="49" t="s">
        <v>18</v>
      </c>
      <c r="L10" s="16" t="s">
        <v>272</v>
      </c>
      <c r="M10" s="16">
        <v>2</v>
      </c>
      <c r="N10" s="16" t="s">
        <v>277</v>
      </c>
      <c r="O10" s="16" t="s">
        <v>335</v>
      </c>
      <c r="P10" s="15" t="s">
        <v>282</v>
      </c>
      <c r="Q10" t="s">
        <v>371</v>
      </c>
      <c r="R10" t="s">
        <v>371</v>
      </c>
      <c r="S10" s="17" t="s">
        <v>371</v>
      </c>
      <c r="T10" s="16" t="s">
        <v>340</v>
      </c>
      <c r="U10" s="16" t="s">
        <v>342</v>
      </c>
      <c r="V10" s="15" t="s">
        <v>340</v>
      </c>
      <c r="W10" s="15" t="s">
        <v>344</v>
      </c>
      <c r="X10" s="17"/>
      <c r="Y10" t="s">
        <v>349</v>
      </c>
      <c r="Z10" t="s">
        <v>349</v>
      </c>
      <c r="AA10" t="s">
        <v>293</v>
      </c>
      <c r="AB10" t="s">
        <v>354</v>
      </c>
      <c r="AC10" t="s">
        <v>354</v>
      </c>
      <c r="AD10" t="s">
        <v>300</v>
      </c>
      <c r="AE10" t="s">
        <v>292</v>
      </c>
      <c r="AF10" t="s">
        <v>293</v>
      </c>
      <c r="AG10" t="s">
        <v>292</v>
      </c>
      <c r="AH10" t="s">
        <v>293</v>
      </c>
      <c r="AI10" t="s">
        <v>293</v>
      </c>
      <c r="AJ10" t="s">
        <v>302</v>
      </c>
      <c r="AK10" t="s">
        <v>302</v>
      </c>
      <c r="AL10" t="s">
        <v>357</v>
      </c>
      <c r="AM10" t="s">
        <v>293</v>
      </c>
      <c r="AN10" t="s">
        <v>293</v>
      </c>
      <c r="AO10" t="s">
        <v>297</v>
      </c>
      <c r="AP10" t="s">
        <v>298</v>
      </c>
      <c r="AQ10" t="s">
        <v>293</v>
      </c>
      <c r="AR10" t="s">
        <v>292</v>
      </c>
      <c r="AS10" t="s">
        <v>293</v>
      </c>
      <c r="AT10" t="s">
        <v>293</v>
      </c>
      <c r="AU10" t="s">
        <v>364</v>
      </c>
      <c r="AV10" t="str">
        <f t="shared" si="1"/>
        <v>break</v>
      </c>
    </row>
    <row r="11" spans="1:49" x14ac:dyDescent="0.3">
      <c r="A11" t="s">
        <v>43</v>
      </c>
      <c r="B11" t="s">
        <v>50</v>
      </c>
      <c r="C11" t="s">
        <v>25</v>
      </c>
      <c r="D11" t="s">
        <v>29</v>
      </c>
      <c r="E11" t="str">
        <f t="shared" si="0"/>
        <v>P_A4T-ZSB-S_1J8</v>
      </c>
      <c r="F11" t="b">
        <v>1</v>
      </c>
      <c r="G11">
        <v>100</v>
      </c>
      <c r="H11">
        <v>1</v>
      </c>
      <c r="I11">
        <v>16249</v>
      </c>
      <c r="J11" s="49" t="s">
        <v>18</v>
      </c>
      <c r="L11" s="16" t="s">
        <v>272</v>
      </c>
      <c r="M11" s="16">
        <v>2</v>
      </c>
      <c r="N11" s="16" t="s">
        <v>277</v>
      </c>
      <c r="O11" s="16" t="s">
        <v>335</v>
      </c>
      <c r="P11" s="15" t="s">
        <v>282</v>
      </c>
      <c r="Q11" t="s">
        <v>371</v>
      </c>
      <c r="R11" t="s">
        <v>371</v>
      </c>
      <c r="S11" s="17" t="s">
        <v>371</v>
      </c>
      <c r="T11" s="16" t="s">
        <v>341</v>
      </c>
      <c r="U11" s="16" t="s">
        <v>342</v>
      </c>
      <c r="V11" s="15" t="s">
        <v>340</v>
      </c>
      <c r="W11" s="15" t="s">
        <v>344</v>
      </c>
      <c r="X11" s="17"/>
      <c r="Y11" t="s">
        <v>349</v>
      </c>
      <c r="Z11" t="s">
        <v>349</v>
      </c>
      <c r="AA11" t="s">
        <v>293</v>
      </c>
      <c r="AB11" t="s">
        <v>354</v>
      </c>
      <c r="AC11" t="s">
        <v>354</v>
      </c>
      <c r="AD11" t="s">
        <v>300</v>
      </c>
      <c r="AE11" t="s">
        <v>292</v>
      </c>
      <c r="AF11" t="s">
        <v>293</v>
      </c>
      <c r="AG11" t="s">
        <v>292</v>
      </c>
      <c r="AH11" t="s">
        <v>293</v>
      </c>
      <c r="AI11" t="s">
        <v>293</v>
      </c>
      <c r="AJ11" t="s">
        <v>302</v>
      </c>
      <c r="AK11" t="s">
        <v>302</v>
      </c>
      <c r="AL11" t="s">
        <v>357</v>
      </c>
      <c r="AM11" t="s">
        <v>293</v>
      </c>
      <c r="AN11" t="s">
        <v>293</v>
      </c>
      <c r="AO11" t="s">
        <v>297</v>
      </c>
      <c r="AP11" t="s">
        <v>298</v>
      </c>
      <c r="AQ11" t="s">
        <v>293</v>
      </c>
      <c r="AR11" t="s">
        <v>292</v>
      </c>
      <c r="AS11" t="s">
        <v>293</v>
      </c>
      <c r="AT11" t="s">
        <v>293</v>
      </c>
      <c r="AU11" t="s">
        <v>364</v>
      </c>
      <c r="AV11" t="str">
        <f t="shared" si="1"/>
        <v>break</v>
      </c>
    </row>
    <row r="12" spans="1:49" x14ac:dyDescent="0.3">
      <c r="A12" t="s">
        <v>43</v>
      </c>
      <c r="B12" t="s">
        <v>50</v>
      </c>
      <c r="C12" t="s">
        <v>24</v>
      </c>
      <c r="D12" t="s">
        <v>29</v>
      </c>
      <c r="E12" t="str">
        <f t="shared" si="0"/>
        <v>P_A4T-ZSB-S_1U0</v>
      </c>
      <c r="F12" t="b">
        <v>1</v>
      </c>
      <c r="G12">
        <v>100</v>
      </c>
      <c r="H12">
        <v>1</v>
      </c>
      <c r="I12">
        <v>13608</v>
      </c>
      <c r="J12" s="49" t="s">
        <v>18</v>
      </c>
      <c r="L12" s="16" t="s">
        <v>272</v>
      </c>
      <c r="M12" s="16">
        <v>2</v>
      </c>
      <c r="N12" s="16" t="s">
        <v>277</v>
      </c>
      <c r="O12" s="16" t="s">
        <v>335</v>
      </c>
      <c r="P12" s="15" t="s">
        <v>282</v>
      </c>
      <c r="Q12" t="s">
        <v>371</v>
      </c>
      <c r="R12" t="s">
        <v>371</v>
      </c>
      <c r="S12" s="17" t="s">
        <v>371</v>
      </c>
      <c r="T12" s="16" t="s">
        <v>341</v>
      </c>
      <c r="U12" s="16" t="s">
        <v>342</v>
      </c>
      <c r="V12" s="15" t="s">
        <v>340</v>
      </c>
      <c r="W12" s="15" t="s">
        <v>344</v>
      </c>
      <c r="X12" s="17"/>
      <c r="Y12" t="s">
        <v>349</v>
      </c>
      <c r="Z12" t="s">
        <v>349</v>
      </c>
      <c r="AA12" t="s">
        <v>293</v>
      </c>
      <c r="AB12" t="s">
        <v>354</v>
      </c>
      <c r="AC12" t="s">
        <v>354</v>
      </c>
      <c r="AD12" t="s">
        <v>300</v>
      </c>
      <c r="AE12" t="s">
        <v>292</v>
      </c>
      <c r="AF12" t="s">
        <v>293</v>
      </c>
      <c r="AG12" t="s">
        <v>292</v>
      </c>
      <c r="AH12" t="s">
        <v>293</v>
      </c>
      <c r="AI12" t="s">
        <v>293</v>
      </c>
      <c r="AJ12" t="s">
        <v>302</v>
      </c>
      <c r="AK12" t="s">
        <v>302</v>
      </c>
      <c r="AL12" t="s">
        <v>357</v>
      </c>
      <c r="AM12" t="s">
        <v>293</v>
      </c>
      <c r="AN12" t="s">
        <v>293</v>
      </c>
      <c r="AO12" t="s">
        <v>297</v>
      </c>
      <c r="AP12" t="s">
        <v>298</v>
      </c>
      <c r="AQ12" t="s">
        <v>293</v>
      </c>
      <c r="AR12" t="s">
        <v>292</v>
      </c>
      <c r="AS12" t="s">
        <v>293</v>
      </c>
      <c r="AT12" t="s">
        <v>293</v>
      </c>
      <c r="AU12" t="s">
        <v>364</v>
      </c>
      <c r="AV12" t="str">
        <f t="shared" si="1"/>
        <v>break</v>
      </c>
    </row>
    <row r="13" spans="1:49" x14ac:dyDescent="0.3">
      <c r="A13" t="s">
        <v>43</v>
      </c>
      <c r="B13" t="s">
        <v>50</v>
      </c>
      <c r="C13" t="s">
        <v>21</v>
      </c>
      <c r="D13" t="s">
        <v>29</v>
      </c>
      <c r="E13" t="str">
        <f t="shared" si="0"/>
        <v>P_A4T-ZSB-S_3X6</v>
      </c>
      <c r="F13" t="b">
        <v>1</v>
      </c>
      <c r="G13">
        <v>88</v>
      </c>
      <c r="H13">
        <v>0</v>
      </c>
      <c r="I13">
        <v>9763</v>
      </c>
      <c r="J13" s="49" t="s">
        <v>13</v>
      </c>
      <c r="L13" s="16" t="s">
        <v>272</v>
      </c>
      <c r="M13" s="16">
        <v>3</v>
      </c>
      <c r="N13" s="16" t="s">
        <v>277</v>
      </c>
      <c r="O13" s="16" t="s">
        <v>335</v>
      </c>
      <c r="P13" s="15" t="s">
        <v>283</v>
      </c>
      <c r="Q13" t="s">
        <v>282</v>
      </c>
      <c r="R13" t="s">
        <v>371</v>
      </c>
      <c r="S13" s="17" t="s">
        <v>371</v>
      </c>
      <c r="T13" s="16" t="s">
        <v>341</v>
      </c>
      <c r="U13" s="16" t="s">
        <v>342</v>
      </c>
      <c r="V13" s="15" t="s">
        <v>343</v>
      </c>
      <c r="W13" s="15" t="s">
        <v>344</v>
      </c>
      <c r="X13" s="17"/>
      <c r="Y13" t="s">
        <v>349</v>
      </c>
      <c r="Z13" t="s">
        <v>349</v>
      </c>
      <c r="AA13" t="s">
        <v>293</v>
      </c>
      <c r="AB13" t="s">
        <v>353</v>
      </c>
      <c r="AC13" t="s">
        <v>297</v>
      </c>
      <c r="AD13" t="s">
        <v>300</v>
      </c>
      <c r="AE13" t="s">
        <v>292</v>
      </c>
      <c r="AF13" t="s">
        <v>293</v>
      </c>
      <c r="AG13" t="s">
        <v>292</v>
      </c>
      <c r="AH13" t="s">
        <v>293</v>
      </c>
      <c r="AI13" t="s">
        <v>293</v>
      </c>
      <c r="AJ13" t="s">
        <v>302</v>
      </c>
      <c r="AK13" t="s">
        <v>302</v>
      </c>
      <c r="AL13" t="s">
        <v>359</v>
      </c>
      <c r="AM13" t="s">
        <v>293</v>
      </c>
      <c r="AN13" t="s">
        <v>293</v>
      </c>
      <c r="AO13" t="s">
        <v>297</v>
      </c>
      <c r="AP13" t="s">
        <v>298</v>
      </c>
      <c r="AQ13" t="s">
        <v>293</v>
      </c>
      <c r="AR13" t="s">
        <v>292</v>
      </c>
      <c r="AS13" t="s">
        <v>293</v>
      </c>
      <c r="AT13" t="s">
        <v>293</v>
      </c>
      <c r="AU13" t="s">
        <v>364</v>
      </c>
      <c r="AV13" t="s">
        <v>366</v>
      </c>
    </row>
    <row r="14" spans="1:49" x14ac:dyDescent="0.3">
      <c r="A14" t="s">
        <v>43</v>
      </c>
      <c r="B14" t="s">
        <v>50</v>
      </c>
      <c r="C14" t="s">
        <v>26</v>
      </c>
      <c r="D14" t="s">
        <v>29</v>
      </c>
      <c r="E14" t="str">
        <f t="shared" si="0"/>
        <v>P_A4T-ZSB-S_8O8</v>
      </c>
      <c r="F14" t="b">
        <v>1</v>
      </c>
      <c r="G14">
        <v>92.5</v>
      </c>
      <c r="H14">
        <v>0</v>
      </c>
      <c r="I14">
        <v>16613</v>
      </c>
      <c r="J14" s="49" t="s">
        <v>13</v>
      </c>
      <c r="L14" s="16" t="s">
        <v>272</v>
      </c>
      <c r="M14" s="16">
        <v>2</v>
      </c>
      <c r="N14" s="16" t="s">
        <v>333</v>
      </c>
      <c r="O14" s="16" t="s">
        <v>278</v>
      </c>
      <c r="P14" s="15" t="s">
        <v>282</v>
      </c>
      <c r="Q14" t="s">
        <v>371</v>
      </c>
      <c r="R14" t="s">
        <v>371</v>
      </c>
      <c r="S14" s="17" t="s">
        <v>371</v>
      </c>
      <c r="T14" s="16" t="s">
        <v>341</v>
      </c>
      <c r="U14" s="16" t="s">
        <v>342</v>
      </c>
      <c r="V14" s="15" t="s">
        <v>340</v>
      </c>
      <c r="W14" s="15" t="s">
        <v>344</v>
      </c>
      <c r="X14" s="17"/>
      <c r="Y14" t="s">
        <v>349</v>
      </c>
      <c r="Z14" t="s">
        <v>349</v>
      </c>
      <c r="AA14" t="s">
        <v>293</v>
      </c>
      <c r="AB14" t="s">
        <v>354</v>
      </c>
      <c r="AC14" t="s">
        <v>354</v>
      </c>
      <c r="AD14" t="s">
        <v>300</v>
      </c>
      <c r="AE14" t="s">
        <v>292</v>
      </c>
      <c r="AF14" t="s">
        <v>293</v>
      </c>
      <c r="AG14" t="s">
        <v>292</v>
      </c>
      <c r="AH14" t="s">
        <v>292</v>
      </c>
      <c r="AI14" t="s">
        <v>293</v>
      </c>
      <c r="AJ14" t="s">
        <v>302</v>
      </c>
      <c r="AK14" t="s">
        <v>359</v>
      </c>
      <c r="AL14" t="s">
        <v>357</v>
      </c>
      <c r="AM14" t="s">
        <v>293</v>
      </c>
      <c r="AN14" t="s">
        <v>293</v>
      </c>
      <c r="AO14" t="s">
        <v>297</v>
      </c>
      <c r="AP14" t="s">
        <v>298</v>
      </c>
      <c r="AQ14" t="s">
        <v>293</v>
      </c>
      <c r="AR14" t="s">
        <v>292</v>
      </c>
      <c r="AS14" t="s">
        <v>293</v>
      </c>
      <c r="AT14" t="s">
        <v>293</v>
      </c>
      <c r="AU14" t="s">
        <v>364</v>
      </c>
      <c r="AV14" t="str">
        <f t="shared" ref="AV14:AV77" si="2">IF(J14="fail",IF(H14=1,"break","car_stuck"),"no_fail")</f>
        <v>no_fail</v>
      </c>
    </row>
    <row r="15" spans="1:49" x14ac:dyDescent="0.3">
      <c r="A15" t="s">
        <v>43</v>
      </c>
      <c r="B15" t="s">
        <v>50</v>
      </c>
      <c r="C15" t="s">
        <v>22</v>
      </c>
      <c r="D15" t="s">
        <v>29</v>
      </c>
      <c r="E15" t="str">
        <f t="shared" si="0"/>
        <v>P_A4T-ZSB-S_9B4</v>
      </c>
      <c r="F15" t="b">
        <v>1</v>
      </c>
      <c r="G15">
        <v>100</v>
      </c>
      <c r="H15">
        <v>1</v>
      </c>
      <c r="I15">
        <v>15206</v>
      </c>
      <c r="J15" s="49" t="s">
        <v>18</v>
      </c>
      <c r="L15" s="16" t="s">
        <v>272</v>
      </c>
      <c r="M15" s="16">
        <v>3</v>
      </c>
      <c r="N15" s="16" t="s">
        <v>277</v>
      </c>
      <c r="O15" s="16" t="s">
        <v>335</v>
      </c>
      <c r="P15" s="15" t="s">
        <v>283</v>
      </c>
      <c r="Q15" t="s">
        <v>282</v>
      </c>
      <c r="R15" t="s">
        <v>371</v>
      </c>
      <c r="S15" s="17" t="s">
        <v>371</v>
      </c>
      <c r="T15" s="16" t="s">
        <v>341</v>
      </c>
      <c r="U15" s="16" t="s">
        <v>342</v>
      </c>
      <c r="V15" s="15" t="s">
        <v>343</v>
      </c>
      <c r="W15" s="15" t="s">
        <v>291</v>
      </c>
      <c r="X15" s="17" t="s">
        <v>344</v>
      </c>
      <c r="Y15" t="s">
        <v>349</v>
      </c>
      <c r="Z15" t="s">
        <v>349</v>
      </c>
      <c r="AA15" t="s">
        <v>293</v>
      </c>
      <c r="AB15" t="s">
        <v>353</v>
      </c>
      <c r="AC15" t="s">
        <v>297</v>
      </c>
      <c r="AD15" t="s">
        <v>301</v>
      </c>
      <c r="AE15" t="s">
        <v>292</v>
      </c>
      <c r="AF15" t="s">
        <v>293</v>
      </c>
      <c r="AG15" t="s">
        <v>292</v>
      </c>
      <c r="AH15" t="s">
        <v>292</v>
      </c>
      <c r="AI15" t="s">
        <v>293</v>
      </c>
      <c r="AJ15" t="s">
        <v>302</v>
      </c>
      <c r="AK15" t="s">
        <v>302</v>
      </c>
      <c r="AL15" t="s">
        <v>359</v>
      </c>
      <c r="AM15" t="s">
        <v>293</v>
      </c>
      <c r="AN15" t="s">
        <v>293</v>
      </c>
      <c r="AO15" t="s">
        <v>296</v>
      </c>
      <c r="AP15" t="s">
        <v>298</v>
      </c>
      <c r="AQ15" t="s">
        <v>293</v>
      </c>
      <c r="AR15" t="s">
        <v>292</v>
      </c>
      <c r="AS15" t="s">
        <v>293</v>
      </c>
      <c r="AT15" t="s">
        <v>293</v>
      </c>
      <c r="AU15" t="s">
        <v>364</v>
      </c>
      <c r="AV15" t="str">
        <f t="shared" si="2"/>
        <v>break</v>
      </c>
    </row>
    <row r="16" spans="1:49" x14ac:dyDescent="0.3">
      <c r="A16" t="s">
        <v>43</v>
      </c>
      <c r="B16" t="s">
        <v>50</v>
      </c>
      <c r="C16" t="s">
        <v>28</v>
      </c>
      <c r="D16" t="s">
        <v>29</v>
      </c>
      <c r="E16" t="str">
        <f t="shared" si="0"/>
        <v>P_A4T-ZSB-S_9T2</v>
      </c>
      <c r="F16" t="b">
        <v>1</v>
      </c>
      <c r="G16">
        <v>88.2</v>
      </c>
      <c r="H16">
        <v>0</v>
      </c>
      <c r="I16">
        <v>27467</v>
      </c>
      <c r="J16" s="49" t="s">
        <v>13</v>
      </c>
      <c r="L16" s="16" t="s">
        <v>272</v>
      </c>
      <c r="M16" s="16">
        <v>3</v>
      </c>
      <c r="N16" s="16" t="s">
        <v>277</v>
      </c>
      <c r="O16" s="16" t="s">
        <v>335</v>
      </c>
      <c r="P16" s="15" t="s">
        <v>283</v>
      </c>
      <c r="Q16" t="s">
        <v>282</v>
      </c>
      <c r="R16" t="s">
        <v>281</v>
      </c>
      <c r="S16" s="17" t="s">
        <v>371</v>
      </c>
      <c r="T16" s="16" t="s">
        <v>341</v>
      </c>
      <c r="U16" s="16" t="s">
        <v>342</v>
      </c>
      <c r="V16" s="15" t="s">
        <v>340</v>
      </c>
      <c r="W16" s="15" t="s">
        <v>344</v>
      </c>
      <c r="X16" s="17"/>
      <c r="Y16" t="s">
        <v>349</v>
      </c>
      <c r="Z16" t="s">
        <v>349</v>
      </c>
      <c r="AA16" t="s">
        <v>292</v>
      </c>
      <c r="AB16" t="s">
        <v>354</v>
      </c>
      <c r="AC16" t="s">
        <v>354</v>
      </c>
      <c r="AD16" t="s">
        <v>300</v>
      </c>
      <c r="AE16" t="s">
        <v>292</v>
      </c>
      <c r="AF16" t="s">
        <v>293</v>
      </c>
      <c r="AG16" t="s">
        <v>292</v>
      </c>
      <c r="AH16" t="s">
        <v>292</v>
      </c>
      <c r="AI16" t="s">
        <v>293</v>
      </c>
      <c r="AJ16" t="s">
        <v>302</v>
      </c>
      <c r="AK16" t="s">
        <v>302</v>
      </c>
      <c r="AL16" t="s">
        <v>357</v>
      </c>
      <c r="AM16" t="s">
        <v>293</v>
      </c>
      <c r="AN16" t="s">
        <v>293</v>
      </c>
      <c r="AO16" t="s">
        <v>296</v>
      </c>
      <c r="AP16" t="s">
        <v>298</v>
      </c>
      <c r="AQ16" t="s">
        <v>293</v>
      </c>
      <c r="AR16" t="s">
        <v>292</v>
      </c>
      <c r="AS16" t="s">
        <v>293</v>
      </c>
      <c r="AT16" t="s">
        <v>293</v>
      </c>
      <c r="AU16" t="s">
        <v>364</v>
      </c>
      <c r="AV16" t="str">
        <f t="shared" si="2"/>
        <v>no_fail</v>
      </c>
    </row>
    <row r="17" spans="1:48" x14ac:dyDescent="0.3">
      <c r="A17" t="s">
        <v>45</v>
      </c>
      <c r="B17" t="s">
        <v>68</v>
      </c>
      <c r="C17" t="s">
        <v>15</v>
      </c>
      <c r="D17" t="s">
        <v>12</v>
      </c>
      <c r="E17" t="str">
        <f t="shared" si="0"/>
        <v>P_A6W-KYY-S_0M4</v>
      </c>
      <c r="F17" t="b">
        <v>1</v>
      </c>
      <c r="G17">
        <v>100</v>
      </c>
      <c r="H17">
        <v>1</v>
      </c>
      <c r="I17">
        <v>11618</v>
      </c>
      <c r="J17" s="49" t="s">
        <v>18</v>
      </c>
      <c r="L17" s="16" t="s">
        <v>272</v>
      </c>
      <c r="M17" s="16">
        <v>3</v>
      </c>
      <c r="N17" s="16" t="s">
        <v>277</v>
      </c>
      <c r="O17" s="16" t="s">
        <v>335</v>
      </c>
      <c r="P17" s="15" t="s">
        <v>282</v>
      </c>
      <c r="Q17" t="s">
        <v>371</v>
      </c>
      <c r="R17" t="s">
        <v>371</v>
      </c>
      <c r="S17" s="17" t="s">
        <v>371</v>
      </c>
      <c r="T17" s="16" t="s">
        <v>340</v>
      </c>
      <c r="U17" s="16" t="s">
        <v>342</v>
      </c>
      <c r="V17" s="15" t="s">
        <v>343</v>
      </c>
      <c r="W17" s="15" t="s">
        <v>344</v>
      </c>
      <c r="X17" s="17" t="s">
        <v>291</v>
      </c>
      <c r="Y17" t="s">
        <v>349</v>
      </c>
      <c r="Z17" t="s">
        <v>349</v>
      </c>
      <c r="AA17" t="s">
        <v>293</v>
      </c>
      <c r="AB17" t="s">
        <v>352</v>
      </c>
      <c r="AC17" t="s">
        <v>296</v>
      </c>
      <c r="AD17" t="s">
        <v>300</v>
      </c>
      <c r="AE17" t="s">
        <v>292</v>
      </c>
      <c r="AF17" t="s">
        <v>293</v>
      </c>
      <c r="AG17" t="s">
        <v>292</v>
      </c>
      <c r="AH17" t="s">
        <v>292</v>
      </c>
      <c r="AI17" t="s">
        <v>293</v>
      </c>
      <c r="AJ17" t="s">
        <v>302</v>
      </c>
      <c r="AK17" t="s">
        <v>302</v>
      </c>
      <c r="AL17" t="s">
        <v>359</v>
      </c>
      <c r="AM17" t="s">
        <v>293</v>
      </c>
      <c r="AN17" t="s">
        <v>293</v>
      </c>
      <c r="AO17" t="s">
        <v>296</v>
      </c>
      <c r="AP17" t="s">
        <v>298</v>
      </c>
      <c r="AQ17" t="s">
        <v>293</v>
      </c>
      <c r="AR17" t="s">
        <v>292</v>
      </c>
      <c r="AS17" t="s">
        <v>363</v>
      </c>
      <c r="AT17" t="s">
        <v>293</v>
      </c>
      <c r="AU17" t="s">
        <v>364</v>
      </c>
      <c r="AV17" t="str">
        <f t="shared" si="2"/>
        <v>break</v>
      </c>
    </row>
    <row r="18" spans="1:48" x14ac:dyDescent="0.3">
      <c r="A18" t="s">
        <v>45</v>
      </c>
      <c r="B18" t="s">
        <v>68</v>
      </c>
      <c r="C18" t="s">
        <v>14</v>
      </c>
      <c r="D18" t="s">
        <v>12</v>
      </c>
      <c r="E18" t="str">
        <f t="shared" si="0"/>
        <v>P_A6W-KYY-S_1B0</v>
      </c>
      <c r="F18" t="b">
        <v>1</v>
      </c>
      <c r="G18">
        <v>91</v>
      </c>
      <c r="H18">
        <v>0</v>
      </c>
      <c r="I18">
        <v>14925</v>
      </c>
      <c r="J18" s="49" t="s">
        <v>13</v>
      </c>
      <c r="L18" s="16" t="s">
        <v>272</v>
      </c>
      <c r="M18" s="16">
        <v>3</v>
      </c>
      <c r="N18" s="16" t="s">
        <v>277</v>
      </c>
      <c r="O18" s="16" t="s">
        <v>335</v>
      </c>
      <c r="P18" s="15" t="s">
        <v>281</v>
      </c>
      <c r="Q18" t="s">
        <v>282</v>
      </c>
      <c r="R18" t="s">
        <v>371</v>
      </c>
      <c r="S18" s="17" t="s">
        <v>371</v>
      </c>
      <c r="T18" s="16" t="s">
        <v>341</v>
      </c>
      <c r="U18" s="16" t="s">
        <v>340</v>
      </c>
      <c r="V18" s="15" t="s">
        <v>343</v>
      </c>
      <c r="W18" s="15" t="s">
        <v>344</v>
      </c>
      <c r="X18" s="17" t="s">
        <v>346</v>
      </c>
      <c r="Y18" t="s">
        <v>349</v>
      </c>
      <c r="Z18" t="s">
        <v>349</v>
      </c>
      <c r="AA18" t="s">
        <v>293</v>
      </c>
      <c r="AB18" t="s">
        <v>353</v>
      </c>
      <c r="AC18" t="s">
        <v>296</v>
      </c>
      <c r="AD18" t="s">
        <v>300</v>
      </c>
      <c r="AE18" t="s">
        <v>293</v>
      </c>
      <c r="AF18" t="s">
        <v>292</v>
      </c>
      <c r="AG18" t="s">
        <v>292</v>
      </c>
      <c r="AH18" t="s">
        <v>292</v>
      </c>
      <c r="AI18" t="s">
        <v>293</v>
      </c>
      <c r="AJ18" t="s">
        <v>302</v>
      </c>
      <c r="AK18" t="s">
        <v>302</v>
      </c>
      <c r="AL18" t="s">
        <v>359</v>
      </c>
      <c r="AM18" t="s">
        <v>293</v>
      </c>
      <c r="AN18" t="s">
        <v>293</v>
      </c>
      <c r="AO18" t="s">
        <v>297</v>
      </c>
      <c r="AP18" t="s">
        <v>356</v>
      </c>
      <c r="AQ18" t="s">
        <v>293</v>
      </c>
      <c r="AR18" t="s">
        <v>292</v>
      </c>
      <c r="AS18" t="s">
        <v>293</v>
      </c>
      <c r="AT18" t="s">
        <v>293</v>
      </c>
      <c r="AU18" t="s">
        <v>364</v>
      </c>
      <c r="AV18" t="str">
        <f t="shared" si="2"/>
        <v>no_fail</v>
      </c>
    </row>
    <row r="19" spans="1:48" x14ac:dyDescent="0.3">
      <c r="A19" t="s">
        <v>45</v>
      </c>
      <c r="B19" t="s">
        <v>68</v>
      </c>
      <c r="C19" t="s">
        <v>11</v>
      </c>
      <c r="D19" t="s">
        <v>12</v>
      </c>
      <c r="E19" t="str">
        <f t="shared" si="0"/>
        <v>P_A6W-KYY-S_1Q4</v>
      </c>
      <c r="F19" t="b">
        <v>1</v>
      </c>
      <c r="G19">
        <v>100</v>
      </c>
      <c r="H19">
        <v>1</v>
      </c>
      <c r="I19">
        <v>11946</v>
      </c>
      <c r="J19" s="49" t="s">
        <v>13</v>
      </c>
      <c r="L19" s="16" t="s">
        <v>272</v>
      </c>
      <c r="M19" s="16">
        <v>3</v>
      </c>
      <c r="N19" s="16" t="s">
        <v>277</v>
      </c>
      <c r="O19" s="16" t="s">
        <v>335</v>
      </c>
      <c r="P19" s="15" t="s">
        <v>281</v>
      </c>
      <c r="Q19" t="s">
        <v>282</v>
      </c>
      <c r="R19" t="s">
        <v>371</v>
      </c>
      <c r="S19" s="17" t="s">
        <v>371</v>
      </c>
      <c r="T19" s="16" t="s">
        <v>341</v>
      </c>
      <c r="U19" s="16" t="s">
        <v>340</v>
      </c>
      <c r="V19" s="15" t="s">
        <v>343</v>
      </c>
      <c r="W19" s="15" t="s">
        <v>344</v>
      </c>
      <c r="X19" s="17" t="s">
        <v>346</v>
      </c>
      <c r="Y19" t="s">
        <v>349</v>
      </c>
      <c r="Z19" t="s">
        <v>349</v>
      </c>
      <c r="AA19" t="s">
        <v>293</v>
      </c>
      <c r="AB19" t="s">
        <v>353</v>
      </c>
      <c r="AC19" t="s">
        <v>296</v>
      </c>
      <c r="AD19" t="s">
        <v>300</v>
      </c>
      <c r="AE19" t="s">
        <v>292</v>
      </c>
      <c r="AF19" t="s">
        <v>293</v>
      </c>
      <c r="AG19" t="s">
        <v>292</v>
      </c>
      <c r="AH19" t="s">
        <v>292</v>
      </c>
      <c r="AI19" t="s">
        <v>293</v>
      </c>
      <c r="AJ19" t="s">
        <v>302</v>
      </c>
      <c r="AK19" t="s">
        <v>302</v>
      </c>
      <c r="AL19" t="s">
        <v>359</v>
      </c>
      <c r="AM19" t="s">
        <v>293</v>
      </c>
      <c r="AN19" t="s">
        <v>293</v>
      </c>
      <c r="AO19" t="s">
        <v>297</v>
      </c>
      <c r="AP19" t="s">
        <v>298</v>
      </c>
      <c r="AQ19" t="s">
        <v>293</v>
      </c>
      <c r="AR19" t="s">
        <v>292</v>
      </c>
      <c r="AS19" t="s">
        <v>293</v>
      </c>
      <c r="AT19" t="s">
        <v>293</v>
      </c>
      <c r="AU19" t="s">
        <v>364</v>
      </c>
      <c r="AV19" t="str">
        <f t="shared" si="2"/>
        <v>no_fail</v>
      </c>
    </row>
    <row r="20" spans="1:48" x14ac:dyDescent="0.3">
      <c r="A20" t="s">
        <v>45</v>
      </c>
      <c r="B20" t="s">
        <v>68</v>
      </c>
      <c r="C20" t="s">
        <v>17</v>
      </c>
      <c r="D20" t="s">
        <v>12</v>
      </c>
      <c r="E20" t="str">
        <f t="shared" si="0"/>
        <v>P_A6W-KYY-S_6B5</v>
      </c>
      <c r="F20" t="b">
        <v>1</v>
      </c>
      <c r="G20">
        <v>83.3</v>
      </c>
      <c r="H20">
        <v>0</v>
      </c>
      <c r="I20">
        <v>14818</v>
      </c>
      <c r="J20" s="49" t="s">
        <v>13</v>
      </c>
      <c r="L20" s="16" t="s">
        <v>272</v>
      </c>
      <c r="M20" s="16">
        <v>3</v>
      </c>
      <c r="N20" s="16" t="s">
        <v>277</v>
      </c>
      <c r="O20" s="16" t="s">
        <v>335</v>
      </c>
      <c r="P20" s="15" t="s">
        <v>282</v>
      </c>
      <c r="Q20" t="s">
        <v>371</v>
      </c>
      <c r="R20" t="s">
        <v>371</v>
      </c>
      <c r="S20" s="17" t="s">
        <v>371</v>
      </c>
      <c r="T20" s="16" t="s">
        <v>341</v>
      </c>
      <c r="U20" s="16" t="s">
        <v>342</v>
      </c>
      <c r="V20" s="15" t="s">
        <v>343</v>
      </c>
      <c r="W20" s="15" t="s">
        <v>345</v>
      </c>
      <c r="X20" s="17" t="s">
        <v>344</v>
      </c>
      <c r="Y20" t="s">
        <v>349</v>
      </c>
      <c r="Z20" t="s">
        <v>349</v>
      </c>
      <c r="AA20" t="s">
        <v>293</v>
      </c>
      <c r="AB20" t="s">
        <v>353</v>
      </c>
      <c r="AC20" t="s">
        <v>296</v>
      </c>
      <c r="AD20" t="s">
        <v>299</v>
      </c>
      <c r="AE20" t="s">
        <v>292</v>
      </c>
      <c r="AF20" t="s">
        <v>292</v>
      </c>
      <c r="AG20" t="s">
        <v>292</v>
      </c>
      <c r="AH20" t="s">
        <v>292</v>
      </c>
      <c r="AI20" t="s">
        <v>293</v>
      </c>
      <c r="AJ20" t="s">
        <v>302</v>
      </c>
      <c r="AK20" t="s">
        <v>302</v>
      </c>
      <c r="AL20" t="s">
        <v>359</v>
      </c>
      <c r="AM20" t="s">
        <v>293</v>
      </c>
      <c r="AN20" t="s">
        <v>293</v>
      </c>
      <c r="AO20" t="s">
        <v>297</v>
      </c>
      <c r="AP20" t="s">
        <v>298</v>
      </c>
      <c r="AQ20" t="s">
        <v>293</v>
      </c>
      <c r="AR20" t="s">
        <v>292</v>
      </c>
      <c r="AS20" t="s">
        <v>363</v>
      </c>
      <c r="AT20" t="s">
        <v>293</v>
      </c>
      <c r="AU20" t="s">
        <v>364</v>
      </c>
      <c r="AV20" t="str">
        <f t="shared" si="2"/>
        <v>no_fail</v>
      </c>
    </row>
    <row r="21" spans="1:48" x14ac:dyDescent="0.3">
      <c r="A21" t="s">
        <v>45</v>
      </c>
      <c r="B21" t="s">
        <v>68</v>
      </c>
      <c r="C21" t="s">
        <v>16</v>
      </c>
      <c r="D21" t="s">
        <v>12</v>
      </c>
      <c r="E21" t="str">
        <f t="shared" si="0"/>
        <v>P_A6W-KYY-S_6U7</v>
      </c>
      <c r="F21" t="b">
        <v>1</v>
      </c>
      <c r="G21">
        <v>100</v>
      </c>
      <c r="H21">
        <v>1</v>
      </c>
      <c r="I21">
        <v>15080</v>
      </c>
      <c r="J21" s="49" t="s">
        <v>18</v>
      </c>
      <c r="L21" s="16" t="s">
        <v>272</v>
      </c>
      <c r="M21" s="16">
        <v>3</v>
      </c>
      <c r="N21" s="16" t="s">
        <v>277</v>
      </c>
      <c r="O21" s="16" t="s">
        <v>335</v>
      </c>
      <c r="P21" s="15" t="s">
        <v>282</v>
      </c>
      <c r="Q21" t="s">
        <v>371</v>
      </c>
      <c r="R21" t="s">
        <v>371</v>
      </c>
      <c r="S21" s="17" t="s">
        <v>371</v>
      </c>
      <c r="T21" s="16" t="s">
        <v>341</v>
      </c>
      <c r="U21" s="16" t="s">
        <v>342</v>
      </c>
      <c r="V21" s="15" t="s">
        <v>343</v>
      </c>
      <c r="W21" s="15" t="s">
        <v>345</v>
      </c>
      <c r="X21" s="17" t="s">
        <v>344</v>
      </c>
      <c r="Y21" t="s">
        <v>349</v>
      </c>
      <c r="Z21" t="s">
        <v>349</v>
      </c>
      <c r="AA21" t="s">
        <v>293</v>
      </c>
      <c r="AB21" t="s">
        <v>353</v>
      </c>
      <c r="AC21" t="s">
        <v>296</v>
      </c>
      <c r="AD21" t="s">
        <v>299</v>
      </c>
      <c r="AE21" t="s">
        <v>292</v>
      </c>
      <c r="AF21" t="s">
        <v>293</v>
      </c>
      <c r="AG21" t="s">
        <v>292</v>
      </c>
      <c r="AH21" t="s">
        <v>292</v>
      </c>
      <c r="AI21" t="s">
        <v>293</v>
      </c>
      <c r="AJ21" t="s">
        <v>302</v>
      </c>
      <c r="AK21" t="s">
        <v>302</v>
      </c>
      <c r="AL21" t="s">
        <v>359</v>
      </c>
      <c r="AM21" t="s">
        <v>293</v>
      </c>
      <c r="AN21" t="s">
        <v>293</v>
      </c>
      <c r="AO21" t="s">
        <v>297</v>
      </c>
      <c r="AP21" t="s">
        <v>298</v>
      </c>
      <c r="AQ21" t="s">
        <v>293</v>
      </c>
      <c r="AR21" t="s">
        <v>292</v>
      </c>
      <c r="AS21" t="s">
        <v>363</v>
      </c>
      <c r="AT21" t="s">
        <v>293</v>
      </c>
      <c r="AU21" t="s">
        <v>364</v>
      </c>
      <c r="AV21" t="str">
        <f t="shared" si="2"/>
        <v>break</v>
      </c>
    </row>
    <row r="22" spans="1:48" x14ac:dyDescent="0.3">
      <c r="A22" t="s">
        <v>45</v>
      </c>
      <c r="B22" t="s">
        <v>68</v>
      </c>
      <c r="C22" t="s">
        <v>23</v>
      </c>
      <c r="D22" t="s">
        <v>29</v>
      </c>
      <c r="E22" t="str">
        <f t="shared" si="0"/>
        <v>P_A6W-ZSB-S_0T2</v>
      </c>
      <c r="F22" t="b">
        <v>1</v>
      </c>
      <c r="G22">
        <v>100</v>
      </c>
      <c r="H22">
        <v>1</v>
      </c>
      <c r="I22">
        <v>9025</v>
      </c>
      <c r="J22" s="49" t="s">
        <v>18</v>
      </c>
      <c r="L22" s="16" t="s">
        <v>272</v>
      </c>
      <c r="M22" s="16">
        <v>2</v>
      </c>
      <c r="N22" s="16" t="s">
        <v>277</v>
      </c>
      <c r="O22" s="16" t="s">
        <v>335</v>
      </c>
      <c r="P22" s="15" t="s">
        <v>282</v>
      </c>
      <c r="Q22" t="s">
        <v>371</v>
      </c>
      <c r="R22" t="s">
        <v>371</v>
      </c>
      <c r="S22" s="17" t="s">
        <v>371</v>
      </c>
      <c r="T22" s="16" t="s">
        <v>340</v>
      </c>
      <c r="U22" s="16" t="s">
        <v>342</v>
      </c>
      <c r="V22" s="15" t="s">
        <v>340</v>
      </c>
      <c r="W22" s="15" t="s">
        <v>344</v>
      </c>
      <c r="X22" s="17"/>
      <c r="Y22" t="s">
        <v>349</v>
      </c>
      <c r="Z22" t="s">
        <v>349</v>
      </c>
      <c r="AA22" t="s">
        <v>293</v>
      </c>
      <c r="AB22" t="s">
        <v>354</v>
      </c>
      <c r="AC22" t="s">
        <v>354</v>
      </c>
      <c r="AD22" t="s">
        <v>300</v>
      </c>
      <c r="AE22" t="s">
        <v>292</v>
      </c>
      <c r="AF22" t="s">
        <v>293</v>
      </c>
      <c r="AG22" t="s">
        <v>292</v>
      </c>
      <c r="AH22" t="s">
        <v>292</v>
      </c>
      <c r="AI22" t="s">
        <v>293</v>
      </c>
      <c r="AJ22" t="s">
        <v>302</v>
      </c>
      <c r="AK22" t="s">
        <v>302</v>
      </c>
      <c r="AL22" t="s">
        <v>357</v>
      </c>
      <c r="AM22" t="s">
        <v>293</v>
      </c>
      <c r="AN22" t="s">
        <v>293</v>
      </c>
      <c r="AO22" t="s">
        <v>297</v>
      </c>
      <c r="AP22" t="s">
        <v>298</v>
      </c>
      <c r="AQ22" t="s">
        <v>293</v>
      </c>
      <c r="AR22" t="s">
        <v>292</v>
      </c>
      <c r="AS22" t="s">
        <v>293</v>
      </c>
      <c r="AT22" t="s">
        <v>293</v>
      </c>
      <c r="AU22" t="s">
        <v>364</v>
      </c>
      <c r="AV22" t="str">
        <f t="shared" si="2"/>
        <v>break</v>
      </c>
    </row>
    <row r="23" spans="1:48" x14ac:dyDescent="0.3">
      <c r="A23" t="s">
        <v>45</v>
      </c>
      <c r="B23" t="s">
        <v>68</v>
      </c>
      <c r="C23" t="s">
        <v>25</v>
      </c>
      <c r="D23" t="s">
        <v>29</v>
      </c>
      <c r="E23" t="str">
        <f t="shared" si="0"/>
        <v>P_A6W-ZSB-S_1J8</v>
      </c>
      <c r="F23" t="b">
        <v>1</v>
      </c>
      <c r="G23">
        <v>54.9</v>
      </c>
      <c r="H23">
        <v>0</v>
      </c>
      <c r="I23">
        <v>12165</v>
      </c>
      <c r="J23" s="49" t="s">
        <v>13</v>
      </c>
      <c r="L23" s="16" t="s">
        <v>272</v>
      </c>
      <c r="M23" s="16">
        <v>3</v>
      </c>
      <c r="N23" s="16" t="s">
        <v>277</v>
      </c>
      <c r="O23" s="16" t="s">
        <v>335</v>
      </c>
      <c r="P23" s="15" t="s">
        <v>283</v>
      </c>
      <c r="Q23" t="s">
        <v>282</v>
      </c>
      <c r="R23" t="s">
        <v>371</v>
      </c>
      <c r="S23" s="17" t="s">
        <v>371</v>
      </c>
      <c r="T23" s="16" t="s">
        <v>341</v>
      </c>
      <c r="U23" s="16" t="s">
        <v>340</v>
      </c>
      <c r="V23" s="15" t="s">
        <v>343</v>
      </c>
      <c r="W23" s="15" t="s">
        <v>344</v>
      </c>
      <c r="X23" s="17"/>
      <c r="Y23" t="s">
        <v>349</v>
      </c>
      <c r="Z23" t="s">
        <v>349</v>
      </c>
      <c r="AA23" t="s">
        <v>293</v>
      </c>
      <c r="AB23" t="s">
        <v>353</v>
      </c>
      <c r="AC23" t="s">
        <v>296</v>
      </c>
      <c r="AD23" t="s">
        <v>300</v>
      </c>
      <c r="AE23" t="s">
        <v>292</v>
      </c>
      <c r="AF23" t="s">
        <v>293</v>
      </c>
      <c r="AG23" t="s">
        <v>292</v>
      </c>
      <c r="AH23" t="s">
        <v>292</v>
      </c>
      <c r="AI23" t="s">
        <v>293</v>
      </c>
      <c r="AJ23" t="s">
        <v>302</v>
      </c>
      <c r="AK23" t="s">
        <v>302</v>
      </c>
      <c r="AL23" t="s">
        <v>359</v>
      </c>
      <c r="AM23" t="s">
        <v>293</v>
      </c>
      <c r="AN23" t="s">
        <v>293</v>
      </c>
      <c r="AO23" t="s">
        <v>297</v>
      </c>
      <c r="AP23" t="s">
        <v>298</v>
      </c>
      <c r="AQ23" t="s">
        <v>293</v>
      </c>
      <c r="AR23" t="s">
        <v>292</v>
      </c>
      <c r="AS23" t="s">
        <v>293</v>
      </c>
      <c r="AT23" t="s">
        <v>293</v>
      </c>
      <c r="AU23" t="s">
        <v>364</v>
      </c>
      <c r="AV23" t="str">
        <f t="shared" si="2"/>
        <v>no_fail</v>
      </c>
    </row>
    <row r="24" spans="1:48" x14ac:dyDescent="0.3">
      <c r="A24" t="s">
        <v>45</v>
      </c>
      <c r="B24" t="s">
        <v>68</v>
      </c>
      <c r="C24" t="s">
        <v>24</v>
      </c>
      <c r="D24" t="s">
        <v>29</v>
      </c>
      <c r="E24" t="str">
        <f t="shared" si="0"/>
        <v>P_A6W-ZSB-S_1U0</v>
      </c>
      <c r="F24" t="b">
        <v>1</v>
      </c>
      <c r="G24">
        <v>67.900000000000006</v>
      </c>
      <c r="H24">
        <v>0</v>
      </c>
      <c r="I24">
        <v>12060</v>
      </c>
      <c r="J24" s="49" t="s">
        <v>13</v>
      </c>
      <c r="L24" s="16" t="s">
        <v>272</v>
      </c>
      <c r="M24" s="16">
        <v>2</v>
      </c>
      <c r="N24" s="16" t="s">
        <v>277</v>
      </c>
      <c r="O24" s="16" t="s">
        <v>335</v>
      </c>
      <c r="P24" s="15" t="s">
        <v>282</v>
      </c>
      <c r="Q24" t="s">
        <v>371</v>
      </c>
      <c r="R24" t="s">
        <v>371</v>
      </c>
      <c r="S24" s="17" t="s">
        <v>371</v>
      </c>
      <c r="T24" s="16" t="s">
        <v>340</v>
      </c>
      <c r="U24" s="16" t="s">
        <v>342</v>
      </c>
      <c r="V24" s="15" t="s">
        <v>340</v>
      </c>
      <c r="W24" s="15" t="s">
        <v>344</v>
      </c>
      <c r="X24" s="17"/>
      <c r="Y24" t="s">
        <v>349</v>
      </c>
      <c r="Z24" t="s">
        <v>349</v>
      </c>
      <c r="AA24" t="s">
        <v>293</v>
      </c>
      <c r="AB24" t="s">
        <v>354</v>
      </c>
      <c r="AC24" t="s">
        <v>354</v>
      </c>
      <c r="AD24" t="s">
        <v>300</v>
      </c>
      <c r="AE24" t="s">
        <v>293</v>
      </c>
      <c r="AF24" t="s">
        <v>292</v>
      </c>
      <c r="AG24" t="s">
        <v>292</v>
      </c>
      <c r="AH24" t="s">
        <v>293</v>
      </c>
      <c r="AI24" t="s">
        <v>293</v>
      </c>
      <c r="AJ24" t="s">
        <v>302</v>
      </c>
      <c r="AK24" t="s">
        <v>302</v>
      </c>
      <c r="AL24" t="s">
        <v>357</v>
      </c>
      <c r="AM24" t="s">
        <v>293</v>
      </c>
      <c r="AN24" t="s">
        <v>293</v>
      </c>
      <c r="AO24" t="s">
        <v>297</v>
      </c>
      <c r="AP24" t="s">
        <v>356</v>
      </c>
      <c r="AQ24" t="s">
        <v>293</v>
      </c>
      <c r="AR24" t="s">
        <v>292</v>
      </c>
      <c r="AS24" t="s">
        <v>293</v>
      </c>
      <c r="AT24" t="s">
        <v>293</v>
      </c>
      <c r="AU24" t="s">
        <v>364</v>
      </c>
      <c r="AV24" t="str">
        <f t="shared" si="2"/>
        <v>no_fail</v>
      </c>
    </row>
    <row r="25" spans="1:48" x14ac:dyDescent="0.3">
      <c r="A25" t="s">
        <v>45</v>
      </c>
      <c r="B25" t="s">
        <v>68</v>
      </c>
      <c r="C25" t="s">
        <v>21</v>
      </c>
      <c r="D25" t="s">
        <v>29</v>
      </c>
      <c r="E25" t="str">
        <f t="shared" si="0"/>
        <v>P_A6W-ZSB-S_3X6</v>
      </c>
      <c r="F25" t="b">
        <v>1</v>
      </c>
      <c r="G25">
        <v>92.6</v>
      </c>
      <c r="H25">
        <v>0</v>
      </c>
      <c r="I25">
        <v>10426</v>
      </c>
      <c r="J25" s="49" t="s">
        <v>13</v>
      </c>
      <c r="L25" s="16" t="s">
        <v>272</v>
      </c>
      <c r="M25" s="16">
        <v>3</v>
      </c>
      <c r="N25" s="16" t="s">
        <v>277</v>
      </c>
      <c r="O25" s="16" t="s">
        <v>335</v>
      </c>
      <c r="P25" s="15" t="s">
        <v>281</v>
      </c>
      <c r="Q25" t="s">
        <v>273</v>
      </c>
      <c r="R25" t="s">
        <v>282</v>
      </c>
      <c r="S25" s="17" t="s">
        <v>371</v>
      </c>
      <c r="T25" s="16" t="s">
        <v>340</v>
      </c>
      <c r="U25" s="16" t="s">
        <v>342</v>
      </c>
      <c r="V25" s="15" t="s">
        <v>343</v>
      </c>
      <c r="W25" s="15" t="s">
        <v>344</v>
      </c>
      <c r="X25" s="17"/>
      <c r="Y25" t="s">
        <v>349</v>
      </c>
      <c r="Z25" t="s">
        <v>349</v>
      </c>
      <c r="AA25" t="s">
        <v>293</v>
      </c>
      <c r="AB25" t="s">
        <v>353</v>
      </c>
      <c r="AC25" t="s">
        <v>355</v>
      </c>
      <c r="AD25" t="s">
        <v>300</v>
      </c>
      <c r="AE25" t="s">
        <v>292</v>
      </c>
      <c r="AF25" t="s">
        <v>293</v>
      </c>
      <c r="AG25" t="s">
        <v>292</v>
      </c>
      <c r="AH25" t="s">
        <v>292</v>
      </c>
      <c r="AI25" t="s">
        <v>293</v>
      </c>
      <c r="AJ25" t="s">
        <v>302</v>
      </c>
      <c r="AK25" t="s">
        <v>302</v>
      </c>
      <c r="AL25" t="s">
        <v>359</v>
      </c>
      <c r="AM25" t="s">
        <v>293</v>
      </c>
      <c r="AN25" t="s">
        <v>293</v>
      </c>
      <c r="AO25" t="s">
        <v>297</v>
      </c>
      <c r="AP25" t="s">
        <v>298</v>
      </c>
      <c r="AQ25" t="s">
        <v>293</v>
      </c>
      <c r="AR25" t="s">
        <v>292</v>
      </c>
      <c r="AS25" t="s">
        <v>293</v>
      </c>
      <c r="AT25" t="s">
        <v>293</v>
      </c>
      <c r="AU25" t="s">
        <v>364</v>
      </c>
      <c r="AV25" t="str">
        <f t="shared" si="2"/>
        <v>no_fail</v>
      </c>
    </row>
    <row r="26" spans="1:48" x14ac:dyDescent="0.3">
      <c r="A26" t="s">
        <v>45</v>
      </c>
      <c r="B26" t="s">
        <v>68</v>
      </c>
      <c r="C26" t="s">
        <v>19</v>
      </c>
      <c r="D26" t="s">
        <v>29</v>
      </c>
      <c r="E26" t="str">
        <f t="shared" si="0"/>
        <v>P_A6W-ZSB-S_4U3</v>
      </c>
      <c r="F26" t="b">
        <v>1</v>
      </c>
      <c r="G26">
        <v>71.8</v>
      </c>
      <c r="H26">
        <v>0</v>
      </c>
      <c r="I26">
        <v>14160</v>
      </c>
      <c r="J26" s="49" t="s">
        <v>13</v>
      </c>
      <c r="L26" s="16" t="s">
        <v>272</v>
      </c>
      <c r="M26" s="16">
        <v>3</v>
      </c>
      <c r="N26" s="16" t="s">
        <v>277</v>
      </c>
      <c r="O26" s="16" t="s">
        <v>335</v>
      </c>
      <c r="P26" s="15" t="s">
        <v>281</v>
      </c>
      <c r="Q26" t="s">
        <v>283</v>
      </c>
      <c r="R26" t="s">
        <v>282</v>
      </c>
      <c r="S26" s="17" t="s">
        <v>371</v>
      </c>
      <c r="T26" s="16" t="s">
        <v>341</v>
      </c>
      <c r="U26" s="16" t="s">
        <v>342</v>
      </c>
      <c r="V26" s="15" t="s">
        <v>343</v>
      </c>
      <c r="W26" s="15" t="s">
        <v>344</v>
      </c>
      <c r="X26" s="17"/>
      <c r="Y26" t="s">
        <v>349</v>
      </c>
      <c r="Z26" t="s">
        <v>349</v>
      </c>
      <c r="AA26" t="s">
        <v>293</v>
      </c>
      <c r="AB26" t="s">
        <v>353</v>
      </c>
      <c r="AC26" t="s">
        <v>355</v>
      </c>
      <c r="AD26" t="s">
        <v>299</v>
      </c>
      <c r="AE26" t="s">
        <v>292</v>
      </c>
      <c r="AF26" t="s">
        <v>292</v>
      </c>
      <c r="AG26" t="s">
        <v>292</v>
      </c>
      <c r="AH26" t="s">
        <v>292</v>
      </c>
      <c r="AI26" t="s">
        <v>293</v>
      </c>
      <c r="AJ26" t="s">
        <v>302</v>
      </c>
      <c r="AK26" t="s">
        <v>302</v>
      </c>
      <c r="AL26" t="s">
        <v>359</v>
      </c>
      <c r="AM26" t="s">
        <v>293</v>
      </c>
      <c r="AN26" t="s">
        <v>293</v>
      </c>
      <c r="AO26" t="s">
        <v>297</v>
      </c>
      <c r="AP26" t="s">
        <v>298</v>
      </c>
      <c r="AQ26" t="s">
        <v>293</v>
      </c>
      <c r="AR26" t="s">
        <v>292</v>
      </c>
      <c r="AS26" t="s">
        <v>293</v>
      </c>
      <c r="AT26" t="s">
        <v>293</v>
      </c>
      <c r="AU26" t="s">
        <v>364</v>
      </c>
      <c r="AV26" t="str">
        <f t="shared" si="2"/>
        <v>no_fail</v>
      </c>
    </row>
    <row r="27" spans="1:48" x14ac:dyDescent="0.3">
      <c r="A27" t="s">
        <v>45</v>
      </c>
      <c r="B27" t="s">
        <v>68</v>
      </c>
      <c r="C27" t="s">
        <v>20</v>
      </c>
      <c r="D27" t="s">
        <v>29</v>
      </c>
      <c r="E27" t="str">
        <f t="shared" si="0"/>
        <v>P_A6W-ZSB-S_7W0</v>
      </c>
      <c r="F27" t="b">
        <v>1</v>
      </c>
      <c r="G27">
        <v>100</v>
      </c>
      <c r="H27">
        <v>1</v>
      </c>
      <c r="I27">
        <v>9939</v>
      </c>
      <c r="J27" s="49" t="s">
        <v>13</v>
      </c>
      <c r="L27" s="16" t="s">
        <v>272</v>
      </c>
      <c r="M27" s="16">
        <v>3</v>
      </c>
      <c r="N27" s="16" t="s">
        <v>277</v>
      </c>
      <c r="O27" s="16" t="s">
        <v>335</v>
      </c>
      <c r="P27" s="15" t="s">
        <v>281</v>
      </c>
      <c r="Q27" t="s">
        <v>273</v>
      </c>
      <c r="R27" t="s">
        <v>282</v>
      </c>
      <c r="S27" s="17" t="s">
        <v>371</v>
      </c>
      <c r="T27" s="16" t="s">
        <v>340</v>
      </c>
      <c r="U27" s="16" t="s">
        <v>342</v>
      </c>
      <c r="V27" s="15" t="s">
        <v>343</v>
      </c>
      <c r="W27" s="15" t="s">
        <v>344</v>
      </c>
      <c r="X27" s="17"/>
      <c r="Y27" t="s">
        <v>349</v>
      </c>
      <c r="Z27" t="s">
        <v>349</v>
      </c>
      <c r="AA27" t="s">
        <v>293</v>
      </c>
      <c r="AB27" t="s">
        <v>353</v>
      </c>
      <c r="AC27" t="s">
        <v>355</v>
      </c>
      <c r="AD27" t="s">
        <v>300</v>
      </c>
      <c r="AE27" t="s">
        <v>292</v>
      </c>
      <c r="AF27" t="s">
        <v>293</v>
      </c>
      <c r="AG27" t="s">
        <v>292</v>
      </c>
      <c r="AH27" t="s">
        <v>293</v>
      </c>
      <c r="AI27" t="s">
        <v>293</v>
      </c>
      <c r="AJ27" t="s">
        <v>302</v>
      </c>
      <c r="AK27" t="s">
        <v>302</v>
      </c>
      <c r="AL27" t="s">
        <v>359</v>
      </c>
      <c r="AM27" t="s">
        <v>293</v>
      </c>
      <c r="AN27" t="s">
        <v>293</v>
      </c>
      <c r="AO27" t="s">
        <v>297</v>
      </c>
      <c r="AP27" t="s">
        <v>298</v>
      </c>
      <c r="AQ27" t="s">
        <v>293</v>
      </c>
      <c r="AR27" t="s">
        <v>292</v>
      </c>
      <c r="AS27" t="s">
        <v>293</v>
      </c>
      <c r="AT27" t="s">
        <v>293</v>
      </c>
      <c r="AU27" t="s">
        <v>364</v>
      </c>
      <c r="AV27" t="str">
        <f t="shared" si="2"/>
        <v>no_fail</v>
      </c>
    </row>
    <row r="28" spans="1:48" x14ac:dyDescent="0.3">
      <c r="A28" t="s">
        <v>45</v>
      </c>
      <c r="B28" t="s">
        <v>68</v>
      </c>
      <c r="C28" t="s">
        <v>26</v>
      </c>
      <c r="D28" t="s">
        <v>29</v>
      </c>
      <c r="E28" t="str">
        <f t="shared" si="0"/>
        <v>P_A6W-ZSB-S_8O8</v>
      </c>
      <c r="F28" t="b">
        <v>1</v>
      </c>
      <c r="G28">
        <v>100</v>
      </c>
      <c r="H28">
        <v>1</v>
      </c>
      <c r="I28">
        <v>21200</v>
      </c>
      <c r="J28" s="49" t="s">
        <v>18</v>
      </c>
      <c r="L28" s="16" t="s">
        <v>272</v>
      </c>
      <c r="M28" s="16">
        <v>3</v>
      </c>
      <c r="N28" s="16" t="s">
        <v>277</v>
      </c>
      <c r="O28" s="16" t="s">
        <v>335</v>
      </c>
      <c r="P28" s="15" t="s">
        <v>283</v>
      </c>
      <c r="Q28" t="s">
        <v>282</v>
      </c>
      <c r="R28" t="s">
        <v>371</v>
      </c>
      <c r="S28" s="17" t="s">
        <v>371</v>
      </c>
      <c r="T28" s="16" t="s">
        <v>341</v>
      </c>
      <c r="U28" s="16" t="s">
        <v>340</v>
      </c>
      <c r="V28" s="15" t="s">
        <v>343</v>
      </c>
      <c r="W28" s="15" t="s">
        <v>344</v>
      </c>
      <c r="X28" s="17"/>
      <c r="Y28" t="s">
        <v>349</v>
      </c>
      <c r="Z28" t="s">
        <v>349</v>
      </c>
      <c r="AA28" t="s">
        <v>293</v>
      </c>
      <c r="AB28" t="s">
        <v>353</v>
      </c>
      <c r="AC28" t="s">
        <v>296</v>
      </c>
      <c r="AD28" t="s">
        <v>301</v>
      </c>
      <c r="AE28" t="s">
        <v>292</v>
      </c>
      <c r="AF28" t="s">
        <v>293</v>
      </c>
      <c r="AG28" t="s">
        <v>293</v>
      </c>
      <c r="AH28" t="s">
        <v>292</v>
      </c>
      <c r="AI28" t="s">
        <v>293</v>
      </c>
      <c r="AJ28" t="s">
        <v>302</v>
      </c>
      <c r="AK28" t="s">
        <v>302</v>
      </c>
      <c r="AL28" t="s">
        <v>359</v>
      </c>
      <c r="AM28" t="s">
        <v>293</v>
      </c>
      <c r="AN28" t="s">
        <v>293</v>
      </c>
      <c r="AO28" t="s">
        <v>296</v>
      </c>
      <c r="AP28" t="s">
        <v>298</v>
      </c>
      <c r="AQ28" t="s">
        <v>293</v>
      </c>
      <c r="AR28" t="s">
        <v>292</v>
      </c>
      <c r="AS28" t="s">
        <v>293</v>
      </c>
      <c r="AT28" t="s">
        <v>293</v>
      </c>
      <c r="AU28" t="s">
        <v>364</v>
      </c>
      <c r="AV28" t="str">
        <f t="shared" si="2"/>
        <v>break</v>
      </c>
    </row>
    <row r="29" spans="1:48" x14ac:dyDescent="0.3">
      <c r="A29" t="s">
        <v>45</v>
      </c>
      <c r="B29" t="s">
        <v>68</v>
      </c>
      <c r="C29" t="s">
        <v>22</v>
      </c>
      <c r="D29" t="s">
        <v>29</v>
      </c>
      <c r="E29" t="str">
        <f t="shared" si="0"/>
        <v>P_A6W-ZSB-S_9B4</v>
      </c>
      <c r="F29" t="b">
        <v>1</v>
      </c>
      <c r="G29">
        <v>99.8</v>
      </c>
      <c r="H29">
        <v>0</v>
      </c>
      <c r="I29">
        <v>9408</v>
      </c>
      <c r="J29" s="49" t="s">
        <v>13</v>
      </c>
      <c r="L29" s="16" t="s">
        <v>272</v>
      </c>
      <c r="M29" s="16">
        <v>2</v>
      </c>
      <c r="N29" s="16" t="s">
        <v>277</v>
      </c>
      <c r="O29" s="16" t="s">
        <v>335</v>
      </c>
      <c r="P29" s="15" t="s">
        <v>282</v>
      </c>
      <c r="Q29" t="s">
        <v>371</v>
      </c>
      <c r="R29" t="s">
        <v>371</v>
      </c>
      <c r="S29" s="17" t="s">
        <v>371</v>
      </c>
      <c r="T29" s="16" t="s">
        <v>341</v>
      </c>
      <c r="U29" s="16" t="s">
        <v>340</v>
      </c>
      <c r="V29" s="15" t="s">
        <v>340</v>
      </c>
      <c r="W29" s="15" t="s">
        <v>344</v>
      </c>
      <c r="X29" s="17"/>
      <c r="Y29" t="s">
        <v>349</v>
      </c>
      <c r="Z29" t="s">
        <v>349</v>
      </c>
      <c r="AA29" t="s">
        <v>293</v>
      </c>
      <c r="AB29" t="s">
        <v>354</v>
      </c>
      <c r="AC29" t="s">
        <v>354</v>
      </c>
      <c r="AD29" t="s">
        <v>300</v>
      </c>
      <c r="AE29" t="s">
        <v>292</v>
      </c>
      <c r="AF29" t="s">
        <v>293</v>
      </c>
      <c r="AG29" t="s">
        <v>292</v>
      </c>
      <c r="AH29" t="s">
        <v>293</v>
      </c>
      <c r="AI29" t="s">
        <v>293</v>
      </c>
      <c r="AJ29" t="s">
        <v>302</v>
      </c>
      <c r="AK29" t="s">
        <v>302</v>
      </c>
      <c r="AL29" t="s">
        <v>357</v>
      </c>
      <c r="AM29" t="s">
        <v>293</v>
      </c>
      <c r="AN29" t="s">
        <v>293</v>
      </c>
      <c r="AO29" t="s">
        <v>297</v>
      </c>
      <c r="AP29" t="s">
        <v>298</v>
      </c>
      <c r="AQ29" t="s">
        <v>293</v>
      </c>
      <c r="AR29" t="s">
        <v>292</v>
      </c>
      <c r="AS29" t="s">
        <v>293</v>
      </c>
      <c r="AT29" t="s">
        <v>293</v>
      </c>
      <c r="AU29" t="s">
        <v>364</v>
      </c>
      <c r="AV29" t="str">
        <f t="shared" si="2"/>
        <v>no_fail</v>
      </c>
    </row>
    <row r="30" spans="1:48" x14ac:dyDescent="0.3">
      <c r="A30" t="s">
        <v>45</v>
      </c>
      <c r="B30" t="s">
        <v>68</v>
      </c>
      <c r="C30" t="s">
        <v>27</v>
      </c>
      <c r="D30" t="s">
        <v>29</v>
      </c>
      <c r="E30" t="str">
        <f t="shared" si="0"/>
        <v>P_A6W-ZSB-S_9F6</v>
      </c>
      <c r="F30" t="b">
        <v>1</v>
      </c>
      <c r="G30">
        <v>100</v>
      </c>
      <c r="H30">
        <v>1</v>
      </c>
      <c r="I30">
        <v>24094</v>
      </c>
      <c r="J30" s="49" t="s">
        <v>18</v>
      </c>
      <c r="L30" s="16" t="s">
        <v>272</v>
      </c>
      <c r="M30" s="16">
        <v>3</v>
      </c>
      <c r="N30" s="16" t="s">
        <v>277</v>
      </c>
      <c r="O30" s="16" t="s">
        <v>335</v>
      </c>
      <c r="P30" s="15" t="s">
        <v>283</v>
      </c>
      <c r="Q30" t="s">
        <v>282</v>
      </c>
      <c r="R30" t="s">
        <v>371</v>
      </c>
      <c r="S30" s="17" t="s">
        <v>371</v>
      </c>
      <c r="T30" s="16" t="s">
        <v>341</v>
      </c>
      <c r="U30" s="16" t="s">
        <v>340</v>
      </c>
      <c r="V30" s="15" t="s">
        <v>343</v>
      </c>
      <c r="W30" s="15" t="s">
        <v>344</v>
      </c>
      <c r="X30" s="17"/>
      <c r="Y30" t="s">
        <v>349</v>
      </c>
      <c r="Z30" t="s">
        <v>349</v>
      </c>
      <c r="AA30" t="s">
        <v>293</v>
      </c>
      <c r="AB30" t="s">
        <v>353</v>
      </c>
      <c r="AC30" t="s">
        <v>296</v>
      </c>
      <c r="AD30" t="s">
        <v>301</v>
      </c>
      <c r="AE30" t="s">
        <v>293</v>
      </c>
      <c r="AF30" t="s">
        <v>292</v>
      </c>
      <c r="AG30" t="s">
        <v>293</v>
      </c>
      <c r="AH30" t="s">
        <v>292</v>
      </c>
      <c r="AI30" t="s">
        <v>293</v>
      </c>
      <c r="AJ30" t="s">
        <v>302</v>
      </c>
      <c r="AK30" t="s">
        <v>302</v>
      </c>
      <c r="AL30" t="s">
        <v>359</v>
      </c>
      <c r="AM30" t="s">
        <v>293</v>
      </c>
      <c r="AN30" t="s">
        <v>293</v>
      </c>
      <c r="AO30" t="s">
        <v>296</v>
      </c>
      <c r="AP30" t="s">
        <v>356</v>
      </c>
      <c r="AQ30" t="s">
        <v>293</v>
      </c>
      <c r="AR30" t="s">
        <v>292</v>
      </c>
      <c r="AS30" t="s">
        <v>293</v>
      </c>
      <c r="AT30" t="s">
        <v>293</v>
      </c>
      <c r="AU30" t="s">
        <v>364</v>
      </c>
      <c r="AV30" t="str">
        <f t="shared" si="2"/>
        <v>break</v>
      </c>
    </row>
    <row r="31" spans="1:48" x14ac:dyDescent="0.3">
      <c r="A31" t="s">
        <v>9</v>
      </c>
      <c r="B31" t="s">
        <v>60</v>
      </c>
      <c r="C31" t="s">
        <v>15</v>
      </c>
      <c r="D31" t="s">
        <v>12</v>
      </c>
      <c r="E31" t="str">
        <f t="shared" si="0"/>
        <v>P_B0Z-KYY-S_0M4</v>
      </c>
      <c r="F31" t="b">
        <v>1</v>
      </c>
      <c r="G31">
        <v>100</v>
      </c>
      <c r="H31">
        <v>1</v>
      </c>
      <c r="I31">
        <v>9375</v>
      </c>
      <c r="J31" s="49" t="s">
        <v>18</v>
      </c>
      <c r="L31" s="16" t="s">
        <v>272</v>
      </c>
      <c r="M31" s="16">
        <v>3</v>
      </c>
      <c r="N31" s="16" t="s">
        <v>277</v>
      </c>
      <c r="O31" s="16" t="s">
        <v>335</v>
      </c>
      <c r="P31" s="15" t="s">
        <v>281</v>
      </c>
      <c r="Q31" t="s">
        <v>286</v>
      </c>
      <c r="R31" t="s">
        <v>371</v>
      </c>
      <c r="S31" s="17" t="s">
        <v>371</v>
      </c>
      <c r="T31" s="16" t="s">
        <v>341</v>
      </c>
      <c r="U31" s="16" t="s">
        <v>340</v>
      </c>
      <c r="V31" s="15" t="s">
        <v>343</v>
      </c>
      <c r="W31" s="15" t="s">
        <v>345</v>
      </c>
      <c r="X31" s="17"/>
      <c r="Y31" t="s">
        <v>349</v>
      </c>
      <c r="Z31" t="s">
        <v>349</v>
      </c>
      <c r="AA31" t="s">
        <v>293</v>
      </c>
      <c r="AB31" t="s">
        <v>353</v>
      </c>
      <c r="AC31" t="s">
        <v>296</v>
      </c>
      <c r="AD31" t="s">
        <v>301</v>
      </c>
      <c r="AE31" t="s">
        <v>292</v>
      </c>
      <c r="AF31" t="s">
        <v>292</v>
      </c>
      <c r="AG31" t="s">
        <v>292</v>
      </c>
      <c r="AH31" t="s">
        <v>292</v>
      </c>
      <c r="AI31" t="s">
        <v>293</v>
      </c>
      <c r="AJ31" t="s">
        <v>302</v>
      </c>
      <c r="AK31" t="s">
        <v>358</v>
      </c>
      <c r="AL31" t="s">
        <v>359</v>
      </c>
      <c r="AM31" t="s">
        <v>293</v>
      </c>
      <c r="AN31" t="s">
        <v>293</v>
      </c>
      <c r="AO31" t="s">
        <v>297</v>
      </c>
      <c r="AP31" t="s">
        <v>356</v>
      </c>
      <c r="AQ31" t="s">
        <v>293</v>
      </c>
      <c r="AR31" t="s">
        <v>292</v>
      </c>
      <c r="AS31" t="s">
        <v>293</v>
      </c>
      <c r="AT31" t="s">
        <v>293</v>
      </c>
      <c r="AU31" t="s">
        <v>364</v>
      </c>
      <c r="AV31" t="str">
        <f t="shared" si="2"/>
        <v>break</v>
      </c>
    </row>
    <row r="32" spans="1:48" x14ac:dyDescent="0.3">
      <c r="A32" t="s">
        <v>9</v>
      </c>
      <c r="B32" t="s">
        <v>60</v>
      </c>
      <c r="C32" t="s">
        <v>14</v>
      </c>
      <c r="D32" t="s">
        <v>12</v>
      </c>
      <c r="E32" t="str">
        <f t="shared" si="0"/>
        <v>P_B0Z-KYY-S_1B0</v>
      </c>
      <c r="F32" t="b">
        <v>1</v>
      </c>
      <c r="G32">
        <v>100</v>
      </c>
      <c r="H32">
        <v>1</v>
      </c>
      <c r="I32">
        <v>13424</v>
      </c>
      <c r="J32" s="49" t="s">
        <v>18</v>
      </c>
      <c r="L32" s="16" t="s">
        <v>272</v>
      </c>
      <c r="M32" s="16">
        <v>3</v>
      </c>
      <c r="N32" s="16" t="s">
        <v>277</v>
      </c>
      <c r="O32" s="16" t="s">
        <v>335</v>
      </c>
      <c r="P32" s="15" t="s">
        <v>281</v>
      </c>
      <c r="Q32" t="s">
        <v>282</v>
      </c>
      <c r="R32" t="s">
        <v>371</v>
      </c>
      <c r="S32" s="17" t="s">
        <v>371</v>
      </c>
      <c r="T32" s="16" t="s">
        <v>341</v>
      </c>
      <c r="U32" s="16" t="s">
        <v>340</v>
      </c>
      <c r="V32" s="15" t="s">
        <v>343</v>
      </c>
      <c r="W32" s="15" t="s">
        <v>345</v>
      </c>
      <c r="X32" s="17" t="s">
        <v>344</v>
      </c>
      <c r="Y32" t="s">
        <v>349</v>
      </c>
      <c r="Z32" t="s">
        <v>349</v>
      </c>
      <c r="AA32" t="s">
        <v>293</v>
      </c>
      <c r="AB32" t="s">
        <v>353</v>
      </c>
      <c r="AC32" t="s">
        <v>296</v>
      </c>
      <c r="AD32" t="s">
        <v>300</v>
      </c>
      <c r="AE32" t="s">
        <v>292</v>
      </c>
      <c r="AF32" t="s">
        <v>293</v>
      </c>
      <c r="AG32" t="s">
        <v>292</v>
      </c>
      <c r="AH32" t="s">
        <v>292</v>
      </c>
      <c r="AI32" t="s">
        <v>293</v>
      </c>
      <c r="AJ32" t="s">
        <v>302</v>
      </c>
      <c r="AK32" t="s">
        <v>302</v>
      </c>
      <c r="AL32" t="s">
        <v>359</v>
      </c>
      <c r="AM32" t="s">
        <v>293</v>
      </c>
      <c r="AN32" t="s">
        <v>293</v>
      </c>
      <c r="AO32" t="s">
        <v>297</v>
      </c>
      <c r="AP32" t="s">
        <v>298</v>
      </c>
      <c r="AQ32" t="s">
        <v>293</v>
      </c>
      <c r="AR32" t="s">
        <v>292</v>
      </c>
      <c r="AS32" t="s">
        <v>293</v>
      </c>
      <c r="AT32" t="s">
        <v>293</v>
      </c>
      <c r="AU32" t="s">
        <v>364</v>
      </c>
      <c r="AV32" t="str">
        <f t="shared" si="2"/>
        <v>break</v>
      </c>
    </row>
    <row r="33" spans="1:48" x14ac:dyDescent="0.3">
      <c r="A33" t="s">
        <v>9</v>
      </c>
      <c r="B33" t="s">
        <v>60</v>
      </c>
      <c r="C33" t="s">
        <v>11</v>
      </c>
      <c r="D33" t="s">
        <v>12</v>
      </c>
      <c r="E33" t="str">
        <f t="shared" si="0"/>
        <v>P_B0Z-KYY-S_1Q4</v>
      </c>
      <c r="F33" t="b">
        <v>1</v>
      </c>
      <c r="G33">
        <v>100</v>
      </c>
      <c r="H33">
        <v>1</v>
      </c>
      <c r="I33">
        <v>9662</v>
      </c>
      <c r="J33" s="49" t="s">
        <v>18</v>
      </c>
      <c r="L33" s="16" t="s">
        <v>272</v>
      </c>
      <c r="M33" s="16">
        <v>3</v>
      </c>
      <c r="N33" s="16" t="s">
        <v>277</v>
      </c>
      <c r="O33" s="16" t="s">
        <v>335</v>
      </c>
      <c r="P33" s="15" t="s">
        <v>281</v>
      </c>
      <c r="Q33" t="s">
        <v>282</v>
      </c>
      <c r="R33" t="s">
        <v>371</v>
      </c>
      <c r="S33" s="17" t="s">
        <v>371</v>
      </c>
      <c r="T33" s="16" t="s">
        <v>341</v>
      </c>
      <c r="U33" s="16" t="s">
        <v>340</v>
      </c>
      <c r="V33" s="15" t="s">
        <v>343</v>
      </c>
      <c r="W33" s="15" t="s">
        <v>345</v>
      </c>
      <c r="X33" s="17"/>
      <c r="Y33" t="s">
        <v>349</v>
      </c>
      <c r="Z33" t="s">
        <v>349</v>
      </c>
      <c r="AA33" t="s">
        <v>293</v>
      </c>
      <c r="AB33" t="s">
        <v>352</v>
      </c>
      <c r="AC33" t="s">
        <v>296</v>
      </c>
      <c r="AD33" t="s">
        <v>301</v>
      </c>
      <c r="AE33" t="s">
        <v>292</v>
      </c>
      <c r="AF33" t="s">
        <v>293</v>
      </c>
      <c r="AG33" t="s">
        <v>292</v>
      </c>
      <c r="AH33" t="s">
        <v>292</v>
      </c>
      <c r="AI33" t="s">
        <v>293</v>
      </c>
      <c r="AJ33" t="s">
        <v>302</v>
      </c>
      <c r="AK33" t="s">
        <v>302</v>
      </c>
      <c r="AL33" t="s">
        <v>359</v>
      </c>
      <c r="AM33" t="s">
        <v>293</v>
      </c>
      <c r="AN33" t="s">
        <v>293</v>
      </c>
      <c r="AO33" t="s">
        <v>297</v>
      </c>
      <c r="AP33" t="s">
        <v>298</v>
      </c>
      <c r="AQ33" t="s">
        <v>293</v>
      </c>
      <c r="AR33" t="s">
        <v>292</v>
      </c>
      <c r="AS33" t="s">
        <v>293</v>
      </c>
      <c r="AT33" t="s">
        <v>293</v>
      </c>
      <c r="AU33" t="s">
        <v>364</v>
      </c>
      <c r="AV33" t="str">
        <f t="shared" si="2"/>
        <v>break</v>
      </c>
    </row>
    <row r="34" spans="1:48" x14ac:dyDescent="0.3">
      <c r="A34" t="s">
        <v>9</v>
      </c>
      <c r="B34" t="s">
        <v>60</v>
      </c>
      <c r="C34" t="s">
        <v>16</v>
      </c>
      <c r="D34" t="s">
        <v>12</v>
      </c>
      <c r="E34" t="str">
        <f t="shared" si="0"/>
        <v>P_B0Z-KYY-S_6U7</v>
      </c>
      <c r="F34" t="b">
        <v>1</v>
      </c>
      <c r="G34">
        <v>100</v>
      </c>
      <c r="H34">
        <v>1</v>
      </c>
      <c r="I34">
        <v>15476</v>
      </c>
      <c r="J34" s="49" t="s">
        <v>18</v>
      </c>
      <c r="L34" s="16" t="s">
        <v>272</v>
      </c>
      <c r="M34" s="16">
        <v>3</v>
      </c>
      <c r="N34" s="16" t="s">
        <v>277</v>
      </c>
      <c r="O34" s="16" t="s">
        <v>335</v>
      </c>
      <c r="P34" s="15" t="s">
        <v>281</v>
      </c>
      <c r="Q34" t="s">
        <v>286</v>
      </c>
      <c r="R34" t="s">
        <v>371</v>
      </c>
      <c r="S34" s="17" t="s">
        <v>371</v>
      </c>
      <c r="T34" s="16" t="s">
        <v>341</v>
      </c>
      <c r="U34" s="16" t="s">
        <v>342</v>
      </c>
      <c r="V34" s="15" t="s">
        <v>343</v>
      </c>
      <c r="W34" s="15" t="s">
        <v>345</v>
      </c>
      <c r="X34" s="17" t="s">
        <v>347</v>
      </c>
      <c r="Y34" t="s">
        <v>349</v>
      </c>
      <c r="Z34" t="s">
        <v>349</v>
      </c>
      <c r="AA34" t="s">
        <v>293</v>
      </c>
      <c r="AB34" t="s">
        <v>353</v>
      </c>
      <c r="AC34" t="s">
        <v>296</v>
      </c>
      <c r="AD34" t="s">
        <v>301</v>
      </c>
      <c r="AE34" t="s">
        <v>292</v>
      </c>
      <c r="AF34" t="s">
        <v>292</v>
      </c>
      <c r="AG34" t="s">
        <v>292</v>
      </c>
      <c r="AH34" t="s">
        <v>292</v>
      </c>
      <c r="AI34" t="s">
        <v>293</v>
      </c>
      <c r="AJ34" t="s">
        <v>302</v>
      </c>
      <c r="AK34" t="s">
        <v>302</v>
      </c>
      <c r="AL34" t="s">
        <v>359</v>
      </c>
      <c r="AM34" t="s">
        <v>293</v>
      </c>
      <c r="AN34" t="s">
        <v>293</v>
      </c>
      <c r="AO34" t="s">
        <v>297</v>
      </c>
      <c r="AP34" t="s">
        <v>356</v>
      </c>
      <c r="AQ34" t="s">
        <v>293</v>
      </c>
      <c r="AR34" t="s">
        <v>292</v>
      </c>
      <c r="AS34" t="s">
        <v>293</v>
      </c>
      <c r="AT34" t="s">
        <v>293</v>
      </c>
      <c r="AU34" t="s">
        <v>364</v>
      </c>
      <c r="AV34" t="str">
        <f t="shared" si="2"/>
        <v>break</v>
      </c>
    </row>
    <row r="35" spans="1:48" x14ac:dyDescent="0.3">
      <c r="A35" t="s">
        <v>9</v>
      </c>
      <c r="B35" t="s">
        <v>60</v>
      </c>
      <c r="C35" t="s">
        <v>21</v>
      </c>
      <c r="D35" t="s">
        <v>29</v>
      </c>
      <c r="E35" t="str">
        <f t="shared" si="0"/>
        <v>P_B0Z-ZSB-S_3X6</v>
      </c>
      <c r="F35" t="b">
        <v>1</v>
      </c>
      <c r="G35">
        <v>100</v>
      </c>
      <c r="H35">
        <v>1</v>
      </c>
      <c r="I35">
        <v>16155</v>
      </c>
      <c r="J35" s="49" t="s">
        <v>18</v>
      </c>
      <c r="L35" s="16" t="s">
        <v>272</v>
      </c>
      <c r="M35" s="16">
        <v>2</v>
      </c>
      <c r="N35" s="16" t="s">
        <v>277</v>
      </c>
      <c r="O35" s="16" t="s">
        <v>335</v>
      </c>
      <c r="P35" s="15" t="s">
        <v>282</v>
      </c>
      <c r="Q35" t="s">
        <v>371</v>
      </c>
      <c r="R35" t="s">
        <v>371</v>
      </c>
      <c r="S35" s="17" t="s">
        <v>371</v>
      </c>
      <c r="T35" s="16" t="s">
        <v>340</v>
      </c>
      <c r="U35" s="16" t="s">
        <v>342</v>
      </c>
      <c r="V35" s="15" t="s">
        <v>340</v>
      </c>
      <c r="W35" s="15" t="s">
        <v>344</v>
      </c>
      <c r="X35" s="17"/>
      <c r="Y35" t="s">
        <v>349</v>
      </c>
      <c r="Z35" t="s">
        <v>349</v>
      </c>
      <c r="AA35" t="s">
        <v>293</v>
      </c>
      <c r="AB35" t="s">
        <v>354</v>
      </c>
      <c r="AC35" t="s">
        <v>354</v>
      </c>
      <c r="AD35" t="s">
        <v>301</v>
      </c>
      <c r="AE35" t="s">
        <v>292</v>
      </c>
      <c r="AF35" t="s">
        <v>293</v>
      </c>
      <c r="AG35" t="s">
        <v>292</v>
      </c>
      <c r="AH35" t="s">
        <v>292</v>
      </c>
      <c r="AI35" t="s">
        <v>293</v>
      </c>
      <c r="AJ35" t="s">
        <v>302</v>
      </c>
      <c r="AK35" t="s">
        <v>302</v>
      </c>
      <c r="AL35" t="s">
        <v>357</v>
      </c>
      <c r="AM35" t="s">
        <v>293</v>
      </c>
      <c r="AN35" t="s">
        <v>293</v>
      </c>
      <c r="AO35" t="s">
        <v>296</v>
      </c>
      <c r="AP35" t="s">
        <v>298</v>
      </c>
      <c r="AQ35" t="s">
        <v>293</v>
      </c>
      <c r="AR35" t="s">
        <v>292</v>
      </c>
      <c r="AS35" t="s">
        <v>293</v>
      </c>
      <c r="AT35" t="s">
        <v>293</v>
      </c>
      <c r="AU35" t="s">
        <v>364</v>
      </c>
      <c r="AV35" t="str">
        <f t="shared" si="2"/>
        <v>break</v>
      </c>
    </row>
    <row r="36" spans="1:48" x14ac:dyDescent="0.3">
      <c r="A36" t="s">
        <v>9</v>
      </c>
      <c r="B36" t="s">
        <v>60</v>
      </c>
      <c r="C36" t="s">
        <v>19</v>
      </c>
      <c r="D36" t="s">
        <v>29</v>
      </c>
      <c r="E36" t="str">
        <f t="shared" si="0"/>
        <v>P_B0Z-ZSB-S_4U3</v>
      </c>
      <c r="F36" t="b">
        <v>1</v>
      </c>
      <c r="G36">
        <v>100</v>
      </c>
      <c r="H36">
        <v>1</v>
      </c>
      <c r="I36">
        <v>13046</v>
      </c>
      <c r="J36" s="49" t="s">
        <v>13</v>
      </c>
      <c r="L36" s="16" t="s">
        <v>273</v>
      </c>
      <c r="M36" s="16">
        <v>2</v>
      </c>
      <c r="N36" s="16" t="s">
        <v>333</v>
      </c>
      <c r="O36" s="16" t="s">
        <v>278</v>
      </c>
      <c r="P36" s="15" t="s">
        <v>283</v>
      </c>
      <c r="Q36" t="s">
        <v>371</v>
      </c>
      <c r="R36" t="s">
        <v>371</v>
      </c>
      <c r="S36" s="17" t="s">
        <v>371</v>
      </c>
      <c r="T36" s="16" t="s">
        <v>341</v>
      </c>
      <c r="U36" s="16" t="s">
        <v>340</v>
      </c>
      <c r="V36" s="15" t="s">
        <v>343</v>
      </c>
      <c r="W36" s="15" t="s">
        <v>344</v>
      </c>
      <c r="X36" s="17"/>
      <c r="Y36" t="s">
        <v>349</v>
      </c>
      <c r="Z36" t="s">
        <v>349</v>
      </c>
      <c r="AA36" t="s">
        <v>293</v>
      </c>
      <c r="AB36" t="s">
        <v>353</v>
      </c>
      <c r="AC36" t="s">
        <v>296</v>
      </c>
      <c r="AD36" t="s">
        <v>300</v>
      </c>
      <c r="AE36" t="s">
        <v>293</v>
      </c>
      <c r="AF36" t="s">
        <v>292</v>
      </c>
      <c r="AG36" t="s">
        <v>292</v>
      </c>
      <c r="AH36" t="s">
        <v>292</v>
      </c>
      <c r="AI36" t="s">
        <v>293</v>
      </c>
      <c r="AJ36" t="s">
        <v>302</v>
      </c>
      <c r="AK36" t="s">
        <v>357</v>
      </c>
      <c r="AL36" t="s">
        <v>359</v>
      </c>
      <c r="AM36" t="s">
        <v>293</v>
      </c>
      <c r="AN36" t="s">
        <v>293</v>
      </c>
      <c r="AO36" t="s">
        <v>297</v>
      </c>
      <c r="AP36" t="s">
        <v>356</v>
      </c>
      <c r="AQ36" t="s">
        <v>293</v>
      </c>
      <c r="AR36" t="s">
        <v>292</v>
      </c>
      <c r="AS36" t="s">
        <v>293</v>
      </c>
      <c r="AT36" t="s">
        <v>293</v>
      </c>
      <c r="AU36" t="s">
        <v>364</v>
      </c>
      <c r="AV36" t="str">
        <f t="shared" si="2"/>
        <v>no_fail</v>
      </c>
    </row>
    <row r="37" spans="1:48" x14ac:dyDescent="0.3">
      <c r="A37" t="s">
        <v>9</v>
      </c>
      <c r="B37" t="s">
        <v>60</v>
      </c>
      <c r="C37" t="s">
        <v>17</v>
      </c>
      <c r="D37" t="s">
        <v>29</v>
      </c>
      <c r="E37" t="str">
        <f t="shared" si="0"/>
        <v>P_B0Z-ZSB-S_6B5</v>
      </c>
      <c r="F37" t="b">
        <v>1</v>
      </c>
      <c r="G37">
        <v>98.2</v>
      </c>
      <c r="H37">
        <v>0</v>
      </c>
      <c r="I37">
        <v>12211</v>
      </c>
      <c r="J37" s="49" t="s">
        <v>13</v>
      </c>
      <c r="L37" s="16" t="s">
        <v>272</v>
      </c>
      <c r="M37" s="16">
        <v>2</v>
      </c>
      <c r="N37" s="16" t="s">
        <v>277</v>
      </c>
      <c r="O37" s="16" t="s">
        <v>335</v>
      </c>
      <c r="P37" s="15" t="s">
        <v>282</v>
      </c>
      <c r="Q37" t="s">
        <v>371</v>
      </c>
      <c r="R37" t="s">
        <v>371</v>
      </c>
      <c r="S37" s="17" t="s">
        <v>371</v>
      </c>
      <c r="T37" s="16" t="s">
        <v>341</v>
      </c>
      <c r="U37" s="16" t="s">
        <v>340</v>
      </c>
      <c r="V37" s="15" t="s">
        <v>340</v>
      </c>
      <c r="W37" s="15" t="s">
        <v>344</v>
      </c>
      <c r="X37" s="17"/>
      <c r="Y37" t="s">
        <v>349</v>
      </c>
      <c r="Z37" t="s">
        <v>349</v>
      </c>
      <c r="AA37" t="s">
        <v>293</v>
      </c>
      <c r="AB37" t="s">
        <v>354</v>
      </c>
      <c r="AC37" t="s">
        <v>354</v>
      </c>
      <c r="AD37" t="s">
        <v>300</v>
      </c>
      <c r="AE37" t="s">
        <v>293</v>
      </c>
      <c r="AF37" t="s">
        <v>292</v>
      </c>
      <c r="AG37" t="s">
        <v>292</v>
      </c>
      <c r="AH37" t="s">
        <v>293</v>
      </c>
      <c r="AI37" t="s">
        <v>293</v>
      </c>
      <c r="AJ37" t="s">
        <v>302</v>
      </c>
      <c r="AK37" t="s">
        <v>302</v>
      </c>
      <c r="AL37" t="s">
        <v>357</v>
      </c>
      <c r="AM37" t="s">
        <v>293</v>
      </c>
      <c r="AN37" t="s">
        <v>293</v>
      </c>
      <c r="AO37" t="s">
        <v>297</v>
      </c>
      <c r="AP37" t="s">
        <v>356</v>
      </c>
      <c r="AQ37" t="s">
        <v>293</v>
      </c>
      <c r="AR37" t="s">
        <v>292</v>
      </c>
      <c r="AS37" t="s">
        <v>293</v>
      </c>
      <c r="AT37" t="s">
        <v>293</v>
      </c>
      <c r="AU37" t="s">
        <v>364</v>
      </c>
      <c r="AV37" t="str">
        <f t="shared" si="2"/>
        <v>no_fail</v>
      </c>
    </row>
    <row r="38" spans="1:48" x14ac:dyDescent="0.3">
      <c r="A38" t="s">
        <v>9</v>
      </c>
      <c r="B38" t="s">
        <v>60</v>
      </c>
      <c r="C38" t="s">
        <v>20</v>
      </c>
      <c r="D38" t="s">
        <v>29</v>
      </c>
      <c r="E38" t="str">
        <f t="shared" si="0"/>
        <v>P_B0Z-ZSB-S_7W0</v>
      </c>
      <c r="F38" t="b">
        <v>1</v>
      </c>
      <c r="G38">
        <v>100</v>
      </c>
      <c r="H38">
        <v>1</v>
      </c>
      <c r="I38">
        <v>15062</v>
      </c>
      <c r="J38" s="49" t="s">
        <v>18</v>
      </c>
      <c r="L38" s="16" t="s">
        <v>272</v>
      </c>
      <c r="M38" s="16">
        <v>2</v>
      </c>
      <c r="N38" s="16" t="s">
        <v>277</v>
      </c>
      <c r="O38" s="16" t="s">
        <v>335</v>
      </c>
      <c r="P38" s="15" t="s">
        <v>283</v>
      </c>
      <c r="Q38" t="s">
        <v>284</v>
      </c>
      <c r="R38" t="s">
        <v>371</v>
      </c>
      <c r="S38" s="17" t="s">
        <v>371</v>
      </c>
      <c r="T38" s="16" t="s">
        <v>341</v>
      </c>
      <c r="U38" s="16" t="s">
        <v>340</v>
      </c>
      <c r="V38" s="15" t="s">
        <v>340</v>
      </c>
      <c r="W38" s="15" t="s">
        <v>344</v>
      </c>
      <c r="X38" s="17"/>
      <c r="Y38" t="s">
        <v>349</v>
      </c>
      <c r="Z38" t="s">
        <v>349</v>
      </c>
      <c r="AA38" t="s">
        <v>293</v>
      </c>
      <c r="AB38" t="s">
        <v>354</v>
      </c>
      <c r="AC38" t="s">
        <v>354</v>
      </c>
      <c r="AD38" t="s">
        <v>300</v>
      </c>
      <c r="AE38" t="s">
        <v>293</v>
      </c>
      <c r="AF38" t="s">
        <v>292</v>
      </c>
      <c r="AG38" t="s">
        <v>292</v>
      </c>
      <c r="AH38" t="s">
        <v>292</v>
      </c>
      <c r="AI38" t="s">
        <v>293</v>
      </c>
      <c r="AJ38" t="s">
        <v>302</v>
      </c>
      <c r="AK38" t="s">
        <v>302</v>
      </c>
      <c r="AL38" t="s">
        <v>357</v>
      </c>
      <c r="AM38" t="s">
        <v>293</v>
      </c>
      <c r="AN38" t="s">
        <v>293</v>
      </c>
      <c r="AO38" t="s">
        <v>297</v>
      </c>
      <c r="AP38" t="s">
        <v>356</v>
      </c>
      <c r="AQ38" t="s">
        <v>293</v>
      </c>
      <c r="AR38" t="s">
        <v>292</v>
      </c>
      <c r="AS38" t="s">
        <v>293</v>
      </c>
      <c r="AT38" t="s">
        <v>293</v>
      </c>
      <c r="AU38" t="s">
        <v>364</v>
      </c>
      <c r="AV38" t="str">
        <f t="shared" si="2"/>
        <v>break</v>
      </c>
    </row>
    <row r="39" spans="1:48" x14ac:dyDescent="0.3">
      <c r="A39" t="s">
        <v>9</v>
      </c>
      <c r="B39" t="s">
        <v>60</v>
      </c>
      <c r="C39" t="s">
        <v>22</v>
      </c>
      <c r="D39" t="s">
        <v>29</v>
      </c>
      <c r="E39" t="str">
        <f t="shared" si="0"/>
        <v>P_B0Z-ZSB-S_9B4</v>
      </c>
      <c r="F39" t="b">
        <v>1</v>
      </c>
      <c r="G39">
        <v>100</v>
      </c>
      <c r="H39">
        <v>1</v>
      </c>
      <c r="I39">
        <v>12810</v>
      </c>
      <c r="J39" s="49" t="s">
        <v>18</v>
      </c>
      <c r="L39" s="16" t="s">
        <v>272</v>
      </c>
      <c r="M39" s="16">
        <v>3</v>
      </c>
      <c r="N39" s="16" t="s">
        <v>277</v>
      </c>
      <c r="O39" s="16" t="s">
        <v>335</v>
      </c>
      <c r="P39" s="15" t="s">
        <v>282</v>
      </c>
      <c r="Q39" t="s">
        <v>371</v>
      </c>
      <c r="R39" t="s">
        <v>371</v>
      </c>
      <c r="S39" s="17" t="s">
        <v>371</v>
      </c>
      <c r="T39" s="16" t="s">
        <v>341</v>
      </c>
      <c r="U39" s="16" t="s">
        <v>340</v>
      </c>
      <c r="V39" s="15" t="s">
        <v>343</v>
      </c>
      <c r="W39" s="15" t="s">
        <v>344</v>
      </c>
      <c r="X39" s="17"/>
      <c r="Y39" t="s">
        <v>349</v>
      </c>
      <c r="Z39" t="s">
        <v>349</v>
      </c>
      <c r="AA39" t="s">
        <v>293</v>
      </c>
      <c r="AB39" t="s">
        <v>352</v>
      </c>
      <c r="AC39" t="s">
        <v>296</v>
      </c>
      <c r="AD39" t="s">
        <v>299</v>
      </c>
      <c r="AE39" t="s">
        <v>293</v>
      </c>
      <c r="AF39" t="s">
        <v>292</v>
      </c>
      <c r="AG39" t="s">
        <v>292</v>
      </c>
      <c r="AH39" t="s">
        <v>292</v>
      </c>
      <c r="AI39" t="s">
        <v>293</v>
      </c>
      <c r="AJ39" t="s">
        <v>302</v>
      </c>
      <c r="AK39" t="s">
        <v>302</v>
      </c>
      <c r="AL39" t="s">
        <v>359</v>
      </c>
      <c r="AM39" t="s">
        <v>293</v>
      </c>
      <c r="AN39" t="s">
        <v>293</v>
      </c>
      <c r="AO39" t="s">
        <v>297</v>
      </c>
      <c r="AP39" t="s">
        <v>356</v>
      </c>
      <c r="AQ39" t="s">
        <v>293</v>
      </c>
      <c r="AR39" t="s">
        <v>292</v>
      </c>
      <c r="AS39" t="s">
        <v>293</v>
      </c>
      <c r="AT39" t="s">
        <v>293</v>
      </c>
      <c r="AU39" t="s">
        <v>364</v>
      </c>
      <c r="AV39" t="str">
        <f t="shared" si="2"/>
        <v>break</v>
      </c>
    </row>
    <row r="40" spans="1:48" x14ac:dyDescent="0.3">
      <c r="A40" t="s">
        <v>45</v>
      </c>
      <c r="B40" t="s">
        <v>53</v>
      </c>
      <c r="C40" t="s">
        <v>15</v>
      </c>
      <c r="D40" t="s">
        <v>12</v>
      </c>
      <c r="E40" t="str">
        <f t="shared" si="0"/>
        <v>P_B2P-KYY-S_0M4</v>
      </c>
      <c r="F40" t="b">
        <v>1</v>
      </c>
      <c r="G40">
        <v>76.2</v>
      </c>
      <c r="H40">
        <v>0</v>
      </c>
      <c r="I40">
        <v>11804</v>
      </c>
      <c r="J40" s="49" t="s">
        <v>13</v>
      </c>
      <c r="L40" s="16" t="s">
        <v>272</v>
      </c>
      <c r="M40" s="16">
        <v>3</v>
      </c>
      <c r="N40" s="16" t="s">
        <v>277</v>
      </c>
      <c r="O40" s="16" t="s">
        <v>335</v>
      </c>
      <c r="P40" s="15" t="s">
        <v>282</v>
      </c>
      <c r="Q40" t="s">
        <v>371</v>
      </c>
      <c r="R40" t="s">
        <v>371</v>
      </c>
      <c r="S40" s="17" t="s">
        <v>371</v>
      </c>
      <c r="T40" s="16" t="s">
        <v>341</v>
      </c>
      <c r="U40" s="16" t="s">
        <v>340</v>
      </c>
      <c r="V40" s="15" t="s">
        <v>343</v>
      </c>
      <c r="W40" s="15" t="s">
        <v>344</v>
      </c>
      <c r="X40" s="17"/>
      <c r="Y40" t="s">
        <v>349</v>
      </c>
      <c r="Z40" t="s">
        <v>349</v>
      </c>
      <c r="AA40" t="s">
        <v>293</v>
      </c>
      <c r="AB40" t="s">
        <v>352</v>
      </c>
      <c r="AC40" t="s">
        <v>296</v>
      </c>
      <c r="AD40" t="s">
        <v>301</v>
      </c>
      <c r="AE40" t="s">
        <v>292</v>
      </c>
      <c r="AF40" t="s">
        <v>293</v>
      </c>
      <c r="AG40" t="s">
        <v>292</v>
      </c>
      <c r="AH40" t="s">
        <v>292</v>
      </c>
      <c r="AI40" t="s">
        <v>293</v>
      </c>
      <c r="AJ40" t="s">
        <v>302</v>
      </c>
      <c r="AK40" t="s">
        <v>302</v>
      </c>
      <c r="AL40" t="s">
        <v>359</v>
      </c>
      <c r="AM40" t="s">
        <v>293</v>
      </c>
      <c r="AN40" t="s">
        <v>293</v>
      </c>
      <c r="AO40" t="s">
        <v>297</v>
      </c>
      <c r="AP40" t="s">
        <v>298</v>
      </c>
      <c r="AQ40" t="s">
        <v>293</v>
      </c>
      <c r="AR40" t="s">
        <v>292</v>
      </c>
      <c r="AS40" t="s">
        <v>293</v>
      </c>
      <c r="AT40" t="s">
        <v>293</v>
      </c>
      <c r="AU40" t="s">
        <v>364</v>
      </c>
      <c r="AV40" t="str">
        <f t="shared" si="2"/>
        <v>no_fail</v>
      </c>
    </row>
    <row r="41" spans="1:48" x14ac:dyDescent="0.3">
      <c r="A41" t="s">
        <v>45</v>
      </c>
      <c r="B41" t="s">
        <v>53</v>
      </c>
      <c r="C41" t="s">
        <v>14</v>
      </c>
      <c r="D41" t="s">
        <v>12</v>
      </c>
      <c r="E41" t="str">
        <f t="shared" si="0"/>
        <v>P_B2P-KYY-S_1B0</v>
      </c>
      <c r="F41" t="b">
        <v>1</v>
      </c>
      <c r="G41">
        <v>44.9</v>
      </c>
      <c r="H41">
        <v>0</v>
      </c>
      <c r="I41">
        <v>13413</v>
      </c>
      <c r="J41" s="49" t="s">
        <v>13</v>
      </c>
      <c r="L41" s="16" t="s">
        <v>272</v>
      </c>
      <c r="M41" s="16">
        <v>3</v>
      </c>
      <c r="N41" s="16" t="s">
        <v>277</v>
      </c>
      <c r="O41" s="16" t="s">
        <v>335</v>
      </c>
      <c r="P41" s="15" t="s">
        <v>282</v>
      </c>
      <c r="Q41" t="s">
        <v>371</v>
      </c>
      <c r="R41" t="s">
        <v>371</v>
      </c>
      <c r="S41" s="17" t="s">
        <v>371</v>
      </c>
      <c r="T41" s="16" t="s">
        <v>341</v>
      </c>
      <c r="U41" s="16" t="s">
        <v>340</v>
      </c>
      <c r="V41" s="15" t="s">
        <v>343</v>
      </c>
      <c r="W41" s="15" t="s">
        <v>344</v>
      </c>
      <c r="X41" s="17"/>
      <c r="Y41" t="s">
        <v>349</v>
      </c>
      <c r="Z41" t="s">
        <v>349</v>
      </c>
      <c r="AA41" t="s">
        <v>293</v>
      </c>
      <c r="AB41" t="s">
        <v>353</v>
      </c>
      <c r="AC41" t="s">
        <v>296</v>
      </c>
      <c r="AD41" t="s">
        <v>301</v>
      </c>
      <c r="AE41" t="s">
        <v>292</v>
      </c>
      <c r="AF41" t="s">
        <v>293</v>
      </c>
      <c r="AG41" t="s">
        <v>292</v>
      </c>
      <c r="AH41" t="s">
        <v>292</v>
      </c>
      <c r="AI41" t="s">
        <v>293</v>
      </c>
      <c r="AJ41" t="s">
        <v>302</v>
      </c>
      <c r="AK41" t="s">
        <v>302</v>
      </c>
      <c r="AL41" t="s">
        <v>359</v>
      </c>
      <c r="AM41" t="s">
        <v>293</v>
      </c>
      <c r="AN41" t="s">
        <v>293</v>
      </c>
      <c r="AO41" t="s">
        <v>297</v>
      </c>
      <c r="AP41" t="s">
        <v>298</v>
      </c>
      <c r="AQ41" t="s">
        <v>293</v>
      </c>
      <c r="AR41" t="s">
        <v>292</v>
      </c>
      <c r="AS41" t="s">
        <v>293</v>
      </c>
      <c r="AT41" t="s">
        <v>293</v>
      </c>
      <c r="AU41" t="s">
        <v>364</v>
      </c>
      <c r="AV41" t="str">
        <f t="shared" si="2"/>
        <v>no_fail</v>
      </c>
    </row>
    <row r="42" spans="1:48" x14ac:dyDescent="0.3">
      <c r="A42" t="s">
        <v>45</v>
      </c>
      <c r="B42" t="s">
        <v>53</v>
      </c>
      <c r="C42" t="s">
        <v>11</v>
      </c>
      <c r="D42" t="s">
        <v>12</v>
      </c>
      <c r="E42" t="str">
        <f t="shared" si="0"/>
        <v>P_B2P-KYY-S_1Q4</v>
      </c>
      <c r="F42" t="b">
        <v>1</v>
      </c>
      <c r="G42">
        <v>46.7</v>
      </c>
      <c r="H42">
        <v>0</v>
      </c>
      <c r="I42">
        <v>15420</v>
      </c>
      <c r="J42" s="49" t="s">
        <v>13</v>
      </c>
      <c r="L42" s="16" t="s">
        <v>272</v>
      </c>
      <c r="M42" s="16">
        <v>3</v>
      </c>
      <c r="N42" s="16" t="s">
        <v>277</v>
      </c>
      <c r="O42" s="16" t="s">
        <v>335</v>
      </c>
      <c r="P42" s="15" t="s">
        <v>283</v>
      </c>
      <c r="Q42" t="s">
        <v>282</v>
      </c>
      <c r="R42" t="s">
        <v>371</v>
      </c>
      <c r="S42" s="17" t="s">
        <v>371</v>
      </c>
      <c r="T42" s="16" t="s">
        <v>341</v>
      </c>
      <c r="U42" s="16" t="s">
        <v>340</v>
      </c>
      <c r="V42" s="15" t="s">
        <v>343</v>
      </c>
      <c r="W42" s="15" t="s">
        <v>344</v>
      </c>
      <c r="X42" s="17"/>
      <c r="Y42" t="s">
        <v>349</v>
      </c>
      <c r="Z42" t="s">
        <v>349</v>
      </c>
      <c r="AA42" t="s">
        <v>293</v>
      </c>
      <c r="AB42" t="s">
        <v>353</v>
      </c>
      <c r="AC42" t="s">
        <v>296</v>
      </c>
      <c r="AD42" t="s">
        <v>300</v>
      </c>
      <c r="AE42" t="s">
        <v>292</v>
      </c>
      <c r="AF42" t="s">
        <v>293</v>
      </c>
      <c r="AG42" t="s">
        <v>292</v>
      </c>
      <c r="AH42" t="s">
        <v>292</v>
      </c>
      <c r="AI42" t="s">
        <v>293</v>
      </c>
      <c r="AJ42" t="s">
        <v>302</v>
      </c>
      <c r="AK42" t="s">
        <v>302</v>
      </c>
      <c r="AL42" t="s">
        <v>359</v>
      </c>
      <c r="AM42" t="s">
        <v>293</v>
      </c>
      <c r="AN42" t="s">
        <v>293</v>
      </c>
      <c r="AO42" t="s">
        <v>297</v>
      </c>
      <c r="AP42" t="s">
        <v>298</v>
      </c>
      <c r="AQ42" t="s">
        <v>293</v>
      </c>
      <c r="AR42" t="s">
        <v>292</v>
      </c>
      <c r="AS42" t="s">
        <v>293</v>
      </c>
      <c r="AT42" t="s">
        <v>293</v>
      </c>
      <c r="AU42" t="s">
        <v>364</v>
      </c>
      <c r="AV42" t="str">
        <f t="shared" si="2"/>
        <v>no_fail</v>
      </c>
    </row>
    <row r="43" spans="1:48" x14ac:dyDescent="0.3">
      <c r="A43" t="s">
        <v>45</v>
      </c>
      <c r="B43" t="s">
        <v>53</v>
      </c>
      <c r="C43" t="s">
        <v>16</v>
      </c>
      <c r="D43" t="s">
        <v>12</v>
      </c>
      <c r="E43" t="str">
        <f t="shared" si="0"/>
        <v>P_B2P-KYY-S_6U7</v>
      </c>
      <c r="F43" t="b">
        <v>1</v>
      </c>
      <c r="G43">
        <v>100</v>
      </c>
      <c r="H43">
        <v>1</v>
      </c>
      <c r="I43">
        <v>10809</v>
      </c>
      <c r="J43" s="49" t="s">
        <v>18</v>
      </c>
      <c r="L43" s="16" t="s">
        <v>272</v>
      </c>
      <c r="M43" s="16">
        <v>3</v>
      </c>
      <c r="N43" s="16" t="s">
        <v>277</v>
      </c>
      <c r="O43" s="16" t="s">
        <v>335</v>
      </c>
      <c r="P43" s="15" t="s">
        <v>282</v>
      </c>
      <c r="Q43" t="s">
        <v>371</v>
      </c>
      <c r="R43" t="s">
        <v>371</v>
      </c>
      <c r="S43" s="17" t="s">
        <v>371</v>
      </c>
      <c r="T43" s="16" t="s">
        <v>340</v>
      </c>
      <c r="U43" s="16" t="s">
        <v>342</v>
      </c>
      <c r="V43" s="15" t="s">
        <v>343</v>
      </c>
      <c r="W43" s="15" t="s">
        <v>291</v>
      </c>
      <c r="X43" s="17"/>
      <c r="Y43" t="s">
        <v>349</v>
      </c>
      <c r="Z43" t="s">
        <v>349</v>
      </c>
      <c r="AA43" t="s">
        <v>293</v>
      </c>
      <c r="AB43" t="s">
        <v>353</v>
      </c>
      <c r="AC43" t="s">
        <v>355</v>
      </c>
      <c r="AD43" t="s">
        <v>300</v>
      </c>
      <c r="AE43" t="s">
        <v>292</v>
      </c>
      <c r="AF43" t="s">
        <v>293</v>
      </c>
      <c r="AG43" t="s">
        <v>292</v>
      </c>
      <c r="AH43" t="s">
        <v>292</v>
      </c>
      <c r="AI43" t="s">
        <v>293</v>
      </c>
      <c r="AJ43" t="s">
        <v>302</v>
      </c>
      <c r="AK43" t="s">
        <v>358</v>
      </c>
      <c r="AL43" t="s">
        <v>359</v>
      </c>
      <c r="AM43" t="s">
        <v>293</v>
      </c>
      <c r="AN43" t="s">
        <v>293</v>
      </c>
      <c r="AO43" t="s">
        <v>297</v>
      </c>
      <c r="AP43" t="s">
        <v>298</v>
      </c>
      <c r="AQ43" t="s">
        <v>293</v>
      </c>
      <c r="AR43" t="s">
        <v>292</v>
      </c>
      <c r="AS43" t="s">
        <v>293</v>
      </c>
      <c r="AT43" t="s">
        <v>293</v>
      </c>
      <c r="AU43" t="s">
        <v>364</v>
      </c>
      <c r="AV43" t="str">
        <f t="shared" si="2"/>
        <v>break</v>
      </c>
    </row>
    <row r="44" spans="1:48" x14ac:dyDescent="0.3">
      <c r="A44" t="s">
        <v>45</v>
      </c>
      <c r="B44" t="s">
        <v>53</v>
      </c>
      <c r="C44" t="s">
        <v>19</v>
      </c>
      <c r="D44" t="s">
        <v>29</v>
      </c>
      <c r="E44" t="str">
        <f t="shared" si="0"/>
        <v>P_B2P-ZSB-S_4U3</v>
      </c>
      <c r="F44" t="b">
        <v>1</v>
      </c>
      <c r="G44">
        <v>100</v>
      </c>
      <c r="H44">
        <v>1</v>
      </c>
      <c r="I44">
        <v>12848</v>
      </c>
      <c r="J44" s="49" t="s">
        <v>18</v>
      </c>
      <c r="L44" s="16" t="s">
        <v>272</v>
      </c>
      <c r="M44" s="16">
        <v>3</v>
      </c>
      <c r="N44" s="16" t="s">
        <v>277</v>
      </c>
      <c r="O44" s="16" t="s">
        <v>335</v>
      </c>
      <c r="P44" s="15" t="s">
        <v>282</v>
      </c>
      <c r="Q44" t="s">
        <v>371</v>
      </c>
      <c r="R44" t="s">
        <v>371</v>
      </c>
      <c r="S44" s="17" t="s">
        <v>371</v>
      </c>
      <c r="T44" s="16" t="s">
        <v>340</v>
      </c>
      <c r="U44" s="16" t="s">
        <v>340</v>
      </c>
      <c r="V44" s="15" t="s">
        <v>343</v>
      </c>
      <c r="W44" s="15" t="s">
        <v>291</v>
      </c>
      <c r="X44" s="17"/>
      <c r="Y44" t="s">
        <v>349</v>
      </c>
      <c r="Z44" t="s">
        <v>349</v>
      </c>
      <c r="AA44" t="s">
        <v>293</v>
      </c>
      <c r="AB44" t="s">
        <v>353</v>
      </c>
      <c r="AC44" t="s">
        <v>296</v>
      </c>
      <c r="AD44" t="s">
        <v>301</v>
      </c>
      <c r="AE44" t="s">
        <v>292</v>
      </c>
      <c r="AF44" t="s">
        <v>293</v>
      </c>
      <c r="AG44" t="s">
        <v>293</v>
      </c>
      <c r="AH44" t="s">
        <v>292</v>
      </c>
      <c r="AI44" t="s">
        <v>293</v>
      </c>
      <c r="AJ44" t="s">
        <v>302</v>
      </c>
      <c r="AK44" t="s">
        <v>302</v>
      </c>
      <c r="AL44" t="s">
        <v>359</v>
      </c>
      <c r="AM44" t="s">
        <v>293</v>
      </c>
      <c r="AN44" t="s">
        <v>293</v>
      </c>
      <c r="AO44" t="s">
        <v>296</v>
      </c>
      <c r="AP44" t="s">
        <v>298</v>
      </c>
      <c r="AQ44" t="s">
        <v>293</v>
      </c>
      <c r="AR44" t="s">
        <v>292</v>
      </c>
      <c r="AS44" t="s">
        <v>293</v>
      </c>
      <c r="AT44" t="s">
        <v>293</v>
      </c>
      <c r="AU44" t="s">
        <v>364</v>
      </c>
      <c r="AV44" t="str">
        <f t="shared" si="2"/>
        <v>break</v>
      </c>
    </row>
    <row r="45" spans="1:48" x14ac:dyDescent="0.3">
      <c r="A45" t="s">
        <v>45</v>
      </c>
      <c r="B45" t="s">
        <v>53</v>
      </c>
      <c r="C45" t="s">
        <v>17</v>
      </c>
      <c r="D45" t="s">
        <v>29</v>
      </c>
      <c r="E45" t="str">
        <f t="shared" si="0"/>
        <v>P_B2P-ZSB-S_6B5</v>
      </c>
      <c r="F45" t="b">
        <v>1</v>
      </c>
      <c r="G45">
        <v>82.6</v>
      </c>
      <c r="H45">
        <v>0</v>
      </c>
      <c r="I45">
        <v>11891</v>
      </c>
      <c r="J45" s="49" t="s">
        <v>13</v>
      </c>
      <c r="L45" s="16" t="s">
        <v>272</v>
      </c>
      <c r="M45" s="16">
        <v>3</v>
      </c>
      <c r="N45" s="16" t="s">
        <v>277</v>
      </c>
      <c r="O45" s="16" t="s">
        <v>335</v>
      </c>
      <c r="P45" s="15" t="s">
        <v>283</v>
      </c>
      <c r="Q45" t="s">
        <v>282</v>
      </c>
      <c r="R45" t="s">
        <v>284</v>
      </c>
      <c r="S45" s="17" t="s">
        <v>371</v>
      </c>
      <c r="T45" s="16" t="s">
        <v>341</v>
      </c>
      <c r="U45" s="16" t="s">
        <v>340</v>
      </c>
      <c r="V45" s="15" t="s">
        <v>343</v>
      </c>
      <c r="W45" s="15" t="s">
        <v>344</v>
      </c>
      <c r="X45" s="17"/>
      <c r="Y45" t="s">
        <v>349</v>
      </c>
      <c r="Z45" t="s">
        <v>349</v>
      </c>
      <c r="AA45" t="s">
        <v>293</v>
      </c>
      <c r="AB45" t="s">
        <v>352</v>
      </c>
      <c r="AC45" t="s">
        <v>296</v>
      </c>
      <c r="AD45" t="s">
        <v>300</v>
      </c>
      <c r="AE45" t="s">
        <v>292</v>
      </c>
      <c r="AF45" t="s">
        <v>293</v>
      </c>
      <c r="AG45" t="s">
        <v>292</v>
      </c>
      <c r="AH45" t="s">
        <v>292</v>
      </c>
      <c r="AI45" t="s">
        <v>293</v>
      </c>
      <c r="AJ45" t="s">
        <v>302</v>
      </c>
      <c r="AK45" t="s">
        <v>302</v>
      </c>
      <c r="AL45" t="s">
        <v>359</v>
      </c>
      <c r="AM45" t="s">
        <v>293</v>
      </c>
      <c r="AN45" t="s">
        <v>293</v>
      </c>
      <c r="AO45" t="s">
        <v>297</v>
      </c>
      <c r="AP45" t="s">
        <v>298</v>
      </c>
      <c r="AQ45" t="s">
        <v>293</v>
      </c>
      <c r="AR45" t="s">
        <v>292</v>
      </c>
      <c r="AS45" t="s">
        <v>293</v>
      </c>
      <c r="AT45" t="s">
        <v>293</v>
      </c>
      <c r="AU45" t="s">
        <v>364</v>
      </c>
      <c r="AV45" t="str">
        <f t="shared" si="2"/>
        <v>no_fail</v>
      </c>
    </row>
    <row r="46" spans="1:48" x14ac:dyDescent="0.3">
      <c r="A46" t="s">
        <v>9</v>
      </c>
      <c r="B46" t="s">
        <v>76</v>
      </c>
      <c r="C46" t="s">
        <v>15</v>
      </c>
      <c r="D46" t="s">
        <v>12</v>
      </c>
      <c r="E46" t="str">
        <f t="shared" si="0"/>
        <v>P_B7Q-KYY-S_0M4</v>
      </c>
      <c r="F46" t="b">
        <v>1</v>
      </c>
      <c r="G46">
        <v>100</v>
      </c>
      <c r="H46">
        <v>1</v>
      </c>
      <c r="I46">
        <v>13485</v>
      </c>
      <c r="J46" s="49" t="s">
        <v>18</v>
      </c>
      <c r="L46" s="16" t="s">
        <v>272</v>
      </c>
      <c r="M46" s="16">
        <v>3</v>
      </c>
      <c r="N46" s="16" t="s">
        <v>334</v>
      </c>
      <c r="O46" s="16" t="s">
        <v>334</v>
      </c>
      <c r="P46" s="15" t="s">
        <v>371</v>
      </c>
      <c r="Q46" t="s">
        <v>371</v>
      </c>
      <c r="R46" t="s">
        <v>371</v>
      </c>
      <c r="S46" s="17" t="s">
        <v>371</v>
      </c>
      <c r="T46" s="16" t="s">
        <v>341</v>
      </c>
      <c r="U46" s="16" t="s">
        <v>342</v>
      </c>
      <c r="V46" s="15" t="s">
        <v>343</v>
      </c>
      <c r="W46" s="15" t="s">
        <v>291</v>
      </c>
      <c r="X46" s="17"/>
      <c r="Y46" t="s">
        <v>349</v>
      </c>
      <c r="Z46" t="s">
        <v>349</v>
      </c>
      <c r="AA46" t="s">
        <v>293</v>
      </c>
      <c r="AB46" t="s">
        <v>353</v>
      </c>
      <c r="AC46" t="s">
        <v>296</v>
      </c>
      <c r="AD46" t="s">
        <v>301</v>
      </c>
      <c r="AE46" t="s">
        <v>293</v>
      </c>
      <c r="AF46" t="s">
        <v>293</v>
      </c>
      <c r="AG46" t="s">
        <v>292</v>
      </c>
      <c r="AH46" t="s">
        <v>292</v>
      </c>
      <c r="AI46" t="s">
        <v>293</v>
      </c>
      <c r="AJ46" t="s">
        <v>359</v>
      </c>
      <c r="AK46" t="s">
        <v>359</v>
      </c>
      <c r="AL46" t="s">
        <v>359</v>
      </c>
      <c r="AM46" t="s">
        <v>293</v>
      </c>
      <c r="AN46" t="s">
        <v>293</v>
      </c>
      <c r="AO46" t="s">
        <v>297</v>
      </c>
      <c r="AP46" t="s">
        <v>334</v>
      </c>
      <c r="AQ46" t="s">
        <v>293</v>
      </c>
      <c r="AR46" t="s">
        <v>292</v>
      </c>
      <c r="AS46" t="s">
        <v>293</v>
      </c>
      <c r="AT46" t="s">
        <v>293</v>
      </c>
      <c r="AU46" t="s">
        <v>364</v>
      </c>
      <c r="AV46" t="str">
        <f t="shared" si="2"/>
        <v>break</v>
      </c>
    </row>
    <row r="47" spans="1:48" x14ac:dyDescent="0.3">
      <c r="A47" t="s">
        <v>9</v>
      </c>
      <c r="B47" t="s">
        <v>76</v>
      </c>
      <c r="C47" t="s">
        <v>14</v>
      </c>
      <c r="D47" t="s">
        <v>12</v>
      </c>
      <c r="E47" t="str">
        <f t="shared" si="0"/>
        <v>P_B7Q-KYY-S_1B0</v>
      </c>
      <c r="F47" t="b">
        <v>1</v>
      </c>
      <c r="G47">
        <v>81.8</v>
      </c>
      <c r="H47">
        <v>0</v>
      </c>
      <c r="I47">
        <v>13582</v>
      </c>
      <c r="J47" s="49" t="s">
        <v>13</v>
      </c>
      <c r="L47" s="16" t="s">
        <v>272</v>
      </c>
      <c r="M47" s="16">
        <v>3</v>
      </c>
      <c r="N47" s="16" t="s">
        <v>277</v>
      </c>
      <c r="O47" s="16" t="s">
        <v>335</v>
      </c>
      <c r="P47" s="15" t="s">
        <v>281</v>
      </c>
      <c r="Q47" t="s">
        <v>282</v>
      </c>
      <c r="R47" t="s">
        <v>371</v>
      </c>
      <c r="S47" s="17" t="s">
        <v>371</v>
      </c>
      <c r="T47" s="16" t="s">
        <v>341</v>
      </c>
      <c r="U47" s="16" t="s">
        <v>340</v>
      </c>
      <c r="V47" s="15" t="s">
        <v>343</v>
      </c>
      <c r="W47" s="15" t="s">
        <v>344</v>
      </c>
      <c r="X47" s="17" t="s">
        <v>291</v>
      </c>
      <c r="Y47" t="s">
        <v>349</v>
      </c>
      <c r="Z47" t="s">
        <v>349</v>
      </c>
      <c r="AA47" t="s">
        <v>293</v>
      </c>
      <c r="AB47" t="s">
        <v>352</v>
      </c>
      <c r="AC47" t="s">
        <v>296</v>
      </c>
      <c r="AD47" t="s">
        <v>300</v>
      </c>
      <c r="AE47" t="s">
        <v>293</v>
      </c>
      <c r="AF47" t="s">
        <v>292</v>
      </c>
      <c r="AG47" t="s">
        <v>292</v>
      </c>
      <c r="AH47" t="s">
        <v>292</v>
      </c>
      <c r="AI47" t="s">
        <v>293</v>
      </c>
      <c r="AJ47" t="s">
        <v>302</v>
      </c>
      <c r="AK47" t="s">
        <v>302</v>
      </c>
      <c r="AL47" t="s">
        <v>359</v>
      </c>
      <c r="AM47" t="s">
        <v>293</v>
      </c>
      <c r="AN47" t="s">
        <v>293</v>
      </c>
      <c r="AO47" t="s">
        <v>297</v>
      </c>
      <c r="AP47" t="s">
        <v>356</v>
      </c>
      <c r="AQ47" t="s">
        <v>293</v>
      </c>
      <c r="AR47" t="s">
        <v>292</v>
      </c>
      <c r="AS47" t="s">
        <v>293</v>
      </c>
      <c r="AT47" t="s">
        <v>293</v>
      </c>
      <c r="AU47" t="s">
        <v>364</v>
      </c>
      <c r="AV47" t="str">
        <f t="shared" si="2"/>
        <v>no_fail</v>
      </c>
    </row>
    <row r="48" spans="1:48" x14ac:dyDescent="0.3">
      <c r="A48" t="s">
        <v>9</v>
      </c>
      <c r="B48" t="s">
        <v>76</v>
      </c>
      <c r="C48" t="s">
        <v>11</v>
      </c>
      <c r="D48" t="s">
        <v>12</v>
      </c>
      <c r="E48" t="str">
        <f t="shared" si="0"/>
        <v>P_B7Q-KYY-S_1Q4</v>
      </c>
      <c r="F48" t="b">
        <v>1</v>
      </c>
      <c r="G48">
        <v>68.599999999999994</v>
      </c>
      <c r="H48">
        <v>0</v>
      </c>
      <c r="I48">
        <v>11742</v>
      </c>
      <c r="J48" s="49" t="s">
        <v>13</v>
      </c>
      <c r="L48" s="16" t="s">
        <v>272</v>
      </c>
      <c r="M48" s="16">
        <v>3</v>
      </c>
      <c r="N48" s="16" t="s">
        <v>277</v>
      </c>
      <c r="O48" s="16" t="s">
        <v>335</v>
      </c>
      <c r="P48" s="15" t="s">
        <v>282</v>
      </c>
      <c r="Q48" t="s">
        <v>371</v>
      </c>
      <c r="R48" t="s">
        <v>371</v>
      </c>
      <c r="S48" s="17" t="s">
        <v>371</v>
      </c>
      <c r="T48" s="16" t="s">
        <v>341</v>
      </c>
      <c r="U48" s="16" t="s">
        <v>340</v>
      </c>
      <c r="V48" s="15" t="s">
        <v>343</v>
      </c>
      <c r="W48" s="15" t="s">
        <v>344</v>
      </c>
      <c r="X48" s="17"/>
      <c r="Y48" t="s">
        <v>349</v>
      </c>
      <c r="Z48" t="s">
        <v>349</v>
      </c>
      <c r="AA48" t="s">
        <v>293</v>
      </c>
      <c r="AB48" t="s">
        <v>353</v>
      </c>
      <c r="AC48" t="s">
        <v>296</v>
      </c>
      <c r="AD48" t="s">
        <v>299</v>
      </c>
      <c r="AE48" t="s">
        <v>292</v>
      </c>
      <c r="AF48" t="s">
        <v>293</v>
      </c>
      <c r="AG48" t="s">
        <v>292</v>
      </c>
      <c r="AH48" t="s">
        <v>292</v>
      </c>
      <c r="AI48" t="s">
        <v>293</v>
      </c>
      <c r="AJ48" t="s">
        <v>302</v>
      </c>
      <c r="AK48" t="s">
        <v>302</v>
      </c>
      <c r="AL48" t="s">
        <v>359</v>
      </c>
      <c r="AM48" t="s">
        <v>293</v>
      </c>
      <c r="AN48" t="s">
        <v>293</v>
      </c>
      <c r="AO48" t="s">
        <v>297</v>
      </c>
      <c r="AP48" t="s">
        <v>298</v>
      </c>
      <c r="AQ48" t="s">
        <v>293</v>
      </c>
      <c r="AR48" t="s">
        <v>292</v>
      </c>
      <c r="AS48" t="s">
        <v>293</v>
      </c>
      <c r="AT48" t="s">
        <v>293</v>
      </c>
      <c r="AU48" t="s">
        <v>364</v>
      </c>
      <c r="AV48" t="str">
        <f t="shared" si="2"/>
        <v>no_fail</v>
      </c>
    </row>
    <row r="49" spans="1:49" x14ac:dyDescent="0.3">
      <c r="A49" t="s">
        <v>9</v>
      </c>
      <c r="B49" t="s">
        <v>76</v>
      </c>
      <c r="C49" t="s">
        <v>19</v>
      </c>
      <c r="D49" t="s">
        <v>12</v>
      </c>
      <c r="E49" t="str">
        <f t="shared" si="0"/>
        <v>P_B7Q-KYY-S_4U3</v>
      </c>
      <c r="F49" t="b">
        <v>1</v>
      </c>
      <c r="G49">
        <v>100</v>
      </c>
      <c r="H49">
        <v>1</v>
      </c>
      <c r="I49">
        <v>22643</v>
      </c>
      <c r="J49" s="49" t="s">
        <v>18</v>
      </c>
      <c r="L49" s="16" t="s">
        <v>272</v>
      </c>
      <c r="M49" s="16">
        <v>3</v>
      </c>
      <c r="N49" s="16" t="s">
        <v>277</v>
      </c>
      <c r="O49" s="16" t="s">
        <v>335</v>
      </c>
      <c r="P49" s="15" t="s">
        <v>282</v>
      </c>
      <c r="Q49" t="s">
        <v>371</v>
      </c>
      <c r="R49" t="s">
        <v>371</v>
      </c>
      <c r="S49" s="17" t="s">
        <v>371</v>
      </c>
      <c r="T49" s="16" t="s">
        <v>341</v>
      </c>
      <c r="U49" s="16" t="s">
        <v>342</v>
      </c>
      <c r="V49" s="15" t="s">
        <v>343</v>
      </c>
      <c r="W49" s="15" t="s">
        <v>347</v>
      </c>
      <c r="X49" s="17" t="s">
        <v>291</v>
      </c>
      <c r="Y49" t="s">
        <v>349</v>
      </c>
      <c r="Z49" t="s">
        <v>349</v>
      </c>
      <c r="AA49" t="s">
        <v>293</v>
      </c>
      <c r="AB49" t="s">
        <v>352</v>
      </c>
      <c r="AC49" t="s">
        <v>296</v>
      </c>
      <c r="AD49" t="s">
        <v>301</v>
      </c>
      <c r="AE49" t="s">
        <v>292</v>
      </c>
      <c r="AF49" t="s">
        <v>293</v>
      </c>
      <c r="AG49" t="s">
        <v>292</v>
      </c>
      <c r="AH49" t="s">
        <v>292</v>
      </c>
      <c r="AI49" t="s">
        <v>293</v>
      </c>
      <c r="AJ49" t="s">
        <v>302</v>
      </c>
      <c r="AK49" t="s">
        <v>302</v>
      </c>
      <c r="AL49" t="s">
        <v>359</v>
      </c>
      <c r="AM49" t="s">
        <v>293</v>
      </c>
      <c r="AN49" t="s">
        <v>293</v>
      </c>
      <c r="AO49" t="s">
        <v>297</v>
      </c>
      <c r="AP49" t="s">
        <v>298</v>
      </c>
      <c r="AQ49" t="s">
        <v>293</v>
      </c>
      <c r="AR49" t="s">
        <v>292</v>
      </c>
      <c r="AS49" t="s">
        <v>293</v>
      </c>
      <c r="AT49" t="s">
        <v>293</v>
      </c>
      <c r="AU49" t="s">
        <v>364</v>
      </c>
      <c r="AV49" t="str">
        <f t="shared" si="2"/>
        <v>break</v>
      </c>
    </row>
    <row r="50" spans="1:49" x14ac:dyDescent="0.3">
      <c r="A50" t="s">
        <v>9</v>
      </c>
      <c r="B50" t="s">
        <v>76</v>
      </c>
      <c r="C50" t="s">
        <v>17</v>
      </c>
      <c r="D50" t="s">
        <v>12</v>
      </c>
      <c r="E50" t="str">
        <f t="shared" si="0"/>
        <v>P_B7Q-KYY-S_6B5</v>
      </c>
      <c r="F50" t="b">
        <v>1</v>
      </c>
      <c r="G50">
        <v>100</v>
      </c>
      <c r="H50">
        <v>1</v>
      </c>
      <c r="I50">
        <v>18290</v>
      </c>
      <c r="J50" s="49" t="s">
        <v>18</v>
      </c>
      <c r="L50" s="16" t="s">
        <v>272</v>
      </c>
      <c r="M50" s="16">
        <v>3</v>
      </c>
      <c r="N50" s="16" t="s">
        <v>277</v>
      </c>
      <c r="O50" s="16" t="s">
        <v>335</v>
      </c>
      <c r="P50" s="15" t="s">
        <v>282</v>
      </c>
      <c r="Q50" t="s">
        <v>371</v>
      </c>
      <c r="R50" t="s">
        <v>371</v>
      </c>
      <c r="S50" s="17" t="s">
        <v>371</v>
      </c>
      <c r="T50" s="16" t="s">
        <v>341</v>
      </c>
      <c r="U50" s="16" t="s">
        <v>340</v>
      </c>
      <c r="V50" s="15" t="s">
        <v>343</v>
      </c>
      <c r="W50" s="15" t="s">
        <v>347</v>
      </c>
      <c r="X50" s="17"/>
      <c r="Y50" t="s">
        <v>349</v>
      </c>
      <c r="Z50" t="s">
        <v>349</v>
      </c>
      <c r="AA50" t="s">
        <v>293</v>
      </c>
      <c r="AB50" t="s">
        <v>352</v>
      </c>
      <c r="AC50" t="s">
        <v>296</v>
      </c>
      <c r="AD50" t="s">
        <v>301</v>
      </c>
      <c r="AE50" t="s">
        <v>292</v>
      </c>
      <c r="AF50" t="s">
        <v>293</v>
      </c>
      <c r="AG50" t="s">
        <v>292</v>
      </c>
      <c r="AH50" t="s">
        <v>292</v>
      </c>
      <c r="AI50" t="s">
        <v>293</v>
      </c>
      <c r="AJ50" t="s">
        <v>302</v>
      </c>
      <c r="AK50" t="s">
        <v>302</v>
      </c>
      <c r="AL50" t="s">
        <v>359</v>
      </c>
      <c r="AM50" t="s">
        <v>293</v>
      </c>
      <c r="AN50" t="s">
        <v>293</v>
      </c>
      <c r="AO50" t="s">
        <v>297</v>
      </c>
      <c r="AP50" t="s">
        <v>298</v>
      </c>
      <c r="AQ50" t="s">
        <v>293</v>
      </c>
      <c r="AR50" t="s">
        <v>292</v>
      </c>
      <c r="AS50" t="s">
        <v>293</v>
      </c>
      <c r="AT50" t="s">
        <v>293</v>
      </c>
      <c r="AU50" t="s">
        <v>364</v>
      </c>
      <c r="AV50" t="str">
        <f t="shared" si="2"/>
        <v>break</v>
      </c>
    </row>
    <row r="51" spans="1:49" x14ac:dyDescent="0.3">
      <c r="A51" t="s">
        <v>9</v>
      </c>
      <c r="B51" t="s">
        <v>76</v>
      </c>
      <c r="C51" t="s">
        <v>16</v>
      </c>
      <c r="D51" t="s">
        <v>12</v>
      </c>
      <c r="E51" t="str">
        <f t="shared" si="0"/>
        <v>P_B7Q-KYY-S_6U7</v>
      </c>
      <c r="F51" t="b">
        <v>1</v>
      </c>
      <c r="G51">
        <v>100</v>
      </c>
      <c r="H51">
        <v>1</v>
      </c>
      <c r="I51">
        <v>12651</v>
      </c>
      <c r="J51" s="49" t="s">
        <v>18</v>
      </c>
      <c r="L51" s="16" t="s">
        <v>272</v>
      </c>
      <c r="M51" s="16">
        <v>3</v>
      </c>
      <c r="N51" s="16" t="s">
        <v>277</v>
      </c>
      <c r="O51" s="16" t="s">
        <v>335</v>
      </c>
      <c r="P51" s="15" t="s">
        <v>282</v>
      </c>
      <c r="Q51" t="s">
        <v>371</v>
      </c>
      <c r="R51" t="s">
        <v>371</v>
      </c>
      <c r="S51" s="17" t="s">
        <v>371</v>
      </c>
      <c r="T51" s="16" t="s">
        <v>341</v>
      </c>
      <c r="U51" s="16" t="s">
        <v>340</v>
      </c>
      <c r="V51" s="15" t="s">
        <v>343</v>
      </c>
      <c r="W51" s="15" t="s">
        <v>291</v>
      </c>
      <c r="X51" s="17"/>
      <c r="Y51" t="s">
        <v>349</v>
      </c>
      <c r="Z51" t="s">
        <v>349</v>
      </c>
      <c r="AA51" t="s">
        <v>293</v>
      </c>
      <c r="AB51" t="s">
        <v>352</v>
      </c>
      <c r="AC51" t="s">
        <v>296</v>
      </c>
      <c r="AD51" t="s">
        <v>301</v>
      </c>
      <c r="AE51" t="s">
        <v>292</v>
      </c>
      <c r="AF51" t="s">
        <v>293</v>
      </c>
      <c r="AG51" t="s">
        <v>292</v>
      </c>
      <c r="AH51" t="s">
        <v>292</v>
      </c>
      <c r="AI51" t="s">
        <v>293</v>
      </c>
      <c r="AJ51" t="s">
        <v>302</v>
      </c>
      <c r="AK51" t="s">
        <v>302</v>
      </c>
      <c r="AL51" t="s">
        <v>359</v>
      </c>
      <c r="AM51" t="s">
        <v>293</v>
      </c>
      <c r="AN51" t="s">
        <v>293</v>
      </c>
      <c r="AO51" t="s">
        <v>297</v>
      </c>
      <c r="AP51" t="s">
        <v>298</v>
      </c>
      <c r="AQ51" t="s">
        <v>293</v>
      </c>
      <c r="AR51" t="s">
        <v>292</v>
      </c>
      <c r="AS51" t="s">
        <v>293</v>
      </c>
      <c r="AT51" t="s">
        <v>293</v>
      </c>
      <c r="AU51" t="s">
        <v>364</v>
      </c>
      <c r="AV51" t="str">
        <f t="shared" si="2"/>
        <v>break</v>
      </c>
    </row>
    <row r="52" spans="1:49" x14ac:dyDescent="0.3">
      <c r="A52" t="s">
        <v>9</v>
      </c>
      <c r="B52" t="s">
        <v>76</v>
      </c>
      <c r="C52" t="s">
        <v>20</v>
      </c>
      <c r="D52" t="s">
        <v>12</v>
      </c>
      <c r="E52" t="str">
        <f t="shared" si="0"/>
        <v>P_B7Q-KYY-S_7W0</v>
      </c>
      <c r="F52" t="b">
        <v>1</v>
      </c>
      <c r="G52">
        <v>100</v>
      </c>
      <c r="H52">
        <v>1</v>
      </c>
      <c r="I52">
        <v>10515</v>
      </c>
      <c r="J52" s="49" t="s">
        <v>18</v>
      </c>
      <c r="L52" s="16" t="s">
        <v>272</v>
      </c>
      <c r="M52" s="16">
        <v>3</v>
      </c>
      <c r="N52" s="16" t="s">
        <v>277</v>
      </c>
      <c r="O52" s="16" t="s">
        <v>335</v>
      </c>
      <c r="P52" s="15" t="s">
        <v>284</v>
      </c>
      <c r="Q52" t="s">
        <v>282</v>
      </c>
      <c r="R52" t="s">
        <v>371</v>
      </c>
      <c r="S52" s="17" t="s">
        <v>371</v>
      </c>
      <c r="T52" s="16" t="s">
        <v>341</v>
      </c>
      <c r="U52" s="16" t="s">
        <v>340</v>
      </c>
      <c r="V52" s="15" t="s">
        <v>340</v>
      </c>
      <c r="W52" s="15" t="s">
        <v>344</v>
      </c>
      <c r="X52" s="17"/>
      <c r="Y52" t="s">
        <v>349</v>
      </c>
      <c r="Z52" t="s">
        <v>349</v>
      </c>
      <c r="AA52" t="s">
        <v>293</v>
      </c>
      <c r="AB52" t="s">
        <v>354</v>
      </c>
      <c r="AC52" t="s">
        <v>354</v>
      </c>
      <c r="AD52" t="s">
        <v>300</v>
      </c>
      <c r="AE52" t="s">
        <v>292</v>
      </c>
      <c r="AF52" t="s">
        <v>293</v>
      </c>
      <c r="AG52" t="s">
        <v>292</v>
      </c>
      <c r="AH52" t="s">
        <v>293</v>
      </c>
      <c r="AI52" t="s">
        <v>293</v>
      </c>
      <c r="AJ52" t="s">
        <v>302</v>
      </c>
      <c r="AK52" t="s">
        <v>302</v>
      </c>
      <c r="AL52" t="s">
        <v>358</v>
      </c>
      <c r="AM52" t="s">
        <v>293</v>
      </c>
      <c r="AN52" t="s">
        <v>292</v>
      </c>
      <c r="AO52" t="s">
        <v>297</v>
      </c>
      <c r="AP52" t="s">
        <v>298</v>
      </c>
      <c r="AQ52" t="s">
        <v>293</v>
      </c>
      <c r="AR52" t="s">
        <v>292</v>
      </c>
      <c r="AS52" t="s">
        <v>293</v>
      </c>
      <c r="AT52" t="s">
        <v>293</v>
      </c>
      <c r="AU52" t="s">
        <v>364</v>
      </c>
      <c r="AV52" t="str">
        <f t="shared" si="2"/>
        <v>break</v>
      </c>
    </row>
    <row r="53" spans="1:49" x14ac:dyDescent="0.3">
      <c r="A53" t="s">
        <v>9</v>
      </c>
      <c r="B53" t="s">
        <v>76</v>
      </c>
      <c r="C53" t="s">
        <v>23</v>
      </c>
      <c r="D53" t="s">
        <v>29</v>
      </c>
      <c r="E53" t="str">
        <f t="shared" si="0"/>
        <v>P_B7Q-ZSB-S_0T2</v>
      </c>
      <c r="F53" t="b">
        <v>1</v>
      </c>
      <c r="G53">
        <v>100</v>
      </c>
      <c r="H53">
        <v>1</v>
      </c>
      <c r="I53">
        <v>15511</v>
      </c>
      <c r="J53" s="49" t="s">
        <v>18</v>
      </c>
      <c r="L53" s="16" t="s">
        <v>272</v>
      </c>
      <c r="M53" s="16">
        <v>3</v>
      </c>
      <c r="N53" s="16" t="s">
        <v>277</v>
      </c>
      <c r="O53" s="16" t="s">
        <v>335</v>
      </c>
      <c r="P53" s="15" t="s">
        <v>283</v>
      </c>
      <c r="Q53" t="s">
        <v>282</v>
      </c>
      <c r="R53" t="s">
        <v>371</v>
      </c>
      <c r="S53" s="17" t="s">
        <v>371</v>
      </c>
      <c r="T53" s="16" t="s">
        <v>340</v>
      </c>
      <c r="U53" s="16" t="s">
        <v>342</v>
      </c>
      <c r="V53" s="15" t="s">
        <v>343</v>
      </c>
      <c r="W53" s="15" t="s">
        <v>344</v>
      </c>
      <c r="X53" s="17"/>
      <c r="Y53" t="s">
        <v>349</v>
      </c>
      <c r="Z53" t="s">
        <v>349</v>
      </c>
      <c r="AA53" t="s">
        <v>293</v>
      </c>
      <c r="AB53" t="s">
        <v>352</v>
      </c>
      <c r="AC53" t="s">
        <v>296</v>
      </c>
      <c r="AD53" t="s">
        <v>300</v>
      </c>
      <c r="AE53" t="s">
        <v>292</v>
      </c>
      <c r="AF53" t="s">
        <v>293</v>
      </c>
      <c r="AG53" t="s">
        <v>292</v>
      </c>
      <c r="AH53" t="s">
        <v>292</v>
      </c>
      <c r="AI53" t="s">
        <v>293</v>
      </c>
      <c r="AJ53" t="s">
        <v>302</v>
      </c>
      <c r="AK53" t="s">
        <v>302</v>
      </c>
      <c r="AL53" t="s">
        <v>359</v>
      </c>
      <c r="AM53" t="s">
        <v>293</v>
      </c>
      <c r="AN53" t="s">
        <v>293</v>
      </c>
      <c r="AO53" t="s">
        <v>297</v>
      </c>
      <c r="AP53" t="s">
        <v>298</v>
      </c>
      <c r="AQ53" t="s">
        <v>293</v>
      </c>
      <c r="AR53" t="s">
        <v>292</v>
      </c>
      <c r="AS53" t="s">
        <v>293</v>
      </c>
      <c r="AT53" t="s">
        <v>293</v>
      </c>
      <c r="AU53" t="s">
        <v>364</v>
      </c>
      <c r="AV53" t="str">
        <f t="shared" si="2"/>
        <v>break</v>
      </c>
    </row>
    <row r="54" spans="1:49" x14ac:dyDescent="0.3">
      <c r="A54" t="s">
        <v>9</v>
      </c>
      <c r="B54" t="s">
        <v>76</v>
      </c>
      <c r="C54" t="s">
        <v>25</v>
      </c>
      <c r="D54" t="s">
        <v>29</v>
      </c>
      <c r="E54" t="str">
        <f t="shared" si="0"/>
        <v>P_B7Q-ZSB-S_1J8</v>
      </c>
      <c r="F54" t="b">
        <v>1</v>
      </c>
      <c r="G54">
        <v>100</v>
      </c>
      <c r="H54">
        <v>1</v>
      </c>
      <c r="I54">
        <v>13391</v>
      </c>
      <c r="J54" s="49" t="s">
        <v>18</v>
      </c>
      <c r="L54" s="16" t="s">
        <v>272</v>
      </c>
      <c r="M54" s="16">
        <v>3</v>
      </c>
      <c r="N54" s="16" t="s">
        <v>277</v>
      </c>
      <c r="O54" s="16" t="s">
        <v>335</v>
      </c>
      <c r="P54" s="15" t="s">
        <v>282</v>
      </c>
      <c r="Q54" t="s">
        <v>371</v>
      </c>
      <c r="R54" t="s">
        <v>371</v>
      </c>
      <c r="S54" s="17" t="s">
        <v>371</v>
      </c>
      <c r="T54" s="16" t="s">
        <v>340</v>
      </c>
      <c r="U54" s="16" t="s">
        <v>342</v>
      </c>
      <c r="V54" s="15" t="s">
        <v>343</v>
      </c>
      <c r="W54" s="15" t="s">
        <v>344</v>
      </c>
      <c r="X54" s="17"/>
      <c r="Y54" t="s">
        <v>349</v>
      </c>
      <c r="Z54" t="s">
        <v>349</v>
      </c>
      <c r="AA54" t="s">
        <v>293</v>
      </c>
      <c r="AB54" t="s">
        <v>352</v>
      </c>
      <c r="AC54" t="s">
        <v>296</v>
      </c>
      <c r="AD54" t="s">
        <v>299</v>
      </c>
      <c r="AE54" t="s">
        <v>292</v>
      </c>
      <c r="AF54" t="s">
        <v>293</v>
      </c>
      <c r="AG54" t="s">
        <v>292</v>
      </c>
      <c r="AH54" t="s">
        <v>292</v>
      </c>
      <c r="AI54" t="s">
        <v>293</v>
      </c>
      <c r="AJ54" t="s">
        <v>302</v>
      </c>
      <c r="AK54" t="s">
        <v>302</v>
      </c>
      <c r="AL54" t="s">
        <v>359</v>
      </c>
      <c r="AM54" t="s">
        <v>293</v>
      </c>
      <c r="AN54" t="s">
        <v>293</v>
      </c>
      <c r="AO54" t="s">
        <v>297</v>
      </c>
      <c r="AP54" t="s">
        <v>298</v>
      </c>
      <c r="AQ54" t="s">
        <v>293</v>
      </c>
      <c r="AR54" t="s">
        <v>292</v>
      </c>
      <c r="AS54" t="s">
        <v>293</v>
      </c>
      <c r="AT54" t="s">
        <v>293</v>
      </c>
      <c r="AU54" t="s">
        <v>364</v>
      </c>
      <c r="AV54" t="str">
        <f t="shared" si="2"/>
        <v>break</v>
      </c>
    </row>
    <row r="55" spans="1:49" x14ac:dyDescent="0.3">
      <c r="A55" t="s">
        <v>9</v>
      </c>
      <c r="B55" t="s">
        <v>76</v>
      </c>
      <c r="C55" t="s">
        <v>24</v>
      </c>
      <c r="D55" t="s">
        <v>29</v>
      </c>
      <c r="E55" t="str">
        <f t="shared" si="0"/>
        <v>P_B7Q-ZSB-S_1U0</v>
      </c>
      <c r="F55" t="b">
        <v>1</v>
      </c>
      <c r="G55">
        <v>100</v>
      </c>
      <c r="H55">
        <v>1</v>
      </c>
      <c r="I55">
        <v>14479</v>
      </c>
      <c r="J55" s="49" t="s">
        <v>13</v>
      </c>
      <c r="L55" s="16" t="s">
        <v>272</v>
      </c>
      <c r="M55" s="16">
        <v>3</v>
      </c>
      <c r="N55" s="16" t="s">
        <v>277</v>
      </c>
      <c r="O55" s="16" t="s">
        <v>335</v>
      </c>
      <c r="P55" s="15" t="s">
        <v>283</v>
      </c>
      <c r="Q55" t="s">
        <v>284</v>
      </c>
      <c r="R55" t="s">
        <v>371</v>
      </c>
      <c r="S55" s="17" t="s">
        <v>371</v>
      </c>
      <c r="T55" s="16" t="s">
        <v>340</v>
      </c>
      <c r="U55" s="16" t="s">
        <v>342</v>
      </c>
      <c r="V55" s="15" t="s">
        <v>343</v>
      </c>
      <c r="W55" s="15" t="s">
        <v>344</v>
      </c>
      <c r="X55" s="17"/>
      <c r="Y55" t="s">
        <v>349</v>
      </c>
      <c r="Z55" t="s">
        <v>349</v>
      </c>
      <c r="AA55" t="s">
        <v>293</v>
      </c>
      <c r="AB55" t="s">
        <v>352</v>
      </c>
      <c r="AC55" t="s">
        <v>296</v>
      </c>
      <c r="AD55" t="s">
        <v>300</v>
      </c>
      <c r="AE55" t="s">
        <v>292</v>
      </c>
      <c r="AF55" t="s">
        <v>293</v>
      </c>
      <c r="AG55" t="s">
        <v>292</v>
      </c>
      <c r="AH55" t="s">
        <v>292</v>
      </c>
      <c r="AI55" t="s">
        <v>293</v>
      </c>
      <c r="AJ55" t="s">
        <v>302</v>
      </c>
      <c r="AK55" t="s">
        <v>302</v>
      </c>
      <c r="AL55" t="s">
        <v>359</v>
      </c>
      <c r="AM55" t="s">
        <v>293</v>
      </c>
      <c r="AN55" t="s">
        <v>293</v>
      </c>
      <c r="AO55" t="s">
        <v>297</v>
      </c>
      <c r="AP55" t="s">
        <v>298</v>
      </c>
      <c r="AQ55" t="s">
        <v>293</v>
      </c>
      <c r="AR55" t="s">
        <v>292</v>
      </c>
      <c r="AS55" t="s">
        <v>293</v>
      </c>
      <c r="AT55" t="s">
        <v>293</v>
      </c>
      <c r="AU55" t="s">
        <v>364</v>
      </c>
      <c r="AV55" t="str">
        <f t="shared" si="2"/>
        <v>no_fail</v>
      </c>
    </row>
    <row r="56" spans="1:49" x14ac:dyDescent="0.3">
      <c r="A56" t="s">
        <v>9</v>
      </c>
      <c r="B56" t="s">
        <v>76</v>
      </c>
      <c r="C56" t="s">
        <v>21</v>
      </c>
      <c r="D56" t="s">
        <v>29</v>
      </c>
      <c r="E56" t="str">
        <f t="shared" si="0"/>
        <v>P_B7Q-ZSB-S_3X6</v>
      </c>
      <c r="F56" t="b">
        <v>1</v>
      </c>
      <c r="G56">
        <v>99.9</v>
      </c>
      <c r="H56">
        <v>0</v>
      </c>
      <c r="I56">
        <v>10869</v>
      </c>
      <c r="J56" s="49" t="s">
        <v>18</v>
      </c>
      <c r="L56" s="16" t="s">
        <v>272</v>
      </c>
      <c r="M56" s="16">
        <v>2</v>
      </c>
      <c r="N56" s="16" t="s">
        <v>277</v>
      </c>
      <c r="O56" s="16" t="s">
        <v>335</v>
      </c>
      <c r="P56" s="15" t="s">
        <v>282</v>
      </c>
      <c r="Q56" t="s">
        <v>371</v>
      </c>
      <c r="R56" t="s">
        <v>371</v>
      </c>
      <c r="S56" s="17" t="s">
        <v>371</v>
      </c>
      <c r="T56" s="16" t="s">
        <v>340</v>
      </c>
      <c r="U56" s="16" t="s">
        <v>342</v>
      </c>
      <c r="V56" s="15" t="s">
        <v>340</v>
      </c>
      <c r="W56" s="15" t="s">
        <v>344</v>
      </c>
      <c r="X56" s="17"/>
      <c r="Y56" t="s">
        <v>349</v>
      </c>
      <c r="Z56" t="s">
        <v>349</v>
      </c>
      <c r="AA56" t="s">
        <v>293</v>
      </c>
      <c r="AB56" t="s">
        <v>354</v>
      </c>
      <c r="AC56" t="s">
        <v>354</v>
      </c>
      <c r="AD56" t="s">
        <v>301</v>
      </c>
      <c r="AE56" t="s">
        <v>292</v>
      </c>
      <c r="AF56" t="s">
        <v>293</v>
      </c>
      <c r="AG56" t="s">
        <v>292</v>
      </c>
      <c r="AH56" t="s">
        <v>293</v>
      </c>
      <c r="AI56" t="s">
        <v>293</v>
      </c>
      <c r="AJ56" t="s">
        <v>302</v>
      </c>
      <c r="AK56" t="s">
        <v>302</v>
      </c>
      <c r="AL56" t="s">
        <v>359</v>
      </c>
      <c r="AM56" t="s">
        <v>293</v>
      </c>
      <c r="AN56" t="s">
        <v>293</v>
      </c>
      <c r="AO56" t="s">
        <v>297</v>
      </c>
      <c r="AP56" t="s">
        <v>298</v>
      </c>
      <c r="AQ56" t="s">
        <v>293</v>
      </c>
      <c r="AR56" t="s">
        <v>292</v>
      </c>
      <c r="AS56" t="s">
        <v>293</v>
      </c>
      <c r="AT56" t="s">
        <v>293</v>
      </c>
      <c r="AU56" t="s">
        <v>364</v>
      </c>
      <c r="AV56" t="str">
        <f t="shared" si="2"/>
        <v>car_stuck</v>
      </c>
    </row>
    <row r="57" spans="1:49" x14ac:dyDescent="0.3">
      <c r="A57" t="s">
        <v>9</v>
      </c>
      <c r="B57" t="s">
        <v>76</v>
      </c>
      <c r="C57" t="s">
        <v>30</v>
      </c>
      <c r="D57" t="s">
        <v>29</v>
      </c>
      <c r="E57" t="str">
        <f t="shared" si="0"/>
        <v>P_B7Q-ZSB-S_3X7</v>
      </c>
      <c r="F57" t="b">
        <v>1</v>
      </c>
      <c r="G57">
        <v>100</v>
      </c>
      <c r="H57">
        <v>1</v>
      </c>
      <c r="I57">
        <v>12226</v>
      </c>
      <c r="J57" s="49" t="s">
        <v>13</v>
      </c>
      <c r="L57" s="16" t="s">
        <v>272</v>
      </c>
      <c r="M57" s="16">
        <v>3</v>
      </c>
      <c r="N57" s="16" t="s">
        <v>277</v>
      </c>
      <c r="O57" s="16" t="s">
        <v>335</v>
      </c>
      <c r="P57" s="15" t="s">
        <v>283</v>
      </c>
      <c r="Q57" t="s">
        <v>284</v>
      </c>
      <c r="R57" t="s">
        <v>371</v>
      </c>
      <c r="S57" s="17" t="s">
        <v>371</v>
      </c>
      <c r="T57" s="16" t="s">
        <v>341</v>
      </c>
      <c r="U57" s="16" t="s">
        <v>340</v>
      </c>
      <c r="V57" s="15" t="s">
        <v>343</v>
      </c>
      <c r="W57" s="15" t="s">
        <v>345</v>
      </c>
      <c r="X57" s="17" t="s">
        <v>346</v>
      </c>
      <c r="Y57" t="s">
        <v>349</v>
      </c>
      <c r="Z57" t="s">
        <v>349</v>
      </c>
      <c r="AA57" t="s">
        <v>293</v>
      </c>
      <c r="AB57" t="s">
        <v>353</v>
      </c>
      <c r="AC57" t="s">
        <v>296</v>
      </c>
      <c r="AD57" t="s">
        <v>300</v>
      </c>
      <c r="AE57" t="s">
        <v>293</v>
      </c>
      <c r="AF57" t="s">
        <v>292</v>
      </c>
      <c r="AG57" t="s">
        <v>292</v>
      </c>
      <c r="AH57" t="s">
        <v>292</v>
      </c>
      <c r="AI57" t="s">
        <v>293</v>
      </c>
      <c r="AJ57" t="s">
        <v>302</v>
      </c>
      <c r="AK57" t="s">
        <v>302</v>
      </c>
      <c r="AL57" t="s">
        <v>359</v>
      </c>
      <c r="AM57" t="s">
        <v>293</v>
      </c>
      <c r="AN57" t="s">
        <v>293</v>
      </c>
      <c r="AO57" t="s">
        <v>297</v>
      </c>
      <c r="AP57" t="s">
        <v>356</v>
      </c>
      <c r="AQ57" t="s">
        <v>293</v>
      </c>
      <c r="AR57" t="s">
        <v>292</v>
      </c>
      <c r="AS57" t="s">
        <v>293</v>
      </c>
      <c r="AT57" t="s">
        <v>293</v>
      </c>
      <c r="AU57" t="s">
        <v>364</v>
      </c>
      <c r="AV57" t="str">
        <f t="shared" si="2"/>
        <v>no_fail</v>
      </c>
    </row>
    <row r="58" spans="1:49" x14ac:dyDescent="0.3">
      <c r="A58" t="s">
        <v>9</v>
      </c>
      <c r="B58" t="s">
        <v>76</v>
      </c>
      <c r="C58" t="s">
        <v>26</v>
      </c>
      <c r="D58" t="s">
        <v>29</v>
      </c>
      <c r="E58" t="str">
        <f t="shared" si="0"/>
        <v>P_B7Q-ZSB-S_8O8</v>
      </c>
      <c r="F58" t="b">
        <v>1</v>
      </c>
      <c r="G58">
        <v>100</v>
      </c>
      <c r="H58">
        <v>1</v>
      </c>
      <c r="I58">
        <v>16337</v>
      </c>
      <c r="J58" s="49" t="s">
        <v>13</v>
      </c>
      <c r="L58" s="16" t="s">
        <v>272</v>
      </c>
      <c r="M58" s="16">
        <v>3</v>
      </c>
      <c r="N58" s="16" t="s">
        <v>277</v>
      </c>
      <c r="O58" s="16" t="s">
        <v>335</v>
      </c>
      <c r="P58" s="15" t="s">
        <v>282</v>
      </c>
      <c r="Q58" t="s">
        <v>371</v>
      </c>
      <c r="R58" t="s">
        <v>371</v>
      </c>
      <c r="S58" s="17" t="s">
        <v>371</v>
      </c>
      <c r="T58" s="16" t="s">
        <v>340</v>
      </c>
      <c r="U58" s="16" t="s">
        <v>342</v>
      </c>
      <c r="V58" s="15" t="s">
        <v>343</v>
      </c>
      <c r="W58" s="15" t="s">
        <v>344</v>
      </c>
      <c r="X58" s="17"/>
      <c r="Y58" t="s">
        <v>349</v>
      </c>
      <c r="Z58" t="s">
        <v>349</v>
      </c>
      <c r="AA58" t="s">
        <v>293</v>
      </c>
      <c r="AB58" t="s">
        <v>352</v>
      </c>
      <c r="AC58" t="s">
        <v>296</v>
      </c>
      <c r="AD58" t="s">
        <v>299</v>
      </c>
      <c r="AE58" t="s">
        <v>293</v>
      </c>
      <c r="AF58" t="s">
        <v>292</v>
      </c>
      <c r="AG58" t="s">
        <v>292</v>
      </c>
      <c r="AH58" t="s">
        <v>292</v>
      </c>
      <c r="AI58" t="s">
        <v>293</v>
      </c>
      <c r="AJ58" t="s">
        <v>302</v>
      </c>
      <c r="AK58" t="s">
        <v>302</v>
      </c>
      <c r="AL58" t="s">
        <v>359</v>
      </c>
      <c r="AM58" t="s">
        <v>293</v>
      </c>
      <c r="AN58" t="s">
        <v>293</v>
      </c>
      <c r="AO58" t="s">
        <v>297</v>
      </c>
      <c r="AP58" t="s">
        <v>298</v>
      </c>
      <c r="AQ58" t="s">
        <v>293</v>
      </c>
      <c r="AR58" t="s">
        <v>292</v>
      </c>
      <c r="AS58" t="s">
        <v>293</v>
      </c>
      <c r="AT58" t="s">
        <v>293</v>
      </c>
      <c r="AU58" t="s">
        <v>364</v>
      </c>
      <c r="AV58" t="str">
        <f t="shared" si="2"/>
        <v>no_fail</v>
      </c>
    </row>
    <row r="59" spans="1:49" x14ac:dyDescent="0.3">
      <c r="A59" t="s">
        <v>9</v>
      </c>
      <c r="B59" t="s">
        <v>76</v>
      </c>
      <c r="C59" t="s">
        <v>22</v>
      </c>
      <c r="D59" t="s">
        <v>29</v>
      </c>
      <c r="E59" t="str">
        <f t="shared" si="0"/>
        <v>P_B7Q-ZSB-S_9B4</v>
      </c>
      <c r="F59" t="b">
        <v>1</v>
      </c>
      <c r="G59">
        <v>100</v>
      </c>
      <c r="H59">
        <v>1</v>
      </c>
      <c r="I59">
        <v>9669</v>
      </c>
      <c r="J59" s="49" t="s">
        <v>18</v>
      </c>
      <c r="L59" s="16" t="s">
        <v>272</v>
      </c>
      <c r="M59" s="16">
        <v>2</v>
      </c>
      <c r="N59" s="16" t="s">
        <v>277</v>
      </c>
      <c r="O59" s="16" t="s">
        <v>335</v>
      </c>
      <c r="P59" s="15" t="s">
        <v>282</v>
      </c>
      <c r="Q59" t="s">
        <v>371</v>
      </c>
      <c r="R59" t="s">
        <v>371</v>
      </c>
      <c r="S59" s="17" t="s">
        <v>371</v>
      </c>
      <c r="T59" s="16" t="s">
        <v>340</v>
      </c>
      <c r="U59" s="16" t="s">
        <v>342</v>
      </c>
      <c r="V59" s="15" t="s">
        <v>340</v>
      </c>
      <c r="W59" s="15" t="s">
        <v>344</v>
      </c>
      <c r="X59" s="17"/>
      <c r="Y59" t="s">
        <v>349</v>
      </c>
      <c r="Z59" t="s">
        <v>349</v>
      </c>
      <c r="AA59" t="s">
        <v>293</v>
      </c>
      <c r="AB59" t="s">
        <v>354</v>
      </c>
      <c r="AC59" t="s">
        <v>354</v>
      </c>
      <c r="AD59" t="s">
        <v>300</v>
      </c>
      <c r="AE59" t="s">
        <v>292</v>
      </c>
      <c r="AF59" t="s">
        <v>293</v>
      </c>
      <c r="AG59" t="s">
        <v>292</v>
      </c>
      <c r="AH59" t="s">
        <v>293</v>
      </c>
      <c r="AI59" t="s">
        <v>293</v>
      </c>
      <c r="AJ59" t="s">
        <v>302</v>
      </c>
      <c r="AK59" t="s">
        <v>302</v>
      </c>
      <c r="AL59" t="s">
        <v>357</v>
      </c>
      <c r="AM59" t="s">
        <v>293</v>
      </c>
      <c r="AN59" t="s">
        <v>293</v>
      </c>
      <c r="AO59" t="s">
        <v>297</v>
      </c>
      <c r="AP59" t="s">
        <v>298</v>
      </c>
      <c r="AQ59" t="s">
        <v>293</v>
      </c>
      <c r="AR59" t="s">
        <v>292</v>
      </c>
      <c r="AS59" t="s">
        <v>293</v>
      </c>
      <c r="AT59" t="s">
        <v>293</v>
      </c>
      <c r="AU59" t="s">
        <v>364</v>
      </c>
      <c r="AV59" t="str">
        <f t="shared" si="2"/>
        <v>break</v>
      </c>
    </row>
    <row r="60" spans="1:49" x14ac:dyDescent="0.3">
      <c r="A60" t="s">
        <v>9</v>
      </c>
      <c r="B60" t="s">
        <v>76</v>
      </c>
      <c r="C60" t="s">
        <v>31</v>
      </c>
      <c r="D60" t="s">
        <v>29</v>
      </c>
      <c r="E60" t="str">
        <f t="shared" si="0"/>
        <v>P_B7Q-ZSB-S_9E0</v>
      </c>
      <c r="F60" t="b">
        <v>1</v>
      </c>
      <c r="G60">
        <v>94.4</v>
      </c>
      <c r="H60">
        <v>0</v>
      </c>
      <c r="I60">
        <v>17795</v>
      </c>
      <c r="J60" s="49" t="s">
        <v>13</v>
      </c>
      <c r="L60" s="16" t="s">
        <v>272</v>
      </c>
      <c r="M60" s="16">
        <v>3</v>
      </c>
      <c r="N60" s="16" t="s">
        <v>277</v>
      </c>
      <c r="O60" s="16" t="s">
        <v>335</v>
      </c>
      <c r="P60" s="15" t="s">
        <v>283</v>
      </c>
      <c r="Q60" t="s">
        <v>284</v>
      </c>
      <c r="R60" t="s">
        <v>371</v>
      </c>
      <c r="S60" s="17" t="s">
        <v>371</v>
      </c>
      <c r="T60" s="16" t="s">
        <v>341</v>
      </c>
      <c r="U60" s="16" t="s">
        <v>340</v>
      </c>
      <c r="V60" s="15" t="s">
        <v>343</v>
      </c>
      <c r="W60" s="15" t="s">
        <v>345</v>
      </c>
      <c r="X60" s="17"/>
      <c r="Y60" t="s">
        <v>349</v>
      </c>
      <c r="Z60" t="s">
        <v>349</v>
      </c>
      <c r="AA60" t="s">
        <v>293</v>
      </c>
      <c r="AB60" t="s">
        <v>353</v>
      </c>
      <c r="AC60" t="s">
        <v>296</v>
      </c>
      <c r="AD60" t="s">
        <v>300</v>
      </c>
      <c r="AE60" t="s">
        <v>293</v>
      </c>
      <c r="AF60" t="s">
        <v>292</v>
      </c>
      <c r="AG60" t="s">
        <v>292</v>
      </c>
      <c r="AH60" t="s">
        <v>292</v>
      </c>
      <c r="AI60" t="s">
        <v>293</v>
      </c>
      <c r="AJ60" t="s">
        <v>302</v>
      </c>
      <c r="AK60" t="s">
        <v>302</v>
      </c>
      <c r="AL60" t="s">
        <v>359</v>
      </c>
      <c r="AM60" t="s">
        <v>293</v>
      </c>
      <c r="AN60" t="s">
        <v>293</v>
      </c>
      <c r="AO60" t="s">
        <v>297</v>
      </c>
      <c r="AP60" t="s">
        <v>356</v>
      </c>
      <c r="AQ60" t="s">
        <v>293</v>
      </c>
      <c r="AR60" t="s">
        <v>292</v>
      </c>
      <c r="AS60" t="s">
        <v>293</v>
      </c>
      <c r="AT60" t="s">
        <v>293</v>
      </c>
      <c r="AU60" t="s">
        <v>364</v>
      </c>
      <c r="AV60" t="str">
        <f t="shared" si="2"/>
        <v>no_fail</v>
      </c>
    </row>
    <row r="61" spans="1:49" x14ac:dyDescent="0.3">
      <c r="A61" t="s">
        <v>9</v>
      </c>
      <c r="B61" t="s">
        <v>76</v>
      </c>
      <c r="C61" t="s">
        <v>27</v>
      </c>
      <c r="D61" t="s">
        <v>29</v>
      </c>
      <c r="E61" t="str">
        <f t="shared" si="0"/>
        <v>P_B7Q-ZSB-S_9F6</v>
      </c>
      <c r="F61" t="b">
        <v>1</v>
      </c>
      <c r="G61">
        <v>35.4</v>
      </c>
      <c r="H61">
        <v>0</v>
      </c>
      <c r="I61">
        <v>21200</v>
      </c>
      <c r="J61" s="49" t="s">
        <v>13</v>
      </c>
      <c r="L61" s="16" t="s">
        <v>272</v>
      </c>
      <c r="M61" s="16">
        <v>3</v>
      </c>
      <c r="N61" s="16" t="s">
        <v>277</v>
      </c>
      <c r="O61" s="16" t="s">
        <v>335</v>
      </c>
      <c r="P61" s="15" t="s">
        <v>282</v>
      </c>
      <c r="Q61" t="s">
        <v>371</v>
      </c>
      <c r="R61" t="s">
        <v>371</v>
      </c>
      <c r="S61" s="17" t="s">
        <v>371</v>
      </c>
      <c r="T61" s="16" t="s">
        <v>341</v>
      </c>
      <c r="U61" s="16" t="s">
        <v>340</v>
      </c>
      <c r="V61" s="15" t="s">
        <v>343</v>
      </c>
      <c r="W61" s="15" t="s">
        <v>344</v>
      </c>
      <c r="X61" s="17" t="s">
        <v>377</v>
      </c>
      <c r="Y61" t="s">
        <v>349</v>
      </c>
      <c r="Z61" t="s">
        <v>349</v>
      </c>
      <c r="AA61" t="s">
        <v>293</v>
      </c>
      <c r="AB61" t="s">
        <v>353</v>
      </c>
      <c r="AC61" t="s">
        <v>296</v>
      </c>
      <c r="AD61" t="s">
        <v>301</v>
      </c>
      <c r="AE61" t="s">
        <v>293</v>
      </c>
      <c r="AF61" t="s">
        <v>292</v>
      </c>
      <c r="AG61" t="s">
        <v>292</v>
      </c>
      <c r="AH61" t="s">
        <v>292</v>
      </c>
      <c r="AI61" t="s">
        <v>293</v>
      </c>
      <c r="AJ61" t="s">
        <v>302</v>
      </c>
      <c r="AK61" t="s">
        <v>302</v>
      </c>
      <c r="AL61" t="s">
        <v>359</v>
      </c>
      <c r="AM61" t="s">
        <v>293</v>
      </c>
      <c r="AN61" t="s">
        <v>293</v>
      </c>
      <c r="AO61" t="s">
        <v>297</v>
      </c>
      <c r="AP61" t="s">
        <v>356</v>
      </c>
      <c r="AQ61" t="s">
        <v>293</v>
      </c>
      <c r="AR61" t="s">
        <v>292</v>
      </c>
      <c r="AS61" t="s">
        <v>293</v>
      </c>
      <c r="AT61" t="s">
        <v>293</v>
      </c>
      <c r="AU61" t="s">
        <v>364</v>
      </c>
      <c r="AV61" t="str">
        <f t="shared" si="2"/>
        <v>no_fail</v>
      </c>
    </row>
    <row r="62" spans="1:49" x14ac:dyDescent="0.3">
      <c r="A62" t="s">
        <v>9</v>
      </c>
      <c r="B62" t="s">
        <v>76</v>
      </c>
      <c r="C62" t="s">
        <v>28</v>
      </c>
      <c r="D62" t="s">
        <v>29</v>
      </c>
      <c r="E62" t="str">
        <f t="shared" si="0"/>
        <v>P_B7Q-ZSB-S_9T2</v>
      </c>
      <c r="F62" t="b">
        <v>1</v>
      </c>
      <c r="G62">
        <v>63.1</v>
      </c>
      <c r="H62">
        <v>0</v>
      </c>
      <c r="I62">
        <v>14293</v>
      </c>
      <c r="J62" s="49" t="s">
        <v>13</v>
      </c>
      <c r="L62" s="16" t="s">
        <v>272</v>
      </c>
      <c r="M62" s="16">
        <v>3</v>
      </c>
      <c r="N62" s="16" t="s">
        <v>277</v>
      </c>
      <c r="O62" s="16" t="s">
        <v>335</v>
      </c>
      <c r="P62" s="15" t="s">
        <v>282</v>
      </c>
      <c r="Q62" t="s">
        <v>371</v>
      </c>
      <c r="R62" t="s">
        <v>371</v>
      </c>
      <c r="S62" s="17" t="s">
        <v>371</v>
      </c>
      <c r="T62" s="16" t="s">
        <v>341</v>
      </c>
      <c r="U62" s="16" t="s">
        <v>340</v>
      </c>
      <c r="V62" s="15" t="s">
        <v>343</v>
      </c>
      <c r="W62" s="15" t="s">
        <v>345</v>
      </c>
      <c r="X62" s="17"/>
      <c r="Y62" t="s">
        <v>349</v>
      </c>
      <c r="Z62" t="s">
        <v>349</v>
      </c>
      <c r="AA62" t="s">
        <v>293</v>
      </c>
      <c r="AB62" t="s">
        <v>353</v>
      </c>
      <c r="AC62" t="s">
        <v>296</v>
      </c>
      <c r="AD62" t="s">
        <v>300</v>
      </c>
      <c r="AE62" t="s">
        <v>293</v>
      </c>
      <c r="AF62" t="s">
        <v>292</v>
      </c>
      <c r="AG62" t="s">
        <v>292</v>
      </c>
      <c r="AH62" t="s">
        <v>292</v>
      </c>
      <c r="AI62" t="s">
        <v>293</v>
      </c>
      <c r="AJ62" t="s">
        <v>302</v>
      </c>
      <c r="AK62" t="s">
        <v>302</v>
      </c>
      <c r="AL62" t="s">
        <v>359</v>
      </c>
      <c r="AM62" t="s">
        <v>293</v>
      </c>
      <c r="AN62" t="s">
        <v>293</v>
      </c>
      <c r="AO62" t="s">
        <v>297</v>
      </c>
      <c r="AP62" t="s">
        <v>356</v>
      </c>
      <c r="AQ62" t="s">
        <v>293</v>
      </c>
      <c r="AR62" t="s">
        <v>292</v>
      </c>
      <c r="AS62" t="s">
        <v>293</v>
      </c>
      <c r="AT62" t="s">
        <v>293</v>
      </c>
      <c r="AU62" t="s">
        <v>364</v>
      </c>
      <c r="AV62" t="str">
        <f t="shared" si="2"/>
        <v>no_fail</v>
      </c>
    </row>
    <row r="63" spans="1:49" x14ac:dyDescent="0.3">
      <c r="A63" s="38" t="s">
        <v>43</v>
      </c>
      <c r="B63" s="38" t="s">
        <v>73</v>
      </c>
      <c r="C63" s="38" t="s">
        <v>19</v>
      </c>
      <c r="D63" s="38" t="s">
        <v>12</v>
      </c>
      <c r="E63" s="38" t="str">
        <f t="shared" si="0"/>
        <v>P_D8O-KYY-S_4U3</v>
      </c>
      <c r="F63" s="38" t="b">
        <v>1</v>
      </c>
      <c r="G63" s="38">
        <v>99.9</v>
      </c>
      <c r="H63" s="38">
        <v>0</v>
      </c>
      <c r="I63" s="38">
        <v>8443</v>
      </c>
      <c r="J63" s="38" t="s">
        <v>18</v>
      </c>
      <c r="K63" s="38"/>
      <c r="L63" s="39" t="s">
        <v>273</v>
      </c>
      <c r="M63" s="39">
        <v>2</v>
      </c>
      <c r="N63" s="39" t="s">
        <v>333</v>
      </c>
      <c r="O63" s="39" t="s">
        <v>278</v>
      </c>
      <c r="P63" s="40" t="s">
        <v>283</v>
      </c>
      <c r="Q63" s="38" t="s">
        <v>371</v>
      </c>
      <c r="R63" s="38" t="s">
        <v>371</v>
      </c>
      <c r="S63" s="41" t="s">
        <v>371</v>
      </c>
      <c r="T63" s="39" t="s">
        <v>340</v>
      </c>
      <c r="U63" s="39" t="s">
        <v>342</v>
      </c>
      <c r="V63" s="40" t="s">
        <v>343</v>
      </c>
      <c r="W63" s="40" t="s">
        <v>291</v>
      </c>
      <c r="X63" s="41"/>
      <c r="Y63" s="38" t="s">
        <v>349</v>
      </c>
      <c r="Z63" s="38" t="s">
        <v>349</v>
      </c>
      <c r="AA63" s="38" t="s">
        <v>293</v>
      </c>
      <c r="AB63" s="38" t="s">
        <v>353</v>
      </c>
      <c r="AC63" s="38" t="s">
        <v>296</v>
      </c>
      <c r="AD63" s="38" t="s">
        <v>301</v>
      </c>
      <c r="AE63" s="38" t="s">
        <v>292</v>
      </c>
      <c r="AF63" s="38" t="s">
        <v>293</v>
      </c>
      <c r="AG63" s="38" t="s">
        <v>292</v>
      </c>
      <c r="AH63" s="38" t="s">
        <v>292</v>
      </c>
      <c r="AI63" s="38" t="s">
        <v>293</v>
      </c>
      <c r="AJ63" s="38" t="s">
        <v>358</v>
      </c>
      <c r="AK63" s="38" t="s">
        <v>357</v>
      </c>
      <c r="AL63" s="38" t="s">
        <v>359</v>
      </c>
      <c r="AM63" s="38" t="s">
        <v>293</v>
      </c>
      <c r="AN63" s="38" t="s">
        <v>293</v>
      </c>
      <c r="AO63" s="38" t="s">
        <v>296</v>
      </c>
      <c r="AP63" s="38" t="s">
        <v>298</v>
      </c>
      <c r="AQ63" s="38" t="s">
        <v>293</v>
      </c>
      <c r="AR63" s="38" t="s">
        <v>292</v>
      </c>
      <c r="AS63" s="38" t="s">
        <v>293</v>
      </c>
      <c r="AT63" s="38" t="s">
        <v>293</v>
      </c>
      <c r="AU63" s="38" t="s">
        <v>364</v>
      </c>
      <c r="AV63" s="38" t="str">
        <f t="shared" si="2"/>
        <v>car_stuck</v>
      </c>
      <c r="AW63" s="38" t="s">
        <v>378</v>
      </c>
    </row>
    <row r="64" spans="1:49" x14ac:dyDescent="0.3">
      <c r="A64" s="38" t="s">
        <v>43</v>
      </c>
      <c r="B64" s="38" t="s">
        <v>73</v>
      </c>
      <c r="C64" s="38" t="s">
        <v>33</v>
      </c>
      <c r="D64" s="38" t="s">
        <v>29</v>
      </c>
      <c r="E64" s="38" t="str">
        <f t="shared" si="0"/>
        <v>P_D8O-ZSB-S_8I8</v>
      </c>
      <c r="F64" s="38" t="b">
        <v>1</v>
      </c>
      <c r="G64" s="38">
        <v>99.9</v>
      </c>
      <c r="H64" s="38">
        <v>0</v>
      </c>
      <c r="I64" s="38">
        <v>17982</v>
      </c>
      <c r="J64" s="38" t="s">
        <v>18</v>
      </c>
      <c r="K64" s="38"/>
      <c r="L64" s="39" t="s">
        <v>272</v>
      </c>
      <c r="M64" s="39">
        <v>2</v>
      </c>
      <c r="N64" s="39" t="s">
        <v>333</v>
      </c>
      <c r="O64" s="39" t="s">
        <v>278</v>
      </c>
      <c r="P64" s="40" t="s">
        <v>273</v>
      </c>
      <c r="Q64" s="38" t="s">
        <v>371</v>
      </c>
      <c r="R64" s="38" t="s">
        <v>371</v>
      </c>
      <c r="S64" s="41" t="s">
        <v>371</v>
      </c>
      <c r="T64" s="39" t="s">
        <v>341</v>
      </c>
      <c r="U64" s="39" t="s">
        <v>340</v>
      </c>
      <c r="V64" s="40" t="s">
        <v>343</v>
      </c>
      <c r="W64" s="40" t="s">
        <v>347</v>
      </c>
      <c r="X64" s="41"/>
      <c r="Y64" s="38" t="s">
        <v>349</v>
      </c>
      <c r="Z64" s="38" t="s">
        <v>349</v>
      </c>
      <c r="AA64" s="38" t="s">
        <v>293</v>
      </c>
      <c r="AB64" s="38" t="s">
        <v>353</v>
      </c>
      <c r="AC64" s="38" t="s">
        <v>296</v>
      </c>
      <c r="AD64" s="38" t="s">
        <v>300</v>
      </c>
      <c r="AE64" s="38" t="s">
        <v>293</v>
      </c>
      <c r="AF64" s="38" t="s">
        <v>292</v>
      </c>
      <c r="AG64" s="38" t="s">
        <v>293</v>
      </c>
      <c r="AH64" s="38" t="s">
        <v>292</v>
      </c>
      <c r="AI64" s="38" t="s">
        <v>293</v>
      </c>
      <c r="AJ64" s="38" t="s">
        <v>302</v>
      </c>
      <c r="AK64" s="38" t="s">
        <v>357</v>
      </c>
      <c r="AL64" s="38" t="s">
        <v>359</v>
      </c>
      <c r="AM64" s="38" t="s">
        <v>293</v>
      </c>
      <c r="AN64" s="38" t="s">
        <v>293</v>
      </c>
      <c r="AO64" s="38" t="s">
        <v>296</v>
      </c>
      <c r="AP64" s="38" t="s">
        <v>356</v>
      </c>
      <c r="AQ64" s="38" t="s">
        <v>293</v>
      </c>
      <c r="AR64" s="38" t="s">
        <v>292</v>
      </c>
      <c r="AS64" s="38" t="s">
        <v>293</v>
      </c>
      <c r="AT64" s="38" t="s">
        <v>293</v>
      </c>
      <c r="AU64" s="38" t="s">
        <v>364</v>
      </c>
      <c r="AV64" s="38" t="str">
        <f t="shared" si="2"/>
        <v>car_stuck</v>
      </c>
      <c r="AW64" s="38" t="s">
        <v>378</v>
      </c>
    </row>
    <row r="65" spans="1:49" x14ac:dyDescent="0.3">
      <c r="A65" t="s">
        <v>43</v>
      </c>
      <c r="B65" t="s">
        <v>73</v>
      </c>
      <c r="C65" t="s">
        <v>15</v>
      </c>
      <c r="D65" t="s">
        <v>12</v>
      </c>
      <c r="E65" t="str">
        <f t="shared" si="0"/>
        <v>P_D8O-KYY-S_0M4</v>
      </c>
      <c r="F65" t="b">
        <v>1</v>
      </c>
      <c r="G65">
        <v>100</v>
      </c>
      <c r="H65">
        <v>1</v>
      </c>
      <c r="I65">
        <v>9923</v>
      </c>
      <c r="J65" s="49" t="s">
        <v>18</v>
      </c>
      <c r="L65" s="16" t="s">
        <v>272</v>
      </c>
      <c r="M65" s="16">
        <v>3</v>
      </c>
      <c r="N65" s="16" t="s">
        <v>277</v>
      </c>
      <c r="O65" s="16" t="s">
        <v>335</v>
      </c>
      <c r="P65" s="15" t="s">
        <v>281</v>
      </c>
      <c r="Q65" t="s">
        <v>285</v>
      </c>
      <c r="R65" t="s">
        <v>286</v>
      </c>
      <c r="S65" s="17" t="s">
        <v>371</v>
      </c>
      <c r="T65" s="16" t="s">
        <v>341</v>
      </c>
      <c r="U65" s="16" t="s">
        <v>340</v>
      </c>
      <c r="V65" s="15" t="s">
        <v>343</v>
      </c>
      <c r="W65" s="15" t="s">
        <v>344</v>
      </c>
      <c r="X65" s="17"/>
      <c r="Y65" t="s">
        <v>349</v>
      </c>
      <c r="Z65" t="s">
        <v>349</v>
      </c>
      <c r="AA65" t="s">
        <v>293</v>
      </c>
      <c r="AB65" t="s">
        <v>353</v>
      </c>
      <c r="AC65" t="s">
        <v>296</v>
      </c>
      <c r="AD65" t="s">
        <v>300</v>
      </c>
      <c r="AE65" t="s">
        <v>292</v>
      </c>
      <c r="AF65" t="s">
        <v>293</v>
      </c>
      <c r="AG65" t="s">
        <v>292</v>
      </c>
      <c r="AH65" t="s">
        <v>292</v>
      </c>
      <c r="AI65" t="s">
        <v>293</v>
      </c>
      <c r="AJ65" t="s">
        <v>302</v>
      </c>
      <c r="AK65" t="s">
        <v>358</v>
      </c>
      <c r="AL65" t="s">
        <v>359</v>
      </c>
      <c r="AM65" t="s">
        <v>293</v>
      </c>
      <c r="AN65" t="s">
        <v>293</v>
      </c>
      <c r="AO65" t="s">
        <v>297</v>
      </c>
      <c r="AP65" t="s">
        <v>298</v>
      </c>
      <c r="AQ65" t="s">
        <v>293</v>
      </c>
      <c r="AR65" t="s">
        <v>292</v>
      </c>
      <c r="AS65" t="s">
        <v>293</v>
      </c>
      <c r="AT65" t="s">
        <v>293</v>
      </c>
      <c r="AU65" t="s">
        <v>364</v>
      </c>
      <c r="AV65" t="str">
        <f t="shared" si="2"/>
        <v>break</v>
      </c>
    </row>
    <row r="66" spans="1:49" x14ac:dyDescent="0.3">
      <c r="A66" t="s">
        <v>43</v>
      </c>
      <c r="B66" t="s">
        <v>73</v>
      </c>
      <c r="C66" t="s">
        <v>23</v>
      </c>
      <c r="D66" t="s">
        <v>12</v>
      </c>
      <c r="E66" t="str">
        <f t="shared" ref="E66:E129" si="3">B66&amp;"-"&amp;D66&amp;"-"&amp;C66</f>
        <v>P_D8O-KYY-S_0T2</v>
      </c>
      <c r="F66" t="b">
        <v>1</v>
      </c>
      <c r="G66">
        <v>100</v>
      </c>
      <c r="H66">
        <v>1</v>
      </c>
      <c r="I66">
        <v>13351</v>
      </c>
      <c r="J66" s="49" t="s">
        <v>18</v>
      </c>
      <c r="L66" s="16" t="s">
        <v>272</v>
      </c>
      <c r="M66" s="16">
        <v>3</v>
      </c>
      <c r="N66" s="16" t="s">
        <v>277</v>
      </c>
      <c r="O66" s="16" t="s">
        <v>335</v>
      </c>
      <c r="P66" s="15" t="s">
        <v>282</v>
      </c>
      <c r="Q66" t="s">
        <v>371</v>
      </c>
      <c r="R66" t="s">
        <v>371</v>
      </c>
      <c r="S66" s="17" t="s">
        <v>371</v>
      </c>
      <c r="T66" s="16" t="s">
        <v>341</v>
      </c>
      <c r="U66" s="16" t="s">
        <v>340</v>
      </c>
      <c r="V66" s="15" t="s">
        <v>343</v>
      </c>
      <c r="W66" s="15" t="s">
        <v>345</v>
      </c>
      <c r="X66" s="17" t="s">
        <v>346</v>
      </c>
      <c r="Y66" t="s">
        <v>349</v>
      </c>
      <c r="Z66" t="s">
        <v>349</v>
      </c>
      <c r="AA66" t="s">
        <v>293</v>
      </c>
      <c r="AB66" t="s">
        <v>353</v>
      </c>
      <c r="AC66" t="s">
        <v>296</v>
      </c>
      <c r="AD66" t="s">
        <v>301</v>
      </c>
      <c r="AE66" t="s">
        <v>293</v>
      </c>
      <c r="AF66" t="s">
        <v>292</v>
      </c>
      <c r="AG66" t="s">
        <v>292</v>
      </c>
      <c r="AH66" t="s">
        <v>292</v>
      </c>
      <c r="AI66" t="s">
        <v>293</v>
      </c>
      <c r="AJ66" t="s">
        <v>358</v>
      </c>
      <c r="AK66" t="s">
        <v>358</v>
      </c>
      <c r="AL66" t="s">
        <v>359</v>
      </c>
      <c r="AM66" t="s">
        <v>293</v>
      </c>
      <c r="AN66" t="s">
        <v>293</v>
      </c>
      <c r="AO66" t="s">
        <v>297</v>
      </c>
      <c r="AP66" t="s">
        <v>356</v>
      </c>
      <c r="AQ66" t="s">
        <v>293</v>
      </c>
      <c r="AR66" t="s">
        <v>292</v>
      </c>
      <c r="AS66" t="s">
        <v>293</v>
      </c>
      <c r="AT66" t="s">
        <v>293</v>
      </c>
      <c r="AU66" t="s">
        <v>364</v>
      </c>
      <c r="AV66" t="str">
        <f t="shared" si="2"/>
        <v>break</v>
      </c>
    </row>
    <row r="67" spans="1:49" x14ac:dyDescent="0.3">
      <c r="A67" t="s">
        <v>43</v>
      </c>
      <c r="B67" t="s">
        <v>73</v>
      </c>
      <c r="C67" t="s">
        <v>14</v>
      </c>
      <c r="D67" t="s">
        <v>12</v>
      </c>
      <c r="E67" t="str">
        <f t="shared" si="3"/>
        <v>P_D8O-KYY-S_1B0</v>
      </c>
      <c r="F67" t="b">
        <v>1</v>
      </c>
      <c r="G67">
        <v>100</v>
      </c>
      <c r="H67">
        <v>1</v>
      </c>
      <c r="I67">
        <v>7762</v>
      </c>
      <c r="J67" s="49" t="s">
        <v>18</v>
      </c>
      <c r="L67" s="16" t="s">
        <v>272</v>
      </c>
      <c r="M67" s="16">
        <v>3</v>
      </c>
      <c r="N67" s="16" t="s">
        <v>277</v>
      </c>
      <c r="O67" s="16" t="s">
        <v>335</v>
      </c>
      <c r="P67" s="15" t="s">
        <v>283</v>
      </c>
      <c r="Q67" t="s">
        <v>282</v>
      </c>
      <c r="R67" t="s">
        <v>371</v>
      </c>
      <c r="S67" s="17" t="s">
        <v>371</v>
      </c>
      <c r="T67" s="16" t="s">
        <v>341</v>
      </c>
      <c r="U67" s="16" t="s">
        <v>340</v>
      </c>
      <c r="V67" s="15" t="s">
        <v>343</v>
      </c>
      <c r="W67" s="15" t="s">
        <v>345</v>
      </c>
      <c r="X67" s="17"/>
      <c r="Y67" t="s">
        <v>349</v>
      </c>
      <c r="Z67" t="s">
        <v>349</v>
      </c>
      <c r="AA67" t="s">
        <v>293</v>
      </c>
      <c r="AB67" t="s">
        <v>353</v>
      </c>
      <c r="AC67" t="s">
        <v>296</v>
      </c>
      <c r="AD67" t="s">
        <v>300</v>
      </c>
      <c r="AE67" t="s">
        <v>292</v>
      </c>
      <c r="AF67" t="s">
        <v>293</v>
      </c>
      <c r="AG67" t="s">
        <v>292</v>
      </c>
      <c r="AH67" t="s">
        <v>292</v>
      </c>
      <c r="AI67" t="s">
        <v>293</v>
      </c>
      <c r="AJ67" t="s">
        <v>302</v>
      </c>
      <c r="AK67" t="s">
        <v>358</v>
      </c>
      <c r="AL67" t="s">
        <v>359</v>
      </c>
      <c r="AM67" t="s">
        <v>293</v>
      </c>
      <c r="AN67" t="s">
        <v>293</v>
      </c>
      <c r="AO67" t="s">
        <v>296</v>
      </c>
      <c r="AP67" t="s">
        <v>298</v>
      </c>
      <c r="AQ67" t="s">
        <v>293</v>
      </c>
      <c r="AR67" t="s">
        <v>292</v>
      </c>
      <c r="AS67" t="s">
        <v>293</v>
      </c>
      <c r="AT67" t="s">
        <v>293</v>
      </c>
      <c r="AU67" t="s">
        <v>364</v>
      </c>
      <c r="AV67" t="str">
        <f t="shared" si="2"/>
        <v>break</v>
      </c>
    </row>
    <row r="68" spans="1:49" s="38" customFormat="1" x14ac:dyDescent="0.3">
      <c r="A68" t="s">
        <v>43</v>
      </c>
      <c r="B68" t="s">
        <v>73</v>
      </c>
      <c r="C68" t="s">
        <v>11</v>
      </c>
      <c r="D68" t="s">
        <v>12</v>
      </c>
      <c r="E68" t="str">
        <f t="shared" si="3"/>
        <v>P_D8O-KYY-S_1Q4</v>
      </c>
      <c r="F68" t="b">
        <v>1</v>
      </c>
      <c r="G68">
        <v>59</v>
      </c>
      <c r="H68">
        <v>0</v>
      </c>
      <c r="I68">
        <v>13004</v>
      </c>
      <c r="J68" s="49" t="s">
        <v>13</v>
      </c>
      <c r="K68" s="49"/>
      <c r="L68" s="16" t="s">
        <v>272</v>
      </c>
      <c r="M68" s="16">
        <v>3</v>
      </c>
      <c r="N68" s="16" t="s">
        <v>277</v>
      </c>
      <c r="O68" s="16" t="s">
        <v>335</v>
      </c>
      <c r="P68" s="15" t="s">
        <v>283</v>
      </c>
      <c r="Q68" t="s">
        <v>282</v>
      </c>
      <c r="R68" t="s">
        <v>371</v>
      </c>
      <c r="S68" s="17" t="s">
        <v>371</v>
      </c>
      <c r="T68" s="16" t="s">
        <v>341</v>
      </c>
      <c r="U68" s="16" t="s">
        <v>340</v>
      </c>
      <c r="V68" s="15" t="s">
        <v>343</v>
      </c>
      <c r="W68" s="15" t="s">
        <v>344</v>
      </c>
      <c r="X68" s="17"/>
      <c r="Y68" t="s">
        <v>349</v>
      </c>
      <c r="Z68" t="s">
        <v>349</v>
      </c>
      <c r="AA68" t="s">
        <v>293</v>
      </c>
      <c r="AB68" t="s">
        <v>353</v>
      </c>
      <c r="AC68" t="s">
        <v>296</v>
      </c>
      <c r="AD68" t="s">
        <v>300</v>
      </c>
      <c r="AE68" t="s">
        <v>292</v>
      </c>
      <c r="AF68" t="s">
        <v>293</v>
      </c>
      <c r="AG68" t="s">
        <v>292</v>
      </c>
      <c r="AH68" t="s">
        <v>292</v>
      </c>
      <c r="AI68" t="s">
        <v>293</v>
      </c>
      <c r="AJ68" t="s">
        <v>302</v>
      </c>
      <c r="AK68" t="s">
        <v>302</v>
      </c>
      <c r="AL68" t="s">
        <v>359</v>
      </c>
      <c r="AM68" t="s">
        <v>293</v>
      </c>
      <c r="AN68" t="s">
        <v>293</v>
      </c>
      <c r="AO68" t="s">
        <v>297</v>
      </c>
      <c r="AP68" t="s">
        <v>298</v>
      </c>
      <c r="AQ68" t="s">
        <v>293</v>
      </c>
      <c r="AR68" t="s">
        <v>292</v>
      </c>
      <c r="AS68" t="s">
        <v>293</v>
      </c>
      <c r="AT68" t="s">
        <v>293</v>
      </c>
      <c r="AU68" t="s">
        <v>364</v>
      </c>
      <c r="AV68" t="str">
        <f t="shared" si="2"/>
        <v>no_fail</v>
      </c>
      <c r="AW68"/>
    </row>
    <row r="69" spans="1:49" x14ac:dyDescent="0.3">
      <c r="A69" t="s">
        <v>43</v>
      </c>
      <c r="B69" t="s">
        <v>73</v>
      </c>
      <c r="C69" t="s">
        <v>21</v>
      </c>
      <c r="D69" t="s">
        <v>12</v>
      </c>
      <c r="E69" t="str">
        <f t="shared" si="3"/>
        <v>P_D8O-KYY-S_3X6</v>
      </c>
      <c r="F69" t="b">
        <v>1</v>
      </c>
      <c r="G69">
        <v>100</v>
      </c>
      <c r="H69">
        <v>1</v>
      </c>
      <c r="I69">
        <v>12415</v>
      </c>
      <c r="J69" s="49" t="s">
        <v>18</v>
      </c>
      <c r="L69" s="16" t="s">
        <v>272</v>
      </c>
      <c r="M69" s="16">
        <v>3</v>
      </c>
      <c r="N69" s="16" t="s">
        <v>277</v>
      </c>
      <c r="O69" s="16" t="s">
        <v>335</v>
      </c>
      <c r="P69" s="15" t="s">
        <v>282</v>
      </c>
      <c r="Q69" t="s">
        <v>371</v>
      </c>
      <c r="R69" t="s">
        <v>371</v>
      </c>
      <c r="S69" s="17" t="s">
        <v>371</v>
      </c>
      <c r="T69" s="16" t="s">
        <v>341</v>
      </c>
      <c r="U69" s="16" t="s">
        <v>342</v>
      </c>
      <c r="V69" s="15" t="s">
        <v>343</v>
      </c>
      <c r="W69" s="15" t="s">
        <v>345</v>
      </c>
      <c r="X69" s="17" t="s">
        <v>346</v>
      </c>
      <c r="Y69" t="s">
        <v>349</v>
      </c>
      <c r="Z69" t="s">
        <v>349</v>
      </c>
      <c r="AA69" t="s">
        <v>293</v>
      </c>
      <c r="AB69" t="s">
        <v>353</v>
      </c>
      <c r="AC69" t="s">
        <v>355</v>
      </c>
      <c r="AD69" t="s">
        <v>301</v>
      </c>
      <c r="AE69" t="s">
        <v>292</v>
      </c>
      <c r="AF69" t="s">
        <v>293</v>
      </c>
      <c r="AG69" t="s">
        <v>292</v>
      </c>
      <c r="AH69" t="s">
        <v>292</v>
      </c>
      <c r="AI69" t="s">
        <v>293</v>
      </c>
      <c r="AJ69" t="s">
        <v>302</v>
      </c>
      <c r="AK69" t="s">
        <v>302</v>
      </c>
      <c r="AL69" t="s">
        <v>359</v>
      </c>
      <c r="AM69" t="s">
        <v>293</v>
      </c>
      <c r="AN69" t="s">
        <v>293</v>
      </c>
      <c r="AO69" t="s">
        <v>297</v>
      </c>
      <c r="AP69" t="s">
        <v>298</v>
      </c>
      <c r="AQ69" t="s">
        <v>293</v>
      </c>
      <c r="AR69" t="s">
        <v>292</v>
      </c>
      <c r="AS69" t="s">
        <v>293</v>
      </c>
      <c r="AT69" t="s">
        <v>293</v>
      </c>
      <c r="AU69" t="s">
        <v>364</v>
      </c>
      <c r="AV69" t="str">
        <f t="shared" si="2"/>
        <v>break</v>
      </c>
    </row>
    <row r="70" spans="1:49" x14ac:dyDescent="0.3">
      <c r="A70" t="s">
        <v>43</v>
      </c>
      <c r="B70" t="s">
        <v>73</v>
      </c>
      <c r="C70" t="s">
        <v>17</v>
      </c>
      <c r="D70" t="s">
        <v>12</v>
      </c>
      <c r="E70" t="str">
        <f t="shared" si="3"/>
        <v>P_D8O-KYY-S_6B5</v>
      </c>
      <c r="F70" t="b">
        <v>1</v>
      </c>
      <c r="G70">
        <v>100</v>
      </c>
      <c r="H70">
        <v>1</v>
      </c>
      <c r="I70">
        <v>14874</v>
      </c>
      <c r="J70" s="49" t="s">
        <v>18</v>
      </c>
      <c r="L70" s="16" t="s">
        <v>272</v>
      </c>
      <c r="M70" s="16">
        <v>3</v>
      </c>
      <c r="N70" s="16" t="s">
        <v>277</v>
      </c>
      <c r="O70" s="16" t="s">
        <v>335</v>
      </c>
      <c r="P70" s="15" t="s">
        <v>281</v>
      </c>
      <c r="Q70" t="s">
        <v>285</v>
      </c>
      <c r="R70" t="s">
        <v>286</v>
      </c>
      <c r="S70" s="17" t="s">
        <v>371</v>
      </c>
      <c r="T70" s="16" t="s">
        <v>341</v>
      </c>
      <c r="U70" s="16" t="s">
        <v>340</v>
      </c>
      <c r="V70" s="15" t="s">
        <v>343</v>
      </c>
      <c r="W70" s="15" t="s">
        <v>344</v>
      </c>
      <c r="X70" s="17"/>
      <c r="Y70" t="s">
        <v>349</v>
      </c>
      <c r="Z70" t="s">
        <v>349</v>
      </c>
      <c r="AA70" t="s">
        <v>293</v>
      </c>
      <c r="AB70" t="s">
        <v>353</v>
      </c>
      <c r="AC70" t="s">
        <v>296</v>
      </c>
      <c r="AD70" t="s">
        <v>300</v>
      </c>
      <c r="AE70" t="s">
        <v>293</v>
      </c>
      <c r="AF70" t="s">
        <v>292</v>
      </c>
      <c r="AG70" t="s">
        <v>292</v>
      </c>
      <c r="AH70" t="s">
        <v>292</v>
      </c>
      <c r="AI70" t="s">
        <v>293</v>
      </c>
      <c r="AJ70" t="s">
        <v>302</v>
      </c>
      <c r="AK70" t="s">
        <v>358</v>
      </c>
      <c r="AL70" t="s">
        <v>359</v>
      </c>
      <c r="AM70" t="s">
        <v>293</v>
      </c>
      <c r="AN70" t="s">
        <v>293</v>
      </c>
      <c r="AO70" t="s">
        <v>297</v>
      </c>
      <c r="AP70" t="s">
        <v>356</v>
      </c>
      <c r="AQ70" t="s">
        <v>293</v>
      </c>
      <c r="AR70" t="s">
        <v>292</v>
      </c>
      <c r="AS70" t="s">
        <v>293</v>
      </c>
      <c r="AT70" t="s">
        <v>293</v>
      </c>
      <c r="AU70" t="s">
        <v>364</v>
      </c>
      <c r="AV70" t="str">
        <f t="shared" si="2"/>
        <v>break</v>
      </c>
    </row>
    <row r="71" spans="1:49" x14ac:dyDescent="0.3">
      <c r="A71" t="s">
        <v>43</v>
      </c>
      <c r="B71" t="s">
        <v>73</v>
      </c>
      <c r="C71" t="s">
        <v>16</v>
      </c>
      <c r="D71" t="s">
        <v>12</v>
      </c>
      <c r="E71" t="str">
        <f t="shared" si="3"/>
        <v>P_D8O-KYY-S_6U7</v>
      </c>
      <c r="F71" t="b">
        <v>1</v>
      </c>
      <c r="G71">
        <v>100</v>
      </c>
      <c r="H71">
        <v>1</v>
      </c>
      <c r="I71">
        <v>12820</v>
      </c>
      <c r="J71" s="49" t="s">
        <v>18</v>
      </c>
      <c r="L71" s="16" t="s">
        <v>272</v>
      </c>
      <c r="M71" s="16">
        <v>3</v>
      </c>
      <c r="N71" s="16" t="s">
        <v>277</v>
      </c>
      <c r="O71" s="16" t="s">
        <v>335</v>
      </c>
      <c r="P71" s="15" t="s">
        <v>281</v>
      </c>
      <c r="Q71" t="s">
        <v>285</v>
      </c>
      <c r="R71" t="s">
        <v>286</v>
      </c>
      <c r="S71" s="17" t="s">
        <v>371</v>
      </c>
      <c r="T71" s="16" t="s">
        <v>341</v>
      </c>
      <c r="U71" s="16" t="s">
        <v>340</v>
      </c>
      <c r="V71" s="15" t="s">
        <v>343</v>
      </c>
      <c r="W71" s="15" t="s">
        <v>344</v>
      </c>
      <c r="X71" s="17"/>
      <c r="Y71" t="s">
        <v>349</v>
      </c>
      <c r="Z71" t="s">
        <v>349</v>
      </c>
      <c r="AA71" t="s">
        <v>293</v>
      </c>
      <c r="AB71" t="s">
        <v>353</v>
      </c>
      <c r="AC71" t="s">
        <v>296</v>
      </c>
      <c r="AD71" t="s">
        <v>300</v>
      </c>
      <c r="AE71" t="s">
        <v>293</v>
      </c>
      <c r="AF71" t="s">
        <v>292</v>
      </c>
      <c r="AG71" t="s">
        <v>292</v>
      </c>
      <c r="AH71" t="s">
        <v>292</v>
      </c>
      <c r="AI71" t="s">
        <v>293</v>
      </c>
      <c r="AJ71" t="s">
        <v>302</v>
      </c>
      <c r="AK71" t="s">
        <v>358</v>
      </c>
      <c r="AL71" t="s">
        <v>359</v>
      </c>
      <c r="AM71" t="s">
        <v>293</v>
      </c>
      <c r="AN71" t="s">
        <v>293</v>
      </c>
      <c r="AO71" t="s">
        <v>297</v>
      </c>
      <c r="AP71" t="s">
        <v>356</v>
      </c>
      <c r="AQ71" t="s">
        <v>293</v>
      </c>
      <c r="AR71" t="s">
        <v>292</v>
      </c>
      <c r="AS71" t="s">
        <v>293</v>
      </c>
      <c r="AT71" t="s">
        <v>293</v>
      </c>
      <c r="AU71" t="s">
        <v>364</v>
      </c>
      <c r="AV71" t="str">
        <f t="shared" si="2"/>
        <v>break</v>
      </c>
    </row>
    <row r="72" spans="1:49" x14ac:dyDescent="0.3">
      <c r="A72" t="s">
        <v>43</v>
      </c>
      <c r="B72" t="s">
        <v>73</v>
      </c>
      <c r="C72" t="s">
        <v>20</v>
      </c>
      <c r="D72" t="s">
        <v>12</v>
      </c>
      <c r="E72" t="str">
        <f t="shared" si="3"/>
        <v>P_D8O-KYY-S_7W0</v>
      </c>
      <c r="F72" t="b">
        <v>1</v>
      </c>
      <c r="G72">
        <v>88.9</v>
      </c>
      <c r="H72">
        <v>0</v>
      </c>
      <c r="I72">
        <v>13880</v>
      </c>
      <c r="J72" s="49" t="s">
        <v>13</v>
      </c>
      <c r="L72" s="16" t="s">
        <v>272</v>
      </c>
      <c r="M72" s="16">
        <v>2</v>
      </c>
      <c r="N72" s="16" t="s">
        <v>277</v>
      </c>
      <c r="O72" s="16" t="s">
        <v>335</v>
      </c>
      <c r="P72" s="15" t="s">
        <v>282</v>
      </c>
      <c r="Q72" t="s">
        <v>371</v>
      </c>
      <c r="R72" t="s">
        <v>371</v>
      </c>
      <c r="S72" s="17" t="s">
        <v>371</v>
      </c>
      <c r="T72" s="16" t="s">
        <v>341</v>
      </c>
      <c r="U72" s="16" t="s">
        <v>340</v>
      </c>
      <c r="V72" s="15" t="s">
        <v>340</v>
      </c>
      <c r="W72" s="15" t="s">
        <v>345</v>
      </c>
      <c r="X72" s="17"/>
      <c r="Y72" t="s">
        <v>349</v>
      </c>
      <c r="Z72" t="s">
        <v>349</v>
      </c>
      <c r="AA72" t="s">
        <v>293</v>
      </c>
      <c r="AB72" t="s">
        <v>354</v>
      </c>
      <c r="AC72" t="s">
        <v>354</v>
      </c>
      <c r="AD72" t="s">
        <v>301</v>
      </c>
      <c r="AE72" t="s">
        <v>292</v>
      </c>
      <c r="AF72" t="s">
        <v>293</v>
      </c>
      <c r="AG72" t="s">
        <v>292</v>
      </c>
      <c r="AH72" t="s">
        <v>292</v>
      </c>
      <c r="AI72" t="s">
        <v>293</v>
      </c>
      <c r="AJ72" t="s">
        <v>302</v>
      </c>
      <c r="AK72" t="s">
        <v>302</v>
      </c>
      <c r="AL72" t="s">
        <v>357</v>
      </c>
      <c r="AM72" t="s">
        <v>293</v>
      </c>
      <c r="AN72" t="s">
        <v>293</v>
      </c>
      <c r="AO72" t="s">
        <v>297</v>
      </c>
      <c r="AP72" t="s">
        <v>298</v>
      </c>
      <c r="AQ72" t="s">
        <v>293</v>
      </c>
      <c r="AR72" t="s">
        <v>292</v>
      </c>
      <c r="AS72" t="s">
        <v>293</v>
      </c>
      <c r="AT72" t="s">
        <v>293</v>
      </c>
      <c r="AU72" t="s">
        <v>364</v>
      </c>
      <c r="AV72" t="str">
        <f t="shared" si="2"/>
        <v>no_fail</v>
      </c>
    </row>
    <row r="73" spans="1:49" x14ac:dyDescent="0.3">
      <c r="A73" t="s">
        <v>43</v>
      </c>
      <c r="B73" t="s">
        <v>73</v>
      </c>
      <c r="C73" t="s">
        <v>22</v>
      </c>
      <c r="D73" t="s">
        <v>12</v>
      </c>
      <c r="E73" t="str">
        <f t="shared" si="3"/>
        <v>P_D8O-KYY-S_9B4</v>
      </c>
      <c r="F73" t="b">
        <v>1</v>
      </c>
      <c r="G73">
        <v>100</v>
      </c>
      <c r="H73">
        <v>1</v>
      </c>
      <c r="I73">
        <v>12776</v>
      </c>
      <c r="J73" s="49" t="s">
        <v>18</v>
      </c>
      <c r="L73" s="16" t="s">
        <v>272</v>
      </c>
      <c r="M73" s="16">
        <v>3</v>
      </c>
      <c r="N73" s="16" t="s">
        <v>277</v>
      </c>
      <c r="O73" s="16" t="s">
        <v>335</v>
      </c>
      <c r="P73" s="15" t="s">
        <v>282</v>
      </c>
      <c r="Q73" t="s">
        <v>371</v>
      </c>
      <c r="R73" t="s">
        <v>371</v>
      </c>
      <c r="S73" s="17" t="s">
        <v>371</v>
      </c>
      <c r="T73" s="16" t="s">
        <v>341</v>
      </c>
      <c r="U73" s="16" t="s">
        <v>342</v>
      </c>
      <c r="V73" s="15" t="s">
        <v>343</v>
      </c>
      <c r="W73" s="15" t="s">
        <v>345</v>
      </c>
      <c r="X73" s="17" t="s">
        <v>346</v>
      </c>
      <c r="Y73" t="s">
        <v>349</v>
      </c>
      <c r="Z73" t="s">
        <v>349</v>
      </c>
      <c r="AA73" t="s">
        <v>293</v>
      </c>
      <c r="AB73" t="s">
        <v>353</v>
      </c>
      <c r="AC73" t="s">
        <v>355</v>
      </c>
      <c r="AD73" t="s">
        <v>301</v>
      </c>
      <c r="AE73" t="s">
        <v>292</v>
      </c>
      <c r="AF73" t="s">
        <v>292</v>
      </c>
      <c r="AG73" t="s">
        <v>292</v>
      </c>
      <c r="AH73" t="s">
        <v>292</v>
      </c>
      <c r="AI73" t="s">
        <v>293</v>
      </c>
      <c r="AJ73" t="s">
        <v>302</v>
      </c>
      <c r="AK73" t="s">
        <v>302</v>
      </c>
      <c r="AL73" t="s">
        <v>359</v>
      </c>
      <c r="AM73" t="s">
        <v>293</v>
      </c>
      <c r="AN73" t="s">
        <v>293</v>
      </c>
      <c r="AO73" t="s">
        <v>297</v>
      </c>
      <c r="AP73" t="s">
        <v>298</v>
      </c>
      <c r="AQ73" t="s">
        <v>293</v>
      </c>
      <c r="AR73" t="s">
        <v>292</v>
      </c>
      <c r="AS73" t="s">
        <v>293</v>
      </c>
      <c r="AT73" t="s">
        <v>293</v>
      </c>
      <c r="AU73" t="s">
        <v>364</v>
      </c>
      <c r="AV73" t="str">
        <f t="shared" si="2"/>
        <v>break</v>
      </c>
    </row>
    <row r="74" spans="1:49" x14ac:dyDescent="0.3">
      <c r="A74" t="s">
        <v>43</v>
      </c>
      <c r="B74" t="s">
        <v>73</v>
      </c>
      <c r="C74" t="s">
        <v>25</v>
      </c>
      <c r="D74" t="s">
        <v>29</v>
      </c>
      <c r="E74" t="str">
        <f t="shared" si="3"/>
        <v>P_D8O-ZSB-S_1J8</v>
      </c>
      <c r="F74" t="b">
        <v>1</v>
      </c>
      <c r="G74">
        <v>100</v>
      </c>
      <c r="H74">
        <v>1</v>
      </c>
      <c r="I74">
        <v>12651</v>
      </c>
      <c r="J74" s="49" t="s">
        <v>18</v>
      </c>
      <c r="L74" s="16" t="s">
        <v>272</v>
      </c>
      <c r="M74" s="16">
        <v>2</v>
      </c>
      <c r="N74" s="16" t="s">
        <v>277</v>
      </c>
      <c r="O74" s="16" t="s">
        <v>335</v>
      </c>
      <c r="P74" s="15" t="s">
        <v>282</v>
      </c>
      <c r="Q74" t="s">
        <v>371</v>
      </c>
      <c r="R74" t="s">
        <v>371</v>
      </c>
      <c r="S74" s="17" t="s">
        <v>371</v>
      </c>
      <c r="T74" s="16" t="s">
        <v>340</v>
      </c>
      <c r="U74" s="16" t="s">
        <v>342</v>
      </c>
      <c r="V74" s="15" t="s">
        <v>340</v>
      </c>
      <c r="W74" s="15" t="s">
        <v>344</v>
      </c>
      <c r="X74" s="17"/>
      <c r="Y74" t="s">
        <v>349</v>
      </c>
      <c r="Z74" t="s">
        <v>349</v>
      </c>
      <c r="AA74" t="s">
        <v>293</v>
      </c>
      <c r="AB74" t="s">
        <v>354</v>
      </c>
      <c r="AC74" t="s">
        <v>354</v>
      </c>
      <c r="AD74" t="s">
        <v>299</v>
      </c>
      <c r="AE74" t="s">
        <v>292</v>
      </c>
      <c r="AF74" t="s">
        <v>293</v>
      </c>
      <c r="AG74" t="s">
        <v>292</v>
      </c>
      <c r="AH74" t="s">
        <v>292</v>
      </c>
      <c r="AI74" t="s">
        <v>293</v>
      </c>
      <c r="AJ74" t="s">
        <v>302</v>
      </c>
      <c r="AK74" t="s">
        <v>302</v>
      </c>
      <c r="AL74" t="s">
        <v>357</v>
      </c>
      <c r="AM74" t="s">
        <v>293</v>
      </c>
      <c r="AN74" t="s">
        <v>293</v>
      </c>
      <c r="AO74" t="s">
        <v>297</v>
      </c>
      <c r="AP74" t="s">
        <v>298</v>
      </c>
      <c r="AQ74" t="s">
        <v>293</v>
      </c>
      <c r="AR74" t="s">
        <v>292</v>
      </c>
      <c r="AS74" t="s">
        <v>293</v>
      </c>
      <c r="AT74" t="s">
        <v>293</v>
      </c>
      <c r="AU74" t="s">
        <v>364</v>
      </c>
      <c r="AV74" t="str">
        <f t="shared" si="2"/>
        <v>break</v>
      </c>
    </row>
    <row r="75" spans="1:49" x14ac:dyDescent="0.3">
      <c r="A75" t="s">
        <v>43</v>
      </c>
      <c r="B75" t="s">
        <v>73</v>
      </c>
      <c r="C75" t="s">
        <v>24</v>
      </c>
      <c r="D75" t="s">
        <v>29</v>
      </c>
      <c r="E75" t="str">
        <f t="shared" si="3"/>
        <v>P_D8O-ZSB-S_1U0</v>
      </c>
      <c r="F75" t="b">
        <v>1</v>
      </c>
      <c r="G75">
        <v>100</v>
      </c>
      <c r="H75">
        <v>1</v>
      </c>
      <c r="I75">
        <v>13667</v>
      </c>
      <c r="J75" s="49" t="s">
        <v>18</v>
      </c>
      <c r="L75" s="16" t="s">
        <v>272</v>
      </c>
      <c r="M75" s="16">
        <v>2</v>
      </c>
      <c r="N75" s="16" t="s">
        <v>277</v>
      </c>
      <c r="O75" s="16" t="s">
        <v>335</v>
      </c>
      <c r="P75" s="15" t="s">
        <v>282</v>
      </c>
      <c r="Q75" t="s">
        <v>371</v>
      </c>
      <c r="R75" t="s">
        <v>371</v>
      </c>
      <c r="S75" s="17" t="s">
        <v>371</v>
      </c>
      <c r="T75" s="16" t="s">
        <v>340</v>
      </c>
      <c r="U75" s="16" t="s">
        <v>342</v>
      </c>
      <c r="V75" s="15" t="s">
        <v>340</v>
      </c>
      <c r="W75" s="15" t="s">
        <v>344</v>
      </c>
      <c r="X75" s="17"/>
      <c r="Y75" t="s">
        <v>349</v>
      </c>
      <c r="Z75" t="s">
        <v>349</v>
      </c>
      <c r="AA75" t="s">
        <v>293</v>
      </c>
      <c r="AB75" t="s">
        <v>354</v>
      </c>
      <c r="AC75" t="s">
        <v>354</v>
      </c>
      <c r="AD75" t="s">
        <v>301</v>
      </c>
      <c r="AE75" t="s">
        <v>292</v>
      </c>
      <c r="AF75" t="s">
        <v>293</v>
      </c>
      <c r="AG75" t="s">
        <v>292</v>
      </c>
      <c r="AH75" t="s">
        <v>292</v>
      </c>
      <c r="AI75" t="s">
        <v>293</v>
      </c>
      <c r="AJ75" t="s">
        <v>302</v>
      </c>
      <c r="AK75" t="s">
        <v>302</v>
      </c>
      <c r="AL75" t="s">
        <v>357</v>
      </c>
      <c r="AM75" t="s">
        <v>293</v>
      </c>
      <c r="AN75" t="s">
        <v>293</v>
      </c>
      <c r="AO75" t="s">
        <v>297</v>
      </c>
      <c r="AP75" t="s">
        <v>298</v>
      </c>
      <c r="AQ75" t="s">
        <v>293</v>
      </c>
      <c r="AR75" t="s">
        <v>292</v>
      </c>
      <c r="AS75" t="s">
        <v>293</v>
      </c>
      <c r="AT75" t="s">
        <v>293</v>
      </c>
      <c r="AU75" t="s">
        <v>364</v>
      </c>
      <c r="AV75" t="str">
        <f t="shared" si="2"/>
        <v>break</v>
      </c>
    </row>
    <row r="76" spans="1:49" x14ac:dyDescent="0.3">
      <c r="A76" t="s">
        <v>43</v>
      </c>
      <c r="B76" t="s">
        <v>73</v>
      </c>
      <c r="C76" t="s">
        <v>32</v>
      </c>
      <c r="D76" t="s">
        <v>29</v>
      </c>
      <c r="E76" t="str">
        <f t="shared" si="3"/>
        <v>P_D8O-ZSB-S_3B9</v>
      </c>
      <c r="F76" t="b">
        <v>1</v>
      </c>
      <c r="G76">
        <v>100</v>
      </c>
      <c r="H76">
        <v>1</v>
      </c>
      <c r="I76">
        <v>14606</v>
      </c>
      <c r="J76" s="49" t="s">
        <v>18</v>
      </c>
      <c r="L76" s="16" t="s">
        <v>273</v>
      </c>
      <c r="M76" s="16">
        <v>2</v>
      </c>
      <c r="N76" s="16" t="s">
        <v>333</v>
      </c>
      <c r="O76" s="16" t="s">
        <v>278</v>
      </c>
      <c r="P76" s="15" t="s">
        <v>273</v>
      </c>
      <c r="Q76" t="s">
        <v>371</v>
      </c>
      <c r="R76" t="s">
        <v>371</v>
      </c>
      <c r="S76" s="17" t="s">
        <v>371</v>
      </c>
      <c r="T76" s="16" t="s">
        <v>341</v>
      </c>
      <c r="U76" s="16" t="s">
        <v>340</v>
      </c>
      <c r="V76" s="15" t="s">
        <v>343</v>
      </c>
      <c r="W76" s="15" t="s">
        <v>291</v>
      </c>
      <c r="X76" s="17"/>
      <c r="Y76" t="s">
        <v>349</v>
      </c>
      <c r="Z76" t="s">
        <v>349</v>
      </c>
      <c r="AA76" t="s">
        <v>293</v>
      </c>
      <c r="AB76" t="s">
        <v>353</v>
      </c>
      <c r="AC76" t="s">
        <v>296</v>
      </c>
      <c r="AD76" t="s">
        <v>300</v>
      </c>
      <c r="AE76" t="s">
        <v>293</v>
      </c>
      <c r="AF76" t="s">
        <v>292</v>
      </c>
      <c r="AG76" t="s">
        <v>293</v>
      </c>
      <c r="AH76" t="s">
        <v>292</v>
      </c>
      <c r="AI76" t="s">
        <v>293</v>
      </c>
      <c r="AJ76" t="s">
        <v>302</v>
      </c>
      <c r="AK76" t="s">
        <v>357</v>
      </c>
      <c r="AL76" t="s">
        <v>359</v>
      </c>
      <c r="AM76" t="s">
        <v>293</v>
      </c>
      <c r="AN76" t="s">
        <v>293</v>
      </c>
      <c r="AO76" t="s">
        <v>296</v>
      </c>
      <c r="AP76" t="s">
        <v>356</v>
      </c>
      <c r="AQ76" t="s">
        <v>293</v>
      </c>
      <c r="AR76" t="s">
        <v>292</v>
      </c>
      <c r="AS76" t="s">
        <v>293</v>
      </c>
      <c r="AT76" t="s">
        <v>293</v>
      </c>
      <c r="AU76" t="s">
        <v>364</v>
      </c>
      <c r="AV76" t="str">
        <f t="shared" si="2"/>
        <v>break</v>
      </c>
    </row>
    <row r="77" spans="1:49" x14ac:dyDescent="0.3">
      <c r="A77" t="s">
        <v>43</v>
      </c>
      <c r="B77" t="s">
        <v>73</v>
      </c>
      <c r="C77" t="s">
        <v>30</v>
      </c>
      <c r="D77" t="s">
        <v>29</v>
      </c>
      <c r="E77" t="str">
        <f t="shared" si="3"/>
        <v>P_D8O-ZSB-S_3X7</v>
      </c>
      <c r="F77" t="b">
        <v>1</v>
      </c>
      <c r="G77">
        <v>85.9</v>
      </c>
      <c r="H77">
        <v>0</v>
      </c>
      <c r="I77">
        <v>15725</v>
      </c>
      <c r="J77" s="49" t="s">
        <v>13</v>
      </c>
      <c r="L77" s="16" t="s">
        <v>272</v>
      </c>
      <c r="M77" s="16">
        <v>2</v>
      </c>
      <c r="N77" s="16" t="s">
        <v>277</v>
      </c>
      <c r="O77" s="16" t="s">
        <v>335</v>
      </c>
      <c r="P77" s="15" t="s">
        <v>282</v>
      </c>
      <c r="Q77" t="s">
        <v>371</v>
      </c>
      <c r="R77" t="s">
        <v>371</v>
      </c>
      <c r="S77" s="17" t="s">
        <v>371</v>
      </c>
      <c r="T77" s="16" t="s">
        <v>340</v>
      </c>
      <c r="U77" s="16" t="s">
        <v>342</v>
      </c>
      <c r="V77" s="15" t="s">
        <v>340</v>
      </c>
      <c r="W77" s="15" t="s">
        <v>344</v>
      </c>
      <c r="X77" s="17"/>
      <c r="Y77" t="s">
        <v>349</v>
      </c>
      <c r="Z77" t="s">
        <v>349</v>
      </c>
      <c r="AA77" t="s">
        <v>293</v>
      </c>
      <c r="AB77" t="s">
        <v>354</v>
      </c>
      <c r="AC77" t="s">
        <v>354</v>
      </c>
      <c r="AD77" t="s">
        <v>300</v>
      </c>
      <c r="AE77" t="s">
        <v>293</v>
      </c>
      <c r="AF77" t="s">
        <v>292</v>
      </c>
      <c r="AG77" t="s">
        <v>292</v>
      </c>
      <c r="AH77" t="s">
        <v>292</v>
      </c>
      <c r="AI77" t="s">
        <v>293</v>
      </c>
      <c r="AJ77" t="s">
        <v>302</v>
      </c>
      <c r="AK77" t="s">
        <v>302</v>
      </c>
      <c r="AL77" t="s">
        <v>357</v>
      </c>
      <c r="AM77" t="s">
        <v>293</v>
      </c>
      <c r="AN77" t="s">
        <v>293</v>
      </c>
      <c r="AO77" t="s">
        <v>297</v>
      </c>
      <c r="AP77" t="s">
        <v>356</v>
      </c>
      <c r="AQ77" t="s">
        <v>293</v>
      </c>
      <c r="AR77" t="s">
        <v>292</v>
      </c>
      <c r="AS77" t="s">
        <v>293</v>
      </c>
      <c r="AT77" t="s">
        <v>293</v>
      </c>
      <c r="AU77" t="s">
        <v>364</v>
      </c>
      <c r="AV77" t="str">
        <f t="shared" si="2"/>
        <v>no_fail</v>
      </c>
    </row>
    <row r="78" spans="1:49" s="38" customFormat="1" x14ac:dyDescent="0.3">
      <c r="A78" t="s">
        <v>43</v>
      </c>
      <c r="B78" t="s">
        <v>73</v>
      </c>
      <c r="C78" t="s">
        <v>34</v>
      </c>
      <c r="D78" t="s">
        <v>29</v>
      </c>
      <c r="E78" t="str">
        <f t="shared" si="3"/>
        <v>P_D8O-ZSB-S_8A5</v>
      </c>
      <c r="F78" t="b">
        <v>1</v>
      </c>
      <c r="G78">
        <v>100</v>
      </c>
      <c r="H78">
        <v>1</v>
      </c>
      <c r="I78">
        <v>20145</v>
      </c>
      <c r="J78" s="49" t="s">
        <v>18</v>
      </c>
      <c r="K78" s="49"/>
      <c r="L78" s="16" t="s">
        <v>273</v>
      </c>
      <c r="M78" s="16">
        <v>3</v>
      </c>
      <c r="N78" s="16" t="s">
        <v>333</v>
      </c>
      <c r="O78" s="16" t="s">
        <v>279</v>
      </c>
      <c r="P78" s="15" t="s">
        <v>273</v>
      </c>
      <c r="Q78" t="s">
        <v>338</v>
      </c>
      <c r="R78" t="s">
        <v>371</v>
      </c>
      <c r="S78" s="17" t="s">
        <v>371</v>
      </c>
      <c r="T78" s="16" t="s">
        <v>341</v>
      </c>
      <c r="U78" s="16" t="s">
        <v>340</v>
      </c>
      <c r="V78" s="15" t="s">
        <v>343</v>
      </c>
      <c r="W78" s="15" t="s">
        <v>347</v>
      </c>
      <c r="X78" s="17"/>
      <c r="Y78" t="s">
        <v>350</v>
      </c>
      <c r="Z78" t="s">
        <v>349</v>
      </c>
      <c r="AA78" t="s">
        <v>293</v>
      </c>
      <c r="AB78" t="s">
        <v>353</v>
      </c>
      <c r="AC78" t="s">
        <v>296</v>
      </c>
      <c r="AD78" t="s">
        <v>300</v>
      </c>
      <c r="AE78" t="s">
        <v>293</v>
      </c>
      <c r="AF78" t="s">
        <v>292</v>
      </c>
      <c r="AG78" t="s">
        <v>293</v>
      </c>
      <c r="AH78" t="s">
        <v>292</v>
      </c>
      <c r="AI78" t="s">
        <v>293</v>
      </c>
      <c r="AJ78" t="s">
        <v>302</v>
      </c>
      <c r="AK78" t="s">
        <v>302</v>
      </c>
      <c r="AL78" t="s">
        <v>359</v>
      </c>
      <c r="AM78" t="s">
        <v>293</v>
      </c>
      <c r="AN78" t="s">
        <v>293</v>
      </c>
      <c r="AO78" t="s">
        <v>296</v>
      </c>
      <c r="AP78" t="s">
        <v>356</v>
      </c>
      <c r="AQ78" t="s">
        <v>293</v>
      </c>
      <c r="AR78" t="s">
        <v>292</v>
      </c>
      <c r="AS78" t="s">
        <v>293</v>
      </c>
      <c r="AT78" t="s">
        <v>293</v>
      </c>
      <c r="AU78" t="s">
        <v>364</v>
      </c>
      <c r="AV78" t="str">
        <f t="shared" ref="AV78:AV141" si="4">IF(J78="fail",IF(H78=1,"break","car_stuck"),"no_fail")</f>
        <v>break</v>
      </c>
      <c r="AW78"/>
    </row>
    <row r="79" spans="1:49" x14ac:dyDescent="0.3">
      <c r="A79" t="s">
        <v>43</v>
      </c>
      <c r="B79" t="s">
        <v>73</v>
      </c>
      <c r="C79" t="s">
        <v>26</v>
      </c>
      <c r="D79" t="s">
        <v>29</v>
      </c>
      <c r="E79" t="str">
        <f t="shared" si="3"/>
        <v>P_D8O-ZSB-S_8O8</v>
      </c>
      <c r="F79" t="b">
        <v>1</v>
      </c>
      <c r="G79">
        <v>92.5</v>
      </c>
      <c r="H79">
        <v>0</v>
      </c>
      <c r="I79">
        <v>18112</v>
      </c>
      <c r="J79" s="49" t="s">
        <v>13</v>
      </c>
      <c r="L79" s="16" t="s">
        <v>272</v>
      </c>
      <c r="M79" s="16">
        <v>3</v>
      </c>
      <c r="N79" s="16" t="s">
        <v>277</v>
      </c>
      <c r="O79" s="16" t="s">
        <v>335</v>
      </c>
      <c r="P79" s="15" t="s">
        <v>282</v>
      </c>
      <c r="Q79" t="s">
        <v>371</v>
      </c>
      <c r="R79" t="s">
        <v>371</v>
      </c>
      <c r="S79" s="17" t="s">
        <v>371</v>
      </c>
      <c r="T79" s="16" t="s">
        <v>340</v>
      </c>
      <c r="U79" s="16" t="s">
        <v>342</v>
      </c>
      <c r="V79" s="15" t="s">
        <v>343</v>
      </c>
      <c r="W79" s="15" t="s">
        <v>344</v>
      </c>
      <c r="X79" s="17" t="s">
        <v>291</v>
      </c>
      <c r="Y79" t="s">
        <v>349</v>
      </c>
      <c r="Z79" t="s">
        <v>349</v>
      </c>
      <c r="AA79" t="s">
        <v>293</v>
      </c>
      <c r="AB79" t="s">
        <v>353</v>
      </c>
      <c r="AC79" t="s">
        <v>296</v>
      </c>
      <c r="AD79" t="s">
        <v>300</v>
      </c>
      <c r="AE79" t="s">
        <v>292</v>
      </c>
      <c r="AF79" t="s">
        <v>293</v>
      </c>
      <c r="AG79" t="s">
        <v>292</v>
      </c>
      <c r="AH79" t="s">
        <v>292</v>
      </c>
      <c r="AI79" t="s">
        <v>293</v>
      </c>
      <c r="AJ79" t="s">
        <v>302</v>
      </c>
      <c r="AK79" t="s">
        <v>302</v>
      </c>
      <c r="AL79" t="s">
        <v>359</v>
      </c>
      <c r="AM79" t="s">
        <v>293</v>
      </c>
      <c r="AN79" t="s">
        <v>293</v>
      </c>
      <c r="AO79" t="s">
        <v>296</v>
      </c>
      <c r="AP79" t="s">
        <v>298</v>
      </c>
      <c r="AQ79" t="s">
        <v>293</v>
      </c>
      <c r="AR79" t="s">
        <v>292</v>
      </c>
      <c r="AS79" t="s">
        <v>293</v>
      </c>
      <c r="AT79" t="s">
        <v>293</v>
      </c>
      <c r="AU79" t="s">
        <v>364</v>
      </c>
      <c r="AV79" t="str">
        <f t="shared" si="4"/>
        <v>no_fail</v>
      </c>
    </row>
    <row r="80" spans="1:49" x14ac:dyDescent="0.3">
      <c r="A80" t="s">
        <v>43</v>
      </c>
      <c r="B80" t="s">
        <v>73</v>
      </c>
      <c r="C80" t="s">
        <v>31</v>
      </c>
      <c r="D80" t="s">
        <v>29</v>
      </c>
      <c r="E80" t="str">
        <f t="shared" si="3"/>
        <v>P_D8O-ZSB-S_9E0</v>
      </c>
      <c r="F80" t="b">
        <v>1</v>
      </c>
      <c r="G80">
        <v>51.5</v>
      </c>
      <c r="H80">
        <v>0</v>
      </c>
      <c r="I80">
        <v>28294</v>
      </c>
      <c r="J80" s="49" t="s">
        <v>13</v>
      </c>
      <c r="L80" s="16" t="s">
        <v>272</v>
      </c>
      <c r="M80" s="16">
        <v>3</v>
      </c>
      <c r="N80" s="16" t="s">
        <v>277</v>
      </c>
      <c r="O80" s="16" t="s">
        <v>335</v>
      </c>
      <c r="P80" s="15" t="s">
        <v>282</v>
      </c>
      <c r="Q80" t="s">
        <v>371</v>
      </c>
      <c r="R80" t="s">
        <v>371</v>
      </c>
      <c r="S80" s="17" t="s">
        <v>371</v>
      </c>
      <c r="T80" s="16" t="s">
        <v>341</v>
      </c>
      <c r="U80" s="16" t="s">
        <v>340</v>
      </c>
      <c r="V80" s="15" t="s">
        <v>343</v>
      </c>
      <c r="W80" s="15" t="s">
        <v>291</v>
      </c>
      <c r="X80" s="17" t="s">
        <v>346</v>
      </c>
      <c r="Y80" t="s">
        <v>349</v>
      </c>
      <c r="Z80" t="s">
        <v>349</v>
      </c>
      <c r="AA80" t="s">
        <v>293</v>
      </c>
      <c r="AB80" t="s">
        <v>353</v>
      </c>
      <c r="AC80" t="s">
        <v>296</v>
      </c>
      <c r="AD80" t="s">
        <v>301</v>
      </c>
      <c r="AE80" t="s">
        <v>293</v>
      </c>
      <c r="AF80" t="s">
        <v>292</v>
      </c>
      <c r="AG80" t="s">
        <v>292</v>
      </c>
      <c r="AH80" t="s">
        <v>292</v>
      </c>
      <c r="AI80" t="s">
        <v>293</v>
      </c>
      <c r="AJ80" t="s">
        <v>302</v>
      </c>
      <c r="AK80" t="s">
        <v>302</v>
      </c>
      <c r="AL80" t="s">
        <v>359</v>
      </c>
      <c r="AM80" t="s">
        <v>293</v>
      </c>
      <c r="AN80" t="s">
        <v>293</v>
      </c>
      <c r="AO80" t="s">
        <v>296</v>
      </c>
      <c r="AP80" t="s">
        <v>356</v>
      </c>
      <c r="AQ80" t="s">
        <v>293</v>
      </c>
      <c r="AR80" t="s">
        <v>292</v>
      </c>
      <c r="AS80" t="s">
        <v>293</v>
      </c>
      <c r="AT80" t="s">
        <v>293</v>
      </c>
      <c r="AU80" t="s">
        <v>364</v>
      </c>
      <c r="AV80" t="str">
        <f t="shared" si="4"/>
        <v>no_fail</v>
      </c>
    </row>
    <row r="81" spans="1:48" x14ac:dyDescent="0.3">
      <c r="A81" t="s">
        <v>43</v>
      </c>
      <c r="B81" t="s">
        <v>73</v>
      </c>
      <c r="C81" t="s">
        <v>27</v>
      </c>
      <c r="D81" t="s">
        <v>29</v>
      </c>
      <c r="E81" t="str">
        <f t="shared" si="3"/>
        <v>P_D8O-ZSB-S_9F6</v>
      </c>
      <c r="F81" t="b">
        <v>1</v>
      </c>
      <c r="G81">
        <v>58.8</v>
      </c>
      <c r="H81">
        <v>0</v>
      </c>
      <c r="I81">
        <v>18403</v>
      </c>
      <c r="J81" s="49" t="s">
        <v>13</v>
      </c>
      <c r="L81" s="16" t="s">
        <v>272</v>
      </c>
      <c r="M81" s="16">
        <v>3</v>
      </c>
      <c r="N81" s="16" t="s">
        <v>277</v>
      </c>
      <c r="O81" s="16" t="s">
        <v>336</v>
      </c>
      <c r="P81" s="15" t="s">
        <v>283</v>
      </c>
      <c r="Q81" t="s">
        <v>371</v>
      </c>
      <c r="R81" t="s">
        <v>371</v>
      </c>
      <c r="S81" s="17" t="s">
        <v>371</v>
      </c>
      <c r="T81" s="16" t="s">
        <v>341</v>
      </c>
      <c r="U81" s="16" t="s">
        <v>340</v>
      </c>
      <c r="V81" s="15" t="s">
        <v>343</v>
      </c>
      <c r="W81" s="15" t="s">
        <v>345</v>
      </c>
      <c r="X81" s="17"/>
      <c r="Y81" t="s">
        <v>349</v>
      </c>
      <c r="Z81" t="s">
        <v>349</v>
      </c>
      <c r="AA81" t="s">
        <v>293</v>
      </c>
      <c r="AB81" t="s">
        <v>353</v>
      </c>
      <c r="AC81" t="s">
        <v>296</v>
      </c>
      <c r="AD81" t="s">
        <v>300</v>
      </c>
      <c r="AE81" t="s">
        <v>292</v>
      </c>
      <c r="AF81" t="s">
        <v>293</v>
      </c>
      <c r="AG81" t="s">
        <v>292</v>
      </c>
      <c r="AH81" t="s">
        <v>292</v>
      </c>
      <c r="AI81" t="s">
        <v>293</v>
      </c>
      <c r="AJ81" t="s">
        <v>302</v>
      </c>
      <c r="AK81" t="s">
        <v>359</v>
      </c>
      <c r="AL81" t="s">
        <v>359</v>
      </c>
      <c r="AM81" t="s">
        <v>293</v>
      </c>
      <c r="AN81" t="s">
        <v>293</v>
      </c>
      <c r="AO81" t="s">
        <v>297</v>
      </c>
      <c r="AP81" t="s">
        <v>298</v>
      </c>
      <c r="AQ81" t="s">
        <v>293</v>
      </c>
      <c r="AR81" t="s">
        <v>292</v>
      </c>
      <c r="AS81" t="s">
        <v>293</v>
      </c>
      <c r="AT81" t="s">
        <v>293</v>
      </c>
      <c r="AU81" t="s">
        <v>364</v>
      </c>
      <c r="AV81" t="str">
        <f t="shared" si="4"/>
        <v>no_fail</v>
      </c>
    </row>
    <row r="82" spans="1:48" x14ac:dyDescent="0.3">
      <c r="A82" t="s">
        <v>43</v>
      </c>
      <c r="B82" t="s">
        <v>73</v>
      </c>
      <c r="C82" t="s">
        <v>28</v>
      </c>
      <c r="D82" t="s">
        <v>29</v>
      </c>
      <c r="E82" t="str">
        <f t="shared" si="3"/>
        <v>P_D8O-ZSB-S_9T2</v>
      </c>
      <c r="F82" t="b">
        <v>1</v>
      </c>
      <c r="G82">
        <v>100</v>
      </c>
      <c r="H82">
        <v>1</v>
      </c>
      <c r="I82">
        <v>17540</v>
      </c>
      <c r="J82" s="49" t="s">
        <v>18</v>
      </c>
      <c r="L82" s="16" t="s">
        <v>272</v>
      </c>
      <c r="M82" s="16">
        <v>2</v>
      </c>
      <c r="N82" s="16" t="s">
        <v>277</v>
      </c>
      <c r="O82" s="16" t="s">
        <v>335</v>
      </c>
      <c r="P82" s="15" t="s">
        <v>282</v>
      </c>
      <c r="Q82" t="s">
        <v>371</v>
      </c>
      <c r="R82" t="s">
        <v>371</v>
      </c>
      <c r="S82" s="17" t="s">
        <v>371</v>
      </c>
      <c r="T82" s="16" t="s">
        <v>340</v>
      </c>
      <c r="U82" s="16" t="s">
        <v>342</v>
      </c>
      <c r="V82" s="15" t="s">
        <v>340</v>
      </c>
      <c r="W82" s="15" t="s">
        <v>344</v>
      </c>
      <c r="X82" s="17"/>
      <c r="Y82" t="s">
        <v>349</v>
      </c>
      <c r="Z82" t="s">
        <v>349</v>
      </c>
      <c r="AA82" t="s">
        <v>293</v>
      </c>
      <c r="AB82" t="s">
        <v>354</v>
      </c>
      <c r="AC82" t="s">
        <v>354</v>
      </c>
      <c r="AD82" t="s">
        <v>301</v>
      </c>
      <c r="AE82" t="s">
        <v>293</v>
      </c>
      <c r="AF82" t="s">
        <v>292</v>
      </c>
      <c r="AG82" t="s">
        <v>292</v>
      </c>
      <c r="AH82" t="s">
        <v>292</v>
      </c>
      <c r="AI82" t="s">
        <v>293</v>
      </c>
      <c r="AJ82" t="s">
        <v>302</v>
      </c>
      <c r="AK82" t="s">
        <v>302</v>
      </c>
      <c r="AL82" t="s">
        <v>357</v>
      </c>
      <c r="AM82" t="s">
        <v>293</v>
      </c>
      <c r="AN82" t="s">
        <v>293</v>
      </c>
      <c r="AO82" t="s">
        <v>297</v>
      </c>
      <c r="AP82" t="s">
        <v>356</v>
      </c>
      <c r="AQ82" t="s">
        <v>293</v>
      </c>
      <c r="AR82" t="s">
        <v>292</v>
      </c>
      <c r="AS82" t="s">
        <v>293</v>
      </c>
      <c r="AT82" t="s">
        <v>293</v>
      </c>
      <c r="AU82" t="s">
        <v>364</v>
      </c>
      <c r="AV82" t="str">
        <f t="shared" si="4"/>
        <v>break</v>
      </c>
    </row>
    <row r="83" spans="1:48" x14ac:dyDescent="0.3">
      <c r="A83" t="s">
        <v>43</v>
      </c>
      <c r="B83" t="s">
        <v>73</v>
      </c>
      <c r="C83" t="s">
        <v>35</v>
      </c>
      <c r="D83" t="s">
        <v>29</v>
      </c>
      <c r="E83" t="str">
        <f t="shared" si="3"/>
        <v>P_D8O-ZSB-S_9X8</v>
      </c>
      <c r="F83" t="b">
        <v>1</v>
      </c>
      <c r="G83">
        <v>100</v>
      </c>
      <c r="H83">
        <v>1</v>
      </c>
      <c r="I83">
        <v>24190</v>
      </c>
      <c r="J83" s="49" t="s">
        <v>18</v>
      </c>
      <c r="L83" s="16" t="s">
        <v>273</v>
      </c>
      <c r="M83" s="16">
        <v>3</v>
      </c>
      <c r="N83" s="16" t="s">
        <v>333</v>
      </c>
      <c r="O83" s="16" t="s">
        <v>279</v>
      </c>
      <c r="P83" s="15" t="s">
        <v>273</v>
      </c>
      <c r="Q83" t="s">
        <v>338</v>
      </c>
      <c r="R83" t="s">
        <v>371</v>
      </c>
      <c r="S83" s="17" t="s">
        <v>371</v>
      </c>
      <c r="T83" s="16" t="s">
        <v>341</v>
      </c>
      <c r="U83" s="16" t="s">
        <v>342</v>
      </c>
      <c r="V83" s="15" t="s">
        <v>343</v>
      </c>
      <c r="W83" s="15" t="s">
        <v>344</v>
      </c>
      <c r="X83" s="17" t="s">
        <v>347</v>
      </c>
      <c r="Y83" t="s">
        <v>349</v>
      </c>
      <c r="Z83" t="s">
        <v>349</v>
      </c>
      <c r="AA83" t="s">
        <v>293</v>
      </c>
      <c r="AB83" t="s">
        <v>353</v>
      </c>
      <c r="AC83" t="s">
        <v>296</v>
      </c>
      <c r="AD83" t="s">
        <v>300</v>
      </c>
      <c r="AE83" t="s">
        <v>293</v>
      </c>
      <c r="AF83" t="s">
        <v>292</v>
      </c>
      <c r="AG83" t="s">
        <v>293</v>
      </c>
      <c r="AH83" t="s">
        <v>292</v>
      </c>
      <c r="AI83" t="s">
        <v>293</v>
      </c>
      <c r="AJ83" t="s">
        <v>302</v>
      </c>
      <c r="AK83" t="s">
        <v>302</v>
      </c>
      <c r="AL83" t="s">
        <v>359</v>
      </c>
      <c r="AM83" t="s">
        <v>293</v>
      </c>
      <c r="AN83" t="s">
        <v>293</v>
      </c>
      <c r="AO83" t="s">
        <v>296</v>
      </c>
      <c r="AP83" t="s">
        <v>356</v>
      </c>
      <c r="AQ83" t="s">
        <v>293</v>
      </c>
      <c r="AR83" t="s">
        <v>292</v>
      </c>
      <c r="AS83" t="s">
        <v>293</v>
      </c>
      <c r="AT83" t="s">
        <v>293</v>
      </c>
      <c r="AU83" t="s">
        <v>364</v>
      </c>
      <c r="AV83" t="str">
        <f t="shared" si="4"/>
        <v>break</v>
      </c>
    </row>
    <row r="84" spans="1:48" x14ac:dyDescent="0.3">
      <c r="A84" t="s">
        <v>45</v>
      </c>
      <c r="B84" t="s">
        <v>46</v>
      </c>
      <c r="C84" t="s">
        <v>15</v>
      </c>
      <c r="D84" t="s">
        <v>12</v>
      </c>
      <c r="E84" t="str">
        <f t="shared" si="3"/>
        <v>P_G7R-KYY-S_0M4</v>
      </c>
      <c r="F84" t="b">
        <v>1</v>
      </c>
      <c r="G84">
        <v>82.1</v>
      </c>
      <c r="H84">
        <v>0</v>
      </c>
      <c r="I84">
        <v>9768</v>
      </c>
      <c r="J84" s="49" t="s">
        <v>13</v>
      </c>
      <c r="L84" s="16" t="s">
        <v>272</v>
      </c>
      <c r="M84" s="16">
        <v>3</v>
      </c>
      <c r="N84" s="16" t="s">
        <v>277</v>
      </c>
      <c r="O84" s="16" t="s">
        <v>336</v>
      </c>
      <c r="P84" s="15" t="s">
        <v>283</v>
      </c>
      <c r="Q84" t="s">
        <v>281</v>
      </c>
      <c r="R84" t="s">
        <v>371</v>
      </c>
      <c r="S84" s="17" t="s">
        <v>371</v>
      </c>
      <c r="T84" s="16" t="s">
        <v>341</v>
      </c>
      <c r="U84" s="16" t="s">
        <v>340</v>
      </c>
      <c r="V84" s="15" t="s">
        <v>343</v>
      </c>
      <c r="W84" s="15" t="s">
        <v>345</v>
      </c>
      <c r="X84" s="17"/>
      <c r="Y84" t="s">
        <v>349</v>
      </c>
      <c r="Z84" t="s">
        <v>349</v>
      </c>
      <c r="AA84" t="s">
        <v>293</v>
      </c>
      <c r="AB84" t="s">
        <v>352</v>
      </c>
      <c r="AC84" t="s">
        <v>296</v>
      </c>
      <c r="AD84" t="s">
        <v>301</v>
      </c>
      <c r="AE84" t="s">
        <v>292</v>
      </c>
      <c r="AF84" t="s">
        <v>293</v>
      </c>
      <c r="AG84" t="s">
        <v>292</v>
      </c>
      <c r="AH84" t="s">
        <v>292</v>
      </c>
      <c r="AI84" t="s">
        <v>293</v>
      </c>
      <c r="AJ84" t="s">
        <v>302</v>
      </c>
      <c r="AK84" t="s">
        <v>359</v>
      </c>
      <c r="AL84" t="s">
        <v>359</v>
      </c>
      <c r="AM84" t="s">
        <v>293</v>
      </c>
      <c r="AN84" t="s">
        <v>293</v>
      </c>
      <c r="AO84" t="s">
        <v>297</v>
      </c>
      <c r="AP84" t="s">
        <v>298</v>
      </c>
      <c r="AQ84" t="s">
        <v>293</v>
      </c>
      <c r="AR84" t="s">
        <v>292</v>
      </c>
      <c r="AS84" t="s">
        <v>362</v>
      </c>
      <c r="AT84" t="s">
        <v>293</v>
      </c>
      <c r="AU84" t="s">
        <v>364</v>
      </c>
      <c r="AV84" t="str">
        <f t="shared" si="4"/>
        <v>no_fail</v>
      </c>
    </row>
    <row r="85" spans="1:48" x14ac:dyDescent="0.3">
      <c r="A85" t="s">
        <v>45</v>
      </c>
      <c r="B85" t="s">
        <v>46</v>
      </c>
      <c r="C85" t="s">
        <v>14</v>
      </c>
      <c r="D85" t="s">
        <v>12</v>
      </c>
      <c r="E85" t="str">
        <f t="shared" si="3"/>
        <v>P_G7R-KYY-S_1B0</v>
      </c>
      <c r="F85" t="b">
        <v>1</v>
      </c>
      <c r="G85">
        <v>86.6</v>
      </c>
      <c r="H85">
        <v>0</v>
      </c>
      <c r="I85">
        <v>12594</v>
      </c>
      <c r="J85" s="49" t="s">
        <v>13</v>
      </c>
      <c r="L85" s="16" t="s">
        <v>272</v>
      </c>
      <c r="M85" s="16">
        <v>3</v>
      </c>
      <c r="N85" s="16" t="s">
        <v>277</v>
      </c>
      <c r="O85" s="16" t="s">
        <v>336</v>
      </c>
      <c r="P85" s="15" t="s">
        <v>283</v>
      </c>
      <c r="Q85" t="s">
        <v>281</v>
      </c>
      <c r="R85" t="s">
        <v>371</v>
      </c>
      <c r="S85" s="17" t="s">
        <v>371</v>
      </c>
      <c r="T85" s="16" t="s">
        <v>341</v>
      </c>
      <c r="U85" s="16" t="s">
        <v>340</v>
      </c>
      <c r="V85" s="15" t="s">
        <v>343</v>
      </c>
      <c r="W85" s="15" t="s">
        <v>345</v>
      </c>
      <c r="X85" s="17"/>
      <c r="Y85" t="s">
        <v>349</v>
      </c>
      <c r="Z85" t="s">
        <v>349</v>
      </c>
      <c r="AA85" t="s">
        <v>293</v>
      </c>
      <c r="AB85" t="s">
        <v>352</v>
      </c>
      <c r="AC85" t="s">
        <v>296</v>
      </c>
      <c r="AD85" t="s">
        <v>301</v>
      </c>
      <c r="AE85" t="s">
        <v>293</v>
      </c>
      <c r="AF85" t="s">
        <v>292</v>
      </c>
      <c r="AG85" t="s">
        <v>292</v>
      </c>
      <c r="AH85" t="s">
        <v>292</v>
      </c>
      <c r="AI85" t="s">
        <v>293</v>
      </c>
      <c r="AJ85" t="s">
        <v>302</v>
      </c>
      <c r="AK85" t="s">
        <v>359</v>
      </c>
      <c r="AL85" t="s">
        <v>359</v>
      </c>
      <c r="AM85" t="s">
        <v>293</v>
      </c>
      <c r="AN85" t="s">
        <v>293</v>
      </c>
      <c r="AO85" t="s">
        <v>297</v>
      </c>
      <c r="AP85" t="s">
        <v>356</v>
      </c>
      <c r="AQ85" t="s">
        <v>293</v>
      </c>
      <c r="AR85" t="s">
        <v>292</v>
      </c>
      <c r="AS85" t="s">
        <v>362</v>
      </c>
      <c r="AT85" t="s">
        <v>293</v>
      </c>
      <c r="AU85" t="s">
        <v>364</v>
      </c>
      <c r="AV85" t="str">
        <f t="shared" si="4"/>
        <v>no_fail</v>
      </c>
    </row>
    <row r="86" spans="1:48" x14ac:dyDescent="0.3">
      <c r="A86" t="s">
        <v>45</v>
      </c>
      <c r="B86" t="s">
        <v>46</v>
      </c>
      <c r="C86" t="s">
        <v>11</v>
      </c>
      <c r="D86" t="s">
        <v>12</v>
      </c>
      <c r="E86" t="str">
        <f t="shared" si="3"/>
        <v>P_G7R-KYY-S_1Q4</v>
      </c>
      <c r="F86" t="b">
        <v>1</v>
      </c>
      <c r="G86">
        <v>64.400000000000006</v>
      </c>
      <c r="H86">
        <v>0</v>
      </c>
      <c r="I86">
        <v>15051</v>
      </c>
      <c r="J86" s="49" t="s">
        <v>13</v>
      </c>
      <c r="L86" s="16" t="s">
        <v>272</v>
      </c>
      <c r="M86" s="16">
        <v>3</v>
      </c>
      <c r="N86" s="16" t="s">
        <v>277</v>
      </c>
      <c r="O86" s="16" t="s">
        <v>336</v>
      </c>
      <c r="P86" s="15" t="s">
        <v>283</v>
      </c>
      <c r="Q86" t="s">
        <v>281</v>
      </c>
      <c r="R86" t="s">
        <v>371</v>
      </c>
      <c r="S86" s="17" t="s">
        <v>371</v>
      </c>
      <c r="T86" s="16" t="s">
        <v>341</v>
      </c>
      <c r="U86" s="16" t="s">
        <v>340</v>
      </c>
      <c r="V86" s="15" t="s">
        <v>343</v>
      </c>
      <c r="W86" s="15" t="s">
        <v>345</v>
      </c>
      <c r="X86" s="17"/>
      <c r="Y86" t="s">
        <v>349</v>
      </c>
      <c r="Z86" t="s">
        <v>349</v>
      </c>
      <c r="AA86" t="s">
        <v>293</v>
      </c>
      <c r="AB86" t="s">
        <v>353</v>
      </c>
      <c r="AC86" t="s">
        <v>296</v>
      </c>
      <c r="AD86" t="s">
        <v>301</v>
      </c>
      <c r="AE86" t="s">
        <v>293</v>
      </c>
      <c r="AF86" t="s">
        <v>292</v>
      </c>
      <c r="AG86" t="s">
        <v>292</v>
      </c>
      <c r="AH86" t="s">
        <v>292</v>
      </c>
      <c r="AI86" t="s">
        <v>293</v>
      </c>
      <c r="AJ86" t="s">
        <v>302</v>
      </c>
      <c r="AK86" t="s">
        <v>359</v>
      </c>
      <c r="AL86" t="s">
        <v>359</v>
      </c>
      <c r="AM86" t="s">
        <v>293</v>
      </c>
      <c r="AN86" t="s">
        <v>293</v>
      </c>
      <c r="AO86" t="s">
        <v>297</v>
      </c>
      <c r="AP86" t="s">
        <v>356</v>
      </c>
      <c r="AQ86" t="s">
        <v>293</v>
      </c>
      <c r="AR86" t="s">
        <v>292</v>
      </c>
      <c r="AS86" t="s">
        <v>362</v>
      </c>
      <c r="AT86" t="s">
        <v>293</v>
      </c>
      <c r="AU86" t="s">
        <v>364</v>
      </c>
      <c r="AV86" t="str">
        <f t="shared" si="4"/>
        <v>no_fail</v>
      </c>
    </row>
    <row r="87" spans="1:48" x14ac:dyDescent="0.3">
      <c r="A87" t="s">
        <v>45</v>
      </c>
      <c r="B87" t="s">
        <v>46</v>
      </c>
      <c r="C87" t="s">
        <v>19</v>
      </c>
      <c r="D87" t="s">
        <v>12</v>
      </c>
      <c r="E87" t="str">
        <f t="shared" si="3"/>
        <v>P_G7R-KYY-S_4U3</v>
      </c>
      <c r="F87" t="b">
        <v>1</v>
      </c>
      <c r="G87">
        <v>82.1</v>
      </c>
      <c r="H87">
        <v>0</v>
      </c>
      <c r="I87">
        <v>9647</v>
      </c>
      <c r="J87" s="49" t="s">
        <v>13</v>
      </c>
      <c r="L87" s="16" t="s">
        <v>272</v>
      </c>
      <c r="M87" s="16">
        <v>3</v>
      </c>
      <c r="N87" s="16" t="s">
        <v>277</v>
      </c>
      <c r="O87" s="16" t="s">
        <v>336</v>
      </c>
      <c r="P87" s="15" t="s">
        <v>283</v>
      </c>
      <c r="Q87" t="s">
        <v>281</v>
      </c>
      <c r="R87" t="s">
        <v>371</v>
      </c>
      <c r="S87" s="17" t="s">
        <v>371</v>
      </c>
      <c r="T87" s="16" t="s">
        <v>341</v>
      </c>
      <c r="U87" s="16" t="s">
        <v>340</v>
      </c>
      <c r="V87" s="15" t="s">
        <v>343</v>
      </c>
      <c r="W87" s="15" t="s">
        <v>345</v>
      </c>
      <c r="X87" s="17" t="s">
        <v>344</v>
      </c>
      <c r="Y87" t="s">
        <v>349</v>
      </c>
      <c r="Z87" t="s">
        <v>349</v>
      </c>
      <c r="AA87" t="s">
        <v>293</v>
      </c>
      <c r="AB87" t="s">
        <v>352</v>
      </c>
      <c r="AC87" t="s">
        <v>296</v>
      </c>
      <c r="AD87" t="s">
        <v>301</v>
      </c>
      <c r="AE87" t="s">
        <v>292</v>
      </c>
      <c r="AF87" t="s">
        <v>293</v>
      </c>
      <c r="AG87" t="s">
        <v>292</v>
      </c>
      <c r="AH87" t="s">
        <v>292</v>
      </c>
      <c r="AI87" t="s">
        <v>293</v>
      </c>
      <c r="AJ87" t="s">
        <v>302</v>
      </c>
      <c r="AK87" t="s">
        <v>359</v>
      </c>
      <c r="AL87" t="s">
        <v>359</v>
      </c>
      <c r="AM87" t="s">
        <v>293</v>
      </c>
      <c r="AN87" t="s">
        <v>293</v>
      </c>
      <c r="AO87" t="s">
        <v>297</v>
      </c>
      <c r="AP87" t="s">
        <v>298</v>
      </c>
      <c r="AQ87" t="s">
        <v>293</v>
      </c>
      <c r="AR87" t="s">
        <v>292</v>
      </c>
      <c r="AS87" t="s">
        <v>293</v>
      </c>
      <c r="AT87" t="s">
        <v>293</v>
      </c>
      <c r="AU87" t="s">
        <v>364</v>
      </c>
      <c r="AV87" t="str">
        <f t="shared" si="4"/>
        <v>no_fail</v>
      </c>
    </row>
    <row r="88" spans="1:48" x14ac:dyDescent="0.3">
      <c r="A88" t="s">
        <v>45</v>
      </c>
      <c r="B88" t="s">
        <v>46</v>
      </c>
      <c r="C88" t="s">
        <v>17</v>
      </c>
      <c r="D88" t="s">
        <v>12</v>
      </c>
      <c r="E88" t="str">
        <f t="shared" si="3"/>
        <v>P_G7R-KYY-S_6B5</v>
      </c>
      <c r="F88" t="b">
        <v>1</v>
      </c>
      <c r="G88">
        <v>82.1</v>
      </c>
      <c r="H88">
        <v>0</v>
      </c>
      <c r="I88">
        <v>9633</v>
      </c>
      <c r="J88" s="49" t="s">
        <v>13</v>
      </c>
      <c r="L88" s="16" t="s">
        <v>272</v>
      </c>
      <c r="M88" s="16">
        <v>3</v>
      </c>
      <c r="N88" s="16" t="s">
        <v>277</v>
      </c>
      <c r="O88" s="16" t="s">
        <v>336</v>
      </c>
      <c r="P88" s="15" t="s">
        <v>283</v>
      </c>
      <c r="Q88" t="s">
        <v>281</v>
      </c>
      <c r="R88" t="s">
        <v>371</v>
      </c>
      <c r="S88" s="17" t="s">
        <v>371</v>
      </c>
      <c r="T88" s="16" t="s">
        <v>341</v>
      </c>
      <c r="U88" s="16" t="s">
        <v>340</v>
      </c>
      <c r="V88" s="15" t="s">
        <v>343</v>
      </c>
      <c r="W88" s="15" t="s">
        <v>345</v>
      </c>
      <c r="X88" s="17"/>
      <c r="Y88" t="s">
        <v>349</v>
      </c>
      <c r="Z88" t="s">
        <v>349</v>
      </c>
      <c r="AA88" t="s">
        <v>293</v>
      </c>
      <c r="AB88" t="s">
        <v>352</v>
      </c>
      <c r="AC88" t="s">
        <v>296</v>
      </c>
      <c r="AD88" t="s">
        <v>301</v>
      </c>
      <c r="AE88" t="s">
        <v>292</v>
      </c>
      <c r="AF88" t="s">
        <v>293</v>
      </c>
      <c r="AG88" t="s">
        <v>292</v>
      </c>
      <c r="AH88" t="s">
        <v>292</v>
      </c>
      <c r="AI88" t="s">
        <v>293</v>
      </c>
      <c r="AJ88" t="s">
        <v>302</v>
      </c>
      <c r="AK88" t="s">
        <v>359</v>
      </c>
      <c r="AL88" t="s">
        <v>359</v>
      </c>
      <c r="AM88" t="s">
        <v>293</v>
      </c>
      <c r="AN88" t="s">
        <v>293</v>
      </c>
      <c r="AO88" t="s">
        <v>297</v>
      </c>
      <c r="AP88" t="s">
        <v>298</v>
      </c>
      <c r="AQ88" t="s">
        <v>293</v>
      </c>
      <c r="AR88" t="s">
        <v>292</v>
      </c>
      <c r="AS88" t="s">
        <v>362</v>
      </c>
      <c r="AT88" t="s">
        <v>293</v>
      </c>
      <c r="AU88" t="s">
        <v>364</v>
      </c>
      <c r="AV88" t="str">
        <f t="shared" si="4"/>
        <v>no_fail</v>
      </c>
    </row>
    <row r="89" spans="1:48" x14ac:dyDescent="0.3">
      <c r="A89" t="s">
        <v>45</v>
      </c>
      <c r="B89" t="s">
        <v>46</v>
      </c>
      <c r="C89" t="s">
        <v>16</v>
      </c>
      <c r="D89" t="s">
        <v>12</v>
      </c>
      <c r="E89" t="str">
        <f t="shared" si="3"/>
        <v>P_G7R-KYY-S_6U7</v>
      </c>
      <c r="F89" t="b">
        <v>1</v>
      </c>
      <c r="G89">
        <v>100</v>
      </c>
      <c r="H89">
        <v>1</v>
      </c>
      <c r="I89">
        <v>9078</v>
      </c>
      <c r="J89" s="49" t="s">
        <v>18</v>
      </c>
      <c r="L89" s="16" t="s">
        <v>272</v>
      </c>
      <c r="M89" s="16">
        <v>3</v>
      </c>
      <c r="N89" s="16" t="s">
        <v>277</v>
      </c>
      <c r="O89" s="16" t="s">
        <v>336</v>
      </c>
      <c r="P89" s="15" t="s">
        <v>283</v>
      </c>
      <c r="Q89" t="s">
        <v>281</v>
      </c>
      <c r="R89" t="s">
        <v>371</v>
      </c>
      <c r="S89" s="17" t="s">
        <v>371</v>
      </c>
      <c r="T89" s="16" t="s">
        <v>341</v>
      </c>
      <c r="U89" s="16" t="s">
        <v>340</v>
      </c>
      <c r="V89" s="15" t="s">
        <v>343</v>
      </c>
      <c r="W89" s="15" t="s">
        <v>345</v>
      </c>
      <c r="X89" s="17" t="s">
        <v>346</v>
      </c>
      <c r="Y89" t="s">
        <v>349</v>
      </c>
      <c r="Z89" t="s">
        <v>349</v>
      </c>
      <c r="AA89" t="s">
        <v>293</v>
      </c>
      <c r="AB89" t="s">
        <v>352</v>
      </c>
      <c r="AC89" t="s">
        <v>296</v>
      </c>
      <c r="AD89" t="s">
        <v>301</v>
      </c>
      <c r="AE89" t="s">
        <v>292</v>
      </c>
      <c r="AF89" t="s">
        <v>293</v>
      </c>
      <c r="AG89" t="s">
        <v>292</v>
      </c>
      <c r="AH89" t="s">
        <v>292</v>
      </c>
      <c r="AI89" t="s">
        <v>293</v>
      </c>
      <c r="AJ89" t="s">
        <v>302</v>
      </c>
      <c r="AK89" t="s">
        <v>359</v>
      </c>
      <c r="AL89" t="s">
        <v>359</v>
      </c>
      <c r="AM89" t="s">
        <v>293</v>
      </c>
      <c r="AN89" t="s">
        <v>293</v>
      </c>
      <c r="AO89" t="s">
        <v>297</v>
      </c>
      <c r="AP89" t="s">
        <v>298</v>
      </c>
      <c r="AQ89" t="s">
        <v>293</v>
      </c>
      <c r="AR89" t="s">
        <v>292</v>
      </c>
      <c r="AS89" t="s">
        <v>362</v>
      </c>
      <c r="AT89" t="s">
        <v>293</v>
      </c>
      <c r="AU89" t="s">
        <v>364</v>
      </c>
      <c r="AV89" t="str">
        <f t="shared" si="4"/>
        <v>break</v>
      </c>
    </row>
    <row r="90" spans="1:48" x14ac:dyDescent="0.3">
      <c r="A90" t="s">
        <v>45</v>
      </c>
      <c r="B90" t="s">
        <v>46</v>
      </c>
      <c r="C90" t="s">
        <v>20</v>
      </c>
      <c r="D90" t="s">
        <v>12</v>
      </c>
      <c r="E90" t="str">
        <f t="shared" si="3"/>
        <v>P_G7R-KYY-S_7W0</v>
      </c>
      <c r="F90" t="b">
        <v>1</v>
      </c>
      <c r="G90">
        <v>100</v>
      </c>
      <c r="H90">
        <v>1</v>
      </c>
      <c r="I90">
        <v>9026</v>
      </c>
      <c r="J90" s="49" t="s">
        <v>18</v>
      </c>
      <c r="L90" s="16" t="s">
        <v>272</v>
      </c>
      <c r="M90" s="16">
        <v>3</v>
      </c>
      <c r="N90" s="16" t="s">
        <v>277</v>
      </c>
      <c r="O90" s="16" t="s">
        <v>336</v>
      </c>
      <c r="P90" s="15" t="s">
        <v>283</v>
      </c>
      <c r="Q90" t="s">
        <v>281</v>
      </c>
      <c r="R90" t="s">
        <v>371</v>
      </c>
      <c r="S90" s="17" t="s">
        <v>371</v>
      </c>
      <c r="T90" s="16" t="s">
        <v>341</v>
      </c>
      <c r="U90" s="16" t="s">
        <v>340</v>
      </c>
      <c r="V90" s="15" t="s">
        <v>343</v>
      </c>
      <c r="W90" s="15" t="s">
        <v>345</v>
      </c>
      <c r="X90" s="17"/>
      <c r="Y90" t="s">
        <v>349</v>
      </c>
      <c r="Z90" t="s">
        <v>349</v>
      </c>
      <c r="AA90" t="s">
        <v>293</v>
      </c>
      <c r="AB90" t="s">
        <v>352</v>
      </c>
      <c r="AC90" t="s">
        <v>297</v>
      </c>
      <c r="AD90" t="s">
        <v>301</v>
      </c>
      <c r="AE90" t="s">
        <v>292</v>
      </c>
      <c r="AF90" t="s">
        <v>293</v>
      </c>
      <c r="AG90" t="s">
        <v>292</v>
      </c>
      <c r="AH90" t="s">
        <v>293</v>
      </c>
      <c r="AI90" t="s">
        <v>293</v>
      </c>
      <c r="AJ90" t="s">
        <v>302</v>
      </c>
      <c r="AK90" t="s">
        <v>359</v>
      </c>
      <c r="AL90" t="s">
        <v>359</v>
      </c>
      <c r="AM90" t="s">
        <v>293</v>
      </c>
      <c r="AN90" t="s">
        <v>293</v>
      </c>
      <c r="AO90" t="s">
        <v>297</v>
      </c>
      <c r="AP90" t="s">
        <v>298</v>
      </c>
      <c r="AQ90" t="s">
        <v>293</v>
      </c>
      <c r="AR90" t="s">
        <v>292</v>
      </c>
      <c r="AS90" t="s">
        <v>362</v>
      </c>
      <c r="AT90" t="s">
        <v>293</v>
      </c>
      <c r="AU90" t="s">
        <v>364</v>
      </c>
      <c r="AV90" t="str">
        <f t="shared" si="4"/>
        <v>break</v>
      </c>
    </row>
    <row r="91" spans="1:48" x14ac:dyDescent="0.3">
      <c r="A91" t="s">
        <v>45</v>
      </c>
      <c r="B91" t="s">
        <v>46</v>
      </c>
      <c r="C91" t="s">
        <v>23</v>
      </c>
      <c r="D91" t="s">
        <v>29</v>
      </c>
      <c r="E91" t="str">
        <f t="shared" si="3"/>
        <v>P_G7R-ZSB-S_0T2</v>
      </c>
      <c r="F91" t="b">
        <v>1</v>
      </c>
      <c r="G91">
        <v>100</v>
      </c>
      <c r="H91">
        <v>1</v>
      </c>
      <c r="I91">
        <v>10379</v>
      </c>
      <c r="J91" s="49" t="s">
        <v>18</v>
      </c>
      <c r="L91" s="16" t="s">
        <v>272</v>
      </c>
      <c r="M91" s="16">
        <v>3</v>
      </c>
      <c r="N91" s="16" t="s">
        <v>277</v>
      </c>
      <c r="O91" s="16" t="s">
        <v>336</v>
      </c>
      <c r="P91" s="15" t="s">
        <v>283</v>
      </c>
      <c r="Q91" t="s">
        <v>281</v>
      </c>
      <c r="R91" t="s">
        <v>371</v>
      </c>
      <c r="S91" s="17" t="s">
        <v>371</v>
      </c>
      <c r="T91" s="16" t="s">
        <v>341</v>
      </c>
      <c r="U91" s="16" t="s">
        <v>340</v>
      </c>
      <c r="V91" s="15" t="s">
        <v>343</v>
      </c>
      <c r="W91" s="15" t="s">
        <v>345</v>
      </c>
      <c r="X91" s="17"/>
      <c r="Y91" t="s">
        <v>349</v>
      </c>
      <c r="Z91" t="s">
        <v>349</v>
      </c>
      <c r="AA91" t="s">
        <v>292</v>
      </c>
      <c r="AB91" t="s">
        <v>295</v>
      </c>
      <c r="AC91" t="s">
        <v>356</v>
      </c>
      <c r="AD91" t="s">
        <v>301</v>
      </c>
      <c r="AE91" t="s">
        <v>292</v>
      </c>
      <c r="AF91" t="s">
        <v>292</v>
      </c>
      <c r="AG91" t="s">
        <v>292</v>
      </c>
      <c r="AH91" t="s">
        <v>293</v>
      </c>
      <c r="AI91" t="s">
        <v>293</v>
      </c>
      <c r="AJ91" t="s">
        <v>302</v>
      </c>
      <c r="AK91" t="s">
        <v>359</v>
      </c>
      <c r="AL91" t="s">
        <v>358</v>
      </c>
      <c r="AM91" t="s">
        <v>293</v>
      </c>
      <c r="AN91" t="s">
        <v>293</v>
      </c>
      <c r="AO91" t="s">
        <v>297</v>
      </c>
      <c r="AP91" t="s">
        <v>298</v>
      </c>
      <c r="AQ91" t="s">
        <v>293</v>
      </c>
      <c r="AR91" t="s">
        <v>292</v>
      </c>
      <c r="AS91" t="s">
        <v>362</v>
      </c>
      <c r="AT91" t="s">
        <v>293</v>
      </c>
      <c r="AU91" t="s">
        <v>364</v>
      </c>
      <c r="AV91" t="str">
        <f t="shared" si="4"/>
        <v>break</v>
      </c>
    </row>
    <row r="92" spans="1:48" x14ac:dyDescent="0.3">
      <c r="A92" t="s">
        <v>45</v>
      </c>
      <c r="B92" t="s">
        <v>46</v>
      </c>
      <c r="C92" t="s">
        <v>25</v>
      </c>
      <c r="D92" t="s">
        <v>29</v>
      </c>
      <c r="E92" t="str">
        <f t="shared" si="3"/>
        <v>P_G7R-ZSB-S_1J8</v>
      </c>
      <c r="F92" t="b">
        <v>1</v>
      </c>
      <c r="G92">
        <v>97</v>
      </c>
      <c r="H92">
        <v>0</v>
      </c>
      <c r="I92">
        <v>9812</v>
      </c>
      <c r="J92" s="49" t="s">
        <v>13</v>
      </c>
      <c r="L92" s="16" t="s">
        <v>272</v>
      </c>
      <c r="M92" s="16">
        <v>3</v>
      </c>
      <c r="N92" s="16" t="s">
        <v>277</v>
      </c>
      <c r="O92" s="16" t="s">
        <v>336</v>
      </c>
      <c r="P92" s="15" t="s">
        <v>283</v>
      </c>
      <c r="Q92" t="s">
        <v>281</v>
      </c>
      <c r="R92" t="s">
        <v>371</v>
      </c>
      <c r="S92" s="17" t="s">
        <v>371</v>
      </c>
      <c r="T92" s="16" t="s">
        <v>341</v>
      </c>
      <c r="U92" s="16" t="s">
        <v>340</v>
      </c>
      <c r="V92" s="15" t="s">
        <v>343</v>
      </c>
      <c r="W92" s="15" t="s">
        <v>345</v>
      </c>
      <c r="X92" s="17"/>
      <c r="Y92" t="s">
        <v>349</v>
      </c>
      <c r="Z92" t="s">
        <v>349</v>
      </c>
      <c r="AA92" t="s">
        <v>293</v>
      </c>
      <c r="AB92" t="s">
        <v>352</v>
      </c>
      <c r="AC92" t="s">
        <v>296</v>
      </c>
      <c r="AD92" t="s">
        <v>300</v>
      </c>
      <c r="AE92" t="s">
        <v>292</v>
      </c>
      <c r="AF92" t="s">
        <v>293</v>
      </c>
      <c r="AG92" t="s">
        <v>292</v>
      </c>
      <c r="AH92" t="s">
        <v>292</v>
      </c>
      <c r="AI92" t="s">
        <v>293</v>
      </c>
      <c r="AJ92" t="s">
        <v>302</v>
      </c>
      <c r="AK92" t="s">
        <v>359</v>
      </c>
      <c r="AL92" t="s">
        <v>359</v>
      </c>
      <c r="AM92" t="s">
        <v>293</v>
      </c>
      <c r="AN92" t="s">
        <v>293</v>
      </c>
      <c r="AO92" t="s">
        <v>297</v>
      </c>
      <c r="AP92" t="s">
        <v>298</v>
      </c>
      <c r="AQ92" t="s">
        <v>293</v>
      </c>
      <c r="AR92" t="s">
        <v>292</v>
      </c>
      <c r="AS92" t="s">
        <v>293</v>
      </c>
      <c r="AT92" t="s">
        <v>293</v>
      </c>
      <c r="AU92" t="s">
        <v>364</v>
      </c>
      <c r="AV92" t="str">
        <f t="shared" si="4"/>
        <v>no_fail</v>
      </c>
    </row>
    <row r="93" spans="1:48" x14ac:dyDescent="0.3">
      <c r="A93" t="s">
        <v>45</v>
      </c>
      <c r="B93" t="s">
        <v>46</v>
      </c>
      <c r="C93" t="s">
        <v>24</v>
      </c>
      <c r="D93" t="s">
        <v>29</v>
      </c>
      <c r="E93" t="str">
        <f t="shared" si="3"/>
        <v>P_G7R-ZSB-S_1U0</v>
      </c>
      <c r="F93" t="b">
        <v>1</v>
      </c>
      <c r="G93">
        <v>96.5</v>
      </c>
      <c r="H93">
        <v>0</v>
      </c>
      <c r="I93">
        <v>11058</v>
      </c>
      <c r="J93" s="49" t="s">
        <v>13</v>
      </c>
      <c r="L93" s="16" t="s">
        <v>272</v>
      </c>
      <c r="M93" s="16">
        <v>3</v>
      </c>
      <c r="N93" s="16" t="s">
        <v>277</v>
      </c>
      <c r="O93" s="16" t="s">
        <v>336</v>
      </c>
      <c r="P93" s="15" t="s">
        <v>283</v>
      </c>
      <c r="Q93" t="s">
        <v>281</v>
      </c>
      <c r="R93" t="s">
        <v>371</v>
      </c>
      <c r="S93" s="17" t="s">
        <v>371</v>
      </c>
      <c r="T93" s="16" t="s">
        <v>341</v>
      </c>
      <c r="U93" s="16" t="s">
        <v>340</v>
      </c>
      <c r="V93" s="15" t="s">
        <v>343</v>
      </c>
      <c r="W93" s="15" t="s">
        <v>345</v>
      </c>
      <c r="X93" s="17"/>
      <c r="Y93" t="s">
        <v>349</v>
      </c>
      <c r="Z93" t="s">
        <v>349</v>
      </c>
      <c r="AA93" t="s">
        <v>292</v>
      </c>
      <c r="AB93" t="s">
        <v>295</v>
      </c>
      <c r="AC93" t="s">
        <v>356</v>
      </c>
      <c r="AD93" t="s">
        <v>300</v>
      </c>
      <c r="AE93" t="s">
        <v>292</v>
      </c>
      <c r="AF93" t="s">
        <v>292</v>
      </c>
      <c r="AG93" t="s">
        <v>292</v>
      </c>
      <c r="AH93" t="s">
        <v>293</v>
      </c>
      <c r="AI93" t="s">
        <v>293</v>
      </c>
      <c r="AJ93" t="s">
        <v>302</v>
      </c>
      <c r="AK93" t="s">
        <v>359</v>
      </c>
      <c r="AL93" t="s">
        <v>358</v>
      </c>
      <c r="AM93" t="s">
        <v>293</v>
      </c>
      <c r="AN93" t="s">
        <v>293</v>
      </c>
      <c r="AO93" t="s">
        <v>297</v>
      </c>
      <c r="AP93" t="s">
        <v>298</v>
      </c>
      <c r="AQ93" t="s">
        <v>293</v>
      </c>
      <c r="AR93" t="s">
        <v>292</v>
      </c>
      <c r="AS93" t="s">
        <v>293</v>
      </c>
      <c r="AT93" t="s">
        <v>293</v>
      </c>
      <c r="AU93" t="s">
        <v>364</v>
      </c>
      <c r="AV93" t="str">
        <f t="shared" si="4"/>
        <v>no_fail</v>
      </c>
    </row>
    <row r="94" spans="1:48" x14ac:dyDescent="0.3">
      <c r="A94" t="s">
        <v>45</v>
      </c>
      <c r="B94" t="s">
        <v>46</v>
      </c>
      <c r="C94" t="s">
        <v>21</v>
      </c>
      <c r="D94" t="s">
        <v>29</v>
      </c>
      <c r="E94" t="str">
        <f t="shared" si="3"/>
        <v>P_G7R-ZSB-S_3X6</v>
      </c>
      <c r="F94" t="b">
        <v>1</v>
      </c>
      <c r="G94">
        <v>75.2</v>
      </c>
      <c r="H94">
        <v>0</v>
      </c>
      <c r="I94">
        <v>11608</v>
      </c>
      <c r="J94" s="49" t="s">
        <v>13</v>
      </c>
      <c r="L94" s="16" t="s">
        <v>272</v>
      </c>
      <c r="M94" s="16">
        <v>3</v>
      </c>
      <c r="N94" s="16" t="s">
        <v>277</v>
      </c>
      <c r="O94" s="16" t="s">
        <v>336</v>
      </c>
      <c r="P94" s="15" t="s">
        <v>283</v>
      </c>
      <c r="Q94" t="s">
        <v>281</v>
      </c>
      <c r="R94" t="s">
        <v>371</v>
      </c>
      <c r="S94" s="17" t="s">
        <v>371</v>
      </c>
      <c r="T94" s="16" t="s">
        <v>341</v>
      </c>
      <c r="U94" s="16" t="s">
        <v>340</v>
      </c>
      <c r="V94" s="15" t="s">
        <v>343</v>
      </c>
      <c r="W94" s="15" t="s">
        <v>345</v>
      </c>
      <c r="X94" s="17"/>
      <c r="Y94" t="s">
        <v>349</v>
      </c>
      <c r="Z94" t="s">
        <v>349</v>
      </c>
      <c r="AA94" t="s">
        <v>292</v>
      </c>
      <c r="AB94" t="s">
        <v>295</v>
      </c>
      <c r="AC94" t="s">
        <v>356</v>
      </c>
      <c r="AD94" t="s">
        <v>300</v>
      </c>
      <c r="AE94" t="s">
        <v>292</v>
      </c>
      <c r="AF94" t="s">
        <v>292</v>
      </c>
      <c r="AG94" t="s">
        <v>292</v>
      </c>
      <c r="AH94" t="s">
        <v>293</v>
      </c>
      <c r="AI94" t="s">
        <v>293</v>
      </c>
      <c r="AJ94" t="s">
        <v>302</v>
      </c>
      <c r="AK94" t="s">
        <v>359</v>
      </c>
      <c r="AL94" t="s">
        <v>358</v>
      </c>
      <c r="AM94" t="s">
        <v>293</v>
      </c>
      <c r="AN94" t="s">
        <v>293</v>
      </c>
      <c r="AO94" t="s">
        <v>297</v>
      </c>
      <c r="AP94" t="s">
        <v>298</v>
      </c>
      <c r="AQ94" t="s">
        <v>293</v>
      </c>
      <c r="AR94" t="s">
        <v>292</v>
      </c>
      <c r="AS94" t="s">
        <v>293</v>
      </c>
      <c r="AT94" t="s">
        <v>293</v>
      </c>
      <c r="AU94" t="s">
        <v>364</v>
      </c>
      <c r="AV94" t="str">
        <f t="shared" si="4"/>
        <v>no_fail</v>
      </c>
    </row>
    <row r="95" spans="1:48" x14ac:dyDescent="0.3">
      <c r="A95" t="s">
        <v>45</v>
      </c>
      <c r="B95" t="s">
        <v>46</v>
      </c>
      <c r="C95" t="s">
        <v>30</v>
      </c>
      <c r="D95" t="s">
        <v>29</v>
      </c>
      <c r="E95" t="str">
        <f t="shared" si="3"/>
        <v>P_G7R-ZSB-S_3X7</v>
      </c>
      <c r="F95" t="b">
        <v>1</v>
      </c>
      <c r="G95">
        <v>93.3</v>
      </c>
      <c r="H95">
        <v>0</v>
      </c>
      <c r="I95">
        <v>9336</v>
      </c>
      <c r="J95" s="49" t="s">
        <v>13</v>
      </c>
      <c r="L95" s="16" t="s">
        <v>272</v>
      </c>
      <c r="M95" s="16">
        <v>3</v>
      </c>
      <c r="N95" s="16" t="s">
        <v>277</v>
      </c>
      <c r="O95" s="16" t="s">
        <v>336</v>
      </c>
      <c r="P95" s="15" t="s">
        <v>283</v>
      </c>
      <c r="Q95" t="s">
        <v>281</v>
      </c>
      <c r="R95" t="s">
        <v>371</v>
      </c>
      <c r="S95" s="17" t="s">
        <v>371</v>
      </c>
      <c r="T95" s="16" t="s">
        <v>341</v>
      </c>
      <c r="U95" s="16" t="s">
        <v>340</v>
      </c>
      <c r="V95" s="15" t="s">
        <v>343</v>
      </c>
      <c r="W95" s="15" t="s">
        <v>345</v>
      </c>
      <c r="X95" s="17"/>
      <c r="Y95" t="s">
        <v>349</v>
      </c>
      <c r="Z95" t="s">
        <v>349</v>
      </c>
      <c r="AA95" t="s">
        <v>293</v>
      </c>
      <c r="AB95" t="s">
        <v>352</v>
      </c>
      <c r="AC95" t="s">
        <v>296</v>
      </c>
      <c r="AD95" t="s">
        <v>300</v>
      </c>
      <c r="AE95" t="s">
        <v>292</v>
      </c>
      <c r="AF95" t="s">
        <v>293</v>
      </c>
      <c r="AG95" t="s">
        <v>292</v>
      </c>
      <c r="AH95" t="s">
        <v>292</v>
      </c>
      <c r="AI95" t="s">
        <v>293</v>
      </c>
      <c r="AJ95" t="s">
        <v>302</v>
      </c>
      <c r="AK95" t="s">
        <v>359</v>
      </c>
      <c r="AL95" t="s">
        <v>359</v>
      </c>
      <c r="AM95" t="s">
        <v>293</v>
      </c>
      <c r="AN95" t="s">
        <v>293</v>
      </c>
      <c r="AO95" t="s">
        <v>297</v>
      </c>
      <c r="AP95" t="s">
        <v>298</v>
      </c>
      <c r="AQ95" t="s">
        <v>293</v>
      </c>
      <c r="AR95" t="s">
        <v>292</v>
      </c>
      <c r="AS95" t="s">
        <v>293</v>
      </c>
      <c r="AT95" t="s">
        <v>293</v>
      </c>
      <c r="AU95" t="s">
        <v>364</v>
      </c>
      <c r="AV95" t="str">
        <f t="shared" si="4"/>
        <v>no_fail</v>
      </c>
    </row>
    <row r="96" spans="1:48" x14ac:dyDescent="0.3">
      <c r="A96" t="s">
        <v>45</v>
      </c>
      <c r="B96" t="s">
        <v>46</v>
      </c>
      <c r="C96" t="s">
        <v>26</v>
      </c>
      <c r="D96" t="s">
        <v>29</v>
      </c>
      <c r="E96" t="str">
        <f t="shared" si="3"/>
        <v>P_G7R-ZSB-S_8O8</v>
      </c>
      <c r="F96" t="b">
        <v>1</v>
      </c>
      <c r="G96">
        <v>100</v>
      </c>
      <c r="H96">
        <v>1</v>
      </c>
      <c r="I96">
        <v>9942</v>
      </c>
      <c r="J96" s="49" t="s">
        <v>18</v>
      </c>
      <c r="L96" s="16" t="s">
        <v>272</v>
      </c>
      <c r="M96" s="16">
        <v>3</v>
      </c>
      <c r="N96" s="16" t="s">
        <v>277</v>
      </c>
      <c r="O96" s="16" t="s">
        <v>336</v>
      </c>
      <c r="P96" s="15" t="s">
        <v>281</v>
      </c>
      <c r="Q96" t="s">
        <v>371</v>
      </c>
      <c r="R96" t="s">
        <v>371</v>
      </c>
      <c r="S96" s="17" t="s">
        <v>371</v>
      </c>
      <c r="T96" s="16" t="s">
        <v>341</v>
      </c>
      <c r="U96" s="16" t="s">
        <v>340</v>
      </c>
      <c r="V96" s="15" t="s">
        <v>343</v>
      </c>
      <c r="W96" s="15" t="s">
        <v>345</v>
      </c>
      <c r="X96" s="17"/>
      <c r="Y96" t="s">
        <v>349</v>
      </c>
      <c r="Z96" t="s">
        <v>349</v>
      </c>
      <c r="AA96" t="s">
        <v>293</v>
      </c>
      <c r="AB96" t="s">
        <v>352</v>
      </c>
      <c r="AC96" t="s">
        <v>296</v>
      </c>
      <c r="AD96" t="s">
        <v>300</v>
      </c>
      <c r="AE96" t="s">
        <v>292</v>
      </c>
      <c r="AF96" t="s">
        <v>293</v>
      </c>
      <c r="AG96" t="s">
        <v>292</v>
      </c>
      <c r="AH96" t="s">
        <v>292</v>
      </c>
      <c r="AI96" t="s">
        <v>293</v>
      </c>
      <c r="AJ96" t="s">
        <v>359</v>
      </c>
      <c r="AK96" t="s">
        <v>359</v>
      </c>
      <c r="AL96" t="s">
        <v>359</v>
      </c>
      <c r="AM96" t="s">
        <v>293</v>
      </c>
      <c r="AN96" t="s">
        <v>293</v>
      </c>
      <c r="AO96" t="s">
        <v>297</v>
      </c>
      <c r="AP96" t="s">
        <v>298</v>
      </c>
      <c r="AQ96" t="s">
        <v>293</v>
      </c>
      <c r="AR96" t="s">
        <v>292</v>
      </c>
      <c r="AS96" t="s">
        <v>293</v>
      </c>
      <c r="AT96" t="s">
        <v>293</v>
      </c>
      <c r="AU96" t="s">
        <v>364</v>
      </c>
      <c r="AV96" t="str">
        <f t="shared" si="4"/>
        <v>break</v>
      </c>
    </row>
    <row r="97" spans="1:49" x14ac:dyDescent="0.3">
      <c r="A97" t="s">
        <v>45</v>
      </c>
      <c r="B97" t="s">
        <v>46</v>
      </c>
      <c r="C97" t="s">
        <v>22</v>
      </c>
      <c r="D97" t="s">
        <v>29</v>
      </c>
      <c r="E97" t="str">
        <f t="shared" si="3"/>
        <v>P_G7R-ZSB-S_9B4</v>
      </c>
      <c r="F97" t="b">
        <v>1</v>
      </c>
      <c r="G97">
        <v>81.599999999999994</v>
      </c>
      <c r="H97">
        <v>0</v>
      </c>
      <c r="I97">
        <v>10879</v>
      </c>
      <c r="J97" s="49" t="s">
        <v>13</v>
      </c>
      <c r="L97" s="16" t="s">
        <v>272</v>
      </c>
      <c r="M97" s="16">
        <v>3</v>
      </c>
      <c r="N97" s="16" t="s">
        <v>277</v>
      </c>
      <c r="O97" s="16" t="s">
        <v>336</v>
      </c>
      <c r="P97" s="15" t="s">
        <v>283</v>
      </c>
      <c r="Q97" t="s">
        <v>281</v>
      </c>
      <c r="R97" t="s">
        <v>371</v>
      </c>
      <c r="S97" s="17" t="s">
        <v>371</v>
      </c>
      <c r="T97" s="16" t="s">
        <v>341</v>
      </c>
      <c r="U97" s="16" t="s">
        <v>340</v>
      </c>
      <c r="V97" s="15" t="s">
        <v>343</v>
      </c>
      <c r="W97" s="15" t="s">
        <v>345</v>
      </c>
      <c r="X97" s="17"/>
      <c r="Y97" t="s">
        <v>349</v>
      </c>
      <c r="Z97" t="s">
        <v>349</v>
      </c>
      <c r="AA97" t="s">
        <v>292</v>
      </c>
      <c r="AB97" t="s">
        <v>295</v>
      </c>
      <c r="AC97" t="s">
        <v>356</v>
      </c>
      <c r="AD97" t="s">
        <v>301</v>
      </c>
      <c r="AE97" t="s">
        <v>292</v>
      </c>
      <c r="AF97" t="s">
        <v>292</v>
      </c>
      <c r="AG97" t="s">
        <v>292</v>
      </c>
      <c r="AH97" t="s">
        <v>293</v>
      </c>
      <c r="AI97" t="s">
        <v>293</v>
      </c>
      <c r="AJ97" t="s">
        <v>302</v>
      </c>
      <c r="AK97" t="s">
        <v>359</v>
      </c>
      <c r="AL97" t="s">
        <v>358</v>
      </c>
      <c r="AM97" t="s">
        <v>293</v>
      </c>
      <c r="AN97" t="s">
        <v>293</v>
      </c>
      <c r="AO97" t="s">
        <v>297</v>
      </c>
      <c r="AP97" t="s">
        <v>298</v>
      </c>
      <c r="AQ97" t="s">
        <v>293</v>
      </c>
      <c r="AR97" t="s">
        <v>292</v>
      </c>
      <c r="AS97" t="s">
        <v>362</v>
      </c>
      <c r="AT97" t="s">
        <v>293</v>
      </c>
      <c r="AU97" t="s">
        <v>364</v>
      </c>
      <c r="AV97" t="str">
        <f t="shared" si="4"/>
        <v>no_fail</v>
      </c>
    </row>
    <row r="98" spans="1:49" x14ac:dyDescent="0.3">
      <c r="A98" t="s">
        <v>45</v>
      </c>
      <c r="B98" t="s">
        <v>46</v>
      </c>
      <c r="C98" t="s">
        <v>27</v>
      </c>
      <c r="D98" t="s">
        <v>29</v>
      </c>
      <c r="E98" t="str">
        <f t="shared" si="3"/>
        <v>P_G7R-ZSB-S_9F6</v>
      </c>
      <c r="F98" t="b">
        <v>1</v>
      </c>
      <c r="G98">
        <v>100</v>
      </c>
      <c r="H98">
        <v>1</v>
      </c>
      <c r="I98">
        <v>9447</v>
      </c>
      <c r="J98" s="49" t="s">
        <v>18</v>
      </c>
      <c r="L98" s="16" t="s">
        <v>272</v>
      </c>
      <c r="M98" s="16">
        <v>3</v>
      </c>
      <c r="N98" s="16" t="s">
        <v>277</v>
      </c>
      <c r="O98" s="16" t="s">
        <v>336</v>
      </c>
      <c r="P98" s="15" t="s">
        <v>283</v>
      </c>
      <c r="Q98" t="s">
        <v>281</v>
      </c>
      <c r="R98" t="s">
        <v>371</v>
      </c>
      <c r="S98" s="17" t="s">
        <v>371</v>
      </c>
      <c r="T98" s="16" t="s">
        <v>341</v>
      </c>
      <c r="U98" s="16" t="s">
        <v>340</v>
      </c>
      <c r="V98" s="15" t="s">
        <v>343</v>
      </c>
      <c r="W98" s="15" t="s">
        <v>345</v>
      </c>
      <c r="X98" s="17"/>
      <c r="Y98" t="s">
        <v>349</v>
      </c>
      <c r="Z98" t="s">
        <v>349</v>
      </c>
      <c r="AA98" t="s">
        <v>293</v>
      </c>
      <c r="AB98" t="s">
        <v>352</v>
      </c>
      <c r="AC98" t="s">
        <v>296</v>
      </c>
      <c r="AD98" t="s">
        <v>300</v>
      </c>
      <c r="AE98" t="s">
        <v>292</v>
      </c>
      <c r="AF98" t="s">
        <v>293</v>
      </c>
      <c r="AG98" t="s">
        <v>292</v>
      </c>
      <c r="AH98" t="s">
        <v>292</v>
      </c>
      <c r="AI98" t="s">
        <v>293</v>
      </c>
      <c r="AJ98" t="s">
        <v>302</v>
      </c>
      <c r="AK98" t="s">
        <v>359</v>
      </c>
      <c r="AL98" t="s">
        <v>359</v>
      </c>
      <c r="AM98" t="s">
        <v>293</v>
      </c>
      <c r="AN98" t="s">
        <v>293</v>
      </c>
      <c r="AO98" t="s">
        <v>297</v>
      </c>
      <c r="AP98" t="s">
        <v>298</v>
      </c>
      <c r="AQ98" t="s">
        <v>293</v>
      </c>
      <c r="AR98" t="s">
        <v>292</v>
      </c>
      <c r="AS98" t="s">
        <v>293</v>
      </c>
      <c r="AT98" t="s">
        <v>293</v>
      </c>
      <c r="AU98" t="s">
        <v>364</v>
      </c>
      <c r="AV98" t="str">
        <f t="shared" si="4"/>
        <v>break</v>
      </c>
    </row>
    <row r="99" spans="1:49" x14ac:dyDescent="0.3">
      <c r="A99" t="s">
        <v>45</v>
      </c>
      <c r="B99" t="s">
        <v>46</v>
      </c>
      <c r="C99" t="s">
        <v>28</v>
      </c>
      <c r="D99" t="s">
        <v>29</v>
      </c>
      <c r="E99" t="str">
        <f t="shared" si="3"/>
        <v>P_G7R-ZSB-S_9T2</v>
      </c>
      <c r="F99" t="b">
        <v>1</v>
      </c>
      <c r="G99">
        <v>91.9</v>
      </c>
      <c r="H99">
        <v>0</v>
      </c>
      <c r="I99">
        <v>9495</v>
      </c>
      <c r="J99" s="49" t="s">
        <v>13</v>
      </c>
      <c r="L99" s="16" t="s">
        <v>272</v>
      </c>
      <c r="M99" s="16">
        <v>3</v>
      </c>
      <c r="N99" s="16" t="s">
        <v>277</v>
      </c>
      <c r="O99" s="16" t="s">
        <v>336</v>
      </c>
      <c r="P99" s="15" t="s">
        <v>283</v>
      </c>
      <c r="Q99" t="s">
        <v>281</v>
      </c>
      <c r="R99" t="s">
        <v>371</v>
      </c>
      <c r="S99" s="17" t="s">
        <v>371</v>
      </c>
      <c r="T99" s="16" t="s">
        <v>341</v>
      </c>
      <c r="U99" s="16" t="s">
        <v>340</v>
      </c>
      <c r="V99" s="15" t="s">
        <v>343</v>
      </c>
      <c r="W99" s="15" t="s">
        <v>345</v>
      </c>
      <c r="X99" s="17"/>
      <c r="Y99" t="s">
        <v>349</v>
      </c>
      <c r="Z99" t="s">
        <v>349</v>
      </c>
      <c r="AA99" t="s">
        <v>293</v>
      </c>
      <c r="AB99" t="s">
        <v>352</v>
      </c>
      <c r="AC99" t="s">
        <v>296</v>
      </c>
      <c r="AD99" t="s">
        <v>300</v>
      </c>
      <c r="AE99" t="s">
        <v>292</v>
      </c>
      <c r="AF99" t="s">
        <v>293</v>
      </c>
      <c r="AG99" t="s">
        <v>292</v>
      </c>
      <c r="AH99" t="s">
        <v>292</v>
      </c>
      <c r="AI99" t="s">
        <v>293</v>
      </c>
      <c r="AJ99" t="s">
        <v>302</v>
      </c>
      <c r="AK99" t="s">
        <v>359</v>
      </c>
      <c r="AL99" t="s">
        <v>359</v>
      </c>
      <c r="AM99" t="s">
        <v>293</v>
      </c>
      <c r="AN99" t="s">
        <v>293</v>
      </c>
      <c r="AO99" t="s">
        <v>297</v>
      </c>
      <c r="AP99" t="s">
        <v>298</v>
      </c>
      <c r="AQ99" t="s">
        <v>293</v>
      </c>
      <c r="AR99" t="s">
        <v>292</v>
      </c>
      <c r="AS99" t="s">
        <v>293</v>
      </c>
      <c r="AT99" t="s">
        <v>293</v>
      </c>
      <c r="AU99" t="s">
        <v>364</v>
      </c>
      <c r="AV99" t="str">
        <f t="shared" si="4"/>
        <v>no_fail</v>
      </c>
    </row>
    <row r="100" spans="1:49" x14ac:dyDescent="0.3">
      <c r="A100" s="38" t="s">
        <v>45</v>
      </c>
      <c r="B100" s="38" t="s">
        <v>72</v>
      </c>
      <c r="C100" s="38" t="s">
        <v>23</v>
      </c>
      <c r="D100" s="38" t="s">
        <v>29</v>
      </c>
      <c r="E100" s="38" t="str">
        <f t="shared" si="3"/>
        <v>P_H7P-ZSB-S_0T2</v>
      </c>
      <c r="F100" s="38" t="b">
        <v>1</v>
      </c>
      <c r="G100" s="38">
        <v>99.9</v>
      </c>
      <c r="H100" s="38">
        <v>0</v>
      </c>
      <c r="I100" s="38">
        <v>14387</v>
      </c>
      <c r="J100" s="38" t="s">
        <v>18</v>
      </c>
      <c r="K100" s="38"/>
      <c r="L100" s="39" t="s">
        <v>273</v>
      </c>
      <c r="M100" s="39">
        <v>2</v>
      </c>
      <c r="N100" s="39" t="s">
        <v>333</v>
      </c>
      <c r="O100" s="39" t="s">
        <v>278</v>
      </c>
      <c r="P100" s="40" t="s">
        <v>273</v>
      </c>
      <c r="Q100" s="38" t="s">
        <v>371</v>
      </c>
      <c r="R100" s="38" t="s">
        <v>371</v>
      </c>
      <c r="S100" s="41" t="s">
        <v>371</v>
      </c>
      <c r="T100" s="39" t="s">
        <v>341</v>
      </c>
      <c r="U100" s="39" t="s">
        <v>340</v>
      </c>
      <c r="V100" s="40" t="s">
        <v>343</v>
      </c>
      <c r="W100" s="40" t="s">
        <v>344</v>
      </c>
      <c r="X100" s="41"/>
      <c r="Y100" s="38" t="s">
        <v>349</v>
      </c>
      <c r="Z100" s="38" t="s">
        <v>349</v>
      </c>
      <c r="AA100" s="38" t="s">
        <v>293</v>
      </c>
      <c r="AB100" s="38" t="s">
        <v>353</v>
      </c>
      <c r="AC100" s="38" t="s">
        <v>296</v>
      </c>
      <c r="AD100" s="38" t="s">
        <v>301</v>
      </c>
      <c r="AE100" s="38" t="s">
        <v>293</v>
      </c>
      <c r="AF100" s="38" t="s">
        <v>292</v>
      </c>
      <c r="AG100" s="38" t="s">
        <v>292</v>
      </c>
      <c r="AH100" s="38" t="s">
        <v>293</v>
      </c>
      <c r="AI100" s="38" t="s">
        <v>293</v>
      </c>
      <c r="AJ100" s="38" t="s">
        <v>302</v>
      </c>
      <c r="AK100" s="38" t="s">
        <v>357</v>
      </c>
      <c r="AL100" s="38" t="s">
        <v>359</v>
      </c>
      <c r="AM100" s="38" t="s">
        <v>293</v>
      </c>
      <c r="AN100" s="38" t="s">
        <v>293</v>
      </c>
      <c r="AO100" s="38" t="s">
        <v>297</v>
      </c>
      <c r="AP100" s="38" t="s">
        <v>356</v>
      </c>
      <c r="AQ100" s="38" t="s">
        <v>293</v>
      </c>
      <c r="AR100" s="38" t="s">
        <v>292</v>
      </c>
      <c r="AS100" s="38" t="s">
        <v>293</v>
      </c>
      <c r="AT100" s="38" t="s">
        <v>293</v>
      </c>
      <c r="AU100" s="38" t="s">
        <v>364</v>
      </c>
      <c r="AV100" s="38" t="str">
        <f t="shared" si="4"/>
        <v>car_stuck</v>
      </c>
      <c r="AW100" s="38" t="s">
        <v>378</v>
      </c>
    </row>
    <row r="101" spans="1:49" x14ac:dyDescent="0.3">
      <c r="A101" s="38" t="s">
        <v>45</v>
      </c>
      <c r="B101" s="38" t="s">
        <v>72</v>
      </c>
      <c r="C101" s="38" t="s">
        <v>25</v>
      </c>
      <c r="D101" s="38" t="s">
        <v>29</v>
      </c>
      <c r="E101" s="38" t="str">
        <f t="shared" si="3"/>
        <v>P_H7P-ZSB-S_1J8</v>
      </c>
      <c r="F101" s="38" t="b">
        <v>1</v>
      </c>
      <c r="G101" s="38">
        <v>99.9</v>
      </c>
      <c r="H101" s="38">
        <v>0</v>
      </c>
      <c r="I101" s="38">
        <v>21864</v>
      </c>
      <c r="J101" s="38" t="s">
        <v>18</v>
      </c>
      <c r="K101" s="38"/>
      <c r="L101" s="39" t="s">
        <v>273</v>
      </c>
      <c r="M101" s="39">
        <v>2</v>
      </c>
      <c r="N101" s="39" t="s">
        <v>333</v>
      </c>
      <c r="O101" s="39" t="s">
        <v>278</v>
      </c>
      <c r="P101" s="40" t="s">
        <v>273</v>
      </c>
      <c r="Q101" s="38" t="s">
        <v>371</v>
      </c>
      <c r="R101" s="38" t="s">
        <v>371</v>
      </c>
      <c r="S101" s="41" t="s">
        <v>371</v>
      </c>
      <c r="T101" s="39" t="s">
        <v>341</v>
      </c>
      <c r="U101" s="39" t="s">
        <v>340</v>
      </c>
      <c r="V101" s="40" t="s">
        <v>343</v>
      </c>
      <c r="W101" s="40" t="s">
        <v>344</v>
      </c>
      <c r="X101" s="41"/>
      <c r="Y101" s="38" t="s">
        <v>349</v>
      </c>
      <c r="Z101" s="38" t="s">
        <v>349</v>
      </c>
      <c r="AA101" s="38" t="s">
        <v>293</v>
      </c>
      <c r="AB101" s="38" t="s">
        <v>353</v>
      </c>
      <c r="AC101" s="38" t="s">
        <v>296</v>
      </c>
      <c r="AD101" s="38" t="s">
        <v>301</v>
      </c>
      <c r="AE101" s="38" t="s">
        <v>293</v>
      </c>
      <c r="AF101" s="38" t="s">
        <v>292</v>
      </c>
      <c r="AG101" s="38" t="s">
        <v>292</v>
      </c>
      <c r="AH101" s="38" t="s">
        <v>292</v>
      </c>
      <c r="AI101" s="38" t="s">
        <v>293</v>
      </c>
      <c r="AJ101" s="38" t="s">
        <v>302</v>
      </c>
      <c r="AK101" s="38" t="s">
        <v>357</v>
      </c>
      <c r="AL101" s="38" t="s">
        <v>359</v>
      </c>
      <c r="AM101" s="38" t="s">
        <v>293</v>
      </c>
      <c r="AN101" s="38" t="s">
        <v>293</v>
      </c>
      <c r="AO101" s="38" t="s">
        <v>296</v>
      </c>
      <c r="AP101" s="38" t="s">
        <v>356</v>
      </c>
      <c r="AQ101" s="38" t="s">
        <v>293</v>
      </c>
      <c r="AR101" s="38" t="s">
        <v>292</v>
      </c>
      <c r="AS101" s="38" t="s">
        <v>293</v>
      </c>
      <c r="AT101" s="38" t="s">
        <v>293</v>
      </c>
      <c r="AU101" s="38" t="s">
        <v>364</v>
      </c>
      <c r="AV101" s="38" t="str">
        <f t="shared" si="4"/>
        <v>car_stuck</v>
      </c>
      <c r="AW101" s="38" t="s">
        <v>378</v>
      </c>
    </row>
    <row r="102" spans="1:49" x14ac:dyDescent="0.3">
      <c r="A102" t="s">
        <v>45</v>
      </c>
      <c r="B102" t="s">
        <v>72</v>
      </c>
      <c r="C102" t="s">
        <v>15</v>
      </c>
      <c r="D102" t="s">
        <v>12</v>
      </c>
      <c r="E102" t="str">
        <f t="shared" si="3"/>
        <v>P_H7P-KYY-S_0M4</v>
      </c>
      <c r="F102" t="b">
        <v>1</v>
      </c>
      <c r="G102">
        <v>40.4</v>
      </c>
      <c r="H102">
        <v>0</v>
      </c>
      <c r="I102">
        <v>13046</v>
      </c>
      <c r="J102" s="49" t="s">
        <v>13</v>
      </c>
      <c r="L102" s="16" t="s">
        <v>272</v>
      </c>
      <c r="M102" s="16">
        <v>3</v>
      </c>
      <c r="N102" s="16" t="s">
        <v>277</v>
      </c>
      <c r="O102" s="16" t="s">
        <v>335</v>
      </c>
      <c r="P102" s="15" t="s">
        <v>282</v>
      </c>
      <c r="Q102" t="s">
        <v>371</v>
      </c>
      <c r="R102" t="s">
        <v>371</v>
      </c>
      <c r="S102" s="17" t="s">
        <v>371</v>
      </c>
      <c r="T102" s="16" t="s">
        <v>341</v>
      </c>
      <c r="U102" s="16" t="s">
        <v>340</v>
      </c>
      <c r="V102" s="15" t="s">
        <v>343</v>
      </c>
      <c r="W102" s="15" t="s">
        <v>344</v>
      </c>
      <c r="X102" s="17"/>
      <c r="Y102" t="s">
        <v>349</v>
      </c>
      <c r="Z102" t="s">
        <v>349</v>
      </c>
      <c r="AA102" t="s">
        <v>293</v>
      </c>
      <c r="AB102" t="s">
        <v>353</v>
      </c>
      <c r="AC102" t="s">
        <v>296</v>
      </c>
      <c r="AD102" t="s">
        <v>301</v>
      </c>
      <c r="AE102" t="s">
        <v>292</v>
      </c>
      <c r="AF102" t="s">
        <v>293</v>
      </c>
      <c r="AG102" t="s">
        <v>292</v>
      </c>
      <c r="AH102" t="s">
        <v>292</v>
      </c>
      <c r="AI102" t="s">
        <v>293</v>
      </c>
      <c r="AJ102" t="s">
        <v>302</v>
      </c>
      <c r="AK102" t="s">
        <v>302</v>
      </c>
      <c r="AL102" t="s">
        <v>359</v>
      </c>
      <c r="AM102" t="s">
        <v>293</v>
      </c>
      <c r="AN102" t="s">
        <v>293</v>
      </c>
      <c r="AO102" t="s">
        <v>297</v>
      </c>
      <c r="AP102" t="s">
        <v>298</v>
      </c>
      <c r="AQ102" t="s">
        <v>293</v>
      </c>
      <c r="AR102" t="s">
        <v>292</v>
      </c>
      <c r="AS102" t="s">
        <v>293</v>
      </c>
      <c r="AT102" t="s">
        <v>293</v>
      </c>
      <c r="AU102" t="s">
        <v>364</v>
      </c>
      <c r="AV102" t="str">
        <f t="shared" si="4"/>
        <v>no_fail</v>
      </c>
    </row>
    <row r="103" spans="1:49" x14ac:dyDescent="0.3">
      <c r="A103" t="s">
        <v>45</v>
      </c>
      <c r="B103" t="s">
        <v>72</v>
      </c>
      <c r="C103" t="s">
        <v>14</v>
      </c>
      <c r="D103" t="s">
        <v>12</v>
      </c>
      <c r="E103" t="str">
        <f t="shared" si="3"/>
        <v>P_H7P-KYY-S_1B0</v>
      </c>
      <c r="F103" t="b">
        <v>1</v>
      </c>
      <c r="G103">
        <v>98.3</v>
      </c>
      <c r="H103">
        <v>0</v>
      </c>
      <c r="I103">
        <v>11224</v>
      </c>
      <c r="J103" s="49" t="s">
        <v>13</v>
      </c>
      <c r="L103" s="16" t="s">
        <v>272</v>
      </c>
      <c r="M103" s="16">
        <v>2</v>
      </c>
      <c r="N103" s="16" t="s">
        <v>277</v>
      </c>
      <c r="O103" s="16" t="s">
        <v>335</v>
      </c>
      <c r="P103" s="15" t="s">
        <v>282</v>
      </c>
      <c r="Q103" t="s">
        <v>371</v>
      </c>
      <c r="R103" t="s">
        <v>371</v>
      </c>
      <c r="S103" s="17" t="s">
        <v>371</v>
      </c>
      <c r="T103" s="16" t="s">
        <v>341</v>
      </c>
      <c r="U103" s="16" t="s">
        <v>340</v>
      </c>
      <c r="V103" s="15" t="s">
        <v>340</v>
      </c>
      <c r="W103" s="15" t="s">
        <v>344</v>
      </c>
      <c r="X103" s="17"/>
      <c r="Y103" t="s">
        <v>349</v>
      </c>
      <c r="Z103" t="s">
        <v>349</v>
      </c>
      <c r="AA103" t="s">
        <v>293</v>
      </c>
      <c r="AB103" t="s">
        <v>354</v>
      </c>
      <c r="AC103" t="s">
        <v>354</v>
      </c>
      <c r="AD103" t="s">
        <v>301</v>
      </c>
      <c r="AE103" t="s">
        <v>292</v>
      </c>
      <c r="AF103" t="s">
        <v>292</v>
      </c>
      <c r="AG103" t="s">
        <v>292</v>
      </c>
      <c r="AH103" t="s">
        <v>293</v>
      </c>
      <c r="AI103" t="s">
        <v>293</v>
      </c>
      <c r="AJ103" t="s">
        <v>302</v>
      </c>
      <c r="AK103" t="s">
        <v>302</v>
      </c>
      <c r="AL103" t="s">
        <v>357</v>
      </c>
      <c r="AM103" t="s">
        <v>293</v>
      </c>
      <c r="AN103" t="s">
        <v>293</v>
      </c>
      <c r="AO103" t="s">
        <v>297</v>
      </c>
      <c r="AP103" t="s">
        <v>298</v>
      </c>
      <c r="AQ103" t="s">
        <v>293</v>
      </c>
      <c r="AR103" t="s">
        <v>292</v>
      </c>
      <c r="AS103" t="s">
        <v>293</v>
      </c>
      <c r="AT103" t="s">
        <v>293</v>
      </c>
      <c r="AU103" t="s">
        <v>364</v>
      </c>
      <c r="AV103" t="str">
        <f t="shared" si="4"/>
        <v>no_fail</v>
      </c>
    </row>
    <row r="104" spans="1:49" x14ac:dyDescent="0.3">
      <c r="A104" t="s">
        <v>45</v>
      </c>
      <c r="B104" t="s">
        <v>72</v>
      </c>
      <c r="C104" t="s">
        <v>11</v>
      </c>
      <c r="D104" t="s">
        <v>12</v>
      </c>
      <c r="E104" t="str">
        <f t="shared" si="3"/>
        <v>P_H7P-KYY-S_1Q4</v>
      </c>
      <c r="F104" t="b">
        <v>1</v>
      </c>
      <c r="G104">
        <v>100</v>
      </c>
      <c r="H104">
        <v>1</v>
      </c>
      <c r="I104">
        <v>10629</v>
      </c>
      <c r="J104" s="49" t="s">
        <v>18</v>
      </c>
      <c r="L104" s="16" t="s">
        <v>272</v>
      </c>
      <c r="M104" s="16">
        <v>2</v>
      </c>
      <c r="N104" s="16" t="s">
        <v>277</v>
      </c>
      <c r="O104" s="16" t="s">
        <v>335</v>
      </c>
      <c r="P104" s="15" t="s">
        <v>282</v>
      </c>
      <c r="Q104" t="s">
        <v>371</v>
      </c>
      <c r="R104" t="s">
        <v>371</v>
      </c>
      <c r="S104" s="17" t="s">
        <v>371</v>
      </c>
      <c r="T104" s="16" t="s">
        <v>341</v>
      </c>
      <c r="U104" s="16" t="s">
        <v>340</v>
      </c>
      <c r="V104" s="15" t="s">
        <v>340</v>
      </c>
      <c r="W104" s="15" t="s">
        <v>344</v>
      </c>
      <c r="X104" s="17"/>
      <c r="Y104" t="s">
        <v>349</v>
      </c>
      <c r="Z104" t="s">
        <v>349</v>
      </c>
      <c r="AA104" t="s">
        <v>293</v>
      </c>
      <c r="AB104" t="s">
        <v>354</v>
      </c>
      <c r="AC104" t="s">
        <v>354</v>
      </c>
      <c r="AD104" t="s">
        <v>301</v>
      </c>
      <c r="AE104" t="s">
        <v>292</v>
      </c>
      <c r="AF104" t="s">
        <v>293</v>
      </c>
      <c r="AG104" t="s">
        <v>292</v>
      </c>
      <c r="AH104" t="s">
        <v>293</v>
      </c>
      <c r="AI104" t="s">
        <v>293</v>
      </c>
      <c r="AJ104" t="s">
        <v>302</v>
      </c>
      <c r="AK104" t="s">
        <v>302</v>
      </c>
      <c r="AL104" t="s">
        <v>357</v>
      </c>
      <c r="AM104" t="s">
        <v>293</v>
      </c>
      <c r="AN104" t="s">
        <v>293</v>
      </c>
      <c r="AO104" t="s">
        <v>297</v>
      </c>
      <c r="AP104" t="s">
        <v>298</v>
      </c>
      <c r="AQ104" t="s">
        <v>293</v>
      </c>
      <c r="AR104" t="s">
        <v>292</v>
      </c>
      <c r="AS104" t="s">
        <v>293</v>
      </c>
      <c r="AT104" t="s">
        <v>293</v>
      </c>
      <c r="AU104" t="s">
        <v>364</v>
      </c>
      <c r="AV104" t="str">
        <f t="shared" si="4"/>
        <v>break</v>
      </c>
    </row>
    <row r="105" spans="1:49" x14ac:dyDescent="0.3">
      <c r="A105" t="s">
        <v>45</v>
      </c>
      <c r="B105" t="s">
        <v>72</v>
      </c>
      <c r="C105" t="s">
        <v>21</v>
      </c>
      <c r="D105" t="s">
        <v>12</v>
      </c>
      <c r="E105" t="str">
        <f t="shared" si="3"/>
        <v>P_H7P-KYY-S_3X6</v>
      </c>
      <c r="F105" t="b">
        <v>1</v>
      </c>
      <c r="G105">
        <v>100</v>
      </c>
      <c r="H105">
        <v>1</v>
      </c>
      <c r="I105">
        <v>10997</v>
      </c>
      <c r="J105" s="49" t="s">
        <v>18</v>
      </c>
      <c r="L105" s="16" t="s">
        <v>272</v>
      </c>
      <c r="M105" s="16">
        <v>2</v>
      </c>
      <c r="N105" s="16" t="s">
        <v>277</v>
      </c>
      <c r="O105" s="16" t="s">
        <v>335</v>
      </c>
      <c r="P105" s="15" t="s">
        <v>282</v>
      </c>
      <c r="Q105" t="s">
        <v>371</v>
      </c>
      <c r="R105" t="s">
        <v>371</v>
      </c>
      <c r="S105" s="17" t="s">
        <v>371</v>
      </c>
      <c r="T105" s="16" t="s">
        <v>341</v>
      </c>
      <c r="U105" s="16" t="s">
        <v>340</v>
      </c>
      <c r="V105" s="15" t="s">
        <v>340</v>
      </c>
      <c r="W105" s="15" t="s">
        <v>344</v>
      </c>
      <c r="X105" s="17"/>
      <c r="Y105" t="s">
        <v>349</v>
      </c>
      <c r="Z105" t="s">
        <v>349</v>
      </c>
      <c r="AA105" t="s">
        <v>293</v>
      </c>
      <c r="AB105" t="s">
        <v>354</v>
      </c>
      <c r="AC105" t="s">
        <v>354</v>
      </c>
      <c r="AD105" t="s">
        <v>299</v>
      </c>
      <c r="AE105" t="s">
        <v>293</v>
      </c>
      <c r="AF105" t="s">
        <v>292</v>
      </c>
      <c r="AG105" t="s">
        <v>292</v>
      </c>
      <c r="AH105" t="s">
        <v>293</v>
      </c>
      <c r="AI105" t="s">
        <v>293</v>
      </c>
      <c r="AJ105" t="s">
        <v>302</v>
      </c>
      <c r="AK105" t="s">
        <v>302</v>
      </c>
      <c r="AL105" t="s">
        <v>357</v>
      </c>
      <c r="AM105" t="s">
        <v>293</v>
      </c>
      <c r="AN105" t="s">
        <v>293</v>
      </c>
      <c r="AO105" t="s">
        <v>297</v>
      </c>
      <c r="AP105" t="s">
        <v>356</v>
      </c>
      <c r="AQ105" t="s">
        <v>293</v>
      </c>
      <c r="AR105" t="s">
        <v>292</v>
      </c>
      <c r="AS105" t="s">
        <v>293</v>
      </c>
      <c r="AT105" t="s">
        <v>293</v>
      </c>
      <c r="AU105" t="s">
        <v>364</v>
      </c>
      <c r="AV105" t="str">
        <f t="shared" si="4"/>
        <v>break</v>
      </c>
    </row>
    <row r="106" spans="1:49" x14ac:dyDescent="0.3">
      <c r="A106" t="s">
        <v>45</v>
      </c>
      <c r="B106" t="s">
        <v>72</v>
      </c>
      <c r="C106" t="s">
        <v>19</v>
      </c>
      <c r="D106" t="s">
        <v>12</v>
      </c>
      <c r="E106" t="str">
        <f t="shared" si="3"/>
        <v>P_H7P-KYY-S_4U3</v>
      </c>
      <c r="F106" t="b">
        <v>1</v>
      </c>
      <c r="G106">
        <v>75.8</v>
      </c>
      <c r="H106">
        <v>0</v>
      </c>
      <c r="I106">
        <v>10738</v>
      </c>
      <c r="J106" s="49" t="s">
        <v>13</v>
      </c>
      <c r="L106" s="16" t="s">
        <v>273</v>
      </c>
      <c r="M106" s="16">
        <v>2</v>
      </c>
      <c r="N106" s="16" t="s">
        <v>333</v>
      </c>
      <c r="O106" s="16" t="s">
        <v>278</v>
      </c>
      <c r="P106" s="15" t="s">
        <v>273</v>
      </c>
      <c r="Q106" t="s">
        <v>371</v>
      </c>
      <c r="R106" t="s">
        <v>371</v>
      </c>
      <c r="S106" s="17" t="s">
        <v>371</v>
      </c>
      <c r="T106" s="16" t="s">
        <v>341</v>
      </c>
      <c r="U106" s="16" t="s">
        <v>340</v>
      </c>
      <c r="V106" s="15" t="s">
        <v>343</v>
      </c>
      <c r="W106" s="15" t="s">
        <v>344</v>
      </c>
      <c r="X106" s="17"/>
      <c r="Y106" t="s">
        <v>349</v>
      </c>
      <c r="Z106" t="s">
        <v>349</v>
      </c>
      <c r="AA106" t="s">
        <v>293</v>
      </c>
      <c r="AB106" t="s">
        <v>353</v>
      </c>
      <c r="AC106" t="s">
        <v>296</v>
      </c>
      <c r="AD106" t="s">
        <v>301</v>
      </c>
      <c r="AE106" t="s">
        <v>292</v>
      </c>
      <c r="AF106" t="s">
        <v>293</v>
      </c>
      <c r="AG106" t="s">
        <v>292</v>
      </c>
      <c r="AH106" t="s">
        <v>292</v>
      </c>
      <c r="AI106" t="s">
        <v>293</v>
      </c>
      <c r="AJ106" t="s">
        <v>302</v>
      </c>
      <c r="AK106" t="s">
        <v>357</v>
      </c>
      <c r="AL106" t="s">
        <v>359</v>
      </c>
      <c r="AM106" t="s">
        <v>293</v>
      </c>
      <c r="AN106" t="s">
        <v>293</v>
      </c>
      <c r="AO106" t="s">
        <v>297</v>
      </c>
      <c r="AP106" t="s">
        <v>298</v>
      </c>
      <c r="AQ106" t="s">
        <v>293</v>
      </c>
      <c r="AR106" t="s">
        <v>292</v>
      </c>
      <c r="AS106" t="s">
        <v>293</v>
      </c>
      <c r="AT106" t="s">
        <v>293</v>
      </c>
      <c r="AU106" t="s">
        <v>364</v>
      </c>
      <c r="AV106" t="str">
        <f t="shared" si="4"/>
        <v>no_fail</v>
      </c>
    </row>
    <row r="107" spans="1:49" x14ac:dyDescent="0.3">
      <c r="A107" t="s">
        <v>45</v>
      </c>
      <c r="B107" t="s">
        <v>72</v>
      </c>
      <c r="C107" t="s">
        <v>17</v>
      </c>
      <c r="D107" t="s">
        <v>12</v>
      </c>
      <c r="E107" t="str">
        <f t="shared" si="3"/>
        <v>P_H7P-KYY-S_6B5</v>
      </c>
      <c r="F107" t="b">
        <v>1</v>
      </c>
      <c r="G107">
        <v>99.9</v>
      </c>
      <c r="H107">
        <v>0</v>
      </c>
      <c r="I107">
        <v>9469</v>
      </c>
      <c r="J107" s="49" t="s">
        <v>13</v>
      </c>
      <c r="L107" s="16" t="s">
        <v>273</v>
      </c>
      <c r="M107" s="16">
        <v>2</v>
      </c>
      <c r="N107" s="16" t="s">
        <v>333</v>
      </c>
      <c r="O107" s="16" t="s">
        <v>278</v>
      </c>
      <c r="P107" s="15" t="s">
        <v>273</v>
      </c>
      <c r="Q107" t="s">
        <v>371</v>
      </c>
      <c r="R107" t="s">
        <v>371</v>
      </c>
      <c r="S107" s="17" t="s">
        <v>371</v>
      </c>
      <c r="T107" s="16" t="s">
        <v>341</v>
      </c>
      <c r="U107" s="16" t="s">
        <v>340</v>
      </c>
      <c r="V107" s="15" t="s">
        <v>343</v>
      </c>
      <c r="W107" s="15" t="s">
        <v>344</v>
      </c>
      <c r="X107" s="17"/>
      <c r="Y107" t="s">
        <v>349</v>
      </c>
      <c r="Z107" t="s">
        <v>349</v>
      </c>
      <c r="AA107" t="s">
        <v>293</v>
      </c>
      <c r="AB107" t="s">
        <v>353</v>
      </c>
      <c r="AC107" t="s">
        <v>296</v>
      </c>
      <c r="AD107" t="s">
        <v>301</v>
      </c>
      <c r="AE107" t="s">
        <v>292</v>
      </c>
      <c r="AF107" t="s">
        <v>293</v>
      </c>
      <c r="AG107" t="s">
        <v>292</v>
      </c>
      <c r="AH107" t="s">
        <v>292</v>
      </c>
      <c r="AI107" t="s">
        <v>293</v>
      </c>
      <c r="AJ107" t="s">
        <v>302</v>
      </c>
      <c r="AK107" t="s">
        <v>357</v>
      </c>
      <c r="AL107" t="s">
        <v>359</v>
      </c>
      <c r="AM107" t="s">
        <v>293</v>
      </c>
      <c r="AN107" t="s">
        <v>293</v>
      </c>
      <c r="AO107" t="s">
        <v>297</v>
      </c>
      <c r="AP107" t="s">
        <v>298</v>
      </c>
      <c r="AQ107" t="s">
        <v>293</v>
      </c>
      <c r="AR107" t="s">
        <v>292</v>
      </c>
      <c r="AS107" t="s">
        <v>293</v>
      </c>
      <c r="AT107" t="s">
        <v>293</v>
      </c>
      <c r="AU107" t="s">
        <v>364</v>
      </c>
      <c r="AV107" t="str">
        <f t="shared" si="4"/>
        <v>no_fail</v>
      </c>
    </row>
    <row r="108" spans="1:49" x14ac:dyDescent="0.3">
      <c r="A108" t="s">
        <v>45</v>
      </c>
      <c r="B108" t="s">
        <v>72</v>
      </c>
      <c r="C108" t="s">
        <v>16</v>
      </c>
      <c r="D108" t="s">
        <v>12</v>
      </c>
      <c r="E108" t="str">
        <f t="shared" si="3"/>
        <v>P_H7P-KYY-S_6U7</v>
      </c>
      <c r="F108" t="b">
        <v>1</v>
      </c>
      <c r="G108">
        <v>100</v>
      </c>
      <c r="H108">
        <v>1</v>
      </c>
      <c r="I108">
        <v>11463</v>
      </c>
      <c r="J108" s="49" t="s">
        <v>18</v>
      </c>
      <c r="L108" s="16" t="s">
        <v>272</v>
      </c>
      <c r="M108" s="16">
        <v>3</v>
      </c>
      <c r="N108" s="16" t="s">
        <v>277</v>
      </c>
      <c r="O108" s="16" t="s">
        <v>335</v>
      </c>
      <c r="P108" s="15" t="s">
        <v>282</v>
      </c>
      <c r="Q108" t="s">
        <v>371</v>
      </c>
      <c r="R108" t="s">
        <v>371</v>
      </c>
      <c r="S108" s="17" t="s">
        <v>371</v>
      </c>
      <c r="T108" s="16" t="s">
        <v>340</v>
      </c>
      <c r="U108" s="16" t="s">
        <v>342</v>
      </c>
      <c r="V108" s="15" t="s">
        <v>343</v>
      </c>
      <c r="W108" s="15" t="s">
        <v>291</v>
      </c>
      <c r="X108" s="17"/>
      <c r="Y108" t="s">
        <v>349</v>
      </c>
      <c r="Z108" t="s">
        <v>349</v>
      </c>
      <c r="AA108" t="s">
        <v>293</v>
      </c>
      <c r="AB108" t="s">
        <v>353</v>
      </c>
      <c r="AC108" t="s">
        <v>296</v>
      </c>
      <c r="AD108" t="s">
        <v>300</v>
      </c>
      <c r="AE108" t="s">
        <v>292</v>
      </c>
      <c r="AF108" t="s">
        <v>292</v>
      </c>
      <c r="AG108" t="s">
        <v>292</v>
      </c>
      <c r="AH108" t="s">
        <v>292</v>
      </c>
      <c r="AI108" t="s">
        <v>293</v>
      </c>
      <c r="AJ108" t="s">
        <v>302</v>
      </c>
      <c r="AK108" t="s">
        <v>302</v>
      </c>
      <c r="AL108" t="s">
        <v>359</v>
      </c>
      <c r="AM108" t="s">
        <v>293</v>
      </c>
      <c r="AN108" t="s">
        <v>293</v>
      </c>
      <c r="AO108" t="s">
        <v>296</v>
      </c>
      <c r="AP108" t="s">
        <v>298</v>
      </c>
      <c r="AQ108" t="s">
        <v>293</v>
      </c>
      <c r="AR108" t="s">
        <v>292</v>
      </c>
      <c r="AS108" t="s">
        <v>293</v>
      </c>
      <c r="AT108" t="s">
        <v>293</v>
      </c>
      <c r="AU108" t="s">
        <v>364</v>
      </c>
      <c r="AV108" t="str">
        <f t="shared" si="4"/>
        <v>break</v>
      </c>
    </row>
    <row r="109" spans="1:49" s="38" customFormat="1" x14ac:dyDescent="0.3">
      <c r="A109" t="s">
        <v>45</v>
      </c>
      <c r="B109" t="s">
        <v>72</v>
      </c>
      <c r="C109" t="s">
        <v>20</v>
      </c>
      <c r="D109" t="s">
        <v>12</v>
      </c>
      <c r="E109" t="str">
        <f t="shared" si="3"/>
        <v>P_H7P-KYY-S_7W0</v>
      </c>
      <c r="F109" t="b">
        <v>1</v>
      </c>
      <c r="G109">
        <v>47</v>
      </c>
      <c r="H109">
        <v>0</v>
      </c>
      <c r="I109">
        <v>13771</v>
      </c>
      <c r="J109" s="49" t="s">
        <v>13</v>
      </c>
      <c r="K109" s="49"/>
      <c r="L109" s="16" t="s">
        <v>272</v>
      </c>
      <c r="M109" s="16">
        <v>3</v>
      </c>
      <c r="N109" s="16" t="s">
        <v>277</v>
      </c>
      <c r="O109" s="16" t="s">
        <v>335</v>
      </c>
      <c r="P109" s="15" t="s">
        <v>282</v>
      </c>
      <c r="Q109" t="s">
        <v>371</v>
      </c>
      <c r="R109" t="s">
        <v>371</v>
      </c>
      <c r="S109" s="17" t="s">
        <v>371</v>
      </c>
      <c r="T109" s="16" t="s">
        <v>341</v>
      </c>
      <c r="U109" s="16" t="s">
        <v>340</v>
      </c>
      <c r="V109" s="15" t="s">
        <v>343</v>
      </c>
      <c r="W109" s="15" t="s">
        <v>345</v>
      </c>
      <c r="X109" s="17"/>
      <c r="Y109" t="s">
        <v>349</v>
      </c>
      <c r="Z109" t="s">
        <v>349</v>
      </c>
      <c r="AA109" t="s">
        <v>293</v>
      </c>
      <c r="AB109" t="s">
        <v>353</v>
      </c>
      <c r="AC109" t="s">
        <v>296</v>
      </c>
      <c r="AD109" t="s">
        <v>301</v>
      </c>
      <c r="AE109" t="s">
        <v>292</v>
      </c>
      <c r="AF109" t="s">
        <v>293</v>
      </c>
      <c r="AG109" t="s">
        <v>292</v>
      </c>
      <c r="AH109" t="s">
        <v>292</v>
      </c>
      <c r="AI109" t="s">
        <v>293</v>
      </c>
      <c r="AJ109" t="s">
        <v>302</v>
      </c>
      <c r="AK109" t="s">
        <v>302</v>
      </c>
      <c r="AL109" t="s">
        <v>359</v>
      </c>
      <c r="AM109" t="s">
        <v>293</v>
      </c>
      <c r="AN109" t="s">
        <v>293</v>
      </c>
      <c r="AO109" t="s">
        <v>297</v>
      </c>
      <c r="AP109" t="s">
        <v>298</v>
      </c>
      <c r="AQ109" t="s">
        <v>293</v>
      </c>
      <c r="AR109" t="s">
        <v>292</v>
      </c>
      <c r="AS109" t="s">
        <v>362</v>
      </c>
      <c r="AT109" t="s">
        <v>293</v>
      </c>
      <c r="AU109" t="s">
        <v>364</v>
      </c>
      <c r="AV109" t="str">
        <f t="shared" si="4"/>
        <v>no_fail</v>
      </c>
      <c r="AW109"/>
    </row>
    <row r="110" spans="1:49" s="38" customFormat="1" x14ac:dyDescent="0.3">
      <c r="A110" t="s">
        <v>45</v>
      </c>
      <c r="B110" t="s">
        <v>72</v>
      </c>
      <c r="C110" t="s">
        <v>22</v>
      </c>
      <c r="D110" t="s">
        <v>12</v>
      </c>
      <c r="E110" t="str">
        <f t="shared" si="3"/>
        <v>P_H7P-KYY-S_9B4</v>
      </c>
      <c r="F110" t="b">
        <v>1</v>
      </c>
      <c r="G110">
        <v>94.9</v>
      </c>
      <c r="H110">
        <v>0</v>
      </c>
      <c r="I110">
        <v>11422</v>
      </c>
      <c r="J110" s="49" t="s">
        <v>13</v>
      </c>
      <c r="K110" s="49"/>
      <c r="L110" s="16" t="s">
        <v>272</v>
      </c>
      <c r="M110" s="16">
        <v>2</v>
      </c>
      <c r="N110" s="16" t="s">
        <v>277</v>
      </c>
      <c r="O110" s="16" t="s">
        <v>335</v>
      </c>
      <c r="P110" s="15" t="s">
        <v>282</v>
      </c>
      <c r="Q110" t="s">
        <v>371</v>
      </c>
      <c r="R110" t="s">
        <v>371</v>
      </c>
      <c r="S110" s="17" t="s">
        <v>371</v>
      </c>
      <c r="T110" s="16" t="s">
        <v>341</v>
      </c>
      <c r="U110" s="16" t="s">
        <v>340</v>
      </c>
      <c r="V110" s="15" t="s">
        <v>340</v>
      </c>
      <c r="W110" s="15" t="s">
        <v>345</v>
      </c>
      <c r="X110" s="17"/>
      <c r="Y110" t="s">
        <v>349</v>
      </c>
      <c r="Z110" t="s">
        <v>349</v>
      </c>
      <c r="AA110" t="s">
        <v>293</v>
      </c>
      <c r="AB110" t="s">
        <v>354</v>
      </c>
      <c r="AC110" t="s">
        <v>354</v>
      </c>
      <c r="AD110" t="s">
        <v>300</v>
      </c>
      <c r="AE110" t="s">
        <v>293</v>
      </c>
      <c r="AF110" t="s">
        <v>292</v>
      </c>
      <c r="AG110" t="s">
        <v>292</v>
      </c>
      <c r="AH110" t="s">
        <v>293</v>
      </c>
      <c r="AI110" t="s">
        <v>293</v>
      </c>
      <c r="AJ110" t="s">
        <v>302</v>
      </c>
      <c r="AK110" t="s">
        <v>302</v>
      </c>
      <c r="AL110" t="s">
        <v>359</v>
      </c>
      <c r="AM110" t="s">
        <v>293</v>
      </c>
      <c r="AN110" t="s">
        <v>293</v>
      </c>
      <c r="AO110" t="s">
        <v>297</v>
      </c>
      <c r="AP110" t="s">
        <v>356</v>
      </c>
      <c r="AQ110" t="s">
        <v>293</v>
      </c>
      <c r="AR110" t="s">
        <v>292</v>
      </c>
      <c r="AS110" t="s">
        <v>293</v>
      </c>
      <c r="AT110" t="s">
        <v>293</v>
      </c>
      <c r="AU110" t="s">
        <v>364</v>
      </c>
      <c r="AV110" t="str">
        <f t="shared" si="4"/>
        <v>no_fail</v>
      </c>
      <c r="AW110"/>
    </row>
    <row r="111" spans="1:49" x14ac:dyDescent="0.3">
      <c r="A111" t="s">
        <v>45</v>
      </c>
      <c r="B111" t="s">
        <v>72</v>
      </c>
      <c r="C111" t="s">
        <v>24</v>
      </c>
      <c r="D111" t="s">
        <v>29</v>
      </c>
      <c r="E111" t="str">
        <f t="shared" si="3"/>
        <v>P_H7P-ZSB-S_1U0</v>
      </c>
      <c r="F111" t="b">
        <v>1</v>
      </c>
      <c r="G111">
        <v>100</v>
      </c>
      <c r="H111">
        <v>1</v>
      </c>
      <c r="I111">
        <v>16213</v>
      </c>
      <c r="J111" s="49" t="s">
        <v>18</v>
      </c>
      <c r="L111" s="16" t="s">
        <v>272</v>
      </c>
      <c r="M111" s="16">
        <v>2</v>
      </c>
      <c r="N111" s="16" t="s">
        <v>333</v>
      </c>
      <c r="O111" s="16" t="s">
        <v>278</v>
      </c>
      <c r="P111" s="15" t="s">
        <v>273</v>
      </c>
      <c r="Q111" t="s">
        <v>371</v>
      </c>
      <c r="R111" t="s">
        <v>371</v>
      </c>
      <c r="S111" s="17" t="s">
        <v>371</v>
      </c>
      <c r="T111" s="16" t="s">
        <v>341</v>
      </c>
      <c r="U111" s="16" t="s">
        <v>340</v>
      </c>
      <c r="V111" s="15" t="s">
        <v>343</v>
      </c>
      <c r="W111" s="15" t="s">
        <v>344</v>
      </c>
      <c r="X111" s="17"/>
      <c r="Y111" t="s">
        <v>349</v>
      </c>
      <c r="Z111" t="s">
        <v>349</v>
      </c>
      <c r="AA111" t="s">
        <v>293</v>
      </c>
      <c r="AB111" t="s">
        <v>353</v>
      </c>
      <c r="AC111" t="s">
        <v>296</v>
      </c>
      <c r="AD111" t="s">
        <v>301</v>
      </c>
      <c r="AE111" t="s">
        <v>293</v>
      </c>
      <c r="AF111" t="s">
        <v>292</v>
      </c>
      <c r="AG111" t="s">
        <v>292</v>
      </c>
      <c r="AH111" t="s">
        <v>292</v>
      </c>
      <c r="AI111" t="s">
        <v>293</v>
      </c>
      <c r="AJ111" t="s">
        <v>302</v>
      </c>
      <c r="AK111" t="s">
        <v>357</v>
      </c>
      <c r="AL111" t="s">
        <v>359</v>
      </c>
      <c r="AM111" t="s">
        <v>293</v>
      </c>
      <c r="AN111" t="s">
        <v>293</v>
      </c>
      <c r="AO111" t="s">
        <v>297</v>
      </c>
      <c r="AP111" t="s">
        <v>356</v>
      </c>
      <c r="AQ111" t="s">
        <v>293</v>
      </c>
      <c r="AR111" t="s">
        <v>292</v>
      </c>
      <c r="AS111" t="s">
        <v>293</v>
      </c>
      <c r="AT111" t="s">
        <v>293</v>
      </c>
      <c r="AU111" t="s">
        <v>364</v>
      </c>
      <c r="AV111" t="str">
        <f t="shared" si="4"/>
        <v>break</v>
      </c>
    </row>
    <row r="112" spans="1:49" x14ac:dyDescent="0.3">
      <c r="A112" t="s">
        <v>45</v>
      </c>
      <c r="B112" t="s">
        <v>72</v>
      </c>
      <c r="C112" t="s">
        <v>37</v>
      </c>
      <c r="D112" t="s">
        <v>29</v>
      </c>
      <c r="E112" t="str">
        <f t="shared" si="3"/>
        <v>P_H7P-ZSB-S_3A8</v>
      </c>
      <c r="F112" t="b">
        <v>1</v>
      </c>
      <c r="G112">
        <v>96.6</v>
      </c>
      <c r="H112">
        <v>0</v>
      </c>
      <c r="I112">
        <v>12440</v>
      </c>
      <c r="J112" s="49" t="s">
        <v>13</v>
      </c>
      <c r="L112" s="16" t="s">
        <v>272</v>
      </c>
      <c r="M112" s="16">
        <v>3</v>
      </c>
      <c r="N112" s="16" t="s">
        <v>277</v>
      </c>
      <c r="O112" s="16" t="s">
        <v>335</v>
      </c>
      <c r="P112" s="15" t="s">
        <v>282</v>
      </c>
      <c r="Q112" t="s">
        <v>371</v>
      </c>
      <c r="R112" t="s">
        <v>371</v>
      </c>
      <c r="S112" s="17" t="s">
        <v>371</v>
      </c>
      <c r="T112" s="16" t="s">
        <v>341</v>
      </c>
      <c r="U112" s="16" t="s">
        <v>340</v>
      </c>
      <c r="V112" s="15" t="s">
        <v>343</v>
      </c>
      <c r="W112" s="15" t="s">
        <v>345</v>
      </c>
      <c r="X112" s="17"/>
      <c r="Y112" t="s">
        <v>349</v>
      </c>
      <c r="Z112" t="s">
        <v>349</v>
      </c>
      <c r="AA112" t="s">
        <v>293</v>
      </c>
      <c r="AB112" t="s">
        <v>353</v>
      </c>
      <c r="AC112" t="s">
        <v>296</v>
      </c>
      <c r="AD112" t="s">
        <v>300</v>
      </c>
      <c r="AE112" t="s">
        <v>292</v>
      </c>
      <c r="AF112" t="s">
        <v>292</v>
      </c>
      <c r="AG112" t="s">
        <v>292</v>
      </c>
      <c r="AH112" t="s">
        <v>292</v>
      </c>
      <c r="AI112" t="s">
        <v>293</v>
      </c>
      <c r="AJ112" t="s">
        <v>302</v>
      </c>
      <c r="AK112" t="s">
        <v>302</v>
      </c>
      <c r="AL112" t="s">
        <v>359</v>
      </c>
      <c r="AM112" t="s">
        <v>293</v>
      </c>
      <c r="AN112" t="s">
        <v>293</v>
      </c>
      <c r="AO112" t="s">
        <v>297</v>
      </c>
      <c r="AP112" t="s">
        <v>298</v>
      </c>
      <c r="AQ112" t="s">
        <v>293</v>
      </c>
      <c r="AR112" t="s">
        <v>292</v>
      </c>
      <c r="AS112" t="s">
        <v>293</v>
      </c>
      <c r="AT112" t="s">
        <v>293</v>
      </c>
      <c r="AU112" t="s">
        <v>364</v>
      </c>
      <c r="AV112" t="str">
        <f t="shared" si="4"/>
        <v>no_fail</v>
      </c>
    </row>
    <row r="113" spans="1:49" x14ac:dyDescent="0.3">
      <c r="A113" t="s">
        <v>45</v>
      </c>
      <c r="B113" t="s">
        <v>72</v>
      </c>
      <c r="C113" t="s">
        <v>32</v>
      </c>
      <c r="D113" t="s">
        <v>29</v>
      </c>
      <c r="E113" t="str">
        <f t="shared" si="3"/>
        <v>P_H7P-ZSB-S_3B9</v>
      </c>
      <c r="F113" t="b">
        <v>1</v>
      </c>
      <c r="G113">
        <v>100</v>
      </c>
      <c r="H113">
        <v>1</v>
      </c>
      <c r="I113">
        <v>21750</v>
      </c>
      <c r="J113" s="49" t="s">
        <v>18</v>
      </c>
      <c r="L113" s="16" t="s">
        <v>272</v>
      </c>
      <c r="M113" s="16">
        <v>3</v>
      </c>
      <c r="N113" s="16" t="s">
        <v>277</v>
      </c>
      <c r="O113" s="16" t="s">
        <v>335</v>
      </c>
      <c r="P113" s="15" t="s">
        <v>281</v>
      </c>
      <c r="Q113" t="s">
        <v>371</v>
      </c>
      <c r="R113" t="s">
        <v>371</v>
      </c>
      <c r="S113" s="17" t="s">
        <v>371</v>
      </c>
      <c r="T113" s="16" t="s">
        <v>341</v>
      </c>
      <c r="U113" s="16" t="s">
        <v>340</v>
      </c>
      <c r="V113" s="15" t="s">
        <v>343</v>
      </c>
      <c r="W113" s="15" t="s">
        <v>344</v>
      </c>
      <c r="X113" s="17" t="s">
        <v>291</v>
      </c>
      <c r="Y113" t="s">
        <v>349</v>
      </c>
      <c r="Z113" t="s">
        <v>349</v>
      </c>
      <c r="AA113" t="s">
        <v>293</v>
      </c>
      <c r="AB113" t="s">
        <v>353</v>
      </c>
      <c r="AC113" t="s">
        <v>296</v>
      </c>
      <c r="AD113" t="s">
        <v>300</v>
      </c>
      <c r="AE113" t="s">
        <v>293</v>
      </c>
      <c r="AF113" t="s">
        <v>292</v>
      </c>
      <c r="AG113" t="s">
        <v>292</v>
      </c>
      <c r="AH113" t="s">
        <v>292</v>
      </c>
      <c r="AI113" t="s">
        <v>293</v>
      </c>
      <c r="AJ113" t="s">
        <v>302</v>
      </c>
      <c r="AK113" t="s">
        <v>302</v>
      </c>
      <c r="AL113" t="s">
        <v>359</v>
      </c>
      <c r="AM113" t="s">
        <v>293</v>
      </c>
      <c r="AN113" t="s">
        <v>293</v>
      </c>
      <c r="AO113" t="s">
        <v>297</v>
      </c>
      <c r="AP113" t="s">
        <v>356</v>
      </c>
      <c r="AQ113" t="s">
        <v>293</v>
      </c>
      <c r="AR113" t="s">
        <v>292</v>
      </c>
      <c r="AS113" t="s">
        <v>363</v>
      </c>
      <c r="AT113" t="s">
        <v>293</v>
      </c>
      <c r="AU113" t="s">
        <v>364</v>
      </c>
      <c r="AV113" t="str">
        <f t="shared" si="4"/>
        <v>break</v>
      </c>
    </row>
    <row r="114" spans="1:49" x14ac:dyDescent="0.3">
      <c r="A114" t="s">
        <v>45</v>
      </c>
      <c r="B114" t="s">
        <v>72</v>
      </c>
      <c r="C114" t="s">
        <v>30</v>
      </c>
      <c r="D114" t="s">
        <v>29</v>
      </c>
      <c r="E114" t="str">
        <f t="shared" si="3"/>
        <v>P_H7P-ZSB-S_3X7</v>
      </c>
      <c r="F114" t="b">
        <v>1</v>
      </c>
      <c r="G114">
        <v>100</v>
      </c>
      <c r="H114">
        <v>1</v>
      </c>
      <c r="I114">
        <v>21629</v>
      </c>
      <c r="J114" s="49" t="s">
        <v>18</v>
      </c>
      <c r="L114" s="16" t="s">
        <v>272</v>
      </c>
      <c r="M114" s="16">
        <v>3</v>
      </c>
      <c r="N114" s="16" t="s">
        <v>277</v>
      </c>
      <c r="O114" s="16" t="s">
        <v>335</v>
      </c>
      <c r="P114" s="15" t="s">
        <v>281</v>
      </c>
      <c r="Q114" t="s">
        <v>371</v>
      </c>
      <c r="R114" t="s">
        <v>371</v>
      </c>
      <c r="S114" s="17" t="s">
        <v>371</v>
      </c>
      <c r="T114" s="16" t="s">
        <v>341</v>
      </c>
      <c r="U114" s="16" t="s">
        <v>340</v>
      </c>
      <c r="V114" s="15" t="s">
        <v>343</v>
      </c>
      <c r="W114" s="15" t="s">
        <v>344</v>
      </c>
      <c r="X114" s="17" t="s">
        <v>291</v>
      </c>
      <c r="Y114" t="s">
        <v>349</v>
      </c>
      <c r="Z114" t="s">
        <v>349</v>
      </c>
      <c r="AA114" t="s">
        <v>293</v>
      </c>
      <c r="AB114" t="s">
        <v>353</v>
      </c>
      <c r="AC114" t="s">
        <v>296</v>
      </c>
      <c r="AD114" t="s">
        <v>300</v>
      </c>
      <c r="AE114" t="s">
        <v>293</v>
      </c>
      <c r="AF114" t="s">
        <v>292</v>
      </c>
      <c r="AG114" t="s">
        <v>292</v>
      </c>
      <c r="AH114" t="s">
        <v>292</v>
      </c>
      <c r="AI114" t="s">
        <v>293</v>
      </c>
      <c r="AJ114" t="s">
        <v>302</v>
      </c>
      <c r="AK114" t="s">
        <v>302</v>
      </c>
      <c r="AL114" t="s">
        <v>359</v>
      </c>
      <c r="AM114" t="s">
        <v>293</v>
      </c>
      <c r="AN114" t="s">
        <v>293</v>
      </c>
      <c r="AO114" t="s">
        <v>297</v>
      </c>
      <c r="AP114" t="s">
        <v>356</v>
      </c>
      <c r="AQ114" t="s">
        <v>293</v>
      </c>
      <c r="AR114" t="s">
        <v>292</v>
      </c>
      <c r="AS114" t="s">
        <v>363</v>
      </c>
      <c r="AT114" t="s">
        <v>293</v>
      </c>
      <c r="AU114" t="s">
        <v>364</v>
      </c>
      <c r="AV114" t="str">
        <f t="shared" si="4"/>
        <v>break</v>
      </c>
    </row>
    <row r="115" spans="1:49" x14ac:dyDescent="0.3">
      <c r="A115" t="s">
        <v>45</v>
      </c>
      <c r="B115" t="s">
        <v>72</v>
      </c>
      <c r="C115" t="s">
        <v>34</v>
      </c>
      <c r="D115" t="s">
        <v>29</v>
      </c>
      <c r="E115" t="str">
        <f t="shared" si="3"/>
        <v>P_H7P-ZSB-S_8A5</v>
      </c>
      <c r="F115" t="b">
        <v>1</v>
      </c>
      <c r="G115">
        <v>100</v>
      </c>
      <c r="H115">
        <v>1</v>
      </c>
      <c r="I115">
        <v>6657</v>
      </c>
      <c r="J115" s="49" t="s">
        <v>18</v>
      </c>
      <c r="L115" s="16" t="s">
        <v>272</v>
      </c>
      <c r="M115" s="16">
        <v>2</v>
      </c>
      <c r="N115" s="16" t="s">
        <v>277</v>
      </c>
      <c r="O115" s="16" t="s">
        <v>335</v>
      </c>
      <c r="P115" s="15" t="s">
        <v>282</v>
      </c>
      <c r="Q115" t="s">
        <v>371</v>
      </c>
      <c r="R115" t="s">
        <v>371</v>
      </c>
      <c r="S115" s="17" t="s">
        <v>371</v>
      </c>
      <c r="T115" s="16" t="s">
        <v>341</v>
      </c>
      <c r="U115" s="16" t="s">
        <v>340</v>
      </c>
      <c r="V115" s="15" t="s">
        <v>340</v>
      </c>
      <c r="W115" s="15" t="s">
        <v>345</v>
      </c>
      <c r="X115" s="17" t="s">
        <v>346</v>
      </c>
      <c r="Y115" t="s">
        <v>349</v>
      </c>
      <c r="Z115" t="s">
        <v>349</v>
      </c>
      <c r="AA115" t="s">
        <v>293</v>
      </c>
      <c r="AB115" t="s">
        <v>354</v>
      </c>
      <c r="AC115" t="s">
        <v>354</v>
      </c>
      <c r="AD115" t="s">
        <v>300</v>
      </c>
      <c r="AE115" t="s">
        <v>292</v>
      </c>
      <c r="AF115" t="s">
        <v>293</v>
      </c>
      <c r="AG115" t="s">
        <v>292</v>
      </c>
      <c r="AH115" t="s">
        <v>293</v>
      </c>
      <c r="AI115" t="s">
        <v>293</v>
      </c>
      <c r="AJ115" t="s">
        <v>302</v>
      </c>
      <c r="AK115" t="s">
        <v>302</v>
      </c>
      <c r="AL115" t="s">
        <v>357</v>
      </c>
      <c r="AM115" t="s">
        <v>293</v>
      </c>
      <c r="AN115" t="s">
        <v>293</v>
      </c>
      <c r="AO115" t="s">
        <v>297</v>
      </c>
      <c r="AP115" t="s">
        <v>298</v>
      </c>
      <c r="AQ115" t="s">
        <v>293</v>
      </c>
      <c r="AR115" t="s">
        <v>292</v>
      </c>
      <c r="AS115" t="s">
        <v>293</v>
      </c>
      <c r="AT115" t="s">
        <v>293</v>
      </c>
      <c r="AU115" t="s">
        <v>364</v>
      </c>
      <c r="AV115" t="str">
        <f t="shared" si="4"/>
        <v>break</v>
      </c>
    </row>
    <row r="116" spans="1:49" x14ac:dyDescent="0.3">
      <c r="A116" t="s">
        <v>45</v>
      </c>
      <c r="B116" t="s">
        <v>72</v>
      </c>
      <c r="C116" t="s">
        <v>36</v>
      </c>
      <c r="D116" t="s">
        <v>29</v>
      </c>
      <c r="E116" t="str">
        <f t="shared" si="3"/>
        <v>P_H7P-ZSB-S_8D0</v>
      </c>
      <c r="F116" t="b">
        <v>1</v>
      </c>
      <c r="G116">
        <v>100</v>
      </c>
      <c r="H116">
        <v>1</v>
      </c>
      <c r="I116">
        <v>10173</v>
      </c>
      <c r="J116" s="49" t="s">
        <v>18</v>
      </c>
      <c r="L116" s="16" t="s">
        <v>272</v>
      </c>
      <c r="M116" s="16">
        <v>2</v>
      </c>
      <c r="N116" s="16" t="s">
        <v>277</v>
      </c>
      <c r="O116" s="16" t="s">
        <v>335</v>
      </c>
      <c r="P116" s="15" t="s">
        <v>282</v>
      </c>
      <c r="Q116" t="s">
        <v>371</v>
      </c>
      <c r="R116" t="s">
        <v>371</v>
      </c>
      <c r="S116" s="17" t="s">
        <v>371</v>
      </c>
      <c r="T116" s="16" t="s">
        <v>341</v>
      </c>
      <c r="U116" s="16" t="s">
        <v>340</v>
      </c>
      <c r="V116" s="15" t="s">
        <v>340</v>
      </c>
      <c r="W116" s="15" t="s">
        <v>345</v>
      </c>
      <c r="X116" s="17" t="s">
        <v>346</v>
      </c>
      <c r="Y116" t="s">
        <v>349</v>
      </c>
      <c r="Z116" t="s">
        <v>349</v>
      </c>
      <c r="AA116" t="s">
        <v>293</v>
      </c>
      <c r="AB116" t="s">
        <v>354</v>
      </c>
      <c r="AC116" t="s">
        <v>354</v>
      </c>
      <c r="AD116" t="s">
        <v>300</v>
      </c>
      <c r="AE116" t="s">
        <v>292</v>
      </c>
      <c r="AF116" t="s">
        <v>292</v>
      </c>
      <c r="AG116" t="s">
        <v>292</v>
      </c>
      <c r="AH116" t="s">
        <v>293</v>
      </c>
      <c r="AI116" t="s">
        <v>293</v>
      </c>
      <c r="AJ116" t="s">
        <v>302</v>
      </c>
      <c r="AK116" t="s">
        <v>302</v>
      </c>
      <c r="AL116" t="s">
        <v>357</v>
      </c>
      <c r="AM116" t="s">
        <v>293</v>
      </c>
      <c r="AN116" t="s">
        <v>293</v>
      </c>
      <c r="AO116" t="s">
        <v>297</v>
      </c>
      <c r="AP116" t="s">
        <v>298</v>
      </c>
      <c r="AQ116" t="s">
        <v>293</v>
      </c>
      <c r="AR116" t="s">
        <v>292</v>
      </c>
      <c r="AS116" t="s">
        <v>293</v>
      </c>
      <c r="AT116" t="s">
        <v>293</v>
      </c>
      <c r="AU116" t="s">
        <v>364</v>
      </c>
      <c r="AV116" t="str">
        <f t="shared" si="4"/>
        <v>break</v>
      </c>
    </row>
    <row r="117" spans="1:49" x14ac:dyDescent="0.3">
      <c r="A117" t="s">
        <v>45</v>
      </c>
      <c r="B117" t="s">
        <v>72</v>
      </c>
      <c r="C117" t="s">
        <v>33</v>
      </c>
      <c r="D117" t="s">
        <v>29</v>
      </c>
      <c r="E117" t="str">
        <f t="shared" si="3"/>
        <v>P_H7P-ZSB-S_8I8</v>
      </c>
      <c r="F117" t="b">
        <v>1</v>
      </c>
      <c r="G117">
        <v>100</v>
      </c>
      <c r="H117">
        <v>1</v>
      </c>
      <c r="I117">
        <v>22104</v>
      </c>
      <c r="J117" s="49" t="s">
        <v>18</v>
      </c>
      <c r="L117" s="16" t="s">
        <v>272</v>
      </c>
      <c r="M117" s="16">
        <v>3</v>
      </c>
      <c r="N117" s="16" t="s">
        <v>277</v>
      </c>
      <c r="O117" s="16" t="s">
        <v>335</v>
      </c>
      <c r="P117" s="15" t="s">
        <v>281</v>
      </c>
      <c r="Q117" t="s">
        <v>371</v>
      </c>
      <c r="R117" t="s">
        <v>371</v>
      </c>
      <c r="S117" s="17" t="s">
        <v>371</v>
      </c>
      <c r="T117" s="16" t="s">
        <v>341</v>
      </c>
      <c r="U117" s="16" t="s">
        <v>340</v>
      </c>
      <c r="V117" s="15" t="s">
        <v>340</v>
      </c>
      <c r="W117" s="15" t="s">
        <v>344</v>
      </c>
      <c r="X117" s="17"/>
      <c r="Y117" t="s">
        <v>349</v>
      </c>
      <c r="Z117" t="s">
        <v>349</v>
      </c>
      <c r="AA117" t="s">
        <v>293</v>
      </c>
      <c r="AB117" t="s">
        <v>353</v>
      </c>
      <c r="AC117" t="s">
        <v>296</v>
      </c>
      <c r="AD117" t="s">
        <v>300</v>
      </c>
      <c r="AE117" t="s">
        <v>293</v>
      </c>
      <c r="AF117" t="s">
        <v>292</v>
      </c>
      <c r="AG117" t="s">
        <v>292</v>
      </c>
      <c r="AH117" t="s">
        <v>292</v>
      </c>
      <c r="AI117" t="s">
        <v>293</v>
      </c>
      <c r="AJ117" t="s">
        <v>302</v>
      </c>
      <c r="AK117" t="s">
        <v>302</v>
      </c>
      <c r="AL117" t="s">
        <v>359</v>
      </c>
      <c r="AM117" t="s">
        <v>293</v>
      </c>
      <c r="AN117" t="s">
        <v>293</v>
      </c>
      <c r="AO117" t="s">
        <v>297</v>
      </c>
      <c r="AP117" t="s">
        <v>356</v>
      </c>
      <c r="AQ117" t="s">
        <v>293</v>
      </c>
      <c r="AR117" t="s">
        <v>292</v>
      </c>
      <c r="AS117" t="s">
        <v>293</v>
      </c>
      <c r="AT117" t="s">
        <v>293</v>
      </c>
      <c r="AU117" t="s">
        <v>364</v>
      </c>
      <c r="AV117" t="str">
        <f t="shared" si="4"/>
        <v>break</v>
      </c>
    </row>
    <row r="118" spans="1:49" x14ac:dyDescent="0.3">
      <c r="A118" t="s">
        <v>45</v>
      </c>
      <c r="B118" t="s">
        <v>72</v>
      </c>
      <c r="C118" t="s">
        <v>26</v>
      </c>
      <c r="D118" t="s">
        <v>29</v>
      </c>
      <c r="E118" t="str">
        <f t="shared" si="3"/>
        <v>P_H7P-ZSB-S_8O8</v>
      </c>
      <c r="F118" t="b">
        <v>1</v>
      </c>
      <c r="G118">
        <v>100</v>
      </c>
      <c r="H118">
        <v>1</v>
      </c>
      <c r="I118">
        <v>29679</v>
      </c>
      <c r="J118" s="49" t="s">
        <v>13</v>
      </c>
      <c r="L118" s="16" t="s">
        <v>272</v>
      </c>
      <c r="M118" s="16">
        <v>3</v>
      </c>
      <c r="N118" s="16" t="s">
        <v>277</v>
      </c>
      <c r="O118" s="16" t="s">
        <v>336</v>
      </c>
      <c r="P118" s="15" t="s">
        <v>283</v>
      </c>
      <c r="Q118" t="s">
        <v>371</v>
      </c>
      <c r="R118" t="s">
        <v>371</v>
      </c>
      <c r="S118" s="17" t="s">
        <v>371</v>
      </c>
      <c r="T118" s="16" t="s">
        <v>341</v>
      </c>
      <c r="U118" s="16" t="s">
        <v>342</v>
      </c>
      <c r="V118" s="15" t="s">
        <v>343</v>
      </c>
      <c r="W118" s="15" t="s">
        <v>344</v>
      </c>
      <c r="X118" s="17" t="s">
        <v>347</v>
      </c>
      <c r="Y118" t="s">
        <v>349</v>
      </c>
      <c r="Z118" t="s">
        <v>349</v>
      </c>
      <c r="AA118" t="s">
        <v>293</v>
      </c>
      <c r="AB118" t="s">
        <v>353</v>
      </c>
      <c r="AC118" t="s">
        <v>296</v>
      </c>
      <c r="AD118" t="s">
        <v>301</v>
      </c>
      <c r="AE118" t="s">
        <v>293</v>
      </c>
      <c r="AF118" t="s">
        <v>292</v>
      </c>
      <c r="AG118" t="s">
        <v>292</v>
      </c>
      <c r="AH118" t="s">
        <v>292</v>
      </c>
      <c r="AI118" t="s">
        <v>293</v>
      </c>
      <c r="AJ118" t="s">
        <v>302</v>
      </c>
      <c r="AK118" t="s">
        <v>359</v>
      </c>
      <c r="AL118" t="s">
        <v>359</v>
      </c>
      <c r="AM118" t="s">
        <v>293</v>
      </c>
      <c r="AN118" t="s">
        <v>293</v>
      </c>
      <c r="AO118" t="s">
        <v>296</v>
      </c>
      <c r="AP118" t="s">
        <v>356</v>
      </c>
      <c r="AQ118" t="s">
        <v>293</v>
      </c>
      <c r="AR118" t="s">
        <v>292</v>
      </c>
      <c r="AS118" t="s">
        <v>293</v>
      </c>
      <c r="AT118" t="s">
        <v>293</v>
      </c>
      <c r="AU118" t="s">
        <v>364</v>
      </c>
      <c r="AV118" t="str">
        <f t="shared" si="4"/>
        <v>no_fail</v>
      </c>
    </row>
    <row r="119" spans="1:49" x14ac:dyDescent="0.3">
      <c r="A119" t="s">
        <v>45</v>
      </c>
      <c r="B119" t="s">
        <v>72</v>
      </c>
      <c r="C119" t="s">
        <v>31</v>
      </c>
      <c r="D119" t="s">
        <v>29</v>
      </c>
      <c r="E119" t="str">
        <f t="shared" si="3"/>
        <v>P_H7P-ZSB-S_9E0</v>
      </c>
      <c r="F119" t="b">
        <v>1</v>
      </c>
      <c r="G119">
        <v>100</v>
      </c>
      <c r="H119">
        <v>1</v>
      </c>
      <c r="I119">
        <v>21275</v>
      </c>
      <c r="J119" s="49" t="s">
        <v>18</v>
      </c>
      <c r="L119" s="16" t="s">
        <v>272</v>
      </c>
      <c r="M119" s="16">
        <v>3</v>
      </c>
      <c r="N119" s="16" t="s">
        <v>277</v>
      </c>
      <c r="O119" s="16" t="s">
        <v>335</v>
      </c>
      <c r="P119" s="15" t="s">
        <v>281</v>
      </c>
      <c r="Q119" t="s">
        <v>371</v>
      </c>
      <c r="R119" t="s">
        <v>371</v>
      </c>
      <c r="S119" s="17" t="s">
        <v>371</v>
      </c>
      <c r="T119" s="16" t="s">
        <v>341</v>
      </c>
      <c r="U119" s="16" t="s">
        <v>340</v>
      </c>
      <c r="V119" s="15" t="s">
        <v>343</v>
      </c>
      <c r="W119" s="15" t="s">
        <v>344</v>
      </c>
      <c r="X119" s="17" t="s">
        <v>291</v>
      </c>
      <c r="Y119" t="s">
        <v>349</v>
      </c>
      <c r="Z119" t="s">
        <v>349</v>
      </c>
      <c r="AA119" t="s">
        <v>293</v>
      </c>
      <c r="AB119" t="s">
        <v>353</v>
      </c>
      <c r="AC119" t="s">
        <v>296</v>
      </c>
      <c r="AD119" t="s">
        <v>300</v>
      </c>
      <c r="AE119" t="s">
        <v>293</v>
      </c>
      <c r="AF119" t="s">
        <v>292</v>
      </c>
      <c r="AG119" t="s">
        <v>292</v>
      </c>
      <c r="AH119" t="s">
        <v>292</v>
      </c>
      <c r="AI119" t="s">
        <v>293</v>
      </c>
      <c r="AJ119" t="s">
        <v>302</v>
      </c>
      <c r="AK119" t="s">
        <v>302</v>
      </c>
      <c r="AL119" t="s">
        <v>359</v>
      </c>
      <c r="AM119" t="s">
        <v>293</v>
      </c>
      <c r="AN119" t="s">
        <v>293</v>
      </c>
      <c r="AO119" t="s">
        <v>297</v>
      </c>
      <c r="AP119" t="s">
        <v>356</v>
      </c>
      <c r="AQ119" t="s">
        <v>293</v>
      </c>
      <c r="AR119" t="s">
        <v>292</v>
      </c>
      <c r="AS119" t="s">
        <v>363</v>
      </c>
      <c r="AT119" t="s">
        <v>293</v>
      </c>
      <c r="AU119" t="s">
        <v>364</v>
      </c>
      <c r="AV119" t="str">
        <f t="shared" si="4"/>
        <v>break</v>
      </c>
    </row>
    <row r="120" spans="1:49" x14ac:dyDescent="0.3">
      <c r="A120" t="s">
        <v>45</v>
      </c>
      <c r="B120" t="s">
        <v>72</v>
      </c>
      <c r="C120" t="s">
        <v>27</v>
      </c>
      <c r="D120" t="s">
        <v>29</v>
      </c>
      <c r="E120" t="str">
        <f t="shared" si="3"/>
        <v>P_H7P-ZSB-S_9F6</v>
      </c>
      <c r="F120" t="b">
        <v>1</v>
      </c>
      <c r="G120">
        <v>100</v>
      </c>
      <c r="H120">
        <v>1</v>
      </c>
      <c r="I120">
        <v>29694</v>
      </c>
      <c r="J120" s="49" t="s">
        <v>18</v>
      </c>
      <c r="L120" s="16" t="s">
        <v>272</v>
      </c>
      <c r="M120" s="16">
        <v>3</v>
      </c>
      <c r="N120" s="16" t="s">
        <v>277</v>
      </c>
      <c r="O120" s="16" t="s">
        <v>336</v>
      </c>
      <c r="P120" s="15" t="s">
        <v>283</v>
      </c>
      <c r="Q120" t="s">
        <v>371</v>
      </c>
      <c r="R120" t="s">
        <v>371</v>
      </c>
      <c r="S120" s="17" t="s">
        <v>371</v>
      </c>
      <c r="T120" s="16" t="s">
        <v>341</v>
      </c>
      <c r="U120" s="16" t="s">
        <v>342</v>
      </c>
      <c r="V120" s="15" t="s">
        <v>343</v>
      </c>
      <c r="W120" s="15" t="s">
        <v>344</v>
      </c>
      <c r="X120" s="17" t="s">
        <v>347</v>
      </c>
      <c r="Y120" t="s">
        <v>349</v>
      </c>
      <c r="Z120" t="s">
        <v>349</v>
      </c>
      <c r="AA120" t="s">
        <v>293</v>
      </c>
      <c r="AB120" t="s">
        <v>353</v>
      </c>
      <c r="AC120" t="s">
        <v>296</v>
      </c>
      <c r="AD120" t="s">
        <v>301</v>
      </c>
      <c r="AE120" t="s">
        <v>293</v>
      </c>
      <c r="AF120" t="s">
        <v>292</v>
      </c>
      <c r="AG120" t="s">
        <v>292</v>
      </c>
      <c r="AH120" t="s">
        <v>292</v>
      </c>
      <c r="AI120" t="s">
        <v>293</v>
      </c>
      <c r="AJ120" t="s">
        <v>302</v>
      </c>
      <c r="AK120" t="s">
        <v>359</v>
      </c>
      <c r="AL120" t="s">
        <v>359</v>
      </c>
      <c r="AM120" t="s">
        <v>293</v>
      </c>
      <c r="AN120" t="s">
        <v>293</v>
      </c>
      <c r="AO120" t="s">
        <v>297</v>
      </c>
      <c r="AP120" t="s">
        <v>356</v>
      </c>
      <c r="AQ120" t="s">
        <v>293</v>
      </c>
      <c r="AR120" t="s">
        <v>292</v>
      </c>
      <c r="AS120" t="s">
        <v>293</v>
      </c>
      <c r="AT120" t="s">
        <v>293</v>
      </c>
      <c r="AU120" t="s">
        <v>364</v>
      </c>
      <c r="AV120" t="str">
        <f t="shared" si="4"/>
        <v>break</v>
      </c>
    </row>
    <row r="121" spans="1:49" x14ac:dyDescent="0.3">
      <c r="A121" t="s">
        <v>45</v>
      </c>
      <c r="B121" t="s">
        <v>72</v>
      </c>
      <c r="C121" t="s">
        <v>28</v>
      </c>
      <c r="D121" t="s">
        <v>29</v>
      </c>
      <c r="E121" t="str">
        <f t="shared" si="3"/>
        <v>P_H7P-ZSB-S_9T2</v>
      </c>
      <c r="F121" t="b">
        <v>1</v>
      </c>
      <c r="G121">
        <v>100</v>
      </c>
      <c r="H121">
        <v>1</v>
      </c>
      <c r="I121">
        <v>21104</v>
      </c>
      <c r="J121" s="49" t="s">
        <v>18</v>
      </c>
      <c r="L121" s="16" t="s">
        <v>272</v>
      </c>
      <c r="M121" s="16">
        <v>3</v>
      </c>
      <c r="N121" s="16" t="s">
        <v>277</v>
      </c>
      <c r="O121" s="16" t="s">
        <v>335</v>
      </c>
      <c r="P121" s="15" t="s">
        <v>281</v>
      </c>
      <c r="Q121" t="s">
        <v>371</v>
      </c>
      <c r="R121" t="s">
        <v>371</v>
      </c>
      <c r="S121" s="17" t="s">
        <v>371</v>
      </c>
      <c r="T121" s="16" t="s">
        <v>341</v>
      </c>
      <c r="U121" s="16" t="s">
        <v>340</v>
      </c>
      <c r="V121" s="15" t="s">
        <v>343</v>
      </c>
      <c r="W121" s="15" t="s">
        <v>344</v>
      </c>
      <c r="X121" s="17"/>
      <c r="Y121" t="s">
        <v>349</v>
      </c>
      <c r="Z121" t="s">
        <v>349</v>
      </c>
      <c r="AA121" t="s">
        <v>293</v>
      </c>
      <c r="AB121" t="s">
        <v>353</v>
      </c>
      <c r="AC121" t="s">
        <v>296</v>
      </c>
      <c r="AD121" t="s">
        <v>300</v>
      </c>
      <c r="AE121" t="s">
        <v>293</v>
      </c>
      <c r="AF121" t="s">
        <v>292</v>
      </c>
      <c r="AG121" t="s">
        <v>292</v>
      </c>
      <c r="AH121" t="s">
        <v>292</v>
      </c>
      <c r="AI121" t="s">
        <v>293</v>
      </c>
      <c r="AJ121" t="s">
        <v>302</v>
      </c>
      <c r="AK121" t="s">
        <v>302</v>
      </c>
      <c r="AL121" t="s">
        <v>359</v>
      </c>
      <c r="AM121" t="s">
        <v>293</v>
      </c>
      <c r="AN121" t="s">
        <v>293</v>
      </c>
      <c r="AO121" t="s">
        <v>297</v>
      </c>
      <c r="AP121" t="s">
        <v>356</v>
      </c>
      <c r="AQ121" t="s">
        <v>293</v>
      </c>
      <c r="AR121" t="s">
        <v>292</v>
      </c>
      <c r="AS121" t="s">
        <v>363</v>
      </c>
      <c r="AT121" t="s">
        <v>293</v>
      </c>
      <c r="AU121" t="s">
        <v>364</v>
      </c>
      <c r="AV121" t="str">
        <f t="shared" si="4"/>
        <v>break</v>
      </c>
    </row>
    <row r="122" spans="1:49" x14ac:dyDescent="0.3">
      <c r="A122" t="s">
        <v>45</v>
      </c>
      <c r="B122" t="s">
        <v>72</v>
      </c>
      <c r="C122" t="s">
        <v>35</v>
      </c>
      <c r="D122" t="s">
        <v>29</v>
      </c>
      <c r="E122" t="str">
        <f t="shared" si="3"/>
        <v>P_H7P-ZSB-S_9X8</v>
      </c>
      <c r="F122" t="b">
        <v>1</v>
      </c>
      <c r="G122">
        <v>100</v>
      </c>
      <c r="H122">
        <v>1</v>
      </c>
      <c r="I122">
        <v>8749</v>
      </c>
      <c r="J122" s="49" t="s">
        <v>18</v>
      </c>
      <c r="L122" s="16" t="s">
        <v>272</v>
      </c>
      <c r="M122" s="16">
        <v>2</v>
      </c>
      <c r="N122" s="16" t="s">
        <v>277</v>
      </c>
      <c r="O122" s="16" t="s">
        <v>335</v>
      </c>
      <c r="P122" s="15" t="s">
        <v>282</v>
      </c>
      <c r="Q122" t="s">
        <v>371</v>
      </c>
      <c r="R122" t="s">
        <v>371</v>
      </c>
      <c r="S122" s="17" t="s">
        <v>371</v>
      </c>
      <c r="T122" s="16" t="s">
        <v>341</v>
      </c>
      <c r="U122" s="16" t="s">
        <v>340</v>
      </c>
      <c r="V122" s="15" t="s">
        <v>340</v>
      </c>
      <c r="W122" s="15" t="s">
        <v>345</v>
      </c>
      <c r="X122" s="17"/>
      <c r="Y122" t="s">
        <v>349</v>
      </c>
      <c r="Z122" t="s">
        <v>349</v>
      </c>
      <c r="AA122" t="s">
        <v>293</v>
      </c>
      <c r="AB122" t="s">
        <v>354</v>
      </c>
      <c r="AC122" t="s">
        <v>354</v>
      </c>
      <c r="AD122" t="s">
        <v>300</v>
      </c>
      <c r="AE122" t="s">
        <v>292</v>
      </c>
      <c r="AF122" t="s">
        <v>293</v>
      </c>
      <c r="AG122" t="s">
        <v>292</v>
      </c>
      <c r="AH122" t="s">
        <v>293</v>
      </c>
      <c r="AI122" t="s">
        <v>293</v>
      </c>
      <c r="AJ122" t="s">
        <v>302</v>
      </c>
      <c r="AK122" t="s">
        <v>302</v>
      </c>
      <c r="AL122" t="s">
        <v>357</v>
      </c>
      <c r="AM122" t="s">
        <v>293</v>
      </c>
      <c r="AN122" t="s">
        <v>293</v>
      </c>
      <c r="AO122" t="s">
        <v>297</v>
      </c>
      <c r="AP122" t="s">
        <v>298</v>
      </c>
      <c r="AQ122" t="s">
        <v>293</v>
      </c>
      <c r="AR122" t="s">
        <v>292</v>
      </c>
      <c r="AS122" t="s">
        <v>293</v>
      </c>
      <c r="AT122" t="s">
        <v>293</v>
      </c>
      <c r="AU122" t="s">
        <v>364</v>
      </c>
      <c r="AV122" t="str">
        <f t="shared" si="4"/>
        <v>break</v>
      </c>
    </row>
    <row r="123" spans="1:49" x14ac:dyDescent="0.3">
      <c r="A123" s="38" t="s">
        <v>9</v>
      </c>
      <c r="B123" s="38" t="s">
        <v>10</v>
      </c>
      <c r="C123" s="38" t="s">
        <v>27</v>
      </c>
      <c r="D123" s="38" t="s">
        <v>12</v>
      </c>
      <c r="E123" s="38" t="str">
        <f t="shared" si="3"/>
        <v>P_I7A-KYY-S_9F6</v>
      </c>
      <c r="F123" s="38" t="b">
        <v>1</v>
      </c>
      <c r="G123" s="38">
        <v>67.5</v>
      </c>
      <c r="H123" s="38">
        <v>0</v>
      </c>
      <c r="I123" s="38">
        <v>12671</v>
      </c>
      <c r="J123" s="38" t="s">
        <v>13</v>
      </c>
      <c r="K123" s="38"/>
      <c r="L123" s="39" t="s">
        <v>272</v>
      </c>
      <c r="M123" s="39">
        <v>3</v>
      </c>
      <c r="N123" s="39" t="s">
        <v>277</v>
      </c>
      <c r="O123" s="39" t="s">
        <v>335</v>
      </c>
      <c r="P123" s="40" t="s">
        <v>281</v>
      </c>
      <c r="Q123" s="38" t="s">
        <v>283</v>
      </c>
      <c r="R123" s="38" t="s">
        <v>286</v>
      </c>
      <c r="S123" s="41" t="s">
        <v>371</v>
      </c>
      <c r="T123" s="39" t="s">
        <v>341</v>
      </c>
      <c r="U123" s="39" t="s">
        <v>340</v>
      </c>
      <c r="V123" s="40" t="s">
        <v>343</v>
      </c>
      <c r="W123" s="40" t="s">
        <v>344</v>
      </c>
      <c r="X123" s="41"/>
      <c r="Y123" s="38" t="s">
        <v>349</v>
      </c>
      <c r="Z123" s="38" t="s">
        <v>349</v>
      </c>
      <c r="AA123" s="38" t="s">
        <v>293</v>
      </c>
      <c r="AB123" s="38" t="s">
        <v>353</v>
      </c>
      <c r="AC123" s="38" t="s">
        <v>296</v>
      </c>
      <c r="AD123" s="38" t="s">
        <v>301</v>
      </c>
      <c r="AE123" s="38" t="s">
        <v>292</v>
      </c>
      <c r="AF123" s="38" t="s">
        <v>293</v>
      </c>
      <c r="AG123" s="38" t="s">
        <v>292</v>
      </c>
      <c r="AH123" s="38" t="s">
        <v>292</v>
      </c>
      <c r="AI123" s="38" t="s">
        <v>293</v>
      </c>
      <c r="AJ123" s="38" t="s">
        <v>302</v>
      </c>
      <c r="AK123" s="38" t="s">
        <v>302</v>
      </c>
      <c r="AL123" s="38" t="s">
        <v>359</v>
      </c>
      <c r="AM123" s="38" t="s">
        <v>293</v>
      </c>
      <c r="AN123" s="38" t="s">
        <v>293</v>
      </c>
      <c r="AO123" s="38" t="s">
        <v>297</v>
      </c>
      <c r="AP123" s="38" t="s">
        <v>298</v>
      </c>
      <c r="AQ123" s="38" t="s">
        <v>293</v>
      </c>
      <c r="AR123" s="38" t="s">
        <v>292</v>
      </c>
      <c r="AS123" s="38" t="s">
        <v>293</v>
      </c>
      <c r="AT123" s="38" t="s">
        <v>293</v>
      </c>
      <c r="AU123" s="38" t="s">
        <v>364</v>
      </c>
      <c r="AV123" s="38" t="str">
        <f t="shared" si="4"/>
        <v>no_fail</v>
      </c>
      <c r="AW123" s="38" t="s">
        <v>379</v>
      </c>
    </row>
    <row r="124" spans="1:49" x14ac:dyDescent="0.3">
      <c r="A124" t="s">
        <v>9</v>
      </c>
      <c r="B124" t="s">
        <v>10</v>
      </c>
      <c r="C124" t="s">
        <v>15</v>
      </c>
      <c r="D124" t="s">
        <v>12</v>
      </c>
      <c r="E124" t="str">
        <f t="shared" si="3"/>
        <v>P_I7A-KYY-S_0M4</v>
      </c>
      <c r="F124" t="b">
        <v>1</v>
      </c>
      <c r="G124">
        <v>49.8</v>
      </c>
      <c r="H124">
        <v>0</v>
      </c>
      <c r="I124">
        <v>12988</v>
      </c>
      <c r="J124" s="49" t="s">
        <v>13</v>
      </c>
      <c r="L124" s="16" t="s">
        <v>272</v>
      </c>
      <c r="M124" s="16">
        <v>3</v>
      </c>
      <c r="N124" s="16" t="s">
        <v>277</v>
      </c>
      <c r="O124" s="16" t="s">
        <v>335</v>
      </c>
      <c r="P124" s="15" t="s">
        <v>283</v>
      </c>
      <c r="Q124" t="s">
        <v>286</v>
      </c>
      <c r="R124" t="s">
        <v>371</v>
      </c>
      <c r="S124" s="17" t="s">
        <v>371</v>
      </c>
      <c r="T124" s="16" t="s">
        <v>341</v>
      </c>
      <c r="U124" s="16" t="s">
        <v>340</v>
      </c>
      <c r="V124" s="15" t="s">
        <v>343</v>
      </c>
      <c r="W124" s="15" t="s">
        <v>344</v>
      </c>
      <c r="X124" s="17"/>
      <c r="Y124" t="s">
        <v>349</v>
      </c>
      <c r="Z124" t="s">
        <v>349</v>
      </c>
      <c r="AA124" t="s">
        <v>293</v>
      </c>
      <c r="AB124" t="s">
        <v>353</v>
      </c>
      <c r="AC124" t="s">
        <v>296</v>
      </c>
      <c r="AD124" t="s">
        <v>301</v>
      </c>
      <c r="AE124" t="s">
        <v>292</v>
      </c>
      <c r="AF124" t="s">
        <v>293</v>
      </c>
      <c r="AG124" t="s">
        <v>292</v>
      </c>
      <c r="AH124" t="s">
        <v>292</v>
      </c>
      <c r="AI124" t="s">
        <v>293</v>
      </c>
      <c r="AJ124" t="s">
        <v>302</v>
      </c>
      <c r="AK124" t="s">
        <v>302</v>
      </c>
      <c r="AL124" t="s">
        <v>359</v>
      </c>
      <c r="AM124" t="s">
        <v>293</v>
      </c>
      <c r="AN124" t="s">
        <v>293</v>
      </c>
      <c r="AO124" t="s">
        <v>297</v>
      </c>
      <c r="AP124" t="s">
        <v>298</v>
      </c>
      <c r="AQ124" t="s">
        <v>293</v>
      </c>
      <c r="AR124" t="s">
        <v>292</v>
      </c>
      <c r="AS124" t="s">
        <v>293</v>
      </c>
      <c r="AT124" t="s">
        <v>293</v>
      </c>
      <c r="AU124" t="s">
        <v>364</v>
      </c>
      <c r="AV124" t="str">
        <f t="shared" si="4"/>
        <v>no_fail</v>
      </c>
    </row>
    <row r="125" spans="1:49" x14ac:dyDescent="0.3">
      <c r="A125" t="s">
        <v>9</v>
      </c>
      <c r="B125" t="s">
        <v>10</v>
      </c>
      <c r="C125" t="s">
        <v>23</v>
      </c>
      <c r="D125" t="s">
        <v>12</v>
      </c>
      <c r="E125" t="str">
        <f t="shared" si="3"/>
        <v>P_I7A-KYY-S_0T2</v>
      </c>
      <c r="F125" t="b">
        <v>1</v>
      </c>
      <c r="G125">
        <v>100</v>
      </c>
      <c r="H125">
        <v>1</v>
      </c>
      <c r="I125">
        <v>10691</v>
      </c>
      <c r="J125" s="49" t="s">
        <v>18</v>
      </c>
      <c r="L125" s="16" t="s">
        <v>272</v>
      </c>
      <c r="M125" s="16">
        <v>3</v>
      </c>
      <c r="N125" s="16" t="s">
        <v>277</v>
      </c>
      <c r="O125" s="16" t="s">
        <v>335</v>
      </c>
      <c r="P125" s="15" t="s">
        <v>283</v>
      </c>
      <c r="Q125" t="s">
        <v>286</v>
      </c>
      <c r="R125" t="s">
        <v>371</v>
      </c>
      <c r="S125" s="17" t="s">
        <v>371</v>
      </c>
      <c r="T125" s="16" t="s">
        <v>341</v>
      </c>
      <c r="U125" s="16" t="s">
        <v>340</v>
      </c>
      <c r="V125" s="15" t="s">
        <v>343</v>
      </c>
      <c r="W125" s="15" t="s">
        <v>344</v>
      </c>
      <c r="X125" s="17"/>
      <c r="Y125" t="s">
        <v>349</v>
      </c>
      <c r="Z125" t="s">
        <v>349</v>
      </c>
      <c r="AA125" t="s">
        <v>293</v>
      </c>
      <c r="AB125" t="s">
        <v>352</v>
      </c>
      <c r="AC125" t="s">
        <v>296</v>
      </c>
      <c r="AD125" t="s">
        <v>301</v>
      </c>
      <c r="AE125" t="s">
        <v>292</v>
      </c>
      <c r="AF125" t="s">
        <v>293</v>
      </c>
      <c r="AG125" t="s">
        <v>292</v>
      </c>
      <c r="AH125" t="s">
        <v>292</v>
      </c>
      <c r="AI125" t="s">
        <v>293</v>
      </c>
      <c r="AJ125" t="s">
        <v>302</v>
      </c>
      <c r="AK125" t="s">
        <v>302</v>
      </c>
      <c r="AL125" t="s">
        <v>359</v>
      </c>
      <c r="AM125" t="s">
        <v>293</v>
      </c>
      <c r="AN125" t="s">
        <v>293</v>
      </c>
      <c r="AO125" t="s">
        <v>297</v>
      </c>
      <c r="AP125" t="s">
        <v>298</v>
      </c>
      <c r="AQ125" t="s">
        <v>293</v>
      </c>
      <c r="AR125" t="s">
        <v>292</v>
      </c>
      <c r="AS125" t="s">
        <v>293</v>
      </c>
      <c r="AT125" t="s">
        <v>293</v>
      </c>
      <c r="AU125" t="s">
        <v>364</v>
      </c>
      <c r="AV125" t="str">
        <f t="shared" si="4"/>
        <v>break</v>
      </c>
    </row>
    <row r="126" spans="1:49" x14ac:dyDescent="0.3">
      <c r="A126" t="s">
        <v>9</v>
      </c>
      <c r="B126" t="s">
        <v>10</v>
      </c>
      <c r="C126" t="s">
        <v>14</v>
      </c>
      <c r="D126" t="s">
        <v>12</v>
      </c>
      <c r="E126" t="str">
        <f t="shared" si="3"/>
        <v>P_I7A-KYY-S_1B0</v>
      </c>
      <c r="F126" t="b">
        <v>1</v>
      </c>
      <c r="G126">
        <v>50.9</v>
      </c>
      <c r="H126">
        <v>0</v>
      </c>
      <c r="I126">
        <v>13845</v>
      </c>
      <c r="J126" s="49" t="s">
        <v>13</v>
      </c>
      <c r="L126" s="16" t="s">
        <v>272</v>
      </c>
      <c r="M126" s="16">
        <v>3</v>
      </c>
      <c r="N126" s="16" t="s">
        <v>277</v>
      </c>
      <c r="O126" s="16" t="s">
        <v>335</v>
      </c>
      <c r="P126" s="15" t="s">
        <v>283</v>
      </c>
      <c r="Q126" t="s">
        <v>286</v>
      </c>
      <c r="R126" t="s">
        <v>371</v>
      </c>
      <c r="S126" s="17" t="s">
        <v>371</v>
      </c>
      <c r="T126" s="16" t="s">
        <v>341</v>
      </c>
      <c r="U126" s="16" t="s">
        <v>340</v>
      </c>
      <c r="V126" s="15" t="s">
        <v>343</v>
      </c>
      <c r="W126" s="15" t="s">
        <v>344</v>
      </c>
      <c r="X126" s="17"/>
      <c r="Y126" t="s">
        <v>349</v>
      </c>
      <c r="Z126" t="s">
        <v>349</v>
      </c>
      <c r="AA126" t="s">
        <v>293</v>
      </c>
      <c r="AB126" t="s">
        <v>353</v>
      </c>
      <c r="AC126" t="s">
        <v>296</v>
      </c>
      <c r="AD126" t="s">
        <v>301</v>
      </c>
      <c r="AE126" t="s">
        <v>292</v>
      </c>
      <c r="AF126" t="s">
        <v>293</v>
      </c>
      <c r="AG126" t="s">
        <v>292</v>
      </c>
      <c r="AH126" t="s">
        <v>292</v>
      </c>
      <c r="AI126" t="s">
        <v>293</v>
      </c>
      <c r="AJ126" t="s">
        <v>302</v>
      </c>
      <c r="AK126" t="s">
        <v>302</v>
      </c>
      <c r="AL126" t="s">
        <v>359</v>
      </c>
      <c r="AM126" t="s">
        <v>293</v>
      </c>
      <c r="AN126" t="s">
        <v>293</v>
      </c>
      <c r="AO126" t="s">
        <v>297</v>
      </c>
      <c r="AP126" t="s">
        <v>298</v>
      </c>
      <c r="AQ126" t="s">
        <v>293</v>
      </c>
      <c r="AR126" t="s">
        <v>292</v>
      </c>
      <c r="AS126" t="s">
        <v>293</v>
      </c>
      <c r="AT126" t="s">
        <v>293</v>
      </c>
      <c r="AU126" t="s">
        <v>364</v>
      </c>
      <c r="AV126" t="str">
        <f t="shared" si="4"/>
        <v>no_fail</v>
      </c>
    </row>
    <row r="127" spans="1:49" x14ac:dyDescent="0.3">
      <c r="A127" t="s">
        <v>9</v>
      </c>
      <c r="B127" t="s">
        <v>10</v>
      </c>
      <c r="C127" t="s">
        <v>25</v>
      </c>
      <c r="D127" t="s">
        <v>12</v>
      </c>
      <c r="E127" t="str">
        <f t="shared" si="3"/>
        <v>P_I7A-KYY-S_1J8</v>
      </c>
      <c r="F127" t="b">
        <v>1</v>
      </c>
      <c r="G127">
        <v>100</v>
      </c>
      <c r="H127">
        <v>1</v>
      </c>
      <c r="I127">
        <v>11350</v>
      </c>
      <c r="J127" s="49" t="s">
        <v>18</v>
      </c>
      <c r="L127" s="16" t="s">
        <v>272</v>
      </c>
      <c r="M127" s="16">
        <v>3</v>
      </c>
      <c r="N127" s="16" t="s">
        <v>277</v>
      </c>
      <c r="O127" s="16" t="s">
        <v>335</v>
      </c>
      <c r="P127" s="15" t="s">
        <v>281</v>
      </c>
      <c r="Q127" t="s">
        <v>283</v>
      </c>
      <c r="R127" t="s">
        <v>286</v>
      </c>
      <c r="S127" s="17" t="s">
        <v>371</v>
      </c>
      <c r="T127" s="16" t="s">
        <v>341</v>
      </c>
      <c r="U127" s="16" t="s">
        <v>340</v>
      </c>
      <c r="V127" s="15" t="s">
        <v>343</v>
      </c>
      <c r="W127" s="15" t="s">
        <v>344</v>
      </c>
      <c r="X127" s="17"/>
      <c r="Y127" t="s">
        <v>349</v>
      </c>
      <c r="Z127" t="s">
        <v>349</v>
      </c>
      <c r="AA127" t="s">
        <v>293</v>
      </c>
      <c r="AB127" t="s">
        <v>352</v>
      </c>
      <c r="AC127" t="s">
        <v>296</v>
      </c>
      <c r="AD127" t="s">
        <v>301</v>
      </c>
      <c r="AE127" t="s">
        <v>292</v>
      </c>
      <c r="AF127" t="s">
        <v>293</v>
      </c>
      <c r="AG127" t="s">
        <v>292</v>
      </c>
      <c r="AH127" t="s">
        <v>292</v>
      </c>
      <c r="AI127" t="s">
        <v>293</v>
      </c>
      <c r="AJ127" t="s">
        <v>302</v>
      </c>
      <c r="AK127" t="s">
        <v>302</v>
      </c>
      <c r="AL127" t="s">
        <v>359</v>
      </c>
      <c r="AM127" t="s">
        <v>293</v>
      </c>
      <c r="AN127" t="s">
        <v>293</v>
      </c>
      <c r="AO127" t="s">
        <v>297</v>
      </c>
      <c r="AP127" t="s">
        <v>298</v>
      </c>
      <c r="AQ127" t="s">
        <v>293</v>
      </c>
      <c r="AR127" t="s">
        <v>292</v>
      </c>
      <c r="AS127" t="s">
        <v>293</v>
      </c>
      <c r="AT127" t="s">
        <v>293</v>
      </c>
      <c r="AU127" t="s">
        <v>364</v>
      </c>
      <c r="AV127" t="str">
        <f t="shared" si="4"/>
        <v>break</v>
      </c>
    </row>
    <row r="128" spans="1:49" x14ac:dyDescent="0.3">
      <c r="A128" t="s">
        <v>9</v>
      </c>
      <c r="B128" t="s">
        <v>10</v>
      </c>
      <c r="C128" t="s">
        <v>11</v>
      </c>
      <c r="D128" t="s">
        <v>12</v>
      </c>
      <c r="E128" t="str">
        <f t="shared" si="3"/>
        <v>P_I7A-KYY-S_1Q4</v>
      </c>
      <c r="F128" t="b">
        <v>1</v>
      </c>
      <c r="G128">
        <v>51.1</v>
      </c>
      <c r="H128">
        <v>0</v>
      </c>
      <c r="I128">
        <v>15157</v>
      </c>
      <c r="J128" s="49" t="s">
        <v>13</v>
      </c>
      <c r="L128" s="16" t="s">
        <v>272</v>
      </c>
      <c r="M128" s="16">
        <v>3</v>
      </c>
      <c r="N128" s="16" t="s">
        <v>277</v>
      </c>
      <c r="O128" s="16" t="s">
        <v>335</v>
      </c>
      <c r="P128" s="15" t="s">
        <v>283</v>
      </c>
      <c r="Q128" t="s">
        <v>286</v>
      </c>
      <c r="R128" t="s">
        <v>371</v>
      </c>
      <c r="S128" s="17" t="s">
        <v>371</v>
      </c>
      <c r="T128" s="16" t="s">
        <v>341</v>
      </c>
      <c r="U128" s="16" t="s">
        <v>340</v>
      </c>
      <c r="V128" s="15" t="s">
        <v>343</v>
      </c>
      <c r="W128" s="15" t="s">
        <v>344</v>
      </c>
      <c r="X128" s="17"/>
      <c r="Y128" t="s">
        <v>349</v>
      </c>
      <c r="Z128" t="s">
        <v>349</v>
      </c>
      <c r="AA128" t="s">
        <v>293</v>
      </c>
      <c r="AB128" t="s">
        <v>353</v>
      </c>
      <c r="AC128" t="s">
        <v>296</v>
      </c>
      <c r="AD128" t="s">
        <v>301</v>
      </c>
      <c r="AE128" t="s">
        <v>292</v>
      </c>
      <c r="AF128" t="s">
        <v>293</v>
      </c>
      <c r="AG128" t="s">
        <v>292</v>
      </c>
      <c r="AH128" t="s">
        <v>292</v>
      </c>
      <c r="AI128" t="s">
        <v>293</v>
      </c>
      <c r="AJ128" t="s">
        <v>302</v>
      </c>
      <c r="AK128" t="s">
        <v>302</v>
      </c>
      <c r="AL128" t="s">
        <v>359</v>
      </c>
      <c r="AM128" t="s">
        <v>293</v>
      </c>
      <c r="AN128" t="s">
        <v>293</v>
      </c>
      <c r="AO128" t="s">
        <v>297</v>
      </c>
      <c r="AP128" t="s">
        <v>298</v>
      </c>
      <c r="AQ128" t="s">
        <v>293</v>
      </c>
      <c r="AR128" t="s">
        <v>292</v>
      </c>
      <c r="AS128" t="s">
        <v>293</v>
      </c>
      <c r="AT128" t="s">
        <v>293</v>
      </c>
      <c r="AU128" t="s">
        <v>364</v>
      </c>
      <c r="AV128" t="str">
        <f t="shared" si="4"/>
        <v>no_fail</v>
      </c>
    </row>
    <row r="129" spans="1:49" x14ac:dyDescent="0.3">
      <c r="A129" t="s">
        <v>9</v>
      </c>
      <c r="B129" t="s">
        <v>10</v>
      </c>
      <c r="C129" t="s">
        <v>24</v>
      </c>
      <c r="D129" t="s">
        <v>12</v>
      </c>
      <c r="E129" t="str">
        <f t="shared" si="3"/>
        <v>P_I7A-KYY-S_1U0</v>
      </c>
      <c r="F129" t="b">
        <v>1</v>
      </c>
      <c r="G129">
        <v>71.599999999999994</v>
      </c>
      <c r="H129">
        <v>0</v>
      </c>
      <c r="I129">
        <v>11640</v>
      </c>
      <c r="J129" s="49" t="s">
        <v>13</v>
      </c>
      <c r="L129" s="16" t="s">
        <v>272</v>
      </c>
      <c r="M129" s="16">
        <v>3</v>
      </c>
      <c r="N129" s="16" t="s">
        <v>277</v>
      </c>
      <c r="O129" s="16" t="s">
        <v>335</v>
      </c>
      <c r="P129" s="15" t="s">
        <v>283</v>
      </c>
      <c r="Q129" t="s">
        <v>286</v>
      </c>
      <c r="R129" t="s">
        <v>371</v>
      </c>
      <c r="S129" s="17" t="s">
        <v>371</v>
      </c>
      <c r="T129" s="16" t="s">
        <v>341</v>
      </c>
      <c r="U129" s="16" t="s">
        <v>340</v>
      </c>
      <c r="V129" s="15" t="s">
        <v>343</v>
      </c>
      <c r="W129" s="15" t="s">
        <v>344</v>
      </c>
      <c r="X129" s="17"/>
      <c r="Y129" t="s">
        <v>349</v>
      </c>
      <c r="Z129" t="s">
        <v>349</v>
      </c>
      <c r="AA129" t="s">
        <v>293</v>
      </c>
      <c r="AB129" t="s">
        <v>352</v>
      </c>
      <c r="AC129" t="s">
        <v>296</v>
      </c>
      <c r="AD129" t="s">
        <v>301</v>
      </c>
      <c r="AE129" t="s">
        <v>292</v>
      </c>
      <c r="AF129" t="s">
        <v>293</v>
      </c>
      <c r="AG129" t="s">
        <v>292</v>
      </c>
      <c r="AH129" t="s">
        <v>292</v>
      </c>
      <c r="AI129" t="s">
        <v>293</v>
      </c>
      <c r="AJ129" t="s">
        <v>302</v>
      </c>
      <c r="AK129" t="s">
        <v>302</v>
      </c>
      <c r="AL129" t="s">
        <v>359</v>
      </c>
      <c r="AM129" t="s">
        <v>293</v>
      </c>
      <c r="AN129" t="s">
        <v>293</v>
      </c>
      <c r="AO129" t="s">
        <v>297</v>
      </c>
      <c r="AP129" t="s">
        <v>298</v>
      </c>
      <c r="AQ129" t="s">
        <v>293</v>
      </c>
      <c r="AR129" t="s">
        <v>292</v>
      </c>
      <c r="AS129" t="s">
        <v>293</v>
      </c>
      <c r="AT129" t="s">
        <v>293</v>
      </c>
      <c r="AU129" t="s">
        <v>364</v>
      </c>
      <c r="AV129" t="str">
        <f t="shared" si="4"/>
        <v>no_fail</v>
      </c>
    </row>
    <row r="130" spans="1:49" x14ac:dyDescent="0.3">
      <c r="A130" t="s">
        <v>9</v>
      </c>
      <c r="B130" t="s">
        <v>10</v>
      </c>
      <c r="C130" t="s">
        <v>21</v>
      </c>
      <c r="D130" t="s">
        <v>12</v>
      </c>
      <c r="E130" t="str">
        <f t="shared" ref="E130:E193" si="5">B130&amp;"-"&amp;D130&amp;"-"&amp;C130</f>
        <v>P_I7A-KYY-S_3X6</v>
      </c>
      <c r="F130" t="b">
        <v>1</v>
      </c>
      <c r="G130">
        <v>100</v>
      </c>
      <c r="H130">
        <v>1</v>
      </c>
      <c r="I130">
        <v>9959</v>
      </c>
      <c r="J130" s="49" t="s">
        <v>18</v>
      </c>
      <c r="L130" s="16" t="s">
        <v>272</v>
      </c>
      <c r="M130" s="16">
        <v>3</v>
      </c>
      <c r="N130" s="16" t="s">
        <v>277</v>
      </c>
      <c r="O130" s="16" t="s">
        <v>335</v>
      </c>
      <c r="P130" s="15" t="s">
        <v>283</v>
      </c>
      <c r="Q130" t="s">
        <v>286</v>
      </c>
      <c r="R130" t="s">
        <v>371</v>
      </c>
      <c r="S130" s="17" t="s">
        <v>371</v>
      </c>
      <c r="T130" s="16" t="s">
        <v>341</v>
      </c>
      <c r="U130" s="16" t="s">
        <v>340</v>
      </c>
      <c r="V130" s="15" t="s">
        <v>343</v>
      </c>
      <c r="W130" s="15" t="s">
        <v>344</v>
      </c>
      <c r="X130" s="17" t="s">
        <v>347</v>
      </c>
      <c r="Y130" t="s">
        <v>349</v>
      </c>
      <c r="Z130" t="s">
        <v>349</v>
      </c>
      <c r="AA130" t="s">
        <v>293</v>
      </c>
      <c r="AB130" t="s">
        <v>352</v>
      </c>
      <c r="AC130" t="s">
        <v>296</v>
      </c>
      <c r="AD130" t="s">
        <v>300</v>
      </c>
      <c r="AE130" t="s">
        <v>292</v>
      </c>
      <c r="AF130" t="s">
        <v>293</v>
      </c>
      <c r="AG130" t="s">
        <v>292</v>
      </c>
      <c r="AH130" t="s">
        <v>292</v>
      </c>
      <c r="AI130" t="s">
        <v>293</v>
      </c>
      <c r="AJ130" t="s">
        <v>302</v>
      </c>
      <c r="AK130" t="s">
        <v>302</v>
      </c>
      <c r="AL130" t="s">
        <v>359</v>
      </c>
      <c r="AM130" t="s">
        <v>293</v>
      </c>
      <c r="AN130" t="s">
        <v>293</v>
      </c>
      <c r="AO130" t="s">
        <v>297</v>
      </c>
      <c r="AP130" t="s">
        <v>298</v>
      </c>
      <c r="AQ130" t="s">
        <v>293</v>
      </c>
      <c r="AR130" t="s">
        <v>292</v>
      </c>
      <c r="AS130" t="s">
        <v>293</v>
      </c>
      <c r="AT130" t="s">
        <v>293</v>
      </c>
      <c r="AU130" t="s">
        <v>364</v>
      </c>
      <c r="AV130" t="str">
        <f t="shared" si="4"/>
        <v>break</v>
      </c>
    </row>
    <row r="131" spans="1:49" x14ac:dyDescent="0.3">
      <c r="A131" t="s">
        <v>9</v>
      </c>
      <c r="B131" t="s">
        <v>10</v>
      </c>
      <c r="C131" t="s">
        <v>19</v>
      </c>
      <c r="D131" t="s">
        <v>12</v>
      </c>
      <c r="E131" t="str">
        <f t="shared" si="5"/>
        <v>P_I7A-KYY-S_4U3</v>
      </c>
      <c r="F131" t="b">
        <v>1</v>
      </c>
      <c r="G131">
        <v>70</v>
      </c>
      <c r="H131">
        <v>0</v>
      </c>
      <c r="I131">
        <v>11664</v>
      </c>
      <c r="J131" s="49" t="s">
        <v>13</v>
      </c>
      <c r="L131" s="16" t="s">
        <v>272</v>
      </c>
      <c r="M131" s="16">
        <v>3</v>
      </c>
      <c r="N131" s="16" t="s">
        <v>277</v>
      </c>
      <c r="O131" s="16" t="s">
        <v>335</v>
      </c>
      <c r="P131" s="15" t="s">
        <v>283</v>
      </c>
      <c r="Q131" t="s">
        <v>286</v>
      </c>
      <c r="R131" t="s">
        <v>371</v>
      </c>
      <c r="S131" s="17" t="s">
        <v>371</v>
      </c>
      <c r="T131" s="16" t="s">
        <v>341</v>
      </c>
      <c r="U131" s="16" t="s">
        <v>340</v>
      </c>
      <c r="V131" s="15" t="s">
        <v>343</v>
      </c>
      <c r="W131" s="15" t="s">
        <v>344</v>
      </c>
      <c r="X131" s="17"/>
      <c r="Y131" t="s">
        <v>349</v>
      </c>
      <c r="Z131" t="s">
        <v>349</v>
      </c>
      <c r="AA131" t="s">
        <v>293</v>
      </c>
      <c r="AB131" t="s">
        <v>352</v>
      </c>
      <c r="AC131" t="s">
        <v>296</v>
      </c>
      <c r="AD131" t="s">
        <v>301</v>
      </c>
      <c r="AE131" t="s">
        <v>292</v>
      </c>
      <c r="AF131" t="s">
        <v>293</v>
      </c>
      <c r="AG131" t="s">
        <v>292</v>
      </c>
      <c r="AH131" t="s">
        <v>292</v>
      </c>
      <c r="AI131" t="s">
        <v>293</v>
      </c>
      <c r="AJ131" t="s">
        <v>302</v>
      </c>
      <c r="AK131" t="s">
        <v>302</v>
      </c>
      <c r="AL131" t="s">
        <v>359</v>
      </c>
      <c r="AM131" t="s">
        <v>293</v>
      </c>
      <c r="AN131" t="s">
        <v>293</v>
      </c>
      <c r="AO131" t="s">
        <v>297</v>
      </c>
      <c r="AP131" t="s">
        <v>298</v>
      </c>
      <c r="AQ131" t="s">
        <v>293</v>
      </c>
      <c r="AR131" t="s">
        <v>292</v>
      </c>
      <c r="AS131" t="s">
        <v>293</v>
      </c>
      <c r="AT131" t="s">
        <v>293</v>
      </c>
      <c r="AU131" t="s">
        <v>364</v>
      </c>
      <c r="AV131" t="str">
        <f t="shared" si="4"/>
        <v>no_fail</v>
      </c>
    </row>
    <row r="132" spans="1:49" x14ac:dyDescent="0.3">
      <c r="A132" t="s">
        <v>9</v>
      </c>
      <c r="B132" t="s">
        <v>10</v>
      </c>
      <c r="C132" t="s">
        <v>17</v>
      </c>
      <c r="D132" t="s">
        <v>12</v>
      </c>
      <c r="E132" t="str">
        <f t="shared" si="5"/>
        <v>P_I7A-KYY-S_6B5</v>
      </c>
      <c r="F132" t="b">
        <v>1</v>
      </c>
      <c r="G132">
        <v>100</v>
      </c>
      <c r="H132">
        <v>1</v>
      </c>
      <c r="I132">
        <v>10979</v>
      </c>
      <c r="J132" s="49" t="s">
        <v>18</v>
      </c>
      <c r="L132" s="16" t="s">
        <v>272</v>
      </c>
      <c r="M132" s="16">
        <v>3</v>
      </c>
      <c r="N132" s="16" t="s">
        <v>277</v>
      </c>
      <c r="O132" s="16" t="s">
        <v>335</v>
      </c>
      <c r="P132" s="15" t="s">
        <v>283</v>
      </c>
      <c r="Q132" t="s">
        <v>286</v>
      </c>
      <c r="R132" t="s">
        <v>371</v>
      </c>
      <c r="S132" s="17" t="s">
        <v>371</v>
      </c>
      <c r="T132" s="16" t="s">
        <v>341</v>
      </c>
      <c r="U132" s="16" t="s">
        <v>340</v>
      </c>
      <c r="V132" s="15" t="s">
        <v>343</v>
      </c>
      <c r="W132" s="15" t="s">
        <v>344</v>
      </c>
      <c r="X132" s="17"/>
      <c r="Y132" t="s">
        <v>349</v>
      </c>
      <c r="Z132" t="s">
        <v>349</v>
      </c>
      <c r="AA132" t="s">
        <v>293</v>
      </c>
      <c r="AB132" t="s">
        <v>352</v>
      </c>
      <c r="AC132" t="s">
        <v>297</v>
      </c>
      <c r="AD132" t="s">
        <v>301</v>
      </c>
      <c r="AE132" t="s">
        <v>292</v>
      </c>
      <c r="AF132" t="s">
        <v>293</v>
      </c>
      <c r="AG132" t="s">
        <v>292</v>
      </c>
      <c r="AH132" t="s">
        <v>293</v>
      </c>
      <c r="AI132" t="s">
        <v>293</v>
      </c>
      <c r="AJ132" t="s">
        <v>302</v>
      </c>
      <c r="AK132" t="s">
        <v>302</v>
      </c>
      <c r="AL132" t="s">
        <v>359</v>
      </c>
      <c r="AM132" t="s">
        <v>293</v>
      </c>
      <c r="AN132" t="s">
        <v>293</v>
      </c>
      <c r="AO132" t="s">
        <v>297</v>
      </c>
      <c r="AP132" t="s">
        <v>298</v>
      </c>
      <c r="AQ132" t="s">
        <v>293</v>
      </c>
      <c r="AR132" t="s">
        <v>292</v>
      </c>
      <c r="AS132" t="s">
        <v>293</v>
      </c>
      <c r="AT132" t="s">
        <v>293</v>
      </c>
      <c r="AU132" t="s">
        <v>364</v>
      </c>
      <c r="AV132" t="str">
        <f t="shared" si="4"/>
        <v>break</v>
      </c>
    </row>
    <row r="133" spans="1:49" x14ac:dyDescent="0.3">
      <c r="A133" t="s">
        <v>9</v>
      </c>
      <c r="B133" t="s">
        <v>10</v>
      </c>
      <c r="C133" t="s">
        <v>16</v>
      </c>
      <c r="D133" t="s">
        <v>12</v>
      </c>
      <c r="E133" t="str">
        <f t="shared" si="5"/>
        <v>P_I7A-KYY-S_6U7</v>
      </c>
      <c r="F133" t="b">
        <v>1</v>
      </c>
      <c r="G133">
        <v>68.2</v>
      </c>
      <c r="H133">
        <v>0</v>
      </c>
      <c r="I133">
        <v>11982</v>
      </c>
      <c r="J133" s="49" t="s">
        <v>13</v>
      </c>
      <c r="L133" s="16" t="s">
        <v>272</v>
      </c>
      <c r="M133" s="16">
        <v>3</v>
      </c>
      <c r="N133" s="16" t="s">
        <v>277</v>
      </c>
      <c r="O133" s="16" t="s">
        <v>335</v>
      </c>
      <c r="P133" s="15" t="s">
        <v>283</v>
      </c>
      <c r="Q133" t="s">
        <v>286</v>
      </c>
      <c r="R133" t="s">
        <v>371</v>
      </c>
      <c r="S133" s="17" t="s">
        <v>371</v>
      </c>
      <c r="T133" s="16" t="s">
        <v>341</v>
      </c>
      <c r="U133" s="16" t="s">
        <v>340</v>
      </c>
      <c r="V133" s="15" t="s">
        <v>343</v>
      </c>
      <c r="W133" s="15" t="s">
        <v>344</v>
      </c>
      <c r="X133" s="17"/>
      <c r="Y133" t="s">
        <v>349</v>
      </c>
      <c r="Z133" t="s">
        <v>349</v>
      </c>
      <c r="AA133" t="s">
        <v>293</v>
      </c>
      <c r="AB133" t="s">
        <v>352</v>
      </c>
      <c r="AC133" t="s">
        <v>296</v>
      </c>
      <c r="AD133" t="s">
        <v>301</v>
      </c>
      <c r="AE133" t="s">
        <v>292</v>
      </c>
      <c r="AF133" t="s">
        <v>293</v>
      </c>
      <c r="AG133" t="s">
        <v>292</v>
      </c>
      <c r="AH133" t="s">
        <v>292</v>
      </c>
      <c r="AI133" t="s">
        <v>293</v>
      </c>
      <c r="AJ133" t="s">
        <v>302</v>
      </c>
      <c r="AK133" t="s">
        <v>302</v>
      </c>
      <c r="AL133" t="s">
        <v>359</v>
      </c>
      <c r="AM133" t="s">
        <v>293</v>
      </c>
      <c r="AN133" t="s">
        <v>293</v>
      </c>
      <c r="AO133" t="s">
        <v>297</v>
      </c>
      <c r="AP133" t="s">
        <v>298</v>
      </c>
      <c r="AQ133" t="s">
        <v>293</v>
      </c>
      <c r="AR133" t="s">
        <v>292</v>
      </c>
      <c r="AS133" t="s">
        <v>293</v>
      </c>
      <c r="AT133" t="s">
        <v>293</v>
      </c>
      <c r="AU133" t="s">
        <v>364</v>
      </c>
      <c r="AV133" t="str">
        <f t="shared" si="4"/>
        <v>no_fail</v>
      </c>
    </row>
    <row r="134" spans="1:49" x14ac:dyDescent="0.3">
      <c r="A134" t="s">
        <v>9</v>
      </c>
      <c r="B134" t="s">
        <v>10</v>
      </c>
      <c r="C134" t="s">
        <v>20</v>
      </c>
      <c r="D134" t="s">
        <v>12</v>
      </c>
      <c r="E134" t="str">
        <f t="shared" si="5"/>
        <v>P_I7A-KYY-S_7W0</v>
      </c>
      <c r="F134" t="b">
        <v>1</v>
      </c>
      <c r="G134">
        <v>100</v>
      </c>
      <c r="H134">
        <v>1</v>
      </c>
      <c r="I134">
        <v>11362</v>
      </c>
      <c r="J134" s="49" t="s">
        <v>18</v>
      </c>
      <c r="L134" s="16" t="s">
        <v>272</v>
      </c>
      <c r="M134" s="16">
        <v>3</v>
      </c>
      <c r="N134" s="16" t="s">
        <v>277</v>
      </c>
      <c r="O134" s="16" t="s">
        <v>335</v>
      </c>
      <c r="P134" s="15" t="s">
        <v>283</v>
      </c>
      <c r="Q134" t="s">
        <v>286</v>
      </c>
      <c r="R134" t="s">
        <v>371</v>
      </c>
      <c r="S134" s="17" t="s">
        <v>371</v>
      </c>
      <c r="T134" s="16" t="s">
        <v>341</v>
      </c>
      <c r="U134" s="16" t="s">
        <v>340</v>
      </c>
      <c r="V134" s="15" t="s">
        <v>343</v>
      </c>
      <c r="W134" s="15" t="s">
        <v>344</v>
      </c>
      <c r="X134" s="17"/>
      <c r="Y134" t="s">
        <v>349</v>
      </c>
      <c r="Z134" t="s">
        <v>349</v>
      </c>
      <c r="AA134" t="s">
        <v>293</v>
      </c>
      <c r="AB134" t="s">
        <v>352</v>
      </c>
      <c r="AC134" t="s">
        <v>296</v>
      </c>
      <c r="AD134" t="s">
        <v>301</v>
      </c>
      <c r="AE134" t="s">
        <v>292</v>
      </c>
      <c r="AF134" t="s">
        <v>293</v>
      </c>
      <c r="AG134" t="s">
        <v>292</v>
      </c>
      <c r="AH134" t="s">
        <v>292</v>
      </c>
      <c r="AI134" t="s">
        <v>293</v>
      </c>
      <c r="AJ134" t="s">
        <v>302</v>
      </c>
      <c r="AK134" t="s">
        <v>302</v>
      </c>
      <c r="AL134" t="s">
        <v>359</v>
      </c>
      <c r="AM134" t="s">
        <v>293</v>
      </c>
      <c r="AN134" t="s">
        <v>293</v>
      </c>
      <c r="AO134" t="s">
        <v>297</v>
      </c>
      <c r="AP134" t="s">
        <v>298</v>
      </c>
      <c r="AQ134" t="s">
        <v>293</v>
      </c>
      <c r="AR134" t="s">
        <v>292</v>
      </c>
      <c r="AS134" t="s">
        <v>293</v>
      </c>
      <c r="AT134" t="s">
        <v>293</v>
      </c>
      <c r="AU134" t="s">
        <v>364</v>
      </c>
      <c r="AV134" t="str">
        <f t="shared" si="4"/>
        <v>break</v>
      </c>
    </row>
    <row r="135" spans="1:49" x14ac:dyDescent="0.3">
      <c r="A135" t="s">
        <v>9</v>
      </c>
      <c r="B135" t="s">
        <v>10</v>
      </c>
      <c r="C135" t="s">
        <v>26</v>
      </c>
      <c r="D135" t="s">
        <v>12</v>
      </c>
      <c r="E135" t="str">
        <f t="shared" si="5"/>
        <v>P_I7A-KYY-S_8O8</v>
      </c>
      <c r="F135" t="b">
        <v>1</v>
      </c>
      <c r="G135">
        <v>100</v>
      </c>
      <c r="H135">
        <v>1</v>
      </c>
      <c r="I135">
        <v>11665</v>
      </c>
      <c r="J135" s="49" t="s">
        <v>18</v>
      </c>
      <c r="L135" s="16" t="s">
        <v>272</v>
      </c>
      <c r="M135" s="16">
        <v>3</v>
      </c>
      <c r="N135" s="16" t="s">
        <v>277</v>
      </c>
      <c r="O135" s="16" t="s">
        <v>335</v>
      </c>
      <c r="P135" s="15" t="s">
        <v>281</v>
      </c>
      <c r="Q135" t="s">
        <v>283</v>
      </c>
      <c r="R135" t="s">
        <v>286</v>
      </c>
      <c r="S135" s="17" t="s">
        <v>371</v>
      </c>
      <c r="T135" s="16" t="s">
        <v>341</v>
      </c>
      <c r="U135" s="16" t="s">
        <v>340</v>
      </c>
      <c r="V135" s="15" t="s">
        <v>343</v>
      </c>
      <c r="W135" s="15" t="s">
        <v>344</v>
      </c>
      <c r="X135" s="17"/>
      <c r="Y135" t="s">
        <v>349</v>
      </c>
      <c r="Z135" t="s">
        <v>349</v>
      </c>
      <c r="AA135" t="s">
        <v>293</v>
      </c>
      <c r="AB135" t="s">
        <v>352</v>
      </c>
      <c r="AC135" t="s">
        <v>296</v>
      </c>
      <c r="AD135" t="s">
        <v>301</v>
      </c>
      <c r="AE135" t="s">
        <v>292</v>
      </c>
      <c r="AF135" t="s">
        <v>293</v>
      </c>
      <c r="AG135" t="s">
        <v>292</v>
      </c>
      <c r="AH135" t="s">
        <v>292</v>
      </c>
      <c r="AI135" t="s">
        <v>293</v>
      </c>
      <c r="AJ135" t="s">
        <v>302</v>
      </c>
      <c r="AK135" t="s">
        <v>302</v>
      </c>
      <c r="AL135" t="s">
        <v>359</v>
      </c>
      <c r="AM135" t="s">
        <v>293</v>
      </c>
      <c r="AN135" t="s">
        <v>293</v>
      </c>
      <c r="AO135" t="s">
        <v>297</v>
      </c>
      <c r="AP135" t="s">
        <v>298</v>
      </c>
      <c r="AQ135" t="s">
        <v>293</v>
      </c>
      <c r="AR135" t="s">
        <v>292</v>
      </c>
      <c r="AS135" t="s">
        <v>293</v>
      </c>
      <c r="AT135" t="s">
        <v>293</v>
      </c>
      <c r="AU135" t="s">
        <v>364</v>
      </c>
      <c r="AV135" t="str">
        <f t="shared" si="4"/>
        <v>break</v>
      </c>
    </row>
    <row r="136" spans="1:49" s="38" customFormat="1" x14ac:dyDescent="0.3">
      <c r="A136" t="s">
        <v>9</v>
      </c>
      <c r="B136" t="s">
        <v>10</v>
      </c>
      <c r="C136" t="s">
        <v>22</v>
      </c>
      <c r="D136" t="s">
        <v>12</v>
      </c>
      <c r="E136" t="str">
        <f t="shared" si="5"/>
        <v>P_I7A-KYY-S_9B4</v>
      </c>
      <c r="F136" t="b">
        <v>1</v>
      </c>
      <c r="G136">
        <v>100</v>
      </c>
      <c r="H136">
        <v>1</v>
      </c>
      <c r="I136">
        <v>11364</v>
      </c>
      <c r="J136" s="49" t="s">
        <v>18</v>
      </c>
      <c r="K136" s="49"/>
      <c r="L136" s="16" t="s">
        <v>272</v>
      </c>
      <c r="M136" s="16">
        <v>3</v>
      </c>
      <c r="N136" s="16" t="s">
        <v>277</v>
      </c>
      <c r="O136" s="16" t="s">
        <v>335</v>
      </c>
      <c r="P136" s="15" t="s">
        <v>283</v>
      </c>
      <c r="Q136" t="s">
        <v>286</v>
      </c>
      <c r="R136" t="s">
        <v>371</v>
      </c>
      <c r="S136" s="17" t="s">
        <v>371</v>
      </c>
      <c r="T136" s="16" t="s">
        <v>341</v>
      </c>
      <c r="U136" s="16" t="s">
        <v>340</v>
      </c>
      <c r="V136" s="15" t="s">
        <v>343</v>
      </c>
      <c r="W136" s="15" t="s">
        <v>344</v>
      </c>
      <c r="X136" s="17"/>
      <c r="Y136" t="s">
        <v>349</v>
      </c>
      <c r="Z136" t="s">
        <v>349</v>
      </c>
      <c r="AA136" t="s">
        <v>293</v>
      </c>
      <c r="AB136" t="s">
        <v>352</v>
      </c>
      <c r="AC136" t="s">
        <v>296</v>
      </c>
      <c r="AD136" t="s">
        <v>300</v>
      </c>
      <c r="AE136" t="s">
        <v>292</v>
      </c>
      <c r="AF136" t="s">
        <v>293</v>
      </c>
      <c r="AG136" t="s">
        <v>292</v>
      </c>
      <c r="AH136" t="s">
        <v>292</v>
      </c>
      <c r="AI136" t="s">
        <v>293</v>
      </c>
      <c r="AJ136" t="s">
        <v>302</v>
      </c>
      <c r="AK136" t="s">
        <v>302</v>
      </c>
      <c r="AL136" t="s">
        <v>359</v>
      </c>
      <c r="AM136" t="s">
        <v>293</v>
      </c>
      <c r="AN136" t="s">
        <v>293</v>
      </c>
      <c r="AO136" t="s">
        <v>297</v>
      </c>
      <c r="AP136" t="s">
        <v>298</v>
      </c>
      <c r="AQ136" t="s">
        <v>293</v>
      </c>
      <c r="AR136" t="s">
        <v>292</v>
      </c>
      <c r="AS136" t="s">
        <v>293</v>
      </c>
      <c r="AT136" t="s">
        <v>293</v>
      </c>
      <c r="AU136" t="s">
        <v>364</v>
      </c>
      <c r="AV136" t="str">
        <f t="shared" si="4"/>
        <v>break</v>
      </c>
      <c r="AW136"/>
    </row>
    <row r="137" spans="1:49" x14ac:dyDescent="0.3">
      <c r="A137" t="s">
        <v>9</v>
      </c>
      <c r="B137" t="s">
        <v>10</v>
      </c>
      <c r="C137" t="s">
        <v>39</v>
      </c>
      <c r="D137" t="s">
        <v>29</v>
      </c>
      <c r="E137" t="str">
        <f t="shared" si="5"/>
        <v>P_I7A-ZSB-S_2I5</v>
      </c>
      <c r="F137" t="b">
        <v>1</v>
      </c>
      <c r="G137">
        <v>100</v>
      </c>
      <c r="H137">
        <v>1</v>
      </c>
      <c r="I137">
        <v>13269</v>
      </c>
      <c r="J137" s="49" t="s">
        <v>18</v>
      </c>
      <c r="L137" s="16" t="s">
        <v>272</v>
      </c>
      <c r="M137" s="16">
        <v>3</v>
      </c>
      <c r="N137" s="16" t="s">
        <v>333</v>
      </c>
      <c r="O137" s="16" t="s">
        <v>279</v>
      </c>
      <c r="P137" s="15" t="s">
        <v>283</v>
      </c>
      <c r="Q137" t="s">
        <v>282</v>
      </c>
      <c r="R137" t="s">
        <v>338</v>
      </c>
      <c r="S137" s="17" t="s">
        <v>371</v>
      </c>
      <c r="T137" s="16" t="s">
        <v>341</v>
      </c>
      <c r="U137" s="16" t="s">
        <v>340</v>
      </c>
      <c r="V137" s="15" t="s">
        <v>343</v>
      </c>
      <c r="W137" s="15" t="s">
        <v>344</v>
      </c>
      <c r="X137" s="17"/>
      <c r="Y137" t="s">
        <v>349</v>
      </c>
      <c r="Z137" t="s">
        <v>349</v>
      </c>
      <c r="AA137" t="s">
        <v>293</v>
      </c>
      <c r="AB137" t="s">
        <v>352</v>
      </c>
      <c r="AC137" t="s">
        <v>296</v>
      </c>
      <c r="AD137" t="s">
        <v>301</v>
      </c>
      <c r="AE137" t="s">
        <v>292</v>
      </c>
      <c r="AF137" t="s">
        <v>293</v>
      </c>
      <c r="AG137" t="s">
        <v>292</v>
      </c>
      <c r="AH137" t="s">
        <v>292</v>
      </c>
      <c r="AI137" t="s">
        <v>293</v>
      </c>
      <c r="AJ137" t="s">
        <v>302</v>
      </c>
      <c r="AK137" t="s">
        <v>302</v>
      </c>
      <c r="AL137" t="s">
        <v>359</v>
      </c>
      <c r="AM137" t="s">
        <v>293</v>
      </c>
      <c r="AN137" t="s">
        <v>293</v>
      </c>
      <c r="AO137" t="s">
        <v>297</v>
      </c>
      <c r="AP137" t="s">
        <v>298</v>
      </c>
      <c r="AQ137" t="s">
        <v>293</v>
      </c>
      <c r="AR137" t="s">
        <v>292</v>
      </c>
      <c r="AS137" t="s">
        <v>293</v>
      </c>
      <c r="AT137" t="s">
        <v>293</v>
      </c>
      <c r="AU137" t="s">
        <v>364</v>
      </c>
      <c r="AV137" t="str">
        <f t="shared" si="4"/>
        <v>break</v>
      </c>
    </row>
    <row r="138" spans="1:49" x14ac:dyDescent="0.3">
      <c r="A138" t="s">
        <v>9</v>
      </c>
      <c r="B138" t="s">
        <v>10</v>
      </c>
      <c r="C138" t="s">
        <v>37</v>
      </c>
      <c r="D138" t="s">
        <v>29</v>
      </c>
      <c r="E138" t="str">
        <f t="shared" si="5"/>
        <v>P_I7A-ZSB-S_3A8</v>
      </c>
      <c r="F138" t="b">
        <v>1</v>
      </c>
      <c r="G138">
        <v>100</v>
      </c>
      <c r="H138">
        <v>1</v>
      </c>
      <c r="I138">
        <v>14668</v>
      </c>
      <c r="J138" s="49" t="s">
        <v>18</v>
      </c>
      <c r="L138" s="16" t="s">
        <v>272</v>
      </c>
      <c r="M138" s="16">
        <v>3</v>
      </c>
      <c r="N138" s="16" t="s">
        <v>277</v>
      </c>
      <c r="O138" s="16" t="s">
        <v>335</v>
      </c>
      <c r="P138" s="15" t="s">
        <v>273</v>
      </c>
      <c r="Q138" t="s">
        <v>286</v>
      </c>
      <c r="R138" t="s">
        <v>371</v>
      </c>
      <c r="S138" s="17" t="s">
        <v>371</v>
      </c>
      <c r="T138" s="16" t="s">
        <v>341</v>
      </c>
      <c r="U138" s="16" t="s">
        <v>340</v>
      </c>
      <c r="V138" s="15" t="s">
        <v>343</v>
      </c>
      <c r="W138" s="15" t="s">
        <v>344</v>
      </c>
      <c r="X138" s="17"/>
      <c r="Y138" t="s">
        <v>349</v>
      </c>
      <c r="Z138" t="s">
        <v>349</v>
      </c>
      <c r="AA138" t="s">
        <v>293</v>
      </c>
      <c r="AB138" t="s">
        <v>353</v>
      </c>
      <c r="AC138" t="s">
        <v>296</v>
      </c>
      <c r="AD138" t="s">
        <v>301</v>
      </c>
      <c r="AE138" t="s">
        <v>292</v>
      </c>
      <c r="AF138" t="s">
        <v>293</v>
      </c>
      <c r="AG138" t="s">
        <v>292</v>
      </c>
      <c r="AH138" t="s">
        <v>292</v>
      </c>
      <c r="AI138" t="s">
        <v>293</v>
      </c>
      <c r="AJ138" t="s">
        <v>302</v>
      </c>
      <c r="AK138" t="s">
        <v>302</v>
      </c>
      <c r="AL138" t="s">
        <v>359</v>
      </c>
      <c r="AM138" t="s">
        <v>293</v>
      </c>
      <c r="AN138" t="s">
        <v>293</v>
      </c>
      <c r="AO138" t="s">
        <v>297</v>
      </c>
      <c r="AP138" t="s">
        <v>298</v>
      </c>
      <c r="AQ138" t="s">
        <v>293</v>
      </c>
      <c r="AR138" t="s">
        <v>292</v>
      </c>
      <c r="AS138" t="s">
        <v>293</v>
      </c>
      <c r="AT138" t="s">
        <v>293</v>
      </c>
      <c r="AU138" t="s">
        <v>364</v>
      </c>
      <c r="AV138" t="str">
        <f t="shared" si="4"/>
        <v>break</v>
      </c>
    </row>
    <row r="139" spans="1:49" x14ac:dyDescent="0.3">
      <c r="A139" t="s">
        <v>9</v>
      </c>
      <c r="B139" t="s">
        <v>10</v>
      </c>
      <c r="C139" t="s">
        <v>32</v>
      </c>
      <c r="D139" t="s">
        <v>29</v>
      </c>
      <c r="E139" t="str">
        <f t="shared" si="5"/>
        <v>P_I7A-ZSB-S_3B9</v>
      </c>
      <c r="F139" t="b">
        <v>1</v>
      </c>
      <c r="G139">
        <v>51.4</v>
      </c>
      <c r="H139">
        <v>0</v>
      </c>
      <c r="I139">
        <v>14956</v>
      </c>
      <c r="J139" s="49" t="s">
        <v>13</v>
      </c>
      <c r="L139" s="16" t="s">
        <v>273</v>
      </c>
      <c r="M139" s="16">
        <v>2</v>
      </c>
      <c r="N139" s="16" t="s">
        <v>333</v>
      </c>
      <c r="O139" s="16" t="s">
        <v>278</v>
      </c>
      <c r="P139" s="15" t="s">
        <v>283</v>
      </c>
      <c r="Q139" t="s">
        <v>281</v>
      </c>
      <c r="R139" t="s">
        <v>371</v>
      </c>
      <c r="S139" s="17" t="s">
        <v>371</v>
      </c>
      <c r="T139" s="16" t="s">
        <v>341</v>
      </c>
      <c r="U139" s="16" t="s">
        <v>342</v>
      </c>
      <c r="V139" s="15" t="s">
        <v>343</v>
      </c>
      <c r="W139" s="15" t="s">
        <v>344</v>
      </c>
      <c r="X139" s="17" t="s">
        <v>291</v>
      </c>
      <c r="Y139" t="s">
        <v>349</v>
      </c>
      <c r="Z139" t="s">
        <v>349</v>
      </c>
      <c r="AA139" t="s">
        <v>293</v>
      </c>
      <c r="AB139" t="s">
        <v>353</v>
      </c>
      <c r="AC139" t="s">
        <v>296</v>
      </c>
      <c r="AD139" t="s">
        <v>300</v>
      </c>
      <c r="AE139" t="s">
        <v>292</v>
      </c>
      <c r="AF139" t="s">
        <v>293</v>
      </c>
      <c r="AG139" t="s">
        <v>292</v>
      </c>
      <c r="AH139" t="s">
        <v>292</v>
      </c>
      <c r="AI139" t="s">
        <v>293</v>
      </c>
      <c r="AJ139" t="s">
        <v>302</v>
      </c>
      <c r="AK139" t="s">
        <v>357</v>
      </c>
      <c r="AL139" t="s">
        <v>359</v>
      </c>
      <c r="AM139" t="s">
        <v>293</v>
      </c>
      <c r="AN139" t="s">
        <v>293</v>
      </c>
      <c r="AO139" t="s">
        <v>297</v>
      </c>
      <c r="AP139" t="s">
        <v>298</v>
      </c>
      <c r="AQ139" t="s">
        <v>293</v>
      </c>
      <c r="AR139" t="s">
        <v>292</v>
      </c>
      <c r="AS139" t="s">
        <v>293</v>
      </c>
      <c r="AT139" t="s">
        <v>293</v>
      </c>
      <c r="AU139" t="s">
        <v>364</v>
      </c>
      <c r="AV139" t="str">
        <f t="shared" si="4"/>
        <v>no_fail</v>
      </c>
    </row>
    <row r="140" spans="1:49" x14ac:dyDescent="0.3">
      <c r="A140" t="s">
        <v>9</v>
      </c>
      <c r="B140" t="s">
        <v>10</v>
      </c>
      <c r="C140" t="s">
        <v>30</v>
      </c>
      <c r="D140" t="s">
        <v>29</v>
      </c>
      <c r="E140" t="str">
        <f t="shared" si="5"/>
        <v>P_I7A-ZSB-S_3X7</v>
      </c>
      <c r="F140" t="b">
        <v>1</v>
      </c>
      <c r="G140">
        <v>100</v>
      </c>
      <c r="H140">
        <v>1</v>
      </c>
      <c r="I140">
        <v>14222</v>
      </c>
      <c r="J140" s="49" t="s">
        <v>18</v>
      </c>
      <c r="L140" s="16" t="s">
        <v>273</v>
      </c>
      <c r="M140" s="16">
        <v>2</v>
      </c>
      <c r="N140" s="16" t="s">
        <v>333</v>
      </c>
      <c r="O140" s="16" t="s">
        <v>278</v>
      </c>
      <c r="P140" s="15" t="s">
        <v>283</v>
      </c>
      <c r="Q140" t="s">
        <v>284</v>
      </c>
      <c r="R140" t="s">
        <v>371</v>
      </c>
      <c r="S140" s="17" t="s">
        <v>371</v>
      </c>
      <c r="T140" s="16" t="s">
        <v>341</v>
      </c>
      <c r="U140" s="16" t="s">
        <v>342</v>
      </c>
      <c r="V140" s="15" t="s">
        <v>343</v>
      </c>
      <c r="W140" s="15" t="s">
        <v>344</v>
      </c>
      <c r="X140" s="17" t="s">
        <v>291</v>
      </c>
      <c r="Y140" t="s">
        <v>349</v>
      </c>
      <c r="Z140" t="s">
        <v>349</v>
      </c>
      <c r="AA140" t="s">
        <v>293</v>
      </c>
      <c r="AB140" t="s">
        <v>353</v>
      </c>
      <c r="AC140" t="s">
        <v>296</v>
      </c>
      <c r="AD140" t="s">
        <v>300</v>
      </c>
      <c r="AE140" t="s">
        <v>292</v>
      </c>
      <c r="AF140" t="s">
        <v>293</v>
      </c>
      <c r="AG140" t="s">
        <v>292</v>
      </c>
      <c r="AH140" t="s">
        <v>292</v>
      </c>
      <c r="AI140" t="s">
        <v>293</v>
      </c>
      <c r="AJ140" t="s">
        <v>302</v>
      </c>
      <c r="AK140" t="s">
        <v>357</v>
      </c>
      <c r="AL140" t="s">
        <v>359</v>
      </c>
      <c r="AM140" t="s">
        <v>293</v>
      </c>
      <c r="AN140" t="s">
        <v>293</v>
      </c>
      <c r="AO140" t="s">
        <v>297</v>
      </c>
      <c r="AP140" t="s">
        <v>298</v>
      </c>
      <c r="AQ140" t="s">
        <v>293</v>
      </c>
      <c r="AR140" t="s">
        <v>292</v>
      </c>
      <c r="AS140" t="s">
        <v>293</v>
      </c>
      <c r="AT140" t="s">
        <v>293</v>
      </c>
      <c r="AU140" t="s">
        <v>364</v>
      </c>
      <c r="AV140" t="str">
        <f t="shared" si="4"/>
        <v>break</v>
      </c>
    </row>
    <row r="141" spans="1:49" x14ac:dyDescent="0.3">
      <c r="A141" t="s">
        <v>9</v>
      </c>
      <c r="B141" t="s">
        <v>10</v>
      </c>
      <c r="C141" t="s">
        <v>41</v>
      </c>
      <c r="D141" t="s">
        <v>29</v>
      </c>
      <c r="E141" t="str">
        <f t="shared" si="5"/>
        <v>P_I7A-ZSB-S_4B4</v>
      </c>
      <c r="F141" t="b">
        <v>1</v>
      </c>
      <c r="G141">
        <v>100</v>
      </c>
      <c r="H141">
        <v>1</v>
      </c>
      <c r="I141">
        <v>12926</v>
      </c>
      <c r="J141" s="49" t="s">
        <v>18</v>
      </c>
      <c r="L141" s="16" t="s">
        <v>272</v>
      </c>
      <c r="M141" s="16">
        <v>3</v>
      </c>
      <c r="N141" s="16" t="s">
        <v>333</v>
      </c>
      <c r="O141" s="16" t="s">
        <v>279</v>
      </c>
      <c r="P141" s="15" t="s">
        <v>283</v>
      </c>
      <c r="Q141" t="s">
        <v>282</v>
      </c>
      <c r="R141" t="s">
        <v>338</v>
      </c>
      <c r="S141" s="17" t="s">
        <v>371</v>
      </c>
      <c r="T141" s="16" t="s">
        <v>341</v>
      </c>
      <c r="U141" s="16" t="s">
        <v>340</v>
      </c>
      <c r="V141" s="15" t="s">
        <v>343</v>
      </c>
      <c r="W141" s="15" t="s">
        <v>344</v>
      </c>
      <c r="X141" s="17"/>
      <c r="Y141" t="s">
        <v>350</v>
      </c>
      <c r="Z141" t="s">
        <v>349</v>
      </c>
      <c r="AA141" t="s">
        <v>293</v>
      </c>
      <c r="AB141" t="s">
        <v>353</v>
      </c>
      <c r="AC141" t="s">
        <v>296</v>
      </c>
      <c r="AD141" t="s">
        <v>301</v>
      </c>
      <c r="AE141" t="s">
        <v>292</v>
      </c>
      <c r="AF141" t="s">
        <v>293</v>
      </c>
      <c r="AG141" t="s">
        <v>292</v>
      </c>
      <c r="AH141" t="s">
        <v>292</v>
      </c>
      <c r="AI141" t="s">
        <v>293</v>
      </c>
      <c r="AJ141" t="s">
        <v>302</v>
      </c>
      <c r="AK141" t="s">
        <v>302</v>
      </c>
      <c r="AL141" t="s">
        <v>359</v>
      </c>
      <c r="AM141" t="s">
        <v>293</v>
      </c>
      <c r="AN141" t="s">
        <v>293</v>
      </c>
      <c r="AO141" t="s">
        <v>297</v>
      </c>
      <c r="AP141" t="s">
        <v>298</v>
      </c>
      <c r="AQ141" t="s">
        <v>293</v>
      </c>
      <c r="AR141" t="s">
        <v>292</v>
      </c>
      <c r="AS141" t="s">
        <v>293</v>
      </c>
      <c r="AT141" t="s">
        <v>293</v>
      </c>
      <c r="AU141" t="s">
        <v>364</v>
      </c>
      <c r="AV141" t="str">
        <f t="shared" si="4"/>
        <v>break</v>
      </c>
    </row>
    <row r="142" spans="1:49" x14ac:dyDescent="0.3">
      <c r="A142" t="s">
        <v>9</v>
      </c>
      <c r="B142" t="s">
        <v>10</v>
      </c>
      <c r="C142" t="s">
        <v>40</v>
      </c>
      <c r="D142" t="s">
        <v>29</v>
      </c>
      <c r="E142" t="str">
        <f t="shared" si="5"/>
        <v>P_I7A-ZSB-S_5N2</v>
      </c>
      <c r="F142" t="b">
        <v>1</v>
      </c>
      <c r="G142">
        <v>100</v>
      </c>
      <c r="H142">
        <v>1</v>
      </c>
      <c r="I142">
        <v>13632</v>
      </c>
      <c r="J142" s="49" t="s">
        <v>18</v>
      </c>
      <c r="L142" s="16" t="s">
        <v>272</v>
      </c>
      <c r="M142" s="16">
        <v>3</v>
      </c>
      <c r="N142" s="16" t="s">
        <v>333</v>
      </c>
      <c r="O142" s="16" t="s">
        <v>279</v>
      </c>
      <c r="P142" s="15" t="s">
        <v>283</v>
      </c>
      <c r="Q142" t="s">
        <v>282</v>
      </c>
      <c r="R142" t="s">
        <v>338</v>
      </c>
      <c r="S142" s="17" t="s">
        <v>371</v>
      </c>
      <c r="T142" s="16" t="s">
        <v>341</v>
      </c>
      <c r="U142" s="16" t="s">
        <v>340</v>
      </c>
      <c r="V142" s="15" t="s">
        <v>343</v>
      </c>
      <c r="W142" s="15" t="s">
        <v>344</v>
      </c>
      <c r="X142" s="17"/>
      <c r="Y142" t="s">
        <v>350</v>
      </c>
      <c r="Z142" t="s">
        <v>349</v>
      </c>
      <c r="AA142" t="s">
        <v>293</v>
      </c>
      <c r="AB142" t="s">
        <v>352</v>
      </c>
      <c r="AC142" t="s">
        <v>296</v>
      </c>
      <c r="AD142" t="s">
        <v>301</v>
      </c>
      <c r="AE142" t="s">
        <v>292</v>
      </c>
      <c r="AF142" t="s">
        <v>293</v>
      </c>
      <c r="AG142" t="s">
        <v>292</v>
      </c>
      <c r="AH142" t="s">
        <v>292</v>
      </c>
      <c r="AI142" t="s">
        <v>293</v>
      </c>
      <c r="AJ142" t="s">
        <v>302</v>
      </c>
      <c r="AK142" t="s">
        <v>302</v>
      </c>
      <c r="AL142" t="s">
        <v>359</v>
      </c>
      <c r="AM142" t="s">
        <v>293</v>
      </c>
      <c r="AN142" t="s">
        <v>293</v>
      </c>
      <c r="AO142" t="s">
        <v>297</v>
      </c>
      <c r="AP142" t="s">
        <v>298</v>
      </c>
      <c r="AQ142" t="s">
        <v>293</v>
      </c>
      <c r="AR142" t="s">
        <v>292</v>
      </c>
      <c r="AS142" t="s">
        <v>293</v>
      </c>
      <c r="AT142" t="s">
        <v>293</v>
      </c>
      <c r="AU142" t="s">
        <v>364</v>
      </c>
      <c r="AV142" t="str">
        <f t="shared" ref="AV142:AV205" si="6">IF(J142="fail",IF(H142=1,"break","car_stuck"),"no_fail")</f>
        <v>break</v>
      </c>
    </row>
    <row r="143" spans="1:49" x14ac:dyDescent="0.3">
      <c r="A143" t="s">
        <v>9</v>
      </c>
      <c r="B143" t="s">
        <v>10</v>
      </c>
      <c r="C143" t="s">
        <v>38</v>
      </c>
      <c r="D143" t="s">
        <v>29</v>
      </c>
      <c r="E143" t="str">
        <f t="shared" si="5"/>
        <v>P_I7A-ZSB-S_7X6</v>
      </c>
      <c r="F143" t="b">
        <v>1</v>
      </c>
      <c r="G143">
        <v>100</v>
      </c>
      <c r="H143">
        <v>1</v>
      </c>
      <c r="I143">
        <v>16019</v>
      </c>
      <c r="J143" s="49" t="s">
        <v>18</v>
      </c>
      <c r="L143" s="16" t="s">
        <v>272</v>
      </c>
      <c r="M143" s="16">
        <v>3</v>
      </c>
      <c r="N143" s="16" t="s">
        <v>277</v>
      </c>
      <c r="O143" s="16" t="s">
        <v>335</v>
      </c>
      <c r="P143" s="15" t="s">
        <v>273</v>
      </c>
      <c r="Q143" t="s">
        <v>338</v>
      </c>
      <c r="R143" t="s">
        <v>371</v>
      </c>
      <c r="S143" s="17" t="s">
        <v>371</v>
      </c>
      <c r="T143" s="16" t="s">
        <v>341</v>
      </c>
      <c r="U143" s="16" t="s">
        <v>340</v>
      </c>
      <c r="V143" s="15" t="s">
        <v>343</v>
      </c>
      <c r="W143" s="15" t="s">
        <v>344</v>
      </c>
      <c r="X143" s="17"/>
      <c r="Y143" t="s">
        <v>349</v>
      </c>
      <c r="Z143" t="s">
        <v>349</v>
      </c>
      <c r="AA143" t="s">
        <v>293</v>
      </c>
      <c r="AB143" t="s">
        <v>353</v>
      </c>
      <c r="AC143" t="s">
        <v>296</v>
      </c>
      <c r="AD143" t="s">
        <v>301</v>
      </c>
      <c r="AE143" t="s">
        <v>292</v>
      </c>
      <c r="AF143" t="s">
        <v>293</v>
      </c>
      <c r="AG143" t="s">
        <v>292</v>
      </c>
      <c r="AH143" t="s">
        <v>292</v>
      </c>
      <c r="AI143" t="s">
        <v>293</v>
      </c>
      <c r="AJ143" t="s">
        <v>302</v>
      </c>
      <c r="AK143" t="s">
        <v>302</v>
      </c>
      <c r="AL143" t="s">
        <v>359</v>
      </c>
      <c r="AM143" t="s">
        <v>293</v>
      </c>
      <c r="AN143" t="s">
        <v>293</v>
      </c>
      <c r="AO143" t="s">
        <v>297</v>
      </c>
      <c r="AP143" t="s">
        <v>298</v>
      </c>
      <c r="AQ143" t="s">
        <v>293</v>
      </c>
      <c r="AR143" t="s">
        <v>292</v>
      </c>
      <c r="AS143" t="s">
        <v>293</v>
      </c>
      <c r="AT143" t="s">
        <v>293</v>
      </c>
      <c r="AU143" t="s">
        <v>364</v>
      </c>
      <c r="AV143" t="str">
        <f t="shared" si="6"/>
        <v>break</v>
      </c>
    </row>
    <row r="144" spans="1:49" x14ac:dyDescent="0.3">
      <c r="A144" t="s">
        <v>9</v>
      </c>
      <c r="B144" t="s">
        <v>10</v>
      </c>
      <c r="C144" t="s">
        <v>34</v>
      </c>
      <c r="D144" t="s">
        <v>29</v>
      </c>
      <c r="E144" t="str">
        <f t="shared" si="5"/>
        <v>P_I7A-ZSB-S_8A5</v>
      </c>
      <c r="F144" t="b">
        <v>1</v>
      </c>
      <c r="G144">
        <v>100</v>
      </c>
      <c r="H144">
        <v>1</v>
      </c>
      <c r="I144">
        <v>14212</v>
      </c>
      <c r="J144" s="49" t="s">
        <v>18</v>
      </c>
      <c r="L144" s="16" t="s">
        <v>273</v>
      </c>
      <c r="M144" s="16">
        <v>2</v>
      </c>
      <c r="N144" s="16" t="s">
        <v>333</v>
      </c>
      <c r="O144" s="16" t="s">
        <v>278</v>
      </c>
      <c r="P144" s="15" t="s">
        <v>283</v>
      </c>
      <c r="Q144" t="s">
        <v>281</v>
      </c>
      <c r="R144" t="s">
        <v>371</v>
      </c>
      <c r="S144" s="17" t="s">
        <v>371</v>
      </c>
      <c r="T144" s="16" t="s">
        <v>341</v>
      </c>
      <c r="U144" s="16" t="s">
        <v>342</v>
      </c>
      <c r="V144" s="15" t="s">
        <v>343</v>
      </c>
      <c r="W144" s="15" t="s">
        <v>344</v>
      </c>
      <c r="X144" s="17"/>
      <c r="Y144" t="s">
        <v>349</v>
      </c>
      <c r="Z144" t="s">
        <v>349</v>
      </c>
      <c r="AA144" t="s">
        <v>293</v>
      </c>
      <c r="AB144" t="s">
        <v>353</v>
      </c>
      <c r="AC144" t="s">
        <v>296</v>
      </c>
      <c r="AD144" t="s">
        <v>300</v>
      </c>
      <c r="AE144" t="s">
        <v>292</v>
      </c>
      <c r="AF144" t="s">
        <v>293</v>
      </c>
      <c r="AG144" t="s">
        <v>292</v>
      </c>
      <c r="AH144" t="s">
        <v>292</v>
      </c>
      <c r="AI144" t="s">
        <v>293</v>
      </c>
      <c r="AJ144" t="s">
        <v>302</v>
      </c>
      <c r="AK144" t="s">
        <v>357</v>
      </c>
      <c r="AL144" t="s">
        <v>359</v>
      </c>
      <c r="AM144" t="s">
        <v>293</v>
      </c>
      <c r="AN144" t="s">
        <v>293</v>
      </c>
      <c r="AO144" t="s">
        <v>297</v>
      </c>
      <c r="AP144" t="s">
        <v>298</v>
      </c>
      <c r="AQ144" t="s">
        <v>293</v>
      </c>
      <c r="AR144" t="s">
        <v>292</v>
      </c>
      <c r="AS144" t="s">
        <v>293</v>
      </c>
      <c r="AT144" t="s">
        <v>293</v>
      </c>
      <c r="AU144" t="s">
        <v>364</v>
      </c>
      <c r="AV144" t="str">
        <f t="shared" si="6"/>
        <v>break</v>
      </c>
    </row>
    <row r="145" spans="1:48" x14ac:dyDescent="0.3">
      <c r="A145" t="s">
        <v>9</v>
      </c>
      <c r="B145" t="s">
        <v>10</v>
      </c>
      <c r="C145" t="s">
        <v>42</v>
      </c>
      <c r="D145" t="s">
        <v>29</v>
      </c>
      <c r="E145" t="str">
        <f t="shared" si="5"/>
        <v>P_I7A-ZSB-S_8C2</v>
      </c>
      <c r="F145" t="b">
        <v>1</v>
      </c>
      <c r="G145">
        <v>100</v>
      </c>
      <c r="H145">
        <v>1</v>
      </c>
      <c r="I145">
        <v>14591</v>
      </c>
      <c r="J145" s="49" t="s">
        <v>13</v>
      </c>
      <c r="L145" s="16" t="s">
        <v>272</v>
      </c>
      <c r="M145" s="16">
        <v>3</v>
      </c>
      <c r="N145" s="16" t="s">
        <v>333</v>
      </c>
      <c r="O145" s="16" t="s">
        <v>279</v>
      </c>
      <c r="P145" s="15" t="s">
        <v>283</v>
      </c>
      <c r="Q145" t="s">
        <v>282</v>
      </c>
      <c r="R145" t="s">
        <v>338</v>
      </c>
      <c r="S145" s="17" t="s">
        <v>371</v>
      </c>
      <c r="T145" s="16" t="s">
        <v>341</v>
      </c>
      <c r="U145" s="16" t="s">
        <v>340</v>
      </c>
      <c r="V145" s="15" t="s">
        <v>343</v>
      </c>
      <c r="W145" s="15" t="s">
        <v>344</v>
      </c>
      <c r="X145" s="17"/>
      <c r="Y145" t="s">
        <v>350</v>
      </c>
      <c r="Z145" t="s">
        <v>349</v>
      </c>
      <c r="AA145" t="s">
        <v>293</v>
      </c>
      <c r="AB145" t="s">
        <v>353</v>
      </c>
      <c r="AC145" t="s">
        <v>296</v>
      </c>
      <c r="AD145" t="s">
        <v>300</v>
      </c>
      <c r="AE145" t="s">
        <v>292</v>
      </c>
      <c r="AF145" t="s">
        <v>293</v>
      </c>
      <c r="AG145" t="s">
        <v>292</v>
      </c>
      <c r="AH145" t="s">
        <v>292</v>
      </c>
      <c r="AI145" t="s">
        <v>293</v>
      </c>
      <c r="AJ145" t="s">
        <v>302</v>
      </c>
      <c r="AK145" t="s">
        <v>302</v>
      </c>
      <c r="AL145" t="s">
        <v>359</v>
      </c>
      <c r="AM145" t="s">
        <v>293</v>
      </c>
      <c r="AN145" t="s">
        <v>293</v>
      </c>
      <c r="AO145" t="s">
        <v>297</v>
      </c>
      <c r="AP145" t="s">
        <v>298</v>
      </c>
      <c r="AQ145" t="s">
        <v>293</v>
      </c>
      <c r="AR145" t="s">
        <v>292</v>
      </c>
      <c r="AS145" t="s">
        <v>293</v>
      </c>
      <c r="AT145" t="s">
        <v>293</v>
      </c>
      <c r="AU145" t="s">
        <v>364</v>
      </c>
      <c r="AV145" t="str">
        <f t="shared" si="6"/>
        <v>no_fail</v>
      </c>
    </row>
    <row r="146" spans="1:48" x14ac:dyDescent="0.3">
      <c r="A146" t="s">
        <v>9</v>
      </c>
      <c r="B146" t="s">
        <v>10</v>
      </c>
      <c r="C146" t="s">
        <v>36</v>
      </c>
      <c r="D146" t="s">
        <v>29</v>
      </c>
      <c r="E146" t="str">
        <f t="shared" si="5"/>
        <v>P_I7A-ZSB-S_8D0</v>
      </c>
      <c r="F146" t="b">
        <v>1</v>
      </c>
      <c r="G146">
        <v>100</v>
      </c>
      <c r="H146">
        <v>1</v>
      </c>
      <c r="I146">
        <v>14106</v>
      </c>
      <c r="J146" s="49" t="s">
        <v>18</v>
      </c>
      <c r="L146" s="16" t="s">
        <v>272</v>
      </c>
      <c r="M146" s="16">
        <v>3</v>
      </c>
      <c r="N146" s="16" t="s">
        <v>277</v>
      </c>
      <c r="O146" s="16" t="s">
        <v>335</v>
      </c>
      <c r="P146" s="15" t="s">
        <v>273</v>
      </c>
      <c r="Q146" t="s">
        <v>286</v>
      </c>
      <c r="R146" t="s">
        <v>371</v>
      </c>
      <c r="S146" s="17" t="s">
        <v>371</v>
      </c>
      <c r="T146" s="16" t="s">
        <v>341</v>
      </c>
      <c r="U146" s="16" t="s">
        <v>340</v>
      </c>
      <c r="V146" s="15" t="s">
        <v>343</v>
      </c>
      <c r="W146" s="15" t="s">
        <v>344</v>
      </c>
      <c r="X146" s="17"/>
      <c r="Y146" t="s">
        <v>349</v>
      </c>
      <c r="Z146" t="s">
        <v>349</v>
      </c>
      <c r="AA146" t="s">
        <v>293</v>
      </c>
      <c r="AB146" t="s">
        <v>353</v>
      </c>
      <c r="AC146" t="s">
        <v>296</v>
      </c>
      <c r="AD146" t="s">
        <v>301</v>
      </c>
      <c r="AE146" t="s">
        <v>292</v>
      </c>
      <c r="AF146" t="s">
        <v>293</v>
      </c>
      <c r="AG146" t="s">
        <v>292</v>
      </c>
      <c r="AH146" t="s">
        <v>292</v>
      </c>
      <c r="AI146" t="s">
        <v>293</v>
      </c>
      <c r="AJ146" t="s">
        <v>302</v>
      </c>
      <c r="AK146" t="s">
        <v>302</v>
      </c>
      <c r="AL146" t="s">
        <v>359</v>
      </c>
      <c r="AM146" t="s">
        <v>293</v>
      </c>
      <c r="AN146" t="s">
        <v>293</v>
      </c>
      <c r="AO146" t="s">
        <v>297</v>
      </c>
      <c r="AP146" t="s">
        <v>298</v>
      </c>
      <c r="AQ146" t="s">
        <v>293</v>
      </c>
      <c r="AR146" t="s">
        <v>292</v>
      </c>
      <c r="AS146" t="s">
        <v>293</v>
      </c>
      <c r="AT146" t="s">
        <v>293</v>
      </c>
      <c r="AU146" t="s">
        <v>364</v>
      </c>
      <c r="AV146" t="str">
        <f t="shared" si="6"/>
        <v>break</v>
      </c>
    </row>
    <row r="147" spans="1:48" x14ac:dyDescent="0.3">
      <c r="A147" t="s">
        <v>9</v>
      </c>
      <c r="B147" t="s">
        <v>10</v>
      </c>
      <c r="C147" t="s">
        <v>33</v>
      </c>
      <c r="D147" t="s">
        <v>29</v>
      </c>
      <c r="E147" t="str">
        <f t="shared" si="5"/>
        <v>P_I7A-ZSB-S_8I8</v>
      </c>
      <c r="F147" t="b">
        <v>1</v>
      </c>
      <c r="G147">
        <v>100</v>
      </c>
      <c r="H147">
        <v>1</v>
      </c>
      <c r="I147">
        <v>13950</v>
      </c>
      <c r="J147" s="49" t="s">
        <v>18</v>
      </c>
      <c r="L147" s="16" t="s">
        <v>273</v>
      </c>
      <c r="M147" s="16">
        <v>2</v>
      </c>
      <c r="N147" s="16" t="s">
        <v>333</v>
      </c>
      <c r="O147" s="16" t="s">
        <v>278</v>
      </c>
      <c r="P147" s="15" t="s">
        <v>283</v>
      </c>
      <c r="Q147" t="s">
        <v>281</v>
      </c>
      <c r="R147" t="s">
        <v>371</v>
      </c>
      <c r="S147" s="17" t="s">
        <v>371</v>
      </c>
      <c r="T147" s="16" t="s">
        <v>341</v>
      </c>
      <c r="U147" s="16" t="s">
        <v>342</v>
      </c>
      <c r="V147" s="15" t="s">
        <v>343</v>
      </c>
      <c r="W147" s="15" t="s">
        <v>344</v>
      </c>
      <c r="X147" s="17"/>
      <c r="Y147" t="s">
        <v>349</v>
      </c>
      <c r="Z147" t="s">
        <v>349</v>
      </c>
      <c r="AA147" t="s">
        <v>293</v>
      </c>
      <c r="AB147" t="s">
        <v>353</v>
      </c>
      <c r="AC147" t="s">
        <v>296</v>
      </c>
      <c r="AD147" t="s">
        <v>300</v>
      </c>
      <c r="AE147" t="s">
        <v>292</v>
      </c>
      <c r="AF147" t="s">
        <v>293</v>
      </c>
      <c r="AG147" t="s">
        <v>292</v>
      </c>
      <c r="AH147" t="s">
        <v>292</v>
      </c>
      <c r="AI147" t="s">
        <v>293</v>
      </c>
      <c r="AJ147" t="s">
        <v>302</v>
      </c>
      <c r="AK147" t="s">
        <v>357</v>
      </c>
      <c r="AL147" t="s">
        <v>359</v>
      </c>
      <c r="AM147" t="s">
        <v>293</v>
      </c>
      <c r="AN147" t="s">
        <v>293</v>
      </c>
      <c r="AO147" t="s">
        <v>297</v>
      </c>
      <c r="AP147" t="s">
        <v>298</v>
      </c>
      <c r="AQ147" t="s">
        <v>293</v>
      </c>
      <c r="AR147" t="s">
        <v>292</v>
      </c>
      <c r="AS147" t="s">
        <v>293</v>
      </c>
      <c r="AT147" t="s">
        <v>293</v>
      </c>
      <c r="AU147" t="s">
        <v>364</v>
      </c>
      <c r="AV147" t="str">
        <f t="shared" si="6"/>
        <v>break</v>
      </c>
    </row>
    <row r="148" spans="1:48" x14ac:dyDescent="0.3">
      <c r="A148" t="s">
        <v>9</v>
      </c>
      <c r="B148" t="s">
        <v>10</v>
      </c>
      <c r="C148" t="s">
        <v>31</v>
      </c>
      <c r="D148" t="s">
        <v>29</v>
      </c>
      <c r="E148" t="str">
        <f t="shared" si="5"/>
        <v>P_I7A-ZSB-S_9E0</v>
      </c>
      <c r="F148" t="b">
        <v>1</v>
      </c>
      <c r="G148">
        <v>100</v>
      </c>
      <c r="H148">
        <v>1</v>
      </c>
      <c r="I148">
        <v>17083</v>
      </c>
      <c r="J148" s="49" t="s">
        <v>18</v>
      </c>
      <c r="L148" s="16" t="s">
        <v>273</v>
      </c>
      <c r="M148" s="16">
        <v>2</v>
      </c>
      <c r="N148" s="16" t="s">
        <v>333</v>
      </c>
      <c r="O148" s="16" t="s">
        <v>278</v>
      </c>
      <c r="P148" s="15" t="s">
        <v>283</v>
      </c>
      <c r="Q148" t="s">
        <v>281</v>
      </c>
      <c r="R148" t="s">
        <v>371</v>
      </c>
      <c r="S148" s="17" t="s">
        <v>371</v>
      </c>
      <c r="T148" s="16" t="s">
        <v>341</v>
      </c>
      <c r="U148" s="16" t="s">
        <v>342</v>
      </c>
      <c r="V148" s="15" t="s">
        <v>343</v>
      </c>
      <c r="W148" s="15" t="s">
        <v>344</v>
      </c>
      <c r="X148" s="17"/>
      <c r="Y148" t="s">
        <v>349</v>
      </c>
      <c r="Z148" t="s">
        <v>349</v>
      </c>
      <c r="AA148" t="s">
        <v>293</v>
      </c>
      <c r="AB148" t="s">
        <v>353</v>
      </c>
      <c r="AC148" t="s">
        <v>296</v>
      </c>
      <c r="AD148" t="s">
        <v>301</v>
      </c>
      <c r="AE148" t="s">
        <v>292</v>
      </c>
      <c r="AF148" t="s">
        <v>293</v>
      </c>
      <c r="AG148" t="s">
        <v>292</v>
      </c>
      <c r="AH148" t="s">
        <v>292</v>
      </c>
      <c r="AI148" t="s">
        <v>293</v>
      </c>
      <c r="AJ148" t="s">
        <v>302</v>
      </c>
      <c r="AK148" t="s">
        <v>357</v>
      </c>
      <c r="AL148" t="s">
        <v>359</v>
      </c>
      <c r="AM148" t="s">
        <v>293</v>
      </c>
      <c r="AN148" t="s">
        <v>293</v>
      </c>
      <c r="AO148" t="s">
        <v>297</v>
      </c>
      <c r="AP148" t="s">
        <v>298</v>
      </c>
      <c r="AQ148" t="s">
        <v>293</v>
      </c>
      <c r="AR148" t="s">
        <v>292</v>
      </c>
      <c r="AS148" t="s">
        <v>293</v>
      </c>
      <c r="AT148" t="s">
        <v>293</v>
      </c>
      <c r="AU148" t="s">
        <v>364</v>
      </c>
      <c r="AV148" t="str">
        <f t="shared" si="6"/>
        <v>break</v>
      </c>
    </row>
    <row r="149" spans="1:48" x14ac:dyDescent="0.3">
      <c r="A149" t="s">
        <v>9</v>
      </c>
      <c r="B149" t="s">
        <v>10</v>
      </c>
      <c r="C149" t="s">
        <v>28</v>
      </c>
      <c r="D149" t="s">
        <v>29</v>
      </c>
      <c r="E149" t="str">
        <f t="shared" si="5"/>
        <v>P_I7A-ZSB-S_9T2</v>
      </c>
      <c r="F149" t="b">
        <v>1</v>
      </c>
      <c r="G149">
        <v>100</v>
      </c>
      <c r="H149">
        <v>1</v>
      </c>
      <c r="I149">
        <v>10885</v>
      </c>
      <c r="J149" s="49" t="s">
        <v>18</v>
      </c>
      <c r="L149" s="16" t="s">
        <v>273</v>
      </c>
      <c r="M149" s="16">
        <v>2</v>
      </c>
      <c r="N149" s="16" t="s">
        <v>333</v>
      </c>
      <c r="O149" s="16" t="s">
        <v>278</v>
      </c>
      <c r="P149" s="15" t="s">
        <v>283</v>
      </c>
      <c r="Q149" t="s">
        <v>281</v>
      </c>
      <c r="R149" t="s">
        <v>371</v>
      </c>
      <c r="S149" s="17" t="s">
        <v>371</v>
      </c>
      <c r="T149" s="16" t="s">
        <v>341</v>
      </c>
      <c r="U149" s="16" t="s">
        <v>340</v>
      </c>
      <c r="V149" s="15" t="s">
        <v>343</v>
      </c>
      <c r="W149" s="15" t="s">
        <v>344</v>
      </c>
      <c r="X149" s="17"/>
      <c r="Y149" t="s">
        <v>349</v>
      </c>
      <c r="Z149" t="s">
        <v>349</v>
      </c>
      <c r="AA149" t="s">
        <v>293</v>
      </c>
      <c r="AB149" t="s">
        <v>352</v>
      </c>
      <c r="AC149" t="s">
        <v>296</v>
      </c>
      <c r="AD149" t="s">
        <v>301</v>
      </c>
      <c r="AE149" t="s">
        <v>292</v>
      </c>
      <c r="AF149" t="s">
        <v>293</v>
      </c>
      <c r="AG149" t="s">
        <v>292</v>
      </c>
      <c r="AH149" t="s">
        <v>292</v>
      </c>
      <c r="AI149" t="s">
        <v>293</v>
      </c>
      <c r="AJ149" t="s">
        <v>302</v>
      </c>
      <c r="AK149" t="s">
        <v>357</v>
      </c>
      <c r="AL149" t="s">
        <v>359</v>
      </c>
      <c r="AM149" t="s">
        <v>293</v>
      </c>
      <c r="AN149" t="s">
        <v>293</v>
      </c>
      <c r="AO149" t="s">
        <v>297</v>
      </c>
      <c r="AP149" t="s">
        <v>298</v>
      </c>
      <c r="AQ149" t="s">
        <v>293</v>
      </c>
      <c r="AR149" t="s">
        <v>292</v>
      </c>
      <c r="AS149" t="s">
        <v>293</v>
      </c>
      <c r="AT149" t="s">
        <v>293</v>
      </c>
      <c r="AU149" t="s">
        <v>364</v>
      </c>
      <c r="AV149" t="str">
        <f t="shared" si="6"/>
        <v>break</v>
      </c>
    </row>
    <row r="150" spans="1:48" x14ac:dyDescent="0.3">
      <c r="A150" t="s">
        <v>9</v>
      </c>
      <c r="B150" t="s">
        <v>10</v>
      </c>
      <c r="C150" t="s">
        <v>35</v>
      </c>
      <c r="D150" t="s">
        <v>29</v>
      </c>
      <c r="E150" t="str">
        <f t="shared" si="5"/>
        <v>P_I7A-ZSB-S_9X8</v>
      </c>
      <c r="F150" t="b">
        <v>1</v>
      </c>
      <c r="G150">
        <v>100</v>
      </c>
      <c r="H150">
        <v>1</v>
      </c>
      <c r="I150">
        <v>15909</v>
      </c>
      <c r="J150" s="49" t="s">
        <v>18</v>
      </c>
      <c r="L150" s="16" t="s">
        <v>272</v>
      </c>
      <c r="M150" s="16">
        <v>2</v>
      </c>
      <c r="N150" s="16" t="s">
        <v>333</v>
      </c>
      <c r="O150" s="16" t="s">
        <v>278</v>
      </c>
      <c r="P150" s="15" t="s">
        <v>283</v>
      </c>
      <c r="Q150" t="s">
        <v>281</v>
      </c>
      <c r="R150" t="s">
        <v>371</v>
      </c>
      <c r="S150" s="17" t="s">
        <v>371</v>
      </c>
      <c r="T150" s="16" t="s">
        <v>341</v>
      </c>
      <c r="U150" s="16" t="s">
        <v>342</v>
      </c>
      <c r="V150" s="15" t="s">
        <v>343</v>
      </c>
      <c r="W150" s="15" t="s">
        <v>344</v>
      </c>
      <c r="X150" s="17"/>
      <c r="Y150" t="s">
        <v>349</v>
      </c>
      <c r="Z150" t="s">
        <v>349</v>
      </c>
      <c r="AA150" t="s">
        <v>293</v>
      </c>
      <c r="AB150" t="s">
        <v>353</v>
      </c>
      <c r="AC150" t="s">
        <v>296</v>
      </c>
      <c r="AD150" t="s">
        <v>301</v>
      </c>
      <c r="AE150" t="s">
        <v>292</v>
      </c>
      <c r="AF150" t="s">
        <v>293</v>
      </c>
      <c r="AG150" t="s">
        <v>292</v>
      </c>
      <c r="AH150" t="s">
        <v>292</v>
      </c>
      <c r="AI150" t="s">
        <v>293</v>
      </c>
      <c r="AJ150" t="s">
        <v>302</v>
      </c>
      <c r="AK150" t="s">
        <v>357</v>
      </c>
      <c r="AL150" t="s">
        <v>359</v>
      </c>
      <c r="AM150" t="s">
        <v>293</v>
      </c>
      <c r="AN150" t="s">
        <v>293</v>
      </c>
      <c r="AO150" t="s">
        <v>297</v>
      </c>
      <c r="AP150" t="s">
        <v>298</v>
      </c>
      <c r="AQ150" t="s">
        <v>293</v>
      </c>
      <c r="AR150" t="s">
        <v>292</v>
      </c>
      <c r="AS150" t="s">
        <v>293</v>
      </c>
      <c r="AT150" t="s">
        <v>293</v>
      </c>
      <c r="AU150" t="s">
        <v>364</v>
      </c>
      <c r="AV150" t="str">
        <f t="shared" si="6"/>
        <v>break</v>
      </c>
    </row>
    <row r="151" spans="1:48" x14ac:dyDescent="0.3">
      <c r="A151" t="s">
        <v>9</v>
      </c>
      <c r="B151" t="s">
        <v>47</v>
      </c>
      <c r="C151" t="s">
        <v>15</v>
      </c>
      <c r="D151" t="s">
        <v>12</v>
      </c>
      <c r="E151" t="str">
        <f t="shared" si="5"/>
        <v>P_I9B-KYY-S_0M4</v>
      </c>
      <c r="F151" t="b">
        <v>1</v>
      </c>
      <c r="G151">
        <v>100</v>
      </c>
      <c r="H151">
        <v>1</v>
      </c>
      <c r="I151">
        <v>9017</v>
      </c>
      <c r="J151" s="49" t="s">
        <v>18</v>
      </c>
      <c r="L151" s="16" t="s">
        <v>272</v>
      </c>
      <c r="M151" s="16">
        <v>2</v>
      </c>
      <c r="N151" s="16" t="s">
        <v>277</v>
      </c>
      <c r="O151" s="16" t="s">
        <v>335</v>
      </c>
      <c r="P151" s="15" t="s">
        <v>282</v>
      </c>
      <c r="Q151" t="s">
        <v>371</v>
      </c>
      <c r="R151" t="s">
        <v>371</v>
      </c>
      <c r="S151" s="17" t="s">
        <v>371</v>
      </c>
      <c r="T151" s="16" t="s">
        <v>341</v>
      </c>
      <c r="U151" s="16" t="s">
        <v>340</v>
      </c>
      <c r="V151" s="15" t="s">
        <v>340</v>
      </c>
      <c r="W151" s="15" t="s">
        <v>344</v>
      </c>
      <c r="X151" s="17"/>
      <c r="Y151" t="s">
        <v>349</v>
      </c>
      <c r="Z151" t="s">
        <v>349</v>
      </c>
      <c r="AA151" t="s">
        <v>293</v>
      </c>
      <c r="AB151" t="s">
        <v>354</v>
      </c>
      <c r="AC151" t="s">
        <v>354</v>
      </c>
      <c r="AD151" t="s">
        <v>300</v>
      </c>
      <c r="AE151" t="s">
        <v>292</v>
      </c>
      <c r="AF151" t="s">
        <v>293</v>
      </c>
      <c r="AG151" t="s">
        <v>292</v>
      </c>
      <c r="AH151" t="s">
        <v>293</v>
      </c>
      <c r="AI151" t="s">
        <v>293</v>
      </c>
      <c r="AJ151" t="s">
        <v>302</v>
      </c>
      <c r="AK151" t="s">
        <v>302</v>
      </c>
      <c r="AL151" t="s">
        <v>357</v>
      </c>
      <c r="AM151" t="s">
        <v>293</v>
      </c>
      <c r="AN151" t="s">
        <v>293</v>
      </c>
      <c r="AO151" t="s">
        <v>297</v>
      </c>
      <c r="AP151" t="s">
        <v>298</v>
      </c>
      <c r="AQ151" t="s">
        <v>293</v>
      </c>
      <c r="AR151" t="s">
        <v>292</v>
      </c>
      <c r="AS151" t="s">
        <v>293</v>
      </c>
      <c r="AT151" t="s">
        <v>293</v>
      </c>
      <c r="AU151" t="s">
        <v>364</v>
      </c>
      <c r="AV151" t="str">
        <f t="shared" si="6"/>
        <v>break</v>
      </c>
    </row>
    <row r="152" spans="1:48" x14ac:dyDescent="0.3">
      <c r="A152" t="s">
        <v>9</v>
      </c>
      <c r="B152" t="s">
        <v>47</v>
      </c>
      <c r="C152" t="s">
        <v>14</v>
      </c>
      <c r="D152" t="s">
        <v>12</v>
      </c>
      <c r="E152" t="str">
        <f t="shared" si="5"/>
        <v>P_I9B-KYY-S_1B0</v>
      </c>
      <c r="F152" t="b">
        <v>1</v>
      </c>
      <c r="G152">
        <v>100</v>
      </c>
      <c r="H152">
        <v>1</v>
      </c>
      <c r="I152">
        <v>9041</v>
      </c>
      <c r="J152" s="49" t="s">
        <v>18</v>
      </c>
      <c r="L152" s="16" t="s">
        <v>272</v>
      </c>
      <c r="M152" s="16">
        <v>2</v>
      </c>
      <c r="N152" s="16" t="s">
        <v>277</v>
      </c>
      <c r="O152" s="16" t="s">
        <v>335</v>
      </c>
      <c r="P152" s="15" t="s">
        <v>282</v>
      </c>
      <c r="Q152" t="s">
        <v>371</v>
      </c>
      <c r="R152" t="s">
        <v>371</v>
      </c>
      <c r="S152" s="17" t="s">
        <v>371</v>
      </c>
      <c r="T152" s="16" t="s">
        <v>341</v>
      </c>
      <c r="U152" s="16" t="s">
        <v>342</v>
      </c>
      <c r="V152" s="15" t="s">
        <v>340</v>
      </c>
      <c r="W152" s="15" t="s">
        <v>344</v>
      </c>
      <c r="X152" s="17"/>
      <c r="Y152" t="s">
        <v>349</v>
      </c>
      <c r="Z152" t="s">
        <v>349</v>
      </c>
      <c r="AA152" t="s">
        <v>293</v>
      </c>
      <c r="AB152" t="s">
        <v>354</v>
      </c>
      <c r="AC152" t="s">
        <v>354</v>
      </c>
      <c r="AD152" t="s">
        <v>300</v>
      </c>
      <c r="AE152" t="s">
        <v>292</v>
      </c>
      <c r="AF152" t="s">
        <v>293</v>
      </c>
      <c r="AG152" t="s">
        <v>292</v>
      </c>
      <c r="AH152" t="s">
        <v>293</v>
      </c>
      <c r="AI152" t="s">
        <v>293</v>
      </c>
      <c r="AJ152" t="s">
        <v>302</v>
      </c>
      <c r="AK152" t="s">
        <v>302</v>
      </c>
      <c r="AL152" t="s">
        <v>357</v>
      </c>
      <c r="AM152" t="s">
        <v>293</v>
      </c>
      <c r="AN152" t="s">
        <v>293</v>
      </c>
      <c r="AO152" t="s">
        <v>297</v>
      </c>
      <c r="AP152" t="s">
        <v>298</v>
      </c>
      <c r="AQ152" t="s">
        <v>293</v>
      </c>
      <c r="AR152" t="s">
        <v>292</v>
      </c>
      <c r="AS152" t="s">
        <v>293</v>
      </c>
      <c r="AT152" t="s">
        <v>293</v>
      </c>
      <c r="AU152" t="s">
        <v>364</v>
      </c>
      <c r="AV152" t="str">
        <f t="shared" si="6"/>
        <v>break</v>
      </c>
    </row>
    <row r="153" spans="1:48" x14ac:dyDescent="0.3">
      <c r="A153" t="s">
        <v>9</v>
      </c>
      <c r="B153" t="s">
        <v>47</v>
      </c>
      <c r="C153" t="s">
        <v>11</v>
      </c>
      <c r="D153" t="s">
        <v>12</v>
      </c>
      <c r="E153" t="str">
        <f t="shared" si="5"/>
        <v>P_I9B-KYY-S_1Q4</v>
      </c>
      <c r="F153" t="b">
        <v>1</v>
      </c>
      <c r="G153">
        <v>83.5</v>
      </c>
      <c r="H153">
        <v>0</v>
      </c>
      <c r="I153">
        <v>11630</v>
      </c>
      <c r="J153" s="49" t="s">
        <v>13</v>
      </c>
      <c r="L153" s="16" t="s">
        <v>272</v>
      </c>
      <c r="M153" s="16">
        <v>3</v>
      </c>
      <c r="N153" s="16" t="s">
        <v>277</v>
      </c>
      <c r="O153" s="16" t="s">
        <v>335</v>
      </c>
      <c r="P153" s="15" t="s">
        <v>285</v>
      </c>
      <c r="Q153" t="s">
        <v>282</v>
      </c>
      <c r="R153" t="s">
        <v>371</v>
      </c>
      <c r="S153" s="17" t="s">
        <v>371</v>
      </c>
      <c r="T153" s="16" t="s">
        <v>341</v>
      </c>
      <c r="U153" s="16" t="s">
        <v>342</v>
      </c>
      <c r="V153" s="15" t="s">
        <v>343</v>
      </c>
      <c r="W153" s="15" t="s">
        <v>344</v>
      </c>
      <c r="X153" s="17"/>
      <c r="Y153" t="s">
        <v>349</v>
      </c>
      <c r="Z153" t="s">
        <v>349</v>
      </c>
      <c r="AA153" t="s">
        <v>293</v>
      </c>
      <c r="AB153" t="s">
        <v>353</v>
      </c>
      <c r="AC153" t="s">
        <v>297</v>
      </c>
      <c r="AD153" t="s">
        <v>300</v>
      </c>
      <c r="AE153" t="s">
        <v>292</v>
      </c>
      <c r="AF153" t="s">
        <v>293</v>
      </c>
      <c r="AG153" t="s">
        <v>292</v>
      </c>
      <c r="AH153" t="s">
        <v>293</v>
      </c>
      <c r="AI153" t="s">
        <v>293</v>
      </c>
      <c r="AJ153" t="s">
        <v>302</v>
      </c>
      <c r="AK153" t="s">
        <v>302</v>
      </c>
      <c r="AL153" t="s">
        <v>359</v>
      </c>
      <c r="AM153" t="s">
        <v>293</v>
      </c>
      <c r="AN153" t="s">
        <v>293</v>
      </c>
      <c r="AO153" t="s">
        <v>297</v>
      </c>
      <c r="AP153" t="s">
        <v>298</v>
      </c>
      <c r="AQ153" t="s">
        <v>293</v>
      </c>
      <c r="AR153" t="s">
        <v>292</v>
      </c>
      <c r="AS153" t="s">
        <v>293</v>
      </c>
      <c r="AT153" t="s">
        <v>293</v>
      </c>
      <c r="AU153" t="s">
        <v>364</v>
      </c>
      <c r="AV153" t="str">
        <f t="shared" si="6"/>
        <v>no_fail</v>
      </c>
    </row>
    <row r="154" spans="1:48" x14ac:dyDescent="0.3">
      <c r="A154" t="s">
        <v>9</v>
      </c>
      <c r="B154" t="s">
        <v>47</v>
      </c>
      <c r="C154" t="s">
        <v>17</v>
      </c>
      <c r="D154" t="s">
        <v>12</v>
      </c>
      <c r="E154" t="str">
        <f t="shared" si="5"/>
        <v>P_I9B-KYY-S_6B5</v>
      </c>
      <c r="F154" t="b">
        <v>1</v>
      </c>
      <c r="G154">
        <v>45.4</v>
      </c>
      <c r="H154">
        <v>0</v>
      </c>
      <c r="I154">
        <v>26028</v>
      </c>
      <c r="J154" s="49" t="s">
        <v>18</v>
      </c>
      <c r="L154" s="16" t="s">
        <v>272</v>
      </c>
      <c r="M154" s="16">
        <v>3</v>
      </c>
      <c r="N154" s="16" t="s">
        <v>277</v>
      </c>
      <c r="O154" s="16" t="s">
        <v>335</v>
      </c>
      <c r="P154" s="15" t="s">
        <v>282</v>
      </c>
      <c r="Q154" t="s">
        <v>371</v>
      </c>
      <c r="R154" t="s">
        <v>371</v>
      </c>
      <c r="S154" s="17" t="s">
        <v>371</v>
      </c>
      <c r="T154" s="16" t="s">
        <v>341</v>
      </c>
      <c r="U154" s="16" t="s">
        <v>340</v>
      </c>
      <c r="V154" s="15" t="s">
        <v>343</v>
      </c>
      <c r="W154" s="15" t="s">
        <v>345</v>
      </c>
      <c r="X154" s="17"/>
      <c r="Y154" t="s">
        <v>349</v>
      </c>
      <c r="Z154" t="s">
        <v>349</v>
      </c>
      <c r="AA154" t="s">
        <v>293</v>
      </c>
      <c r="AB154" t="s">
        <v>353</v>
      </c>
      <c r="AC154" t="s">
        <v>296</v>
      </c>
      <c r="AD154" t="s">
        <v>301</v>
      </c>
      <c r="AE154" t="s">
        <v>292</v>
      </c>
      <c r="AF154" t="s">
        <v>293</v>
      </c>
      <c r="AG154" t="s">
        <v>293</v>
      </c>
      <c r="AH154" t="s">
        <v>292</v>
      </c>
      <c r="AI154" t="s">
        <v>293</v>
      </c>
      <c r="AJ154" t="s">
        <v>302</v>
      </c>
      <c r="AK154" t="s">
        <v>302</v>
      </c>
      <c r="AL154" t="s">
        <v>359</v>
      </c>
      <c r="AM154" t="s">
        <v>293</v>
      </c>
      <c r="AN154" t="s">
        <v>293</v>
      </c>
      <c r="AO154" t="s">
        <v>296</v>
      </c>
      <c r="AP154" t="s">
        <v>298</v>
      </c>
      <c r="AQ154" t="s">
        <v>293</v>
      </c>
      <c r="AR154" t="s">
        <v>292</v>
      </c>
      <c r="AS154" t="s">
        <v>293</v>
      </c>
      <c r="AT154" t="s">
        <v>293</v>
      </c>
      <c r="AU154" t="s">
        <v>364</v>
      </c>
      <c r="AV154" t="str">
        <f t="shared" si="6"/>
        <v>car_stuck</v>
      </c>
    </row>
    <row r="155" spans="1:48" x14ac:dyDescent="0.3">
      <c r="A155" t="s">
        <v>9</v>
      </c>
      <c r="B155" t="s">
        <v>47</v>
      </c>
      <c r="C155" t="s">
        <v>16</v>
      </c>
      <c r="D155" t="s">
        <v>12</v>
      </c>
      <c r="E155" t="str">
        <f t="shared" si="5"/>
        <v>P_I9B-KYY-S_6U7</v>
      </c>
      <c r="F155" t="b">
        <v>1</v>
      </c>
      <c r="G155">
        <v>47.1</v>
      </c>
      <c r="H155">
        <v>0</v>
      </c>
      <c r="I155">
        <v>14503</v>
      </c>
      <c r="J155" s="49" t="s">
        <v>13</v>
      </c>
      <c r="L155" s="16" t="s">
        <v>272</v>
      </c>
      <c r="M155" s="16">
        <v>3</v>
      </c>
      <c r="N155" s="16" t="s">
        <v>277</v>
      </c>
      <c r="O155" s="16" t="s">
        <v>335</v>
      </c>
      <c r="P155" s="15" t="s">
        <v>282</v>
      </c>
      <c r="Q155" t="s">
        <v>371</v>
      </c>
      <c r="R155" t="s">
        <v>371</v>
      </c>
      <c r="S155" s="17" t="s">
        <v>371</v>
      </c>
      <c r="T155" s="16" t="s">
        <v>341</v>
      </c>
      <c r="U155" s="16" t="s">
        <v>340</v>
      </c>
      <c r="V155" s="15" t="s">
        <v>343</v>
      </c>
      <c r="W155" s="15" t="s">
        <v>344</v>
      </c>
      <c r="X155" s="17"/>
      <c r="Y155" t="s">
        <v>349</v>
      </c>
      <c r="Z155" t="s">
        <v>349</v>
      </c>
      <c r="AA155" t="s">
        <v>293</v>
      </c>
      <c r="AB155" t="s">
        <v>353</v>
      </c>
      <c r="AC155" t="s">
        <v>296</v>
      </c>
      <c r="AD155" t="s">
        <v>300</v>
      </c>
      <c r="AE155" t="s">
        <v>292</v>
      </c>
      <c r="AF155" t="s">
        <v>293</v>
      </c>
      <c r="AG155" t="s">
        <v>292</v>
      </c>
      <c r="AH155" t="s">
        <v>292</v>
      </c>
      <c r="AI155" t="s">
        <v>293</v>
      </c>
      <c r="AJ155" t="s">
        <v>302</v>
      </c>
      <c r="AK155" t="s">
        <v>302</v>
      </c>
      <c r="AL155" t="s">
        <v>359</v>
      </c>
      <c r="AM155" t="s">
        <v>293</v>
      </c>
      <c r="AN155" t="s">
        <v>293</v>
      </c>
      <c r="AO155" t="s">
        <v>297</v>
      </c>
      <c r="AP155" t="s">
        <v>298</v>
      </c>
      <c r="AQ155" t="s">
        <v>293</v>
      </c>
      <c r="AR155" t="s">
        <v>292</v>
      </c>
      <c r="AS155" t="s">
        <v>293</v>
      </c>
      <c r="AT155" t="s">
        <v>293</v>
      </c>
      <c r="AU155" t="s">
        <v>364</v>
      </c>
      <c r="AV155" t="str">
        <f t="shared" si="6"/>
        <v>no_fail</v>
      </c>
    </row>
    <row r="156" spans="1:48" x14ac:dyDescent="0.3">
      <c r="A156" t="s">
        <v>9</v>
      </c>
      <c r="B156" t="s">
        <v>47</v>
      </c>
      <c r="C156" t="s">
        <v>23</v>
      </c>
      <c r="D156" t="s">
        <v>29</v>
      </c>
      <c r="E156" t="str">
        <f t="shared" si="5"/>
        <v>P_I9B-ZSB-S_0T2</v>
      </c>
      <c r="F156" t="b">
        <v>1</v>
      </c>
      <c r="G156">
        <v>95.2</v>
      </c>
      <c r="H156">
        <v>0</v>
      </c>
      <c r="I156">
        <v>14631</v>
      </c>
      <c r="J156" s="49" t="s">
        <v>13</v>
      </c>
      <c r="L156" s="16" t="s">
        <v>272</v>
      </c>
      <c r="M156" s="16">
        <v>2</v>
      </c>
      <c r="N156" s="16" t="s">
        <v>277</v>
      </c>
      <c r="O156" s="16" t="s">
        <v>335</v>
      </c>
      <c r="P156" s="15" t="s">
        <v>282</v>
      </c>
      <c r="Q156" t="s">
        <v>371</v>
      </c>
      <c r="R156" t="s">
        <v>371</v>
      </c>
      <c r="S156" s="17" t="s">
        <v>371</v>
      </c>
      <c r="T156" s="16" t="s">
        <v>341</v>
      </c>
      <c r="U156" s="16" t="s">
        <v>342</v>
      </c>
      <c r="V156" s="15" t="s">
        <v>340</v>
      </c>
      <c r="W156" s="15" t="s">
        <v>345</v>
      </c>
      <c r="X156" s="17"/>
      <c r="Y156" t="s">
        <v>349</v>
      </c>
      <c r="Z156" t="s">
        <v>349</v>
      </c>
      <c r="AA156" t="s">
        <v>293</v>
      </c>
      <c r="AB156" t="s">
        <v>354</v>
      </c>
      <c r="AC156" t="s">
        <v>354</v>
      </c>
      <c r="AD156" t="s">
        <v>300</v>
      </c>
      <c r="AE156" t="s">
        <v>293</v>
      </c>
      <c r="AF156" t="s">
        <v>292</v>
      </c>
      <c r="AG156" t="s">
        <v>292</v>
      </c>
      <c r="AH156" t="s">
        <v>293</v>
      </c>
      <c r="AI156" t="s">
        <v>293</v>
      </c>
      <c r="AJ156" t="s">
        <v>302</v>
      </c>
      <c r="AK156" t="s">
        <v>302</v>
      </c>
      <c r="AL156" t="s">
        <v>357</v>
      </c>
      <c r="AM156" t="s">
        <v>293</v>
      </c>
      <c r="AN156" t="s">
        <v>293</v>
      </c>
      <c r="AO156" t="s">
        <v>297</v>
      </c>
      <c r="AP156" t="s">
        <v>356</v>
      </c>
      <c r="AQ156" t="s">
        <v>293</v>
      </c>
      <c r="AR156" t="s">
        <v>292</v>
      </c>
      <c r="AS156" t="s">
        <v>293</v>
      </c>
      <c r="AT156" t="s">
        <v>293</v>
      </c>
      <c r="AU156" t="s">
        <v>364</v>
      </c>
      <c r="AV156" t="str">
        <f t="shared" si="6"/>
        <v>no_fail</v>
      </c>
    </row>
    <row r="157" spans="1:48" x14ac:dyDescent="0.3">
      <c r="A157" t="s">
        <v>9</v>
      </c>
      <c r="B157" t="s">
        <v>47</v>
      </c>
      <c r="C157" t="s">
        <v>25</v>
      </c>
      <c r="D157" t="s">
        <v>29</v>
      </c>
      <c r="E157" t="str">
        <f t="shared" si="5"/>
        <v>P_I9B-ZSB-S_1J8</v>
      </c>
      <c r="F157" t="b">
        <v>1</v>
      </c>
      <c r="G157">
        <v>70.8</v>
      </c>
      <c r="H157">
        <v>0</v>
      </c>
      <c r="I157">
        <v>17009</v>
      </c>
      <c r="J157" s="49" t="s">
        <v>13</v>
      </c>
      <c r="L157" s="16" t="s">
        <v>272</v>
      </c>
      <c r="M157" s="16">
        <v>2</v>
      </c>
      <c r="N157" s="16" t="s">
        <v>277</v>
      </c>
      <c r="O157" s="16" t="s">
        <v>335</v>
      </c>
      <c r="P157" s="15" t="s">
        <v>282</v>
      </c>
      <c r="Q157" t="s">
        <v>371</v>
      </c>
      <c r="R157" t="s">
        <v>371</v>
      </c>
      <c r="S157" s="17" t="s">
        <v>371</v>
      </c>
      <c r="T157" s="16" t="s">
        <v>341</v>
      </c>
      <c r="U157" s="16" t="s">
        <v>340</v>
      </c>
      <c r="V157" s="15" t="s">
        <v>340</v>
      </c>
      <c r="W157" s="15" t="s">
        <v>345</v>
      </c>
      <c r="X157" s="17"/>
      <c r="Y157" t="s">
        <v>349</v>
      </c>
      <c r="Z157" t="s">
        <v>349</v>
      </c>
      <c r="AA157" t="s">
        <v>293</v>
      </c>
      <c r="AB157" t="s">
        <v>354</v>
      </c>
      <c r="AC157" t="s">
        <v>354</v>
      </c>
      <c r="AD157" t="s">
        <v>301</v>
      </c>
      <c r="AE157" t="s">
        <v>293</v>
      </c>
      <c r="AF157" t="s">
        <v>292</v>
      </c>
      <c r="AG157" t="s">
        <v>292</v>
      </c>
      <c r="AH157" t="s">
        <v>293</v>
      </c>
      <c r="AI157" t="s">
        <v>293</v>
      </c>
      <c r="AJ157" t="s">
        <v>302</v>
      </c>
      <c r="AK157" t="s">
        <v>302</v>
      </c>
      <c r="AL157" t="s">
        <v>357</v>
      </c>
      <c r="AM157" t="s">
        <v>293</v>
      </c>
      <c r="AN157" t="s">
        <v>293</v>
      </c>
      <c r="AO157" t="s">
        <v>297</v>
      </c>
      <c r="AP157" t="s">
        <v>356</v>
      </c>
      <c r="AQ157" t="s">
        <v>293</v>
      </c>
      <c r="AR157" t="s">
        <v>292</v>
      </c>
      <c r="AS157" t="s">
        <v>293</v>
      </c>
      <c r="AT157" t="s">
        <v>293</v>
      </c>
      <c r="AU157" t="s">
        <v>364</v>
      </c>
      <c r="AV157" t="str">
        <f t="shared" si="6"/>
        <v>no_fail</v>
      </c>
    </row>
    <row r="158" spans="1:48" x14ac:dyDescent="0.3">
      <c r="A158" t="s">
        <v>9</v>
      </c>
      <c r="B158" t="s">
        <v>47</v>
      </c>
      <c r="C158" t="s">
        <v>24</v>
      </c>
      <c r="D158" t="s">
        <v>29</v>
      </c>
      <c r="E158" t="str">
        <f t="shared" si="5"/>
        <v>P_I9B-ZSB-S_1U0</v>
      </c>
      <c r="F158" t="b">
        <v>1</v>
      </c>
      <c r="G158">
        <v>100</v>
      </c>
      <c r="H158">
        <v>1</v>
      </c>
      <c r="I158">
        <v>11235</v>
      </c>
      <c r="J158" s="49" t="s">
        <v>18</v>
      </c>
      <c r="L158" s="16" t="s">
        <v>272</v>
      </c>
      <c r="M158" s="16">
        <v>2</v>
      </c>
      <c r="N158" s="16" t="s">
        <v>277</v>
      </c>
      <c r="O158" s="16" t="s">
        <v>335</v>
      </c>
      <c r="P158" s="15" t="s">
        <v>282</v>
      </c>
      <c r="Q158" t="s">
        <v>371</v>
      </c>
      <c r="R158" t="s">
        <v>371</v>
      </c>
      <c r="S158" s="17" t="s">
        <v>371</v>
      </c>
      <c r="T158" s="16" t="s">
        <v>341</v>
      </c>
      <c r="U158" s="16" t="s">
        <v>340</v>
      </c>
      <c r="V158" s="15" t="s">
        <v>340</v>
      </c>
      <c r="W158" s="15" t="s">
        <v>345</v>
      </c>
      <c r="X158" s="17"/>
      <c r="Y158" t="s">
        <v>349</v>
      </c>
      <c r="Z158" t="s">
        <v>349</v>
      </c>
      <c r="AA158" t="s">
        <v>293</v>
      </c>
      <c r="AB158" t="s">
        <v>354</v>
      </c>
      <c r="AC158" t="s">
        <v>354</v>
      </c>
      <c r="AD158" t="s">
        <v>300</v>
      </c>
      <c r="AE158" t="s">
        <v>293</v>
      </c>
      <c r="AF158" t="s">
        <v>292</v>
      </c>
      <c r="AG158" t="s">
        <v>292</v>
      </c>
      <c r="AH158" t="s">
        <v>293</v>
      </c>
      <c r="AI158" t="s">
        <v>293</v>
      </c>
      <c r="AJ158" t="s">
        <v>302</v>
      </c>
      <c r="AK158" t="s">
        <v>302</v>
      </c>
      <c r="AL158" t="s">
        <v>357</v>
      </c>
      <c r="AM158" t="s">
        <v>293</v>
      </c>
      <c r="AN158" t="s">
        <v>293</v>
      </c>
      <c r="AO158" t="s">
        <v>297</v>
      </c>
      <c r="AP158" t="s">
        <v>356</v>
      </c>
      <c r="AQ158" t="s">
        <v>293</v>
      </c>
      <c r="AR158" t="s">
        <v>292</v>
      </c>
      <c r="AS158" t="s">
        <v>362</v>
      </c>
      <c r="AT158" t="s">
        <v>293</v>
      </c>
      <c r="AU158" t="s">
        <v>364</v>
      </c>
      <c r="AV158" t="str">
        <f t="shared" si="6"/>
        <v>break</v>
      </c>
    </row>
    <row r="159" spans="1:48" x14ac:dyDescent="0.3">
      <c r="A159" t="s">
        <v>9</v>
      </c>
      <c r="B159" t="s">
        <v>47</v>
      </c>
      <c r="C159" t="s">
        <v>21</v>
      </c>
      <c r="D159" t="s">
        <v>29</v>
      </c>
      <c r="E159" t="str">
        <f t="shared" si="5"/>
        <v>P_I9B-ZSB-S_3X6</v>
      </c>
      <c r="F159" t="b">
        <v>1</v>
      </c>
      <c r="G159">
        <v>100</v>
      </c>
      <c r="H159">
        <v>1</v>
      </c>
      <c r="I159">
        <v>11724</v>
      </c>
      <c r="J159" s="49" t="s">
        <v>18</v>
      </c>
      <c r="L159" s="16" t="s">
        <v>272</v>
      </c>
      <c r="M159" s="16">
        <v>2</v>
      </c>
      <c r="N159" s="16" t="s">
        <v>277</v>
      </c>
      <c r="O159" s="16" t="s">
        <v>335</v>
      </c>
      <c r="P159" s="15" t="s">
        <v>282</v>
      </c>
      <c r="Q159" t="s">
        <v>371</v>
      </c>
      <c r="R159" t="s">
        <v>371</v>
      </c>
      <c r="S159" s="17" t="s">
        <v>371</v>
      </c>
      <c r="T159" s="16" t="s">
        <v>341</v>
      </c>
      <c r="U159" s="16" t="s">
        <v>340</v>
      </c>
      <c r="V159" s="15" t="s">
        <v>340</v>
      </c>
      <c r="W159" s="15" t="s">
        <v>345</v>
      </c>
      <c r="X159" s="17"/>
      <c r="Y159" t="s">
        <v>349</v>
      </c>
      <c r="Z159" t="s">
        <v>349</v>
      </c>
      <c r="AA159" t="s">
        <v>293</v>
      </c>
      <c r="AB159" t="s">
        <v>354</v>
      </c>
      <c r="AC159" t="s">
        <v>354</v>
      </c>
      <c r="AD159" t="s">
        <v>299</v>
      </c>
      <c r="AE159" t="s">
        <v>292</v>
      </c>
      <c r="AF159" t="s">
        <v>293</v>
      </c>
      <c r="AG159" t="s">
        <v>292</v>
      </c>
      <c r="AH159" t="s">
        <v>292</v>
      </c>
      <c r="AI159" t="s">
        <v>293</v>
      </c>
      <c r="AJ159" t="s">
        <v>302</v>
      </c>
      <c r="AK159" t="s">
        <v>302</v>
      </c>
      <c r="AL159" t="s">
        <v>357</v>
      </c>
      <c r="AM159" t="s">
        <v>293</v>
      </c>
      <c r="AN159" t="s">
        <v>293</v>
      </c>
      <c r="AO159" t="s">
        <v>296</v>
      </c>
      <c r="AP159" t="s">
        <v>298</v>
      </c>
      <c r="AQ159" t="s">
        <v>293</v>
      </c>
      <c r="AR159" t="s">
        <v>292</v>
      </c>
      <c r="AS159" t="s">
        <v>293</v>
      </c>
      <c r="AT159" t="s">
        <v>293</v>
      </c>
      <c r="AU159" t="s">
        <v>364</v>
      </c>
      <c r="AV159" t="str">
        <f t="shared" si="6"/>
        <v>break</v>
      </c>
    </row>
    <row r="160" spans="1:48" x14ac:dyDescent="0.3">
      <c r="A160" t="s">
        <v>9</v>
      </c>
      <c r="B160" t="s">
        <v>47</v>
      </c>
      <c r="C160" t="s">
        <v>19</v>
      </c>
      <c r="D160" t="s">
        <v>29</v>
      </c>
      <c r="E160" t="str">
        <f t="shared" si="5"/>
        <v>P_I9B-ZSB-S_4U3</v>
      </c>
      <c r="F160" t="b">
        <v>1</v>
      </c>
      <c r="G160">
        <v>65.8</v>
      </c>
      <c r="H160">
        <v>0</v>
      </c>
      <c r="I160">
        <v>19295</v>
      </c>
      <c r="J160" s="49" t="s">
        <v>13</v>
      </c>
      <c r="L160" s="16" t="s">
        <v>272</v>
      </c>
      <c r="M160" s="16">
        <v>2</v>
      </c>
      <c r="N160" s="16" t="s">
        <v>277</v>
      </c>
      <c r="O160" s="16" t="s">
        <v>335</v>
      </c>
      <c r="P160" s="15" t="s">
        <v>282</v>
      </c>
      <c r="Q160" t="s">
        <v>371</v>
      </c>
      <c r="R160" t="s">
        <v>371</v>
      </c>
      <c r="S160" s="17" t="s">
        <v>371</v>
      </c>
      <c r="T160" s="16" t="s">
        <v>341</v>
      </c>
      <c r="U160" s="16" t="s">
        <v>340</v>
      </c>
      <c r="V160" s="15" t="s">
        <v>340</v>
      </c>
      <c r="W160" s="15" t="s">
        <v>345</v>
      </c>
      <c r="X160" s="17" t="s">
        <v>377</v>
      </c>
      <c r="Y160" t="s">
        <v>349</v>
      </c>
      <c r="Z160" t="s">
        <v>349</v>
      </c>
      <c r="AA160" t="s">
        <v>293</v>
      </c>
      <c r="AB160" t="s">
        <v>354</v>
      </c>
      <c r="AC160" t="s">
        <v>354</v>
      </c>
      <c r="AD160" t="s">
        <v>301</v>
      </c>
      <c r="AE160" t="s">
        <v>292</v>
      </c>
      <c r="AF160" t="s">
        <v>293</v>
      </c>
      <c r="AG160" t="s">
        <v>293</v>
      </c>
      <c r="AH160" t="s">
        <v>292</v>
      </c>
      <c r="AI160" t="s">
        <v>293</v>
      </c>
      <c r="AJ160" t="s">
        <v>302</v>
      </c>
      <c r="AK160" t="s">
        <v>302</v>
      </c>
      <c r="AL160" t="s">
        <v>357</v>
      </c>
      <c r="AM160" t="s">
        <v>293</v>
      </c>
      <c r="AN160" t="s">
        <v>293</v>
      </c>
      <c r="AO160" t="s">
        <v>296</v>
      </c>
      <c r="AP160" t="s">
        <v>298</v>
      </c>
      <c r="AQ160" t="s">
        <v>293</v>
      </c>
      <c r="AR160" t="s">
        <v>292</v>
      </c>
      <c r="AS160" t="s">
        <v>293</v>
      </c>
      <c r="AT160" t="s">
        <v>293</v>
      </c>
      <c r="AU160" t="s">
        <v>364</v>
      </c>
      <c r="AV160" t="str">
        <f t="shared" si="6"/>
        <v>no_fail</v>
      </c>
    </row>
    <row r="161" spans="1:48" x14ac:dyDescent="0.3">
      <c r="A161" t="s">
        <v>9</v>
      </c>
      <c r="B161" t="s">
        <v>47</v>
      </c>
      <c r="C161" t="s">
        <v>20</v>
      </c>
      <c r="D161" t="s">
        <v>29</v>
      </c>
      <c r="E161" t="str">
        <f t="shared" si="5"/>
        <v>P_I9B-ZSB-S_7W0</v>
      </c>
      <c r="F161" t="b">
        <v>1</v>
      </c>
      <c r="G161">
        <v>81.2</v>
      </c>
      <c r="H161">
        <v>0</v>
      </c>
      <c r="I161">
        <v>16803</v>
      </c>
      <c r="J161" s="49" t="s">
        <v>13</v>
      </c>
      <c r="L161" s="16" t="s">
        <v>272</v>
      </c>
      <c r="M161" s="16">
        <v>2</v>
      </c>
      <c r="N161" s="16" t="s">
        <v>277</v>
      </c>
      <c r="O161" s="16" t="s">
        <v>335</v>
      </c>
      <c r="P161" s="15" t="s">
        <v>282</v>
      </c>
      <c r="Q161" t="s">
        <v>371</v>
      </c>
      <c r="R161" t="s">
        <v>371</v>
      </c>
      <c r="S161" s="17" t="s">
        <v>371</v>
      </c>
      <c r="T161" s="16" t="s">
        <v>341</v>
      </c>
      <c r="U161" s="16" t="s">
        <v>340</v>
      </c>
      <c r="V161" s="15" t="s">
        <v>340</v>
      </c>
      <c r="W161" s="15" t="s">
        <v>345</v>
      </c>
      <c r="X161" s="17" t="s">
        <v>377</v>
      </c>
      <c r="Y161" t="s">
        <v>349</v>
      </c>
      <c r="Z161" t="s">
        <v>349</v>
      </c>
      <c r="AA161" t="s">
        <v>293</v>
      </c>
      <c r="AB161" t="s">
        <v>354</v>
      </c>
      <c r="AC161" t="s">
        <v>354</v>
      </c>
      <c r="AD161" t="s">
        <v>301</v>
      </c>
      <c r="AE161" t="s">
        <v>292</v>
      </c>
      <c r="AF161" t="s">
        <v>293</v>
      </c>
      <c r="AG161" t="s">
        <v>292</v>
      </c>
      <c r="AH161" t="s">
        <v>292</v>
      </c>
      <c r="AI161" t="s">
        <v>293</v>
      </c>
      <c r="AJ161" t="s">
        <v>302</v>
      </c>
      <c r="AK161" t="s">
        <v>302</v>
      </c>
      <c r="AL161" t="s">
        <v>357</v>
      </c>
      <c r="AM161" t="s">
        <v>293</v>
      </c>
      <c r="AN161" t="s">
        <v>293</v>
      </c>
      <c r="AO161" t="s">
        <v>296</v>
      </c>
      <c r="AP161" t="s">
        <v>298</v>
      </c>
      <c r="AQ161" t="s">
        <v>293</v>
      </c>
      <c r="AR161" t="s">
        <v>292</v>
      </c>
      <c r="AS161" t="s">
        <v>293</v>
      </c>
      <c r="AT161" t="s">
        <v>293</v>
      </c>
      <c r="AU161" t="s">
        <v>364</v>
      </c>
      <c r="AV161" t="str">
        <f t="shared" si="6"/>
        <v>no_fail</v>
      </c>
    </row>
    <row r="162" spans="1:48" x14ac:dyDescent="0.3">
      <c r="A162" t="s">
        <v>9</v>
      </c>
      <c r="B162" t="s">
        <v>47</v>
      </c>
      <c r="C162" t="s">
        <v>26</v>
      </c>
      <c r="D162" t="s">
        <v>29</v>
      </c>
      <c r="E162" t="str">
        <f t="shared" si="5"/>
        <v>P_I9B-ZSB-S_8O8</v>
      </c>
      <c r="F162" t="b">
        <v>1</v>
      </c>
      <c r="G162">
        <v>100</v>
      </c>
      <c r="H162">
        <v>1</v>
      </c>
      <c r="I162">
        <v>14157</v>
      </c>
      <c r="J162" s="49" t="s">
        <v>18</v>
      </c>
      <c r="L162" s="16" t="s">
        <v>272</v>
      </c>
      <c r="M162" s="16">
        <v>2</v>
      </c>
      <c r="N162" s="16" t="s">
        <v>277</v>
      </c>
      <c r="O162" s="16" t="s">
        <v>335</v>
      </c>
      <c r="P162" s="15" t="s">
        <v>282</v>
      </c>
      <c r="Q162" t="s">
        <v>371</v>
      </c>
      <c r="R162" t="s">
        <v>371</v>
      </c>
      <c r="S162" s="17" t="s">
        <v>371</v>
      </c>
      <c r="T162" s="16" t="s">
        <v>341</v>
      </c>
      <c r="U162" s="16" t="s">
        <v>340</v>
      </c>
      <c r="V162" s="15" t="s">
        <v>340</v>
      </c>
      <c r="W162" s="15" t="s">
        <v>345</v>
      </c>
      <c r="X162" s="17"/>
      <c r="Y162" t="s">
        <v>349</v>
      </c>
      <c r="Z162" t="s">
        <v>349</v>
      </c>
      <c r="AA162" t="s">
        <v>293</v>
      </c>
      <c r="AB162" t="s">
        <v>354</v>
      </c>
      <c r="AC162" t="s">
        <v>354</v>
      </c>
      <c r="AD162" t="s">
        <v>301</v>
      </c>
      <c r="AE162" t="s">
        <v>292</v>
      </c>
      <c r="AF162" t="s">
        <v>293</v>
      </c>
      <c r="AG162" t="s">
        <v>292</v>
      </c>
      <c r="AH162" t="s">
        <v>293</v>
      </c>
      <c r="AI162" t="s">
        <v>293</v>
      </c>
      <c r="AJ162" t="s">
        <v>302</v>
      </c>
      <c r="AK162" t="s">
        <v>302</v>
      </c>
      <c r="AL162" t="s">
        <v>357</v>
      </c>
      <c r="AM162" t="s">
        <v>293</v>
      </c>
      <c r="AN162" t="s">
        <v>293</v>
      </c>
      <c r="AO162" t="s">
        <v>297</v>
      </c>
      <c r="AP162" t="s">
        <v>298</v>
      </c>
      <c r="AQ162" t="s">
        <v>293</v>
      </c>
      <c r="AR162" t="s">
        <v>292</v>
      </c>
      <c r="AS162" t="s">
        <v>293</v>
      </c>
      <c r="AT162" t="s">
        <v>293</v>
      </c>
      <c r="AU162" t="s">
        <v>364</v>
      </c>
      <c r="AV162" t="str">
        <f t="shared" si="6"/>
        <v>break</v>
      </c>
    </row>
    <row r="163" spans="1:48" x14ac:dyDescent="0.3">
      <c r="A163" t="s">
        <v>9</v>
      </c>
      <c r="B163" t="s">
        <v>47</v>
      </c>
      <c r="C163" t="s">
        <v>22</v>
      </c>
      <c r="D163" t="s">
        <v>29</v>
      </c>
      <c r="E163" t="str">
        <f t="shared" si="5"/>
        <v>P_I9B-ZSB-S_9B4</v>
      </c>
      <c r="F163" t="b">
        <v>1</v>
      </c>
      <c r="G163">
        <v>100</v>
      </c>
      <c r="H163">
        <v>1</v>
      </c>
      <c r="I163">
        <v>11780</v>
      </c>
      <c r="J163" s="49" t="s">
        <v>18</v>
      </c>
      <c r="L163" s="16" t="s">
        <v>272</v>
      </c>
      <c r="M163" s="16">
        <v>2</v>
      </c>
      <c r="N163" s="16" t="s">
        <v>277</v>
      </c>
      <c r="O163" s="16" t="s">
        <v>335</v>
      </c>
      <c r="P163" s="15" t="s">
        <v>282</v>
      </c>
      <c r="Q163" t="s">
        <v>371</v>
      </c>
      <c r="R163" t="s">
        <v>371</v>
      </c>
      <c r="S163" s="17" t="s">
        <v>371</v>
      </c>
      <c r="T163" s="16" t="s">
        <v>341</v>
      </c>
      <c r="U163" s="16" t="s">
        <v>342</v>
      </c>
      <c r="V163" s="15" t="s">
        <v>340</v>
      </c>
      <c r="W163" s="15" t="s">
        <v>345</v>
      </c>
      <c r="X163" s="17"/>
      <c r="Y163" t="s">
        <v>349</v>
      </c>
      <c r="Z163" t="s">
        <v>349</v>
      </c>
      <c r="AA163" t="s">
        <v>293</v>
      </c>
      <c r="AB163" t="s">
        <v>354</v>
      </c>
      <c r="AC163" t="s">
        <v>354</v>
      </c>
      <c r="AD163" t="s">
        <v>300</v>
      </c>
      <c r="AE163" t="s">
        <v>292</v>
      </c>
      <c r="AF163" t="s">
        <v>293</v>
      </c>
      <c r="AG163" t="s">
        <v>292</v>
      </c>
      <c r="AH163" t="s">
        <v>293</v>
      </c>
      <c r="AI163" t="s">
        <v>293</v>
      </c>
      <c r="AJ163" t="s">
        <v>302</v>
      </c>
      <c r="AK163" t="s">
        <v>302</v>
      </c>
      <c r="AL163" t="s">
        <v>357</v>
      </c>
      <c r="AM163" t="s">
        <v>293</v>
      </c>
      <c r="AN163" t="s">
        <v>293</v>
      </c>
      <c r="AO163" t="s">
        <v>297</v>
      </c>
      <c r="AP163" t="s">
        <v>298</v>
      </c>
      <c r="AQ163" t="s">
        <v>293</v>
      </c>
      <c r="AR163" t="s">
        <v>292</v>
      </c>
      <c r="AS163" t="s">
        <v>293</v>
      </c>
      <c r="AT163" t="s">
        <v>293</v>
      </c>
      <c r="AU163" t="s">
        <v>364</v>
      </c>
      <c r="AV163" t="str">
        <f t="shared" si="6"/>
        <v>break</v>
      </c>
    </row>
    <row r="164" spans="1:48" x14ac:dyDescent="0.3">
      <c r="A164" t="s">
        <v>9</v>
      </c>
      <c r="B164" t="s">
        <v>47</v>
      </c>
      <c r="C164" t="s">
        <v>27</v>
      </c>
      <c r="D164" t="s">
        <v>29</v>
      </c>
      <c r="E164" t="str">
        <f t="shared" si="5"/>
        <v>P_I9B-ZSB-S_9F6</v>
      </c>
      <c r="F164" t="b">
        <v>1</v>
      </c>
      <c r="G164">
        <v>100</v>
      </c>
      <c r="H164">
        <v>1</v>
      </c>
      <c r="I164">
        <v>15509</v>
      </c>
      <c r="J164" s="49" t="s">
        <v>18</v>
      </c>
      <c r="L164" s="16" t="s">
        <v>272</v>
      </c>
      <c r="M164" s="16">
        <v>2</v>
      </c>
      <c r="N164" s="16" t="s">
        <v>277</v>
      </c>
      <c r="O164" s="16" t="s">
        <v>335</v>
      </c>
      <c r="P164" s="15" t="s">
        <v>282</v>
      </c>
      <c r="Q164" t="s">
        <v>371</v>
      </c>
      <c r="R164" t="s">
        <v>371</v>
      </c>
      <c r="S164" s="17" t="s">
        <v>371</v>
      </c>
      <c r="T164" s="16" t="s">
        <v>341</v>
      </c>
      <c r="U164" s="16" t="s">
        <v>340</v>
      </c>
      <c r="V164" s="15" t="s">
        <v>340</v>
      </c>
      <c r="W164" s="15" t="s">
        <v>345</v>
      </c>
      <c r="X164" s="17" t="s">
        <v>291</v>
      </c>
      <c r="Y164" t="s">
        <v>349</v>
      </c>
      <c r="Z164" t="s">
        <v>349</v>
      </c>
      <c r="AA164" t="s">
        <v>293</v>
      </c>
      <c r="AB164" t="s">
        <v>354</v>
      </c>
      <c r="AC164" t="s">
        <v>354</v>
      </c>
      <c r="AD164" t="s">
        <v>300</v>
      </c>
      <c r="AE164" t="s">
        <v>292</v>
      </c>
      <c r="AF164" t="s">
        <v>293</v>
      </c>
      <c r="AG164" t="s">
        <v>292</v>
      </c>
      <c r="AH164" t="s">
        <v>293</v>
      </c>
      <c r="AI164" t="s">
        <v>293</v>
      </c>
      <c r="AJ164" t="s">
        <v>302</v>
      </c>
      <c r="AK164" t="s">
        <v>302</v>
      </c>
      <c r="AL164" t="s">
        <v>357</v>
      </c>
      <c r="AM164" t="s">
        <v>293</v>
      </c>
      <c r="AN164" t="s">
        <v>293</v>
      </c>
      <c r="AO164" t="s">
        <v>297</v>
      </c>
      <c r="AP164" t="s">
        <v>298</v>
      </c>
      <c r="AQ164" t="s">
        <v>293</v>
      </c>
      <c r="AR164" t="s">
        <v>292</v>
      </c>
      <c r="AS164" t="s">
        <v>293</v>
      </c>
      <c r="AT164" t="s">
        <v>293</v>
      </c>
      <c r="AU164" t="s">
        <v>364</v>
      </c>
      <c r="AV164" t="str">
        <f t="shared" si="6"/>
        <v>break</v>
      </c>
    </row>
    <row r="165" spans="1:48" x14ac:dyDescent="0.3">
      <c r="A165" t="s">
        <v>9</v>
      </c>
      <c r="B165" t="s">
        <v>47</v>
      </c>
      <c r="C165" t="s">
        <v>28</v>
      </c>
      <c r="D165" t="s">
        <v>29</v>
      </c>
      <c r="E165" t="str">
        <f t="shared" si="5"/>
        <v>P_I9B-ZSB-S_9T2</v>
      </c>
      <c r="F165" t="b">
        <v>1</v>
      </c>
      <c r="G165">
        <v>100</v>
      </c>
      <c r="H165">
        <v>1</v>
      </c>
      <c r="I165">
        <v>14985</v>
      </c>
      <c r="J165" s="49" t="s">
        <v>18</v>
      </c>
      <c r="L165" s="16" t="s">
        <v>272</v>
      </c>
      <c r="M165" s="16">
        <v>2</v>
      </c>
      <c r="N165" s="16" t="s">
        <v>277</v>
      </c>
      <c r="O165" s="16" t="s">
        <v>335</v>
      </c>
      <c r="P165" s="15" t="s">
        <v>282</v>
      </c>
      <c r="Q165" t="s">
        <v>371</v>
      </c>
      <c r="R165" t="s">
        <v>371</v>
      </c>
      <c r="S165" s="17" t="s">
        <v>371</v>
      </c>
      <c r="T165" s="16" t="s">
        <v>341</v>
      </c>
      <c r="U165" s="16" t="s">
        <v>340</v>
      </c>
      <c r="V165" s="15" t="s">
        <v>343</v>
      </c>
      <c r="W165" s="15" t="s">
        <v>345</v>
      </c>
      <c r="X165" s="17" t="s">
        <v>291</v>
      </c>
      <c r="Y165" t="s">
        <v>349</v>
      </c>
      <c r="Z165" t="s">
        <v>349</v>
      </c>
      <c r="AA165" t="s">
        <v>293</v>
      </c>
      <c r="AB165" t="s">
        <v>354</v>
      </c>
      <c r="AC165" t="s">
        <v>354</v>
      </c>
      <c r="AD165" t="s">
        <v>300</v>
      </c>
      <c r="AE165" t="s">
        <v>292</v>
      </c>
      <c r="AF165" t="s">
        <v>293</v>
      </c>
      <c r="AG165" t="s">
        <v>292</v>
      </c>
      <c r="AH165" t="s">
        <v>293</v>
      </c>
      <c r="AI165" t="s">
        <v>293</v>
      </c>
      <c r="AJ165" t="s">
        <v>302</v>
      </c>
      <c r="AK165" t="s">
        <v>302</v>
      </c>
      <c r="AL165" t="s">
        <v>357</v>
      </c>
      <c r="AM165" t="s">
        <v>293</v>
      </c>
      <c r="AN165" t="s">
        <v>293</v>
      </c>
      <c r="AO165" t="s">
        <v>297</v>
      </c>
      <c r="AP165" t="s">
        <v>298</v>
      </c>
      <c r="AQ165" t="s">
        <v>293</v>
      </c>
      <c r="AR165" t="s">
        <v>292</v>
      </c>
      <c r="AS165" t="s">
        <v>293</v>
      </c>
      <c r="AT165" t="s">
        <v>293</v>
      </c>
      <c r="AU165" t="s">
        <v>364</v>
      </c>
      <c r="AV165" t="str">
        <f t="shared" si="6"/>
        <v>break</v>
      </c>
    </row>
    <row r="166" spans="1:48" x14ac:dyDescent="0.3">
      <c r="A166" t="s">
        <v>45</v>
      </c>
      <c r="B166" t="s">
        <v>57</v>
      </c>
      <c r="C166" t="s">
        <v>15</v>
      </c>
      <c r="D166" t="s">
        <v>12</v>
      </c>
      <c r="E166" t="str">
        <f t="shared" si="5"/>
        <v>P_J8S-KYY-S_0M4</v>
      </c>
      <c r="F166" t="b">
        <v>1</v>
      </c>
      <c r="G166">
        <v>81.400000000000006</v>
      </c>
      <c r="H166">
        <v>0</v>
      </c>
      <c r="I166">
        <v>11783</v>
      </c>
      <c r="J166" s="49" t="s">
        <v>13</v>
      </c>
      <c r="L166" s="16" t="s">
        <v>272</v>
      </c>
      <c r="M166" s="16">
        <v>3</v>
      </c>
      <c r="N166" s="16" t="s">
        <v>277</v>
      </c>
      <c r="O166" s="16" t="s">
        <v>335</v>
      </c>
      <c r="P166" s="15" t="s">
        <v>282</v>
      </c>
      <c r="Q166" t="s">
        <v>371</v>
      </c>
      <c r="R166" t="s">
        <v>371</v>
      </c>
      <c r="S166" s="17" t="s">
        <v>371</v>
      </c>
      <c r="T166" s="16" t="s">
        <v>341</v>
      </c>
      <c r="U166" s="16" t="s">
        <v>340</v>
      </c>
      <c r="V166" s="15" t="s">
        <v>343</v>
      </c>
      <c r="W166" s="15" t="s">
        <v>344</v>
      </c>
      <c r="X166" s="17"/>
      <c r="Y166" t="s">
        <v>349</v>
      </c>
      <c r="Z166" t="s">
        <v>349</v>
      </c>
      <c r="AA166" t="s">
        <v>293</v>
      </c>
      <c r="AB166" t="s">
        <v>353</v>
      </c>
      <c r="AC166" t="s">
        <v>296</v>
      </c>
      <c r="AD166" t="s">
        <v>301</v>
      </c>
      <c r="AE166" t="s">
        <v>292</v>
      </c>
      <c r="AF166" t="s">
        <v>293</v>
      </c>
      <c r="AG166" t="s">
        <v>292</v>
      </c>
      <c r="AH166" t="s">
        <v>292</v>
      </c>
      <c r="AI166" t="s">
        <v>293</v>
      </c>
      <c r="AJ166" t="s">
        <v>358</v>
      </c>
      <c r="AK166" t="s">
        <v>302</v>
      </c>
      <c r="AL166" t="s">
        <v>359</v>
      </c>
      <c r="AM166" t="s">
        <v>293</v>
      </c>
      <c r="AN166" t="s">
        <v>293</v>
      </c>
      <c r="AO166" t="s">
        <v>297</v>
      </c>
      <c r="AP166" t="s">
        <v>298</v>
      </c>
      <c r="AQ166" t="s">
        <v>293</v>
      </c>
      <c r="AR166" t="s">
        <v>292</v>
      </c>
      <c r="AS166" t="s">
        <v>293</v>
      </c>
      <c r="AT166" t="s">
        <v>293</v>
      </c>
      <c r="AU166" t="s">
        <v>364</v>
      </c>
      <c r="AV166" t="str">
        <f t="shared" si="6"/>
        <v>no_fail</v>
      </c>
    </row>
    <row r="167" spans="1:48" x14ac:dyDescent="0.3">
      <c r="A167" t="s">
        <v>45</v>
      </c>
      <c r="B167" t="s">
        <v>57</v>
      </c>
      <c r="C167" t="s">
        <v>23</v>
      </c>
      <c r="D167" t="s">
        <v>12</v>
      </c>
      <c r="E167" t="str">
        <f t="shared" si="5"/>
        <v>P_J8S-KYY-S_0T2</v>
      </c>
      <c r="F167" t="b">
        <v>1</v>
      </c>
      <c r="G167">
        <v>100</v>
      </c>
      <c r="H167">
        <v>1</v>
      </c>
      <c r="I167">
        <v>8738</v>
      </c>
      <c r="J167" s="49" t="s">
        <v>18</v>
      </c>
      <c r="L167" s="16" t="s">
        <v>272</v>
      </c>
      <c r="M167" s="16">
        <v>3</v>
      </c>
      <c r="N167" s="16" t="s">
        <v>277</v>
      </c>
      <c r="O167" s="16" t="s">
        <v>335</v>
      </c>
      <c r="P167" s="15" t="s">
        <v>283</v>
      </c>
      <c r="Q167" t="s">
        <v>339</v>
      </c>
      <c r="R167" t="s">
        <v>371</v>
      </c>
      <c r="S167" s="17" t="s">
        <v>371</v>
      </c>
      <c r="T167" s="16" t="s">
        <v>341</v>
      </c>
      <c r="U167" s="16" t="s">
        <v>342</v>
      </c>
      <c r="V167" s="15" t="s">
        <v>343</v>
      </c>
      <c r="W167" s="15" t="s">
        <v>345</v>
      </c>
      <c r="X167" s="17" t="s">
        <v>347</v>
      </c>
      <c r="Y167" t="s">
        <v>349</v>
      </c>
      <c r="Z167" t="s">
        <v>349</v>
      </c>
      <c r="AA167" t="s">
        <v>293</v>
      </c>
      <c r="AB167" t="s">
        <v>352</v>
      </c>
      <c r="AC167" t="s">
        <v>296</v>
      </c>
      <c r="AD167" t="s">
        <v>299</v>
      </c>
      <c r="AE167" t="s">
        <v>292</v>
      </c>
      <c r="AF167" t="s">
        <v>292</v>
      </c>
      <c r="AG167" t="s">
        <v>292</v>
      </c>
      <c r="AH167" t="s">
        <v>292</v>
      </c>
      <c r="AI167" t="s">
        <v>293</v>
      </c>
      <c r="AJ167" t="s">
        <v>302</v>
      </c>
      <c r="AK167" t="s">
        <v>302</v>
      </c>
      <c r="AL167" t="s">
        <v>359</v>
      </c>
      <c r="AM167" t="s">
        <v>293</v>
      </c>
      <c r="AN167" t="s">
        <v>293</v>
      </c>
      <c r="AO167" t="s">
        <v>297</v>
      </c>
      <c r="AP167" t="s">
        <v>298</v>
      </c>
      <c r="AQ167" t="s">
        <v>293</v>
      </c>
      <c r="AR167" t="s">
        <v>292</v>
      </c>
      <c r="AS167" t="s">
        <v>293</v>
      </c>
      <c r="AT167" t="s">
        <v>293</v>
      </c>
      <c r="AU167" t="s">
        <v>364</v>
      </c>
      <c r="AV167" t="str">
        <f t="shared" si="6"/>
        <v>break</v>
      </c>
    </row>
    <row r="168" spans="1:48" x14ac:dyDescent="0.3">
      <c r="A168" t="s">
        <v>45</v>
      </c>
      <c r="B168" t="s">
        <v>57</v>
      </c>
      <c r="C168" t="s">
        <v>14</v>
      </c>
      <c r="D168" t="s">
        <v>12</v>
      </c>
      <c r="E168" t="str">
        <f t="shared" si="5"/>
        <v>P_J8S-KYY-S_1B0</v>
      </c>
      <c r="F168" t="b">
        <v>1</v>
      </c>
      <c r="G168">
        <v>92.3</v>
      </c>
      <c r="H168">
        <v>0</v>
      </c>
      <c r="I168">
        <v>10124</v>
      </c>
      <c r="J168" s="49" t="s">
        <v>13</v>
      </c>
      <c r="L168" s="16" t="s">
        <v>272</v>
      </c>
      <c r="M168" s="16">
        <v>3</v>
      </c>
      <c r="N168" s="16" t="s">
        <v>277</v>
      </c>
      <c r="O168" s="16" t="s">
        <v>335</v>
      </c>
      <c r="P168" s="15" t="s">
        <v>282</v>
      </c>
      <c r="Q168" t="s">
        <v>371</v>
      </c>
      <c r="R168" t="s">
        <v>371</v>
      </c>
      <c r="S168" s="17" t="s">
        <v>371</v>
      </c>
      <c r="T168" s="16" t="s">
        <v>341</v>
      </c>
      <c r="U168" s="16" t="s">
        <v>342</v>
      </c>
      <c r="V168" s="15" t="s">
        <v>343</v>
      </c>
      <c r="W168" s="15" t="s">
        <v>344</v>
      </c>
      <c r="X168" s="17" t="s">
        <v>347</v>
      </c>
      <c r="Y168" t="s">
        <v>349</v>
      </c>
      <c r="Z168" t="s">
        <v>349</v>
      </c>
      <c r="AA168" t="s">
        <v>293</v>
      </c>
      <c r="AB168" t="s">
        <v>353</v>
      </c>
      <c r="AC168" t="s">
        <v>297</v>
      </c>
      <c r="AD168" t="s">
        <v>301</v>
      </c>
      <c r="AE168" t="s">
        <v>292</v>
      </c>
      <c r="AF168" t="s">
        <v>293</v>
      </c>
      <c r="AG168" t="s">
        <v>292</v>
      </c>
      <c r="AH168" t="s">
        <v>293</v>
      </c>
      <c r="AI168" t="s">
        <v>293</v>
      </c>
      <c r="AJ168" t="s">
        <v>358</v>
      </c>
      <c r="AK168" t="s">
        <v>302</v>
      </c>
      <c r="AL168" t="s">
        <v>359</v>
      </c>
      <c r="AM168" t="s">
        <v>293</v>
      </c>
      <c r="AN168" t="s">
        <v>293</v>
      </c>
      <c r="AO168" t="s">
        <v>297</v>
      </c>
      <c r="AP168" t="s">
        <v>298</v>
      </c>
      <c r="AQ168" t="s">
        <v>293</v>
      </c>
      <c r="AR168" t="s">
        <v>292</v>
      </c>
      <c r="AS168" t="s">
        <v>293</v>
      </c>
      <c r="AT168" t="s">
        <v>293</v>
      </c>
      <c r="AU168" t="s">
        <v>364</v>
      </c>
      <c r="AV168" t="str">
        <f t="shared" si="6"/>
        <v>no_fail</v>
      </c>
    </row>
    <row r="169" spans="1:48" x14ac:dyDescent="0.3">
      <c r="A169" t="s">
        <v>45</v>
      </c>
      <c r="B169" t="s">
        <v>57</v>
      </c>
      <c r="C169" t="s">
        <v>11</v>
      </c>
      <c r="D169" t="s">
        <v>12</v>
      </c>
      <c r="E169" t="str">
        <f t="shared" si="5"/>
        <v>P_J8S-KYY-S_1Q4</v>
      </c>
      <c r="F169" t="b">
        <v>1</v>
      </c>
      <c r="G169">
        <v>100</v>
      </c>
      <c r="H169">
        <v>1</v>
      </c>
      <c r="I169">
        <v>9297</v>
      </c>
      <c r="J169" s="49" t="s">
        <v>18</v>
      </c>
      <c r="L169" s="16" t="s">
        <v>272</v>
      </c>
      <c r="M169" s="16">
        <v>3</v>
      </c>
      <c r="N169" s="16" t="s">
        <v>277</v>
      </c>
      <c r="O169" s="16" t="s">
        <v>335</v>
      </c>
      <c r="P169" s="15" t="s">
        <v>282</v>
      </c>
      <c r="Q169" t="s">
        <v>371</v>
      </c>
      <c r="R169" t="s">
        <v>371</v>
      </c>
      <c r="S169" s="17" t="s">
        <v>371</v>
      </c>
      <c r="T169" s="16" t="s">
        <v>341</v>
      </c>
      <c r="U169" s="16" t="s">
        <v>342</v>
      </c>
      <c r="V169" s="15" t="s">
        <v>343</v>
      </c>
      <c r="W169" s="15" t="s">
        <v>344</v>
      </c>
      <c r="X169" s="17" t="s">
        <v>347</v>
      </c>
      <c r="Y169" t="s">
        <v>349</v>
      </c>
      <c r="Z169" t="s">
        <v>349</v>
      </c>
      <c r="AA169" t="s">
        <v>293</v>
      </c>
      <c r="AB169" t="s">
        <v>353</v>
      </c>
      <c r="AC169" t="s">
        <v>297</v>
      </c>
      <c r="AD169" t="s">
        <v>301</v>
      </c>
      <c r="AE169" t="s">
        <v>292</v>
      </c>
      <c r="AF169" t="s">
        <v>293</v>
      </c>
      <c r="AG169" t="s">
        <v>292</v>
      </c>
      <c r="AH169" t="s">
        <v>293</v>
      </c>
      <c r="AI169" t="s">
        <v>293</v>
      </c>
      <c r="AJ169" t="s">
        <v>358</v>
      </c>
      <c r="AK169" t="s">
        <v>302</v>
      </c>
      <c r="AL169" t="s">
        <v>359</v>
      </c>
      <c r="AM169" t="s">
        <v>293</v>
      </c>
      <c r="AN169" t="s">
        <v>293</v>
      </c>
      <c r="AO169" t="s">
        <v>297</v>
      </c>
      <c r="AP169" t="s">
        <v>298</v>
      </c>
      <c r="AQ169" t="s">
        <v>293</v>
      </c>
      <c r="AR169" t="s">
        <v>292</v>
      </c>
      <c r="AS169" t="s">
        <v>293</v>
      </c>
      <c r="AT169" t="s">
        <v>293</v>
      </c>
      <c r="AU169" t="s">
        <v>364</v>
      </c>
      <c r="AV169" t="str">
        <f t="shared" si="6"/>
        <v>break</v>
      </c>
    </row>
    <row r="170" spans="1:48" x14ac:dyDescent="0.3">
      <c r="A170" t="s">
        <v>45</v>
      </c>
      <c r="B170" t="s">
        <v>57</v>
      </c>
      <c r="C170" t="s">
        <v>24</v>
      </c>
      <c r="D170" t="s">
        <v>12</v>
      </c>
      <c r="E170" t="str">
        <f t="shared" si="5"/>
        <v>P_J8S-KYY-S_1U0</v>
      </c>
      <c r="F170" t="b">
        <v>1</v>
      </c>
      <c r="G170">
        <v>100</v>
      </c>
      <c r="H170">
        <v>1</v>
      </c>
      <c r="I170">
        <v>8122</v>
      </c>
      <c r="J170" s="49" t="s">
        <v>13</v>
      </c>
      <c r="L170" s="16" t="s">
        <v>272</v>
      </c>
      <c r="M170" s="16">
        <v>3</v>
      </c>
      <c r="N170" s="16" t="s">
        <v>277</v>
      </c>
      <c r="O170" s="16" t="s">
        <v>335</v>
      </c>
      <c r="P170" s="15" t="s">
        <v>283</v>
      </c>
      <c r="Q170" t="s">
        <v>339</v>
      </c>
      <c r="R170" t="s">
        <v>371</v>
      </c>
      <c r="S170" s="17" t="s">
        <v>371</v>
      </c>
      <c r="T170" s="16" t="s">
        <v>341</v>
      </c>
      <c r="U170" s="16" t="s">
        <v>342</v>
      </c>
      <c r="V170" s="15" t="s">
        <v>343</v>
      </c>
      <c r="W170" s="15" t="s">
        <v>345</v>
      </c>
      <c r="X170" s="17" t="s">
        <v>347</v>
      </c>
      <c r="Y170" t="s">
        <v>349</v>
      </c>
      <c r="Z170" t="s">
        <v>349</v>
      </c>
      <c r="AA170" t="s">
        <v>293</v>
      </c>
      <c r="AB170" t="s">
        <v>352</v>
      </c>
      <c r="AC170" t="s">
        <v>296</v>
      </c>
      <c r="AD170" t="s">
        <v>300</v>
      </c>
      <c r="AE170" t="s">
        <v>292</v>
      </c>
      <c r="AF170" t="s">
        <v>293</v>
      </c>
      <c r="AG170" t="s">
        <v>292</v>
      </c>
      <c r="AH170" t="s">
        <v>292</v>
      </c>
      <c r="AI170" t="s">
        <v>293</v>
      </c>
      <c r="AJ170" t="s">
        <v>302</v>
      </c>
      <c r="AK170" t="s">
        <v>302</v>
      </c>
      <c r="AL170" t="s">
        <v>359</v>
      </c>
      <c r="AM170" t="s">
        <v>293</v>
      </c>
      <c r="AN170" t="s">
        <v>293</v>
      </c>
      <c r="AO170" t="s">
        <v>297</v>
      </c>
      <c r="AP170" t="s">
        <v>298</v>
      </c>
      <c r="AQ170" t="s">
        <v>293</v>
      </c>
      <c r="AR170" t="s">
        <v>292</v>
      </c>
      <c r="AS170" t="s">
        <v>293</v>
      </c>
      <c r="AT170" t="s">
        <v>293</v>
      </c>
      <c r="AU170" t="s">
        <v>364</v>
      </c>
      <c r="AV170" t="str">
        <f t="shared" si="6"/>
        <v>no_fail</v>
      </c>
    </row>
    <row r="171" spans="1:48" x14ac:dyDescent="0.3">
      <c r="A171" t="s">
        <v>45</v>
      </c>
      <c r="B171" t="s">
        <v>57</v>
      </c>
      <c r="C171" t="s">
        <v>21</v>
      </c>
      <c r="D171" t="s">
        <v>12</v>
      </c>
      <c r="E171" t="str">
        <f t="shared" si="5"/>
        <v>P_J8S-KYY-S_3X6</v>
      </c>
      <c r="F171" t="b">
        <v>1</v>
      </c>
      <c r="G171">
        <v>100</v>
      </c>
      <c r="H171">
        <v>1</v>
      </c>
      <c r="I171">
        <v>7863</v>
      </c>
      <c r="J171" s="49" t="s">
        <v>18</v>
      </c>
      <c r="L171" s="16" t="s">
        <v>272</v>
      </c>
      <c r="M171" s="16">
        <v>3</v>
      </c>
      <c r="N171" s="16" t="s">
        <v>277</v>
      </c>
      <c r="O171" s="16" t="s">
        <v>335</v>
      </c>
      <c r="P171" s="15" t="s">
        <v>283</v>
      </c>
      <c r="Q171" t="s">
        <v>339</v>
      </c>
      <c r="R171" t="s">
        <v>371</v>
      </c>
      <c r="S171" s="17" t="s">
        <v>371</v>
      </c>
      <c r="T171" s="16" t="s">
        <v>341</v>
      </c>
      <c r="U171" s="16" t="s">
        <v>342</v>
      </c>
      <c r="V171" s="15" t="s">
        <v>343</v>
      </c>
      <c r="W171" s="15" t="s">
        <v>345</v>
      </c>
      <c r="X171" s="17" t="s">
        <v>347</v>
      </c>
      <c r="Y171" t="s">
        <v>349</v>
      </c>
      <c r="Z171" t="s">
        <v>349</v>
      </c>
      <c r="AA171" t="s">
        <v>293</v>
      </c>
      <c r="AB171" t="s">
        <v>352</v>
      </c>
      <c r="AC171" t="s">
        <v>296</v>
      </c>
      <c r="AD171" t="s">
        <v>299</v>
      </c>
      <c r="AE171" t="s">
        <v>292</v>
      </c>
      <c r="AF171" t="s">
        <v>293</v>
      </c>
      <c r="AG171" t="s">
        <v>292</v>
      </c>
      <c r="AH171" t="s">
        <v>292</v>
      </c>
      <c r="AI171" t="s">
        <v>293</v>
      </c>
      <c r="AJ171" t="s">
        <v>302</v>
      </c>
      <c r="AK171" t="s">
        <v>302</v>
      </c>
      <c r="AL171" t="s">
        <v>359</v>
      </c>
      <c r="AM171" t="s">
        <v>293</v>
      </c>
      <c r="AN171" t="s">
        <v>293</v>
      </c>
      <c r="AO171" t="s">
        <v>297</v>
      </c>
      <c r="AP171" t="s">
        <v>298</v>
      </c>
      <c r="AQ171" t="s">
        <v>293</v>
      </c>
      <c r="AR171" t="s">
        <v>292</v>
      </c>
      <c r="AS171" t="s">
        <v>293</v>
      </c>
      <c r="AT171" t="s">
        <v>293</v>
      </c>
      <c r="AU171" t="s">
        <v>364</v>
      </c>
      <c r="AV171" t="str">
        <f t="shared" si="6"/>
        <v>break</v>
      </c>
    </row>
    <row r="172" spans="1:48" x14ac:dyDescent="0.3">
      <c r="A172" t="s">
        <v>45</v>
      </c>
      <c r="B172" t="s">
        <v>57</v>
      </c>
      <c r="C172" t="s">
        <v>19</v>
      </c>
      <c r="D172" t="s">
        <v>12</v>
      </c>
      <c r="E172" t="str">
        <f t="shared" si="5"/>
        <v>P_J8S-KYY-S_4U3</v>
      </c>
      <c r="F172" t="b">
        <v>1</v>
      </c>
      <c r="G172">
        <v>62.3</v>
      </c>
      <c r="H172">
        <v>0</v>
      </c>
      <c r="I172">
        <v>10140</v>
      </c>
      <c r="J172" s="49" t="s">
        <v>13</v>
      </c>
      <c r="L172" s="16" t="s">
        <v>272</v>
      </c>
      <c r="M172" s="16">
        <v>3</v>
      </c>
      <c r="N172" s="16" t="s">
        <v>277</v>
      </c>
      <c r="O172" s="16" t="s">
        <v>335</v>
      </c>
      <c r="P172" s="15" t="s">
        <v>282</v>
      </c>
      <c r="Q172" t="s">
        <v>371</v>
      </c>
      <c r="R172" t="s">
        <v>371</v>
      </c>
      <c r="S172" s="17" t="s">
        <v>371</v>
      </c>
      <c r="T172" s="16" t="s">
        <v>341</v>
      </c>
      <c r="U172" s="16" t="s">
        <v>342</v>
      </c>
      <c r="V172" s="15" t="s">
        <v>343</v>
      </c>
      <c r="W172" s="15" t="s">
        <v>344</v>
      </c>
      <c r="X172" s="17"/>
      <c r="Y172" t="s">
        <v>349</v>
      </c>
      <c r="Z172" t="s">
        <v>349</v>
      </c>
      <c r="AA172" t="s">
        <v>293</v>
      </c>
      <c r="AB172" t="s">
        <v>352</v>
      </c>
      <c r="AC172" t="s">
        <v>296</v>
      </c>
      <c r="AD172" t="s">
        <v>301</v>
      </c>
      <c r="AE172" t="s">
        <v>292</v>
      </c>
      <c r="AF172" t="s">
        <v>293</v>
      </c>
      <c r="AG172" t="s">
        <v>292</v>
      </c>
      <c r="AH172" t="s">
        <v>292</v>
      </c>
      <c r="AI172" t="s">
        <v>293</v>
      </c>
      <c r="AJ172" t="s">
        <v>302</v>
      </c>
      <c r="AK172" t="s">
        <v>302</v>
      </c>
      <c r="AL172" t="s">
        <v>359</v>
      </c>
      <c r="AM172" t="s">
        <v>293</v>
      </c>
      <c r="AN172" t="s">
        <v>293</v>
      </c>
      <c r="AO172" t="s">
        <v>297</v>
      </c>
      <c r="AP172" t="s">
        <v>298</v>
      </c>
      <c r="AQ172" t="s">
        <v>293</v>
      </c>
      <c r="AR172" t="s">
        <v>292</v>
      </c>
      <c r="AS172" t="s">
        <v>293</v>
      </c>
      <c r="AT172" t="s">
        <v>293</v>
      </c>
      <c r="AU172" t="s">
        <v>364</v>
      </c>
      <c r="AV172" t="str">
        <f t="shared" si="6"/>
        <v>no_fail</v>
      </c>
    </row>
    <row r="173" spans="1:48" x14ac:dyDescent="0.3">
      <c r="A173" t="s">
        <v>45</v>
      </c>
      <c r="B173" t="s">
        <v>57</v>
      </c>
      <c r="C173" t="s">
        <v>17</v>
      </c>
      <c r="D173" t="s">
        <v>12</v>
      </c>
      <c r="E173" t="str">
        <f t="shared" si="5"/>
        <v>P_J8S-KYY-S_6B5</v>
      </c>
      <c r="F173" t="b">
        <v>1</v>
      </c>
      <c r="G173">
        <v>100</v>
      </c>
      <c r="H173">
        <v>1</v>
      </c>
      <c r="I173">
        <v>9534</v>
      </c>
      <c r="J173" s="49" t="s">
        <v>18</v>
      </c>
      <c r="L173" s="16" t="s">
        <v>272</v>
      </c>
      <c r="M173" s="16">
        <v>2</v>
      </c>
      <c r="N173" s="16" t="s">
        <v>277</v>
      </c>
      <c r="O173" s="16" t="s">
        <v>335</v>
      </c>
      <c r="P173" s="15" t="s">
        <v>282</v>
      </c>
      <c r="Q173" t="s">
        <v>371</v>
      </c>
      <c r="R173" t="s">
        <v>371</v>
      </c>
      <c r="S173" s="17" t="s">
        <v>371</v>
      </c>
      <c r="T173" s="16" t="s">
        <v>341</v>
      </c>
      <c r="U173" s="16" t="s">
        <v>342</v>
      </c>
      <c r="V173" s="15" t="s">
        <v>343</v>
      </c>
      <c r="W173" s="15" t="s">
        <v>344</v>
      </c>
      <c r="X173" s="17"/>
      <c r="Y173" t="s">
        <v>349</v>
      </c>
      <c r="Z173" t="s">
        <v>349</v>
      </c>
      <c r="AA173" t="s">
        <v>293</v>
      </c>
      <c r="AB173" t="s">
        <v>354</v>
      </c>
      <c r="AC173" t="s">
        <v>354</v>
      </c>
      <c r="AD173" t="s">
        <v>301</v>
      </c>
      <c r="AE173" t="s">
        <v>292</v>
      </c>
      <c r="AF173" t="s">
        <v>293</v>
      </c>
      <c r="AG173" t="s">
        <v>292</v>
      </c>
      <c r="AH173" t="s">
        <v>293</v>
      </c>
      <c r="AI173" t="s">
        <v>293</v>
      </c>
      <c r="AJ173" t="s">
        <v>302</v>
      </c>
      <c r="AK173" t="s">
        <v>302</v>
      </c>
      <c r="AL173" t="s">
        <v>357</v>
      </c>
      <c r="AM173" t="s">
        <v>293</v>
      </c>
      <c r="AN173" t="s">
        <v>293</v>
      </c>
      <c r="AO173" t="s">
        <v>297</v>
      </c>
      <c r="AP173" t="s">
        <v>298</v>
      </c>
      <c r="AQ173" t="s">
        <v>293</v>
      </c>
      <c r="AR173" t="s">
        <v>292</v>
      </c>
      <c r="AS173" t="s">
        <v>293</v>
      </c>
      <c r="AT173" t="s">
        <v>293</v>
      </c>
      <c r="AU173" t="s">
        <v>364</v>
      </c>
      <c r="AV173" t="str">
        <f t="shared" si="6"/>
        <v>break</v>
      </c>
    </row>
    <row r="174" spans="1:48" x14ac:dyDescent="0.3">
      <c r="A174" t="s">
        <v>45</v>
      </c>
      <c r="B174" t="s">
        <v>57</v>
      </c>
      <c r="C174" t="s">
        <v>16</v>
      </c>
      <c r="D174" t="s">
        <v>12</v>
      </c>
      <c r="E174" t="str">
        <f t="shared" si="5"/>
        <v>P_J8S-KYY-S_6U7</v>
      </c>
      <c r="F174" t="b">
        <v>1</v>
      </c>
      <c r="G174">
        <v>100</v>
      </c>
      <c r="H174">
        <v>1</v>
      </c>
      <c r="I174">
        <v>8655</v>
      </c>
      <c r="J174" s="49" t="s">
        <v>18</v>
      </c>
      <c r="L174" s="16" t="s">
        <v>272</v>
      </c>
      <c r="M174" s="16">
        <v>2</v>
      </c>
      <c r="N174" s="16" t="s">
        <v>277</v>
      </c>
      <c r="O174" s="16" t="s">
        <v>335</v>
      </c>
      <c r="P174" s="15" t="s">
        <v>282</v>
      </c>
      <c r="Q174" t="s">
        <v>371</v>
      </c>
      <c r="R174" t="s">
        <v>371</v>
      </c>
      <c r="S174" s="17" t="s">
        <v>371</v>
      </c>
      <c r="T174" s="16" t="s">
        <v>341</v>
      </c>
      <c r="U174" s="16" t="s">
        <v>342</v>
      </c>
      <c r="V174" s="15" t="s">
        <v>343</v>
      </c>
      <c r="W174" s="15" t="s">
        <v>344</v>
      </c>
      <c r="X174" s="17"/>
      <c r="Y174" t="s">
        <v>349</v>
      </c>
      <c r="Z174" t="s">
        <v>349</v>
      </c>
      <c r="AA174" t="s">
        <v>293</v>
      </c>
      <c r="AB174" t="s">
        <v>354</v>
      </c>
      <c r="AC174" t="s">
        <v>354</v>
      </c>
      <c r="AD174" t="s">
        <v>301</v>
      </c>
      <c r="AE174" t="s">
        <v>292</v>
      </c>
      <c r="AF174" t="s">
        <v>293</v>
      </c>
      <c r="AG174" t="s">
        <v>292</v>
      </c>
      <c r="AH174" t="s">
        <v>293</v>
      </c>
      <c r="AI174" t="s">
        <v>293</v>
      </c>
      <c r="AJ174" t="s">
        <v>358</v>
      </c>
      <c r="AK174" t="s">
        <v>302</v>
      </c>
      <c r="AL174" t="s">
        <v>357</v>
      </c>
      <c r="AM174" t="s">
        <v>293</v>
      </c>
      <c r="AN174" t="s">
        <v>293</v>
      </c>
      <c r="AO174" t="s">
        <v>297</v>
      </c>
      <c r="AP174" t="s">
        <v>298</v>
      </c>
      <c r="AQ174" t="s">
        <v>293</v>
      </c>
      <c r="AR174" t="s">
        <v>292</v>
      </c>
      <c r="AS174" t="s">
        <v>293</v>
      </c>
      <c r="AT174" t="s">
        <v>293</v>
      </c>
      <c r="AU174" t="s">
        <v>364</v>
      </c>
      <c r="AV174" t="str">
        <f t="shared" si="6"/>
        <v>break</v>
      </c>
    </row>
    <row r="175" spans="1:48" x14ac:dyDescent="0.3">
      <c r="A175" t="s">
        <v>45</v>
      </c>
      <c r="B175" t="s">
        <v>57</v>
      </c>
      <c r="C175" t="s">
        <v>20</v>
      </c>
      <c r="D175" t="s">
        <v>12</v>
      </c>
      <c r="E175" t="str">
        <f t="shared" si="5"/>
        <v>P_J8S-KYY-S_7W0</v>
      </c>
      <c r="F175" t="b">
        <v>1</v>
      </c>
      <c r="G175">
        <v>99.2</v>
      </c>
      <c r="H175">
        <v>0</v>
      </c>
      <c r="I175">
        <v>8677</v>
      </c>
      <c r="J175" s="49" t="s">
        <v>13</v>
      </c>
      <c r="L175" s="16" t="s">
        <v>272</v>
      </c>
      <c r="M175" s="16">
        <v>3</v>
      </c>
      <c r="N175" s="16" t="s">
        <v>277</v>
      </c>
      <c r="O175" s="16" t="s">
        <v>335</v>
      </c>
      <c r="P175" s="15" t="s">
        <v>282</v>
      </c>
      <c r="Q175" t="s">
        <v>371</v>
      </c>
      <c r="R175" t="s">
        <v>371</v>
      </c>
      <c r="S175" s="17" t="s">
        <v>371</v>
      </c>
      <c r="T175" s="16" t="s">
        <v>341</v>
      </c>
      <c r="U175" s="16" t="s">
        <v>342</v>
      </c>
      <c r="V175" s="15" t="s">
        <v>343</v>
      </c>
      <c r="W175" s="15" t="s">
        <v>345</v>
      </c>
      <c r="X175" s="17" t="s">
        <v>347</v>
      </c>
      <c r="Y175" t="s">
        <v>349</v>
      </c>
      <c r="Z175" t="s">
        <v>349</v>
      </c>
      <c r="AA175" t="s">
        <v>293</v>
      </c>
      <c r="AB175" t="s">
        <v>352</v>
      </c>
      <c r="AC175" t="s">
        <v>296</v>
      </c>
      <c r="AD175" t="s">
        <v>300</v>
      </c>
      <c r="AE175" t="s">
        <v>292</v>
      </c>
      <c r="AF175" t="s">
        <v>293</v>
      </c>
      <c r="AG175" t="s">
        <v>292</v>
      </c>
      <c r="AH175" t="s">
        <v>292</v>
      </c>
      <c r="AI175" t="s">
        <v>293</v>
      </c>
      <c r="AJ175" t="s">
        <v>302</v>
      </c>
      <c r="AK175" t="s">
        <v>302</v>
      </c>
      <c r="AL175" t="s">
        <v>359</v>
      </c>
      <c r="AM175" t="s">
        <v>293</v>
      </c>
      <c r="AN175" t="s">
        <v>293</v>
      </c>
      <c r="AO175" t="s">
        <v>297</v>
      </c>
      <c r="AP175" t="s">
        <v>298</v>
      </c>
      <c r="AQ175" t="s">
        <v>293</v>
      </c>
      <c r="AR175" t="s">
        <v>292</v>
      </c>
      <c r="AS175" t="s">
        <v>293</v>
      </c>
      <c r="AT175" t="s">
        <v>293</v>
      </c>
      <c r="AU175" t="s">
        <v>364</v>
      </c>
      <c r="AV175" t="str">
        <f t="shared" si="6"/>
        <v>no_fail</v>
      </c>
    </row>
    <row r="176" spans="1:48" x14ac:dyDescent="0.3">
      <c r="A176" t="s">
        <v>45</v>
      </c>
      <c r="B176" t="s">
        <v>57</v>
      </c>
      <c r="C176" t="s">
        <v>22</v>
      </c>
      <c r="D176" t="s">
        <v>12</v>
      </c>
      <c r="E176" t="str">
        <f t="shared" si="5"/>
        <v>P_J8S-KYY-S_9B4</v>
      </c>
      <c r="F176" t="b">
        <v>1</v>
      </c>
      <c r="G176">
        <v>100</v>
      </c>
      <c r="H176">
        <v>1</v>
      </c>
      <c r="I176">
        <v>7998</v>
      </c>
      <c r="J176" s="49" t="s">
        <v>18</v>
      </c>
      <c r="L176" s="16" t="s">
        <v>272</v>
      </c>
      <c r="M176" s="16">
        <v>3</v>
      </c>
      <c r="N176" s="16" t="s">
        <v>277</v>
      </c>
      <c r="O176" s="16" t="s">
        <v>335</v>
      </c>
      <c r="P176" s="15" t="s">
        <v>283</v>
      </c>
      <c r="Q176" t="s">
        <v>339</v>
      </c>
      <c r="R176" t="s">
        <v>371</v>
      </c>
      <c r="S176" s="17" t="s">
        <v>371</v>
      </c>
      <c r="T176" s="16" t="s">
        <v>341</v>
      </c>
      <c r="U176" s="16" t="s">
        <v>342</v>
      </c>
      <c r="V176" s="15" t="s">
        <v>343</v>
      </c>
      <c r="W176" s="15" t="s">
        <v>345</v>
      </c>
      <c r="X176" s="17" t="s">
        <v>347</v>
      </c>
      <c r="Y176" t="s">
        <v>349</v>
      </c>
      <c r="Z176" t="s">
        <v>349</v>
      </c>
      <c r="AA176" t="s">
        <v>293</v>
      </c>
      <c r="AB176" t="s">
        <v>352</v>
      </c>
      <c r="AC176" t="s">
        <v>296</v>
      </c>
      <c r="AD176" t="s">
        <v>300</v>
      </c>
      <c r="AE176" t="s">
        <v>292</v>
      </c>
      <c r="AF176" t="s">
        <v>293</v>
      </c>
      <c r="AG176" t="s">
        <v>292</v>
      </c>
      <c r="AH176" t="s">
        <v>292</v>
      </c>
      <c r="AI176" t="s">
        <v>293</v>
      </c>
      <c r="AJ176" t="s">
        <v>302</v>
      </c>
      <c r="AK176" t="s">
        <v>302</v>
      </c>
      <c r="AL176" t="s">
        <v>359</v>
      </c>
      <c r="AM176" t="s">
        <v>293</v>
      </c>
      <c r="AN176" t="s">
        <v>293</v>
      </c>
      <c r="AO176" t="s">
        <v>297</v>
      </c>
      <c r="AP176" t="s">
        <v>298</v>
      </c>
      <c r="AQ176" t="s">
        <v>293</v>
      </c>
      <c r="AR176" t="s">
        <v>292</v>
      </c>
      <c r="AS176" t="s">
        <v>293</v>
      </c>
      <c r="AT176" t="s">
        <v>293</v>
      </c>
      <c r="AU176" t="s">
        <v>364</v>
      </c>
      <c r="AV176" t="str">
        <f t="shared" si="6"/>
        <v>break</v>
      </c>
    </row>
    <row r="177" spans="1:48" x14ac:dyDescent="0.3">
      <c r="A177" t="s">
        <v>45</v>
      </c>
      <c r="B177" t="s">
        <v>57</v>
      </c>
      <c r="C177" t="s">
        <v>25</v>
      </c>
      <c r="D177" t="s">
        <v>29</v>
      </c>
      <c r="E177" t="str">
        <f t="shared" si="5"/>
        <v>P_J8S-ZSB-S_1J8</v>
      </c>
      <c r="F177" t="b">
        <v>1</v>
      </c>
      <c r="G177">
        <v>99.6</v>
      </c>
      <c r="H177">
        <v>0</v>
      </c>
      <c r="I177">
        <v>8148</v>
      </c>
      <c r="J177" s="49" t="s">
        <v>13</v>
      </c>
      <c r="L177" s="16" t="s">
        <v>272</v>
      </c>
      <c r="M177" s="16">
        <v>3</v>
      </c>
      <c r="N177" s="16" t="s">
        <v>277</v>
      </c>
      <c r="O177" s="16" t="s">
        <v>335</v>
      </c>
      <c r="P177" s="15" t="s">
        <v>283</v>
      </c>
      <c r="Q177" t="s">
        <v>339</v>
      </c>
      <c r="R177" t="s">
        <v>371</v>
      </c>
      <c r="S177" s="17" t="s">
        <v>371</v>
      </c>
      <c r="T177" s="16" t="s">
        <v>341</v>
      </c>
      <c r="U177" s="16" t="s">
        <v>342</v>
      </c>
      <c r="V177" s="15" t="s">
        <v>343</v>
      </c>
      <c r="W177" s="15" t="s">
        <v>345</v>
      </c>
      <c r="X177" s="17" t="s">
        <v>347</v>
      </c>
      <c r="Y177" t="s">
        <v>349</v>
      </c>
      <c r="Z177" t="s">
        <v>349</v>
      </c>
      <c r="AA177" t="s">
        <v>293</v>
      </c>
      <c r="AB177" t="s">
        <v>352</v>
      </c>
      <c r="AC177" t="s">
        <v>296</v>
      </c>
      <c r="AD177" t="s">
        <v>300</v>
      </c>
      <c r="AE177" t="s">
        <v>292</v>
      </c>
      <c r="AF177" t="s">
        <v>293</v>
      </c>
      <c r="AG177" t="s">
        <v>292</v>
      </c>
      <c r="AH177" t="s">
        <v>292</v>
      </c>
      <c r="AI177" t="s">
        <v>293</v>
      </c>
      <c r="AJ177" t="s">
        <v>302</v>
      </c>
      <c r="AK177" t="s">
        <v>302</v>
      </c>
      <c r="AL177" t="s">
        <v>359</v>
      </c>
      <c r="AM177" t="s">
        <v>293</v>
      </c>
      <c r="AN177" t="s">
        <v>293</v>
      </c>
      <c r="AO177" t="s">
        <v>297</v>
      </c>
      <c r="AP177" t="s">
        <v>298</v>
      </c>
      <c r="AQ177" t="s">
        <v>293</v>
      </c>
      <c r="AR177" t="s">
        <v>292</v>
      </c>
      <c r="AS177" t="s">
        <v>293</v>
      </c>
      <c r="AT177" t="s">
        <v>293</v>
      </c>
      <c r="AU177" t="s">
        <v>364</v>
      </c>
      <c r="AV177" t="str">
        <f t="shared" si="6"/>
        <v>no_fail</v>
      </c>
    </row>
    <row r="178" spans="1:48" x14ac:dyDescent="0.3">
      <c r="A178" t="s">
        <v>45</v>
      </c>
      <c r="B178" t="s">
        <v>57</v>
      </c>
      <c r="C178" t="s">
        <v>32</v>
      </c>
      <c r="D178" t="s">
        <v>29</v>
      </c>
      <c r="E178" t="str">
        <f t="shared" si="5"/>
        <v>P_J8S-ZSB-S_3B9</v>
      </c>
      <c r="F178" t="b">
        <v>1</v>
      </c>
      <c r="G178">
        <v>100</v>
      </c>
      <c r="H178">
        <v>1</v>
      </c>
      <c r="I178">
        <v>9220</v>
      </c>
      <c r="J178" s="49" t="s">
        <v>18</v>
      </c>
      <c r="L178" s="16" t="s">
        <v>272</v>
      </c>
      <c r="M178" s="16">
        <v>3</v>
      </c>
      <c r="N178" s="16" t="s">
        <v>277</v>
      </c>
      <c r="O178" s="16" t="s">
        <v>335</v>
      </c>
      <c r="P178" s="15" t="s">
        <v>284</v>
      </c>
      <c r="Q178" t="s">
        <v>282</v>
      </c>
      <c r="R178" t="s">
        <v>371</v>
      </c>
      <c r="S178" s="17" t="s">
        <v>371</v>
      </c>
      <c r="T178" s="16" t="s">
        <v>341</v>
      </c>
      <c r="U178" s="16" t="s">
        <v>342</v>
      </c>
      <c r="V178" s="15" t="s">
        <v>343</v>
      </c>
      <c r="W178" s="15" t="s">
        <v>344</v>
      </c>
      <c r="X178" s="17"/>
      <c r="Y178" t="s">
        <v>349</v>
      </c>
      <c r="Z178" t="s">
        <v>349</v>
      </c>
      <c r="AA178" t="s">
        <v>293</v>
      </c>
      <c r="AB178" t="s">
        <v>352</v>
      </c>
      <c r="AC178" t="s">
        <v>296</v>
      </c>
      <c r="AD178" t="s">
        <v>300</v>
      </c>
      <c r="AE178" t="s">
        <v>292</v>
      </c>
      <c r="AF178" t="s">
        <v>293</v>
      </c>
      <c r="AG178" t="s">
        <v>292</v>
      </c>
      <c r="AH178" t="s">
        <v>292</v>
      </c>
      <c r="AI178" t="s">
        <v>293</v>
      </c>
      <c r="AJ178" t="s">
        <v>302</v>
      </c>
      <c r="AK178" t="s">
        <v>302</v>
      </c>
      <c r="AL178" t="s">
        <v>359</v>
      </c>
      <c r="AM178" t="s">
        <v>293</v>
      </c>
      <c r="AN178" t="s">
        <v>293</v>
      </c>
      <c r="AO178" t="s">
        <v>297</v>
      </c>
      <c r="AP178" t="s">
        <v>298</v>
      </c>
      <c r="AQ178" t="s">
        <v>293</v>
      </c>
      <c r="AR178" t="s">
        <v>292</v>
      </c>
      <c r="AS178" t="s">
        <v>293</v>
      </c>
      <c r="AT178" t="s">
        <v>293</v>
      </c>
      <c r="AU178" t="s">
        <v>364</v>
      </c>
      <c r="AV178" t="str">
        <f t="shared" si="6"/>
        <v>break</v>
      </c>
    </row>
    <row r="179" spans="1:48" x14ac:dyDescent="0.3">
      <c r="A179" t="s">
        <v>45</v>
      </c>
      <c r="B179" t="s">
        <v>57</v>
      </c>
      <c r="C179" t="s">
        <v>30</v>
      </c>
      <c r="D179" t="s">
        <v>29</v>
      </c>
      <c r="E179" t="str">
        <f t="shared" si="5"/>
        <v>P_J8S-ZSB-S_3X7</v>
      </c>
      <c r="F179" t="b">
        <v>1</v>
      </c>
      <c r="G179">
        <v>100</v>
      </c>
      <c r="H179">
        <v>1</v>
      </c>
      <c r="I179">
        <v>9538</v>
      </c>
      <c r="J179" s="49" t="s">
        <v>18</v>
      </c>
      <c r="L179" s="16" t="s">
        <v>272</v>
      </c>
      <c r="M179" s="16">
        <v>3</v>
      </c>
      <c r="N179" s="16" t="s">
        <v>277</v>
      </c>
      <c r="O179" s="16" t="s">
        <v>335</v>
      </c>
      <c r="P179" s="15" t="s">
        <v>284</v>
      </c>
      <c r="Q179" t="s">
        <v>282</v>
      </c>
      <c r="R179" t="s">
        <v>371</v>
      </c>
      <c r="S179" s="17" t="s">
        <v>371</v>
      </c>
      <c r="T179" s="16" t="s">
        <v>341</v>
      </c>
      <c r="U179" s="16" t="s">
        <v>340</v>
      </c>
      <c r="V179" s="15" t="s">
        <v>343</v>
      </c>
      <c r="W179" s="15" t="s">
        <v>344</v>
      </c>
      <c r="X179" s="17"/>
      <c r="Y179" t="s">
        <v>349</v>
      </c>
      <c r="Z179" t="s">
        <v>349</v>
      </c>
      <c r="AA179" t="s">
        <v>293</v>
      </c>
      <c r="AB179" t="s">
        <v>352</v>
      </c>
      <c r="AC179" t="s">
        <v>296</v>
      </c>
      <c r="AD179" t="s">
        <v>300</v>
      </c>
      <c r="AE179" t="s">
        <v>292</v>
      </c>
      <c r="AF179" t="s">
        <v>292</v>
      </c>
      <c r="AG179" t="s">
        <v>292</v>
      </c>
      <c r="AH179" t="s">
        <v>292</v>
      </c>
      <c r="AI179" t="s">
        <v>293</v>
      </c>
      <c r="AJ179" t="s">
        <v>302</v>
      </c>
      <c r="AK179" t="s">
        <v>302</v>
      </c>
      <c r="AL179" t="s">
        <v>359</v>
      </c>
      <c r="AM179" t="s">
        <v>293</v>
      </c>
      <c r="AN179" t="s">
        <v>293</v>
      </c>
      <c r="AO179" t="s">
        <v>297</v>
      </c>
      <c r="AP179" t="s">
        <v>298</v>
      </c>
      <c r="AQ179" t="s">
        <v>293</v>
      </c>
      <c r="AR179" t="s">
        <v>292</v>
      </c>
      <c r="AS179" t="s">
        <v>293</v>
      </c>
      <c r="AT179" t="s">
        <v>293</v>
      </c>
      <c r="AU179" t="s">
        <v>364</v>
      </c>
      <c r="AV179" t="str">
        <f t="shared" si="6"/>
        <v>break</v>
      </c>
    </row>
    <row r="180" spans="1:48" x14ac:dyDescent="0.3">
      <c r="A180" t="s">
        <v>45</v>
      </c>
      <c r="B180" t="s">
        <v>57</v>
      </c>
      <c r="C180" t="s">
        <v>34</v>
      </c>
      <c r="D180" t="s">
        <v>29</v>
      </c>
      <c r="E180" t="str">
        <f t="shared" si="5"/>
        <v>P_J8S-ZSB-S_8A5</v>
      </c>
      <c r="F180" t="b">
        <v>1</v>
      </c>
      <c r="G180">
        <v>100</v>
      </c>
      <c r="H180">
        <v>1</v>
      </c>
      <c r="I180">
        <v>9280</v>
      </c>
      <c r="J180" s="49" t="s">
        <v>18</v>
      </c>
      <c r="L180" s="16" t="s">
        <v>272</v>
      </c>
      <c r="M180" s="16">
        <v>3</v>
      </c>
      <c r="N180" s="16" t="s">
        <v>277</v>
      </c>
      <c r="O180" s="16" t="s">
        <v>335</v>
      </c>
      <c r="P180" s="15" t="s">
        <v>282</v>
      </c>
      <c r="Q180" t="s">
        <v>339</v>
      </c>
      <c r="R180" t="s">
        <v>371</v>
      </c>
      <c r="S180" s="17" t="s">
        <v>371</v>
      </c>
      <c r="T180" s="16" t="s">
        <v>341</v>
      </c>
      <c r="U180" s="16" t="s">
        <v>342</v>
      </c>
      <c r="V180" s="15" t="s">
        <v>343</v>
      </c>
      <c r="W180" s="15" t="s">
        <v>345</v>
      </c>
      <c r="X180" s="17" t="s">
        <v>347</v>
      </c>
      <c r="Y180" t="s">
        <v>349</v>
      </c>
      <c r="Z180" t="s">
        <v>349</v>
      </c>
      <c r="AA180" t="s">
        <v>293</v>
      </c>
      <c r="AB180" t="s">
        <v>352</v>
      </c>
      <c r="AC180" t="s">
        <v>296</v>
      </c>
      <c r="AD180" t="s">
        <v>300</v>
      </c>
      <c r="AE180" t="s">
        <v>292</v>
      </c>
      <c r="AF180" t="s">
        <v>293</v>
      </c>
      <c r="AG180" t="s">
        <v>292</v>
      </c>
      <c r="AH180" t="s">
        <v>292</v>
      </c>
      <c r="AI180" t="s">
        <v>293</v>
      </c>
      <c r="AJ180" t="s">
        <v>302</v>
      </c>
      <c r="AK180" t="s">
        <v>302</v>
      </c>
      <c r="AL180" t="s">
        <v>359</v>
      </c>
      <c r="AM180" t="s">
        <v>293</v>
      </c>
      <c r="AN180" t="s">
        <v>293</v>
      </c>
      <c r="AO180" t="s">
        <v>297</v>
      </c>
      <c r="AP180" t="s">
        <v>298</v>
      </c>
      <c r="AQ180" t="s">
        <v>293</v>
      </c>
      <c r="AR180" t="s">
        <v>292</v>
      </c>
      <c r="AS180" t="s">
        <v>362</v>
      </c>
      <c r="AT180" t="s">
        <v>293</v>
      </c>
      <c r="AU180" t="s">
        <v>364</v>
      </c>
      <c r="AV180" t="str">
        <f t="shared" si="6"/>
        <v>break</v>
      </c>
    </row>
    <row r="181" spans="1:48" x14ac:dyDescent="0.3">
      <c r="A181" t="s">
        <v>45</v>
      </c>
      <c r="B181" t="s">
        <v>57</v>
      </c>
      <c r="C181" t="s">
        <v>36</v>
      </c>
      <c r="D181" t="s">
        <v>29</v>
      </c>
      <c r="E181" t="str">
        <f t="shared" si="5"/>
        <v>P_J8S-ZSB-S_8D0</v>
      </c>
      <c r="F181" t="b">
        <v>1</v>
      </c>
      <c r="G181">
        <v>100</v>
      </c>
      <c r="H181">
        <v>1</v>
      </c>
      <c r="I181">
        <v>9312</v>
      </c>
      <c r="J181" s="49" t="s">
        <v>18</v>
      </c>
      <c r="L181" s="16" t="s">
        <v>272</v>
      </c>
      <c r="M181" s="16">
        <v>3</v>
      </c>
      <c r="N181" s="16" t="s">
        <v>277</v>
      </c>
      <c r="O181" s="16" t="s">
        <v>335</v>
      </c>
      <c r="P181" s="15" t="s">
        <v>282</v>
      </c>
      <c r="Q181" t="s">
        <v>283</v>
      </c>
      <c r="R181" t="s">
        <v>371</v>
      </c>
      <c r="S181" s="17" t="s">
        <v>371</v>
      </c>
      <c r="T181" s="16" t="s">
        <v>341</v>
      </c>
      <c r="U181" s="16" t="s">
        <v>342</v>
      </c>
      <c r="V181" s="15" t="s">
        <v>343</v>
      </c>
      <c r="W181" s="15" t="s">
        <v>345</v>
      </c>
      <c r="X181" s="17" t="s">
        <v>344</v>
      </c>
      <c r="Y181" t="s">
        <v>349</v>
      </c>
      <c r="Z181" t="s">
        <v>349</v>
      </c>
      <c r="AA181" t="s">
        <v>293</v>
      </c>
      <c r="AB181" t="s">
        <v>352</v>
      </c>
      <c r="AC181" t="s">
        <v>296</v>
      </c>
      <c r="AD181" t="s">
        <v>300</v>
      </c>
      <c r="AE181" t="s">
        <v>292</v>
      </c>
      <c r="AF181" t="s">
        <v>293</v>
      </c>
      <c r="AG181" t="s">
        <v>292</v>
      </c>
      <c r="AH181" t="s">
        <v>292</v>
      </c>
      <c r="AI181" t="s">
        <v>293</v>
      </c>
      <c r="AJ181" t="s">
        <v>302</v>
      </c>
      <c r="AK181" t="s">
        <v>302</v>
      </c>
      <c r="AL181" t="s">
        <v>359</v>
      </c>
      <c r="AM181" t="s">
        <v>293</v>
      </c>
      <c r="AN181" t="s">
        <v>293</v>
      </c>
      <c r="AO181" t="s">
        <v>297</v>
      </c>
      <c r="AP181" t="s">
        <v>298</v>
      </c>
      <c r="AQ181" t="s">
        <v>293</v>
      </c>
      <c r="AR181" t="s">
        <v>292</v>
      </c>
      <c r="AS181" t="s">
        <v>362</v>
      </c>
      <c r="AT181" t="s">
        <v>293</v>
      </c>
      <c r="AU181" t="s">
        <v>364</v>
      </c>
      <c r="AV181" t="str">
        <f t="shared" si="6"/>
        <v>break</v>
      </c>
    </row>
    <row r="182" spans="1:48" x14ac:dyDescent="0.3">
      <c r="A182" t="s">
        <v>45</v>
      </c>
      <c r="B182" t="s">
        <v>57</v>
      </c>
      <c r="C182" t="s">
        <v>33</v>
      </c>
      <c r="D182" t="s">
        <v>29</v>
      </c>
      <c r="E182" t="str">
        <f t="shared" si="5"/>
        <v>P_J8S-ZSB-S_8I8</v>
      </c>
      <c r="F182" t="b">
        <v>1</v>
      </c>
      <c r="G182">
        <v>100</v>
      </c>
      <c r="H182">
        <v>1</v>
      </c>
      <c r="I182">
        <v>8993</v>
      </c>
      <c r="J182" s="49" t="s">
        <v>18</v>
      </c>
      <c r="L182" s="16" t="s">
        <v>272</v>
      </c>
      <c r="M182" s="16">
        <v>3</v>
      </c>
      <c r="N182" s="16" t="s">
        <v>277</v>
      </c>
      <c r="O182" s="16" t="s">
        <v>335</v>
      </c>
      <c r="P182" s="15" t="s">
        <v>282</v>
      </c>
      <c r="Q182" t="s">
        <v>339</v>
      </c>
      <c r="R182" t="s">
        <v>371</v>
      </c>
      <c r="S182" s="17" t="s">
        <v>371</v>
      </c>
      <c r="T182" s="16" t="s">
        <v>341</v>
      </c>
      <c r="U182" s="16" t="s">
        <v>342</v>
      </c>
      <c r="V182" s="15" t="s">
        <v>343</v>
      </c>
      <c r="W182" s="15" t="s">
        <v>345</v>
      </c>
      <c r="X182" s="17" t="s">
        <v>344</v>
      </c>
      <c r="Y182" t="s">
        <v>349</v>
      </c>
      <c r="Z182" t="s">
        <v>349</v>
      </c>
      <c r="AA182" t="s">
        <v>293</v>
      </c>
      <c r="AB182" t="s">
        <v>352</v>
      </c>
      <c r="AC182" t="s">
        <v>296</v>
      </c>
      <c r="AD182" t="s">
        <v>300</v>
      </c>
      <c r="AE182" t="s">
        <v>292</v>
      </c>
      <c r="AF182" t="s">
        <v>293</v>
      </c>
      <c r="AG182" t="s">
        <v>292</v>
      </c>
      <c r="AH182" t="s">
        <v>292</v>
      </c>
      <c r="AI182" t="s">
        <v>293</v>
      </c>
      <c r="AJ182" t="s">
        <v>302</v>
      </c>
      <c r="AK182" t="s">
        <v>302</v>
      </c>
      <c r="AL182" t="s">
        <v>359</v>
      </c>
      <c r="AM182" t="s">
        <v>293</v>
      </c>
      <c r="AN182" t="s">
        <v>293</v>
      </c>
      <c r="AO182" t="s">
        <v>297</v>
      </c>
      <c r="AP182" t="s">
        <v>298</v>
      </c>
      <c r="AQ182" t="s">
        <v>293</v>
      </c>
      <c r="AR182" t="s">
        <v>292</v>
      </c>
      <c r="AS182" t="s">
        <v>293</v>
      </c>
      <c r="AT182" t="s">
        <v>293</v>
      </c>
      <c r="AU182" t="s">
        <v>364</v>
      </c>
      <c r="AV182" t="str">
        <f t="shared" si="6"/>
        <v>break</v>
      </c>
    </row>
    <row r="183" spans="1:48" x14ac:dyDescent="0.3">
      <c r="A183" t="s">
        <v>45</v>
      </c>
      <c r="B183" t="s">
        <v>57</v>
      </c>
      <c r="C183" t="s">
        <v>26</v>
      </c>
      <c r="D183" t="s">
        <v>29</v>
      </c>
      <c r="E183" t="str">
        <f t="shared" si="5"/>
        <v>P_J8S-ZSB-S_8O8</v>
      </c>
      <c r="F183" t="b">
        <v>1</v>
      </c>
      <c r="G183">
        <v>100</v>
      </c>
      <c r="H183">
        <v>1</v>
      </c>
      <c r="I183">
        <v>9359</v>
      </c>
      <c r="J183" s="49" t="s">
        <v>18</v>
      </c>
      <c r="L183" s="16" t="s">
        <v>272</v>
      </c>
      <c r="M183" s="16">
        <v>3</v>
      </c>
      <c r="N183" s="16" t="s">
        <v>277</v>
      </c>
      <c r="O183" s="16" t="s">
        <v>335</v>
      </c>
      <c r="P183" s="15" t="s">
        <v>284</v>
      </c>
      <c r="Q183" t="s">
        <v>282</v>
      </c>
      <c r="R183" t="s">
        <v>371</v>
      </c>
      <c r="S183" s="17" t="s">
        <v>371</v>
      </c>
      <c r="T183" s="16" t="s">
        <v>341</v>
      </c>
      <c r="U183" s="16" t="s">
        <v>340</v>
      </c>
      <c r="V183" s="15" t="s">
        <v>340</v>
      </c>
      <c r="W183" s="15" t="s">
        <v>344</v>
      </c>
      <c r="X183" s="17"/>
      <c r="Y183" t="s">
        <v>349</v>
      </c>
      <c r="Z183" t="s">
        <v>349</v>
      </c>
      <c r="AA183" t="s">
        <v>293</v>
      </c>
      <c r="AB183" t="s">
        <v>354</v>
      </c>
      <c r="AC183" t="s">
        <v>354</v>
      </c>
      <c r="AD183" t="s">
        <v>300</v>
      </c>
      <c r="AE183" t="s">
        <v>292</v>
      </c>
      <c r="AF183" t="s">
        <v>293</v>
      </c>
      <c r="AG183" t="s">
        <v>292</v>
      </c>
      <c r="AH183" t="s">
        <v>293</v>
      </c>
      <c r="AI183" t="s">
        <v>293</v>
      </c>
      <c r="AJ183" t="s">
        <v>302</v>
      </c>
      <c r="AK183" t="s">
        <v>302</v>
      </c>
      <c r="AL183" t="s">
        <v>302</v>
      </c>
      <c r="AM183" t="s">
        <v>293</v>
      </c>
      <c r="AN183" t="s">
        <v>293</v>
      </c>
      <c r="AO183" t="s">
        <v>297</v>
      </c>
      <c r="AP183" t="s">
        <v>298</v>
      </c>
      <c r="AQ183" t="s">
        <v>293</v>
      </c>
      <c r="AR183" t="s">
        <v>292</v>
      </c>
      <c r="AS183" t="s">
        <v>293</v>
      </c>
      <c r="AT183" t="s">
        <v>293</v>
      </c>
      <c r="AU183" t="s">
        <v>364</v>
      </c>
      <c r="AV183" t="str">
        <f t="shared" si="6"/>
        <v>break</v>
      </c>
    </row>
    <row r="184" spans="1:48" x14ac:dyDescent="0.3">
      <c r="A184" t="s">
        <v>45</v>
      </c>
      <c r="B184" t="s">
        <v>57</v>
      </c>
      <c r="C184" t="s">
        <v>31</v>
      </c>
      <c r="D184" t="s">
        <v>29</v>
      </c>
      <c r="E184" t="str">
        <f t="shared" si="5"/>
        <v>P_J8S-ZSB-S_9E0</v>
      </c>
      <c r="F184" t="b">
        <v>1</v>
      </c>
      <c r="G184">
        <v>100</v>
      </c>
      <c r="H184">
        <v>1</v>
      </c>
      <c r="I184">
        <v>9526</v>
      </c>
      <c r="J184" s="49" t="s">
        <v>18</v>
      </c>
      <c r="L184" s="16" t="s">
        <v>272</v>
      </c>
      <c r="M184" s="16">
        <v>3</v>
      </c>
      <c r="N184" s="16" t="s">
        <v>277</v>
      </c>
      <c r="O184" s="16" t="s">
        <v>335</v>
      </c>
      <c r="P184" s="15" t="s">
        <v>284</v>
      </c>
      <c r="Q184" t="s">
        <v>282</v>
      </c>
      <c r="R184" t="s">
        <v>371</v>
      </c>
      <c r="S184" s="17" t="s">
        <v>371</v>
      </c>
      <c r="T184" s="16" t="s">
        <v>341</v>
      </c>
      <c r="U184" s="16" t="s">
        <v>340</v>
      </c>
      <c r="V184" s="15" t="s">
        <v>343</v>
      </c>
      <c r="W184" s="15" t="s">
        <v>344</v>
      </c>
      <c r="X184" s="17"/>
      <c r="Y184" t="s">
        <v>349</v>
      </c>
      <c r="Z184" t="s">
        <v>349</v>
      </c>
      <c r="AA184" t="s">
        <v>293</v>
      </c>
      <c r="AB184" t="s">
        <v>352</v>
      </c>
      <c r="AC184" t="s">
        <v>296</v>
      </c>
      <c r="AD184" t="s">
        <v>300</v>
      </c>
      <c r="AE184" t="s">
        <v>292</v>
      </c>
      <c r="AF184" t="s">
        <v>292</v>
      </c>
      <c r="AG184" t="s">
        <v>292</v>
      </c>
      <c r="AH184" t="s">
        <v>292</v>
      </c>
      <c r="AI184" t="s">
        <v>293</v>
      </c>
      <c r="AJ184" t="s">
        <v>302</v>
      </c>
      <c r="AK184" t="s">
        <v>302</v>
      </c>
      <c r="AL184" t="s">
        <v>359</v>
      </c>
      <c r="AM184" t="s">
        <v>293</v>
      </c>
      <c r="AN184" t="s">
        <v>293</v>
      </c>
      <c r="AO184" t="s">
        <v>297</v>
      </c>
      <c r="AP184" t="s">
        <v>298</v>
      </c>
      <c r="AQ184" t="s">
        <v>293</v>
      </c>
      <c r="AR184" t="s">
        <v>292</v>
      </c>
      <c r="AS184" t="s">
        <v>293</v>
      </c>
      <c r="AT184" t="s">
        <v>293</v>
      </c>
      <c r="AU184" t="s">
        <v>364</v>
      </c>
      <c r="AV184" t="str">
        <f t="shared" si="6"/>
        <v>break</v>
      </c>
    </row>
    <row r="185" spans="1:48" x14ac:dyDescent="0.3">
      <c r="A185" t="s">
        <v>45</v>
      </c>
      <c r="B185" t="s">
        <v>57</v>
      </c>
      <c r="C185" t="s">
        <v>27</v>
      </c>
      <c r="D185" t="s">
        <v>29</v>
      </c>
      <c r="E185" t="str">
        <f t="shared" si="5"/>
        <v>P_J8S-ZSB-S_9F6</v>
      </c>
      <c r="F185" t="b">
        <v>1</v>
      </c>
      <c r="G185">
        <v>100</v>
      </c>
      <c r="H185">
        <v>1</v>
      </c>
      <c r="I185">
        <v>9232</v>
      </c>
      <c r="J185" s="49" t="s">
        <v>18</v>
      </c>
      <c r="L185" s="16" t="s">
        <v>272</v>
      </c>
      <c r="M185" s="16">
        <v>3</v>
      </c>
      <c r="N185" s="16" t="s">
        <v>277</v>
      </c>
      <c r="O185" s="16" t="s">
        <v>335</v>
      </c>
      <c r="P185" s="15" t="s">
        <v>284</v>
      </c>
      <c r="Q185" t="s">
        <v>285</v>
      </c>
      <c r="R185" t="s">
        <v>282</v>
      </c>
      <c r="S185" s="17" t="s">
        <v>371</v>
      </c>
      <c r="T185" s="16" t="s">
        <v>341</v>
      </c>
      <c r="U185" s="16" t="s">
        <v>340</v>
      </c>
      <c r="V185" s="15" t="s">
        <v>340</v>
      </c>
      <c r="W185" s="15" t="s">
        <v>344</v>
      </c>
      <c r="X185" s="17"/>
      <c r="Y185" t="s">
        <v>349</v>
      </c>
      <c r="Z185" t="s">
        <v>349</v>
      </c>
      <c r="AA185" t="s">
        <v>293</v>
      </c>
      <c r="AB185" t="s">
        <v>354</v>
      </c>
      <c r="AC185" t="s">
        <v>354</v>
      </c>
      <c r="AD185" t="s">
        <v>300</v>
      </c>
      <c r="AE185" t="s">
        <v>292</v>
      </c>
      <c r="AF185" t="s">
        <v>293</v>
      </c>
      <c r="AG185" t="s">
        <v>292</v>
      </c>
      <c r="AH185" t="s">
        <v>293</v>
      </c>
      <c r="AI185" t="s">
        <v>293</v>
      </c>
      <c r="AJ185" t="s">
        <v>302</v>
      </c>
      <c r="AK185" t="s">
        <v>302</v>
      </c>
      <c r="AL185" t="s">
        <v>357</v>
      </c>
      <c r="AM185" t="s">
        <v>293</v>
      </c>
      <c r="AN185" t="s">
        <v>293</v>
      </c>
      <c r="AO185" t="s">
        <v>297</v>
      </c>
      <c r="AP185" t="s">
        <v>298</v>
      </c>
      <c r="AQ185" t="s">
        <v>293</v>
      </c>
      <c r="AR185" t="s">
        <v>292</v>
      </c>
      <c r="AS185" t="s">
        <v>293</v>
      </c>
      <c r="AT185" t="s">
        <v>293</v>
      </c>
      <c r="AU185" t="s">
        <v>364</v>
      </c>
      <c r="AV185" t="str">
        <f t="shared" si="6"/>
        <v>break</v>
      </c>
    </row>
    <row r="186" spans="1:48" x14ac:dyDescent="0.3">
      <c r="A186" t="s">
        <v>45</v>
      </c>
      <c r="B186" t="s">
        <v>57</v>
      </c>
      <c r="C186" t="s">
        <v>28</v>
      </c>
      <c r="D186" t="s">
        <v>29</v>
      </c>
      <c r="E186" t="str">
        <f t="shared" si="5"/>
        <v>P_J8S-ZSB-S_9T2</v>
      </c>
      <c r="F186" t="b">
        <v>1</v>
      </c>
      <c r="G186">
        <v>100</v>
      </c>
      <c r="H186">
        <v>1</v>
      </c>
      <c r="I186">
        <v>9313</v>
      </c>
      <c r="J186" s="49" t="s">
        <v>18</v>
      </c>
      <c r="L186" s="16" t="s">
        <v>272</v>
      </c>
      <c r="M186" s="16">
        <v>3</v>
      </c>
      <c r="N186" s="16" t="s">
        <v>277</v>
      </c>
      <c r="O186" s="16" t="s">
        <v>335</v>
      </c>
      <c r="P186" s="15" t="s">
        <v>284</v>
      </c>
      <c r="Q186" t="s">
        <v>282</v>
      </c>
      <c r="R186" t="s">
        <v>371</v>
      </c>
      <c r="S186" s="17" t="s">
        <v>371</v>
      </c>
      <c r="T186" s="16" t="s">
        <v>341</v>
      </c>
      <c r="U186" s="16" t="s">
        <v>340</v>
      </c>
      <c r="V186" s="15" t="s">
        <v>343</v>
      </c>
      <c r="W186" s="15" t="s">
        <v>344</v>
      </c>
      <c r="X186" s="17"/>
      <c r="Y186" t="s">
        <v>349</v>
      </c>
      <c r="Z186" t="s">
        <v>349</v>
      </c>
      <c r="AA186" t="s">
        <v>293</v>
      </c>
      <c r="AB186" t="s">
        <v>352</v>
      </c>
      <c r="AC186" t="s">
        <v>296</v>
      </c>
      <c r="AD186" t="s">
        <v>300</v>
      </c>
      <c r="AE186" t="s">
        <v>292</v>
      </c>
      <c r="AF186" t="s">
        <v>293</v>
      </c>
      <c r="AG186" t="s">
        <v>292</v>
      </c>
      <c r="AH186" t="s">
        <v>292</v>
      </c>
      <c r="AI186" t="s">
        <v>293</v>
      </c>
      <c r="AJ186" t="s">
        <v>302</v>
      </c>
      <c r="AK186" t="s">
        <v>302</v>
      </c>
      <c r="AL186" t="s">
        <v>359</v>
      </c>
      <c r="AM186" t="s">
        <v>293</v>
      </c>
      <c r="AN186" t="s">
        <v>293</v>
      </c>
      <c r="AO186" t="s">
        <v>297</v>
      </c>
      <c r="AP186" t="s">
        <v>298</v>
      </c>
      <c r="AQ186" t="s">
        <v>293</v>
      </c>
      <c r="AR186" t="s">
        <v>292</v>
      </c>
      <c r="AS186" t="s">
        <v>293</v>
      </c>
      <c r="AT186" t="s">
        <v>293</v>
      </c>
      <c r="AU186" t="s">
        <v>364</v>
      </c>
      <c r="AV186" t="str">
        <f t="shared" si="6"/>
        <v>break</v>
      </c>
    </row>
    <row r="187" spans="1:48" x14ac:dyDescent="0.3">
      <c r="A187" t="s">
        <v>45</v>
      </c>
      <c r="B187" t="s">
        <v>57</v>
      </c>
      <c r="C187" t="s">
        <v>35</v>
      </c>
      <c r="D187" t="s">
        <v>29</v>
      </c>
      <c r="E187" t="str">
        <f t="shared" si="5"/>
        <v>P_J8S-ZSB-S_9X8</v>
      </c>
      <c r="F187" t="b">
        <v>1</v>
      </c>
      <c r="G187">
        <v>100</v>
      </c>
      <c r="H187">
        <v>1</v>
      </c>
      <c r="I187">
        <v>9630</v>
      </c>
      <c r="J187" s="49" t="s">
        <v>18</v>
      </c>
      <c r="L187" s="16" t="s">
        <v>272</v>
      </c>
      <c r="M187" s="16">
        <v>3</v>
      </c>
      <c r="N187" s="16" t="s">
        <v>277</v>
      </c>
      <c r="O187" s="16" t="s">
        <v>335</v>
      </c>
      <c r="P187" s="15" t="s">
        <v>282</v>
      </c>
      <c r="Q187" t="s">
        <v>339</v>
      </c>
      <c r="S187" s="17" t="s">
        <v>371</v>
      </c>
      <c r="T187" s="16" t="s">
        <v>341</v>
      </c>
      <c r="U187" s="16" t="s">
        <v>342</v>
      </c>
      <c r="V187" s="15" t="s">
        <v>343</v>
      </c>
      <c r="W187" s="15" t="s">
        <v>345</v>
      </c>
      <c r="X187" s="17" t="s">
        <v>347</v>
      </c>
      <c r="Y187" t="s">
        <v>349</v>
      </c>
      <c r="Z187" t="s">
        <v>349</v>
      </c>
      <c r="AA187" t="s">
        <v>293</v>
      </c>
      <c r="AB187" t="s">
        <v>352</v>
      </c>
      <c r="AC187" t="s">
        <v>296</v>
      </c>
      <c r="AD187" t="s">
        <v>300</v>
      </c>
      <c r="AE187" t="s">
        <v>292</v>
      </c>
      <c r="AF187" t="s">
        <v>293</v>
      </c>
      <c r="AG187" t="s">
        <v>292</v>
      </c>
      <c r="AH187" t="s">
        <v>292</v>
      </c>
      <c r="AI187" t="s">
        <v>293</v>
      </c>
      <c r="AJ187" t="s">
        <v>302</v>
      </c>
      <c r="AK187" t="s">
        <v>302</v>
      </c>
      <c r="AL187" t="s">
        <v>359</v>
      </c>
      <c r="AM187" t="s">
        <v>293</v>
      </c>
      <c r="AN187" t="s">
        <v>293</v>
      </c>
      <c r="AO187" t="s">
        <v>297</v>
      </c>
      <c r="AP187" t="s">
        <v>298</v>
      </c>
      <c r="AQ187" t="s">
        <v>293</v>
      </c>
      <c r="AR187" t="s">
        <v>292</v>
      </c>
      <c r="AS187" t="s">
        <v>293</v>
      </c>
      <c r="AT187" t="s">
        <v>293</v>
      </c>
      <c r="AU187" t="s">
        <v>364</v>
      </c>
      <c r="AV187" t="str">
        <f t="shared" si="6"/>
        <v>break</v>
      </c>
    </row>
    <row r="188" spans="1:48" x14ac:dyDescent="0.3">
      <c r="A188" t="s">
        <v>43</v>
      </c>
      <c r="B188" t="s">
        <v>59</v>
      </c>
      <c r="C188" t="s">
        <v>15</v>
      </c>
      <c r="D188" t="s">
        <v>12</v>
      </c>
      <c r="E188" t="str">
        <f t="shared" si="5"/>
        <v>P_K5X-KYY-S_0M4</v>
      </c>
      <c r="F188" t="b">
        <v>1</v>
      </c>
      <c r="G188">
        <v>100</v>
      </c>
      <c r="H188">
        <v>1</v>
      </c>
      <c r="I188">
        <v>10911</v>
      </c>
      <c r="J188" s="49" t="s">
        <v>18</v>
      </c>
      <c r="L188" s="16" t="s">
        <v>272</v>
      </c>
      <c r="M188" s="16">
        <v>3</v>
      </c>
      <c r="N188" s="16" t="s">
        <v>277</v>
      </c>
      <c r="O188" s="16" t="s">
        <v>335</v>
      </c>
      <c r="P188" s="15" t="s">
        <v>282</v>
      </c>
      <c r="Q188" t="s">
        <v>371</v>
      </c>
      <c r="R188" t="s">
        <v>371</v>
      </c>
      <c r="S188" s="17" t="s">
        <v>371</v>
      </c>
      <c r="T188" s="16" t="s">
        <v>341</v>
      </c>
      <c r="U188" s="16" t="s">
        <v>340</v>
      </c>
      <c r="V188" s="15" t="s">
        <v>343</v>
      </c>
      <c r="W188" s="15" t="s">
        <v>344</v>
      </c>
      <c r="X188" s="17"/>
      <c r="Y188" t="s">
        <v>349</v>
      </c>
      <c r="Z188" t="s">
        <v>349</v>
      </c>
      <c r="AA188" t="s">
        <v>293</v>
      </c>
      <c r="AB188" t="s">
        <v>353</v>
      </c>
      <c r="AC188" t="s">
        <v>296</v>
      </c>
      <c r="AD188" t="s">
        <v>301</v>
      </c>
      <c r="AE188" t="s">
        <v>292</v>
      </c>
      <c r="AF188" t="s">
        <v>293</v>
      </c>
      <c r="AG188" t="s">
        <v>292</v>
      </c>
      <c r="AH188" t="s">
        <v>292</v>
      </c>
      <c r="AI188" t="s">
        <v>293</v>
      </c>
      <c r="AJ188" t="s">
        <v>302</v>
      </c>
      <c r="AK188" t="s">
        <v>302</v>
      </c>
      <c r="AL188" t="s">
        <v>359</v>
      </c>
      <c r="AM188" t="s">
        <v>293</v>
      </c>
      <c r="AN188" t="s">
        <v>293</v>
      </c>
      <c r="AO188" t="s">
        <v>297</v>
      </c>
      <c r="AP188" t="s">
        <v>298</v>
      </c>
      <c r="AQ188" t="s">
        <v>293</v>
      </c>
      <c r="AR188" t="s">
        <v>292</v>
      </c>
      <c r="AS188" t="s">
        <v>293</v>
      </c>
      <c r="AT188" t="s">
        <v>293</v>
      </c>
      <c r="AU188" t="s">
        <v>364</v>
      </c>
      <c r="AV188" t="str">
        <f t="shared" si="6"/>
        <v>break</v>
      </c>
    </row>
    <row r="189" spans="1:48" x14ac:dyDescent="0.3">
      <c r="A189" t="s">
        <v>43</v>
      </c>
      <c r="B189" t="s">
        <v>59</v>
      </c>
      <c r="C189" t="s">
        <v>23</v>
      </c>
      <c r="D189" t="s">
        <v>12</v>
      </c>
      <c r="E189" t="str">
        <f t="shared" si="5"/>
        <v>P_K5X-KYY-S_0T2</v>
      </c>
      <c r="F189" t="b">
        <v>1</v>
      </c>
      <c r="G189">
        <v>72.2</v>
      </c>
      <c r="H189">
        <v>0</v>
      </c>
      <c r="I189">
        <v>10019</v>
      </c>
      <c r="J189" s="49" t="s">
        <v>13</v>
      </c>
      <c r="L189" s="16" t="s">
        <v>273</v>
      </c>
      <c r="M189" s="16">
        <v>2</v>
      </c>
      <c r="N189" s="16" t="s">
        <v>333</v>
      </c>
      <c r="O189" s="16" t="s">
        <v>278</v>
      </c>
      <c r="P189" s="15" t="s">
        <v>282</v>
      </c>
      <c r="Q189" t="s">
        <v>371</v>
      </c>
      <c r="R189" t="s">
        <v>371</v>
      </c>
      <c r="S189" s="17" t="s">
        <v>371</v>
      </c>
      <c r="T189" s="16" t="s">
        <v>340</v>
      </c>
      <c r="U189" s="16" t="s">
        <v>342</v>
      </c>
      <c r="V189" s="15" t="s">
        <v>343</v>
      </c>
      <c r="W189" s="15" t="s">
        <v>344</v>
      </c>
      <c r="X189" s="17"/>
      <c r="Y189" t="s">
        <v>349</v>
      </c>
      <c r="Z189" t="s">
        <v>349</v>
      </c>
      <c r="AA189" t="s">
        <v>293</v>
      </c>
      <c r="AB189" t="s">
        <v>353</v>
      </c>
      <c r="AC189" t="s">
        <v>355</v>
      </c>
      <c r="AD189" t="s">
        <v>301</v>
      </c>
      <c r="AE189" t="s">
        <v>292</v>
      </c>
      <c r="AF189" t="s">
        <v>293</v>
      </c>
      <c r="AG189" t="s">
        <v>292</v>
      </c>
      <c r="AH189" t="s">
        <v>292</v>
      </c>
      <c r="AI189" t="s">
        <v>293</v>
      </c>
      <c r="AJ189" t="s">
        <v>302</v>
      </c>
      <c r="AK189" t="s">
        <v>357</v>
      </c>
      <c r="AL189" t="s">
        <v>359</v>
      </c>
      <c r="AM189" t="s">
        <v>293</v>
      </c>
      <c r="AN189" t="s">
        <v>293</v>
      </c>
      <c r="AO189" t="s">
        <v>297</v>
      </c>
      <c r="AP189" t="s">
        <v>298</v>
      </c>
      <c r="AQ189" t="s">
        <v>293</v>
      </c>
      <c r="AR189" t="s">
        <v>292</v>
      </c>
      <c r="AS189" t="s">
        <v>293</v>
      </c>
      <c r="AT189" t="s">
        <v>293</v>
      </c>
      <c r="AU189" t="s">
        <v>364</v>
      </c>
      <c r="AV189" t="str">
        <f t="shared" si="6"/>
        <v>no_fail</v>
      </c>
    </row>
    <row r="190" spans="1:48" x14ac:dyDescent="0.3">
      <c r="A190" t="s">
        <v>43</v>
      </c>
      <c r="B190" t="s">
        <v>59</v>
      </c>
      <c r="C190" t="s">
        <v>14</v>
      </c>
      <c r="D190" t="s">
        <v>12</v>
      </c>
      <c r="E190" t="str">
        <f t="shared" si="5"/>
        <v>P_K5X-KYY-S_1B0</v>
      </c>
      <c r="F190" t="b">
        <v>1</v>
      </c>
      <c r="G190">
        <v>38.9</v>
      </c>
      <c r="H190">
        <v>0</v>
      </c>
      <c r="I190">
        <v>12454</v>
      </c>
      <c r="J190" s="49" t="s">
        <v>13</v>
      </c>
      <c r="L190" s="16" t="s">
        <v>272</v>
      </c>
      <c r="M190" s="16">
        <v>3</v>
      </c>
      <c r="N190" s="16" t="s">
        <v>277</v>
      </c>
      <c r="O190" s="16" t="s">
        <v>335</v>
      </c>
      <c r="P190" s="15" t="s">
        <v>282</v>
      </c>
      <c r="Q190" t="s">
        <v>371</v>
      </c>
      <c r="R190" t="s">
        <v>371</v>
      </c>
      <c r="S190" s="17" t="s">
        <v>371</v>
      </c>
      <c r="T190" s="16" t="s">
        <v>341</v>
      </c>
      <c r="U190" s="16" t="s">
        <v>340</v>
      </c>
      <c r="V190" s="15" t="s">
        <v>343</v>
      </c>
      <c r="W190" s="15" t="s">
        <v>344</v>
      </c>
      <c r="X190" s="17"/>
      <c r="Y190" t="s">
        <v>349</v>
      </c>
      <c r="Z190" t="s">
        <v>349</v>
      </c>
      <c r="AA190" t="s">
        <v>293</v>
      </c>
      <c r="AB190" t="s">
        <v>353</v>
      </c>
      <c r="AC190" t="s">
        <v>296</v>
      </c>
      <c r="AD190" t="s">
        <v>301</v>
      </c>
      <c r="AE190" t="s">
        <v>292</v>
      </c>
      <c r="AF190" t="s">
        <v>293</v>
      </c>
      <c r="AG190" t="s">
        <v>292</v>
      </c>
      <c r="AH190" t="s">
        <v>292</v>
      </c>
      <c r="AI190" t="s">
        <v>293</v>
      </c>
      <c r="AJ190" t="s">
        <v>302</v>
      </c>
      <c r="AK190" t="s">
        <v>302</v>
      </c>
      <c r="AL190" t="s">
        <v>359</v>
      </c>
      <c r="AM190" t="s">
        <v>293</v>
      </c>
      <c r="AN190" t="s">
        <v>293</v>
      </c>
      <c r="AO190" t="s">
        <v>297</v>
      </c>
      <c r="AP190" t="s">
        <v>298</v>
      </c>
      <c r="AQ190" t="s">
        <v>293</v>
      </c>
      <c r="AR190" t="s">
        <v>292</v>
      </c>
      <c r="AS190" t="s">
        <v>293</v>
      </c>
      <c r="AT190" t="s">
        <v>293</v>
      </c>
      <c r="AU190" t="s">
        <v>364</v>
      </c>
      <c r="AV190" t="str">
        <f t="shared" si="6"/>
        <v>no_fail</v>
      </c>
    </row>
    <row r="191" spans="1:48" x14ac:dyDescent="0.3">
      <c r="A191" t="s">
        <v>43</v>
      </c>
      <c r="B191" t="s">
        <v>59</v>
      </c>
      <c r="C191" t="s">
        <v>25</v>
      </c>
      <c r="D191" t="s">
        <v>12</v>
      </c>
      <c r="E191" t="str">
        <f t="shared" si="5"/>
        <v>P_K5X-KYY-S_1J8</v>
      </c>
      <c r="F191" t="b">
        <v>1</v>
      </c>
      <c r="G191">
        <v>100</v>
      </c>
      <c r="H191">
        <v>1</v>
      </c>
      <c r="I191">
        <v>11942</v>
      </c>
      <c r="J191" s="49" t="s">
        <v>18</v>
      </c>
      <c r="L191" s="16" t="s">
        <v>272</v>
      </c>
      <c r="M191" s="16">
        <v>3</v>
      </c>
      <c r="N191" s="16" t="s">
        <v>277</v>
      </c>
      <c r="O191" s="16" t="s">
        <v>335</v>
      </c>
      <c r="P191" s="15" t="s">
        <v>282</v>
      </c>
      <c r="Q191" t="s">
        <v>371</v>
      </c>
      <c r="R191" t="s">
        <v>371</v>
      </c>
      <c r="S191" s="17" t="s">
        <v>371</v>
      </c>
      <c r="T191" s="16" t="s">
        <v>341</v>
      </c>
      <c r="U191" s="16" t="s">
        <v>340</v>
      </c>
      <c r="V191" s="15" t="s">
        <v>343</v>
      </c>
      <c r="W191" s="15" t="s">
        <v>377</v>
      </c>
      <c r="X191" s="17"/>
      <c r="Y191" t="s">
        <v>349</v>
      </c>
      <c r="Z191" t="s">
        <v>349</v>
      </c>
      <c r="AA191" t="s">
        <v>293</v>
      </c>
      <c r="AB191" t="s">
        <v>295</v>
      </c>
      <c r="AC191" t="s">
        <v>297</v>
      </c>
      <c r="AD191" t="s">
        <v>300</v>
      </c>
      <c r="AE191" t="s">
        <v>292</v>
      </c>
      <c r="AF191" t="s">
        <v>293</v>
      </c>
      <c r="AG191" t="s">
        <v>292</v>
      </c>
      <c r="AH191" t="s">
        <v>292</v>
      </c>
      <c r="AI191" t="s">
        <v>293</v>
      </c>
      <c r="AJ191" t="s">
        <v>302</v>
      </c>
      <c r="AK191" t="s">
        <v>302</v>
      </c>
      <c r="AL191" t="s">
        <v>359</v>
      </c>
      <c r="AM191" t="s">
        <v>293</v>
      </c>
      <c r="AN191" t="s">
        <v>293</v>
      </c>
      <c r="AO191" t="s">
        <v>297</v>
      </c>
      <c r="AP191" t="s">
        <v>298</v>
      </c>
      <c r="AQ191" t="s">
        <v>293</v>
      </c>
      <c r="AR191" t="s">
        <v>292</v>
      </c>
      <c r="AS191" t="s">
        <v>293</v>
      </c>
      <c r="AT191" t="s">
        <v>293</v>
      </c>
      <c r="AU191" t="s">
        <v>364</v>
      </c>
      <c r="AV191" t="str">
        <f t="shared" si="6"/>
        <v>break</v>
      </c>
    </row>
    <row r="192" spans="1:48" x14ac:dyDescent="0.3">
      <c r="A192" t="s">
        <v>43</v>
      </c>
      <c r="B192" t="s">
        <v>59</v>
      </c>
      <c r="C192" t="s">
        <v>11</v>
      </c>
      <c r="D192" t="s">
        <v>12</v>
      </c>
      <c r="E192" t="str">
        <f t="shared" si="5"/>
        <v>P_K5X-KYY-S_1Q4</v>
      </c>
      <c r="F192" t="b">
        <v>1</v>
      </c>
      <c r="G192">
        <v>57.1</v>
      </c>
      <c r="H192">
        <v>0</v>
      </c>
      <c r="I192">
        <v>16614</v>
      </c>
      <c r="J192" s="49" t="s">
        <v>13</v>
      </c>
      <c r="L192" s="16" t="s">
        <v>272</v>
      </c>
      <c r="M192" s="16">
        <v>3</v>
      </c>
      <c r="N192" s="16" t="s">
        <v>277</v>
      </c>
      <c r="O192" s="16" t="s">
        <v>335</v>
      </c>
      <c r="P192" s="15" t="s">
        <v>282</v>
      </c>
      <c r="Q192" t="s">
        <v>371</v>
      </c>
      <c r="R192" t="s">
        <v>371</v>
      </c>
      <c r="S192" s="17" t="s">
        <v>371</v>
      </c>
      <c r="T192" s="16" t="s">
        <v>341</v>
      </c>
      <c r="U192" s="16" t="s">
        <v>342</v>
      </c>
      <c r="V192" s="15" t="s">
        <v>343</v>
      </c>
      <c r="W192" s="15" t="s">
        <v>291</v>
      </c>
      <c r="X192" s="17"/>
      <c r="Y192" t="s">
        <v>349</v>
      </c>
      <c r="Z192" t="s">
        <v>349</v>
      </c>
      <c r="AA192" t="s">
        <v>293</v>
      </c>
      <c r="AB192" t="s">
        <v>353</v>
      </c>
      <c r="AC192" t="s">
        <v>296</v>
      </c>
      <c r="AD192" t="s">
        <v>301</v>
      </c>
      <c r="AE192" t="s">
        <v>292</v>
      </c>
      <c r="AF192" t="s">
        <v>293</v>
      </c>
      <c r="AG192" t="s">
        <v>293</v>
      </c>
      <c r="AH192" t="s">
        <v>292</v>
      </c>
      <c r="AI192" t="s">
        <v>293</v>
      </c>
      <c r="AJ192" t="s">
        <v>358</v>
      </c>
      <c r="AK192" t="s">
        <v>302</v>
      </c>
      <c r="AL192" t="s">
        <v>359</v>
      </c>
      <c r="AM192" t="s">
        <v>293</v>
      </c>
      <c r="AN192" t="s">
        <v>293</v>
      </c>
      <c r="AO192" t="s">
        <v>296</v>
      </c>
      <c r="AP192" t="s">
        <v>298</v>
      </c>
      <c r="AQ192" t="s">
        <v>293</v>
      </c>
      <c r="AR192" t="s">
        <v>292</v>
      </c>
      <c r="AS192" t="s">
        <v>293</v>
      </c>
      <c r="AT192" t="s">
        <v>293</v>
      </c>
      <c r="AU192" t="s">
        <v>364</v>
      </c>
      <c r="AV192" t="str">
        <f t="shared" si="6"/>
        <v>no_fail</v>
      </c>
    </row>
    <row r="193" spans="1:48" x14ac:dyDescent="0.3">
      <c r="A193" t="s">
        <v>43</v>
      </c>
      <c r="B193" t="s">
        <v>59</v>
      </c>
      <c r="C193" t="s">
        <v>24</v>
      </c>
      <c r="D193" t="s">
        <v>12</v>
      </c>
      <c r="E193" t="str">
        <f t="shared" si="5"/>
        <v>P_K5X-KYY-S_1U0</v>
      </c>
      <c r="F193" t="b">
        <v>1</v>
      </c>
      <c r="G193">
        <v>100</v>
      </c>
      <c r="H193">
        <v>1</v>
      </c>
      <c r="I193">
        <v>11236</v>
      </c>
      <c r="J193" s="49" t="s">
        <v>18</v>
      </c>
      <c r="L193" s="16" t="s">
        <v>272</v>
      </c>
      <c r="M193" s="16">
        <v>2</v>
      </c>
      <c r="N193" s="16" t="s">
        <v>277</v>
      </c>
      <c r="O193" s="16" t="s">
        <v>335</v>
      </c>
      <c r="P193" s="15" t="s">
        <v>282</v>
      </c>
      <c r="Q193" t="s">
        <v>371</v>
      </c>
      <c r="R193" t="s">
        <v>371</v>
      </c>
      <c r="S193" s="17" t="s">
        <v>371</v>
      </c>
      <c r="T193" s="16" t="s">
        <v>341</v>
      </c>
      <c r="U193" s="16" t="s">
        <v>340</v>
      </c>
      <c r="V193" s="15" t="s">
        <v>340</v>
      </c>
      <c r="W193" s="15" t="s">
        <v>377</v>
      </c>
      <c r="X193" s="17"/>
      <c r="Y193" t="s">
        <v>349</v>
      </c>
      <c r="Z193" t="s">
        <v>349</v>
      </c>
      <c r="AA193" t="s">
        <v>293</v>
      </c>
      <c r="AB193" t="s">
        <v>354</v>
      </c>
      <c r="AC193" t="s">
        <v>354</v>
      </c>
      <c r="AD193" t="s">
        <v>300</v>
      </c>
      <c r="AE193" t="s">
        <v>292</v>
      </c>
      <c r="AF193" t="s">
        <v>293</v>
      </c>
      <c r="AG193" t="s">
        <v>292</v>
      </c>
      <c r="AH193" t="s">
        <v>292</v>
      </c>
      <c r="AI193" t="s">
        <v>293</v>
      </c>
      <c r="AJ193" t="s">
        <v>302</v>
      </c>
      <c r="AK193" t="s">
        <v>302</v>
      </c>
      <c r="AL193" t="s">
        <v>357</v>
      </c>
      <c r="AM193" t="s">
        <v>293</v>
      </c>
      <c r="AN193" t="s">
        <v>293</v>
      </c>
      <c r="AO193" t="s">
        <v>296</v>
      </c>
      <c r="AP193" t="s">
        <v>298</v>
      </c>
      <c r="AQ193" t="s">
        <v>293</v>
      </c>
      <c r="AR193" t="s">
        <v>292</v>
      </c>
      <c r="AS193" t="s">
        <v>293</v>
      </c>
      <c r="AT193" t="s">
        <v>293</v>
      </c>
      <c r="AU193" t="s">
        <v>364</v>
      </c>
      <c r="AV193" t="str">
        <f t="shared" si="6"/>
        <v>break</v>
      </c>
    </row>
    <row r="194" spans="1:48" x14ac:dyDescent="0.3">
      <c r="A194" t="s">
        <v>43</v>
      </c>
      <c r="B194" t="s">
        <v>59</v>
      </c>
      <c r="C194" t="s">
        <v>21</v>
      </c>
      <c r="D194" t="s">
        <v>12</v>
      </c>
      <c r="E194" t="str">
        <f t="shared" ref="E194:E257" si="7">B194&amp;"-"&amp;D194&amp;"-"&amp;C194</f>
        <v>P_K5X-KYY-S_3X6</v>
      </c>
      <c r="F194" t="b">
        <v>1</v>
      </c>
      <c r="G194">
        <v>60.1</v>
      </c>
      <c r="H194">
        <v>0</v>
      </c>
      <c r="I194">
        <v>11226</v>
      </c>
      <c r="J194" s="49" t="s">
        <v>13</v>
      </c>
      <c r="L194" s="16" t="s">
        <v>273</v>
      </c>
      <c r="M194" s="16">
        <v>2</v>
      </c>
      <c r="N194" s="16" t="s">
        <v>333</v>
      </c>
      <c r="O194" s="16" t="s">
        <v>278</v>
      </c>
      <c r="P194" s="15" t="s">
        <v>282</v>
      </c>
      <c r="Q194" t="s">
        <v>371</v>
      </c>
      <c r="R194" t="s">
        <v>371</v>
      </c>
      <c r="S194" s="17" t="s">
        <v>371</v>
      </c>
      <c r="T194" s="16" t="s">
        <v>340</v>
      </c>
      <c r="U194" s="16" t="s">
        <v>342</v>
      </c>
      <c r="V194" s="15" t="s">
        <v>343</v>
      </c>
      <c r="W194" s="15" t="s">
        <v>344</v>
      </c>
      <c r="X194" s="17"/>
      <c r="Y194" t="s">
        <v>349</v>
      </c>
      <c r="Z194" t="s">
        <v>349</v>
      </c>
      <c r="AA194" t="s">
        <v>293</v>
      </c>
      <c r="AB194" t="s">
        <v>353</v>
      </c>
      <c r="AC194" t="s">
        <v>296</v>
      </c>
      <c r="AD194" t="s">
        <v>300</v>
      </c>
      <c r="AE194" t="s">
        <v>292</v>
      </c>
      <c r="AF194" t="s">
        <v>293</v>
      </c>
      <c r="AG194" t="s">
        <v>292</v>
      </c>
      <c r="AH194" t="s">
        <v>292</v>
      </c>
      <c r="AI194" t="s">
        <v>293</v>
      </c>
      <c r="AJ194" t="s">
        <v>302</v>
      </c>
      <c r="AK194" t="s">
        <v>357</v>
      </c>
      <c r="AL194" t="s">
        <v>359</v>
      </c>
      <c r="AM194" t="s">
        <v>293</v>
      </c>
      <c r="AN194" t="s">
        <v>293</v>
      </c>
      <c r="AO194" t="s">
        <v>297</v>
      </c>
      <c r="AP194" t="s">
        <v>298</v>
      </c>
      <c r="AQ194" t="s">
        <v>293</v>
      </c>
      <c r="AR194" t="s">
        <v>292</v>
      </c>
      <c r="AS194" t="s">
        <v>293</v>
      </c>
      <c r="AT194" t="s">
        <v>293</v>
      </c>
      <c r="AU194" t="s">
        <v>364</v>
      </c>
      <c r="AV194" t="str">
        <f t="shared" si="6"/>
        <v>no_fail</v>
      </c>
    </row>
    <row r="195" spans="1:48" x14ac:dyDescent="0.3">
      <c r="A195" t="s">
        <v>43</v>
      </c>
      <c r="B195" t="s">
        <v>59</v>
      </c>
      <c r="C195" t="s">
        <v>19</v>
      </c>
      <c r="D195" t="s">
        <v>12</v>
      </c>
      <c r="E195" t="str">
        <f t="shared" si="7"/>
        <v>P_K5X-KYY-S_4U3</v>
      </c>
      <c r="F195" t="b">
        <v>1</v>
      </c>
      <c r="G195">
        <v>32.5</v>
      </c>
      <c r="H195">
        <v>0</v>
      </c>
      <c r="I195">
        <v>23538</v>
      </c>
      <c r="J195" s="49" t="s">
        <v>13</v>
      </c>
      <c r="L195" s="16" t="s">
        <v>272</v>
      </c>
      <c r="M195" s="16">
        <v>3</v>
      </c>
      <c r="N195" s="16" t="s">
        <v>277</v>
      </c>
      <c r="O195" s="16" t="s">
        <v>335</v>
      </c>
      <c r="P195" s="15" t="s">
        <v>282</v>
      </c>
      <c r="Q195" t="s">
        <v>371</v>
      </c>
      <c r="R195" t="s">
        <v>371</v>
      </c>
      <c r="S195" s="17" t="s">
        <v>371</v>
      </c>
      <c r="T195" s="16" t="s">
        <v>341</v>
      </c>
      <c r="U195" s="16" t="s">
        <v>340</v>
      </c>
      <c r="V195" s="15" t="s">
        <v>343</v>
      </c>
      <c r="W195" s="15" t="s">
        <v>377</v>
      </c>
      <c r="X195" s="17"/>
      <c r="Y195" t="s">
        <v>349</v>
      </c>
      <c r="Z195" t="s">
        <v>349</v>
      </c>
      <c r="AA195" t="s">
        <v>293</v>
      </c>
      <c r="AB195" t="s">
        <v>353</v>
      </c>
      <c r="AC195" t="s">
        <v>296</v>
      </c>
      <c r="AD195" t="s">
        <v>301</v>
      </c>
      <c r="AE195" t="s">
        <v>293</v>
      </c>
      <c r="AF195" t="s">
        <v>292</v>
      </c>
      <c r="AG195" t="s">
        <v>293</v>
      </c>
      <c r="AH195" t="s">
        <v>292</v>
      </c>
      <c r="AI195" t="s">
        <v>293</v>
      </c>
      <c r="AJ195" t="s">
        <v>302</v>
      </c>
      <c r="AK195" t="s">
        <v>302</v>
      </c>
      <c r="AL195" t="s">
        <v>359</v>
      </c>
      <c r="AM195" t="s">
        <v>293</v>
      </c>
      <c r="AN195" t="s">
        <v>293</v>
      </c>
      <c r="AO195" t="s">
        <v>296</v>
      </c>
      <c r="AP195" t="s">
        <v>356</v>
      </c>
      <c r="AQ195" t="s">
        <v>293</v>
      </c>
      <c r="AR195" t="s">
        <v>292</v>
      </c>
      <c r="AS195" t="s">
        <v>293</v>
      </c>
      <c r="AT195" t="s">
        <v>293</v>
      </c>
      <c r="AU195" t="s">
        <v>364</v>
      </c>
      <c r="AV195" t="str">
        <f t="shared" si="6"/>
        <v>no_fail</v>
      </c>
    </row>
    <row r="196" spans="1:48" x14ac:dyDescent="0.3">
      <c r="A196" t="s">
        <v>43</v>
      </c>
      <c r="B196" t="s">
        <v>59</v>
      </c>
      <c r="C196" t="s">
        <v>17</v>
      </c>
      <c r="D196" t="s">
        <v>12</v>
      </c>
      <c r="E196" t="str">
        <f t="shared" si="7"/>
        <v>P_K5X-KYY-S_6B5</v>
      </c>
      <c r="F196" t="b">
        <v>1</v>
      </c>
      <c r="G196">
        <v>27</v>
      </c>
      <c r="H196">
        <v>0</v>
      </c>
      <c r="I196">
        <v>23829</v>
      </c>
      <c r="J196" s="49" t="s">
        <v>13</v>
      </c>
      <c r="L196" s="16" t="s">
        <v>272</v>
      </c>
      <c r="M196" s="16">
        <v>3</v>
      </c>
      <c r="N196" s="16" t="s">
        <v>277</v>
      </c>
      <c r="O196" s="16" t="s">
        <v>335</v>
      </c>
      <c r="P196" s="15" t="s">
        <v>282</v>
      </c>
      <c r="Q196" t="s">
        <v>371</v>
      </c>
      <c r="R196" t="s">
        <v>371</v>
      </c>
      <c r="S196" s="17" t="s">
        <v>371</v>
      </c>
      <c r="T196" s="16" t="s">
        <v>341</v>
      </c>
      <c r="U196" s="16" t="s">
        <v>340</v>
      </c>
      <c r="V196" s="15" t="s">
        <v>343</v>
      </c>
      <c r="W196" s="15" t="s">
        <v>377</v>
      </c>
      <c r="X196" s="17"/>
      <c r="Y196" t="s">
        <v>349</v>
      </c>
      <c r="Z196" t="s">
        <v>349</v>
      </c>
      <c r="AA196" t="s">
        <v>293</v>
      </c>
      <c r="AB196" t="s">
        <v>353</v>
      </c>
      <c r="AC196" t="s">
        <v>296</v>
      </c>
      <c r="AD196" t="s">
        <v>301</v>
      </c>
      <c r="AE196" t="s">
        <v>293</v>
      </c>
      <c r="AF196" t="s">
        <v>292</v>
      </c>
      <c r="AG196" t="s">
        <v>293</v>
      </c>
      <c r="AH196" t="s">
        <v>292</v>
      </c>
      <c r="AI196" t="s">
        <v>293</v>
      </c>
      <c r="AJ196" t="s">
        <v>302</v>
      </c>
      <c r="AK196" t="s">
        <v>302</v>
      </c>
      <c r="AL196" t="s">
        <v>359</v>
      </c>
      <c r="AM196" t="s">
        <v>293</v>
      </c>
      <c r="AN196" t="s">
        <v>293</v>
      </c>
      <c r="AO196" t="s">
        <v>296</v>
      </c>
      <c r="AP196" t="s">
        <v>356</v>
      </c>
      <c r="AQ196" t="s">
        <v>293</v>
      </c>
      <c r="AR196" t="s">
        <v>292</v>
      </c>
      <c r="AS196" t="s">
        <v>293</v>
      </c>
      <c r="AT196" t="s">
        <v>293</v>
      </c>
      <c r="AU196" t="s">
        <v>364</v>
      </c>
      <c r="AV196" t="str">
        <f t="shared" si="6"/>
        <v>no_fail</v>
      </c>
    </row>
    <row r="197" spans="1:48" x14ac:dyDescent="0.3">
      <c r="A197" t="s">
        <v>43</v>
      </c>
      <c r="B197" t="s">
        <v>59</v>
      </c>
      <c r="C197" t="s">
        <v>16</v>
      </c>
      <c r="D197" t="s">
        <v>12</v>
      </c>
      <c r="E197" t="str">
        <f t="shared" si="7"/>
        <v>P_K5X-KYY-S_6U7</v>
      </c>
      <c r="F197" t="b">
        <v>1</v>
      </c>
      <c r="G197">
        <v>64.7</v>
      </c>
      <c r="H197">
        <v>0</v>
      </c>
      <c r="I197">
        <v>12619</v>
      </c>
      <c r="J197" s="49" t="s">
        <v>13</v>
      </c>
      <c r="L197" s="16" t="s">
        <v>272</v>
      </c>
      <c r="M197" s="16">
        <v>3</v>
      </c>
      <c r="N197" s="16" t="s">
        <v>277</v>
      </c>
      <c r="O197" s="16" t="s">
        <v>335</v>
      </c>
      <c r="P197" s="15" t="s">
        <v>282</v>
      </c>
      <c r="Q197" t="s">
        <v>371</v>
      </c>
      <c r="R197" t="s">
        <v>371</v>
      </c>
      <c r="S197" s="17" t="s">
        <v>371</v>
      </c>
      <c r="T197" s="16" t="s">
        <v>341</v>
      </c>
      <c r="U197" s="16" t="s">
        <v>340</v>
      </c>
      <c r="V197" s="15" t="s">
        <v>343</v>
      </c>
      <c r="W197" s="15" t="s">
        <v>344</v>
      </c>
      <c r="X197" s="17"/>
      <c r="Y197" t="s">
        <v>349</v>
      </c>
      <c r="Z197" t="s">
        <v>349</v>
      </c>
      <c r="AA197" t="s">
        <v>293</v>
      </c>
      <c r="AB197" t="s">
        <v>353</v>
      </c>
      <c r="AC197" t="s">
        <v>296</v>
      </c>
      <c r="AD197" t="s">
        <v>300</v>
      </c>
      <c r="AE197" t="s">
        <v>292</v>
      </c>
      <c r="AF197" t="s">
        <v>293</v>
      </c>
      <c r="AG197" t="s">
        <v>292</v>
      </c>
      <c r="AH197" t="s">
        <v>292</v>
      </c>
      <c r="AI197" t="s">
        <v>293</v>
      </c>
      <c r="AJ197" t="s">
        <v>302</v>
      </c>
      <c r="AK197" t="s">
        <v>302</v>
      </c>
      <c r="AL197" t="s">
        <v>359</v>
      </c>
      <c r="AM197" t="s">
        <v>293</v>
      </c>
      <c r="AN197" t="s">
        <v>293</v>
      </c>
      <c r="AO197" t="s">
        <v>297</v>
      </c>
      <c r="AP197" t="s">
        <v>298</v>
      </c>
      <c r="AQ197" t="s">
        <v>293</v>
      </c>
      <c r="AR197" t="s">
        <v>292</v>
      </c>
      <c r="AS197" t="s">
        <v>293</v>
      </c>
      <c r="AT197" t="s">
        <v>293</v>
      </c>
      <c r="AU197" t="s">
        <v>364</v>
      </c>
      <c r="AV197" t="str">
        <f t="shared" si="6"/>
        <v>no_fail</v>
      </c>
    </row>
    <row r="198" spans="1:48" x14ac:dyDescent="0.3">
      <c r="A198" t="s">
        <v>43</v>
      </c>
      <c r="B198" t="s">
        <v>59</v>
      </c>
      <c r="C198" t="s">
        <v>20</v>
      </c>
      <c r="D198" t="s">
        <v>12</v>
      </c>
      <c r="E198" t="str">
        <f t="shared" si="7"/>
        <v>P_K5X-KYY-S_7W0</v>
      </c>
      <c r="F198" t="b">
        <v>1</v>
      </c>
      <c r="G198">
        <v>23.2</v>
      </c>
      <c r="H198">
        <v>0</v>
      </c>
      <c r="I198">
        <v>28131</v>
      </c>
      <c r="J198" s="49" t="s">
        <v>13</v>
      </c>
      <c r="L198" s="16" t="s">
        <v>272</v>
      </c>
      <c r="M198" s="16">
        <v>3</v>
      </c>
      <c r="N198" s="16" t="s">
        <v>277</v>
      </c>
      <c r="O198" s="16" t="s">
        <v>335</v>
      </c>
      <c r="P198" s="15" t="s">
        <v>282</v>
      </c>
      <c r="Q198" t="s">
        <v>371</v>
      </c>
      <c r="R198" t="s">
        <v>371</v>
      </c>
      <c r="S198" s="17" t="s">
        <v>371</v>
      </c>
      <c r="T198" s="16" t="s">
        <v>341</v>
      </c>
      <c r="U198" s="16" t="s">
        <v>340</v>
      </c>
      <c r="V198" s="15" t="s">
        <v>343</v>
      </c>
      <c r="W198" s="15" t="s">
        <v>377</v>
      </c>
      <c r="X198" s="17"/>
      <c r="Y198" t="s">
        <v>349</v>
      </c>
      <c r="Z198" t="s">
        <v>349</v>
      </c>
      <c r="AA198" t="s">
        <v>293</v>
      </c>
      <c r="AB198" t="s">
        <v>353</v>
      </c>
      <c r="AC198" t="s">
        <v>296</v>
      </c>
      <c r="AD198" t="s">
        <v>301</v>
      </c>
      <c r="AE198" t="s">
        <v>293</v>
      </c>
      <c r="AF198" t="s">
        <v>292</v>
      </c>
      <c r="AG198" t="s">
        <v>293</v>
      </c>
      <c r="AH198" t="s">
        <v>292</v>
      </c>
      <c r="AI198" t="s">
        <v>293</v>
      </c>
      <c r="AJ198" t="s">
        <v>302</v>
      </c>
      <c r="AK198" t="s">
        <v>302</v>
      </c>
      <c r="AL198" t="s">
        <v>359</v>
      </c>
      <c r="AM198" t="s">
        <v>293</v>
      </c>
      <c r="AN198" t="s">
        <v>293</v>
      </c>
      <c r="AO198" t="s">
        <v>296</v>
      </c>
      <c r="AP198" t="s">
        <v>356</v>
      </c>
      <c r="AQ198" t="s">
        <v>293</v>
      </c>
      <c r="AR198" t="s">
        <v>292</v>
      </c>
      <c r="AS198" t="s">
        <v>293</v>
      </c>
      <c r="AT198" t="s">
        <v>293</v>
      </c>
      <c r="AU198" t="s">
        <v>364</v>
      </c>
      <c r="AV198" t="str">
        <f t="shared" si="6"/>
        <v>no_fail</v>
      </c>
    </row>
    <row r="199" spans="1:48" x14ac:dyDescent="0.3">
      <c r="A199" t="s">
        <v>43</v>
      </c>
      <c r="B199" t="s">
        <v>59</v>
      </c>
      <c r="C199" t="s">
        <v>22</v>
      </c>
      <c r="D199" t="s">
        <v>12</v>
      </c>
      <c r="E199" t="str">
        <f t="shared" si="7"/>
        <v>P_K5X-KYY-S_9B4</v>
      </c>
      <c r="F199" t="b">
        <v>1</v>
      </c>
      <c r="G199">
        <v>76.5</v>
      </c>
      <c r="H199">
        <v>0</v>
      </c>
      <c r="I199">
        <v>10444</v>
      </c>
      <c r="J199" s="49" t="s">
        <v>13</v>
      </c>
      <c r="L199" s="16" t="s">
        <v>273</v>
      </c>
      <c r="M199" s="16">
        <v>2</v>
      </c>
      <c r="N199" s="16" t="s">
        <v>333</v>
      </c>
      <c r="O199" s="16" t="s">
        <v>278</v>
      </c>
      <c r="P199" s="15" t="s">
        <v>282</v>
      </c>
      <c r="Q199" t="s">
        <v>371</v>
      </c>
      <c r="R199" t="s">
        <v>371</v>
      </c>
      <c r="S199" s="17" t="s">
        <v>371</v>
      </c>
      <c r="T199" s="16" t="s">
        <v>340</v>
      </c>
      <c r="U199" s="16" t="s">
        <v>342</v>
      </c>
      <c r="V199" s="15" t="s">
        <v>343</v>
      </c>
      <c r="W199" s="15" t="s">
        <v>344</v>
      </c>
      <c r="X199" s="17"/>
      <c r="Y199" t="s">
        <v>349</v>
      </c>
      <c r="Z199" t="s">
        <v>349</v>
      </c>
      <c r="AA199" t="s">
        <v>293</v>
      </c>
      <c r="AB199" t="s">
        <v>353</v>
      </c>
      <c r="AC199" t="s">
        <v>355</v>
      </c>
      <c r="AD199" t="s">
        <v>300</v>
      </c>
      <c r="AE199" t="s">
        <v>292</v>
      </c>
      <c r="AF199" t="s">
        <v>293</v>
      </c>
      <c r="AG199" t="s">
        <v>292</v>
      </c>
      <c r="AH199" t="s">
        <v>292</v>
      </c>
      <c r="AI199" t="s">
        <v>293</v>
      </c>
      <c r="AJ199" t="s">
        <v>302</v>
      </c>
      <c r="AK199" t="s">
        <v>357</v>
      </c>
      <c r="AL199" t="s">
        <v>359</v>
      </c>
      <c r="AM199" t="s">
        <v>293</v>
      </c>
      <c r="AN199" t="s">
        <v>293</v>
      </c>
      <c r="AO199" t="s">
        <v>297</v>
      </c>
      <c r="AP199" t="s">
        <v>298</v>
      </c>
      <c r="AQ199" t="s">
        <v>293</v>
      </c>
      <c r="AR199" t="s">
        <v>292</v>
      </c>
      <c r="AS199" t="s">
        <v>293</v>
      </c>
      <c r="AT199" t="s">
        <v>293</v>
      </c>
      <c r="AU199" t="s">
        <v>364</v>
      </c>
      <c r="AV199" t="str">
        <f t="shared" si="6"/>
        <v>no_fail</v>
      </c>
    </row>
    <row r="200" spans="1:48" x14ac:dyDescent="0.3">
      <c r="A200" t="s">
        <v>43</v>
      </c>
      <c r="B200" t="s">
        <v>59</v>
      </c>
      <c r="C200" t="s">
        <v>39</v>
      </c>
      <c r="D200" t="s">
        <v>29</v>
      </c>
      <c r="E200" t="str">
        <f t="shared" si="7"/>
        <v>P_K5X-ZSB-S_2I5</v>
      </c>
      <c r="F200" t="b">
        <v>1</v>
      </c>
      <c r="G200">
        <v>57.1</v>
      </c>
      <c r="H200">
        <v>0</v>
      </c>
      <c r="I200">
        <v>22433</v>
      </c>
      <c r="J200" s="49" t="s">
        <v>13</v>
      </c>
      <c r="L200" s="16" t="s">
        <v>273</v>
      </c>
      <c r="M200" s="16">
        <v>2</v>
      </c>
      <c r="N200" s="16" t="s">
        <v>333</v>
      </c>
      <c r="O200" s="16" t="s">
        <v>278</v>
      </c>
      <c r="P200" s="15" t="s">
        <v>283</v>
      </c>
      <c r="Q200" t="s">
        <v>371</v>
      </c>
      <c r="R200" t="s">
        <v>371</v>
      </c>
      <c r="S200" s="17" t="s">
        <v>371</v>
      </c>
      <c r="T200" s="16" t="s">
        <v>341</v>
      </c>
      <c r="U200" s="16" t="s">
        <v>342</v>
      </c>
      <c r="V200" s="15" t="s">
        <v>343</v>
      </c>
      <c r="W200" s="15" t="s">
        <v>344</v>
      </c>
      <c r="X200" s="17" t="s">
        <v>347</v>
      </c>
      <c r="Y200" t="s">
        <v>349</v>
      </c>
      <c r="Z200" t="s">
        <v>349</v>
      </c>
      <c r="AA200" t="s">
        <v>293</v>
      </c>
      <c r="AB200" t="s">
        <v>353</v>
      </c>
      <c r="AC200" t="s">
        <v>296</v>
      </c>
      <c r="AD200" t="s">
        <v>301</v>
      </c>
      <c r="AE200" t="s">
        <v>292</v>
      </c>
      <c r="AF200" t="s">
        <v>292</v>
      </c>
      <c r="AG200" t="s">
        <v>292</v>
      </c>
      <c r="AH200" t="s">
        <v>292</v>
      </c>
      <c r="AI200" t="s">
        <v>293</v>
      </c>
      <c r="AJ200" t="s">
        <v>302</v>
      </c>
      <c r="AK200" t="s">
        <v>357</v>
      </c>
      <c r="AL200" t="s">
        <v>359</v>
      </c>
      <c r="AM200" t="s">
        <v>293</v>
      </c>
      <c r="AN200" t="s">
        <v>293</v>
      </c>
      <c r="AO200" t="s">
        <v>296</v>
      </c>
      <c r="AP200" t="s">
        <v>298</v>
      </c>
      <c r="AQ200" t="s">
        <v>293</v>
      </c>
      <c r="AR200" t="s">
        <v>292</v>
      </c>
      <c r="AS200" t="s">
        <v>293</v>
      </c>
      <c r="AT200" t="s">
        <v>293</v>
      </c>
      <c r="AU200" t="s">
        <v>364</v>
      </c>
      <c r="AV200" t="str">
        <f t="shared" si="6"/>
        <v>no_fail</v>
      </c>
    </row>
    <row r="201" spans="1:48" x14ac:dyDescent="0.3">
      <c r="A201" t="s">
        <v>43</v>
      </c>
      <c r="B201" t="s">
        <v>59</v>
      </c>
      <c r="C201" t="s">
        <v>37</v>
      </c>
      <c r="D201" t="s">
        <v>29</v>
      </c>
      <c r="E201" t="str">
        <f t="shared" si="7"/>
        <v>P_K5X-ZSB-S_3A8</v>
      </c>
      <c r="F201" t="b">
        <v>1</v>
      </c>
      <c r="G201">
        <v>92.6</v>
      </c>
      <c r="H201">
        <v>0</v>
      </c>
      <c r="I201">
        <v>22874</v>
      </c>
      <c r="J201" s="49" t="s">
        <v>13</v>
      </c>
      <c r="L201" s="16" t="s">
        <v>273</v>
      </c>
      <c r="M201" s="16">
        <v>2</v>
      </c>
      <c r="N201" s="16" t="s">
        <v>333</v>
      </c>
      <c r="O201" s="16" t="s">
        <v>278</v>
      </c>
      <c r="P201" s="15" t="s">
        <v>283</v>
      </c>
      <c r="Q201" t="s">
        <v>371</v>
      </c>
      <c r="R201" t="s">
        <v>371</v>
      </c>
      <c r="S201" s="17" t="s">
        <v>371</v>
      </c>
      <c r="T201" s="16" t="s">
        <v>341</v>
      </c>
      <c r="U201" s="16" t="s">
        <v>342</v>
      </c>
      <c r="V201" s="15" t="s">
        <v>343</v>
      </c>
      <c r="W201" s="15" t="s">
        <v>344</v>
      </c>
      <c r="X201" s="17" t="s">
        <v>347</v>
      </c>
      <c r="Y201" t="s">
        <v>349</v>
      </c>
      <c r="Z201" t="s">
        <v>349</v>
      </c>
      <c r="AA201" t="s">
        <v>293</v>
      </c>
      <c r="AB201" t="s">
        <v>353</v>
      </c>
      <c r="AC201" t="s">
        <v>296</v>
      </c>
      <c r="AD201" t="s">
        <v>301</v>
      </c>
      <c r="AE201" t="s">
        <v>292</v>
      </c>
      <c r="AF201" t="s">
        <v>292</v>
      </c>
      <c r="AG201" t="s">
        <v>292</v>
      </c>
      <c r="AH201" t="s">
        <v>292</v>
      </c>
      <c r="AI201" t="s">
        <v>293</v>
      </c>
      <c r="AJ201" t="s">
        <v>302</v>
      </c>
      <c r="AK201" t="s">
        <v>357</v>
      </c>
      <c r="AL201" t="s">
        <v>359</v>
      </c>
      <c r="AM201" t="s">
        <v>293</v>
      </c>
      <c r="AN201" t="s">
        <v>293</v>
      </c>
      <c r="AO201" t="s">
        <v>296</v>
      </c>
      <c r="AP201" t="s">
        <v>298</v>
      </c>
      <c r="AQ201" t="s">
        <v>293</v>
      </c>
      <c r="AR201" t="s">
        <v>292</v>
      </c>
      <c r="AS201" t="s">
        <v>293</v>
      </c>
      <c r="AT201" t="s">
        <v>293</v>
      </c>
      <c r="AU201" t="s">
        <v>364</v>
      </c>
      <c r="AV201" t="str">
        <f t="shared" si="6"/>
        <v>no_fail</v>
      </c>
    </row>
    <row r="202" spans="1:48" x14ac:dyDescent="0.3">
      <c r="A202" t="s">
        <v>43</v>
      </c>
      <c r="B202" t="s">
        <v>59</v>
      </c>
      <c r="C202" t="s">
        <v>32</v>
      </c>
      <c r="D202" t="s">
        <v>29</v>
      </c>
      <c r="E202" t="str">
        <f t="shared" si="7"/>
        <v>P_K5X-ZSB-S_3B9</v>
      </c>
      <c r="F202" t="b">
        <v>1</v>
      </c>
      <c r="G202">
        <v>100</v>
      </c>
      <c r="H202">
        <v>1</v>
      </c>
      <c r="I202">
        <v>19303</v>
      </c>
      <c r="J202" s="49" t="s">
        <v>18</v>
      </c>
      <c r="L202" s="16" t="s">
        <v>273</v>
      </c>
      <c r="M202" s="16">
        <v>2</v>
      </c>
      <c r="N202" s="16" t="s">
        <v>333</v>
      </c>
      <c r="O202" s="16" t="s">
        <v>278</v>
      </c>
      <c r="P202" s="15" t="s">
        <v>282</v>
      </c>
      <c r="Q202" t="s">
        <v>371</v>
      </c>
      <c r="R202" t="s">
        <v>371</v>
      </c>
      <c r="S202" s="17" t="s">
        <v>371</v>
      </c>
      <c r="T202" s="16" t="s">
        <v>341</v>
      </c>
      <c r="U202" s="16" t="s">
        <v>342</v>
      </c>
      <c r="V202" s="15" t="s">
        <v>343</v>
      </c>
      <c r="W202" s="15" t="s">
        <v>344</v>
      </c>
      <c r="X202" s="17"/>
      <c r="Y202" t="s">
        <v>349</v>
      </c>
      <c r="Z202" t="s">
        <v>349</v>
      </c>
      <c r="AA202" t="s">
        <v>293</v>
      </c>
      <c r="AB202" t="s">
        <v>352</v>
      </c>
      <c r="AC202" t="s">
        <v>296</v>
      </c>
      <c r="AD202" t="s">
        <v>301</v>
      </c>
      <c r="AE202" t="s">
        <v>292</v>
      </c>
      <c r="AF202" t="s">
        <v>292</v>
      </c>
      <c r="AG202" t="s">
        <v>292</v>
      </c>
      <c r="AH202" t="s">
        <v>292</v>
      </c>
      <c r="AI202" t="s">
        <v>293</v>
      </c>
      <c r="AJ202" t="s">
        <v>302</v>
      </c>
      <c r="AK202" t="s">
        <v>357</v>
      </c>
      <c r="AL202" t="s">
        <v>359</v>
      </c>
      <c r="AM202" t="s">
        <v>293</v>
      </c>
      <c r="AN202" t="s">
        <v>293</v>
      </c>
      <c r="AO202" t="s">
        <v>297</v>
      </c>
      <c r="AP202" t="s">
        <v>298</v>
      </c>
      <c r="AQ202" t="s">
        <v>293</v>
      </c>
      <c r="AR202" t="s">
        <v>292</v>
      </c>
      <c r="AS202" t="s">
        <v>293</v>
      </c>
      <c r="AT202" t="s">
        <v>293</v>
      </c>
      <c r="AU202" t="s">
        <v>364</v>
      </c>
      <c r="AV202" t="str">
        <f t="shared" si="6"/>
        <v>break</v>
      </c>
    </row>
    <row r="203" spans="1:48" x14ac:dyDescent="0.3">
      <c r="A203" t="s">
        <v>43</v>
      </c>
      <c r="B203" t="s">
        <v>59</v>
      </c>
      <c r="C203" t="s">
        <v>30</v>
      </c>
      <c r="D203" t="s">
        <v>29</v>
      </c>
      <c r="E203" t="str">
        <f t="shared" si="7"/>
        <v>P_K5X-ZSB-S_3X7</v>
      </c>
      <c r="F203" t="b">
        <v>1</v>
      </c>
      <c r="G203">
        <v>100</v>
      </c>
      <c r="H203">
        <v>1</v>
      </c>
      <c r="I203">
        <v>18169</v>
      </c>
      <c r="J203" s="49" t="s">
        <v>18</v>
      </c>
      <c r="L203" s="16" t="s">
        <v>273</v>
      </c>
      <c r="M203" s="16">
        <v>2</v>
      </c>
      <c r="N203" s="16" t="s">
        <v>333</v>
      </c>
      <c r="O203" s="16" t="s">
        <v>278</v>
      </c>
      <c r="P203" s="15" t="s">
        <v>282</v>
      </c>
      <c r="Q203" t="s">
        <v>371</v>
      </c>
      <c r="R203" t="s">
        <v>371</v>
      </c>
      <c r="S203" s="17" t="s">
        <v>371</v>
      </c>
      <c r="T203" s="16" t="s">
        <v>341</v>
      </c>
      <c r="U203" s="16" t="s">
        <v>342</v>
      </c>
      <c r="V203" s="15" t="s">
        <v>343</v>
      </c>
      <c r="W203" s="15" t="s">
        <v>344</v>
      </c>
      <c r="X203" s="17"/>
      <c r="Y203" t="s">
        <v>349</v>
      </c>
      <c r="Z203" t="s">
        <v>349</v>
      </c>
      <c r="AA203" t="s">
        <v>293</v>
      </c>
      <c r="AB203" t="s">
        <v>352</v>
      </c>
      <c r="AC203" t="s">
        <v>296</v>
      </c>
      <c r="AD203" t="s">
        <v>301</v>
      </c>
      <c r="AE203" t="s">
        <v>292</v>
      </c>
      <c r="AF203" t="s">
        <v>293</v>
      </c>
      <c r="AG203" t="s">
        <v>292</v>
      </c>
      <c r="AH203" t="s">
        <v>292</v>
      </c>
      <c r="AI203" t="s">
        <v>293</v>
      </c>
      <c r="AJ203" t="s">
        <v>302</v>
      </c>
      <c r="AK203" t="s">
        <v>357</v>
      </c>
      <c r="AL203" t="s">
        <v>359</v>
      </c>
      <c r="AM203" t="s">
        <v>293</v>
      </c>
      <c r="AN203" t="s">
        <v>293</v>
      </c>
      <c r="AO203" t="s">
        <v>297</v>
      </c>
      <c r="AP203" t="s">
        <v>298</v>
      </c>
      <c r="AQ203" t="s">
        <v>293</v>
      </c>
      <c r="AR203" t="s">
        <v>292</v>
      </c>
      <c r="AS203" t="s">
        <v>293</v>
      </c>
      <c r="AT203" t="s">
        <v>293</v>
      </c>
      <c r="AU203" t="s">
        <v>364</v>
      </c>
      <c r="AV203" t="str">
        <f t="shared" si="6"/>
        <v>break</v>
      </c>
    </row>
    <row r="204" spans="1:48" x14ac:dyDescent="0.3">
      <c r="A204" t="s">
        <v>43</v>
      </c>
      <c r="B204" t="s">
        <v>59</v>
      </c>
      <c r="C204" t="s">
        <v>40</v>
      </c>
      <c r="D204" t="s">
        <v>29</v>
      </c>
      <c r="E204" t="str">
        <f t="shared" si="7"/>
        <v>P_K5X-ZSB-S_5N2</v>
      </c>
      <c r="F204" t="b">
        <v>1</v>
      </c>
      <c r="G204">
        <v>100</v>
      </c>
      <c r="H204">
        <v>1</v>
      </c>
      <c r="I204">
        <v>16706</v>
      </c>
      <c r="J204" s="49" t="s">
        <v>18</v>
      </c>
      <c r="L204" s="16" t="s">
        <v>273</v>
      </c>
      <c r="M204" s="16">
        <v>2</v>
      </c>
      <c r="N204" s="16" t="s">
        <v>333</v>
      </c>
      <c r="O204" s="16" t="s">
        <v>278</v>
      </c>
      <c r="P204" s="15" t="s">
        <v>283</v>
      </c>
      <c r="Q204" t="s">
        <v>371</v>
      </c>
      <c r="R204" t="s">
        <v>371</v>
      </c>
      <c r="S204" s="17" t="s">
        <v>371</v>
      </c>
      <c r="T204" s="16" t="s">
        <v>340</v>
      </c>
      <c r="U204" s="16" t="s">
        <v>342</v>
      </c>
      <c r="V204" s="15" t="s">
        <v>343</v>
      </c>
      <c r="W204" s="15" t="s">
        <v>347</v>
      </c>
      <c r="X204" s="17"/>
      <c r="Y204" t="s">
        <v>349</v>
      </c>
      <c r="Z204" t="s">
        <v>349</v>
      </c>
      <c r="AA204" t="s">
        <v>293</v>
      </c>
      <c r="AB204" t="s">
        <v>353</v>
      </c>
      <c r="AC204" t="s">
        <v>296</v>
      </c>
      <c r="AD204" t="s">
        <v>300</v>
      </c>
      <c r="AE204" t="s">
        <v>292</v>
      </c>
      <c r="AF204" t="s">
        <v>293</v>
      </c>
      <c r="AG204" t="s">
        <v>292</v>
      </c>
      <c r="AH204" t="s">
        <v>292</v>
      </c>
      <c r="AI204" t="s">
        <v>293</v>
      </c>
      <c r="AJ204" t="s">
        <v>302</v>
      </c>
      <c r="AK204" t="s">
        <v>357</v>
      </c>
      <c r="AL204" t="s">
        <v>359</v>
      </c>
      <c r="AM204" t="s">
        <v>293</v>
      </c>
      <c r="AN204" t="s">
        <v>293</v>
      </c>
      <c r="AO204" t="s">
        <v>296</v>
      </c>
      <c r="AP204" t="s">
        <v>298</v>
      </c>
      <c r="AQ204" t="s">
        <v>293</v>
      </c>
      <c r="AR204" t="s">
        <v>292</v>
      </c>
      <c r="AS204" t="s">
        <v>293</v>
      </c>
      <c r="AT204" t="s">
        <v>293</v>
      </c>
      <c r="AU204" t="s">
        <v>364</v>
      </c>
      <c r="AV204" t="str">
        <f t="shared" si="6"/>
        <v>break</v>
      </c>
    </row>
    <row r="205" spans="1:48" x14ac:dyDescent="0.3">
      <c r="A205" t="s">
        <v>43</v>
      </c>
      <c r="B205" t="s">
        <v>59</v>
      </c>
      <c r="C205" t="s">
        <v>38</v>
      </c>
      <c r="D205" t="s">
        <v>29</v>
      </c>
      <c r="E205" t="str">
        <f t="shared" si="7"/>
        <v>P_K5X-ZSB-S_7X6</v>
      </c>
      <c r="F205" t="b">
        <v>1</v>
      </c>
      <c r="G205">
        <v>51.3</v>
      </c>
      <c r="H205">
        <v>0</v>
      </c>
      <c r="I205">
        <v>24311</v>
      </c>
      <c r="J205" s="49" t="s">
        <v>13</v>
      </c>
      <c r="L205" s="16" t="s">
        <v>273</v>
      </c>
      <c r="M205" s="16">
        <v>2</v>
      </c>
      <c r="N205" s="16" t="s">
        <v>333</v>
      </c>
      <c r="O205" s="16" t="s">
        <v>278</v>
      </c>
      <c r="P205" s="15" t="s">
        <v>283</v>
      </c>
      <c r="Q205" t="s">
        <v>371</v>
      </c>
      <c r="R205" t="s">
        <v>371</v>
      </c>
      <c r="S205" s="17" t="s">
        <v>371</v>
      </c>
      <c r="T205" s="16" t="s">
        <v>341</v>
      </c>
      <c r="U205" s="16" t="s">
        <v>342</v>
      </c>
      <c r="V205" s="15" t="s">
        <v>343</v>
      </c>
      <c r="W205" s="15" t="s">
        <v>344</v>
      </c>
      <c r="X205" s="17" t="s">
        <v>347</v>
      </c>
      <c r="Y205" t="s">
        <v>349</v>
      </c>
      <c r="Z205" t="s">
        <v>349</v>
      </c>
      <c r="AA205" t="s">
        <v>293</v>
      </c>
      <c r="AB205" t="s">
        <v>353</v>
      </c>
      <c r="AC205" t="s">
        <v>296</v>
      </c>
      <c r="AD205" t="s">
        <v>301</v>
      </c>
      <c r="AE205" t="s">
        <v>292</v>
      </c>
      <c r="AF205" t="s">
        <v>292</v>
      </c>
      <c r="AG205" t="s">
        <v>292</v>
      </c>
      <c r="AH205" t="s">
        <v>292</v>
      </c>
      <c r="AI205" t="s">
        <v>293</v>
      </c>
      <c r="AJ205" t="s">
        <v>302</v>
      </c>
      <c r="AK205" t="s">
        <v>357</v>
      </c>
      <c r="AL205" t="s">
        <v>359</v>
      </c>
      <c r="AM205" t="s">
        <v>293</v>
      </c>
      <c r="AN205" t="s">
        <v>293</v>
      </c>
      <c r="AO205" t="s">
        <v>296</v>
      </c>
      <c r="AP205" t="s">
        <v>298</v>
      </c>
      <c r="AQ205" t="s">
        <v>293</v>
      </c>
      <c r="AR205" t="s">
        <v>292</v>
      </c>
      <c r="AS205" t="s">
        <v>293</v>
      </c>
      <c r="AT205" t="s">
        <v>293</v>
      </c>
      <c r="AU205" t="s">
        <v>364</v>
      </c>
      <c r="AV205" t="str">
        <f t="shared" si="6"/>
        <v>no_fail</v>
      </c>
    </row>
    <row r="206" spans="1:48" x14ac:dyDescent="0.3">
      <c r="A206" t="s">
        <v>43</v>
      </c>
      <c r="B206" t="s">
        <v>59</v>
      </c>
      <c r="C206" t="s">
        <v>34</v>
      </c>
      <c r="D206" t="s">
        <v>29</v>
      </c>
      <c r="E206" t="str">
        <f t="shared" si="7"/>
        <v>P_K5X-ZSB-S_8A5</v>
      </c>
      <c r="F206" t="b">
        <v>1</v>
      </c>
      <c r="G206">
        <v>100</v>
      </c>
      <c r="H206">
        <v>1</v>
      </c>
      <c r="I206">
        <v>25432</v>
      </c>
      <c r="J206" s="49" t="s">
        <v>18</v>
      </c>
      <c r="L206" s="16" t="s">
        <v>273</v>
      </c>
      <c r="M206" s="16">
        <v>2</v>
      </c>
      <c r="N206" s="16" t="s">
        <v>333</v>
      </c>
      <c r="O206" s="16" t="s">
        <v>278</v>
      </c>
      <c r="P206" s="15" t="s">
        <v>273</v>
      </c>
      <c r="Q206" t="s">
        <v>371</v>
      </c>
      <c r="R206" t="s">
        <v>371</v>
      </c>
      <c r="S206" s="17" t="s">
        <v>371</v>
      </c>
      <c r="T206" s="16" t="s">
        <v>340</v>
      </c>
      <c r="U206" s="16" t="s">
        <v>342</v>
      </c>
      <c r="V206" s="15" t="s">
        <v>343</v>
      </c>
      <c r="W206" s="15" t="s">
        <v>347</v>
      </c>
      <c r="X206" s="17"/>
      <c r="Y206" t="s">
        <v>349</v>
      </c>
      <c r="Z206" t="s">
        <v>349</v>
      </c>
      <c r="AA206" t="s">
        <v>293</v>
      </c>
      <c r="AB206" t="s">
        <v>353</v>
      </c>
      <c r="AC206" t="s">
        <v>296</v>
      </c>
      <c r="AD206" t="s">
        <v>301</v>
      </c>
      <c r="AE206" t="s">
        <v>292</v>
      </c>
      <c r="AF206" t="s">
        <v>293</v>
      </c>
      <c r="AG206" t="s">
        <v>293</v>
      </c>
      <c r="AH206" t="s">
        <v>292</v>
      </c>
      <c r="AI206" t="s">
        <v>293</v>
      </c>
      <c r="AJ206" t="s">
        <v>302</v>
      </c>
      <c r="AK206" t="s">
        <v>357</v>
      </c>
      <c r="AL206" t="s">
        <v>359</v>
      </c>
      <c r="AM206" t="s">
        <v>293</v>
      </c>
      <c r="AN206" t="s">
        <v>293</v>
      </c>
      <c r="AO206" t="s">
        <v>296</v>
      </c>
      <c r="AP206" t="s">
        <v>298</v>
      </c>
      <c r="AQ206" t="s">
        <v>293</v>
      </c>
      <c r="AR206" t="s">
        <v>292</v>
      </c>
      <c r="AS206" t="s">
        <v>293</v>
      </c>
      <c r="AT206" t="s">
        <v>293</v>
      </c>
      <c r="AU206" t="s">
        <v>364</v>
      </c>
      <c r="AV206" t="str">
        <f t="shared" ref="AV206:AV269" si="8">IF(J206="fail",IF(H206=1,"break","car_stuck"),"no_fail")</f>
        <v>break</v>
      </c>
    </row>
    <row r="207" spans="1:48" x14ac:dyDescent="0.3">
      <c r="A207" t="s">
        <v>43</v>
      </c>
      <c r="B207" t="s">
        <v>59</v>
      </c>
      <c r="C207" t="s">
        <v>36</v>
      </c>
      <c r="D207" t="s">
        <v>29</v>
      </c>
      <c r="E207" t="str">
        <f t="shared" si="7"/>
        <v>P_K5X-ZSB-S_8D0</v>
      </c>
      <c r="F207" t="b">
        <v>1</v>
      </c>
      <c r="G207">
        <v>96.3</v>
      </c>
      <c r="H207">
        <v>0</v>
      </c>
      <c r="I207">
        <v>21275</v>
      </c>
      <c r="J207" s="49" t="s">
        <v>13</v>
      </c>
      <c r="L207" s="16" t="s">
        <v>273</v>
      </c>
      <c r="M207" s="16">
        <v>2</v>
      </c>
      <c r="N207" s="16" t="s">
        <v>333</v>
      </c>
      <c r="O207" s="16" t="s">
        <v>278</v>
      </c>
      <c r="P207" s="15" t="s">
        <v>273</v>
      </c>
      <c r="Q207" t="s">
        <v>371</v>
      </c>
      <c r="R207" t="s">
        <v>371</v>
      </c>
      <c r="S207" s="17" t="s">
        <v>371</v>
      </c>
      <c r="T207" s="16" t="s">
        <v>340</v>
      </c>
      <c r="U207" s="16" t="s">
        <v>342</v>
      </c>
      <c r="V207" s="15" t="s">
        <v>343</v>
      </c>
      <c r="W207" s="15" t="s">
        <v>347</v>
      </c>
      <c r="X207" s="17"/>
      <c r="Y207" t="s">
        <v>349</v>
      </c>
      <c r="Z207" t="s">
        <v>349</v>
      </c>
      <c r="AA207" t="s">
        <v>293</v>
      </c>
      <c r="AB207" t="s">
        <v>353</v>
      </c>
      <c r="AC207" t="s">
        <v>296</v>
      </c>
      <c r="AD207" t="s">
        <v>301</v>
      </c>
      <c r="AE207" t="s">
        <v>292</v>
      </c>
      <c r="AF207" t="s">
        <v>292</v>
      </c>
      <c r="AG207" t="s">
        <v>292</v>
      </c>
      <c r="AH207" t="s">
        <v>292</v>
      </c>
      <c r="AI207" t="s">
        <v>293</v>
      </c>
      <c r="AJ207" t="s">
        <v>302</v>
      </c>
      <c r="AK207" t="s">
        <v>357</v>
      </c>
      <c r="AL207" t="s">
        <v>359</v>
      </c>
      <c r="AM207" t="s">
        <v>293</v>
      </c>
      <c r="AN207" t="s">
        <v>293</v>
      </c>
      <c r="AO207" t="s">
        <v>296</v>
      </c>
      <c r="AP207" t="s">
        <v>298</v>
      </c>
      <c r="AQ207" t="s">
        <v>293</v>
      </c>
      <c r="AR207" t="s">
        <v>292</v>
      </c>
      <c r="AS207" t="s">
        <v>293</v>
      </c>
      <c r="AT207" t="s">
        <v>293</v>
      </c>
      <c r="AU207" t="s">
        <v>364</v>
      </c>
      <c r="AV207" t="str">
        <f t="shared" si="8"/>
        <v>no_fail</v>
      </c>
    </row>
    <row r="208" spans="1:48" x14ac:dyDescent="0.3">
      <c r="A208" t="s">
        <v>43</v>
      </c>
      <c r="B208" t="s">
        <v>59</v>
      </c>
      <c r="C208" t="s">
        <v>33</v>
      </c>
      <c r="D208" t="s">
        <v>29</v>
      </c>
      <c r="E208" t="str">
        <f t="shared" si="7"/>
        <v>P_K5X-ZSB-S_8I8</v>
      </c>
      <c r="F208" t="b">
        <v>1</v>
      </c>
      <c r="G208">
        <v>99.9</v>
      </c>
      <c r="H208">
        <v>0</v>
      </c>
      <c r="I208">
        <v>25007</v>
      </c>
      <c r="J208" s="49" t="s">
        <v>18</v>
      </c>
      <c r="L208" s="16" t="s">
        <v>273</v>
      </c>
      <c r="M208" s="16">
        <v>2</v>
      </c>
      <c r="N208" s="16" t="s">
        <v>333</v>
      </c>
      <c r="O208" s="16" t="s">
        <v>278</v>
      </c>
      <c r="P208" s="15" t="s">
        <v>282</v>
      </c>
      <c r="Q208" t="s">
        <v>371</v>
      </c>
      <c r="R208" t="s">
        <v>371</v>
      </c>
      <c r="S208" s="17" t="s">
        <v>371</v>
      </c>
      <c r="T208" s="16" t="s">
        <v>340</v>
      </c>
      <c r="U208" s="16" t="s">
        <v>342</v>
      </c>
      <c r="V208" s="15" t="s">
        <v>343</v>
      </c>
      <c r="W208" s="15" t="s">
        <v>347</v>
      </c>
      <c r="X208" s="17"/>
      <c r="Y208" t="s">
        <v>349</v>
      </c>
      <c r="Z208" t="s">
        <v>349</v>
      </c>
      <c r="AA208" t="s">
        <v>293</v>
      </c>
      <c r="AB208" t="s">
        <v>353</v>
      </c>
      <c r="AC208" t="s">
        <v>296</v>
      </c>
      <c r="AD208" t="s">
        <v>301</v>
      </c>
      <c r="AE208" t="s">
        <v>292</v>
      </c>
      <c r="AF208" t="s">
        <v>293</v>
      </c>
      <c r="AG208" t="s">
        <v>293</v>
      </c>
      <c r="AH208" t="s">
        <v>292</v>
      </c>
      <c r="AI208" t="s">
        <v>293</v>
      </c>
      <c r="AJ208" t="s">
        <v>302</v>
      </c>
      <c r="AK208" t="s">
        <v>357</v>
      </c>
      <c r="AL208" t="s">
        <v>359</v>
      </c>
      <c r="AM208" t="s">
        <v>293</v>
      </c>
      <c r="AN208" t="s">
        <v>293</v>
      </c>
      <c r="AO208" t="s">
        <v>296</v>
      </c>
      <c r="AP208" t="s">
        <v>298</v>
      </c>
      <c r="AQ208" t="s">
        <v>293</v>
      </c>
      <c r="AR208" t="s">
        <v>292</v>
      </c>
      <c r="AS208" t="s">
        <v>293</v>
      </c>
      <c r="AT208" t="s">
        <v>293</v>
      </c>
      <c r="AU208" t="s">
        <v>364</v>
      </c>
      <c r="AV208" t="str">
        <f t="shared" si="8"/>
        <v>car_stuck</v>
      </c>
    </row>
    <row r="209" spans="1:48" x14ac:dyDescent="0.3">
      <c r="A209" t="s">
        <v>43</v>
      </c>
      <c r="B209" t="s">
        <v>59</v>
      </c>
      <c r="C209" t="s">
        <v>26</v>
      </c>
      <c r="D209" t="s">
        <v>29</v>
      </c>
      <c r="E209" t="str">
        <f t="shared" si="7"/>
        <v>P_K5X-ZSB-S_8O8</v>
      </c>
      <c r="F209" t="b">
        <v>1</v>
      </c>
      <c r="G209">
        <v>100</v>
      </c>
      <c r="H209">
        <v>1</v>
      </c>
      <c r="I209">
        <v>9371</v>
      </c>
      <c r="J209" s="49" t="s">
        <v>18</v>
      </c>
      <c r="L209" s="16" t="s">
        <v>272</v>
      </c>
      <c r="M209" s="16">
        <v>2</v>
      </c>
      <c r="N209" s="16" t="s">
        <v>277</v>
      </c>
      <c r="O209" s="16" t="s">
        <v>335</v>
      </c>
      <c r="P209" s="15" t="s">
        <v>282</v>
      </c>
      <c r="Q209" t="s">
        <v>371</v>
      </c>
      <c r="R209" t="s">
        <v>371</v>
      </c>
      <c r="S209" s="17" t="s">
        <v>371</v>
      </c>
      <c r="T209" s="16" t="s">
        <v>341</v>
      </c>
      <c r="U209" s="16" t="s">
        <v>342</v>
      </c>
      <c r="V209" s="15" t="s">
        <v>340</v>
      </c>
      <c r="W209" s="15" t="s">
        <v>291</v>
      </c>
      <c r="X209" s="17"/>
      <c r="Y209" t="s">
        <v>349</v>
      </c>
      <c r="Z209" t="s">
        <v>349</v>
      </c>
      <c r="AA209" t="s">
        <v>293</v>
      </c>
      <c r="AB209" t="s">
        <v>354</v>
      </c>
      <c r="AC209" t="s">
        <v>354</v>
      </c>
      <c r="AD209" t="s">
        <v>299</v>
      </c>
      <c r="AE209" t="s">
        <v>292</v>
      </c>
      <c r="AF209" t="s">
        <v>293</v>
      </c>
      <c r="AG209" t="s">
        <v>292</v>
      </c>
      <c r="AH209" t="s">
        <v>293</v>
      </c>
      <c r="AI209" t="s">
        <v>293</v>
      </c>
      <c r="AJ209" t="s">
        <v>302</v>
      </c>
      <c r="AK209" t="s">
        <v>302</v>
      </c>
      <c r="AL209" t="s">
        <v>357</v>
      </c>
      <c r="AM209" t="s">
        <v>293</v>
      </c>
      <c r="AN209" t="s">
        <v>293</v>
      </c>
      <c r="AO209" t="s">
        <v>297</v>
      </c>
      <c r="AP209" t="s">
        <v>298</v>
      </c>
      <c r="AQ209" t="s">
        <v>293</v>
      </c>
      <c r="AR209" t="s">
        <v>292</v>
      </c>
      <c r="AS209" t="s">
        <v>293</v>
      </c>
      <c r="AT209" t="s">
        <v>293</v>
      </c>
      <c r="AU209" t="s">
        <v>364</v>
      </c>
      <c r="AV209" t="str">
        <f t="shared" si="8"/>
        <v>break</v>
      </c>
    </row>
    <row r="210" spans="1:48" x14ac:dyDescent="0.3">
      <c r="A210" t="s">
        <v>43</v>
      </c>
      <c r="B210" t="s">
        <v>59</v>
      </c>
      <c r="C210" t="s">
        <v>31</v>
      </c>
      <c r="D210" t="s">
        <v>29</v>
      </c>
      <c r="E210" t="str">
        <f t="shared" si="7"/>
        <v>P_K5X-ZSB-S_9E0</v>
      </c>
      <c r="F210" t="b">
        <v>1</v>
      </c>
      <c r="G210">
        <v>100</v>
      </c>
      <c r="H210">
        <v>1</v>
      </c>
      <c r="I210">
        <v>18736</v>
      </c>
      <c r="J210" s="49" t="s">
        <v>18</v>
      </c>
      <c r="L210" s="16" t="s">
        <v>273</v>
      </c>
      <c r="M210" s="16">
        <v>2</v>
      </c>
      <c r="N210" s="16" t="s">
        <v>333</v>
      </c>
      <c r="O210" s="16" t="s">
        <v>278</v>
      </c>
      <c r="P210" s="15" t="s">
        <v>282</v>
      </c>
      <c r="Q210" t="s">
        <v>371</v>
      </c>
      <c r="R210" t="s">
        <v>371</v>
      </c>
      <c r="S210" s="17" t="s">
        <v>371</v>
      </c>
      <c r="T210" s="16" t="s">
        <v>341</v>
      </c>
      <c r="U210" s="16" t="s">
        <v>342</v>
      </c>
      <c r="V210" s="15" t="s">
        <v>343</v>
      </c>
      <c r="W210" s="15" t="s">
        <v>344</v>
      </c>
      <c r="X210" s="17"/>
      <c r="Y210" t="s">
        <v>349</v>
      </c>
      <c r="Z210" t="s">
        <v>349</v>
      </c>
      <c r="AA210" t="s">
        <v>293</v>
      </c>
      <c r="AB210" t="s">
        <v>352</v>
      </c>
      <c r="AC210" t="s">
        <v>296</v>
      </c>
      <c r="AD210" t="s">
        <v>301</v>
      </c>
      <c r="AE210" t="s">
        <v>292</v>
      </c>
      <c r="AF210" t="s">
        <v>292</v>
      </c>
      <c r="AG210" t="s">
        <v>292</v>
      </c>
      <c r="AH210" t="s">
        <v>292</v>
      </c>
      <c r="AI210" t="s">
        <v>293</v>
      </c>
      <c r="AJ210" t="s">
        <v>302</v>
      </c>
      <c r="AK210" t="s">
        <v>357</v>
      </c>
      <c r="AL210" t="s">
        <v>359</v>
      </c>
      <c r="AM210" t="s">
        <v>293</v>
      </c>
      <c r="AN210" t="s">
        <v>293</v>
      </c>
      <c r="AO210" t="s">
        <v>297</v>
      </c>
      <c r="AP210" t="s">
        <v>298</v>
      </c>
      <c r="AQ210" t="s">
        <v>293</v>
      </c>
      <c r="AR210" t="s">
        <v>292</v>
      </c>
      <c r="AS210" t="s">
        <v>293</v>
      </c>
      <c r="AT210" t="s">
        <v>293</v>
      </c>
      <c r="AU210" t="s">
        <v>364</v>
      </c>
      <c r="AV210" t="str">
        <f t="shared" si="8"/>
        <v>break</v>
      </c>
    </row>
    <row r="211" spans="1:48" x14ac:dyDescent="0.3">
      <c r="A211" t="s">
        <v>43</v>
      </c>
      <c r="B211" t="s">
        <v>59</v>
      </c>
      <c r="C211" t="s">
        <v>27</v>
      </c>
      <c r="D211" t="s">
        <v>29</v>
      </c>
      <c r="E211" t="str">
        <f t="shared" si="7"/>
        <v>P_K5X-ZSB-S_9F6</v>
      </c>
      <c r="F211" t="b">
        <v>1</v>
      </c>
      <c r="G211">
        <v>100</v>
      </c>
      <c r="H211">
        <v>1</v>
      </c>
      <c r="I211">
        <v>10194</v>
      </c>
      <c r="J211" s="49" t="s">
        <v>18</v>
      </c>
      <c r="L211" s="16" t="s">
        <v>272</v>
      </c>
      <c r="M211" s="16">
        <v>2</v>
      </c>
      <c r="N211" s="16" t="s">
        <v>277</v>
      </c>
      <c r="O211" s="16" t="s">
        <v>335</v>
      </c>
      <c r="P211" s="15" t="s">
        <v>282</v>
      </c>
      <c r="Q211" t="s">
        <v>371</v>
      </c>
      <c r="R211" t="s">
        <v>371</v>
      </c>
      <c r="S211" s="17" t="s">
        <v>371</v>
      </c>
      <c r="T211" s="16" t="s">
        <v>341</v>
      </c>
      <c r="U211" s="16" t="s">
        <v>342</v>
      </c>
      <c r="V211" s="15" t="s">
        <v>340</v>
      </c>
      <c r="W211" s="15" t="s">
        <v>291</v>
      </c>
      <c r="X211" s="17"/>
      <c r="Y211" t="s">
        <v>349</v>
      </c>
      <c r="Z211" t="s">
        <v>349</v>
      </c>
      <c r="AA211" t="s">
        <v>293</v>
      </c>
      <c r="AB211" t="s">
        <v>354</v>
      </c>
      <c r="AC211" t="s">
        <v>354</v>
      </c>
      <c r="AD211" t="s">
        <v>299</v>
      </c>
      <c r="AE211" t="s">
        <v>292</v>
      </c>
      <c r="AF211" t="s">
        <v>293</v>
      </c>
      <c r="AG211" t="s">
        <v>292</v>
      </c>
      <c r="AH211" t="s">
        <v>293</v>
      </c>
      <c r="AI211" t="s">
        <v>293</v>
      </c>
      <c r="AJ211" t="s">
        <v>302</v>
      </c>
      <c r="AK211" t="s">
        <v>302</v>
      </c>
      <c r="AL211" t="s">
        <v>357</v>
      </c>
      <c r="AM211" t="s">
        <v>293</v>
      </c>
      <c r="AN211" t="s">
        <v>293</v>
      </c>
      <c r="AO211" t="s">
        <v>297</v>
      </c>
      <c r="AP211" t="s">
        <v>298</v>
      </c>
      <c r="AQ211" t="s">
        <v>293</v>
      </c>
      <c r="AR211" t="s">
        <v>292</v>
      </c>
      <c r="AS211" t="s">
        <v>293</v>
      </c>
      <c r="AT211" t="s">
        <v>293</v>
      </c>
      <c r="AU211" t="s">
        <v>364</v>
      </c>
      <c r="AV211" t="str">
        <f t="shared" si="8"/>
        <v>break</v>
      </c>
    </row>
    <row r="212" spans="1:48" x14ac:dyDescent="0.3">
      <c r="A212" t="s">
        <v>43</v>
      </c>
      <c r="B212" t="s">
        <v>59</v>
      </c>
      <c r="C212" t="s">
        <v>28</v>
      </c>
      <c r="D212" t="s">
        <v>29</v>
      </c>
      <c r="E212" t="str">
        <f t="shared" si="7"/>
        <v>P_K5X-ZSB-S_9T2</v>
      </c>
      <c r="F212" t="b">
        <v>1</v>
      </c>
      <c r="G212">
        <v>100</v>
      </c>
      <c r="H212">
        <v>1</v>
      </c>
      <c r="I212">
        <v>12403</v>
      </c>
      <c r="J212" s="49" t="s">
        <v>18</v>
      </c>
      <c r="L212" s="16" t="s">
        <v>272</v>
      </c>
      <c r="M212" s="16">
        <v>2</v>
      </c>
      <c r="N212" s="16" t="s">
        <v>277</v>
      </c>
      <c r="O212" s="16" t="s">
        <v>335</v>
      </c>
      <c r="P212" s="15" t="s">
        <v>282</v>
      </c>
      <c r="Q212" t="s">
        <v>371</v>
      </c>
      <c r="R212" t="s">
        <v>371</v>
      </c>
      <c r="S212" s="17" t="s">
        <v>371</v>
      </c>
      <c r="T212" s="16" t="s">
        <v>341</v>
      </c>
      <c r="U212" s="16" t="s">
        <v>342</v>
      </c>
      <c r="V212" s="15" t="s">
        <v>340</v>
      </c>
      <c r="W212" s="15" t="s">
        <v>291</v>
      </c>
      <c r="X212" s="17" t="s">
        <v>344</v>
      </c>
      <c r="Y212" t="s">
        <v>349</v>
      </c>
      <c r="Z212" t="s">
        <v>349</v>
      </c>
      <c r="AA212" t="s">
        <v>293</v>
      </c>
      <c r="AB212" t="s">
        <v>354</v>
      </c>
      <c r="AC212" t="s">
        <v>354</v>
      </c>
      <c r="AD212" t="s">
        <v>299</v>
      </c>
      <c r="AE212" t="s">
        <v>292</v>
      </c>
      <c r="AF212" t="s">
        <v>292</v>
      </c>
      <c r="AG212" t="s">
        <v>292</v>
      </c>
      <c r="AH212" t="s">
        <v>293</v>
      </c>
      <c r="AI212" t="s">
        <v>293</v>
      </c>
      <c r="AJ212" t="s">
        <v>302</v>
      </c>
      <c r="AK212" t="s">
        <v>302</v>
      </c>
      <c r="AL212" t="s">
        <v>357</v>
      </c>
      <c r="AM212" t="s">
        <v>293</v>
      </c>
      <c r="AN212" t="s">
        <v>293</v>
      </c>
      <c r="AO212" t="s">
        <v>297</v>
      </c>
      <c r="AP212" t="s">
        <v>298</v>
      </c>
      <c r="AQ212" t="s">
        <v>293</v>
      </c>
      <c r="AR212" t="s">
        <v>292</v>
      </c>
      <c r="AS212" t="s">
        <v>293</v>
      </c>
      <c r="AT212" t="s">
        <v>293</v>
      </c>
      <c r="AU212" t="s">
        <v>364</v>
      </c>
      <c r="AV212" t="str">
        <f t="shared" si="8"/>
        <v>break</v>
      </c>
    </row>
    <row r="213" spans="1:48" x14ac:dyDescent="0.3">
      <c r="A213" t="s">
        <v>43</v>
      </c>
      <c r="B213" t="s">
        <v>59</v>
      </c>
      <c r="C213" t="s">
        <v>35</v>
      </c>
      <c r="D213" t="s">
        <v>29</v>
      </c>
      <c r="E213" t="str">
        <f t="shared" si="7"/>
        <v>P_K5X-ZSB-S_9X8</v>
      </c>
      <c r="F213" t="b">
        <v>1</v>
      </c>
      <c r="G213">
        <v>100</v>
      </c>
      <c r="H213">
        <v>1</v>
      </c>
      <c r="I213">
        <v>20523</v>
      </c>
      <c r="J213" s="49" t="s">
        <v>18</v>
      </c>
      <c r="L213" s="16" t="s">
        <v>273</v>
      </c>
      <c r="M213" s="16">
        <v>2</v>
      </c>
      <c r="N213" s="16" t="s">
        <v>333</v>
      </c>
      <c r="O213" s="16" t="s">
        <v>278</v>
      </c>
      <c r="P213" s="15" t="s">
        <v>283</v>
      </c>
      <c r="Q213" t="s">
        <v>371</v>
      </c>
      <c r="R213" t="s">
        <v>371</v>
      </c>
      <c r="S213" s="17" t="s">
        <v>371</v>
      </c>
      <c r="T213" s="16" t="s">
        <v>340</v>
      </c>
      <c r="U213" s="16" t="s">
        <v>342</v>
      </c>
      <c r="V213" s="15" t="s">
        <v>343</v>
      </c>
      <c r="W213" s="15" t="s">
        <v>347</v>
      </c>
      <c r="X213" s="17"/>
      <c r="Y213" t="s">
        <v>349</v>
      </c>
      <c r="Z213" t="s">
        <v>349</v>
      </c>
      <c r="AA213" t="s">
        <v>293</v>
      </c>
      <c r="AB213" t="s">
        <v>353</v>
      </c>
      <c r="AC213" t="s">
        <v>296</v>
      </c>
      <c r="AD213" t="s">
        <v>301</v>
      </c>
      <c r="AE213" t="s">
        <v>292</v>
      </c>
      <c r="AF213" t="s">
        <v>293</v>
      </c>
      <c r="AG213" t="s">
        <v>293</v>
      </c>
      <c r="AH213" t="s">
        <v>292</v>
      </c>
      <c r="AI213" t="s">
        <v>293</v>
      </c>
      <c r="AJ213" t="s">
        <v>302</v>
      </c>
      <c r="AK213" t="s">
        <v>357</v>
      </c>
      <c r="AL213" t="s">
        <v>359</v>
      </c>
      <c r="AM213" t="s">
        <v>293</v>
      </c>
      <c r="AN213" t="s">
        <v>293</v>
      </c>
      <c r="AO213" t="s">
        <v>296</v>
      </c>
      <c r="AP213" t="s">
        <v>298</v>
      </c>
      <c r="AQ213" t="s">
        <v>293</v>
      </c>
      <c r="AR213" t="s">
        <v>292</v>
      </c>
      <c r="AS213" t="s">
        <v>293</v>
      </c>
      <c r="AT213" t="s">
        <v>293</v>
      </c>
      <c r="AU213" t="s">
        <v>364</v>
      </c>
      <c r="AV213" t="str">
        <f t="shared" si="8"/>
        <v>break</v>
      </c>
    </row>
    <row r="214" spans="1:48" x14ac:dyDescent="0.3">
      <c r="A214" t="s">
        <v>43</v>
      </c>
      <c r="B214" t="s">
        <v>49</v>
      </c>
      <c r="C214" t="s">
        <v>15</v>
      </c>
      <c r="D214" t="s">
        <v>12</v>
      </c>
      <c r="E214" t="str">
        <f t="shared" si="7"/>
        <v>P_L3X-KYY-S_0M4</v>
      </c>
      <c r="F214" t="b">
        <v>1</v>
      </c>
      <c r="G214">
        <v>100</v>
      </c>
      <c r="H214">
        <v>1</v>
      </c>
      <c r="I214">
        <v>16666</v>
      </c>
      <c r="J214" s="49" t="s">
        <v>18</v>
      </c>
      <c r="L214" s="16" t="s">
        <v>272</v>
      </c>
      <c r="M214" s="16">
        <v>3</v>
      </c>
      <c r="N214" s="16" t="s">
        <v>277</v>
      </c>
      <c r="O214" s="16" t="s">
        <v>335</v>
      </c>
      <c r="P214" s="15" t="s">
        <v>283</v>
      </c>
      <c r="Q214" t="s">
        <v>281</v>
      </c>
      <c r="R214" t="s">
        <v>371</v>
      </c>
      <c r="S214" s="17" t="s">
        <v>371</v>
      </c>
      <c r="T214" s="16" t="s">
        <v>341</v>
      </c>
      <c r="U214" s="16" t="s">
        <v>340</v>
      </c>
      <c r="V214" s="15" t="s">
        <v>343</v>
      </c>
      <c r="W214" s="15" t="s">
        <v>291</v>
      </c>
      <c r="X214" s="17"/>
      <c r="Y214" t="s">
        <v>349</v>
      </c>
      <c r="Z214" t="s">
        <v>349</v>
      </c>
      <c r="AA214" t="s">
        <v>292</v>
      </c>
      <c r="AB214" t="s">
        <v>353</v>
      </c>
      <c r="AC214" t="s">
        <v>296</v>
      </c>
      <c r="AD214" t="s">
        <v>301</v>
      </c>
      <c r="AE214" t="s">
        <v>293</v>
      </c>
      <c r="AF214" t="s">
        <v>292</v>
      </c>
      <c r="AG214" t="s">
        <v>292</v>
      </c>
      <c r="AH214" t="s">
        <v>292</v>
      </c>
      <c r="AI214" t="s">
        <v>293</v>
      </c>
      <c r="AJ214" t="s">
        <v>302</v>
      </c>
      <c r="AK214" t="s">
        <v>359</v>
      </c>
      <c r="AL214" t="s">
        <v>359</v>
      </c>
      <c r="AM214" t="s">
        <v>293</v>
      </c>
      <c r="AN214" t="s">
        <v>293</v>
      </c>
      <c r="AO214" t="s">
        <v>296</v>
      </c>
      <c r="AP214" t="s">
        <v>356</v>
      </c>
      <c r="AQ214" t="s">
        <v>293</v>
      </c>
      <c r="AR214" t="s">
        <v>292</v>
      </c>
      <c r="AS214" t="s">
        <v>293</v>
      </c>
      <c r="AT214" t="s">
        <v>293</v>
      </c>
      <c r="AU214" t="s">
        <v>364</v>
      </c>
      <c r="AV214" t="str">
        <f t="shared" si="8"/>
        <v>break</v>
      </c>
    </row>
    <row r="215" spans="1:48" x14ac:dyDescent="0.3">
      <c r="A215" t="s">
        <v>43</v>
      </c>
      <c r="B215" t="s">
        <v>49</v>
      </c>
      <c r="C215" t="s">
        <v>14</v>
      </c>
      <c r="D215" t="s">
        <v>12</v>
      </c>
      <c r="E215" t="str">
        <f t="shared" si="7"/>
        <v>P_L3X-KYY-S_1B0</v>
      </c>
      <c r="F215" t="b">
        <v>1</v>
      </c>
      <c r="G215">
        <v>100</v>
      </c>
      <c r="H215">
        <v>1</v>
      </c>
      <c r="I215">
        <v>15914</v>
      </c>
      <c r="J215" s="49" t="s">
        <v>18</v>
      </c>
      <c r="L215" s="16" t="s">
        <v>272</v>
      </c>
      <c r="M215" s="16">
        <v>3</v>
      </c>
      <c r="N215" s="16" t="s">
        <v>277</v>
      </c>
      <c r="O215" s="16" t="s">
        <v>335</v>
      </c>
      <c r="P215" s="15" t="s">
        <v>283</v>
      </c>
      <c r="Q215" t="s">
        <v>281</v>
      </c>
      <c r="R215" t="s">
        <v>284</v>
      </c>
      <c r="S215" s="17" t="s">
        <v>371</v>
      </c>
      <c r="T215" s="16" t="s">
        <v>340</v>
      </c>
      <c r="U215" s="16" t="s">
        <v>340</v>
      </c>
      <c r="V215" s="15" t="s">
        <v>343</v>
      </c>
      <c r="W215" s="15" t="s">
        <v>291</v>
      </c>
      <c r="X215" s="17"/>
      <c r="Y215" t="s">
        <v>349</v>
      </c>
      <c r="Z215" t="s">
        <v>349</v>
      </c>
      <c r="AA215" t="s">
        <v>292</v>
      </c>
      <c r="AB215" t="s">
        <v>353</v>
      </c>
      <c r="AC215" t="s">
        <v>296</v>
      </c>
      <c r="AD215" t="s">
        <v>301</v>
      </c>
      <c r="AE215" t="s">
        <v>293</v>
      </c>
      <c r="AF215" t="s">
        <v>292</v>
      </c>
      <c r="AG215" t="s">
        <v>293</v>
      </c>
      <c r="AH215" t="s">
        <v>292</v>
      </c>
      <c r="AI215" t="s">
        <v>293</v>
      </c>
      <c r="AJ215" t="s">
        <v>302</v>
      </c>
      <c r="AK215" t="s">
        <v>358</v>
      </c>
      <c r="AL215" t="s">
        <v>359</v>
      </c>
      <c r="AM215" t="s">
        <v>293</v>
      </c>
      <c r="AN215" t="s">
        <v>293</v>
      </c>
      <c r="AO215" t="s">
        <v>296</v>
      </c>
      <c r="AP215" t="s">
        <v>356</v>
      </c>
      <c r="AQ215" t="s">
        <v>293</v>
      </c>
      <c r="AR215" t="s">
        <v>292</v>
      </c>
      <c r="AS215" t="s">
        <v>293</v>
      </c>
      <c r="AT215" t="s">
        <v>293</v>
      </c>
      <c r="AU215" t="s">
        <v>364</v>
      </c>
      <c r="AV215" t="str">
        <f t="shared" si="8"/>
        <v>break</v>
      </c>
    </row>
    <row r="216" spans="1:48" x14ac:dyDescent="0.3">
      <c r="A216" t="s">
        <v>43</v>
      </c>
      <c r="B216" t="s">
        <v>49</v>
      </c>
      <c r="C216" t="s">
        <v>11</v>
      </c>
      <c r="D216" t="s">
        <v>12</v>
      </c>
      <c r="E216" t="str">
        <f t="shared" si="7"/>
        <v>P_L3X-KYY-S_1Q4</v>
      </c>
      <c r="F216" t="b">
        <v>1</v>
      </c>
      <c r="G216">
        <v>100</v>
      </c>
      <c r="H216">
        <v>1</v>
      </c>
      <c r="I216">
        <v>10277</v>
      </c>
      <c r="J216" s="49" t="s">
        <v>18</v>
      </c>
      <c r="L216" s="16" t="s">
        <v>272</v>
      </c>
      <c r="M216" s="16">
        <v>3</v>
      </c>
      <c r="N216" s="16" t="s">
        <v>277</v>
      </c>
      <c r="O216" s="16" t="s">
        <v>335</v>
      </c>
      <c r="P216" s="15" t="s">
        <v>282</v>
      </c>
      <c r="Q216" t="s">
        <v>371</v>
      </c>
      <c r="R216" t="s">
        <v>371</v>
      </c>
      <c r="S216" s="17" t="s">
        <v>371</v>
      </c>
      <c r="T216" s="16" t="s">
        <v>340</v>
      </c>
      <c r="U216" s="16" t="s">
        <v>340</v>
      </c>
      <c r="V216" s="15" t="s">
        <v>343</v>
      </c>
      <c r="W216" s="15" t="s">
        <v>291</v>
      </c>
      <c r="X216" s="17"/>
      <c r="Y216" t="s">
        <v>349</v>
      </c>
      <c r="Z216" t="s">
        <v>349</v>
      </c>
      <c r="AA216" t="s">
        <v>293</v>
      </c>
      <c r="AB216" t="s">
        <v>353</v>
      </c>
      <c r="AC216" t="s">
        <v>296</v>
      </c>
      <c r="AD216" t="s">
        <v>301</v>
      </c>
      <c r="AE216" t="s">
        <v>293</v>
      </c>
      <c r="AF216" t="s">
        <v>292</v>
      </c>
      <c r="AG216" t="s">
        <v>293</v>
      </c>
      <c r="AH216" t="s">
        <v>292</v>
      </c>
      <c r="AI216" t="s">
        <v>293</v>
      </c>
      <c r="AJ216" t="s">
        <v>302</v>
      </c>
      <c r="AK216" t="s">
        <v>358</v>
      </c>
      <c r="AL216" t="s">
        <v>359</v>
      </c>
      <c r="AM216" t="s">
        <v>293</v>
      </c>
      <c r="AN216" t="s">
        <v>293</v>
      </c>
      <c r="AO216" t="s">
        <v>296</v>
      </c>
      <c r="AP216" t="s">
        <v>356</v>
      </c>
      <c r="AQ216" t="s">
        <v>293</v>
      </c>
      <c r="AR216" t="s">
        <v>292</v>
      </c>
      <c r="AS216" t="s">
        <v>293</v>
      </c>
      <c r="AT216" t="s">
        <v>293</v>
      </c>
      <c r="AU216" t="s">
        <v>364</v>
      </c>
      <c r="AV216" t="str">
        <f t="shared" si="8"/>
        <v>break</v>
      </c>
    </row>
    <row r="217" spans="1:48" x14ac:dyDescent="0.3">
      <c r="A217" t="s">
        <v>43</v>
      </c>
      <c r="B217" t="s">
        <v>49</v>
      </c>
      <c r="C217" t="s">
        <v>19</v>
      </c>
      <c r="D217" t="s">
        <v>12</v>
      </c>
      <c r="E217" t="str">
        <f t="shared" si="7"/>
        <v>P_L3X-KYY-S_4U3</v>
      </c>
      <c r="F217" t="b">
        <v>1</v>
      </c>
      <c r="G217">
        <v>51.7</v>
      </c>
      <c r="H217">
        <v>0</v>
      </c>
      <c r="I217">
        <v>18694</v>
      </c>
      <c r="J217" s="49" t="s">
        <v>13</v>
      </c>
      <c r="L217" s="16" t="s">
        <v>272</v>
      </c>
      <c r="M217" s="16">
        <v>3</v>
      </c>
      <c r="N217" s="16" t="s">
        <v>277</v>
      </c>
      <c r="O217" s="16" t="s">
        <v>335</v>
      </c>
      <c r="P217" s="15" t="s">
        <v>283</v>
      </c>
      <c r="Q217" t="s">
        <v>281</v>
      </c>
      <c r="R217" t="s">
        <v>284</v>
      </c>
      <c r="S217" s="17" t="s">
        <v>371</v>
      </c>
      <c r="T217" s="16" t="s">
        <v>341</v>
      </c>
      <c r="U217" s="16" t="s">
        <v>340</v>
      </c>
      <c r="V217" s="15" t="s">
        <v>343</v>
      </c>
      <c r="W217" s="15" t="s">
        <v>345</v>
      </c>
      <c r="X217" s="17" t="s">
        <v>291</v>
      </c>
      <c r="Y217" t="s">
        <v>349</v>
      </c>
      <c r="Z217" t="s">
        <v>349</v>
      </c>
      <c r="AA217" t="s">
        <v>292</v>
      </c>
      <c r="AB217" t="s">
        <v>353</v>
      </c>
      <c r="AC217" t="s">
        <v>296</v>
      </c>
      <c r="AD217" t="s">
        <v>301</v>
      </c>
      <c r="AE217" t="s">
        <v>292</v>
      </c>
      <c r="AF217" t="s">
        <v>292</v>
      </c>
      <c r="AG217" t="s">
        <v>292</v>
      </c>
      <c r="AH217" t="s">
        <v>292</v>
      </c>
      <c r="AI217" t="s">
        <v>293</v>
      </c>
      <c r="AJ217" t="s">
        <v>302</v>
      </c>
      <c r="AK217" t="s">
        <v>302</v>
      </c>
      <c r="AL217" t="s">
        <v>359</v>
      </c>
      <c r="AM217" t="s">
        <v>293</v>
      </c>
      <c r="AN217" t="s">
        <v>293</v>
      </c>
      <c r="AO217" t="s">
        <v>297</v>
      </c>
      <c r="AP217" t="s">
        <v>356</v>
      </c>
      <c r="AQ217" t="s">
        <v>293</v>
      </c>
      <c r="AR217" t="s">
        <v>292</v>
      </c>
      <c r="AS217" t="s">
        <v>293</v>
      </c>
      <c r="AT217" t="s">
        <v>293</v>
      </c>
      <c r="AU217" t="s">
        <v>364</v>
      </c>
      <c r="AV217" t="str">
        <f t="shared" si="8"/>
        <v>no_fail</v>
      </c>
    </row>
    <row r="218" spans="1:48" x14ac:dyDescent="0.3">
      <c r="A218" t="s">
        <v>43</v>
      </c>
      <c r="B218" t="s">
        <v>49</v>
      </c>
      <c r="C218" t="s">
        <v>17</v>
      </c>
      <c r="D218" t="s">
        <v>12</v>
      </c>
      <c r="E218" t="str">
        <f t="shared" si="7"/>
        <v>P_L3X-KYY-S_6B5</v>
      </c>
      <c r="F218" t="b">
        <v>1</v>
      </c>
      <c r="G218">
        <v>100</v>
      </c>
      <c r="H218">
        <v>1</v>
      </c>
      <c r="I218">
        <v>18509</v>
      </c>
      <c r="J218" s="49" t="s">
        <v>18</v>
      </c>
      <c r="L218" s="16" t="s">
        <v>272</v>
      </c>
      <c r="M218" s="16">
        <v>3</v>
      </c>
      <c r="N218" s="16" t="s">
        <v>277</v>
      </c>
      <c r="O218" s="16" t="s">
        <v>335</v>
      </c>
      <c r="P218" s="15" t="s">
        <v>283</v>
      </c>
      <c r="Q218" t="s">
        <v>281</v>
      </c>
      <c r="R218" t="s">
        <v>284</v>
      </c>
      <c r="S218" s="17" t="s">
        <v>371</v>
      </c>
      <c r="T218" s="16" t="s">
        <v>341</v>
      </c>
      <c r="U218" s="16" t="s">
        <v>340</v>
      </c>
      <c r="V218" s="15" t="s">
        <v>343</v>
      </c>
      <c r="W218" s="15" t="s">
        <v>345</v>
      </c>
      <c r="X218" s="17" t="s">
        <v>291</v>
      </c>
      <c r="Y218" t="s">
        <v>349</v>
      </c>
      <c r="Z218" t="s">
        <v>349</v>
      </c>
      <c r="AA218" t="s">
        <v>292</v>
      </c>
      <c r="AB218" t="s">
        <v>353</v>
      </c>
      <c r="AC218" t="s">
        <v>296</v>
      </c>
      <c r="AD218" t="s">
        <v>301</v>
      </c>
      <c r="AE218" t="s">
        <v>292</v>
      </c>
      <c r="AF218" t="s">
        <v>292</v>
      </c>
      <c r="AG218" t="s">
        <v>292</v>
      </c>
      <c r="AH218" t="s">
        <v>292</v>
      </c>
      <c r="AI218" t="s">
        <v>293</v>
      </c>
      <c r="AJ218" t="s">
        <v>302</v>
      </c>
      <c r="AK218" t="s">
        <v>302</v>
      </c>
      <c r="AL218" t="s">
        <v>359</v>
      </c>
      <c r="AM218" t="s">
        <v>293</v>
      </c>
      <c r="AN218" t="s">
        <v>293</v>
      </c>
      <c r="AO218" t="s">
        <v>297</v>
      </c>
      <c r="AP218" t="s">
        <v>356</v>
      </c>
      <c r="AQ218" t="s">
        <v>293</v>
      </c>
      <c r="AR218" t="s">
        <v>292</v>
      </c>
      <c r="AS218" t="s">
        <v>293</v>
      </c>
      <c r="AT218" t="s">
        <v>293</v>
      </c>
      <c r="AU218" t="s">
        <v>364</v>
      </c>
      <c r="AV218" t="str">
        <f t="shared" si="8"/>
        <v>break</v>
      </c>
    </row>
    <row r="219" spans="1:48" x14ac:dyDescent="0.3">
      <c r="A219" t="s">
        <v>43</v>
      </c>
      <c r="B219" t="s">
        <v>49</v>
      </c>
      <c r="C219" t="s">
        <v>16</v>
      </c>
      <c r="D219" t="s">
        <v>12</v>
      </c>
      <c r="E219" t="str">
        <f t="shared" si="7"/>
        <v>P_L3X-KYY-S_6U7</v>
      </c>
      <c r="F219" t="b">
        <v>1</v>
      </c>
      <c r="G219">
        <v>100</v>
      </c>
      <c r="H219">
        <v>1</v>
      </c>
      <c r="I219">
        <v>17904</v>
      </c>
      <c r="J219" s="49" t="s">
        <v>18</v>
      </c>
      <c r="L219" s="16" t="s">
        <v>272</v>
      </c>
      <c r="M219" s="16">
        <v>2</v>
      </c>
      <c r="N219" s="16" t="s">
        <v>333</v>
      </c>
      <c r="O219" s="16" t="s">
        <v>278</v>
      </c>
      <c r="P219" s="15" t="s">
        <v>283</v>
      </c>
      <c r="Q219" t="s">
        <v>281</v>
      </c>
      <c r="R219" t="s">
        <v>284</v>
      </c>
      <c r="S219" s="17" t="s">
        <v>371</v>
      </c>
      <c r="T219" s="16" t="s">
        <v>341</v>
      </c>
      <c r="U219" s="16" t="s">
        <v>340</v>
      </c>
      <c r="V219" s="15" t="s">
        <v>343</v>
      </c>
      <c r="W219" s="15" t="s">
        <v>345</v>
      </c>
      <c r="X219" s="17" t="s">
        <v>291</v>
      </c>
      <c r="Y219" t="s">
        <v>349</v>
      </c>
      <c r="Z219" t="s">
        <v>349</v>
      </c>
      <c r="AA219" t="s">
        <v>292</v>
      </c>
      <c r="AB219" t="s">
        <v>353</v>
      </c>
      <c r="AC219" t="s">
        <v>296</v>
      </c>
      <c r="AD219" t="s">
        <v>301</v>
      </c>
      <c r="AE219" t="s">
        <v>293</v>
      </c>
      <c r="AF219" t="s">
        <v>292</v>
      </c>
      <c r="AG219" t="s">
        <v>292</v>
      </c>
      <c r="AH219" t="s">
        <v>292</v>
      </c>
      <c r="AI219" t="s">
        <v>293</v>
      </c>
      <c r="AJ219" t="s">
        <v>302</v>
      </c>
      <c r="AK219" t="s">
        <v>359</v>
      </c>
      <c r="AL219" t="s">
        <v>359</v>
      </c>
      <c r="AM219" t="s">
        <v>293</v>
      </c>
      <c r="AN219" t="s">
        <v>293</v>
      </c>
      <c r="AO219" t="s">
        <v>296</v>
      </c>
      <c r="AP219" t="s">
        <v>356</v>
      </c>
      <c r="AQ219" t="s">
        <v>293</v>
      </c>
      <c r="AR219" t="s">
        <v>292</v>
      </c>
      <c r="AS219" t="s">
        <v>293</v>
      </c>
      <c r="AT219" t="s">
        <v>293</v>
      </c>
      <c r="AU219" t="s">
        <v>364</v>
      </c>
      <c r="AV219" t="str">
        <f t="shared" si="8"/>
        <v>break</v>
      </c>
    </row>
    <row r="220" spans="1:48" x14ac:dyDescent="0.3">
      <c r="A220" t="s">
        <v>43</v>
      </c>
      <c r="B220" t="s">
        <v>49</v>
      </c>
      <c r="C220" t="s">
        <v>20</v>
      </c>
      <c r="D220" t="s">
        <v>12</v>
      </c>
      <c r="E220" t="str">
        <f t="shared" si="7"/>
        <v>P_L3X-KYY-S_7W0</v>
      </c>
      <c r="F220" t="b">
        <v>1</v>
      </c>
      <c r="G220">
        <v>71.8</v>
      </c>
      <c r="H220">
        <v>0</v>
      </c>
      <c r="I220">
        <v>17905</v>
      </c>
      <c r="J220" s="49" t="s">
        <v>13</v>
      </c>
      <c r="L220" s="16" t="s">
        <v>272</v>
      </c>
      <c r="M220" s="16">
        <v>3</v>
      </c>
      <c r="N220" s="16" t="s">
        <v>277</v>
      </c>
      <c r="O220" s="16" t="s">
        <v>335</v>
      </c>
      <c r="P220" s="15" t="s">
        <v>283</v>
      </c>
      <c r="Q220" t="s">
        <v>281</v>
      </c>
      <c r="R220" t="s">
        <v>284</v>
      </c>
      <c r="S220" s="17" t="s">
        <v>371</v>
      </c>
      <c r="T220" s="16" t="s">
        <v>341</v>
      </c>
      <c r="U220" s="16" t="s">
        <v>340</v>
      </c>
      <c r="V220" s="15" t="s">
        <v>343</v>
      </c>
      <c r="W220" s="15" t="s">
        <v>345</v>
      </c>
      <c r="X220" s="17" t="s">
        <v>291</v>
      </c>
      <c r="Y220" t="s">
        <v>349</v>
      </c>
      <c r="Z220" t="s">
        <v>349</v>
      </c>
      <c r="AA220" t="s">
        <v>293</v>
      </c>
      <c r="AB220" t="s">
        <v>353</v>
      </c>
      <c r="AC220" t="s">
        <v>296</v>
      </c>
      <c r="AD220" t="s">
        <v>301</v>
      </c>
      <c r="AE220" t="s">
        <v>292</v>
      </c>
      <c r="AF220" t="s">
        <v>292</v>
      </c>
      <c r="AG220" t="s">
        <v>292</v>
      </c>
      <c r="AH220" t="s">
        <v>292</v>
      </c>
      <c r="AI220" t="s">
        <v>293</v>
      </c>
      <c r="AJ220" t="s">
        <v>302</v>
      </c>
      <c r="AK220" t="s">
        <v>302</v>
      </c>
      <c r="AL220" t="s">
        <v>359</v>
      </c>
      <c r="AM220" t="s">
        <v>293</v>
      </c>
      <c r="AN220" t="s">
        <v>293</v>
      </c>
      <c r="AO220" t="s">
        <v>297</v>
      </c>
      <c r="AP220" t="s">
        <v>356</v>
      </c>
      <c r="AQ220" t="s">
        <v>293</v>
      </c>
      <c r="AR220" t="s">
        <v>292</v>
      </c>
      <c r="AS220" t="s">
        <v>293</v>
      </c>
      <c r="AT220" t="s">
        <v>293</v>
      </c>
      <c r="AU220" t="s">
        <v>364</v>
      </c>
      <c r="AV220" t="str">
        <f t="shared" si="8"/>
        <v>no_fail</v>
      </c>
    </row>
    <row r="221" spans="1:48" x14ac:dyDescent="0.3">
      <c r="A221" t="s">
        <v>43</v>
      </c>
      <c r="B221" t="s">
        <v>49</v>
      </c>
      <c r="C221" t="s">
        <v>23</v>
      </c>
      <c r="D221" t="s">
        <v>29</v>
      </c>
      <c r="E221" t="str">
        <f t="shared" si="7"/>
        <v>P_L3X-ZSB-S_0T2</v>
      </c>
      <c r="F221" t="b">
        <v>1</v>
      </c>
      <c r="G221">
        <v>53</v>
      </c>
      <c r="H221">
        <v>0</v>
      </c>
      <c r="I221">
        <v>16700</v>
      </c>
      <c r="J221" s="49" t="s">
        <v>13</v>
      </c>
      <c r="L221" s="16" t="s">
        <v>272</v>
      </c>
      <c r="M221" s="16">
        <v>3</v>
      </c>
      <c r="N221" s="16" t="s">
        <v>277</v>
      </c>
      <c r="O221" s="16" t="s">
        <v>335</v>
      </c>
      <c r="P221" s="15" t="s">
        <v>283</v>
      </c>
      <c r="Q221" t="s">
        <v>281</v>
      </c>
      <c r="R221" t="s">
        <v>284</v>
      </c>
      <c r="S221" s="17" t="s">
        <v>371</v>
      </c>
      <c r="T221" s="16" t="s">
        <v>341</v>
      </c>
      <c r="U221" s="16" t="s">
        <v>340</v>
      </c>
      <c r="V221" s="15" t="s">
        <v>343</v>
      </c>
      <c r="W221" s="15" t="s">
        <v>344</v>
      </c>
      <c r="X221" s="17"/>
      <c r="Y221" t="s">
        <v>349</v>
      </c>
      <c r="Z221" t="s">
        <v>349</v>
      </c>
      <c r="AA221" t="s">
        <v>293</v>
      </c>
      <c r="AB221" t="s">
        <v>353</v>
      </c>
      <c r="AC221" t="s">
        <v>296</v>
      </c>
      <c r="AD221" t="s">
        <v>300</v>
      </c>
      <c r="AE221" t="s">
        <v>292</v>
      </c>
      <c r="AF221" t="s">
        <v>292</v>
      </c>
      <c r="AG221" t="s">
        <v>292</v>
      </c>
      <c r="AH221" t="s">
        <v>292</v>
      </c>
      <c r="AI221" t="s">
        <v>293</v>
      </c>
      <c r="AJ221" t="s">
        <v>302</v>
      </c>
      <c r="AK221" t="s">
        <v>302</v>
      </c>
      <c r="AL221" t="s">
        <v>359</v>
      </c>
      <c r="AM221" t="s">
        <v>293</v>
      </c>
      <c r="AN221" t="s">
        <v>293</v>
      </c>
      <c r="AO221" t="s">
        <v>297</v>
      </c>
      <c r="AP221" t="s">
        <v>356</v>
      </c>
      <c r="AQ221" t="s">
        <v>293</v>
      </c>
      <c r="AR221" t="s">
        <v>292</v>
      </c>
      <c r="AS221" t="s">
        <v>293</v>
      </c>
      <c r="AT221" t="s">
        <v>293</v>
      </c>
      <c r="AU221" t="s">
        <v>364</v>
      </c>
      <c r="AV221" t="str">
        <f t="shared" si="8"/>
        <v>no_fail</v>
      </c>
    </row>
    <row r="222" spans="1:48" x14ac:dyDescent="0.3">
      <c r="A222" t="s">
        <v>43</v>
      </c>
      <c r="B222" t="s">
        <v>49</v>
      </c>
      <c r="C222" t="s">
        <v>25</v>
      </c>
      <c r="D222" t="s">
        <v>29</v>
      </c>
      <c r="E222" t="str">
        <f t="shared" si="7"/>
        <v>P_L3X-ZSB-S_1J8</v>
      </c>
      <c r="F222" t="b">
        <v>1</v>
      </c>
      <c r="G222">
        <v>61.8</v>
      </c>
      <c r="H222">
        <v>0</v>
      </c>
      <c r="I222">
        <v>15800</v>
      </c>
      <c r="J222" s="49" t="s">
        <v>13</v>
      </c>
      <c r="L222" s="16" t="s">
        <v>272</v>
      </c>
      <c r="M222" s="16">
        <v>3</v>
      </c>
      <c r="N222" s="16" t="s">
        <v>277</v>
      </c>
      <c r="O222" s="16" t="s">
        <v>335</v>
      </c>
      <c r="P222" s="15" t="s">
        <v>283</v>
      </c>
      <c r="Q222" t="s">
        <v>281</v>
      </c>
      <c r="R222" t="s">
        <v>284</v>
      </c>
      <c r="S222" s="17" t="s">
        <v>371</v>
      </c>
      <c r="T222" s="16" t="s">
        <v>341</v>
      </c>
      <c r="U222" s="16" t="s">
        <v>340</v>
      </c>
      <c r="V222" s="15" t="s">
        <v>343</v>
      </c>
      <c r="W222" s="15" t="s">
        <v>344</v>
      </c>
      <c r="X222" s="17"/>
      <c r="Y222" t="s">
        <v>349</v>
      </c>
      <c r="Z222" t="s">
        <v>349</v>
      </c>
      <c r="AA222" t="s">
        <v>293</v>
      </c>
      <c r="AB222" t="s">
        <v>353</v>
      </c>
      <c r="AC222" t="s">
        <v>296</v>
      </c>
      <c r="AD222" t="s">
        <v>300</v>
      </c>
      <c r="AE222" t="s">
        <v>292</v>
      </c>
      <c r="AF222" t="s">
        <v>292</v>
      </c>
      <c r="AG222" t="s">
        <v>292</v>
      </c>
      <c r="AH222" t="s">
        <v>292</v>
      </c>
      <c r="AI222" t="s">
        <v>293</v>
      </c>
      <c r="AJ222" t="s">
        <v>302</v>
      </c>
      <c r="AK222" t="s">
        <v>302</v>
      </c>
      <c r="AL222" t="s">
        <v>359</v>
      </c>
      <c r="AM222" t="s">
        <v>293</v>
      </c>
      <c r="AN222" t="s">
        <v>293</v>
      </c>
      <c r="AO222" t="s">
        <v>297</v>
      </c>
      <c r="AP222" t="s">
        <v>356</v>
      </c>
      <c r="AQ222" t="s">
        <v>293</v>
      </c>
      <c r="AR222" t="s">
        <v>292</v>
      </c>
      <c r="AS222" t="s">
        <v>293</v>
      </c>
      <c r="AT222" t="s">
        <v>293</v>
      </c>
      <c r="AU222" t="s">
        <v>364</v>
      </c>
      <c r="AV222" t="str">
        <f t="shared" si="8"/>
        <v>no_fail</v>
      </c>
    </row>
    <row r="223" spans="1:48" x14ac:dyDescent="0.3">
      <c r="A223" t="s">
        <v>43</v>
      </c>
      <c r="B223" t="s">
        <v>49</v>
      </c>
      <c r="C223" t="s">
        <v>24</v>
      </c>
      <c r="D223" t="s">
        <v>29</v>
      </c>
      <c r="E223" t="str">
        <f t="shared" si="7"/>
        <v>P_L3X-ZSB-S_1U0</v>
      </c>
      <c r="F223" t="b">
        <v>1</v>
      </c>
      <c r="G223">
        <v>52.6</v>
      </c>
      <c r="H223">
        <v>0</v>
      </c>
      <c r="I223">
        <v>17523</v>
      </c>
      <c r="J223" s="49" t="s">
        <v>13</v>
      </c>
      <c r="L223" s="16" t="s">
        <v>272</v>
      </c>
      <c r="M223" s="16">
        <v>3</v>
      </c>
      <c r="N223" s="16" t="s">
        <v>277</v>
      </c>
      <c r="O223" s="16" t="s">
        <v>335</v>
      </c>
      <c r="P223" s="15" t="s">
        <v>283</v>
      </c>
      <c r="Q223" t="s">
        <v>281</v>
      </c>
      <c r="R223" t="s">
        <v>284</v>
      </c>
      <c r="S223" s="17" t="s">
        <v>371</v>
      </c>
      <c r="T223" s="16" t="s">
        <v>341</v>
      </c>
      <c r="U223" s="16" t="s">
        <v>340</v>
      </c>
      <c r="V223" s="15" t="s">
        <v>343</v>
      </c>
      <c r="W223" s="15" t="s">
        <v>344</v>
      </c>
      <c r="X223" s="17"/>
      <c r="Y223" t="s">
        <v>349</v>
      </c>
      <c r="Z223" t="s">
        <v>349</v>
      </c>
      <c r="AA223" t="s">
        <v>293</v>
      </c>
      <c r="AB223" t="s">
        <v>353</v>
      </c>
      <c r="AC223" t="s">
        <v>296</v>
      </c>
      <c r="AD223" t="s">
        <v>300</v>
      </c>
      <c r="AE223" t="s">
        <v>292</v>
      </c>
      <c r="AF223" t="s">
        <v>292</v>
      </c>
      <c r="AG223" t="s">
        <v>292</v>
      </c>
      <c r="AH223" t="s">
        <v>292</v>
      </c>
      <c r="AI223" t="s">
        <v>293</v>
      </c>
      <c r="AJ223" t="s">
        <v>302</v>
      </c>
      <c r="AK223" t="s">
        <v>302</v>
      </c>
      <c r="AL223" t="s">
        <v>359</v>
      </c>
      <c r="AM223" t="s">
        <v>293</v>
      </c>
      <c r="AN223" t="s">
        <v>293</v>
      </c>
      <c r="AO223" t="s">
        <v>297</v>
      </c>
      <c r="AP223" t="s">
        <v>356</v>
      </c>
      <c r="AQ223" t="s">
        <v>293</v>
      </c>
      <c r="AR223" t="s">
        <v>292</v>
      </c>
      <c r="AS223" t="s">
        <v>293</v>
      </c>
      <c r="AT223" t="s">
        <v>293</v>
      </c>
      <c r="AU223" t="s">
        <v>364</v>
      </c>
      <c r="AV223" t="str">
        <f t="shared" si="8"/>
        <v>no_fail</v>
      </c>
    </row>
    <row r="224" spans="1:48" x14ac:dyDescent="0.3">
      <c r="A224" t="s">
        <v>43</v>
      </c>
      <c r="B224" t="s">
        <v>49</v>
      </c>
      <c r="C224" t="s">
        <v>21</v>
      </c>
      <c r="D224" t="s">
        <v>29</v>
      </c>
      <c r="E224" t="str">
        <f t="shared" si="7"/>
        <v>P_L3X-ZSB-S_3X6</v>
      </c>
      <c r="F224" t="b">
        <v>1</v>
      </c>
      <c r="G224">
        <v>82.3</v>
      </c>
      <c r="H224">
        <v>0</v>
      </c>
      <c r="I224">
        <v>14547</v>
      </c>
      <c r="J224" s="49" t="s">
        <v>13</v>
      </c>
      <c r="L224" s="16" t="s">
        <v>272</v>
      </c>
      <c r="M224" s="16">
        <v>2</v>
      </c>
      <c r="N224" s="16" t="s">
        <v>277</v>
      </c>
      <c r="O224" s="16" t="s">
        <v>335</v>
      </c>
      <c r="P224" s="15" t="s">
        <v>283</v>
      </c>
      <c r="Q224" t="s">
        <v>281</v>
      </c>
      <c r="R224" t="s">
        <v>284</v>
      </c>
      <c r="S224" s="17" t="s">
        <v>371</v>
      </c>
      <c r="T224" s="16" t="s">
        <v>341</v>
      </c>
      <c r="U224" s="16" t="s">
        <v>340</v>
      </c>
      <c r="V224" s="15" t="s">
        <v>343</v>
      </c>
      <c r="W224" s="15" t="s">
        <v>344</v>
      </c>
      <c r="X224" s="17"/>
      <c r="Y224" t="s">
        <v>349</v>
      </c>
      <c r="Z224" t="s">
        <v>349</v>
      </c>
      <c r="AA224" t="s">
        <v>293</v>
      </c>
      <c r="AB224" t="s">
        <v>354</v>
      </c>
      <c r="AC224" t="s">
        <v>354</v>
      </c>
      <c r="AD224" t="s">
        <v>300</v>
      </c>
      <c r="AE224" t="s">
        <v>292</v>
      </c>
      <c r="AF224" t="s">
        <v>292</v>
      </c>
      <c r="AG224" t="s">
        <v>292</v>
      </c>
      <c r="AH224" t="s">
        <v>292</v>
      </c>
      <c r="AI224" t="s">
        <v>293</v>
      </c>
      <c r="AJ224" t="s">
        <v>302</v>
      </c>
      <c r="AK224" t="s">
        <v>302</v>
      </c>
      <c r="AL224" t="s">
        <v>357</v>
      </c>
      <c r="AM224" t="s">
        <v>293</v>
      </c>
      <c r="AN224" t="s">
        <v>293</v>
      </c>
      <c r="AO224" t="s">
        <v>297</v>
      </c>
      <c r="AP224" t="s">
        <v>356</v>
      </c>
      <c r="AQ224" t="s">
        <v>293</v>
      </c>
      <c r="AR224" t="s">
        <v>292</v>
      </c>
      <c r="AS224" t="s">
        <v>293</v>
      </c>
      <c r="AT224" t="s">
        <v>293</v>
      </c>
      <c r="AU224" t="s">
        <v>364</v>
      </c>
      <c r="AV224" t="str">
        <f t="shared" si="8"/>
        <v>no_fail</v>
      </c>
    </row>
    <row r="225" spans="1:48" x14ac:dyDescent="0.3">
      <c r="A225" t="s">
        <v>43</v>
      </c>
      <c r="B225" t="s">
        <v>49</v>
      </c>
      <c r="C225" t="s">
        <v>26</v>
      </c>
      <c r="D225" t="s">
        <v>29</v>
      </c>
      <c r="E225" t="str">
        <f t="shared" si="7"/>
        <v>P_L3X-ZSB-S_8O8</v>
      </c>
      <c r="F225" t="b">
        <v>1</v>
      </c>
      <c r="G225">
        <v>100</v>
      </c>
      <c r="H225">
        <v>1</v>
      </c>
      <c r="I225">
        <v>15498</v>
      </c>
      <c r="J225" s="49" t="s">
        <v>18</v>
      </c>
      <c r="L225" s="16" t="s">
        <v>272</v>
      </c>
      <c r="M225" s="16">
        <v>3</v>
      </c>
      <c r="N225" s="16" t="s">
        <v>277</v>
      </c>
      <c r="O225" s="16" t="s">
        <v>335</v>
      </c>
      <c r="P225" s="15" t="s">
        <v>283</v>
      </c>
      <c r="Q225" t="s">
        <v>281</v>
      </c>
      <c r="R225" t="s">
        <v>284</v>
      </c>
      <c r="S225" s="17" t="s">
        <v>371</v>
      </c>
      <c r="T225" s="16" t="s">
        <v>341</v>
      </c>
      <c r="U225" s="16" t="s">
        <v>340</v>
      </c>
      <c r="V225" s="15" t="s">
        <v>343</v>
      </c>
      <c r="W225" s="15" t="s">
        <v>344</v>
      </c>
      <c r="X225" s="17"/>
      <c r="Y225" t="s">
        <v>349</v>
      </c>
      <c r="Z225" t="s">
        <v>349</v>
      </c>
      <c r="AA225" t="s">
        <v>293</v>
      </c>
      <c r="AB225" t="s">
        <v>353</v>
      </c>
      <c r="AC225" t="s">
        <v>296</v>
      </c>
      <c r="AD225" t="s">
        <v>300</v>
      </c>
      <c r="AE225" t="s">
        <v>292</v>
      </c>
      <c r="AF225" t="s">
        <v>292</v>
      </c>
      <c r="AG225" t="s">
        <v>292</v>
      </c>
      <c r="AH225" t="s">
        <v>292</v>
      </c>
      <c r="AI225" t="s">
        <v>293</v>
      </c>
      <c r="AJ225" t="s">
        <v>359</v>
      </c>
      <c r="AK225" t="s">
        <v>302</v>
      </c>
      <c r="AL225" t="s">
        <v>359</v>
      </c>
      <c r="AM225" t="s">
        <v>293</v>
      </c>
      <c r="AN225" t="s">
        <v>293</v>
      </c>
      <c r="AO225" t="s">
        <v>297</v>
      </c>
      <c r="AP225" t="s">
        <v>356</v>
      </c>
      <c r="AQ225" t="s">
        <v>293</v>
      </c>
      <c r="AR225" t="s">
        <v>292</v>
      </c>
      <c r="AS225" t="s">
        <v>293</v>
      </c>
      <c r="AT225" t="s">
        <v>293</v>
      </c>
      <c r="AU225" t="s">
        <v>364</v>
      </c>
      <c r="AV225" t="str">
        <f t="shared" si="8"/>
        <v>break</v>
      </c>
    </row>
    <row r="226" spans="1:48" x14ac:dyDescent="0.3">
      <c r="A226" t="s">
        <v>43</v>
      </c>
      <c r="B226" t="s">
        <v>49</v>
      </c>
      <c r="C226" t="s">
        <v>22</v>
      </c>
      <c r="D226" t="s">
        <v>29</v>
      </c>
      <c r="E226" t="str">
        <f t="shared" si="7"/>
        <v>P_L3X-ZSB-S_9B4</v>
      </c>
      <c r="F226" t="b">
        <v>1</v>
      </c>
      <c r="G226">
        <v>48.9</v>
      </c>
      <c r="H226">
        <v>0</v>
      </c>
      <c r="I226">
        <v>19244</v>
      </c>
      <c r="J226" s="49" t="s">
        <v>13</v>
      </c>
      <c r="L226" s="16" t="s">
        <v>272</v>
      </c>
      <c r="M226" s="16">
        <v>3</v>
      </c>
      <c r="N226" s="16" t="s">
        <v>277</v>
      </c>
      <c r="O226" s="16" t="s">
        <v>335</v>
      </c>
      <c r="P226" s="15" t="s">
        <v>283</v>
      </c>
      <c r="Q226" t="s">
        <v>281</v>
      </c>
      <c r="R226" t="s">
        <v>284</v>
      </c>
      <c r="S226" s="17" t="s">
        <v>371</v>
      </c>
      <c r="T226" s="16" t="s">
        <v>341</v>
      </c>
      <c r="U226" s="16" t="s">
        <v>340</v>
      </c>
      <c r="V226" s="15" t="s">
        <v>343</v>
      </c>
      <c r="W226" s="15" t="s">
        <v>344</v>
      </c>
      <c r="X226" s="17"/>
      <c r="Y226" t="s">
        <v>349</v>
      </c>
      <c r="Z226" t="s">
        <v>349</v>
      </c>
      <c r="AA226" t="s">
        <v>293</v>
      </c>
      <c r="AB226" t="s">
        <v>353</v>
      </c>
      <c r="AC226" t="s">
        <v>296</v>
      </c>
      <c r="AD226" t="s">
        <v>300</v>
      </c>
      <c r="AE226" t="s">
        <v>292</v>
      </c>
      <c r="AF226" t="s">
        <v>292</v>
      </c>
      <c r="AG226" t="s">
        <v>292</v>
      </c>
      <c r="AH226" t="s">
        <v>292</v>
      </c>
      <c r="AI226" t="s">
        <v>293</v>
      </c>
      <c r="AJ226" t="s">
        <v>302</v>
      </c>
      <c r="AK226" t="s">
        <v>302</v>
      </c>
      <c r="AL226" t="s">
        <v>359</v>
      </c>
      <c r="AM226" t="s">
        <v>293</v>
      </c>
      <c r="AN226" t="s">
        <v>293</v>
      </c>
      <c r="AO226" t="s">
        <v>297</v>
      </c>
      <c r="AP226" t="s">
        <v>356</v>
      </c>
      <c r="AQ226" t="s">
        <v>293</v>
      </c>
      <c r="AR226" t="s">
        <v>292</v>
      </c>
      <c r="AS226" t="s">
        <v>293</v>
      </c>
      <c r="AT226" t="s">
        <v>293</v>
      </c>
      <c r="AU226" t="s">
        <v>364</v>
      </c>
      <c r="AV226" t="str">
        <f t="shared" si="8"/>
        <v>no_fail</v>
      </c>
    </row>
    <row r="227" spans="1:48" x14ac:dyDescent="0.3">
      <c r="A227" t="s">
        <v>43</v>
      </c>
      <c r="B227" t="s">
        <v>49</v>
      </c>
      <c r="C227" t="s">
        <v>27</v>
      </c>
      <c r="D227" t="s">
        <v>29</v>
      </c>
      <c r="E227" t="str">
        <f t="shared" si="7"/>
        <v>P_L3X-ZSB-S_9F6</v>
      </c>
      <c r="F227" t="b">
        <v>1</v>
      </c>
      <c r="G227">
        <v>100</v>
      </c>
      <c r="H227">
        <v>1</v>
      </c>
      <c r="I227">
        <v>13569</v>
      </c>
      <c r="J227" s="49" t="s">
        <v>18</v>
      </c>
      <c r="L227" s="16" t="s">
        <v>272</v>
      </c>
      <c r="M227" s="16">
        <v>2</v>
      </c>
      <c r="N227" s="16" t="s">
        <v>277</v>
      </c>
      <c r="O227" s="16" t="s">
        <v>335</v>
      </c>
      <c r="P227" s="15" t="s">
        <v>283</v>
      </c>
      <c r="Q227" t="s">
        <v>281</v>
      </c>
      <c r="R227" t="s">
        <v>284</v>
      </c>
      <c r="S227" s="17" t="s">
        <v>371</v>
      </c>
      <c r="T227" s="16" t="s">
        <v>341</v>
      </c>
      <c r="U227" s="16" t="s">
        <v>340</v>
      </c>
      <c r="V227" s="15" t="s">
        <v>340</v>
      </c>
      <c r="W227" s="15" t="s">
        <v>344</v>
      </c>
      <c r="X227" s="17"/>
      <c r="Y227" t="s">
        <v>349</v>
      </c>
      <c r="Z227" t="s">
        <v>349</v>
      </c>
      <c r="AA227" t="s">
        <v>293</v>
      </c>
      <c r="AB227" t="s">
        <v>354</v>
      </c>
      <c r="AC227" t="s">
        <v>354</v>
      </c>
      <c r="AD227" t="s">
        <v>300</v>
      </c>
      <c r="AE227" t="s">
        <v>292</v>
      </c>
      <c r="AF227" t="s">
        <v>292</v>
      </c>
      <c r="AG227" t="s">
        <v>292</v>
      </c>
      <c r="AH227" t="s">
        <v>292</v>
      </c>
      <c r="AI227" t="s">
        <v>293</v>
      </c>
      <c r="AJ227" t="s">
        <v>358</v>
      </c>
      <c r="AK227" t="s">
        <v>302</v>
      </c>
      <c r="AL227" t="s">
        <v>357</v>
      </c>
      <c r="AM227" t="s">
        <v>293</v>
      </c>
      <c r="AN227" t="s">
        <v>293</v>
      </c>
      <c r="AO227" t="s">
        <v>297</v>
      </c>
      <c r="AP227" t="s">
        <v>356</v>
      </c>
      <c r="AQ227" t="s">
        <v>293</v>
      </c>
      <c r="AR227" t="s">
        <v>292</v>
      </c>
      <c r="AS227" t="s">
        <v>293</v>
      </c>
      <c r="AT227" t="s">
        <v>293</v>
      </c>
      <c r="AU227" t="s">
        <v>364</v>
      </c>
      <c r="AV227" t="str">
        <f t="shared" si="8"/>
        <v>break</v>
      </c>
    </row>
    <row r="228" spans="1:48" x14ac:dyDescent="0.3">
      <c r="A228" t="s">
        <v>43</v>
      </c>
      <c r="B228" t="s">
        <v>49</v>
      </c>
      <c r="C228" t="s">
        <v>28</v>
      </c>
      <c r="D228" t="s">
        <v>29</v>
      </c>
      <c r="E228" t="str">
        <f t="shared" si="7"/>
        <v>P_L3X-ZSB-S_9T2</v>
      </c>
      <c r="F228" t="b">
        <v>1</v>
      </c>
      <c r="G228">
        <v>85.1</v>
      </c>
      <c r="H228">
        <v>0</v>
      </c>
      <c r="I228">
        <v>14602</v>
      </c>
      <c r="J228" s="49" t="s">
        <v>13</v>
      </c>
      <c r="L228" s="16" t="s">
        <v>272</v>
      </c>
      <c r="M228" s="16">
        <v>2</v>
      </c>
      <c r="N228" s="16" t="s">
        <v>277</v>
      </c>
      <c r="O228" s="16" t="s">
        <v>335</v>
      </c>
      <c r="P228" s="15" t="s">
        <v>283</v>
      </c>
      <c r="Q228" t="s">
        <v>281</v>
      </c>
      <c r="R228" t="s">
        <v>284</v>
      </c>
      <c r="S228" s="17" t="s">
        <v>371</v>
      </c>
      <c r="T228" s="16" t="s">
        <v>341</v>
      </c>
      <c r="U228" s="16" t="s">
        <v>340</v>
      </c>
      <c r="V228" s="15" t="s">
        <v>340</v>
      </c>
      <c r="W228" s="15" t="s">
        <v>344</v>
      </c>
      <c r="X228" s="17"/>
      <c r="Y228" t="s">
        <v>349</v>
      </c>
      <c r="Z228" t="s">
        <v>349</v>
      </c>
      <c r="AA228" t="s">
        <v>293</v>
      </c>
      <c r="AB228" t="s">
        <v>354</v>
      </c>
      <c r="AC228" t="s">
        <v>354</v>
      </c>
      <c r="AD228" t="s">
        <v>300</v>
      </c>
      <c r="AE228" t="s">
        <v>292</v>
      </c>
      <c r="AF228" t="s">
        <v>292</v>
      </c>
      <c r="AG228" t="s">
        <v>292</v>
      </c>
      <c r="AH228" t="s">
        <v>292</v>
      </c>
      <c r="AI228" t="s">
        <v>293</v>
      </c>
      <c r="AJ228" t="s">
        <v>302</v>
      </c>
      <c r="AK228" t="s">
        <v>302</v>
      </c>
      <c r="AL228" t="s">
        <v>357</v>
      </c>
      <c r="AM228" t="s">
        <v>293</v>
      </c>
      <c r="AN228" t="s">
        <v>293</v>
      </c>
      <c r="AO228" t="s">
        <v>297</v>
      </c>
      <c r="AP228" t="s">
        <v>356</v>
      </c>
      <c r="AQ228" t="s">
        <v>293</v>
      </c>
      <c r="AR228" t="s">
        <v>292</v>
      </c>
      <c r="AS228" t="s">
        <v>293</v>
      </c>
      <c r="AT228" t="s">
        <v>293</v>
      </c>
      <c r="AU228" t="s">
        <v>364</v>
      </c>
      <c r="AV228" t="str">
        <f t="shared" si="8"/>
        <v>no_fail</v>
      </c>
    </row>
    <row r="229" spans="1:48" x14ac:dyDescent="0.3">
      <c r="A229" t="s">
        <v>43</v>
      </c>
      <c r="B229" t="s">
        <v>62</v>
      </c>
      <c r="C229" t="s">
        <v>15</v>
      </c>
      <c r="D229" t="s">
        <v>12</v>
      </c>
      <c r="E229" t="str">
        <f t="shared" si="7"/>
        <v>P_L4V-KYY-S_0M4</v>
      </c>
      <c r="F229" t="b">
        <v>1</v>
      </c>
      <c r="G229">
        <v>49.9</v>
      </c>
      <c r="H229">
        <v>0</v>
      </c>
      <c r="I229">
        <v>11608</v>
      </c>
      <c r="J229" s="49" t="s">
        <v>13</v>
      </c>
      <c r="L229" s="16" t="s">
        <v>272</v>
      </c>
      <c r="M229" s="16">
        <v>3</v>
      </c>
      <c r="N229" s="16" t="s">
        <v>277</v>
      </c>
      <c r="O229" s="16" t="s">
        <v>335</v>
      </c>
      <c r="P229" s="15" t="s">
        <v>282</v>
      </c>
      <c r="Q229" t="s">
        <v>371</v>
      </c>
      <c r="R229" t="s">
        <v>371</v>
      </c>
      <c r="S229" s="17" t="s">
        <v>371</v>
      </c>
      <c r="T229" s="16" t="s">
        <v>341</v>
      </c>
      <c r="U229" s="16" t="s">
        <v>342</v>
      </c>
      <c r="V229" s="15" t="s">
        <v>343</v>
      </c>
      <c r="W229" s="15" t="s">
        <v>344</v>
      </c>
      <c r="X229" s="17"/>
      <c r="Y229" t="s">
        <v>349</v>
      </c>
      <c r="Z229" t="s">
        <v>349</v>
      </c>
      <c r="AA229" t="s">
        <v>293</v>
      </c>
      <c r="AB229" t="s">
        <v>353</v>
      </c>
      <c r="AC229" t="s">
        <v>297</v>
      </c>
      <c r="AD229" t="s">
        <v>301</v>
      </c>
      <c r="AE229" t="s">
        <v>292</v>
      </c>
      <c r="AF229" t="s">
        <v>293</v>
      </c>
      <c r="AG229" t="s">
        <v>292</v>
      </c>
      <c r="AH229" t="s">
        <v>293</v>
      </c>
      <c r="AI229" t="s">
        <v>293</v>
      </c>
      <c r="AJ229" t="s">
        <v>302</v>
      </c>
      <c r="AK229" t="s">
        <v>302</v>
      </c>
      <c r="AL229" t="s">
        <v>359</v>
      </c>
      <c r="AM229" t="s">
        <v>293</v>
      </c>
      <c r="AN229" t="s">
        <v>293</v>
      </c>
      <c r="AO229" t="s">
        <v>297</v>
      </c>
      <c r="AP229" t="s">
        <v>298</v>
      </c>
      <c r="AQ229" t="s">
        <v>293</v>
      </c>
      <c r="AR229" t="s">
        <v>292</v>
      </c>
      <c r="AS229" t="s">
        <v>293</v>
      </c>
      <c r="AT229" t="s">
        <v>293</v>
      </c>
      <c r="AU229" t="s">
        <v>364</v>
      </c>
      <c r="AV229" t="str">
        <f t="shared" si="8"/>
        <v>no_fail</v>
      </c>
    </row>
    <row r="230" spans="1:48" x14ac:dyDescent="0.3">
      <c r="A230" t="s">
        <v>43</v>
      </c>
      <c r="B230" t="s">
        <v>62</v>
      </c>
      <c r="C230" t="s">
        <v>23</v>
      </c>
      <c r="D230" t="s">
        <v>12</v>
      </c>
      <c r="E230" t="str">
        <f t="shared" si="7"/>
        <v>P_L4V-KYY-S_0T2</v>
      </c>
      <c r="F230" t="b">
        <v>1</v>
      </c>
      <c r="G230">
        <v>72.8</v>
      </c>
      <c r="H230">
        <v>0</v>
      </c>
      <c r="I230">
        <v>10898</v>
      </c>
      <c r="J230" s="49" t="s">
        <v>13</v>
      </c>
      <c r="L230" s="16" t="s">
        <v>272</v>
      </c>
      <c r="M230" s="16">
        <v>3</v>
      </c>
      <c r="N230" s="16" t="s">
        <v>277</v>
      </c>
      <c r="O230" s="16" t="s">
        <v>335</v>
      </c>
      <c r="P230" s="15" t="s">
        <v>283</v>
      </c>
      <c r="Q230" t="s">
        <v>284</v>
      </c>
      <c r="R230" t="s">
        <v>371</v>
      </c>
      <c r="S230" s="17" t="s">
        <v>371</v>
      </c>
      <c r="T230" s="16" t="s">
        <v>341</v>
      </c>
      <c r="U230" s="16" t="s">
        <v>340</v>
      </c>
      <c r="V230" s="15" t="s">
        <v>343</v>
      </c>
      <c r="W230" s="15" t="s">
        <v>344</v>
      </c>
      <c r="X230" s="17"/>
      <c r="Y230" t="s">
        <v>349</v>
      </c>
      <c r="Z230" t="s">
        <v>349</v>
      </c>
      <c r="AA230" t="s">
        <v>293</v>
      </c>
      <c r="AB230" t="s">
        <v>352</v>
      </c>
      <c r="AC230" t="s">
        <v>297</v>
      </c>
      <c r="AD230" t="s">
        <v>301</v>
      </c>
      <c r="AE230" t="s">
        <v>292</v>
      </c>
      <c r="AF230" t="s">
        <v>293</v>
      </c>
      <c r="AG230" t="s">
        <v>292</v>
      </c>
      <c r="AH230" t="s">
        <v>293</v>
      </c>
      <c r="AI230" t="s">
        <v>293</v>
      </c>
      <c r="AJ230" t="s">
        <v>302</v>
      </c>
      <c r="AK230" t="s">
        <v>302</v>
      </c>
      <c r="AL230" t="s">
        <v>359</v>
      </c>
      <c r="AM230" t="s">
        <v>293</v>
      </c>
      <c r="AN230" t="s">
        <v>293</v>
      </c>
      <c r="AO230" t="s">
        <v>297</v>
      </c>
      <c r="AP230" t="s">
        <v>298</v>
      </c>
      <c r="AQ230" t="s">
        <v>293</v>
      </c>
      <c r="AR230" t="s">
        <v>292</v>
      </c>
      <c r="AS230" t="s">
        <v>293</v>
      </c>
      <c r="AT230" t="s">
        <v>293</v>
      </c>
      <c r="AU230" t="s">
        <v>364</v>
      </c>
      <c r="AV230" t="str">
        <f t="shared" si="8"/>
        <v>no_fail</v>
      </c>
    </row>
    <row r="231" spans="1:48" x14ac:dyDescent="0.3">
      <c r="A231" t="s">
        <v>43</v>
      </c>
      <c r="B231" t="s">
        <v>62</v>
      </c>
      <c r="C231" t="s">
        <v>14</v>
      </c>
      <c r="D231" t="s">
        <v>12</v>
      </c>
      <c r="E231" t="str">
        <f t="shared" si="7"/>
        <v>P_L4V-KYY-S_1B0</v>
      </c>
      <c r="F231" t="b">
        <v>1</v>
      </c>
      <c r="G231">
        <v>100</v>
      </c>
      <c r="H231">
        <v>1</v>
      </c>
      <c r="I231">
        <v>11266</v>
      </c>
      <c r="J231" s="49" t="s">
        <v>18</v>
      </c>
      <c r="L231" s="16" t="s">
        <v>272</v>
      </c>
      <c r="M231" s="16">
        <v>3</v>
      </c>
      <c r="N231" s="16" t="s">
        <v>277</v>
      </c>
      <c r="O231" s="16" t="s">
        <v>335</v>
      </c>
      <c r="P231" s="15" t="s">
        <v>282</v>
      </c>
      <c r="Q231" t="s">
        <v>371</v>
      </c>
      <c r="R231" t="s">
        <v>371</v>
      </c>
      <c r="S231" s="17" t="s">
        <v>371</v>
      </c>
      <c r="T231" s="16" t="s">
        <v>341</v>
      </c>
      <c r="U231" s="16" t="s">
        <v>342</v>
      </c>
      <c r="V231" s="15" t="s">
        <v>343</v>
      </c>
      <c r="W231" s="15" t="s">
        <v>344</v>
      </c>
      <c r="X231" s="17"/>
      <c r="Y231" t="s">
        <v>349</v>
      </c>
      <c r="Z231" t="s">
        <v>349</v>
      </c>
      <c r="AA231" t="s">
        <v>293</v>
      </c>
      <c r="AB231" t="s">
        <v>353</v>
      </c>
      <c r="AC231" t="s">
        <v>297</v>
      </c>
      <c r="AD231" t="s">
        <v>301</v>
      </c>
      <c r="AE231" t="s">
        <v>292</v>
      </c>
      <c r="AF231" t="s">
        <v>293</v>
      </c>
      <c r="AG231" t="s">
        <v>292</v>
      </c>
      <c r="AH231" t="s">
        <v>293</v>
      </c>
      <c r="AI231" t="s">
        <v>293</v>
      </c>
      <c r="AJ231" t="s">
        <v>302</v>
      </c>
      <c r="AK231" t="s">
        <v>302</v>
      </c>
      <c r="AL231" t="s">
        <v>359</v>
      </c>
      <c r="AM231" t="s">
        <v>293</v>
      </c>
      <c r="AN231" t="s">
        <v>293</v>
      </c>
      <c r="AO231" t="s">
        <v>297</v>
      </c>
      <c r="AP231" t="s">
        <v>298</v>
      </c>
      <c r="AQ231" t="s">
        <v>293</v>
      </c>
      <c r="AR231" t="s">
        <v>292</v>
      </c>
      <c r="AS231" t="s">
        <v>293</v>
      </c>
      <c r="AT231" t="s">
        <v>293</v>
      </c>
      <c r="AU231" t="s">
        <v>364</v>
      </c>
      <c r="AV231" t="str">
        <f t="shared" si="8"/>
        <v>break</v>
      </c>
    </row>
    <row r="232" spans="1:48" x14ac:dyDescent="0.3">
      <c r="A232" t="s">
        <v>43</v>
      </c>
      <c r="B232" t="s">
        <v>62</v>
      </c>
      <c r="C232" t="s">
        <v>25</v>
      </c>
      <c r="D232" t="s">
        <v>12</v>
      </c>
      <c r="E232" t="str">
        <f t="shared" si="7"/>
        <v>P_L4V-KYY-S_1J8</v>
      </c>
      <c r="F232" t="b">
        <v>1</v>
      </c>
      <c r="G232">
        <v>100</v>
      </c>
      <c r="H232">
        <v>1</v>
      </c>
      <c r="I232">
        <v>9089</v>
      </c>
      <c r="J232" s="49" t="s">
        <v>18</v>
      </c>
      <c r="L232" s="16" t="s">
        <v>272</v>
      </c>
      <c r="M232" s="16">
        <v>3</v>
      </c>
      <c r="N232" s="16" t="s">
        <v>277</v>
      </c>
      <c r="O232" s="16" t="s">
        <v>335</v>
      </c>
      <c r="P232" s="15" t="s">
        <v>283</v>
      </c>
      <c r="Q232" t="s">
        <v>284</v>
      </c>
      <c r="R232" t="s">
        <v>371</v>
      </c>
      <c r="S232" s="17" t="s">
        <v>371</v>
      </c>
      <c r="T232" s="16" t="s">
        <v>341</v>
      </c>
      <c r="U232" s="16" t="s">
        <v>340</v>
      </c>
      <c r="V232" s="15" t="s">
        <v>343</v>
      </c>
      <c r="W232" s="15" t="s">
        <v>344</v>
      </c>
      <c r="X232" s="17"/>
      <c r="Y232" t="s">
        <v>349</v>
      </c>
      <c r="Z232" t="s">
        <v>349</v>
      </c>
      <c r="AA232" t="s">
        <v>293</v>
      </c>
      <c r="AB232" t="s">
        <v>352</v>
      </c>
      <c r="AC232" t="s">
        <v>297</v>
      </c>
      <c r="AD232" t="s">
        <v>300</v>
      </c>
      <c r="AE232" t="s">
        <v>292</v>
      </c>
      <c r="AF232" t="s">
        <v>293</v>
      </c>
      <c r="AG232" t="s">
        <v>292</v>
      </c>
      <c r="AH232" t="s">
        <v>293</v>
      </c>
      <c r="AI232" t="s">
        <v>293</v>
      </c>
      <c r="AJ232" t="s">
        <v>302</v>
      </c>
      <c r="AK232" t="s">
        <v>302</v>
      </c>
      <c r="AL232" t="s">
        <v>359</v>
      </c>
      <c r="AM232" t="s">
        <v>293</v>
      </c>
      <c r="AN232" t="s">
        <v>293</v>
      </c>
      <c r="AO232" t="s">
        <v>297</v>
      </c>
      <c r="AP232" t="s">
        <v>298</v>
      </c>
      <c r="AQ232" t="s">
        <v>293</v>
      </c>
      <c r="AR232" t="s">
        <v>292</v>
      </c>
      <c r="AS232" t="s">
        <v>293</v>
      </c>
      <c r="AT232" t="s">
        <v>293</v>
      </c>
      <c r="AU232" t="s">
        <v>364</v>
      </c>
      <c r="AV232" t="str">
        <f t="shared" si="8"/>
        <v>break</v>
      </c>
    </row>
    <row r="233" spans="1:48" x14ac:dyDescent="0.3">
      <c r="A233" t="s">
        <v>43</v>
      </c>
      <c r="B233" t="s">
        <v>62</v>
      </c>
      <c r="C233" t="s">
        <v>11</v>
      </c>
      <c r="D233" t="s">
        <v>12</v>
      </c>
      <c r="E233" t="str">
        <f t="shared" si="7"/>
        <v>P_L4V-KYY-S_1Q4</v>
      </c>
      <c r="F233" t="b">
        <v>1</v>
      </c>
      <c r="G233">
        <v>100</v>
      </c>
      <c r="H233">
        <v>1</v>
      </c>
      <c r="I233">
        <v>10163</v>
      </c>
      <c r="J233" s="49" t="s">
        <v>18</v>
      </c>
      <c r="L233" s="16" t="s">
        <v>272</v>
      </c>
      <c r="M233" s="16">
        <v>2</v>
      </c>
      <c r="N233" s="16" t="s">
        <v>277</v>
      </c>
      <c r="O233" s="16" t="s">
        <v>335</v>
      </c>
      <c r="P233" s="15" t="s">
        <v>282</v>
      </c>
      <c r="Q233" t="s">
        <v>371</v>
      </c>
      <c r="R233" t="s">
        <v>371</v>
      </c>
      <c r="S233" s="17" t="s">
        <v>371</v>
      </c>
      <c r="T233" s="16" t="s">
        <v>341</v>
      </c>
      <c r="U233" s="16" t="s">
        <v>340</v>
      </c>
      <c r="V233" s="15" t="s">
        <v>340</v>
      </c>
      <c r="W233" s="15" t="s">
        <v>344</v>
      </c>
      <c r="X233" s="17"/>
      <c r="Y233" t="s">
        <v>349</v>
      </c>
      <c r="Z233" t="s">
        <v>349</v>
      </c>
      <c r="AA233" t="s">
        <v>293</v>
      </c>
      <c r="AB233" t="s">
        <v>354</v>
      </c>
      <c r="AC233" t="s">
        <v>354</v>
      </c>
      <c r="AD233" t="s">
        <v>301</v>
      </c>
      <c r="AE233" t="s">
        <v>292</v>
      </c>
      <c r="AF233" t="s">
        <v>293</v>
      </c>
      <c r="AG233" t="s">
        <v>292</v>
      </c>
      <c r="AH233" t="s">
        <v>293</v>
      </c>
      <c r="AI233" t="s">
        <v>293</v>
      </c>
      <c r="AJ233" t="s">
        <v>302</v>
      </c>
      <c r="AK233" t="s">
        <v>302</v>
      </c>
      <c r="AL233" t="s">
        <v>357</v>
      </c>
      <c r="AM233" t="s">
        <v>293</v>
      </c>
      <c r="AN233" t="s">
        <v>293</v>
      </c>
      <c r="AO233" t="s">
        <v>297</v>
      </c>
      <c r="AP233" t="s">
        <v>298</v>
      </c>
      <c r="AQ233" t="s">
        <v>293</v>
      </c>
      <c r="AR233" t="s">
        <v>292</v>
      </c>
      <c r="AS233" t="s">
        <v>293</v>
      </c>
      <c r="AT233" t="s">
        <v>293</v>
      </c>
      <c r="AU233" t="s">
        <v>364</v>
      </c>
      <c r="AV233" t="str">
        <f t="shared" si="8"/>
        <v>break</v>
      </c>
    </row>
    <row r="234" spans="1:48" x14ac:dyDescent="0.3">
      <c r="A234" t="s">
        <v>43</v>
      </c>
      <c r="B234" t="s">
        <v>62</v>
      </c>
      <c r="C234" t="s">
        <v>24</v>
      </c>
      <c r="D234" t="s">
        <v>12</v>
      </c>
      <c r="E234" t="str">
        <f t="shared" si="7"/>
        <v>P_L4V-KYY-S_1U0</v>
      </c>
      <c r="F234" t="b">
        <v>1</v>
      </c>
      <c r="G234">
        <v>100</v>
      </c>
      <c r="H234">
        <v>1</v>
      </c>
      <c r="I234">
        <v>9273</v>
      </c>
      <c r="J234" s="49" t="s">
        <v>18</v>
      </c>
      <c r="L234" s="16" t="s">
        <v>272</v>
      </c>
      <c r="M234" s="16">
        <v>3</v>
      </c>
      <c r="N234" s="16" t="s">
        <v>277</v>
      </c>
      <c r="O234" s="16" t="s">
        <v>335</v>
      </c>
      <c r="P234" s="15" t="s">
        <v>283</v>
      </c>
      <c r="Q234" t="s">
        <v>284</v>
      </c>
      <c r="R234" t="s">
        <v>371</v>
      </c>
      <c r="S234" s="17" t="s">
        <v>371</v>
      </c>
      <c r="T234" s="16" t="s">
        <v>341</v>
      </c>
      <c r="U234" s="16" t="s">
        <v>340</v>
      </c>
      <c r="V234" s="15" t="s">
        <v>343</v>
      </c>
      <c r="W234" s="15" t="s">
        <v>344</v>
      </c>
      <c r="X234" s="17" t="s">
        <v>345</v>
      </c>
      <c r="Y234" t="s">
        <v>349</v>
      </c>
      <c r="Z234" t="s">
        <v>349</v>
      </c>
      <c r="AA234" t="s">
        <v>293</v>
      </c>
      <c r="AB234" t="s">
        <v>352</v>
      </c>
      <c r="AC234" t="s">
        <v>297</v>
      </c>
      <c r="AD234" t="s">
        <v>300</v>
      </c>
      <c r="AE234" t="s">
        <v>292</v>
      </c>
      <c r="AF234" t="s">
        <v>293</v>
      </c>
      <c r="AG234" t="s">
        <v>292</v>
      </c>
      <c r="AH234" t="s">
        <v>293</v>
      </c>
      <c r="AI234" t="s">
        <v>293</v>
      </c>
      <c r="AJ234" t="s">
        <v>302</v>
      </c>
      <c r="AK234" t="s">
        <v>302</v>
      </c>
      <c r="AL234" t="s">
        <v>359</v>
      </c>
      <c r="AM234" t="s">
        <v>293</v>
      </c>
      <c r="AN234" t="s">
        <v>293</v>
      </c>
      <c r="AO234" t="s">
        <v>297</v>
      </c>
      <c r="AP234" t="s">
        <v>298</v>
      </c>
      <c r="AQ234" t="s">
        <v>293</v>
      </c>
      <c r="AR234" t="s">
        <v>292</v>
      </c>
      <c r="AS234" t="s">
        <v>293</v>
      </c>
      <c r="AT234" t="s">
        <v>293</v>
      </c>
      <c r="AU234" t="s">
        <v>364</v>
      </c>
      <c r="AV234" t="str">
        <f t="shared" si="8"/>
        <v>break</v>
      </c>
    </row>
    <row r="235" spans="1:48" x14ac:dyDescent="0.3">
      <c r="A235" t="s">
        <v>43</v>
      </c>
      <c r="B235" t="s">
        <v>62</v>
      </c>
      <c r="C235" t="s">
        <v>21</v>
      </c>
      <c r="D235" t="s">
        <v>12</v>
      </c>
      <c r="E235" t="str">
        <f t="shared" si="7"/>
        <v>P_L4V-KYY-S_3X6</v>
      </c>
      <c r="F235" t="b">
        <v>1</v>
      </c>
      <c r="G235">
        <v>95</v>
      </c>
      <c r="H235">
        <v>0</v>
      </c>
      <c r="I235">
        <v>8461</v>
      </c>
      <c r="J235" s="49" t="s">
        <v>13</v>
      </c>
      <c r="L235" s="16" t="s">
        <v>272</v>
      </c>
      <c r="M235" s="16">
        <v>3</v>
      </c>
      <c r="N235" s="16" t="s">
        <v>277</v>
      </c>
      <c r="O235" s="16" t="s">
        <v>335</v>
      </c>
      <c r="P235" s="15" t="s">
        <v>282</v>
      </c>
      <c r="Q235" t="s">
        <v>371</v>
      </c>
      <c r="R235" t="s">
        <v>371</v>
      </c>
      <c r="S235" s="17" t="s">
        <v>371</v>
      </c>
      <c r="T235" s="16" t="s">
        <v>341</v>
      </c>
      <c r="U235" s="16" t="s">
        <v>342</v>
      </c>
      <c r="V235" s="15" t="s">
        <v>343</v>
      </c>
      <c r="W235" s="15" t="s">
        <v>344</v>
      </c>
      <c r="X235" s="17"/>
      <c r="Y235" t="s">
        <v>349</v>
      </c>
      <c r="Z235" t="s">
        <v>349</v>
      </c>
      <c r="AA235" t="s">
        <v>293</v>
      </c>
      <c r="AB235" t="s">
        <v>353</v>
      </c>
      <c r="AC235" t="s">
        <v>297</v>
      </c>
      <c r="AD235" t="s">
        <v>299</v>
      </c>
      <c r="AE235" t="s">
        <v>292</v>
      </c>
      <c r="AF235" t="s">
        <v>293</v>
      </c>
      <c r="AG235" t="s">
        <v>292</v>
      </c>
      <c r="AH235" t="s">
        <v>293</v>
      </c>
      <c r="AI235" t="s">
        <v>293</v>
      </c>
      <c r="AJ235" t="s">
        <v>302</v>
      </c>
      <c r="AK235" t="s">
        <v>302</v>
      </c>
      <c r="AL235" t="s">
        <v>359</v>
      </c>
      <c r="AM235" t="s">
        <v>293</v>
      </c>
      <c r="AN235" t="s">
        <v>293</v>
      </c>
      <c r="AO235" t="s">
        <v>297</v>
      </c>
      <c r="AP235" t="s">
        <v>298</v>
      </c>
      <c r="AQ235" t="s">
        <v>293</v>
      </c>
      <c r="AR235" t="s">
        <v>292</v>
      </c>
      <c r="AS235" t="s">
        <v>293</v>
      </c>
      <c r="AT235" t="s">
        <v>293</v>
      </c>
      <c r="AU235" t="s">
        <v>364</v>
      </c>
      <c r="AV235" t="str">
        <f t="shared" si="8"/>
        <v>no_fail</v>
      </c>
    </row>
    <row r="236" spans="1:48" x14ac:dyDescent="0.3">
      <c r="A236" t="s">
        <v>43</v>
      </c>
      <c r="B236" t="s">
        <v>62</v>
      </c>
      <c r="C236" t="s">
        <v>30</v>
      </c>
      <c r="D236" t="s">
        <v>12</v>
      </c>
      <c r="E236" t="str">
        <f t="shared" si="7"/>
        <v>P_L4V-KYY-S_3X7</v>
      </c>
      <c r="F236" t="b">
        <v>1</v>
      </c>
      <c r="G236">
        <v>100</v>
      </c>
      <c r="H236">
        <v>1</v>
      </c>
      <c r="I236">
        <v>9373</v>
      </c>
      <c r="J236" s="49" t="s">
        <v>18</v>
      </c>
      <c r="L236" s="16" t="s">
        <v>272</v>
      </c>
      <c r="M236" s="16">
        <v>3</v>
      </c>
      <c r="N236" s="16" t="s">
        <v>277</v>
      </c>
      <c r="O236" s="16" t="s">
        <v>335</v>
      </c>
      <c r="P236" s="15" t="s">
        <v>283</v>
      </c>
      <c r="Q236" t="s">
        <v>284</v>
      </c>
      <c r="R236" t="s">
        <v>371</v>
      </c>
      <c r="S236" s="17" t="s">
        <v>371</v>
      </c>
      <c r="T236" s="16" t="s">
        <v>341</v>
      </c>
      <c r="U236" s="16" t="s">
        <v>340</v>
      </c>
      <c r="V236" s="15" t="s">
        <v>343</v>
      </c>
      <c r="W236" s="15" t="s">
        <v>344</v>
      </c>
      <c r="X236" s="17"/>
      <c r="Y236" t="s">
        <v>349</v>
      </c>
      <c r="Z236" t="s">
        <v>349</v>
      </c>
      <c r="AA236" t="s">
        <v>293</v>
      </c>
      <c r="AB236" t="s">
        <v>353</v>
      </c>
      <c r="AC236" t="s">
        <v>297</v>
      </c>
      <c r="AD236" t="s">
        <v>299</v>
      </c>
      <c r="AE236" t="s">
        <v>292</v>
      </c>
      <c r="AF236" t="s">
        <v>293</v>
      </c>
      <c r="AG236" t="s">
        <v>292</v>
      </c>
      <c r="AH236" t="s">
        <v>293</v>
      </c>
      <c r="AI236" t="s">
        <v>293</v>
      </c>
      <c r="AJ236" t="s">
        <v>302</v>
      </c>
      <c r="AK236" t="s">
        <v>302</v>
      </c>
      <c r="AL236" t="s">
        <v>359</v>
      </c>
      <c r="AM236" t="s">
        <v>293</v>
      </c>
      <c r="AN236" t="s">
        <v>293</v>
      </c>
      <c r="AO236" t="s">
        <v>297</v>
      </c>
      <c r="AP236" t="s">
        <v>298</v>
      </c>
      <c r="AQ236" t="s">
        <v>293</v>
      </c>
      <c r="AR236" t="s">
        <v>292</v>
      </c>
      <c r="AS236" t="s">
        <v>293</v>
      </c>
      <c r="AT236" t="s">
        <v>293</v>
      </c>
      <c r="AU236" t="s">
        <v>364</v>
      </c>
      <c r="AV236" t="str">
        <f t="shared" si="8"/>
        <v>break</v>
      </c>
    </row>
    <row r="237" spans="1:48" x14ac:dyDescent="0.3">
      <c r="A237" t="s">
        <v>43</v>
      </c>
      <c r="B237" t="s">
        <v>62</v>
      </c>
      <c r="C237" t="s">
        <v>19</v>
      </c>
      <c r="D237" t="s">
        <v>12</v>
      </c>
      <c r="E237" t="str">
        <f t="shared" si="7"/>
        <v>P_L4V-KYY-S_4U3</v>
      </c>
      <c r="F237" t="b">
        <v>1</v>
      </c>
      <c r="G237">
        <v>95.7</v>
      </c>
      <c r="H237">
        <v>0</v>
      </c>
      <c r="I237">
        <v>8638</v>
      </c>
      <c r="J237" s="49" t="s">
        <v>13</v>
      </c>
      <c r="L237" s="16" t="s">
        <v>272</v>
      </c>
      <c r="M237" s="16">
        <v>3</v>
      </c>
      <c r="N237" s="16" t="s">
        <v>277</v>
      </c>
      <c r="O237" s="16" t="s">
        <v>335</v>
      </c>
      <c r="P237" s="15" t="s">
        <v>282</v>
      </c>
      <c r="Q237" t="s">
        <v>371</v>
      </c>
      <c r="R237" t="s">
        <v>371</v>
      </c>
      <c r="S237" s="17" t="s">
        <v>371</v>
      </c>
      <c r="T237" s="16" t="s">
        <v>341</v>
      </c>
      <c r="U237" s="16" t="s">
        <v>342</v>
      </c>
      <c r="V237" s="15" t="s">
        <v>343</v>
      </c>
      <c r="W237" s="15" t="s">
        <v>344</v>
      </c>
      <c r="X237" s="17"/>
      <c r="Y237" t="s">
        <v>349</v>
      </c>
      <c r="Z237" t="s">
        <v>349</v>
      </c>
      <c r="AA237" t="s">
        <v>293</v>
      </c>
      <c r="AB237" t="s">
        <v>353</v>
      </c>
      <c r="AC237" t="s">
        <v>297</v>
      </c>
      <c r="AD237" t="s">
        <v>299</v>
      </c>
      <c r="AE237" t="s">
        <v>292</v>
      </c>
      <c r="AF237" t="s">
        <v>293</v>
      </c>
      <c r="AG237" t="s">
        <v>292</v>
      </c>
      <c r="AH237" t="s">
        <v>293</v>
      </c>
      <c r="AI237" t="s">
        <v>293</v>
      </c>
      <c r="AJ237" t="s">
        <v>302</v>
      </c>
      <c r="AK237" t="s">
        <v>302</v>
      </c>
      <c r="AL237" t="s">
        <v>359</v>
      </c>
      <c r="AM237" t="s">
        <v>293</v>
      </c>
      <c r="AN237" t="s">
        <v>293</v>
      </c>
      <c r="AO237" t="s">
        <v>297</v>
      </c>
      <c r="AP237" t="s">
        <v>298</v>
      </c>
      <c r="AQ237" t="s">
        <v>293</v>
      </c>
      <c r="AR237" t="s">
        <v>292</v>
      </c>
      <c r="AS237" t="s">
        <v>293</v>
      </c>
      <c r="AT237" t="s">
        <v>293</v>
      </c>
      <c r="AU237" t="s">
        <v>364</v>
      </c>
      <c r="AV237" t="str">
        <f t="shared" si="8"/>
        <v>no_fail</v>
      </c>
    </row>
    <row r="238" spans="1:48" x14ac:dyDescent="0.3">
      <c r="A238" t="s">
        <v>43</v>
      </c>
      <c r="B238" t="s">
        <v>62</v>
      </c>
      <c r="C238" t="s">
        <v>17</v>
      </c>
      <c r="D238" t="s">
        <v>12</v>
      </c>
      <c r="E238" t="str">
        <f t="shared" si="7"/>
        <v>P_L4V-KYY-S_6B5</v>
      </c>
      <c r="F238" t="b">
        <v>1</v>
      </c>
      <c r="G238">
        <v>95.6</v>
      </c>
      <c r="H238">
        <v>0</v>
      </c>
      <c r="I238">
        <v>8818</v>
      </c>
      <c r="J238" s="49" t="s">
        <v>13</v>
      </c>
      <c r="L238" s="16" t="s">
        <v>272</v>
      </c>
      <c r="M238" s="16">
        <v>3</v>
      </c>
      <c r="N238" s="16" t="s">
        <v>277</v>
      </c>
      <c r="O238" s="16" t="s">
        <v>335</v>
      </c>
      <c r="P238" s="15" t="s">
        <v>282</v>
      </c>
      <c r="Q238" t="s">
        <v>371</v>
      </c>
      <c r="R238" t="s">
        <v>371</v>
      </c>
      <c r="S238" s="17" t="s">
        <v>371</v>
      </c>
      <c r="T238" s="16" t="s">
        <v>341</v>
      </c>
      <c r="U238" s="16" t="s">
        <v>342</v>
      </c>
      <c r="V238" s="15" t="s">
        <v>343</v>
      </c>
      <c r="W238" s="15" t="s">
        <v>344</v>
      </c>
      <c r="X238" s="17"/>
      <c r="Y238" t="s">
        <v>349</v>
      </c>
      <c r="Z238" t="s">
        <v>349</v>
      </c>
      <c r="AA238" t="s">
        <v>293</v>
      </c>
      <c r="AB238" t="s">
        <v>353</v>
      </c>
      <c r="AC238" t="s">
        <v>297</v>
      </c>
      <c r="AD238" t="s">
        <v>299</v>
      </c>
      <c r="AE238" t="s">
        <v>292</v>
      </c>
      <c r="AF238" t="s">
        <v>293</v>
      </c>
      <c r="AG238" t="s">
        <v>292</v>
      </c>
      <c r="AH238" t="s">
        <v>293</v>
      </c>
      <c r="AI238" t="s">
        <v>293</v>
      </c>
      <c r="AJ238" t="s">
        <v>302</v>
      </c>
      <c r="AK238" t="s">
        <v>302</v>
      </c>
      <c r="AL238" t="s">
        <v>359</v>
      </c>
      <c r="AM238" t="s">
        <v>293</v>
      </c>
      <c r="AN238" t="s">
        <v>293</v>
      </c>
      <c r="AO238" t="s">
        <v>297</v>
      </c>
      <c r="AP238" t="s">
        <v>298</v>
      </c>
      <c r="AQ238" t="s">
        <v>293</v>
      </c>
      <c r="AR238" t="s">
        <v>292</v>
      </c>
      <c r="AS238" t="s">
        <v>293</v>
      </c>
      <c r="AT238" t="s">
        <v>293</v>
      </c>
      <c r="AU238" t="s">
        <v>364</v>
      </c>
      <c r="AV238" t="str">
        <f t="shared" si="8"/>
        <v>no_fail</v>
      </c>
    </row>
    <row r="239" spans="1:48" x14ac:dyDescent="0.3">
      <c r="A239" t="s">
        <v>43</v>
      </c>
      <c r="B239" t="s">
        <v>62</v>
      </c>
      <c r="C239" t="s">
        <v>16</v>
      </c>
      <c r="D239" t="s">
        <v>12</v>
      </c>
      <c r="E239" t="str">
        <f t="shared" si="7"/>
        <v>P_L4V-KYY-S_6U7</v>
      </c>
      <c r="F239" t="b">
        <v>1</v>
      </c>
      <c r="G239">
        <v>60.2</v>
      </c>
      <c r="H239">
        <v>0</v>
      </c>
      <c r="I239">
        <v>10461</v>
      </c>
      <c r="J239" s="49" t="s">
        <v>13</v>
      </c>
      <c r="L239" s="16" t="s">
        <v>272</v>
      </c>
      <c r="M239" s="16">
        <v>3</v>
      </c>
      <c r="N239" s="16" t="s">
        <v>277</v>
      </c>
      <c r="O239" s="16" t="s">
        <v>335</v>
      </c>
      <c r="P239" s="15" t="s">
        <v>282</v>
      </c>
      <c r="Q239" t="s">
        <v>371</v>
      </c>
      <c r="R239" t="s">
        <v>371</v>
      </c>
      <c r="S239" s="17" t="s">
        <v>371</v>
      </c>
      <c r="T239" s="16" t="s">
        <v>341</v>
      </c>
      <c r="U239" s="16" t="s">
        <v>342</v>
      </c>
      <c r="V239" s="15" t="s">
        <v>343</v>
      </c>
      <c r="W239" s="15" t="s">
        <v>344</v>
      </c>
      <c r="X239" s="17"/>
      <c r="Y239" t="s">
        <v>349</v>
      </c>
      <c r="Z239" t="s">
        <v>349</v>
      </c>
      <c r="AA239" t="s">
        <v>293</v>
      </c>
      <c r="AB239" t="s">
        <v>353</v>
      </c>
      <c r="AC239" t="s">
        <v>297</v>
      </c>
      <c r="AD239" t="s">
        <v>300</v>
      </c>
      <c r="AE239" t="s">
        <v>292</v>
      </c>
      <c r="AF239" t="s">
        <v>293</v>
      </c>
      <c r="AG239" t="s">
        <v>292</v>
      </c>
      <c r="AH239" t="s">
        <v>293</v>
      </c>
      <c r="AI239" t="s">
        <v>293</v>
      </c>
      <c r="AJ239" t="s">
        <v>302</v>
      </c>
      <c r="AK239" t="s">
        <v>302</v>
      </c>
      <c r="AL239" t="s">
        <v>359</v>
      </c>
      <c r="AM239" t="s">
        <v>293</v>
      </c>
      <c r="AN239" t="s">
        <v>293</v>
      </c>
      <c r="AO239" t="s">
        <v>297</v>
      </c>
      <c r="AP239" t="s">
        <v>298</v>
      </c>
      <c r="AQ239" t="s">
        <v>293</v>
      </c>
      <c r="AR239" t="s">
        <v>292</v>
      </c>
      <c r="AS239" t="s">
        <v>293</v>
      </c>
      <c r="AT239" t="s">
        <v>293</v>
      </c>
      <c r="AU239" t="s">
        <v>364</v>
      </c>
      <c r="AV239" t="str">
        <f t="shared" si="8"/>
        <v>no_fail</v>
      </c>
    </row>
    <row r="240" spans="1:48" x14ac:dyDescent="0.3">
      <c r="A240" t="s">
        <v>43</v>
      </c>
      <c r="B240" t="s">
        <v>62</v>
      </c>
      <c r="C240" t="s">
        <v>20</v>
      </c>
      <c r="D240" t="s">
        <v>12</v>
      </c>
      <c r="E240" t="str">
        <f t="shared" si="7"/>
        <v>P_L4V-KYY-S_7W0</v>
      </c>
      <c r="F240" t="b">
        <v>1</v>
      </c>
      <c r="G240">
        <v>100</v>
      </c>
      <c r="H240">
        <v>1</v>
      </c>
      <c r="I240">
        <v>8390</v>
      </c>
      <c r="J240" s="49" t="s">
        <v>18</v>
      </c>
      <c r="L240" s="16" t="s">
        <v>272</v>
      </c>
      <c r="M240" s="16">
        <v>3</v>
      </c>
      <c r="N240" s="16" t="s">
        <v>277</v>
      </c>
      <c r="O240" s="16" t="s">
        <v>335</v>
      </c>
      <c r="P240" s="15" t="s">
        <v>282</v>
      </c>
      <c r="Q240" t="s">
        <v>371</v>
      </c>
      <c r="R240" t="s">
        <v>371</v>
      </c>
      <c r="S240" s="17" t="s">
        <v>371</v>
      </c>
      <c r="T240" s="16" t="s">
        <v>341</v>
      </c>
      <c r="U240" s="16" t="s">
        <v>342</v>
      </c>
      <c r="V240" s="15" t="s">
        <v>343</v>
      </c>
      <c r="W240" s="15" t="s">
        <v>345</v>
      </c>
      <c r="X240" s="17"/>
      <c r="Y240" t="s">
        <v>349</v>
      </c>
      <c r="Z240" t="s">
        <v>349</v>
      </c>
      <c r="AA240" t="s">
        <v>293</v>
      </c>
      <c r="AB240" t="s">
        <v>353</v>
      </c>
      <c r="AC240" t="s">
        <v>297</v>
      </c>
      <c r="AD240" t="s">
        <v>299</v>
      </c>
      <c r="AE240" t="s">
        <v>292</v>
      </c>
      <c r="AF240" t="s">
        <v>293</v>
      </c>
      <c r="AG240" t="s">
        <v>292</v>
      </c>
      <c r="AH240" t="s">
        <v>293</v>
      </c>
      <c r="AI240" t="s">
        <v>293</v>
      </c>
      <c r="AJ240" t="s">
        <v>302</v>
      </c>
      <c r="AK240" t="s">
        <v>302</v>
      </c>
      <c r="AL240" t="s">
        <v>359</v>
      </c>
      <c r="AM240" t="s">
        <v>293</v>
      </c>
      <c r="AN240" t="s">
        <v>293</v>
      </c>
      <c r="AO240" t="s">
        <v>297</v>
      </c>
      <c r="AP240" t="s">
        <v>298</v>
      </c>
      <c r="AQ240" t="s">
        <v>293</v>
      </c>
      <c r="AR240" t="s">
        <v>292</v>
      </c>
      <c r="AS240" t="s">
        <v>362</v>
      </c>
      <c r="AT240" t="s">
        <v>293</v>
      </c>
      <c r="AU240" t="s">
        <v>364</v>
      </c>
      <c r="AV240" t="str">
        <f t="shared" si="8"/>
        <v>break</v>
      </c>
    </row>
    <row r="241" spans="1:48" x14ac:dyDescent="0.3">
      <c r="A241" t="s">
        <v>43</v>
      </c>
      <c r="B241" t="s">
        <v>62</v>
      </c>
      <c r="C241" t="s">
        <v>26</v>
      </c>
      <c r="D241" t="s">
        <v>12</v>
      </c>
      <c r="E241" t="str">
        <f t="shared" si="7"/>
        <v>P_L4V-KYY-S_8O8</v>
      </c>
      <c r="F241" t="b">
        <v>1</v>
      </c>
      <c r="G241">
        <v>100</v>
      </c>
      <c r="H241">
        <v>1</v>
      </c>
      <c r="I241">
        <v>9293</v>
      </c>
      <c r="J241" s="49" t="s">
        <v>18</v>
      </c>
      <c r="L241" s="16" t="s">
        <v>272</v>
      </c>
      <c r="M241" s="16">
        <v>3</v>
      </c>
      <c r="N241" s="16" t="s">
        <v>277</v>
      </c>
      <c r="O241" s="16" t="s">
        <v>335</v>
      </c>
      <c r="P241" s="15" t="s">
        <v>283</v>
      </c>
      <c r="Q241" t="s">
        <v>284</v>
      </c>
      <c r="R241" t="s">
        <v>371</v>
      </c>
      <c r="S241" s="17" t="s">
        <v>371</v>
      </c>
      <c r="T241" s="16" t="s">
        <v>341</v>
      </c>
      <c r="U241" s="16" t="s">
        <v>340</v>
      </c>
      <c r="V241" s="15" t="s">
        <v>343</v>
      </c>
      <c r="W241" s="15" t="s">
        <v>345</v>
      </c>
      <c r="X241" s="17"/>
      <c r="Y241" t="s">
        <v>349</v>
      </c>
      <c r="Z241" t="s">
        <v>349</v>
      </c>
      <c r="AA241" t="s">
        <v>293</v>
      </c>
      <c r="AB241" t="s">
        <v>352</v>
      </c>
      <c r="AC241" t="s">
        <v>297</v>
      </c>
      <c r="AD241" t="s">
        <v>300</v>
      </c>
      <c r="AE241" t="s">
        <v>292</v>
      </c>
      <c r="AF241" t="s">
        <v>293</v>
      </c>
      <c r="AG241" t="s">
        <v>292</v>
      </c>
      <c r="AH241" t="s">
        <v>293</v>
      </c>
      <c r="AI241" t="s">
        <v>293</v>
      </c>
      <c r="AJ241" t="s">
        <v>302</v>
      </c>
      <c r="AK241" t="s">
        <v>302</v>
      </c>
      <c r="AL241" t="s">
        <v>359</v>
      </c>
      <c r="AM241" t="s">
        <v>293</v>
      </c>
      <c r="AN241" t="s">
        <v>293</v>
      </c>
      <c r="AO241" t="s">
        <v>297</v>
      </c>
      <c r="AP241" t="s">
        <v>298</v>
      </c>
      <c r="AQ241" t="s">
        <v>293</v>
      </c>
      <c r="AR241" t="s">
        <v>292</v>
      </c>
      <c r="AS241" t="s">
        <v>293</v>
      </c>
      <c r="AT241" t="s">
        <v>293</v>
      </c>
      <c r="AU241" t="s">
        <v>364</v>
      </c>
      <c r="AV241" t="str">
        <f t="shared" si="8"/>
        <v>break</v>
      </c>
    </row>
    <row r="242" spans="1:48" x14ac:dyDescent="0.3">
      <c r="A242" t="s">
        <v>43</v>
      </c>
      <c r="B242" t="s">
        <v>62</v>
      </c>
      <c r="C242" t="s">
        <v>22</v>
      </c>
      <c r="D242" t="s">
        <v>12</v>
      </c>
      <c r="E242" t="str">
        <f t="shared" si="7"/>
        <v>P_L4V-KYY-S_9B4</v>
      </c>
      <c r="F242" t="b">
        <v>1</v>
      </c>
      <c r="G242">
        <v>100</v>
      </c>
      <c r="H242">
        <v>1</v>
      </c>
      <c r="I242">
        <v>10552</v>
      </c>
      <c r="J242" s="49" t="s">
        <v>18</v>
      </c>
      <c r="L242" s="16" t="s">
        <v>272</v>
      </c>
      <c r="M242" s="16">
        <v>2</v>
      </c>
      <c r="N242" s="16" t="s">
        <v>277</v>
      </c>
      <c r="O242" s="16" t="s">
        <v>335</v>
      </c>
      <c r="P242" s="15" t="s">
        <v>283</v>
      </c>
      <c r="Q242" t="s">
        <v>284</v>
      </c>
      <c r="R242" t="s">
        <v>371</v>
      </c>
      <c r="S242" s="17" t="s">
        <v>371</v>
      </c>
      <c r="T242" s="16" t="s">
        <v>341</v>
      </c>
      <c r="U242" s="16" t="s">
        <v>340</v>
      </c>
      <c r="V242" s="15" t="s">
        <v>340</v>
      </c>
      <c r="W242" s="15" t="s">
        <v>344</v>
      </c>
      <c r="X242" s="17"/>
      <c r="Y242" t="s">
        <v>349</v>
      </c>
      <c r="Z242" t="s">
        <v>349</v>
      </c>
      <c r="AA242" t="s">
        <v>293</v>
      </c>
      <c r="AB242" t="s">
        <v>354</v>
      </c>
      <c r="AC242" t="s">
        <v>354</v>
      </c>
      <c r="AD242" t="s">
        <v>301</v>
      </c>
      <c r="AE242" t="s">
        <v>292</v>
      </c>
      <c r="AF242" t="s">
        <v>293</v>
      </c>
      <c r="AG242" t="s">
        <v>292</v>
      </c>
      <c r="AH242" t="s">
        <v>293</v>
      </c>
      <c r="AI242" t="s">
        <v>293</v>
      </c>
      <c r="AJ242" t="s">
        <v>302</v>
      </c>
      <c r="AK242" t="s">
        <v>302</v>
      </c>
      <c r="AL242" t="s">
        <v>357</v>
      </c>
      <c r="AM242" t="s">
        <v>293</v>
      </c>
      <c r="AN242" t="s">
        <v>293</v>
      </c>
      <c r="AO242" t="s">
        <v>297</v>
      </c>
      <c r="AP242" t="s">
        <v>298</v>
      </c>
      <c r="AQ242" t="s">
        <v>293</v>
      </c>
      <c r="AR242" t="s">
        <v>292</v>
      </c>
      <c r="AS242" t="s">
        <v>293</v>
      </c>
      <c r="AT242" t="s">
        <v>293</v>
      </c>
      <c r="AU242" t="s">
        <v>364</v>
      </c>
      <c r="AV242" t="str">
        <f t="shared" si="8"/>
        <v>break</v>
      </c>
    </row>
    <row r="243" spans="1:48" x14ac:dyDescent="0.3">
      <c r="A243" t="s">
        <v>43</v>
      </c>
      <c r="B243" t="s">
        <v>62</v>
      </c>
      <c r="C243" t="s">
        <v>31</v>
      </c>
      <c r="D243" t="s">
        <v>12</v>
      </c>
      <c r="E243" t="str">
        <f t="shared" si="7"/>
        <v>P_L4V-KYY-S_9E0</v>
      </c>
      <c r="F243" t="b">
        <v>1</v>
      </c>
      <c r="G243">
        <v>85.4</v>
      </c>
      <c r="H243">
        <v>0</v>
      </c>
      <c r="I243">
        <v>9437</v>
      </c>
      <c r="J243" s="49" t="s">
        <v>13</v>
      </c>
      <c r="L243" s="16" t="s">
        <v>272</v>
      </c>
      <c r="M243" s="16">
        <v>3</v>
      </c>
      <c r="N243" s="16" t="s">
        <v>277</v>
      </c>
      <c r="O243" s="16" t="s">
        <v>335</v>
      </c>
      <c r="P243" s="15" t="s">
        <v>283</v>
      </c>
      <c r="Q243" t="s">
        <v>284</v>
      </c>
      <c r="R243" t="s">
        <v>371</v>
      </c>
      <c r="S243" s="17" t="s">
        <v>371</v>
      </c>
      <c r="T243" s="16" t="s">
        <v>341</v>
      </c>
      <c r="U243" s="16" t="s">
        <v>340</v>
      </c>
      <c r="V243" s="15" t="s">
        <v>343</v>
      </c>
      <c r="W243" s="15" t="s">
        <v>344</v>
      </c>
      <c r="X243" s="17"/>
      <c r="Y243" t="s">
        <v>349</v>
      </c>
      <c r="Z243" t="s">
        <v>349</v>
      </c>
      <c r="AA243" t="s">
        <v>293</v>
      </c>
      <c r="AB243" t="s">
        <v>353</v>
      </c>
      <c r="AC243" t="s">
        <v>297</v>
      </c>
      <c r="AD243" t="s">
        <v>300</v>
      </c>
      <c r="AE243" t="s">
        <v>292</v>
      </c>
      <c r="AF243" t="s">
        <v>293</v>
      </c>
      <c r="AG243" t="s">
        <v>292</v>
      </c>
      <c r="AH243" t="s">
        <v>293</v>
      </c>
      <c r="AI243" t="s">
        <v>293</v>
      </c>
      <c r="AJ243" t="s">
        <v>302</v>
      </c>
      <c r="AK243" t="s">
        <v>302</v>
      </c>
      <c r="AL243" t="s">
        <v>359</v>
      </c>
      <c r="AM243" t="s">
        <v>293</v>
      </c>
      <c r="AN243" t="s">
        <v>293</v>
      </c>
      <c r="AO243" t="s">
        <v>297</v>
      </c>
      <c r="AP243" t="s">
        <v>298</v>
      </c>
      <c r="AQ243" t="s">
        <v>293</v>
      </c>
      <c r="AR243" t="s">
        <v>292</v>
      </c>
      <c r="AS243" t="s">
        <v>293</v>
      </c>
      <c r="AT243" t="s">
        <v>293</v>
      </c>
      <c r="AU243" t="s">
        <v>364</v>
      </c>
      <c r="AV243" t="str">
        <f t="shared" si="8"/>
        <v>no_fail</v>
      </c>
    </row>
    <row r="244" spans="1:48" x14ac:dyDescent="0.3">
      <c r="A244" t="s">
        <v>43</v>
      </c>
      <c r="B244" t="s">
        <v>62</v>
      </c>
      <c r="C244" t="s">
        <v>27</v>
      </c>
      <c r="D244" t="s">
        <v>12</v>
      </c>
      <c r="E244" t="str">
        <f t="shared" si="7"/>
        <v>P_L4V-KYY-S_9F6</v>
      </c>
      <c r="F244" t="b">
        <v>1</v>
      </c>
      <c r="G244">
        <v>100</v>
      </c>
      <c r="H244">
        <v>1</v>
      </c>
      <c r="I244">
        <v>9749</v>
      </c>
      <c r="J244" s="49" t="s">
        <v>18</v>
      </c>
      <c r="L244" s="16" t="s">
        <v>272</v>
      </c>
      <c r="M244" s="16">
        <v>3</v>
      </c>
      <c r="N244" s="16" t="s">
        <v>277</v>
      </c>
      <c r="O244" s="16" t="s">
        <v>335</v>
      </c>
      <c r="P244" s="15" t="s">
        <v>283</v>
      </c>
      <c r="Q244" t="s">
        <v>284</v>
      </c>
      <c r="R244" t="s">
        <v>371</v>
      </c>
      <c r="S244" s="17" t="s">
        <v>371</v>
      </c>
      <c r="T244" s="16" t="s">
        <v>341</v>
      </c>
      <c r="U244" s="16" t="s">
        <v>340</v>
      </c>
      <c r="V244" s="15" t="s">
        <v>343</v>
      </c>
      <c r="W244" s="15" t="s">
        <v>344</v>
      </c>
      <c r="X244" s="17"/>
      <c r="Y244" t="s">
        <v>349</v>
      </c>
      <c r="Z244" t="s">
        <v>349</v>
      </c>
      <c r="AA244" t="s">
        <v>293</v>
      </c>
      <c r="AB244" t="s">
        <v>353</v>
      </c>
      <c r="AC244" t="s">
        <v>297</v>
      </c>
      <c r="AD244" t="s">
        <v>300</v>
      </c>
      <c r="AE244" t="s">
        <v>292</v>
      </c>
      <c r="AF244" t="s">
        <v>293</v>
      </c>
      <c r="AG244" t="s">
        <v>292</v>
      </c>
      <c r="AH244" t="s">
        <v>293</v>
      </c>
      <c r="AI244" t="s">
        <v>293</v>
      </c>
      <c r="AJ244" t="s">
        <v>302</v>
      </c>
      <c r="AK244" t="s">
        <v>302</v>
      </c>
      <c r="AL244" t="s">
        <v>359</v>
      </c>
      <c r="AM244" t="s">
        <v>293</v>
      </c>
      <c r="AN244" t="s">
        <v>293</v>
      </c>
      <c r="AO244" t="s">
        <v>297</v>
      </c>
      <c r="AP244" t="s">
        <v>298</v>
      </c>
      <c r="AQ244" t="s">
        <v>293</v>
      </c>
      <c r="AR244" t="s">
        <v>292</v>
      </c>
      <c r="AS244" t="s">
        <v>293</v>
      </c>
      <c r="AT244" t="s">
        <v>293</v>
      </c>
      <c r="AU244" t="s">
        <v>364</v>
      </c>
      <c r="AV244" t="str">
        <f t="shared" si="8"/>
        <v>break</v>
      </c>
    </row>
    <row r="245" spans="1:48" x14ac:dyDescent="0.3">
      <c r="A245" t="s">
        <v>43</v>
      </c>
      <c r="B245" t="s">
        <v>62</v>
      </c>
      <c r="C245" t="s">
        <v>28</v>
      </c>
      <c r="D245" t="s">
        <v>12</v>
      </c>
      <c r="E245" t="str">
        <f t="shared" si="7"/>
        <v>P_L4V-KYY-S_9T2</v>
      </c>
      <c r="F245" t="b">
        <v>1</v>
      </c>
      <c r="G245">
        <v>89.3</v>
      </c>
      <c r="H245">
        <v>0</v>
      </c>
      <c r="I245">
        <v>9757</v>
      </c>
      <c r="J245" s="49" t="s">
        <v>13</v>
      </c>
      <c r="L245" s="16" t="s">
        <v>272</v>
      </c>
      <c r="M245" s="16">
        <v>3</v>
      </c>
      <c r="N245" s="16" t="s">
        <v>277</v>
      </c>
      <c r="O245" s="16" t="s">
        <v>335</v>
      </c>
      <c r="P245" s="15" t="s">
        <v>283</v>
      </c>
      <c r="Q245" t="s">
        <v>284</v>
      </c>
      <c r="R245" t="s">
        <v>371</v>
      </c>
      <c r="S245" s="17" t="s">
        <v>371</v>
      </c>
      <c r="T245" s="16" t="s">
        <v>341</v>
      </c>
      <c r="U245" s="16" t="s">
        <v>340</v>
      </c>
      <c r="V245" s="15" t="s">
        <v>343</v>
      </c>
      <c r="W245" s="15" t="s">
        <v>344</v>
      </c>
      <c r="X245" s="17"/>
      <c r="Y245" t="s">
        <v>349</v>
      </c>
      <c r="Z245" t="s">
        <v>349</v>
      </c>
      <c r="AA245" t="s">
        <v>293</v>
      </c>
      <c r="AB245" t="s">
        <v>353</v>
      </c>
      <c r="AC245" t="s">
        <v>297</v>
      </c>
      <c r="AD245" t="s">
        <v>300</v>
      </c>
      <c r="AE245" t="s">
        <v>292</v>
      </c>
      <c r="AF245" t="s">
        <v>293</v>
      </c>
      <c r="AG245" t="s">
        <v>292</v>
      </c>
      <c r="AH245" t="s">
        <v>293</v>
      </c>
      <c r="AI245" t="s">
        <v>293</v>
      </c>
      <c r="AJ245" t="s">
        <v>302</v>
      </c>
      <c r="AK245" t="s">
        <v>302</v>
      </c>
      <c r="AL245" t="s">
        <v>359</v>
      </c>
      <c r="AM245" t="s">
        <v>293</v>
      </c>
      <c r="AN245" t="s">
        <v>293</v>
      </c>
      <c r="AO245" t="s">
        <v>297</v>
      </c>
      <c r="AP245" t="s">
        <v>298</v>
      </c>
      <c r="AQ245" t="s">
        <v>293</v>
      </c>
      <c r="AR245" t="s">
        <v>292</v>
      </c>
      <c r="AS245" t="s">
        <v>293</v>
      </c>
      <c r="AT245" t="s">
        <v>293</v>
      </c>
      <c r="AU245" t="s">
        <v>364</v>
      </c>
      <c r="AV245" t="str">
        <f t="shared" si="8"/>
        <v>no_fail</v>
      </c>
    </row>
    <row r="246" spans="1:48" x14ac:dyDescent="0.3">
      <c r="A246" t="s">
        <v>43</v>
      </c>
      <c r="B246" t="s">
        <v>62</v>
      </c>
      <c r="C246" t="s">
        <v>64</v>
      </c>
      <c r="D246" t="s">
        <v>29</v>
      </c>
      <c r="E246" t="str">
        <f t="shared" si="7"/>
        <v>P_L4V-ZSB-S_1X1</v>
      </c>
      <c r="F246" t="b">
        <v>1</v>
      </c>
      <c r="G246">
        <v>26.8</v>
      </c>
      <c r="H246">
        <v>0</v>
      </c>
      <c r="I246">
        <v>25730</v>
      </c>
      <c r="J246" s="49" t="s">
        <v>13</v>
      </c>
      <c r="L246" s="16" t="s">
        <v>272</v>
      </c>
      <c r="M246" s="16">
        <v>3</v>
      </c>
      <c r="N246" s="16" t="s">
        <v>277</v>
      </c>
      <c r="O246" s="16" t="s">
        <v>335</v>
      </c>
      <c r="P246" s="15" t="s">
        <v>282</v>
      </c>
      <c r="Q246" t="s">
        <v>371</v>
      </c>
      <c r="R246" t="s">
        <v>371</v>
      </c>
      <c r="S246" s="17" t="s">
        <v>371</v>
      </c>
      <c r="T246" s="16" t="s">
        <v>341</v>
      </c>
      <c r="U246" s="16" t="s">
        <v>340</v>
      </c>
      <c r="V246" s="15" t="s">
        <v>343</v>
      </c>
      <c r="W246" s="15" t="s">
        <v>344</v>
      </c>
      <c r="X246" s="17"/>
      <c r="Y246" t="s">
        <v>349</v>
      </c>
      <c r="Z246" t="s">
        <v>349</v>
      </c>
      <c r="AA246" t="s">
        <v>293</v>
      </c>
      <c r="AB246" t="s">
        <v>353</v>
      </c>
      <c r="AC246" t="s">
        <v>296</v>
      </c>
      <c r="AD246" t="s">
        <v>301</v>
      </c>
      <c r="AE246" t="s">
        <v>292</v>
      </c>
      <c r="AF246" t="s">
        <v>293</v>
      </c>
      <c r="AG246" t="s">
        <v>293</v>
      </c>
      <c r="AH246" t="s">
        <v>292</v>
      </c>
      <c r="AI246" t="s">
        <v>293</v>
      </c>
      <c r="AJ246" t="s">
        <v>302</v>
      </c>
      <c r="AK246" t="s">
        <v>302</v>
      </c>
      <c r="AL246" t="s">
        <v>359</v>
      </c>
      <c r="AM246" t="s">
        <v>293</v>
      </c>
      <c r="AN246" t="s">
        <v>293</v>
      </c>
      <c r="AO246" t="s">
        <v>297</v>
      </c>
      <c r="AP246" t="s">
        <v>298</v>
      </c>
      <c r="AQ246" t="s">
        <v>293</v>
      </c>
      <c r="AR246" t="s">
        <v>292</v>
      </c>
      <c r="AS246" t="s">
        <v>293</v>
      </c>
      <c r="AT246" t="s">
        <v>293</v>
      </c>
      <c r="AU246" t="s">
        <v>364</v>
      </c>
      <c r="AV246" t="str">
        <f t="shared" si="8"/>
        <v>no_fail</v>
      </c>
    </row>
    <row r="247" spans="1:48" x14ac:dyDescent="0.3">
      <c r="A247" t="s">
        <v>43</v>
      </c>
      <c r="B247" t="s">
        <v>62</v>
      </c>
      <c r="C247" t="s">
        <v>39</v>
      </c>
      <c r="D247" t="s">
        <v>29</v>
      </c>
      <c r="E247" t="str">
        <f t="shared" si="7"/>
        <v>P_L4V-ZSB-S_2I5</v>
      </c>
      <c r="F247" t="b">
        <v>1</v>
      </c>
      <c r="G247">
        <v>100</v>
      </c>
      <c r="H247">
        <v>1</v>
      </c>
      <c r="I247">
        <v>8098</v>
      </c>
      <c r="J247" s="49" t="s">
        <v>18</v>
      </c>
      <c r="L247" s="16" t="s">
        <v>272</v>
      </c>
      <c r="M247" s="16">
        <v>2</v>
      </c>
      <c r="N247" s="16" t="s">
        <v>277</v>
      </c>
      <c r="O247" s="16" t="s">
        <v>335</v>
      </c>
      <c r="P247" s="15" t="s">
        <v>282</v>
      </c>
      <c r="Q247" t="s">
        <v>371</v>
      </c>
      <c r="R247" t="s">
        <v>371</v>
      </c>
      <c r="S247" s="17" t="s">
        <v>371</v>
      </c>
      <c r="T247" s="16" t="s">
        <v>341</v>
      </c>
      <c r="U247" s="16" t="s">
        <v>340</v>
      </c>
      <c r="V247" s="15" t="s">
        <v>340</v>
      </c>
      <c r="W247" s="15" t="s">
        <v>345</v>
      </c>
      <c r="X247" s="17"/>
      <c r="Y247" t="s">
        <v>350</v>
      </c>
      <c r="Z247" t="s">
        <v>349</v>
      </c>
      <c r="AA247" t="s">
        <v>293</v>
      </c>
      <c r="AB247" t="s">
        <v>354</v>
      </c>
      <c r="AC247" t="s">
        <v>354</v>
      </c>
      <c r="AD247" t="s">
        <v>300</v>
      </c>
      <c r="AE247" t="s">
        <v>292</v>
      </c>
      <c r="AF247" t="s">
        <v>293</v>
      </c>
      <c r="AG247" t="s">
        <v>292</v>
      </c>
      <c r="AH247" t="s">
        <v>293</v>
      </c>
      <c r="AI247" t="s">
        <v>293</v>
      </c>
      <c r="AJ247" t="s">
        <v>302</v>
      </c>
      <c r="AK247" t="s">
        <v>302</v>
      </c>
      <c r="AL247" t="s">
        <v>359</v>
      </c>
      <c r="AM247" t="s">
        <v>293</v>
      </c>
      <c r="AN247" t="s">
        <v>293</v>
      </c>
      <c r="AO247" t="s">
        <v>297</v>
      </c>
      <c r="AP247" t="s">
        <v>298</v>
      </c>
      <c r="AQ247" t="s">
        <v>293</v>
      </c>
      <c r="AR247" t="s">
        <v>292</v>
      </c>
      <c r="AS247" t="s">
        <v>293</v>
      </c>
      <c r="AT247" t="s">
        <v>293</v>
      </c>
      <c r="AU247" t="s">
        <v>364</v>
      </c>
      <c r="AV247" t="str">
        <f t="shared" si="8"/>
        <v>break</v>
      </c>
    </row>
    <row r="248" spans="1:48" x14ac:dyDescent="0.3">
      <c r="A248" t="s">
        <v>43</v>
      </c>
      <c r="B248" t="s">
        <v>62</v>
      </c>
      <c r="C248" t="s">
        <v>37</v>
      </c>
      <c r="D248" t="s">
        <v>29</v>
      </c>
      <c r="E248" t="str">
        <f t="shared" si="7"/>
        <v>P_L4V-ZSB-S_3A8</v>
      </c>
      <c r="F248" t="b">
        <v>1</v>
      </c>
      <c r="G248">
        <v>100</v>
      </c>
      <c r="H248">
        <v>1</v>
      </c>
      <c r="I248">
        <v>10649</v>
      </c>
      <c r="J248" s="49" t="s">
        <v>18</v>
      </c>
      <c r="L248" s="16" t="s">
        <v>272</v>
      </c>
      <c r="M248" s="16">
        <v>2</v>
      </c>
      <c r="N248" s="16" t="s">
        <v>277</v>
      </c>
      <c r="O248" s="16" t="s">
        <v>335</v>
      </c>
      <c r="P248" s="15" t="s">
        <v>282</v>
      </c>
      <c r="Q248" t="s">
        <v>371</v>
      </c>
      <c r="R248" t="s">
        <v>371</v>
      </c>
      <c r="S248" s="17" t="s">
        <v>371</v>
      </c>
      <c r="T248" s="16" t="s">
        <v>341</v>
      </c>
      <c r="U248" s="16" t="s">
        <v>340</v>
      </c>
      <c r="V248" s="15" t="s">
        <v>340</v>
      </c>
      <c r="W248" s="15" t="s">
        <v>344</v>
      </c>
      <c r="X248" s="17"/>
      <c r="Y248" t="s">
        <v>349</v>
      </c>
      <c r="Z248" t="s">
        <v>349</v>
      </c>
      <c r="AA248" t="s">
        <v>293</v>
      </c>
      <c r="AB248" t="s">
        <v>354</v>
      </c>
      <c r="AC248" t="s">
        <v>354</v>
      </c>
      <c r="AD248" t="s">
        <v>301</v>
      </c>
      <c r="AE248" t="s">
        <v>292</v>
      </c>
      <c r="AF248" t="s">
        <v>293</v>
      </c>
      <c r="AG248" t="s">
        <v>292</v>
      </c>
      <c r="AH248" t="s">
        <v>293</v>
      </c>
      <c r="AI248" t="s">
        <v>293</v>
      </c>
      <c r="AJ248" t="s">
        <v>302</v>
      </c>
      <c r="AK248" t="s">
        <v>302</v>
      </c>
      <c r="AL248" t="s">
        <v>359</v>
      </c>
      <c r="AM248" t="s">
        <v>293</v>
      </c>
      <c r="AN248" t="s">
        <v>293</v>
      </c>
      <c r="AO248" t="s">
        <v>297</v>
      </c>
      <c r="AP248" t="s">
        <v>298</v>
      </c>
      <c r="AQ248" t="s">
        <v>293</v>
      </c>
      <c r="AR248" t="s">
        <v>292</v>
      </c>
      <c r="AS248" t="s">
        <v>293</v>
      </c>
      <c r="AT248" t="s">
        <v>293</v>
      </c>
      <c r="AU248" t="s">
        <v>364</v>
      </c>
      <c r="AV248" t="str">
        <f t="shared" si="8"/>
        <v>break</v>
      </c>
    </row>
    <row r="249" spans="1:48" x14ac:dyDescent="0.3">
      <c r="A249" t="s">
        <v>43</v>
      </c>
      <c r="B249" t="s">
        <v>62</v>
      </c>
      <c r="C249" t="s">
        <v>32</v>
      </c>
      <c r="D249" t="s">
        <v>29</v>
      </c>
      <c r="E249" t="str">
        <f t="shared" si="7"/>
        <v>P_L4V-ZSB-S_3B9</v>
      </c>
      <c r="F249" t="b">
        <v>1</v>
      </c>
      <c r="G249">
        <v>82.2</v>
      </c>
      <c r="H249">
        <v>0</v>
      </c>
      <c r="I249">
        <v>8876</v>
      </c>
      <c r="J249" s="49" t="s">
        <v>13</v>
      </c>
      <c r="L249" s="16" t="s">
        <v>272</v>
      </c>
      <c r="M249" s="16">
        <v>3</v>
      </c>
      <c r="N249" s="16" t="s">
        <v>333</v>
      </c>
      <c r="O249" s="16" t="s">
        <v>278</v>
      </c>
      <c r="P249" s="15" t="s">
        <v>283</v>
      </c>
      <c r="Q249" t="s">
        <v>371</v>
      </c>
      <c r="R249" t="s">
        <v>371</v>
      </c>
      <c r="S249" s="17" t="s">
        <v>371</v>
      </c>
      <c r="T249" s="16" t="s">
        <v>341</v>
      </c>
      <c r="U249" s="16" t="s">
        <v>340</v>
      </c>
      <c r="V249" s="15" t="s">
        <v>343</v>
      </c>
      <c r="W249" s="15" t="s">
        <v>344</v>
      </c>
      <c r="X249" s="17"/>
      <c r="Y249" t="s">
        <v>349</v>
      </c>
      <c r="Z249" t="s">
        <v>349</v>
      </c>
      <c r="AA249" t="s">
        <v>293</v>
      </c>
      <c r="AB249" t="s">
        <v>353</v>
      </c>
      <c r="AC249" t="s">
        <v>297</v>
      </c>
      <c r="AD249" t="s">
        <v>300</v>
      </c>
      <c r="AE249" t="s">
        <v>292</v>
      </c>
      <c r="AF249" t="s">
        <v>293</v>
      </c>
      <c r="AG249" t="s">
        <v>292</v>
      </c>
      <c r="AH249" t="s">
        <v>293</v>
      </c>
      <c r="AI249" t="s">
        <v>293</v>
      </c>
      <c r="AJ249" t="s">
        <v>302</v>
      </c>
      <c r="AK249" t="s">
        <v>359</v>
      </c>
      <c r="AL249" t="s">
        <v>359</v>
      </c>
      <c r="AM249" t="s">
        <v>293</v>
      </c>
      <c r="AN249" t="s">
        <v>293</v>
      </c>
      <c r="AO249" t="s">
        <v>297</v>
      </c>
      <c r="AP249" t="s">
        <v>298</v>
      </c>
      <c r="AQ249" t="s">
        <v>293</v>
      </c>
      <c r="AR249" t="s">
        <v>292</v>
      </c>
      <c r="AS249" t="s">
        <v>293</v>
      </c>
      <c r="AT249" t="s">
        <v>293</v>
      </c>
      <c r="AU249" t="s">
        <v>364</v>
      </c>
      <c r="AV249" t="str">
        <f t="shared" si="8"/>
        <v>no_fail</v>
      </c>
    </row>
    <row r="250" spans="1:48" x14ac:dyDescent="0.3">
      <c r="A250" t="s">
        <v>43</v>
      </c>
      <c r="B250" t="s">
        <v>62</v>
      </c>
      <c r="C250" t="s">
        <v>41</v>
      </c>
      <c r="D250" t="s">
        <v>29</v>
      </c>
      <c r="E250" t="str">
        <f t="shared" si="7"/>
        <v>P_L4V-ZSB-S_4B4</v>
      </c>
      <c r="F250" t="b">
        <v>1</v>
      </c>
      <c r="G250">
        <v>100</v>
      </c>
      <c r="H250">
        <v>1</v>
      </c>
      <c r="I250">
        <v>7958</v>
      </c>
      <c r="J250" s="49" t="s">
        <v>18</v>
      </c>
      <c r="L250" s="16" t="s">
        <v>272</v>
      </c>
      <c r="M250" s="16">
        <v>2</v>
      </c>
      <c r="N250" s="16" t="s">
        <v>277</v>
      </c>
      <c r="O250" s="16" t="s">
        <v>335</v>
      </c>
      <c r="P250" s="15" t="s">
        <v>282</v>
      </c>
      <c r="Q250" t="s">
        <v>371</v>
      </c>
      <c r="R250" t="s">
        <v>371</v>
      </c>
      <c r="S250" s="17" t="s">
        <v>371</v>
      </c>
      <c r="T250" s="16" t="s">
        <v>341</v>
      </c>
      <c r="U250" s="16" t="s">
        <v>340</v>
      </c>
      <c r="V250" s="15" t="s">
        <v>340</v>
      </c>
      <c r="W250" s="15" t="s">
        <v>345</v>
      </c>
      <c r="X250" s="17"/>
      <c r="Y250" t="s">
        <v>350</v>
      </c>
      <c r="Z250" t="s">
        <v>349</v>
      </c>
      <c r="AA250" t="s">
        <v>293</v>
      </c>
      <c r="AB250" t="s">
        <v>354</v>
      </c>
      <c r="AC250" t="s">
        <v>354</v>
      </c>
      <c r="AD250" t="s">
        <v>300</v>
      </c>
      <c r="AE250" t="s">
        <v>292</v>
      </c>
      <c r="AF250" t="s">
        <v>293</v>
      </c>
      <c r="AG250" t="s">
        <v>292</v>
      </c>
      <c r="AH250" t="s">
        <v>293</v>
      </c>
      <c r="AI250" t="s">
        <v>293</v>
      </c>
      <c r="AJ250" t="s">
        <v>302</v>
      </c>
      <c r="AK250" t="s">
        <v>302</v>
      </c>
      <c r="AL250" t="s">
        <v>357</v>
      </c>
      <c r="AM250" t="s">
        <v>293</v>
      </c>
      <c r="AN250" t="s">
        <v>293</v>
      </c>
      <c r="AO250" t="s">
        <v>297</v>
      </c>
      <c r="AP250" t="s">
        <v>298</v>
      </c>
      <c r="AQ250" t="s">
        <v>293</v>
      </c>
      <c r="AR250" t="s">
        <v>292</v>
      </c>
      <c r="AS250" t="s">
        <v>293</v>
      </c>
      <c r="AT250" t="s">
        <v>293</v>
      </c>
      <c r="AU250" t="s">
        <v>364</v>
      </c>
      <c r="AV250" t="str">
        <f t="shared" si="8"/>
        <v>break</v>
      </c>
    </row>
    <row r="251" spans="1:48" x14ac:dyDescent="0.3">
      <c r="A251" t="s">
        <v>43</v>
      </c>
      <c r="B251" t="s">
        <v>62</v>
      </c>
      <c r="C251" t="s">
        <v>40</v>
      </c>
      <c r="D251" t="s">
        <v>29</v>
      </c>
      <c r="E251" t="str">
        <f t="shared" si="7"/>
        <v>P_L4V-ZSB-S_5N2</v>
      </c>
      <c r="F251" t="b">
        <v>1</v>
      </c>
      <c r="G251">
        <v>100</v>
      </c>
      <c r="H251">
        <v>1</v>
      </c>
      <c r="I251">
        <v>7899</v>
      </c>
      <c r="J251" s="49" t="s">
        <v>18</v>
      </c>
      <c r="L251" s="16" t="s">
        <v>272</v>
      </c>
      <c r="M251" s="16">
        <v>2</v>
      </c>
      <c r="N251" s="16" t="s">
        <v>277</v>
      </c>
      <c r="O251" s="16" t="s">
        <v>335</v>
      </c>
      <c r="P251" s="15" t="s">
        <v>282</v>
      </c>
      <c r="Q251" t="s">
        <v>371</v>
      </c>
      <c r="R251" t="s">
        <v>371</v>
      </c>
      <c r="S251" s="17" t="s">
        <v>371</v>
      </c>
      <c r="T251" s="16" t="s">
        <v>341</v>
      </c>
      <c r="U251" s="16" t="s">
        <v>340</v>
      </c>
      <c r="V251" s="15" t="s">
        <v>340</v>
      </c>
      <c r="W251" s="15" t="s">
        <v>345</v>
      </c>
      <c r="X251" s="17"/>
      <c r="Y251" t="s">
        <v>350</v>
      </c>
      <c r="Z251" t="s">
        <v>349</v>
      </c>
      <c r="AA251" t="s">
        <v>293</v>
      </c>
      <c r="AB251" t="s">
        <v>354</v>
      </c>
      <c r="AC251" t="s">
        <v>354</v>
      </c>
      <c r="AD251" t="s">
        <v>300</v>
      </c>
      <c r="AE251" t="s">
        <v>292</v>
      </c>
      <c r="AF251" t="s">
        <v>293</v>
      </c>
      <c r="AG251" t="s">
        <v>292</v>
      </c>
      <c r="AH251" t="s">
        <v>293</v>
      </c>
      <c r="AI251" t="s">
        <v>293</v>
      </c>
      <c r="AJ251" t="s">
        <v>302</v>
      </c>
      <c r="AK251" t="s">
        <v>302</v>
      </c>
      <c r="AL251" t="s">
        <v>357</v>
      </c>
      <c r="AM251" t="s">
        <v>293</v>
      </c>
      <c r="AN251" t="s">
        <v>293</v>
      </c>
      <c r="AO251" t="s">
        <v>297</v>
      </c>
      <c r="AP251" t="s">
        <v>298</v>
      </c>
      <c r="AQ251" t="s">
        <v>293</v>
      </c>
      <c r="AR251" t="s">
        <v>292</v>
      </c>
      <c r="AS251" t="s">
        <v>293</v>
      </c>
      <c r="AT251" t="s">
        <v>293</v>
      </c>
      <c r="AU251" t="s">
        <v>364</v>
      </c>
      <c r="AV251" t="str">
        <f t="shared" si="8"/>
        <v>break</v>
      </c>
    </row>
    <row r="252" spans="1:48" x14ac:dyDescent="0.3">
      <c r="A252" t="s">
        <v>43</v>
      </c>
      <c r="B252" t="s">
        <v>62</v>
      </c>
      <c r="C252" t="s">
        <v>63</v>
      </c>
      <c r="D252" t="s">
        <v>29</v>
      </c>
      <c r="E252" t="str">
        <f t="shared" si="7"/>
        <v>P_L4V-ZSB-S_6I4</v>
      </c>
      <c r="F252" t="b">
        <v>1</v>
      </c>
      <c r="G252">
        <v>96.2</v>
      </c>
      <c r="H252">
        <v>0</v>
      </c>
      <c r="I252">
        <v>10935</v>
      </c>
      <c r="J252" s="49" t="s">
        <v>13</v>
      </c>
      <c r="L252" s="16" t="s">
        <v>272</v>
      </c>
      <c r="M252" s="16">
        <v>2</v>
      </c>
      <c r="N252" s="16" t="s">
        <v>277</v>
      </c>
      <c r="O252" s="16" t="s">
        <v>335</v>
      </c>
      <c r="P252" s="15" t="s">
        <v>282</v>
      </c>
      <c r="Q252" t="s">
        <v>371</v>
      </c>
      <c r="R252" t="s">
        <v>371</v>
      </c>
      <c r="S252" s="17" t="s">
        <v>371</v>
      </c>
      <c r="T252" s="16" t="s">
        <v>341</v>
      </c>
      <c r="U252" s="16" t="s">
        <v>340</v>
      </c>
      <c r="V252" s="15" t="s">
        <v>340</v>
      </c>
      <c r="W252" s="15" t="s">
        <v>345</v>
      </c>
      <c r="X252" s="17"/>
      <c r="Y252" t="s">
        <v>350</v>
      </c>
      <c r="Z252" t="s">
        <v>349</v>
      </c>
      <c r="AA252" t="s">
        <v>293</v>
      </c>
      <c r="AB252" t="s">
        <v>354</v>
      </c>
      <c r="AC252" t="s">
        <v>354</v>
      </c>
      <c r="AD252" t="s">
        <v>300</v>
      </c>
      <c r="AE252" t="s">
        <v>293</v>
      </c>
      <c r="AF252" t="s">
        <v>292</v>
      </c>
      <c r="AG252" t="s">
        <v>292</v>
      </c>
      <c r="AH252" t="s">
        <v>293</v>
      </c>
      <c r="AI252" t="s">
        <v>293</v>
      </c>
      <c r="AJ252" t="s">
        <v>302</v>
      </c>
      <c r="AK252" t="s">
        <v>302</v>
      </c>
      <c r="AL252" t="s">
        <v>357</v>
      </c>
      <c r="AM252" t="s">
        <v>293</v>
      </c>
      <c r="AN252" t="s">
        <v>293</v>
      </c>
      <c r="AO252" t="s">
        <v>297</v>
      </c>
      <c r="AP252" t="s">
        <v>356</v>
      </c>
      <c r="AQ252" t="s">
        <v>293</v>
      </c>
      <c r="AR252" t="s">
        <v>292</v>
      </c>
      <c r="AS252" t="s">
        <v>293</v>
      </c>
      <c r="AT252" t="s">
        <v>293</v>
      </c>
      <c r="AU252" t="s">
        <v>364</v>
      </c>
      <c r="AV252" t="str">
        <f t="shared" si="8"/>
        <v>no_fail</v>
      </c>
    </row>
    <row r="253" spans="1:48" x14ac:dyDescent="0.3">
      <c r="A253" t="s">
        <v>43</v>
      </c>
      <c r="B253" t="s">
        <v>62</v>
      </c>
      <c r="C253" t="s">
        <v>38</v>
      </c>
      <c r="D253" t="s">
        <v>29</v>
      </c>
      <c r="E253" t="str">
        <f t="shared" si="7"/>
        <v>P_L4V-ZSB-S_7X6</v>
      </c>
      <c r="F253" t="b">
        <v>1</v>
      </c>
      <c r="G253">
        <v>100</v>
      </c>
      <c r="H253">
        <v>1</v>
      </c>
      <c r="I253">
        <v>7742</v>
      </c>
      <c r="J253" s="49" t="s">
        <v>18</v>
      </c>
      <c r="L253" s="16" t="s">
        <v>272</v>
      </c>
      <c r="M253" s="16">
        <v>2</v>
      </c>
      <c r="N253" s="16" t="s">
        <v>277</v>
      </c>
      <c r="O253" s="16" t="s">
        <v>335</v>
      </c>
      <c r="P253" s="15" t="s">
        <v>282</v>
      </c>
      <c r="Q253" t="s">
        <v>371</v>
      </c>
      <c r="R253" t="s">
        <v>371</v>
      </c>
      <c r="S253" s="17" t="s">
        <v>371</v>
      </c>
      <c r="T253" s="16" t="s">
        <v>341</v>
      </c>
      <c r="U253" s="16" t="s">
        <v>340</v>
      </c>
      <c r="V253" s="15" t="s">
        <v>340</v>
      </c>
      <c r="W253" s="15" t="s">
        <v>345</v>
      </c>
      <c r="X253" s="17"/>
      <c r="Y253" t="s">
        <v>350</v>
      </c>
      <c r="Z253" t="s">
        <v>349</v>
      </c>
      <c r="AA253" t="s">
        <v>293</v>
      </c>
      <c r="AB253" t="s">
        <v>354</v>
      </c>
      <c r="AC253" t="s">
        <v>354</v>
      </c>
      <c r="AD253" t="s">
        <v>300</v>
      </c>
      <c r="AE253" t="s">
        <v>292</v>
      </c>
      <c r="AF253" t="s">
        <v>293</v>
      </c>
      <c r="AG253" t="s">
        <v>292</v>
      </c>
      <c r="AH253" t="s">
        <v>293</v>
      </c>
      <c r="AI253" t="s">
        <v>293</v>
      </c>
      <c r="AJ253" t="s">
        <v>302</v>
      </c>
      <c r="AK253" t="s">
        <v>302</v>
      </c>
      <c r="AL253" t="s">
        <v>357</v>
      </c>
      <c r="AM253" t="s">
        <v>293</v>
      </c>
      <c r="AN253" t="s">
        <v>293</v>
      </c>
      <c r="AO253" t="s">
        <v>297</v>
      </c>
      <c r="AP253" t="s">
        <v>298</v>
      </c>
      <c r="AQ253" t="s">
        <v>293</v>
      </c>
      <c r="AR253" t="s">
        <v>292</v>
      </c>
      <c r="AS253" t="s">
        <v>293</v>
      </c>
      <c r="AT253" t="s">
        <v>293</v>
      </c>
      <c r="AU253" t="s">
        <v>364</v>
      </c>
      <c r="AV253" t="str">
        <f t="shared" si="8"/>
        <v>break</v>
      </c>
    </row>
    <row r="254" spans="1:48" x14ac:dyDescent="0.3">
      <c r="A254" t="s">
        <v>43</v>
      </c>
      <c r="B254" t="s">
        <v>62</v>
      </c>
      <c r="C254" t="s">
        <v>65</v>
      </c>
      <c r="D254" t="s">
        <v>29</v>
      </c>
      <c r="E254" t="str">
        <f t="shared" si="7"/>
        <v>P_L4V-ZSB-S_7Y0</v>
      </c>
      <c r="F254" t="b">
        <v>1</v>
      </c>
      <c r="G254">
        <v>100</v>
      </c>
      <c r="H254">
        <v>1</v>
      </c>
      <c r="I254">
        <v>17652</v>
      </c>
      <c r="J254" s="49" t="s">
        <v>18</v>
      </c>
      <c r="L254" s="16" t="s">
        <v>272</v>
      </c>
      <c r="M254" s="16">
        <v>3</v>
      </c>
      <c r="N254" s="16" t="s">
        <v>277</v>
      </c>
      <c r="O254" s="16" t="s">
        <v>335</v>
      </c>
      <c r="P254" s="15" t="s">
        <v>282</v>
      </c>
      <c r="Q254" t="s">
        <v>371</v>
      </c>
      <c r="R254" t="s">
        <v>371</v>
      </c>
      <c r="S254" s="17" t="s">
        <v>371</v>
      </c>
      <c r="T254" s="16" t="s">
        <v>341</v>
      </c>
      <c r="U254" s="16" t="s">
        <v>340</v>
      </c>
      <c r="V254" s="15" t="s">
        <v>343</v>
      </c>
      <c r="W254" s="15" t="s">
        <v>345</v>
      </c>
      <c r="X254" s="17"/>
      <c r="Y254" t="s">
        <v>349</v>
      </c>
      <c r="Z254" t="s">
        <v>349</v>
      </c>
      <c r="AA254" t="s">
        <v>293</v>
      </c>
      <c r="AB254" t="s">
        <v>353</v>
      </c>
      <c r="AC254" t="s">
        <v>296</v>
      </c>
      <c r="AD254" t="s">
        <v>299</v>
      </c>
      <c r="AE254" t="s">
        <v>292</v>
      </c>
      <c r="AF254" t="s">
        <v>293</v>
      </c>
      <c r="AG254" t="s">
        <v>292</v>
      </c>
      <c r="AH254" t="s">
        <v>292</v>
      </c>
      <c r="AI254" t="s">
        <v>293</v>
      </c>
      <c r="AJ254" t="s">
        <v>302</v>
      </c>
      <c r="AK254" t="s">
        <v>302</v>
      </c>
      <c r="AL254" t="s">
        <v>359</v>
      </c>
      <c r="AM254" t="s">
        <v>293</v>
      </c>
      <c r="AN254" t="s">
        <v>293</v>
      </c>
      <c r="AO254" t="s">
        <v>296</v>
      </c>
      <c r="AP254" t="s">
        <v>298</v>
      </c>
      <c r="AQ254" t="s">
        <v>293</v>
      </c>
      <c r="AR254" t="s">
        <v>292</v>
      </c>
      <c r="AS254" t="s">
        <v>293</v>
      </c>
      <c r="AT254" t="s">
        <v>293</v>
      </c>
      <c r="AU254" t="s">
        <v>364</v>
      </c>
      <c r="AV254" t="str">
        <f t="shared" si="8"/>
        <v>break</v>
      </c>
    </row>
    <row r="255" spans="1:48" x14ac:dyDescent="0.3">
      <c r="A255" t="s">
        <v>43</v>
      </c>
      <c r="B255" t="s">
        <v>62</v>
      </c>
      <c r="C255" t="s">
        <v>34</v>
      </c>
      <c r="D255" t="s">
        <v>29</v>
      </c>
      <c r="E255" t="str">
        <f t="shared" si="7"/>
        <v>P_L4V-ZSB-S_8A5</v>
      </c>
      <c r="F255" t="b">
        <v>1</v>
      </c>
      <c r="G255">
        <v>100</v>
      </c>
      <c r="H255">
        <v>1</v>
      </c>
      <c r="I255">
        <v>8651</v>
      </c>
      <c r="J255" s="49" t="s">
        <v>18</v>
      </c>
      <c r="L255" s="16" t="s">
        <v>272</v>
      </c>
      <c r="M255" s="16">
        <v>3</v>
      </c>
      <c r="N255" s="16" t="s">
        <v>333</v>
      </c>
      <c r="O255" s="16" t="s">
        <v>278</v>
      </c>
      <c r="P255" s="15" t="s">
        <v>283</v>
      </c>
      <c r="Q255" t="s">
        <v>371</v>
      </c>
      <c r="R255" t="s">
        <v>371</v>
      </c>
      <c r="S255" s="17" t="s">
        <v>371</v>
      </c>
      <c r="T255" s="16" t="s">
        <v>341</v>
      </c>
      <c r="U255" s="16" t="s">
        <v>340</v>
      </c>
      <c r="V255" s="15" t="s">
        <v>343</v>
      </c>
      <c r="W255" s="15" t="s">
        <v>344</v>
      </c>
      <c r="X255" s="17"/>
      <c r="Y255" t="s">
        <v>349</v>
      </c>
      <c r="Z255" t="s">
        <v>349</v>
      </c>
      <c r="AA255" t="s">
        <v>293</v>
      </c>
      <c r="AB255" t="s">
        <v>353</v>
      </c>
      <c r="AC255" t="s">
        <v>297</v>
      </c>
      <c r="AD255" t="s">
        <v>300</v>
      </c>
      <c r="AE255" t="s">
        <v>292</v>
      </c>
      <c r="AF255" t="s">
        <v>293</v>
      </c>
      <c r="AG255" t="s">
        <v>292</v>
      </c>
      <c r="AH255" t="s">
        <v>293</v>
      </c>
      <c r="AI255" t="s">
        <v>293</v>
      </c>
      <c r="AJ255" t="s">
        <v>302</v>
      </c>
      <c r="AK255" t="s">
        <v>359</v>
      </c>
      <c r="AL255" t="s">
        <v>359</v>
      </c>
      <c r="AM255" t="s">
        <v>293</v>
      </c>
      <c r="AN255" t="s">
        <v>293</v>
      </c>
      <c r="AO255" t="s">
        <v>297</v>
      </c>
      <c r="AP255" t="s">
        <v>298</v>
      </c>
      <c r="AQ255" t="s">
        <v>360</v>
      </c>
      <c r="AR255" t="s">
        <v>292</v>
      </c>
      <c r="AS255" t="s">
        <v>293</v>
      </c>
      <c r="AT255" t="s">
        <v>293</v>
      </c>
      <c r="AU255" t="s">
        <v>364</v>
      </c>
      <c r="AV255" t="str">
        <f t="shared" si="8"/>
        <v>break</v>
      </c>
    </row>
    <row r="256" spans="1:48" x14ac:dyDescent="0.3">
      <c r="A256" t="s">
        <v>43</v>
      </c>
      <c r="B256" t="s">
        <v>62</v>
      </c>
      <c r="C256" t="s">
        <v>42</v>
      </c>
      <c r="D256" t="s">
        <v>29</v>
      </c>
      <c r="E256" t="str">
        <f t="shared" si="7"/>
        <v>P_L4V-ZSB-S_8C2</v>
      </c>
      <c r="F256" t="b">
        <v>1</v>
      </c>
      <c r="G256">
        <v>100</v>
      </c>
      <c r="H256">
        <v>1</v>
      </c>
      <c r="I256">
        <v>8808</v>
      </c>
      <c r="J256" s="49" t="s">
        <v>18</v>
      </c>
      <c r="L256" s="16" t="s">
        <v>272</v>
      </c>
      <c r="M256" s="16">
        <v>3</v>
      </c>
      <c r="N256" s="16" t="s">
        <v>277</v>
      </c>
      <c r="O256" s="16" t="s">
        <v>335</v>
      </c>
      <c r="P256" s="15" t="s">
        <v>282</v>
      </c>
      <c r="Q256" t="s">
        <v>371</v>
      </c>
      <c r="R256" t="s">
        <v>371</v>
      </c>
      <c r="S256" s="17" t="s">
        <v>371</v>
      </c>
      <c r="T256" s="16" t="s">
        <v>341</v>
      </c>
      <c r="U256" s="16" t="s">
        <v>340</v>
      </c>
      <c r="V256" s="15" t="s">
        <v>340</v>
      </c>
      <c r="W256" s="15" t="s">
        <v>345</v>
      </c>
      <c r="X256" s="17"/>
      <c r="Y256" t="s">
        <v>350</v>
      </c>
      <c r="Z256" t="s">
        <v>349</v>
      </c>
      <c r="AA256" t="s">
        <v>293</v>
      </c>
      <c r="AB256" t="s">
        <v>354</v>
      </c>
      <c r="AC256" t="s">
        <v>354</v>
      </c>
      <c r="AD256" t="s">
        <v>300</v>
      </c>
      <c r="AE256" t="s">
        <v>292</v>
      </c>
      <c r="AF256" t="s">
        <v>292</v>
      </c>
      <c r="AG256" t="s">
        <v>292</v>
      </c>
      <c r="AH256" t="s">
        <v>293</v>
      </c>
      <c r="AI256" t="s">
        <v>293</v>
      </c>
      <c r="AJ256" t="s">
        <v>302</v>
      </c>
      <c r="AK256" t="s">
        <v>302</v>
      </c>
      <c r="AL256" t="s">
        <v>357</v>
      </c>
      <c r="AM256" t="s">
        <v>293</v>
      </c>
      <c r="AN256" t="s">
        <v>293</v>
      </c>
      <c r="AO256" t="s">
        <v>297</v>
      </c>
      <c r="AP256" t="s">
        <v>298</v>
      </c>
      <c r="AQ256" t="s">
        <v>293</v>
      </c>
      <c r="AR256" t="s">
        <v>292</v>
      </c>
      <c r="AS256" t="s">
        <v>293</v>
      </c>
      <c r="AT256" t="s">
        <v>293</v>
      </c>
      <c r="AU256" t="s">
        <v>364</v>
      </c>
      <c r="AV256" t="str">
        <f t="shared" si="8"/>
        <v>break</v>
      </c>
    </row>
    <row r="257" spans="1:48" x14ac:dyDescent="0.3">
      <c r="A257" t="s">
        <v>43</v>
      </c>
      <c r="B257" t="s">
        <v>62</v>
      </c>
      <c r="C257" t="s">
        <v>36</v>
      </c>
      <c r="D257" t="s">
        <v>29</v>
      </c>
      <c r="E257" t="str">
        <f t="shared" si="7"/>
        <v>P_L4V-ZSB-S_8D0</v>
      </c>
      <c r="F257" t="b">
        <v>1</v>
      </c>
      <c r="G257">
        <v>93</v>
      </c>
      <c r="H257">
        <v>0</v>
      </c>
      <c r="I257">
        <v>8739</v>
      </c>
      <c r="J257" s="49" t="s">
        <v>13</v>
      </c>
      <c r="L257" s="16" t="s">
        <v>272</v>
      </c>
      <c r="M257" s="16">
        <v>3</v>
      </c>
      <c r="N257" s="16" t="s">
        <v>333</v>
      </c>
      <c r="O257" s="16" t="s">
        <v>278</v>
      </c>
      <c r="P257" s="15" t="s">
        <v>283</v>
      </c>
      <c r="Q257" t="s">
        <v>371</v>
      </c>
      <c r="R257" t="s">
        <v>371</v>
      </c>
      <c r="S257" s="17" t="s">
        <v>371</v>
      </c>
      <c r="T257" s="16" t="s">
        <v>341</v>
      </c>
      <c r="U257" s="16" t="s">
        <v>340</v>
      </c>
      <c r="V257" s="15" t="s">
        <v>343</v>
      </c>
      <c r="W257" s="15" t="s">
        <v>345</v>
      </c>
      <c r="X257" s="17"/>
      <c r="Y257" t="s">
        <v>349</v>
      </c>
      <c r="Z257" t="s">
        <v>349</v>
      </c>
      <c r="AA257" t="s">
        <v>293</v>
      </c>
      <c r="AB257" t="s">
        <v>353</v>
      </c>
      <c r="AC257" t="s">
        <v>297</v>
      </c>
      <c r="AD257" t="s">
        <v>300</v>
      </c>
      <c r="AE257" t="s">
        <v>292</v>
      </c>
      <c r="AF257" t="s">
        <v>293</v>
      </c>
      <c r="AG257" t="s">
        <v>292</v>
      </c>
      <c r="AH257" t="s">
        <v>293</v>
      </c>
      <c r="AI257" t="s">
        <v>293</v>
      </c>
      <c r="AJ257" t="s">
        <v>302</v>
      </c>
      <c r="AK257" t="s">
        <v>359</v>
      </c>
      <c r="AL257" t="s">
        <v>359</v>
      </c>
      <c r="AM257" t="s">
        <v>293</v>
      </c>
      <c r="AN257" t="s">
        <v>293</v>
      </c>
      <c r="AO257" t="s">
        <v>297</v>
      </c>
      <c r="AP257" t="s">
        <v>298</v>
      </c>
      <c r="AQ257" t="s">
        <v>293</v>
      </c>
      <c r="AR257" t="s">
        <v>292</v>
      </c>
      <c r="AS257" t="s">
        <v>293</v>
      </c>
      <c r="AT257" t="s">
        <v>293</v>
      </c>
      <c r="AU257" t="s">
        <v>364</v>
      </c>
      <c r="AV257" t="str">
        <f t="shared" si="8"/>
        <v>no_fail</v>
      </c>
    </row>
    <row r="258" spans="1:48" x14ac:dyDescent="0.3">
      <c r="A258" t="s">
        <v>43</v>
      </c>
      <c r="B258" t="s">
        <v>62</v>
      </c>
      <c r="C258" t="s">
        <v>33</v>
      </c>
      <c r="D258" t="s">
        <v>29</v>
      </c>
      <c r="E258" t="str">
        <f t="shared" ref="E258:E321" si="9">B258&amp;"-"&amp;D258&amp;"-"&amp;C258</f>
        <v>P_L4V-ZSB-S_8I8</v>
      </c>
      <c r="F258" t="b">
        <v>1</v>
      </c>
      <c r="G258">
        <v>100</v>
      </c>
      <c r="H258">
        <v>1</v>
      </c>
      <c r="I258">
        <v>8853</v>
      </c>
      <c r="J258" s="49" t="s">
        <v>18</v>
      </c>
      <c r="L258" s="16" t="s">
        <v>272</v>
      </c>
      <c r="M258" s="16">
        <v>3</v>
      </c>
      <c r="N258" s="16" t="s">
        <v>333</v>
      </c>
      <c r="O258" s="16" t="s">
        <v>278</v>
      </c>
      <c r="P258" s="15" t="s">
        <v>283</v>
      </c>
      <c r="Q258" t="s">
        <v>371</v>
      </c>
      <c r="R258" t="s">
        <v>371</v>
      </c>
      <c r="S258" s="17" t="s">
        <v>371</v>
      </c>
      <c r="T258" s="16" t="s">
        <v>341</v>
      </c>
      <c r="U258" s="16" t="s">
        <v>340</v>
      </c>
      <c r="V258" s="15" t="s">
        <v>343</v>
      </c>
      <c r="W258" s="15" t="s">
        <v>344</v>
      </c>
      <c r="X258" s="17"/>
      <c r="Y258" t="s">
        <v>349</v>
      </c>
      <c r="Z258" t="s">
        <v>349</v>
      </c>
      <c r="AA258" t="s">
        <v>293</v>
      </c>
      <c r="AB258" t="s">
        <v>353</v>
      </c>
      <c r="AC258" t="s">
        <v>297</v>
      </c>
      <c r="AD258" t="s">
        <v>300</v>
      </c>
      <c r="AE258" t="s">
        <v>292</v>
      </c>
      <c r="AF258" t="s">
        <v>293</v>
      </c>
      <c r="AG258" t="s">
        <v>292</v>
      </c>
      <c r="AH258" t="s">
        <v>293</v>
      </c>
      <c r="AI258" t="s">
        <v>293</v>
      </c>
      <c r="AJ258" t="s">
        <v>302</v>
      </c>
      <c r="AK258" t="s">
        <v>359</v>
      </c>
      <c r="AL258" t="s">
        <v>359</v>
      </c>
      <c r="AM258" t="s">
        <v>293</v>
      </c>
      <c r="AN258" t="s">
        <v>293</v>
      </c>
      <c r="AO258" t="s">
        <v>297</v>
      </c>
      <c r="AP258" t="s">
        <v>298</v>
      </c>
      <c r="AQ258" t="s">
        <v>360</v>
      </c>
      <c r="AR258" t="s">
        <v>292</v>
      </c>
      <c r="AS258" t="s">
        <v>293</v>
      </c>
      <c r="AT258" t="s">
        <v>293</v>
      </c>
      <c r="AU258" t="s">
        <v>364</v>
      </c>
      <c r="AV258" t="str">
        <f t="shared" si="8"/>
        <v>break</v>
      </c>
    </row>
    <row r="259" spans="1:48" x14ac:dyDescent="0.3">
      <c r="A259" t="s">
        <v>43</v>
      </c>
      <c r="B259" t="s">
        <v>62</v>
      </c>
      <c r="C259" t="s">
        <v>35</v>
      </c>
      <c r="D259" t="s">
        <v>29</v>
      </c>
      <c r="E259" t="str">
        <f t="shared" si="9"/>
        <v>P_L4V-ZSB-S_9X8</v>
      </c>
      <c r="F259" t="b">
        <v>1</v>
      </c>
      <c r="G259">
        <v>100</v>
      </c>
      <c r="H259">
        <v>1</v>
      </c>
      <c r="I259">
        <v>8705</v>
      </c>
      <c r="J259" s="49" t="s">
        <v>18</v>
      </c>
      <c r="L259" s="16" t="s">
        <v>272</v>
      </c>
      <c r="M259" s="16">
        <v>3</v>
      </c>
      <c r="N259" s="16" t="s">
        <v>333</v>
      </c>
      <c r="O259" s="16" t="s">
        <v>278</v>
      </c>
      <c r="P259" s="15" t="s">
        <v>283</v>
      </c>
      <c r="Q259" t="s">
        <v>371</v>
      </c>
      <c r="R259" t="s">
        <v>371</v>
      </c>
      <c r="S259" s="17" t="s">
        <v>371</v>
      </c>
      <c r="T259" s="16" t="s">
        <v>341</v>
      </c>
      <c r="U259" s="16" t="s">
        <v>340</v>
      </c>
      <c r="V259" s="15" t="s">
        <v>343</v>
      </c>
      <c r="W259" s="15" t="s">
        <v>344</v>
      </c>
      <c r="X259" s="17"/>
      <c r="Y259" t="s">
        <v>349</v>
      </c>
      <c r="Z259" t="s">
        <v>349</v>
      </c>
      <c r="AA259" t="s">
        <v>293</v>
      </c>
      <c r="AB259" t="s">
        <v>353</v>
      </c>
      <c r="AC259" t="s">
        <v>297</v>
      </c>
      <c r="AD259" t="s">
        <v>300</v>
      </c>
      <c r="AE259" t="s">
        <v>292</v>
      </c>
      <c r="AF259" t="s">
        <v>293</v>
      </c>
      <c r="AG259" t="s">
        <v>292</v>
      </c>
      <c r="AH259" t="s">
        <v>293</v>
      </c>
      <c r="AI259" t="s">
        <v>293</v>
      </c>
      <c r="AJ259" t="s">
        <v>302</v>
      </c>
      <c r="AK259" t="s">
        <v>359</v>
      </c>
      <c r="AL259" t="s">
        <v>359</v>
      </c>
      <c r="AM259" t="s">
        <v>293</v>
      </c>
      <c r="AN259" t="s">
        <v>293</v>
      </c>
      <c r="AO259" t="s">
        <v>297</v>
      </c>
      <c r="AP259" t="s">
        <v>298</v>
      </c>
      <c r="AQ259" t="s">
        <v>360</v>
      </c>
      <c r="AR259" t="s">
        <v>292</v>
      </c>
      <c r="AS259" t="s">
        <v>293</v>
      </c>
      <c r="AT259" t="s">
        <v>293</v>
      </c>
      <c r="AU259" t="s">
        <v>364</v>
      </c>
      <c r="AV259" t="str">
        <f t="shared" si="8"/>
        <v>break</v>
      </c>
    </row>
    <row r="260" spans="1:48" x14ac:dyDescent="0.3">
      <c r="A260" t="s">
        <v>43</v>
      </c>
      <c r="B260" t="s">
        <v>58</v>
      </c>
      <c r="C260" t="s">
        <v>15</v>
      </c>
      <c r="D260" t="s">
        <v>12</v>
      </c>
      <c r="E260" t="str">
        <f t="shared" si="9"/>
        <v>P_L7K-KYY-S_0M4</v>
      </c>
      <c r="F260" t="b">
        <v>1</v>
      </c>
      <c r="G260">
        <v>100</v>
      </c>
      <c r="H260">
        <v>1</v>
      </c>
      <c r="I260">
        <v>9809</v>
      </c>
      <c r="J260" s="49" t="s">
        <v>18</v>
      </c>
      <c r="L260" s="16" t="s">
        <v>272</v>
      </c>
      <c r="M260" s="16">
        <v>3</v>
      </c>
      <c r="N260" s="16" t="s">
        <v>277</v>
      </c>
      <c r="O260" s="16" t="s">
        <v>335</v>
      </c>
      <c r="P260" s="15" t="s">
        <v>281</v>
      </c>
      <c r="Q260" t="s">
        <v>282</v>
      </c>
      <c r="R260" t="s">
        <v>371</v>
      </c>
      <c r="S260" s="17" t="s">
        <v>371</v>
      </c>
      <c r="T260" s="16" t="s">
        <v>341</v>
      </c>
      <c r="U260" s="16" t="s">
        <v>342</v>
      </c>
      <c r="V260" s="15" t="s">
        <v>343</v>
      </c>
      <c r="W260" s="15" t="s">
        <v>345</v>
      </c>
      <c r="X260" s="17" t="s">
        <v>291</v>
      </c>
      <c r="Y260" t="s">
        <v>349</v>
      </c>
      <c r="Z260" t="s">
        <v>349</v>
      </c>
      <c r="AA260" t="s">
        <v>293</v>
      </c>
      <c r="AB260" t="s">
        <v>352</v>
      </c>
      <c r="AC260" t="s">
        <v>296</v>
      </c>
      <c r="AD260" t="s">
        <v>301</v>
      </c>
      <c r="AE260" t="s">
        <v>292</v>
      </c>
      <c r="AF260" t="s">
        <v>293</v>
      </c>
      <c r="AG260" t="s">
        <v>292</v>
      </c>
      <c r="AH260" t="s">
        <v>292</v>
      </c>
      <c r="AI260" t="s">
        <v>293</v>
      </c>
      <c r="AJ260" t="s">
        <v>302</v>
      </c>
      <c r="AK260" t="s">
        <v>302</v>
      </c>
      <c r="AL260" t="s">
        <v>359</v>
      </c>
      <c r="AM260" t="s">
        <v>293</v>
      </c>
      <c r="AN260" t="s">
        <v>293</v>
      </c>
      <c r="AO260" t="s">
        <v>297</v>
      </c>
      <c r="AP260" t="s">
        <v>298</v>
      </c>
      <c r="AQ260" t="s">
        <v>293</v>
      </c>
      <c r="AR260" t="s">
        <v>292</v>
      </c>
      <c r="AS260" t="s">
        <v>293</v>
      </c>
      <c r="AT260" t="s">
        <v>293</v>
      </c>
      <c r="AU260" t="s">
        <v>364</v>
      </c>
      <c r="AV260" t="str">
        <f t="shared" si="8"/>
        <v>break</v>
      </c>
    </row>
    <row r="261" spans="1:48" x14ac:dyDescent="0.3">
      <c r="A261" t="s">
        <v>43</v>
      </c>
      <c r="B261" t="s">
        <v>58</v>
      </c>
      <c r="C261" t="s">
        <v>14</v>
      </c>
      <c r="D261" t="s">
        <v>12</v>
      </c>
      <c r="E261" t="str">
        <f t="shared" si="9"/>
        <v>P_L7K-KYY-S_1B0</v>
      </c>
      <c r="F261" t="b">
        <v>1</v>
      </c>
      <c r="G261">
        <v>79.900000000000006</v>
      </c>
      <c r="H261">
        <v>0</v>
      </c>
      <c r="I261">
        <v>10669</v>
      </c>
      <c r="J261" s="49" t="s">
        <v>13</v>
      </c>
      <c r="L261" s="16" t="s">
        <v>272</v>
      </c>
      <c r="M261" s="16">
        <v>3</v>
      </c>
      <c r="N261" s="16" t="s">
        <v>277</v>
      </c>
      <c r="O261" s="16" t="s">
        <v>335</v>
      </c>
      <c r="P261" s="15" t="s">
        <v>282</v>
      </c>
      <c r="Q261" t="s">
        <v>283</v>
      </c>
      <c r="R261" t="s">
        <v>281</v>
      </c>
      <c r="S261" s="17" t="s">
        <v>371</v>
      </c>
      <c r="T261" s="16" t="s">
        <v>341</v>
      </c>
      <c r="U261" s="16" t="s">
        <v>342</v>
      </c>
      <c r="V261" s="15" t="s">
        <v>343</v>
      </c>
      <c r="W261" s="15" t="s">
        <v>345</v>
      </c>
      <c r="X261" s="17" t="s">
        <v>347</v>
      </c>
      <c r="Y261" t="s">
        <v>349</v>
      </c>
      <c r="Z261" t="s">
        <v>349</v>
      </c>
      <c r="AA261" t="s">
        <v>293</v>
      </c>
      <c r="AB261" t="s">
        <v>352</v>
      </c>
      <c r="AC261" t="s">
        <v>296</v>
      </c>
      <c r="AD261" t="s">
        <v>301</v>
      </c>
      <c r="AE261" t="s">
        <v>292</v>
      </c>
      <c r="AF261" t="s">
        <v>293</v>
      </c>
      <c r="AG261" t="s">
        <v>292</v>
      </c>
      <c r="AH261" t="s">
        <v>292</v>
      </c>
      <c r="AI261" t="s">
        <v>293</v>
      </c>
      <c r="AJ261" t="s">
        <v>302</v>
      </c>
      <c r="AK261" t="s">
        <v>302</v>
      </c>
      <c r="AL261" t="s">
        <v>359</v>
      </c>
      <c r="AM261" t="s">
        <v>293</v>
      </c>
      <c r="AN261" t="s">
        <v>293</v>
      </c>
      <c r="AO261" t="s">
        <v>297</v>
      </c>
      <c r="AP261" t="s">
        <v>298</v>
      </c>
      <c r="AQ261" t="s">
        <v>293</v>
      </c>
      <c r="AR261" t="s">
        <v>292</v>
      </c>
      <c r="AS261" t="s">
        <v>293</v>
      </c>
      <c r="AT261" t="s">
        <v>293</v>
      </c>
      <c r="AU261" t="s">
        <v>364</v>
      </c>
      <c r="AV261" t="str">
        <f t="shared" si="8"/>
        <v>no_fail</v>
      </c>
    </row>
    <row r="262" spans="1:48" x14ac:dyDescent="0.3">
      <c r="A262" t="s">
        <v>43</v>
      </c>
      <c r="B262" t="s">
        <v>58</v>
      </c>
      <c r="C262" t="s">
        <v>11</v>
      </c>
      <c r="D262" t="s">
        <v>12</v>
      </c>
      <c r="E262" t="str">
        <f t="shared" si="9"/>
        <v>P_L7K-KYY-S_1Q4</v>
      </c>
      <c r="F262" t="b">
        <v>1</v>
      </c>
      <c r="G262">
        <v>100</v>
      </c>
      <c r="H262">
        <v>1</v>
      </c>
      <c r="I262">
        <v>9746</v>
      </c>
      <c r="J262" s="49" t="s">
        <v>13</v>
      </c>
      <c r="L262" s="16" t="s">
        <v>272</v>
      </c>
      <c r="M262" s="16">
        <v>3</v>
      </c>
      <c r="N262" s="16" t="s">
        <v>277</v>
      </c>
      <c r="O262" s="16" t="s">
        <v>335</v>
      </c>
      <c r="P262" s="15" t="s">
        <v>282</v>
      </c>
      <c r="Q262" t="s">
        <v>283</v>
      </c>
      <c r="R262" t="s">
        <v>281</v>
      </c>
      <c r="S262" s="17" t="s">
        <v>371</v>
      </c>
      <c r="T262" s="16" t="s">
        <v>341</v>
      </c>
      <c r="U262" s="16" t="s">
        <v>342</v>
      </c>
      <c r="V262" s="15" t="s">
        <v>343</v>
      </c>
      <c r="W262" s="15" t="s">
        <v>344</v>
      </c>
      <c r="X262" s="17"/>
      <c r="Y262" t="s">
        <v>349</v>
      </c>
      <c r="Z262" t="s">
        <v>349</v>
      </c>
      <c r="AA262" t="s">
        <v>293</v>
      </c>
      <c r="AB262" t="s">
        <v>352</v>
      </c>
      <c r="AC262" t="s">
        <v>296</v>
      </c>
      <c r="AD262" t="s">
        <v>301</v>
      </c>
      <c r="AE262" t="s">
        <v>292</v>
      </c>
      <c r="AF262" t="s">
        <v>293</v>
      </c>
      <c r="AG262" t="s">
        <v>292</v>
      </c>
      <c r="AH262" t="s">
        <v>292</v>
      </c>
      <c r="AI262" t="s">
        <v>293</v>
      </c>
      <c r="AJ262" t="s">
        <v>302</v>
      </c>
      <c r="AK262" t="s">
        <v>359</v>
      </c>
      <c r="AL262" t="s">
        <v>359</v>
      </c>
      <c r="AM262" t="s">
        <v>293</v>
      </c>
      <c r="AN262" t="s">
        <v>293</v>
      </c>
      <c r="AO262" t="s">
        <v>297</v>
      </c>
      <c r="AP262" t="s">
        <v>298</v>
      </c>
      <c r="AQ262" t="s">
        <v>293</v>
      </c>
      <c r="AR262" t="s">
        <v>292</v>
      </c>
      <c r="AS262" t="s">
        <v>293</v>
      </c>
      <c r="AT262" t="s">
        <v>293</v>
      </c>
      <c r="AU262" t="s">
        <v>364</v>
      </c>
      <c r="AV262" t="str">
        <f t="shared" si="8"/>
        <v>no_fail</v>
      </c>
    </row>
    <row r="263" spans="1:48" x14ac:dyDescent="0.3">
      <c r="A263" t="s">
        <v>43</v>
      </c>
      <c r="B263" t="s">
        <v>58</v>
      </c>
      <c r="C263" t="s">
        <v>16</v>
      </c>
      <c r="D263" t="s">
        <v>12</v>
      </c>
      <c r="E263" t="str">
        <f t="shared" si="9"/>
        <v>P_L7K-KYY-S_6U7</v>
      </c>
      <c r="F263" t="b">
        <v>1</v>
      </c>
      <c r="G263">
        <v>100</v>
      </c>
      <c r="H263">
        <v>1</v>
      </c>
      <c r="I263">
        <v>8981</v>
      </c>
      <c r="J263" s="49" t="s">
        <v>18</v>
      </c>
      <c r="L263" s="16" t="s">
        <v>272</v>
      </c>
      <c r="M263" s="16">
        <v>3</v>
      </c>
      <c r="N263" s="16" t="s">
        <v>277</v>
      </c>
      <c r="O263" s="16" t="s">
        <v>335</v>
      </c>
      <c r="P263" s="15" t="s">
        <v>281</v>
      </c>
      <c r="Q263" t="s">
        <v>283</v>
      </c>
      <c r="R263" t="s">
        <v>282</v>
      </c>
      <c r="S263" s="17" t="s">
        <v>371</v>
      </c>
      <c r="T263" s="16" t="s">
        <v>341</v>
      </c>
      <c r="U263" s="16" t="s">
        <v>342</v>
      </c>
      <c r="V263" s="15" t="s">
        <v>343</v>
      </c>
      <c r="W263" s="15" t="s">
        <v>345</v>
      </c>
      <c r="X263" s="17"/>
      <c r="Y263" t="s">
        <v>349</v>
      </c>
      <c r="Z263" t="s">
        <v>349</v>
      </c>
      <c r="AA263" t="s">
        <v>293</v>
      </c>
      <c r="AB263" t="s">
        <v>352</v>
      </c>
      <c r="AC263" t="s">
        <v>296</v>
      </c>
      <c r="AD263" t="s">
        <v>300</v>
      </c>
      <c r="AE263" t="s">
        <v>292</v>
      </c>
      <c r="AF263" t="s">
        <v>293</v>
      </c>
      <c r="AG263" t="s">
        <v>292</v>
      </c>
      <c r="AH263" t="s">
        <v>292</v>
      </c>
      <c r="AI263" t="s">
        <v>293</v>
      </c>
      <c r="AJ263" t="s">
        <v>302</v>
      </c>
      <c r="AK263" t="s">
        <v>302</v>
      </c>
      <c r="AL263" t="s">
        <v>359</v>
      </c>
      <c r="AM263" t="s">
        <v>293</v>
      </c>
      <c r="AN263" t="s">
        <v>293</v>
      </c>
      <c r="AO263" t="s">
        <v>297</v>
      </c>
      <c r="AP263" t="s">
        <v>298</v>
      </c>
      <c r="AQ263" t="s">
        <v>293</v>
      </c>
      <c r="AR263" t="s">
        <v>292</v>
      </c>
      <c r="AS263" t="s">
        <v>293</v>
      </c>
      <c r="AT263" t="s">
        <v>293</v>
      </c>
      <c r="AU263" t="s">
        <v>364</v>
      </c>
      <c r="AV263" t="str">
        <f t="shared" si="8"/>
        <v>break</v>
      </c>
    </row>
    <row r="264" spans="1:48" x14ac:dyDescent="0.3">
      <c r="A264" t="s">
        <v>43</v>
      </c>
      <c r="B264" t="s">
        <v>58</v>
      </c>
      <c r="C264" t="s">
        <v>19</v>
      </c>
      <c r="D264" t="s">
        <v>29</v>
      </c>
      <c r="E264" t="str">
        <f t="shared" si="9"/>
        <v>P_L7K-ZSB-S_4U3</v>
      </c>
      <c r="F264" t="b">
        <v>1</v>
      </c>
      <c r="G264">
        <v>100</v>
      </c>
      <c r="H264">
        <v>1</v>
      </c>
      <c r="I264">
        <v>22277</v>
      </c>
      <c r="J264" s="49" t="s">
        <v>18</v>
      </c>
      <c r="L264" s="16" t="s">
        <v>272</v>
      </c>
      <c r="M264" s="16">
        <v>2</v>
      </c>
      <c r="N264" s="16" t="s">
        <v>277</v>
      </c>
      <c r="O264" s="16" t="s">
        <v>335</v>
      </c>
      <c r="P264" s="15" t="s">
        <v>281</v>
      </c>
      <c r="Q264" t="s">
        <v>282</v>
      </c>
      <c r="R264" t="s">
        <v>371</v>
      </c>
      <c r="S264" s="17" t="s">
        <v>371</v>
      </c>
      <c r="T264" s="16" t="s">
        <v>341</v>
      </c>
      <c r="U264" s="16" t="s">
        <v>340</v>
      </c>
      <c r="V264" s="15" t="s">
        <v>340</v>
      </c>
      <c r="W264" s="15" t="s">
        <v>344</v>
      </c>
      <c r="X264" s="17" t="s">
        <v>347</v>
      </c>
      <c r="Y264" t="s">
        <v>349</v>
      </c>
      <c r="Z264" t="s">
        <v>349</v>
      </c>
      <c r="AA264" t="s">
        <v>293</v>
      </c>
      <c r="AB264" t="s">
        <v>354</v>
      </c>
      <c r="AC264" t="s">
        <v>354</v>
      </c>
      <c r="AD264" t="s">
        <v>301</v>
      </c>
      <c r="AE264" t="s">
        <v>292</v>
      </c>
      <c r="AF264" t="s">
        <v>293</v>
      </c>
      <c r="AG264" t="s">
        <v>292</v>
      </c>
      <c r="AH264" t="s">
        <v>292</v>
      </c>
      <c r="AI264" t="s">
        <v>293</v>
      </c>
      <c r="AJ264" t="s">
        <v>302</v>
      </c>
      <c r="AK264" t="s">
        <v>302</v>
      </c>
      <c r="AL264" t="s">
        <v>357</v>
      </c>
      <c r="AM264" t="s">
        <v>293</v>
      </c>
      <c r="AN264" t="s">
        <v>293</v>
      </c>
      <c r="AO264" t="s">
        <v>297</v>
      </c>
      <c r="AP264" t="s">
        <v>298</v>
      </c>
      <c r="AQ264" t="s">
        <v>293</v>
      </c>
      <c r="AR264" t="s">
        <v>292</v>
      </c>
      <c r="AS264" t="s">
        <v>363</v>
      </c>
      <c r="AT264" t="s">
        <v>293</v>
      </c>
      <c r="AU264" t="s">
        <v>364</v>
      </c>
      <c r="AV264" t="str">
        <f t="shared" si="8"/>
        <v>break</v>
      </c>
    </row>
    <row r="265" spans="1:48" x14ac:dyDescent="0.3">
      <c r="A265" t="s">
        <v>43</v>
      </c>
      <c r="B265" t="s">
        <v>58</v>
      </c>
      <c r="C265" t="s">
        <v>17</v>
      </c>
      <c r="D265" t="s">
        <v>29</v>
      </c>
      <c r="E265" t="str">
        <f t="shared" si="9"/>
        <v>P_L7K-ZSB-S_6B5</v>
      </c>
      <c r="F265" t="b">
        <v>1</v>
      </c>
      <c r="G265">
        <v>100</v>
      </c>
      <c r="H265">
        <v>1</v>
      </c>
      <c r="I265">
        <v>16046</v>
      </c>
      <c r="J265" s="49" t="s">
        <v>18</v>
      </c>
      <c r="L265" s="16" t="s">
        <v>272</v>
      </c>
      <c r="M265" s="16">
        <v>2</v>
      </c>
      <c r="N265" s="16" t="s">
        <v>277</v>
      </c>
      <c r="O265" s="16" t="s">
        <v>335</v>
      </c>
      <c r="P265" s="15" t="s">
        <v>281</v>
      </c>
      <c r="Q265" t="s">
        <v>282</v>
      </c>
      <c r="R265" t="s">
        <v>371</v>
      </c>
      <c r="S265" s="17" t="s">
        <v>371</v>
      </c>
      <c r="T265" s="16" t="s">
        <v>341</v>
      </c>
      <c r="U265" s="16" t="s">
        <v>340</v>
      </c>
      <c r="V265" s="15" t="s">
        <v>340</v>
      </c>
      <c r="W265" s="15" t="s">
        <v>344</v>
      </c>
      <c r="X265" s="17" t="s">
        <v>347</v>
      </c>
      <c r="Y265" t="s">
        <v>349</v>
      </c>
      <c r="Z265" t="s">
        <v>349</v>
      </c>
      <c r="AA265" t="s">
        <v>293</v>
      </c>
      <c r="AB265" t="s">
        <v>354</v>
      </c>
      <c r="AC265" t="s">
        <v>354</v>
      </c>
      <c r="AD265" t="s">
        <v>301</v>
      </c>
      <c r="AE265" t="s">
        <v>292</v>
      </c>
      <c r="AF265" t="s">
        <v>293</v>
      </c>
      <c r="AG265" t="s">
        <v>292</v>
      </c>
      <c r="AH265" t="s">
        <v>292</v>
      </c>
      <c r="AI265" t="s">
        <v>293</v>
      </c>
      <c r="AJ265" t="s">
        <v>302</v>
      </c>
      <c r="AK265" t="s">
        <v>302</v>
      </c>
      <c r="AL265" t="s">
        <v>357</v>
      </c>
      <c r="AM265" t="s">
        <v>293</v>
      </c>
      <c r="AN265" t="s">
        <v>293</v>
      </c>
      <c r="AO265" t="s">
        <v>297</v>
      </c>
      <c r="AP265" t="s">
        <v>298</v>
      </c>
      <c r="AQ265" t="s">
        <v>293</v>
      </c>
      <c r="AR265" t="s">
        <v>292</v>
      </c>
      <c r="AS265" t="s">
        <v>363</v>
      </c>
      <c r="AT265" t="s">
        <v>293</v>
      </c>
      <c r="AU265" t="s">
        <v>364</v>
      </c>
      <c r="AV265" t="str">
        <f t="shared" si="8"/>
        <v>break</v>
      </c>
    </row>
    <row r="266" spans="1:48" x14ac:dyDescent="0.3">
      <c r="A266" t="s">
        <v>45</v>
      </c>
      <c r="B266" t="s">
        <v>61</v>
      </c>
      <c r="C266" t="s">
        <v>15</v>
      </c>
      <c r="D266" t="s">
        <v>12</v>
      </c>
      <c r="E266" t="str">
        <f t="shared" si="9"/>
        <v>P_M4M-KYY-S_0M4</v>
      </c>
      <c r="F266" t="b">
        <v>1</v>
      </c>
      <c r="G266">
        <v>100</v>
      </c>
      <c r="H266">
        <v>1</v>
      </c>
      <c r="I266">
        <v>19310</v>
      </c>
      <c r="J266" s="49" t="s">
        <v>18</v>
      </c>
      <c r="L266" s="16" t="s">
        <v>272</v>
      </c>
      <c r="M266" s="16">
        <v>3</v>
      </c>
      <c r="N266" s="16" t="s">
        <v>277</v>
      </c>
      <c r="O266" s="16" t="s">
        <v>335</v>
      </c>
      <c r="P266" s="15" t="s">
        <v>284</v>
      </c>
      <c r="Q266" t="s">
        <v>283</v>
      </c>
      <c r="R266" t="s">
        <v>371</v>
      </c>
      <c r="S266" s="17" t="s">
        <v>371</v>
      </c>
      <c r="T266" s="16" t="s">
        <v>341</v>
      </c>
      <c r="U266" s="16" t="s">
        <v>340</v>
      </c>
      <c r="V266" s="15" t="s">
        <v>343</v>
      </c>
      <c r="W266" s="15" t="s">
        <v>344</v>
      </c>
      <c r="X266" s="17"/>
      <c r="Y266" t="s">
        <v>349</v>
      </c>
      <c r="Z266" t="s">
        <v>349</v>
      </c>
      <c r="AA266" t="s">
        <v>293</v>
      </c>
      <c r="AB266" t="s">
        <v>353</v>
      </c>
      <c r="AC266" t="s">
        <v>296</v>
      </c>
      <c r="AD266" t="s">
        <v>300</v>
      </c>
      <c r="AE266" t="s">
        <v>292</v>
      </c>
      <c r="AF266" t="s">
        <v>292</v>
      </c>
      <c r="AG266" t="s">
        <v>292</v>
      </c>
      <c r="AH266" t="s">
        <v>292</v>
      </c>
      <c r="AI266" t="s">
        <v>293</v>
      </c>
      <c r="AJ266" t="s">
        <v>302</v>
      </c>
      <c r="AK266" t="s">
        <v>302</v>
      </c>
      <c r="AL266" t="s">
        <v>359</v>
      </c>
      <c r="AM266" t="s">
        <v>293</v>
      </c>
      <c r="AN266" t="s">
        <v>293</v>
      </c>
      <c r="AO266" t="s">
        <v>297</v>
      </c>
      <c r="AP266" t="s">
        <v>356</v>
      </c>
      <c r="AQ266" t="s">
        <v>293</v>
      </c>
      <c r="AR266" t="s">
        <v>292</v>
      </c>
      <c r="AS266" t="s">
        <v>293</v>
      </c>
      <c r="AT266" t="s">
        <v>293</v>
      </c>
      <c r="AU266" t="s">
        <v>364</v>
      </c>
      <c r="AV266" t="str">
        <f t="shared" si="8"/>
        <v>break</v>
      </c>
    </row>
    <row r="267" spans="1:48" x14ac:dyDescent="0.3">
      <c r="A267" t="s">
        <v>45</v>
      </c>
      <c r="B267" t="s">
        <v>61</v>
      </c>
      <c r="C267" t="s">
        <v>14</v>
      </c>
      <c r="D267" t="s">
        <v>12</v>
      </c>
      <c r="E267" t="str">
        <f t="shared" si="9"/>
        <v>P_M4M-KYY-S_1B0</v>
      </c>
      <c r="F267" t="b">
        <v>1</v>
      </c>
      <c r="G267">
        <v>99.9</v>
      </c>
      <c r="H267">
        <v>0</v>
      </c>
      <c r="I267">
        <v>7128</v>
      </c>
      <c r="J267" s="49" t="s">
        <v>18</v>
      </c>
      <c r="L267" s="16" t="s">
        <v>272</v>
      </c>
      <c r="M267" s="16">
        <v>2</v>
      </c>
      <c r="N267" s="16" t="s">
        <v>333</v>
      </c>
      <c r="O267" s="16" t="s">
        <v>278</v>
      </c>
      <c r="P267" s="15" t="s">
        <v>284</v>
      </c>
      <c r="Q267" t="s">
        <v>371</v>
      </c>
      <c r="R267" t="s">
        <v>371</v>
      </c>
      <c r="S267" s="17" t="s">
        <v>371</v>
      </c>
      <c r="T267" s="16" t="s">
        <v>341</v>
      </c>
      <c r="U267" s="16" t="s">
        <v>340</v>
      </c>
      <c r="V267" s="15" t="s">
        <v>343</v>
      </c>
      <c r="W267" s="15" t="s">
        <v>344</v>
      </c>
      <c r="X267" s="17"/>
      <c r="Y267" t="s">
        <v>349</v>
      </c>
      <c r="Z267" t="s">
        <v>349</v>
      </c>
      <c r="AA267" t="s">
        <v>293</v>
      </c>
      <c r="AB267" t="s">
        <v>353</v>
      </c>
      <c r="AC267" t="s">
        <v>355</v>
      </c>
      <c r="AD267" t="s">
        <v>301</v>
      </c>
      <c r="AE267" t="s">
        <v>292</v>
      </c>
      <c r="AF267" t="s">
        <v>293</v>
      </c>
      <c r="AG267" t="s">
        <v>292</v>
      </c>
      <c r="AH267" t="s">
        <v>292</v>
      </c>
      <c r="AI267" t="s">
        <v>293</v>
      </c>
      <c r="AJ267" t="s">
        <v>302</v>
      </c>
      <c r="AK267" t="s">
        <v>357</v>
      </c>
      <c r="AL267" t="s">
        <v>302</v>
      </c>
      <c r="AM267" t="s">
        <v>293</v>
      </c>
      <c r="AN267" t="s">
        <v>293</v>
      </c>
      <c r="AO267" t="s">
        <v>297</v>
      </c>
      <c r="AP267" t="s">
        <v>298</v>
      </c>
      <c r="AQ267" t="s">
        <v>293</v>
      </c>
      <c r="AR267" t="s">
        <v>292</v>
      </c>
      <c r="AS267" t="s">
        <v>293</v>
      </c>
      <c r="AT267" t="s">
        <v>293</v>
      </c>
      <c r="AU267" t="s">
        <v>364</v>
      </c>
      <c r="AV267" t="str">
        <f t="shared" si="8"/>
        <v>car_stuck</v>
      </c>
    </row>
    <row r="268" spans="1:48" x14ac:dyDescent="0.3">
      <c r="A268" t="s">
        <v>45</v>
      </c>
      <c r="B268" t="s">
        <v>61</v>
      </c>
      <c r="C268" t="s">
        <v>11</v>
      </c>
      <c r="D268" t="s">
        <v>12</v>
      </c>
      <c r="E268" t="str">
        <f t="shared" si="9"/>
        <v>P_M4M-KYY-S_1Q4</v>
      </c>
      <c r="F268" t="b">
        <v>1</v>
      </c>
      <c r="G268">
        <v>100</v>
      </c>
      <c r="H268">
        <v>1</v>
      </c>
      <c r="I268">
        <v>3954</v>
      </c>
      <c r="J268" s="49" t="s">
        <v>18</v>
      </c>
      <c r="L268" s="16" t="s">
        <v>272</v>
      </c>
      <c r="M268" s="16">
        <v>2</v>
      </c>
      <c r="N268" s="16" t="s">
        <v>333</v>
      </c>
      <c r="O268" s="16" t="s">
        <v>278</v>
      </c>
      <c r="P268" s="15" t="s">
        <v>284</v>
      </c>
      <c r="Q268" t="s">
        <v>371</v>
      </c>
      <c r="R268" t="s">
        <v>371</v>
      </c>
      <c r="S268" s="17" t="s">
        <v>371</v>
      </c>
      <c r="T268" s="16" t="s">
        <v>340</v>
      </c>
      <c r="U268" s="16" t="s">
        <v>340</v>
      </c>
      <c r="V268" s="15" t="s">
        <v>343</v>
      </c>
      <c r="W268" s="15" t="s">
        <v>291</v>
      </c>
      <c r="X268" s="17"/>
      <c r="Y268" t="s">
        <v>349</v>
      </c>
      <c r="Z268" t="s">
        <v>349</v>
      </c>
      <c r="AA268" t="s">
        <v>293</v>
      </c>
      <c r="AB268" t="s">
        <v>352</v>
      </c>
      <c r="AC268" t="s">
        <v>296</v>
      </c>
      <c r="AD268" t="s">
        <v>299</v>
      </c>
      <c r="AE268" t="s">
        <v>292</v>
      </c>
      <c r="AF268" t="s">
        <v>293</v>
      </c>
      <c r="AG268" t="s">
        <v>293</v>
      </c>
      <c r="AH268" t="s">
        <v>292</v>
      </c>
      <c r="AI268" t="s">
        <v>293</v>
      </c>
      <c r="AJ268" t="s">
        <v>302</v>
      </c>
      <c r="AK268" t="s">
        <v>302</v>
      </c>
      <c r="AL268" t="s">
        <v>359</v>
      </c>
      <c r="AM268" t="s">
        <v>293</v>
      </c>
      <c r="AN268" t="s">
        <v>293</v>
      </c>
      <c r="AO268" t="s">
        <v>296</v>
      </c>
      <c r="AP268" t="s">
        <v>298</v>
      </c>
      <c r="AQ268" t="s">
        <v>293</v>
      </c>
      <c r="AR268" t="s">
        <v>292</v>
      </c>
      <c r="AS268" t="s">
        <v>293</v>
      </c>
      <c r="AT268" t="s">
        <v>293</v>
      </c>
      <c r="AU268" t="s">
        <v>364</v>
      </c>
      <c r="AV268" t="str">
        <f t="shared" si="8"/>
        <v>break</v>
      </c>
    </row>
    <row r="269" spans="1:48" x14ac:dyDescent="0.3">
      <c r="A269" t="s">
        <v>45</v>
      </c>
      <c r="B269" t="s">
        <v>61</v>
      </c>
      <c r="C269" t="s">
        <v>16</v>
      </c>
      <c r="D269" t="s">
        <v>29</v>
      </c>
      <c r="E269" t="str">
        <f t="shared" si="9"/>
        <v>P_M4M-ZSB-S_6U7</v>
      </c>
      <c r="F269" t="b">
        <v>1</v>
      </c>
      <c r="G269">
        <v>52.5</v>
      </c>
      <c r="H269">
        <v>0</v>
      </c>
      <c r="I269">
        <v>19599</v>
      </c>
      <c r="J269" s="49" t="s">
        <v>13</v>
      </c>
      <c r="L269" s="16" t="s">
        <v>272</v>
      </c>
      <c r="M269" s="16">
        <v>3</v>
      </c>
      <c r="N269" s="16" t="s">
        <v>277</v>
      </c>
      <c r="O269" s="16" t="s">
        <v>335</v>
      </c>
      <c r="P269" s="15" t="s">
        <v>281</v>
      </c>
      <c r="Q269" t="s">
        <v>282</v>
      </c>
      <c r="R269" t="s">
        <v>371</v>
      </c>
      <c r="S269" s="17" t="s">
        <v>371</v>
      </c>
      <c r="T269" s="16" t="s">
        <v>341</v>
      </c>
      <c r="U269" s="16" t="s">
        <v>340</v>
      </c>
      <c r="V269" s="15" t="s">
        <v>343</v>
      </c>
      <c r="W269" s="15" t="s">
        <v>344</v>
      </c>
      <c r="X269" s="17" t="s">
        <v>291</v>
      </c>
      <c r="Y269" t="s">
        <v>349</v>
      </c>
      <c r="Z269" t="s">
        <v>349</v>
      </c>
      <c r="AA269" t="s">
        <v>293</v>
      </c>
      <c r="AB269" t="s">
        <v>353</v>
      </c>
      <c r="AC269" t="s">
        <v>296</v>
      </c>
      <c r="AD269" t="s">
        <v>300</v>
      </c>
      <c r="AE269" t="s">
        <v>293</v>
      </c>
      <c r="AF269" t="s">
        <v>292</v>
      </c>
      <c r="AG269" t="s">
        <v>292</v>
      </c>
      <c r="AH269" t="s">
        <v>292</v>
      </c>
      <c r="AI269" t="s">
        <v>293</v>
      </c>
      <c r="AJ269" t="s">
        <v>302</v>
      </c>
      <c r="AK269" t="s">
        <v>302</v>
      </c>
      <c r="AL269" t="s">
        <v>359</v>
      </c>
      <c r="AM269" t="s">
        <v>293</v>
      </c>
      <c r="AN269" t="s">
        <v>293</v>
      </c>
      <c r="AO269" t="s">
        <v>297</v>
      </c>
      <c r="AP269" t="s">
        <v>356</v>
      </c>
      <c r="AQ269" t="s">
        <v>293</v>
      </c>
      <c r="AR269" t="s">
        <v>292</v>
      </c>
      <c r="AS269" t="s">
        <v>293</v>
      </c>
      <c r="AT269" t="s">
        <v>293</v>
      </c>
      <c r="AU269" t="s">
        <v>364</v>
      </c>
      <c r="AV269" t="str">
        <f t="shared" si="8"/>
        <v>no_fail</v>
      </c>
    </row>
    <row r="270" spans="1:48" x14ac:dyDescent="0.3">
      <c r="A270" t="s">
        <v>45</v>
      </c>
      <c r="B270" t="s">
        <v>66</v>
      </c>
      <c r="C270" t="s">
        <v>15</v>
      </c>
      <c r="D270" t="s">
        <v>12</v>
      </c>
      <c r="E270" t="str">
        <f t="shared" si="9"/>
        <v>P_M8L-KYY-S_0M4</v>
      </c>
      <c r="F270" t="b">
        <v>1</v>
      </c>
      <c r="G270">
        <v>100</v>
      </c>
      <c r="H270">
        <v>1</v>
      </c>
      <c r="I270">
        <v>14819</v>
      </c>
      <c r="J270" s="49" t="s">
        <v>18</v>
      </c>
      <c r="L270" s="16" t="s">
        <v>272</v>
      </c>
      <c r="M270" s="16">
        <v>3</v>
      </c>
      <c r="N270" s="16" t="s">
        <v>277</v>
      </c>
      <c r="O270" s="16" t="s">
        <v>335</v>
      </c>
      <c r="P270" s="15" t="s">
        <v>281</v>
      </c>
      <c r="Q270" t="s">
        <v>282</v>
      </c>
      <c r="R270" t="s">
        <v>371</v>
      </c>
      <c r="S270" s="17" t="s">
        <v>371</v>
      </c>
      <c r="T270" s="16" t="s">
        <v>341</v>
      </c>
      <c r="U270" s="16" t="s">
        <v>340</v>
      </c>
      <c r="V270" s="15" t="s">
        <v>343</v>
      </c>
      <c r="W270" s="15" t="s">
        <v>344</v>
      </c>
      <c r="X270" s="17"/>
      <c r="Y270" t="s">
        <v>349</v>
      </c>
      <c r="Z270" t="s">
        <v>349</v>
      </c>
      <c r="AA270" t="s">
        <v>293</v>
      </c>
      <c r="AB270" t="s">
        <v>353</v>
      </c>
      <c r="AC270" t="s">
        <v>296</v>
      </c>
      <c r="AD270" t="s">
        <v>301</v>
      </c>
      <c r="AE270" t="s">
        <v>292</v>
      </c>
      <c r="AF270" t="s">
        <v>292</v>
      </c>
      <c r="AG270" t="s">
        <v>292</v>
      </c>
      <c r="AH270" t="s">
        <v>292</v>
      </c>
      <c r="AI270" t="s">
        <v>293</v>
      </c>
      <c r="AJ270" t="s">
        <v>358</v>
      </c>
      <c r="AK270" t="s">
        <v>302</v>
      </c>
      <c r="AL270" t="s">
        <v>359</v>
      </c>
      <c r="AM270" t="s">
        <v>293</v>
      </c>
      <c r="AN270" t="s">
        <v>293</v>
      </c>
      <c r="AO270" t="s">
        <v>297</v>
      </c>
      <c r="AP270" t="s">
        <v>356</v>
      </c>
      <c r="AQ270" t="s">
        <v>293</v>
      </c>
      <c r="AR270" t="s">
        <v>292</v>
      </c>
      <c r="AS270" t="s">
        <v>293</v>
      </c>
      <c r="AT270" t="s">
        <v>293</v>
      </c>
      <c r="AU270" t="s">
        <v>364</v>
      </c>
      <c r="AV270" t="str">
        <f t="shared" ref="AV270:AV333" si="10">IF(J270="fail",IF(H270=1,"break","car_stuck"),"no_fail")</f>
        <v>break</v>
      </c>
    </row>
    <row r="271" spans="1:48" x14ac:dyDescent="0.3">
      <c r="A271" t="s">
        <v>45</v>
      </c>
      <c r="B271" t="s">
        <v>66</v>
      </c>
      <c r="C271" t="s">
        <v>14</v>
      </c>
      <c r="D271" t="s">
        <v>12</v>
      </c>
      <c r="E271" t="str">
        <f t="shared" si="9"/>
        <v>P_M8L-KYY-S_1B0</v>
      </c>
      <c r="F271" t="b">
        <v>1</v>
      </c>
      <c r="G271">
        <v>65.099999999999994</v>
      </c>
      <c r="H271">
        <v>0</v>
      </c>
      <c r="I271">
        <v>16990</v>
      </c>
      <c r="J271" s="49" t="s">
        <v>13</v>
      </c>
      <c r="L271" s="16" t="s">
        <v>272</v>
      </c>
      <c r="M271" s="16">
        <v>3</v>
      </c>
      <c r="N271" s="16" t="s">
        <v>277</v>
      </c>
      <c r="O271" s="16" t="s">
        <v>335</v>
      </c>
      <c r="P271" s="15" t="s">
        <v>281</v>
      </c>
      <c r="Q271" t="s">
        <v>282</v>
      </c>
      <c r="R271" t="s">
        <v>371</v>
      </c>
      <c r="S271" s="17" t="s">
        <v>371</v>
      </c>
      <c r="T271" s="16" t="s">
        <v>341</v>
      </c>
      <c r="U271" s="16" t="s">
        <v>340</v>
      </c>
      <c r="V271" s="15" t="s">
        <v>343</v>
      </c>
      <c r="W271" s="15" t="s">
        <v>344</v>
      </c>
      <c r="X271" s="17"/>
      <c r="Y271" t="s">
        <v>349</v>
      </c>
      <c r="Z271" t="s">
        <v>349</v>
      </c>
      <c r="AA271" t="s">
        <v>293</v>
      </c>
      <c r="AB271" t="s">
        <v>353</v>
      </c>
      <c r="AC271" t="s">
        <v>296</v>
      </c>
      <c r="AD271" t="s">
        <v>301</v>
      </c>
      <c r="AE271" t="s">
        <v>292</v>
      </c>
      <c r="AF271" t="s">
        <v>292</v>
      </c>
      <c r="AG271" t="s">
        <v>292</v>
      </c>
      <c r="AH271" t="s">
        <v>292</v>
      </c>
      <c r="AI271" t="s">
        <v>293</v>
      </c>
      <c r="AJ271" t="s">
        <v>302</v>
      </c>
      <c r="AK271" t="s">
        <v>302</v>
      </c>
      <c r="AL271" t="s">
        <v>359</v>
      </c>
      <c r="AM271" t="s">
        <v>293</v>
      </c>
      <c r="AN271" t="s">
        <v>293</v>
      </c>
      <c r="AO271" t="s">
        <v>297</v>
      </c>
      <c r="AP271" t="s">
        <v>356</v>
      </c>
      <c r="AQ271" t="s">
        <v>293</v>
      </c>
      <c r="AR271" t="s">
        <v>292</v>
      </c>
      <c r="AS271" t="s">
        <v>293</v>
      </c>
      <c r="AT271" t="s">
        <v>293</v>
      </c>
      <c r="AU271" t="s">
        <v>364</v>
      </c>
      <c r="AV271" t="str">
        <f t="shared" si="10"/>
        <v>no_fail</v>
      </c>
    </row>
    <row r="272" spans="1:48" x14ac:dyDescent="0.3">
      <c r="A272" t="s">
        <v>45</v>
      </c>
      <c r="B272" t="s">
        <v>66</v>
      </c>
      <c r="C272" t="s">
        <v>11</v>
      </c>
      <c r="D272" t="s">
        <v>12</v>
      </c>
      <c r="E272" t="str">
        <f t="shared" si="9"/>
        <v>P_M8L-KYY-S_1Q4</v>
      </c>
      <c r="F272" t="b">
        <v>1</v>
      </c>
      <c r="G272">
        <v>100</v>
      </c>
      <c r="H272">
        <v>1</v>
      </c>
      <c r="I272">
        <v>11318</v>
      </c>
      <c r="J272" s="49" t="s">
        <v>18</v>
      </c>
      <c r="L272" s="16" t="s">
        <v>272</v>
      </c>
      <c r="M272" s="16">
        <v>3</v>
      </c>
      <c r="N272" s="16" t="s">
        <v>277</v>
      </c>
      <c r="O272" s="16" t="s">
        <v>335</v>
      </c>
      <c r="P272" s="15" t="s">
        <v>282</v>
      </c>
      <c r="Q272" t="s">
        <v>371</v>
      </c>
      <c r="R272" t="s">
        <v>371</v>
      </c>
      <c r="S272" s="17" t="s">
        <v>371</v>
      </c>
      <c r="T272" s="16" t="s">
        <v>340</v>
      </c>
      <c r="U272" s="16" t="s">
        <v>340</v>
      </c>
      <c r="V272" s="15" t="s">
        <v>343</v>
      </c>
      <c r="W272" s="15" t="s">
        <v>291</v>
      </c>
      <c r="X272" s="17"/>
      <c r="Y272" t="s">
        <v>349</v>
      </c>
      <c r="Z272" t="s">
        <v>349</v>
      </c>
      <c r="AA272" t="s">
        <v>293</v>
      </c>
      <c r="AB272" t="s">
        <v>353</v>
      </c>
      <c r="AC272" t="s">
        <v>296</v>
      </c>
      <c r="AD272" t="s">
        <v>301</v>
      </c>
      <c r="AE272" t="s">
        <v>292</v>
      </c>
      <c r="AF272" t="s">
        <v>293</v>
      </c>
      <c r="AG272" t="s">
        <v>293</v>
      </c>
      <c r="AH272" t="s">
        <v>292</v>
      </c>
      <c r="AI272" t="s">
        <v>293</v>
      </c>
      <c r="AJ272" t="s">
        <v>302</v>
      </c>
      <c r="AK272" t="s">
        <v>358</v>
      </c>
      <c r="AL272" t="s">
        <v>359</v>
      </c>
      <c r="AM272" t="s">
        <v>293</v>
      </c>
      <c r="AN272" t="s">
        <v>293</v>
      </c>
      <c r="AO272" t="s">
        <v>296</v>
      </c>
      <c r="AP272" t="s">
        <v>298</v>
      </c>
      <c r="AQ272" t="s">
        <v>293</v>
      </c>
      <c r="AR272" t="s">
        <v>292</v>
      </c>
      <c r="AS272" t="s">
        <v>293</v>
      </c>
      <c r="AT272" t="s">
        <v>293</v>
      </c>
      <c r="AU272" t="s">
        <v>364</v>
      </c>
      <c r="AV272" t="str">
        <f t="shared" si="10"/>
        <v>break</v>
      </c>
    </row>
    <row r="273" spans="1:48" x14ac:dyDescent="0.3">
      <c r="A273" t="s">
        <v>45</v>
      </c>
      <c r="B273" t="s">
        <v>66</v>
      </c>
      <c r="C273" t="s">
        <v>19</v>
      </c>
      <c r="D273" t="s">
        <v>12</v>
      </c>
      <c r="E273" t="str">
        <f t="shared" si="9"/>
        <v>P_M8L-KYY-S_4U3</v>
      </c>
      <c r="F273" t="b">
        <v>1</v>
      </c>
      <c r="G273">
        <v>73.099999999999994</v>
      </c>
      <c r="H273">
        <v>0</v>
      </c>
      <c r="I273">
        <v>12000</v>
      </c>
      <c r="J273" s="49" t="s">
        <v>13</v>
      </c>
      <c r="L273" s="16" t="s">
        <v>272</v>
      </c>
      <c r="M273" s="16">
        <v>3</v>
      </c>
      <c r="N273" s="16" t="s">
        <v>277</v>
      </c>
      <c r="O273" s="16" t="s">
        <v>335</v>
      </c>
      <c r="P273" s="15" t="s">
        <v>281</v>
      </c>
      <c r="Q273" t="s">
        <v>282</v>
      </c>
      <c r="R273" t="s">
        <v>371</v>
      </c>
      <c r="S273" s="17" t="s">
        <v>371</v>
      </c>
      <c r="T273" s="16" t="s">
        <v>341</v>
      </c>
      <c r="U273" s="16" t="s">
        <v>340</v>
      </c>
      <c r="V273" s="15" t="s">
        <v>343</v>
      </c>
      <c r="W273" s="15" t="s">
        <v>344</v>
      </c>
      <c r="X273" s="17"/>
      <c r="Y273" t="s">
        <v>349</v>
      </c>
      <c r="Z273" t="s">
        <v>349</v>
      </c>
      <c r="AA273" t="s">
        <v>293</v>
      </c>
      <c r="AB273" t="s">
        <v>353</v>
      </c>
      <c r="AC273" t="s">
        <v>296</v>
      </c>
      <c r="AD273" t="s">
        <v>300</v>
      </c>
      <c r="AE273" t="s">
        <v>292</v>
      </c>
      <c r="AF273" t="s">
        <v>293</v>
      </c>
      <c r="AG273" t="s">
        <v>292</v>
      </c>
      <c r="AH273" t="s">
        <v>292</v>
      </c>
      <c r="AI273" t="s">
        <v>293</v>
      </c>
      <c r="AJ273" t="s">
        <v>302</v>
      </c>
      <c r="AK273" t="s">
        <v>302</v>
      </c>
      <c r="AL273" t="s">
        <v>359</v>
      </c>
      <c r="AM273" t="s">
        <v>293</v>
      </c>
      <c r="AN273" t="s">
        <v>293</v>
      </c>
      <c r="AO273" t="s">
        <v>297</v>
      </c>
      <c r="AP273" t="s">
        <v>298</v>
      </c>
      <c r="AQ273" t="s">
        <v>293</v>
      </c>
      <c r="AR273" t="s">
        <v>292</v>
      </c>
      <c r="AS273" t="s">
        <v>293</v>
      </c>
      <c r="AT273" t="s">
        <v>293</v>
      </c>
      <c r="AU273" t="s">
        <v>364</v>
      </c>
      <c r="AV273" t="str">
        <f t="shared" si="10"/>
        <v>no_fail</v>
      </c>
    </row>
    <row r="274" spans="1:48" x14ac:dyDescent="0.3">
      <c r="A274" t="s">
        <v>45</v>
      </c>
      <c r="B274" t="s">
        <v>66</v>
      </c>
      <c r="C274" t="s">
        <v>17</v>
      </c>
      <c r="D274" t="s">
        <v>12</v>
      </c>
      <c r="E274" t="str">
        <f t="shared" si="9"/>
        <v>P_M8L-KYY-S_6B5</v>
      </c>
      <c r="F274" t="b">
        <v>1</v>
      </c>
      <c r="G274">
        <v>61.2</v>
      </c>
      <c r="H274">
        <v>0</v>
      </c>
      <c r="I274">
        <v>13386</v>
      </c>
      <c r="J274" s="49" t="s">
        <v>13</v>
      </c>
      <c r="L274" s="16" t="s">
        <v>272</v>
      </c>
      <c r="M274" s="16">
        <v>3</v>
      </c>
      <c r="N274" s="16" t="s">
        <v>277</v>
      </c>
      <c r="O274" s="16" t="s">
        <v>335</v>
      </c>
      <c r="P274" s="15" t="s">
        <v>281</v>
      </c>
      <c r="Q274" t="s">
        <v>282</v>
      </c>
      <c r="R274" t="s">
        <v>371</v>
      </c>
      <c r="S274" s="17" t="s">
        <v>371</v>
      </c>
      <c r="T274" s="16" t="s">
        <v>341</v>
      </c>
      <c r="U274" s="16" t="s">
        <v>340</v>
      </c>
      <c r="V274" s="15" t="s">
        <v>343</v>
      </c>
      <c r="W274" s="15" t="s">
        <v>344</v>
      </c>
      <c r="X274" s="17"/>
      <c r="Y274" t="s">
        <v>349</v>
      </c>
      <c r="Z274" t="s">
        <v>349</v>
      </c>
      <c r="AA274" t="s">
        <v>293</v>
      </c>
      <c r="AB274" t="s">
        <v>353</v>
      </c>
      <c r="AC274" t="s">
        <v>296</v>
      </c>
      <c r="AD274" t="s">
        <v>300</v>
      </c>
      <c r="AE274" t="s">
        <v>292</v>
      </c>
      <c r="AF274" t="s">
        <v>293</v>
      </c>
      <c r="AG274" t="s">
        <v>292</v>
      </c>
      <c r="AH274" t="s">
        <v>292</v>
      </c>
      <c r="AI274" t="s">
        <v>293</v>
      </c>
      <c r="AJ274" t="s">
        <v>302</v>
      </c>
      <c r="AK274" t="s">
        <v>302</v>
      </c>
      <c r="AL274" t="s">
        <v>359</v>
      </c>
      <c r="AM274" t="s">
        <v>293</v>
      </c>
      <c r="AN274" t="s">
        <v>293</v>
      </c>
      <c r="AO274" t="s">
        <v>297</v>
      </c>
      <c r="AP274" t="s">
        <v>298</v>
      </c>
      <c r="AQ274" t="s">
        <v>293</v>
      </c>
      <c r="AR274" t="s">
        <v>292</v>
      </c>
      <c r="AS274" t="s">
        <v>293</v>
      </c>
      <c r="AT274" t="s">
        <v>293</v>
      </c>
      <c r="AU274" t="s">
        <v>364</v>
      </c>
      <c r="AV274" t="str">
        <f t="shared" si="10"/>
        <v>no_fail</v>
      </c>
    </row>
    <row r="275" spans="1:48" x14ac:dyDescent="0.3">
      <c r="A275" t="s">
        <v>45</v>
      </c>
      <c r="B275" t="s">
        <v>66</v>
      </c>
      <c r="C275" t="s">
        <v>16</v>
      </c>
      <c r="D275" t="s">
        <v>12</v>
      </c>
      <c r="E275" t="str">
        <f t="shared" si="9"/>
        <v>P_M8L-KYY-S_6U7</v>
      </c>
      <c r="F275" t="b">
        <v>1</v>
      </c>
      <c r="G275">
        <v>53.4</v>
      </c>
      <c r="H275">
        <v>0</v>
      </c>
      <c r="I275">
        <v>15116</v>
      </c>
      <c r="J275" s="49" t="s">
        <v>13</v>
      </c>
      <c r="L275" s="16" t="s">
        <v>272</v>
      </c>
      <c r="M275" s="16">
        <v>3</v>
      </c>
      <c r="N275" s="16" t="s">
        <v>277</v>
      </c>
      <c r="O275" s="16" t="s">
        <v>335</v>
      </c>
      <c r="P275" s="15" t="s">
        <v>281</v>
      </c>
      <c r="Q275" t="s">
        <v>282</v>
      </c>
      <c r="R275" t="s">
        <v>371</v>
      </c>
      <c r="S275" s="17" t="s">
        <v>371</v>
      </c>
      <c r="T275" s="16" t="s">
        <v>341</v>
      </c>
      <c r="U275" s="16" t="s">
        <v>340</v>
      </c>
      <c r="V275" s="15" t="s">
        <v>343</v>
      </c>
      <c r="W275" s="15" t="s">
        <v>344</v>
      </c>
      <c r="X275" s="17"/>
      <c r="Y275" t="s">
        <v>349</v>
      </c>
      <c r="Z275" t="s">
        <v>349</v>
      </c>
      <c r="AA275" t="s">
        <v>293</v>
      </c>
      <c r="AB275" t="s">
        <v>353</v>
      </c>
      <c r="AC275" t="s">
        <v>296</v>
      </c>
      <c r="AD275" t="s">
        <v>300</v>
      </c>
      <c r="AE275" t="s">
        <v>292</v>
      </c>
      <c r="AF275" t="s">
        <v>292</v>
      </c>
      <c r="AG275" t="s">
        <v>292</v>
      </c>
      <c r="AH275" t="s">
        <v>292</v>
      </c>
      <c r="AI275" t="s">
        <v>293</v>
      </c>
      <c r="AJ275" t="s">
        <v>302</v>
      </c>
      <c r="AK275" t="s">
        <v>302</v>
      </c>
      <c r="AL275" t="s">
        <v>359</v>
      </c>
      <c r="AM275" t="s">
        <v>293</v>
      </c>
      <c r="AN275" t="s">
        <v>293</v>
      </c>
      <c r="AO275" t="s">
        <v>297</v>
      </c>
      <c r="AP275" t="s">
        <v>356</v>
      </c>
      <c r="AQ275" t="s">
        <v>293</v>
      </c>
      <c r="AR275" t="s">
        <v>292</v>
      </c>
      <c r="AS275" t="s">
        <v>293</v>
      </c>
      <c r="AT275" t="s">
        <v>293</v>
      </c>
      <c r="AU275" t="s">
        <v>364</v>
      </c>
      <c r="AV275" t="str">
        <f t="shared" si="10"/>
        <v>no_fail</v>
      </c>
    </row>
    <row r="276" spans="1:48" x14ac:dyDescent="0.3">
      <c r="A276" t="s">
        <v>45</v>
      </c>
      <c r="B276" t="s">
        <v>66</v>
      </c>
      <c r="C276" t="s">
        <v>23</v>
      </c>
      <c r="D276" t="s">
        <v>29</v>
      </c>
      <c r="E276" t="str">
        <f t="shared" si="9"/>
        <v>P_M8L-ZSB-S_0T2</v>
      </c>
      <c r="F276" t="b">
        <v>1</v>
      </c>
      <c r="G276">
        <v>100</v>
      </c>
      <c r="H276">
        <v>1</v>
      </c>
      <c r="I276">
        <v>8289</v>
      </c>
      <c r="J276" s="49" t="s">
        <v>18</v>
      </c>
      <c r="L276" s="16" t="s">
        <v>272</v>
      </c>
      <c r="M276" s="16">
        <v>3</v>
      </c>
      <c r="N276" s="16" t="s">
        <v>277</v>
      </c>
      <c r="O276" s="16" t="s">
        <v>335</v>
      </c>
      <c r="P276" s="15" t="s">
        <v>284</v>
      </c>
      <c r="Q276" t="s">
        <v>283</v>
      </c>
      <c r="R276" t="s">
        <v>282</v>
      </c>
      <c r="S276" s="17" t="s">
        <v>371</v>
      </c>
      <c r="T276" s="16" t="s">
        <v>341</v>
      </c>
      <c r="U276" s="16" t="s">
        <v>340</v>
      </c>
      <c r="V276" s="15" t="s">
        <v>343</v>
      </c>
      <c r="W276" s="15" t="s">
        <v>344</v>
      </c>
      <c r="X276" s="17"/>
      <c r="Y276" t="s">
        <v>349</v>
      </c>
      <c r="Z276" t="s">
        <v>349</v>
      </c>
      <c r="AA276" t="s">
        <v>293</v>
      </c>
      <c r="AB276" t="s">
        <v>353</v>
      </c>
      <c r="AC276" t="s">
        <v>297</v>
      </c>
      <c r="AD276" t="s">
        <v>299</v>
      </c>
      <c r="AE276" t="s">
        <v>292</v>
      </c>
      <c r="AF276" t="s">
        <v>293</v>
      </c>
      <c r="AG276" t="s">
        <v>292</v>
      </c>
      <c r="AH276" t="s">
        <v>293</v>
      </c>
      <c r="AI276" t="s">
        <v>293</v>
      </c>
      <c r="AJ276" t="s">
        <v>302</v>
      </c>
      <c r="AK276" t="s">
        <v>302</v>
      </c>
      <c r="AL276" t="s">
        <v>302</v>
      </c>
      <c r="AM276" t="s">
        <v>293</v>
      </c>
      <c r="AN276" t="s">
        <v>293</v>
      </c>
      <c r="AO276" t="s">
        <v>297</v>
      </c>
      <c r="AP276" t="s">
        <v>298</v>
      </c>
      <c r="AQ276" t="s">
        <v>293</v>
      </c>
      <c r="AR276" t="s">
        <v>292</v>
      </c>
      <c r="AS276" t="s">
        <v>293</v>
      </c>
      <c r="AT276" t="s">
        <v>293</v>
      </c>
      <c r="AU276" t="s">
        <v>364</v>
      </c>
      <c r="AV276" t="str">
        <f t="shared" si="10"/>
        <v>break</v>
      </c>
    </row>
    <row r="277" spans="1:48" x14ac:dyDescent="0.3">
      <c r="A277" t="s">
        <v>45</v>
      </c>
      <c r="B277" t="s">
        <v>66</v>
      </c>
      <c r="C277" t="s">
        <v>25</v>
      </c>
      <c r="D277" t="s">
        <v>29</v>
      </c>
      <c r="E277" t="str">
        <f t="shared" si="9"/>
        <v>P_M8L-ZSB-S_1J8</v>
      </c>
      <c r="F277" t="b">
        <v>1</v>
      </c>
      <c r="G277">
        <v>100</v>
      </c>
      <c r="H277">
        <v>1</v>
      </c>
      <c r="I277">
        <v>8591</v>
      </c>
      <c r="J277" s="49" t="s">
        <v>18</v>
      </c>
      <c r="L277" s="16" t="s">
        <v>272</v>
      </c>
      <c r="M277" s="16">
        <v>3</v>
      </c>
      <c r="N277" s="16" t="s">
        <v>277</v>
      </c>
      <c r="O277" s="16" t="s">
        <v>335</v>
      </c>
      <c r="P277" s="15" t="s">
        <v>284</v>
      </c>
      <c r="Q277" t="s">
        <v>283</v>
      </c>
      <c r="R277" t="s">
        <v>371</v>
      </c>
      <c r="S277" s="17" t="s">
        <v>371</v>
      </c>
      <c r="T277" s="16" t="s">
        <v>341</v>
      </c>
      <c r="U277" s="16" t="s">
        <v>340</v>
      </c>
      <c r="V277" s="15" t="s">
        <v>343</v>
      </c>
      <c r="W277" s="15" t="s">
        <v>344</v>
      </c>
      <c r="X277" s="17"/>
      <c r="Y277" t="s">
        <v>349</v>
      </c>
      <c r="Z277" t="s">
        <v>349</v>
      </c>
      <c r="AA277" t="s">
        <v>293</v>
      </c>
      <c r="AB277" t="s">
        <v>353</v>
      </c>
      <c r="AC277" t="s">
        <v>297</v>
      </c>
      <c r="AD277" t="s">
        <v>299</v>
      </c>
      <c r="AE277" t="s">
        <v>292</v>
      </c>
      <c r="AF277" t="s">
        <v>293</v>
      </c>
      <c r="AG277" t="s">
        <v>292</v>
      </c>
      <c r="AH277" t="s">
        <v>293</v>
      </c>
      <c r="AI277" t="s">
        <v>293</v>
      </c>
      <c r="AJ277" t="s">
        <v>302</v>
      </c>
      <c r="AK277" t="s">
        <v>302</v>
      </c>
      <c r="AL277" t="s">
        <v>302</v>
      </c>
      <c r="AM277" t="s">
        <v>293</v>
      </c>
      <c r="AN277" t="s">
        <v>293</v>
      </c>
      <c r="AO277" t="s">
        <v>297</v>
      </c>
      <c r="AP277" t="s">
        <v>298</v>
      </c>
      <c r="AQ277" t="s">
        <v>293</v>
      </c>
      <c r="AR277" t="s">
        <v>292</v>
      </c>
      <c r="AS277" t="s">
        <v>363</v>
      </c>
      <c r="AT277" t="s">
        <v>293</v>
      </c>
      <c r="AU277" t="s">
        <v>364</v>
      </c>
      <c r="AV277" t="str">
        <f t="shared" si="10"/>
        <v>break</v>
      </c>
    </row>
    <row r="278" spans="1:48" x14ac:dyDescent="0.3">
      <c r="A278" t="s">
        <v>45</v>
      </c>
      <c r="B278" t="s">
        <v>66</v>
      </c>
      <c r="C278" t="s">
        <v>24</v>
      </c>
      <c r="D278" t="s">
        <v>29</v>
      </c>
      <c r="E278" t="str">
        <f t="shared" si="9"/>
        <v>P_M8L-ZSB-S_1U0</v>
      </c>
      <c r="F278" t="b">
        <v>1</v>
      </c>
      <c r="G278">
        <v>82.6</v>
      </c>
      <c r="H278">
        <v>0</v>
      </c>
      <c r="I278">
        <v>8811</v>
      </c>
      <c r="J278" s="49" t="s">
        <v>13</v>
      </c>
      <c r="L278" s="16" t="s">
        <v>272</v>
      </c>
      <c r="M278" s="16">
        <v>3</v>
      </c>
      <c r="N278" s="16" t="s">
        <v>277</v>
      </c>
      <c r="O278" s="16" t="s">
        <v>335</v>
      </c>
      <c r="P278" s="15" t="s">
        <v>284</v>
      </c>
      <c r="Q278" t="s">
        <v>283</v>
      </c>
      <c r="R278" t="s">
        <v>282</v>
      </c>
      <c r="S278" s="17" t="s">
        <v>371</v>
      </c>
      <c r="T278" s="16" t="s">
        <v>341</v>
      </c>
      <c r="U278" s="16" t="s">
        <v>340</v>
      </c>
      <c r="V278" s="15" t="s">
        <v>343</v>
      </c>
      <c r="W278" s="15" t="s">
        <v>344</v>
      </c>
      <c r="X278" s="17"/>
      <c r="Y278" t="s">
        <v>349</v>
      </c>
      <c r="Z278" t="s">
        <v>349</v>
      </c>
      <c r="AA278" t="s">
        <v>293</v>
      </c>
      <c r="AB278" t="s">
        <v>353</v>
      </c>
      <c r="AC278" t="s">
        <v>297</v>
      </c>
      <c r="AD278" t="s">
        <v>299</v>
      </c>
      <c r="AE278" t="s">
        <v>292</v>
      </c>
      <c r="AF278" t="s">
        <v>293</v>
      </c>
      <c r="AG278" t="s">
        <v>292</v>
      </c>
      <c r="AH278" t="s">
        <v>293</v>
      </c>
      <c r="AI278" t="s">
        <v>293</v>
      </c>
      <c r="AJ278" t="s">
        <v>302</v>
      </c>
      <c r="AK278" t="s">
        <v>302</v>
      </c>
      <c r="AL278" t="s">
        <v>302</v>
      </c>
      <c r="AM278" t="s">
        <v>293</v>
      </c>
      <c r="AN278" t="s">
        <v>293</v>
      </c>
      <c r="AO278" t="s">
        <v>297</v>
      </c>
      <c r="AP278" t="s">
        <v>298</v>
      </c>
      <c r="AQ278" t="s">
        <v>293</v>
      </c>
      <c r="AR278" t="s">
        <v>292</v>
      </c>
      <c r="AS278" t="s">
        <v>293</v>
      </c>
      <c r="AT278" t="s">
        <v>293</v>
      </c>
      <c r="AU278" t="s">
        <v>364</v>
      </c>
      <c r="AV278" t="str">
        <f t="shared" si="10"/>
        <v>no_fail</v>
      </c>
    </row>
    <row r="279" spans="1:48" x14ac:dyDescent="0.3">
      <c r="A279" t="s">
        <v>45</v>
      </c>
      <c r="B279" t="s">
        <v>66</v>
      </c>
      <c r="C279" t="s">
        <v>21</v>
      </c>
      <c r="D279" t="s">
        <v>29</v>
      </c>
      <c r="E279" t="str">
        <f t="shared" si="9"/>
        <v>P_M8L-ZSB-S_3X6</v>
      </c>
      <c r="F279" t="b">
        <v>1</v>
      </c>
      <c r="G279">
        <v>100</v>
      </c>
      <c r="H279">
        <v>1</v>
      </c>
      <c r="I279">
        <v>8741</v>
      </c>
      <c r="J279" s="49" t="s">
        <v>18</v>
      </c>
      <c r="L279" s="16" t="s">
        <v>272</v>
      </c>
      <c r="M279" s="16">
        <v>3</v>
      </c>
      <c r="N279" s="16" t="s">
        <v>277</v>
      </c>
      <c r="O279" s="16" t="s">
        <v>335</v>
      </c>
      <c r="P279" s="15" t="s">
        <v>284</v>
      </c>
      <c r="Q279" t="s">
        <v>282</v>
      </c>
      <c r="R279" t="s">
        <v>371</v>
      </c>
      <c r="S279" s="17" t="s">
        <v>371</v>
      </c>
      <c r="T279" s="16" t="s">
        <v>341</v>
      </c>
      <c r="U279" s="16" t="s">
        <v>340</v>
      </c>
      <c r="V279" s="15" t="s">
        <v>343</v>
      </c>
      <c r="W279" s="15" t="s">
        <v>344</v>
      </c>
      <c r="X279" s="17"/>
      <c r="Y279" t="s">
        <v>349</v>
      </c>
      <c r="Z279" t="s">
        <v>349</v>
      </c>
      <c r="AA279" t="s">
        <v>293</v>
      </c>
      <c r="AB279" t="s">
        <v>353</v>
      </c>
      <c r="AC279" t="s">
        <v>297</v>
      </c>
      <c r="AD279" t="s">
        <v>300</v>
      </c>
      <c r="AE279" t="s">
        <v>292</v>
      </c>
      <c r="AF279" t="s">
        <v>293</v>
      </c>
      <c r="AG279" t="s">
        <v>292</v>
      </c>
      <c r="AH279" t="s">
        <v>293</v>
      </c>
      <c r="AI279" t="s">
        <v>293</v>
      </c>
      <c r="AJ279" t="s">
        <v>302</v>
      </c>
      <c r="AK279" t="s">
        <v>302</v>
      </c>
      <c r="AL279" t="s">
        <v>302</v>
      </c>
      <c r="AM279" t="s">
        <v>293</v>
      </c>
      <c r="AN279" t="s">
        <v>293</v>
      </c>
      <c r="AO279" t="s">
        <v>297</v>
      </c>
      <c r="AP279" t="s">
        <v>298</v>
      </c>
      <c r="AQ279" t="s">
        <v>293</v>
      </c>
      <c r="AR279" t="s">
        <v>292</v>
      </c>
      <c r="AS279" t="s">
        <v>293</v>
      </c>
      <c r="AT279" t="s">
        <v>293</v>
      </c>
      <c r="AU279" t="s">
        <v>364</v>
      </c>
      <c r="AV279" t="str">
        <f t="shared" si="10"/>
        <v>break</v>
      </c>
    </row>
    <row r="280" spans="1:48" x14ac:dyDescent="0.3">
      <c r="A280" t="s">
        <v>45</v>
      </c>
      <c r="B280" t="s">
        <v>66</v>
      </c>
      <c r="C280" t="s">
        <v>20</v>
      </c>
      <c r="D280" t="s">
        <v>29</v>
      </c>
      <c r="E280" t="str">
        <f t="shared" si="9"/>
        <v>P_M8L-ZSB-S_7W0</v>
      </c>
      <c r="F280" t="b">
        <v>1</v>
      </c>
      <c r="G280">
        <v>100</v>
      </c>
      <c r="H280">
        <v>1</v>
      </c>
      <c r="I280">
        <v>11646</v>
      </c>
      <c r="J280" s="49" t="s">
        <v>18</v>
      </c>
      <c r="L280" s="16" t="s">
        <v>272</v>
      </c>
      <c r="M280" s="16">
        <v>3</v>
      </c>
      <c r="N280" s="16" t="s">
        <v>277</v>
      </c>
      <c r="O280" s="16" t="s">
        <v>335</v>
      </c>
      <c r="P280" s="15" t="s">
        <v>284</v>
      </c>
      <c r="Q280" t="s">
        <v>282</v>
      </c>
      <c r="R280" t="s">
        <v>371</v>
      </c>
      <c r="S280" s="17" t="s">
        <v>371</v>
      </c>
      <c r="T280" s="16" t="s">
        <v>341</v>
      </c>
      <c r="U280" s="16" t="s">
        <v>340</v>
      </c>
      <c r="V280" s="15" t="s">
        <v>343</v>
      </c>
      <c r="W280" s="15" t="s">
        <v>344</v>
      </c>
      <c r="X280" s="17" t="s">
        <v>291</v>
      </c>
      <c r="Y280" t="s">
        <v>349</v>
      </c>
      <c r="Z280" t="s">
        <v>349</v>
      </c>
      <c r="AA280" t="s">
        <v>293</v>
      </c>
      <c r="AB280" t="s">
        <v>353</v>
      </c>
      <c r="AC280" t="s">
        <v>355</v>
      </c>
      <c r="AD280" t="s">
        <v>300</v>
      </c>
      <c r="AE280" t="s">
        <v>292</v>
      </c>
      <c r="AF280" t="s">
        <v>293</v>
      </c>
      <c r="AG280" t="s">
        <v>292</v>
      </c>
      <c r="AH280" t="s">
        <v>292</v>
      </c>
      <c r="AI280" t="s">
        <v>293</v>
      </c>
      <c r="AJ280" t="s">
        <v>302</v>
      </c>
      <c r="AK280" t="s">
        <v>302</v>
      </c>
      <c r="AL280" t="s">
        <v>302</v>
      </c>
      <c r="AM280" t="s">
        <v>293</v>
      </c>
      <c r="AN280" t="s">
        <v>293</v>
      </c>
      <c r="AO280" t="s">
        <v>296</v>
      </c>
      <c r="AP280" t="s">
        <v>298</v>
      </c>
      <c r="AQ280" t="s">
        <v>293</v>
      </c>
      <c r="AR280" t="s">
        <v>292</v>
      </c>
      <c r="AS280" t="s">
        <v>293</v>
      </c>
      <c r="AT280" t="s">
        <v>293</v>
      </c>
      <c r="AU280" t="s">
        <v>364</v>
      </c>
      <c r="AV280" t="str">
        <f t="shared" si="10"/>
        <v>break</v>
      </c>
    </row>
    <row r="281" spans="1:48" x14ac:dyDescent="0.3">
      <c r="A281" t="s">
        <v>45</v>
      </c>
      <c r="B281" t="s">
        <v>66</v>
      </c>
      <c r="C281" t="s">
        <v>26</v>
      </c>
      <c r="D281" t="s">
        <v>29</v>
      </c>
      <c r="E281" t="str">
        <f t="shared" si="9"/>
        <v>P_M8L-ZSB-S_8O8</v>
      </c>
      <c r="F281" t="b">
        <v>1</v>
      </c>
      <c r="G281">
        <v>100</v>
      </c>
      <c r="H281">
        <v>1</v>
      </c>
      <c r="I281">
        <v>8718</v>
      </c>
      <c r="J281" s="49" t="s">
        <v>18</v>
      </c>
      <c r="L281" s="16" t="s">
        <v>272</v>
      </c>
      <c r="M281" s="16">
        <v>3</v>
      </c>
      <c r="N281" s="16" t="s">
        <v>277</v>
      </c>
      <c r="O281" s="16" t="s">
        <v>335</v>
      </c>
      <c r="P281" s="15" t="s">
        <v>284</v>
      </c>
      <c r="Q281" t="s">
        <v>283</v>
      </c>
      <c r="R281" t="s">
        <v>371</v>
      </c>
      <c r="S281" s="17" t="s">
        <v>371</v>
      </c>
      <c r="T281" s="16" t="s">
        <v>341</v>
      </c>
      <c r="U281" s="16" t="s">
        <v>340</v>
      </c>
      <c r="V281" s="15" t="s">
        <v>343</v>
      </c>
      <c r="W281" s="15" t="s">
        <v>344</v>
      </c>
      <c r="X281" s="17"/>
      <c r="Y281" t="s">
        <v>349</v>
      </c>
      <c r="Z281" t="s">
        <v>349</v>
      </c>
      <c r="AA281" t="s">
        <v>293</v>
      </c>
      <c r="AB281" t="s">
        <v>353</v>
      </c>
      <c r="AC281" t="s">
        <v>297</v>
      </c>
      <c r="AD281" t="s">
        <v>300</v>
      </c>
      <c r="AE281" t="s">
        <v>292</v>
      </c>
      <c r="AF281" t="s">
        <v>293</v>
      </c>
      <c r="AG281" t="s">
        <v>292</v>
      </c>
      <c r="AH281" t="s">
        <v>293</v>
      </c>
      <c r="AI281" t="s">
        <v>293</v>
      </c>
      <c r="AJ281" t="s">
        <v>302</v>
      </c>
      <c r="AK281" t="s">
        <v>302</v>
      </c>
      <c r="AL281" t="s">
        <v>302</v>
      </c>
      <c r="AM281" t="s">
        <v>293</v>
      </c>
      <c r="AN281" t="s">
        <v>293</v>
      </c>
      <c r="AO281" t="s">
        <v>297</v>
      </c>
      <c r="AP281" t="s">
        <v>298</v>
      </c>
      <c r="AQ281" t="s">
        <v>293</v>
      </c>
      <c r="AR281" t="s">
        <v>292</v>
      </c>
      <c r="AS281" t="s">
        <v>293</v>
      </c>
      <c r="AT281" t="s">
        <v>293</v>
      </c>
      <c r="AU281" t="s">
        <v>364</v>
      </c>
      <c r="AV281" t="str">
        <f t="shared" si="10"/>
        <v>break</v>
      </c>
    </row>
    <row r="282" spans="1:48" x14ac:dyDescent="0.3">
      <c r="A282" t="s">
        <v>45</v>
      </c>
      <c r="B282" t="s">
        <v>66</v>
      </c>
      <c r="C282" t="s">
        <v>22</v>
      </c>
      <c r="D282" t="s">
        <v>29</v>
      </c>
      <c r="E282" t="str">
        <f t="shared" si="9"/>
        <v>P_M8L-ZSB-S_9B4</v>
      </c>
      <c r="F282" t="b">
        <v>1</v>
      </c>
      <c r="G282">
        <v>80.400000000000006</v>
      </c>
      <c r="H282">
        <v>0</v>
      </c>
      <c r="I282">
        <v>8849</v>
      </c>
      <c r="J282" s="49" t="s">
        <v>13</v>
      </c>
      <c r="L282" s="16" t="s">
        <v>272</v>
      </c>
      <c r="M282" s="16">
        <v>3</v>
      </c>
      <c r="N282" s="16" t="s">
        <v>277</v>
      </c>
      <c r="O282" s="16" t="s">
        <v>335</v>
      </c>
      <c r="P282" s="15" t="s">
        <v>284</v>
      </c>
      <c r="Q282" t="s">
        <v>283</v>
      </c>
      <c r="R282" t="s">
        <v>282</v>
      </c>
      <c r="S282" s="17" t="s">
        <v>371</v>
      </c>
      <c r="T282" s="16" t="s">
        <v>341</v>
      </c>
      <c r="U282" s="16" t="s">
        <v>340</v>
      </c>
      <c r="V282" s="15" t="s">
        <v>343</v>
      </c>
      <c r="W282" s="15" t="s">
        <v>344</v>
      </c>
      <c r="X282" s="17"/>
      <c r="Y282" t="s">
        <v>349</v>
      </c>
      <c r="Z282" t="s">
        <v>349</v>
      </c>
      <c r="AA282" t="s">
        <v>293</v>
      </c>
      <c r="AB282" t="s">
        <v>353</v>
      </c>
      <c r="AC282" t="s">
        <v>297</v>
      </c>
      <c r="AD282" t="s">
        <v>300</v>
      </c>
      <c r="AE282" t="s">
        <v>292</v>
      </c>
      <c r="AF282" t="s">
        <v>293</v>
      </c>
      <c r="AG282" t="s">
        <v>292</v>
      </c>
      <c r="AH282" t="s">
        <v>293</v>
      </c>
      <c r="AI282" t="s">
        <v>293</v>
      </c>
      <c r="AJ282" t="s">
        <v>302</v>
      </c>
      <c r="AK282" t="s">
        <v>302</v>
      </c>
      <c r="AL282" t="s">
        <v>302</v>
      </c>
      <c r="AM282" t="s">
        <v>293</v>
      </c>
      <c r="AN282" t="s">
        <v>293</v>
      </c>
      <c r="AO282" t="s">
        <v>297</v>
      </c>
      <c r="AP282" t="s">
        <v>298</v>
      </c>
      <c r="AQ282" t="s">
        <v>293</v>
      </c>
      <c r="AR282" t="s">
        <v>292</v>
      </c>
      <c r="AS282" t="s">
        <v>293</v>
      </c>
      <c r="AT282" t="s">
        <v>293</v>
      </c>
      <c r="AU282" t="s">
        <v>364</v>
      </c>
      <c r="AV282" t="str">
        <f t="shared" si="10"/>
        <v>no_fail</v>
      </c>
    </row>
    <row r="283" spans="1:48" x14ac:dyDescent="0.3">
      <c r="A283" t="s">
        <v>45</v>
      </c>
      <c r="B283" t="s">
        <v>66</v>
      </c>
      <c r="C283" t="s">
        <v>27</v>
      </c>
      <c r="D283" t="s">
        <v>29</v>
      </c>
      <c r="E283" t="str">
        <f t="shared" si="9"/>
        <v>P_M8L-ZSB-S_9F6</v>
      </c>
      <c r="F283" t="b">
        <v>1</v>
      </c>
      <c r="G283">
        <v>94</v>
      </c>
      <c r="H283">
        <v>0</v>
      </c>
      <c r="I283">
        <v>8778</v>
      </c>
      <c r="J283" s="49" t="s">
        <v>13</v>
      </c>
      <c r="L283" s="16" t="s">
        <v>272</v>
      </c>
      <c r="M283" s="16">
        <v>3</v>
      </c>
      <c r="N283" s="16" t="s">
        <v>277</v>
      </c>
      <c r="O283" s="16" t="s">
        <v>335</v>
      </c>
      <c r="P283" s="15" t="s">
        <v>284</v>
      </c>
      <c r="Q283" t="s">
        <v>283</v>
      </c>
      <c r="R283" t="s">
        <v>282</v>
      </c>
      <c r="S283" s="17" t="s">
        <v>371</v>
      </c>
      <c r="T283" s="16" t="s">
        <v>341</v>
      </c>
      <c r="U283" s="16" t="s">
        <v>340</v>
      </c>
      <c r="V283" s="15" t="s">
        <v>343</v>
      </c>
      <c r="W283" s="15" t="s">
        <v>344</v>
      </c>
      <c r="X283" s="17"/>
      <c r="Y283" t="s">
        <v>349</v>
      </c>
      <c r="Z283" t="s">
        <v>349</v>
      </c>
      <c r="AA283" t="s">
        <v>293</v>
      </c>
      <c r="AB283" t="s">
        <v>353</v>
      </c>
      <c r="AC283" t="s">
        <v>297</v>
      </c>
      <c r="AD283" t="s">
        <v>300</v>
      </c>
      <c r="AE283" t="s">
        <v>292</v>
      </c>
      <c r="AF283" t="s">
        <v>293</v>
      </c>
      <c r="AG283" t="s">
        <v>292</v>
      </c>
      <c r="AH283" t="s">
        <v>293</v>
      </c>
      <c r="AI283" t="s">
        <v>293</v>
      </c>
      <c r="AJ283" t="s">
        <v>302</v>
      </c>
      <c r="AK283" t="s">
        <v>302</v>
      </c>
      <c r="AL283" t="s">
        <v>302</v>
      </c>
      <c r="AM283" t="s">
        <v>293</v>
      </c>
      <c r="AN283" t="s">
        <v>293</v>
      </c>
      <c r="AO283" t="s">
        <v>297</v>
      </c>
      <c r="AP283" t="s">
        <v>298</v>
      </c>
      <c r="AQ283" t="s">
        <v>293</v>
      </c>
      <c r="AR283" t="s">
        <v>292</v>
      </c>
      <c r="AS283" t="s">
        <v>293</v>
      </c>
      <c r="AT283" t="s">
        <v>293</v>
      </c>
      <c r="AU283" t="s">
        <v>364</v>
      </c>
      <c r="AV283" t="str">
        <f t="shared" si="10"/>
        <v>no_fail</v>
      </c>
    </row>
    <row r="284" spans="1:48" x14ac:dyDescent="0.3">
      <c r="A284" t="s">
        <v>9</v>
      </c>
      <c r="B284" t="s">
        <v>55</v>
      </c>
      <c r="C284" t="s">
        <v>15</v>
      </c>
      <c r="D284" t="s">
        <v>12</v>
      </c>
      <c r="E284" t="str">
        <f t="shared" si="9"/>
        <v>P_N5O-KYY-S_0M4</v>
      </c>
      <c r="F284" t="b">
        <v>1</v>
      </c>
      <c r="G284">
        <v>99</v>
      </c>
      <c r="H284">
        <v>0</v>
      </c>
      <c r="I284">
        <v>12195</v>
      </c>
      <c r="J284" s="49" t="s">
        <v>13</v>
      </c>
      <c r="L284" s="16" t="s">
        <v>272</v>
      </c>
      <c r="M284" s="16">
        <v>3</v>
      </c>
      <c r="N284" s="16" t="s">
        <v>277</v>
      </c>
      <c r="O284" s="16" t="s">
        <v>335</v>
      </c>
      <c r="P284" s="15" t="s">
        <v>281</v>
      </c>
      <c r="Q284" t="s">
        <v>339</v>
      </c>
      <c r="R284" t="s">
        <v>283</v>
      </c>
      <c r="S284" s="17" t="s">
        <v>282</v>
      </c>
      <c r="T284" s="16" t="s">
        <v>341</v>
      </c>
      <c r="U284" s="16" t="s">
        <v>340</v>
      </c>
      <c r="V284" s="15" t="s">
        <v>343</v>
      </c>
      <c r="W284" s="15" t="s">
        <v>347</v>
      </c>
      <c r="X284" s="17"/>
      <c r="Y284" t="s">
        <v>349</v>
      </c>
      <c r="Z284" t="s">
        <v>349</v>
      </c>
      <c r="AA284" t="s">
        <v>293</v>
      </c>
      <c r="AB284" t="s">
        <v>352</v>
      </c>
      <c r="AC284" t="s">
        <v>296</v>
      </c>
      <c r="AD284" t="s">
        <v>301</v>
      </c>
      <c r="AE284" t="s">
        <v>292</v>
      </c>
      <c r="AF284" t="s">
        <v>293</v>
      </c>
      <c r="AG284" t="s">
        <v>292</v>
      </c>
      <c r="AH284" t="s">
        <v>292</v>
      </c>
      <c r="AI284" t="s">
        <v>293</v>
      </c>
      <c r="AJ284" t="s">
        <v>302</v>
      </c>
      <c r="AK284" t="s">
        <v>302</v>
      </c>
      <c r="AL284" t="s">
        <v>302</v>
      </c>
      <c r="AM284" t="s">
        <v>293</v>
      </c>
      <c r="AN284" t="s">
        <v>293</v>
      </c>
      <c r="AO284" t="s">
        <v>297</v>
      </c>
      <c r="AP284" t="s">
        <v>298</v>
      </c>
      <c r="AQ284" t="s">
        <v>293</v>
      </c>
      <c r="AR284" t="s">
        <v>292</v>
      </c>
      <c r="AS284" t="s">
        <v>293</v>
      </c>
      <c r="AT284" t="s">
        <v>293</v>
      </c>
      <c r="AU284" t="s">
        <v>364</v>
      </c>
      <c r="AV284" t="str">
        <f t="shared" si="10"/>
        <v>no_fail</v>
      </c>
    </row>
    <row r="285" spans="1:48" x14ac:dyDescent="0.3">
      <c r="A285" t="s">
        <v>9</v>
      </c>
      <c r="B285" t="s">
        <v>55</v>
      </c>
      <c r="C285" t="s">
        <v>14</v>
      </c>
      <c r="D285" t="s">
        <v>12</v>
      </c>
      <c r="E285" t="str">
        <f t="shared" si="9"/>
        <v>P_N5O-KYY-S_1B0</v>
      </c>
      <c r="F285" t="b">
        <v>1</v>
      </c>
      <c r="G285">
        <v>100</v>
      </c>
      <c r="H285">
        <v>1</v>
      </c>
      <c r="I285">
        <v>11712</v>
      </c>
      <c r="J285" s="49" t="s">
        <v>18</v>
      </c>
      <c r="L285" s="16" t="s">
        <v>272</v>
      </c>
      <c r="M285" s="16">
        <v>3</v>
      </c>
      <c r="N285" s="16" t="s">
        <v>277</v>
      </c>
      <c r="O285" s="16" t="s">
        <v>335</v>
      </c>
      <c r="P285" s="15" t="s">
        <v>281</v>
      </c>
      <c r="Q285" t="s">
        <v>339</v>
      </c>
      <c r="R285" t="s">
        <v>283</v>
      </c>
      <c r="S285" s="17" t="s">
        <v>282</v>
      </c>
      <c r="T285" s="16" t="s">
        <v>341</v>
      </c>
      <c r="U285" s="16" t="s">
        <v>340</v>
      </c>
      <c r="V285" s="15" t="s">
        <v>343</v>
      </c>
      <c r="W285" s="15" t="s">
        <v>347</v>
      </c>
      <c r="X285" s="17"/>
      <c r="Y285" t="s">
        <v>349</v>
      </c>
      <c r="Z285" t="s">
        <v>349</v>
      </c>
      <c r="AA285" t="s">
        <v>293</v>
      </c>
      <c r="AB285" t="s">
        <v>352</v>
      </c>
      <c r="AC285" t="s">
        <v>297</v>
      </c>
      <c r="AD285" t="s">
        <v>301</v>
      </c>
      <c r="AE285" t="s">
        <v>292</v>
      </c>
      <c r="AF285" t="s">
        <v>293</v>
      </c>
      <c r="AG285" t="s">
        <v>292</v>
      </c>
      <c r="AH285" t="s">
        <v>293</v>
      </c>
      <c r="AI285" t="s">
        <v>293</v>
      </c>
      <c r="AJ285" t="s">
        <v>302</v>
      </c>
      <c r="AK285" t="s">
        <v>302</v>
      </c>
      <c r="AL285" t="s">
        <v>302</v>
      </c>
      <c r="AM285" t="s">
        <v>293</v>
      </c>
      <c r="AN285" t="s">
        <v>293</v>
      </c>
      <c r="AO285" t="s">
        <v>297</v>
      </c>
      <c r="AP285" t="s">
        <v>298</v>
      </c>
      <c r="AQ285" t="s">
        <v>293</v>
      </c>
      <c r="AR285" t="s">
        <v>292</v>
      </c>
      <c r="AS285" t="s">
        <v>293</v>
      </c>
      <c r="AT285" t="s">
        <v>293</v>
      </c>
      <c r="AU285" t="s">
        <v>364</v>
      </c>
      <c r="AV285" t="str">
        <f t="shared" si="10"/>
        <v>break</v>
      </c>
    </row>
    <row r="286" spans="1:48" x14ac:dyDescent="0.3">
      <c r="A286" t="s">
        <v>9</v>
      </c>
      <c r="B286" t="s">
        <v>55</v>
      </c>
      <c r="C286" t="s">
        <v>11</v>
      </c>
      <c r="D286" t="s">
        <v>12</v>
      </c>
      <c r="E286" t="str">
        <f t="shared" si="9"/>
        <v>P_N5O-KYY-S_1Q4</v>
      </c>
      <c r="F286" t="b">
        <v>1</v>
      </c>
      <c r="G286">
        <v>100</v>
      </c>
      <c r="H286">
        <v>1</v>
      </c>
      <c r="I286">
        <v>10938</v>
      </c>
      <c r="J286" s="49" t="s">
        <v>18</v>
      </c>
      <c r="L286" s="16" t="s">
        <v>272</v>
      </c>
      <c r="M286" s="16">
        <v>3</v>
      </c>
      <c r="N286" s="16" t="s">
        <v>277</v>
      </c>
      <c r="O286" s="16" t="s">
        <v>335</v>
      </c>
      <c r="P286" s="15" t="s">
        <v>281</v>
      </c>
      <c r="Q286" t="s">
        <v>284</v>
      </c>
      <c r="R286" t="s">
        <v>283</v>
      </c>
      <c r="S286" s="17" t="s">
        <v>282</v>
      </c>
      <c r="T286" s="16" t="s">
        <v>341</v>
      </c>
      <c r="U286" s="16" t="s">
        <v>340</v>
      </c>
      <c r="V286" s="15" t="s">
        <v>343</v>
      </c>
      <c r="W286" s="15" t="s">
        <v>347</v>
      </c>
      <c r="X286" s="17"/>
      <c r="Y286" t="s">
        <v>349</v>
      </c>
      <c r="Z286" t="s">
        <v>349</v>
      </c>
      <c r="AA286" t="s">
        <v>293</v>
      </c>
      <c r="AB286" t="s">
        <v>352</v>
      </c>
      <c r="AC286" t="s">
        <v>297</v>
      </c>
      <c r="AD286" t="s">
        <v>301</v>
      </c>
      <c r="AE286" t="s">
        <v>292</v>
      </c>
      <c r="AF286" t="s">
        <v>293</v>
      </c>
      <c r="AG286" t="s">
        <v>292</v>
      </c>
      <c r="AH286" t="s">
        <v>293</v>
      </c>
      <c r="AI286" t="s">
        <v>293</v>
      </c>
      <c r="AJ286" t="s">
        <v>302</v>
      </c>
      <c r="AK286" t="s">
        <v>302</v>
      </c>
      <c r="AL286" t="s">
        <v>302</v>
      </c>
      <c r="AM286" t="s">
        <v>293</v>
      </c>
      <c r="AN286" t="s">
        <v>293</v>
      </c>
      <c r="AO286" t="s">
        <v>297</v>
      </c>
      <c r="AP286" t="s">
        <v>298</v>
      </c>
      <c r="AQ286" t="s">
        <v>293</v>
      </c>
      <c r="AR286" t="s">
        <v>292</v>
      </c>
      <c r="AS286" t="s">
        <v>293</v>
      </c>
      <c r="AT286" t="s">
        <v>293</v>
      </c>
      <c r="AU286" t="s">
        <v>364</v>
      </c>
      <c r="AV286" t="str">
        <f t="shared" si="10"/>
        <v>break</v>
      </c>
    </row>
    <row r="287" spans="1:48" x14ac:dyDescent="0.3">
      <c r="A287" t="s">
        <v>9</v>
      </c>
      <c r="B287" t="s">
        <v>55</v>
      </c>
      <c r="C287" t="s">
        <v>19</v>
      </c>
      <c r="D287" t="s">
        <v>29</v>
      </c>
      <c r="E287" t="str">
        <f t="shared" si="9"/>
        <v>P_N5O-ZSB-S_4U3</v>
      </c>
      <c r="F287" t="b">
        <v>1</v>
      </c>
      <c r="G287">
        <v>100</v>
      </c>
      <c r="H287">
        <v>1</v>
      </c>
      <c r="I287">
        <v>8280</v>
      </c>
      <c r="J287" s="49" t="s">
        <v>18</v>
      </c>
      <c r="L287" s="16" t="s">
        <v>272</v>
      </c>
      <c r="M287" s="16">
        <v>3</v>
      </c>
      <c r="N287" s="16" t="s">
        <v>277</v>
      </c>
      <c r="O287" s="16" t="s">
        <v>335</v>
      </c>
      <c r="P287" s="15" t="s">
        <v>339</v>
      </c>
      <c r="Q287" t="s">
        <v>283</v>
      </c>
      <c r="R287" t="s">
        <v>284</v>
      </c>
      <c r="S287" s="17" t="s">
        <v>371</v>
      </c>
      <c r="T287" s="16" t="s">
        <v>341</v>
      </c>
      <c r="U287" s="16" t="s">
        <v>340</v>
      </c>
      <c r="V287" s="15" t="s">
        <v>340</v>
      </c>
      <c r="W287" s="15" t="s">
        <v>345</v>
      </c>
      <c r="X287" s="17" t="s">
        <v>291</v>
      </c>
      <c r="Y287" t="s">
        <v>349</v>
      </c>
      <c r="Z287" t="s">
        <v>349</v>
      </c>
      <c r="AA287" t="s">
        <v>293</v>
      </c>
      <c r="AB287" t="s">
        <v>352</v>
      </c>
      <c r="AC287" t="s">
        <v>298</v>
      </c>
      <c r="AD287" t="s">
        <v>300</v>
      </c>
      <c r="AE287" t="s">
        <v>292</v>
      </c>
      <c r="AF287" t="s">
        <v>293</v>
      </c>
      <c r="AG287" t="s">
        <v>292</v>
      </c>
      <c r="AH287" t="s">
        <v>293</v>
      </c>
      <c r="AI287" t="s">
        <v>293</v>
      </c>
      <c r="AJ287" t="s">
        <v>302</v>
      </c>
      <c r="AK287" t="s">
        <v>302</v>
      </c>
      <c r="AL287" t="s">
        <v>358</v>
      </c>
      <c r="AM287" t="s">
        <v>293</v>
      </c>
      <c r="AN287" t="s">
        <v>293</v>
      </c>
      <c r="AO287" t="s">
        <v>297</v>
      </c>
      <c r="AP287" t="s">
        <v>298</v>
      </c>
      <c r="AQ287" t="s">
        <v>293</v>
      </c>
      <c r="AR287" t="s">
        <v>292</v>
      </c>
      <c r="AS287" t="s">
        <v>293</v>
      </c>
      <c r="AT287" t="s">
        <v>293</v>
      </c>
      <c r="AU287" t="s">
        <v>364</v>
      </c>
      <c r="AV287" t="str">
        <f t="shared" si="10"/>
        <v>break</v>
      </c>
    </row>
    <row r="288" spans="1:48" x14ac:dyDescent="0.3">
      <c r="A288" t="s">
        <v>9</v>
      </c>
      <c r="B288" t="s">
        <v>55</v>
      </c>
      <c r="C288" t="s">
        <v>17</v>
      </c>
      <c r="D288" t="s">
        <v>29</v>
      </c>
      <c r="E288" t="str">
        <f t="shared" si="9"/>
        <v>P_N5O-ZSB-S_6B5</v>
      </c>
      <c r="F288" t="b">
        <v>1</v>
      </c>
      <c r="G288">
        <v>100</v>
      </c>
      <c r="H288">
        <v>1</v>
      </c>
      <c r="I288">
        <v>9244</v>
      </c>
      <c r="J288" s="49" t="s">
        <v>18</v>
      </c>
      <c r="L288" s="16" t="s">
        <v>272</v>
      </c>
      <c r="M288" s="16">
        <v>2</v>
      </c>
      <c r="N288" s="16" t="s">
        <v>277</v>
      </c>
      <c r="O288" s="16" t="s">
        <v>335</v>
      </c>
      <c r="P288" s="15" t="s">
        <v>281</v>
      </c>
      <c r="Q288" t="s">
        <v>283</v>
      </c>
      <c r="R288" t="s">
        <v>284</v>
      </c>
      <c r="S288" s="17" t="s">
        <v>371</v>
      </c>
      <c r="T288" s="16" t="s">
        <v>341</v>
      </c>
      <c r="U288" s="16" t="s">
        <v>340</v>
      </c>
      <c r="V288" s="15" t="s">
        <v>340</v>
      </c>
      <c r="W288" s="15" t="s">
        <v>345</v>
      </c>
      <c r="X288" s="17"/>
      <c r="Y288" t="s">
        <v>349</v>
      </c>
      <c r="Z288" t="s">
        <v>349</v>
      </c>
      <c r="AA288" t="s">
        <v>293</v>
      </c>
      <c r="AB288" t="s">
        <v>354</v>
      </c>
      <c r="AC288" t="s">
        <v>354</v>
      </c>
      <c r="AD288" t="s">
        <v>300</v>
      </c>
      <c r="AE288" t="s">
        <v>292</v>
      </c>
      <c r="AF288" t="s">
        <v>293</v>
      </c>
      <c r="AG288" t="s">
        <v>292</v>
      </c>
      <c r="AH288" t="s">
        <v>293</v>
      </c>
      <c r="AI288" t="s">
        <v>293</v>
      </c>
      <c r="AJ288" t="s">
        <v>302</v>
      </c>
      <c r="AK288" t="s">
        <v>302</v>
      </c>
      <c r="AL288" t="s">
        <v>357</v>
      </c>
      <c r="AM288" t="s">
        <v>293</v>
      </c>
      <c r="AN288" t="s">
        <v>293</v>
      </c>
      <c r="AO288" t="s">
        <v>297</v>
      </c>
      <c r="AP288" t="s">
        <v>298</v>
      </c>
      <c r="AQ288" t="s">
        <v>293</v>
      </c>
      <c r="AR288" t="s">
        <v>292</v>
      </c>
      <c r="AS288" t="s">
        <v>293</v>
      </c>
      <c r="AT288" t="s">
        <v>293</v>
      </c>
      <c r="AU288" t="s">
        <v>364</v>
      </c>
      <c r="AV288" t="str">
        <f t="shared" si="10"/>
        <v>break</v>
      </c>
    </row>
    <row r="289" spans="1:48" x14ac:dyDescent="0.3">
      <c r="A289" t="s">
        <v>9</v>
      </c>
      <c r="B289" t="s">
        <v>55</v>
      </c>
      <c r="C289" t="s">
        <v>16</v>
      </c>
      <c r="D289" t="s">
        <v>29</v>
      </c>
      <c r="E289" t="str">
        <f t="shared" si="9"/>
        <v>P_N5O-ZSB-S_6U7</v>
      </c>
      <c r="F289" t="b">
        <v>1</v>
      </c>
      <c r="G289">
        <v>100</v>
      </c>
      <c r="H289">
        <v>1</v>
      </c>
      <c r="I289">
        <v>8935</v>
      </c>
      <c r="J289" s="49" t="s">
        <v>18</v>
      </c>
      <c r="L289" s="16" t="s">
        <v>272</v>
      </c>
      <c r="M289" s="16">
        <v>3</v>
      </c>
      <c r="N289" s="16" t="s">
        <v>277</v>
      </c>
      <c r="O289" s="16" t="s">
        <v>335</v>
      </c>
      <c r="P289" s="15" t="s">
        <v>281</v>
      </c>
      <c r="Q289" t="s">
        <v>283</v>
      </c>
      <c r="R289" t="s">
        <v>284</v>
      </c>
      <c r="S289" s="17" t="s">
        <v>371</v>
      </c>
      <c r="T289" s="16" t="s">
        <v>341</v>
      </c>
      <c r="U289" s="16" t="s">
        <v>340</v>
      </c>
      <c r="V289" s="15" t="s">
        <v>340</v>
      </c>
      <c r="W289" s="15" t="s">
        <v>345</v>
      </c>
      <c r="X289" s="17"/>
      <c r="Y289" t="s">
        <v>349</v>
      </c>
      <c r="Z289" t="s">
        <v>349</v>
      </c>
      <c r="AA289" t="s">
        <v>293</v>
      </c>
      <c r="AB289" t="s">
        <v>354</v>
      </c>
      <c r="AC289" t="s">
        <v>354</v>
      </c>
      <c r="AD289" t="s">
        <v>300</v>
      </c>
      <c r="AE289" t="s">
        <v>292</v>
      </c>
      <c r="AF289" t="s">
        <v>293</v>
      </c>
      <c r="AG289" t="s">
        <v>292</v>
      </c>
      <c r="AH289" t="s">
        <v>293</v>
      </c>
      <c r="AI289" t="s">
        <v>293</v>
      </c>
      <c r="AJ289" t="s">
        <v>302</v>
      </c>
      <c r="AK289" t="s">
        <v>302</v>
      </c>
      <c r="AL289" t="s">
        <v>357</v>
      </c>
      <c r="AM289" t="s">
        <v>293</v>
      </c>
      <c r="AN289" t="s">
        <v>293</v>
      </c>
      <c r="AO289" t="s">
        <v>297</v>
      </c>
      <c r="AP289" t="s">
        <v>298</v>
      </c>
      <c r="AQ289" t="s">
        <v>293</v>
      </c>
      <c r="AR289" t="s">
        <v>292</v>
      </c>
      <c r="AS289" t="s">
        <v>293</v>
      </c>
      <c r="AT289" t="s">
        <v>293</v>
      </c>
      <c r="AU289" t="s">
        <v>364</v>
      </c>
      <c r="AV289" t="str">
        <f t="shared" si="10"/>
        <v>break</v>
      </c>
    </row>
    <row r="290" spans="1:48" x14ac:dyDescent="0.3">
      <c r="A290" t="s">
        <v>43</v>
      </c>
      <c r="B290" t="s">
        <v>54</v>
      </c>
      <c r="C290" t="s">
        <v>15</v>
      </c>
      <c r="D290" t="s">
        <v>12</v>
      </c>
      <c r="E290" t="str">
        <f t="shared" si="9"/>
        <v>P_O7W-KYY-S_0M4</v>
      </c>
      <c r="F290" t="b">
        <v>1</v>
      </c>
      <c r="G290">
        <v>85.9</v>
      </c>
      <c r="H290">
        <v>0</v>
      </c>
      <c r="I290">
        <v>9624</v>
      </c>
      <c r="J290" s="49" t="s">
        <v>13</v>
      </c>
      <c r="L290" s="16" t="s">
        <v>272</v>
      </c>
      <c r="M290" s="16">
        <v>3</v>
      </c>
      <c r="N290" s="16" t="s">
        <v>277</v>
      </c>
      <c r="O290" s="16" t="s">
        <v>335</v>
      </c>
      <c r="P290" s="15" t="s">
        <v>281</v>
      </c>
      <c r="Q290" t="s">
        <v>285</v>
      </c>
      <c r="R290" t="s">
        <v>282</v>
      </c>
      <c r="S290" s="17" t="s">
        <v>371</v>
      </c>
      <c r="T290" s="16" t="s">
        <v>341</v>
      </c>
      <c r="U290" s="16" t="s">
        <v>340</v>
      </c>
      <c r="V290" s="15" t="s">
        <v>343</v>
      </c>
      <c r="W290" s="15" t="s">
        <v>344</v>
      </c>
      <c r="X290" s="17" t="s">
        <v>345</v>
      </c>
      <c r="Y290" t="s">
        <v>349</v>
      </c>
      <c r="Z290" t="s">
        <v>349</v>
      </c>
      <c r="AA290" t="s">
        <v>293</v>
      </c>
      <c r="AB290" t="s">
        <v>353</v>
      </c>
      <c r="AC290" t="s">
        <v>297</v>
      </c>
      <c r="AD290" t="s">
        <v>300</v>
      </c>
      <c r="AE290" t="s">
        <v>292</v>
      </c>
      <c r="AF290" t="s">
        <v>293</v>
      </c>
      <c r="AG290" t="s">
        <v>292</v>
      </c>
      <c r="AH290" t="s">
        <v>293</v>
      </c>
      <c r="AI290" t="s">
        <v>293</v>
      </c>
      <c r="AJ290" t="s">
        <v>302</v>
      </c>
      <c r="AK290" t="s">
        <v>302</v>
      </c>
      <c r="AL290" t="s">
        <v>359</v>
      </c>
      <c r="AM290" t="s">
        <v>293</v>
      </c>
      <c r="AN290" t="s">
        <v>293</v>
      </c>
      <c r="AO290" t="s">
        <v>297</v>
      </c>
      <c r="AP290" t="s">
        <v>298</v>
      </c>
      <c r="AQ290" t="s">
        <v>293</v>
      </c>
      <c r="AR290" t="s">
        <v>292</v>
      </c>
      <c r="AS290" t="s">
        <v>293</v>
      </c>
      <c r="AT290" t="s">
        <v>293</v>
      </c>
      <c r="AU290" t="s">
        <v>364</v>
      </c>
      <c r="AV290" t="str">
        <f t="shared" si="10"/>
        <v>no_fail</v>
      </c>
    </row>
    <row r="291" spans="1:48" x14ac:dyDescent="0.3">
      <c r="A291" t="s">
        <v>43</v>
      </c>
      <c r="B291" t="s">
        <v>54</v>
      </c>
      <c r="C291" t="s">
        <v>14</v>
      </c>
      <c r="D291" t="s">
        <v>12</v>
      </c>
      <c r="E291" t="str">
        <f t="shared" si="9"/>
        <v>P_O7W-KYY-S_1B0</v>
      </c>
      <c r="F291" t="b">
        <v>1</v>
      </c>
      <c r="G291">
        <v>83.8</v>
      </c>
      <c r="H291">
        <v>0</v>
      </c>
      <c r="I291">
        <v>9985</v>
      </c>
      <c r="J291" s="49" t="s">
        <v>13</v>
      </c>
      <c r="L291" s="16" t="s">
        <v>272</v>
      </c>
      <c r="M291" s="16">
        <v>3</v>
      </c>
      <c r="N291" s="16" t="s">
        <v>277</v>
      </c>
      <c r="O291" s="16" t="s">
        <v>335</v>
      </c>
      <c r="P291" s="15" t="s">
        <v>281</v>
      </c>
      <c r="Q291" t="s">
        <v>285</v>
      </c>
      <c r="R291" t="s">
        <v>282</v>
      </c>
      <c r="S291" s="17" t="s">
        <v>371</v>
      </c>
      <c r="T291" s="16" t="s">
        <v>341</v>
      </c>
      <c r="U291" s="16" t="s">
        <v>340</v>
      </c>
      <c r="V291" s="15" t="s">
        <v>343</v>
      </c>
      <c r="W291" s="15" t="s">
        <v>344</v>
      </c>
      <c r="X291" s="17" t="s">
        <v>345</v>
      </c>
      <c r="Y291" t="s">
        <v>349</v>
      </c>
      <c r="Z291" t="s">
        <v>349</v>
      </c>
      <c r="AA291" t="s">
        <v>293</v>
      </c>
      <c r="AB291" t="s">
        <v>353</v>
      </c>
      <c r="AC291" t="s">
        <v>297</v>
      </c>
      <c r="AD291" t="s">
        <v>301</v>
      </c>
      <c r="AE291" t="s">
        <v>292</v>
      </c>
      <c r="AF291" t="s">
        <v>293</v>
      </c>
      <c r="AG291" t="s">
        <v>292</v>
      </c>
      <c r="AH291" t="s">
        <v>293</v>
      </c>
      <c r="AI291" t="s">
        <v>293</v>
      </c>
      <c r="AJ291" t="s">
        <v>302</v>
      </c>
      <c r="AK291" t="s">
        <v>302</v>
      </c>
      <c r="AL291" t="s">
        <v>359</v>
      </c>
      <c r="AM291" t="s">
        <v>293</v>
      </c>
      <c r="AN291" t="s">
        <v>293</v>
      </c>
      <c r="AO291" t="s">
        <v>297</v>
      </c>
      <c r="AP291" t="s">
        <v>298</v>
      </c>
      <c r="AQ291" t="s">
        <v>293</v>
      </c>
      <c r="AR291" t="s">
        <v>292</v>
      </c>
      <c r="AS291" t="s">
        <v>293</v>
      </c>
      <c r="AT291" t="s">
        <v>293</v>
      </c>
      <c r="AU291" t="s">
        <v>364</v>
      </c>
      <c r="AV291" t="str">
        <f t="shared" si="10"/>
        <v>no_fail</v>
      </c>
    </row>
    <row r="292" spans="1:48" x14ac:dyDescent="0.3">
      <c r="A292" t="s">
        <v>43</v>
      </c>
      <c r="B292" t="s">
        <v>54</v>
      </c>
      <c r="C292" t="s">
        <v>11</v>
      </c>
      <c r="D292" t="s">
        <v>12</v>
      </c>
      <c r="E292" t="str">
        <f t="shared" si="9"/>
        <v>P_O7W-KYY-S_1Q4</v>
      </c>
      <c r="F292" t="b">
        <v>1</v>
      </c>
      <c r="G292">
        <v>78.2</v>
      </c>
      <c r="H292">
        <v>0</v>
      </c>
      <c r="I292">
        <v>11824</v>
      </c>
      <c r="J292" s="49" t="s">
        <v>13</v>
      </c>
      <c r="L292" s="16" t="s">
        <v>272</v>
      </c>
      <c r="M292" s="16">
        <v>3</v>
      </c>
      <c r="N292" s="16" t="s">
        <v>277</v>
      </c>
      <c r="O292" s="16" t="s">
        <v>335</v>
      </c>
      <c r="P292" s="15" t="s">
        <v>281</v>
      </c>
      <c r="Q292" t="s">
        <v>285</v>
      </c>
      <c r="R292" t="s">
        <v>282</v>
      </c>
      <c r="S292" s="17" t="s">
        <v>371</v>
      </c>
      <c r="T292" s="16" t="s">
        <v>341</v>
      </c>
      <c r="U292" s="16" t="s">
        <v>340</v>
      </c>
      <c r="V292" s="15" t="s">
        <v>343</v>
      </c>
      <c r="W292" s="15" t="s">
        <v>344</v>
      </c>
      <c r="X292" s="17" t="s">
        <v>345</v>
      </c>
      <c r="Y292" t="s">
        <v>349</v>
      </c>
      <c r="Z292" t="s">
        <v>349</v>
      </c>
      <c r="AA292" t="s">
        <v>292</v>
      </c>
      <c r="AB292" t="s">
        <v>353</v>
      </c>
      <c r="AC292" t="s">
        <v>355</v>
      </c>
      <c r="AD292" t="s">
        <v>301</v>
      </c>
      <c r="AE292" t="s">
        <v>292</v>
      </c>
      <c r="AF292" t="s">
        <v>292</v>
      </c>
      <c r="AG292" t="s">
        <v>292</v>
      </c>
      <c r="AH292" t="s">
        <v>293</v>
      </c>
      <c r="AI292" t="s">
        <v>293</v>
      </c>
      <c r="AJ292" t="s">
        <v>302</v>
      </c>
      <c r="AK292" t="s">
        <v>302</v>
      </c>
      <c r="AL292" t="s">
        <v>302</v>
      </c>
      <c r="AM292" t="s">
        <v>293</v>
      </c>
      <c r="AN292" t="s">
        <v>293</v>
      </c>
      <c r="AO292" t="s">
        <v>297</v>
      </c>
      <c r="AP292" t="s">
        <v>298</v>
      </c>
      <c r="AQ292" t="s">
        <v>293</v>
      </c>
      <c r="AR292" t="s">
        <v>292</v>
      </c>
      <c r="AS292" t="s">
        <v>293</v>
      </c>
      <c r="AT292" t="s">
        <v>293</v>
      </c>
      <c r="AU292" t="s">
        <v>364</v>
      </c>
      <c r="AV292" t="str">
        <f t="shared" si="10"/>
        <v>no_fail</v>
      </c>
    </row>
    <row r="293" spans="1:48" x14ac:dyDescent="0.3">
      <c r="A293" t="s">
        <v>43</v>
      </c>
      <c r="B293" t="s">
        <v>54</v>
      </c>
      <c r="C293" t="s">
        <v>19</v>
      </c>
      <c r="D293" t="s">
        <v>12</v>
      </c>
      <c r="E293" t="str">
        <f t="shared" si="9"/>
        <v>P_O7W-KYY-S_4U3</v>
      </c>
      <c r="F293" t="b">
        <v>1</v>
      </c>
      <c r="G293">
        <v>99.7</v>
      </c>
      <c r="H293">
        <v>0</v>
      </c>
      <c r="I293">
        <v>8565</v>
      </c>
      <c r="J293" s="49" t="s">
        <v>13</v>
      </c>
      <c r="L293" s="16" t="s">
        <v>272</v>
      </c>
      <c r="M293" s="16">
        <v>3</v>
      </c>
      <c r="N293" s="16" t="s">
        <v>277</v>
      </c>
      <c r="O293" s="16" t="s">
        <v>335</v>
      </c>
      <c r="P293" s="15" t="s">
        <v>281</v>
      </c>
      <c r="Q293" t="s">
        <v>285</v>
      </c>
      <c r="R293" t="s">
        <v>282</v>
      </c>
      <c r="S293" s="17" t="s">
        <v>371</v>
      </c>
      <c r="T293" s="16" t="s">
        <v>341</v>
      </c>
      <c r="U293" s="16" t="s">
        <v>340</v>
      </c>
      <c r="V293" s="15" t="s">
        <v>343</v>
      </c>
      <c r="W293" s="15" t="s">
        <v>344</v>
      </c>
      <c r="X293" s="17" t="s">
        <v>345</v>
      </c>
      <c r="Y293" t="s">
        <v>349</v>
      </c>
      <c r="Z293" t="s">
        <v>349</v>
      </c>
      <c r="AA293" t="s">
        <v>293</v>
      </c>
      <c r="AB293" t="s">
        <v>353</v>
      </c>
      <c r="AC293" t="s">
        <v>297</v>
      </c>
      <c r="AD293" t="s">
        <v>299</v>
      </c>
      <c r="AE293" t="s">
        <v>292</v>
      </c>
      <c r="AF293" t="s">
        <v>293</v>
      </c>
      <c r="AG293" t="s">
        <v>292</v>
      </c>
      <c r="AH293" t="s">
        <v>293</v>
      </c>
      <c r="AI293" t="s">
        <v>293</v>
      </c>
      <c r="AJ293" t="s">
        <v>302</v>
      </c>
      <c r="AK293" t="s">
        <v>302</v>
      </c>
      <c r="AL293" t="s">
        <v>359</v>
      </c>
      <c r="AM293" t="s">
        <v>293</v>
      </c>
      <c r="AN293" t="s">
        <v>293</v>
      </c>
      <c r="AO293" t="s">
        <v>297</v>
      </c>
      <c r="AP293" t="s">
        <v>298</v>
      </c>
      <c r="AQ293" t="s">
        <v>293</v>
      </c>
      <c r="AR293" t="s">
        <v>292</v>
      </c>
      <c r="AS293" t="s">
        <v>293</v>
      </c>
      <c r="AT293" t="s">
        <v>293</v>
      </c>
      <c r="AU293" t="s">
        <v>364</v>
      </c>
      <c r="AV293" t="str">
        <f t="shared" si="10"/>
        <v>no_fail</v>
      </c>
    </row>
    <row r="294" spans="1:48" x14ac:dyDescent="0.3">
      <c r="A294" t="s">
        <v>43</v>
      </c>
      <c r="B294" t="s">
        <v>54</v>
      </c>
      <c r="C294" t="s">
        <v>17</v>
      </c>
      <c r="D294" t="s">
        <v>12</v>
      </c>
      <c r="E294" t="str">
        <f t="shared" si="9"/>
        <v>P_O7W-KYY-S_6B5</v>
      </c>
      <c r="F294" t="b">
        <v>1</v>
      </c>
      <c r="G294">
        <v>91.4</v>
      </c>
      <c r="H294">
        <v>0</v>
      </c>
      <c r="I294">
        <v>8948</v>
      </c>
      <c r="J294" s="49" t="s">
        <v>13</v>
      </c>
      <c r="L294" s="16" t="s">
        <v>272</v>
      </c>
      <c r="M294" s="16">
        <v>3</v>
      </c>
      <c r="N294" s="16" t="s">
        <v>277</v>
      </c>
      <c r="O294" s="16" t="s">
        <v>335</v>
      </c>
      <c r="P294" s="15" t="s">
        <v>281</v>
      </c>
      <c r="Q294" t="s">
        <v>285</v>
      </c>
      <c r="R294" t="s">
        <v>282</v>
      </c>
      <c r="S294" s="17" t="s">
        <v>371</v>
      </c>
      <c r="T294" s="16" t="s">
        <v>341</v>
      </c>
      <c r="U294" s="16" t="s">
        <v>340</v>
      </c>
      <c r="V294" s="15" t="s">
        <v>343</v>
      </c>
      <c r="W294" s="15" t="s">
        <v>344</v>
      </c>
      <c r="X294" s="17" t="s">
        <v>345</v>
      </c>
      <c r="Y294" t="s">
        <v>349</v>
      </c>
      <c r="Z294" t="s">
        <v>349</v>
      </c>
      <c r="AA294" t="s">
        <v>293</v>
      </c>
      <c r="AB294" t="s">
        <v>353</v>
      </c>
      <c r="AC294" t="s">
        <v>297</v>
      </c>
      <c r="AD294" t="s">
        <v>299</v>
      </c>
      <c r="AE294" t="s">
        <v>292</v>
      </c>
      <c r="AF294" t="s">
        <v>293</v>
      </c>
      <c r="AG294" t="s">
        <v>292</v>
      </c>
      <c r="AH294" t="s">
        <v>293</v>
      </c>
      <c r="AI294" t="s">
        <v>293</v>
      </c>
      <c r="AJ294" t="s">
        <v>302</v>
      </c>
      <c r="AK294" t="s">
        <v>302</v>
      </c>
      <c r="AL294" t="s">
        <v>359</v>
      </c>
      <c r="AM294" t="s">
        <v>293</v>
      </c>
      <c r="AN294" t="s">
        <v>293</v>
      </c>
      <c r="AO294" t="s">
        <v>297</v>
      </c>
      <c r="AP294" t="s">
        <v>298</v>
      </c>
      <c r="AQ294" t="s">
        <v>293</v>
      </c>
      <c r="AR294" t="s">
        <v>292</v>
      </c>
      <c r="AS294" t="s">
        <v>293</v>
      </c>
      <c r="AT294" t="s">
        <v>293</v>
      </c>
      <c r="AU294" t="s">
        <v>364</v>
      </c>
      <c r="AV294" t="str">
        <f t="shared" si="10"/>
        <v>no_fail</v>
      </c>
    </row>
    <row r="295" spans="1:48" x14ac:dyDescent="0.3">
      <c r="A295" t="s">
        <v>43</v>
      </c>
      <c r="B295" t="s">
        <v>54</v>
      </c>
      <c r="C295" t="s">
        <v>16</v>
      </c>
      <c r="D295" t="s">
        <v>12</v>
      </c>
      <c r="E295" t="str">
        <f t="shared" si="9"/>
        <v>P_O7W-KYY-S_6U7</v>
      </c>
      <c r="F295" t="b">
        <v>1</v>
      </c>
      <c r="G295">
        <v>88.6</v>
      </c>
      <c r="H295">
        <v>0</v>
      </c>
      <c r="I295">
        <v>9426</v>
      </c>
      <c r="J295" s="49" t="s">
        <v>13</v>
      </c>
      <c r="L295" s="16" t="s">
        <v>272</v>
      </c>
      <c r="M295" s="16">
        <v>3</v>
      </c>
      <c r="N295" s="16" t="s">
        <v>277</v>
      </c>
      <c r="O295" s="16" t="s">
        <v>335</v>
      </c>
      <c r="P295" s="15" t="s">
        <v>281</v>
      </c>
      <c r="Q295" t="s">
        <v>285</v>
      </c>
      <c r="R295" t="s">
        <v>282</v>
      </c>
      <c r="S295" s="17" t="s">
        <v>371</v>
      </c>
      <c r="T295" s="16" t="s">
        <v>341</v>
      </c>
      <c r="U295" s="16" t="s">
        <v>340</v>
      </c>
      <c r="V295" s="15" t="s">
        <v>343</v>
      </c>
      <c r="W295" s="15" t="s">
        <v>344</v>
      </c>
      <c r="X295" s="17" t="s">
        <v>345</v>
      </c>
      <c r="Y295" t="s">
        <v>349</v>
      </c>
      <c r="Z295" t="s">
        <v>349</v>
      </c>
      <c r="AA295" t="s">
        <v>293</v>
      </c>
      <c r="AB295" t="s">
        <v>353</v>
      </c>
      <c r="AC295" t="s">
        <v>297</v>
      </c>
      <c r="AD295" t="s">
        <v>300</v>
      </c>
      <c r="AE295" t="s">
        <v>292</v>
      </c>
      <c r="AF295" t="s">
        <v>293</v>
      </c>
      <c r="AG295" t="s">
        <v>292</v>
      </c>
      <c r="AH295" t="s">
        <v>293</v>
      </c>
      <c r="AI295" t="s">
        <v>293</v>
      </c>
      <c r="AJ295" t="s">
        <v>302</v>
      </c>
      <c r="AK295" t="s">
        <v>302</v>
      </c>
      <c r="AL295" t="s">
        <v>359</v>
      </c>
      <c r="AM295" t="s">
        <v>293</v>
      </c>
      <c r="AN295" t="s">
        <v>293</v>
      </c>
      <c r="AO295" t="s">
        <v>297</v>
      </c>
      <c r="AP295" t="s">
        <v>298</v>
      </c>
      <c r="AQ295" t="s">
        <v>293</v>
      </c>
      <c r="AR295" t="s">
        <v>292</v>
      </c>
      <c r="AS295" t="s">
        <v>293</v>
      </c>
      <c r="AT295" t="s">
        <v>293</v>
      </c>
      <c r="AU295" t="s">
        <v>364</v>
      </c>
      <c r="AV295" t="str">
        <f t="shared" si="10"/>
        <v>no_fail</v>
      </c>
    </row>
    <row r="296" spans="1:48" x14ac:dyDescent="0.3">
      <c r="A296" t="s">
        <v>43</v>
      </c>
      <c r="B296" t="s">
        <v>54</v>
      </c>
      <c r="C296" t="s">
        <v>23</v>
      </c>
      <c r="D296" t="s">
        <v>29</v>
      </c>
      <c r="E296" t="str">
        <f t="shared" si="9"/>
        <v>P_O7W-ZSB-S_0T2</v>
      </c>
      <c r="F296" t="b">
        <v>1</v>
      </c>
      <c r="G296">
        <v>100</v>
      </c>
      <c r="H296">
        <v>1</v>
      </c>
      <c r="I296">
        <v>8230</v>
      </c>
      <c r="J296" s="49" t="s">
        <v>13</v>
      </c>
      <c r="L296" s="16" t="s">
        <v>272</v>
      </c>
      <c r="M296" s="16">
        <v>3</v>
      </c>
      <c r="N296" s="16" t="s">
        <v>277</v>
      </c>
      <c r="O296" s="16" t="s">
        <v>335</v>
      </c>
      <c r="P296" s="15" t="s">
        <v>281</v>
      </c>
      <c r="Q296" t="s">
        <v>285</v>
      </c>
      <c r="R296" t="s">
        <v>282</v>
      </c>
      <c r="S296" s="17" t="s">
        <v>371</v>
      </c>
      <c r="T296" s="16" t="s">
        <v>340</v>
      </c>
      <c r="U296" s="16" t="s">
        <v>342</v>
      </c>
      <c r="V296" s="15" t="s">
        <v>343</v>
      </c>
      <c r="W296" s="15" t="s">
        <v>344</v>
      </c>
      <c r="X296" s="17" t="s">
        <v>347</v>
      </c>
      <c r="Y296" t="s">
        <v>349</v>
      </c>
      <c r="Z296" t="s">
        <v>349</v>
      </c>
      <c r="AA296" t="s">
        <v>293</v>
      </c>
      <c r="AB296" t="s">
        <v>353</v>
      </c>
      <c r="AC296" t="s">
        <v>355</v>
      </c>
      <c r="AD296" t="s">
        <v>299</v>
      </c>
      <c r="AE296" t="s">
        <v>292</v>
      </c>
      <c r="AF296" t="s">
        <v>293</v>
      </c>
      <c r="AG296" t="s">
        <v>292</v>
      </c>
      <c r="AH296" t="s">
        <v>292</v>
      </c>
      <c r="AI296" t="s">
        <v>293</v>
      </c>
      <c r="AJ296" t="s">
        <v>302</v>
      </c>
      <c r="AK296" t="s">
        <v>302</v>
      </c>
      <c r="AL296" t="s">
        <v>359</v>
      </c>
      <c r="AM296" t="s">
        <v>293</v>
      </c>
      <c r="AN296" t="s">
        <v>293</v>
      </c>
      <c r="AO296" t="s">
        <v>297</v>
      </c>
      <c r="AP296" t="s">
        <v>298</v>
      </c>
      <c r="AQ296" t="s">
        <v>293</v>
      </c>
      <c r="AR296" t="s">
        <v>292</v>
      </c>
      <c r="AS296" t="s">
        <v>293</v>
      </c>
      <c r="AT296" t="s">
        <v>293</v>
      </c>
      <c r="AU296" t="s">
        <v>364</v>
      </c>
      <c r="AV296" t="str">
        <f t="shared" si="10"/>
        <v>no_fail</v>
      </c>
    </row>
    <row r="297" spans="1:48" x14ac:dyDescent="0.3">
      <c r="A297" t="s">
        <v>43</v>
      </c>
      <c r="B297" t="s">
        <v>54</v>
      </c>
      <c r="C297" t="s">
        <v>25</v>
      </c>
      <c r="D297" t="s">
        <v>29</v>
      </c>
      <c r="E297" t="str">
        <f t="shared" si="9"/>
        <v>P_O7W-ZSB-S_1J8</v>
      </c>
      <c r="F297" t="b">
        <v>1</v>
      </c>
      <c r="G297">
        <v>100</v>
      </c>
      <c r="H297">
        <v>1</v>
      </c>
      <c r="I297">
        <v>8175</v>
      </c>
      <c r="J297" s="49" t="s">
        <v>18</v>
      </c>
      <c r="L297" s="16" t="s">
        <v>272</v>
      </c>
      <c r="M297" s="16">
        <v>3</v>
      </c>
      <c r="N297" s="16" t="s">
        <v>277</v>
      </c>
      <c r="O297" s="16" t="s">
        <v>335</v>
      </c>
      <c r="P297" s="15" t="s">
        <v>281</v>
      </c>
      <c r="Q297" t="s">
        <v>285</v>
      </c>
      <c r="R297" t="s">
        <v>282</v>
      </c>
      <c r="S297" s="17" t="s">
        <v>371</v>
      </c>
      <c r="T297" s="16" t="s">
        <v>340</v>
      </c>
      <c r="U297" s="16" t="s">
        <v>342</v>
      </c>
      <c r="V297" s="15" t="s">
        <v>343</v>
      </c>
      <c r="W297" s="15" t="s">
        <v>344</v>
      </c>
      <c r="X297" s="17" t="s">
        <v>347</v>
      </c>
      <c r="Y297" t="s">
        <v>349</v>
      </c>
      <c r="Z297" t="s">
        <v>349</v>
      </c>
      <c r="AA297" t="s">
        <v>293</v>
      </c>
      <c r="AB297" t="s">
        <v>353</v>
      </c>
      <c r="AC297" t="s">
        <v>355</v>
      </c>
      <c r="AD297" t="s">
        <v>299</v>
      </c>
      <c r="AE297" t="s">
        <v>292</v>
      </c>
      <c r="AF297" t="s">
        <v>293</v>
      </c>
      <c r="AG297" t="s">
        <v>292</v>
      </c>
      <c r="AH297" t="s">
        <v>292</v>
      </c>
      <c r="AI297" t="s">
        <v>293</v>
      </c>
      <c r="AJ297" t="s">
        <v>302</v>
      </c>
      <c r="AK297" t="s">
        <v>302</v>
      </c>
      <c r="AL297" t="s">
        <v>359</v>
      </c>
      <c r="AM297" t="s">
        <v>293</v>
      </c>
      <c r="AN297" t="s">
        <v>293</v>
      </c>
      <c r="AO297" t="s">
        <v>297</v>
      </c>
      <c r="AP297" t="s">
        <v>298</v>
      </c>
      <c r="AQ297" t="s">
        <v>293</v>
      </c>
      <c r="AR297" t="s">
        <v>292</v>
      </c>
      <c r="AS297" t="s">
        <v>293</v>
      </c>
      <c r="AT297" t="s">
        <v>293</v>
      </c>
      <c r="AU297" t="s">
        <v>364</v>
      </c>
      <c r="AV297" t="str">
        <f t="shared" si="10"/>
        <v>break</v>
      </c>
    </row>
    <row r="298" spans="1:48" x14ac:dyDescent="0.3">
      <c r="A298" t="s">
        <v>43</v>
      </c>
      <c r="B298" t="s">
        <v>54</v>
      </c>
      <c r="C298" t="s">
        <v>24</v>
      </c>
      <c r="D298" t="s">
        <v>29</v>
      </c>
      <c r="E298" t="str">
        <f t="shared" si="9"/>
        <v>P_O7W-ZSB-S_1U0</v>
      </c>
      <c r="F298" t="b">
        <v>1</v>
      </c>
      <c r="G298">
        <v>100</v>
      </c>
      <c r="H298">
        <v>1</v>
      </c>
      <c r="I298">
        <v>8190</v>
      </c>
      <c r="J298" s="49" t="s">
        <v>18</v>
      </c>
      <c r="L298" s="16" t="s">
        <v>272</v>
      </c>
      <c r="M298" s="16">
        <v>3</v>
      </c>
      <c r="N298" s="16" t="s">
        <v>277</v>
      </c>
      <c r="O298" s="16" t="s">
        <v>335</v>
      </c>
      <c r="P298" s="15" t="s">
        <v>281</v>
      </c>
      <c r="Q298" t="s">
        <v>285</v>
      </c>
      <c r="R298" t="s">
        <v>282</v>
      </c>
      <c r="S298" s="17" t="s">
        <v>371</v>
      </c>
      <c r="T298" s="16" t="s">
        <v>340</v>
      </c>
      <c r="U298" s="16" t="s">
        <v>342</v>
      </c>
      <c r="V298" s="15" t="s">
        <v>343</v>
      </c>
      <c r="W298" s="15" t="s">
        <v>344</v>
      </c>
      <c r="X298" s="17" t="s">
        <v>347</v>
      </c>
      <c r="Y298" t="s">
        <v>349</v>
      </c>
      <c r="Z298" t="s">
        <v>349</v>
      </c>
      <c r="AA298" t="s">
        <v>293</v>
      </c>
      <c r="AB298" t="s">
        <v>353</v>
      </c>
      <c r="AC298" t="s">
        <v>355</v>
      </c>
      <c r="AD298" t="s">
        <v>299</v>
      </c>
      <c r="AE298" t="s">
        <v>292</v>
      </c>
      <c r="AF298" t="s">
        <v>293</v>
      </c>
      <c r="AG298" t="s">
        <v>292</v>
      </c>
      <c r="AH298" t="s">
        <v>292</v>
      </c>
      <c r="AI298" t="s">
        <v>293</v>
      </c>
      <c r="AJ298" t="s">
        <v>302</v>
      </c>
      <c r="AK298" t="s">
        <v>302</v>
      </c>
      <c r="AL298" t="s">
        <v>359</v>
      </c>
      <c r="AM298" t="s">
        <v>293</v>
      </c>
      <c r="AN298" t="s">
        <v>293</v>
      </c>
      <c r="AO298" t="s">
        <v>297</v>
      </c>
      <c r="AP298" t="s">
        <v>298</v>
      </c>
      <c r="AQ298" t="s">
        <v>293</v>
      </c>
      <c r="AR298" t="s">
        <v>292</v>
      </c>
      <c r="AS298" t="s">
        <v>293</v>
      </c>
      <c r="AT298" t="s">
        <v>293</v>
      </c>
      <c r="AU298" t="s">
        <v>364</v>
      </c>
      <c r="AV298" t="str">
        <f t="shared" si="10"/>
        <v>break</v>
      </c>
    </row>
    <row r="299" spans="1:48" x14ac:dyDescent="0.3">
      <c r="A299" t="s">
        <v>43</v>
      </c>
      <c r="B299" t="s">
        <v>54</v>
      </c>
      <c r="C299" t="s">
        <v>32</v>
      </c>
      <c r="D299" t="s">
        <v>29</v>
      </c>
      <c r="E299" t="str">
        <f t="shared" si="9"/>
        <v>P_O7W-ZSB-S_3B9</v>
      </c>
      <c r="F299" t="b">
        <v>1</v>
      </c>
      <c r="G299">
        <v>100</v>
      </c>
      <c r="H299">
        <v>1</v>
      </c>
      <c r="I299">
        <v>8146</v>
      </c>
      <c r="J299" s="49" t="s">
        <v>18</v>
      </c>
      <c r="L299" s="16" t="s">
        <v>272</v>
      </c>
      <c r="M299" s="16">
        <v>3</v>
      </c>
      <c r="N299" s="16" t="s">
        <v>277</v>
      </c>
      <c r="O299" s="16" t="s">
        <v>335</v>
      </c>
      <c r="P299" s="15" t="s">
        <v>281</v>
      </c>
      <c r="Q299" t="s">
        <v>285</v>
      </c>
      <c r="R299" t="s">
        <v>282</v>
      </c>
      <c r="S299" s="17" t="s">
        <v>371</v>
      </c>
      <c r="T299" s="16" t="s">
        <v>340</v>
      </c>
      <c r="U299" s="16" t="s">
        <v>342</v>
      </c>
      <c r="V299" s="15" t="s">
        <v>343</v>
      </c>
      <c r="W299" s="15" t="s">
        <v>344</v>
      </c>
      <c r="X299" s="17" t="s">
        <v>347</v>
      </c>
      <c r="Y299" t="s">
        <v>349</v>
      </c>
      <c r="Z299" t="s">
        <v>349</v>
      </c>
      <c r="AA299" t="s">
        <v>293</v>
      </c>
      <c r="AB299" t="s">
        <v>353</v>
      </c>
      <c r="AC299" t="s">
        <v>355</v>
      </c>
      <c r="AD299" t="s">
        <v>299</v>
      </c>
      <c r="AE299" t="s">
        <v>292</v>
      </c>
      <c r="AF299" t="s">
        <v>293</v>
      </c>
      <c r="AG299" t="s">
        <v>292</v>
      </c>
      <c r="AH299" t="s">
        <v>292</v>
      </c>
      <c r="AI299" t="s">
        <v>293</v>
      </c>
      <c r="AJ299" t="s">
        <v>302</v>
      </c>
      <c r="AK299" t="s">
        <v>302</v>
      </c>
      <c r="AL299" t="s">
        <v>359</v>
      </c>
      <c r="AM299" t="s">
        <v>293</v>
      </c>
      <c r="AN299" t="s">
        <v>293</v>
      </c>
      <c r="AO299" t="s">
        <v>297</v>
      </c>
      <c r="AP299" t="s">
        <v>298</v>
      </c>
      <c r="AQ299" t="s">
        <v>293</v>
      </c>
      <c r="AR299" t="s">
        <v>292</v>
      </c>
      <c r="AS299" t="s">
        <v>293</v>
      </c>
      <c r="AT299" t="s">
        <v>293</v>
      </c>
      <c r="AU299" t="s">
        <v>364</v>
      </c>
      <c r="AV299" t="str">
        <f t="shared" si="10"/>
        <v>break</v>
      </c>
    </row>
    <row r="300" spans="1:48" x14ac:dyDescent="0.3">
      <c r="A300" t="s">
        <v>43</v>
      </c>
      <c r="B300" t="s">
        <v>54</v>
      </c>
      <c r="C300" t="s">
        <v>21</v>
      </c>
      <c r="D300" t="s">
        <v>29</v>
      </c>
      <c r="E300" t="str">
        <f t="shared" si="9"/>
        <v>P_O7W-ZSB-S_3X6</v>
      </c>
      <c r="F300" t="b">
        <v>1</v>
      </c>
      <c r="G300">
        <v>100</v>
      </c>
      <c r="H300">
        <v>1</v>
      </c>
      <c r="I300">
        <v>7792</v>
      </c>
      <c r="J300" s="49" t="s">
        <v>18</v>
      </c>
      <c r="L300" s="16" t="s">
        <v>272</v>
      </c>
      <c r="M300" s="16">
        <v>3</v>
      </c>
      <c r="N300" s="16" t="s">
        <v>277</v>
      </c>
      <c r="O300" s="16" t="s">
        <v>335</v>
      </c>
      <c r="P300" s="15" t="s">
        <v>281</v>
      </c>
      <c r="Q300" t="s">
        <v>285</v>
      </c>
      <c r="R300" t="s">
        <v>282</v>
      </c>
      <c r="S300" s="17" t="s">
        <v>371</v>
      </c>
      <c r="T300" s="16" t="s">
        <v>340</v>
      </c>
      <c r="U300" s="16" t="s">
        <v>342</v>
      </c>
      <c r="V300" s="15" t="s">
        <v>343</v>
      </c>
      <c r="W300" s="15" t="s">
        <v>344</v>
      </c>
      <c r="X300" s="17" t="s">
        <v>347</v>
      </c>
      <c r="Y300" t="s">
        <v>349</v>
      </c>
      <c r="Z300" t="s">
        <v>349</v>
      </c>
      <c r="AA300" t="s">
        <v>293</v>
      </c>
      <c r="AB300" t="s">
        <v>353</v>
      </c>
      <c r="AC300" t="s">
        <v>297</v>
      </c>
      <c r="AD300" t="s">
        <v>300</v>
      </c>
      <c r="AE300" t="s">
        <v>292</v>
      </c>
      <c r="AF300" t="s">
        <v>293</v>
      </c>
      <c r="AG300" t="s">
        <v>292</v>
      </c>
      <c r="AH300" t="s">
        <v>293</v>
      </c>
      <c r="AI300" t="s">
        <v>293</v>
      </c>
      <c r="AJ300" t="s">
        <v>302</v>
      </c>
      <c r="AK300" t="s">
        <v>302</v>
      </c>
      <c r="AL300" t="s">
        <v>359</v>
      </c>
      <c r="AM300" t="s">
        <v>293</v>
      </c>
      <c r="AN300" t="s">
        <v>293</v>
      </c>
      <c r="AO300" t="s">
        <v>297</v>
      </c>
      <c r="AP300" t="s">
        <v>298</v>
      </c>
      <c r="AQ300" t="s">
        <v>293</v>
      </c>
      <c r="AR300" t="s">
        <v>292</v>
      </c>
      <c r="AS300" t="s">
        <v>293</v>
      </c>
      <c r="AT300" t="s">
        <v>293</v>
      </c>
      <c r="AU300" t="s">
        <v>364</v>
      </c>
      <c r="AV300" t="str">
        <f t="shared" si="10"/>
        <v>break</v>
      </c>
    </row>
    <row r="301" spans="1:48" x14ac:dyDescent="0.3">
      <c r="A301" t="s">
        <v>43</v>
      </c>
      <c r="B301" t="s">
        <v>54</v>
      </c>
      <c r="C301" t="s">
        <v>30</v>
      </c>
      <c r="D301" t="s">
        <v>29</v>
      </c>
      <c r="E301" t="str">
        <f t="shared" si="9"/>
        <v>P_O7W-ZSB-S_3X7</v>
      </c>
      <c r="F301" t="b">
        <v>1</v>
      </c>
      <c r="G301">
        <v>100</v>
      </c>
      <c r="H301">
        <v>1</v>
      </c>
      <c r="I301">
        <v>8204</v>
      </c>
      <c r="J301" s="49" t="s">
        <v>18</v>
      </c>
      <c r="L301" s="16" t="s">
        <v>272</v>
      </c>
      <c r="M301" s="16">
        <v>3</v>
      </c>
      <c r="N301" s="16" t="s">
        <v>277</v>
      </c>
      <c r="O301" s="16" t="s">
        <v>335</v>
      </c>
      <c r="P301" s="15" t="s">
        <v>281</v>
      </c>
      <c r="Q301" t="s">
        <v>285</v>
      </c>
      <c r="R301" t="s">
        <v>282</v>
      </c>
      <c r="S301" s="17" t="s">
        <v>371</v>
      </c>
      <c r="T301" s="16" t="s">
        <v>340</v>
      </c>
      <c r="U301" s="16" t="s">
        <v>342</v>
      </c>
      <c r="V301" s="15" t="s">
        <v>343</v>
      </c>
      <c r="W301" s="15" t="s">
        <v>344</v>
      </c>
      <c r="X301" s="17" t="s">
        <v>347</v>
      </c>
      <c r="Y301" t="s">
        <v>349</v>
      </c>
      <c r="Z301" t="s">
        <v>349</v>
      </c>
      <c r="AA301" t="s">
        <v>293</v>
      </c>
      <c r="AB301" t="s">
        <v>353</v>
      </c>
      <c r="AC301" t="s">
        <v>355</v>
      </c>
      <c r="AD301" t="s">
        <v>300</v>
      </c>
      <c r="AE301" t="s">
        <v>292</v>
      </c>
      <c r="AF301" t="s">
        <v>293</v>
      </c>
      <c r="AG301" t="s">
        <v>292</v>
      </c>
      <c r="AH301" t="s">
        <v>292</v>
      </c>
      <c r="AI301" t="s">
        <v>293</v>
      </c>
      <c r="AJ301" t="s">
        <v>302</v>
      </c>
      <c r="AK301" t="s">
        <v>302</v>
      </c>
      <c r="AL301" t="s">
        <v>359</v>
      </c>
      <c r="AM301" t="s">
        <v>293</v>
      </c>
      <c r="AN301" t="s">
        <v>293</v>
      </c>
      <c r="AO301" t="s">
        <v>297</v>
      </c>
      <c r="AP301" t="s">
        <v>298</v>
      </c>
      <c r="AQ301" t="s">
        <v>293</v>
      </c>
      <c r="AR301" t="s">
        <v>292</v>
      </c>
      <c r="AS301" t="s">
        <v>293</v>
      </c>
      <c r="AT301" t="s">
        <v>293</v>
      </c>
      <c r="AU301" t="s">
        <v>364</v>
      </c>
      <c r="AV301" t="str">
        <f t="shared" si="10"/>
        <v>break</v>
      </c>
    </row>
    <row r="302" spans="1:48" x14ac:dyDescent="0.3">
      <c r="A302" t="s">
        <v>43</v>
      </c>
      <c r="B302" t="s">
        <v>54</v>
      </c>
      <c r="C302" t="s">
        <v>20</v>
      </c>
      <c r="D302" t="s">
        <v>29</v>
      </c>
      <c r="E302" t="str">
        <f t="shared" si="9"/>
        <v>P_O7W-ZSB-S_7W0</v>
      </c>
      <c r="F302" t="b">
        <v>1</v>
      </c>
      <c r="G302">
        <v>100</v>
      </c>
      <c r="H302">
        <v>1</v>
      </c>
      <c r="I302">
        <v>7991</v>
      </c>
      <c r="J302" s="49" t="s">
        <v>18</v>
      </c>
      <c r="L302" s="16" t="s">
        <v>272</v>
      </c>
      <c r="M302" s="16">
        <v>3</v>
      </c>
      <c r="N302" s="16" t="s">
        <v>277</v>
      </c>
      <c r="O302" s="16" t="s">
        <v>335</v>
      </c>
      <c r="P302" s="15" t="s">
        <v>281</v>
      </c>
      <c r="Q302" t="s">
        <v>285</v>
      </c>
      <c r="R302" t="s">
        <v>282</v>
      </c>
      <c r="S302" s="17" t="s">
        <v>371</v>
      </c>
      <c r="T302" s="16" t="s">
        <v>340</v>
      </c>
      <c r="U302" s="16" t="s">
        <v>342</v>
      </c>
      <c r="V302" s="15" t="s">
        <v>343</v>
      </c>
      <c r="W302" s="15" t="s">
        <v>344</v>
      </c>
      <c r="X302" s="17" t="s">
        <v>347</v>
      </c>
      <c r="Y302" t="s">
        <v>349</v>
      </c>
      <c r="Z302" t="s">
        <v>349</v>
      </c>
      <c r="AA302" t="s">
        <v>293</v>
      </c>
      <c r="AB302" t="s">
        <v>353</v>
      </c>
      <c r="AC302" t="s">
        <v>297</v>
      </c>
      <c r="AD302" t="s">
        <v>300</v>
      </c>
      <c r="AE302" t="s">
        <v>292</v>
      </c>
      <c r="AF302" t="s">
        <v>293</v>
      </c>
      <c r="AG302" t="s">
        <v>292</v>
      </c>
      <c r="AH302" t="s">
        <v>293</v>
      </c>
      <c r="AI302" t="s">
        <v>293</v>
      </c>
      <c r="AJ302" t="s">
        <v>302</v>
      </c>
      <c r="AK302" t="s">
        <v>302</v>
      </c>
      <c r="AL302" t="s">
        <v>359</v>
      </c>
      <c r="AM302" t="s">
        <v>293</v>
      </c>
      <c r="AN302" t="s">
        <v>293</v>
      </c>
      <c r="AO302" t="s">
        <v>297</v>
      </c>
      <c r="AP302" t="s">
        <v>298</v>
      </c>
      <c r="AQ302" t="s">
        <v>293</v>
      </c>
      <c r="AR302" t="s">
        <v>292</v>
      </c>
      <c r="AS302" t="s">
        <v>293</v>
      </c>
      <c r="AT302" t="s">
        <v>293</v>
      </c>
      <c r="AU302" t="s">
        <v>364</v>
      </c>
      <c r="AV302" t="str">
        <f t="shared" si="10"/>
        <v>break</v>
      </c>
    </row>
    <row r="303" spans="1:48" x14ac:dyDescent="0.3">
      <c r="A303" t="s">
        <v>43</v>
      </c>
      <c r="B303" t="s">
        <v>54</v>
      </c>
      <c r="C303" t="s">
        <v>33</v>
      </c>
      <c r="D303" t="s">
        <v>29</v>
      </c>
      <c r="E303" t="str">
        <f t="shared" si="9"/>
        <v>P_O7W-ZSB-S_8I8</v>
      </c>
      <c r="F303" t="b">
        <v>1</v>
      </c>
      <c r="G303">
        <v>100</v>
      </c>
      <c r="H303">
        <v>1</v>
      </c>
      <c r="I303">
        <v>8185</v>
      </c>
      <c r="J303" s="49" t="s">
        <v>18</v>
      </c>
      <c r="L303" s="16" t="s">
        <v>272</v>
      </c>
      <c r="M303" s="16">
        <v>3</v>
      </c>
      <c r="N303" s="16" t="s">
        <v>277</v>
      </c>
      <c r="O303" s="16" t="s">
        <v>335</v>
      </c>
      <c r="P303" s="15" t="s">
        <v>281</v>
      </c>
      <c r="Q303" t="s">
        <v>285</v>
      </c>
      <c r="R303" t="s">
        <v>282</v>
      </c>
      <c r="S303" s="17" t="s">
        <v>371</v>
      </c>
      <c r="T303" s="16" t="s">
        <v>340</v>
      </c>
      <c r="U303" s="16" t="s">
        <v>342</v>
      </c>
      <c r="V303" s="15" t="s">
        <v>343</v>
      </c>
      <c r="W303" s="15" t="s">
        <v>344</v>
      </c>
      <c r="X303" s="17" t="s">
        <v>347</v>
      </c>
      <c r="Y303" t="s">
        <v>349</v>
      </c>
      <c r="Z303" t="s">
        <v>349</v>
      </c>
      <c r="AA303" t="s">
        <v>293</v>
      </c>
      <c r="AB303" t="s">
        <v>353</v>
      </c>
      <c r="AC303" t="s">
        <v>355</v>
      </c>
      <c r="AD303" t="s">
        <v>300</v>
      </c>
      <c r="AE303" t="s">
        <v>292</v>
      </c>
      <c r="AF303" t="s">
        <v>293</v>
      </c>
      <c r="AG303" t="s">
        <v>292</v>
      </c>
      <c r="AH303" t="s">
        <v>292</v>
      </c>
      <c r="AI303" t="s">
        <v>293</v>
      </c>
      <c r="AJ303" t="s">
        <v>302</v>
      </c>
      <c r="AK303" t="s">
        <v>302</v>
      </c>
      <c r="AL303" t="s">
        <v>359</v>
      </c>
      <c r="AM303" t="s">
        <v>293</v>
      </c>
      <c r="AN303" t="s">
        <v>293</v>
      </c>
      <c r="AO303" t="s">
        <v>297</v>
      </c>
      <c r="AP303" t="s">
        <v>298</v>
      </c>
      <c r="AQ303" t="s">
        <v>293</v>
      </c>
      <c r="AR303" t="s">
        <v>292</v>
      </c>
      <c r="AS303" t="s">
        <v>293</v>
      </c>
      <c r="AT303" t="s">
        <v>293</v>
      </c>
      <c r="AU303" t="s">
        <v>364</v>
      </c>
      <c r="AV303" t="str">
        <f t="shared" si="10"/>
        <v>break</v>
      </c>
    </row>
    <row r="304" spans="1:48" x14ac:dyDescent="0.3">
      <c r="A304" t="s">
        <v>43</v>
      </c>
      <c r="B304" t="s">
        <v>54</v>
      </c>
      <c r="C304" t="s">
        <v>26</v>
      </c>
      <c r="D304" t="s">
        <v>29</v>
      </c>
      <c r="E304" t="str">
        <f t="shared" si="9"/>
        <v>P_O7W-ZSB-S_8O8</v>
      </c>
      <c r="F304" t="b">
        <v>1</v>
      </c>
      <c r="G304">
        <v>100</v>
      </c>
      <c r="H304">
        <v>1</v>
      </c>
      <c r="I304">
        <v>8139</v>
      </c>
      <c r="J304" s="49" t="s">
        <v>18</v>
      </c>
      <c r="L304" s="16" t="s">
        <v>272</v>
      </c>
      <c r="M304" s="16">
        <v>3</v>
      </c>
      <c r="N304" s="16" t="s">
        <v>277</v>
      </c>
      <c r="O304" s="16" t="s">
        <v>335</v>
      </c>
      <c r="P304" s="15" t="s">
        <v>281</v>
      </c>
      <c r="Q304" t="s">
        <v>285</v>
      </c>
      <c r="R304" t="s">
        <v>282</v>
      </c>
      <c r="S304" s="17" t="s">
        <v>371</v>
      </c>
      <c r="T304" s="16" t="s">
        <v>340</v>
      </c>
      <c r="U304" s="16" t="s">
        <v>342</v>
      </c>
      <c r="V304" s="15" t="s">
        <v>343</v>
      </c>
      <c r="W304" s="15" t="s">
        <v>344</v>
      </c>
      <c r="X304" s="17" t="s">
        <v>347</v>
      </c>
      <c r="Y304" t="s">
        <v>349</v>
      </c>
      <c r="Z304" t="s">
        <v>349</v>
      </c>
      <c r="AA304" t="s">
        <v>293</v>
      </c>
      <c r="AB304" t="s">
        <v>353</v>
      </c>
      <c r="AC304" t="s">
        <v>355</v>
      </c>
      <c r="AD304" t="s">
        <v>299</v>
      </c>
      <c r="AE304" t="s">
        <v>292</v>
      </c>
      <c r="AF304" t="s">
        <v>293</v>
      </c>
      <c r="AG304" t="s">
        <v>292</v>
      </c>
      <c r="AH304" t="s">
        <v>292</v>
      </c>
      <c r="AI304" t="s">
        <v>293</v>
      </c>
      <c r="AJ304" t="s">
        <v>302</v>
      </c>
      <c r="AK304" t="s">
        <v>302</v>
      </c>
      <c r="AL304" t="s">
        <v>359</v>
      </c>
      <c r="AM304" t="s">
        <v>293</v>
      </c>
      <c r="AN304" t="s">
        <v>293</v>
      </c>
      <c r="AO304" t="s">
        <v>297</v>
      </c>
      <c r="AP304" t="s">
        <v>298</v>
      </c>
      <c r="AQ304" t="s">
        <v>293</v>
      </c>
      <c r="AR304" t="s">
        <v>292</v>
      </c>
      <c r="AS304" t="s">
        <v>293</v>
      </c>
      <c r="AT304" t="s">
        <v>293</v>
      </c>
      <c r="AU304" t="s">
        <v>364</v>
      </c>
      <c r="AV304" t="str">
        <f t="shared" si="10"/>
        <v>break</v>
      </c>
    </row>
    <row r="305" spans="1:49" x14ac:dyDescent="0.3">
      <c r="A305" t="s">
        <v>43</v>
      </c>
      <c r="B305" t="s">
        <v>54</v>
      </c>
      <c r="C305" t="s">
        <v>22</v>
      </c>
      <c r="D305" t="s">
        <v>29</v>
      </c>
      <c r="E305" t="str">
        <f t="shared" si="9"/>
        <v>P_O7W-ZSB-S_9B4</v>
      </c>
      <c r="F305" t="b">
        <v>1</v>
      </c>
      <c r="G305">
        <v>100</v>
      </c>
      <c r="H305">
        <v>1</v>
      </c>
      <c r="I305">
        <v>8434</v>
      </c>
      <c r="J305" s="49" t="s">
        <v>18</v>
      </c>
      <c r="L305" s="16" t="s">
        <v>272</v>
      </c>
      <c r="M305" s="16">
        <v>3</v>
      </c>
      <c r="N305" s="16" t="s">
        <v>277</v>
      </c>
      <c r="O305" s="16" t="s">
        <v>335</v>
      </c>
      <c r="P305" s="15" t="s">
        <v>281</v>
      </c>
      <c r="Q305" t="s">
        <v>285</v>
      </c>
      <c r="R305" t="s">
        <v>282</v>
      </c>
      <c r="S305" s="17" t="s">
        <v>371</v>
      </c>
      <c r="T305" s="16" t="s">
        <v>340</v>
      </c>
      <c r="U305" s="16" t="s">
        <v>342</v>
      </c>
      <c r="V305" s="15" t="s">
        <v>343</v>
      </c>
      <c r="W305" s="15" t="s">
        <v>344</v>
      </c>
      <c r="X305" s="17" t="s">
        <v>347</v>
      </c>
      <c r="Y305" t="s">
        <v>349</v>
      </c>
      <c r="Z305" t="s">
        <v>349</v>
      </c>
      <c r="AA305" t="s">
        <v>293</v>
      </c>
      <c r="AB305" t="s">
        <v>353</v>
      </c>
      <c r="AC305" t="s">
        <v>297</v>
      </c>
      <c r="AD305" t="s">
        <v>300</v>
      </c>
      <c r="AE305" t="s">
        <v>292</v>
      </c>
      <c r="AF305" t="s">
        <v>293</v>
      </c>
      <c r="AG305" t="s">
        <v>292</v>
      </c>
      <c r="AH305" t="s">
        <v>293</v>
      </c>
      <c r="AI305" t="s">
        <v>293</v>
      </c>
      <c r="AJ305" t="s">
        <v>302</v>
      </c>
      <c r="AK305" t="s">
        <v>302</v>
      </c>
      <c r="AL305" t="s">
        <v>359</v>
      </c>
      <c r="AM305" t="s">
        <v>293</v>
      </c>
      <c r="AN305" t="s">
        <v>293</v>
      </c>
      <c r="AO305" t="s">
        <v>297</v>
      </c>
      <c r="AP305" t="s">
        <v>298</v>
      </c>
      <c r="AQ305" t="s">
        <v>293</v>
      </c>
      <c r="AR305" t="s">
        <v>292</v>
      </c>
      <c r="AS305" t="s">
        <v>293</v>
      </c>
      <c r="AT305" t="s">
        <v>293</v>
      </c>
      <c r="AU305" t="s">
        <v>364</v>
      </c>
      <c r="AV305" t="str">
        <f t="shared" si="10"/>
        <v>break</v>
      </c>
    </row>
    <row r="306" spans="1:49" x14ac:dyDescent="0.3">
      <c r="A306" t="s">
        <v>43</v>
      </c>
      <c r="B306" t="s">
        <v>54</v>
      </c>
      <c r="C306" t="s">
        <v>31</v>
      </c>
      <c r="D306" t="s">
        <v>29</v>
      </c>
      <c r="E306" t="str">
        <f t="shared" si="9"/>
        <v>P_O7W-ZSB-S_9E0</v>
      </c>
      <c r="F306" t="b">
        <v>1</v>
      </c>
      <c r="G306">
        <v>100</v>
      </c>
      <c r="H306">
        <v>1</v>
      </c>
      <c r="I306">
        <v>8219</v>
      </c>
      <c r="J306" s="49" t="s">
        <v>18</v>
      </c>
      <c r="L306" s="16" t="s">
        <v>272</v>
      </c>
      <c r="M306" s="16">
        <v>3</v>
      </c>
      <c r="N306" s="16" t="s">
        <v>277</v>
      </c>
      <c r="O306" s="16" t="s">
        <v>335</v>
      </c>
      <c r="P306" s="15" t="s">
        <v>281</v>
      </c>
      <c r="Q306" t="s">
        <v>285</v>
      </c>
      <c r="R306" t="s">
        <v>282</v>
      </c>
      <c r="S306" s="17" t="s">
        <v>371</v>
      </c>
      <c r="T306" s="16" t="s">
        <v>340</v>
      </c>
      <c r="U306" s="16" t="s">
        <v>342</v>
      </c>
      <c r="V306" s="15" t="s">
        <v>343</v>
      </c>
      <c r="W306" s="15" t="s">
        <v>344</v>
      </c>
      <c r="X306" s="17" t="s">
        <v>347</v>
      </c>
      <c r="Y306" t="s">
        <v>349</v>
      </c>
      <c r="Z306" t="s">
        <v>349</v>
      </c>
      <c r="AA306" t="s">
        <v>293</v>
      </c>
      <c r="AB306" t="s">
        <v>353</v>
      </c>
      <c r="AC306" t="s">
        <v>355</v>
      </c>
      <c r="AD306" t="s">
        <v>299</v>
      </c>
      <c r="AE306" t="s">
        <v>292</v>
      </c>
      <c r="AF306" t="s">
        <v>293</v>
      </c>
      <c r="AG306" t="s">
        <v>292</v>
      </c>
      <c r="AH306" t="s">
        <v>293</v>
      </c>
      <c r="AI306" t="s">
        <v>293</v>
      </c>
      <c r="AJ306" t="s">
        <v>302</v>
      </c>
      <c r="AK306" t="s">
        <v>302</v>
      </c>
      <c r="AL306" t="s">
        <v>359</v>
      </c>
      <c r="AM306" t="s">
        <v>293</v>
      </c>
      <c r="AN306" t="s">
        <v>293</v>
      </c>
      <c r="AO306" t="s">
        <v>297</v>
      </c>
      <c r="AP306" t="s">
        <v>298</v>
      </c>
      <c r="AQ306" t="s">
        <v>293</v>
      </c>
      <c r="AR306" t="s">
        <v>292</v>
      </c>
      <c r="AS306" t="s">
        <v>293</v>
      </c>
      <c r="AT306" t="s">
        <v>293</v>
      </c>
      <c r="AU306" t="s">
        <v>364</v>
      </c>
      <c r="AV306" t="str">
        <f t="shared" si="10"/>
        <v>break</v>
      </c>
    </row>
    <row r="307" spans="1:49" x14ac:dyDescent="0.3">
      <c r="A307" t="s">
        <v>43</v>
      </c>
      <c r="B307" t="s">
        <v>54</v>
      </c>
      <c r="C307" t="s">
        <v>27</v>
      </c>
      <c r="D307" t="s">
        <v>29</v>
      </c>
      <c r="E307" t="str">
        <f t="shared" si="9"/>
        <v>P_O7W-ZSB-S_9F6</v>
      </c>
      <c r="F307" t="b">
        <v>1</v>
      </c>
      <c r="G307">
        <v>100</v>
      </c>
      <c r="H307">
        <v>1</v>
      </c>
      <c r="I307">
        <v>8142</v>
      </c>
      <c r="J307" s="49" t="s">
        <v>18</v>
      </c>
      <c r="L307" s="16" t="s">
        <v>272</v>
      </c>
      <c r="M307" s="16">
        <v>3</v>
      </c>
      <c r="N307" s="16" t="s">
        <v>277</v>
      </c>
      <c r="O307" s="16" t="s">
        <v>335</v>
      </c>
      <c r="P307" s="15" t="s">
        <v>281</v>
      </c>
      <c r="Q307" t="s">
        <v>285</v>
      </c>
      <c r="R307" t="s">
        <v>282</v>
      </c>
      <c r="S307" s="17" t="s">
        <v>371</v>
      </c>
      <c r="T307" s="16" t="s">
        <v>340</v>
      </c>
      <c r="U307" s="16" t="s">
        <v>342</v>
      </c>
      <c r="V307" s="15" t="s">
        <v>343</v>
      </c>
      <c r="W307" s="15" t="s">
        <v>344</v>
      </c>
      <c r="X307" s="17" t="s">
        <v>347</v>
      </c>
      <c r="Y307" t="s">
        <v>349</v>
      </c>
      <c r="Z307" t="s">
        <v>349</v>
      </c>
      <c r="AA307" t="s">
        <v>293</v>
      </c>
      <c r="AB307" t="s">
        <v>353</v>
      </c>
      <c r="AC307" t="s">
        <v>355</v>
      </c>
      <c r="AD307" t="s">
        <v>299</v>
      </c>
      <c r="AE307" t="s">
        <v>292</v>
      </c>
      <c r="AF307" t="s">
        <v>293</v>
      </c>
      <c r="AG307" t="s">
        <v>292</v>
      </c>
      <c r="AH307" t="s">
        <v>293</v>
      </c>
      <c r="AI307" t="s">
        <v>293</v>
      </c>
      <c r="AJ307" t="s">
        <v>302</v>
      </c>
      <c r="AK307" t="s">
        <v>302</v>
      </c>
      <c r="AL307" t="s">
        <v>359</v>
      </c>
      <c r="AM307" t="s">
        <v>293</v>
      </c>
      <c r="AN307" t="s">
        <v>293</v>
      </c>
      <c r="AO307" t="s">
        <v>297</v>
      </c>
      <c r="AP307" t="s">
        <v>298</v>
      </c>
      <c r="AQ307" t="s">
        <v>293</v>
      </c>
      <c r="AR307" t="s">
        <v>292</v>
      </c>
      <c r="AS307" t="s">
        <v>293</v>
      </c>
      <c r="AT307" t="s">
        <v>293</v>
      </c>
      <c r="AU307" t="s">
        <v>364</v>
      </c>
      <c r="AV307" t="str">
        <f t="shared" si="10"/>
        <v>break</v>
      </c>
    </row>
    <row r="308" spans="1:49" x14ac:dyDescent="0.3">
      <c r="A308" t="s">
        <v>43</v>
      </c>
      <c r="B308" t="s">
        <v>54</v>
      </c>
      <c r="C308" t="s">
        <v>28</v>
      </c>
      <c r="D308" t="s">
        <v>29</v>
      </c>
      <c r="E308" t="str">
        <f t="shared" si="9"/>
        <v>P_O7W-ZSB-S_9T2</v>
      </c>
      <c r="F308" t="b">
        <v>1</v>
      </c>
      <c r="G308">
        <v>100</v>
      </c>
      <c r="H308">
        <v>1</v>
      </c>
      <c r="I308">
        <v>8129</v>
      </c>
      <c r="J308" s="49" t="s">
        <v>18</v>
      </c>
      <c r="L308" s="16" t="s">
        <v>272</v>
      </c>
      <c r="M308" s="16">
        <v>3</v>
      </c>
      <c r="N308" s="16" t="s">
        <v>277</v>
      </c>
      <c r="O308" s="16" t="s">
        <v>335</v>
      </c>
      <c r="P308" s="15" t="s">
        <v>281</v>
      </c>
      <c r="Q308" t="s">
        <v>285</v>
      </c>
      <c r="R308" t="s">
        <v>282</v>
      </c>
      <c r="S308" s="17" t="s">
        <v>371</v>
      </c>
      <c r="T308" s="16" t="s">
        <v>340</v>
      </c>
      <c r="U308" s="16" t="s">
        <v>342</v>
      </c>
      <c r="V308" s="15" t="s">
        <v>343</v>
      </c>
      <c r="W308" s="15" t="s">
        <v>344</v>
      </c>
      <c r="X308" s="17" t="s">
        <v>347</v>
      </c>
      <c r="Y308" t="s">
        <v>349</v>
      </c>
      <c r="Z308" t="s">
        <v>349</v>
      </c>
      <c r="AA308" t="s">
        <v>293</v>
      </c>
      <c r="AB308" t="s">
        <v>353</v>
      </c>
      <c r="AC308" t="s">
        <v>355</v>
      </c>
      <c r="AD308" t="s">
        <v>299</v>
      </c>
      <c r="AE308" t="s">
        <v>292</v>
      </c>
      <c r="AF308" t="s">
        <v>293</v>
      </c>
      <c r="AG308" t="s">
        <v>292</v>
      </c>
      <c r="AH308" t="s">
        <v>293</v>
      </c>
      <c r="AI308" t="s">
        <v>293</v>
      </c>
      <c r="AJ308" t="s">
        <v>302</v>
      </c>
      <c r="AK308" t="s">
        <v>302</v>
      </c>
      <c r="AL308" t="s">
        <v>359</v>
      </c>
      <c r="AM308" t="s">
        <v>293</v>
      </c>
      <c r="AN308" t="s">
        <v>293</v>
      </c>
      <c r="AO308" t="s">
        <v>297</v>
      </c>
      <c r="AP308" t="s">
        <v>298</v>
      </c>
      <c r="AQ308" t="s">
        <v>293</v>
      </c>
      <c r="AR308" t="s">
        <v>292</v>
      </c>
      <c r="AS308" t="s">
        <v>293</v>
      </c>
      <c r="AT308" t="s">
        <v>293</v>
      </c>
      <c r="AU308" t="s">
        <v>364</v>
      </c>
      <c r="AV308" t="str">
        <f t="shared" si="10"/>
        <v>break</v>
      </c>
    </row>
    <row r="309" spans="1:49" s="38" customFormat="1" x14ac:dyDescent="0.3">
      <c r="A309" s="38" t="s">
        <v>9</v>
      </c>
      <c r="B309" s="38" t="s">
        <v>52</v>
      </c>
      <c r="C309" s="38" t="s">
        <v>15</v>
      </c>
      <c r="D309" s="38" t="s">
        <v>12</v>
      </c>
      <c r="E309" s="38" t="str">
        <f t="shared" si="9"/>
        <v>P_P8M-KYY-S_0M4</v>
      </c>
      <c r="F309" s="38" t="b">
        <v>1</v>
      </c>
      <c r="G309" s="38">
        <v>99.9</v>
      </c>
      <c r="H309" s="38">
        <v>0</v>
      </c>
      <c r="I309" s="38">
        <v>5056</v>
      </c>
      <c r="J309" s="38" t="s">
        <v>18</v>
      </c>
      <c r="L309" s="39" t="s">
        <v>272</v>
      </c>
      <c r="M309" s="39">
        <v>2</v>
      </c>
      <c r="N309" s="39" t="s">
        <v>333</v>
      </c>
      <c r="O309" s="39" t="s">
        <v>278</v>
      </c>
      <c r="P309" s="40" t="s">
        <v>339</v>
      </c>
      <c r="Q309" s="38" t="s">
        <v>371</v>
      </c>
      <c r="R309" s="38" t="s">
        <v>371</v>
      </c>
      <c r="S309" s="41" t="s">
        <v>371</v>
      </c>
      <c r="T309" s="39" t="s">
        <v>341</v>
      </c>
      <c r="U309" s="39" t="s">
        <v>340</v>
      </c>
      <c r="V309" s="40" t="s">
        <v>343</v>
      </c>
      <c r="W309" s="40" t="s">
        <v>345</v>
      </c>
      <c r="X309" s="41"/>
      <c r="Y309" s="38" t="s">
        <v>349</v>
      </c>
      <c r="Z309" s="38" t="s">
        <v>349</v>
      </c>
      <c r="AA309" s="38" t="s">
        <v>293</v>
      </c>
      <c r="AB309" s="38" t="s">
        <v>353</v>
      </c>
      <c r="AC309" s="38" t="s">
        <v>355</v>
      </c>
      <c r="AD309" s="38" t="s">
        <v>300</v>
      </c>
      <c r="AE309" s="38" t="s">
        <v>292</v>
      </c>
      <c r="AF309" s="38" t="s">
        <v>293</v>
      </c>
      <c r="AG309" s="38" t="s">
        <v>292</v>
      </c>
      <c r="AH309" s="38" t="s">
        <v>292</v>
      </c>
      <c r="AI309" s="38" t="s">
        <v>293</v>
      </c>
      <c r="AJ309" s="38" t="s">
        <v>302</v>
      </c>
      <c r="AK309" s="38" t="s">
        <v>302</v>
      </c>
      <c r="AL309" s="38" t="s">
        <v>359</v>
      </c>
      <c r="AM309" s="38" t="s">
        <v>293</v>
      </c>
      <c r="AN309" s="38" t="s">
        <v>293</v>
      </c>
      <c r="AO309" s="38" t="s">
        <v>297</v>
      </c>
      <c r="AP309" s="38" t="s">
        <v>298</v>
      </c>
      <c r="AQ309" s="38" t="s">
        <v>293</v>
      </c>
      <c r="AR309" s="38" t="s">
        <v>292</v>
      </c>
      <c r="AS309" s="38" t="s">
        <v>293</v>
      </c>
      <c r="AT309" s="38" t="s">
        <v>293</v>
      </c>
      <c r="AU309" s="38" t="s">
        <v>364</v>
      </c>
      <c r="AV309" s="38" t="str">
        <f t="shared" si="10"/>
        <v>car_stuck</v>
      </c>
      <c r="AW309" s="38" t="s">
        <v>380</v>
      </c>
    </row>
    <row r="310" spans="1:49" x14ac:dyDescent="0.3">
      <c r="A310" t="s">
        <v>9</v>
      </c>
      <c r="B310" t="s">
        <v>52</v>
      </c>
      <c r="C310" t="s">
        <v>14</v>
      </c>
      <c r="D310" t="s">
        <v>12</v>
      </c>
      <c r="E310" t="str">
        <f t="shared" si="9"/>
        <v>P_P8M-KYY-S_1B0</v>
      </c>
      <c r="F310" t="b">
        <v>1</v>
      </c>
      <c r="G310">
        <v>100</v>
      </c>
      <c r="H310">
        <v>1</v>
      </c>
      <c r="I310">
        <v>3639</v>
      </c>
      <c r="J310" s="49" t="s">
        <v>18</v>
      </c>
      <c r="L310" s="16" t="s">
        <v>272</v>
      </c>
      <c r="M310" s="16">
        <v>3</v>
      </c>
      <c r="N310" s="16" t="s">
        <v>277</v>
      </c>
      <c r="O310" s="16" t="s">
        <v>335</v>
      </c>
      <c r="P310" s="15" t="s">
        <v>284</v>
      </c>
      <c r="Q310" t="s">
        <v>371</v>
      </c>
      <c r="R310" t="s">
        <v>371</v>
      </c>
      <c r="S310" s="17" t="s">
        <v>371</v>
      </c>
      <c r="T310" s="16" t="s">
        <v>341</v>
      </c>
      <c r="U310" s="16" t="s">
        <v>340</v>
      </c>
      <c r="V310" s="15" t="s">
        <v>343</v>
      </c>
      <c r="W310" s="15" t="s">
        <v>345</v>
      </c>
      <c r="X310" s="17"/>
      <c r="Y310" t="s">
        <v>349</v>
      </c>
      <c r="Z310" t="s">
        <v>349</v>
      </c>
      <c r="AA310" t="s">
        <v>293</v>
      </c>
      <c r="AB310" t="s">
        <v>353</v>
      </c>
      <c r="AC310" t="s">
        <v>297</v>
      </c>
      <c r="AD310" t="s">
        <v>300</v>
      </c>
      <c r="AE310" t="s">
        <v>292</v>
      </c>
      <c r="AF310" t="s">
        <v>293</v>
      </c>
      <c r="AG310" t="s">
        <v>292</v>
      </c>
      <c r="AH310" t="s">
        <v>293</v>
      </c>
      <c r="AI310" t="s">
        <v>293</v>
      </c>
      <c r="AJ310" t="s">
        <v>302</v>
      </c>
      <c r="AK310" t="s">
        <v>302</v>
      </c>
      <c r="AL310" t="s">
        <v>359</v>
      </c>
      <c r="AM310" t="s">
        <v>293</v>
      </c>
      <c r="AN310" t="s">
        <v>293</v>
      </c>
      <c r="AO310" t="s">
        <v>297</v>
      </c>
      <c r="AP310" t="s">
        <v>298</v>
      </c>
      <c r="AQ310" t="s">
        <v>293</v>
      </c>
      <c r="AR310" t="s">
        <v>292</v>
      </c>
      <c r="AS310" t="s">
        <v>293</v>
      </c>
      <c r="AT310" t="s">
        <v>293</v>
      </c>
      <c r="AU310" t="s">
        <v>364</v>
      </c>
      <c r="AV310" t="str">
        <f t="shared" si="10"/>
        <v>break</v>
      </c>
    </row>
    <row r="311" spans="1:49" x14ac:dyDescent="0.3">
      <c r="A311" t="s">
        <v>9</v>
      </c>
      <c r="B311" t="s">
        <v>52</v>
      </c>
      <c r="C311" t="s">
        <v>11</v>
      </c>
      <c r="D311" t="s">
        <v>12</v>
      </c>
      <c r="E311" t="str">
        <f t="shared" si="9"/>
        <v>P_P8M-KYY-S_1Q4</v>
      </c>
      <c r="F311" t="b">
        <v>1</v>
      </c>
      <c r="G311">
        <v>100</v>
      </c>
      <c r="H311">
        <v>1</v>
      </c>
      <c r="I311">
        <v>10586</v>
      </c>
      <c r="J311" s="49" t="s">
        <v>18</v>
      </c>
      <c r="L311" s="16" t="s">
        <v>272</v>
      </c>
      <c r="M311" s="16">
        <v>3</v>
      </c>
      <c r="N311" s="16" t="s">
        <v>277</v>
      </c>
      <c r="O311" s="16" t="s">
        <v>335</v>
      </c>
      <c r="P311" s="15" t="s">
        <v>284</v>
      </c>
      <c r="Q311" t="s">
        <v>282</v>
      </c>
      <c r="R311" t="s">
        <v>371</v>
      </c>
      <c r="S311" s="17" t="s">
        <v>371</v>
      </c>
      <c r="T311" s="16" t="s">
        <v>341</v>
      </c>
      <c r="U311" s="16" t="s">
        <v>342</v>
      </c>
      <c r="V311" s="15" t="s">
        <v>343</v>
      </c>
      <c r="W311" s="15" t="s">
        <v>345</v>
      </c>
      <c r="X311" s="17" t="s">
        <v>344</v>
      </c>
      <c r="Y311" t="s">
        <v>349</v>
      </c>
      <c r="Z311" t="s">
        <v>349</v>
      </c>
      <c r="AA311" t="s">
        <v>293</v>
      </c>
      <c r="AB311" t="s">
        <v>353</v>
      </c>
      <c r="AC311" t="s">
        <v>297</v>
      </c>
      <c r="AD311" t="s">
        <v>300</v>
      </c>
      <c r="AE311" t="s">
        <v>292</v>
      </c>
      <c r="AF311" t="s">
        <v>293</v>
      </c>
      <c r="AG311" t="s">
        <v>292</v>
      </c>
      <c r="AH311" t="s">
        <v>292</v>
      </c>
      <c r="AI311" t="s">
        <v>293</v>
      </c>
      <c r="AJ311" t="s">
        <v>302</v>
      </c>
      <c r="AK311" t="s">
        <v>302</v>
      </c>
      <c r="AL311" t="s">
        <v>302</v>
      </c>
      <c r="AM311" t="s">
        <v>293</v>
      </c>
      <c r="AN311" t="s">
        <v>293</v>
      </c>
      <c r="AO311" t="s">
        <v>297</v>
      </c>
      <c r="AP311" t="s">
        <v>298</v>
      </c>
      <c r="AQ311" t="s">
        <v>293</v>
      </c>
      <c r="AR311" t="s">
        <v>292</v>
      </c>
      <c r="AS311" t="s">
        <v>293</v>
      </c>
      <c r="AT311" t="s">
        <v>293</v>
      </c>
      <c r="AU311" t="s">
        <v>364</v>
      </c>
      <c r="AV311" t="str">
        <f t="shared" si="10"/>
        <v>break</v>
      </c>
    </row>
    <row r="312" spans="1:49" x14ac:dyDescent="0.3">
      <c r="A312" t="s">
        <v>9</v>
      </c>
      <c r="B312" t="s">
        <v>52</v>
      </c>
      <c r="C312" t="s">
        <v>16</v>
      </c>
      <c r="D312" t="s">
        <v>12</v>
      </c>
      <c r="E312" t="str">
        <f t="shared" si="9"/>
        <v>P_P8M-KYY-S_6U7</v>
      </c>
      <c r="F312" t="b">
        <v>1</v>
      </c>
      <c r="G312">
        <v>100</v>
      </c>
      <c r="H312">
        <v>1</v>
      </c>
      <c r="I312">
        <v>16027</v>
      </c>
      <c r="J312" s="49" t="s">
        <v>18</v>
      </c>
      <c r="L312" s="16" t="s">
        <v>272</v>
      </c>
      <c r="M312" s="16">
        <v>3</v>
      </c>
      <c r="N312" s="16" t="s">
        <v>277</v>
      </c>
      <c r="O312" s="16" t="s">
        <v>335</v>
      </c>
      <c r="P312" s="15" t="s">
        <v>339</v>
      </c>
      <c r="Q312" t="s">
        <v>283</v>
      </c>
      <c r="R312" t="s">
        <v>282</v>
      </c>
      <c r="S312" s="17" t="s">
        <v>371</v>
      </c>
      <c r="T312" s="16" t="s">
        <v>341</v>
      </c>
      <c r="U312" s="16" t="s">
        <v>340</v>
      </c>
      <c r="V312" s="15" t="s">
        <v>343</v>
      </c>
      <c r="W312" s="15" t="s">
        <v>345</v>
      </c>
      <c r="X312" s="17" t="s">
        <v>377</v>
      </c>
      <c r="Y312" t="s">
        <v>349</v>
      </c>
      <c r="Z312" t="s">
        <v>349</v>
      </c>
      <c r="AA312" t="s">
        <v>293</v>
      </c>
      <c r="AB312" t="s">
        <v>353</v>
      </c>
      <c r="AC312" t="s">
        <v>355</v>
      </c>
      <c r="AD312" t="s">
        <v>300</v>
      </c>
      <c r="AE312" t="s">
        <v>292</v>
      </c>
      <c r="AF312" t="s">
        <v>292</v>
      </c>
      <c r="AG312" t="s">
        <v>292</v>
      </c>
      <c r="AH312" t="s">
        <v>292</v>
      </c>
      <c r="AI312" t="s">
        <v>293</v>
      </c>
      <c r="AJ312" t="s">
        <v>302</v>
      </c>
      <c r="AK312" t="s">
        <v>302</v>
      </c>
      <c r="AL312" t="s">
        <v>359</v>
      </c>
      <c r="AM312" t="s">
        <v>293</v>
      </c>
      <c r="AN312" t="s">
        <v>293</v>
      </c>
      <c r="AO312" t="s">
        <v>297</v>
      </c>
      <c r="AP312" t="s">
        <v>356</v>
      </c>
      <c r="AQ312" t="s">
        <v>293</v>
      </c>
      <c r="AR312" t="s">
        <v>292</v>
      </c>
      <c r="AS312" t="s">
        <v>293</v>
      </c>
      <c r="AT312" t="s">
        <v>293</v>
      </c>
      <c r="AU312" t="s">
        <v>364</v>
      </c>
      <c r="AV312" t="str">
        <f t="shared" si="10"/>
        <v>break</v>
      </c>
    </row>
    <row r="313" spans="1:49" x14ac:dyDescent="0.3">
      <c r="A313" t="s">
        <v>9</v>
      </c>
      <c r="B313" t="s">
        <v>52</v>
      </c>
      <c r="C313" t="s">
        <v>23</v>
      </c>
      <c r="D313" t="s">
        <v>29</v>
      </c>
      <c r="E313" t="str">
        <f t="shared" si="9"/>
        <v>P_P8M-ZSB-S_0T2</v>
      </c>
      <c r="F313" t="b">
        <v>1</v>
      </c>
      <c r="G313">
        <v>86.3</v>
      </c>
      <c r="H313">
        <v>0</v>
      </c>
      <c r="I313">
        <v>14454</v>
      </c>
      <c r="J313" s="49" t="s">
        <v>13</v>
      </c>
      <c r="L313" s="16" t="s">
        <v>272</v>
      </c>
      <c r="M313" s="16">
        <v>3</v>
      </c>
      <c r="N313" s="16" t="s">
        <v>277</v>
      </c>
      <c r="O313" s="16" t="s">
        <v>335</v>
      </c>
      <c r="P313" s="15" t="s">
        <v>339</v>
      </c>
      <c r="Q313" t="s">
        <v>283</v>
      </c>
      <c r="R313" t="s">
        <v>282</v>
      </c>
      <c r="S313" s="17" t="s">
        <v>371</v>
      </c>
      <c r="T313" s="16" t="s">
        <v>341</v>
      </c>
      <c r="U313" s="16" t="s">
        <v>340</v>
      </c>
      <c r="V313" s="15" t="s">
        <v>343</v>
      </c>
      <c r="W313" s="15" t="s">
        <v>345</v>
      </c>
      <c r="X313" s="17" t="s">
        <v>377</v>
      </c>
      <c r="Y313" t="s">
        <v>349</v>
      </c>
      <c r="Z313" t="s">
        <v>349</v>
      </c>
      <c r="AA313" t="s">
        <v>293</v>
      </c>
      <c r="AB313" t="s">
        <v>353</v>
      </c>
      <c r="AC313" t="s">
        <v>355</v>
      </c>
      <c r="AD313" t="s">
        <v>300</v>
      </c>
      <c r="AE313" t="s">
        <v>292</v>
      </c>
      <c r="AF313" t="s">
        <v>292</v>
      </c>
      <c r="AG313" t="s">
        <v>292</v>
      </c>
      <c r="AH313" t="s">
        <v>292</v>
      </c>
      <c r="AI313" t="s">
        <v>293</v>
      </c>
      <c r="AJ313" t="s">
        <v>302</v>
      </c>
      <c r="AK313" t="s">
        <v>302</v>
      </c>
      <c r="AL313" t="s">
        <v>359</v>
      </c>
      <c r="AM313" t="s">
        <v>293</v>
      </c>
      <c r="AN313" t="s">
        <v>293</v>
      </c>
      <c r="AO313" t="s">
        <v>297</v>
      </c>
      <c r="AP313" t="s">
        <v>356</v>
      </c>
      <c r="AQ313" t="s">
        <v>293</v>
      </c>
      <c r="AR313" t="s">
        <v>292</v>
      </c>
      <c r="AS313" t="s">
        <v>293</v>
      </c>
      <c r="AT313" t="s">
        <v>293</v>
      </c>
      <c r="AU313" t="s">
        <v>364</v>
      </c>
      <c r="AV313" t="str">
        <f t="shared" si="10"/>
        <v>no_fail</v>
      </c>
    </row>
    <row r="314" spans="1:49" x14ac:dyDescent="0.3">
      <c r="A314" t="s">
        <v>9</v>
      </c>
      <c r="B314" t="s">
        <v>52</v>
      </c>
      <c r="C314" t="s">
        <v>21</v>
      </c>
      <c r="D314" t="s">
        <v>29</v>
      </c>
      <c r="E314" t="str">
        <f t="shared" si="9"/>
        <v>P_P8M-ZSB-S_3X6</v>
      </c>
      <c r="F314" t="b">
        <v>1</v>
      </c>
      <c r="G314">
        <v>100</v>
      </c>
      <c r="H314">
        <v>1</v>
      </c>
      <c r="I314">
        <v>9109</v>
      </c>
      <c r="J314" s="49" t="s">
        <v>18</v>
      </c>
      <c r="L314" s="16" t="s">
        <v>272</v>
      </c>
      <c r="M314" s="16">
        <v>3</v>
      </c>
      <c r="N314" s="16" t="s">
        <v>277</v>
      </c>
      <c r="O314" s="16" t="s">
        <v>335</v>
      </c>
      <c r="P314" s="15" t="s">
        <v>339</v>
      </c>
      <c r="Q314" t="s">
        <v>283</v>
      </c>
      <c r="R314" t="s">
        <v>282</v>
      </c>
      <c r="S314" s="17" t="s">
        <v>371</v>
      </c>
      <c r="T314" s="16" t="s">
        <v>341</v>
      </c>
      <c r="U314" s="16" t="s">
        <v>340</v>
      </c>
      <c r="V314" s="15" t="s">
        <v>340</v>
      </c>
      <c r="W314" s="15" t="s">
        <v>345</v>
      </c>
      <c r="X314" s="17"/>
      <c r="Y314" t="s">
        <v>349</v>
      </c>
      <c r="Z314" t="s">
        <v>349</v>
      </c>
      <c r="AA314" t="s">
        <v>293</v>
      </c>
      <c r="AB314" t="s">
        <v>353</v>
      </c>
      <c r="AC314" t="s">
        <v>355</v>
      </c>
      <c r="AD314" t="s">
        <v>300</v>
      </c>
      <c r="AE314" t="s">
        <v>292</v>
      </c>
      <c r="AF314" t="s">
        <v>292</v>
      </c>
      <c r="AG314" t="s">
        <v>292</v>
      </c>
      <c r="AH314" t="s">
        <v>292</v>
      </c>
      <c r="AI314" t="s">
        <v>293</v>
      </c>
      <c r="AJ314" t="s">
        <v>302</v>
      </c>
      <c r="AK314" t="s">
        <v>302</v>
      </c>
      <c r="AL314" t="s">
        <v>302</v>
      </c>
      <c r="AM314" t="s">
        <v>293</v>
      </c>
      <c r="AN314" t="s">
        <v>293</v>
      </c>
      <c r="AO314" t="s">
        <v>297</v>
      </c>
      <c r="AP314" t="s">
        <v>356</v>
      </c>
      <c r="AQ314" t="s">
        <v>293</v>
      </c>
      <c r="AR314" t="s">
        <v>292</v>
      </c>
      <c r="AS314" t="s">
        <v>293</v>
      </c>
      <c r="AT314" t="s">
        <v>293</v>
      </c>
      <c r="AU314" t="s">
        <v>364</v>
      </c>
      <c r="AV314" t="str">
        <f t="shared" si="10"/>
        <v>break</v>
      </c>
    </row>
    <row r="315" spans="1:49" x14ac:dyDescent="0.3">
      <c r="A315" t="s">
        <v>9</v>
      </c>
      <c r="B315" t="s">
        <v>52</v>
      </c>
      <c r="C315" t="s">
        <v>19</v>
      </c>
      <c r="D315" t="s">
        <v>29</v>
      </c>
      <c r="E315" t="str">
        <f t="shared" si="9"/>
        <v>P_P8M-ZSB-S_4U3</v>
      </c>
      <c r="F315" t="b">
        <v>1</v>
      </c>
      <c r="G315">
        <v>100</v>
      </c>
      <c r="H315">
        <v>1</v>
      </c>
      <c r="I315">
        <v>19446</v>
      </c>
      <c r="J315" s="49" t="s">
        <v>18</v>
      </c>
      <c r="L315" s="16" t="s">
        <v>272</v>
      </c>
      <c r="M315" s="16">
        <v>3</v>
      </c>
      <c r="N315" s="16" t="s">
        <v>277</v>
      </c>
      <c r="O315" s="16" t="s">
        <v>335</v>
      </c>
      <c r="P315" s="15" t="s">
        <v>339</v>
      </c>
      <c r="Q315" t="s">
        <v>282</v>
      </c>
      <c r="R315" t="s">
        <v>371</v>
      </c>
      <c r="S315" s="17" t="s">
        <v>371</v>
      </c>
      <c r="T315" s="16" t="s">
        <v>341</v>
      </c>
      <c r="U315" s="16" t="s">
        <v>342</v>
      </c>
      <c r="V315" s="15" t="s">
        <v>343</v>
      </c>
      <c r="W315" s="15" t="s">
        <v>345</v>
      </c>
      <c r="X315" s="17"/>
      <c r="Y315" t="s">
        <v>349</v>
      </c>
      <c r="Z315" t="s">
        <v>349</v>
      </c>
      <c r="AA315" t="s">
        <v>293</v>
      </c>
      <c r="AB315" t="s">
        <v>353</v>
      </c>
      <c r="AC315" t="s">
        <v>355</v>
      </c>
      <c r="AD315" t="s">
        <v>300</v>
      </c>
      <c r="AE315" t="s">
        <v>292</v>
      </c>
      <c r="AF315" t="s">
        <v>292</v>
      </c>
      <c r="AG315" t="s">
        <v>292</v>
      </c>
      <c r="AH315" t="s">
        <v>292</v>
      </c>
      <c r="AI315" t="s">
        <v>293</v>
      </c>
      <c r="AJ315" t="s">
        <v>302</v>
      </c>
      <c r="AK315" t="s">
        <v>302</v>
      </c>
      <c r="AL315" t="s">
        <v>302</v>
      </c>
      <c r="AM315" t="s">
        <v>293</v>
      </c>
      <c r="AN315" t="s">
        <v>293</v>
      </c>
      <c r="AO315" t="s">
        <v>297</v>
      </c>
      <c r="AP315" t="s">
        <v>356</v>
      </c>
      <c r="AQ315" t="s">
        <v>293</v>
      </c>
      <c r="AR315" t="s">
        <v>292</v>
      </c>
      <c r="AS315" t="s">
        <v>293</v>
      </c>
      <c r="AT315" t="s">
        <v>293</v>
      </c>
      <c r="AU315" t="s">
        <v>364</v>
      </c>
      <c r="AV315" t="str">
        <f t="shared" si="10"/>
        <v>break</v>
      </c>
    </row>
    <row r="316" spans="1:49" x14ac:dyDescent="0.3">
      <c r="A316" t="s">
        <v>9</v>
      </c>
      <c r="B316" t="s">
        <v>52</v>
      </c>
      <c r="C316" t="s">
        <v>17</v>
      </c>
      <c r="D316" t="s">
        <v>29</v>
      </c>
      <c r="E316" t="str">
        <f t="shared" si="9"/>
        <v>P_P8M-ZSB-S_6B5</v>
      </c>
      <c r="F316" t="b">
        <v>1</v>
      </c>
      <c r="G316">
        <v>100</v>
      </c>
      <c r="H316">
        <v>1</v>
      </c>
      <c r="I316">
        <v>15384</v>
      </c>
      <c r="J316" s="49" t="s">
        <v>18</v>
      </c>
      <c r="L316" s="16" t="s">
        <v>272</v>
      </c>
      <c r="M316" s="16">
        <v>3</v>
      </c>
      <c r="N316" s="16" t="s">
        <v>277</v>
      </c>
      <c r="O316" s="16" t="s">
        <v>335</v>
      </c>
      <c r="P316" s="15" t="s">
        <v>339</v>
      </c>
      <c r="Q316" t="s">
        <v>282</v>
      </c>
      <c r="R316" t="s">
        <v>371</v>
      </c>
      <c r="S316" s="17" t="s">
        <v>371</v>
      </c>
      <c r="T316" s="16" t="s">
        <v>341</v>
      </c>
      <c r="U316" s="16" t="s">
        <v>342</v>
      </c>
      <c r="V316" s="15" t="s">
        <v>343</v>
      </c>
      <c r="W316" s="15" t="s">
        <v>345</v>
      </c>
      <c r="X316" s="17" t="s">
        <v>347</v>
      </c>
      <c r="Y316" t="s">
        <v>351</v>
      </c>
      <c r="Z316" t="s">
        <v>349</v>
      </c>
      <c r="AA316" t="s">
        <v>293</v>
      </c>
      <c r="AB316" t="s">
        <v>353</v>
      </c>
      <c r="AC316" t="s">
        <v>355</v>
      </c>
      <c r="AD316" t="s">
        <v>300</v>
      </c>
      <c r="AE316" t="s">
        <v>292</v>
      </c>
      <c r="AF316" t="s">
        <v>292</v>
      </c>
      <c r="AG316" t="s">
        <v>292</v>
      </c>
      <c r="AH316" t="s">
        <v>292</v>
      </c>
      <c r="AI316" t="s">
        <v>293</v>
      </c>
      <c r="AJ316" t="s">
        <v>302</v>
      </c>
      <c r="AK316" t="s">
        <v>302</v>
      </c>
      <c r="AL316" t="s">
        <v>302</v>
      </c>
      <c r="AM316" t="s">
        <v>293</v>
      </c>
      <c r="AN316" t="s">
        <v>293</v>
      </c>
      <c r="AO316" t="s">
        <v>297</v>
      </c>
      <c r="AP316" t="s">
        <v>356</v>
      </c>
      <c r="AQ316" t="s">
        <v>293</v>
      </c>
      <c r="AR316" t="s">
        <v>292</v>
      </c>
      <c r="AS316" t="s">
        <v>293</v>
      </c>
      <c r="AT316" t="s">
        <v>293</v>
      </c>
      <c r="AU316" t="s">
        <v>364</v>
      </c>
      <c r="AV316" t="str">
        <f t="shared" si="10"/>
        <v>break</v>
      </c>
    </row>
    <row r="317" spans="1:49" x14ac:dyDescent="0.3">
      <c r="A317" t="s">
        <v>9</v>
      </c>
      <c r="B317" t="s">
        <v>52</v>
      </c>
      <c r="C317" t="s">
        <v>20</v>
      </c>
      <c r="D317" t="s">
        <v>29</v>
      </c>
      <c r="E317" t="str">
        <f t="shared" si="9"/>
        <v>P_P8M-ZSB-S_7W0</v>
      </c>
      <c r="F317" t="b">
        <v>1</v>
      </c>
      <c r="G317">
        <v>100</v>
      </c>
      <c r="H317">
        <v>1</v>
      </c>
      <c r="I317">
        <v>20193</v>
      </c>
      <c r="J317" s="49" t="s">
        <v>18</v>
      </c>
      <c r="L317" s="16" t="s">
        <v>272</v>
      </c>
      <c r="M317" s="16">
        <v>3</v>
      </c>
      <c r="N317" s="16" t="s">
        <v>277</v>
      </c>
      <c r="O317" s="16" t="s">
        <v>335</v>
      </c>
      <c r="P317" s="15" t="s">
        <v>339</v>
      </c>
      <c r="Q317" t="s">
        <v>282</v>
      </c>
      <c r="R317" t="s">
        <v>371</v>
      </c>
      <c r="S317" s="17" t="s">
        <v>371</v>
      </c>
      <c r="T317" s="16" t="s">
        <v>341</v>
      </c>
      <c r="U317" s="16" t="s">
        <v>340</v>
      </c>
      <c r="V317" s="15" t="s">
        <v>343</v>
      </c>
      <c r="W317" s="15" t="s">
        <v>345</v>
      </c>
      <c r="X317" s="17" t="s">
        <v>377</v>
      </c>
      <c r="Y317" t="s">
        <v>349</v>
      </c>
      <c r="Z317" t="s">
        <v>349</v>
      </c>
      <c r="AA317" t="s">
        <v>293</v>
      </c>
      <c r="AB317" t="s">
        <v>353</v>
      </c>
      <c r="AC317" t="s">
        <v>296</v>
      </c>
      <c r="AD317" t="s">
        <v>300</v>
      </c>
      <c r="AE317" t="s">
        <v>292</v>
      </c>
      <c r="AF317" t="s">
        <v>292</v>
      </c>
      <c r="AG317" t="s">
        <v>292</v>
      </c>
      <c r="AH317" t="s">
        <v>292</v>
      </c>
      <c r="AI317" t="s">
        <v>293</v>
      </c>
      <c r="AJ317" t="s">
        <v>302</v>
      </c>
      <c r="AK317" t="s">
        <v>302</v>
      </c>
      <c r="AL317" t="s">
        <v>302</v>
      </c>
      <c r="AM317" t="s">
        <v>293</v>
      </c>
      <c r="AN317" t="s">
        <v>293</v>
      </c>
      <c r="AO317" t="s">
        <v>296</v>
      </c>
      <c r="AP317" t="s">
        <v>356</v>
      </c>
      <c r="AQ317" t="s">
        <v>293</v>
      </c>
      <c r="AR317" t="s">
        <v>292</v>
      </c>
      <c r="AS317" t="s">
        <v>293</v>
      </c>
      <c r="AT317" t="s">
        <v>293</v>
      </c>
      <c r="AU317" t="s">
        <v>364</v>
      </c>
      <c r="AV317" t="str">
        <f t="shared" si="10"/>
        <v>break</v>
      </c>
    </row>
    <row r="318" spans="1:49" x14ac:dyDescent="0.3">
      <c r="A318" t="s">
        <v>9</v>
      </c>
      <c r="B318" t="s">
        <v>52</v>
      </c>
      <c r="C318" t="s">
        <v>22</v>
      </c>
      <c r="D318" t="s">
        <v>29</v>
      </c>
      <c r="E318" t="str">
        <f t="shared" si="9"/>
        <v>P_P8M-ZSB-S_9B4</v>
      </c>
      <c r="F318" t="b">
        <v>1</v>
      </c>
      <c r="G318">
        <v>85.8</v>
      </c>
      <c r="H318">
        <v>0</v>
      </c>
      <c r="I318">
        <v>18026</v>
      </c>
      <c r="J318" s="49" t="s">
        <v>13</v>
      </c>
      <c r="L318" s="16" t="s">
        <v>272</v>
      </c>
      <c r="M318" s="16">
        <v>3</v>
      </c>
      <c r="N318" s="16" t="s">
        <v>277</v>
      </c>
      <c r="O318" s="16" t="s">
        <v>335</v>
      </c>
      <c r="P318" s="15" t="s">
        <v>339</v>
      </c>
      <c r="Q318" t="s">
        <v>283</v>
      </c>
      <c r="R318" t="s">
        <v>282</v>
      </c>
      <c r="S318" s="17" t="s">
        <v>371</v>
      </c>
      <c r="T318" s="16" t="s">
        <v>341</v>
      </c>
      <c r="U318" s="16" t="s">
        <v>340</v>
      </c>
      <c r="V318" s="15" t="s">
        <v>343</v>
      </c>
      <c r="W318" s="15" t="s">
        <v>345</v>
      </c>
      <c r="X318" s="17" t="s">
        <v>377</v>
      </c>
      <c r="Y318" t="s">
        <v>349</v>
      </c>
      <c r="Z318" t="s">
        <v>349</v>
      </c>
      <c r="AA318" t="s">
        <v>293</v>
      </c>
      <c r="AB318" t="s">
        <v>353</v>
      </c>
      <c r="AC318" t="s">
        <v>296</v>
      </c>
      <c r="AD318" t="s">
        <v>300</v>
      </c>
      <c r="AE318" t="s">
        <v>292</v>
      </c>
      <c r="AF318" t="s">
        <v>292</v>
      </c>
      <c r="AG318" t="s">
        <v>292</v>
      </c>
      <c r="AH318" t="s">
        <v>292</v>
      </c>
      <c r="AI318" t="s">
        <v>293</v>
      </c>
      <c r="AJ318" t="s">
        <v>302</v>
      </c>
      <c r="AK318" t="s">
        <v>302</v>
      </c>
      <c r="AL318" t="s">
        <v>302</v>
      </c>
      <c r="AM318" t="s">
        <v>293</v>
      </c>
      <c r="AN318" t="s">
        <v>293</v>
      </c>
      <c r="AO318" t="s">
        <v>296</v>
      </c>
      <c r="AP318" t="s">
        <v>356</v>
      </c>
      <c r="AQ318" t="s">
        <v>293</v>
      </c>
      <c r="AR318" t="s">
        <v>292</v>
      </c>
      <c r="AS318" t="s">
        <v>293</v>
      </c>
      <c r="AT318" t="s">
        <v>293</v>
      </c>
      <c r="AU318" t="s">
        <v>364</v>
      </c>
      <c r="AV318" t="str">
        <f t="shared" si="10"/>
        <v>no_fail</v>
      </c>
    </row>
    <row r="319" spans="1:49" x14ac:dyDescent="0.3">
      <c r="A319" t="s">
        <v>43</v>
      </c>
      <c r="B319" t="s">
        <v>69</v>
      </c>
      <c r="C319" t="s">
        <v>15</v>
      </c>
      <c r="D319" t="s">
        <v>12</v>
      </c>
      <c r="E319" t="str">
        <f t="shared" si="9"/>
        <v>P_S3X-KYY-S_0M4</v>
      </c>
      <c r="F319" t="b">
        <v>1</v>
      </c>
      <c r="G319">
        <v>100</v>
      </c>
      <c r="H319">
        <v>1</v>
      </c>
      <c r="I319">
        <v>6605</v>
      </c>
      <c r="J319" s="49" t="s">
        <v>18</v>
      </c>
      <c r="L319" s="16" t="s">
        <v>272</v>
      </c>
      <c r="M319" s="16">
        <v>3</v>
      </c>
      <c r="N319" s="16" t="s">
        <v>277</v>
      </c>
      <c r="O319" s="16" t="s">
        <v>335</v>
      </c>
      <c r="P319" s="15" t="s">
        <v>281</v>
      </c>
      <c r="Q319" t="s">
        <v>273</v>
      </c>
      <c r="R319" t="s">
        <v>284</v>
      </c>
      <c r="S319" s="17" t="s">
        <v>371</v>
      </c>
      <c r="T319" s="16" t="s">
        <v>340</v>
      </c>
      <c r="U319" s="16" t="s">
        <v>342</v>
      </c>
      <c r="V319" s="15" t="s">
        <v>343</v>
      </c>
      <c r="W319" s="15" t="s">
        <v>344</v>
      </c>
      <c r="X319" s="17"/>
      <c r="Y319" t="s">
        <v>349</v>
      </c>
      <c r="Z319" t="s">
        <v>349</v>
      </c>
      <c r="AA319" t="s">
        <v>293</v>
      </c>
      <c r="AB319" t="s">
        <v>353</v>
      </c>
      <c r="AC319" t="s">
        <v>296</v>
      </c>
      <c r="AD319" t="s">
        <v>301</v>
      </c>
      <c r="AE319" t="s">
        <v>292</v>
      </c>
      <c r="AF319" t="s">
        <v>293</v>
      </c>
      <c r="AG319" t="s">
        <v>292</v>
      </c>
      <c r="AH319" t="s">
        <v>292</v>
      </c>
      <c r="AI319" t="s">
        <v>293</v>
      </c>
      <c r="AJ319" t="s">
        <v>302</v>
      </c>
      <c r="AK319" t="s">
        <v>359</v>
      </c>
      <c r="AL319" t="s">
        <v>359</v>
      </c>
      <c r="AM319" t="s">
        <v>293</v>
      </c>
      <c r="AN319" t="s">
        <v>293</v>
      </c>
      <c r="AO319" t="s">
        <v>297</v>
      </c>
      <c r="AP319" t="s">
        <v>298</v>
      </c>
      <c r="AQ319" t="s">
        <v>293</v>
      </c>
      <c r="AR319" t="s">
        <v>292</v>
      </c>
      <c r="AS319" t="s">
        <v>293</v>
      </c>
      <c r="AT319" t="s">
        <v>293</v>
      </c>
      <c r="AU319" t="s">
        <v>364</v>
      </c>
      <c r="AV319" t="str">
        <f t="shared" si="10"/>
        <v>break</v>
      </c>
    </row>
    <row r="320" spans="1:49" x14ac:dyDescent="0.3">
      <c r="A320" t="s">
        <v>43</v>
      </c>
      <c r="B320" t="s">
        <v>69</v>
      </c>
      <c r="C320" t="s">
        <v>23</v>
      </c>
      <c r="D320" t="s">
        <v>12</v>
      </c>
      <c r="E320" t="str">
        <f t="shared" si="9"/>
        <v>P_S3X-KYY-S_0T2</v>
      </c>
      <c r="F320" t="b">
        <v>1</v>
      </c>
      <c r="G320">
        <v>56.4</v>
      </c>
      <c r="H320">
        <v>0</v>
      </c>
      <c r="I320">
        <v>18749</v>
      </c>
      <c r="J320" s="49" t="s">
        <v>13</v>
      </c>
      <c r="L320" s="16" t="s">
        <v>272</v>
      </c>
      <c r="M320" s="16">
        <v>3</v>
      </c>
      <c r="N320" s="16" t="s">
        <v>277</v>
      </c>
      <c r="O320" s="16" t="s">
        <v>335</v>
      </c>
      <c r="P320" s="15" t="s">
        <v>283</v>
      </c>
      <c r="Q320" t="s">
        <v>282</v>
      </c>
      <c r="R320" t="s">
        <v>371</v>
      </c>
      <c r="S320" s="17" t="s">
        <v>371</v>
      </c>
      <c r="T320" s="16" t="s">
        <v>341</v>
      </c>
      <c r="U320" s="16" t="s">
        <v>340</v>
      </c>
      <c r="V320" s="15" t="s">
        <v>343</v>
      </c>
      <c r="W320" s="15" t="s">
        <v>344</v>
      </c>
      <c r="X320" s="17" t="s">
        <v>291</v>
      </c>
      <c r="Y320" t="s">
        <v>349</v>
      </c>
      <c r="Z320" t="s">
        <v>349</v>
      </c>
      <c r="AA320" t="s">
        <v>293</v>
      </c>
      <c r="AB320" t="s">
        <v>353</v>
      </c>
      <c r="AC320" t="s">
        <v>355</v>
      </c>
      <c r="AD320" t="s">
        <v>301</v>
      </c>
      <c r="AE320" t="s">
        <v>292</v>
      </c>
      <c r="AF320" t="s">
        <v>292</v>
      </c>
      <c r="AG320" t="s">
        <v>292</v>
      </c>
      <c r="AH320" t="s">
        <v>292</v>
      </c>
      <c r="AI320" t="s">
        <v>293</v>
      </c>
      <c r="AJ320" t="s">
        <v>302</v>
      </c>
      <c r="AK320" t="s">
        <v>302</v>
      </c>
      <c r="AL320" t="s">
        <v>359</v>
      </c>
      <c r="AM320" t="s">
        <v>293</v>
      </c>
      <c r="AN320" t="s">
        <v>293</v>
      </c>
      <c r="AO320" t="s">
        <v>296</v>
      </c>
      <c r="AP320" t="s">
        <v>298</v>
      </c>
      <c r="AQ320" t="s">
        <v>293</v>
      </c>
      <c r="AR320" t="s">
        <v>292</v>
      </c>
      <c r="AS320" t="s">
        <v>293</v>
      </c>
      <c r="AT320" t="s">
        <v>293</v>
      </c>
      <c r="AU320" t="s">
        <v>364</v>
      </c>
      <c r="AV320" t="str">
        <f t="shared" si="10"/>
        <v>no_fail</v>
      </c>
    </row>
    <row r="321" spans="1:48" x14ac:dyDescent="0.3">
      <c r="A321" t="s">
        <v>43</v>
      </c>
      <c r="B321" t="s">
        <v>69</v>
      </c>
      <c r="C321" t="s">
        <v>14</v>
      </c>
      <c r="D321" t="s">
        <v>12</v>
      </c>
      <c r="E321" t="str">
        <f t="shared" si="9"/>
        <v>P_S3X-KYY-S_1B0</v>
      </c>
      <c r="F321" t="b">
        <v>1</v>
      </c>
      <c r="G321">
        <v>100</v>
      </c>
      <c r="H321">
        <v>1</v>
      </c>
      <c r="I321">
        <v>9503</v>
      </c>
      <c r="J321" s="49" t="s">
        <v>18</v>
      </c>
      <c r="L321" s="16" t="s">
        <v>272</v>
      </c>
      <c r="M321" s="16">
        <v>3</v>
      </c>
      <c r="N321" s="16" t="s">
        <v>277</v>
      </c>
      <c r="O321" s="16" t="s">
        <v>335</v>
      </c>
      <c r="P321" s="15" t="s">
        <v>282</v>
      </c>
      <c r="Q321" t="s">
        <v>281</v>
      </c>
      <c r="R321" t="s">
        <v>284</v>
      </c>
      <c r="S321" s="17" t="s">
        <v>371</v>
      </c>
      <c r="T321" s="16" t="s">
        <v>341</v>
      </c>
      <c r="U321" s="16" t="s">
        <v>340</v>
      </c>
      <c r="V321" s="15" t="s">
        <v>343</v>
      </c>
      <c r="W321" s="15" t="s">
        <v>291</v>
      </c>
      <c r="X321" s="17"/>
      <c r="Y321" t="s">
        <v>349</v>
      </c>
      <c r="Z321" t="s">
        <v>349</v>
      </c>
      <c r="AA321" t="s">
        <v>293</v>
      </c>
      <c r="AB321" t="s">
        <v>353</v>
      </c>
      <c r="AC321" t="s">
        <v>296</v>
      </c>
      <c r="AD321" t="s">
        <v>300</v>
      </c>
      <c r="AE321" t="s">
        <v>292</v>
      </c>
      <c r="AF321" t="s">
        <v>293</v>
      </c>
      <c r="AG321" t="s">
        <v>292</v>
      </c>
      <c r="AH321" t="s">
        <v>292</v>
      </c>
      <c r="AI321" t="s">
        <v>293</v>
      </c>
      <c r="AJ321" t="s">
        <v>358</v>
      </c>
      <c r="AK321" t="s">
        <v>358</v>
      </c>
      <c r="AL321" t="s">
        <v>359</v>
      </c>
      <c r="AM321" t="s">
        <v>293</v>
      </c>
      <c r="AN321" t="s">
        <v>293</v>
      </c>
      <c r="AO321" t="s">
        <v>297</v>
      </c>
      <c r="AP321" t="s">
        <v>298</v>
      </c>
      <c r="AQ321" t="s">
        <v>293</v>
      </c>
      <c r="AR321" t="s">
        <v>292</v>
      </c>
      <c r="AS321" t="s">
        <v>293</v>
      </c>
      <c r="AT321" t="s">
        <v>293</v>
      </c>
      <c r="AU321" t="s">
        <v>364</v>
      </c>
      <c r="AV321" t="str">
        <f t="shared" si="10"/>
        <v>break</v>
      </c>
    </row>
    <row r="322" spans="1:48" x14ac:dyDescent="0.3">
      <c r="A322" t="s">
        <v>43</v>
      </c>
      <c r="B322" t="s">
        <v>69</v>
      </c>
      <c r="C322" t="s">
        <v>11</v>
      </c>
      <c r="D322" t="s">
        <v>12</v>
      </c>
      <c r="E322" t="str">
        <f t="shared" ref="E322:E385" si="11">B322&amp;"-"&amp;D322&amp;"-"&amp;C322</f>
        <v>P_S3X-KYY-S_1Q4</v>
      </c>
      <c r="F322" t="b">
        <v>1</v>
      </c>
      <c r="G322">
        <v>100</v>
      </c>
      <c r="H322">
        <v>1</v>
      </c>
      <c r="I322">
        <v>2977</v>
      </c>
      <c r="J322" s="49" t="s">
        <v>18</v>
      </c>
      <c r="L322" s="16" t="s">
        <v>272</v>
      </c>
      <c r="M322" s="16">
        <v>3</v>
      </c>
      <c r="N322" s="16" t="s">
        <v>277</v>
      </c>
      <c r="O322" s="16" t="s">
        <v>335</v>
      </c>
      <c r="P322" s="15" t="s">
        <v>282</v>
      </c>
      <c r="Q322" t="s">
        <v>371</v>
      </c>
      <c r="R322" t="s">
        <v>371</v>
      </c>
      <c r="S322" s="17" t="s">
        <v>371</v>
      </c>
      <c r="T322" s="16" t="s">
        <v>340</v>
      </c>
      <c r="U322" s="16" t="s">
        <v>340</v>
      </c>
      <c r="V322" s="15" t="s">
        <v>340</v>
      </c>
      <c r="W322" s="15" t="s">
        <v>348</v>
      </c>
      <c r="X322" s="17"/>
      <c r="Y322" t="s">
        <v>349</v>
      </c>
      <c r="Z322" t="s">
        <v>349</v>
      </c>
      <c r="AA322" t="s">
        <v>293</v>
      </c>
      <c r="AB322" t="s">
        <v>354</v>
      </c>
      <c r="AC322" t="s">
        <v>354</v>
      </c>
      <c r="AD322" t="s">
        <v>340</v>
      </c>
      <c r="AE322" t="s">
        <v>292</v>
      </c>
      <c r="AF322" t="s">
        <v>293</v>
      </c>
      <c r="AG322" t="s">
        <v>293</v>
      </c>
      <c r="AH322" t="s">
        <v>293</v>
      </c>
      <c r="AI322" t="s">
        <v>293</v>
      </c>
      <c r="AJ322" t="s">
        <v>358</v>
      </c>
      <c r="AK322" t="s">
        <v>358</v>
      </c>
      <c r="AL322" t="s">
        <v>357</v>
      </c>
      <c r="AM322" t="s">
        <v>293</v>
      </c>
      <c r="AN322" t="s">
        <v>293</v>
      </c>
      <c r="AO322" t="s">
        <v>354</v>
      </c>
      <c r="AP322" t="s">
        <v>298</v>
      </c>
      <c r="AQ322" t="s">
        <v>293</v>
      </c>
      <c r="AR322" t="s">
        <v>293</v>
      </c>
      <c r="AS322" t="s">
        <v>293</v>
      </c>
      <c r="AT322" t="s">
        <v>293</v>
      </c>
      <c r="AU322" t="s">
        <v>364</v>
      </c>
      <c r="AV322" t="str">
        <f t="shared" si="10"/>
        <v>break</v>
      </c>
    </row>
    <row r="323" spans="1:48" x14ac:dyDescent="0.3">
      <c r="A323" t="s">
        <v>43</v>
      </c>
      <c r="B323" t="s">
        <v>69</v>
      </c>
      <c r="C323" t="s">
        <v>21</v>
      </c>
      <c r="D323" t="s">
        <v>12</v>
      </c>
      <c r="E323" t="str">
        <f t="shared" si="11"/>
        <v>P_S3X-KYY-S_3X6</v>
      </c>
      <c r="F323" t="b">
        <v>1</v>
      </c>
      <c r="G323">
        <v>100</v>
      </c>
      <c r="H323">
        <v>1</v>
      </c>
      <c r="I323">
        <v>15845</v>
      </c>
      <c r="J323" s="49" t="s">
        <v>18</v>
      </c>
      <c r="L323" s="16" t="s">
        <v>272</v>
      </c>
      <c r="M323" s="16">
        <v>3</v>
      </c>
      <c r="N323" s="16" t="s">
        <v>277</v>
      </c>
      <c r="O323" s="16" t="s">
        <v>335</v>
      </c>
      <c r="P323" s="15" t="s">
        <v>282</v>
      </c>
      <c r="Q323" t="s">
        <v>371</v>
      </c>
      <c r="R323" t="s">
        <v>371</v>
      </c>
      <c r="S323" s="17" t="s">
        <v>371</v>
      </c>
      <c r="T323" s="16" t="s">
        <v>341</v>
      </c>
      <c r="U323" s="16" t="s">
        <v>340</v>
      </c>
      <c r="V323" s="15" t="s">
        <v>343</v>
      </c>
      <c r="W323" s="15" t="s">
        <v>344</v>
      </c>
      <c r="X323" s="17" t="s">
        <v>291</v>
      </c>
      <c r="Y323" t="s">
        <v>349</v>
      </c>
      <c r="Z323" t="s">
        <v>349</v>
      </c>
      <c r="AA323" t="s">
        <v>293</v>
      </c>
      <c r="AB323" t="s">
        <v>353</v>
      </c>
      <c r="AC323" t="s">
        <v>296</v>
      </c>
      <c r="AD323" t="s">
        <v>301</v>
      </c>
      <c r="AE323" t="s">
        <v>292</v>
      </c>
      <c r="AF323" t="s">
        <v>293</v>
      </c>
      <c r="AG323" t="s">
        <v>293</v>
      </c>
      <c r="AH323" t="s">
        <v>292</v>
      </c>
      <c r="AI323" t="s">
        <v>293</v>
      </c>
      <c r="AJ323" t="s">
        <v>302</v>
      </c>
      <c r="AK323" t="s">
        <v>302</v>
      </c>
      <c r="AL323" t="s">
        <v>359</v>
      </c>
      <c r="AM323" t="s">
        <v>293</v>
      </c>
      <c r="AN323" t="s">
        <v>293</v>
      </c>
      <c r="AO323" t="s">
        <v>296</v>
      </c>
      <c r="AP323" t="s">
        <v>298</v>
      </c>
      <c r="AQ323" t="s">
        <v>293</v>
      </c>
      <c r="AR323" t="s">
        <v>292</v>
      </c>
      <c r="AS323" t="s">
        <v>293</v>
      </c>
      <c r="AT323" t="s">
        <v>293</v>
      </c>
      <c r="AU323" t="s">
        <v>364</v>
      </c>
      <c r="AV323" t="str">
        <f t="shared" si="10"/>
        <v>break</v>
      </c>
    </row>
    <row r="324" spans="1:48" x14ac:dyDescent="0.3">
      <c r="A324" t="s">
        <v>43</v>
      </c>
      <c r="B324" t="s">
        <v>69</v>
      </c>
      <c r="C324" t="s">
        <v>19</v>
      </c>
      <c r="D324" t="s">
        <v>12</v>
      </c>
      <c r="E324" t="str">
        <f t="shared" si="11"/>
        <v>P_S3X-KYY-S_4U3</v>
      </c>
      <c r="F324" t="b">
        <v>1</v>
      </c>
      <c r="G324">
        <v>68.2</v>
      </c>
      <c r="H324">
        <v>0</v>
      </c>
      <c r="I324">
        <v>14259</v>
      </c>
      <c r="J324" s="49" t="s">
        <v>13</v>
      </c>
      <c r="L324" s="16" t="s">
        <v>272</v>
      </c>
      <c r="M324" s="16">
        <v>3</v>
      </c>
      <c r="N324" s="16" t="s">
        <v>277</v>
      </c>
      <c r="O324" s="16" t="s">
        <v>335</v>
      </c>
      <c r="P324" s="15" t="s">
        <v>281</v>
      </c>
      <c r="Q324" t="s">
        <v>283</v>
      </c>
      <c r="R324" t="s">
        <v>284</v>
      </c>
      <c r="S324" s="17" t="s">
        <v>371</v>
      </c>
      <c r="T324" s="16" t="s">
        <v>341</v>
      </c>
      <c r="U324" s="16" t="s">
        <v>342</v>
      </c>
      <c r="V324" s="15" t="s">
        <v>343</v>
      </c>
      <c r="W324" s="15" t="s">
        <v>344</v>
      </c>
      <c r="X324" s="17"/>
      <c r="Y324" t="s">
        <v>349</v>
      </c>
      <c r="Z324" t="s">
        <v>349</v>
      </c>
      <c r="AA324" t="s">
        <v>293</v>
      </c>
      <c r="AB324" t="s">
        <v>353</v>
      </c>
      <c r="AC324" t="s">
        <v>296</v>
      </c>
      <c r="AD324" t="s">
        <v>301</v>
      </c>
      <c r="AE324" t="s">
        <v>292</v>
      </c>
      <c r="AF324" t="s">
        <v>292</v>
      </c>
      <c r="AG324" t="s">
        <v>292</v>
      </c>
      <c r="AH324" t="s">
        <v>292</v>
      </c>
      <c r="AI324" t="s">
        <v>293</v>
      </c>
      <c r="AJ324" t="s">
        <v>302</v>
      </c>
      <c r="AK324" t="s">
        <v>302</v>
      </c>
      <c r="AL324" t="s">
        <v>359</v>
      </c>
      <c r="AM324" t="s">
        <v>293</v>
      </c>
      <c r="AN324" t="s">
        <v>293</v>
      </c>
      <c r="AO324" t="s">
        <v>297</v>
      </c>
      <c r="AP324" t="s">
        <v>356</v>
      </c>
      <c r="AQ324" t="s">
        <v>293</v>
      </c>
      <c r="AR324" t="s">
        <v>292</v>
      </c>
      <c r="AS324" t="s">
        <v>293</v>
      </c>
      <c r="AT324" t="s">
        <v>293</v>
      </c>
      <c r="AU324" t="s">
        <v>364</v>
      </c>
      <c r="AV324" t="str">
        <f t="shared" si="10"/>
        <v>no_fail</v>
      </c>
    </row>
    <row r="325" spans="1:48" x14ac:dyDescent="0.3">
      <c r="A325" t="s">
        <v>43</v>
      </c>
      <c r="B325" t="s">
        <v>69</v>
      </c>
      <c r="C325" t="s">
        <v>17</v>
      </c>
      <c r="D325" t="s">
        <v>12</v>
      </c>
      <c r="E325" t="str">
        <f t="shared" si="11"/>
        <v>P_S3X-KYY-S_6B5</v>
      </c>
      <c r="F325" t="b">
        <v>1</v>
      </c>
      <c r="G325">
        <v>100</v>
      </c>
      <c r="H325">
        <v>1</v>
      </c>
      <c r="I325">
        <v>13258</v>
      </c>
      <c r="J325" s="49" t="s">
        <v>18</v>
      </c>
      <c r="L325" s="16" t="s">
        <v>272</v>
      </c>
      <c r="M325" s="16">
        <v>3</v>
      </c>
      <c r="N325" s="16" t="s">
        <v>277</v>
      </c>
      <c r="O325" s="16" t="s">
        <v>335</v>
      </c>
      <c r="P325" s="15" t="s">
        <v>281</v>
      </c>
      <c r="Q325" t="s">
        <v>283</v>
      </c>
      <c r="R325" t="s">
        <v>284</v>
      </c>
      <c r="S325" s="17" t="s">
        <v>371</v>
      </c>
      <c r="T325" s="16" t="s">
        <v>341</v>
      </c>
      <c r="U325" s="16" t="s">
        <v>342</v>
      </c>
      <c r="V325" s="15" t="s">
        <v>343</v>
      </c>
      <c r="W325" s="15" t="s">
        <v>344</v>
      </c>
      <c r="X325" s="17"/>
      <c r="Y325" t="s">
        <v>349</v>
      </c>
      <c r="Z325" t="s">
        <v>349</v>
      </c>
      <c r="AA325" t="s">
        <v>293</v>
      </c>
      <c r="AB325" t="s">
        <v>353</v>
      </c>
      <c r="AC325" t="s">
        <v>296</v>
      </c>
      <c r="AD325" t="s">
        <v>301</v>
      </c>
      <c r="AE325" t="s">
        <v>292</v>
      </c>
      <c r="AF325" t="s">
        <v>292</v>
      </c>
      <c r="AG325" t="s">
        <v>292</v>
      </c>
      <c r="AH325" t="s">
        <v>292</v>
      </c>
      <c r="AI325" t="s">
        <v>293</v>
      </c>
      <c r="AJ325" t="s">
        <v>302</v>
      </c>
      <c r="AK325" t="s">
        <v>358</v>
      </c>
      <c r="AL325" t="s">
        <v>359</v>
      </c>
      <c r="AM325" t="s">
        <v>293</v>
      </c>
      <c r="AN325" t="s">
        <v>293</v>
      </c>
      <c r="AO325" t="s">
        <v>297</v>
      </c>
      <c r="AP325" t="s">
        <v>356</v>
      </c>
      <c r="AQ325" t="s">
        <v>293</v>
      </c>
      <c r="AR325" t="s">
        <v>292</v>
      </c>
      <c r="AS325" t="s">
        <v>293</v>
      </c>
      <c r="AT325" t="s">
        <v>293</v>
      </c>
      <c r="AU325" t="s">
        <v>364</v>
      </c>
      <c r="AV325" t="str">
        <f t="shared" si="10"/>
        <v>break</v>
      </c>
    </row>
    <row r="326" spans="1:48" x14ac:dyDescent="0.3">
      <c r="A326" t="s">
        <v>43</v>
      </c>
      <c r="B326" t="s">
        <v>69</v>
      </c>
      <c r="C326" t="s">
        <v>16</v>
      </c>
      <c r="D326" t="s">
        <v>12</v>
      </c>
      <c r="E326" t="str">
        <f t="shared" si="11"/>
        <v>P_S3X-KYY-S_6U7</v>
      </c>
      <c r="F326" t="b">
        <v>1</v>
      </c>
      <c r="G326">
        <v>100</v>
      </c>
      <c r="H326">
        <v>1</v>
      </c>
      <c r="I326">
        <v>11196</v>
      </c>
      <c r="J326" s="49" t="s">
        <v>18</v>
      </c>
      <c r="L326" s="16" t="s">
        <v>272</v>
      </c>
      <c r="M326" s="16">
        <v>3</v>
      </c>
      <c r="N326" s="16" t="s">
        <v>277</v>
      </c>
      <c r="O326" s="16" t="s">
        <v>335</v>
      </c>
      <c r="P326" s="15" t="s">
        <v>281</v>
      </c>
      <c r="Q326" t="s">
        <v>283</v>
      </c>
      <c r="R326" t="s">
        <v>284</v>
      </c>
      <c r="S326" s="17" t="s">
        <v>371</v>
      </c>
      <c r="T326" s="16" t="s">
        <v>341</v>
      </c>
      <c r="U326" s="16" t="s">
        <v>342</v>
      </c>
      <c r="V326" s="15" t="s">
        <v>343</v>
      </c>
      <c r="W326" s="15" t="s">
        <v>344</v>
      </c>
      <c r="X326" s="17"/>
      <c r="Y326" t="s">
        <v>349</v>
      </c>
      <c r="Z326" t="s">
        <v>349</v>
      </c>
      <c r="AA326" t="s">
        <v>293</v>
      </c>
      <c r="AB326" t="s">
        <v>353</v>
      </c>
      <c r="AC326" t="s">
        <v>296</v>
      </c>
      <c r="AD326" t="s">
        <v>301</v>
      </c>
      <c r="AE326" t="s">
        <v>292</v>
      </c>
      <c r="AF326" t="s">
        <v>293</v>
      </c>
      <c r="AG326" t="s">
        <v>292</v>
      </c>
      <c r="AH326" t="s">
        <v>292</v>
      </c>
      <c r="AI326" t="s">
        <v>293</v>
      </c>
      <c r="AJ326" t="s">
        <v>302</v>
      </c>
      <c r="AK326" t="s">
        <v>358</v>
      </c>
      <c r="AL326" t="s">
        <v>359</v>
      </c>
      <c r="AM326" t="s">
        <v>293</v>
      </c>
      <c r="AN326" t="s">
        <v>293</v>
      </c>
      <c r="AO326" t="s">
        <v>297</v>
      </c>
      <c r="AP326" t="s">
        <v>298</v>
      </c>
      <c r="AQ326" t="s">
        <v>293</v>
      </c>
      <c r="AR326" t="s">
        <v>292</v>
      </c>
      <c r="AS326" t="s">
        <v>293</v>
      </c>
      <c r="AT326" t="s">
        <v>293</v>
      </c>
      <c r="AU326" t="s">
        <v>364</v>
      </c>
      <c r="AV326" t="str">
        <f t="shared" si="10"/>
        <v>break</v>
      </c>
    </row>
    <row r="327" spans="1:48" x14ac:dyDescent="0.3">
      <c r="A327" t="s">
        <v>43</v>
      </c>
      <c r="B327" t="s">
        <v>69</v>
      </c>
      <c r="C327" t="s">
        <v>20</v>
      </c>
      <c r="D327" t="s">
        <v>12</v>
      </c>
      <c r="E327" t="str">
        <f t="shared" si="11"/>
        <v>P_S3X-KYY-S_7W0</v>
      </c>
      <c r="F327" t="b">
        <v>1</v>
      </c>
      <c r="G327">
        <v>90.9</v>
      </c>
      <c r="H327">
        <v>0</v>
      </c>
      <c r="I327">
        <v>12316</v>
      </c>
      <c r="J327" s="49" t="s">
        <v>13</v>
      </c>
      <c r="L327" s="16" t="s">
        <v>272</v>
      </c>
      <c r="M327" s="16">
        <v>2</v>
      </c>
      <c r="N327" s="16" t="s">
        <v>277</v>
      </c>
      <c r="O327" s="16" t="s">
        <v>335</v>
      </c>
      <c r="P327" s="15" t="s">
        <v>282</v>
      </c>
      <c r="Q327" t="s">
        <v>371</v>
      </c>
      <c r="R327" t="s">
        <v>371</v>
      </c>
      <c r="S327" s="17" t="s">
        <v>371</v>
      </c>
      <c r="T327" s="16" t="s">
        <v>341</v>
      </c>
      <c r="U327" s="16" t="s">
        <v>340</v>
      </c>
      <c r="V327" s="15" t="s">
        <v>340</v>
      </c>
      <c r="W327" s="15" t="s">
        <v>344</v>
      </c>
      <c r="X327" s="17"/>
      <c r="Y327" t="s">
        <v>349</v>
      </c>
      <c r="Z327" t="s">
        <v>349</v>
      </c>
      <c r="AA327" t="s">
        <v>293</v>
      </c>
      <c r="AB327" t="s">
        <v>354</v>
      </c>
      <c r="AC327" t="s">
        <v>354</v>
      </c>
      <c r="AD327" t="s">
        <v>301</v>
      </c>
      <c r="AE327" t="s">
        <v>293</v>
      </c>
      <c r="AF327" t="s">
        <v>292</v>
      </c>
      <c r="AG327" t="s">
        <v>292</v>
      </c>
      <c r="AH327" t="s">
        <v>293</v>
      </c>
      <c r="AI327" t="s">
        <v>293</v>
      </c>
      <c r="AJ327" t="s">
        <v>302</v>
      </c>
      <c r="AK327" t="s">
        <v>302</v>
      </c>
      <c r="AL327" t="s">
        <v>357</v>
      </c>
      <c r="AM327" t="s">
        <v>293</v>
      </c>
      <c r="AN327" t="s">
        <v>293</v>
      </c>
      <c r="AO327" t="s">
        <v>297</v>
      </c>
      <c r="AP327" t="s">
        <v>356</v>
      </c>
      <c r="AQ327" t="s">
        <v>293</v>
      </c>
      <c r="AR327" t="s">
        <v>292</v>
      </c>
      <c r="AS327" t="s">
        <v>293</v>
      </c>
      <c r="AT327" t="s">
        <v>293</v>
      </c>
      <c r="AU327" t="s">
        <v>364</v>
      </c>
      <c r="AV327" t="str">
        <f t="shared" si="10"/>
        <v>no_fail</v>
      </c>
    </row>
    <row r="328" spans="1:48" x14ac:dyDescent="0.3">
      <c r="A328" t="s">
        <v>43</v>
      </c>
      <c r="B328" t="s">
        <v>69</v>
      </c>
      <c r="C328" t="s">
        <v>22</v>
      </c>
      <c r="D328" t="s">
        <v>12</v>
      </c>
      <c r="E328" t="str">
        <f t="shared" si="11"/>
        <v>P_S3X-KYY-S_9B4</v>
      </c>
      <c r="F328" t="b">
        <v>1</v>
      </c>
      <c r="G328">
        <v>100</v>
      </c>
      <c r="H328">
        <v>1</v>
      </c>
      <c r="I328">
        <v>17857</v>
      </c>
      <c r="J328" s="49" t="s">
        <v>18</v>
      </c>
      <c r="L328" s="16" t="s">
        <v>272</v>
      </c>
      <c r="M328" s="16">
        <v>3</v>
      </c>
      <c r="N328" s="16" t="s">
        <v>277</v>
      </c>
      <c r="O328" s="16" t="s">
        <v>335</v>
      </c>
      <c r="P328" s="15" t="s">
        <v>282</v>
      </c>
      <c r="Q328" t="s">
        <v>371</v>
      </c>
      <c r="R328" t="s">
        <v>371</v>
      </c>
      <c r="S328" s="17" t="s">
        <v>371</v>
      </c>
      <c r="T328" s="16" t="s">
        <v>341</v>
      </c>
      <c r="U328" s="16" t="s">
        <v>340</v>
      </c>
      <c r="V328" s="15" t="s">
        <v>343</v>
      </c>
      <c r="W328" s="15" t="s">
        <v>344</v>
      </c>
      <c r="X328" s="17" t="s">
        <v>291</v>
      </c>
      <c r="Y328" t="s">
        <v>349</v>
      </c>
      <c r="Z328" t="s">
        <v>349</v>
      </c>
      <c r="AA328" t="s">
        <v>293</v>
      </c>
      <c r="AB328" t="s">
        <v>353</v>
      </c>
      <c r="AC328" t="s">
        <v>296</v>
      </c>
      <c r="AD328" t="s">
        <v>301</v>
      </c>
      <c r="AE328" t="s">
        <v>292</v>
      </c>
      <c r="AF328" t="s">
        <v>292</v>
      </c>
      <c r="AG328" t="s">
        <v>292</v>
      </c>
      <c r="AH328" t="s">
        <v>292</v>
      </c>
      <c r="AI328" t="s">
        <v>293</v>
      </c>
      <c r="AJ328" t="s">
        <v>302</v>
      </c>
      <c r="AK328" t="s">
        <v>302</v>
      </c>
      <c r="AL328" t="s">
        <v>359</v>
      </c>
      <c r="AM328" t="s">
        <v>293</v>
      </c>
      <c r="AN328" t="s">
        <v>293</v>
      </c>
      <c r="AO328" t="s">
        <v>296</v>
      </c>
      <c r="AP328" t="s">
        <v>298</v>
      </c>
      <c r="AQ328" t="s">
        <v>293</v>
      </c>
      <c r="AR328" t="s">
        <v>292</v>
      </c>
      <c r="AS328" t="s">
        <v>293</v>
      </c>
      <c r="AT328" t="s">
        <v>293</v>
      </c>
      <c r="AU328" t="s">
        <v>364</v>
      </c>
      <c r="AV328" t="str">
        <f t="shared" si="10"/>
        <v>break</v>
      </c>
    </row>
    <row r="329" spans="1:48" x14ac:dyDescent="0.3">
      <c r="A329" t="s">
        <v>43</v>
      </c>
      <c r="B329" t="s">
        <v>69</v>
      </c>
      <c r="C329" t="s">
        <v>25</v>
      </c>
      <c r="D329" t="s">
        <v>29</v>
      </c>
      <c r="E329" t="str">
        <f t="shared" si="11"/>
        <v>P_S3X-ZSB-S_1J8</v>
      </c>
      <c r="F329" t="b">
        <v>1</v>
      </c>
      <c r="G329">
        <v>100</v>
      </c>
      <c r="H329">
        <v>1</v>
      </c>
      <c r="I329">
        <v>9988</v>
      </c>
      <c r="J329" s="49" t="s">
        <v>18</v>
      </c>
      <c r="L329" s="16" t="s">
        <v>272</v>
      </c>
      <c r="M329" s="16">
        <v>2</v>
      </c>
      <c r="N329" s="16" t="s">
        <v>333</v>
      </c>
      <c r="O329" s="16" t="s">
        <v>278</v>
      </c>
      <c r="P329" s="15" t="s">
        <v>282</v>
      </c>
      <c r="Q329" t="s">
        <v>371</v>
      </c>
      <c r="R329" t="s">
        <v>371</v>
      </c>
      <c r="S329" s="17" t="s">
        <v>371</v>
      </c>
      <c r="T329" s="16" t="s">
        <v>340</v>
      </c>
      <c r="U329" s="16" t="s">
        <v>342</v>
      </c>
      <c r="V329" s="15" t="s">
        <v>340</v>
      </c>
      <c r="W329" s="15" t="s">
        <v>344</v>
      </c>
      <c r="X329" s="17"/>
      <c r="Y329" t="s">
        <v>349</v>
      </c>
      <c r="Z329" t="s">
        <v>349</v>
      </c>
      <c r="AA329" t="s">
        <v>293</v>
      </c>
      <c r="AB329" t="s">
        <v>354</v>
      </c>
      <c r="AC329" t="s">
        <v>354</v>
      </c>
      <c r="AD329" t="s">
        <v>299</v>
      </c>
      <c r="AE329" t="s">
        <v>292</v>
      </c>
      <c r="AF329" t="s">
        <v>293</v>
      </c>
      <c r="AG329" t="s">
        <v>292</v>
      </c>
      <c r="AH329" t="s">
        <v>292</v>
      </c>
      <c r="AI329" t="s">
        <v>293</v>
      </c>
      <c r="AJ329" t="s">
        <v>302</v>
      </c>
      <c r="AK329" t="s">
        <v>359</v>
      </c>
      <c r="AL329" t="s">
        <v>357</v>
      </c>
      <c r="AM329" t="s">
        <v>293</v>
      </c>
      <c r="AN329" t="s">
        <v>293</v>
      </c>
      <c r="AO329" t="s">
        <v>297</v>
      </c>
      <c r="AP329" t="s">
        <v>298</v>
      </c>
      <c r="AQ329" t="s">
        <v>293</v>
      </c>
      <c r="AR329" t="s">
        <v>292</v>
      </c>
      <c r="AS329" t="s">
        <v>293</v>
      </c>
      <c r="AT329" t="s">
        <v>293</v>
      </c>
      <c r="AU329" t="s">
        <v>364</v>
      </c>
      <c r="AV329" t="str">
        <f t="shared" si="10"/>
        <v>break</v>
      </c>
    </row>
    <row r="330" spans="1:48" x14ac:dyDescent="0.3">
      <c r="A330" t="s">
        <v>43</v>
      </c>
      <c r="B330" t="s">
        <v>69</v>
      </c>
      <c r="C330" t="s">
        <v>24</v>
      </c>
      <c r="D330" t="s">
        <v>29</v>
      </c>
      <c r="E330" t="str">
        <f t="shared" si="11"/>
        <v>P_S3X-ZSB-S_1U0</v>
      </c>
      <c r="F330" t="b">
        <v>1</v>
      </c>
      <c r="G330">
        <v>100</v>
      </c>
      <c r="H330">
        <v>1</v>
      </c>
      <c r="I330">
        <v>11475</v>
      </c>
      <c r="J330" s="49" t="s">
        <v>18</v>
      </c>
      <c r="L330" s="16" t="s">
        <v>272</v>
      </c>
      <c r="M330" s="16">
        <v>2</v>
      </c>
      <c r="N330" s="16" t="s">
        <v>333</v>
      </c>
      <c r="O330" s="16" t="s">
        <v>278</v>
      </c>
      <c r="P330" s="15" t="s">
        <v>282</v>
      </c>
      <c r="Q330" t="s">
        <v>371</v>
      </c>
      <c r="R330" t="s">
        <v>371</v>
      </c>
      <c r="S330" s="17" t="s">
        <v>371</v>
      </c>
      <c r="T330" s="16" t="s">
        <v>340</v>
      </c>
      <c r="U330" s="16" t="s">
        <v>342</v>
      </c>
      <c r="V330" s="15" t="s">
        <v>340</v>
      </c>
      <c r="W330" s="15" t="s">
        <v>344</v>
      </c>
      <c r="X330" s="17"/>
      <c r="Y330" t="s">
        <v>349</v>
      </c>
      <c r="Z330" t="s">
        <v>349</v>
      </c>
      <c r="AA330" t="s">
        <v>293</v>
      </c>
      <c r="AB330" t="s">
        <v>354</v>
      </c>
      <c r="AC330" t="s">
        <v>354</v>
      </c>
      <c r="AD330" t="s">
        <v>301</v>
      </c>
      <c r="AE330" t="s">
        <v>292</v>
      </c>
      <c r="AF330" t="s">
        <v>293</v>
      </c>
      <c r="AG330" t="s">
        <v>292</v>
      </c>
      <c r="AH330" t="s">
        <v>292</v>
      </c>
      <c r="AI330" t="s">
        <v>293</v>
      </c>
      <c r="AJ330" t="s">
        <v>302</v>
      </c>
      <c r="AK330" t="s">
        <v>359</v>
      </c>
      <c r="AL330" t="s">
        <v>359</v>
      </c>
      <c r="AM330" t="s">
        <v>293</v>
      </c>
      <c r="AN330" t="s">
        <v>293</v>
      </c>
      <c r="AO330" t="s">
        <v>297</v>
      </c>
      <c r="AP330" t="s">
        <v>298</v>
      </c>
      <c r="AQ330" t="s">
        <v>293</v>
      </c>
      <c r="AR330" t="s">
        <v>292</v>
      </c>
      <c r="AS330" t="s">
        <v>293</v>
      </c>
      <c r="AT330" t="s">
        <v>293</v>
      </c>
      <c r="AU330" t="s">
        <v>364</v>
      </c>
      <c r="AV330" t="str">
        <f t="shared" si="10"/>
        <v>break</v>
      </c>
    </row>
    <row r="331" spans="1:48" x14ac:dyDescent="0.3">
      <c r="A331" t="s">
        <v>43</v>
      </c>
      <c r="B331" t="s">
        <v>69</v>
      </c>
      <c r="C331" t="s">
        <v>32</v>
      </c>
      <c r="D331" t="s">
        <v>29</v>
      </c>
      <c r="E331" t="str">
        <f t="shared" si="11"/>
        <v>P_S3X-ZSB-S_3B9</v>
      </c>
      <c r="F331" t="b">
        <v>1</v>
      </c>
      <c r="G331">
        <v>100</v>
      </c>
      <c r="H331">
        <v>1</v>
      </c>
      <c r="I331">
        <v>18781</v>
      </c>
      <c r="J331" s="49" t="s">
        <v>18</v>
      </c>
      <c r="L331" s="16" t="s">
        <v>272</v>
      </c>
      <c r="M331" s="16">
        <v>3</v>
      </c>
      <c r="N331" s="16" t="s">
        <v>277</v>
      </c>
      <c r="O331" s="16" t="s">
        <v>335</v>
      </c>
      <c r="P331" s="15" t="s">
        <v>284</v>
      </c>
      <c r="Q331" t="s">
        <v>273</v>
      </c>
      <c r="R331" t="s">
        <v>282</v>
      </c>
      <c r="S331" s="17" t="s">
        <v>371</v>
      </c>
      <c r="T331" s="16" t="s">
        <v>341</v>
      </c>
      <c r="U331" s="16" t="s">
        <v>342</v>
      </c>
      <c r="V331" s="15" t="s">
        <v>343</v>
      </c>
      <c r="W331" s="15" t="s">
        <v>345</v>
      </c>
      <c r="X331" s="17" t="s">
        <v>344</v>
      </c>
      <c r="Y331" t="s">
        <v>349</v>
      </c>
      <c r="Z331" t="s">
        <v>349</v>
      </c>
      <c r="AA331" t="s">
        <v>293</v>
      </c>
      <c r="AB331" t="s">
        <v>353</v>
      </c>
      <c r="AC331" t="s">
        <v>355</v>
      </c>
      <c r="AD331" t="s">
        <v>300</v>
      </c>
      <c r="AE331" t="s">
        <v>293</v>
      </c>
      <c r="AF331" t="s">
        <v>292</v>
      </c>
      <c r="AG331" t="s">
        <v>292</v>
      </c>
      <c r="AH331" t="s">
        <v>292</v>
      </c>
      <c r="AI331" t="s">
        <v>293</v>
      </c>
      <c r="AJ331" t="s">
        <v>302</v>
      </c>
      <c r="AK331" t="s">
        <v>302</v>
      </c>
      <c r="AL331" t="s">
        <v>302</v>
      </c>
      <c r="AM331" t="s">
        <v>293</v>
      </c>
      <c r="AN331" t="s">
        <v>293</v>
      </c>
      <c r="AO331" t="s">
        <v>297</v>
      </c>
      <c r="AP331" t="s">
        <v>356</v>
      </c>
      <c r="AQ331" t="s">
        <v>293</v>
      </c>
      <c r="AR331" t="s">
        <v>292</v>
      </c>
      <c r="AS331" t="s">
        <v>293</v>
      </c>
      <c r="AT331" t="s">
        <v>293</v>
      </c>
      <c r="AU331" t="s">
        <v>364</v>
      </c>
      <c r="AV331" t="str">
        <f t="shared" si="10"/>
        <v>break</v>
      </c>
    </row>
    <row r="332" spans="1:48" x14ac:dyDescent="0.3">
      <c r="A332" t="s">
        <v>43</v>
      </c>
      <c r="B332" t="s">
        <v>69</v>
      </c>
      <c r="C332" t="s">
        <v>30</v>
      </c>
      <c r="D332" t="s">
        <v>29</v>
      </c>
      <c r="E332" t="str">
        <f t="shared" si="11"/>
        <v>P_S3X-ZSB-S_3X7</v>
      </c>
      <c r="F332" t="b">
        <v>1</v>
      </c>
      <c r="G332">
        <v>63.4</v>
      </c>
      <c r="H332">
        <v>0</v>
      </c>
      <c r="I332">
        <v>14100</v>
      </c>
      <c r="J332" s="49" t="s">
        <v>13</v>
      </c>
      <c r="L332" s="16" t="s">
        <v>272</v>
      </c>
      <c r="M332" s="16">
        <v>3</v>
      </c>
      <c r="N332" s="16" t="s">
        <v>277</v>
      </c>
      <c r="O332" s="16" t="s">
        <v>335</v>
      </c>
      <c r="P332" s="15" t="s">
        <v>282</v>
      </c>
      <c r="Q332" t="s">
        <v>339</v>
      </c>
      <c r="R332" t="s">
        <v>371</v>
      </c>
      <c r="S332" s="17" t="s">
        <v>371</v>
      </c>
      <c r="T332" s="16" t="s">
        <v>341</v>
      </c>
      <c r="U332" s="16" t="s">
        <v>340</v>
      </c>
      <c r="V332" s="15" t="s">
        <v>343</v>
      </c>
      <c r="W332" s="15" t="s">
        <v>344</v>
      </c>
      <c r="X332" s="17"/>
      <c r="Y332" t="s">
        <v>349</v>
      </c>
      <c r="Z332" t="s">
        <v>349</v>
      </c>
      <c r="AA332" t="s">
        <v>293</v>
      </c>
      <c r="AB332" t="s">
        <v>353</v>
      </c>
      <c r="AC332" t="s">
        <v>296</v>
      </c>
      <c r="AD332" t="s">
        <v>300</v>
      </c>
      <c r="AE332" t="s">
        <v>293</v>
      </c>
      <c r="AF332" t="s">
        <v>292</v>
      </c>
      <c r="AG332" t="s">
        <v>292</v>
      </c>
      <c r="AH332" t="s">
        <v>292</v>
      </c>
      <c r="AI332" t="s">
        <v>293</v>
      </c>
      <c r="AJ332" t="s">
        <v>302</v>
      </c>
      <c r="AK332" t="s">
        <v>302</v>
      </c>
      <c r="AL332" t="s">
        <v>359</v>
      </c>
      <c r="AM332" t="s">
        <v>293</v>
      </c>
      <c r="AN332" t="s">
        <v>293</v>
      </c>
      <c r="AO332" t="s">
        <v>297</v>
      </c>
      <c r="AP332" t="s">
        <v>356</v>
      </c>
      <c r="AQ332" t="s">
        <v>293</v>
      </c>
      <c r="AR332" t="s">
        <v>292</v>
      </c>
      <c r="AS332" t="s">
        <v>363</v>
      </c>
      <c r="AT332" t="s">
        <v>293</v>
      </c>
      <c r="AU332" t="s">
        <v>364</v>
      </c>
      <c r="AV332" t="str">
        <f t="shared" si="10"/>
        <v>no_fail</v>
      </c>
    </row>
    <row r="333" spans="1:48" x14ac:dyDescent="0.3">
      <c r="A333" t="s">
        <v>43</v>
      </c>
      <c r="B333" t="s">
        <v>69</v>
      </c>
      <c r="C333" t="s">
        <v>34</v>
      </c>
      <c r="D333" t="s">
        <v>29</v>
      </c>
      <c r="E333" t="str">
        <f t="shared" si="11"/>
        <v>P_S3X-ZSB-S_8A5</v>
      </c>
      <c r="F333" t="b">
        <v>1</v>
      </c>
      <c r="G333">
        <v>100</v>
      </c>
      <c r="H333">
        <v>1</v>
      </c>
      <c r="I333">
        <v>25084</v>
      </c>
      <c r="J333" s="49" t="s">
        <v>18</v>
      </c>
      <c r="L333" s="16" t="s">
        <v>272</v>
      </c>
      <c r="M333" s="16">
        <v>3</v>
      </c>
      <c r="N333" s="16" t="s">
        <v>277</v>
      </c>
      <c r="O333" s="16" t="s">
        <v>335</v>
      </c>
      <c r="P333" s="15" t="s">
        <v>339</v>
      </c>
      <c r="Q333" t="s">
        <v>285</v>
      </c>
      <c r="R333" t="s">
        <v>282</v>
      </c>
      <c r="S333" s="17" t="s">
        <v>371</v>
      </c>
      <c r="T333" s="16" t="s">
        <v>341</v>
      </c>
      <c r="U333" s="16" t="s">
        <v>342</v>
      </c>
      <c r="V333" s="15" t="s">
        <v>343</v>
      </c>
      <c r="W333" s="15" t="s">
        <v>344</v>
      </c>
      <c r="X333" s="17"/>
      <c r="Y333" t="s">
        <v>349</v>
      </c>
      <c r="Z333" t="s">
        <v>349</v>
      </c>
      <c r="AA333" t="s">
        <v>293</v>
      </c>
      <c r="AB333" t="s">
        <v>353</v>
      </c>
      <c r="AC333" t="s">
        <v>355</v>
      </c>
      <c r="AD333" t="s">
        <v>301</v>
      </c>
      <c r="AE333" t="s">
        <v>293</v>
      </c>
      <c r="AF333" t="s">
        <v>292</v>
      </c>
      <c r="AG333" t="s">
        <v>292</v>
      </c>
      <c r="AH333" t="s">
        <v>292</v>
      </c>
      <c r="AI333" t="s">
        <v>293</v>
      </c>
      <c r="AJ333" t="s">
        <v>302</v>
      </c>
      <c r="AK333" t="s">
        <v>302</v>
      </c>
      <c r="AL333" t="s">
        <v>359</v>
      </c>
      <c r="AM333" t="s">
        <v>293</v>
      </c>
      <c r="AN333" t="s">
        <v>293</v>
      </c>
      <c r="AO333" t="s">
        <v>297</v>
      </c>
      <c r="AP333" t="s">
        <v>356</v>
      </c>
      <c r="AQ333" t="s">
        <v>293</v>
      </c>
      <c r="AR333" t="s">
        <v>292</v>
      </c>
      <c r="AS333" t="s">
        <v>293</v>
      </c>
      <c r="AT333" t="s">
        <v>293</v>
      </c>
      <c r="AU333" t="s">
        <v>364</v>
      </c>
      <c r="AV333" t="str">
        <f t="shared" si="10"/>
        <v>break</v>
      </c>
    </row>
    <row r="334" spans="1:48" x14ac:dyDescent="0.3">
      <c r="A334" t="s">
        <v>43</v>
      </c>
      <c r="B334" t="s">
        <v>69</v>
      </c>
      <c r="C334" t="s">
        <v>36</v>
      </c>
      <c r="D334" t="s">
        <v>29</v>
      </c>
      <c r="E334" t="str">
        <f t="shared" si="11"/>
        <v>P_S3X-ZSB-S_8D0</v>
      </c>
      <c r="F334" t="b">
        <v>1</v>
      </c>
      <c r="G334">
        <v>100</v>
      </c>
      <c r="H334">
        <v>1</v>
      </c>
      <c r="I334">
        <v>24040</v>
      </c>
      <c r="J334" s="49" t="s">
        <v>18</v>
      </c>
      <c r="L334" s="16" t="s">
        <v>272</v>
      </c>
      <c r="M334" s="16">
        <v>3</v>
      </c>
      <c r="N334" s="16" t="s">
        <v>277</v>
      </c>
      <c r="O334" s="16" t="s">
        <v>335</v>
      </c>
      <c r="P334" s="15" t="s">
        <v>283</v>
      </c>
      <c r="Q334" t="s">
        <v>371</v>
      </c>
      <c r="R334" t="s">
        <v>371</v>
      </c>
      <c r="S334" s="17" t="s">
        <v>371</v>
      </c>
      <c r="T334" s="16" t="s">
        <v>340</v>
      </c>
      <c r="U334" s="16" t="s">
        <v>342</v>
      </c>
      <c r="V334" s="15" t="s">
        <v>343</v>
      </c>
      <c r="W334" s="15" t="s">
        <v>344</v>
      </c>
      <c r="X334" s="17" t="s">
        <v>291</v>
      </c>
      <c r="Y334" t="s">
        <v>349</v>
      </c>
      <c r="Z334" t="s">
        <v>349</v>
      </c>
      <c r="AA334" t="s">
        <v>293</v>
      </c>
      <c r="AB334" t="s">
        <v>353</v>
      </c>
      <c r="AC334" t="s">
        <v>296</v>
      </c>
      <c r="AD334" t="s">
        <v>300</v>
      </c>
      <c r="AE334" t="s">
        <v>293</v>
      </c>
      <c r="AF334" t="s">
        <v>292</v>
      </c>
      <c r="AG334" t="s">
        <v>292</v>
      </c>
      <c r="AH334" t="s">
        <v>292</v>
      </c>
      <c r="AI334" t="s">
        <v>293</v>
      </c>
      <c r="AJ334" t="s">
        <v>302</v>
      </c>
      <c r="AK334" t="s">
        <v>302</v>
      </c>
      <c r="AL334" t="s">
        <v>359</v>
      </c>
      <c r="AM334" t="s">
        <v>293</v>
      </c>
      <c r="AN334" t="s">
        <v>293</v>
      </c>
      <c r="AO334" t="s">
        <v>297</v>
      </c>
      <c r="AP334" t="s">
        <v>356</v>
      </c>
      <c r="AQ334" t="s">
        <v>293</v>
      </c>
      <c r="AR334" t="s">
        <v>292</v>
      </c>
      <c r="AS334" t="s">
        <v>293</v>
      </c>
      <c r="AT334" t="s">
        <v>293</v>
      </c>
      <c r="AU334" t="s">
        <v>364</v>
      </c>
      <c r="AV334" t="str">
        <f t="shared" ref="AV334:AV397" si="12">IF(J334="fail",IF(H334=1,"break","car_stuck"),"no_fail")</f>
        <v>break</v>
      </c>
    </row>
    <row r="335" spans="1:48" x14ac:dyDescent="0.3">
      <c r="A335" t="s">
        <v>43</v>
      </c>
      <c r="B335" t="s">
        <v>69</v>
      </c>
      <c r="C335" t="s">
        <v>33</v>
      </c>
      <c r="D335" t="s">
        <v>29</v>
      </c>
      <c r="E335" t="str">
        <f t="shared" si="11"/>
        <v>P_S3X-ZSB-S_8I8</v>
      </c>
      <c r="F335" t="b">
        <v>1</v>
      </c>
      <c r="G335">
        <v>99.6</v>
      </c>
      <c r="H335">
        <v>0</v>
      </c>
      <c r="I335">
        <v>18914</v>
      </c>
      <c r="J335" s="49" t="s">
        <v>13</v>
      </c>
      <c r="L335" s="16" t="s">
        <v>272</v>
      </c>
      <c r="M335" s="16">
        <v>3</v>
      </c>
      <c r="N335" s="16" t="s">
        <v>277</v>
      </c>
      <c r="O335" s="16" t="s">
        <v>335</v>
      </c>
      <c r="P335" s="15" t="s">
        <v>284</v>
      </c>
      <c r="Q335" t="s">
        <v>273</v>
      </c>
      <c r="R335" t="s">
        <v>282</v>
      </c>
      <c r="S335" s="17" t="s">
        <v>371</v>
      </c>
      <c r="T335" s="16" t="s">
        <v>341</v>
      </c>
      <c r="U335" s="16" t="s">
        <v>342</v>
      </c>
      <c r="V335" s="15" t="s">
        <v>343</v>
      </c>
      <c r="W335" s="15" t="s">
        <v>344</v>
      </c>
      <c r="X335" s="17"/>
      <c r="Y335" t="s">
        <v>349</v>
      </c>
      <c r="Z335" t="s">
        <v>349</v>
      </c>
      <c r="AA335" t="s">
        <v>293</v>
      </c>
      <c r="AB335" t="s">
        <v>353</v>
      </c>
      <c r="AC335" t="s">
        <v>355</v>
      </c>
      <c r="AD335" t="s">
        <v>301</v>
      </c>
      <c r="AE335" t="s">
        <v>293</v>
      </c>
      <c r="AF335" t="s">
        <v>292</v>
      </c>
      <c r="AG335" t="s">
        <v>292</v>
      </c>
      <c r="AH335" t="s">
        <v>292</v>
      </c>
      <c r="AI335" t="s">
        <v>293</v>
      </c>
      <c r="AJ335" t="s">
        <v>302</v>
      </c>
      <c r="AK335" t="s">
        <v>302</v>
      </c>
      <c r="AL335" t="s">
        <v>359</v>
      </c>
      <c r="AM335" t="s">
        <v>293</v>
      </c>
      <c r="AN335" t="s">
        <v>293</v>
      </c>
      <c r="AO335" t="s">
        <v>297</v>
      </c>
      <c r="AP335" t="s">
        <v>356</v>
      </c>
      <c r="AQ335" t="s">
        <v>293</v>
      </c>
      <c r="AR335" t="s">
        <v>292</v>
      </c>
      <c r="AS335" t="s">
        <v>293</v>
      </c>
      <c r="AT335" t="s">
        <v>293</v>
      </c>
      <c r="AU335" t="s">
        <v>364</v>
      </c>
      <c r="AV335" t="str">
        <f t="shared" si="12"/>
        <v>no_fail</v>
      </c>
    </row>
    <row r="336" spans="1:48" x14ac:dyDescent="0.3">
      <c r="A336" t="s">
        <v>43</v>
      </c>
      <c r="B336" t="s">
        <v>69</v>
      </c>
      <c r="C336" t="s">
        <v>26</v>
      </c>
      <c r="D336" t="s">
        <v>29</v>
      </c>
      <c r="E336" t="str">
        <f t="shared" si="11"/>
        <v>P_S3X-ZSB-S_8O8</v>
      </c>
      <c r="F336" t="b">
        <v>1</v>
      </c>
      <c r="G336">
        <v>100</v>
      </c>
      <c r="H336">
        <v>1</v>
      </c>
      <c r="I336">
        <v>10804</v>
      </c>
      <c r="J336" s="49" t="s">
        <v>18</v>
      </c>
      <c r="L336" s="16" t="s">
        <v>272</v>
      </c>
      <c r="M336" s="16">
        <v>2</v>
      </c>
      <c r="N336" s="16" t="s">
        <v>333</v>
      </c>
      <c r="O336" s="16" t="s">
        <v>278</v>
      </c>
      <c r="P336" s="15" t="s">
        <v>282</v>
      </c>
      <c r="Q336" t="s">
        <v>371</v>
      </c>
      <c r="R336" t="s">
        <v>371</v>
      </c>
      <c r="S336" s="17" t="s">
        <v>371</v>
      </c>
      <c r="T336" s="16" t="s">
        <v>340</v>
      </c>
      <c r="U336" s="16" t="s">
        <v>342</v>
      </c>
      <c r="V336" s="15" t="s">
        <v>340</v>
      </c>
      <c r="W336" s="15" t="s">
        <v>344</v>
      </c>
      <c r="X336" s="17"/>
      <c r="Y336" t="s">
        <v>349</v>
      </c>
      <c r="Z336" t="s">
        <v>349</v>
      </c>
      <c r="AA336" t="s">
        <v>293</v>
      </c>
      <c r="AB336" t="s">
        <v>354</v>
      </c>
      <c r="AC336" t="s">
        <v>354</v>
      </c>
      <c r="AD336" t="s">
        <v>300</v>
      </c>
      <c r="AE336" t="s">
        <v>292</v>
      </c>
      <c r="AF336" t="s">
        <v>293</v>
      </c>
      <c r="AG336" t="s">
        <v>292</v>
      </c>
      <c r="AH336" t="s">
        <v>292</v>
      </c>
      <c r="AI336" t="s">
        <v>293</v>
      </c>
      <c r="AJ336" t="s">
        <v>302</v>
      </c>
      <c r="AK336" t="s">
        <v>302</v>
      </c>
      <c r="AL336" t="s">
        <v>357</v>
      </c>
      <c r="AM336" t="s">
        <v>293</v>
      </c>
      <c r="AN336" t="s">
        <v>293</v>
      </c>
      <c r="AO336" t="s">
        <v>297</v>
      </c>
      <c r="AP336" t="s">
        <v>298</v>
      </c>
      <c r="AQ336" t="s">
        <v>293</v>
      </c>
      <c r="AR336" t="s">
        <v>292</v>
      </c>
      <c r="AS336" t="s">
        <v>293</v>
      </c>
      <c r="AT336" t="s">
        <v>293</v>
      </c>
      <c r="AU336" t="s">
        <v>364</v>
      </c>
      <c r="AV336" t="str">
        <f t="shared" si="12"/>
        <v>break</v>
      </c>
    </row>
    <row r="337" spans="1:48" x14ac:dyDescent="0.3">
      <c r="A337" t="s">
        <v>43</v>
      </c>
      <c r="B337" t="s">
        <v>69</v>
      </c>
      <c r="C337" t="s">
        <v>31</v>
      </c>
      <c r="D337" t="s">
        <v>29</v>
      </c>
      <c r="E337" t="str">
        <f t="shared" si="11"/>
        <v>P_S3X-ZSB-S_9E0</v>
      </c>
      <c r="F337" t="b">
        <v>1</v>
      </c>
      <c r="G337">
        <v>100</v>
      </c>
      <c r="H337">
        <v>1</v>
      </c>
      <c r="I337">
        <v>12895</v>
      </c>
      <c r="J337" s="49" t="s">
        <v>18</v>
      </c>
      <c r="L337" s="16" t="s">
        <v>272</v>
      </c>
      <c r="M337" s="16">
        <v>3</v>
      </c>
      <c r="N337" s="16" t="s">
        <v>277</v>
      </c>
      <c r="O337" s="16" t="s">
        <v>335</v>
      </c>
      <c r="P337" s="15" t="s">
        <v>282</v>
      </c>
      <c r="Q337" t="s">
        <v>339</v>
      </c>
      <c r="R337" t="s">
        <v>371</v>
      </c>
      <c r="S337" s="17" t="s">
        <v>371</v>
      </c>
      <c r="T337" s="16" t="s">
        <v>341</v>
      </c>
      <c r="U337" s="16" t="s">
        <v>340</v>
      </c>
      <c r="V337" s="15" t="s">
        <v>343</v>
      </c>
      <c r="W337" s="15" t="s">
        <v>344</v>
      </c>
      <c r="X337" s="17"/>
      <c r="Y337" t="s">
        <v>349</v>
      </c>
      <c r="Z337" t="s">
        <v>349</v>
      </c>
      <c r="AA337" t="s">
        <v>293</v>
      </c>
      <c r="AB337" t="s">
        <v>353</v>
      </c>
      <c r="AC337" t="s">
        <v>297</v>
      </c>
      <c r="AD337" t="s">
        <v>300</v>
      </c>
      <c r="AE337" t="s">
        <v>293</v>
      </c>
      <c r="AF337" t="s">
        <v>292</v>
      </c>
      <c r="AG337" t="s">
        <v>292</v>
      </c>
      <c r="AH337" t="s">
        <v>293</v>
      </c>
      <c r="AI337" t="s">
        <v>293</v>
      </c>
      <c r="AJ337" t="s">
        <v>302</v>
      </c>
      <c r="AK337" t="s">
        <v>302</v>
      </c>
      <c r="AL337" t="s">
        <v>359</v>
      </c>
      <c r="AM337" t="s">
        <v>293</v>
      </c>
      <c r="AN337" t="s">
        <v>293</v>
      </c>
      <c r="AO337" t="s">
        <v>297</v>
      </c>
      <c r="AP337" t="s">
        <v>356</v>
      </c>
      <c r="AQ337" t="s">
        <v>293</v>
      </c>
      <c r="AR337" t="s">
        <v>292</v>
      </c>
      <c r="AS337" t="s">
        <v>363</v>
      </c>
      <c r="AT337" t="s">
        <v>293</v>
      </c>
      <c r="AU337" t="s">
        <v>364</v>
      </c>
      <c r="AV337" t="str">
        <f t="shared" si="12"/>
        <v>break</v>
      </c>
    </row>
    <row r="338" spans="1:48" x14ac:dyDescent="0.3">
      <c r="A338" t="s">
        <v>43</v>
      </c>
      <c r="B338" t="s">
        <v>69</v>
      </c>
      <c r="C338" t="s">
        <v>27</v>
      </c>
      <c r="D338" t="s">
        <v>29</v>
      </c>
      <c r="E338" t="str">
        <f t="shared" si="11"/>
        <v>P_S3X-ZSB-S_9F6</v>
      </c>
      <c r="F338" t="b">
        <v>1</v>
      </c>
      <c r="G338">
        <v>88.2</v>
      </c>
      <c r="H338">
        <v>0</v>
      </c>
      <c r="I338">
        <v>13713</v>
      </c>
      <c r="J338" s="49" t="s">
        <v>13</v>
      </c>
      <c r="L338" s="16" t="s">
        <v>272</v>
      </c>
      <c r="M338" s="16">
        <v>2</v>
      </c>
      <c r="N338" s="16" t="s">
        <v>333</v>
      </c>
      <c r="O338" s="16" t="s">
        <v>278</v>
      </c>
      <c r="P338" s="15" t="s">
        <v>282</v>
      </c>
      <c r="Q338" t="s">
        <v>371</v>
      </c>
      <c r="R338" t="s">
        <v>371</v>
      </c>
      <c r="S338" s="17" t="s">
        <v>371</v>
      </c>
      <c r="T338" s="16" t="s">
        <v>340</v>
      </c>
      <c r="U338" s="16" t="s">
        <v>342</v>
      </c>
      <c r="V338" s="15" t="s">
        <v>343</v>
      </c>
      <c r="W338" s="15" t="s">
        <v>344</v>
      </c>
      <c r="X338" s="17"/>
      <c r="Y338" t="s">
        <v>349</v>
      </c>
      <c r="Z338" t="s">
        <v>349</v>
      </c>
      <c r="AA338" t="s">
        <v>293</v>
      </c>
      <c r="AB338" t="s">
        <v>354</v>
      </c>
      <c r="AC338" t="s">
        <v>354</v>
      </c>
      <c r="AD338" t="s">
        <v>300</v>
      </c>
      <c r="AE338" t="s">
        <v>293</v>
      </c>
      <c r="AF338" t="s">
        <v>292</v>
      </c>
      <c r="AG338" t="s">
        <v>292</v>
      </c>
      <c r="AH338" t="s">
        <v>292</v>
      </c>
      <c r="AI338" t="s">
        <v>293</v>
      </c>
      <c r="AJ338" t="s">
        <v>302</v>
      </c>
      <c r="AK338" t="s">
        <v>359</v>
      </c>
      <c r="AL338" t="s">
        <v>357</v>
      </c>
      <c r="AM338" t="s">
        <v>293</v>
      </c>
      <c r="AN338" t="s">
        <v>293</v>
      </c>
      <c r="AO338" t="s">
        <v>297</v>
      </c>
      <c r="AP338" t="s">
        <v>356</v>
      </c>
      <c r="AQ338" t="s">
        <v>293</v>
      </c>
      <c r="AR338" t="s">
        <v>292</v>
      </c>
      <c r="AS338" t="s">
        <v>293</v>
      </c>
      <c r="AT338" t="s">
        <v>293</v>
      </c>
      <c r="AU338" t="s">
        <v>364</v>
      </c>
      <c r="AV338" t="str">
        <f t="shared" si="12"/>
        <v>no_fail</v>
      </c>
    </row>
    <row r="339" spans="1:48" x14ac:dyDescent="0.3">
      <c r="A339" t="s">
        <v>43</v>
      </c>
      <c r="B339" t="s">
        <v>69</v>
      </c>
      <c r="C339" t="s">
        <v>28</v>
      </c>
      <c r="D339" t="s">
        <v>29</v>
      </c>
      <c r="E339" t="str">
        <f t="shared" si="11"/>
        <v>P_S3X-ZSB-S_9T2</v>
      </c>
      <c r="F339" t="b">
        <v>1</v>
      </c>
      <c r="G339">
        <v>100</v>
      </c>
      <c r="H339">
        <v>1</v>
      </c>
      <c r="I339">
        <v>12617</v>
      </c>
      <c r="J339" s="49" t="s">
        <v>18</v>
      </c>
      <c r="L339" s="16" t="s">
        <v>272</v>
      </c>
      <c r="M339" s="16">
        <v>3</v>
      </c>
      <c r="N339" s="16" t="s">
        <v>277</v>
      </c>
      <c r="O339" s="16" t="s">
        <v>335</v>
      </c>
      <c r="P339" s="15" t="s">
        <v>282</v>
      </c>
      <c r="Q339" t="s">
        <v>371</v>
      </c>
      <c r="R339" t="s">
        <v>371</v>
      </c>
      <c r="S339" s="17" t="s">
        <v>371</v>
      </c>
      <c r="T339" s="16" t="s">
        <v>341</v>
      </c>
      <c r="U339" s="16" t="s">
        <v>340</v>
      </c>
      <c r="V339" s="15" t="s">
        <v>343</v>
      </c>
      <c r="W339" s="15" t="s">
        <v>344</v>
      </c>
      <c r="X339" s="17"/>
      <c r="Y339" t="s">
        <v>349</v>
      </c>
      <c r="Z339" t="s">
        <v>349</v>
      </c>
      <c r="AA339" t="s">
        <v>293</v>
      </c>
      <c r="AB339" t="s">
        <v>352</v>
      </c>
      <c r="AC339" t="s">
        <v>297</v>
      </c>
      <c r="AD339" t="s">
        <v>300</v>
      </c>
      <c r="AE339" t="s">
        <v>293</v>
      </c>
      <c r="AF339" t="s">
        <v>292</v>
      </c>
      <c r="AG339" t="s">
        <v>292</v>
      </c>
      <c r="AH339" t="s">
        <v>293</v>
      </c>
      <c r="AI339" t="s">
        <v>293</v>
      </c>
      <c r="AJ339" t="s">
        <v>302</v>
      </c>
      <c r="AK339" t="s">
        <v>302</v>
      </c>
      <c r="AL339" t="s">
        <v>302</v>
      </c>
      <c r="AM339" t="s">
        <v>293</v>
      </c>
      <c r="AN339" t="s">
        <v>293</v>
      </c>
      <c r="AO339" t="s">
        <v>297</v>
      </c>
      <c r="AP339" t="s">
        <v>356</v>
      </c>
      <c r="AQ339" t="s">
        <v>293</v>
      </c>
      <c r="AR339" t="s">
        <v>292</v>
      </c>
      <c r="AS339" t="s">
        <v>363</v>
      </c>
      <c r="AT339" t="s">
        <v>293</v>
      </c>
      <c r="AU339" t="s">
        <v>364</v>
      </c>
      <c r="AV339" t="str">
        <f t="shared" si="12"/>
        <v>break</v>
      </c>
    </row>
    <row r="340" spans="1:48" x14ac:dyDescent="0.3">
      <c r="A340" t="s">
        <v>43</v>
      </c>
      <c r="B340" t="s">
        <v>69</v>
      </c>
      <c r="C340" t="s">
        <v>35</v>
      </c>
      <c r="D340" t="s">
        <v>29</v>
      </c>
      <c r="E340" t="str">
        <f t="shared" si="11"/>
        <v>P_S3X-ZSB-S_9X8</v>
      </c>
      <c r="F340" t="b">
        <v>1</v>
      </c>
      <c r="G340">
        <v>91.1</v>
      </c>
      <c r="H340">
        <v>0</v>
      </c>
      <c r="I340">
        <v>25115</v>
      </c>
      <c r="J340" s="49" t="s">
        <v>13</v>
      </c>
      <c r="L340" s="16" t="s">
        <v>272</v>
      </c>
      <c r="M340" s="16">
        <v>3</v>
      </c>
      <c r="N340" s="16" t="s">
        <v>277</v>
      </c>
      <c r="O340" s="16" t="s">
        <v>335</v>
      </c>
      <c r="P340" s="15" t="s">
        <v>339</v>
      </c>
      <c r="Q340" t="s">
        <v>283</v>
      </c>
      <c r="R340" t="s">
        <v>282</v>
      </c>
      <c r="S340" s="17" t="s">
        <v>371</v>
      </c>
      <c r="T340" s="16" t="s">
        <v>341</v>
      </c>
      <c r="U340" s="16" t="s">
        <v>342</v>
      </c>
      <c r="V340" s="15" t="s">
        <v>343</v>
      </c>
      <c r="W340" s="15" t="s">
        <v>344</v>
      </c>
      <c r="X340" s="17"/>
      <c r="Y340" t="s">
        <v>349</v>
      </c>
      <c r="Z340" t="s">
        <v>349</v>
      </c>
      <c r="AA340" t="s">
        <v>293</v>
      </c>
      <c r="AB340" t="s">
        <v>353</v>
      </c>
      <c r="AC340" t="s">
        <v>355</v>
      </c>
      <c r="AD340" t="s">
        <v>301</v>
      </c>
      <c r="AE340" t="s">
        <v>293</v>
      </c>
      <c r="AF340" t="s">
        <v>292</v>
      </c>
      <c r="AG340" t="s">
        <v>292</v>
      </c>
      <c r="AH340" t="s">
        <v>292</v>
      </c>
      <c r="AI340" t="s">
        <v>293</v>
      </c>
      <c r="AJ340" t="s">
        <v>302</v>
      </c>
      <c r="AK340" t="s">
        <v>302</v>
      </c>
      <c r="AL340" t="s">
        <v>302</v>
      </c>
      <c r="AM340" t="s">
        <v>293</v>
      </c>
      <c r="AN340" t="s">
        <v>293</v>
      </c>
      <c r="AO340" t="s">
        <v>297</v>
      </c>
      <c r="AP340" t="s">
        <v>356</v>
      </c>
      <c r="AQ340" t="s">
        <v>293</v>
      </c>
      <c r="AR340" t="s">
        <v>292</v>
      </c>
      <c r="AS340" t="s">
        <v>293</v>
      </c>
      <c r="AT340" t="s">
        <v>293</v>
      </c>
      <c r="AU340" t="s">
        <v>364</v>
      </c>
      <c r="AV340" t="str">
        <f t="shared" si="12"/>
        <v>no_fail</v>
      </c>
    </row>
    <row r="341" spans="1:48" x14ac:dyDescent="0.3">
      <c r="A341" t="s">
        <v>45</v>
      </c>
      <c r="B341" t="s">
        <v>48</v>
      </c>
      <c r="C341" t="s">
        <v>15</v>
      </c>
      <c r="D341" t="s">
        <v>12</v>
      </c>
      <c r="E341" t="str">
        <f t="shared" si="11"/>
        <v>P_T4B-KYY-S_0M4</v>
      </c>
      <c r="F341" t="b">
        <v>1</v>
      </c>
      <c r="G341">
        <v>100</v>
      </c>
      <c r="H341">
        <v>1</v>
      </c>
      <c r="I341">
        <v>9607</v>
      </c>
      <c r="J341" s="49" t="s">
        <v>18</v>
      </c>
      <c r="L341" s="16" t="s">
        <v>272</v>
      </c>
      <c r="M341" s="16">
        <v>2</v>
      </c>
      <c r="N341" s="16" t="s">
        <v>277</v>
      </c>
      <c r="O341" s="16" t="s">
        <v>335</v>
      </c>
      <c r="P341" s="15" t="s">
        <v>282</v>
      </c>
      <c r="Q341" t="s">
        <v>371</v>
      </c>
      <c r="R341" t="s">
        <v>371</v>
      </c>
      <c r="S341" s="17" t="s">
        <v>371</v>
      </c>
      <c r="T341" s="16" t="s">
        <v>341</v>
      </c>
      <c r="U341" s="16" t="s">
        <v>340</v>
      </c>
      <c r="V341" s="15" t="s">
        <v>340</v>
      </c>
      <c r="W341" s="15" t="s">
        <v>344</v>
      </c>
      <c r="X341" s="17"/>
      <c r="Y341" t="s">
        <v>349</v>
      </c>
      <c r="Z341" t="s">
        <v>349</v>
      </c>
      <c r="AA341" t="s">
        <v>293</v>
      </c>
      <c r="AB341" t="s">
        <v>354</v>
      </c>
      <c r="AC341" t="s">
        <v>354</v>
      </c>
      <c r="AD341" t="s">
        <v>300</v>
      </c>
      <c r="AE341" t="s">
        <v>292</v>
      </c>
      <c r="AF341" t="s">
        <v>293</v>
      </c>
      <c r="AG341" t="s">
        <v>292</v>
      </c>
      <c r="AH341" t="s">
        <v>293</v>
      </c>
      <c r="AI341" t="s">
        <v>293</v>
      </c>
      <c r="AJ341" t="s">
        <v>302</v>
      </c>
      <c r="AK341" t="s">
        <v>302</v>
      </c>
      <c r="AL341" t="s">
        <v>357</v>
      </c>
      <c r="AM341" t="s">
        <v>293</v>
      </c>
      <c r="AN341" t="s">
        <v>293</v>
      </c>
      <c r="AO341" t="s">
        <v>297</v>
      </c>
      <c r="AP341" t="s">
        <v>298</v>
      </c>
      <c r="AQ341" t="s">
        <v>293</v>
      </c>
      <c r="AR341" t="s">
        <v>292</v>
      </c>
      <c r="AS341" t="s">
        <v>293</v>
      </c>
      <c r="AT341" t="s">
        <v>293</v>
      </c>
      <c r="AU341" t="s">
        <v>364</v>
      </c>
      <c r="AV341" t="str">
        <f t="shared" si="12"/>
        <v>break</v>
      </c>
    </row>
    <row r="342" spans="1:48" x14ac:dyDescent="0.3">
      <c r="A342" t="s">
        <v>45</v>
      </c>
      <c r="B342" t="s">
        <v>48</v>
      </c>
      <c r="C342" t="s">
        <v>14</v>
      </c>
      <c r="D342" t="s">
        <v>12</v>
      </c>
      <c r="E342" t="str">
        <f t="shared" si="11"/>
        <v>P_T4B-KYY-S_1B0</v>
      </c>
      <c r="F342" t="b">
        <v>1</v>
      </c>
      <c r="G342">
        <v>100</v>
      </c>
      <c r="H342">
        <v>1</v>
      </c>
      <c r="I342">
        <v>11173</v>
      </c>
      <c r="J342" s="49" t="s">
        <v>18</v>
      </c>
      <c r="L342" s="16" t="s">
        <v>272</v>
      </c>
      <c r="M342" s="16">
        <v>3</v>
      </c>
      <c r="N342" s="16" t="s">
        <v>277</v>
      </c>
      <c r="O342" s="16" t="s">
        <v>335</v>
      </c>
      <c r="P342" s="15" t="s">
        <v>284</v>
      </c>
      <c r="Q342" t="s">
        <v>282</v>
      </c>
      <c r="R342" t="s">
        <v>371</v>
      </c>
      <c r="S342" s="17" t="s">
        <v>371</v>
      </c>
      <c r="T342" s="16" t="s">
        <v>341</v>
      </c>
      <c r="U342" s="16" t="s">
        <v>340</v>
      </c>
      <c r="V342" s="15" t="s">
        <v>343</v>
      </c>
      <c r="W342" s="15" t="s">
        <v>344</v>
      </c>
      <c r="X342" s="17"/>
      <c r="Y342" t="s">
        <v>349</v>
      </c>
      <c r="Z342" t="s">
        <v>349</v>
      </c>
      <c r="AA342" t="s">
        <v>293</v>
      </c>
      <c r="AB342" t="s">
        <v>352</v>
      </c>
      <c r="AC342" t="s">
        <v>297</v>
      </c>
      <c r="AD342" t="s">
        <v>300</v>
      </c>
      <c r="AE342" t="s">
        <v>292</v>
      </c>
      <c r="AF342" t="s">
        <v>293</v>
      </c>
      <c r="AG342" t="s">
        <v>292</v>
      </c>
      <c r="AH342" t="s">
        <v>292</v>
      </c>
      <c r="AI342" t="s">
        <v>293</v>
      </c>
      <c r="AJ342" t="s">
        <v>302</v>
      </c>
      <c r="AK342" t="s">
        <v>302</v>
      </c>
      <c r="AL342" t="s">
        <v>302</v>
      </c>
      <c r="AM342" t="s">
        <v>293</v>
      </c>
      <c r="AN342" t="s">
        <v>293</v>
      </c>
      <c r="AO342" t="s">
        <v>297</v>
      </c>
      <c r="AP342" t="s">
        <v>298</v>
      </c>
      <c r="AQ342" t="s">
        <v>293</v>
      </c>
      <c r="AR342" t="s">
        <v>292</v>
      </c>
      <c r="AS342" t="s">
        <v>293</v>
      </c>
      <c r="AT342" t="s">
        <v>293</v>
      </c>
      <c r="AU342" t="s">
        <v>364</v>
      </c>
      <c r="AV342" t="str">
        <f t="shared" si="12"/>
        <v>break</v>
      </c>
    </row>
    <row r="343" spans="1:48" x14ac:dyDescent="0.3">
      <c r="A343" t="s">
        <v>45</v>
      </c>
      <c r="B343" t="s">
        <v>48</v>
      </c>
      <c r="C343" t="s">
        <v>11</v>
      </c>
      <c r="D343" t="s">
        <v>12</v>
      </c>
      <c r="E343" t="str">
        <f t="shared" si="11"/>
        <v>P_T4B-KYY-S_1Q4</v>
      </c>
      <c r="F343" t="b">
        <v>1</v>
      </c>
      <c r="G343">
        <v>100</v>
      </c>
      <c r="H343">
        <v>1</v>
      </c>
      <c r="I343">
        <v>9851</v>
      </c>
      <c r="J343" s="49" t="s">
        <v>18</v>
      </c>
      <c r="L343" s="16" t="s">
        <v>272</v>
      </c>
      <c r="M343" s="16">
        <v>3</v>
      </c>
      <c r="N343" s="16" t="s">
        <v>277</v>
      </c>
      <c r="O343" s="16" t="s">
        <v>335</v>
      </c>
      <c r="P343" s="15" t="s">
        <v>284</v>
      </c>
      <c r="Q343" t="s">
        <v>282</v>
      </c>
      <c r="R343" t="s">
        <v>371</v>
      </c>
      <c r="S343" s="17" t="s">
        <v>371</v>
      </c>
      <c r="T343" s="16" t="s">
        <v>341</v>
      </c>
      <c r="U343" s="16" t="s">
        <v>340</v>
      </c>
      <c r="V343" s="15" t="s">
        <v>343</v>
      </c>
      <c r="W343" s="15" t="s">
        <v>344</v>
      </c>
      <c r="X343" s="17"/>
      <c r="Y343" t="s">
        <v>349</v>
      </c>
      <c r="Z343" t="s">
        <v>349</v>
      </c>
      <c r="AA343" t="s">
        <v>293</v>
      </c>
      <c r="AB343" t="s">
        <v>352</v>
      </c>
      <c r="AC343" t="s">
        <v>297</v>
      </c>
      <c r="AD343" t="s">
        <v>300</v>
      </c>
      <c r="AE343" t="s">
        <v>292</v>
      </c>
      <c r="AF343" t="s">
        <v>293</v>
      </c>
      <c r="AG343" t="s">
        <v>292</v>
      </c>
      <c r="AH343" t="s">
        <v>293</v>
      </c>
      <c r="AI343" t="s">
        <v>293</v>
      </c>
      <c r="AJ343" t="s">
        <v>302</v>
      </c>
      <c r="AK343" t="s">
        <v>302</v>
      </c>
      <c r="AL343" t="s">
        <v>302</v>
      </c>
      <c r="AM343" t="s">
        <v>293</v>
      </c>
      <c r="AN343" t="s">
        <v>293</v>
      </c>
      <c r="AO343" t="s">
        <v>297</v>
      </c>
      <c r="AP343" t="s">
        <v>298</v>
      </c>
      <c r="AQ343" t="s">
        <v>293</v>
      </c>
      <c r="AR343" t="s">
        <v>292</v>
      </c>
      <c r="AS343" t="s">
        <v>293</v>
      </c>
      <c r="AT343" t="s">
        <v>293</v>
      </c>
      <c r="AU343" t="s">
        <v>364</v>
      </c>
      <c r="AV343" t="str">
        <f t="shared" si="12"/>
        <v>break</v>
      </c>
    </row>
    <row r="344" spans="1:48" x14ac:dyDescent="0.3">
      <c r="A344" t="s">
        <v>45</v>
      </c>
      <c r="B344" t="s">
        <v>48</v>
      </c>
      <c r="C344" t="s">
        <v>19</v>
      </c>
      <c r="D344" t="s">
        <v>12</v>
      </c>
      <c r="E344" t="str">
        <f t="shared" si="11"/>
        <v>P_T4B-KYY-S_4U3</v>
      </c>
      <c r="F344" t="b">
        <v>1</v>
      </c>
      <c r="G344">
        <v>100</v>
      </c>
      <c r="H344">
        <v>1</v>
      </c>
      <c r="I344">
        <v>19958</v>
      </c>
      <c r="J344" s="49" t="s">
        <v>18</v>
      </c>
      <c r="L344" s="16" t="s">
        <v>272</v>
      </c>
      <c r="M344" s="16">
        <v>2</v>
      </c>
      <c r="N344" s="16" t="s">
        <v>277</v>
      </c>
      <c r="O344" s="16" t="s">
        <v>335</v>
      </c>
      <c r="P344" s="15" t="s">
        <v>282</v>
      </c>
      <c r="Q344" t="s">
        <v>371</v>
      </c>
      <c r="R344" t="s">
        <v>371</v>
      </c>
      <c r="S344" s="17" t="s">
        <v>371</v>
      </c>
      <c r="T344" s="16" t="s">
        <v>341</v>
      </c>
      <c r="U344" s="16" t="s">
        <v>340</v>
      </c>
      <c r="V344" s="15" t="s">
        <v>340</v>
      </c>
      <c r="W344" s="15" t="s">
        <v>344</v>
      </c>
      <c r="X344" s="17"/>
      <c r="Y344" t="s">
        <v>349</v>
      </c>
      <c r="Z344" t="s">
        <v>349</v>
      </c>
      <c r="AA344" t="s">
        <v>293</v>
      </c>
      <c r="AB344" t="s">
        <v>354</v>
      </c>
      <c r="AC344" t="s">
        <v>354</v>
      </c>
      <c r="AD344" t="s">
        <v>301</v>
      </c>
      <c r="AE344" t="s">
        <v>292</v>
      </c>
      <c r="AF344" t="s">
        <v>293</v>
      </c>
      <c r="AG344" t="s">
        <v>293</v>
      </c>
      <c r="AH344" t="s">
        <v>292</v>
      </c>
      <c r="AI344" t="s">
        <v>293</v>
      </c>
      <c r="AJ344" t="s">
        <v>302</v>
      </c>
      <c r="AK344" t="s">
        <v>302</v>
      </c>
      <c r="AL344" t="s">
        <v>357</v>
      </c>
      <c r="AM344" t="s">
        <v>293</v>
      </c>
      <c r="AN344" t="s">
        <v>293</v>
      </c>
      <c r="AO344" t="s">
        <v>296</v>
      </c>
      <c r="AP344" t="s">
        <v>298</v>
      </c>
      <c r="AQ344" t="s">
        <v>293</v>
      </c>
      <c r="AR344" t="s">
        <v>292</v>
      </c>
      <c r="AS344" t="s">
        <v>293</v>
      </c>
      <c r="AT344" t="s">
        <v>293</v>
      </c>
      <c r="AU344" t="s">
        <v>364</v>
      </c>
      <c r="AV344" t="str">
        <f t="shared" si="12"/>
        <v>break</v>
      </c>
    </row>
    <row r="345" spans="1:48" x14ac:dyDescent="0.3">
      <c r="A345" t="s">
        <v>45</v>
      </c>
      <c r="B345" t="s">
        <v>48</v>
      </c>
      <c r="C345" t="s">
        <v>17</v>
      </c>
      <c r="D345" t="s">
        <v>12</v>
      </c>
      <c r="E345" t="str">
        <f t="shared" si="11"/>
        <v>P_T4B-KYY-S_6B5</v>
      </c>
      <c r="F345" t="b">
        <v>1</v>
      </c>
      <c r="G345">
        <v>86.1</v>
      </c>
      <c r="H345">
        <v>0</v>
      </c>
      <c r="I345">
        <v>22810</v>
      </c>
      <c r="J345" s="49" t="s">
        <v>13</v>
      </c>
      <c r="L345" s="16" t="s">
        <v>272</v>
      </c>
      <c r="M345" s="16">
        <v>2</v>
      </c>
      <c r="N345" s="16" t="s">
        <v>277</v>
      </c>
      <c r="O345" s="16" t="s">
        <v>335</v>
      </c>
      <c r="P345" s="15" t="s">
        <v>282</v>
      </c>
      <c r="Q345" t="s">
        <v>371</v>
      </c>
      <c r="R345" t="s">
        <v>371</v>
      </c>
      <c r="S345" s="17" t="s">
        <v>371</v>
      </c>
      <c r="T345" s="16" t="s">
        <v>341</v>
      </c>
      <c r="U345" s="16" t="s">
        <v>340</v>
      </c>
      <c r="V345" s="15" t="s">
        <v>340</v>
      </c>
      <c r="W345" s="15" t="s">
        <v>344</v>
      </c>
      <c r="X345" s="17"/>
      <c r="Y345" t="s">
        <v>349</v>
      </c>
      <c r="Z345" t="s">
        <v>349</v>
      </c>
      <c r="AA345" t="s">
        <v>293</v>
      </c>
      <c r="AB345" t="s">
        <v>354</v>
      </c>
      <c r="AC345" t="s">
        <v>354</v>
      </c>
      <c r="AD345" t="s">
        <v>301</v>
      </c>
      <c r="AE345" t="s">
        <v>293</v>
      </c>
      <c r="AF345" t="s">
        <v>292</v>
      </c>
      <c r="AG345" t="s">
        <v>293</v>
      </c>
      <c r="AH345" t="s">
        <v>292</v>
      </c>
      <c r="AI345" t="s">
        <v>293</v>
      </c>
      <c r="AJ345" t="s">
        <v>302</v>
      </c>
      <c r="AK345" t="s">
        <v>302</v>
      </c>
      <c r="AL345" t="s">
        <v>357</v>
      </c>
      <c r="AM345" t="s">
        <v>293</v>
      </c>
      <c r="AN345" t="s">
        <v>293</v>
      </c>
      <c r="AO345" t="s">
        <v>296</v>
      </c>
      <c r="AP345" t="s">
        <v>356</v>
      </c>
      <c r="AQ345" t="s">
        <v>293</v>
      </c>
      <c r="AR345" t="s">
        <v>292</v>
      </c>
      <c r="AS345" t="s">
        <v>293</v>
      </c>
      <c r="AT345" t="s">
        <v>293</v>
      </c>
      <c r="AU345" t="s">
        <v>364</v>
      </c>
      <c r="AV345" t="str">
        <f t="shared" si="12"/>
        <v>no_fail</v>
      </c>
    </row>
    <row r="346" spans="1:48" x14ac:dyDescent="0.3">
      <c r="A346" t="s">
        <v>45</v>
      </c>
      <c r="B346" t="s">
        <v>48</v>
      </c>
      <c r="C346" t="s">
        <v>16</v>
      </c>
      <c r="D346" t="s">
        <v>12</v>
      </c>
      <c r="E346" t="str">
        <f t="shared" si="11"/>
        <v>P_T4B-KYY-S_6U7</v>
      </c>
      <c r="F346" t="b">
        <v>1</v>
      </c>
      <c r="G346">
        <v>86.1</v>
      </c>
      <c r="H346">
        <v>0</v>
      </c>
      <c r="I346">
        <v>12546</v>
      </c>
      <c r="J346" s="49" t="s">
        <v>13</v>
      </c>
      <c r="L346" s="16" t="s">
        <v>272</v>
      </c>
      <c r="M346" s="16">
        <v>2</v>
      </c>
      <c r="N346" s="16" t="s">
        <v>277</v>
      </c>
      <c r="O346" s="16" t="s">
        <v>335</v>
      </c>
      <c r="P346" s="15" t="s">
        <v>282</v>
      </c>
      <c r="Q346" t="s">
        <v>371</v>
      </c>
      <c r="R346" t="s">
        <v>371</v>
      </c>
      <c r="S346" s="17" t="s">
        <v>371</v>
      </c>
      <c r="T346" s="16" t="s">
        <v>341</v>
      </c>
      <c r="U346" s="16" t="s">
        <v>340</v>
      </c>
      <c r="V346" s="15" t="s">
        <v>340</v>
      </c>
      <c r="W346" s="15" t="s">
        <v>344</v>
      </c>
      <c r="X346" s="17"/>
      <c r="Y346" t="s">
        <v>349</v>
      </c>
      <c r="Z346" t="s">
        <v>349</v>
      </c>
      <c r="AA346" t="s">
        <v>293</v>
      </c>
      <c r="AB346" t="s">
        <v>354</v>
      </c>
      <c r="AC346" t="s">
        <v>354</v>
      </c>
      <c r="AD346" t="s">
        <v>301</v>
      </c>
      <c r="AE346" t="s">
        <v>293</v>
      </c>
      <c r="AF346" t="s">
        <v>292</v>
      </c>
      <c r="AG346" t="s">
        <v>292</v>
      </c>
      <c r="AH346" t="s">
        <v>293</v>
      </c>
      <c r="AI346" t="s">
        <v>293</v>
      </c>
      <c r="AJ346" t="s">
        <v>302</v>
      </c>
      <c r="AK346" t="s">
        <v>302</v>
      </c>
      <c r="AL346" t="s">
        <v>357</v>
      </c>
      <c r="AM346" t="s">
        <v>293</v>
      </c>
      <c r="AN346" t="s">
        <v>293</v>
      </c>
      <c r="AO346" t="s">
        <v>297</v>
      </c>
      <c r="AP346" t="s">
        <v>356</v>
      </c>
      <c r="AQ346" t="s">
        <v>293</v>
      </c>
      <c r="AR346" t="s">
        <v>292</v>
      </c>
      <c r="AS346" t="s">
        <v>293</v>
      </c>
      <c r="AT346" t="s">
        <v>293</v>
      </c>
      <c r="AU346" t="s">
        <v>364</v>
      </c>
      <c r="AV346" t="str">
        <f t="shared" si="12"/>
        <v>no_fail</v>
      </c>
    </row>
    <row r="347" spans="1:48" x14ac:dyDescent="0.3">
      <c r="A347" t="s">
        <v>45</v>
      </c>
      <c r="B347" t="s">
        <v>48</v>
      </c>
      <c r="C347" t="s">
        <v>20</v>
      </c>
      <c r="D347" t="s">
        <v>12</v>
      </c>
      <c r="E347" t="str">
        <f t="shared" si="11"/>
        <v>P_T4B-KYY-S_7W0</v>
      </c>
      <c r="F347" t="b">
        <v>1</v>
      </c>
      <c r="G347">
        <v>100</v>
      </c>
      <c r="H347">
        <v>1</v>
      </c>
      <c r="I347">
        <v>9111</v>
      </c>
      <c r="J347" s="49" t="s">
        <v>18</v>
      </c>
      <c r="L347" s="16" t="s">
        <v>272</v>
      </c>
      <c r="M347" s="16">
        <v>3</v>
      </c>
      <c r="N347" s="16" t="s">
        <v>277</v>
      </c>
      <c r="O347" s="16" t="s">
        <v>335</v>
      </c>
      <c r="P347" s="15" t="s">
        <v>339</v>
      </c>
      <c r="Q347" t="s">
        <v>371</v>
      </c>
      <c r="R347" t="s">
        <v>371</v>
      </c>
      <c r="S347" s="17" t="s">
        <v>371</v>
      </c>
      <c r="T347" s="16" t="s">
        <v>341</v>
      </c>
      <c r="U347" s="16" t="s">
        <v>340</v>
      </c>
      <c r="V347" s="15" t="s">
        <v>343</v>
      </c>
      <c r="W347" s="15" t="s">
        <v>344</v>
      </c>
      <c r="X347" s="17"/>
      <c r="Y347" t="s">
        <v>349</v>
      </c>
      <c r="Z347" t="s">
        <v>349</v>
      </c>
      <c r="AA347" t="s">
        <v>293</v>
      </c>
      <c r="AB347" t="s">
        <v>353</v>
      </c>
      <c r="AC347" t="s">
        <v>297</v>
      </c>
      <c r="AD347" t="s">
        <v>301</v>
      </c>
      <c r="AE347" t="s">
        <v>292</v>
      </c>
      <c r="AF347" t="s">
        <v>293</v>
      </c>
      <c r="AG347" t="s">
        <v>292</v>
      </c>
      <c r="AH347" t="s">
        <v>293</v>
      </c>
      <c r="AI347" t="s">
        <v>293</v>
      </c>
      <c r="AJ347" t="s">
        <v>302</v>
      </c>
      <c r="AK347" t="s">
        <v>302</v>
      </c>
      <c r="AL347" t="s">
        <v>302</v>
      </c>
      <c r="AM347" t="s">
        <v>293</v>
      </c>
      <c r="AN347" t="s">
        <v>293</v>
      </c>
      <c r="AO347" t="s">
        <v>297</v>
      </c>
      <c r="AP347" t="s">
        <v>298</v>
      </c>
      <c r="AQ347" t="s">
        <v>293</v>
      </c>
      <c r="AR347" t="s">
        <v>292</v>
      </c>
      <c r="AS347" t="s">
        <v>293</v>
      </c>
      <c r="AT347" t="s">
        <v>293</v>
      </c>
      <c r="AU347" t="s">
        <v>364</v>
      </c>
      <c r="AV347" t="str">
        <f t="shared" si="12"/>
        <v>break</v>
      </c>
    </row>
    <row r="348" spans="1:48" x14ac:dyDescent="0.3">
      <c r="A348" t="s">
        <v>45</v>
      </c>
      <c r="B348" t="s">
        <v>48</v>
      </c>
      <c r="C348" t="s">
        <v>23</v>
      </c>
      <c r="D348" t="s">
        <v>29</v>
      </c>
      <c r="E348" t="str">
        <f t="shared" si="11"/>
        <v>P_T4B-ZSB-S_0T2</v>
      </c>
      <c r="F348" t="b">
        <v>1</v>
      </c>
      <c r="G348">
        <v>100</v>
      </c>
      <c r="H348">
        <v>1</v>
      </c>
      <c r="I348">
        <v>8376</v>
      </c>
      <c r="J348" s="49" t="s">
        <v>18</v>
      </c>
      <c r="L348" s="16" t="s">
        <v>272</v>
      </c>
      <c r="M348" s="16">
        <v>3</v>
      </c>
      <c r="N348" s="16" t="s">
        <v>277</v>
      </c>
      <c r="O348" s="16" t="s">
        <v>335</v>
      </c>
      <c r="P348" s="15" t="s">
        <v>281</v>
      </c>
      <c r="Q348" t="s">
        <v>283</v>
      </c>
      <c r="R348" t="s">
        <v>282</v>
      </c>
      <c r="S348" s="17" t="s">
        <v>371</v>
      </c>
      <c r="T348" s="16" t="s">
        <v>340</v>
      </c>
      <c r="U348" s="16" t="s">
        <v>340</v>
      </c>
      <c r="V348" s="15" t="s">
        <v>343</v>
      </c>
      <c r="W348" s="15" t="s">
        <v>348</v>
      </c>
      <c r="X348" s="17"/>
      <c r="Y348" t="s">
        <v>349</v>
      </c>
      <c r="Z348" t="s">
        <v>349</v>
      </c>
      <c r="AA348" t="s">
        <v>293</v>
      </c>
      <c r="AB348" t="s">
        <v>354</v>
      </c>
      <c r="AC348" t="s">
        <v>296</v>
      </c>
      <c r="AD348" t="s">
        <v>300</v>
      </c>
      <c r="AE348" t="s">
        <v>293</v>
      </c>
      <c r="AF348" t="s">
        <v>292</v>
      </c>
      <c r="AG348" t="s">
        <v>293</v>
      </c>
      <c r="AH348" t="s">
        <v>292</v>
      </c>
      <c r="AI348" t="s">
        <v>293</v>
      </c>
      <c r="AJ348" t="s">
        <v>358</v>
      </c>
      <c r="AK348" t="s">
        <v>358</v>
      </c>
      <c r="AL348" t="s">
        <v>359</v>
      </c>
      <c r="AM348" t="s">
        <v>293</v>
      </c>
      <c r="AN348" t="s">
        <v>293</v>
      </c>
      <c r="AO348" t="s">
        <v>296</v>
      </c>
      <c r="AP348" t="s">
        <v>356</v>
      </c>
      <c r="AQ348" t="s">
        <v>293</v>
      </c>
      <c r="AR348" t="s">
        <v>292</v>
      </c>
      <c r="AS348" t="s">
        <v>293</v>
      </c>
      <c r="AT348" t="s">
        <v>293</v>
      </c>
      <c r="AU348" t="s">
        <v>364</v>
      </c>
      <c r="AV348" t="str">
        <f t="shared" si="12"/>
        <v>break</v>
      </c>
    </row>
    <row r="349" spans="1:48" x14ac:dyDescent="0.3">
      <c r="A349" t="s">
        <v>45</v>
      </c>
      <c r="B349" t="s">
        <v>48</v>
      </c>
      <c r="C349" t="s">
        <v>25</v>
      </c>
      <c r="D349" t="s">
        <v>29</v>
      </c>
      <c r="E349" t="str">
        <f t="shared" si="11"/>
        <v>P_T4B-ZSB-S_1J8</v>
      </c>
      <c r="F349" t="b">
        <v>1</v>
      </c>
      <c r="G349">
        <v>100</v>
      </c>
      <c r="H349">
        <v>1</v>
      </c>
      <c r="I349">
        <v>10687</v>
      </c>
      <c r="J349" s="49" t="s">
        <v>18</v>
      </c>
      <c r="L349" s="16" t="s">
        <v>272</v>
      </c>
      <c r="M349" s="16">
        <v>3</v>
      </c>
      <c r="N349" s="16" t="s">
        <v>277</v>
      </c>
      <c r="O349" s="16" t="s">
        <v>335</v>
      </c>
      <c r="P349" s="15" t="s">
        <v>281</v>
      </c>
      <c r="Q349" t="s">
        <v>283</v>
      </c>
      <c r="R349" t="s">
        <v>282</v>
      </c>
      <c r="S349" s="17" t="s">
        <v>371</v>
      </c>
      <c r="T349" s="16" t="s">
        <v>340</v>
      </c>
      <c r="U349" s="16" t="s">
        <v>342</v>
      </c>
      <c r="V349" s="15" t="s">
        <v>343</v>
      </c>
      <c r="W349" s="15" t="s">
        <v>344</v>
      </c>
      <c r="X349" s="17" t="s">
        <v>346</v>
      </c>
      <c r="Y349" t="s">
        <v>349</v>
      </c>
      <c r="Z349" t="s">
        <v>349</v>
      </c>
      <c r="AA349" t="s">
        <v>293</v>
      </c>
      <c r="AB349" t="s">
        <v>353</v>
      </c>
      <c r="AC349" t="s">
        <v>355</v>
      </c>
      <c r="AD349" t="s">
        <v>300</v>
      </c>
      <c r="AE349" t="s">
        <v>292</v>
      </c>
      <c r="AF349" t="s">
        <v>293</v>
      </c>
      <c r="AG349" t="s">
        <v>292</v>
      </c>
      <c r="AH349" t="s">
        <v>292</v>
      </c>
      <c r="AI349" t="s">
        <v>293</v>
      </c>
      <c r="AJ349" t="s">
        <v>302</v>
      </c>
      <c r="AK349" t="s">
        <v>302</v>
      </c>
      <c r="AL349" t="s">
        <v>359</v>
      </c>
      <c r="AM349" t="s">
        <v>293</v>
      </c>
      <c r="AN349" t="s">
        <v>293</v>
      </c>
      <c r="AO349" t="s">
        <v>297</v>
      </c>
      <c r="AP349" t="s">
        <v>298</v>
      </c>
      <c r="AQ349" t="s">
        <v>293</v>
      </c>
      <c r="AR349" t="s">
        <v>292</v>
      </c>
      <c r="AS349" t="s">
        <v>293</v>
      </c>
      <c r="AT349" t="s">
        <v>293</v>
      </c>
      <c r="AU349" t="s">
        <v>364</v>
      </c>
      <c r="AV349" t="str">
        <f t="shared" si="12"/>
        <v>break</v>
      </c>
    </row>
    <row r="350" spans="1:48" x14ac:dyDescent="0.3">
      <c r="A350" t="s">
        <v>45</v>
      </c>
      <c r="B350" t="s">
        <v>48</v>
      </c>
      <c r="C350" t="s">
        <v>24</v>
      </c>
      <c r="D350" t="s">
        <v>29</v>
      </c>
      <c r="E350" t="str">
        <f t="shared" si="11"/>
        <v>P_T4B-ZSB-S_1U0</v>
      </c>
      <c r="F350" t="b">
        <v>1</v>
      </c>
      <c r="G350">
        <v>96.3</v>
      </c>
      <c r="H350">
        <v>0</v>
      </c>
      <c r="I350">
        <v>9500</v>
      </c>
      <c r="J350" s="49" t="s">
        <v>13</v>
      </c>
      <c r="L350" s="16" t="s">
        <v>272</v>
      </c>
      <c r="M350" s="16">
        <v>3</v>
      </c>
      <c r="N350" s="16" t="s">
        <v>277</v>
      </c>
      <c r="O350" s="16" t="s">
        <v>335</v>
      </c>
      <c r="P350" s="15" t="s">
        <v>281</v>
      </c>
      <c r="Q350" t="s">
        <v>283</v>
      </c>
      <c r="R350" t="s">
        <v>282</v>
      </c>
      <c r="S350" s="17" t="s">
        <v>371</v>
      </c>
      <c r="T350" s="16" t="s">
        <v>341</v>
      </c>
      <c r="U350" s="16" t="s">
        <v>340</v>
      </c>
      <c r="V350" s="15" t="s">
        <v>343</v>
      </c>
      <c r="W350" s="15" t="s">
        <v>344</v>
      </c>
      <c r="X350" s="17" t="s">
        <v>345</v>
      </c>
      <c r="Y350" t="s">
        <v>349</v>
      </c>
      <c r="Z350" t="s">
        <v>349</v>
      </c>
      <c r="AA350" t="s">
        <v>293</v>
      </c>
      <c r="AB350" t="s">
        <v>353</v>
      </c>
      <c r="AC350" t="s">
        <v>296</v>
      </c>
      <c r="AD350" t="s">
        <v>301</v>
      </c>
      <c r="AE350" t="s">
        <v>292</v>
      </c>
      <c r="AF350" t="s">
        <v>293</v>
      </c>
      <c r="AG350" t="s">
        <v>292</v>
      </c>
      <c r="AH350" t="s">
        <v>292</v>
      </c>
      <c r="AI350" t="s">
        <v>293</v>
      </c>
      <c r="AJ350" t="s">
        <v>302</v>
      </c>
      <c r="AK350" t="s">
        <v>359</v>
      </c>
      <c r="AL350" t="s">
        <v>359</v>
      </c>
      <c r="AM350" t="s">
        <v>293</v>
      </c>
      <c r="AN350" t="s">
        <v>293</v>
      </c>
      <c r="AO350" t="s">
        <v>297</v>
      </c>
      <c r="AP350" t="s">
        <v>298</v>
      </c>
      <c r="AQ350" t="s">
        <v>293</v>
      </c>
      <c r="AR350" t="s">
        <v>292</v>
      </c>
      <c r="AS350" t="s">
        <v>293</v>
      </c>
      <c r="AT350" t="s">
        <v>293</v>
      </c>
      <c r="AU350" t="s">
        <v>364</v>
      </c>
      <c r="AV350" t="str">
        <f t="shared" si="12"/>
        <v>no_fail</v>
      </c>
    </row>
    <row r="351" spans="1:48" x14ac:dyDescent="0.3">
      <c r="A351" t="s">
        <v>45</v>
      </c>
      <c r="B351" t="s">
        <v>48</v>
      </c>
      <c r="C351" t="s">
        <v>21</v>
      </c>
      <c r="D351" t="s">
        <v>29</v>
      </c>
      <c r="E351" t="str">
        <f t="shared" si="11"/>
        <v>P_T4B-ZSB-S_3X6</v>
      </c>
      <c r="F351" t="b">
        <v>1</v>
      </c>
      <c r="G351">
        <v>34.6</v>
      </c>
      <c r="H351">
        <v>0</v>
      </c>
      <c r="I351">
        <v>15444</v>
      </c>
      <c r="J351" s="49" t="s">
        <v>13</v>
      </c>
      <c r="L351" s="16" t="s">
        <v>272</v>
      </c>
      <c r="M351" s="16">
        <v>3</v>
      </c>
      <c r="N351" s="16" t="s">
        <v>277</v>
      </c>
      <c r="O351" s="16" t="s">
        <v>335</v>
      </c>
      <c r="P351" s="15" t="s">
        <v>281</v>
      </c>
      <c r="Q351" t="s">
        <v>283</v>
      </c>
      <c r="R351" t="s">
        <v>282</v>
      </c>
      <c r="S351" s="17" t="s">
        <v>371</v>
      </c>
      <c r="T351" s="16" t="s">
        <v>341</v>
      </c>
      <c r="U351" s="16" t="s">
        <v>340</v>
      </c>
      <c r="V351" s="15" t="s">
        <v>343</v>
      </c>
      <c r="W351" s="15" t="s">
        <v>344</v>
      </c>
      <c r="X351" s="17"/>
      <c r="Y351" t="s">
        <v>349</v>
      </c>
      <c r="Z351" t="s">
        <v>349</v>
      </c>
      <c r="AA351" t="s">
        <v>293</v>
      </c>
      <c r="AB351" t="s">
        <v>353</v>
      </c>
      <c r="AC351" t="s">
        <v>296</v>
      </c>
      <c r="AD351" t="s">
        <v>301</v>
      </c>
      <c r="AE351" t="s">
        <v>293</v>
      </c>
      <c r="AF351" t="s">
        <v>292</v>
      </c>
      <c r="AG351" t="s">
        <v>292</v>
      </c>
      <c r="AH351" t="s">
        <v>292</v>
      </c>
      <c r="AI351" t="s">
        <v>293</v>
      </c>
      <c r="AJ351" t="s">
        <v>302</v>
      </c>
      <c r="AK351" t="s">
        <v>302</v>
      </c>
      <c r="AL351" t="s">
        <v>359</v>
      </c>
      <c r="AM351" t="s">
        <v>293</v>
      </c>
      <c r="AN351" t="s">
        <v>293</v>
      </c>
      <c r="AO351" t="s">
        <v>297</v>
      </c>
      <c r="AP351" t="s">
        <v>356</v>
      </c>
      <c r="AQ351" t="s">
        <v>293</v>
      </c>
      <c r="AR351" t="s">
        <v>292</v>
      </c>
      <c r="AS351" t="s">
        <v>293</v>
      </c>
      <c r="AT351" t="s">
        <v>293</v>
      </c>
      <c r="AU351" t="s">
        <v>364</v>
      </c>
      <c r="AV351" t="str">
        <f t="shared" si="12"/>
        <v>no_fail</v>
      </c>
    </row>
    <row r="352" spans="1:48" x14ac:dyDescent="0.3">
      <c r="A352" t="s">
        <v>45</v>
      </c>
      <c r="B352" t="s">
        <v>48</v>
      </c>
      <c r="C352" t="s">
        <v>30</v>
      </c>
      <c r="D352" t="s">
        <v>29</v>
      </c>
      <c r="E352" t="str">
        <f t="shared" si="11"/>
        <v>P_T4B-ZSB-S_3X7</v>
      </c>
      <c r="F352" t="b">
        <v>1</v>
      </c>
      <c r="G352">
        <v>99.9</v>
      </c>
      <c r="H352">
        <v>0</v>
      </c>
      <c r="I352">
        <v>14853</v>
      </c>
      <c r="J352" s="49" t="s">
        <v>18</v>
      </c>
      <c r="L352" s="16" t="s">
        <v>272</v>
      </c>
      <c r="M352" s="16">
        <v>3</v>
      </c>
      <c r="N352" s="16" t="s">
        <v>333</v>
      </c>
      <c r="O352" s="16" t="s">
        <v>278</v>
      </c>
      <c r="P352" s="15" t="s">
        <v>281</v>
      </c>
      <c r="Q352" t="s">
        <v>273</v>
      </c>
      <c r="R352" t="s">
        <v>371</v>
      </c>
      <c r="S352" s="17" t="s">
        <v>371</v>
      </c>
      <c r="T352" s="16" t="s">
        <v>341</v>
      </c>
      <c r="U352" s="16" t="s">
        <v>340</v>
      </c>
      <c r="V352" s="15" t="s">
        <v>343</v>
      </c>
      <c r="W352" s="15" t="s">
        <v>344</v>
      </c>
      <c r="X352" s="17"/>
      <c r="Y352" t="s">
        <v>349</v>
      </c>
      <c r="Z352" t="s">
        <v>349</v>
      </c>
      <c r="AA352" t="s">
        <v>293</v>
      </c>
      <c r="AB352" t="s">
        <v>353</v>
      </c>
      <c r="AC352" t="s">
        <v>296</v>
      </c>
      <c r="AD352" t="s">
        <v>301</v>
      </c>
      <c r="AE352" t="s">
        <v>292</v>
      </c>
      <c r="AF352" t="s">
        <v>292</v>
      </c>
      <c r="AG352" t="s">
        <v>292</v>
      </c>
      <c r="AH352" t="s">
        <v>292</v>
      </c>
      <c r="AI352" t="s">
        <v>293</v>
      </c>
      <c r="AJ352" t="s">
        <v>302</v>
      </c>
      <c r="AK352" t="s">
        <v>359</v>
      </c>
      <c r="AL352" t="s">
        <v>359</v>
      </c>
      <c r="AM352" t="s">
        <v>293</v>
      </c>
      <c r="AN352" t="s">
        <v>293</v>
      </c>
      <c r="AO352" t="s">
        <v>297</v>
      </c>
      <c r="AP352" t="s">
        <v>356</v>
      </c>
      <c r="AQ352" t="s">
        <v>293</v>
      </c>
      <c r="AR352" t="s">
        <v>292</v>
      </c>
      <c r="AS352" t="s">
        <v>293</v>
      </c>
      <c r="AT352" t="s">
        <v>293</v>
      </c>
      <c r="AU352" t="s">
        <v>364</v>
      </c>
      <c r="AV352" t="str">
        <f t="shared" si="12"/>
        <v>car_stuck</v>
      </c>
    </row>
    <row r="353" spans="1:49" x14ac:dyDescent="0.3">
      <c r="A353" t="s">
        <v>45</v>
      </c>
      <c r="B353" t="s">
        <v>48</v>
      </c>
      <c r="C353" t="s">
        <v>26</v>
      </c>
      <c r="D353" t="s">
        <v>29</v>
      </c>
      <c r="E353" t="str">
        <f t="shared" si="11"/>
        <v>P_T4B-ZSB-S_8O8</v>
      </c>
      <c r="F353" t="b">
        <v>1</v>
      </c>
      <c r="G353">
        <v>100</v>
      </c>
      <c r="H353">
        <v>1</v>
      </c>
      <c r="I353">
        <v>8481</v>
      </c>
      <c r="J353" s="49" t="s">
        <v>18</v>
      </c>
      <c r="L353" s="16" t="s">
        <v>273</v>
      </c>
      <c r="M353" s="16">
        <v>2</v>
      </c>
      <c r="N353" s="16" t="s">
        <v>333</v>
      </c>
      <c r="O353" s="16" t="s">
        <v>278</v>
      </c>
      <c r="P353" s="15" t="s">
        <v>281</v>
      </c>
      <c r="Q353" t="s">
        <v>273</v>
      </c>
      <c r="R353" t="s">
        <v>371</v>
      </c>
      <c r="S353" s="17" t="s">
        <v>371</v>
      </c>
      <c r="T353" s="16" t="s">
        <v>341</v>
      </c>
      <c r="U353" s="16" t="s">
        <v>340</v>
      </c>
      <c r="V353" s="15" t="s">
        <v>343</v>
      </c>
      <c r="W353" s="15" t="s">
        <v>344</v>
      </c>
      <c r="X353" s="17" t="s">
        <v>291</v>
      </c>
      <c r="Y353" t="s">
        <v>349</v>
      </c>
      <c r="Z353" t="s">
        <v>349</v>
      </c>
      <c r="AA353" t="s">
        <v>293</v>
      </c>
      <c r="AB353" t="s">
        <v>353</v>
      </c>
      <c r="AC353" t="s">
        <v>296</v>
      </c>
      <c r="AD353" t="s">
        <v>301</v>
      </c>
      <c r="AE353" t="s">
        <v>292</v>
      </c>
      <c r="AF353" t="s">
        <v>293</v>
      </c>
      <c r="AG353" t="s">
        <v>292</v>
      </c>
      <c r="AH353" t="s">
        <v>292</v>
      </c>
      <c r="AI353" t="s">
        <v>293</v>
      </c>
      <c r="AJ353" t="s">
        <v>302</v>
      </c>
      <c r="AK353" t="s">
        <v>357</v>
      </c>
      <c r="AL353" t="s">
        <v>359</v>
      </c>
      <c r="AM353" t="s">
        <v>293</v>
      </c>
      <c r="AN353" t="s">
        <v>293</v>
      </c>
      <c r="AO353" t="s">
        <v>297</v>
      </c>
      <c r="AP353" t="s">
        <v>298</v>
      </c>
      <c r="AQ353" t="s">
        <v>293</v>
      </c>
      <c r="AR353" t="s">
        <v>292</v>
      </c>
      <c r="AS353" t="s">
        <v>293</v>
      </c>
      <c r="AT353" t="s">
        <v>293</v>
      </c>
      <c r="AU353" t="s">
        <v>364</v>
      </c>
      <c r="AV353" t="str">
        <f t="shared" si="12"/>
        <v>break</v>
      </c>
    </row>
    <row r="354" spans="1:49" x14ac:dyDescent="0.3">
      <c r="A354" t="s">
        <v>45</v>
      </c>
      <c r="B354" t="s">
        <v>48</v>
      </c>
      <c r="C354" t="s">
        <v>22</v>
      </c>
      <c r="D354" t="s">
        <v>29</v>
      </c>
      <c r="E354" t="str">
        <f t="shared" si="11"/>
        <v>P_T4B-ZSB-S_9B4</v>
      </c>
      <c r="F354" t="b">
        <v>1</v>
      </c>
      <c r="G354">
        <v>60.2</v>
      </c>
      <c r="H354">
        <v>0</v>
      </c>
      <c r="I354">
        <v>12368</v>
      </c>
      <c r="J354" s="49" t="s">
        <v>13</v>
      </c>
      <c r="L354" s="16" t="s">
        <v>272</v>
      </c>
      <c r="M354" s="16">
        <v>3</v>
      </c>
      <c r="N354" s="16" t="s">
        <v>277</v>
      </c>
      <c r="O354" s="16" t="s">
        <v>335</v>
      </c>
      <c r="P354" s="15" t="s">
        <v>281</v>
      </c>
      <c r="Q354" t="s">
        <v>283</v>
      </c>
      <c r="R354" t="s">
        <v>282</v>
      </c>
      <c r="S354" s="17" t="s">
        <v>371</v>
      </c>
      <c r="T354" s="16" t="s">
        <v>341</v>
      </c>
      <c r="U354" s="16" t="s">
        <v>340</v>
      </c>
      <c r="V354" s="15" t="s">
        <v>343</v>
      </c>
      <c r="W354" s="15" t="s">
        <v>344</v>
      </c>
      <c r="X354" s="17" t="s">
        <v>345</v>
      </c>
      <c r="Y354" t="s">
        <v>349</v>
      </c>
      <c r="Z354" t="s">
        <v>349</v>
      </c>
      <c r="AA354" t="s">
        <v>293</v>
      </c>
      <c r="AB354" t="s">
        <v>353</v>
      </c>
      <c r="AC354" t="s">
        <v>296</v>
      </c>
      <c r="AD354" t="s">
        <v>301</v>
      </c>
      <c r="AE354" t="s">
        <v>293</v>
      </c>
      <c r="AF354" t="s">
        <v>292</v>
      </c>
      <c r="AG354" t="s">
        <v>292</v>
      </c>
      <c r="AH354" t="s">
        <v>292</v>
      </c>
      <c r="AI354" t="s">
        <v>293</v>
      </c>
      <c r="AJ354" t="s">
        <v>302</v>
      </c>
      <c r="AK354" t="s">
        <v>302</v>
      </c>
      <c r="AL354" t="s">
        <v>359</v>
      </c>
      <c r="AM354" t="s">
        <v>293</v>
      </c>
      <c r="AN354" t="s">
        <v>293</v>
      </c>
      <c r="AO354" t="s">
        <v>297</v>
      </c>
      <c r="AP354" t="s">
        <v>356</v>
      </c>
      <c r="AQ354" t="s">
        <v>293</v>
      </c>
      <c r="AR354" t="s">
        <v>292</v>
      </c>
      <c r="AS354" t="s">
        <v>293</v>
      </c>
      <c r="AT354" t="s">
        <v>293</v>
      </c>
      <c r="AU354" t="s">
        <v>364</v>
      </c>
      <c r="AV354" t="str">
        <f t="shared" si="12"/>
        <v>no_fail</v>
      </c>
    </row>
    <row r="355" spans="1:49" x14ac:dyDescent="0.3">
      <c r="A355" t="s">
        <v>45</v>
      </c>
      <c r="B355" t="s">
        <v>48</v>
      </c>
      <c r="C355" t="s">
        <v>31</v>
      </c>
      <c r="D355" t="s">
        <v>29</v>
      </c>
      <c r="E355" t="str">
        <f t="shared" si="11"/>
        <v>P_T4B-ZSB-S_9E0</v>
      </c>
      <c r="F355" t="b">
        <v>1</v>
      </c>
      <c r="G355">
        <v>68.900000000000006</v>
      </c>
      <c r="H355">
        <v>0</v>
      </c>
      <c r="I355">
        <v>14714</v>
      </c>
      <c r="J355" s="49" t="s">
        <v>13</v>
      </c>
      <c r="L355" s="16" t="s">
        <v>272</v>
      </c>
      <c r="M355" s="16">
        <v>3</v>
      </c>
      <c r="N355" s="16" t="s">
        <v>333</v>
      </c>
      <c r="O355" s="16" t="s">
        <v>278</v>
      </c>
      <c r="P355" s="15" t="s">
        <v>281</v>
      </c>
      <c r="Q355" t="s">
        <v>273</v>
      </c>
      <c r="R355" t="s">
        <v>371</v>
      </c>
      <c r="S355" s="17" t="s">
        <v>371</v>
      </c>
      <c r="T355" s="16" t="s">
        <v>341</v>
      </c>
      <c r="U355" s="16" t="s">
        <v>340</v>
      </c>
      <c r="V355" s="15" t="s">
        <v>343</v>
      </c>
      <c r="W355" s="15" t="s">
        <v>344</v>
      </c>
      <c r="X355" s="17"/>
      <c r="Y355" t="s">
        <v>349</v>
      </c>
      <c r="Z355" t="s">
        <v>349</v>
      </c>
      <c r="AA355" t="s">
        <v>293</v>
      </c>
      <c r="AB355" t="s">
        <v>353</v>
      </c>
      <c r="AC355" t="s">
        <v>296</v>
      </c>
      <c r="AD355" t="s">
        <v>301</v>
      </c>
      <c r="AE355" t="s">
        <v>292</v>
      </c>
      <c r="AF355" t="s">
        <v>292</v>
      </c>
      <c r="AG355" t="s">
        <v>292</v>
      </c>
      <c r="AH355" t="s">
        <v>292</v>
      </c>
      <c r="AI355" t="s">
        <v>293</v>
      </c>
      <c r="AJ355" t="s">
        <v>302</v>
      </c>
      <c r="AK355" t="s">
        <v>359</v>
      </c>
      <c r="AL355" t="s">
        <v>359</v>
      </c>
      <c r="AM355" t="s">
        <v>293</v>
      </c>
      <c r="AN355" t="s">
        <v>293</v>
      </c>
      <c r="AO355" t="s">
        <v>297</v>
      </c>
      <c r="AP355" t="s">
        <v>356</v>
      </c>
      <c r="AQ355" t="s">
        <v>293</v>
      </c>
      <c r="AR355" t="s">
        <v>292</v>
      </c>
      <c r="AS355" t="s">
        <v>293</v>
      </c>
      <c r="AT355" t="s">
        <v>293</v>
      </c>
      <c r="AU355" t="s">
        <v>364</v>
      </c>
      <c r="AV355" t="str">
        <f t="shared" si="12"/>
        <v>no_fail</v>
      </c>
    </row>
    <row r="356" spans="1:49" x14ac:dyDescent="0.3">
      <c r="A356" t="s">
        <v>45</v>
      </c>
      <c r="B356" t="s">
        <v>48</v>
      </c>
      <c r="C356" t="s">
        <v>27</v>
      </c>
      <c r="D356" t="s">
        <v>29</v>
      </c>
      <c r="E356" t="str">
        <f t="shared" si="11"/>
        <v>P_T4B-ZSB-S_9F6</v>
      </c>
      <c r="F356" t="b">
        <v>1</v>
      </c>
      <c r="G356">
        <v>100</v>
      </c>
      <c r="H356">
        <v>1</v>
      </c>
      <c r="I356">
        <v>11209</v>
      </c>
      <c r="J356" s="49" t="s">
        <v>18</v>
      </c>
      <c r="L356" s="16" t="s">
        <v>273</v>
      </c>
      <c r="M356" s="16">
        <v>2</v>
      </c>
      <c r="N356" s="16" t="s">
        <v>333</v>
      </c>
      <c r="O356" s="16" t="s">
        <v>278</v>
      </c>
      <c r="P356" s="15" t="s">
        <v>281</v>
      </c>
      <c r="Q356" t="s">
        <v>273</v>
      </c>
      <c r="R356" t="s">
        <v>371</v>
      </c>
      <c r="S356" s="17" t="s">
        <v>371</v>
      </c>
      <c r="T356" s="16" t="s">
        <v>341</v>
      </c>
      <c r="U356" s="16" t="s">
        <v>340</v>
      </c>
      <c r="V356" s="15" t="s">
        <v>343</v>
      </c>
      <c r="W356" s="15" t="s">
        <v>344</v>
      </c>
      <c r="X356" s="17"/>
      <c r="Y356" t="s">
        <v>349</v>
      </c>
      <c r="Z356" t="s">
        <v>349</v>
      </c>
      <c r="AA356" t="s">
        <v>293</v>
      </c>
      <c r="AB356" t="s">
        <v>353</v>
      </c>
      <c r="AC356" t="s">
        <v>296</v>
      </c>
      <c r="AD356" t="s">
        <v>301</v>
      </c>
      <c r="AE356" t="s">
        <v>292</v>
      </c>
      <c r="AF356" t="s">
        <v>292</v>
      </c>
      <c r="AG356" t="s">
        <v>292</v>
      </c>
      <c r="AH356" t="s">
        <v>292</v>
      </c>
      <c r="AI356" t="s">
        <v>293</v>
      </c>
      <c r="AJ356" t="s">
        <v>302</v>
      </c>
      <c r="AK356" t="s">
        <v>357</v>
      </c>
      <c r="AL356" t="s">
        <v>359</v>
      </c>
      <c r="AM356" t="s">
        <v>293</v>
      </c>
      <c r="AN356" t="s">
        <v>293</v>
      </c>
      <c r="AO356" t="s">
        <v>297</v>
      </c>
      <c r="AP356" t="s">
        <v>356</v>
      </c>
      <c r="AQ356" t="s">
        <v>293</v>
      </c>
      <c r="AR356" t="s">
        <v>292</v>
      </c>
      <c r="AS356" t="s">
        <v>293</v>
      </c>
      <c r="AT356" t="s">
        <v>293</v>
      </c>
      <c r="AU356" t="s">
        <v>364</v>
      </c>
      <c r="AV356" t="str">
        <f t="shared" si="12"/>
        <v>break</v>
      </c>
    </row>
    <row r="357" spans="1:49" x14ac:dyDescent="0.3">
      <c r="A357" t="s">
        <v>45</v>
      </c>
      <c r="B357" t="s">
        <v>48</v>
      </c>
      <c r="C357" t="s">
        <v>28</v>
      </c>
      <c r="D357" t="s">
        <v>29</v>
      </c>
      <c r="E357" t="str">
        <f t="shared" si="11"/>
        <v>P_T4B-ZSB-S_9T2</v>
      </c>
      <c r="F357" t="b">
        <v>1</v>
      </c>
      <c r="G357">
        <v>100</v>
      </c>
      <c r="H357">
        <v>1</v>
      </c>
      <c r="I357">
        <v>13193</v>
      </c>
      <c r="J357" s="49" t="s">
        <v>18</v>
      </c>
      <c r="L357" s="16" t="s">
        <v>272</v>
      </c>
      <c r="M357" s="16">
        <v>2</v>
      </c>
      <c r="N357" s="16" t="s">
        <v>333</v>
      </c>
      <c r="O357" s="16" t="s">
        <v>278</v>
      </c>
      <c r="P357" s="15" t="s">
        <v>281</v>
      </c>
      <c r="Q357" t="s">
        <v>273</v>
      </c>
      <c r="R357" t="s">
        <v>371</v>
      </c>
      <c r="S357" s="17" t="s">
        <v>371</v>
      </c>
      <c r="T357" s="16" t="s">
        <v>341</v>
      </c>
      <c r="U357" s="16" t="s">
        <v>340</v>
      </c>
      <c r="V357" s="15" t="s">
        <v>343</v>
      </c>
      <c r="W357" s="15" t="s">
        <v>344</v>
      </c>
      <c r="X357" s="17"/>
      <c r="Y357" t="s">
        <v>349</v>
      </c>
      <c r="Z357" t="s">
        <v>349</v>
      </c>
      <c r="AA357" t="s">
        <v>293</v>
      </c>
      <c r="AB357" t="s">
        <v>353</v>
      </c>
      <c r="AC357" t="s">
        <v>296</v>
      </c>
      <c r="AD357" t="s">
        <v>301</v>
      </c>
      <c r="AE357" t="s">
        <v>292</v>
      </c>
      <c r="AF357" t="s">
        <v>292</v>
      </c>
      <c r="AG357" t="s">
        <v>292</v>
      </c>
      <c r="AH357" t="s">
        <v>292</v>
      </c>
      <c r="AI357" t="s">
        <v>293</v>
      </c>
      <c r="AJ357" t="s">
        <v>302</v>
      </c>
      <c r="AK357" t="s">
        <v>357</v>
      </c>
      <c r="AL357" t="s">
        <v>359</v>
      </c>
      <c r="AM357" t="s">
        <v>293</v>
      </c>
      <c r="AN357" t="s">
        <v>293</v>
      </c>
      <c r="AO357" t="s">
        <v>297</v>
      </c>
      <c r="AP357" t="s">
        <v>356</v>
      </c>
      <c r="AQ357" t="s">
        <v>293</v>
      </c>
      <c r="AR357" t="s">
        <v>292</v>
      </c>
      <c r="AS357" t="s">
        <v>293</v>
      </c>
      <c r="AT357" t="s">
        <v>293</v>
      </c>
      <c r="AU357" t="s">
        <v>364</v>
      </c>
      <c r="AV357" t="str">
        <f t="shared" si="12"/>
        <v>break</v>
      </c>
    </row>
    <row r="358" spans="1:49" x14ac:dyDescent="0.3">
      <c r="A358" s="38" t="s">
        <v>9</v>
      </c>
      <c r="B358" s="38" t="s">
        <v>56</v>
      </c>
      <c r="C358" s="38" t="s">
        <v>14</v>
      </c>
      <c r="D358" s="38" t="s">
        <v>12</v>
      </c>
      <c r="E358" s="38" t="str">
        <f t="shared" si="11"/>
        <v>P_V1M-KYY-S_1B0</v>
      </c>
      <c r="F358" s="38" t="b">
        <v>1</v>
      </c>
      <c r="G358" s="38">
        <v>99.9</v>
      </c>
      <c r="H358" s="38">
        <v>0</v>
      </c>
      <c r="I358" s="38">
        <v>4686</v>
      </c>
      <c r="J358" s="38" t="s">
        <v>18</v>
      </c>
      <c r="K358" s="38"/>
      <c r="L358" s="39" t="s">
        <v>272</v>
      </c>
      <c r="M358" s="39">
        <v>2</v>
      </c>
      <c r="N358" s="39" t="s">
        <v>333</v>
      </c>
      <c r="O358" s="39" t="s">
        <v>278</v>
      </c>
      <c r="P358" s="40" t="s">
        <v>282</v>
      </c>
      <c r="Q358" s="38" t="s">
        <v>371</v>
      </c>
      <c r="R358" s="38" t="s">
        <v>371</v>
      </c>
      <c r="S358" s="41" t="s">
        <v>371</v>
      </c>
      <c r="T358" s="39" t="s">
        <v>340</v>
      </c>
      <c r="U358" s="39" t="s">
        <v>342</v>
      </c>
      <c r="V358" s="40" t="s">
        <v>343</v>
      </c>
      <c r="W358" s="40" t="s">
        <v>344</v>
      </c>
      <c r="X358" s="41"/>
      <c r="Y358" s="38" t="s">
        <v>349</v>
      </c>
      <c r="Z358" s="38" t="s">
        <v>349</v>
      </c>
      <c r="AA358" s="38" t="s">
        <v>293</v>
      </c>
      <c r="AB358" s="38" t="s">
        <v>352</v>
      </c>
      <c r="AC358" s="38" t="s">
        <v>297</v>
      </c>
      <c r="AD358" s="38" t="s">
        <v>300</v>
      </c>
      <c r="AE358" s="38" t="s">
        <v>293</v>
      </c>
      <c r="AF358" s="38" t="s">
        <v>292</v>
      </c>
      <c r="AG358" s="38" t="s">
        <v>292</v>
      </c>
      <c r="AH358" s="38" t="s">
        <v>293</v>
      </c>
      <c r="AI358" s="38" t="s">
        <v>293</v>
      </c>
      <c r="AJ358" s="38" t="s">
        <v>302</v>
      </c>
      <c r="AK358" s="38" t="s">
        <v>357</v>
      </c>
      <c r="AL358" s="38" t="s">
        <v>302</v>
      </c>
      <c r="AM358" s="38" t="s">
        <v>293</v>
      </c>
      <c r="AN358" s="38" t="s">
        <v>293</v>
      </c>
      <c r="AO358" s="38" t="s">
        <v>297</v>
      </c>
      <c r="AP358" s="38" t="s">
        <v>356</v>
      </c>
      <c r="AQ358" s="38" t="s">
        <v>293</v>
      </c>
      <c r="AR358" s="38" t="s">
        <v>292</v>
      </c>
      <c r="AS358" s="38" t="s">
        <v>293</v>
      </c>
      <c r="AT358" s="38" t="s">
        <v>293</v>
      </c>
      <c r="AU358" s="38" t="s">
        <v>364</v>
      </c>
      <c r="AV358" s="38" t="str">
        <f t="shared" si="12"/>
        <v>car_stuck</v>
      </c>
      <c r="AW358" s="38" t="s">
        <v>380</v>
      </c>
    </row>
    <row r="359" spans="1:49" s="38" customFormat="1" x14ac:dyDescent="0.3">
      <c r="A359" t="s">
        <v>9</v>
      </c>
      <c r="B359" t="s">
        <v>56</v>
      </c>
      <c r="C359" t="s">
        <v>15</v>
      </c>
      <c r="D359" t="s">
        <v>12</v>
      </c>
      <c r="E359" t="str">
        <f t="shared" si="11"/>
        <v>P_V1M-KYY-S_0M4</v>
      </c>
      <c r="F359" t="b">
        <v>1</v>
      </c>
      <c r="G359">
        <v>100</v>
      </c>
      <c r="H359">
        <v>1</v>
      </c>
      <c r="I359">
        <v>11104</v>
      </c>
      <c r="J359" s="49" t="s">
        <v>18</v>
      </c>
      <c r="K359" s="49"/>
      <c r="L359" s="16" t="s">
        <v>272</v>
      </c>
      <c r="M359" s="16">
        <v>3</v>
      </c>
      <c r="N359" s="16" t="s">
        <v>277</v>
      </c>
      <c r="O359" s="16" t="s">
        <v>335</v>
      </c>
      <c r="P359" s="15" t="s">
        <v>282</v>
      </c>
      <c r="Q359" t="s">
        <v>283</v>
      </c>
      <c r="R359" t="s">
        <v>286</v>
      </c>
      <c r="S359" s="17" t="s">
        <v>371</v>
      </c>
      <c r="T359" s="16" t="s">
        <v>341</v>
      </c>
      <c r="U359" s="16" t="s">
        <v>342</v>
      </c>
      <c r="V359" s="15" t="s">
        <v>343</v>
      </c>
      <c r="W359" s="15" t="s">
        <v>344</v>
      </c>
      <c r="X359" s="17" t="s">
        <v>346</v>
      </c>
      <c r="Y359" t="s">
        <v>349</v>
      </c>
      <c r="Z359" t="s">
        <v>349</v>
      </c>
      <c r="AA359" t="s">
        <v>293</v>
      </c>
      <c r="AB359" t="s">
        <v>353</v>
      </c>
      <c r="AC359" t="s">
        <v>297</v>
      </c>
      <c r="AD359" t="s">
        <v>300</v>
      </c>
      <c r="AE359" t="s">
        <v>293</v>
      </c>
      <c r="AF359" t="s">
        <v>292</v>
      </c>
      <c r="AG359" t="s">
        <v>292</v>
      </c>
      <c r="AH359" t="s">
        <v>293</v>
      </c>
      <c r="AI359" t="s">
        <v>293</v>
      </c>
      <c r="AJ359" t="s">
        <v>302</v>
      </c>
      <c r="AK359" t="s">
        <v>302</v>
      </c>
      <c r="AL359" t="s">
        <v>302</v>
      </c>
      <c r="AM359" t="s">
        <v>293</v>
      </c>
      <c r="AN359" t="s">
        <v>293</v>
      </c>
      <c r="AO359" t="s">
        <v>297</v>
      </c>
      <c r="AP359" t="s">
        <v>356</v>
      </c>
      <c r="AQ359" t="s">
        <v>293</v>
      </c>
      <c r="AR359" t="s">
        <v>292</v>
      </c>
      <c r="AS359" t="s">
        <v>293</v>
      </c>
      <c r="AT359" t="s">
        <v>293</v>
      </c>
      <c r="AU359" t="s">
        <v>364</v>
      </c>
      <c r="AV359" t="str">
        <f t="shared" si="12"/>
        <v>break</v>
      </c>
      <c r="AW359"/>
    </row>
    <row r="360" spans="1:49" x14ac:dyDescent="0.3">
      <c r="A360" t="s">
        <v>9</v>
      </c>
      <c r="B360" t="s">
        <v>56</v>
      </c>
      <c r="C360" t="s">
        <v>11</v>
      </c>
      <c r="D360" t="s">
        <v>12</v>
      </c>
      <c r="E360" t="str">
        <f t="shared" si="11"/>
        <v>P_V1M-KYY-S_1Q4</v>
      </c>
      <c r="F360" t="b">
        <v>1</v>
      </c>
      <c r="G360">
        <v>100</v>
      </c>
      <c r="H360">
        <v>1</v>
      </c>
      <c r="I360">
        <v>3733</v>
      </c>
      <c r="J360" s="49" t="s">
        <v>18</v>
      </c>
      <c r="L360" s="16" t="s">
        <v>272</v>
      </c>
      <c r="M360" s="16">
        <v>2</v>
      </c>
      <c r="N360" s="16" t="s">
        <v>333</v>
      </c>
      <c r="O360" s="16" t="s">
        <v>278</v>
      </c>
      <c r="P360" s="15" t="s">
        <v>284</v>
      </c>
      <c r="Q360" t="s">
        <v>371</v>
      </c>
      <c r="R360" t="s">
        <v>371</v>
      </c>
      <c r="S360" s="17" t="s">
        <v>371</v>
      </c>
      <c r="T360" s="16" t="s">
        <v>341</v>
      </c>
      <c r="U360" s="16" t="s">
        <v>340</v>
      </c>
      <c r="V360" s="15" t="s">
        <v>343</v>
      </c>
      <c r="W360" s="15" t="s">
        <v>345</v>
      </c>
      <c r="X360" s="17"/>
      <c r="Y360" t="s">
        <v>349</v>
      </c>
      <c r="Z360" t="s">
        <v>349</v>
      </c>
      <c r="AA360" t="s">
        <v>293</v>
      </c>
      <c r="AB360" t="s">
        <v>352</v>
      </c>
      <c r="AC360" t="s">
        <v>297</v>
      </c>
      <c r="AD360" t="s">
        <v>300</v>
      </c>
      <c r="AE360" t="s">
        <v>292</v>
      </c>
      <c r="AF360" t="s">
        <v>293</v>
      </c>
      <c r="AG360" t="s">
        <v>292</v>
      </c>
      <c r="AH360" t="s">
        <v>293</v>
      </c>
      <c r="AI360" t="s">
        <v>293</v>
      </c>
      <c r="AJ360" t="s">
        <v>302</v>
      </c>
      <c r="AK360" t="s">
        <v>357</v>
      </c>
      <c r="AL360" t="s">
        <v>302</v>
      </c>
      <c r="AM360" t="s">
        <v>293</v>
      </c>
      <c r="AN360" t="s">
        <v>293</v>
      </c>
      <c r="AO360" t="s">
        <v>297</v>
      </c>
      <c r="AP360" t="s">
        <v>298</v>
      </c>
      <c r="AQ360" t="s">
        <v>293</v>
      </c>
      <c r="AR360" t="s">
        <v>292</v>
      </c>
      <c r="AS360" t="s">
        <v>293</v>
      </c>
      <c r="AT360" t="s">
        <v>293</v>
      </c>
      <c r="AU360" t="s">
        <v>364</v>
      </c>
      <c r="AV360" t="str">
        <f t="shared" si="12"/>
        <v>break</v>
      </c>
    </row>
    <row r="361" spans="1:49" x14ac:dyDescent="0.3">
      <c r="A361" t="s">
        <v>9</v>
      </c>
      <c r="B361" t="s">
        <v>56</v>
      </c>
      <c r="C361" t="s">
        <v>16</v>
      </c>
      <c r="D361" t="s">
        <v>12</v>
      </c>
      <c r="E361" t="str">
        <f t="shared" si="11"/>
        <v>P_V1M-KYY-S_6U7</v>
      </c>
      <c r="F361" t="b">
        <v>1</v>
      </c>
      <c r="G361">
        <v>100</v>
      </c>
      <c r="H361">
        <v>1</v>
      </c>
      <c r="I361">
        <v>13365</v>
      </c>
      <c r="J361" s="49" t="s">
        <v>18</v>
      </c>
      <c r="L361" s="16" t="s">
        <v>272</v>
      </c>
      <c r="M361" s="16">
        <v>3</v>
      </c>
      <c r="N361" s="16" t="s">
        <v>277</v>
      </c>
      <c r="O361" s="16" t="s">
        <v>335</v>
      </c>
      <c r="P361" s="15" t="s">
        <v>282</v>
      </c>
      <c r="Q361" t="s">
        <v>283</v>
      </c>
      <c r="R361" t="s">
        <v>286</v>
      </c>
      <c r="S361" s="17" t="s">
        <v>371</v>
      </c>
      <c r="T361" s="16" t="s">
        <v>341</v>
      </c>
      <c r="U361" s="16" t="s">
        <v>342</v>
      </c>
      <c r="V361" s="15" t="s">
        <v>343</v>
      </c>
      <c r="W361" s="15" t="s">
        <v>344</v>
      </c>
      <c r="X361" s="17"/>
      <c r="Y361" t="s">
        <v>349</v>
      </c>
      <c r="Z361" t="s">
        <v>349</v>
      </c>
      <c r="AA361" t="s">
        <v>293</v>
      </c>
      <c r="AB361" t="s">
        <v>353</v>
      </c>
      <c r="AC361" t="s">
        <v>297</v>
      </c>
      <c r="AD361" t="s">
        <v>300</v>
      </c>
      <c r="AE361" t="s">
        <v>293</v>
      </c>
      <c r="AF361" t="s">
        <v>292</v>
      </c>
      <c r="AG361" t="s">
        <v>292</v>
      </c>
      <c r="AH361" t="s">
        <v>292</v>
      </c>
      <c r="AI361" t="s">
        <v>293</v>
      </c>
      <c r="AJ361" t="s">
        <v>302</v>
      </c>
      <c r="AK361" t="s">
        <v>302</v>
      </c>
      <c r="AL361" t="s">
        <v>302</v>
      </c>
      <c r="AM361" t="s">
        <v>293</v>
      </c>
      <c r="AN361" t="s">
        <v>293</v>
      </c>
      <c r="AO361" t="s">
        <v>297</v>
      </c>
      <c r="AP361" t="s">
        <v>356</v>
      </c>
      <c r="AQ361" t="s">
        <v>293</v>
      </c>
      <c r="AR361" t="s">
        <v>292</v>
      </c>
      <c r="AS361" t="s">
        <v>293</v>
      </c>
      <c r="AT361" t="s">
        <v>293</v>
      </c>
      <c r="AU361" t="s">
        <v>364</v>
      </c>
      <c r="AV361" t="str">
        <f t="shared" si="12"/>
        <v>break</v>
      </c>
    </row>
    <row r="362" spans="1:49" x14ac:dyDescent="0.3">
      <c r="A362" t="s">
        <v>9</v>
      </c>
      <c r="B362" t="s">
        <v>56</v>
      </c>
      <c r="C362" t="s">
        <v>23</v>
      </c>
      <c r="D362" t="s">
        <v>29</v>
      </c>
      <c r="E362" t="str">
        <f t="shared" si="11"/>
        <v>P_V1M-ZSB-S_0T2</v>
      </c>
      <c r="F362" t="b">
        <v>1</v>
      </c>
      <c r="G362">
        <v>100</v>
      </c>
      <c r="H362">
        <v>1</v>
      </c>
      <c r="I362">
        <v>19103</v>
      </c>
      <c r="J362" s="49" t="s">
        <v>18</v>
      </c>
      <c r="L362" s="16" t="s">
        <v>272</v>
      </c>
      <c r="M362" s="16">
        <v>2</v>
      </c>
      <c r="N362" s="16" t="s">
        <v>277</v>
      </c>
      <c r="O362" s="16" t="s">
        <v>335</v>
      </c>
      <c r="P362" s="15" t="s">
        <v>282</v>
      </c>
      <c r="Q362" t="s">
        <v>371</v>
      </c>
      <c r="R362" t="s">
        <v>371</v>
      </c>
      <c r="S362" s="17" t="s">
        <v>371</v>
      </c>
      <c r="T362" s="16" t="s">
        <v>340</v>
      </c>
      <c r="U362" s="16" t="s">
        <v>342</v>
      </c>
      <c r="V362" s="15" t="s">
        <v>340</v>
      </c>
      <c r="W362" s="15" t="s">
        <v>347</v>
      </c>
      <c r="X362" s="17"/>
      <c r="Y362" t="s">
        <v>349</v>
      </c>
      <c r="Z362" t="s">
        <v>349</v>
      </c>
      <c r="AA362" t="s">
        <v>293</v>
      </c>
      <c r="AB362" t="s">
        <v>354</v>
      </c>
      <c r="AC362" t="s">
        <v>354</v>
      </c>
      <c r="AD362" t="s">
        <v>301</v>
      </c>
      <c r="AE362" t="s">
        <v>293</v>
      </c>
      <c r="AF362" t="s">
        <v>292</v>
      </c>
      <c r="AG362" t="s">
        <v>293</v>
      </c>
      <c r="AH362" t="s">
        <v>292</v>
      </c>
      <c r="AI362" t="s">
        <v>293</v>
      </c>
      <c r="AJ362" t="s">
        <v>302</v>
      </c>
      <c r="AK362" t="s">
        <v>302</v>
      </c>
      <c r="AL362" t="s">
        <v>357</v>
      </c>
      <c r="AM362" t="s">
        <v>293</v>
      </c>
      <c r="AN362" t="s">
        <v>293</v>
      </c>
      <c r="AO362" t="s">
        <v>296</v>
      </c>
      <c r="AP362" t="s">
        <v>356</v>
      </c>
      <c r="AQ362" t="s">
        <v>293</v>
      </c>
      <c r="AR362" t="s">
        <v>292</v>
      </c>
      <c r="AS362" t="s">
        <v>293</v>
      </c>
      <c r="AT362" t="s">
        <v>293</v>
      </c>
      <c r="AU362" t="s">
        <v>364</v>
      </c>
      <c r="AV362" t="str">
        <f t="shared" si="12"/>
        <v>break</v>
      </c>
    </row>
    <row r="363" spans="1:49" x14ac:dyDescent="0.3">
      <c r="A363" t="s">
        <v>9</v>
      </c>
      <c r="B363" t="s">
        <v>56</v>
      </c>
      <c r="C363" t="s">
        <v>25</v>
      </c>
      <c r="D363" t="s">
        <v>29</v>
      </c>
      <c r="E363" t="str">
        <f t="shared" si="11"/>
        <v>P_V1M-ZSB-S_1J8</v>
      </c>
      <c r="F363" t="b">
        <v>1</v>
      </c>
      <c r="G363">
        <v>100</v>
      </c>
      <c r="H363">
        <v>1</v>
      </c>
      <c r="I363">
        <v>19184</v>
      </c>
      <c r="J363" s="49" t="s">
        <v>18</v>
      </c>
      <c r="L363" s="16" t="s">
        <v>272</v>
      </c>
      <c r="M363" s="16">
        <v>2</v>
      </c>
      <c r="N363" s="16" t="s">
        <v>277</v>
      </c>
      <c r="O363" s="16" t="s">
        <v>335</v>
      </c>
      <c r="P363" s="15" t="s">
        <v>282</v>
      </c>
      <c r="Q363" t="s">
        <v>371</v>
      </c>
      <c r="R363" t="s">
        <v>371</v>
      </c>
      <c r="S363" s="17" t="s">
        <v>371</v>
      </c>
      <c r="T363" s="16" t="s">
        <v>340</v>
      </c>
      <c r="U363" s="16" t="s">
        <v>342</v>
      </c>
      <c r="V363" s="15" t="s">
        <v>340</v>
      </c>
      <c r="W363" s="15" t="s">
        <v>347</v>
      </c>
      <c r="X363" s="17"/>
      <c r="Y363" t="s">
        <v>349</v>
      </c>
      <c r="Z363" t="s">
        <v>349</v>
      </c>
      <c r="AA363" t="s">
        <v>293</v>
      </c>
      <c r="AB363" t="s">
        <v>354</v>
      </c>
      <c r="AC363" t="s">
        <v>354</v>
      </c>
      <c r="AD363" t="s">
        <v>301</v>
      </c>
      <c r="AE363" t="s">
        <v>293</v>
      </c>
      <c r="AF363" t="s">
        <v>292</v>
      </c>
      <c r="AG363" t="s">
        <v>293</v>
      </c>
      <c r="AH363" t="s">
        <v>292</v>
      </c>
      <c r="AI363" t="s">
        <v>293</v>
      </c>
      <c r="AJ363" t="s">
        <v>302</v>
      </c>
      <c r="AK363" t="s">
        <v>302</v>
      </c>
      <c r="AL363" t="s">
        <v>357</v>
      </c>
      <c r="AM363" t="s">
        <v>293</v>
      </c>
      <c r="AN363" t="s">
        <v>293</v>
      </c>
      <c r="AO363" t="s">
        <v>296</v>
      </c>
      <c r="AP363" t="s">
        <v>356</v>
      </c>
      <c r="AQ363" t="s">
        <v>293</v>
      </c>
      <c r="AR363" t="s">
        <v>292</v>
      </c>
      <c r="AS363" t="s">
        <v>293</v>
      </c>
      <c r="AT363" t="s">
        <v>293</v>
      </c>
      <c r="AU363" t="s">
        <v>364</v>
      </c>
      <c r="AV363" t="str">
        <f t="shared" si="12"/>
        <v>break</v>
      </c>
    </row>
    <row r="364" spans="1:49" x14ac:dyDescent="0.3">
      <c r="A364" t="s">
        <v>9</v>
      </c>
      <c r="B364" t="s">
        <v>56</v>
      </c>
      <c r="C364" t="s">
        <v>24</v>
      </c>
      <c r="D364" t="s">
        <v>29</v>
      </c>
      <c r="E364" t="str">
        <f t="shared" si="11"/>
        <v>P_V1M-ZSB-S_1U0</v>
      </c>
      <c r="F364" t="b">
        <v>1</v>
      </c>
      <c r="G364">
        <v>100</v>
      </c>
      <c r="H364">
        <v>1</v>
      </c>
      <c r="I364">
        <v>19509</v>
      </c>
      <c r="J364" s="49" t="s">
        <v>18</v>
      </c>
      <c r="L364" s="16" t="s">
        <v>272</v>
      </c>
      <c r="M364" s="16">
        <v>2</v>
      </c>
      <c r="N364" s="16" t="s">
        <v>277</v>
      </c>
      <c r="O364" s="16" t="s">
        <v>335</v>
      </c>
      <c r="P364" s="15" t="s">
        <v>282</v>
      </c>
      <c r="Q364" t="s">
        <v>371</v>
      </c>
      <c r="R364" t="s">
        <v>371</v>
      </c>
      <c r="S364" s="17" t="s">
        <v>371</v>
      </c>
      <c r="T364" s="16" t="s">
        <v>340</v>
      </c>
      <c r="U364" s="16" t="s">
        <v>342</v>
      </c>
      <c r="V364" s="15" t="s">
        <v>340</v>
      </c>
      <c r="W364" s="15" t="s">
        <v>347</v>
      </c>
      <c r="X364" s="17"/>
      <c r="Y364" t="s">
        <v>349</v>
      </c>
      <c r="Z364" t="s">
        <v>349</v>
      </c>
      <c r="AA364" t="s">
        <v>293</v>
      </c>
      <c r="AB364" t="s">
        <v>354</v>
      </c>
      <c r="AC364" t="s">
        <v>354</v>
      </c>
      <c r="AD364" t="s">
        <v>301</v>
      </c>
      <c r="AE364" t="s">
        <v>293</v>
      </c>
      <c r="AF364" t="s">
        <v>292</v>
      </c>
      <c r="AG364" t="s">
        <v>293</v>
      </c>
      <c r="AH364" t="s">
        <v>292</v>
      </c>
      <c r="AI364" t="s">
        <v>293</v>
      </c>
      <c r="AJ364" t="s">
        <v>302</v>
      </c>
      <c r="AK364" t="s">
        <v>302</v>
      </c>
      <c r="AL364" t="s">
        <v>359</v>
      </c>
      <c r="AM364" t="s">
        <v>293</v>
      </c>
      <c r="AN364" t="s">
        <v>293</v>
      </c>
      <c r="AO364" t="s">
        <v>296</v>
      </c>
      <c r="AP364" t="s">
        <v>356</v>
      </c>
      <c r="AQ364" t="s">
        <v>293</v>
      </c>
      <c r="AR364" t="s">
        <v>292</v>
      </c>
      <c r="AS364" t="s">
        <v>293</v>
      </c>
      <c r="AT364" t="s">
        <v>293</v>
      </c>
      <c r="AU364" t="s">
        <v>364</v>
      </c>
      <c r="AV364" t="str">
        <f t="shared" si="12"/>
        <v>break</v>
      </c>
    </row>
    <row r="365" spans="1:49" x14ac:dyDescent="0.3">
      <c r="A365" t="s">
        <v>9</v>
      </c>
      <c r="B365" t="s">
        <v>56</v>
      </c>
      <c r="C365" t="s">
        <v>21</v>
      </c>
      <c r="D365" t="s">
        <v>29</v>
      </c>
      <c r="E365" t="str">
        <f t="shared" si="11"/>
        <v>P_V1M-ZSB-S_3X6</v>
      </c>
      <c r="F365" t="b">
        <v>1</v>
      </c>
      <c r="G365">
        <v>100</v>
      </c>
      <c r="H365">
        <v>1</v>
      </c>
      <c r="I365">
        <v>15028</v>
      </c>
      <c r="J365" s="49" t="s">
        <v>18</v>
      </c>
      <c r="L365" s="16" t="s">
        <v>272</v>
      </c>
      <c r="M365" s="16">
        <v>3</v>
      </c>
      <c r="N365" s="16" t="s">
        <v>277</v>
      </c>
      <c r="O365" s="16" t="s">
        <v>335</v>
      </c>
      <c r="P365" s="15" t="s">
        <v>282</v>
      </c>
      <c r="Q365" t="s">
        <v>285</v>
      </c>
      <c r="R365" t="s">
        <v>286</v>
      </c>
      <c r="S365" s="17" t="s">
        <v>371</v>
      </c>
      <c r="T365" s="16" t="s">
        <v>340</v>
      </c>
      <c r="U365" s="16" t="s">
        <v>342</v>
      </c>
      <c r="V365" s="15" t="s">
        <v>343</v>
      </c>
      <c r="W365" s="15" t="s">
        <v>344</v>
      </c>
      <c r="X365" s="17" t="s">
        <v>347</v>
      </c>
      <c r="Y365" t="s">
        <v>349</v>
      </c>
      <c r="Z365" t="s">
        <v>349</v>
      </c>
      <c r="AA365" t="s">
        <v>293</v>
      </c>
      <c r="AB365" t="s">
        <v>353</v>
      </c>
      <c r="AC365" t="s">
        <v>355</v>
      </c>
      <c r="AD365" t="s">
        <v>300</v>
      </c>
      <c r="AE365" t="s">
        <v>293</v>
      </c>
      <c r="AF365" t="s">
        <v>292</v>
      </c>
      <c r="AG365" t="s">
        <v>292</v>
      </c>
      <c r="AH365" t="s">
        <v>292</v>
      </c>
      <c r="AI365" t="s">
        <v>293</v>
      </c>
      <c r="AJ365" t="s">
        <v>302</v>
      </c>
      <c r="AK365" t="s">
        <v>302</v>
      </c>
      <c r="AL365" t="s">
        <v>359</v>
      </c>
      <c r="AM365" t="s">
        <v>293</v>
      </c>
      <c r="AN365" t="s">
        <v>293</v>
      </c>
      <c r="AO365" t="s">
        <v>296</v>
      </c>
      <c r="AP365" t="s">
        <v>356</v>
      </c>
      <c r="AQ365" t="s">
        <v>293</v>
      </c>
      <c r="AR365" t="s">
        <v>292</v>
      </c>
      <c r="AS365" t="s">
        <v>293</v>
      </c>
      <c r="AT365" t="s">
        <v>293</v>
      </c>
      <c r="AU365" t="s">
        <v>364</v>
      </c>
      <c r="AV365" t="str">
        <f t="shared" si="12"/>
        <v>break</v>
      </c>
    </row>
    <row r="366" spans="1:49" x14ac:dyDescent="0.3">
      <c r="A366" t="s">
        <v>9</v>
      </c>
      <c r="B366" t="s">
        <v>56</v>
      </c>
      <c r="C366" t="s">
        <v>19</v>
      </c>
      <c r="D366" t="s">
        <v>29</v>
      </c>
      <c r="E366" t="str">
        <f t="shared" si="11"/>
        <v>P_V1M-ZSB-S_4U3</v>
      </c>
      <c r="F366" t="b">
        <v>1</v>
      </c>
      <c r="G366">
        <v>100</v>
      </c>
      <c r="H366">
        <v>1</v>
      </c>
      <c r="I366">
        <v>14882</v>
      </c>
      <c r="J366" s="49" t="s">
        <v>18</v>
      </c>
      <c r="L366" s="16" t="s">
        <v>272</v>
      </c>
      <c r="M366" s="16">
        <v>3</v>
      </c>
      <c r="N366" s="16" t="s">
        <v>277</v>
      </c>
      <c r="O366" s="16" t="s">
        <v>335</v>
      </c>
      <c r="P366" s="15" t="s">
        <v>282</v>
      </c>
      <c r="Q366" t="s">
        <v>285</v>
      </c>
      <c r="R366" t="s">
        <v>286</v>
      </c>
      <c r="S366" s="17" t="s">
        <v>371</v>
      </c>
      <c r="T366" s="16" t="s">
        <v>340</v>
      </c>
      <c r="U366" s="16" t="s">
        <v>342</v>
      </c>
      <c r="V366" s="15" t="s">
        <v>343</v>
      </c>
      <c r="W366" s="15" t="s">
        <v>344</v>
      </c>
      <c r="X366" s="17" t="s">
        <v>347</v>
      </c>
      <c r="Y366" t="s">
        <v>349</v>
      </c>
      <c r="Z366" t="s">
        <v>349</v>
      </c>
      <c r="AA366" t="s">
        <v>293</v>
      </c>
      <c r="AB366" t="s">
        <v>353</v>
      </c>
      <c r="AC366" t="s">
        <v>355</v>
      </c>
      <c r="AD366" t="s">
        <v>300</v>
      </c>
      <c r="AE366" t="s">
        <v>293</v>
      </c>
      <c r="AF366" t="s">
        <v>292</v>
      </c>
      <c r="AG366" t="s">
        <v>292</v>
      </c>
      <c r="AH366" t="s">
        <v>292</v>
      </c>
      <c r="AI366" t="s">
        <v>293</v>
      </c>
      <c r="AJ366" t="s">
        <v>302</v>
      </c>
      <c r="AK366" t="s">
        <v>302</v>
      </c>
      <c r="AL366" t="s">
        <v>359</v>
      </c>
      <c r="AM366" t="s">
        <v>293</v>
      </c>
      <c r="AN366" t="s">
        <v>293</v>
      </c>
      <c r="AO366" t="s">
        <v>296</v>
      </c>
      <c r="AP366" t="s">
        <v>356</v>
      </c>
      <c r="AQ366" t="s">
        <v>293</v>
      </c>
      <c r="AR366" t="s">
        <v>292</v>
      </c>
      <c r="AS366" t="s">
        <v>293</v>
      </c>
      <c r="AT366" t="s">
        <v>293</v>
      </c>
      <c r="AU366" t="s">
        <v>364</v>
      </c>
      <c r="AV366" t="str">
        <f t="shared" si="12"/>
        <v>break</v>
      </c>
    </row>
    <row r="367" spans="1:49" x14ac:dyDescent="0.3">
      <c r="A367" t="s">
        <v>9</v>
      </c>
      <c r="B367" t="s">
        <v>56</v>
      </c>
      <c r="C367" t="s">
        <v>17</v>
      </c>
      <c r="D367" t="s">
        <v>29</v>
      </c>
      <c r="E367" t="str">
        <f t="shared" si="11"/>
        <v>P_V1M-ZSB-S_6B5</v>
      </c>
      <c r="F367" t="b">
        <v>1</v>
      </c>
      <c r="G367">
        <v>100</v>
      </c>
      <c r="H367">
        <v>1</v>
      </c>
      <c r="I367">
        <v>14683</v>
      </c>
      <c r="J367" s="49" t="s">
        <v>18</v>
      </c>
      <c r="L367" s="16" t="s">
        <v>272</v>
      </c>
      <c r="M367" s="16">
        <v>3</v>
      </c>
      <c r="N367" s="16" t="s">
        <v>277</v>
      </c>
      <c r="O367" s="16" t="s">
        <v>335</v>
      </c>
      <c r="P367" s="15" t="s">
        <v>282</v>
      </c>
      <c r="Q367" t="s">
        <v>285</v>
      </c>
      <c r="R367" t="s">
        <v>286</v>
      </c>
      <c r="S367" s="17" t="s">
        <v>371</v>
      </c>
      <c r="T367" s="16" t="s">
        <v>340</v>
      </c>
      <c r="U367" s="16" t="s">
        <v>342</v>
      </c>
      <c r="V367" s="15" t="s">
        <v>343</v>
      </c>
      <c r="W367" s="15" t="s">
        <v>344</v>
      </c>
      <c r="X367" s="17" t="s">
        <v>347</v>
      </c>
      <c r="Y367" t="s">
        <v>349</v>
      </c>
      <c r="Z367" t="s">
        <v>349</v>
      </c>
      <c r="AA367" t="s">
        <v>293</v>
      </c>
      <c r="AB367" t="s">
        <v>353</v>
      </c>
      <c r="AC367" t="s">
        <v>355</v>
      </c>
      <c r="AD367" t="s">
        <v>300</v>
      </c>
      <c r="AE367" t="s">
        <v>293</v>
      </c>
      <c r="AF367" t="s">
        <v>292</v>
      </c>
      <c r="AG367" t="s">
        <v>292</v>
      </c>
      <c r="AH367" t="s">
        <v>292</v>
      </c>
      <c r="AI367" t="s">
        <v>293</v>
      </c>
      <c r="AJ367" t="s">
        <v>302</v>
      </c>
      <c r="AK367" t="s">
        <v>302</v>
      </c>
      <c r="AL367" t="s">
        <v>359</v>
      </c>
      <c r="AM367" t="s">
        <v>293</v>
      </c>
      <c r="AN367" t="s">
        <v>293</v>
      </c>
      <c r="AO367" t="s">
        <v>296</v>
      </c>
      <c r="AP367" t="s">
        <v>356</v>
      </c>
      <c r="AQ367" t="s">
        <v>293</v>
      </c>
      <c r="AR367" t="s">
        <v>292</v>
      </c>
      <c r="AS367" t="s">
        <v>293</v>
      </c>
      <c r="AT367" t="s">
        <v>293</v>
      </c>
      <c r="AU367" t="s">
        <v>364</v>
      </c>
      <c r="AV367" t="str">
        <f t="shared" si="12"/>
        <v>break</v>
      </c>
    </row>
    <row r="368" spans="1:49" x14ac:dyDescent="0.3">
      <c r="A368" t="s">
        <v>9</v>
      </c>
      <c r="B368" t="s">
        <v>56</v>
      </c>
      <c r="C368" t="s">
        <v>20</v>
      </c>
      <c r="D368" t="s">
        <v>29</v>
      </c>
      <c r="E368" t="str">
        <f t="shared" si="11"/>
        <v>P_V1M-ZSB-S_7W0</v>
      </c>
      <c r="F368" t="b">
        <v>1</v>
      </c>
      <c r="G368">
        <v>100</v>
      </c>
      <c r="H368">
        <v>1</v>
      </c>
      <c r="I368">
        <v>14883</v>
      </c>
      <c r="J368" s="49" t="s">
        <v>18</v>
      </c>
      <c r="L368" s="16" t="s">
        <v>272</v>
      </c>
      <c r="M368" s="16">
        <v>3</v>
      </c>
      <c r="N368" s="16" t="s">
        <v>277</v>
      </c>
      <c r="O368" s="16" t="s">
        <v>335</v>
      </c>
      <c r="P368" s="15" t="s">
        <v>282</v>
      </c>
      <c r="Q368" t="s">
        <v>285</v>
      </c>
      <c r="R368" t="s">
        <v>286</v>
      </c>
      <c r="S368" s="17" t="s">
        <v>371</v>
      </c>
      <c r="T368" s="16" t="s">
        <v>340</v>
      </c>
      <c r="U368" s="16" t="s">
        <v>342</v>
      </c>
      <c r="V368" s="15" t="s">
        <v>343</v>
      </c>
      <c r="W368" s="15" t="s">
        <v>344</v>
      </c>
      <c r="X368" s="17" t="s">
        <v>347</v>
      </c>
      <c r="Y368" t="s">
        <v>349</v>
      </c>
      <c r="Z368" t="s">
        <v>349</v>
      </c>
      <c r="AA368" t="s">
        <v>293</v>
      </c>
      <c r="AB368" t="s">
        <v>353</v>
      </c>
      <c r="AC368" t="s">
        <v>355</v>
      </c>
      <c r="AD368" t="s">
        <v>300</v>
      </c>
      <c r="AE368" t="s">
        <v>293</v>
      </c>
      <c r="AF368" t="s">
        <v>292</v>
      </c>
      <c r="AG368" t="s">
        <v>292</v>
      </c>
      <c r="AH368" t="s">
        <v>292</v>
      </c>
      <c r="AI368" t="s">
        <v>293</v>
      </c>
      <c r="AJ368" t="s">
        <v>302</v>
      </c>
      <c r="AK368" t="s">
        <v>302</v>
      </c>
      <c r="AL368" t="s">
        <v>359</v>
      </c>
      <c r="AM368" t="s">
        <v>293</v>
      </c>
      <c r="AN368" t="s">
        <v>293</v>
      </c>
      <c r="AO368" t="s">
        <v>296</v>
      </c>
      <c r="AP368" t="s">
        <v>356</v>
      </c>
      <c r="AQ368" t="s">
        <v>293</v>
      </c>
      <c r="AR368" t="s">
        <v>292</v>
      </c>
      <c r="AS368" t="s">
        <v>293</v>
      </c>
      <c r="AT368" t="s">
        <v>293</v>
      </c>
      <c r="AU368" t="s">
        <v>364</v>
      </c>
      <c r="AV368" t="str">
        <f t="shared" si="12"/>
        <v>break</v>
      </c>
    </row>
    <row r="369" spans="1:48" x14ac:dyDescent="0.3">
      <c r="A369" t="s">
        <v>9</v>
      </c>
      <c r="B369" t="s">
        <v>56</v>
      </c>
      <c r="C369" t="s">
        <v>22</v>
      </c>
      <c r="D369" t="s">
        <v>29</v>
      </c>
      <c r="E369" t="str">
        <f t="shared" si="11"/>
        <v>P_V1M-ZSB-S_9B4</v>
      </c>
      <c r="F369" t="b">
        <v>1</v>
      </c>
      <c r="G369">
        <v>63.8</v>
      </c>
      <c r="H369">
        <v>0</v>
      </c>
      <c r="I369">
        <v>15602</v>
      </c>
      <c r="J369" s="49" t="s">
        <v>13</v>
      </c>
      <c r="L369" s="16" t="s">
        <v>272</v>
      </c>
      <c r="M369" s="16">
        <v>3</v>
      </c>
      <c r="N369" s="16" t="s">
        <v>277</v>
      </c>
      <c r="O369" s="16" t="s">
        <v>335</v>
      </c>
      <c r="P369" s="15" t="s">
        <v>282</v>
      </c>
      <c r="Q369" t="s">
        <v>285</v>
      </c>
      <c r="R369" t="s">
        <v>286</v>
      </c>
      <c r="S369" s="17" t="s">
        <v>371</v>
      </c>
      <c r="T369" s="16" t="s">
        <v>340</v>
      </c>
      <c r="U369" s="16" t="s">
        <v>342</v>
      </c>
      <c r="V369" s="15" t="s">
        <v>343</v>
      </c>
      <c r="W369" s="15" t="s">
        <v>344</v>
      </c>
      <c r="X369" s="17" t="s">
        <v>347</v>
      </c>
      <c r="Y369" t="s">
        <v>349</v>
      </c>
      <c r="Z369" t="s">
        <v>349</v>
      </c>
      <c r="AA369" t="s">
        <v>293</v>
      </c>
      <c r="AB369" t="s">
        <v>353</v>
      </c>
      <c r="AC369" t="s">
        <v>355</v>
      </c>
      <c r="AD369" t="s">
        <v>300</v>
      </c>
      <c r="AE369" t="s">
        <v>293</v>
      </c>
      <c r="AF369" t="s">
        <v>292</v>
      </c>
      <c r="AG369" t="s">
        <v>292</v>
      </c>
      <c r="AH369" t="s">
        <v>292</v>
      </c>
      <c r="AI369" t="s">
        <v>293</v>
      </c>
      <c r="AJ369" t="s">
        <v>302</v>
      </c>
      <c r="AK369" t="s">
        <v>302</v>
      </c>
      <c r="AL369" t="s">
        <v>359</v>
      </c>
      <c r="AM369" t="s">
        <v>293</v>
      </c>
      <c r="AN369" t="s">
        <v>293</v>
      </c>
      <c r="AO369" t="s">
        <v>296</v>
      </c>
      <c r="AP369" t="s">
        <v>356</v>
      </c>
      <c r="AQ369" t="s">
        <v>293</v>
      </c>
      <c r="AR369" t="s">
        <v>292</v>
      </c>
      <c r="AS369" t="s">
        <v>293</v>
      </c>
      <c r="AT369" t="s">
        <v>293</v>
      </c>
      <c r="AU369" t="s">
        <v>364</v>
      </c>
      <c r="AV369" t="str">
        <f t="shared" si="12"/>
        <v>no_fail</v>
      </c>
    </row>
    <row r="370" spans="1:48" x14ac:dyDescent="0.3">
      <c r="A370" t="s">
        <v>9</v>
      </c>
      <c r="B370" t="s">
        <v>67</v>
      </c>
      <c r="C370" t="s">
        <v>15</v>
      </c>
      <c r="D370" t="s">
        <v>12</v>
      </c>
      <c r="E370" t="str">
        <f t="shared" si="11"/>
        <v>P_V2A-KYY-S_0M4</v>
      </c>
      <c r="F370" t="b">
        <v>1</v>
      </c>
      <c r="G370">
        <v>43.8</v>
      </c>
      <c r="H370">
        <v>0</v>
      </c>
      <c r="I370">
        <v>17943</v>
      </c>
      <c r="J370" s="49" t="s">
        <v>13</v>
      </c>
      <c r="L370" s="16" t="s">
        <v>272</v>
      </c>
      <c r="M370" s="16">
        <v>3</v>
      </c>
      <c r="N370" s="16" t="s">
        <v>277</v>
      </c>
      <c r="O370" s="16" t="s">
        <v>335</v>
      </c>
      <c r="P370" s="15" t="s">
        <v>283</v>
      </c>
      <c r="Q370" t="s">
        <v>282</v>
      </c>
      <c r="R370" t="s">
        <v>371</v>
      </c>
      <c r="S370" s="17" t="s">
        <v>371</v>
      </c>
      <c r="T370" s="16" t="s">
        <v>341</v>
      </c>
      <c r="U370" s="16" t="s">
        <v>342</v>
      </c>
      <c r="V370" s="15" t="s">
        <v>343</v>
      </c>
      <c r="W370" s="15" t="s">
        <v>344</v>
      </c>
      <c r="X370" s="17"/>
      <c r="Y370" t="s">
        <v>349</v>
      </c>
      <c r="Z370" t="s">
        <v>349</v>
      </c>
      <c r="AA370" t="s">
        <v>293</v>
      </c>
      <c r="AB370" t="s">
        <v>353</v>
      </c>
      <c r="AC370" t="s">
        <v>296</v>
      </c>
      <c r="AD370" t="s">
        <v>301</v>
      </c>
      <c r="AE370" t="s">
        <v>292</v>
      </c>
      <c r="AF370" t="s">
        <v>293</v>
      </c>
      <c r="AG370" t="s">
        <v>292</v>
      </c>
      <c r="AH370" t="s">
        <v>292</v>
      </c>
      <c r="AI370" t="s">
        <v>293</v>
      </c>
      <c r="AJ370" t="s">
        <v>302</v>
      </c>
      <c r="AK370" t="s">
        <v>302</v>
      </c>
      <c r="AL370" t="s">
        <v>359</v>
      </c>
      <c r="AM370" t="s">
        <v>293</v>
      </c>
      <c r="AN370" t="s">
        <v>293</v>
      </c>
      <c r="AO370" t="s">
        <v>296</v>
      </c>
      <c r="AP370" t="s">
        <v>298</v>
      </c>
      <c r="AQ370" t="s">
        <v>293</v>
      </c>
      <c r="AR370" t="s">
        <v>292</v>
      </c>
      <c r="AS370" t="s">
        <v>293</v>
      </c>
      <c r="AT370" t="s">
        <v>293</v>
      </c>
      <c r="AU370" t="s">
        <v>364</v>
      </c>
      <c r="AV370" t="str">
        <f t="shared" si="12"/>
        <v>no_fail</v>
      </c>
    </row>
    <row r="371" spans="1:48" x14ac:dyDescent="0.3">
      <c r="A371" t="s">
        <v>9</v>
      </c>
      <c r="B371" t="s">
        <v>67</v>
      </c>
      <c r="C371" t="s">
        <v>14</v>
      </c>
      <c r="D371" t="s">
        <v>12</v>
      </c>
      <c r="E371" t="str">
        <f t="shared" si="11"/>
        <v>P_V2A-KYY-S_1B0</v>
      </c>
      <c r="F371" t="b">
        <v>1</v>
      </c>
      <c r="G371">
        <v>85.9</v>
      </c>
      <c r="H371">
        <v>0</v>
      </c>
      <c r="I371">
        <v>16911</v>
      </c>
      <c r="J371" s="49" t="s">
        <v>13</v>
      </c>
      <c r="L371" s="16" t="s">
        <v>272</v>
      </c>
      <c r="M371" s="16">
        <v>3</v>
      </c>
      <c r="N371" s="16" t="s">
        <v>277</v>
      </c>
      <c r="O371" s="16" t="s">
        <v>335</v>
      </c>
      <c r="P371" s="15" t="s">
        <v>283</v>
      </c>
      <c r="Q371" t="s">
        <v>282</v>
      </c>
      <c r="R371" t="s">
        <v>371</v>
      </c>
      <c r="S371" s="17" t="s">
        <v>371</v>
      </c>
      <c r="T371" s="16" t="s">
        <v>341</v>
      </c>
      <c r="U371" s="16" t="s">
        <v>342</v>
      </c>
      <c r="V371" s="15" t="s">
        <v>343</v>
      </c>
      <c r="W371" s="15" t="s">
        <v>344</v>
      </c>
      <c r="X371" s="17" t="s">
        <v>377</v>
      </c>
      <c r="Y371" t="s">
        <v>349</v>
      </c>
      <c r="Z371" t="s">
        <v>349</v>
      </c>
      <c r="AA371" t="s">
        <v>293</v>
      </c>
      <c r="AB371" t="s">
        <v>353</v>
      </c>
      <c r="AC371" t="s">
        <v>296</v>
      </c>
      <c r="AD371" t="s">
        <v>301</v>
      </c>
      <c r="AE371" t="s">
        <v>292</v>
      </c>
      <c r="AF371" t="s">
        <v>293</v>
      </c>
      <c r="AG371" t="s">
        <v>292</v>
      </c>
      <c r="AH371" t="s">
        <v>292</v>
      </c>
      <c r="AI371" t="s">
        <v>293</v>
      </c>
      <c r="AJ371" t="s">
        <v>302</v>
      </c>
      <c r="AK371" t="s">
        <v>302</v>
      </c>
      <c r="AL371" t="s">
        <v>359</v>
      </c>
      <c r="AM371" t="s">
        <v>293</v>
      </c>
      <c r="AN371" t="s">
        <v>293</v>
      </c>
      <c r="AO371" t="s">
        <v>296</v>
      </c>
      <c r="AP371" t="s">
        <v>298</v>
      </c>
      <c r="AQ371" t="s">
        <v>293</v>
      </c>
      <c r="AR371" t="s">
        <v>292</v>
      </c>
      <c r="AS371" t="s">
        <v>293</v>
      </c>
      <c r="AT371" t="s">
        <v>293</v>
      </c>
      <c r="AU371" t="s">
        <v>364</v>
      </c>
      <c r="AV371" t="str">
        <f t="shared" si="12"/>
        <v>no_fail</v>
      </c>
    </row>
    <row r="372" spans="1:48" x14ac:dyDescent="0.3">
      <c r="A372" t="s">
        <v>9</v>
      </c>
      <c r="B372" t="s">
        <v>67</v>
      </c>
      <c r="C372" t="s">
        <v>11</v>
      </c>
      <c r="D372" t="s">
        <v>12</v>
      </c>
      <c r="E372" t="str">
        <f t="shared" si="11"/>
        <v>P_V2A-KYY-S_1Q4</v>
      </c>
      <c r="F372" t="b">
        <v>1</v>
      </c>
      <c r="G372">
        <v>100</v>
      </c>
      <c r="H372">
        <v>1</v>
      </c>
      <c r="I372">
        <v>12934</v>
      </c>
      <c r="J372" s="49" t="s">
        <v>18</v>
      </c>
      <c r="L372" s="16" t="s">
        <v>272</v>
      </c>
      <c r="M372" s="16">
        <v>3</v>
      </c>
      <c r="N372" s="16" t="s">
        <v>277</v>
      </c>
      <c r="O372" s="16" t="s">
        <v>335</v>
      </c>
      <c r="P372" s="15" t="s">
        <v>283</v>
      </c>
      <c r="Q372" t="s">
        <v>282</v>
      </c>
      <c r="R372" t="s">
        <v>371</v>
      </c>
      <c r="S372" s="17" t="s">
        <v>371</v>
      </c>
      <c r="T372" s="16" t="s">
        <v>341</v>
      </c>
      <c r="U372" s="16" t="s">
        <v>342</v>
      </c>
      <c r="V372" s="15" t="s">
        <v>343</v>
      </c>
      <c r="W372" s="15" t="s">
        <v>344</v>
      </c>
      <c r="X372" s="17" t="s">
        <v>377</v>
      </c>
      <c r="Y372" t="s">
        <v>349</v>
      </c>
      <c r="Z372" t="s">
        <v>349</v>
      </c>
      <c r="AA372" t="s">
        <v>292</v>
      </c>
      <c r="AB372" t="s">
        <v>353</v>
      </c>
      <c r="AC372" t="s">
        <v>355</v>
      </c>
      <c r="AD372" t="s">
        <v>301</v>
      </c>
      <c r="AE372" t="s">
        <v>292</v>
      </c>
      <c r="AF372" t="s">
        <v>293</v>
      </c>
      <c r="AG372" t="s">
        <v>293</v>
      </c>
      <c r="AH372" t="s">
        <v>292</v>
      </c>
      <c r="AI372" t="s">
        <v>293</v>
      </c>
      <c r="AJ372" t="s">
        <v>358</v>
      </c>
      <c r="AK372" t="s">
        <v>302</v>
      </c>
      <c r="AL372" t="s">
        <v>302</v>
      </c>
      <c r="AM372" t="s">
        <v>293</v>
      </c>
      <c r="AN372" t="s">
        <v>293</v>
      </c>
      <c r="AO372" t="s">
        <v>296</v>
      </c>
      <c r="AP372" t="s">
        <v>298</v>
      </c>
      <c r="AQ372" t="s">
        <v>293</v>
      </c>
      <c r="AR372" t="s">
        <v>292</v>
      </c>
      <c r="AS372" t="s">
        <v>293</v>
      </c>
      <c r="AT372" t="s">
        <v>293</v>
      </c>
      <c r="AU372" t="s">
        <v>364</v>
      </c>
      <c r="AV372" t="str">
        <f t="shared" si="12"/>
        <v>break</v>
      </c>
    </row>
    <row r="373" spans="1:48" x14ac:dyDescent="0.3">
      <c r="A373" t="s">
        <v>9</v>
      </c>
      <c r="B373" t="s">
        <v>67</v>
      </c>
      <c r="C373" t="s">
        <v>19</v>
      </c>
      <c r="D373" t="s">
        <v>12</v>
      </c>
      <c r="E373" t="str">
        <f t="shared" si="11"/>
        <v>P_V2A-KYY-S_4U3</v>
      </c>
      <c r="F373" t="b">
        <v>1</v>
      </c>
      <c r="G373">
        <v>83.2</v>
      </c>
      <c r="H373">
        <v>0</v>
      </c>
      <c r="I373">
        <v>12045</v>
      </c>
      <c r="J373" s="49" t="s">
        <v>13</v>
      </c>
      <c r="L373" s="16" t="s">
        <v>272</v>
      </c>
      <c r="M373" s="16">
        <v>3</v>
      </c>
      <c r="N373" s="16" t="s">
        <v>277</v>
      </c>
      <c r="O373" s="16" t="s">
        <v>335</v>
      </c>
      <c r="P373" s="15" t="s">
        <v>283</v>
      </c>
      <c r="Q373" t="s">
        <v>339</v>
      </c>
      <c r="R373" t="s">
        <v>282</v>
      </c>
      <c r="S373" s="17" t="s">
        <v>371</v>
      </c>
      <c r="T373" s="16" t="s">
        <v>341</v>
      </c>
      <c r="U373" s="16" t="s">
        <v>342</v>
      </c>
      <c r="V373" s="15" t="s">
        <v>343</v>
      </c>
      <c r="W373" s="15" t="s">
        <v>344</v>
      </c>
      <c r="X373" s="17" t="s">
        <v>377</v>
      </c>
      <c r="Y373" t="s">
        <v>349</v>
      </c>
      <c r="Z373" t="s">
        <v>349</v>
      </c>
      <c r="AA373" t="s">
        <v>292</v>
      </c>
      <c r="AB373" t="s">
        <v>353</v>
      </c>
      <c r="AC373" t="s">
        <v>355</v>
      </c>
      <c r="AD373" t="s">
        <v>301</v>
      </c>
      <c r="AE373" t="s">
        <v>292</v>
      </c>
      <c r="AF373" t="s">
        <v>293</v>
      </c>
      <c r="AG373" t="s">
        <v>292</v>
      </c>
      <c r="AH373" t="s">
        <v>292</v>
      </c>
      <c r="AI373" t="s">
        <v>293</v>
      </c>
      <c r="AJ373" t="s">
        <v>302</v>
      </c>
      <c r="AK373" t="s">
        <v>302</v>
      </c>
      <c r="AL373" t="s">
        <v>359</v>
      </c>
      <c r="AM373" t="s">
        <v>293</v>
      </c>
      <c r="AN373" t="s">
        <v>293</v>
      </c>
      <c r="AO373" t="s">
        <v>297</v>
      </c>
      <c r="AP373" t="s">
        <v>298</v>
      </c>
      <c r="AQ373" t="s">
        <v>293</v>
      </c>
      <c r="AR373" t="s">
        <v>292</v>
      </c>
      <c r="AS373" t="s">
        <v>293</v>
      </c>
      <c r="AT373" t="s">
        <v>293</v>
      </c>
      <c r="AU373" t="s">
        <v>364</v>
      </c>
      <c r="AV373" t="str">
        <f t="shared" si="12"/>
        <v>no_fail</v>
      </c>
    </row>
    <row r="374" spans="1:48" x14ac:dyDescent="0.3">
      <c r="A374" t="s">
        <v>9</v>
      </c>
      <c r="B374" t="s">
        <v>67</v>
      </c>
      <c r="C374" t="s">
        <v>17</v>
      </c>
      <c r="D374" t="s">
        <v>12</v>
      </c>
      <c r="E374" t="str">
        <f t="shared" si="11"/>
        <v>P_V2A-KYY-S_6B5</v>
      </c>
      <c r="F374" t="b">
        <v>1</v>
      </c>
      <c r="G374">
        <v>62.3</v>
      </c>
      <c r="H374">
        <v>0</v>
      </c>
      <c r="I374">
        <v>14810</v>
      </c>
      <c r="J374" s="49" t="s">
        <v>13</v>
      </c>
      <c r="L374" s="16" t="s">
        <v>272</v>
      </c>
      <c r="M374" s="16">
        <v>3</v>
      </c>
      <c r="N374" s="16" t="s">
        <v>277</v>
      </c>
      <c r="O374" s="16" t="s">
        <v>335</v>
      </c>
      <c r="P374" s="15" t="s">
        <v>283</v>
      </c>
      <c r="Q374" t="s">
        <v>282</v>
      </c>
      <c r="R374" t="s">
        <v>371</v>
      </c>
      <c r="S374" s="17" t="s">
        <v>371</v>
      </c>
      <c r="T374" s="16" t="s">
        <v>341</v>
      </c>
      <c r="U374" s="16" t="s">
        <v>342</v>
      </c>
      <c r="V374" s="15" t="s">
        <v>343</v>
      </c>
      <c r="W374" s="15" t="s">
        <v>344</v>
      </c>
      <c r="X374" s="17"/>
      <c r="Y374" t="s">
        <v>349</v>
      </c>
      <c r="Z374" t="s">
        <v>349</v>
      </c>
      <c r="AA374" t="s">
        <v>293</v>
      </c>
      <c r="AB374" t="s">
        <v>353</v>
      </c>
      <c r="AC374" t="s">
        <v>355</v>
      </c>
      <c r="AD374" t="s">
        <v>301</v>
      </c>
      <c r="AE374" t="s">
        <v>292</v>
      </c>
      <c r="AF374" t="s">
        <v>293</v>
      </c>
      <c r="AG374" t="s">
        <v>292</v>
      </c>
      <c r="AH374" t="s">
        <v>292</v>
      </c>
      <c r="AI374" t="s">
        <v>293</v>
      </c>
      <c r="AJ374" t="s">
        <v>302</v>
      </c>
      <c r="AK374" t="s">
        <v>302</v>
      </c>
      <c r="AL374" t="s">
        <v>359</v>
      </c>
      <c r="AM374" t="s">
        <v>293</v>
      </c>
      <c r="AN374" t="s">
        <v>293</v>
      </c>
      <c r="AO374" t="s">
        <v>297</v>
      </c>
      <c r="AP374" t="s">
        <v>298</v>
      </c>
      <c r="AQ374" t="s">
        <v>293</v>
      </c>
      <c r="AR374" t="s">
        <v>292</v>
      </c>
      <c r="AS374" t="s">
        <v>293</v>
      </c>
      <c r="AT374" t="s">
        <v>293</v>
      </c>
      <c r="AU374" t="s">
        <v>364</v>
      </c>
      <c r="AV374" t="str">
        <f t="shared" si="12"/>
        <v>no_fail</v>
      </c>
    </row>
    <row r="375" spans="1:48" x14ac:dyDescent="0.3">
      <c r="A375" t="s">
        <v>9</v>
      </c>
      <c r="B375" t="s">
        <v>67</v>
      </c>
      <c r="C375" t="s">
        <v>16</v>
      </c>
      <c r="D375" t="s">
        <v>12</v>
      </c>
      <c r="E375" t="str">
        <f t="shared" si="11"/>
        <v>P_V2A-KYY-S_6U7</v>
      </c>
      <c r="F375" t="b">
        <v>1</v>
      </c>
      <c r="G375">
        <v>44.5</v>
      </c>
      <c r="H375">
        <v>0</v>
      </c>
      <c r="I375">
        <v>16540</v>
      </c>
      <c r="J375" s="49" t="s">
        <v>13</v>
      </c>
      <c r="L375" s="16" t="s">
        <v>272</v>
      </c>
      <c r="M375" s="16">
        <v>3</v>
      </c>
      <c r="N375" s="16" t="s">
        <v>277</v>
      </c>
      <c r="O375" s="16" t="s">
        <v>335</v>
      </c>
      <c r="P375" s="15" t="s">
        <v>283</v>
      </c>
      <c r="Q375" t="s">
        <v>282</v>
      </c>
      <c r="R375" t="s">
        <v>371</v>
      </c>
      <c r="S375" s="17" t="s">
        <v>371</v>
      </c>
      <c r="T375" s="16" t="s">
        <v>341</v>
      </c>
      <c r="U375" s="16" t="s">
        <v>342</v>
      </c>
      <c r="V375" s="15" t="s">
        <v>343</v>
      </c>
      <c r="W375" s="15" t="s">
        <v>344</v>
      </c>
      <c r="X375" s="17"/>
      <c r="Y375" t="s">
        <v>349</v>
      </c>
      <c r="Z375" t="s">
        <v>349</v>
      </c>
      <c r="AA375" t="s">
        <v>293</v>
      </c>
      <c r="AB375" t="s">
        <v>353</v>
      </c>
      <c r="AC375" t="s">
        <v>355</v>
      </c>
      <c r="AD375" t="s">
        <v>301</v>
      </c>
      <c r="AE375" t="s">
        <v>292</v>
      </c>
      <c r="AF375" t="s">
        <v>293</v>
      </c>
      <c r="AG375" t="s">
        <v>292</v>
      </c>
      <c r="AH375" t="s">
        <v>292</v>
      </c>
      <c r="AI375" t="s">
        <v>293</v>
      </c>
      <c r="AJ375" t="s">
        <v>302</v>
      </c>
      <c r="AK375" t="s">
        <v>302</v>
      </c>
      <c r="AL375" t="s">
        <v>359</v>
      </c>
      <c r="AM375" t="s">
        <v>293</v>
      </c>
      <c r="AN375" t="s">
        <v>293</v>
      </c>
      <c r="AO375" t="s">
        <v>297</v>
      </c>
      <c r="AP375" t="s">
        <v>298</v>
      </c>
      <c r="AQ375" t="s">
        <v>293</v>
      </c>
      <c r="AR375" t="s">
        <v>292</v>
      </c>
      <c r="AS375" t="s">
        <v>293</v>
      </c>
      <c r="AT375" t="s">
        <v>293</v>
      </c>
      <c r="AU375" t="s">
        <v>364</v>
      </c>
      <c r="AV375" t="str">
        <f t="shared" si="12"/>
        <v>no_fail</v>
      </c>
    </row>
    <row r="376" spans="1:48" x14ac:dyDescent="0.3">
      <c r="A376" t="s">
        <v>9</v>
      </c>
      <c r="B376" t="s">
        <v>67</v>
      </c>
      <c r="C376" t="s">
        <v>23</v>
      </c>
      <c r="D376" t="s">
        <v>29</v>
      </c>
      <c r="E376" t="str">
        <f t="shared" si="11"/>
        <v>P_V2A-ZSB-S_0T2</v>
      </c>
      <c r="F376" t="b">
        <v>1</v>
      </c>
      <c r="G376">
        <v>47.8</v>
      </c>
      <c r="H376">
        <v>0</v>
      </c>
      <c r="I376">
        <v>15375</v>
      </c>
      <c r="J376" s="49" t="s">
        <v>13</v>
      </c>
      <c r="L376" s="16" t="s">
        <v>272</v>
      </c>
      <c r="M376" s="16">
        <v>3</v>
      </c>
      <c r="N376" s="16" t="s">
        <v>277</v>
      </c>
      <c r="O376" s="16" t="s">
        <v>335</v>
      </c>
      <c r="P376" s="15" t="s">
        <v>282</v>
      </c>
      <c r="Q376" t="s">
        <v>371</v>
      </c>
      <c r="R376" t="s">
        <v>371</v>
      </c>
      <c r="S376" s="17" t="s">
        <v>371</v>
      </c>
      <c r="T376" s="16" t="s">
        <v>341</v>
      </c>
      <c r="U376" s="16" t="s">
        <v>340</v>
      </c>
      <c r="V376" s="15" t="s">
        <v>343</v>
      </c>
      <c r="W376" s="15" t="s">
        <v>345</v>
      </c>
      <c r="X376" s="17"/>
      <c r="Y376" t="s">
        <v>349</v>
      </c>
      <c r="Z376" t="s">
        <v>349</v>
      </c>
      <c r="AA376" t="s">
        <v>293</v>
      </c>
      <c r="AB376" t="s">
        <v>353</v>
      </c>
      <c r="AC376" t="s">
        <v>296</v>
      </c>
      <c r="AD376" t="s">
        <v>301</v>
      </c>
      <c r="AE376" t="s">
        <v>292</v>
      </c>
      <c r="AF376" t="s">
        <v>293</v>
      </c>
      <c r="AG376" t="s">
        <v>292</v>
      </c>
      <c r="AH376" t="s">
        <v>292</v>
      </c>
      <c r="AI376" t="s">
        <v>293</v>
      </c>
      <c r="AJ376" t="s">
        <v>302</v>
      </c>
      <c r="AK376" t="s">
        <v>302</v>
      </c>
      <c r="AL376" t="s">
        <v>359</v>
      </c>
      <c r="AM376" t="s">
        <v>293</v>
      </c>
      <c r="AN376" t="s">
        <v>293</v>
      </c>
      <c r="AO376" t="s">
        <v>297</v>
      </c>
      <c r="AP376" t="s">
        <v>298</v>
      </c>
      <c r="AQ376" t="s">
        <v>293</v>
      </c>
      <c r="AR376" t="s">
        <v>292</v>
      </c>
      <c r="AS376" t="s">
        <v>293</v>
      </c>
      <c r="AT376" t="s">
        <v>293</v>
      </c>
      <c r="AU376" t="s">
        <v>364</v>
      </c>
      <c r="AV376" t="str">
        <f t="shared" si="12"/>
        <v>no_fail</v>
      </c>
    </row>
    <row r="377" spans="1:48" x14ac:dyDescent="0.3">
      <c r="A377" t="s">
        <v>9</v>
      </c>
      <c r="B377" t="s">
        <v>67</v>
      </c>
      <c r="C377" t="s">
        <v>25</v>
      </c>
      <c r="D377" t="s">
        <v>29</v>
      </c>
      <c r="E377" t="str">
        <f t="shared" si="11"/>
        <v>P_V2A-ZSB-S_1J8</v>
      </c>
      <c r="F377" t="b">
        <v>1</v>
      </c>
      <c r="G377">
        <v>56.6</v>
      </c>
      <c r="H377">
        <v>0</v>
      </c>
      <c r="I377">
        <v>11010</v>
      </c>
      <c r="J377" s="49" t="s">
        <v>13</v>
      </c>
      <c r="L377" s="16" t="s">
        <v>272</v>
      </c>
      <c r="M377" s="16">
        <v>3</v>
      </c>
      <c r="N377" s="16" t="s">
        <v>277</v>
      </c>
      <c r="O377" s="16" t="s">
        <v>335</v>
      </c>
      <c r="P377" s="15" t="s">
        <v>282</v>
      </c>
      <c r="Q377" t="s">
        <v>371</v>
      </c>
      <c r="R377" t="s">
        <v>371</v>
      </c>
      <c r="S377" s="17" t="s">
        <v>371</v>
      </c>
      <c r="T377" s="16" t="s">
        <v>341</v>
      </c>
      <c r="U377" s="16" t="s">
        <v>340</v>
      </c>
      <c r="V377" s="15" t="s">
        <v>343</v>
      </c>
      <c r="W377" s="15" t="s">
        <v>345</v>
      </c>
      <c r="X377" s="17"/>
      <c r="Y377" t="s">
        <v>349</v>
      </c>
      <c r="Z377" t="s">
        <v>349</v>
      </c>
      <c r="AA377" t="s">
        <v>293</v>
      </c>
      <c r="AB377" t="s">
        <v>352</v>
      </c>
      <c r="AC377" t="s">
        <v>296</v>
      </c>
      <c r="AD377" t="s">
        <v>301</v>
      </c>
      <c r="AE377" t="s">
        <v>292</v>
      </c>
      <c r="AF377" t="s">
        <v>293</v>
      </c>
      <c r="AG377" t="s">
        <v>292</v>
      </c>
      <c r="AH377" t="s">
        <v>292</v>
      </c>
      <c r="AI377" t="s">
        <v>293</v>
      </c>
      <c r="AJ377" t="s">
        <v>302</v>
      </c>
      <c r="AK377" t="s">
        <v>302</v>
      </c>
      <c r="AL377" t="s">
        <v>359</v>
      </c>
      <c r="AM377" t="s">
        <v>293</v>
      </c>
      <c r="AN377" t="s">
        <v>293</v>
      </c>
      <c r="AO377" t="s">
        <v>297</v>
      </c>
      <c r="AP377" t="s">
        <v>298</v>
      </c>
      <c r="AQ377" t="s">
        <v>293</v>
      </c>
      <c r="AR377" t="s">
        <v>292</v>
      </c>
      <c r="AS377" t="s">
        <v>293</v>
      </c>
      <c r="AT377" t="s">
        <v>293</v>
      </c>
      <c r="AU377" t="s">
        <v>364</v>
      </c>
      <c r="AV377" t="str">
        <f t="shared" si="12"/>
        <v>no_fail</v>
      </c>
    </row>
    <row r="378" spans="1:48" x14ac:dyDescent="0.3">
      <c r="A378" t="s">
        <v>9</v>
      </c>
      <c r="B378" t="s">
        <v>67</v>
      </c>
      <c r="C378" t="s">
        <v>24</v>
      </c>
      <c r="D378" t="s">
        <v>29</v>
      </c>
      <c r="E378" t="str">
        <f t="shared" si="11"/>
        <v>P_V2A-ZSB-S_1U0</v>
      </c>
      <c r="F378" t="b">
        <v>1</v>
      </c>
      <c r="G378">
        <v>53.1</v>
      </c>
      <c r="H378">
        <v>0</v>
      </c>
      <c r="I378">
        <v>12173</v>
      </c>
      <c r="J378" s="49" t="s">
        <v>13</v>
      </c>
      <c r="L378" s="16" t="s">
        <v>272</v>
      </c>
      <c r="M378" s="16">
        <v>3</v>
      </c>
      <c r="N378" s="16" t="s">
        <v>277</v>
      </c>
      <c r="O378" s="16" t="s">
        <v>335</v>
      </c>
      <c r="P378" s="15" t="s">
        <v>282</v>
      </c>
      <c r="Q378" t="s">
        <v>371</v>
      </c>
      <c r="R378" t="s">
        <v>371</v>
      </c>
      <c r="S378" s="17" t="s">
        <v>371</v>
      </c>
      <c r="T378" s="16" t="s">
        <v>341</v>
      </c>
      <c r="U378" s="16" t="s">
        <v>340</v>
      </c>
      <c r="V378" s="15" t="s">
        <v>343</v>
      </c>
      <c r="W378" s="15" t="s">
        <v>345</v>
      </c>
      <c r="X378" s="17"/>
      <c r="Y378" t="s">
        <v>349</v>
      </c>
      <c r="Z378" t="s">
        <v>349</v>
      </c>
      <c r="AA378" t="s">
        <v>293</v>
      </c>
      <c r="AB378" t="s">
        <v>352</v>
      </c>
      <c r="AC378" t="s">
        <v>296</v>
      </c>
      <c r="AD378" t="s">
        <v>301</v>
      </c>
      <c r="AE378" t="s">
        <v>292</v>
      </c>
      <c r="AF378" t="s">
        <v>293</v>
      </c>
      <c r="AG378" t="s">
        <v>292</v>
      </c>
      <c r="AH378" t="s">
        <v>292</v>
      </c>
      <c r="AI378" t="s">
        <v>293</v>
      </c>
      <c r="AJ378" t="s">
        <v>302</v>
      </c>
      <c r="AK378" t="s">
        <v>302</v>
      </c>
      <c r="AL378" t="s">
        <v>359</v>
      </c>
      <c r="AM378" t="s">
        <v>293</v>
      </c>
      <c r="AN378" t="s">
        <v>293</v>
      </c>
      <c r="AO378" t="s">
        <v>297</v>
      </c>
      <c r="AP378" t="s">
        <v>298</v>
      </c>
      <c r="AQ378" t="s">
        <v>293</v>
      </c>
      <c r="AR378" t="s">
        <v>292</v>
      </c>
      <c r="AS378" t="s">
        <v>293</v>
      </c>
      <c r="AT378" t="s">
        <v>293</v>
      </c>
      <c r="AU378" t="s">
        <v>364</v>
      </c>
      <c r="AV378" t="str">
        <f t="shared" si="12"/>
        <v>no_fail</v>
      </c>
    </row>
    <row r="379" spans="1:48" x14ac:dyDescent="0.3">
      <c r="A379" t="s">
        <v>9</v>
      </c>
      <c r="B379" t="s">
        <v>67</v>
      </c>
      <c r="C379" t="s">
        <v>21</v>
      </c>
      <c r="D379" t="s">
        <v>29</v>
      </c>
      <c r="E379" t="str">
        <f t="shared" si="11"/>
        <v>P_V2A-ZSB-S_3X6</v>
      </c>
      <c r="F379" t="b">
        <v>1</v>
      </c>
      <c r="G379">
        <v>100</v>
      </c>
      <c r="H379">
        <v>1</v>
      </c>
      <c r="I379">
        <v>10549</v>
      </c>
      <c r="J379" s="49" t="s">
        <v>18</v>
      </c>
      <c r="L379" s="16" t="s">
        <v>272</v>
      </c>
      <c r="M379" s="16">
        <v>2</v>
      </c>
      <c r="N379" s="16" t="s">
        <v>277</v>
      </c>
      <c r="O379" s="16" t="s">
        <v>335</v>
      </c>
      <c r="P379" s="15" t="s">
        <v>282</v>
      </c>
      <c r="Q379" t="s">
        <v>371</v>
      </c>
      <c r="R379" t="s">
        <v>371</v>
      </c>
      <c r="S379" s="17" t="s">
        <v>371</v>
      </c>
      <c r="T379" s="16" t="s">
        <v>341</v>
      </c>
      <c r="U379" s="16" t="s">
        <v>340</v>
      </c>
      <c r="V379" s="15" t="s">
        <v>340</v>
      </c>
      <c r="W379" s="15" t="s">
        <v>345</v>
      </c>
      <c r="X379" s="17"/>
      <c r="Y379" t="s">
        <v>349</v>
      </c>
      <c r="Z379" t="s">
        <v>349</v>
      </c>
      <c r="AA379" t="s">
        <v>293</v>
      </c>
      <c r="AB379" t="s">
        <v>354</v>
      </c>
      <c r="AC379" t="s">
        <v>354</v>
      </c>
      <c r="AD379" t="s">
        <v>301</v>
      </c>
      <c r="AE379" t="s">
        <v>292</v>
      </c>
      <c r="AF379" t="s">
        <v>293</v>
      </c>
      <c r="AG379" t="s">
        <v>292</v>
      </c>
      <c r="AH379" t="s">
        <v>292</v>
      </c>
      <c r="AI379" t="s">
        <v>293</v>
      </c>
      <c r="AJ379" t="s">
        <v>302</v>
      </c>
      <c r="AK379" t="s">
        <v>302</v>
      </c>
      <c r="AL379" t="s">
        <v>357</v>
      </c>
      <c r="AM379" t="s">
        <v>293</v>
      </c>
      <c r="AN379" t="s">
        <v>293</v>
      </c>
      <c r="AO379" t="s">
        <v>297</v>
      </c>
      <c r="AP379" t="s">
        <v>298</v>
      </c>
      <c r="AQ379" t="s">
        <v>293</v>
      </c>
      <c r="AR379" t="s">
        <v>292</v>
      </c>
      <c r="AS379" t="s">
        <v>293</v>
      </c>
      <c r="AT379" t="s">
        <v>293</v>
      </c>
      <c r="AU379" t="s">
        <v>364</v>
      </c>
      <c r="AV379" t="str">
        <f t="shared" si="12"/>
        <v>break</v>
      </c>
    </row>
    <row r="380" spans="1:48" x14ac:dyDescent="0.3">
      <c r="A380" t="s">
        <v>9</v>
      </c>
      <c r="B380" t="s">
        <v>67</v>
      </c>
      <c r="C380" t="s">
        <v>30</v>
      </c>
      <c r="D380" t="s">
        <v>29</v>
      </c>
      <c r="E380" t="str">
        <f t="shared" si="11"/>
        <v>P_V2A-ZSB-S_3X7</v>
      </c>
      <c r="F380" t="b">
        <v>1</v>
      </c>
      <c r="G380">
        <v>100</v>
      </c>
      <c r="H380">
        <v>1</v>
      </c>
      <c r="I380">
        <v>13633</v>
      </c>
      <c r="J380" s="49" t="s">
        <v>18</v>
      </c>
      <c r="L380" s="16" t="s">
        <v>272</v>
      </c>
      <c r="M380" s="16">
        <v>3</v>
      </c>
      <c r="N380" s="16" t="s">
        <v>277</v>
      </c>
      <c r="O380" s="16" t="s">
        <v>335</v>
      </c>
      <c r="P380" s="15" t="s">
        <v>282</v>
      </c>
      <c r="Q380" t="s">
        <v>371</v>
      </c>
      <c r="R380" t="s">
        <v>371</v>
      </c>
      <c r="S380" s="17" t="s">
        <v>371</v>
      </c>
      <c r="T380" s="16" t="s">
        <v>341</v>
      </c>
      <c r="U380" s="16" t="s">
        <v>342</v>
      </c>
      <c r="V380" s="15" t="s">
        <v>343</v>
      </c>
      <c r="W380" s="15" t="s">
        <v>344</v>
      </c>
      <c r="X380" s="17"/>
      <c r="Y380" t="s">
        <v>349</v>
      </c>
      <c r="Z380" t="s">
        <v>349</v>
      </c>
      <c r="AA380" t="s">
        <v>293</v>
      </c>
      <c r="AB380" t="s">
        <v>353</v>
      </c>
      <c r="AC380" t="s">
        <v>296</v>
      </c>
      <c r="AD380" t="s">
        <v>301</v>
      </c>
      <c r="AE380" t="s">
        <v>292</v>
      </c>
      <c r="AF380" t="s">
        <v>293</v>
      </c>
      <c r="AG380" t="s">
        <v>292</v>
      </c>
      <c r="AH380" t="s">
        <v>292</v>
      </c>
      <c r="AI380" t="s">
        <v>293</v>
      </c>
      <c r="AJ380" t="s">
        <v>302</v>
      </c>
      <c r="AK380" t="s">
        <v>302</v>
      </c>
      <c r="AL380" t="s">
        <v>359</v>
      </c>
      <c r="AM380" t="s">
        <v>293</v>
      </c>
      <c r="AN380" t="s">
        <v>293</v>
      </c>
      <c r="AO380" t="s">
        <v>297</v>
      </c>
      <c r="AP380" t="s">
        <v>298</v>
      </c>
      <c r="AQ380" t="s">
        <v>293</v>
      </c>
      <c r="AR380" t="s">
        <v>292</v>
      </c>
      <c r="AS380" t="s">
        <v>293</v>
      </c>
      <c r="AT380" t="s">
        <v>293</v>
      </c>
      <c r="AU380" t="s">
        <v>364</v>
      </c>
      <c r="AV380" t="str">
        <f t="shared" si="12"/>
        <v>break</v>
      </c>
    </row>
    <row r="381" spans="1:48" x14ac:dyDescent="0.3">
      <c r="A381" t="s">
        <v>9</v>
      </c>
      <c r="B381" t="s">
        <v>67</v>
      </c>
      <c r="C381" t="s">
        <v>20</v>
      </c>
      <c r="D381" t="s">
        <v>29</v>
      </c>
      <c r="E381" t="str">
        <f t="shared" si="11"/>
        <v>P_V2A-ZSB-S_7W0</v>
      </c>
      <c r="F381" t="b">
        <v>1</v>
      </c>
      <c r="G381">
        <v>100</v>
      </c>
      <c r="H381">
        <v>1</v>
      </c>
      <c r="I381">
        <v>9742</v>
      </c>
      <c r="J381" s="49" t="s">
        <v>18</v>
      </c>
      <c r="L381" s="16" t="s">
        <v>272</v>
      </c>
      <c r="M381" s="16">
        <v>2</v>
      </c>
      <c r="N381" s="16" t="s">
        <v>277</v>
      </c>
      <c r="O381" s="16" t="s">
        <v>335</v>
      </c>
      <c r="P381" s="15" t="s">
        <v>282</v>
      </c>
      <c r="Q381" t="s">
        <v>371</v>
      </c>
      <c r="R381" t="s">
        <v>371</v>
      </c>
      <c r="S381" s="17" t="s">
        <v>371</v>
      </c>
      <c r="T381" s="16" t="s">
        <v>341</v>
      </c>
      <c r="U381" s="16" t="s">
        <v>340</v>
      </c>
      <c r="V381" s="15" t="s">
        <v>340</v>
      </c>
      <c r="W381" s="15" t="s">
        <v>345</v>
      </c>
      <c r="X381" s="17"/>
      <c r="Y381" t="s">
        <v>349</v>
      </c>
      <c r="Z381" t="s">
        <v>349</v>
      </c>
      <c r="AA381" t="s">
        <v>293</v>
      </c>
      <c r="AB381" t="s">
        <v>354</v>
      </c>
      <c r="AC381" t="s">
        <v>354</v>
      </c>
      <c r="AD381" t="s">
        <v>301</v>
      </c>
      <c r="AE381" t="s">
        <v>292</v>
      </c>
      <c r="AF381" t="s">
        <v>293</v>
      </c>
      <c r="AG381" t="s">
        <v>292</v>
      </c>
      <c r="AH381" t="s">
        <v>293</v>
      </c>
      <c r="AI381" t="s">
        <v>293</v>
      </c>
      <c r="AJ381" t="s">
        <v>302</v>
      </c>
      <c r="AK381" t="s">
        <v>302</v>
      </c>
      <c r="AL381" t="s">
        <v>357</v>
      </c>
      <c r="AM381" t="s">
        <v>293</v>
      </c>
      <c r="AN381" t="s">
        <v>293</v>
      </c>
      <c r="AO381" t="s">
        <v>297</v>
      </c>
      <c r="AP381" t="s">
        <v>298</v>
      </c>
      <c r="AQ381" t="s">
        <v>293</v>
      </c>
      <c r="AR381" t="s">
        <v>292</v>
      </c>
      <c r="AS381" t="s">
        <v>293</v>
      </c>
      <c r="AT381" t="s">
        <v>293</v>
      </c>
      <c r="AU381" t="s">
        <v>364</v>
      </c>
      <c r="AV381" t="str">
        <f t="shared" si="12"/>
        <v>break</v>
      </c>
    </row>
    <row r="382" spans="1:48" x14ac:dyDescent="0.3">
      <c r="A382" t="s">
        <v>9</v>
      </c>
      <c r="B382" t="s">
        <v>67</v>
      </c>
      <c r="C382" t="s">
        <v>26</v>
      </c>
      <c r="D382" t="s">
        <v>29</v>
      </c>
      <c r="E382" t="str">
        <f t="shared" si="11"/>
        <v>P_V2A-ZSB-S_8O8</v>
      </c>
      <c r="F382" t="b">
        <v>1</v>
      </c>
      <c r="G382">
        <v>100</v>
      </c>
      <c r="H382">
        <v>1</v>
      </c>
      <c r="I382">
        <v>9899</v>
      </c>
      <c r="J382" s="49" t="s">
        <v>18</v>
      </c>
      <c r="L382" s="16" t="s">
        <v>272</v>
      </c>
      <c r="M382" s="16">
        <v>3</v>
      </c>
      <c r="N382" s="16" t="s">
        <v>277</v>
      </c>
      <c r="O382" s="16" t="s">
        <v>335</v>
      </c>
      <c r="P382" s="15" t="s">
        <v>282</v>
      </c>
      <c r="Q382" t="s">
        <v>371</v>
      </c>
      <c r="R382" t="s">
        <v>371</v>
      </c>
      <c r="S382" s="17" t="s">
        <v>371</v>
      </c>
      <c r="T382" s="16" t="s">
        <v>341</v>
      </c>
      <c r="U382" s="16" t="s">
        <v>340</v>
      </c>
      <c r="V382" s="15" t="s">
        <v>343</v>
      </c>
      <c r="W382" s="15" t="s">
        <v>344</v>
      </c>
      <c r="X382" s="17"/>
      <c r="Y382" t="s">
        <v>349</v>
      </c>
      <c r="Z382" t="s">
        <v>349</v>
      </c>
      <c r="AA382" t="s">
        <v>293</v>
      </c>
      <c r="AB382" t="s">
        <v>353</v>
      </c>
      <c r="AC382" t="s">
        <v>296</v>
      </c>
      <c r="AD382" t="s">
        <v>301</v>
      </c>
      <c r="AE382" t="s">
        <v>292</v>
      </c>
      <c r="AF382" t="s">
        <v>293</v>
      </c>
      <c r="AG382" t="s">
        <v>292</v>
      </c>
      <c r="AH382" t="s">
        <v>292</v>
      </c>
      <c r="AI382" t="s">
        <v>293</v>
      </c>
      <c r="AJ382" t="s">
        <v>358</v>
      </c>
      <c r="AK382" t="s">
        <v>358</v>
      </c>
      <c r="AL382" t="s">
        <v>359</v>
      </c>
      <c r="AM382" t="s">
        <v>293</v>
      </c>
      <c r="AN382" t="s">
        <v>293</v>
      </c>
      <c r="AO382" t="s">
        <v>296</v>
      </c>
      <c r="AP382" t="s">
        <v>298</v>
      </c>
      <c r="AQ382" t="s">
        <v>293</v>
      </c>
      <c r="AR382" t="s">
        <v>292</v>
      </c>
      <c r="AS382" t="s">
        <v>293</v>
      </c>
      <c r="AT382" t="s">
        <v>293</v>
      </c>
      <c r="AU382" t="s">
        <v>364</v>
      </c>
      <c r="AV382" t="str">
        <f t="shared" si="12"/>
        <v>break</v>
      </c>
    </row>
    <row r="383" spans="1:48" x14ac:dyDescent="0.3">
      <c r="A383" t="s">
        <v>9</v>
      </c>
      <c r="B383" t="s">
        <v>67</v>
      </c>
      <c r="C383" t="s">
        <v>22</v>
      </c>
      <c r="D383" t="s">
        <v>29</v>
      </c>
      <c r="E383" t="str">
        <f t="shared" si="11"/>
        <v>P_V2A-ZSB-S_9B4</v>
      </c>
      <c r="F383" t="b">
        <v>1</v>
      </c>
      <c r="G383">
        <v>100</v>
      </c>
      <c r="H383">
        <v>1</v>
      </c>
      <c r="I383">
        <v>20097</v>
      </c>
      <c r="J383" s="49" t="s">
        <v>18</v>
      </c>
      <c r="L383" s="16" t="s">
        <v>272</v>
      </c>
      <c r="M383" s="16">
        <v>2</v>
      </c>
      <c r="N383" s="16" t="s">
        <v>277</v>
      </c>
      <c r="O383" s="16" t="s">
        <v>335</v>
      </c>
      <c r="P383" s="15" t="s">
        <v>282</v>
      </c>
      <c r="Q383" t="s">
        <v>371</v>
      </c>
      <c r="R383" t="s">
        <v>371</v>
      </c>
      <c r="S383" s="17" t="s">
        <v>371</v>
      </c>
      <c r="T383" s="16" t="s">
        <v>341</v>
      </c>
      <c r="U383" s="16" t="s">
        <v>340</v>
      </c>
      <c r="V383" s="15" t="s">
        <v>340</v>
      </c>
      <c r="W383" s="15" t="s">
        <v>345</v>
      </c>
      <c r="X383" s="17"/>
      <c r="Y383" t="s">
        <v>349</v>
      </c>
      <c r="Z383" t="s">
        <v>349</v>
      </c>
      <c r="AA383" t="s">
        <v>293</v>
      </c>
      <c r="AB383" t="s">
        <v>354</v>
      </c>
      <c r="AC383" t="s">
        <v>354</v>
      </c>
      <c r="AD383" t="s">
        <v>301</v>
      </c>
      <c r="AE383" t="s">
        <v>292</v>
      </c>
      <c r="AF383" t="s">
        <v>293</v>
      </c>
      <c r="AG383" t="s">
        <v>293</v>
      </c>
      <c r="AH383" t="s">
        <v>292</v>
      </c>
      <c r="AI383" t="s">
        <v>293</v>
      </c>
      <c r="AJ383" t="s">
        <v>302</v>
      </c>
      <c r="AK383" t="s">
        <v>302</v>
      </c>
      <c r="AL383" t="s">
        <v>357</v>
      </c>
      <c r="AM383" t="s">
        <v>293</v>
      </c>
      <c r="AN383" t="s">
        <v>293</v>
      </c>
      <c r="AO383" t="s">
        <v>296</v>
      </c>
      <c r="AP383" t="s">
        <v>298</v>
      </c>
      <c r="AQ383" t="s">
        <v>293</v>
      </c>
      <c r="AR383" t="s">
        <v>292</v>
      </c>
      <c r="AS383" t="s">
        <v>293</v>
      </c>
      <c r="AT383" t="s">
        <v>293</v>
      </c>
      <c r="AU383" t="s">
        <v>364</v>
      </c>
      <c r="AV383" t="str">
        <f t="shared" si="12"/>
        <v>break</v>
      </c>
    </row>
    <row r="384" spans="1:48" x14ac:dyDescent="0.3">
      <c r="A384" t="s">
        <v>9</v>
      </c>
      <c r="B384" t="s">
        <v>67</v>
      </c>
      <c r="C384" t="s">
        <v>31</v>
      </c>
      <c r="D384" t="s">
        <v>29</v>
      </c>
      <c r="E384" t="str">
        <f t="shared" si="11"/>
        <v>P_V2A-ZSB-S_9E0</v>
      </c>
      <c r="F384" t="b">
        <v>1</v>
      </c>
      <c r="G384">
        <v>59.5</v>
      </c>
      <c r="H384">
        <v>0</v>
      </c>
      <c r="I384">
        <v>13679</v>
      </c>
      <c r="J384" s="49" t="s">
        <v>13</v>
      </c>
      <c r="L384" s="16" t="s">
        <v>272</v>
      </c>
      <c r="M384" s="16">
        <v>3</v>
      </c>
      <c r="N384" s="16" t="s">
        <v>277</v>
      </c>
      <c r="O384" s="16" t="s">
        <v>335</v>
      </c>
      <c r="P384" s="15" t="s">
        <v>282</v>
      </c>
      <c r="Q384" t="s">
        <v>371</v>
      </c>
      <c r="R384" t="s">
        <v>371</v>
      </c>
      <c r="S384" s="17" t="s">
        <v>371</v>
      </c>
      <c r="T384" s="16" t="s">
        <v>341</v>
      </c>
      <c r="U384" s="16" t="s">
        <v>342</v>
      </c>
      <c r="V384" s="15" t="s">
        <v>343</v>
      </c>
      <c r="W384" s="15" t="s">
        <v>344</v>
      </c>
      <c r="X384" s="17"/>
      <c r="Y384" t="s">
        <v>349</v>
      </c>
      <c r="Z384" t="s">
        <v>349</v>
      </c>
      <c r="AA384" t="s">
        <v>293</v>
      </c>
      <c r="AB384" t="s">
        <v>353</v>
      </c>
      <c r="AC384" t="s">
        <v>296</v>
      </c>
      <c r="AD384" t="s">
        <v>301</v>
      </c>
      <c r="AE384" t="s">
        <v>292</v>
      </c>
      <c r="AF384" t="s">
        <v>293</v>
      </c>
      <c r="AG384" t="s">
        <v>292</v>
      </c>
      <c r="AH384" t="s">
        <v>292</v>
      </c>
      <c r="AI384" t="s">
        <v>293</v>
      </c>
      <c r="AJ384" t="s">
        <v>302</v>
      </c>
      <c r="AK384" t="s">
        <v>302</v>
      </c>
      <c r="AL384" t="s">
        <v>359</v>
      </c>
      <c r="AM384" t="s">
        <v>293</v>
      </c>
      <c r="AN384" t="s">
        <v>293</v>
      </c>
      <c r="AO384" t="s">
        <v>297</v>
      </c>
      <c r="AP384" t="s">
        <v>298</v>
      </c>
      <c r="AQ384" t="s">
        <v>293</v>
      </c>
      <c r="AR384" t="s">
        <v>292</v>
      </c>
      <c r="AS384" t="s">
        <v>293</v>
      </c>
      <c r="AT384" t="s">
        <v>293</v>
      </c>
      <c r="AU384" t="s">
        <v>364</v>
      </c>
      <c r="AV384" t="str">
        <f t="shared" si="12"/>
        <v>no_fail</v>
      </c>
    </row>
    <row r="385" spans="1:48" x14ac:dyDescent="0.3">
      <c r="A385" t="s">
        <v>9</v>
      </c>
      <c r="B385" t="s">
        <v>67</v>
      </c>
      <c r="C385" t="s">
        <v>27</v>
      </c>
      <c r="D385" t="s">
        <v>29</v>
      </c>
      <c r="E385" t="str">
        <f t="shared" si="11"/>
        <v>P_V2A-ZSB-S_9F6</v>
      </c>
      <c r="F385" t="b">
        <v>1</v>
      </c>
      <c r="G385">
        <v>52.8</v>
      </c>
      <c r="H385">
        <v>0</v>
      </c>
      <c r="I385">
        <v>16680</v>
      </c>
      <c r="J385" s="49" t="s">
        <v>13</v>
      </c>
      <c r="L385" s="16" t="s">
        <v>272</v>
      </c>
      <c r="M385" s="16">
        <v>3</v>
      </c>
      <c r="N385" s="16" t="s">
        <v>277</v>
      </c>
      <c r="O385" s="16" t="s">
        <v>335</v>
      </c>
      <c r="P385" s="15" t="s">
        <v>282</v>
      </c>
      <c r="Q385" t="s">
        <v>371</v>
      </c>
      <c r="R385" t="s">
        <v>371</v>
      </c>
      <c r="S385" s="17" t="s">
        <v>371</v>
      </c>
      <c r="T385" s="16" t="s">
        <v>341</v>
      </c>
      <c r="U385" s="16" t="s">
        <v>342</v>
      </c>
      <c r="V385" s="15" t="s">
        <v>343</v>
      </c>
      <c r="W385" s="15" t="s">
        <v>344</v>
      </c>
      <c r="X385" s="17" t="s">
        <v>291</v>
      </c>
      <c r="Y385" t="s">
        <v>349</v>
      </c>
      <c r="Z385" t="s">
        <v>349</v>
      </c>
      <c r="AA385" t="s">
        <v>293</v>
      </c>
      <c r="AB385" t="s">
        <v>353</v>
      </c>
      <c r="AC385" t="s">
        <v>296</v>
      </c>
      <c r="AD385" t="s">
        <v>301</v>
      </c>
      <c r="AE385" t="s">
        <v>292</v>
      </c>
      <c r="AF385" t="s">
        <v>293</v>
      </c>
      <c r="AG385" t="s">
        <v>292</v>
      </c>
      <c r="AH385" t="s">
        <v>292</v>
      </c>
      <c r="AI385" t="s">
        <v>293</v>
      </c>
      <c r="AJ385" t="s">
        <v>302</v>
      </c>
      <c r="AK385" t="s">
        <v>302</v>
      </c>
      <c r="AL385" t="s">
        <v>359</v>
      </c>
      <c r="AM385" t="s">
        <v>293</v>
      </c>
      <c r="AN385" t="s">
        <v>293</v>
      </c>
      <c r="AO385" t="s">
        <v>296</v>
      </c>
      <c r="AP385" t="s">
        <v>298</v>
      </c>
      <c r="AQ385" t="s">
        <v>293</v>
      </c>
      <c r="AR385" t="s">
        <v>292</v>
      </c>
      <c r="AS385" t="s">
        <v>293</v>
      </c>
      <c r="AT385" t="s">
        <v>293</v>
      </c>
      <c r="AU385" t="s">
        <v>364</v>
      </c>
      <c r="AV385" t="str">
        <f t="shared" si="12"/>
        <v>no_fail</v>
      </c>
    </row>
    <row r="386" spans="1:48" x14ac:dyDescent="0.3">
      <c r="A386" t="s">
        <v>9</v>
      </c>
      <c r="B386" t="s">
        <v>67</v>
      </c>
      <c r="C386" t="s">
        <v>28</v>
      </c>
      <c r="D386" t="s">
        <v>29</v>
      </c>
      <c r="E386" t="str">
        <f t="shared" ref="E386:E449" si="13">B386&amp;"-"&amp;D386&amp;"-"&amp;C386</f>
        <v>P_V2A-ZSB-S_9T2</v>
      </c>
      <c r="F386" t="b">
        <v>1</v>
      </c>
      <c r="G386">
        <v>59.8</v>
      </c>
      <c r="H386">
        <v>0</v>
      </c>
      <c r="I386">
        <v>14565</v>
      </c>
      <c r="J386" s="49" t="s">
        <v>13</v>
      </c>
      <c r="L386" s="16" t="s">
        <v>272</v>
      </c>
      <c r="M386" s="16">
        <v>3</v>
      </c>
      <c r="N386" s="16" t="s">
        <v>277</v>
      </c>
      <c r="O386" s="16" t="s">
        <v>335</v>
      </c>
      <c r="P386" s="15" t="s">
        <v>282</v>
      </c>
      <c r="Q386" t="s">
        <v>371</v>
      </c>
      <c r="R386" t="s">
        <v>371</v>
      </c>
      <c r="S386" s="17" t="s">
        <v>371</v>
      </c>
      <c r="T386" s="16" t="s">
        <v>341</v>
      </c>
      <c r="U386" s="16" t="s">
        <v>342</v>
      </c>
      <c r="V386" s="15" t="s">
        <v>343</v>
      </c>
      <c r="W386" s="15" t="s">
        <v>344</v>
      </c>
      <c r="X386" s="17" t="s">
        <v>291</v>
      </c>
      <c r="Y386" t="s">
        <v>349</v>
      </c>
      <c r="Z386" t="s">
        <v>349</v>
      </c>
      <c r="AA386" t="s">
        <v>293</v>
      </c>
      <c r="AB386" t="s">
        <v>353</v>
      </c>
      <c r="AC386" t="s">
        <v>296</v>
      </c>
      <c r="AD386" t="s">
        <v>301</v>
      </c>
      <c r="AE386" t="s">
        <v>292</v>
      </c>
      <c r="AF386" t="s">
        <v>293</v>
      </c>
      <c r="AG386" t="s">
        <v>292</v>
      </c>
      <c r="AH386" t="s">
        <v>292</v>
      </c>
      <c r="AI386" t="s">
        <v>293</v>
      </c>
      <c r="AJ386" t="s">
        <v>302</v>
      </c>
      <c r="AK386" t="s">
        <v>302</v>
      </c>
      <c r="AL386" t="s">
        <v>359</v>
      </c>
      <c r="AM386" t="s">
        <v>293</v>
      </c>
      <c r="AN386" t="s">
        <v>293</v>
      </c>
      <c r="AO386" t="s">
        <v>296</v>
      </c>
      <c r="AP386" t="s">
        <v>298</v>
      </c>
      <c r="AQ386" t="s">
        <v>293</v>
      </c>
      <c r="AR386" t="s">
        <v>292</v>
      </c>
      <c r="AS386" t="s">
        <v>293</v>
      </c>
      <c r="AT386" t="s">
        <v>293</v>
      </c>
      <c r="AU386" t="s">
        <v>364</v>
      </c>
      <c r="AV386" t="str">
        <f t="shared" si="12"/>
        <v>no_fail</v>
      </c>
    </row>
    <row r="387" spans="1:48" x14ac:dyDescent="0.3">
      <c r="A387" t="s">
        <v>43</v>
      </c>
      <c r="B387" t="s">
        <v>44</v>
      </c>
      <c r="C387" t="s">
        <v>15</v>
      </c>
      <c r="D387" t="s">
        <v>12</v>
      </c>
      <c r="E387" t="str">
        <f t="shared" si="13"/>
        <v>P_W5V-KYY-S_0M4</v>
      </c>
      <c r="F387" t="b">
        <v>1</v>
      </c>
      <c r="G387">
        <v>100</v>
      </c>
      <c r="H387">
        <v>1</v>
      </c>
      <c r="I387">
        <v>27807</v>
      </c>
      <c r="J387" s="49" t="s">
        <v>18</v>
      </c>
      <c r="L387" s="16" t="s">
        <v>272</v>
      </c>
      <c r="M387" s="16">
        <v>3</v>
      </c>
      <c r="N387" s="16" t="s">
        <v>277</v>
      </c>
      <c r="O387" s="16" t="s">
        <v>335</v>
      </c>
      <c r="P387" s="15" t="s">
        <v>282</v>
      </c>
      <c r="Q387" t="s">
        <v>281</v>
      </c>
      <c r="R387" t="s">
        <v>284</v>
      </c>
      <c r="S387" s="17" t="s">
        <v>371</v>
      </c>
      <c r="T387" s="16" t="s">
        <v>341</v>
      </c>
      <c r="U387" s="16" t="s">
        <v>342</v>
      </c>
      <c r="V387" s="15" t="s">
        <v>343</v>
      </c>
      <c r="W387" s="15" t="s">
        <v>344</v>
      </c>
      <c r="X387" s="17" t="s">
        <v>291</v>
      </c>
      <c r="Y387" t="s">
        <v>349</v>
      </c>
      <c r="Z387" t="s">
        <v>349</v>
      </c>
      <c r="AA387" t="s">
        <v>293</v>
      </c>
      <c r="AB387" t="s">
        <v>353</v>
      </c>
      <c r="AC387" t="s">
        <v>296</v>
      </c>
      <c r="AD387" t="s">
        <v>301</v>
      </c>
      <c r="AE387" t="s">
        <v>292</v>
      </c>
      <c r="AF387" t="s">
        <v>293</v>
      </c>
      <c r="AG387" t="s">
        <v>293</v>
      </c>
      <c r="AH387" t="s">
        <v>292</v>
      </c>
      <c r="AI387" t="s">
        <v>293</v>
      </c>
      <c r="AJ387" t="s">
        <v>302</v>
      </c>
      <c r="AK387" t="s">
        <v>302</v>
      </c>
      <c r="AL387" t="s">
        <v>359</v>
      </c>
      <c r="AM387" t="s">
        <v>293</v>
      </c>
      <c r="AN387" t="s">
        <v>293</v>
      </c>
      <c r="AO387" t="s">
        <v>296</v>
      </c>
      <c r="AP387" t="s">
        <v>298</v>
      </c>
      <c r="AQ387" t="s">
        <v>293</v>
      </c>
      <c r="AR387" t="s">
        <v>292</v>
      </c>
      <c r="AS387" t="s">
        <v>293</v>
      </c>
      <c r="AT387" t="s">
        <v>293</v>
      </c>
      <c r="AU387" t="s">
        <v>364</v>
      </c>
      <c r="AV387" t="str">
        <f t="shared" si="12"/>
        <v>break</v>
      </c>
    </row>
    <row r="388" spans="1:48" x14ac:dyDescent="0.3">
      <c r="A388" t="s">
        <v>43</v>
      </c>
      <c r="B388" t="s">
        <v>44</v>
      </c>
      <c r="C388" t="s">
        <v>14</v>
      </c>
      <c r="D388" t="s">
        <v>12</v>
      </c>
      <c r="E388" t="str">
        <f t="shared" si="13"/>
        <v>P_W5V-KYY-S_1B0</v>
      </c>
      <c r="F388" t="b">
        <v>1</v>
      </c>
      <c r="G388">
        <v>100</v>
      </c>
      <c r="H388">
        <v>1</v>
      </c>
      <c r="I388">
        <v>26505</v>
      </c>
      <c r="J388" s="49" t="s">
        <v>18</v>
      </c>
      <c r="L388" s="16" t="s">
        <v>272</v>
      </c>
      <c r="M388" s="16">
        <v>3</v>
      </c>
      <c r="N388" s="16" t="s">
        <v>277</v>
      </c>
      <c r="O388" s="16" t="s">
        <v>335</v>
      </c>
      <c r="P388" s="15" t="s">
        <v>282</v>
      </c>
      <c r="Q388" t="s">
        <v>281</v>
      </c>
      <c r="R388" t="s">
        <v>284</v>
      </c>
      <c r="S388" s="17" t="s">
        <v>371</v>
      </c>
      <c r="T388" s="16" t="s">
        <v>341</v>
      </c>
      <c r="U388" s="16" t="s">
        <v>342</v>
      </c>
      <c r="V388" s="15" t="s">
        <v>343</v>
      </c>
      <c r="W388" s="15" t="s">
        <v>344</v>
      </c>
      <c r="X388" s="17" t="s">
        <v>291</v>
      </c>
      <c r="Y388" t="s">
        <v>349</v>
      </c>
      <c r="Z388" t="s">
        <v>349</v>
      </c>
      <c r="AA388" t="s">
        <v>293</v>
      </c>
      <c r="AB388" t="s">
        <v>353</v>
      </c>
      <c r="AC388" t="s">
        <v>296</v>
      </c>
      <c r="AD388" t="s">
        <v>301</v>
      </c>
      <c r="AE388" t="s">
        <v>292</v>
      </c>
      <c r="AF388" t="s">
        <v>293</v>
      </c>
      <c r="AG388" t="s">
        <v>293</v>
      </c>
      <c r="AH388" t="s">
        <v>292</v>
      </c>
      <c r="AI388" t="s">
        <v>293</v>
      </c>
      <c r="AJ388" t="s">
        <v>302</v>
      </c>
      <c r="AK388" t="s">
        <v>302</v>
      </c>
      <c r="AL388" t="s">
        <v>359</v>
      </c>
      <c r="AM388" t="s">
        <v>293</v>
      </c>
      <c r="AN388" t="s">
        <v>293</v>
      </c>
      <c r="AO388" t="s">
        <v>296</v>
      </c>
      <c r="AP388" t="s">
        <v>298</v>
      </c>
      <c r="AQ388" t="s">
        <v>293</v>
      </c>
      <c r="AR388" t="s">
        <v>292</v>
      </c>
      <c r="AS388" t="s">
        <v>293</v>
      </c>
      <c r="AT388" t="s">
        <v>293</v>
      </c>
      <c r="AU388" t="s">
        <v>364</v>
      </c>
      <c r="AV388" t="str">
        <f t="shared" si="12"/>
        <v>break</v>
      </c>
    </row>
    <row r="389" spans="1:48" x14ac:dyDescent="0.3">
      <c r="A389" t="s">
        <v>43</v>
      </c>
      <c r="B389" t="s">
        <v>44</v>
      </c>
      <c r="C389" t="s">
        <v>11</v>
      </c>
      <c r="D389" t="s">
        <v>12</v>
      </c>
      <c r="E389" t="str">
        <f t="shared" si="13"/>
        <v>P_W5V-KYY-S_1Q4</v>
      </c>
      <c r="F389" t="b">
        <v>1</v>
      </c>
      <c r="G389">
        <v>100</v>
      </c>
      <c r="H389">
        <v>1</v>
      </c>
      <c r="I389">
        <v>14115</v>
      </c>
      <c r="J389" s="49" t="s">
        <v>18</v>
      </c>
      <c r="L389" s="16" t="s">
        <v>272</v>
      </c>
      <c r="M389" s="16">
        <v>3</v>
      </c>
      <c r="N389" s="16" t="s">
        <v>277</v>
      </c>
      <c r="O389" s="16" t="s">
        <v>335</v>
      </c>
      <c r="P389" s="15" t="s">
        <v>282</v>
      </c>
      <c r="Q389" t="s">
        <v>281</v>
      </c>
      <c r="R389" t="s">
        <v>284</v>
      </c>
      <c r="S389" s="17" t="s">
        <v>371</v>
      </c>
      <c r="T389" s="16" t="s">
        <v>340</v>
      </c>
      <c r="U389" s="16" t="s">
        <v>340</v>
      </c>
      <c r="V389" s="15" t="s">
        <v>343</v>
      </c>
      <c r="W389" s="15" t="s">
        <v>291</v>
      </c>
      <c r="X389" s="17"/>
      <c r="Y389" t="s">
        <v>349</v>
      </c>
      <c r="Z389" t="s">
        <v>349</v>
      </c>
      <c r="AA389" t="s">
        <v>293</v>
      </c>
      <c r="AB389" t="s">
        <v>353</v>
      </c>
      <c r="AC389" t="s">
        <v>296</v>
      </c>
      <c r="AD389" t="s">
        <v>301</v>
      </c>
      <c r="AE389" t="s">
        <v>292</v>
      </c>
      <c r="AF389" t="s">
        <v>293</v>
      </c>
      <c r="AG389" t="s">
        <v>293</v>
      </c>
      <c r="AH389" t="s">
        <v>292</v>
      </c>
      <c r="AI389" t="s">
        <v>293</v>
      </c>
      <c r="AJ389" t="s">
        <v>302</v>
      </c>
      <c r="AK389" t="s">
        <v>302</v>
      </c>
      <c r="AL389" t="s">
        <v>359</v>
      </c>
      <c r="AM389" t="s">
        <v>293</v>
      </c>
      <c r="AN389" t="s">
        <v>293</v>
      </c>
      <c r="AO389" t="s">
        <v>296</v>
      </c>
      <c r="AP389" t="s">
        <v>298</v>
      </c>
      <c r="AQ389" t="s">
        <v>293</v>
      </c>
      <c r="AR389" t="s">
        <v>292</v>
      </c>
      <c r="AS389" t="s">
        <v>293</v>
      </c>
      <c r="AT389" t="s">
        <v>293</v>
      </c>
      <c r="AU389" t="s">
        <v>364</v>
      </c>
      <c r="AV389" t="str">
        <f t="shared" si="12"/>
        <v>break</v>
      </c>
    </row>
    <row r="390" spans="1:48" x14ac:dyDescent="0.3">
      <c r="A390" t="s">
        <v>43</v>
      </c>
      <c r="B390" t="s">
        <v>44</v>
      </c>
      <c r="C390" t="s">
        <v>19</v>
      </c>
      <c r="D390" t="s">
        <v>12</v>
      </c>
      <c r="E390" t="str">
        <f t="shared" si="13"/>
        <v>P_W5V-KYY-S_4U3</v>
      </c>
      <c r="F390" t="b">
        <v>1</v>
      </c>
      <c r="G390">
        <v>100</v>
      </c>
      <c r="H390">
        <v>1</v>
      </c>
      <c r="I390">
        <v>14465</v>
      </c>
      <c r="J390" s="49" t="s">
        <v>18</v>
      </c>
      <c r="L390" s="16" t="s">
        <v>272</v>
      </c>
      <c r="M390" s="16">
        <v>3</v>
      </c>
      <c r="N390" s="16" t="s">
        <v>277</v>
      </c>
      <c r="O390" s="16" t="s">
        <v>335</v>
      </c>
      <c r="P390" s="15" t="s">
        <v>282</v>
      </c>
      <c r="Q390" t="s">
        <v>371</v>
      </c>
      <c r="R390" t="s">
        <v>371</v>
      </c>
      <c r="S390" s="17" t="s">
        <v>371</v>
      </c>
      <c r="T390" s="16" t="s">
        <v>341</v>
      </c>
      <c r="U390" s="16" t="s">
        <v>340</v>
      </c>
      <c r="V390" s="15" t="s">
        <v>343</v>
      </c>
      <c r="W390" s="15" t="s">
        <v>345</v>
      </c>
      <c r="X390" s="17"/>
      <c r="Y390" t="s">
        <v>349</v>
      </c>
      <c r="Z390" t="s">
        <v>349</v>
      </c>
      <c r="AA390" t="s">
        <v>293</v>
      </c>
      <c r="AB390" t="s">
        <v>353</v>
      </c>
      <c r="AC390" t="s">
        <v>296</v>
      </c>
      <c r="AD390" t="s">
        <v>301</v>
      </c>
      <c r="AE390" t="s">
        <v>293</v>
      </c>
      <c r="AF390" t="s">
        <v>292</v>
      </c>
      <c r="AG390" t="s">
        <v>292</v>
      </c>
      <c r="AH390" t="s">
        <v>292</v>
      </c>
      <c r="AI390" t="s">
        <v>293</v>
      </c>
      <c r="AJ390" t="s">
        <v>358</v>
      </c>
      <c r="AK390" t="s">
        <v>302</v>
      </c>
      <c r="AL390" t="s">
        <v>359</v>
      </c>
      <c r="AM390" t="s">
        <v>293</v>
      </c>
      <c r="AN390" t="s">
        <v>293</v>
      </c>
      <c r="AO390" t="s">
        <v>297</v>
      </c>
      <c r="AP390" t="s">
        <v>356</v>
      </c>
      <c r="AQ390" t="s">
        <v>293</v>
      </c>
      <c r="AR390" t="s">
        <v>292</v>
      </c>
      <c r="AS390" t="s">
        <v>293</v>
      </c>
      <c r="AT390" t="s">
        <v>293</v>
      </c>
      <c r="AU390" t="s">
        <v>364</v>
      </c>
      <c r="AV390" t="str">
        <f t="shared" si="12"/>
        <v>break</v>
      </c>
    </row>
    <row r="391" spans="1:48" x14ac:dyDescent="0.3">
      <c r="A391" t="s">
        <v>43</v>
      </c>
      <c r="B391" t="s">
        <v>44</v>
      </c>
      <c r="C391" t="s">
        <v>17</v>
      </c>
      <c r="D391" t="s">
        <v>12</v>
      </c>
      <c r="E391" t="str">
        <f t="shared" si="13"/>
        <v>P_W5V-KYY-S_6B5</v>
      </c>
      <c r="F391" t="b">
        <v>1</v>
      </c>
      <c r="G391">
        <v>100</v>
      </c>
      <c r="H391">
        <v>1</v>
      </c>
      <c r="I391">
        <v>11516</v>
      </c>
      <c r="J391" s="49" t="s">
        <v>18</v>
      </c>
      <c r="L391" s="16" t="s">
        <v>272</v>
      </c>
      <c r="M391" s="16">
        <v>3</v>
      </c>
      <c r="N391" s="16" t="s">
        <v>277</v>
      </c>
      <c r="O391" s="16" t="s">
        <v>335</v>
      </c>
      <c r="P391" s="15" t="s">
        <v>282</v>
      </c>
      <c r="Q391" t="s">
        <v>371</v>
      </c>
      <c r="R391" t="s">
        <v>371</v>
      </c>
      <c r="S391" s="17" t="s">
        <v>371</v>
      </c>
      <c r="T391" s="16" t="s">
        <v>340</v>
      </c>
      <c r="U391" s="16" t="s">
        <v>340</v>
      </c>
      <c r="V391" s="15" t="s">
        <v>343</v>
      </c>
      <c r="W391" s="15" t="s">
        <v>348</v>
      </c>
      <c r="X391" s="17"/>
      <c r="Y391" t="s">
        <v>349</v>
      </c>
      <c r="Z391" t="s">
        <v>349</v>
      </c>
      <c r="AA391" t="s">
        <v>293</v>
      </c>
      <c r="AB391" t="s">
        <v>353</v>
      </c>
      <c r="AC391" t="s">
        <v>296</v>
      </c>
      <c r="AD391" t="s">
        <v>301</v>
      </c>
      <c r="AE391" t="s">
        <v>293</v>
      </c>
      <c r="AF391" t="s">
        <v>292</v>
      </c>
      <c r="AG391" t="s">
        <v>293</v>
      </c>
      <c r="AH391" t="s">
        <v>292</v>
      </c>
      <c r="AI391" t="s">
        <v>293</v>
      </c>
      <c r="AJ391" t="s">
        <v>358</v>
      </c>
      <c r="AK391" t="s">
        <v>358</v>
      </c>
      <c r="AL391" t="s">
        <v>359</v>
      </c>
      <c r="AM391" t="s">
        <v>293</v>
      </c>
      <c r="AN391" t="s">
        <v>293</v>
      </c>
      <c r="AO391" t="s">
        <v>296</v>
      </c>
      <c r="AP391" t="s">
        <v>356</v>
      </c>
      <c r="AQ391" t="s">
        <v>293</v>
      </c>
      <c r="AR391" t="s">
        <v>292</v>
      </c>
      <c r="AS391" t="s">
        <v>293</v>
      </c>
      <c r="AT391" t="s">
        <v>293</v>
      </c>
      <c r="AU391" t="s">
        <v>364</v>
      </c>
      <c r="AV391" t="str">
        <f t="shared" si="12"/>
        <v>break</v>
      </c>
    </row>
    <row r="392" spans="1:48" x14ac:dyDescent="0.3">
      <c r="A392" t="s">
        <v>43</v>
      </c>
      <c r="B392" t="s">
        <v>44</v>
      </c>
      <c r="C392" t="s">
        <v>16</v>
      </c>
      <c r="D392" t="s">
        <v>12</v>
      </c>
      <c r="E392" t="str">
        <f t="shared" si="13"/>
        <v>P_W5V-KYY-S_6U7</v>
      </c>
      <c r="F392" t="b">
        <v>1</v>
      </c>
      <c r="G392">
        <v>100</v>
      </c>
      <c r="H392">
        <v>1</v>
      </c>
      <c r="I392">
        <v>19633</v>
      </c>
      <c r="J392" s="49" t="s">
        <v>18</v>
      </c>
      <c r="L392" s="16" t="s">
        <v>272</v>
      </c>
      <c r="M392" s="16">
        <v>3</v>
      </c>
      <c r="N392" s="16" t="s">
        <v>277</v>
      </c>
      <c r="O392" s="16" t="s">
        <v>335</v>
      </c>
      <c r="P392" s="15" t="s">
        <v>281</v>
      </c>
      <c r="Q392" t="s">
        <v>282</v>
      </c>
      <c r="R392" t="s">
        <v>284</v>
      </c>
      <c r="S392" s="17" t="s">
        <v>371</v>
      </c>
      <c r="T392" s="16" t="s">
        <v>341</v>
      </c>
      <c r="U392" s="16" t="s">
        <v>340</v>
      </c>
      <c r="V392" s="15" t="s">
        <v>343</v>
      </c>
      <c r="W392" s="15" t="s">
        <v>344</v>
      </c>
      <c r="X392" s="17"/>
      <c r="Y392" t="s">
        <v>349</v>
      </c>
      <c r="Z392" t="s">
        <v>349</v>
      </c>
      <c r="AA392" t="s">
        <v>293</v>
      </c>
      <c r="AB392" t="s">
        <v>353</v>
      </c>
      <c r="AC392" t="s">
        <v>296</v>
      </c>
      <c r="AD392" t="s">
        <v>301</v>
      </c>
      <c r="AE392" t="s">
        <v>293</v>
      </c>
      <c r="AF392" t="s">
        <v>292</v>
      </c>
      <c r="AG392" t="s">
        <v>292</v>
      </c>
      <c r="AH392" t="s">
        <v>292</v>
      </c>
      <c r="AI392" t="s">
        <v>293</v>
      </c>
      <c r="AJ392" t="s">
        <v>302</v>
      </c>
      <c r="AK392" t="s">
        <v>302</v>
      </c>
      <c r="AL392" t="s">
        <v>359</v>
      </c>
      <c r="AM392" t="s">
        <v>293</v>
      </c>
      <c r="AN392" t="s">
        <v>293</v>
      </c>
      <c r="AO392" t="s">
        <v>297</v>
      </c>
      <c r="AP392" t="s">
        <v>356</v>
      </c>
      <c r="AQ392" t="s">
        <v>293</v>
      </c>
      <c r="AR392" t="s">
        <v>292</v>
      </c>
      <c r="AS392" t="s">
        <v>293</v>
      </c>
      <c r="AT392" t="s">
        <v>293</v>
      </c>
      <c r="AU392" t="s">
        <v>364</v>
      </c>
      <c r="AV392" t="str">
        <f t="shared" si="12"/>
        <v>break</v>
      </c>
    </row>
    <row r="393" spans="1:48" x14ac:dyDescent="0.3">
      <c r="A393" t="s">
        <v>43</v>
      </c>
      <c r="B393" t="s">
        <v>44</v>
      </c>
      <c r="C393" t="s">
        <v>20</v>
      </c>
      <c r="D393" t="s">
        <v>12</v>
      </c>
      <c r="E393" t="str">
        <f t="shared" si="13"/>
        <v>P_W5V-KYY-S_7W0</v>
      </c>
      <c r="F393" t="b">
        <v>1</v>
      </c>
      <c r="G393">
        <v>78.599999999999994</v>
      </c>
      <c r="H393">
        <v>0</v>
      </c>
      <c r="I393">
        <v>17218</v>
      </c>
      <c r="J393" s="49" t="s">
        <v>13</v>
      </c>
      <c r="L393" s="16" t="s">
        <v>272</v>
      </c>
      <c r="M393" s="16">
        <v>3</v>
      </c>
      <c r="N393" s="16" t="s">
        <v>277</v>
      </c>
      <c r="O393" s="16" t="s">
        <v>335</v>
      </c>
      <c r="P393" s="15" t="s">
        <v>282</v>
      </c>
      <c r="Q393" t="s">
        <v>371</v>
      </c>
      <c r="R393" t="s">
        <v>371</v>
      </c>
      <c r="S393" s="17" t="s">
        <v>371</v>
      </c>
      <c r="T393" s="16" t="s">
        <v>341</v>
      </c>
      <c r="U393" s="16" t="s">
        <v>340</v>
      </c>
      <c r="V393" s="15" t="s">
        <v>343</v>
      </c>
      <c r="W393" s="15" t="s">
        <v>345</v>
      </c>
      <c r="X393" s="17"/>
      <c r="Y393" t="s">
        <v>349</v>
      </c>
      <c r="Z393" t="s">
        <v>349</v>
      </c>
      <c r="AA393" t="s">
        <v>293</v>
      </c>
      <c r="AB393" t="s">
        <v>353</v>
      </c>
      <c r="AC393" t="s">
        <v>296</v>
      </c>
      <c r="AD393" t="s">
        <v>301</v>
      </c>
      <c r="AE393" t="s">
        <v>293</v>
      </c>
      <c r="AF393" t="s">
        <v>292</v>
      </c>
      <c r="AG393" t="s">
        <v>292</v>
      </c>
      <c r="AH393" t="s">
        <v>292</v>
      </c>
      <c r="AI393" t="s">
        <v>293</v>
      </c>
      <c r="AJ393" t="s">
        <v>302</v>
      </c>
      <c r="AK393" t="s">
        <v>302</v>
      </c>
      <c r="AL393" t="s">
        <v>359</v>
      </c>
      <c r="AM393" t="s">
        <v>293</v>
      </c>
      <c r="AN393" t="s">
        <v>293</v>
      </c>
      <c r="AO393" t="s">
        <v>297</v>
      </c>
      <c r="AP393" t="s">
        <v>356</v>
      </c>
      <c r="AQ393" t="s">
        <v>293</v>
      </c>
      <c r="AR393" t="s">
        <v>292</v>
      </c>
      <c r="AS393" t="s">
        <v>362</v>
      </c>
      <c r="AT393" t="s">
        <v>293</v>
      </c>
      <c r="AU393" t="s">
        <v>364</v>
      </c>
      <c r="AV393" t="str">
        <f t="shared" si="12"/>
        <v>no_fail</v>
      </c>
    </row>
    <row r="394" spans="1:48" x14ac:dyDescent="0.3">
      <c r="A394" t="s">
        <v>43</v>
      </c>
      <c r="B394" t="s">
        <v>44</v>
      </c>
      <c r="C394" t="s">
        <v>23</v>
      </c>
      <c r="D394" t="s">
        <v>29</v>
      </c>
      <c r="E394" t="str">
        <f t="shared" si="13"/>
        <v>P_W5V-ZSB-S_0T2</v>
      </c>
      <c r="F394" t="b">
        <v>1</v>
      </c>
      <c r="G394">
        <v>68.2</v>
      </c>
      <c r="H394">
        <v>0</v>
      </c>
      <c r="I394">
        <v>14760</v>
      </c>
      <c r="J394" s="49" t="s">
        <v>13</v>
      </c>
      <c r="L394" s="16" t="s">
        <v>272</v>
      </c>
      <c r="M394" s="16">
        <v>3</v>
      </c>
      <c r="N394" s="16" t="s">
        <v>277</v>
      </c>
      <c r="O394" s="16" t="s">
        <v>335</v>
      </c>
      <c r="P394" s="15" t="s">
        <v>282</v>
      </c>
      <c r="Q394" t="s">
        <v>371</v>
      </c>
      <c r="R394" t="s">
        <v>371</v>
      </c>
      <c r="S394" s="17" t="s">
        <v>371</v>
      </c>
      <c r="T394" s="16" t="s">
        <v>341</v>
      </c>
      <c r="U394" s="16" t="s">
        <v>342</v>
      </c>
      <c r="V394" s="15" t="s">
        <v>343</v>
      </c>
      <c r="W394" s="15" t="s">
        <v>345</v>
      </c>
      <c r="X394" s="17" t="s">
        <v>344</v>
      </c>
      <c r="Y394" t="s">
        <v>349</v>
      </c>
      <c r="Z394" t="s">
        <v>349</v>
      </c>
      <c r="AA394" t="s">
        <v>293</v>
      </c>
      <c r="AB394" t="s">
        <v>353</v>
      </c>
      <c r="AC394" t="s">
        <v>296</v>
      </c>
      <c r="AD394" t="s">
        <v>300</v>
      </c>
      <c r="AE394" t="s">
        <v>292</v>
      </c>
      <c r="AF394" t="s">
        <v>293</v>
      </c>
      <c r="AG394" t="s">
        <v>292</v>
      </c>
      <c r="AH394" t="s">
        <v>292</v>
      </c>
      <c r="AI394" t="s">
        <v>293</v>
      </c>
      <c r="AJ394" t="s">
        <v>302</v>
      </c>
      <c r="AK394" t="s">
        <v>302</v>
      </c>
      <c r="AL394" t="s">
        <v>359</v>
      </c>
      <c r="AM394" t="s">
        <v>293</v>
      </c>
      <c r="AN394" t="s">
        <v>293</v>
      </c>
      <c r="AO394" t="s">
        <v>297</v>
      </c>
      <c r="AP394" t="s">
        <v>298</v>
      </c>
      <c r="AQ394" t="s">
        <v>293</v>
      </c>
      <c r="AR394" t="s">
        <v>292</v>
      </c>
      <c r="AS394" t="s">
        <v>293</v>
      </c>
      <c r="AT394" t="s">
        <v>293</v>
      </c>
      <c r="AU394" t="s">
        <v>364</v>
      </c>
      <c r="AV394" t="str">
        <f t="shared" si="12"/>
        <v>no_fail</v>
      </c>
    </row>
    <row r="395" spans="1:48" x14ac:dyDescent="0.3">
      <c r="A395" t="s">
        <v>43</v>
      </c>
      <c r="B395" t="s">
        <v>44</v>
      </c>
      <c r="C395" t="s">
        <v>25</v>
      </c>
      <c r="D395" t="s">
        <v>29</v>
      </c>
      <c r="E395" t="str">
        <f t="shared" si="13"/>
        <v>P_W5V-ZSB-S_1J8</v>
      </c>
      <c r="F395" t="b">
        <v>1</v>
      </c>
      <c r="G395">
        <v>47</v>
      </c>
      <c r="H395">
        <v>0</v>
      </c>
      <c r="I395">
        <v>15882</v>
      </c>
      <c r="J395" s="49" t="s">
        <v>13</v>
      </c>
      <c r="L395" s="16" t="s">
        <v>272</v>
      </c>
      <c r="M395" s="16">
        <v>3</v>
      </c>
      <c r="N395" s="16" t="s">
        <v>277</v>
      </c>
      <c r="O395" s="16" t="s">
        <v>335</v>
      </c>
      <c r="P395" s="15" t="s">
        <v>282</v>
      </c>
      <c r="Q395" t="s">
        <v>371</v>
      </c>
      <c r="R395" t="s">
        <v>371</v>
      </c>
      <c r="S395" s="17" t="s">
        <v>371</v>
      </c>
      <c r="T395" s="16" t="s">
        <v>341</v>
      </c>
      <c r="U395" s="16" t="s">
        <v>342</v>
      </c>
      <c r="V395" s="15" t="s">
        <v>343</v>
      </c>
      <c r="W395" s="15" t="s">
        <v>344</v>
      </c>
      <c r="X395" s="17"/>
      <c r="Y395" t="s">
        <v>349</v>
      </c>
      <c r="Z395" t="s">
        <v>349</v>
      </c>
      <c r="AA395" t="s">
        <v>293</v>
      </c>
      <c r="AB395" t="s">
        <v>353</v>
      </c>
      <c r="AC395" t="s">
        <v>296</v>
      </c>
      <c r="AD395" t="s">
        <v>300</v>
      </c>
      <c r="AE395" t="s">
        <v>293</v>
      </c>
      <c r="AF395" t="s">
        <v>292</v>
      </c>
      <c r="AG395" t="s">
        <v>292</v>
      </c>
      <c r="AH395" t="s">
        <v>292</v>
      </c>
      <c r="AI395" t="s">
        <v>293</v>
      </c>
      <c r="AJ395" t="s">
        <v>302</v>
      </c>
      <c r="AK395" t="s">
        <v>302</v>
      </c>
      <c r="AL395" t="s">
        <v>359</v>
      </c>
      <c r="AM395" t="s">
        <v>293</v>
      </c>
      <c r="AN395" t="s">
        <v>293</v>
      </c>
      <c r="AO395" t="s">
        <v>297</v>
      </c>
      <c r="AP395" t="s">
        <v>356</v>
      </c>
      <c r="AQ395" t="s">
        <v>293</v>
      </c>
      <c r="AR395" t="s">
        <v>292</v>
      </c>
      <c r="AS395" t="s">
        <v>293</v>
      </c>
      <c r="AT395" t="s">
        <v>293</v>
      </c>
      <c r="AU395" t="s">
        <v>364</v>
      </c>
      <c r="AV395" t="str">
        <f t="shared" si="12"/>
        <v>no_fail</v>
      </c>
    </row>
    <row r="396" spans="1:48" x14ac:dyDescent="0.3">
      <c r="A396" t="s">
        <v>43</v>
      </c>
      <c r="B396" t="s">
        <v>44</v>
      </c>
      <c r="C396" t="s">
        <v>24</v>
      </c>
      <c r="D396" t="s">
        <v>29</v>
      </c>
      <c r="E396" t="str">
        <f t="shared" si="13"/>
        <v>P_W5V-ZSB-S_1U0</v>
      </c>
      <c r="F396" t="b">
        <v>1</v>
      </c>
      <c r="G396">
        <v>100</v>
      </c>
      <c r="H396">
        <v>1</v>
      </c>
      <c r="I396">
        <v>10538</v>
      </c>
      <c r="J396" s="49" t="s">
        <v>18</v>
      </c>
      <c r="L396" s="16" t="s">
        <v>272</v>
      </c>
      <c r="M396" s="16">
        <v>3</v>
      </c>
      <c r="N396" s="16" t="s">
        <v>277</v>
      </c>
      <c r="O396" s="16" t="s">
        <v>335</v>
      </c>
      <c r="P396" s="15" t="s">
        <v>282</v>
      </c>
      <c r="Q396" t="s">
        <v>339</v>
      </c>
      <c r="R396" t="s">
        <v>285</v>
      </c>
      <c r="S396" s="17" t="s">
        <v>371</v>
      </c>
      <c r="T396" s="16" t="s">
        <v>341</v>
      </c>
      <c r="U396" s="16" t="s">
        <v>340</v>
      </c>
      <c r="V396" s="15" t="s">
        <v>343</v>
      </c>
      <c r="W396" s="15" t="s">
        <v>344</v>
      </c>
      <c r="X396" s="17"/>
      <c r="Y396" t="s">
        <v>349</v>
      </c>
      <c r="Z396" t="s">
        <v>349</v>
      </c>
      <c r="AA396" t="s">
        <v>293</v>
      </c>
      <c r="AB396" t="s">
        <v>353</v>
      </c>
      <c r="AC396" t="s">
        <v>297</v>
      </c>
      <c r="AD396" t="s">
        <v>300</v>
      </c>
      <c r="AE396" t="s">
        <v>292</v>
      </c>
      <c r="AF396" t="s">
        <v>293</v>
      </c>
      <c r="AG396" t="s">
        <v>292</v>
      </c>
      <c r="AH396" t="s">
        <v>293</v>
      </c>
      <c r="AI396" t="s">
        <v>293</v>
      </c>
      <c r="AJ396" t="s">
        <v>302</v>
      </c>
      <c r="AK396" t="s">
        <v>302</v>
      </c>
      <c r="AL396" t="s">
        <v>302</v>
      </c>
      <c r="AM396" t="s">
        <v>293</v>
      </c>
      <c r="AN396" t="s">
        <v>293</v>
      </c>
      <c r="AO396" t="s">
        <v>297</v>
      </c>
      <c r="AP396" t="s">
        <v>298</v>
      </c>
      <c r="AQ396" t="s">
        <v>293</v>
      </c>
      <c r="AR396" t="s">
        <v>292</v>
      </c>
      <c r="AS396" t="s">
        <v>293</v>
      </c>
      <c r="AT396" t="s">
        <v>293</v>
      </c>
      <c r="AU396" t="s">
        <v>364</v>
      </c>
      <c r="AV396" t="str">
        <f t="shared" si="12"/>
        <v>break</v>
      </c>
    </row>
    <row r="397" spans="1:48" x14ac:dyDescent="0.3">
      <c r="A397" t="s">
        <v>43</v>
      </c>
      <c r="B397" t="s">
        <v>44</v>
      </c>
      <c r="C397" t="s">
        <v>21</v>
      </c>
      <c r="D397" t="s">
        <v>29</v>
      </c>
      <c r="E397" t="str">
        <f t="shared" si="13"/>
        <v>P_W5V-ZSB-S_3X6</v>
      </c>
      <c r="F397" t="b">
        <v>1</v>
      </c>
      <c r="G397">
        <v>100</v>
      </c>
      <c r="H397">
        <v>1</v>
      </c>
      <c r="I397">
        <v>9586</v>
      </c>
      <c r="J397" s="49" t="s">
        <v>18</v>
      </c>
      <c r="L397" s="16" t="s">
        <v>272</v>
      </c>
      <c r="M397" s="16">
        <v>2</v>
      </c>
      <c r="N397" s="16" t="s">
        <v>277</v>
      </c>
      <c r="O397" s="16" t="s">
        <v>335</v>
      </c>
      <c r="P397" s="15" t="s">
        <v>282</v>
      </c>
      <c r="Q397" t="s">
        <v>371</v>
      </c>
      <c r="R397" t="s">
        <v>371</v>
      </c>
      <c r="S397" s="17" t="s">
        <v>371</v>
      </c>
      <c r="T397" s="16" t="s">
        <v>341</v>
      </c>
      <c r="U397" s="16" t="s">
        <v>340</v>
      </c>
      <c r="V397" s="15" t="s">
        <v>340</v>
      </c>
      <c r="W397" s="15" t="s">
        <v>345</v>
      </c>
      <c r="X397" s="17"/>
      <c r="Y397" t="s">
        <v>349</v>
      </c>
      <c r="Z397" t="s">
        <v>349</v>
      </c>
      <c r="AA397" t="s">
        <v>293</v>
      </c>
      <c r="AB397" t="s">
        <v>354</v>
      </c>
      <c r="AC397" t="s">
        <v>354</v>
      </c>
      <c r="AD397" t="s">
        <v>300</v>
      </c>
      <c r="AE397" t="s">
        <v>292</v>
      </c>
      <c r="AF397" t="s">
        <v>293</v>
      </c>
      <c r="AG397" t="s">
        <v>292</v>
      </c>
      <c r="AH397" t="s">
        <v>293</v>
      </c>
      <c r="AI397" t="s">
        <v>293</v>
      </c>
      <c r="AJ397" t="s">
        <v>302</v>
      </c>
      <c r="AK397" t="s">
        <v>302</v>
      </c>
      <c r="AL397" t="s">
        <v>357</v>
      </c>
      <c r="AM397" t="s">
        <v>293</v>
      </c>
      <c r="AN397" t="s">
        <v>293</v>
      </c>
      <c r="AO397" t="s">
        <v>297</v>
      </c>
      <c r="AP397" t="s">
        <v>298</v>
      </c>
      <c r="AQ397" t="s">
        <v>293</v>
      </c>
      <c r="AR397" t="s">
        <v>292</v>
      </c>
      <c r="AS397" t="s">
        <v>293</v>
      </c>
      <c r="AT397" t="s">
        <v>293</v>
      </c>
      <c r="AU397" t="s">
        <v>364</v>
      </c>
      <c r="AV397" t="str">
        <f t="shared" si="12"/>
        <v>break</v>
      </c>
    </row>
    <row r="398" spans="1:48" x14ac:dyDescent="0.3">
      <c r="A398" t="s">
        <v>43</v>
      </c>
      <c r="B398" t="s">
        <v>44</v>
      </c>
      <c r="C398" t="s">
        <v>22</v>
      </c>
      <c r="D398" t="s">
        <v>29</v>
      </c>
      <c r="E398" t="str">
        <f t="shared" si="13"/>
        <v>P_W5V-ZSB-S_9B4</v>
      </c>
      <c r="F398" t="b">
        <v>1</v>
      </c>
      <c r="G398">
        <v>44.5</v>
      </c>
      <c r="H398">
        <v>0</v>
      </c>
      <c r="I398">
        <v>15364</v>
      </c>
      <c r="J398" s="49" t="s">
        <v>13</v>
      </c>
      <c r="L398" s="16" t="s">
        <v>272</v>
      </c>
      <c r="M398" s="16">
        <v>3</v>
      </c>
      <c r="N398" s="16" t="s">
        <v>277</v>
      </c>
      <c r="O398" s="16" t="s">
        <v>335</v>
      </c>
      <c r="P398" s="15" t="s">
        <v>282</v>
      </c>
      <c r="Q398" t="s">
        <v>371</v>
      </c>
      <c r="R398" t="s">
        <v>371</v>
      </c>
      <c r="S398" s="17" t="s">
        <v>371</v>
      </c>
      <c r="T398" s="16" t="s">
        <v>341</v>
      </c>
      <c r="U398" s="16" t="s">
        <v>340</v>
      </c>
      <c r="V398" s="15" t="s">
        <v>343</v>
      </c>
      <c r="W398" s="15" t="s">
        <v>345</v>
      </c>
      <c r="X398" s="17"/>
      <c r="Y398" t="s">
        <v>349</v>
      </c>
      <c r="Z398" t="s">
        <v>349</v>
      </c>
      <c r="AA398" t="s">
        <v>293</v>
      </c>
      <c r="AB398" t="s">
        <v>353</v>
      </c>
      <c r="AC398" t="s">
        <v>296</v>
      </c>
      <c r="AD398" t="s">
        <v>300</v>
      </c>
      <c r="AE398" t="s">
        <v>292</v>
      </c>
      <c r="AF398" t="s">
        <v>293</v>
      </c>
      <c r="AG398" t="s">
        <v>292</v>
      </c>
      <c r="AH398" t="s">
        <v>292</v>
      </c>
      <c r="AI398" t="s">
        <v>293</v>
      </c>
      <c r="AJ398" t="s">
        <v>302</v>
      </c>
      <c r="AK398" t="s">
        <v>302</v>
      </c>
      <c r="AL398" t="s">
        <v>359</v>
      </c>
      <c r="AM398" t="s">
        <v>293</v>
      </c>
      <c r="AN398" t="s">
        <v>293</v>
      </c>
      <c r="AO398" t="s">
        <v>297</v>
      </c>
      <c r="AP398" t="s">
        <v>298</v>
      </c>
      <c r="AQ398" t="s">
        <v>293</v>
      </c>
      <c r="AR398" t="s">
        <v>292</v>
      </c>
      <c r="AS398" t="s">
        <v>293</v>
      </c>
      <c r="AT398" t="s">
        <v>293</v>
      </c>
      <c r="AU398" t="s">
        <v>364</v>
      </c>
      <c r="AV398" t="str">
        <f t="shared" ref="AV398:AV460" si="14">IF(J398="fail",IF(H398=1,"break","car_stuck"),"no_fail")</f>
        <v>no_fail</v>
      </c>
    </row>
    <row r="399" spans="1:48" x14ac:dyDescent="0.3">
      <c r="A399" t="s">
        <v>45</v>
      </c>
      <c r="B399" t="s">
        <v>75</v>
      </c>
      <c r="C399" t="s">
        <v>15</v>
      </c>
      <c r="D399" t="s">
        <v>12</v>
      </c>
      <c r="E399" t="str">
        <f t="shared" si="13"/>
        <v>P_W6F-KYY-S_0M4</v>
      </c>
      <c r="F399" t="b">
        <v>1</v>
      </c>
      <c r="G399">
        <v>89.9</v>
      </c>
      <c r="H399">
        <v>0</v>
      </c>
      <c r="I399">
        <v>19855</v>
      </c>
      <c r="J399" s="49" t="s">
        <v>13</v>
      </c>
      <c r="L399" s="16" t="s">
        <v>272</v>
      </c>
      <c r="M399" s="16">
        <v>2</v>
      </c>
      <c r="N399" s="16" t="s">
        <v>277</v>
      </c>
      <c r="O399" s="16" t="s">
        <v>335</v>
      </c>
      <c r="P399" s="15" t="s">
        <v>283</v>
      </c>
      <c r="Q399" t="s">
        <v>281</v>
      </c>
      <c r="R399" t="s">
        <v>284</v>
      </c>
      <c r="S399" s="17" t="s">
        <v>371</v>
      </c>
      <c r="T399" s="16" t="s">
        <v>340</v>
      </c>
      <c r="U399" s="16" t="s">
        <v>342</v>
      </c>
      <c r="V399" s="15" t="s">
        <v>340</v>
      </c>
      <c r="W399" s="15" t="s">
        <v>344</v>
      </c>
      <c r="X399" s="17"/>
      <c r="Y399" t="s">
        <v>349</v>
      </c>
      <c r="Z399" t="s">
        <v>349</v>
      </c>
      <c r="AA399" t="s">
        <v>293</v>
      </c>
      <c r="AB399" t="s">
        <v>354</v>
      </c>
      <c r="AC399" t="s">
        <v>354</v>
      </c>
      <c r="AD399" t="s">
        <v>299</v>
      </c>
      <c r="AE399" t="s">
        <v>293</v>
      </c>
      <c r="AF399" t="s">
        <v>292</v>
      </c>
      <c r="AG399" t="s">
        <v>292</v>
      </c>
      <c r="AH399" t="s">
        <v>293</v>
      </c>
      <c r="AI399" t="s">
        <v>293</v>
      </c>
      <c r="AJ399" t="s">
        <v>302</v>
      </c>
      <c r="AK399" t="s">
        <v>302</v>
      </c>
      <c r="AL399" t="s">
        <v>357</v>
      </c>
      <c r="AM399" t="s">
        <v>293</v>
      </c>
      <c r="AN399" t="s">
        <v>293</v>
      </c>
      <c r="AO399" t="s">
        <v>297</v>
      </c>
      <c r="AP399" t="s">
        <v>356</v>
      </c>
      <c r="AQ399" t="s">
        <v>293</v>
      </c>
      <c r="AR399" t="s">
        <v>292</v>
      </c>
      <c r="AS399" t="s">
        <v>293</v>
      </c>
      <c r="AT399" t="s">
        <v>293</v>
      </c>
      <c r="AU399" t="s">
        <v>364</v>
      </c>
      <c r="AV399" t="str">
        <f t="shared" si="14"/>
        <v>no_fail</v>
      </c>
    </row>
    <row r="400" spans="1:48" x14ac:dyDescent="0.3">
      <c r="A400" t="s">
        <v>45</v>
      </c>
      <c r="B400" t="s">
        <v>75</v>
      </c>
      <c r="C400" t="s">
        <v>14</v>
      </c>
      <c r="D400" t="s">
        <v>12</v>
      </c>
      <c r="E400" t="str">
        <f t="shared" si="13"/>
        <v>P_W6F-KYY-S_1B0</v>
      </c>
      <c r="F400" t="b">
        <v>1</v>
      </c>
      <c r="G400">
        <v>100</v>
      </c>
      <c r="H400">
        <v>1</v>
      </c>
      <c r="I400">
        <v>21851</v>
      </c>
      <c r="J400" s="49" t="s">
        <v>13</v>
      </c>
      <c r="L400" s="16" t="s">
        <v>272</v>
      </c>
      <c r="M400" s="16">
        <v>3</v>
      </c>
      <c r="N400" s="16" t="s">
        <v>277</v>
      </c>
      <c r="O400" s="16" t="s">
        <v>335</v>
      </c>
      <c r="P400" s="15" t="s">
        <v>282</v>
      </c>
      <c r="Q400" t="s">
        <v>281</v>
      </c>
      <c r="R400" t="s">
        <v>284</v>
      </c>
      <c r="S400" s="17" t="s">
        <v>371</v>
      </c>
      <c r="T400" s="16" t="s">
        <v>340</v>
      </c>
      <c r="U400" s="16" t="s">
        <v>342</v>
      </c>
      <c r="V400" s="15" t="s">
        <v>343</v>
      </c>
      <c r="W400" s="15" t="s">
        <v>344</v>
      </c>
      <c r="X400" s="17"/>
      <c r="Y400" t="s">
        <v>349</v>
      </c>
      <c r="Z400" t="s">
        <v>349</v>
      </c>
      <c r="AA400" t="s">
        <v>293</v>
      </c>
      <c r="AB400" t="s">
        <v>353</v>
      </c>
      <c r="AC400" t="s">
        <v>297</v>
      </c>
      <c r="AD400" t="s">
        <v>300</v>
      </c>
      <c r="AE400" t="s">
        <v>293</v>
      </c>
      <c r="AF400" t="s">
        <v>292</v>
      </c>
      <c r="AG400" t="s">
        <v>292</v>
      </c>
      <c r="AH400" t="s">
        <v>293</v>
      </c>
      <c r="AI400" t="s">
        <v>293</v>
      </c>
      <c r="AJ400" t="s">
        <v>302</v>
      </c>
      <c r="AK400" t="s">
        <v>302</v>
      </c>
      <c r="AL400" t="s">
        <v>359</v>
      </c>
      <c r="AM400" t="s">
        <v>293</v>
      </c>
      <c r="AN400" t="s">
        <v>293</v>
      </c>
      <c r="AO400" t="s">
        <v>297</v>
      </c>
      <c r="AP400" t="s">
        <v>356</v>
      </c>
      <c r="AQ400" t="s">
        <v>293</v>
      </c>
      <c r="AR400" t="s">
        <v>292</v>
      </c>
      <c r="AS400" t="s">
        <v>293</v>
      </c>
      <c r="AT400" t="s">
        <v>293</v>
      </c>
      <c r="AU400" t="s">
        <v>364</v>
      </c>
      <c r="AV400" t="str">
        <f t="shared" si="14"/>
        <v>no_fail</v>
      </c>
    </row>
    <row r="401" spans="1:48" x14ac:dyDescent="0.3">
      <c r="A401" t="s">
        <v>45</v>
      </c>
      <c r="B401" t="s">
        <v>75</v>
      </c>
      <c r="C401" t="s">
        <v>11</v>
      </c>
      <c r="D401" t="s">
        <v>12</v>
      </c>
      <c r="E401" t="str">
        <f t="shared" si="13"/>
        <v>P_W6F-KYY-S_1Q4</v>
      </c>
      <c r="F401" t="b">
        <v>1</v>
      </c>
      <c r="G401">
        <v>99.9</v>
      </c>
      <c r="H401">
        <v>0</v>
      </c>
      <c r="I401">
        <v>22156</v>
      </c>
      <c r="J401" s="49" t="s">
        <v>18</v>
      </c>
      <c r="L401" s="16" t="s">
        <v>272</v>
      </c>
      <c r="M401" s="16">
        <v>2</v>
      </c>
      <c r="N401" s="16" t="s">
        <v>277</v>
      </c>
      <c r="O401" s="16" t="s">
        <v>335</v>
      </c>
      <c r="P401" s="15" t="s">
        <v>282</v>
      </c>
      <c r="Q401" t="s">
        <v>281</v>
      </c>
      <c r="R401" t="s">
        <v>284</v>
      </c>
      <c r="S401" s="17" t="s">
        <v>371</v>
      </c>
      <c r="T401" s="16" t="s">
        <v>340</v>
      </c>
      <c r="U401" s="16" t="s">
        <v>342</v>
      </c>
      <c r="V401" s="15" t="s">
        <v>340</v>
      </c>
      <c r="W401" s="15" t="s">
        <v>344</v>
      </c>
      <c r="X401" s="17"/>
      <c r="Y401" t="s">
        <v>349</v>
      </c>
      <c r="Z401" t="s">
        <v>349</v>
      </c>
      <c r="AA401" t="s">
        <v>293</v>
      </c>
      <c r="AB401" t="s">
        <v>354</v>
      </c>
      <c r="AC401" t="s">
        <v>354</v>
      </c>
      <c r="AD401" t="s">
        <v>299</v>
      </c>
      <c r="AE401" t="s">
        <v>293</v>
      </c>
      <c r="AF401" t="s">
        <v>292</v>
      </c>
      <c r="AG401" t="s">
        <v>292</v>
      </c>
      <c r="AH401" t="s">
        <v>293</v>
      </c>
      <c r="AI401" t="s">
        <v>293</v>
      </c>
      <c r="AJ401" t="s">
        <v>302</v>
      </c>
      <c r="AK401" t="s">
        <v>302</v>
      </c>
      <c r="AL401" t="s">
        <v>357</v>
      </c>
      <c r="AM401" t="s">
        <v>293</v>
      </c>
      <c r="AN401" t="s">
        <v>293</v>
      </c>
      <c r="AO401" t="s">
        <v>297</v>
      </c>
      <c r="AP401" t="s">
        <v>356</v>
      </c>
      <c r="AQ401" t="s">
        <v>293</v>
      </c>
      <c r="AR401" t="s">
        <v>292</v>
      </c>
      <c r="AS401" t="s">
        <v>293</v>
      </c>
      <c r="AT401" t="s">
        <v>293</v>
      </c>
      <c r="AU401" t="s">
        <v>364</v>
      </c>
      <c r="AV401" t="str">
        <f t="shared" si="14"/>
        <v>car_stuck</v>
      </c>
    </row>
    <row r="402" spans="1:48" x14ac:dyDescent="0.3">
      <c r="A402" t="s">
        <v>45</v>
      </c>
      <c r="B402" t="s">
        <v>75</v>
      </c>
      <c r="C402" t="s">
        <v>19</v>
      </c>
      <c r="D402" t="s">
        <v>12</v>
      </c>
      <c r="E402" t="str">
        <f t="shared" si="13"/>
        <v>P_W6F-KYY-S_4U3</v>
      </c>
      <c r="F402" t="b">
        <v>1</v>
      </c>
      <c r="G402">
        <v>100</v>
      </c>
      <c r="H402">
        <v>1</v>
      </c>
      <c r="I402">
        <v>14900</v>
      </c>
      <c r="J402" s="49" t="s">
        <v>18</v>
      </c>
      <c r="L402" s="16" t="s">
        <v>272</v>
      </c>
      <c r="M402" s="16">
        <v>2</v>
      </c>
      <c r="N402" s="16" t="s">
        <v>277</v>
      </c>
      <c r="O402" s="16" t="s">
        <v>335</v>
      </c>
      <c r="P402" s="15" t="s">
        <v>282</v>
      </c>
      <c r="Q402" t="s">
        <v>371</v>
      </c>
      <c r="R402" t="s">
        <v>371</v>
      </c>
      <c r="S402" s="17" t="s">
        <v>371</v>
      </c>
      <c r="T402" s="16" t="s">
        <v>340</v>
      </c>
      <c r="U402" s="16" t="s">
        <v>342</v>
      </c>
      <c r="V402" s="15" t="s">
        <v>340</v>
      </c>
      <c r="W402" s="15" t="s">
        <v>347</v>
      </c>
      <c r="X402" s="17"/>
      <c r="Y402" t="s">
        <v>349</v>
      </c>
      <c r="Z402" t="s">
        <v>349</v>
      </c>
      <c r="AA402" t="s">
        <v>293</v>
      </c>
      <c r="AB402" t="s">
        <v>354</v>
      </c>
      <c r="AC402" t="s">
        <v>354</v>
      </c>
      <c r="AD402" t="s">
        <v>299</v>
      </c>
      <c r="AE402" t="s">
        <v>292</v>
      </c>
      <c r="AF402" t="s">
        <v>293</v>
      </c>
      <c r="AG402" t="s">
        <v>293</v>
      </c>
      <c r="AH402" t="s">
        <v>292</v>
      </c>
      <c r="AI402" t="s">
        <v>293</v>
      </c>
      <c r="AJ402" t="s">
        <v>302</v>
      </c>
      <c r="AK402" t="s">
        <v>302</v>
      </c>
      <c r="AL402" t="s">
        <v>357</v>
      </c>
      <c r="AM402" t="s">
        <v>293</v>
      </c>
      <c r="AN402" t="s">
        <v>293</v>
      </c>
      <c r="AO402" t="s">
        <v>296</v>
      </c>
      <c r="AP402" t="s">
        <v>298</v>
      </c>
      <c r="AQ402" t="s">
        <v>293</v>
      </c>
      <c r="AR402" t="s">
        <v>292</v>
      </c>
      <c r="AS402" t="s">
        <v>293</v>
      </c>
      <c r="AT402" t="s">
        <v>293</v>
      </c>
      <c r="AU402" t="s">
        <v>364</v>
      </c>
      <c r="AV402" t="str">
        <f t="shared" si="14"/>
        <v>break</v>
      </c>
    </row>
    <row r="403" spans="1:48" x14ac:dyDescent="0.3">
      <c r="A403" t="s">
        <v>45</v>
      </c>
      <c r="B403" t="s">
        <v>75</v>
      </c>
      <c r="C403" t="s">
        <v>17</v>
      </c>
      <c r="D403" t="s">
        <v>12</v>
      </c>
      <c r="E403" t="str">
        <f t="shared" si="13"/>
        <v>P_W6F-KYY-S_6B5</v>
      </c>
      <c r="F403" t="b">
        <v>1</v>
      </c>
      <c r="G403">
        <v>100</v>
      </c>
      <c r="H403">
        <v>1</v>
      </c>
      <c r="I403">
        <v>14657</v>
      </c>
      <c r="J403" s="49" t="s">
        <v>18</v>
      </c>
      <c r="L403" s="16" t="s">
        <v>272</v>
      </c>
      <c r="M403" s="16">
        <v>2</v>
      </c>
      <c r="N403" s="16" t="s">
        <v>277</v>
      </c>
      <c r="O403" s="16" t="s">
        <v>335</v>
      </c>
      <c r="P403" s="15" t="s">
        <v>282</v>
      </c>
      <c r="Q403" t="s">
        <v>281</v>
      </c>
      <c r="R403" t="s">
        <v>284</v>
      </c>
      <c r="S403" s="17" t="s">
        <v>371</v>
      </c>
      <c r="T403" s="16" t="s">
        <v>340</v>
      </c>
      <c r="U403" s="16" t="s">
        <v>342</v>
      </c>
      <c r="V403" s="15" t="s">
        <v>340</v>
      </c>
      <c r="W403" s="15" t="s">
        <v>344</v>
      </c>
      <c r="X403" s="17"/>
      <c r="Y403" t="s">
        <v>349</v>
      </c>
      <c r="Z403" t="s">
        <v>349</v>
      </c>
      <c r="AA403" t="s">
        <v>293</v>
      </c>
      <c r="AB403" t="s">
        <v>354</v>
      </c>
      <c r="AC403" t="s">
        <v>354</v>
      </c>
      <c r="AD403" t="s">
        <v>299</v>
      </c>
      <c r="AE403" t="s">
        <v>293</v>
      </c>
      <c r="AF403" t="s">
        <v>292</v>
      </c>
      <c r="AG403" t="s">
        <v>292</v>
      </c>
      <c r="AH403" t="s">
        <v>293</v>
      </c>
      <c r="AI403" t="s">
        <v>293</v>
      </c>
      <c r="AJ403" t="s">
        <v>302</v>
      </c>
      <c r="AK403" t="s">
        <v>302</v>
      </c>
      <c r="AL403" t="s">
        <v>357</v>
      </c>
      <c r="AM403" t="s">
        <v>293</v>
      </c>
      <c r="AN403" t="s">
        <v>293</v>
      </c>
      <c r="AO403" t="s">
        <v>297</v>
      </c>
      <c r="AP403" t="s">
        <v>356</v>
      </c>
      <c r="AQ403" t="s">
        <v>293</v>
      </c>
      <c r="AR403" t="s">
        <v>292</v>
      </c>
      <c r="AS403" t="s">
        <v>293</v>
      </c>
      <c r="AT403" t="s">
        <v>293</v>
      </c>
      <c r="AU403" t="s">
        <v>364</v>
      </c>
      <c r="AV403" t="str">
        <f t="shared" si="14"/>
        <v>break</v>
      </c>
    </row>
    <row r="404" spans="1:48" x14ac:dyDescent="0.3">
      <c r="A404" t="s">
        <v>45</v>
      </c>
      <c r="B404" t="s">
        <v>75</v>
      </c>
      <c r="C404" t="s">
        <v>16</v>
      </c>
      <c r="D404" t="s">
        <v>12</v>
      </c>
      <c r="E404" t="str">
        <f t="shared" si="13"/>
        <v>P_W6F-KYY-S_6U7</v>
      </c>
      <c r="F404" t="b">
        <v>1</v>
      </c>
      <c r="G404">
        <v>100</v>
      </c>
      <c r="H404">
        <v>1</v>
      </c>
      <c r="I404">
        <v>17386</v>
      </c>
      <c r="J404" s="49" t="s">
        <v>18</v>
      </c>
      <c r="L404" s="16" t="s">
        <v>272</v>
      </c>
      <c r="M404" s="16">
        <v>2</v>
      </c>
      <c r="N404" s="16" t="s">
        <v>277</v>
      </c>
      <c r="O404" s="16" t="s">
        <v>335</v>
      </c>
      <c r="P404" s="15" t="s">
        <v>282</v>
      </c>
      <c r="Q404" t="s">
        <v>371</v>
      </c>
      <c r="R404" t="s">
        <v>371</v>
      </c>
      <c r="S404" s="17" t="s">
        <v>371</v>
      </c>
      <c r="T404" s="16" t="s">
        <v>340</v>
      </c>
      <c r="U404" s="16" t="s">
        <v>342</v>
      </c>
      <c r="V404" s="15" t="s">
        <v>340</v>
      </c>
      <c r="W404" s="15" t="s">
        <v>347</v>
      </c>
      <c r="X404" s="17"/>
      <c r="Y404" t="s">
        <v>349</v>
      </c>
      <c r="Z404" t="s">
        <v>349</v>
      </c>
      <c r="AA404" t="s">
        <v>293</v>
      </c>
      <c r="AB404" t="s">
        <v>354</v>
      </c>
      <c r="AC404" t="s">
        <v>354</v>
      </c>
      <c r="AD404" t="s">
        <v>300</v>
      </c>
      <c r="AE404" t="s">
        <v>292</v>
      </c>
      <c r="AF404" t="s">
        <v>293</v>
      </c>
      <c r="AG404" t="s">
        <v>293</v>
      </c>
      <c r="AH404" t="s">
        <v>292</v>
      </c>
      <c r="AI404" t="s">
        <v>293</v>
      </c>
      <c r="AJ404" t="s">
        <v>302</v>
      </c>
      <c r="AK404" t="s">
        <v>302</v>
      </c>
      <c r="AL404" t="s">
        <v>357</v>
      </c>
      <c r="AM404" t="s">
        <v>293</v>
      </c>
      <c r="AN404" t="s">
        <v>293</v>
      </c>
      <c r="AO404" t="s">
        <v>296</v>
      </c>
      <c r="AP404" t="s">
        <v>298</v>
      </c>
      <c r="AQ404" t="s">
        <v>293</v>
      </c>
      <c r="AR404" t="s">
        <v>292</v>
      </c>
      <c r="AS404" t="s">
        <v>293</v>
      </c>
      <c r="AT404" t="s">
        <v>293</v>
      </c>
      <c r="AU404" t="s">
        <v>364</v>
      </c>
      <c r="AV404" t="str">
        <f t="shared" si="14"/>
        <v>break</v>
      </c>
    </row>
    <row r="405" spans="1:48" x14ac:dyDescent="0.3">
      <c r="A405" t="s">
        <v>45</v>
      </c>
      <c r="B405" t="s">
        <v>75</v>
      </c>
      <c r="C405" t="s">
        <v>20</v>
      </c>
      <c r="D405" t="s">
        <v>12</v>
      </c>
      <c r="E405" t="str">
        <f t="shared" si="13"/>
        <v>P_W6F-KYY-S_7W0</v>
      </c>
      <c r="F405" t="b">
        <v>1</v>
      </c>
      <c r="G405">
        <v>100</v>
      </c>
      <c r="H405">
        <v>1</v>
      </c>
      <c r="I405">
        <v>14795</v>
      </c>
      <c r="J405" s="49" t="s">
        <v>18</v>
      </c>
      <c r="L405" s="16" t="s">
        <v>272</v>
      </c>
      <c r="M405" s="16">
        <v>2</v>
      </c>
      <c r="N405" s="16" t="s">
        <v>277</v>
      </c>
      <c r="O405" s="16" t="s">
        <v>335</v>
      </c>
      <c r="P405" s="15" t="s">
        <v>282</v>
      </c>
      <c r="Q405" t="s">
        <v>281</v>
      </c>
      <c r="R405" t="s">
        <v>284</v>
      </c>
      <c r="S405" s="17" t="s">
        <v>371</v>
      </c>
      <c r="T405" s="16" t="s">
        <v>340</v>
      </c>
      <c r="U405" s="16" t="s">
        <v>342</v>
      </c>
      <c r="V405" s="15" t="s">
        <v>340</v>
      </c>
      <c r="W405" s="15" t="s">
        <v>344</v>
      </c>
      <c r="X405" s="17"/>
      <c r="Y405" t="s">
        <v>349</v>
      </c>
      <c r="Z405" t="s">
        <v>349</v>
      </c>
      <c r="AA405" t="s">
        <v>293</v>
      </c>
      <c r="AB405" t="s">
        <v>354</v>
      </c>
      <c r="AC405" t="s">
        <v>354</v>
      </c>
      <c r="AD405" t="s">
        <v>299</v>
      </c>
      <c r="AE405" t="s">
        <v>293</v>
      </c>
      <c r="AF405" t="s">
        <v>292</v>
      </c>
      <c r="AG405" t="s">
        <v>292</v>
      </c>
      <c r="AH405" t="s">
        <v>292</v>
      </c>
      <c r="AI405" t="s">
        <v>293</v>
      </c>
      <c r="AJ405" t="s">
        <v>302</v>
      </c>
      <c r="AK405" t="s">
        <v>302</v>
      </c>
      <c r="AL405" t="s">
        <v>357</v>
      </c>
      <c r="AM405" t="s">
        <v>293</v>
      </c>
      <c r="AN405" t="s">
        <v>293</v>
      </c>
      <c r="AO405" t="s">
        <v>296</v>
      </c>
      <c r="AP405" t="s">
        <v>356</v>
      </c>
      <c r="AQ405" t="s">
        <v>293</v>
      </c>
      <c r="AR405" t="s">
        <v>292</v>
      </c>
      <c r="AS405" t="s">
        <v>293</v>
      </c>
      <c r="AT405" t="s">
        <v>293</v>
      </c>
      <c r="AU405" t="s">
        <v>364</v>
      </c>
      <c r="AV405" t="str">
        <f t="shared" si="14"/>
        <v>break</v>
      </c>
    </row>
    <row r="406" spans="1:48" x14ac:dyDescent="0.3">
      <c r="A406" t="s">
        <v>45</v>
      </c>
      <c r="B406" t="s">
        <v>75</v>
      </c>
      <c r="C406" t="s">
        <v>23</v>
      </c>
      <c r="D406" t="s">
        <v>29</v>
      </c>
      <c r="E406" t="str">
        <f t="shared" si="13"/>
        <v>P_W6F-ZSB-S_0T2</v>
      </c>
      <c r="F406" t="b">
        <v>1</v>
      </c>
      <c r="G406">
        <v>86</v>
      </c>
      <c r="H406">
        <v>0</v>
      </c>
      <c r="I406">
        <v>14923</v>
      </c>
      <c r="J406" s="49" t="s">
        <v>13</v>
      </c>
      <c r="L406" s="16" t="s">
        <v>272</v>
      </c>
      <c r="M406" s="16">
        <v>2</v>
      </c>
      <c r="N406" s="16" t="s">
        <v>277</v>
      </c>
      <c r="O406" s="16" t="s">
        <v>335</v>
      </c>
      <c r="P406" s="15" t="s">
        <v>282</v>
      </c>
      <c r="Q406" t="s">
        <v>281</v>
      </c>
      <c r="R406" t="s">
        <v>284</v>
      </c>
      <c r="S406" s="17" t="s">
        <v>371</v>
      </c>
      <c r="T406" s="16" t="s">
        <v>340</v>
      </c>
      <c r="U406" s="16" t="s">
        <v>342</v>
      </c>
      <c r="V406" s="15" t="s">
        <v>340</v>
      </c>
      <c r="W406" s="15" t="s">
        <v>344</v>
      </c>
      <c r="X406" s="17"/>
      <c r="Y406" t="s">
        <v>349</v>
      </c>
      <c r="Z406" t="s">
        <v>349</v>
      </c>
      <c r="AA406" t="s">
        <v>293</v>
      </c>
      <c r="AB406" t="s">
        <v>354</v>
      </c>
      <c r="AC406" t="s">
        <v>354</v>
      </c>
      <c r="AD406" t="s">
        <v>299</v>
      </c>
      <c r="AE406" t="s">
        <v>292</v>
      </c>
      <c r="AF406" t="s">
        <v>292</v>
      </c>
      <c r="AG406" t="s">
        <v>292</v>
      </c>
      <c r="AH406" t="s">
        <v>292</v>
      </c>
      <c r="AI406" t="s">
        <v>293</v>
      </c>
      <c r="AJ406" t="s">
        <v>302</v>
      </c>
      <c r="AK406" t="s">
        <v>302</v>
      </c>
      <c r="AL406" t="s">
        <v>357</v>
      </c>
      <c r="AM406" t="s">
        <v>293</v>
      </c>
      <c r="AN406" t="s">
        <v>293</v>
      </c>
      <c r="AO406" t="s">
        <v>296</v>
      </c>
      <c r="AP406" t="s">
        <v>298</v>
      </c>
      <c r="AQ406" t="s">
        <v>293</v>
      </c>
      <c r="AR406" t="s">
        <v>292</v>
      </c>
      <c r="AS406" t="s">
        <v>293</v>
      </c>
      <c r="AT406" t="s">
        <v>293</v>
      </c>
      <c r="AU406" t="s">
        <v>364</v>
      </c>
      <c r="AV406" t="str">
        <f t="shared" si="14"/>
        <v>no_fail</v>
      </c>
    </row>
    <row r="407" spans="1:48" x14ac:dyDescent="0.3">
      <c r="A407" t="s">
        <v>45</v>
      </c>
      <c r="B407" t="s">
        <v>75</v>
      </c>
      <c r="C407" t="s">
        <v>25</v>
      </c>
      <c r="D407" t="s">
        <v>29</v>
      </c>
      <c r="E407" t="str">
        <f t="shared" si="13"/>
        <v>P_W6F-ZSB-S_1J8</v>
      </c>
      <c r="F407" t="b">
        <v>1</v>
      </c>
      <c r="G407">
        <v>71.099999999999994</v>
      </c>
      <c r="H407">
        <v>0</v>
      </c>
      <c r="I407">
        <v>14241</v>
      </c>
      <c r="J407" s="49" t="s">
        <v>13</v>
      </c>
      <c r="L407" s="16" t="s">
        <v>272</v>
      </c>
      <c r="M407" s="16">
        <v>3</v>
      </c>
      <c r="N407" s="16" t="s">
        <v>277</v>
      </c>
      <c r="O407" s="16" t="s">
        <v>335</v>
      </c>
      <c r="P407" s="15" t="s">
        <v>283</v>
      </c>
      <c r="Q407" t="s">
        <v>282</v>
      </c>
      <c r="R407" t="s">
        <v>371</v>
      </c>
      <c r="S407" s="17" t="s">
        <v>371</v>
      </c>
      <c r="T407" s="16" t="s">
        <v>340</v>
      </c>
      <c r="U407" s="16" t="s">
        <v>342</v>
      </c>
      <c r="V407" s="15" t="s">
        <v>343</v>
      </c>
      <c r="W407" s="15" t="s">
        <v>347</v>
      </c>
      <c r="X407" s="17"/>
      <c r="Y407" t="s">
        <v>349</v>
      </c>
      <c r="Z407" t="s">
        <v>349</v>
      </c>
      <c r="AA407" t="s">
        <v>293</v>
      </c>
      <c r="AB407" t="s">
        <v>353</v>
      </c>
      <c r="AC407" t="s">
        <v>296</v>
      </c>
      <c r="AD407" t="s">
        <v>301</v>
      </c>
      <c r="AE407" t="s">
        <v>293</v>
      </c>
      <c r="AF407" t="s">
        <v>292</v>
      </c>
      <c r="AG407" t="s">
        <v>293</v>
      </c>
      <c r="AH407" t="s">
        <v>292</v>
      </c>
      <c r="AI407" t="s">
        <v>293</v>
      </c>
      <c r="AJ407" t="s">
        <v>302</v>
      </c>
      <c r="AK407" t="s">
        <v>302</v>
      </c>
      <c r="AL407" t="s">
        <v>359</v>
      </c>
      <c r="AM407" t="s">
        <v>293</v>
      </c>
      <c r="AN407" t="s">
        <v>293</v>
      </c>
      <c r="AO407" t="s">
        <v>296</v>
      </c>
      <c r="AP407" t="s">
        <v>356</v>
      </c>
      <c r="AQ407" t="s">
        <v>293</v>
      </c>
      <c r="AR407" t="s">
        <v>292</v>
      </c>
      <c r="AS407" t="s">
        <v>293</v>
      </c>
      <c r="AT407" t="s">
        <v>293</v>
      </c>
      <c r="AU407" t="s">
        <v>364</v>
      </c>
      <c r="AV407" t="str">
        <f t="shared" si="14"/>
        <v>no_fail</v>
      </c>
    </row>
    <row r="408" spans="1:48" x14ac:dyDescent="0.3">
      <c r="A408" t="s">
        <v>45</v>
      </c>
      <c r="B408" t="s">
        <v>75</v>
      </c>
      <c r="C408" t="s">
        <v>24</v>
      </c>
      <c r="D408" t="s">
        <v>29</v>
      </c>
      <c r="E408" t="str">
        <f t="shared" si="13"/>
        <v>P_W6F-ZSB-S_1U0</v>
      </c>
      <c r="F408" t="b">
        <v>1</v>
      </c>
      <c r="G408">
        <v>100</v>
      </c>
      <c r="H408">
        <v>1</v>
      </c>
      <c r="I408">
        <v>11338</v>
      </c>
      <c r="J408" s="49" t="s">
        <v>18</v>
      </c>
      <c r="L408" s="16" t="s">
        <v>272</v>
      </c>
      <c r="M408" s="16">
        <v>2</v>
      </c>
      <c r="N408" s="16" t="s">
        <v>277</v>
      </c>
      <c r="O408" s="16" t="s">
        <v>335</v>
      </c>
      <c r="P408" s="15" t="s">
        <v>282</v>
      </c>
      <c r="Q408" t="s">
        <v>371</v>
      </c>
      <c r="R408" t="s">
        <v>371</v>
      </c>
      <c r="S408" s="17" t="s">
        <v>371</v>
      </c>
      <c r="T408" s="16" t="s">
        <v>340</v>
      </c>
      <c r="U408" s="16" t="s">
        <v>342</v>
      </c>
      <c r="V408" s="15" t="s">
        <v>340</v>
      </c>
      <c r="W408" s="15" t="s">
        <v>347</v>
      </c>
      <c r="X408" s="17"/>
      <c r="Y408" t="s">
        <v>349</v>
      </c>
      <c r="Z408" t="s">
        <v>349</v>
      </c>
      <c r="AA408" t="s">
        <v>293</v>
      </c>
      <c r="AB408" t="s">
        <v>354</v>
      </c>
      <c r="AC408" t="s">
        <v>354</v>
      </c>
      <c r="AD408" t="s">
        <v>299</v>
      </c>
      <c r="AE408" t="s">
        <v>292</v>
      </c>
      <c r="AF408" t="s">
        <v>293</v>
      </c>
      <c r="AG408" t="s">
        <v>293</v>
      </c>
      <c r="AH408" t="s">
        <v>292</v>
      </c>
      <c r="AI408" t="s">
        <v>293</v>
      </c>
      <c r="AJ408" t="s">
        <v>302</v>
      </c>
      <c r="AK408" t="s">
        <v>302</v>
      </c>
      <c r="AL408" t="s">
        <v>357</v>
      </c>
      <c r="AM408" t="s">
        <v>293</v>
      </c>
      <c r="AN408" t="s">
        <v>293</v>
      </c>
      <c r="AO408" t="s">
        <v>296</v>
      </c>
      <c r="AP408" t="s">
        <v>298</v>
      </c>
      <c r="AQ408" t="s">
        <v>293</v>
      </c>
      <c r="AR408" t="s">
        <v>292</v>
      </c>
      <c r="AS408" t="s">
        <v>293</v>
      </c>
      <c r="AT408" t="s">
        <v>293</v>
      </c>
      <c r="AU408" t="s">
        <v>364</v>
      </c>
      <c r="AV408" t="str">
        <f t="shared" si="14"/>
        <v>break</v>
      </c>
    </row>
    <row r="409" spans="1:48" x14ac:dyDescent="0.3">
      <c r="A409" t="s">
        <v>45</v>
      </c>
      <c r="B409" t="s">
        <v>75</v>
      </c>
      <c r="C409" t="s">
        <v>21</v>
      </c>
      <c r="D409" t="s">
        <v>29</v>
      </c>
      <c r="E409" t="str">
        <f t="shared" si="13"/>
        <v>P_W6F-ZSB-S_3X6</v>
      </c>
      <c r="F409" t="b">
        <v>1</v>
      </c>
      <c r="G409">
        <v>100</v>
      </c>
      <c r="H409">
        <v>1</v>
      </c>
      <c r="I409">
        <v>12316</v>
      </c>
      <c r="J409" s="49" t="s">
        <v>18</v>
      </c>
      <c r="L409" s="16" t="s">
        <v>272</v>
      </c>
      <c r="M409" s="16">
        <v>2</v>
      </c>
      <c r="N409" s="16" t="s">
        <v>277</v>
      </c>
      <c r="O409" s="16" t="s">
        <v>335</v>
      </c>
      <c r="P409" s="15" t="s">
        <v>282</v>
      </c>
      <c r="Q409" t="s">
        <v>281</v>
      </c>
      <c r="R409" t="s">
        <v>284</v>
      </c>
      <c r="S409" s="17" t="s">
        <v>371</v>
      </c>
      <c r="T409" s="16" t="s">
        <v>340</v>
      </c>
      <c r="U409" s="16" t="s">
        <v>342</v>
      </c>
      <c r="V409" s="15" t="s">
        <v>340</v>
      </c>
      <c r="W409" s="15" t="s">
        <v>344</v>
      </c>
      <c r="X409" s="17"/>
      <c r="Y409" t="s">
        <v>349</v>
      </c>
      <c r="Z409" t="s">
        <v>349</v>
      </c>
      <c r="AA409" t="s">
        <v>293</v>
      </c>
      <c r="AB409" t="s">
        <v>354</v>
      </c>
      <c r="AC409" t="s">
        <v>354</v>
      </c>
      <c r="AD409" t="s">
        <v>299</v>
      </c>
      <c r="AE409" t="s">
        <v>293</v>
      </c>
      <c r="AF409" t="s">
        <v>292</v>
      </c>
      <c r="AG409" t="s">
        <v>292</v>
      </c>
      <c r="AH409" t="s">
        <v>293</v>
      </c>
      <c r="AI409" t="s">
        <v>293</v>
      </c>
      <c r="AJ409" t="s">
        <v>302</v>
      </c>
      <c r="AK409" t="s">
        <v>302</v>
      </c>
      <c r="AL409" t="s">
        <v>357</v>
      </c>
      <c r="AM409" t="s">
        <v>293</v>
      </c>
      <c r="AN409" t="s">
        <v>293</v>
      </c>
      <c r="AO409" t="s">
        <v>297</v>
      </c>
      <c r="AP409" t="s">
        <v>356</v>
      </c>
      <c r="AQ409" t="s">
        <v>293</v>
      </c>
      <c r="AR409" t="s">
        <v>292</v>
      </c>
      <c r="AS409" t="s">
        <v>293</v>
      </c>
      <c r="AT409" t="s">
        <v>293</v>
      </c>
      <c r="AU409" t="s">
        <v>364</v>
      </c>
      <c r="AV409" t="str">
        <f t="shared" si="14"/>
        <v>break</v>
      </c>
    </row>
    <row r="410" spans="1:48" x14ac:dyDescent="0.3">
      <c r="A410" t="s">
        <v>45</v>
      </c>
      <c r="B410" t="s">
        <v>75</v>
      </c>
      <c r="C410" t="s">
        <v>30</v>
      </c>
      <c r="D410" t="s">
        <v>29</v>
      </c>
      <c r="E410" t="str">
        <f t="shared" si="13"/>
        <v>P_W6F-ZSB-S_3X7</v>
      </c>
      <c r="F410" t="b">
        <v>1</v>
      </c>
      <c r="G410">
        <v>100</v>
      </c>
      <c r="H410">
        <v>1</v>
      </c>
      <c r="I410">
        <v>11072</v>
      </c>
      <c r="J410" s="49" t="s">
        <v>18</v>
      </c>
      <c r="L410" s="16" t="s">
        <v>272</v>
      </c>
      <c r="M410" s="16">
        <v>2</v>
      </c>
      <c r="N410" s="16" t="s">
        <v>277</v>
      </c>
      <c r="O410" s="16" t="s">
        <v>335</v>
      </c>
      <c r="P410" s="15" t="s">
        <v>282</v>
      </c>
      <c r="Q410" t="s">
        <v>371</v>
      </c>
      <c r="R410" t="s">
        <v>371</v>
      </c>
      <c r="S410" s="17" t="s">
        <v>371</v>
      </c>
      <c r="T410" s="16" t="s">
        <v>340</v>
      </c>
      <c r="U410" s="16" t="s">
        <v>342</v>
      </c>
      <c r="V410" s="15" t="s">
        <v>340</v>
      </c>
      <c r="W410" s="15" t="s">
        <v>344</v>
      </c>
      <c r="X410" s="17"/>
      <c r="Y410" t="s">
        <v>349</v>
      </c>
      <c r="Z410" t="s">
        <v>349</v>
      </c>
      <c r="AA410" t="s">
        <v>293</v>
      </c>
      <c r="AB410" t="s">
        <v>354</v>
      </c>
      <c r="AC410" t="s">
        <v>354</v>
      </c>
      <c r="AD410" t="s">
        <v>300</v>
      </c>
      <c r="AE410" t="s">
        <v>293</v>
      </c>
      <c r="AF410" t="s">
        <v>292</v>
      </c>
      <c r="AG410" t="s">
        <v>293</v>
      </c>
      <c r="AH410" t="s">
        <v>292</v>
      </c>
      <c r="AI410" t="s">
        <v>293</v>
      </c>
      <c r="AJ410" t="s">
        <v>302</v>
      </c>
      <c r="AK410" t="s">
        <v>302</v>
      </c>
      <c r="AL410" t="s">
        <v>357</v>
      </c>
      <c r="AM410" t="s">
        <v>293</v>
      </c>
      <c r="AN410" t="s">
        <v>293</v>
      </c>
      <c r="AO410" t="s">
        <v>296</v>
      </c>
      <c r="AP410" t="s">
        <v>356</v>
      </c>
      <c r="AQ410" t="s">
        <v>293</v>
      </c>
      <c r="AR410" t="s">
        <v>292</v>
      </c>
      <c r="AS410" t="s">
        <v>293</v>
      </c>
      <c r="AT410" t="s">
        <v>293</v>
      </c>
      <c r="AU410" t="s">
        <v>364</v>
      </c>
      <c r="AV410" t="str">
        <f t="shared" si="14"/>
        <v>break</v>
      </c>
    </row>
    <row r="411" spans="1:48" x14ac:dyDescent="0.3">
      <c r="A411" t="s">
        <v>45</v>
      </c>
      <c r="B411" t="s">
        <v>75</v>
      </c>
      <c r="C411" t="s">
        <v>26</v>
      </c>
      <c r="D411" t="s">
        <v>29</v>
      </c>
      <c r="E411" t="str">
        <f t="shared" si="13"/>
        <v>P_W6F-ZSB-S_8O8</v>
      </c>
      <c r="F411" t="b">
        <v>1</v>
      </c>
      <c r="G411">
        <v>98.4</v>
      </c>
      <c r="H411">
        <v>0</v>
      </c>
      <c r="I411">
        <v>13310</v>
      </c>
      <c r="J411" s="49" t="s">
        <v>13</v>
      </c>
      <c r="L411" s="16" t="s">
        <v>272</v>
      </c>
      <c r="M411" s="16">
        <v>2</v>
      </c>
      <c r="N411" s="16" t="s">
        <v>277</v>
      </c>
      <c r="O411" s="16" t="s">
        <v>335</v>
      </c>
      <c r="P411" s="15" t="s">
        <v>282</v>
      </c>
      <c r="Q411" t="s">
        <v>281</v>
      </c>
      <c r="R411" t="s">
        <v>284</v>
      </c>
      <c r="S411" s="17" t="s">
        <v>371</v>
      </c>
      <c r="T411" s="16" t="s">
        <v>340</v>
      </c>
      <c r="U411" s="16" t="s">
        <v>342</v>
      </c>
      <c r="V411" s="15" t="s">
        <v>340</v>
      </c>
      <c r="W411" s="15" t="s">
        <v>344</v>
      </c>
      <c r="X411" s="17"/>
      <c r="Y411" t="s">
        <v>349</v>
      </c>
      <c r="Z411" t="s">
        <v>349</v>
      </c>
      <c r="AA411" t="s">
        <v>293</v>
      </c>
      <c r="AB411" t="s">
        <v>354</v>
      </c>
      <c r="AC411" t="s">
        <v>354</v>
      </c>
      <c r="AD411" t="s">
        <v>299</v>
      </c>
      <c r="AE411" t="s">
        <v>292</v>
      </c>
      <c r="AF411" t="s">
        <v>293</v>
      </c>
      <c r="AG411" t="s">
        <v>292</v>
      </c>
      <c r="AH411" t="s">
        <v>292</v>
      </c>
      <c r="AI411" t="s">
        <v>293</v>
      </c>
      <c r="AJ411" t="s">
        <v>302</v>
      </c>
      <c r="AK411" t="s">
        <v>302</v>
      </c>
      <c r="AL411" t="s">
        <v>357</v>
      </c>
      <c r="AM411" t="s">
        <v>293</v>
      </c>
      <c r="AN411" t="s">
        <v>293</v>
      </c>
      <c r="AO411" t="s">
        <v>296</v>
      </c>
      <c r="AP411" t="s">
        <v>298</v>
      </c>
      <c r="AQ411" t="s">
        <v>293</v>
      </c>
      <c r="AR411" t="s">
        <v>292</v>
      </c>
      <c r="AS411" t="s">
        <v>293</v>
      </c>
      <c r="AT411" t="s">
        <v>293</v>
      </c>
      <c r="AU411" t="s">
        <v>364</v>
      </c>
      <c r="AV411" t="str">
        <f t="shared" si="14"/>
        <v>no_fail</v>
      </c>
    </row>
    <row r="412" spans="1:48" x14ac:dyDescent="0.3">
      <c r="A412" t="s">
        <v>45</v>
      </c>
      <c r="B412" t="s">
        <v>75</v>
      </c>
      <c r="C412" t="s">
        <v>22</v>
      </c>
      <c r="D412" t="s">
        <v>29</v>
      </c>
      <c r="E412" t="str">
        <f t="shared" si="13"/>
        <v>P_W6F-ZSB-S_9B4</v>
      </c>
      <c r="F412" t="b">
        <v>1</v>
      </c>
      <c r="G412">
        <v>100</v>
      </c>
      <c r="H412">
        <v>1</v>
      </c>
      <c r="I412">
        <v>12716</v>
      </c>
      <c r="J412" s="49" t="s">
        <v>18</v>
      </c>
      <c r="L412" s="16" t="s">
        <v>272</v>
      </c>
      <c r="M412" s="16">
        <v>3</v>
      </c>
      <c r="N412" s="16" t="s">
        <v>277</v>
      </c>
      <c r="O412" s="16" t="s">
        <v>335</v>
      </c>
      <c r="P412" s="15" t="s">
        <v>282</v>
      </c>
      <c r="Q412" t="s">
        <v>281</v>
      </c>
      <c r="R412" t="s">
        <v>284</v>
      </c>
      <c r="S412" s="17" t="s">
        <v>371</v>
      </c>
      <c r="T412" s="16" t="s">
        <v>340</v>
      </c>
      <c r="U412" s="16" t="s">
        <v>342</v>
      </c>
      <c r="V412" s="15" t="s">
        <v>343</v>
      </c>
      <c r="W412" s="15" t="s">
        <v>344</v>
      </c>
      <c r="X412" s="17"/>
      <c r="Y412" t="s">
        <v>349</v>
      </c>
      <c r="Z412" t="s">
        <v>349</v>
      </c>
      <c r="AA412" t="s">
        <v>293</v>
      </c>
      <c r="AB412" t="s">
        <v>353</v>
      </c>
      <c r="AC412" t="s">
        <v>296</v>
      </c>
      <c r="AD412" t="s">
        <v>299</v>
      </c>
      <c r="AE412" t="s">
        <v>293</v>
      </c>
      <c r="AF412" t="s">
        <v>292</v>
      </c>
      <c r="AG412" t="s">
        <v>292</v>
      </c>
      <c r="AH412" t="s">
        <v>292</v>
      </c>
      <c r="AI412" t="s">
        <v>293</v>
      </c>
      <c r="AJ412" t="s">
        <v>302</v>
      </c>
      <c r="AK412" t="s">
        <v>302</v>
      </c>
      <c r="AL412" t="s">
        <v>357</v>
      </c>
      <c r="AM412" t="s">
        <v>293</v>
      </c>
      <c r="AN412" t="s">
        <v>293</v>
      </c>
      <c r="AO412" t="s">
        <v>297</v>
      </c>
      <c r="AP412" t="s">
        <v>356</v>
      </c>
      <c r="AQ412" t="s">
        <v>293</v>
      </c>
      <c r="AR412" t="s">
        <v>292</v>
      </c>
      <c r="AS412" t="s">
        <v>293</v>
      </c>
      <c r="AT412" t="s">
        <v>293</v>
      </c>
      <c r="AU412" t="s">
        <v>364</v>
      </c>
      <c r="AV412" t="str">
        <f t="shared" si="14"/>
        <v>break</v>
      </c>
    </row>
    <row r="413" spans="1:48" x14ac:dyDescent="0.3">
      <c r="A413" t="s">
        <v>45</v>
      </c>
      <c r="B413" t="s">
        <v>75</v>
      </c>
      <c r="C413" t="s">
        <v>27</v>
      </c>
      <c r="D413" t="s">
        <v>29</v>
      </c>
      <c r="E413" t="str">
        <f t="shared" si="13"/>
        <v>P_W6F-ZSB-S_9F6</v>
      </c>
      <c r="F413" t="b">
        <v>1</v>
      </c>
      <c r="G413">
        <v>100</v>
      </c>
      <c r="H413">
        <v>1</v>
      </c>
      <c r="I413">
        <v>11037</v>
      </c>
      <c r="J413" s="49" t="s">
        <v>18</v>
      </c>
      <c r="L413" s="16" t="s">
        <v>272</v>
      </c>
      <c r="M413" s="16">
        <v>2</v>
      </c>
      <c r="N413" s="16" t="s">
        <v>277</v>
      </c>
      <c r="O413" s="16" t="s">
        <v>335</v>
      </c>
      <c r="P413" s="15" t="s">
        <v>282</v>
      </c>
      <c r="Q413" t="s">
        <v>371</v>
      </c>
      <c r="R413" t="s">
        <v>371</v>
      </c>
      <c r="S413" s="17" t="s">
        <v>371</v>
      </c>
      <c r="T413" s="16" t="s">
        <v>340</v>
      </c>
      <c r="U413" s="16" t="s">
        <v>342</v>
      </c>
      <c r="V413" s="15" t="s">
        <v>343</v>
      </c>
      <c r="W413" s="15" t="s">
        <v>344</v>
      </c>
      <c r="X413" s="17"/>
      <c r="Y413" t="s">
        <v>349</v>
      </c>
      <c r="Z413" t="s">
        <v>349</v>
      </c>
      <c r="AA413" t="s">
        <v>293</v>
      </c>
      <c r="AB413" t="s">
        <v>354</v>
      </c>
      <c r="AC413" t="s">
        <v>354</v>
      </c>
      <c r="AD413" t="s">
        <v>299</v>
      </c>
      <c r="AE413" t="s">
        <v>293</v>
      </c>
      <c r="AF413" t="s">
        <v>292</v>
      </c>
      <c r="AG413" t="s">
        <v>293</v>
      </c>
      <c r="AH413" t="s">
        <v>292</v>
      </c>
      <c r="AI413" t="s">
        <v>293</v>
      </c>
      <c r="AJ413" t="s">
        <v>302</v>
      </c>
      <c r="AK413" t="s">
        <v>302</v>
      </c>
      <c r="AL413" t="s">
        <v>357</v>
      </c>
      <c r="AM413" t="s">
        <v>293</v>
      </c>
      <c r="AN413" t="s">
        <v>293</v>
      </c>
      <c r="AO413" t="s">
        <v>296</v>
      </c>
      <c r="AP413" t="s">
        <v>356</v>
      </c>
      <c r="AQ413" t="s">
        <v>293</v>
      </c>
      <c r="AR413" t="s">
        <v>292</v>
      </c>
      <c r="AS413" t="s">
        <v>293</v>
      </c>
      <c r="AT413" t="s">
        <v>293</v>
      </c>
      <c r="AU413" t="s">
        <v>364</v>
      </c>
      <c r="AV413" t="str">
        <f t="shared" si="14"/>
        <v>break</v>
      </c>
    </row>
    <row r="414" spans="1:48" x14ac:dyDescent="0.3">
      <c r="A414" t="s">
        <v>45</v>
      </c>
      <c r="B414" t="s">
        <v>75</v>
      </c>
      <c r="C414" t="s">
        <v>28</v>
      </c>
      <c r="D414" t="s">
        <v>29</v>
      </c>
      <c r="E414" t="str">
        <f t="shared" si="13"/>
        <v>P_W6F-ZSB-S_9T2</v>
      </c>
      <c r="F414" t="b">
        <v>1</v>
      </c>
      <c r="G414">
        <v>100</v>
      </c>
      <c r="H414">
        <v>1</v>
      </c>
      <c r="I414">
        <v>11252</v>
      </c>
      <c r="J414" s="49" t="s">
        <v>18</v>
      </c>
      <c r="L414" s="16" t="s">
        <v>272</v>
      </c>
      <c r="M414" s="16">
        <v>2</v>
      </c>
      <c r="N414" s="16" t="s">
        <v>277</v>
      </c>
      <c r="O414" s="16" t="s">
        <v>335</v>
      </c>
      <c r="P414" s="15" t="s">
        <v>282</v>
      </c>
      <c r="Q414" t="s">
        <v>371</v>
      </c>
      <c r="R414" t="s">
        <v>371</v>
      </c>
      <c r="S414" s="17" t="s">
        <v>371</v>
      </c>
      <c r="T414" s="16" t="s">
        <v>340</v>
      </c>
      <c r="U414" s="16" t="s">
        <v>342</v>
      </c>
      <c r="V414" s="15" t="s">
        <v>343</v>
      </c>
      <c r="W414" s="15" t="s">
        <v>344</v>
      </c>
      <c r="X414" s="17"/>
      <c r="Y414" t="s">
        <v>349</v>
      </c>
      <c r="Z414" t="s">
        <v>349</v>
      </c>
      <c r="AA414" t="s">
        <v>293</v>
      </c>
      <c r="AB414" t="s">
        <v>354</v>
      </c>
      <c r="AC414" t="s">
        <v>354</v>
      </c>
      <c r="AD414" t="s">
        <v>300</v>
      </c>
      <c r="AE414" t="s">
        <v>293</v>
      </c>
      <c r="AF414" t="s">
        <v>292</v>
      </c>
      <c r="AG414" t="s">
        <v>293</v>
      </c>
      <c r="AH414" t="s">
        <v>292</v>
      </c>
      <c r="AI414" t="s">
        <v>293</v>
      </c>
      <c r="AJ414" t="s">
        <v>302</v>
      </c>
      <c r="AK414" t="s">
        <v>302</v>
      </c>
      <c r="AL414" t="s">
        <v>357</v>
      </c>
      <c r="AM414" t="s">
        <v>293</v>
      </c>
      <c r="AN414" t="s">
        <v>293</v>
      </c>
      <c r="AO414" t="s">
        <v>296</v>
      </c>
      <c r="AP414" t="s">
        <v>356</v>
      </c>
      <c r="AQ414" t="s">
        <v>293</v>
      </c>
      <c r="AR414" t="s">
        <v>292</v>
      </c>
      <c r="AS414" t="s">
        <v>293</v>
      </c>
      <c r="AT414" t="s">
        <v>293</v>
      </c>
      <c r="AU414" t="s">
        <v>364</v>
      </c>
      <c r="AV414" t="str">
        <f t="shared" si="14"/>
        <v>break</v>
      </c>
    </row>
    <row r="415" spans="1:48" x14ac:dyDescent="0.3">
      <c r="A415" t="s">
        <v>43</v>
      </c>
      <c r="B415" t="s">
        <v>71</v>
      </c>
      <c r="C415" t="s">
        <v>14</v>
      </c>
      <c r="D415" t="s">
        <v>12</v>
      </c>
      <c r="E415" t="str">
        <f t="shared" si="13"/>
        <v>P_X0F-KYY-S_1B0</v>
      </c>
      <c r="F415" t="b">
        <v>1</v>
      </c>
      <c r="G415">
        <v>100</v>
      </c>
      <c r="H415">
        <v>1</v>
      </c>
      <c r="I415">
        <v>13115</v>
      </c>
      <c r="J415" s="49" t="s">
        <v>18</v>
      </c>
      <c r="L415" s="16" t="s">
        <v>272</v>
      </c>
      <c r="M415" s="16">
        <v>3</v>
      </c>
      <c r="N415" s="16" t="s">
        <v>277</v>
      </c>
      <c r="O415" s="16" t="s">
        <v>335</v>
      </c>
      <c r="P415" s="15" t="s">
        <v>282</v>
      </c>
      <c r="Q415" t="s">
        <v>371</v>
      </c>
      <c r="R415" t="s">
        <v>371</v>
      </c>
      <c r="S415" s="17" t="s">
        <v>371</v>
      </c>
      <c r="T415" s="16" t="s">
        <v>341</v>
      </c>
      <c r="U415" s="16" t="s">
        <v>340</v>
      </c>
      <c r="V415" s="15" t="s">
        <v>343</v>
      </c>
      <c r="W415" s="15" t="s">
        <v>291</v>
      </c>
      <c r="X415" s="17"/>
      <c r="Y415" t="s">
        <v>349</v>
      </c>
      <c r="Z415" t="s">
        <v>349</v>
      </c>
      <c r="AA415" t="s">
        <v>293</v>
      </c>
      <c r="AB415" t="s">
        <v>352</v>
      </c>
      <c r="AC415" t="s">
        <v>296</v>
      </c>
      <c r="AD415" t="s">
        <v>301</v>
      </c>
      <c r="AE415" t="s">
        <v>292</v>
      </c>
      <c r="AF415" t="s">
        <v>293</v>
      </c>
      <c r="AG415" t="s">
        <v>292</v>
      </c>
      <c r="AH415" t="s">
        <v>292</v>
      </c>
      <c r="AI415" t="s">
        <v>293</v>
      </c>
      <c r="AJ415" t="s">
        <v>302</v>
      </c>
      <c r="AK415" t="s">
        <v>302</v>
      </c>
      <c r="AL415" t="s">
        <v>359</v>
      </c>
      <c r="AM415" t="s">
        <v>293</v>
      </c>
      <c r="AN415" t="s">
        <v>293</v>
      </c>
      <c r="AO415" t="s">
        <v>296</v>
      </c>
      <c r="AP415" t="s">
        <v>298</v>
      </c>
      <c r="AQ415" t="s">
        <v>293</v>
      </c>
      <c r="AR415" t="s">
        <v>292</v>
      </c>
      <c r="AS415" t="s">
        <v>293</v>
      </c>
      <c r="AT415" t="s">
        <v>293</v>
      </c>
      <c r="AU415" t="s">
        <v>364</v>
      </c>
      <c r="AV415" t="str">
        <f t="shared" si="14"/>
        <v>break</v>
      </c>
    </row>
    <row r="416" spans="1:48" x14ac:dyDescent="0.3">
      <c r="A416" t="s">
        <v>43</v>
      </c>
      <c r="B416" t="s">
        <v>71</v>
      </c>
      <c r="C416" t="s">
        <v>11</v>
      </c>
      <c r="D416" t="s">
        <v>12</v>
      </c>
      <c r="E416" t="str">
        <f t="shared" si="13"/>
        <v>P_X0F-KYY-S_1Q4</v>
      </c>
      <c r="F416" t="b">
        <v>1</v>
      </c>
      <c r="G416">
        <v>100</v>
      </c>
      <c r="H416">
        <v>1</v>
      </c>
      <c r="I416">
        <v>13389</v>
      </c>
      <c r="J416" s="49" t="s">
        <v>18</v>
      </c>
      <c r="L416" s="16" t="s">
        <v>272</v>
      </c>
      <c r="M416" s="16">
        <v>3</v>
      </c>
      <c r="N416" s="16" t="s">
        <v>277</v>
      </c>
      <c r="O416" s="16" t="s">
        <v>335</v>
      </c>
      <c r="P416" s="15" t="s">
        <v>282</v>
      </c>
      <c r="Q416" t="s">
        <v>371</v>
      </c>
      <c r="R416" t="s">
        <v>371</v>
      </c>
      <c r="S416" s="17" t="s">
        <v>371</v>
      </c>
      <c r="T416" s="16" t="s">
        <v>341</v>
      </c>
      <c r="U416" s="16" t="s">
        <v>340</v>
      </c>
      <c r="V416" s="15" t="s">
        <v>343</v>
      </c>
      <c r="W416" s="15" t="s">
        <v>291</v>
      </c>
      <c r="X416" s="17"/>
      <c r="Y416" t="s">
        <v>349</v>
      </c>
      <c r="Z416" t="s">
        <v>349</v>
      </c>
      <c r="AA416" t="s">
        <v>293</v>
      </c>
      <c r="AB416" t="s">
        <v>352</v>
      </c>
      <c r="AC416" t="s">
        <v>296</v>
      </c>
      <c r="AD416" t="s">
        <v>300</v>
      </c>
      <c r="AE416" t="s">
        <v>292</v>
      </c>
      <c r="AF416" t="s">
        <v>293</v>
      </c>
      <c r="AG416" t="s">
        <v>293</v>
      </c>
      <c r="AH416" t="s">
        <v>292</v>
      </c>
      <c r="AI416" t="s">
        <v>293</v>
      </c>
      <c r="AJ416" t="s">
        <v>302</v>
      </c>
      <c r="AK416" t="s">
        <v>302</v>
      </c>
      <c r="AL416" t="s">
        <v>359</v>
      </c>
      <c r="AM416" t="s">
        <v>293</v>
      </c>
      <c r="AN416" t="s">
        <v>293</v>
      </c>
      <c r="AO416" t="s">
        <v>296</v>
      </c>
      <c r="AP416" t="s">
        <v>356</v>
      </c>
      <c r="AQ416" t="s">
        <v>293</v>
      </c>
      <c r="AR416" t="s">
        <v>292</v>
      </c>
      <c r="AS416" t="s">
        <v>293</v>
      </c>
      <c r="AT416" t="s">
        <v>293</v>
      </c>
      <c r="AU416" t="s">
        <v>364</v>
      </c>
      <c r="AV416" t="str">
        <f t="shared" si="14"/>
        <v>break</v>
      </c>
    </row>
    <row r="417" spans="1:48" x14ac:dyDescent="0.3">
      <c r="A417" t="s">
        <v>43</v>
      </c>
      <c r="B417" t="s">
        <v>71</v>
      </c>
      <c r="C417" t="s">
        <v>15</v>
      </c>
      <c r="D417" t="s">
        <v>29</v>
      </c>
      <c r="E417" t="str">
        <f t="shared" si="13"/>
        <v>P_X0F-ZSB-S_0M4</v>
      </c>
      <c r="F417" t="b">
        <v>1</v>
      </c>
      <c r="G417">
        <v>81</v>
      </c>
      <c r="H417">
        <v>0</v>
      </c>
      <c r="I417">
        <v>15133</v>
      </c>
      <c r="J417" s="49" t="s">
        <v>13</v>
      </c>
      <c r="L417" s="16" t="s">
        <v>272</v>
      </c>
      <c r="M417" s="16">
        <v>3</v>
      </c>
      <c r="N417" s="16" t="s">
        <v>277</v>
      </c>
      <c r="O417" s="16" t="s">
        <v>335</v>
      </c>
      <c r="P417" s="15" t="s">
        <v>282</v>
      </c>
      <c r="Q417" t="s">
        <v>371</v>
      </c>
      <c r="R417" t="s">
        <v>371</v>
      </c>
      <c r="S417" s="17" t="s">
        <v>371</v>
      </c>
      <c r="T417" s="16" t="s">
        <v>341</v>
      </c>
      <c r="U417" s="16" t="s">
        <v>340</v>
      </c>
      <c r="V417" s="15" t="s">
        <v>343</v>
      </c>
      <c r="W417" s="15" t="s">
        <v>344</v>
      </c>
      <c r="X417" s="17"/>
      <c r="Y417" t="s">
        <v>349</v>
      </c>
      <c r="Z417" t="s">
        <v>349</v>
      </c>
      <c r="AA417" t="s">
        <v>293</v>
      </c>
      <c r="AB417" t="s">
        <v>353</v>
      </c>
      <c r="AC417" t="s">
        <v>296</v>
      </c>
      <c r="AD417" t="s">
        <v>299</v>
      </c>
      <c r="AE417" t="s">
        <v>292</v>
      </c>
      <c r="AF417" t="s">
        <v>293</v>
      </c>
      <c r="AG417" t="s">
        <v>292</v>
      </c>
      <c r="AH417" t="s">
        <v>292</v>
      </c>
      <c r="AI417" t="s">
        <v>293</v>
      </c>
      <c r="AJ417" t="s">
        <v>302</v>
      </c>
      <c r="AK417" t="s">
        <v>302</v>
      </c>
      <c r="AL417" t="s">
        <v>359</v>
      </c>
      <c r="AM417" t="s">
        <v>293</v>
      </c>
      <c r="AN417" t="s">
        <v>293</v>
      </c>
      <c r="AO417" t="s">
        <v>296</v>
      </c>
      <c r="AP417" t="s">
        <v>298</v>
      </c>
      <c r="AQ417" t="s">
        <v>293</v>
      </c>
      <c r="AR417" t="s">
        <v>292</v>
      </c>
      <c r="AS417" t="s">
        <v>293</v>
      </c>
      <c r="AT417" t="s">
        <v>293</v>
      </c>
      <c r="AU417" t="s">
        <v>364</v>
      </c>
      <c r="AV417" t="str">
        <f t="shared" si="14"/>
        <v>no_fail</v>
      </c>
    </row>
    <row r="418" spans="1:48" x14ac:dyDescent="0.3">
      <c r="A418" t="s">
        <v>43</v>
      </c>
      <c r="B418" t="s">
        <v>71</v>
      </c>
      <c r="C418" t="s">
        <v>19</v>
      </c>
      <c r="D418" t="s">
        <v>29</v>
      </c>
      <c r="E418" t="str">
        <f t="shared" si="13"/>
        <v>P_X0F-ZSB-S_4U3</v>
      </c>
      <c r="F418" t="b">
        <v>1</v>
      </c>
      <c r="G418">
        <v>55.8</v>
      </c>
      <c r="H418">
        <v>0</v>
      </c>
      <c r="I418">
        <v>28933</v>
      </c>
      <c r="J418" s="49" t="s">
        <v>13</v>
      </c>
      <c r="L418" s="16" t="s">
        <v>272</v>
      </c>
      <c r="M418" s="16">
        <v>3</v>
      </c>
      <c r="N418" s="16" t="s">
        <v>277</v>
      </c>
      <c r="O418" s="16" t="s">
        <v>335</v>
      </c>
      <c r="P418" s="15" t="s">
        <v>282</v>
      </c>
      <c r="Q418" t="s">
        <v>371</v>
      </c>
      <c r="R418" t="s">
        <v>371</v>
      </c>
      <c r="S418" s="17" t="s">
        <v>371</v>
      </c>
      <c r="T418" s="16" t="s">
        <v>341</v>
      </c>
      <c r="U418" s="16" t="s">
        <v>342</v>
      </c>
      <c r="V418" s="15" t="s">
        <v>343</v>
      </c>
      <c r="W418" s="15" t="s">
        <v>344</v>
      </c>
      <c r="X418" s="17" t="s">
        <v>347</v>
      </c>
      <c r="Y418" t="s">
        <v>349</v>
      </c>
      <c r="Z418" t="s">
        <v>349</v>
      </c>
      <c r="AA418" t="s">
        <v>293</v>
      </c>
      <c r="AB418" t="s">
        <v>353</v>
      </c>
      <c r="AC418" t="s">
        <v>296</v>
      </c>
      <c r="AD418" t="s">
        <v>300</v>
      </c>
      <c r="AE418" t="s">
        <v>292</v>
      </c>
      <c r="AF418" t="s">
        <v>293</v>
      </c>
      <c r="AG418" t="s">
        <v>292</v>
      </c>
      <c r="AH418" t="s">
        <v>293</v>
      </c>
      <c r="AI418" t="s">
        <v>293</v>
      </c>
      <c r="AJ418" t="s">
        <v>302</v>
      </c>
      <c r="AK418" t="s">
        <v>302</v>
      </c>
      <c r="AL418" t="s">
        <v>359</v>
      </c>
      <c r="AM418" t="s">
        <v>293</v>
      </c>
      <c r="AN418" t="s">
        <v>293</v>
      </c>
      <c r="AO418" t="s">
        <v>296</v>
      </c>
      <c r="AP418" t="s">
        <v>298</v>
      </c>
      <c r="AQ418" t="s">
        <v>293</v>
      </c>
      <c r="AR418" t="s">
        <v>292</v>
      </c>
      <c r="AS418" t="s">
        <v>293</v>
      </c>
      <c r="AT418" t="s">
        <v>293</v>
      </c>
      <c r="AU418" t="s">
        <v>364</v>
      </c>
      <c r="AV418" t="str">
        <f t="shared" si="14"/>
        <v>no_fail</v>
      </c>
    </row>
    <row r="419" spans="1:48" x14ac:dyDescent="0.3">
      <c r="A419" t="s">
        <v>43</v>
      </c>
      <c r="B419" t="s">
        <v>71</v>
      </c>
      <c r="C419" t="s">
        <v>17</v>
      </c>
      <c r="D419" t="s">
        <v>29</v>
      </c>
      <c r="E419" t="str">
        <f t="shared" si="13"/>
        <v>P_X0F-ZSB-S_6B5</v>
      </c>
      <c r="F419" t="b">
        <v>1</v>
      </c>
      <c r="G419">
        <v>62.1</v>
      </c>
      <c r="H419">
        <v>0</v>
      </c>
      <c r="I419">
        <v>25766</v>
      </c>
      <c r="J419" s="49" t="s">
        <v>13</v>
      </c>
      <c r="L419" s="16" t="s">
        <v>272</v>
      </c>
      <c r="M419" s="16">
        <v>3</v>
      </c>
      <c r="N419" s="16" t="s">
        <v>277</v>
      </c>
      <c r="O419" s="16" t="s">
        <v>335</v>
      </c>
      <c r="P419" s="15" t="s">
        <v>282</v>
      </c>
      <c r="Q419" t="s">
        <v>371</v>
      </c>
      <c r="R419" t="s">
        <v>371</v>
      </c>
      <c r="S419" s="17" t="s">
        <v>371</v>
      </c>
      <c r="T419" s="16" t="s">
        <v>341</v>
      </c>
      <c r="U419" s="16" t="s">
        <v>342</v>
      </c>
      <c r="V419" s="15" t="s">
        <v>343</v>
      </c>
      <c r="W419" s="15" t="s">
        <v>344</v>
      </c>
      <c r="X419" s="17" t="s">
        <v>347</v>
      </c>
      <c r="Y419" t="s">
        <v>349</v>
      </c>
      <c r="Z419" t="s">
        <v>349</v>
      </c>
      <c r="AA419" t="s">
        <v>293</v>
      </c>
      <c r="AB419" t="s">
        <v>353</v>
      </c>
      <c r="AC419" t="s">
        <v>296</v>
      </c>
      <c r="AD419" t="s">
        <v>300</v>
      </c>
      <c r="AE419" t="s">
        <v>292</v>
      </c>
      <c r="AF419" t="s">
        <v>293</v>
      </c>
      <c r="AG419" t="s">
        <v>292</v>
      </c>
      <c r="AH419" t="s">
        <v>293</v>
      </c>
      <c r="AI419" t="s">
        <v>293</v>
      </c>
      <c r="AJ419" t="s">
        <v>302</v>
      </c>
      <c r="AK419" t="s">
        <v>302</v>
      </c>
      <c r="AL419" t="s">
        <v>359</v>
      </c>
      <c r="AM419" t="s">
        <v>293</v>
      </c>
      <c r="AN419" t="s">
        <v>293</v>
      </c>
      <c r="AO419" t="s">
        <v>296</v>
      </c>
      <c r="AP419" t="s">
        <v>298</v>
      </c>
      <c r="AQ419" t="s">
        <v>293</v>
      </c>
      <c r="AR419" t="s">
        <v>292</v>
      </c>
      <c r="AS419" t="s">
        <v>293</v>
      </c>
      <c r="AT419" t="s">
        <v>293</v>
      </c>
      <c r="AU419" t="s">
        <v>364</v>
      </c>
      <c r="AV419" t="str">
        <f t="shared" si="14"/>
        <v>no_fail</v>
      </c>
    </row>
    <row r="420" spans="1:48" x14ac:dyDescent="0.3">
      <c r="A420" t="s">
        <v>43</v>
      </c>
      <c r="B420" t="s">
        <v>71</v>
      </c>
      <c r="C420" t="s">
        <v>16</v>
      </c>
      <c r="D420" t="s">
        <v>29</v>
      </c>
      <c r="E420" t="str">
        <f t="shared" si="13"/>
        <v>P_X0F-ZSB-S_6U7</v>
      </c>
      <c r="F420" t="b">
        <v>1</v>
      </c>
      <c r="G420">
        <v>62.1</v>
      </c>
      <c r="H420">
        <v>0</v>
      </c>
      <c r="I420">
        <v>19718</v>
      </c>
      <c r="J420" s="49" t="s">
        <v>13</v>
      </c>
      <c r="L420" s="16" t="s">
        <v>272</v>
      </c>
      <c r="M420" s="16">
        <v>3</v>
      </c>
      <c r="N420" s="16" t="s">
        <v>277</v>
      </c>
      <c r="O420" s="16" t="s">
        <v>335</v>
      </c>
      <c r="P420" s="15" t="s">
        <v>282</v>
      </c>
      <c r="Q420" t="s">
        <v>371</v>
      </c>
      <c r="R420" t="s">
        <v>371</v>
      </c>
      <c r="S420" s="17" t="s">
        <v>371</v>
      </c>
      <c r="T420" s="16" t="s">
        <v>341</v>
      </c>
      <c r="U420" s="16" t="s">
        <v>342</v>
      </c>
      <c r="V420" s="15" t="s">
        <v>343</v>
      </c>
      <c r="W420" s="15" t="s">
        <v>344</v>
      </c>
      <c r="X420" s="17" t="s">
        <v>347</v>
      </c>
      <c r="Y420" t="s">
        <v>349</v>
      </c>
      <c r="Z420" t="s">
        <v>349</v>
      </c>
      <c r="AA420" t="s">
        <v>293</v>
      </c>
      <c r="AB420" t="s">
        <v>353</v>
      </c>
      <c r="AC420" t="s">
        <v>296</v>
      </c>
      <c r="AD420" t="s">
        <v>300</v>
      </c>
      <c r="AE420" t="s">
        <v>292</v>
      </c>
      <c r="AF420" t="s">
        <v>293</v>
      </c>
      <c r="AG420" t="s">
        <v>292</v>
      </c>
      <c r="AH420" t="s">
        <v>293</v>
      </c>
      <c r="AI420" t="s">
        <v>293</v>
      </c>
      <c r="AJ420" t="s">
        <v>302</v>
      </c>
      <c r="AK420" t="s">
        <v>302</v>
      </c>
      <c r="AL420" t="s">
        <v>359</v>
      </c>
      <c r="AM420" t="s">
        <v>293</v>
      </c>
      <c r="AN420" t="s">
        <v>293</v>
      </c>
      <c r="AO420" t="s">
        <v>296</v>
      </c>
      <c r="AP420" t="s">
        <v>298</v>
      </c>
      <c r="AQ420" t="s">
        <v>293</v>
      </c>
      <c r="AR420" t="s">
        <v>292</v>
      </c>
      <c r="AS420" t="s">
        <v>293</v>
      </c>
      <c r="AT420" t="s">
        <v>293</v>
      </c>
      <c r="AU420" t="s">
        <v>364</v>
      </c>
      <c r="AV420" t="str">
        <f t="shared" si="14"/>
        <v>no_fail</v>
      </c>
    </row>
    <row r="421" spans="1:48" x14ac:dyDescent="0.3">
      <c r="A421" t="s">
        <v>43</v>
      </c>
      <c r="B421" t="s">
        <v>71</v>
      </c>
      <c r="C421" t="s">
        <v>20</v>
      </c>
      <c r="D421" t="s">
        <v>29</v>
      </c>
      <c r="E421" t="str">
        <f t="shared" si="13"/>
        <v>P_X0F-ZSB-S_7W0</v>
      </c>
      <c r="F421" t="b">
        <v>1</v>
      </c>
      <c r="G421">
        <v>55.4</v>
      </c>
      <c r="H421">
        <v>0</v>
      </c>
      <c r="I421">
        <v>29965</v>
      </c>
      <c r="J421" s="49" t="s">
        <v>13</v>
      </c>
      <c r="L421" s="16" t="s">
        <v>272</v>
      </c>
      <c r="M421" s="16">
        <v>3</v>
      </c>
      <c r="N421" s="16" t="s">
        <v>277</v>
      </c>
      <c r="O421" s="16" t="s">
        <v>335</v>
      </c>
      <c r="P421" s="15" t="s">
        <v>282</v>
      </c>
      <c r="Q421" t="s">
        <v>371</v>
      </c>
      <c r="R421" t="s">
        <v>371</v>
      </c>
      <c r="S421" s="17" t="s">
        <v>371</v>
      </c>
      <c r="T421" s="16" t="s">
        <v>341</v>
      </c>
      <c r="U421" s="16" t="s">
        <v>342</v>
      </c>
      <c r="V421" s="15" t="s">
        <v>343</v>
      </c>
      <c r="W421" s="15" t="s">
        <v>344</v>
      </c>
      <c r="X421" s="17" t="s">
        <v>347</v>
      </c>
      <c r="Y421" t="s">
        <v>349</v>
      </c>
      <c r="Z421" t="s">
        <v>349</v>
      </c>
      <c r="AA421" t="s">
        <v>293</v>
      </c>
      <c r="AB421" t="s">
        <v>353</v>
      </c>
      <c r="AC421" t="s">
        <v>296</v>
      </c>
      <c r="AD421" t="s">
        <v>300</v>
      </c>
      <c r="AE421" t="s">
        <v>292</v>
      </c>
      <c r="AF421" t="s">
        <v>293</v>
      </c>
      <c r="AG421" t="s">
        <v>292</v>
      </c>
      <c r="AH421" t="s">
        <v>293</v>
      </c>
      <c r="AI421" t="s">
        <v>293</v>
      </c>
      <c r="AJ421" t="s">
        <v>302</v>
      </c>
      <c r="AK421" t="s">
        <v>302</v>
      </c>
      <c r="AL421" t="s">
        <v>359</v>
      </c>
      <c r="AM421" t="s">
        <v>293</v>
      </c>
      <c r="AN421" t="s">
        <v>293</v>
      </c>
      <c r="AO421" t="s">
        <v>296</v>
      </c>
      <c r="AP421" t="s">
        <v>298</v>
      </c>
      <c r="AQ421" t="s">
        <v>293</v>
      </c>
      <c r="AR421" t="s">
        <v>292</v>
      </c>
      <c r="AS421" t="s">
        <v>293</v>
      </c>
      <c r="AT421" t="s">
        <v>293</v>
      </c>
      <c r="AU421" t="s">
        <v>364</v>
      </c>
      <c r="AV421" t="str">
        <f t="shared" si="14"/>
        <v>no_fail</v>
      </c>
    </row>
    <row r="422" spans="1:48" x14ac:dyDescent="0.3">
      <c r="A422" t="s">
        <v>9</v>
      </c>
      <c r="B422" t="s">
        <v>74</v>
      </c>
      <c r="C422" t="s">
        <v>15</v>
      </c>
      <c r="D422" t="s">
        <v>12</v>
      </c>
      <c r="E422" t="str">
        <f t="shared" si="13"/>
        <v>P_X0T-KYY-S_0M4</v>
      </c>
      <c r="F422" t="b">
        <v>1</v>
      </c>
      <c r="G422">
        <v>39.799999999999997</v>
      </c>
      <c r="H422">
        <v>0</v>
      </c>
      <c r="I422">
        <v>29125</v>
      </c>
      <c r="J422" s="49" t="s">
        <v>13</v>
      </c>
      <c r="L422" s="16" t="s">
        <v>272</v>
      </c>
      <c r="M422" s="16">
        <v>3</v>
      </c>
      <c r="N422" s="16" t="s">
        <v>277</v>
      </c>
      <c r="O422" s="16" t="s">
        <v>335</v>
      </c>
      <c r="P422" s="15" t="s">
        <v>283</v>
      </c>
      <c r="Q422" t="s">
        <v>273</v>
      </c>
      <c r="R422" t="s">
        <v>282</v>
      </c>
      <c r="S422" s="17" t="s">
        <v>371</v>
      </c>
      <c r="T422" s="16" t="s">
        <v>341</v>
      </c>
      <c r="U422" s="16" t="s">
        <v>342</v>
      </c>
      <c r="V422" s="15" t="s">
        <v>343</v>
      </c>
      <c r="W422" s="15" t="s">
        <v>344</v>
      </c>
      <c r="X422" s="17" t="s">
        <v>291</v>
      </c>
      <c r="Y422" t="s">
        <v>350</v>
      </c>
      <c r="Z422" t="s">
        <v>349</v>
      </c>
      <c r="AA422" t="s">
        <v>293</v>
      </c>
      <c r="AB422" t="s">
        <v>353</v>
      </c>
      <c r="AC422" t="s">
        <v>355</v>
      </c>
      <c r="AD422" t="s">
        <v>301</v>
      </c>
      <c r="AE422" t="s">
        <v>293</v>
      </c>
      <c r="AF422" t="s">
        <v>292</v>
      </c>
      <c r="AG422" t="s">
        <v>292</v>
      </c>
      <c r="AH422" t="s">
        <v>292</v>
      </c>
      <c r="AI422" t="s">
        <v>293</v>
      </c>
      <c r="AJ422" t="s">
        <v>302</v>
      </c>
      <c r="AK422" t="s">
        <v>302</v>
      </c>
      <c r="AL422" t="s">
        <v>359</v>
      </c>
      <c r="AM422" t="s">
        <v>293</v>
      </c>
      <c r="AN422" t="s">
        <v>293</v>
      </c>
      <c r="AO422" t="s">
        <v>296</v>
      </c>
      <c r="AP422" t="s">
        <v>356</v>
      </c>
      <c r="AQ422" t="s">
        <v>293</v>
      </c>
      <c r="AR422" t="s">
        <v>292</v>
      </c>
      <c r="AS422" t="s">
        <v>293</v>
      </c>
      <c r="AT422" t="s">
        <v>293</v>
      </c>
      <c r="AU422" t="s">
        <v>364</v>
      </c>
      <c r="AV422" t="str">
        <f t="shared" si="14"/>
        <v>no_fail</v>
      </c>
    </row>
    <row r="423" spans="1:48" x14ac:dyDescent="0.3">
      <c r="A423" t="s">
        <v>9</v>
      </c>
      <c r="B423" t="s">
        <v>74</v>
      </c>
      <c r="C423" t="s">
        <v>14</v>
      </c>
      <c r="D423" t="s">
        <v>12</v>
      </c>
      <c r="E423" t="str">
        <f t="shared" si="13"/>
        <v>P_X0T-KYY-S_1B0</v>
      </c>
      <c r="F423" t="b">
        <v>1</v>
      </c>
      <c r="G423">
        <v>100</v>
      </c>
      <c r="H423">
        <v>1</v>
      </c>
      <c r="I423">
        <v>28839</v>
      </c>
      <c r="J423" s="49" t="s">
        <v>18</v>
      </c>
      <c r="L423" s="16" t="s">
        <v>272</v>
      </c>
      <c r="M423" s="16">
        <v>3</v>
      </c>
      <c r="N423" s="16" t="s">
        <v>277</v>
      </c>
      <c r="O423" s="16" t="s">
        <v>335</v>
      </c>
      <c r="P423" s="15" t="s">
        <v>282</v>
      </c>
      <c r="Q423" t="s">
        <v>285</v>
      </c>
      <c r="R423" t="s">
        <v>371</v>
      </c>
      <c r="S423" s="17" t="s">
        <v>371</v>
      </c>
      <c r="T423" s="16" t="s">
        <v>341</v>
      </c>
      <c r="U423" s="16" t="s">
        <v>342</v>
      </c>
      <c r="V423" s="15" t="s">
        <v>343</v>
      </c>
      <c r="W423" s="15" t="s">
        <v>344</v>
      </c>
      <c r="X423" s="17" t="s">
        <v>291</v>
      </c>
      <c r="Y423" t="s">
        <v>350</v>
      </c>
      <c r="Z423" t="s">
        <v>349</v>
      </c>
      <c r="AA423" t="s">
        <v>293</v>
      </c>
      <c r="AB423" t="s">
        <v>353</v>
      </c>
      <c r="AC423" t="s">
        <v>355</v>
      </c>
      <c r="AD423" t="s">
        <v>301</v>
      </c>
      <c r="AE423" t="s">
        <v>293</v>
      </c>
      <c r="AF423" t="s">
        <v>292</v>
      </c>
      <c r="AG423" t="s">
        <v>292</v>
      </c>
      <c r="AH423" t="s">
        <v>292</v>
      </c>
      <c r="AI423" t="s">
        <v>293</v>
      </c>
      <c r="AJ423" t="s">
        <v>302</v>
      </c>
      <c r="AK423" t="s">
        <v>302</v>
      </c>
      <c r="AL423" t="s">
        <v>359</v>
      </c>
      <c r="AM423" t="s">
        <v>293</v>
      </c>
      <c r="AN423" t="s">
        <v>293</v>
      </c>
      <c r="AO423" t="s">
        <v>296</v>
      </c>
      <c r="AP423" t="s">
        <v>356</v>
      </c>
      <c r="AQ423" t="s">
        <v>293</v>
      </c>
      <c r="AR423" t="s">
        <v>292</v>
      </c>
      <c r="AS423" t="s">
        <v>293</v>
      </c>
      <c r="AT423" t="s">
        <v>293</v>
      </c>
      <c r="AU423" t="s">
        <v>364</v>
      </c>
      <c r="AV423" t="str">
        <f t="shared" si="14"/>
        <v>break</v>
      </c>
    </row>
    <row r="424" spans="1:48" x14ac:dyDescent="0.3">
      <c r="A424" t="s">
        <v>9</v>
      </c>
      <c r="B424" t="s">
        <v>74</v>
      </c>
      <c r="C424" t="s">
        <v>11</v>
      </c>
      <c r="D424" t="s">
        <v>12</v>
      </c>
      <c r="E424" t="str">
        <f t="shared" si="13"/>
        <v>P_X0T-KYY-S_1Q4</v>
      </c>
      <c r="F424" t="b">
        <v>1</v>
      </c>
      <c r="G424">
        <v>42.4</v>
      </c>
      <c r="H424">
        <v>0</v>
      </c>
      <c r="I424">
        <v>27658</v>
      </c>
      <c r="J424" s="49" t="s">
        <v>13</v>
      </c>
      <c r="L424" s="16" t="s">
        <v>272</v>
      </c>
      <c r="M424" s="16">
        <v>3</v>
      </c>
      <c r="N424" s="16" t="s">
        <v>277</v>
      </c>
      <c r="O424" s="16" t="s">
        <v>335</v>
      </c>
      <c r="P424" s="15" t="s">
        <v>282</v>
      </c>
      <c r="Q424" t="s">
        <v>371</v>
      </c>
      <c r="R424" t="s">
        <v>371</v>
      </c>
      <c r="S424" s="17" t="s">
        <v>371</v>
      </c>
      <c r="T424" s="16" t="s">
        <v>340</v>
      </c>
      <c r="U424" s="16" t="s">
        <v>342</v>
      </c>
      <c r="V424" s="15" t="s">
        <v>343</v>
      </c>
      <c r="W424" s="15" t="s">
        <v>347</v>
      </c>
      <c r="X424" s="17"/>
      <c r="Y424" t="s">
        <v>349</v>
      </c>
      <c r="Z424" t="s">
        <v>349</v>
      </c>
      <c r="AA424" t="s">
        <v>293</v>
      </c>
      <c r="AB424" t="s">
        <v>353</v>
      </c>
      <c r="AC424" t="s">
        <v>296</v>
      </c>
      <c r="AD424" t="s">
        <v>301</v>
      </c>
      <c r="AE424" t="s">
        <v>293</v>
      </c>
      <c r="AF424" t="s">
        <v>292</v>
      </c>
      <c r="AG424" t="s">
        <v>293</v>
      </c>
      <c r="AH424" t="s">
        <v>292</v>
      </c>
      <c r="AI424" t="s">
        <v>293</v>
      </c>
      <c r="AJ424" t="s">
        <v>302</v>
      </c>
      <c r="AK424" t="s">
        <v>302</v>
      </c>
      <c r="AL424" t="s">
        <v>359</v>
      </c>
      <c r="AM424" t="s">
        <v>293</v>
      </c>
      <c r="AN424" t="s">
        <v>293</v>
      </c>
      <c r="AO424" t="s">
        <v>296</v>
      </c>
      <c r="AP424" t="s">
        <v>356</v>
      </c>
      <c r="AQ424" t="s">
        <v>293</v>
      </c>
      <c r="AR424" t="s">
        <v>292</v>
      </c>
      <c r="AS424" t="s">
        <v>293</v>
      </c>
      <c r="AT424" t="s">
        <v>293</v>
      </c>
      <c r="AU424" t="s">
        <v>364</v>
      </c>
      <c r="AV424" t="str">
        <f t="shared" si="14"/>
        <v>no_fail</v>
      </c>
    </row>
    <row r="425" spans="1:48" x14ac:dyDescent="0.3">
      <c r="A425" t="s">
        <v>9</v>
      </c>
      <c r="B425" t="s">
        <v>74</v>
      </c>
      <c r="C425" t="s">
        <v>17</v>
      </c>
      <c r="D425" t="s">
        <v>12</v>
      </c>
      <c r="E425" t="str">
        <f t="shared" si="13"/>
        <v>P_X0T-KYY-S_6B5</v>
      </c>
      <c r="F425" t="b">
        <v>1</v>
      </c>
      <c r="G425">
        <v>54.7</v>
      </c>
      <c r="H425">
        <v>0</v>
      </c>
      <c r="I425">
        <v>17491</v>
      </c>
      <c r="J425" s="49" t="s">
        <v>13</v>
      </c>
      <c r="L425" s="16" t="s">
        <v>272</v>
      </c>
      <c r="M425" s="16">
        <v>3</v>
      </c>
      <c r="N425" s="16" t="s">
        <v>277</v>
      </c>
      <c r="O425" s="16" t="s">
        <v>335</v>
      </c>
      <c r="P425" s="15" t="s">
        <v>283</v>
      </c>
      <c r="Q425" t="s">
        <v>273</v>
      </c>
      <c r="R425" t="s">
        <v>282</v>
      </c>
      <c r="S425" s="17" t="s">
        <v>371</v>
      </c>
      <c r="T425" s="16" t="s">
        <v>340</v>
      </c>
      <c r="U425" s="16" t="s">
        <v>342</v>
      </c>
      <c r="V425" s="15" t="s">
        <v>343</v>
      </c>
      <c r="W425" s="15" t="s">
        <v>344</v>
      </c>
      <c r="X425" s="17"/>
      <c r="Y425" t="s">
        <v>350</v>
      </c>
      <c r="Z425" t="s">
        <v>349</v>
      </c>
      <c r="AA425" t="s">
        <v>293</v>
      </c>
      <c r="AB425" t="s">
        <v>353</v>
      </c>
      <c r="AC425" t="s">
        <v>355</v>
      </c>
      <c r="AD425" t="s">
        <v>301</v>
      </c>
      <c r="AE425" t="s">
        <v>293</v>
      </c>
      <c r="AF425" t="s">
        <v>292</v>
      </c>
      <c r="AG425" t="s">
        <v>292</v>
      </c>
      <c r="AH425" t="s">
        <v>292</v>
      </c>
      <c r="AI425" t="s">
        <v>293</v>
      </c>
      <c r="AJ425" t="s">
        <v>302</v>
      </c>
      <c r="AK425" t="s">
        <v>302</v>
      </c>
      <c r="AL425" t="s">
        <v>359</v>
      </c>
      <c r="AM425" t="s">
        <v>293</v>
      </c>
      <c r="AN425" t="s">
        <v>293</v>
      </c>
      <c r="AO425" t="s">
        <v>297</v>
      </c>
      <c r="AP425" t="s">
        <v>356</v>
      </c>
      <c r="AQ425" t="s">
        <v>293</v>
      </c>
      <c r="AR425" t="s">
        <v>292</v>
      </c>
      <c r="AS425" t="s">
        <v>293</v>
      </c>
      <c r="AT425" t="s">
        <v>293</v>
      </c>
      <c r="AU425" t="s">
        <v>364</v>
      </c>
      <c r="AV425" t="str">
        <f t="shared" si="14"/>
        <v>no_fail</v>
      </c>
    </row>
    <row r="426" spans="1:48" x14ac:dyDescent="0.3">
      <c r="A426" t="s">
        <v>9</v>
      </c>
      <c r="B426" t="s">
        <v>74</v>
      </c>
      <c r="C426" t="s">
        <v>16</v>
      </c>
      <c r="D426" t="s">
        <v>12</v>
      </c>
      <c r="E426" t="str">
        <f t="shared" si="13"/>
        <v>P_X0T-KYY-S_6U7</v>
      </c>
      <c r="F426" t="b">
        <v>1</v>
      </c>
      <c r="G426">
        <v>40.6</v>
      </c>
      <c r="H426">
        <v>0</v>
      </c>
      <c r="I426">
        <v>21240</v>
      </c>
      <c r="J426" s="49" t="s">
        <v>13</v>
      </c>
      <c r="L426" s="16" t="s">
        <v>272</v>
      </c>
      <c r="M426" s="16">
        <v>3</v>
      </c>
      <c r="N426" s="16" t="s">
        <v>277</v>
      </c>
      <c r="O426" s="16" t="s">
        <v>335</v>
      </c>
      <c r="P426" s="15" t="s">
        <v>283</v>
      </c>
      <c r="Q426" t="s">
        <v>273</v>
      </c>
      <c r="R426" t="s">
        <v>282</v>
      </c>
      <c r="S426" s="17" t="s">
        <v>371</v>
      </c>
      <c r="T426" s="16" t="s">
        <v>340</v>
      </c>
      <c r="U426" s="16" t="s">
        <v>342</v>
      </c>
      <c r="V426" s="15" t="s">
        <v>343</v>
      </c>
      <c r="W426" s="15" t="s">
        <v>344</v>
      </c>
      <c r="X426" s="17"/>
      <c r="Y426" t="s">
        <v>350</v>
      </c>
      <c r="Z426" t="s">
        <v>349</v>
      </c>
      <c r="AA426" t="s">
        <v>293</v>
      </c>
      <c r="AB426" t="s">
        <v>353</v>
      </c>
      <c r="AC426" t="s">
        <v>355</v>
      </c>
      <c r="AD426" t="s">
        <v>301</v>
      </c>
      <c r="AE426" t="s">
        <v>293</v>
      </c>
      <c r="AF426" t="s">
        <v>292</v>
      </c>
      <c r="AG426" t="s">
        <v>292</v>
      </c>
      <c r="AH426" t="s">
        <v>292</v>
      </c>
      <c r="AI426" t="s">
        <v>293</v>
      </c>
      <c r="AJ426" t="s">
        <v>302</v>
      </c>
      <c r="AK426" t="s">
        <v>302</v>
      </c>
      <c r="AL426" t="s">
        <v>359</v>
      </c>
      <c r="AM426" t="s">
        <v>293</v>
      </c>
      <c r="AN426" t="s">
        <v>293</v>
      </c>
      <c r="AO426" t="s">
        <v>296</v>
      </c>
      <c r="AP426" t="s">
        <v>356</v>
      </c>
      <c r="AQ426" t="s">
        <v>293</v>
      </c>
      <c r="AR426" t="s">
        <v>292</v>
      </c>
      <c r="AS426" t="s">
        <v>293</v>
      </c>
      <c r="AT426" t="s">
        <v>293</v>
      </c>
      <c r="AU426" t="s">
        <v>364</v>
      </c>
      <c r="AV426" t="str">
        <f t="shared" si="14"/>
        <v>no_fail</v>
      </c>
    </row>
    <row r="427" spans="1:48" x14ac:dyDescent="0.3">
      <c r="A427" t="s">
        <v>9</v>
      </c>
      <c r="B427" t="s">
        <v>74</v>
      </c>
      <c r="C427" t="s">
        <v>23</v>
      </c>
      <c r="D427" t="s">
        <v>29</v>
      </c>
      <c r="E427" t="str">
        <f t="shared" si="13"/>
        <v>P_X0T-ZSB-S_0T2</v>
      </c>
      <c r="F427" t="b">
        <v>1</v>
      </c>
      <c r="G427">
        <v>54.1</v>
      </c>
      <c r="H427">
        <v>0</v>
      </c>
      <c r="I427">
        <v>22388</v>
      </c>
      <c r="J427" s="49" t="s">
        <v>13</v>
      </c>
      <c r="L427" s="16" t="s">
        <v>272</v>
      </c>
      <c r="M427" s="16">
        <v>3</v>
      </c>
      <c r="N427" s="16" t="s">
        <v>277</v>
      </c>
      <c r="O427" s="16" t="s">
        <v>335</v>
      </c>
      <c r="P427" s="15" t="s">
        <v>339</v>
      </c>
      <c r="Q427" t="s">
        <v>282</v>
      </c>
      <c r="R427" t="s">
        <v>371</v>
      </c>
      <c r="S427" s="17" t="s">
        <v>371</v>
      </c>
      <c r="T427" s="16" t="s">
        <v>341</v>
      </c>
      <c r="U427" s="16" t="s">
        <v>340</v>
      </c>
      <c r="V427" s="15" t="s">
        <v>343</v>
      </c>
      <c r="W427" s="15" t="s">
        <v>344</v>
      </c>
      <c r="X427" s="17"/>
      <c r="Y427" t="s">
        <v>349</v>
      </c>
      <c r="Z427" t="s">
        <v>349</v>
      </c>
      <c r="AA427" t="s">
        <v>293</v>
      </c>
      <c r="AB427" t="s">
        <v>353</v>
      </c>
      <c r="AC427" t="s">
        <v>296</v>
      </c>
      <c r="AD427" t="s">
        <v>301</v>
      </c>
      <c r="AE427" t="s">
        <v>293</v>
      </c>
      <c r="AF427" t="s">
        <v>292</v>
      </c>
      <c r="AG427" t="s">
        <v>292</v>
      </c>
      <c r="AH427" t="s">
        <v>292</v>
      </c>
      <c r="AI427" t="s">
        <v>293</v>
      </c>
      <c r="AJ427" t="s">
        <v>302</v>
      </c>
      <c r="AK427" t="s">
        <v>302</v>
      </c>
      <c r="AL427" t="s">
        <v>359</v>
      </c>
      <c r="AM427" t="s">
        <v>293</v>
      </c>
      <c r="AN427" t="s">
        <v>293</v>
      </c>
      <c r="AO427" t="s">
        <v>297</v>
      </c>
      <c r="AP427" t="s">
        <v>356</v>
      </c>
      <c r="AQ427" t="s">
        <v>293</v>
      </c>
      <c r="AR427" t="s">
        <v>292</v>
      </c>
      <c r="AS427" t="s">
        <v>293</v>
      </c>
      <c r="AT427" t="s">
        <v>293</v>
      </c>
      <c r="AU427" t="s">
        <v>364</v>
      </c>
      <c r="AV427" t="str">
        <f t="shared" si="14"/>
        <v>no_fail</v>
      </c>
    </row>
    <row r="428" spans="1:48" x14ac:dyDescent="0.3">
      <c r="A428" t="s">
        <v>9</v>
      </c>
      <c r="B428" t="s">
        <v>74</v>
      </c>
      <c r="C428" t="s">
        <v>24</v>
      </c>
      <c r="D428" t="s">
        <v>29</v>
      </c>
      <c r="E428" t="str">
        <f t="shared" si="13"/>
        <v>P_X0T-ZSB-S_1U0</v>
      </c>
      <c r="F428" t="b">
        <v>1</v>
      </c>
      <c r="G428">
        <v>87.3</v>
      </c>
      <c r="H428">
        <v>0</v>
      </c>
      <c r="I428">
        <v>14838</v>
      </c>
      <c r="J428" s="49" t="s">
        <v>13</v>
      </c>
      <c r="L428" s="16" t="s">
        <v>272</v>
      </c>
      <c r="M428" s="16">
        <v>3</v>
      </c>
      <c r="N428" s="16" t="s">
        <v>277</v>
      </c>
      <c r="O428" s="16" t="s">
        <v>335</v>
      </c>
      <c r="P428" s="15" t="s">
        <v>339</v>
      </c>
      <c r="Q428" t="s">
        <v>282</v>
      </c>
      <c r="R428" t="s">
        <v>371</v>
      </c>
      <c r="S428" s="17" t="s">
        <v>371</v>
      </c>
      <c r="T428" s="16" t="s">
        <v>341</v>
      </c>
      <c r="U428" s="16" t="s">
        <v>340</v>
      </c>
      <c r="V428" s="15" t="s">
        <v>343</v>
      </c>
      <c r="W428" s="15" t="s">
        <v>344</v>
      </c>
      <c r="X428" s="17"/>
      <c r="Y428" t="s">
        <v>349</v>
      </c>
      <c r="Z428" t="s">
        <v>349</v>
      </c>
      <c r="AA428" t="s">
        <v>293</v>
      </c>
      <c r="AB428" t="s">
        <v>353</v>
      </c>
      <c r="AC428" t="s">
        <v>296</v>
      </c>
      <c r="AD428" t="s">
        <v>300</v>
      </c>
      <c r="AE428" t="s">
        <v>292</v>
      </c>
      <c r="AF428" t="s">
        <v>293</v>
      </c>
      <c r="AG428" t="s">
        <v>292</v>
      </c>
      <c r="AH428" t="s">
        <v>292</v>
      </c>
      <c r="AI428" t="s">
        <v>293</v>
      </c>
      <c r="AJ428" t="s">
        <v>302</v>
      </c>
      <c r="AK428" t="s">
        <v>302</v>
      </c>
      <c r="AL428" t="s">
        <v>359</v>
      </c>
      <c r="AM428" t="s">
        <v>293</v>
      </c>
      <c r="AN428" t="s">
        <v>293</v>
      </c>
      <c r="AO428" t="s">
        <v>297</v>
      </c>
      <c r="AP428" t="s">
        <v>298</v>
      </c>
      <c r="AQ428" t="s">
        <v>293</v>
      </c>
      <c r="AR428" t="s">
        <v>292</v>
      </c>
      <c r="AS428" t="s">
        <v>293</v>
      </c>
      <c r="AT428" t="s">
        <v>293</v>
      </c>
      <c r="AU428" t="s">
        <v>364</v>
      </c>
      <c r="AV428" t="str">
        <f t="shared" si="14"/>
        <v>no_fail</v>
      </c>
    </row>
    <row r="429" spans="1:48" x14ac:dyDescent="0.3">
      <c r="A429" t="s">
        <v>9</v>
      </c>
      <c r="B429" t="s">
        <v>74</v>
      </c>
      <c r="C429" t="s">
        <v>21</v>
      </c>
      <c r="D429" t="s">
        <v>29</v>
      </c>
      <c r="E429" t="str">
        <f t="shared" si="13"/>
        <v>P_X0T-ZSB-S_3X6</v>
      </c>
      <c r="F429" t="b">
        <v>1</v>
      </c>
      <c r="G429">
        <v>45.7</v>
      </c>
      <c r="H429">
        <v>0</v>
      </c>
      <c r="I429">
        <v>20690</v>
      </c>
      <c r="J429" s="49" t="s">
        <v>13</v>
      </c>
      <c r="L429" s="16" t="s">
        <v>272</v>
      </c>
      <c r="M429" s="16">
        <v>3</v>
      </c>
      <c r="N429" s="16" t="s">
        <v>277</v>
      </c>
      <c r="O429" s="16" t="s">
        <v>335</v>
      </c>
      <c r="P429" s="15" t="s">
        <v>282</v>
      </c>
      <c r="Q429" t="s">
        <v>371</v>
      </c>
      <c r="R429" t="s">
        <v>371</v>
      </c>
      <c r="S429" s="17" t="s">
        <v>371</v>
      </c>
      <c r="T429" s="16" t="s">
        <v>340</v>
      </c>
      <c r="U429" s="16" t="s">
        <v>342</v>
      </c>
      <c r="V429" s="15" t="s">
        <v>343</v>
      </c>
      <c r="W429" s="15" t="s">
        <v>344</v>
      </c>
      <c r="X429" s="17"/>
      <c r="Y429" t="s">
        <v>349</v>
      </c>
      <c r="Z429" t="s">
        <v>349</v>
      </c>
      <c r="AA429" t="s">
        <v>293</v>
      </c>
      <c r="AB429" t="s">
        <v>353</v>
      </c>
      <c r="AC429" t="s">
        <v>296</v>
      </c>
      <c r="AD429" t="s">
        <v>300</v>
      </c>
      <c r="AE429" t="s">
        <v>293</v>
      </c>
      <c r="AF429" t="s">
        <v>292</v>
      </c>
      <c r="AG429" t="s">
        <v>292</v>
      </c>
      <c r="AH429" t="s">
        <v>292</v>
      </c>
      <c r="AI429" t="s">
        <v>293</v>
      </c>
      <c r="AJ429" t="s">
        <v>302</v>
      </c>
      <c r="AK429" t="s">
        <v>302</v>
      </c>
      <c r="AL429" t="s">
        <v>359</v>
      </c>
      <c r="AM429" t="s">
        <v>293</v>
      </c>
      <c r="AN429" t="s">
        <v>293</v>
      </c>
      <c r="AO429" t="s">
        <v>297</v>
      </c>
      <c r="AP429" t="s">
        <v>356</v>
      </c>
      <c r="AQ429" t="s">
        <v>293</v>
      </c>
      <c r="AR429" t="s">
        <v>292</v>
      </c>
      <c r="AS429" t="s">
        <v>293</v>
      </c>
      <c r="AT429" t="s">
        <v>293</v>
      </c>
      <c r="AU429" t="s">
        <v>364</v>
      </c>
      <c r="AV429" t="str">
        <f t="shared" si="14"/>
        <v>no_fail</v>
      </c>
    </row>
    <row r="430" spans="1:48" x14ac:dyDescent="0.3">
      <c r="A430" t="s">
        <v>9</v>
      </c>
      <c r="B430" t="s">
        <v>74</v>
      </c>
      <c r="C430" t="s">
        <v>19</v>
      </c>
      <c r="D430" t="s">
        <v>29</v>
      </c>
      <c r="E430" t="str">
        <f t="shared" si="13"/>
        <v>P_X0T-ZSB-S_4U3</v>
      </c>
      <c r="F430" t="b">
        <v>1</v>
      </c>
      <c r="G430">
        <v>100</v>
      </c>
      <c r="H430">
        <v>1</v>
      </c>
      <c r="I430">
        <v>21705</v>
      </c>
      <c r="J430" s="49" t="s">
        <v>18</v>
      </c>
      <c r="L430" s="16" t="s">
        <v>272</v>
      </c>
      <c r="M430" s="16">
        <v>3</v>
      </c>
      <c r="N430" s="16" t="s">
        <v>277</v>
      </c>
      <c r="O430" s="16" t="s">
        <v>335</v>
      </c>
      <c r="P430" s="15" t="s">
        <v>282</v>
      </c>
      <c r="Q430" t="s">
        <v>371</v>
      </c>
      <c r="R430" t="s">
        <v>371</v>
      </c>
      <c r="S430" s="17" t="s">
        <v>371</v>
      </c>
      <c r="T430" s="16" t="s">
        <v>340</v>
      </c>
      <c r="U430" s="16" t="s">
        <v>342</v>
      </c>
      <c r="V430" s="15" t="s">
        <v>343</v>
      </c>
      <c r="W430" s="15" t="s">
        <v>344</v>
      </c>
      <c r="X430" s="17"/>
      <c r="Y430" t="s">
        <v>349</v>
      </c>
      <c r="Z430" t="s">
        <v>349</v>
      </c>
      <c r="AA430" t="s">
        <v>293</v>
      </c>
      <c r="AB430" t="s">
        <v>353</v>
      </c>
      <c r="AC430" t="s">
        <v>296</v>
      </c>
      <c r="AD430" t="s">
        <v>301</v>
      </c>
      <c r="AE430" t="s">
        <v>293</v>
      </c>
      <c r="AF430" t="s">
        <v>292</v>
      </c>
      <c r="AG430" t="s">
        <v>292</v>
      </c>
      <c r="AH430" t="s">
        <v>292</v>
      </c>
      <c r="AI430" t="s">
        <v>293</v>
      </c>
      <c r="AJ430" t="s">
        <v>302</v>
      </c>
      <c r="AK430" t="s">
        <v>302</v>
      </c>
      <c r="AL430" t="s">
        <v>359</v>
      </c>
      <c r="AM430" t="s">
        <v>293</v>
      </c>
      <c r="AN430" t="s">
        <v>293</v>
      </c>
      <c r="AO430" t="s">
        <v>297</v>
      </c>
      <c r="AP430" t="s">
        <v>356</v>
      </c>
      <c r="AQ430" t="s">
        <v>293</v>
      </c>
      <c r="AR430" t="s">
        <v>292</v>
      </c>
      <c r="AS430" t="s">
        <v>293</v>
      </c>
      <c r="AT430" t="s">
        <v>293</v>
      </c>
      <c r="AU430" t="s">
        <v>364</v>
      </c>
      <c r="AV430" t="str">
        <f t="shared" si="14"/>
        <v>break</v>
      </c>
    </row>
    <row r="431" spans="1:48" x14ac:dyDescent="0.3">
      <c r="A431" t="s">
        <v>9</v>
      </c>
      <c r="B431" t="s">
        <v>74</v>
      </c>
      <c r="C431" t="s">
        <v>20</v>
      </c>
      <c r="D431" t="s">
        <v>29</v>
      </c>
      <c r="E431" t="str">
        <f t="shared" si="13"/>
        <v>P_X0T-ZSB-S_7W0</v>
      </c>
      <c r="F431" t="b">
        <v>1</v>
      </c>
      <c r="G431">
        <v>99.9</v>
      </c>
      <c r="H431">
        <v>0</v>
      </c>
      <c r="I431">
        <v>22101</v>
      </c>
      <c r="J431" s="49" t="s">
        <v>18</v>
      </c>
      <c r="L431" s="16" t="s">
        <v>272</v>
      </c>
      <c r="M431" s="16">
        <v>3</v>
      </c>
      <c r="N431" s="16" t="s">
        <v>277</v>
      </c>
      <c r="O431" s="16" t="s">
        <v>335</v>
      </c>
      <c r="P431" s="15" t="s">
        <v>282</v>
      </c>
      <c r="Q431" t="s">
        <v>371</v>
      </c>
      <c r="R431" t="s">
        <v>371</v>
      </c>
      <c r="S431" s="17" t="s">
        <v>371</v>
      </c>
      <c r="T431" s="16" t="s">
        <v>340</v>
      </c>
      <c r="U431" s="16" t="s">
        <v>342</v>
      </c>
      <c r="V431" s="15" t="s">
        <v>343</v>
      </c>
      <c r="W431" s="15" t="s">
        <v>344</v>
      </c>
      <c r="X431" s="17"/>
      <c r="Y431" t="s">
        <v>349</v>
      </c>
      <c r="Z431" t="s">
        <v>349</v>
      </c>
      <c r="AA431" t="s">
        <v>293</v>
      </c>
      <c r="AB431" t="s">
        <v>353</v>
      </c>
      <c r="AC431" t="s">
        <v>296</v>
      </c>
      <c r="AD431" t="s">
        <v>301</v>
      </c>
      <c r="AE431" t="s">
        <v>293</v>
      </c>
      <c r="AF431" t="s">
        <v>292</v>
      </c>
      <c r="AG431" t="s">
        <v>292</v>
      </c>
      <c r="AH431" t="s">
        <v>292</v>
      </c>
      <c r="AI431" t="s">
        <v>293</v>
      </c>
      <c r="AJ431" t="s">
        <v>302</v>
      </c>
      <c r="AK431" t="s">
        <v>302</v>
      </c>
      <c r="AL431" t="s">
        <v>359</v>
      </c>
      <c r="AM431" t="s">
        <v>293</v>
      </c>
      <c r="AN431" t="s">
        <v>293</v>
      </c>
      <c r="AO431" t="s">
        <v>296</v>
      </c>
      <c r="AP431" t="s">
        <v>356</v>
      </c>
      <c r="AQ431" t="s">
        <v>293</v>
      </c>
      <c r="AR431" t="s">
        <v>292</v>
      </c>
      <c r="AS431" t="s">
        <v>293</v>
      </c>
      <c r="AT431" t="s">
        <v>293</v>
      </c>
      <c r="AU431" t="s">
        <v>364</v>
      </c>
      <c r="AV431" t="str">
        <f t="shared" si="14"/>
        <v>car_stuck</v>
      </c>
    </row>
    <row r="432" spans="1:48" x14ac:dyDescent="0.3">
      <c r="A432" t="s">
        <v>9</v>
      </c>
      <c r="B432" t="s">
        <v>74</v>
      </c>
      <c r="C432" t="s">
        <v>22</v>
      </c>
      <c r="D432" t="s">
        <v>29</v>
      </c>
      <c r="E432" t="str">
        <f t="shared" si="13"/>
        <v>P_X0T-ZSB-S_9B4</v>
      </c>
      <c r="F432" t="b">
        <v>1</v>
      </c>
      <c r="G432">
        <v>41.9</v>
      </c>
      <c r="H432">
        <v>0</v>
      </c>
      <c r="I432">
        <v>28790</v>
      </c>
      <c r="J432" s="49" t="s">
        <v>13</v>
      </c>
      <c r="L432" s="16" t="s">
        <v>272</v>
      </c>
      <c r="M432" s="16">
        <v>3</v>
      </c>
      <c r="N432" s="16" t="s">
        <v>277</v>
      </c>
      <c r="O432" s="16" t="s">
        <v>335</v>
      </c>
      <c r="P432" s="15" t="s">
        <v>339</v>
      </c>
      <c r="Q432" t="s">
        <v>282</v>
      </c>
      <c r="R432" t="s">
        <v>371</v>
      </c>
      <c r="S432" s="17" t="s">
        <v>371</v>
      </c>
      <c r="T432" s="16" t="s">
        <v>341</v>
      </c>
      <c r="U432" s="16" t="s">
        <v>340</v>
      </c>
      <c r="V432" s="15" t="s">
        <v>343</v>
      </c>
      <c r="W432" s="15" t="s">
        <v>344</v>
      </c>
      <c r="X432" s="17"/>
      <c r="Y432" t="s">
        <v>349</v>
      </c>
      <c r="Z432" t="s">
        <v>349</v>
      </c>
      <c r="AA432" t="s">
        <v>293</v>
      </c>
      <c r="AB432" t="s">
        <v>353</v>
      </c>
      <c r="AC432" t="s">
        <v>296</v>
      </c>
      <c r="AD432" t="s">
        <v>301</v>
      </c>
      <c r="AE432" t="s">
        <v>293</v>
      </c>
      <c r="AF432" t="s">
        <v>292</v>
      </c>
      <c r="AG432" t="s">
        <v>292</v>
      </c>
      <c r="AH432" t="s">
        <v>292</v>
      </c>
      <c r="AI432" t="s">
        <v>293</v>
      </c>
      <c r="AJ432" t="s">
        <v>302</v>
      </c>
      <c r="AK432" t="s">
        <v>302</v>
      </c>
      <c r="AL432" t="s">
        <v>359</v>
      </c>
      <c r="AM432" t="s">
        <v>293</v>
      </c>
      <c r="AN432" t="s">
        <v>293</v>
      </c>
      <c r="AO432" t="s">
        <v>297</v>
      </c>
      <c r="AP432" t="s">
        <v>356</v>
      </c>
      <c r="AQ432" t="s">
        <v>293</v>
      </c>
      <c r="AR432" t="s">
        <v>292</v>
      </c>
      <c r="AS432" t="s">
        <v>293</v>
      </c>
      <c r="AT432" t="s">
        <v>293</v>
      </c>
      <c r="AU432" t="s">
        <v>364</v>
      </c>
      <c r="AV432" t="str">
        <f t="shared" si="14"/>
        <v>no_fail</v>
      </c>
    </row>
    <row r="433" spans="1:48" x14ac:dyDescent="0.3">
      <c r="A433" t="s">
        <v>45</v>
      </c>
      <c r="B433" t="s">
        <v>51</v>
      </c>
      <c r="C433" t="s">
        <v>15</v>
      </c>
      <c r="D433" t="s">
        <v>12</v>
      </c>
      <c r="E433" t="str">
        <f t="shared" si="13"/>
        <v>P_X2G-KYY-S_0M4</v>
      </c>
      <c r="F433" t="b">
        <v>1</v>
      </c>
      <c r="G433">
        <v>100</v>
      </c>
      <c r="H433">
        <v>1</v>
      </c>
      <c r="I433">
        <v>11503</v>
      </c>
      <c r="J433" s="49" t="s">
        <v>18</v>
      </c>
      <c r="L433" s="16" t="s">
        <v>272</v>
      </c>
      <c r="M433" s="16">
        <v>3</v>
      </c>
      <c r="N433" s="16" t="s">
        <v>277</v>
      </c>
      <c r="O433" s="16" t="s">
        <v>335</v>
      </c>
      <c r="P433" t="s">
        <v>282</v>
      </c>
      <c r="R433" t="s">
        <v>371</v>
      </c>
      <c r="S433" s="17" t="s">
        <v>371</v>
      </c>
      <c r="T433" s="16" t="s">
        <v>341</v>
      </c>
      <c r="U433" s="16" t="s">
        <v>340</v>
      </c>
      <c r="V433" s="15" t="s">
        <v>343</v>
      </c>
      <c r="W433" s="15" t="s">
        <v>344</v>
      </c>
      <c r="X433" s="17"/>
      <c r="Y433" t="s">
        <v>349</v>
      </c>
      <c r="Z433" t="s">
        <v>349</v>
      </c>
      <c r="AA433" t="s">
        <v>293</v>
      </c>
      <c r="AB433" t="s">
        <v>352</v>
      </c>
      <c r="AC433" t="s">
        <v>296</v>
      </c>
      <c r="AD433" t="s">
        <v>300</v>
      </c>
      <c r="AE433" t="s">
        <v>292</v>
      </c>
      <c r="AF433" t="s">
        <v>293</v>
      </c>
      <c r="AG433" t="s">
        <v>292</v>
      </c>
      <c r="AH433" t="s">
        <v>292</v>
      </c>
      <c r="AI433" t="s">
        <v>293</v>
      </c>
      <c r="AJ433" t="s">
        <v>302</v>
      </c>
      <c r="AK433" t="s">
        <v>302</v>
      </c>
      <c r="AL433" t="s">
        <v>359</v>
      </c>
      <c r="AM433" t="s">
        <v>293</v>
      </c>
      <c r="AN433" t="s">
        <v>293</v>
      </c>
      <c r="AO433" t="s">
        <v>297</v>
      </c>
      <c r="AP433" t="s">
        <v>298</v>
      </c>
      <c r="AQ433" t="s">
        <v>293</v>
      </c>
      <c r="AR433" t="s">
        <v>292</v>
      </c>
      <c r="AS433" t="s">
        <v>293</v>
      </c>
      <c r="AT433" t="s">
        <v>293</v>
      </c>
      <c r="AU433" t="s">
        <v>364</v>
      </c>
      <c r="AV433" t="str">
        <f t="shared" si="14"/>
        <v>break</v>
      </c>
    </row>
    <row r="434" spans="1:48" x14ac:dyDescent="0.3">
      <c r="A434" t="s">
        <v>45</v>
      </c>
      <c r="B434" t="s">
        <v>51</v>
      </c>
      <c r="C434" t="s">
        <v>14</v>
      </c>
      <c r="D434" t="s">
        <v>12</v>
      </c>
      <c r="E434" t="str">
        <f t="shared" si="13"/>
        <v>P_X2G-KYY-S_1B0</v>
      </c>
      <c r="F434" t="b">
        <v>1</v>
      </c>
      <c r="G434">
        <v>45.6</v>
      </c>
      <c r="H434">
        <v>0</v>
      </c>
      <c r="I434">
        <v>13001</v>
      </c>
      <c r="J434" s="49" t="s">
        <v>13</v>
      </c>
      <c r="L434" s="16" t="s">
        <v>272</v>
      </c>
      <c r="M434" s="16">
        <v>3</v>
      </c>
      <c r="N434" s="16" t="s">
        <v>277</v>
      </c>
      <c r="O434" s="16" t="s">
        <v>335</v>
      </c>
      <c r="P434" t="s">
        <v>282</v>
      </c>
      <c r="R434" t="s">
        <v>371</v>
      </c>
      <c r="S434" s="17" t="s">
        <v>371</v>
      </c>
      <c r="T434" s="16" t="s">
        <v>341</v>
      </c>
      <c r="U434" s="16" t="s">
        <v>340</v>
      </c>
      <c r="V434" s="15" t="s">
        <v>343</v>
      </c>
      <c r="W434" s="15" t="s">
        <v>344</v>
      </c>
      <c r="X434" s="17"/>
      <c r="Y434" t="s">
        <v>349</v>
      </c>
      <c r="Z434" t="s">
        <v>349</v>
      </c>
      <c r="AA434" t="s">
        <v>293</v>
      </c>
      <c r="AB434" t="s">
        <v>353</v>
      </c>
      <c r="AC434" t="s">
        <v>296</v>
      </c>
      <c r="AD434" t="s">
        <v>300</v>
      </c>
      <c r="AE434" t="s">
        <v>292</v>
      </c>
      <c r="AF434" t="s">
        <v>293</v>
      </c>
      <c r="AG434" t="s">
        <v>292</v>
      </c>
      <c r="AH434" t="s">
        <v>292</v>
      </c>
      <c r="AI434" t="s">
        <v>293</v>
      </c>
      <c r="AJ434" t="s">
        <v>302</v>
      </c>
      <c r="AK434" t="s">
        <v>302</v>
      </c>
      <c r="AL434" t="s">
        <v>359</v>
      </c>
      <c r="AM434" t="s">
        <v>293</v>
      </c>
      <c r="AN434" t="s">
        <v>293</v>
      </c>
      <c r="AO434" t="s">
        <v>297</v>
      </c>
      <c r="AP434" t="s">
        <v>298</v>
      </c>
      <c r="AQ434" t="s">
        <v>293</v>
      </c>
      <c r="AR434" t="s">
        <v>292</v>
      </c>
      <c r="AS434" t="s">
        <v>293</v>
      </c>
      <c r="AT434" t="s">
        <v>293</v>
      </c>
      <c r="AU434" t="s">
        <v>364</v>
      </c>
      <c r="AV434" t="str">
        <f t="shared" si="14"/>
        <v>no_fail</v>
      </c>
    </row>
    <row r="435" spans="1:48" x14ac:dyDescent="0.3">
      <c r="A435" t="s">
        <v>45</v>
      </c>
      <c r="B435" t="s">
        <v>51</v>
      </c>
      <c r="C435" t="s">
        <v>11</v>
      </c>
      <c r="D435" t="s">
        <v>12</v>
      </c>
      <c r="E435" t="str">
        <f t="shared" si="13"/>
        <v>P_X2G-KYY-S_1Q4</v>
      </c>
      <c r="F435" t="b">
        <v>1</v>
      </c>
      <c r="G435">
        <v>46.9</v>
      </c>
      <c r="H435">
        <v>0</v>
      </c>
      <c r="I435">
        <v>14408</v>
      </c>
      <c r="J435" s="49" t="s">
        <v>13</v>
      </c>
      <c r="L435" s="16" t="s">
        <v>272</v>
      </c>
      <c r="M435" s="16">
        <v>3</v>
      </c>
      <c r="N435" s="16" t="s">
        <v>277</v>
      </c>
      <c r="O435" s="16" t="s">
        <v>335</v>
      </c>
      <c r="P435" t="s">
        <v>282</v>
      </c>
      <c r="R435" t="s">
        <v>371</v>
      </c>
      <c r="S435" s="17" t="s">
        <v>371</v>
      </c>
      <c r="T435" s="16" t="s">
        <v>341</v>
      </c>
      <c r="U435" s="16" t="s">
        <v>340</v>
      </c>
      <c r="V435" s="15" t="s">
        <v>343</v>
      </c>
      <c r="W435" s="15" t="s">
        <v>344</v>
      </c>
      <c r="X435" s="17"/>
      <c r="Y435" t="s">
        <v>349</v>
      </c>
      <c r="Z435" t="s">
        <v>349</v>
      </c>
      <c r="AA435" t="s">
        <v>293</v>
      </c>
      <c r="AB435" t="s">
        <v>353</v>
      </c>
      <c r="AC435" t="s">
        <v>296</v>
      </c>
      <c r="AD435" t="s">
        <v>300</v>
      </c>
      <c r="AE435" t="s">
        <v>292</v>
      </c>
      <c r="AF435" t="s">
        <v>293</v>
      </c>
      <c r="AG435" t="s">
        <v>292</v>
      </c>
      <c r="AH435" t="s">
        <v>292</v>
      </c>
      <c r="AI435" t="s">
        <v>293</v>
      </c>
      <c r="AJ435" t="s">
        <v>302</v>
      </c>
      <c r="AK435" t="s">
        <v>302</v>
      </c>
      <c r="AL435" t="s">
        <v>359</v>
      </c>
      <c r="AM435" t="s">
        <v>293</v>
      </c>
      <c r="AN435" t="s">
        <v>293</v>
      </c>
      <c r="AO435" t="s">
        <v>297</v>
      </c>
      <c r="AP435" t="s">
        <v>298</v>
      </c>
      <c r="AQ435" t="s">
        <v>293</v>
      </c>
      <c r="AR435" t="s">
        <v>292</v>
      </c>
      <c r="AS435" t="s">
        <v>293</v>
      </c>
      <c r="AT435" t="s">
        <v>293</v>
      </c>
      <c r="AU435" t="s">
        <v>364</v>
      </c>
      <c r="AV435" t="str">
        <f t="shared" si="14"/>
        <v>no_fail</v>
      </c>
    </row>
    <row r="436" spans="1:48" x14ac:dyDescent="0.3">
      <c r="A436" t="s">
        <v>45</v>
      </c>
      <c r="B436" t="s">
        <v>51</v>
      </c>
      <c r="C436" t="s">
        <v>21</v>
      </c>
      <c r="D436" t="s">
        <v>12</v>
      </c>
      <c r="E436" t="str">
        <f t="shared" si="13"/>
        <v>P_X2G-KYY-S_3X6</v>
      </c>
      <c r="F436" t="b">
        <v>1</v>
      </c>
      <c r="G436">
        <v>52.6</v>
      </c>
      <c r="H436">
        <v>0</v>
      </c>
      <c r="I436">
        <v>13074</v>
      </c>
      <c r="J436" s="49" t="s">
        <v>13</v>
      </c>
      <c r="L436" s="16" t="s">
        <v>272</v>
      </c>
      <c r="M436" s="16">
        <v>3</v>
      </c>
      <c r="N436" s="16" t="s">
        <v>277</v>
      </c>
      <c r="O436" s="16" t="s">
        <v>335</v>
      </c>
      <c r="P436" t="s">
        <v>282</v>
      </c>
      <c r="R436" t="s">
        <v>371</v>
      </c>
      <c r="S436" s="17" t="s">
        <v>371</v>
      </c>
      <c r="T436" s="16" t="s">
        <v>341</v>
      </c>
      <c r="U436" s="16" t="s">
        <v>340</v>
      </c>
      <c r="V436" s="15" t="s">
        <v>343</v>
      </c>
      <c r="W436" s="15" t="s">
        <v>344</v>
      </c>
      <c r="X436" s="17"/>
      <c r="Y436" t="s">
        <v>349</v>
      </c>
      <c r="Z436" t="s">
        <v>349</v>
      </c>
      <c r="AA436" t="s">
        <v>293</v>
      </c>
      <c r="AB436" t="s">
        <v>352</v>
      </c>
      <c r="AC436" t="s">
        <v>296</v>
      </c>
      <c r="AD436" t="s">
        <v>300</v>
      </c>
      <c r="AE436" t="s">
        <v>292</v>
      </c>
      <c r="AF436" t="s">
        <v>292</v>
      </c>
      <c r="AG436" t="s">
        <v>292</v>
      </c>
      <c r="AH436" t="s">
        <v>292</v>
      </c>
      <c r="AI436" t="s">
        <v>293</v>
      </c>
      <c r="AJ436" t="s">
        <v>302</v>
      </c>
      <c r="AK436" t="s">
        <v>302</v>
      </c>
      <c r="AL436" t="s">
        <v>359</v>
      </c>
      <c r="AM436" t="s">
        <v>293</v>
      </c>
      <c r="AN436" t="s">
        <v>293</v>
      </c>
      <c r="AO436" t="s">
        <v>297</v>
      </c>
      <c r="AP436" t="s">
        <v>356</v>
      </c>
      <c r="AQ436" t="s">
        <v>293</v>
      </c>
      <c r="AR436" t="s">
        <v>292</v>
      </c>
      <c r="AS436" t="s">
        <v>293</v>
      </c>
      <c r="AT436" t="s">
        <v>293</v>
      </c>
      <c r="AU436" t="s">
        <v>364</v>
      </c>
      <c r="AV436" t="str">
        <f t="shared" si="14"/>
        <v>no_fail</v>
      </c>
    </row>
    <row r="437" spans="1:48" x14ac:dyDescent="0.3">
      <c r="A437" t="s">
        <v>45</v>
      </c>
      <c r="B437" t="s">
        <v>51</v>
      </c>
      <c r="C437" t="s">
        <v>19</v>
      </c>
      <c r="D437" t="s">
        <v>12</v>
      </c>
      <c r="E437" t="str">
        <f t="shared" si="13"/>
        <v>P_X2G-KYY-S_4U3</v>
      </c>
      <c r="F437" t="b">
        <v>1</v>
      </c>
      <c r="G437">
        <v>91.9</v>
      </c>
      <c r="H437">
        <v>0</v>
      </c>
      <c r="I437">
        <v>12966</v>
      </c>
      <c r="J437" s="49" t="s">
        <v>13</v>
      </c>
      <c r="L437" s="16" t="s">
        <v>272</v>
      </c>
      <c r="M437" s="16">
        <v>3</v>
      </c>
      <c r="N437" s="16" t="s">
        <v>277</v>
      </c>
      <c r="O437" s="16" t="s">
        <v>335</v>
      </c>
      <c r="P437" t="s">
        <v>282</v>
      </c>
      <c r="R437" t="s">
        <v>371</v>
      </c>
      <c r="S437" s="17" t="s">
        <v>371</v>
      </c>
      <c r="T437" s="16" t="s">
        <v>341</v>
      </c>
      <c r="U437" s="16" t="s">
        <v>340</v>
      </c>
      <c r="V437" s="15" t="s">
        <v>343</v>
      </c>
      <c r="W437" s="15" t="s">
        <v>344</v>
      </c>
      <c r="X437" s="17"/>
      <c r="Y437" t="s">
        <v>349</v>
      </c>
      <c r="Z437" t="s">
        <v>349</v>
      </c>
      <c r="AA437" t="s">
        <v>293</v>
      </c>
      <c r="AB437" t="s">
        <v>352</v>
      </c>
      <c r="AC437" t="s">
        <v>296</v>
      </c>
      <c r="AD437" t="s">
        <v>300</v>
      </c>
      <c r="AE437" t="s">
        <v>292</v>
      </c>
      <c r="AF437" t="s">
        <v>292</v>
      </c>
      <c r="AG437" t="s">
        <v>292</v>
      </c>
      <c r="AH437" t="s">
        <v>292</v>
      </c>
      <c r="AI437" t="s">
        <v>293</v>
      </c>
      <c r="AJ437" t="s">
        <v>302</v>
      </c>
      <c r="AK437" t="s">
        <v>302</v>
      </c>
      <c r="AL437" t="s">
        <v>359</v>
      </c>
      <c r="AM437" t="s">
        <v>293</v>
      </c>
      <c r="AN437" t="s">
        <v>293</v>
      </c>
      <c r="AO437" t="s">
        <v>297</v>
      </c>
      <c r="AP437" t="s">
        <v>298</v>
      </c>
      <c r="AQ437" t="s">
        <v>293</v>
      </c>
      <c r="AR437" t="s">
        <v>292</v>
      </c>
      <c r="AS437" t="s">
        <v>293</v>
      </c>
      <c r="AT437" t="s">
        <v>293</v>
      </c>
      <c r="AU437" t="s">
        <v>364</v>
      </c>
      <c r="AV437" t="str">
        <f t="shared" si="14"/>
        <v>no_fail</v>
      </c>
    </row>
    <row r="438" spans="1:48" x14ac:dyDescent="0.3">
      <c r="A438" t="s">
        <v>45</v>
      </c>
      <c r="B438" t="s">
        <v>51</v>
      </c>
      <c r="C438" t="s">
        <v>17</v>
      </c>
      <c r="D438" t="s">
        <v>12</v>
      </c>
      <c r="E438" t="str">
        <f t="shared" si="13"/>
        <v>P_X2G-KYY-S_6B5</v>
      </c>
      <c r="F438" t="b">
        <v>1</v>
      </c>
      <c r="G438">
        <v>100</v>
      </c>
      <c r="H438">
        <v>1</v>
      </c>
      <c r="I438">
        <v>12235</v>
      </c>
      <c r="J438" s="49" t="s">
        <v>18</v>
      </c>
      <c r="L438" s="16" t="s">
        <v>272</v>
      </c>
      <c r="M438" s="16">
        <v>3</v>
      </c>
      <c r="N438" s="16" t="s">
        <v>277</v>
      </c>
      <c r="O438" s="16" t="s">
        <v>335</v>
      </c>
      <c r="P438" t="s">
        <v>282</v>
      </c>
      <c r="R438" t="s">
        <v>371</v>
      </c>
      <c r="S438" s="17" t="s">
        <v>371</v>
      </c>
      <c r="T438" s="16" t="s">
        <v>341</v>
      </c>
      <c r="U438" s="16" t="s">
        <v>340</v>
      </c>
      <c r="V438" s="15" t="s">
        <v>343</v>
      </c>
      <c r="W438" s="15" t="s">
        <v>344</v>
      </c>
      <c r="X438" s="17"/>
      <c r="Y438" t="s">
        <v>349</v>
      </c>
      <c r="Z438" t="s">
        <v>349</v>
      </c>
      <c r="AA438" t="s">
        <v>293</v>
      </c>
      <c r="AB438" t="s">
        <v>352</v>
      </c>
      <c r="AC438" t="s">
        <v>296</v>
      </c>
      <c r="AD438" t="s">
        <v>300</v>
      </c>
      <c r="AE438" t="s">
        <v>292</v>
      </c>
      <c r="AF438" t="s">
        <v>292</v>
      </c>
      <c r="AG438" t="s">
        <v>292</v>
      </c>
      <c r="AH438" t="s">
        <v>292</v>
      </c>
      <c r="AI438" t="s">
        <v>293</v>
      </c>
      <c r="AJ438" t="s">
        <v>302</v>
      </c>
      <c r="AK438" t="s">
        <v>302</v>
      </c>
      <c r="AL438" t="s">
        <v>359</v>
      </c>
      <c r="AM438" t="s">
        <v>293</v>
      </c>
      <c r="AN438" t="s">
        <v>293</v>
      </c>
      <c r="AO438" t="s">
        <v>297</v>
      </c>
      <c r="AP438" t="s">
        <v>298</v>
      </c>
      <c r="AQ438" t="s">
        <v>293</v>
      </c>
      <c r="AR438" t="s">
        <v>292</v>
      </c>
      <c r="AS438" t="s">
        <v>293</v>
      </c>
      <c r="AT438" t="s">
        <v>293</v>
      </c>
      <c r="AU438" t="s">
        <v>364</v>
      </c>
      <c r="AV438" t="str">
        <f t="shared" si="14"/>
        <v>break</v>
      </c>
    </row>
    <row r="439" spans="1:48" x14ac:dyDescent="0.3">
      <c r="A439" t="s">
        <v>45</v>
      </c>
      <c r="B439" t="s">
        <v>51</v>
      </c>
      <c r="C439" t="s">
        <v>16</v>
      </c>
      <c r="D439" t="s">
        <v>12</v>
      </c>
      <c r="E439" t="str">
        <f t="shared" si="13"/>
        <v>P_X2G-KYY-S_6U7</v>
      </c>
      <c r="F439" t="b">
        <v>1</v>
      </c>
      <c r="G439">
        <v>45</v>
      </c>
      <c r="H439">
        <v>0</v>
      </c>
      <c r="I439">
        <v>13733</v>
      </c>
      <c r="J439" s="49" t="s">
        <v>13</v>
      </c>
      <c r="L439" s="16" t="s">
        <v>272</v>
      </c>
      <c r="M439" s="16">
        <v>3</v>
      </c>
      <c r="N439" s="16" t="s">
        <v>277</v>
      </c>
      <c r="O439" s="16" t="s">
        <v>335</v>
      </c>
      <c r="P439" t="s">
        <v>282</v>
      </c>
      <c r="R439" t="s">
        <v>371</v>
      </c>
      <c r="S439" s="17" t="s">
        <v>371</v>
      </c>
      <c r="T439" s="16" t="s">
        <v>341</v>
      </c>
      <c r="U439" s="16" t="s">
        <v>340</v>
      </c>
      <c r="V439" s="15" t="s">
        <v>343</v>
      </c>
      <c r="W439" s="15" t="s">
        <v>344</v>
      </c>
      <c r="X439" s="17"/>
      <c r="Y439" t="s">
        <v>349</v>
      </c>
      <c r="Z439" t="s">
        <v>349</v>
      </c>
      <c r="AA439" t="s">
        <v>293</v>
      </c>
      <c r="AB439" t="s">
        <v>353</v>
      </c>
      <c r="AC439" t="s">
        <v>296</v>
      </c>
      <c r="AD439" t="s">
        <v>300</v>
      </c>
      <c r="AE439" t="s">
        <v>292</v>
      </c>
      <c r="AF439" t="s">
        <v>292</v>
      </c>
      <c r="AG439" t="s">
        <v>292</v>
      </c>
      <c r="AH439" t="s">
        <v>292</v>
      </c>
      <c r="AI439" t="s">
        <v>293</v>
      </c>
      <c r="AJ439" t="s">
        <v>302</v>
      </c>
      <c r="AK439" t="s">
        <v>302</v>
      </c>
      <c r="AL439" t="s">
        <v>359</v>
      </c>
      <c r="AM439" t="s">
        <v>293</v>
      </c>
      <c r="AN439" t="s">
        <v>293</v>
      </c>
      <c r="AO439" t="s">
        <v>297</v>
      </c>
      <c r="AP439" t="s">
        <v>298</v>
      </c>
      <c r="AQ439" t="s">
        <v>293</v>
      </c>
      <c r="AR439" t="s">
        <v>292</v>
      </c>
      <c r="AS439" t="s">
        <v>293</v>
      </c>
      <c r="AT439" t="s">
        <v>293</v>
      </c>
      <c r="AU439" t="s">
        <v>364</v>
      </c>
      <c r="AV439" t="str">
        <f t="shared" si="14"/>
        <v>no_fail</v>
      </c>
    </row>
    <row r="440" spans="1:48" x14ac:dyDescent="0.3">
      <c r="A440" t="s">
        <v>45</v>
      </c>
      <c r="B440" t="s">
        <v>51</v>
      </c>
      <c r="C440" t="s">
        <v>20</v>
      </c>
      <c r="D440" t="s">
        <v>12</v>
      </c>
      <c r="E440" t="str">
        <f t="shared" si="13"/>
        <v>P_X2G-KYY-S_7W0</v>
      </c>
      <c r="F440" t="b">
        <v>1</v>
      </c>
      <c r="G440">
        <v>100</v>
      </c>
      <c r="H440">
        <v>1</v>
      </c>
      <c r="I440">
        <v>11667</v>
      </c>
      <c r="J440" s="49" t="s">
        <v>18</v>
      </c>
      <c r="L440" s="16" t="s">
        <v>272</v>
      </c>
      <c r="M440" s="16">
        <v>2</v>
      </c>
      <c r="N440" s="16" t="s">
        <v>277</v>
      </c>
      <c r="O440" s="16" t="s">
        <v>335</v>
      </c>
      <c r="P440" s="15" t="s">
        <v>282</v>
      </c>
      <c r="Q440" t="s">
        <v>371</v>
      </c>
      <c r="R440" t="s">
        <v>371</v>
      </c>
      <c r="S440" s="17" t="s">
        <v>371</v>
      </c>
      <c r="T440" s="16" t="s">
        <v>341</v>
      </c>
      <c r="U440" s="16" t="s">
        <v>340</v>
      </c>
      <c r="V440" s="15" t="s">
        <v>340</v>
      </c>
      <c r="W440" s="15" t="s">
        <v>344</v>
      </c>
      <c r="X440" s="17"/>
      <c r="Y440" t="s">
        <v>349</v>
      </c>
      <c r="Z440" t="s">
        <v>349</v>
      </c>
      <c r="AA440" t="s">
        <v>293</v>
      </c>
      <c r="AB440" t="s">
        <v>354</v>
      </c>
      <c r="AC440" t="s">
        <v>354</v>
      </c>
      <c r="AD440" t="s">
        <v>300</v>
      </c>
      <c r="AE440" t="s">
        <v>292</v>
      </c>
      <c r="AF440" t="s">
        <v>292</v>
      </c>
      <c r="AG440" t="s">
        <v>292</v>
      </c>
      <c r="AH440" t="s">
        <v>293</v>
      </c>
      <c r="AI440" t="s">
        <v>293</v>
      </c>
      <c r="AJ440" t="s">
        <v>302</v>
      </c>
      <c r="AK440" t="s">
        <v>302</v>
      </c>
      <c r="AL440" t="s">
        <v>357</v>
      </c>
      <c r="AM440" t="s">
        <v>293</v>
      </c>
      <c r="AN440" t="s">
        <v>293</v>
      </c>
      <c r="AO440" t="s">
        <v>297</v>
      </c>
      <c r="AP440" t="s">
        <v>356</v>
      </c>
      <c r="AQ440" t="s">
        <v>293</v>
      </c>
      <c r="AR440" t="s">
        <v>292</v>
      </c>
      <c r="AS440" t="s">
        <v>293</v>
      </c>
      <c r="AT440" t="s">
        <v>293</v>
      </c>
      <c r="AU440" t="s">
        <v>364</v>
      </c>
      <c r="AV440" t="str">
        <f t="shared" si="14"/>
        <v>break</v>
      </c>
    </row>
    <row r="441" spans="1:48" x14ac:dyDescent="0.3">
      <c r="A441" t="s">
        <v>45</v>
      </c>
      <c r="B441" t="s">
        <v>51</v>
      </c>
      <c r="C441" t="s">
        <v>22</v>
      </c>
      <c r="D441" t="s">
        <v>12</v>
      </c>
      <c r="E441" t="str">
        <f t="shared" si="13"/>
        <v>P_X2G-KYY-S_9B4</v>
      </c>
      <c r="F441" t="b">
        <v>1</v>
      </c>
      <c r="G441">
        <v>52</v>
      </c>
      <c r="H441">
        <v>0</v>
      </c>
      <c r="I441">
        <v>12708</v>
      </c>
      <c r="J441" s="49" t="s">
        <v>13</v>
      </c>
      <c r="L441" s="16" t="s">
        <v>272</v>
      </c>
      <c r="M441" s="16">
        <v>3</v>
      </c>
      <c r="N441" s="16" t="s">
        <v>277</v>
      </c>
      <c r="O441" s="16" t="s">
        <v>335</v>
      </c>
      <c r="P441" t="s">
        <v>282</v>
      </c>
      <c r="R441" t="s">
        <v>371</v>
      </c>
      <c r="S441" s="17" t="s">
        <v>371</v>
      </c>
      <c r="T441" s="16" t="s">
        <v>341</v>
      </c>
      <c r="U441" s="16" t="s">
        <v>340</v>
      </c>
      <c r="V441" s="15" t="s">
        <v>343</v>
      </c>
      <c r="W441" s="15" t="s">
        <v>344</v>
      </c>
      <c r="X441" s="17"/>
      <c r="Y441" t="s">
        <v>349</v>
      </c>
      <c r="Z441" t="s">
        <v>349</v>
      </c>
      <c r="AA441" t="s">
        <v>293</v>
      </c>
      <c r="AB441" t="s">
        <v>352</v>
      </c>
      <c r="AC441" t="s">
        <v>296</v>
      </c>
      <c r="AD441" t="s">
        <v>300</v>
      </c>
      <c r="AE441" t="s">
        <v>292</v>
      </c>
      <c r="AF441" t="s">
        <v>292</v>
      </c>
      <c r="AG441" t="s">
        <v>292</v>
      </c>
      <c r="AH441" t="s">
        <v>292</v>
      </c>
      <c r="AI441" t="s">
        <v>293</v>
      </c>
      <c r="AJ441" t="s">
        <v>302</v>
      </c>
      <c r="AK441" t="s">
        <v>302</v>
      </c>
      <c r="AL441" t="s">
        <v>359</v>
      </c>
      <c r="AM441" t="s">
        <v>293</v>
      </c>
      <c r="AN441" t="s">
        <v>293</v>
      </c>
      <c r="AO441" t="s">
        <v>297</v>
      </c>
      <c r="AP441" t="s">
        <v>356</v>
      </c>
      <c r="AQ441" t="s">
        <v>293</v>
      </c>
      <c r="AR441" t="s">
        <v>292</v>
      </c>
      <c r="AS441" t="s">
        <v>293</v>
      </c>
      <c r="AT441" t="s">
        <v>293</v>
      </c>
      <c r="AU441" t="s">
        <v>364</v>
      </c>
      <c r="AV441" t="str">
        <f t="shared" si="14"/>
        <v>no_fail</v>
      </c>
    </row>
    <row r="442" spans="1:48" x14ac:dyDescent="0.3">
      <c r="A442" t="s">
        <v>45</v>
      </c>
      <c r="B442" t="s">
        <v>51</v>
      </c>
      <c r="C442" t="s">
        <v>23</v>
      </c>
      <c r="D442" t="s">
        <v>29</v>
      </c>
      <c r="E442" t="str">
        <f t="shared" si="13"/>
        <v>P_X2G-ZSB-S_0T2</v>
      </c>
      <c r="F442" t="b">
        <v>1</v>
      </c>
      <c r="G442">
        <v>100</v>
      </c>
      <c r="H442">
        <v>1</v>
      </c>
      <c r="I442">
        <v>12027</v>
      </c>
      <c r="J442" s="49" t="s">
        <v>18</v>
      </c>
      <c r="L442" s="16" t="s">
        <v>272</v>
      </c>
      <c r="M442" s="16">
        <v>3</v>
      </c>
      <c r="N442" s="16" t="s">
        <v>277</v>
      </c>
      <c r="O442" s="16" t="s">
        <v>335</v>
      </c>
      <c r="P442" s="15" t="s">
        <v>282</v>
      </c>
      <c r="Q442" t="s">
        <v>371</v>
      </c>
      <c r="R442" t="s">
        <v>371</v>
      </c>
      <c r="S442" s="17" t="s">
        <v>371</v>
      </c>
      <c r="T442" s="16" t="s">
        <v>341</v>
      </c>
      <c r="U442" s="16" t="s">
        <v>340</v>
      </c>
      <c r="V442" s="15" t="s">
        <v>343</v>
      </c>
      <c r="W442" s="15" t="s">
        <v>344</v>
      </c>
      <c r="X442" s="17"/>
      <c r="Y442" t="s">
        <v>349</v>
      </c>
      <c r="Z442" t="s">
        <v>349</v>
      </c>
      <c r="AA442" t="s">
        <v>293</v>
      </c>
      <c r="AB442" t="s">
        <v>352</v>
      </c>
      <c r="AC442" t="s">
        <v>296</v>
      </c>
      <c r="AD442" t="s">
        <v>300</v>
      </c>
      <c r="AE442" t="s">
        <v>292</v>
      </c>
      <c r="AF442" t="s">
        <v>292</v>
      </c>
      <c r="AG442" t="s">
        <v>292</v>
      </c>
      <c r="AH442" t="s">
        <v>292</v>
      </c>
      <c r="AI442" t="s">
        <v>293</v>
      </c>
      <c r="AJ442" t="s">
        <v>302</v>
      </c>
      <c r="AK442" t="s">
        <v>302</v>
      </c>
      <c r="AL442" t="s">
        <v>359</v>
      </c>
      <c r="AM442" t="s">
        <v>293</v>
      </c>
      <c r="AN442" t="s">
        <v>293</v>
      </c>
      <c r="AO442" t="s">
        <v>297</v>
      </c>
      <c r="AP442" t="s">
        <v>298</v>
      </c>
      <c r="AQ442" t="s">
        <v>293</v>
      </c>
      <c r="AR442" t="s">
        <v>292</v>
      </c>
      <c r="AS442" t="s">
        <v>293</v>
      </c>
      <c r="AT442" t="s">
        <v>293</v>
      </c>
      <c r="AU442" t="s">
        <v>364</v>
      </c>
      <c r="AV442" t="str">
        <f t="shared" si="14"/>
        <v>break</v>
      </c>
    </row>
    <row r="443" spans="1:48" x14ac:dyDescent="0.3">
      <c r="A443" t="s">
        <v>45</v>
      </c>
      <c r="B443" t="s">
        <v>51</v>
      </c>
      <c r="C443" t="s">
        <v>25</v>
      </c>
      <c r="D443" t="s">
        <v>29</v>
      </c>
      <c r="E443" t="str">
        <f t="shared" si="13"/>
        <v>P_X2G-ZSB-S_1J8</v>
      </c>
      <c r="F443" t="b">
        <v>1</v>
      </c>
      <c r="G443">
        <v>100</v>
      </c>
      <c r="H443">
        <v>1</v>
      </c>
      <c r="I443">
        <v>9003</v>
      </c>
      <c r="J443" s="49" t="s">
        <v>18</v>
      </c>
      <c r="L443" s="16" t="s">
        <v>272</v>
      </c>
      <c r="M443" s="16">
        <v>3</v>
      </c>
      <c r="N443" s="16" t="s">
        <v>277</v>
      </c>
      <c r="O443" s="16" t="s">
        <v>335</v>
      </c>
      <c r="P443" s="15" t="s">
        <v>283</v>
      </c>
      <c r="Q443" t="s">
        <v>282</v>
      </c>
      <c r="R443" t="s">
        <v>371</v>
      </c>
      <c r="S443" s="17" t="s">
        <v>371</v>
      </c>
      <c r="T443" s="16" t="s">
        <v>341</v>
      </c>
      <c r="U443" s="16" t="s">
        <v>340</v>
      </c>
      <c r="V443" s="15" t="s">
        <v>343</v>
      </c>
      <c r="W443" s="15" t="s">
        <v>291</v>
      </c>
      <c r="X443" s="17"/>
      <c r="Y443" t="s">
        <v>349</v>
      </c>
      <c r="Z443" t="s">
        <v>349</v>
      </c>
      <c r="AA443" t="s">
        <v>293</v>
      </c>
      <c r="AB443" t="s">
        <v>353</v>
      </c>
      <c r="AC443" t="s">
        <v>296</v>
      </c>
      <c r="AD443" t="s">
        <v>300</v>
      </c>
      <c r="AE443" t="s">
        <v>292</v>
      </c>
      <c r="AF443" t="s">
        <v>292</v>
      </c>
      <c r="AG443" t="s">
        <v>292</v>
      </c>
      <c r="AH443" t="s">
        <v>292</v>
      </c>
      <c r="AI443" t="s">
        <v>293</v>
      </c>
      <c r="AJ443" t="s">
        <v>359</v>
      </c>
      <c r="AK443" t="s">
        <v>302</v>
      </c>
      <c r="AL443" t="s">
        <v>359</v>
      </c>
      <c r="AM443" t="s">
        <v>293</v>
      </c>
      <c r="AN443" t="s">
        <v>293</v>
      </c>
      <c r="AO443" t="s">
        <v>296</v>
      </c>
      <c r="AP443" t="s">
        <v>356</v>
      </c>
      <c r="AQ443" t="s">
        <v>293</v>
      </c>
      <c r="AR443" t="s">
        <v>292</v>
      </c>
      <c r="AS443" t="s">
        <v>293</v>
      </c>
      <c r="AT443" t="s">
        <v>293</v>
      </c>
      <c r="AU443" t="s">
        <v>364</v>
      </c>
      <c r="AV443" t="str">
        <f t="shared" si="14"/>
        <v>break</v>
      </c>
    </row>
    <row r="444" spans="1:48" x14ac:dyDescent="0.3">
      <c r="A444" t="s">
        <v>45</v>
      </c>
      <c r="B444" t="s">
        <v>51</v>
      </c>
      <c r="C444" t="s">
        <v>24</v>
      </c>
      <c r="D444" t="s">
        <v>29</v>
      </c>
      <c r="E444" t="str">
        <f t="shared" si="13"/>
        <v>P_X2G-ZSB-S_1U0</v>
      </c>
      <c r="F444" t="b">
        <v>1</v>
      </c>
      <c r="G444">
        <v>100</v>
      </c>
      <c r="H444">
        <v>1</v>
      </c>
      <c r="I444">
        <v>12393</v>
      </c>
      <c r="J444" s="49" t="s">
        <v>18</v>
      </c>
      <c r="L444" s="16" t="s">
        <v>272</v>
      </c>
      <c r="M444" s="16">
        <v>3</v>
      </c>
      <c r="N444" s="16" t="s">
        <v>277</v>
      </c>
      <c r="O444" s="16" t="s">
        <v>335</v>
      </c>
      <c r="P444" s="15" t="s">
        <v>282</v>
      </c>
      <c r="Q444" t="s">
        <v>371</v>
      </c>
      <c r="R444" t="s">
        <v>371</v>
      </c>
      <c r="S444" s="17" t="s">
        <v>371</v>
      </c>
      <c r="T444" s="16" t="s">
        <v>341</v>
      </c>
      <c r="U444" s="16" t="s">
        <v>340</v>
      </c>
      <c r="V444" s="15" t="s">
        <v>343</v>
      </c>
      <c r="W444" s="15" t="s">
        <v>344</v>
      </c>
      <c r="X444" s="17"/>
      <c r="Y444" t="s">
        <v>349</v>
      </c>
      <c r="Z444" t="s">
        <v>349</v>
      </c>
      <c r="AA444" t="s">
        <v>293</v>
      </c>
      <c r="AB444" t="s">
        <v>352</v>
      </c>
      <c r="AC444" t="s">
        <v>296</v>
      </c>
      <c r="AD444" t="s">
        <v>300</v>
      </c>
      <c r="AE444" t="s">
        <v>292</v>
      </c>
      <c r="AF444" t="s">
        <v>292</v>
      </c>
      <c r="AG444" t="s">
        <v>292</v>
      </c>
      <c r="AH444" t="s">
        <v>292</v>
      </c>
      <c r="AI444" t="s">
        <v>293</v>
      </c>
      <c r="AJ444" t="s">
        <v>302</v>
      </c>
      <c r="AK444" t="s">
        <v>302</v>
      </c>
      <c r="AL444" t="s">
        <v>359</v>
      </c>
      <c r="AM444" t="s">
        <v>293</v>
      </c>
      <c r="AN444" t="s">
        <v>293</v>
      </c>
      <c r="AO444" t="s">
        <v>297</v>
      </c>
      <c r="AP444" t="s">
        <v>298</v>
      </c>
      <c r="AQ444" t="s">
        <v>293</v>
      </c>
      <c r="AR444" t="s">
        <v>292</v>
      </c>
      <c r="AS444" t="s">
        <v>293</v>
      </c>
      <c r="AT444" t="s">
        <v>293</v>
      </c>
      <c r="AU444" t="s">
        <v>364</v>
      </c>
      <c r="AV444" t="str">
        <f t="shared" si="14"/>
        <v>break</v>
      </c>
    </row>
    <row r="445" spans="1:48" x14ac:dyDescent="0.3">
      <c r="A445" t="s">
        <v>45</v>
      </c>
      <c r="B445" t="s">
        <v>51</v>
      </c>
      <c r="C445" t="s">
        <v>32</v>
      </c>
      <c r="D445" t="s">
        <v>29</v>
      </c>
      <c r="E445" t="str">
        <f t="shared" si="13"/>
        <v>P_X2G-ZSB-S_3B9</v>
      </c>
      <c r="F445" t="b">
        <v>1</v>
      </c>
      <c r="G445">
        <v>100</v>
      </c>
      <c r="H445">
        <v>1</v>
      </c>
      <c r="I445">
        <v>14079</v>
      </c>
      <c r="J445" s="49" t="s">
        <v>18</v>
      </c>
      <c r="L445" s="16" t="s">
        <v>272</v>
      </c>
      <c r="M445" s="16">
        <v>3</v>
      </c>
      <c r="N445" s="16" t="s">
        <v>277</v>
      </c>
      <c r="O445" s="16" t="s">
        <v>335</v>
      </c>
      <c r="P445" s="15" t="s">
        <v>282</v>
      </c>
      <c r="Q445" t="s">
        <v>371</v>
      </c>
      <c r="R445" t="s">
        <v>371</v>
      </c>
      <c r="S445" s="17" t="s">
        <v>371</v>
      </c>
      <c r="T445" s="16" t="s">
        <v>341</v>
      </c>
      <c r="U445" s="16" t="s">
        <v>340</v>
      </c>
      <c r="V445" s="15" t="s">
        <v>343</v>
      </c>
      <c r="W445" s="15" t="s">
        <v>344</v>
      </c>
      <c r="X445" s="17"/>
      <c r="Y445" t="s">
        <v>349</v>
      </c>
      <c r="Z445" t="s">
        <v>349</v>
      </c>
      <c r="AA445" t="s">
        <v>293</v>
      </c>
      <c r="AB445" t="s">
        <v>353</v>
      </c>
      <c r="AC445" t="s">
        <v>296</v>
      </c>
      <c r="AD445" t="s">
        <v>300</v>
      </c>
      <c r="AE445" t="s">
        <v>292</v>
      </c>
      <c r="AF445" t="s">
        <v>292</v>
      </c>
      <c r="AG445" t="s">
        <v>292</v>
      </c>
      <c r="AH445" t="s">
        <v>292</v>
      </c>
      <c r="AI445" t="s">
        <v>293</v>
      </c>
      <c r="AJ445" t="s">
        <v>302</v>
      </c>
      <c r="AK445" t="s">
        <v>358</v>
      </c>
      <c r="AL445" t="s">
        <v>302</v>
      </c>
      <c r="AM445" t="s">
        <v>293</v>
      </c>
      <c r="AN445" t="s">
        <v>293</v>
      </c>
      <c r="AO445" t="s">
        <v>296</v>
      </c>
      <c r="AP445" t="s">
        <v>298</v>
      </c>
      <c r="AQ445" t="s">
        <v>293</v>
      </c>
      <c r="AR445" t="s">
        <v>292</v>
      </c>
      <c r="AS445" t="s">
        <v>363</v>
      </c>
      <c r="AT445" t="s">
        <v>293</v>
      </c>
      <c r="AU445" t="s">
        <v>364</v>
      </c>
      <c r="AV445" t="str">
        <f t="shared" si="14"/>
        <v>break</v>
      </c>
    </row>
    <row r="446" spans="1:48" x14ac:dyDescent="0.3">
      <c r="A446" t="s">
        <v>45</v>
      </c>
      <c r="B446" t="s">
        <v>51</v>
      </c>
      <c r="C446" t="s">
        <v>30</v>
      </c>
      <c r="D446" t="s">
        <v>29</v>
      </c>
      <c r="E446" t="str">
        <f t="shared" si="13"/>
        <v>P_X2G-ZSB-S_3X7</v>
      </c>
      <c r="F446" t="b">
        <v>1</v>
      </c>
      <c r="G446">
        <v>100</v>
      </c>
      <c r="H446">
        <v>1</v>
      </c>
      <c r="I446">
        <v>11117</v>
      </c>
      <c r="J446" s="49" t="s">
        <v>18</v>
      </c>
      <c r="L446" s="16" t="s">
        <v>272</v>
      </c>
      <c r="M446" s="16">
        <v>3</v>
      </c>
      <c r="N446" s="16" t="s">
        <v>277</v>
      </c>
      <c r="O446" s="16" t="s">
        <v>335</v>
      </c>
      <c r="P446" s="15" t="s">
        <v>282</v>
      </c>
      <c r="Q446" t="s">
        <v>371</v>
      </c>
      <c r="R446" t="s">
        <v>371</v>
      </c>
      <c r="S446" s="17" t="s">
        <v>371</v>
      </c>
      <c r="T446" s="16" t="s">
        <v>341</v>
      </c>
      <c r="U446" s="16" t="s">
        <v>340</v>
      </c>
      <c r="V446" s="15" t="s">
        <v>343</v>
      </c>
      <c r="W446" s="15" t="s">
        <v>344</v>
      </c>
      <c r="X446" s="17"/>
      <c r="Y446" t="s">
        <v>349</v>
      </c>
      <c r="Z446" t="s">
        <v>349</v>
      </c>
      <c r="AA446" t="s">
        <v>293</v>
      </c>
      <c r="AB446" t="s">
        <v>353</v>
      </c>
      <c r="AC446" t="s">
        <v>296</v>
      </c>
      <c r="AD446" t="s">
        <v>300</v>
      </c>
      <c r="AE446" t="s">
        <v>292</v>
      </c>
      <c r="AF446" t="s">
        <v>292</v>
      </c>
      <c r="AG446" t="s">
        <v>292</v>
      </c>
      <c r="AH446" t="s">
        <v>292</v>
      </c>
      <c r="AI446" t="s">
        <v>293</v>
      </c>
      <c r="AJ446" t="s">
        <v>302</v>
      </c>
      <c r="AK446" t="s">
        <v>358</v>
      </c>
      <c r="AL446" t="s">
        <v>302</v>
      </c>
      <c r="AM446" t="s">
        <v>293</v>
      </c>
      <c r="AN446" t="s">
        <v>293</v>
      </c>
      <c r="AO446" t="s">
        <v>296</v>
      </c>
      <c r="AP446" t="s">
        <v>298</v>
      </c>
      <c r="AQ446" t="s">
        <v>293</v>
      </c>
      <c r="AR446" t="s">
        <v>292</v>
      </c>
      <c r="AS446" t="s">
        <v>363</v>
      </c>
      <c r="AT446" t="s">
        <v>293</v>
      </c>
      <c r="AU446" t="s">
        <v>364</v>
      </c>
      <c r="AV446" t="str">
        <f t="shared" si="14"/>
        <v>break</v>
      </c>
    </row>
    <row r="447" spans="1:48" x14ac:dyDescent="0.3">
      <c r="A447" t="s">
        <v>45</v>
      </c>
      <c r="B447" t="s">
        <v>51</v>
      </c>
      <c r="C447" t="s">
        <v>33</v>
      </c>
      <c r="D447" t="s">
        <v>29</v>
      </c>
      <c r="E447" t="str">
        <f t="shared" si="13"/>
        <v>P_X2G-ZSB-S_8I8</v>
      </c>
      <c r="F447" t="b">
        <v>1</v>
      </c>
      <c r="G447">
        <v>100</v>
      </c>
      <c r="H447">
        <v>1</v>
      </c>
      <c r="I447">
        <v>15656</v>
      </c>
      <c r="J447" s="49" t="s">
        <v>18</v>
      </c>
      <c r="L447" s="16" t="s">
        <v>272</v>
      </c>
      <c r="M447" s="16">
        <v>3</v>
      </c>
      <c r="N447" s="16" t="s">
        <v>277</v>
      </c>
      <c r="O447" s="16" t="s">
        <v>335</v>
      </c>
      <c r="P447" s="15" t="s">
        <v>282</v>
      </c>
      <c r="Q447" t="s">
        <v>371</v>
      </c>
      <c r="R447" t="s">
        <v>371</v>
      </c>
      <c r="S447" s="17" t="s">
        <v>371</v>
      </c>
      <c r="T447" s="16" t="s">
        <v>341</v>
      </c>
      <c r="U447" s="16" t="s">
        <v>340</v>
      </c>
      <c r="V447" s="15" t="s">
        <v>343</v>
      </c>
      <c r="W447" s="15" t="s">
        <v>344</v>
      </c>
      <c r="X447" s="17"/>
      <c r="Y447" t="s">
        <v>349</v>
      </c>
      <c r="Z447" t="s">
        <v>349</v>
      </c>
      <c r="AA447" t="s">
        <v>293</v>
      </c>
      <c r="AB447" t="s">
        <v>353</v>
      </c>
      <c r="AC447" t="s">
        <v>296</v>
      </c>
      <c r="AD447" t="s">
        <v>300</v>
      </c>
      <c r="AE447" t="s">
        <v>292</v>
      </c>
      <c r="AF447" t="s">
        <v>292</v>
      </c>
      <c r="AG447" t="s">
        <v>292</v>
      </c>
      <c r="AH447" t="s">
        <v>292</v>
      </c>
      <c r="AI447" t="s">
        <v>293</v>
      </c>
      <c r="AJ447" t="s">
        <v>302</v>
      </c>
      <c r="AK447" t="s">
        <v>358</v>
      </c>
      <c r="AL447" t="s">
        <v>302</v>
      </c>
      <c r="AM447" t="s">
        <v>293</v>
      </c>
      <c r="AN447" t="s">
        <v>293</v>
      </c>
      <c r="AO447" t="s">
        <v>296</v>
      </c>
      <c r="AP447" t="s">
        <v>298</v>
      </c>
      <c r="AQ447" t="s">
        <v>293</v>
      </c>
      <c r="AR447" t="s">
        <v>292</v>
      </c>
      <c r="AS447" t="s">
        <v>363</v>
      </c>
      <c r="AT447" t="s">
        <v>293</v>
      </c>
      <c r="AU447" t="s">
        <v>364</v>
      </c>
      <c r="AV447" t="str">
        <f t="shared" si="14"/>
        <v>break</v>
      </c>
    </row>
    <row r="448" spans="1:48" x14ac:dyDescent="0.3">
      <c r="A448" t="s">
        <v>45</v>
      </c>
      <c r="B448" t="s">
        <v>51</v>
      </c>
      <c r="C448" t="s">
        <v>26</v>
      </c>
      <c r="D448" t="s">
        <v>29</v>
      </c>
      <c r="E448" t="str">
        <f t="shared" si="13"/>
        <v>P_X2G-ZSB-S_8O8</v>
      </c>
      <c r="F448" t="b">
        <v>1</v>
      </c>
      <c r="G448">
        <v>100</v>
      </c>
      <c r="H448">
        <v>1</v>
      </c>
      <c r="I448">
        <v>11142</v>
      </c>
      <c r="J448" s="49" t="s">
        <v>18</v>
      </c>
      <c r="L448" s="16" t="s">
        <v>272</v>
      </c>
      <c r="M448" s="16">
        <v>3</v>
      </c>
      <c r="N448" s="16" t="s">
        <v>277</v>
      </c>
      <c r="O448" s="16" t="s">
        <v>335</v>
      </c>
      <c r="P448" s="15" t="s">
        <v>283</v>
      </c>
      <c r="Q448" t="s">
        <v>282</v>
      </c>
      <c r="R448" t="s">
        <v>371</v>
      </c>
      <c r="S448" s="17" t="s">
        <v>371</v>
      </c>
      <c r="T448" s="16" t="s">
        <v>341</v>
      </c>
      <c r="U448" s="16" t="s">
        <v>340</v>
      </c>
      <c r="V448" s="15" t="s">
        <v>343</v>
      </c>
      <c r="W448" s="15" t="s">
        <v>291</v>
      </c>
      <c r="X448" s="17"/>
      <c r="Y448" t="s">
        <v>349</v>
      </c>
      <c r="Z448" t="s">
        <v>349</v>
      </c>
      <c r="AA448" t="s">
        <v>293</v>
      </c>
      <c r="AB448" t="s">
        <v>353</v>
      </c>
      <c r="AC448" t="s">
        <v>296</v>
      </c>
      <c r="AD448" t="s">
        <v>300</v>
      </c>
      <c r="AE448" t="s">
        <v>292</v>
      </c>
      <c r="AF448" t="s">
        <v>292</v>
      </c>
      <c r="AG448" t="s">
        <v>292</v>
      </c>
      <c r="AH448" t="s">
        <v>292</v>
      </c>
      <c r="AI448" t="s">
        <v>293</v>
      </c>
      <c r="AJ448" t="s">
        <v>359</v>
      </c>
      <c r="AK448" t="s">
        <v>302</v>
      </c>
      <c r="AL448" t="s">
        <v>359</v>
      </c>
      <c r="AM448" t="s">
        <v>293</v>
      </c>
      <c r="AN448" t="s">
        <v>293</v>
      </c>
      <c r="AO448" t="s">
        <v>296</v>
      </c>
      <c r="AP448" t="s">
        <v>356</v>
      </c>
      <c r="AQ448" t="s">
        <v>293</v>
      </c>
      <c r="AR448" t="s">
        <v>292</v>
      </c>
      <c r="AS448" t="s">
        <v>293</v>
      </c>
      <c r="AT448" t="s">
        <v>293</v>
      </c>
      <c r="AU448" t="s">
        <v>364</v>
      </c>
      <c r="AV448" t="str">
        <f t="shared" si="14"/>
        <v>break</v>
      </c>
    </row>
    <row r="449" spans="1:48" x14ac:dyDescent="0.3">
      <c r="A449" t="s">
        <v>45</v>
      </c>
      <c r="B449" t="s">
        <v>51</v>
      </c>
      <c r="C449" t="s">
        <v>31</v>
      </c>
      <c r="D449" t="s">
        <v>29</v>
      </c>
      <c r="E449" t="str">
        <f t="shared" si="13"/>
        <v>P_X2G-ZSB-S_9E0</v>
      </c>
      <c r="F449" t="b">
        <v>1</v>
      </c>
      <c r="G449">
        <v>100</v>
      </c>
      <c r="H449">
        <v>1</v>
      </c>
      <c r="I449">
        <v>12695</v>
      </c>
      <c r="J449" s="49" t="s">
        <v>18</v>
      </c>
      <c r="L449" s="16" t="s">
        <v>272</v>
      </c>
      <c r="M449" s="16">
        <v>3</v>
      </c>
      <c r="N449" s="16" t="s">
        <v>277</v>
      </c>
      <c r="O449" s="16" t="s">
        <v>335</v>
      </c>
      <c r="P449" s="15" t="s">
        <v>282</v>
      </c>
      <c r="Q449" t="s">
        <v>371</v>
      </c>
      <c r="R449" t="s">
        <v>371</v>
      </c>
      <c r="S449" s="17" t="s">
        <v>371</v>
      </c>
      <c r="T449" s="16" t="s">
        <v>341</v>
      </c>
      <c r="U449" s="16" t="s">
        <v>340</v>
      </c>
      <c r="V449" s="15" t="s">
        <v>343</v>
      </c>
      <c r="W449" s="15" t="s">
        <v>344</v>
      </c>
      <c r="X449" s="17"/>
      <c r="Y449" t="s">
        <v>349</v>
      </c>
      <c r="Z449" t="s">
        <v>349</v>
      </c>
      <c r="AA449" t="s">
        <v>293</v>
      </c>
      <c r="AB449" t="s">
        <v>353</v>
      </c>
      <c r="AC449" t="s">
        <v>296</v>
      </c>
      <c r="AD449" t="s">
        <v>300</v>
      </c>
      <c r="AE449" t="s">
        <v>292</v>
      </c>
      <c r="AF449" t="s">
        <v>292</v>
      </c>
      <c r="AG449" t="s">
        <v>292</v>
      </c>
      <c r="AH449" t="s">
        <v>292</v>
      </c>
      <c r="AI449" t="s">
        <v>293</v>
      </c>
      <c r="AJ449" t="s">
        <v>302</v>
      </c>
      <c r="AK449" t="s">
        <v>358</v>
      </c>
      <c r="AL449" t="s">
        <v>302</v>
      </c>
      <c r="AM449" t="s">
        <v>293</v>
      </c>
      <c r="AN449" t="s">
        <v>293</v>
      </c>
      <c r="AO449" t="s">
        <v>296</v>
      </c>
      <c r="AP449" t="s">
        <v>298</v>
      </c>
      <c r="AQ449" t="s">
        <v>293</v>
      </c>
      <c r="AR449" t="s">
        <v>292</v>
      </c>
      <c r="AS449" t="s">
        <v>363</v>
      </c>
      <c r="AT449" t="s">
        <v>293</v>
      </c>
      <c r="AU449" t="s">
        <v>364</v>
      </c>
      <c r="AV449" t="str">
        <f t="shared" si="14"/>
        <v>break</v>
      </c>
    </row>
    <row r="450" spans="1:48" x14ac:dyDescent="0.3">
      <c r="A450" t="s">
        <v>45</v>
      </c>
      <c r="B450" t="s">
        <v>51</v>
      </c>
      <c r="C450" t="s">
        <v>27</v>
      </c>
      <c r="D450" t="s">
        <v>29</v>
      </c>
      <c r="E450" t="str">
        <f t="shared" ref="E450:E460" si="15">B450&amp;"-"&amp;D450&amp;"-"&amp;C450</f>
        <v>P_X2G-ZSB-S_9F6</v>
      </c>
      <c r="F450" t="b">
        <v>1</v>
      </c>
      <c r="G450">
        <v>93.1</v>
      </c>
      <c r="H450">
        <v>0</v>
      </c>
      <c r="I450">
        <v>13574</v>
      </c>
      <c r="J450" s="49" t="s">
        <v>13</v>
      </c>
      <c r="L450" s="16" t="s">
        <v>272</v>
      </c>
      <c r="M450" s="16">
        <v>3</v>
      </c>
      <c r="N450" s="16" t="s">
        <v>277</v>
      </c>
      <c r="O450" s="16" t="s">
        <v>335</v>
      </c>
      <c r="P450" s="15" t="s">
        <v>283</v>
      </c>
      <c r="Q450" t="s">
        <v>282</v>
      </c>
      <c r="R450" t="s">
        <v>371</v>
      </c>
      <c r="S450" s="17" t="s">
        <v>371</v>
      </c>
      <c r="T450" s="16" t="s">
        <v>341</v>
      </c>
      <c r="U450" s="16" t="s">
        <v>340</v>
      </c>
      <c r="V450" s="15" t="s">
        <v>343</v>
      </c>
      <c r="W450" s="15" t="s">
        <v>344</v>
      </c>
      <c r="X450" s="17" t="s">
        <v>291</v>
      </c>
      <c r="Y450" t="s">
        <v>349</v>
      </c>
      <c r="Z450" t="s">
        <v>349</v>
      </c>
      <c r="AA450" t="s">
        <v>293</v>
      </c>
      <c r="AB450" t="s">
        <v>353</v>
      </c>
      <c r="AC450" t="s">
        <v>296</v>
      </c>
      <c r="AD450" t="s">
        <v>300</v>
      </c>
      <c r="AE450" t="s">
        <v>292</v>
      </c>
      <c r="AF450" t="s">
        <v>292</v>
      </c>
      <c r="AG450" t="s">
        <v>292</v>
      </c>
      <c r="AH450" t="s">
        <v>292</v>
      </c>
      <c r="AI450" t="s">
        <v>293</v>
      </c>
      <c r="AJ450" t="s">
        <v>359</v>
      </c>
      <c r="AK450" t="s">
        <v>302</v>
      </c>
      <c r="AL450" t="s">
        <v>359</v>
      </c>
      <c r="AM450" t="s">
        <v>293</v>
      </c>
      <c r="AN450" t="s">
        <v>293</v>
      </c>
      <c r="AO450" t="s">
        <v>296</v>
      </c>
      <c r="AP450" t="s">
        <v>356</v>
      </c>
      <c r="AQ450" t="s">
        <v>293</v>
      </c>
      <c r="AR450" t="s">
        <v>292</v>
      </c>
      <c r="AS450" t="s">
        <v>293</v>
      </c>
      <c r="AT450" t="s">
        <v>293</v>
      </c>
      <c r="AU450" t="s">
        <v>364</v>
      </c>
      <c r="AV450" t="str">
        <f t="shared" si="14"/>
        <v>no_fail</v>
      </c>
    </row>
    <row r="451" spans="1:48" x14ac:dyDescent="0.3">
      <c r="A451" t="s">
        <v>45</v>
      </c>
      <c r="B451" t="s">
        <v>51</v>
      </c>
      <c r="C451" t="s">
        <v>28</v>
      </c>
      <c r="D451" t="s">
        <v>29</v>
      </c>
      <c r="E451" t="str">
        <f t="shared" si="15"/>
        <v>P_X2G-ZSB-S_9T2</v>
      </c>
      <c r="F451" t="b">
        <v>1</v>
      </c>
      <c r="G451">
        <v>100</v>
      </c>
      <c r="H451">
        <v>1</v>
      </c>
      <c r="I451">
        <v>7428</v>
      </c>
      <c r="J451" s="49" t="s">
        <v>18</v>
      </c>
      <c r="L451" s="16" t="s">
        <v>272</v>
      </c>
      <c r="M451" s="16">
        <v>3</v>
      </c>
      <c r="N451" s="16" t="s">
        <v>277</v>
      </c>
      <c r="O451" s="16" t="s">
        <v>335</v>
      </c>
      <c r="P451" s="15" t="s">
        <v>339</v>
      </c>
      <c r="Q451" t="s">
        <v>282</v>
      </c>
      <c r="R451" t="s">
        <v>371</v>
      </c>
      <c r="S451" s="17" t="s">
        <v>371</v>
      </c>
      <c r="T451" s="16" t="s">
        <v>340</v>
      </c>
      <c r="U451" s="16" t="s">
        <v>340</v>
      </c>
      <c r="V451" s="15" t="s">
        <v>340</v>
      </c>
      <c r="W451" s="15" t="s">
        <v>348</v>
      </c>
      <c r="X451" s="17"/>
      <c r="Y451" t="s">
        <v>349</v>
      </c>
      <c r="Z451" t="s">
        <v>349</v>
      </c>
      <c r="AA451" t="s">
        <v>293</v>
      </c>
      <c r="AB451" t="s">
        <v>354</v>
      </c>
      <c r="AC451" t="s">
        <v>354</v>
      </c>
      <c r="AD451" t="s">
        <v>340</v>
      </c>
      <c r="AE451" t="s">
        <v>293</v>
      </c>
      <c r="AF451" t="s">
        <v>292</v>
      </c>
      <c r="AG451" t="s">
        <v>293</v>
      </c>
      <c r="AH451" t="s">
        <v>292</v>
      </c>
      <c r="AI451" t="s">
        <v>293</v>
      </c>
      <c r="AJ451" t="s">
        <v>302</v>
      </c>
      <c r="AK451" t="s">
        <v>358</v>
      </c>
      <c r="AL451" t="s">
        <v>358</v>
      </c>
      <c r="AM451" t="s">
        <v>293</v>
      </c>
      <c r="AN451" t="s">
        <v>293</v>
      </c>
      <c r="AO451" t="s">
        <v>296</v>
      </c>
      <c r="AP451" t="s">
        <v>356</v>
      </c>
      <c r="AQ451" t="s">
        <v>293</v>
      </c>
      <c r="AR451" t="s">
        <v>292</v>
      </c>
      <c r="AS451" t="s">
        <v>293</v>
      </c>
      <c r="AT451" t="s">
        <v>293</v>
      </c>
      <c r="AU451" t="s">
        <v>364</v>
      </c>
      <c r="AV451" t="str">
        <f t="shared" si="14"/>
        <v>break</v>
      </c>
    </row>
    <row r="452" spans="1:48" x14ac:dyDescent="0.3">
      <c r="A452" t="s">
        <v>9</v>
      </c>
      <c r="B452" t="s">
        <v>70</v>
      </c>
      <c r="C452" t="s">
        <v>14</v>
      </c>
      <c r="D452" t="s">
        <v>12</v>
      </c>
      <c r="E452" t="str">
        <f t="shared" si="15"/>
        <v>P_Z2A-KYY-S_1B0</v>
      </c>
      <c r="F452" t="b">
        <v>1</v>
      </c>
      <c r="G452">
        <v>100</v>
      </c>
      <c r="H452">
        <v>1</v>
      </c>
      <c r="I452">
        <v>15052</v>
      </c>
      <c r="J452" s="49" t="s">
        <v>18</v>
      </c>
      <c r="L452" s="16" t="s">
        <v>272</v>
      </c>
      <c r="M452" s="16">
        <v>3</v>
      </c>
      <c r="N452" s="16" t="s">
        <v>277</v>
      </c>
      <c r="O452" s="16" t="s">
        <v>335</v>
      </c>
      <c r="P452" s="15" t="s">
        <v>282</v>
      </c>
      <c r="Q452" t="s">
        <v>371</v>
      </c>
      <c r="R452" t="s">
        <v>371</v>
      </c>
      <c r="S452" s="17" t="s">
        <v>371</v>
      </c>
      <c r="T452" s="16" t="s">
        <v>341</v>
      </c>
      <c r="U452" s="16" t="s">
        <v>340</v>
      </c>
      <c r="V452" s="15" t="s">
        <v>343</v>
      </c>
      <c r="W452" s="15" t="s">
        <v>291</v>
      </c>
      <c r="X452" s="17"/>
      <c r="Y452" t="s">
        <v>349</v>
      </c>
      <c r="Z452" t="s">
        <v>349</v>
      </c>
      <c r="AA452" t="s">
        <v>293</v>
      </c>
      <c r="AB452" t="s">
        <v>353</v>
      </c>
      <c r="AC452" t="s">
        <v>296</v>
      </c>
      <c r="AD452" t="s">
        <v>301</v>
      </c>
      <c r="AE452" t="s">
        <v>293</v>
      </c>
      <c r="AF452" t="s">
        <v>292</v>
      </c>
      <c r="AG452" t="s">
        <v>293</v>
      </c>
      <c r="AH452" t="s">
        <v>292</v>
      </c>
      <c r="AI452" t="s">
        <v>293</v>
      </c>
      <c r="AJ452" t="s">
        <v>302</v>
      </c>
      <c r="AK452" t="s">
        <v>302</v>
      </c>
      <c r="AL452" t="s">
        <v>359</v>
      </c>
      <c r="AM452" t="s">
        <v>293</v>
      </c>
      <c r="AN452" t="s">
        <v>293</v>
      </c>
      <c r="AO452" t="s">
        <v>296</v>
      </c>
      <c r="AP452" t="s">
        <v>356</v>
      </c>
      <c r="AQ452" t="s">
        <v>293</v>
      </c>
      <c r="AR452" t="s">
        <v>292</v>
      </c>
      <c r="AS452" t="s">
        <v>293</v>
      </c>
      <c r="AT452" t="s">
        <v>293</v>
      </c>
      <c r="AU452" t="s">
        <v>364</v>
      </c>
      <c r="AV452" t="str">
        <f t="shared" si="14"/>
        <v>break</v>
      </c>
    </row>
    <row r="453" spans="1:48" x14ac:dyDescent="0.3">
      <c r="A453" t="s">
        <v>9</v>
      </c>
      <c r="B453" t="s">
        <v>70</v>
      </c>
      <c r="C453" t="s">
        <v>11</v>
      </c>
      <c r="D453" t="s">
        <v>12</v>
      </c>
      <c r="E453" t="str">
        <f t="shared" si="15"/>
        <v>P_Z2A-KYY-S_1Q4</v>
      </c>
      <c r="F453" t="b">
        <v>1</v>
      </c>
      <c r="G453">
        <v>100</v>
      </c>
      <c r="H453">
        <v>1</v>
      </c>
      <c r="I453">
        <v>15694</v>
      </c>
      <c r="J453" s="49" t="s">
        <v>18</v>
      </c>
      <c r="L453" s="16" t="s">
        <v>272</v>
      </c>
      <c r="M453" s="16">
        <v>3</v>
      </c>
      <c r="N453" s="16" t="s">
        <v>277</v>
      </c>
      <c r="O453" s="16" t="s">
        <v>335</v>
      </c>
      <c r="P453" s="15" t="s">
        <v>339</v>
      </c>
      <c r="Q453" t="s">
        <v>285</v>
      </c>
      <c r="R453" t="s">
        <v>282</v>
      </c>
      <c r="S453" s="17" t="s">
        <v>371</v>
      </c>
      <c r="T453" s="16" t="s">
        <v>341</v>
      </c>
      <c r="U453" s="16" t="s">
        <v>340</v>
      </c>
      <c r="V453" s="15" t="s">
        <v>343</v>
      </c>
      <c r="W453" s="15" t="s">
        <v>291</v>
      </c>
      <c r="X453" s="17"/>
      <c r="Y453" t="s">
        <v>349</v>
      </c>
      <c r="Z453" t="s">
        <v>349</v>
      </c>
      <c r="AA453" t="s">
        <v>293</v>
      </c>
      <c r="AB453" t="s">
        <v>353</v>
      </c>
      <c r="AC453" t="s">
        <v>296</v>
      </c>
      <c r="AD453" t="s">
        <v>301</v>
      </c>
      <c r="AE453" t="s">
        <v>293</v>
      </c>
      <c r="AF453" t="s">
        <v>292</v>
      </c>
      <c r="AG453" t="s">
        <v>293</v>
      </c>
      <c r="AH453" t="s">
        <v>292</v>
      </c>
      <c r="AI453" t="s">
        <v>293</v>
      </c>
      <c r="AJ453" t="s">
        <v>302</v>
      </c>
      <c r="AK453" t="s">
        <v>302</v>
      </c>
      <c r="AL453" t="s">
        <v>302</v>
      </c>
      <c r="AM453" t="s">
        <v>293</v>
      </c>
      <c r="AN453" t="s">
        <v>293</v>
      </c>
      <c r="AO453" t="s">
        <v>296</v>
      </c>
      <c r="AP453" t="s">
        <v>356</v>
      </c>
      <c r="AQ453" t="s">
        <v>293</v>
      </c>
      <c r="AR453" t="s">
        <v>292</v>
      </c>
      <c r="AS453" t="s">
        <v>293</v>
      </c>
      <c r="AT453" t="s">
        <v>293</v>
      </c>
      <c r="AU453" t="s">
        <v>364</v>
      </c>
      <c r="AV453" t="str">
        <f t="shared" si="14"/>
        <v>break</v>
      </c>
    </row>
    <row r="454" spans="1:48" x14ac:dyDescent="0.3">
      <c r="A454" t="s">
        <v>9</v>
      </c>
      <c r="B454" t="s">
        <v>70</v>
      </c>
      <c r="C454" t="s">
        <v>15</v>
      </c>
      <c r="D454" t="s">
        <v>29</v>
      </c>
      <c r="E454" t="str">
        <f t="shared" si="15"/>
        <v>P_Z2A-ZSB-S_0M4</v>
      </c>
      <c r="F454" t="b">
        <v>1</v>
      </c>
      <c r="G454">
        <v>100</v>
      </c>
      <c r="H454">
        <v>1</v>
      </c>
      <c r="I454">
        <v>16073</v>
      </c>
      <c r="J454" s="49" t="s">
        <v>18</v>
      </c>
      <c r="L454" s="16" t="s">
        <v>272</v>
      </c>
      <c r="M454" s="16">
        <v>3</v>
      </c>
      <c r="N454" s="16" t="s">
        <v>277</v>
      </c>
      <c r="O454" s="16" t="s">
        <v>335</v>
      </c>
      <c r="P454" s="15" t="s">
        <v>339</v>
      </c>
      <c r="Q454" t="s">
        <v>285</v>
      </c>
      <c r="R454" t="s">
        <v>282</v>
      </c>
      <c r="S454" s="17" t="s">
        <v>371</v>
      </c>
      <c r="T454" s="16" t="s">
        <v>341</v>
      </c>
      <c r="U454" s="16" t="s">
        <v>340</v>
      </c>
      <c r="V454" s="15" t="s">
        <v>343</v>
      </c>
      <c r="W454" s="15" t="s">
        <v>291</v>
      </c>
      <c r="X454" s="17"/>
      <c r="Y454" t="s">
        <v>349</v>
      </c>
      <c r="Z454" t="s">
        <v>349</v>
      </c>
      <c r="AA454" t="s">
        <v>293</v>
      </c>
      <c r="AB454" t="s">
        <v>352</v>
      </c>
      <c r="AC454" t="s">
        <v>297</v>
      </c>
      <c r="AD454" t="s">
        <v>301</v>
      </c>
      <c r="AE454" t="s">
        <v>293</v>
      </c>
      <c r="AF454" t="s">
        <v>292</v>
      </c>
      <c r="AG454" t="s">
        <v>292</v>
      </c>
      <c r="AH454" t="s">
        <v>292</v>
      </c>
      <c r="AI454" t="s">
        <v>293</v>
      </c>
      <c r="AJ454" t="s">
        <v>302</v>
      </c>
      <c r="AK454" t="s">
        <v>302</v>
      </c>
      <c r="AL454" t="s">
        <v>302</v>
      </c>
      <c r="AM454" t="s">
        <v>293</v>
      </c>
      <c r="AN454" t="s">
        <v>293</v>
      </c>
      <c r="AO454" t="s">
        <v>297</v>
      </c>
      <c r="AP454" t="s">
        <v>356</v>
      </c>
      <c r="AQ454" t="s">
        <v>293</v>
      </c>
      <c r="AR454" t="s">
        <v>292</v>
      </c>
      <c r="AS454" t="s">
        <v>293</v>
      </c>
      <c r="AT454" t="s">
        <v>293</v>
      </c>
      <c r="AU454" t="s">
        <v>364</v>
      </c>
      <c r="AV454" t="str">
        <f t="shared" si="14"/>
        <v>break</v>
      </c>
    </row>
    <row r="455" spans="1:48" x14ac:dyDescent="0.3">
      <c r="A455" t="s">
        <v>9</v>
      </c>
      <c r="B455" t="s">
        <v>70</v>
      </c>
      <c r="C455" t="s">
        <v>21</v>
      </c>
      <c r="D455" t="s">
        <v>29</v>
      </c>
      <c r="E455" t="str">
        <f t="shared" si="15"/>
        <v>P_Z2A-ZSB-S_3X6</v>
      </c>
      <c r="F455" t="b">
        <v>1</v>
      </c>
      <c r="G455">
        <v>57.8</v>
      </c>
      <c r="H455">
        <v>0</v>
      </c>
      <c r="I455">
        <v>16647</v>
      </c>
      <c r="J455" s="49" t="s">
        <v>13</v>
      </c>
      <c r="L455" s="16" t="s">
        <v>272</v>
      </c>
      <c r="M455" s="16">
        <v>3</v>
      </c>
      <c r="N455" s="16" t="s">
        <v>277</v>
      </c>
      <c r="O455" s="16" t="s">
        <v>335</v>
      </c>
      <c r="P455" s="15" t="s">
        <v>282</v>
      </c>
      <c r="Q455" t="s">
        <v>371</v>
      </c>
      <c r="R455" t="s">
        <v>371</v>
      </c>
      <c r="S455" s="17" t="s">
        <v>371</v>
      </c>
      <c r="T455" s="16" t="s">
        <v>341</v>
      </c>
      <c r="U455" s="16" t="s">
        <v>342</v>
      </c>
      <c r="V455" s="15" t="s">
        <v>343</v>
      </c>
      <c r="W455" s="15" t="s">
        <v>344</v>
      </c>
      <c r="X455" s="17" t="s">
        <v>347</v>
      </c>
      <c r="Y455" t="s">
        <v>349</v>
      </c>
      <c r="Z455" t="s">
        <v>349</v>
      </c>
      <c r="AA455" t="s">
        <v>293</v>
      </c>
      <c r="AB455" t="s">
        <v>353</v>
      </c>
      <c r="AC455" t="s">
        <v>297</v>
      </c>
      <c r="AD455" t="s">
        <v>301</v>
      </c>
      <c r="AE455" t="s">
        <v>293</v>
      </c>
      <c r="AF455" t="s">
        <v>292</v>
      </c>
      <c r="AG455" t="s">
        <v>292</v>
      </c>
      <c r="AH455" t="s">
        <v>293</v>
      </c>
      <c r="AI455" t="s">
        <v>293</v>
      </c>
      <c r="AJ455" t="s">
        <v>302</v>
      </c>
      <c r="AK455" t="s">
        <v>302</v>
      </c>
      <c r="AL455" t="s">
        <v>359</v>
      </c>
      <c r="AM455" t="s">
        <v>293</v>
      </c>
      <c r="AN455" t="s">
        <v>293</v>
      </c>
      <c r="AO455" t="s">
        <v>297</v>
      </c>
      <c r="AP455" t="s">
        <v>356</v>
      </c>
      <c r="AQ455" t="s">
        <v>293</v>
      </c>
      <c r="AR455" t="s">
        <v>292</v>
      </c>
      <c r="AS455" t="s">
        <v>293</v>
      </c>
      <c r="AT455" t="s">
        <v>293</v>
      </c>
      <c r="AU455" t="s">
        <v>364</v>
      </c>
      <c r="AV455" t="str">
        <f t="shared" si="14"/>
        <v>no_fail</v>
      </c>
    </row>
    <row r="456" spans="1:48" x14ac:dyDescent="0.3">
      <c r="A456" t="s">
        <v>9</v>
      </c>
      <c r="B456" t="s">
        <v>70</v>
      </c>
      <c r="C456" t="s">
        <v>19</v>
      </c>
      <c r="D456" t="s">
        <v>29</v>
      </c>
      <c r="E456" t="str">
        <f t="shared" si="15"/>
        <v>P_Z2A-ZSB-S_4U3</v>
      </c>
      <c r="F456" t="b">
        <v>1</v>
      </c>
      <c r="G456">
        <v>85.9</v>
      </c>
      <c r="H456">
        <v>0</v>
      </c>
      <c r="I456">
        <v>13494</v>
      </c>
      <c r="J456" s="49" t="s">
        <v>13</v>
      </c>
      <c r="L456" s="16" t="s">
        <v>272</v>
      </c>
      <c r="M456" s="16">
        <v>2</v>
      </c>
      <c r="N456" s="16" t="s">
        <v>277</v>
      </c>
      <c r="O456" s="16" t="s">
        <v>335</v>
      </c>
      <c r="P456" s="15" t="s">
        <v>282</v>
      </c>
      <c r="Q456" t="s">
        <v>371</v>
      </c>
      <c r="R456" t="s">
        <v>371</v>
      </c>
      <c r="S456" s="17" t="s">
        <v>371</v>
      </c>
      <c r="T456" s="16" t="s">
        <v>341</v>
      </c>
      <c r="U456" s="16" t="s">
        <v>340</v>
      </c>
      <c r="V456" s="15" t="s">
        <v>340</v>
      </c>
      <c r="W456" s="15" t="s">
        <v>344</v>
      </c>
      <c r="X456" s="17"/>
      <c r="Y456" t="s">
        <v>349</v>
      </c>
      <c r="Z456" t="s">
        <v>349</v>
      </c>
      <c r="AA456" t="s">
        <v>293</v>
      </c>
      <c r="AB456" t="s">
        <v>354</v>
      </c>
      <c r="AC456" t="s">
        <v>354</v>
      </c>
      <c r="AD456" t="s">
        <v>301</v>
      </c>
      <c r="AE456" t="s">
        <v>293</v>
      </c>
      <c r="AF456" t="s">
        <v>292</v>
      </c>
      <c r="AG456" t="s">
        <v>292</v>
      </c>
      <c r="AH456" t="s">
        <v>292</v>
      </c>
      <c r="AI456" t="s">
        <v>293</v>
      </c>
      <c r="AJ456" t="s">
        <v>302</v>
      </c>
      <c r="AK456" t="s">
        <v>302</v>
      </c>
      <c r="AL456" t="s">
        <v>357</v>
      </c>
      <c r="AM456" t="s">
        <v>293</v>
      </c>
      <c r="AN456" t="s">
        <v>293</v>
      </c>
      <c r="AO456" t="s">
        <v>297</v>
      </c>
      <c r="AP456" t="s">
        <v>356</v>
      </c>
      <c r="AQ456" t="s">
        <v>293</v>
      </c>
      <c r="AR456" t="s">
        <v>292</v>
      </c>
      <c r="AS456" t="s">
        <v>293</v>
      </c>
      <c r="AT456" t="s">
        <v>293</v>
      </c>
      <c r="AU456" t="s">
        <v>364</v>
      </c>
      <c r="AV456" t="str">
        <f t="shared" si="14"/>
        <v>no_fail</v>
      </c>
    </row>
    <row r="457" spans="1:48" x14ac:dyDescent="0.3">
      <c r="A457" t="s">
        <v>9</v>
      </c>
      <c r="B457" t="s">
        <v>70</v>
      </c>
      <c r="C457" t="s">
        <v>17</v>
      </c>
      <c r="D457" t="s">
        <v>29</v>
      </c>
      <c r="E457" t="str">
        <f t="shared" si="15"/>
        <v>P_Z2A-ZSB-S_6B5</v>
      </c>
      <c r="F457" t="b">
        <v>1</v>
      </c>
      <c r="G457">
        <v>85.9</v>
      </c>
      <c r="H457">
        <v>0</v>
      </c>
      <c r="I457">
        <v>16799</v>
      </c>
      <c r="J457" s="49" t="s">
        <v>13</v>
      </c>
      <c r="L457" s="16" t="s">
        <v>272</v>
      </c>
      <c r="M457" s="16">
        <v>3</v>
      </c>
      <c r="N457" s="16" t="s">
        <v>277</v>
      </c>
      <c r="O457" s="16" t="s">
        <v>335</v>
      </c>
      <c r="P457" s="15" t="s">
        <v>282</v>
      </c>
      <c r="Q457" t="s">
        <v>371</v>
      </c>
      <c r="R457" t="s">
        <v>371</v>
      </c>
      <c r="S457" s="17" t="s">
        <v>371</v>
      </c>
      <c r="T457" s="16" t="s">
        <v>341</v>
      </c>
      <c r="U457" s="16" t="s">
        <v>340</v>
      </c>
      <c r="V457" s="15" t="s">
        <v>340</v>
      </c>
      <c r="W457" s="15" t="s">
        <v>344</v>
      </c>
      <c r="X457" s="17"/>
      <c r="Y457" t="s">
        <v>349</v>
      </c>
      <c r="Z457" t="s">
        <v>349</v>
      </c>
      <c r="AA457" t="s">
        <v>293</v>
      </c>
      <c r="AB457" t="s">
        <v>354</v>
      </c>
      <c r="AC457" t="s">
        <v>354</v>
      </c>
      <c r="AD457" t="s">
        <v>301</v>
      </c>
      <c r="AE457" t="s">
        <v>293</v>
      </c>
      <c r="AF457" t="s">
        <v>292</v>
      </c>
      <c r="AG457" t="s">
        <v>292</v>
      </c>
      <c r="AH457" t="s">
        <v>292</v>
      </c>
      <c r="AI457" t="s">
        <v>293</v>
      </c>
      <c r="AJ457" t="s">
        <v>302</v>
      </c>
      <c r="AK457" t="s">
        <v>302</v>
      </c>
      <c r="AL457" t="s">
        <v>357</v>
      </c>
      <c r="AM457" t="s">
        <v>293</v>
      </c>
      <c r="AN457" t="s">
        <v>293</v>
      </c>
      <c r="AO457" t="s">
        <v>297</v>
      </c>
      <c r="AP457" t="s">
        <v>356</v>
      </c>
      <c r="AQ457" t="s">
        <v>293</v>
      </c>
      <c r="AR457" t="s">
        <v>292</v>
      </c>
      <c r="AS457" t="s">
        <v>293</v>
      </c>
      <c r="AT457" t="s">
        <v>293</v>
      </c>
      <c r="AU457" t="s">
        <v>364</v>
      </c>
      <c r="AV457" t="str">
        <f t="shared" si="14"/>
        <v>no_fail</v>
      </c>
    </row>
    <row r="458" spans="1:48" x14ac:dyDescent="0.3">
      <c r="A458" t="s">
        <v>9</v>
      </c>
      <c r="B458" t="s">
        <v>70</v>
      </c>
      <c r="C458" t="s">
        <v>16</v>
      </c>
      <c r="D458" t="s">
        <v>29</v>
      </c>
      <c r="E458" t="str">
        <f t="shared" si="15"/>
        <v>P_Z2A-ZSB-S_6U7</v>
      </c>
      <c r="F458" t="b">
        <v>1</v>
      </c>
      <c r="G458">
        <v>86.2</v>
      </c>
      <c r="H458">
        <v>0</v>
      </c>
      <c r="I458">
        <v>20585</v>
      </c>
      <c r="J458" s="49" t="s">
        <v>13</v>
      </c>
      <c r="L458" s="16" t="s">
        <v>272</v>
      </c>
      <c r="M458" s="16">
        <v>3</v>
      </c>
      <c r="N458" s="16" t="s">
        <v>277</v>
      </c>
      <c r="O458" s="16" t="s">
        <v>335</v>
      </c>
      <c r="P458" s="15" t="s">
        <v>282</v>
      </c>
      <c r="Q458" t="s">
        <v>371</v>
      </c>
      <c r="R458" t="s">
        <v>371</v>
      </c>
      <c r="S458" s="17" t="s">
        <v>371</v>
      </c>
      <c r="T458" s="16" t="s">
        <v>341</v>
      </c>
      <c r="U458" s="16" t="s">
        <v>340</v>
      </c>
      <c r="V458" s="15" t="s">
        <v>340</v>
      </c>
      <c r="W458" s="15" t="s">
        <v>344</v>
      </c>
      <c r="X458" s="17"/>
      <c r="Y458" t="s">
        <v>349</v>
      </c>
      <c r="Z458" t="s">
        <v>349</v>
      </c>
      <c r="AA458" t="s">
        <v>293</v>
      </c>
      <c r="AB458" t="s">
        <v>354</v>
      </c>
      <c r="AC458" t="s">
        <v>354</v>
      </c>
      <c r="AD458" t="s">
        <v>301</v>
      </c>
      <c r="AE458" t="s">
        <v>293</v>
      </c>
      <c r="AF458" t="s">
        <v>292</v>
      </c>
      <c r="AG458" t="s">
        <v>292</v>
      </c>
      <c r="AH458" t="s">
        <v>292</v>
      </c>
      <c r="AI458" t="s">
        <v>293</v>
      </c>
      <c r="AJ458" t="s">
        <v>302</v>
      </c>
      <c r="AK458" t="s">
        <v>302</v>
      </c>
      <c r="AL458" t="s">
        <v>357</v>
      </c>
      <c r="AM458" t="s">
        <v>293</v>
      </c>
      <c r="AN458" t="s">
        <v>293</v>
      </c>
      <c r="AO458" t="s">
        <v>296</v>
      </c>
      <c r="AP458" t="s">
        <v>356</v>
      </c>
      <c r="AQ458" t="s">
        <v>293</v>
      </c>
      <c r="AR458" t="s">
        <v>292</v>
      </c>
      <c r="AS458" t="s">
        <v>293</v>
      </c>
      <c r="AT458" t="s">
        <v>293</v>
      </c>
      <c r="AU458" t="s">
        <v>364</v>
      </c>
      <c r="AV458" t="str">
        <f t="shared" si="14"/>
        <v>no_fail</v>
      </c>
    </row>
    <row r="459" spans="1:48" x14ac:dyDescent="0.3">
      <c r="A459" t="s">
        <v>9</v>
      </c>
      <c r="B459" t="s">
        <v>70</v>
      </c>
      <c r="C459" t="s">
        <v>20</v>
      </c>
      <c r="D459" t="s">
        <v>29</v>
      </c>
      <c r="E459" t="str">
        <f t="shared" si="15"/>
        <v>P_Z2A-ZSB-S_7W0</v>
      </c>
      <c r="F459" t="b">
        <v>1</v>
      </c>
      <c r="G459">
        <v>55</v>
      </c>
      <c r="H459">
        <v>0</v>
      </c>
      <c r="I459">
        <v>15131</v>
      </c>
      <c r="J459" s="49" t="s">
        <v>13</v>
      </c>
      <c r="L459" s="16" t="s">
        <v>272</v>
      </c>
      <c r="M459" s="16">
        <v>3</v>
      </c>
      <c r="N459" s="16" t="s">
        <v>277</v>
      </c>
      <c r="O459" s="16" t="s">
        <v>335</v>
      </c>
      <c r="P459" s="15" t="s">
        <v>282</v>
      </c>
      <c r="Q459" t="s">
        <v>371</v>
      </c>
      <c r="R459" t="s">
        <v>371</v>
      </c>
      <c r="S459" s="17" t="s">
        <v>371</v>
      </c>
      <c r="T459" s="16" t="s">
        <v>341</v>
      </c>
      <c r="U459" s="16" t="s">
        <v>342</v>
      </c>
      <c r="V459" s="15" t="s">
        <v>343</v>
      </c>
      <c r="W459" s="15" t="s">
        <v>344</v>
      </c>
      <c r="X459" s="17" t="s">
        <v>291</v>
      </c>
      <c r="Y459" t="s">
        <v>349</v>
      </c>
      <c r="Z459" t="s">
        <v>349</v>
      </c>
      <c r="AA459" t="s">
        <v>293</v>
      </c>
      <c r="AB459" t="s">
        <v>353</v>
      </c>
      <c r="AC459" t="s">
        <v>297</v>
      </c>
      <c r="AD459" t="s">
        <v>301</v>
      </c>
      <c r="AE459" t="s">
        <v>293</v>
      </c>
      <c r="AF459" t="s">
        <v>292</v>
      </c>
      <c r="AG459" t="s">
        <v>292</v>
      </c>
      <c r="AH459" t="s">
        <v>293</v>
      </c>
      <c r="AI459" t="s">
        <v>293</v>
      </c>
      <c r="AJ459" t="s">
        <v>302</v>
      </c>
      <c r="AK459" t="s">
        <v>302</v>
      </c>
      <c r="AL459" t="s">
        <v>359</v>
      </c>
      <c r="AM459" t="s">
        <v>293</v>
      </c>
      <c r="AN459" t="s">
        <v>293</v>
      </c>
      <c r="AO459" t="s">
        <v>297</v>
      </c>
      <c r="AP459" t="s">
        <v>356</v>
      </c>
      <c r="AQ459" t="s">
        <v>293</v>
      </c>
      <c r="AR459" t="s">
        <v>292</v>
      </c>
      <c r="AS459" t="s">
        <v>293</v>
      </c>
      <c r="AT459" t="s">
        <v>293</v>
      </c>
      <c r="AU459" t="s">
        <v>364</v>
      </c>
      <c r="AV459" t="str">
        <f t="shared" si="14"/>
        <v>no_fail</v>
      </c>
    </row>
    <row r="460" spans="1:48" x14ac:dyDescent="0.3">
      <c r="A460" t="s">
        <v>9</v>
      </c>
      <c r="B460" t="s">
        <v>70</v>
      </c>
      <c r="C460" t="s">
        <v>22</v>
      </c>
      <c r="D460" t="s">
        <v>29</v>
      </c>
      <c r="E460" t="str">
        <f t="shared" si="15"/>
        <v>P_Z2A-ZSB-S_9B4</v>
      </c>
      <c r="F460" t="b">
        <v>1</v>
      </c>
      <c r="G460">
        <v>34.1</v>
      </c>
      <c r="H460">
        <v>0</v>
      </c>
      <c r="I460">
        <v>18024</v>
      </c>
      <c r="J460" s="49" t="s">
        <v>13</v>
      </c>
      <c r="L460" s="16" t="s">
        <v>272</v>
      </c>
      <c r="M460" s="16">
        <v>3</v>
      </c>
      <c r="N460" s="16" t="s">
        <v>277</v>
      </c>
      <c r="O460" s="16" t="s">
        <v>335</v>
      </c>
      <c r="P460" s="15" t="s">
        <v>282</v>
      </c>
      <c r="Q460" t="s">
        <v>371</v>
      </c>
      <c r="R460" t="s">
        <v>371</v>
      </c>
      <c r="S460" s="17" t="s">
        <v>371</v>
      </c>
      <c r="T460" s="16" t="s">
        <v>341</v>
      </c>
      <c r="U460" s="16" t="s">
        <v>340</v>
      </c>
      <c r="V460" s="15" t="s">
        <v>343</v>
      </c>
      <c r="W460" s="15" t="s">
        <v>344</v>
      </c>
      <c r="X460" s="17"/>
      <c r="Y460" t="s">
        <v>349</v>
      </c>
      <c r="Z460" t="s">
        <v>349</v>
      </c>
      <c r="AA460" t="s">
        <v>293</v>
      </c>
      <c r="AB460" t="s">
        <v>353</v>
      </c>
      <c r="AC460" t="s">
        <v>296</v>
      </c>
      <c r="AD460" t="s">
        <v>301</v>
      </c>
      <c r="AE460" t="s">
        <v>293</v>
      </c>
      <c r="AF460" t="s">
        <v>292</v>
      </c>
      <c r="AG460" t="s">
        <v>292</v>
      </c>
      <c r="AH460" t="s">
        <v>292</v>
      </c>
      <c r="AI460" t="s">
        <v>293</v>
      </c>
      <c r="AJ460" t="s">
        <v>302</v>
      </c>
      <c r="AK460" t="s">
        <v>302</v>
      </c>
      <c r="AL460" t="s">
        <v>359</v>
      </c>
      <c r="AM460" t="s">
        <v>293</v>
      </c>
      <c r="AN460" t="s">
        <v>293</v>
      </c>
      <c r="AO460" t="s">
        <v>297</v>
      </c>
      <c r="AP460" t="s">
        <v>356</v>
      </c>
      <c r="AQ460" t="s">
        <v>293</v>
      </c>
      <c r="AR460" t="s">
        <v>292</v>
      </c>
      <c r="AS460" t="s">
        <v>293</v>
      </c>
      <c r="AT460" t="s">
        <v>293</v>
      </c>
      <c r="AU460" t="s">
        <v>364</v>
      </c>
      <c r="AV460" t="str">
        <f t="shared" si="14"/>
        <v>no_fail</v>
      </c>
    </row>
    <row r="461" spans="1:48" ht="15" thickBot="1" x14ac:dyDescent="0.35"/>
    <row r="462" spans="1:48" x14ac:dyDescent="0.3">
      <c r="B462" s="42" t="s">
        <v>375</v>
      </c>
      <c r="C462" s="43">
        <v>1</v>
      </c>
    </row>
    <row r="463" spans="1:48" x14ac:dyDescent="0.3">
      <c r="B463" s="44" t="s">
        <v>374</v>
      </c>
      <c r="C463" s="45">
        <f>(COUNTA(T2:T460)-1)/460</f>
        <v>0.9956521739130435</v>
      </c>
    </row>
    <row r="464" spans="1:48" ht="15" thickBot="1" x14ac:dyDescent="0.35">
      <c r="B464" s="46" t="s">
        <v>376</v>
      </c>
      <c r="C464" s="47">
        <f>C462-C463</f>
        <v>4.3478260869564966E-3</v>
      </c>
    </row>
  </sheetData>
  <autoFilter ref="A1:AW460" xr:uid="{A5953812-56B8-4D7D-9A58-B0A19275D078}">
    <sortState xmlns:xlrd2="http://schemas.microsoft.com/office/spreadsheetml/2017/richdata2" ref="A2:AW460">
      <sortCondition ref="B1:B460"/>
    </sortState>
  </autoFilter>
  <phoneticPr fontId="8" type="noConversion"/>
  <conditionalFormatting sqref="C462:C46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{5C0AD0BE-F02B-4E35-9CFC-23E634BBFB9A}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0AD0BE-F02B-4E35-9CFC-23E634BBFB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C462:C464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 xr:uid="{BF69139B-BE73-4934-946F-2ED795C2CC39}">
          <x14:formula1>
            <xm:f>DimensionsEval!$H$2:$L$2</xm:f>
          </x14:formula1>
          <xm:sqref>L2:L460</xm:sqref>
        </x14:dataValidation>
        <x14:dataValidation type="list" allowBlank="1" showInputMessage="1" showErrorMessage="1" xr:uid="{B6085C00-6A38-4C31-BDDE-AFD40DF4C083}">
          <x14:formula1>
            <xm:f>DimensionsEval!$H$3:$K$3</xm:f>
          </x14:formula1>
          <xm:sqref>M2:M460</xm:sqref>
        </x14:dataValidation>
        <x14:dataValidation type="list" allowBlank="1" showInputMessage="1" showErrorMessage="1" xr:uid="{66F9C77C-3720-44A4-BD04-CEF79CB8E345}">
          <x14:formula1>
            <xm:f>DimensionsEval!$H$4:$J$4</xm:f>
          </x14:formula1>
          <xm:sqref>N2:N460</xm:sqref>
        </x14:dataValidation>
        <x14:dataValidation type="list" allowBlank="1" showInputMessage="1" showErrorMessage="1" xr:uid="{A8B327E1-0948-4C5D-81F1-157298C0DDA2}">
          <x14:formula1>
            <xm:f>DimensionsEval!$H$5:$N$5</xm:f>
          </x14:formula1>
          <xm:sqref>O2:O460</xm:sqref>
        </x14:dataValidation>
        <x14:dataValidation type="list" allowBlank="1" showInputMessage="1" showErrorMessage="1" xr:uid="{2E76D3DC-7D3A-4C6F-9474-19248F96796E}">
          <x14:formula1>
            <xm:f>DimensionsEval!$H$6:$R$6</xm:f>
          </x14:formula1>
          <xm:sqref>P2:S460</xm:sqref>
        </x14:dataValidation>
        <x14:dataValidation type="list" allowBlank="1" showInputMessage="1" showErrorMessage="1" xr:uid="{34D53431-09A8-4A3E-86A4-6C506BDA49D5}">
          <x14:formula1>
            <xm:f>DimensionsEval!$H$10:$J$10</xm:f>
          </x14:formula1>
          <xm:sqref>T2:T460</xm:sqref>
        </x14:dataValidation>
        <x14:dataValidation type="list" allowBlank="1" showInputMessage="1" showErrorMessage="1" xr:uid="{84549BFA-15D2-4623-84F9-F8DBD11954C5}">
          <x14:formula1>
            <xm:f>DimensionsEval!$H$11:$J$11</xm:f>
          </x14:formula1>
          <xm:sqref>U2:U460</xm:sqref>
        </x14:dataValidation>
        <x14:dataValidation type="list" allowBlank="1" showInputMessage="1" showErrorMessage="1" xr:uid="{20A05CD1-0460-41A1-9F03-F50285F680A2}">
          <x14:formula1>
            <xm:f>DimensionsEval!$H$12:$J$12</xm:f>
          </x14:formula1>
          <xm:sqref>V2:V460</xm:sqref>
        </x14:dataValidation>
        <x14:dataValidation type="list" allowBlank="1" showInputMessage="1" showErrorMessage="1" xr:uid="{39C361CA-D3AD-4F19-B169-1521B9032F55}">
          <x14:formula1>
            <xm:f>DimensionsEval!$H$13:$O$13</xm:f>
          </x14:formula1>
          <xm:sqref>W2:X460</xm:sqref>
        </x14:dataValidation>
        <x14:dataValidation type="list" allowBlank="1" showInputMessage="1" showErrorMessage="1" xr:uid="{5FC0FAAF-3B2C-409C-A03B-FE89A09E95C8}">
          <x14:formula1>
            <xm:f>DimensionsEval!$H$15:$J$15</xm:f>
          </x14:formula1>
          <xm:sqref>Y2:Z460</xm:sqref>
        </x14:dataValidation>
        <x14:dataValidation type="list" allowBlank="1" showInputMessage="1" showErrorMessage="1" xr:uid="{2EE9B6B9-F2F4-4181-8957-FF94181D3D39}">
          <x14:formula1>
            <xm:f>DimensionsEval!$H$17:$I$17</xm:f>
          </x14:formula1>
          <xm:sqref>AA2:AA460</xm:sqref>
        </x14:dataValidation>
        <x14:dataValidation type="list" allowBlank="1" showInputMessage="1" showErrorMessage="1" xr:uid="{7E555771-2F38-408A-B8F1-02C4F83EEA00}">
          <x14:formula1>
            <xm:f>DimensionsEval!$H$18:$L$18</xm:f>
          </x14:formula1>
          <xm:sqref>AB2:AB460</xm:sqref>
        </x14:dataValidation>
        <x14:dataValidation type="list" allowBlank="1" showInputMessage="1" showErrorMessage="1" xr:uid="{93801A1E-2FC8-49EA-8512-B99FDD57884B}">
          <x14:formula1>
            <xm:f>DimensionsEval!$H$19:$N$19</xm:f>
          </x14:formula1>
          <xm:sqref>AC2:AC460</xm:sqref>
        </x14:dataValidation>
        <x14:dataValidation type="list" allowBlank="1" showInputMessage="1" showErrorMessage="1" xr:uid="{4899C689-3747-4F1F-8B3A-B17DC9E7F25A}">
          <x14:formula1>
            <xm:f>DimensionsEval!$H$20:$K$20</xm:f>
          </x14:formula1>
          <xm:sqref>AD2:AD460</xm:sqref>
        </x14:dataValidation>
        <x14:dataValidation type="list" allowBlank="1" showInputMessage="1" showErrorMessage="1" xr:uid="{B2DFCB1B-83E5-43C5-A98C-66A9440420AF}">
          <x14:formula1>
            <xm:f>DimensionsEval!$H$21:$I$21</xm:f>
          </x14:formula1>
          <xm:sqref>AE2:AE460</xm:sqref>
        </x14:dataValidation>
        <x14:dataValidation type="list" allowBlank="1" showInputMessage="1" showErrorMessage="1" xr:uid="{A37941C0-A9EA-4DB1-B9E5-726B4FD785D0}">
          <x14:formula1>
            <xm:f>DimensionsEval!$H$22:$I$22</xm:f>
          </x14:formula1>
          <xm:sqref>AF2:AI460</xm:sqref>
        </x14:dataValidation>
        <x14:dataValidation type="list" allowBlank="1" showInputMessage="1" showErrorMessage="1" xr:uid="{9FF3F6BC-C247-4968-B158-2A70DB1B4374}">
          <x14:formula1>
            <xm:f>DimensionsEval!$H$26:$K$26</xm:f>
          </x14:formula1>
          <xm:sqref>AJ2:AL460</xm:sqref>
        </x14:dataValidation>
        <x14:dataValidation type="list" allowBlank="1" showInputMessage="1" showErrorMessage="1" xr:uid="{32B4CCF6-A545-4ADE-BFD9-DEC81600051B}">
          <x14:formula1>
            <xm:f>DimensionsEval!$H$29:$I$29</xm:f>
          </x14:formula1>
          <xm:sqref>AM2:AN460</xm:sqref>
        </x14:dataValidation>
        <x14:dataValidation type="list" allowBlank="1" showInputMessage="1" showErrorMessage="1" xr:uid="{94049332-7D9B-4DFE-A823-6578C86924A4}">
          <x14:formula1>
            <xm:f>DimensionsEval!$H$31:$M$31</xm:f>
          </x14:formula1>
          <xm:sqref>AO2:AO460</xm:sqref>
        </x14:dataValidation>
        <x14:dataValidation type="list" allowBlank="1" showInputMessage="1" showErrorMessage="1" xr:uid="{E84196DF-3709-49E8-89DC-D29964284C05}">
          <x14:formula1>
            <xm:f>DimensionsEval!$H$32:$J$32</xm:f>
          </x14:formula1>
          <xm:sqref>AP2:AP460</xm:sqref>
        </x14:dataValidation>
        <x14:dataValidation type="list" allowBlank="1" showInputMessage="1" showErrorMessage="1" xr:uid="{ED3D2BA7-9745-44FB-8E7C-F482BEE9C8EB}">
          <x14:formula1>
            <xm:f>DimensionsEval!$H$33:$J$33</xm:f>
          </x14:formula1>
          <xm:sqref>AQ2:AQ460</xm:sqref>
        </x14:dataValidation>
        <x14:dataValidation type="list" allowBlank="1" showInputMessage="1" showErrorMessage="1" xr:uid="{CBFB30E6-3FF7-447A-B6D9-1E004C6B0B7A}">
          <x14:formula1>
            <xm:f>DimensionsEval!$H$34:$I$34</xm:f>
          </x14:formula1>
          <xm:sqref>AR2:AR460</xm:sqref>
        </x14:dataValidation>
        <x14:dataValidation type="list" allowBlank="1" showInputMessage="1" showErrorMessage="1" xr:uid="{5C1AFDC2-DC3D-4A79-AF2F-F5046A79D223}">
          <x14:formula1>
            <xm:f>DimensionsEval!$H$35:$J$35</xm:f>
          </x14:formula1>
          <xm:sqref>AS2:AS460</xm:sqref>
        </x14:dataValidation>
        <x14:dataValidation type="list" allowBlank="1" showInputMessage="1" showErrorMessage="1" xr:uid="{0FD7578E-1467-4034-9D37-57073C02F5C0}">
          <x14:formula1>
            <xm:f>DimensionsEval!$H$36:$I$36</xm:f>
          </x14:formula1>
          <xm:sqref>AT2:AT460</xm:sqref>
        </x14:dataValidation>
        <x14:dataValidation type="list" allowBlank="1" showInputMessage="1" showErrorMessage="1" xr:uid="{E3CB7E21-B279-4294-8049-A87D0FFDB7B0}">
          <x14:formula1>
            <xm:f>DimensionsEval!$H$37:$L$37</xm:f>
          </x14:formula1>
          <xm:sqref>AU2:AU460</xm:sqref>
        </x14:dataValidation>
        <x14:dataValidation type="list" allowBlank="1" showInputMessage="1" showErrorMessage="1" xr:uid="{BFD0487E-58EB-4A64-B926-5C17A9DB8AAF}">
          <x14:formula1>
            <xm:f>DimensionsEval!$H$38:$J$38</xm:f>
          </x14:formula1>
          <xm:sqref>AV2:AV460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3BF3-B8BB-4F11-AE79-4DC473ECAE84}">
  <sheetPr>
    <tabColor theme="5" tint="0.39997558519241921"/>
  </sheetPr>
  <dimension ref="A1:AY101"/>
  <sheetViews>
    <sheetView topLeftCell="B1" workbookViewId="0">
      <pane xSplit="4" ySplit="1" topLeftCell="AL75" activePane="bottomRight" state="frozen"/>
      <selection activeCell="B1" sqref="B1"/>
      <selection pane="topRight" activeCell="F1" sqref="F1"/>
      <selection pane="bottomLeft" activeCell="B2" sqref="B2"/>
      <selection pane="bottomRight" activeCell="AP113" sqref="AP113"/>
    </sheetView>
  </sheetViews>
  <sheetFormatPr defaultRowHeight="14.4" x14ac:dyDescent="0.3"/>
  <cols>
    <col min="11" max="11" width="2.33203125" customWidth="1"/>
    <col min="12" max="12" width="9.33203125" bestFit="1" customWidth="1"/>
    <col min="13" max="13" width="18.33203125" bestFit="1" customWidth="1"/>
    <col min="14" max="15" width="15.5546875" bestFit="1" customWidth="1"/>
    <col min="16" max="19" width="16.6640625" bestFit="1" customWidth="1"/>
    <col min="20" max="20" width="22" bestFit="1" customWidth="1"/>
    <col min="21" max="21" width="25.33203125" bestFit="1" customWidth="1"/>
    <col min="22" max="22" width="22.88671875" bestFit="1" customWidth="1"/>
    <col min="23" max="24" width="18.109375" bestFit="1" customWidth="1"/>
    <col min="25" max="26" width="13.5546875" bestFit="1" customWidth="1"/>
    <col min="27" max="27" width="13.33203125" bestFit="1" customWidth="1"/>
    <col min="28" max="28" width="19" bestFit="1" customWidth="1"/>
    <col min="29" max="29" width="17.33203125" bestFit="1" customWidth="1"/>
    <col min="30" max="30" width="14" bestFit="1" customWidth="1"/>
    <col min="31" max="31" width="14.44140625" bestFit="1" customWidth="1"/>
    <col min="32" max="32" width="18.88671875" bestFit="1" customWidth="1"/>
    <col min="33" max="33" width="15.33203125" bestFit="1" customWidth="1"/>
    <col min="34" max="34" width="14.33203125" bestFit="1" customWidth="1"/>
    <col min="35" max="35" width="15" bestFit="1" customWidth="1"/>
    <col min="36" max="36" width="23.6640625" bestFit="1" customWidth="1"/>
    <col min="37" max="37" width="24.6640625" bestFit="1" customWidth="1"/>
    <col min="38" max="38" width="24.109375" bestFit="1" customWidth="1"/>
    <col min="39" max="39" width="15.6640625" bestFit="1" customWidth="1"/>
    <col min="40" max="40" width="15.109375" bestFit="1" customWidth="1"/>
    <col min="41" max="41" width="28.44140625" bestFit="1" customWidth="1"/>
    <col min="42" max="42" width="25.6640625" bestFit="1" customWidth="1"/>
    <col min="43" max="43" width="14.5546875" bestFit="1" customWidth="1"/>
    <col min="44" max="44" width="13.88671875" bestFit="1" customWidth="1"/>
    <col min="45" max="45" width="15.5546875" bestFit="1" customWidth="1"/>
    <col min="46" max="46" width="11.6640625" bestFit="1" customWidth="1"/>
    <col min="47" max="47" width="13" bestFit="1" customWidth="1"/>
    <col min="48" max="48" width="9.8867187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684</v>
      </c>
      <c r="F1" s="50" t="s">
        <v>4</v>
      </c>
      <c r="G1" s="51" t="s">
        <v>5</v>
      </c>
      <c r="H1" s="51" t="s">
        <v>6</v>
      </c>
      <c r="I1" s="51" t="s">
        <v>7</v>
      </c>
      <c r="J1" s="52" t="s">
        <v>8</v>
      </c>
      <c r="K1" s="52"/>
      <c r="L1" s="53" t="s">
        <v>196</v>
      </c>
      <c r="M1" s="30" t="s">
        <v>197</v>
      </c>
      <c r="N1" s="53" t="s">
        <v>198</v>
      </c>
      <c r="O1" s="53" t="s">
        <v>199</v>
      </c>
      <c r="P1" s="53" t="s">
        <v>200</v>
      </c>
      <c r="Q1" s="53" t="s">
        <v>202</v>
      </c>
      <c r="R1" s="53" t="s">
        <v>203</v>
      </c>
      <c r="S1" s="53" t="s">
        <v>208</v>
      </c>
      <c r="T1" s="14" t="s">
        <v>204</v>
      </c>
      <c r="U1" s="19" t="s">
        <v>205</v>
      </c>
      <c r="V1" s="14" t="s">
        <v>206</v>
      </c>
      <c r="W1" s="19" t="s">
        <v>201</v>
      </c>
      <c r="X1" s="18" t="s">
        <v>207</v>
      </c>
      <c r="Y1" s="21" t="s">
        <v>209</v>
      </c>
      <c r="Z1" s="21" t="s">
        <v>210</v>
      </c>
      <c r="AA1" s="21" t="s">
        <v>211</v>
      </c>
      <c r="AB1" s="21" t="s">
        <v>212</v>
      </c>
      <c r="AC1" s="21" t="s">
        <v>213</v>
      </c>
      <c r="AD1" s="23" t="s">
        <v>214</v>
      </c>
      <c r="AE1" s="23" t="s">
        <v>215</v>
      </c>
      <c r="AF1" s="23" t="s">
        <v>216</v>
      </c>
      <c r="AG1" s="23" t="s">
        <v>217</v>
      </c>
      <c r="AH1" s="23" t="s">
        <v>218</v>
      </c>
      <c r="AI1" s="23" t="s">
        <v>219</v>
      </c>
      <c r="AJ1" s="54" t="s">
        <v>220</v>
      </c>
      <c r="AK1" s="54" t="s">
        <v>221</v>
      </c>
      <c r="AL1" s="54" t="s">
        <v>222</v>
      </c>
      <c r="AM1" s="54" t="s">
        <v>223</v>
      </c>
      <c r="AN1" s="54" t="s">
        <v>224</v>
      </c>
      <c r="AO1" s="23" t="s">
        <v>225</v>
      </c>
      <c r="AP1" s="23" t="s">
        <v>226</v>
      </c>
      <c r="AQ1" s="21" t="s">
        <v>227</v>
      </c>
      <c r="AR1" s="21" t="s">
        <v>228</v>
      </c>
      <c r="AS1" s="21" t="s">
        <v>270</v>
      </c>
      <c r="AT1" s="21" t="s">
        <v>229</v>
      </c>
      <c r="AU1" s="21" t="s">
        <v>230</v>
      </c>
      <c r="AV1" s="21" t="s">
        <v>231</v>
      </c>
      <c r="AW1" s="21" t="s">
        <v>369</v>
      </c>
      <c r="AX1" s="2" t="s">
        <v>382</v>
      </c>
      <c r="AY1" s="2" t="s">
        <v>383</v>
      </c>
    </row>
    <row r="2" spans="1:51" x14ac:dyDescent="0.3">
      <c r="A2" t="s">
        <v>381</v>
      </c>
      <c r="B2" t="s">
        <v>288</v>
      </c>
      <c r="C2" t="s">
        <v>678</v>
      </c>
      <c r="D2" t="s">
        <v>288</v>
      </c>
      <c r="E2" t="str">
        <f t="shared" ref="E2:E33" si="0">C2</f>
        <v>0QJQe</v>
      </c>
      <c r="F2" t="b">
        <v>1</v>
      </c>
      <c r="G2">
        <v>58.5</v>
      </c>
      <c r="H2">
        <f t="shared" ref="H2:H33" si="1">IF(G2=100,1,0)</f>
        <v>0</v>
      </c>
      <c r="I2">
        <v>11152</v>
      </c>
      <c r="J2" t="s">
        <v>13</v>
      </c>
      <c r="L2" t="s">
        <v>272</v>
      </c>
      <c r="M2">
        <v>3</v>
      </c>
      <c r="N2" t="s">
        <v>277</v>
      </c>
      <c r="O2" t="s">
        <v>335</v>
      </c>
      <c r="P2" t="s">
        <v>282</v>
      </c>
      <c r="Q2" t="s">
        <v>281</v>
      </c>
      <c r="R2" t="s">
        <v>371</v>
      </c>
      <c r="S2" t="s">
        <v>371</v>
      </c>
      <c r="T2" t="s">
        <v>341</v>
      </c>
      <c r="U2" t="s">
        <v>340</v>
      </c>
      <c r="V2" t="s">
        <v>343</v>
      </c>
      <c r="W2" t="s">
        <v>345</v>
      </c>
      <c r="X2" s="17"/>
      <c r="Y2" t="s">
        <v>349</v>
      </c>
      <c r="Z2" t="s">
        <v>349</v>
      </c>
      <c r="AA2" t="s">
        <v>293</v>
      </c>
      <c r="AB2" t="s">
        <v>685</v>
      </c>
      <c r="AC2" t="s">
        <v>297</v>
      </c>
      <c r="AD2" t="s">
        <v>301</v>
      </c>
      <c r="AE2" t="s">
        <v>292</v>
      </c>
      <c r="AF2" t="s">
        <v>293</v>
      </c>
      <c r="AG2" t="s">
        <v>292</v>
      </c>
      <c r="AH2" t="s">
        <v>293</v>
      </c>
      <c r="AI2" t="s">
        <v>293</v>
      </c>
      <c r="AJ2" t="s">
        <v>302</v>
      </c>
      <c r="AK2" t="s">
        <v>302</v>
      </c>
      <c r="AL2" t="s">
        <v>359</v>
      </c>
      <c r="AM2" t="s">
        <v>293</v>
      </c>
      <c r="AN2" t="s">
        <v>293</v>
      </c>
      <c r="AO2" t="s">
        <v>297</v>
      </c>
      <c r="AP2" t="s">
        <v>298</v>
      </c>
      <c r="AQ2" t="s">
        <v>293</v>
      </c>
      <c r="AR2" t="s">
        <v>292</v>
      </c>
      <c r="AS2" t="s">
        <v>293</v>
      </c>
      <c r="AT2" t="s">
        <v>293</v>
      </c>
      <c r="AU2" t="s">
        <v>364</v>
      </c>
      <c r="AV2" t="str">
        <f>IF(G2=100,"break", IF(J2="fail", "car_water", "no_fail"))</f>
        <v>no_fail</v>
      </c>
      <c r="AX2" t="s">
        <v>679</v>
      </c>
      <c r="AY2" t="s">
        <v>680</v>
      </c>
    </row>
    <row r="3" spans="1:51" x14ac:dyDescent="0.3">
      <c r="A3" t="s">
        <v>381</v>
      </c>
      <c r="B3" t="s">
        <v>288</v>
      </c>
      <c r="C3" t="s">
        <v>561</v>
      </c>
      <c r="D3" t="s">
        <v>288</v>
      </c>
      <c r="E3" t="str">
        <f t="shared" si="0"/>
        <v>0QpXj</v>
      </c>
      <c r="F3" t="b">
        <v>1</v>
      </c>
      <c r="G3">
        <v>56</v>
      </c>
      <c r="H3">
        <f t="shared" si="1"/>
        <v>0</v>
      </c>
      <c r="I3">
        <v>12663</v>
      </c>
      <c r="J3" t="s">
        <v>13</v>
      </c>
      <c r="L3" t="s">
        <v>272</v>
      </c>
      <c r="M3">
        <v>3</v>
      </c>
      <c r="N3" t="s">
        <v>277</v>
      </c>
      <c r="O3" t="s">
        <v>335</v>
      </c>
      <c r="P3" t="s">
        <v>281</v>
      </c>
      <c r="Q3" t="s">
        <v>283</v>
      </c>
      <c r="R3" t="s">
        <v>282</v>
      </c>
      <c r="S3" t="s">
        <v>371</v>
      </c>
      <c r="T3" t="s">
        <v>341</v>
      </c>
      <c r="U3" t="s">
        <v>340</v>
      </c>
      <c r="V3" t="s">
        <v>343</v>
      </c>
      <c r="W3" t="s">
        <v>345</v>
      </c>
      <c r="X3" s="17" t="s">
        <v>344</v>
      </c>
      <c r="Y3" t="s">
        <v>349</v>
      </c>
      <c r="Z3" t="s">
        <v>349</v>
      </c>
      <c r="AA3" t="s">
        <v>293</v>
      </c>
      <c r="AB3" t="s">
        <v>353</v>
      </c>
      <c r="AC3" t="s">
        <v>296</v>
      </c>
      <c r="AD3" t="s">
        <v>301</v>
      </c>
      <c r="AE3" t="s">
        <v>292</v>
      </c>
      <c r="AF3" t="s">
        <v>293</v>
      </c>
      <c r="AG3" t="s">
        <v>292</v>
      </c>
      <c r="AH3" t="s">
        <v>292</v>
      </c>
      <c r="AI3" t="s">
        <v>293</v>
      </c>
      <c r="AJ3" t="s">
        <v>302</v>
      </c>
      <c r="AK3" t="s">
        <v>302</v>
      </c>
      <c r="AL3" t="s">
        <v>359</v>
      </c>
      <c r="AM3" t="s">
        <v>293</v>
      </c>
      <c r="AN3" t="s">
        <v>293</v>
      </c>
      <c r="AO3" t="s">
        <v>297</v>
      </c>
      <c r="AP3" t="s">
        <v>298</v>
      </c>
      <c r="AQ3" t="s">
        <v>293</v>
      </c>
      <c r="AR3" t="s">
        <v>292</v>
      </c>
      <c r="AS3" t="s">
        <v>293</v>
      </c>
      <c r="AT3" t="s">
        <v>293</v>
      </c>
      <c r="AU3" t="s">
        <v>364</v>
      </c>
      <c r="AV3" t="str">
        <f t="shared" ref="AV3:AV66" si="2">IF(G3=100,"break", IF(J3="fail", "car_water", "no_fail"))</f>
        <v>no_fail</v>
      </c>
      <c r="AX3" t="s">
        <v>562</v>
      </c>
      <c r="AY3" t="s">
        <v>563</v>
      </c>
    </row>
    <row r="4" spans="1:51" x14ac:dyDescent="0.3">
      <c r="A4" t="s">
        <v>381</v>
      </c>
      <c r="B4" t="s">
        <v>288</v>
      </c>
      <c r="C4" t="s">
        <v>660</v>
      </c>
      <c r="D4" t="s">
        <v>288</v>
      </c>
      <c r="E4" t="str">
        <f t="shared" si="0"/>
        <v>1ppo0</v>
      </c>
      <c r="F4" t="b">
        <v>1</v>
      </c>
      <c r="G4">
        <v>91.6</v>
      </c>
      <c r="H4">
        <f t="shared" si="1"/>
        <v>0</v>
      </c>
      <c r="I4">
        <v>11036</v>
      </c>
      <c r="J4" t="s">
        <v>13</v>
      </c>
      <c r="L4" t="s">
        <v>272</v>
      </c>
      <c r="M4">
        <v>3</v>
      </c>
      <c r="N4" t="s">
        <v>277</v>
      </c>
      <c r="O4" t="s">
        <v>335</v>
      </c>
      <c r="P4" t="s">
        <v>282</v>
      </c>
      <c r="Q4" t="s">
        <v>371</v>
      </c>
      <c r="R4" t="s">
        <v>371</v>
      </c>
      <c r="S4" t="s">
        <v>371</v>
      </c>
      <c r="T4" t="s">
        <v>340</v>
      </c>
      <c r="U4" t="s">
        <v>342</v>
      </c>
      <c r="V4" t="s">
        <v>343</v>
      </c>
      <c r="W4" t="s">
        <v>344</v>
      </c>
      <c r="X4" s="17"/>
      <c r="Y4" t="s">
        <v>350</v>
      </c>
      <c r="Z4" t="s">
        <v>349</v>
      </c>
      <c r="AA4" t="s">
        <v>293</v>
      </c>
      <c r="AB4" t="s">
        <v>353</v>
      </c>
      <c r="AC4" t="s">
        <v>297</v>
      </c>
      <c r="AD4" t="s">
        <v>300</v>
      </c>
      <c r="AE4" t="s">
        <v>292</v>
      </c>
      <c r="AF4" t="s">
        <v>293</v>
      </c>
      <c r="AG4" t="s">
        <v>292</v>
      </c>
      <c r="AH4" t="s">
        <v>293</v>
      </c>
      <c r="AI4" t="s">
        <v>293</v>
      </c>
      <c r="AJ4" t="s">
        <v>302</v>
      </c>
      <c r="AK4" t="s">
        <v>302</v>
      </c>
      <c r="AL4" t="s">
        <v>359</v>
      </c>
      <c r="AM4" t="s">
        <v>293</v>
      </c>
      <c r="AN4" t="s">
        <v>293</v>
      </c>
      <c r="AO4" t="s">
        <v>297</v>
      </c>
      <c r="AP4" t="s">
        <v>298</v>
      </c>
      <c r="AQ4" t="s">
        <v>293</v>
      </c>
      <c r="AR4" t="s">
        <v>292</v>
      </c>
      <c r="AS4" t="s">
        <v>293</v>
      </c>
      <c r="AT4" t="s">
        <v>293</v>
      </c>
      <c r="AU4" t="s">
        <v>364</v>
      </c>
      <c r="AV4" t="str">
        <f t="shared" si="2"/>
        <v>no_fail</v>
      </c>
      <c r="AX4" t="s">
        <v>661</v>
      </c>
      <c r="AY4" t="s">
        <v>662</v>
      </c>
    </row>
    <row r="5" spans="1:51" x14ac:dyDescent="0.3">
      <c r="A5" t="s">
        <v>381</v>
      </c>
      <c r="B5" t="s">
        <v>288</v>
      </c>
      <c r="C5" t="s">
        <v>444</v>
      </c>
      <c r="D5" t="s">
        <v>288</v>
      </c>
      <c r="E5" t="str">
        <f t="shared" si="0"/>
        <v>1qe8G</v>
      </c>
      <c r="F5" t="b">
        <v>1</v>
      </c>
      <c r="G5">
        <v>48.5</v>
      </c>
      <c r="H5">
        <f t="shared" si="1"/>
        <v>0</v>
      </c>
      <c r="I5">
        <v>12524</v>
      </c>
      <c r="J5" t="s">
        <v>13</v>
      </c>
      <c r="L5" t="s">
        <v>272</v>
      </c>
      <c r="M5">
        <v>3</v>
      </c>
      <c r="N5" t="s">
        <v>277</v>
      </c>
      <c r="O5" t="s">
        <v>335</v>
      </c>
      <c r="P5" t="s">
        <v>282</v>
      </c>
      <c r="Q5" t="s">
        <v>371</v>
      </c>
      <c r="R5" t="s">
        <v>371</v>
      </c>
      <c r="S5" t="s">
        <v>371</v>
      </c>
      <c r="T5" t="s">
        <v>341</v>
      </c>
      <c r="U5" t="s">
        <v>340</v>
      </c>
      <c r="V5" t="s">
        <v>343</v>
      </c>
      <c r="W5" t="s">
        <v>344</v>
      </c>
      <c r="X5" s="17"/>
      <c r="Y5" t="s">
        <v>349</v>
      </c>
      <c r="Z5" t="s">
        <v>349</v>
      </c>
      <c r="AA5" t="s">
        <v>293</v>
      </c>
      <c r="AB5" t="s">
        <v>353</v>
      </c>
      <c r="AC5" t="s">
        <v>355</v>
      </c>
      <c r="AD5" t="s">
        <v>300</v>
      </c>
      <c r="AE5" t="s">
        <v>292</v>
      </c>
      <c r="AF5" t="s">
        <v>293</v>
      </c>
      <c r="AG5" t="s">
        <v>292</v>
      </c>
      <c r="AH5" t="s">
        <v>292</v>
      </c>
      <c r="AI5" t="s">
        <v>293</v>
      </c>
      <c r="AJ5" t="s">
        <v>302</v>
      </c>
      <c r="AK5" t="s">
        <v>302</v>
      </c>
      <c r="AL5" t="s">
        <v>359</v>
      </c>
      <c r="AM5" t="s">
        <v>293</v>
      </c>
      <c r="AN5" t="s">
        <v>293</v>
      </c>
      <c r="AO5" t="s">
        <v>297</v>
      </c>
      <c r="AP5" t="s">
        <v>298</v>
      </c>
      <c r="AQ5" t="s">
        <v>293</v>
      </c>
      <c r="AR5" t="s">
        <v>292</v>
      </c>
      <c r="AS5" t="s">
        <v>293</v>
      </c>
      <c r="AT5" t="s">
        <v>293</v>
      </c>
      <c r="AU5" t="s">
        <v>364</v>
      </c>
      <c r="AV5" t="str">
        <f t="shared" si="2"/>
        <v>no_fail</v>
      </c>
      <c r="AX5" t="s">
        <v>445</v>
      </c>
      <c r="AY5" t="s">
        <v>446</v>
      </c>
    </row>
    <row r="6" spans="1:51" x14ac:dyDescent="0.3">
      <c r="A6" t="s">
        <v>381</v>
      </c>
      <c r="B6" t="s">
        <v>288</v>
      </c>
      <c r="C6" t="s">
        <v>549</v>
      </c>
      <c r="D6" t="s">
        <v>288</v>
      </c>
      <c r="E6" t="str">
        <f t="shared" si="0"/>
        <v>2qlDd</v>
      </c>
      <c r="F6" t="b">
        <v>1</v>
      </c>
      <c r="G6">
        <v>88.7</v>
      </c>
      <c r="H6">
        <f t="shared" si="1"/>
        <v>0</v>
      </c>
      <c r="I6">
        <v>9863</v>
      </c>
      <c r="J6" t="s">
        <v>13</v>
      </c>
      <c r="L6" t="s">
        <v>272</v>
      </c>
      <c r="M6">
        <v>3</v>
      </c>
      <c r="N6" t="s">
        <v>277</v>
      </c>
      <c r="O6" t="s">
        <v>335</v>
      </c>
      <c r="P6" t="s">
        <v>282</v>
      </c>
      <c r="Q6" t="s">
        <v>371</v>
      </c>
      <c r="R6" t="s">
        <v>371</v>
      </c>
      <c r="S6" t="s">
        <v>371</v>
      </c>
      <c r="T6" t="s">
        <v>341</v>
      </c>
      <c r="U6" t="s">
        <v>342</v>
      </c>
      <c r="V6" t="s">
        <v>343</v>
      </c>
      <c r="W6" t="s">
        <v>345</v>
      </c>
      <c r="X6" s="17"/>
      <c r="Y6" t="s">
        <v>349</v>
      </c>
      <c r="Z6" t="s">
        <v>349</v>
      </c>
      <c r="AA6" t="s">
        <v>293</v>
      </c>
      <c r="AB6" t="s">
        <v>353</v>
      </c>
      <c r="AC6" t="s">
        <v>297</v>
      </c>
      <c r="AD6" t="s">
        <v>300</v>
      </c>
      <c r="AE6" t="s">
        <v>292</v>
      </c>
      <c r="AF6" t="s">
        <v>293</v>
      </c>
      <c r="AG6" t="s">
        <v>292</v>
      </c>
      <c r="AH6" t="s">
        <v>293</v>
      </c>
      <c r="AI6" t="s">
        <v>293</v>
      </c>
      <c r="AJ6" t="s">
        <v>302</v>
      </c>
      <c r="AK6" t="s">
        <v>302</v>
      </c>
      <c r="AL6" t="s">
        <v>359</v>
      </c>
      <c r="AM6" t="s">
        <v>293</v>
      </c>
      <c r="AN6" t="s">
        <v>293</v>
      </c>
      <c r="AO6" t="s">
        <v>297</v>
      </c>
      <c r="AP6" t="s">
        <v>298</v>
      </c>
      <c r="AQ6" t="s">
        <v>293</v>
      </c>
      <c r="AR6" t="s">
        <v>292</v>
      </c>
      <c r="AS6" t="s">
        <v>293</v>
      </c>
      <c r="AT6" t="s">
        <v>293</v>
      </c>
      <c r="AU6" t="s">
        <v>364</v>
      </c>
      <c r="AV6" t="str">
        <f t="shared" si="2"/>
        <v>no_fail</v>
      </c>
      <c r="AX6" t="s">
        <v>550</v>
      </c>
      <c r="AY6" t="s">
        <v>551</v>
      </c>
    </row>
    <row r="7" spans="1:51" x14ac:dyDescent="0.3">
      <c r="A7" t="s">
        <v>381</v>
      </c>
      <c r="B7" t="s">
        <v>288</v>
      </c>
      <c r="C7" t="s">
        <v>486</v>
      </c>
      <c r="D7" t="s">
        <v>288</v>
      </c>
      <c r="E7" t="str">
        <f t="shared" si="0"/>
        <v>339l9</v>
      </c>
      <c r="F7" t="b">
        <v>1</v>
      </c>
      <c r="G7">
        <v>84.9</v>
      </c>
      <c r="H7">
        <f t="shared" si="1"/>
        <v>0</v>
      </c>
      <c r="I7">
        <v>8310</v>
      </c>
      <c r="J7" t="s">
        <v>13</v>
      </c>
      <c r="L7" t="s">
        <v>272</v>
      </c>
      <c r="M7">
        <v>3</v>
      </c>
      <c r="N7" t="s">
        <v>277</v>
      </c>
      <c r="O7" t="s">
        <v>335</v>
      </c>
      <c r="P7" t="s">
        <v>285</v>
      </c>
      <c r="Q7" t="s">
        <v>282</v>
      </c>
      <c r="R7" t="s">
        <v>371</v>
      </c>
      <c r="S7" t="s">
        <v>371</v>
      </c>
      <c r="T7" t="s">
        <v>341</v>
      </c>
      <c r="U7" t="s">
        <v>342</v>
      </c>
      <c r="V7" t="s">
        <v>343</v>
      </c>
      <c r="W7" t="s">
        <v>345</v>
      </c>
      <c r="X7" s="17"/>
      <c r="Y7" t="s">
        <v>349</v>
      </c>
      <c r="Z7" t="s">
        <v>349</v>
      </c>
      <c r="AA7" t="s">
        <v>293</v>
      </c>
      <c r="AB7" t="s">
        <v>353</v>
      </c>
      <c r="AC7" t="s">
        <v>297</v>
      </c>
      <c r="AD7" t="s">
        <v>300</v>
      </c>
      <c r="AE7" t="s">
        <v>292</v>
      </c>
      <c r="AF7" t="s">
        <v>293</v>
      </c>
      <c r="AG7" t="s">
        <v>292</v>
      </c>
      <c r="AH7" t="s">
        <v>293</v>
      </c>
      <c r="AI7" t="s">
        <v>293</v>
      </c>
      <c r="AJ7" t="s">
        <v>302</v>
      </c>
      <c r="AK7" t="s">
        <v>302</v>
      </c>
      <c r="AL7" t="s">
        <v>359</v>
      </c>
      <c r="AM7" t="s">
        <v>293</v>
      </c>
      <c r="AN7" t="s">
        <v>293</v>
      </c>
      <c r="AO7" t="s">
        <v>297</v>
      </c>
      <c r="AP7" t="s">
        <v>298</v>
      </c>
      <c r="AQ7" t="s">
        <v>293</v>
      </c>
      <c r="AR7" t="s">
        <v>292</v>
      </c>
      <c r="AS7" t="s">
        <v>293</v>
      </c>
      <c r="AT7" t="s">
        <v>293</v>
      </c>
      <c r="AU7" t="s">
        <v>364</v>
      </c>
      <c r="AV7" t="str">
        <f t="shared" si="2"/>
        <v>no_fail</v>
      </c>
      <c r="AX7" t="s">
        <v>487</v>
      </c>
      <c r="AY7" t="s">
        <v>488</v>
      </c>
    </row>
    <row r="8" spans="1:51" x14ac:dyDescent="0.3">
      <c r="A8" t="s">
        <v>381</v>
      </c>
      <c r="B8" t="s">
        <v>288</v>
      </c>
      <c r="C8" t="s">
        <v>510</v>
      </c>
      <c r="D8" t="s">
        <v>288</v>
      </c>
      <c r="E8" t="str">
        <f t="shared" si="0"/>
        <v>45Pq6</v>
      </c>
      <c r="F8" t="b">
        <v>1</v>
      </c>
      <c r="G8">
        <v>100</v>
      </c>
      <c r="H8">
        <f t="shared" si="1"/>
        <v>1</v>
      </c>
      <c r="I8">
        <v>15102</v>
      </c>
      <c r="J8" t="s">
        <v>18</v>
      </c>
      <c r="L8" t="s">
        <v>272</v>
      </c>
      <c r="M8">
        <v>2</v>
      </c>
      <c r="N8" t="s">
        <v>277</v>
      </c>
      <c r="O8" t="s">
        <v>335</v>
      </c>
      <c r="P8" t="s">
        <v>283</v>
      </c>
      <c r="Q8" t="s">
        <v>284</v>
      </c>
      <c r="R8" t="s">
        <v>371</v>
      </c>
      <c r="S8" t="s">
        <v>371</v>
      </c>
      <c r="T8" t="s">
        <v>341</v>
      </c>
      <c r="U8" t="s">
        <v>340</v>
      </c>
      <c r="V8" t="s">
        <v>340</v>
      </c>
      <c r="W8" t="s">
        <v>291</v>
      </c>
      <c r="X8" s="17"/>
      <c r="Y8" t="s">
        <v>349</v>
      </c>
      <c r="Z8" t="s">
        <v>349</v>
      </c>
      <c r="AA8" t="s">
        <v>293</v>
      </c>
      <c r="AB8" t="s">
        <v>354</v>
      </c>
      <c r="AC8" t="s">
        <v>354</v>
      </c>
      <c r="AD8" t="s">
        <v>301</v>
      </c>
      <c r="AE8" t="s">
        <v>292</v>
      </c>
      <c r="AF8" t="s">
        <v>293</v>
      </c>
      <c r="AG8" t="s">
        <v>292</v>
      </c>
      <c r="AH8" t="s">
        <v>292</v>
      </c>
      <c r="AI8" t="s">
        <v>293</v>
      </c>
      <c r="AJ8" t="s">
        <v>302</v>
      </c>
      <c r="AK8" t="s">
        <v>302</v>
      </c>
      <c r="AL8" t="s">
        <v>357</v>
      </c>
      <c r="AM8" t="s">
        <v>293</v>
      </c>
      <c r="AN8" t="s">
        <v>293</v>
      </c>
      <c r="AO8" t="s">
        <v>296</v>
      </c>
      <c r="AP8" t="s">
        <v>298</v>
      </c>
      <c r="AQ8" t="s">
        <v>293</v>
      </c>
      <c r="AR8" t="s">
        <v>292</v>
      </c>
      <c r="AS8" t="s">
        <v>293</v>
      </c>
      <c r="AT8" t="s">
        <v>293</v>
      </c>
      <c r="AU8" t="s">
        <v>364</v>
      </c>
      <c r="AV8" t="str">
        <f t="shared" si="2"/>
        <v>break</v>
      </c>
      <c r="AX8" t="s">
        <v>511</v>
      </c>
      <c r="AY8" t="s">
        <v>512</v>
      </c>
    </row>
    <row r="9" spans="1:51" x14ac:dyDescent="0.3">
      <c r="A9" t="s">
        <v>381</v>
      </c>
      <c r="B9" t="s">
        <v>288</v>
      </c>
      <c r="C9" t="s">
        <v>627</v>
      </c>
      <c r="D9" t="s">
        <v>288</v>
      </c>
      <c r="E9" t="str">
        <f t="shared" si="0"/>
        <v>4Ld2q</v>
      </c>
      <c r="F9" t="b">
        <v>1</v>
      </c>
      <c r="G9">
        <v>60.4</v>
      </c>
      <c r="H9">
        <f t="shared" si="1"/>
        <v>0</v>
      </c>
      <c r="I9">
        <v>23683</v>
      </c>
      <c r="J9" t="s">
        <v>13</v>
      </c>
      <c r="L9" t="s">
        <v>272</v>
      </c>
      <c r="M9">
        <v>2</v>
      </c>
      <c r="N9" t="s">
        <v>277</v>
      </c>
      <c r="O9" t="s">
        <v>335</v>
      </c>
      <c r="P9" t="s">
        <v>282</v>
      </c>
      <c r="Q9" t="s">
        <v>371</v>
      </c>
      <c r="R9" t="s">
        <v>371</v>
      </c>
      <c r="S9" t="s">
        <v>371</v>
      </c>
      <c r="T9" t="s">
        <v>341</v>
      </c>
      <c r="U9" t="s">
        <v>340</v>
      </c>
      <c r="V9" t="s">
        <v>340</v>
      </c>
      <c r="W9" t="s">
        <v>377</v>
      </c>
      <c r="X9" s="17"/>
      <c r="Y9" t="s">
        <v>349</v>
      </c>
      <c r="Z9" t="s">
        <v>349</v>
      </c>
      <c r="AA9" t="s">
        <v>293</v>
      </c>
      <c r="AB9" t="s">
        <v>354</v>
      </c>
      <c r="AC9" t="s">
        <v>354</v>
      </c>
      <c r="AD9" t="s">
        <v>300</v>
      </c>
      <c r="AE9" t="s">
        <v>293</v>
      </c>
      <c r="AF9" t="s">
        <v>292</v>
      </c>
      <c r="AG9" t="s">
        <v>293</v>
      </c>
      <c r="AH9" t="s">
        <v>292</v>
      </c>
      <c r="AI9" t="s">
        <v>293</v>
      </c>
      <c r="AJ9" t="s">
        <v>302</v>
      </c>
      <c r="AK9" t="s">
        <v>302</v>
      </c>
      <c r="AL9" t="s">
        <v>357</v>
      </c>
      <c r="AM9" t="s">
        <v>293</v>
      </c>
      <c r="AN9" t="s">
        <v>293</v>
      </c>
      <c r="AO9" t="s">
        <v>296</v>
      </c>
      <c r="AP9" t="s">
        <v>356</v>
      </c>
      <c r="AQ9" t="s">
        <v>293</v>
      </c>
      <c r="AR9" t="s">
        <v>292</v>
      </c>
      <c r="AS9" t="s">
        <v>293</v>
      </c>
      <c r="AT9" t="s">
        <v>293</v>
      </c>
      <c r="AU9" t="s">
        <v>364</v>
      </c>
      <c r="AV9" t="str">
        <f t="shared" si="2"/>
        <v>no_fail</v>
      </c>
      <c r="AX9" t="s">
        <v>628</v>
      </c>
      <c r="AY9" t="s">
        <v>629</v>
      </c>
    </row>
    <row r="10" spans="1:51" x14ac:dyDescent="0.3">
      <c r="A10" t="s">
        <v>381</v>
      </c>
      <c r="B10" t="s">
        <v>288</v>
      </c>
      <c r="C10" t="s">
        <v>564</v>
      </c>
      <c r="D10" t="s">
        <v>288</v>
      </c>
      <c r="E10" t="str">
        <f t="shared" si="0"/>
        <v>4XWll</v>
      </c>
      <c r="F10" t="b">
        <v>1</v>
      </c>
      <c r="G10">
        <v>99.6</v>
      </c>
      <c r="H10">
        <f t="shared" si="1"/>
        <v>0</v>
      </c>
      <c r="I10">
        <v>7781</v>
      </c>
      <c r="J10" t="s">
        <v>13</v>
      </c>
      <c r="L10" t="s">
        <v>272</v>
      </c>
      <c r="M10">
        <v>3</v>
      </c>
      <c r="N10" t="s">
        <v>277</v>
      </c>
      <c r="O10" t="s">
        <v>335</v>
      </c>
      <c r="P10" t="s">
        <v>282</v>
      </c>
      <c r="Q10" t="s">
        <v>371</v>
      </c>
      <c r="R10" t="s">
        <v>371</v>
      </c>
      <c r="S10" t="s">
        <v>371</v>
      </c>
      <c r="T10" t="s">
        <v>341</v>
      </c>
      <c r="U10" t="s">
        <v>342</v>
      </c>
      <c r="V10" t="s">
        <v>343</v>
      </c>
      <c r="W10" t="s">
        <v>345</v>
      </c>
      <c r="X10" s="17"/>
      <c r="Y10" t="s">
        <v>349</v>
      </c>
      <c r="Z10" t="s">
        <v>349</v>
      </c>
      <c r="AA10" t="s">
        <v>293</v>
      </c>
      <c r="AB10" t="s">
        <v>294</v>
      </c>
      <c r="AC10" t="s">
        <v>297</v>
      </c>
      <c r="AD10" t="s">
        <v>299</v>
      </c>
      <c r="AE10" t="s">
        <v>292</v>
      </c>
      <c r="AF10" t="s">
        <v>293</v>
      </c>
      <c r="AG10" t="s">
        <v>292</v>
      </c>
      <c r="AH10" t="s">
        <v>293</v>
      </c>
      <c r="AI10" t="s">
        <v>293</v>
      </c>
      <c r="AJ10" t="s">
        <v>302</v>
      </c>
      <c r="AK10" t="s">
        <v>302</v>
      </c>
      <c r="AL10" t="s">
        <v>359</v>
      </c>
      <c r="AM10" t="s">
        <v>293</v>
      </c>
      <c r="AN10" t="s">
        <v>293</v>
      </c>
      <c r="AO10" t="s">
        <v>297</v>
      </c>
      <c r="AP10" t="s">
        <v>298</v>
      </c>
      <c r="AQ10" t="s">
        <v>360</v>
      </c>
      <c r="AR10" t="s">
        <v>292</v>
      </c>
      <c r="AS10" t="s">
        <v>362</v>
      </c>
      <c r="AT10" t="s">
        <v>293</v>
      </c>
      <c r="AU10" t="s">
        <v>364</v>
      </c>
      <c r="AV10" t="str">
        <f t="shared" si="2"/>
        <v>no_fail</v>
      </c>
      <c r="AX10" t="s">
        <v>565</v>
      </c>
      <c r="AY10" t="s">
        <v>566</v>
      </c>
    </row>
    <row r="11" spans="1:51" x14ac:dyDescent="0.3">
      <c r="A11" t="s">
        <v>381</v>
      </c>
      <c r="B11" t="s">
        <v>288</v>
      </c>
      <c r="C11" t="s">
        <v>630</v>
      </c>
      <c r="D11" t="s">
        <v>288</v>
      </c>
      <c r="E11" t="str">
        <f t="shared" si="0"/>
        <v>5G1B5</v>
      </c>
      <c r="F11" t="b">
        <v>1</v>
      </c>
      <c r="G11">
        <v>100</v>
      </c>
      <c r="H11">
        <f t="shared" si="1"/>
        <v>1</v>
      </c>
      <c r="I11">
        <v>15843</v>
      </c>
      <c r="J11" t="s">
        <v>18</v>
      </c>
      <c r="L11" t="s">
        <v>272</v>
      </c>
      <c r="M11">
        <v>3</v>
      </c>
      <c r="N11" t="s">
        <v>277</v>
      </c>
      <c r="O11" t="s">
        <v>335</v>
      </c>
      <c r="P11" t="s">
        <v>284</v>
      </c>
      <c r="Q11" t="s">
        <v>282</v>
      </c>
      <c r="R11" t="s">
        <v>371</v>
      </c>
      <c r="S11" t="s">
        <v>371</v>
      </c>
      <c r="T11" t="s">
        <v>341</v>
      </c>
      <c r="U11" t="s">
        <v>340</v>
      </c>
      <c r="V11" t="s">
        <v>340</v>
      </c>
      <c r="W11" t="s">
        <v>344</v>
      </c>
      <c r="X11" s="17" t="s">
        <v>291</v>
      </c>
      <c r="Y11" t="s">
        <v>349</v>
      </c>
      <c r="Z11" t="s">
        <v>349</v>
      </c>
      <c r="AA11" t="s">
        <v>293</v>
      </c>
      <c r="AB11" t="s">
        <v>354</v>
      </c>
      <c r="AC11" t="s">
        <v>354</v>
      </c>
      <c r="AD11" t="s">
        <v>301</v>
      </c>
      <c r="AE11" t="s">
        <v>292</v>
      </c>
      <c r="AF11" t="s">
        <v>292</v>
      </c>
      <c r="AG11" t="s">
        <v>292</v>
      </c>
      <c r="AH11" t="s">
        <v>292</v>
      </c>
      <c r="AI11" t="s">
        <v>293</v>
      </c>
      <c r="AJ11" t="s">
        <v>302</v>
      </c>
      <c r="AK11" t="s">
        <v>358</v>
      </c>
      <c r="AL11" t="s">
        <v>358</v>
      </c>
      <c r="AM11" t="s">
        <v>293</v>
      </c>
      <c r="AN11" t="s">
        <v>293</v>
      </c>
      <c r="AO11" t="s">
        <v>296</v>
      </c>
      <c r="AP11" t="s">
        <v>356</v>
      </c>
      <c r="AQ11" t="s">
        <v>293</v>
      </c>
      <c r="AR11" t="s">
        <v>292</v>
      </c>
      <c r="AS11" t="s">
        <v>293</v>
      </c>
      <c r="AT11" t="s">
        <v>293</v>
      </c>
      <c r="AU11" t="s">
        <v>364</v>
      </c>
      <c r="AV11" t="str">
        <f t="shared" si="2"/>
        <v>break</v>
      </c>
      <c r="AX11" t="s">
        <v>631</v>
      </c>
      <c r="AY11" t="s">
        <v>632</v>
      </c>
    </row>
    <row r="12" spans="1:51" x14ac:dyDescent="0.3">
      <c r="A12" t="s">
        <v>381</v>
      </c>
      <c r="B12" t="s">
        <v>288</v>
      </c>
      <c r="C12" t="s">
        <v>519</v>
      </c>
      <c r="D12" t="s">
        <v>288</v>
      </c>
      <c r="E12" t="str">
        <f t="shared" si="0"/>
        <v>5Xo9p</v>
      </c>
      <c r="F12" t="b">
        <v>1</v>
      </c>
      <c r="G12">
        <v>90.8</v>
      </c>
      <c r="H12">
        <f t="shared" si="1"/>
        <v>0</v>
      </c>
      <c r="I12">
        <v>7689</v>
      </c>
      <c r="J12" t="s">
        <v>13</v>
      </c>
      <c r="L12" t="s">
        <v>272</v>
      </c>
      <c r="M12">
        <v>3</v>
      </c>
      <c r="N12" t="s">
        <v>277</v>
      </c>
      <c r="O12" t="s">
        <v>335</v>
      </c>
      <c r="P12" t="s">
        <v>282</v>
      </c>
      <c r="Q12" t="s">
        <v>371</v>
      </c>
      <c r="R12" t="s">
        <v>371</v>
      </c>
      <c r="S12" t="s">
        <v>371</v>
      </c>
      <c r="T12" t="s">
        <v>341</v>
      </c>
      <c r="U12" t="s">
        <v>342</v>
      </c>
      <c r="V12" t="s">
        <v>343</v>
      </c>
      <c r="W12" t="s">
        <v>345</v>
      </c>
      <c r="X12" s="17"/>
      <c r="Y12" t="s">
        <v>350</v>
      </c>
      <c r="Z12" t="s">
        <v>349</v>
      </c>
      <c r="AA12" t="s">
        <v>293</v>
      </c>
      <c r="AB12" t="s">
        <v>294</v>
      </c>
      <c r="AC12" t="s">
        <v>297</v>
      </c>
      <c r="AD12" t="s">
        <v>299</v>
      </c>
      <c r="AE12" t="s">
        <v>292</v>
      </c>
      <c r="AF12" t="s">
        <v>293</v>
      </c>
      <c r="AG12" t="s">
        <v>292</v>
      </c>
      <c r="AH12" t="s">
        <v>293</v>
      </c>
      <c r="AI12" t="s">
        <v>293</v>
      </c>
      <c r="AJ12" t="s">
        <v>302</v>
      </c>
      <c r="AK12" t="s">
        <v>302</v>
      </c>
      <c r="AL12" t="s">
        <v>359</v>
      </c>
      <c r="AM12" t="s">
        <v>293</v>
      </c>
      <c r="AN12" t="s">
        <v>293</v>
      </c>
      <c r="AO12" t="s">
        <v>297</v>
      </c>
      <c r="AP12" t="s">
        <v>298</v>
      </c>
      <c r="AQ12" t="s">
        <v>360</v>
      </c>
      <c r="AR12" t="s">
        <v>292</v>
      </c>
      <c r="AS12" t="s">
        <v>293</v>
      </c>
      <c r="AT12" t="s">
        <v>293</v>
      </c>
      <c r="AU12" t="s">
        <v>364</v>
      </c>
      <c r="AV12" t="str">
        <f t="shared" si="2"/>
        <v>no_fail</v>
      </c>
      <c r="AX12" t="s">
        <v>520</v>
      </c>
      <c r="AY12" t="s">
        <v>521</v>
      </c>
    </row>
    <row r="13" spans="1:51" x14ac:dyDescent="0.3">
      <c r="A13" t="s">
        <v>381</v>
      </c>
      <c r="B13" t="s">
        <v>288</v>
      </c>
      <c r="C13" t="s">
        <v>582</v>
      </c>
      <c r="D13" t="s">
        <v>288</v>
      </c>
      <c r="E13" t="str">
        <f t="shared" si="0"/>
        <v>7lOE6</v>
      </c>
      <c r="F13" t="b">
        <v>1</v>
      </c>
      <c r="G13">
        <v>99.3</v>
      </c>
      <c r="H13">
        <f t="shared" si="1"/>
        <v>0</v>
      </c>
      <c r="I13">
        <v>8518</v>
      </c>
      <c r="J13" t="s">
        <v>13</v>
      </c>
      <c r="L13" t="s">
        <v>272</v>
      </c>
      <c r="M13">
        <v>3</v>
      </c>
      <c r="N13" t="s">
        <v>277</v>
      </c>
      <c r="O13" t="s">
        <v>335</v>
      </c>
      <c r="P13" t="s">
        <v>282</v>
      </c>
      <c r="Q13" t="s">
        <v>339</v>
      </c>
      <c r="R13" t="s">
        <v>371</v>
      </c>
      <c r="S13" t="s">
        <v>371</v>
      </c>
      <c r="T13" t="s">
        <v>341</v>
      </c>
      <c r="U13" t="s">
        <v>340</v>
      </c>
      <c r="V13" t="s">
        <v>343</v>
      </c>
      <c r="W13" t="s">
        <v>345</v>
      </c>
      <c r="X13" s="17"/>
      <c r="Y13" t="s">
        <v>349</v>
      </c>
      <c r="Z13" t="s">
        <v>349</v>
      </c>
      <c r="AA13" t="s">
        <v>293</v>
      </c>
      <c r="AB13" t="s">
        <v>353</v>
      </c>
      <c r="AC13" t="s">
        <v>297</v>
      </c>
      <c r="AD13" t="s">
        <v>299</v>
      </c>
      <c r="AE13" t="s">
        <v>292</v>
      </c>
      <c r="AF13" t="s">
        <v>293</v>
      </c>
      <c r="AG13" t="s">
        <v>292</v>
      </c>
      <c r="AH13" t="s">
        <v>293</v>
      </c>
      <c r="AI13" t="s">
        <v>293</v>
      </c>
      <c r="AJ13" t="s">
        <v>302</v>
      </c>
      <c r="AK13" t="s">
        <v>302</v>
      </c>
      <c r="AL13" t="s">
        <v>359</v>
      </c>
      <c r="AM13" t="s">
        <v>293</v>
      </c>
      <c r="AN13" t="s">
        <v>293</v>
      </c>
      <c r="AO13" t="s">
        <v>297</v>
      </c>
      <c r="AP13" t="s">
        <v>298</v>
      </c>
      <c r="AQ13" t="s">
        <v>293</v>
      </c>
      <c r="AR13" t="s">
        <v>292</v>
      </c>
      <c r="AS13" t="s">
        <v>363</v>
      </c>
      <c r="AT13" t="s">
        <v>293</v>
      </c>
      <c r="AU13" t="s">
        <v>364</v>
      </c>
      <c r="AV13" t="str">
        <f t="shared" si="2"/>
        <v>no_fail</v>
      </c>
      <c r="AX13" t="s">
        <v>583</v>
      </c>
      <c r="AY13" t="s">
        <v>584</v>
      </c>
    </row>
    <row r="14" spans="1:51" x14ac:dyDescent="0.3">
      <c r="A14" t="s">
        <v>381</v>
      </c>
      <c r="B14" t="s">
        <v>288</v>
      </c>
      <c r="C14" t="s">
        <v>399</v>
      </c>
      <c r="D14" t="s">
        <v>288</v>
      </c>
      <c r="E14" t="str">
        <f t="shared" si="0"/>
        <v>7Rkox</v>
      </c>
      <c r="F14" t="b">
        <v>1</v>
      </c>
      <c r="G14">
        <v>60.8</v>
      </c>
      <c r="H14">
        <f t="shared" si="1"/>
        <v>0</v>
      </c>
      <c r="I14">
        <v>14246</v>
      </c>
      <c r="J14" t="s">
        <v>18</v>
      </c>
      <c r="L14" t="s">
        <v>273</v>
      </c>
      <c r="M14">
        <v>2</v>
      </c>
      <c r="N14" t="s">
        <v>333</v>
      </c>
      <c r="O14" t="s">
        <v>278</v>
      </c>
      <c r="P14" t="s">
        <v>281</v>
      </c>
      <c r="Q14" t="s">
        <v>283</v>
      </c>
      <c r="R14" t="s">
        <v>371</v>
      </c>
      <c r="S14" t="s">
        <v>371</v>
      </c>
      <c r="T14" t="s">
        <v>341</v>
      </c>
      <c r="U14" t="s">
        <v>340</v>
      </c>
      <c r="V14" t="s">
        <v>343</v>
      </c>
      <c r="W14" t="s">
        <v>344</v>
      </c>
      <c r="X14" s="17" t="s">
        <v>347</v>
      </c>
      <c r="Y14" t="s">
        <v>349</v>
      </c>
      <c r="Z14" t="s">
        <v>349</v>
      </c>
      <c r="AA14" t="s">
        <v>293</v>
      </c>
      <c r="AB14" t="s">
        <v>353</v>
      </c>
      <c r="AC14" t="s">
        <v>296</v>
      </c>
      <c r="AD14" t="s">
        <v>300</v>
      </c>
      <c r="AE14" t="s">
        <v>292</v>
      </c>
      <c r="AF14" t="s">
        <v>292</v>
      </c>
      <c r="AG14" t="s">
        <v>292</v>
      </c>
      <c r="AH14" t="s">
        <v>292</v>
      </c>
      <c r="AI14" t="s">
        <v>293</v>
      </c>
      <c r="AJ14" t="s">
        <v>302</v>
      </c>
      <c r="AK14" t="s">
        <v>357</v>
      </c>
      <c r="AL14" t="s">
        <v>359</v>
      </c>
      <c r="AM14" t="s">
        <v>293</v>
      </c>
      <c r="AN14" t="s">
        <v>293</v>
      </c>
      <c r="AO14" t="s">
        <v>297</v>
      </c>
      <c r="AP14" t="s">
        <v>356</v>
      </c>
      <c r="AQ14" t="s">
        <v>293</v>
      </c>
      <c r="AR14" t="s">
        <v>292</v>
      </c>
      <c r="AS14" t="s">
        <v>293</v>
      </c>
      <c r="AT14" t="s">
        <v>293</v>
      </c>
      <c r="AU14" t="s">
        <v>364</v>
      </c>
      <c r="AV14" t="str">
        <f t="shared" si="2"/>
        <v>car_water</v>
      </c>
      <c r="AX14" t="s">
        <v>400</v>
      </c>
      <c r="AY14" t="s">
        <v>401</v>
      </c>
    </row>
    <row r="15" spans="1:51" x14ac:dyDescent="0.3">
      <c r="A15" t="s">
        <v>381</v>
      </c>
      <c r="B15" t="s">
        <v>288</v>
      </c>
      <c r="C15" t="s">
        <v>393</v>
      </c>
      <c r="D15" t="s">
        <v>288</v>
      </c>
      <c r="E15" t="str">
        <f t="shared" si="0"/>
        <v>8w7rl</v>
      </c>
      <c r="F15" t="b">
        <v>1</v>
      </c>
      <c r="G15">
        <v>84.7</v>
      </c>
      <c r="H15">
        <f t="shared" si="1"/>
        <v>0</v>
      </c>
      <c r="I15">
        <v>8253</v>
      </c>
      <c r="J15" t="s">
        <v>13</v>
      </c>
      <c r="L15" t="s">
        <v>272</v>
      </c>
      <c r="M15">
        <v>3</v>
      </c>
      <c r="N15" t="s">
        <v>277</v>
      </c>
      <c r="O15" t="s">
        <v>335</v>
      </c>
      <c r="P15" t="s">
        <v>282</v>
      </c>
      <c r="Q15" t="s">
        <v>371</v>
      </c>
      <c r="R15" t="s">
        <v>371</v>
      </c>
      <c r="S15" t="s">
        <v>371</v>
      </c>
      <c r="T15" t="s">
        <v>341</v>
      </c>
      <c r="U15" t="s">
        <v>342</v>
      </c>
      <c r="V15" t="s">
        <v>343</v>
      </c>
      <c r="W15" t="s">
        <v>345</v>
      </c>
      <c r="X15" s="17" t="s">
        <v>344</v>
      </c>
      <c r="Y15" t="s">
        <v>349</v>
      </c>
      <c r="Z15" t="s">
        <v>349</v>
      </c>
      <c r="AA15" t="s">
        <v>293</v>
      </c>
      <c r="AB15" t="s">
        <v>352</v>
      </c>
      <c r="AC15" t="s">
        <v>297</v>
      </c>
      <c r="AD15" t="s">
        <v>300</v>
      </c>
      <c r="AE15" t="s">
        <v>292</v>
      </c>
      <c r="AF15" t="s">
        <v>293</v>
      </c>
      <c r="AG15" t="s">
        <v>292</v>
      </c>
      <c r="AH15" t="s">
        <v>293</v>
      </c>
      <c r="AI15" t="s">
        <v>293</v>
      </c>
      <c r="AJ15" t="s">
        <v>302</v>
      </c>
      <c r="AK15" t="s">
        <v>302</v>
      </c>
      <c r="AL15" t="s">
        <v>359</v>
      </c>
      <c r="AM15" t="s">
        <v>293</v>
      </c>
      <c r="AN15" t="s">
        <v>293</v>
      </c>
      <c r="AO15" t="s">
        <v>297</v>
      </c>
      <c r="AP15" t="s">
        <v>298</v>
      </c>
      <c r="AQ15" t="s">
        <v>293</v>
      </c>
      <c r="AR15" t="s">
        <v>292</v>
      </c>
      <c r="AS15" t="s">
        <v>293</v>
      </c>
      <c r="AT15" t="s">
        <v>293</v>
      </c>
      <c r="AU15" t="s">
        <v>364</v>
      </c>
      <c r="AV15" t="str">
        <f t="shared" si="2"/>
        <v>no_fail</v>
      </c>
      <c r="AX15" t="s">
        <v>394</v>
      </c>
      <c r="AY15" t="s">
        <v>395</v>
      </c>
    </row>
    <row r="16" spans="1:51" x14ac:dyDescent="0.3">
      <c r="A16" t="s">
        <v>381</v>
      </c>
      <c r="B16" t="s">
        <v>288</v>
      </c>
      <c r="C16" t="s">
        <v>453</v>
      </c>
      <c r="D16" t="s">
        <v>288</v>
      </c>
      <c r="E16" t="str">
        <f t="shared" si="0"/>
        <v>9d8Bd</v>
      </c>
      <c r="F16" t="b">
        <v>1</v>
      </c>
      <c r="G16">
        <v>100</v>
      </c>
      <c r="H16">
        <f t="shared" si="1"/>
        <v>1</v>
      </c>
      <c r="I16">
        <v>15137</v>
      </c>
      <c r="J16" t="s">
        <v>18</v>
      </c>
      <c r="L16" t="s">
        <v>273</v>
      </c>
      <c r="M16">
        <v>2</v>
      </c>
      <c r="N16" t="s">
        <v>333</v>
      </c>
      <c r="O16" t="s">
        <v>278</v>
      </c>
      <c r="P16" t="s">
        <v>283</v>
      </c>
      <c r="Q16" t="s">
        <v>284</v>
      </c>
      <c r="R16" t="s">
        <v>371</v>
      </c>
      <c r="S16" t="s">
        <v>371</v>
      </c>
      <c r="T16" t="s">
        <v>341</v>
      </c>
      <c r="U16" t="s">
        <v>342</v>
      </c>
      <c r="V16" t="s">
        <v>343</v>
      </c>
      <c r="W16" t="s">
        <v>291</v>
      </c>
      <c r="X16" s="17"/>
      <c r="Y16" t="s">
        <v>349</v>
      </c>
      <c r="Z16" t="s">
        <v>349</v>
      </c>
      <c r="AA16" t="s">
        <v>293</v>
      </c>
      <c r="AB16" t="s">
        <v>352</v>
      </c>
      <c r="AC16" t="s">
        <v>296</v>
      </c>
      <c r="AD16" t="s">
        <v>301</v>
      </c>
      <c r="AE16" t="s">
        <v>292</v>
      </c>
      <c r="AF16" t="s">
        <v>293</v>
      </c>
      <c r="AG16" t="s">
        <v>293</v>
      </c>
      <c r="AH16" t="s">
        <v>292</v>
      </c>
      <c r="AI16" t="s">
        <v>293</v>
      </c>
      <c r="AJ16" t="s">
        <v>358</v>
      </c>
      <c r="AK16" t="s">
        <v>357</v>
      </c>
      <c r="AL16" t="s">
        <v>302</v>
      </c>
      <c r="AM16" t="s">
        <v>293</v>
      </c>
      <c r="AN16" t="s">
        <v>293</v>
      </c>
      <c r="AO16" t="s">
        <v>296</v>
      </c>
      <c r="AP16" t="s">
        <v>298</v>
      </c>
      <c r="AQ16" t="s">
        <v>293</v>
      </c>
      <c r="AR16" t="s">
        <v>292</v>
      </c>
      <c r="AS16" t="s">
        <v>293</v>
      </c>
      <c r="AT16" t="s">
        <v>293</v>
      </c>
      <c r="AU16" t="s">
        <v>364</v>
      </c>
      <c r="AV16" t="str">
        <f t="shared" si="2"/>
        <v>break</v>
      </c>
      <c r="AX16" t="s">
        <v>454</v>
      </c>
      <c r="AY16" t="s">
        <v>455</v>
      </c>
    </row>
    <row r="17" spans="1:51" x14ac:dyDescent="0.3">
      <c r="A17" t="s">
        <v>381</v>
      </c>
      <c r="B17" t="s">
        <v>288</v>
      </c>
      <c r="C17" t="s">
        <v>462</v>
      </c>
      <c r="D17" t="s">
        <v>288</v>
      </c>
      <c r="E17" t="str">
        <f t="shared" si="0"/>
        <v>9ZDod</v>
      </c>
      <c r="F17" t="b">
        <v>1</v>
      </c>
      <c r="G17">
        <v>94.5</v>
      </c>
      <c r="H17">
        <f t="shared" si="1"/>
        <v>0</v>
      </c>
      <c r="I17">
        <v>10455</v>
      </c>
      <c r="J17" t="s">
        <v>13</v>
      </c>
      <c r="L17" t="s">
        <v>272</v>
      </c>
      <c r="M17">
        <v>2</v>
      </c>
      <c r="N17" t="s">
        <v>277</v>
      </c>
      <c r="O17" t="s">
        <v>335</v>
      </c>
      <c r="P17" t="s">
        <v>283</v>
      </c>
      <c r="Q17" t="s">
        <v>281</v>
      </c>
      <c r="R17" t="s">
        <v>284</v>
      </c>
      <c r="S17" t="s">
        <v>371</v>
      </c>
      <c r="T17" t="s">
        <v>341</v>
      </c>
      <c r="U17" t="s">
        <v>340</v>
      </c>
      <c r="V17" t="s">
        <v>340</v>
      </c>
      <c r="W17" t="s">
        <v>345</v>
      </c>
      <c r="X17" s="17"/>
      <c r="Y17" t="s">
        <v>350</v>
      </c>
      <c r="Z17" t="s">
        <v>349</v>
      </c>
      <c r="AA17" t="s">
        <v>293</v>
      </c>
      <c r="AB17" t="s">
        <v>354</v>
      </c>
      <c r="AC17" t="s">
        <v>354</v>
      </c>
      <c r="AD17" t="s">
        <v>301</v>
      </c>
      <c r="AE17" t="s">
        <v>292</v>
      </c>
      <c r="AF17" t="s">
        <v>293</v>
      </c>
      <c r="AG17" t="s">
        <v>292</v>
      </c>
      <c r="AH17" t="s">
        <v>293</v>
      </c>
      <c r="AI17" t="s">
        <v>293</v>
      </c>
      <c r="AJ17" t="s">
        <v>302</v>
      </c>
      <c r="AK17" t="s">
        <v>302</v>
      </c>
      <c r="AL17" t="s">
        <v>357</v>
      </c>
      <c r="AM17" t="s">
        <v>293</v>
      </c>
      <c r="AN17" t="s">
        <v>293</v>
      </c>
      <c r="AO17" t="s">
        <v>297</v>
      </c>
      <c r="AP17" t="s">
        <v>298</v>
      </c>
      <c r="AQ17" t="s">
        <v>293</v>
      </c>
      <c r="AR17" t="s">
        <v>292</v>
      </c>
      <c r="AS17" t="s">
        <v>293</v>
      </c>
      <c r="AT17" t="s">
        <v>293</v>
      </c>
      <c r="AU17" t="s">
        <v>364</v>
      </c>
      <c r="AV17" t="str">
        <f t="shared" si="2"/>
        <v>no_fail</v>
      </c>
      <c r="AX17" t="s">
        <v>463</v>
      </c>
      <c r="AY17" t="s">
        <v>464</v>
      </c>
    </row>
    <row r="18" spans="1:51" x14ac:dyDescent="0.3">
      <c r="A18" t="s">
        <v>381</v>
      </c>
      <c r="B18" t="s">
        <v>288</v>
      </c>
      <c r="C18" t="s">
        <v>597</v>
      </c>
      <c r="D18" t="s">
        <v>288</v>
      </c>
      <c r="E18" t="str">
        <f t="shared" si="0"/>
        <v>9ZMgx</v>
      </c>
      <c r="F18" t="b">
        <v>1</v>
      </c>
      <c r="G18">
        <v>99.9</v>
      </c>
      <c r="H18">
        <f t="shared" si="1"/>
        <v>0</v>
      </c>
      <c r="I18">
        <v>9096</v>
      </c>
      <c r="J18" t="s">
        <v>13</v>
      </c>
      <c r="L18" t="s">
        <v>272</v>
      </c>
      <c r="M18">
        <v>3</v>
      </c>
      <c r="N18" t="s">
        <v>277</v>
      </c>
      <c r="O18" t="s">
        <v>335</v>
      </c>
      <c r="P18" t="s">
        <v>282</v>
      </c>
      <c r="Q18" t="s">
        <v>371</v>
      </c>
      <c r="R18" t="s">
        <v>371</v>
      </c>
      <c r="S18" t="s">
        <v>371</v>
      </c>
      <c r="T18" t="s">
        <v>341</v>
      </c>
      <c r="U18" t="s">
        <v>342</v>
      </c>
      <c r="V18" t="s">
        <v>343</v>
      </c>
      <c r="W18" t="s">
        <v>345</v>
      </c>
      <c r="X18" s="17" t="s">
        <v>291</v>
      </c>
      <c r="Y18" t="s">
        <v>350</v>
      </c>
      <c r="Z18" t="s">
        <v>349</v>
      </c>
      <c r="AA18" t="s">
        <v>293</v>
      </c>
      <c r="AB18" t="s">
        <v>294</v>
      </c>
      <c r="AC18" t="s">
        <v>297</v>
      </c>
      <c r="AD18" t="s">
        <v>300</v>
      </c>
      <c r="AE18" t="s">
        <v>292</v>
      </c>
      <c r="AF18" t="s">
        <v>292</v>
      </c>
      <c r="AG18" t="s">
        <v>292</v>
      </c>
      <c r="AH18" t="s">
        <v>292</v>
      </c>
      <c r="AI18" t="s">
        <v>293</v>
      </c>
      <c r="AJ18" t="s">
        <v>302</v>
      </c>
      <c r="AK18" t="s">
        <v>302</v>
      </c>
      <c r="AL18" t="s">
        <v>359</v>
      </c>
      <c r="AM18" t="s">
        <v>293</v>
      </c>
      <c r="AN18" t="s">
        <v>293</v>
      </c>
      <c r="AO18" t="s">
        <v>297</v>
      </c>
      <c r="AP18" t="s">
        <v>298</v>
      </c>
      <c r="AQ18" t="s">
        <v>360</v>
      </c>
      <c r="AR18" t="s">
        <v>292</v>
      </c>
      <c r="AS18" t="s">
        <v>293</v>
      </c>
      <c r="AT18" t="s">
        <v>293</v>
      </c>
      <c r="AU18" t="s">
        <v>364</v>
      </c>
      <c r="AV18" t="str">
        <f t="shared" si="2"/>
        <v>no_fail</v>
      </c>
      <c r="AX18" t="s">
        <v>598</v>
      </c>
      <c r="AY18" t="s">
        <v>599</v>
      </c>
    </row>
    <row r="19" spans="1:51" x14ac:dyDescent="0.3">
      <c r="A19" t="s">
        <v>381</v>
      </c>
      <c r="B19" t="s">
        <v>288</v>
      </c>
      <c r="C19" t="s">
        <v>438</v>
      </c>
      <c r="D19" t="s">
        <v>288</v>
      </c>
      <c r="E19" t="str">
        <f t="shared" si="0"/>
        <v>a5m8l</v>
      </c>
      <c r="F19" t="b">
        <v>1</v>
      </c>
      <c r="G19">
        <v>100</v>
      </c>
      <c r="H19">
        <f t="shared" si="1"/>
        <v>1</v>
      </c>
      <c r="I19">
        <v>14895</v>
      </c>
      <c r="J19" t="s">
        <v>18</v>
      </c>
      <c r="L19" t="s">
        <v>272</v>
      </c>
      <c r="M19">
        <v>3</v>
      </c>
      <c r="N19" t="s">
        <v>277</v>
      </c>
      <c r="O19" t="s">
        <v>335</v>
      </c>
      <c r="P19" t="s">
        <v>282</v>
      </c>
      <c r="Q19" t="s">
        <v>284</v>
      </c>
      <c r="R19" t="s">
        <v>371</v>
      </c>
      <c r="S19" t="s">
        <v>371</v>
      </c>
      <c r="T19" t="s">
        <v>341</v>
      </c>
      <c r="U19" t="s">
        <v>340</v>
      </c>
      <c r="V19" t="s">
        <v>343</v>
      </c>
      <c r="W19" t="s">
        <v>344</v>
      </c>
      <c r="X19" s="17"/>
      <c r="Y19" t="s">
        <v>349</v>
      </c>
      <c r="Z19" t="s">
        <v>349</v>
      </c>
      <c r="AA19" t="s">
        <v>293</v>
      </c>
      <c r="AB19" t="s">
        <v>352</v>
      </c>
      <c r="AC19" t="s">
        <v>297</v>
      </c>
      <c r="AD19" t="s">
        <v>301</v>
      </c>
      <c r="AE19" t="s">
        <v>292</v>
      </c>
      <c r="AF19" t="s">
        <v>293</v>
      </c>
      <c r="AG19" t="s">
        <v>292</v>
      </c>
      <c r="AH19" t="s">
        <v>292</v>
      </c>
      <c r="AI19" t="s">
        <v>293</v>
      </c>
      <c r="AJ19" t="s">
        <v>302</v>
      </c>
      <c r="AK19" t="s">
        <v>302</v>
      </c>
      <c r="AL19" t="s">
        <v>302</v>
      </c>
      <c r="AM19" t="s">
        <v>293</v>
      </c>
      <c r="AN19" t="s">
        <v>293</v>
      </c>
      <c r="AO19" t="s">
        <v>297</v>
      </c>
      <c r="AP19" t="s">
        <v>298</v>
      </c>
      <c r="AQ19" t="s">
        <v>293</v>
      </c>
      <c r="AR19" t="s">
        <v>292</v>
      </c>
      <c r="AS19" t="s">
        <v>293</v>
      </c>
      <c r="AT19" t="s">
        <v>293</v>
      </c>
      <c r="AU19" t="s">
        <v>364</v>
      </c>
      <c r="AV19" t="str">
        <f t="shared" si="2"/>
        <v>break</v>
      </c>
      <c r="AX19" t="s">
        <v>439</v>
      </c>
      <c r="AY19" t="s">
        <v>440</v>
      </c>
    </row>
    <row r="20" spans="1:51" x14ac:dyDescent="0.3">
      <c r="A20" t="s">
        <v>381</v>
      </c>
      <c r="B20" t="s">
        <v>288</v>
      </c>
      <c r="C20" t="s">
        <v>534</v>
      </c>
      <c r="D20" t="s">
        <v>288</v>
      </c>
      <c r="E20" t="str">
        <f t="shared" si="0"/>
        <v>aEzNe</v>
      </c>
      <c r="F20" t="b">
        <v>1</v>
      </c>
      <c r="G20">
        <v>98.3</v>
      </c>
      <c r="H20">
        <f t="shared" si="1"/>
        <v>0</v>
      </c>
      <c r="I20">
        <v>14613</v>
      </c>
      <c r="J20" t="s">
        <v>13</v>
      </c>
      <c r="L20" t="s">
        <v>272</v>
      </c>
      <c r="M20">
        <v>3</v>
      </c>
      <c r="N20" t="s">
        <v>333</v>
      </c>
      <c r="O20" t="s">
        <v>278</v>
      </c>
      <c r="P20" t="s">
        <v>281</v>
      </c>
      <c r="Q20" t="s">
        <v>283</v>
      </c>
      <c r="R20" t="s">
        <v>371</v>
      </c>
      <c r="S20" t="s">
        <v>371</v>
      </c>
      <c r="T20" t="s">
        <v>341</v>
      </c>
      <c r="U20" t="s">
        <v>340</v>
      </c>
      <c r="V20" t="s">
        <v>343</v>
      </c>
      <c r="W20" t="s">
        <v>344</v>
      </c>
      <c r="X20" s="17" t="s">
        <v>291</v>
      </c>
      <c r="Y20" t="s">
        <v>349</v>
      </c>
      <c r="Z20" t="s">
        <v>349</v>
      </c>
      <c r="AA20" t="s">
        <v>293</v>
      </c>
      <c r="AB20" t="s">
        <v>353</v>
      </c>
      <c r="AC20" t="s">
        <v>296</v>
      </c>
      <c r="AD20" t="s">
        <v>299</v>
      </c>
      <c r="AE20" t="s">
        <v>292</v>
      </c>
      <c r="AF20" t="s">
        <v>292</v>
      </c>
      <c r="AG20" t="s">
        <v>292</v>
      </c>
      <c r="AH20" t="s">
        <v>292</v>
      </c>
      <c r="AI20" t="s">
        <v>293</v>
      </c>
      <c r="AJ20" t="s">
        <v>302</v>
      </c>
      <c r="AK20" t="s">
        <v>359</v>
      </c>
      <c r="AL20" t="s">
        <v>359</v>
      </c>
      <c r="AM20" t="s">
        <v>293</v>
      </c>
      <c r="AN20" t="s">
        <v>293</v>
      </c>
      <c r="AO20" t="s">
        <v>296</v>
      </c>
      <c r="AP20" t="s">
        <v>356</v>
      </c>
      <c r="AQ20" t="s">
        <v>293</v>
      </c>
      <c r="AR20" t="s">
        <v>292</v>
      </c>
      <c r="AS20" t="s">
        <v>293</v>
      </c>
      <c r="AT20" t="s">
        <v>293</v>
      </c>
      <c r="AU20" t="s">
        <v>364</v>
      </c>
      <c r="AV20" t="str">
        <f t="shared" si="2"/>
        <v>no_fail</v>
      </c>
      <c r="AX20" t="s">
        <v>535</v>
      </c>
      <c r="AY20" t="s">
        <v>536</v>
      </c>
    </row>
    <row r="21" spans="1:51" x14ac:dyDescent="0.3">
      <c r="A21" t="s">
        <v>381</v>
      </c>
      <c r="B21" t="s">
        <v>288</v>
      </c>
      <c r="C21" t="s">
        <v>576</v>
      </c>
      <c r="D21" t="s">
        <v>288</v>
      </c>
      <c r="E21" t="str">
        <f t="shared" si="0"/>
        <v>Ag5q6</v>
      </c>
      <c r="F21" t="b">
        <v>1</v>
      </c>
      <c r="G21">
        <v>100</v>
      </c>
      <c r="H21">
        <f t="shared" si="1"/>
        <v>1</v>
      </c>
      <c r="I21">
        <v>6800</v>
      </c>
      <c r="J21" t="s">
        <v>18</v>
      </c>
      <c r="L21" t="s">
        <v>272</v>
      </c>
      <c r="M21">
        <v>1</v>
      </c>
      <c r="N21" t="s">
        <v>277</v>
      </c>
      <c r="O21" t="s">
        <v>336</v>
      </c>
      <c r="P21" t="s">
        <v>283</v>
      </c>
      <c r="Q21" t="s">
        <v>284</v>
      </c>
      <c r="S21" t="s">
        <v>371</v>
      </c>
      <c r="T21" t="s">
        <v>340</v>
      </c>
      <c r="U21" t="s">
        <v>340</v>
      </c>
      <c r="V21" t="s">
        <v>340</v>
      </c>
      <c r="W21" t="s">
        <v>348</v>
      </c>
      <c r="X21" s="17"/>
      <c r="Y21" t="s">
        <v>349</v>
      </c>
      <c r="Z21" t="s">
        <v>349</v>
      </c>
      <c r="AA21" t="s">
        <v>293</v>
      </c>
      <c r="AB21" t="s">
        <v>354</v>
      </c>
      <c r="AC21" t="s">
        <v>354</v>
      </c>
      <c r="AD21" t="s">
        <v>340</v>
      </c>
      <c r="AE21" t="s">
        <v>293</v>
      </c>
      <c r="AF21" t="s">
        <v>292</v>
      </c>
      <c r="AG21" t="s">
        <v>293</v>
      </c>
      <c r="AH21" t="s">
        <v>293</v>
      </c>
      <c r="AI21" t="s">
        <v>293</v>
      </c>
      <c r="AJ21" t="s">
        <v>358</v>
      </c>
      <c r="AK21" t="s">
        <v>357</v>
      </c>
      <c r="AL21" t="s">
        <v>357</v>
      </c>
      <c r="AM21" t="s">
        <v>293</v>
      </c>
      <c r="AN21" t="s">
        <v>293</v>
      </c>
      <c r="AO21" t="s">
        <v>354</v>
      </c>
      <c r="AP21" t="s">
        <v>356</v>
      </c>
      <c r="AQ21" t="s">
        <v>293</v>
      </c>
      <c r="AR21" t="s">
        <v>293</v>
      </c>
      <c r="AS21" t="s">
        <v>293</v>
      </c>
      <c r="AT21" t="s">
        <v>293</v>
      </c>
      <c r="AU21" t="s">
        <v>364</v>
      </c>
      <c r="AV21" t="str">
        <f t="shared" si="2"/>
        <v>break</v>
      </c>
      <c r="AX21" t="s">
        <v>577</v>
      </c>
      <c r="AY21" t="s">
        <v>578</v>
      </c>
    </row>
    <row r="22" spans="1:51" x14ac:dyDescent="0.3">
      <c r="A22" t="s">
        <v>381</v>
      </c>
      <c r="B22" t="s">
        <v>288</v>
      </c>
      <c r="C22" t="s">
        <v>492</v>
      </c>
      <c r="D22" t="s">
        <v>288</v>
      </c>
      <c r="E22" t="str">
        <f t="shared" si="0"/>
        <v>AMMOv</v>
      </c>
      <c r="F22" t="b">
        <v>1</v>
      </c>
      <c r="G22">
        <v>96.24</v>
      </c>
      <c r="H22">
        <f t="shared" si="1"/>
        <v>0</v>
      </c>
      <c r="I22">
        <v>21436</v>
      </c>
      <c r="J22" t="s">
        <v>13</v>
      </c>
      <c r="L22" t="s">
        <v>272</v>
      </c>
      <c r="M22">
        <v>3</v>
      </c>
      <c r="N22" t="s">
        <v>277</v>
      </c>
      <c r="O22" t="s">
        <v>335</v>
      </c>
      <c r="P22" t="s">
        <v>283</v>
      </c>
      <c r="Q22" t="s">
        <v>286</v>
      </c>
      <c r="R22" t="s">
        <v>282</v>
      </c>
      <c r="S22" t="s">
        <v>371</v>
      </c>
      <c r="T22" t="s">
        <v>341</v>
      </c>
      <c r="U22" t="s">
        <v>340</v>
      </c>
      <c r="V22" t="s">
        <v>343</v>
      </c>
      <c r="W22" t="s">
        <v>344</v>
      </c>
      <c r="X22" s="17" t="s">
        <v>347</v>
      </c>
      <c r="Y22" t="s">
        <v>349</v>
      </c>
      <c r="Z22" t="s">
        <v>349</v>
      </c>
      <c r="AA22" t="s">
        <v>293</v>
      </c>
      <c r="AB22" t="s">
        <v>353</v>
      </c>
      <c r="AC22" t="s">
        <v>296</v>
      </c>
      <c r="AD22" t="s">
        <v>301</v>
      </c>
      <c r="AE22" t="s">
        <v>293</v>
      </c>
      <c r="AF22" t="s">
        <v>292</v>
      </c>
      <c r="AG22" t="s">
        <v>293</v>
      </c>
      <c r="AH22" t="s">
        <v>292</v>
      </c>
      <c r="AI22" t="s">
        <v>293</v>
      </c>
      <c r="AJ22" t="s">
        <v>302</v>
      </c>
      <c r="AK22" t="s">
        <v>358</v>
      </c>
      <c r="AL22" t="s">
        <v>359</v>
      </c>
      <c r="AM22" t="s">
        <v>293</v>
      </c>
      <c r="AN22" t="s">
        <v>293</v>
      </c>
      <c r="AO22" t="s">
        <v>296</v>
      </c>
      <c r="AP22" t="s">
        <v>356</v>
      </c>
      <c r="AQ22" t="s">
        <v>293</v>
      </c>
      <c r="AR22" t="s">
        <v>292</v>
      </c>
      <c r="AS22" t="s">
        <v>293</v>
      </c>
      <c r="AT22" t="s">
        <v>293</v>
      </c>
      <c r="AU22" t="s">
        <v>364</v>
      </c>
      <c r="AV22" t="str">
        <f t="shared" ref="AV22" si="3">IF(G22=100,"break", IF(J22="fail", "car_water", "no_fail"))</f>
        <v>no_fail</v>
      </c>
      <c r="AX22" t="s">
        <v>493</v>
      </c>
      <c r="AY22" t="s">
        <v>494</v>
      </c>
    </row>
    <row r="23" spans="1:51" x14ac:dyDescent="0.3">
      <c r="A23" t="s">
        <v>381</v>
      </c>
      <c r="B23" t="s">
        <v>288</v>
      </c>
      <c r="C23" t="s">
        <v>645</v>
      </c>
      <c r="D23" t="s">
        <v>288</v>
      </c>
      <c r="E23" t="str">
        <f t="shared" si="0"/>
        <v>AMR1N</v>
      </c>
      <c r="F23" t="b">
        <v>1</v>
      </c>
      <c r="G23">
        <v>55.35</v>
      </c>
      <c r="H23">
        <f t="shared" si="1"/>
        <v>0</v>
      </c>
      <c r="I23">
        <v>12001</v>
      </c>
      <c r="J23" t="s">
        <v>13</v>
      </c>
      <c r="L23" t="s">
        <v>272</v>
      </c>
      <c r="M23">
        <v>3</v>
      </c>
      <c r="N23" t="s">
        <v>277</v>
      </c>
      <c r="O23" t="s">
        <v>335</v>
      </c>
      <c r="P23" t="s">
        <v>282</v>
      </c>
      <c r="Q23" t="s">
        <v>371</v>
      </c>
      <c r="R23" t="s">
        <v>371</v>
      </c>
      <c r="S23" t="s">
        <v>371</v>
      </c>
      <c r="T23" t="s">
        <v>341</v>
      </c>
      <c r="U23" t="s">
        <v>340</v>
      </c>
      <c r="V23" t="s">
        <v>343</v>
      </c>
      <c r="W23" t="s">
        <v>344</v>
      </c>
      <c r="X23" s="17"/>
      <c r="Y23" t="s">
        <v>349</v>
      </c>
      <c r="Z23" t="s">
        <v>349</v>
      </c>
      <c r="AA23" t="s">
        <v>293</v>
      </c>
      <c r="AB23" t="s">
        <v>353</v>
      </c>
      <c r="AC23" t="s">
        <v>296</v>
      </c>
      <c r="AD23" t="s">
        <v>301</v>
      </c>
      <c r="AE23" t="s">
        <v>292</v>
      </c>
      <c r="AF23" t="s">
        <v>293</v>
      </c>
      <c r="AG23" t="s">
        <v>292</v>
      </c>
      <c r="AH23" t="s">
        <v>292</v>
      </c>
      <c r="AI23" t="s">
        <v>293</v>
      </c>
      <c r="AJ23" t="s">
        <v>302</v>
      </c>
      <c r="AK23" t="s">
        <v>302</v>
      </c>
      <c r="AL23" t="s">
        <v>359</v>
      </c>
      <c r="AM23" t="s">
        <v>293</v>
      </c>
      <c r="AN23" t="s">
        <v>293</v>
      </c>
      <c r="AO23" t="s">
        <v>297</v>
      </c>
      <c r="AP23" t="s">
        <v>298</v>
      </c>
      <c r="AQ23" t="s">
        <v>293</v>
      </c>
      <c r="AR23" t="s">
        <v>292</v>
      </c>
      <c r="AS23" t="s">
        <v>293</v>
      </c>
      <c r="AT23" t="s">
        <v>293</v>
      </c>
      <c r="AU23" t="s">
        <v>364</v>
      </c>
      <c r="AV23" t="str">
        <f t="shared" si="2"/>
        <v>no_fail</v>
      </c>
      <c r="AX23" t="s">
        <v>646</v>
      </c>
      <c r="AY23" t="s">
        <v>647</v>
      </c>
    </row>
    <row r="24" spans="1:51" x14ac:dyDescent="0.3">
      <c r="A24" t="s">
        <v>381</v>
      </c>
      <c r="B24" t="s">
        <v>288</v>
      </c>
      <c r="C24" t="s">
        <v>387</v>
      </c>
      <c r="D24" t="s">
        <v>288</v>
      </c>
      <c r="E24" t="str">
        <f t="shared" si="0"/>
        <v>Ao5M3</v>
      </c>
      <c r="F24" t="b">
        <v>1</v>
      </c>
      <c r="G24">
        <v>99.83</v>
      </c>
      <c r="H24">
        <f t="shared" si="1"/>
        <v>0</v>
      </c>
      <c r="I24">
        <v>8739</v>
      </c>
      <c r="J24" t="s">
        <v>13</v>
      </c>
      <c r="L24" t="s">
        <v>272</v>
      </c>
      <c r="M24">
        <v>3</v>
      </c>
      <c r="N24" t="s">
        <v>277</v>
      </c>
      <c r="O24" t="s">
        <v>335</v>
      </c>
      <c r="P24" t="s">
        <v>282</v>
      </c>
      <c r="Q24" t="s">
        <v>281</v>
      </c>
      <c r="R24" t="s">
        <v>371</v>
      </c>
      <c r="S24" t="s">
        <v>371</v>
      </c>
      <c r="T24" t="s">
        <v>341</v>
      </c>
      <c r="U24" t="s">
        <v>340</v>
      </c>
      <c r="V24" t="s">
        <v>343</v>
      </c>
      <c r="W24" t="s">
        <v>345</v>
      </c>
      <c r="X24" s="17"/>
      <c r="Y24" t="s">
        <v>349</v>
      </c>
      <c r="Z24" t="s">
        <v>349</v>
      </c>
      <c r="AA24" t="s">
        <v>293</v>
      </c>
      <c r="AB24" t="s">
        <v>353</v>
      </c>
      <c r="AC24" t="s">
        <v>297</v>
      </c>
      <c r="AD24" t="s">
        <v>299</v>
      </c>
      <c r="AE24" t="s">
        <v>292</v>
      </c>
      <c r="AF24" t="s">
        <v>293</v>
      </c>
      <c r="AG24" t="s">
        <v>292</v>
      </c>
      <c r="AH24" t="s">
        <v>293</v>
      </c>
      <c r="AI24" t="s">
        <v>293</v>
      </c>
      <c r="AJ24" t="s">
        <v>302</v>
      </c>
      <c r="AK24" t="s">
        <v>302</v>
      </c>
      <c r="AL24" t="s">
        <v>359</v>
      </c>
      <c r="AM24" t="s">
        <v>293</v>
      </c>
      <c r="AN24" t="s">
        <v>293</v>
      </c>
      <c r="AO24" t="s">
        <v>297</v>
      </c>
      <c r="AP24" t="s">
        <v>298</v>
      </c>
      <c r="AQ24" t="s">
        <v>293</v>
      </c>
      <c r="AR24" t="s">
        <v>292</v>
      </c>
      <c r="AS24" t="s">
        <v>293</v>
      </c>
      <c r="AT24" t="s">
        <v>293</v>
      </c>
      <c r="AU24" t="s">
        <v>364</v>
      </c>
      <c r="AV24" t="str">
        <f t="shared" si="2"/>
        <v>no_fail</v>
      </c>
      <c r="AX24" t="s">
        <v>388</v>
      </c>
      <c r="AY24" t="s">
        <v>389</v>
      </c>
    </row>
    <row r="25" spans="1:51" x14ac:dyDescent="0.3">
      <c r="A25" t="s">
        <v>381</v>
      </c>
      <c r="B25" t="s">
        <v>288</v>
      </c>
      <c r="C25" t="s">
        <v>498</v>
      </c>
      <c r="D25" t="s">
        <v>288</v>
      </c>
      <c r="E25" t="str">
        <f t="shared" si="0"/>
        <v>b1g4G</v>
      </c>
      <c r="F25" t="b">
        <v>1</v>
      </c>
      <c r="G25">
        <v>83.4</v>
      </c>
      <c r="H25">
        <f t="shared" si="1"/>
        <v>0</v>
      </c>
      <c r="I25">
        <v>26919</v>
      </c>
      <c r="J25" t="s">
        <v>13</v>
      </c>
      <c r="L25" t="s">
        <v>272</v>
      </c>
      <c r="M25">
        <v>3</v>
      </c>
      <c r="N25" t="s">
        <v>277</v>
      </c>
      <c r="O25" t="s">
        <v>336</v>
      </c>
      <c r="P25" t="s">
        <v>283</v>
      </c>
      <c r="Q25" t="s">
        <v>371</v>
      </c>
      <c r="R25" t="s">
        <v>371</v>
      </c>
      <c r="S25" t="s">
        <v>371</v>
      </c>
      <c r="T25" t="s">
        <v>341</v>
      </c>
      <c r="U25" t="s">
        <v>342</v>
      </c>
      <c r="V25" t="s">
        <v>343</v>
      </c>
      <c r="W25" t="s">
        <v>291</v>
      </c>
      <c r="X25" s="17"/>
      <c r="Y25" t="s">
        <v>349</v>
      </c>
      <c r="Z25" t="s">
        <v>349</v>
      </c>
      <c r="AA25" t="s">
        <v>293</v>
      </c>
      <c r="AB25" t="s">
        <v>353</v>
      </c>
      <c r="AC25" t="s">
        <v>296</v>
      </c>
      <c r="AD25" t="s">
        <v>301</v>
      </c>
      <c r="AE25" t="s">
        <v>292</v>
      </c>
      <c r="AF25" t="s">
        <v>293</v>
      </c>
      <c r="AG25" t="s">
        <v>293</v>
      </c>
      <c r="AH25" t="s">
        <v>292</v>
      </c>
      <c r="AI25" t="s">
        <v>293</v>
      </c>
      <c r="AJ25" t="s">
        <v>302</v>
      </c>
      <c r="AK25" t="s">
        <v>359</v>
      </c>
      <c r="AL25" t="s">
        <v>359</v>
      </c>
      <c r="AM25" t="s">
        <v>293</v>
      </c>
      <c r="AN25" t="s">
        <v>293</v>
      </c>
      <c r="AO25" t="s">
        <v>296</v>
      </c>
      <c r="AP25" t="s">
        <v>298</v>
      </c>
      <c r="AQ25" t="s">
        <v>293</v>
      </c>
      <c r="AR25" t="s">
        <v>292</v>
      </c>
      <c r="AS25" t="s">
        <v>293</v>
      </c>
      <c r="AT25" t="s">
        <v>293</v>
      </c>
      <c r="AU25" t="s">
        <v>364</v>
      </c>
      <c r="AV25" t="str">
        <f t="shared" si="2"/>
        <v>no_fail</v>
      </c>
      <c r="AX25" t="s">
        <v>499</v>
      </c>
      <c r="AY25" t="s">
        <v>500</v>
      </c>
    </row>
    <row r="26" spans="1:51" x14ac:dyDescent="0.3">
      <c r="A26" t="s">
        <v>381</v>
      </c>
      <c r="B26" t="s">
        <v>288</v>
      </c>
      <c r="C26" t="s">
        <v>465</v>
      </c>
      <c r="D26" t="s">
        <v>288</v>
      </c>
      <c r="E26" t="str">
        <f t="shared" si="0"/>
        <v>b3BX3</v>
      </c>
      <c r="F26" t="b">
        <v>1</v>
      </c>
      <c r="G26">
        <v>96.76</v>
      </c>
      <c r="H26">
        <f t="shared" si="1"/>
        <v>0</v>
      </c>
      <c r="I26">
        <v>6139</v>
      </c>
      <c r="J26" t="s">
        <v>13</v>
      </c>
      <c r="L26" t="s">
        <v>272</v>
      </c>
      <c r="M26">
        <v>3</v>
      </c>
      <c r="N26" t="s">
        <v>277</v>
      </c>
      <c r="O26" t="s">
        <v>335</v>
      </c>
      <c r="P26" t="s">
        <v>282</v>
      </c>
      <c r="Q26" t="s">
        <v>283</v>
      </c>
      <c r="R26" t="s">
        <v>284</v>
      </c>
      <c r="S26" t="s">
        <v>371</v>
      </c>
      <c r="T26" t="s">
        <v>340</v>
      </c>
      <c r="U26" t="s">
        <v>342</v>
      </c>
      <c r="V26" t="s">
        <v>343</v>
      </c>
      <c r="W26" t="s">
        <v>344</v>
      </c>
      <c r="X26" s="17"/>
      <c r="Y26" t="s">
        <v>350</v>
      </c>
      <c r="Z26" t="s">
        <v>349</v>
      </c>
      <c r="AA26" t="s">
        <v>293</v>
      </c>
      <c r="AB26" t="s">
        <v>353</v>
      </c>
      <c r="AC26" t="s">
        <v>297</v>
      </c>
      <c r="AD26" t="s">
        <v>300</v>
      </c>
      <c r="AE26" t="s">
        <v>292</v>
      </c>
      <c r="AF26" t="s">
        <v>293</v>
      </c>
      <c r="AG26" t="s">
        <v>292</v>
      </c>
      <c r="AH26" t="s">
        <v>293</v>
      </c>
      <c r="AI26" t="s">
        <v>293</v>
      </c>
      <c r="AJ26" t="s">
        <v>302</v>
      </c>
      <c r="AK26" t="s">
        <v>302</v>
      </c>
      <c r="AL26" t="s">
        <v>359</v>
      </c>
      <c r="AM26" t="s">
        <v>293</v>
      </c>
      <c r="AN26" t="s">
        <v>293</v>
      </c>
      <c r="AO26" t="s">
        <v>297</v>
      </c>
      <c r="AP26" t="s">
        <v>298</v>
      </c>
      <c r="AQ26" t="s">
        <v>293</v>
      </c>
      <c r="AR26" t="s">
        <v>292</v>
      </c>
      <c r="AS26" t="s">
        <v>293</v>
      </c>
      <c r="AT26" t="s">
        <v>293</v>
      </c>
      <c r="AU26" t="s">
        <v>364</v>
      </c>
      <c r="AV26" t="str">
        <f t="shared" si="2"/>
        <v>no_fail</v>
      </c>
      <c r="AX26" t="s">
        <v>466</v>
      </c>
      <c r="AY26" t="s">
        <v>467</v>
      </c>
    </row>
    <row r="27" spans="1:51" x14ac:dyDescent="0.3">
      <c r="A27" t="s">
        <v>381</v>
      </c>
      <c r="B27" t="s">
        <v>288</v>
      </c>
      <c r="C27" t="s">
        <v>435</v>
      </c>
      <c r="D27" t="s">
        <v>288</v>
      </c>
      <c r="E27" t="str">
        <f t="shared" si="0"/>
        <v>b3ENz</v>
      </c>
      <c r="F27" t="b">
        <v>1</v>
      </c>
      <c r="G27">
        <v>97.5</v>
      </c>
      <c r="H27">
        <f t="shared" si="1"/>
        <v>0</v>
      </c>
      <c r="I27">
        <v>8416</v>
      </c>
      <c r="J27" t="s">
        <v>13</v>
      </c>
      <c r="L27" t="s">
        <v>272</v>
      </c>
      <c r="M27">
        <v>3</v>
      </c>
      <c r="N27" t="s">
        <v>277</v>
      </c>
      <c r="O27" t="s">
        <v>335</v>
      </c>
      <c r="P27" t="s">
        <v>282</v>
      </c>
      <c r="Q27" t="s">
        <v>371</v>
      </c>
      <c r="R27" t="s">
        <v>371</v>
      </c>
      <c r="S27" t="s">
        <v>371</v>
      </c>
      <c r="T27" t="s">
        <v>341</v>
      </c>
      <c r="U27" t="s">
        <v>342</v>
      </c>
      <c r="V27" t="s">
        <v>343</v>
      </c>
      <c r="W27" t="s">
        <v>345</v>
      </c>
      <c r="X27" s="17"/>
      <c r="Y27" t="s">
        <v>349</v>
      </c>
      <c r="Z27" t="s">
        <v>349</v>
      </c>
      <c r="AA27" t="s">
        <v>293</v>
      </c>
      <c r="AB27" t="s">
        <v>353</v>
      </c>
      <c r="AC27" t="s">
        <v>297</v>
      </c>
      <c r="AD27" t="s">
        <v>300</v>
      </c>
      <c r="AE27" t="s">
        <v>292</v>
      </c>
      <c r="AF27" t="s">
        <v>293</v>
      </c>
      <c r="AG27" t="s">
        <v>292</v>
      </c>
      <c r="AH27" t="s">
        <v>293</v>
      </c>
      <c r="AI27" t="s">
        <v>293</v>
      </c>
      <c r="AJ27" t="s">
        <v>302</v>
      </c>
      <c r="AK27" t="s">
        <v>302</v>
      </c>
      <c r="AL27" t="s">
        <v>359</v>
      </c>
      <c r="AM27" t="s">
        <v>293</v>
      </c>
      <c r="AN27" t="s">
        <v>293</v>
      </c>
      <c r="AO27" t="s">
        <v>297</v>
      </c>
      <c r="AP27" t="s">
        <v>298</v>
      </c>
      <c r="AQ27" t="s">
        <v>293</v>
      </c>
      <c r="AR27" t="s">
        <v>292</v>
      </c>
      <c r="AS27" t="s">
        <v>362</v>
      </c>
      <c r="AT27" t="s">
        <v>293</v>
      </c>
      <c r="AU27" t="s">
        <v>364</v>
      </c>
      <c r="AV27" t="str">
        <f t="shared" si="2"/>
        <v>no_fail</v>
      </c>
      <c r="AX27" t="s">
        <v>436</v>
      </c>
      <c r="AY27" t="s">
        <v>437</v>
      </c>
    </row>
    <row r="28" spans="1:51" x14ac:dyDescent="0.3">
      <c r="A28" t="s">
        <v>381</v>
      </c>
      <c r="B28" t="s">
        <v>288</v>
      </c>
      <c r="C28" t="s">
        <v>480</v>
      </c>
      <c r="D28" t="s">
        <v>288</v>
      </c>
      <c r="E28" t="str">
        <f t="shared" si="0"/>
        <v>b77M7</v>
      </c>
      <c r="F28" t="b">
        <v>1</v>
      </c>
      <c r="G28">
        <v>99.15</v>
      </c>
      <c r="H28">
        <f t="shared" si="1"/>
        <v>0</v>
      </c>
      <c r="I28">
        <v>6592</v>
      </c>
      <c r="J28" t="s">
        <v>13</v>
      </c>
      <c r="L28" t="s">
        <v>272</v>
      </c>
      <c r="M28">
        <v>3</v>
      </c>
      <c r="N28" t="s">
        <v>333</v>
      </c>
      <c r="O28" t="s">
        <v>278</v>
      </c>
      <c r="P28" t="s">
        <v>273</v>
      </c>
      <c r="Q28" t="s">
        <v>371</v>
      </c>
      <c r="R28" t="s">
        <v>371</v>
      </c>
      <c r="S28" t="s">
        <v>371</v>
      </c>
      <c r="T28" t="s">
        <v>341</v>
      </c>
      <c r="U28" t="s">
        <v>340</v>
      </c>
      <c r="V28" t="s">
        <v>343</v>
      </c>
      <c r="W28" t="s">
        <v>345</v>
      </c>
      <c r="X28" s="17" t="s">
        <v>291</v>
      </c>
      <c r="Y28" t="s">
        <v>350</v>
      </c>
      <c r="Z28" t="s">
        <v>349</v>
      </c>
      <c r="AA28" t="s">
        <v>293</v>
      </c>
      <c r="AB28" t="s">
        <v>353</v>
      </c>
      <c r="AC28" t="s">
        <v>297</v>
      </c>
      <c r="AD28" t="s">
        <v>299</v>
      </c>
      <c r="AE28" t="s">
        <v>292</v>
      </c>
      <c r="AF28" t="s">
        <v>293</v>
      </c>
      <c r="AG28" t="s">
        <v>292</v>
      </c>
      <c r="AH28" t="s">
        <v>293</v>
      </c>
      <c r="AI28" t="s">
        <v>293</v>
      </c>
      <c r="AJ28" t="s">
        <v>302</v>
      </c>
      <c r="AK28" t="s">
        <v>359</v>
      </c>
      <c r="AL28" t="s">
        <v>359</v>
      </c>
      <c r="AM28" t="s">
        <v>293</v>
      </c>
      <c r="AN28" t="s">
        <v>293</v>
      </c>
      <c r="AO28" t="s">
        <v>297</v>
      </c>
      <c r="AP28" t="s">
        <v>298</v>
      </c>
      <c r="AQ28" t="s">
        <v>360</v>
      </c>
      <c r="AR28" t="s">
        <v>292</v>
      </c>
      <c r="AS28" t="s">
        <v>293</v>
      </c>
      <c r="AT28" t="s">
        <v>293</v>
      </c>
      <c r="AU28" t="s">
        <v>364</v>
      </c>
      <c r="AV28" t="str">
        <f t="shared" si="2"/>
        <v>no_fail</v>
      </c>
      <c r="AX28" t="s">
        <v>481</v>
      </c>
      <c r="AY28" t="s">
        <v>482</v>
      </c>
    </row>
    <row r="29" spans="1:51" x14ac:dyDescent="0.3">
      <c r="A29" t="s">
        <v>381</v>
      </c>
      <c r="B29" t="s">
        <v>288</v>
      </c>
      <c r="C29" t="s">
        <v>528</v>
      </c>
      <c r="D29" t="s">
        <v>288</v>
      </c>
      <c r="E29" t="str">
        <f t="shared" si="0"/>
        <v>bD2r4</v>
      </c>
      <c r="F29" t="b">
        <v>1</v>
      </c>
      <c r="G29">
        <v>100</v>
      </c>
      <c r="H29">
        <f t="shared" si="1"/>
        <v>1</v>
      </c>
      <c r="I29">
        <v>4580</v>
      </c>
      <c r="J29" t="s">
        <v>13</v>
      </c>
      <c r="L29" t="s">
        <v>272</v>
      </c>
      <c r="M29">
        <v>3</v>
      </c>
      <c r="N29" t="s">
        <v>333</v>
      </c>
      <c r="O29" t="s">
        <v>280</v>
      </c>
      <c r="P29" t="s">
        <v>284</v>
      </c>
      <c r="Q29" t="s">
        <v>283</v>
      </c>
      <c r="R29" t="s">
        <v>282</v>
      </c>
      <c r="S29" t="s">
        <v>338</v>
      </c>
      <c r="T29" t="s">
        <v>340</v>
      </c>
      <c r="U29" t="s">
        <v>342</v>
      </c>
      <c r="V29" t="s">
        <v>343</v>
      </c>
      <c r="W29" t="s">
        <v>291</v>
      </c>
      <c r="X29" s="17"/>
      <c r="Y29" t="s">
        <v>350</v>
      </c>
      <c r="Z29" t="s">
        <v>351</v>
      </c>
      <c r="AA29" t="s">
        <v>292</v>
      </c>
      <c r="AB29" t="s">
        <v>352</v>
      </c>
      <c r="AC29" t="s">
        <v>297</v>
      </c>
      <c r="AD29" t="s">
        <v>299</v>
      </c>
      <c r="AE29" t="s">
        <v>292</v>
      </c>
      <c r="AF29" t="s">
        <v>293</v>
      </c>
      <c r="AG29" t="s">
        <v>292</v>
      </c>
      <c r="AH29" t="s">
        <v>293</v>
      </c>
      <c r="AI29" t="s">
        <v>293</v>
      </c>
      <c r="AJ29" t="s">
        <v>358</v>
      </c>
      <c r="AK29" t="s">
        <v>302</v>
      </c>
      <c r="AL29" t="s">
        <v>302</v>
      </c>
      <c r="AM29" t="s">
        <v>293</v>
      </c>
      <c r="AN29" t="s">
        <v>292</v>
      </c>
      <c r="AO29" t="s">
        <v>297</v>
      </c>
      <c r="AP29" t="s">
        <v>298</v>
      </c>
      <c r="AQ29" t="s">
        <v>293</v>
      </c>
      <c r="AR29" t="s">
        <v>292</v>
      </c>
      <c r="AS29" t="s">
        <v>293</v>
      </c>
      <c r="AT29" t="s">
        <v>293</v>
      </c>
      <c r="AU29" t="s">
        <v>364</v>
      </c>
      <c r="AV29" t="str">
        <f t="shared" si="2"/>
        <v>break</v>
      </c>
      <c r="AX29" t="s">
        <v>529</v>
      </c>
      <c r="AY29" t="s">
        <v>530</v>
      </c>
    </row>
    <row r="30" spans="1:51" x14ac:dyDescent="0.3">
      <c r="A30" t="s">
        <v>381</v>
      </c>
      <c r="B30" t="s">
        <v>288</v>
      </c>
      <c r="C30" t="s">
        <v>663</v>
      </c>
      <c r="D30" t="s">
        <v>288</v>
      </c>
      <c r="E30" t="str">
        <f t="shared" si="0"/>
        <v>bd98w</v>
      </c>
      <c r="F30" t="b">
        <v>1</v>
      </c>
      <c r="G30">
        <v>97.6</v>
      </c>
      <c r="H30">
        <f t="shared" si="1"/>
        <v>0</v>
      </c>
      <c r="I30">
        <v>7300</v>
      </c>
      <c r="J30" t="s">
        <v>13</v>
      </c>
      <c r="L30" t="s">
        <v>272</v>
      </c>
      <c r="M30">
        <v>3</v>
      </c>
      <c r="N30" t="s">
        <v>333</v>
      </c>
      <c r="O30" t="s">
        <v>278</v>
      </c>
      <c r="P30" t="s">
        <v>283</v>
      </c>
      <c r="Q30" t="s">
        <v>371</v>
      </c>
      <c r="R30" t="s">
        <v>371</v>
      </c>
      <c r="S30" t="s">
        <v>371</v>
      </c>
      <c r="T30" t="s">
        <v>341</v>
      </c>
      <c r="U30" t="s">
        <v>342</v>
      </c>
      <c r="V30" t="s">
        <v>343</v>
      </c>
      <c r="W30" t="s">
        <v>345</v>
      </c>
      <c r="X30" s="17" t="s">
        <v>347</v>
      </c>
      <c r="Y30" t="s">
        <v>349</v>
      </c>
      <c r="Z30" t="s">
        <v>349</v>
      </c>
      <c r="AA30" t="s">
        <v>293</v>
      </c>
      <c r="AB30" t="s">
        <v>353</v>
      </c>
      <c r="AC30" t="s">
        <v>297</v>
      </c>
      <c r="AD30" t="s">
        <v>300</v>
      </c>
      <c r="AE30" t="s">
        <v>292</v>
      </c>
      <c r="AF30" t="s">
        <v>293</v>
      </c>
      <c r="AG30" t="s">
        <v>292</v>
      </c>
      <c r="AH30" t="s">
        <v>293</v>
      </c>
      <c r="AI30" t="s">
        <v>293</v>
      </c>
      <c r="AJ30" t="s">
        <v>302</v>
      </c>
      <c r="AK30" t="s">
        <v>359</v>
      </c>
      <c r="AL30" t="s">
        <v>359</v>
      </c>
      <c r="AM30" t="s">
        <v>293</v>
      </c>
      <c r="AN30" t="s">
        <v>293</v>
      </c>
      <c r="AO30" t="s">
        <v>297</v>
      </c>
      <c r="AP30" t="s">
        <v>298</v>
      </c>
      <c r="AQ30" t="s">
        <v>360</v>
      </c>
      <c r="AR30" t="s">
        <v>292</v>
      </c>
      <c r="AS30" t="s">
        <v>293</v>
      </c>
      <c r="AT30" t="s">
        <v>293</v>
      </c>
      <c r="AU30" t="s">
        <v>364</v>
      </c>
      <c r="AV30" t="str">
        <f t="shared" si="2"/>
        <v>no_fail</v>
      </c>
      <c r="AX30" t="s">
        <v>664</v>
      </c>
      <c r="AY30" t="s">
        <v>665</v>
      </c>
    </row>
    <row r="31" spans="1:51" x14ac:dyDescent="0.3">
      <c r="A31" t="s">
        <v>381</v>
      </c>
      <c r="B31" t="s">
        <v>288</v>
      </c>
      <c r="C31" t="s">
        <v>669</v>
      </c>
      <c r="D31" t="s">
        <v>288</v>
      </c>
      <c r="E31" t="str">
        <f t="shared" si="0"/>
        <v>bdpx7</v>
      </c>
      <c r="F31" t="b">
        <v>1</v>
      </c>
      <c r="G31">
        <v>92.79</v>
      </c>
      <c r="H31">
        <f t="shared" si="1"/>
        <v>0</v>
      </c>
      <c r="I31">
        <v>11269</v>
      </c>
      <c r="J31" t="s">
        <v>13</v>
      </c>
      <c r="L31" t="s">
        <v>272</v>
      </c>
      <c r="M31">
        <v>3</v>
      </c>
      <c r="N31" t="s">
        <v>277</v>
      </c>
      <c r="O31" t="s">
        <v>335</v>
      </c>
      <c r="P31" t="s">
        <v>281</v>
      </c>
      <c r="Q31" t="s">
        <v>282</v>
      </c>
      <c r="R31" t="s">
        <v>371</v>
      </c>
      <c r="S31" t="s">
        <v>371</v>
      </c>
      <c r="T31" t="s">
        <v>341</v>
      </c>
      <c r="U31" t="s">
        <v>342</v>
      </c>
      <c r="V31" t="s">
        <v>343</v>
      </c>
      <c r="W31" t="s">
        <v>345</v>
      </c>
      <c r="X31" s="17"/>
      <c r="Y31" t="s">
        <v>349</v>
      </c>
      <c r="Z31" t="s">
        <v>349</v>
      </c>
      <c r="AA31" t="s">
        <v>293</v>
      </c>
      <c r="AB31" t="s">
        <v>353</v>
      </c>
      <c r="AC31" t="s">
        <v>355</v>
      </c>
      <c r="AD31" t="s">
        <v>299</v>
      </c>
      <c r="AE31" t="s">
        <v>292</v>
      </c>
      <c r="AF31" t="s">
        <v>293</v>
      </c>
      <c r="AG31" t="s">
        <v>292</v>
      </c>
      <c r="AH31" t="s">
        <v>292</v>
      </c>
      <c r="AI31" t="s">
        <v>293</v>
      </c>
      <c r="AJ31" t="s">
        <v>302</v>
      </c>
      <c r="AK31" t="s">
        <v>302</v>
      </c>
      <c r="AL31" t="s">
        <v>359</v>
      </c>
      <c r="AM31" t="s">
        <v>293</v>
      </c>
      <c r="AN31" t="s">
        <v>293</v>
      </c>
      <c r="AO31" t="s">
        <v>297</v>
      </c>
      <c r="AP31" t="s">
        <v>298</v>
      </c>
      <c r="AQ31" t="s">
        <v>293</v>
      </c>
      <c r="AR31" t="s">
        <v>292</v>
      </c>
      <c r="AS31" t="s">
        <v>293</v>
      </c>
      <c r="AT31" t="s">
        <v>293</v>
      </c>
      <c r="AU31" t="s">
        <v>364</v>
      </c>
      <c r="AV31" t="str">
        <f t="shared" si="2"/>
        <v>no_fail</v>
      </c>
      <c r="AX31" t="s">
        <v>670</v>
      </c>
      <c r="AY31" t="s">
        <v>671</v>
      </c>
    </row>
    <row r="32" spans="1:51" x14ac:dyDescent="0.3">
      <c r="A32" t="s">
        <v>381</v>
      </c>
      <c r="B32" t="s">
        <v>288</v>
      </c>
      <c r="C32" t="s">
        <v>651</v>
      </c>
      <c r="D32" t="s">
        <v>288</v>
      </c>
      <c r="E32" t="str">
        <f t="shared" si="0"/>
        <v>bjjNm</v>
      </c>
      <c r="F32" t="b">
        <v>1</v>
      </c>
      <c r="G32">
        <v>99.87</v>
      </c>
      <c r="H32">
        <f t="shared" si="1"/>
        <v>0</v>
      </c>
      <c r="I32">
        <v>8646</v>
      </c>
      <c r="J32" t="s">
        <v>13</v>
      </c>
      <c r="L32" t="s">
        <v>272</v>
      </c>
      <c r="M32">
        <v>3</v>
      </c>
      <c r="N32" t="s">
        <v>333</v>
      </c>
      <c r="O32" t="s">
        <v>278</v>
      </c>
      <c r="P32" t="s">
        <v>281</v>
      </c>
      <c r="Q32" t="s">
        <v>282</v>
      </c>
      <c r="R32" t="s">
        <v>371</v>
      </c>
      <c r="S32" t="s">
        <v>371</v>
      </c>
      <c r="T32" t="s">
        <v>341</v>
      </c>
      <c r="U32" t="s">
        <v>342</v>
      </c>
      <c r="V32" t="s">
        <v>343</v>
      </c>
      <c r="W32" t="s">
        <v>345</v>
      </c>
      <c r="X32" s="17"/>
      <c r="Y32" t="s">
        <v>349</v>
      </c>
      <c r="Z32" t="s">
        <v>349</v>
      </c>
      <c r="AA32" t="s">
        <v>293</v>
      </c>
      <c r="AB32" t="s">
        <v>353</v>
      </c>
      <c r="AC32" t="s">
        <v>297</v>
      </c>
      <c r="AD32" t="s">
        <v>299</v>
      </c>
      <c r="AE32" t="s">
        <v>292</v>
      </c>
      <c r="AF32" t="s">
        <v>293</v>
      </c>
      <c r="AG32" t="s">
        <v>292</v>
      </c>
      <c r="AH32" t="s">
        <v>293</v>
      </c>
      <c r="AI32" t="s">
        <v>293</v>
      </c>
      <c r="AJ32" t="s">
        <v>302</v>
      </c>
      <c r="AK32" t="s">
        <v>359</v>
      </c>
      <c r="AL32" t="s">
        <v>359</v>
      </c>
      <c r="AM32" t="s">
        <v>293</v>
      </c>
      <c r="AN32" t="s">
        <v>293</v>
      </c>
      <c r="AO32" t="s">
        <v>297</v>
      </c>
      <c r="AP32" t="s">
        <v>298</v>
      </c>
      <c r="AQ32" t="s">
        <v>293</v>
      </c>
      <c r="AR32" t="s">
        <v>292</v>
      </c>
      <c r="AS32" t="s">
        <v>362</v>
      </c>
      <c r="AT32" t="s">
        <v>293</v>
      </c>
      <c r="AU32" t="s">
        <v>364</v>
      </c>
      <c r="AV32" t="str">
        <f t="shared" si="2"/>
        <v>no_fail</v>
      </c>
      <c r="AX32" t="s">
        <v>652</v>
      </c>
      <c r="AY32" t="s">
        <v>653</v>
      </c>
    </row>
    <row r="33" spans="1:51" x14ac:dyDescent="0.3">
      <c r="A33" t="s">
        <v>381</v>
      </c>
      <c r="B33" t="s">
        <v>288</v>
      </c>
      <c r="C33" t="s">
        <v>633</v>
      </c>
      <c r="D33" t="s">
        <v>288</v>
      </c>
      <c r="E33" t="str">
        <f t="shared" si="0"/>
        <v>BNPjd</v>
      </c>
      <c r="F33" t="b">
        <v>1</v>
      </c>
      <c r="G33">
        <v>100</v>
      </c>
      <c r="H33">
        <f t="shared" si="1"/>
        <v>1</v>
      </c>
      <c r="I33">
        <v>14534</v>
      </c>
      <c r="J33" t="s">
        <v>18</v>
      </c>
      <c r="L33" t="s">
        <v>272</v>
      </c>
      <c r="M33">
        <v>2</v>
      </c>
      <c r="N33" t="s">
        <v>333</v>
      </c>
      <c r="O33" t="s">
        <v>278</v>
      </c>
      <c r="P33" t="s">
        <v>287</v>
      </c>
      <c r="Q33" t="s">
        <v>371</v>
      </c>
      <c r="R33" t="s">
        <v>371</v>
      </c>
      <c r="S33" t="s">
        <v>371</v>
      </c>
      <c r="T33" t="s">
        <v>340</v>
      </c>
      <c r="U33" t="s">
        <v>342</v>
      </c>
      <c r="V33" t="s">
        <v>343</v>
      </c>
      <c r="W33" t="s">
        <v>291</v>
      </c>
      <c r="X33" s="17"/>
      <c r="Y33" t="s">
        <v>351</v>
      </c>
      <c r="Z33" t="s">
        <v>349</v>
      </c>
      <c r="AA33" t="s">
        <v>293</v>
      </c>
      <c r="AB33" t="s">
        <v>352</v>
      </c>
      <c r="AC33" t="s">
        <v>296</v>
      </c>
      <c r="AD33" t="s">
        <v>300</v>
      </c>
      <c r="AE33" t="s">
        <v>292</v>
      </c>
      <c r="AF33" t="s">
        <v>293</v>
      </c>
      <c r="AG33" t="s">
        <v>292</v>
      </c>
      <c r="AH33" t="s">
        <v>292</v>
      </c>
      <c r="AI33" t="s">
        <v>293</v>
      </c>
      <c r="AJ33" t="s">
        <v>302</v>
      </c>
      <c r="AK33" t="s">
        <v>357</v>
      </c>
      <c r="AL33" t="s">
        <v>359</v>
      </c>
      <c r="AM33" t="s">
        <v>293</v>
      </c>
      <c r="AN33" t="s">
        <v>293</v>
      </c>
      <c r="AO33" t="s">
        <v>296</v>
      </c>
      <c r="AP33" t="s">
        <v>298</v>
      </c>
      <c r="AQ33" t="s">
        <v>293</v>
      </c>
      <c r="AR33" t="s">
        <v>292</v>
      </c>
      <c r="AS33" t="s">
        <v>293</v>
      </c>
      <c r="AT33" t="s">
        <v>293</v>
      </c>
      <c r="AU33" t="s">
        <v>687</v>
      </c>
      <c r="AV33" t="str">
        <f t="shared" si="2"/>
        <v>break</v>
      </c>
      <c r="AX33" t="s">
        <v>634</v>
      </c>
      <c r="AY33" t="s">
        <v>635</v>
      </c>
    </row>
    <row r="34" spans="1:51" x14ac:dyDescent="0.3">
      <c r="A34" t="s">
        <v>381</v>
      </c>
      <c r="B34" t="s">
        <v>288</v>
      </c>
      <c r="C34" t="s">
        <v>591</v>
      </c>
      <c r="D34" t="s">
        <v>288</v>
      </c>
      <c r="E34" t="str">
        <f t="shared" ref="E34:E65" si="4">C34</f>
        <v>D5eOO</v>
      </c>
      <c r="F34" t="b">
        <v>1</v>
      </c>
      <c r="G34">
        <v>57</v>
      </c>
      <c r="H34">
        <f t="shared" ref="H34:H65" si="5">IF(G34=100,1,0)</f>
        <v>0</v>
      </c>
      <c r="I34">
        <v>9673</v>
      </c>
      <c r="J34" t="s">
        <v>13</v>
      </c>
      <c r="L34" t="s">
        <v>272</v>
      </c>
      <c r="M34">
        <v>3</v>
      </c>
      <c r="N34" t="s">
        <v>277</v>
      </c>
      <c r="O34" t="s">
        <v>335</v>
      </c>
      <c r="P34" t="s">
        <v>282</v>
      </c>
      <c r="Q34" t="s">
        <v>371</v>
      </c>
      <c r="R34" t="s">
        <v>371</v>
      </c>
      <c r="S34" t="s">
        <v>371</v>
      </c>
      <c r="T34" t="s">
        <v>341</v>
      </c>
      <c r="U34" t="s">
        <v>342</v>
      </c>
      <c r="V34" t="s">
        <v>343</v>
      </c>
      <c r="W34" t="s">
        <v>345</v>
      </c>
      <c r="X34" s="17" t="s">
        <v>344</v>
      </c>
      <c r="Y34" t="s">
        <v>349</v>
      </c>
      <c r="Z34" t="s">
        <v>349</v>
      </c>
      <c r="AA34" t="s">
        <v>293</v>
      </c>
      <c r="AB34" t="s">
        <v>353</v>
      </c>
      <c r="AC34" t="s">
        <v>297</v>
      </c>
      <c r="AD34" t="s">
        <v>300</v>
      </c>
      <c r="AE34" t="s">
        <v>292</v>
      </c>
      <c r="AF34" t="s">
        <v>293</v>
      </c>
      <c r="AG34" t="s">
        <v>292</v>
      </c>
      <c r="AH34" t="s">
        <v>293</v>
      </c>
      <c r="AI34" t="s">
        <v>293</v>
      </c>
      <c r="AJ34" t="s">
        <v>302</v>
      </c>
      <c r="AK34" t="s">
        <v>302</v>
      </c>
      <c r="AL34" t="s">
        <v>359</v>
      </c>
      <c r="AM34" t="s">
        <v>293</v>
      </c>
      <c r="AN34" t="s">
        <v>293</v>
      </c>
      <c r="AO34" t="s">
        <v>297</v>
      </c>
      <c r="AP34" t="s">
        <v>298</v>
      </c>
      <c r="AQ34" t="s">
        <v>293</v>
      </c>
      <c r="AR34" t="s">
        <v>292</v>
      </c>
      <c r="AS34" t="s">
        <v>293</v>
      </c>
      <c r="AT34" t="s">
        <v>293</v>
      </c>
      <c r="AU34" t="s">
        <v>364</v>
      </c>
      <c r="AV34" t="str">
        <f t="shared" si="2"/>
        <v>no_fail</v>
      </c>
      <c r="AX34" t="s">
        <v>592</v>
      </c>
      <c r="AY34" t="s">
        <v>593</v>
      </c>
    </row>
    <row r="35" spans="1:51" x14ac:dyDescent="0.3">
      <c r="A35" t="s">
        <v>381</v>
      </c>
      <c r="B35" t="s">
        <v>288</v>
      </c>
      <c r="C35" t="s">
        <v>456</v>
      </c>
      <c r="D35" t="s">
        <v>288</v>
      </c>
      <c r="E35" t="str">
        <f t="shared" si="4"/>
        <v>D5GKP</v>
      </c>
      <c r="F35" t="b">
        <v>1</v>
      </c>
      <c r="G35">
        <v>99</v>
      </c>
      <c r="H35">
        <f t="shared" si="5"/>
        <v>0</v>
      </c>
      <c r="I35">
        <v>7729</v>
      </c>
      <c r="J35" t="s">
        <v>13</v>
      </c>
      <c r="L35" t="s">
        <v>272</v>
      </c>
      <c r="M35">
        <v>3</v>
      </c>
      <c r="N35" t="s">
        <v>277</v>
      </c>
      <c r="O35" t="s">
        <v>335</v>
      </c>
      <c r="P35" t="s">
        <v>281</v>
      </c>
      <c r="Q35" t="s">
        <v>282</v>
      </c>
      <c r="R35" t="s">
        <v>371</v>
      </c>
      <c r="S35" t="s">
        <v>371</v>
      </c>
      <c r="T35" t="s">
        <v>341</v>
      </c>
      <c r="U35" t="s">
        <v>340</v>
      </c>
      <c r="V35" t="s">
        <v>343</v>
      </c>
      <c r="W35" t="s">
        <v>345</v>
      </c>
      <c r="X35" s="17"/>
      <c r="Y35" t="s">
        <v>350</v>
      </c>
      <c r="Z35" t="s">
        <v>349</v>
      </c>
      <c r="AA35" t="s">
        <v>293</v>
      </c>
      <c r="AB35" t="s">
        <v>353</v>
      </c>
      <c r="AC35" t="s">
        <v>355</v>
      </c>
      <c r="AD35" t="s">
        <v>299</v>
      </c>
      <c r="AE35" t="s">
        <v>292</v>
      </c>
      <c r="AF35" t="s">
        <v>293</v>
      </c>
      <c r="AG35" t="s">
        <v>292</v>
      </c>
      <c r="AH35" t="s">
        <v>292</v>
      </c>
      <c r="AI35" t="s">
        <v>293</v>
      </c>
      <c r="AJ35" t="s">
        <v>302</v>
      </c>
      <c r="AK35" t="s">
        <v>302</v>
      </c>
      <c r="AL35" t="s">
        <v>359</v>
      </c>
      <c r="AM35" t="s">
        <v>293</v>
      </c>
      <c r="AN35" t="s">
        <v>293</v>
      </c>
      <c r="AO35" t="s">
        <v>297</v>
      </c>
      <c r="AP35" t="s">
        <v>298</v>
      </c>
      <c r="AQ35" t="s">
        <v>293</v>
      </c>
      <c r="AR35" t="s">
        <v>292</v>
      </c>
      <c r="AS35" t="s">
        <v>293</v>
      </c>
      <c r="AT35" t="s">
        <v>293</v>
      </c>
      <c r="AU35" t="s">
        <v>364</v>
      </c>
      <c r="AV35" t="str">
        <f t="shared" si="2"/>
        <v>no_fail</v>
      </c>
      <c r="AX35" t="s">
        <v>457</v>
      </c>
      <c r="AY35" t="s">
        <v>458</v>
      </c>
    </row>
    <row r="36" spans="1:51" x14ac:dyDescent="0.3">
      <c r="A36" t="s">
        <v>381</v>
      </c>
      <c r="B36" t="s">
        <v>288</v>
      </c>
      <c r="C36" t="s">
        <v>537</v>
      </c>
      <c r="D36" t="s">
        <v>288</v>
      </c>
      <c r="E36" t="str">
        <f t="shared" si="4"/>
        <v>dol5G</v>
      </c>
      <c r="F36" t="b">
        <v>1</v>
      </c>
      <c r="G36">
        <v>65</v>
      </c>
      <c r="H36">
        <f t="shared" si="5"/>
        <v>0</v>
      </c>
      <c r="I36">
        <v>11871</v>
      </c>
      <c r="J36" t="s">
        <v>13</v>
      </c>
      <c r="L36" t="s">
        <v>272</v>
      </c>
      <c r="M36">
        <v>3</v>
      </c>
      <c r="N36" t="s">
        <v>277</v>
      </c>
      <c r="O36" t="s">
        <v>335</v>
      </c>
      <c r="P36" t="s">
        <v>283</v>
      </c>
      <c r="Q36" t="s">
        <v>282</v>
      </c>
      <c r="R36" t="s">
        <v>371</v>
      </c>
      <c r="S36" t="s">
        <v>371</v>
      </c>
      <c r="T36" t="s">
        <v>341</v>
      </c>
      <c r="U36" t="s">
        <v>342</v>
      </c>
      <c r="V36" t="s">
        <v>343</v>
      </c>
      <c r="W36" t="s">
        <v>344</v>
      </c>
      <c r="X36" s="17"/>
      <c r="Y36" t="s">
        <v>349</v>
      </c>
      <c r="Z36" t="s">
        <v>349</v>
      </c>
      <c r="AA36" t="s">
        <v>293</v>
      </c>
      <c r="AB36" t="s">
        <v>353</v>
      </c>
      <c r="AC36" t="s">
        <v>297</v>
      </c>
      <c r="AD36" t="s">
        <v>301</v>
      </c>
      <c r="AE36" t="s">
        <v>292</v>
      </c>
      <c r="AF36" t="s">
        <v>293</v>
      </c>
      <c r="AG36" t="s">
        <v>292</v>
      </c>
      <c r="AH36" t="s">
        <v>293</v>
      </c>
      <c r="AI36" t="s">
        <v>293</v>
      </c>
      <c r="AJ36" t="s">
        <v>302</v>
      </c>
      <c r="AK36" t="s">
        <v>302</v>
      </c>
      <c r="AL36" t="s">
        <v>359</v>
      </c>
      <c r="AM36" t="s">
        <v>293</v>
      </c>
      <c r="AN36" t="s">
        <v>293</v>
      </c>
      <c r="AO36" t="s">
        <v>297</v>
      </c>
      <c r="AP36" t="s">
        <v>298</v>
      </c>
      <c r="AQ36" t="s">
        <v>293</v>
      </c>
      <c r="AR36" t="s">
        <v>292</v>
      </c>
      <c r="AS36" t="s">
        <v>293</v>
      </c>
      <c r="AT36" t="s">
        <v>293</v>
      </c>
      <c r="AU36" t="s">
        <v>364</v>
      </c>
      <c r="AV36" t="str">
        <f t="shared" si="2"/>
        <v>no_fail</v>
      </c>
      <c r="AX36" t="s">
        <v>538</v>
      </c>
      <c r="AY36" t="s">
        <v>539</v>
      </c>
    </row>
    <row r="37" spans="1:51" x14ac:dyDescent="0.3">
      <c r="A37" t="s">
        <v>381</v>
      </c>
      <c r="B37" t="s">
        <v>288</v>
      </c>
      <c r="C37" t="s">
        <v>471</v>
      </c>
      <c r="D37" t="s">
        <v>288</v>
      </c>
      <c r="E37" t="str">
        <f t="shared" si="4"/>
        <v>doRRG</v>
      </c>
      <c r="F37" t="b">
        <v>1</v>
      </c>
      <c r="G37">
        <v>85.5</v>
      </c>
      <c r="H37">
        <f t="shared" si="5"/>
        <v>0</v>
      </c>
      <c r="I37">
        <v>14998</v>
      </c>
      <c r="J37" t="s">
        <v>13</v>
      </c>
      <c r="L37" t="s">
        <v>272</v>
      </c>
      <c r="M37">
        <v>3</v>
      </c>
      <c r="N37" t="s">
        <v>277</v>
      </c>
      <c r="O37" t="s">
        <v>335</v>
      </c>
      <c r="P37" t="s">
        <v>281</v>
      </c>
      <c r="Q37" t="s">
        <v>285</v>
      </c>
      <c r="R37" t="s">
        <v>282</v>
      </c>
      <c r="S37" t="s">
        <v>371</v>
      </c>
      <c r="T37" t="s">
        <v>341</v>
      </c>
      <c r="U37" t="s">
        <v>342</v>
      </c>
      <c r="V37" t="s">
        <v>343</v>
      </c>
      <c r="W37" t="s">
        <v>344</v>
      </c>
      <c r="X37" s="17"/>
      <c r="Y37" t="s">
        <v>350</v>
      </c>
      <c r="Z37" t="s">
        <v>349</v>
      </c>
      <c r="AA37" t="s">
        <v>293</v>
      </c>
      <c r="AB37" t="s">
        <v>353</v>
      </c>
      <c r="AC37" t="s">
        <v>297</v>
      </c>
      <c r="AD37" t="s">
        <v>301</v>
      </c>
      <c r="AE37" t="s">
        <v>292</v>
      </c>
      <c r="AF37" t="s">
        <v>292</v>
      </c>
      <c r="AG37" t="s">
        <v>292</v>
      </c>
      <c r="AH37" t="s">
        <v>292</v>
      </c>
      <c r="AI37" t="s">
        <v>293</v>
      </c>
      <c r="AJ37" t="s">
        <v>302</v>
      </c>
      <c r="AK37" t="s">
        <v>302</v>
      </c>
      <c r="AL37" t="s">
        <v>359</v>
      </c>
      <c r="AM37" t="s">
        <v>293</v>
      </c>
      <c r="AN37" t="s">
        <v>293</v>
      </c>
      <c r="AO37" t="s">
        <v>297</v>
      </c>
      <c r="AP37" t="s">
        <v>298</v>
      </c>
      <c r="AQ37" t="s">
        <v>360</v>
      </c>
      <c r="AR37" t="s">
        <v>292</v>
      </c>
      <c r="AS37" t="s">
        <v>293</v>
      </c>
      <c r="AT37" t="s">
        <v>293</v>
      </c>
      <c r="AU37" t="s">
        <v>364</v>
      </c>
      <c r="AV37" t="str">
        <f t="shared" si="2"/>
        <v>no_fail</v>
      </c>
      <c r="AX37" t="s">
        <v>472</v>
      </c>
      <c r="AY37" t="s">
        <v>473</v>
      </c>
    </row>
    <row r="38" spans="1:51" x14ac:dyDescent="0.3">
      <c r="A38" t="s">
        <v>381</v>
      </c>
      <c r="B38" t="s">
        <v>288</v>
      </c>
      <c r="C38" t="s">
        <v>546</v>
      </c>
      <c r="D38" t="s">
        <v>288</v>
      </c>
      <c r="E38" t="str">
        <f t="shared" si="4"/>
        <v>Dz244</v>
      </c>
      <c r="F38" t="b">
        <v>1</v>
      </c>
      <c r="G38">
        <v>100</v>
      </c>
      <c r="H38">
        <f t="shared" si="5"/>
        <v>1</v>
      </c>
      <c r="I38">
        <v>14988</v>
      </c>
      <c r="J38" t="s">
        <v>18</v>
      </c>
      <c r="L38" t="s">
        <v>272</v>
      </c>
      <c r="M38">
        <v>3</v>
      </c>
      <c r="N38" t="s">
        <v>277</v>
      </c>
      <c r="O38" t="s">
        <v>335</v>
      </c>
      <c r="P38" t="s">
        <v>282</v>
      </c>
      <c r="Q38" t="s">
        <v>371</v>
      </c>
      <c r="R38" t="s">
        <v>371</v>
      </c>
      <c r="S38" t="s">
        <v>371</v>
      </c>
      <c r="T38" t="s">
        <v>341</v>
      </c>
      <c r="U38" t="s">
        <v>342</v>
      </c>
      <c r="V38" t="s">
        <v>343</v>
      </c>
      <c r="W38" t="s">
        <v>291</v>
      </c>
      <c r="X38" s="17"/>
      <c r="Y38" t="s">
        <v>349</v>
      </c>
      <c r="Z38" t="s">
        <v>349</v>
      </c>
      <c r="AA38" t="s">
        <v>293</v>
      </c>
      <c r="AB38" t="s">
        <v>353</v>
      </c>
      <c r="AC38" t="s">
        <v>296</v>
      </c>
      <c r="AD38" t="s">
        <v>299</v>
      </c>
      <c r="AE38" t="s">
        <v>292</v>
      </c>
      <c r="AF38" t="s">
        <v>292</v>
      </c>
      <c r="AG38" t="s">
        <v>292</v>
      </c>
      <c r="AH38" t="s">
        <v>292</v>
      </c>
      <c r="AI38" t="s">
        <v>293</v>
      </c>
      <c r="AJ38" t="s">
        <v>302</v>
      </c>
      <c r="AK38" t="s">
        <v>302</v>
      </c>
      <c r="AL38" t="s">
        <v>359</v>
      </c>
      <c r="AM38" t="s">
        <v>293</v>
      </c>
      <c r="AN38" t="s">
        <v>293</v>
      </c>
      <c r="AO38" t="s">
        <v>296</v>
      </c>
      <c r="AP38" t="s">
        <v>298</v>
      </c>
      <c r="AQ38" t="s">
        <v>361</v>
      </c>
      <c r="AR38" t="s">
        <v>292</v>
      </c>
      <c r="AS38" t="s">
        <v>293</v>
      </c>
      <c r="AT38" t="s">
        <v>293</v>
      </c>
      <c r="AU38" t="s">
        <v>364</v>
      </c>
      <c r="AV38" t="str">
        <f t="shared" si="2"/>
        <v>break</v>
      </c>
      <c r="AX38" t="s">
        <v>547</v>
      </c>
      <c r="AY38" t="s">
        <v>548</v>
      </c>
    </row>
    <row r="39" spans="1:51" x14ac:dyDescent="0.3">
      <c r="A39" t="s">
        <v>381</v>
      </c>
      <c r="B39" t="s">
        <v>288</v>
      </c>
      <c r="C39" t="s">
        <v>468</v>
      </c>
      <c r="D39" t="s">
        <v>288</v>
      </c>
      <c r="E39" t="str">
        <f t="shared" si="4"/>
        <v>Dzmd4</v>
      </c>
      <c r="F39" t="b">
        <v>1</v>
      </c>
      <c r="G39">
        <v>82.3</v>
      </c>
      <c r="H39">
        <f t="shared" si="5"/>
        <v>0</v>
      </c>
      <c r="I39">
        <v>6759</v>
      </c>
      <c r="J39" t="s">
        <v>13</v>
      </c>
      <c r="L39" t="s">
        <v>272</v>
      </c>
      <c r="M39">
        <v>3</v>
      </c>
      <c r="N39" t="s">
        <v>277</v>
      </c>
      <c r="O39" t="s">
        <v>335</v>
      </c>
      <c r="P39" t="s">
        <v>281</v>
      </c>
      <c r="Q39" t="s">
        <v>282</v>
      </c>
      <c r="R39" t="s">
        <v>284</v>
      </c>
      <c r="S39" t="s">
        <v>371</v>
      </c>
      <c r="T39" t="s">
        <v>341</v>
      </c>
      <c r="U39" t="s">
        <v>342</v>
      </c>
      <c r="V39" t="s">
        <v>343</v>
      </c>
      <c r="W39" t="s">
        <v>344</v>
      </c>
      <c r="X39" s="17"/>
      <c r="Y39" t="s">
        <v>350</v>
      </c>
      <c r="Z39" t="s">
        <v>349</v>
      </c>
      <c r="AA39" t="s">
        <v>293</v>
      </c>
      <c r="AB39" t="s">
        <v>353</v>
      </c>
      <c r="AC39" t="s">
        <v>297</v>
      </c>
      <c r="AD39" t="s">
        <v>299</v>
      </c>
      <c r="AE39" t="s">
        <v>292</v>
      </c>
      <c r="AF39" t="s">
        <v>293</v>
      </c>
      <c r="AG39" t="s">
        <v>292</v>
      </c>
      <c r="AH39" t="s">
        <v>293</v>
      </c>
      <c r="AI39" t="s">
        <v>293</v>
      </c>
      <c r="AJ39" t="s">
        <v>302</v>
      </c>
      <c r="AK39" t="s">
        <v>302</v>
      </c>
      <c r="AL39" t="s">
        <v>359</v>
      </c>
      <c r="AM39" t="s">
        <v>293</v>
      </c>
      <c r="AN39" t="s">
        <v>293</v>
      </c>
      <c r="AO39" t="s">
        <v>297</v>
      </c>
      <c r="AP39" t="s">
        <v>298</v>
      </c>
      <c r="AQ39" t="s">
        <v>293</v>
      </c>
      <c r="AR39" t="s">
        <v>292</v>
      </c>
      <c r="AS39" t="s">
        <v>293</v>
      </c>
      <c r="AT39" t="s">
        <v>293</v>
      </c>
      <c r="AU39" t="s">
        <v>364</v>
      </c>
      <c r="AV39" t="str">
        <f t="shared" si="2"/>
        <v>no_fail</v>
      </c>
      <c r="AX39" t="s">
        <v>469</v>
      </c>
      <c r="AY39" t="s">
        <v>470</v>
      </c>
    </row>
    <row r="40" spans="1:51" x14ac:dyDescent="0.3">
      <c r="A40" t="s">
        <v>381</v>
      </c>
      <c r="B40" t="s">
        <v>288</v>
      </c>
      <c r="C40" t="s">
        <v>396</v>
      </c>
      <c r="D40" t="s">
        <v>288</v>
      </c>
      <c r="E40" t="str">
        <f t="shared" si="4"/>
        <v>e3zza</v>
      </c>
      <c r="F40" t="b">
        <v>1</v>
      </c>
      <c r="G40">
        <v>100</v>
      </c>
      <c r="H40">
        <f t="shared" si="5"/>
        <v>1</v>
      </c>
      <c r="I40">
        <v>12690</v>
      </c>
      <c r="J40" t="s">
        <v>18</v>
      </c>
      <c r="L40" t="s">
        <v>273</v>
      </c>
      <c r="M40">
        <v>2</v>
      </c>
      <c r="N40" t="s">
        <v>333</v>
      </c>
      <c r="O40" t="s">
        <v>278</v>
      </c>
      <c r="P40" t="s">
        <v>283</v>
      </c>
      <c r="Q40" t="s">
        <v>371</v>
      </c>
      <c r="R40" t="s">
        <v>371</v>
      </c>
      <c r="S40" t="s">
        <v>371</v>
      </c>
      <c r="T40" t="s">
        <v>341</v>
      </c>
      <c r="U40" t="s">
        <v>340</v>
      </c>
      <c r="V40" t="s">
        <v>343</v>
      </c>
      <c r="W40" t="s">
        <v>345</v>
      </c>
      <c r="X40" s="17"/>
      <c r="Y40" t="s">
        <v>349</v>
      </c>
      <c r="Z40" t="s">
        <v>349</v>
      </c>
      <c r="AA40" t="s">
        <v>293</v>
      </c>
      <c r="AB40" t="s">
        <v>352</v>
      </c>
      <c r="AC40" t="s">
        <v>296</v>
      </c>
      <c r="AD40" t="s">
        <v>301</v>
      </c>
      <c r="AE40" t="s">
        <v>292</v>
      </c>
      <c r="AF40" t="s">
        <v>293</v>
      </c>
      <c r="AG40" t="s">
        <v>292</v>
      </c>
      <c r="AH40" t="s">
        <v>292</v>
      </c>
      <c r="AI40" t="s">
        <v>293</v>
      </c>
      <c r="AJ40" t="s">
        <v>302</v>
      </c>
      <c r="AK40" t="s">
        <v>357</v>
      </c>
      <c r="AL40" t="s">
        <v>359</v>
      </c>
      <c r="AM40" t="s">
        <v>293</v>
      </c>
      <c r="AN40" t="s">
        <v>293</v>
      </c>
      <c r="AO40" t="s">
        <v>297</v>
      </c>
      <c r="AP40" t="s">
        <v>298</v>
      </c>
      <c r="AQ40" t="s">
        <v>293</v>
      </c>
      <c r="AR40" t="s">
        <v>292</v>
      </c>
      <c r="AS40" t="s">
        <v>293</v>
      </c>
      <c r="AT40" t="s">
        <v>293</v>
      </c>
      <c r="AU40" t="s">
        <v>364</v>
      </c>
      <c r="AV40" t="str">
        <f t="shared" si="2"/>
        <v>break</v>
      </c>
      <c r="AX40" t="s">
        <v>397</v>
      </c>
      <c r="AY40" t="s">
        <v>398</v>
      </c>
    </row>
    <row r="41" spans="1:51" x14ac:dyDescent="0.3">
      <c r="A41" t="s">
        <v>381</v>
      </c>
      <c r="B41" t="s">
        <v>288</v>
      </c>
      <c r="C41" t="s">
        <v>606</v>
      </c>
      <c r="D41" t="s">
        <v>288</v>
      </c>
      <c r="E41" t="str">
        <f t="shared" si="4"/>
        <v>EB3WD</v>
      </c>
      <c r="F41" t="b">
        <v>1</v>
      </c>
      <c r="G41">
        <v>98.7</v>
      </c>
      <c r="H41">
        <f t="shared" si="5"/>
        <v>0</v>
      </c>
      <c r="I41">
        <v>8241</v>
      </c>
      <c r="J41" t="s">
        <v>13</v>
      </c>
      <c r="L41" t="s">
        <v>272</v>
      </c>
      <c r="M41">
        <v>3</v>
      </c>
      <c r="N41" t="s">
        <v>333</v>
      </c>
      <c r="O41" t="s">
        <v>278</v>
      </c>
      <c r="P41" t="s">
        <v>283</v>
      </c>
      <c r="Q41" t="s">
        <v>371</v>
      </c>
      <c r="R41" t="s">
        <v>371</v>
      </c>
      <c r="S41" t="s">
        <v>371</v>
      </c>
      <c r="T41" t="s">
        <v>341</v>
      </c>
      <c r="U41" t="s">
        <v>340</v>
      </c>
      <c r="V41" t="s">
        <v>343</v>
      </c>
      <c r="W41" t="s">
        <v>344</v>
      </c>
      <c r="X41" s="17"/>
      <c r="Y41" t="s">
        <v>349</v>
      </c>
      <c r="Z41" t="s">
        <v>349</v>
      </c>
      <c r="AA41" t="s">
        <v>293</v>
      </c>
      <c r="AB41" t="s">
        <v>352</v>
      </c>
      <c r="AC41" t="s">
        <v>297</v>
      </c>
      <c r="AD41" t="s">
        <v>300</v>
      </c>
      <c r="AE41" t="s">
        <v>292</v>
      </c>
      <c r="AF41" t="s">
        <v>292</v>
      </c>
      <c r="AG41" t="s">
        <v>292</v>
      </c>
      <c r="AH41" t="s">
        <v>293</v>
      </c>
      <c r="AI41" t="s">
        <v>293</v>
      </c>
      <c r="AJ41" t="s">
        <v>302</v>
      </c>
      <c r="AK41" t="s">
        <v>359</v>
      </c>
      <c r="AL41" t="s">
        <v>359</v>
      </c>
      <c r="AM41" t="s">
        <v>293</v>
      </c>
      <c r="AN41" t="s">
        <v>293</v>
      </c>
      <c r="AO41" t="s">
        <v>297</v>
      </c>
      <c r="AP41" t="s">
        <v>298</v>
      </c>
      <c r="AQ41" t="s">
        <v>293</v>
      </c>
      <c r="AR41" t="s">
        <v>292</v>
      </c>
      <c r="AS41" t="s">
        <v>293</v>
      </c>
      <c r="AT41" t="s">
        <v>293</v>
      </c>
      <c r="AU41" t="s">
        <v>364</v>
      </c>
      <c r="AV41" t="str">
        <f t="shared" si="2"/>
        <v>no_fail</v>
      </c>
      <c r="AX41" t="s">
        <v>607</v>
      </c>
      <c r="AY41" t="s">
        <v>608</v>
      </c>
    </row>
    <row r="42" spans="1:51" x14ac:dyDescent="0.3">
      <c r="A42" t="s">
        <v>381</v>
      </c>
      <c r="B42" t="s">
        <v>288</v>
      </c>
      <c r="C42" t="s">
        <v>609</v>
      </c>
      <c r="D42" t="s">
        <v>288</v>
      </c>
      <c r="E42" t="str">
        <f t="shared" si="4"/>
        <v>EB5ye</v>
      </c>
      <c r="F42" t="b">
        <v>1</v>
      </c>
      <c r="G42">
        <v>100</v>
      </c>
      <c r="H42">
        <f t="shared" si="5"/>
        <v>1</v>
      </c>
      <c r="I42">
        <v>14773</v>
      </c>
      <c r="J42" t="s">
        <v>13</v>
      </c>
      <c r="L42" t="s">
        <v>272</v>
      </c>
      <c r="M42">
        <v>3</v>
      </c>
      <c r="N42" t="s">
        <v>277</v>
      </c>
      <c r="O42" t="s">
        <v>335</v>
      </c>
      <c r="P42" t="s">
        <v>282</v>
      </c>
      <c r="Q42" t="s">
        <v>371</v>
      </c>
      <c r="R42" t="s">
        <v>371</v>
      </c>
      <c r="S42" t="s">
        <v>371</v>
      </c>
      <c r="T42" t="s">
        <v>340</v>
      </c>
      <c r="U42" t="s">
        <v>342</v>
      </c>
      <c r="V42" t="s">
        <v>343</v>
      </c>
      <c r="W42" t="s">
        <v>344</v>
      </c>
      <c r="X42" s="17"/>
      <c r="Y42" t="s">
        <v>349</v>
      </c>
      <c r="Z42" t="s">
        <v>349</v>
      </c>
      <c r="AA42" t="s">
        <v>293</v>
      </c>
      <c r="AB42" t="s">
        <v>352</v>
      </c>
      <c r="AC42" t="s">
        <v>297</v>
      </c>
      <c r="AD42" t="s">
        <v>300</v>
      </c>
      <c r="AE42" t="s">
        <v>292</v>
      </c>
      <c r="AF42" t="s">
        <v>293</v>
      </c>
      <c r="AG42" t="s">
        <v>292</v>
      </c>
      <c r="AH42" t="s">
        <v>292</v>
      </c>
      <c r="AI42" t="s">
        <v>293</v>
      </c>
      <c r="AJ42" t="s">
        <v>302</v>
      </c>
      <c r="AK42" t="s">
        <v>302</v>
      </c>
      <c r="AL42" t="s">
        <v>359</v>
      </c>
      <c r="AM42" t="s">
        <v>293</v>
      </c>
      <c r="AN42" t="s">
        <v>293</v>
      </c>
      <c r="AO42" t="s">
        <v>296</v>
      </c>
      <c r="AP42" t="s">
        <v>298</v>
      </c>
      <c r="AQ42" t="s">
        <v>293</v>
      </c>
      <c r="AR42" t="s">
        <v>292</v>
      </c>
      <c r="AS42" t="s">
        <v>293</v>
      </c>
      <c r="AT42" t="s">
        <v>293</v>
      </c>
      <c r="AU42" t="s">
        <v>364</v>
      </c>
      <c r="AV42" t="str">
        <f t="shared" si="2"/>
        <v>break</v>
      </c>
      <c r="AX42" t="s">
        <v>610</v>
      </c>
      <c r="AY42" t="s">
        <v>611</v>
      </c>
    </row>
    <row r="43" spans="1:51" x14ac:dyDescent="0.3">
      <c r="A43" t="s">
        <v>381</v>
      </c>
      <c r="B43" t="s">
        <v>288</v>
      </c>
      <c r="C43" t="s">
        <v>624</v>
      </c>
      <c r="D43" t="s">
        <v>288</v>
      </c>
      <c r="E43" t="str">
        <f t="shared" si="4"/>
        <v>EBEL0</v>
      </c>
      <c r="F43" t="b">
        <v>1</v>
      </c>
      <c r="G43">
        <v>99.6</v>
      </c>
      <c r="H43">
        <f t="shared" si="5"/>
        <v>0</v>
      </c>
      <c r="I43">
        <v>8149</v>
      </c>
      <c r="J43" t="s">
        <v>13</v>
      </c>
      <c r="L43" t="s">
        <v>272</v>
      </c>
      <c r="M43">
        <v>3</v>
      </c>
      <c r="N43" t="s">
        <v>277</v>
      </c>
      <c r="O43" t="s">
        <v>335</v>
      </c>
      <c r="P43" t="s">
        <v>339</v>
      </c>
      <c r="Q43" t="s">
        <v>285</v>
      </c>
      <c r="R43" t="s">
        <v>282</v>
      </c>
      <c r="S43" t="s">
        <v>371</v>
      </c>
      <c r="T43" t="s">
        <v>341</v>
      </c>
      <c r="U43" t="s">
        <v>340</v>
      </c>
      <c r="V43" t="s">
        <v>343</v>
      </c>
      <c r="W43" t="s">
        <v>345</v>
      </c>
      <c r="X43" s="17"/>
      <c r="Y43" t="s">
        <v>349</v>
      </c>
      <c r="Z43" t="s">
        <v>349</v>
      </c>
      <c r="AA43" t="s">
        <v>293</v>
      </c>
      <c r="AB43" t="s">
        <v>353</v>
      </c>
      <c r="AC43" t="s">
        <v>297</v>
      </c>
      <c r="AD43" t="s">
        <v>299</v>
      </c>
      <c r="AE43" t="s">
        <v>292</v>
      </c>
      <c r="AF43" t="s">
        <v>293</v>
      </c>
      <c r="AG43" t="s">
        <v>292</v>
      </c>
      <c r="AH43" t="s">
        <v>293</v>
      </c>
      <c r="AI43" t="s">
        <v>293</v>
      </c>
      <c r="AJ43" t="s">
        <v>302</v>
      </c>
      <c r="AK43" t="s">
        <v>302</v>
      </c>
      <c r="AL43" t="s">
        <v>359</v>
      </c>
      <c r="AM43" t="s">
        <v>293</v>
      </c>
      <c r="AN43" t="s">
        <v>293</v>
      </c>
      <c r="AO43" t="s">
        <v>297</v>
      </c>
      <c r="AP43" t="s">
        <v>298</v>
      </c>
      <c r="AQ43" t="s">
        <v>293</v>
      </c>
      <c r="AR43" t="s">
        <v>292</v>
      </c>
      <c r="AS43" t="s">
        <v>362</v>
      </c>
      <c r="AT43" t="s">
        <v>293</v>
      </c>
      <c r="AU43" t="s">
        <v>364</v>
      </c>
      <c r="AV43" t="str">
        <f t="shared" si="2"/>
        <v>no_fail</v>
      </c>
      <c r="AX43" t="s">
        <v>625</v>
      </c>
      <c r="AY43" t="s">
        <v>626</v>
      </c>
    </row>
    <row r="44" spans="1:51" x14ac:dyDescent="0.3">
      <c r="A44" t="s">
        <v>381</v>
      </c>
      <c r="B44" t="s">
        <v>288</v>
      </c>
      <c r="C44" t="s">
        <v>642</v>
      </c>
      <c r="D44" t="s">
        <v>288</v>
      </c>
      <c r="E44" t="str">
        <f t="shared" si="4"/>
        <v>eDdjE</v>
      </c>
      <c r="F44" t="b">
        <v>1</v>
      </c>
      <c r="G44">
        <v>74.2</v>
      </c>
      <c r="H44">
        <f t="shared" si="5"/>
        <v>0</v>
      </c>
      <c r="I44">
        <v>12008</v>
      </c>
      <c r="J44" t="s">
        <v>13</v>
      </c>
      <c r="L44" t="s">
        <v>272</v>
      </c>
      <c r="M44">
        <v>3</v>
      </c>
      <c r="N44" t="s">
        <v>277</v>
      </c>
      <c r="O44" t="s">
        <v>335</v>
      </c>
      <c r="P44" t="s">
        <v>283</v>
      </c>
      <c r="Q44" t="s">
        <v>281</v>
      </c>
      <c r="R44" t="s">
        <v>284</v>
      </c>
      <c r="S44" t="s">
        <v>371</v>
      </c>
      <c r="T44" t="s">
        <v>341</v>
      </c>
      <c r="U44" t="s">
        <v>340</v>
      </c>
      <c r="V44" t="s">
        <v>343</v>
      </c>
      <c r="W44" t="s">
        <v>344</v>
      </c>
      <c r="X44" s="17"/>
      <c r="Y44" t="s">
        <v>349</v>
      </c>
      <c r="Z44" t="s">
        <v>349</v>
      </c>
      <c r="AA44" t="s">
        <v>293</v>
      </c>
      <c r="AB44" t="s">
        <v>685</v>
      </c>
      <c r="AC44" t="s">
        <v>296</v>
      </c>
      <c r="AD44" t="s">
        <v>300</v>
      </c>
      <c r="AE44" t="s">
        <v>292</v>
      </c>
      <c r="AF44" t="s">
        <v>293</v>
      </c>
      <c r="AG44" t="s">
        <v>292</v>
      </c>
      <c r="AH44" t="s">
        <v>292</v>
      </c>
      <c r="AI44" t="s">
        <v>293</v>
      </c>
      <c r="AJ44" t="s">
        <v>302</v>
      </c>
      <c r="AK44" t="s">
        <v>302</v>
      </c>
      <c r="AL44" t="s">
        <v>359</v>
      </c>
      <c r="AM44" t="s">
        <v>293</v>
      </c>
      <c r="AN44" t="s">
        <v>293</v>
      </c>
      <c r="AO44" t="s">
        <v>297</v>
      </c>
      <c r="AP44" t="s">
        <v>298</v>
      </c>
      <c r="AQ44" t="s">
        <v>293</v>
      </c>
      <c r="AR44" t="s">
        <v>292</v>
      </c>
      <c r="AS44" t="s">
        <v>293</v>
      </c>
      <c r="AT44" t="s">
        <v>293</v>
      </c>
      <c r="AU44" t="s">
        <v>364</v>
      </c>
      <c r="AV44" t="str">
        <f t="shared" si="2"/>
        <v>no_fail</v>
      </c>
      <c r="AX44" t="s">
        <v>643</v>
      </c>
      <c r="AY44" t="s">
        <v>644</v>
      </c>
    </row>
    <row r="45" spans="1:51" x14ac:dyDescent="0.3">
      <c r="A45" t="s">
        <v>381</v>
      </c>
      <c r="B45" t="s">
        <v>288</v>
      </c>
      <c r="C45" t="s">
        <v>411</v>
      </c>
      <c r="D45" t="s">
        <v>288</v>
      </c>
      <c r="E45" t="str">
        <f t="shared" si="4"/>
        <v>ENaG2</v>
      </c>
      <c r="F45" t="b">
        <v>1</v>
      </c>
      <c r="G45">
        <v>100</v>
      </c>
      <c r="H45">
        <f t="shared" si="5"/>
        <v>1</v>
      </c>
      <c r="I45">
        <v>4143</v>
      </c>
      <c r="J45" t="s">
        <v>18</v>
      </c>
      <c r="L45" t="s">
        <v>272</v>
      </c>
      <c r="M45">
        <v>3</v>
      </c>
      <c r="N45" t="s">
        <v>277</v>
      </c>
      <c r="O45" t="s">
        <v>335</v>
      </c>
      <c r="P45" t="s">
        <v>339</v>
      </c>
      <c r="Q45" t="s">
        <v>283</v>
      </c>
      <c r="R45" t="s">
        <v>281</v>
      </c>
      <c r="S45" t="s">
        <v>338</v>
      </c>
      <c r="T45" t="s">
        <v>340</v>
      </c>
      <c r="U45" t="s">
        <v>342</v>
      </c>
      <c r="V45" t="s">
        <v>340</v>
      </c>
      <c r="W45" t="s">
        <v>291</v>
      </c>
      <c r="X45" s="17"/>
      <c r="Y45" t="s">
        <v>351</v>
      </c>
      <c r="Z45" t="s">
        <v>350</v>
      </c>
      <c r="AA45" t="s">
        <v>292</v>
      </c>
      <c r="AB45" t="s">
        <v>354</v>
      </c>
      <c r="AC45" t="s">
        <v>354</v>
      </c>
      <c r="AD45" t="s">
        <v>299</v>
      </c>
      <c r="AE45" t="s">
        <v>292</v>
      </c>
      <c r="AF45" t="s">
        <v>293</v>
      </c>
      <c r="AG45" t="s">
        <v>292</v>
      </c>
      <c r="AH45" t="s">
        <v>293</v>
      </c>
      <c r="AI45" t="s">
        <v>293</v>
      </c>
      <c r="AJ45" t="s">
        <v>302</v>
      </c>
      <c r="AK45" t="s">
        <v>302</v>
      </c>
      <c r="AL45" t="s">
        <v>358</v>
      </c>
      <c r="AM45" t="s">
        <v>292</v>
      </c>
      <c r="AN45" t="s">
        <v>292</v>
      </c>
      <c r="AO45" t="s">
        <v>297</v>
      </c>
      <c r="AP45" t="s">
        <v>298</v>
      </c>
      <c r="AQ45" t="s">
        <v>293</v>
      </c>
      <c r="AR45" t="s">
        <v>292</v>
      </c>
      <c r="AS45" t="s">
        <v>293</v>
      </c>
      <c r="AT45" t="s">
        <v>293</v>
      </c>
      <c r="AU45" t="s">
        <v>364</v>
      </c>
      <c r="AV45" t="str">
        <f t="shared" si="2"/>
        <v>break</v>
      </c>
      <c r="AX45" t="s">
        <v>412</v>
      </c>
      <c r="AY45" t="s">
        <v>413</v>
      </c>
    </row>
    <row r="46" spans="1:51" x14ac:dyDescent="0.3">
      <c r="A46" t="s">
        <v>381</v>
      </c>
      <c r="B46" t="s">
        <v>288</v>
      </c>
      <c r="C46" t="s">
        <v>621</v>
      </c>
      <c r="D46" t="s">
        <v>288</v>
      </c>
      <c r="E46" t="str">
        <f t="shared" si="4"/>
        <v>ezQez</v>
      </c>
      <c r="F46" t="b">
        <v>1</v>
      </c>
      <c r="G46">
        <v>99.4</v>
      </c>
      <c r="H46">
        <f t="shared" si="5"/>
        <v>0</v>
      </c>
      <c r="I46">
        <v>6727</v>
      </c>
      <c r="J46" t="s">
        <v>13</v>
      </c>
      <c r="L46" t="s">
        <v>272</v>
      </c>
      <c r="M46">
        <v>3</v>
      </c>
      <c r="N46" t="s">
        <v>277</v>
      </c>
      <c r="O46" t="s">
        <v>335</v>
      </c>
      <c r="P46" t="s">
        <v>339</v>
      </c>
      <c r="Q46" t="s">
        <v>285</v>
      </c>
      <c r="R46" t="s">
        <v>282</v>
      </c>
      <c r="S46" t="s">
        <v>371</v>
      </c>
      <c r="T46" t="s">
        <v>341</v>
      </c>
      <c r="U46" t="s">
        <v>342</v>
      </c>
      <c r="V46" t="s">
        <v>343</v>
      </c>
      <c r="W46" t="s">
        <v>291</v>
      </c>
      <c r="X46" s="17"/>
      <c r="Y46" t="s">
        <v>350</v>
      </c>
      <c r="Z46" t="s">
        <v>351</v>
      </c>
      <c r="AA46" t="s">
        <v>293</v>
      </c>
      <c r="AB46" t="s">
        <v>353</v>
      </c>
      <c r="AC46" t="s">
        <v>297</v>
      </c>
      <c r="AD46" t="s">
        <v>299</v>
      </c>
      <c r="AE46" t="s">
        <v>292</v>
      </c>
      <c r="AF46" t="s">
        <v>293</v>
      </c>
      <c r="AG46" t="s">
        <v>292</v>
      </c>
      <c r="AH46" t="s">
        <v>293</v>
      </c>
      <c r="AI46" t="s">
        <v>293</v>
      </c>
      <c r="AJ46" t="s">
        <v>302</v>
      </c>
      <c r="AK46" t="s">
        <v>302</v>
      </c>
      <c r="AL46" t="s">
        <v>359</v>
      </c>
      <c r="AM46" t="s">
        <v>293</v>
      </c>
      <c r="AN46" t="s">
        <v>293</v>
      </c>
      <c r="AO46" t="s">
        <v>297</v>
      </c>
      <c r="AP46" t="s">
        <v>298</v>
      </c>
      <c r="AQ46" t="s">
        <v>293</v>
      </c>
      <c r="AR46" t="s">
        <v>292</v>
      </c>
      <c r="AS46" t="s">
        <v>293</v>
      </c>
      <c r="AT46" t="s">
        <v>293</v>
      </c>
      <c r="AU46" t="s">
        <v>364</v>
      </c>
      <c r="AV46" t="str">
        <f t="shared" si="2"/>
        <v>no_fail</v>
      </c>
      <c r="AX46" t="s">
        <v>622</v>
      </c>
      <c r="AY46" t="s">
        <v>623</v>
      </c>
    </row>
    <row r="47" spans="1:51" x14ac:dyDescent="0.3">
      <c r="A47" t="s">
        <v>381</v>
      </c>
      <c r="B47" t="s">
        <v>288</v>
      </c>
      <c r="C47" t="s">
        <v>507</v>
      </c>
      <c r="D47" t="s">
        <v>288</v>
      </c>
      <c r="E47" t="str">
        <f t="shared" si="4"/>
        <v>gQq3e</v>
      </c>
      <c r="F47" t="b">
        <v>1</v>
      </c>
      <c r="G47">
        <v>95.3</v>
      </c>
      <c r="H47">
        <f t="shared" si="5"/>
        <v>0</v>
      </c>
      <c r="I47">
        <v>7001</v>
      </c>
      <c r="J47" t="s">
        <v>13</v>
      </c>
      <c r="L47" t="s">
        <v>272</v>
      </c>
      <c r="M47">
        <v>3</v>
      </c>
      <c r="N47" t="s">
        <v>277</v>
      </c>
      <c r="O47" t="s">
        <v>335</v>
      </c>
      <c r="P47" t="s">
        <v>282</v>
      </c>
      <c r="Q47" t="s">
        <v>371</v>
      </c>
      <c r="R47" t="s">
        <v>371</v>
      </c>
      <c r="S47" t="s">
        <v>371</v>
      </c>
      <c r="T47" t="s">
        <v>341</v>
      </c>
      <c r="U47" t="s">
        <v>342</v>
      </c>
      <c r="V47" t="s">
        <v>343</v>
      </c>
      <c r="W47" t="s">
        <v>291</v>
      </c>
      <c r="X47" s="17"/>
      <c r="Y47" t="s">
        <v>350</v>
      </c>
      <c r="Z47" t="s">
        <v>349</v>
      </c>
      <c r="AA47" t="s">
        <v>293</v>
      </c>
      <c r="AB47" t="s">
        <v>294</v>
      </c>
      <c r="AC47" t="s">
        <v>297</v>
      </c>
      <c r="AD47" t="s">
        <v>299</v>
      </c>
      <c r="AE47" t="s">
        <v>292</v>
      </c>
      <c r="AF47" t="s">
        <v>293</v>
      </c>
      <c r="AG47" t="s">
        <v>292</v>
      </c>
      <c r="AH47" t="s">
        <v>293</v>
      </c>
      <c r="AI47" t="s">
        <v>293</v>
      </c>
      <c r="AJ47" t="s">
        <v>302</v>
      </c>
      <c r="AK47" t="s">
        <v>302</v>
      </c>
      <c r="AL47" t="s">
        <v>359</v>
      </c>
      <c r="AM47" t="s">
        <v>293</v>
      </c>
      <c r="AN47" t="s">
        <v>293</v>
      </c>
      <c r="AO47" t="s">
        <v>297</v>
      </c>
      <c r="AP47" t="s">
        <v>298</v>
      </c>
      <c r="AQ47" t="s">
        <v>293</v>
      </c>
      <c r="AR47" t="s">
        <v>292</v>
      </c>
      <c r="AS47" t="s">
        <v>293</v>
      </c>
      <c r="AT47" t="s">
        <v>293</v>
      </c>
      <c r="AU47" t="s">
        <v>364</v>
      </c>
      <c r="AV47" t="str">
        <f t="shared" si="2"/>
        <v>no_fail</v>
      </c>
      <c r="AX47" t="s">
        <v>508</v>
      </c>
      <c r="AY47" t="s">
        <v>509</v>
      </c>
    </row>
    <row r="48" spans="1:51" x14ac:dyDescent="0.3">
      <c r="A48" t="s">
        <v>381</v>
      </c>
      <c r="B48" t="s">
        <v>288</v>
      </c>
      <c r="C48" t="s">
        <v>504</v>
      </c>
      <c r="D48" t="s">
        <v>288</v>
      </c>
      <c r="E48" t="str">
        <f t="shared" si="4"/>
        <v>j28Zy</v>
      </c>
      <c r="F48" t="b">
        <v>1</v>
      </c>
      <c r="G48">
        <v>89.9</v>
      </c>
      <c r="H48">
        <f t="shared" si="5"/>
        <v>0</v>
      </c>
      <c r="I48">
        <v>7418</v>
      </c>
      <c r="J48" t="s">
        <v>13</v>
      </c>
      <c r="L48" t="s">
        <v>272</v>
      </c>
      <c r="M48">
        <v>3</v>
      </c>
      <c r="N48" t="s">
        <v>277</v>
      </c>
      <c r="O48" t="s">
        <v>335</v>
      </c>
      <c r="P48" t="s">
        <v>282</v>
      </c>
      <c r="Q48" t="s">
        <v>371</v>
      </c>
      <c r="R48" t="s">
        <v>371</v>
      </c>
      <c r="S48" t="s">
        <v>371</v>
      </c>
      <c r="T48" t="s">
        <v>341</v>
      </c>
      <c r="U48" t="s">
        <v>342</v>
      </c>
      <c r="V48" t="s">
        <v>343</v>
      </c>
      <c r="W48" t="s">
        <v>344</v>
      </c>
      <c r="X48" s="17"/>
      <c r="Y48" t="s">
        <v>350</v>
      </c>
      <c r="Z48" t="s">
        <v>349</v>
      </c>
      <c r="AA48" t="s">
        <v>293</v>
      </c>
      <c r="AB48" t="s">
        <v>353</v>
      </c>
      <c r="AC48" t="s">
        <v>297</v>
      </c>
      <c r="AD48" t="s">
        <v>300</v>
      </c>
      <c r="AE48" t="s">
        <v>292</v>
      </c>
      <c r="AF48" t="s">
        <v>292</v>
      </c>
      <c r="AG48" t="s">
        <v>292</v>
      </c>
      <c r="AH48" t="s">
        <v>293</v>
      </c>
      <c r="AI48" t="s">
        <v>293</v>
      </c>
      <c r="AJ48" t="s">
        <v>302</v>
      </c>
      <c r="AK48" t="s">
        <v>302</v>
      </c>
      <c r="AL48" t="s">
        <v>359</v>
      </c>
      <c r="AM48" t="s">
        <v>293</v>
      </c>
      <c r="AN48" t="s">
        <v>293</v>
      </c>
      <c r="AO48" t="s">
        <v>297</v>
      </c>
      <c r="AP48" t="s">
        <v>298</v>
      </c>
      <c r="AQ48" t="s">
        <v>293</v>
      </c>
      <c r="AR48" t="s">
        <v>292</v>
      </c>
      <c r="AS48" t="s">
        <v>293</v>
      </c>
      <c r="AT48" t="s">
        <v>293</v>
      </c>
      <c r="AU48" t="s">
        <v>364</v>
      </c>
      <c r="AV48" t="str">
        <f t="shared" si="2"/>
        <v>no_fail</v>
      </c>
      <c r="AX48" t="s">
        <v>505</v>
      </c>
      <c r="AY48" t="s">
        <v>506</v>
      </c>
    </row>
    <row r="49" spans="1:51" x14ac:dyDescent="0.3">
      <c r="A49" t="s">
        <v>381</v>
      </c>
      <c r="B49" t="s">
        <v>288</v>
      </c>
      <c r="C49" t="s">
        <v>417</v>
      </c>
      <c r="D49" t="s">
        <v>288</v>
      </c>
      <c r="E49" t="str">
        <f t="shared" si="4"/>
        <v>j2DG5</v>
      </c>
      <c r="F49" t="b">
        <v>1</v>
      </c>
      <c r="G49">
        <v>100</v>
      </c>
      <c r="H49">
        <f t="shared" si="5"/>
        <v>1</v>
      </c>
      <c r="I49">
        <v>15033</v>
      </c>
      <c r="J49" t="s">
        <v>18</v>
      </c>
      <c r="L49" t="s">
        <v>272</v>
      </c>
      <c r="M49">
        <v>3</v>
      </c>
      <c r="N49" t="s">
        <v>277</v>
      </c>
      <c r="O49" t="s">
        <v>335</v>
      </c>
      <c r="P49" t="s">
        <v>283</v>
      </c>
      <c r="Q49" t="s">
        <v>284</v>
      </c>
      <c r="R49" t="s">
        <v>371</v>
      </c>
      <c r="S49" t="s">
        <v>371</v>
      </c>
      <c r="T49" t="s">
        <v>341</v>
      </c>
      <c r="U49" t="s">
        <v>342</v>
      </c>
      <c r="V49" t="s">
        <v>343</v>
      </c>
      <c r="W49" t="s">
        <v>291</v>
      </c>
      <c r="X49" s="17"/>
      <c r="Y49" t="s">
        <v>349</v>
      </c>
      <c r="Z49" t="s">
        <v>349</v>
      </c>
      <c r="AA49" t="s">
        <v>293</v>
      </c>
      <c r="AB49" t="s">
        <v>353</v>
      </c>
      <c r="AC49" t="s">
        <v>355</v>
      </c>
      <c r="AD49" t="s">
        <v>301</v>
      </c>
      <c r="AE49" t="s">
        <v>292</v>
      </c>
      <c r="AF49" t="s">
        <v>293</v>
      </c>
      <c r="AG49" t="s">
        <v>292</v>
      </c>
      <c r="AH49" t="s">
        <v>292</v>
      </c>
      <c r="AI49" t="s">
        <v>293</v>
      </c>
      <c r="AJ49" t="s">
        <v>302</v>
      </c>
      <c r="AK49" t="s">
        <v>302</v>
      </c>
      <c r="AL49" t="s">
        <v>359</v>
      </c>
      <c r="AM49" t="s">
        <v>293</v>
      </c>
      <c r="AN49" t="s">
        <v>293</v>
      </c>
      <c r="AO49" t="s">
        <v>296</v>
      </c>
      <c r="AP49" t="s">
        <v>298</v>
      </c>
      <c r="AQ49" t="s">
        <v>293</v>
      </c>
      <c r="AR49" t="s">
        <v>292</v>
      </c>
      <c r="AS49" t="s">
        <v>293</v>
      </c>
      <c r="AT49" t="s">
        <v>293</v>
      </c>
      <c r="AU49" t="s">
        <v>364</v>
      </c>
      <c r="AV49" t="str">
        <f t="shared" si="2"/>
        <v>break</v>
      </c>
      <c r="AX49" t="s">
        <v>418</v>
      </c>
      <c r="AY49" t="s">
        <v>419</v>
      </c>
    </row>
    <row r="50" spans="1:51" x14ac:dyDescent="0.3">
      <c r="A50" t="s">
        <v>381</v>
      </c>
      <c r="B50" t="s">
        <v>288</v>
      </c>
      <c r="C50" t="s">
        <v>408</v>
      </c>
      <c r="D50" t="s">
        <v>288</v>
      </c>
      <c r="E50" t="str">
        <f t="shared" si="4"/>
        <v>j2Q4e</v>
      </c>
      <c r="F50" t="b">
        <v>1</v>
      </c>
      <c r="G50">
        <v>99.7</v>
      </c>
      <c r="H50">
        <f t="shared" si="5"/>
        <v>0</v>
      </c>
      <c r="I50">
        <v>7647</v>
      </c>
      <c r="J50" t="s">
        <v>13</v>
      </c>
      <c r="L50" t="s">
        <v>272</v>
      </c>
      <c r="M50">
        <v>3</v>
      </c>
      <c r="N50" t="s">
        <v>277</v>
      </c>
      <c r="O50" t="s">
        <v>335</v>
      </c>
      <c r="P50" t="s">
        <v>281</v>
      </c>
      <c r="Q50" t="s">
        <v>283</v>
      </c>
      <c r="R50" t="s">
        <v>284</v>
      </c>
      <c r="S50" t="s">
        <v>371</v>
      </c>
      <c r="T50" t="s">
        <v>341</v>
      </c>
      <c r="U50" t="s">
        <v>342</v>
      </c>
      <c r="V50" t="s">
        <v>343</v>
      </c>
      <c r="W50" t="s">
        <v>344</v>
      </c>
      <c r="X50" s="17" t="s">
        <v>291</v>
      </c>
      <c r="Y50" t="s">
        <v>350</v>
      </c>
      <c r="Z50" t="s">
        <v>349</v>
      </c>
      <c r="AA50" t="s">
        <v>293</v>
      </c>
      <c r="AB50" t="s">
        <v>353</v>
      </c>
      <c r="AC50" t="s">
        <v>297</v>
      </c>
      <c r="AD50" t="s">
        <v>299</v>
      </c>
      <c r="AE50" t="s">
        <v>292</v>
      </c>
      <c r="AF50" t="s">
        <v>293</v>
      </c>
      <c r="AG50" t="s">
        <v>292</v>
      </c>
      <c r="AH50" t="s">
        <v>293</v>
      </c>
      <c r="AI50" t="s">
        <v>293</v>
      </c>
      <c r="AJ50" t="s">
        <v>302</v>
      </c>
      <c r="AK50" t="s">
        <v>302</v>
      </c>
      <c r="AL50" t="s">
        <v>359</v>
      </c>
      <c r="AM50" t="s">
        <v>293</v>
      </c>
      <c r="AN50" t="s">
        <v>293</v>
      </c>
      <c r="AO50" t="s">
        <v>297</v>
      </c>
      <c r="AP50" t="s">
        <v>298</v>
      </c>
      <c r="AQ50" t="s">
        <v>293</v>
      </c>
      <c r="AR50" t="s">
        <v>292</v>
      </c>
      <c r="AS50" t="s">
        <v>293</v>
      </c>
      <c r="AT50" t="s">
        <v>293</v>
      </c>
      <c r="AU50" t="s">
        <v>364</v>
      </c>
      <c r="AV50" t="str">
        <f t="shared" si="2"/>
        <v>no_fail</v>
      </c>
      <c r="AX50" t="s">
        <v>409</v>
      </c>
      <c r="AY50" t="s">
        <v>410</v>
      </c>
    </row>
    <row r="51" spans="1:51" x14ac:dyDescent="0.3">
      <c r="A51" t="s">
        <v>381</v>
      </c>
      <c r="B51" t="s">
        <v>288</v>
      </c>
      <c r="C51" t="s">
        <v>543</v>
      </c>
      <c r="D51" t="s">
        <v>288</v>
      </c>
      <c r="E51" t="str">
        <f t="shared" si="4"/>
        <v>jedzJ</v>
      </c>
      <c r="F51" t="b">
        <v>1</v>
      </c>
      <c r="G51">
        <v>66</v>
      </c>
      <c r="H51">
        <f t="shared" si="5"/>
        <v>0</v>
      </c>
      <c r="I51">
        <v>10948</v>
      </c>
      <c r="J51" t="s">
        <v>13</v>
      </c>
      <c r="L51" t="s">
        <v>272</v>
      </c>
      <c r="M51">
        <v>3</v>
      </c>
      <c r="N51" t="s">
        <v>277</v>
      </c>
      <c r="O51" t="s">
        <v>335</v>
      </c>
      <c r="P51" t="s">
        <v>283</v>
      </c>
      <c r="Q51" t="s">
        <v>282</v>
      </c>
      <c r="R51" t="s">
        <v>284</v>
      </c>
      <c r="S51" t="s">
        <v>371</v>
      </c>
      <c r="T51" t="s">
        <v>341</v>
      </c>
      <c r="U51" t="s">
        <v>342</v>
      </c>
      <c r="V51" t="s">
        <v>343</v>
      </c>
      <c r="W51" t="s">
        <v>345</v>
      </c>
      <c r="X51" s="17"/>
      <c r="Y51" t="s">
        <v>349</v>
      </c>
      <c r="Z51" t="s">
        <v>349</v>
      </c>
      <c r="AA51" t="s">
        <v>293</v>
      </c>
      <c r="AB51" t="s">
        <v>353</v>
      </c>
      <c r="AC51" t="s">
        <v>297</v>
      </c>
      <c r="AD51" t="s">
        <v>301</v>
      </c>
      <c r="AE51" t="s">
        <v>292</v>
      </c>
      <c r="AF51" t="s">
        <v>293</v>
      </c>
      <c r="AG51" t="s">
        <v>292</v>
      </c>
      <c r="AH51" t="s">
        <v>293</v>
      </c>
      <c r="AI51" t="s">
        <v>293</v>
      </c>
      <c r="AJ51" t="s">
        <v>302</v>
      </c>
      <c r="AK51" t="s">
        <v>302</v>
      </c>
      <c r="AL51" t="s">
        <v>359</v>
      </c>
      <c r="AM51" t="s">
        <v>293</v>
      </c>
      <c r="AN51" t="s">
        <v>293</v>
      </c>
      <c r="AO51" t="s">
        <v>297</v>
      </c>
      <c r="AP51" t="s">
        <v>298</v>
      </c>
      <c r="AQ51" t="s">
        <v>293</v>
      </c>
      <c r="AR51" t="s">
        <v>292</v>
      </c>
      <c r="AS51" t="s">
        <v>293</v>
      </c>
      <c r="AT51" t="s">
        <v>293</v>
      </c>
      <c r="AU51" t="s">
        <v>364</v>
      </c>
      <c r="AV51" t="str">
        <f t="shared" si="2"/>
        <v>no_fail</v>
      </c>
      <c r="AX51" t="s">
        <v>544</v>
      </c>
      <c r="AY51" t="s">
        <v>545</v>
      </c>
    </row>
    <row r="52" spans="1:51" x14ac:dyDescent="0.3">
      <c r="A52" t="s">
        <v>381</v>
      </c>
      <c r="B52" t="s">
        <v>288</v>
      </c>
      <c r="C52" t="s">
        <v>666</v>
      </c>
      <c r="D52" t="s">
        <v>288</v>
      </c>
      <c r="E52" t="str">
        <f t="shared" si="4"/>
        <v>jg255</v>
      </c>
      <c r="F52" t="b">
        <v>1</v>
      </c>
      <c r="G52">
        <v>57.6</v>
      </c>
      <c r="H52">
        <f t="shared" si="5"/>
        <v>0</v>
      </c>
      <c r="I52">
        <v>11940</v>
      </c>
      <c r="J52" t="s">
        <v>13</v>
      </c>
      <c r="L52" t="s">
        <v>272</v>
      </c>
      <c r="M52">
        <v>3</v>
      </c>
      <c r="N52" t="s">
        <v>333</v>
      </c>
      <c r="O52" t="s">
        <v>278</v>
      </c>
      <c r="P52" t="s">
        <v>283</v>
      </c>
      <c r="Q52" t="s">
        <v>281</v>
      </c>
      <c r="R52" t="s">
        <v>371</v>
      </c>
      <c r="S52" t="s">
        <v>371</v>
      </c>
      <c r="T52" t="s">
        <v>341</v>
      </c>
      <c r="U52" t="s">
        <v>340</v>
      </c>
      <c r="V52" t="s">
        <v>343</v>
      </c>
      <c r="W52" t="s">
        <v>344</v>
      </c>
      <c r="X52" s="17"/>
      <c r="Y52" t="s">
        <v>349</v>
      </c>
      <c r="Z52" t="s">
        <v>349</v>
      </c>
      <c r="AA52" t="s">
        <v>293</v>
      </c>
      <c r="AB52" t="s">
        <v>352</v>
      </c>
      <c r="AC52" t="s">
        <v>296</v>
      </c>
      <c r="AD52" t="s">
        <v>301</v>
      </c>
      <c r="AE52" t="s">
        <v>292</v>
      </c>
      <c r="AF52" t="s">
        <v>293</v>
      </c>
      <c r="AG52" t="s">
        <v>292</v>
      </c>
      <c r="AH52" t="s">
        <v>292</v>
      </c>
      <c r="AI52" t="s">
        <v>293</v>
      </c>
      <c r="AJ52" t="s">
        <v>302</v>
      </c>
      <c r="AK52" t="s">
        <v>359</v>
      </c>
      <c r="AL52" t="s">
        <v>359</v>
      </c>
      <c r="AM52" t="s">
        <v>293</v>
      </c>
      <c r="AN52" t="s">
        <v>293</v>
      </c>
      <c r="AO52" t="s">
        <v>297</v>
      </c>
      <c r="AP52" t="s">
        <v>298</v>
      </c>
      <c r="AQ52" t="s">
        <v>293</v>
      </c>
      <c r="AR52" t="s">
        <v>292</v>
      </c>
      <c r="AS52" t="s">
        <v>293</v>
      </c>
      <c r="AT52" t="s">
        <v>293</v>
      </c>
      <c r="AU52" t="s">
        <v>364</v>
      </c>
      <c r="AV52" t="str">
        <f t="shared" si="2"/>
        <v>no_fail</v>
      </c>
      <c r="AX52" t="s">
        <v>667</v>
      </c>
      <c r="AY52" t="s">
        <v>668</v>
      </c>
    </row>
    <row r="53" spans="1:51" x14ac:dyDescent="0.3">
      <c r="A53" t="s">
        <v>381</v>
      </c>
      <c r="B53" t="s">
        <v>288</v>
      </c>
      <c r="C53" t="s">
        <v>567</v>
      </c>
      <c r="D53" t="s">
        <v>288</v>
      </c>
      <c r="E53" t="str">
        <f t="shared" si="4"/>
        <v>K8d03</v>
      </c>
      <c r="F53" t="b">
        <v>1</v>
      </c>
      <c r="G53">
        <v>99</v>
      </c>
      <c r="H53">
        <f t="shared" si="5"/>
        <v>0</v>
      </c>
      <c r="I53">
        <v>7742</v>
      </c>
      <c r="J53" t="s">
        <v>13</v>
      </c>
      <c r="L53" t="s">
        <v>272</v>
      </c>
      <c r="M53">
        <v>3</v>
      </c>
      <c r="N53" t="s">
        <v>277</v>
      </c>
      <c r="O53" t="s">
        <v>335</v>
      </c>
      <c r="P53" t="s">
        <v>281</v>
      </c>
      <c r="Q53" t="s">
        <v>286</v>
      </c>
      <c r="R53" t="s">
        <v>371</v>
      </c>
      <c r="S53" t="s">
        <v>371</v>
      </c>
      <c r="T53" t="s">
        <v>341</v>
      </c>
      <c r="U53" t="s">
        <v>340</v>
      </c>
      <c r="V53" t="s">
        <v>343</v>
      </c>
      <c r="W53" t="s">
        <v>345</v>
      </c>
      <c r="X53" s="17"/>
      <c r="Y53" t="s">
        <v>350</v>
      </c>
      <c r="Z53" t="s">
        <v>349</v>
      </c>
      <c r="AA53" t="s">
        <v>293</v>
      </c>
      <c r="AB53" t="s">
        <v>353</v>
      </c>
      <c r="AC53" t="s">
        <v>297</v>
      </c>
      <c r="AD53" t="s">
        <v>299</v>
      </c>
      <c r="AE53" t="s">
        <v>292</v>
      </c>
      <c r="AF53" t="s">
        <v>293</v>
      </c>
      <c r="AG53" t="s">
        <v>292</v>
      </c>
      <c r="AH53" t="s">
        <v>292</v>
      </c>
      <c r="AI53" t="s">
        <v>293</v>
      </c>
      <c r="AJ53" t="s">
        <v>302</v>
      </c>
      <c r="AK53" t="s">
        <v>358</v>
      </c>
      <c r="AL53" t="s">
        <v>359</v>
      </c>
      <c r="AM53" t="s">
        <v>293</v>
      </c>
      <c r="AN53" t="s">
        <v>293</v>
      </c>
      <c r="AO53" t="s">
        <v>297</v>
      </c>
      <c r="AP53" t="s">
        <v>298</v>
      </c>
      <c r="AQ53" t="s">
        <v>293</v>
      </c>
      <c r="AR53" t="s">
        <v>292</v>
      </c>
      <c r="AS53" t="s">
        <v>293</v>
      </c>
      <c r="AT53" t="s">
        <v>293</v>
      </c>
      <c r="AU53" t="s">
        <v>364</v>
      </c>
      <c r="AV53" t="str">
        <f t="shared" si="2"/>
        <v>no_fail</v>
      </c>
      <c r="AX53" t="s">
        <v>568</v>
      </c>
      <c r="AY53" t="s">
        <v>569</v>
      </c>
    </row>
    <row r="54" spans="1:51" x14ac:dyDescent="0.3">
      <c r="A54" t="s">
        <v>381</v>
      </c>
      <c r="B54" t="s">
        <v>288</v>
      </c>
      <c r="C54" t="s">
        <v>612</v>
      </c>
      <c r="D54" t="s">
        <v>288</v>
      </c>
      <c r="E54" t="str">
        <f t="shared" si="4"/>
        <v>klQQL</v>
      </c>
      <c r="F54" t="b">
        <v>1</v>
      </c>
      <c r="G54">
        <v>86.1</v>
      </c>
      <c r="H54">
        <f t="shared" si="5"/>
        <v>0</v>
      </c>
      <c r="I54">
        <v>9627</v>
      </c>
      <c r="J54" t="s">
        <v>13</v>
      </c>
      <c r="L54" t="s">
        <v>272</v>
      </c>
      <c r="M54">
        <v>3</v>
      </c>
      <c r="N54" t="s">
        <v>333</v>
      </c>
      <c r="O54" t="s">
        <v>336</v>
      </c>
      <c r="P54" t="s">
        <v>283</v>
      </c>
      <c r="Q54" t="s">
        <v>281</v>
      </c>
      <c r="R54" t="s">
        <v>371</v>
      </c>
      <c r="S54" t="s">
        <v>371</v>
      </c>
      <c r="T54" t="s">
        <v>341</v>
      </c>
      <c r="U54" t="s">
        <v>340</v>
      </c>
      <c r="V54" t="s">
        <v>343</v>
      </c>
      <c r="W54" t="s">
        <v>345</v>
      </c>
      <c r="X54" s="17"/>
      <c r="Y54" t="s">
        <v>350</v>
      </c>
      <c r="Z54" t="s">
        <v>349</v>
      </c>
      <c r="AA54" t="s">
        <v>293</v>
      </c>
      <c r="AB54" t="s">
        <v>353</v>
      </c>
      <c r="AC54" t="s">
        <v>296</v>
      </c>
      <c r="AD54" t="s">
        <v>300</v>
      </c>
      <c r="AE54" t="s">
        <v>292</v>
      </c>
      <c r="AF54" t="s">
        <v>293</v>
      </c>
      <c r="AG54" t="s">
        <v>292</v>
      </c>
      <c r="AH54" t="s">
        <v>292</v>
      </c>
      <c r="AI54" t="s">
        <v>293</v>
      </c>
      <c r="AJ54" t="s">
        <v>302</v>
      </c>
      <c r="AK54" t="s">
        <v>359</v>
      </c>
      <c r="AL54" t="s">
        <v>359</v>
      </c>
      <c r="AM54" t="s">
        <v>293</v>
      </c>
      <c r="AN54" t="s">
        <v>293</v>
      </c>
      <c r="AO54" t="s">
        <v>297</v>
      </c>
      <c r="AP54" t="s">
        <v>298</v>
      </c>
      <c r="AQ54" t="s">
        <v>293</v>
      </c>
      <c r="AR54" t="s">
        <v>292</v>
      </c>
      <c r="AS54" t="s">
        <v>293</v>
      </c>
      <c r="AT54" t="s">
        <v>293</v>
      </c>
      <c r="AU54" t="s">
        <v>364</v>
      </c>
      <c r="AV54" t="str">
        <f t="shared" si="2"/>
        <v>no_fail</v>
      </c>
      <c r="AX54" t="s">
        <v>613</v>
      </c>
      <c r="AY54" t="s">
        <v>614</v>
      </c>
    </row>
    <row r="55" spans="1:51" x14ac:dyDescent="0.3">
      <c r="A55" t="s">
        <v>381</v>
      </c>
      <c r="B55" t="s">
        <v>288</v>
      </c>
      <c r="C55" t="s">
        <v>594</v>
      </c>
      <c r="D55" t="s">
        <v>288</v>
      </c>
      <c r="E55" t="str">
        <f t="shared" si="4"/>
        <v>KvqzD</v>
      </c>
      <c r="F55" t="b">
        <v>1</v>
      </c>
      <c r="G55">
        <v>65</v>
      </c>
      <c r="H55">
        <f t="shared" si="5"/>
        <v>0</v>
      </c>
      <c r="I55">
        <v>14325</v>
      </c>
      <c r="J55" t="s">
        <v>18</v>
      </c>
      <c r="L55" t="s">
        <v>273</v>
      </c>
      <c r="M55">
        <v>2</v>
      </c>
      <c r="N55" t="s">
        <v>277</v>
      </c>
      <c r="O55" t="s">
        <v>335</v>
      </c>
      <c r="P55" t="s">
        <v>283</v>
      </c>
      <c r="Q55" t="s">
        <v>371</v>
      </c>
      <c r="R55" t="s">
        <v>371</v>
      </c>
      <c r="S55" t="s">
        <v>371</v>
      </c>
      <c r="T55" t="s">
        <v>340</v>
      </c>
      <c r="U55" t="s">
        <v>342</v>
      </c>
      <c r="V55" t="s">
        <v>343</v>
      </c>
      <c r="W55" t="s">
        <v>347</v>
      </c>
      <c r="X55" s="17"/>
      <c r="Y55" t="s">
        <v>349</v>
      </c>
      <c r="Z55" t="s">
        <v>349</v>
      </c>
      <c r="AA55" t="s">
        <v>293</v>
      </c>
      <c r="AB55" t="s">
        <v>353</v>
      </c>
      <c r="AC55" t="s">
        <v>296</v>
      </c>
      <c r="AD55" t="s">
        <v>301</v>
      </c>
      <c r="AE55" t="s">
        <v>293</v>
      </c>
      <c r="AF55" t="s">
        <v>292</v>
      </c>
      <c r="AG55" t="s">
        <v>292</v>
      </c>
      <c r="AH55" t="s">
        <v>292</v>
      </c>
      <c r="AI55" t="s">
        <v>293</v>
      </c>
      <c r="AJ55" t="s">
        <v>302</v>
      </c>
      <c r="AK55" t="s">
        <v>357</v>
      </c>
      <c r="AL55" t="s">
        <v>359</v>
      </c>
      <c r="AM55" t="s">
        <v>293</v>
      </c>
      <c r="AN55" t="s">
        <v>293</v>
      </c>
      <c r="AO55" t="s">
        <v>297</v>
      </c>
      <c r="AP55" t="s">
        <v>356</v>
      </c>
      <c r="AQ55" t="s">
        <v>293</v>
      </c>
      <c r="AR55" t="s">
        <v>292</v>
      </c>
      <c r="AS55" t="s">
        <v>293</v>
      </c>
      <c r="AT55" t="s">
        <v>293</v>
      </c>
      <c r="AU55" t="s">
        <v>364</v>
      </c>
      <c r="AV55" t="str">
        <f t="shared" si="2"/>
        <v>car_water</v>
      </c>
      <c r="AX55" t="s">
        <v>595</v>
      </c>
      <c r="AY55" t="s">
        <v>596</v>
      </c>
    </row>
    <row r="56" spans="1:51" x14ac:dyDescent="0.3">
      <c r="A56" t="s">
        <v>381</v>
      </c>
      <c r="B56" t="s">
        <v>288</v>
      </c>
      <c r="C56" t="s">
        <v>483</v>
      </c>
      <c r="D56" t="s">
        <v>288</v>
      </c>
      <c r="E56" t="str">
        <f t="shared" si="4"/>
        <v>l2v13</v>
      </c>
      <c r="F56" t="b">
        <v>1</v>
      </c>
      <c r="G56">
        <v>90.7</v>
      </c>
      <c r="H56">
        <f t="shared" si="5"/>
        <v>0</v>
      </c>
      <c r="I56">
        <v>9583</v>
      </c>
      <c r="J56" t="s">
        <v>13</v>
      </c>
      <c r="L56" t="s">
        <v>272</v>
      </c>
      <c r="M56">
        <v>3</v>
      </c>
      <c r="N56" t="s">
        <v>277</v>
      </c>
      <c r="O56" t="s">
        <v>335</v>
      </c>
      <c r="P56" t="s">
        <v>283</v>
      </c>
      <c r="Q56" t="s">
        <v>282</v>
      </c>
      <c r="R56" t="s">
        <v>371</v>
      </c>
      <c r="S56" t="s">
        <v>371</v>
      </c>
      <c r="T56" t="s">
        <v>341</v>
      </c>
      <c r="U56" t="s">
        <v>340</v>
      </c>
      <c r="V56" t="s">
        <v>343</v>
      </c>
      <c r="W56" t="s">
        <v>345</v>
      </c>
      <c r="X56" s="17"/>
      <c r="Y56" t="s">
        <v>349</v>
      </c>
      <c r="Z56" t="s">
        <v>349</v>
      </c>
      <c r="AA56" t="s">
        <v>293</v>
      </c>
      <c r="AB56" t="s">
        <v>353</v>
      </c>
      <c r="AC56" t="s">
        <v>297</v>
      </c>
      <c r="AD56" t="s">
        <v>300</v>
      </c>
      <c r="AE56" t="s">
        <v>292</v>
      </c>
      <c r="AF56" t="s">
        <v>293</v>
      </c>
      <c r="AG56" t="s">
        <v>292</v>
      </c>
      <c r="AH56" t="s">
        <v>293</v>
      </c>
      <c r="AI56" t="s">
        <v>293</v>
      </c>
      <c r="AJ56" t="s">
        <v>302</v>
      </c>
      <c r="AK56" t="s">
        <v>302</v>
      </c>
      <c r="AL56" t="s">
        <v>359</v>
      </c>
      <c r="AM56" t="s">
        <v>293</v>
      </c>
      <c r="AN56" t="s">
        <v>293</v>
      </c>
      <c r="AO56" t="s">
        <v>297</v>
      </c>
      <c r="AP56" t="s">
        <v>298</v>
      </c>
      <c r="AQ56" t="s">
        <v>293</v>
      </c>
      <c r="AR56" t="s">
        <v>292</v>
      </c>
      <c r="AS56" t="s">
        <v>362</v>
      </c>
      <c r="AT56" t="s">
        <v>293</v>
      </c>
      <c r="AU56" t="s">
        <v>364</v>
      </c>
      <c r="AV56" t="str">
        <f t="shared" si="2"/>
        <v>no_fail</v>
      </c>
      <c r="AX56" t="s">
        <v>484</v>
      </c>
      <c r="AY56" t="s">
        <v>485</v>
      </c>
    </row>
    <row r="57" spans="1:51" x14ac:dyDescent="0.3">
      <c r="A57" t="s">
        <v>381</v>
      </c>
      <c r="B57" t="s">
        <v>288</v>
      </c>
      <c r="C57" t="s">
        <v>429</v>
      </c>
      <c r="D57" t="s">
        <v>288</v>
      </c>
      <c r="E57" t="str">
        <f t="shared" si="4"/>
        <v>l5wPj</v>
      </c>
      <c r="F57" t="b">
        <v>1</v>
      </c>
      <c r="G57">
        <v>89</v>
      </c>
      <c r="H57">
        <f t="shared" si="5"/>
        <v>0</v>
      </c>
      <c r="I57">
        <v>9178</v>
      </c>
      <c r="J57" t="s">
        <v>13</v>
      </c>
      <c r="L57" t="s">
        <v>272</v>
      </c>
      <c r="M57">
        <v>3</v>
      </c>
      <c r="N57" t="s">
        <v>277</v>
      </c>
      <c r="O57" t="s">
        <v>335</v>
      </c>
      <c r="P57" t="s">
        <v>282</v>
      </c>
      <c r="Q57" t="s">
        <v>371</v>
      </c>
      <c r="R57" t="s">
        <v>371</v>
      </c>
      <c r="S57" t="s">
        <v>371</v>
      </c>
      <c r="T57" t="s">
        <v>341</v>
      </c>
      <c r="U57" t="s">
        <v>342</v>
      </c>
      <c r="V57" t="s">
        <v>343</v>
      </c>
      <c r="W57" t="s">
        <v>345</v>
      </c>
      <c r="X57" s="17" t="s">
        <v>347</v>
      </c>
      <c r="Y57" t="s">
        <v>349</v>
      </c>
      <c r="Z57" t="s">
        <v>349</v>
      </c>
      <c r="AA57" t="s">
        <v>293</v>
      </c>
      <c r="AB57" t="s">
        <v>353</v>
      </c>
      <c r="AC57" t="s">
        <v>297</v>
      </c>
      <c r="AD57" t="s">
        <v>300</v>
      </c>
      <c r="AE57" t="s">
        <v>292</v>
      </c>
      <c r="AF57" t="s">
        <v>293</v>
      </c>
      <c r="AG57" t="s">
        <v>292</v>
      </c>
      <c r="AH57" t="s">
        <v>293</v>
      </c>
      <c r="AI57" t="s">
        <v>293</v>
      </c>
      <c r="AJ57" t="s">
        <v>302</v>
      </c>
      <c r="AK57" t="s">
        <v>302</v>
      </c>
      <c r="AL57" t="s">
        <v>359</v>
      </c>
      <c r="AM57" t="s">
        <v>293</v>
      </c>
      <c r="AN57" t="s">
        <v>293</v>
      </c>
      <c r="AO57" t="s">
        <v>297</v>
      </c>
      <c r="AP57" t="s">
        <v>298</v>
      </c>
      <c r="AQ57" t="s">
        <v>293</v>
      </c>
      <c r="AR57" t="s">
        <v>292</v>
      </c>
      <c r="AS57" t="s">
        <v>293</v>
      </c>
      <c r="AT57" t="s">
        <v>293</v>
      </c>
      <c r="AU57" t="s">
        <v>364</v>
      </c>
      <c r="AV57" t="str">
        <f t="shared" si="2"/>
        <v>no_fail</v>
      </c>
      <c r="AX57" t="s">
        <v>430</v>
      </c>
      <c r="AY57" t="s">
        <v>431</v>
      </c>
    </row>
    <row r="58" spans="1:51" x14ac:dyDescent="0.3">
      <c r="A58" t="s">
        <v>381</v>
      </c>
      <c r="B58" t="s">
        <v>288</v>
      </c>
      <c r="C58" t="s">
        <v>573</v>
      </c>
      <c r="D58" t="s">
        <v>288</v>
      </c>
      <c r="E58" t="str">
        <f t="shared" si="4"/>
        <v>Lak8z</v>
      </c>
      <c r="F58" t="b">
        <v>1</v>
      </c>
      <c r="G58">
        <v>97.8</v>
      </c>
      <c r="H58">
        <f t="shared" si="5"/>
        <v>0</v>
      </c>
      <c r="I58">
        <v>7690</v>
      </c>
      <c r="J58" t="s">
        <v>13</v>
      </c>
      <c r="L58" t="s">
        <v>272</v>
      </c>
      <c r="M58">
        <v>3</v>
      </c>
      <c r="N58" t="s">
        <v>277</v>
      </c>
      <c r="O58" t="s">
        <v>335</v>
      </c>
      <c r="P58" t="s">
        <v>283</v>
      </c>
      <c r="Q58" t="s">
        <v>282</v>
      </c>
      <c r="R58" t="s">
        <v>284</v>
      </c>
      <c r="S58" t="s">
        <v>371</v>
      </c>
      <c r="T58" t="s">
        <v>341</v>
      </c>
      <c r="U58" t="s">
        <v>342</v>
      </c>
      <c r="V58" t="s">
        <v>343</v>
      </c>
      <c r="W58" t="s">
        <v>344</v>
      </c>
      <c r="X58" s="17"/>
      <c r="Y58" t="s">
        <v>350</v>
      </c>
      <c r="Z58" t="s">
        <v>349</v>
      </c>
      <c r="AA58" t="s">
        <v>293</v>
      </c>
      <c r="AB58" t="s">
        <v>353</v>
      </c>
      <c r="AC58" t="s">
        <v>297</v>
      </c>
      <c r="AD58" t="s">
        <v>300</v>
      </c>
      <c r="AE58" t="s">
        <v>292</v>
      </c>
      <c r="AF58" t="s">
        <v>293</v>
      </c>
      <c r="AG58" t="s">
        <v>292</v>
      </c>
      <c r="AH58" t="s">
        <v>293</v>
      </c>
      <c r="AI58" t="s">
        <v>293</v>
      </c>
      <c r="AJ58" t="s">
        <v>302</v>
      </c>
      <c r="AK58" t="s">
        <v>302</v>
      </c>
      <c r="AL58" t="s">
        <v>359</v>
      </c>
      <c r="AM58" t="s">
        <v>293</v>
      </c>
      <c r="AN58" t="s">
        <v>293</v>
      </c>
      <c r="AO58" t="s">
        <v>297</v>
      </c>
      <c r="AP58" t="s">
        <v>298</v>
      </c>
      <c r="AQ58" t="s">
        <v>293</v>
      </c>
      <c r="AR58" t="s">
        <v>292</v>
      </c>
      <c r="AS58" t="s">
        <v>293</v>
      </c>
      <c r="AT58" t="s">
        <v>293</v>
      </c>
      <c r="AU58" t="s">
        <v>364</v>
      </c>
      <c r="AV58" t="str">
        <f t="shared" si="2"/>
        <v>no_fail</v>
      </c>
      <c r="AX58" t="s">
        <v>574</v>
      </c>
      <c r="AY58" t="s">
        <v>575</v>
      </c>
    </row>
    <row r="59" spans="1:51" x14ac:dyDescent="0.3">
      <c r="A59" t="s">
        <v>381</v>
      </c>
      <c r="B59" t="s">
        <v>288</v>
      </c>
      <c r="C59" t="s">
        <v>681</v>
      </c>
      <c r="D59" t="s">
        <v>288</v>
      </c>
      <c r="E59" t="str">
        <f t="shared" si="4"/>
        <v>Lgzg6</v>
      </c>
      <c r="F59" t="b">
        <v>1</v>
      </c>
      <c r="G59">
        <v>100</v>
      </c>
      <c r="H59">
        <f t="shared" si="5"/>
        <v>1</v>
      </c>
      <c r="I59">
        <v>17232</v>
      </c>
      <c r="J59" t="s">
        <v>13</v>
      </c>
      <c r="L59" t="s">
        <v>272</v>
      </c>
      <c r="M59">
        <v>3</v>
      </c>
      <c r="N59" t="s">
        <v>277</v>
      </c>
      <c r="O59" t="s">
        <v>336</v>
      </c>
      <c r="P59" t="s">
        <v>281</v>
      </c>
      <c r="Q59" t="s">
        <v>283</v>
      </c>
      <c r="R59" t="s">
        <v>371</v>
      </c>
      <c r="S59" t="s">
        <v>371</v>
      </c>
      <c r="T59" t="s">
        <v>341</v>
      </c>
      <c r="U59" t="s">
        <v>340</v>
      </c>
      <c r="V59" t="s">
        <v>343</v>
      </c>
      <c r="W59" t="s">
        <v>346</v>
      </c>
      <c r="X59" s="17"/>
      <c r="Y59" t="s">
        <v>350</v>
      </c>
      <c r="Z59" t="s">
        <v>349</v>
      </c>
      <c r="AA59" t="s">
        <v>293</v>
      </c>
      <c r="AB59" t="s">
        <v>353</v>
      </c>
      <c r="AC59" t="s">
        <v>296</v>
      </c>
      <c r="AD59" t="s">
        <v>301</v>
      </c>
      <c r="AE59" t="s">
        <v>292</v>
      </c>
      <c r="AF59" t="s">
        <v>293</v>
      </c>
      <c r="AG59" t="s">
        <v>292</v>
      </c>
      <c r="AH59" t="s">
        <v>292</v>
      </c>
      <c r="AI59" t="s">
        <v>293</v>
      </c>
      <c r="AJ59" t="s">
        <v>302</v>
      </c>
      <c r="AK59" t="s">
        <v>359</v>
      </c>
      <c r="AL59" t="s">
        <v>359</v>
      </c>
      <c r="AM59" t="s">
        <v>293</v>
      </c>
      <c r="AN59" t="s">
        <v>293</v>
      </c>
      <c r="AO59" t="s">
        <v>297</v>
      </c>
      <c r="AP59" t="s">
        <v>298</v>
      </c>
      <c r="AQ59" t="s">
        <v>293</v>
      </c>
      <c r="AR59" t="s">
        <v>292</v>
      </c>
      <c r="AS59" t="s">
        <v>293</v>
      </c>
      <c r="AT59" t="s">
        <v>293</v>
      </c>
      <c r="AU59" t="s">
        <v>364</v>
      </c>
      <c r="AV59" t="str">
        <f t="shared" si="2"/>
        <v>break</v>
      </c>
      <c r="AX59" t="s">
        <v>682</v>
      </c>
      <c r="AY59" t="s">
        <v>683</v>
      </c>
    </row>
    <row r="60" spans="1:51" x14ac:dyDescent="0.3">
      <c r="A60" t="s">
        <v>381</v>
      </c>
      <c r="B60" t="s">
        <v>288</v>
      </c>
      <c r="C60" t="s">
        <v>432</v>
      </c>
      <c r="D60" t="s">
        <v>288</v>
      </c>
      <c r="E60" t="str">
        <f t="shared" si="4"/>
        <v>LNaRw</v>
      </c>
      <c r="F60" t="b">
        <v>1</v>
      </c>
      <c r="G60">
        <v>76.2</v>
      </c>
      <c r="H60">
        <f t="shared" si="5"/>
        <v>0</v>
      </c>
      <c r="I60">
        <v>14998</v>
      </c>
      <c r="J60" t="s">
        <v>13</v>
      </c>
      <c r="L60" t="s">
        <v>272</v>
      </c>
      <c r="M60">
        <v>3</v>
      </c>
      <c r="N60" t="s">
        <v>277</v>
      </c>
      <c r="O60" t="s">
        <v>336</v>
      </c>
      <c r="P60" t="s">
        <v>284</v>
      </c>
      <c r="Q60" t="s">
        <v>283</v>
      </c>
      <c r="R60" t="s">
        <v>282</v>
      </c>
      <c r="S60" t="s">
        <v>281</v>
      </c>
      <c r="T60" t="s">
        <v>341</v>
      </c>
      <c r="U60" t="s">
        <v>342</v>
      </c>
      <c r="V60" t="s">
        <v>343</v>
      </c>
      <c r="W60" t="s">
        <v>344</v>
      </c>
      <c r="X60" s="17"/>
      <c r="Y60" t="s">
        <v>349</v>
      </c>
      <c r="Z60" t="s">
        <v>349</v>
      </c>
      <c r="AA60" t="s">
        <v>293</v>
      </c>
      <c r="AB60" t="s">
        <v>352</v>
      </c>
      <c r="AC60" t="s">
        <v>297</v>
      </c>
      <c r="AD60" t="s">
        <v>300</v>
      </c>
      <c r="AE60" t="s">
        <v>292</v>
      </c>
      <c r="AF60" t="s">
        <v>293</v>
      </c>
      <c r="AG60" t="s">
        <v>292</v>
      </c>
      <c r="AH60" t="s">
        <v>292</v>
      </c>
      <c r="AI60" t="s">
        <v>293</v>
      </c>
      <c r="AJ60" t="s">
        <v>302</v>
      </c>
      <c r="AK60" t="s">
        <v>359</v>
      </c>
      <c r="AL60" t="s">
        <v>359</v>
      </c>
      <c r="AM60" t="s">
        <v>293</v>
      </c>
      <c r="AN60" t="s">
        <v>293</v>
      </c>
      <c r="AO60" t="s">
        <v>297</v>
      </c>
      <c r="AP60" t="s">
        <v>298</v>
      </c>
      <c r="AQ60" t="s">
        <v>293</v>
      </c>
      <c r="AR60" t="s">
        <v>292</v>
      </c>
      <c r="AS60" t="s">
        <v>293</v>
      </c>
      <c r="AT60" t="s">
        <v>293</v>
      </c>
      <c r="AU60" t="s">
        <v>364</v>
      </c>
      <c r="AV60" t="str">
        <f t="shared" si="2"/>
        <v>no_fail</v>
      </c>
      <c r="AX60" t="s">
        <v>433</v>
      </c>
      <c r="AY60" t="s">
        <v>434</v>
      </c>
    </row>
    <row r="61" spans="1:51" x14ac:dyDescent="0.3">
      <c r="A61" t="s">
        <v>381</v>
      </c>
      <c r="B61" t="s">
        <v>288</v>
      </c>
      <c r="C61" t="s">
        <v>402</v>
      </c>
      <c r="D61" t="s">
        <v>288</v>
      </c>
      <c r="E61" t="str">
        <f t="shared" si="4"/>
        <v>M5o9X</v>
      </c>
      <c r="F61" t="b">
        <v>1</v>
      </c>
      <c r="G61">
        <v>99.5</v>
      </c>
      <c r="H61">
        <f t="shared" si="5"/>
        <v>0</v>
      </c>
      <c r="I61">
        <v>8082</v>
      </c>
      <c r="J61" t="s">
        <v>13</v>
      </c>
      <c r="L61" t="s">
        <v>272</v>
      </c>
      <c r="M61">
        <v>3</v>
      </c>
      <c r="N61" t="s">
        <v>277</v>
      </c>
      <c r="O61" t="s">
        <v>335</v>
      </c>
      <c r="P61" t="s">
        <v>283</v>
      </c>
      <c r="Q61" t="s">
        <v>284</v>
      </c>
      <c r="R61" t="s">
        <v>371</v>
      </c>
      <c r="S61" t="s">
        <v>371</v>
      </c>
      <c r="T61" t="s">
        <v>341</v>
      </c>
      <c r="U61" t="s">
        <v>340</v>
      </c>
      <c r="V61" t="s">
        <v>343</v>
      </c>
      <c r="W61" t="s">
        <v>345</v>
      </c>
      <c r="X61" s="17"/>
      <c r="Y61" t="s">
        <v>350</v>
      </c>
      <c r="Z61" t="s">
        <v>349</v>
      </c>
      <c r="AA61" t="s">
        <v>293</v>
      </c>
      <c r="AB61" t="s">
        <v>353</v>
      </c>
      <c r="AC61" t="s">
        <v>355</v>
      </c>
      <c r="AD61" t="s">
        <v>299</v>
      </c>
      <c r="AE61" t="s">
        <v>292</v>
      </c>
      <c r="AF61" t="s">
        <v>293</v>
      </c>
      <c r="AG61" t="s">
        <v>292</v>
      </c>
      <c r="AH61" t="s">
        <v>292</v>
      </c>
      <c r="AI61" t="s">
        <v>293</v>
      </c>
      <c r="AJ61" t="s">
        <v>302</v>
      </c>
      <c r="AK61" t="s">
        <v>302</v>
      </c>
      <c r="AL61" t="s">
        <v>359</v>
      </c>
      <c r="AM61" t="s">
        <v>293</v>
      </c>
      <c r="AN61" t="s">
        <v>293</v>
      </c>
      <c r="AO61" t="s">
        <v>297</v>
      </c>
      <c r="AP61" t="s">
        <v>298</v>
      </c>
      <c r="AQ61" t="s">
        <v>293</v>
      </c>
      <c r="AR61" t="s">
        <v>292</v>
      </c>
      <c r="AS61" t="s">
        <v>293</v>
      </c>
      <c r="AT61" t="s">
        <v>293</v>
      </c>
      <c r="AU61" t="s">
        <v>364</v>
      </c>
      <c r="AV61" t="str">
        <f t="shared" si="2"/>
        <v>no_fail</v>
      </c>
      <c r="AX61" t="s">
        <v>403</v>
      </c>
      <c r="AY61" t="s">
        <v>404</v>
      </c>
    </row>
    <row r="62" spans="1:51" x14ac:dyDescent="0.3">
      <c r="A62" t="s">
        <v>381</v>
      </c>
      <c r="B62" t="s">
        <v>288</v>
      </c>
      <c r="C62" t="s">
        <v>426</v>
      </c>
      <c r="D62" t="s">
        <v>288</v>
      </c>
      <c r="E62" t="str">
        <f t="shared" si="4"/>
        <v>mKK82</v>
      </c>
      <c r="F62" t="b">
        <v>1</v>
      </c>
      <c r="G62">
        <v>93</v>
      </c>
      <c r="H62">
        <f t="shared" si="5"/>
        <v>0</v>
      </c>
      <c r="I62">
        <v>8218</v>
      </c>
      <c r="J62" t="s">
        <v>13</v>
      </c>
      <c r="L62" t="s">
        <v>272</v>
      </c>
      <c r="M62">
        <v>3</v>
      </c>
      <c r="N62" t="s">
        <v>277</v>
      </c>
      <c r="O62" t="s">
        <v>335</v>
      </c>
      <c r="P62" t="s">
        <v>283</v>
      </c>
      <c r="Q62" t="s">
        <v>286</v>
      </c>
      <c r="R62" t="s">
        <v>284</v>
      </c>
      <c r="S62" t="s">
        <v>371</v>
      </c>
      <c r="T62" t="s">
        <v>341</v>
      </c>
      <c r="U62" t="s">
        <v>342</v>
      </c>
      <c r="V62" t="s">
        <v>343</v>
      </c>
      <c r="W62" t="s">
        <v>344</v>
      </c>
      <c r="X62" s="17"/>
      <c r="Y62" t="s">
        <v>349</v>
      </c>
      <c r="Z62" t="s">
        <v>349</v>
      </c>
      <c r="AA62" t="s">
        <v>293</v>
      </c>
      <c r="AB62" t="s">
        <v>352</v>
      </c>
      <c r="AC62" t="s">
        <v>297</v>
      </c>
      <c r="AD62" t="s">
        <v>300</v>
      </c>
      <c r="AE62" t="s">
        <v>292</v>
      </c>
      <c r="AF62" t="s">
        <v>293</v>
      </c>
      <c r="AG62" t="s">
        <v>292</v>
      </c>
      <c r="AH62" t="s">
        <v>293</v>
      </c>
      <c r="AI62" t="s">
        <v>293</v>
      </c>
      <c r="AJ62" t="s">
        <v>302</v>
      </c>
      <c r="AK62" t="s">
        <v>302</v>
      </c>
      <c r="AL62" t="s">
        <v>359</v>
      </c>
      <c r="AM62" t="s">
        <v>293</v>
      </c>
      <c r="AN62" t="s">
        <v>293</v>
      </c>
      <c r="AO62" t="s">
        <v>297</v>
      </c>
      <c r="AP62" t="s">
        <v>298</v>
      </c>
      <c r="AQ62" t="s">
        <v>293</v>
      </c>
      <c r="AR62" t="s">
        <v>292</v>
      </c>
      <c r="AS62" t="s">
        <v>293</v>
      </c>
      <c r="AT62" t="s">
        <v>293</v>
      </c>
      <c r="AU62" t="s">
        <v>364</v>
      </c>
      <c r="AV62" t="str">
        <f t="shared" si="2"/>
        <v>no_fail</v>
      </c>
      <c r="AX62" t="s">
        <v>427</v>
      </c>
      <c r="AY62" t="s">
        <v>428</v>
      </c>
    </row>
    <row r="63" spans="1:51" x14ac:dyDescent="0.3">
      <c r="A63" t="s">
        <v>381</v>
      </c>
      <c r="B63" t="s">
        <v>288</v>
      </c>
      <c r="C63" t="s">
        <v>420</v>
      </c>
      <c r="D63" t="s">
        <v>288</v>
      </c>
      <c r="E63" t="str">
        <f t="shared" si="4"/>
        <v>MmNJ9</v>
      </c>
      <c r="F63" t="b">
        <v>1</v>
      </c>
      <c r="G63">
        <v>71.900000000000006</v>
      </c>
      <c r="H63">
        <f t="shared" si="5"/>
        <v>0</v>
      </c>
      <c r="I63">
        <v>8889</v>
      </c>
      <c r="J63" t="s">
        <v>13</v>
      </c>
      <c r="L63" t="s">
        <v>272</v>
      </c>
      <c r="M63">
        <v>3</v>
      </c>
      <c r="N63" t="s">
        <v>277</v>
      </c>
      <c r="O63" t="s">
        <v>335</v>
      </c>
      <c r="P63" t="s">
        <v>281</v>
      </c>
      <c r="Q63" t="s">
        <v>282</v>
      </c>
      <c r="R63" t="s">
        <v>371</v>
      </c>
      <c r="S63" t="s">
        <v>371</v>
      </c>
      <c r="T63" t="s">
        <v>341</v>
      </c>
      <c r="U63" t="s">
        <v>340</v>
      </c>
      <c r="V63" t="s">
        <v>343</v>
      </c>
      <c r="W63" t="s">
        <v>344</v>
      </c>
      <c r="X63" s="17" t="s">
        <v>345</v>
      </c>
      <c r="Y63" t="s">
        <v>349</v>
      </c>
      <c r="Z63" t="s">
        <v>349</v>
      </c>
      <c r="AA63" t="s">
        <v>293</v>
      </c>
      <c r="AB63" t="s">
        <v>353</v>
      </c>
      <c r="AC63" t="s">
        <v>355</v>
      </c>
      <c r="AD63" t="s">
        <v>300</v>
      </c>
      <c r="AE63" t="s">
        <v>292</v>
      </c>
      <c r="AF63" t="s">
        <v>293</v>
      </c>
      <c r="AG63" t="s">
        <v>292</v>
      </c>
      <c r="AH63" t="s">
        <v>292</v>
      </c>
      <c r="AI63" t="s">
        <v>293</v>
      </c>
      <c r="AJ63" t="s">
        <v>302</v>
      </c>
      <c r="AK63" t="s">
        <v>302</v>
      </c>
      <c r="AL63" t="s">
        <v>359</v>
      </c>
      <c r="AM63" t="s">
        <v>293</v>
      </c>
      <c r="AN63" t="s">
        <v>293</v>
      </c>
      <c r="AO63" t="s">
        <v>297</v>
      </c>
      <c r="AP63" t="s">
        <v>298</v>
      </c>
      <c r="AQ63" t="s">
        <v>293</v>
      </c>
      <c r="AR63" t="s">
        <v>292</v>
      </c>
      <c r="AS63" t="s">
        <v>293</v>
      </c>
      <c r="AT63" t="s">
        <v>293</v>
      </c>
      <c r="AU63" t="s">
        <v>364</v>
      </c>
      <c r="AV63" t="str">
        <f t="shared" si="2"/>
        <v>no_fail</v>
      </c>
      <c r="AX63" t="s">
        <v>421</v>
      </c>
      <c r="AY63" t="s">
        <v>422</v>
      </c>
    </row>
    <row r="64" spans="1:51" x14ac:dyDescent="0.3">
      <c r="A64" t="s">
        <v>381</v>
      </c>
      <c r="B64" t="s">
        <v>288</v>
      </c>
      <c r="C64" t="s">
        <v>636</v>
      </c>
      <c r="D64" t="s">
        <v>288</v>
      </c>
      <c r="E64" t="str">
        <f t="shared" si="4"/>
        <v>MmXa9</v>
      </c>
      <c r="F64" t="b">
        <v>1</v>
      </c>
      <c r="G64">
        <v>55.4</v>
      </c>
      <c r="H64">
        <f t="shared" si="5"/>
        <v>0</v>
      </c>
      <c r="I64">
        <v>14983</v>
      </c>
      <c r="J64" t="s">
        <v>13</v>
      </c>
      <c r="L64" t="s">
        <v>272</v>
      </c>
      <c r="M64">
        <v>3</v>
      </c>
      <c r="N64" t="s">
        <v>277</v>
      </c>
      <c r="O64" t="s">
        <v>336</v>
      </c>
      <c r="P64" t="s">
        <v>283</v>
      </c>
      <c r="Q64" t="s">
        <v>281</v>
      </c>
      <c r="R64" t="s">
        <v>371</v>
      </c>
      <c r="S64" t="s">
        <v>371</v>
      </c>
      <c r="T64" t="s">
        <v>341</v>
      </c>
      <c r="U64" t="s">
        <v>340</v>
      </c>
      <c r="V64" t="s">
        <v>343</v>
      </c>
      <c r="W64" t="s">
        <v>344</v>
      </c>
      <c r="X64" s="17"/>
      <c r="Y64" t="s">
        <v>349</v>
      </c>
      <c r="Z64" t="s">
        <v>349</v>
      </c>
      <c r="AA64" t="s">
        <v>293</v>
      </c>
      <c r="AB64" t="s">
        <v>352</v>
      </c>
      <c r="AC64" t="s">
        <v>296</v>
      </c>
      <c r="AD64" t="s">
        <v>301</v>
      </c>
      <c r="AE64" t="s">
        <v>292</v>
      </c>
      <c r="AF64" t="s">
        <v>292</v>
      </c>
      <c r="AG64" t="s">
        <v>292</v>
      </c>
      <c r="AH64" t="s">
        <v>292</v>
      </c>
      <c r="AI64" t="s">
        <v>293</v>
      </c>
      <c r="AJ64" t="s">
        <v>302</v>
      </c>
      <c r="AK64" t="s">
        <v>359</v>
      </c>
      <c r="AL64" t="s">
        <v>359</v>
      </c>
      <c r="AM64" t="s">
        <v>293</v>
      </c>
      <c r="AN64" t="s">
        <v>293</v>
      </c>
      <c r="AO64" t="s">
        <v>297</v>
      </c>
      <c r="AP64" t="s">
        <v>298</v>
      </c>
      <c r="AQ64" t="s">
        <v>293</v>
      </c>
      <c r="AR64" t="s">
        <v>292</v>
      </c>
      <c r="AS64" t="s">
        <v>293</v>
      </c>
      <c r="AT64" t="s">
        <v>293</v>
      </c>
      <c r="AU64" t="s">
        <v>364</v>
      </c>
      <c r="AV64" t="str">
        <f t="shared" si="2"/>
        <v>no_fail</v>
      </c>
      <c r="AX64" t="s">
        <v>637</v>
      </c>
      <c r="AY64" t="s">
        <v>638</v>
      </c>
    </row>
    <row r="65" spans="1:51" x14ac:dyDescent="0.3">
      <c r="A65" t="s">
        <v>381</v>
      </c>
      <c r="B65" t="s">
        <v>288</v>
      </c>
      <c r="C65" t="s">
        <v>588</v>
      </c>
      <c r="D65" t="s">
        <v>288</v>
      </c>
      <c r="E65" t="str">
        <f t="shared" si="4"/>
        <v>n9w59</v>
      </c>
      <c r="F65" t="b">
        <v>1</v>
      </c>
      <c r="G65">
        <v>55.09</v>
      </c>
      <c r="H65">
        <f t="shared" si="5"/>
        <v>0</v>
      </c>
      <c r="I65">
        <v>14206</v>
      </c>
      <c r="J65" t="s">
        <v>13</v>
      </c>
      <c r="L65" t="s">
        <v>272</v>
      </c>
      <c r="M65">
        <v>3</v>
      </c>
      <c r="N65" t="s">
        <v>277</v>
      </c>
      <c r="O65" t="s">
        <v>335</v>
      </c>
      <c r="P65" t="s">
        <v>282</v>
      </c>
      <c r="Q65" t="s">
        <v>371</v>
      </c>
      <c r="R65" t="s">
        <v>371</v>
      </c>
      <c r="S65" t="s">
        <v>371</v>
      </c>
      <c r="T65" t="s">
        <v>341</v>
      </c>
      <c r="U65" t="s">
        <v>340</v>
      </c>
      <c r="V65" t="s">
        <v>343</v>
      </c>
      <c r="W65" t="s">
        <v>344</v>
      </c>
      <c r="X65" s="17"/>
      <c r="Y65" t="s">
        <v>349</v>
      </c>
      <c r="Z65" t="s">
        <v>349</v>
      </c>
      <c r="AA65" t="s">
        <v>293</v>
      </c>
      <c r="AB65" t="s">
        <v>353</v>
      </c>
      <c r="AC65" t="s">
        <v>296</v>
      </c>
      <c r="AD65" t="s">
        <v>300</v>
      </c>
      <c r="AE65" t="s">
        <v>293</v>
      </c>
      <c r="AF65" t="s">
        <v>292</v>
      </c>
      <c r="AG65" t="s">
        <v>292</v>
      </c>
      <c r="AH65" t="s">
        <v>292</v>
      </c>
      <c r="AI65" t="s">
        <v>293</v>
      </c>
      <c r="AJ65" t="s">
        <v>302</v>
      </c>
      <c r="AK65" t="s">
        <v>302</v>
      </c>
      <c r="AL65" t="s">
        <v>359</v>
      </c>
      <c r="AM65" t="s">
        <v>293</v>
      </c>
      <c r="AN65" t="s">
        <v>293</v>
      </c>
      <c r="AO65" t="s">
        <v>297</v>
      </c>
      <c r="AP65" t="s">
        <v>356</v>
      </c>
      <c r="AQ65" t="s">
        <v>293</v>
      </c>
      <c r="AR65" t="s">
        <v>292</v>
      </c>
      <c r="AS65" t="s">
        <v>293</v>
      </c>
      <c r="AT65" t="s">
        <v>293</v>
      </c>
      <c r="AU65" t="s">
        <v>364</v>
      </c>
      <c r="AV65" t="str">
        <f t="shared" si="2"/>
        <v>no_fail</v>
      </c>
      <c r="AX65" t="s">
        <v>589</v>
      </c>
      <c r="AY65" t="s">
        <v>590</v>
      </c>
    </row>
    <row r="66" spans="1:51" x14ac:dyDescent="0.3">
      <c r="A66" t="s">
        <v>381</v>
      </c>
      <c r="B66" t="s">
        <v>288</v>
      </c>
      <c r="C66" t="s">
        <v>405</v>
      </c>
      <c r="D66" t="s">
        <v>288</v>
      </c>
      <c r="E66" t="str">
        <f t="shared" ref="E66:E101" si="6">C66</f>
        <v>nR3De</v>
      </c>
      <c r="F66" t="b">
        <v>1</v>
      </c>
      <c r="G66">
        <v>88.94</v>
      </c>
      <c r="H66">
        <f t="shared" ref="H66:H97" si="7">IF(G66=100,1,0)</f>
        <v>0</v>
      </c>
      <c r="I66">
        <v>8381</v>
      </c>
      <c r="J66" t="s">
        <v>13</v>
      </c>
      <c r="L66" t="s">
        <v>272</v>
      </c>
      <c r="M66">
        <v>3</v>
      </c>
      <c r="N66" t="s">
        <v>333</v>
      </c>
      <c r="O66" t="s">
        <v>278</v>
      </c>
      <c r="P66" t="s">
        <v>281</v>
      </c>
      <c r="Q66" t="s">
        <v>283</v>
      </c>
      <c r="R66" t="s">
        <v>371</v>
      </c>
      <c r="S66" t="s">
        <v>371</v>
      </c>
      <c r="T66" t="s">
        <v>341</v>
      </c>
      <c r="U66" t="s">
        <v>340</v>
      </c>
      <c r="V66" t="s">
        <v>343</v>
      </c>
      <c r="W66" t="s">
        <v>345</v>
      </c>
      <c r="X66" s="17"/>
      <c r="Y66" t="s">
        <v>350</v>
      </c>
      <c r="Z66" t="s">
        <v>349</v>
      </c>
      <c r="AA66" t="s">
        <v>293</v>
      </c>
      <c r="AB66" t="s">
        <v>352</v>
      </c>
      <c r="AC66" t="s">
        <v>297</v>
      </c>
      <c r="AD66" t="s">
        <v>300</v>
      </c>
      <c r="AE66" t="s">
        <v>292</v>
      </c>
      <c r="AF66" t="s">
        <v>293</v>
      </c>
      <c r="AG66" t="s">
        <v>292</v>
      </c>
      <c r="AH66" t="s">
        <v>293</v>
      </c>
      <c r="AI66" t="s">
        <v>293</v>
      </c>
      <c r="AJ66" t="s">
        <v>302</v>
      </c>
      <c r="AK66" t="s">
        <v>359</v>
      </c>
      <c r="AL66" t="s">
        <v>359</v>
      </c>
      <c r="AM66" t="s">
        <v>293</v>
      </c>
      <c r="AN66" t="s">
        <v>293</v>
      </c>
      <c r="AO66" t="s">
        <v>297</v>
      </c>
      <c r="AP66" t="s">
        <v>298</v>
      </c>
      <c r="AQ66" t="s">
        <v>293</v>
      </c>
      <c r="AR66" t="s">
        <v>292</v>
      </c>
      <c r="AS66" t="s">
        <v>293</v>
      </c>
      <c r="AT66" t="s">
        <v>293</v>
      </c>
      <c r="AU66" t="s">
        <v>364</v>
      </c>
      <c r="AV66" t="str">
        <f t="shared" si="2"/>
        <v>no_fail</v>
      </c>
      <c r="AX66" t="s">
        <v>406</v>
      </c>
      <c r="AY66" t="s">
        <v>407</v>
      </c>
    </row>
    <row r="67" spans="1:51" x14ac:dyDescent="0.3">
      <c r="A67" t="s">
        <v>381</v>
      </c>
      <c r="B67" t="s">
        <v>288</v>
      </c>
      <c r="C67" t="s">
        <v>495</v>
      </c>
      <c r="D67" t="s">
        <v>288</v>
      </c>
      <c r="E67" t="str">
        <f t="shared" si="6"/>
        <v>OB5yR</v>
      </c>
      <c r="F67" t="b">
        <v>1</v>
      </c>
      <c r="G67">
        <v>91.7</v>
      </c>
      <c r="H67">
        <f t="shared" si="7"/>
        <v>0</v>
      </c>
      <c r="I67">
        <v>8734</v>
      </c>
      <c r="J67" t="s">
        <v>13</v>
      </c>
      <c r="L67" t="s">
        <v>272</v>
      </c>
      <c r="M67">
        <v>3</v>
      </c>
      <c r="N67" t="s">
        <v>277</v>
      </c>
      <c r="O67" t="s">
        <v>335</v>
      </c>
      <c r="P67" t="s">
        <v>282</v>
      </c>
      <c r="Q67" t="s">
        <v>281</v>
      </c>
      <c r="R67" t="s">
        <v>371</v>
      </c>
      <c r="S67" t="s">
        <v>371</v>
      </c>
      <c r="T67" t="s">
        <v>341</v>
      </c>
      <c r="U67" t="s">
        <v>342</v>
      </c>
      <c r="V67" t="s">
        <v>343</v>
      </c>
      <c r="W67" t="s">
        <v>344</v>
      </c>
      <c r="X67" s="17" t="s">
        <v>347</v>
      </c>
      <c r="Y67" t="s">
        <v>349</v>
      </c>
      <c r="Z67" t="s">
        <v>349</v>
      </c>
      <c r="AA67" t="s">
        <v>293</v>
      </c>
      <c r="AB67" t="s">
        <v>353</v>
      </c>
      <c r="AC67" t="s">
        <v>297</v>
      </c>
      <c r="AD67" t="s">
        <v>299</v>
      </c>
      <c r="AE67" t="s">
        <v>292</v>
      </c>
      <c r="AF67" t="s">
        <v>293</v>
      </c>
      <c r="AG67" t="s">
        <v>292</v>
      </c>
      <c r="AH67" t="s">
        <v>293</v>
      </c>
      <c r="AI67" t="s">
        <v>293</v>
      </c>
      <c r="AJ67" t="s">
        <v>302</v>
      </c>
      <c r="AK67" t="s">
        <v>302</v>
      </c>
      <c r="AL67" t="s">
        <v>359</v>
      </c>
      <c r="AM67" t="s">
        <v>293</v>
      </c>
      <c r="AN67" t="s">
        <v>293</v>
      </c>
      <c r="AO67" t="s">
        <v>297</v>
      </c>
      <c r="AP67" t="s">
        <v>298</v>
      </c>
      <c r="AQ67" t="s">
        <v>293</v>
      </c>
      <c r="AR67" t="s">
        <v>292</v>
      </c>
      <c r="AS67" t="s">
        <v>293</v>
      </c>
      <c r="AT67" t="s">
        <v>293</v>
      </c>
      <c r="AU67" t="s">
        <v>364</v>
      </c>
      <c r="AV67" t="str">
        <f t="shared" ref="AV67:AV101" si="8">IF(G67=100,"break", IF(J67="fail", "car_water", "no_fail"))</f>
        <v>no_fail</v>
      </c>
      <c r="AX67" t="s">
        <v>496</v>
      </c>
      <c r="AY67" t="s">
        <v>497</v>
      </c>
    </row>
    <row r="68" spans="1:51" x14ac:dyDescent="0.3">
      <c r="A68" t="s">
        <v>381</v>
      </c>
      <c r="B68" t="s">
        <v>288</v>
      </c>
      <c r="C68" t="s">
        <v>423</v>
      </c>
      <c r="D68" t="s">
        <v>288</v>
      </c>
      <c r="E68" t="str">
        <f t="shared" si="6"/>
        <v>OBXYa</v>
      </c>
      <c r="F68" t="b">
        <v>1</v>
      </c>
      <c r="G68">
        <v>100</v>
      </c>
      <c r="H68">
        <f t="shared" si="7"/>
        <v>1</v>
      </c>
      <c r="I68">
        <v>14194</v>
      </c>
      <c r="J68" t="s">
        <v>13</v>
      </c>
      <c r="L68" t="s">
        <v>272</v>
      </c>
      <c r="M68">
        <v>3</v>
      </c>
      <c r="N68" t="s">
        <v>277</v>
      </c>
      <c r="O68" t="s">
        <v>335</v>
      </c>
      <c r="P68" t="s">
        <v>339</v>
      </c>
      <c r="Q68" t="s">
        <v>273</v>
      </c>
      <c r="R68" t="s">
        <v>282</v>
      </c>
      <c r="S68" t="s">
        <v>371</v>
      </c>
      <c r="T68" t="s">
        <v>341</v>
      </c>
      <c r="U68" t="s">
        <v>342</v>
      </c>
      <c r="V68" t="s">
        <v>343</v>
      </c>
      <c r="W68" t="s">
        <v>344</v>
      </c>
      <c r="X68" s="17" t="s">
        <v>291</v>
      </c>
      <c r="Y68" t="s">
        <v>351</v>
      </c>
      <c r="Z68" t="s">
        <v>349</v>
      </c>
      <c r="AA68" t="s">
        <v>293</v>
      </c>
      <c r="AB68" t="s">
        <v>353</v>
      </c>
      <c r="AC68" t="s">
        <v>355</v>
      </c>
      <c r="AD68" t="s">
        <v>300</v>
      </c>
      <c r="AE68" t="s">
        <v>292</v>
      </c>
      <c r="AF68" t="s">
        <v>293</v>
      </c>
      <c r="AG68" t="s">
        <v>292</v>
      </c>
      <c r="AH68" t="s">
        <v>292</v>
      </c>
      <c r="AI68" t="s">
        <v>293</v>
      </c>
      <c r="AJ68" t="s">
        <v>302</v>
      </c>
      <c r="AK68" t="s">
        <v>302</v>
      </c>
      <c r="AL68" t="s">
        <v>359</v>
      </c>
      <c r="AM68" t="s">
        <v>293</v>
      </c>
      <c r="AN68" t="s">
        <v>293</v>
      </c>
      <c r="AO68" t="s">
        <v>296</v>
      </c>
      <c r="AP68" t="s">
        <v>298</v>
      </c>
      <c r="AQ68" t="s">
        <v>293</v>
      </c>
      <c r="AR68" t="s">
        <v>292</v>
      </c>
      <c r="AS68" t="s">
        <v>293</v>
      </c>
      <c r="AT68" t="s">
        <v>293</v>
      </c>
      <c r="AU68" t="s">
        <v>364</v>
      </c>
      <c r="AV68" t="str">
        <f t="shared" si="8"/>
        <v>break</v>
      </c>
      <c r="AX68" t="s">
        <v>424</v>
      </c>
      <c r="AY68" t="s">
        <v>425</v>
      </c>
    </row>
    <row r="69" spans="1:51" x14ac:dyDescent="0.3">
      <c r="A69" t="s">
        <v>381</v>
      </c>
      <c r="B69" t="s">
        <v>288</v>
      </c>
      <c r="C69" t="s">
        <v>384</v>
      </c>
      <c r="D69" t="s">
        <v>288</v>
      </c>
      <c r="E69" t="str">
        <f t="shared" si="6"/>
        <v>orZDj</v>
      </c>
      <c r="F69" t="b">
        <v>1</v>
      </c>
      <c r="G69">
        <v>99.4</v>
      </c>
      <c r="H69">
        <f t="shared" si="7"/>
        <v>0</v>
      </c>
      <c r="I69">
        <v>6465</v>
      </c>
      <c r="J69" t="s">
        <v>13</v>
      </c>
      <c r="L69" t="s">
        <v>272</v>
      </c>
      <c r="M69">
        <v>3</v>
      </c>
      <c r="N69" t="s">
        <v>277</v>
      </c>
      <c r="O69" t="s">
        <v>335</v>
      </c>
      <c r="P69" t="s">
        <v>283</v>
      </c>
      <c r="Q69" t="s">
        <v>284</v>
      </c>
      <c r="R69" t="s">
        <v>282</v>
      </c>
      <c r="S69" t="s">
        <v>371</v>
      </c>
      <c r="T69" t="s">
        <v>341</v>
      </c>
      <c r="U69" t="s">
        <v>340</v>
      </c>
      <c r="V69" t="s">
        <v>343</v>
      </c>
      <c r="W69" t="s">
        <v>344</v>
      </c>
      <c r="X69" s="17"/>
      <c r="Y69" t="s">
        <v>350</v>
      </c>
      <c r="Z69" t="s">
        <v>349</v>
      </c>
      <c r="AA69" t="s">
        <v>292</v>
      </c>
      <c r="AB69" t="s">
        <v>353</v>
      </c>
      <c r="AC69" t="s">
        <v>297</v>
      </c>
      <c r="AD69" t="s">
        <v>299</v>
      </c>
      <c r="AE69" t="s">
        <v>292</v>
      </c>
      <c r="AF69" t="s">
        <v>292</v>
      </c>
      <c r="AG69" t="s">
        <v>292</v>
      </c>
      <c r="AH69" t="s">
        <v>293</v>
      </c>
      <c r="AI69" t="s">
        <v>293</v>
      </c>
      <c r="AJ69" t="s">
        <v>302</v>
      </c>
      <c r="AK69" t="s">
        <v>302</v>
      </c>
      <c r="AL69" t="s">
        <v>359</v>
      </c>
      <c r="AM69" t="s">
        <v>293</v>
      </c>
      <c r="AN69" t="s">
        <v>293</v>
      </c>
      <c r="AO69" t="s">
        <v>297</v>
      </c>
      <c r="AP69" t="s">
        <v>298</v>
      </c>
      <c r="AQ69" t="s">
        <v>293</v>
      </c>
      <c r="AR69" t="s">
        <v>292</v>
      </c>
      <c r="AS69" t="s">
        <v>293</v>
      </c>
      <c r="AT69" t="s">
        <v>293</v>
      </c>
      <c r="AU69" t="s">
        <v>364</v>
      </c>
      <c r="AV69" t="str">
        <f t="shared" si="8"/>
        <v>no_fail</v>
      </c>
      <c r="AX69" t="s">
        <v>385</v>
      </c>
      <c r="AY69" t="s">
        <v>386</v>
      </c>
    </row>
    <row r="70" spans="1:51" x14ac:dyDescent="0.3">
      <c r="A70" t="s">
        <v>381</v>
      </c>
      <c r="B70" t="s">
        <v>288</v>
      </c>
      <c r="C70" t="s">
        <v>600</v>
      </c>
      <c r="D70" t="s">
        <v>288</v>
      </c>
      <c r="E70" t="str">
        <f t="shared" si="6"/>
        <v>paq0d</v>
      </c>
      <c r="F70" t="b">
        <v>1</v>
      </c>
      <c r="G70">
        <v>69.5</v>
      </c>
      <c r="H70">
        <f t="shared" si="7"/>
        <v>0</v>
      </c>
      <c r="I70">
        <v>11299</v>
      </c>
      <c r="J70" t="s">
        <v>13</v>
      </c>
      <c r="L70" t="s">
        <v>272</v>
      </c>
      <c r="M70">
        <v>3</v>
      </c>
      <c r="N70" t="s">
        <v>277</v>
      </c>
      <c r="O70" t="s">
        <v>335</v>
      </c>
      <c r="P70" t="s">
        <v>283</v>
      </c>
      <c r="Q70" t="s">
        <v>282</v>
      </c>
      <c r="R70" t="s">
        <v>371</v>
      </c>
      <c r="S70" t="s">
        <v>371</v>
      </c>
      <c r="T70" t="s">
        <v>341</v>
      </c>
      <c r="U70" t="s">
        <v>340</v>
      </c>
      <c r="V70" t="s">
        <v>343</v>
      </c>
      <c r="W70" t="s">
        <v>344</v>
      </c>
      <c r="X70" s="17"/>
      <c r="Y70" t="s">
        <v>349</v>
      </c>
      <c r="Z70" t="s">
        <v>349</v>
      </c>
      <c r="AA70" t="s">
        <v>293</v>
      </c>
      <c r="AB70" t="s">
        <v>353</v>
      </c>
      <c r="AC70" t="s">
        <v>297</v>
      </c>
      <c r="AD70" t="s">
        <v>300</v>
      </c>
      <c r="AE70" t="s">
        <v>292</v>
      </c>
      <c r="AF70" t="s">
        <v>293</v>
      </c>
      <c r="AG70" t="s">
        <v>292</v>
      </c>
      <c r="AH70" t="s">
        <v>293</v>
      </c>
      <c r="AI70" t="s">
        <v>293</v>
      </c>
      <c r="AJ70" t="s">
        <v>302</v>
      </c>
      <c r="AK70" t="s">
        <v>302</v>
      </c>
      <c r="AL70" t="s">
        <v>359</v>
      </c>
      <c r="AM70" t="s">
        <v>293</v>
      </c>
      <c r="AN70" t="s">
        <v>293</v>
      </c>
      <c r="AO70" t="s">
        <v>297</v>
      </c>
      <c r="AP70" t="s">
        <v>298</v>
      </c>
      <c r="AQ70" t="s">
        <v>293</v>
      </c>
      <c r="AR70" t="s">
        <v>292</v>
      </c>
      <c r="AS70" t="s">
        <v>293</v>
      </c>
      <c r="AT70" t="s">
        <v>293</v>
      </c>
      <c r="AU70" t="s">
        <v>364</v>
      </c>
      <c r="AV70" t="str">
        <f t="shared" si="8"/>
        <v>no_fail</v>
      </c>
      <c r="AX70" t="s">
        <v>601</v>
      </c>
      <c r="AY70" t="s">
        <v>602</v>
      </c>
    </row>
    <row r="71" spans="1:51" x14ac:dyDescent="0.3">
      <c r="A71" t="s">
        <v>381</v>
      </c>
      <c r="B71" t="s">
        <v>288</v>
      </c>
      <c r="C71" t="s">
        <v>513</v>
      </c>
      <c r="D71" t="s">
        <v>288</v>
      </c>
      <c r="E71" t="str">
        <f t="shared" si="6"/>
        <v>paQa5</v>
      </c>
      <c r="F71" t="b">
        <v>1</v>
      </c>
      <c r="G71">
        <v>62.5</v>
      </c>
      <c r="H71">
        <f t="shared" si="7"/>
        <v>0</v>
      </c>
      <c r="I71">
        <v>18643</v>
      </c>
      <c r="J71" t="s">
        <v>13</v>
      </c>
      <c r="L71" t="s">
        <v>272</v>
      </c>
      <c r="M71">
        <v>3</v>
      </c>
      <c r="N71" t="s">
        <v>277</v>
      </c>
      <c r="O71" t="s">
        <v>335</v>
      </c>
      <c r="P71" t="s">
        <v>281</v>
      </c>
      <c r="Q71" t="s">
        <v>282</v>
      </c>
      <c r="R71" t="s">
        <v>371</v>
      </c>
      <c r="S71" t="s">
        <v>371</v>
      </c>
      <c r="T71" t="s">
        <v>340</v>
      </c>
      <c r="U71" t="s">
        <v>342</v>
      </c>
      <c r="V71" t="s">
        <v>343</v>
      </c>
      <c r="W71" t="s">
        <v>344</v>
      </c>
      <c r="X71" s="17"/>
      <c r="Y71" t="s">
        <v>349</v>
      </c>
      <c r="Z71" t="s">
        <v>349</v>
      </c>
      <c r="AA71" t="s">
        <v>293</v>
      </c>
      <c r="AB71" t="s">
        <v>353</v>
      </c>
      <c r="AC71" t="s">
        <v>296</v>
      </c>
      <c r="AD71" t="s">
        <v>300</v>
      </c>
      <c r="AE71" t="s">
        <v>293</v>
      </c>
      <c r="AF71" t="s">
        <v>292</v>
      </c>
      <c r="AG71" t="s">
        <v>292</v>
      </c>
      <c r="AH71" t="s">
        <v>292</v>
      </c>
      <c r="AI71" t="s">
        <v>293</v>
      </c>
      <c r="AJ71" t="s">
        <v>302</v>
      </c>
      <c r="AK71" t="s">
        <v>302</v>
      </c>
      <c r="AL71" t="s">
        <v>359</v>
      </c>
      <c r="AM71" t="s">
        <v>293</v>
      </c>
      <c r="AN71" t="s">
        <v>293</v>
      </c>
      <c r="AO71" t="s">
        <v>296</v>
      </c>
      <c r="AP71" t="s">
        <v>356</v>
      </c>
      <c r="AQ71" t="s">
        <v>361</v>
      </c>
      <c r="AR71" t="s">
        <v>292</v>
      </c>
      <c r="AS71" t="s">
        <v>293</v>
      </c>
      <c r="AT71" t="s">
        <v>293</v>
      </c>
      <c r="AU71" t="s">
        <v>364</v>
      </c>
      <c r="AV71" t="str">
        <f t="shared" si="8"/>
        <v>no_fail</v>
      </c>
      <c r="AX71" t="s">
        <v>514</v>
      </c>
      <c r="AY71" t="s">
        <v>515</v>
      </c>
    </row>
    <row r="72" spans="1:51" x14ac:dyDescent="0.3">
      <c r="A72" t="s">
        <v>381</v>
      </c>
      <c r="B72" t="s">
        <v>288</v>
      </c>
      <c r="C72" t="s">
        <v>441</v>
      </c>
      <c r="D72" t="s">
        <v>288</v>
      </c>
      <c r="E72" t="str">
        <f t="shared" si="6"/>
        <v>pazDd</v>
      </c>
      <c r="F72" t="b">
        <v>1</v>
      </c>
      <c r="G72">
        <v>97.1</v>
      </c>
      <c r="H72">
        <f t="shared" si="7"/>
        <v>0</v>
      </c>
      <c r="I72">
        <v>7230</v>
      </c>
      <c r="J72" t="s">
        <v>13</v>
      </c>
      <c r="L72" t="s">
        <v>272</v>
      </c>
      <c r="M72">
        <v>3</v>
      </c>
      <c r="N72" t="s">
        <v>277</v>
      </c>
      <c r="O72" t="s">
        <v>335</v>
      </c>
      <c r="P72" t="s">
        <v>281</v>
      </c>
      <c r="Q72" t="s">
        <v>283</v>
      </c>
      <c r="R72" t="s">
        <v>282</v>
      </c>
      <c r="S72" t="s">
        <v>371</v>
      </c>
      <c r="T72" t="s">
        <v>341</v>
      </c>
      <c r="U72" t="s">
        <v>342</v>
      </c>
      <c r="V72" t="s">
        <v>343</v>
      </c>
      <c r="W72" t="s">
        <v>345</v>
      </c>
      <c r="X72" s="17"/>
      <c r="Y72" t="s">
        <v>350</v>
      </c>
      <c r="Z72" t="s">
        <v>349</v>
      </c>
      <c r="AA72" t="s">
        <v>293</v>
      </c>
      <c r="AB72" t="s">
        <v>353</v>
      </c>
      <c r="AC72" t="s">
        <v>297</v>
      </c>
      <c r="AD72" t="s">
        <v>299</v>
      </c>
      <c r="AE72" t="s">
        <v>292</v>
      </c>
      <c r="AF72" t="s">
        <v>293</v>
      </c>
      <c r="AG72" t="s">
        <v>292</v>
      </c>
      <c r="AH72" t="s">
        <v>293</v>
      </c>
      <c r="AI72" t="s">
        <v>293</v>
      </c>
      <c r="AJ72" t="s">
        <v>302</v>
      </c>
      <c r="AK72" t="s">
        <v>302</v>
      </c>
      <c r="AL72" t="s">
        <v>359</v>
      </c>
      <c r="AM72" t="s">
        <v>293</v>
      </c>
      <c r="AN72" t="s">
        <v>293</v>
      </c>
      <c r="AO72" t="s">
        <v>297</v>
      </c>
      <c r="AP72" t="s">
        <v>298</v>
      </c>
      <c r="AQ72" t="s">
        <v>293</v>
      </c>
      <c r="AR72" t="s">
        <v>292</v>
      </c>
      <c r="AS72" t="s">
        <v>293</v>
      </c>
      <c r="AT72" t="s">
        <v>293</v>
      </c>
      <c r="AU72" t="s">
        <v>364</v>
      </c>
      <c r="AV72" t="str">
        <f t="shared" si="8"/>
        <v>no_fail</v>
      </c>
      <c r="AX72" t="s">
        <v>442</v>
      </c>
      <c r="AY72" t="s">
        <v>443</v>
      </c>
    </row>
    <row r="73" spans="1:51" x14ac:dyDescent="0.3">
      <c r="A73" t="s">
        <v>381</v>
      </c>
      <c r="B73" t="s">
        <v>288</v>
      </c>
      <c r="C73" t="s">
        <v>525</v>
      </c>
      <c r="D73" t="s">
        <v>288</v>
      </c>
      <c r="E73" t="str">
        <f t="shared" si="6"/>
        <v>Pl8wY</v>
      </c>
      <c r="F73" t="b">
        <v>1</v>
      </c>
      <c r="G73">
        <v>98.4</v>
      </c>
      <c r="H73">
        <f t="shared" si="7"/>
        <v>0</v>
      </c>
      <c r="I73">
        <v>8820</v>
      </c>
      <c r="J73" t="s">
        <v>13</v>
      </c>
      <c r="L73" t="s">
        <v>272</v>
      </c>
      <c r="M73">
        <v>3</v>
      </c>
      <c r="N73" t="s">
        <v>277</v>
      </c>
      <c r="O73" t="s">
        <v>335</v>
      </c>
      <c r="P73" t="s">
        <v>281</v>
      </c>
      <c r="Q73" t="s">
        <v>282</v>
      </c>
      <c r="R73" t="s">
        <v>371</v>
      </c>
      <c r="S73" t="s">
        <v>371</v>
      </c>
      <c r="T73" t="s">
        <v>341</v>
      </c>
      <c r="U73" t="s">
        <v>342</v>
      </c>
      <c r="V73" t="s">
        <v>343</v>
      </c>
      <c r="W73" t="s">
        <v>344</v>
      </c>
      <c r="X73" s="17" t="s">
        <v>291</v>
      </c>
      <c r="Y73" t="s">
        <v>350</v>
      </c>
      <c r="Z73" t="s">
        <v>349</v>
      </c>
      <c r="AA73" t="s">
        <v>293</v>
      </c>
      <c r="AB73" t="s">
        <v>294</v>
      </c>
      <c r="AC73" t="s">
        <v>297</v>
      </c>
      <c r="AD73" t="s">
        <v>299</v>
      </c>
      <c r="AE73" t="s">
        <v>292</v>
      </c>
      <c r="AF73" t="s">
        <v>293</v>
      </c>
      <c r="AG73" t="s">
        <v>292</v>
      </c>
      <c r="AH73" t="s">
        <v>293</v>
      </c>
      <c r="AI73" t="s">
        <v>293</v>
      </c>
      <c r="AJ73" t="s">
        <v>302</v>
      </c>
      <c r="AK73" t="s">
        <v>302</v>
      </c>
      <c r="AL73" t="s">
        <v>359</v>
      </c>
      <c r="AM73" t="s">
        <v>293</v>
      </c>
      <c r="AN73" t="s">
        <v>293</v>
      </c>
      <c r="AO73" t="s">
        <v>297</v>
      </c>
      <c r="AP73" t="s">
        <v>298</v>
      </c>
      <c r="AQ73" t="s">
        <v>360</v>
      </c>
      <c r="AR73" t="s">
        <v>292</v>
      </c>
      <c r="AS73" t="s">
        <v>293</v>
      </c>
      <c r="AT73" t="s">
        <v>293</v>
      </c>
      <c r="AU73" t="s">
        <v>364</v>
      </c>
      <c r="AV73" t="str">
        <f t="shared" si="8"/>
        <v>no_fail</v>
      </c>
      <c r="AX73" t="s">
        <v>526</v>
      </c>
      <c r="AY73" t="s">
        <v>527</v>
      </c>
    </row>
    <row r="74" spans="1:51" x14ac:dyDescent="0.3">
      <c r="A74" t="s">
        <v>381</v>
      </c>
      <c r="B74" t="s">
        <v>288</v>
      </c>
      <c r="C74" t="s">
        <v>555</v>
      </c>
      <c r="D74" t="s">
        <v>288</v>
      </c>
      <c r="E74" t="str">
        <f t="shared" si="6"/>
        <v>pQ58d</v>
      </c>
      <c r="F74" t="b">
        <v>1</v>
      </c>
      <c r="G74">
        <v>95.6</v>
      </c>
      <c r="H74">
        <f t="shared" si="7"/>
        <v>0</v>
      </c>
      <c r="I74">
        <v>9288</v>
      </c>
      <c r="J74" t="s">
        <v>13</v>
      </c>
      <c r="L74" t="s">
        <v>272</v>
      </c>
      <c r="M74">
        <v>3</v>
      </c>
      <c r="N74" t="s">
        <v>277</v>
      </c>
      <c r="O74" t="s">
        <v>335</v>
      </c>
      <c r="P74" t="s">
        <v>281</v>
      </c>
      <c r="Q74" t="s">
        <v>285</v>
      </c>
      <c r="R74" t="s">
        <v>282</v>
      </c>
      <c r="S74" t="s">
        <v>371</v>
      </c>
      <c r="T74" t="s">
        <v>341</v>
      </c>
      <c r="U74" t="s">
        <v>340</v>
      </c>
      <c r="V74" t="s">
        <v>343</v>
      </c>
      <c r="W74" t="s">
        <v>345</v>
      </c>
      <c r="X74" s="17"/>
      <c r="Y74" t="s">
        <v>349</v>
      </c>
      <c r="Z74" t="s">
        <v>349</v>
      </c>
      <c r="AA74" t="s">
        <v>293</v>
      </c>
      <c r="AB74" t="s">
        <v>352</v>
      </c>
      <c r="AC74" t="s">
        <v>297</v>
      </c>
      <c r="AD74" t="s">
        <v>300</v>
      </c>
      <c r="AE74" t="s">
        <v>292</v>
      </c>
      <c r="AF74" t="s">
        <v>293</v>
      </c>
      <c r="AG74" t="s">
        <v>292</v>
      </c>
      <c r="AH74" t="s">
        <v>293</v>
      </c>
      <c r="AI74" t="s">
        <v>293</v>
      </c>
      <c r="AJ74" t="s">
        <v>302</v>
      </c>
      <c r="AK74" t="s">
        <v>302</v>
      </c>
      <c r="AL74" t="s">
        <v>359</v>
      </c>
      <c r="AM74" t="s">
        <v>293</v>
      </c>
      <c r="AN74" t="s">
        <v>293</v>
      </c>
      <c r="AO74" t="s">
        <v>297</v>
      </c>
      <c r="AP74" t="s">
        <v>298</v>
      </c>
      <c r="AQ74" t="s">
        <v>293</v>
      </c>
      <c r="AR74" t="s">
        <v>292</v>
      </c>
      <c r="AS74" t="s">
        <v>293</v>
      </c>
      <c r="AT74" t="s">
        <v>293</v>
      </c>
      <c r="AU74" t="s">
        <v>364</v>
      </c>
      <c r="AV74" t="str">
        <f t="shared" si="8"/>
        <v>no_fail</v>
      </c>
      <c r="AX74" t="s">
        <v>556</v>
      </c>
      <c r="AY74" t="s">
        <v>557</v>
      </c>
    </row>
    <row r="75" spans="1:51" x14ac:dyDescent="0.3">
      <c r="A75" t="s">
        <v>381</v>
      </c>
      <c r="B75" t="s">
        <v>288</v>
      </c>
      <c r="C75" t="s">
        <v>414</v>
      </c>
      <c r="D75" t="s">
        <v>288</v>
      </c>
      <c r="E75" t="str">
        <f t="shared" si="6"/>
        <v>q7BeJ</v>
      </c>
      <c r="F75" t="b">
        <v>1</v>
      </c>
      <c r="G75">
        <v>99.8</v>
      </c>
      <c r="H75">
        <f t="shared" si="7"/>
        <v>0</v>
      </c>
      <c r="I75">
        <v>6949</v>
      </c>
      <c r="J75" t="s">
        <v>13</v>
      </c>
      <c r="L75" t="s">
        <v>272</v>
      </c>
      <c r="M75">
        <v>3</v>
      </c>
      <c r="N75" t="s">
        <v>277</v>
      </c>
      <c r="O75" t="s">
        <v>335</v>
      </c>
      <c r="P75" t="s">
        <v>283</v>
      </c>
      <c r="Q75" t="s">
        <v>284</v>
      </c>
      <c r="R75" t="s">
        <v>371</v>
      </c>
      <c r="S75" t="s">
        <v>371</v>
      </c>
      <c r="T75" t="s">
        <v>341</v>
      </c>
      <c r="U75" t="s">
        <v>342</v>
      </c>
      <c r="V75" t="s">
        <v>343</v>
      </c>
      <c r="W75" t="s">
        <v>291</v>
      </c>
      <c r="X75" s="17"/>
      <c r="Y75" t="s">
        <v>350</v>
      </c>
      <c r="Z75" t="s">
        <v>349</v>
      </c>
      <c r="AA75" t="s">
        <v>293</v>
      </c>
      <c r="AB75" t="s">
        <v>353</v>
      </c>
      <c r="AC75" t="s">
        <v>297</v>
      </c>
      <c r="AD75" t="s">
        <v>299</v>
      </c>
      <c r="AE75" t="s">
        <v>292</v>
      </c>
      <c r="AF75" t="s">
        <v>293</v>
      </c>
      <c r="AG75" t="s">
        <v>292</v>
      </c>
      <c r="AH75" t="s">
        <v>293</v>
      </c>
      <c r="AI75" t="s">
        <v>293</v>
      </c>
      <c r="AJ75" t="s">
        <v>302</v>
      </c>
      <c r="AK75" t="s">
        <v>302</v>
      </c>
      <c r="AL75" t="s">
        <v>359</v>
      </c>
      <c r="AM75" t="s">
        <v>293</v>
      </c>
      <c r="AN75" t="s">
        <v>293</v>
      </c>
      <c r="AO75" t="s">
        <v>297</v>
      </c>
      <c r="AP75" t="s">
        <v>298</v>
      </c>
      <c r="AQ75" t="s">
        <v>293</v>
      </c>
      <c r="AR75" t="s">
        <v>292</v>
      </c>
      <c r="AS75" t="s">
        <v>293</v>
      </c>
      <c r="AT75" t="s">
        <v>293</v>
      </c>
      <c r="AU75" t="s">
        <v>364</v>
      </c>
      <c r="AV75" t="str">
        <f t="shared" si="8"/>
        <v>no_fail</v>
      </c>
      <c r="AX75" t="s">
        <v>415</v>
      </c>
      <c r="AY75" t="s">
        <v>416</v>
      </c>
    </row>
    <row r="76" spans="1:51" x14ac:dyDescent="0.3">
      <c r="A76" t="s">
        <v>381</v>
      </c>
      <c r="B76" t="s">
        <v>288</v>
      </c>
      <c r="C76" t="s">
        <v>516</v>
      </c>
      <c r="D76" t="s">
        <v>288</v>
      </c>
      <c r="E76" t="str">
        <f t="shared" si="6"/>
        <v>qeG7o</v>
      </c>
      <c r="F76" t="b">
        <v>1</v>
      </c>
      <c r="G76">
        <v>96.7</v>
      </c>
      <c r="H76">
        <f t="shared" si="7"/>
        <v>0</v>
      </c>
      <c r="I76">
        <v>8445</v>
      </c>
      <c r="J76" t="s">
        <v>13</v>
      </c>
      <c r="L76" t="s">
        <v>272</v>
      </c>
      <c r="M76">
        <v>3</v>
      </c>
      <c r="N76" t="s">
        <v>277</v>
      </c>
      <c r="O76" t="s">
        <v>335</v>
      </c>
      <c r="P76" t="s">
        <v>281</v>
      </c>
      <c r="Q76" t="s">
        <v>282</v>
      </c>
      <c r="R76" t="s">
        <v>371</v>
      </c>
      <c r="S76" t="s">
        <v>371</v>
      </c>
      <c r="T76" t="s">
        <v>341</v>
      </c>
      <c r="U76" t="s">
        <v>342</v>
      </c>
      <c r="V76" t="s">
        <v>343</v>
      </c>
      <c r="W76" t="s">
        <v>345</v>
      </c>
      <c r="X76" s="17"/>
      <c r="Y76" t="s">
        <v>349</v>
      </c>
      <c r="Z76" t="s">
        <v>349</v>
      </c>
      <c r="AA76" t="s">
        <v>293</v>
      </c>
      <c r="AB76" t="s">
        <v>294</v>
      </c>
      <c r="AC76" t="s">
        <v>297</v>
      </c>
      <c r="AD76" t="s">
        <v>299</v>
      </c>
      <c r="AE76" t="s">
        <v>292</v>
      </c>
      <c r="AF76" t="s">
        <v>293</v>
      </c>
      <c r="AG76" t="s">
        <v>292</v>
      </c>
      <c r="AH76" t="s">
        <v>293</v>
      </c>
      <c r="AI76" t="s">
        <v>293</v>
      </c>
      <c r="AJ76" t="s">
        <v>302</v>
      </c>
      <c r="AK76" t="s">
        <v>302</v>
      </c>
      <c r="AL76" t="s">
        <v>359</v>
      </c>
      <c r="AM76" t="s">
        <v>293</v>
      </c>
      <c r="AN76" t="s">
        <v>293</v>
      </c>
      <c r="AO76" t="s">
        <v>297</v>
      </c>
      <c r="AP76" t="s">
        <v>298</v>
      </c>
      <c r="AQ76" t="s">
        <v>360</v>
      </c>
      <c r="AR76" t="s">
        <v>292</v>
      </c>
      <c r="AS76" t="s">
        <v>293</v>
      </c>
      <c r="AT76" t="s">
        <v>293</v>
      </c>
      <c r="AU76" t="s">
        <v>364</v>
      </c>
      <c r="AV76" t="str">
        <f t="shared" si="8"/>
        <v>no_fail</v>
      </c>
      <c r="AX76" t="s">
        <v>517</v>
      </c>
      <c r="AY76" t="s">
        <v>518</v>
      </c>
    </row>
    <row r="77" spans="1:51" x14ac:dyDescent="0.3">
      <c r="A77" t="s">
        <v>381</v>
      </c>
      <c r="B77" t="s">
        <v>288</v>
      </c>
      <c r="C77" t="s">
        <v>531</v>
      </c>
      <c r="D77" t="s">
        <v>288</v>
      </c>
      <c r="E77" t="str">
        <f t="shared" si="6"/>
        <v>QlJOY</v>
      </c>
      <c r="F77" t="b">
        <v>1</v>
      </c>
      <c r="G77">
        <v>93.7</v>
      </c>
      <c r="H77">
        <f t="shared" si="7"/>
        <v>0</v>
      </c>
      <c r="I77">
        <v>7279</v>
      </c>
      <c r="J77" t="s">
        <v>13</v>
      </c>
      <c r="L77" t="s">
        <v>272</v>
      </c>
      <c r="M77">
        <v>3</v>
      </c>
      <c r="N77" t="s">
        <v>333</v>
      </c>
      <c r="O77" t="s">
        <v>278</v>
      </c>
      <c r="P77" t="s">
        <v>283</v>
      </c>
      <c r="Q77" t="s">
        <v>371</v>
      </c>
      <c r="R77" t="s">
        <v>371</v>
      </c>
      <c r="S77" t="s">
        <v>371</v>
      </c>
      <c r="T77" t="s">
        <v>340</v>
      </c>
      <c r="U77" t="s">
        <v>342</v>
      </c>
      <c r="V77" t="s">
        <v>343</v>
      </c>
      <c r="W77" t="s">
        <v>347</v>
      </c>
      <c r="X77" s="17"/>
      <c r="Y77" t="s">
        <v>349</v>
      </c>
      <c r="Z77" t="s">
        <v>349</v>
      </c>
      <c r="AA77" t="s">
        <v>293</v>
      </c>
      <c r="AB77" t="s">
        <v>353</v>
      </c>
      <c r="AC77" t="s">
        <v>297</v>
      </c>
      <c r="AD77" t="s">
        <v>300</v>
      </c>
      <c r="AE77" t="s">
        <v>292</v>
      </c>
      <c r="AF77" t="s">
        <v>293</v>
      </c>
      <c r="AG77" t="s">
        <v>292</v>
      </c>
      <c r="AH77" t="s">
        <v>293</v>
      </c>
      <c r="AI77" t="s">
        <v>293</v>
      </c>
      <c r="AJ77" t="s">
        <v>358</v>
      </c>
      <c r="AK77" t="s">
        <v>359</v>
      </c>
      <c r="AL77" t="s">
        <v>359</v>
      </c>
      <c r="AM77" t="s">
        <v>293</v>
      </c>
      <c r="AN77" t="s">
        <v>293</v>
      </c>
      <c r="AO77" t="s">
        <v>297</v>
      </c>
      <c r="AP77" t="s">
        <v>298</v>
      </c>
      <c r="AQ77" t="s">
        <v>293</v>
      </c>
      <c r="AR77" t="s">
        <v>292</v>
      </c>
      <c r="AS77" t="s">
        <v>293</v>
      </c>
      <c r="AT77" t="s">
        <v>293</v>
      </c>
      <c r="AU77" t="s">
        <v>364</v>
      </c>
      <c r="AV77" t="str">
        <f t="shared" si="8"/>
        <v>no_fail</v>
      </c>
      <c r="AX77" t="s">
        <v>532</v>
      </c>
      <c r="AY77" t="s">
        <v>533</v>
      </c>
    </row>
    <row r="78" spans="1:51" x14ac:dyDescent="0.3">
      <c r="A78" t="s">
        <v>381</v>
      </c>
      <c r="B78" t="s">
        <v>288</v>
      </c>
      <c r="C78" t="s">
        <v>558</v>
      </c>
      <c r="D78" t="s">
        <v>288</v>
      </c>
      <c r="E78" t="str">
        <f t="shared" si="6"/>
        <v>qYMZl</v>
      </c>
      <c r="F78" t="b">
        <v>1</v>
      </c>
      <c r="G78">
        <v>78.3</v>
      </c>
      <c r="H78">
        <f t="shared" si="7"/>
        <v>0</v>
      </c>
      <c r="I78">
        <v>14761</v>
      </c>
      <c r="J78" t="s">
        <v>13</v>
      </c>
      <c r="L78" t="s">
        <v>272</v>
      </c>
      <c r="M78">
        <v>3</v>
      </c>
      <c r="N78" t="s">
        <v>277</v>
      </c>
      <c r="O78" t="s">
        <v>335</v>
      </c>
      <c r="P78" t="s">
        <v>284</v>
      </c>
      <c r="Q78" t="s">
        <v>283</v>
      </c>
      <c r="R78" t="s">
        <v>282</v>
      </c>
      <c r="S78" t="s">
        <v>371</v>
      </c>
      <c r="T78" t="s">
        <v>341</v>
      </c>
      <c r="U78" t="s">
        <v>342</v>
      </c>
      <c r="V78" t="s">
        <v>343</v>
      </c>
      <c r="W78" t="s">
        <v>344</v>
      </c>
      <c r="X78" s="17"/>
      <c r="Y78" t="s">
        <v>349</v>
      </c>
      <c r="Z78" t="s">
        <v>349</v>
      </c>
      <c r="AA78" t="s">
        <v>293</v>
      </c>
      <c r="AB78" t="s">
        <v>352</v>
      </c>
      <c r="AC78" t="s">
        <v>297</v>
      </c>
      <c r="AD78" t="s">
        <v>301</v>
      </c>
      <c r="AE78" t="s">
        <v>292</v>
      </c>
      <c r="AF78" t="s">
        <v>293</v>
      </c>
      <c r="AG78" t="s">
        <v>292</v>
      </c>
      <c r="AH78" t="s">
        <v>292</v>
      </c>
      <c r="AI78" t="s">
        <v>293</v>
      </c>
      <c r="AJ78" t="s">
        <v>302</v>
      </c>
      <c r="AK78" t="s">
        <v>302</v>
      </c>
      <c r="AL78" t="s">
        <v>302</v>
      </c>
      <c r="AM78" t="s">
        <v>293</v>
      </c>
      <c r="AN78" t="s">
        <v>293</v>
      </c>
      <c r="AO78" t="s">
        <v>296</v>
      </c>
      <c r="AP78" t="s">
        <v>298</v>
      </c>
      <c r="AQ78" t="s">
        <v>293</v>
      </c>
      <c r="AR78" t="s">
        <v>292</v>
      </c>
      <c r="AS78" t="s">
        <v>293</v>
      </c>
      <c r="AT78" t="s">
        <v>293</v>
      </c>
      <c r="AU78" t="s">
        <v>364</v>
      </c>
      <c r="AV78" t="str">
        <f t="shared" si="8"/>
        <v>no_fail</v>
      </c>
      <c r="AX78" t="s">
        <v>559</v>
      </c>
      <c r="AY78" t="s">
        <v>560</v>
      </c>
    </row>
    <row r="79" spans="1:51" x14ac:dyDescent="0.3">
      <c r="A79" t="s">
        <v>381</v>
      </c>
      <c r="B79" t="s">
        <v>288</v>
      </c>
      <c r="C79" t="s">
        <v>501</v>
      </c>
      <c r="D79" t="s">
        <v>288</v>
      </c>
      <c r="E79" t="str">
        <f t="shared" si="6"/>
        <v>R5eOr</v>
      </c>
      <c r="F79" t="b">
        <v>1</v>
      </c>
      <c r="G79">
        <v>100</v>
      </c>
      <c r="H79">
        <f t="shared" si="7"/>
        <v>1</v>
      </c>
      <c r="I79">
        <v>14716</v>
      </c>
      <c r="J79" t="s">
        <v>18</v>
      </c>
      <c r="L79" t="s">
        <v>272</v>
      </c>
      <c r="M79">
        <v>3</v>
      </c>
      <c r="N79" t="s">
        <v>333</v>
      </c>
      <c r="O79" t="s">
        <v>278</v>
      </c>
      <c r="P79" t="s">
        <v>339</v>
      </c>
      <c r="Q79" t="s">
        <v>273</v>
      </c>
      <c r="R79" t="s">
        <v>281</v>
      </c>
      <c r="S79" t="s">
        <v>371</v>
      </c>
      <c r="T79" t="s">
        <v>341</v>
      </c>
      <c r="U79" t="s">
        <v>342</v>
      </c>
      <c r="V79" t="s">
        <v>343</v>
      </c>
      <c r="W79" t="s">
        <v>291</v>
      </c>
      <c r="X79" s="17"/>
      <c r="Y79" t="s">
        <v>350</v>
      </c>
      <c r="Z79" t="s">
        <v>349</v>
      </c>
      <c r="AA79" t="s">
        <v>293</v>
      </c>
      <c r="AB79" t="s">
        <v>353</v>
      </c>
      <c r="AC79" t="s">
        <v>355</v>
      </c>
      <c r="AD79" t="s">
        <v>300</v>
      </c>
      <c r="AE79" t="s">
        <v>293</v>
      </c>
      <c r="AF79" t="s">
        <v>292</v>
      </c>
      <c r="AG79" t="s">
        <v>292</v>
      </c>
      <c r="AH79" t="s">
        <v>292</v>
      </c>
      <c r="AI79" t="s">
        <v>293</v>
      </c>
      <c r="AJ79" t="s">
        <v>302</v>
      </c>
      <c r="AK79" t="s">
        <v>359</v>
      </c>
      <c r="AL79" t="s">
        <v>359</v>
      </c>
      <c r="AM79" t="s">
        <v>293</v>
      </c>
      <c r="AN79" t="s">
        <v>293</v>
      </c>
      <c r="AO79" t="s">
        <v>297</v>
      </c>
      <c r="AP79" t="s">
        <v>356</v>
      </c>
      <c r="AQ79" t="s">
        <v>293</v>
      </c>
      <c r="AR79" t="s">
        <v>292</v>
      </c>
      <c r="AS79" t="s">
        <v>293</v>
      </c>
      <c r="AT79" t="s">
        <v>293</v>
      </c>
      <c r="AU79" t="s">
        <v>364</v>
      </c>
      <c r="AV79" t="str">
        <f t="shared" si="8"/>
        <v>break</v>
      </c>
      <c r="AX79" t="s">
        <v>502</v>
      </c>
      <c r="AY79" t="s">
        <v>503</v>
      </c>
    </row>
    <row r="80" spans="1:51" x14ac:dyDescent="0.3">
      <c r="A80" t="s">
        <v>381</v>
      </c>
      <c r="B80" t="s">
        <v>288</v>
      </c>
      <c r="C80" t="s">
        <v>474</v>
      </c>
      <c r="D80" t="s">
        <v>288</v>
      </c>
      <c r="E80" t="str">
        <f t="shared" si="6"/>
        <v>rdDr4</v>
      </c>
      <c r="F80" t="b">
        <v>1</v>
      </c>
      <c r="G80">
        <v>93</v>
      </c>
      <c r="H80">
        <f t="shared" si="7"/>
        <v>0</v>
      </c>
      <c r="I80">
        <v>14246</v>
      </c>
      <c r="J80" t="s">
        <v>13</v>
      </c>
      <c r="L80" t="s">
        <v>272</v>
      </c>
      <c r="M80">
        <v>3</v>
      </c>
      <c r="N80" t="s">
        <v>333</v>
      </c>
      <c r="O80" t="s">
        <v>280</v>
      </c>
      <c r="P80" t="s">
        <v>281</v>
      </c>
      <c r="Q80" t="s">
        <v>285</v>
      </c>
      <c r="R80" t="s">
        <v>371</v>
      </c>
      <c r="S80" t="s">
        <v>371</v>
      </c>
      <c r="T80" t="s">
        <v>341</v>
      </c>
      <c r="U80" t="s">
        <v>340</v>
      </c>
      <c r="V80" t="s">
        <v>343</v>
      </c>
      <c r="W80" t="s">
        <v>377</v>
      </c>
      <c r="X80" s="17"/>
      <c r="Y80" t="s">
        <v>349</v>
      </c>
      <c r="Z80" t="s">
        <v>349</v>
      </c>
      <c r="AA80" t="s">
        <v>293</v>
      </c>
      <c r="AB80" t="s">
        <v>353</v>
      </c>
      <c r="AC80" t="s">
        <v>296</v>
      </c>
      <c r="AD80" t="s">
        <v>300</v>
      </c>
      <c r="AE80" t="s">
        <v>292</v>
      </c>
      <c r="AF80" t="s">
        <v>293</v>
      </c>
      <c r="AG80" t="s">
        <v>292</v>
      </c>
      <c r="AH80" t="s">
        <v>292</v>
      </c>
      <c r="AI80" t="s">
        <v>293</v>
      </c>
      <c r="AJ80" t="s">
        <v>302</v>
      </c>
      <c r="AK80" t="s">
        <v>359</v>
      </c>
      <c r="AL80" t="s">
        <v>359</v>
      </c>
      <c r="AM80" t="s">
        <v>293</v>
      </c>
      <c r="AN80" t="s">
        <v>293</v>
      </c>
      <c r="AO80" t="s">
        <v>296</v>
      </c>
      <c r="AP80" t="s">
        <v>298</v>
      </c>
      <c r="AQ80" t="s">
        <v>293</v>
      </c>
      <c r="AR80" t="s">
        <v>292</v>
      </c>
      <c r="AS80" t="s">
        <v>293</v>
      </c>
      <c r="AT80" t="s">
        <v>293</v>
      </c>
      <c r="AU80" t="s">
        <v>364</v>
      </c>
      <c r="AV80" t="str">
        <f t="shared" si="8"/>
        <v>no_fail</v>
      </c>
      <c r="AX80" t="s">
        <v>475</v>
      </c>
      <c r="AY80" t="s">
        <v>476</v>
      </c>
    </row>
    <row r="81" spans="1:51" x14ac:dyDescent="0.3">
      <c r="A81" t="s">
        <v>381</v>
      </c>
      <c r="B81" t="s">
        <v>288</v>
      </c>
      <c r="C81" t="s">
        <v>522</v>
      </c>
      <c r="D81" t="s">
        <v>288</v>
      </c>
      <c r="E81" t="str">
        <f t="shared" si="6"/>
        <v>rlaqJ</v>
      </c>
      <c r="F81" t="b">
        <v>1</v>
      </c>
      <c r="G81">
        <v>68.400000000000006</v>
      </c>
      <c r="H81">
        <f t="shared" si="7"/>
        <v>0</v>
      </c>
      <c r="I81">
        <v>11067</v>
      </c>
      <c r="J81" t="s">
        <v>13</v>
      </c>
      <c r="L81" t="s">
        <v>272</v>
      </c>
      <c r="M81">
        <v>3</v>
      </c>
      <c r="N81" t="s">
        <v>277</v>
      </c>
      <c r="O81" t="s">
        <v>335</v>
      </c>
      <c r="P81" t="s">
        <v>281</v>
      </c>
      <c r="Q81" t="s">
        <v>283</v>
      </c>
      <c r="R81" t="s">
        <v>284</v>
      </c>
      <c r="S81" t="s">
        <v>371</v>
      </c>
      <c r="T81" t="s">
        <v>341</v>
      </c>
      <c r="U81" t="s">
        <v>340</v>
      </c>
      <c r="V81" t="s">
        <v>343</v>
      </c>
      <c r="W81" t="s">
        <v>344</v>
      </c>
      <c r="X81" s="17"/>
      <c r="Y81" t="s">
        <v>349</v>
      </c>
      <c r="Z81" t="s">
        <v>349</v>
      </c>
      <c r="AA81" t="s">
        <v>293</v>
      </c>
      <c r="AB81" t="s">
        <v>352</v>
      </c>
      <c r="AC81" t="s">
        <v>296</v>
      </c>
      <c r="AD81" t="s">
        <v>301</v>
      </c>
      <c r="AE81" t="s">
        <v>292</v>
      </c>
      <c r="AF81" t="s">
        <v>293</v>
      </c>
      <c r="AG81" t="s">
        <v>292</v>
      </c>
      <c r="AH81" t="s">
        <v>292</v>
      </c>
      <c r="AI81" t="s">
        <v>293</v>
      </c>
      <c r="AJ81" t="s">
        <v>302</v>
      </c>
      <c r="AK81" t="s">
        <v>302</v>
      </c>
      <c r="AL81" t="s">
        <v>359</v>
      </c>
      <c r="AM81" t="s">
        <v>293</v>
      </c>
      <c r="AN81" t="s">
        <v>293</v>
      </c>
      <c r="AO81" t="s">
        <v>297</v>
      </c>
      <c r="AP81" t="s">
        <v>298</v>
      </c>
      <c r="AQ81" t="s">
        <v>293</v>
      </c>
      <c r="AR81" t="s">
        <v>292</v>
      </c>
      <c r="AS81" t="s">
        <v>293</v>
      </c>
      <c r="AT81" t="s">
        <v>293</v>
      </c>
      <c r="AU81" t="s">
        <v>364</v>
      </c>
      <c r="AV81" t="str">
        <f t="shared" si="8"/>
        <v>no_fail</v>
      </c>
      <c r="AX81" t="s">
        <v>523</v>
      </c>
      <c r="AY81" t="s">
        <v>524</v>
      </c>
    </row>
    <row r="82" spans="1:51" x14ac:dyDescent="0.3">
      <c r="A82" t="s">
        <v>381</v>
      </c>
      <c r="B82" t="s">
        <v>288</v>
      </c>
      <c r="C82" t="s">
        <v>450</v>
      </c>
      <c r="D82" t="s">
        <v>288</v>
      </c>
      <c r="E82" t="str">
        <f t="shared" si="6"/>
        <v>rlXM4</v>
      </c>
      <c r="F82" t="b">
        <v>1</v>
      </c>
      <c r="G82">
        <v>99.6</v>
      </c>
      <c r="H82">
        <f t="shared" si="7"/>
        <v>0</v>
      </c>
      <c r="I82">
        <v>10000</v>
      </c>
      <c r="J82" t="s">
        <v>13</v>
      </c>
      <c r="L82" t="s">
        <v>272</v>
      </c>
      <c r="M82">
        <v>3</v>
      </c>
      <c r="N82" t="s">
        <v>277</v>
      </c>
      <c r="O82" t="s">
        <v>335</v>
      </c>
      <c r="P82" t="s">
        <v>282</v>
      </c>
      <c r="Q82" t="s">
        <v>371</v>
      </c>
      <c r="R82" t="s">
        <v>371</v>
      </c>
      <c r="S82" t="s">
        <v>371</v>
      </c>
      <c r="T82" t="s">
        <v>341</v>
      </c>
      <c r="U82" t="s">
        <v>342</v>
      </c>
      <c r="V82" t="s">
        <v>343</v>
      </c>
      <c r="W82" t="s">
        <v>345</v>
      </c>
      <c r="X82" s="17"/>
      <c r="Y82" t="s">
        <v>349</v>
      </c>
      <c r="Z82" t="s">
        <v>349</v>
      </c>
      <c r="AA82" t="s">
        <v>293</v>
      </c>
      <c r="AB82" t="s">
        <v>353</v>
      </c>
      <c r="AC82" t="s">
        <v>297</v>
      </c>
      <c r="AD82" t="s">
        <v>299</v>
      </c>
      <c r="AE82" t="s">
        <v>292</v>
      </c>
      <c r="AF82" t="s">
        <v>293</v>
      </c>
      <c r="AG82" t="s">
        <v>292</v>
      </c>
      <c r="AH82" t="s">
        <v>293</v>
      </c>
      <c r="AI82" t="s">
        <v>293</v>
      </c>
      <c r="AJ82" t="s">
        <v>302</v>
      </c>
      <c r="AK82" t="s">
        <v>302</v>
      </c>
      <c r="AL82" t="s">
        <v>359</v>
      </c>
      <c r="AM82" t="s">
        <v>293</v>
      </c>
      <c r="AN82" t="s">
        <v>293</v>
      </c>
      <c r="AO82" t="s">
        <v>297</v>
      </c>
      <c r="AP82" t="s">
        <v>298</v>
      </c>
      <c r="AQ82" t="s">
        <v>360</v>
      </c>
      <c r="AR82" t="s">
        <v>292</v>
      </c>
      <c r="AS82" t="s">
        <v>293</v>
      </c>
      <c r="AT82" t="s">
        <v>293</v>
      </c>
      <c r="AU82" t="s">
        <v>364</v>
      </c>
      <c r="AV82" t="str">
        <f t="shared" si="8"/>
        <v>no_fail</v>
      </c>
      <c r="AX82" t="s">
        <v>451</v>
      </c>
      <c r="AY82" t="s">
        <v>452</v>
      </c>
    </row>
    <row r="83" spans="1:51" x14ac:dyDescent="0.3">
      <c r="A83" t="s">
        <v>381</v>
      </c>
      <c r="B83" t="s">
        <v>288</v>
      </c>
      <c r="C83" t="s">
        <v>477</v>
      </c>
      <c r="D83" t="s">
        <v>288</v>
      </c>
      <c r="E83" t="str">
        <f t="shared" si="6"/>
        <v>RM2Yx</v>
      </c>
      <c r="F83" t="b">
        <v>1</v>
      </c>
      <c r="G83">
        <v>97.4</v>
      </c>
      <c r="H83">
        <f t="shared" si="7"/>
        <v>0</v>
      </c>
      <c r="I83">
        <v>9170</v>
      </c>
      <c r="J83" t="s">
        <v>13</v>
      </c>
      <c r="L83" t="s">
        <v>272</v>
      </c>
      <c r="M83">
        <v>3</v>
      </c>
      <c r="N83" t="s">
        <v>277</v>
      </c>
      <c r="O83" t="s">
        <v>335</v>
      </c>
      <c r="P83" t="s">
        <v>282</v>
      </c>
      <c r="Q83" t="s">
        <v>371</v>
      </c>
      <c r="R83" t="s">
        <v>371</v>
      </c>
      <c r="S83" t="s">
        <v>371</v>
      </c>
      <c r="T83" t="s">
        <v>341</v>
      </c>
      <c r="U83" t="s">
        <v>342</v>
      </c>
      <c r="V83" t="s">
        <v>343</v>
      </c>
      <c r="W83" t="s">
        <v>344</v>
      </c>
      <c r="X83" s="17" t="s">
        <v>347</v>
      </c>
      <c r="Y83" t="s">
        <v>350</v>
      </c>
      <c r="Z83" t="s">
        <v>349</v>
      </c>
      <c r="AA83" t="s">
        <v>293</v>
      </c>
      <c r="AB83" t="s">
        <v>353</v>
      </c>
      <c r="AC83" t="s">
        <v>297</v>
      </c>
      <c r="AD83" t="s">
        <v>299</v>
      </c>
      <c r="AE83" t="s">
        <v>292</v>
      </c>
      <c r="AF83" t="s">
        <v>293</v>
      </c>
      <c r="AG83" t="s">
        <v>292</v>
      </c>
      <c r="AH83" t="s">
        <v>293</v>
      </c>
      <c r="AI83" t="s">
        <v>293</v>
      </c>
      <c r="AJ83" t="s">
        <v>302</v>
      </c>
      <c r="AK83" t="s">
        <v>302</v>
      </c>
      <c r="AL83" t="s">
        <v>359</v>
      </c>
      <c r="AM83" t="s">
        <v>293</v>
      </c>
      <c r="AN83" t="s">
        <v>293</v>
      </c>
      <c r="AO83" t="s">
        <v>297</v>
      </c>
      <c r="AP83" t="s">
        <v>298</v>
      </c>
      <c r="AQ83" t="s">
        <v>293</v>
      </c>
      <c r="AR83" t="s">
        <v>292</v>
      </c>
      <c r="AS83" t="s">
        <v>293</v>
      </c>
      <c r="AT83" t="s">
        <v>293</v>
      </c>
      <c r="AU83" t="s">
        <v>364</v>
      </c>
      <c r="AV83" t="str">
        <f t="shared" si="8"/>
        <v>no_fail</v>
      </c>
      <c r="AX83" t="s">
        <v>478</v>
      </c>
      <c r="AY83" t="s">
        <v>479</v>
      </c>
    </row>
    <row r="84" spans="1:51" x14ac:dyDescent="0.3">
      <c r="A84" t="s">
        <v>381</v>
      </c>
      <c r="B84" t="s">
        <v>288</v>
      </c>
      <c r="C84" t="s">
        <v>540</v>
      </c>
      <c r="D84" t="s">
        <v>288</v>
      </c>
      <c r="E84" t="str">
        <f t="shared" si="6"/>
        <v>RME97</v>
      </c>
      <c r="F84" t="b">
        <v>1</v>
      </c>
      <c r="G84">
        <v>92.7</v>
      </c>
      <c r="H84">
        <f t="shared" si="7"/>
        <v>0</v>
      </c>
      <c r="I84">
        <v>7320</v>
      </c>
      <c r="J84" t="s">
        <v>13</v>
      </c>
      <c r="L84" t="s">
        <v>272</v>
      </c>
      <c r="M84">
        <v>3</v>
      </c>
      <c r="N84" t="s">
        <v>277</v>
      </c>
      <c r="O84" t="s">
        <v>335</v>
      </c>
      <c r="P84" t="s">
        <v>273</v>
      </c>
      <c r="Q84" t="s">
        <v>282</v>
      </c>
      <c r="R84" t="s">
        <v>371</v>
      </c>
      <c r="S84" t="s">
        <v>371</v>
      </c>
      <c r="T84" t="s">
        <v>341</v>
      </c>
      <c r="U84" t="s">
        <v>340</v>
      </c>
      <c r="V84" t="s">
        <v>343</v>
      </c>
      <c r="W84" t="s">
        <v>291</v>
      </c>
      <c r="X84" s="17"/>
      <c r="Y84" t="s">
        <v>350</v>
      </c>
      <c r="Z84" t="s">
        <v>349</v>
      </c>
      <c r="AA84" t="s">
        <v>293</v>
      </c>
      <c r="AB84" t="s">
        <v>353</v>
      </c>
      <c r="AC84" t="s">
        <v>297</v>
      </c>
      <c r="AD84" t="s">
        <v>299</v>
      </c>
      <c r="AE84" t="s">
        <v>292</v>
      </c>
      <c r="AF84" t="s">
        <v>293</v>
      </c>
      <c r="AG84" t="s">
        <v>292</v>
      </c>
      <c r="AH84" t="s">
        <v>292</v>
      </c>
      <c r="AI84" t="s">
        <v>293</v>
      </c>
      <c r="AJ84" t="s">
        <v>302</v>
      </c>
      <c r="AK84" t="s">
        <v>302</v>
      </c>
      <c r="AL84" t="s">
        <v>359</v>
      </c>
      <c r="AM84" t="s">
        <v>293</v>
      </c>
      <c r="AN84" t="s">
        <v>293</v>
      </c>
      <c r="AO84" t="s">
        <v>297</v>
      </c>
      <c r="AP84" t="s">
        <v>298</v>
      </c>
      <c r="AQ84" t="s">
        <v>293</v>
      </c>
      <c r="AR84" t="s">
        <v>292</v>
      </c>
      <c r="AS84" t="s">
        <v>293</v>
      </c>
      <c r="AT84" t="s">
        <v>293</v>
      </c>
      <c r="AU84" t="s">
        <v>364</v>
      </c>
      <c r="AV84" t="str">
        <f t="shared" si="8"/>
        <v>no_fail</v>
      </c>
      <c r="AX84" t="s">
        <v>541</v>
      </c>
      <c r="AY84" t="s">
        <v>542</v>
      </c>
    </row>
    <row r="85" spans="1:51" x14ac:dyDescent="0.3">
      <c r="A85" t="s">
        <v>381</v>
      </c>
      <c r="B85" t="s">
        <v>288</v>
      </c>
      <c r="C85" t="s">
        <v>672</v>
      </c>
      <c r="D85" t="s">
        <v>288</v>
      </c>
      <c r="E85" t="str">
        <f t="shared" si="6"/>
        <v>RMlR7</v>
      </c>
      <c r="F85" t="b">
        <v>1</v>
      </c>
      <c r="G85">
        <v>95.8</v>
      </c>
      <c r="H85">
        <f t="shared" si="7"/>
        <v>0</v>
      </c>
      <c r="I85">
        <v>8723</v>
      </c>
      <c r="J85" t="s">
        <v>13</v>
      </c>
      <c r="L85" t="s">
        <v>272</v>
      </c>
      <c r="M85">
        <v>3</v>
      </c>
      <c r="N85" t="s">
        <v>277</v>
      </c>
      <c r="O85" t="s">
        <v>335</v>
      </c>
      <c r="P85" t="s">
        <v>283</v>
      </c>
      <c r="Q85" t="s">
        <v>281</v>
      </c>
      <c r="R85" t="s">
        <v>284</v>
      </c>
      <c r="S85" t="s">
        <v>371</v>
      </c>
      <c r="T85" t="s">
        <v>341</v>
      </c>
      <c r="U85" t="s">
        <v>342</v>
      </c>
      <c r="V85" t="s">
        <v>343</v>
      </c>
      <c r="W85" t="s">
        <v>344</v>
      </c>
      <c r="X85" s="17"/>
      <c r="Y85" t="s">
        <v>350</v>
      </c>
      <c r="Z85" t="s">
        <v>349</v>
      </c>
      <c r="AA85" t="s">
        <v>293</v>
      </c>
      <c r="AB85" t="s">
        <v>353</v>
      </c>
      <c r="AC85" t="s">
        <v>297</v>
      </c>
      <c r="AD85" t="s">
        <v>299</v>
      </c>
      <c r="AE85" t="s">
        <v>292</v>
      </c>
      <c r="AF85" t="s">
        <v>293</v>
      </c>
      <c r="AG85" t="s">
        <v>292</v>
      </c>
      <c r="AH85" t="s">
        <v>293</v>
      </c>
      <c r="AI85" t="s">
        <v>293</v>
      </c>
      <c r="AJ85" t="s">
        <v>302</v>
      </c>
      <c r="AK85" t="s">
        <v>302</v>
      </c>
      <c r="AL85" t="s">
        <v>359</v>
      </c>
      <c r="AM85" t="s">
        <v>293</v>
      </c>
      <c r="AN85" t="s">
        <v>293</v>
      </c>
      <c r="AO85" t="s">
        <v>297</v>
      </c>
      <c r="AP85" t="s">
        <v>298</v>
      </c>
      <c r="AQ85" t="s">
        <v>293</v>
      </c>
      <c r="AR85" t="s">
        <v>292</v>
      </c>
      <c r="AS85" t="s">
        <v>293</v>
      </c>
      <c r="AT85" t="s">
        <v>293</v>
      </c>
      <c r="AU85" t="s">
        <v>364</v>
      </c>
      <c r="AV85" t="str">
        <f t="shared" si="8"/>
        <v>no_fail</v>
      </c>
      <c r="AX85" t="s">
        <v>673</v>
      </c>
      <c r="AY85" t="s">
        <v>674</v>
      </c>
    </row>
    <row r="86" spans="1:51" x14ac:dyDescent="0.3">
      <c r="A86" t="s">
        <v>381</v>
      </c>
      <c r="B86" t="s">
        <v>288</v>
      </c>
      <c r="C86" t="s">
        <v>390</v>
      </c>
      <c r="D86" t="s">
        <v>288</v>
      </c>
      <c r="E86" t="str">
        <f t="shared" si="6"/>
        <v>RR1k2</v>
      </c>
      <c r="F86" t="b">
        <v>1</v>
      </c>
      <c r="G86">
        <v>90.4</v>
      </c>
      <c r="H86">
        <f t="shared" si="7"/>
        <v>0</v>
      </c>
      <c r="I86">
        <v>8807</v>
      </c>
      <c r="J86" t="s">
        <v>13</v>
      </c>
      <c r="L86" t="s">
        <v>272</v>
      </c>
      <c r="M86">
        <v>3</v>
      </c>
      <c r="N86" t="s">
        <v>277</v>
      </c>
      <c r="O86" t="s">
        <v>335</v>
      </c>
      <c r="P86" t="s">
        <v>283</v>
      </c>
      <c r="Q86" t="s">
        <v>282</v>
      </c>
      <c r="R86" t="s">
        <v>371</v>
      </c>
      <c r="S86" t="s">
        <v>371</v>
      </c>
      <c r="T86" t="s">
        <v>341</v>
      </c>
      <c r="U86" t="s">
        <v>342</v>
      </c>
      <c r="V86" t="s">
        <v>343</v>
      </c>
      <c r="W86" t="s">
        <v>344</v>
      </c>
      <c r="X86" s="17" t="s">
        <v>347</v>
      </c>
      <c r="Y86" t="s">
        <v>350</v>
      </c>
      <c r="Z86" t="s">
        <v>349</v>
      </c>
      <c r="AA86" t="s">
        <v>293</v>
      </c>
      <c r="AB86" t="s">
        <v>353</v>
      </c>
      <c r="AC86" t="s">
        <v>297</v>
      </c>
      <c r="AD86" t="s">
        <v>299</v>
      </c>
      <c r="AE86" t="s">
        <v>292</v>
      </c>
      <c r="AF86" t="s">
        <v>293</v>
      </c>
      <c r="AG86" t="s">
        <v>292</v>
      </c>
      <c r="AH86" t="s">
        <v>293</v>
      </c>
      <c r="AI86" t="s">
        <v>293</v>
      </c>
      <c r="AJ86" t="s">
        <v>302</v>
      </c>
      <c r="AK86" t="s">
        <v>302</v>
      </c>
      <c r="AL86" t="s">
        <v>359</v>
      </c>
      <c r="AM86" t="s">
        <v>293</v>
      </c>
      <c r="AN86" t="s">
        <v>293</v>
      </c>
      <c r="AO86" t="s">
        <v>297</v>
      </c>
      <c r="AP86" t="s">
        <v>298</v>
      </c>
      <c r="AQ86" t="s">
        <v>293</v>
      </c>
      <c r="AR86" t="s">
        <v>292</v>
      </c>
      <c r="AS86" t="s">
        <v>293</v>
      </c>
      <c r="AT86" t="s">
        <v>293</v>
      </c>
      <c r="AU86" t="s">
        <v>364</v>
      </c>
      <c r="AV86" t="str">
        <f t="shared" si="8"/>
        <v>no_fail</v>
      </c>
      <c r="AX86" t="s">
        <v>391</v>
      </c>
      <c r="AY86" t="s">
        <v>392</v>
      </c>
    </row>
    <row r="87" spans="1:51" x14ac:dyDescent="0.3">
      <c r="A87" t="s">
        <v>381</v>
      </c>
      <c r="B87" t="s">
        <v>288</v>
      </c>
      <c r="C87" t="s">
        <v>570</v>
      </c>
      <c r="D87" t="s">
        <v>288</v>
      </c>
      <c r="E87" t="str">
        <f t="shared" si="6"/>
        <v>v8Mpa</v>
      </c>
      <c r="F87" t="b">
        <v>1</v>
      </c>
      <c r="G87">
        <v>98.3</v>
      </c>
      <c r="H87">
        <f t="shared" si="7"/>
        <v>0</v>
      </c>
      <c r="I87">
        <v>7868</v>
      </c>
      <c r="J87" t="s">
        <v>13</v>
      </c>
      <c r="L87" t="s">
        <v>272</v>
      </c>
      <c r="M87">
        <v>3</v>
      </c>
      <c r="N87" t="s">
        <v>277</v>
      </c>
      <c r="O87" t="s">
        <v>335</v>
      </c>
      <c r="P87" t="s">
        <v>283</v>
      </c>
      <c r="Q87" t="s">
        <v>282</v>
      </c>
      <c r="R87" t="s">
        <v>371</v>
      </c>
      <c r="S87" t="s">
        <v>371</v>
      </c>
      <c r="T87" t="s">
        <v>341</v>
      </c>
      <c r="U87" t="s">
        <v>342</v>
      </c>
      <c r="V87" t="s">
        <v>343</v>
      </c>
      <c r="W87" t="s">
        <v>345</v>
      </c>
      <c r="X87" s="17" t="s">
        <v>347</v>
      </c>
      <c r="Y87" t="s">
        <v>349</v>
      </c>
      <c r="Z87" t="s">
        <v>349</v>
      </c>
      <c r="AA87" t="s">
        <v>293</v>
      </c>
      <c r="AB87" t="s">
        <v>353</v>
      </c>
      <c r="AC87" t="s">
        <v>297</v>
      </c>
      <c r="AD87" t="s">
        <v>299</v>
      </c>
      <c r="AE87" t="s">
        <v>292</v>
      </c>
      <c r="AF87" t="s">
        <v>293</v>
      </c>
      <c r="AG87" t="s">
        <v>292</v>
      </c>
      <c r="AH87" t="s">
        <v>293</v>
      </c>
      <c r="AI87" t="s">
        <v>293</v>
      </c>
      <c r="AJ87" t="s">
        <v>302</v>
      </c>
      <c r="AK87" t="s">
        <v>302</v>
      </c>
      <c r="AL87" t="s">
        <v>359</v>
      </c>
      <c r="AM87" t="s">
        <v>293</v>
      </c>
      <c r="AN87" t="s">
        <v>293</v>
      </c>
      <c r="AO87" t="s">
        <v>297</v>
      </c>
      <c r="AP87" t="s">
        <v>298</v>
      </c>
      <c r="AQ87" t="s">
        <v>293</v>
      </c>
      <c r="AR87" t="s">
        <v>292</v>
      </c>
      <c r="AS87" t="s">
        <v>293</v>
      </c>
      <c r="AT87" t="s">
        <v>293</v>
      </c>
      <c r="AU87" t="s">
        <v>364</v>
      </c>
      <c r="AV87" t="str">
        <f t="shared" si="8"/>
        <v>no_fail</v>
      </c>
      <c r="AX87" t="s">
        <v>571</v>
      </c>
      <c r="AY87" t="s">
        <v>572</v>
      </c>
    </row>
    <row r="88" spans="1:51" x14ac:dyDescent="0.3">
      <c r="A88" t="s">
        <v>381</v>
      </c>
      <c r="B88" t="s">
        <v>288</v>
      </c>
      <c r="C88" t="s">
        <v>675</v>
      </c>
      <c r="D88" t="s">
        <v>288</v>
      </c>
      <c r="E88" t="str">
        <f t="shared" si="6"/>
        <v>VeJ65</v>
      </c>
      <c r="F88" t="b">
        <v>1</v>
      </c>
      <c r="G88">
        <v>97.12</v>
      </c>
      <c r="H88">
        <f t="shared" si="7"/>
        <v>0</v>
      </c>
      <c r="I88">
        <v>12670</v>
      </c>
      <c r="J88" t="s">
        <v>13</v>
      </c>
      <c r="L88" t="s">
        <v>272</v>
      </c>
      <c r="M88">
        <v>3</v>
      </c>
      <c r="N88" t="s">
        <v>277</v>
      </c>
      <c r="O88" t="s">
        <v>335</v>
      </c>
      <c r="P88" t="s">
        <v>283</v>
      </c>
      <c r="Q88" t="s">
        <v>281</v>
      </c>
      <c r="R88" t="s">
        <v>284</v>
      </c>
      <c r="S88" t="s">
        <v>371</v>
      </c>
      <c r="T88" t="s">
        <v>341</v>
      </c>
      <c r="U88" t="s">
        <v>342</v>
      </c>
      <c r="V88" t="s">
        <v>343</v>
      </c>
      <c r="W88" t="s">
        <v>344</v>
      </c>
      <c r="X88" s="17"/>
      <c r="Y88" t="s">
        <v>350</v>
      </c>
      <c r="Z88" t="s">
        <v>349</v>
      </c>
      <c r="AA88" t="s">
        <v>293</v>
      </c>
      <c r="AB88" t="s">
        <v>353</v>
      </c>
      <c r="AC88" t="s">
        <v>296</v>
      </c>
      <c r="AD88" t="s">
        <v>301</v>
      </c>
      <c r="AE88" t="s">
        <v>292</v>
      </c>
      <c r="AF88" t="s">
        <v>293</v>
      </c>
      <c r="AG88" t="s">
        <v>292</v>
      </c>
      <c r="AH88" t="s">
        <v>292</v>
      </c>
      <c r="AI88" t="s">
        <v>293</v>
      </c>
      <c r="AJ88" t="s">
        <v>302</v>
      </c>
      <c r="AK88" t="s">
        <v>302</v>
      </c>
      <c r="AL88" t="s">
        <v>359</v>
      </c>
      <c r="AM88" t="s">
        <v>293</v>
      </c>
      <c r="AN88" t="s">
        <v>293</v>
      </c>
      <c r="AO88" t="s">
        <v>297</v>
      </c>
      <c r="AP88" t="s">
        <v>298</v>
      </c>
      <c r="AQ88" t="s">
        <v>293</v>
      </c>
      <c r="AR88" t="s">
        <v>292</v>
      </c>
      <c r="AS88" t="s">
        <v>293</v>
      </c>
      <c r="AT88" t="s">
        <v>293</v>
      </c>
      <c r="AU88" t="s">
        <v>364</v>
      </c>
      <c r="AV88" t="str">
        <f t="shared" si="8"/>
        <v>no_fail</v>
      </c>
      <c r="AX88" t="s">
        <v>676</v>
      </c>
      <c r="AY88" t="s">
        <v>677</v>
      </c>
    </row>
    <row r="89" spans="1:51" x14ac:dyDescent="0.3">
      <c r="A89" t="s">
        <v>381</v>
      </c>
      <c r="B89" t="s">
        <v>288</v>
      </c>
      <c r="C89" t="s">
        <v>579</v>
      </c>
      <c r="D89" t="s">
        <v>288</v>
      </c>
      <c r="E89" t="str">
        <f t="shared" si="6"/>
        <v>VeP9n</v>
      </c>
      <c r="F89" t="b">
        <v>1</v>
      </c>
      <c r="G89">
        <v>99.93</v>
      </c>
      <c r="H89">
        <f t="shared" si="7"/>
        <v>0</v>
      </c>
      <c r="I89">
        <v>8544</v>
      </c>
      <c r="J89" t="s">
        <v>13</v>
      </c>
      <c r="L89" t="s">
        <v>272</v>
      </c>
      <c r="M89">
        <v>3</v>
      </c>
      <c r="N89" t="s">
        <v>333</v>
      </c>
      <c r="O89" t="s">
        <v>278</v>
      </c>
      <c r="P89" t="s">
        <v>273</v>
      </c>
      <c r="Q89" t="s">
        <v>371</v>
      </c>
      <c r="R89" t="s">
        <v>371</v>
      </c>
      <c r="S89" t="s">
        <v>371</v>
      </c>
      <c r="T89" t="s">
        <v>340</v>
      </c>
      <c r="U89" t="s">
        <v>342</v>
      </c>
      <c r="V89" t="s">
        <v>343</v>
      </c>
      <c r="W89" t="s">
        <v>347</v>
      </c>
      <c r="X89" s="17"/>
      <c r="Y89" t="s">
        <v>349</v>
      </c>
      <c r="Z89" t="s">
        <v>349</v>
      </c>
      <c r="AA89" t="s">
        <v>293</v>
      </c>
      <c r="AB89" t="s">
        <v>353</v>
      </c>
      <c r="AC89" t="s">
        <v>297</v>
      </c>
      <c r="AD89" t="s">
        <v>300</v>
      </c>
      <c r="AE89" t="s">
        <v>292</v>
      </c>
      <c r="AF89" t="s">
        <v>292</v>
      </c>
      <c r="AG89" t="s">
        <v>292</v>
      </c>
      <c r="AH89" t="s">
        <v>293</v>
      </c>
      <c r="AI89" t="s">
        <v>293</v>
      </c>
      <c r="AJ89" t="s">
        <v>358</v>
      </c>
      <c r="AK89" t="s">
        <v>359</v>
      </c>
      <c r="AL89" t="s">
        <v>359</v>
      </c>
      <c r="AM89" t="s">
        <v>293</v>
      </c>
      <c r="AN89" t="s">
        <v>293</v>
      </c>
      <c r="AO89" t="s">
        <v>297</v>
      </c>
      <c r="AP89" t="s">
        <v>298</v>
      </c>
      <c r="AQ89" t="s">
        <v>293</v>
      </c>
      <c r="AR89" t="s">
        <v>292</v>
      </c>
      <c r="AS89" t="s">
        <v>293</v>
      </c>
      <c r="AT89" t="s">
        <v>293</v>
      </c>
      <c r="AU89" t="s">
        <v>364</v>
      </c>
      <c r="AV89" t="str">
        <f t="shared" si="8"/>
        <v>no_fail</v>
      </c>
      <c r="AX89" t="s">
        <v>580</v>
      </c>
      <c r="AY89" t="s">
        <v>581</v>
      </c>
    </row>
    <row r="90" spans="1:51" x14ac:dyDescent="0.3">
      <c r="A90" t="s">
        <v>381</v>
      </c>
      <c r="B90" t="s">
        <v>288</v>
      </c>
      <c r="C90" t="s">
        <v>639</v>
      </c>
      <c r="D90" t="s">
        <v>288</v>
      </c>
      <c r="E90" t="str">
        <f t="shared" si="6"/>
        <v>vMdWJ</v>
      </c>
      <c r="F90" t="b">
        <v>1</v>
      </c>
      <c r="G90">
        <v>100</v>
      </c>
      <c r="H90">
        <f t="shared" si="7"/>
        <v>1</v>
      </c>
      <c r="I90">
        <v>11385</v>
      </c>
      <c r="J90" t="s">
        <v>18</v>
      </c>
      <c r="L90" t="s">
        <v>273</v>
      </c>
      <c r="M90">
        <v>2</v>
      </c>
      <c r="N90" t="s">
        <v>333</v>
      </c>
      <c r="O90" t="s">
        <v>278</v>
      </c>
      <c r="P90" t="s">
        <v>273</v>
      </c>
      <c r="Q90" t="s">
        <v>371</v>
      </c>
      <c r="R90" t="s">
        <v>371</v>
      </c>
      <c r="S90" t="s">
        <v>371</v>
      </c>
      <c r="T90" t="s">
        <v>340</v>
      </c>
      <c r="U90" t="s">
        <v>342</v>
      </c>
      <c r="V90" t="s">
        <v>343</v>
      </c>
      <c r="W90" t="s">
        <v>291</v>
      </c>
      <c r="X90" s="17"/>
      <c r="Y90" t="s">
        <v>349</v>
      </c>
      <c r="Z90" t="s">
        <v>349</v>
      </c>
      <c r="AA90" t="s">
        <v>292</v>
      </c>
      <c r="AB90" t="s">
        <v>353</v>
      </c>
      <c r="AC90" t="s">
        <v>355</v>
      </c>
      <c r="AD90" t="s">
        <v>301</v>
      </c>
      <c r="AE90" t="s">
        <v>293</v>
      </c>
      <c r="AF90" t="s">
        <v>292</v>
      </c>
      <c r="AG90" t="s">
        <v>293</v>
      </c>
      <c r="AH90" t="s">
        <v>292</v>
      </c>
      <c r="AI90" t="s">
        <v>293</v>
      </c>
      <c r="AJ90" t="s">
        <v>358</v>
      </c>
      <c r="AK90" t="s">
        <v>357</v>
      </c>
      <c r="AL90" t="s">
        <v>302</v>
      </c>
      <c r="AM90" t="s">
        <v>293</v>
      </c>
      <c r="AN90" t="s">
        <v>293</v>
      </c>
      <c r="AO90" t="s">
        <v>296</v>
      </c>
      <c r="AP90" t="s">
        <v>356</v>
      </c>
      <c r="AQ90" t="s">
        <v>293</v>
      </c>
      <c r="AR90" t="s">
        <v>292</v>
      </c>
      <c r="AS90" t="s">
        <v>293</v>
      </c>
      <c r="AT90" t="s">
        <v>293</v>
      </c>
      <c r="AU90" t="s">
        <v>364</v>
      </c>
      <c r="AV90" t="str">
        <f t="shared" si="8"/>
        <v>break</v>
      </c>
      <c r="AX90" t="s">
        <v>640</v>
      </c>
      <c r="AY90" t="s">
        <v>641</v>
      </c>
    </row>
    <row r="91" spans="1:51" x14ac:dyDescent="0.3">
      <c r="A91" t="s">
        <v>381</v>
      </c>
      <c r="B91" t="s">
        <v>288</v>
      </c>
      <c r="C91" t="s">
        <v>618</v>
      </c>
      <c r="D91" t="s">
        <v>288</v>
      </c>
      <c r="E91" t="str">
        <f t="shared" si="6"/>
        <v>VPZgQ</v>
      </c>
      <c r="F91" t="b">
        <v>1</v>
      </c>
      <c r="G91">
        <v>94.15</v>
      </c>
      <c r="H91">
        <f t="shared" si="7"/>
        <v>0</v>
      </c>
      <c r="I91">
        <v>28376</v>
      </c>
      <c r="J91" t="s">
        <v>13</v>
      </c>
      <c r="L91" t="s">
        <v>273</v>
      </c>
      <c r="M91">
        <v>2</v>
      </c>
      <c r="N91" t="s">
        <v>333</v>
      </c>
      <c r="O91" t="s">
        <v>278</v>
      </c>
      <c r="P91" t="s">
        <v>339</v>
      </c>
      <c r="Q91" t="s">
        <v>273</v>
      </c>
      <c r="R91" t="s">
        <v>371</v>
      </c>
      <c r="S91" t="s">
        <v>371</v>
      </c>
      <c r="T91" t="s">
        <v>341</v>
      </c>
      <c r="U91" t="s">
        <v>340</v>
      </c>
      <c r="V91" t="s">
        <v>343</v>
      </c>
      <c r="W91" t="s">
        <v>344</v>
      </c>
      <c r="X91" s="17" t="s">
        <v>291</v>
      </c>
      <c r="Y91" t="s">
        <v>351</v>
      </c>
      <c r="Z91" t="s">
        <v>350</v>
      </c>
      <c r="AA91" t="s">
        <v>293</v>
      </c>
      <c r="AB91" t="s">
        <v>353</v>
      </c>
      <c r="AC91" t="s">
        <v>296</v>
      </c>
      <c r="AD91" t="s">
        <v>300</v>
      </c>
      <c r="AE91" t="s">
        <v>293</v>
      </c>
      <c r="AF91" t="s">
        <v>292</v>
      </c>
      <c r="AG91" t="s">
        <v>293</v>
      </c>
      <c r="AH91" t="s">
        <v>292</v>
      </c>
      <c r="AI91" t="s">
        <v>293</v>
      </c>
      <c r="AJ91" t="s">
        <v>302</v>
      </c>
      <c r="AK91" t="s">
        <v>357</v>
      </c>
      <c r="AL91" t="s">
        <v>302</v>
      </c>
      <c r="AM91" t="s">
        <v>293</v>
      </c>
      <c r="AN91" t="s">
        <v>293</v>
      </c>
      <c r="AO91" t="s">
        <v>296</v>
      </c>
      <c r="AP91" t="s">
        <v>356</v>
      </c>
      <c r="AQ91" t="s">
        <v>293</v>
      </c>
      <c r="AR91" t="s">
        <v>292</v>
      </c>
      <c r="AS91" t="s">
        <v>293</v>
      </c>
      <c r="AT91" t="s">
        <v>293</v>
      </c>
      <c r="AU91" t="s">
        <v>364</v>
      </c>
      <c r="AV91" t="str">
        <f t="shared" si="8"/>
        <v>no_fail</v>
      </c>
      <c r="AX91" t="s">
        <v>619</v>
      </c>
      <c r="AY91" t="s">
        <v>620</v>
      </c>
    </row>
    <row r="92" spans="1:51" x14ac:dyDescent="0.3">
      <c r="A92" t="s">
        <v>381</v>
      </c>
      <c r="B92" t="s">
        <v>288</v>
      </c>
      <c r="C92" t="s">
        <v>585</v>
      </c>
      <c r="D92" t="s">
        <v>288</v>
      </c>
      <c r="E92" t="str">
        <f t="shared" si="6"/>
        <v>W4k0O</v>
      </c>
      <c r="F92" t="b">
        <v>1</v>
      </c>
      <c r="G92">
        <v>100</v>
      </c>
      <c r="H92">
        <f t="shared" si="7"/>
        <v>1</v>
      </c>
      <c r="I92">
        <v>8253</v>
      </c>
      <c r="J92" t="s">
        <v>13</v>
      </c>
      <c r="L92" t="s">
        <v>272</v>
      </c>
      <c r="M92">
        <v>3</v>
      </c>
      <c r="N92" t="s">
        <v>333</v>
      </c>
      <c r="O92" t="s">
        <v>279</v>
      </c>
      <c r="P92" t="s">
        <v>281</v>
      </c>
      <c r="Q92" t="s">
        <v>283</v>
      </c>
      <c r="R92" t="s">
        <v>338</v>
      </c>
      <c r="S92" t="s">
        <v>371</v>
      </c>
      <c r="T92" t="s">
        <v>341</v>
      </c>
      <c r="U92" t="s">
        <v>342</v>
      </c>
      <c r="V92" t="s">
        <v>343</v>
      </c>
      <c r="W92" t="s">
        <v>344</v>
      </c>
      <c r="X92" s="17"/>
      <c r="Y92" t="s">
        <v>350</v>
      </c>
      <c r="Z92" t="s">
        <v>349</v>
      </c>
      <c r="AA92" t="s">
        <v>293</v>
      </c>
      <c r="AB92" t="s">
        <v>353</v>
      </c>
      <c r="AC92" t="s">
        <v>297</v>
      </c>
      <c r="AD92" t="s">
        <v>300</v>
      </c>
      <c r="AE92" t="s">
        <v>292</v>
      </c>
      <c r="AF92" t="s">
        <v>293</v>
      </c>
      <c r="AG92" t="s">
        <v>292</v>
      </c>
      <c r="AH92" t="s">
        <v>293</v>
      </c>
      <c r="AI92" t="s">
        <v>293</v>
      </c>
      <c r="AJ92" t="s">
        <v>302</v>
      </c>
      <c r="AK92" t="s">
        <v>302</v>
      </c>
      <c r="AL92" t="s">
        <v>359</v>
      </c>
      <c r="AM92" t="s">
        <v>293</v>
      </c>
      <c r="AN92" t="s">
        <v>293</v>
      </c>
      <c r="AO92" t="s">
        <v>297</v>
      </c>
      <c r="AP92" t="s">
        <v>298</v>
      </c>
      <c r="AQ92" t="s">
        <v>293</v>
      </c>
      <c r="AR92" t="s">
        <v>292</v>
      </c>
      <c r="AS92" t="s">
        <v>293</v>
      </c>
      <c r="AT92" t="s">
        <v>293</v>
      </c>
      <c r="AU92" t="s">
        <v>364</v>
      </c>
      <c r="AV92" t="str">
        <f t="shared" si="8"/>
        <v>break</v>
      </c>
      <c r="AX92" t="s">
        <v>586</v>
      </c>
      <c r="AY92" t="s">
        <v>587</v>
      </c>
    </row>
    <row r="93" spans="1:51" x14ac:dyDescent="0.3">
      <c r="A93" t="s">
        <v>381</v>
      </c>
      <c r="B93" t="s">
        <v>288</v>
      </c>
      <c r="C93" t="s">
        <v>615</v>
      </c>
      <c r="D93" t="s">
        <v>288</v>
      </c>
      <c r="E93" t="str">
        <f t="shared" si="6"/>
        <v>W7DY1</v>
      </c>
      <c r="F93" t="b">
        <v>1</v>
      </c>
      <c r="G93">
        <v>94.5</v>
      </c>
      <c r="H93">
        <f t="shared" si="7"/>
        <v>0</v>
      </c>
      <c r="I93">
        <v>6829</v>
      </c>
      <c r="J93" t="s">
        <v>13</v>
      </c>
      <c r="L93" t="s">
        <v>272</v>
      </c>
      <c r="M93">
        <v>3</v>
      </c>
      <c r="N93" t="s">
        <v>333</v>
      </c>
      <c r="O93" t="s">
        <v>279</v>
      </c>
      <c r="P93" t="s">
        <v>281</v>
      </c>
      <c r="Q93" t="s">
        <v>282</v>
      </c>
      <c r="R93" t="s">
        <v>371</v>
      </c>
      <c r="S93" t="s">
        <v>371</v>
      </c>
      <c r="T93" t="s">
        <v>341</v>
      </c>
      <c r="U93" t="s">
        <v>340</v>
      </c>
      <c r="V93" t="s">
        <v>343</v>
      </c>
      <c r="W93" t="s">
        <v>345</v>
      </c>
      <c r="X93" s="17"/>
      <c r="Y93" t="s">
        <v>350</v>
      </c>
      <c r="Z93" t="s">
        <v>349</v>
      </c>
      <c r="AA93" t="s">
        <v>293</v>
      </c>
      <c r="AB93" t="s">
        <v>353</v>
      </c>
      <c r="AC93" t="s">
        <v>297</v>
      </c>
      <c r="AD93" t="s">
        <v>299</v>
      </c>
      <c r="AE93" t="s">
        <v>292</v>
      </c>
      <c r="AF93" t="s">
        <v>293</v>
      </c>
      <c r="AG93" t="s">
        <v>292</v>
      </c>
      <c r="AH93" t="s">
        <v>293</v>
      </c>
      <c r="AI93" t="s">
        <v>293</v>
      </c>
      <c r="AJ93" t="s">
        <v>302</v>
      </c>
      <c r="AK93" t="s">
        <v>302</v>
      </c>
      <c r="AL93" t="s">
        <v>359</v>
      </c>
      <c r="AM93" t="s">
        <v>293</v>
      </c>
      <c r="AN93" t="s">
        <v>293</v>
      </c>
      <c r="AO93" t="s">
        <v>297</v>
      </c>
      <c r="AP93" t="s">
        <v>298</v>
      </c>
      <c r="AQ93" t="s">
        <v>293</v>
      </c>
      <c r="AR93" t="s">
        <v>292</v>
      </c>
      <c r="AS93" t="s">
        <v>293</v>
      </c>
      <c r="AT93" t="s">
        <v>293</v>
      </c>
      <c r="AU93" t="s">
        <v>364</v>
      </c>
      <c r="AV93" t="str">
        <f t="shared" si="8"/>
        <v>no_fail</v>
      </c>
      <c r="AX93" t="s">
        <v>616</v>
      </c>
      <c r="AY93" t="s">
        <v>617</v>
      </c>
    </row>
    <row r="94" spans="1:51" x14ac:dyDescent="0.3">
      <c r="A94" t="s">
        <v>381</v>
      </c>
      <c r="B94" t="s">
        <v>288</v>
      </c>
      <c r="C94" t="s">
        <v>447</v>
      </c>
      <c r="D94" t="s">
        <v>288</v>
      </c>
      <c r="E94" t="str">
        <f t="shared" si="6"/>
        <v>W7PGq</v>
      </c>
      <c r="F94" t="b">
        <v>1</v>
      </c>
      <c r="G94">
        <v>99.9</v>
      </c>
      <c r="H94">
        <f t="shared" si="7"/>
        <v>0</v>
      </c>
      <c r="I94">
        <v>13100</v>
      </c>
      <c r="J94" t="s">
        <v>13</v>
      </c>
      <c r="L94" t="s">
        <v>272</v>
      </c>
      <c r="M94">
        <v>3</v>
      </c>
      <c r="N94" t="s">
        <v>277</v>
      </c>
      <c r="O94" t="s">
        <v>335</v>
      </c>
      <c r="P94" t="s">
        <v>282</v>
      </c>
      <c r="Q94" t="s">
        <v>371</v>
      </c>
      <c r="R94" t="s">
        <v>371</v>
      </c>
      <c r="S94" t="s">
        <v>371</v>
      </c>
      <c r="T94" t="s">
        <v>341</v>
      </c>
      <c r="U94" t="s">
        <v>342</v>
      </c>
      <c r="V94" t="s">
        <v>343</v>
      </c>
      <c r="W94" t="s">
        <v>345</v>
      </c>
      <c r="X94" s="17"/>
      <c r="Y94" t="s">
        <v>349</v>
      </c>
      <c r="Z94" t="s">
        <v>349</v>
      </c>
      <c r="AA94" t="s">
        <v>293</v>
      </c>
      <c r="AB94" t="s">
        <v>353</v>
      </c>
      <c r="AC94" t="s">
        <v>297</v>
      </c>
      <c r="AD94" t="s">
        <v>300</v>
      </c>
      <c r="AE94" t="s">
        <v>292</v>
      </c>
      <c r="AF94" t="s">
        <v>293</v>
      </c>
      <c r="AG94" t="s">
        <v>292</v>
      </c>
      <c r="AH94" t="s">
        <v>293</v>
      </c>
      <c r="AI94" t="s">
        <v>293</v>
      </c>
      <c r="AJ94" t="s">
        <v>302</v>
      </c>
      <c r="AK94" t="s">
        <v>302</v>
      </c>
      <c r="AL94" t="s">
        <v>359</v>
      </c>
      <c r="AM94" t="s">
        <v>293</v>
      </c>
      <c r="AN94" t="s">
        <v>293</v>
      </c>
      <c r="AO94" t="s">
        <v>297</v>
      </c>
      <c r="AP94" t="s">
        <v>298</v>
      </c>
      <c r="AQ94" t="s">
        <v>293</v>
      </c>
      <c r="AR94" t="s">
        <v>292</v>
      </c>
      <c r="AS94" t="s">
        <v>362</v>
      </c>
      <c r="AT94" t="s">
        <v>293</v>
      </c>
      <c r="AU94" t="s">
        <v>364</v>
      </c>
      <c r="AV94" t="str">
        <f t="shared" si="8"/>
        <v>no_fail</v>
      </c>
      <c r="AX94" t="s">
        <v>448</v>
      </c>
      <c r="AY94" t="s">
        <v>449</v>
      </c>
    </row>
    <row r="95" spans="1:51" x14ac:dyDescent="0.3">
      <c r="A95" t="s">
        <v>381</v>
      </c>
      <c r="B95" t="s">
        <v>288</v>
      </c>
      <c r="C95" t="s">
        <v>459</v>
      </c>
      <c r="D95" t="s">
        <v>288</v>
      </c>
      <c r="E95" t="str">
        <f t="shared" si="6"/>
        <v>w87kx</v>
      </c>
      <c r="F95" t="b">
        <v>1</v>
      </c>
      <c r="G95">
        <v>95.8</v>
      </c>
      <c r="H95">
        <f t="shared" si="7"/>
        <v>0</v>
      </c>
      <c r="I95">
        <v>8533</v>
      </c>
      <c r="J95" t="s">
        <v>13</v>
      </c>
      <c r="L95" t="s">
        <v>272</v>
      </c>
      <c r="M95">
        <v>3</v>
      </c>
      <c r="N95" t="s">
        <v>277</v>
      </c>
      <c r="O95" t="s">
        <v>335</v>
      </c>
      <c r="P95" t="s">
        <v>282</v>
      </c>
      <c r="Q95" t="s">
        <v>371</v>
      </c>
      <c r="R95" t="s">
        <v>371</v>
      </c>
      <c r="S95" t="s">
        <v>371</v>
      </c>
      <c r="T95" t="s">
        <v>341</v>
      </c>
      <c r="U95" t="s">
        <v>342</v>
      </c>
      <c r="V95" t="s">
        <v>343</v>
      </c>
      <c r="W95" t="s">
        <v>345</v>
      </c>
      <c r="X95" s="17"/>
      <c r="Y95" t="s">
        <v>349</v>
      </c>
      <c r="Z95" t="s">
        <v>349</v>
      </c>
      <c r="AA95" t="s">
        <v>293</v>
      </c>
      <c r="AB95" t="s">
        <v>353</v>
      </c>
      <c r="AC95" t="s">
        <v>297</v>
      </c>
      <c r="AD95" t="s">
        <v>300</v>
      </c>
      <c r="AE95" t="s">
        <v>292</v>
      </c>
      <c r="AF95" t="s">
        <v>293</v>
      </c>
      <c r="AG95" t="s">
        <v>292</v>
      </c>
      <c r="AH95" t="s">
        <v>293</v>
      </c>
      <c r="AI95" t="s">
        <v>293</v>
      </c>
      <c r="AJ95" t="s">
        <v>302</v>
      </c>
      <c r="AK95" t="s">
        <v>302</v>
      </c>
      <c r="AL95" t="s">
        <v>359</v>
      </c>
      <c r="AM95" t="s">
        <v>293</v>
      </c>
      <c r="AN95" t="s">
        <v>293</v>
      </c>
      <c r="AO95" t="s">
        <v>297</v>
      </c>
      <c r="AP95" t="s">
        <v>298</v>
      </c>
      <c r="AQ95" t="s">
        <v>293</v>
      </c>
      <c r="AR95" t="s">
        <v>292</v>
      </c>
      <c r="AS95" t="s">
        <v>293</v>
      </c>
      <c r="AT95" t="s">
        <v>293</v>
      </c>
      <c r="AU95" t="s">
        <v>364</v>
      </c>
      <c r="AV95" t="str">
        <f t="shared" si="8"/>
        <v>no_fail</v>
      </c>
      <c r="AX95" t="s">
        <v>460</v>
      </c>
      <c r="AY95" t="s">
        <v>461</v>
      </c>
    </row>
    <row r="96" spans="1:51" x14ac:dyDescent="0.3">
      <c r="A96" t="s">
        <v>381</v>
      </c>
      <c r="B96" t="s">
        <v>288</v>
      </c>
      <c r="C96" t="s">
        <v>657</v>
      </c>
      <c r="D96" t="s">
        <v>288</v>
      </c>
      <c r="E96" t="str">
        <f t="shared" si="6"/>
        <v>x3yyd</v>
      </c>
      <c r="F96" t="b">
        <v>1</v>
      </c>
      <c r="G96">
        <v>99.9</v>
      </c>
      <c r="H96">
        <f t="shared" si="7"/>
        <v>0</v>
      </c>
      <c r="I96">
        <v>13156</v>
      </c>
      <c r="J96" t="s">
        <v>13</v>
      </c>
      <c r="L96" t="s">
        <v>272</v>
      </c>
      <c r="M96">
        <v>3</v>
      </c>
      <c r="N96" t="s">
        <v>333</v>
      </c>
      <c r="O96" t="s">
        <v>278</v>
      </c>
      <c r="P96" t="s">
        <v>281</v>
      </c>
      <c r="Q96" t="s">
        <v>283</v>
      </c>
      <c r="R96" t="s">
        <v>371</v>
      </c>
      <c r="S96" t="s">
        <v>371</v>
      </c>
      <c r="T96" t="s">
        <v>341</v>
      </c>
      <c r="U96" t="s">
        <v>340</v>
      </c>
      <c r="V96" t="s">
        <v>343</v>
      </c>
      <c r="W96" t="s">
        <v>377</v>
      </c>
      <c r="X96" s="17"/>
      <c r="Y96" t="s">
        <v>349</v>
      </c>
      <c r="Z96" t="s">
        <v>349</v>
      </c>
      <c r="AA96" t="s">
        <v>293</v>
      </c>
      <c r="AB96" t="s">
        <v>353</v>
      </c>
      <c r="AC96" t="s">
        <v>296</v>
      </c>
      <c r="AD96" t="s">
        <v>300</v>
      </c>
      <c r="AE96" t="s">
        <v>292</v>
      </c>
      <c r="AF96" t="s">
        <v>293</v>
      </c>
      <c r="AG96" t="s">
        <v>293</v>
      </c>
      <c r="AH96" t="s">
        <v>292</v>
      </c>
      <c r="AI96" t="s">
        <v>293</v>
      </c>
      <c r="AJ96" t="s">
        <v>302</v>
      </c>
      <c r="AK96" t="s">
        <v>359</v>
      </c>
      <c r="AL96" t="s">
        <v>359</v>
      </c>
      <c r="AM96" t="s">
        <v>293</v>
      </c>
      <c r="AN96" t="s">
        <v>293</v>
      </c>
      <c r="AO96" t="s">
        <v>296</v>
      </c>
      <c r="AP96" t="s">
        <v>298</v>
      </c>
      <c r="AQ96" t="s">
        <v>293</v>
      </c>
      <c r="AR96" t="s">
        <v>292</v>
      </c>
      <c r="AS96" t="s">
        <v>293</v>
      </c>
      <c r="AT96" t="s">
        <v>293</v>
      </c>
      <c r="AU96" t="s">
        <v>364</v>
      </c>
      <c r="AV96" t="str">
        <f t="shared" si="8"/>
        <v>no_fail</v>
      </c>
      <c r="AX96" t="s">
        <v>658</v>
      </c>
      <c r="AY96" t="s">
        <v>659</v>
      </c>
    </row>
    <row r="97" spans="1:51" x14ac:dyDescent="0.3">
      <c r="A97" t="s">
        <v>381</v>
      </c>
      <c r="B97" t="s">
        <v>288</v>
      </c>
      <c r="C97" t="s">
        <v>654</v>
      </c>
      <c r="D97" t="s">
        <v>288</v>
      </c>
      <c r="E97" t="str">
        <f t="shared" si="6"/>
        <v>xNzX1</v>
      </c>
      <c r="F97" t="b">
        <v>1</v>
      </c>
      <c r="G97">
        <v>99.7</v>
      </c>
      <c r="H97">
        <f t="shared" si="7"/>
        <v>0</v>
      </c>
      <c r="I97">
        <v>8637</v>
      </c>
      <c r="J97" t="s">
        <v>13</v>
      </c>
      <c r="L97" t="s">
        <v>272</v>
      </c>
      <c r="M97">
        <v>3</v>
      </c>
      <c r="N97" t="s">
        <v>277</v>
      </c>
      <c r="O97" t="s">
        <v>335</v>
      </c>
      <c r="P97" t="s">
        <v>282</v>
      </c>
      <c r="Q97" t="s">
        <v>371</v>
      </c>
      <c r="R97" t="s">
        <v>371</v>
      </c>
      <c r="S97" t="s">
        <v>371</v>
      </c>
      <c r="T97" t="s">
        <v>341</v>
      </c>
      <c r="U97" t="s">
        <v>342</v>
      </c>
      <c r="V97" t="s">
        <v>343</v>
      </c>
      <c r="W97" t="s">
        <v>345</v>
      </c>
      <c r="X97" s="17"/>
      <c r="Y97" t="s">
        <v>349</v>
      </c>
      <c r="Z97" t="s">
        <v>349</v>
      </c>
      <c r="AA97" t="s">
        <v>293</v>
      </c>
      <c r="AB97" t="s">
        <v>353</v>
      </c>
      <c r="AC97" t="s">
        <v>297</v>
      </c>
      <c r="AD97" t="s">
        <v>300</v>
      </c>
      <c r="AE97" t="s">
        <v>292</v>
      </c>
      <c r="AF97" t="s">
        <v>293</v>
      </c>
      <c r="AG97" t="s">
        <v>292</v>
      </c>
      <c r="AH97" t="s">
        <v>293</v>
      </c>
      <c r="AI97" t="s">
        <v>293</v>
      </c>
      <c r="AJ97" t="s">
        <v>302</v>
      </c>
      <c r="AK97" t="s">
        <v>302</v>
      </c>
      <c r="AL97" t="s">
        <v>359</v>
      </c>
      <c r="AM97" t="s">
        <v>293</v>
      </c>
      <c r="AN97" t="s">
        <v>293</v>
      </c>
      <c r="AO97" t="s">
        <v>297</v>
      </c>
      <c r="AP97" t="s">
        <v>298</v>
      </c>
      <c r="AQ97" t="s">
        <v>293</v>
      </c>
      <c r="AR97" t="s">
        <v>292</v>
      </c>
      <c r="AS97" t="s">
        <v>362</v>
      </c>
      <c r="AT97" t="s">
        <v>293</v>
      </c>
      <c r="AU97" t="s">
        <v>364</v>
      </c>
      <c r="AV97" t="str">
        <f t="shared" si="8"/>
        <v>no_fail</v>
      </c>
      <c r="AX97" t="s">
        <v>655</v>
      </c>
      <c r="AY97" t="s">
        <v>656</v>
      </c>
    </row>
    <row r="98" spans="1:51" x14ac:dyDescent="0.3">
      <c r="A98" t="s">
        <v>381</v>
      </c>
      <c r="B98" t="s">
        <v>288</v>
      </c>
      <c r="C98" t="s">
        <v>603</v>
      </c>
      <c r="D98" t="s">
        <v>288</v>
      </c>
      <c r="E98" t="str">
        <f t="shared" si="6"/>
        <v>Y3pP2</v>
      </c>
      <c r="F98" t="b">
        <v>1</v>
      </c>
      <c r="G98">
        <v>100</v>
      </c>
      <c r="H98">
        <f t="shared" ref="H98:H101" si="9">IF(G98=100,1,0)</f>
        <v>1</v>
      </c>
      <c r="I98">
        <v>22880</v>
      </c>
      <c r="J98" t="s">
        <v>13</v>
      </c>
      <c r="L98" t="s">
        <v>272</v>
      </c>
      <c r="M98">
        <v>3</v>
      </c>
      <c r="N98" t="s">
        <v>277</v>
      </c>
      <c r="O98" t="s">
        <v>335</v>
      </c>
      <c r="P98" t="s">
        <v>273</v>
      </c>
      <c r="Q98" t="s">
        <v>282</v>
      </c>
      <c r="R98" t="s">
        <v>371</v>
      </c>
      <c r="S98" t="s">
        <v>371</v>
      </c>
      <c r="T98" t="s">
        <v>340</v>
      </c>
      <c r="U98" t="s">
        <v>342</v>
      </c>
      <c r="V98" t="s">
        <v>343</v>
      </c>
      <c r="W98" t="s">
        <v>291</v>
      </c>
      <c r="X98" s="17"/>
      <c r="Y98" t="s">
        <v>349</v>
      </c>
      <c r="Z98" t="s">
        <v>349</v>
      </c>
      <c r="AA98" t="s">
        <v>293</v>
      </c>
      <c r="AB98" t="s">
        <v>353</v>
      </c>
      <c r="AC98" t="s">
        <v>296</v>
      </c>
      <c r="AD98" t="s">
        <v>301</v>
      </c>
      <c r="AE98" t="s">
        <v>292</v>
      </c>
      <c r="AF98" t="s">
        <v>293</v>
      </c>
      <c r="AG98" t="s">
        <v>293</v>
      </c>
      <c r="AH98" t="s">
        <v>292</v>
      </c>
      <c r="AI98" t="s">
        <v>293</v>
      </c>
      <c r="AJ98" t="s">
        <v>302</v>
      </c>
      <c r="AK98" t="s">
        <v>302</v>
      </c>
      <c r="AL98" t="s">
        <v>359</v>
      </c>
      <c r="AM98" t="s">
        <v>293</v>
      </c>
      <c r="AN98" t="s">
        <v>293</v>
      </c>
      <c r="AO98" t="s">
        <v>296</v>
      </c>
      <c r="AP98" t="s">
        <v>298</v>
      </c>
      <c r="AQ98" t="s">
        <v>293</v>
      </c>
      <c r="AR98" t="s">
        <v>292</v>
      </c>
      <c r="AS98" t="s">
        <v>293</v>
      </c>
      <c r="AT98" t="s">
        <v>293</v>
      </c>
      <c r="AU98" t="s">
        <v>364</v>
      </c>
      <c r="AV98" t="str">
        <f t="shared" si="8"/>
        <v>break</v>
      </c>
      <c r="AX98" t="s">
        <v>604</v>
      </c>
      <c r="AY98" t="s">
        <v>605</v>
      </c>
    </row>
    <row r="99" spans="1:51" x14ac:dyDescent="0.3">
      <c r="A99" t="s">
        <v>381</v>
      </c>
      <c r="B99" t="s">
        <v>288</v>
      </c>
      <c r="C99" t="s">
        <v>552</v>
      </c>
      <c r="D99" t="s">
        <v>288</v>
      </c>
      <c r="E99" t="str">
        <f t="shared" si="6"/>
        <v>Z38De</v>
      </c>
      <c r="F99" t="b">
        <v>1</v>
      </c>
      <c r="G99">
        <v>99.6</v>
      </c>
      <c r="H99">
        <f t="shared" si="9"/>
        <v>0</v>
      </c>
      <c r="I99">
        <v>7923</v>
      </c>
      <c r="J99" t="s">
        <v>13</v>
      </c>
      <c r="L99" t="s">
        <v>272</v>
      </c>
      <c r="M99">
        <v>3</v>
      </c>
      <c r="N99" t="s">
        <v>277</v>
      </c>
      <c r="O99" t="s">
        <v>335</v>
      </c>
      <c r="P99" t="s">
        <v>281</v>
      </c>
      <c r="Q99" t="s">
        <v>283</v>
      </c>
      <c r="R99" t="s">
        <v>282</v>
      </c>
      <c r="S99" t="s">
        <v>371</v>
      </c>
      <c r="T99" t="s">
        <v>341</v>
      </c>
      <c r="U99" t="s">
        <v>340</v>
      </c>
      <c r="V99" t="s">
        <v>343</v>
      </c>
      <c r="W99" t="s">
        <v>345</v>
      </c>
      <c r="X99" s="17"/>
      <c r="Y99" t="s">
        <v>349</v>
      </c>
      <c r="Z99" t="s">
        <v>349</v>
      </c>
      <c r="AA99" t="s">
        <v>293</v>
      </c>
      <c r="AB99" t="s">
        <v>353</v>
      </c>
      <c r="AC99" t="s">
        <v>297</v>
      </c>
      <c r="AD99" t="s">
        <v>299</v>
      </c>
      <c r="AE99" t="s">
        <v>292</v>
      </c>
      <c r="AF99" t="s">
        <v>293</v>
      </c>
      <c r="AG99" t="s">
        <v>292</v>
      </c>
      <c r="AH99" t="s">
        <v>293</v>
      </c>
      <c r="AI99" t="s">
        <v>293</v>
      </c>
      <c r="AJ99" t="s">
        <v>302</v>
      </c>
      <c r="AK99" t="s">
        <v>302</v>
      </c>
      <c r="AL99" t="s">
        <v>359</v>
      </c>
      <c r="AM99" t="s">
        <v>293</v>
      </c>
      <c r="AN99" t="s">
        <v>293</v>
      </c>
      <c r="AO99" t="s">
        <v>297</v>
      </c>
      <c r="AP99" t="s">
        <v>298</v>
      </c>
      <c r="AQ99" t="s">
        <v>293</v>
      </c>
      <c r="AR99" t="s">
        <v>292</v>
      </c>
      <c r="AS99" t="s">
        <v>362</v>
      </c>
      <c r="AT99" t="s">
        <v>293</v>
      </c>
      <c r="AU99" t="s">
        <v>364</v>
      </c>
      <c r="AV99" t="str">
        <f t="shared" si="8"/>
        <v>no_fail</v>
      </c>
      <c r="AX99" t="s">
        <v>553</v>
      </c>
      <c r="AY99" t="s">
        <v>554</v>
      </c>
    </row>
    <row r="100" spans="1:51" x14ac:dyDescent="0.3">
      <c r="A100" t="s">
        <v>381</v>
      </c>
      <c r="B100" t="s">
        <v>288</v>
      </c>
      <c r="C100" t="s">
        <v>648</v>
      </c>
      <c r="D100" t="s">
        <v>288</v>
      </c>
      <c r="E100" t="str">
        <f t="shared" si="6"/>
        <v>ZL8zX</v>
      </c>
      <c r="F100" t="b">
        <v>1</v>
      </c>
      <c r="G100">
        <v>94.9</v>
      </c>
      <c r="H100">
        <f t="shared" si="9"/>
        <v>0</v>
      </c>
      <c r="I100">
        <v>11642</v>
      </c>
      <c r="J100" t="s">
        <v>13</v>
      </c>
      <c r="L100" t="s">
        <v>272</v>
      </c>
      <c r="M100">
        <v>3</v>
      </c>
      <c r="N100" t="s">
        <v>277</v>
      </c>
      <c r="O100" t="s">
        <v>335</v>
      </c>
      <c r="P100" t="s">
        <v>273</v>
      </c>
      <c r="Q100" t="s">
        <v>282</v>
      </c>
      <c r="R100" t="s">
        <v>371</v>
      </c>
      <c r="S100" t="s">
        <v>371</v>
      </c>
      <c r="T100" t="s">
        <v>341</v>
      </c>
      <c r="U100" t="s">
        <v>342</v>
      </c>
      <c r="V100" t="s">
        <v>343</v>
      </c>
      <c r="W100" t="s">
        <v>344</v>
      </c>
      <c r="X100" s="17" t="s">
        <v>345</v>
      </c>
      <c r="Y100" t="s">
        <v>349</v>
      </c>
      <c r="Z100" t="s">
        <v>349</v>
      </c>
      <c r="AA100" t="s">
        <v>293</v>
      </c>
      <c r="AB100" t="s">
        <v>353</v>
      </c>
      <c r="AC100" t="s">
        <v>297</v>
      </c>
      <c r="AD100" t="s">
        <v>299</v>
      </c>
      <c r="AE100" t="s">
        <v>292</v>
      </c>
      <c r="AF100" t="s">
        <v>293</v>
      </c>
      <c r="AG100" t="s">
        <v>292</v>
      </c>
      <c r="AH100" t="s">
        <v>292</v>
      </c>
      <c r="AI100" t="s">
        <v>293</v>
      </c>
      <c r="AJ100" t="s">
        <v>302</v>
      </c>
      <c r="AK100" t="s">
        <v>302</v>
      </c>
      <c r="AL100" t="s">
        <v>359</v>
      </c>
      <c r="AM100" t="s">
        <v>293</v>
      </c>
      <c r="AN100" t="s">
        <v>293</v>
      </c>
      <c r="AO100" t="s">
        <v>297</v>
      </c>
      <c r="AP100" t="s">
        <v>298</v>
      </c>
      <c r="AQ100" t="s">
        <v>293</v>
      </c>
      <c r="AR100" t="s">
        <v>292</v>
      </c>
      <c r="AS100" t="s">
        <v>293</v>
      </c>
      <c r="AT100" t="s">
        <v>293</v>
      </c>
      <c r="AU100" t="s">
        <v>364</v>
      </c>
      <c r="AV100" t="str">
        <f t="shared" si="8"/>
        <v>no_fail</v>
      </c>
      <c r="AX100" t="s">
        <v>649</v>
      </c>
      <c r="AY100" t="s">
        <v>650</v>
      </c>
    </row>
    <row r="101" spans="1:51" x14ac:dyDescent="0.3">
      <c r="A101" t="s">
        <v>381</v>
      </c>
      <c r="B101" t="s">
        <v>288</v>
      </c>
      <c r="C101" t="s">
        <v>489</v>
      </c>
      <c r="D101" t="s">
        <v>288</v>
      </c>
      <c r="E101" t="str">
        <f t="shared" si="6"/>
        <v>zopw3</v>
      </c>
      <c r="F101" t="b">
        <v>1</v>
      </c>
      <c r="G101">
        <v>80.8</v>
      </c>
      <c r="H101">
        <f t="shared" si="9"/>
        <v>0</v>
      </c>
      <c r="I101">
        <v>24589</v>
      </c>
      <c r="J101" t="s">
        <v>13</v>
      </c>
      <c r="L101" t="s">
        <v>272</v>
      </c>
      <c r="M101">
        <v>2</v>
      </c>
      <c r="N101" t="s">
        <v>277</v>
      </c>
      <c r="O101" t="s">
        <v>335</v>
      </c>
      <c r="P101" t="s">
        <v>282</v>
      </c>
      <c r="Q101" t="s">
        <v>371</v>
      </c>
      <c r="R101" t="s">
        <v>371</v>
      </c>
      <c r="S101" t="s">
        <v>371</v>
      </c>
      <c r="T101" t="s">
        <v>340</v>
      </c>
      <c r="U101" t="s">
        <v>342</v>
      </c>
      <c r="V101" t="s">
        <v>340</v>
      </c>
      <c r="W101" t="s">
        <v>344</v>
      </c>
      <c r="X101" s="17"/>
      <c r="Y101" t="s">
        <v>350</v>
      </c>
      <c r="Z101" t="s">
        <v>349</v>
      </c>
      <c r="AA101" t="s">
        <v>293</v>
      </c>
      <c r="AB101" t="s">
        <v>354</v>
      </c>
      <c r="AC101" t="s">
        <v>354</v>
      </c>
      <c r="AD101" t="s">
        <v>301</v>
      </c>
      <c r="AE101" t="s">
        <v>293</v>
      </c>
      <c r="AF101" t="s">
        <v>292</v>
      </c>
      <c r="AG101" t="s">
        <v>293</v>
      </c>
      <c r="AH101" t="s">
        <v>292</v>
      </c>
      <c r="AI101" t="s">
        <v>293</v>
      </c>
      <c r="AJ101" t="s">
        <v>302</v>
      </c>
      <c r="AK101" t="s">
        <v>302</v>
      </c>
      <c r="AL101" t="s">
        <v>357</v>
      </c>
      <c r="AM101" t="s">
        <v>293</v>
      </c>
      <c r="AN101" t="s">
        <v>293</v>
      </c>
      <c r="AO101" t="s">
        <v>296</v>
      </c>
      <c r="AP101" t="s">
        <v>356</v>
      </c>
      <c r="AQ101" t="s">
        <v>293</v>
      </c>
      <c r="AR101" t="s">
        <v>292</v>
      </c>
      <c r="AS101" t="s">
        <v>293</v>
      </c>
      <c r="AT101" t="s">
        <v>293</v>
      </c>
      <c r="AU101" t="s">
        <v>364</v>
      </c>
      <c r="AV101" t="str">
        <f t="shared" si="8"/>
        <v>no_fail</v>
      </c>
      <c r="AX101" t="s">
        <v>490</v>
      </c>
      <c r="AY101" t="s">
        <v>491</v>
      </c>
    </row>
  </sheetData>
  <autoFilter ref="B1:AY1" xr:uid="{BA173BF3-B8BB-4F11-AE79-4DC473ECAE84}">
    <sortState xmlns:xlrd2="http://schemas.microsoft.com/office/spreadsheetml/2017/richdata2" ref="B2:AY101">
      <sortCondition ref="E1"/>
    </sortState>
  </autoFilter>
  <phoneticPr fontId="8" type="noConversion"/>
  <conditionalFormatting sqref="BA2:BA101">
    <cfRule type="duplicateValues" dxfId="1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 xr:uid="{ED614853-8828-41E9-9F44-B562C730DD14}">
          <x14:formula1>
            <xm:f>DimensionsEval!$H$38:$J$38</xm:f>
          </x14:formula1>
          <xm:sqref>AV2:AV202</xm:sqref>
        </x14:dataValidation>
        <x14:dataValidation type="list" allowBlank="1" showInputMessage="1" showErrorMessage="1" xr:uid="{AD1BC76E-B68D-4313-86A1-0316788454A5}">
          <x14:formula1>
            <xm:f>DimensionsEval!$H$37:$L$37</xm:f>
          </x14:formula1>
          <xm:sqref>AU2:AU202</xm:sqref>
        </x14:dataValidation>
        <x14:dataValidation type="list" allowBlank="1" showInputMessage="1" showErrorMessage="1" xr:uid="{5F618C0D-FDDE-4FBF-B2AA-94DBD7A3C87D}">
          <x14:formula1>
            <xm:f>DimensionsEval!$H$36:$I$36</xm:f>
          </x14:formula1>
          <xm:sqref>AT2:AT202</xm:sqref>
        </x14:dataValidation>
        <x14:dataValidation type="list" allowBlank="1" showInputMessage="1" showErrorMessage="1" xr:uid="{9077EE98-6304-4D4C-9C57-8B0C2A994791}">
          <x14:formula1>
            <xm:f>DimensionsEval!$H$35:$J$35</xm:f>
          </x14:formula1>
          <xm:sqref>AS2:AS202</xm:sqref>
        </x14:dataValidation>
        <x14:dataValidation type="list" allowBlank="1" showInputMessage="1" showErrorMessage="1" xr:uid="{358FBF0D-22BB-4A5E-A8D7-E777C9F15C2D}">
          <x14:formula1>
            <xm:f>DimensionsEval!$H$34:$I$34</xm:f>
          </x14:formula1>
          <xm:sqref>AR2:AR202</xm:sqref>
        </x14:dataValidation>
        <x14:dataValidation type="list" allowBlank="1" showInputMessage="1" showErrorMessage="1" xr:uid="{7425EDDF-174A-4ACD-AC7C-DBDBA7057EC4}">
          <x14:formula1>
            <xm:f>DimensionsEval!$H$33:$J$33</xm:f>
          </x14:formula1>
          <xm:sqref>AQ2:AQ202</xm:sqref>
        </x14:dataValidation>
        <x14:dataValidation type="list" allowBlank="1" showInputMessage="1" showErrorMessage="1" xr:uid="{B704BDE4-CD66-4D87-B403-016281CE3554}">
          <x14:formula1>
            <xm:f>DimensionsEval!$H$32:$J$32</xm:f>
          </x14:formula1>
          <xm:sqref>AP2:AP202</xm:sqref>
        </x14:dataValidation>
        <x14:dataValidation type="list" allowBlank="1" showInputMessage="1" showErrorMessage="1" xr:uid="{AE72E2A2-F475-4BDB-8B97-8B307EF5F485}">
          <x14:formula1>
            <xm:f>DimensionsEval!$H$31:$M$31</xm:f>
          </x14:formula1>
          <xm:sqref>AO2:AO202</xm:sqref>
        </x14:dataValidation>
        <x14:dataValidation type="list" allowBlank="1" showInputMessage="1" showErrorMessage="1" xr:uid="{F54EF252-8BAF-4A3B-BC00-52C28B5889DD}">
          <x14:formula1>
            <xm:f>DimensionsEval!$H$29:$I$29</xm:f>
          </x14:formula1>
          <xm:sqref>AM2:AN202</xm:sqref>
        </x14:dataValidation>
        <x14:dataValidation type="list" allowBlank="1" showInputMessage="1" showErrorMessage="1" xr:uid="{2E0E0D6F-7160-4B62-B334-F0329DFF3918}">
          <x14:formula1>
            <xm:f>DimensionsEval!$H$26:$K$26</xm:f>
          </x14:formula1>
          <xm:sqref>AJ2:AL202</xm:sqref>
        </x14:dataValidation>
        <x14:dataValidation type="list" allowBlank="1" showInputMessage="1" showErrorMessage="1" xr:uid="{85A55C34-C25A-4297-9F4D-FDBADE651632}">
          <x14:formula1>
            <xm:f>DimensionsEval!$H$22:$I$22</xm:f>
          </x14:formula1>
          <xm:sqref>AF2:AI202</xm:sqref>
        </x14:dataValidation>
        <x14:dataValidation type="list" allowBlank="1" showInputMessage="1" showErrorMessage="1" xr:uid="{3FA4EEBD-84ED-456D-9487-2D19D73654F0}">
          <x14:formula1>
            <xm:f>DimensionsEval!$H$21:$I$21</xm:f>
          </x14:formula1>
          <xm:sqref>AE2:AE202</xm:sqref>
        </x14:dataValidation>
        <x14:dataValidation type="list" allowBlank="1" showInputMessage="1" showErrorMessage="1" xr:uid="{ACE819CB-0C5F-4A10-9FF5-0880576A418F}">
          <x14:formula1>
            <xm:f>DimensionsEval!$H$20:$K$20</xm:f>
          </x14:formula1>
          <xm:sqref>AD2:AD202</xm:sqref>
        </x14:dataValidation>
        <x14:dataValidation type="list" allowBlank="1" showInputMessage="1" showErrorMessage="1" xr:uid="{81F7FAC7-94E1-4B76-9551-DB3F9E93CC93}">
          <x14:formula1>
            <xm:f>DimensionsEval!$H$19:$N$19</xm:f>
          </x14:formula1>
          <xm:sqref>AC2:AC202</xm:sqref>
        </x14:dataValidation>
        <x14:dataValidation type="list" allowBlank="1" showInputMessage="1" showErrorMessage="1" xr:uid="{0A871CF8-1DDB-4846-8180-BC67F6DA3616}">
          <x14:formula1>
            <xm:f>DimensionsEval!$H$18:$L$18</xm:f>
          </x14:formula1>
          <xm:sqref>AB2:AB202</xm:sqref>
        </x14:dataValidation>
        <x14:dataValidation type="list" allowBlank="1" showInputMessage="1" showErrorMessage="1" xr:uid="{81EC8E09-89AD-4BA6-BD09-9A467E888891}">
          <x14:formula1>
            <xm:f>DimensionsEval!$H$17:$I$17</xm:f>
          </x14:formula1>
          <xm:sqref>AA2:AA202</xm:sqref>
        </x14:dataValidation>
        <x14:dataValidation type="list" allowBlank="1" showInputMessage="1" showErrorMessage="1" xr:uid="{898541CF-EC03-4DDB-8F7F-06EDA4F55969}">
          <x14:formula1>
            <xm:f>DimensionsEval!$H$15:$J$15</xm:f>
          </x14:formula1>
          <xm:sqref>Y2:Z202</xm:sqref>
        </x14:dataValidation>
        <x14:dataValidation type="list" allowBlank="1" showInputMessage="1" showErrorMessage="1" xr:uid="{DFA7029B-C1F9-4610-B0A9-DBD83E9EEF31}">
          <x14:formula1>
            <xm:f>DimensionsEval!$H$12:$J$12</xm:f>
          </x14:formula1>
          <xm:sqref>V2:V202</xm:sqref>
        </x14:dataValidation>
        <x14:dataValidation type="list" allowBlank="1" showInputMessage="1" showErrorMessage="1" xr:uid="{25DA7763-4F6E-488F-88D4-739FCE27EBBC}">
          <x14:formula1>
            <xm:f>DimensionsEval!$H$11:$J$11</xm:f>
          </x14:formula1>
          <xm:sqref>U2:U202</xm:sqref>
        </x14:dataValidation>
        <x14:dataValidation type="list" allowBlank="1" showInputMessage="1" showErrorMessage="1" xr:uid="{E2EFDABD-8459-4B28-9CAE-D16E3FFE30A1}">
          <x14:formula1>
            <xm:f>DimensionsEval!$H$10:$J$10</xm:f>
          </x14:formula1>
          <xm:sqref>T2:T202</xm:sqref>
        </x14:dataValidation>
        <x14:dataValidation type="list" allowBlank="1" showInputMessage="1" showErrorMessage="1" xr:uid="{8ABC6E5D-E767-4F9B-A10B-3110C43485A8}">
          <x14:formula1>
            <xm:f>DimensionsEval!$H$6:$R$6</xm:f>
          </x14:formula1>
          <xm:sqref>AX1:AY1 P2:S202</xm:sqref>
        </x14:dataValidation>
        <x14:dataValidation type="list" allowBlank="1" showInputMessage="1" showErrorMessage="1" xr:uid="{16F84CF2-95A8-407B-B032-543920ED3D00}">
          <x14:formula1>
            <xm:f>DimensionsEval!$H$5:$N$5</xm:f>
          </x14:formula1>
          <xm:sqref>O2:O202</xm:sqref>
        </x14:dataValidation>
        <x14:dataValidation type="list" allowBlank="1" showInputMessage="1" showErrorMessage="1" xr:uid="{B6F6111B-5D07-4294-9649-50ED7F86C2B0}">
          <x14:formula1>
            <xm:f>DimensionsEval!$H$4:$J$4</xm:f>
          </x14:formula1>
          <xm:sqref>N2:N202</xm:sqref>
        </x14:dataValidation>
        <x14:dataValidation type="list" allowBlank="1" showInputMessage="1" showErrorMessage="1" xr:uid="{0D33A5DC-999C-4A8C-8801-C7098A213518}">
          <x14:formula1>
            <xm:f>DimensionsEval!$H$3:$K$3</xm:f>
          </x14:formula1>
          <xm:sqref>M2:M102</xm:sqref>
        </x14:dataValidation>
        <x14:dataValidation type="list" allowBlank="1" showInputMessage="1" showErrorMessage="1" xr:uid="{2CEE4DCB-CB32-47FA-9D30-10023F1C7634}">
          <x14:formula1>
            <xm:f>DimensionsEval!$H$13:$O$13</xm:f>
          </x14:formula1>
          <xm:sqref>W2:X202</xm:sqref>
        </x14:dataValidation>
        <x14:dataValidation type="list" allowBlank="1" showInputMessage="1" showErrorMessage="1" xr:uid="{C9AAD012-583C-4B81-AC33-9FA2BA36A4B5}">
          <x14:formula1>
            <xm:f>DimensionsEval!$H$2:$L$2</xm:f>
          </x14:formula1>
          <xm:sqref>BA2:BA101 L2:L102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0685-C111-4333-99E9-025AD5DB9A1E}">
  <sheetPr>
    <tabColor rgb="FFFFC000"/>
  </sheetPr>
  <dimension ref="A1:T38"/>
  <sheetViews>
    <sheetView zoomScale="85" zoomScaleNormal="85" workbookViewId="0">
      <selection activeCell="G1" sqref="G1:H1048576"/>
    </sheetView>
  </sheetViews>
  <sheetFormatPr defaultRowHeight="14.4" x14ac:dyDescent="0.3"/>
  <cols>
    <col min="1" max="1" width="23.109375" bestFit="1" customWidth="1"/>
    <col min="2" max="2" width="27.6640625" style="29" bestFit="1" customWidth="1"/>
    <col min="3" max="3" width="29.44140625" style="29" bestFit="1" customWidth="1"/>
    <col min="4" max="4" width="11.6640625" style="29" customWidth="1"/>
    <col min="5" max="5" width="63.6640625" style="29" customWidth="1"/>
    <col min="6" max="6" width="9" style="29" bestFit="1" customWidth="1"/>
    <col min="7" max="18" width="9.109375" customWidth="1"/>
  </cols>
  <sheetData>
    <row r="1" spans="1:20" x14ac:dyDescent="0.3">
      <c r="A1" s="1" t="s">
        <v>232</v>
      </c>
      <c r="B1" s="7" t="s">
        <v>235</v>
      </c>
      <c r="C1" s="7" t="s">
        <v>238</v>
      </c>
      <c r="D1" s="7" t="s">
        <v>688</v>
      </c>
      <c r="E1" s="7" t="s">
        <v>305</v>
      </c>
      <c r="F1" s="7" t="s">
        <v>269</v>
      </c>
      <c r="G1" s="1" t="s">
        <v>236</v>
      </c>
      <c r="H1" s="7" t="s">
        <v>271</v>
      </c>
    </row>
    <row r="2" spans="1:20" x14ac:dyDescent="0.3">
      <c r="A2" t="s">
        <v>233</v>
      </c>
      <c r="B2" s="13" t="s">
        <v>196</v>
      </c>
      <c r="C2" s="7" t="str">
        <f>B2</f>
        <v>type</v>
      </c>
      <c r="D2" s="29" t="s">
        <v>690</v>
      </c>
      <c r="E2" s="29" t="s">
        <v>307</v>
      </c>
      <c r="F2" s="29" t="s">
        <v>246</v>
      </c>
      <c r="G2" t="s">
        <v>174</v>
      </c>
      <c r="H2" t="s">
        <v>272</v>
      </c>
      <c r="I2" t="s">
        <v>273</v>
      </c>
      <c r="J2" t="s">
        <v>274</v>
      </c>
      <c r="K2" t="s">
        <v>275</v>
      </c>
      <c r="L2" t="s">
        <v>276</v>
      </c>
      <c r="S2" s="1" t="s">
        <v>196</v>
      </c>
      <c r="T2">
        <v>2</v>
      </c>
    </row>
    <row r="3" spans="1:20" x14ac:dyDescent="0.3">
      <c r="A3" t="s">
        <v>233</v>
      </c>
      <c r="B3" s="13" t="s">
        <v>197</v>
      </c>
      <c r="C3" s="7" t="s">
        <v>239</v>
      </c>
      <c r="D3" s="29" t="s">
        <v>690</v>
      </c>
      <c r="E3" s="29" t="s">
        <v>308</v>
      </c>
      <c r="F3" s="29" t="s">
        <v>246</v>
      </c>
      <c r="G3" t="s">
        <v>237</v>
      </c>
      <c r="H3">
        <v>3</v>
      </c>
      <c r="I3">
        <v>2</v>
      </c>
      <c r="J3">
        <v>1</v>
      </c>
      <c r="K3">
        <v>0</v>
      </c>
      <c r="S3" s="1" t="s">
        <v>1177</v>
      </c>
      <c r="T3">
        <v>1</v>
      </c>
    </row>
    <row r="4" spans="1:20" x14ac:dyDescent="0.3">
      <c r="A4" t="s">
        <v>233</v>
      </c>
      <c r="B4" s="13" t="s">
        <v>198</v>
      </c>
      <c r="C4" s="118" t="s">
        <v>240</v>
      </c>
      <c r="D4" s="59" t="s">
        <v>690</v>
      </c>
      <c r="E4" s="120" t="s">
        <v>306</v>
      </c>
      <c r="F4" s="121" t="s">
        <v>247</v>
      </c>
      <c r="G4" s="121" t="s">
        <v>237</v>
      </c>
      <c r="H4" t="s">
        <v>277</v>
      </c>
      <c r="I4" t="s">
        <v>333</v>
      </c>
      <c r="J4" t="s">
        <v>334</v>
      </c>
      <c r="S4" s="1" t="s">
        <v>1178</v>
      </c>
      <c r="T4">
        <v>2</v>
      </c>
    </row>
    <row r="5" spans="1:20" x14ac:dyDescent="0.3">
      <c r="A5" t="s">
        <v>233</v>
      </c>
      <c r="B5" s="30" t="s">
        <v>199</v>
      </c>
      <c r="C5" s="118"/>
      <c r="D5" s="59" t="s">
        <v>690</v>
      </c>
      <c r="E5" s="120"/>
      <c r="F5" s="121"/>
      <c r="G5" s="121"/>
      <c r="H5" t="s">
        <v>335</v>
      </c>
      <c r="I5" t="s">
        <v>336</v>
      </c>
      <c r="J5" t="s">
        <v>278</v>
      </c>
      <c r="K5" t="s">
        <v>279</v>
      </c>
      <c r="L5" t="s">
        <v>280</v>
      </c>
      <c r="M5" t="s">
        <v>334</v>
      </c>
      <c r="N5" t="s">
        <v>337</v>
      </c>
      <c r="O5" t="s">
        <v>1678</v>
      </c>
      <c r="S5" s="1" t="s">
        <v>1179</v>
      </c>
      <c r="T5">
        <v>2</v>
      </c>
    </row>
    <row r="6" spans="1:20" x14ac:dyDescent="0.3">
      <c r="A6" t="s">
        <v>233</v>
      </c>
      <c r="B6" s="34" t="s">
        <v>200</v>
      </c>
      <c r="C6" s="119" t="s">
        <v>241</v>
      </c>
      <c r="D6" s="59" t="s">
        <v>689</v>
      </c>
      <c r="E6" s="120" t="s">
        <v>309</v>
      </c>
      <c r="F6" s="121" t="s">
        <v>247</v>
      </c>
      <c r="G6" s="121" t="s">
        <v>237</v>
      </c>
      <c r="H6" s="36" t="s">
        <v>281</v>
      </c>
      <c r="I6" s="36" t="s">
        <v>282</v>
      </c>
      <c r="J6" s="36" t="s">
        <v>283</v>
      </c>
      <c r="K6" s="36" t="s">
        <v>284</v>
      </c>
      <c r="L6" s="36" t="s">
        <v>273</v>
      </c>
      <c r="M6" s="36" t="s">
        <v>285</v>
      </c>
      <c r="N6" s="36" t="s">
        <v>286</v>
      </c>
      <c r="O6" s="36" t="s">
        <v>338</v>
      </c>
      <c r="P6" s="36" t="s">
        <v>339</v>
      </c>
      <c r="Q6" s="36" t="s">
        <v>287</v>
      </c>
      <c r="R6" s="36" t="s">
        <v>371</v>
      </c>
      <c r="S6" s="1" t="s">
        <v>1180</v>
      </c>
      <c r="T6">
        <v>2</v>
      </c>
    </row>
    <row r="7" spans="1:20" x14ac:dyDescent="0.3">
      <c r="A7" t="s">
        <v>233</v>
      </c>
      <c r="B7" s="33" t="s">
        <v>202</v>
      </c>
      <c r="C7" s="119"/>
      <c r="D7" s="59"/>
      <c r="E7" s="120"/>
      <c r="F7" s="121"/>
      <c r="G7" s="121"/>
      <c r="H7" s="36"/>
      <c r="I7" s="36"/>
      <c r="J7" s="36"/>
      <c r="K7" s="36"/>
      <c r="L7" s="36"/>
      <c r="M7" s="36"/>
      <c r="N7" s="36"/>
      <c r="O7" s="36"/>
      <c r="P7" s="36"/>
      <c r="Q7" s="36"/>
      <c r="S7" s="1" t="s">
        <v>1181</v>
      </c>
      <c r="T7">
        <v>2</v>
      </c>
    </row>
    <row r="8" spans="1:20" x14ac:dyDescent="0.3">
      <c r="A8" t="s">
        <v>233</v>
      </c>
      <c r="B8" s="33" t="s">
        <v>203</v>
      </c>
      <c r="C8" s="119"/>
      <c r="D8" s="59"/>
      <c r="E8" s="120"/>
      <c r="F8" s="121"/>
      <c r="G8" s="121"/>
      <c r="H8" s="36"/>
      <c r="I8" s="36"/>
      <c r="J8" s="36"/>
      <c r="K8" s="36"/>
      <c r="L8" s="36"/>
      <c r="M8" s="36"/>
      <c r="N8" s="36"/>
      <c r="O8" s="36"/>
      <c r="P8" s="36"/>
      <c r="Q8" s="36"/>
      <c r="S8" s="1" t="s">
        <v>1182</v>
      </c>
      <c r="T8">
        <v>2</v>
      </c>
    </row>
    <row r="9" spans="1:20" x14ac:dyDescent="0.3">
      <c r="A9" t="s">
        <v>233</v>
      </c>
      <c r="B9" s="35" t="s">
        <v>208</v>
      </c>
      <c r="C9" s="119"/>
      <c r="D9" s="59"/>
      <c r="E9" s="120"/>
      <c r="F9" s="121"/>
      <c r="G9" s="121"/>
      <c r="H9" s="36"/>
      <c r="I9" s="36"/>
      <c r="J9" s="36"/>
      <c r="K9" s="36"/>
      <c r="L9" s="36"/>
      <c r="M9" s="36"/>
      <c r="N9" s="36"/>
      <c r="O9" s="36"/>
      <c r="P9" s="36"/>
      <c r="Q9" s="36"/>
      <c r="S9" s="1" t="s">
        <v>1183</v>
      </c>
      <c r="T9">
        <v>2</v>
      </c>
    </row>
    <row r="10" spans="1:20" x14ac:dyDescent="0.3">
      <c r="A10" t="s">
        <v>233</v>
      </c>
      <c r="B10" s="31" t="s">
        <v>204</v>
      </c>
      <c r="C10" s="119" t="s">
        <v>245</v>
      </c>
      <c r="D10" s="59" t="s">
        <v>689</v>
      </c>
      <c r="E10" s="120" t="s">
        <v>311</v>
      </c>
      <c r="F10" s="121" t="s">
        <v>248</v>
      </c>
      <c r="G10" s="121" t="s">
        <v>237</v>
      </c>
      <c r="H10" t="s">
        <v>340</v>
      </c>
      <c r="I10" t="s">
        <v>341</v>
      </c>
      <c r="J10" t="s">
        <v>288</v>
      </c>
      <c r="S10" s="1" t="s">
        <v>1184</v>
      </c>
      <c r="T10">
        <v>1</v>
      </c>
    </row>
    <row r="11" spans="1:20" x14ac:dyDescent="0.3">
      <c r="A11" t="s">
        <v>233</v>
      </c>
      <c r="B11" s="31" t="s">
        <v>205</v>
      </c>
      <c r="C11" s="119"/>
      <c r="D11" s="59"/>
      <c r="E11" s="120"/>
      <c r="F11" s="121"/>
      <c r="G11" s="121"/>
      <c r="H11" t="s">
        <v>340</v>
      </c>
      <c r="I11" t="s">
        <v>342</v>
      </c>
      <c r="J11" t="s">
        <v>288</v>
      </c>
      <c r="S11" s="1" t="s">
        <v>1185</v>
      </c>
      <c r="T11">
        <v>1</v>
      </c>
    </row>
    <row r="12" spans="1:20" x14ac:dyDescent="0.3">
      <c r="A12" t="s">
        <v>233</v>
      </c>
      <c r="B12" s="32" t="s">
        <v>206</v>
      </c>
      <c r="C12" s="119"/>
      <c r="D12" s="59"/>
      <c r="E12" s="120"/>
      <c r="F12" s="121"/>
      <c r="G12" s="121"/>
      <c r="H12" t="s">
        <v>340</v>
      </c>
      <c r="I12" t="s">
        <v>343</v>
      </c>
      <c r="J12" t="s">
        <v>288</v>
      </c>
      <c r="S12" s="1" t="s">
        <v>1186</v>
      </c>
      <c r="T12">
        <v>1</v>
      </c>
    </row>
    <row r="13" spans="1:20" x14ac:dyDescent="0.3">
      <c r="A13" t="s">
        <v>233</v>
      </c>
      <c r="B13" s="24" t="s">
        <v>201</v>
      </c>
      <c r="C13" s="119" t="s">
        <v>242</v>
      </c>
      <c r="D13" s="59" t="s">
        <v>689</v>
      </c>
      <c r="E13" s="120" t="s">
        <v>312</v>
      </c>
      <c r="F13" s="121" t="s">
        <v>248</v>
      </c>
      <c r="G13" s="121" t="s">
        <v>237</v>
      </c>
      <c r="H13" s="36" t="s">
        <v>344</v>
      </c>
      <c r="I13" s="36" t="s">
        <v>345</v>
      </c>
      <c r="J13" s="36" t="s">
        <v>289</v>
      </c>
      <c r="K13" s="36" t="s">
        <v>346</v>
      </c>
      <c r="L13" s="36" t="s">
        <v>290</v>
      </c>
      <c r="M13" s="36" t="s">
        <v>347</v>
      </c>
      <c r="N13" s="36" t="s">
        <v>291</v>
      </c>
      <c r="O13" s="36" t="s">
        <v>348</v>
      </c>
      <c r="P13" s="36" t="s">
        <v>371</v>
      </c>
      <c r="S13" s="1" t="s">
        <v>1187</v>
      </c>
      <c r="T13">
        <v>1</v>
      </c>
    </row>
    <row r="14" spans="1:20" x14ac:dyDescent="0.3">
      <c r="A14" t="s">
        <v>233</v>
      </c>
      <c r="B14" s="25" t="s">
        <v>207</v>
      </c>
      <c r="C14" s="119"/>
      <c r="D14" s="59"/>
      <c r="E14" s="120"/>
      <c r="F14" s="121"/>
      <c r="G14" s="121"/>
      <c r="H14" s="36"/>
      <c r="I14" s="36"/>
      <c r="J14" s="36"/>
      <c r="K14" s="36"/>
      <c r="L14" s="36"/>
      <c r="M14" s="36"/>
      <c r="N14" s="36"/>
      <c r="O14" s="36"/>
      <c r="S14" s="1" t="s">
        <v>1188</v>
      </c>
      <c r="T14">
        <v>1</v>
      </c>
    </row>
    <row r="15" spans="1:20" x14ac:dyDescent="0.3">
      <c r="A15" t="s">
        <v>234</v>
      </c>
      <c r="B15" s="26" t="s">
        <v>209</v>
      </c>
      <c r="C15" s="119" t="s">
        <v>243</v>
      </c>
      <c r="D15" s="59" t="s">
        <v>689</v>
      </c>
      <c r="E15" s="120" t="s">
        <v>313</v>
      </c>
      <c r="F15" s="121" t="s">
        <v>248</v>
      </c>
      <c r="G15" s="36" t="s">
        <v>174</v>
      </c>
      <c r="H15" s="36" t="s">
        <v>349</v>
      </c>
      <c r="I15" s="36" t="s">
        <v>350</v>
      </c>
      <c r="J15" s="36" t="s">
        <v>351</v>
      </c>
      <c r="S15" s="1" t="s">
        <v>1189</v>
      </c>
      <c r="T15">
        <v>1</v>
      </c>
    </row>
    <row r="16" spans="1:20" x14ac:dyDescent="0.3">
      <c r="A16" t="s">
        <v>234</v>
      </c>
      <c r="B16" s="26" t="s">
        <v>210</v>
      </c>
      <c r="C16" s="119"/>
      <c r="D16" s="59"/>
      <c r="E16" s="120"/>
      <c r="F16" s="121"/>
      <c r="G16" s="36" t="s">
        <v>174</v>
      </c>
      <c r="H16" s="36"/>
      <c r="I16" s="36"/>
      <c r="J16" s="36"/>
      <c r="S16" s="1" t="s">
        <v>1190</v>
      </c>
      <c r="T16">
        <v>1</v>
      </c>
    </row>
    <row r="17" spans="1:20" x14ac:dyDescent="0.3">
      <c r="A17" t="s">
        <v>234</v>
      </c>
      <c r="B17" s="26" t="s">
        <v>211</v>
      </c>
      <c r="C17" s="7" t="s">
        <v>249</v>
      </c>
      <c r="D17" s="29" t="s">
        <v>690</v>
      </c>
      <c r="E17" s="29" t="s">
        <v>314</v>
      </c>
      <c r="F17" s="29" t="s">
        <v>248</v>
      </c>
      <c r="G17" t="s">
        <v>174</v>
      </c>
      <c r="H17" t="s">
        <v>293</v>
      </c>
      <c r="I17" t="s">
        <v>292</v>
      </c>
      <c r="S17" s="1" t="s">
        <v>1191</v>
      </c>
      <c r="T17">
        <v>1</v>
      </c>
    </row>
    <row r="18" spans="1:20" x14ac:dyDescent="0.3">
      <c r="A18" t="s">
        <v>234</v>
      </c>
      <c r="B18" s="26" t="s">
        <v>212</v>
      </c>
      <c r="C18" s="7" t="s">
        <v>250</v>
      </c>
      <c r="D18" s="29" t="s">
        <v>690</v>
      </c>
      <c r="E18" s="29" t="s">
        <v>315</v>
      </c>
      <c r="F18" s="29" t="s">
        <v>248</v>
      </c>
      <c r="G18" t="s">
        <v>174</v>
      </c>
      <c r="H18" t="s">
        <v>352</v>
      </c>
      <c r="I18" t="s">
        <v>353</v>
      </c>
      <c r="J18" t="s">
        <v>294</v>
      </c>
      <c r="K18" t="s">
        <v>295</v>
      </c>
      <c r="L18" t="s">
        <v>354</v>
      </c>
      <c r="S18" s="1" t="s">
        <v>1192</v>
      </c>
      <c r="T18">
        <v>1</v>
      </c>
    </row>
    <row r="19" spans="1:20" x14ac:dyDescent="0.3">
      <c r="A19" t="s">
        <v>234</v>
      </c>
      <c r="B19" s="26" t="s">
        <v>213</v>
      </c>
      <c r="C19" s="7" t="s">
        <v>254</v>
      </c>
      <c r="D19" s="29" t="s">
        <v>690</v>
      </c>
      <c r="E19" s="29" t="s">
        <v>316</v>
      </c>
      <c r="F19" s="29" t="s">
        <v>248</v>
      </c>
      <c r="G19" t="s">
        <v>174</v>
      </c>
      <c r="H19" t="s">
        <v>296</v>
      </c>
      <c r="I19" t="s">
        <v>297</v>
      </c>
      <c r="J19" t="s">
        <v>355</v>
      </c>
      <c r="K19" t="s">
        <v>354</v>
      </c>
      <c r="L19" t="s">
        <v>291</v>
      </c>
      <c r="M19" t="s">
        <v>298</v>
      </c>
      <c r="N19" t="s">
        <v>356</v>
      </c>
      <c r="S19" s="1" t="s">
        <v>1193</v>
      </c>
      <c r="T19">
        <v>1</v>
      </c>
    </row>
    <row r="20" spans="1:20" x14ac:dyDescent="0.3">
      <c r="A20" t="s">
        <v>234</v>
      </c>
      <c r="B20" s="27" t="s">
        <v>214</v>
      </c>
      <c r="C20" s="7" t="s">
        <v>244</v>
      </c>
      <c r="D20" s="29" t="s">
        <v>690</v>
      </c>
      <c r="E20" s="29" t="s">
        <v>372</v>
      </c>
      <c r="F20" s="29" t="s">
        <v>248</v>
      </c>
      <c r="G20" t="s">
        <v>174</v>
      </c>
      <c r="H20" t="s">
        <v>340</v>
      </c>
      <c r="I20" t="s">
        <v>299</v>
      </c>
      <c r="J20" t="s">
        <v>300</v>
      </c>
      <c r="K20" t="s">
        <v>301</v>
      </c>
      <c r="S20" s="1" t="s">
        <v>1194</v>
      </c>
      <c r="T20">
        <v>1</v>
      </c>
    </row>
    <row r="21" spans="1:20" ht="27.75" customHeight="1" x14ac:dyDescent="0.3">
      <c r="A21" t="s">
        <v>234</v>
      </c>
      <c r="B21" s="27" t="s">
        <v>215</v>
      </c>
      <c r="C21" s="7" t="s">
        <v>255</v>
      </c>
      <c r="D21" s="29" t="s">
        <v>690</v>
      </c>
      <c r="E21" s="37" t="s">
        <v>373</v>
      </c>
      <c r="F21" s="29" t="s">
        <v>247</v>
      </c>
      <c r="G21" t="s">
        <v>174</v>
      </c>
      <c r="H21" t="s">
        <v>293</v>
      </c>
      <c r="I21" t="s">
        <v>292</v>
      </c>
      <c r="S21" s="1" t="s">
        <v>1195</v>
      </c>
      <c r="T21">
        <v>1</v>
      </c>
    </row>
    <row r="22" spans="1:20" ht="32.25" customHeight="1" x14ac:dyDescent="0.3">
      <c r="A22" t="s">
        <v>234</v>
      </c>
      <c r="B22" s="27" t="s">
        <v>216</v>
      </c>
      <c r="C22" s="7" t="s">
        <v>258</v>
      </c>
      <c r="D22" s="29" t="s">
        <v>690</v>
      </c>
      <c r="E22" s="37" t="s">
        <v>317</v>
      </c>
      <c r="F22" s="29" t="s">
        <v>247</v>
      </c>
      <c r="G22" t="s">
        <v>174</v>
      </c>
      <c r="H22" t="s">
        <v>293</v>
      </c>
      <c r="I22" t="s">
        <v>292</v>
      </c>
      <c r="S22" s="1" t="s">
        <v>1196</v>
      </c>
      <c r="T22">
        <v>1</v>
      </c>
    </row>
    <row r="23" spans="1:20" ht="28.8" x14ac:dyDescent="0.3">
      <c r="A23" t="s">
        <v>234</v>
      </c>
      <c r="B23" s="27" t="s">
        <v>217</v>
      </c>
      <c r="C23" s="7" t="s">
        <v>256</v>
      </c>
      <c r="D23" s="29" t="s">
        <v>690</v>
      </c>
      <c r="E23" s="37" t="s">
        <v>318</v>
      </c>
      <c r="F23" s="29" t="s">
        <v>248</v>
      </c>
      <c r="G23" t="s">
        <v>174</v>
      </c>
      <c r="H23" t="s">
        <v>293</v>
      </c>
      <c r="I23" t="s">
        <v>292</v>
      </c>
      <c r="S23" s="1" t="s">
        <v>1197</v>
      </c>
      <c r="T23">
        <v>1</v>
      </c>
    </row>
    <row r="24" spans="1:20" ht="28.8" x14ac:dyDescent="0.3">
      <c r="A24" t="s">
        <v>234</v>
      </c>
      <c r="B24" s="27" t="s">
        <v>218</v>
      </c>
      <c r="C24" s="7" t="s">
        <v>257</v>
      </c>
      <c r="D24" s="29" t="s">
        <v>690</v>
      </c>
      <c r="E24" s="37" t="s">
        <v>319</v>
      </c>
      <c r="F24" s="29" t="s">
        <v>248</v>
      </c>
      <c r="G24" t="s">
        <v>174</v>
      </c>
      <c r="H24" t="s">
        <v>293</v>
      </c>
      <c r="I24" t="s">
        <v>292</v>
      </c>
      <c r="S24" s="1" t="s">
        <v>1198</v>
      </c>
      <c r="T24">
        <v>1</v>
      </c>
    </row>
    <row r="25" spans="1:20" x14ac:dyDescent="0.3">
      <c r="A25" t="s">
        <v>234</v>
      </c>
      <c r="B25" s="27" t="s">
        <v>219</v>
      </c>
      <c r="C25" s="7" t="s">
        <v>259</v>
      </c>
      <c r="D25" s="29" t="s">
        <v>690</v>
      </c>
      <c r="E25" s="37" t="s">
        <v>320</v>
      </c>
      <c r="F25" s="29" t="s">
        <v>248</v>
      </c>
      <c r="G25" t="s">
        <v>174</v>
      </c>
      <c r="H25" t="s">
        <v>293</v>
      </c>
      <c r="I25" t="s">
        <v>292</v>
      </c>
      <c r="S25" s="1" t="s">
        <v>1199</v>
      </c>
      <c r="T25">
        <v>1</v>
      </c>
    </row>
    <row r="26" spans="1:20" x14ac:dyDescent="0.3">
      <c r="A26" t="s">
        <v>234</v>
      </c>
      <c r="B26" s="28" t="s">
        <v>220</v>
      </c>
      <c r="C26" s="7" t="s">
        <v>251</v>
      </c>
      <c r="D26" s="29" t="s">
        <v>690</v>
      </c>
      <c r="E26" s="29" t="s">
        <v>323</v>
      </c>
      <c r="F26" s="29" t="s">
        <v>246</v>
      </c>
      <c r="G26" t="s">
        <v>174</v>
      </c>
      <c r="H26" t="s">
        <v>357</v>
      </c>
      <c r="I26" t="s">
        <v>358</v>
      </c>
      <c r="J26" t="s">
        <v>359</v>
      </c>
      <c r="K26" t="s">
        <v>302</v>
      </c>
      <c r="S26" s="1" t="s">
        <v>1200</v>
      </c>
      <c r="T26">
        <v>1</v>
      </c>
    </row>
    <row r="27" spans="1:20" x14ac:dyDescent="0.3">
      <c r="A27" t="s">
        <v>234</v>
      </c>
      <c r="B27" s="28" t="s">
        <v>221</v>
      </c>
      <c r="C27" s="7" t="s">
        <v>252</v>
      </c>
      <c r="D27" s="29" t="s">
        <v>690</v>
      </c>
      <c r="E27" s="29" t="s">
        <v>324</v>
      </c>
      <c r="F27" s="29" t="s">
        <v>246</v>
      </c>
      <c r="G27" t="s">
        <v>174</v>
      </c>
      <c r="H27" t="s">
        <v>357</v>
      </c>
      <c r="I27" t="s">
        <v>358</v>
      </c>
      <c r="J27" t="s">
        <v>359</v>
      </c>
      <c r="K27" t="s">
        <v>302</v>
      </c>
      <c r="S27" s="1" t="s">
        <v>1201</v>
      </c>
      <c r="T27">
        <v>1</v>
      </c>
    </row>
    <row r="28" spans="1:20" x14ac:dyDescent="0.3">
      <c r="A28" t="s">
        <v>234</v>
      </c>
      <c r="B28" s="28" t="s">
        <v>222</v>
      </c>
      <c r="C28" s="7" t="s">
        <v>253</v>
      </c>
      <c r="D28" s="29" t="s">
        <v>690</v>
      </c>
      <c r="E28" s="29" t="s">
        <v>325</v>
      </c>
      <c r="F28" s="29" t="s">
        <v>246</v>
      </c>
      <c r="G28" t="s">
        <v>174</v>
      </c>
      <c r="H28" t="s">
        <v>357</v>
      </c>
      <c r="I28" t="s">
        <v>358</v>
      </c>
      <c r="J28" t="s">
        <v>359</v>
      </c>
      <c r="K28" t="s">
        <v>302</v>
      </c>
      <c r="S28" s="1" t="s">
        <v>1202</v>
      </c>
      <c r="T28">
        <v>1</v>
      </c>
    </row>
    <row r="29" spans="1:20" x14ac:dyDescent="0.3">
      <c r="A29" t="s">
        <v>234</v>
      </c>
      <c r="B29" s="28" t="s">
        <v>223</v>
      </c>
      <c r="C29" s="7" t="s">
        <v>264</v>
      </c>
      <c r="D29" s="29" t="s">
        <v>690</v>
      </c>
      <c r="E29" s="29" t="s">
        <v>321</v>
      </c>
      <c r="F29" s="29" t="s">
        <v>246</v>
      </c>
      <c r="G29" t="s">
        <v>174</v>
      </c>
      <c r="H29" t="s">
        <v>293</v>
      </c>
      <c r="I29" t="s">
        <v>292</v>
      </c>
      <c r="S29" s="1" t="s">
        <v>1203</v>
      </c>
      <c r="T29">
        <v>1</v>
      </c>
    </row>
    <row r="30" spans="1:20" x14ac:dyDescent="0.3">
      <c r="A30" t="s">
        <v>234</v>
      </c>
      <c r="B30" s="28" t="s">
        <v>224</v>
      </c>
      <c r="C30" s="7" t="s">
        <v>265</v>
      </c>
      <c r="D30" s="29" t="s">
        <v>690</v>
      </c>
      <c r="E30" s="29" t="s">
        <v>322</v>
      </c>
      <c r="F30" s="29" t="s">
        <v>246</v>
      </c>
      <c r="G30" t="s">
        <v>174</v>
      </c>
      <c r="H30" t="s">
        <v>293</v>
      </c>
      <c r="I30" t="s">
        <v>292</v>
      </c>
      <c r="S30" s="1" t="s">
        <v>1204</v>
      </c>
      <c r="T30">
        <v>1</v>
      </c>
    </row>
    <row r="31" spans="1:20" x14ac:dyDescent="0.3">
      <c r="A31" t="s">
        <v>234</v>
      </c>
      <c r="B31" s="27" t="s">
        <v>225</v>
      </c>
      <c r="C31" s="7" t="s">
        <v>266</v>
      </c>
      <c r="D31" s="29" t="s">
        <v>690</v>
      </c>
      <c r="E31" s="29" t="s">
        <v>326</v>
      </c>
      <c r="F31" s="29" t="s">
        <v>248</v>
      </c>
      <c r="G31" t="s">
        <v>174</v>
      </c>
      <c r="H31" t="s">
        <v>354</v>
      </c>
      <c r="I31" t="s">
        <v>297</v>
      </c>
      <c r="J31" t="s">
        <v>296</v>
      </c>
      <c r="K31" t="s">
        <v>291</v>
      </c>
      <c r="L31" t="s">
        <v>298</v>
      </c>
      <c r="M31" t="s">
        <v>356</v>
      </c>
    </row>
    <row r="32" spans="1:20" x14ac:dyDescent="0.3">
      <c r="A32" t="s">
        <v>234</v>
      </c>
      <c r="B32" s="27" t="s">
        <v>226</v>
      </c>
      <c r="C32" s="7" t="s">
        <v>267</v>
      </c>
      <c r="D32" s="29" t="s">
        <v>690</v>
      </c>
      <c r="E32" s="29" t="s">
        <v>326</v>
      </c>
      <c r="F32" s="29" t="s">
        <v>247</v>
      </c>
      <c r="G32" t="s">
        <v>174</v>
      </c>
      <c r="H32" t="s">
        <v>334</v>
      </c>
      <c r="I32" t="s">
        <v>298</v>
      </c>
      <c r="J32" t="s">
        <v>356</v>
      </c>
    </row>
    <row r="33" spans="1:11" x14ac:dyDescent="0.3">
      <c r="A33" t="s">
        <v>234</v>
      </c>
      <c r="B33" s="26" t="s">
        <v>227</v>
      </c>
      <c r="C33" s="7" t="s">
        <v>268</v>
      </c>
      <c r="D33" s="29" t="s">
        <v>690</v>
      </c>
      <c r="E33" s="29" t="s">
        <v>327</v>
      </c>
      <c r="F33" s="29" t="s">
        <v>248</v>
      </c>
      <c r="G33" t="s">
        <v>174</v>
      </c>
      <c r="H33" t="s">
        <v>293</v>
      </c>
      <c r="I33" t="s">
        <v>360</v>
      </c>
      <c r="J33" t="s">
        <v>361</v>
      </c>
    </row>
    <row r="34" spans="1:11" x14ac:dyDescent="0.3">
      <c r="A34" t="s">
        <v>234</v>
      </c>
      <c r="B34" s="26" t="s">
        <v>228</v>
      </c>
      <c r="C34" s="7" t="s">
        <v>260</v>
      </c>
      <c r="D34" s="29" t="s">
        <v>690</v>
      </c>
      <c r="E34" s="29" t="s">
        <v>328</v>
      </c>
      <c r="F34" s="29" t="s">
        <v>248</v>
      </c>
      <c r="G34" t="s">
        <v>174</v>
      </c>
      <c r="H34" t="s">
        <v>293</v>
      </c>
      <c r="I34" t="s">
        <v>292</v>
      </c>
    </row>
    <row r="35" spans="1:11" x14ac:dyDescent="0.3">
      <c r="A35" t="s">
        <v>234</v>
      </c>
      <c r="B35" s="26" t="s">
        <v>270</v>
      </c>
      <c r="C35" s="7" t="s">
        <v>310</v>
      </c>
      <c r="D35" s="29" t="s">
        <v>690</v>
      </c>
      <c r="E35" s="29" t="s">
        <v>329</v>
      </c>
      <c r="F35" s="29" t="s">
        <v>246</v>
      </c>
      <c r="G35" t="s">
        <v>174</v>
      </c>
      <c r="H35" t="s">
        <v>293</v>
      </c>
      <c r="I35" t="s">
        <v>362</v>
      </c>
      <c r="J35" t="s">
        <v>363</v>
      </c>
    </row>
    <row r="36" spans="1:11" x14ac:dyDescent="0.3">
      <c r="A36" t="s">
        <v>234</v>
      </c>
      <c r="B36" s="26" t="s">
        <v>229</v>
      </c>
      <c r="C36" s="7" t="s">
        <v>261</v>
      </c>
      <c r="D36" s="29" t="s">
        <v>690</v>
      </c>
      <c r="E36" s="29" t="s">
        <v>330</v>
      </c>
      <c r="F36" s="29" t="s">
        <v>246</v>
      </c>
      <c r="G36" t="s">
        <v>174</v>
      </c>
      <c r="H36" t="s">
        <v>293</v>
      </c>
      <c r="I36" t="s">
        <v>292</v>
      </c>
    </row>
    <row r="37" spans="1:11" x14ac:dyDescent="0.3">
      <c r="A37" t="s">
        <v>234</v>
      </c>
      <c r="B37" s="26" t="s">
        <v>230</v>
      </c>
      <c r="C37" s="7" t="s">
        <v>262</v>
      </c>
      <c r="D37" s="29" t="s">
        <v>690</v>
      </c>
      <c r="E37" s="29" t="s">
        <v>331</v>
      </c>
      <c r="F37" s="29" t="s">
        <v>246</v>
      </c>
      <c r="G37" t="s">
        <v>174</v>
      </c>
      <c r="H37" t="s">
        <v>364</v>
      </c>
      <c r="I37" t="s">
        <v>365</v>
      </c>
      <c r="J37" t="s">
        <v>303</v>
      </c>
      <c r="K37" t="s">
        <v>687</v>
      </c>
    </row>
    <row r="38" spans="1:11" x14ac:dyDescent="0.3">
      <c r="A38" t="s">
        <v>234</v>
      </c>
      <c r="B38" s="26" t="s">
        <v>231</v>
      </c>
      <c r="C38" s="7" t="s">
        <v>263</v>
      </c>
      <c r="D38" s="29" t="s">
        <v>690</v>
      </c>
      <c r="E38" s="29" t="s">
        <v>332</v>
      </c>
      <c r="F38" s="29" t="s">
        <v>246</v>
      </c>
      <c r="G38" t="s">
        <v>174</v>
      </c>
      <c r="H38" t="s">
        <v>366</v>
      </c>
      <c r="I38" t="s">
        <v>304</v>
      </c>
      <c r="J38" t="s">
        <v>367</v>
      </c>
      <c r="K38" t="s">
        <v>686</v>
      </c>
    </row>
  </sheetData>
  <mergeCells count="19">
    <mergeCell ref="G4:G5"/>
    <mergeCell ref="G6:G9"/>
    <mergeCell ref="G10:G12"/>
    <mergeCell ref="G13:G14"/>
    <mergeCell ref="F4:F5"/>
    <mergeCell ref="C15:C16"/>
    <mergeCell ref="F10:F12"/>
    <mergeCell ref="F13:F14"/>
    <mergeCell ref="F15:F16"/>
    <mergeCell ref="F6:F9"/>
    <mergeCell ref="E15:E16"/>
    <mergeCell ref="E6:E9"/>
    <mergeCell ref="E10:E12"/>
    <mergeCell ref="E13:E14"/>
    <mergeCell ref="C4:C5"/>
    <mergeCell ref="C6:C9"/>
    <mergeCell ref="C10:C12"/>
    <mergeCell ref="C13:C14"/>
    <mergeCell ref="E4:E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74FE-6757-4588-AB8F-DF70AA9B625D}">
  <sheetPr>
    <tabColor theme="5" tint="-0.499984740745262"/>
  </sheetPr>
  <dimension ref="A1:BX560"/>
  <sheetViews>
    <sheetView tabSelected="1" topLeftCell="AB1" zoomScale="85" zoomScaleNormal="85" workbookViewId="0">
      <selection activeCell="AX2" sqref="AX2:AX560"/>
    </sheetView>
  </sheetViews>
  <sheetFormatPr defaultRowHeight="14.4" x14ac:dyDescent="0.3"/>
  <cols>
    <col min="1" max="1" width="4" customWidth="1"/>
    <col min="2" max="2" width="14.6640625" bestFit="1" customWidth="1"/>
    <col min="5" max="5" width="40.6640625" customWidth="1"/>
    <col min="10" max="10" width="9.109375" style="49"/>
    <col min="12" max="12" width="16.88671875" bestFit="1" customWidth="1"/>
    <col min="13" max="14" width="11.44140625" bestFit="1" customWidth="1"/>
    <col min="15" max="15" width="12.5546875" bestFit="1" customWidth="1"/>
    <col min="16" max="29" width="12.5546875" customWidth="1"/>
    <col min="30" max="30" width="16.44140625" bestFit="1" customWidth="1"/>
    <col min="31" max="32" width="16.44140625" customWidth="1"/>
    <col min="44" max="45" width="11.88671875" bestFit="1" customWidth="1"/>
    <col min="46" max="50" width="11.88671875" customWidth="1"/>
    <col min="51" max="51" width="11.44140625" bestFit="1" customWidth="1"/>
    <col min="52" max="52" width="17.44140625" bestFit="1" customWidth="1"/>
    <col min="53" max="53" width="15.44140625" bestFit="1" customWidth="1"/>
    <col min="54" max="54" width="12.5546875" bestFit="1" customWidth="1"/>
    <col min="55" max="55" width="13" bestFit="1" customWidth="1"/>
    <col min="56" max="56" width="17.88671875" bestFit="1" customWidth="1"/>
    <col min="57" max="57" width="14" bestFit="1" customWidth="1"/>
    <col min="58" max="58" width="13.109375" bestFit="1" customWidth="1"/>
    <col min="59" max="59" width="13.88671875" bestFit="1" customWidth="1"/>
    <col min="60" max="60" width="20.33203125" bestFit="1" customWidth="1"/>
    <col min="61" max="61" width="21.44140625" bestFit="1" customWidth="1"/>
    <col min="62" max="62" width="20.5546875" bestFit="1" customWidth="1"/>
    <col min="63" max="63" width="11.6640625" bestFit="1" customWidth="1"/>
    <col min="64" max="64" width="11.109375" bestFit="1" customWidth="1"/>
    <col min="65" max="65" width="27.6640625" bestFit="1" customWidth="1"/>
    <col min="66" max="66" width="24.88671875" bestFit="1" customWidth="1"/>
    <col min="67" max="67" width="13" bestFit="1" customWidth="1"/>
    <col min="68" max="68" width="12.109375" bestFit="1" customWidth="1"/>
    <col min="69" max="69" width="12.109375" customWidth="1"/>
    <col min="70" max="70" width="10" bestFit="1" customWidth="1"/>
    <col min="71" max="71" width="11.5546875" bestFit="1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684</v>
      </c>
      <c r="F1" s="2" t="s">
        <v>4</v>
      </c>
      <c r="G1" s="3" t="s">
        <v>5</v>
      </c>
      <c r="H1" s="3" t="s">
        <v>6</v>
      </c>
      <c r="I1" s="3" t="s">
        <v>7</v>
      </c>
      <c r="J1" s="60" t="s">
        <v>8</v>
      </c>
      <c r="K1" s="12" t="s">
        <v>196</v>
      </c>
      <c r="L1" s="13" t="s">
        <v>197</v>
      </c>
      <c r="M1" s="12" t="s">
        <v>198</v>
      </c>
      <c r="N1" s="12" t="s">
        <v>199</v>
      </c>
      <c r="O1" s="62" t="s">
        <v>200</v>
      </c>
      <c r="P1" s="62" t="s">
        <v>202</v>
      </c>
      <c r="Q1" s="62" t="s">
        <v>203</v>
      </c>
      <c r="R1" s="62" t="s">
        <v>208</v>
      </c>
      <c r="S1" s="63" t="s">
        <v>692</v>
      </c>
      <c r="T1" s="63" t="s">
        <v>693</v>
      </c>
      <c r="U1" s="63" t="s">
        <v>694</v>
      </c>
      <c r="V1" s="63" t="s">
        <v>695</v>
      </c>
      <c r="W1" s="63" t="s">
        <v>696</v>
      </c>
      <c r="X1" s="63" t="s">
        <v>697</v>
      </c>
      <c r="Y1" s="63" t="s">
        <v>698</v>
      </c>
      <c r="Z1" s="63" t="s">
        <v>699</v>
      </c>
      <c r="AA1" s="63" t="s">
        <v>700</v>
      </c>
      <c r="AB1" s="63" t="s">
        <v>701</v>
      </c>
      <c r="AC1" s="67" t="s">
        <v>702</v>
      </c>
      <c r="AD1" s="14" t="s">
        <v>204</v>
      </c>
      <c r="AE1" s="20" t="s">
        <v>205</v>
      </c>
      <c r="AF1" s="14" t="s">
        <v>206</v>
      </c>
      <c r="AG1" s="64" t="s">
        <v>201</v>
      </c>
      <c r="AH1" s="65" t="s">
        <v>207</v>
      </c>
      <c r="AI1" s="66" t="s">
        <v>1163</v>
      </c>
      <c r="AJ1" s="66" t="s">
        <v>1164</v>
      </c>
      <c r="AK1" s="66" t="s">
        <v>1165</v>
      </c>
      <c r="AL1" s="66" t="s">
        <v>1166</v>
      </c>
      <c r="AM1" s="66" t="s">
        <v>1167</v>
      </c>
      <c r="AN1" s="66" t="s">
        <v>1168</v>
      </c>
      <c r="AO1" s="66" t="s">
        <v>1169</v>
      </c>
      <c r="AP1" s="66" t="s">
        <v>1170</v>
      </c>
      <c r="AQ1" s="66" t="s">
        <v>1171</v>
      </c>
      <c r="AR1" s="21" t="s">
        <v>1173</v>
      </c>
      <c r="AS1" s="21" t="s">
        <v>1173</v>
      </c>
      <c r="AT1" s="21" t="s">
        <v>2908</v>
      </c>
      <c r="AU1" s="21" t="s">
        <v>2909</v>
      </c>
      <c r="AV1" s="21" t="s">
        <v>2910</v>
      </c>
      <c r="AW1" s="21" t="s">
        <v>691</v>
      </c>
      <c r="AX1" s="21" t="s">
        <v>1205</v>
      </c>
      <c r="AY1" s="67" t="s">
        <v>211</v>
      </c>
      <c r="AZ1" s="67" t="s">
        <v>212</v>
      </c>
      <c r="BA1" s="67" t="s">
        <v>213</v>
      </c>
      <c r="BB1" s="23" t="s">
        <v>214</v>
      </c>
      <c r="BC1" s="23" t="s">
        <v>215</v>
      </c>
      <c r="BD1" s="23" t="s">
        <v>216</v>
      </c>
      <c r="BE1" s="23" t="s">
        <v>217</v>
      </c>
      <c r="BF1" s="23" t="s">
        <v>218</v>
      </c>
      <c r="BG1" s="23" t="s">
        <v>219</v>
      </c>
      <c r="BH1" s="22" t="s">
        <v>220</v>
      </c>
      <c r="BI1" s="22" t="s">
        <v>221</v>
      </c>
      <c r="BJ1" s="22" t="s">
        <v>222</v>
      </c>
      <c r="BK1" s="22" t="s">
        <v>223</v>
      </c>
      <c r="BL1" s="22" t="s">
        <v>224</v>
      </c>
      <c r="BM1" s="23" t="s">
        <v>225</v>
      </c>
      <c r="BN1" s="23" t="s">
        <v>226</v>
      </c>
      <c r="BO1" s="21" t="s">
        <v>227</v>
      </c>
      <c r="BP1" s="21" t="s">
        <v>228</v>
      </c>
      <c r="BQ1" s="21" t="s">
        <v>270</v>
      </c>
      <c r="BR1" s="21" t="s">
        <v>229</v>
      </c>
      <c r="BS1" s="21" t="s">
        <v>230</v>
      </c>
      <c r="BT1" s="21" t="s">
        <v>231</v>
      </c>
      <c r="BU1" s="21" t="s">
        <v>369</v>
      </c>
      <c r="BV1" s="21" t="s">
        <v>382</v>
      </c>
      <c r="BW1" s="21" t="s">
        <v>383</v>
      </c>
      <c r="BX1" s="21" t="s">
        <v>1507</v>
      </c>
    </row>
    <row r="2" spans="1:76" x14ac:dyDescent="0.3">
      <c r="A2" s="38" t="s">
        <v>43</v>
      </c>
      <c r="B2" s="38" t="s">
        <v>50</v>
      </c>
      <c r="C2" s="38" t="s">
        <v>11</v>
      </c>
      <c r="D2" s="38" t="s">
        <v>12</v>
      </c>
      <c r="E2" s="38" t="s">
        <v>703</v>
      </c>
      <c r="F2" s="38" t="b">
        <v>1</v>
      </c>
      <c r="G2" s="38">
        <v>99.9</v>
      </c>
      <c r="H2" s="38">
        <v>0</v>
      </c>
      <c r="I2" s="38">
        <v>13397</v>
      </c>
      <c r="J2" s="61" t="s">
        <v>18</v>
      </c>
      <c r="K2" s="55" t="s">
        <v>272</v>
      </c>
      <c r="L2" s="55">
        <v>3</v>
      </c>
      <c r="M2" s="55" t="s">
        <v>333</v>
      </c>
      <c r="N2" s="55" t="s">
        <v>279</v>
      </c>
      <c r="O2" s="56" t="s">
        <v>281</v>
      </c>
      <c r="P2" s="57" t="s">
        <v>273</v>
      </c>
      <c r="Q2" s="57" t="s">
        <v>284</v>
      </c>
      <c r="R2" s="58" t="s">
        <v>371</v>
      </c>
      <c r="S2" s="58">
        <v>1</v>
      </c>
      <c r="T2" s="58">
        <v>0</v>
      </c>
      <c r="U2" s="58">
        <v>0</v>
      </c>
      <c r="V2" s="58">
        <v>1</v>
      </c>
      <c r="W2" s="58">
        <v>1</v>
      </c>
      <c r="X2" s="58">
        <v>0</v>
      </c>
      <c r="Y2" s="58">
        <v>0</v>
      </c>
      <c r="Z2" s="58">
        <v>0</v>
      </c>
      <c r="AA2" s="58">
        <v>0</v>
      </c>
      <c r="AB2" s="58">
        <v>0</v>
      </c>
      <c r="AC2" s="58" t="s">
        <v>704</v>
      </c>
      <c r="AD2" s="55" t="s">
        <v>341</v>
      </c>
      <c r="AE2" s="55" t="s">
        <v>340</v>
      </c>
      <c r="AF2" s="56" t="s">
        <v>343</v>
      </c>
      <c r="AG2" s="40" t="s">
        <v>344</v>
      </c>
      <c r="AH2" s="41" t="s">
        <v>291</v>
      </c>
      <c r="AI2" s="58">
        <v>1</v>
      </c>
      <c r="AJ2" s="58">
        <v>0</v>
      </c>
      <c r="AK2" s="58">
        <v>0</v>
      </c>
      <c r="AL2" s="58">
        <v>0</v>
      </c>
      <c r="AM2" s="58">
        <v>0</v>
      </c>
      <c r="AN2" s="58">
        <v>0</v>
      </c>
      <c r="AO2" s="58">
        <v>1</v>
      </c>
      <c r="AP2" s="58">
        <v>0</v>
      </c>
      <c r="AQ2" s="58" t="s">
        <v>704</v>
      </c>
      <c r="AR2" s="38" t="s">
        <v>349</v>
      </c>
      <c r="AS2" s="38" t="s">
        <v>349</v>
      </c>
      <c r="AT2" s="58">
        <v>1</v>
      </c>
      <c r="AU2" s="58">
        <v>0</v>
      </c>
      <c r="AV2" s="58">
        <v>0</v>
      </c>
      <c r="AW2" s="58" t="s">
        <v>704</v>
      </c>
      <c r="AX2" t="s">
        <v>1206</v>
      </c>
      <c r="AY2" s="38" t="s">
        <v>293</v>
      </c>
      <c r="AZ2" s="38" t="s">
        <v>353</v>
      </c>
      <c r="BA2" s="38" t="s">
        <v>355</v>
      </c>
      <c r="BB2" s="38" t="s">
        <v>300</v>
      </c>
      <c r="BC2" s="38" t="s">
        <v>292</v>
      </c>
      <c r="BD2" s="38" t="s">
        <v>293</v>
      </c>
      <c r="BE2" s="38" t="s">
        <v>292</v>
      </c>
      <c r="BF2" s="38" t="s">
        <v>292</v>
      </c>
      <c r="BG2" s="38" t="s">
        <v>293</v>
      </c>
      <c r="BH2" s="38" t="s">
        <v>302</v>
      </c>
      <c r="BI2" s="38" t="s">
        <v>358</v>
      </c>
      <c r="BJ2" s="38" t="s">
        <v>359</v>
      </c>
      <c r="BK2" s="38" t="s">
        <v>293</v>
      </c>
      <c r="BL2" s="38" t="s">
        <v>293</v>
      </c>
      <c r="BM2" s="38" t="s">
        <v>297</v>
      </c>
      <c r="BN2" s="38" t="s">
        <v>298</v>
      </c>
      <c r="BO2" s="38" t="s">
        <v>293</v>
      </c>
      <c r="BP2" s="38" t="s">
        <v>292</v>
      </c>
      <c r="BQ2" s="38" t="s">
        <v>293</v>
      </c>
      <c r="BR2" s="38" t="s">
        <v>293</v>
      </c>
      <c r="BS2" s="38" t="s">
        <v>364</v>
      </c>
      <c r="BT2" s="38" t="s">
        <v>367</v>
      </c>
      <c r="BU2" s="38" t="s">
        <v>368</v>
      </c>
      <c r="BV2" t="s">
        <v>371</v>
      </c>
      <c r="BW2" t="s">
        <v>2445</v>
      </c>
      <c r="BX2" t="str">
        <f>IF(J2="win",VLOOKUP(B2,ColorScheme!$A$2:$I$32,4,0),VLOOKUP(B2,ColorScheme!$A$2:$I$32,5,0))</f>
        <v>#7e1e9c50</v>
      </c>
    </row>
    <row r="3" spans="1:76" x14ac:dyDescent="0.3">
      <c r="A3" s="38" t="s">
        <v>43</v>
      </c>
      <c r="B3" s="38" t="s">
        <v>50</v>
      </c>
      <c r="C3" s="38" t="s">
        <v>20</v>
      </c>
      <c r="D3" s="38" t="s">
        <v>29</v>
      </c>
      <c r="E3" s="38" t="s">
        <v>705</v>
      </c>
      <c r="F3" s="38" t="b">
        <v>1</v>
      </c>
      <c r="G3" s="38">
        <v>87</v>
      </c>
      <c r="H3" s="38">
        <v>0</v>
      </c>
      <c r="I3" s="38">
        <v>12099</v>
      </c>
      <c r="J3" s="61" t="s">
        <v>13</v>
      </c>
      <c r="K3" s="39" t="s">
        <v>272</v>
      </c>
      <c r="L3" s="39">
        <v>3</v>
      </c>
      <c r="M3" s="39" t="s">
        <v>277</v>
      </c>
      <c r="N3" s="39" t="s">
        <v>335</v>
      </c>
      <c r="O3" s="40" t="s">
        <v>283</v>
      </c>
      <c r="P3" s="38" t="s">
        <v>282</v>
      </c>
      <c r="Q3" s="38" t="s">
        <v>371</v>
      </c>
      <c r="R3" s="41" t="s">
        <v>371</v>
      </c>
      <c r="S3" s="41">
        <v>0</v>
      </c>
      <c r="T3" s="41">
        <v>1</v>
      </c>
      <c r="U3" s="41">
        <v>1</v>
      </c>
      <c r="V3" s="41">
        <v>0</v>
      </c>
      <c r="W3" s="41">
        <v>0</v>
      </c>
      <c r="X3" s="41">
        <v>0</v>
      </c>
      <c r="Y3" s="41">
        <v>0</v>
      </c>
      <c r="Z3" s="41">
        <v>0</v>
      </c>
      <c r="AA3" s="41">
        <v>0</v>
      </c>
      <c r="AB3" s="41">
        <v>0</v>
      </c>
      <c r="AC3" s="41" t="s">
        <v>704</v>
      </c>
      <c r="AD3" s="39" t="s">
        <v>341</v>
      </c>
      <c r="AE3" s="39" t="s">
        <v>342</v>
      </c>
      <c r="AF3" s="40" t="s">
        <v>343</v>
      </c>
      <c r="AG3" s="40" t="s">
        <v>344</v>
      </c>
      <c r="AH3" s="41" t="s">
        <v>371</v>
      </c>
      <c r="AI3" s="38">
        <v>1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 t="s">
        <v>704</v>
      </c>
      <c r="AR3" s="38" t="s">
        <v>349</v>
      </c>
      <c r="AS3" s="38" t="s">
        <v>349</v>
      </c>
      <c r="AT3" s="38">
        <v>1</v>
      </c>
      <c r="AU3" s="38">
        <v>0</v>
      </c>
      <c r="AV3" s="38">
        <v>0</v>
      </c>
      <c r="AW3" s="38" t="s">
        <v>704</v>
      </c>
      <c r="AX3" t="s">
        <v>1207</v>
      </c>
      <c r="AY3" s="38" t="s">
        <v>293</v>
      </c>
      <c r="AZ3" s="38" t="s">
        <v>353</v>
      </c>
      <c r="BA3" s="38" t="s">
        <v>297</v>
      </c>
      <c r="BB3" s="38" t="s">
        <v>301</v>
      </c>
      <c r="BC3" s="38" t="s">
        <v>292</v>
      </c>
      <c r="BD3" s="38" t="s">
        <v>293</v>
      </c>
      <c r="BE3" s="38" t="s">
        <v>292</v>
      </c>
      <c r="BF3" s="38" t="s">
        <v>293</v>
      </c>
      <c r="BG3" s="38" t="s">
        <v>293</v>
      </c>
      <c r="BH3" s="38" t="s">
        <v>302</v>
      </c>
      <c r="BI3" s="38" t="s">
        <v>302</v>
      </c>
      <c r="BJ3" s="38" t="s">
        <v>359</v>
      </c>
      <c r="BK3" s="38" t="s">
        <v>293</v>
      </c>
      <c r="BL3" s="38" t="s">
        <v>293</v>
      </c>
      <c r="BM3" s="38" t="s">
        <v>297</v>
      </c>
      <c r="BN3" s="38" t="s">
        <v>298</v>
      </c>
      <c r="BO3" s="38" t="s">
        <v>293</v>
      </c>
      <c r="BP3" s="38" t="s">
        <v>292</v>
      </c>
      <c r="BQ3" s="38" t="s">
        <v>293</v>
      </c>
      <c r="BR3" s="38" t="s">
        <v>293</v>
      </c>
      <c r="BS3" s="38" t="s">
        <v>364</v>
      </c>
      <c r="BT3" s="38" t="s">
        <v>366</v>
      </c>
      <c r="BU3" s="38" t="s">
        <v>370</v>
      </c>
      <c r="BV3" t="s">
        <v>371</v>
      </c>
      <c r="BW3" t="s">
        <v>2446</v>
      </c>
      <c r="BX3" t="str">
        <f>IF(J3="win",VLOOKUP(B3,ColorScheme!$A$2:$I$32,4,0),VLOOKUP(B3,ColorScheme!$A$2:$I$32,5,0))</f>
        <v>#7e1e9c</v>
      </c>
    </row>
    <row r="4" spans="1:76" x14ac:dyDescent="0.3">
      <c r="A4" s="38" t="s">
        <v>43</v>
      </c>
      <c r="B4" s="38" t="s">
        <v>50</v>
      </c>
      <c r="C4" s="38" t="s">
        <v>27</v>
      </c>
      <c r="D4" s="38" t="s">
        <v>29</v>
      </c>
      <c r="E4" s="38" t="s">
        <v>706</v>
      </c>
      <c r="F4" s="38" t="b">
        <v>1</v>
      </c>
      <c r="G4" s="38">
        <v>99.9</v>
      </c>
      <c r="H4" s="38">
        <v>0</v>
      </c>
      <c r="I4" s="38">
        <v>11915</v>
      </c>
      <c r="J4" s="61" t="s">
        <v>18</v>
      </c>
      <c r="K4" s="39" t="s">
        <v>272</v>
      </c>
      <c r="L4" s="39">
        <v>2</v>
      </c>
      <c r="M4" s="39" t="s">
        <v>333</v>
      </c>
      <c r="N4" s="39" t="s">
        <v>280</v>
      </c>
      <c r="O4" s="40" t="s">
        <v>282</v>
      </c>
      <c r="P4" s="40" t="s">
        <v>371</v>
      </c>
      <c r="Q4" s="38" t="s">
        <v>371</v>
      </c>
      <c r="R4" s="41" t="s">
        <v>371</v>
      </c>
      <c r="S4" s="41">
        <v>0</v>
      </c>
      <c r="T4" s="41">
        <v>1</v>
      </c>
      <c r="U4" s="41">
        <v>0</v>
      </c>
      <c r="V4" s="41">
        <v>0</v>
      </c>
      <c r="W4" s="41">
        <v>0</v>
      </c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1" t="s">
        <v>704</v>
      </c>
      <c r="AD4" s="39" t="s">
        <v>340</v>
      </c>
      <c r="AE4" s="39" t="s">
        <v>342</v>
      </c>
      <c r="AF4" s="40" t="s">
        <v>340</v>
      </c>
      <c r="AG4" s="40" t="s">
        <v>344</v>
      </c>
      <c r="AH4" s="41" t="s">
        <v>371</v>
      </c>
      <c r="AI4" s="38">
        <v>1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 t="s">
        <v>704</v>
      </c>
      <c r="AR4" s="38" t="s">
        <v>349</v>
      </c>
      <c r="AS4" s="38" t="s">
        <v>349</v>
      </c>
      <c r="AT4" s="38">
        <v>1</v>
      </c>
      <c r="AU4" s="38">
        <v>0</v>
      </c>
      <c r="AV4" s="38">
        <v>0</v>
      </c>
      <c r="AW4" s="38" t="s">
        <v>704</v>
      </c>
      <c r="AX4" t="s">
        <v>1208</v>
      </c>
      <c r="AY4" s="38" t="s">
        <v>293</v>
      </c>
      <c r="AZ4" s="38" t="s">
        <v>354</v>
      </c>
      <c r="BA4" s="38" t="s">
        <v>354</v>
      </c>
      <c r="BB4" s="38" t="s">
        <v>300</v>
      </c>
      <c r="BC4" s="38" t="s">
        <v>292</v>
      </c>
      <c r="BD4" s="38" t="s">
        <v>293</v>
      </c>
      <c r="BE4" s="38" t="s">
        <v>292</v>
      </c>
      <c r="BF4" s="38" t="s">
        <v>292</v>
      </c>
      <c r="BG4" s="38" t="s">
        <v>293</v>
      </c>
      <c r="BH4" s="38" t="s">
        <v>359</v>
      </c>
      <c r="BI4" s="38" t="s">
        <v>359</v>
      </c>
      <c r="BJ4" s="38" t="s">
        <v>357</v>
      </c>
      <c r="BK4" s="38" t="s">
        <v>293</v>
      </c>
      <c r="BL4" s="38" t="s">
        <v>293</v>
      </c>
      <c r="BM4" s="38" t="s">
        <v>297</v>
      </c>
      <c r="BN4" s="38" t="s">
        <v>298</v>
      </c>
      <c r="BO4" s="38" t="s">
        <v>293</v>
      </c>
      <c r="BP4" s="38" t="s">
        <v>292</v>
      </c>
      <c r="BQ4" s="38" t="s">
        <v>293</v>
      </c>
      <c r="BR4" s="38" t="s">
        <v>293</v>
      </c>
      <c r="BS4" s="38" t="s">
        <v>364</v>
      </c>
      <c r="BT4" s="38" t="s">
        <v>367</v>
      </c>
      <c r="BU4" s="38" t="s">
        <v>368</v>
      </c>
      <c r="BV4" t="s">
        <v>371</v>
      </c>
      <c r="BW4" t="s">
        <v>2447</v>
      </c>
      <c r="BX4" t="str">
        <f>IF(J4="win",VLOOKUP(B4,ColorScheme!$A$2:$I$32,4,0),VLOOKUP(B4,ColorScheme!$A$2:$I$32,5,0))</f>
        <v>#7e1e9c50</v>
      </c>
    </row>
    <row r="5" spans="1:76" x14ac:dyDescent="0.3">
      <c r="A5" t="s">
        <v>43</v>
      </c>
      <c r="B5" t="s">
        <v>50</v>
      </c>
      <c r="C5" t="s">
        <v>15</v>
      </c>
      <c r="D5" t="s">
        <v>12</v>
      </c>
      <c r="E5" t="s">
        <v>707</v>
      </c>
      <c r="F5" t="b">
        <v>1</v>
      </c>
      <c r="G5">
        <v>69.2</v>
      </c>
      <c r="H5">
        <v>0</v>
      </c>
      <c r="I5">
        <v>15028</v>
      </c>
      <c r="J5" s="61" t="s">
        <v>13</v>
      </c>
      <c r="K5" s="16" t="s">
        <v>272</v>
      </c>
      <c r="L5" s="16">
        <v>3</v>
      </c>
      <c r="M5" s="16" t="s">
        <v>277</v>
      </c>
      <c r="N5" s="16" t="s">
        <v>335</v>
      </c>
      <c r="O5" s="15" t="s">
        <v>281</v>
      </c>
      <c r="P5" s="15" t="s">
        <v>273</v>
      </c>
      <c r="Q5" s="15" t="s">
        <v>282</v>
      </c>
      <c r="R5" s="17" t="s">
        <v>371</v>
      </c>
      <c r="S5" s="17">
        <v>1</v>
      </c>
      <c r="T5" s="17">
        <v>1</v>
      </c>
      <c r="U5" s="17">
        <v>0</v>
      </c>
      <c r="V5" s="17">
        <v>0</v>
      </c>
      <c r="W5" s="17">
        <v>1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 t="s">
        <v>704</v>
      </c>
      <c r="AD5" s="16" t="s">
        <v>341</v>
      </c>
      <c r="AE5" s="16" t="s">
        <v>340</v>
      </c>
      <c r="AF5" s="15" t="s">
        <v>343</v>
      </c>
      <c r="AG5" s="15" t="s">
        <v>344</v>
      </c>
      <c r="AH5" s="17" t="s">
        <v>371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704</v>
      </c>
      <c r="AR5" t="s">
        <v>349</v>
      </c>
      <c r="AS5" t="s">
        <v>349</v>
      </c>
      <c r="AT5">
        <v>1</v>
      </c>
      <c r="AU5">
        <v>0</v>
      </c>
      <c r="AV5">
        <v>0</v>
      </c>
      <c r="AW5" t="s">
        <v>704</v>
      </c>
      <c r="AX5" t="s">
        <v>1209</v>
      </c>
      <c r="AY5" t="s">
        <v>293</v>
      </c>
      <c r="AZ5" t="s">
        <v>353</v>
      </c>
      <c r="BA5" t="s">
        <v>355</v>
      </c>
      <c r="BB5" t="s">
        <v>300</v>
      </c>
      <c r="BC5" t="s">
        <v>292</v>
      </c>
      <c r="BD5" t="s">
        <v>293</v>
      </c>
      <c r="BE5" t="s">
        <v>292</v>
      </c>
      <c r="BF5" t="s">
        <v>292</v>
      </c>
      <c r="BG5" t="s">
        <v>293</v>
      </c>
      <c r="BH5" t="s">
        <v>302</v>
      </c>
      <c r="BI5" t="s">
        <v>302</v>
      </c>
      <c r="BJ5" t="s">
        <v>359</v>
      </c>
      <c r="BK5" t="s">
        <v>293</v>
      </c>
      <c r="BL5" t="s">
        <v>293</v>
      </c>
      <c r="BM5" t="s">
        <v>297</v>
      </c>
      <c r="BN5" t="s">
        <v>298</v>
      </c>
      <c r="BO5" t="s">
        <v>293</v>
      </c>
      <c r="BP5" t="s">
        <v>292</v>
      </c>
      <c r="BQ5" t="s">
        <v>293</v>
      </c>
      <c r="BR5" t="s">
        <v>293</v>
      </c>
      <c r="BS5" t="s">
        <v>364</v>
      </c>
      <c r="BT5" t="s">
        <v>366</v>
      </c>
      <c r="BU5" t="s">
        <v>371</v>
      </c>
      <c r="BV5" t="s">
        <v>371</v>
      </c>
      <c r="BW5" t="s">
        <v>2448</v>
      </c>
      <c r="BX5" t="str">
        <f>IF(J5="win",VLOOKUP(B5,ColorScheme!$A$2:$I$32,4,0),VLOOKUP(B5,ColorScheme!$A$2:$I$32,5,0))</f>
        <v>#7e1e9c</v>
      </c>
    </row>
    <row r="6" spans="1:76" x14ac:dyDescent="0.3">
      <c r="A6" t="s">
        <v>43</v>
      </c>
      <c r="B6" t="s">
        <v>50</v>
      </c>
      <c r="C6" t="s">
        <v>14</v>
      </c>
      <c r="D6" t="s">
        <v>12</v>
      </c>
      <c r="E6" t="s">
        <v>708</v>
      </c>
      <c r="F6" t="b">
        <v>1</v>
      </c>
      <c r="G6">
        <v>100</v>
      </c>
      <c r="H6">
        <v>1</v>
      </c>
      <c r="I6">
        <v>14512</v>
      </c>
      <c r="J6" s="61" t="s">
        <v>13</v>
      </c>
      <c r="K6" s="16" t="s">
        <v>272</v>
      </c>
      <c r="L6" s="16">
        <v>3</v>
      </c>
      <c r="M6" s="16" t="s">
        <v>277</v>
      </c>
      <c r="N6" s="16" t="s">
        <v>335</v>
      </c>
      <c r="O6" s="15" t="s">
        <v>281</v>
      </c>
      <c r="P6" s="15" t="s">
        <v>273</v>
      </c>
      <c r="Q6" s="15" t="s">
        <v>282</v>
      </c>
      <c r="R6" s="17" t="s">
        <v>371</v>
      </c>
      <c r="S6" s="17">
        <v>1</v>
      </c>
      <c r="T6" s="17">
        <v>1</v>
      </c>
      <c r="U6" s="17">
        <v>0</v>
      </c>
      <c r="V6" s="17">
        <v>0</v>
      </c>
      <c r="W6" s="17">
        <v>1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 t="s">
        <v>704</v>
      </c>
      <c r="AD6" s="16" t="s">
        <v>341</v>
      </c>
      <c r="AE6" s="16" t="s">
        <v>340</v>
      </c>
      <c r="AF6" s="15" t="s">
        <v>343</v>
      </c>
      <c r="AG6" s="15" t="s">
        <v>344</v>
      </c>
      <c r="AH6" s="17" t="s">
        <v>371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704</v>
      </c>
      <c r="AR6" t="s">
        <v>349</v>
      </c>
      <c r="AS6" t="s">
        <v>349</v>
      </c>
      <c r="AT6">
        <v>1</v>
      </c>
      <c r="AU6">
        <v>0</v>
      </c>
      <c r="AV6">
        <v>0</v>
      </c>
      <c r="AW6" t="s">
        <v>704</v>
      </c>
      <c r="AX6" t="s">
        <v>1209</v>
      </c>
      <c r="AY6" t="s">
        <v>293</v>
      </c>
      <c r="AZ6" t="s">
        <v>353</v>
      </c>
      <c r="BA6" t="s">
        <v>355</v>
      </c>
      <c r="BB6" t="s">
        <v>300</v>
      </c>
      <c r="BC6" t="s">
        <v>292</v>
      </c>
      <c r="BD6" t="s">
        <v>293</v>
      </c>
      <c r="BE6" t="s">
        <v>292</v>
      </c>
      <c r="BF6" t="s">
        <v>292</v>
      </c>
      <c r="BG6" t="s">
        <v>293</v>
      </c>
      <c r="BH6" t="s">
        <v>302</v>
      </c>
      <c r="BI6" t="s">
        <v>358</v>
      </c>
      <c r="BJ6" t="s">
        <v>359</v>
      </c>
      <c r="BK6" t="s">
        <v>293</v>
      </c>
      <c r="BL6" t="s">
        <v>293</v>
      </c>
      <c r="BM6" t="s">
        <v>297</v>
      </c>
      <c r="BN6" t="s">
        <v>298</v>
      </c>
      <c r="BO6" t="s">
        <v>293</v>
      </c>
      <c r="BP6" t="s">
        <v>292</v>
      </c>
      <c r="BQ6" t="s">
        <v>293</v>
      </c>
      <c r="BR6" t="s">
        <v>293</v>
      </c>
      <c r="BS6" t="s">
        <v>364</v>
      </c>
      <c r="BT6" t="s">
        <v>366</v>
      </c>
      <c r="BU6" t="s">
        <v>371</v>
      </c>
      <c r="BV6" t="s">
        <v>371</v>
      </c>
      <c r="BW6" t="s">
        <v>2449</v>
      </c>
      <c r="BX6" t="str">
        <f>IF(J6="win",VLOOKUP(B6,ColorScheme!$A$2:$I$32,4,0),VLOOKUP(B6,ColorScheme!$A$2:$I$32,5,0))</f>
        <v>#7e1e9c</v>
      </c>
    </row>
    <row r="7" spans="1:76" x14ac:dyDescent="0.3">
      <c r="A7" t="s">
        <v>43</v>
      </c>
      <c r="B7" t="s">
        <v>50</v>
      </c>
      <c r="C7" t="s">
        <v>19</v>
      </c>
      <c r="D7" t="s">
        <v>12</v>
      </c>
      <c r="E7" t="s">
        <v>709</v>
      </c>
      <c r="F7" t="b">
        <v>1</v>
      </c>
      <c r="G7">
        <v>100</v>
      </c>
      <c r="H7">
        <v>1</v>
      </c>
      <c r="I7">
        <v>20421</v>
      </c>
      <c r="J7" s="61" t="s">
        <v>18</v>
      </c>
      <c r="K7" s="16" t="s">
        <v>272</v>
      </c>
      <c r="L7" s="16">
        <v>3</v>
      </c>
      <c r="M7" s="16" t="s">
        <v>277</v>
      </c>
      <c r="N7" s="16" t="s">
        <v>335</v>
      </c>
      <c r="O7" s="15" t="s">
        <v>281</v>
      </c>
      <c r="P7" s="15" t="s">
        <v>273</v>
      </c>
      <c r="Q7" s="15" t="s">
        <v>282</v>
      </c>
      <c r="R7" s="17" t="s">
        <v>371</v>
      </c>
      <c r="S7" s="17">
        <v>1</v>
      </c>
      <c r="T7" s="17">
        <v>1</v>
      </c>
      <c r="U7" s="17">
        <v>0</v>
      </c>
      <c r="V7" s="17">
        <v>0</v>
      </c>
      <c r="W7" s="17">
        <v>1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 t="s">
        <v>704</v>
      </c>
      <c r="AD7" s="16" t="s">
        <v>341</v>
      </c>
      <c r="AE7" s="16" t="s">
        <v>340</v>
      </c>
      <c r="AF7" s="15" t="s">
        <v>343</v>
      </c>
      <c r="AG7" s="15" t="s">
        <v>344</v>
      </c>
      <c r="AH7" s="17" t="s">
        <v>371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704</v>
      </c>
      <c r="AR7" t="s">
        <v>349</v>
      </c>
      <c r="AS7" t="s">
        <v>349</v>
      </c>
      <c r="AT7">
        <v>1</v>
      </c>
      <c r="AU7">
        <v>0</v>
      </c>
      <c r="AV7">
        <v>0</v>
      </c>
      <c r="AW7" t="s">
        <v>704</v>
      </c>
      <c r="AX7" t="s">
        <v>1209</v>
      </c>
      <c r="AY7" t="s">
        <v>293</v>
      </c>
      <c r="AZ7" t="s">
        <v>353</v>
      </c>
      <c r="BA7" t="s">
        <v>355</v>
      </c>
      <c r="BB7" t="s">
        <v>301</v>
      </c>
      <c r="BC7" t="s">
        <v>292</v>
      </c>
      <c r="BD7" t="s">
        <v>292</v>
      </c>
      <c r="BE7" t="s">
        <v>292</v>
      </c>
      <c r="BF7" t="s">
        <v>292</v>
      </c>
      <c r="BG7" t="s">
        <v>293</v>
      </c>
      <c r="BH7" t="s">
        <v>302</v>
      </c>
      <c r="BI7" t="s">
        <v>302</v>
      </c>
      <c r="BJ7" t="s">
        <v>359</v>
      </c>
      <c r="BK7" t="s">
        <v>293</v>
      </c>
      <c r="BL7" t="s">
        <v>293</v>
      </c>
      <c r="BM7" t="s">
        <v>296</v>
      </c>
      <c r="BN7" t="s">
        <v>356</v>
      </c>
      <c r="BO7" t="s">
        <v>293</v>
      </c>
      <c r="BP7" t="s">
        <v>292</v>
      </c>
      <c r="BQ7" t="s">
        <v>293</v>
      </c>
      <c r="BR7" t="s">
        <v>293</v>
      </c>
      <c r="BS7" t="s">
        <v>364</v>
      </c>
      <c r="BT7" t="s">
        <v>304</v>
      </c>
      <c r="BU7" t="s">
        <v>371</v>
      </c>
      <c r="BV7" t="s">
        <v>371</v>
      </c>
      <c r="BW7" t="s">
        <v>2450</v>
      </c>
      <c r="BX7" t="str">
        <f>IF(J7="win",VLOOKUP(B7,ColorScheme!$A$2:$I$32,4,0),VLOOKUP(B7,ColorScheme!$A$2:$I$32,5,0))</f>
        <v>#7e1e9c50</v>
      </c>
    </row>
    <row r="8" spans="1:76" x14ac:dyDescent="0.3">
      <c r="A8" t="s">
        <v>43</v>
      </c>
      <c r="B8" t="s">
        <v>50</v>
      </c>
      <c r="C8" t="s">
        <v>17</v>
      </c>
      <c r="D8" t="s">
        <v>12</v>
      </c>
      <c r="E8" t="s">
        <v>710</v>
      </c>
      <c r="F8" t="b">
        <v>1</v>
      </c>
      <c r="G8">
        <v>100</v>
      </c>
      <c r="H8">
        <v>1</v>
      </c>
      <c r="I8">
        <v>18768</v>
      </c>
      <c r="J8" s="61" t="s">
        <v>18</v>
      </c>
      <c r="K8" s="16" t="s">
        <v>272</v>
      </c>
      <c r="L8" s="16">
        <v>3</v>
      </c>
      <c r="M8" s="16" t="s">
        <v>277</v>
      </c>
      <c r="N8" s="16" t="s">
        <v>335</v>
      </c>
      <c r="O8" s="15" t="s">
        <v>281</v>
      </c>
      <c r="P8" s="15" t="s">
        <v>273</v>
      </c>
      <c r="Q8" t="s">
        <v>282</v>
      </c>
      <c r="R8" s="17" t="s">
        <v>371</v>
      </c>
      <c r="S8" s="17">
        <v>1</v>
      </c>
      <c r="T8" s="17">
        <v>1</v>
      </c>
      <c r="U8" s="17">
        <v>0</v>
      </c>
      <c r="V8" s="17">
        <v>0</v>
      </c>
      <c r="W8" s="17">
        <v>1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 t="s">
        <v>704</v>
      </c>
      <c r="AD8" s="16" t="s">
        <v>341</v>
      </c>
      <c r="AE8" s="16" t="s">
        <v>340</v>
      </c>
      <c r="AF8" s="15" t="s">
        <v>343</v>
      </c>
      <c r="AG8" s="15" t="s">
        <v>344</v>
      </c>
      <c r="AH8" s="17" t="s">
        <v>371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704</v>
      </c>
      <c r="AR8" t="s">
        <v>349</v>
      </c>
      <c r="AS8" t="s">
        <v>349</v>
      </c>
      <c r="AT8">
        <v>1</v>
      </c>
      <c r="AU8">
        <v>0</v>
      </c>
      <c r="AV8">
        <v>0</v>
      </c>
      <c r="AW8" t="s">
        <v>704</v>
      </c>
      <c r="AX8" t="s">
        <v>1209</v>
      </c>
      <c r="AY8" t="s">
        <v>293</v>
      </c>
      <c r="AZ8" t="s">
        <v>353</v>
      </c>
      <c r="BA8" t="s">
        <v>355</v>
      </c>
      <c r="BB8" t="s">
        <v>301</v>
      </c>
      <c r="BC8" t="s">
        <v>292</v>
      </c>
      <c r="BD8" t="s">
        <v>293</v>
      </c>
      <c r="BE8" t="s">
        <v>292</v>
      </c>
      <c r="BF8" t="s">
        <v>292</v>
      </c>
      <c r="BG8" t="s">
        <v>293</v>
      </c>
      <c r="BH8" t="s">
        <v>302</v>
      </c>
      <c r="BI8" t="s">
        <v>302</v>
      </c>
      <c r="BJ8" t="s">
        <v>359</v>
      </c>
      <c r="BK8" t="s">
        <v>293</v>
      </c>
      <c r="BL8" t="s">
        <v>293</v>
      </c>
      <c r="BM8" t="s">
        <v>296</v>
      </c>
      <c r="BN8" t="s">
        <v>298</v>
      </c>
      <c r="BO8" t="s">
        <v>293</v>
      </c>
      <c r="BP8" t="s">
        <v>292</v>
      </c>
      <c r="BQ8" t="s">
        <v>293</v>
      </c>
      <c r="BR8" t="s">
        <v>293</v>
      </c>
      <c r="BS8" t="s">
        <v>364</v>
      </c>
      <c r="BT8" t="s">
        <v>304</v>
      </c>
      <c r="BU8" t="s">
        <v>371</v>
      </c>
      <c r="BV8" t="s">
        <v>371</v>
      </c>
      <c r="BW8" t="s">
        <v>2451</v>
      </c>
      <c r="BX8" t="str">
        <f>IF(J8="win",VLOOKUP(B8,ColorScheme!$A$2:$I$32,4,0),VLOOKUP(B8,ColorScheme!$A$2:$I$32,5,0))</f>
        <v>#7e1e9c50</v>
      </c>
    </row>
    <row r="9" spans="1:76" x14ac:dyDescent="0.3">
      <c r="A9" t="s">
        <v>43</v>
      </c>
      <c r="B9" t="s">
        <v>50</v>
      </c>
      <c r="C9" t="s">
        <v>16</v>
      </c>
      <c r="D9" t="s">
        <v>12</v>
      </c>
      <c r="E9" t="s">
        <v>711</v>
      </c>
      <c r="F9" t="b">
        <v>1</v>
      </c>
      <c r="G9">
        <v>100</v>
      </c>
      <c r="H9">
        <v>1</v>
      </c>
      <c r="I9">
        <v>17066</v>
      </c>
      <c r="J9" s="61" t="s">
        <v>18</v>
      </c>
      <c r="K9" s="16" t="s">
        <v>272</v>
      </c>
      <c r="L9" s="16">
        <v>3</v>
      </c>
      <c r="M9" s="16" t="s">
        <v>277</v>
      </c>
      <c r="N9" s="16" t="s">
        <v>335</v>
      </c>
      <c r="O9" s="15" t="s">
        <v>281</v>
      </c>
      <c r="P9" t="s">
        <v>273</v>
      </c>
      <c r="Q9" t="s">
        <v>282</v>
      </c>
      <c r="R9" s="17" t="s">
        <v>371</v>
      </c>
      <c r="S9" s="17">
        <v>1</v>
      </c>
      <c r="T9" s="17">
        <v>1</v>
      </c>
      <c r="U9" s="17">
        <v>0</v>
      </c>
      <c r="V9" s="17">
        <v>0</v>
      </c>
      <c r="W9" s="17">
        <v>1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 t="s">
        <v>704</v>
      </c>
      <c r="AD9" s="16" t="s">
        <v>341</v>
      </c>
      <c r="AE9" s="16" t="s">
        <v>340</v>
      </c>
      <c r="AF9" s="15" t="s">
        <v>343</v>
      </c>
      <c r="AG9" s="15" t="s">
        <v>344</v>
      </c>
      <c r="AH9" s="17" t="s">
        <v>291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 t="s">
        <v>704</v>
      </c>
      <c r="AR9" t="s">
        <v>349</v>
      </c>
      <c r="AS9" t="s">
        <v>349</v>
      </c>
      <c r="AT9">
        <v>1</v>
      </c>
      <c r="AU9">
        <v>0</v>
      </c>
      <c r="AV9">
        <v>0</v>
      </c>
      <c r="AW9" t="s">
        <v>704</v>
      </c>
      <c r="AX9" t="s">
        <v>1210</v>
      </c>
      <c r="AY9" t="s">
        <v>293</v>
      </c>
      <c r="AZ9" t="s">
        <v>353</v>
      </c>
      <c r="BA9" t="s">
        <v>355</v>
      </c>
      <c r="BB9" t="s">
        <v>301</v>
      </c>
      <c r="BC9" t="s">
        <v>292</v>
      </c>
      <c r="BD9" t="s">
        <v>293</v>
      </c>
      <c r="BE9" t="s">
        <v>292</v>
      </c>
      <c r="BF9" t="s">
        <v>292</v>
      </c>
      <c r="BG9" t="s">
        <v>293</v>
      </c>
      <c r="BH9" t="s">
        <v>302</v>
      </c>
      <c r="BI9" t="s">
        <v>302</v>
      </c>
      <c r="BJ9" t="s">
        <v>359</v>
      </c>
      <c r="BK9" t="s">
        <v>293</v>
      </c>
      <c r="BL9" t="s">
        <v>293</v>
      </c>
      <c r="BM9" t="s">
        <v>296</v>
      </c>
      <c r="BN9" t="s">
        <v>298</v>
      </c>
      <c r="BO9" t="s">
        <v>293</v>
      </c>
      <c r="BP9" t="s">
        <v>292</v>
      </c>
      <c r="BQ9" t="s">
        <v>293</v>
      </c>
      <c r="BR9" t="s">
        <v>293</v>
      </c>
      <c r="BS9" t="s">
        <v>364</v>
      </c>
      <c r="BT9" t="s">
        <v>304</v>
      </c>
      <c r="BU9" t="s">
        <v>371</v>
      </c>
      <c r="BV9" t="s">
        <v>371</v>
      </c>
      <c r="BW9" t="s">
        <v>2452</v>
      </c>
      <c r="BX9" t="str">
        <f>IF(J9="win",VLOOKUP(B9,ColorScheme!$A$2:$I$32,4,0),VLOOKUP(B9,ColorScheme!$A$2:$I$32,5,0))</f>
        <v>#7e1e9c50</v>
      </c>
    </row>
    <row r="10" spans="1:76" x14ac:dyDescent="0.3">
      <c r="A10" t="s">
        <v>43</v>
      </c>
      <c r="B10" t="s">
        <v>50</v>
      </c>
      <c r="C10" t="s">
        <v>23</v>
      </c>
      <c r="D10" t="s">
        <v>29</v>
      </c>
      <c r="E10" t="s">
        <v>712</v>
      </c>
      <c r="F10" t="b">
        <v>1</v>
      </c>
      <c r="G10">
        <v>100</v>
      </c>
      <c r="H10">
        <v>1</v>
      </c>
      <c r="I10">
        <v>9668</v>
      </c>
      <c r="J10" s="61" t="s">
        <v>18</v>
      </c>
      <c r="K10" s="16" t="s">
        <v>272</v>
      </c>
      <c r="L10" s="16">
        <v>2</v>
      </c>
      <c r="M10" s="16" t="s">
        <v>277</v>
      </c>
      <c r="N10" s="16" t="s">
        <v>335</v>
      </c>
      <c r="O10" s="15" t="s">
        <v>282</v>
      </c>
      <c r="P10" t="s">
        <v>371</v>
      </c>
      <c r="Q10" t="s">
        <v>371</v>
      </c>
      <c r="R10" s="17" t="s">
        <v>371</v>
      </c>
      <c r="S10" s="17">
        <v>0</v>
      </c>
      <c r="T10" s="17">
        <v>1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 t="s">
        <v>704</v>
      </c>
      <c r="AD10" s="16" t="s">
        <v>340</v>
      </c>
      <c r="AE10" s="16" t="s">
        <v>342</v>
      </c>
      <c r="AF10" s="15" t="s">
        <v>340</v>
      </c>
      <c r="AG10" s="15" t="s">
        <v>344</v>
      </c>
      <c r="AH10" s="17" t="s">
        <v>371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704</v>
      </c>
      <c r="AR10" t="s">
        <v>349</v>
      </c>
      <c r="AS10" t="s">
        <v>349</v>
      </c>
      <c r="AT10">
        <v>1</v>
      </c>
      <c r="AU10">
        <v>0</v>
      </c>
      <c r="AV10">
        <v>0</v>
      </c>
      <c r="AW10" t="s">
        <v>704</v>
      </c>
      <c r="AX10" t="s">
        <v>1208</v>
      </c>
      <c r="AY10" t="s">
        <v>293</v>
      </c>
      <c r="AZ10" t="s">
        <v>354</v>
      </c>
      <c r="BA10" t="s">
        <v>354</v>
      </c>
      <c r="BB10" t="s">
        <v>300</v>
      </c>
      <c r="BC10" t="s">
        <v>292</v>
      </c>
      <c r="BD10" t="s">
        <v>293</v>
      </c>
      <c r="BE10" t="s">
        <v>292</v>
      </c>
      <c r="BF10" t="s">
        <v>293</v>
      </c>
      <c r="BG10" t="s">
        <v>293</v>
      </c>
      <c r="BH10" t="s">
        <v>302</v>
      </c>
      <c r="BI10" t="s">
        <v>302</v>
      </c>
      <c r="BJ10" t="s">
        <v>357</v>
      </c>
      <c r="BK10" t="s">
        <v>293</v>
      </c>
      <c r="BL10" t="s">
        <v>293</v>
      </c>
      <c r="BM10" t="s">
        <v>297</v>
      </c>
      <c r="BN10" t="s">
        <v>298</v>
      </c>
      <c r="BO10" t="s">
        <v>293</v>
      </c>
      <c r="BP10" t="s">
        <v>292</v>
      </c>
      <c r="BQ10" t="s">
        <v>293</v>
      </c>
      <c r="BR10" t="s">
        <v>293</v>
      </c>
      <c r="BS10" t="s">
        <v>364</v>
      </c>
      <c r="BT10" t="s">
        <v>304</v>
      </c>
      <c r="BU10" t="s">
        <v>371</v>
      </c>
      <c r="BV10" t="s">
        <v>371</v>
      </c>
      <c r="BW10" t="s">
        <v>2453</v>
      </c>
      <c r="BX10" t="str">
        <f>IF(J10="win",VLOOKUP(B10,ColorScheme!$A$2:$I$32,4,0),VLOOKUP(B10,ColorScheme!$A$2:$I$32,5,0))</f>
        <v>#7e1e9c50</v>
      </c>
    </row>
    <row r="11" spans="1:76" x14ac:dyDescent="0.3">
      <c r="A11" t="s">
        <v>43</v>
      </c>
      <c r="B11" t="s">
        <v>50</v>
      </c>
      <c r="C11" t="s">
        <v>25</v>
      </c>
      <c r="D11" t="s">
        <v>29</v>
      </c>
      <c r="E11" t="s">
        <v>713</v>
      </c>
      <c r="F11" t="b">
        <v>1</v>
      </c>
      <c r="G11">
        <v>100</v>
      </c>
      <c r="H11">
        <v>1</v>
      </c>
      <c r="I11">
        <v>16249</v>
      </c>
      <c r="J11" s="61" t="s">
        <v>18</v>
      </c>
      <c r="K11" s="16" t="s">
        <v>272</v>
      </c>
      <c r="L11" s="16">
        <v>2</v>
      </c>
      <c r="M11" s="16" t="s">
        <v>277</v>
      </c>
      <c r="N11" s="16" t="s">
        <v>335</v>
      </c>
      <c r="O11" s="15" t="s">
        <v>282</v>
      </c>
      <c r="P11" t="s">
        <v>371</v>
      </c>
      <c r="Q11" t="s">
        <v>371</v>
      </c>
      <c r="R11" s="17" t="s">
        <v>371</v>
      </c>
      <c r="S11" s="17">
        <v>0</v>
      </c>
      <c r="T11" s="17">
        <v>1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 t="s">
        <v>704</v>
      </c>
      <c r="AD11" s="16" t="s">
        <v>341</v>
      </c>
      <c r="AE11" s="16" t="s">
        <v>342</v>
      </c>
      <c r="AF11" s="15" t="s">
        <v>340</v>
      </c>
      <c r="AG11" s="15" t="s">
        <v>344</v>
      </c>
      <c r="AH11" s="17" t="s">
        <v>371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704</v>
      </c>
      <c r="AR11" t="s">
        <v>349</v>
      </c>
      <c r="AS11" t="s">
        <v>349</v>
      </c>
      <c r="AT11">
        <v>1</v>
      </c>
      <c r="AU11">
        <v>0</v>
      </c>
      <c r="AV11">
        <v>0</v>
      </c>
      <c r="AW11" t="s">
        <v>704</v>
      </c>
      <c r="AX11" t="s">
        <v>1208</v>
      </c>
      <c r="AY11" t="s">
        <v>293</v>
      </c>
      <c r="AZ11" t="s">
        <v>354</v>
      </c>
      <c r="BA11" t="s">
        <v>354</v>
      </c>
      <c r="BB11" t="s">
        <v>300</v>
      </c>
      <c r="BC11" t="s">
        <v>292</v>
      </c>
      <c r="BD11" t="s">
        <v>293</v>
      </c>
      <c r="BE11" t="s">
        <v>292</v>
      </c>
      <c r="BF11" t="s">
        <v>293</v>
      </c>
      <c r="BG11" t="s">
        <v>293</v>
      </c>
      <c r="BH11" t="s">
        <v>302</v>
      </c>
      <c r="BI11" t="s">
        <v>302</v>
      </c>
      <c r="BJ11" t="s">
        <v>357</v>
      </c>
      <c r="BK11" t="s">
        <v>293</v>
      </c>
      <c r="BL11" t="s">
        <v>293</v>
      </c>
      <c r="BM11" t="s">
        <v>297</v>
      </c>
      <c r="BN11" t="s">
        <v>298</v>
      </c>
      <c r="BO11" t="s">
        <v>293</v>
      </c>
      <c r="BP11" t="s">
        <v>292</v>
      </c>
      <c r="BQ11" t="s">
        <v>293</v>
      </c>
      <c r="BR11" t="s">
        <v>293</v>
      </c>
      <c r="BS11" t="s">
        <v>364</v>
      </c>
      <c r="BT11" t="s">
        <v>304</v>
      </c>
      <c r="BU11" t="s">
        <v>371</v>
      </c>
      <c r="BV11" t="s">
        <v>371</v>
      </c>
      <c r="BW11" t="s">
        <v>2454</v>
      </c>
      <c r="BX11" t="str">
        <f>IF(J11="win",VLOOKUP(B11,ColorScheme!$A$2:$I$32,4,0),VLOOKUP(B11,ColorScheme!$A$2:$I$32,5,0))</f>
        <v>#7e1e9c50</v>
      </c>
    </row>
    <row r="12" spans="1:76" x14ac:dyDescent="0.3">
      <c r="A12" t="s">
        <v>43</v>
      </c>
      <c r="B12" t="s">
        <v>50</v>
      </c>
      <c r="C12" t="s">
        <v>24</v>
      </c>
      <c r="D12" t="s">
        <v>29</v>
      </c>
      <c r="E12" t="s">
        <v>714</v>
      </c>
      <c r="F12" t="b">
        <v>1</v>
      </c>
      <c r="G12">
        <v>100</v>
      </c>
      <c r="H12">
        <v>1</v>
      </c>
      <c r="I12">
        <v>13608</v>
      </c>
      <c r="J12" s="61" t="s">
        <v>18</v>
      </c>
      <c r="K12" s="16" t="s">
        <v>272</v>
      </c>
      <c r="L12" s="16">
        <v>2</v>
      </c>
      <c r="M12" s="16" t="s">
        <v>277</v>
      </c>
      <c r="N12" s="16" t="s">
        <v>335</v>
      </c>
      <c r="O12" s="15" t="s">
        <v>282</v>
      </c>
      <c r="P12" t="s">
        <v>371</v>
      </c>
      <c r="Q12" t="s">
        <v>371</v>
      </c>
      <c r="R12" s="17" t="s">
        <v>371</v>
      </c>
      <c r="S12" s="17">
        <v>0</v>
      </c>
      <c r="T12" s="17">
        <v>1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 t="s">
        <v>704</v>
      </c>
      <c r="AD12" s="16" t="s">
        <v>341</v>
      </c>
      <c r="AE12" s="16" t="s">
        <v>342</v>
      </c>
      <c r="AF12" s="15" t="s">
        <v>340</v>
      </c>
      <c r="AG12" s="15" t="s">
        <v>344</v>
      </c>
      <c r="AH12" s="17" t="s">
        <v>371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704</v>
      </c>
      <c r="AR12" t="s">
        <v>349</v>
      </c>
      <c r="AS12" t="s">
        <v>349</v>
      </c>
      <c r="AT12">
        <v>1</v>
      </c>
      <c r="AU12">
        <v>0</v>
      </c>
      <c r="AV12">
        <v>0</v>
      </c>
      <c r="AW12" t="s">
        <v>704</v>
      </c>
      <c r="AX12" t="s">
        <v>1208</v>
      </c>
      <c r="AY12" t="s">
        <v>293</v>
      </c>
      <c r="AZ12" t="s">
        <v>354</v>
      </c>
      <c r="BA12" t="s">
        <v>354</v>
      </c>
      <c r="BB12" t="s">
        <v>300</v>
      </c>
      <c r="BC12" t="s">
        <v>292</v>
      </c>
      <c r="BD12" t="s">
        <v>293</v>
      </c>
      <c r="BE12" t="s">
        <v>292</v>
      </c>
      <c r="BF12" t="s">
        <v>293</v>
      </c>
      <c r="BG12" t="s">
        <v>293</v>
      </c>
      <c r="BH12" t="s">
        <v>302</v>
      </c>
      <c r="BI12" t="s">
        <v>302</v>
      </c>
      <c r="BJ12" t="s">
        <v>357</v>
      </c>
      <c r="BK12" t="s">
        <v>293</v>
      </c>
      <c r="BL12" t="s">
        <v>293</v>
      </c>
      <c r="BM12" t="s">
        <v>297</v>
      </c>
      <c r="BN12" t="s">
        <v>298</v>
      </c>
      <c r="BO12" t="s">
        <v>293</v>
      </c>
      <c r="BP12" t="s">
        <v>292</v>
      </c>
      <c r="BQ12" t="s">
        <v>293</v>
      </c>
      <c r="BR12" t="s">
        <v>293</v>
      </c>
      <c r="BS12" t="s">
        <v>364</v>
      </c>
      <c r="BT12" t="s">
        <v>304</v>
      </c>
      <c r="BU12" t="s">
        <v>371</v>
      </c>
      <c r="BV12" t="s">
        <v>371</v>
      </c>
      <c r="BW12" t="s">
        <v>2455</v>
      </c>
      <c r="BX12" t="str">
        <f>IF(J12="win",VLOOKUP(B12,ColorScheme!$A$2:$I$32,4,0),VLOOKUP(B12,ColorScheme!$A$2:$I$32,5,0))</f>
        <v>#7e1e9c50</v>
      </c>
    </row>
    <row r="13" spans="1:76" x14ac:dyDescent="0.3">
      <c r="A13" t="s">
        <v>43</v>
      </c>
      <c r="B13" t="s">
        <v>50</v>
      </c>
      <c r="C13" t="s">
        <v>21</v>
      </c>
      <c r="D13" t="s">
        <v>29</v>
      </c>
      <c r="E13" t="s">
        <v>715</v>
      </c>
      <c r="F13" t="b">
        <v>1</v>
      </c>
      <c r="G13">
        <v>88</v>
      </c>
      <c r="H13">
        <v>0</v>
      </c>
      <c r="I13">
        <v>9763</v>
      </c>
      <c r="J13" s="61" t="s">
        <v>13</v>
      </c>
      <c r="K13" s="16" t="s">
        <v>272</v>
      </c>
      <c r="L13" s="16">
        <v>3</v>
      </c>
      <c r="M13" s="16" t="s">
        <v>277</v>
      </c>
      <c r="N13" s="16" t="s">
        <v>335</v>
      </c>
      <c r="O13" s="15" t="s">
        <v>283</v>
      </c>
      <c r="P13" t="s">
        <v>282</v>
      </c>
      <c r="Q13" t="s">
        <v>371</v>
      </c>
      <c r="R13" s="17" t="s">
        <v>371</v>
      </c>
      <c r="S13" s="17">
        <v>0</v>
      </c>
      <c r="T13" s="17">
        <v>1</v>
      </c>
      <c r="U13" s="17">
        <v>1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 t="s">
        <v>704</v>
      </c>
      <c r="AD13" s="16" t="s">
        <v>341</v>
      </c>
      <c r="AE13" s="16" t="s">
        <v>342</v>
      </c>
      <c r="AF13" s="15" t="s">
        <v>343</v>
      </c>
      <c r="AG13" s="15" t="s">
        <v>344</v>
      </c>
      <c r="AH13" s="17" t="s">
        <v>371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704</v>
      </c>
      <c r="AR13" t="s">
        <v>349</v>
      </c>
      <c r="AS13" t="s">
        <v>349</v>
      </c>
      <c r="AT13">
        <v>1</v>
      </c>
      <c r="AU13">
        <v>0</v>
      </c>
      <c r="AV13">
        <v>0</v>
      </c>
      <c r="AW13" t="s">
        <v>704</v>
      </c>
      <c r="AX13" t="s">
        <v>1207</v>
      </c>
      <c r="AY13" t="s">
        <v>293</v>
      </c>
      <c r="AZ13" t="s">
        <v>353</v>
      </c>
      <c r="BA13" t="s">
        <v>297</v>
      </c>
      <c r="BB13" t="s">
        <v>300</v>
      </c>
      <c r="BC13" t="s">
        <v>292</v>
      </c>
      <c r="BD13" t="s">
        <v>293</v>
      </c>
      <c r="BE13" t="s">
        <v>292</v>
      </c>
      <c r="BF13" t="s">
        <v>293</v>
      </c>
      <c r="BG13" t="s">
        <v>293</v>
      </c>
      <c r="BH13" t="s">
        <v>302</v>
      </c>
      <c r="BI13" t="s">
        <v>302</v>
      </c>
      <c r="BJ13" t="s">
        <v>359</v>
      </c>
      <c r="BK13" t="s">
        <v>293</v>
      </c>
      <c r="BL13" t="s">
        <v>293</v>
      </c>
      <c r="BM13" t="s">
        <v>297</v>
      </c>
      <c r="BN13" t="s">
        <v>298</v>
      </c>
      <c r="BO13" t="s">
        <v>293</v>
      </c>
      <c r="BP13" t="s">
        <v>292</v>
      </c>
      <c r="BQ13" t="s">
        <v>293</v>
      </c>
      <c r="BR13" t="s">
        <v>293</v>
      </c>
      <c r="BS13" t="s">
        <v>364</v>
      </c>
      <c r="BT13" t="s">
        <v>366</v>
      </c>
      <c r="BU13" t="s">
        <v>371</v>
      </c>
      <c r="BV13" t="s">
        <v>371</v>
      </c>
      <c r="BW13" t="s">
        <v>2456</v>
      </c>
      <c r="BX13" t="str">
        <f>IF(J13="win",VLOOKUP(B13,ColorScheme!$A$2:$I$32,4,0),VLOOKUP(B13,ColorScheme!$A$2:$I$32,5,0))</f>
        <v>#7e1e9c</v>
      </c>
    </row>
    <row r="14" spans="1:76" x14ac:dyDescent="0.3">
      <c r="A14" t="s">
        <v>43</v>
      </c>
      <c r="B14" t="s">
        <v>50</v>
      </c>
      <c r="C14" t="s">
        <v>26</v>
      </c>
      <c r="D14" t="s">
        <v>29</v>
      </c>
      <c r="E14" t="s">
        <v>716</v>
      </c>
      <c r="F14" t="b">
        <v>1</v>
      </c>
      <c r="G14">
        <v>92.5</v>
      </c>
      <c r="H14">
        <v>0</v>
      </c>
      <c r="I14">
        <v>16613</v>
      </c>
      <c r="J14" s="61" t="s">
        <v>13</v>
      </c>
      <c r="K14" s="16" t="s">
        <v>272</v>
      </c>
      <c r="L14" s="16">
        <v>2</v>
      </c>
      <c r="M14" s="16" t="s">
        <v>333</v>
      </c>
      <c r="N14" s="16" t="s">
        <v>278</v>
      </c>
      <c r="O14" s="15" t="s">
        <v>282</v>
      </c>
      <c r="P14" t="s">
        <v>371</v>
      </c>
      <c r="Q14" t="s">
        <v>371</v>
      </c>
      <c r="R14" s="17" t="s">
        <v>371</v>
      </c>
      <c r="S14" s="17">
        <v>0</v>
      </c>
      <c r="T14" s="17">
        <v>1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 t="s">
        <v>704</v>
      </c>
      <c r="AD14" s="16" t="s">
        <v>341</v>
      </c>
      <c r="AE14" s="16" t="s">
        <v>342</v>
      </c>
      <c r="AF14" s="15" t="s">
        <v>340</v>
      </c>
      <c r="AG14" s="15" t="s">
        <v>344</v>
      </c>
      <c r="AH14" s="17" t="s">
        <v>371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704</v>
      </c>
      <c r="AR14" t="s">
        <v>349</v>
      </c>
      <c r="AS14" t="s">
        <v>349</v>
      </c>
      <c r="AT14">
        <v>1</v>
      </c>
      <c r="AU14">
        <v>0</v>
      </c>
      <c r="AV14">
        <v>0</v>
      </c>
      <c r="AW14" t="s">
        <v>704</v>
      </c>
      <c r="AX14" t="s">
        <v>1208</v>
      </c>
      <c r="AY14" t="s">
        <v>293</v>
      </c>
      <c r="AZ14" t="s">
        <v>354</v>
      </c>
      <c r="BA14" t="s">
        <v>354</v>
      </c>
      <c r="BB14" t="s">
        <v>300</v>
      </c>
      <c r="BC14" t="s">
        <v>292</v>
      </c>
      <c r="BD14" t="s">
        <v>293</v>
      </c>
      <c r="BE14" t="s">
        <v>292</v>
      </c>
      <c r="BF14" t="s">
        <v>292</v>
      </c>
      <c r="BG14" t="s">
        <v>293</v>
      </c>
      <c r="BH14" t="s">
        <v>302</v>
      </c>
      <c r="BI14" t="s">
        <v>359</v>
      </c>
      <c r="BJ14" t="s">
        <v>357</v>
      </c>
      <c r="BK14" t="s">
        <v>293</v>
      </c>
      <c r="BL14" t="s">
        <v>293</v>
      </c>
      <c r="BM14" t="s">
        <v>297</v>
      </c>
      <c r="BN14" t="s">
        <v>298</v>
      </c>
      <c r="BO14" t="s">
        <v>293</v>
      </c>
      <c r="BP14" t="s">
        <v>292</v>
      </c>
      <c r="BQ14" t="s">
        <v>293</v>
      </c>
      <c r="BR14" t="s">
        <v>293</v>
      </c>
      <c r="BS14" t="s">
        <v>364</v>
      </c>
      <c r="BT14" t="s">
        <v>366</v>
      </c>
      <c r="BU14" t="s">
        <v>371</v>
      </c>
      <c r="BV14" t="s">
        <v>371</v>
      </c>
      <c r="BW14" t="s">
        <v>2457</v>
      </c>
      <c r="BX14" t="str">
        <f>IF(J14="win",VLOOKUP(B14,ColorScheme!$A$2:$I$32,4,0),VLOOKUP(B14,ColorScheme!$A$2:$I$32,5,0))</f>
        <v>#7e1e9c</v>
      </c>
    </row>
    <row r="15" spans="1:76" x14ac:dyDescent="0.3">
      <c r="A15" t="s">
        <v>43</v>
      </c>
      <c r="B15" t="s">
        <v>50</v>
      </c>
      <c r="C15" t="s">
        <v>22</v>
      </c>
      <c r="D15" t="s">
        <v>29</v>
      </c>
      <c r="E15" t="s">
        <v>717</v>
      </c>
      <c r="F15" t="b">
        <v>1</v>
      </c>
      <c r="G15">
        <v>100</v>
      </c>
      <c r="H15">
        <v>1</v>
      </c>
      <c r="I15">
        <v>15206</v>
      </c>
      <c r="J15" s="61" t="s">
        <v>18</v>
      </c>
      <c r="K15" s="16" t="s">
        <v>272</v>
      </c>
      <c r="L15" s="16">
        <v>3</v>
      </c>
      <c r="M15" s="16" t="s">
        <v>277</v>
      </c>
      <c r="N15" s="16" t="s">
        <v>335</v>
      </c>
      <c r="O15" s="15" t="s">
        <v>283</v>
      </c>
      <c r="P15" t="s">
        <v>282</v>
      </c>
      <c r="Q15" t="s">
        <v>371</v>
      </c>
      <c r="R15" s="17" t="s">
        <v>371</v>
      </c>
      <c r="S15" s="17">
        <v>0</v>
      </c>
      <c r="T15" s="17">
        <v>1</v>
      </c>
      <c r="U15" s="17">
        <v>1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 t="s">
        <v>704</v>
      </c>
      <c r="AD15" s="16" t="s">
        <v>341</v>
      </c>
      <c r="AE15" s="16" t="s">
        <v>342</v>
      </c>
      <c r="AF15" s="15" t="s">
        <v>343</v>
      </c>
      <c r="AG15" s="15" t="s">
        <v>291</v>
      </c>
      <c r="AH15" s="17" t="s">
        <v>344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 t="s">
        <v>704</v>
      </c>
      <c r="AR15" t="s">
        <v>349</v>
      </c>
      <c r="AS15" t="s">
        <v>349</v>
      </c>
      <c r="AT15">
        <v>1</v>
      </c>
      <c r="AU15">
        <v>0</v>
      </c>
      <c r="AV15">
        <v>0</v>
      </c>
      <c r="AW15" t="s">
        <v>704</v>
      </c>
      <c r="AX15" t="s">
        <v>1211</v>
      </c>
      <c r="AY15" t="s">
        <v>293</v>
      </c>
      <c r="AZ15" t="s">
        <v>353</v>
      </c>
      <c r="BA15" t="s">
        <v>297</v>
      </c>
      <c r="BB15" t="s">
        <v>301</v>
      </c>
      <c r="BC15" t="s">
        <v>292</v>
      </c>
      <c r="BD15" t="s">
        <v>293</v>
      </c>
      <c r="BE15" t="s">
        <v>292</v>
      </c>
      <c r="BF15" t="s">
        <v>292</v>
      </c>
      <c r="BG15" t="s">
        <v>293</v>
      </c>
      <c r="BH15" t="s">
        <v>302</v>
      </c>
      <c r="BI15" t="s">
        <v>302</v>
      </c>
      <c r="BJ15" t="s">
        <v>359</v>
      </c>
      <c r="BK15" t="s">
        <v>293</v>
      </c>
      <c r="BL15" t="s">
        <v>293</v>
      </c>
      <c r="BM15" t="s">
        <v>296</v>
      </c>
      <c r="BN15" t="s">
        <v>298</v>
      </c>
      <c r="BO15" t="s">
        <v>293</v>
      </c>
      <c r="BP15" t="s">
        <v>292</v>
      </c>
      <c r="BQ15" t="s">
        <v>293</v>
      </c>
      <c r="BR15" t="s">
        <v>293</v>
      </c>
      <c r="BS15" t="s">
        <v>364</v>
      </c>
      <c r="BT15" t="s">
        <v>304</v>
      </c>
      <c r="BU15" t="s">
        <v>371</v>
      </c>
      <c r="BV15" t="s">
        <v>371</v>
      </c>
      <c r="BW15" t="s">
        <v>2458</v>
      </c>
      <c r="BX15" t="str">
        <f>IF(J15="win",VLOOKUP(B15,ColorScheme!$A$2:$I$32,4,0),VLOOKUP(B15,ColorScheme!$A$2:$I$32,5,0))</f>
        <v>#7e1e9c50</v>
      </c>
    </row>
    <row r="16" spans="1:76" x14ac:dyDescent="0.3">
      <c r="A16" t="s">
        <v>43</v>
      </c>
      <c r="B16" t="s">
        <v>50</v>
      </c>
      <c r="C16" t="s">
        <v>28</v>
      </c>
      <c r="D16" t="s">
        <v>29</v>
      </c>
      <c r="E16" t="s">
        <v>718</v>
      </c>
      <c r="F16" t="b">
        <v>1</v>
      </c>
      <c r="G16">
        <v>88.2</v>
      </c>
      <c r="H16">
        <v>0</v>
      </c>
      <c r="I16">
        <v>27467</v>
      </c>
      <c r="J16" s="61" t="s">
        <v>13</v>
      </c>
      <c r="K16" s="16" t="s">
        <v>272</v>
      </c>
      <c r="L16" s="16">
        <v>3</v>
      </c>
      <c r="M16" s="16" t="s">
        <v>277</v>
      </c>
      <c r="N16" s="16" t="s">
        <v>335</v>
      </c>
      <c r="O16" s="15" t="s">
        <v>283</v>
      </c>
      <c r="P16" t="s">
        <v>282</v>
      </c>
      <c r="Q16" t="s">
        <v>281</v>
      </c>
      <c r="R16" s="17" t="s">
        <v>371</v>
      </c>
      <c r="S16" s="17">
        <v>1</v>
      </c>
      <c r="T16" s="17">
        <v>1</v>
      </c>
      <c r="U16" s="17">
        <v>1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 t="s">
        <v>704</v>
      </c>
      <c r="AD16" s="16" t="s">
        <v>341</v>
      </c>
      <c r="AE16" s="16" t="s">
        <v>342</v>
      </c>
      <c r="AF16" s="15" t="s">
        <v>340</v>
      </c>
      <c r="AG16" s="15" t="s">
        <v>344</v>
      </c>
      <c r="AH16" s="17" t="s">
        <v>371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704</v>
      </c>
      <c r="AR16" t="s">
        <v>349</v>
      </c>
      <c r="AS16" t="s">
        <v>349</v>
      </c>
      <c r="AT16">
        <v>1</v>
      </c>
      <c r="AU16">
        <v>0</v>
      </c>
      <c r="AV16">
        <v>0</v>
      </c>
      <c r="AW16" t="s">
        <v>704</v>
      </c>
      <c r="AX16" t="s">
        <v>1212</v>
      </c>
      <c r="AY16" t="s">
        <v>292</v>
      </c>
      <c r="AZ16" t="s">
        <v>354</v>
      </c>
      <c r="BA16" t="s">
        <v>354</v>
      </c>
      <c r="BB16" t="s">
        <v>300</v>
      </c>
      <c r="BC16" t="s">
        <v>292</v>
      </c>
      <c r="BD16" t="s">
        <v>293</v>
      </c>
      <c r="BE16" t="s">
        <v>292</v>
      </c>
      <c r="BF16" t="s">
        <v>292</v>
      </c>
      <c r="BG16" t="s">
        <v>293</v>
      </c>
      <c r="BH16" t="s">
        <v>302</v>
      </c>
      <c r="BI16" t="s">
        <v>302</v>
      </c>
      <c r="BJ16" t="s">
        <v>357</v>
      </c>
      <c r="BK16" t="s">
        <v>293</v>
      </c>
      <c r="BL16" t="s">
        <v>293</v>
      </c>
      <c r="BM16" t="s">
        <v>296</v>
      </c>
      <c r="BN16" t="s">
        <v>298</v>
      </c>
      <c r="BO16" t="s">
        <v>293</v>
      </c>
      <c r="BP16" t="s">
        <v>292</v>
      </c>
      <c r="BQ16" t="s">
        <v>293</v>
      </c>
      <c r="BR16" t="s">
        <v>293</v>
      </c>
      <c r="BS16" t="s">
        <v>364</v>
      </c>
      <c r="BT16" t="s">
        <v>366</v>
      </c>
      <c r="BU16" t="s">
        <v>371</v>
      </c>
      <c r="BV16" t="s">
        <v>371</v>
      </c>
      <c r="BW16" t="s">
        <v>2459</v>
      </c>
      <c r="BX16" t="str">
        <f>IF(J16="win",VLOOKUP(B16,ColorScheme!$A$2:$I$32,4,0),VLOOKUP(B16,ColorScheme!$A$2:$I$32,5,0))</f>
        <v>#7e1e9c</v>
      </c>
    </row>
    <row r="17" spans="1:76" x14ac:dyDescent="0.3">
      <c r="A17" t="s">
        <v>45</v>
      </c>
      <c r="B17" t="s">
        <v>68</v>
      </c>
      <c r="C17" t="s">
        <v>15</v>
      </c>
      <c r="D17" t="s">
        <v>12</v>
      </c>
      <c r="E17" t="s">
        <v>719</v>
      </c>
      <c r="F17" t="b">
        <v>1</v>
      </c>
      <c r="G17">
        <v>100</v>
      </c>
      <c r="H17">
        <v>1</v>
      </c>
      <c r="I17">
        <v>11618</v>
      </c>
      <c r="J17" s="61" t="s">
        <v>18</v>
      </c>
      <c r="K17" s="16" t="s">
        <v>272</v>
      </c>
      <c r="L17" s="16">
        <v>3</v>
      </c>
      <c r="M17" s="16" t="s">
        <v>277</v>
      </c>
      <c r="N17" s="16" t="s">
        <v>335</v>
      </c>
      <c r="O17" s="15" t="s">
        <v>282</v>
      </c>
      <c r="P17" t="s">
        <v>371</v>
      </c>
      <c r="Q17" t="s">
        <v>371</v>
      </c>
      <c r="R17" s="17" t="s">
        <v>371</v>
      </c>
      <c r="S17" s="17">
        <v>0</v>
      </c>
      <c r="T17" s="17">
        <v>1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 t="s">
        <v>704</v>
      </c>
      <c r="AD17" s="16" t="s">
        <v>340</v>
      </c>
      <c r="AE17" s="16" t="s">
        <v>342</v>
      </c>
      <c r="AF17" s="15" t="s">
        <v>343</v>
      </c>
      <c r="AG17" s="15" t="s">
        <v>344</v>
      </c>
      <c r="AH17" s="17" t="s">
        <v>291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 t="s">
        <v>704</v>
      </c>
      <c r="AR17" t="s">
        <v>349</v>
      </c>
      <c r="AS17" t="s">
        <v>349</v>
      </c>
      <c r="AT17">
        <v>1</v>
      </c>
      <c r="AU17">
        <v>0</v>
      </c>
      <c r="AV17">
        <v>0</v>
      </c>
      <c r="AW17" t="s">
        <v>704</v>
      </c>
      <c r="AX17" t="s">
        <v>1213</v>
      </c>
      <c r="AY17" t="s">
        <v>293</v>
      </c>
      <c r="AZ17" t="s">
        <v>352</v>
      </c>
      <c r="BA17" t="s">
        <v>296</v>
      </c>
      <c r="BB17" t="s">
        <v>300</v>
      </c>
      <c r="BC17" t="s">
        <v>292</v>
      </c>
      <c r="BD17" t="s">
        <v>293</v>
      </c>
      <c r="BE17" t="s">
        <v>292</v>
      </c>
      <c r="BF17" t="s">
        <v>292</v>
      </c>
      <c r="BG17" t="s">
        <v>293</v>
      </c>
      <c r="BH17" t="s">
        <v>302</v>
      </c>
      <c r="BI17" t="s">
        <v>302</v>
      </c>
      <c r="BJ17" t="s">
        <v>359</v>
      </c>
      <c r="BK17" t="s">
        <v>293</v>
      </c>
      <c r="BL17" t="s">
        <v>293</v>
      </c>
      <c r="BM17" t="s">
        <v>296</v>
      </c>
      <c r="BN17" t="s">
        <v>298</v>
      </c>
      <c r="BO17" t="s">
        <v>293</v>
      </c>
      <c r="BP17" t="s">
        <v>292</v>
      </c>
      <c r="BQ17" t="s">
        <v>363</v>
      </c>
      <c r="BR17" t="s">
        <v>293</v>
      </c>
      <c r="BS17" t="s">
        <v>364</v>
      </c>
      <c r="BT17" t="s">
        <v>304</v>
      </c>
      <c r="BU17" t="s">
        <v>371</v>
      </c>
      <c r="BV17" t="s">
        <v>371</v>
      </c>
      <c r="BW17" t="s">
        <v>2460</v>
      </c>
      <c r="BX17" t="str">
        <f>IF(J17="win",VLOOKUP(B17,ColorScheme!$A$2:$I$32,4,0),VLOOKUP(B17,ColorScheme!$A$2:$I$32,5,0))</f>
        <v>#15b01a50</v>
      </c>
    </row>
    <row r="18" spans="1:76" x14ac:dyDescent="0.3">
      <c r="A18" t="s">
        <v>45</v>
      </c>
      <c r="B18" t="s">
        <v>68</v>
      </c>
      <c r="C18" t="s">
        <v>14</v>
      </c>
      <c r="D18" t="s">
        <v>12</v>
      </c>
      <c r="E18" t="s">
        <v>720</v>
      </c>
      <c r="F18" t="b">
        <v>1</v>
      </c>
      <c r="G18">
        <v>91</v>
      </c>
      <c r="H18">
        <v>0</v>
      </c>
      <c r="I18">
        <v>14925</v>
      </c>
      <c r="J18" s="61" t="s">
        <v>13</v>
      </c>
      <c r="K18" s="16" t="s">
        <v>272</v>
      </c>
      <c r="L18" s="16">
        <v>3</v>
      </c>
      <c r="M18" s="16" t="s">
        <v>277</v>
      </c>
      <c r="N18" s="16" t="s">
        <v>335</v>
      </c>
      <c r="O18" s="15" t="s">
        <v>281</v>
      </c>
      <c r="P18" t="s">
        <v>282</v>
      </c>
      <c r="Q18" t="s">
        <v>371</v>
      </c>
      <c r="R18" s="17" t="s">
        <v>371</v>
      </c>
      <c r="S18" s="17">
        <v>1</v>
      </c>
      <c r="T18" s="17">
        <v>1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 t="s">
        <v>704</v>
      </c>
      <c r="AD18" s="16" t="s">
        <v>341</v>
      </c>
      <c r="AE18" s="16" t="s">
        <v>340</v>
      </c>
      <c r="AF18" s="15" t="s">
        <v>343</v>
      </c>
      <c r="AG18" s="15" t="s">
        <v>344</v>
      </c>
      <c r="AH18" s="17" t="s">
        <v>346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 t="s">
        <v>704</v>
      </c>
      <c r="AR18" t="s">
        <v>349</v>
      </c>
      <c r="AS18" t="s">
        <v>349</v>
      </c>
      <c r="AT18">
        <v>1</v>
      </c>
      <c r="AU18">
        <v>0</v>
      </c>
      <c r="AV18">
        <v>0</v>
      </c>
      <c r="AW18" t="s">
        <v>704</v>
      </c>
      <c r="AX18" t="s">
        <v>1214</v>
      </c>
      <c r="AY18" t="s">
        <v>293</v>
      </c>
      <c r="AZ18" t="s">
        <v>353</v>
      </c>
      <c r="BA18" t="s">
        <v>296</v>
      </c>
      <c r="BB18" t="s">
        <v>300</v>
      </c>
      <c r="BC18" t="s">
        <v>293</v>
      </c>
      <c r="BD18" t="s">
        <v>292</v>
      </c>
      <c r="BE18" t="s">
        <v>292</v>
      </c>
      <c r="BF18" t="s">
        <v>292</v>
      </c>
      <c r="BG18" t="s">
        <v>293</v>
      </c>
      <c r="BH18" t="s">
        <v>302</v>
      </c>
      <c r="BI18" t="s">
        <v>302</v>
      </c>
      <c r="BJ18" t="s">
        <v>359</v>
      </c>
      <c r="BK18" t="s">
        <v>293</v>
      </c>
      <c r="BL18" t="s">
        <v>293</v>
      </c>
      <c r="BM18" t="s">
        <v>297</v>
      </c>
      <c r="BN18" t="s">
        <v>356</v>
      </c>
      <c r="BO18" t="s">
        <v>293</v>
      </c>
      <c r="BP18" t="s">
        <v>292</v>
      </c>
      <c r="BQ18" t="s">
        <v>293</v>
      </c>
      <c r="BR18" t="s">
        <v>293</v>
      </c>
      <c r="BS18" t="s">
        <v>364</v>
      </c>
      <c r="BT18" t="s">
        <v>366</v>
      </c>
      <c r="BU18" t="s">
        <v>371</v>
      </c>
      <c r="BV18" t="s">
        <v>371</v>
      </c>
      <c r="BW18" t="s">
        <v>2461</v>
      </c>
      <c r="BX18" t="str">
        <f>IF(J18="win",VLOOKUP(B18,ColorScheme!$A$2:$I$32,4,0),VLOOKUP(B18,ColorScheme!$A$2:$I$32,5,0))</f>
        <v>#15b01a</v>
      </c>
    </row>
    <row r="19" spans="1:76" x14ac:dyDescent="0.3">
      <c r="A19" t="s">
        <v>45</v>
      </c>
      <c r="B19" t="s">
        <v>68</v>
      </c>
      <c r="C19" t="s">
        <v>11</v>
      </c>
      <c r="D19" t="s">
        <v>12</v>
      </c>
      <c r="E19" t="s">
        <v>721</v>
      </c>
      <c r="F19" t="b">
        <v>1</v>
      </c>
      <c r="G19">
        <v>100</v>
      </c>
      <c r="H19">
        <v>1</v>
      </c>
      <c r="I19">
        <v>11946</v>
      </c>
      <c r="J19" s="61" t="s">
        <v>13</v>
      </c>
      <c r="K19" s="16" t="s">
        <v>272</v>
      </c>
      <c r="L19" s="16">
        <v>3</v>
      </c>
      <c r="M19" s="16" t="s">
        <v>277</v>
      </c>
      <c r="N19" s="16" t="s">
        <v>335</v>
      </c>
      <c r="O19" s="15" t="s">
        <v>281</v>
      </c>
      <c r="P19" t="s">
        <v>282</v>
      </c>
      <c r="Q19" t="s">
        <v>371</v>
      </c>
      <c r="R19" s="17" t="s">
        <v>371</v>
      </c>
      <c r="S19" s="17">
        <v>1</v>
      </c>
      <c r="T19" s="17">
        <v>1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 t="s">
        <v>704</v>
      </c>
      <c r="AD19" s="16" t="s">
        <v>341</v>
      </c>
      <c r="AE19" s="16" t="s">
        <v>340</v>
      </c>
      <c r="AF19" s="15" t="s">
        <v>343</v>
      </c>
      <c r="AG19" s="15" t="s">
        <v>344</v>
      </c>
      <c r="AH19" s="17" t="s">
        <v>346</v>
      </c>
      <c r="AI19">
        <v>1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 t="s">
        <v>704</v>
      </c>
      <c r="AR19" t="s">
        <v>349</v>
      </c>
      <c r="AS19" t="s">
        <v>349</v>
      </c>
      <c r="AT19">
        <v>1</v>
      </c>
      <c r="AU19">
        <v>0</v>
      </c>
      <c r="AV19">
        <v>0</v>
      </c>
      <c r="AW19" t="s">
        <v>704</v>
      </c>
      <c r="AX19" t="s">
        <v>1214</v>
      </c>
      <c r="AY19" t="s">
        <v>293</v>
      </c>
      <c r="AZ19" t="s">
        <v>353</v>
      </c>
      <c r="BA19" t="s">
        <v>296</v>
      </c>
      <c r="BB19" t="s">
        <v>300</v>
      </c>
      <c r="BC19" t="s">
        <v>292</v>
      </c>
      <c r="BD19" t="s">
        <v>293</v>
      </c>
      <c r="BE19" t="s">
        <v>292</v>
      </c>
      <c r="BF19" t="s">
        <v>292</v>
      </c>
      <c r="BG19" t="s">
        <v>293</v>
      </c>
      <c r="BH19" t="s">
        <v>302</v>
      </c>
      <c r="BI19" t="s">
        <v>302</v>
      </c>
      <c r="BJ19" t="s">
        <v>359</v>
      </c>
      <c r="BK19" t="s">
        <v>293</v>
      </c>
      <c r="BL19" t="s">
        <v>293</v>
      </c>
      <c r="BM19" t="s">
        <v>297</v>
      </c>
      <c r="BN19" t="s">
        <v>298</v>
      </c>
      <c r="BO19" t="s">
        <v>293</v>
      </c>
      <c r="BP19" t="s">
        <v>292</v>
      </c>
      <c r="BQ19" t="s">
        <v>293</v>
      </c>
      <c r="BR19" t="s">
        <v>293</v>
      </c>
      <c r="BS19" t="s">
        <v>364</v>
      </c>
      <c r="BT19" t="s">
        <v>366</v>
      </c>
      <c r="BU19" t="s">
        <v>371</v>
      </c>
      <c r="BV19" t="s">
        <v>371</v>
      </c>
      <c r="BW19" t="s">
        <v>2462</v>
      </c>
      <c r="BX19" t="str">
        <f>IF(J19="win",VLOOKUP(B19,ColorScheme!$A$2:$I$32,4,0),VLOOKUP(B19,ColorScheme!$A$2:$I$32,5,0))</f>
        <v>#15b01a</v>
      </c>
    </row>
    <row r="20" spans="1:76" x14ac:dyDescent="0.3">
      <c r="A20" t="s">
        <v>45</v>
      </c>
      <c r="B20" t="s">
        <v>68</v>
      </c>
      <c r="C20" t="s">
        <v>17</v>
      </c>
      <c r="D20" t="s">
        <v>12</v>
      </c>
      <c r="E20" t="s">
        <v>722</v>
      </c>
      <c r="F20" t="b">
        <v>1</v>
      </c>
      <c r="G20">
        <v>83.3</v>
      </c>
      <c r="H20">
        <v>0</v>
      </c>
      <c r="I20">
        <v>14818</v>
      </c>
      <c r="J20" s="61" t="s">
        <v>13</v>
      </c>
      <c r="K20" s="16" t="s">
        <v>272</v>
      </c>
      <c r="L20" s="16">
        <v>3</v>
      </c>
      <c r="M20" s="16" t="s">
        <v>277</v>
      </c>
      <c r="N20" s="16" t="s">
        <v>335</v>
      </c>
      <c r="O20" s="15" t="s">
        <v>282</v>
      </c>
      <c r="P20" t="s">
        <v>371</v>
      </c>
      <c r="Q20" t="s">
        <v>371</v>
      </c>
      <c r="R20" s="17" t="s">
        <v>371</v>
      </c>
      <c r="S20" s="17">
        <v>0</v>
      </c>
      <c r="T20" s="17">
        <v>1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 t="s">
        <v>704</v>
      </c>
      <c r="AD20" s="16" t="s">
        <v>341</v>
      </c>
      <c r="AE20" s="16" t="s">
        <v>342</v>
      </c>
      <c r="AF20" s="15" t="s">
        <v>343</v>
      </c>
      <c r="AG20" s="15" t="s">
        <v>345</v>
      </c>
      <c r="AH20" s="17" t="s">
        <v>344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704</v>
      </c>
      <c r="AR20" t="s">
        <v>349</v>
      </c>
      <c r="AS20" t="s">
        <v>349</v>
      </c>
      <c r="AT20">
        <v>1</v>
      </c>
      <c r="AU20">
        <v>0</v>
      </c>
      <c r="AV20">
        <v>0</v>
      </c>
      <c r="AW20" t="s">
        <v>704</v>
      </c>
      <c r="AX20" t="s">
        <v>1215</v>
      </c>
      <c r="AY20" t="s">
        <v>293</v>
      </c>
      <c r="AZ20" t="s">
        <v>353</v>
      </c>
      <c r="BA20" t="s">
        <v>296</v>
      </c>
      <c r="BB20" t="s">
        <v>299</v>
      </c>
      <c r="BC20" t="s">
        <v>292</v>
      </c>
      <c r="BD20" t="s">
        <v>292</v>
      </c>
      <c r="BE20" t="s">
        <v>292</v>
      </c>
      <c r="BF20" t="s">
        <v>292</v>
      </c>
      <c r="BG20" t="s">
        <v>293</v>
      </c>
      <c r="BH20" t="s">
        <v>302</v>
      </c>
      <c r="BI20" t="s">
        <v>302</v>
      </c>
      <c r="BJ20" t="s">
        <v>359</v>
      </c>
      <c r="BK20" t="s">
        <v>293</v>
      </c>
      <c r="BL20" t="s">
        <v>293</v>
      </c>
      <c r="BM20" t="s">
        <v>297</v>
      </c>
      <c r="BN20" t="s">
        <v>298</v>
      </c>
      <c r="BO20" t="s">
        <v>293</v>
      </c>
      <c r="BP20" t="s">
        <v>292</v>
      </c>
      <c r="BQ20" t="s">
        <v>363</v>
      </c>
      <c r="BR20" t="s">
        <v>293</v>
      </c>
      <c r="BS20" t="s">
        <v>364</v>
      </c>
      <c r="BT20" t="s">
        <v>366</v>
      </c>
      <c r="BU20" t="s">
        <v>371</v>
      </c>
      <c r="BV20" t="s">
        <v>371</v>
      </c>
      <c r="BW20" t="s">
        <v>2463</v>
      </c>
      <c r="BX20" t="str">
        <f>IF(J20="win",VLOOKUP(B20,ColorScheme!$A$2:$I$32,4,0),VLOOKUP(B20,ColorScheme!$A$2:$I$32,5,0))</f>
        <v>#15b01a</v>
      </c>
    </row>
    <row r="21" spans="1:76" x14ac:dyDescent="0.3">
      <c r="A21" t="s">
        <v>45</v>
      </c>
      <c r="B21" t="s">
        <v>68</v>
      </c>
      <c r="C21" t="s">
        <v>16</v>
      </c>
      <c r="D21" t="s">
        <v>12</v>
      </c>
      <c r="E21" t="s">
        <v>723</v>
      </c>
      <c r="F21" t="b">
        <v>1</v>
      </c>
      <c r="G21">
        <v>100</v>
      </c>
      <c r="H21">
        <v>1</v>
      </c>
      <c r="I21">
        <v>15080</v>
      </c>
      <c r="J21" s="61" t="s">
        <v>18</v>
      </c>
      <c r="K21" s="16" t="s">
        <v>272</v>
      </c>
      <c r="L21" s="16">
        <v>3</v>
      </c>
      <c r="M21" s="16" t="s">
        <v>277</v>
      </c>
      <c r="N21" s="16" t="s">
        <v>335</v>
      </c>
      <c r="O21" s="15" t="s">
        <v>282</v>
      </c>
      <c r="P21" t="s">
        <v>371</v>
      </c>
      <c r="Q21" t="s">
        <v>371</v>
      </c>
      <c r="R21" s="17" t="s">
        <v>371</v>
      </c>
      <c r="S21" s="17">
        <v>0</v>
      </c>
      <c r="T21" s="17">
        <v>1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 t="s">
        <v>704</v>
      </c>
      <c r="AD21" s="16" t="s">
        <v>341</v>
      </c>
      <c r="AE21" s="16" t="s">
        <v>342</v>
      </c>
      <c r="AF21" s="15" t="s">
        <v>343</v>
      </c>
      <c r="AG21" s="15" t="s">
        <v>345</v>
      </c>
      <c r="AH21" s="17" t="s">
        <v>344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704</v>
      </c>
      <c r="AR21" t="s">
        <v>349</v>
      </c>
      <c r="AS21" t="s">
        <v>349</v>
      </c>
      <c r="AT21">
        <v>1</v>
      </c>
      <c r="AU21">
        <v>0</v>
      </c>
      <c r="AV21">
        <v>0</v>
      </c>
      <c r="AW21" t="s">
        <v>704</v>
      </c>
      <c r="AX21" t="s">
        <v>1215</v>
      </c>
      <c r="AY21" t="s">
        <v>293</v>
      </c>
      <c r="AZ21" t="s">
        <v>353</v>
      </c>
      <c r="BA21" t="s">
        <v>296</v>
      </c>
      <c r="BB21" t="s">
        <v>299</v>
      </c>
      <c r="BC21" t="s">
        <v>292</v>
      </c>
      <c r="BD21" t="s">
        <v>293</v>
      </c>
      <c r="BE21" t="s">
        <v>292</v>
      </c>
      <c r="BF21" t="s">
        <v>292</v>
      </c>
      <c r="BG21" t="s">
        <v>293</v>
      </c>
      <c r="BH21" t="s">
        <v>302</v>
      </c>
      <c r="BI21" t="s">
        <v>302</v>
      </c>
      <c r="BJ21" t="s">
        <v>359</v>
      </c>
      <c r="BK21" t="s">
        <v>293</v>
      </c>
      <c r="BL21" t="s">
        <v>293</v>
      </c>
      <c r="BM21" t="s">
        <v>297</v>
      </c>
      <c r="BN21" t="s">
        <v>298</v>
      </c>
      <c r="BO21" t="s">
        <v>293</v>
      </c>
      <c r="BP21" t="s">
        <v>292</v>
      </c>
      <c r="BQ21" t="s">
        <v>363</v>
      </c>
      <c r="BR21" t="s">
        <v>293</v>
      </c>
      <c r="BS21" t="s">
        <v>364</v>
      </c>
      <c r="BT21" t="s">
        <v>304</v>
      </c>
      <c r="BU21" t="s">
        <v>371</v>
      </c>
      <c r="BV21" t="s">
        <v>371</v>
      </c>
      <c r="BW21" t="s">
        <v>2464</v>
      </c>
      <c r="BX21" t="str">
        <f>IF(J21="win",VLOOKUP(B21,ColorScheme!$A$2:$I$32,4,0),VLOOKUP(B21,ColorScheme!$A$2:$I$32,5,0))</f>
        <v>#15b01a50</v>
      </c>
    </row>
    <row r="22" spans="1:76" x14ac:dyDescent="0.3">
      <c r="A22" t="s">
        <v>45</v>
      </c>
      <c r="B22" t="s">
        <v>68</v>
      </c>
      <c r="C22" t="s">
        <v>23</v>
      </c>
      <c r="D22" t="s">
        <v>29</v>
      </c>
      <c r="E22" t="s">
        <v>724</v>
      </c>
      <c r="F22" t="b">
        <v>1</v>
      </c>
      <c r="G22">
        <v>100</v>
      </c>
      <c r="H22">
        <v>1</v>
      </c>
      <c r="I22">
        <v>9025</v>
      </c>
      <c r="J22" s="61" t="s">
        <v>18</v>
      </c>
      <c r="K22" s="16" t="s">
        <v>272</v>
      </c>
      <c r="L22" s="16">
        <v>2</v>
      </c>
      <c r="M22" s="16" t="s">
        <v>277</v>
      </c>
      <c r="N22" s="16" t="s">
        <v>335</v>
      </c>
      <c r="O22" s="15" t="s">
        <v>282</v>
      </c>
      <c r="P22" t="s">
        <v>371</v>
      </c>
      <c r="Q22" t="s">
        <v>371</v>
      </c>
      <c r="R22" s="17" t="s">
        <v>371</v>
      </c>
      <c r="S22" s="17">
        <v>0</v>
      </c>
      <c r="T22" s="17">
        <v>1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 t="s">
        <v>704</v>
      </c>
      <c r="AD22" s="16" t="s">
        <v>340</v>
      </c>
      <c r="AE22" s="16" t="s">
        <v>342</v>
      </c>
      <c r="AF22" s="15" t="s">
        <v>340</v>
      </c>
      <c r="AG22" s="15" t="s">
        <v>344</v>
      </c>
      <c r="AH22" s="17" t="s">
        <v>371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704</v>
      </c>
      <c r="AR22" t="s">
        <v>349</v>
      </c>
      <c r="AS22" t="s">
        <v>349</v>
      </c>
      <c r="AT22">
        <v>1</v>
      </c>
      <c r="AU22">
        <v>0</v>
      </c>
      <c r="AV22">
        <v>0</v>
      </c>
      <c r="AW22" t="s">
        <v>704</v>
      </c>
      <c r="AX22" t="s">
        <v>1208</v>
      </c>
      <c r="AY22" t="s">
        <v>293</v>
      </c>
      <c r="AZ22" t="s">
        <v>354</v>
      </c>
      <c r="BA22" t="s">
        <v>354</v>
      </c>
      <c r="BB22" t="s">
        <v>300</v>
      </c>
      <c r="BC22" t="s">
        <v>292</v>
      </c>
      <c r="BD22" t="s">
        <v>293</v>
      </c>
      <c r="BE22" t="s">
        <v>292</v>
      </c>
      <c r="BF22" t="s">
        <v>292</v>
      </c>
      <c r="BG22" t="s">
        <v>293</v>
      </c>
      <c r="BH22" t="s">
        <v>302</v>
      </c>
      <c r="BI22" t="s">
        <v>302</v>
      </c>
      <c r="BJ22" t="s">
        <v>357</v>
      </c>
      <c r="BK22" t="s">
        <v>293</v>
      </c>
      <c r="BL22" t="s">
        <v>293</v>
      </c>
      <c r="BM22" t="s">
        <v>297</v>
      </c>
      <c r="BN22" t="s">
        <v>298</v>
      </c>
      <c r="BO22" t="s">
        <v>293</v>
      </c>
      <c r="BP22" t="s">
        <v>292</v>
      </c>
      <c r="BQ22" t="s">
        <v>293</v>
      </c>
      <c r="BR22" t="s">
        <v>293</v>
      </c>
      <c r="BS22" t="s">
        <v>364</v>
      </c>
      <c r="BT22" t="s">
        <v>304</v>
      </c>
      <c r="BU22" t="s">
        <v>371</v>
      </c>
      <c r="BV22" t="s">
        <v>371</v>
      </c>
      <c r="BW22" t="s">
        <v>2465</v>
      </c>
      <c r="BX22" t="str">
        <f>IF(J22="win",VLOOKUP(B22,ColorScheme!$A$2:$I$32,4,0),VLOOKUP(B22,ColorScheme!$A$2:$I$32,5,0))</f>
        <v>#15b01a50</v>
      </c>
    </row>
    <row r="23" spans="1:76" x14ac:dyDescent="0.3">
      <c r="A23" t="s">
        <v>45</v>
      </c>
      <c r="B23" t="s">
        <v>68</v>
      </c>
      <c r="C23" t="s">
        <v>25</v>
      </c>
      <c r="D23" t="s">
        <v>29</v>
      </c>
      <c r="E23" t="s">
        <v>725</v>
      </c>
      <c r="F23" t="b">
        <v>1</v>
      </c>
      <c r="G23">
        <v>54.9</v>
      </c>
      <c r="H23">
        <v>0</v>
      </c>
      <c r="I23">
        <v>12165</v>
      </c>
      <c r="J23" s="61" t="s">
        <v>13</v>
      </c>
      <c r="K23" s="16" t="s">
        <v>272</v>
      </c>
      <c r="L23" s="16">
        <v>3</v>
      </c>
      <c r="M23" s="16" t="s">
        <v>277</v>
      </c>
      <c r="N23" s="16" t="s">
        <v>335</v>
      </c>
      <c r="O23" s="15" t="s">
        <v>283</v>
      </c>
      <c r="P23" t="s">
        <v>282</v>
      </c>
      <c r="Q23" t="s">
        <v>371</v>
      </c>
      <c r="R23" s="17" t="s">
        <v>371</v>
      </c>
      <c r="S23" s="17">
        <v>0</v>
      </c>
      <c r="T23" s="17">
        <v>1</v>
      </c>
      <c r="U23" s="17">
        <v>1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 t="s">
        <v>704</v>
      </c>
      <c r="AD23" s="16" t="s">
        <v>341</v>
      </c>
      <c r="AE23" s="16" t="s">
        <v>340</v>
      </c>
      <c r="AF23" s="15" t="s">
        <v>343</v>
      </c>
      <c r="AG23" s="15" t="s">
        <v>344</v>
      </c>
      <c r="AH23" s="17" t="s">
        <v>371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704</v>
      </c>
      <c r="AR23" t="s">
        <v>349</v>
      </c>
      <c r="AS23" t="s">
        <v>349</v>
      </c>
      <c r="AT23">
        <v>1</v>
      </c>
      <c r="AU23">
        <v>0</v>
      </c>
      <c r="AV23">
        <v>0</v>
      </c>
      <c r="AW23" t="s">
        <v>704</v>
      </c>
      <c r="AX23" t="s">
        <v>1207</v>
      </c>
      <c r="AY23" t="s">
        <v>293</v>
      </c>
      <c r="AZ23" t="s">
        <v>353</v>
      </c>
      <c r="BA23" t="s">
        <v>296</v>
      </c>
      <c r="BB23" t="s">
        <v>300</v>
      </c>
      <c r="BC23" t="s">
        <v>292</v>
      </c>
      <c r="BD23" t="s">
        <v>293</v>
      </c>
      <c r="BE23" t="s">
        <v>292</v>
      </c>
      <c r="BF23" t="s">
        <v>292</v>
      </c>
      <c r="BG23" t="s">
        <v>293</v>
      </c>
      <c r="BH23" t="s">
        <v>302</v>
      </c>
      <c r="BI23" t="s">
        <v>302</v>
      </c>
      <c r="BJ23" t="s">
        <v>359</v>
      </c>
      <c r="BK23" t="s">
        <v>293</v>
      </c>
      <c r="BL23" t="s">
        <v>293</v>
      </c>
      <c r="BM23" t="s">
        <v>297</v>
      </c>
      <c r="BN23" t="s">
        <v>298</v>
      </c>
      <c r="BO23" t="s">
        <v>293</v>
      </c>
      <c r="BP23" t="s">
        <v>292</v>
      </c>
      <c r="BQ23" t="s">
        <v>293</v>
      </c>
      <c r="BR23" t="s">
        <v>293</v>
      </c>
      <c r="BS23" t="s">
        <v>364</v>
      </c>
      <c r="BT23" t="s">
        <v>366</v>
      </c>
      <c r="BU23" t="s">
        <v>371</v>
      </c>
      <c r="BV23" t="s">
        <v>371</v>
      </c>
      <c r="BW23" t="s">
        <v>2466</v>
      </c>
      <c r="BX23" t="str">
        <f>IF(J23="win",VLOOKUP(B23,ColorScheme!$A$2:$I$32,4,0),VLOOKUP(B23,ColorScheme!$A$2:$I$32,5,0))</f>
        <v>#15b01a</v>
      </c>
    </row>
    <row r="24" spans="1:76" x14ac:dyDescent="0.3">
      <c r="A24" t="s">
        <v>45</v>
      </c>
      <c r="B24" t="s">
        <v>68</v>
      </c>
      <c r="C24" t="s">
        <v>24</v>
      </c>
      <c r="D24" t="s">
        <v>29</v>
      </c>
      <c r="E24" t="s">
        <v>726</v>
      </c>
      <c r="F24" t="b">
        <v>1</v>
      </c>
      <c r="G24">
        <v>67.900000000000006</v>
      </c>
      <c r="H24">
        <v>0</v>
      </c>
      <c r="I24">
        <v>12060</v>
      </c>
      <c r="J24" s="61" t="s">
        <v>13</v>
      </c>
      <c r="K24" s="16" t="s">
        <v>272</v>
      </c>
      <c r="L24" s="16">
        <v>2</v>
      </c>
      <c r="M24" s="16" t="s">
        <v>277</v>
      </c>
      <c r="N24" s="16" t="s">
        <v>335</v>
      </c>
      <c r="O24" s="15" t="s">
        <v>282</v>
      </c>
      <c r="P24" t="s">
        <v>371</v>
      </c>
      <c r="Q24" t="s">
        <v>371</v>
      </c>
      <c r="R24" s="17" t="s">
        <v>371</v>
      </c>
      <c r="S24" s="17">
        <v>0</v>
      </c>
      <c r="T24" s="17">
        <v>1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 t="s">
        <v>704</v>
      </c>
      <c r="AD24" s="16" t="s">
        <v>340</v>
      </c>
      <c r="AE24" s="16" t="s">
        <v>342</v>
      </c>
      <c r="AF24" s="15" t="s">
        <v>340</v>
      </c>
      <c r="AG24" s="15" t="s">
        <v>344</v>
      </c>
      <c r="AH24" s="17" t="s">
        <v>371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704</v>
      </c>
      <c r="AR24" t="s">
        <v>349</v>
      </c>
      <c r="AS24" t="s">
        <v>349</v>
      </c>
      <c r="AT24">
        <v>1</v>
      </c>
      <c r="AU24">
        <v>0</v>
      </c>
      <c r="AV24">
        <v>0</v>
      </c>
      <c r="AW24" t="s">
        <v>704</v>
      </c>
      <c r="AX24" t="s">
        <v>1208</v>
      </c>
      <c r="AY24" t="s">
        <v>293</v>
      </c>
      <c r="AZ24" t="s">
        <v>354</v>
      </c>
      <c r="BA24" t="s">
        <v>354</v>
      </c>
      <c r="BB24" t="s">
        <v>300</v>
      </c>
      <c r="BC24" t="s">
        <v>293</v>
      </c>
      <c r="BD24" t="s">
        <v>292</v>
      </c>
      <c r="BE24" t="s">
        <v>292</v>
      </c>
      <c r="BF24" t="s">
        <v>293</v>
      </c>
      <c r="BG24" t="s">
        <v>293</v>
      </c>
      <c r="BH24" t="s">
        <v>302</v>
      </c>
      <c r="BI24" t="s">
        <v>302</v>
      </c>
      <c r="BJ24" t="s">
        <v>357</v>
      </c>
      <c r="BK24" t="s">
        <v>293</v>
      </c>
      <c r="BL24" t="s">
        <v>293</v>
      </c>
      <c r="BM24" t="s">
        <v>297</v>
      </c>
      <c r="BN24" t="s">
        <v>356</v>
      </c>
      <c r="BO24" t="s">
        <v>293</v>
      </c>
      <c r="BP24" t="s">
        <v>292</v>
      </c>
      <c r="BQ24" t="s">
        <v>293</v>
      </c>
      <c r="BR24" t="s">
        <v>293</v>
      </c>
      <c r="BS24" t="s">
        <v>364</v>
      </c>
      <c r="BT24" t="s">
        <v>366</v>
      </c>
      <c r="BU24" t="s">
        <v>371</v>
      </c>
      <c r="BV24" t="s">
        <v>371</v>
      </c>
      <c r="BW24" t="s">
        <v>2467</v>
      </c>
      <c r="BX24" t="str">
        <f>IF(J24="win",VLOOKUP(B24,ColorScheme!$A$2:$I$32,4,0),VLOOKUP(B24,ColorScheme!$A$2:$I$32,5,0))</f>
        <v>#15b01a</v>
      </c>
    </row>
    <row r="25" spans="1:76" x14ac:dyDescent="0.3">
      <c r="A25" t="s">
        <v>45</v>
      </c>
      <c r="B25" t="s">
        <v>68</v>
      </c>
      <c r="C25" t="s">
        <v>21</v>
      </c>
      <c r="D25" t="s">
        <v>29</v>
      </c>
      <c r="E25" t="s">
        <v>727</v>
      </c>
      <c r="F25" t="b">
        <v>1</v>
      </c>
      <c r="G25">
        <v>92.6</v>
      </c>
      <c r="H25">
        <v>0</v>
      </c>
      <c r="I25">
        <v>10426</v>
      </c>
      <c r="J25" s="61" t="s">
        <v>13</v>
      </c>
      <c r="K25" s="16" t="s">
        <v>272</v>
      </c>
      <c r="L25" s="16">
        <v>3</v>
      </c>
      <c r="M25" s="16" t="s">
        <v>277</v>
      </c>
      <c r="N25" s="16" t="s">
        <v>335</v>
      </c>
      <c r="O25" s="15" t="s">
        <v>281</v>
      </c>
      <c r="P25" t="s">
        <v>273</v>
      </c>
      <c r="Q25" t="s">
        <v>282</v>
      </c>
      <c r="R25" s="17" t="s">
        <v>371</v>
      </c>
      <c r="S25" s="17">
        <v>1</v>
      </c>
      <c r="T25" s="17">
        <v>1</v>
      </c>
      <c r="U25" s="17">
        <v>0</v>
      </c>
      <c r="V25" s="17">
        <v>0</v>
      </c>
      <c r="W25" s="17">
        <v>1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 t="s">
        <v>704</v>
      </c>
      <c r="AD25" s="16" t="s">
        <v>340</v>
      </c>
      <c r="AE25" s="16" t="s">
        <v>342</v>
      </c>
      <c r="AF25" s="15" t="s">
        <v>343</v>
      </c>
      <c r="AG25" s="15" t="s">
        <v>344</v>
      </c>
      <c r="AH25" s="17" t="s">
        <v>371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704</v>
      </c>
      <c r="AR25" t="s">
        <v>349</v>
      </c>
      <c r="AS25" t="s">
        <v>349</v>
      </c>
      <c r="AT25">
        <v>1</v>
      </c>
      <c r="AU25">
        <v>0</v>
      </c>
      <c r="AV25">
        <v>0</v>
      </c>
      <c r="AW25" t="s">
        <v>704</v>
      </c>
      <c r="AX25" t="s">
        <v>1209</v>
      </c>
      <c r="AY25" t="s">
        <v>293</v>
      </c>
      <c r="AZ25" t="s">
        <v>353</v>
      </c>
      <c r="BA25" t="s">
        <v>355</v>
      </c>
      <c r="BB25" t="s">
        <v>300</v>
      </c>
      <c r="BC25" t="s">
        <v>292</v>
      </c>
      <c r="BD25" t="s">
        <v>293</v>
      </c>
      <c r="BE25" t="s">
        <v>292</v>
      </c>
      <c r="BF25" t="s">
        <v>292</v>
      </c>
      <c r="BG25" t="s">
        <v>293</v>
      </c>
      <c r="BH25" t="s">
        <v>302</v>
      </c>
      <c r="BI25" t="s">
        <v>302</v>
      </c>
      <c r="BJ25" t="s">
        <v>359</v>
      </c>
      <c r="BK25" t="s">
        <v>293</v>
      </c>
      <c r="BL25" t="s">
        <v>293</v>
      </c>
      <c r="BM25" t="s">
        <v>297</v>
      </c>
      <c r="BN25" t="s">
        <v>298</v>
      </c>
      <c r="BO25" t="s">
        <v>293</v>
      </c>
      <c r="BP25" t="s">
        <v>292</v>
      </c>
      <c r="BQ25" t="s">
        <v>293</v>
      </c>
      <c r="BR25" t="s">
        <v>293</v>
      </c>
      <c r="BS25" t="s">
        <v>364</v>
      </c>
      <c r="BT25" t="s">
        <v>366</v>
      </c>
      <c r="BU25" t="s">
        <v>371</v>
      </c>
      <c r="BV25" t="s">
        <v>371</v>
      </c>
      <c r="BW25" t="s">
        <v>2468</v>
      </c>
      <c r="BX25" t="str">
        <f>IF(J25="win",VLOOKUP(B25,ColorScheme!$A$2:$I$32,4,0),VLOOKUP(B25,ColorScheme!$A$2:$I$32,5,0))</f>
        <v>#15b01a</v>
      </c>
    </row>
    <row r="26" spans="1:76" x14ac:dyDescent="0.3">
      <c r="A26" t="s">
        <v>45</v>
      </c>
      <c r="B26" t="s">
        <v>68</v>
      </c>
      <c r="C26" t="s">
        <v>19</v>
      </c>
      <c r="D26" t="s">
        <v>29</v>
      </c>
      <c r="E26" t="s">
        <v>728</v>
      </c>
      <c r="F26" t="b">
        <v>1</v>
      </c>
      <c r="G26">
        <v>71.8</v>
      </c>
      <c r="H26">
        <v>0</v>
      </c>
      <c r="I26">
        <v>14160</v>
      </c>
      <c r="J26" s="61" t="s">
        <v>13</v>
      </c>
      <c r="K26" s="16" t="s">
        <v>272</v>
      </c>
      <c r="L26" s="16">
        <v>3</v>
      </c>
      <c r="M26" s="16" t="s">
        <v>277</v>
      </c>
      <c r="N26" s="16" t="s">
        <v>335</v>
      </c>
      <c r="O26" s="15" t="s">
        <v>281</v>
      </c>
      <c r="P26" t="s">
        <v>283</v>
      </c>
      <c r="Q26" t="s">
        <v>282</v>
      </c>
      <c r="R26" s="17" t="s">
        <v>371</v>
      </c>
      <c r="S26" s="17">
        <v>1</v>
      </c>
      <c r="T26" s="17">
        <v>1</v>
      </c>
      <c r="U26" s="17">
        <v>1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 t="s">
        <v>704</v>
      </c>
      <c r="AD26" s="16" t="s">
        <v>341</v>
      </c>
      <c r="AE26" s="16" t="s">
        <v>342</v>
      </c>
      <c r="AF26" s="15" t="s">
        <v>343</v>
      </c>
      <c r="AG26" s="15" t="s">
        <v>344</v>
      </c>
      <c r="AH26" s="17" t="s">
        <v>371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704</v>
      </c>
      <c r="AR26" t="s">
        <v>349</v>
      </c>
      <c r="AS26" t="s">
        <v>349</v>
      </c>
      <c r="AT26">
        <v>1</v>
      </c>
      <c r="AU26">
        <v>0</v>
      </c>
      <c r="AV26">
        <v>0</v>
      </c>
      <c r="AW26" t="s">
        <v>704</v>
      </c>
      <c r="AX26" t="s">
        <v>1212</v>
      </c>
      <c r="AY26" t="s">
        <v>293</v>
      </c>
      <c r="AZ26" t="s">
        <v>353</v>
      </c>
      <c r="BA26" t="s">
        <v>355</v>
      </c>
      <c r="BB26" t="s">
        <v>299</v>
      </c>
      <c r="BC26" t="s">
        <v>292</v>
      </c>
      <c r="BD26" t="s">
        <v>292</v>
      </c>
      <c r="BE26" t="s">
        <v>292</v>
      </c>
      <c r="BF26" t="s">
        <v>292</v>
      </c>
      <c r="BG26" t="s">
        <v>293</v>
      </c>
      <c r="BH26" t="s">
        <v>302</v>
      </c>
      <c r="BI26" t="s">
        <v>302</v>
      </c>
      <c r="BJ26" t="s">
        <v>359</v>
      </c>
      <c r="BK26" t="s">
        <v>293</v>
      </c>
      <c r="BL26" t="s">
        <v>293</v>
      </c>
      <c r="BM26" t="s">
        <v>297</v>
      </c>
      <c r="BN26" t="s">
        <v>298</v>
      </c>
      <c r="BO26" t="s">
        <v>293</v>
      </c>
      <c r="BP26" t="s">
        <v>292</v>
      </c>
      <c r="BQ26" t="s">
        <v>293</v>
      </c>
      <c r="BR26" t="s">
        <v>293</v>
      </c>
      <c r="BS26" t="s">
        <v>364</v>
      </c>
      <c r="BT26" t="s">
        <v>366</v>
      </c>
      <c r="BU26" t="s">
        <v>371</v>
      </c>
      <c r="BV26" t="s">
        <v>371</v>
      </c>
      <c r="BW26" t="s">
        <v>2469</v>
      </c>
      <c r="BX26" t="str">
        <f>IF(J26="win",VLOOKUP(B26,ColorScheme!$A$2:$I$32,4,0),VLOOKUP(B26,ColorScheme!$A$2:$I$32,5,0))</f>
        <v>#15b01a</v>
      </c>
    </row>
    <row r="27" spans="1:76" x14ac:dyDescent="0.3">
      <c r="A27" t="s">
        <v>45</v>
      </c>
      <c r="B27" t="s">
        <v>68</v>
      </c>
      <c r="C27" t="s">
        <v>20</v>
      </c>
      <c r="D27" t="s">
        <v>29</v>
      </c>
      <c r="E27" t="s">
        <v>729</v>
      </c>
      <c r="F27" t="b">
        <v>1</v>
      </c>
      <c r="G27">
        <v>100</v>
      </c>
      <c r="H27">
        <v>1</v>
      </c>
      <c r="I27">
        <v>9939</v>
      </c>
      <c r="J27" s="61" t="s">
        <v>13</v>
      </c>
      <c r="K27" s="16" t="s">
        <v>272</v>
      </c>
      <c r="L27" s="16">
        <v>3</v>
      </c>
      <c r="M27" s="16" t="s">
        <v>277</v>
      </c>
      <c r="N27" s="16" t="s">
        <v>335</v>
      </c>
      <c r="O27" s="15" t="s">
        <v>281</v>
      </c>
      <c r="P27" t="s">
        <v>273</v>
      </c>
      <c r="Q27" t="s">
        <v>282</v>
      </c>
      <c r="R27" s="17" t="s">
        <v>371</v>
      </c>
      <c r="S27" s="17">
        <v>1</v>
      </c>
      <c r="T27" s="17">
        <v>1</v>
      </c>
      <c r="U27" s="17">
        <v>0</v>
      </c>
      <c r="V27" s="17">
        <v>0</v>
      </c>
      <c r="W27" s="17">
        <v>1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 t="s">
        <v>704</v>
      </c>
      <c r="AD27" s="16" t="s">
        <v>340</v>
      </c>
      <c r="AE27" s="16" t="s">
        <v>342</v>
      </c>
      <c r="AF27" s="15" t="s">
        <v>343</v>
      </c>
      <c r="AG27" s="15" t="s">
        <v>344</v>
      </c>
      <c r="AH27" s="17" t="s">
        <v>371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704</v>
      </c>
      <c r="AR27" t="s">
        <v>349</v>
      </c>
      <c r="AS27" t="s">
        <v>349</v>
      </c>
      <c r="AT27">
        <v>1</v>
      </c>
      <c r="AU27">
        <v>0</v>
      </c>
      <c r="AV27">
        <v>0</v>
      </c>
      <c r="AW27" t="s">
        <v>704</v>
      </c>
      <c r="AX27" t="s">
        <v>1209</v>
      </c>
      <c r="AY27" t="s">
        <v>293</v>
      </c>
      <c r="AZ27" t="s">
        <v>353</v>
      </c>
      <c r="BA27" t="s">
        <v>355</v>
      </c>
      <c r="BB27" t="s">
        <v>300</v>
      </c>
      <c r="BC27" t="s">
        <v>292</v>
      </c>
      <c r="BD27" t="s">
        <v>293</v>
      </c>
      <c r="BE27" t="s">
        <v>292</v>
      </c>
      <c r="BF27" t="s">
        <v>293</v>
      </c>
      <c r="BG27" t="s">
        <v>293</v>
      </c>
      <c r="BH27" t="s">
        <v>302</v>
      </c>
      <c r="BI27" t="s">
        <v>302</v>
      </c>
      <c r="BJ27" t="s">
        <v>359</v>
      </c>
      <c r="BK27" t="s">
        <v>293</v>
      </c>
      <c r="BL27" t="s">
        <v>293</v>
      </c>
      <c r="BM27" t="s">
        <v>297</v>
      </c>
      <c r="BN27" t="s">
        <v>298</v>
      </c>
      <c r="BO27" t="s">
        <v>293</v>
      </c>
      <c r="BP27" t="s">
        <v>292</v>
      </c>
      <c r="BQ27" t="s">
        <v>293</v>
      </c>
      <c r="BR27" t="s">
        <v>293</v>
      </c>
      <c r="BS27" t="s">
        <v>364</v>
      </c>
      <c r="BT27" t="s">
        <v>366</v>
      </c>
      <c r="BU27" t="s">
        <v>371</v>
      </c>
      <c r="BV27" t="s">
        <v>371</v>
      </c>
      <c r="BW27" t="s">
        <v>2470</v>
      </c>
      <c r="BX27" t="str">
        <f>IF(J27="win",VLOOKUP(B27,ColorScheme!$A$2:$I$32,4,0),VLOOKUP(B27,ColorScheme!$A$2:$I$32,5,0))</f>
        <v>#15b01a</v>
      </c>
    </row>
    <row r="28" spans="1:76" x14ac:dyDescent="0.3">
      <c r="A28" t="s">
        <v>45</v>
      </c>
      <c r="B28" t="s">
        <v>68</v>
      </c>
      <c r="C28" t="s">
        <v>26</v>
      </c>
      <c r="D28" t="s">
        <v>29</v>
      </c>
      <c r="E28" t="s">
        <v>730</v>
      </c>
      <c r="F28" t="b">
        <v>1</v>
      </c>
      <c r="G28">
        <v>100</v>
      </c>
      <c r="H28">
        <v>1</v>
      </c>
      <c r="I28">
        <v>21200</v>
      </c>
      <c r="J28" s="61" t="s">
        <v>18</v>
      </c>
      <c r="K28" s="16" t="s">
        <v>272</v>
      </c>
      <c r="L28" s="16">
        <v>3</v>
      </c>
      <c r="M28" s="16" t="s">
        <v>277</v>
      </c>
      <c r="N28" s="16" t="s">
        <v>335</v>
      </c>
      <c r="O28" s="15" t="s">
        <v>283</v>
      </c>
      <c r="P28" t="s">
        <v>282</v>
      </c>
      <c r="Q28" t="s">
        <v>371</v>
      </c>
      <c r="R28" s="17" t="s">
        <v>371</v>
      </c>
      <c r="S28" s="17">
        <v>0</v>
      </c>
      <c r="T28" s="17">
        <v>1</v>
      </c>
      <c r="U28" s="17">
        <v>1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 t="s">
        <v>704</v>
      </c>
      <c r="AD28" s="16" t="s">
        <v>341</v>
      </c>
      <c r="AE28" s="16" t="s">
        <v>340</v>
      </c>
      <c r="AF28" s="15" t="s">
        <v>343</v>
      </c>
      <c r="AG28" s="15" t="s">
        <v>344</v>
      </c>
      <c r="AH28" s="17" t="s">
        <v>371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704</v>
      </c>
      <c r="AR28" t="s">
        <v>349</v>
      </c>
      <c r="AS28" t="s">
        <v>349</v>
      </c>
      <c r="AT28">
        <v>1</v>
      </c>
      <c r="AU28">
        <v>0</v>
      </c>
      <c r="AV28">
        <v>0</v>
      </c>
      <c r="AW28" t="s">
        <v>704</v>
      </c>
      <c r="AX28" t="s">
        <v>1207</v>
      </c>
      <c r="AY28" t="s">
        <v>293</v>
      </c>
      <c r="AZ28" t="s">
        <v>353</v>
      </c>
      <c r="BA28" t="s">
        <v>296</v>
      </c>
      <c r="BB28" t="s">
        <v>301</v>
      </c>
      <c r="BC28" t="s">
        <v>292</v>
      </c>
      <c r="BD28" t="s">
        <v>293</v>
      </c>
      <c r="BE28" t="s">
        <v>293</v>
      </c>
      <c r="BF28" t="s">
        <v>292</v>
      </c>
      <c r="BG28" t="s">
        <v>293</v>
      </c>
      <c r="BH28" t="s">
        <v>302</v>
      </c>
      <c r="BI28" t="s">
        <v>302</v>
      </c>
      <c r="BJ28" t="s">
        <v>359</v>
      </c>
      <c r="BK28" t="s">
        <v>293</v>
      </c>
      <c r="BL28" t="s">
        <v>293</v>
      </c>
      <c r="BM28" t="s">
        <v>296</v>
      </c>
      <c r="BN28" t="s">
        <v>298</v>
      </c>
      <c r="BO28" t="s">
        <v>293</v>
      </c>
      <c r="BP28" t="s">
        <v>292</v>
      </c>
      <c r="BQ28" t="s">
        <v>293</v>
      </c>
      <c r="BR28" t="s">
        <v>293</v>
      </c>
      <c r="BS28" t="s">
        <v>364</v>
      </c>
      <c r="BT28" t="s">
        <v>304</v>
      </c>
      <c r="BU28" t="s">
        <v>371</v>
      </c>
      <c r="BV28" t="s">
        <v>371</v>
      </c>
      <c r="BW28" t="s">
        <v>2471</v>
      </c>
      <c r="BX28" t="str">
        <f>IF(J28="win",VLOOKUP(B28,ColorScheme!$A$2:$I$32,4,0),VLOOKUP(B28,ColorScheme!$A$2:$I$32,5,0))</f>
        <v>#15b01a50</v>
      </c>
    </row>
    <row r="29" spans="1:76" x14ac:dyDescent="0.3">
      <c r="A29" t="s">
        <v>45</v>
      </c>
      <c r="B29" t="s">
        <v>68</v>
      </c>
      <c r="C29" t="s">
        <v>22</v>
      </c>
      <c r="D29" t="s">
        <v>29</v>
      </c>
      <c r="E29" t="s">
        <v>731</v>
      </c>
      <c r="F29" t="b">
        <v>1</v>
      </c>
      <c r="G29">
        <v>99.8</v>
      </c>
      <c r="H29">
        <v>0</v>
      </c>
      <c r="I29">
        <v>9408</v>
      </c>
      <c r="J29" s="61" t="s">
        <v>13</v>
      </c>
      <c r="K29" s="16" t="s">
        <v>272</v>
      </c>
      <c r="L29" s="16">
        <v>2</v>
      </c>
      <c r="M29" s="16" t="s">
        <v>277</v>
      </c>
      <c r="N29" s="16" t="s">
        <v>335</v>
      </c>
      <c r="O29" s="15" t="s">
        <v>282</v>
      </c>
      <c r="P29" t="s">
        <v>371</v>
      </c>
      <c r="Q29" t="s">
        <v>371</v>
      </c>
      <c r="R29" s="17" t="s">
        <v>371</v>
      </c>
      <c r="S29" s="17">
        <v>0</v>
      </c>
      <c r="T29" s="17">
        <v>1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 t="s">
        <v>704</v>
      </c>
      <c r="AD29" s="16" t="s">
        <v>341</v>
      </c>
      <c r="AE29" s="16" t="s">
        <v>340</v>
      </c>
      <c r="AF29" s="15" t="s">
        <v>340</v>
      </c>
      <c r="AG29" s="15" t="s">
        <v>344</v>
      </c>
      <c r="AH29" s="17" t="s">
        <v>371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704</v>
      </c>
      <c r="AR29" t="s">
        <v>349</v>
      </c>
      <c r="AS29" t="s">
        <v>349</v>
      </c>
      <c r="AT29">
        <v>1</v>
      </c>
      <c r="AU29">
        <v>0</v>
      </c>
      <c r="AV29">
        <v>0</v>
      </c>
      <c r="AW29" t="s">
        <v>704</v>
      </c>
      <c r="AX29" t="s">
        <v>1208</v>
      </c>
      <c r="AY29" t="s">
        <v>293</v>
      </c>
      <c r="AZ29" t="s">
        <v>354</v>
      </c>
      <c r="BA29" t="s">
        <v>354</v>
      </c>
      <c r="BB29" t="s">
        <v>300</v>
      </c>
      <c r="BC29" t="s">
        <v>292</v>
      </c>
      <c r="BD29" t="s">
        <v>293</v>
      </c>
      <c r="BE29" t="s">
        <v>292</v>
      </c>
      <c r="BF29" t="s">
        <v>293</v>
      </c>
      <c r="BG29" t="s">
        <v>293</v>
      </c>
      <c r="BH29" t="s">
        <v>302</v>
      </c>
      <c r="BI29" t="s">
        <v>302</v>
      </c>
      <c r="BJ29" t="s">
        <v>357</v>
      </c>
      <c r="BK29" t="s">
        <v>293</v>
      </c>
      <c r="BL29" t="s">
        <v>293</v>
      </c>
      <c r="BM29" t="s">
        <v>297</v>
      </c>
      <c r="BN29" t="s">
        <v>298</v>
      </c>
      <c r="BO29" t="s">
        <v>293</v>
      </c>
      <c r="BP29" t="s">
        <v>292</v>
      </c>
      <c r="BQ29" t="s">
        <v>293</v>
      </c>
      <c r="BR29" t="s">
        <v>293</v>
      </c>
      <c r="BS29" t="s">
        <v>364</v>
      </c>
      <c r="BT29" t="s">
        <v>366</v>
      </c>
      <c r="BU29" t="s">
        <v>371</v>
      </c>
      <c r="BV29" t="s">
        <v>371</v>
      </c>
      <c r="BW29" t="s">
        <v>2472</v>
      </c>
      <c r="BX29" t="str">
        <f>IF(J29="win",VLOOKUP(B29,ColorScheme!$A$2:$I$32,4,0),VLOOKUP(B29,ColorScheme!$A$2:$I$32,5,0))</f>
        <v>#15b01a</v>
      </c>
    </row>
    <row r="30" spans="1:76" x14ac:dyDescent="0.3">
      <c r="A30" t="s">
        <v>45</v>
      </c>
      <c r="B30" t="s">
        <v>68</v>
      </c>
      <c r="C30" t="s">
        <v>27</v>
      </c>
      <c r="D30" t="s">
        <v>29</v>
      </c>
      <c r="E30" t="s">
        <v>732</v>
      </c>
      <c r="F30" t="b">
        <v>1</v>
      </c>
      <c r="G30">
        <v>100</v>
      </c>
      <c r="H30">
        <v>1</v>
      </c>
      <c r="I30">
        <v>24094</v>
      </c>
      <c r="J30" s="61" t="s">
        <v>18</v>
      </c>
      <c r="K30" s="16" t="s">
        <v>272</v>
      </c>
      <c r="L30" s="16">
        <v>3</v>
      </c>
      <c r="M30" s="16" t="s">
        <v>277</v>
      </c>
      <c r="N30" s="16" t="s">
        <v>335</v>
      </c>
      <c r="O30" s="15" t="s">
        <v>283</v>
      </c>
      <c r="P30" t="s">
        <v>282</v>
      </c>
      <c r="Q30" t="s">
        <v>371</v>
      </c>
      <c r="R30" s="17" t="s">
        <v>371</v>
      </c>
      <c r="S30" s="17">
        <v>0</v>
      </c>
      <c r="T30" s="17">
        <v>1</v>
      </c>
      <c r="U30" s="17">
        <v>1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 t="s">
        <v>704</v>
      </c>
      <c r="AD30" s="16" t="s">
        <v>341</v>
      </c>
      <c r="AE30" s="16" t="s">
        <v>340</v>
      </c>
      <c r="AF30" s="15" t="s">
        <v>343</v>
      </c>
      <c r="AG30" s="15" t="s">
        <v>344</v>
      </c>
      <c r="AH30" s="17" t="s">
        <v>371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704</v>
      </c>
      <c r="AR30" t="s">
        <v>349</v>
      </c>
      <c r="AS30" t="s">
        <v>349</v>
      </c>
      <c r="AT30">
        <v>1</v>
      </c>
      <c r="AU30">
        <v>0</v>
      </c>
      <c r="AV30">
        <v>0</v>
      </c>
      <c r="AW30" t="s">
        <v>704</v>
      </c>
      <c r="AX30" t="s">
        <v>1207</v>
      </c>
      <c r="AY30" t="s">
        <v>293</v>
      </c>
      <c r="AZ30" t="s">
        <v>353</v>
      </c>
      <c r="BA30" t="s">
        <v>296</v>
      </c>
      <c r="BB30" t="s">
        <v>301</v>
      </c>
      <c r="BC30" t="s">
        <v>293</v>
      </c>
      <c r="BD30" t="s">
        <v>292</v>
      </c>
      <c r="BE30" t="s">
        <v>293</v>
      </c>
      <c r="BF30" t="s">
        <v>292</v>
      </c>
      <c r="BG30" t="s">
        <v>293</v>
      </c>
      <c r="BH30" t="s">
        <v>302</v>
      </c>
      <c r="BI30" t="s">
        <v>302</v>
      </c>
      <c r="BJ30" t="s">
        <v>359</v>
      </c>
      <c r="BK30" t="s">
        <v>293</v>
      </c>
      <c r="BL30" t="s">
        <v>293</v>
      </c>
      <c r="BM30" t="s">
        <v>296</v>
      </c>
      <c r="BN30" t="s">
        <v>356</v>
      </c>
      <c r="BO30" t="s">
        <v>293</v>
      </c>
      <c r="BP30" t="s">
        <v>292</v>
      </c>
      <c r="BQ30" t="s">
        <v>293</v>
      </c>
      <c r="BR30" t="s">
        <v>293</v>
      </c>
      <c r="BS30" t="s">
        <v>364</v>
      </c>
      <c r="BT30" t="s">
        <v>304</v>
      </c>
      <c r="BU30" t="s">
        <v>371</v>
      </c>
      <c r="BV30" t="s">
        <v>371</v>
      </c>
      <c r="BW30" t="s">
        <v>2473</v>
      </c>
      <c r="BX30" t="str">
        <f>IF(J30="win",VLOOKUP(B30,ColorScheme!$A$2:$I$32,4,0),VLOOKUP(B30,ColorScheme!$A$2:$I$32,5,0))</f>
        <v>#15b01a50</v>
      </c>
    </row>
    <row r="31" spans="1:76" x14ac:dyDescent="0.3">
      <c r="A31" t="s">
        <v>9</v>
      </c>
      <c r="B31" t="s">
        <v>60</v>
      </c>
      <c r="C31" t="s">
        <v>15</v>
      </c>
      <c r="D31" t="s">
        <v>12</v>
      </c>
      <c r="E31" t="s">
        <v>733</v>
      </c>
      <c r="F31" t="b">
        <v>1</v>
      </c>
      <c r="G31">
        <v>100</v>
      </c>
      <c r="H31">
        <v>1</v>
      </c>
      <c r="I31">
        <v>9375</v>
      </c>
      <c r="J31" s="61" t="s">
        <v>18</v>
      </c>
      <c r="K31" s="16" t="s">
        <v>272</v>
      </c>
      <c r="L31" s="16">
        <v>3</v>
      </c>
      <c r="M31" s="16" t="s">
        <v>277</v>
      </c>
      <c r="N31" s="16" t="s">
        <v>335</v>
      </c>
      <c r="O31" s="15" t="s">
        <v>281</v>
      </c>
      <c r="P31" t="s">
        <v>286</v>
      </c>
      <c r="Q31" t="s">
        <v>371</v>
      </c>
      <c r="R31" s="17" t="s">
        <v>371</v>
      </c>
      <c r="S31" s="17">
        <v>1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1</v>
      </c>
      <c r="Z31" s="17">
        <v>0</v>
      </c>
      <c r="AA31" s="17">
        <v>0</v>
      </c>
      <c r="AB31" s="17">
        <v>0</v>
      </c>
      <c r="AC31" s="17" t="s">
        <v>704</v>
      </c>
      <c r="AD31" s="16" t="s">
        <v>341</v>
      </c>
      <c r="AE31" s="16" t="s">
        <v>340</v>
      </c>
      <c r="AF31" s="15" t="s">
        <v>343</v>
      </c>
      <c r="AG31" s="15" t="s">
        <v>345</v>
      </c>
      <c r="AH31" s="17" t="s">
        <v>371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704</v>
      </c>
      <c r="AR31" t="s">
        <v>349</v>
      </c>
      <c r="AS31" t="s">
        <v>349</v>
      </c>
      <c r="AT31">
        <v>1</v>
      </c>
      <c r="AU31">
        <v>0</v>
      </c>
      <c r="AV31">
        <v>0</v>
      </c>
      <c r="AW31" t="s">
        <v>704</v>
      </c>
      <c r="AX31" t="s">
        <v>1216</v>
      </c>
      <c r="AY31" t="s">
        <v>293</v>
      </c>
      <c r="AZ31" t="s">
        <v>353</v>
      </c>
      <c r="BA31" t="s">
        <v>296</v>
      </c>
      <c r="BB31" t="s">
        <v>301</v>
      </c>
      <c r="BC31" t="s">
        <v>292</v>
      </c>
      <c r="BD31" t="s">
        <v>292</v>
      </c>
      <c r="BE31" t="s">
        <v>292</v>
      </c>
      <c r="BF31" t="s">
        <v>292</v>
      </c>
      <c r="BG31" t="s">
        <v>293</v>
      </c>
      <c r="BH31" t="s">
        <v>302</v>
      </c>
      <c r="BI31" t="s">
        <v>358</v>
      </c>
      <c r="BJ31" t="s">
        <v>359</v>
      </c>
      <c r="BK31" t="s">
        <v>293</v>
      </c>
      <c r="BL31" t="s">
        <v>293</v>
      </c>
      <c r="BM31" t="s">
        <v>297</v>
      </c>
      <c r="BN31" t="s">
        <v>356</v>
      </c>
      <c r="BO31" t="s">
        <v>293</v>
      </c>
      <c r="BP31" t="s">
        <v>292</v>
      </c>
      <c r="BQ31" t="s">
        <v>293</v>
      </c>
      <c r="BR31" t="s">
        <v>293</v>
      </c>
      <c r="BS31" t="s">
        <v>364</v>
      </c>
      <c r="BT31" t="s">
        <v>304</v>
      </c>
      <c r="BU31" t="s">
        <v>371</v>
      </c>
      <c r="BV31" t="s">
        <v>371</v>
      </c>
      <c r="BW31" t="s">
        <v>2474</v>
      </c>
      <c r="BX31" t="str">
        <f>IF(J31="win",VLOOKUP(B31,ColorScheme!$A$2:$I$32,4,0),VLOOKUP(B31,ColorScheme!$A$2:$I$32,5,0))</f>
        <v>#0343df50</v>
      </c>
    </row>
    <row r="32" spans="1:76" x14ac:dyDescent="0.3">
      <c r="A32" t="s">
        <v>9</v>
      </c>
      <c r="B32" t="s">
        <v>60</v>
      </c>
      <c r="C32" t="s">
        <v>14</v>
      </c>
      <c r="D32" t="s">
        <v>12</v>
      </c>
      <c r="E32" t="s">
        <v>734</v>
      </c>
      <c r="F32" t="b">
        <v>1</v>
      </c>
      <c r="G32">
        <v>100</v>
      </c>
      <c r="H32">
        <v>1</v>
      </c>
      <c r="I32">
        <v>13424</v>
      </c>
      <c r="J32" s="61" t="s">
        <v>18</v>
      </c>
      <c r="K32" s="16" t="s">
        <v>272</v>
      </c>
      <c r="L32" s="16">
        <v>3</v>
      </c>
      <c r="M32" s="16" t="s">
        <v>277</v>
      </c>
      <c r="N32" s="16" t="s">
        <v>335</v>
      </c>
      <c r="O32" s="15" t="s">
        <v>281</v>
      </c>
      <c r="P32" t="s">
        <v>282</v>
      </c>
      <c r="Q32" t="s">
        <v>371</v>
      </c>
      <c r="R32" s="17" t="s">
        <v>371</v>
      </c>
      <c r="S32" s="17">
        <v>1</v>
      </c>
      <c r="T32" s="17">
        <v>1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 t="s">
        <v>704</v>
      </c>
      <c r="AD32" s="16" t="s">
        <v>341</v>
      </c>
      <c r="AE32" s="16" t="s">
        <v>340</v>
      </c>
      <c r="AF32" s="15" t="s">
        <v>343</v>
      </c>
      <c r="AG32" s="15" t="s">
        <v>345</v>
      </c>
      <c r="AH32" s="17" t="s">
        <v>344</v>
      </c>
      <c r="AI32">
        <v>1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704</v>
      </c>
      <c r="AR32" t="s">
        <v>349</v>
      </c>
      <c r="AS32" t="s">
        <v>349</v>
      </c>
      <c r="AT32">
        <v>1</v>
      </c>
      <c r="AU32">
        <v>0</v>
      </c>
      <c r="AV32">
        <v>0</v>
      </c>
      <c r="AW32" t="s">
        <v>704</v>
      </c>
      <c r="AX32" t="s">
        <v>1217</v>
      </c>
      <c r="AY32" t="s">
        <v>293</v>
      </c>
      <c r="AZ32" t="s">
        <v>353</v>
      </c>
      <c r="BA32" t="s">
        <v>296</v>
      </c>
      <c r="BB32" t="s">
        <v>300</v>
      </c>
      <c r="BC32" t="s">
        <v>292</v>
      </c>
      <c r="BD32" t="s">
        <v>293</v>
      </c>
      <c r="BE32" t="s">
        <v>292</v>
      </c>
      <c r="BF32" t="s">
        <v>292</v>
      </c>
      <c r="BG32" t="s">
        <v>293</v>
      </c>
      <c r="BH32" t="s">
        <v>302</v>
      </c>
      <c r="BI32" t="s">
        <v>302</v>
      </c>
      <c r="BJ32" t="s">
        <v>359</v>
      </c>
      <c r="BK32" t="s">
        <v>293</v>
      </c>
      <c r="BL32" t="s">
        <v>293</v>
      </c>
      <c r="BM32" t="s">
        <v>297</v>
      </c>
      <c r="BN32" t="s">
        <v>298</v>
      </c>
      <c r="BO32" t="s">
        <v>293</v>
      </c>
      <c r="BP32" t="s">
        <v>292</v>
      </c>
      <c r="BQ32" t="s">
        <v>293</v>
      </c>
      <c r="BR32" t="s">
        <v>293</v>
      </c>
      <c r="BS32" t="s">
        <v>364</v>
      </c>
      <c r="BT32" t="s">
        <v>304</v>
      </c>
      <c r="BU32" t="s">
        <v>371</v>
      </c>
      <c r="BV32" t="s">
        <v>371</v>
      </c>
      <c r="BW32" t="s">
        <v>2475</v>
      </c>
      <c r="BX32" t="str">
        <f>IF(J32="win",VLOOKUP(B32,ColorScheme!$A$2:$I$32,4,0),VLOOKUP(B32,ColorScheme!$A$2:$I$32,5,0))</f>
        <v>#0343df50</v>
      </c>
    </row>
    <row r="33" spans="1:76" x14ac:dyDescent="0.3">
      <c r="A33" t="s">
        <v>9</v>
      </c>
      <c r="B33" t="s">
        <v>60</v>
      </c>
      <c r="C33" t="s">
        <v>11</v>
      </c>
      <c r="D33" t="s">
        <v>12</v>
      </c>
      <c r="E33" t="s">
        <v>735</v>
      </c>
      <c r="F33" t="b">
        <v>1</v>
      </c>
      <c r="G33">
        <v>100</v>
      </c>
      <c r="H33">
        <v>1</v>
      </c>
      <c r="I33">
        <v>9662</v>
      </c>
      <c r="J33" s="61" t="s">
        <v>18</v>
      </c>
      <c r="K33" s="16" t="s">
        <v>272</v>
      </c>
      <c r="L33" s="16">
        <v>3</v>
      </c>
      <c r="M33" s="16" t="s">
        <v>277</v>
      </c>
      <c r="N33" s="16" t="s">
        <v>335</v>
      </c>
      <c r="O33" s="15" t="s">
        <v>281</v>
      </c>
      <c r="P33" t="s">
        <v>282</v>
      </c>
      <c r="Q33" t="s">
        <v>371</v>
      </c>
      <c r="R33" s="17" t="s">
        <v>371</v>
      </c>
      <c r="S33" s="17">
        <v>1</v>
      </c>
      <c r="T33" s="17">
        <v>1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 t="s">
        <v>704</v>
      </c>
      <c r="AD33" s="16" t="s">
        <v>341</v>
      </c>
      <c r="AE33" s="16" t="s">
        <v>340</v>
      </c>
      <c r="AF33" s="15" t="s">
        <v>343</v>
      </c>
      <c r="AG33" s="15" t="s">
        <v>345</v>
      </c>
      <c r="AH33" s="17" t="s">
        <v>371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704</v>
      </c>
      <c r="AR33" t="s">
        <v>349</v>
      </c>
      <c r="AS33" t="s">
        <v>349</v>
      </c>
      <c r="AT33">
        <v>1</v>
      </c>
      <c r="AU33">
        <v>0</v>
      </c>
      <c r="AV33">
        <v>0</v>
      </c>
      <c r="AW33" t="s">
        <v>704</v>
      </c>
      <c r="AX33" t="s">
        <v>1218</v>
      </c>
      <c r="AY33" t="s">
        <v>293</v>
      </c>
      <c r="AZ33" t="s">
        <v>352</v>
      </c>
      <c r="BA33" t="s">
        <v>296</v>
      </c>
      <c r="BB33" t="s">
        <v>301</v>
      </c>
      <c r="BC33" t="s">
        <v>292</v>
      </c>
      <c r="BD33" t="s">
        <v>293</v>
      </c>
      <c r="BE33" t="s">
        <v>292</v>
      </c>
      <c r="BF33" t="s">
        <v>292</v>
      </c>
      <c r="BG33" t="s">
        <v>293</v>
      </c>
      <c r="BH33" t="s">
        <v>302</v>
      </c>
      <c r="BI33" t="s">
        <v>302</v>
      </c>
      <c r="BJ33" t="s">
        <v>359</v>
      </c>
      <c r="BK33" t="s">
        <v>293</v>
      </c>
      <c r="BL33" t="s">
        <v>293</v>
      </c>
      <c r="BM33" t="s">
        <v>297</v>
      </c>
      <c r="BN33" t="s">
        <v>298</v>
      </c>
      <c r="BO33" t="s">
        <v>293</v>
      </c>
      <c r="BP33" t="s">
        <v>292</v>
      </c>
      <c r="BQ33" t="s">
        <v>293</v>
      </c>
      <c r="BR33" t="s">
        <v>293</v>
      </c>
      <c r="BS33" t="s">
        <v>364</v>
      </c>
      <c r="BT33" t="s">
        <v>304</v>
      </c>
      <c r="BU33" t="s">
        <v>371</v>
      </c>
      <c r="BV33" t="s">
        <v>371</v>
      </c>
      <c r="BW33" t="s">
        <v>2476</v>
      </c>
      <c r="BX33" t="str">
        <f>IF(J33="win",VLOOKUP(B33,ColorScheme!$A$2:$I$32,4,0),VLOOKUP(B33,ColorScheme!$A$2:$I$32,5,0))</f>
        <v>#0343df50</v>
      </c>
    </row>
    <row r="34" spans="1:76" x14ac:dyDescent="0.3">
      <c r="A34" t="s">
        <v>9</v>
      </c>
      <c r="B34" t="s">
        <v>60</v>
      </c>
      <c r="C34" t="s">
        <v>16</v>
      </c>
      <c r="D34" t="s">
        <v>12</v>
      </c>
      <c r="E34" t="s">
        <v>736</v>
      </c>
      <c r="F34" t="b">
        <v>1</v>
      </c>
      <c r="G34">
        <v>100</v>
      </c>
      <c r="H34">
        <v>1</v>
      </c>
      <c r="I34">
        <v>15476</v>
      </c>
      <c r="J34" s="61" t="s">
        <v>18</v>
      </c>
      <c r="K34" s="16" t="s">
        <v>272</v>
      </c>
      <c r="L34" s="16">
        <v>3</v>
      </c>
      <c r="M34" s="16" t="s">
        <v>277</v>
      </c>
      <c r="N34" s="16" t="s">
        <v>335</v>
      </c>
      <c r="O34" s="15" t="s">
        <v>281</v>
      </c>
      <c r="P34" t="s">
        <v>286</v>
      </c>
      <c r="Q34" t="s">
        <v>371</v>
      </c>
      <c r="R34" s="17" t="s">
        <v>371</v>
      </c>
      <c r="S34" s="17">
        <v>1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1</v>
      </c>
      <c r="Z34" s="17">
        <v>0</v>
      </c>
      <c r="AA34" s="17">
        <v>0</v>
      </c>
      <c r="AB34" s="17">
        <v>0</v>
      </c>
      <c r="AC34" s="17" t="s">
        <v>704</v>
      </c>
      <c r="AD34" s="16" t="s">
        <v>341</v>
      </c>
      <c r="AE34" s="16" t="s">
        <v>342</v>
      </c>
      <c r="AF34" s="15" t="s">
        <v>343</v>
      </c>
      <c r="AG34" s="15" t="s">
        <v>345</v>
      </c>
      <c r="AH34" s="17" t="s">
        <v>347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 t="s">
        <v>704</v>
      </c>
      <c r="AR34" t="s">
        <v>349</v>
      </c>
      <c r="AS34" t="s">
        <v>349</v>
      </c>
      <c r="AT34">
        <v>1</v>
      </c>
      <c r="AU34">
        <v>0</v>
      </c>
      <c r="AV34">
        <v>0</v>
      </c>
      <c r="AW34" t="s">
        <v>704</v>
      </c>
      <c r="AX34" t="s">
        <v>1219</v>
      </c>
      <c r="AY34" t="s">
        <v>293</v>
      </c>
      <c r="AZ34" t="s">
        <v>353</v>
      </c>
      <c r="BA34" t="s">
        <v>296</v>
      </c>
      <c r="BB34" t="s">
        <v>301</v>
      </c>
      <c r="BC34" t="s">
        <v>292</v>
      </c>
      <c r="BD34" t="s">
        <v>292</v>
      </c>
      <c r="BE34" t="s">
        <v>292</v>
      </c>
      <c r="BF34" t="s">
        <v>292</v>
      </c>
      <c r="BG34" t="s">
        <v>293</v>
      </c>
      <c r="BH34" t="s">
        <v>302</v>
      </c>
      <c r="BI34" t="s">
        <v>302</v>
      </c>
      <c r="BJ34" t="s">
        <v>359</v>
      </c>
      <c r="BK34" t="s">
        <v>293</v>
      </c>
      <c r="BL34" t="s">
        <v>293</v>
      </c>
      <c r="BM34" t="s">
        <v>297</v>
      </c>
      <c r="BN34" t="s">
        <v>356</v>
      </c>
      <c r="BO34" t="s">
        <v>293</v>
      </c>
      <c r="BP34" t="s">
        <v>292</v>
      </c>
      <c r="BQ34" t="s">
        <v>293</v>
      </c>
      <c r="BR34" t="s">
        <v>293</v>
      </c>
      <c r="BS34" t="s">
        <v>364</v>
      </c>
      <c r="BT34" t="s">
        <v>304</v>
      </c>
      <c r="BU34" t="s">
        <v>371</v>
      </c>
      <c r="BV34" t="s">
        <v>371</v>
      </c>
      <c r="BW34" t="s">
        <v>2477</v>
      </c>
      <c r="BX34" t="str">
        <f>IF(J34="win",VLOOKUP(B34,ColorScheme!$A$2:$I$32,4,0),VLOOKUP(B34,ColorScheme!$A$2:$I$32,5,0))</f>
        <v>#0343df50</v>
      </c>
    </row>
    <row r="35" spans="1:76" x14ac:dyDescent="0.3">
      <c r="A35" t="s">
        <v>9</v>
      </c>
      <c r="B35" t="s">
        <v>60</v>
      </c>
      <c r="C35" t="s">
        <v>21</v>
      </c>
      <c r="D35" t="s">
        <v>29</v>
      </c>
      <c r="E35" t="s">
        <v>737</v>
      </c>
      <c r="F35" t="b">
        <v>1</v>
      </c>
      <c r="G35">
        <v>100</v>
      </c>
      <c r="H35">
        <v>1</v>
      </c>
      <c r="I35">
        <v>16155</v>
      </c>
      <c r="J35" s="61" t="s">
        <v>18</v>
      </c>
      <c r="K35" s="16" t="s">
        <v>272</v>
      </c>
      <c r="L35" s="16">
        <v>2</v>
      </c>
      <c r="M35" s="16" t="s">
        <v>277</v>
      </c>
      <c r="N35" s="16" t="s">
        <v>335</v>
      </c>
      <c r="O35" s="15" t="s">
        <v>282</v>
      </c>
      <c r="P35" t="s">
        <v>371</v>
      </c>
      <c r="Q35" t="s">
        <v>371</v>
      </c>
      <c r="R35" s="17" t="s">
        <v>371</v>
      </c>
      <c r="S35" s="17">
        <v>0</v>
      </c>
      <c r="T35" s="17">
        <v>1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 t="s">
        <v>704</v>
      </c>
      <c r="AD35" s="16" t="s">
        <v>340</v>
      </c>
      <c r="AE35" s="16" t="s">
        <v>342</v>
      </c>
      <c r="AF35" s="15" t="s">
        <v>340</v>
      </c>
      <c r="AG35" s="15" t="s">
        <v>344</v>
      </c>
      <c r="AH35" s="17" t="s">
        <v>371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704</v>
      </c>
      <c r="AR35" t="s">
        <v>349</v>
      </c>
      <c r="AS35" t="s">
        <v>349</v>
      </c>
      <c r="AT35">
        <v>1</v>
      </c>
      <c r="AU35">
        <v>0</v>
      </c>
      <c r="AV35">
        <v>0</v>
      </c>
      <c r="AW35" t="s">
        <v>704</v>
      </c>
      <c r="AX35" t="s">
        <v>1208</v>
      </c>
      <c r="AY35" t="s">
        <v>293</v>
      </c>
      <c r="AZ35" t="s">
        <v>354</v>
      </c>
      <c r="BA35" t="s">
        <v>354</v>
      </c>
      <c r="BB35" t="s">
        <v>301</v>
      </c>
      <c r="BC35" t="s">
        <v>292</v>
      </c>
      <c r="BD35" t="s">
        <v>293</v>
      </c>
      <c r="BE35" t="s">
        <v>292</v>
      </c>
      <c r="BF35" t="s">
        <v>292</v>
      </c>
      <c r="BG35" t="s">
        <v>293</v>
      </c>
      <c r="BH35" t="s">
        <v>302</v>
      </c>
      <c r="BI35" t="s">
        <v>302</v>
      </c>
      <c r="BJ35" t="s">
        <v>357</v>
      </c>
      <c r="BK35" t="s">
        <v>293</v>
      </c>
      <c r="BL35" t="s">
        <v>293</v>
      </c>
      <c r="BM35" t="s">
        <v>296</v>
      </c>
      <c r="BN35" t="s">
        <v>298</v>
      </c>
      <c r="BO35" t="s">
        <v>293</v>
      </c>
      <c r="BP35" t="s">
        <v>292</v>
      </c>
      <c r="BQ35" t="s">
        <v>293</v>
      </c>
      <c r="BR35" t="s">
        <v>293</v>
      </c>
      <c r="BS35" t="s">
        <v>364</v>
      </c>
      <c r="BT35" t="s">
        <v>304</v>
      </c>
      <c r="BU35" t="s">
        <v>371</v>
      </c>
      <c r="BV35" t="s">
        <v>371</v>
      </c>
      <c r="BW35" t="s">
        <v>2478</v>
      </c>
      <c r="BX35" t="str">
        <f>IF(J35="win",VLOOKUP(B35,ColorScheme!$A$2:$I$32,4,0),VLOOKUP(B35,ColorScheme!$A$2:$I$32,5,0))</f>
        <v>#0343df50</v>
      </c>
    </row>
    <row r="36" spans="1:76" x14ac:dyDescent="0.3">
      <c r="A36" t="s">
        <v>9</v>
      </c>
      <c r="B36" t="s">
        <v>60</v>
      </c>
      <c r="C36" t="s">
        <v>19</v>
      </c>
      <c r="D36" t="s">
        <v>29</v>
      </c>
      <c r="E36" t="s">
        <v>738</v>
      </c>
      <c r="F36" t="b">
        <v>1</v>
      </c>
      <c r="G36">
        <v>100</v>
      </c>
      <c r="H36">
        <v>1</v>
      </c>
      <c r="I36">
        <v>13046</v>
      </c>
      <c r="J36" s="61" t="s">
        <v>13</v>
      </c>
      <c r="K36" s="16" t="s">
        <v>273</v>
      </c>
      <c r="L36" s="16">
        <v>2</v>
      </c>
      <c r="M36" s="16" t="s">
        <v>333</v>
      </c>
      <c r="N36" s="16" t="s">
        <v>278</v>
      </c>
      <c r="O36" s="15" t="s">
        <v>283</v>
      </c>
      <c r="P36" t="s">
        <v>371</v>
      </c>
      <c r="Q36" t="s">
        <v>371</v>
      </c>
      <c r="R36" s="17" t="s">
        <v>371</v>
      </c>
      <c r="S36" s="17">
        <v>0</v>
      </c>
      <c r="T36" s="17">
        <v>0</v>
      </c>
      <c r="U36" s="17">
        <v>1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 t="s">
        <v>704</v>
      </c>
      <c r="AD36" s="16" t="s">
        <v>341</v>
      </c>
      <c r="AE36" s="16" t="s">
        <v>340</v>
      </c>
      <c r="AF36" s="15" t="s">
        <v>343</v>
      </c>
      <c r="AG36" s="15" t="s">
        <v>344</v>
      </c>
      <c r="AH36" s="17" t="s">
        <v>371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704</v>
      </c>
      <c r="AR36" t="s">
        <v>349</v>
      </c>
      <c r="AS36" t="s">
        <v>349</v>
      </c>
      <c r="AT36">
        <v>1</v>
      </c>
      <c r="AU36">
        <v>0</v>
      </c>
      <c r="AV36">
        <v>0</v>
      </c>
      <c r="AW36" t="s">
        <v>704</v>
      </c>
      <c r="AX36" t="s">
        <v>1220</v>
      </c>
      <c r="AY36" t="s">
        <v>293</v>
      </c>
      <c r="AZ36" t="s">
        <v>353</v>
      </c>
      <c r="BA36" t="s">
        <v>296</v>
      </c>
      <c r="BB36" t="s">
        <v>300</v>
      </c>
      <c r="BC36" t="s">
        <v>293</v>
      </c>
      <c r="BD36" t="s">
        <v>292</v>
      </c>
      <c r="BE36" t="s">
        <v>292</v>
      </c>
      <c r="BF36" t="s">
        <v>292</v>
      </c>
      <c r="BG36" t="s">
        <v>293</v>
      </c>
      <c r="BH36" t="s">
        <v>302</v>
      </c>
      <c r="BI36" t="s">
        <v>357</v>
      </c>
      <c r="BJ36" t="s">
        <v>359</v>
      </c>
      <c r="BK36" t="s">
        <v>293</v>
      </c>
      <c r="BL36" t="s">
        <v>293</v>
      </c>
      <c r="BM36" t="s">
        <v>297</v>
      </c>
      <c r="BN36" t="s">
        <v>356</v>
      </c>
      <c r="BO36" t="s">
        <v>293</v>
      </c>
      <c r="BP36" t="s">
        <v>292</v>
      </c>
      <c r="BQ36" t="s">
        <v>293</v>
      </c>
      <c r="BR36" t="s">
        <v>293</v>
      </c>
      <c r="BS36" t="s">
        <v>364</v>
      </c>
      <c r="BT36" t="s">
        <v>366</v>
      </c>
      <c r="BU36" t="s">
        <v>371</v>
      </c>
      <c r="BV36" t="s">
        <v>371</v>
      </c>
      <c r="BW36" t="s">
        <v>2479</v>
      </c>
      <c r="BX36" t="str">
        <f>IF(J36="win",VLOOKUP(B36,ColorScheme!$A$2:$I$32,4,0),VLOOKUP(B36,ColorScheme!$A$2:$I$32,5,0))</f>
        <v>#0343df</v>
      </c>
    </row>
    <row r="37" spans="1:76" x14ac:dyDescent="0.3">
      <c r="A37" t="s">
        <v>9</v>
      </c>
      <c r="B37" t="s">
        <v>60</v>
      </c>
      <c r="C37" t="s">
        <v>17</v>
      </c>
      <c r="D37" t="s">
        <v>29</v>
      </c>
      <c r="E37" t="s">
        <v>739</v>
      </c>
      <c r="F37" t="b">
        <v>1</v>
      </c>
      <c r="G37">
        <v>98.2</v>
      </c>
      <c r="H37">
        <v>0</v>
      </c>
      <c r="I37">
        <v>12211</v>
      </c>
      <c r="J37" s="61" t="s">
        <v>13</v>
      </c>
      <c r="K37" s="16" t="s">
        <v>272</v>
      </c>
      <c r="L37" s="16">
        <v>2</v>
      </c>
      <c r="M37" s="16" t="s">
        <v>277</v>
      </c>
      <c r="N37" s="16" t="s">
        <v>335</v>
      </c>
      <c r="O37" s="15" t="s">
        <v>282</v>
      </c>
      <c r="P37" t="s">
        <v>371</v>
      </c>
      <c r="Q37" t="s">
        <v>371</v>
      </c>
      <c r="R37" s="17" t="s">
        <v>371</v>
      </c>
      <c r="S37" s="17">
        <v>0</v>
      </c>
      <c r="T37" s="17">
        <v>1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 t="s">
        <v>704</v>
      </c>
      <c r="AD37" s="16" t="s">
        <v>341</v>
      </c>
      <c r="AE37" s="16" t="s">
        <v>340</v>
      </c>
      <c r="AF37" s="15" t="s">
        <v>340</v>
      </c>
      <c r="AG37" s="15" t="s">
        <v>344</v>
      </c>
      <c r="AH37" s="17" t="s">
        <v>371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704</v>
      </c>
      <c r="AR37" t="s">
        <v>349</v>
      </c>
      <c r="AS37" t="s">
        <v>349</v>
      </c>
      <c r="AT37">
        <v>1</v>
      </c>
      <c r="AU37">
        <v>0</v>
      </c>
      <c r="AV37">
        <v>0</v>
      </c>
      <c r="AW37" t="s">
        <v>704</v>
      </c>
      <c r="AX37" t="s">
        <v>1208</v>
      </c>
      <c r="AY37" t="s">
        <v>293</v>
      </c>
      <c r="AZ37" t="s">
        <v>354</v>
      </c>
      <c r="BA37" t="s">
        <v>354</v>
      </c>
      <c r="BB37" t="s">
        <v>300</v>
      </c>
      <c r="BC37" t="s">
        <v>293</v>
      </c>
      <c r="BD37" t="s">
        <v>292</v>
      </c>
      <c r="BE37" t="s">
        <v>292</v>
      </c>
      <c r="BF37" t="s">
        <v>293</v>
      </c>
      <c r="BG37" t="s">
        <v>293</v>
      </c>
      <c r="BH37" t="s">
        <v>302</v>
      </c>
      <c r="BI37" t="s">
        <v>302</v>
      </c>
      <c r="BJ37" t="s">
        <v>357</v>
      </c>
      <c r="BK37" t="s">
        <v>293</v>
      </c>
      <c r="BL37" t="s">
        <v>293</v>
      </c>
      <c r="BM37" t="s">
        <v>297</v>
      </c>
      <c r="BN37" t="s">
        <v>356</v>
      </c>
      <c r="BO37" t="s">
        <v>293</v>
      </c>
      <c r="BP37" t="s">
        <v>292</v>
      </c>
      <c r="BQ37" t="s">
        <v>293</v>
      </c>
      <c r="BR37" t="s">
        <v>293</v>
      </c>
      <c r="BS37" t="s">
        <v>364</v>
      </c>
      <c r="BT37" t="s">
        <v>366</v>
      </c>
      <c r="BU37" t="s">
        <v>371</v>
      </c>
      <c r="BV37" t="s">
        <v>371</v>
      </c>
      <c r="BW37" t="s">
        <v>2480</v>
      </c>
      <c r="BX37" t="str">
        <f>IF(J37="win",VLOOKUP(B37,ColorScheme!$A$2:$I$32,4,0),VLOOKUP(B37,ColorScheme!$A$2:$I$32,5,0))</f>
        <v>#0343df</v>
      </c>
    </row>
    <row r="38" spans="1:76" x14ac:dyDescent="0.3">
      <c r="A38" t="s">
        <v>9</v>
      </c>
      <c r="B38" t="s">
        <v>60</v>
      </c>
      <c r="C38" t="s">
        <v>20</v>
      </c>
      <c r="D38" t="s">
        <v>29</v>
      </c>
      <c r="E38" t="s">
        <v>740</v>
      </c>
      <c r="F38" t="b">
        <v>1</v>
      </c>
      <c r="G38">
        <v>100</v>
      </c>
      <c r="H38">
        <v>1</v>
      </c>
      <c r="I38">
        <v>15062</v>
      </c>
      <c r="J38" s="61" t="s">
        <v>18</v>
      </c>
      <c r="K38" s="16" t="s">
        <v>272</v>
      </c>
      <c r="L38" s="16">
        <v>2</v>
      </c>
      <c r="M38" s="16" t="s">
        <v>277</v>
      </c>
      <c r="N38" s="16" t="s">
        <v>335</v>
      </c>
      <c r="O38" s="15" t="s">
        <v>283</v>
      </c>
      <c r="P38" t="s">
        <v>284</v>
      </c>
      <c r="Q38" t="s">
        <v>371</v>
      </c>
      <c r="R38" s="17" t="s">
        <v>371</v>
      </c>
      <c r="S38" s="17">
        <v>0</v>
      </c>
      <c r="T38" s="17">
        <v>0</v>
      </c>
      <c r="U38" s="17">
        <v>1</v>
      </c>
      <c r="V38" s="17">
        <v>1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 t="s">
        <v>704</v>
      </c>
      <c r="AD38" s="16" t="s">
        <v>341</v>
      </c>
      <c r="AE38" s="16" t="s">
        <v>340</v>
      </c>
      <c r="AF38" s="15" t="s">
        <v>340</v>
      </c>
      <c r="AG38" s="15" t="s">
        <v>344</v>
      </c>
      <c r="AH38" s="17" t="s">
        <v>371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704</v>
      </c>
      <c r="AR38" t="s">
        <v>349</v>
      </c>
      <c r="AS38" t="s">
        <v>349</v>
      </c>
      <c r="AT38">
        <v>1</v>
      </c>
      <c r="AU38">
        <v>0</v>
      </c>
      <c r="AV38">
        <v>0</v>
      </c>
      <c r="AW38" t="s">
        <v>704</v>
      </c>
      <c r="AX38" t="s">
        <v>1221</v>
      </c>
      <c r="AY38" t="s">
        <v>293</v>
      </c>
      <c r="AZ38" t="s">
        <v>354</v>
      </c>
      <c r="BA38" t="s">
        <v>354</v>
      </c>
      <c r="BB38" t="s">
        <v>300</v>
      </c>
      <c r="BC38" t="s">
        <v>293</v>
      </c>
      <c r="BD38" t="s">
        <v>292</v>
      </c>
      <c r="BE38" t="s">
        <v>292</v>
      </c>
      <c r="BF38" t="s">
        <v>292</v>
      </c>
      <c r="BG38" t="s">
        <v>293</v>
      </c>
      <c r="BH38" t="s">
        <v>302</v>
      </c>
      <c r="BI38" t="s">
        <v>302</v>
      </c>
      <c r="BJ38" t="s">
        <v>357</v>
      </c>
      <c r="BK38" t="s">
        <v>293</v>
      </c>
      <c r="BL38" t="s">
        <v>293</v>
      </c>
      <c r="BM38" t="s">
        <v>297</v>
      </c>
      <c r="BN38" t="s">
        <v>356</v>
      </c>
      <c r="BO38" t="s">
        <v>293</v>
      </c>
      <c r="BP38" t="s">
        <v>292</v>
      </c>
      <c r="BQ38" t="s">
        <v>293</v>
      </c>
      <c r="BR38" t="s">
        <v>293</v>
      </c>
      <c r="BS38" t="s">
        <v>364</v>
      </c>
      <c r="BT38" t="s">
        <v>304</v>
      </c>
      <c r="BU38" t="s">
        <v>371</v>
      </c>
      <c r="BV38" t="s">
        <v>371</v>
      </c>
      <c r="BW38" t="s">
        <v>2481</v>
      </c>
      <c r="BX38" t="str">
        <f>IF(J38="win",VLOOKUP(B38,ColorScheme!$A$2:$I$32,4,0),VLOOKUP(B38,ColorScheme!$A$2:$I$32,5,0))</f>
        <v>#0343df50</v>
      </c>
    </row>
    <row r="39" spans="1:76" x14ac:dyDescent="0.3">
      <c r="A39" t="s">
        <v>9</v>
      </c>
      <c r="B39" t="s">
        <v>60</v>
      </c>
      <c r="C39" t="s">
        <v>22</v>
      </c>
      <c r="D39" t="s">
        <v>29</v>
      </c>
      <c r="E39" t="s">
        <v>741</v>
      </c>
      <c r="F39" t="b">
        <v>1</v>
      </c>
      <c r="G39">
        <v>100</v>
      </c>
      <c r="H39">
        <v>1</v>
      </c>
      <c r="I39">
        <v>12810</v>
      </c>
      <c r="J39" s="61" t="s">
        <v>18</v>
      </c>
      <c r="K39" s="16" t="s">
        <v>272</v>
      </c>
      <c r="L39" s="16">
        <v>3</v>
      </c>
      <c r="M39" s="16" t="s">
        <v>277</v>
      </c>
      <c r="N39" s="16" t="s">
        <v>335</v>
      </c>
      <c r="O39" s="15" t="s">
        <v>282</v>
      </c>
      <c r="P39" t="s">
        <v>371</v>
      </c>
      <c r="Q39" t="s">
        <v>371</v>
      </c>
      <c r="R39" s="17" t="s">
        <v>371</v>
      </c>
      <c r="S39" s="17">
        <v>0</v>
      </c>
      <c r="T39" s="17">
        <v>1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 t="s">
        <v>704</v>
      </c>
      <c r="AD39" s="16" t="s">
        <v>341</v>
      </c>
      <c r="AE39" s="16" t="s">
        <v>340</v>
      </c>
      <c r="AF39" s="15" t="s">
        <v>343</v>
      </c>
      <c r="AG39" s="15" t="s">
        <v>344</v>
      </c>
      <c r="AH39" s="17" t="s">
        <v>371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704</v>
      </c>
      <c r="AR39" t="s">
        <v>349</v>
      </c>
      <c r="AS39" t="s">
        <v>349</v>
      </c>
      <c r="AT39">
        <v>1</v>
      </c>
      <c r="AU39">
        <v>0</v>
      </c>
      <c r="AV39">
        <v>0</v>
      </c>
      <c r="AW39" t="s">
        <v>704</v>
      </c>
      <c r="AX39" t="s">
        <v>1208</v>
      </c>
      <c r="AY39" t="s">
        <v>293</v>
      </c>
      <c r="AZ39" t="s">
        <v>352</v>
      </c>
      <c r="BA39" t="s">
        <v>296</v>
      </c>
      <c r="BB39" t="s">
        <v>299</v>
      </c>
      <c r="BC39" t="s">
        <v>293</v>
      </c>
      <c r="BD39" t="s">
        <v>292</v>
      </c>
      <c r="BE39" t="s">
        <v>292</v>
      </c>
      <c r="BF39" t="s">
        <v>292</v>
      </c>
      <c r="BG39" t="s">
        <v>293</v>
      </c>
      <c r="BH39" t="s">
        <v>302</v>
      </c>
      <c r="BI39" t="s">
        <v>302</v>
      </c>
      <c r="BJ39" t="s">
        <v>359</v>
      </c>
      <c r="BK39" t="s">
        <v>293</v>
      </c>
      <c r="BL39" t="s">
        <v>293</v>
      </c>
      <c r="BM39" t="s">
        <v>297</v>
      </c>
      <c r="BN39" t="s">
        <v>356</v>
      </c>
      <c r="BO39" t="s">
        <v>293</v>
      </c>
      <c r="BP39" t="s">
        <v>292</v>
      </c>
      <c r="BQ39" t="s">
        <v>293</v>
      </c>
      <c r="BR39" t="s">
        <v>293</v>
      </c>
      <c r="BS39" t="s">
        <v>364</v>
      </c>
      <c r="BT39" t="s">
        <v>304</v>
      </c>
      <c r="BU39" t="s">
        <v>371</v>
      </c>
      <c r="BV39" t="s">
        <v>371</v>
      </c>
      <c r="BW39" t="s">
        <v>2482</v>
      </c>
      <c r="BX39" t="str">
        <f>IF(J39="win",VLOOKUP(B39,ColorScheme!$A$2:$I$32,4,0),VLOOKUP(B39,ColorScheme!$A$2:$I$32,5,0))</f>
        <v>#0343df50</v>
      </c>
    </row>
    <row r="40" spans="1:76" x14ac:dyDescent="0.3">
      <c r="A40" t="s">
        <v>45</v>
      </c>
      <c r="B40" t="s">
        <v>53</v>
      </c>
      <c r="C40" t="s">
        <v>15</v>
      </c>
      <c r="D40" t="s">
        <v>12</v>
      </c>
      <c r="E40" t="s">
        <v>742</v>
      </c>
      <c r="F40" t="b">
        <v>1</v>
      </c>
      <c r="G40">
        <v>76.2</v>
      </c>
      <c r="H40">
        <v>0</v>
      </c>
      <c r="I40">
        <v>11804</v>
      </c>
      <c r="J40" s="61" t="s">
        <v>13</v>
      </c>
      <c r="K40" s="16" t="s">
        <v>272</v>
      </c>
      <c r="L40" s="16">
        <v>3</v>
      </c>
      <c r="M40" s="16" t="s">
        <v>277</v>
      </c>
      <c r="N40" s="16" t="s">
        <v>335</v>
      </c>
      <c r="O40" s="15" t="s">
        <v>282</v>
      </c>
      <c r="P40" t="s">
        <v>371</v>
      </c>
      <c r="Q40" t="s">
        <v>371</v>
      </c>
      <c r="R40" s="17" t="s">
        <v>371</v>
      </c>
      <c r="S40" s="17">
        <v>0</v>
      </c>
      <c r="T40" s="17">
        <v>1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 t="s">
        <v>704</v>
      </c>
      <c r="AD40" s="16" t="s">
        <v>341</v>
      </c>
      <c r="AE40" s="16" t="s">
        <v>340</v>
      </c>
      <c r="AF40" s="15" t="s">
        <v>343</v>
      </c>
      <c r="AG40" s="15" t="s">
        <v>344</v>
      </c>
      <c r="AH40" s="17" t="s">
        <v>371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704</v>
      </c>
      <c r="AR40" t="s">
        <v>349</v>
      </c>
      <c r="AS40" t="s">
        <v>349</v>
      </c>
      <c r="AT40">
        <v>1</v>
      </c>
      <c r="AU40">
        <v>0</v>
      </c>
      <c r="AV40">
        <v>0</v>
      </c>
      <c r="AW40" t="s">
        <v>704</v>
      </c>
      <c r="AX40" t="s">
        <v>1208</v>
      </c>
      <c r="AY40" t="s">
        <v>293</v>
      </c>
      <c r="AZ40" t="s">
        <v>352</v>
      </c>
      <c r="BA40" t="s">
        <v>296</v>
      </c>
      <c r="BB40" t="s">
        <v>301</v>
      </c>
      <c r="BC40" t="s">
        <v>292</v>
      </c>
      <c r="BD40" t="s">
        <v>293</v>
      </c>
      <c r="BE40" t="s">
        <v>292</v>
      </c>
      <c r="BF40" t="s">
        <v>292</v>
      </c>
      <c r="BG40" t="s">
        <v>293</v>
      </c>
      <c r="BH40" t="s">
        <v>302</v>
      </c>
      <c r="BI40" t="s">
        <v>302</v>
      </c>
      <c r="BJ40" t="s">
        <v>359</v>
      </c>
      <c r="BK40" t="s">
        <v>293</v>
      </c>
      <c r="BL40" t="s">
        <v>293</v>
      </c>
      <c r="BM40" t="s">
        <v>297</v>
      </c>
      <c r="BN40" t="s">
        <v>298</v>
      </c>
      <c r="BO40" t="s">
        <v>293</v>
      </c>
      <c r="BP40" t="s">
        <v>292</v>
      </c>
      <c r="BQ40" t="s">
        <v>293</v>
      </c>
      <c r="BR40" t="s">
        <v>293</v>
      </c>
      <c r="BS40" t="s">
        <v>364</v>
      </c>
      <c r="BT40" t="s">
        <v>366</v>
      </c>
      <c r="BU40" t="s">
        <v>371</v>
      </c>
      <c r="BV40" t="s">
        <v>371</v>
      </c>
      <c r="BW40" t="s">
        <v>2483</v>
      </c>
      <c r="BX40" t="str">
        <f>IF(J40="win",VLOOKUP(B40,ColorScheme!$A$2:$I$32,4,0),VLOOKUP(B40,ColorScheme!$A$2:$I$32,5,0))</f>
        <v>#ff81c0</v>
      </c>
    </row>
    <row r="41" spans="1:76" x14ac:dyDescent="0.3">
      <c r="A41" t="s">
        <v>45</v>
      </c>
      <c r="B41" t="s">
        <v>53</v>
      </c>
      <c r="C41" t="s">
        <v>14</v>
      </c>
      <c r="D41" t="s">
        <v>12</v>
      </c>
      <c r="E41" t="s">
        <v>743</v>
      </c>
      <c r="F41" t="b">
        <v>1</v>
      </c>
      <c r="G41">
        <v>44.9</v>
      </c>
      <c r="H41">
        <v>0</v>
      </c>
      <c r="I41">
        <v>13413</v>
      </c>
      <c r="J41" s="61" t="s">
        <v>13</v>
      </c>
      <c r="K41" s="16" t="s">
        <v>272</v>
      </c>
      <c r="L41" s="16">
        <v>3</v>
      </c>
      <c r="M41" s="16" t="s">
        <v>277</v>
      </c>
      <c r="N41" s="16" t="s">
        <v>335</v>
      </c>
      <c r="O41" s="15" t="s">
        <v>282</v>
      </c>
      <c r="P41" t="s">
        <v>371</v>
      </c>
      <c r="Q41" t="s">
        <v>371</v>
      </c>
      <c r="R41" s="17" t="s">
        <v>371</v>
      </c>
      <c r="S41" s="17">
        <v>0</v>
      </c>
      <c r="T41" s="17">
        <v>1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 t="s">
        <v>704</v>
      </c>
      <c r="AD41" s="16" t="s">
        <v>341</v>
      </c>
      <c r="AE41" s="16" t="s">
        <v>340</v>
      </c>
      <c r="AF41" s="15" t="s">
        <v>343</v>
      </c>
      <c r="AG41" s="15" t="s">
        <v>344</v>
      </c>
      <c r="AH41" s="17" t="s">
        <v>371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704</v>
      </c>
      <c r="AR41" t="s">
        <v>349</v>
      </c>
      <c r="AS41" t="s">
        <v>349</v>
      </c>
      <c r="AT41">
        <v>1</v>
      </c>
      <c r="AU41">
        <v>0</v>
      </c>
      <c r="AV41">
        <v>0</v>
      </c>
      <c r="AW41" t="s">
        <v>704</v>
      </c>
      <c r="AX41" t="s">
        <v>1208</v>
      </c>
      <c r="AY41" t="s">
        <v>293</v>
      </c>
      <c r="AZ41" t="s">
        <v>353</v>
      </c>
      <c r="BA41" t="s">
        <v>296</v>
      </c>
      <c r="BB41" t="s">
        <v>301</v>
      </c>
      <c r="BC41" t="s">
        <v>292</v>
      </c>
      <c r="BD41" t="s">
        <v>293</v>
      </c>
      <c r="BE41" t="s">
        <v>292</v>
      </c>
      <c r="BF41" t="s">
        <v>292</v>
      </c>
      <c r="BG41" t="s">
        <v>293</v>
      </c>
      <c r="BH41" t="s">
        <v>302</v>
      </c>
      <c r="BI41" t="s">
        <v>302</v>
      </c>
      <c r="BJ41" t="s">
        <v>359</v>
      </c>
      <c r="BK41" t="s">
        <v>293</v>
      </c>
      <c r="BL41" t="s">
        <v>293</v>
      </c>
      <c r="BM41" t="s">
        <v>297</v>
      </c>
      <c r="BN41" t="s">
        <v>298</v>
      </c>
      <c r="BO41" t="s">
        <v>293</v>
      </c>
      <c r="BP41" t="s">
        <v>292</v>
      </c>
      <c r="BQ41" t="s">
        <v>293</v>
      </c>
      <c r="BR41" t="s">
        <v>293</v>
      </c>
      <c r="BS41" t="s">
        <v>364</v>
      </c>
      <c r="BT41" t="s">
        <v>366</v>
      </c>
      <c r="BU41" t="s">
        <v>371</v>
      </c>
      <c r="BV41" t="s">
        <v>371</v>
      </c>
      <c r="BW41" t="s">
        <v>2484</v>
      </c>
      <c r="BX41" t="str">
        <f>IF(J41="win",VLOOKUP(B41,ColorScheme!$A$2:$I$32,4,0),VLOOKUP(B41,ColorScheme!$A$2:$I$32,5,0))</f>
        <v>#ff81c0</v>
      </c>
    </row>
    <row r="42" spans="1:76" x14ac:dyDescent="0.3">
      <c r="A42" t="s">
        <v>45</v>
      </c>
      <c r="B42" t="s">
        <v>53</v>
      </c>
      <c r="C42" t="s">
        <v>11</v>
      </c>
      <c r="D42" t="s">
        <v>12</v>
      </c>
      <c r="E42" t="s">
        <v>744</v>
      </c>
      <c r="F42" t="b">
        <v>1</v>
      </c>
      <c r="G42">
        <v>46.7</v>
      </c>
      <c r="H42">
        <v>0</v>
      </c>
      <c r="I42">
        <v>15420</v>
      </c>
      <c r="J42" s="61" t="s">
        <v>13</v>
      </c>
      <c r="K42" s="16" t="s">
        <v>272</v>
      </c>
      <c r="L42" s="16">
        <v>3</v>
      </c>
      <c r="M42" s="16" t="s">
        <v>277</v>
      </c>
      <c r="N42" s="16" t="s">
        <v>335</v>
      </c>
      <c r="O42" s="15" t="s">
        <v>283</v>
      </c>
      <c r="P42" t="s">
        <v>282</v>
      </c>
      <c r="Q42" t="s">
        <v>371</v>
      </c>
      <c r="R42" s="17" t="s">
        <v>371</v>
      </c>
      <c r="S42" s="17">
        <v>0</v>
      </c>
      <c r="T42" s="17">
        <v>1</v>
      </c>
      <c r="U42" s="17">
        <v>1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 t="s">
        <v>704</v>
      </c>
      <c r="AD42" s="16" t="s">
        <v>341</v>
      </c>
      <c r="AE42" s="16" t="s">
        <v>340</v>
      </c>
      <c r="AF42" s="15" t="s">
        <v>343</v>
      </c>
      <c r="AG42" s="15" t="s">
        <v>344</v>
      </c>
      <c r="AH42" s="17" t="s">
        <v>371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704</v>
      </c>
      <c r="AR42" t="s">
        <v>349</v>
      </c>
      <c r="AS42" t="s">
        <v>349</v>
      </c>
      <c r="AT42">
        <v>1</v>
      </c>
      <c r="AU42">
        <v>0</v>
      </c>
      <c r="AV42">
        <v>0</v>
      </c>
      <c r="AW42" t="s">
        <v>704</v>
      </c>
      <c r="AX42" t="s">
        <v>1207</v>
      </c>
      <c r="AY42" t="s">
        <v>293</v>
      </c>
      <c r="AZ42" t="s">
        <v>353</v>
      </c>
      <c r="BA42" t="s">
        <v>296</v>
      </c>
      <c r="BB42" t="s">
        <v>300</v>
      </c>
      <c r="BC42" t="s">
        <v>292</v>
      </c>
      <c r="BD42" t="s">
        <v>293</v>
      </c>
      <c r="BE42" t="s">
        <v>292</v>
      </c>
      <c r="BF42" t="s">
        <v>292</v>
      </c>
      <c r="BG42" t="s">
        <v>293</v>
      </c>
      <c r="BH42" t="s">
        <v>302</v>
      </c>
      <c r="BI42" t="s">
        <v>302</v>
      </c>
      <c r="BJ42" t="s">
        <v>359</v>
      </c>
      <c r="BK42" t="s">
        <v>293</v>
      </c>
      <c r="BL42" t="s">
        <v>293</v>
      </c>
      <c r="BM42" t="s">
        <v>297</v>
      </c>
      <c r="BN42" t="s">
        <v>298</v>
      </c>
      <c r="BO42" t="s">
        <v>293</v>
      </c>
      <c r="BP42" t="s">
        <v>292</v>
      </c>
      <c r="BQ42" t="s">
        <v>293</v>
      </c>
      <c r="BR42" t="s">
        <v>293</v>
      </c>
      <c r="BS42" t="s">
        <v>364</v>
      </c>
      <c r="BT42" t="s">
        <v>366</v>
      </c>
      <c r="BU42" t="s">
        <v>371</v>
      </c>
      <c r="BV42" t="s">
        <v>371</v>
      </c>
      <c r="BW42" t="s">
        <v>2485</v>
      </c>
      <c r="BX42" t="str">
        <f>IF(J42="win",VLOOKUP(B42,ColorScheme!$A$2:$I$32,4,0),VLOOKUP(B42,ColorScheme!$A$2:$I$32,5,0))</f>
        <v>#ff81c0</v>
      </c>
    </row>
    <row r="43" spans="1:76" x14ac:dyDescent="0.3">
      <c r="A43" t="s">
        <v>45</v>
      </c>
      <c r="B43" t="s">
        <v>53</v>
      </c>
      <c r="C43" t="s">
        <v>16</v>
      </c>
      <c r="D43" t="s">
        <v>12</v>
      </c>
      <c r="E43" t="s">
        <v>745</v>
      </c>
      <c r="F43" t="b">
        <v>1</v>
      </c>
      <c r="G43">
        <v>100</v>
      </c>
      <c r="H43">
        <v>1</v>
      </c>
      <c r="I43">
        <v>10809</v>
      </c>
      <c r="J43" s="61" t="s">
        <v>18</v>
      </c>
      <c r="K43" s="16" t="s">
        <v>272</v>
      </c>
      <c r="L43" s="16">
        <v>3</v>
      </c>
      <c r="M43" s="16" t="s">
        <v>277</v>
      </c>
      <c r="N43" s="16" t="s">
        <v>335</v>
      </c>
      <c r="O43" s="15" t="s">
        <v>282</v>
      </c>
      <c r="P43" t="s">
        <v>371</v>
      </c>
      <c r="Q43" t="s">
        <v>371</v>
      </c>
      <c r="R43" s="17" t="s">
        <v>371</v>
      </c>
      <c r="S43" s="17">
        <v>0</v>
      </c>
      <c r="T43" s="17">
        <v>1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 t="s">
        <v>704</v>
      </c>
      <c r="AD43" s="16" t="s">
        <v>340</v>
      </c>
      <c r="AE43" s="16" t="s">
        <v>342</v>
      </c>
      <c r="AF43" s="15" t="s">
        <v>343</v>
      </c>
      <c r="AG43" s="15" t="s">
        <v>291</v>
      </c>
      <c r="AH43" s="17" t="s">
        <v>371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 t="s">
        <v>704</v>
      </c>
      <c r="AR43" t="s">
        <v>349</v>
      </c>
      <c r="AS43" t="s">
        <v>349</v>
      </c>
      <c r="AT43">
        <v>1</v>
      </c>
      <c r="AU43">
        <v>0</v>
      </c>
      <c r="AV43">
        <v>0</v>
      </c>
      <c r="AW43" t="s">
        <v>704</v>
      </c>
      <c r="AX43" t="s">
        <v>1222</v>
      </c>
      <c r="AY43" t="s">
        <v>293</v>
      </c>
      <c r="AZ43" t="s">
        <v>353</v>
      </c>
      <c r="BA43" t="s">
        <v>355</v>
      </c>
      <c r="BB43" t="s">
        <v>300</v>
      </c>
      <c r="BC43" t="s">
        <v>292</v>
      </c>
      <c r="BD43" t="s">
        <v>293</v>
      </c>
      <c r="BE43" t="s">
        <v>292</v>
      </c>
      <c r="BF43" t="s">
        <v>292</v>
      </c>
      <c r="BG43" t="s">
        <v>293</v>
      </c>
      <c r="BH43" t="s">
        <v>302</v>
      </c>
      <c r="BI43" t="s">
        <v>358</v>
      </c>
      <c r="BJ43" t="s">
        <v>359</v>
      </c>
      <c r="BK43" t="s">
        <v>293</v>
      </c>
      <c r="BL43" t="s">
        <v>293</v>
      </c>
      <c r="BM43" t="s">
        <v>297</v>
      </c>
      <c r="BN43" t="s">
        <v>298</v>
      </c>
      <c r="BO43" t="s">
        <v>293</v>
      </c>
      <c r="BP43" t="s">
        <v>292</v>
      </c>
      <c r="BQ43" t="s">
        <v>293</v>
      </c>
      <c r="BR43" t="s">
        <v>293</v>
      </c>
      <c r="BS43" t="s">
        <v>364</v>
      </c>
      <c r="BT43" t="s">
        <v>304</v>
      </c>
      <c r="BU43" t="s">
        <v>371</v>
      </c>
      <c r="BV43" t="s">
        <v>371</v>
      </c>
      <c r="BW43" t="s">
        <v>2486</v>
      </c>
      <c r="BX43" t="str">
        <f>IF(J43="win",VLOOKUP(B43,ColorScheme!$A$2:$I$32,4,0),VLOOKUP(B43,ColorScheme!$A$2:$I$32,5,0))</f>
        <v>#ff81c050</v>
      </c>
    </row>
    <row r="44" spans="1:76" x14ac:dyDescent="0.3">
      <c r="A44" t="s">
        <v>45</v>
      </c>
      <c r="B44" t="s">
        <v>53</v>
      </c>
      <c r="C44" t="s">
        <v>19</v>
      </c>
      <c r="D44" t="s">
        <v>29</v>
      </c>
      <c r="E44" t="s">
        <v>746</v>
      </c>
      <c r="F44" t="b">
        <v>1</v>
      </c>
      <c r="G44">
        <v>100</v>
      </c>
      <c r="H44">
        <v>1</v>
      </c>
      <c r="I44">
        <v>12848</v>
      </c>
      <c r="J44" s="61" t="s">
        <v>18</v>
      </c>
      <c r="K44" s="16" t="s">
        <v>272</v>
      </c>
      <c r="L44" s="16">
        <v>3</v>
      </c>
      <c r="M44" s="16" t="s">
        <v>277</v>
      </c>
      <c r="N44" s="16" t="s">
        <v>335</v>
      </c>
      <c r="O44" s="15" t="s">
        <v>282</v>
      </c>
      <c r="P44" t="s">
        <v>371</v>
      </c>
      <c r="Q44" t="s">
        <v>371</v>
      </c>
      <c r="R44" s="17" t="s">
        <v>371</v>
      </c>
      <c r="S44" s="17">
        <v>0</v>
      </c>
      <c r="T44" s="17">
        <v>1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 t="s">
        <v>704</v>
      </c>
      <c r="AD44" s="16" t="s">
        <v>340</v>
      </c>
      <c r="AE44" s="16" t="s">
        <v>340</v>
      </c>
      <c r="AF44" s="15" t="s">
        <v>343</v>
      </c>
      <c r="AG44" s="15" t="s">
        <v>291</v>
      </c>
      <c r="AH44" s="17" t="s">
        <v>371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 t="s">
        <v>704</v>
      </c>
      <c r="AR44" t="s">
        <v>349</v>
      </c>
      <c r="AS44" t="s">
        <v>349</v>
      </c>
      <c r="AT44">
        <v>1</v>
      </c>
      <c r="AU44">
        <v>0</v>
      </c>
      <c r="AV44">
        <v>0</v>
      </c>
      <c r="AW44" t="s">
        <v>704</v>
      </c>
      <c r="AX44" t="s">
        <v>1222</v>
      </c>
      <c r="AY44" t="s">
        <v>293</v>
      </c>
      <c r="AZ44" t="s">
        <v>353</v>
      </c>
      <c r="BA44" t="s">
        <v>296</v>
      </c>
      <c r="BB44" t="s">
        <v>301</v>
      </c>
      <c r="BC44" t="s">
        <v>292</v>
      </c>
      <c r="BD44" t="s">
        <v>293</v>
      </c>
      <c r="BE44" t="s">
        <v>293</v>
      </c>
      <c r="BF44" t="s">
        <v>292</v>
      </c>
      <c r="BG44" t="s">
        <v>293</v>
      </c>
      <c r="BH44" t="s">
        <v>302</v>
      </c>
      <c r="BI44" t="s">
        <v>302</v>
      </c>
      <c r="BJ44" t="s">
        <v>359</v>
      </c>
      <c r="BK44" t="s">
        <v>293</v>
      </c>
      <c r="BL44" t="s">
        <v>293</v>
      </c>
      <c r="BM44" t="s">
        <v>296</v>
      </c>
      <c r="BN44" t="s">
        <v>298</v>
      </c>
      <c r="BO44" t="s">
        <v>293</v>
      </c>
      <c r="BP44" t="s">
        <v>292</v>
      </c>
      <c r="BQ44" t="s">
        <v>293</v>
      </c>
      <c r="BR44" t="s">
        <v>293</v>
      </c>
      <c r="BS44" t="s">
        <v>364</v>
      </c>
      <c r="BT44" t="s">
        <v>304</v>
      </c>
      <c r="BU44" t="s">
        <v>371</v>
      </c>
      <c r="BV44" t="s">
        <v>371</v>
      </c>
      <c r="BW44" t="s">
        <v>2487</v>
      </c>
      <c r="BX44" t="str">
        <f>IF(J44="win",VLOOKUP(B44,ColorScheme!$A$2:$I$32,4,0),VLOOKUP(B44,ColorScheme!$A$2:$I$32,5,0))</f>
        <v>#ff81c050</v>
      </c>
    </row>
    <row r="45" spans="1:76" x14ac:dyDescent="0.3">
      <c r="A45" t="s">
        <v>45</v>
      </c>
      <c r="B45" t="s">
        <v>53</v>
      </c>
      <c r="C45" t="s">
        <v>17</v>
      </c>
      <c r="D45" t="s">
        <v>29</v>
      </c>
      <c r="E45" t="s">
        <v>747</v>
      </c>
      <c r="F45" t="b">
        <v>1</v>
      </c>
      <c r="G45">
        <v>82.6</v>
      </c>
      <c r="H45">
        <v>0</v>
      </c>
      <c r="I45">
        <v>11891</v>
      </c>
      <c r="J45" s="61" t="s">
        <v>13</v>
      </c>
      <c r="K45" s="16" t="s">
        <v>272</v>
      </c>
      <c r="L45" s="16">
        <v>3</v>
      </c>
      <c r="M45" s="16" t="s">
        <v>277</v>
      </c>
      <c r="N45" s="16" t="s">
        <v>335</v>
      </c>
      <c r="O45" s="15" t="s">
        <v>283</v>
      </c>
      <c r="P45" t="s">
        <v>282</v>
      </c>
      <c r="Q45" t="s">
        <v>284</v>
      </c>
      <c r="R45" s="17" t="s">
        <v>371</v>
      </c>
      <c r="S45" s="17">
        <v>0</v>
      </c>
      <c r="T45" s="17">
        <v>1</v>
      </c>
      <c r="U45" s="17">
        <v>1</v>
      </c>
      <c r="V45" s="17">
        <v>1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 t="s">
        <v>704</v>
      </c>
      <c r="AD45" s="16" t="s">
        <v>341</v>
      </c>
      <c r="AE45" s="16" t="s">
        <v>340</v>
      </c>
      <c r="AF45" s="15" t="s">
        <v>343</v>
      </c>
      <c r="AG45" s="15" t="s">
        <v>344</v>
      </c>
      <c r="AH45" s="17" t="s">
        <v>371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704</v>
      </c>
      <c r="AR45" t="s">
        <v>349</v>
      </c>
      <c r="AS45" t="s">
        <v>349</v>
      </c>
      <c r="AT45">
        <v>1</v>
      </c>
      <c r="AU45">
        <v>0</v>
      </c>
      <c r="AV45">
        <v>0</v>
      </c>
      <c r="AW45" t="s">
        <v>704</v>
      </c>
      <c r="AX45" t="s">
        <v>1223</v>
      </c>
      <c r="AY45" t="s">
        <v>293</v>
      </c>
      <c r="AZ45" t="s">
        <v>352</v>
      </c>
      <c r="BA45" t="s">
        <v>296</v>
      </c>
      <c r="BB45" t="s">
        <v>300</v>
      </c>
      <c r="BC45" t="s">
        <v>292</v>
      </c>
      <c r="BD45" t="s">
        <v>293</v>
      </c>
      <c r="BE45" t="s">
        <v>292</v>
      </c>
      <c r="BF45" t="s">
        <v>292</v>
      </c>
      <c r="BG45" t="s">
        <v>293</v>
      </c>
      <c r="BH45" t="s">
        <v>302</v>
      </c>
      <c r="BI45" t="s">
        <v>302</v>
      </c>
      <c r="BJ45" t="s">
        <v>359</v>
      </c>
      <c r="BK45" t="s">
        <v>293</v>
      </c>
      <c r="BL45" t="s">
        <v>293</v>
      </c>
      <c r="BM45" t="s">
        <v>297</v>
      </c>
      <c r="BN45" t="s">
        <v>298</v>
      </c>
      <c r="BO45" t="s">
        <v>293</v>
      </c>
      <c r="BP45" t="s">
        <v>292</v>
      </c>
      <c r="BQ45" t="s">
        <v>293</v>
      </c>
      <c r="BR45" t="s">
        <v>293</v>
      </c>
      <c r="BS45" t="s">
        <v>364</v>
      </c>
      <c r="BT45" t="s">
        <v>366</v>
      </c>
      <c r="BU45" t="s">
        <v>371</v>
      </c>
      <c r="BV45" t="s">
        <v>371</v>
      </c>
      <c r="BW45" t="s">
        <v>2488</v>
      </c>
      <c r="BX45" t="str">
        <f>IF(J45="win",VLOOKUP(B45,ColorScheme!$A$2:$I$32,4,0),VLOOKUP(B45,ColorScheme!$A$2:$I$32,5,0))</f>
        <v>#ff81c0</v>
      </c>
    </row>
    <row r="46" spans="1:76" x14ac:dyDescent="0.3">
      <c r="A46" t="s">
        <v>9</v>
      </c>
      <c r="B46" t="s">
        <v>76</v>
      </c>
      <c r="C46" t="s">
        <v>15</v>
      </c>
      <c r="D46" t="s">
        <v>12</v>
      </c>
      <c r="E46" t="s">
        <v>748</v>
      </c>
      <c r="F46" t="b">
        <v>1</v>
      </c>
      <c r="G46">
        <v>100</v>
      </c>
      <c r="H46">
        <v>1</v>
      </c>
      <c r="I46">
        <v>13485</v>
      </c>
      <c r="J46" s="61" t="s">
        <v>18</v>
      </c>
      <c r="K46" s="16" t="s">
        <v>272</v>
      </c>
      <c r="L46" s="16">
        <v>3</v>
      </c>
      <c r="M46" s="16" t="s">
        <v>334</v>
      </c>
      <c r="N46" s="16" t="s">
        <v>334</v>
      </c>
      <c r="O46" s="15" t="s">
        <v>371</v>
      </c>
      <c r="P46" t="s">
        <v>371</v>
      </c>
      <c r="Q46" t="s">
        <v>371</v>
      </c>
      <c r="R46" s="17" t="s">
        <v>371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 t="s">
        <v>704</v>
      </c>
      <c r="AD46" s="16" t="s">
        <v>341</v>
      </c>
      <c r="AE46" s="16" t="s">
        <v>342</v>
      </c>
      <c r="AF46" s="15" t="s">
        <v>343</v>
      </c>
      <c r="AG46" s="15" t="s">
        <v>291</v>
      </c>
      <c r="AH46" s="17" t="s">
        <v>371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 t="s">
        <v>704</v>
      </c>
      <c r="AR46" t="s">
        <v>349</v>
      </c>
      <c r="AS46" t="s">
        <v>349</v>
      </c>
      <c r="AT46">
        <v>1</v>
      </c>
      <c r="AU46">
        <v>0</v>
      </c>
      <c r="AV46">
        <v>0</v>
      </c>
      <c r="AW46" t="s">
        <v>704</v>
      </c>
      <c r="AX46" t="s">
        <v>1224</v>
      </c>
      <c r="AY46" t="s">
        <v>293</v>
      </c>
      <c r="AZ46" t="s">
        <v>353</v>
      </c>
      <c r="BA46" t="s">
        <v>296</v>
      </c>
      <c r="BB46" t="s">
        <v>301</v>
      </c>
      <c r="BC46" t="s">
        <v>293</v>
      </c>
      <c r="BD46" t="s">
        <v>293</v>
      </c>
      <c r="BE46" t="s">
        <v>292</v>
      </c>
      <c r="BF46" t="s">
        <v>292</v>
      </c>
      <c r="BG46" t="s">
        <v>293</v>
      </c>
      <c r="BH46" t="s">
        <v>359</v>
      </c>
      <c r="BI46" t="s">
        <v>359</v>
      </c>
      <c r="BJ46" t="s">
        <v>359</v>
      </c>
      <c r="BK46" t="s">
        <v>293</v>
      </c>
      <c r="BL46" t="s">
        <v>293</v>
      </c>
      <c r="BM46" t="s">
        <v>297</v>
      </c>
      <c r="BN46" t="s">
        <v>334</v>
      </c>
      <c r="BO46" t="s">
        <v>293</v>
      </c>
      <c r="BP46" t="s">
        <v>292</v>
      </c>
      <c r="BQ46" t="s">
        <v>293</v>
      </c>
      <c r="BR46" t="s">
        <v>293</v>
      </c>
      <c r="BS46" t="s">
        <v>364</v>
      </c>
      <c r="BT46" t="s">
        <v>304</v>
      </c>
      <c r="BU46" t="s">
        <v>371</v>
      </c>
      <c r="BV46" t="s">
        <v>371</v>
      </c>
      <c r="BW46" t="s">
        <v>2489</v>
      </c>
      <c r="BX46" t="str">
        <f>IF(J46="win",VLOOKUP(B46,ColorScheme!$A$2:$I$32,4,0),VLOOKUP(B46,ColorScheme!$A$2:$I$32,5,0))</f>
        <v>#65370050</v>
      </c>
    </row>
    <row r="47" spans="1:76" x14ac:dyDescent="0.3">
      <c r="A47" t="s">
        <v>9</v>
      </c>
      <c r="B47" t="s">
        <v>76</v>
      </c>
      <c r="C47" t="s">
        <v>14</v>
      </c>
      <c r="D47" t="s">
        <v>12</v>
      </c>
      <c r="E47" t="s">
        <v>749</v>
      </c>
      <c r="F47" t="b">
        <v>1</v>
      </c>
      <c r="G47">
        <v>81.8</v>
      </c>
      <c r="H47">
        <v>0</v>
      </c>
      <c r="I47">
        <v>13582</v>
      </c>
      <c r="J47" s="61" t="s">
        <v>13</v>
      </c>
      <c r="K47" s="16" t="s">
        <v>272</v>
      </c>
      <c r="L47" s="16">
        <v>3</v>
      </c>
      <c r="M47" s="16" t="s">
        <v>277</v>
      </c>
      <c r="N47" s="16" t="s">
        <v>335</v>
      </c>
      <c r="O47" s="15" t="s">
        <v>281</v>
      </c>
      <c r="P47" t="s">
        <v>282</v>
      </c>
      <c r="Q47" t="s">
        <v>371</v>
      </c>
      <c r="R47" s="17" t="s">
        <v>371</v>
      </c>
      <c r="S47" s="17">
        <v>1</v>
      </c>
      <c r="T47" s="17">
        <v>1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 t="s">
        <v>704</v>
      </c>
      <c r="AD47" s="16" t="s">
        <v>341</v>
      </c>
      <c r="AE47" s="16" t="s">
        <v>340</v>
      </c>
      <c r="AF47" s="15" t="s">
        <v>343</v>
      </c>
      <c r="AG47" s="15" t="s">
        <v>344</v>
      </c>
      <c r="AH47" s="17" t="s">
        <v>291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704</v>
      </c>
      <c r="AR47" t="s">
        <v>349</v>
      </c>
      <c r="AS47" t="s">
        <v>349</v>
      </c>
      <c r="AT47">
        <v>1</v>
      </c>
      <c r="AU47">
        <v>0</v>
      </c>
      <c r="AV47">
        <v>0</v>
      </c>
      <c r="AW47" t="s">
        <v>704</v>
      </c>
      <c r="AX47" t="s">
        <v>1225</v>
      </c>
      <c r="AY47" t="s">
        <v>293</v>
      </c>
      <c r="AZ47" t="s">
        <v>352</v>
      </c>
      <c r="BA47" t="s">
        <v>296</v>
      </c>
      <c r="BB47" t="s">
        <v>300</v>
      </c>
      <c r="BC47" t="s">
        <v>293</v>
      </c>
      <c r="BD47" t="s">
        <v>292</v>
      </c>
      <c r="BE47" t="s">
        <v>292</v>
      </c>
      <c r="BF47" t="s">
        <v>292</v>
      </c>
      <c r="BG47" t="s">
        <v>293</v>
      </c>
      <c r="BH47" t="s">
        <v>302</v>
      </c>
      <c r="BI47" t="s">
        <v>302</v>
      </c>
      <c r="BJ47" t="s">
        <v>359</v>
      </c>
      <c r="BK47" t="s">
        <v>293</v>
      </c>
      <c r="BL47" t="s">
        <v>293</v>
      </c>
      <c r="BM47" t="s">
        <v>297</v>
      </c>
      <c r="BN47" t="s">
        <v>356</v>
      </c>
      <c r="BO47" t="s">
        <v>293</v>
      </c>
      <c r="BP47" t="s">
        <v>292</v>
      </c>
      <c r="BQ47" t="s">
        <v>293</v>
      </c>
      <c r="BR47" t="s">
        <v>293</v>
      </c>
      <c r="BS47" t="s">
        <v>364</v>
      </c>
      <c r="BT47" t="s">
        <v>366</v>
      </c>
      <c r="BU47" t="s">
        <v>371</v>
      </c>
      <c r="BV47" t="s">
        <v>371</v>
      </c>
      <c r="BW47" t="s">
        <v>2490</v>
      </c>
      <c r="BX47" t="str">
        <f>IF(J47="win",VLOOKUP(B47,ColorScheme!$A$2:$I$32,4,0),VLOOKUP(B47,ColorScheme!$A$2:$I$32,5,0))</f>
        <v>#653700</v>
      </c>
    </row>
    <row r="48" spans="1:76" x14ac:dyDescent="0.3">
      <c r="A48" t="s">
        <v>9</v>
      </c>
      <c r="B48" t="s">
        <v>76</v>
      </c>
      <c r="C48" t="s">
        <v>11</v>
      </c>
      <c r="D48" t="s">
        <v>12</v>
      </c>
      <c r="E48" t="s">
        <v>750</v>
      </c>
      <c r="F48" t="b">
        <v>1</v>
      </c>
      <c r="G48">
        <v>68.599999999999994</v>
      </c>
      <c r="H48">
        <v>0</v>
      </c>
      <c r="I48">
        <v>11742</v>
      </c>
      <c r="J48" s="61" t="s">
        <v>13</v>
      </c>
      <c r="K48" s="16" t="s">
        <v>272</v>
      </c>
      <c r="L48" s="16">
        <v>3</v>
      </c>
      <c r="M48" s="16" t="s">
        <v>277</v>
      </c>
      <c r="N48" s="16" t="s">
        <v>335</v>
      </c>
      <c r="O48" s="15" t="s">
        <v>282</v>
      </c>
      <c r="P48" t="s">
        <v>371</v>
      </c>
      <c r="Q48" t="s">
        <v>371</v>
      </c>
      <c r="R48" s="17" t="s">
        <v>371</v>
      </c>
      <c r="S48" s="17">
        <v>0</v>
      </c>
      <c r="T48" s="17">
        <v>1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 t="s">
        <v>704</v>
      </c>
      <c r="AD48" s="16" t="s">
        <v>341</v>
      </c>
      <c r="AE48" s="16" t="s">
        <v>340</v>
      </c>
      <c r="AF48" s="15" t="s">
        <v>343</v>
      </c>
      <c r="AG48" s="15" t="s">
        <v>344</v>
      </c>
      <c r="AH48" s="17" t="s">
        <v>371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704</v>
      </c>
      <c r="AR48" t="s">
        <v>349</v>
      </c>
      <c r="AS48" t="s">
        <v>349</v>
      </c>
      <c r="AT48">
        <v>1</v>
      </c>
      <c r="AU48">
        <v>0</v>
      </c>
      <c r="AV48">
        <v>0</v>
      </c>
      <c r="AW48" t="s">
        <v>704</v>
      </c>
      <c r="AX48" t="s">
        <v>1208</v>
      </c>
      <c r="AY48" t="s">
        <v>293</v>
      </c>
      <c r="AZ48" t="s">
        <v>353</v>
      </c>
      <c r="BA48" t="s">
        <v>296</v>
      </c>
      <c r="BB48" t="s">
        <v>299</v>
      </c>
      <c r="BC48" t="s">
        <v>292</v>
      </c>
      <c r="BD48" t="s">
        <v>293</v>
      </c>
      <c r="BE48" t="s">
        <v>292</v>
      </c>
      <c r="BF48" t="s">
        <v>292</v>
      </c>
      <c r="BG48" t="s">
        <v>293</v>
      </c>
      <c r="BH48" t="s">
        <v>302</v>
      </c>
      <c r="BI48" t="s">
        <v>302</v>
      </c>
      <c r="BJ48" t="s">
        <v>359</v>
      </c>
      <c r="BK48" t="s">
        <v>293</v>
      </c>
      <c r="BL48" t="s">
        <v>293</v>
      </c>
      <c r="BM48" t="s">
        <v>297</v>
      </c>
      <c r="BN48" t="s">
        <v>298</v>
      </c>
      <c r="BO48" t="s">
        <v>293</v>
      </c>
      <c r="BP48" t="s">
        <v>292</v>
      </c>
      <c r="BQ48" t="s">
        <v>293</v>
      </c>
      <c r="BR48" t="s">
        <v>293</v>
      </c>
      <c r="BS48" t="s">
        <v>364</v>
      </c>
      <c r="BT48" t="s">
        <v>366</v>
      </c>
      <c r="BU48" t="s">
        <v>371</v>
      </c>
      <c r="BV48" t="s">
        <v>371</v>
      </c>
      <c r="BW48" t="s">
        <v>2491</v>
      </c>
      <c r="BX48" t="str">
        <f>IF(J48="win",VLOOKUP(B48,ColorScheme!$A$2:$I$32,4,0),VLOOKUP(B48,ColorScheme!$A$2:$I$32,5,0))</f>
        <v>#653700</v>
      </c>
    </row>
    <row r="49" spans="1:76" x14ac:dyDescent="0.3">
      <c r="A49" t="s">
        <v>9</v>
      </c>
      <c r="B49" t="s">
        <v>76</v>
      </c>
      <c r="C49" t="s">
        <v>19</v>
      </c>
      <c r="D49" t="s">
        <v>12</v>
      </c>
      <c r="E49" t="s">
        <v>751</v>
      </c>
      <c r="F49" t="b">
        <v>1</v>
      </c>
      <c r="G49">
        <v>100</v>
      </c>
      <c r="H49">
        <v>1</v>
      </c>
      <c r="I49">
        <v>22643</v>
      </c>
      <c r="J49" s="61" t="s">
        <v>18</v>
      </c>
      <c r="K49" s="16" t="s">
        <v>272</v>
      </c>
      <c r="L49" s="16">
        <v>3</v>
      </c>
      <c r="M49" s="16" t="s">
        <v>277</v>
      </c>
      <c r="N49" s="16" t="s">
        <v>335</v>
      </c>
      <c r="O49" s="15" t="s">
        <v>282</v>
      </c>
      <c r="P49" t="s">
        <v>371</v>
      </c>
      <c r="Q49" t="s">
        <v>371</v>
      </c>
      <c r="R49" s="17" t="s">
        <v>371</v>
      </c>
      <c r="S49" s="17">
        <v>0</v>
      </c>
      <c r="T49" s="17">
        <v>1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 t="s">
        <v>704</v>
      </c>
      <c r="AD49" s="16" t="s">
        <v>341</v>
      </c>
      <c r="AE49" s="16" t="s">
        <v>342</v>
      </c>
      <c r="AF49" s="15" t="s">
        <v>343</v>
      </c>
      <c r="AG49" s="15" t="s">
        <v>347</v>
      </c>
      <c r="AH49" s="17" t="s">
        <v>291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 t="s">
        <v>704</v>
      </c>
      <c r="AR49" t="s">
        <v>349</v>
      </c>
      <c r="AS49" t="s">
        <v>349</v>
      </c>
      <c r="AT49">
        <v>1</v>
      </c>
      <c r="AU49">
        <v>0</v>
      </c>
      <c r="AV49">
        <v>0</v>
      </c>
      <c r="AW49" t="s">
        <v>704</v>
      </c>
      <c r="AX49" t="s">
        <v>1226</v>
      </c>
      <c r="AY49" t="s">
        <v>293</v>
      </c>
      <c r="AZ49" t="s">
        <v>352</v>
      </c>
      <c r="BA49" t="s">
        <v>296</v>
      </c>
      <c r="BB49" t="s">
        <v>301</v>
      </c>
      <c r="BC49" t="s">
        <v>292</v>
      </c>
      <c r="BD49" t="s">
        <v>293</v>
      </c>
      <c r="BE49" t="s">
        <v>292</v>
      </c>
      <c r="BF49" t="s">
        <v>292</v>
      </c>
      <c r="BG49" t="s">
        <v>293</v>
      </c>
      <c r="BH49" t="s">
        <v>302</v>
      </c>
      <c r="BI49" t="s">
        <v>302</v>
      </c>
      <c r="BJ49" t="s">
        <v>359</v>
      </c>
      <c r="BK49" t="s">
        <v>293</v>
      </c>
      <c r="BL49" t="s">
        <v>293</v>
      </c>
      <c r="BM49" t="s">
        <v>297</v>
      </c>
      <c r="BN49" t="s">
        <v>298</v>
      </c>
      <c r="BO49" t="s">
        <v>293</v>
      </c>
      <c r="BP49" t="s">
        <v>292</v>
      </c>
      <c r="BQ49" t="s">
        <v>293</v>
      </c>
      <c r="BR49" t="s">
        <v>293</v>
      </c>
      <c r="BS49" t="s">
        <v>364</v>
      </c>
      <c r="BT49" t="s">
        <v>304</v>
      </c>
      <c r="BU49" t="s">
        <v>371</v>
      </c>
      <c r="BV49" t="s">
        <v>371</v>
      </c>
      <c r="BW49" t="s">
        <v>2492</v>
      </c>
      <c r="BX49" t="str">
        <f>IF(J49="win",VLOOKUP(B49,ColorScheme!$A$2:$I$32,4,0),VLOOKUP(B49,ColorScheme!$A$2:$I$32,5,0))</f>
        <v>#65370050</v>
      </c>
    </row>
    <row r="50" spans="1:76" x14ac:dyDescent="0.3">
      <c r="A50" t="s">
        <v>9</v>
      </c>
      <c r="B50" t="s">
        <v>76</v>
      </c>
      <c r="C50" t="s">
        <v>17</v>
      </c>
      <c r="D50" t="s">
        <v>12</v>
      </c>
      <c r="E50" t="s">
        <v>752</v>
      </c>
      <c r="F50" t="b">
        <v>1</v>
      </c>
      <c r="G50">
        <v>100</v>
      </c>
      <c r="H50">
        <v>1</v>
      </c>
      <c r="I50">
        <v>18290</v>
      </c>
      <c r="J50" s="61" t="s">
        <v>18</v>
      </c>
      <c r="K50" s="16" t="s">
        <v>272</v>
      </c>
      <c r="L50" s="16">
        <v>3</v>
      </c>
      <c r="M50" s="16" t="s">
        <v>277</v>
      </c>
      <c r="N50" s="16" t="s">
        <v>335</v>
      </c>
      <c r="O50" s="15" t="s">
        <v>282</v>
      </c>
      <c r="P50" t="s">
        <v>371</v>
      </c>
      <c r="Q50" t="s">
        <v>371</v>
      </c>
      <c r="R50" s="17" t="s">
        <v>371</v>
      </c>
      <c r="S50" s="17">
        <v>0</v>
      </c>
      <c r="T50" s="17">
        <v>1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 t="s">
        <v>704</v>
      </c>
      <c r="AD50" s="16" t="s">
        <v>341</v>
      </c>
      <c r="AE50" s="16" t="s">
        <v>340</v>
      </c>
      <c r="AF50" s="15" t="s">
        <v>343</v>
      </c>
      <c r="AG50" s="15" t="s">
        <v>347</v>
      </c>
      <c r="AH50" s="17" t="s">
        <v>371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 t="s">
        <v>704</v>
      </c>
      <c r="AR50" t="s">
        <v>349</v>
      </c>
      <c r="AS50" t="s">
        <v>349</v>
      </c>
      <c r="AT50">
        <v>1</v>
      </c>
      <c r="AU50">
        <v>0</v>
      </c>
      <c r="AV50">
        <v>0</v>
      </c>
      <c r="AW50" t="s">
        <v>704</v>
      </c>
      <c r="AX50" t="s">
        <v>1227</v>
      </c>
      <c r="AY50" t="s">
        <v>293</v>
      </c>
      <c r="AZ50" t="s">
        <v>352</v>
      </c>
      <c r="BA50" t="s">
        <v>296</v>
      </c>
      <c r="BB50" t="s">
        <v>301</v>
      </c>
      <c r="BC50" t="s">
        <v>292</v>
      </c>
      <c r="BD50" t="s">
        <v>293</v>
      </c>
      <c r="BE50" t="s">
        <v>292</v>
      </c>
      <c r="BF50" t="s">
        <v>292</v>
      </c>
      <c r="BG50" t="s">
        <v>293</v>
      </c>
      <c r="BH50" t="s">
        <v>302</v>
      </c>
      <c r="BI50" t="s">
        <v>302</v>
      </c>
      <c r="BJ50" t="s">
        <v>359</v>
      </c>
      <c r="BK50" t="s">
        <v>293</v>
      </c>
      <c r="BL50" t="s">
        <v>293</v>
      </c>
      <c r="BM50" t="s">
        <v>297</v>
      </c>
      <c r="BN50" t="s">
        <v>298</v>
      </c>
      <c r="BO50" t="s">
        <v>293</v>
      </c>
      <c r="BP50" t="s">
        <v>292</v>
      </c>
      <c r="BQ50" t="s">
        <v>293</v>
      </c>
      <c r="BR50" t="s">
        <v>293</v>
      </c>
      <c r="BS50" t="s">
        <v>364</v>
      </c>
      <c r="BT50" t="s">
        <v>304</v>
      </c>
      <c r="BU50" t="s">
        <v>371</v>
      </c>
      <c r="BV50" t="s">
        <v>371</v>
      </c>
      <c r="BW50" t="s">
        <v>2493</v>
      </c>
      <c r="BX50" t="str">
        <f>IF(J50="win",VLOOKUP(B50,ColorScheme!$A$2:$I$32,4,0),VLOOKUP(B50,ColorScheme!$A$2:$I$32,5,0))</f>
        <v>#65370050</v>
      </c>
    </row>
    <row r="51" spans="1:76" x14ac:dyDescent="0.3">
      <c r="A51" t="s">
        <v>9</v>
      </c>
      <c r="B51" t="s">
        <v>76</v>
      </c>
      <c r="C51" t="s">
        <v>16</v>
      </c>
      <c r="D51" t="s">
        <v>12</v>
      </c>
      <c r="E51" t="s">
        <v>753</v>
      </c>
      <c r="F51" t="b">
        <v>1</v>
      </c>
      <c r="G51">
        <v>100</v>
      </c>
      <c r="H51">
        <v>1</v>
      </c>
      <c r="I51">
        <v>12651</v>
      </c>
      <c r="J51" s="61" t="s">
        <v>18</v>
      </c>
      <c r="K51" s="16" t="s">
        <v>272</v>
      </c>
      <c r="L51" s="16">
        <v>3</v>
      </c>
      <c r="M51" s="16" t="s">
        <v>277</v>
      </c>
      <c r="N51" s="16" t="s">
        <v>335</v>
      </c>
      <c r="O51" s="15" t="s">
        <v>282</v>
      </c>
      <c r="P51" t="s">
        <v>371</v>
      </c>
      <c r="Q51" t="s">
        <v>371</v>
      </c>
      <c r="R51" s="17" t="s">
        <v>371</v>
      </c>
      <c r="S51" s="17">
        <v>0</v>
      </c>
      <c r="T51" s="17">
        <v>1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 t="s">
        <v>704</v>
      </c>
      <c r="AD51" s="16" t="s">
        <v>341</v>
      </c>
      <c r="AE51" s="16" t="s">
        <v>340</v>
      </c>
      <c r="AF51" s="15" t="s">
        <v>343</v>
      </c>
      <c r="AG51" s="15" t="s">
        <v>291</v>
      </c>
      <c r="AH51" s="17" t="s">
        <v>371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 t="s">
        <v>704</v>
      </c>
      <c r="AR51" t="s">
        <v>349</v>
      </c>
      <c r="AS51" t="s">
        <v>349</v>
      </c>
      <c r="AT51">
        <v>1</v>
      </c>
      <c r="AU51">
        <v>0</v>
      </c>
      <c r="AV51">
        <v>0</v>
      </c>
      <c r="AW51" t="s">
        <v>704</v>
      </c>
      <c r="AX51" t="s">
        <v>1222</v>
      </c>
      <c r="AY51" t="s">
        <v>293</v>
      </c>
      <c r="AZ51" t="s">
        <v>352</v>
      </c>
      <c r="BA51" t="s">
        <v>296</v>
      </c>
      <c r="BB51" t="s">
        <v>301</v>
      </c>
      <c r="BC51" t="s">
        <v>292</v>
      </c>
      <c r="BD51" t="s">
        <v>293</v>
      </c>
      <c r="BE51" t="s">
        <v>292</v>
      </c>
      <c r="BF51" t="s">
        <v>292</v>
      </c>
      <c r="BG51" t="s">
        <v>293</v>
      </c>
      <c r="BH51" t="s">
        <v>302</v>
      </c>
      <c r="BI51" t="s">
        <v>302</v>
      </c>
      <c r="BJ51" t="s">
        <v>359</v>
      </c>
      <c r="BK51" t="s">
        <v>293</v>
      </c>
      <c r="BL51" t="s">
        <v>293</v>
      </c>
      <c r="BM51" t="s">
        <v>297</v>
      </c>
      <c r="BN51" t="s">
        <v>298</v>
      </c>
      <c r="BO51" t="s">
        <v>293</v>
      </c>
      <c r="BP51" t="s">
        <v>292</v>
      </c>
      <c r="BQ51" t="s">
        <v>293</v>
      </c>
      <c r="BR51" t="s">
        <v>293</v>
      </c>
      <c r="BS51" t="s">
        <v>364</v>
      </c>
      <c r="BT51" t="s">
        <v>304</v>
      </c>
      <c r="BU51" t="s">
        <v>371</v>
      </c>
      <c r="BV51" t="s">
        <v>371</v>
      </c>
      <c r="BW51" t="s">
        <v>2494</v>
      </c>
      <c r="BX51" t="str">
        <f>IF(J51="win",VLOOKUP(B51,ColorScheme!$A$2:$I$32,4,0),VLOOKUP(B51,ColorScheme!$A$2:$I$32,5,0))</f>
        <v>#65370050</v>
      </c>
    </row>
    <row r="52" spans="1:76" x14ac:dyDescent="0.3">
      <c r="A52" t="s">
        <v>9</v>
      </c>
      <c r="B52" t="s">
        <v>76</v>
      </c>
      <c r="C52" t="s">
        <v>20</v>
      </c>
      <c r="D52" t="s">
        <v>12</v>
      </c>
      <c r="E52" t="s">
        <v>754</v>
      </c>
      <c r="F52" t="b">
        <v>1</v>
      </c>
      <c r="G52">
        <v>100</v>
      </c>
      <c r="H52">
        <v>1</v>
      </c>
      <c r="I52">
        <v>10515</v>
      </c>
      <c r="J52" s="61" t="s">
        <v>18</v>
      </c>
      <c r="K52" s="16" t="s">
        <v>272</v>
      </c>
      <c r="L52" s="16">
        <v>3</v>
      </c>
      <c r="M52" s="16" t="s">
        <v>277</v>
      </c>
      <c r="N52" s="16" t="s">
        <v>335</v>
      </c>
      <c r="O52" s="15" t="s">
        <v>284</v>
      </c>
      <c r="P52" t="s">
        <v>282</v>
      </c>
      <c r="Q52" t="s">
        <v>371</v>
      </c>
      <c r="R52" s="17" t="s">
        <v>371</v>
      </c>
      <c r="S52" s="17">
        <v>0</v>
      </c>
      <c r="T52" s="17">
        <v>1</v>
      </c>
      <c r="U52" s="17">
        <v>0</v>
      </c>
      <c r="V52" s="17">
        <v>1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 t="s">
        <v>704</v>
      </c>
      <c r="AD52" s="16" t="s">
        <v>341</v>
      </c>
      <c r="AE52" s="16" t="s">
        <v>340</v>
      </c>
      <c r="AF52" s="15" t="s">
        <v>340</v>
      </c>
      <c r="AG52" s="15" t="s">
        <v>344</v>
      </c>
      <c r="AH52" s="17" t="s">
        <v>371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704</v>
      </c>
      <c r="AR52" t="s">
        <v>349</v>
      </c>
      <c r="AS52" t="s">
        <v>349</v>
      </c>
      <c r="AT52">
        <v>1</v>
      </c>
      <c r="AU52">
        <v>0</v>
      </c>
      <c r="AV52">
        <v>0</v>
      </c>
      <c r="AW52" t="s">
        <v>704</v>
      </c>
      <c r="AX52" t="s">
        <v>1228</v>
      </c>
      <c r="AY52" t="s">
        <v>293</v>
      </c>
      <c r="AZ52" t="s">
        <v>354</v>
      </c>
      <c r="BA52" t="s">
        <v>354</v>
      </c>
      <c r="BB52" t="s">
        <v>300</v>
      </c>
      <c r="BC52" t="s">
        <v>292</v>
      </c>
      <c r="BD52" t="s">
        <v>293</v>
      </c>
      <c r="BE52" t="s">
        <v>292</v>
      </c>
      <c r="BF52" t="s">
        <v>293</v>
      </c>
      <c r="BG52" t="s">
        <v>293</v>
      </c>
      <c r="BH52" t="s">
        <v>302</v>
      </c>
      <c r="BI52" t="s">
        <v>302</v>
      </c>
      <c r="BJ52" t="s">
        <v>358</v>
      </c>
      <c r="BK52" t="s">
        <v>293</v>
      </c>
      <c r="BL52" t="s">
        <v>292</v>
      </c>
      <c r="BM52" t="s">
        <v>297</v>
      </c>
      <c r="BN52" t="s">
        <v>298</v>
      </c>
      <c r="BO52" t="s">
        <v>293</v>
      </c>
      <c r="BP52" t="s">
        <v>292</v>
      </c>
      <c r="BQ52" t="s">
        <v>293</v>
      </c>
      <c r="BR52" t="s">
        <v>293</v>
      </c>
      <c r="BS52" t="s">
        <v>364</v>
      </c>
      <c r="BT52" t="s">
        <v>304</v>
      </c>
      <c r="BU52" t="s">
        <v>371</v>
      </c>
      <c r="BV52" t="s">
        <v>371</v>
      </c>
      <c r="BW52" t="s">
        <v>2495</v>
      </c>
      <c r="BX52" t="str">
        <f>IF(J52="win",VLOOKUP(B52,ColorScheme!$A$2:$I$32,4,0),VLOOKUP(B52,ColorScheme!$A$2:$I$32,5,0))</f>
        <v>#65370050</v>
      </c>
    </row>
    <row r="53" spans="1:76" x14ac:dyDescent="0.3">
      <c r="A53" t="s">
        <v>9</v>
      </c>
      <c r="B53" t="s">
        <v>76</v>
      </c>
      <c r="C53" t="s">
        <v>23</v>
      </c>
      <c r="D53" t="s">
        <v>29</v>
      </c>
      <c r="E53" t="s">
        <v>755</v>
      </c>
      <c r="F53" t="b">
        <v>1</v>
      </c>
      <c r="G53">
        <v>100</v>
      </c>
      <c r="H53">
        <v>1</v>
      </c>
      <c r="I53">
        <v>15511</v>
      </c>
      <c r="J53" s="61" t="s">
        <v>18</v>
      </c>
      <c r="K53" s="16" t="s">
        <v>272</v>
      </c>
      <c r="L53" s="16">
        <v>3</v>
      </c>
      <c r="M53" s="16" t="s">
        <v>277</v>
      </c>
      <c r="N53" s="16" t="s">
        <v>335</v>
      </c>
      <c r="O53" s="15" t="s">
        <v>283</v>
      </c>
      <c r="P53" t="s">
        <v>282</v>
      </c>
      <c r="Q53" t="s">
        <v>371</v>
      </c>
      <c r="R53" s="17" t="s">
        <v>371</v>
      </c>
      <c r="S53" s="17">
        <v>0</v>
      </c>
      <c r="T53" s="17">
        <v>1</v>
      </c>
      <c r="U53" s="17">
        <v>1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 t="s">
        <v>704</v>
      </c>
      <c r="AD53" s="16" t="s">
        <v>340</v>
      </c>
      <c r="AE53" s="16" t="s">
        <v>342</v>
      </c>
      <c r="AF53" s="15" t="s">
        <v>343</v>
      </c>
      <c r="AG53" s="15" t="s">
        <v>344</v>
      </c>
      <c r="AH53" s="17" t="s">
        <v>371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704</v>
      </c>
      <c r="AR53" t="s">
        <v>349</v>
      </c>
      <c r="AS53" t="s">
        <v>349</v>
      </c>
      <c r="AT53">
        <v>1</v>
      </c>
      <c r="AU53">
        <v>0</v>
      </c>
      <c r="AV53">
        <v>0</v>
      </c>
      <c r="AW53" t="s">
        <v>704</v>
      </c>
      <c r="AX53" t="s">
        <v>1207</v>
      </c>
      <c r="AY53" t="s">
        <v>293</v>
      </c>
      <c r="AZ53" t="s">
        <v>352</v>
      </c>
      <c r="BA53" t="s">
        <v>296</v>
      </c>
      <c r="BB53" t="s">
        <v>300</v>
      </c>
      <c r="BC53" t="s">
        <v>292</v>
      </c>
      <c r="BD53" t="s">
        <v>293</v>
      </c>
      <c r="BE53" t="s">
        <v>292</v>
      </c>
      <c r="BF53" t="s">
        <v>292</v>
      </c>
      <c r="BG53" t="s">
        <v>293</v>
      </c>
      <c r="BH53" t="s">
        <v>302</v>
      </c>
      <c r="BI53" t="s">
        <v>302</v>
      </c>
      <c r="BJ53" t="s">
        <v>359</v>
      </c>
      <c r="BK53" t="s">
        <v>293</v>
      </c>
      <c r="BL53" t="s">
        <v>293</v>
      </c>
      <c r="BM53" t="s">
        <v>297</v>
      </c>
      <c r="BN53" t="s">
        <v>298</v>
      </c>
      <c r="BO53" t="s">
        <v>293</v>
      </c>
      <c r="BP53" t="s">
        <v>292</v>
      </c>
      <c r="BQ53" t="s">
        <v>293</v>
      </c>
      <c r="BR53" t="s">
        <v>293</v>
      </c>
      <c r="BS53" t="s">
        <v>364</v>
      </c>
      <c r="BT53" t="s">
        <v>304</v>
      </c>
      <c r="BU53" t="s">
        <v>371</v>
      </c>
      <c r="BV53" t="s">
        <v>371</v>
      </c>
      <c r="BW53" t="s">
        <v>2496</v>
      </c>
      <c r="BX53" t="str">
        <f>IF(J53="win",VLOOKUP(B53,ColorScheme!$A$2:$I$32,4,0),VLOOKUP(B53,ColorScheme!$A$2:$I$32,5,0))</f>
        <v>#65370050</v>
      </c>
    </row>
    <row r="54" spans="1:76" x14ac:dyDescent="0.3">
      <c r="A54" t="s">
        <v>9</v>
      </c>
      <c r="B54" t="s">
        <v>76</v>
      </c>
      <c r="C54" t="s">
        <v>25</v>
      </c>
      <c r="D54" t="s">
        <v>29</v>
      </c>
      <c r="E54" t="s">
        <v>756</v>
      </c>
      <c r="F54" t="b">
        <v>1</v>
      </c>
      <c r="G54">
        <v>100</v>
      </c>
      <c r="H54">
        <v>1</v>
      </c>
      <c r="I54">
        <v>13391</v>
      </c>
      <c r="J54" s="61" t="s">
        <v>18</v>
      </c>
      <c r="K54" s="16" t="s">
        <v>272</v>
      </c>
      <c r="L54" s="16">
        <v>3</v>
      </c>
      <c r="M54" s="16" t="s">
        <v>277</v>
      </c>
      <c r="N54" s="16" t="s">
        <v>335</v>
      </c>
      <c r="O54" s="15" t="s">
        <v>282</v>
      </c>
      <c r="P54" t="s">
        <v>371</v>
      </c>
      <c r="Q54" t="s">
        <v>371</v>
      </c>
      <c r="R54" s="17" t="s">
        <v>371</v>
      </c>
      <c r="S54" s="17">
        <v>0</v>
      </c>
      <c r="T54" s="17">
        <v>1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 t="s">
        <v>704</v>
      </c>
      <c r="AD54" s="16" t="s">
        <v>340</v>
      </c>
      <c r="AE54" s="16" t="s">
        <v>342</v>
      </c>
      <c r="AF54" s="15" t="s">
        <v>343</v>
      </c>
      <c r="AG54" s="15" t="s">
        <v>344</v>
      </c>
      <c r="AH54" s="17" t="s">
        <v>371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704</v>
      </c>
      <c r="AR54" t="s">
        <v>349</v>
      </c>
      <c r="AS54" t="s">
        <v>349</v>
      </c>
      <c r="AT54">
        <v>1</v>
      </c>
      <c r="AU54">
        <v>0</v>
      </c>
      <c r="AV54">
        <v>0</v>
      </c>
      <c r="AW54" t="s">
        <v>704</v>
      </c>
      <c r="AX54" t="s">
        <v>1208</v>
      </c>
      <c r="AY54" t="s">
        <v>293</v>
      </c>
      <c r="AZ54" t="s">
        <v>352</v>
      </c>
      <c r="BA54" t="s">
        <v>296</v>
      </c>
      <c r="BB54" t="s">
        <v>299</v>
      </c>
      <c r="BC54" t="s">
        <v>292</v>
      </c>
      <c r="BD54" t="s">
        <v>293</v>
      </c>
      <c r="BE54" t="s">
        <v>292</v>
      </c>
      <c r="BF54" t="s">
        <v>292</v>
      </c>
      <c r="BG54" t="s">
        <v>293</v>
      </c>
      <c r="BH54" t="s">
        <v>302</v>
      </c>
      <c r="BI54" t="s">
        <v>302</v>
      </c>
      <c r="BJ54" t="s">
        <v>359</v>
      </c>
      <c r="BK54" t="s">
        <v>293</v>
      </c>
      <c r="BL54" t="s">
        <v>293</v>
      </c>
      <c r="BM54" t="s">
        <v>297</v>
      </c>
      <c r="BN54" t="s">
        <v>298</v>
      </c>
      <c r="BO54" t="s">
        <v>293</v>
      </c>
      <c r="BP54" t="s">
        <v>292</v>
      </c>
      <c r="BQ54" t="s">
        <v>293</v>
      </c>
      <c r="BR54" t="s">
        <v>293</v>
      </c>
      <c r="BS54" t="s">
        <v>364</v>
      </c>
      <c r="BT54" t="s">
        <v>304</v>
      </c>
      <c r="BU54" t="s">
        <v>371</v>
      </c>
      <c r="BV54" t="s">
        <v>371</v>
      </c>
      <c r="BW54" t="s">
        <v>2497</v>
      </c>
      <c r="BX54" t="str">
        <f>IF(J54="win",VLOOKUP(B54,ColorScheme!$A$2:$I$32,4,0),VLOOKUP(B54,ColorScheme!$A$2:$I$32,5,0))</f>
        <v>#65370050</v>
      </c>
    </row>
    <row r="55" spans="1:76" x14ac:dyDescent="0.3">
      <c r="A55" t="s">
        <v>9</v>
      </c>
      <c r="B55" t="s">
        <v>76</v>
      </c>
      <c r="C55" t="s">
        <v>24</v>
      </c>
      <c r="D55" t="s">
        <v>29</v>
      </c>
      <c r="E55" t="s">
        <v>757</v>
      </c>
      <c r="F55" t="b">
        <v>1</v>
      </c>
      <c r="G55">
        <v>100</v>
      </c>
      <c r="H55">
        <v>1</v>
      </c>
      <c r="I55">
        <v>14479</v>
      </c>
      <c r="J55" s="61" t="s">
        <v>13</v>
      </c>
      <c r="K55" s="16" t="s">
        <v>272</v>
      </c>
      <c r="L55" s="16">
        <v>3</v>
      </c>
      <c r="M55" s="16" t="s">
        <v>277</v>
      </c>
      <c r="N55" s="16" t="s">
        <v>335</v>
      </c>
      <c r="O55" s="15" t="s">
        <v>283</v>
      </c>
      <c r="P55" t="s">
        <v>284</v>
      </c>
      <c r="Q55" t="s">
        <v>371</v>
      </c>
      <c r="R55" s="17" t="s">
        <v>371</v>
      </c>
      <c r="S55" s="17">
        <v>0</v>
      </c>
      <c r="T55" s="17">
        <v>0</v>
      </c>
      <c r="U55" s="17">
        <v>1</v>
      </c>
      <c r="V55" s="17">
        <v>1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 t="s">
        <v>704</v>
      </c>
      <c r="AD55" s="16" t="s">
        <v>340</v>
      </c>
      <c r="AE55" s="16" t="s">
        <v>342</v>
      </c>
      <c r="AF55" s="15" t="s">
        <v>343</v>
      </c>
      <c r="AG55" s="15" t="s">
        <v>344</v>
      </c>
      <c r="AH55" s="17" t="s">
        <v>371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704</v>
      </c>
      <c r="AR55" t="s">
        <v>349</v>
      </c>
      <c r="AS55" t="s">
        <v>349</v>
      </c>
      <c r="AT55">
        <v>1</v>
      </c>
      <c r="AU55">
        <v>0</v>
      </c>
      <c r="AV55">
        <v>0</v>
      </c>
      <c r="AW55" t="s">
        <v>704</v>
      </c>
      <c r="AX55" t="s">
        <v>1221</v>
      </c>
      <c r="AY55" t="s">
        <v>293</v>
      </c>
      <c r="AZ55" t="s">
        <v>352</v>
      </c>
      <c r="BA55" t="s">
        <v>296</v>
      </c>
      <c r="BB55" t="s">
        <v>300</v>
      </c>
      <c r="BC55" t="s">
        <v>292</v>
      </c>
      <c r="BD55" t="s">
        <v>293</v>
      </c>
      <c r="BE55" t="s">
        <v>292</v>
      </c>
      <c r="BF55" t="s">
        <v>292</v>
      </c>
      <c r="BG55" t="s">
        <v>293</v>
      </c>
      <c r="BH55" t="s">
        <v>302</v>
      </c>
      <c r="BI55" t="s">
        <v>302</v>
      </c>
      <c r="BJ55" t="s">
        <v>359</v>
      </c>
      <c r="BK55" t="s">
        <v>293</v>
      </c>
      <c r="BL55" t="s">
        <v>293</v>
      </c>
      <c r="BM55" t="s">
        <v>297</v>
      </c>
      <c r="BN55" t="s">
        <v>298</v>
      </c>
      <c r="BO55" t="s">
        <v>293</v>
      </c>
      <c r="BP55" t="s">
        <v>292</v>
      </c>
      <c r="BQ55" t="s">
        <v>293</v>
      </c>
      <c r="BR55" t="s">
        <v>293</v>
      </c>
      <c r="BS55" t="s">
        <v>364</v>
      </c>
      <c r="BT55" t="s">
        <v>366</v>
      </c>
      <c r="BU55" t="s">
        <v>371</v>
      </c>
      <c r="BV55" t="s">
        <v>371</v>
      </c>
      <c r="BW55" t="s">
        <v>2498</v>
      </c>
      <c r="BX55" t="str">
        <f>IF(J55="win",VLOOKUP(B55,ColorScheme!$A$2:$I$32,4,0),VLOOKUP(B55,ColorScheme!$A$2:$I$32,5,0))</f>
        <v>#653700</v>
      </c>
    </row>
    <row r="56" spans="1:76" x14ac:dyDescent="0.3">
      <c r="A56" t="s">
        <v>9</v>
      </c>
      <c r="B56" t="s">
        <v>76</v>
      </c>
      <c r="C56" t="s">
        <v>21</v>
      </c>
      <c r="D56" t="s">
        <v>29</v>
      </c>
      <c r="E56" t="s">
        <v>758</v>
      </c>
      <c r="F56" t="b">
        <v>1</v>
      </c>
      <c r="G56">
        <v>99.9</v>
      </c>
      <c r="H56">
        <v>0</v>
      </c>
      <c r="I56">
        <v>10869</v>
      </c>
      <c r="J56" s="61" t="s">
        <v>18</v>
      </c>
      <c r="K56" s="16" t="s">
        <v>272</v>
      </c>
      <c r="L56" s="16">
        <v>2</v>
      </c>
      <c r="M56" s="16" t="s">
        <v>277</v>
      </c>
      <c r="N56" s="16" t="s">
        <v>335</v>
      </c>
      <c r="O56" s="15" t="s">
        <v>282</v>
      </c>
      <c r="P56" t="s">
        <v>371</v>
      </c>
      <c r="Q56" t="s">
        <v>371</v>
      </c>
      <c r="R56" s="17" t="s">
        <v>371</v>
      </c>
      <c r="S56" s="17">
        <v>0</v>
      </c>
      <c r="T56" s="17">
        <v>1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 t="s">
        <v>704</v>
      </c>
      <c r="AD56" s="16" t="s">
        <v>340</v>
      </c>
      <c r="AE56" s="16" t="s">
        <v>342</v>
      </c>
      <c r="AF56" s="15" t="s">
        <v>340</v>
      </c>
      <c r="AG56" s="15" t="s">
        <v>344</v>
      </c>
      <c r="AH56" s="17" t="s">
        <v>371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704</v>
      </c>
      <c r="AR56" t="s">
        <v>349</v>
      </c>
      <c r="AS56" t="s">
        <v>349</v>
      </c>
      <c r="AT56">
        <v>1</v>
      </c>
      <c r="AU56">
        <v>0</v>
      </c>
      <c r="AV56">
        <v>0</v>
      </c>
      <c r="AW56" t="s">
        <v>704</v>
      </c>
      <c r="AX56" t="s">
        <v>1208</v>
      </c>
      <c r="AY56" t="s">
        <v>293</v>
      </c>
      <c r="AZ56" t="s">
        <v>354</v>
      </c>
      <c r="BA56" t="s">
        <v>354</v>
      </c>
      <c r="BB56" t="s">
        <v>301</v>
      </c>
      <c r="BC56" t="s">
        <v>292</v>
      </c>
      <c r="BD56" t="s">
        <v>293</v>
      </c>
      <c r="BE56" t="s">
        <v>292</v>
      </c>
      <c r="BF56" t="s">
        <v>293</v>
      </c>
      <c r="BG56" t="s">
        <v>293</v>
      </c>
      <c r="BH56" t="s">
        <v>302</v>
      </c>
      <c r="BI56" t="s">
        <v>302</v>
      </c>
      <c r="BJ56" t="s">
        <v>359</v>
      </c>
      <c r="BK56" t="s">
        <v>293</v>
      </c>
      <c r="BL56" t="s">
        <v>293</v>
      </c>
      <c r="BM56" t="s">
        <v>297</v>
      </c>
      <c r="BN56" t="s">
        <v>298</v>
      </c>
      <c r="BO56" t="s">
        <v>293</v>
      </c>
      <c r="BP56" t="s">
        <v>292</v>
      </c>
      <c r="BQ56" t="s">
        <v>293</v>
      </c>
      <c r="BR56" t="s">
        <v>293</v>
      </c>
      <c r="BS56" t="s">
        <v>364</v>
      </c>
      <c r="BT56" t="s">
        <v>367</v>
      </c>
      <c r="BU56" t="s">
        <v>371</v>
      </c>
      <c r="BV56" t="s">
        <v>371</v>
      </c>
      <c r="BW56" t="s">
        <v>2499</v>
      </c>
      <c r="BX56" t="str">
        <f>IF(J56="win",VLOOKUP(B56,ColorScheme!$A$2:$I$32,4,0),VLOOKUP(B56,ColorScheme!$A$2:$I$32,5,0))</f>
        <v>#65370050</v>
      </c>
    </row>
    <row r="57" spans="1:76" x14ac:dyDescent="0.3">
      <c r="A57" t="s">
        <v>9</v>
      </c>
      <c r="B57" t="s">
        <v>76</v>
      </c>
      <c r="C57" t="s">
        <v>30</v>
      </c>
      <c r="D57" t="s">
        <v>29</v>
      </c>
      <c r="E57" t="s">
        <v>759</v>
      </c>
      <c r="F57" t="b">
        <v>1</v>
      </c>
      <c r="G57">
        <v>100</v>
      </c>
      <c r="H57">
        <v>1</v>
      </c>
      <c r="I57">
        <v>12226</v>
      </c>
      <c r="J57" s="61" t="s">
        <v>13</v>
      </c>
      <c r="K57" s="16" t="s">
        <v>272</v>
      </c>
      <c r="L57" s="16">
        <v>3</v>
      </c>
      <c r="M57" s="16" t="s">
        <v>277</v>
      </c>
      <c r="N57" s="16" t="s">
        <v>335</v>
      </c>
      <c r="O57" s="15" t="s">
        <v>283</v>
      </c>
      <c r="P57" t="s">
        <v>284</v>
      </c>
      <c r="Q57" t="s">
        <v>371</v>
      </c>
      <c r="R57" s="17" t="s">
        <v>371</v>
      </c>
      <c r="S57" s="17">
        <v>0</v>
      </c>
      <c r="T57" s="17">
        <v>0</v>
      </c>
      <c r="U57" s="17">
        <v>1</v>
      </c>
      <c r="V57" s="17">
        <v>1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 t="s">
        <v>704</v>
      </c>
      <c r="AD57" s="16" t="s">
        <v>341</v>
      </c>
      <c r="AE57" s="16" t="s">
        <v>340</v>
      </c>
      <c r="AF57" s="15" t="s">
        <v>343</v>
      </c>
      <c r="AG57" s="15" t="s">
        <v>345</v>
      </c>
      <c r="AH57" s="17" t="s">
        <v>346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 t="s">
        <v>704</v>
      </c>
      <c r="AR57" t="s">
        <v>349</v>
      </c>
      <c r="AS57" t="s">
        <v>349</v>
      </c>
      <c r="AT57">
        <v>1</v>
      </c>
      <c r="AU57">
        <v>0</v>
      </c>
      <c r="AV57">
        <v>0</v>
      </c>
      <c r="AW57" t="s">
        <v>704</v>
      </c>
      <c r="AX57" t="s">
        <v>1229</v>
      </c>
      <c r="AY57" t="s">
        <v>293</v>
      </c>
      <c r="AZ57" t="s">
        <v>353</v>
      </c>
      <c r="BA57" t="s">
        <v>296</v>
      </c>
      <c r="BB57" t="s">
        <v>300</v>
      </c>
      <c r="BC57" t="s">
        <v>293</v>
      </c>
      <c r="BD57" t="s">
        <v>292</v>
      </c>
      <c r="BE57" t="s">
        <v>292</v>
      </c>
      <c r="BF57" t="s">
        <v>292</v>
      </c>
      <c r="BG57" t="s">
        <v>293</v>
      </c>
      <c r="BH57" t="s">
        <v>302</v>
      </c>
      <c r="BI57" t="s">
        <v>302</v>
      </c>
      <c r="BJ57" t="s">
        <v>359</v>
      </c>
      <c r="BK57" t="s">
        <v>293</v>
      </c>
      <c r="BL57" t="s">
        <v>293</v>
      </c>
      <c r="BM57" t="s">
        <v>297</v>
      </c>
      <c r="BN57" t="s">
        <v>356</v>
      </c>
      <c r="BO57" t="s">
        <v>293</v>
      </c>
      <c r="BP57" t="s">
        <v>292</v>
      </c>
      <c r="BQ57" t="s">
        <v>293</v>
      </c>
      <c r="BR57" t="s">
        <v>293</v>
      </c>
      <c r="BS57" t="s">
        <v>364</v>
      </c>
      <c r="BT57" t="s">
        <v>366</v>
      </c>
      <c r="BU57" t="s">
        <v>371</v>
      </c>
      <c r="BV57" t="s">
        <v>371</v>
      </c>
      <c r="BW57" t="s">
        <v>2500</v>
      </c>
      <c r="BX57" t="str">
        <f>IF(J57="win",VLOOKUP(B57,ColorScheme!$A$2:$I$32,4,0),VLOOKUP(B57,ColorScheme!$A$2:$I$32,5,0))</f>
        <v>#653700</v>
      </c>
    </row>
    <row r="58" spans="1:76" x14ac:dyDescent="0.3">
      <c r="A58" t="s">
        <v>9</v>
      </c>
      <c r="B58" t="s">
        <v>76</v>
      </c>
      <c r="C58" t="s">
        <v>26</v>
      </c>
      <c r="D58" t="s">
        <v>29</v>
      </c>
      <c r="E58" t="s">
        <v>760</v>
      </c>
      <c r="F58" t="b">
        <v>1</v>
      </c>
      <c r="G58">
        <v>100</v>
      </c>
      <c r="H58">
        <v>1</v>
      </c>
      <c r="I58">
        <v>16337</v>
      </c>
      <c r="J58" s="61" t="s">
        <v>13</v>
      </c>
      <c r="K58" s="16" t="s">
        <v>272</v>
      </c>
      <c r="L58" s="16">
        <v>3</v>
      </c>
      <c r="M58" s="16" t="s">
        <v>277</v>
      </c>
      <c r="N58" s="16" t="s">
        <v>335</v>
      </c>
      <c r="O58" s="15" t="s">
        <v>282</v>
      </c>
      <c r="P58" t="s">
        <v>371</v>
      </c>
      <c r="Q58" t="s">
        <v>371</v>
      </c>
      <c r="R58" s="17" t="s">
        <v>371</v>
      </c>
      <c r="S58" s="17">
        <v>0</v>
      </c>
      <c r="T58" s="17">
        <v>1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 t="s">
        <v>704</v>
      </c>
      <c r="AD58" s="16" t="s">
        <v>340</v>
      </c>
      <c r="AE58" s="16" t="s">
        <v>342</v>
      </c>
      <c r="AF58" s="15" t="s">
        <v>343</v>
      </c>
      <c r="AG58" s="15" t="s">
        <v>344</v>
      </c>
      <c r="AH58" s="17" t="s">
        <v>371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704</v>
      </c>
      <c r="AR58" t="s">
        <v>349</v>
      </c>
      <c r="AS58" t="s">
        <v>349</v>
      </c>
      <c r="AT58">
        <v>1</v>
      </c>
      <c r="AU58">
        <v>0</v>
      </c>
      <c r="AV58">
        <v>0</v>
      </c>
      <c r="AW58" t="s">
        <v>704</v>
      </c>
      <c r="AX58" t="s">
        <v>1208</v>
      </c>
      <c r="AY58" t="s">
        <v>293</v>
      </c>
      <c r="AZ58" t="s">
        <v>352</v>
      </c>
      <c r="BA58" t="s">
        <v>296</v>
      </c>
      <c r="BB58" t="s">
        <v>299</v>
      </c>
      <c r="BC58" t="s">
        <v>293</v>
      </c>
      <c r="BD58" t="s">
        <v>292</v>
      </c>
      <c r="BE58" t="s">
        <v>292</v>
      </c>
      <c r="BF58" t="s">
        <v>292</v>
      </c>
      <c r="BG58" t="s">
        <v>293</v>
      </c>
      <c r="BH58" t="s">
        <v>302</v>
      </c>
      <c r="BI58" t="s">
        <v>302</v>
      </c>
      <c r="BJ58" t="s">
        <v>359</v>
      </c>
      <c r="BK58" t="s">
        <v>293</v>
      </c>
      <c r="BL58" t="s">
        <v>293</v>
      </c>
      <c r="BM58" t="s">
        <v>297</v>
      </c>
      <c r="BN58" t="s">
        <v>298</v>
      </c>
      <c r="BO58" t="s">
        <v>293</v>
      </c>
      <c r="BP58" t="s">
        <v>292</v>
      </c>
      <c r="BQ58" t="s">
        <v>293</v>
      </c>
      <c r="BR58" t="s">
        <v>293</v>
      </c>
      <c r="BS58" t="s">
        <v>364</v>
      </c>
      <c r="BT58" t="s">
        <v>366</v>
      </c>
      <c r="BU58" t="s">
        <v>371</v>
      </c>
      <c r="BV58" t="s">
        <v>371</v>
      </c>
      <c r="BW58" t="s">
        <v>2501</v>
      </c>
      <c r="BX58" t="str">
        <f>IF(J58="win",VLOOKUP(B58,ColorScheme!$A$2:$I$32,4,0),VLOOKUP(B58,ColorScheme!$A$2:$I$32,5,0))</f>
        <v>#653700</v>
      </c>
    </row>
    <row r="59" spans="1:76" x14ac:dyDescent="0.3">
      <c r="A59" t="s">
        <v>9</v>
      </c>
      <c r="B59" t="s">
        <v>76</v>
      </c>
      <c r="C59" t="s">
        <v>22</v>
      </c>
      <c r="D59" t="s">
        <v>29</v>
      </c>
      <c r="E59" t="s">
        <v>761</v>
      </c>
      <c r="F59" t="b">
        <v>1</v>
      </c>
      <c r="G59">
        <v>100</v>
      </c>
      <c r="H59">
        <v>1</v>
      </c>
      <c r="I59">
        <v>9669</v>
      </c>
      <c r="J59" s="61" t="s">
        <v>18</v>
      </c>
      <c r="K59" s="16" t="s">
        <v>272</v>
      </c>
      <c r="L59" s="16">
        <v>2</v>
      </c>
      <c r="M59" s="16" t="s">
        <v>277</v>
      </c>
      <c r="N59" s="16" t="s">
        <v>335</v>
      </c>
      <c r="O59" s="15" t="s">
        <v>282</v>
      </c>
      <c r="P59" t="s">
        <v>371</v>
      </c>
      <c r="Q59" t="s">
        <v>371</v>
      </c>
      <c r="R59" s="17" t="s">
        <v>371</v>
      </c>
      <c r="S59" s="17">
        <v>0</v>
      </c>
      <c r="T59" s="17">
        <v>1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 t="s">
        <v>704</v>
      </c>
      <c r="AD59" s="16" t="s">
        <v>340</v>
      </c>
      <c r="AE59" s="16" t="s">
        <v>342</v>
      </c>
      <c r="AF59" s="15" t="s">
        <v>340</v>
      </c>
      <c r="AG59" s="15" t="s">
        <v>344</v>
      </c>
      <c r="AH59" s="17" t="s">
        <v>371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704</v>
      </c>
      <c r="AR59" t="s">
        <v>349</v>
      </c>
      <c r="AS59" t="s">
        <v>349</v>
      </c>
      <c r="AT59">
        <v>1</v>
      </c>
      <c r="AU59">
        <v>0</v>
      </c>
      <c r="AV59">
        <v>0</v>
      </c>
      <c r="AW59" t="s">
        <v>704</v>
      </c>
      <c r="AX59" t="s">
        <v>1208</v>
      </c>
      <c r="AY59" t="s">
        <v>293</v>
      </c>
      <c r="AZ59" t="s">
        <v>354</v>
      </c>
      <c r="BA59" t="s">
        <v>354</v>
      </c>
      <c r="BB59" t="s">
        <v>300</v>
      </c>
      <c r="BC59" t="s">
        <v>292</v>
      </c>
      <c r="BD59" t="s">
        <v>293</v>
      </c>
      <c r="BE59" t="s">
        <v>292</v>
      </c>
      <c r="BF59" t="s">
        <v>293</v>
      </c>
      <c r="BG59" t="s">
        <v>293</v>
      </c>
      <c r="BH59" t="s">
        <v>302</v>
      </c>
      <c r="BI59" t="s">
        <v>302</v>
      </c>
      <c r="BJ59" t="s">
        <v>357</v>
      </c>
      <c r="BK59" t="s">
        <v>293</v>
      </c>
      <c r="BL59" t="s">
        <v>293</v>
      </c>
      <c r="BM59" t="s">
        <v>297</v>
      </c>
      <c r="BN59" t="s">
        <v>298</v>
      </c>
      <c r="BO59" t="s">
        <v>293</v>
      </c>
      <c r="BP59" t="s">
        <v>292</v>
      </c>
      <c r="BQ59" t="s">
        <v>293</v>
      </c>
      <c r="BR59" t="s">
        <v>293</v>
      </c>
      <c r="BS59" t="s">
        <v>364</v>
      </c>
      <c r="BT59" t="s">
        <v>304</v>
      </c>
      <c r="BU59" t="s">
        <v>371</v>
      </c>
      <c r="BV59" t="s">
        <v>371</v>
      </c>
      <c r="BW59" t="s">
        <v>2502</v>
      </c>
      <c r="BX59" t="str">
        <f>IF(J59="win",VLOOKUP(B59,ColorScheme!$A$2:$I$32,4,0),VLOOKUP(B59,ColorScheme!$A$2:$I$32,5,0))</f>
        <v>#65370050</v>
      </c>
    </row>
    <row r="60" spans="1:76" x14ac:dyDescent="0.3">
      <c r="A60" t="s">
        <v>9</v>
      </c>
      <c r="B60" t="s">
        <v>76</v>
      </c>
      <c r="C60" t="s">
        <v>31</v>
      </c>
      <c r="D60" t="s">
        <v>29</v>
      </c>
      <c r="E60" t="s">
        <v>762</v>
      </c>
      <c r="F60" t="b">
        <v>1</v>
      </c>
      <c r="G60">
        <v>94.4</v>
      </c>
      <c r="H60">
        <v>0</v>
      </c>
      <c r="I60">
        <v>17795</v>
      </c>
      <c r="J60" s="61" t="s">
        <v>13</v>
      </c>
      <c r="K60" s="16" t="s">
        <v>272</v>
      </c>
      <c r="L60" s="16">
        <v>3</v>
      </c>
      <c r="M60" s="16" t="s">
        <v>277</v>
      </c>
      <c r="N60" s="16" t="s">
        <v>335</v>
      </c>
      <c r="O60" s="15" t="s">
        <v>283</v>
      </c>
      <c r="P60" t="s">
        <v>284</v>
      </c>
      <c r="Q60" t="s">
        <v>371</v>
      </c>
      <c r="R60" s="17" t="s">
        <v>371</v>
      </c>
      <c r="S60" s="17">
        <v>0</v>
      </c>
      <c r="T60" s="17">
        <v>0</v>
      </c>
      <c r="U60" s="17">
        <v>1</v>
      </c>
      <c r="V60" s="17">
        <v>1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 t="s">
        <v>704</v>
      </c>
      <c r="AD60" s="16" t="s">
        <v>341</v>
      </c>
      <c r="AE60" s="16" t="s">
        <v>340</v>
      </c>
      <c r="AF60" s="15" t="s">
        <v>343</v>
      </c>
      <c r="AG60" s="15" t="s">
        <v>345</v>
      </c>
      <c r="AH60" s="17" t="s">
        <v>371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704</v>
      </c>
      <c r="AR60" t="s">
        <v>349</v>
      </c>
      <c r="AS60" t="s">
        <v>349</v>
      </c>
      <c r="AT60">
        <v>1</v>
      </c>
      <c r="AU60">
        <v>0</v>
      </c>
      <c r="AV60">
        <v>0</v>
      </c>
      <c r="AW60" t="s">
        <v>704</v>
      </c>
      <c r="AX60" t="s">
        <v>1230</v>
      </c>
      <c r="AY60" t="s">
        <v>293</v>
      </c>
      <c r="AZ60" t="s">
        <v>353</v>
      </c>
      <c r="BA60" t="s">
        <v>296</v>
      </c>
      <c r="BB60" t="s">
        <v>300</v>
      </c>
      <c r="BC60" t="s">
        <v>293</v>
      </c>
      <c r="BD60" t="s">
        <v>292</v>
      </c>
      <c r="BE60" t="s">
        <v>292</v>
      </c>
      <c r="BF60" t="s">
        <v>292</v>
      </c>
      <c r="BG60" t="s">
        <v>293</v>
      </c>
      <c r="BH60" t="s">
        <v>302</v>
      </c>
      <c r="BI60" t="s">
        <v>302</v>
      </c>
      <c r="BJ60" t="s">
        <v>359</v>
      </c>
      <c r="BK60" t="s">
        <v>293</v>
      </c>
      <c r="BL60" t="s">
        <v>293</v>
      </c>
      <c r="BM60" t="s">
        <v>297</v>
      </c>
      <c r="BN60" t="s">
        <v>356</v>
      </c>
      <c r="BO60" t="s">
        <v>293</v>
      </c>
      <c r="BP60" t="s">
        <v>292</v>
      </c>
      <c r="BQ60" t="s">
        <v>293</v>
      </c>
      <c r="BR60" t="s">
        <v>293</v>
      </c>
      <c r="BS60" t="s">
        <v>364</v>
      </c>
      <c r="BT60" t="s">
        <v>366</v>
      </c>
      <c r="BU60" t="s">
        <v>371</v>
      </c>
      <c r="BV60" t="s">
        <v>371</v>
      </c>
      <c r="BW60" t="s">
        <v>2503</v>
      </c>
      <c r="BX60" t="str">
        <f>IF(J60="win",VLOOKUP(B60,ColorScheme!$A$2:$I$32,4,0),VLOOKUP(B60,ColorScheme!$A$2:$I$32,5,0))</f>
        <v>#653700</v>
      </c>
    </row>
    <row r="61" spans="1:76" x14ac:dyDescent="0.3">
      <c r="A61" t="s">
        <v>9</v>
      </c>
      <c r="B61" t="s">
        <v>76</v>
      </c>
      <c r="C61" t="s">
        <v>27</v>
      </c>
      <c r="D61" t="s">
        <v>29</v>
      </c>
      <c r="E61" t="s">
        <v>763</v>
      </c>
      <c r="F61" t="b">
        <v>1</v>
      </c>
      <c r="G61">
        <v>35.4</v>
      </c>
      <c r="H61">
        <v>0</v>
      </c>
      <c r="I61">
        <v>21200</v>
      </c>
      <c r="J61" s="61" t="s">
        <v>13</v>
      </c>
      <c r="K61" s="16" t="s">
        <v>272</v>
      </c>
      <c r="L61" s="16">
        <v>3</v>
      </c>
      <c r="M61" s="16" t="s">
        <v>277</v>
      </c>
      <c r="N61" s="16" t="s">
        <v>335</v>
      </c>
      <c r="O61" s="15" t="s">
        <v>282</v>
      </c>
      <c r="P61" t="s">
        <v>371</v>
      </c>
      <c r="Q61" t="s">
        <v>371</v>
      </c>
      <c r="R61" s="17" t="s">
        <v>371</v>
      </c>
      <c r="S61" s="17">
        <v>0</v>
      </c>
      <c r="T61" s="17">
        <v>1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 t="s">
        <v>704</v>
      </c>
      <c r="AD61" s="16" t="s">
        <v>341</v>
      </c>
      <c r="AE61" s="16" t="s">
        <v>340</v>
      </c>
      <c r="AF61" s="15" t="s">
        <v>343</v>
      </c>
      <c r="AG61" s="15" t="s">
        <v>344</v>
      </c>
      <c r="AH61" s="17" t="s">
        <v>377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704</v>
      </c>
      <c r="AR61" t="s">
        <v>349</v>
      </c>
      <c r="AS61" t="s">
        <v>349</v>
      </c>
      <c r="AT61">
        <v>1</v>
      </c>
      <c r="AU61">
        <v>0</v>
      </c>
      <c r="AV61">
        <v>0</v>
      </c>
      <c r="AW61" t="s">
        <v>704</v>
      </c>
      <c r="AX61" t="s">
        <v>1231</v>
      </c>
      <c r="AY61" t="s">
        <v>293</v>
      </c>
      <c r="AZ61" t="s">
        <v>353</v>
      </c>
      <c r="BA61" t="s">
        <v>296</v>
      </c>
      <c r="BB61" t="s">
        <v>301</v>
      </c>
      <c r="BC61" t="s">
        <v>293</v>
      </c>
      <c r="BD61" t="s">
        <v>292</v>
      </c>
      <c r="BE61" t="s">
        <v>292</v>
      </c>
      <c r="BF61" t="s">
        <v>292</v>
      </c>
      <c r="BG61" t="s">
        <v>293</v>
      </c>
      <c r="BH61" t="s">
        <v>302</v>
      </c>
      <c r="BI61" t="s">
        <v>302</v>
      </c>
      <c r="BJ61" t="s">
        <v>359</v>
      </c>
      <c r="BK61" t="s">
        <v>293</v>
      </c>
      <c r="BL61" t="s">
        <v>293</v>
      </c>
      <c r="BM61" t="s">
        <v>297</v>
      </c>
      <c r="BN61" t="s">
        <v>356</v>
      </c>
      <c r="BO61" t="s">
        <v>293</v>
      </c>
      <c r="BP61" t="s">
        <v>292</v>
      </c>
      <c r="BQ61" t="s">
        <v>293</v>
      </c>
      <c r="BR61" t="s">
        <v>293</v>
      </c>
      <c r="BS61" t="s">
        <v>364</v>
      </c>
      <c r="BT61" t="s">
        <v>366</v>
      </c>
      <c r="BU61" t="s">
        <v>371</v>
      </c>
      <c r="BV61" t="s">
        <v>371</v>
      </c>
      <c r="BW61" t="s">
        <v>2504</v>
      </c>
      <c r="BX61" t="str">
        <f>IF(J61="win",VLOOKUP(B61,ColorScheme!$A$2:$I$32,4,0),VLOOKUP(B61,ColorScheme!$A$2:$I$32,5,0))</f>
        <v>#653700</v>
      </c>
    </row>
    <row r="62" spans="1:76" x14ac:dyDescent="0.3">
      <c r="A62" t="s">
        <v>9</v>
      </c>
      <c r="B62" t="s">
        <v>76</v>
      </c>
      <c r="C62" t="s">
        <v>28</v>
      </c>
      <c r="D62" t="s">
        <v>29</v>
      </c>
      <c r="E62" t="s">
        <v>764</v>
      </c>
      <c r="F62" t="b">
        <v>1</v>
      </c>
      <c r="G62">
        <v>63.1</v>
      </c>
      <c r="H62">
        <v>0</v>
      </c>
      <c r="I62">
        <v>14293</v>
      </c>
      <c r="J62" s="61" t="s">
        <v>13</v>
      </c>
      <c r="K62" s="16" t="s">
        <v>272</v>
      </c>
      <c r="L62" s="16">
        <v>3</v>
      </c>
      <c r="M62" s="16" t="s">
        <v>277</v>
      </c>
      <c r="N62" s="16" t="s">
        <v>335</v>
      </c>
      <c r="O62" s="15" t="s">
        <v>282</v>
      </c>
      <c r="P62" t="s">
        <v>371</v>
      </c>
      <c r="Q62" t="s">
        <v>371</v>
      </c>
      <c r="R62" s="17" t="s">
        <v>371</v>
      </c>
      <c r="S62" s="17">
        <v>0</v>
      </c>
      <c r="T62" s="17">
        <v>1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 t="s">
        <v>704</v>
      </c>
      <c r="AD62" s="16" t="s">
        <v>341</v>
      </c>
      <c r="AE62" s="16" t="s">
        <v>340</v>
      </c>
      <c r="AF62" s="15" t="s">
        <v>343</v>
      </c>
      <c r="AG62" s="15" t="s">
        <v>345</v>
      </c>
      <c r="AH62" s="17" t="s">
        <v>371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704</v>
      </c>
      <c r="AR62" t="s">
        <v>349</v>
      </c>
      <c r="AS62" t="s">
        <v>349</v>
      </c>
      <c r="AT62">
        <v>1</v>
      </c>
      <c r="AU62">
        <v>0</v>
      </c>
      <c r="AV62">
        <v>0</v>
      </c>
      <c r="AW62" t="s">
        <v>704</v>
      </c>
      <c r="AX62" t="s">
        <v>1232</v>
      </c>
      <c r="AY62" t="s">
        <v>293</v>
      </c>
      <c r="AZ62" t="s">
        <v>353</v>
      </c>
      <c r="BA62" t="s">
        <v>296</v>
      </c>
      <c r="BB62" t="s">
        <v>300</v>
      </c>
      <c r="BC62" t="s">
        <v>293</v>
      </c>
      <c r="BD62" t="s">
        <v>292</v>
      </c>
      <c r="BE62" t="s">
        <v>292</v>
      </c>
      <c r="BF62" t="s">
        <v>292</v>
      </c>
      <c r="BG62" t="s">
        <v>293</v>
      </c>
      <c r="BH62" t="s">
        <v>302</v>
      </c>
      <c r="BI62" t="s">
        <v>302</v>
      </c>
      <c r="BJ62" t="s">
        <v>359</v>
      </c>
      <c r="BK62" t="s">
        <v>293</v>
      </c>
      <c r="BL62" t="s">
        <v>293</v>
      </c>
      <c r="BM62" t="s">
        <v>297</v>
      </c>
      <c r="BN62" t="s">
        <v>356</v>
      </c>
      <c r="BO62" t="s">
        <v>293</v>
      </c>
      <c r="BP62" t="s">
        <v>292</v>
      </c>
      <c r="BQ62" t="s">
        <v>293</v>
      </c>
      <c r="BR62" t="s">
        <v>293</v>
      </c>
      <c r="BS62" t="s">
        <v>364</v>
      </c>
      <c r="BT62" t="s">
        <v>366</v>
      </c>
      <c r="BU62" t="s">
        <v>371</v>
      </c>
      <c r="BV62" t="s">
        <v>371</v>
      </c>
      <c r="BW62" t="s">
        <v>2505</v>
      </c>
      <c r="BX62" t="str">
        <f>IF(J62="win",VLOOKUP(B62,ColorScheme!$A$2:$I$32,4,0),VLOOKUP(B62,ColorScheme!$A$2:$I$32,5,0))</f>
        <v>#653700</v>
      </c>
    </row>
    <row r="63" spans="1:76" x14ac:dyDescent="0.3">
      <c r="A63" s="38" t="s">
        <v>43</v>
      </c>
      <c r="B63" s="38" t="s">
        <v>73</v>
      </c>
      <c r="C63" s="38" t="s">
        <v>19</v>
      </c>
      <c r="D63" s="38" t="s">
        <v>12</v>
      </c>
      <c r="E63" s="38" t="s">
        <v>765</v>
      </c>
      <c r="F63" s="38" t="b">
        <v>1</v>
      </c>
      <c r="G63" s="38">
        <v>99.9</v>
      </c>
      <c r="H63" s="38">
        <v>0</v>
      </c>
      <c r="I63" s="38">
        <v>8443</v>
      </c>
      <c r="J63" s="61" t="s">
        <v>18</v>
      </c>
      <c r="K63" s="39" t="s">
        <v>273</v>
      </c>
      <c r="L63" s="39">
        <v>2</v>
      </c>
      <c r="M63" s="39" t="s">
        <v>333</v>
      </c>
      <c r="N63" s="39" t="s">
        <v>278</v>
      </c>
      <c r="O63" s="40" t="s">
        <v>283</v>
      </c>
      <c r="P63" s="38" t="s">
        <v>371</v>
      </c>
      <c r="Q63" s="38" t="s">
        <v>371</v>
      </c>
      <c r="R63" s="41" t="s">
        <v>371</v>
      </c>
      <c r="S63" s="41">
        <v>0</v>
      </c>
      <c r="T63" s="41">
        <v>0</v>
      </c>
      <c r="U63" s="41">
        <v>1</v>
      </c>
      <c r="V63" s="41">
        <v>0</v>
      </c>
      <c r="W63" s="41">
        <v>0</v>
      </c>
      <c r="X63" s="41">
        <v>0</v>
      </c>
      <c r="Y63" s="41">
        <v>0</v>
      </c>
      <c r="Z63" s="41">
        <v>0</v>
      </c>
      <c r="AA63" s="41">
        <v>0</v>
      </c>
      <c r="AB63" s="41">
        <v>0</v>
      </c>
      <c r="AC63" s="41" t="s">
        <v>704</v>
      </c>
      <c r="AD63" s="39" t="s">
        <v>340</v>
      </c>
      <c r="AE63" s="39" t="s">
        <v>342</v>
      </c>
      <c r="AF63" s="40" t="s">
        <v>343</v>
      </c>
      <c r="AG63" s="40" t="s">
        <v>291</v>
      </c>
      <c r="AH63" s="41" t="s">
        <v>371</v>
      </c>
      <c r="AI63" s="38">
        <v>0</v>
      </c>
      <c r="AJ63" s="38">
        <v>0</v>
      </c>
      <c r="AK63" s="38">
        <v>0</v>
      </c>
      <c r="AL63" s="38">
        <v>0</v>
      </c>
      <c r="AM63" s="38">
        <v>0</v>
      </c>
      <c r="AN63" s="38">
        <v>0</v>
      </c>
      <c r="AO63" s="38">
        <v>1</v>
      </c>
      <c r="AP63" s="38">
        <v>0</v>
      </c>
      <c r="AQ63" s="38" t="s">
        <v>704</v>
      </c>
      <c r="AR63" s="38" t="s">
        <v>349</v>
      </c>
      <c r="AS63" s="38" t="s">
        <v>349</v>
      </c>
      <c r="AT63" s="38">
        <v>1</v>
      </c>
      <c r="AU63" s="38">
        <v>0</v>
      </c>
      <c r="AV63" s="38">
        <v>0</v>
      </c>
      <c r="AW63" s="38" t="s">
        <v>704</v>
      </c>
      <c r="AX63" t="s">
        <v>1233</v>
      </c>
      <c r="AY63" s="38" t="s">
        <v>293</v>
      </c>
      <c r="AZ63" s="38" t="s">
        <v>353</v>
      </c>
      <c r="BA63" s="38" t="s">
        <v>296</v>
      </c>
      <c r="BB63" s="38" t="s">
        <v>301</v>
      </c>
      <c r="BC63" s="38" t="s">
        <v>292</v>
      </c>
      <c r="BD63" s="38" t="s">
        <v>293</v>
      </c>
      <c r="BE63" s="38" t="s">
        <v>292</v>
      </c>
      <c r="BF63" s="38" t="s">
        <v>292</v>
      </c>
      <c r="BG63" s="38" t="s">
        <v>293</v>
      </c>
      <c r="BH63" s="38" t="s">
        <v>358</v>
      </c>
      <c r="BI63" s="38" t="s">
        <v>357</v>
      </c>
      <c r="BJ63" s="38" t="s">
        <v>359</v>
      </c>
      <c r="BK63" s="38" t="s">
        <v>293</v>
      </c>
      <c r="BL63" s="38" t="s">
        <v>293</v>
      </c>
      <c r="BM63" s="38" t="s">
        <v>296</v>
      </c>
      <c r="BN63" s="38" t="s">
        <v>298</v>
      </c>
      <c r="BO63" s="38" t="s">
        <v>293</v>
      </c>
      <c r="BP63" s="38" t="s">
        <v>292</v>
      </c>
      <c r="BQ63" s="38" t="s">
        <v>293</v>
      </c>
      <c r="BR63" s="38" t="s">
        <v>293</v>
      </c>
      <c r="BS63" s="38" t="s">
        <v>364</v>
      </c>
      <c r="BT63" s="38" t="s">
        <v>367</v>
      </c>
      <c r="BU63" s="38" t="s">
        <v>378</v>
      </c>
      <c r="BV63" t="s">
        <v>371</v>
      </c>
      <c r="BW63" t="s">
        <v>2506</v>
      </c>
      <c r="BX63" t="str">
        <f>IF(J63="win",VLOOKUP(B63,ColorScheme!$A$2:$I$32,4,0),VLOOKUP(B63,ColorScheme!$A$2:$I$32,5,0))</f>
        <v>#e5000050</v>
      </c>
    </row>
    <row r="64" spans="1:76" x14ac:dyDescent="0.3">
      <c r="A64" s="38" t="s">
        <v>43</v>
      </c>
      <c r="B64" s="38" t="s">
        <v>73</v>
      </c>
      <c r="C64" s="38" t="s">
        <v>33</v>
      </c>
      <c r="D64" s="38" t="s">
        <v>29</v>
      </c>
      <c r="E64" s="38" t="s">
        <v>766</v>
      </c>
      <c r="F64" s="38" t="b">
        <v>1</v>
      </c>
      <c r="G64" s="38">
        <v>99.9</v>
      </c>
      <c r="H64" s="38">
        <v>0</v>
      </c>
      <c r="I64" s="38">
        <v>17982</v>
      </c>
      <c r="J64" s="61" t="s">
        <v>18</v>
      </c>
      <c r="K64" s="39" t="s">
        <v>272</v>
      </c>
      <c r="L64" s="39">
        <v>2</v>
      </c>
      <c r="M64" s="39" t="s">
        <v>333</v>
      </c>
      <c r="N64" s="39" t="s">
        <v>278</v>
      </c>
      <c r="O64" s="40" t="s">
        <v>273</v>
      </c>
      <c r="P64" s="38" t="s">
        <v>371</v>
      </c>
      <c r="Q64" s="38" t="s">
        <v>371</v>
      </c>
      <c r="R64" s="41" t="s">
        <v>371</v>
      </c>
      <c r="S64" s="41">
        <v>0</v>
      </c>
      <c r="T64" s="41">
        <v>0</v>
      </c>
      <c r="U64" s="41">
        <v>0</v>
      </c>
      <c r="V64" s="41">
        <v>0</v>
      </c>
      <c r="W64" s="41">
        <v>1</v>
      </c>
      <c r="X64" s="41">
        <v>0</v>
      </c>
      <c r="Y64" s="41">
        <v>0</v>
      </c>
      <c r="Z64" s="41">
        <v>0</v>
      </c>
      <c r="AA64" s="41">
        <v>0</v>
      </c>
      <c r="AB64" s="41">
        <v>0</v>
      </c>
      <c r="AC64" s="41" t="s">
        <v>704</v>
      </c>
      <c r="AD64" s="39" t="s">
        <v>341</v>
      </c>
      <c r="AE64" s="39" t="s">
        <v>340</v>
      </c>
      <c r="AF64" s="40" t="s">
        <v>343</v>
      </c>
      <c r="AG64" s="40" t="s">
        <v>347</v>
      </c>
      <c r="AH64" s="41" t="s">
        <v>371</v>
      </c>
      <c r="AI64" s="38">
        <v>0</v>
      </c>
      <c r="AJ64" s="38">
        <v>0</v>
      </c>
      <c r="AK64" s="38">
        <v>0</v>
      </c>
      <c r="AL64" s="38">
        <v>0</v>
      </c>
      <c r="AM64" s="38">
        <v>0</v>
      </c>
      <c r="AN64" s="38">
        <v>1</v>
      </c>
      <c r="AO64" s="38">
        <v>0</v>
      </c>
      <c r="AP64" s="38">
        <v>0</v>
      </c>
      <c r="AQ64" s="38" t="s">
        <v>704</v>
      </c>
      <c r="AR64" s="38" t="s">
        <v>349</v>
      </c>
      <c r="AS64" s="38" t="s">
        <v>349</v>
      </c>
      <c r="AT64" s="38">
        <v>1</v>
      </c>
      <c r="AU64" s="38">
        <v>0</v>
      </c>
      <c r="AV64" s="38">
        <v>0</v>
      </c>
      <c r="AW64" s="38" t="s">
        <v>704</v>
      </c>
      <c r="AX64" t="s">
        <v>1234</v>
      </c>
      <c r="AY64" s="38" t="s">
        <v>293</v>
      </c>
      <c r="AZ64" s="38" t="s">
        <v>353</v>
      </c>
      <c r="BA64" s="38" t="s">
        <v>296</v>
      </c>
      <c r="BB64" s="38" t="s">
        <v>300</v>
      </c>
      <c r="BC64" s="38" t="s">
        <v>293</v>
      </c>
      <c r="BD64" s="38" t="s">
        <v>292</v>
      </c>
      <c r="BE64" s="38" t="s">
        <v>293</v>
      </c>
      <c r="BF64" s="38" t="s">
        <v>292</v>
      </c>
      <c r="BG64" s="38" t="s">
        <v>293</v>
      </c>
      <c r="BH64" s="38" t="s">
        <v>302</v>
      </c>
      <c r="BI64" s="38" t="s">
        <v>357</v>
      </c>
      <c r="BJ64" s="38" t="s">
        <v>359</v>
      </c>
      <c r="BK64" s="38" t="s">
        <v>293</v>
      </c>
      <c r="BL64" s="38" t="s">
        <v>293</v>
      </c>
      <c r="BM64" s="38" t="s">
        <v>296</v>
      </c>
      <c r="BN64" s="38" t="s">
        <v>356</v>
      </c>
      <c r="BO64" s="38" t="s">
        <v>293</v>
      </c>
      <c r="BP64" s="38" t="s">
        <v>292</v>
      </c>
      <c r="BQ64" s="38" t="s">
        <v>293</v>
      </c>
      <c r="BR64" s="38" t="s">
        <v>293</v>
      </c>
      <c r="BS64" s="38" t="s">
        <v>364</v>
      </c>
      <c r="BT64" s="38" t="s">
        <v>367</v>
      </c>
      <c r="BU64" s="38" t="s">
        <v>378</v>
      </c>
      <c r="BV64" t="s">
        <v>371</v>
      </c>
      <c r="BW64" t="s">
        <v>2507</v>
      </c>
      <c r="BX64" t="str">
        <f>IF(J64="win",VLOOKUP(B64,ColorScheme!$A$2:$I$32,4,0),VLOOKUP(B64,ColorScheme!$A$2:$I$32,5,0))</f>
        <v>#e5000050</v>
      </c>
    </row>
    <row r="65" spans="1:76" x14ac:dyDescent="0.3">
      <c r="A65" t="s">
        <v>43</v>
      </c>
      <c r="B65" t="s">
        <v>73</v>
      </c>
      <c r="C65" t="s">
        <v>15</v>
      </c>
      <c r="D65" t="s">
        <v>12</v>
      </c>
      <c r="E65" t="s">
        <v>767</v>
      </c>
      <c r="F65" t="b">
        <v>1</v>
      </c>
      <c r="G65">
        <v>100</v>
      </c>
      <c r="H65">
        <v>1</v>
      </c>
      <c r="I65">
        <v>9923</v>
      </c>
      <c r="J65" s="61" t="s">
        <v>18</v>
      </c>
      <c r="K65" s="16" t="s">
        <v>272</v>
      </c>
      <c r="L65" s="16">
        <v>3</v>
      </c>
      <c r="M65" s="16" t="s">
        <v>277</v>
      </c>
      <c r="N65" s="16" t="s">
        <v>335</v>
      </c>
      <c r="O65" s="15" t="s">
        <v>281</v>
      </c>
      <c r="P65" t="s">
        <v>285</v>
      </c>
      <c r="Q65" t="s">
        <v>286</v>
      </c>
      <c r="R65" s="17" t="s">
        <v>371</v>
      </c>
      <c r="S65" s="17">
        <v>1</v>
      </c>
      <c r="T65" s="17">
        <v>0</v>
      </c>
      <c r="U65" s="17">
        <v>0</v>
      </c>
      <c r="V65" s="17">
        <v>0</v>
      </c>
      <c r="W65" s="17">
        <v>0</v>
      </c>
      <c r="X65" s="17">
        <v>1</v>
      </c>
      <c r="Y65" s="17">
        <v>1</v>
      </c>
      <c r="Z65" s="17">
        <v>0</v>
      </c>
      <c r="AA65" s="17">
        <v>0</v>
      </c>
      <c r="AB65" s="17">
        <v>0</v>
      </c>
      <c r="AC65" s="17" t="s">
        <v>704</v>
      </c>
      <c r="AD65" s="16" t="s">
        <v>341</v>
      </c>
      <c r="AE65" s="16" t="s">
        <v>340</v>
      </c>
      <c r="AF65" s="15" t="s">
        <v>343</v>
      </c>
      <c r="AG65" s="15" t="s">
        <v>344</v>
      </c>
      <c r="AH65" s="17" t="s">
        <v>371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704</v>
      </c>
      <c r="AR65" t="s">
        <v>349</v>
      </c>
      <c r="AS65" t="s">
        <v>349</v>
      </c>
      <c r="AT65">
        <v>1</v>
      </c>
      <c r="AU65">
        <v>0</v>
      </c>
      <c r="AV65">
        <v>0</v>
      </c>
      <c r="AW65" t="s">
        <v>704</v>
      </c>
      <c r="AX65" t="s">
        <v>1235</v>
      </c>
      <c r="AY65" t="s">
        <v>293</v>
      </c>
      <c r="AZ65" t="s">
        <v>353</v>
      </c>
      <c r="BA65" t="s">
        <v>296</v>
      </c>
      <c r="BB65" t="s">
        <v>300</v>
      </c>
      <c r="BC65" t="s">
        <v>292</v>
      </c>
      <c r="BD65" t="s">
        <v>293</v>
      </c>
      <c r="BE65" t="s">
        <v>292</v>
      </c>
      <c r="BF65" t="s">
        <v>292</v>
      </c>
      <c r="BG65" t="s">
        <v>293</v>
      </c>
      <c r="BH65" t="s">
        <v>302</v>
      </c>
      <c r="BI65" t="s">
        <v>358</v>
      </c>
      <c r="BJ65" t="s">
        <v>359</v>
      </c>
      <c r="BK65" t="s">
        <v>293</v>
      </c>
      <c r="BL65" t="s">
        <v>293</v>
      </c>
      <c r="BM65" t="s">
        <v>297</v>
      </c>
      <c r="BN65" t="s">
        <v>298</v>
      </c>
      <c r="BO65" t="s">
        <v>293</v>
      </c>
      <c r="BP65" t="s">
        <v>292</v>
      </c>
      <c r="BQ65" t="s">
        <v>293</v>
      </c>
      <c r="BR65" t="s">
        <v>293</v>
      </c>
      <c r="BS65" t="s">
        <v>364</v>
      </c>
      <c r="BT65" t="s">
        <v>304</v>
      </c>
      <c r="BU65" t="s">
        <v>371</v>
      </c>
      <c r="BV65" t="s">
        <v>371</v>
      </c>
      <c r="BW65" t="s">
        <v>2508</v>
      </c>
      <c r="BX65" t="str">
        <f>IF(J65="win",VLOOKUP(B65,ColorScheme!$A$2:$I$32,4,0),VLOOKUP(B65,ColorScheme!$A$2:$I$32,5,0))</f>
        <v>#e5000050</v>
      </c>
    </row>
    <row r="66" spans="1:76" x14ac:dyDescent="0.3">
      <c r="A66" t="s">
        <v>43</v>
      </c>
      <c r="B66" t="s">
        <v>73</v>
      </c>
      <c r="C66" t="s">
        <v>23</v>
      </c>
      <c r="D66" t="s">
        <v>12</v>
      </c>
      <c r="E66" t="s">
        <v>768</v>
      </c>
      <c r="F66" t="b">
        <v>1</v>
      </c>
      <c r="G66">
        <v>100</v>
      </c>
      <c r="H66">
        <v>1</v>
      </c>
      <c r="I66">
        <v>13351</v>
      </c>
      <c r="J66" s="61" t="s">
        <v>18</v>
      </c>
      <c r="K66" s="16" t="s">
        <v>272</v>
      </c>
      <c r="L66" s="16">
        <v>3</v>
      </c>
      <c r="M66" s="16" t="s">
        <v>277</v>
      </c>
      <c r="N66" s="16" t="s">
        <v>335</v>
      </c>
      <c r="O66" s="15" t="s">
        <v>282</v>
      </c>
      <c r="P66" t="s">
        <v>371</v>
      </c>
      <c r="Q66" t="s">
        <v>371</v>
      </c>
      <c r="R66" s="17" t="s">
        <v>371</v>
      </c>
      <c r="S66" s="17">
        <v>0</v>
      </c>
      <c r="T66" s="17">
        <v>1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 t="s">
        <v>704</v>
      </c>
      <c r="AD66" s="16" t="s">
        <v>341</v>
      </c>
      <c r="AE66" s="16" t="s">
        <v>340</v>
      </c>
      <c r="AF66" s="15" t="s">
        <v>343</v>
      </c>
      <c r="AG66" s="15" t="s">
        <v>345</v>
      </c>
      <c r="AH66" s="17" t="s">
        <v>346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 t="s">
        <v>704</v>
      </c>
      <c r="AR66" t="s">
        <v>349</v>
      </c>
      <c r="AS66" t="s">
        <v>349</v>
      </c>
      <c r="AT66">
        <v>1</v>
      </c>
      <c r="AU66">
        <v>0</v>
      </c>
      <c r="AV66">
        <v>0</v>
      </c>
      <c r="AW66" t="s">
        <v>704</v>
      </c>
      <c r="AX66" t="s">
        <v>1236</v>
      </c>
      <c r="AY66" t="s">
        <v>293</v>
      </c>
      <c r="AZ66" t="s">
        <v>353</v>
      </c>
      <c r="BA66" t="s">
        <v>296</v>
      </c>
      <c r="BB66" t="s">
        <v>301</v>
      </c>
      <c r="BC66" t="s">
        <v>293</v>
      </c>
      <c r="BD66" t="s">
        <v>292</v>
      </c>
      <c r="BE66" t="s">
        <v>292</v>
      </c>
      <c r="BF66" t="s">
        <v>292</v>
      </c>
      <c r="BG66" t="s">
        <v>293</v>
      </c>
      <c r="BH66" t="s">
        <v>358</v>
      </c>
      <c r="BI66" t="s">
        <v>358</v>
      </c>
      <c r="BJ66" t="s">
        <v>359</v>
      </c>
      <c r="BK66" t="s">
        <v>293</v>
      </c>
      <c r="BL66" t="s">
        <v>293</v>
      </c>
      <c r="BM66" t="s">
        <v>297</v>
      </c>
      <c r="BN66" t="s">
        <v>356</v>
      </c>
      <c r="BO66" t="s">
        <v>293</v>
      </c>
      <c r="BP66" t="s">
        <v>292</v>
      </c>
      <c r="BQ66" t="s">
        <v>293</v>
      </c>
      <c r="BR66" t="s">
        <v>293</v>
      </c>
      <c r="BS66" t="s">
        <v>364</v>
      </c>
      <c r="BT66" t="s">
        <v>304</v>
      </c>
      <c r="BU66" t="s">
        <v>371</v>
      </c>
      <c r="BV66" t="s">
        <v>371</v>
      </c>
      <c r="BW66" t="s">
        <v>2509</v>
      </c>
      <c r="BX66" t="str">
        <f>IF(J66="win",VLOOKUP(B66,ColorScheme!$A$2:$I$32,4,0),VLOOKUP(B66,ColorScheme!$A$2:$I$32,5,0))</f>
        <v>#e5000050</v>
      </c>
    </row>
    <row r="67" spans="1:76" x14ac:dyDescent="0.3">
      <c r="A67" t="s">
        <v>43</v>
      </c>
      <c r="B67" t="s">
        <v>73</v>
      </c>
      <c r="C67" t="s">
        <v>14</v>
      </c>
      <c r="D67" t="s">
        <v>12</v>
      </c>
      <c r="E67" t="s">
        <v>769</v>
      </c>
      <c r="F67" t="b">
        <v>1</v>
      </c>
      <c r="G67">
        <v>100</v>
      </c>
      <c r="H67">
        <v>1</v>
      </c>
      <c r="I67">
        <v>7762</v>
      </c>
      <c r="J67" s="61" t="s">
        <v>18</v>
      </c>
      <c r="K67" s="16" t="s">
        <v>272</v>
      </c>
      <c r="L67" s="16">
        <v>3</v>
      </c>
      <c r="M67" s="16" t="s">
        <v>277</v>
      </c>
      <c r="N67" s="16" t="s">
        <v>335</v>
      </c>
      <c r="O67" s="15" t="s">
        <v>283</v>
      </c>
      <c r="P67" t="s">
        <v>282</v>
      </c>
      <c r="Q67" t="s">
        <v>371</v>
      </c>
      <c r="R67" s="17" t="s">
        <v>371</v>
      </c>
      <c r="S67" s="17">
        <v>0</v>
      </c>
      <c r="T67" s="17">
        <v>1</v>
      </c>
      <c r="U67" s="17">
        <v>1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 t="s">
        <v>704</v>
      </c>
      <c r="AD67" s="16" t="s">
        <v>341</v>
      </c>
      <c r="AE67" s="16" t="s">
        <v>340</v>
      </c>
      <c r="AF67" s="15" t="s">
        <v>343</v>
      </c>
      <c r="AG67" s="15" t="s">
        <v>345</v>
      </c>
      <c r="AH67" s="17" t="s">
        <v>371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704</v>
      </c>
      <c r="AR67" t="s">
        <v>349</v>
      </c>
      <c r="AS67" t="s">
        <v>349</v>
      </c>
      <c r="AT67">
        <v>1</v>
      </c>
      <c r="AU67">
        <v>0</v>
      </c>
      <c r="AV67">
        <v>0</v>
      </c>
      <c r="AW67" t="s">
        <v>704</v>
      </c>
      <c r="AX67" t="s">
        <v>1237</v>
      </c>
      <c r="AY67" t="s">
        <v>293</v>
      </c>
      <c r="AZ67" t="s">
        <v>353</v>
      </c>
      <c r="BA67" t="s">
        <v>296</v>
      </c>
      <c r="BB67" t="s">
        <v>300</v>
      </c>
      <c r="BC67" t="s">
        <v>292</v>
      </c>
      <c r="BD67" t="s">
        <v>293</v>
      </c>
      <c r="BE67" t="s">
        <v>292</v>
      </c>
      <c r="BF67" t="s">
        <v>292</v>
      </c>
      <c r="BG67" t="s">
        <v>293</v>
      </c>
      <c r="BH67" t="s">
        <v>302</v>
      </c>
      <c r="BI67" t="s">
        <v>358</v>
      </c>
      <c r="BJ67" t="s">
        <v>359</v>
      </c>
      <c r="BK67" t="s">
        <v>293</v>
      </c>
      <c r="BL67" t="s">
        <v>293</v>
      </c>
      <c r="BM67" t="s">
        <v>296</v>
      </c>
      <c r="BN67" t="s">
        <v>298</v>
      </c>
      <c r="BO67" t="s">
        <v>293</v>
      </c>
      <c r="BP67" t="s">
        <v>292</v>
      </c>
      <c r="BQ67" t="s">
        <v>293</v>
      </c>
      <c r="BR67" t="s">
        <v>293</v>
      </c>
      <c r="BS67" t="s">
        <v>364</v>
      </c>
      <c r="BT67" t="s">
        <v>304</v>
      </c>
      <c r="BU67" t="s">
        <v>371</v>
      </c>
      <c r="BV67" t="s">
        <v>371</v>
      </c>
      <c r="BW67" t="s">
        <v>2510</v>
      </c>
      <c r="BX67" t="str">
        <f>IF(J67="win",VLOOKUP(B67,ColorScheme!$A$2:$I$32,4,0),VLOOKUP(B67,ColorScheme!$A$2:$I$32,5,0))</f>
        <v>#e5000050</v>
      </c>
    </row>
    <row r="68" spans="1:76" s="38" customFormat="1" x14ac:dyDescent="0.3">
      <c r="A68" t="s">
        <v>43</v>
      </c>
      <c r="B68" t="s">
        <v>73</v>
      </c>
      <c r="C68" t="s">
        <v>11</v>
      </c>
      <c r="D68" t="s">
        <v>12</v>
      </c>
      <c r="E68" t="s">
        <v>770</v>
      </c>
      <c r="F68" t="b">
        <v>1</v>
      </c>
      <c r="G68">
        <v>59</v>
      </c>
      <c r="H68">
        <v>0</v>
      </c>
      <c r="I68">
        <v>13004</v>
      </c>
      <c r="J68" s="61" t="s">
        <v>13</v>
      </c>
      <c r="K68" s="16" t="s">
        <v>272</v>
      </c>
      <c r="L68" s="16">
        <v>3</v>
      </c>
      <c r="M68" s="16" t="s">
        <v>277</v>
      </c>
      <c r="N68" s="16" t="s">
        <v>335</v>
      </c>
      <c r="O68" s="15" t="s">
        <v>283</v>
      </c>
      <c r="P68" t="s">
        <v>282</v>
      </c>
      <c r="Q68" t="s">
        <v>371</v>
      </c>
      <c r="R68" s="17" t="s">
        <v>371</v>
      </c>
      <c r="S68" s="17">
        <v>0</v>
      </c>
      <c r="T68" s="17">
        <v>1</v>
      </c>
      <c r="U68" s="17">
        <v>1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 t="s">
        <v>704</v>
      </c>
      <c r="AD68" s="16" t="s">
        <v>341</v>
      </c>
      <c r="AE68" s="16" t="s">
        <v>340</v>
      </c>
      <c r="AF68" s="15" t="s">
        <v>343</v>
      </c>
      <c r="AG68" s="15" t="s">
        <v>344</v>
      </c>
      <c r="AH68" s="17" t="s">
        <v>371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704</v>
      </c>
      <c r="AR68" t="s">
        <v>349</v>
      </c>
      <c r="AS68" t="s">
        <v>349</v>
      </c>
      <c r="AT68">
        <v>1</v>
      </c>
      <c r="AU68">
        <v>0</v>
      </c>
      <c r="AV68">
        <v>0</v>
      </c>
      <c r="AW68" t="s">
        <v>704</v>
      </c>
      <c r="AX68" t="s">
        <v>1207</v>
      </c>
      <c r="AY68" t="s">
        <v>293</v>
      </c>
      <c r="AZ68" t="s">
        <v>353</v>
      </c>
      <c r="BA68" t="s">
        <v>296</v>
      </c>
      <c r="BB68" t="s">
        <v>300</v>
      </c>
      <c r="BC68" t="s">
        <v>292</v>
      </c>
      <c r="BD68" t="s">
        <v>293</v>
      </c>
      <c r="BE68" t="s">
        <v>292</v>
      </c>
      <c r="BF68" t="s">
        <v>292</v>
      </c>
      <c r="BG68" t="s">
        <v>293</v>
      </c>
      <c r="BH68" t="s">
        <v>302</v>
      </c>
      <c r="BI68" t="s">
        <v>302</v>
      </c>
      <c r="BJ68" t="s">
        <v>359</v>
      </c>
      <c r="BK68" t="s">
        <v>293</v>
      </c>
      <c r="BL68" t="s">
        <v>293</v>
      </c>
      <c r="BM68" t="s">
        <v>297</v>
      </c>
      <c r="BN68" t="s">
        <v>298</v>
      </c>
      <c r="BO68" t="s">
        <v>293</v>
      </c>
      <c r="BP68" t="s">
        <v>292</v>
      </c>
      <c r="BQ68" t="s">
        <v>293</v>
      </c>
      <c r="BR68" t="s">
        <v>293</v>
      </c>
      <c r="BS68" t="s">
        <v>364</v>
      </c>
      <c r="BT68" t="s">
        <v>366</v>
      </c>
      <c r="BU68" t="s">
        <v>371</v>
      </c>
      <c r="BV68" s="38" t="s">
        <v>371</v>
      </c>
      <c r="BW68" t="s">
        <v>2511</v>
      </c>
      <c r="BX68" t="str">
        <f>IF(J68="win",VLOOKUP(B68,ColorScheme!$A$2:$I$32,4,0),VLOOKUP(B68,ColorScheme!$A$2:$I$32,5,0))</f>
        <v>#e50000</v>
      </c>
    </row>
    <row r="69" spans="1:76" x14ac:dyDescent="0.3">
      <c r="A69" t="s">
        <v>43</v>
      </c>
      <c r="B69" t="s">
        <v>73</v>
      </c>
      <c r="C69" t="s">
        <v>21</v>
      </c>
      <c r="D69" t="s">
        <v>12</v>
      </c>
      <c r="E69" t="s">
        <v>771</v>
      </c>
      <c r="F69" t="b">
        <v>1</v>
      </c>
      <c r="G69">
        <v>100</v>
      </c>
      <c r="H69">
        <v>1</v>
      </c>
      <c r="I69">
        <v>12415</v>
      </c>
      <c r="J69" s="61" t="s">
        <v>18</v>
      </c>
      <c r="K69" s="16" t="s">
        <v>272</v>
      </c>
      <c r="L69" s="16">
        <v>3</v>
      </c>
      <c r="M69" s="16" t="s">
        <v>277</v>
      </c>
      <c r="N69" s="16" t="s">
        <v>335</v>
      </c>
      <c r="O69" s="15" t="s">
        <v>282</v>
      </c>
      <c r="P69" t="s">
        <v>371</v>
      </c>
      <c r="Q69" t="s">
        <v>371</v>
      </c>
      <c r="R69" s="17" t="s">
        <v>371</v>
      </c>
      <c r="S69" s="17">
        <v>0</v>
      </c>
      <c r="T69" s="17">
        <v>1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 t="s">
        <v>704</v>
      </c>
      <c r="AD69" s="16" t="s">
        <v>341</v>
      </c>
      <c r="AE69" s="16" t="s">
        <v>342</v>
      </c>
      <c r="AF69" s="15" t="s">
        <v>343</v>
      </c>
      <c r="AG69" s="15" t="s">
        <v>345</v>
      </c>
      <c r="AH69" s="17" t="s">
        <v>346</v>
      </c>
      <c r="AI69">
        <v>0</v>
      </c>
      <c r="AJ69">
        <v>1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 t="s">
        <v>704</v>
      </c>
      <c r="AR69" t="s">
        <v>349</v>
      </c>
      <c r="AS69" t="s">
        <v>349</v>
      </c>
      <c r="AT69">
        <v>1</v>
      </c>
      <c r="AU69">
        <v>0</v>
      </c>
      <c r="AV69">
        <v>0</v>
      </c>
      <c r="AW69" t="s">
        <v>704</v>
      </c>
      <c r="AX69" t="s">
        <v>1236</v>
      </c>
      <c r="AY69" t="s">
        <v>293</v>
      </c>
      <c r="AZ69" t="s">
        <v>353</v>
      </c>
      <c r="BA69" t="s">
        <v>355</v>
      </c>
      <c r="BB69" t="s">
        <v>301</v>
      </c>
      <c r="BC69" t="s">
        <v>292</v>
      </c>
      <c r="BD69" t="s">
        <v>293</v>
      </c>
      <c r="BE69" t="s">
        <v>292</v>
      </c>
      <c r="BF69" t="s">
        <v>292</v>
      </c>
      <c r="BG69" t="s">
        <v>293</v>
      </c>
      <c r="BH69" t="s">
        <v>302</v>
      </c>
      <c r="BI69" t="s">
        <v>302</v>
      </c>
      <c r="BJ69" t="s">
        <v>359</v>
      </c>
      <c r="BK69" t="s">
        <v>293</v>
      </c>
      <c r="BL69" t="s">
        <v>293</v>
      </c>
      <c r="BM69" t="s">
        <v>297</v>
      </c>
      <c r="BN69" t="s">
        <v>298</v>
      </c>
      <c r="BO69" t="s">
        <v>293</v>
      </c>
      <c r="BP69" t="s">
        <v>292</v>
      </c>
      <c r="BQ69" t="s">
        <v>293</v>
      </c>
      <c r="BR69" t="s">
        <v>293</v>
      </c>
      <c r="BS69" t="s">
        <v>364</v>
      </c>
      <c r="BT69" t="s">
        <v>304</v>
      </c>
      <c r="BU69" t="s">
        <v>371</v>
      </c>
      <c r="BV69" t="s">
        <v>371</v>
      </c>
      <c r="BW69" t="s">
        <v>2512</v>
      </c>
      <c r="BX69" t="str">
        <f>IF(J69="win",VLOOKUP(B69,ColorScheme!$A$2:$I$32,4,0),VLOOKUP(B69,ColorScheme!$A$2:$I$32,5,0))</f>
        <v>#e5000050</v>
      </c>
    </row>
    <row r="70" spans="1:76" x14ac:dyDescent="0.3">
      <c r="A70" t="s">
        <v>43</v>
      </c>
      <c r="B70" t="s">
        <v>73</v>
      </c>
      <c r="C70" t="s">
        <v>17</v>
      </c>
      <c r="D70" t="s">
        <v>12</v>
      </c>
      <c r="E70" t="s">
        <v>772</v>
      </c>
      <c r="F70" t="b">
        <v>1</v>
      </c>
      <c r="G70">
        <v>100</v>
      </c>
      <c r="H70">
        <v>1</v>
      </c>
      <c r="I70">
        <v>14874</v>
      </c>
      <c r="J70" s="61" t="s">
        <v>18</v>
      </c>
      <c r="K70" s="16" t="s">
        <v>272</v>
      </c>
      <c r="L70" s="16">
        <v>3</v>
      </c>
      <c r="M70" s="16" t="s">
        <v>277</v>
      </c>
      <c r="N70" s="16" t="s">
        <v>335</v>
      </c>
      <c r="O70" s="15" t="s">
        <v>281</v>
      </c>
      <c r="P70" t="s">
        <v>285</v>
      </c>
      <c r="Q70" t="s">
        <v>286</v>
      </c>
      <c r="R70" s="17" t="s">
        <v>371</v>
      </c>
      <c r="S70" s="17">
        <v>1</v>
      </c>
      <c r="T70" s="17">
        <v>0</v>
      </c>
      <c r="U70" s="17">
        <v>0</v>
      </c>
      <c r="V70" s="17">
        <v>0</v>
      </c>
      <c r="W70" s="17">
        <v>0</v>
      </c>
      <c r="X70" s="17">
        <v>1</v>
      </c>
      <c r="Y70" s="17">
        <v>1</v>
      </c>
      <c r="Z70" s="17">
        <v>0</v>
      </c>
      <c r="AA70" s="17">
        <v>0</v>
      </c>
      <c r="AB70" s="17">
        <v>0</v>
      </c>
      <c r="AC70" s="17" t="s">
        <v>704</v>
      </c>
      <c r="AD70" s="16" t="s">
        <v>341</v>
      </c>
      <c r="AE70" s="16" t="s">
        <v>340</v>
      </c>
      <c r="AF70" s="15" t="s">
        <v>343</v>
      </c>
      <c r="AG70" s="15" t="s">
        <v>344</v>
      </c>
      <c r="AH70" s="17" t="s">
        <v>371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704</v>
      </c>
      <c r="AR70" t="s">
        <v>349</v>
      </c>
      <c r="AS70" t="s">
        <v>349</v>
      </c>
      <c r="AT70">
        <v>1</v>
      </c>
      <c r="AU70">
        <v>0</v>
      </c>
      <c r="AV70">
        <v>0</v>
      </c>
      <c r="AW70" t="s">
        <v>704</v>
      </c>
      <c r="AX70" t="s">
        <v>1235</v>
      </c>
      <c r="AY70" t="s">
        <v>293</v>
      </c>
      <c r="AZ70" t="s">
        <v>353</v>
      </c>
      <c r="BA70" t="s">
        <v>296</v>
      </c>
      <c r="BB70" t="s">
        <v>300</v>
      </c>
      <c r="BC70" t="s">
        <v>293</v>
      </c>
      <c r="BD70" t="s">
        <v>292</v>
      </c>
      <c r="BE70" t="s">
        <v>292</v>
      </c>
      <c r="BF70" t="s">
        <v>292</v>
      </c>
      <c r="BG70" t="s">
        <v>293</v>
      </c>
      <c r="BH70" t="s">
        <v>302</v>
      </c>
      <c r="BI70" t="s">
        <v>358</v>
      </c>
      <c r="BJ70" t="s">
        <v>359</v>
      </c>
      <c r="BK70" t="s">
        <v>293</v>
      </c>
      <c r="BL70" t="s">
        <v>293</v>
      </c>
      <c r="BM70" t="s">
        <v>297</v>
      </c>
      <c r="BN70" t="s">
        <v>356</v>
      </c>
      <c r="BO70" t="s">
        <v>293</v>
      </c>
      <c r="BP70" t="s">
        <v>292</v>
      </c>
      <c r="BQ70" t="s">
        <v>293</v>
      </c>
      <c r="BR70" t="s">
        <v>293</v>
      </c>
      <c r="BS70" t="s">
        <v>364</v>
      </c>
      <c r="BT70" t="s">
        <v>304</v>
      </c>
      <c r="BU70" t="s">
        <v>371</v>
      </c>
      <c r="BV70" t="s">
        <v>371</v>
      </c>
      <c r="BW70" t="s">
        <v>2513</v>
      </c>
      <c r="BX70" t="str">
        <f>IF(J70="win",VLOOKUP(B70,ColorScheme!$A$2:$I$32,4,0),VLOOKUP(B70,ColorScheme!$A$2:$I$32,5,0))</f>
        <v>#e5000050</v>
      </c>
    </row>
    <row r="71" spans="1:76" x14ac:dyDescent="0.3">
      <c r="A71" t="s">
        <v>43</v>
      </c>
      <c r="B71" t="s">
        <v>73</v>
      </c>
      <c r="C71" t="s">
        <v>16</v>
      </c>
      <c r="D71" t="s">
        <v>12</v>
      </c>
      <c r="E71" t="s">
        <v>773</v>
      </c>
      <c r="F71" t="b">
        <v>1</v>
      </c>
      <c r="G71">
        <v>100</v>
      </c>
      <c r="H71">
        <v>1</v>
      </c>
      <c r="I71">
        <v>12820</v>
      </c>
      <c r="J71" s="61" t="s">
        <v>18</v>
      </c>
      <c r="K71" s="16" t="s">
        <v>272</v>
      </c>
      <c r="L71" s="16">
        <v>3</v>
      </c>
      <c r="M71" s="16" t="s">
        <v>277</v>
      </c>
      <c r="N71" s="16" t="s">
        <v>335</v>
      </c>
      <c r="O71" s="15" t="s">
        <v>281</v>
      </c>
      <c r="P71" t="s">
        <v>285</v>
      </c>
      <c r="Q71" t="s">
        <v>286</v>
      </c>
      <c r="R71" s="17" t="s">
        <v>371</v>
      </c>
      <c r="S71" s="17">
        <v>1</v>
      </c>
      <c r="T71" s="17">
        <v>0</v>
      </c>
      <c r="U71" s="17">
        <v>0</v>
      </c>
      <c r="V71" s="17">
        <v>0</v>
      </c>
      <c r="W71" s="17">
        <v>0</v>
      </c>
      <c r="X71" s="17">
        <v>1</v>
      </c>
      <c r="Y71" s="17">
        <v>1</v>
      </c>
      <c r="Z71" s="17">
        <v>0</v>
      </c>
      <c r="AA71" s="17">
        <v>0</v>
      </c>
      <c r="AB71" s="17">
        <v>0</v>
      </c>
      <c r="AC71" s="17" t="s">
        <v>704</v>
      </c>
      <c r="AD71" s="16" t="s">
        <v>341</v>
      </c>
      <c r="AE71" s="16" t="s">
        <v>340</v>
      </c>
      <c r="AF71" s="15" t="s">
        <v>343</v>
      </c>
      <c r="AG71" s="15" t="s">
        <v>344</v>
      </c>
      <c r="AH71" s="17" t="s">
        <v>371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704</v>
      </c>
      <c r="AR71" t="s">
        <v>349</v>
      </c>
      <c r="AS71" t="s">
        <v>349</v>
      </c>
      <c r="AT71">
        <v>1</v>
      </c>
      <c r="AU71">
        <v>0</v>
      </c>
      <c r="AV71">
        <v>0</v>
      </c>
      <c r="AW71" t="s">
        <v>704</v>
      </c>
      <c r="AX71" t="s">
        <v>1235</v>
      </c>
      <c r="AY71" t="s">
        <v>293</v>
      </c>
      <c r="AZ71" t="s">
        <v>353</v>
      </c>
      <c r="BA71" t="s">
        <v>296</v>
      </c>
      <c r="BB71" t="s">
        <v>300</v>
      </c>
      <c r="BC71" t="s">
        <v>293</v>
      </c>
      <c r="BD71" t="s">
        <v>292</v>
      </c>
      <c r="BE71" t="s">
        <v>292</v>
      </c>
      <c r="BF71" t="s">
        <v>292</v>
      </c>
      <c r="BG71" t="s">
        <v>293</v>
      </c>
      <c r="BH71" t="s">
        <v>302</v>
      </c>
      <c r="BI71" t="s">
        <v>358</v>
      </c>
      <c r="BJ71" t="s">
        <v>359</v>
      </c>
      <c r="BK71" t="s">
        <v>293</v>
      </c>
      <c r="BL71" t="s">
        <v>293</v>
      </c>
      <c r="BM71" t="s">
        <v>297</v>
      </c>
      <c r="BN71" t="s">
        <v>356</v>
      </c>
      <c r="BO71" t="s">
        <v>293</v>
      </c>
      <c r="BP71" t="s">
        <v>292</v>
      </c>
      <c r="BQ71" t="s">
        <v>293</v>
      </c>
      <c r="BR71" t="s">
        <v>293</v>
      </c>
      <c r="BS71" t="s">
        <v>364</v>
      </c>
      <c r="BT71" t="s">
        <v>304</v>
      </c>
      <c r="BU71" t="s">
        <v>371</v>
      </c>
      <c r="BV71" t="s">
        <v>371</v>
      </c>
      <c r="BW71" t="s">
        <v>2514</v>
      </c>
      <c r="BX71" t="str">
        <f>IF(J71="win",VLOOKUP(B71,ColorScheme!$A$2:$I$32,4,0),VLOOKUP(B71,ColorScheme!$A$2:$I$32,5,0))</f>
        <v>#e5000050</v>
      </c>
    </row>
    <row r="72" spans="1:76" x14ac:dyDescent="0.3">
      <c r="A72" t="s">
        <v>43</v>
      </c>
      <c r="B72" t="s">
        <v>73</v>
      </c>
      <c r="C72" t="s">
        <v>20</v>
      </c>
      <c r="D72" t="s">
        <v>12</v>
      </c>
      <c r="E72" t="s">
        <v>774</v>
      </c>
      <c r="F72" t="b">
        <v>1</v>
      </c>
      <c r="G72">
        <v>88.9</v>
      </c>
      <c r="H72">
        <v>0</v>
      </c>
      <c r="I72">
        <v>13880</v>
      </c>
      <c r="J72" s="61" t="s">
        <v>13</v>
      </c>
      <c r="K72" s="16" t="s">
        <v>272</v>
      </c>
      <c r="L72" s="16">
        <v>2</v>
      </c>
      <c r="M72" s="16" t="s">
        <v>277</v>
      </c>
      <c r="N72" s="16" t="s">
        <v>335</v>
      </c>
      <c r="O72" s="15" t="s">
        <v>282</v>
      </c>
      <c r="P72" t="s">
        <v>371</v>
      </c>
      <c r="Q72" t="s">
        <v>371</v>
      </c>
      <c r="R72" s="17" t="s">
        <v>371</v>
      </c>
      <c r="S72" s="17">
        <v>0</v>
      </c>
      <c r="T72" s="17">
        <v>1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 t="s">
        <v>704</v>
      </c>
      <c r="AD72" s="16" t="s">
        <v>341</v>
      </c>
      <c r="AE72" s="16" t="s">
        <v>340</v>
      </c>
      <c r="AF72" s="15" t="s">
        <v>340</v>
      </c>
      <c r="AG72" s="15" t="s">
        <v>345</v>
      </c>
      <c r="AH72" s="17" t="s">
        <v>371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704</v>
      </c>
      <c r="AR72" t="s">
        <v>349</v>
      </c>
      <c r="AS72" t="s">
        <v>349</v>
      </c>
      <c r="AT72">
        <v>1</v>
      </c>
      <c r="AU72">
        <v>0</v>
      </c>
      <c r="AV72">
        <v>0</v>
      </c>
      <c r="AW72" t="s">
        <v>704</v>
      </c>
      <c r="AX72" t="s">
        <v>1232</v>
      </c>
      <c r="AY72" t="s">
        <v>293</v>
      </c>
      <c r="AZ72" t="s">
        <v>354</v>
      </c>
      <c r="BA72" t="s">
        <v>354</v>
      </c>
      <c r="BB72" t="s">
        <v>301</v>
      </c>
      <c r="BC72" t="s">
        <v>292</v>
      </c>
      <c r="BD72" t="s">
        <v>293</v>
      </c>
      <c r="BE72" t="s">
        <v>292</v>
      </c>
      <c r="BF72" t="s">
        <v>292</v>
      </c>
      <c r="BG72" t="s">
        <v>293</v>
      </c>
      <c r="BH72" t="s">
        <v>302</v>
      </c>
      <c r="BI72" t="s">
        <v>302</v>
      </c>
      <c r="BJ72" t="s">
        <v>357</v>
      </c>
      <c r="BK72" t="s">
        <v>293</v>
      </c>
      <c r="BL72" t="s">
        <v>293</v>
      </c>
      <c r="BM72" t="s">
        <v>297</v>
      </c>
      <c r="BN72" t="s">
        <v>298</v>
      </c>
      <c r="BO72" t="s">
        <v>293</v>
      </c>
      <c r="BP72" t="s">
        <v>292</v>
      </c>
      <c r="BQ72" t="s">
        <v>293</v>
      </c>
      <c r="BR72" t="s">
        <v>293</v>
      </c>
      <c r="BS72" t="s">
        <v>364</v>
      </c>
      <c r="BT72" t="s">
        <v>366</v>
      </c>
      <c r="BU72" t="s">
        <v>371</v>
      </c>
      <c r="BV72" t="s">
        <v>371</v>
      </c>
      <c r="BW72" t="s">
        <v>2515</v>
      </c>
      <c r="BX72" t="str">
        <f>IF(J72="win",VLOOKUP(B72,ColorScheme!$A$2:$I$32,4,0),VLOOKUP(B72,ColorScheme!$A$2:$I$32,5,0))</f>
        <v>#e50000</v>
      </c>
    </row>
    <row r="73" spans="1:76" x14ac:dyDescent="0.3">
      <c r="A73" t="s">
        <v>43</v>
      </c>
      <c r="B73" t="s">
        <v>73</v>
      </c>
      <c r="C73" t="s">
        <v>22</v>
      </c>
      <c r="D73" t="s">
        <v>12</v>
      </c>
      <c r="E73" t="s">
        <v>775</v>
      </c>
      <c r="F73" t="b">
        <v>1</v>
      </c>
      <c r="G73">
        <v>100</v>
      </c>
      <c r="H73">
        <v>1</v>
      </c>
      <c r="I73">
        <v>12776</v>
      </c>
      <c r="J73" s="61" t="s">
        <v>18</v>
      </c>
      <c r="K73" s="16" t="s">
        <v>272</v>
      </c>
      <c r="L73" s="16">
        <v>3</v>
      </c>
      <c r="M73" s="16" t="s">
        <v>277</v>
      </c>
      <c r="N73" s="16" t="s">
        <v>335</v>
      </c>
      <c r="O73" s="15" t="s">
        <v>282</v>
      </c>
      <c r="P73" t="s">
        <v>371</v>
      </c>
      <c r="Q73" t="s">
        <v>371</v>
      </c>
      <c r="R73" s="17" t="s">
        <v>371</v>
      </c>
      <c r="S73" s="17">
        <v>0</v>
      </c>
      <c r="T73" s="17">
        <v>1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 t="s">
        <v>704</v>
      </c>
      <c r="AD73" s="16" t="s">
        <v>341</v>
      </c>
      <c r="AE73" s="16" t="s">
        <v>342</v>
      </c>
      <c r="AF73" s="15" t="s">
        <v>343</v>
      </c>
      <c r="AG73" s="15" t="s">
        <v>345</v>
      </c>
      <c r="AH73" s="17" t="s">
        <v>346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 t="s">
        <v>704</v>
      </c>
      <c r="AR73" t="s">
        <v>349</v>
      </c>
      <c r="AS73" t="s">
        <v>349</v>
      </c>
      <c r="AT73">
        <v>1</v>
      </c>
      <c r="AU73">
        <v>0</v>
      </c>
      <c r="AV73">
        <v>0</v>
      </c>
      <c r="AW73" t="s">
        <v>704</v>
      </c>
      <c r="AX73" t="s">
        <v>1236</v>
      </c>
      <c r="AY73" t="s">
        <v>293</v>
      </c>
      <c r="AZ73" t="s">
        <v>353</v>
      </c>
      <c r="BA73" t="s">
        <v>355</v>
      </c>
      <c r="BB73" t="s">
        <v>301</v>
      </c>
      <c r="BC73" t="s">
        <v>292</v>
      </c>
      <c r="BD73" t="s">
        <v>292</v>
      </c>
      <c r="BE73" t="s">
        <v>292</v>
      </c>
      <c r="BF73" t="s">
        <v>292</v>
      </c>
      <c r="BG73" t="s">
        <v>293</v>
      </c>
      <c r="BH73" t="s">
        <v>302</v>
      </c>
      <c r="BI73" t="s">
        <v>302</v>
      </c>
      <c r="BJ73" t="s">
        <v>359</v>
      </c>
      <c r="BK73" t="s">
        <v>293</v>
      </c>
      <c r="BL73" t="s">
        <v>293</v>
      </c>
      <c r="BM73" t="s">
        <v>297</v>
      </c>
      <c r="BN73" t="s">
        <v>298</v>
      </c>
      <c r="BO73" t="s">
        <v>293</v>
      </c>
      <c r="BP73" t="s">
        <v>292</v>
      </c>
      <c r="BQ73" t="s">
        <v>293</v>
      </c>
      <c r="BR73" t="s">
        <v>293</v>
      </c>
      <c r="BS73" t="s">
        <v>364</v>
      </c>
      <c r="BT73" t="s">
        <v>304</v>
      </c>
      <c r="BU73" t="s">
        <v>371</v>
      </c>
      <c r="BV73" t="s">
        <v>371</v>
      </c>
      <c r="BW73" t="s">
        <v>2516</v>
      </c>
      <c r="BX73" t="str">
        <f>IF(J73="win",VLOOKUP(B73,ColorScheme!$A$2:$I$32,4,0),VLOOKUP(B73,ColorScheme!$A$2:$I$32,5,0))</f>
        <v>#e5000050</v>
      </c>
    </row>
    <row r="74" spans="1:76" x14ac:dyDescent="0.3">
      <c r="A74" t="s">
        <v>43</v>
      </c>
      <c r="B74" t="s">
        <v>73</v>
      </c>
      <c r="C74" t="s">
        <v>25</v>
      </c>
      <c r="D74" t="s">
        <v>29</v>
      </c>
      <c r="E74" t="s">
        <v>776</v>
      </c>
      <c r="F74" t="b">
        <v>1</v>
      </c>
      <c r="G74">
        <v>100</v>
      </c>
      <c r="H74">
        <v>1</v>
      </c>
      <c r="I74">
        <v>12651</v>
      </c>
      <c r="J74" s="61" t="s">
        <v>18</v>
      </c>
      <c r="K74" s="16" t="s">
        <v>272</v>
      </c>
      <c r="L74" s="16">
        <v>2</v>
      </c>
      <c r="M74" s="16" t="s">
        <v>277</v>
      </c>
      <c r="N74" s="16" t="s">
        <v>335</v>
      </c>
      <c r="O74" s="15" t="s">
        <v>282</v>
      </c>
      <c r="P74" t="s">
        <v>371</v>
      </c>
      <c r="Q74" t="s">
        <v>371</v>
      </c>
      <c r="R74" s="17" t="s">
        <v>371</v>
      </c>
      <c r="S74" s="17">
        <v>0</v>
      </c>
      <c r="T74" s="17">
        <v>1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 t="s">
        <v>704</v>
      </c>
      <c r="AD74" s="16" t="s">
        <v>340</v>
      </c>
      <c r="AE74" s="16" t="s">
        <v>342</v>
      </c>
      <c r="AF74" s="15" t="s">
        <v>340</v>
      </c>
      <c r="AG74" s="15" t="s">
        <v>344</v>
      </c>
      <c r="AH74" s="17" t="s">
        <v>371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704</v>
      </c>
      <c r="AR74" t="s">
        <v>349</v>
      </c>
      <c r="AS74" t="s">
        <v>349</v>
      </c>
      <c r="AT74">
        <v>1</v>
      </c>
      <c r="AU74">
        <v>0</v>
      </c>
      <c r="AV74">
        <v>0</v>
      </c>
      <c r="AW74" t="s">
        <v>704</v>
      </c>
      <c r="AX74" t="s">
        <v>1208</v>
      </c>
      <c r="AY74" t="s">
        <v>293</v>
      </c>
      <c r="AZ74" t="s">
        <v>354</v>
      </c>
      <c r="BA74" t="s">
        <v>354</v>
      </c>
      <c r="BB74" t="s">
        <v>299</v>
      </c>
      <c r="BC74" t="s">
        <v>292</v>
      </c>
      <c r="BD74" t="s">
        <v>293</v>
      </c>
      <c r="BE74" t="s">
        <v>292</v>
      </c>
      <c r="BF74" t="s">
        <v>292</v>
      </c>
      <c r="BG74" t="s">
        <v>293</v>
      </c>
      <c r="BH74" t="s">
        <v>302</v>
      </c>
      <c r="BI74" t="s">
        <v>302</v>
      </c>
      <c r="BJ74" t="s">
        <v>357</v>
      </c>
      <c r="BK74" t="s">
        <v>293</v>
      </c>
      <c r="BL74" t="s">
        <v>293</v>
      </c>
      <c r="BM74" t="s">
        <v>297</v>
      </c>
      <c r="BN74" t="s">
        <v>298</v>
      </c>
      <c r="BO74" t="s">
        <v>293</v>
      </c>
      <c r="BP74" t="s">
        <v>292</v>
      </c>
      <c r="BQ74" t="s">
        <v>293</v>
      </c>
      <c r="BR74" t="s">
        <v>293</v>
      </c>
      <c r="BS74" t="s">
        <v>364</v>
      </c>
      <c r="BT74" t="s">
        <v>304</v>
      </c>
      <c r="BU74" t="s">
        <v>371</v>
      </c>
      <c r="BV74" t="s">
        <v>371</v>
      </c>
      <c r="BW74" t="s">
        <v>2517</v>
      </c>
      <c r="BX74" t="str">
        <f>IF(J74="win",VLOOKUP(B74,ColorScheme!$A$2:$I$32,4,0),VLOOKUP(B74,ColorScheme!$A$2:$I$32,5,0))</f>
        <v>#e5000050</v>
      </c>
    </row>
    <row r="75" spans="1:76" x14ac:dyDescent="0.3">
      <c r="A75" t="s">
        <v>43</v>
      </c>
      <c r="B75" t="s">
        <v>73</v>
      </c>
      <c r="C75" t="s">
        <v>24</v>
      </c>
      <c r="D75" t="s">
        <v>29</v>
      </c>
      <c r="E75" t="s">
        <v>777</v>
      </c>
      <c r="F75" t="b">
        <v>1</v>
      </c>
      <c r="G75">
        <v>100</v>
      </c>
      <c r="H75">
        <v>1</v>
      </c>
      <c r="I75">
        <v>13667</v>
      </c>
      <c r="J75" s="61" t="s">
        <v>18</v>
      </c>
      <c r="K75" s="16" t="s">
        <v>272</v>
      </c>
      <c r="L75" s="16">
        <v>2</v>
      </c>
      <c r="M75" s="16" t="s">
        <v>277</v>
      </c>
      <c r="N75" s="16" t="s">
        <v>335</v>
      </c>
      <c r="O75" s="15" t="s">
        <v>282</v>
      </c>
      <c r="P75" t="s">
        <v>371</v>
      </c>
      <c r="Q75" t="s">
        <v>371</v>
      </c>
      <c r="R75" s="17" t="s">
        <v>371</v>
      </c>
      <c r="S75" s="17">
        <v>0</v>
      </c>
      <c r="T75" s="17">
        <v>1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 t="s">
        <v>704</v>
      </c>
      <c r="AD75" s="16" t="s">
        <v>340</v>
      </c>
      <c r="AE75" s="16" t="s">
        <v>342</v>
      </c>
      <c r="AF75" s="15" t="s">
        <v>340</v>
      </c>
      <c r="AG75" s="15" t="s">
        <v>344</v>
      </c>
      <c r="AH75" s="17" t="s">
        <v>371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704</v>
      </c>
      <c r="AR75" t="s">
        <v>349</v>
      </c>
      <c r="AS75" t="s">
        <v>349</v>
      </c>
      <c r="AT75">
        <v>1</v>
      </c>
      <c r="AU75">
        <v>0</v>
      </c>
      <c r="AV75">
        <v>0</v>
      </c>
      <c r="AW75" t="s">
        <v>704</v>
      </c>
      <c r="AX75" t="s">
        <v>1208</v>
      </c>
      <c r="AY75" t="s">
        <v>293</v>
      </c>
      <c r="AZ75" t="s">
        <v>354</v>
      </c>
      <c r="BA75" t="s">
        <v>354</v>
      </c>
      <c r="BB75" t="s">
        <v>301</v>
      </c>
      <c r="BC75" t="s">
        <v>292</v>
      </c>
      <c r="BD75" t="s">
        <v>293</v>
      </c>
      <c r="BE75" t="s">
        <v>292</v>
      </c>
      <c r="BF75" t="s">
        <v>292</v>
      </c>
      <c r="BG75" t="s">
        <v>293</v>
      </c>
      <c r="BH75" t="s">
        <v>302</v>
      </c>
      <c r="BI75" t="s">
        <v>302</v>
      </c>
      <c r="BJ75" t="s">
        <v>357</v>
      </c>
      <c r="BK75" t="s">
        <v>293</v>
      </c>
      <c r="BL75" t="s">
        <v>293</v>
      </c>
      <c r="BM75" t="s">
        <v>297</v>
      </c>
      <c r="BN75" t="s">
        <v>298</v>
      </c>
      <c r="BO75" t="s">
        <v>293</v>
      </c>
      <c r="BP75" t="s">
        <v>292</v>
      </c>
      <c r="BQ75" t="s">
        <v>293</v>
      </c>
      <c r="BR75" t="s">
        <v>293</v>
      </c>
      <c r="BS75" t="s">
        <v>364</v>
      </c>
      <c r="BT75" t="s">
        <v>304</v>
      </c>
      <c r="BU75" t="s">
        <v>371</v>
      </c>
      <c r="BV75" t="s">
        <v>371</v>
      </c>
      <c r="BW75" t="s">
        <v>2518</v>
      </c>
      <c r="BX75" t="str">
        <f>IF(J75="win",VLOOKUP(B75,ColorScheme!$A$2:$I$32,4,0),VLOOKUP(B75,ColorScheme!$A$2:$I$32,5,0))</f>
        <v>#e5000050</v>
      </c>
    </row>
    <row r="76" spans="1:76" x14ac:dyDescent="0.3">
      <c r="A76" t="s">
        <v>43</v>
      </c>
      <c r="B76" t="s">
        <v>73</v>
      </c>
      <c r="C76" t="s">
        <v>32</v>
      </c>
      <c r="D76" t="s">
        <v>29</v>
      </c>
      <c r="E76" t="s">
        <v>778</v>
      </c>
      <c r="F76" t="b">
        <v>1</v>
      </c>
      <c r="G76">
        <v>100</v>
      </c>
      <c r="H76">
        <v>1</v>
      </c>
      <c r="I76">
        <v>14606</v>
      </c>
      <c r="J76" s="61" t="s">
        <v>18</v>
      </c>
      <c r="K76" s="16" t="s">
        <v>273</v>
      </c>
      <c r="L76" s="16">
        <v>2</v>
      </c>
      <c r="M76" s="16" t="s">
        <v>333</v>
      </c>
      <c r="N76" s="16" t="s">
        <v>278</v>
      </c>
      <c r="O76" s="15" t="s">
        <v>273</v>
      </c>
      <c r="P76" t="s">
        <v>371</v>
      </c>
      <c r="Q76" t="s">
        <v>371</v>
      </c>
      <c r="R76" s="17" t="s">
        <v>371</v>
      </c>
      <c r="S76" s="17">
        <v>0</v>
      </c>
      <c r="T76" s="17">
        <v>0</v>
      </c>
      <c r="U76" s="17">
        <v>0</v>
      </c>
      <c r="V76" s="17">
        <v>0</v>
      </c>
      <c r="W76" s="17">
        <v>1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 t="s">
        <v>704</v>
      </c>
      <c r="AD76" s="16" t="s">
        <v>341</v>
      </c>
      <c r="AE76" s="16" t="s">
        <v>340</v>
      </c>
      <c r="AF76" s="15" t="s">
        <v>343</v>
      </c>
      <c r="AG76" s="15" t="s">
        <v>291</v>
      </c>
      <c r="AH76" s="17" t="s">
        <v>371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 t="s">
        <v>704</v>
      </c>
      <c r="AR76" t="s">
        <v>349</v>
      </c>
      <c r="AS76" t="s">
        <v>349</v>
      </c>
      <c r="AT76">
        <v>1</v>
      </c>
      <c r="AU76">
        <v>0</v>
      </c>
      <c r="AV76">
        <v>0</v>
      </c>
      <c r="AW76" t="s">
        <v>704</v>
      </c>
      <c r="AX76" t="s">
        <v>1238</v>
      </c>
      <c r="AY76" t="s">
        <v>293</v>
      </c>
      <c r="AZ76" t="s">
        <v>353</v>
      </c>
      <c r="BA76" t="s">
        <v>296</v>
      </c>
      <c r="BB76" t="s">
        <v>300</v>
      </c>
      <c r="BC76" t="s">
        <v>293</v>
      </c>
      <c r="BD76" t="s">
        <v>292</v>
      </c>
      <c r="BE76" t="s">
        <v>293</v>
      </c>
      <c r="BF76" t="s">
        <v>292</v>
      </c>
      <c r="BG76" t="s">
        <v>293</v>
      </c>
      <c r="BH76" t="s">
        <v>302</v>
      </c>
      <c r="BI76" t="s">
        <v>357</v>
      </c>
      <c r="BJ76" t="s">
        <v>359</v>
      </c>
      <c r="BK76" t="s">
        <v>293</v>
      </c>
      <c r="BL76" t="s">
        <v>293</v>
      </c>
      <c r="BM76" t="s">
        <v>296</v>
      </c>
      <c r="BN76" t="s">
        <v>356</v>
      </c>
      <c r="BO76" t="s">
        <v>293</v>
      </c>
      <c r="BP76" t="s">
        <v>292</v>
      </c>
      <c r="BQ76" t="s">
        <v>293</v>
      </c>
      <c r="BR76" t="s">
        <v>293</v>
      </c>
      <c r="BS76" t="s">
        <v>364</v>
      </c>
      <c r="BT76" t="s">
        <v>304</v>
      </c>
      <c r="BU76" t="s">
        <v>371</v>
      </c>
      <c r="BV76" t="s">
        <v>371</v>
      </c>
      <c r="BW76" t="s">
        <v>2519</v>
      </c>
      <c r="BX76" t="str">
        <f>IF(J76="win",VLOOKUP(B76,ColorScheme!$A$2:$I$32,4,0),VLOOKUP(B76,ColorScheme!$A$2:$I$32,5,0))</f>
        <v>#e5000050</v>
      </c>
    </row>
    <row r="77" spans="1:76" x14ac:dyDescent="0.3">
      <c r="A77" t="s">
        <v>43</v>
      </c>
      <c r="B77" t="s">
        <v>73</v>
      </c>
      <c r="C77" t="s">
        <v>30</v>
      </c>
      <c r="D77" t="s">
        <v>29</v>
      </c>
      <c r="E77" t="s">
        <v>779</v>
      </c>
      <c r="F77" t="b">
        <v>1</v>
      </c>
      <c r="G77">
        <v>85.9</v>
      </c>
      <c r="H77">
        <v>0</v>
      </c>
      <c r="I77">
        <v>15725</v>
      </c>
      <c r="J77" s="61" t="s">
        <v>13</v>
      </c>
      <c r="K77" s="16" t="s">
        <v>272</v>
      </c>
      <c r="L77" s="16">
        <v>2</v>
      </c>
      <c r="M77" s="16" t="s">
        <v>277</v>
      </c>
      <c r="N77" s="16" t="s">
        <v>335</v>
      </c>
      <c r="O77" s="15" t="s">
        <v>282</v>
      </c>
      <c r="P77" t="s">
        <v>371</v>
      </c>
      <c r="Q77" t="s">
        <v>371</v>
      </c>
      <c r="R77" s="17" t="s">
        <v>371</v>
      </c>
      <c r="S77" s="17">
        <v>0</v>
      </c>
      <c r="T77" s="17">
        <v>1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 t="s">
        <v>704</v>
      </c>
      <c r="AD77" s="16" t="s">
        <v>340</v>
      </c>
      <c r="AE77" s="16" t="s">
        <v>342</v>
      </c>
      <c r="AF77" s="15" t="s">
        <v>340</v>
      </c>
      <c r="AG77" s="15" t="s">
        <v>344</v>
      </c>
      <c r="AH77" s="17" t="s">
        <v>371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704</v>
      </c>
      <c r="AR77" t="s">
        <v>349</v>
      </c>
      <c r="AS77" t="s">
        <v>349</v>
      </c>
      <c r="AT77">
        <v>1</v>
      </c>
      <c r="AU77">
        <v>0</v>
      </c>
      <c r="AV77">
        <v>0</v>
      </c>
      <c r="AW77" t="s">
        <v>704</v>
      </c>
      <c r="AX77" t="s">
        <v>1208</v>
      </c>
      <c r="AY77" t="s">
        <v>293</v>
      </c>
      <c r="AZ77" t="s">
        <v>354</v>
      </c>
      <c r="BA77" t="s">
        <v>354</v>
      </c>
      <c r="BB77" t="s">
        <v>300</v>
      </c>
      <c r="BC77" t="s">
        <v>293</v>
      </c>
      <c r="BD77" t="s">
        <v>292</v>
      </c>
      <c r="BE77" t="s">
        <v>292</v>
      </c>
      <c r="BF77" t="s">
        <v>292</v>
      </c>
      <c r="BG77" t="s">
        <v>293</v>
      </c>
      <c r="BH77" t="s">
        <v>302</v>
      </c>
      <c r="BI77" t="s">
        <v>302</v>
      </c>
      <c r="BJ77" t="s">
        <v>357</v>
      </c>
      <c r="BK77" t="s">
        <v>293</v>
      </c>
      <c r="BL77" t="s">
        <v>293</v>
      </c>
      <c r="BM77" t="s">
        <v>297</v>
      </c>
      <c r="BN77" t="s">
        <v>356</v>
      </c>
      <c r="BO77" t="s">
        <v>293</v>
      </c>
      <c r="BP77" t="s">
        <v>292</v>
      </c>
      <c r="BQ77" t="s">
        <v>293</v>
      </c>
      <c r="BR77" t="s">
        <v>293</v>
      </c>
      <c r="BS77" t="s">
        <v>364</v>
      </c>
      <c r="BT77" t="s">
        <v>366</v>
      </c>
      <c r="BU77" t="s">
        <v>371</v>
      </c>
      <c r="BV77" t="s">
        <v>371</v>
      </c>
      <c r="BW77" t="s">
        <v>2520</v>
      </c>
      <c r="BX77" t="str">
        <f>IF(J77="win",VLOOKUP(B77,ColorScheme!$A$2:$I$32,4,0),VLOOKUP(B77,ColorScheme!$A$2:$I$32,5,0))</f>
        <v>#e50000</v>
      </c>
    </row>
    <row r="78" spans="1:76" s="38" customFormat="1" x14ac:dyDescent="0.3">
      <c r="A78" t="s">
        <v>43</v>
      </c>
      <c r="B78" t="s">
        <v>73</v>
      </c>
      <c r="C78" t="s">
        <v>34</v>
      </c>
      <c r="D78" t="s">
        <v>29</v>
      </c>
      <c r="E78" t="s">
        <v>780</v>
      </c>
      <c r="F78" t="b">
        <v>1</v>
      </c>
      <c r="G78">
        <v>100</v>
      </c>
      <c r="H78">
        <v>1</v>
      </c>
      <c r="I78">
        <v>20145</v>
      </c>
      <c r="J78" s="61" t="s">
        <v>18</v>
      </c>
      <c r="K78" s="16" t="s">
        <v>273</v>
      </c>
      <c r="L78" s="16">
        <v>3</v>
      </c>
      <c r="M78" s="16" t="s">
        <v>333</v>
      </c>
      <c r="N78" s="16" t="s">
        <v>279</v>
      </c>
      <c r="O78" s="15" t="s">
        <v>273</v>
      </c>
      <c r="P78" t="s">
        <v>338</v>
      </c>
      <c r="Q78" t="s">
        <v>371</v>
      </c>
      <c r="R78" s="17" t="s">
        <v>371</v>
      </c>
      <c r="S78" s="17">
        <v>0</v>
      </c>
      <c r="T78" s="17">
        <v>0</v>
      </c>
      <c r="U78" s="17">
        <v>0</v>
      </c>
      <c r="V78" s="17">
        <v>0</v>
      </c>
      <c r="W78" s="17">
        <v>1</v>
      </c>
      <c r="X78" s="17">
        <v>0</v>
      </c>
      <c r="Y78" s="17">
        <v>0</v>
      </c>
      <c r="Z78" s="17">
        <v>1</v>
      </c>
      <c r="AA78" s="17">
        <v>0</v>
      </c>
      <c r="AB78" s="17">
        <v>0</v>
      </c>
      <c r="AC78" s="17" t="s">
        <v>704</v>
      </c>
      <c r="AD78" s="16" t="s">
        <v>341</v>
      </c>
      <c r="AE78" s="16" t="s">
        <v>340</v>
      </c>
      <c r="AF78" s="15" t="s">
        <v>343</v>
      </c>
      <c r="AG78" s="15" t="s">
        <v>347</v>
      </c>
      <c r="AH78" s="17" t="s">
        <v>371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 t="s">
        <v>704</v>
      </c>
      <c r="AR78" t="s">
        <v>350</v>
      </c>
      <c r="AS78" t="s">
        <v>349</v>
      </c>
      <c r="AT78">
        <v>0</v>
      </c>
      <c r="AU78">
        <v>1</v>
      </c>
      <c r="AV78">
        <v>0</v>
      </c>
      <c r="AW78" t="s">
        <v>704</v>
      </c>
      <c r="AX78" t="s">
        <v>2911</v>
      </c>
      <c r="AY78" t="s">
        <v>293</v>
      </c>
      <c r="AZ78" t="s">
        <v>353</v>
      </c>
      <c r="BA78" t="s">
        <v>296</v>
      </c>
      <c r="BB78" t="s">
        <v>300</v>
      </c>
      <c r="BC78" t="s">
        <v>293</v>
      </c>
      <c r="BD78" t="s">
        <v>292</v>
      </c>
      <c r="BE78" t="s">
        <v>293</v>
      </c>
      <c r="BF78" t="s">
        <v>292</v>
      </c>
      <c r="BG78" t="s">
        <v>293</v>
      </c>
      <c r="BH78" t="s">
        <v>302</v>
      </c>
      <c r="BI78" t="s">
        <v>302</v>
      </c>
      <c r="BJ78" t="s">
        <v>359</v>
      </c>
      <c r="BK78" t="s">
        <v>293</v>
      </c>
      <c r="BL78" t="s">
        <v>293</v>
      </c>
      <c r="BM78" t="s">
        <v>296</v>
      </c>
      <c r="BN78" t="s">
        <v>356</v>
      </c>
      <c r="BO78" t="s">
        <v>293</v>
      </c>
      <c r="BP78" t="s">
        <v>292</v>
      </c>
      <c r="BQ78" t="s">
        <v>293</v>
      </c>
      <c r="BR78" t="s">
        <v>293</v>
      </c>
      <c r="BS78" t="s">
        <v>364</v>
      </c>
      <c r="BT78" t="s">
        <v>304</v>
      </c>
      <c r="BU78" t="s">
        <v>371</v>
      </c>
      <c r="BV78" s="38" t="s">
        <v>371</v>
      </c>
      <c r="BW78" t="s">
        <v>2521</v>
      </c>
      <c r="BX78" t="str">
        <f>IF(J78="win",VLOOKUP(B78,ColorScheme!$A$2:$I$32,4,0),VLOOKUP(B78,ColorScheme!$A$2:$I$32,5,0))</f>
        <v>#e5000050</v>
      </c>
    </row>
    <row r="79" spans="1:76" x14ac:dyDescent="0.3">
      <c r="A79" t="s">
        <v>43</v>
      </c>
      <c r="B79" t="s">
        <v>73</v>
      </c>
      <c r="C79" t="s">
        <v>26</v>
      </c>
      <c r="D79" t="s">
        <v>29</v>
      </c>
      <c r="E79" t="s">
        <v>781</v>
      </c>
      <c r="F79" t="b">
        <v>1</v>
      </c>
      <c r="G79">
        <v>92.5</v>
      </c>
      <c r="H79">
        <v>0</v>
      </c>
      <c r="I79">
        <v>18112</v>
      </c>
      <c r="J79" s="61" t="s">
        <v>13</v>
      </c>
      <c r="K79" s="16" t="s">
        <v>272</v>
      </c>
      <c r="L79" s="16">
        <v>3</v>
      </c>
      <c r="M79" s="16" t="s">
        <v>277</v>
      </c>
      <c r="N79" s="16" t="s">
        <v>335</v>
      </c>
      <c r="O79" s="15" t="s">
        <v>282</v>
      </c>
      <c r="P79" t="s">
        <v>371</v>
      </c>
      <c r="Q79" t="s">
        <v>371</v>
      </c>
      <c r="R79" s="17" t="s">
        <v>371</v>
      </c>
      <c r="S79" s="17">
        <v>0</v>
      </c>
      <c r="T79" s="17">
        <v>1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 t="s">
        <v>704</v>
      </c>
      <c r="AD79" s="16" t="s">
        <v>340</v>
      </c>
      <c r="AE79" s="16" t="s">
        <v>342</v>
      </c>
      <c r="AF79" s="15" t="s">
        <v>343</v>
      </c>
      <c r="AG79" s="15" t="s">
        <v>344</v>
      </c>
      <c r="AH79" s="17" t="s">
        <v>291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 t="s">
        <v>704</v>
      </c>
      <c r="AR79" t="s">
        <v>349</v>
      </c>
      <c r="AS79" t="s">
        <v>349</v>
      </c>
      <c r="AT79">
        <v>1</v>
      </c>
      <c r="AU79">
        <v>0</v>
      </c>
      <c r="AV79">
        <v>0</v>
      </c>
      <c r="AW79" t="s">
        <v>704</v>
      </c>
      <c r="AX79" t="s">
        <v>1213</v>
      </c>
      <c r="AY79" t="s">
        <v>293</v>
      </c>
      <c r="AZ79" t="s">
        <v>353</v>
      </c>
      <c r="BA79" t="s">
        <v>296</v>
      </c>
      <c r="BB79" t="s">
        <v>300</v>
      </c>
      <c r="BC79" t="s">
        <v>292</v>
      </c>
      <c r="BD79" t="s">
        <v>293</v>
      </c>
      <c r="BE79" t="s">
        <v>292</v>
      </c>
      <c r="BF79" t="s">
        <v>292</v>
      </c>
      <c r="BG79" t="s">
        <v>293</v>
      </c>
      <c r="BH79" t="s">
        <v>302</v>
      </c>
      <c r="BI79" t="s">
        <v>302</v>
      </c>
      <c r="BJ79" t="s">
        <v>359</v>
      </c>
      <c r="BK79" t="s">
        <v>293</v>
      </c>
      <c r="BL79" t="s">
        <v>293</v>
      </c>
      <c r="BM79" t="s">
        <v>296</v>
      </c>
      <c r="BN79" t="s">
        <v>298</v>
      </c>
      <c r="BO79" t="s">
        <v>293</v>
      </c>
      <c r="BP79" t="s">
        <v>292</v>
      </c>
      <c r="BQ79" t="s">
        <v>293</v>
      </c>
      <c r="BR79" t="s">
        <v>293</v>
      </c>
      <c r="BS79" t="s">
        <v>364</v>
      </c>
      <c r="BT79" t="s">
        <v>366</v>
      </c>
      <c r="BU79" t="s">
        <v>371</v>
      </c>
      <c r="BV79" t="s">
        <v>371</v>
      </c>
      <c r="BW79" t="s">
        <v>2522</v>
      </c>
      <c r="BX79" t="str">
        <f>IF(J79="win",VLOOKUP(B79,ColorScheme!$A$2:$I$32,4,0),VLOOKUP(B79,ColorScheme!$A$2:$I$32,5,0))</f>
        <v>#e50000</v>
      </c>
    </row>
    <row r="80" spans="1:76" x14ac:dyDescent="0.3">
      <c r="A80" t="s">
        <v>43</v>
      </c>
      <c r="B80" t="s">
        <v>73</v>
      </c>
      <c r="C80" t="s">
        <v>31</v>
      </c>
      <c r="D80" t="s">
        <v>29</v>
      </c>
      <c r="E80" t="s">
        <v>782</v>
      </c>
      <c r="F80" t="b">
        <v>1</v>
      </c>
      <c r="G80">
        <v>51.5</v>
      </c>
      <c r="H80">
        <v>0</v>
      </c>
      <c r="I80">
        <v>28294</v>
      </c>
      <c r="J80" s="61" t="s">
        <v>13</v>
      </c>
      <c r="K80" s="16" t="s">
        <v>272</v>
      </c>
      <c r="L80" s="16">
        <v>3</v>
      </c>
      <c r="M80" s="16" t="s">
        <v>277</v>
      </c>
      <c r="N80" s="16" t="s">
        <v>335</v>
      </c>
      <c r="O80" s="15" t="s">
        <v>282</v>
      </c>
      <c r="P80" t="s">
        <v>371</v>
      </c>
      <c r="Q80" t="s">
        <v>371</v>
      </c>
      <c r="R80" s="17" t="s">
        <v>371</v>
      </c>
      <c r="S80" s="17">
        <v>0</v>
      </c>
      <c r="T80" s="17">
        <v>1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 t="s">
        <v>704</v>
      </c>
      <c r="AD80" s="16" t="s">
        <v>341</v>
      </c>
      <c r="AE80" s="16" t="s">
        <v>340</v>
      </c>
      <c r="AF80" s="15" t="s">
        <v>343</v>
      </c>
      <c r="AG80" s="15" t="s">
        <v>291</v>
      </c>
      <c r="AH80" s="17" t="s">
        <v>346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1</v>
      </c>
      <c r="AP80">
        <v>0</v>
      </c>
      <c r="AQ80" t="s">
        <v>704</v>
      </c>
      <c r="AR80" t="s">
        <v>349</v>
      </c>
      <c r="AS80" t="s">
        <v>349</v>
      </c>
      <c r="AT80">
        <v>1</v>
      </c>
      <c r="AU80">
        <v>0</v>
      </c>
      <c r="AV80">
        <v>0</v>
      </c>
      <c r="AW80" t="s">
        <v>704</v>
      </c>
      <c r="AX80" t="s">
        <v>1239</v>
      </c>
      <c r="AY80" t="s">
        <v>293</v>
      </c>
      <c r="AZ80" t="s">
        <v>353</v>
      </c>
      <c r="BA80" t="s">
        <v>296</v>
      </c>
      <c r="BB80" t="s">
        <v>301</v>
      </c>
      <c r="BC80" t="s">
        <v>293</v>
      </c>
      <c r="BD80" t="s">
        <v>292</v>
      </c>
      <c r="BE80" t="s">
        <v>292</v>
      </c>
      <c r="BF80" t="s">
        <v>292</v>
      </c>
      <c r="BG80" t="s">
        <v>293</v>
      </c>
      <c r="BH80" t="s">
        <v>302</v>
      </c>
      <c r="BI80" t="s">
        <v>302</v>
      </c>
      <c r="BJ80" t="s">
        <v>359</v>
      </c>
      <c r="BK80" t="s">
        <v>293</v>
      </c>
      <c r="BL80" t="s">
        <v>293</v>
      </c>
      <c r="BM80" t="s">
        <v>296</v>
      </c>
      <c r="BN80" t="s">
        <v>356</v>
      </c>
      <c r="BO80" t="s">
        <v>293</v>
      </c>
      <c r="BP80" t="s">
        <v>292</v>
      </c>
      <c r="BQ80" t="s">
        <v>293</v>
      </c>
      <c r="BR80" t="s">
        <v>293</v>
      </c>
      <c r="BS80" t="s">
        <v>364</v>
      </c>
      <c r="BT80" t="s">
        <v>366</v>
      </c>
      <c r="BU80" t="s">
        <v>371</v>
      </c>
      <c r="BV80" t="s">
        <v>371</v>
      </c>
      <c r="BW80" t="s">
        <v>2523</v>
      </c>
      <c r="BX80" t="str">
        <f>IF(J80="win",VLOOKUP(B80,ColorScheme!$A$2:$I$32,4,0),VLOOKUP(B80,ColorScheme!$A$2:$I$32,5,0))</f>
        <v>#e50000</v>
      </c>
    </row>
    <row r="81" spans="1:76" x14ac:dyDescent="0.3">
      <c r="A81" t="s">
        <v>43</v>
      </c>
      <c r="B81" t="s">
        <v>73</v>
      </c>
      <c r="C81" t="s">
        <v>27</v>
      </c>
      <c r="D81" t="s">
        <v>29</v>
      </c>
      <c r="E81" t="s">
        <v>783</v>
      </c>
      <c r="F81" t="b">
        <v>1</v>
      </c>
      <c r="G81">
        <v>58.8</v>
      </c>
      <c r="H81">
        <v>0</v>
      </c>
      <c r="I81">
        <v>18403</v>
      </c>
      <c r="J81" s="61" t="s">
        <v>13</v>
      </c>
      <c r="K81" s="16" t="s">
        <v>272</v>
      </c>
      <c r="L81" s="16">
        <v>3</v>
      </c>
      <c r="M81" s="16" t="s">
        <v>277</v>
      </c>
      <c r="N81" s="16" t="s">
        <v>336</v>
      </c>
      <c r="O81" s="15" t="s">
        <v>283</v>
      </c>
      <c r="P81" t="s">
        <v>371</v>
      </c>
      <c r="Q81" t="s">
        <v>371</v>
      </c>
      <c r="R81" s="17" t="s">
        <v>371</v>
      </c>
      <c r="S81" s="17">
        <v>0</v>
      </c>
      <c r="T81" s="17">
        <v>0</v>
      </c>
      <c r="U81" s="17">
        <v>1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 t="s">
        <v>704</v>
      </c>
      <c r="AD81" s="16" t="s">
        <v>341</v>
      </c>
      <c r="AE81" s="16" t="s">
        <v>340</v>
      </c>
      <c r="AF81" s="15" t="s">
        <v>343</v>
      </c>
      <c r="AG81" s="15" t="s">
        <v>345</v>
      </c>
      <c r="AH81" s="17" t="s">
        <v>371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704</v>
      </c>
      <c r="AR81" t="s">
        <v>349</v>
      </c>
      <c r="AS81" t="s">
        <v>349</v>
      </c>
      <c r="AT81">
        <v>1</v>
      </c>
      <c r="AU81">
        <v>0</v>
      </c>
      <c r="AV81">
        <v>0</v>
      </c>
      <c r="AW81" t="s">
        <v>704</v>
      </c>
      <c r="AX81" t="s">
        <v>1240</v>
      </c>
      <c r="AY81" t="s">
        <v>293</v>
      </c>
      <c r="AZ81" t="s">
        <v>353</v>
      </c>
      <c r="BA81" t="s">
        <v>296</v>
      </c>
      <c r="BB81" t="s">
        <v>300</v>
      </c>
      <c r="BC81" t="s">
        <v>292</v>
      </c>
      <c r="BD81" t="s">
        <v>293</v>
      </c>
      <c r="BE81" t="s">
        <v>292</v>
      </c>
      <c r="BF81" t="s">
        <v>292</v>
      </c>
      <c r="BG81" t="s">
        <v>293</v>
      </c>
      <c r="BH81" t="s">
        <v>302</v>
      </c>
      <c r="BI81" t="s">
        <v>359</v>
      </c>
      <c r="BJ81" t="s">
        <v>359</v>
      </c>
      <c r="BK81" t="s">
        <v>293</v>
      </c>
      <c r="BL81" t="s">
        <v>293</v>
      </c>
      <c r="BM81" t="s">
        <v>297</v>
      </c>
      <c r="BN81" t="s">
        <v>298</v>
      </c>
      <c r="BO81" t="s">
        <v>293</v>
      </c>
      <c r="BP81" t="s">
        <v>292</v>
      </c>
      <c r="BQ81" t="s">
        <v>293</v>
      </c>
      <c r="BR81" t="s">
        <v>293</v>
      </c>
      <c r="BS81" t="s">
        <v>364</v>
      </c>
      <c r="BT81" t="s">
        <v>366</v>
      </c>
      <c r="BU81" t="s">
        <v>371</v>
      </c>
      <c r="BV81" t="s">
        <v>371</v>
      </c>
      <c r="BW81" t="s">
        <v>2524</v>
      </c>
      <c r="BX81" t="str">
        <f>IF(J81="win",VLOOKUP(B81,ColorScheme!$A$2:$I$32,4,0),VLOOKUP(B81,ColorScheme!$A$2:$I$32,5,0))</f>
        <v>#e50000</v>
      </c>
    </row>
    <row r="82" spans="1:76" x14ac:dyDescent="0.3">
      <c r="A82" t="s">
        <v>43</v>
      </c>
      <c r="B82" t="s">
        <v>73</v>
      </c>
      <c r="C82" t="s">
        <v>28</v>
      </c>
      <c r="D82" t="s">
        <v>29</v>
      </c>
      <c r="E82" t="s">
        <v>784</v>
      </c>
      <c r="F82" t="b">
        <v>1</v>
      </c>
      <c r="G82">
        <v>100</v>
      </c>
      <c r="H82">
        <v>1</v>
      </c>
      <c r="I82">
        <v>17540</v>
      </c>
      <c r="J82" s="61" t="s">
        <v>18</v>
      </c>
      <c r="K82" s="16" t="s">
        <v>272</v>
      </c>
      <c r="L82" s="16">
        <v>2</v>
      </c>
      <c r="M82" s="16" t="s">
        <v>277</v>
      </c>
      <c r="N82" s="16" t="s">
        <v>335</v>
      </c>
      <c r="O82" s="15" t="s">
        <v>282</v>
      </c>
      <c r="P82" t="s">
        <v>371</v>
      </c>
      <c r="Q82" t="s">
        <v>371</v>
      </c>
      <c r="R82" s="17" t="s">
        <v>371</v>
      </c>
      <c r="S82" s="17">
        <v>0</v>
      </c>
      <c r="T82" s="17">
        <v>1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 t="s">
        <v>704</v>
      </c>
      <c r="AD82" s="16" t="s">
        <v>340</v>
      </c>
      <c r="AE82" s="16" t="s">
        <v>342</v>
      </c>
      <c r="AF82" s="15" t="s">
        <v>340</v>
      </c>
      <c r="AG82" s="15" t="s">
        <v>344</v>
      </c>
      <c r="AH82" s="17" t="s">
        <v>371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704</v>
      </c>
      <c r="AR82" t="s">
        <v>349</v>
      </c>
      <c r="AS82" t="s">
        <v>349</v>
      </c>
      <c r="AT82">
        <v>1</v>
      </c>
      <c r="AU82">
        <v>0</v>
      </c>
      <c r="AV82">
        <v>0</v>
      </c>
      <c r="AW82" t="s">
        <v>704</v>
      </c>
      <c r="AX82" t="s">
        <v>1208</v>
      </c>
      <c r="AY82" t="s">
        <v>293</v>
      </c>
      <c r="AZ82" t="s">
        <v>354</v>
      </c>
      <c r="BA82" t="s">
        <v>354</v>
      </c>
      <c r="BB82" t="s">
        <v>301</v>
      </c>
      <c r="BC82" t="s">
        <v>293</v>
      </c>
      <c r="BD82" t="s">
        <v>292</v>
      </c>
      <c r="BE82" t="s">
        <v>292</v>
      </c>
      <c r="BF82" t="s">
        <v>292</v>
      </c>
      <c r="BG82" t="s">
        <v>293</v>
      </c>
      <c r="BH82" t="s">
        <v>302</v>
      </c>
      <c r="BI82" t="s">
        <v>302</v>
      </c>
      <c r="BJ82" t="s">
        <v>357</v>
      </c>
      <c r="BK82" t="s">
        <v>293</v>
      </c>
      <c r="BL82" t="s">
        <v>293</v>
      </c>
      <c r="BM82" t="s">
        <v>297</v>
      </c>
      <c r="BN82" t="s">
        <v>356</v>
      </c>
      <c r="BO82" t="s">
        <v>293</v>
      </c>
      <c r="BP82" t="s">
        <v>292</v>
      </c>
      <c r="BQ82" t="s">
        <v>293</v>
      </c>
      <c r="BR82" t="s">
        <v>293</v>
      </c>
      <c r="BS82" t="s">
        <v>364</v>
      </c>
      <c r="BT82" t="s">
        <v>304</v>
      </c>
      <c r="BU82" t="s">
        <v>371</v>
      </c>
      <c r="BV82" t="s">
        <v>371</v>
      </c>
      <c r="BW82" t="s">
        <v>2525</v>
      </c>
      <c r="BX82" t="str">
        <f>IF(J82="win",VLOOKUP(B82,ColorScheme!$A$2:$I$32,4,0),VLOOKUP(B82,ColorScheme!$A$2:$I$32,5,0))</f>
        <v>#e5000050</v>
      </c>
    </row>
    <row r="83" spans="1:76" x14ac:dyDescent="0.3">
      <c r="A83" t="s">
        <v>43</v>
      </c>
      <c r="B83" t="s">
        <v>73</v>
      </c>
      <c r="C83" t="s">
        <v>35</v>
      </c>
      <c r="D83" t="s">
        <v>29</v>
      </c>
      <c r="E83" t="s">
        <v>785</v>
      </c>
      <c r="F83" t="b">
        <v>1</v>
      </c>
      <c r="G83">
        <v>100</v>
      </c>
      <c r="H83">
        <v>1</v>
      </c>
      <c r="I83">
        <v>24190</v>
      </c>
      <c r="J83" s="61" t="s">
        <v>18</v>
      </c>
      <c r="K83" s="16" t="s">
        <v>273</v>
      </c>
      <c r="L83" s="16">
        <v>3</v>
      </c>
      <c r="M83" s="16" t="s">
        <v>333</v>
      </c>
      <c r="N83" s="16" t="s">
        <v>279</v>
      </c>
      <c r="O83" s="15" t="s">
        <v>273</v>
      </c>
      <c r="P83" t="s">
        <v>338</v>
      </c>
      <c r="Q83" t="s">
        <v>371</v>
      </c>
      <c r="R83" s="17" t="s">
        <v>371</v>
      </c>
      <c r="S83" s="17">
        <v>0</v>
      </c>
      <c r="T83" s="17">
        <v>0</v>
      </c>
      <c r="U83" s="17">
        <v>0</v>
      </c>
      <c r="V83" s="17">
        <v>0</v>
      </c>
      <c r="W83" s="17">
        <v>1</v>
      </c>
      <c r="X83" s="17">
        <v>0</v>
      </c>
      <c r="Y83" s="17">
        <v>0</v>
      </c>
      <c r="Z83" s="17">
        <v>1</v>
      </c>
      <c r="AA83" s="17">
        <v>0</v>
      </c>
      <c r="AB83" s="17">
        <v>0</v>
      </c>
      <c r="AC83" s="17" t="s">
        <v>704</v>
      </c>
      <c r="AD83" s="16" t="s">
        <v>341</v>
      </c>
      <c r="AE83" s="16" t="s">
        <v>342</v>
      </c>
      <c r="AF83" s="15" t="s">
        <v>343</v>
      </c>
      <c r="AG83" s="15" t="s">
        <v>344</v>
      </c>
      <c r="AH83" s="17" t="s">
        <v>347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 t="s">
        <v>704</v>
      </c>
      <c r="AR83" t="s">
        <v>349</v>
      </c>
      <c r="AS83" t="s">
        <v>349</v>
      </c>
      <c r="AT83">
        <v>1</v>
      </c>
      <c r="AU83">
        <v>0</v>
      </c>
      <c r="AV83">
        <v>0</v>
      </c>
      <c r="AW83" t="s">
        <v>704</v>
      </c>
      <c r="AX83" t="s">
        <v>1241</v>
      </c>
      <c r="AY83" t="s">
        <v>293</v>
      </c>
      <c r="AZ83" t="s">
        <v>353</v>
      </c>
      <c r="BA83" t="s">
        <v>296</v>
      </c>
      <c r="BB83" t="s">
        <v>300</v>
      </c>
      <c r="BC83" t="s">
        <v>293</v>
      </c>
      <c r="BD83" t="s">
        <v>292</v>
      </c>
      <c r="BE83" t="s">
        <v>293</v>
      </c>
      <c r="BF83" t="s">
        <v>292</v>
      </c>
      <c r="BG83" t="s">
        <v>293</v>
      </c>
      <c r="BH83" t="s">
        <v>302</v>
      </c>
      <c r="BI83" t="s">
        <v>302</v>
      </c>
      <c r="BJ83" t="s">
        <v>359</v>
      </c>
      <c r="BK83" t="s">
        <v>293</v>
      </c>
      <c r="BL83" t="s">
        <v>293</v>
      </c>
      <c r="BM83" t="s">
        <v>296</v>
      </c>
      <c r="BN83" t="s">
        <v>356</v>
      </c>
      <c r="BO83" t="s">
        <v>293</v>
      </c>
      <c r="BP83" t="s">
        <v>292</v>
      </c>
      <c r="BQ83" t="s">
        <v>293</v>
      </c>
      <c r="BR83" t="s">
        <v>293</v>
      </c>
      <c r="BS83" t="s">
        <v>364</v>
      </c>
      <c r="BT83" t="s">
        <v>304</v>
      </c>
      <c r="BU83" t="s">
        <v>371</v>
      </c>
      <c r="BV83" t="s">
        <v>371</v>
      </c>
      <c r="BW83" t="s">
        <v>2526</v>
      </c>
      <c r="BX83" t="str">
        <f>IF(J83="win",VLOOKUP(B83,ColorScheme!$A$2:$I$32,4,0),VLOOKUP(B83,ColorScheme!$A$2:$I$32,5,0))</f>
        <v>#e5000050</v>
      </c>
    </row>
    <row r="84" spans="1:76" x14ac:dyDescent="0.3">
      <c r="A84" t="s">
        <v>45</v>
      </c>
      <c r="B84" t="s">
        <v>46</v>
      </c>
      <c r="C84" t="s">
        <v>15</v>
      </c>
      <c r="D84" t="s">
        <v>12</v>
      </c>
      <c r="E84" t="s">
        <v>786</v>
      </c>
      <c r="F84" t="b">
        <v>1</v>
      </c>
      <c r="G84">
        <v>82.1</v>
      </c>
      <c r="H84">
        <v>0</v>
      </c>
      <c r="I84">
        <v>9768</v>
      </c>
      <c r="J84" s="61" t="s">
        <v>13</v>
      </c>
      <c r="K84" s="16" t="s">
        <v>272</v>
      </c>
      <c r="L84" s="16">
        <v>3</v>
      </c>
      <c r="M84" s="16" t="s">
        <v>277</v>
      </c>
      <c r="N84" s="16" t="s">
        <v>336</v>
      </c>
      <c r="O84" s="15" t="s">
        <v>283</v>
      </c>
      <c r="P84" t="s">
        <v>281</v>
      </c>
      <c r="Q84" t="s">
        <v>371</v>
      </c>
      <c r="R84" s="17" t="s">
        <v>371</v>
      </c>
      <c r="S84" s="17">
        <v>1</v>
      </c>
      <c r="T84" s="17">
        <v>0</v>
      </c>
      <c r="U84" s="17">
        <v>1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 t="s">
        <v>704</v>
      </c>
      <c r="AD84" s="16" t="s">
        <v>341</v>
      </c>
      <c r="AE84" s="16" t="s">
        <v>340</v>
      </c>
      <c r="AF84" s="15" t="s">
        <v>343</v>
      </c>
      <c r="AG84" s="15" t="s">
        <v>345</v>
      </c>
      <c r="AH84" s="17" t="s">
        <v>371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704</v>
      </c>
      <c r="AR84" t="s">
        <v>349</v>
      </c>
      <c r="AS84" t="s">
        <v>349</v>
      </c>
      <c r="AT84">
        <v>1</v>
      </c>
      <c r="AU84">
        <v>0</v>
      </c>
      <c r="AV84">
        <v>0</v>
      </c>
      <c r="AW84" t="s">
        <v>704</v>
      </c>
      <c r="AX84" t="s">
        <v>1242</v>
      </c>
      <c r="AY84" t="s">
        <v>293</v>
      </c>
      <c r="AZ84" t="s">
        <v>352</v>
      </c>
      <c r="BA84" t="s">
        <v>296</v>
      </c>
      <c r="BB84" t="s">
        <v>301</v>
      </c>
      <c r="BC84" t="s">
        <v>292</v>
      </c>
      <c r="BD84" t="s">
        <v>293</v>
      </c>
      <c r="BE84" t="s">
        <v>292</v>
      </c>
      <c r="BF84" t="s">
        <v>292</v>
      </c>
      <c r="BG84" t="s">
        <v>293</v>
      </c>
      <c r="BH84" t="s">
        <v>302</v>
      </c>
      <c r="BI84" t="s">
        <v>359</v>
      </c>
      <c r="BJ84" t="s">
        <v>359</v>
      </c>
      <c r="BK84" t="s">
        <v>293</v>
      </c>
      <c r="BL84" t="s">
        <v>293</v>
      </c>
      <c r="BM84" t="s">
        <v>297</v>
      </c>
      <c r="BN84" t="s">
        <v>298</v>
      </c>
      <c r="BO84" t="s">
        <v>293</v>
      </c>
      <c r="BP84" t="s">
        <v>292</v>
      </c>
      <c r="BQ84" t="s">
        <v>362</v>
      </c>
      <c r="BR84" t="s">
        <v>293</v>
      </c>
      <c r="BS84" t="s">
        <v>364</v>
      </c>
      <c r="BT84" t="s">
        <v>366</v>
      </c>
      <c r="BU84" t="s">
        <v>371</v>
      </c>
      <c r="BV84" t="s">
        <v>371</v>
      </c>
      <c r="BW84" t="s">
        <v>2527</v>
      </c>
      <c r="BX84" t="str">
        <f>IF(J84="win",VLOOKUP(B84,ColorScheme!$A$2:$I$32,4,0),VLOOKUP(B84,ColorScheme!$A$2:$I$32,5,0))</f>
        <v>#029386</v>
      </c>
    </row>
    <row r="85" spans="1:76" x14ac:dyDescent="0.3">
      <c r="A85" t="s">
        <v>45</v>
      </c>
      <c r="B85" t="s">
        <v>46</v>
      </c>
      <c r="C85" t="s">
        <v>14</v>
      </c>
      <c r="D85" t="s">
        <v>12</v>
      </c>
      <c r="E85" t="s">
        <v>787</v>
      </c>
      <c r="F85" t="b">
        <v>1</v>
      </c>
      <c r="G85">
        <v>86.6</v>
      </c>
      <c r="H85">
        <v>0</v>
      </c>
      <c r="I85">
        <v>12594</v>
      </c>
      <c r="J85" s="61" t="s">
        <v>13</v>
      </c>
      <c r="K85" s="16" t="s">
        <v>272</v>
      </c>
      <c r="L85" s="16">
        <v>3</v>
      </c>
      <c r="M85" s="16" t="s">
        <v>277</v>
      </c>
      <c r="N85" s="16" t="s">
        <v>336</v>
      </c>
      <c r="O85" s="15" t="s">
        <v>283</v>
      </c>
      <c r="P85" t="s">
        <v>281</v>
      </c>
      <c r="Q85" t="s">
        <v>371</v>
      </c>
      <c r="R85" s="17" t="s">
        <v>371</v>
      </c>
      <c r="S85" s="17">
        <v>1</v>
      </c>
      <c r="T85" s="17">
        <v>0</v>
      </c>
      <c r="U85" s="17">
        <v>1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 t="s">
        <v>704</v>
      </c>
      <c r="AD85" s="16" t="s">
        <v>341</v>
      </c>
      <c r="AE85" s="16" t="s">
        <v>340</v>
      </c>
      <c r="AF85" s="15" t="s">
        <v>343</v>
      </c>
      <c r="AG85" s="15" t="s">
        <v>345</v>
      </c>
      <c r="AH85" s="17" t="s">
        <v>371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704</v>
      </c>
      <c r="AR85" t="s">
        <v>349</v>
      </c>
      <c r="AS85" t="s">
        <v>349</v>
      </c>
      <c r="AT85">
        <v>1</v>
      </c>
      <c r="AU85">
        <v>0</v>
      </c>
      <c r="AV85">
        <v>0</v>
      </c>
      <c r="AW85" t="s">
        <v>704</v>
      </c>
      <c r="AX85" t="s">
        <v>1242</v>
      </c>
      <c r="AY85" t="s">
        <v>293</v>
      </c>
      <c r="AZ85" t="s">
        <v>352</v>
      </c>
      <c r="BA85" t="s">
        <v>296</v>
      </c>
      <c r="BB85" t="s">
        <v>301</v>
      </c>
      <c r="BC85" t="s">
        <v>293</v>
      </c>
      <c r="BD85" t="s">
        <v>292</v>
      </c>
      <c r="BE85" t="s">
        <v>292</v>
      </c>
      <c r="BF85" t="s">
        <v>292</v>
      </c>
      <c r="BG85" t="s">
        <v>293</v>
      </c>
      <c r="BH85" t="s">
        <v>302</v>
      </c>
      <c r="BI85" t="s">
        <v>359</v>
      </c>
      <c r="BJ85" t="s">
        <v>359</v>
      </c>
      <c r="BK85" t="s">
        <v>293</v>
      </c>
      <c r="BL85" t="s">
        <v>293</v>
      </c>
      <c r="BM85" t="s">
        <v>297</v>
      </c>
      <c r="BN85" t="s">
        <v>356</v>
      </c>
      <c r="BO85" t="s">
        <v>293</v>
      </c>
      <c r="BP85" t="s">
        <v>292</v>
      </c>
      <c r="BQ85" t="s">
        <v>362</v>
      </c>
      <c r="BR85" t="s">
        <v>293</v>
      </c>
      <c r="BS85" t="s">
        <v>364</v>
      </c>
      <c r="BT85" t="s">
        <v>366</v>
      </c>
      <c r="BU85" t="s">
        <v>371</v>
      </c>
      <c r="BV85" t="s">
        <v>371</v>
      </c>
      <c r="BW85" t="s">
        <v>2528</v>
      </c>
      <c r="BX85" t="str">
        <f>IF(J85="win",VLOOKUP(B85,ColorScheme!$A$2:$I$32,4,0),VLOOKUP(B85,ColorScheme!$A$2:$I$32,5,0))</f>
        <v>#029386</v>
      </c>
    </row>
    <row r="86" spans="1:76" x14ac:dyDescent="0.3">
      <c r="A86" t="s">
        <v>45</v>
      </c>
      <c r="B86" t="s">
        <v>46</v>
      </c>
      <c r="C86" t="s">
        <v>11</v>
      </c>
      <c r="D86" t="s">
        <v>12</v>
      </c>
      <c r="E86" t="s">
        <v>788</v>
      </c>
      <c r="F86" t="b">
        <v>1</v>
      </c>
      <c r="G86">
        <v>64.400000000000006</v>
      </c>
      <c r="H86">
        <v>0</v>
      </c>
      <c r="I86">
        <v>15051</v>
      </c>
      <c r="J86" s="61" t="s">
        <v>13</v>
      </c>
      <c r="K86" s="16" t="s">
        <v>272</v>
      </c>
      <c r="L86" s="16">
        <v>3</v>
      </c>
      <c r="M86" s="16" t="s">
        <v>277</v>
      </c>
      <c r="N86" s="16" t="s">
        <v>336</v>
      </c>
      <c r="O86" s="15" t="s">
        <v>283</v>
      </c>
      <c r="P86" t="s">
        <v>281</v>
      </c>
      <c r="Q86" t="s">
        <v>371</v>
      </c>
      <c r="R86" s="17" t="s">
        <v>371</v>
      </c>
      <c r="S86" s="17">
        <v>1</v>
      </c>
      <c r="T86" s="17">
        <v>0</v>
      </c>
      <c r="U86" s="17">
        <v>1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 t="s">
        <v>704</v>
      </c>
      <c r="AD86" s="16" t="s">
        <v>341</v>
      </c>
      <c r="AE86" s="16" t="s">
        <v>340</v>
      </c>
      <c r="AF86" s="15" t="s">
        <v>343</v>
      </c>
      <c r="AG86" s="15" t="s">
        <v>345</v>
      </c>
      <c r="AH86" s="17" t="s">
        <v>371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704</v>
      </c>
      <c r="AR86" t="s">
        <v>349</v>
      </c>
      <c r="AS86" t="s">
        <v>349</v>
      </c>
      <c r="AT86">
        <v>1</v>
      </c>
      <c r="AU86">
        <v>0</v>
      </c>
      <c r="AV86">
        <v>0</v>
      </c>
      <c r="AW86" t="s">
        <v>704</v>
      </c>
      <c r="AX86" t="s">
        <v>1242</v>
      </c>
      <c r="AY86" t="s">
        <v>293</v>
      </c>
      <c r="AZ86" t="s">
        <v>353</v>
      </c>
      <c r="BA86" t="s">
        <v>296</v>
      </c>
      <c r="BB86" t="s">
        <v>301</v>
      </c>
      <c r="BC86" t="s">
        <v>293</v>
      </c>
      <c r="BD86" t="s">
        <v>292</v>
      </c>
      <c r="BE86" t="s">
        <v>292</v>
      </c>
      <c r="BF86" t="s">
        <v>292</v>
      </c>
      <c r="BG86" t="s">
        <v>293</v>
      </c>
      <c r="BH86" t="s">
        <v>302</v>
      </c>
      <c r="BI86" t="s">
        <v>359</v>
      </c>
      <c r="BJ86" t="s">
        <v>359</v>
      </c>
      <c r="BK86" t="s">
        <v>293</v>
      </c>
      <c r="BL86" t="s">
        <v>293</v>
      </c>
      <c r="BM86" t="s">
        <v>297</v>
      </c>
      <c r="BN86" t="s">
        <v>356</v>
      </c>
      <c r="BO86" t="s">
        <v>293</v>
      </c>
      <c r="BP86" t="s">
        <v>292</v>
      </c>
      <c r="BQ86" t="s">
        <v>362</v>
      </c>
      <c r="BR86" t="s">
        <v>293</v>
      </c>
      <c r="BS86" t="s">
        <v>364</v>
      </c>
      <c r="BT86" t="s">
        <v>366</v>
      </c>
      <c r="BU86" t="s">
        <v>371</v>
      </c>
      <c r="BV86" t="s">
        <v>371</v>
      </c>
      <c r="BW86" t="s">
        <v>2529</v>
      </c>
      <c r="BX86" t="str">
        <f>IF(J86="win",VLOOKUP(B86,ColorScheme!$A$2:$I$32,4,0),VLOOKUP(B86,ColorScheme!$A$2:$I$32,5,0))</f>
        <v>#029386</v>
      </c>
    </row>
    <row r="87" spans="1:76" x14ac:dyDescent="0.3">
      <c r="A87" t="s">
        <v>45</v>
      </c>
      <c r="B87" t="s">
        <v>46</v>
      </c>
      <c r="C87" t="s">
        <v>19</v>
      </c>
      <c r="D87" t="s">
        <v>12</v>
      </c>
      <c r="E87" t="s">
        <v>789</v>
      </c>
      <c r="F87" t="b">
        <v>1</v>
      </c>
      <c r="G87">
        <v>82.1</v>
      </c>
      <c r="H87">
        <v>0</v>
      </c>
      <c r="I87">
        <v>9647</v>
      </c>
      <c r="J87" s="61" t="s">
        <v>13</v>
      </c>
      <c r="K87" s="16" t="s">
        <v>272</v>
      </c>
      <c r="L87" s="16">
        <v>3</v>
      </c>
      <c r="M87" s="16" t="s">
        <v>277</v>
      </c>
      <c r="N87" s="16" t="s">
        <v>336</v>
      </c>
      <c r="O87" s="15" t="s">
        <v>283</v>
      </c>
      <c r="P87" t="s">
        <v>281</v>
      </c>
      <c r="Q87" t="s">
        <v>371</v>
      </c>
      <c r="R87" s="17" t="s">
        <v>371</v>
      </c>
      <c r="S87" s="17">
        <v>1</v>
      </c>
      <c r="T87" s="17">
        <v>0</v>
      </c>
      <c r="U87" s="17">
        <v>1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 t="s">
        <v>704</v>
      </c>
      <c r="AD87" s="16" t="s">
        <v>341</v>
      </c>
      <c r="AE87" s="16" t="s">
        <v>340</v>
      </c>
      <c r="AF87" s="15" t="s">
        <v>343</v>
      </c>
      <c r="AG87" s="15" t="s">
        <v>345</v>
      </c>
      <c r="AH87" s="17" t="s">
        <v>344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704</v>
      </c>
      <c r="AR87" t="s">
        <v>349</v>
      </c>
      <c r="AS87" t="s">
        <v>349</v>
      </c>
      <c r="AT87">
        <v>1</v>
      </c>
      <c r="AU87">
        <v>0</v>
      </c>
      <c r="AV87">
        <v>0</v>
      </c>
      <c r="AW87" t="s">
        <v>704</v>
      </c>
      <c r="AX87" t="s">
        <v>1243</v>
      </c>
      <c r="AY87" t="s">
        <v>293</v>
      </c>
      <c r="AZ87" t="s">
        <v>352</v>
      </c>
      <c r="BA87" t="s">
        <v>296</v>
      </c>
      <c r="BB87" t="s">
        <v>301</v>
      </c>
      <c r="BC87" t="s">
        <v>292</v>
      </c>
      <c r="BD87" t="s">
        <v>293</v>
      </c>
      <c r="BE87" t="s">
        <v>292</v>
      </c>
      <c r="BF87" t="s">
        <v>292</v>
      </c>
      <c r="BG87" t="s">
        <v>293</v>
      </c>
      <c r="BH87" t="s">
        <v>302</v>
      </c>
      <c r="BI87" t="s">
        <v>359</v>
      </c>
      <c r="BJ87" t="s">
        <v>359</v>
      </c>
      <c r="BK87" t="s">
        <v>293</v>
      </c>
      <c r="BL87" t="s">
        <v>293</v>
      </c>
      <c r="BM87" t="s">
        <v>297</v>
      </c>
      <c r="BN87" t="s">
        <v>298</v>
      </c>
      <c r="BO87" t="s">
        <v>293</v>
      </c>
      <c r="BP87" t="s">
        <v>292</v>
      </c>
      <c r="BQ87" t="s">
        <v>293</v>
      </c>
      <c r="BR87" t="s">
        <v>293</v>
      </c>
      <c r="BS87" t="s">
        <v>364</v>
      </c>
      <c r="BT87" t="s">
        <v>366</v>
      </c>
      <c r="BU87" t="s">
        <v>371</v>
      </c>
      <c r="BV87" t="s">
        <v>371</v>
      </c>
      <c r="BW87" t="s">
        <v>2530</v>
      </c>
      <c r="BX87" t="str">
        <f>IF(J87="win",VLOOKUP(B87,ColorScheme!$A$2:$I$32,4,0),VLOOKUP(B87,ColorScheme!$A$2:$I$32,5,0))</f>
        <v>#029386</v>
      </c>
    </row>
    <row r="88" spans="1:76" x14ac:dyDescent="0.3">
      <c r="A88" t="s">
        <v>45</v>
      </c>
      <c r="B88" t="s">
        <v>46</v>
      </c>
      <c r="C88" t="s">
        <v>17</v>
      </c>
      <c r="D88" t="s">
        <v>12</v>
      </c>
      <c r="E88" t="s">
        <v>790</v>
      </c>
      <c r="F88" t="b">
        <v>1</v>
      </c>
      <c r="G88">
        <v>82.1</v>
      </c>
      <c r="H88">
        <v>0</v>
      </c>
      <c r="I88">
        <v>9633</v>
      </c>
      <c r="J88" s="61" t="s">
        <v>13</v>
      </c>
      <c r="K88" s="16" t="s">
        <v>272</v>
      </c>
      <c r="L88" s="16">
        <v>3</v>
      </c>
      <c r="M88" s="16" t="s">
        <v>277</v>
      </c>
      <c r="N88" s="16" t="s">
        <v>336</v>
      </c>
      <c r="O88" s="15" t="s">
        <v>283</v>
      </c>
      <c r="P88" t="s">
        <v>281</v>
      </c>
      <c r="Q88" t="s">
        <v>371</v>
      </c>
      <c r="R88" s="17" t="s">
        <v>371</v>
      </c>
      <c r="S88" s="17">
        <v>1</v>
      </c>
      <c r="T88" s="17">
        <v>0</v>
      </c>
      <c r="U88" s="17">
        <v>1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 t="s">
        <v>704</v>
      </c>
      <c r="AD88" s="16" t="s">
        <v>341</v>
      </c>
      <c r="AE88" s="16" t="s">
        <v>340</v>
      </c>
      <c r="AF88" s="15" t="s">
        <v>343</v>
      </c>
      <c r="AG88" s="15" t="s">
        <v>345</v>
      </c>
      <c r="AH88" s="17" t="s">
        <v>371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704</v>
      </c>
      <c r="AR88" t="s">
        <v>349</v>
      </c>
      <c r="AS88" t="s">
        <v>349</v>
      </c>
      <c r="AT88">
        <v>1</v>
      </c>
      <c r="AU88">
        <v>0</v>
      </c>
      <c r="AV88">
        <v>0</v>
      </c>
      <c r="AW88" t="s">
        <v>704</v>
      </c>
      <c r="AX88" t="s">
        <v>1242</v>
      </c>
      <c r="AY88" t="s">
        <v>293</v>
      </c>
      <c r="AZ88" t="s">
        <v>352</v>
      </c>
      <c r="BA88" t="s">
        <v>296</v>
      </c>
      <c r="BB88" t="s">
        <v>301</v>
      </c>
      <c r="BC88" t="s">
        <v>292</v>
      </c>
      <c r="BD88" t="s">
        <v>293</v>
      </c>
      <c r="BE88" t="s">
        <v>292</v>
      </c>
      <c r="BF88" t="s">
        <v>292</v>
      </c>
      <c r="BG88" t="s">
        <v>293</v>
      </c>
      <c r="BH88" t="s">
        <v>302</v>
      </c>
      <c r="BI88" t="s">
        <v>359</v>
      </c>
      <c r="BJ88" t="s">
        <v>359</v>
      </c>
      <c r="BK88" t="s">
        <v>293</v>
      </c>
      <c r="BL88" t="s">
        <v>293</v>
      </c>
      <c r="BM88" t="s">
        <v>297</v>
      </c>
      <c r="BN88" t="s">
        <v>298</v>
      </c>
      <c r="BO88" t="s">
        <v>293</v>
      </c>
      <c r="BP88" t="s">
        <v>292</v>
      </c>
      <c r="BQ88" t="s">
        <v>362</v>
      </c>
      <c r="BR88" t="s">
        <v>293</v>
      </c>
      <c r="BS88" t="s">
        <v>364</v>
      </c>
      <c r="BT88" t="s">
        <v>366</v>
      </c>
      <c r="BU88" t="s">
        <v>371</v>
      </c>
      <c r="BV88" t="s">
        <v>371</v>
      </c>
      <c r="BW88" t="s">
        <v>2531</v>
      </c>
      <c r="BX88" t="str">
        <f>IF(J88="win",VLOOKUP(B88,ColorScheme!$A$2:$I$32,4,0),VLOOKUP(B88,ColorScheme!$A$2:$I$32,5,0))</f>
        <v>#029386</v>
      </c>
    </row>
    <row r="89" spans="1:76" x14ac:dyDescent="0.3">
      <c r="A89" t="s">
        <v>45</v>
      </c>
      <c r="B89" t="s">
        <v>46</v>
      </c>
      <c r="C89" t="s">
        <v>16</v>
      </c>
      <c r="D89" t="s">
        <v>12</v>
      </c>
      <c r="E89" t="s">
        <v>791</v>
      </c>
      <c r="F89" t="b">
        <v>1</v>
      </c>
      <c r="G89">
        <v>100</v>
      </c>
      <c r="H89">
        <v>1</v>
      </c>
      <c r="I89">
        <v>9078</v>
      </c>
      <c r="J89" s="61" t="s">
        <v>18</v>
      </c>
      <c r="K89" s="16" t="s">
        <v>272</v>
      </c>
      <c r="L89" s="16">
        <v>3</v>
      </c>
      <c r="M89" s="16" t="s">
        <v>277</v>
      </c>
      <c r="N89" s="16" t="s">
        <v>336</v>
      </c>
      <c r="O89" s="15" t="s">
        <v>283</v>
      </c>
      <c r="P89" t="s">
        <v>281</v>
      </c>
      <c r="Q89" t="s">
        <v>371</v>
      </c>
      <c r="R89" s="17" t="s">
        <v>371</v>
      </c>
      <c r="S89" s="17">
        <v>1</v>
      </c>
      <c r="T89" s="17">
        <v>0</v>
      </c>
      <c r="U89" s="17">
        <v>1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 t="s">
        <v>704</v>
      </c>
      <c r="AD89" s="16" t="s">
        <v>341</v>
      </c>
      <c r="AE89" s="16" t="s">
        <v>340</v>
      </c>
      <c r="AF89" s="15" t="s">
        <v>343</v>
      </c>
      <c r="AG89" s="15" t="s">
        <v>345</v>
      </c>
      <c r="AH89" s="17" t="s">
        <v>346</v>
      </c>
      <c r="AI89">
        <v>0</v>
      </c>
      <c r="AJ89">
        <v>1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 t="s">
        <v>704</v>
      </c>
      <c r="AR89" t="s">
        <v>349</v>
      </c>
      <c r="AS89" t="s">
        <v>349</v>
      </c>
      <c r="AT89">
        <v>1</v>
      </c>
      <c r="AU89">
        <v>0</v>
      </c>
      <c r="AV89">
        <v>0</v>
      </c>
      <c r="AW89" t="s">
        <v>704</v>
      </c>
      <c r="AX89" t="s">
        <v>1244</v>
      </c>
      <c r="AY89" t="s">
        <v>293</v>
      </c>
      <c r="AZ89" t="s">
        <v>352</v>
      </c>
      <c r="BA89" t="s">
        <v>296</v>
      </c>
      <c r="BB89" t="s">
        <v>301</v>
      </c>
      <c r="BC89" t="s">
        <v>292</v>
      </c>
      <c r="BD89" t="s">
        <v>293</v>
      </c>
      <c r="BE89" t="s">
        <v>292</v>
      </c>
      <c r="BF89" t="s">
        <v>292</v>
      </c>
      <c r="BG89" t="s">
        <v>293</v>
      </c>
      <c r="BH89" t="s">
        <v>302</v>
      </c>
      <c r="BI89" t="s">
        <v>359</v>
      </c>
      <c r="BJ89" t="s">
        <v>359</v>
      </c>
      <c r="BK89" t="s">
        <v>293</v>
      </c>
      <c r="BL89" t="s">
        <v>293</v>
      </c>
      <c r="BM89" t="s">
        <v>297</v>
      </c>
      <c r="BN89" t="s">
        <v>298</v>
      </c>
      <c r="BO89" t="s">
        <v>293</v>
      </c>
      <c r="BP89" t="s">
        <v>292</v>
      </c>
      <c r="BQ89" t="s">
        <v>362</v>
      </c>
      <c r="BR89" t="s">
        <v>293</v>
      </c>
      <c r="BS89" t="s">
        <v>364</v>
      </c>
      <c r="BT89" t="s">
        <v>304</v>
      </c>
      <c r="BU89" t="s">
        <v>371</v>
      </c>
      <c r="BV89" t="s">
        <v>371</v>
      </c>
      <c r="BW89" t="s">
        <v>2532</v>
      </c>
      <c r="BX89" t="str">
        <f>IF(J89="win",VLOOKUP(B89,ColorScheme!$A$2:$I$32,4,0),VLOOKUP(B89,ColorScheme!$A$2:$I$32,5,0))</f>
        <v>#02938650</v>
      </c>
    </row>
    <row r="90" spans="1:76" x14ac:dyDescent="0.3">
      <c r="A90" t="s">
        <v>45</v>
      </c>
      <c r="B90" t="s">
        <v>46</v>
      </c>
      <c r="C90" t="s">
        <v>20</v>
      </c>
      <c r="D90" t="s">
        <v>12</v>
      </c>
      <c r="E90" t="s">
        <v>792</v>
      </c>
      <c r="F90" t="b">
        <v>1</v>
      </c>
      <c r="G90">
        <v>100</v>
      </c>
      <c r="H90">
        <v>1</v>
      </c>
      <c r="I90">
        <v>9026</v>
      </c>
      <c r="J90" s="61" t="s">
        <v>18</v>
      </c>
      <c r="K90" s="16" t="s">
        <v>272</v>
      </c>
      <c r="L90" s="16">
        <v>3</v>
      </c>
      <c r="M90" s="16" t="s">
        <v>277</v>
      </c>
      <c r="N90" s="16" t="s">
        <v>336</v>
      </c>
      <c r="O90" s="15" t="s">
        <v>283</v>
      </c>
      <c r="P90" t="s">
        <v>281</v>
      </c>
      <c r="Q90" t="s">
        <v>371</v>
      </c>
      <c r="R90" s="17" t="s">
        <v>371</v>
      </c>
      <c r="S90" s="17">
        <v>1</v>
      </c>
      <c r="T90" s="17">
        <v>0</v>
      </c>
      <c r="U90" s="17">
        <v>1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 t="s">
        <v>704</v>
      </c>
      <c r="AD90" s="16" t="s">
        <v>341</v>
      </c>
      <c r="AE90" s="16" t="s">
        <v>340</v>
      </c>
      <c r="AF90" s="15" t="s">
        <v>343</v>
      </c>
      <c r="AG90" s="15" t="s">
        <v>345</v>
      </c>
      <c r="AH90" s="17" t="s">
        <v>371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704</v>
      </c>
      <c r="AR90" t="s">
        <v>349</v>
      </c>
      <c r="AS90" t="s">
        <v>349</v>
      </c>
      <c r="AT90">
        <v>1</v>
      </c>
      <c r="AU90">
        <v>0</v>
      </c>
      <c r="AV90">
        <v>0</v>
      </c>
      <c r="AW90" t="s">
        <v>704</v>
      </c>
      <c r="AX90" t="s">
        <v>1242</v>
      </c>
      <c r="AY90" t="s">
        <v>293</v>
      </c>
      <c r="AZ90" t="s">
        <v>352</v>
      </c>
      <c r="BA90" t="s">
        <v>297</v>
      </c>
      <c r="BB90" t="s">
        <v>301</v>
      </c>
      <c r="BC90" t="s">
        <v>292</v>
      </c>
      <c r="BD90" t="s">
        <v>293</v>
      </c>
      <c r="BE90" t="s">
        <v>292</v>
      </c>
      <c r="BF90" t="s">
        <v>293</v>
      </c>
      <c r="BG90" t="s">
        <v>293</v>
      </c>
      <c r="BH90" t="s">
        <v>302</v>
      </c>
      <c r="BI90" t="s">
        <v>359</v>
      </c>
      <c r="BJ90" t="s">
        <v>359</v>
      </c>
      <c r="BK90" t="s">
        <v>293</v>
      </c>
      <c r="BL90" t="s">
        <v>293</v>
      </c>
      <c r="BM90" t="s">
        <v>297</v>
      </c>
      <c r="BN90" t="s">
        <v>298</v>
      </c>
      <c r="BO90" t="s">
        <v>293</v>
      </c>
      <c r="BP90" t="s">
        <v>292</v>
      </c>
      <c r="BQ90" t="s">
        <v>362</v>
      </c>
      <c r="BR90" t="s">
        <v>293</v>
      </c>
      <c r="BS90" t="s">
        <v>364</v>
      </c>
      <c r="BT90" t="s">
        <v>304</v>
      </c>
      <c r="BU90" t="s">
        <v>371</v>
      </c>
      <c r="BV90" t="s">
        <v>371</v>
      </c>
      <c r="BW90" t="s">
        <v>2533</v>
      </c>
      <c r="BX90" t="str">
        <f>IF(J90="win",VLOOKUP(B90,ColorScheme!$A$2:$I$32,4,0),VLOOKUP(B90,ColorScheme!$A$2:$I$32,5,0))</f>
        <v>#02938650</v>
      </c>
    </row>
    <row r="91" spans="1:76" x14ac:dyDescent="0.3">
      <c r="A91" t="s">
        <v>45</v>
      </c>
      <c r="B91" t="s">
        <v>46</v>
      </c>
      <c r="C91" t="s">
        <v>23</v>
      </c>
      <c r="D91" t="s">
        <v>29</v>
      </c>
      <c r="E91" t="s">
        <v>793</v>
      </c>
      <c r="F91" t="b">
        <v>1</v>
      </c>
      <c r="G91">
        <v>100</v>
      </c>
      <c r="H91">
        <v>1</v>
      </c>
      <c r="I91">
        <v>10379</v>
      </c>
      <c r="J91" s="61" t="s">
        <v>18</v>
      </c>
      <c r="K91" s="16" t="s">
        <v>272</v>
      </c>
      <c r="L91" s="16">
        <v>3</v>
      </c>
      <c r="M91" s="16" t="s">
        <v>277</v>
      </c>
      <c r="N91" s="16" t="s">
        <v>336</v>
      </c>
      <c r="O91" s="15" t="s">
        <v>283</v>
      </c>
      <c r="P91" t="s">
        <v>281</v>
      </c>
      <c r="Q91" t="s">
        <v>371</v>
      </c>
      <c r="R91" s="17" t="s">
        <v>371</v>
      </c>
      <c r="S91" s="17">
        <v>1</v>
      </c>
      <c r="T91" s="17">
        <v>0</v>
      </c>
      <c r="U91" s="17">
        <v>1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 t="s">
        <v>704</v>
      </c>
      <c r="AD91" s="16" t="s">
        <v>341</v>
      </c>
      <c r="AE91" s="16" t="s">
        <v>340</v>
      </c>
      <c r="AF91" s="15" t="s">
        <v>343</v>
      </c>
      <c r="AG91" s="15" t="s">
        <v>345</v>
      </c>
      <c r="AH91" s="17" t="s">
        <v>371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704</v>
      </c>
      <c r="AR91" t="s">
        <v>349</v>
      </c>
      <c r="AS91" t="s">
        <v>349</v>
      </c>
      <c r="AT91">
        <v>1</v>
      </c>
      <c r="AU91">
        <v>0</v>
      </c>
      <c r="AV91">
        <v>0</v>
      </c>
      <c r="AW91" t="s">
        <v>704</v>
      </c>
      <c r="AX91" t="s">
        <v>1242</v>
      </c>
      <c r="AY91" t="s">
        <v>292</v>
      </c>
      <c r="AZ91" t="s">
        <v>295</v>
      </c>
      <c r="BA91" t="s">
        <v>356</v>
      </c>
      <c r="BB91" t="s">
        <v>301</v>
      </c>
      <c r="BC91" t="s">
        <v>292</v>
      </c>
      <c r="BD91" t="s">
        <v>292</v>
      </c>
      <c r="BE91" t="s">
        <v>292</v>
      </c>
      <c r="BF91" t="s">
        <v>293</v>
      </c>
      <c r="BG91" t="s">
        <v>293</v>
      </c>
      <c r="BH91" t="s">
        <v>302</v>
      </c>
      <c r="BI91" t="s">
        <v>359</v>
      </c>
      <c r="BJ91" t="s">
        <v>358</v>
      </c>
      <c r="BK91" t="s">
        <v>293</v>
      </c>
      <c r="BL91" t="s">
        <v>293</v>
      </c>
      <c r="BM91" t="s">
        <v>297</v>
      </c>
      <c r="BN91" t="s">
        <v>298</v>
      </c>
      <c r="BO91" t="s">
        <v>293</v>
      </c>
      <c r="BP91" t="s">
        <v>292</v>
      </c>
      <c r="BQ91" t="s">
        <v>362</v>
      </c>
      <c r="BR91" t="s">
        <v>293</v>
      </c>
      <c r="BS91" t="s">
        <v>364</v>
      </c>
      <c r="BT91" t="s">
        <v>304</v>
      </c>
      <c r="BU91" t="s">
        <v>371</v>
      </c>
      <c r="BV91" t="s">
        <v>371</v>
      </c>
      <c r="BW91" t="s">
        <v>2534</v>
      </c>
      <c r="BX91" t="str">
        <f>IF(J91="win",VLOOKUP(B91,ColorScheme!$A$2:$I$32,4,0),VLOOKUP(B91,ColorScheme!$A$2:$I$32,5,0))</f>
        <v>#02938650</v>
      </c>
    </row>
    <row r="92" spans="1:76" x14ac:dyDescent="0.3">
      <c r="A92" t="s">
        <v>45</v>
      </c>
      <c r="B92" t="s">
        <v>46</v>
      </c>
      <c r="C92" t="s">
        <v>25</v>
      </c>
      <c r="D92" t="s">
        <v>29</v>
      </c>
      <c r="E92" t="s">
        <v>794</v>
      </c>
      <c r="F92" t="b">
        <v>1</v>
      </c>
      <c r="G92">
        <v>97</v>
      </c>
      <c r="H92">
        <v>0</v>
      </c>
      <c r="I92">
        <v>9812</v>
      </c>
      <c r="J92" s="61" t="s">
        <v>13</v>
      </c>
      <c r="K92" s="16" t="s">
        <v>272</v>
      </c>
      <c r="L92" s="16">
        <v>3</v>
      </c>
      <c r="M92" s="16" t="s">
        <v>277</v>
      </c>
      <c r="N92" s="16" t="s">
        <v>336</v>
      </c>
      <c r="O92" s="15" t="s">
        <v>283</v>
      </c>
      <c r="P92" t="s">
        <v>281</v>
      </c>
      <c r="Q92" t="s">
        <v>371</v>
      </c>
      <c r="R92" s="17" t="s">
        <v>371</v>
      </c>
      <c r="S92" s="17">
        <v>1</v>
      </c>
      <c r="T92" s="17">
        <v>0</v>
      </c>
      <c r="U92" s="17">
        <v>1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 t="s">
        <v>704</v>
      </c>
      <c r="AD92" s="16" t="s">
        <v>341</v>
      </c>
      <c r="AE92" s="16" t="s">
        <v>340</v>
      </c>
      <c r="AF92" s="15" t="s">
        <v>343</v>
      </c>
      <c r="AG92" s="15" t="s">
        <v>345</v>
      </c>
      <c r="AH92" s="17" t="s">
        <v>371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704</v>
      </c>
      <c r="AR92" t="s">
        <v>349</v>
      </c>
      <c r="AS92" t="s">
        <v>349</v>
      </c>
      <c r="AT92">
        <v>1</v>
      </c>
      <c r="AU92">
        <v>0</v>
      </c>
      <c r="AV92">
        <v>0</v>
      </c>
      <c r="AW92" t="s">
        <v>704</v>
      </c>
      <c r="AX92" t="s">
        <v>1242</v>
      </c>
      <c r="AY92" t="s">
        <v>293</v>
      </c>
      <c r="AZ92" t="s">
        <v>352</v>
      </c>
      <c r="BA92" t="s">
        <v>296</v>
      </c>
      <c r="BB92" t="s">
        <v>300</v>
      </c>
      <c r="BC92" t="s">
        <v>292</v>
      </c>
      <c r="BD92" t="s">
        <v>293</v>
      </c>
      <c r="BE92" t="s">
        <v>292</v>
      </c>
      <c r="BF92" t="s">
        <v>292</v>
      </c>
      <c r="BG92" t="s">
        <v>293</v>
      </c>
      <c r="BH92" t="s">
        <v>302</v>
      </c>
      <c r="BI92" t="s">
        <v>359</v>
      </c>
      <c r="BJ92" t="s">
        <v>359</v>
      </c>
      <c r="BK92" t="s">
        <v>293</v>
      </c>
      <c r="BL92" t="s">
        <v>293</v>
      </c>
      <c r="BM92" t="s">
        <v>297</v>
      </c>
      <c r="BN92" t="s">
        <v>298</v>
      </c>
      <c r="BO92" t="s">
        <v>293</v>
      </c>
      <c r="BP92" t="s">
        <v>292</v>
      </c>
      <c r="BQ92" t="s">
        <v>293</v>
      </c>
      <c r="BR92" t="s">
        <v>293</v>
      </c>
      <c r="BS92" t="s">
        <v>364</v>
      </c>
      <c r="BT92" t="s">
        <v>366</v>
      </c>
      <c r="BU92" t="s">
        <v>371</v>
      </c>
      <c r="BV92" t="s">
        <v>371</v>
      </c>
      <c r="BW92" t="s">
        <v>2535</v>
      </c>
      <c r="BX92" t="str">
        <f>IF(J92="win",VLOOKUP(B92,ColorScheme!$A$2:$I$32,4,0),VLOOKUP(B92,ColorScheme!$A$2:$I$32,5,0))</f>
        <v>#029386</v>
      </c>
    </row>
    <row r="93" spans="1:76" x14ac:dyDescent="0.3">
      <c r="A93" t="s">
        <v>45</v>
      </c>
      <c r="B93" t="s">
        <v>46</v>
      </c>
      <c r="C93" t="s">
        <v>24</v>
      </c>
      <c r="D93" t="s">
        <v>29</v>
      </c>
      <c r="E93" t="s">
        <v>795</v>
      </c>
      <c r="F93" t="b">
        <v>1</v>
      </c>
      <c r="G93">
        <v>96.5</v>
      </c>
      <c r="H93">
        <v>0</v>
      </c>
      <c r="I93">
        <v>11058</v>
      </c>
      <c r="J93" s="61" t="s">
        <v>13</v>
      </c>
      <c r="K93" s="16" t="s">
        <v>272</v>
      </c>
      <c r="L93" s="16">
        <v>3</v>
      </c>
      <c r="M93" s="16" t="s">
        <v>277</v>
      </c>
      <c r="N93" s="16" t="s">
        <v>336</v>
      </c>
      <c r="O93" s="15" t="s">
        <v>283</v>
      </c>
      <c r="P93" t="s">
        <v>281</v>
      </c>
      <c r="Q93" t="s">
        <v>371</v>
      </c>
      <c r="R93" s="17" t="s">
        <v>371</v>
      </c>
      <c r="S93" s="17">
        <v>1</v>
      </c>
      <c r="T93" s="17">
        <v>0</v>
      </c>
      <c r="U93" s="17">
        <v>1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 t="s">
        <v>704</v>
      </c>
      <c r="AD93" s="16" t="s">
        <v>341</v>
      </c>
      <c r="AE93" s="16" t="s">
        <v>340</v>
      </c>
      <c r="AF93" s="15" t="s">
        <v>343</v>
      </c>
      <c r="AG93" s="15" t="s">
        <v>345</v>
      </c>
      <c r="AH93" s="17" t="s">
        <v>371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704</v>
      </c>
      <c r="AR93" t="s">
        <v>349</v>
      </c>
      <c r="AS93" t="s">
        <v>349</v>
      </c>
      <c r="AT93">
        <v>1</v>
      </c>
      <c r="AU93">
        <v>0</v>
      </c>
      <c r="AV93">
        <v>0</v>
      </c>
      <c r="AW93" t="s">
        <v>704</v>
      </c>
      <c r="AX93" t="s">
        <v>1242</v>
      </c>
      <c r="AY93" t="s">
        <v>292</v>
      </c>
      <c r="AZ93" t="s">
        <v>295</v>
      </c>
      <c r="BA93" t="s">
        <v>356</v>
      </c>
      <c r="BB93" t="s">
        <v>300</v>
      </c>
      <c r="BC93" t="s">
        <v>292</v>
      </c>
      <c r="BD93" t="s">
        <v>292</v>
      </c>
      <c r="BE93" t="s">
        <v>292</v>
      </c>
      <c r="BF93" t="s">
        <v>293</v>
      </c>
      <c r="BG93" t="s">
        <v>293</v>
      </c>
      <c r="BH93" t="s">
        <v>302</v>
      </c>
      <c r="BI93" t="s">
        <v>359</v>
      </c>
      <c r="BJ93" t="s">
        <v>358</v>
      </c>
      <c r="BK93" t="s">
        <v>293</v>
      </c>
      <c r="BL93" t="s">
        <v>293</v>
      </c>
      <c r="BM93" t="s">
        <v>297</v>
      </c>
      <c r="BN93" t="s">
        <v>298</v>
      </c>
      <c r="BO93" t="s">
        <v>293</v>
      </c>
      <c r="BP93" t="s">
        <v>292</v>
      </c>
      <c r="BQ93" t="s">
        <v>293</v>
      </c>
      <c r="BR93" t="s">
        <v>293</v>
      </c>
      <c r="BS93" t="s">
        <v>364</v>
      </c>
      <c r="BT93" t="s">
        <v>366</v>
      </c>
      <c r="BU93" t="s">
        <v>371</v>
      </c>
      <c r="BV93" t="s">
        <v>371</v>
      </c>
      <c r="BW93" t="s">
        <v>2536</v>
      </c>
      <c r="BX93" t="str">
        <f>IF(J93="win",VLOOKUP(B93,ColorScheme!$A$2:$I$32,4,0),VLOOKUP(B93,ColorScheme!$A$2:$I$32,5,0))</f>
        <v>#029386</v>
      </c>
    </row>
    <row r="94" spans="1:76" x14ac:dyDescent="0.3">
      <c r="A94" t="s">
        <v>45</v>
      </c>
      <c r="B94" t="s">
        <v>46</v>
      </c>
      <c r="C94" t="s">
        <v>21</v>
      </c>
      <c r="D94" t="s">
        <v>29</v>
      </c>
      <c r="E94" t="s">
        <v>796</v>
      </c>
      <c r="F94" t="b">
        <v>1</v>
      </c>
      <c r="G94">
        <v>75.2</v>
      </c>
      <c r="H94">
        <v>0</v>
      </c>
      <c r="I94">
        <v>11608</v>
      </c>
      <c r="J94" s="61" t="s">
        <v>13</v>
      </c>
      <c r="K94" s="16" t="s">
        <v>272</v>
      </c>
      <c r="L94" s="16">
        <v>3</v>
      </c>
      <c r="M94" s="16" t="s">
        <v>277</v>
      </c>
      <c r="N94" s="16" t="s">
        <v>336</v>
      </c>
      <c r="O94" s="15" t="s">
        <v>283</v>
      </c>
      <c r="P94" t="s">
        <v>281</v>
      </c>
      <c r="Q94" t="s">
        <v>371</v>
      </c>
      <c r="R94" s="17" t="s">
        <v>371</v>
      </c>
      <c r="S94" s="17">
        <v>1</v>
      </c>
      <c r="T94" s="17">
        <v>0</v>
      </c>
      <c r="U94" s="17">
        <v>1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 t="s">
        <v>704</v>
      </c>
      <c r="AD94" s="16" t="s">
        <v>341</v>
      </c>
      <c r="AE94" s="16" t="s">
        <v>340</v>
      </c>
      <c r="AF94" s="15" t="s">
        <v>343</v>
      </c>
      <c r="AG94" s="15" t="s">
        <v>345</v>
      </c>
      <c r="AH94" s="17" t="s">
        <v>371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704</v>
      </c>
      <c r="AR94" t="s">
        <v>349</v>
      </c>
      <c r="AS94" t="s">
        <v>349</v>
      </c>
      <c r="AT94">
        <v>1</v>
      </c>
      <c r="AU94">
        <v>0</v>
      </c>
      <c r="AV94">
        <v>0</v>
      </c>
      <c r="AW94" t="s">
        <v>704</v>
      </c>
      <c r="AX94" t="s">
        <v>1242</v>
      </c>
      <c r="AY94" t="s">
        <v>292</v>
      </c>
      <c r="AZ94" t="s">
        <v>295</v>
      </c>
      <c r="BA94" t="s">
        <v>356</v>
      </c>
      <c r="BB94" t="s">
        <v>300</v>
      </c>
      <c r="BC94" t="s">
        <v>292</v>
      </c>
      <c r="BD94" t="s">
        <v>292</v>
      </c>
      <c r="BE94" t="s">
        <v>292</v>
      </c>
      <c r="BF94" t="s">
        <v>293</v>
      </c>
      <c r="BG94" t="s">
        <v>293</v>
      </c>
      <c r="BH94" t="s">
        <v>302</v>
      </c>
      <c r="BI94" t="s">
        <v>359</v>
      </c>
      <c r="BJ94" t="s">
        <v>358</v>
      </c>
      <c r="BK94" t="s">
        <v>293</v>
      </c>
      <c r="BL94" t="s">
        <v>293</v>
      </c>
      <c r="BM94" t="s">
        <v>297</v>
      </c>
      <c r="BN94" t="s">
        <v>298</v>
      </c>
      <c r="BO94" t="s">
        <v>293</v>
      </c>
      <c r="BP94" t="s">
        <v>292</v>
      </c>
      <c r="BQ94" t="s">
        <v>293</v>
      </c>
      <c r="BR94" t="s">
        <v>293</v>
      </c>
      <c r="BS94" t="s">
        <v>364</v>
      </c>
      <c r="BT94" t="s">
        <v>366</v>
      </c>
      <c r="BU94" t="s">
        <v>371</v>
      </c>
      <c r="BV94" t="s">
        <v>371</v>
      </c>
      <c r="BW94" t="s">
        <v>2537</v>
      </c>
      <c r="BX94" t="str">
        <f>IF(J94="win",VLOOKUP(B94,ColorScheme!$A$2:$I$32,4,0),VLOOKUP(B94,ColorScheme!$A$2:$I$32,5,0))</f>
        <v>#029386</v>
      </c>
    </row>
    <row r="95" spans="1:76" x14ac:dyDescent="0.3">
      <c r="A95" t="s">
        <v>45</v>
      </c>
      <c r="B95" t="s">
        <v>46</v>
      </c>
      <c r="C95" t="s">
        <v>30</v>
      </c>
      <c r="D95" t="s">
        <v>29</v>
      </c>
      <c r="E95" t="s">
        <v>797</v>
      </c>
      <c r="F95" t="b">
        <v>1</v>
      </c>
      <c r="G95">
        <v>93.3</v>
      </c>
      <c r="H95">
        <v>0</v>
      </c>
      <c r="I95">
        <v>9336</v>
      </c>
      <c r="J95" s="61" t="s">
        <v>13</v>
      </c>
      <c r="K95" s="16" t="s">
        <v>272</v>
      </c>
      <c r="L95" s="16">
        <v>3</v>
      </c>
      <c r="M95" s="16" t="s">
        <v>277</v>
      </c>
      <c r="N95" s="16" t="s">
        <v>336</v>
      </c>
      <c r="O95" s="15" t="s">
        <v>283</v>
      </c>
      <c r="P95" t="s">
        <v>281</v>
      </c>
      <c r="Q95" t="s">
        <v>371</v>
      </c>
      <c r="R95" s="17" t="s">
        <v>371</v>
      </c>
      <c r="S95" s="17">
        <v>1</v>
      </c>
      <c r="T95" s="17">
        <v>0</v>
      </c>
      <c r="U95" s="17">
        <v>1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 t="s">
        <v>704</v>
      </c>
      <c r="AD95" s="16" t="s">
        <v>341</v>
      </c>
      <c r="AE95" s="16" t="s">
        <v>340</v>
      </c>
      <c r="AF95" s="15" t="s">
        <v>343</v>
      </c>
      <c r="AG95" s="15" t="s">
        <v>345</v>
      </c>
      <c r="AH95" s="17" t="s">
        <v>371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704</v>
      </c>
      <c r="AR95" t="s">
        <v>349</v>
      </c>
      <c r="AS95" t="s">
        <v>349</v>
      </c>
      <c r="AT95">
        <v>1</v>
      </c>
      <c r="AU95">
        <v>0</v>
      </c>
      <c r="AV95">
        <v>0</v>
      </c>
      <c r="AW95" t="s">
        <v>704</v>
      </c>
      <c r="AX95" t="s">
        <v>1242</v>
      </c>
      <c r="AY95" t="s">
        <v>293</v>
      </c>
      <c r="AZ95" t="s">
        <v>352</v>
      </c>
      <c r="BA95" t="s">
        <v>296</v>
      </c>
      <c r="BB95" t="s">
        <v>300</v>
      </c>
      <c r="BC95" t="s">
        <v>292</v>
      </c>
      <c r="BD95" t="s">
        <v>293</v>
      </c>
      <c r="BE95" t="s">
        <v>292</v>
      </c>
      <c r="BF95" t="s">
        <v>292</v>
      </c>
      <c r="BG95" t="s">
        <v>293</v>
      </c>
      <c r="BH95" t="s">
        <v>302</v>
      </c>
      <c r="BI95" t="s">
        <v>359</v>
      </c>
      <c r="BJ95" t="s">
        <v>359</v>
      </c>
      <c r="BK95" t="s">
        <v>293</v>
      </c>
      <c r="BL95" t="s">
        <v>293</v>
      </c>
      <c r="BM95" t="s">
        <v>297</v>
      </c>
      <c r="BN95" t="s">
        <v>298</v>
      </c>
      <c r="BO95" t="s">
        <v>293</v>
      </c>
      <c r="BP95" t="s">
        <v>292</v>
      </c>
      <c r="BQ95" t="s">
        <v>293</v>
      </c>
      <c r="BR95" t="s">
        <v>293</v>
      </c>
      <c r="BS95" t="s">
        <v>364</v>
      </c>
      <c r="BT95" t="s">
        <v>366</v>
      </c>
      <c r="BU95" t="s">
        <v>371</v>
      </c>
      <c r="BV95" t="s">
        <v>371</v>
      </c>
      <c r="BW95" t="s">
        <v>2538</v>
      </c>
      <c r="BX95" t="str">
        <f>IF(J95="win",VLOOKUP(B95,ColorScheme!$A$2:$I$32,4,0),VLOOKUP(B95,ColorScheme!$A$2:$I$32,5,0))</f>
        <v>#029386</v>
      </c>
    </row>
    <row r="96" spans="1:76" x14ac:dyDescent="0.3">
      <c r="A96" t="s">
        <v>45</v>
      </c>
      <c r="B96" t="s">
        <v>46</v>
      </c>
      <c r="C96" t="s">
        <v>26</v>
      </c>
      <c r="D96" t="s">
        <v>29</v>
      </c>
      <c r="E96" t="s">
        <v>798</v>
      </c>
      <c r="F96" t="b">
        <v>1</v>
      </c>
      <c r="G96">
        <v>100</v>
      </c>
      <c r="H96">
        <v>1</v>
      </c>
      <c r="I96">
        <v>9942</v>
      </c>
      <c r="J96" s="61" t="s">
        <v>18</v>
      </c>
      <c r="K96" s="16" t="s">
        <v>272</v>
      </c>
      <c r="L96" s="16">
        <v>3</v>
      </c>
      <c r="M96" s="16" t="s">
        <v>277</v>
      </c>
      <c r="N96" s="16" t="s">
        <v>336</v>
      </c>
      <c r="O96" s="15" t="s">
        <v>281</v>
      </c>
      <c r="P96" t="s">
        <v>371</v>
      </c>
      <c r="Q96" t="s">
        <v>371</v>
      </c>
      <c r="R96" s="17" t="s">
        <v>371</v>
      </c>
      <c r="S96" s="17">
        <v>1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 t="s">
        <v>704</v>
      </c>
      <c r="AD96" s="16" t="s">
        <v>341</v>
      </c>
      <c r="AE96" s="16" t="s">
        <v>340</v>
      </c>
      <c r="AF96" s="15" t="s">
        <v>343</v>
      </c>
      <c r="AG96" s="15" t="s">
        <v>345</v>
      </c>
      <c r="AH96" s="17" t="s">
        <v>371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704</v>
      </c>
      <c r="AR96" t="s">
        <v>349</v>
      </c>
      <c r="AS96" t="s">
        <v>349</v>
      </c>
      <c r="AT96">
        <v>1</v>
      </c>
      <c r="AU96">
        <v>0</v>
      </c>
      <c r="AV96">
        <v>0</v>
      </c>
      <c r="AW96" t="s">
        <v>704</v>
      </c>
      <c r="AX96" t="s">
        <v>1245</v>
      </c>
      <c r="AY96" t="s">
        <v>293</v>
      </c>
      <c r="AZ96" t="s">
        <v>352</v>
      </c>
      <c r="BA96" t="s">
        <v>296</v>
      </c>
      <c r="BB96" t="s">
        <v>300</v>
      </c>
      <c r="BC96" t="s">
        <v>292</v>
      </c>
      <c r="BD96" t="s">
        <v>293</v>
      </c>
      <c r="BE96" t="s">
        <v>292</v>
      </c>
      <c r="BF96" t="s">
        <v>292</v>
      </c>
      <c r="BG96" t="s">
        <v>293</v>
      </c>
      <c r="BH96" t="s">
        <v>359</v>
      </c>
      <c r="BI96" t="s">
        <v>359</v>
      </c>
      <c r="BJ96" t="s">
        <v>359</v>
      </c>
      <c r="BK96" t="s">
        <v>293</v>
      </c>
      <c r="BL96" t="s">
        <v>293</v>
      </c>
      <c r="BM96" t="s">
        <v>297</v>
      </c>
      <c r="BN96" t="s">
        <v>298</v>
      </c>
      <c r="BO96" t="s">
        <v>293</v>
      </c>
      <c r="BP96" t="s">
        <v>292</v>
      </c>
      <c r="BQ96" t="s">
        <v>293</v>
      </c>
      <c r="BR96" t="s">
        <v>293</v>
      </c>
      <c r="BS96" t="s">
        <v>364</v>
      </c>
      <c r="BT96" t="s">
        <v>304</v>
      </c>
      <c r="BU96" t="s">
        <v>371</v>
      </c>
      <c r="BV96" t="s">
        <v>371</v>
      </c>
      <c r="BW96" t="s">
        <v>2539</v>
      </c>
      <c r="BX96" t="str">
        <f>IF(J96="win",VLOOKUP(B96,ColorScheme!$A$2:$I$32,4,0),VLOOKUP(B96,ColorScheme!$A$2:$I$32,5,0))</f>
        <v>#02938650</v>
      </c>
    </row>
    <row r="97" spans="1:76" x14ac:dyDescent="0.3">
      <c r="A97" t="s">
        <v>45</v>
      </c>
      <c r="B97" t="s">
        <v>46</v>
      </c>
      <c r="C97" t="s">
        <v>22</v>
      </c>
      <c r="D97" t="s">
        <v>29</v>
      </c>
      <c r="E97" t="s">
        <v>799</v>
      </c>
      <c r="F97" t="b">
        <v>1</v>
      </c>
      <c r="G97">
        <v>81.599999999999994</v>
      </c>
      <c r="H97">
        <v>0</v>
      </c>
      <c r="I97">
        <v>10879</v>
      </c>
      <c r="J97" s="61" t="s">
        <v>13</v>
      </c>
      <c r="K97" s="16" t="s">
        <v>272</v>
      </c>
      <c r="L97" s="16">
        <v>3</v>
      </c>
      <c r="M97" s="16" t="s">
        <v>277</v>
      </c>
      <c r="N97" s="16" t="s">
        <v>336</v>
      </c>
      <c r="O97" s="15" t="s">
        <v>283</v>
      </c>
      <c r="P97" t="s">
        <v>281</v>
      </c>
      <c r="Q97" t="s">
        <v>371</v>
      </c>
      <c r="R97" s="17" t="s">
        <v>371</v>
      </c>
      <c r="S97" s="17">
        <v>1</v>
      </c>
      <c r="T97" s="17">
        <v>0</v>
      </c>
      <c r="U97" s="17">
        <v>1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 t="s">
        <v>704</v>
      </c>
      <c r="AD97" s="16" t="s">
        <v>341</v>
      </c>
      <c r="AE97" s="16" t="s">
        <v>340</v>
      </c>
      <c r="AF97" s="15" t="s">
        <v>343</v>
      </c>
      <c r="AG97" s="15" t="s">
        <v>345</v>
      </c>
      <c r="AH97" s="17" t="s">
        <v>371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704</v>
      </c>
      <c r="AR97" t="s">
        <v>349</v>
      </c>
      <c r="AS97" t="s">
        <v>349</v>
      </c>
      <c r="AT97">
        <v>1</v>
      </c>
      <c r="AU97">
        <v>0</v>
      </c>
      <c r="AV97">
        <v>0</v>
      </c>
      <c r="AW97" t="s">
        <v>704</v>
      </c>
      <c r="AX97" t="s">
        <v>1242</v>
      </c>
      <c r="AY97" t="s">
        <v>292</v>
      </c>
      <c r="AZ97" t="s">
        <v>295</v>
      </c>
      <c r="BA97" t="s">
        <v>356</v>
      </c>
      <c r="BB97" t="s">
        <v>301</v>
      </c>
      <c r="BC97" t="s">
        <v>292</v>
      </c>
      <c r="BD97" t="s">
        <v>292</v>
      </c>
      <c r="BE97" t="s">
        <v>292</v>
      </c>
      <c r="BF97" t="s">
        <v>293</v>
      </c>
      <c r="BG97" t="s">
        <v>293</v>
      </c>
      <c r="BH97" t="s">
        <v>302</v>
      </c>
      <c r="BI97" t="s">
        <v>359</v>
      </c>
      <c r="BJ97" t="s">
        <v>358</v>
      </c>
      <c r="BK97" t="s">
        <v>293</v>
      </c>
      <c r="BL97" t="s">
        <v>293</v>
      </c>
      <c r="BM97" t="s">
        <v>297</v>
      </c>
      <c r="BN97" t="s">
        <v>298</v>
      </c>
      <c r="BO97" t="s">
        <v>293</v>
      </c>
      <c r="BP97" t="s">
        <v>292</v>
      </c>
      <c r="BQ97" t="s">
        <v>362</v>
      </c>
      <c r="BR97" t="s">
        <v>293</v>
      </c>
      <c r="BS97" t="s">
        <v>364</v>
      </c>
      <c r="BT97" t="s">
        <v>366</v>
      </c>
      <c r="BU97" t="s">
        <v>371</v>
      </c>
      <c r="BV97" t="s">
        <v>371</v>
      </c>
      <c r="BW97" t="s">
        <v>2540</v>
      </c>
      <c r="BX97" t="str">
        <f>IF(J97="win",VLOOKUP(B97,ColorScheme!$A$2:$I$32,4,0),VLOOKUP(B97,ColorScheme!$A$2:$I$32,5,0))</f>
        <v>#029386</v>
      </c>
    </row>
    <row r="98" spans="1:76" x14ac:dyDescent="0.3">
      <c r="A98" t="s">
        <v>45</v>
      </c>
      <c r="B98" t="s">
        <v>46</v>
      </c>
      <c r="C98" t="s">
        <v>27</v>
      </c>
      <c r="D98" t="s">
        <v>29</v>
      </c>
      <c r="E98" t="s">
        <v>800</v>
      </c>
      <c r="F98" t="b">
        <v>1</v>
      </c>
      <c r="G98">
        <v>100</v>
      </c>
      <c r="H98">
        <v>1</v>
      </c>
      <c r="I98">
        <v>9447</v>
      </c>
      <c r="J98" s="61" t="s">
        <v>18</v>
      </c>
      <c r="K98" s="16" t="s">
        <v>272</v>
      </c>
      <c r="L98" s="16">
        <v>3</v>
      </c>
      <c r="M98" s="16" t="s">
        <v>277</v>
      </c>
      <c r="N98" s="16" t="s">
        <v>336</v>
      </c>
      <c r="O98" s="15" t="s">
        <v>283</v>
      </c>
      <c r="P98" t="s">
        <v>281</v>
      </c>
      <c r="Q98" t="s">
        <v>371</v>
      </c>
      <c r="R98" s="17" t="s">
        <v>371</v>
      </c>
      <c r="S98" s="17">
        <v>1</v>
      </c>
      <c r="T98" s="17">
        <v>0</v>
      </c>
      <c r="U98" s="17">
        <v>1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 t="s">
        <v>704</v>
      </c>
      <c r="AD98" s="16" t="s">
        <v>341</v>
      </c>
      <c r="AE98" s="16" t="s">
        <v>340</v>
      </c>
      <c r="AF98" s="15" t="s">
        <v>343</v>
      </c>
      <c r="AG98" s="15" t="s">
        <v>345</v>
      </c>
      <c r="AH98" s="17" t="s">
        <v>371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704</v>
      </c>
      <c r="AR98" t="s">
        <v>349</v>
      </c>
      <c r="AS98" t="s">
        <v>349</v>
      </c>
      <c r="AT98">
        <v>1</v>
      </c>
      <c r="AU98">
        <v>0</v>
      </c>
      <c r="AV98">
        <v>0</v>
      </c>
      <c r="AW98" t="s">
        <v>704</v>
      </c>
      <c r="AX98" t="s">
        <v>1242</v>
      </c>
      <c r="AY98" t="s">
        <v>293</v>
      </c>
      <c r="AZ98" t="s">
        <v>352</v>
      </c>
      <c r="BA98" t="s">
        <v>296</v>
      </c>
      <c r="BB98" t="s">
        <v>300</v>
      </c>
      <c r="BC98" t="s">
        <v>292</v>
      </c>
      <c r="BD98" t="s">
        <v>293</v>
      </c>
      <c r="BE98" t="s">
        <v>292</v>
      </c>
      <c r="BF98" t="s">
        <v>292</v>
      </c>
      <c r="BG98" t="s">
        <v>293</v>
      </c>
      <c r="BH98" t="s">
        <v>302</v>
      </c>
      <c r="BI98" t="s">
        <v>359</v>
      </c>
      <c r="BJ98" t="s">
        <v>359</v>
      </c>
      <c r="BK98" t="s">
        <v>293</v>
      </c>
      <c r="BL98" t="s">
        <v>293</v>
      </c>
      <c r="BM98" t="s">
        <v>297</v>
      </c>
      <c r="BN98" t="s">
        <v>298</v>
      </c>
      <c r="BO98" t="s">
        <v>293</v>
      </c>
      <c r="BP98" t="s">
        <v>292</v>
      </c>
      <c r="BQ98" t="s">
        <v>293</v>
      </c>
      <c r="BR98" t="s">
        <v>293</v>
      </c>
      <c r="BS98" t="s">
        <v>364</v>
      </c>
      <c r="BT98" t="s">
        <v>304</v>
      </c>
      <c r="BU98" t="s">
        <v>371</v>
      </c>
      <c r="BV98" t="s">
        <v>371</v>
      </c>
      <c r="BW98" t="s">
        <v>2541</v>
      </c>
      <c r="BX98" t="str">
        <f>IF(J98="win",VLOOKUP(B98,ColorScheme!$A$2:$I$32,4,0),VLOOKUP(B98,ColorScheme!$A$2:$I$32,5,0))</f>
        <v>#02938650</v>
      </c>
    </row>
    <row r="99" spans="1:76" x14ac:dyDescent="0.3">
      <c r="A99" t="s">
        <v>45</v>
      </c>
      <c r="B99" t="s">
        <v>46</v>
      </c>
      <c r="C99" t="s">
        <v>28</v>
      </c>
      <c r="D99" t="s">
        <v>29</v>
      </c>
      <c r="E99" t="s">
        <v>801</v>
      </c>
      <c r="F99" t="b">
        <v>1</v>
      </c>
      <c r="G99">
        <v>91.9</v>
      </c>
      <c r="H99">
        <v>0</v>
      </c>
      <c r="I99">
        <v>9495</v>
      </c>
      <c r="J99" s="61" t="s">
        <v>13</v>
      </c>
      <c r="K99" s="16" t="s">
        <v>272</v>
      </c>
      <c r="L99" s="16">
        <v>3</v>
      </c>
      <c r="M99" s="16" t="s">
        <v>277</v>
      </c>
      <c r="N99" s="16" t="s">
        <v>336</v>
      </c>
      <c r="O99" s="15" t="s">
        <v>283</v>
      </c>
      <c r="P99" t="s">
        <v>281</v>
      </c>
      <c r="Q99" t="s">
        <v>371</v>
      </c>
      <c r="R99" s="17" t="s">
        <v>371</v>
      </c>
      <c r="S99" s="17">
        <v>1</v>
      </c>
      <c r="T99" s="17">
        <v>0</v>
      </c>
      <c r="U99" s="17">
        <v>1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 t="s">
        <v>704</v>
      </c>
      <c r="AD99" s="16" t="s">
        <v>341</v>
      </c>
      <c r="AE99" s="16" t="s">
        <v>340</v>
      </c>
      <c r="AF99" s="15" t="s">
        <v>343</v>
      </c>
      <c r="AG99" s="15" t="s">
        <v>345</v>
      </c>
      <c r="AH99" s="17" t="s">
        <v>371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704</v>
      </c>
      <c r="AR99" t="s">
        <v>349</v>
      </c>
      <c r="AS99" t="s">
        <v>349</v>
      </c>
      <c r="AT99">
        <v>1</v>
      </c>
      <c r="AU99">
        <v>0</v>
      </c>
      <c r="AV99">
        <v>0</v>
      </c>
      <c r="AW99" t="s">
        <v>704</v>
      </c>
      <c r="AX99" t="s">
        <v>1242</v>
      </c>
      <c r="AY99" t="s">
        <v>293</v>
      </c>
      <c r="AZ99" t="s">
        <v>352</v>
      </c>
      <c r="BA99" t="s">
        <v>296</v>
      </c>
      <c r="BB99" t="s">
        <v>300</v>
      </c>
      <c r="BC99" t="s">
        <v>292</v>
      </c>
      <c r="BD99" t="s">
        <v>293</v>
      </c>
      <c r="BE99" t="s">
        <v>292</v>
      </c>
      <c r="BF99" t="s">
        <v>292</v>
      </c>
      <c r="BG99" t="s">
        <v>293</v>
      </c>
      <c r="BH99" t="s">
        <v>302</v>
      </c>
      <c r="BI99" t="s">
        <v>359</v>
      </c>
      <c r="BJ99" t="s">
        <v>359</v>
      </c>
      <c r="BK99" t="s">
        <v>293</v>
      </c>
      <c r="BL99" t="s">
        <v>293</v>
      </c>
      <c r="BM99" t="s">
        <v>297</v>
      </c>
      <c r="BN99" t="s">
        <v>298</v>
      </c>
      <c r="BO99" t="s">
        <v>293</v>
      </c>
      <c r="BP99" t="s">
        <v>292</v>
      </c>
      <c r="BQ99" t="s">
        <v>293</v>
      </c>
      <c r="BR99" t="s">
        <v>293</v>
      </c>
      <c r="BS99" t="s">
        <v>364</v>
      </c>
      <c r="BT99" t="s">
        <v>366</v>
      </c>
      <c r="BU99" t="s">
        <v>371</v>
      </c>
      <c r="BV99" t="s">
        <v>371</v>
      </c>
      <c r="BW99" t="s">
        <v>2542</v>
      </c>
      <c r="BX99" t="str">
        <f>IF(J99="win",VLOOKUP(B99,ColorScheme!$A$2:$I$32,4,0),VLOOKUP(B99,ColorScheme!$A$2:$I$32,5,0))</f>
        <v>#029386</v>
      </c>
    </row>
    <row r="100" spans="1:76" x14ac:dyDescent="0.3">
      <c r="A100" s="38" t="s">
        <v>45</v>
      </c>
      <c r="B100" s="38" t="s">
        <v>72</v>
      </c>
      <c r="C100" s="38" t="s">
        <v>23</v>
      </c>
      <c r="D100" s="38" t="s">
        <v>29</v>
      </c>
      <c r="E100" s="38" t="s">
        <v>802</v>
      </c>
      <c r="F100" s="38" t="b">
        <v>1</v>
      </c>
      <c r="G100" s="38">
        <v>99.9</v>
      </c>
      <c r="H100" s="38">
        <v>0</v>
      </c>
      <c r="I100" s="38">
        <v>14387</v>
      </c>
      <c r="J100" s="61" t="s">
        <v>18</v>
      </c>
      <c r="K100" s="39" t="s">
        <v>273</v>
      </c>
      <c r="L100" s="39">
        <v>2</v>
      </c>
      <c r="M100" s="39" t="s">
        <v>333</v>
      </c>
      <c r="N100" s="39" t="s">
        <v>278</v>
      </c>
      <c r="O100" s="40" t="s">
        <v>273</v>
      </c>
      <c r="P100" s="38" t="s">
        <v>371</v>
      </c>
      <c r="Q100" s="38" t="s">
        <v>371</v>
      </c>
      <c r="R100" s="41" t="s">
        <v>371</v>
      </c>
      <c r="S100" s="41">
        <v>0</v>
      </c>
      <c r="T100" s="41">
        <v>0</v>
      </c>
      <c r="U100" s="41">
        <v>0</v>
      </c>
      <c r="V100" s="41">
        <v>0</v>
      </c>
      <c r="W100" s="41">
        <v>1</v>
      </c>
      <c r="X100" s="41">
        <v>0</v>
      </c>
      <c r="Y100" s="41">
        <v>0</v>
      </c>
      <c r="Z100" s="41">
        <v>0</v>
      </c>
      <c r="AA100" s="41">
        <v>0</v>
      </c>
      <c r="AB100" s="41">
        <v>0</v>
      </c>
      <c r="AC100" s="41" t="s">
        <v>704</v>
      </c>
      <c r="AD100" s="39" t="s">
        <v>341</v>
      </c>
      <c r="AE100" s="39" t="s">
        <v>340</v>
      </c>
      <c r="AF100" s="40" t="s">
        <v>343</v>
      </c>
      <c r="AG100" s="40" t="s">
        <v>344</v>
      </c>
      <c r="AH100" s="41" t="s">
        <v>371</v>
      </c>
      <c r="AI100" s="38">
        <v>1</v>
      </c>
      <c r="AJ100" s="38">
        <v>0</v>
      </c>
      <c r="AK100" s="38">
        <v>0</v>
      </c>
      <c r="AL100" s="38">
        <v>0</v>
      </c>
      <c r="AM100" s="38">
        <v>0</v>
      </c>
      <c r="AN100" s="38">
        <v>0</v>
      </c>
      <c r="AO100" s="38">
        <v>0</v>
      </c>
      <c r="AP100" s="38">
        <v>0</v>
      </c>
      <c r="AQ100" s="38" t="s">
        <v>704</v>
      </c>
      <c r="AR100" s="38" t="s">
        <v>349</v>
      </c>
      <c r="AS100" s="38" t="s">
        <v>349</v>
      </c>
      <c r="AT100" s="38">
        <v>1</v>
      </c>
      <c r="AU100" s="38">
        <v>0</v>
      </c>
      <c r="AV100" s="38">
        <v>0</v>
      </c>
      <c r="AW100" s="38" t="s">
        <v>704</v>
      </c>
      <c r="AX100" t="s">
        <v>1246</v>
      </c>
      <c r="AY100" s="38" t="s">
        <v>293</v>
      </c>
      <c r="AZ100" s="38" t="s">
        <v>353</v>
      </c>
      <c r="BA100" s="38" t="s">
        <v>296</v>
      </c>
      <c r="BB100" s="38" t="s">
        <v>301</v>
      </c>
      <c r="BC100" s="38" t="s">
        <v>293</v>
      </c>
      <c r="BD100" s="38" t="s">
        <v>292</v>
      </c>
      <c r="BE100" s="38" t="s">
        <v>292</v>
      </c>
      <c r="BF100" s="38" t="s">
        <v>293</v>
      </c>
      <c r="BG100" s="38" t="s">
        <v>293</v>
      </c>
      <c r="BH100" s="38" t="s">
        <v>302</v>
      </c>
      <c r="BI100" s="38" t="s">
        <v>357</v>
      </c>
      <c r="BJ100" s="38" t="s">
        <v>359</v>
      </c>
      <c r="BK100" s="38" t="s">
        <v>293</v>
      </c>
      <c r="BL100" s="38" t="s">
        <v>293</v>
      </c>
      <c r="BM100" s="38" t="s">
        <v>297</v>
      </c>
      <c r="BN100" s="38" t="s">
        <v>356</v>
      </c>
      <c r="BO100" s="38" t="s">
        <v>293</v>
      </c>
      <c r="BP100" s="38" t="s">
        <v>292</v>
      </c>
      <c r="BQ100" s="38" t="s">
        <v>293</v>
      </c>
      <c r="BR100" s="38" t="s">
        <v>293</v>
      </c>
      <c r="BS100" s="38" t="s">
        <v>364</v>
      </c>
      <c r="BT100" s="38" t="s">
        <v>367</v>
      </c>
      <c r="BU100" s="38" t="s">
        <v>378</v>
      </c>
      <c r="BV100" t="s">
        <v>371</v>
      </c>
      <c r="BW100" t="s">
        <v>2543</v>
      </c>
      <c r="BX100" t="str">
        <f>IF(J100="win",VLOOKUP(B100,ColorScheme!$A$2:$I$32,4,0),VLOOKUP(B100,ColorScheme!$A$2:$I$32,5,0))</f>
        <v>#f9730650</v>
      </c>
    </row>
    <row r="101" spans="1:76" x14ac:dyDescent="0.3">
      <c r="A101" s="38" t="s">
        <v>45</v>
      </c>
      <c r="B101" s="38" t="s">
        <v>72</v>
      </c>
      <c r="C101" s="38" t="s">
        <v>25</v>
      </c>
      <c r="D101" s="38" t="s">
        <v>29</v>
      </c>
      <c r="E101" s="38" t="s">
        <v>803</v>
      </c>
      <c r="F101" s="38" t="b">
        <v>1</v>
      </c>
      <c r="G101" s="38">
        <v>99.9</v>
      </c>
      <c r="H101" s="38">
        <v>0</v>
      </c>
      <c r="I101" s="38">
        <v>21864</v>
      </c>
      <c r="J101" s="61" t="s">
        <v>18</v>
      </c>
      <c r="K101" s="39" t="s">
        <v>273</v>
      </c>
      <c r="L101" s="39">
        <v>2</v>
      </c>
      <c r="M101" s="39" t="s">
        <v>333</v>
      </c>
      <c r="N101" s="39" t="s">
        <v>278</v>
      </c>
      <c r="O101" s="40" t="s">
        <v>273</v>
      </c>
      <c r="P101" s="38" t="s">
        <v>371</v>
      </c>
      <c r="Q101" s="38" t="s">
        <v>371</v>
      </c>
      <c r="R101" s="41" t="s">
        <v>371</v>
      </c>
      <c r="S101" s="41">
        <v>0</v>
      </c>
      <c r="T101" s="41">
        <v>0</v>
      </c>
      <c r="U101" s="41">
        <v>0</v>
      </c>
      <c r="V101" s="41">
        <v>0</v>
      </c>
      <c r="W101" s="41">
        <v>1</v>
      </c>
      <c r="X101" s="41">
        <v>0</v>
      </c>
      <c r="Y101" s="41">
        <v>0</v>
      </c>
      <c r="Z101" s="41">
        <v>0</v>
      </c>
      <c r="AA101" s="41">
        <v>0</v>
      </c>
      <c r="AB101" s="41">
        <v>0</v>
      </c>
      <c r="AC101" s="41" t="s">
        <v>704</v>
      </c>
      <c r="AD101" s="39" t="s">
        <v>341</v>
      </c>
      <c r="AE101" s="39" t="s">
        <v>340</v>
      </c>
      <c r="AF101" s="40" t="s">
        <v>343</v>
      </c>
      <c r="AG101" s="40" t="s">
        <v>344</v>
      </c>
      <c r="AH101" s="41" t="s">
        <v>371</v>
      </c>
      <c r="AI101" s="38">
        <v>1</v>
      </c>
      <c r="AJ101" s="38">
        <v>0</v>
      </c>
      <c r="AK101" s="38">
        <v>0</v>
      </c>
      <c r="AL101" s="38">
        <v>0</v>
      </c>
      <c r="AM101" s="38">
        <v>0</v>
      </c>
      <c r="AN101" s="38">
        <v>0</v>
      </c>
      <c r="AO101" s="38">
        <v>0</v>
      </c>
      <c r="AP101" s="38">
        <v>0</v>
      </c>
      <c r="AQ101" s="38" t="s">
        <v>704</v>
      </c>
      <c r="AR101" s="38" t="s">
        <v>349</v>
      </c>
      <c r="AS101" s="38" t="s">
        <v>349</v>
      </c>
      <c r="AT101" s="38">
        <v>1</v>
      </c>
      <c r="AU101" s="38">
        <v>0</v>
      </c>
      <c r="AV101" s="38">
        <v>0</v>
      </c>
      <c r="AW101" s="38" t="s">
        <v>704</v>
      </c>
      <c r="AX101" t="s">
        <v>1246</v>
      </c>
      <c r="AY101" s="38" t="s">
        <v>293</v>
      </c>
      <c r="AZ101" s="38" t="s">
        <v>353</v>
      </c>
      <c r="BA101" s="38" t="s">
        <v>296</v>
      </c>
      <c r="BB101" s="38" t="s">
        <v>301</v>
      </c>
      <c r="BC101" s="38" t="s">
        <v>293</v>
      </c>
      <c r="BD101" s="38" t="s">
        <v>292</v>
      </c>
      <c r="BE101" s="38" t="s">
        <v>292</v>
      </c>
      <c r="BF101" s="38" t="s">
        <v>292</v>
      </c>
      <c r="BG101" s="38" t="s">
        <v>293</v>
      </c>
      <c r="BH101" s="38" t="s">
        <v>302</v>
      </c>
      <c r="BI101" s="38" t="s">
        <v>357</v>
      </c>
      <c r="BJ101" s="38" t="s">
        <v>359</v>
      </c>
      <c r="BK101" s="38" t="s">
        <v>293</v>
      </c>
      <c r="BL101" s="38" t="s">
        <v>293</v>
      </c>
      <c r="BM101" s="38" t="s">
        <v>296</v>
      </c>
      <c r="BN101" s="38" t="s">
        <v>356</v>
      </c>
      <c r="BO101" s="38" t="s">
        <v>293</v>
      </c>
      <c r="BP101" s="38" t="s">
        <v>292</v>
      </c>
      <c r="BQ101" s="38" t="s">
        <v>293</v>
      </c>
      <c r="BR101" s="38" t="s">
        <v>293</v>
      </c>
      <c r="BS101" s="38" t="s">
        <v>364</v>
      </c>
      <c r="BT101" s="38" t="s">
        <v>367</v>
      </c>
      <c r="BU101" s="38" t="s">
        <v>378</v>
      </c>
      <c r="BV101" t="s">
        <v>371</v>
      </c>
      <c r="BW101" t="s">
        <v>2544</v>
      </c>
      <c r="BX101" t="str">
        <f>IF(J101="win",VLOOKUP(B101,ColorScheme!$A$2:$I$32,4,0),VLOOKUP(B101,ColorScheme!$A$2:$I$32,5,0))</f>
        <v>#f9730650</v>
      </c>
    </row>
    <row r="102" spans="1:76" x14ac:dyDescent="0.3">
      <c r="A102" t="s">
        <v>45</v>
      </c>
      <c r="B102" t="s">
        <v>72</v>
      </c>
      <c r="C102" t="s">
        <v>15</v>
      </c>
      <c r="D102" t="s">
        <v>12</v>
      </c>
      <c r="E102" t="s">
        <v>804</v>
      </c>
      <c r="F102" t="b">
        <v>1</v>
      </c>
      <c r="G102">
        <v>40.4</v>
      </c>
      <c r="H102">
        <v>0</v>
      </c>
      <c r="I102">
        <v>13046</v>
      </c>
      <c r="J102" s="61" t="s">
        <v>13</v>
      </c>
      <c r="K102" s="16" t="s">
        <v>272</v>
      </c>
      <c r="L102" s="16">
        <v>3</v>
      </c>
      <c r="M102" s="16" t="s">
        <v>277</v>
      </c>
      <c r="N102" s="16" t="s">
        <v>335</v>
      </c>
      <c r="O102" s="15" t="s">
        <v>282</v>
      </c>
      <c r="P102" t="s">
        <v>371</v>
      </c>
      <c r="Q102" t="s">
        <v>371</v>
      </c>
      <c r="R102" s="17" t="s">
        <v>371</v>
      </c>
      <c r="S102" s="17">
        <v>0</v>
      </c>
      <c r="T102" s="17">
        <v>1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 t="s">
        <v>704</v>
      </c>
      <c r="AD102" s="16" t="s">
        <v>341</v>
      </c>
      <c r="AE102" s="16" t="s">
        <v>340</v>
      </c>
      <c r="AF102" s="15" t="s">
        <v>343</v>
      </c>
      <c r="AG102" s="15" t="s">
        <v>344</v>
      </c>
      <c r="AH102" s="17" t="s">
        <v>371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704</v>
      </c>
      <c r="AR102" t="s">
        <v>349</v>
      </c>
      <c r="AS102" t="s">
        <v>349</v>
      </c>
      <c r="AT102">
        <v>1</v>
      </c>
      <c r="AU102">
        <v>0</v>
      </c>
      <c r="AV102">
        <v>0</v>
      </c>
      <c r="AW102" t="s">
        <v>704</v>
      </c>
      <c r="AX102" t="s">
        <v>1208</v>
      </c>
      <c r="AY102" t="s">
        <v>293</v>
      </c>
      <c r="AZ102" t="s">
        <v>353</v>
      </c>
      <c r="BA102" t="s">
        <v>296</v>
      </c>
      <c r="BB102" t="s">
        <v>301</v>
      </c>
      <c r="BC102" t="s">
        <v>292</v>
      </c>
      <c r="BD102" t="s">
        <v>293</v>
      </c>
      <c r="BE102" t="s">
        <v>292</v>
      </c>
      <c r="BF102" t="s">
        <v>292</v>
      </c>
      <c r="BG102" t="s">
        <v>293</v>
      </c>
      <c r="BH102" t="s">
        <v>302</v>
      </c>
      <c r="BI102" t="s">
        <v>302</v>
      </c>
      <c r="BJ102" t="s">
        <v>359</v>
      </c>
      <c r="BK102" t="s">
        <v>293</v>
      </c>
      <c r="BL102" t="s">
        <v>293</v>
      </c>
      <c r="BM102" t="s">
        <v>297</v>
      </c>
      <c r="BN102" t="s">
        <v>298</v>
      </c>
      <c r="BO102" t="s">
        <v>293</v>
      </c>
      <c r="BP102" t="s">
        <v>292</v>
      </c>
      <c r="BQ102" t="s">
        <v>293</v>
      </c>
      <c r="BR102" t="s">
        <v>293</v>
      </c>
      <c r="BS102" t="s">
        <v>364</v>
      </c>
      <c r="BT102" t="s">
        <v>366</v>
      </c>
      <c r="BU102" t="s">
        <v>371</v>
      </c>
      <c r="BV102" t="s">
        <v>371</v>
      </c>
      <c r="BW102" t="s">
        <v>2545</v>
      </c>
      <c r="BX102" t="str">
        <f>IF(J102="win",VLOOKUP(B102,ColorScheme!$A$2:$I$32,4,0),VLOOKUP(B102,ColorScheme!$A$2:$I$32,5,0))</f>
        <v>#f97306</v>
      </c>
    </row>
    <row r="103" spans="1:76" x14ac:dyDescent="0.3">
      <c r="A103" t="s">
        <v>45</v>
      </c>
      <c r="B103" t="s">
        <v>72</v>
      </c>
      <c r="C103" t="s">
        <v>14</v>
      </c>
      <c r="D103" t="s">
        <v>12</v>
      </c>
      <c r="E103" t="s">
        <v>805</v>
      </c>
      <c r="F103" t="b">
        <v>1</v>
      </c>
      <c r="G103">
        <v>98.3</v>
      </c>
      <c r="H103">
        <v>0</v>
      </c>
      <c r="I103">
        <v>11224</v>
      </c>
      <c r="J103" s="61" t="s">
        <v>13</v>
      </c>
      <c r="K103" s="16" t="s">
        <v>272</v>
      </c>
      <c r="L103" s="16">
        <v>2</v>
      </c>
      <c r="M103" s="16" t="s">
        <v>277</v>
      </c>
      <c r="N103" s="16" t="s">
        <v>335</v>
      </c>
      <c r="O103" s="15" t="s">
        <v>282</v>
      </c>
      <c r="P103" t="s">
        <v>371</v>
      </c>
      <c r="Q103" t="s">
        <v>371</v>
      </c>
      <c r="R103" s="17" t="s">
        <v>371</v>
      </c>
      <c r="S103" s="17">
        <v>0</v>
      </c>
      <c r="T103" s="17">
        <v>1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 t="s">
        <v>704</v>
      </c>
      <c r="AD103" s="16" t="s">
        <v>341</v>
      </c>
      <c r="AE103" s="16" t="s">
        <v>340</v>
      </c>
      <c r="AF103" s="15" t="s">
        <v>340</v>
      </c>
      <c r="AG103" s="15" t="s">
        <v>344</v>
      </c>
      <c r="AH103" s="17" t="s">
        <v>371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704</v>
      </c>
      <c r="AR103" t="s">
        <v>349</v>
      </c>
      <c r="AS103" t="s">
        <v>349</v>
      </c>
      <c r="AT103">
        <v>1</v>
      </c>
      <c r="AU103">
        <v>0</v>
      </c>
      <c r="AV103">
        <v>0</v>
      </c>
      <c r="AW103" t="s">
        <v>704</v>
      </c>
      <c r="AX103" t="s">
        <v>1208</v>
      </c>
      <c r="AY103" t="s">
        <v>293</v>
      </c>
      <c r="AZ103" t="s">
        <v>354</v>
      </c>
      <c r="BA103" t="s">
        <v>354</v>
      </c>
      <c r="BB103" t="s">
        <v>301</v>
      </c>
      <c r="BC103" t="s">
        <v>292</v>
      </c>
      <c r="BD103" t="s">
        <v>292</v>
      </c>
      <c r="BE103" t="s">
        <v>292</v>
      </c>
      <c r="BF103" t="s">
        <v>293</v>
      </c>
      <c r="BG103" t="s">
        <v>293</v>
      </c>
      <c r="BH103" t="s">
        <v>302</v>
      </c>
      <c r="BI103" t="s">
        <v>302</v>
      </c>
      <c r="BJ103" t="s">
        <v>357</v>
      </c>
      <c r="BK103" t="s">
        <v>293</v>
      </c>
      <c r="BL103" t="s">
        <v>293</v>
      </c>
      <c r="BM103" t="s">
        <v>297</v>
      </c>
      <c r="BN103" t="s">
        <v>298</v>
      </c>
      <c r="BO103" t="s">
        <v>293</v>
      </c>
      <c r="BP103" t="s">
        <v>292</v>
      </c>
      <c r="BQ103" t="s">
        <v>293</v>
      </c>
      <c r="BR103" t="s">
        <v>293</v>
      </c>
      <c r="BS103" t="s">
        <v>364</v>
      </c>
      <c r="BT103" t="s">
        <v>366</v>
      </c>
      <c r="BU103" t="s">
        <v>371</v>
      </c>
      <c r="BV103" t="s">
        <v>371</v>
      </c>
      <c r="BW103" t="s">
        <v>2546</v>
      </c>
      <c r="BX103" t="str">
        <f>IF(J103="win",VLOOKUP(B103,ColorScheme!$A$2:$I$32,4,0),VLOOKUP(B103,ColorScheme!$A$2:$I$32,5,0))</f>
        <v>#f97306</v>
      </c>
    </row>
    <row r="104" spans="1:76" x14ac:dyDescent="0.3">
      <c r="A104" t="s">
        <v>45</v>
      </c>
      <c r="B104" t="s">
        <v>72</v>
      </c>
      <c r="C104" t="s">
        <v>11</v>
      </c>
      <c r="D104" t="s">
        <v>12</v>
      </c>
      <c r="E104" t="s">
        <v>806</v>
      </c>
      <c r="F104" t="b">
        <v>1</v>
      </c>
      <c r="G104">
        <v>100</v>
      </c>
      <c r="H104">
        <v>1</v>
      </c>
      <c r="I104">
        <v>10629</v>
      </c>
      <c r="J104" s="61" t="s">
        <v>18</v>
      </c>
      <c r="K104" s="16" t="s">
        <v>272</v>
      </c>
      <c r="L104" s="16">
        <v>2</v>
      </c>
      <c r="M104" s="16" t="s">
        <v>277</v>
      </c>
      <c r="N104" s="16" t="s">
        <v>335</v>
      </c>
      <c r="O104" s="15" t="s">
        <v>282</v>
      </c>
      <c r="P104" t="s">
        <v>371</v>
      </c>
      <c r="Q104" t="s">
        <v>371</v>
      </c>
      <c r="R104" s="17" t="s">
        <v>371</v>
      </c>
      <c r="S104" s="17">
        <v>0</v>
      </c>
      <c r="T104" s="17">
        <v>1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 t="s">
        <v>704</v>
      </c>
      <c r="AD104" s="16" t="s">
        <v>341</v>
      </c>
      <c r="AE104" s="16" t="s">
        <v>340</v>
      </c>
      <c r="AF104" s="15" t="s">
        <v>340</v>
      </c>
      <c r="AG104" s="15" t="s">
        <v>344</v>
      </c>
      <c r="AH104" s="17" t="s">
        <v>371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704</v>
      </c>
      <c r="AR104" t="s">
        <v>349</v>
      </c>
      <c r="AS104" t="s">
        <v>349</v>
      </c>
      <c r="AT104">
        <v>1</v>
      </c>
      <c r="AU104">
        <v>0</v>
      </c>
      <c r="AV104">
        <v>0</v>
      </c>
      <c r="AW104" t="s">
        <v>704</v>
      </c>
      <c r="AX104" t="s">
        <v>1208</v>
      </c>
      <c r="AY104" t="s">
        <v>293</v>
      </c>
      <c r="AZ104" t="s">
        <v>354</v>
      </c>
      <c r="BA104" t="s">
        <v>354</v>
      </c>
      <c r="BB104" t="s">
        <v>301</v>
      </c>
      <c r="BC104" t="s">
        <v>292</v>
      </c>
      <c r="BD104" t="s">
        <v>293</v>
      </c>
      <c r="BE104" t="s">
        <v>292</v>
      </c>
      <c r="BF104" t="s">
        <v>293</v>
      </c>
      <c r="BG104" t="s">
        <v>293</v>
      </c>
      <c r="BH104" t="s">
        <v>302</v>
      </c>
      <c r="BI104" t="s">
        <v>302</v>
      </c>
      <c r="BJ104" t="s">
        <v>357</v>
      </c>
      <c r="BK104" t="s">
        <v>293</v>
      </c>
      <c r="BL104" t="s">
        <v>293</v>
      </c>
      <c r="BM104" t="s">
        <v>297</v>
      </c>
      <c r="BN104" t="s">
        <v>298</v>
      </c>
      <c r="BO104" t="s">
        <v>293</v>
      </c>
      <c r="BP104" t="s">
        <v>292</v>
      </c>
      <c r="BQ104" t="s">
        <v>293</v>
      </c>
      <c r="BR104" t="s">
        <v>293</v>
      </c>
      <c r="BS104" t="s">
        <v>364</v>
      </c>
      <c r="BT104" t="s">
        <v>304</v>
      </c>
      <c r="BU104" t="s">
        <v>371</v>
      </c>
      <c r="BV104" t="s">
        <v>371</v>
      </c>
      <c r="BW104" t="s">
        <v>2547</v>
      </c>
      <c r="BX104" t="str">
        <f>IF(J104="win",VLOOKUP(B104,ColorScheme!$A$2:$I$32,4,0),VLOOKUP(B104,ColorScheme!$A$2:$I$32,5,0))</f>
        <v>#f9730650</v>
      </c>
    </row>
    <row r="105" spans="1:76" x14ac:dyDescent="0.3">
      <c r="A105" t="s">
        <v>45</v>
      </c>
      <c r="B105" t="s">
        <v>72</v>
      </c>
      <c r="C105" t="s">
        <v>21</v>
      </c>
      <c r="D105" t="s">
        <v>12</v>
      </c>
      <c r="E105" t="s">
        <v>807</v>
      </c>
      <c r="F105" t="b">
        <v>1</v>
      </c>
      <c r="G105">
        <v>100</v>
      </c>
      <c r="H105">
        <v>1</v>
      </c>
      <c r="I105">
        <v>10997</v>
      </c>
      <c r="J105" s="61" t="s">
        <v>18</v>
      </c>
      <c r="K105" s="16" t="s">
        <v>272</v>
      </c>
      <c r="L105" s="16">
        <v>2</v>
      </c>
      <c r="M105" s="16" t="s">
        <v>277</v>
      </c>
      <c r="N105" s="16" t="s">
        <v>335</v>
      </c>
      <c r="O105" s="15" t="s">
        <v>282</v>
      </c>
      <c r="P105" t="s">
        <v>371</v>
      </c>
      <c r="Q105" t="s">
        <v>371</v>
      </c>
      <c r="R105" s="17" t="s">
        <v>371</v>
      </c>
      <c r="S105" s="17">
        <v>0</v>
      </c>
      <c r="T105" s="17">
        <v>1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 t="s">
        <v>704</v>
      </c>
      <c r="AD105" s="16" t="s">
        <v>341</v>
      </c>
      <c r="AE105" s="16" t="s">
        <v>340</v>
      </c>
      <c r="AF105" s="15" t="s">
        <v>340</v>
      </c>
      <c r="AG105" s="15" t="s">
        <v>344</v>
      </c>
      <c r="AH105" s="17" t="s">
        <v>371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704</v>
      </c>
      <c r="AR105" t="s">
        <v>349</v>
      </c>
      <c r="AS105" t="s">
        <v>349</v>
      </c>
      <c r="AT105">
        <v>1</v>
      </c>
      <c r="AU105">
        <v>0</v>
      </c>
      <c r="AV105">
        <v>0</v>
      </c>
      <c r="AW105" t="s">
        <v>704</v>
      </c>
      <c r="AX105" t="s">
        <v>1208</v>
      </c>
      <c r="AY105" t="s">
        <v>293</v>
      </c>
      <c r="AZ105" t="s">
        <v>354</v>
      </c>
      <c r="BA105" t="s">
        <v>354</v>
      </c>
      <c r="BB105" t="s">
        <v>299</v>
      </c>
      <c r="BC105" t="s">
        <v>293</v>
      </c>
      <c r="BD105" t="s">
        <v>292</v>
      </c>
      <c r="BE105" t="s">
        <v>292</v>
      </c>
      <c r="BF105" t="s">
        <v>293</v>
      </c>
      <c r="BG105" t="s">
        <v>293</v>
      </c>
      <c r="BH105" t="s">
        <v>302</v>
      </c>
      <c r="BI105" t="s">
        <v>302</v>
      </c>
      <c r="BJ105" t="s">
        <v>357</v>
      </c>
      <c r="BK105" t="s">
        <v>293</v>
      </c>
      <c r="BL105" t="s">
        <v>293</v>
      </c>
      <c r="BM105" t="s">
        <v>297</v>
      </c>
      <c r="BN105" t="s">
        <v>356</v>
      </c>
      <c r="BO105" t="s">
        <v>293</v>
      </c>
      <c r="BP105" t="s">
        <v>292</v>
      </c>
      <c r="BQ105" t="s">
        <v>293</v>
      </c>
      <c r="BR105" t="s">
        <v>293</v>
      </c>
      <c r="BS105" t="s">
        <v>364</v>
      </c>
      <c r="BT105" t="s">
        <v>304</v>
      </c>
      <c r="BU105" t="s">
        <v>371</v>
      </c>
      <c r="BV105" t="s">
        <v>371</v>
      </c>
      <c r="BW105" t="s">
        <v>2548</v>
      </c>
      <c r="BX105" t="str">
        <f>IF(J105="win",VLOOKUP(B105,ColorScheme!$A$2:$I$32,4,0),VLOOKUP(B105,ColorScheme!$A$2:$I$32,5,0))</f>
        <v>#f9730650</v>
      </c>
    </row>
    <row r="106" spans="1:76" x14ac:dyDescent="0.3">
      <c r="A106" t="s">
        <v>45</v>
      </c>
      <c r="B106" t="s">
        <v>72</v>
      </c>
      <c r="C106" t="s">
        <v>19</v>
      </c>
      <c r="D106" t="s">
        <v>12</v>
      </c>
      <c r="E106" t="s">
        <v>808</v>
      </c>
      <c r="F106" t="b">
        <v>1</v>
      </c>
      <c r="G106">
        <v>75.8</v>
      </c>
      <c r="H106">
        <v>0</v>
      </c>
      <c r="I106">
        <v>10738</v>
      </c>
      <c r="J106" s="61" t="s">
        <v>13</v>
      </c>
      <c r="K106" s="16" t="s">
        <v>273</v>
      </c>
      <c r="L106" s="16">
        <v>2</v>
      </c>
      <c r="M106" s="16" t="s">
        <v>333</v>
      </c>
      <c r="N106" s="16" t="s">
        <v>278</v>
      </c>
      <c r="O106" s="15" t="s">
        <v>273</v>
      </c>
      <c r="P106" t="s">
        <v>371</v>
      </c>
      <c r="Q106" t="s">
        <v>371</v>
      </c>
      <c r="R106" s="17" t="s">
        <v>371</v>
      </c>
      <c r="S106" s="17">
        <v>0</v>
      </c>
      <c r="T106" s="17">
        <v>0</v>
      </c>
      <c r="U106" s="17">
        <v>0</v>
      </c>
      <c r="V106" s="17">
        <v>0</v>
      </c>
      <c r="W106" s="17">
        <v>1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 t="s">
        <v>704</v>
      </c>
      <c r="AD106" s="16" t="s">
        <v>341</v>
      </c>
      <c r="AE106" s="16" t="s">
        <v>340</v>
      </c>
      <c r="AF106" s="15" t="s">
        <v>343</v>
      </c>
      <c r="AG106" s="15" t="s">
        <v>344</v>
      </c>
      <c r="AH106" s="17" t="s">
        <v>371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704</v>
      </c>
      <c r="AR106" t="s">
        <v>349</v>
      </c>
      <c r="AS106" t="s">
        <v>349</v>
      </c>
      <c r="AT106">
        <v>1</v>
      </c>
      <c r="AU106">
        <v>0</v>
      </c>
      <c r="AV106">
        <v>0</v>
      </c>
      <c r="AW106" t="s">
        <v>704</v>
      </c>
      <c r="AX106" t="s">
        <v>1246</v>
      </c>
      <c r="AY106" t="s">
        <v>293</v>
      </c>
      <c r="AZ106" t="s">
        <v>353</v>
      </c>
      <c r="BA106" t="s">
        <v>296</v>
      </c>
      <c r="BB106" t="s">
        <v>301</v>
      </c>
      <c r="BC106" t="s">
        <v>292</v>
      </c>
      <c r="BD106" t="s">
        <v>293</v>
      </c>
      <c r="BE106" t="s">
        <v>292</v>
      </c>
      <c r="BF106" t="s">
        <v>292</v>
      </c>
      <c r="BG106" t="s">
        <v>293</v>
      </c>
      <c r="BH106" t="s">
        <v>302</v>
      </c>
      <c r="BI106" t="s">
        <v>357</v>
      </c>
      <c r="BJ106" t="s">
        <v>359</v>
      </c>
      <c r="BK106" t="s">
        <v>293</v>
      </c>
      <c r="BL106" t="s">
        <v>293</v>
      </c>
      <c r="BM106" t="s">
        <v>297</v>
      </c>
      <c r="BN106" t="s">
        <v>298</v>
      </c>
      <c r="BO106" t="s">
        <v>293</v>
      </c>
      <c r="BP106" t="s">
        <v>292</v>
      </c>
      <c r="BQ106" t="s">
        <v>293</v>
      </c>
      <c r="BR106" t="s">
        <v>293</v>
      </c>
      <c r="BS106" t="s">
        <v>364</v>
      </c>
      <c r="BT106" t="s">
        <v>366</v>
      </c>
      <c r="BU106" t="s">
        <v>371</v>
      </c>
      <c r="BV106" t="s">
        <v>371</v>
      </c>
      <c r="BW106" t="s">
        <v>2549</v>
      </c>
      <c r="BX106" t="str">
        <f>IF(J106="win",VLOOKUP(B106,ColorScheme!$A$2:$I$32,4,0),VLOOKUP(B106,ColorScheme!$A$2:$I$32,5,0))</f>
        <v>#f97306</v>
      </c>
    </row>
    <row r="107" spans="1:76" x14ac:dyDescent="0.3">
      <c r="A107" t="s">
        <v>45</v>
      </c>
      <c r="B107" t="s">
        <v>72</v>
      </c>
      <c r="C107" t="s">
        <v>17</v>
      </c>
      <c r="D107" t="s">
        <v>12</v>
      </c>
      <c r="E107" t="s">
        <v>809</v>
      </c>
      <c r="F107" t="b">
        <v>1</v>
      </c>
      <c r="G107">
        <v>99.9</v>
      </c>
      <c r="H107">
        <v>0</v>
      </c>
      <c r="I107">
        <v>9469</v>
      </c>
      <c r="J107" s="61" t="s">
        <v>13</v>
      </c>
      <c r="K107" s="16" t="s">
        <v>273</v>
      </c>
      <c r="L107" s="16">
        <v>2</v>
      </c>
      <c r="M107" s="16" t="s">
        <v>333</v>
      </c>
      <c r="N107" s="16" t="s">
        <v>278</v>
      </c>
      <c r="O107" s="15" t="s">
        <v>273</v>
      </c>
      <c r="P107" t="s">
        <v>371</v>
      </c>
      <c r="Q107" t="s">
        <v>371</v>
      </c>
      <c r="R107" s="17" t="s">
        <v>371</v>
      </c>
      <c r="S107" s="17">
        <v>0</v>
      </c>
      <c r="T107" s="17">
        <v>0</v>
      </c>
      <c r="U107" s="17">
        <v>0</v>
      </c>
      <c r="V107" s="17">
        <v>0</v>
      </c>
      <c r="W107" s="17">
        <v>1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 t="s">
        <v>704</v>
      </c>
      <c r="AD107" s="16" t="s">
        <v>341</v>
      </c>
      <c r="AE107" s="16" t="s">
        <v>340</v>
      </c>
      <c r="AF107" s="15" t="s">
        <v>343</v>
      </c>
      <c r="AG107" s="15" t="s">
        <v>344</v>
      </c>
      <c r="AH107" s="17" t="s">
        <v>371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704</v>
      </c>
      <c r="AR107" t="s">
        <v>349</v>
      </c>
      <c r="AS107" t="s">
        <v>349</v>
      </c>
      <c r="AT107">
        <v>1</v>
      </c>
      <c r="AU107">
        <v>0</v>
      </c>
      <c r="AV107">
        <v>0</v>
      </c>
      <c r="AW107" t="s">
        <v>704</v>
      </c>
      <c r="AX107" t="s">
        <v>1246</v>
      </c>
      <c r="AY107" t="s">
        <v>293</v>
      </c>
      <c r="AZ107" t="s">
        <v>353</v>
      </c>
      <c r="BA107" t="s">
        <v>296</v>
      </c>
      <c r="BB107" t="s">
        <v>301</v>
      </c>
      <c r="BC107" t="s">
        <v>292</v>
      </c>
      <c r="BD107" t="s">
        <v>293</v>
      </c>
      <c r="BE107" t="s">
        <v>292</v>
      </c>
      <c r="BF107" t="s">
        <v>292</v>
      </c>
      <c r="BG107" t="s">
        <v>293</v>
      </c>
      <c r="BH107" t="s">
        <v>302</v>
      </c>
      <c r="BI107" t="s">
        <v>357</v>
      </c>
      <c r="BJ107" t="s">
        <v>359</v>
      </c>
      <c r="BK107" t="s">
        <v>293</v>
      </c>
      <c r="BL107" t="s">
        <v>293</v>
      </c>
      <c r="BM107" t="s">
        <v>297</v>
      </c>
      <c r="BN107" t="s">
        <v>298</v>
      </c>
      <c r="BO107" t="s">
        <v>293</v>
      </c>
      <c r="BP107" t="s">
        <v>292</v>
      </c>
      <c r="BQ107" t="s">
        <v>293</v>
      </c>
      <c r="BR107" t="s">
        <v>293</v>
      </c>
      <c r="BS107" t="s">
        <v>364</v>
      </c>
      <c r="BT107" t="s">
        <v>366</v>
      </c>
      <c r="BU107" t="s">
        <v>371</v>
      </c>
      <c r="BV107" t="s">
        <v>371</v>
      </c>
      <c r="BW107" t="s">
        <v>2550</v>
      </c>
      <c r="BX107" t="str">
        <f>IF(J107="win",VLOOKUP(B107,ColorScheme!$A$2:$I$32,4,0),VLOOKUP(B107,ColorScheme!$A$2:$I$32,5,0))</f>
        <v>#f97306</v>
      </c>
    </row>
    <row r="108" spans="1:76" x14ac:dyDescent="0.3">
      <c r="A108" t="s">
        <v>45</v>
      </c>
      <c r="B108" t="s">
        <v>72</v>
      </c>
      <c r="C108" t="s">
        <v>16</v>
      </c>
      <c r="D108" t="s">
        <v>12</v>
      </c>
      <c r="E108" t="s">
        <v>810</v>
      </c>
      <c r="F108" t="b">
        <v>1</v>
      </c>
      <c r="G108">
        <v>100</v>
      </c>
      <c r="H108">
        <v>1</v>
      </c>
      <c r="I108">
        <v>11463</v>
      </c>
      <c r="J108" s="61" t="s">
        <v>18</v>
      </c>
      <c r="K108" s="16" t="s">
        <v>272</v>
      </c>
      <c r="L108" s="16">
        <v>3</v>
      </c>
      <c r="M108" s="16" t="s">
        <v>277</v>
      </c>
      <c r="N108" s="16" t="s">
        <v>335</v>
      </c>
      <c r="O108" s="15" t="s">
        <v>282</v>
      </c>
      <c r="P108" t="s">
        <v>371</v>
      </c>
      <c r="Q108" t="s">
        <v>371</v>
      </c>
      <c r="R108" s="17" t="s">
        <v>371</v>
      </c>
      <c r="S108" s="17">
        <v>0</v>
      </c>
      <c r="T108" s="17">
        <v>1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 t="s">
        <v>704</v>
      </c>
      <c r="AD108" s="16" t="s">
        <v>340</v>
      </c>
      <c r="AE108" s="16" t="s">
        <v>342</v>
      </c>
      <c r="AF108" s="15" t="s">
        <v>343</v>
      </c>
      <c r="AG108" s="15" t="s">
        <v>291</v>
      </c>
      <c r="AH108" s="17" t="s">
        <v>371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 t="s">
        <v>704</v>
      </c>
      <c r="AR108" t="s">
        <v>349</v>
      </c>
      <c r="AS108" t="s">
        <v>349</v>
      </c>
      <c r="AT108">
        <v>1</v>
      </c>
      <c r="AU108">
        <v>0</v>
      </c>
      <c r="AV108">
        <v>0</v>
      </c>
      <c r="AW108" t="s">
        <v>704</v>
      </c>
      <c r="AX108" t="s">
        <v>1222</v>
      </c>
      <c r="AY108" t="s">
        <v>293</v>
      </c>
      <c r="AZ108" t="s">
        <v>353</v>
      </c>
      <c r="BA108" t="s">
        <v>296</v>
      </c>
      <c r="BB108" t="s">
        <v>300</v>
      </c>
      <c r="BC108" t="s">
        <v>292</v>
      </c>
      <c r="BD108" t="s">
        <v>292</v>
      </c>
      <c r="BE108" t="s">
        <v>292</v>
      </c>
      <c r="BF108" t="s">
        <v>292</v>
      </c>
      <c r="BG108" t="s">
        <v>293</v>
      </c>
      <c r="BH108" t="s">
        <v>302</v>
      </c>
      <c r="BI108" t="s">
        <v>302</v>
      </c>
      <c r="BJ108" t="s">
        <v>359</v>
      </c>
      <c r="BK108" t="s">
        <v>293</v>
      </c>
      <c r="BL108" t="s">
        <v>293</v>
      </c>
      <c r="BM108" t="s">
        <v>296</v>
      </c>
      <c r="BN108" t="s">
        <v>298</v>
      </c>
      <c r="BO108" t="s">
        <v>293</v>
      </c>
      <c r="BP108" t="s">
        <v>292</v>
      </c>
      <c r="BQ108" t="s">
        <v>293</v>
      </c>
      <c r="BR108" t="s">
        <v>293</v>
      </c>
      <c r="BS108" t="s">
        <v>364</v>
      </c>
      <c r="BT108" t="s">
        <v>304</v>
      </c>
      <c r="BU108" t="s">
        <v>371</v>
      </c>
      <c r="BV108" t="s">
        <v>371</v>
      </c>
      <c r="BW108" t="s">
        <v>2551</v>
      </c>
      <c r="BX108" t="str">
        <f>IF(J108="win",VLOOKUP(B108,ColorScheme!$A$2:$I$32,4,0),VLOOKUP(B108,ColorScheme!$A$2:$I$32,5,0))</f>
        <v>#f9730650</v>
      </c>
    </row>
    <row r="109" spans="1:76" s="38" customFormat="1" x14ac:dyDescent="0.3">
      <c r="A109" t="s">
        <v>45</v>
      </c>
      <c r="B109" t="s">
        <v>72</v>
      </c>
      <c r="C109" t="s">
        <v>20</v>
      </c>
      <c r="D109" t="s">
        <v>12</v>
      </c>
      <c r="E109" t="s">
        <v>811</v>
      </c>
      <c r="F109" t="b">
        <v>1</v>
      </c>
      <c r="G109">
        <v>47</v>
      </c>
      <c r="H109">
        <v>0</v>
      </c>
      <c r="I109">
        <v>13771</v>
      </c>
      <c r="J109" s="61" t="s">
        <v>13</v>
      </c>
      <c r="K109" s="16" t="s">
        <v>272</v>
      </c>
      <c r="L109" s="16">
        <v>3</v>
      </c>
      <c r="M109" s="16" t="s">
        <v>277</v>
      </c>
      <c r="N109" s="16" t="s">
        <v>335</v>
      </c>
      <c r="O109" s="15" t="s">
        <v>282</v>
      </c>
      <c r="P109" t="s">
        <v>371</v>
      </c>
      <c r="Q109" t="s">
        <v>371</v>
      </c>
      <c r="R109" s="17" t="s">
        <v>371</v>
      </c>
      <c r="S109" s="17">
        <v>0</v>
      </c>
      <c r="T109" s="17">
        <v>1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 t="s">
        <v>704</v>
      </c>
      <c r="AD109" s="16" t="s">
        <v>341</v>
      </c>
      <c r="AE109" s="16" t="s">
        <v>340</v>
      </c>
      <c r="AF109" s="15" t="s">
        <v>343</v>
      </c>
      <c r="AG109" s="15" t="s">
        <v>345</v>
      </c>
      <c r="AH109" s="17" t="s">
        <v>371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704</v>
      </c>
      <c r="AR109" t="s">
        <v>349</v>
      </c>
      <c r="AS109" t="s">
        <v>349</v>
      </c>
      <c r="AT109">
        <v>1</v>
      </c>
      <c r="AU109">
        <v>0</v>
      </c>
      <c r="AV109">
        <v>0</v>
      </c>
      <c r="AW109" t="s">
        <v>704</v>
      </c>
      <c r="AX109" t="s">
        <v>1232</v>
      </c>
      <c r="AY109" t="s">
        <v>293</v>
      </c>
      <c r="AZ109" t="s">
        <v>353</v>
      </c>
      <c r="BA109" t="s">
        <v>296</v>
      </c>
      <c r="BB109" t="s">
        <v>301</v>
      </c>
      <c r="BC109" t="s">
        <v>292</v>
      </c>
      <c r="BD109" t="s">
        <v>293</v>
      </c>
      <c r="BE109" t="s">
        <v>292</v>
      </c>
      <c r="BF109" t="s">
        <v>292</v>
      </c>
      <c r="BG109" t="s">
        <v>293</v>
      </c>
      <c r="BH109" t="s">
        <v>302</v>
      </c>
      <c r="BI109" t="s">
        <v>302</v>
      </c>
      <c r="BJ109" t="s">
        <v>359</v>
      </c>
      <c r="BK109" t="s">
        <v>293</v>
      </c>
      <c r="BL109" t="s">
        <v>293</v>
      </c>
      <c r="BM109" t="s">
        <v>297</v>
      </c>
      <c r="BN109" t="s">
        <v>298</v>
      </c>
      <c r="BO109" t="s">
        <v>293</v>
      </c>
      <c r="BP109" t="s">
        <v>292</v>
      </c>
      <c r="BQ109" t="s">
        <v>362</v>
      </c>
      <c r="BR109" t="s">
        <v>293</v>
      </c>
      <c r="BS109" t="s">
        <v>364</v>
      </c>
      <c r="BT109" t="s">
        <v>366</v>
      </c>
      <c r="BU109" t="s">
        <v>371</v>
      </c>
      <c r="BV109" s="38" t="s">
        <v>371</v>
      </c>
      <c r="BW109" t="s">
        <v>2552</v>
      </c>
      <c r="BX109" t="str">
        <f>IF(J109="win",VLOOKUP(B109,ColorScheme!$A$2:$I$32,4,0),VLOOKUP(B109,ColorScheme!$A$2:$I$32,5,0))</f>
        <v>#f97306</v>
      </c>
    </row>
    <row r="110" spans="1:76" s="38" customFormat="1" x14ac:dyDescent="0.3">
      <c r="A110" t="s">
        <v>45</v>
      </c>
      <c r="B110" t="s">
        <v>72</v>
      </c>
      <c r="C110" t="s">
        <v>22</v>
      </c>
      <c r="D110" t="s">
        <v>12</v>
      </c>
      <c r="E110" t="s">
        <v>812</v>
      </c>
      <c r="F110" t="b">
        <v>1</v>
      </c>
      <c r="G110">
        <v>94.9</v>
      </c>
      <c r="H110">
        <v>0</v>
      </c>
      <c r="I110">
        <v>11422</v>
      </c>
      <c r="J110" s="61" t="s">
        <v>13</v>
      </c>
      <c r="K110" s="16" t="s">
        <v>272</v>
      </c>
      <c r="L110" s="16">
        <v>2</v>
      </c>
      <c r="M110" s="16" t="s">
        <v>277</v>
      </c>
      <c r="N110" s="16" t="s">
        <v>335</v>
      </c>
      <c r="O110" s="15" t="s">
        <v>282</v>
      </c>
      <c r="P110" t="s">
        <v>371</v>
      </c>
      <c r="Q110" t="s">
        <v>371</v>
      </c>
      <c r="R110" s="17" t="s">
        <v>371</v>
      </c>
      <c r="S110" s="17">
        <v>0</v>
      </c>
      <c r="T110" s="17">
        <v>1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 t="s">
        <v>704</v>
      </c>
      <c r="AD110" s="16" t="s">
        <v>341</v>
      </c>
      <c r="AE110" s="16" t="s">
        <v>340</v>
      </c>
      <c r="AF110" s="15" t="s">
        <v>340</v>
      </c>
      <c r="AG110" s="15" t="s">
        <v>345</v>
      </c>
      <c r="AH110" s="17" t="s">
        <v>371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704</v>
      </c>
      <c r="AR110" t="s">
        <v>349</v>
      </c>
      <c r="AS110" t="s">
        <v>349</v>
      </c>
      <c r="AT110">
        <v>1</v>
      </c>
      <c r="AU110">
        <v>0</v>
      </c>
      <c r="AV110">
        <v>0</v>
      </c>
      <c r="AW110" t="s">
        <v>704</v>
      </c>
      <c r="AX110" t="s">
        <v>1232</v>
      </c>
      <c r="AY110" t="s">
        <v>293</v>
      </c>
      <c r="AZ110" t="s">
        <v>354</v>
      </c>
      <c r="BA110" t="s">
        <v>354</v>
      </c>
      <c r="BB110" t="s">
        <v>300</v>
      </c>
      <c r="BC110" t="s">
        <v>293</v>
      </c>
      <c r="BD110" t="s">
        <v>292</v>
      </c>
      <c r="BE110" t="s">
        <v>292</v>
      </c>
      <c r="BF110" t="s">
        <v>293</v>
      </c>
      <c r="BG110" t="s">
        <v>293</v>
      </c>
      <c r="BH110" t="s">
        <v>302</v>
      </c>
      <c r="BI110" t="s">
        <v>302</v>
      </c>
      <c r="BJ110" t="s">
        <v>359</v>
      </c>
      <c r="BK110" t="s">
        <v>293</v>
      </c>
      <c r="BL110" t="s">
        <v>293</v>
      </c>
      <c r="BM110" t="s">
        <v>297</v>
      </c>
      <c r="BN110" t="s">
        <v>356</v>
      </c>
      <c r="BO110" t="s">
        <v>293</v>
      </c>
      <c r="BP110" t="s">
        <v>292</v>
      </c>
      <c r="BQ110" t="s">
        <v>293</v>
      </c>
      <c r="BR110" t="s">
        <v>293</v>
      </c>
      <c r="BS110" t="s">
        <v>364</v>
      </c>
      <c r="BT110" t="s">
        <v>366</v>
      </c>
      <c r="BU110" t="s">
        <v>371</v>
      </c>
      <c r="BV110" s="38" t="s">
        <v>371</v>
      </c>
      <c r="BW110" t="s">
        <v>2553</v>
      </c>
      <c r="BX110" t="str">
        <f>IF(J110="win",VLOOKUP(B110,ColorScheme!$A$2:$I$32,4,0),VLOOKUP(B110,ColorScheme!$A$2:$I$32,5,0))</f>
        <v>#f97306</v>
      </c>
    </row>
    <row r="111" spans="1:76" x14ac:dyDescent="0.3">
      <c r="A111" t="s">
        <v>45</v>
      </c>
      <c r="B111" t="s">
        <v>72</v>
      </c>
      <c r="C111" t="s">
        <v>24</v>
      </c>
      <c r="D111" t="s">
        <v>29</v>
      </c>
      <c r="E111" t="s">
        <v>813</v>
      </c>
      <c r="F111" t="b">
        <v>1</v>
      </c>
      <c r="G111">
        <v>100</v>
      </c>
      <c r="H111">
        <v>1</v>
      </c>
      <c r="I111">
        <v>16213</v>
      </c>
      <c r="J111" s="61" t="s">
        <v>18</v>
      </c>
      <c r="K111" s="16" t="s">
        <v>272</v>
      </c>
      <c r="L111" s="16">
        <v>2</v>
      </c>
      <c r="M111" s="16" t="s">
        <v>333</v>
      </c>
      <c r="N111" s="16" t="s">
        <v>278</v>
      </c>
      <c r="O111" s="15" t="s">
        <v>273</v>
      </c>
      <c r="P111" t="s">
        <v>371</v>
      </c>
      <c r="Q111" t="s">
        <v>371</v>
      </c>
      <c r="R111" s="17" t="s">
        <v>371</v>
      </c>
      <c r="S111" s="17">
        <v>0</v>
      </c>
      <c r="T111" s="17">
        <v>0</v>
      </c>
      <c r="U111" s="17">
        <v>0</v>
      </c>
      <c r="V111" s="17">
        <v>0</v>
      </c>
      <c r="W111" s="17">
        <v>1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 t="s">
        <v>704</v>
      </c>
      <c r="AD111" s="16" t="s">
        <v>341</v>
      </c>
      <c r="AE111" s="16" t="s">
        <v>340</v>
      </c>
      <c r="AF111" s="15" t="s">
        <v>343</v>
      </c>
      <c r="AG111" s="15" t="s">
        <v>344</v>
      </c>
      <c r="AH111" s="17" t="s">
        <v>371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704</v>
      </c>
      <c r="AR111" t="s">
        <v>349</v>
      </c>
      <c r="AS111" t="s">
        <v>349</v>
      </c>
      <c r="AT111">
        <v>1</v>
      </c>
      <c r="AU111">
        <v>0</v>
      </c>
      <c r="AV111">
        <v>0</v>
      </c>
      <c r="AW111" t="s">
        <v>704</v>
      </c>
      <c r="AX111" t="s">
        <v>1246</v>
      </c>
      <c r="AY111" t="s">
        <v>293</v>
      </c>
      <c r="AZ111" t="s">
        <v>353</v>
      </c>
      <c r="BA111" t="s">
        <v>296</v>
      </c>
      <c r="BB111" t="s">
        <v>301</v>
      </c>
      <c r="BC111" t="s">
        <v>293</v>
      </c>
      <c r="BD111" t="s">
        <v>292</v>
      </c>
      <c r="BE111" t="s">
        <v>292</v>
      </c>
      <c r="BF111" t="s">
        <v>292</v>
      </c>
      <c r="BG111" t="s">
        <v>293</v>
      </c>
      <c r="BH111" t="s">
        <v>302</v>
      </c>
      <c r="BI111" t="s">
        <v>357</v>
      </c>
      <c r="BJ111" t="s">
        <v>359</v>
      </c>
      <c r="BK111" t="s">
        <v>293</v>
      </c>
      <c r="BL111" t="s">
        <v>293</v>
      </c>
      <c r="BM111" t="s">
        <v>297</v>
      </c>
      <c r="BN111" t="s">
        <v>356</v>
      </c>
      <c r="BO111" t="s">
        <v>293</v>
      </c>
      <c r="BP111" t="s">
        <v>292</v>
      </c>
      <c r="BQ111" t="s">
        <v>293</v>
      </c>
      <c r="BR111" t="s">
        <v>293</v>
      </c>
      <c r="BS111" t="s">
        <v>364</v>
      </c>
      <c r="BT111" t="s">
        <v>304</v>
      </c>
      <c r="BU111" t="s">
        <v>371</v>
      </c>
      <c r="BV111" t="s">
        <v>371</v>
      </c>
      <c r="BW111" t="s">
        <v>2554</v>
      </c>
      <c r="BX111" t="str">
        <f>IF(J111="win",VLOOKUP(B111,ColorScheme!$A$2:$I$32,4,0),VLOOKUP(B111,ColorScheme!$A$2:$I$32,5,0))</f>
        <v>#f9730650</v>
      </c>
    </row>
    <row r="112" spans="1:76" x14ac:dyDescent="0.3">
      <c r="A112" t="s">
        <v>45</v>
      </c>
      <c r="B112" t="s">
        <v>72</v>
      </c>
      <c r="C112" t="s">
        <v>37</v>
      </c>
      <c r="D112" t="s">
        <v>29</v>
      </c>
      <c r="E112" t="s">
        <v>814</v>
      </c>
      <c r="F112" t="b">
        <v>1</v>
      </c>
      <c r="G112">
        <v>96.6</v>
      </c>
      <c r="H112">
        <v>0</v>
      </c>
      <c r="I112">
        <v>12440</v>
      </c>
      <c r="J112" s="61" t="s">
        <v>13</v>
      </c>
      <c r="K112" s="16" t="s">
        <v>272</v>
      </c>
      <c r="L112" s="16">
        <v>3</v>
      </c>
      <c r="M112" s="16" t="s">
        <v>277</v>
      </c>
      <c r="N112" s="16" t="s">
        <v>335</v>
      </c>
      <c r="O112" s="15" t="s">
        <v>282</v>
      </c>
      <c r="P112" t="s">
        <v>371</v>
      </c>
      <c r="Q112" t="s">
        <v>371</v>
      </c>
      <c r="R112" s="17" t="s">
        <v>371</v>
      </c>
      <c r="S112" s="17">
        <v>0</v>
      </c>
      <c r="T112" s="17">
        <v>1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 t="s">
        <v>704</v>
      </c>
      <c r="AD112" s="16" t="s">
        <v>341</v>
      </c>
      <c r="AE112" s="16" t="s">
        <v>340</v>
      </c>
      <c r="AF112" s="15" t="s">
        <v>343</v>
      </c>
      <c r="AG112" s="15" t="s">
        <v>345</v>
      </c>
      <c r="AH112" s="17" t="s">
        <v>371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704</v>
      </c>
      <c r="AR112" t="s">
        <v>349</v>
      </c>
      <c r="AS112" t="s">
        <v>349</v>
      </c>
      <c r="AT112">
        <v>1</v>
      </c>
      <c r="AU112">
        <v>0</v>
      </c>
      <c r="AV112">
        <v>0</v>
      </c>
      <c r="AW112" t="s">
        <v>704</v>
      </c>
      <c r="AX112" t="s">
        <v>1232</v>
      </c>
      <c r="AY112" t="s">
        <v>293</v>
      </c>
      <c r="AZ112" t="s">
        <v>353</v>
      </c>
      <c r="BA112" t="s">
        <v>296</v>
      </c>
      <c r="BB112" t="s">
        <v>300</v>
      </c>
      <c r="BC112" t="s">
        <v>292</v>
      </c>
      <c r="BD112" t="s">
        <v>292</v>
      </c>
      <c r="BE112" t="s">
        <v>292</v>
      </c>
      <c r="BF112" t="s">
        <v>292</v>
      </c>
      <c r="BG112" t="s">
        <v>293</v>
      </c>
      <c r="BH112" t="s">
        <v>302</v>
      </c>
      <c r="BI112" t="s">
        <v>302</v>
      </c>
      <c r="BJ112" t="s">
        <v>359</v>
      </c>
      <c r="BK112" t="s">
        <v>293</v>
      </c>
      <c r="BL112" t="s">
        <v>293</v>
      </c>
      <c r="BM112" t="s">
        <v>297</v>
      </c>
      <c r="BN112" t="s">
        <v>298</v>
      </c>
      <c r="BO112" t="s">
        <v>293</v>
      </c>
      <c r="BP112" t="s">
        <v>292</v>
      </c>
      <c r="BQ112" t="s">
        <v>293</v>
      </c>
      <c r="BR112" t="s">
        <v>293</v>
      </c>
      <c r="BS112" t="s">
        <v>364</v>
      </c>
      <c r="BT112" t="s">
        <v>366</v>
      </c>
      <c r="BU112" t="s">
        <v>371</v>
      </c>
      <c r="BV112" t="s">
        <v>371</v>
      </c>
      <c r="BW112" t="s">
        <v>2555</v>
      </c>
      <c r="BX112" t="str">
        <f>IF(J112="win",VLOOKUP(B112,ColorScheme!$A$2:$I$32,4,0),VLOOKUP(B112,ColorScheme!$A$2:$I$32,5,0))</f>
        <v>#f97306</v>
      </c>
    </row>
    <row r="113" spans="1:76" x14ac:dyDescent="0.3">
      <c r="A113" t="s">
        <v>45</v>
      </c>
      <c r="B113" t="s">
        <v>72</v>
      </c>
      <c r="C113" t="s">
        <v>32</v>
      </c>
      <c r="D113" t="s">
        <v>29</v>
      </c>
      <c r="E113" t="s">
        <v>815</v>
      </c>
      <c r="F113" t="b">
        <v>1</v>
      </c>
      <c r="G113">
        <v>100</v>
      </c>
      <c r="H113">
        <v>1</v>
      </c>
      <c r="I113">
        <v>21750</v>
      </c>
      <c r="J113" s="61" t="s">
        <v>18</v>
      </c>
      <c r="K113" s="16" t="s">
        <v>272</v>
      </c>
      <c r="L113" s="16">
        <v>3</v>
      </c>
      <c r="M113" s="16" t="s">
        <v>277</v>
      </c>
      <c r="N113" s="16" t="s">
        <v>335</v>
      </c>
      <c r="O113" s="15" t="s">
        <v>281</v>
      </c>
      <c r="P113" t="s">
        <v>371</v>
      </c>
      <c r="Q113" t="s">
        <v>371</v>
      </c>
      <c r="R113" s="17" t="s">
        <v>371</v>
      </c>
      <c r="S113" s="17">
        <v>1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 t="s">
        <v>704</v>
      </c>
      <c r="AD113" s="16" t="s">
        <v>341</v>
      </c>
      <c r="AE113" s="16" t="s">
        <v>340</v>
      </c>
      <c r="AF113" s="15" t="s">
        <v>343</v>
      </c>
      <c r="AG113" s="15" t="s">
        <v>344</v>
      </c>
      <c r="AH113" s="17" t="s">
        <v>291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 t="s">
        <v>704</v>
      </c>
      <c r="AR113" t="s">
        <v>349</v>
      </c>
      <c r="AS113" t="s">
        <v>349</v>
      </c>
      <c r="AT113">
        <v>1</v>
      </c>
      <c r="AU113">
        <v>0</v>
      </c>
      <c r="AV113">
        <v>0</v>
      </c>
      <c r="AW113" t="s">
        <v>704</v>
      </c>
      <c r="AX113" t="s">
        <v>1247</v>
      </c>
      <c r="AY113" t="s">
        <v>293</v>
      </c>
      <c r="AZ113" t="s">
        <v>353</v>
      </c>
      <c r="BA113" t="s">
        <v>296</v>
      </c>
      <c r="BB113" t="s">
        <v>300</v>
      </c>
      <c r="BC113" t="s">
        <v>293</v>
      </c>
      <c r="BD113" t="s">
        <v>292</v>
      </c>
      <c r="BE113" t="s">
        <v>292</v>
      </c>
      <c r="BF113" t="s">
        <v>292</v>
      </c>
      <c r="BG113" t="s">
        <v>293</v>
      </c>
      <c r="BH113" t="s">
        <v>302</v>
      </c>
      <c r="BI113" t="s">
        <v>302</v>
      </c>
      <c r="BJ113" t="s">
        <v>359</v>
      </c>
      <c r="BK113" t="s">
        <v>293</v>
      </c>
      <c r="BL113" t="s">
        <v>293</v>
      </c>
      <c r="BM113" t="s">
        <v>297</v>
      </c>
      <c r="BN113" t="s">
        <v>356</v>
      </c>
      <c r="BO113" t="s">
        <v>293</v>
      </c>
      <c r="BP113" t="s">
        <v>292</v>
      </c>
      <c r="BQ113" t="s">
        <v>363</v>
      </c>
      <c r="BR113" t="s">
        <v>293</v>
      </c>
      <c r="BS113" t="s">
        <v>364</v>
      </c>
      <c r="BT113" t="s">
        <v>304</v>
      </c>
      <c r="BU113" t="s">
        <v>371</v>
      </c>
      <c r="BV113" t="s">
        <v>371</v>
      </c>
      <c r="BW113" t="s">
        <v>2556</v>
      </c>
      <c r="BX113" t="str">
        <f>IF(J113="win",VLOOKUP(B113,ColorScheme!$A$2:$I$32,4,0),VLOOKUP(B113,ColorScheme!$A$2:$I$32,5,0))</f>
        <v>#f9730650</v>
      </c>
    </row>
    <row r="114" spans="1:76" x14ac:dyDescent="0.3">
      <c r="A114" t="s">
        <v>45</v>
      </c>
      <c r="B114" t="s">
        <v>72</v>
      </c>
      <c r="C114" t="s">
        <v>30</v>
      </c>
      <c r="D114" t="s">
        <v>29</v>
      </c>
      <c r="E114" t="s">
        <v>816</v>
      </c>
      <c r="F114" t="b">
        <v>1</v>
      </c>
      <c r="G114">
        <v>100</v>
      </c>
      <c r="H114">
        <v>1</v>
      </c>
      <c r="I114">
        <v>21629</v>
      </c>
      <c r="J114" s="61" t="s">
        <v>18</v>
      </c>
      <c r="K114" s="16" t="s">
        <v>272</v>
      </c>
      <c r="L114" s="16">
        <v>3</v>
      </c>
      <c r="M114" s="16" t="s">
        <v>277</v>
      </c>
      <c r="N114" s="16" t="s">
        <v>335</v>
      </c>
      <c r="O114" s="15" t="s">
        <v>281</v>
      </c>
      <c r="P114" t="s">
        <v>371</v>
      </c>
      <c r="Q114" t="s">
        <v>371</v>
      </c>
      <c r="R114" s="17" t="s">
        <v>371</v>
      </c>
      <c r="S114" s="17">
        <v>1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 t="s">
        <v>704</v>
      </c>
      <c r="AD114" s="16" t="s">
        <v>341</v>
      </c>
      <c r="AE114" s="16" t="s">
        <v>340</v>
      </c>
      <c r="AF114" s="15" t="s">
        <v>343</v>
      </c>
      <c r="AG114" s="15" t="s">
        <v>344</v>
      </c>
      <c r="AH114" s="17" t="s">
        <v>291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 t="s">
        <v>704</v>
      </c>
      <c r="AR114" t="s">
        <v>349</v>
      </c>
      <c r="AS114" t="s">
        <v>349</v>
      </c>
      <c r="AT114">
        <v>1</v>
      </c>
      <c r="AU114">
        <v>0</v>
      </c>
      <c r="AV114">
        <v>0</v>
      </c>
      <c r="AW114" t="s">
        <v>704</v>
      </c>
      <c r="AX114" t="s">
        <v>1247</v>
      </c>
      <c r="AY114" t="s">
        <v>293</v>
      </c>
      <c r="AZ114" t="s">
        <v>353</v>
      </c>
      <c r="BA114" t="s">
        <v>296</v>
      </c>
      <c r="BB114" t="s">
        <v>300</v>
      </c>
      <c r="BC114" t="s">
        <v>293</v>
      </c>
      <c r="BD114" t="s">
        <v>292</v>
      </c>
      <c r="BE114" t="s">
        <v>292</v>
      </c>
      <c r="BF114" t="s">
        <v>292</v>
      </c>
      <c r="BG114" t="s">
        <v>293</v>
      </c>
      <c r="BH114" t="s">
        <v>302</v>
      </c>
      <c r="BI114" t="s">
        <v>302</v>
      </c>
      <c r="BJ114" t="s">
        <v>359</v>
      </c>
      <c r="BK114" t="s">
        <v>293</v>
      </c>
      <c r="BL114" t="s">
        <v>293</v>
      </c>
      <c r="BM114" t="s">
        <v>297</v>
      </c>
      <c r="BN114" t="s">
        <v>356</v>
      </c>
      <c r="BO114" t="s">
        <v>293</v>
      </c>
      <c r="BP114" t="s">
        <v>292</v>
      </c>
      <c r="BQ114" t="s">
        <v>363</v>
      </c>
      <c r="BR114" t="s">
        <v>293</v>
      </c>
      <c r="BS114" t="s">
        <v>364</v>
      </c>
      <c r="BT114" t="s">
        <v>304</v>
      </c>
      <c r="BU114" t="s">
        <v>371</v>
      </c>
      <c r="BV114" t="s">
        <v>371</v>
      </c>
      <c r="BW114" t="s">
        <v>2557</v>
      </c>
      <c r="BX114" t="str">
        <f>IF(J114="win",VLOOKUP(B114,ColorScheme!$A$2:$I$32,4,0),VLOOKUP(B114,ColorScheme!$A$2:$I$32,5,0))</f>
        <v>#f9730650</v>
      </c>
    </row>
    <row r="115" spans="1:76" x14ac:dyDescent="0.3">
      <c r="A115" t="s">
        <v>45</v>
      </c>
      <c r="B115" t="s">
        <v>72</v>
      </c>
      <c r="C115" t="s">
        <v>34</v>
      </c>
      <c r="D115" t="s">
        <v>29</v>
      </c>
      <c r="E115" t="s">
        <v>817</v>
      </c>
      <c r="F115" t="b">
        <v>1</v>
      </c>
      <c r="G115">
        <v>100</v>
      </c>
      <c r="H115">
        <v>1</v>
      </c>
      <c r="I115">
        <v>6657</v>
      </c>
      <c r="J115" s="61" t="s">
        <v>18</v>
      </c>
      <c r="K115" s="16" t="s">
        <v>272</v>
      </c>
      <c r="L115" s="16">
        <v>2</v>
      </c>
      <c r="M115" s="16" t="s">
        <v>277</v>
      </c>
      <c r="N115" s="16" t="s">
        <v>335</v>
      </c>
      <c r="O115" s="15" t="s">
        <v>282</v>
      </c>
      <c r="P115" t="s">
        <v>371</v>
      </c>
      <c r="Q115" t="s">
        <v>371</v>
      </c>
      <c r="R115" s="17" t="s">
        <v>371</v>
      </c>
      <c r="S115" s="17">
        <v>0</v>
      </c>
      <c r="T115" s="17">
        <v>1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 t="s">
        <v>704</v>
      </c>
      <c r="AD115" s="16" t="s">
        <v>341</v>
      </c>
      <c r="AE115" s="16" t="s">
        <v>340</v>
      </c>
      <c r="AF115" s="15" t="s">
        <v>340</v>
      </c>
      <c r="AG115" s="15" t="s">
        <v>345</v>
      </c>
      <c r="AH115" s="17" t="s">
        <v>346</v>
      </c>
      <c r="AI115">
        <v>0</v>
      </c>
      <c r="AJ115">
        <v>1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 t="s">
        <v>704</v>
      </c>
      <c r="AR115" t="s">
        <v>349</v>
      </c>
      <c r="AS115" t="s">
        <v>349</v>
      </c>
      <c r="AT115">
        <v>1</v>
      </c>
      <c r="AU115">
        <v>0</v>
      </c>
      <c r="AV115">
        <v>0</v>
      </c>
      <c r="AW115" t="s">
        <v>704</v>
      </c>
      <c r="AX115" t="s">
        <v>1236</v>
      </c>
      <c r="AY115" t="s">
        <v>293</v>
      </c>
      <c r="AZ115" t="s">
        <v>354</v>
      </c>
      <c r="BA115" t="s">
        <v>354</v>
      </c>
      <c r="BB115" t="s">
        <v>300</v>
      </c>
      <c r="BC115" t="s">
        <v>292</v>
      </c>
      <c r="BD115" t="s">
        <v>293</v>
      </c>
      <c r="BE115" t="s">
        <v>292</v>
      </c>
      <c r="BF115" t="s">
        <v>293</v>
      </c>
      <c r="BG115" t="s">
        <v>293</v>
      </c>
      <c r="BH115" t="s">
        <v>302</v>
      </c>
      <c r="BI115" t="s">
        <v>302</v>
      </c>
      <c r="BJ115" t="s">
        <v>357</v>
      </c>
      <c r="BK115" t="s">
        <v>293</v>
      </c>
      <c r="BL115" t="s">
        <v>293</v>
      </c>
      <c r="BM115" t="s">
        <v>297</v>
      </c>
      <c r="BN115" t="s">
        <v>298</v>
      </c>
      <c r="BO115" t="s">
        <v>293</v>
      </c>
      <c r="BP115" t="s">
        <v>292</v>
      </c>
      <c r="BQ115" t="s">
        <v>293</v>
      </c>
      <c r="BR115" t="s">
        <v>293</v>
      </c>
      <c r="BS115" t="s">
        <v>364</v>
      </c>
      <c r="BT115" t="s">
        <v>304</v>
      </c>
      <c r="BU115" t="s">
        <v>371</v>
      </c>
      <c r="BV115" t="s">
        <v>371</v>
      </c>
      <c r="BW115" t="s">
        <v>2558</v>
      </c>
      <c r="BX115" t="str">
        <f>IF(J115="win",VLOOKUP(B115,ColorScheme!$A$2:$I$32,4,0),VLOOKUP(B115,ColorScheme!$A$2:$I$32,5,0))</f>
        <v>#f9730650</v>
      </c>
    </row>
    <row r="116" spans="1:76" x14ac:dyDescent="0.3">
      <c r="A116" t="s">
        <v>45</v>
      </c>
      <c r="B116" t="s">
        <v>72</v>
      </c>
      <c r="C116" t="s">
        <v>36</v>
      </c>
      <c r="D116" t="s">
        <v>29</v>
      </c>
      <c r="E116" t="s">
        <v>818</v>
      </c>
      <c r="F116" t="b">
        <v>1</v>
      </c>
      <c r="G116">
        <v>100</v>
      </c>
      <c r="H116">
        <v>1</v>
      </c>
      <c r="I116">
        <v>10173</v>
      </c>
      <c r="J116" s="61" t="s">
        <v>18</v>
      </c>
      <c r="K116" s="16" t="s">
        <v>272</v>
      </c>
      <c r="L116" s="16">
        <v>2</v>
      </c>
      <c r="M116" s="16" t="s">
        <v>277</v>
      </c>
      <c r="N116" s="16" t="s">
        <v>335</v>
      </c>
      <c r="O116" s="15" t="s">
        <v>282</v>
      </c>
      <c r="P116" t="s">
        <v>371</v>
      </c>
      <c r="Q116" t="s">
        <v>371</v>
      </c>
      <c r="R116" s="17" t="s">
        <v>371</v>
      </c>
      <c r="S116" s="17">
        <v>0</v>
      </c>
      <c r="T116" s="17">
        <v>1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 t="s">
        <v>704</v>
      </c>
      <c r="AD116" s="16" t="s">
        <v>341</v>
      </c>
      <c r="AE116" s="16" t="s">
        <v>340</v>
      </c>
      <c r="AF116" s="15" t="s">
        <v>340</v>
      </c>
      <c r="AG116" s="15" t="s">
        <v>345</v>
      </c>
      <c r="AH116" s="17" t="s">
        <v>346</v>
      </c>
      <c r="AI116">
        <v>0</v>
      </c>
      <c r="AJ116">
        <v>1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 t="s">
        <v>704</v>
      </c>
      <c r="AR116" t="s">
        <v>349</v>
      </c>
      <c r="AS116" t="s">
        <v>349</v>
      </c>
      <c r="AT116">
        <v>1</v>
      </c>
      <c r="AU116">
        <v>0</v>
      </c>
      <c r="AV116">
        <v>0</v>
      </c>
      <c r="AW116" t="s">
        <v>704</v>
      </c>
      <c r="AX116" t="s">
        <v>1236</v>
      </c>
      <c r="AY116" t="s">
        <v>293</v>
      </c>
      <c r="AZ116" t="s">
        <v>354</v>
      </c>
      <c r="BA116" t="s">
        <v>354</v>
      </c>
      <c r="BB116" t="s">
        <v>300</v>
      </c>
      <c r="BC116" t="s">
        <v>292</v>
      </c>
      <c r="BD116" t="s">
        <v>292</v>
      </c>
      <c r="BE116" t="s">
        <v>292</v>
      </c>
      <c r="BF116" t="s">
        <v>293</v>
      </c>
      <c r="BG116" t="s">
        <v>293</v>
      </c>
      <c r="BH116" t="s">
        <v>302</v>
      </c>
      <c r="BI116" t="s">
        <v>302</v>
      </c>
      <c r="BJ116" t="s">
        <v>357</v>
      </c>
      <c r="BK116" t="s">
        <v>293</v>
      </c>
      <c r="BL116" t="s">
        <v>293</v>
      </c>
      <c r="BM116" t="s">
        <v>297</v>
      </c>
      <c r="BN116" t="s">
        <v>298</v>
      </c>
      <c r="BO116" t="s">
        <v>293</v>
      </c>
      <c r="BP116" t="s">
        <v>292</v>
      </c>
      <c r="BQ116" t="s">
        <v>293</v>
      </c>
      <c r="BR116" t="s">
        <v>293</v>
      </c>
      <c r="BS116" t="s">
        <v>364</v>
      </c>
      <c r="BT116" t="s">
        <v>304</v>
      </c>
      <c r="BU116" t="s">
        <v>371</v>
      </c>
      <c r="BV116" t="s">
        <v>371</v>
      </c>
      <c r="BW116" t="s">
        <v>2559</v>
      </c>
      <c r="BX116" t="str">
        <f>IF(J116="win",VLOOKUP(B116,ColorScheme!$A$2:$I$32,4,0),VLOOKUP(B116,ColorScheme!$A$2:$I$32,5,0))</f>
        <v>#f9730650</v>
      </c>
    </row>
    <row r="117" spans="1:76" x14ac:dyDescent="0.3">
      <c r="A117" t="s">
        <v>45</v>
      </c>
      <c r="B117" t="s">
        <v>72</v>
      </c>
      <c r="C117" t="s">
        <v>33</v>
      </c>
      <c r="D117" t="s">
        <v>29</v>
      </c>
      <c r="E117" t="s">
        <v>819</v>
      </c>
      <c r="F117" t="b">
        <v>1</v>
      </c>
      <c r="G117">
        <v>100</v>
      </c>
      <c r="H117">
        <v>1</v>
      </c>
      <c r="I117">
        <v>22104</v>
      </c>
      <c r="J117" s="61" t="s">
        <v>18</v>
      </c>
      <c r="K117" s="16" t="s">
        <v>272</v>
      </c>
      <c r="L117" s="16">
        <v>3</v>
      </c>
      <c r="M117" s="16" t="s">
        <v>277</v>
      </c>
      <c r="N117" s="16" t="s">
        <v>335</v>
      </c>
      <c r="O117" s="15" t="s">
        <v>281</v>
      </c>
      <c r="P117" t="s">
        <v>371</v>
      </c>
      <c r="Q117" t="s">
        <v>371</v>
      </c>
      <c r="R117" s="17" t="s">
        <v>371</v>
      </c>
      <c r="S117" s="17">
        <v>1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 t="s">
        <v>704</v>
      </c>
      <c r="AD117" s="16" t="s">
        <v>341</v>
      </c>
      <c r="AE117" s="16" t="s">
        <v>340</v>
      </c>
      <c r="AF117" s="15" t="s">
        <v>340</v>
      </c>
      <c r="AG117" s="15" t="s">
        <v>344</v>
      </c>
      <c r="AH117" s="17" t="s">
        <v>371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704</v>
      </c>
      <c r="AR117" t="s">
        <v>349</v>
      </c>
      <c r="AS117" t="s">
        <v>349</v>
      </c>
      <c r="AT117">
        <v>1</v>
      </c>
      <c r="AU117">
        <v>0</v>
      </c>
      <c r="AV117">
        <v>0</v>
      </c>
      <c r="AW117" t="s">
        <v>704</v>
      </c>
      <c r="AX117" t="s">
        <v>1248</v>
      </c>
      <c r="AY117" t="s">
        <v>293</v>
      </c>
      <c r="AZ117" t="s">
        <v>353</v>
      </c>
      <c r="BA117" t="s">
        <v>296</v>
      </c>
      <c r="BB117" t="s">
        <v>300</v>
      </c>
      <c r="BC117" t="s">
        <v>293</v>
      </c>
      <c r="BD117" t="s">
        <v>292</v>
      </c>
      <c r="BE117" t="s">
        <v>292</v>
      </c>
      <c r="BF117" t="s">
        <v>292</v>
      </c>
      <c r="BG117" t="s">
        <v>293</v>
      </c>
      <c r="BH117" t="s">
        <v>302</v>
      </c>
      <c r="BI117" t="s">
        <v>302</v>
      </c>
      <c r="BJ117" t="s">
        <v>359</v>
      </c>
      <c r="BK117" t="s">
        <v>293</v>
      </c>
      <c r="BL117" t="s">
        <v>293</v>
      </c>
      <c r="BM117" t="s">
        <v>297</v>
      </c>
      <c r="BN117" t="s">
        <v>356</v>
      </c>
      <c r="BO117" t="s">
        <v>293</v>
      </c>
      <c r="BP117" t="s">
        <v>292</v>
      </c>
      <c r="BQ117" t="s">
        <v>293</v>
      </c>
      <c r="BR117" t="s">
        <v>293</v>
      </c>
      <c r="BS117" t="s">
        <v>364</v>
      </c>
      <c r="BT117" t="s">
        <v>304</v>
      </c>
      <c r="BU117" t="s">
        <v>371</v>
      </c>
      <c r="BV117" t="s">
        <v>371</v>
      </c>
      <c r="BW117" t="s">
        <v>2560</v>
      </c>
      <c r="BX117" t="str">
        <f>IF(J117="win",VLOOKUP(B117,ColorScheme!$A$2:$I$32,4,0),VLOOKUP(B117,ColorScheme!$A$2:$I$32,5,0))</f>
        <v>#f9730650</v>
      </c>
    </row>
    <row r="118" spans="1:76" x14ac:dyDescent="0.3">
      <c r="A118" t="s">
        <v>45</v>
      </c>
      <c r="B118" t="s">
        <v>72</v>
      </c>
      <c r="C118" t="s">
        <v>26</v>
      </c>
      <c r="D118" t="s">
        <v>29</v>
      </c>
      <c r="E118" t="s">
        <v>820</v>
      </c>
      <c r="F118" t="b">
        <v>1</v>
      </c>
      <c r="G118">
        <v>100</v>
      </c>
      <c r="H118">
        <v>1</v>
      </c>
      <c r="I118">
        <v>29679</v>
      </c>
      <c r="J118" s="61" t="s">
        <v>13</v>
      </c>
      <c r="K118" s="16" t="s">
        <v>272</v>
      </c>
      <c r="L118" s="16">
        <v>3</v>
      </c>
      <c r="M118" s="16" t="s">
        <v>277</v>
      </c>
      <c r="N118" s="16" t="s">
        <v>336</v>
      </c>
      <c r="O118" s="15" t="s">
        <v>283</v>
      </c>
      <c r="P118" t="s">
        <v>371</v>
      </c>
      <c r="Q118" t="s">
        <v>371</v>
      </c>
      <c r="R118" s="17" t="s">
        <v>371</v>
      </c>
      <c r="S118" s="17">
        <v>0</v>
      </c>
      <c r="T118" s="17">
        <v>0</v>
      </c>
      <c r="U118" s="17">
        <v>1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 t="s">
        <v>704</v>
      </c>
      <c r="AD118" s="16" t="s">
        <v>341</v>
      </c>
      <c r="AE118" s="16" t="s">
        <v>342</v>
      </c>
      <c r="AF118" s="15" t="s">
        <v>343</v>
      </c>
      <c r="AG118" s="15" t="s">
        <v>344</v>
      </c>
      <c r="AH118" s="17" t="s">
        <v>347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 t="s">
        <v>704</v>
      </c>
      <c r="AR118" t="s">
        <v>349</v>
      </c>
      <c r="AS118" t="s">
        <v>349</v>
      </c>
      <c r="AT118">
        <v>1</v>
      </c>
      <c r="AU118">
        <v>0</v>
      </c>
      <c r="AV118">
        <v>0</v>
      </c>
      <c r="AW118" t="s">
        <v>704</v>
      </c>
      <c r="AX118" t="s">
        <v>1249</v>
      </c>
      <c r="AY118" t="s">
        <v>293</v>
      </c>
      <c r="AZ118" t="s">
        <v>353</v>
      </c>
      <c r="BA118" t="s">
        <v>296</v>
      </c>
      <c r="BB118" t="s">
        <v>301</v>
      </c>
      <c r="BC118" t="s">
        <v>293</v>
      </c>
      <c r="BD118" t="s">
        <v>292</v>
      </c>
      <c r="BE118" t="s">
        <v>292</v>
      </c>
      <c r="BF118" t="s">
        <v>292</v>
      </c>
      <c r="BG118" t="s">
        <v>293</v>
      </c>
      <c r="BH118" t="s">
        <v>302</v>
      </c>
      <c r="BI118" t="s">
        <v>359</v>
      </c>
      <c r="BJ118" t="s">
        <v>359</v>
      </c>
      <c r="BK118" t="s">
        <v>293</v>
      </c>
      <c r="BL118" t="s">
        <v>293</v>
      </c>
      <c r="BM118" t="s">
        <v>296</v>
      </c>
      <c r="BN118" t="s">
        <v>356</v>
      </c>
      <c r="BO118" t="s">
        <v>293</v>
      </c>
      <c r="BP118" t="s">
        <v>292</v>
      </c>
      <c r="BQ118" t="s">
        <v>293</v>
      </c>
      <c r="BR118" t="s">
        <v>293</v>
      </c>
      <c r="BS118" t="s">
        <v>364</v>
      </c>
      <c r="BT118" t="s">
        <v>366</v>
      </c>
      <c r="BU118" t="s">
        <v>371</v>
      </c>
      <c r="BV118" t="s">
        <v>371</v>
      </c>
      <c r="BW118" t="s">
        <v>2561</v>
      </c>
      <c r="BX118" t="str">
        <f>IF(J118="win",VLOOKUP(B118,ColorScheme!$A$2:$I$32,4,0),VLOOKUP(B118,ColorScheme!$A$2:$I$32,5,0))</f>
        <v>#f97306</v>
      </c>
    </row>
    <row r="119" spans="1:76" x14ac:dyDescent="0.3">
      <c r="A119" t="s">
        <v>45</v>
      </c>
      <c r="B119" t="s">
        <v>72</v>
      </c>
      <c r="C119" t="s">
        <v>31</v>
      </c>
      <c r="D119" t="s">
        <v>29</v>
      </c>
      <c r="E119" t="s">
        <v>821</v>
      </c>
      <c r="F119" t="b">
        <v>1</v>
      </c>
      <c r="G119">
        <v>100</v>
      </c>
      <c r="H119">
        <v>1</v>
      </c>
      <c r="I119">
        <v>21275</v>
      </c>
      <c r="J119" s="61" t="s">
        <v>18</v>
      </c>
      <c r="K119" s="16" t="s">
        <v>272</v>
      </c>
      <c r="L119" s="16">
        <v>3</v>
      </c>
      <c r="M119" s="16" t="s">
        <v>277</v>
      </c>
      <c r="N119" s="16" t="s">
        <v>335</v>
      </c>
      <c r="O119" s="15" t="s">
        <v>281</v>
      </c>
      <c r="P119" t="s">
        <v>371</v>
      </c>
      <c r="Q119" t="s">
        <v>371</v>
      </c>
      <c r="R119" s="17" t="s">
        <v>371</v>
      </c>
      <c r="S119" s="17">
        <v>1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 t="s">
        <v>704</v>
      </c>
      <c r="AD119" s="16" t="s">
        <v>341</v>
      </c>
      <c r="AE119" s="16" t="s">
        <v>340</v>
      </c>
      <c r="AF119" s="15" t="s">
        <v>343</v>
      </c>
      <c r="AG119" s="15" t="s">
        <v>344</v>
      </c>
      <c r="AH119" s="17" t="s">
        <v>291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 t="s">
        <v>704</v>
      </c>
      <c r="AR119" t="s">
        <v>349</v>
      </c>
      <c r="AS119" t="s">
        <v>349</v>
      </c>
      <c r="AT119">
        <v>1</v>
      </c>
      <c r="AU119">
        <v>0</v>
      </c>
      <c r="AV119">
        <v>0</v>
      </c>
      <c r="AW119" t="s">
        <v>704</v>
      </c>
      <c r="AX119" t="s">
        <v>1247</v>
      </c>
      <c r="AY119" t="s">
        <v>293</v>
      </c>
      <c r="AZ119" t="s">
        <v>353</v>
      </c>
      <c r="BA119" t="s">
        <v>296</v>
      </c>
      <c r="BB119" t="s">
        <v>300</v>
      </c>
      <c r="BC119" t="s">
        <v>293</v>
      </c>
      <c r="BD119" t="s">
        <v>292</v>
      </c>
      <c r="BE119" t="s">
        <v>292</v>
      </c>
      <c r="BF119" t="s">
        <v>292</v>
      </c>
      <c r="BG119" t="s">
        <v>293</v>
      </c>
      <c r="BH119" t="s">
        <v>302</v>
      </c>
      <c r="BI119" t="s">
        <v>302</v>
      </c>
      <c r="BJ119" t="s">
        <v>359</v>
      </c>
      <c r="BK119" t="s">
        <v>293</v>
      </c>
      <c r="BL119" t="s">
        <v>293</v>
      </c>
      <c r="BM119" t="s">
        <v>297</v>
      </c>
      <c r="BN119" t="s">
        <v>356</v>
      </c>
      <c r="BO119" t="s">
        <v>293</v>
      </c>
      <c r="BP119" t="s">
        <v>292</v>
      </c>
      <c r="BQ119" t="s">
        <v>363</v>
      </c>
      <c r="BR119" t="s">
        <v>293</v>
      </c>
      <c r="BS119" t="s">
        <v>364</v>
      </c>
      <c r="BT119" t="s">
        <v>304</v>
      </c>
      <c r="BU119" t="s">
        <v>371</v>
      </c>
      <c r="BV119" t="s">
        <v>371</v>
      </c>
      <c r="BW119" t="s">
        <v>2562</v>
      </c>
      <c r="BX119" t="str">
        <f>IF(J119="win",VLOOKUP(B119,ColorScheme!$A$2:$I$32,4,0),VLOOKUP(B119,ColorScheme!$A$2:$I$32,5,0))</f>
        <v>#f9730650</v>
      </c>
    </row>
    <row r="120" spans="1:76" x14ac:dyDescent="0.3">
      <c r="A120" t="s">
        <v>45</v>
      </c>
      <c r="B120" t="s">
        <v>72</v>
      </c>
      <c r="C120" t="s">
        <v>27</v>
      </c>
      <c r="D120" t="s">
        <v>29</v>
      </c>
      <c r="E120" t="s">
        <v>822</v>
      </c>
      <c r="F120" t="b">
        <v>1</v>
      </c>
      <c r="G120">
        <v>100</v>
      </c>
      <c r="H120">
        <v>1</v>
      </c>
      <c r="I120">
        <v>29694</v>
      </c>
      <c r="J120" s="61" t="s">
        <v>18</v>
      </c>
      <c r="K120" s="16" t="s">
        <v>272</v>
      </c>
      <c r="L120" s="16">
        <v>3</v>
      </c>
      <c r="M120" s="16" t="s">
        <v>277</v>
      </c>
      <c r="N120" s="16" t="s">
        <v>336</v>
      </c>
      <c r="O120" s="15" t="s">
        <v>283</v>
      </c>
      <c r="P120" t="s">
        <v>371</v>
      </c>
      <c r="Q120" t="s">
        <v>371</v>
      </c>
      <c r="R120" s="17" t="s">
        <v>371</v>
      </c>
      <c r="S120" s="17">
        <v>0</v>
      </c>
      <c r="T120" s="17">
        <v>0</v>
      </c>
      <c r="U120" s="17">
        <v>1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 t="s">
        <v>704</v>
      </c>
      <c r="AD120" s="16" t="s">
        <v>341</v>
      </c>
      <c r="AE120" s="16" t="s">
        <v>342</v>
      </c>
      <c r="AF120" s="15" t="s">
        <v>343</v>
      </c>
      <c r="AG120" s="15" t="s">
        <v>344</v>
      </c>
      <c r="AH120" s="17" t="s">
        <v>347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 t="s">
        <v>704</v>
      </c>
      <c r="AR120" t="s">
        <v>349</v>
      </c>
      <c r="AS120" t="s">
        <v>349</v>
      </c>
      <c r="AT120">
        <v>1</v>
      </c>
      <c r="AU120">
        <v>0</v>
      </c>
      <c r="AV120">
        <v>0</v>
      </c>
      <c r="AW120" t="s">
        <v>704</v>
      </c>
      <c r="AX120" t="s">
        <v>1249</v>
      </c>
      <c r="AY120" t="s">
        <v>293</v>
      </c>
      <c r="AZ120" t="s">
        <v>353</v>
      </c>
      <c r="BA120" t="s">
        <v>296</v>
      </c>
      <c r="BB120" t="s">
        <v>301</v>
      </c>
      <c r="BC120" t="s">
        <v>293</v>
      </c>
      <c r="BD120" t="s">
        <v>292</v>
      </c>
      <c r="BE120" t="s">
        <v>292</v>
      </c>
      <c r="BF120" t="s">
        <v>292</v>
      </c>
      <c r="BG120" t="s">
        <v>293</v>
      </c>
      <c r="BH120" t="s">
        <v>302</v>
      </c>
      <c r="BI120" t="s">
        <v>359</v>
      </c>
      <c r="BJ120" t="s">
        <v>359</v>
      </c>
      <c r="BK120" t="s">
        <v>293</v>
      </c>
      <c r="BL120" t="s">
        <v>293</v>
      </c>
      <c r="BM120" t="s">
        <v>297</v>
      </c>
      <c r="BN120" t="s">
        <v>356</v>
      </c>
      <c r="BO120" t="s">
        <v>293</v>
      </c>
      <c r="BP120" t="s">
        <v>292</v>
      </c>
      <c r="BQ120" t="s">
        <v>293</v>
      </c>
      <c r="BR120" t="s">
        <v>293</v>
      </c>
      <c r="BS120" t="s">
        <v>364</v>
      </c>
      <c r="BT120" t="s">
        <v>304</v>
      </c>
      <c r="BU120" t="s">
        <v>371</v>
      </c>
      <c r="BV120" t="s">
        <v>371</v>
      </c>
      <c r="BW120" t="s">
        <v>2563</v>
      </c>
      <c r="BX120" t="str">
        <f>IF(J120="win",VLOOKUP(B120,ColorScheme!$A$2:$I$32,4,0),VLOOKUP(B120,ColorScheme!$A$2:$I$32,5,0))</f>
        <v>#f9730650</v>
      </c>
    </row>
    <row r="121" spans="1:76" x14ac:dyDescent="0.3">
      <c r="A121" t="s">
        <v>45</v>
      </c>
      <c r="B121" t="s">
        <v>72</v>
      </c>
      <c r="C121" t="s">
        <v>28</v>
      </c>
      <c r="D121" t="s">
        <v>29</v>
      </c>
      <c r="E121" t="s">
        <v>823</v>
      </c>
      <c r="F121" t="b">
        <v>1</v>
      </c>
      <c r="G121">
        <v>100</v>
      </c>
      <c r="H121">
        <v>1</v>
      </c>
      <c r="I121">
        <v>21104</v>
      </c>
      <c r="J121" s="61" t="s">
        <v>18</v>
      </c>
      <c r="K121" s="16" t="s">
        <v>272</v>
      </c>
      <c r="L121" s="16">
        <v>3</v>
      </c>
      <c r="M121" s="16" t="s">
        <v>277</v>
      </c>
      <c r="N121" s="16" t="s">
        <v>335</v>
      </c>
      <c r="O121" s="15" t="s">
        <v>281</v>
      </c>
      <c r="P121" t="s">
        <v>371</v>
      </c>
      <c r="Q121" t="s">
        <v>371</v>
      </c>
      <c r="R121" s="17" t="s">
        <v>371</v>
      </c>
      <c r="S121" s="17">
        <v>1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 t="s">
        <v>704</v>
      </c>
      <c r="AD121" s="16" t="s">
        <v>341</v>
      </c>
      <c r="AE121" s="16" t="s">
        <v>340</v>
      </c>
      <c r="AF121" s="15" t="s">
        <v>343</v>
      </c>
      <c r="AG121" s="15" t="s">
        <v>344</v>
      </c>
      <c r="AH121" s="17" t="s">
        <v>371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704</v>
      </c>
      <c r="AR121" t="s">
        <v>349</v>
      </c>
      <c r="AS121" t="s">
        <v>349</v>
      </c>
      <c r="AT121">
        <v>1</v>
      </c>
      <c r="AU121">
        <v>0</v>
      </c>
      <c r="AV121">
        <v>0</v>
      </c>
      <c r="AW121" t="s">
        <v>704</v>
      </c>
      <c r="AX121" t="s">
        <v>1248</v>
      </c>
      <c r="AY121" t="s">
        <v>293</v>
      </c>
      <c r="AZ121" t="s">
        <v>353</v>
      </c>
      <c r="BA121" t="s">
        <v>296</v>
      </c>
      <c r="BB121" t="s">
        <v>300</v>
      </c>
      <c r="BC121" t="s">
        <v>293</v>
      </c>
      <c r="BD121" t="s">
        <v>292</v>
      </c>
      <c r="BE121" t="s">
        <v>292</v>
      </c>
      <c r="BF121" t="s">
        <v>292</v>
      </c>
      <c r="BG121" t="s">
        <v>293</v>
      </c>
      <c r="BH121" t="s">
        <v>302</v>
      </c>
      <c r="BI121" t="s">
        <v>302</v>
      </c>
      <c r="BJ121" t="s">
        <v>359</v>
      </c>
      <c r="BK121" t="s">
        <v>293</v>
      </c>
      <c r="BL121" t="s">
        <v>293</v>
      </c>
      <c r="BM121" t="s">
        <v>297</v>
      </c>
      <c r="BN121" t="s">
        <v>356</v>
      </c>
      <c r="BO121" t="s">
        <v>293</v>
      </c>
      <c r="BP121" t="s">
        <v>292</v>
      </c>
      <c r="BQ121" t="s">
        <v>363</v>
      </c>
      <c r="BR121" t="s">
        <v>293</v>
      </c>
      <c r="BS121" t="s">
        <v>364</v>
      </c>
      <c r="BT121" t="s">
        <v>304</v>
      </c>
      <c r="BU121" t="s">
        <v>371</v>
      </c>
      <c r="BV121" t="s">
        <v>371</v>
      </c>
      <c r="BW121" t="s">
        <v>2564</v>
      </c>
      <c r="BX121" t="str">
        <f>IF(J121="win",VLOOKUP(B121,ColorScheme!$A$2:$I$32,4,0),VLOOKUP(B121,ColorScheme!$A$2:$I$32,5,0))</f>
        <v>#f9730650</v>
      </c>
    </row>
    <row r="122" spans="1:76" x14ac:dyDescent="0.3">
      <c r="A122" t="s">
        <v>45</v>
      </c>
      <c r="B122" t="s">
        <v>72</v>
      </c>
      <c r="C122" t="s">
        <v>35</v>
      </c>
      <c r="D122" t="s">
        <v>29</v>
      </c>
      <c r="E122" t="s">
        <v>824</v>
      </c>
      <c r="F122" t="b">
        <v>1</v>
      </c>
      <c r="G122">
        <v>100</v>
      </c>
      <c r="H122">
        <v>1</v>
      </c>
      <c r="I122">
        <v>8749</v>
      </c>
      <c r="J122" s="61" t="s">
        <v>18</v>
      </c>
      <c r="K122" s="16" t="s">
        <v>272</v>
      </c>
      <c r="L122" s="16">
        <v>2</v>
      </c>
      <c r="M122" s="16" t="s">
        <v>277</v>
      </c>
      <c r="N122" s="16" t="s">
        <v>335</v>
      </c>
      <c r="O122" s="15" t="s">
        <v>282</v>
      </c>
      <c r="P122" t="s">
        <v>371</v>
      </c>
      <c r="Q122" t="s">
        <v>371</v>
      </c>
      <c r="R122" s="17" t="s">
        <v>371</v>
      </c>
      <c r="S122" s="17">
        <v>0</v>
      </c>
      <c r="T122" s="17">
        <v>1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 t="s">
        <v>704</v>
      </c>
      <c r="AD122" s="16" t="s">
        <v>341</v>
      </c>
      <c r="AE122" s="16" t="s">
        <v>340</v>
      </c>
      <c r="AF122" s="15" t="s">
        <v>340</v>
      </c>
      <c r="AG122" s="15" t="s">
        <v>345</v>
      </c>
      <c r="AH122" s="17" t="s">
        <v>371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704</v>
      </c>
      <c r="AR122" t="s">
        <v>349</v>
      </c>
      <c r="AS122" t="s">
        <v>349</v>
      </c>
      <c r="AT122">
        <v>1</v>
      </c>
      <c r="AU122">
        <v>0</v>
      </c>
      <c r="AV122">
        <v>0</v>
      </c>
      <c r="AW122" t="s">
        <v>704</v>
      </c>
      <c r="AX122" t="s">
        <v>1232</v>
      </c>
      <c r="AY122" t="s">
        <v>293</v>
      </c>
      <c r="AZ122" t="s">
        <v>354</v>
      </c>
      <c r="BA122" t="s">
        <v>354</v>
      </c>
      <c r="BB122" t="s">
        <v>300</v>
      </c>
      <c r="BC122" t="s">
        <v>292</v>
      </c>
      <c r="BD122" t="s">
        <v>293</v>
      </c>
      <c r="BE122" t="s">
        <v>292</v>
      </c>
      <c r="BF122" t="s">
        <v>293</v>
      </c>
      <c r="BG122" t="s">
        <v>293</v>
      </c>
      <c r="BH122" t="s">
        <v>302</v>
      </c>
      <c r="BI122" t="s">
        <v>302</v>
      </c>
      <c r="BJ122" t="s">
        <v>357</v>
      </c>
      <c r="BK122" t="s">
        <v>293</v>
      </c>
      <c r="BL122" t="s">
        <v>293</v>
      </c>
      <c r="BM122" t="s">
        <v>297</v>
      </c>
      <c r="BN122" t="s">
        <v>298</v>
      </c>
      <c r="BO122" t="s">
        <v>293</v>
      </c>
      <c r="BP122" t="s">
        <v>292</v>
      </c>
      <c r="BQ122" t="s">
        <v>293</v>
      </c>
      <c r="BR122" t="s">
        <v>293</v>
      </c>
      <c r="BS122" t="s">
        <v>364</v>
      </c>
      <c r="BT122" t="s">
        <v>304</v>
      </c>
      <c r="BU122" t="s">
        <v>371</v>
      </c>
      <c r="BV122" t="s">
        <v>371</v>
      </c>
      <c r="BW122" t="s">
        <v>2565</v>
      </c>
      <c r="BX122" t="str">
        <f>IF(J122="win",VLOOKUP(B122,ColorScheme!$A$2:$I$32,4,0),VLOOKUP(B122,ColorScheme!$A$2:$I$32,5,0))</f>
        <v>#f9730650</v>
      </c>
    </row>
    <row r="123" spans="1:76" x14ac:dyDescent="0.3">
      <c r="A123" s="38" t="s">
        <v>9</v>
      </c>
      <c r="B123" s="38" t="s">
        <v>10</v>
      </c>
      <c r="C123" s="38" t="s">
        <v>27</v>
      </c>
      <c r="D123" s="38" t="s">
        <v>12</v>
      </c>
      <c r="E123" s="38" t="s">
        <v>825</v>
      </c>
      <c r="F123" s="38" t="b">
        <v>1</v>
      </c>
      <c r="G123" s="38">
        <v>67.5</v>
      </c>
      <c r="H123" s="38">
        <v>0</v>
      </c>
      <c r="I123" s="38">
        <v>12671</v>
      </c>
      <c r="J123" s="61" t="s">
        <v>13</v>
      </c>
      <c r="K123" s="39" t="s">
        <v>272</v>
      </c>
      <c r="L123" s="39">
        <v>3</v>
      </c>
      <c r="M123" s="39" t="s">
        <v>277</v>
      </c>
      <c r="N123" s="39" t="s">
        <v>335</v>
      </c>
      <c r="O123" s="40" t="s">
        <v>281</v>
      </c>
      <c r="P123" s="38" t="s">
        <v>283</v>
      </c>
      <c r="Q123" s="38" t="s">
        <v>286</v>
      </c>
      <c r="R123" s="41" t="s">
        <v>371</v>
      </c>
      <c r="S123" s="41">
        <v>1</v>
      </c>
      <c r="T123" s="41">
        <v>0</v>
      </c>
      <c r="U123" s="41">
        <v>1</v>
      </c>
      <c r="V123" s="41">
        <v>0</v>
      </c>
      <c r="W123" s="41">
        <v>0</v>
      </c>
      <c r="X123" s="41">
        <v>0</v>
      </c>
      <c r="Y123" s="41">
        <v>1</v>
      </c>
      <c r="Z123" s="41">
        <v>0</v>
      </c>
      <c r="AA123" s="41">
        <v>0</v>
      </c>
      <c r="AB123" s="41">
        <v>0</v>
      </c>
      <c r="AC123" s="41" t="s">
        <v>704</v>
      </c>
      <c r="AD123" s="39" t="s">
        <v>341</v>
      </c>
      <c r="AE123" s="39" t="s">
        <v>340</v>
      </c>
      <c r="AF123" s="40" t="s">
        <v>343</v>
      </c>
      <c r="AG123" s="40" t="s">
        <v>344</v>
      </c>
      <c r="AH123" s="41" t="s">
        <v>371</v>
      </c>
      <c r="AI123" s="38">
        <v>1</v>
      </c>
      <c r="AJ123" s="38">
        <v>0</v>
      </c>
      <c r="AK123" s="38">
        <v>0</v>
      </c>
      <c r="AL123" s="38">
        <v>0</v>
      </c>
      <c r="AM123" s="38">
        <v>0</v>
      </c>
      <c r="AN123" s="38">
        <v>0</v>
      </c>
      <c r="AO123" s="38">
        <v>0</v>
      </c>
      <c r="AP123" s="38">
        <v>0</v>
      </c>
      <c r="AQ123" s="38" t="s">
        <v>704</v>
      </c>
      <c r="AR123" s="38" t="s">
        <v>349</v>
      </c>
      <c r="AS123" s="38" t="s">
        <v>349</v>
      </c>
      <c r="AT123" s="38">
        <v>1</v>
      </c>
      <c r="AU123" s="38">
        <v>0</v>
      </c>
      <c r="AV123" s="38">
        <v>0</v>
      </c>
      <c r="AW123" s="38" t="s">
        <v>704</v>
      </c>
      <c r="AX123" t="s">
        <v>1250</v>
      </c>
      <c r="AY123" s="38" t="s">
        <v>293</v>
      </c>
      <c r="AZ123" s="38" t="s">
        <v>353</v>
      </c>
      <c r="BA123" s="38" t="s">
        <v>296</v>
      </c>
      <c r="BB123" s="38" t="s">
        <v>301</v>
      </c>
      <c r="BC123" s="38" t="s">
        <v>292</v>
      </c>
      <c r="BD123" s="38" t="s">
        <v>293</v>
      </c>
      <c r="BE123" s="38" t="s">
        <v>292</v>
      </c>
      <c r="BF123" s="38" t="s">
        <v>292</v>
      </c>
      <c r="BG123" s="38" t="s">
        <v>293</v>
      </c>
      <c r="BH123" s="38" t="s">
        <v>302</v>
      </c>
      <c r="BI123" s="38" t="s">
        <v>302</v>
      </c>
      <c r="BJ123" s="38" t="s">
        <v>359</v>
      </c>
      <c r="BK123" s="38" t="s">
        <v>293</v>
      </c>
      <c r="BL123" s="38" t="s">
        <v>293</v>
      </c>
      <c r="BM123" s="38" t="s">
        <v>297</v>
      </c>
      <c r="BN123" s="38" t="s">
        <v>298</v>
      </c>
      <c r="BO123" s="38" t="s">
        <v>293</v>
      </c>
      <c r="BP123" s="38" t="s">
        <v>292</v>
      </c>
      <c r="BQ123" s="38" t="s">
        <v>293</v>
      </c>
      <c r="BR123" s="38" t="s">
        <v>293</v>
      </c>
      <c r="BS123" s="38" t="s">
        <v>364</v>
      </c>
      <c r="BT123" s="38" t="s">
        <v>366</v>
      </c>
      <c r="BU123" s="38" t="s">
        <v>379</v>
      </c>
      <c r="BV123" t="s">
        <v>371</v>
      </c>
      <c r="BW123" t="s">
        <v>2566</v>
      </c>
      <c r="BX123" t="str">
        <f>IF(J123="win",VLOOKUP(B123,ColorScheme!$A$2:$I$32,4,0),VLOOKUP(B123,ColorScheme!$A$2:$I$32,5,0))</f>
        <v>#c20078</v>
      </c>
    </row>
    <row r="124" spans="1:76" x14ac:dyDescent="0.3">
      <c r="A124" t="s">
        <v>9</v>
      </c>
      <c r="B124" t="s">
        <v>10</v>
      </c>
      <c r="C124" t="s">
        <v>15</v>
      </c>
      <c r="D124" t="s">
        <v>12</v>
      </c>
      <c r="E124" t="s">
        <v>826</v>
      </c>
      <c r="F124" t="b">
        <v>1</v>
      </c>
      <c r="G124">
        <v>49.8</v>
      </c>
      <c r="H124">
        <v>0</v>
      </c>
      <c r="I124">
        <v>12988</v>
      </c>
      <c r="J124" s="61" t="s">
        <v>13</v>
      </c>
      <c r="K124" s="16" t="s">
        <v>272</v>
      </c>
      <c r="L124" s="16">
        <v>3</v>
      </c>
      <c r="M124" s="16" t="s">
        <v>277</v>
      </c>
      <c r="N124" s="16" t="s">
        <v>335</v>
      </c>
      <c r="O124" s="15" t="s">
        <v>283</v>
      </c>
      <c r="P124" t="s">
        <v>286</v>
      </c>
      <c r="Q124" t="s">
        <v>371</v>
      </c>
      <c r="R124" s="17" t="s">
        <v>371</v>
      </c>
      <c r="S124" s="17">
        <v>0</v>
      </c>
      <c r="T124" s="17">
        <v>0</v>
      </c>
      <c r="U124" s="17">
        <v>1</v>
      </c>
      <c r="V124" s="17">
        <v>0</v>
      </c>
      <c r="W124" s="17">
        <v>0</v>
      </c>
      <c r="X124" s="17">
        <v>0</v>
      </c>
      <c r="Y124" s="17">
        <v>1</v>
      </c>
      <c r="Z124" s="17">
        <v>0</v>
      </c>
      <c r="AA124" s="17">
        <v>0</v>
      </c>
      <c r="AB124" s="17">
        <v>0</v>
      </c>
      <c r="AC124" s="17" t="s">
        <v>704</v>
      </c>
      <c r="AD124" s="16" t="s">
        <v>341</v>
      </c>
      <c r="AE124" s="16" t="s">
        <v>340</v>
      </c>
      <c r="AF124" s="15" t="s">
        <v>343</v>
      </c>
      <c r="AG124" s="15" t="s">
        <v>344</v>
      </c>
      <c r="AH124" s="17" t="s">
        <v>371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704</v>
      </c>
      <c r="AR124" t="s">
        <v>349</v>
      </c>
      <c r="AS124" t="s">
        <v>349</v>
      </c>
      <c r="AT124">
        <v>1</v>
      </c>
      <c r="AU124">
        <v>0</v>
      </c>
      <c r="AV124">
        <v>0</v>
      </c>
      <c r="AW124" t="s">
        <v>704</v>
      </c>
      <c r="AX124" t="s">
        <v>1251</v>
      </c>
      <c r="AY124" t="s">
        <v>293</v>
      </c>
      <c r="AZ124" t="s">
        <v>353</v>
      </c>
      <c r="BA124" t="s">
        <v>296</v>
      </c>
      <c r="BB124" t="s">
        <v>301</v>
      </c>
      <c r="BC124" t="s">
        <v>292</v>
      </c>
      <c r="BD124" t="s">
        <v>293</v>
      </c>
      <c r="BE124" t="s">
        <v>292</v>
      </c>
      <c r="BF124" t="s">
        <v>292</v>
      </c>
      <c r="BG124" t="s">
        <v>293</v>
      </c>
      <c r="BH124" t="s">
        <v>302</v>
      </c>
      <c r="BI124" t="s">
        <v>302</v>
      </c>
      <c r="BJ124" t="s">
        <v>359</v>
      </c>
      <c r="BK124" t="s">
        <v>293</v>
      </c>
      <c r="BL124" t="s">
        <v>293</v>
      </c>
      <c r="BM124" t="s">
        <v>297</v>
      </c>
      <c r="BN124" t="s">
        <v>298</v>
      </c>
      <c r="BO124" t="s">
        <v>293</v>
      </c>
      <c r="BP124" t="s">
        <v>292</v>
      </c>
      <c r="BQ124" t="s">
        <v>293</v>
      </c>
      <c r="BR124" t="s">
        <v>293</v>
      </c>
      <c r="BS124" t="s">
        <v>364</v>
      </c>
      <c r="BT124" t="s">
        <v>366</v>
      </c>
      <c r="BU124" t="s">
        <v>371</v>
      </c>
      <c r="BV124" t="s">
        <v>371</v>
      </c>
      <c r="BW124" t="s">
        <v>2567</v>
      </c>
      <c r="BX124" t="str">
        <f>IF(J124="win",VLOOKUP(B124,ColorScheme!$A$2:$I$32,4,0),VLOOKUP(B124,ColorScheme!$A$2:$I$32,5,0))</f>
        <v>#c20078</v>
      </c>
    </row>
    <row r="125" spans="1:76" x14ac:dyDescent="0.3">
      <c r="A125" t="s">
        <v>9</v>
      </c>
      <c r="B125" t="s">
        <v>10</v>
      </c>
      <c r="C125" t="s">
        <v>23</v>
      </c>
      <c r="D125" t="s">
        <v>12</v>
      </c>
      <c r="E125" t="s">
        <v>827</v>
      </c>
      <c r="F125" t="b">
        <v>1</v>
      </c>
      <c r="G125">
        <v>100</v>
      </c>
      <c r="H125">
        <v>1</v>
      </c>
      <c r="I125">
        <v>10691</v>
      </c>
      <c r="J125" s="61" t="s">
        <v>18</v>
      </c>
      <c r="K125" s="16" t="s">
        <v>272</v>
      </c>
      <c r="L125" s="16">
        <v>3</v>
      </c>
      <c r="M125" s="16" t="s">
        <v>277</v>
      </c>
      <c r="N125" s="16" t="s">
        <v>335</v>
      </c>
      <c r="O125" s="15" t="s">
        <v>283</v>
      </c>
      <c r="P125" t="s">
        <v>286</v>
      </c>
      <c r="Q125" t="s">
        <v>371</v>
      </c>
      <c r="R125" s="17" t="s">
        <v>371</v>
      </c>
      <c r="S125" s="17">
        <v>0</v>
      </c>
      <c r="T125" s="17">
        <v>0</v>
      </c>
      <c r="U125" s="17">
        <v>1</v>
      </c>
      <c r="V125" s="17">
        <v>0</v>
      </c>
      <c r="W125" s="17">
        <v>0</v>
      </c>
      <c r="X125" s="17">
        <v>0</v>
      </c>
      <c r="Y125" s="17">
        <v>1</v>
      </c>
      <c r="Z125" s="17">
        <v>0</v>
      </c>
      <c r="AA125" s="17">
        <v>0</v>
      </c>
      <c r="AB125" s="17">
        <v>0</v>
      </c>
      <c r="AC125" s="17" t="s">
        <v>704</v>
      </c>
      <c r="AD125" s="16" t="s">
        <v>341</v>
      </c>
      <c r="AE125" s="16" t="s">
        <v>340</v>
      </c>
      <c r="AF125" s="15" t="s">
        <v>343</v>
      </c>
      <c r="AG125" s="15" t="s">
        <v>344</v>
      </c>
      <c r="AH125" s="17" t="s">
        <v>371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704</v>
      </c>
      <c r="AR125" t="s">
        <v>349</v>
      </c>
      <c r="AS125" t="s">
        <v>349</v>
      </c>
      <c r="AT125">
        <v>1</v>
      </c>
      <c r="AU125">
        <v>0</v>
      </c>
      <c r="AV125">
        <v>0</v>
      </c>
      <c r="AW125" t="s">
        <v>704</v>
      </c>
      <c r="AX125" t="s">
        <v>1251</v>
      </c>
      <c r="AY125" t="s">
        <v>293</v>
      </c>
      <c r="AZ125" t="s">
        <v>352</v>
      </c>
      <c r="BA125" t="s">
        <v>296</v>
      </c>
      <c r="BB125" t="s">
        <v>301</v>
      </c>
      <c r="BC125" t="s">
        <v>292</v>
      </c>
      <c r="BD125" t="s">
        <v>293</v>
      </c>
      <c r="BE125" t="s">
        <v>292</v>
      </c>
      <c r="BF125" t="s">
        <v>292</v>
      </c>
      <c r="BG125" t="s">
        <v>293</v>
      </c>
      <c r="BH125" t="s">
        <v>302</v>
      </c>
      <c r="BI125" t="s">
        <v>302</v>
      </c>
      <c r="BJ125" t="s">
        <v>359</v>
      </c>
      <c r="BK125" t="s">
        <v>293</v>
      </c>
      <c r="BL125" t="s">
        <v>293</v>
      </c>
      <c r="BM125" t="s">
        <v>297</v>
      </c>
      <c r="BN125" t="s">
        <v>298</v>
      </c>
      <c r="BO125" t="s">
        <v>293</v>
      </c>
      <c r="BP125" t="s">
        <v>292</v>
      </c>
      <c r="BQ125" t="s">
        <v>293</v>
      </c>
      <c r="BR125" t="s">
        <v>293</v>
      </c>
      <c r="BS125" t="s">
        <v>364</v>
      </c>
      <c r="BT125" t="s">
        <v>304</v>
      </c>
      <c r="BU125" t="s">
        <v>371</v>
      </c>
      <c r="BV125" t="s">
        <v>371</v>
      </c>
      <c r="BW125" t="s">
        <v>2568</v>
      </c>
      <c r="BX125" t="str">
        <f>IF(J125="win",VLOOKUP(B125,ColorScheme!$A$2:$I$32,4,0),VLOOKUP(B125,ColorScheme!$A$2:$I$32,5,0))</f>
        <v>#c2007850</v>
      </c>
    </row>
    <row r="126" spans="1:76" x14ac:dyDescent="0.3">
      <c r="A126" t="s">
        <v>9</v>
      </c>
      <c r="B126" t="s">
        <v>10</v>
      </c>
      <c r="C126" t="s">
        <v>14</v>
      </c>
      <c r="D126" t="s">
        <v>12</v>
      </c>
      <c r="E126" t="s">
        <v>828</v>
      </c>
      <c r="F126" t="b">
        <v>1</v>
      </c>
      <c r="G126">
        <v>50.9</v>
      </c>
      <c r="H126">
        <v>0</v>
      </c>
      <c r="I126">
        <v>13845</v>
      </c>
      <c r="J126" s="61" t="s">
        <v>13</v>
      </c>
      <c r="K126" s="16" t="s">
        <v>272</v>
      </c>
      <c r="L126" s="16">
        <v>3</v>
      </c>
      <c r="M126" s="16" t="s">
        <v>277</v>
      </c>
      <c r="N126" s="16" t="s">
        <v>335</v>
      </c>
      <c r="O126" s="15" t="s">
        <v>283</v>
      </c>
      <c r="P126" t="s">
        <v>286</v>
      </c>
      <c r="Q126" t="s">
        <v>371</v>
      </c>
      <c r="R126" s="17" t="s">
        <v>371</v>
      </c>
      <c r="S126" s="17">
        <v>0</v>
      </c>
      <c r="T126" s="17">
        <v>0</v>
      </c>
      <c r="U126" s="17">
        <v>1</v>
      </c>
      <c r="V126" s="17">
        <v>0</v>
      </c>
      <c r="W126" s="17">
        <v>0</v>
      </c>
      <c r="X126" s="17">
        <v>0</v>
      </c>
      <c r="Y126" s="17">
        <v>1</v>
      </c>
      <c r="Z126" s="17">
        <v>0</v>
      </c>
      <c r="AA126" s="17">
        <v>0</v>
      </c>
      <c r="AB126" s="17">
        <v>0</v>
      </c>
      <c r="AC126" s="17" t="s">
        <v>704</v>
      </c>
      <c r="AD126" s="16" t="s">
        <v>341</v>
      </c>
      <c r="AE126" s="16" t="s">
        <v>340</v>
      </c>
      <c r="AF126" s="15" t="s">
        <v>343</v>
      </c>
      <c r="AG126" s="15" t="s">
        <v>344</v>
      </c>
      <c r="AH126" s="17" t="s">
        <v>371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704</v>
      </c>
      <c r="AR126" t="s">
        <v>349</v>
      </c>
      <c r="AS126" t="s">
        <v>349</v>
      </c>
      <c r="AT126">
        <v>1</v>
      </c>
      <c r="AU126">
        <v>0</v>
      </c>
      <c r="AV126">
        <v>0</v>
      </c>
      <c r="AW126" t="s">
        <v>704</v>
      </c>
      <c r="AX126" t="s">
        <v>1251</v>
      </c>
      <c r="AY126" t="s">
        <v>293</v>
      </c>
      <c r="AZ126" t="s">
        <v>353</v>
      </c>
      <c r="BA126" t="s">
        <v>296</v>
      </c>
      <c r="BB126" t="s">
        <v>301</v>
      </c>
      <c r="BC126" t="s">
        <v>292</v>
      </c>
      <c r="BD126" t="s">
        <v>293</v>
      </c>
      <c r="BE126" t="s">
        <v>292</v>
      </c>
      <c r="BF126" t="s">
        <v>292</v>
      </c>
      <c r="BG126" t="s">
        <v>293</v>
      </c>
      <c r="BH126" t="s">
        <v>302</v>
      </c>
      <c r="BI126" t="s">
        <v>302</v>
      </c>
      <c r="BJ126" t="s">
        <v>359</v>
      </c>
      <c r="BK126" t="s">
        <v>293</v>
      </c>
      <c r="BL126" t="s">
        <v>293</v>
      </c>
      <c r="BM126" t="s">
        <v>297</v>
      </c>
      <c r="BN126" t="s">
        <v>298</v>
      </c>
      <c r="BO126" t="s">
        <v>293</v>
      </c>
      <c r="BP126" t="s">
        <v>292</v>
      </c>
      <c r="BQ126" t="s">
        <v>293</v>
      </c>
      <c r="BR126" t="s">
        <v>293</v>
      </c>
      <c r="BS126" t="s">
        <v>364</v>
      </c>
      <c r="BT126" t="s">
        <v>366</v>
      </c>
      <c r="BU126" t="s">
        <v>371</v>
      </c>
      <c r="BV126" t="s">
        <v>371</v>
      </c>
      <c r="BW126" t="s">
        <v>2569</v>
      </c>
      <c r="BX126" t="str">
        <f>IF(J126="win",VLOOKUP(B126,ColorScheme!$A$2:$I$32,4,0),VLOOKUP(B126,ColorScheme!$A$2:$I$32,5,0))</f>
        <v>#c20078</v>
      </c>
    </row>
    <row r="127" spans="1:76" x14ac:dyDescent="0.3">
      <c r="A127" t="s">
        <v>9</v>
      </c>
      <c r="B127" t="s">
        <v>10</v>
      </c>
      <c r="C127" t="s">
        <v>25</v>
      </c>
      <c r="D127" t="s">
        <v>12</v>
      </c>
      <c r="E127" t="s">
        <v>829</v>
      </c>
      <c r="F127" t="b">
        <v>1</v>
      </c>
      <c r="G127">
        <v>100</v>
      </c>
      <c r="H127">
        <v>1</v>
      </c>
      <c r="I127">
        <v>11350</v>
      </c>
      <c r="J127" s="61" t="s">
        <v>18</v>
      </c>
      <c r="K127" s="16" t="s">
        <v>272</v>
      </c>
      <c r="L127" s="16">
        <v>3</v>
      </c>
      <c r="M127" s="16" t="s">
        <v>277</v>
      </c>
      <c r="N127" s="16" t="s">
        <v>335</v>
      </c>
      <c r="O127" s="15" t="s">
        <v>281</v>
      </c>
      <c r="P127" t="s">
        <v>283</v>
      </c>
      <c r="Q127" t="s">
        <v>286</v>
      </c>
      <c r="R127" s="17" t="s">
        <v>371</v>
      </c>
      <c r="S127" s="17">
        <v>1</v>
      </c>
      <c r="T127" s="17">
        <v>0</v>
      </c>
      <c r="U127" s="17">
        <v>1</v>
      </c>
      <c r="V127" s="17">
        <v>0</v>
      </c>
      <c r="W127" s="17">
        <v>0</v>
      </c>
      <c r="X127" s="17">
        <v>0</v>
      </c>
      <c r="Y127" s="17">
        <v>1</v>
      </c>
      <c r="Z127" s="17">
        <v>0</v>
      </c>
      <c r="AA127" s="17">
        <v>0</v>
      </c>
      <c r="AB127" s="17">
        <v>0</v>
      </c>
      <c r="AC127" s="17" t="s">
        <v>704</v>
      </c>
      <c r="AD127" s="16" t="s">
        <v>341</v>
      </c>
      <c r="AE127" s="16" t="s">
        <v>340</v>
      </c>
      <c r="AF127" s="15" t="s">
        <v>343</v>
      </c>
      <c r="AG127" s="15" t="s">
        <v>344</v>
      </c>
      <c r="AH127" s="17" t="s">
        <v>371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704</v>
      </c>
      <c r="AR127" t="s">
        <v>349</v>
      </c>
      <c r="AS127" t="s">
        <v>349</v>
      </c>
      <c r="AT127">
        <v>1</v>
      </c>
      <c r="AU127">
        <v>0</v>
      </c>
      <c r="AV127">
        <v>0</v>
      </c>
      <c r="AW127" t="s">
        <v>704</v>
      </c>
      <c r="AX127" t="s">
        <v>1250</v>
      </c>
      <c r="AY127" t="s">
        <v>293</v>
      </c>
      <c r="AZ127" t="s">
        <v>352</v>
      </c>
      <c r="BA127" t="s">
        <v>296</v>
      </c>
      <c r="BB127" t="s">
        <v>301</v>
      </c>
      <c r="BC127" t="s">
        <v>292</v>
      </c>
      <c r="BD127" t="s">
        <v>293</v>
      </c>
      <c r="BE127" t="s">
        <v>292</v>
      </c>
      <c r="BF127" t="s">
        <v>292</v>
      </c>
      <c r="BG127" t="s">
        <v>293</v>
      </c>
      <c r="BH127" t="s">
        <v>302</v>
      </c>
      <c r="BI127" t="s">
        <v>302</v>
      </c>
      <c r="BJ127" t="s">
        <v>359</v>
      </c>
      <c r="BK127" t="s">
        <v>293</v>
      </c>
      <c r="BL127" t="s">
        <v>293</v>
      </c>
      <c r="BM127" t="s">
        <v>297</v>
      </c>
      <c r="BN127" t="s">
        <v>298</v>
      </c>
      <c r="BO127" t="s">
        <v>293</v>
      </c>
      <c r="BP127" t="s">
        <v>292</v>
      </c>
      <c r="BQ127" t="s">
        <v>293</v>
      </c>
      <c r="BR127" t="s">
        <v>293</v>
      </c>
      <c r="BS127" t="s">
        <v>364</v>
      </c>
      <c r="BT127" t="s">
        <v>304</v>
      </c>
      <c r="BU127" t="s">
        <v>371</v>
      </c>
      <c r="BV127" t="s">
        <v>371</v>
      </c>
      <c r="BW127" t="s">
        <v>2570</v>
      </c>
      <c r="BX127" t="str">
        <f>IF(J127="win",VLOOKUP(B127,ColorScheme!$A$2:$I$32,4,0),VLOOKUP(B127,ColorScheme!$A$2:$I$32,5,0))</f>
        <v>#c2007850</v>
      </c>
    </row>
    <row r="128" spans="1:76" x14ac:dyDescent="0.3">
      <c r="A128" t="s">
        <v>9</v>
      </c>
      <c r="B128" t="s">
        <v>10</v>
      </c>
      <c r="C128" t="s">
        <v>11</v>
      </c>
      <c r="D128" t="s">
        <v>12</v>
      </c>
      <c r="E128" t="s">
        <v>830</v>
      </c>
      <c r="F128" t="b">
        <v>1</v>
      </c>
      <c r="G128">
        <v>51.1</v>
      </c>
      <c r="H128">
        <v>0</v>
      </c>
      <c r="I128">
        <v>15157</v>
      </c>
      <c r="J128" s="61" t="s">
        <v>13</v>
      </c>
      <c r="K128" s="16" t="s">
        <v>272</v>
      </c>
      <c r="L128" s="16">
        <v>3</v>
      </c>
      <c r="M128" s="16" t="s">
        <v>277</v>
      </c>
      <c r="N128" s="16" t="s">
        <v>335</v>
      </c>
      <c r="O128" s="15" t="s">
        <v>283</v>
      </c>
      <c r="P128" t="s">
        <v>286</v>
      </c>
      <c r="Q128" t="s">
        <v>371</v>
      </c>
      <c r="R128" s="17" t="s">
        <v>371</v>
      </c>
      <c r="S128" s="17">
        <v>0</v>
      </c>
      <c r="T128" s="17">
        <v>0</v>
      </c>
      <c r="U128" s="17">
        <v>1</v>
      </c>
      <c r="V128" s="17">
        <v>0</v>
      </c>
      <c r="W128" s="17">
        <v>0</v>
      </c>
      <c r="X128" s="17">
        <v>0</v>
      </c>
      <c r="Y128" s="17">
        <v>1</v>
      </c>
      <c r="Z128" s="17">
        <v>0</v>
      </c>
      <c r="AA128" s="17">
        <v>0</v>
      </c>
      <c r="AB128" s="17">
        <v>0</v>
      </c>
      <c r="AC128" s="17" t="s">
        <v>704</v>
      </c>
      <c r="AD128" s="16" t="s">
        <v>341</v>
      </c>
      <c r="AE128" s="16" t="s">
        <v>340</v>
      </c>
      <c r="AF128" s="15" t="s">
        <v>343</v>
      </c>
      <c r="AG128" s="15" t="s">
        <v>344</v>
      </c>
      <c r="AH128" s="17" t="s">
        <v>371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704</v>
      </c>
      <c r="AR128" t="s">
        <v>349</v>
      </c>
      <c r="AS128" t="s">
        <v>349</v>
      </c>
      <c r="AT128">
        <v>1</v>
      </c>
      <c r="AU128">
        <v>0</v>
      </c>
      <c r="AV128">
        <v>0</v>
      </c>
      <c r="AW128" t="s">
        <v>704</v>
      </c>
      <c r="AX128" t="s">
        <v>1251</v>
      </c>
      <c r="AY128" t="s">
        <v>293</v>
      </c>
      <c r="AZ128" t="s">
        <v>353</v>
      </c>
      <c r="BA128" t="s">
        <v>296</v>
      </c>
      <c r="BB128" t="s">
        <v>301</v>
      </c>
      <c r="BC128" t="s">
        <v>292</v>
      </c>
      <c r="BD128" t="s">
        <v>293</v>
      </c>
      <c r="BE128" t="s">
        <v>292</v>
      </c>
      <c r="BF128" t="s">
        <v>292</v>
      </c>
      <c r="BG128" t="s">
        <v>293</v>
      </c>
      <c r="BH128" t="s">
        <v>302</v>
      </c>
      <c r="BI128" t="s">
        <v>302</v>
      </c>
      <c r="BJ128" t="s">
        <v>359</v>
      </c>
      <c r="BK128" t="s">
        <v>293</v>
      </c>
      <c r="BL128" t="s">
        <v>293</v>
      </c>
      <c r="BM128" t="s">
        <v>297</v>
      </c>
      <c r="BN128" t="s">
        <v>298</v>
      </c>
      <c r="BO128" t="s">
        <v>293</v>
      </c>
      <c r="BP128" t="s">
        <v>292</v>
      </c>
      <c r="BQ128" t="s">
        <v>293</v>
      </c>
      <c r="BR128" t="s">
        <v>293</v>
      </c>
      <c r="BS128" t="s">
        <v>364</v>
      </c>
      <c r="BT128" t="s">
        <v>366</v>
      </c>
      <c r="BU128" t="s">
        <v>371</v>
      </c>
      <c r="BV128" t="s">
        <v>371</v>
      </c>
      <c r="BW128" t="s">
        <v>2571</v>
      </c>
      <c r="BX128" t="str">
        <f>IF(J128="win",VLOOKUP(B128,ColorScheme!$A$2:$I$32,4,0),VLOOKUP(B128,ColorScheme!$A$2:$I$32,5,0))</f>
        <v>#c20078</v>
      </c>
    </row>
    <row r="129" spans="1:76" x14ac:dyDescent="0.3">
      <c r="A129" t="s">
        <v>9</v>
      </c>
      <c r="B129" t="s">
        <v>10</v>
      </c>
      <c r="C129" t="s">
        <v>24</v>
      </c>
      <c r="D129" t="s">
        <v>12</v>
      </c>
      <c r="E129" t="s">
        <v>831</v>
      </c>
      <c r="F129" t="b">
        <v>1</v>
      </c>
      <c r="G129">
        <v>71.599999999999994</v>
      </c>
      <c r="H129">
        <v>0</v>
      </c>
      <c r="I129">
        <v>11640</v>
      </c>
      <c r="J129" s="61" t="s">
        <v>13</v>
      </c>
      <c r="K129" s="16" t="s">
        <v>272</v>
      </c>
      <c r="L129" s="16">
        <v>3</v>
      </c>
      <c r="M129" s="16" t="s">
        <v>277</v>
      </c>
      <c r="N129" s="16" t="s">
        <v>335</v>
      </c>
      <c r="O129" s="15" t="s">
        <v>283</v>
      </c>
      <c r="P129" t="s">
        <v>286</v>
      </c>
      <c r="Q129" t="s">
        <v>371</v>
      </c>
      <c r="R129" s="17" t="s">
        <v>371</v>
      </c>
      <c r="S129" s="17">
        <v>0</v>
      </c>
      <c r="T129" s="17">
        <v>0</v>
      </c>
      <c r="U129" s="17">
        <v>1</v>
      </c>
      <c r="V129" s="17">
        <v>0</v>
      </c>
      <c r="W129" s="17">
        <v>0</v>
      </c>
      <c r="X129" s="17">
        <v>0</v>
      </c>
      <c r="Y129" s="17">
        <v>1</v>
      </c>
      <c r="Z129" s="17">
        <v>0</v>
      </c>
      <c r="AA129" s="17">
        <v>0</v>
      </c>
      <c r="AB129" s="17">
        <v>0</v>
      </c>
      <c r="AC129" s="17" t="s">
        <v>704</v>
      </c>
      <c r="AD129" s="16" t="s">
        <v>341</v>
      </c>
      <c r="AE129" s="16" t="s">
        <v>340</v>
      </c>
      <c r="AF129" s="15" t="s">
        <v>343</v>
      </c>
      <c r="AG129" s="15" t="s">
        <v>344</v>
      </c>
      <c r="AH129" s="17" t="s">
        <v>371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704</v>
      </c>
      <c r="AR129" t="s">
        <v>349</v>
      </c>
      <c r="AS129" t="s">
        <v>349</v>
      </c>
      <c r="AT129">
        <v>1</v>
      </c>
      <c r="AU129">
        <v>0</v>
      </c>
      <c r="AV129">
        <v>0</v>
      </c>
      <c r="AW129" t="s">
        <v>704</v>
      </c>
      <c r="AX129" t="s">
        <v>1251</v>
      </c>
      <c r="AY129" t="s">
        <v>293</v>
      </c>
      <c r="AZ129" t="s">
        <v>352</v>
      </c>
      <c r="BA129" t="s">
        <v>296</v>
      </c>
      <c r="BB129" t="s">
        <v>301</v>
      </c>
      <c r="BC129" t="s">
        <v>292</v>
      </c>
      <c r="BD129" t="s">
        <v>293</v>
      </c>
      <c r="BE129" t="s">
        <v>292</v>
      </c>
      <c r="BF129" t="s">
        <v>292</v>
      </c>
      <c r="BG129" t="s">
        <v>293</v>
      </c>
      <c r="BH129" t="s">
        <v>302</v>
      </c>
      <c r="BI129" t="s">
        <v>302</v>
      </c>
      <c r="BJ129" t="s">
        <v>359</v>
      </c>
      <c r="BK129" t="s">
        <v>293</v>
      </c>
      <c r="BL129" t="s">
        <v>293</v>
      </c>
      <c r="BM129" t="s">
        <v>297</v>
      </c>
      <c r="BN129" t="s">
        <v>298</v>
      </c>
      <c r="BO129" t="s">
        <v>293</v>
      </c>
      <c r="BP129" t="s">
        <v>292</v>
      </c>
      <c r="BQ129" t="s">
        <v>293</v>
      </c>
      <c r="BR129" t="s">
        <v>293</v>
      </c>
      <c r="BS129" t="s">
        <v>364</v>
      </c>
      <c r="BT129" t="s">
        <v>366</v>
      </c>
      <c r="BU129" t="s">
        <v>371</v>
      </c>
      <c r="BV129" t="s">
        <v>371</v>
      </c>
      <c r="BW129" t="s">
        <v>2572</v>
      </c>
      <c r="BX129" t="str">
        <f>IF(J129="win",VLOOKUP(B129,ColorScheme!$A$2:$I$32,4,0),VLOOKUP(B129,ColorScheme!$A$2:$I$32,5,0))</f>
        <v>#c20078</v>
      </c>
    </row>
    <row r="130" spans="1:76" x14ac:dyDescent="0.3">
      <c r="A130" t="s">
        <v>9</v>
      </c>
      <c r="B130" t="s">
        <v>10</v>
      </c>
      <c r="C130" t="s">
        <v>21</v>
      </c>
      <c r="D130" t="s">
        <v>12</v>
      </c>
      <c r="E130" t="s">
        <v>832</v>
      </c>
      <c r="F130" t="b">
        <v>1</v>
      </c>
      <c r="G130">
        <v>100</v>
      </c>
      <c r="H130">
        <v>1</v>
      </c>
      <c r="I130">
        <v>9959</v>
      </c>
      <c r="J130" s="61" t="s">
        <v>18</v>
      </c>
      <c r="K130" s="16" t="s">
        <v>272</v>
      </c>
      <c r="L130" s="16">
        <v>3</v>
      </c>
      <c r="M130" s="16" t="s">
        <v>277</v>
      </c>
      <c r="N130" s="16" t="s">
        <v>335</v>
      </c>
      <c r="O130" s="15" t="s">
        <v>283</v>
      </c>
      <c r="P130" t="s">
        <v>286</v>
      </c>
      <c r="Q130" t="s">
        <v>371</v>
      </c>
      <c r="R130" s="17" t="s">
        <v>371</v>
      </c>
      <c r="S130" s="17">
        <v>0</v>
      </c>
      <c r="T130" s="17">
        <v>0</v>
      </c>
      <c r="U130" s="17">
        <v>1</v>
      </c>
      <c r="V130" s="17">
        <v>0</v>
      </c>
      <c r="W130" s="17">
        <v>0</v>
      </c>
      <c r="X130" s="17">
        <v>0</v>
      </c>
      <c r="Y130" s="17">
        <v>1</v>
      </c>
      <c r="Z130" s="17">
        <v>0</v>
      </c>
      <c r="AA130" s="17">
        <v>0</v>
      </c>
      <c r="AB130" s="17">
        <v>0</v>
      </c>
      <c r="AC130" s="17" t="s">
        <v>704</v>
      </c>
      <c r="AD130" s="16" t="s">
        <v>341</v>
      </c>
      <c r="AE130" s="16" t="s">
        <v>340</v>
      </c>
      <c r="AF130" s="15" t="s">
        <v>343</v>
      </c>
      <c r="AG130" s="15" t="s">
        <v>344</v>
      </c>
      <c r="AH130" s="17" t="s">
        <v>347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 t="s">
        <v>704</v>
      </c>
      <c r="AR130" t="s">
        <v>349</v>
      </c>
      <c r="AS130" t="s">
        <v>349</v>
      </c>
      <c r="AT130">
        <v>1</v>
      </c>
      <c r="AU130">
        <v>0</v>
      </c>
      <c r="AV130">
        <v>0</v>
      </c>
      <c r="AW130" t="s">
        <v>704</v>
      </c>
      <c r="AX130" t="s">
        <v>1252</v>
      </c>
      <c r="AY130" t="s">
        <v>293</v>
      </c>
      <c r="AZ130" t="s">
        <v>352</v>
      </c>
      <c r="BA130" t="s">
        <v>296</v>
      </c>
      <c r="BB130" t="s">
        <v>300</v>
      </c>
      <c r="BC130" t="s">
        <v>292</v>
      </c>
      <c r="BD130" t="s">
        <v>293</v>
      </c>
      <c r="BE130" t="s">
        <v>292</v>
      </c>
      <c r="BF130" t="s">
        <v>292</v>
      </c>
      <c r="BG130" t="s">
        <v>293</v>
      </c>
      <c r="BH130" t="s">
        <v>302</v>
      </c>
      <c r="BI130" t="s">
        <v>302</v>
      </c>
      <c r="BJ130" t="s">
        <v>359</v>
      </c>
      <c r="BK130" t="s">
        <v>293</v>
      </c>
      <c r="BL130" t="s">
        <v>293</v>
      </c>
      <c r="BM130" t="s">
        <v>297</v>
      </c>
      <c r="BN130" t="s">
        <v>298</v>
      </c>
      <c r="BO130" t="s">
        <v>293</v>
      </c>
      <c r="BP130" t="s">
        <v>292</v>
      </c>
      <c r="BQ130" t="s">
        <v>293</v>
      </c>
      <c r="BR130" t="s">
        <v>293</v>
      </c>
      <c r="BS130" t="s">
        <v>364</v>
      </c>
      <c r="BT130" t="s">
        <v>304</v>
      </c>
      <c r="BU130" t="s">
        <v>371</v>
      </c>
      <c r="BV130" t="s">
        <v>371</v>
      </c>
      <c r="BW130" t="s">
        <v>2573</v>
      </c>
      <c r="BX130" t="str">
        <f>IF(J130="win",VLOOKUP(B130,ColorScheme!$A$2:$I$32,4,0),VLOOKUP(B130,ColorScheme!$A$2:$I$32,5,0))</f>
        <v>#c2007850</v>
      </c>
    </row>
    <row r="131" spans="1:76" x14ac:dyDescent="0.3">
      <c r="A131" t="s">
        <v>9</v>
      </c>
      <c r="B131" t="s">
        <v>10</v>
      </c>
      <c r="C131" t="s">
        <v>19</v>
      </c>
      <c r="D131" t="s">
        <v>12</v>
      </c>
      <c r="E131" t="s">
        <v>833</v>
      </c>
      <c r="F131" t="b">
        <v>1</v>
      </c>
      <c r="G131">
        <v>70</v>
      </c>
      <c r="H131">
        <v>0</v>
      </c>
      <c r="I131">
        <v>11664</v>
      </c>
      <c r="J131" s="61" t="s">
        <v>13</v>
      </c>
      <c r="K131" s="16" t="s">
        <v>272</v>
      </c>
      <c r="L131" s="16">
        <v>3</v>
      </c>
      <c r="M131" s="16" t="s">
        <v>277</v>
      </c>
      <c r="N131" s="16" t="s">
        <v>335</v>
      </c>
      <c r="O131" s="15" t="s">
        <v>283</v>
      </c>
      <c r="P131" t="s">
        <v>286</v>
      </c>
      <c r="Q131" t="s">
        <v>371</v>
      </c>
      <c r="R131" s="17" t="s">
        <v>371</v>
      </c>
      <c r="S131" s="17">
        <v>0</v>
      </c>
      <c r="T131" s="17">
        <v>0</v>
      </c>
      <c r="U131" s="17">
        <v>1</v>
      </c>
      <c r="V131" s="17">
        <v>0</v>
      </c>
      <c r="W131" s="17">
        <v>0</v>
      </c>
      <c r="X131" s="17">
        <v>0</v>
      </c>
      <c r="Y131" s="17">
        <v>1</v>
      </c>
      <c r="Z131" s="17">
        <v>0</v>
      </c>
      <c r="AA131" s="17">
        <v>0</v>
      </c>
      <c r="AB131" s="17">
        <v>0</v>
      </c>
      <c r="AC131" s="17" t="s">
        <v>704</v>
      </c>
      <c r="AD131" s="16" t="s">
        <v>341</v>
      </c>
      <c r="AE131" s="16" t="s">
        <v>340</v>
      </c>
      <c r="AF131" s="15" t="s">
        <v>343</v>
      </c>
      <c r="AG131" s="15" t="s">
        <v>344</v>
      </c>
      <c r="AH131" s="17" t="s">
        <v>371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704</v>
      </c>
      <c r="AR131" t="s">
        <v>349</v>
      </c>
      <c r="AS131" t="s">
        <v>349</v>
      </c>
      <c r="AT131">
        <v>1</v>
      </c>
      <c r="AU131">
        <v>0</v>
      </c>
      <c r="AV131">
        <v>0</v>
      </c>
      <c r="AW131" t="s">
        <v>704</v>
      </c>
      <c r="AX131" t="s">
        <v>1251</v>
      </c>
      <c r="AY131" t="s">
        <v>293</v>
      </c>
      <c r="AZ131" t="s">
        <v>352</v>
      </c>
      <c r="BA131" t="s">
        <v>296</v>
      </c>
      <c r="BB131" t="s">
        <v>301</v>
      </c>
      <c r="BC131" t="s">
        <v>292</v>
      </c>
      <c r="BD131" t="s">
        <v>293</v>
      </c>
      <c r="BE131" t="s">
        <v>292</v>
      </c>
      <c r="BF131" t="s">
        <v>292</v>
      </c>
      <c r="BG131" t="s">
        <v>293</v>
      </c>
      <c r="BH131" t="s">
        <v>302</v>
      </c>
      <c r="BI131" t="s">
        <v>302</v>
      </c>
      <c r="BJ131" t="s">
        <v>359</v>
      </c>
      <c r="BK131" t="s">
        <v>293</v>
      </c>
      <c r="BL131" t="s">
        <v>293</v>
      </c>
      <c r="BM131" t="s">
        <v>297</v>
      </c>
      <c r="BN131" t="s">
        <v>298</v>
      </c>
      <c r="BO131" t="s">
        <v>293</v>
      </c>
      <c r="BP131" t="s">
        <v>292</v>
      </c>
      <c r="BQ131" t="s">
        <v>293</v>
      </c>
      <c r="BR131" t="s">
        <v>293</v>
      </c>
      <c r="BS131" t="s">
        <v>364</v>
      </c>
      <c r="BT131" t="s">
        <v>366</v>
      </c>
      <c r="BU131" t="s">
        <v>371</v>
      </c>
      <c r="BV131" t="s">
        <v>371</v>
      </c>
      <c r="BW131" t="s">
        <v>2574</v>
      </c>
      <c r="BX131" t="str">
        <f>IF(J131="win",VLOOKUP(B131,ColorScheme!$A$2:$I$32,4,0),VLOOKUP(B131,ColorScheme!$A$2:$I$32,5,0))</f>
        <v>#c20078</v>
      </c>
    </row>
    <row r="132" spans="1:76" x14ac:dyDescent="0.3">
      <c r="A132" t="s">
        <v>9</v>
      </c>
      <c r="B132" t="s">
        <v>10</v>
      </c>
      <c r="C132" t="s">
        <v>17</v>
      </c>
      <c r="D132" t="s">
        <v>12</v>
      </c>
      <c r="E132" t="s">
        <v>834</v>
      </c>
      <c r="F132" t="b">
        <v>1</v>
      </c>
      <c r="G132">
        <v>100</v>
      </c>
      <c r="H132">
        <v>1</v>
      </c>
      <c r="I132">
        <v>10979</v>
      </c>
      <c r="J132" s="61" t="s">
        <v>18</v>
      </c>
      <c r="K132" s="16" t="s">
        <v>272</v>
      </c>
      <c r="L132" s="16">
        <v>3</v>
      </c>
      <c r="M132" s="16" t="s">
        <v>277</v>
      </c>
      <c r="N132" s="16" t="s">
        <v>335</v>
      </c>
      <c r="O132" s="15" t="s">
        <v>283</v>
      </c>
      <c r="P132" t="s">
        <v>286</v>
      </c>
      <c r="Q132" t="s">
        <v>371</v>
      </c>
      <c r="R132" s="17" t="s">
        <v>371</v>
      </c>
      <c r="S132" s="17">
        <v>0</v>
      </c>
      <c r="T132" s="17">
        <v>0</v>
      </c>
      <c r="U132" s="17">
        <v>1</v>
      </c>
      <c r="V132" s="17">
        <v>0</v>
      </c>
      <c r="W132" s="17">
        <v>0</v>
      </c>
      <c r="X132" s="17">
        <v>0</v>
      </c>
      <c r="Y132" s="17">
        <v>1</v>
      </c>
      <c r="Z132" s="17">
        <v>0</v>
      </c>
      <c r="AA132" s="17">
        <v>0</v>
      </c>
      <c r="AB132" s="17">
        <v>0</v>
      </c>
      <c r="AC132" s="17" t="s">
        <v>704</v>
      </c>
      <c r="AD132" s="16" t="s">
        <v>341</v>
      </c>
      <c r="AE132" s="16" t="s">
        <v>340</v>
      </c>
      <c r="AF132" s="15" t="s">
        <v>343</v>
      </c>
      <c r="AG132" s="15" t="s">
        <v>344</v>
      </c>
      <c r="AH132" s="17" t="s">
        <v>371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704</v>
      </c>
      <c r="AR132" t="s">
        <v>349</v>
      </c>
      <c r="AS132" t="s">
        <v>349</v>
      </c>
      <c r="AT132">
        <v>1</v>
      </c>
      <c r="AU132">
        <v>0</v>
      </c>
      <c r="AV132">
        <v>0</v>
      </c>
      <c r="AW132" t="s">
        <v>704</v>
      </c>
      <c r="AX132" t="s">
        <v>1251</v>
      </c>
      <c r="AY132" t="s">
        <v>293</v>
      </c>
      <c r="AZ132" t="s">
        <v>352</v>
      </c>
      <c r="BA132" t="s">
        <v>297</v>
      </c>
      <c r="BB132" t="s">
        <v>301</v>
      </c>
      <c r="BC132" t="s">
        <v>292</v>
      </c>
      <c r="BD132" t="s">
        <v>293</v>
      </c>
      <c r="BE132" t="s">
        <v>292</v>
      </c>
      <c r="BF132" t="s">
        <v>293</v>
      </c>
      <c r="BG132" t="s">
        <v>293</v>
      </c>
      <c r="BH132" t="s">
        <v>302</v>
      </c>
      <c r="BI132" t="s">
        <v>302</v>
      </c>
      <c r="BJ132" t="s">
        <v>359</v>
      </c>
      <c r="BK132" t="s">
        <v>293</v>
      </c>
      <c r="BL132" t="s">
        <v>293</v>
      </c>
      <c r="BM132" t="s">
        <v>297</v>
      </c>
      <c r="BN132" t="s">
        <v>298</v>
      </c>
      <c r="BO132" t="s">
        <v>293</v>
      </c>
      <c r="BP132" t="s">
        <v>292</v>
      </c>
      <c r="BQ132" t="s">
        <v>293</v>
      </c>
      <c r="BR132" t="s">
        <v>293</v>
      </c>
      <c r="BS132" t="s">
        <v>364</v>
      </c>
      <c r="BT132" t="s">
        <v>304</v>
      </c>
      <c r="BU132" t="s">
        <v>371</v>
      </c>
      <c r="BV132" t="s">
        <v>371</v>
      </c>
      <c r="BW132" t="s">
        <v>2575</v>
      </c>
      <c r="BX132" t="str">
        <f>IF(J132="win",VLOOKUP(B132,ColorScheme!$A$2:$I$32,4,0),VLOOKUP(B132,ColorScheme!$A$2:$I$32,5,0))</f>
        <v>#c2007850</v>
      </c>
    </row>
    <row r="133" spans="1:76" x14ac:dyDescent="0.3">
      <c r="A133" t="s">
        <v>9</v>
      </c>
      <c r="B133" t="s">
        <v>10</v>
      </c>
      <c r="C133" t="s">
        <v>16</v>
      </c>
      <c r="D133" t="s">
        <v>12</v>
      </c>
      <c r="E133" t="s">
        <v>835</v>
      </c>
      <c r="F133" t="b">
        <v>1</v>
      </c>
      <c r="G133">
        <v>68.2</v>
      </c>
      <c r="H133">
        <v>0</v>
      </c>
      <c r="I133">
        <v>11982</v>
      </c>
      <c r="J133" s="61" t="s">
        <v>13</v>
      </c>
      <c r="K133" s="16" t="s">
        <v>272</v>
      </c>
      <c r="L133" s="16">
        <v>3</v>
      </c>
      <c r="M133" s="16" t="s">
        <v>277</v>
      </c>
      <c r="N133" s="16" t="s">
        <v>335</v>
      </c>
      <c r="O133" s="15" t="s">
        <v>283</v>
      </c>
      <c r="P133" t="s">
        <v>286</v>
      </c>
      <c r="Q133" t="s">
        <v>371</v>
      </c>
      <c r="R133" s="17" t="s">
        <v>371</v>
      </c>
      <c r="S133" s="17">
        <v>0</v>
      </c>
      <c r="T133" s="17">
        <v>0</v>
      </c>
      <c r="U133" s="17">
        <v>1</v>
      </c>
      <c r="V133" s="17">
        <v>0</v>
      </c>
      <c r="W133" s="17">
        <v>0</v>
      </c>
      <c r="X133" s="17">
        <v>0</v>
      </c>
      <c r="Y133" s="17">
        <v>1</v>
      </c>
      <c r="Z133" s="17">
        <v>0</v>
      </c>
      <c r="AA133" s="17">
        <v>0</v>
      </c>
      <c r="AB133" s="17">
        <v>0</v>
      </c>
      <c r="AC133" s="17" t="s">
        <v>704</v>
      </c>
      <c r="AD133" s="16" t="s">
        <v>341</v>
      </c>
      <c r="AE133" s="16" t="s">
        <v>340</v>
      </c>
      <c r="AF133" s="15" t="s">
        <v>343</v>
      </c>
      <c r="AG133" s="15" t="s">
        <v>344</v>
      </c>
      <c r="AH133" s="17" t="s">
        <v>371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704</v>
      </c>
      <c r="AR133" t="s">
        <v>349</v>
      </c>
      <c r="AS133" t="s">
        <v>349</v>
      </c>
      <c r="AT133">
        <v>1</v>
      </c>
      <c r="AU133">
        <v>0</v>
      </c>
      <c r="AV133">
        <v>0</v>
      </c>
      <c r="AW133" t="s">
        <v>704</v>
      </c>
      <c r="AX133" t="s">
        <v>1251</v>
      </c>
      <c r="AY133" t="s">
        <v>293</v>
      </c>
      <c r="AZ133" t="s">
        <v>352</v>
      </c>
      <c r="BA133" t="s">
        <v>296</v>
      </c>
      <c r="BB133" t="s">
        <v>301</v>
      </c>
      <c r="BC133" t="s">
        <v>292</v>
      </c>
      <c r="BD133" t="s">
        <v>293</v>
      </c>
      <c r="BE133" t="s">
        <v>292</v>
      </c>
      <c r="BF133" t="s">
        <v>292</v>
      </c>
      <c r="BG133" t="s">
        <v>293</v>
      </c>
      <c r="BH133" t="s">
        <v>302</v>
      </c>
      <c r="BI133" t="s">
        <v>302</v>
      </c>
      <c r="BJ133" t="s">
        <v>359</v>
      </c>
      <c r="BK133" t="s">
        <v>293</v>
      </c>
      <c r="BL133" t="s">
        <v>293</v>
      </c>
      <c r="BM133" t="s">
        <v>297</v>
      </c>
      <c r="BN133" t="s">
        <v>298</v>
      </c>
      <c r="BO133" t="s">
        <v>293</v>
      </c>
      <c r="BP133" t="s">
        <v>292</v>
      </c>
      <c r="BQ133" t="s">
        <v>293</v>
      </c>
      <c r="BR133" t="s">
        <v>293</v>
      </c>
      <c r="BS133" t="s">
        <v>364</v>
      </c>
      <c r="BT133" t="s">
        <v>366</v>
      </c>
      <c r="BU133" t="s">
        <v>371</v>
      </c>
      <c r="BV133" t="s">
        <v>371</v>
      </c>
      <c r="BW133" t="s">
        <v>2576</v>
      </c>
      <c r="BX133" t="str">
        <f>IF(J133="win",VLOOKUP(B133,ColorScheme!$A$2:$I$32,4,0),VLOOKUP(B133,ColorScheme!$A$2:$I$32,5,0))</f>
        <v>#c20078</v>
      </c>
    </row>
    <row r="134" spans="1:76" x14ac:dyDescent="0.3">
      <c r="A134" t="s">
        <v>9</v>
      </c>
      <c r="B134" t="s">
        <v>10</v>
      </c>
      <c r="C134" t="s">
        <v>20</v>
      </c>
      <c r="D134" t="s">
        <v>12</v>
      </c>
      <c r="E134" t="s">
        <v>836</v>
      </c>
      <c r="F134" t="b">
        <v>1</v>
      </c>
      <c r="G134">
        <v>100</v>
      </c>
      <c r="H134">
        <v>1</v>
      </c>
      <c r="I134">
        <v>11362</v>
      </c>
      <c r="J134" s="61" t="s">
        <v>18</v>
      </c>
      <c r="K134" s="16" t="s">
        <v>272</v>
      </c>
      <c r="L134" s="16">
        <v>3</v>
      </c>
      <c r="M134" s="16" t="s">
        <v>277</v>
      </c>
      <c r="N134" s="16" t="s">
        <v>335</v>
      </c>
      <c r="O134" s="15" t="s">
        <v>283</v>
      </c>
      <c r="P134" t="s">
        <v>286</v>
      </c>
      <c r="Q134" t="s">
        <v>371</v>
      </c>
      <c r="R134" s="17" t="s">
        <v>371</v>
      </c>
      <c r="S134" s="17">
        <v>0</v>
      </c>
      <c r="T134" s="17">
        <v>0</v>
      </c>
      <c r="U134" s="17">
        <v>1</v>
      </c>
      <c r="V134" s="17">
        <v>0</v>
      </c>
      <c r="W134" s="17">
        <v>0</v>
      </c>
      <c r="X134" s="17">
        <v>0</v>
      </c>
      <c r="Y134" s="17">
        <v>1</v>
      </c>
      <c r="Z134" s="17">
        <v>0</v>
      </c>
      <c r="AA134" s="17">
        <v>0</v>
      </c>
      <c r="AB134" s="17">
        <v>0</v>
      </c>
      <c r="AC134" s="17" t="s">
        <v>704</v>
      </c>
      <c r="AD134" s="16" t="s">
        <v>341</v>
      </c>
      <c r="AE134" s="16" t="s">
        <v>340</v>
      </c>
      <c r="AF134" s="15" t="s">
        <v>343</v>
      </c>
      <c r="AG134" s="15" t="s">
        <v>344</v>
      </c>
      <c r="AH134" s="17" t="s">
        <v>371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704</v>
      </c>
      <c r="AR134" t="s">
        <v>349</v>
      </c>
      <c r="AS134" t="s">
        <v>349</v>
      </c>
      <c r="AT134">
        <v>1</v>
      </c>
      <c r="AU134">
        <v>0</v>
      </c>
      <c r="AV134">
        <v>0</v>
      </c>
      <c r="AW134" t="s">
        <v>704</v>
      </c>
      <c r="AX134" t="s">
        <v>1251</v>
      </c>
      <c r="AY134" t="s">
        <v>293</v>
      </c>
      <c r="AZ134" t="s">
        <v>352</v>
      </c>
      <c r="BA134" t="s">
        <v>296</v>
      </c>
      <c r="BB134" t="s">
        <v>301</v>
      </c>
      <c r="BC134" t="s">
        <v>292</v>
      </c>
      <c r="BD134" t="s">
        <v>293</v>
      </c>
      <c r="BE134" t="s">
        <v>292</v>
      </c>
      <c r="BF134" t="s">
        <v>292</v>
      </c>
      <c r="BG134" t="s">
        <v>293</v>
      </c>
      <c r="BH134" t="s">
        <v>302</v>
      </c>
      <c r="BI134" t="s">
        <v>302</v>
      </c>
      <c r="BJ134" t="s">
        <v>359</v>
      </c>
      <c r="BK134" t="s">
        <v>293</v>
      </c>
      <c r="BL134" t="s">
        <v>293</v>
      </c>
      <c r="BM134" t="s">
        <v>297</v>
      </c>
      <c r="BN134" t="s">
        <v>298</v>
      </c>
      <c r="BO134" t="s">
        <v>293</v>
      </c>
      <c r="BP134" t="s">
        <v>292</v>
      </c>
      <c r="BQ134" t="s">
        <v>293</v>
      </c>
      <c r="BR134" t="s">
        <v>293</v>
      </c>
      <c r="BS134" t="s">
        <v>364</v>
      </c>
      <c r="BT134" t="s">
        <v>304</v>
      </c>
      <c r="BU134" t="s">
        <v>371</v>
      </c>
      <c r="BV134" t="s">
        <v>371</v>
      </c>
      <c r="BW134" t="s">
        <v>2577</v>
      </c>
      <c r="BX134" t="str">
        <f>IF(J134="win",VLOOKUP(B134,ColorScheme!$A$2:$I$32,4,0),VLOOKUP(B134,ColorScheme!$A$2:$I$32,5,0))</f>
        <v>#c2007850</v>
      </c>
    </row>
    <row r="135" spans="1:76" x14ac:dyDescent="0.3">
      <c r="A135" t="s">
        <v>9</v>
      </c>
      <c r="B135" t="s">
        <v>10</v>
      </c>
      <c r="C135" t="s">
        <v>26</v>
      </c>
      <c r="D135" t="s">
        <v>12</v>
      </c>
      <c r="E135" t="s">
        <v>837</v>
      </c>
      <c r="F135" t="b">
        <v>1</v>
      </c>
      <c r="G135">
        <v>100</v>
      </c>
      <c r="H135">
        <v>1</v>
      </c>
      <c r="I135">
        <v>11665</v>
      </c>
      <c r="J135" s="61" t="s">
        <v>18</v>
      </c>
      <c r="K135" s="16" t="s">
        <v>272</v>
      </c>
      <c r="L135" s="16">
        <v>3</v>
      </c>
      <c r="M135" s="16" t="s">
        <v>277</v>
      </c>
      <c r="N135" s="16" t="s">
        <v>335</v>
      </c>
      <c r="O135" s="15" t="s">
        <v>281</v>
      </c>
      <c r="P135" t="s">
        <v>283</v>
      </c>
      <c r="Q135" t="s">
        <v>286</v>
      </c>
      <c r="R135" s="17" t="s">
        <v>371</v>
      </c>
      <c r="S135" s="17">
        <v>1</v>
      </c>
      <c r="T135" s="17">
        <v>0</v>
      </c>
      <c r="U135" s="17">
        <v>1</v>
      </c>
      <c r="V135" s="17">
        <v>0</v>
      </c>
      <c r="W135" s="17">
        <v>0</v>
      </c>
      <c r="X135" s="17">
        <v>0</v>
      </c>
      <c r="Y135" s="17">
        <v>1</v>
      </c>
      <c r="Z135" s="17">
        <v>0</v>
      </c>
      <c r="AA135" s="17">
        <v>0</v>
      </c>
      <c r="AB135" s="17">
        <v>0</v>
      </c>
      <c r="AC135" s="17" t="s">
        <v>704</v>
      </c>
      <c r="AD135" s="16" t="s">
        <v>341</v>
      </c>
      <c r="AE135" s="16" t="s">
        <v>340</v>
      </c>
      <c r="AF135" s="15" t="s">
        <v>343</v>
      </c>
      <c r="AG135" s="15" t="s">
        <v>344</v>
      </c>
      <c r="AH135" s="17" t="s">
        <v>371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704</v>
      </c>
      <c r="AR135" t="s">
        <v>349</v>
      </c>
      <c r="AS135" t="s">
        <v>349</v>
      </c>
      <c r="AT135">
        <v>1</v>
      </c>
      <c r="AU135">
        <v>0</v>
      </c>
      <c r="AV135">
        <v>0</v>
      </c>
      <c r="AW135" t="s">
        <v>704</v>
      </c>
      <c r="AX135" t="s">
        <v>1250</v>
      </c>
      <c r="AY135" t="s">
        <v>293</v>
      </c>
      <c r="AZ135" t="s">
        <v>352</v>
      </c>
      <c r="BA135" t="s">
        <v>296</v>
      </c>
      <c r="BB135" t="s">
        <v>301</v>
      </c>
      <c r="BC135" t="s">
        <v>292</v>
      </c>
      <c r="BD135" t="s">
        <v>293</v>
      </c>
      <c r="BE135" t="s">
        <v>292</v>
      </c>
      <c r="BF135" t="s">
        <v>292</v>
      </c>
      <c r="BG135" t="s">
        <v>293</v>
      </c>
      <c r="BH135" t="s">
        <v>302</v>
      </c>
      <c r="BI135" t="s">
        <v>302</v>
      </c>
      <c r="BJ135" t="s">
        <v>359</v>
      </c>
      <c r="BK135" t="s">
        <v>293</v>
      </c>
      <c r="BL135" t="s">
        <v>293</v>
      </c>
      <c r="BM135" t="s">
        <v>297</v>
      </c>
      <c r="BN135" t="s">
        <v>298</v>
      </c>
      <c r="BO135" t="s">
        <v>293</v>
      </c>
      <c r="BP135" t="s">
        <v>292</v>
      </c>
      <c r="BQ135" t="s">
        <v>293</v>
      </c>
      <c r="BR135" t="s">
        <v>293</v>
      </c>
      <c r="BS135" t="s">
        <v>364</v>
      </c>
      <c r="BT135" t="s">
        <v>304</v>
      </c>
      <c r="BU135" t="s">
        <v>371</v>
      </c>
      <c r="BV135" t="s">
        <v>371</v>
      </c>
      <c r="BW135" t="s">
        <v>2578</v>
      </c>
      <c r="BX135" t="str">
        <f>IF(J135="win",VLOOKUP(B135,ColorScheme!$A$2:$I$32,4,0),VLOOKUP(B135,ColorScheme!$A$2:$I$32,5,0))</f>
        <v>#c2007850</v>
      </c>
    </row>
    <row r="136" spans="1:76" s="38" customFormat="1" x14ac:dyDescent="0.3">
      <c r="A136" t="s">
        <v>9</v>
      </c>
      <c r="B136" t="s">
        <v>10</v>
      </c>
      <c r="C136" t="s">
        <v>22</v>
      </c>
      <c r="D136" t="s">
        <v>12</v>
      </c>
      <c r="E136" t="s">
        <v>838</v>
      </c>
      <c r="F136" t="b">
        <v>1</v>
      </c>
      <c r="G136">
        <v>100</v>
      </c>
      <c r="H136">
        <v>1</v>
      </c>
      <c r="I136">
        <v>11364</v>
      </c>
      <c r="J136" s="61" t="s">
        <v>18</v>
      </c>
      <c r="K136" s="16" t="s">
        <v>272</v>
      </c>
      <c r="L136" s="16">
        <v>3</v>
      </c>
      <c r="M136" s="16" t="s">
        <v>277</v>
      </c>
      <c r="N136" s="16" t="s">
        <v>335</v>
      </c>
      <c r="O136" s="15" t="s">
        <v>283</v>
      </c>
      <c r="P136" t="s">
        <v>286</v>
      </c>
      <c r="Q136" t="s">
        <v>371</v>
      </c>
      <c r="R136" s="17" t="s">
        <v>371</v>
      </c>
      <c r="S136" s="17">
        <v>0</v>
      </c>
      <c r="T136" s="17">
        <v>0</v>
      </c>
      <c r="U136" s="17">
        <v>1</v>
      </c>
      <c r="V136" s="17">
        <v>0</v>
      </c>
      <c r="W136" s="17">
        <v>0</v>
      </c>
      <c r="X136" s="17">
        <v>0</v>
      </c>
      <c r="Y136" s="17">
        <v>1</v>
      </c>
      <c r="Z136" s="17">
        <v>0</v>
      </c>
      <c r="AA136" s="17">
        <v>0</v>
      </c>
      <c r="AB136" s="17">
        <v>0</v>
      </c>
      <c r="AC136" s="17" t="s">
        <v>704</v>
      </c>
      <c r="AD136" s="16" t="s">
        <v>341</v>
      </c>
      <c r="AE136" s="16" t="s">
        <v>340</v>
      </c>
      <c r="AF136" s="15" t="s">
        <v>343</v>
      </c>
      <c r="AG136" s="15" t="s">
        <v>344</v>
      </c>
      <c r="AH136" s="17" t="s">
        <v>371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704</v>
      </c>
      <c r="AR136" t="s">
        <v>349</v>
      </c>
      <c r="AS136" t="s">
        <v>349</v>
      </c>
      <c r="AT136">
        <v>1</v>
      </c>
      <c r="AU136">
        <v>0</v>
      </c>
      <c r="AV136">
        <v>0</v>
      </c>
      <c r="AW136" t="s">
        <v>704</v>
      </c>
      <c r="AX136" t="s">
        <v>1251</v>
      </c>
      <c r="AY136" t="s">
        <v>293</v>
      </c>
      <c r="AZ136" t="s">
        <v>352</v>
      </c>
      <c r="BA136" t="s">
        <v>296</v>
      </c>
      <c r="BB136" t="s">
        <v>300</v>
      </c>
      <c r="BC136" t="s">
        <v>292</v>
      </c>
      <c r="BD136" t="s">
        <v>293</v>
      </c>
      <c r="BE136" t="s">
        <v>292</v>
      </c>
      <c r="BF136" t="s">
        <v>292</v>
      </c>
      <c r="BG136" t="s">
        <v>293</v>
      </c>
      <c r="BH136" t="s">
        <v>302</v>
      </c>
      <c r="BI136" t="s">
        <v>302</v>
      </c>
      <c r="BJ136" t="s">
        <v>359</v>
      </c>
      <c r="BK136" t="s">
        <v>293</v>
      </c>
      <c r="BL136" t="s">
        <v>293</v>
      </c>
      <c r="BM136" t="s">
        <v>297</v>
      </c>
      <c r="BN136" t="s">
        <v>298</v>
      </c>
      <c r="BO136" t="s">
        <v>293</v>
      </c>
      <c r="BP136" t="s">
        <v>292</v>
      </c>
      <c r="BQ136" t="s">
        <v>293</v>
      </c>
      <c r="BR136" t="s">
        <v>293</v>
      </c>
      <c r="BS136" t="s">
        <v>364</v>
      </c>
      <c r="BT136" t="s">
        <v>304</v>
      </c>
      <c r="BU136" t="s">
        <v>371</v>
      </c>
      <c r="BV136" s="38" t="s">
        <v>371</v>
      </c>
      <c r="BW136" t="s">
        <v>2579</v>
      </c>
      <c r="BX136" t="str">
        <f>IF(J136="win",VLOOKUP(B136,ColorScheme!$A$2:$I$32,4,0),VLOOKUP(B136,ColorScheme!$A$2:$I$32,5,0))</f>
        <v>#c2007850</v>
      </c>
    </row>
    <row r="137" spans="1:76" x14ac:dyDescent="0.3">
      <c r="A137" t="s">
        <v>9</v>
      </c>
      <c r="B137" t="s">
        <v>10</v>
      </c>
      <c r="C137" t="s">
        <v>39</v>
      </c>
      <c r="D137" t="s">
        <v>29</v>
      </c>
      <c r="E137" t="s">
        <v>839</v>
      </c>
      <c r="F137" t="b">
        <v>1</v>
      </c>
      <c r="G137">
        <v>100</v>
      </c>
      <c r="H137">
        <v>1</v>
      </c>
      <c r="I137">
        <v>13269</v>
      </c>
      <c r="J137" s="61" t="s">
        <v>18</v>
      </c>
      <c r="K137" s="16" t="s">
        <v>272</v>
      </c>
      <c r="L137" s="16">
        <v>3</v>
      </c>
      <c r="M137" s="16" t="s">
        <v>333</v>
      </c>
      <c r="N137" s="16" t="s">
        <v>279</v>
      </c>
      <c r="O137" s="15" t="s">
        <v>283</v>
      </c>
      <c r="P137" t="s">
        <v>282</v>
      </c>
      <c r="Q137" t="s">
        <v>338</v>
      </c>
      <c r="R137" s="17" t="s">
        <v>371</v>
      </c>
      <c r="S137" s="17">
        <v>0</v>
      </c>
      <c r="T137" s="17">
        <v>1</v>
      </c>
      <c r="U137" s="17">
        <v>1</v>
      </c>
      <c r="V137" s="17">
        <v>0</v>
      </c>
      <c r="W137" s="17">
        <v>0</v>
      </c>
      <c r="X137" s="17">
        <v>0</v>
      </c>
      <c r="Y137" s="17">
        <v>0</v>
      </c>
      <c r="Z137" s="17">
        <v>1</v>
      </c>
      <c r="AA137" s="17">
        <v>0</v>
      </c>
      <c r="AB137" s="17">
        <v>0</v>
      </c>
      <c r="AC137" s="17" t="s">
        <v>704</v>
      </c>
      <c r="AD137" s="16" t="s">
        <v>341</v>
      </c>
      <c r="AE137" s="16" t="s">
        <v>340</v>
      </c>
      <c r="AF137" s="15" t="s">
        <v>343</v>
      </c>
      <c r="AG137" s="15" t="s">
        <v>344</v>
      </c>
      <c r="AH137" s="17" t="s">
        <v>371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704</v>
      </c>
      <c r="AR137" t="s">
        <v>349</v>
      </c>
      <c r="AS137" t="s">
        <v>349</v>
      </c>
      <c r="AT137">
        <v>1</v>
      </c>
      <c r="AU137">
        <v>0</v>
      </c>
      <c r="AV137">
        <v>0</v>
      </c>
      <c r="AW137" t="s">
        <v>704</v>
      </c>
      <c r="AX137" t="s">
        <v>1253</v>
      </c>
      <c r="AY137" t="s">
        <v>293</v>
      </c>
      <c r="AZ137" t="s">
        <v>352</v>
      </c>
      <c r="BA137" t="s">
        <v>296</v>
      </c>
      <c r="BB137" t="s">
        <v>301</v>
      </c>
      <c r="BC137" t="s">
        <v>292</v>
      </c>
      <c r="BD137" t="s">
        <v>293</v>
      </c>
      <c r="BE137" t="s">
        <v>292</v>
      </c>
      <c r="BF137" t="s">
        <v>292</v>
      </c>
      <c r="BG137" t="s">
        <v>293</v>
      </c>
      <c r="BH137" t="s">
        <v>302</v>
      </c>
      <c r="BI137" t="s">
        <v>302</v>
      </c>
      <c r="BJ137" t="s">
        <v>359</v>
      </c>
      <c r="BK137" t="s">
        <v>293</v>
      </c>
      <c r="BL137" t="s">
        <v>293</v>
      </c>
      <c r="BM137" t="s">
        <v>297</v>
      </c>
      <c r="BN137" t="s">
        <v>298</v>
      </c>
      <c r="BO137" t="s">
        <v>293</v>
      </c>
      <c r="BP137" t="s">
        <v>292</v>
      </c>
      <c r="BQ137" t="s">
        <v>293</v>
      </c>
      <c r="BR137" t="s">
        <v>293</v>
      </c>
      <c r="BS137" t="s">
        <v>364</v>
      </c>
      <c r="BT137" t="s">
        <v>304</v>
      </c>
      <c r="BU137" t="s">
        <v>371</v>
      </c>
      <c r="BV137" t="s">
        <v>371</v>
      </c>
      <c r="BW137" t="s">
        <v>2580</v>
      </c>
      <c r="BX137" t="str">
        <f>IF(J137="win",VLOOKUP(B137,ColorScheme!$A$2:$I$32,4,0),VLOOKUP(B137,ColorScheme!$A$2:$I$32,5,0))</f>
        <v>#c2007850</v>
      </c>
    </row>
    <row r="138" spans="1:76" x14ac:dyDescent="0.3">
      <c r="A138" t="s">
        <v>9</v>
      </c>
      <c r="B138" t="s">
        <v>10</v>
      </c>
      <c r="C138" t="s">
        <v>37</v>
      </c>
      <c r="D138" t="s">
        <v>29</v>
      </c>
      <c r="E138" t="s">
        <v>840</v>
      </c>
      <c r="F138" t="b">
        <v>1</v>
      </c>
      <c r="G138">
        <v>100</v>
      </c>
      <c r="H138">
        <v>1</v>
      </c>
      <c r="I138">
        <v>14668</v>
      </c>
      <c r="J138" s="61" t="s">
        <v>18</v>
      </c>
      <c r="K138" s="16" t="s">
        <v>272</v>
      </c>
      <c r="L138" s="16">
        <v>2</v>
      </c>
      <c r="M138" s="16" t="s">
        <v>333</v>
      </c>
      <c r="N138" s="16" t="s">
        <v>1678</v>
      </c>
      <c r="O138" s="15" t="s">
        <v>273</v>
      </c>
      <c r="P138" t="s">
        <v>286</v>
      </c>
      <c r="Q138" t="s">
        <v>371</v>
      </c>
      <c r="R138" s="17" t="s">
        <v>371</v>
      </c>
      <c r="S138" s="17">
        <v>0</v>
      </c>
      <c r="T138" s="17">
        <v>0</v>
      </c>
      <c r="U138" s="17">
        <v>0</v>
      </c>
      <c r="V138" s="17">
        <v>0</v>
      </c>
      <c r="W138" s="17">
        <v>1</v>
      </c>
      <c r="X138" s="17">
        <v>0</v>
      </c>
      <c r="Y138" s="17">
        <v>1</v>
      </c>
      <c r="Z138" s="17">
        <v>0</v>
      </c>
      <c r="AA138" s="17">
        <v>0</v>
      </c>
      <c r="AB138" s="17">
        <v>0</v>
      </c>
      <c r="AC138" s="17" t="s">
        <v>704</v>
      </c>
      <c r="AD138" s="16" t="s">
        <v>341</v>
      </c>
      <c r="AE138" s="16" t="s">
        <v>340</v>
      </c>
      <c r="AF138" s="15" t="s">
        <v>343</v>
      </c>
      <c r="AG138" s="15" t="s">
        <v>344</v>
      </c>
      <c r="AH138" s="17" t="s">
        <v>371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704</v>
      </c>
      <c r="AR138" t="s">
        <v>349</v>
      </c>
      <c r="AS138" t="s">
        <v>349</v>
      </c>
      <c r="AT138">
        <v>1</v>
      </c>
      <c r="AU138">
        <v>0</v>
      </c>
      <c r="AV138">
        <v>0</v>
      </c>
      <c r="AW138" t="s">
        <v>704</v>
      </c>
      <c r="AX138" t="s">
        <v>1254</v>
      </c>
      <c r="AY138" t="s">
        <v>293</v>
      </c>
      <c r="AZ138" t="s">
        <v>353</v>
      </c>
      <c r="BA138" t="s">
        <v>296</v>
      </c>
      <c r="BB138" t="s">
        <v>301</v>
      </c>
      <c r="BC138" t="s">
        <v>292</v>
      </c>
      <c r="BD138" t="s">
        <v>293</v>
      </c>
      <c r="BE138" t="s">
        <v>292</v>
      </c>
      <c r="BF138" t="s">
        <v>292</v>
      </c>
      <c r="BG138" t="s">
        <v>293</v>
      </c>
      <c r="BH138" t="s">
        <v>302</v>
      </c>
      <c r="BI138" t="s">
        <v>302</v>
      </c>
      <c r="BJ138" t="s">
        <v>359</v>
      </c>
      <c r="BK138" t="s">
        <v>293</v>
      </c>
      <c r="BL138" t="s">
        <v>293</v>
      </c>
      <c r="BM138" t="s">
        <v>297</v>
      </c>
      <c r="BN138" t="s">
        <v>298</v>
      </c>
      <c r="BO138" t="s">
        <v>293</v>
      </c>
      <c r="BP138" t="s">
        <v>292</v>
      </c>
      <c r="BQ138" t="s">
        <v>293</v>
      </c>
      <c r="BR138" t="s">
        <v>293</v>
      </c>
      <c r="BS138" t="s">
        <v>364</v>
      </c>
      <c r="BT138" t="s">
        <v>304</v>
      </c>
      <c r="BU138" t="s">
        <v>371</v>
      </c>
      <c r="BV138" t="s">
        <v>371</v>
      </c>
      <c r="BW138" t="s">
        <v>2581</v>
      </c>
      <c r="BX138" t="str">
        <f>IF(J138="win",VLOOKUP(B138,ColorScheme!$A$2:$I$32,4,0),VLOOKUP(B138,ColorScheme!$A$2:$I$32,5,0))</f>
        <v>#c2007850</v>
      </c>
    </row>
    <row r="139" spans="1:76" x14ac:dyDescent="0.3">
      <c r="A139" t="s">
        <v>9</v>
      </c>
      <c r="B139" t="s">
        <v>10</v>
      </c>
      <c r="C139" t="s">
        <v>32</v>
      </c>
      <c r="D139" t="s">
        <v>29</v>
      </c>
      <c r="E139" t="s">
        <v>841</v>
      </c>
      <c r="F139" t="b">
        <v>1</v>
      </c>
      <c r="G139">
        <v>51.4</v>
      </c>
      <c r="H139">
        <v>0</v>
      </c>
      <c r="I139">
        <v>14956</v>
      </c>
      <c r="J139" s="61" t="s">
        <v>13</v>
      </c>
      <c r="K139" s="16" t="s">
        <v>273</v>
      </c>
      <c r="L139" s="16">
        <v>2</v>
      </c>
      <c r="M139" s="16" t="s">
        <v>333</v>
      </c>
      <c r="N139" s="16" t="s">
        <v>278</v>
      </c>
      <c r="O139" s="15" t="s">
        <v>283</v>
      </c>
      <c r="P139" t="s">
        <v>281</v>
      </c>
      <c r="Q139" t="s">
        <v>371</v>
      </c>
      <c r="R139" s="17" t="s">
        <v>371</v>
      </c>
      <c r="S139" s="17">
        <v>1</v>
      </c>
      <c r="T139" s="17">
        <v>0</v>
      </c>
      <c r="U139" s="17">
        <v>1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 t="s">
        <v>704</v>
      </c>
      <c r="AD139" s="16" t="s">
        <v>341</v>
      </c>
      <c r="AE139" s="16" t="s">
        <v>342</v>
      </c>
      <c r="AF139" s="15" t="s">
        <v>343</v>
      </c>
      <c r="AG139" s="15" t="s">
        <v>344</v>
      </c>
      <c r="AH139" s="17" t="s">
        <v>291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 t="s">
        <v>704</v>
      </c>
      <c r="AR139" t="s">
        <v>349</v>
      </c>
      <c r="AS139" t="s">
        <v>349</v>
      </c>
      <c r="AT139">
        <v>1</v>
      </c>
      <c r="AU139">
        <v>0</v>
      </c>
      <c r="AV139">
        <v>0</v>
      </c>
      <c r="AW139" t="s">
        <v>704</v>
      </c>
      <c r="AX139" t="s">
        <v>1255</v>
      </c>
      <c r="AY139" t="s">
        <v>293</v>
      </c>
      <c r="AZ139" t="s">
        <v>353</v>
      </c>
      <c r="BA139" t="s">
        <v>296</v>
      </c>
      <c r="BB139" t="s">
        <v>300</v>
      </c>
      <c r="BC139" t="s">
        <v>292</v>
      </c>
      <c r="BD139" t="s">
        <v>293</v>
      </c>
      <c r="BE139" t="s">
        <v>292</v>
      </c>
      <c r="BF139" t="s">
        <v>292</v>
      </c>
      <c r="BG139" t="s">
        <v>293</v>
      </c>
      <c r="BH139" t="s">
        <v>302</v>
      </c>
      <c r="BI139" t="s">
        <v>357</v>
      </c>
      <c r="BJ139" t="s">
        <v>359</v>
      </c>
      <c r="BK139" t="s">
        <v>293</v>
      </c>
      <c r="BL139" t="s">
        <v>293</v>
      </c>
      <c r="BM139" t="s">
        <v>297</v>
      </c>
      <c r="BN139" t="s">
        <v>298</v>
      </c>
      <c r="BO139" t="s">
        <v>293</v>
      </c>
      <c r="BP139" t="s">
        <v>292</v>
      </c>
      <c r="BQ139" t="s">
        <v>293</v>
      </c>
      <c r="BR139" t="s">
        <v>293</v>
      </c>
      <c r="BS139" t="s">
        <v>364</v>
      </c>
      <c r="BT139" t="s">
        <v>366</v>
      </c>
      <c r="BU139" t="s">
        <v>371</v>
      </c>
      <c r="BV139" t="s">
        <v>371</v>
      </c>
      <c r="BW139" t="s">
        <v>2582</v>
      </c>
      <c r="BX139" t="str">
        <f>IF(J139="win",VLOOKUP(B139,ColorScheme!$A$2:$I$32,4,0),VLOOKUP(B139,ColorScheme!$A$2:$I$32,5,0))</f>
        <v>#c20078</v>
      </c>
    </row>
    <row r="140" spans="1:76" x14ac:dyDescent="0.3">
      <c r="A140" t="s">
        <v>9</v>
      </c>
      <c r="B140" t="s">
        <v>10</v>
      </c>
      <c r="C140" t="s">
        <v>30</v>
      </c>
      <c r="D140" t="s">
        <v>29</v>
      </c>
      <c r="E140" t="s">
        <v>842</v>
      </c>
      <c r="F140" t="b">
        <v>1</v>
      </c>
      <c r="G140">
        <v>100</v>
      </c>
      <c r="H140">
        <v>1</v>
      </c>
      <c r="I140">
        <v>14222</v>
      </c>
      <c r="J140" s="61" t="s">
        <v>18</v>
      </c>
      <c r="K140" s="16" t="s">
        <v>273</v>
      </c>
      <c r="L140" s="16">
        <v>2</v>
      </c>
      <c r="M140" s="16" t="s">
        <v>333</v>
      </c>
      <c r="N140" s="16" t="s">
        <v>278</v>
      </c>
      <c r="O140" s="15" t="s">
        <v>283</v>
      </c>
      <c r="P140" t="s">
        <v>281</v>
      </c>
      <c r="Q140" t="s">
        <v>371</v>
      </c>
      <c r="R140" s="17" t="s">
        <v>371</v>
      </c>
      <c r="S140" s="17">
        <v>0</v>
      </c>
      <c r="T140" s="17">
        <v>0</v>
      </c>
      <c r="U140" s="17">
        <v>1</v>
      </c>
      <c r="V140" s="17">
        <v>1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 t="s">
        <v>704</v>
      </c>
      <c r="AD140" s="16" t="s">
        <v>341</v>
      </c>
      <c r="AE140" s="16" t="s">
        <v>342</v>
      </c>
      <c r="AF140" s="15" t="s">
        <v>343</v>
      </c>
      <c r="AG140" s="15" t="s">
        <v>344</v>
      </c>
      <c r="AH140" s="17" t="s">
        <v>291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 t="s">
        <v>704</v>
      </c>
      <c r="AR140" t="s">
        <v>349</v>
      </c>
      <c r="AS140" t="s">
        <v>349</v>
      </c>
      <c r="AT140">
        <v>1</v>
      </c>
      <c r="AU140">
        <v>0</v>
      </c>
      <c r="AV140">
        <v>0</v>
      </c>
      <c r="AW140" t="s">
        <v>704</v>
      </c>
      <c r="AX140" t="s">
        <v>1256</v>
      </c>
      <c r="AY140" t="s">
        <v>293</v>
      </c>
      <c r="AZ140" t="s">
        <v>353</v>
      </c>
      <c r="BA140" t="s">
        <v>296</v>
      </c>
      <c r="BB140" t="s">
        <v>300</v>
      </c>
      <c r="BC140" t="s">
        <v>292</v>
      </c>
      <c r="BD140" t="s">
        <v>293</v>
      </c>
      <c r="BE140" t="s">
        <v>292</v>
      </c>
      <c r="BF140" t="s">
        <v>292</v>
      </c>
      <c r="BG140" t="s">
        <v>293</v>
      </c>
      <c r="BH140" t="s">
        <v>302</v>
      </c>
      <c r="BI140" t="s">
        <v>357</v>
      </c>
      <c r="BJ140" t="s">
        <v>359</v>
      </c>
      <c r="BK140" t="s">
        <v>293</v>
      </c>
      <c r="BL140" t="s">
        <v>293</v>
      </c>
      <c r="BM140" t="s">
        <v>297</v>
      </c>
      <c r="BN140" t="s">
        <v>298</v>
      </c>
      <c r="BO140" t="s">
        <v>293</v>
      </c>
      <c r="BP140" t="s">
        <v>292</v>
      </c>
      <c r="BQ140" t="s">
        <v>293</v>
      </c>
      <c r="BR140" t="s">
        <v>293</v>
      </c>
      <c r="BS140" t="s">
        <v>364</v>
      </c>
      <c r="BT140" t="s">
        <v>304</v>
      </c>
      <c r="BU140" t="s">
        <v>371</v>
      </c>
      <c r="BV140" t="s">
        <v>371</v>
      </c>
      <c r="BW140" t="s">
        <v>2583</v>
      </c>
      <c r="BX140" t="str">
        <f>IF(J140="win",VLOOKUP(B140,ColorScheme!$A$2:$I$32,4,0),VLOOKUP(B140,ColorScheme!$A$2:$I$32,5,0))</f>
        <v>#c2007850</v>
      </c>
    </row>
    <row r="141" spans="1:76" x14ac:dyDescent="0.3">
      <c r="A141" t="s">
        <v>9</v>
      </c>
      <c r="B141" t="s">
        <v>10</v>
      </c>
      <c r="C141" t="s">
        <v>41</v>
      </c>
      <c r="D141" t="s">
        <v>29</v>
      </c>
      <c r="E141" t="s">
        <v>843</v>
      </c>
      <c r="F141" t="b">
        <v>1</v>
      </c>
      <c r="G141">
        <v>100</v>
      </c>
      <c r="H141">
        <v>1</v>
      </c>
      <c r="I141">
        <v>12926</v>
      </c>
      <c r="J141" s="61" t="s">
        <v>18</v>
      </c>
      <c r="K141" s="16" t="s">
        <v>272</v>
      </c>
      <c r="L141" s="16">
        <v>3</v>
      </c>
      <c r="M141" s="16" t="s">
        <v>333</v>
      </c>
      <c r="N141" s="16" t="s">
        <v>279</v>
      </c>
      <c r="O141" s="15" t="s">
        <v>283</v>
      </c>
      <c r="P141" t="s">
        <v>282</v>
      </c>
      <c r="Q141" t="s">
        <v>338</v>
      </c>
      <c r="R141" s="17" t="s">
        <v>371</v>
      </c>
      <c r="S141" s="17">
        <v>0</v>
      </c>
      <c r="T141" s="17">
        <v>1</v>
      </c>
      <c r="U141" s="17">
        <v>1</v>
      </c>
      <c r="V141" s="17">
        <v>0</v>
      </c>
      <c r="W141" s="17">
        <v>0</v>
      </c>
      <c r="X141" s="17">
        <v>0</v>
      </c>
      <c r="Y141" s="17">
        <v>0</v>
      </c>
      <c r="Z141" s="17">
        <v>1</v>
      </c>
      <c r="AA141" s="17">
        <v>0</v>
      </c>
      <c r="AB141" s="17">
        <v>0</v>
      </c>
      <c r="AC141" s="17" t="s">
        <v>704</v>
      </c>
      <c r="AD141" s="16" t="s">
        <v>341</v>
      </c>
      <c r="AE141" s="16" t="s">
        <v>340</v>
      </c>
      <c r="AF141" s="15" t="s">
        <v>343</v>
      </c>
      <c r="AG141" s="15" t="s">
        <v>344</v>
      </c>
      <c r="AH141" s="17" t="s">
        <v>371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704</v>
      </c>
      <c r="AR141" t="s">
        <v>350</v>
      </c>
      <c r="AS141" t="s">
        <v>349</v>
      </c>
      <c r="AT141">
        <v>0</v>
      </c>
      <c r="AU141">
        <v>1</v>
      </c>
      <c r="AV141">
        <v>0</v>
      </c>
      <c r="AW141" t="s">
        <v>704</v>
      </c>
      <c r="AX141" t="s">
        <v>2912</v>
      </c>
      <c r="AY141" t="s">
        <v>293</v>
      </c>
      <c r="AZ141" t="s">
        <v>353</v>
      </c>
      <c r="BA141" t="s">
        <v>296</v>
      </c>
      <c r="BB141" t="s">
        <v>301</v>
      </c>
      <c r="BC141" t="s">
        <v>292</v>
      </c>
      <c r="BD141" t="s">
        <v>293</v>
      </c>
      <c r="BE141" t="s">
        <v>292</v>
      </c>
      <c r="BF141" t="s">
        <v>292</v>
      </c>
      <c r="BG141" t="s">
        <v>293</v>
      </c>
      <c r="BH141" t="s">
        <v>302</v>
      </c>
      <c r="BI141" t="s">
        <v>302</v>
      </c>
      <c r="BJ141" t="s">
        <v>359</v>
      </c>
      <c r="BK141" t="s">
        <v>293</v>
      </c>
      <c r="BL141" t="s">
        <v>293</v>
      </c>
      <c r="BM141" t="s">
        <v>297</v>
      </c>
      <c r="BN141" t="s">
        <v>298</v>
      </c>
      <c r="BO141" t="s">
        <v>293</v>
      </c>
      <c r="BP141" t="s">
        <v>292</v>
      </c>
      <c r="BQ141" t="s">
        <v>293</v>
      </c>
      <c r="BR141" t="s">
        <v>293</v>
      </c>
      <c r="BS141" t="s">
        <v>364</v>
      </c>
      <c r="BT141" t="s">
        <v>304</v>
      </c>
      <c r="BU141" t="s">
        <v>371</v>
      </c>
      <c r="BV141" t="s">
        <v>371</v>
      </c>
      <c r="BW141" t="s">
        <v>2584</v>
      </c>
      <c r="BX141" t="str">
        <f>IF(J141="win",VLOOKUP(B141,ColorScheme!$A$2:$I$32,4,0),VLOOKUP(B141,ColorScheme!$A$2:$I$32,5,0))</f>
        <v>#c2007850</v>
      </c>
    </row>
    <row r="142" spans="1:76" x14ac:dyDescent="0.3">
      <c r="A142" t="s">
        <v>9</v>
      </c>
      <c r="B142" t="s">
        <v>10</v>
      </c>
      <c r="C142" t="s">
        <v>40</v>
      </c>
      <c r="D142" t="s">
        <v>29</v>
      </c>
      <c r="E142" t="s">
        <v>844</v>
      </c>
      <c r="F142" t="b">
        <v>1</v>
      </c>
      <c r="G142">
        <v>100</v>
      </c>
      <c r="H142">
        <v>1</v>
      </c>
      <c r="I142">
        <v>13632</v>
      </c>
      <c r="J142" s="61" t="s">
        <v>18</v>
      </c>
      <c r="K142" s="16" t="s">
        <v>272</v>
      </c>
      <c r="L142" s="16">
        <v>3</v>
      </c>
      <c r="M142" s="16" t="s">
        <v>333</v>
      </c>
      <c r="N142" s="16" t="s">
        <v>279</v>
      </c>
      <c r="O142" s="15" t="s">
        <v>283</v>
      </c>
      <c r="P142" t="s">
        <v>282</v>
      </c>
      <c r="Q142" t="s">
        <v>338</v>
      </c>
      <c r="R142" s="17" t="s">
        <v>371</v>
      </c>
      <c r="S142" s="17">
        <v>0</v>
      </c>
      <c r="T142" s="17">
        <v>1</v>
      </c>
      <c r="U142" s="17">
        <v>1</v>
      </c>
      <c r="V142" s="17">
        <v>0</v>
      </c>
      <c r="W142" s="17">
        <v>0</v>
      </c>
      <c r="X142" s="17">
        <v>0</v>
      </c>
      <c r="Y142" s="17">
        <v>0</v>
      </c>
      <c r="Z142" s="17">
        <v>1</v>
      </c>
      <c r="AA142" s="17">
        <v>0</v>
      </c>
      <c r="AB142" s="17">
        <v>0</v>
      </c>
      <c r="AC142" s="17" t="s">
        <v>704</v>
      </c>
      <c r="AD142" s="16" t="s">
        <v>341</v>
      </c>
      <c r="AE142" s="16" t="s">
        <v>340</v>
      </c>
      <c r="AF142" s="15" t="s">
        <v>343</v>
      </c>
      <c r="AG142" s="15" t="s">
        <v>344</v>
      </c>
      <c r="AH142" s="17" t="s">
        <v>371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704</v>
      </c>
      <c r="AR142" t="s">
        <v>350</v>
      </c>
      <c r="AS142" t="s">
        <v>349</v>
      </c>
      <c r="AT142">
        <v>0</v>
      </c>
      <c r="AU142">
        <v>1</v>
      </c>
      <c r="AV142">
        <v>0</v>
      </c>
      <c r="AW142" t="s">
        <v>704</v>
      </c>
      <c r="AX142" t="s">
        <v>2912</v>
      </c>
      <c r="AY142" t="s">
        <v>293</v>
      </c>
      <c r="AZ142" t="s">
        <v>352</v>
      </c>
      <c r="BA142" t="s">
        <v>296</v>
      </c>
      <c r="BB142" t="s">
        <v>301</v>
      </c>
      <c r="BC142" t="s">
        <v>292</v>
      </c>
      <c r="BD142" t="s">
        <v>293</v>
      </c>
      <c r="BE142" t="s">
        <v>292</v>
      </c>
      <c r="BF142" t="s">
        <v>292</v>
      </c>
      <c r="BG142" t="s">
        <v>293</v>
      </c>
      <c r="BH142" t="s">
        <v>302</v>
      </c>
      <c r="BI142" t="s">
        <v>302</v>
      </c>
      <c r="BJ142" t="s">
        <v>359</v>
      </c>
      <c r="BK142" t="s">
        <v>293</v>
      </c>
      <c r="BL142" t="s">
        <v>293</v>
      </c>
      <c r="BM142" t="s">
        <v>297</v>
      </c>
      <c r="BN142" t="s">
        <v>298</v>
      </c>
      <c r="BO142" t="s">
        <v>293</v>
      </c>
      <c r="BP142" t="s">
        <v>292</v>
      </c>
      <c r="BQ142" t="s">
        <v>293</v>
      </c>
      <c r="BR142" t="s">
        <v>293</v>
      </c>
      <c r="BS142" t="s">
        <v>364</v>
      </c>
      <c r="BT142" t="s">
        <v>304</v>
      </c>
      <c r="BU142" t="s">
        <v>371</v>
      </c>
      <c r="BV142" t="s">
        <v>371</v>
      </c>
      <c r="BW142" t="s">
        <v>2585</v>
      </c>
      <c r="BX142" t="str">
        <f>IF(J142="win",VLOOKUP(B142,ColorScheme!$A$2:$I$32,4,0),VLOOKUP(B142,ColorScheme!$A$2:$I$32,5,0))</f>
        <v>#c2007850</v>
      </c>
    </row>
    <row r="143" spans="1:76" x14ac:dyDescent="0.3">
      <c r="A143" t="s">
        <v>9</v>
      </c>
      <c r="B143" t="s">
        <v>10</v>
      </c>
      <c r="C143" t="s">
        <v>38</v>
      </c>
      <c r="D143" t="s">
        <v>29</v>
      </c>
      <c r="E143" t="s">
        <v>845</v>
      </c>
      <c r="F143" t="b">
        <v>1</v>
      </c>
      <c r="G143">
        <v>100</v>
      </c>
      <c r="H143">
        <v>1</v>
      </c>
      <c r="I143">
        <v>16019</v>
      </c>
      <c r="J143" s="61" t="s">
        <v>18</v>
      </c>
      <c r="K143" s="16" t="s">
        <v>272</v>
      </c>
      <c r="L143" s="16">
        <v>3</v>
      </c>
      <c r="M143" s="16" t="s">
        <v>277</v>
      </c>
      <c r="N143" s="16" t="s">
        <v>335</v>
      </c>
      <c r="O143" s="15" t="s">
        <v>273</v>
      </c>
      <c r="P143" t="s">
        <v>338</v>
      </c>
      <c r="Q143" t="s">
        <v>371</v>
      </c>
      <c r="R143" s="17" t="s">
        <v>371</v>
      </c>
      <c r="S143" s="17">
        <v>0</v>
      </c>
      <c r="T143" s="17">
        <v>0</v>
      </c>
      <c r="U143" s="17">
        <v>0</v>
      </c>
      <c r="V143" s="17">
        <v>0</v>
      </c>
      <c r="W143" s="17">
        <v>1</v>
      </c>
      <c r="X143" s="17">
        <v>0</v>
      </c>
      <c r="Y143" s="17">
        <v>0</v>
      </c>
      <c r="Z143" s="17">
        <v>1</v>
      </c>
      <c r="AA143" s="17">
        <v>0</v>
      </c>
      <c r="AB143" s="17">
        <v>0</v>
      </c>
      <c r="AC143" s="17" t="s">
        <v>704</v>
      </c>
      <c r="AD143" s="16" t="s">
        <v>341</v>
      </c>
      <c r="AE143" s="16" t="s">
        <v>340</v>
      </c>
      <c r="AF143" s="15" t="s">
        <v>343</v>
      </c>
      <c r="AG143" s="15" t="s">
        <v>344</v>
      </c>
      <c r="AH143" s="17" t="s">
        <v>371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704</v>
      </c>
      <c r="AR143" t="s">
        <v>349</v>
      </c>
      <c r="AS143" t="s">
        <v>349</v>
      </c>
      <c r="AT143">
        <v>1</v>
      </c>
      <c r="AU143">
        <v>0</v>
      </c>
      <c r="AV143">
        <v>0</v>
      </c>
      <c r="AW143" t="s">
        <v>704</v>
      </c>
      <c r="AX143" t="s">
        <v>1257</v>
      </c>
      <c r="AY143" t="s">
        <v>293</v>
      </c>
      <c r="AZ143" t="s">
        <v>353</v>
      </c>
      <c r="BA143" t="s">
        <v>296</v>
      </c>
      <c r="BB143" t="s">
        <v>301</v>
      </c>
      <c r="BC143" t="s">
        <v>292</v>
      </c>
      <c r="BD143" t="s">
        <v>293</v>
      </c>
      <c r="BE143" t="s">
        <v>292</v>
      </c>
      <c r="BF143" t="s">
        <v>292</v>
      </c>
      <c r="BG143" t="s">
        <v>293</v>
      </c>
      <c r="BH143" t="s">
        <v>302</v>
      </c>
      <c r="BI143" t="s">
        <v>302</v>
      </c>
      <c r="BJ143" t="s">
        <v>359</v>
      </c>
      <c r="BK143" t="s">
        <v>293</v>
      </c>
      <c r="BL143" t="s">
        <v>293</v>
      </c>
      <c r="BM143" t="s">
        <v>297</v>
      </c>
      <c r="BN143" t="s">
        <v>298</v>
      </c>
      <c r="BO143" t="s">
        <v>293</v>
      </c>
      <c r="BP143" t="s">
        <v>292</v>
      </c>
      <c r="BQ143" t="s">
        <v>293</v>
      </c>
      <c r="BR143" t="s">
        <v>293</v>
      </c>
      <c r="BS143" t="s">
        <v>364</v>
      </c>
      <c r="BT143" t="s">
        <v>304</v>
      </c>
      <c r="BU143" t="s">
        <v>371</v>
      </c>
      <c r="BV143" t="s">
        <v>371</v>
      </c>
      <c r="BW143" t="s">
        <v>2586</v>
      </c>
      <c r="BX143" t="str">
        <f>IF(J143="win",VLOOKUP(B143,ColorScheme!$A$2:$I$32,4,0),VLOOKUP(B143,ColorScheme!$A$2:$I$32,5,0))</f>
        <v>#c2007850</v>
      </c>
    </row>
    <row r="144" spans="1:76" x14ac:dyDescent="0.3">
      <c r="A144" t="s">
        <v>9</v>
      </c>
      <c r="B144" t="s">
        <v>10</v>
      </c>
      <c r="C144" t="s">
        <v>34</v>
      </c>
      <c r="D144" t="s">
        <v>29</v>
      </c>
      <c r="E144" t="s">
        <v>846</v>
      </c>
      <c r="F144" t="b">
        <v>1</v>
      </c>
      <c r="G144">
        <v>100</v>
      </c>
      <c r="H144">
        <v>1</v>
      </c>
      <c r="I144">
        <v>14212</v>
      </c>
      <c r="J144" s="61" t="s">
        <v>18</v>
      </c>
      <c r="K144" s="16" t="s">
        <v>273</v>
      </c>
      <c r="L144" s="16">
        <v>2</v>
      </c>
      <c r="M144" s="16" t="s">
        <v>333</v>
      </c>
      <c r="N144" s="16" t="s">
        <v>278</v>
      </c>
      <c r="O144" s="15" t="s">
        <v>283</v>
      </c>
      <c r="P144" t="s">
        <v>281</v>
      </c>
      <c r="Q144" t="s">
        <v>371</v>
      </c>
      <c r="R144" s="17" t="s">
        <v>371</v>
      </c>
      <c r="S144" s="17">
        <v>1</v>
      </c>
      <c r="T144" s="17">
        <v>0</v>
      </c>
      <c r="U144" s="17">
        <v>1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 t="s">
        <v>704</v>
      </c>
      <c r="AD144" s="16" t="s">
        <v>341</v>
      </c>
      <c r="AE144" s="16" t="s">
        <v>342</v>
      </c>
      <c r="AF144" s="15" t="s">
        <v>343</v>
      </c>
      <c r="AG144" s="15" t="s">
        <v>344</v>
      </c>
      <c r="AH144" s="17" t="s">
        <v>371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704</v>
      </c>
      <c r="AR144" t="s">
        <v>349</v>
      </c>
      <c r="AS144" t="s">
        <v>349</v>
      </c>
      <c r="AT144">
        <v>1</v>
      </c>
      <c r="AU144">
        <v>0</v>
      </c>
      <c r="AV144">
        <v>0</v>
      </c>
      <c r="AW144" t="s">
        <v>704</v>
      </c>
      <c r="AX144" t="s">
        <v>1258</v>
      </c>
      <c r="AY144" t="s">
        <v>293</v>
      </c>
      <c r="AZ144" t="s">
        <v>353</v>
      </c>
      <c r="BA144" t="s">
        <v>296</v>
      </c>
      <c r="BB144" t="s">
        <v>300</v>
      </c>
      <c r="BC144" t="s">
        <v>292</v>
      </c>
      <c r="BD144" t="s">
        <v>293</v>
      </c>
      <c r="BE144" t="s">
        <v>292</v>
      </c>
      <c r="BF144" t="s">
        <v>292</v>
      </c>
      <c r="BG144" t="s">
        <v>293</v>
      </c>
      <c r="BH144" t="s">
        <v>302</v>
      </c>
      <c r="BI144" t="s">
        <v>357</v>
      </c>
      <c r="BJ144" t="s">
        <v>359</v>
      </c>
      <c r="BK144" t="s">
        <v>293</v>
      </c>
      <c r="BL144" t="s">
        <v>293</v>
      </c>
      <c r="BM144" t="s">
        <v>297</v>
      </c>
      <c r="BN144" t="s">
        <v>298</v>
      </c>
      <c r="BO144" t="s">
        <v>293</v>
      </c>
      <c r="BP144" t="s">
        <v>292</v>
      </c>
      <c r="BQ144" t="s">
        <v>293</v>
      </c>
      <c r="BR144" t="s">
        <v>293</v>
      </c>
      <c r="BS144" t="s">
        <v>364</v>
      </c>
      <c r="BT144" t="s">
        <v>304</v>
      </c>
      <c r="BU144" t="s">
        <v>371</v>
      </c>
      <c r="BV144" t="s">
        <v>371</v>
      </c>
      <c r="BW144" t="s">
        <v>2587</v>
      </c>
      <c r="BX144" t="str">
        <f>IF(J144="win",VLOOKUP(B144,ColorScheme!$A$2:$I$32,4,0),VLOOKUP(B144,ColorScheme!$A$2:$I$32,5,0))</f>
        <v>#c2007850</v>
      </c>
    </row>
    <row r="145" spans="1:76" x14ac:dyDescent="0.3">
      <c r="A145" t="s">
        <v>9</v>
      </c>
      <c r="B145" t="s">
        <v>10</v>
      </c>
      <c r="C145" t="s">
        <v>42</v>
      </c>
      <c r="D145" t="s">
        <v>29</v>
      </c>
      <c r="E145" t="s">
        <v>847</v>
      </c>
      <c r="F145" t="b">
        <v>1</v>
      </c>
      <c r="G145">
        <v>100</v>
      </c>
      <c r="H145">
        <v>1</v>
      </c>
      <c r="I145">
        <v>14591</v>
      </c>
      <c r="J145" s="61" t="s">
        <v>13</v>
      </c>
      <c r="K145" s="16" t="s">
        <v>272</v>
      </c>
      <c r="L145" s="16">
        <v>3</v>
      </c>
      <c r="M145" s="16" t="s">
        <v>333</v>
      </c>
      <c r="N145" s="16" t="s">
        <v>279</v>
      </c>
      <c r="O145" s="15" t="s">
        <v>283</v>
      </c>
      <c r="P145" t="s">
        <v>282</v>
      </c>
      <c r="Q145" t="s">
        <v>338</v>
      </c>
      <c r="R145" s="17" t="s">
        <v>371</v>
      </c>
      <c r="S145" s="17">
        <v>0</v>
      </c>
      <c r="T145" s="17">
        <v>1</v>
      </c>
      <c r="U145" s="17">
        <v>1</v>
      </c>
      <c r="V145" s="17">
        <v>0</v>
      </c>
      <c r="W145" s="17">
        <v>0</v>
      </c>
      <c r="X145" s="17">
        <v>0</v>
      </c>
      <c r="Y145" s="17">
        <v>0</v>
      </c>
      <c r="Z145" s="17">
        <v>1</v>
      </c>
      <c r="AA145" s="17">
        <v>0</v>
      </c>
      <c r="AB145" s="17">
        <v>0</v>
      </c>
      <c r="AC145" s="17" t="s">
        <v>704</v>
      </c>
      <c r="AD145" s="16" t="s">
        <v>341</v>
      </c>
      <c r="AE145" s="16" t="s">
        <v>340</v>
      </c>
      <c r="AF145" s="15" t="s">
        <v>343</v>
      </c>
      <c r="AG145" s="15" t="s">
        <v>344</v>
      </c>
      <c r="AH145" s="17" t="s">
        <v>371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704</v>
      </c>
      <c r="AR145" t="s">
        <v>350</v>
      </c>
      <c r="AS145" t="s">
        <v>349</v>
      </c>
      <c r="AT145">
        <v>0</v>
      </c>
      <c r="AU145">
        <v>1</v>
      </c>
      <c r="AV145">
        <v>0</v>
      </c>
      <c r="AW145" t="s">
        <v>704</v>
      </c>
      <c r="AX145" t="s">
        <v>2912</v>
      </c>
      <c r="AY145" t="s">
        <v>293</v>
      </c>
      <c r="AZ145" t="s">
        <v>353</v>
      </c>
      <c r="BA145" t="s">
        <v>296</v>
      </c>
      <c r="BB145" t="s">
        <v>300</v>
      </c>
      <c r="BC145" t="s">
        <v>292</v>
      </c>
      <c r="BD145" t="s">
        <v>293</v>
      </c>
      <c r="BE145" t="s">
        <v>292</v>
      </c>
      <c r="BF145" t="s">
        <v>292</v>
      </c>
      <c r="BG145" t="s">
        <v>293</v>
      </c>
      <c r="BH145" t="s">
        <v>302</v>
      </c>
      <c r="BI145" t="s">
        <v>302</v>
      </c>
      <c r="BJ145" t="s">
        <v>359</v>
      </c>
      <c r="BK145" t="s">
        <v>293</v>
      </c>
      <c r="BL145" t="s">
        <v>293</v>
      </c>
      <c r="BM145" t="s">
        <v>297</v>
      </c>
      <c r="BN145" t="s">
        <v>298</v>
      </c>
      <c r="BO145" t="s">
        <v>293</v>
      </c>
      <c r="BP145" t="s">
        <v>292</v>
      </c>
      <c r="BQ145" t="s">
        <v>293</v>
      </c>
      <c r="BR145" t="s">
        <v>293</v>
      </c>
      <c r="BS145" t="s">
        <v>364</v>
      </c>
      <c r="BT145" t="s">
        <v>366</v>
      </c>
      <c r="BU145" t="s">
        <v>371</v>
      </c>
      <c r="BV145" t="s">
        <v>371</v>
      </c>
      <c r="BW145" t="s">
        <v>2588</v>
      </c>
      <c r="BX145" t="str">
        <f>IF(J145="win",VLOOKUP(B145,ColorScheme!$A$2:$I$32,4,0),VLOOKUP(B145,ColorScheme!$A$2:$I$32,5,0))</f>
        <v>#c20078</v>
      </c>
    </row>
    <row r="146" spans="1:76" x14ac:dyDescent="0.3">
      <c r="A146" t="s">
        <v>9</v>
      </c>
      <c r="B146" t="s">
        <v>10</v>
      </c>
      <c r="C146" t="s">
        <v>36</v>
      </c>
      <c r="D146" t="s">
        <v>29</v>
      </c>
      <c r="E146" t="s">
        <v>848</v>
      </c>
      <c r="F146" t="b">
        <v>1</v>
      </c>
      <c r="G146">
        <v>100</v>
      </c>
      <c r="H146">
        <v>1</v>
      </c>
      <c r="I146">
        <v>14106</v>
      </c>
      <c r="J146" s="61" t="s">
        <v>18</v>
      </c>
      <c r="K146" s="16" t="s">
        <v>272</v>
      </c>
      <c r="L146" s="16">
        <v>3</v>
      </c>
      <c r="M146" s="16" t="s">
        <v>277</v>
      </c>
      <c r="N146" s="16" t="s">
        <v>335</v>
      </c>
      <c r="O146" s="15" t="s">
        <v>273</v>
      </c>
      <c r="P146" t="s">
        <v>286</v>
      </c>
      <c r="Q146" t="s">
        <v>371</v>
      </c>
      <c r="R146" s="17" t="s">
        <v>371</v>
      </c>
      <c r="S146" s="17">
        <v>0</v>
      </c>
      <c r="T146" s="17">
        <v>0</v>
      </c>
      <c r="U146" s="17">
        <v>0</v>
      </c>
      <c r="V146" s="17">
        <v>0</v>
      </c>
      <c r="W146" s="17">
        <v>1</v>
      </c>
      <c r="X146" s="17">
        <v>0</v>
      </c>
      <c r="Y146" s="17">
        <v>1</v>
      </c>
      <c r="Z146" s="17">
        <v>0</v>
      </c>
      <c r="AA146" s="17">
        <v>0</v>
      </c>
      <c r="AB146" s="17">
        <v>0</v>
      </c>
      <c r="AC146" s="17" t="s">
        <v>704</v>
      </c>
      <c r="AD146" s="16" t="s">
        <v>341</v>
      </c>
      <c r="AE146" s="16" t="s">
        <v>340</v>
      </c>
      <c r="AF146" s="15" t="s">
        <v>343</v>
      </c>
      <c r="AG146" s="15" t="s">
        <v>344</v>
      </c>
      <c r="AH146" s="17" t="s">
        <v>371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704</v>
      </c>
      <c r="AR146" t="s">
        <v>349</v>
      </c>
      <c r="AS146" t="s">
        <v>349</v>
      </c>
      <c r="AT146">
        <v>1</v>
      </c>
      <c r="AU146">
        <v>0</v>
      </c>
      <c r="AV146">
        <v>0</v>
      </c>
      <c r="AW146" t="s">
        <v>704</v>
      </c>
      <c r="AX146" t="s">
        <v>1254</v>
      </c>
      <c r="AY146" t="s">
        <v>293</v>
      </c>
      <c r="AZ146" t="s">
        <v>353</v>
      </c>
      <c r="BA146" t="s">
        <v>296</v>
      </c>
      <c r="BB146" t="s">
        <v>301</v>
      </c>
      <c r="BC146" t="s">
        <v>292</v>
      </c>
      <c r="BD146" t="s">
        <v>293</v>
      </c>
      <c r="BE146" t="s">
        <v>292</v>
      </c>
      <c r="BF146" t="s">
        <v>292</v>
      </c>
      <c r="BG146" t="s">
        <v>293</v>
      </c>
      <c r="BH146" t="s">
        <v>302</v>
      </c>
      <c r="BI146" t="s">
        <v>302</v>
      </c>
      <c r="BJ146" t="s">
        <v>359</v>
      </c>
      <c r="BK146" t="s">
        <v>293</v>
      </c>
      <c r="BL146" t="s">
        <v>293</v>
      </c>
      <c r="BM146" t="s">
        <v>297</v>
      </c>
      <c r="BN146" t="s">
        <v>298</v>
      </c>
      <c r="BO146" t="s">
        <v>293</v>
      </c>
      <c r="BP146" t="s">
        <v>292</v>
      </c>
      <c r="BQ146" t="s">
        <v>293</v>
      </c>
      <c r="BR146" t="s">
        <v>293</v>
      </c>
      <c r="BS146" t="s">
        <v>364</v>
      </c>
      <c r="BT146" t="s">
        <v>304</v>
      </c>
      <c r="BU146" t="s">
        <v>371</v>
      </c>
      <c r="BV146" t="s">
        <v>371</v>
      </c>
      <c r="BW146" t="s">
        <v>2589</v>
      </c>
      <c r="BX146" t="str">
        <f>IF(J146="win",VLOOKUP(B146,ColorScheme!$A$2:$I$32,4,0),VLOOKUP(B146,ColorScheme!$A$2:$I$32,5,0))</f>
        <v>#c2007850</v>
      </c>
    </row>
    <row r="147" spans="1:76" x14ac:dyDescent="0.3">
      <c r="A147" t="s">
        <v>9</v>
      </c>
      <c r="B147" t="s">
        <v>10</v>
      </c>
      <c r="C147" t="s">
        <v>33</v>
      </c>
      <c r="D147" t="s">
        <v>29</v>
      </c>
      <c r="E147" t="s">
        <v>849</v>
      </c>
      <c r="F147" t="b">
        <v>1</v>
      </c>
      <c r="G147">
        <v>100</v>
      </c>
      <c r="H147">
        <v>1</v>
      </c>
      <c r="I147">
        <v>13950</v>
      </c>
      <c r="J147" s="61" t="s">
        <v>18</v>
      </c>
      <c r="K147" s="16" t="s">
        <v>273</v>
      </c>
      <c r="L147" s="16">
        <v>2</v>
      </c>
      <c r="M147" s="16" t="s">
        <v>333</v>
      </c>
      <c r="N147" s="16" t="s">
        <v>278</v>
      </c>
      <c r="O147" s="15" t="s">
        <v>283</v>
      </c>
      <c r="P147" t="s">
        <v>281</v>
      </c>
      <c r="Q147" t="s">
        <v>371</v>
      </c>
      <c r="R147" s="17" t="s">
        <v>371</v>
      </c>
      <c r="S147" s="17">
        <v>1</v>
      </c>
      <c r="T147" s="17">
        <v>0</v>
      </c>
      <c r="U147" s="17">
        <v>1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 t="s">
        <v>704</v>
      </c>
      <c r="AD147" s="16" t="s">
        <v>341</v>
      </c>
      <c r="AE147" s="16" t="s">
        <v>342</v>
      </c>
      <c r="AF147" s="15" t="s">
        <v>343</v>
      </c>
      <c r="AG147" s="15" t="s">
        <v>344</v>
      </c>
      <c r="AH147" s="17" t="s">
        <v>371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704</v>
      </c>
      <c r="AR147" t="s">
        <v>349</v>
      </c>
      <c r="AS147" t="s">
        <v>349</v>
      </c>
      <c r="AT147">
        <v>1</v>
      </c>
      <c r="AU147">
        <v>0</v>
      </c>
      <c r="AV147">
        <v>0</v>
      </c>
      <c r="AW147" t="s">
        <v>704</v>
      </c>
      <c r="AX147" t="s">
        <v>1258</v>
      </c>
      <c r="AY147" t="s">
        <v>293</v>
      </c>
      <c r="AZ147" t="s">
        <v>353</v>
      </c>
      <c r="BA147" t="s">
        <v>296</v>
      </c>
      <c r="BB147" t="s">
        <v>300</v>
      </c>
      <c r="BC147" t="s">
        <v>292</v>
      </c>
      <c r="BD147" t="s">
        <v>293</v>
      </c>
      <c r="BE147" t="s">
        <v>292</v>
      </c>
      <c r="BF147" t="s">
        <v>292</v>
      </c>
      <c r="BG147" t="s">
        <v>293</v>
      </c>
      <c r="BH147" t="s">
        <v>302</v>
      </c>
      <c r="BI147" t="s">
        <v>357</v>
      </c>
      <c r="BJ147" t="s">
        <v>359</v>
      </c>
      <c r="BK147" t="s">
        <v>293</v>
      </c>
      <c r="BL147" t="s">
        <v>293</v>
      </c>
      <c r="BM147" t="s">
        <v>297</v>
      </c>
      <c r="BN147" t="s">
        <v>298</v>
      </c>
      <c r="BO147" t="s">
        <v>293</v>
      </c>
      <c r="BP147" t="s">
        <v>292</v>
      </c>
      <c r="BQ147" t="s">
        <v>293</v>
      </c>
      <c r="BR147" t="s">
        <v>293</v>
      </c>
      <c r="BS147" t="s">
        <v>364</v>
      </c>
      <c r="BT147" t="s">
        <v>304</v>
      </c>
      <c r="BU147" t="s">
        <v>371</v>
      </c>
      <c r="BV147" t="s">
        <v>371</v>
      </c>
      <c r="BW147" t="s">
        <v>2590</v>
      </c>
      <c r="BX147" t="str">
        <f>IF(J147="win",VLOOKUP(B147,ColorScheme!$A$2:$I$32,4,0),VLOOKUP(B147,ColorScheme!$A$2:$I$32,5,0))</f>
        <v>#c2007850</v>
      </c>
    </row>
    <row r="148" spans="1:76" x14ac:dyDescent="0.3">
      <c r="A148" t="s">
        <v>9</v>
      </c>
      <c r="B148" t="s">
        <v>10</v>
      </c>
      <c r="C148" t="s">
        <v>31</v>
      </c>
      <c r="D148" t="s">
        <v>29</v>
      </c>
      <c r="E148" t="s">
        <v>850</v>
      </c>
      <c r="F148" t="b">
        <v>1</v>
      </c>
      <c r="G148">
        <v>100</v>
      </c>
      <c r="H148">
        <v>1</v>
      </c>
      <c r="I148">
        <v>17083</v>
      </c>
      <c r="J148" s="61" t="s">
        <v>18</v>
      </c>
      <c r="K148" s="16" t="s">
        <v>273</v>
      </c>
      <c r="L148" s="16">
        <v>2</v>
      </c>
      <c r="M148" s="16" t="s">
        <v>333</v>
      </c>
      <c r="N148" s="16" t="s">
        <v>278</v>
      </c>
      <c r="O148" s="15" t="s">
        <v>283</v>
      </c>
      <c r="P148" t="s">
        <v>281</v>
      </c>
      <c r="Q148" t="s">
        <v>371</v>
      </c>
      <c r="R148" s="17" t="s">
        <v>371</v>
      </c>
      <c r="S148" s="17">
        <v>1</v>
      </c>
      <c r="T148" s="17">
        <v>0</v>
      </c>
      <c r="U148" s="17">
        <v>1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 t="s">
        <v>704</v>
      </c>
      <c r="AD148" s="16" t="s">
        <v>341</v>
      </c>
      <c r="AE148" s="16" t="s">
        <v>342</v>
      </c>
      <c r="AF148" s="15" t="s">
        <v>343</v>
      </c>
      <c r="AG148" s="15" t="s">
        <v>344</v>
      </c>
      <c r="AH148" s="17" t="s">
        <v>371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704</v>
      </c>
      <c r="AR148" t="s">
        <v>349</v>
      </c>
      <c r="AS148" t="s">
        <v>349</v>
      </c>
      <c r="AT148">
        <v>1</v>
      </c>
      <c r="AU148">
        <v>0</v>
      </c>
      <c r="AV148">
        <v>0</v>
      </c>
      <c r="AW148" t="s">
        <v>704</v>
      </c>
      <c r="AX148" t="s">
        <v>1258</v>
      </c>
      <c r="AY148" t="s">
        <v>293</v>
      </c>
      <c r="AZ148" t="s">
        <v>353</v>
      </c>
      <c r="BA148" t="s">
        <v>296</v>
      </c>
      <c r="BB148" t="s">
        <v>301</v>
      </c>
      <c r="BC148" t="s">
        <v>292</v>
      </c>
      <c r="BD148" t="s">
        <v>293</v>
      </c>
      <c r="BE148" t="s">
        <v>292</v>
      </c>
      <c r="BF148" t="s">
        <v>292</v>
      </c>
      <c r="BG148" t="s">
        <v>293</v>
      </c>
      <c r="BH148" t="s">
        <v>302</v>
      </c>
      <c r="BI148" t="s">
        <v>357</v>
      </c>
      <c r="BJ148" t="s">
        <v>359</v>
      </c>
      <c r="BK148" t="s">
        <v>293</v>
      </c>
      <c r="BL148" t="s">
        <v>293</v>
      </c>
      <c r="BM148" t="s">
        <v>297</v>
      </c>
      <c r="BN148" t="s">
        <v>298</v>
      </c>
      <c r="BO148" t="s">
        <v>293</v>
      </c>
      <c r="BP148" t="s">
        <v>292</v>
      </c>
      <c r="BQ148" t="s">
        <v>293</v>
      </c>
      <c r="BR148" t="s">
        <v>293</v>
      </c>
      <c r="BS148" t="s">
        <v>364</v>
      </c>
      <c r="BT148" t="s">
        <v>304</v>
      </c>
      <c r="BU148" t="s">
        <v>371</v>
      </c>
      <c r="BV148" t="s">
        <v>371</v>
      </c>
      <c r="BW148" t="s">
        <v>2591</v>
      </c>
      <c r="BX148" t="str">
        <f>IF(J148="win",VLOOKUP(B148,ColorScheme!$A$2:$I$32,4,0),VLOOKUP(B148,ColorScheme!$A$2:$I$32,5,0))</f>
        <v>#c2007850</v>
      </c>
    </row>
    <row r="149" spans="1:76" x14ac:dyDescent="0.3">
      <c r="A149" t="s">
        <v>9</v>
      </c>
      <c r="B149" t="s">
        <v>10</v>
      </c>
      <c r="C149" t="s">
        <v>28</v>
      </c>
      <c r="D149" t="s">
        <v>29</v>
      </c>
      <c r="E149" t="s">
        <v>851</v>
      </c>
      <c r="F149" t="b">
        <v>1</v>
      </c>
      <c r="G149">
        <v>100</v>
      </c>
      <c r="H149">
        <v>1</v>
      </c>
      <c r="I149">
        <v>10885</v>
      </c>
      <c r="J149" s="61" t="s">
        <v>18</v>
      </c>
      <c r="K149" s="16" t="s">
        <v>273</v>
      </c>
      <c r="L149" s="16">
        <v>2</v>
      </c>
      <c r="M149" s="16" t="s">
        <v>333</v>
      </c>
      <c r="N149" s="16" t="s">
        <v>278</v>
      </c>
      <c r="O149" s="15" t="s">
        <v>283</v>
      </c>
      <c r="P149" t="s">
        <v>281</v>
      </c>
      <c r="Q149" t="s">
        <v>371</v>
      </c>
      <c r="R149" s="17" t="s">
        <v>371</v>
      </c>
      <c r="S149" s="17">
        <v>1</v>
      </c>
      <c r="T149" s="17">
        <v>0</v>
      </c>
      <c r="U149" s="17">
        <v>1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 t="s">
        <v>704</v>
      </c>
      <c r="AD149" s="16" t="s">
        <v>341</v>
      </c>
      <c r="AE149" s="16" t="s">
        <v>340</v>
      </c>
      <c r="AF149" s="15" t="s">
        <v>343</v>
      </c>
      <c r="AG149" s="15" t="s">
        <v>344</v>
      </c>
      <c r="AH149" s="17" t="s">
        <v>371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704</v>
      </c>
      <c r="AR149" t="s">
        <v>349</v>
      </c>
      <c r="AS149" t="s">
        <v>349</v>
      </c>
      <c r="AT149">
        <v>1</v>
      </c>
      <c r="AU149">
        <v>0</v>
      </c>
      <c r="AV149">
        <v>0</v>
      </c>
      <c r="AW149" t="s">
        <v>704</v>
      </c>
      <c r="AX149" t="s">
        <v>1258</v>
      </c>
      <c r="AY149" t="s">
        <v>293</v>
      </c>
      <c r="AZ149" t="s">
        <v>352</v>
      </c>
      <c r="BA149" t="s">
        <v>296</v>
      </c>
      <c r="BB149" t="s">
        <v>301</v>
      </c>
      <c r="BC149" t="s">
        <v>292</v>
      </c>
      <c r="BD149" t="s">
        <v>293</v>
      </c>
      <c r="BE149" t="s">
        <v>292</v>
      </c>
      <c r="BF149" t="s">
        <v>292</v>
      </c>
      <c r="BG149" t="s">
        <v>293</v>
      </c>
      <c r="BH149" t="s">
        <v>302</v>
      </c>
      <c r="BI149" t="s">
        <v>357</v>
      </c>
      <c r="BJ149" t="s">
        <v>359</v>
      </c>
      <c r="BK149" t="s">
        <v>293</v>
      </c>
      <c r="BL149" t="s">
        <v>293</v>
      </c>
      <c r="BM149" t="s">
        <v>297</v>
      </c>
      <c r="BN149" t="s">
        <v>298</v>
      </c>
      <c r="BO149" t="s">
        <v>293</v>
      </c>
      <c r="BP149" t="s">
        <v>292</v>
      </c>
      <c r="BQ149" t="s">
        <v>293</v>
      </c>
      <c r="BR149" t="s">
        <v>293</v>
      </c>
      <c r="BS149" t="s">
        <v>364</v>
      </c>
      <c r="BT149" t="s">
        <v>304</v>
      </c>
      <c r="BU149" t="s">
        <v>371</v>
      </c>
      <c r="BV149" t="s">
        <v>371</v>
      </c>
      <c r="BW149" t="s">
        <v>2592</v>
      </c>
      <c r="BX149" t="str">
        <f>IF(J149="win",VLOOKUP(B149,ColorScheme!$A$2:$I$32,4,0),VLOOKUP(B149,ColorScheme!$A$2:$I$32,5,0))</f>
        <v>#c2007850</v>
      </c>
    </row>
    <row r="150" spans="1:76" x14ac:dyDescent="0.3">
      <c r="A150" t="s">
        <v>9</v>
      </c>
      <c r="B150" t="s">
        <v>10</v>
      </c>
      <c r="C150" t="s">
        <v>35</v>
      </c>
      <c r="D150" t="s">
        <v>29</v>
      </c>
      <c r="E150" t="s">
        <v>852</v>
      </c>
      <c r="F150" t="b">
        <v>1</v>
      </c>
      <c r="G150">
        <v>100</v>
      </c>
      <c r="H150">
        <v>1</v>
      </c>
      <c r="I150">
        <v>15909</v>
      </c>
      <c r="J150" s="61" t="s">
        <v>18</v>
      </c>
      <c r="K150" s="16" t="s">
        <v>272</v>
      </c>
      <c r="L150" s="16">
        <v>2</v>
      </c>
      <c r="M150" s="16" t="s">
        <v>333</v>
      </c>
      <c r="N150" s="16" t="s">
        <v>278</v>
      </c>
      <c r="O150" s="15" t="s">
        <v>283</v>
      </c>
      <c r="P150" t="s">
        <v>281</v>
      </c>
      <c r="Q150" t="s">
        <v>371</v>
      </c>
      <c r="R150" s="17" t="s">
        <v>371</v>
      </c>
      <c r="S150" s="17">
        <v>1</v>
      </c>
      <c r="T150" s="17">
        <v>0</v>
      </c>
      <c r="U150" s="17">
        <v>1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 t="s">
        <v>704</v>
      </c>
      <c r="AD150" s="16" t="s">
        <v>341</v>
      </c>
      <c r="AE150" s="16" t="s">
        <v>342</v>
      </c>
      <c r="AF150" s="15" t="s">
        <v>343</v>
      </c>
      <c r="AG150" s="15" t="s">
        <v>344</v>
      </c>
      <c r="AH150" s="17" t="s">
        <v>371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704</v>
      </c>
      <c r="AR150" t="s">
        <v>349</v>
      </c>
      <c r="AS150" t="s">
        <v>349</v>
      </c>
      <c r="AT150">
        <v>1</v>
      </c>
      <c r="AU150">
        <v>0</v>
      </c>
      <c r="AV150">
        <v>0</v>
      </c>
      <c r="AW150" t="s">
        <v>704</v>
      </c>
      <c r="AX150" t="s">
        <v>1258</v>
      </c>
      <c r="AY150" t="s">
        <v>293</v>
      </c>
      <c r="AZ150" t="s">
        <v>353</v>
      </c>
      <c r="BA150" t="s">
        <v>296</v>
      </c>
      <c r="BB150" t="s">
        <v>301</v>
      </c>
      <c r="BC150" t="s">
        <v>292</v>
      </c>
      <c r="BD150" t="s">
        <v>293</v>
      </c>
      <c r="BE150" t="s">
        <v>292</v>
      </c>
      <c r="BF150" t="s">
        <v>292</v>
      </c>
      <c r="BG150" t="s">
        <v>293</v>
      </c>
      <c r="BH150" t="s">
        <v>302</v>
      </c>
      <c r="BI150" t="s">
        <v>357</v>
      </c>
      <c r="BJ150" t="s">
        <v>359</v>
      </c>
      <c r="BK150" t="s">
        <v>293</v>
      </c>
      <c r="BL150" t="s">
        <v>293</v>
      </c>
      <c r="BM150" t="s">
        <v>297</v>
      </c>
      <c r="BN150" t="s">
        <v>298</v>
      </c>
      <c r="BO150" t="s">
        <v>293</v>
      </c>
      <c r="BP150" t="s">
        <v>292</v>
      </c>
      <c r="BQ150" t="s">
        <v>293</v>
      </c>
      <c r="BR150" t="s">
        <v>293</v>
      </c>
      <c r="BS150" t="s">
        <v>364</v>
      </c>
      <c r="BT150" t="s">
        <v>304</v>
      </c>
      <c r="BU150" t="s">
        <v>371</v>
      </c>
      <c r="BV150" t="s">
        <v>371</v>
      </c>
      <c r="BW150" t="s">
        <v>2593</v>
      </c>
      <c r="BX150" t="str">
        <f>IF(J150="win",VLOOKUP(B150,ColorScheme!$A$2:$I$32,4,0),VLOOKUP(B150,ColorScheme!$A$2:$I$32,5,0))</f>
        <v>#c2007850</v>
      </c>
    </row>
    <row r="151" spans="1:76" x14ac:dyDescent="0.3">
      <c r="A151" t="s">
        <v>9</v>
      </c>
      <c r="B151" t="s">
        <v>47</v>
      </c>
      <c r="C151" t="s">
        <v>15</v>
      </c>
      <c r="D151" t="s">
        <v>12</v>
      </c>
      <c r="E151" t="s">
        <v>853</v>
      </c>
      <c r="F151" t="b">
        <v>1</v>
      </c>
      <c r="G151">
        <v>100</v>
      </c>
      <c r="H151">
        <v>1</v>
      </c>
      <c r="I151">
        <v>9017</v>
      </c>
      <c r="J151" s="61" t="s">
        <v>18</v>
      </c>
      <c r="K151" s="16" t="s">
        <v>272</v>
      </c>
      <c r="L151" s="16">
        <v>2</v>
      </c>
      <c r="M151" s="16" t="s">
        <v>277</v>
      </c>
      <c r="N151" s="16" t="s">
        <v>335</v>
      </c>
      <c r="O151" s="15" t="s">
        <v>282</v>
      </c>
      <c r="P151" t="s">
        <v>371</v>
      </c>
      <c r="Q151" t="s">
        <v>371</v>
      </c>
      <c r="R151" s="17" t="s">
        <v>371</v>
      </c>
      <c r="S151" s="17">
        <v>0</v>
      </c>
      <c r="T151" s="17">
        <v>1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 t="s">
        <v>704</v>
      </c>
      <c r="AD151" s="16" t="s">
        <v>341</v>
      </c>
      <c r="AE151" s="16" t="s">
        <v>340</v>
      </c>
      <c r="AF151" s="15" t="s">
        <v>340</v>
      </c>
      <c r="AG151" s="15" t="s">
        <v>344</v>
      </c>
      <c r="AH151" s="17" t="s">
        <v>371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704</v>
      </c>
      <c r="AR151" t="s">
        <v>349</v>
      </c>
      <c r="AS151" t="s">
        <v>349</v>
      </c>
      <c r="AT151">
        <v>1</v>
      </c>
      <c r="AU151">
        <v>0</v>
      </c>
      <c r="AV151">
        <v>0</v>
      </c>
      <c r="AW151" t="s">
        <v>704</v>
      </c>
      <c r="AX151" t="s">
        <v>1208</v>
      </c>
      <c r="AY151" t="s">
        <v>293</v>
      </c>
      <c r="AZ151" t="s">
        <v>354</v>
      </c>
      <c r="BA151" t="s">
        <v>354</v>
      </c>
      <c r="BB151" t="s">
        <v>300</v>
      </c>
      <c r="BC151" t="s">
        <v>292</v>
      </c>
      <c r="BD151" t="s">
        <v>293</v>
      </c>
      <c r="BE151" t="s">
        <v>292</v>
      </c>
      <c r="BF151" t="s">
        <v>293</v>
      </c>
      <c r="BG151" t="s">
        <v>293</v>
      </c>
      <c r="BH151" t="s">
        <v>302</v>
      </c>
      <c r="BI151" t="s">
        <v>302</v>
      </c>
      <c r="BJ151" t="s">
        <v>357</v>
      </c>
      <c r="BK151" t="s">
        <v>293</v>
      </c>
      <c r="BL151" t="s">
        <v>293</v>
      </c>
      <c r="BM151" t="s">
        <v>297</v>
      </c>
      <c r="BN151" t="s">
        <v>298</v>
      </c>
      <c r="BO151" t="s">
        <v>293</v>
      </c>
      <c r="BP151" t="s">
        <v>292</v>
      </c>
      <c r="BQ151" t="s">
        <v>293</v>
      </c>
      <c r="BR151" t="s">
        <v>293</v>
      </c>
      <c r="BS151" t="s">
        <v>364</v>
      </c>
      <c r="BT151" t="s">
        <v>304</v>
      </c>
      <c r="BU151" t="s">
        <v>371</v>
      </c>
      <c r="BV151" t="s">
        <v>371</v>
      </c>
      <c r="BW151" t="s">
        <v>2594</v>
      </c>
      <c r="BX151" t="str">
        <f>IF(J151="win",VLOOKUP(B151,ColorScheme!$A$2:$I$32,4,0),VLOOKUP(B151,ColorScheme!$A$2:$I$32,5,0))</f>
        <v>#ffff1450</v>
      </c>
    </row>
    <row r="152" spans="1:76" x14ac:dyDescent="0.3">
      <c r="A152" t="s">
        <v>9</v>
      </c>
      <c r="B152" t="s">
        <v>47</v>
      </c>
      <c r="C152" t="s">
        <v>14</v>
      </c>
      <c r="D152" t="s">
        <v>12</v>
      </c>
      <c r="E152" t="s">
        <v>854</v>
      </c>
      <c r="F152" t="b">
        <v>1</v>
      </c>
      <c r="G152">
        <v>100</v>
      </c>
      <c r="H152">
        <v>1</v>
      </c>
      <c r="I152">
        <v>9041</v>
      </c>
      <c r="J152" s="61" t="s">
        <v>18</v>
      </c>
      <c r="K152" s="16" t="s">
        <v>272</v>
      </c>
      <c r="L152" s="16">
        <v>2</v>
      </c>
      <c r="M152" s="16" t="s">
        <v>277</v>
      </c>
      <c r="N152" s="16" t="s">
        <v>335</v>
      </c>
      <c r="O152" s="15" t="s">
        <v>282</v>
      </c>
      <c r="P152" t="s">
        <v>371</v>
      </c>
      <c r="Q152" t="s">
        <v>371</v>
      </c>
      <c r="R152" s="17" t="s">
        <v>371</v>
      </c>
      <c r="S152" s="17">
        <v>0</v>
      </c>
      <c r="T152" s="17">
        <v>1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 t="s">
        <v>704</v>
      </c>
      <c r="AD152" s="16" t="s">
        <v>341</v>
      </c>
      <c r="AE152" s="16" t="s">
        <v>342</v>
      </c>
      <c r="AF152" s="15" t="s">
        <v>340</v>
      </c>
      <c r="AG152" s="15" t="s">
        <v>344</v>
      </c>
      <c r="AH152" s="17" t="s">
        <v>371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704</v>
      </c>
      <c r="AR152" t="s">
        <v>349</v>
      </c>
      <c r="AS152" t="s">
        <v>349</v>
      </c>
      <c r="AT152">
        <v>1</v>
      </c>
      <c r="AU152">
        <v>0</v>
      </c>
      <c r="AV152">
        <v>0</v>
      </c>
      <c r="AW152" t="s">
        <v>704</v>
      </c>
      <c r="AX152" t="s">
        <v>1208</v>
      </c>
      <c r="AY152" t="s">
        <v>293</v>
      </c>
      <c r="AZ152" t="s">
        <v>354</v>
      </c>
      <c r="BA152" t="s">
        <v>354</v>
      </c>
      <c r="BB152" t="s">
        <v>300</v>
      </c>
      <c r="BC152" t="s">
        <v>292</v>
      </c>
      <c r="BD152" t="s">
        <v>293</v>
      </c>
      <c r="BE152" t="s">
        <v>292</v>
      </c>
      <c r="BF152" t="s">
        <v>293</v>
      </c>
      <c r="BG152" t="s">
        <v>293</v>
      </c>
      <c r="BH152" t="s">
        <v>302</v>
      </c>
      <c r="BI152" t="s">
        <v>302</v>
      </c>
      <c r="BJ152" t="s">
        <v>357</v>
      </c>
      <c r="BK152" t="s">
        <v>293</v>
      </c>
      <c r="BL152" t="s">
        <v>293</v>
      </c>
      <c r="BM152" t="s">
        <v>297</v>
      </c>
      <c r="BN152" t="s">
        <v>298</v>
      </c>
      <c r="BO152" t="s">
        <v>293</v>
      </c>
      <c r="BP152" t="s">
        <v>292</v>
      </c>
      <c r="BQ152" t="s">
        <v>293</v>
      </c>
      <c r="BR152" t="s">
        <v>293</v>
      </c>
      <c r="BS152" t="s">
        <v>364</v>
      </c>
      <c r="BT152" t="s">
        <v>304</v>
      </c>
      <c r="BU152" t="s">
        <v>371</v>
      </c>
      <c r="BV152" t="s">
        <v>371</v>
      </c>
      <c r="BW152" t="s">
        <v>2595</v>
      </c>
      <c r="BX152" t="str">
        <f>IF(J152="win",VLOOKUP(B152,ColorScheme!$A$2:$I$32,4,0),VLOOKUP(B152,ColorScheme!$A$2:$I$32,5,0))</f>
        <v>#ffff1450</v>
      </c>
    </row>
    <row r="153" spans="1:76" x14ac:dyDescent="0.3">
      <c r="A153" t="s">
        <v>9</v>
      </c>
      <c r="B153" t="s">
        <v>47</v>
      </c>
      <c r="C153" t="s">
        <v>11</v>
      </c>
      <c r="D153" t="s">
        <v>12</v>
      </c>
      <c r="E153" t="s">
        <v>855</v>
      </c>
      <c r="F153" t="b">
        <v>1</v>
      </c>
      <c r="G153">
        <v>83.5</v>
      </c>
      <c r="H153">
        <v>0</v>
      </c>
      <c r="I153">
        <v>11630</v>
      </c>
      <c r="J153" s="61" t="s">
        <v>13</v>
      </c>
      <c r="K153" s="16" t="s">
        <v>272</v>
      </c>
      <c r="L153" s="16">
        <v>3</v>
      </c>
      <c r="M153" s="16" t="s">
        <v>277</v>
      </c>
      <c r="N153" s="16" t="s">
        <v>335</v>
      </c>
      <c r="O153" s="15" t="s">
        <v>285</v>
      </c>
      <c r="P153" t="s">
        <v>282</v>
      </c>
      <c r="Q153" t="s">
        <v>371</v>
      </c>
      <c r="R153" s="17" t="s">
        <v>371</v>
      </c>
      <c r="S153" s="17">
        <v>0</v>
      </c>
      <c r="T153" s="17">
        <v>1</v>
      </c>
      <c r="U153" s="17">
        <v>0</v>
      </c>
      <c r="V153" s="17">
        <v>0</v>
      </c>
      <c r="W153" s="17">
        <v>0</v>
      </c>
      <c r="X153" s="17">
        <v>1</v>
      </c>
      <c r="Y153" s="17">
        <v>0</v>
      </c>
      <c r="Z153" s="17">
        <v>0</v>
      </c>
      <c r="AA153" s="17">
        <v>0</v>
      </c>
      <c r="AB153" s="17">
        <v>0</v>
      </c>
      <c r="AC153" s="17" t="s">
        <v>704</v>
      </c>
      <c r="AD153" s="16" t="s">
        <v>341</v>
      </c>
      <c r="AE153" s="16" t="s">
        <v>342</v>
      </c>
      <c r="AF153" s="15" t="s">
        <v>343</v>
      </c>
      <c r="AG153" s="15" t="s">
        <v>344</v>
      </c>
      <c r="AH153" s="17" t="s">
        <v>371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704</v>
      </c>
      <c r="AR153" t="s">
        <v>349</v>
      </c>
      <c r="AS153" t="s">
        <v>349</v>
      </c>
      <c r="AT153">
        <v>1</v>
      </c>
      <c r="AU153">
        <v>0</v>
      </c>
      <c r="AV153">
        <v>0</v>
      </c>
      <c r="AW153" t="s">
        <v>704</v>
      </c>
      <c r="AX153" t="s">
        <v>1259</v>
      </c>
      <c r="AY153" t="s">
        <v>293</v>
      </c>
      <c r="AZ153" t="s">
        <v>353</v>
      </c>
      <c r="BA153" t="s">
        <v>297</v>
      </c>
      <c r="BB153" t="s">
        <v>300</v>
      </c>
      <c r="BC153" t="s">
        <v>292</v>
      </c>
      <c r="BD153" t="s">
        <v>293</v>
      </c>
      <c r="BE153" t="s">
        <v>292</v>
      </c>
      <c r="BF153" t="s">
        <v>293</v>
      </c>
      <c r="BG153" t="s">
        <v>293</v>
      </c>
      <c r="BH153" t="s">
        <v>302</v>
      </c>
      <c r="BI153" t="s">
        <v>302</v>
      </c>
      <c r="BJ153" t="s">
        <v>359</v>
      </c>
      <c r="BK153" t="s">
        <v>293</v>
      </c>
      <c r="BL153" t="s">
        <v>293</v>
      </c>
      <c r="BM153" t="s">
        <v>297</v>
      </c>
      <c r="BN153" t="s">
        <v>298</v>
      </c>
      <c r="BO153" t="s">
        <v>293</v>
      </c>
      <c r="BP153" t="s">
        <v>292</v>
      </c>
      <c r="BQ153" t="s">
        <v>293</v>
      </c>
      <c r="BR153" t="s">
        <v>293</v>
      </c>
      <c r="BS153" t="s">
        <v>364</v>
      </c>
      <c r="BT153" t="s">
        <v>366</v>
      </c>
      <c r="BU153" t="s">
        <v>371</v>
      </c>
      <c r="BV153" t="s">
        <v>371</v>
      </c>
      <c r="BW153" t="s">
        <v>2596</v>
      </c>
      <c r="BX153" t="str">
        <f>IF(J153="win",VLOOKUP(B153,ColorScheme!$A$2:$I$32,4,0),VLOOKUP(B153,ColorScheme!$A$2:$I$32,5,0))</f>
        <v>#ffff14</v>
      </c>
    </row>
    <row r="154" spans="1:76" x14ac:dyDescent="0.3">
      <c r="A154" t="s">
        <v>9</v>
      </c>
      <c r="B154" t="s">
        <v>47</v>
      </c>
      <c r="C154" t="s">
        <v>17</v>
      </c>
      <c r="D154" t="s">
        <v>12</v>
      </c>
      <c r="E154" t="s">
        <v>856</v>
      </c>
      <c r="F154" t="b">
        <v>1</v>
      </c>
      <c r="G154">
        <v>45.4</v>
      </c>
      <c r="H154">
        <v>0</v>
      </c>
      <c r="I154">
        <v>26028</v>
      </c>
      <c r="J154" s="61" t="s">
        <v>18</v>
      </c>
      <c r="K154" s="16" t="s">
        <v>272</v>
      </c>
      <c r="L154" s="16">
        <v>3</v>
      </c>
      <c r="M154" s="16" t="s">
        <v>277</v>
      </c>
      <c r="N154" s="16" t="s">
        <v>335</v>
      </c>
      <c r="O154" s="15" t="s">
        <v>282</v>
      </c>
      <c r="P154" t="s">
        <v>371</v>
      </c>
      <c r="Q154" t="s">
        <v>371</v>
      </c>
      <c r="R154" s="17" t="s">
        <v>371</v>
      </c>
      <c r="S154" s="17">
        <v>0</v>
      </c>
      <c r="T154" s="17">
        <v>1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 t="s">
        <v>704</v>
      </c>
      <c r="AD154" s="16" t="s">
        <v>341</v>
      </c>
      <c r="AE154" s="16" t="s">
        <v>340</v>
      </c>
      <c r="AF154" s="15" t="s">
        <v>343</v>
      </c>
      <c r="AG154" s="15" t="s">
        <v>345</v>
      </c>
      <c r="AH154" s="17" t="s">
        <v>371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704</v>
      </c>
      <c r="AR154" t="s">
        <v>349</v>
      </c>
      <c r="AS154" t="s">
        <v>349</v>
      </c>
      <c r="AT154">
        <v>1</v>
      </c>
      <c r="AU154">
        <v>0</v>
      </c>
      <c r="AV154">
        <v>0</v>
      </c>
      <c r="AW154" t="s">
        <v>704</v>
      </c>
      <c r="AX154" t="s">
        <v>1232</v>
      </c>
      <c r="AY154" t="s">
        <v>293</v>
      </c>
      <c r="AZ154" t="s">
        <v>353</v>
      </c>
      <c r="BA154" t="s">
        <v>296</v>
      </c>
      <c r="BB154" t="s">
        <v>301</v>
      </c>
      <c r="BC154" t="s">
        <v>292</v>
      </c>
      <c r="BD154" t="s">
        <v>293</v>
      </c>
      <c r="BE154" t="s">
        <v>293</v>
      </c>
      <c r="BF154" t="s">
        <v>292</v>
      </c>
      <c r="BG154" t="s">
        <v>293</v>
      </c>
      <c r="BH154" t="s">
        <v>302</v>
      </c>
      <c r="BI154" t="s">
        <v>302</v>
      </c>
      <c r="BJ154" t="s">
        <v>359</v>
      </c>
      <c r="BK154" t="s">
        <v>293</v>
      </c>
      <c r="BL154" t="s">
        <v>293</v>
      </c>
      <c r="BM154" t="s">
        <v>296</v>
      </c>
      <c r="BN154" t="s">
        <v>298</v>
      </c>
      <c r="BO154" t="s">
        <v>293</v>
      </c>
      <c r="BP154" t="s">
        <v>292</v>
      </c>
      <c r="BQ154" t="s">
        <v>293</v>
      </c>
      <c r="BR154" t="s">
        <v>293</v>
      </c>
      <c r="BS154" t="s">
        <v>364</v>
      </c>
      <c r="BT154" t="s">
        <v>367</v>
      </c>
      <c r="BU154" t="s">
        <v>371</v>
      </c>
      <c r="BV154" t="s">
        <v>371</v>
      </c>
      <c r="BW154" t="s">
        <v>2597</v>
      </c>
      <c r="BX154" t="str">
        <f>IF(J154="win",VLOOKUP(B154,ColorScheme!$A$2:$I$32,4,0),VLOOKUP(B154,ColorScheme!$A$2:$I$32,5,0))</f>
        <v>#ffff1450</v>
      </c>
    </row>
    <row r="155" spans="1:76" x14ac:dyDescent="0.3">
      <c r="A155" t="s">
        <v>9</v>
      </c>
      <c r="B155" t="s">
        <v>47</v>
      </c>
      <c r="C155" t="s">
        <v>16</v>
      </c>
      <c r="D155" t="s">
        <v>12</v>
      </c>
      <c r="E155" t="s">
        <v>857</v>
      </c>
      <c r="F155" t="b">
        <v>1</v>
      </c>
      <c r="G155">
        <v>47.1</v>
      </c>
      <c r="H155">
        <v>0</v>
      </c>
      <c r="I155">
        <v>14503</v>
      </c>
      <c r="J155" s="61" t="s">
        <v>13</v>
      </c>
      <c r="K155" s="16" t="s">
        <v>272</v>
      </c>
      <c r="L155" s="16">
        <v>3</v>
      </c>
      <c r="M155" s="16" t="s">
        <v>277</v>
      </c>
      <c r="N155" s="16" t="s">
        <v>335</v>
      </c>
      <c r="O155" s="15" t="s">
        <v>282</v>
      </c>
      <c r="P155" t="s">
        <v>371</v>
      </c>
      <c r="Q155" t="s">
        <v>371</v>
      </c>
      <c r="R155" s="17" t="s">
        <v>371</v>
      </c>
      <c r="S155" s="17">
        <v>0</v>
      </c>
      <c r="T155" s="17">
        <v>1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 t="s">
        <v>704</v>
      </c>
      <c r="AD155" s="16" t="s">
        <v>341</v>
      </c>
      <c r="AE155" s="16" t="s">
        <v>340</v>
      </c>
      <c r="AF155" s="15" t="s">
        <v>343</v>
      </c>
      <c r="AG155" s="15" t="s">
        <v>344</v>
      </c>
      <c r="AH155" s="17" t="s">
        <v>371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704</v>
      </c>
      <c r="AR155" t="s">
        <v>349</v>
      </c>
      <c r="AS155" t="s">
        <v>349</v>
      </c>
      <c r="AT155">
        <v>1</v>
      </c>
      <c r="AU155">
        <v>0</v>
      </c>
      <c r="AV155">
        <v>0</v>
      </c>
      <c r="AW155" t="s">
        <v>704</v>
      </c>
      <c r="AX155" t="s">
        <v>1208</v>
      </c>
      <c r="AY155" t="s">
        <v>293</v>
      </c>
      <c r="AZ155" t="s">
        <v>353</v>
      </c>
      <c r="BA155" t="s">
        <v>296</v>
      </c>
      <c r="BB155" t="s">
        <v>300</v>
      </c>
      <c r="BC155" t="s">
        <v>292</v>
      </c>
      <c r="BD155" t="s">
        <v>293</v>
      </c>
      <c r="BE155" t="s">
        <v>292</v>
      </c>
      <c r="BF155" t="s">
        <v>292</v>
      </c>
      <c r="BG155" t="s">
        <v>293</v>
      </c>
      <c r="BH155" t="s">
        <v>302</v>
      </c>
      <c r="BI155" t="s">
        <v>302</v>
      </c>
      <c r="BJ155" t="s">
        <v>359</v>
      </c>
      <c r="BK155" t="s">
        <v>293</v>
      </c>
      <c r="BL155" t="s">
        <v>293</v>
      </c>
      <c r="BM155" t="s">
        <v>297</v>
      </c>
      <c r="BN155" t="s">
        <v>298</v>
      </c>
      <c r="BO155" t="s">
        <v>293</v>
      </c>
      <c r="BP155" t="s">
        <v>292</v>
      </c>
      <c r="BQ155" t="s">
        <v>293</v>
      </c>
      <c r="BR155" t="s">
        <v>293</v>
      </c>
      <c r="BS155" t="s">
        <v>364</v>
      </c>
      <c r="BT155" t="s">
        <v>366</v>
      </c>
      <c r="BU155" t="s">
        <v>371</v>
      </c>
      <c r="BV155" t="s">
        <v>371</v>
      </c>
      <c r="BW155" t="s">
        <v>2598</v>
      </c>
      <c r="BX155" t="str">
        <f>IF(J155="win",VLOOKUP(B155,ColorScheme!$A$2:$I$32,4,0),VLOOKUP(B155,ColorScheme!$A$2:$I$32,5,0))</f>
        <v>#ffff14</v>
      </c>
    </row>
    <row r="156" spans="1:76" x14ac:dyDescent="0.3">
      <c r="A156" t="s">
        <v>9</v>
      </c>
      <c r="B156" t="s">
        <v>47</v>
      </c>
      <c r="C156" t="s">
        <v>23</v>
      </c>
      <c r="D156" t="s">
        <v>29</v>
      </c>
      <c r="E156" t="s">
        <v>858</v>
      </c>
      <c r="F156" t="b">
        <v>1</v>
      </c>
      <c r="G156">
        <v>95.2</v>
      </c>
      <c r="H156">
        <v>0</v>
      </c>
      <c r="I156">
        <v>14631</v>
      </c>
      <c r="J156" s="61" t="s">
        <v>13</v>
      </c>
      <c r="K156" s="16" t="s">
        <v>272</v>
      </c>
      <c r="L156" s="16">
        <v>2</v>
      </c>
      <c r="M156" s="16" t="s">
        <v>277</v>
      </c>
      <c r="N156" s="16" t="s">
        <v>335</v>
      </c>
      <c r="O156" s="15" t="s">
        <v>282</v>
      </c>
      <c r="P156" t="s">
        <v>371</v>
      </c>
      <c r="Q156" t="s">
        <v>371</v>
      </c>
      <c r="R156" s="17" t="s">
        <v>371</v>
      </c>
      <c r="S156" s="17">
        <v>0</v>
      </c>
      <c r="T156" s="17">
        <v>1</v>
      </c>
      <c r="U156" s="17">
        <v>0</v>
      </c>
      <c r="V156" s="17">
        <v>0</v>
      </c>
      <c r="W156" s="17">
        <v>0</v>
      </c>
      <c r="X156" s="17">
        <v>0</v>
      </c>
      <c r="Y156" s="17">
        <v>0</v>
      </c>
      <c r="Z156" s="17">
        <v>0</v>
      </c>
      <c r="AA156" s="17">
        <v>0</v>
      </c>
      <c r="AB156" s="17">
        <v>0</v>
      </c>
      <c r="AC156" s="17" t="s">
        <v>704</v>
      </c>
      <c r="AD156" s="16" t="s">
        <v>341</v>
      </c>
      <c r="AE156" s="16" t="s">
        <v>342</v>
      </c>
      <c r="AF156" s="15" t="s">
        <v>340</v>
      </c>
      <c r="AG156" s="15" t="s">
        <v>345</v>
      </c>
      <c r="AH156" s="17" t="s">
        <v>371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704</v>
      </c>
      <c r="AR156" t="s">
        <v>349</v>
      </c>
      <c r="AS156" t="s">
        <v>349</v>
      </c>
      <c r="AT156">
        <v>1</v>
      </c>
      <c r="AU156">
        <v>0</v>
      </c>
      <c r="AV156">
        <v>0</v>
      </c>
      <c r="AW156" t="s">
        <v>704</v>
      </c>
      <c r="AX156" t="s">
        <v>1232</v>
      </c>
      <c r="AY156" t="s">
        <v>293</v>
      </c>
      <c r="AZ156" t="s">
        <v>354</v>
      </c>
      <c r="BA156" t="s">
        <v>354</v>
      </c>
      <c r="BB156" t="s">
        <v>300</v>
      </c>
      <c r="BC156" t="s">
        <v>293</v>
      </c>
      <c r="BD156" t="s">
        <v>292</v>
      </c>
      <c r="BE156" t="s">
        <v>292</v>
      </c>
      <c r="BF156" t="s">
        <v>293</v>
      </c>
      <c r="BG156" t="s">
        <v>293</v>
      </c>
      <c r="BH156" t="s">
        <v>302</v>
      </c>
      <c r="BI156" t="s">
        <v>302</v>
      </c>
      <c r="BJ156" t="s">
        <v>357</v>
      </c>
      <c r="BK156" t="s">
        <v>293</v>
      </c>
      <c r="BL156" t="s">
        <v>293</v>
      </c>
      <c r="BM156" t="s">
        <v>297</v>
      </c>
      <c r="BN156" t="s">
        <v>356</v>
      </c>
      <c r="BO156" t="s">
        <v>293</v>
      </c>
      <c r="BP156" t="s">
        <v>292</v>
      </c>
      <c r="BQ156" t="s">
        <v>293</v>
      </c>
      <c r="BR156" t="s">
        <v>293</v>
      </c>
      <c r="BS156" t="s">
        <v>364</v>
      </c>
      <c r="BT156" t="s">
        <v>366</v>
      </c>
      <c r="BU156" t="s">
        <v>371</v>
      </c>
      <c r="BV156" t="s">
        <v>371</v>
      </c>
      <c r="BW156" t="s">
        <v>2599</v>
      </c>
      <c r="BX156" t="str">
        <f>IF(J156="win",VLOOKUP(B156,ColorScheme!$A$2:$I$32,4,0),VLOOKUP(B156,ColorScheme!$A$2:$I$32,5,0))</f>
        <v>#ffff14</v>
      </c>
    </row>
    <row r="157" spans="1:76" x14ac:dyDescent="0.3">
      <c r="A157" t="s">
        <v>9</v>
      </c>
      <c r="B157" t="s">
        <v>47</v>
      </c>
      <c r="C157" t="s">
        <v>25</v>
      </c>
      <c r="D157" t="s">
        <v>29</v>
      </c>
      <c r="E157" t="s">
        <v>859</v>
      </c>
      <c r="F157" t="b">
        <v>1</v>
      </c>
      <c r="G157">
        <v>70.8</v>
      </c>
      <c r="H157">
        <v>0</v>
      </c>
      <c r="I157">
        <v>17009</v>
      </c>
      <c r="J157" s="61" t="s">
        <v>13</v>
      </c>
      <c r="K157" s="16" t="s">
        <v>272</v>
      </c>
      <c r="L157" s="16">
        <v>2</v>
      </c>
      <c r="M157" s="16" t="s">
        <v>277</v>
      </c>
      <c r="N157" s="16" t="s">
        <v>335</v>
      </c>
      <c r="O157" s="15" t="s">
        <v>282</v>
      </c>
      <c r="P157" t="s">
        <v>371</v>
      </c>
      <c r="Q157" t="s">
        <v>371</v>
      </c>
      <c r="R157" s="17" t="s">
        <v>371</v>
      </c>
      <c r="S157" s="17">
        <v>0</v>
      </c>
      <c r="T157" s="17">
        <v>1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 t="s">
        <v>704</v>
      </c>
      <c r="AD157" s="16" t="s">
        <v>341</v>
      </c>
      <c r="AE157" s="16" t="s">
        <v>340</v>
      </c>
      <c r="AF157" s="15" t="s">
        <v>340</v>
      </c>
      <c r="AG157" s="15" t="s">
        <v>345</v>
      </c>
      <c r="AH157" s="17" t="s">
        <v>371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704</v>
      </c>
      <c r="AR157" t="s">
        <v>349</v>
      </c>
      <c r="AS157" t="s">
        <v>349</v>
      </c>
      <c r="AT157">
        <v>1</v>
      </c>
      <c r="AU157">
        <v>0</v>
      </c>
      <c r="AV157">
        <v>0</v>
      </c>
      <c r="AW157" t="s">
        <v>704</v>
      </c>
      <c r="AX157" t="s">
        <v>1232</v>
      </c>
      <c r="AY157" t="s">
        <v>293</v>
      </c>
      <c r="AZ157" t="s">
        <v>354</v>
      </c>
      <c r="BA157" t="s">
        <v>354</v>
      </c>
      <c r="BB157" t="s">
        <v>301</v>
      </c>
      <c r="BC157" t="s">
        <v>293</v>
      </c>
      <c r="BD157" t="s">
        <v>292</v>
      </c>
      <c r="BE157" t="s">
        <v>292</v>
      </c>
      <c r="BF157" t="s">
        <v>293</v>
      </c>
      <c r="BG157" t="s">
        <v>293</v>
      </c>
      <c r="BH157" t="s">
        <v>302</v>
      </c>
      <c r="BI157" t="s">
        <v>302</v>
      </c>
      <c r="BJ157" t="s">
        <v>357</v>
      </c>
      <c r="BK157" t="s">
        <v>293</v>
      </c>
      <c r="BL157" t="s">
        <v>293</v>
      </c>
      <c r="BM157" t="s">
        <v>297</v>
      </c>
      <c r="BN157" t="s">
        <v>356</v>
      </c>
      <c r="BO157" t="s">
        <v>293</v>
      </c>
      <c r="BP157" t="s">
        <v>292</v>
      </c>
      <c r="BQ157" t="s">
        <v>293</v>
      </c>
      <c r="BR157" t="s">
        <v>293</v>
      </c>
      <c r="BS157" t="s">
        <v>364</v>
      </c>
      <c r="BT157" t="s">
        <v>366</v>
      </c>
      <c r="BU157" t="s">
        <v>371</v>
      </c>
      <c r="BV157" t="s">
        <v>371</v>
      </c>
      <c r="BW157" t="s">
        <v>2600</v>
      </c>
      <c r="BX157" t="str">
        <f>IF(J157="win",VLOOKUP(B157,ColorScheme!$A$2:$I$32,4,0),VLOOKUP(B157,ColorScheme!$A$2:$I$32,5,0))</f>
        <v>#ffff14</v>
      </c>
    </row>
    <row r="158" spans="1:76" x14ac:dyDescent="0.3">
      <c r="A158" t="s">
        <v>9</v>
      </c>
      <c r="B158" t="s">
        <v>47</v>
      </c>
      <c r="C158" t="s">
        <v>24</v>
      </c>
      <c r="D158" t="s">
        <v>29</v>
      </c>
      <c r="E158" t="s">
        <v>860</v>
      </c>
      <c r="F158" t="b">
        <v>1</v>
      </c>
      <c r="G158">
        <v>100</v>
      </c>
      <c r="H158">
        <v>1</v>
      </c>
      <c r="I158">
        <v>11235</v>
      </c>
      <c r="J158" s="61" t="s">
        <v>18</v>
      </c>
      <c r="K158" s="16" t="s">
        <v>272</v>
      </c>
      <c r="L158" s="16">
        <v>2</v>
      </c>
      <c r="M158" s="16" t="s">
        <v>277</v>
      </c>
      <c r="N158" s="16" t="s">
        <v>335</v>
      </c>
      <c r="O158" s="15" t="s">
        <v>282</v>
      </c>
      <c r="P158" t="s">
        <v>371</v>
      </c>
      <c r="Q158" t="s">
        <v>371</v>
      </c>
      <c r="R158" s="17" t="s">
        <v>371</v>
      </c>
      <c r="S158" s="17">
        <v>0</v>
      </c>
      <c r="T158" s="17">
        <v>1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 t="s">
        <v>704</v>
      </c>
      <c r="AD158" s="16" t="s">
        <v>341</v>
      </c>
      <c r="AE158" s="16" t="s">
        <v>340</v>
      </c>
      <c r="AF158" s="15" t="s">
        <v>340</v>
      </c>
      <c r="AG158" s="15" t="s">
        <v>345</v>
      </c>
      <c r="AH158" s="17" t="s">
        <v>371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704</v>
      </c>
      <c r="AR158" t="s">
        <v>349</v>
      </c>
      <c r="AS158" t="s">
        <v>349</v>
      </c>
      <c r="AT158">
        <v>1</v>
      </c>
      <c r="AU158">
        <v>0</v>
      </c>
      <c r="AV158">
        <v>0</v>
      </c>
      <c r="AW158" t="s">
        <v>704</v>
      </c>
      <c r="AX158" t="s">
        <v>1232</v>
      </c>
      <c r="AY158" t="s">
        <v>293</v>
      </c>
      <c r="AZ158" t="s">
        <v>354</v>
      </c>
      <c r="BA158" t="s">
        <v>354</v>
      </c>
      <c r="BB158" t="s">
        <v>300</v>
      </c>
      <c r="BC158" t="s">
        <v>293</v>
      </c>
      <c r="BD158" t="s">
        <v>292</v>
      </c>
      <c r="BE158" t="s">
        <v>292</v>
      </c>
      <c r="BF158" t="s">
        <v>293</v>
      </c>
      <c r="BG158" t="s">
        <v>293</v>
      </c>
      <c r="BH158" t="s">
        <v>302</v>
      </c>
      <c r="BI158" t="s">
        <v>302</v>
      </c>
      <c r="BJ158" t="s">
        <v>357</v>
      </c>
      <c r="BK158" t="s">
        <v>293</v>
      </c>
      <c r="BL158" t="s">
        <v>293</v>
      </c>
      <c r="BM158" t="s">
        <v>297</v>
      </c>
      <c r="BN158" t="s">
        <v>356</v>
      </c>
      <c r="BO158" t="s">
        <v>293</v>
      </c>
      <c r="BP158" t="s">
        <v>292</v>
      </c>
      <c r="BQ158" t="s">
        <v>362</v>
      </c>
      <c r="BR158" t="s">
        <v>293</v>
      </c>
      <c r="BS158" t="s">
        <v>364</v>
      </c>
      <c r="BT158" t="s">
        <v>304</v>
      </c>
      <c r="BU158" t="s">
        <v>371</v>
      </c>
      <c r="BV158" t="s">
        <v>371</v>
      </c>
      <c r="BW158" t="s">
        <v>2601</v>
      </c>
      <c r="BX158" t="str">
        <f>IF(J158="win",VLOOKUP(B158,ColorScheme!$A$2:$I$32,4,0),VLOOKUP(B158,ColorScheme!$A$2:$I$32,5,0))</f>
        <v>#ffff1450</v>
      </c>
    </row>
    <row r="159" spans="1:76" x14ac:dyDescent="0.3">
      <c r="A159" t="s">
        <v>9</v>
      </c>
      <c r="B159" t="s">
        <v>47</v>
      </c>
      <c r="C159" t="s">
        <v>21</v>
      </c>
      <c r="D159" t="s">
        <v>29</v>
      </c>
      <c r="E159" t="s">
        <v>861</v>
      </c>
      <c r="F159" t="b">
        <v>1</v>
      </c>
      <c r="G159">
        <v>100</v>
      </c>
      <c r="H159">
        <v>1</v>
      </c>
      <c r="I159">
        <v>11724</v>
      </c>
      <c r="J159" s="61" t="s">
        <v>18</v>
      </c>
      <c r="K159" s="16" t="s">
        <v>272</v>
      </c>
      <c r="L159" s="16">
        <v>2</v>
      </c>
      <c r="M159" s="16" t="s">
        <v>277</v>
      </c>
      <c r="N159" s="16" t="s">
        <v>335</v>
      </c>
      <c r="O159" s="15" t="s">
        <v>282</v>
      </c>
      <c r="P159" t="s">
        <v>371</v>
      </c>
      <c r="Q159" t="s">
        <v>371</v>
      </c>
      <c r="R159" s="17" t="s">
        <v>371</v>
      </c>
      <c r="S159" s="17">
        <v>0</v>
      </c>
      <c r="T159" s="17">
        <v>1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 t="s">
        <v>704</v>
      </c>
      <c r="AD159" s="16" t="s">
        <v>341</v>
      </c>
      <c r="AE159" s="16" t="s">
        <v>340</v>
      </c>
      <c r="AF159" s="15" t="s">
        <v>340</v>
      </c>
      <c r="AG159" s="15" t="s">
        <v>345</v>
      </c>
      <c r="AH159" s="17" t="s">
        <v>371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704</v>
      </c>
      <c r="AR159" t="s">
        <v>349</v>
      </c>
      <c r="AS159" t="s">
        <v>349</v>
      </c>
      <c r="AT159">
        <v>1</v>
      </c>
      <c r="AU159">
        <v>0</v>
      </c>
      <c r="AV159">
        <v>0</v>
      </c>
      <c r="AW159" t="s">
        <v>704</v>
      </c>
      <c r="AX159" t="s">
        <v>1232</v>
      </c>
      <c r="AY159" t="s">
        <v>293</v>
      </c>
      <c r="AZ159" t="s">
        <v>354</v>
      </c>
      <c r="BA159" t="s">
        <v>354</v>
      </c>
      <c r="BB159" t="s">
        <v>299</v>
      </c>
      <c r="BC159" t="s">
        <v>292</v>
      </c>
      <c r="BD159" t="s">
        <v>293</v>
      </c>
      <c r="BE159" t="s">
        <v>292</v>
      </c>
      <c r="BF159" t="s">
        <v>292</v>
      </c>
      <c r="BG159" t="s">
        <v>293</v>
      </c>
      <c r="BH159" t="s">
        <v>302</v>
      </c>
      <c r="BI159" t="s">
        <v>302</v>
      </c>
      <c r="BJ159" t="s">
        <v>357</v>
      </c>
      <c r="BK159" t="s">
        <v>293</v>
      </c>
      <c r="BL159" t="s">
        <v>293</v>
      </c>
      <c r="BM159" t="s">
        <v>296</v>
      </c>
      <c r="BN159" t="s">
        <v>298</v>
      </c>
      <c r="BO159" t="s">
        <v>293</v>
      </c>
      <c r="BP159" t="s">
        <v>292</v>
      </c>
      <c r="BQ159" t="s">
        <v>293</v>
      </c>
      <c r="BR159" t="s">
        <v>293</v>
      </c>
      <c r="BS159" t="s">
        <v>364</v>
      </c>
      <c r="BT159" t="s">
        <v>304</v>
      </c>
      <c r="BU159" t="s">
        <v>371</v>
      </c>
      <c r="BV159" t="s">
        <v>371</v>
      </c>
      <c r="BW159" t="s">
        <v>2602</v>
      </c>
      <c r="BX159" t="str">
        <f>IF(J159="win",VLOOKUP(B159,ColorScheme!$A$2:$I$32,4,0),VLOOKUP(B159,ColorScheme!$A$2:$I$32,5,0))</f>
        <v>#ffff1450</v>
      </c>
    </row>
    <row r="160" spans="1:76" x14ac:dyDescent="0.3">
      <c r="A160" t="s">
        <v>9</v>
      </c>
      <c r="B160" t="s">
        <v>47</v>
      </c>
      <c r="C160" t="s">
        <v>19</v>
      </c>
      <c r="D160" t="s">
        <v>29</v>
      </c>
      <c r="E160" t="s">
        <v>862</v>
      </c>
      <c r="F160" t="b">
        <v>1</v>
      </c>
      <c r="G160">
        <v>65.8</v>
      </c>
      <c r="H160">
        <v>0</v>
      </c>
      <c r="I160">
        <v>19295</v>
      </c>
      <c r="J160" s="61" t="s">
        <v>13</v>
      </c>
      <c r="K160" s="16" t="s">
        <v>272</v>
      </c>
      <c r="L160" s="16">
        <v>2</v>
      </c>
      <c r="M160" s="16" t="s">
        <v>277</v>
      </c>
      <c r="N160" s="16" t="s">
        <v>335</v>
      </c>
      <c r="O160" s="15" t="s">
        <v>282</v>
      </c>
      <c r="P160" t="s">
        <v>371</v>
      </c>
      <c r="Q160" t="s">
        <v>371</v>
      </c>
      <c r="R160" s="17" t="s">
        <v>371</v>
      </c>
      <c r="S160" s="17">
        <v>0</v>
      </c>
      <c r="T160" s="17">
        <v>1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 t="s">
        <v>704</v>
      </c>
      <c r="AD160" s="16" t="s">
        <v>341</v>
      </c>
      <c r="AE160" s="16" t="s">
        <v>340</v>
      </c>
      <c r="AF160" s="15" t="s">
        <v>340</v>
      </c>
      <c r="AG160" s="15" t="s">
        <v>345</v>
      </c>
      <c r="AH160" s="17" t="s">
        <v>377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704</v>
      </c>
      <c r="AR160" t="s">
        <v>349</v>
      </c>
      <c r="AS160" t="s">
        <v>349</v>
      </c>
      <c r="AT160">
        <v>1</v>
      </c>
      <c r="AU160">
        <v>0</v>
      </c>
      <c r="AV160">
        <v>0</v>
      </c>
      <c r="AW160" t="s">
        <v>704</v>
      </c>
      <c r="AX160" t="s">
        <v>1260</v>
      </c>
      <c r="AY160" t="s">
        <v>293</v>
      </c>
      <c r="AZ160" t="s">
        <v>354</v>
      </c>
      <c r="BA160" t="s">
        <v>354</v>
      </c>
      <c r="BB160" t="s">
        <v>301</v>
      </c>
      <c r="BC160" t="s">
        <v>292</v>
      </c>
      <c r="BD160" t="s">
        <v>293</v>
      </c>
      <c r="BE160" t="s">
        <v>293</v>
      </c>
      <c r="BF160" t="s">
        <v>292</v>
      </c>
      <c r="BG160" t="s">
        <v>293</v>
      </c>
      <c r="BH160" t="s">
        <v>302</v>
      </c>
      <c r="BI160" t="s">
        <v>302</v>
      </c>
      <c r="BJ160" t="s">
        <v>357</v>
      </c>
      <c r="BK160" t="s">
        <v>293</v>
      </c>
      <c r="BL160" t="s">
        <v>293</v>
      </c>
      <c r="BM160" t="s">
        <v>296</v>
      </c>
      <c r="BN160" t="s">
        <v>298</v>
      </c>
      <c r="BO160" t="s">
        <v>293</v>
      </c>
      <c r="BP160" t="s">
        <v>292</v>
      </c>
      <c r="BQ160" t="s">
        <v>293</v>
      </c>
      <c r="BR160" t="s">
        <v>293</v>
      </c>
      <c r="BS160" t="s">
        <v>364</v>
      </c>
      <c r="BT160" t="s">
        <v>366</v>
      </c>
      <c r="BU160" t="s">
        <v>371</v>
      </c>
      <c r="BV160" t="s">
        <v>371</v>
      </c>
      <c r="BW160" t="s">
        <v>2603</v>
      </c>
      <c r="BX160" t="str">
        <f>IF(J160="win",VLOOKUP(B160,ColorScheme!$A$2:$I$32,4,0),VLOOKUP(B160,ColorScheme!$A$2:$I$32,5,0))</f>
        <v>#ffff14</v>
      </c>
    </row>
    <row r="161" spans="1:76" x14ac:dyDescent="0.3">
      <c r="A161" t="s">
        <v>9</v>
      </c>
      <c r="B161" t="s">
        <v>47</v>
      </c>
      <c r="C161" t="s">
        <v>20</v>
      </c>
      <c r="D161" t="s">
        <v>29</v>
      </c>
      <c r="E161" t="s">
        <v>863</v>
      </c>
      <c r="F161" t="b">
        <v>1</v>
      </c>
      <c r="G161">
        <v>81.2</v>
      </c>
      <c r="H161">
        <v>0</v>
      </c>
      <c r="I161">
        <v>16803</v>
      </c>
      <c r="J161" s="61" t="s">
        <v>13</v>
      </c>
      <c r="K161" s="16" t="s">
        <v>272</v>
      </c>
      <c r="L161" s="16">
        <v>2</v>
      </c>
      <c r="M161" s="16" t="s">
        <v>277</v>
      </c>
      <c r="N161" s="16" t="s">
        <v>335</v>
      </c>
      <c r="O161" s="15" t="s">
        <v>282</v>
      </c>
      <c r="P161" t="s">
        <v>371</v>
      </c>
      <c r="Q161" t="s">
        <v>371</v>
      </c>
      <c r="R161" s="17" t="s">
        <v>371</v>
      </c>
      <c r="S161" s="17">
        <v>0</v>
      </c>
      <c r="T161" s="17">
        <v>1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 t="s">
        <v>704</v>
      </c>
      <c r="AD161" s="16" t="s">
        <v>341</v>
      </c>
      <c r="AE161" s="16" t="s">
        <v>340</v>
      </c>
      <c r="AF161" s="15" t="s">
        <v>340</v>
      </c>
      <c r="AG161" s="15" t="s">
        <v>345</v>
      </c>
      <c r="AH161" s="17" t="s">
        <v>377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704</v>
      </c>
      <c r="AR161" t="s">
        <v>349</v>
      </c>
      <c r="AS161" t="s">
        <v>349</v>
      </c>
      <c r="AT161">
        <v>1</v>
      </c>
      <c r="AU161">
        <v>0</v>
      </c>
      <c r="AV161">
        <v>0</v>
      </c>
      <c r="AW161" t="s">
        <v>704</v>
      </c>
      <c r="AX161" t="s">
        <v>1260</v>
      </c>
      <c r="AY161" t="s">
        <v>293</v>
      </c>
      <c r="AZ161" t="s">
        <v>354</v>
      </c>
      <c r="BA161" t="s">
        <v>354</v>
      </c>
      <c r="BB161" t="s">
        <v>301</v>
      </c>
      <c r="BC161" t="s">
        <v>292</v>
      </c>
      <c r="BD161" t="s">
        <v>293</v>
      </c>
      <c r="BE161" t="s">
        <v>292</v>
      </c>
      <c r="BF161" t="s">
        <v>292</v>
      </c>
      <c r="BG161" t="s">
        <v>293</v>
      </c>
      <c r="BH161" t="s">
        <v>302</v>
      </c>
      <c r="BI161" t="s">
        <v>302</v>
      </c>
      <c r="BJ161" t="s">
        <v>357</v>
      </c>
      <c r="BK161" t="s">
        <v>293</v>
      </c>
      <c r="BL161" t="s">
        <v>293</v>
      </c>
      <c r="BM161" t="s">
        <v>296</v>
      </c>
      <c r="BN161" t="s">
        <v>298</v>
      </c>
      <c r="BO161" t="s">
        <v>293</v>
      </c>
      <c r="BP161" t="s">
        <v>292</v>
      </c>
      <c r="BQ161" t="s">
        <v>293</v>
      </c>
      <c r="BR161" t="s">
        <v>293</v>
      </c>
      <c r="BS161" t="s">
        <v>364</v>
      </c>
      <c r="BT161" t="s">
        <v>366</v>
      </c>
      <c r="BU161" t="s">
        <v>371</v>
      </c>
      <c r="BV161" t="s">
        <v>371</v>
      </c>
      <c r="BW161" t="s">
        <v>2604</v>
      </c>
      <c r="BX161" t="str">
        <f>IF(J161="win",VLOOKUP(B161,ColorScheme!$A$2:$I$32,4,0),VLOOKUP(B161,ColorScheme!$A$2:$I$32,5,0))</f>
        <v>#ffff14</v>
      </c>
    </row>
    <row r="162" spans="1:76" x14ac:dyDescent="0.3">
      <c r="A162" t="s">
        <v>9</v>
      </c>
      <c r="B162" t="s">
        <v>47</v>
      </c>
      <c r="C162" t="s">
        <v>26</v>
      </c>
      <c r="D162" t="s">
        <v>29</v>
      </c>
      <c r="E162" t="s">
        <v>864</v>
      </c>
      <c r="F162" t="b">
        <v>1</v>
      </c>
      <c r="G162">
        <v>100</v>
      </c>
      <c r="H162">
        <v>1</v>
      </c>
      <c r="I162">
        <v>14157</v>
      </c>
      <c r="J162" s="61" t="s">
        <v>18</v>
      </c>
      <c r="K162" s="16" t="s">
        <v>272</v>
      </c>
      <c r="L162" s="16">
        <v>2</v>
      </c>
      <c r="M162" s="16" t="s">
        <v>277</v>
      </c>
      <c r="N162" s="16" t="s">
        <v>335</v>
      </c>
      <c r="O162" s="15" t="s">
        <v>282</v>
      </c>
      <c r="P162" t="s">
        <v>371</v>
      </c>
      <c r="Q162" t="s">
        <v>371</v>
      </c>
      <c r="R162" s="17" t="s">
        <v>371</v>
      </c>
      <c r="S162" s="17">
        <v>0</v>
      </c>
      <c r="T162" s="17">
        <v>1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 t="s">
        <v>704</v>
      </c>
      <c r="AD162" s="16" t="s">
        <v>341</v>
      </c>
      <c r="AE162" s="16" t="s">
        <v>340</v>
      </c>
      <c r="AF162" s="15" t="s">
        <v>340</v>
      </c>
      <c r="AG162" s="15" t="s">
        <v>345</v>
      </c>
      <c r="AH162" s="17" t="s">
        <v>371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704</v>
      </c>
      <c r="AR162" t="s">
        <v>349</v>
      </c>
      <c r="AS162" t="s">
        <v>349</v>
      </c>
      <c r="AT162">
        <v>1</v>
      </c>
      <c r="AU162">
        <v>0</v>
      </c>
      <c r="AV162">
        <v>0</v>
      </c>
      <c r="AW162" t="s">
        <v>704</v>
      </c>
      <c r="AX162" t="s">
        <v>1232</v>
      </c>
      <c r="AY162" t="s">
        <v>293</v>
      </c>
      <c r="AZ162" t="s">
        <v>354</v>
      </c>
      <c r="BA162" t="s">
        <v>354</v>
      </c>
      <c r="BB162" t="s">
        <v>301</v>
      </c>
      <c r="BC162" t="s">
        <v>292</v>
      </c>
      <c r="BD162" t="s">
        <v>293</v>
      </c>
      <c r="BE162" t="s">
        <v>292</v>
      </c>
      <c r="BF162" t="s">
        <v>293</v>
      </c>
      <c r="BG162" t="s">
        <v>293</v>
      </c>
      <c r="BH162" t="s">
        <v>302</v>
      </c>
      <c r="BI162" t="s">
        <v>302</v>
      </c>
      <c r="BJ162" t="s">
        <v>357</v>
      </c>
      <c r="BK162" t="s">
        <v>293</v>
      </c>
      <c r="BL162" t="s">
        <v>293</v>
      </c>
      <c r="BM162" t="s">
        <v>297</v>
      </c>
      <c r="BN162" t="s">
        <v>298</v>
      </c>
      <c r="BO162" t="s">
        <v>293</v>
      </c>
      <c r="BP162" t="s">
        <v>292</v>
      </c>
      <c r="BQ162" t="s">
        <v>293</v>
      </c>
      <c r="BR162" t="s">
        <v>293</v>
      </c>
      <c r="BS162" t="s">
        <v>364</v>
      </c>
      <c r="BT162" t="s">
        <v>304</v>
      </c>
      <c r="BU162" t="s">
        <v>371</v>
      </c>
      <c r="BV162" t="s">
        <v>371</v>
      </c>
      <c r="BW162" t="s">
        <v>2605</v>
      </c>
      <c r="BX162" t="str">
        <f>IF(J162="win",VLOOKUP(B162,ColorScheme!$A$2:$I$32,4,0),VLOOKUP(B162,ColorScheme!$A$2:$I$32,5,0))</f>
        <v>#ffff1450</v>
      </c>
    </row>
    <row r="163" spans="1:76" x14ac:dyDescent="0.3">
      <c r="A163" t="s">
        <v>9</v>
      </c>
      <c r="B163" t="s">
        <v>47</v>
      </c>
      <c r="C163" t="s">
        <v>22</v>
      </c>
      <c r="D163" t="s">
        <v>29</v>
      </c>
      <c r="E163" t="s">
        <v>865</v>
      </c>
      <c r="F163" t="b">
        <v>1</v>
      </c>
      <c r="G163">
        <v>100</v>
      </c>
      <c r="H163">
        <v>1</v>
      </c>
      <c r="I163">
        <v>11780</v>
      </c>
      <c r="J163" s="61" t="s">
        <v>18</v>
      </c>
      <c r="K163" s="16" t="s">
        <v>272</v>
      </c>
      <c r="L163" s="16">
        <v>2</v>
      </c>
      <c r="M163" s="16" t="s">
        <v>277</v>
      </c>
      <c r="N163" s="16" t="s">
        <v>335</v>
      </c>
      <c r="O163" s="15" t="s">
        <v>282</v>
      </c>
      <c r="P163" t="s">
        <v>371</v>
      </c>
      <c r="Q163" t="s">
        <v>371</v>
      </c>
      <c r="R163" s="17" t="s">
        <v>371</v>
      </c>
      <c r="S163" s="17">
        <v>0</v>
      </c>
      <c r="T163" s="17">
        <v>1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 t="s">
        <v>704</v>
      </c>
      <c r="AD163" s="16" t="s">
        <v>341</v>
      </c>
      <c r="AE163" s="16" t="s">
        <v>342</v>
      </c>
      <c r="AF163" s="15" t="s">
        <v>340</v>
      </c>
      <c r="AG163" s="15" t="s">
        <v>345</v>
      </c>
      <c r="AH163" s="17" t="s">
        <v>371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704</v>
      </c>
      <c r="AR163" t="s">
        <v>349</v>
      </c>
      <c r="AS163" t="s">
        <v>349</v>
      </c>
      <c r="AT163">
        <v>1</v>
      </c>
      <c r="AU163">
        <v>0</v>
      </c>
      <c r="AV163">
        <v>0</v>
      </c>
      <c r="AW163" t="s">
        <v>704</v>
      </c>
      <c r="AX163" t="s">
        <v>1232</v>
      </c>
      <c r="AY163" t="s">
        <v>293</v>
      </c>
      <c r="AZ163" t="s">
        <v>354</v>
      </c>
      <c r="BA163" t="s">
        <v>354</v>
      </c>
      <c r="BB163" t="s">
        <v>300</v>
      </c>
      <c r="BC163" t="s">
        <v>292</v>
      </c>
      <c r="BD163" t="s">
        <v>293</v>
      </c>
      <c r="BE163" t="s">
        <v>292</v>
      </c>
      <c r="BF163" t="s">
        <v>293</v>
      </c>
      <c r="BG163" t="s">
        <v>293</v>
      </c>
      <c r="BH163" t="s">
        <v>302</v>
      </c>
      <c r="BI163" t="s">
        <v>302</v>
      </c>
      <c r="BJ163" t="s">
        <v>357</v>
      </c>
      <c r="BK163" t="s">
        <v>293</v>
      </c>
      <c r="BL163" t="s">
        <v>293</v>
      </c>
      <c r="BM163" t="s">
        <v>297</v>
      </c>
      <c r="BN163" t="s">
        <v>298</v>
      </c>
      <c r="BO163" t="s">
        <v>293</v>
      </c>
      <c r="BP163" t="s">
        <v>292</v>
      </c>
      <c r="BQ163" t="s">
        <v>293</v>
      </c>
      <c r="BR163" t="s">
        <v>293</v>
      </c>
      <c r="BS163" t="s">
        <v>364</v>
      </c>
      <c r="BT163" t="s">
        <v>304</v>
      </c>
      <c r="BU163" t="s">
        <v>371</v>
      </c>
      <c r="BV163" t="s">
        <v>371</v>
      </c>
      <c r="BW163" t="s">
        <v>2606</v>
      </c>
      <c r="BX163" t="str">
        <f>IF(J163="win",VLOOKUP(B163,ColorScheme!$A$2:$I$32,4,0),VLOOKUP(B163,ColorScheme!$A$2:$I$32,5,0))</f>
        <v>#ffff1450</v>
      </c>
    </row>
    <row r="164" spans="1:76" x14ac:dyDescent="0.3">
      <c r="A164" t="s">
        <v>9</v>
      </c>
      <c r="B164" t="s">
        <v>47</v>
      </c>
      <c r="C164" t="s">
        <v>27</v>
      </c>
      <c r="D164" t="s">
        <v>29</v>
      </c>
      <c r="E164" t="s">
        <v>866</v>
      </c>
      <c r="F164" t="b">
        <v>1</v>
      </c>
      <c r="G164">
        <v>100</v>
      </c>
      <c r="H164">
        <v>1</v>
      </c>
      <c r="I164">
        <v>15509</v>
      </c>
      <c r="J164" s="61" t="s">
        <v>18</v>
      </c>
      <c r="K164" s="16" t="s">
        <v>272</v>
      </c>
      <c r="L164" s="16">
        <v>2</v>
      </c>
      <c r="M164" s="16" t="s">
        <v>277</v>
      </c>
      <c r="N164" s="16" t="s">
        <v>335</v>
      </c>
      <c r="O164" s="15" t="s">
        <v>282</v>
      </c>
      <c r="P164" t="s">
        <v>371</v>
      </c>
      <c r="Q164" t="s">
        <v>371</v>
      </c>
      <c r="R164" s="17" t="s">
        <v>371</v>
      </c>
      <c r="S164" s="17">
        <v>0</v>
      </c>
      <c r="T164" s="17">
        <v>1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 t="s">
        <v>704</v>
      </c>
      <c r="AD164" s="16" t="s">
        <v>341</v>
      </c>
      <c r="AE164" s="16" t="s">
        <v>340</v>
      </c>
      <c r="AF164" s="15" t="s">
        <v>340</v>
      </c>
      <c r="AG164" s="15" t="s">
        <v>345</v>
      </c>
      <c r="AH164" s="17" t="s">
        <v>291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 t="s">
        <v>704</v>
      </c>
      <c r="AR164" t="s">
        <v>349</v>
      </c>
      <c r="AS164" t="s">
        <v>349</v>
      </c>
      <c r="AT164">
        <v>1</v>
      </c>
      <c r="AU164">
        <v>0</v>
      </c>
      <c r="AV164">
        <v>0</v>
      </c>
      <c r="AW164" t="s">
        <v>704</v>
      </c>
      <c r="AX164" t="s">
        <v>1261</v>
      </c>
      <c r="AY164" t="s">
        <v>293</v>
      </c>
      <c r="AZ164" t="s">
        <v>354</v>
      </c>
      <c r="BA164" t="s">
        <v>354</v>
      </c>
      <c r="BB164" t="s">
        <v>300</v>
      </c>
      <c r="BC164" t="s">
        <v>292</v>
      </c>
      <c r="BD164" t="s">
        <v>293</v>
      </c>
      <c r="BE164" t="s">
        <v>292</v>
      </c>
      <c r="BF164" t="s">
        <v>293</v>
      </c>
      <c r="BG164" t="s">
        <v>293</v>
      </c>
      <c r="BH164" t="s">
        <v>302</v>
      </c>
      <c r="BI164" t="s">
        <v>302</v>
      </c>
      <c r="BJ164" t="s">
        <v>357</v>
      </c>
      <c r="BK164" t="s">
        <v>293</v>
      </c>
      <c r="BL164" t="s">
        <v>293</v>
      </c>
      <c r="BM164" t="s">
        <v>297</v>
      </c>
      <c r="BN164" t="s">
        <v>298</v>
      </c>
      <c r="BO164" t="s">
        <v>293</v>
      </c>
      <c r="BP164" t="s">
        <v>292</v>
      </c>
      <c r="BQ164" t="s">
        <v>293</v>
      </c>
      <c r="BR164" t="s">
        <v>293</v>
      </c>
      <c r="BS164" t="s">
        <v>364</v>
      </c>
      <c r="BT164" t="s">
        <v>304</v>
      </c>
      <c r="BU164" t="s">
        <v>371</v>
      </c>
      <c r="BV164" t="s">
        <v>371</v>
      </c>
      <c r="BW164" t="s">
        <v>2607</v>
      </c>
      <c r="BX164" t="str">
        <f>IF(J164="win",VLOOKUP(B164,ColorScheme!$A$2:$I$32,4,0),VLOOKUP(B164,ColorScheme!$A$2:$I$32,5,0))</f>
        <v>#ffff1450</v>
      </c>
    </row>
    <row r="165" spans="1:76" x14ac:dyDescent="0.3">
      <c r="A165" t="s">
        <v>9</v>
      </c>
      <c r="B165" t="s">
        <v>47</v>
      </c>
      <c r="C165" t="s">
        <v>28</v>
      </c>
      <c r="D165" t="s">
        <v>29</v>
      </c>
      <c r="E165" t="s">
        <v>867</v>
      </c>
      <c r="F165" t="b">
        <v>1</v>
      </c>
      <c r="G165">
        <v>100</v>
      </c>
      <c r="H165">
        <v>1</v>
      </c>
      <c r="I165">
        <v>14985</v>
      </c>
      <c r="J165" s="61" t="s">
        <v>18</v>
      </c>
      <c r="K165" s="16" t="s">
        <v>272</v>
      </c>
      <c r="L165" s="16">
        <v>2</v>
      </c>
      <c r="M165" s="16" t="s">
        <v>277</v>
      </c>
      <c r="N165" s="16" t="s">
        <v>335</v>
      </c>
      <c r="O165" s="15" t="s">
        <v>282</v>
      </c>
      <c r="P165" t="s">
        <v>371</v>
      </c>
      <c r="Q165" t="s">
        <v>371</v>
      </c>
      <c r="R165" s="17" t="s">
        <v>371</v>
      </c>
      <c r="S165" s="17">
        <v>0</v>
      </c>
      <c r="T165" s="17">
        <v>1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 t="s">
        <v>704</v>
      </c>
      <c r="AD165" s="16" t="s">
        <v>341</v>
      </c>
      <c r="AE165" s="16" t="s">
        <v>340</v>
      </c>
      <c r="AF165" s="15" t="s">
        <v>343</v>
      </c>
      <c r="AG165" s="15" t="s">
        <v>345</v>
      </c>
      <c r="AH165" s="17" t="s">
        <v>291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 t="s">
        <v>704</v>
      </c>
      <c r="AR165" t="s">
        <v>349</v>
      </c>
      <c r="AS165" t="s">
        <v>349</v>
      </c>
      <c r="AT165">
        <v>1</v>
      </c>
      <c r="AU165">
        <v>0</v>
      </c>
      <c r="AV165">
        <v>0</v>
      </c>
      <c r="AW165" t="s">
        <v>704</v>
      </c>
      <c r="AX165" t="s">
        <v>1261</v>
      </c>
      <c r="AY165" t="s">
        <v>293</v>
      </c>
      <c r="AZ165" t="s">
        <v>354</v>
      </c>
      <c r="BA165" t="s">
        <v>354</v>
      </c>
      <c r="BB165" t="s">
        <v>300</v>
      </c>
      <c r="BC165" t="s">
        <v>292</v>
      </c>
      <c r="BD165" t="s">
        <v>293</v>
      </c>
      <c r="BE165" t="s">
        <v>292</v>
      </c>
      <c r="BF165" t="s">
        <v>293</v>
      </c>
      <c r="BG165" t="s">
        <v>293</v>
      </c>
      <c r="BH165" t="s">
        <v>302</v>
      </c>
      <c r="BI165" t="s">
        <v>302</v>
      </c>
      <c r="BJ165" t="s">
        <v>357</v>
      </c>
      <c r="BK165" t="s">
        <v>293</v>
      </c>
      <c r="BL165" t="s">
        <v>293</v>
      </c>
      <c r="BM165" t="s">
        <v>297</v>
      </c>
      <c r="BN165" t="s">
        <v>298</v>
      </c>
      <c r="BO165" t="s">
        <v>293</v>
      </c>
      <c r="BP165" t="s">
        <v>292</v>
      </c>
      <c r="BQ165" t="s">
        <v>293</v>
      </c>
      <c r="BR165" t="s">
        <v>293</v>
      </c>
      <c r="BS165" t="s">
        <v>364</v>
      </c>
      <c r="BT165" t="s">
        <v>304</v>
      </c>
      <c r="BU165" t="s">
        <v>371</v>
      </c>
      <c r="BV165" t="s">
        <v>371</v>
      </c>
      <c r="BW165" t="s">
        <v>2608</v>
      </c>
      <c r="BX165" t="str">
        <f>IF(J165="win",VLOOKUP(B165,ColorScheme!$A$2:$I$32,4,0),VLOOKUP(B165,ColorScheme!$A$2:$I$32,5,0))</f>
        <v>#ffff1450</v>
      </c>
    </row>
    <row r="166" spans="1:76" x14ac:dyDescent="0.3">
      <c r="A166" t="s">
        <v>45</v>
      </c>
      <c r="B166" t="s">
        <v>57</v>
      </c>
      <c r="C166" t="s">
        <v>15</v>
      </c>
      <c r="D166" t="s">
        <v>12</v>
      </c>
      <c r="E166" t="s">
        <v>868</v>
      </c>
      <c r="F166" t="b">
        <v>1</v>
      </c>
      <c r="G166">
        <v>81.400000000000006</v>
      </c>
      <c r="H166">
        <v>0</v>
      </c>
      <c r="I166">
        <v>11783</v>
      </c>
      <c r="J166" s="61" t="s">
        <v>13</v>
      </c>
      <c r="K166" s="16" t="s">
        <v>272</v>
      </c>
      <c r="L166" s="16">
        <v>3</v>
      </c>
      <c r="M166" s="16" t="s">
        <v>277</v>
      </c>
      <c r="N166" s="16" t="s">
        <v>335</v>
      </c>
      <c r="O166" s="15" t="s">
        <v>282</v>
      </c>
      <c r="P166" t="s">
        <v>371</v>
      </c>
      <c r="Q166" t="s">
        <v>371</v>
      </c>
      <c r="R166" s="17" t="s">
        <v>371</v>
      </c>
      <c r="S166" s="17">
        <v>0</v>
      </c>
      <c r="T166" s="17">
        <v>1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 t="s">
        <v>704</v>
      </c>
      <c r="AD166" s="16" t="s">
        <v>341</v>
      </c>
      <c r="AE166" s="16" t="s">
        <v>340</v>
      </c>
      <c r="AF166" s="15" t="s">
        <v>343</v>
      </c>
      <c r="AG166" s="15" t="s">
        <v>344</v>
      </c>
      <c r="AH166" s="17" t="s">
        <v>371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704</v>
      </c>
      <c r="AR166" t="s">
        <v>349</v>
      </c>
      <c r="AS166" t="s">
        <v>349</v>
      </c>
      <c r="AT166">
        <v>1</v>
      </c>
      <c r="AU166">
        <v>0</v>
      </c>
      <c r="AV166">
        <v>0</v>
      </c>
      <c r="AW166" t="s">
        <v>704</v>
      </c>
      <c r="AX166" t="s">
        <v>1208</v>
      </c>
      <c r="AY166" t="s">
        <v>293</v>
      </c>
      <c r="AZ166" t="s">
        <v>353</v>
      </c>
      <c r="BA166" t="s">
        <v>296</v>
      </c>
      <c r="BB166" t="s">
        <v>301</v>
      </c>
      <c r="BC166" t="s">
        <v>292</v>
      </c>
      <c r="BD166" t="s">
        <v>293</v>
      </c>
      <c r="BE166" t="s">
        <v>292</v>
      </c>
      <c r="BF166" t="s">
        <v>292</v>
      </c>
      <c r="BG166" t="s">
        <v>293</v>
      </c>
      <c r="BH166" t="s">
        <v>358</v>
      </c>
      <c r="BI166" t="s">
        <v>302</v>
      </c>
      <c r="BJ166" t="s">
        <v>359</v>
      </c>
      <c r="BK166" t="s">
        <v>293</v>
      </c>
      <c r="BL166" t="s">
        <v>293</v>
      </c>
      <c r="BM166" t="s">
        <v>297</v>
      </c>
      <c r="BN166" t="s">
        <v>298</v>
      </c>
      <c r="BO166" t="s">
        <v>293</v>
      </c>
      <c r="BP166" t="s">
        <v>292</v>
      </c>
      <c r="BQ166" t="s">
        <v>293</v>
      </c>
      <c r="BR166" t="s">
        <v>293</v>
      </c>
      <c r="BS166" t="s">
        <v>364</v>
      </c>
      <c r="BT166" t="s">
        <v>366</v>
      </c>
      <c r="BU166" t="s">
        <v>371</v>
      </c>
      <c r="BV166" t="s">
        <v>371</v>
      </c>
      <c r="BW166" t="s">
        <v>2609</v>
      </c>
      <c r="BX166" t="str">
        <f>IF(J166="win",VLOOKUP(B166,ColorScheme!$A$2:$I$32,4,0),VLOOKUP(B166,ColorScheme!$A$2:$I$32,5,0))</f>
        <v>#75bbfd</v>
      </c>
    </row>
    <row r="167" spans="1:76" x14ac:dyDescent="0.3">
      <c r="A167" t="s">
        <v>45</v>
      </c>
      <c r="B167" t="s">
        <v>57</v>
      </c>
      <c r="C167" t="s">
        <v>23</v>
      </c>
      <c r="D167" t="s">
        <v>12</v>
      </c>
      <c r="E167" t="s">
        <v>869</v>
      </c>
      <c r="F167" t="b">
        <v>1</v>
      </c>
      <c r="G167">
        <v>100</v>
      </c>
      <c r="H167">
        <v>1</v>
      </c>
      <c r="I167">
        <v>8738</v>
      </c>
      <c r="J167" s="61" t="s">
        <v>18</v>
      </c>
      <c r="K167" s="16" t="s">
        <v>272</v>
      </c>
      <c r="L167" s="16">
        <v>3</v>
      </c>
      <c r="M167" s="16" t="s">
        <v>277</v>
      </c>
      <c r="N167" s="16" t="s">
        <v>335</v>
      </c>
      <c r="O167" s="15" t="s">
        <v>283</v>
      </c>
      <c r="P167" t="s">
        <v>339</v>
      </c>
      <c r="Q167" t="s">
        <v>371</v>
      </c>
      <c r="R167" s="17" t="s">
        <v>371</v>
      </c>
      <c r="S167" s="17">
        <v>0</v>
      </c>
      <c r="T167" s="17">
        <v>0</v>
      </c>
      <c r="U167" s="17">
        <v>1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1</v>
      </c>
      <c r="AB167" s="17">
        <v>0</v>
      </c>
      <c r="AC167" s="17" t="s">
        <v>704</v>
      </c>
      <c r="AD167" s="16" t="s">
        <v>341</v>
      </c>
      <c r="AE167" s="16" t="s">
        <v>342</v>
      </c>
      <c r="AF167" s="15" t="s">
        <v>343</v>
      </c>
      <c r="AG167" s="15" t="s">
        <v>345</v>
      </c>
      <c r="AH167" s="17" t="s">
        <v>347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 t="s">
        <v>704</v>
      </c>
      <c r="AR167" t="s">
        <v>349</v>
      </c>
      <c r="AS167" t="s">
        <v>349</v>
      </c>
      <c r="AT167">
        <v>1</v>
      </c>
      <c r="AU167">
        <v>0</v>
      </c>
      <c r="AV167">
        <v>0</v>
      </c>
      <c r="AW167" t="s">
        <v>704</v>
      </c>
      <c r="AX167" t="s">
        <v>1262</v>
      </c>
      <c r="AY167" t="s">
        <v>293</v>
      </c>
      <c r="AZ167" t="s">
        <v>352</v>
      </c>
      <c r="BA167" t="s">
        <v>296</v>
      </c>
      <c r="BB167" t="s">
        <v>299</v>
      </c>
      <c r="BC167" t="s">
        <v>292</v>
      </c>
      <c r="BD167" t="s">
        <v>292</v>
      </c>
      <c r="BE167" t="s">
        <v>292</v>
      </c>
      <c r="BF167" t="s">
        <v>292</v>
      </c>
      <c r="BG167" t="s">
        <v>293</v>
      </c>
      <c r="BH167" t="s">
        <v>302</v>
      </c>
      <c r="BI167" t="s">
        <v>302</v>
      </c>
      <c r="BJ167" t="s">
        <v>359</v>
      </c>
      <c r="BK167" t="s">
        <v>293</v>
      </c>
      <c r="BL167" t="s">
        <v>293</v>
      </c>
      <c r="BM167" t="s">
        <v>297</v>
      </c>
      <c r="BN167" t="s">
        <v>298</v>
      </c>
      <c r="BO167" t="s">
        <v>293</v>
      </c>
      <c r="BP167" t="s">
        <v>292</v>
      </c>
      <c r="BQ167" t="s">
        <v>293</v>
      </c>
      <c r="BR167" t="s">
        <v>293</v>
      </c>
      <c r="BS167" t="s">
        <v>364</v>
      </c>
      <c r="BT167" t="s">
        <v>304</v>
      </c>
      <c r="BU167" t="s">
        <v>371</v>
      </c>
      <c r="BV167" t="s">
        <v>371</v>
      </c>
      <c r="BW167" t="s">
        <v>2610</v>
      </c>
      <c r="BX167" t="str">
        <f>IF(J167="win",VLOOKUP(B167,ColorScheme!$A$2:$I$32,4,0),VLOOKUP(B167,ColorScheme!$A$2:$I$32,5,0))</f>
        <v>#75bbfd50</v>
      </c>
    </row>
    <row r="168" spans="1:76" x14ac:dyDescent="0.3">
      <c r="A168" t="s">
        <v>45</v>
      </c>
      <c r="B168" t="s">
        <v>57</v>
      </c>
      <c r="C168" t="s">
        <v>14</v>
      </c>
      <c r="D168" t="s">
        <v>12</v>
      </c>
      <c r="E168" t="s">
        <v>870</v>
      </c>
      <c r="F168" t="b">
        <v>1</v>
      </c>
      <c r="G168">
        <v>92.3</v>
      </c>
      <c r="H168">
        <v>0</v>
      </c>
      <c r="I168">
        <v>10124</v>
      </c>
      <c r="J168" s="61" t="s">
        <v>13</v>
      </c>
      <c r="K168" s="16" t="s">
        <v>272</v>
      </c>
      <c r="L168" s="16">
        <v>3</v>
      </c>
      <c r="M168" s="16" t="s">
        <v>277</v>
      </c>
      <c r="N168" s="16" t="s">
        <v>335</v>
      </c>
      <c r="O168" s="15" t="s">
        <v>282</v>
      </c>
      <c r="P168" t="s">
        <v>371</v>
      </c>
      <c r="Q168" t="s">
        <v>371</v>
      </c>
      <c r="R168" s="17" t="s">
        <v>371</v>
      </c>
      <c r="S168" s="17">
        <v>0</v>
      </c>
      <c r="T168" s="17">
        <v>1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 t="s">
        <v>704</v>
      </c>
      <c r="AD168" s="16" t="s">
        <v>341</v>
      </c>
      <c r="AE168" s="16" t="s">
        <v>342</v>
      </c>
      <c r="AF168" s="15" t="s">
        <v>343</v>
      </c>
      <c r="AG168" s="15" t="s">
        <v>344</v>
      </c>
      <c r="AH168" s="17" t="s">
        <v>347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 t="s">
        <v>704</v>
      </c>
      <c r="AR168" t="s">
        <v>349</v>
      </c>
      <c r="AS168" t="s">
        <v>349</v>
      </c>
      <c r="AT168">
        <v>1</v>
      </c>
      <c r="AU168">
        <v>0</v>
      </c>
      <c r="AV168">
        <v>0</v>
      </c>
      <c r="AW168" t="s">
        <v>704</v>
      </c>
      <c r="AX168" t="s">
        <v>1263</v>
      </c>
      <c r="AY168" t="s">
        <v>293</v>
      </c>
      <c r="AZ168" t="s">
        <v>353</v>
      </c>
      <c r="BA168" t="s">
        <v>297</v>
      </c>
      <c r="BB168" t="s">
        <v>301</v>
      </c>
      <c r="BC168" t="s">
        <v>292</v>
      </c>
      <c r="BD168" t="s">
        <v>293</v>
      </c>
      <c r="BE168" t="s">
        <v>292</v>
      </c>
      <c r="BF168" t="s">
        <v>293</v>
      </c>
      <c r="BG168" t="s">
        <v>293</v>
      </c>
      <c r="BH168" t="s">
        <v>358</v>
      </c>
      <c r="BI168" t="s">
        <v>302</v>
      </c>
      <c r="BJ168" t="s">
        <v>359</v>
      </c>
      <c r="BK168" t="s">
        <v>293</v>
      </c>
      <c r="BL168" t="s">
        <v>293</v>
      </c>
      <c r="BM168" t="s">
        <v>297</v>
      </c>
      <c r="BN168" t="s">
        <v>298</v>
      </c>
      <c r="BO168" t="s">
        <v>293</v>
      </c>
      <c r="BP168" t="s">
        <v>292</v>
      </c>
      <c r="BQ168" t="s">
        <v>293</v>
      </c>
      <c r="BR168" t="s">
        <v>293</v>
      </c>
      <c r="BS168" t="s">
        <v>364</v>
      </c>
      <c r="BT168" t="s">
        <v>366</v>
      </c>
      <c r="BU168" t="s">
        <v>371</v>
      </c>
      <c r="BV168" t="s">
        <v>371</v>
      </c>
      <c r="BW168" t="s">
        <v>2611</v>
      </c>
      <c r="BX168" t="str">
        <f>IF(J168="win",VLOOKUP(B168,ColorScheme!$A$2:$I$32,4,0),VLOOKUP(B168,ColorScheme!$A$2:$I$32,5,0))</f>
        <v>#75bbfd</v>
      </c>
    </row>
    <row r="169" spans="1:76" x14ac:dyDescent="0.3">
      <c r="A169" t="s">
        <v>45</v>
      </c>
      <c r="B169" t="s">
        <v>57</v>
      </c>
      <c r="C169" t="s">
        <v>11</v>
      </c>
      <c r="D169" t="s">
        <v>12</v>
      </c>
      <c r="E169" t="s">
        <v>871</v>
      </c>
      <c r="F169" t="b">
        <v>1</v>
      </c>
      <c r="G169">
        <v>100</v>
      </c>
      <c r="H169">
        <v>1</v>
      </c>
      <c r="I169">
        <v>9297</v>
      </c>
      <c r="J169" s="61" t="s">
        <v>18</v>
      </c>
      <c r="K169" s="16" t="s">
        <v>272</v>
      </c>
      <c r="L169" s="16">
        <v>3</v>
      </c>
      <c r="M169" s="16" t="s">
        <v>277</v>
      </c>
      <c r="N169" s="16" t="s">
        <v>335</v>
      </c>
      <c r="O169" s="15" t="s">
        <v>282</v>
      </c>
      <c r="P169" t="s">
        <v>371</v>
      </c>
      <c r="Q169" t="s">
        <v>371</v>
      </c>
      <c r="R169" s="17" t="s">
        <v>371</v>
      </c>
      <c r="S169" s="17">
        <v>0</v>
      </c>
      <c r="T169" s="17">
        <v>1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 t="s">
        <v>704</v>
      </c>
      <c r="AD169" s="16" t="s">
        <v>341</v>
      </c>
      <c r="AE169" s="16" t="s">
        <v>342</v>
      </c>
      <c r="AF169" s="15" t="s">
        <v>343</v>
      </c>
      <c r="AG169" s="15" t="s">
        <v>344</v>
      </c>
      <c r="AH169" s="17" t="s">
        <v>347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 t="s">
        <v>704</v>
      </c>
      <c r="AR169" t="s">
        <v>349</v>
      </c>
      <c r="AS169" t="s">
        <v>349</v>
      </c>
      <c r="AT169">
        <v>1</v>
      </c>
      <c r="AU169">
        <v>0</v>
      </c>
      <c r="AV169">
        <v>0</v>
      </c>
      <c r="AW169" t="s">
        <v>704</v>
      </c>
      <c r="AX169" t="s">
        <v>1263</v>
      </c>
      <c r="AY169" t="s">
        <v>293</v>
      </c>
      <c r="AZ169" t="s">
        <v>353</v>
      </c>
      <c r="BA169" t="s">
        <v>297</v>
      </c>
      <c r="BB169" t="s">
        <v>301</v>
      </c>
      <c r="BC169" t="s">
        <v>292</v>
      </c>
      <c r="BD169" t="s">
        <v>293</v>
      </c>
      <c r="BE169" t="s">
        <v>292</v>
      </c>
      <c r="BF169" t="s">
        <v>293</v>
      </c>
      <c r="BG169" t="s">
        <v>293</v>
      </c>
      <c r="BH169" t="s">
        <v>358</v>
      </c>
      <c r="BI169" t="s">
        <v>302</v>
      </c>
      <c r="BJ169" t="s">
        <v>359</v>
      </c>
      <c r="BK169" t="s">
        <v>293</v>
      </c>
      <c r="BL169" t="s">
        <v>293</v>
      </c>
      <c r="BM169" t="s">
        <v>297</v>
      </c>
      <c r="BN169" t="s">
        <v>298</v>
      </c>
      <c r="BO169" t="s">
        <v>293</v>
      </c>
      <c r="BP169" t="s">
        <v>292</v>
      </c>
      <c r="BQ169" t="s">
        <v>293</v>
      </c>
      <c r="BR169" t="s">
        <v>293</v>
      </c>
      <c r="BS169" t="s">
        <v>364</v>
      </c>
      <c r="BT169" t="s">
        <v>304</v>
      </c>
      <c r="BU169" t="s">
        <v>371</v>
      </c>
      <c r="BV169" t="s">
        <v>371</v>
      </c>
      <c r="BW169" t="s">
        <v>2612</v>
      </c>
      <c r="BX169" t="str">
        <f>IF(J169="win",VLOOKUP(B169,ColorScheme!$A$2:$I$32,4,0),VLOOKUP(B169,ColorScheme!$A$2:$I$32,5,0))</f>
        <v>#75bbfd50</v>
      </c>
    </row>
    <row r="170" spans="1:76" x14ac:dyDescent="0.3">
      <c r="A170" t="s">
        <v>45</v>
      </c>
      <c r="B170" t="s">
        <v>57</v>
      </c>
      <c r="C170" t="s">
        <v>24</v>
      </c>
      <c r="D170" t="s">
        <v>12</v>
      </c>
      <c r="E170" t="s">
        <v>872</v>
      </c>
      <c r="F170" t="b">
        <v>1</v>
      </c>
      <c r="G170">
        <v>100</v>
      </c>
      <c r="H170">
        <v>1</v>
      </c>
      <c r="I170">
        <v>8122</v>
      </c>
      <c r="J170" s="61" t="s">
        <v>13</v>
      </c>
      <c r="K170" s="16" t="s">
        <v>272</v>
      </c>
      <c r="L170" s="16">
        <v>3</v>
      </c>
      <c r="M170" s="16" t="s">
        <v>277</v>
      </c>
      <c r="N170" s="16" t="s">
        <v>335</v>
      </c>
      <c r="O170" s="15" t="s">
        <v>283</v>
      </c>
      <c r="P170" t="s">
        <v>339</v>
      </c>
      <c r="Q170" t="s">
        <v>371</v>
      </c>
      <c r="R170" s="17" t="s">
        <v>371</v>
      </c>
      <c r="S170" s="17">
        <v>0</v>
      </c>
      <c r="T170" s="17">
        <v>0</v>
      </c>
      <c r="U170" s="17">
        <v>1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1</v>
      </c>
      <c r="AB170" s="17">
        <v>0</v>
      </c>
      <c r="AC170" s="17" t="s">
        <v>704</v>
      </c>
      <c r="AD170" s="16" t="s">
        <v>341</v>
      </c>
      <c r="AE170" s="16" t="s">
        <v>342</v>
      </c>
      <c r="AF170" s="15" t="s">
        <v>343</v>
      </c>
      <c r="AG170" s="15" t="s">
        <v>345</v>
      </c>
      <c r="AH170" s="17" t="s">
        <v>347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 t="s">
        <v>704</v>
      </c>
      <c r="AR170" t="s">
        <v>349</v>
      </c>
      <c r="AS170" t="s">
        <v>349</v>
      </c>
      <c r="AT170">
        <v>1</v>
      </c>
      <c r="AU170">
        <v>0</v>
      </c>
      <c r="AV170">
        <v>0</v>
      </c>
      <c r="AW170" t="s">
        <v>704</v>
      </c>
      <c r="AX170" t="s">
        <v>1262</v>
      </c>
      <c r="AY170" t="s">
        <v>293</v>
      </c>
      <c r="AZ170" t="s">
        <v>352</v>
      </c>
      <c r="BA170" t="s">
        <v>296</v>
      </c>
      <c r="BB170" t="s">
        <v>300</v>
      </c>
      <c r="BC170" t="s">
        <v>292</v>
      </c>
      <c r="BD170" t="s">
        <v>293</v>
      </c>
      <c r="BE170" t="s">
        <v>292</v>
      </c>
      <c r="BF170" t="s">
        <v>292</v>
      </c>
      <c r="BG170" t="s">
        <v>293</v>
      </c>
      <c r="BH170" t="s">
        <v>302</v>
      </c>
      <c r="BI170" t="s">
        <v>302</v>
      </c>
      <c r="BJ170" t="s">
        <v>359</v>
      </c>
      <c r="BK170" t="s">
        <v>293</v>
      </c>
      <c r="BL170" t="s">
        <v>293</v>
      </c>
      <c r="BM170" t="s">
        <v>297</v>
      </c>
      <c r="BN170" t="s">
        <v>298</v>
      </c>
      <c r="BO170" t="s">
        <v>293</v>
      </c>
      <c r="BP170" t="s">
        <v>292</v>
      </c>
      <c r="BQ170" t="s">
        <v>293</v>
      </c>
      <c r="BR170" t="s">
        <v>293</v>
      </c>
      <c r="BS170" t="s">
        <v>364</v>
      </c>
      <c r="BT170" t="s">
        <v>366</v>
      </c>
      <c r="BU170" t="s">
        <v>371</v>
      </c>
      <c r="BV170" t="s">
        <v>371</v>
      </c>
      <c r="BW170" t="s">
        <v>2613</v>
      </c>
      <c r="BX170" t="str">
        <f>IF(J170="win",VLOOKUP(B170,ColorScheme!$A$2:$I$32,4,0),VLOOKUP(B170,ColorScheme!$A$2:$I$32,5,0))</f>
        <v>#75bbfd</v>
      </c>
    </row>
    <row r="171" spans="1:76" x14ac:dyDescent="0.3">
      <c r="A171" t="s">
        <v>45</v>
      </c>
      <c r="B171" t="s">
        <v>57</v>
      </c>
      <c r="C171" t="s">
        <v>21</v>
      </c>
      <c r="D171" t="s">
        <v>12</v>
      </c>
      <c r="E171" t="s">
        <v>873</v>
      </c>
      <c r="F171" t="b">
        <v>1</v>
      </c>
      <c r="G171">
        <v>100</v>
      </c>
      <c r="H171">
        <v>1</v>
      </c>
      <c r="I171">
        <v>7863</v>
      </c>
      <c r="J171" s="61" t="s">
        <v>18</v>
      </c>
      <c r="K171" s="16" t="s">
        <v>272</v>
      </c>
      <c r="L171" s="16">
        <v>3</v>
      </c>
      <c r="M171" s="16" t="s">
        <v>277</v>
      </c>
      <c r="N171" s="16" t="s">
        <v>335</v>
      </c>
      <c r="O171" s="15" t="s">
        <v>283</v>
      </c>
      <c r="P171" t="s">
        <v>339</v>
      </c>
      <c r="Q171" t="s">
        <v>371</v>
      </c>
      <c r="R171" s="17" t="s">
        <v>371</v>
      </c>
      <c r="S171" s="17">
        <v>0</v>
      </c>
      <c r="T171" s="17">
        <v>0</v>
      </c>
      <c r="U171" s="17">
        <v>1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1</v>
      </c>
      <c r="AB171" s="17">
        <v>0</v>
      </c>
      <c r="AC171" s="17" t="s">
        <v>704</v>
      </c>
      <c r="AD171" s="16" t="s">
        <v>341</v>
      </c>
      <c r="AE171" s="16" t="s">
        <v>342</v>
      </c>
      <c r="AF171" s="15" t="s">
        <v>343</v>
      </c>
      <c r="AG171" s="15" t="s">
        <v>345</v>
      </c>
      <c r="AH171" s="17" t="s">
        <v>347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 t="s">
        <v>704</v>
      </c>
      <c r="AR171" t="s">
        <v>349</v>
      </c>
      <c r="AS171" t="s">
        <v>349</v>
      </c>
      <c r="AT171">
        <v>1</v>
      </c>
      <c r="AU171">
        <v>0</v>
      </c>
      <c r="AV171">
        <v>0</v>
      </c>
      <c r="AW171" t="s">
        <v>704</v>
      </c>
      <c r="AX171" t="s">
        <v>1262</v>
      </c>
      <c r="AY171" t="s">
        <v>293</v>
      </c>
      <c r="AZ171" t="s">
        <v>352</v>
      </c>
      <c r="BA171" t="s">
        <v>296</v>
      </c>
      <c r="BB171" t="s">
        <v>299</v>
      </c>
      <c r="BC171" t="s">
        <v>292</v>
      </c>
      <c r="BD171" t="s">
        <v>293</v>
      </c>
      <c r="BE171" t="s">
        <v>292</v>
      </c>
      <c r="BF171" t="s">
        <v>292</v>
      </c>
      <c r="BG171" t="s">
        <v>293</v>
      </c>
      <c r="BH171" t="s">
        <v>302</v>
      </c>
      <c r="BI171" t="s">
        <v>302</v>
      </c>
      <c r="BJ171" t="s">
        <v>359</v>
      </c>
      <c r="BK171" t="s">
        <v>293</v>
      </c>
      <c r="BL171" t="s">
        <v>293</v>
      </c>
      <c r="BM171" t="s">
        <v>297</v>
      </c>
      <c r="BN171" t="s">
        <v>298</v>
      </c>
      <c r="BO171" t="s">
        <v>293</v>
      </c>
      <c r="BP171" t="s">
        <v>292</v>
      </c>
      <c r="BQ171" t="s">
        <v>293</v>
      </c>
      <c r="BR171" t="s">
        <v>293</v>
      </c>
      <c r="BS171" t="s">
        <v>364</v>
      </c>
      <c r="BT171" t="s">
        <v>304</v>
      </c>
      <c r="BU171" t="s">
        <v>371</v>
      </c>
      <c r="BV171" t="s">
        <v>371</v>
      </c>
      <c r="BW171" t="s">
        <v>2614</v>
      </c>
      <c r="BX171" t="str">
        <f>IF(J171="win",VLOOKUP(B171,ColorScheme!$A$2:$I$32,4,0),VLOOKUP(B171,ColorScheme!$A$2:$I$32,5,0))</f>
        <v>#75bbfd50</v>
      </c>
    </row>
    <row r="172" spans="1:76" x14ac:dyDescent="0.3">
      <c r="A172" t="s">
        <v>45</v>
      </c>
      <c r="B172" t="s">
        <v>57</v>
      </c>
      <c r="C172" t="s">
        <v>19</v>
      </c>
      <c r="D172" t="s">
        <v>12</v>
      </c>
      <c r="E172" t="s">
        <v>874</v>
      </c>
      <c r="F172" t="b">
        <v>1</v>
      </c>
      <c r="G172">
        <v>62.3</v>
      </c>
      <c r="H172">
        <v>0</v>
      </c>
      <c r="I172">
        <v>10140</v>
      </c>
      <c r="J172" s="61" t="s">
        <v>13</v>
      </c>
      <c r="K172" s="16" t="s">
        <v>272</v>
      </c>
      <c r="L172" s="16">
        <v>3</v>
      </c>
      <c r="M172" s="16" t="s">
        <v>277</v>
      </c>
      <c r="N172" s="16" t="s">
        <v>335</v>
      </c>
      <c r="O172" s="15" t="s">
        <v>282</v>
      </c>
      <c r="P172" t="s">
        <v>371</v>
      </c>
      <c r="Q172" t="s">
        <v>371</v>
      </c>
      <c r="R172" s="17" t="s">
        <v>371</v>
      </c>
      <c r="S172" s="17">
        <v>0</v>
      </c>
      <c r="T172" s="17">
        <v>1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 t="s">
        <v>704</v>
      </c>
      <c r="AD172" s="16" t="s">
        <v>341</v>
      </c>
      <c r="AE172" s="16" t="s">
        <v>342</v>
      </c>
      <c r="AF172" s="15" t="s">
        <v>343</v>
      </c>
      <c r="AG172" s="15" t="s">
        <v>344</v>
      </c>
      <c r="AH172" s="17" t="s">
        <v>371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704</v>
      </c>
      <c r="AR172" t="s">
        <v>349</v>
      </c>
      <c r="AS172" t="s">
        <v>349</v>
      </c>
      <c r="AT172">
        <v>1</v>
      </c>
      <c r="AU172">
        <v>0</v>
      </c>
      <c r="AV172">
        <v>0</v>
      </c>
      <c r="AW172" t="s">
        <v>704</v>
      </c>
      <c r="AX172" t="s">
        <v>1208</v>
      </c>
      <c r="AY172" t="s">
        <v>293</v>
      </c>
      <c r="AZ172" t="s">
        <v>352</v>
      </c>
      <c r="BA172" t="s">
        <v>296</v>
      </c>
      <c r="BB172" t="s">
        <v>301</v>
      </c>
      <c r="BC172" t="s">
        <v>292</v>
      </c>
      <c r="BD172" t="s">
        <v>293</v>
      </c>
      <c r="BE172" t="s">
        <v>292</v>
      </c>
      <c r="BF172" t="s">
        <v>292</v>
      </c>
      <c r="BG172" t="s">
        <v>293</v>
      </c>
      <c r="BH172" t="s">
        <v>302</v>
      </c>
      <c r="BI172" t="s">
        <v>302</v>
      </c>
      <c r="BJ172" t="s">
        <v>359</v>
      </c>
      <c r="BK172" t="s">
        <v>293</v>
      </c>
      <c r="BL172" t="s">
        <v>293</v>
      </c>
      <c r="BM172" t="s">
        <v>297</v>
      </c>
      <c r="BN172" t="s">
        <v>298</v>
      </c>
      <c r="BO172" t="s">
        <v>293</v>
      </c>
      <c r="BP172" t="s">
        <v>292</v>
      </c>
      <c r="BQ172" t="s">
        <v>293</v>
      </c>
      <c r="BR172" t="s">
        <v>293</v>
      </c>
      <c r="BS172" t="s">
        <v>364</v>
      </c>
      <c r="BT172" t="s">
        <v>366</v>
      </c>
      <c r="BU172" t="s">
        <v>371</v>
      </c>
      <c r="BV172" t="s">
        <v>371</v>
      </c>
      <c r="BW172" t="s">
        <v>2615</v>
      </c>
      <c r="BX172" t="str">
        <f>IF(J172="win",VLOOKUP(B172,ColorScheme!$A$2:$I$32,4,0),VLOOKUP(B172,ColorScheme!$A$2:$I$32,5,0))</f>
        <v>#75bbfd</v>
      </c>
    </row>
    <row r="173" spans="1:76" x14ac:dyDescent="0.3">
      <c r="A173" t="s">
        <v>45</v>
      </c>
      <c r="B173" t="s">
        <v>57</v>
      </c>
      <c r="C173" t="s">
        <v>17</v>
      </c>
      <c r="D173" t="s">
        <v>12</v>
      </c>
      <c r="E173" t="s">
        <v>875</v>
      </c>
      <c r="F173" t="b">
        <v>1</v>
      </c>
      <c r="G173">
        <v>100</v>
      </c>
      <c r="H173">
        <v>1</v>
      </c>
      <c r="I173">
        <v>9534</v>
      </c>
      <c r="J173" s="61" t="s">
        <v>18</v>
      </c>
      <c r="K173" s="16" t="s">
        <v>272</v>
      </c>
      <c r="L173" s="16">
        <v>2</v>
      </c>
      <c r="M173" s="16" t="s">
        <v>277</v>
      </c>
      <c r="N173" s="16" t="s">
        <v>335</v>
      </c>
      <c r="O173" s="15" t="s">
        <v>282</v>
      </c>
      <c r="P173" t="s">
        <v>371</v>
      </c>
      <c r="Q173" t="s">
        <v>371</v>
      </c>
      <c r="R173" s="17" t="s">
        <v>371</v>
      </c>
      <c r="S173" s="17">
        <v>0</v>
      </c>
      <c r="T173" s="17">
        <v>1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 t="s">
        <v>704</v>
      </c>
      <c r="AD173" s="16" t="s">
        <v>341</v>
      </c>
      <c r="AE173" s="16" t="s">
        <v>342</v>
      </c>
      <c r="AF173" s="15" t="s">
        <v>343</v>
      </c>
      <c r="AG173" s="15" t="s">
        <v>344</v>
      </c>
      <c r="AH173" s="17" t="s">
        <v>371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704</v>
      </c>
      <c r="AR173" t="s">
        <v>349</v>
      </c>
      <c r="AS173" t="s">
        <v>349</v>
      </c>
      <c r="AT173">
        <v>1</v>
      </c>
      <c r="AU173">
        <v>0</v>
      </c>
      <c r="AV173">
        <v>0</v>
      </c>
      <c r="AW173" t="s">
        <v>704</v>
      </c>
      <c r="AX173" t="s">
        <v>1208</v>
      </c>
      <c r="AY173" t="s">
        <v>293</v>
      </c>
      <c r="AZ173" t="s">
        <v>354</v>
      </c>
      <c r="BA173" t="s">
        <v>354</v>
      </c>
      <c r="BB173" t="s">
        <v>301</v>
      </c>
      <c r="BC173" t="s">
        <v>292</v>
      </c>
      <c r="BD173" t="s">
        <v>293</v>
      </c>
      <c r="BE173" t="s">
        <v>292</v>
      </c>
      <c r="BF173" t="s">
        <v>293</v>
      </c>
      <c r="BG173" t="s">
        <v>293</v>
      </c>
      <c r="BH173" t="s">
        <v>302</v>
      </c>
      <c r="BI173" t="s">
        <v>302</v>
      </c>
      <c r="BJ173" t="s">
        <v>357</v>
      </c>
      <c r="BK173" t="s">
        <v>293</v>
      </c>
      <c r="BL173" t="s">
        <v>293</v>
      </c>
      <c r="BM173" t="s">
        <v>297</v>
      </c>
      <c r="BN173" t="s">
        <v>298</v>
      </c>
      <c r="BO173" t="s">
        <v>293</v>
      </c>
      <c r="BP173" t="s">
        <v>292</v>
      </c>
      <c r="BQ173" t="s">
        <v>293</v>
      </c>
      <c r="BR173" t="s">
        <v>293</v>
      </c>
      <c r="BS173" t="s">
        <v>364</v>
      </c>
      <c r="BT173" t="s">
        <v>304</v>
      </c>
      <c r="BU173" t="s">
        <v>371</v>
      </c>
      <c r="BV173" t="s">
        <v>371</v>
      </c>
      <c r="BW173" t="s">
        <v>2616</v>
      </c>
      <c r="BX173" t="str">
        <f>IF(J173="win",VLOOKUP(B173,ColorScheme!$A$2:$I$32,4,0),VLOOKUP(B173,ColorScheme!$A$2:$I$32,5,0))</f>
        <v>#75bbfd50</v>
      </c>
    </row>
    <row r="174" spans="1:76" x14ac:dyDescent="0.3">
      <c r="A174" t="s">
        <v>45</v>
      </c>
      <c r="B174" t="s">
        <v>57</v>
      </c>
      <c r="C174" t="s">
        <v>16</v>
      </c>
      <c r="D174" t="s">
        <v>12</v>
      </c>
      <c r="E174" t="s">
        <v>876</v>
      </c>
      <c r="F174" t="b">
        <v>1</v>
      </c>
      <c r="G174">
        <v>100</v>
      </c>
      <c r="H174">
        <v>1</v>
      </c>
      <c r="I174">
        <v>8655</v>
      </c>
      <c r="J174" s="61" t="s">
        <v>18</v>
      </c>
      <c r="K174" s="16" t="s">
        <v>272</v>
      </c>
      <c r="L174" s="16">
        <v>2</v>
      </c>
      <c r="M174" s="16" t="s">
        <v>277</v>
      </c>
      <c r="N174" s="16" t="s">
        <v>335</v>
      </c>
      <c r="O174" s="15" t="s">
        <v>282</v>
      </c>
      <c r="P174" t="s">
        <v>371</v>
      </c>
      <c r="Q174" t="s">
        <v>371</v>
      </c>
      <c r="R174" s="17" t="s">
        <v>371</v>
      </c>
      <c r="S174" s="17">
        <v>0</v>
      </c>
      <c r="T174" s="17">
        <v>1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 t="s">
        <v>704</v>
      </c>
      <c r="AD174" s="16" t="s">
        <v>341</v>
      </c>
      <c r="AE174" s="16" t="s">
        <v>342</v>
      </c>
      <c r="AF174" s="15" t="s">
        <v>343</v>
      </c>
      <c r="AG174" s="15" t="s">
        <v>344</v>
      </c>
      <c r="AH174" s="17" t="s">
        <v>371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704</v>
      </c>
      <c r="AR174" t="s">
        <v>349</v>
      </c>
      <c r="AS174" t="s">
        <v>349</v>
      </c>
      <c r="AT174">
        <v>1</v>
      </c>
      <c r="AU174">
        <v>0</v>
      </c>
      <c r="AV174">
        <v>0</v>
      </c>
      <c r="AW174" t="s">
        <v>704</v>
      </c>
      <c r="AX174" t="s">
        <v>1208</v>
      </c>
      <c r="AY174" t="s">
        <v>293</v>
      </c>
      <c r="AZ174" t="s">
        <v>354</v>
      </c>
      <c r="BA174" t="s">
        <v>354</v>
      </c>
      <c r="BB174" t="s">
        <v>301</v>
      </c>
      <c r="BC174" t="s">
        <v>292</v>
      </c>
      <c r="BD174" t="s">
        <v>293</v>
      </c>
      <c r="BE174" t="s">
        <v>292</v>
      </c>
      <c r="BF174" t="s">
        <v>293</v>
      </c>
      <c r="BG174" t="s">
        <v>293</v>
      </c>
      <c r="BH174" t="s">
        <v>358</v>
      </c>
      <c r="BI174" t="s">
        <v>302</v>
      </c>
      <c r="BJ174" t="s">
        <v>357</v>
      </c>
      <c r="BK174" t="s">
        <v>293</v>
      </c>
      <c r="BL174" t="s">
        <v>293</v>
      </c>
      <c r="BM174" t="s">
        <v>297</v>
      </c>
      <c r="BN174" t="s">
        <v>298</v>
      </c>
      <c r="BO174" t="s">
        <v>293</v>
      </c>
      <c r="BP174" t="s">
        <v>292</v>
      </c>
      <c r="BQ174" t="s">
        <v>293</v>
      </c>
      <c r="BR174" t="s">
        <v>293</v>
      </c>
      <c r="BS174" t="s">
        <v>364</v>
      </c>
      <c r="BT174" t="s">
        <v>304</v>
      </c>
      <c r="BU174" t="s">
        <v>371</v>
      </c>
      <c r="BV174" t="s">
        <v>371</v>
      </c>
      <c r="BW174" t="s">
        <v>2617</v>
      </c>
      <c r="BX174" t="str">
        <f>IF(J174="win",VLOOKUP(B174,ColorScheme!$A$2:$I$32,4,0),VLOOKUP(B174,ColorScheme!$A$2:$I$32,5,0))</f>
        <v>#75bbfd50</v>
      </c>
    </row>
    <row r="175" spans="1:76" x14ac:dyDescent="0.3">
      <c r="A175" t="s">
        <v>45</v>
      </c>
      <c r="B175" t="s">
        <v>57</v>
      </c>
      <c r="C175" t="s">
        <v>20</v>
      </c>
      <c r="D175" t="s">
        <v>12</v>
      </c>
      <c r="E175" t="s">
        <v>877</v>
      </c>
      <c r="F175" t="b">
        <v>1</v>
      </c>
      <c r="G175">
        <v>99.2</v>
      </c>
      <c r="H175">
        <v>0</v>
      </c>
      <c r="I175">
        <v>8677</v>
      </c>
      <c r="J175" s="61" t="s">
        <v>13</v>
      </c>
      <c r="K175" s="16" t="s">
        <v>272</v>
      </c>
      <c r="L175" s="16">
        <v>3</v>
      </c>
      <c r="M175" s="16" t="s">
        <v>277</v>
      </c>
      <c r="N175" s="16" t="s">
        <v>335</v>
      </c>
      <c r="O175" s="15" t="s">
        <v>282</v>
      </c>
      <c r="P175" t="s">
        <v>371</v>
      </c>
      <c r="Q175" t="s">
        <v>371</v>
      </c>
      <c r="R175" s="17" t="s">
        <v>371</v>
      </c>
      <c r="S175" s="17">
        <v>0</v>
      </c>
      <c r="T175" s="17">
        <v>1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 t="s">
        <v>704</v>
      </c>
      <c r="AD175" s="16" t="s">
        <v>341</v>
      </c>
      <c r="AE175" s="16" t="s">
        <v>342</v>
      </c>
      <c r="AF175" s="15" t="s">
        <v>343</v>
      </c>
      <c r="AG175" s="15" t="s">
        <v>345</v>
      </c>
      <c r="AH175" s="17" t="s">
        <v>347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 t="s">
        <v>704</v>
      </c>
      <c r="AR175" t="s">
        <v>349</v>
      </c>
      <c r="AS175" t="s">
        <v>349</v>
      </c>
      <c r="AT175">
        <v>1</v>
      </c>
      <c r="AU175">
        <v>0</v>
      </c>
      <c r="AV175">
        <v>0</v>
      </c>
      <c r="AW175" t="s">
        <v>704</v>
      </c>
      <c r="AX175" t="s">
        <v>1264</v>
      </c>
      <c r="AY175" t="s">
        <v>293</v>
      </c>
      <c r="AZ175" t="s">
        <v>352</v>
      </c>
      <c r="BA175" t="s">
        <v>296</v>
      </c>
      <c r="BB175" t="s">
        <v>300</v>
      </c>
      <c r="BC175" t="s">
        <v>292</v>
      </c>
      <c r="BD175" t="s">
        <v>293</v>
      </c>
      <c r="BE175" t="s">
        <v>292</v>
      </c>
      <c r="BF175" t="s">
        <v>292</v>
      </c>
      <c r="BG175" t="s">
        <v>293</v>
      </c>
      <c r="BH175" t="s">
        <v>302</v>
      </c>
      <c r="BI175" t="s">
        <v>302</v>
      </c>
      <c r="BJ175" t="s">
        <v>359</v>
      </c>
      <c r="BK175" t="s">
        <v>293</v>
      </c>
      <c r="BL175" t="s">
        <v>293</v>
      </c>
      <c r="BM175" t="s">
        <v>297</v>
      </c>
      <c r="BN175" t="s">
        <v>298</v>
      </c>
      <c r="BO175" t="s">
        <v>293</v>
      </c>
      <c r="BP175" t="s">
        <v>292</v>
      </c>
      <c r="BQ175" t="s">
        <v>293</v>
      </c>
      <c r="BR175" t="s">
        <v>293</v>
      </c>
      <c r="BS175" t="s">
        <v>364</v>
      </c>
      <c r="BT175" t="s">
        <v>366</v>
      </c>
      <c r="BU175" t="s">
        <v>371</v>
      </c>
      <c r="BV175" t="s">
        <v>371</v>
      </c>
      <c r="BW175" t="s">
        <v>2618</v>
      </c>
      <c r="BX175" t="str">
        <f>IF(J175="win",VLOOKUP(B175,ColorScheme!$A$2:$I$32,4,0),VLOOKUP(B175,ColorScheme!$A$2:$I$32,5,0))</f>
        <v>#75bbfd</v>
      </c>
    </row>
    <row r="176" spans="1:76" x14ac:dyDescent="0.3">
      <c r="A176" t="s">
        <v>45</v>
      </c>
      <c r="B176" t="s">
        <v>57</v>
      </c>
      <c r="C176" t="s">
        <v>22</v>
      </c>
      <c r="D176" t="s">
        <v>12</v>
      </c>
      <c r="E176" t="s">
        <v>878</v>
      </c>
      <c r="F176" t="b">
        <v>1</v>
      </c>
      <c r="G176">
        <v>100</v>
      </c>
      <c r="H176">
        <v>1</v>
      </c>
      <c r="I176">
        <v>7998</v>
      </c>
      <c r="J176" s="61" t="s">
        <v>18</v>
      </c>
      <c r="K176" s="16" t="s">
        <v>272</v>
      </c>
      <c r="L176" s="16">
        <v>3</v>
      </c>
      <c r="M176" s="16" t="s">
        <v>277</v>
      </c>
      <c r="N176" s="16" t="s">
        <v>335</v>
      </c>
      <c r="O176" s="15" t="s">
        <v>283</v>
      </c>
      <c r="P176" t="s">
        <v>339</v>
      </c>
      <c r="Q176" t="s">
        <v>371</v>
      </c>
      <c r="R176" s="17" t="s">
        <v>371</v>
      </c>
      <c r="S176" s="17">
        <v>0</v>
      </c>
      <c r="T176" s="17">
        <v>0</v>
      </c>
      <c r="U176" s="17">
        <v>1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1</v>
      </c>
      <c r="AB176" s="17">
        <v>0</v>
      </c>
      <c r="AC176" s="17" t="s">
        <v>704</v>
      </c>
      <c r="AD176" s="16" t="s">
        <v>341</v>
      </c>
      <c r="AE176" s="16" t="s">
        <v>342</v>
      </c>
      <c r="AF176" s="15" t="s">
        <v>343</v>
      </c>
      <c r="AG176" s="15" t="s">
        <v>345</v>
      </c>
      <c r="AH176" s="17" t="s">
        <v>347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 t="s">
        <v>704</v>
      </c>
      <c r="AR176" t="s">
        <v>349</v>
      </c>
      <c r="AS176" t="s">
        <v>349</v>
      </c>
      <c r="AT176">
        <v>1</v>
      </c>
      <c r="AU176">
        <v>0</v>
      </c>
      <c r="AV176">
        <v>0</v>
      </c>
      <c r="AW176" t="s">
        <v>704</v>
      </c>
      <c r="AX176" t="s">
        <v>1262</v>
      </c>
      <c r="AY176" t="s">
        <v>293</v>
      </c>
      <c r="AZ176" t="s">
        <v>352</v>
      </c>
      <c r="BA176" t="s">
        <v>296</v>
      </c>
      <c r="BB176" t="s">
        <v>300</v>
      </c>
      <c r="BC176" t="s">
        <v>292</v>
      </c>
      <c r="BD176" t="s">
        <v>293</v>
      </c>
      <c r="BE176" t="s">
        <v>292</v>
      </c>
      <c r="BF176" t="s">
        <v>292</v>
      </c>
      <c r="BG176" t="s">
        <v>293</v>
      </c>
      <c r="BH176" t="s">
        <v>302</v>
      </c>
      <c r="BI176" t="s">
        <v>302</v>
      </c>
      <c r="BJ176" t="s">
        <v>359</v>
      </c>
      <c r="BK176" t="s">
        <v>293</v>
      </c>
      <c r="BL176" t="s">
        <v>293</v>
      </c>
      <c r="BM176" t="s">
        <v>297</v>
      </c>
      <c r="BN176" t="s">
        <v>298</v>
      </c>
      <c r="BO176" t="s">
        <v>293</v>
      </c>
      <c r="BP176" t="s">
        <v>292</v>
      </c>
      <c r="BQ176" t="s">
        <v>293</v>
      </c>
      <c r="BR176" t="s">
        <v>293</v>
      </c>
      <c r="BS176" t="s">
        <v>364</v>
      </c>
      <c r="BT176" t="s">
        <v>304</v>
      </c>
      <c r="BU176" t="s">
        <v>371</v>
      </c>
      <c r="BV176" t="s">
        <v>371</v>
      </c>
      <c r="BW176" t="s">
        <v>2619</v>
      </c>
      <c r="BX176" t="str">
        <f>IF(J176="win",VLOOKUP(B176,ColorScheme!$A$2:$I$32,4,0),VLOOKUP(B176,ColorScheme!$A$2:$I$32,5,0))</f>
        <v>#75bbfd50</v>
      </c>
    </row>
    <row r="177" spans="1:76" x14ac:dyDescent="0.3">
      <c r="A177" t="s">
        <v>45</v>
      </c>
      <c r="B177" t="s">
        <v>57</v>
      </c>
      <c r="C177" t="s">
        <v>25</v>
      </c>
      <c r="D177" t="s">
        <v>29</v>
      </c>
      <c r="E177" t="s">
        <v>879</v>
      </c>
      <c r="F177" t="b">
        <v>1</v>
      </c>
      <c r="G177">
        <v>99.6</v>
      </c>
      <c r="H177">
        <v>0</v>
      </c>
      <c r="I177">
        <v>8148</v>
      </c>
      <c r="J177" s="61" t="s">
        <v>13</v>
      </c>
      <c r="K177" s="16" t="s">
        <v>272</v>
      </c>
      <c r="L177" s="16">
        <v>3</v>
      </c>
      <c r="M177" s="16" t="s">
        <v>277</v>
      </c>
      <c r="N177" s="16" t="s">
        <v>335</v>
      </c>
      <c r="O177" s="15" t="s">
        <v>283</v>
      </c>
      <c r="P177" t="s">
        <v>339</v>
      </c>
      <c r="Q177" t="s">
        <v>371</v>
      </c>
      <c r="R177" s="17" t="s">
        <v>371</v>
      </c>
      <c r="S177" s="17">
        <v>0</v>
      </c>
      <c r="T177" s="17">
        <v>0</v>
      </c>
      <c r="U177" s="17">
        <v>1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1</v>
      </c>
      <c r="AB177" s="17">
        <v>0</v>
      </c>
      <c r="AC177" s="17" t="s">
        <v>704</v>
      </c>
      <c r="AD177" s="16" t="s">
        <v>341</v>
      </c>
      <c r="AE177" s="16" t="s">
        <v>342</v>
      </c>
      <c r="AF177" s="15" t="s">
        <v>343</v>
      </c>
      <c r="AG177" s="15" t="s">
        <v>345</v>
      </c>
      <c r="AH177" s="17" t="s">
        <v>347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 t="s">
        <v>704</v>
      </c>
      <c r="AR177" t="s">
        <v>349</v>
      </c>
      <c r="AS177" t="s">
        <v>349</v>
      </c>
      <c r="AT177">
        <v>1</v>
      </c>
      <c r="AU177">
        <v>0</v>
      </c>
      <c r="AV177">
        <v>0</v>
      </c>
      <c r="AW177" t="s">
        <v>704</v>
      </c>
      <c r="AX177" t="s">
        <v>1262</v>
      </c>
      <c r="AY177" t="s">
        <v>293</v>
      </c>
      <c r="AZ177" t="s">
        <v>352</v>
      </c>
      <c r="BA177" t="s">
        <v>296</v>
      </c>
      <c r="BB177" t="s">
        <v>300</v>
      </c>
      <c r="BC177" t="s">
        <v>292</v>
      </c>
      <c r="BD177" t="s">
        <v>293</v>
      </c>
      <c r="BE177" t="s">
        <v>292</v>
      </c>
      <c r="BF177" t="s">
        <v>292</v>
      </c>
      <c r="BG177" t="s">
        <v>293</v>
      </c>
      <c r="BH177" t="s">
        <v>302</v>
      </c>
      <c r="BI177" t="s">
        <v>302</v>
      </c>
      <c r="BJ177" t="s">
        <v>359</v>
      </c>
      <c r="BK177" t="s">
        <v>293</v>
      </c>
      <c r="BL177" t="s">
        <v>293</v>
      </c>
      <c r="BM177" t="s">
        <v>297</v>
      </c>
      <c r="BN177" t="s">
        <v>298</v>
      </c>
      <c r="BO177" t="s">
        <v>293</v>
      </c>
      <c r="BP177" t="s">
        <v>292</v>
      </c>
      <c r="BQ177" t="s">
        <v>293</v>
      </c>
      <c r="BR177" t="s">
        <v>293</v>
      </c>
      <c r="BS177" t="s">
        <v>364</v>
      </c>
      <c r="BT177" t="s">
        <v>366</v>
      </c>
      <c r="BU177" t="s">
        <v>371</v>
      </c>
      <c r="BV177" t="s">
        <v>371</v>
      </c>
      <c r="BW177" t="s">
        <v>2620</v>
      </c>
      <c r="BX177" t="str">
        <f>IF(J177="win",VLOOKUP(B177,ColorScheme!$A$2:$I$32,4,0),VLOOKUP(B177,ColorScheme!$A$2:$I$32,5,0))</f>
        <v>#75bbfd</v>
      </c>
    </row>
    <row r="178" spans="1:76" x14ac:dyDescent="0.3">
      <c r="A178" t="s">
        <v>45</v>
      </c>
      <c r="B178" t="s">
        <v>57</v>
      </c>
      <c r="C178" t="s">
        <v>32</v>
      </c>
      <c r="D178" t="s">
        <v>29</v>
      </c>
      <c r="E178" t="s">
        <v>880</v>
      </c>
      <c r="F178" t="b">
        <v>1</v>
      </c>
      <c r="G178">
        <v>100</v>
      </c>
      <c r="H178">
        <v>1</v>
      </c>
      <c r="I178">
        <v>9220</v>
      </c>
      <c r="J178" s="61" t="s">
        <v>18</v>
      </c>
      <c r="K178" s="16" t="s">
        <v>272</v>
      </c>
      <c r="L178" s="16">
        <v>3</v>
      </c>
      <c r="M178" s="16" t="s">
        <v>277</v>
      </c>
      <c r="N178" s="16" t="s">
        <v>335</v>
      </c>
      <c r="O178" s="15" t="s">
        <v>284</v>
      </c>
      <c r="P178" t="s">
        <v>282</v>
      </c>
      <c r="Q178" t="s">
        <v>371</v>
      </c>
      <c r="R178" s="17" t="s">
        <v>371</v>
      </c>
      <c r="S178" s="17">
        <v>0</v>
      </c>
      <c r="T178" s="17">
        <v>1</v>
      </c>
      <c r="U178" s="17">
        <v>0</v>
      </c>
      <c r="V178" s="17">
        <v>1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 t="s">
        <v>704</v>
      </c>
      <c r="AD178" s="16" t="s">
        <v>341</v>
      </c>
      <c r="AE178" s="16" t="s">
        <v>342</v>
      </c>
      <c r="AF178" s="15" t="s">
        <v>343</v>
      </c>
      <c r="AG178" s="15" t="s">
        <v>344</v>
      </c>
      <c r="AH178" s="17" t="s">
        <v>371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704</v>
      </c>
      <c r="AR178" t="s">
        <v>349</v>
      </c>
      <c r="AS178" t="s">
        <v>349</v>
      </c>
      <c r="AT178">
        <v>1</v>
      </c>
      <c r="AU178">
        <v>0</v>
      </c>
      <c r="AV178">
        <v>0</v>
      </c>
      <c r="AW178" t="s">
        <v>704</v>
      </c>
      <c r="AX178" t="s">
        <v>1228</v>
      </c>
      <c r="AY178" t="s">
        <v>293</v>
      </c>
      <c r="AZ178" t="s">
        <v>352</v>
      </c>
      <c r="BA178" t="s">
        <v>296</v>
      </c>
      <c r="BB178" t="s">
        <v>300</v>
      </c>
      <c r="BC178" t="s">
        <v>292</v>
      </c>
      <c r="BD178" t="s">
        <v>293</v>
      </c>
      <c r="BE178" t="s">
        <v>292</v>
      </c>
      <c r="BF178" t="s">
        <v>292</v>
      </c>
      <c r="BG178" t="s">
        <v>293</v>
      </c>
      <c r="BH178" t="s">
        <v>302</v>
      </c>
      <c r="BI178" t="s">
        <v>302</v>
      </c>
      <c r="BJ178" t="s">
        <v>359</v>
      </c>
      <c r="BK178" t="s">
        <v>293</v>
      </c>
      <c r="BL178" t="s">
        <v>293</v>
      </c>
      <c r="BM178" t="s">
        <v>297</v>
      </c>
      <c r="BN178" t="s">
        <v>298</v>
      </c>
      <c r="BO178" t="s">
        <v>293</v>
      </c>
      <c r="BP178" t="s">
        <v>292</v>
      </c>
      <c r="BQ178" t="s">
        <v>293</v>
      </c>
      <c r="BR178" t="s">
        <v>293</v>
      </c>
      <c r="BS178" t="s">
        <v>364</v>
      </c>
      <c r="BT178" t="s">
        <v>304</v>
      </c>
      <c r="BU178" t="s">
        <v>371</v>
      </c>
      <c r="BV178" t="s">
        <v>371</v>
      </c>
      <c r="BW178" t="s">
        <v>2621</v>
      </c>
      <c r="BX178" t="str">
        <f>IF(J178="win",VLOOKUP(B178,ColorScheme!$A$2:$I$32,4,0),VLOOKUP(B178,ColorScheme!$A$2:$I$32,5,0))</f>
        <v>#75bbfd50</v>
      </c>
    </row>
    <row r="179" spans="1:76" x14ac:dyDescent="0.3">
      <c r="A179" t="s">
        <v>45</v>
      </c>
      <c r="B179" t="s">
        <v>57</v>
      </c>
      <c r="C179" t="s">
        <v>30</v>
      </c>
      <c r="D179" t="s">
        <v>29</v>
      </c>
      <c r="E179" t="s">
        <v>881</v>
      </c>
      <c r="F179" t="b">
        <v>1</v>
      </c>
      <c r="G179">
        <v>100</v>
      </c>
      <c r="H179">
        <v>1</v>
      </c>
      <c r="I179">
        <v>9538</v>
      </c>
      <c r="J179" s="61" t="s">
        <v>18</v>
      </c>
      <c r="K179" s="16" t="s">
        <v>272</v>
      </c>
      <c r="L179" s="16">
        <v>3</v>
      </c>
      <c r="M179" s="16" t="s">
        <v>277</v>
      </c>
      <c r="N179" s="16" t="s">
        <v>335</v>
      </c>
      <c r="O179" s="15" t="s">
        <v>284</v>
      </c>
      <c r="P179" t="s">
        <v>282</v>
      </c>
      <c r="Q179" t="s">
        <v>371</v>
      </c>
      <c r="R179" s="17" t="s">
        <v>371</v>
      </c>
      <c r="S179" s="17">
        <v>0</v>
      </c>
      <c r="T179" s="17">
        <v>1</v>
      </c>
      <c r="U179" s="17">
        <v>0</v>
      </c>
      <c r="V179" s="17">
        <v>1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 t="s">
        <v>704</v>
      </c>
      <c r="AD179" s="16" t="s">
        <v>341</v>
      </c>
      <c r="AE179" s="16" t="s">
        <v>340</v>
      </c>
      <c r="AF179" s="15" t="s">
        <v>343</v>
      </c>
      <c r="AG179" s="15" t="s">
        <v>344</v>
      </c>
      <c r="AH179" s="17" t="s">
        <v>371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704</v>
      </c>
      <c r="AR179" t="s">
        <v>349</v>
      </c>
      <c r="AS179" t="s">
        <v>349</v>
      </c>
      <c r="AT179">
        <v>1</v>
      </c>
      <c r="AU179">
        <v>0</v>
      </c>
      <c r="AV179">
        <v>0</v>
      </c>
      <c r="AW179" t="s">
        <v>704</v>
      </c>
      <c r="AX179" t="s">
        <v>1228</v>
      </c>
      <c r="AY179" t="s">
        <v>293</v>
      </c>
      <c r="AZ179" t="s">
        <v>352</v>
      </c>
      <c r="BA179" t="s">
        <v>296</v>
      </c>
      <c r="BB179" t="s">
        <v>300</v>
      </c>
      <c r="BC179" t="s">
        <v>292</v>
      </c>
      <c r="BD179" t="s">
        <v>292</v>
      </c>
      <c r="BE179" t="s">
        <v>292</v>
      </c>
      <c r="BF179" t="s">
        <v>292</v>
      </c>
      <c r="BG179" t="s">
        <v>293</v>
      </c>
      <c r="BH179" t="s">
        <v>302</v>
      </c>
      <c r="BI179" t="s">
        <v>302</v>
      </c>
      <c r="BJ179" t="s">
        <v>359</v>
      </c>
      <c r="BK179" t="s">
        <v>293</v>
      </c>
      <c r="BL179" t="s">
        <v>293</v>
      </c>
      <c r="BM179" t="s">
        <v>297</v>
      </c>
      <c r="BN179" t="s">
        <v>298</v>
      </c>
      <c r="BO179" t="s">
        <v>293</v>
      </c>
      <c r="BP179" t="s">
        <v>292</v>
      </c>
      <c r="BQ179" t="s">
        <v>293</v>
      </c>
      <c r="BR179" t="s">
        <v>293</v>
      </c>
      <c r="BS179" t="s">
        <v>364</v>
      </c>
      <c r="BT179" t="s">
        <v>304</v>
      </c>
      <c r="BU179" t="s">
        <v>371</v>
      </c>
      <c r="BV179" t="s">
        <v>371</v>
      </c>
      <c r="BW179" t="s">
        <v>2622</v>
      </c>
      <c r="BX179" t="str">
        <f>IF(J179="win",VLOOKUP(B179,ColorScheme!$A$2:$I$32,4,0),VLOOKUP(B179,ColorScheme!$A$2:$I$32,5,0))</f>
        <v>#75bbfd50</v>
      </c>
    </row>
    <row r="180" spans="1:76" x14ac:dyDescent="0.3">
      <c r="A180" t="s">
        <v>45</v>
      </c>
      <c r="B180" t="s">
        <v>57</v>
      </c>
      <c r="C180" t="s">
        <v>34</v>
      </c>
      <c r="D180" t="s">
        <v>29</v>
      </c>
      <c r="E180" t="s">
        <v>882</v>
      </c>
      <c r="F180" t="b">
        <v>1</v>
      </c>
      <c r="G180">
        <v>100</v>
      </c>
      <c r="H180">
        <v>1</v>
      </c>
      <c r="I180">
        <v>9280</v>
      </c>
      <c r="J180" s="61" t="s">
        <v>18</v>
      </c>
      <c r="K180" s="16" t="s">
        <v>272</v>
      </c>
      <c r="L180" s="16">
        <v>3</v>
      </c>
      <c r="M180" s="16" t="s">
        <v>277</v>
      </c>
      <c r="N180" s="16" t="s">
        <v>335</v>
      </c>
      <c r="O180" s="15" t="s">
        <v>282</v>
      </c>
      <c r="P180" t="s">
        <v>339</v>
      </c>
      <c r="Q180" t="s">
        <v>371</v>
      </c>
      <c r="R180" s="17" t="s">
        <v>371</v>
      </c>
      <c r="S180" s="17">
        <v>0</v>
      </c>
      <c r="T180" s="17">
        <v>1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1</v>
      </c>
      <c r="AB180" s="17">
        <v>0</v>
      </c>
      <c r="AC180" s="17" t="s">
        <v>704</v>
      </c>
      <c r="AD180" s="16" t="s">
        <v>341</v>
      </c>
      <c r="AE180" s="16" t="s">
        <v>342</v>
      </c>
      <c r="AF180" s="15" t="s">
        <v>343</v>
      </c>
      <c r="AG180" s="15" t="s">
        <v>345</v>
      </c>
      <c r="AH180" s="17" t="s">
        <v>347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 t="s">
        <v>704</v>
      </c>
      <c r="AR180" t="s">
        <v>349</v>
      </c>
      <c r="AS180" t="s">
        <v>349</v>
      </c>
      <c r="AT180">
        <v>1</v>
      </c>
      <c r="AU180">
        <v>0</v>
      </c>
      <c r="AV180">
        <v>0</v>
      </c>
      <c r="AW180" t="s">
        <v>704</v>
      </c>
      <c r="AX180" t="s">
        <v>1265</v>
      </c>
      <c r="AY180" t="s">
        <v>293</v>
      </c>
      <c r="AZ180" t="s">
        <v>352</v>
      </c>
      <c r="BA180" t="s">
        <v>296</v>
      </c>
      <c r="BB180" t="s">
        <v>300</v>
      </c>
      <c r="BC180" t="s">
        <v>292</v>
      </c>
      <c r="BD180" t="s">
        <v>293</v>
      </c>
      <c r="BE180" t="s">
        <v>292</v>
      </c>
      <c r="BF180" t="s">
        <v>292</v>
      </c>
      <c r="BG180" t="s">
        <v>293</v>
      </c>
      <c r="BH180" t="s">
        <v>302</v>
      </c>
      <c r="BI180" t="s">
        <v>302</v>
      </c>
      <c r="BJ180" t="s">
        <v>359</v>
      </c>
      <c r="BK180" t="s">
        <v>293</v>
      </c>
      <c r="BL180" t="s">
        <v>293</v>
      </c>
      <c r="BM180" t="s">
        <v>297</v>
      </c>
      <c r="BN180" t="s">
        <v>298</v>
      </c>
      <c r="BO180" t="s">
        <v>293</v>
      </c>
      <c r="BP180" t="s">
        <v>292</v>
      </c>
      <c r="BQ180" t="s">
        <v>362</v>
      </c>
      <c r="BR180" t="s">
        <v>293</v>
      </c>
      <c r="BS180" t="s">
        <v>364</v>
      </c>
      <c r="BT180" t="s">
        <v>304</v>
      </c>
      <c r="BU180" t="s">
        <v>371</v>
      </c>
      <c r="BV180" t="s">
        <v>371</v>
      </c>
      <c r="BW180" t="s">
        <v>2623</v>
      </c>
      <c r="BX180" t="str">
        <f>IF(J180="win",VLOOKUP(B180,ColorScheme!$A$2:$I$32,4,0),VLOOKUP(B180,ColorScheme!$A$2:$I$32,5,0))</f>
        <v>#75bbfd50</v>
      </c>
    </row>
    <row r="181" spans="1:76" x14ac:dyDescent="0.3">
      <c r="A181" t="s">
        <v>45</v>
      </c>
      <c r="B181" t="s">
        <v>57</v>
      </c>
      <c r="C181" t="s">
        <v>36</v>
      </c>
      <c r="D181" t="s">
        <v>29</v>
      </c>
      <c r="E181" t="s">
        <v>883</v>
      </c>
      <c r="F181" t="b">
        <v>1</v>
      </c>
      <c r="G181">
        <v>100</v>
      </c>
      <c r="H181">
        <v>1</v>
      </c>
      <c r="I181">
        <v>9312</v>
      </c>
      <c r="J181" s="61" t="s">
        <v>18</v>
      </c>
      <c r="K181" s="16" t="s">
        <v>272</v>
      </c>
      <c r="L181" s="16">
        <v>3</v>
      </c>
      <c r="M181" s="16" t="s">
        <v>277</v>
      </c>
      <c r="N181" s="16" t="s">
        <v>335</v>
      </c>
      <c r="O181" s="15" t="s">
        <v>282</v>
      </c>
      <c r="P181" t="s">
        <v>283</v>
      </c>
      <c r="Q181" t="s">
        <v>371</v>
      </c>
      <c r="R181" s="17" t="s">
        <v>371</v>
      </c>
      <c r="S181" s="17">
        <v>0</v>
      </c>
      <c r="T181" s="17">
        <v>1</v>
      </c>
      <c r="U181" s="17">
        <v>1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 t="s">
        <v>704</v>
      </c>
      <c r="AD181" s="16" t="s">
        <v>341</v>
      </c>
      <c r="AE181" s="16" t="s">
        <v>342</v>
      </c>
      <c r="AF181" s="15" t="s">
        <v>343</v>
      </c>
      <c r="AG181" s="15" t="s">
        <v>345</v>
      </c>
      <c r="AH181" s="17" t="s">
        <v>344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704</v>
      </c>
      <c r="AR181" t="s">
        <v>349</v>
      </c>
      <c r="AS181" t="s">
        <v>349</v>
      </c>
      <c r="AT181">
        <v>1</v>
      </c>
      <c r="AU181">
        <v>0</v>
      </c>
      <c r="AV181">
        <v>0</v>
      </c>
      <c r="AW181" t="s">
        <v>704</v>
      </c>
      <c r="AX181" t="s">
        <v>1266</v>
      </c>
      <c r="AY181" t="s">
        <v>293</v>
      </c>
      <c r="AZ181" t="s">
        <v>352</v>
      </c>
      <c r="BA181" t="s">
        <v>296</v>
      </c>
      <c r="BB181" t="s">
        <v>300</v>
      </c>
      <c r="BC181" t="s">
        <v>292</v>
      </c>
      <c r="BD181" t="s">
        <v>293</v>
      </c>
      <c r="BE181" t="s">
        <v>292</v>
      </c>
      <c r="BF181" t="s">
        <v>292</v>
      </c>
      <c r="BG181" t="s">
        <v>293</v>
      </c>
      <c r="BH181" t="s">
        <v>302</v>
      </c>
      <c r="BI181" t="s">
        <v>302</v>
      </c>
      <c r="BJ181" t="s">
        <v>359</v>
      </c>
      <c r="BK181" t="s">
        <v>293</v>
      </c>
      <c r="BL181" t="s">
        <v>293</v>
      </c>
      <c r="BM181" t="s">
        <v>297</v>
      </c>
      <c r="BN181" t="s">
        <v>298</v>
      </c>
      <c r="BO181" t="s">
        <v>293</v>
      </c>
      <c r="BP181" t="s">
        <v>292</v>
      </c>
      <c r="BQ181" t="s">
        <v>362</v>
      </c>
      <c r="BR181" t="s">
        <v>293</v>
      </c>
      <c r="BS181" t="s">
        <v>364</v>
      </c>
      <c r="BT181" t="s">
        <v>304</v>
      </c>
      <c r="BU181" t="s">
        <v>371</v>
      </c>
      <c r="BV181" t="s">
        <v>371</v>
      </c>
      <c r="BW181" t="s">
        <v>2624</v>
      </c>
      <c r="BX181" t="str">
        <f>IF(J181="win",VLOOKUP(B181,ColorScheme!$A$2:$I$32,4,0),VLOOKUP(B181,ColorScheme!$A$2:$I$32,5,0))</f>
        <v>#75bbfd50</v>
      </c>
    </row>
    <row r="182" spans="1:76" x14ac:dyDescent="0.3">
      <c r="A182" t="s">
        <v>45</v>
      </c>
      <c r="B182" t="s">
        <v>57</v>
      </c>
      <c r="C182" t="s">
        <v>33</v>
      </c>
      <c r="D182" t="s">
        <v>29</v>
      </c>
      <c r="E182" t="s">
        <v>884</v>
      </c>
      <c r="F182" t="b">
        <v>1</v>
      </c>
      <c r="G182">
        <v>100</v>
      </c>
      <c r="H182">
        <v>1</v>
      </c>
      <c r="I182">
        <v>8993</v>
      </c>
      <c r="J182" s="61" t="s">
        <v>18</v>
      </c>
      <c r="K182" s="16" t="s">
        <v>272</v>
      </c>
      <c r="L182" s="16">
        <v>3</v>
      </c>
      <c r="M182" s="16" t="s">
        <v>277</v>
      </c>
      <c r="N182" s="16" t="s">
        <v>335</v>
      </c>
      <c r="O182" s="15" t="s">
        <v>282</v>
      </c>
      <c r="P182" t="s">
        <v>339</v>
      </c>
      <c r="Q182" t="s">
        <v>371</v>
      </c>
      <c r="R182" s="17" t="s">
        <v>371</v>
      </c>
      <c r="S182" s="17">
        <v>0</v>
      </c>
      <c r="T182" s="17">
        <v>1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1</v>
      </c>
      <c r="AB182" s="17">
        <v>0</v>
      </c>
      <c r="AC182" s="17" t="s">
        <v>704</v>
      </c>
      <c r="AD182" s="16" t="s">
        <v>341</v>
      </c>
      <c r="AE182" s="16" t="s">
        <v>342</v>
      </c>
      <c r="AF182" s="15" t="s">
        <v>343</v>
      </c>
      <c r="AG182" s="15" t="s">
        <v>345</v>
      </c>
      <c r="AH182" s="17" t="s">
        <v>344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704</v>
      </c>
      <c r="AR182" t="s">
        <v>349</v>
      </c>
      <c r="AS182" t="s">
        <v>349</v>
      </c>
      <c r="AT182">
        <v>1</v>
      </c>
      <c r="AU182">
        <v>0</v>
      </c>
      <c r="AV182">
        <v>0</v>
      </c>
      <c r="AW182" t="s">
        <v>704</v>
      </c>
      <c r="AX182" t="s">
        <v>1267</v>
      </c>
      <c r="AY182" t="s">
        <v>293</v>
      </c>
      <c r="AZ182" t="s">
        <v>352</v>
      </c>
      <c r="BA182" t="s">
        <v>296</v>
      </c>
      <c r="BB182" t="s">
        <v>300</v>
      </c>
      <c r="BC182" t="s">
        <v>292</v>
      </c>
      <c r="BD182" t="s">
        <v>293</v>
      </c>
      <c r="BE182" t="s">
        <v>292</v>
      </c>
      <c r="BF182" t="s">
        <v>292</v>
      </c>
      <c r="BG182" t="s">
        <v>293</v>
      </c>
      <c r="BH182" t="s">
        <v>302</v>
      </c>
      <c r="BI182" t="s">
        <v>302</v>
      </c>
      <c r="BJ182" t="s">
        <v>359</v>
      </c>
      <c r="BK182" t="s">
        <v>293</v>
      </c>
      <c r="BL182" t="s">
        <v>293</v>
      </c>
      <c r="BM182" t="s">
        <v>297</v>
      </c>
      <c r="BN182" t="s">
        <v>298</v>
      </c>
      <c r="BO182" t="s">
        <v>293</v>
      </c>
      <c r="BP182" t="s">
        <v>292</v>
      </c>
      <c r="BQ182" t="s">
        <v>293</v>
      </c>
      <c r="BR182" t="s">
        <v>293</v>
      </c>
      <c r="BS182" t="s">
        <v>364</v>
      </c>
      <c r="BT182" t="s">
        <v>304</v>
      </c>
      <c r="BU182" t="s">
        <v>371</v>
      </c>
      <c r="BV182" t="s">
        <v>371</v>
      </c>
      <c r="BW182" t="s">
        <v>2625</v>
      </c>
      <c r="BX182" t="str">
        <f>IF(J182="win",VLOOKUP(B182,ColorScheme!$A$2:$I$32,4,0),VLOOKUP(B182,ColorScheme!$A$2:$I$32,5,0))</f>
        <v>#75bbfd50</v>
      </c>
    </row>
    <row r="183" spans="1:76" x14ac:dyDescent="0.3">
      <c r="A183" t="s">
        <v>45</v>
      </c>
      <c r="B183" t="s">
        <v>57</v>
      </c>
      <c r="C183" t="s">
        <v>26</v>
      </c>
      <c r="D183" t="s">
        <v>29</v>
      </c>
      <c r="E183" t="s">
        <v>885</v>
      </c>
      <c r="F183" t="b">
        <v>1</v>
      </c>
      <c r="G183">
        <v>100</v>
      </c>
      <c r="H183">
        <v>1</v>
      </c>
      <c r="I183">
        <v>9359</v>
      </c>
      <c r="J183" s="61" t="s">
        <v>18</v>
      </c>
      <c r="K183" s="16" t="s">
        <v>272</v>
      </c>
      <c r="L183" s="16">
        <v>3</v>
      </c>
      <c r="M183" s="16" t="s">
        <v>277</v>
      </c>
      <c r="N183" s="16" t="s">
        <v>335</v>
      </c>
      <c r="O183" s="15" t="s">
        <v>284</v>
      </c>
      <c r="P183" t="s">
        <v>282</v>
      </c>
      <c r="Q183" t="s">
        <v>371</v>
      </c>
      <c r="R183" s="17" t="s">
        <v>371</v>
      </c>
      <c r="S183" s="17">
        <v>0</v>
      </c>
      <c r="T183" s="17">
        <v>1</v>
      </c>
      <c r="U183" s="17">
        <v>0</v>
      </c>
      <c r="V183" s="17">
        <v>1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 t="s">
        <v>704</v>
      </c>
      <c r="AD183" s="16" t="s">
        <v>341</v>
      </c>
      <c r="AE183" s="16" t="s">
        <v>340</v>
      </c>
      <c r="AF183" s="15" t="s">
        <v>340</v>
      </c>
      <c r="AG183" s="15" t="s">
        <v>344</v>
      </c>
      <c r="AH183" s="17" t="s">
        <v>371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704</v>
      </c>
      <c r="AR183" t="s">
        <v>349</v>
      </c>
      <c r="AS183" t="s">
        <v>349</v>
      </c>
      <c r="AT183">
        <v>1</v>
      </c>
      <c r="AU183">
        <v>0</v>
      </c>
      <c r="AV183">
        <v>0</v>
      </c>
      <c r="AW183" t="s">
        <v>704</v>
      </c>
      <c r="AX183" t="s">
        <v>1228</v>
      </c>
      <c r="AY183" t="s">
        <v>293</v>
      </c>
      <c r="AZ183" t="s">
        <v>354</v>
      </c>
      <c r="BA183" t="s">
        <v>354</v>
      </c>
      <c r="BB183" t="s">
        <v>300</v>
      </c>
      <c r="BC183" t="s">
        <v>292</v>
      </c>
      <c r="BD183" t="s">
        <v>293</v>
      </c>
      <c r="BE183" t="s">
        <v>292</v>
      </c>
      <c r="BF183" t="s">
        <v>293</v>
      </c>
      <c r="BG183" t="s">
        <v>293</v>
      </c>
      <c r="BH183" t="s">
        <v>302</v>
      </c>
      <c r="BI183" t="s">
        <v>302</v>
      </c>
      <c r="BJ183" t="s">
        <v>302</v>
      </c>
      <c r="BK183" t="s">
        <v>293</v>
      </c>
      <c r="BL183" t="s">
        <v>293</v>
      </c>
      <c r="BM183" t="s">
        <v>297</v>
      </c>
      <c r="BN183" t="s">
        <v>298</v>
      </c>
      <c r="BO183" t="s">
        <v>293</v>
      </c>
      <c r="BP183" t="s">
        <v>292</v>
      </c>
      <c r="BQ183" t="s">
        <v>293</v>
      </c>
      <c r="BR183" t="s">
        <v>293</v>
      </c>
      <c r="BS183" t="s">
        <v>364</v>
      </c>
      <c r="BT183" t="s">
        <v>304</v>
      </c>
      <c r="BU183" t="s">
        <v>371</v>
      </c>
      <c r="BV183" t="s">
        <v>371</v>
      </c>
      <c r="BW183" t="s">
        <v>2626</v>
      </c>
      <c r="BX183" t="str">
        <f>IF(J183="win",VLOOKUP(B183,ColorScheme!$A$2:$I$32,4,0),VLOOKUP(B183,ColorScheme!$A$2:$I$32,5,0))</f>
        <v>#75bbfd50</v>
      </c>
    </row>
    <row r="184" spans="1:76" x14ac:dyDescent="0.3">
      <c r="A184" t="s">
        <v>45</v>
      </c>
      <c r="B184" t="s">
        <v>57</v>
      </c>
      <c r="C184" t="s">
        <v>31</v>
      </c>
      <c r="D184" t="s">
        <v>29</v>
      </c>
      <c r="E184" t="s">
        <v>886</v>
      </c>
      <c r="F184" t="b">
        <v>1</v>
      </c>
      <c r="G184">
        <v>100</v>
      </c>
      <c r="H184">
        <v>1</v>
      </c>
      <c r="I184">
        <v>9526</v>
      </c>
      <c r="J184" s="61" t="s">
        <v>18</v>
      </c>
      <c r="K184" s="16" t="s">
        <v>272</v>
      </c>
      <c r="L184" s="16">
        <v>3</v>
      </c>
      <c r="M184" s="16" t="s">
        <v>277</v>
      </c>
      <c r="N184" s="16" t="s">
        <v>335</v>
      </c>
      <c r="O184" s="15" t="s">
        <v>284</v>
      </c>
      <c r="P184" t="s">
        <v>282</v>
      </c>
      <c r="Q184" t="s">
        <v>371</v>
      </c>
      <c r="R184" s="17" t="s">
        <v>371</v>
      </c>
      <c r="S184" s="17">
        <v>0</v>
      </c>
      <c r="T184" s="17">
        <v>1</v>
      </c>
      <c r="U184" s="17">
        <v>0</v>
      </c>
      <c r="V184" s="17">
        <v>1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 t="s">
        <v>704</v>
      </c>
      <c r="AD184" s="16" t="s">
        <v>341</v>
      </c>
      <c r="AE184" s="16" t="s">
        <v>340</v>
      </c>
      <c r="AF184" s="15" t="s">
        <v>343</v>
      </c>
      <c r="AG184" s="15" t="s">
        <v>344</v>
      </c>
      <c r="AH184" s="17" t="s">
        <v>371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704</v>
      </c>
      <c r="AR184" t="s">
        <v>349</v>
      </c>
      <c r="AS184" t="s">
        <v>349</v>
      </c>
      <c r="AT184">
        <v>1</v>
      </c>
      <c r="AU184">
        <v>0</v>
      </c>
      <c r="AV184">
        <v>0</v>
      </c>
      <c r="AW184" t="s">
        <v>704</v>
      </c>
      <c r="AX184" t="s">
        <v>1228</v>
      </c>
      <c r="AY184" t="s">
        <v>293</v>
      </c>
      <c r="AZ184" t="s">
        <v>352</v>
      </c>
      <c r="BA184" t="s">
        <v>296</v>
      </c>
      <c r="BB184" t="s">
        <v>300</v>
      </c>
      <c r="BC184" t="s">
        <v>292</v>
      </c>
      <c r="BD184" t="s">
        <v>292</v>
      </c>
      <c r="BE184" t="s">
        <v>292</v>
      </c>
      <c r="BF184" t="s">
        <v>292</v>
      </c>
      <c r="BG184" t="s">
        <v>293</v>
      </c>
      <c r="BH184" t="s">
        <v>302</v>
      </c>
      <c r="BI184" t="s">
        <v>302</v>
      </c>
      <c r="BJ184" t="s">
        <v>359</v>
      </c>
      <c r="BK184" t="s">
        <v>293</v>
      </c>
      <c r="BL184" t="s">
        <v>293</v>
      </c>
      <c r="BM184" t="s">
        <v>297</v>
      </c>
      <c r="BN184" t="s">
        <v>298</v>
      </c>
      <c r="BO184" t="s">
        <v>293</v>
      </c>
      <c r="BP184" t="s">
        <v>292</v>
      </c>
      <c r="BQ184" t="s">
        <v>293</v>
      </c>
      <c r="BR184" t="s">
        <v>293</v>
      </c>
      <c r="BS184" t="s">
        <v>364</v>
      </c>
      <c r="BT184" t="s">
        <v>304</v>
      </c>
      <c r="BU184" t="s">
        <v>371</v>
      </c>
      <c r="BV184" t="s">
        <v>371</v>
      </c>
      <c r="BW184" t="s">
        <v>2627</v>
      </c>
      <c r="BX184" t="str">
        <f>IF(J184="win",VLOOKUP(B184,ColorScheme!$A$2:$I$32,4,0),VLOOKUP(B184,ColorScheme!$A$2:$I$32,5,0))</f>
        <v>#75bbfd50</v>
      </c>
    </row>
    <row r="185" spans="1:76" x14ac:dyDescent="0.3">
      <c r="A185" t="s">
        <v>45</v>
      </c>
      <c r="B185" t="s">
        <v>57</v>
      </c>
      <c r="C185" t="s">
        <v>27</v>
      </c>
      <c r="D185" t="s">
        <v>29</v>
      </c>
      <c r="E185" t="s">
        <v>887</v>
      </c>
      <c r="F185" t="b">
        <v>1</v>
      </c>
      <c r="G185">
        <v>100</v>
      </c>
      <c r="H185">
        <v>1</v>
      </c>
      <c r="I185">
        <v>9232</v>
      </c>
      <c r="J185" s="61" t="s">
        <v>18</v>
      </c>
      <c r="K185" s="16" t="s">
        <v>272</v>
      </c>
      <c r="L185" s="16">
        <v>3</v>
      </c>
      <c r="M185" s="16" t="s">
        <v>277</v>
      </c>
      <c r="N185" s="16" t="s">
        <v>335</v>
      </c>
      <c r="O185" s="15" t="s">
        <v>284</v>
      </c>
      <c r="P185" t="s">
        <v>285</v>
      </c>
      <c r="Q185" t="s">
        <v>282</v>
      </c>
      <c r="R185" s="17" t="s">
        <v>371</v>
      </c>
      <c r="S185" s="17">
        <v>0</v>
      </c>
      <c r="T185" s="17">
        <v>1</v>
      </c>
      <c r="U185" s="17">
        <v>0</v>
      </c>
      <c r="V185" s="17">
        <v>1</v>
      </c>
      <c r="W185" s="17">
        <v>0</v>
      </c>
      <c r="X185" s="17">
        <v>1</v>
      </c>
      <c r="Y185" s="17">
        <v>0</v>
      </c>
      <c r="Z185" s="17">
        <v>0</v>
      </c>
      <c r="AA185" s="17">
        <v>0</v>
      </c>
      <c r="AB185" s="17">
        <v>0</v>
      </c>
      <c r="AC185" s="17" t="s">
        <v>704</v>
      </c>
      <c r="AD185" s="16" t="s">
        <v>341</v>
      </c>
      <c r="AE185" s="16" t="s">
        <v>340</v>
      </c>
      <c r="AF185" s="15" t="s">
        <v>340</v>
      </c>
      <c r="AG185" s="15" t="s">
        <v>344</v>
      </c>
      <c r="AH185" s="17" t="s">
        <v>371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704</v>
      </c>
      <c r="AR185" t="s">
        <v>349</v>
      </c>
      <c r="AS185" t="s">
        <v>349</v>
      </c>
      <c r="AT185">
        <v>1</v>
      </c>
      <c r="AU185">
        <v>0</v>
      </c>
      <c r="AV185">
        <v>0</v>
      </c>
      <c r="AW185" t="s">
        <v>704</v>
      </c>
      <c r="AX185" t="s">
        <v>1268</v>
      </c>
      <c r="AY185" t="s">
        <v>293</v>
      </c>
      <c r="AZ185" t="s">
        <v>354</v>
      </c>
      <c r="BA185" t="s">
        <v>354</v>
      </c>
      <c r="BB185" t="s">
        <v>300</v>
      </c>
      <c r="BC185" t="s">
        <v>292</v>
      </c>
      <c r="BD185" t="s">
        <v>293</v>
      </c>
      <c r="BE185" t="s">
        <v>292</v>
      </c>
      <c r="BF185" t="s">
        <v>293</v>
      </c>
      <c r="BG185" t="s">
        <v>293</v>
      </c>
      <c r="BH185" t="s">
        <v>302</v>
      </c>
      <c r="BI185" t="s">
        <v>302</v>
      </c>
      <c r="BJ185" t="s">
        <v>357</v>
      </c>
      <c r="BK185" t="s">
        <v>293</v>
      </c>
      <c r="BL185" t="s">
        <v>293</v>
      </c>
      <c r="BM185" t="s">
        <v>297</v>
      </c>
      <c r="BN185" t="s">
        <v>298</v>
      </c>
      <c r="BO185" t="s">
        <v>293</v>
      </c>
      <c r="BP185" t="s">
        <v>292</v>
      </c>
      <c r="BQ185" t="s">
        <v>293</v>
      </c>
      <c r="BR185" t="s">
        <v>293</v>
      </c>
      <c r="BS185" t="s">
        <v>364</v>
      </c>
      <c r="BT185" t="s">
        <v>304</v>
      </c>
      <c r="BU185" t="s">
        <v>371</v>
      </c>
      <c r="BV185" t="s">
        <v>371</v>
      </c>
      <c r="BW185" t="s">
        <v>2628</v>
      </c>
      <c r="BX185" t="str">
        <f>IF(J185="win",VLOOKUP(B185,ColorScheme!$A$2:$I$32,4,0),VLOOKUP(B185,ColorScheme!$A$2:$I$32,5,0))</f>
        <v>#75bbfd50</v>
      </c>
    </row>
    <row r="186" spans="1:76" x14ac:dyDescent="0.3">
      <c r="A186" t="s">
        <v>45</v>
      </c>
      <c r="B186" t="s">
        <v>57</v>
      </c>
      <c r="C186" t="s">
        <v>28</v>
      </c>
      <c r="D186" t="s">
        <v>29</v>
      </c>
      <c r="E186" t="s">
        <v>888</v>
      </c>
      <c r="F186" t="b">
        <v>1</v>
      </c>
      <c r="G186">
        <v>100</v>
      </c>
      <c r="H186">
        <v>1</v>
      </c>
      <c r="I186">
        <v>9313</v>
      </c>
      <c r="J186" s="61" t="s">
        <v>18</v>
      </c>
      <c r="K186" s="16" t="s">
        <v>272</v>
      </c>
      <c r="L186" s="16">
        <v>3</v>
      </c>
      <c r="M186" s="16" t="s">
        <v>277</v>
      </c>
      <c r="N186" s="16" t="s">
        <v>335</v>
      </c>
      <c r="O186" s="15" t="s">
        <v>284</v>
      </c>
      <c r="P186" t="s">
        <v>282</v>
      </c>
      <c r="Q186" t="s">
        <v>371</v>
      </c>
      <c r="R186" s="17" t="s">
        <v>371</v>
      </c>
      <c r="S186" s="17">
        <v>0</v>
      </c>
      <c r="T186" s="17">
        <v>1</v>
      </c>
      <c r="U186" s="17">
        <v>0</v>
      </c>
      <c r="V186" s="17">
        <v>1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 t="s">
        <v>704</v>
      </c>
      <c r="AD186" s="16" t="s">
        <v>341</v>
      </c>
      <c r="AE186" s="16" t="s">
        <v>340</v>
      </c>
      <c r="AF186" s="15" t="s">
        <v>343</v>
      </c>
      <c r="AG186" s="15" t="s">
        <v>344</v>
      </c>
      <c r="AH186" s="17" t="s">
        <v>371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704</v>
      </c>
      <c r="AR186" t="s">
        <v>349</v>
      </c>
      <c r="AS186" t="s">
        <v>349</v>
      </c>
      <c r="AT186">
        <v>1</v>
      </c>
      <c r="AU186">
        <v>0</v>
      </c>
      <c r="AV186">
        <v>0</v>
      </c>
      <c r="AW186" t="s">
        <v>704</v>
      </c>
      <c r="AX186" t="s">
        <v>1228</v>
      </c>
      <c r="AY186" t="s">
        <v>293</v>
      </c>
      <c r="AZ186" t="s">
        <v>352</v>
      </c>
      <c r="BA186" t="s">
        <v>296</v>
      </c>
      <c r="BB186" t="s">
        <v>300</v>
      </c>
      <c r="BC186" t="s">
        <v>292</v>
      </c>
      <c r="BD186" t="s">
        <v>293</v>
      </c>
      <c r="BE186" t="s">
        <v>292</v>
      </c>
      <c r="BF186" t="s">
        <v>292</v>
      </c>
      <c r="BG186" t="s">
        <v>293</v>
      </c>
      <c r="BH186" t="s">
        <v>302</v>
      </c>
      <c r="BI186" t="s">
        <v>302</v>
      </c>
      <c r="BJ186" t="s">
        <v>359</v>
      </c>
      <c r="BK186" t="s">
        <v>293</v>
      </c>
      <c r="BL186" t="s">
        <v>293</v>
      </c>
      <c r="BM186" t="s">
        <v>297</v>
      </c>
      <c r="BN186" t="s">
        <v>298</v>
      </c>
      <c r="BO186" t="s">
        <v>293</v>
      </c>
      <c r="BP186" t="s">
        <v>292</v>
      </c>
      <c r="BQ186" t="s">
        <v>293</v>
      </c>
      <c r="BR186" t="s">
        <v>293</v>
      </c>
      <c r="BS186" t="s">
        <v>364</v>
      </c>
      <c r="BT186" t="s">
        <v>304</v>
      </c>
      <c r="BU186" t="s">
        <v>371</v>
      </c>
      <c r="BV186" t="s">
        <v>371</v>
      </c>
      <c r="BW186" t="s">
        <v>2629</v>
      </c>
      <c r="BX186" t="str">
        <f>IF(J186="win",VLOOKUP(B186,ColorScheme!$A$2:$I$32,4,0),VLOOKUP(B186,ColorScheme!$A$2:$I$32,5,0))</f>
        <v>#75bbfd50</v>
      </c>
    </row>
    <row r="187" spans="1:76" x14ac:dyDescent="0.3">
      <c r="A187" t="s">
        <v>45</v>
      </c>
      <c r="B187" t="s">
        <v>57</v>
      </c>
      <c r="C187" t="s">
        <v>35</v>
      </c>
      <c r="D187" t="s">
        <v>29</v>
      </c>
      <c r="E187" t="s">
        <v>889</v>
      </c>
      <c r="F187" t="b">
        <v>1</v>
      </c>
      <c r="G187">
        <v>100</v>
      </c>
      <c r="H187">
        <v>1</v>
      </c>
      <c r="I187">
        <v>9630</v>
      </c>
      <c r="J187" s="61" t="s">
        <v>18</v>
      </c>
      <c r="K187" s="16" t="s">
        <v>272</v>
      </c>
      <c r="L187" s="16">
        <v>3</v>
      </c>
      <c r="M187" s="16" t="s">
        <v>277</v>
      </c>
      <c r="N187" s="16" t="s">
        <v>335</v>
      </c>
      <c r="O187" s="15" t="s">
        <v>282</v>
      </c>
      <c r="P187" t="s">
        <v>339</v>
      </c>
      <c r="Q187" t="s">
        <v>371</v>
      </c>
      <c r="R187" s="17" t="s">
        <v>371</v>
      </c>
      <c r="S187" s="17">
        <v>0</v>
      </c>
      <c r="T187" s="17">
        <v>1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1</v>
      </c>
      <c r="AB187" s="17">
        <v>0</v>
      </c>
      <c r="AC187" s="17" t="s">
        <v>704</v>
      </c>
      <c r="AD187" s="16" t="s">
        <v>341</v>
      </c>
      <c r="AE187" s="16" t="s">
        <v>342</v>
      </c>
      <c r="AF187" s="15" t="s">
        <v>343</v>
      </c>
      <c r="AG187" s="15" t="s">
        <v>345</v>
      </c>
      <c r="AH187" s="17" t="s">
        <v>347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 t="s">
        <v>704</v>
      </c>
      <c r="AR187" t="s">
        <v>349</v>
      </c>
      <c r="AS187" t="s">
        <v>349</v>
      </c>
      <c r="AT187">
        <v>1</v>
      </c>
      <c r="AU187">
        <v>0</v>
      </c>
      <c r="AV187">
        <v>0</v>
      </c>
      <c r="AW187" t="s">
        <v>704</v>
      </c>
      <c r="AX187" t="s">
        <v>1265</v>
      </c>
      <c r="AY187" t="s">
        <v>293</v>
      </c>
      <c r="AZ187" t="s">
        <v>352</v>
      </c>
      <c r="BA187" t="s">
        <v>296</v>
      </c>
      <c r="BB187" t="s">
        <v>300</v>
      </c>
      <c r="BC187" t="s">
        <v>292</v>
      </c>
      <c r="BD187" t="s">
        <v>293</v>
      </c>
      <c r="BE187" t="s">
        <v>292</v>
      </c>
      <c r="BF187" t="s">
        <v>292</v>
      </c>
      <c r="BG187" t="s">
        <v>293</v>
      </c>
      <c r="BH187" t="s">
        <v>302</v>
      </c>
      <c r="BI187" t="s">
        <v>302</v>
      </c>
      <c r="BJ187" t="s">
        <v>359</v>
      </c>
      <c r="BK187" t="s">
        <v>293</v>
      </c>
      <c r="BL187" t="s">
        <v>293</v>
      </c>
      <c r="BM187" t="s">
        <v>297</v>
      </c>
      <c r="BN187" t="s">
        <v>298</v>
      </c>
      <c r="BO187" t="s">
        <v>293</v>
      </c>
      <c r="BP187" t="s">
        <v>292</v>
      </c>
      <c r="BQ187" t="s">
        <v>293</v>
      </c>
      <c r="BR187" t="s">
        <v>293</v>
      </c>
      <c r="BS187" t="s">
        <v>364</v>
      </c>
      <c r="BT187" t="s">
        <v>304</v>
      </c>
      <c r="BU187" t="s">
        <v>371</v>
      </c>
      <c r="BV187" t="s">
        <v>371</v>
      </c>
      <c r="BW187" t="s">
        <v>2630</v>
      </c>
      <c r="BX187" t="str">
        <f>IF(J187="win",VLOOKUP(B187,ColorScheme!$A$2:$I$32,4,0),VLOOKUP(B187,ColorScheme!$A$2:$I$32,5,0))</f>
        <v>#75bbfd50</v>
      </c>
    </row>
    <row r="188" spans="1:76" x14ac:dyDescent="0.3">
      <c r="A188" t="s">
        <v>43</v>
      </c>
      <c r="B188" t="s">
        <v>59</v>
      </c>
      <c r="C188" t="s">
        <v>15</v>
      </c>
      <c r="D188" t="s">
        <v>12</v>
      </c>
      <c r="E188" t="s">
        <v>890</v>
      </c>
      <c r="F188" t="b">
        <v>1</v>
      </c>
      <c r="G188">
        <v>100</v>
      </c>
      <c r="H188">
        <v>1</v>
      </c>
      <c r="I188">
        <v>10911</v>
      </c>
      <c r="J188" s="61" t="s">
        <v>18</v>
      </c>
      <c r="K188" s="16" t="s">
        <v>272</v>
      </c>
      <c r="L188" s="16">
        <v>3</v>
      </c>
      <c r="M188" s="16" t="s">
        <v>277</v>
      </c>
      <c r="N188" s="16" t="s">
        <v>335</v>
      </c>
      <c r="O188" s="15" t="s">
        <v>282</v>
      </c>
      <c r="P188" t="s">
        <v>371</v>
      </c>
      <c r="Q188" t="s">
        <v>371</v>
      </c>
      <c r="R188" s="17" t="s">
        <v>371</v>
      </c>
      <c r="S188" s="17">
        <v>0</v>
      </c>
      <c r="T188" s="17">
        <v>1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 t="s">
        <v>704</v>
      </c>
      <c r="AD188" s="16" t="s">
        <v>341</v>
      </c>
      <c r="AE188" s="16" t="s">
        <v>340</v>
      </c>
      <c r="AF188" s="15" t="s">
        <v>343</v>
      </c>
      <c r="AG188" s="15" t="s">
        <v>344</v>
      </c>
      <c r="AH188" s="17" t="s">
        <v>371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704</v>
      </c>
      <c r="AR188" t="s">
        <v>349</v>
      </c>
      <c r="AS188" t="s">
        <v>349</v>
      </c>
      <c r="AT188">
        <v>1</v>
      </c>
      <c r="AU188">
        <v>0</v>
      </c>
      <c r="AV188">
        <v>0</v>
      </c>
      <c r="AW188" t="s">
        <v>704</v>
      </c>
      <c r="AX188" t="s">
        <v>1208</v>
      </c>
      <c r="AY188" t="s">
        <v>293</v>
      </c>
      <c r="AZ188" t="s">
        <v>353</v>
      </c>
      <c r="BA188" t="s">
        <v>296</v>
      </c>
      <c r="BB188" t="s">
        <v>301</v>
      </c>
      <c r="BC188" t="s">
        <v>292</v>
      </c>
      <c r="BD188" t="s">
        <v>293</v>
      </c>
      <c r="BE188" t="s">
        <v>292</v>
      </c>
      <c r="BF188" t="s">
        <v>292</v>
      </c>
      <c r="BG188" t="s">
        <v>293</v>
      </c>
      <c r="BH188" t="s">
        <v>302</v>
      </c>
      <c r="BI188" t="s">
        <v>302</v>
      </c>
      <c r="BJ188" t="s">
        <v>359</v>
      </c>
      <c r="BK188" t="s">
        <v>293</v>
      </c>
      <c r="BL188" t="s">
        <v>293</v>
      </c>
      <c r="BM188" t="s">
        <v>297</v>
      </c>
      <c r="BN188" t="s">
        <v>298</v>
      </c>
      <c r="BO188" t="s">
        <v>293</v>
      </c>
      <c r="BP188" t="s">
        <v>292</v>
      </c>
      <c r="BQ188" t="s">
        <v>293</v>
      </c>
      <c r="BR188" t="s">
        <v>293</v>
      </c>
      <c r="BS188" t="s">
        <v>364</v>
      </c>
      <c r="BT188" t="s">
        <v>304</v>
      </c>
      <c r="BU188" t="s">
        <v>371</v>
      </c>
      <c r="BV188" t="s">
        <v>371</v>
      </c>
      <c r="BW188" t="s">
        <v>2631</v>
      </c>
      <c r="BX188" t="str">
        <f>IF(J188="win",VLOOKUP(B188,ColorScheme!$A$2:$I$32,4,0),VLOOKUP(B188,ColorScheme!$A$2:$I$32,5,0))</f>
        <v>#92959150</v>
      </c>
    </row>
    <row r="189" spans="1:76" x14ac:dyDescent="0.3">
      <c r="A189" t="s">
        <v>43</v>
      </c>
      <c r="B189" t="s">
        <v>59</v>
      </c>
      <c r="C189" t="s">
        <v>23</v>
      </c>
      <c r="D189" t="s">
        <v>12</v>
      </c>
      <c r="E189" t="s">
        <v>891</v>
      </c>
      <c r="F189" t="b">
        <v>1</v>
      </c>
      <c r="G189">
        <v>72.2</v>
      </c>
      <c r="H189">
        <v>0</v>
      </c>
      <c r="I189">
        <v>10019</v>
      </c>
      <c r="J189" s="61" t="s">
        <v>13</v>
      </c>
      <c r="K189" s="16" t="s">
        <v>273</v>
      </c>
      <c r="L189" s="16">
        <v>2</v>
      </c>
      <c r="M189" s="16" t="s">
        <v>333</v>
      </c>
      <c r="N189" s="16" t="s">
        <v>278</v>
      </c>
      <c r="O189" s="15" t="s">
        <v>282</v>
      </c>
      <c r="P189" t="s">
        <v>371</v>
      </c>
      <c r="Q189" t="s">
        <v>371</v>
      </c>
      <c r="R189" s="17" t="s">
        <v>371</v>
      </c>
      <c r="S189" s="17">
        <v>0</v>
      </c>
      <c r="T189" s="17">
        <v>1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 t="s">
        <v>704</v>
      </c>
      <c r="AD189" s="16" t="s">
        <v>340</v>
      </c>
      <c r="AE189" s="16" t="s">
        <v>342</v>
      </c>
      <c r="AF189" s="15" t="s">
        <v>343</v>
      </c>
      <c r="AG189" s="15" t="s">
        <v>344</v>
      </c>
      <c r="AH189" s="17" t="s">
        <v>371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704</v>
      </c>
      <c r="AR189" t="s">
        <v>349</v>
      </c>
      <c r="AS189" t="s">
        <v>349</v>
      </c>
      <c r="AT189">
        <v>1</v>
      </c>
      <c r="AU189">
        <v>0</v>
      </c>
      <c r="AV189">
        <v>0</v>
      </c>
      <c r="AW189" t="s">
        <v>704</v>
      </c>
      <c r="AX189" t="s">
        <v>1208</v>
      </c>
      <c r="AY189" t="s">
        <v>293</v>
      </c>
      <c r="AZ189" t="s">
        <v>353</v>
      </c>
      <c r="BA189" t="s">
        <v>355</v>
      </c>
      <c r="BB189" t="s">
        <v>301</v>
      </c>
      <c r="BC189" t="s">
        <v>292</v>
      </c>
      <c r="BD189" t="s">
        <v>293</v>
      </c>
      <c r="BE189" t="s">
        <v>292</v>
      </c>
      <c r="BF189" t="s">
        <v>292</v>
      </c>
      <c r="BG189" t="s">
        <v>293</v>
      </c>
      <c r="BH189" t="s">
        <v>302</v>
      </c>
      <c r="BI189" t="s">
        <v>357</v>
      </c>
      <c r="BJ189" t="s">
        <v>359</v>
      </c>
      <c r="BK189" t="s">
        <v>293</v>
      </c>
      <c r="BL189" t="s">
        <v>293</v>
      </c>
      <c r="BM189" t="s">
        <v>297</v>
      </c>
      <c r="BN189" t="s">
        <v>298</v>
      </c>
      <c r="BO189" t="s">
        <v>293</v>
      </c>
      <c r="BP189" t="s">
        <v>292</v>
      </c>
      <c r="BQ189" t="s">
        <v>293</v>
      </c>
      <c r="BR189" t="s">
        <v>293</v>
      </c>
      <c r="BS189" t="s">
        <v>364</v>
      </c>
      <c r="BT189" t="s">
        <v>366</v>
      </c>
      <c r="BU189" t="s">
        <v>371</v>
      </c>
      <c r="BV189" t="s">
        <v>371</v>
      </c>
      <c r="BW189" t="s">
        <v>2632</v>
      </c>
      <c r="BX189" t="str">
        <f>IF(J189="win",VLOOKUP(B189,ColorScheme!$A$2:$I$32,4,0),VLOOKUP(B189,ColorScheme!$A$2:$I$32,5,0))</f>
        <v>#929591</v>
      </c>
    </row>
    <row r="190" spans="1:76" x14ac:dyDescent="0.3">
      <c r="A190" t="s">
        <v>43</v>
      </c>
      <c r="B190" t="s">
        <v>59</v>
      </c>
      <c r="C190" t="s">
        <v>14</v>
      </c>
      <c r="D190" t="s">
        <v>12</v>
      </c>
      <c r="E190" t="s">
        <v>892</v>
      </c>
      <c r="F190" t="b">
        <v>1</v>
      </c>
      <c r="G190">
        <v>38.9</v>
      </c>
      <c r="H190">
        <v>0</v>
      </c>
      <c r="I190">
        <v>12454</v>
      </c>
      <c r="J190" s="61" t="s">
        <v>13</v>
      </c>
      <c r="K190" s="16" t="s">
        <v>272</v>
      </c>
      <c r="L190" s="16">
        <v>3</v>
      </c>
      <c r="M190" s="16" t="s">
        <v>277</v>
      </c>
      <c r="N190" s="16" t="s">
        <v>335</v>
      </c>
      <c r="O190" s="15" t="s">
        <v>282</v>
      </c>
      <c r="P190" t="s">
        <v>371</v>
      </c>
      <c r="Q190" t="s">
        <v>371</v>
      </c>
      <c r="R190" s="17" t="s">
        <v>371</v>
      </c>
      <c r="S190" s="17">
        <v>0</v>
      </c>
      <c r="T190" s="17">
        <v>1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 t="s">
        <v>704</v>
      </c>
      <c r="AD190" s="16" t="s">
        <v>341</v>
      </c>
      <c r="AE190" s="16" t="s">
        <v>340</v>
      </c>
      <c r="AF190" s="15" t="s">
        <v>343</v>
      </c>
      <c r="AG190" s="15" t="s">
        <v>344</v>
      </c>
      <c r="AH190" s="17" t="s">
        <v>371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704</v>
      </c>
      <c r="AR190" t="s">
        <v>349</v>
      </c>
      <c r="AS190" t="s">
        <v>349</v>
      </c>
      <c r="AT190">
        <v>1</v>
      </c>
      <c r="AU190">
        <v>0</v>
      </c>
      <c r="AV190">
        <v>0</v>
      </c>
      <c r="AW190" t="s">
        <v>704</v>
      </c>
      <c r="AX190" t="s">
        <v>1208</v>
      </c>
      <c r="AY190" t="s">
        <v>293</v>
      </c>
      <c r="AZ190" t="s">
        <v>353</v>
      </c>
      <c r="BA190" t="s">
        <v>296</v>
      </c>
      <c r="BB190" t="s">
        <v>301</v>
      </c>
      <c r="BC190" t="s">
        <v>292</v>
      </c>
      <c r="BD190" t="s">
        <v>293</v>
      </c>
      <c r="BE190" t="s">
        <v>292</v>
      </c>
      <c r="BF190" t="s">
        <v>292</v>
      </c>
      <c r="BG190" t="s">
        <v>293</v>
      </c>
      <c r="BH190" t="s">
        <v>302</v>
      </c>
      <c r="BI190" t="s">
        <v>302</v>
      </c>
      <c r="BJ190" t="s">
        <v>359</v>
      </c>
      <c r="BK190" t="s">
        <v>293</v>
      </c>
      <c r="BL190" t="s">
        <v>293</v>
      </c>
      <c r="BM190" t="s">
        <v>297</v>
      </c>
      <c r="BN190" t="s">
        <v>298</v>
      </c>
      <c r="BO190" t="s">
        <v>293</v>
      </c>
      <c r="BP190" t="s">
        <v>292</v>
      </c>
      <c r="BQ190" t="s">
        <v>293</v>
      </c>
      <c r="BR190" t="s">
        <v>293</v>
      </c>
      <c r="BS190" t="s">
        <v>364</v>
      </c>
      <c r="BT190" t="s">
        <v>366</v>
      </c>
      <c r="BU190" t="s">
        <v>371</v>
      </c>
      <c r="BV190" t="s">
        <v>371</v>
      </c>
      <c r="BW190" t="s">
        <v>2633</v>
      </c>
      <c r="BX190" t="str">
        <f>IF(J190="win",VLOOKUP(B190,ColorScheme!$A$2:$I$32,4,0),VLOOKUP(B190,ColorScheme!$A$2:$I$32,5,0))</f>
        <v>#929591</v>
      </c>
    </row>
    <row r="191" spans="1:76" x14ac:dyDescent="0.3">
      <c r="A191" t="s">
        <v>43</v>
      </c>
      <c r="B191" t="s">
        <v>59</v>
      </c>
      <c r="C191" t="s">
        <v>25</v>
      </c>
      <c r="D191" t="s">
        <v>12</v>
      </c>
      <c r="E191" t="s">
        <v>893</v>
      </c>
      <c r="F191" t="b">
        <v>1</v>
      </c>
      <c r="G191">
        <v>100</v>
      </c>
      <c r="H191">
        <v>1</v>
      </c>
      <c r="I191">
        <v>11942</v>
      </c>
      <c r="J191" s="61" t="s">
        <v>18</v>
      </c>
      <c r="K191" s="16" t="s">
        <v>272</v>
      </c>
      <c r="L191" s="16">
        <v>3</v>
      </c>
      <c r="M191" s="16" t="s">
        <v>277</v>
      </c>
      <c r="N191" s="16" t="s">
        <v>335</v>
      </c>
      <c r="O191" s="15" t="s">
        <v>282</v>
      </c>
      <c r="P191" t="s">
        <v>371</v>
      </c>
      <c r="Q191" t="s">
        <v>371</v>
      </c>
      <c r="R191" s="17" t="s">
        <v>371</v>
      </c>
      <c r="S191" s="17">
        <v>0</v>
      </c>
      <c r="T191" s="17">
        <v>1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 t="s">
        <v>704</v>
      </c>
      <c r="AD191" s="16" t="s">
        <v>341</v>
      </c>
      <c r="AE191" s="16" t="s">
        <v>340</v>
      </c>
      <c r="AF191" s="15" t="s">
        <v>343</v>
      </c>
      <c r="AG191" s="15" t="s">
        <v>377</v>
      </c>
      <c r="AH191" s="17" t="s">
        <v>371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704</v>
      </c>
      <c r="AR191" t="s">
        <v>349</v>
      </c>
      <c r="AS191" t="s">
        <v>349</v>
      </c>
      <c r="AT191">
        <v>1</v>
      </c>
      <c r="AU191">
        <v>0</v>
      </c>
      <c r="AV191">
        <v>0</v>
      </c>
      <c r="AW191" t="s">
        <v>704</v>
      </c>
      <c r="AX191" t="s">
        <v>1269</v>
      </c>
      <c r="AY191" t="s">
        <v>293</v>
      </c>
      <c r="AZ191" t="s">
        <v>295</v>
      </c>
      <c r="BA191" t="s">
        <v>297</v>
      </c>
      <c r="BB191" t="s">
        <v>300</v>
      </c>
      <c r="BC191" t="s">
        <v>292</v>
      </c>
      <c r="BD191" t="s">
        <v>293</v>
      </c>
      <c r="BE191" t="s">
        <v>292</v>
      </c>
      <c r="BF191" t="s">
        <v>292</v>
      </c>
      <c r="BG191" t="s">
        <v>293</v>
      </c>
      <c r="BH191" t="s">
        <v>302</v>
      </c>
      <c r="BI191" t="s">
        <v>302</v>
      </c>
      <c r="BJ191" t="s">
        <v>359</v>
      </c>
      <c r="BK191" t="s">
        <v>293</v>
      </c>
      <c r="BL191" t="s">
        <v>293</v>
      </c>
      <c r="BM191" t="s">
        <v>297</v>
      </c>
      <c r="BN191" t="s">
        <v>298</v>
      </c>
      <c r="BO191" t="s">
        <v>293</v>
      </c>
      <c r="BP191" t="s">
        <v>292</v>
      </c>
      <c r="BQ191" t="s">
        <v>293</v>
      </c>
      <c r="BR191" t="s">
        <v>293</v>
      </c>
      <c r="BS191" t="s">
        <v>364</v>
      </c>
      <c r="BT191" t="s">
        <v>304</v>
      </c>
      <c r="BU191" t="s">
        <v>371</v>
      </c>
      <c r="BV191" t="s">
        <v>371</v>
      </c>
      <c r="BW191" t="s">
        <v>2634</v>
      </c>
      <c r="BX191" t="str">
        <f>IF(J191="win",VLOOKUP(B191,ColorScheme!$A$2:$I$32,4,0),VLOOKUP(B191,ColorScheme!$A$2:$I$32,5,0))</f>
        <v>#92959150</v>
      </c>
    </row>
    <row r="192" spans="1:76" x14ac:dyDescent="0.3">
      <c r="A192" t="s">
        <v>43</v>
      </c>
      <c r="B192" t="s">
        <v>59</v>
      </c>
      <c r="C192" t="s">
        <v>11</v>
      </c>
      <c r="D192" t="s">
        <v>12</v>
      </c>
      <c r="E192" t="s">
        <v>894</v>
      </c>
      <c r="F192" t="b">
        <v>1</v>
      </c>
      <c r="G192">
        <v>57.1</v>
      </c>
      <c r="H192">
        <v>0</v>
      </c>
      <c r="I192">
        <v>16614</v>
      </c>
      <c r="J192" s="61" t="s">
        <v>13</v>
      </c>
      <c r="K192" s="16" t="s">
        <v>272</v>
      </c>
      <c r="L192" s="16">
        <v>3</v>
      </c>
      <c r="M192" s="16" t="s">
        <v>277</v>
      </c>
      <c r="N192" s="16" t="s">
        <v>335</v>
      </c>
      <c r="O192" s="15" t="s">
        <v>282</v>
      </c>
      <c r="P192" t="s">
        <v>371</v>
      </c>
      <c r="Q192" t="s">
        <v>371</v>
      </c>
      <c r="R192" s="17" t="s">
        <v>371</v>
      </c>
      <c r="S192" s="17">
        <v>0</v>
      </c>
      <c r="T192" s="17">
        <v>1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 t="s">
        <v>704</v>
      </c>
      <c r="AD192" s="16" t="s">
        <v>341</v>
      </c>
      <c r="AE192" s="16" t="s">
        <v>342</v>
      </c>
      <c r="AF192" s="15" t="s">
        <v>343</v>
      </c>
      <c r="AG192" s="15" t="s">
        <v>291</v>
      </c>
      <c r="AH192" s="17" t="s">
        <v>371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 t="s">
        <v>704</v>
      </c>
      <c r="AR192" t="s">
        <v>349</v>
      </c>
      <c r="AS192" t="s">
        <v>349</v>
      </c>
      <c r="AT192">
        <v>1</v>
      </c>
      <c r="AU192">
        <v>0</v>
      </c>
      <c r="AV192">
        <v>0</v>
      </c>
      <c r="AW192" t="s">
        <v>704</v>
      </c>
      <c r="AX192" t="s">
        <v>1222</v>
      </c>
      <c r="AY192" t="s">
        <v>293</v>
      </c>
      <c r="AZ192" t="s">
        <v>353</v>
      </c>
      <c r="BA192" t="s">
        <v>296</v>
      </c>
      <c r="BB192" t="s">
        <v>301</v>
      </c>
      <c r="BC192" t="s">
        <v>292</v>
      </c>
      <c r="BD192" t="s">
        <v>293</v>
      </c>
      <c r="BE192" t="s">
        <v>293</v>
      </c>
      <c r="BF192" t="s">
        <v>292</v>
      </c>
      <c r="BG192" t="s">
        <v>293</v>
      </c>
      <c r="BH192" t="s">
        <v>358</v>
      </c>
      <c r="BI192" t="s">
        <v>302</v>
      </c>
      <c r="BJ192" t="s">
        <v>359</v>
      </c>
      <c r="BK192" t="s">
        <v>293</v>
      </c>
      <c r="BL192" t="s">
        <v>293</v>
      </c>
      <c r="BM192" t="s">
        <v>296</v>
      </c>
      <c r="BN192" t="s">
        <v>298</v>
      </c>
      <c r="BO192" t="s">
        <v>293</v>
      </c>
      <c r="BP192" t="s">
        <v>292</v>
      </c>
      <c r="BQ192" t="s">
        <v>293</v>
      </c>
      <c r="BR192" t="s">
        <v>293</v>
      </c>
      <c r="BS192" t="s">
        <v>364</v>
      </c>
      <c r="BT192" t="s">
        <v>366</v>
      </c>
      <c r="BU192" t="s">
        <v>371</v>
      </c>
      <c r="BV192" t="s">
        <v>371</v>
      </c>
      <c r="BW192" t="s">
        <v>2635</v>
      </c>
      <c r="BX192" t="str">
        <f>IF(J192="win",VLOOKUP(B192,ColorScheme!$A$2:$I$32,4,0),VLOOKUP(B192,ColorScheme!$A$2:$I$32,5,0))</f>
        <v>#929591</v>
      </c>
    </row>
    <row r="193" spans="1:76" x14ac:dyDescent="0.3">
      <c r="A193" t="s">
        <v>43</v>
      </c>
      <c r="B193" t="s">
        <v>59</v>
      </c>
      <c r="C193" t="s">
        <v>24</v>
      </c>
      <c r="D193" t="s">
        <v>12</v>
      </c>
      <c r="E193" t="s">
        <v>895</v>
      </c>
      <c r="F193" t="b">
        <v>1</v>
      </c>
      <c r="G193">
        <v>100</v>
      </c>
      <c r="H193">
        <v>1</v>
      </c>
      <c r="I193">
        <v>11236</v>
      </c>
      <c r="J193" s="61" t="s">
        <v>18</v>
      </c>
      <c r="K193" s="16" t="s">
        <v>272</v>
      </c>
      <c r="L193" s="16">
        <v>2</v>
      </c>
      <c r="M193" s="16" t="s">
        <v>277</v>
      </c>
      <c r="N193" s="16" t="s">
        <v>335</v>
      </c>
      <c r="O193" s="15" t="s">
        <v>282</v>
      </c>
      <c r="P193" t="s">
        <v>371</v>
      </c>
      <c r="Q193" t="s">
        <v>371</v>
      </c>
      <c r="R193" s="17" t="s">
        <v>371</v>
      </c>
      <c r="S193" s="17">
        <v>0</v>
      </c>
      <c r="T193" s="17">
        <v>1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 t="s">
        <v>704</v>
      </c>
      <c r="AD193" s="16" t="s">
        <v>341</v>
      </c>
      <c r="AE193" s="16" t="s">
        <v>340</v>
      </c>
      <c r="AF193" s="15" t="s">
        <v>340</v>
      </c>
      <c r="AG193" s="15" t="s">
        <v>377</v>
      </c>
      <c r="AH193" s="17" t="s">
        <v>371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704</v>
      </c>
      <c r="AR193" t="s">
        <v>349</v>
      </c>
      <c r="AS193" t="s">
        <v>349</v>
      </c>
      <c r="AT193">
        <v>1</v>
      </c>
      <c r="AU193">
        <v>0</v>
      </c>
      <c r="AV193">
        <v>0</v>
      </c>
      <c r="AW193" t="s">
        <v>704</v>
      </c>
      <c r="AX193" t="s">
        <v>1269</v>
      </c>
      <c r="AY193" t="s">
        <v>293</v>
      </c>
      <c r="AZ193" t="s">
        <v>354</v>
      </c>
      <c r="BA193" t="s">
        <v>354</v>
      </c>
      <c r="BB193" t="s">
        <v>300</v>
      </c>
      <c r="BC193" t="s">
        <v>292</v>
      </c>
      <c r="BD193" t="s">
        <v>293</v>
      </c>
      <c r="BE193" t="s">
        <v>292</v>
      </c>
      <c r="BF193" t="s">
        <v>292</v>
      </c>
      <c r="BG193" t="s">
        <v>293</v>
      </c>
      <c r="BH193" t="s">
        <v>302</v>
      </c>
      <c r="BI193" t="s">
        <v>302</v>
      </c>
      <c r="BJ193" t="s">
        <v>357</v>
      </c>
      <c r="BK193" t="s">
        <v>293</v>
      </c>
      <c r="BL193" t="s">
        <v>293</v>
      </c>
      <c r="BM193" t="s">
        <v>296</v>
      </c>
      <c r="BN193" t="s">
        <v>298</v>
      </c>
      <c r="BO193" t="s">
        <v>293</v>
      </c>
      <c r="BP193" t="s">
        <v>292</v>
      </c>
      <c r="BQ193" t="s">
        <v>293</v>
      </c>
      <c r="BR193" t="s">
        <v>293</v>
      </c>
      <c r="BS193" t="s">
        <v>364</v>
      </c>
      <c r="BT193" t="s">
        <v>304</v>
      </c>
      <c r="BU193" t="s">
        <v>371</v>
      </c>
      <c r="BV193" t="s">
        <v>371</v>
      </c>
      <c r="BW193" t="s">
        <v>2636</v>
      </c>
      <c r="BX193" t="str">
        <f>IF(J193="win",VLOOKUP(B193,ColorScheme!$A$2:$I$32,4,0),VLOOKUP(B193,ColorScheme!$A$2:$I$32,5,0))</f>
        <v>#92959150</v>
      </c>
    </row>
    <row r="194" spans="1:76" x14ac:dyDescent="0.3">
      <c r="A194" t="s">
        <v>43</v>
      </c>
      <c r="B194" t="s">
        <v>59</v>
      </c>
      <c r="C194" t="s">
        <v>21</v>
      </c>
      <c r="D194" t="s">
        <v>12</v>
      </c>
      <c r="E194" t="s">
        <v>896</v>
      </c>
      <c r="F194" t="b">
        <v>1</v>
      </c>
      <c r="G194">
        <v>60.1</v>
      </c>
      <c r="H194">
        <v>0</v>
      </c>
      <c r="I194">
        <v>11226</v>
      </c>
      <c r="J194" s="61" t="s">
        <v>13</v>
      </c>
      <c r="K194" s="16" t="s">
        <v>273</v>
      </c>
      <c r="L194" s="16">
        <v>2</v>
      </c>
      <c r="M194" s="16" t="s">
        <v>333</v>
      </c>
      <c r="N194" s="16" t="s">
        <v>278</v>
      </c>
      <c r="O194" s="15" t="s">
        <v>282</v>
      </c>
      <c r="P194" t="s">
        <v>371</v>
      </c>
      <c r="Q194" t="s">
        <v>371</v>
      </c>
      <c r="R194" s="17" t="s">
        <v>371</v>
      </c>
      <c r="S194" s="17">
        <v>0</v>
      </c>
      <c r="T194" s="17">
        <v>1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 t="s">
        <v>704</v>
      </c>
      <c r="AD194" s="16" t="s">
        <v>340</v>
      </c>
      <c r="AE194" s="16" t="s">
        <v>342</v>
      </c>
      <c r="AF194" s="15" t="s">
        <v>343</v>
      </c>
      <c r="AG194" s="15" t="s">
        <v>344</v>
      </c>
      <c r="AH194" s="17" t="s">
        <v>371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704</v>
      </c>
      <c r="AR194" t="s">
        <v>349</v>
      </c>
      <c r="AS194" t="s">
        <v>349</v>
      </c>
      <c r="AT194">
        <v>1</v>
      </c>
      <c r="AU194">
        <v>0</v>
      </c>
      <c r="AV194">
        <v>0</v>
      </c>
      <c r="AW194" t="s">
        <v>704</v>
      </c>
      <c r="AX194" t="s">
        <v>1208</v>
      </c>
      <c r="AY194" t="s">
        <v>293</v>
      </c>
      <c r="AZ194" t="s">
        <v>353</v>
      </c>
      <c r="BA194" t="s">
        <v>296</v>
      </c>
      <c r="BB194" t="s">
        <v>300</v>
      </c>
      <c r="BC194" t="s">
        <v>292</v>
      </c>
      <c r="BD194" t="s">
        <v>293</v>
      </c>
      <c r="BE194" t="s">
        <v>292</v>
      </c>
      <c r="BF194" t="s">
        <v>292</v>
      </c>
      <c r="BG194" t="s">
        <v>293</v>
      </c>
      <c r="BH194" t="s">
        <v>302</v>
      </c>
      <c r="BI194" t="s">
        <v>357</v>
      </c>
      <c r="BJ194" t="s">
        <v>359</v>
      </c>
      <c r="BK194" t="s">
        <v>293</v>
      </c>
      <c r="BL194" t="s">
        <v>293</v>
      </c>
      <c r="BM194" t="s">
        <v>297</v>
      </c>
      <c r="BN194" t="s">
        <v>298</v>
      </c>
      <c r="BO194" t="s">
        <v>293</v>
      </c>
      <c r="BP194" t="s">
        <v>292</v>
      </c>
      <c r="BQ194" t="s">
        <v>293</v>
      </c>
      <c r="BR194" t="s">
        <v>293</v>
      </c>
      <c r="BS194" t="s">
        <v>364</v>
      </c>
      <c r="BT194" t="s">
        <v>366</v>
      </c>
      <c r="BU194" t="s">
        <v>371</v>
      </c>
      <c r="BV194" t="s">
        <v>371</v>
      </c>
      <c r="BW194" t="s">
        <v>2637</v>
      </c>
      <c r="BX194" t="str">
        <f>IF(J194="win",VLOOKUP(B194,ColorScheme!$A$2:$I$32,4,0),VLOOKUP(B194,ColorScheme!$A$2:$I$32,5,0))</f>
        <v>#929591</v>
      </c>
    </row>
    <row r="195" spans="1:76" x14ac:dyDescent="0.3">
      <c r="A195" t="s">
        <v>43</v>
      </c>
      <c r="B195" t="s">
        <v>59</v>
      </c>
      <c r="C195" t="s">
        <v>19</v>
      </c>
      <c r="D195" t="s">
        <v>12</v>
      </c>
      <c r="E195" t="s">
        <v>897</v>
      </c>
      <c r="F195" t="b">
        <v>1</v>
      </c>
      <c r="G195">
        <v>32.5</v>
      </c>
      <c r="H195">
        <v>0</v>
      </c>
      <c r="I195">
        <v>23538</v>
      </c>
      <c r="J195" s="61" t="s">
        <v>13</v>
      </c>
      <c r="K195" s="16" t="s">
        <v>272</v>
      </c>
      <c r="L195" s="16">
        <v>3</v>
      </c>
      <c r="M195" s="16" t="s">
        <v>277</v>
      </c>
      <c r="N195" s="16" t="s">
        <v>335</v>
      </c>
      <c r="O195" s="15" t="s">
        <v>282</v>
      </c>
      <c r="P195" t="s">
        <v>371</v>
      </c>
      <c r="Q195" t="s">
        <v>371</v>
      </c>
      <c r="R195" s="17" t="s">
        <v>371</v>
      </c>
      <c r="S195" s="17">
        <v>0</v>
      </c>
      <c r="T195" s="17">
        <v>1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 t="s">
        <v>704</v>
      </c>
      <c r="AD195" s="16" t="s">
        <v>341</v>
      </c>
      <c r="AE195" s="16" t="s">
        <v>340</v>
      </c>
      <c r="AF195" s="15" t="s">
        <v>343</v>
      </c>
      <c r="AG195" s="15" t="s">
        <v>377</v>
      </c>
      <c r="AH195" s="17" t="s">
        <v>371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704</v>
      </c>
      <c r="AR195" t="s">
        <v>349</v>
      </c>
      <c r="AS195" t="s">
        <v>349</v>
      </c>
      <c r="AT195">
        <v>1</v>
      </c>
      <c r="AU195">
        <v>0</v>
      </c>
      <c r="AV195">
        <v>0</v>
      </c>
      <c r="AW195" t="s">
        <v>704</v>
      </c>
      <c r="AX195" t="s">
        <v>1269</v>
      </c>
      <c r="AY195" t="s">
        <v>293</v>
      </c>
      <c r="AZ195" t="s">
        <v>353</v>
      </c>
      <c r="BA195" t="s">
        <v>296</v>
      </c>
      <c r="BB195" t="s">
        <v>301</v>
      </c>
      <c r="BC195" t="s">
        <v>293</v>
      </c>
      <c r="BD195" t="s">
        <v>292</v>
      </c>
      <c r="BE195" t="s">
        <v>293</v>
      </c>
      <c r="BF195" t="s">
        <v>292</v>
      </c>
      <c r="BG195" t="s">
        <v>293</v>
      </c>
      <c r="BH195" t="s">
        <v>302</v>
      </c>
      <c r="BI195" t="s">
        <v>302</v>
      </c>
      <c r="BJ195" t="s">
        <v>359</v>
      </c>
      <c r="BK195" t="s">
        <v>293</v>
      </c>
      <c r="BL195" t="s">
        <v>293</v>
      </c>
      <c r="BM195" t="s">
        <v>296</v>
      </c>
      <c r="BN195" t="s">
        <v>356</v>
      </c>
      <c r="BO195" t="s">
        <v>293</v>
      </c>
      <c r="BP195" t="s">
        <v>292</v>
      </c>
      <c r="BQ195" t="s">
        <v>293</v>
      </c>
      <c r="BR195" t="s">
        <v>293</v>
      </c>
      <c r="BS195" t="s">
        <v>364</v>
      </c>
      <c r="BT195" t="s">
        <v>366</v>
      </c>
      <c r="BU195" t="s">
        <v>371</v>
      </c>
      <c r="BV195" t="s">
        <v>371</v>
      </c>
      <c r="BW195" t="s">
        <v>2638</v>
      </c>
      <c r="BX195" t="str">
        <f>IF(J195="win",VLOOKUP(B195,ColorScheme!$A$2:$I$32,4,0),VLOOKUP(B195,ColorScheme!$A$2:$I$32,5,0))</f>
        <v>#929591</v>
      </c>
    </row>
    <row r="196" spans="1:76" x14ac:dyDescent="0.3">
      <c r="A196" t="s">
        <v>43</v>
      </c>
      <c r="B196" t="s">
        <v>59</v>
      </c>
      <c r="C196" t="s">
        <v>17</v>
      </c>
      <c r="D196" t="s">
        <v>12</v>
      </c>
      <c r="E196" t="s">
        <v>898</v>
      </c>
      <c r="F196" t="b">
        <v>1</v>
      </c>
      <c r="G196">
        <v>27</v>
      </c>
      <c r="H196">
        <v>0</v>
      </c>
      <c r="I196">
        <v>23829</v>
      </c>
      <c r="J196" s="61" t="s">
        <v>13</v>
      </c>
      <c r="K196" s="16" t="s">
        <v>272</v>
      </c>
      <c r="L196" s="16">
        <v>3</v>
      </c>
      <c r="M196" s="16" t="s">
        <v>277</v>
      </c>
      <c r="N196" s="16" t="s">
        <v>335</v>
      </c>
      <c r="O196" s="15" t="s">
        <v>282</v>
      </c>
      <c r="P196" t="s">
        <v>371</v>
      </c>
      <c r="Q196" t="s">
        <v>371</v>
      </c>
      <c r="R196" s="17" t="s">
        <v>371</v>
      </c>
      <c r="S196" s="17">
        <v>0</v>
      </c>
      <c r="T196" s="17">
        <v>1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 t="s">
        <v>704</v>
      </c>
      <c r="AD196" s="16" t="s">
        <v>341</v>
      </c>
      <c r="AE196" s="16" t="s">
        <v>340</v>
      </c>
      <c r="AF196" s="15" t="s">
        <v>343</v>
      </c>
      <c r="AG196" s="15" t="s">
        <v>377</v>
      </c>
      <c r="AH196" s="17" t="s">
        <v>371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704</v>
      </c>
      <c r="AR196" t="s">
        <v>349</v>
      </c>
      <c r="AS196" t="s">
        <v>349</v>
      </c>
      <c r="AT196">
        <v>1</v>
      </c>
      <c r="AU196">
        <v>0</v>
      </c>
      <c r="AV196">
        <v>0</v>
      </c>
      <c r="AW196" t="s">
        <v>704</v>
      </c>
      <c r="AX196" t="s">
        <v>1269</v>
      </c>
      <c r="AY196" t="s">
        <v>293</v>
      </c>
      <c r="AZ196" t="s">
        <v>353</v>
      </c>
      <c r="BA196" t="s">
        <v>296</v>
      </c>
      <c r="BB196" t="s">
        <v>301</v>
      </c>
      <c r="BC196" t="s">
        <v>293</v>
      </c>
      <c r="BD196" t="s">
        <v>292</v>
      </c>
      <c r="BE196" t="s">
        <v>293</v>
      </c>
      <c r="BF196" t="s">
        <v>292</v>
      </c>
      <c r="BG196" t="s">
        <v>293</v>
      </c>
      <c r="BH196" t="s">
        <v>302</v>
      </c>
      <c r="BI196" t="s">
        <v>302</v>
      </c>
      <c r="BJ196" t="s">
        <v>359</v>
      </c>
      <c r="BK196" t="s">
        <v>293</v>
      </c>
      <c r="BL196" t="s">
        <v>293</v>
      </c>
      <c r="BM196" t="s">
        <v>296</v>
      </c>
      <c r="BN196" t="s">
        <v>356</v>
      </c>
      <c r="BO196" t="s">
        <v>293</v>
      </c>
      <c r="BP196" t="s">
        <v>292</v>
      </c>
      <c r="BQ196" t="s">
        <v>293</v>
      </c>
      <c r="BR196" t="s">
        <v>293</v>
      </c>
      <c r="BS196" t="s">
        <v>364</v>
      </c>
      <c r="BT196" t="s">
        <v>366</v>
      </c>
      <c r="BU196" t="s">
        <v>371</v>
      </c>
      <c r="BV196" t="s">
        <v>371</v>
      </c>
      <c r="BW196" t="s">
        <v>2639</v>
      </c>
      <c r="BX196" t="str">
        <f>IF(J196="win",VLOOKUP(B196,ColorScheme!$A$2:$I$32,4,0),VLOOKUP(B196,ColorScheme!$A$2:$I$32,5,0))</f>
        <v>#929591</v>
      </c>
    </row>
    <row r="197" spans="1:76" x14ac:dyDescent="0.3">
      <c r="A197" t="s">
        <v>43</v>
      </c>
      <c r="B197" t="s">
        <v>59</v>
      </c>
      <c r="C197" t="s">
        <v>16</v>
      </c>
      <c r="D197" t="s">
        <v>12</v>
      </c>
      <c r="E197" t="s">
        <v>899</v>
      </c>
      <c r="F197" t="b">
        <v>1</v>
      </c>
      <c r="G197">
        <v>64.7</v>
      </c>
      <c r="H197">
        <v>0</v>
      </c>
      <c r="I197">
        <v>12619</v>
      </c>
      <c r="J197" s="61" t="s">
        <v>13</v>
      </c>
      <c r="K197" s="16" t="s">
        <v>272</v>
      </c>
      <c r="L197" s="16">
        <v>3</v>
      </c>
      <c r="M197" s="16" t="s">
        <v>277</v>
      </c>
      <c r="N197" s="16" t="s">
        <v>335</v>
      </c>
      <c r="O197" s="15" t="s">
        <v>282</v>
      </c>
      <c r="P197" t="s">
        <v>371</v>
      </c>
      <c r="Q197" t="s">
        <v>371</v>
      </c>
      <c r="R197" s="17" t="s">
        <v>371</v>
      </c>
      <c r="S197" s="17">
        <v>0</v>
      </c>
      <c r="T197" s="17">
        <v>1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 t="s">
        <v>704</v>
      </c>
      <c r="AD197" s="16" t="s">
        <v>341</v>
      </c>
      <c r="AE197" s="16" t="s">
        <v>340</v>
      </c>
      <c r="AF197" s="15" t="s">
        <v>343</v>
      </c>
      <c r="AG197" s="15" t="s">
        <v>344</v>
      </c>
      <c r="AH197" s="17" t="s">
        <v>371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704</v>
      </c>
      <c r="AR197" t="s">
        <v>349</v>
      </c>
      <c r="AS197" t="s">
        <v>349</v>
      </c>
      <c r="AT197">
        <v>1</v>
      </c>
      <c r="AU197">
        <v>0</v>
      </c>
      <c r="AV197">
        <v>0</v>
      </c>
      <c r="AW197" t="s">
        <v>704</v>
      </c>
      <c r="AX197" t="s">
        <v>1208</v>
      </c>
      <c r="AY197" t="s">
        <v>293</v>
      </c>
      <c r="AZ197" t="s">
        <v>353</v>
      </c>
      <c r="BA197" t="s">
        <v>296</v>
      </c>
      <c r="BB197" t="s">
        <v>300</v>
      </c>
      <c r="BC197" t="s">
        <v>292</v>
      </c>
      <c r="BD197" t="s">
        <v>293</v>
      </c>
      <c r="BE197" t="s">
        <v>292</v>
      </c>
      <c r="BF197" t="s">
        <v>292</v>
      </c>
      <c r="BG197" t="s">
        <v>293</v>
      </c>
      <c r="BH197" t="s">
        <v>302</v>
      </c>
      <c r="BI197" t="s">
        <v>302</v>
      </c>
      <c r="BJ197" t="s">
        <v>359</v>
      </c>
      <c r="BK197" t="s">
        <v>293</v>
      </c>
      <c r="BL197" t="s">
        <v>293</v>
      </c>
      <c r="BM197" t="s">
        <v>297</v>
      </c>
      <c r="BN197" t="s">
        <v>298</v>
      </c>
      <c r="BO197" t="s">
        <v>293</v>
      </c>
      <c r="BP197" t="s">
        <v>292</v>
      </c>
      <c r="BQ197" t="s">
        <v>293</v>
      </c>
      <c r="BR197" t="s">
        <v>293</v>
      </c>
      <c r="BS197" t="s">
        <v>364</v>
      </c>
      <c r="BT197" t="s">
        <v>366</v>
      </c>
      <c r="BU197" t="s">
        <v>371</v>
      </c>
      <c r="BV197" t="s">
        <v>371</v>
      </c>
      <c r="BW197" t="s">
        <v>2640</v>
      </c>
      <c r="BX197" t="str">
        <f>IF(J197="win",VLOOKUP(B197,ColorScheme!$A$2:$I$32,4,0),VLOOKUP(B197,ColorScheme!$A$2:$I$32,5,0))</f>
        <v>#929591</v>
      </c>
    </row>
    <row r="198" spans="1:76" x14ac:dyDescent="0.3">
      <c r="A198" t="s">
        <v>43</v>
      </c>
      <c r="B198" t="s">
        <v>59</v>
      </c>
      <c r="C198" t="s">
        <v>20</v>
      </c>
      <c r="D198" t="s">
        <v>12</v>
      </c>
      <c r="E198" t="s">
        <v>900</v>
      </c>
      <c r="F198" t="b">
        <v>1</v>
      </c>
      <c r="G198">
        <v>23.2</v>
      </c>
      <c r="H198">
        <v>0</v>
      </c>
      <c r="I198">
        <v>28131</v>
      </c>
      <c r="J198" s="61" t="s">
        <v>13</v>
      </c>
      <c r="K198" s="16" t="s">
        <v>272</v>
      </c>
      <c r="L198" s="16">
        <v>3</v>
      </c>
      <c r="M198" s="16" t="s">
        <v>277</v>
      </c>
      <c r="N198" s="16" t="s">
        <v>335</v>
      </c>
      <c r="O198" s="15" t="s">
        <v>282</v>
      </c>
      <c r="P198" t="s">
        <v>371</v>
      </c>
      <c r="Q198" t="s">
        <v>371</v>
      </c>
      <c r="R198" s="17" t="s">
        <v>371</v>
      </c>
      <c r="S198" s="17">
        <v>0</v>
      </c>
      <c r="T198" s="17">
        <v>1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 t="s">
        <v>704</v>
      </c>
      <c r="AD198" s="16" t="s">
        <v>341</v>
      </c>
      <c r="AE198" s="16" t="s">
        <v>340</v>
      </c>
      <c r="AF198" s="15" t="s">
        <v>343</v>
      </c>
      <c r="AG198" s="15" t="s">
        <v>377</v>
      </c>
      <c r="AH198" s="17" t="s">
        <v>371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704</v>
      </c>
      <c r="AR198" t="s">
        <v>349</v>
      </c>
      <c r="AS198" t="s">
        <v>349</v>
      </c>
      <c r="AT198">
        <v>1</v>
      </c>
      <c r="AU198">
        <v>0</v>
      </c>
      <c r="AV198">
        <v>0</v>
      </c>
      <c r="AW198" t="s">
        <v>704</v>
      </c>
      <c r="AX198" t="s">
        <v>1269</v>
      </c>
      <c r="AY198" t="s">
        <v>293</v>
      </c>
      <c r="AZ198" t="s">
        <v>353</v>
      </c>
      <c r="BA198" t="s">
        <v>296</v>
      </c>
      <c r="BB198" t="s">
        <v>301</v>
      </c>
      <c r="BC198" t="s">
        <v>293</v>
      </c>
      <c r="BD198" t="s">
        <v>292</v>
      </c>
      <c r="BE198" t="s">
        <v>293</v>
      </c>
      <c r="BF198" t="s">
        <v>292</v>
      </c>
      <c r="BG198" t="s">
        <v>293</v>
      </c>
      <c r="BH198" t="s">
        <v>302</v>
      </c>
      <c r="BI198" t="s">
        <v>302</v>
      </c>
      <c r="BJ198" t="s">
        <v>359</v>
      </c>
      <c r="BK198" t="s">
        <v>293</v>
      </c>
      <c r="BL198" t="s">
        <v>293</v>
      </c>
      <c r="BM198" t="s">
        <v>296</v>
      </c>
      <c r="BN198" t="s">
        <v>356</v>
      </c>
      <c r="BO198" t="s">
        <v>293</v>
      </c>
      <c r="BP198" t="s">
        <v>292</v>
      </c>
      <c r="BQ198" t="s">
        <v>293</v>
      </c>
      <c r="BR198" t="s">
        <v>293</v>
      </c>
      <c r="BS198" t="s">
        <v>364</v>
      </c>
      <c r="BT198" t="s">
        <v>366</v>
      </c>
      <c r="BU198" t="s">
        <v>371</v>
      </c>
      <c r="BV198" t="s">
        <v>371</v>
      </c>
      <c r="BW198" t="s">
        <v>2641</v>
      </c>
      <c r="BX198" t="str">
        <f>IF(J198="win",VLOOKUP(B198,ColorScheme!$A$2:$I$32,4,0),VLOOKUP(B198,ColorScheme!$A$2:$I$32,5,0))</f>
        <v>#929591</v>
      </c>
    </row>
    <row r="199" spans="1:76" x14ac:dyDescent="0.3">
      <c r="A199" t="s">
        <v>43</v>
      </c>
      <c r="B199" t="s">
        <v>59</v>
      </c>
      <c r="C199" t="s">
        <v>22</v>
      </c>
      <c r="D199" t="s">
        <v>12</v>
      </c>
      <c r="E199" t="s">
        <v>901</v>
      </c>
      <c r="F199" t="b">
        <v>1</v>
      </c>
      <c r="G199">
        <v>76.5</v>
      </c>
      <c r="H199">
        <v>0</v>
      </c>
      <c r="I199">
        <v>10444</v>
      </c>
      <c r="J199" s="61" t="s">
        <v>13</v>
      </c>
      <c r="K199" s="16" t="s">
        <v>273</v>
      </c>
      <c r="L199" s="16">
        <v>2</v>
      </c>
      <c r="M199" s="16" t="s">
        <v>333</v>
      </c>
      <c r="N199" s="16" t="s">
        <v>278</v>
      </c>
      <c r="O199" s="15" t="s">
        <v>282</v>
      </c>
      <c r="P199" t="s">
        <v>371</v>
      </c>
      <c r="Q199" t="s">
        <v>371</v>
      </c>
      <c r="R199" s="17" t="s">
        <v>371</v>
      </c>
      <c r="S199" s="17">
        <v>0</v>
      </c>
      <c r="T199" s="17">
        <v>1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 t="s">
        <v>704</v>
      </c>
      <c r="AD199" s="16" t="s">
        <v>340</v>
      </c>
      <c r="AE199" s="16" t="s">
        <v>342</v>
      </c>
      <c r="AF199" s="15" t="s">
        <v>343</v>
      </c>
      <c r="AG199" s="15" t="s">
        <v>344</v>
      </c>
      <c r="AH199" s="17" t="s">
        <v>371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704</v>
      </c>
      <c r="AR199" t="s">
        <v>349</v>
      </c>
      <c r="AS199" t="s">
        <v>349</v>
      </c>
      <c r="AT199">
        <v>1</v>
      </c>
      <c r="AU199">
        <v>0</v>
      </c>
      <c r="AV199">
        <v>0</v>
      </c>
      <c r="AW199" t="s">
        <v>704</v>
      </c>
      <c r="AX199" t="s">
        <v>1208</v>
      </c>
      <c r="AY199" t="s">
        <v>293</v>
      </c>
      <c r="AZ199" t="s">
        <v>353</v>
      </c>
      <c r="BA199" t="s">
        <v>355</v>
      </c>
      <c r="BB199" t="s">
        <v>300</v>
      </c>
      <c r="BC199" t="s">
        <v>292</v>
      </c>
      <c r="BD199" t="s">
        <v>293</v>
      </c>
      <c r="BE199" t="s">
        <v>292</v>
      </c>
      <c r="BF199" t="s">
        <v>292</v>
      </c>
      <c r="BG199" t="s">
        <v>293</v>
      </c>
      <c r="BH199" t="s">
        <v>302</v>
      </c>
      <c r="BI199" t="s">
        <v>357</v>
      </c>
      <c r="BJ199" t="s">
        <v>359</v>
      </c>
      <c r="BK199" t="s">
        <v>293</v>
      </c>
      <c r="BL199" t="s">
        <v>293</v>
      </c>
      <c r="BM199" t="s">
        <v>297</v>
      </c>
      <c r="BN199" t="s">
        <v>298</v>
      </c>
      <c r="BO199" t="s">
        <v>293</v>
      </c>
      <c r="BP199" t="s">
        <v>292</v>
      </c>
      <c r="BQ199" t="s">
        <v>293</v>
      </c>
      <c r="BR199" t="s">
        <v>293</v>
      </c>
      <c r="BS199" t="s">
        <v>364</v>
      </c>
      <c r="BT199" t="s">
        <v>366</v>
      </c>
      <c r="BU199" t="s">
        <v>371</v>
      </c>
      <c r="BV199" t="s">
        <v>371</v>
      </c>
      <c r="BW199" t="s">
        <v>2642</v>
      </c>
      <c r="BX199" t="str">
        <f>IF(J199="win",VLOOKUP(B199,ColorScheme!$A$2:$I$32,4,0),VLOOKUP(B199,ColorScheme!$A$2:$I$32,5,0))</f>
        <v>#929591</v>
      </c>
    </row>
    <row r="200" spans="1:76" x14ac:dyDescent="0.3">
      <c r="A200" t="s">
        <v>43</v>
      </c>
      <c r="B200" t="s">
        <v>59</v>
      </c>
      <c r="C200" t="s">
        <v>39</v>
      </c>
      <c r="D200" t="s">
        <v>29</v>
      </c>
      <c r="E200" t="s">
        <v>902</v>
      </c>
      <c r="F200" t="b">
        <v>1</v>
      </c>
      <c r="G200">
        <v>57.1</v>
      </c>
      <c r="H200">
        <v>0</v>
      </c>
      <c r="I200">
        <v>22433</v>
      </c>
      <c r="J200" s="61" t="s">
        <v>13</v>
      </c>
      <c r="K200" s="16" t="s">
        <v>273</v>
      </c>
      <c r="L200" s="16">
        <v>2</v>
      </c>
      <c r="M200" s="16" t="s">
        <v>333</v>
      </c>
      <c r="N200" s="16" t="s">
        <v>278</v>
      </c>
      <c r="O200" s="15" t="s">
        <v>283</v>
      </c>
      <c r="P200" t="s">
        <v>371</v>
      </c>
      <c r="Q200" t="s">
        <v>371</v>
      </c>
      <c r="R200" s="17" t="s">
        <v>371</v>
      </c>
      <c r="S200" s="17">
        <v>0</v>
      </c>
      <c r="T200" s="17">
        <v>0</v>
      </c>
      <c r="U200" s="17">
        <v>1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 t="s">
        <v>704</v>
      </c>
      <c r="AD200" s="16" t="s">
        <v>341</v>
      </c>
      <c r="AE200" s="16" t="s">
        <v>342</v>
      </c>
      <c r="AF200" s="15" t="s">
        <v>343</v>
      </c>
      <c r="AG200" s="15" t="s">
        <v>344</v>
      </c>
      <c r="AH200" s="17" t="s">
        <v>347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 t="s">
        <v>704</v>
      </c>
      <c r="AR200" t="s">
        <v>349</v>
      </c>
      <c r="AS200" t="s">
        <v>349</v>
      </c>
      <c r="AT200">
        <v>1</v>
      </c>
      <c r="AU200">
        <v>0</v>
      </c>
      <c r="AV200">
        <v>0</v>
      </c>
      <c r="AW200" t="s">
        <v>704</v>
      </c>
      <c r="AX200" t="s">
        <v>1249</v>
      </c>
      <c r="AY200" t="s">
        <v>293</v>
      </c>
      <c r="AZ200" t="s">
        <v>353</v>
      </c>
      <c r="BA200" t="s">
        <v>296</v>
      </c>
      <c r="BB200" t="s">
        <v>301</v>
      </c>
      <c r="BC200" t="s">
        <v>292</v>
      </c>
      <c r="BD200" t="s">
        <v>292</v>
      </c>
      <c r="BE200" t="s">
        <v>292</v>
      </c>
      <c r="BF200" t="s">
        <v>292</v>
      </c>
      <c r="BG200" t="s">
        <v>293</v>
      </c>
      <c r="BH200" t="s">
        <v>302</v>
      </c>
      <c r="BI200" t="s">
        <v>357</v>
      </c>
      <c r="BJ200" t="s">
        <v>359</v>
      </c>
      <c r="BK200" t="s">
        <v>293</v>
      </c>
      <c r="BL200" t="s">
        <v>293</v>
      </c>
      <c r="BM200" t="s">
        <v>296</v>
      </c>
      <c r="BN200" t="s">
        <v>298</v>
      </c>
      <c r="BO200" t="s">
        <v>293</v>
      </c>
      <c r="BP200" t="s">
        <v>292</v>
      </c>
      <c r="BQ200" t="s">
        <v>293</v>
      </c>
      <c r="BR200" t="s">
        <v>293</v>
      </c>
      <c r="BS200" t="s">
        <v>364</v>
      </c>
      <c r="BT200" t="s">
        <v>366</v>
      </c>
      <c r="BU200" t="s">
        <v>371</v>
      </c>
      <c r="BV200" t="s">
        <v>371</v>
      </c>
      <c r="BW200" t="s">
        <v>2643</v>
      </c>
      <c r="BX200" t="str">
        <f>IF(J200="win",VLOOKUP(B200,ColorScheme!$A$2:$I$32,4,0),VLOOKUP(B200,ColorScheme!$A$2:$I$32,5,0))</f>
        <v>#929591</v>
      </c>
    </row>
    <row r="201" spans="1:76" x14ac:dyDescent="0.3">
      <c r="A201" t="s">
        <v>43</v>
      </c>
      <c r="B201" t="s">
        <v>59</v>
      </c>
      <c r="C201" t="s">
        <v>37</v>
      </c>
      <c r="D201" t="s">
        <v>29</v>
      </c>
      <c r="E201" t="s">
        <v>903</v>
      </c>
      <c r="F201" t="b">
        <v>1</v>
      </c>
      <c r="G201">
        <v>92.6</v>
      </c>
      <c r="H201">
        <v>0</v>
      </c>
      <c r="I201">
        <v>22874</v>
      </c>
      <c r="J201" s="61" t="s">
        <v>13</v>
      </c>
      <c r="K201" s="16" t="s">
        <v>273</v>
      </c>
      <c r="L201" s="16">
        <v>2</v>
      </c>
      <c r="M201" s="16" t="s">
        <v>333</v>
      </c>
      <c r="N201" s="16" t="s">
        <v>278</v>
      </c>
      <c r="O201" s="15" t="s">
        <v>283</v>
      </c>
      <c r="P201" t="s">
        <v>371</v>
      </c>
      <c r="Q201" t="s">
        <v>371</v>
      </c>
      <c r="R201" s="17" t="s">
        <v>371</v>
      </c>
      <c r="S201" s="17">
        <v>0</v>
      </c>
      <c r="T201" s="17">
        <v>0</v>
      </c>
      <c r="U201" s="17">
        <v>1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 t="s">
        <v>704</v>
      </c>
      <c r="AD201" s="16" t="s">
        <v>341</v>
      </c>
      <c r="AE201" s="16" t="s">
        <v>342</v>
      </c>
      <c r="AF201" s="15" t="s">
        <v>343</v>
      </c>
      <c r="AG201" s="15" t="s">
        <v>344</v>
      </c>
      <c r="AH201" s="17" t="s">
        <v>347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 t="s">
        <v>704</v>
      </c>
      <c r="AR201" t="s">
        <v>349</v>
      </c>
      <c r="AS201" t="s">
        <v>349</v>
      </c>
      <c r="AT201">
        <v>1</v>
      </c>
      <c r="AU201">
        <v>0</v>
      </c>
      <c r="AV201">
        <v>0</v>
      </c>
      <c r="AW201" t="s">
        <v>704</v>
      </c>
      <c r="AX201" t="s">
        <v>1249</v>
      </c>
      <c r="AY201" t="s">
        <v>293</v>
      </c>
      <c r="AZ201" t="s">
        <v>353</v>
      </c>
      <c r="BA201" t="s">
        <v>296</v>
      </c>
      <c r="BB201" t="s">
        <v>301</v>
      </c>
      <c r="BC201" t="s">
        <v>292</v>
      </c>
      <c r="BD201" t="s">
        <v>292</v>
      </c>
      <c r="BE201" t="s">
        <v>292</v>
      </c>
      <c r="BF201" t="s">
        <v>292</v>
      </c>
      <c r="BG201" t="s">
        <v>293</v>
      </c>
      <c r="BH201" t="s">
        <v>302</v>
      </c>
      <c r="BI201" t="s">
        <v>357</v>
      </c>
      <c r="BJ201" t="s">
        <v>359</v>
      </c>
      <c r="BK201" t="s">
        <v>293</v>
      </c>
      <c r="BL201" t="s">
        <v>293</v>
      </c>
      <c r="BM201" t="s">
        <v>296</v>
      </c>
      <c r="BN201" t="s">
        <v>298</v>
      </c>
      <c r="BO201" t="s">
        <v>293</v>
      </c>
      <c r="BP201" t="s">
        <v>292</v>
      </c>
      <c r="BQ201" t="s">
        <v>293</v>
      </c>
      <c r="BR201" t="s">
        <v>293</v>
      </c>
      <c r="BS201" t="s">
        <v>364</v>
      </c>
      <c r="BT201" t="s">
        <v>366</v>
      </c>
      <c r="BU201" t="s">
        <v>371</v>
      </c>
      <c r="BV201" t="s">
        <v>371</v>
      </c>
      <c r="BW201" t="s">
        <v>2644</v>
      </c>
      <c r="BX201" t="str">
        <f>IF(J201="win",VLOOKUP(B201,ColorScheme!$A$2:$I$32,4,0),VLOOKUP(B201,ColorScheme!$A$2:$I$32,5,0))</f>
        <v>#929591</v>
      </c>
    </row>
    <row r="202" spans="1:76" x14ac:dyDescent="0.3">
      <c r="A202" t="s">
        <v>43</v>
      </c>
      <c r="B202" t="s">
        <v>59</v>
      </c>
      <c r="C202" t="s">
        <v>32</v>
      </c>
      <c r="D202" t="s">
        <v>29</v>
      </c>
      <c r="E202" t="s">
        <v>904</v>
      </c>
      <c r="F202" t="b">
        <v>1</v>
      </c>
      <c r="G202">
        <v>100</v>
      </c>
      <c r="H202">
        <v>1</v>
      </c>
      <c r="I202">
        <v>19303</v>
      </c>
      <c r="J202" s="61" t="s">
        <v>18</v>
      </c>
      <c r="K202" s="16" t="s">
        <v>273</v>
      </c>
      <c r="L202" s="16">
        <v>2</v>
      </c>
      <c r="M202" s="16" t="s">
        <v>333</v>
      </c>
      <c r="N202" s="16" t="s">
        <v>278</v>
      </c>
      <c r="O202" s="15" t="s">
        <v>282</v>
      </c>
      <c r="P202" t="s">
        <v>371</v>
      </c>
      <c r="Q202" t="s">
        <v>371</v>
      </c>
      <c r="R202" s="17" t="s">
        <v>371</v>
      </c>
      <c r="S202" s="17">
        <v>0</v>
      </c>
      <c r="T202" s="17">
        <v>1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 t="s">
        <v>704</v>
      </c>
      <c r="AD202" s="16" t="s">
        <v>341</v>
      </c>
      <c r="AE202" s="16" t="s">
        <v>342</v>
      </c>
      <c r="AF202" s="15" t="s">
        <v>343</v>
      </c>
      <c r="AG202" s="15" t="s">
        <v>344</v>
      </c>
      <c r="AH202" s="17" t="s">
        <v>371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704</v>
      </c>
      <c r="AR202" t="s">
        <v>349</v>
      </c>
      <c r="AS202" t="s">
        <v>349</v>
      </c>
      <c r="AT202">
        <v>1</v>
      </c>
      <c r="AU202">
        <v>0</v>
      </c>
      <c r="AV202">
        <v>0</v>
      </c>
      <c r="AW202" t="s">
        <v>704</v>
      </c>
      <c r="AX202" t="s">
        <v>1208</v>
      </c>
      <c r="AY202" t="s">
        <v>293</v>
      </c>
      <c r="AZ202" t="s">
        <v>352</v>
      </c>
      <c r="BA202" t="s">
        <v>296</v>
      </c>
      <c r="BB202" t="s">
        <v>301</v>
      </c>
      <c r="BC202" t="s">
        <v>292</v>
      </c>
      <c r="BD202" t="s">
        <v>292</v>
      </c>
      <c r="BE202" t="s">
        <v>292</v>
      </c>
      <c r="BF202" t="s">
        <v>292</v>
      </c>
      <c r="BG202" t="s">
        <v>293</v>
      </c>
      <c r="BH202" t="s">
        <v>302</v>
      </c>
      <c r="BI202" t="s">
        <v>357</v>
      </c>
      <c r="BJ202" t="s">
        <v>359</v>
      </c>
      <c r="BK202" t="s">
        <v>293</v>
      </c>
      <c r="BL202" t="s">
        <v>293</v>
      </c>
      <c r="BM202" t="s">
        <v>297</v>
      </c>
      <c r="BN202" t="s">
        <v>298</v>
      </c>
      <c r="BO202" t="s">
        <v>293</v>
      </c>
      <c r="BP202" t="s">
        <v>292</v>
      </c>
      <c r="BQ202" t="s">
        <v>293</v>
      </c>
      <c r="BR202" t="s">
        <v>293</v>
      </c>
      <c r="BS202" t="s">
        <v>364</v>
      </c>
      <c r="BT202" t="s">
        <v>304</v>
      </c>
      <c r="BU202" t="s">
        <v>371</v>
      </c>
      <c r="BV202" t="s">
        <v>371</v>
      </c>
      <c r="BW202" t="s">
        <v>2645</v>
      </c>
      <c r="BX202" t="str">
        <f>IF(J202="win",VLOOKUP(B202,ColorScheme!$A$2:$I$32,4,0),VLOOKUP(B202,ColorScheme!$A$2:$I$32,5,0))</f>
        <v>#92959150</v>
      </c>
    </row>
    <row r="203" spans="1:76" x14ac:dyDescent="0.3">
      <c r="A203" t="s">
        <v>43</v>
      </c>
      <c r="B203" t="s">
        <v>59</v>
      </c>
      <c r="C203" t="s">
        <v>30</v>
      </c>
      <c r="D203" t="s">
        <v>29</v>
      </c>
      <c r="E203" t="s">
        <v>905</v>
      </c>
      <c r="F203" t="b">
        <v>1</v>
      </c>
      <c r="G203">
        <v>100</v>
      </c>
      <c r="H203">
        <v>1</v>
      </c>
      <c r="I203">
        <v>18169</v>
      </c>
      <c r="J203" s="61" t="s">
        <v>18</v>
      </c>
      <c r="K203" s="16" t="s">
        <v>273</v>
      </c>
      <c r="L203" s="16">
        <v>2</v>
      </c>
      <c r="M203" s="16" t="s">
        <v>333</v>
      </c>
      <c r="N203" s="16" t="s">
        <v>278</v>
      </c>
      <c r="O203" s="15" t="s">
        <v>282</v>
      </c>
      <c r="P203" t="s">
        <v>371</v>
      </c>
      <c r="Q203" t="s">
        <v>371</v>
      </c>
      <c r="R203" s="17" t="s">
        <v>371</v>
      </c>
      <c r="S203" s="17">
        <v>0</v>
      </c>
      <c r="T203" s="17">
        <v>1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 t="s">
        <v>704</v>
      </c>
      <c r="AD203" s="16" t="s">
        <v>341</v>
      </c>
      <c r="AE203" s="16" t="s">
        <v>342</v>
      </c>
      <c r="AF203" s="15" t="s">
        <v>343</v>
      </c>
      <c r="AG203" s="15" t="s">
        <v>344</v>
      </c>
      <c r="AH203" s="17" t="s">
        <v>371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704</v>
      </c>
      <c r="AR203" t="s">
        <v>349</v>
      </c>
      <c r="AS203" t="s">
        <v>349</v>
      </c>
      <c r="AT203">
        <v>1</v>
      </c>
      <c r="AU203">
        <v>0</v>
      </c>
      <c r="AV203">
        <v>0</v>
      </c>
      <c r="AW203" t="s">
        <v>704</v>
      </c>
      <c r="AX203" t="s">
        <v>1208</v>
      </c>
      <c r="AY203" t="s">
        <v>293</v>
      </c>
      <c r="AZ203" t="s">
        <v>352</v>
      </c>
      <c r="BA203" t="s">
        <v>296</v>
      </c>
      <c r="BB203" t="s">
        <v>301</v>
      </c>
      <c r="BC203" t="s">
        <v>292</v>
      </c>
      <c r="BD203" t="s">
        <v>293</v>
      </c>
      <c r="BE203" t="s">
        <v>292</v>
      </c>
      <c r="BF203" t="s">
        <v>292</v>
      </c>
      <c r="BG203" t="s">
        <v>293</v>
      </c>
      <c r="BH203" t="s">
        <v>302</v>
      </c>
      <c r="BI203" t="s">
        <v>357</v>
      </c>
      <c r="BJ203" t="s">
        <v>359</v>
      </c>
      <c r="BK203" t="s">
        <v>293</v>
      </c>
      <c r="BL203" t="s">
        <v>293</v>
      </c>
      <c r="BM203" t="s">
        <v>297</v>
      </c>
      <c r="BN203" t="s">
        <v>298</v>
      </c>
      <c r="BO203" t="s">
        <v>293</v>
      </c>
      <c r="BP203" t="s">
        <v>292</v>
      </c>
      <c r="BQ203" t="s">
        <v>293</v>
      </c>
      <c r="BR203" t="s">
        <v>293</v>
      </c>
      <c r="BS203" t="s">
        <v>364</v>
      </c>
      <c r="BT203" t="s">
        <v>304</v>
      </c>
      <c r="BU203" t="s">
        <v>371</v>
      </c>
      <c r="BV203" t="s">
        <v>371</v>
      </c>
      <c r="BW203" t="s">
        <v>2646</v>
      </c>
      <c r="BX203" t="str">
        <f>IF(J203="win",VLOOKUP(B203,ColorScheme!$A$2:$I$32,4,0),VLOOKUP(B203,ColorScheme!$A$2:$I$32,5,0))</f>
        <v>#92959150</v>
      </c>
    </row>
    <row r="204" spans="1:76" x14ac:dyDescent="0.3">
      <c r="A204" t="s">
        <v>43</v>
      </c>
      <c r="B204" t="s">
        <v>59</v>
      </c>
      <c r="C204" t="s">
        <v>40</v>
      </c>
      <c r="D204" t="s">
        <v>29</v>
      </c>
      <c r="E204" t="s">
        <v>906</v>
      </c>
      <c r="F204" t="b">
        <v>1</v>
      </c>
      <c r="G204">
        <v>100</v>
      </c>
      <c r="H204">
        <v>1</v>
      </c>
      <c r="I204">
        <v>16706</v>
      </c>
      <c r="J204" s="61" t="s">
        <v>18</v>
      </c>
      <c r="K204" s="16" t="s">
        <v>273</v>
      </c>
      <c r="L204" s="16">
        <v>2</v>
      </c>
      <c r="M204" s="16" t="s">
        <v>333</v>
      </c>
      <c r="N204" s="16" t="s">
        <v>278</v>
      </c>
      <c r="O204" s="15" t="s">
        <v>283</v>
      </c>
      <c r="P204" t="s">
        <v>371</v>
      </c>
      <c r="Q204" t="s">
        <v>371</v>
      </c>
      <c r="R204" s="17" t="s">
        <v>371</v>
      </c>
      <c r="S204" s="17">
        <v>0</v>
      </c>
      <c r="T204" s="17">
        <v>0</v>
      </c>
      <c r="U204" s="17">
        <v>1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 t="s">
        <v>704</v>
      </c>
      <c r="AD204" s="16" t="s">
        <v>340</v>
      </c>
      <c r="AE204" s="16" t="s">
        <v>342</v>
      </c>
      <c r="AF204" s="15" t="s">
        <v>343</v>
      </c>
      <c r="AG204" s="15" t="s">
        <v>347</v>
      </c>
      <c r="AH204" s="17" t="s">
        <v>371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 t="s">
        <v>704</v>
      </c>
      <c r="AR204" t="s">
        <v>349</v>
      </c>
      <c r="AS204" t="s">
        <v>349</v>
      </c>
      <c r="AT204">
        <v>1</v>
      </c>
      <c r="AU204">
        <v>0</v>
      </c>
      <c r="AV204">
        <v>0</v>
      </c>
      <c r="AW204" t="s">
        <v>704</v>
      </c>
      <c r="AX204" t="s">
        <v>1270</v>
      </c>
      <c r="AY204" t="s">
        <v>293</v>
      </c>
      <c r="AZ204" t="s">
        <v>353</v>
      </c>
      <c r="BA204" t="s">
        <v>296</v>
      </c>
      <c r="BB204" t="s">
        <v>300</v>
      </c>
      <c r="BC204" t="s">
        <v>292</v>
      </c>
      <c r="BD204" t="s">
        <v>293</v>
      </c>
      <c r="BE204" t="s">
        <v>292</v>
      </c>
      <c r="BF204" t="s">
        <v>292</v>
      </c>
      <c r="BG204" t="s">
        <v>293</v>
      </c>
      <c r="BH204" t="s">
        <v>302</v>
      </c>
      <c r="BI204" t="s">
        <v>357</v>
      </c>
      <c r="BJ204" t="s">
        <v>359</v>
      </c>
      <c r="BK204" t="s">
        <v>293</v>
      </c>
      <c r="BL204" t="s">
        <v>293</v>
      </c>
      <c r="BM204" t="s">
        <v>296</v>
      </c>
      <c r="BN204" t="s">
        <v>298</v>
      </c>
      <c r="BO204" t="s">
        <v>293</v>
      </c>
      <c r="BP204" t="s">
        <v>292</v>
      </c>
      <c r="BQ204" t="s">
        <v>293</v>
      </c>
      <c r="BR204" t="s">
        <v>293</v>
      </c>
      <c r="BS204" t="s">
        <v>364</v>
      </c>
      <c r="BT204" t="s">
        <v>304</v>
      </c>
      <c r="BU204" t="s">
        <v>371</v>
      </c>
      <c r="BV204" t="s">
        <v>371</v>
      </c>
      <c r="BW204" t="s">
        <v>2647</v>
      </c>
      <c r="BX204" t="str">
        <f>IF(J204="win",VLOOKUP(B204,ColorScheme!$A$2:$I$32,4,0),VLOOKUP(B204,ColorScheme!$A$2:$I$32,5,0))</f>
        <v>#92959150</v>
      </c>
    </row>
    <row r="205" spans="1:76" x14ac:dyDescent="0.3">
      <c r="A205" t="s">
        <v>43</v>
      </c>
      <c r="B205" t="s">
        <v>59</v>
      </c>
      <c r="C205" t="s">
        <v>38</v>
      </c>
      <c r="D205" t="s">
        <v>29</v>
      </c>
      <c r="E205" t="s">
        <v>907</v>
      </c>
      <c r="F205" t="b">
        <v>1</v>
      </c>
      <c r="G205">
        <v>51.3</v>
      </c>
      <c r="H205">
        <v>0</v>
      </c>
      <c r="I205">
        <v>24311</v>
      </c>
      <c r="J205" s="61" t="s">
        <v>13</v>
      </c>
      <c r="K205" s="16" t="s">
        <v>273</v>
      </c>
      <c r="L205" s="16">
        <v>2</v>
      </c>
      <c r="M205" s="16" t="s">
        <v>333</v>
      </c>
      <c r="N205" s="16" t="s">
        <v>278</v>
      </c>
      <c r="O205" s="15" t="s">
        <v>283</v>
      </c>
      <c r="P205" t="s">
        <v>371</v>
      </c>
      <c r="Q205" t="s">
        <v>371</v>
      </c>
      <c r="R205" s="17" t="s">
        <v>371</v>
      </c>
      <c r="S205" s="17">
        <v>0</v>
      </c>
      <c r="T205" s="17">
        <v>0</v>
      </c>
      <c r="U205" s="17">
        <v>1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 t="s">
        <v>704</v>
      </c>
      <c r="AD205" s="16" t="s">
        <v>341</v>
      </c>
      <c r="AE205" s="16" t="s">
        <v>342</v>
      </c>
      <c r="AF205" s="15" t="s">
        <v>343</v>
      </c>
      <c r="AG205" s="15" t="s">
        <v>344</v>
      </c>
      <c r="AH205" s="17" t="s">
        <v>347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 t="s">
        <v>704</v>
      </c>
      <c r="AR205" t="s">
        <v>349</v>
      </c>
      <c r="AS205" t="s">
        <v>349</v>
      </c>
      <c r="AT205">
        <v>1</v>
      </c>
      <c r="AU205">
        <v>0</v>
      </c>
      <c r="AV205">
        <v>0</v>
      </c>
      <c r="AW205" t="s">
        <v>704</v>
      </c>
      <c r="AX205" t="s">
        <v>1249</v>
      </c>
      <c r="AY205" t="s">
        <v>293</v>
      </c>
      <c r="AZ205" t="s">
        <v>353</v>
      </c>
      <c r="BA205" t="s">
        <v>296</v>
      </c>
      <c r="BB205" t="s">
        <v>301</v>
      </c>
      <c r="BC205" t="s">
        <v>292</v>
      </c>
      <c r="BD205" t="s">
        <v>292</v>
      </c>
      <c r="BE205" t="s">
        <v>292</v>
      </c>
      <c r="BF205" t="s">
        <v>292</v>
      </c>
      <c r="BG205" t="s">
        <v>293</v>
      </c>
      <c r="BH205" t="s">
        <v>302</v>
      </c>
      <c r="BI205" t="s">
        <v>357</v>
      </c>
      <c r="BJ205" t="s">
        <v>359</v>
      </c>
      <c r="BK205" t="s">
        <v>293</v>
      </c>
      <c r="BL205" t="s">
        <v>293</v>
      </c>
      <c r="BM205" t="s">
        <v>296</v>
      </c>
      <c r="BN205" t="s">
        <v>298</v>
      </c>
      <c r="BO205" t="s">
        <v>293</v>
      </c>
      <c r="BP205" t="s">
        <v>292</v>
      </c>
      <c r="BQ205" t="s">
        <v>293</v>
      </c>
      <c r="BR205" t="s">
        <v>293</v>
      </c>
      <c r="BS205" t="s">
        <v>364</v>
      </c>
      <c r="BT205" t="s">
        <v>366</v>
      </c>
      <c r="BU205" t="s">
        <v>371</v>
      </c>
      <c r="BV205" t="s">
        <v>371</v>
      </c>
      <c r="BW205" t="s">
        <v>2648</v>
      </c>
      <c r="BX205" t="str">
        <f>IF(J205="win",VLOOKUP(B205,ColorScheme!$A$2:$I$32,4,0),VLOOKUP(B205,ColorScheme!$A$2:$I$32,5,0))</f>
        <v>#929591</v>
      </c>
    </row>
    <row r="206" spans="1:76" x14ac:dyDescent="0.3">
      <c r="A206" t="s">
        <v>43</v>
      </c>
      <c r="B206" t="s">
        <v>59</v>
      </c>
      <c r="C206" t="s">
        <v>34</v>
      </c>
      <c r="D206" t="s">
        <v>29</v>
      </c>
      <c r="E206" t="s">
        <v>908</v>
      </c>
      <c r="F206" t="b">
        <v>1</v>
      </c>
      <c r="G206">
        <v>100</v>
      </c>
      <c r="H206">
        <v>1</v>
      </c>
      <c r="I206">
        <v>25432</v>
      </c>
      <c r="J206" s="61" t="s">
        <v>18</v>
      </c>
      <c r="K206" s="16" t="s">
        <v>273</v>
      </c>
      <c r="L206" s="16">
        <v>2</v>
      </c>
      <c r="M206" s="16" t="s">
        <v>333</v>
      </c>
      <c r="N206" s="16" t="s">
        <v>278</v>
      </c>
      <c r="O206" s="15" t="s">
        <v>273</v>
      </c>
      <c r="P206" t="s">
        <v>371</v>
      </c>
      <c r="Q206" t="s">
        <v>371</v>
      </c>
      <c r="R206" s="17" t="s">
        <v>371</v>
      </c>
      <c r="S206" s="17">
        <v>0</v>
      </c>
      <c r="T206" s="17">
        <v>0</v>
      </c>
      <c r="U206" s="17">
        <v>0</v>
      </c>
      <c r="V206" s="17">
        <v>0</v>
      </c>
      <c r="W206" s="17">
        <v>1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 t="s">
        <v>704</v>
      </c>
      <c r="AD206" s="16" t="s">
        <v>340</v>
      </c>
      <c r="AE206" s="16" t="s">
        <v>342</v>
      </c>
      <c r="AF206" s="15" t="s">
        <v>343</v>
      </c>
      <c r="AG206" s="15" t="s">
        <v>347</v>
      </c>
      <c r="AH206" s="17" t="s">
        <v>371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 t="s">
        <v>704</v>
      </c>
      <c r="AR206" t="s">
        <v>349</v>
      </c>
      <c r="AS206" t="s">
        <v>349</v>
      </c>
      <c r="AT206">
        <v>1</v>
      </c>
      <c r="AU206">
        <v>0</v>
      </c>
      <c r="AV206">
        <v>0</v>
      </c>
      <c r="AW206" t="s">
        <v>704</v>
      </c>
      <c r="AX206" t="s">
        <v>1234</v>
      </c>
      <c r="AY206" t="s">
        <v>293</v>
      </c>
      <c r="AZ206" t="s">
        <v>353</v>
      </c>
      <c r="BA206" t="s">
        <v>296</v>
      </c>
      <c r="BB206" t="s">
        <v>301</v>
      </c>
      <c r="BC206" t="s">
        <v>292</v>
      </c>
      <c r="BD206" t="s">
        <v>293</v>
      </c>
      <c r="BE206" t="s">
        <v>293</v>
      </c>
      <c r="BF206" t="s">
        <v>292</v>
      </c>
      <c r="BG206" t="s">
        <v>293</v>
      </c>
      <c r="BH206" t="s">
        <v>302</v>
      </c>
      <c r="BI206" t="s">
        <v>357</v>
      </c>
      <c r="BJ206" t="s">
        <v>359</v>
      </c>
      <c r="BK206" t="s">
        <v>293</v>
      </c>
      <c r="BL206" t="s">
        <v>293</v>
      </c>
      <c r="BM206" t="s">
        <v>296</v>
      </c>
      <c r="BN206" t="s">
        <v>298</v>
      </c>
      <c r="BO206" t="s">
        <v>293</v>
      </c>
      <c r="BP206" t="s">
        <v>292</v>
      </c>
      <c r="BQ206" t="s">
        <v>293</v>
      </c>
      <c r="BR206" t="s">
        <v>293</v>
      </c>
      <c r="BS206" t="s">
        <v>364</v>
      </c>
      <c r="BT206" t="s">
        <v>304</v>
      </c>
      <c r="BU206" t="s">
        <v>371</v>
      </c>
      <c r="BV206" t="s">
        <v>371</v>
      </c>
      <c r="BW206" t="s">
        <v>2649</v>
      </c>
      <c r="BX206" t="str">
        <f>IF(J206="win",VLOOKUP(B206,ColorScheme!$A$2:$I$32,4,0),VLOOKUP(B206,ColorScheme!$A$2:$I$32,5,0))</f>
        <v>#92959150</v>
      </c>
    </row>
    <row r="207" spans="1:76" x14ac:dyDescent="0.3">
      <c r="A207" t="s">
        <v>43</v>
      </c>
      <c r="B207" t="s">
        <v>59</v>
      </c>
      <c r="C207" t="s">
        <v>36</v>
      </c>
      <c r="D207" t="s">
        <v>29</v>
      </c>
      <c r="E207" t="s">
        <v>909</v>
      </c>
      <c r="F207" t="b">
        <v>1</v>
      </c>
      <c r="G207">
        <v>96.3</v>
      </c>
      <c r="H207">
        <v>0</v>
      </c>
      <c r="I207">
        <v>21275</v>
      </c>
      <c r="J207" s="61" t="s">
        <v>13</v>
      </c>
      <c r="K207" s="16" t="s">
        <v>273</v>
      </c>
      <c r="L207" s="16">
        <v>2</v>
      </c>
      <c r="M207" s="16" t="s">
        <v>333</v>
      </c>
      <c r="N207" s="16" t="s">
        <v>278</v>
      </c>
      <c r="O207" s="15" t="s">
        <v>273</v>
      </c>
      <c r="P207" t="s">
        <v>371</v>
      </c>
      <c r="Q207" t="s">
        <v>371</v>
      </c>
      <c r="R207" s="17" t="s">
        <v>371</v>
      </c>
      <c r="S207" s="17">
        <v>0</v>
      </c>
      <c r="T207" s="17">
        <v>0</v>
      </c>
      <c r="U207" s="17">
        <v>0</v>
      </c>
      <c r="V207" s="17">
        <v>0</v>
      </c>
      <c r="W207" s="17">
        <v>1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 t="s">
        <v>704</v>
      </c>
      <c r="AD207" s="16" t="s">
        <v>340</v>
      </c>
      <c r="AE207" s="16" t="s">
        <v>342</v>
      </c>
      <c r="AF207" s="15" t="s">
        <v>343</v>
      </c>
      <c r="AG207" s="15" t="s">
        <v>347</v>
      </c>
      <c r="AH207" s="17" t="s">
        <v>371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 t="s">
        <v>704</v>
      </c>
      <c r="AR207" t="s">
        <v>349</v>
      </c>
      <c r="AS207" t="s">
        <v>349</v>
      </c>
      <c r="AT207">
        <v>1</v>
      </c>
      <c r="AU207">
        <v>0</v>
      </c>
      <c r="AV207">
        <v>0</v>
      </c>
      <c r="AW207" t="s">
        <v>704</v>
      </c>
      <c r="AX207" t="s">
        <v>1234</v>
      </c>
      <c r="AY207" t="s">
        <v>293</v>
      </c>
      <c r="AZ207" t="s">
        <v>353</v>
      </c>
      <c r="BA207" t="s">
        <v>296</v>
      </c>
      <c r="BB207" t="s">
        <v>301</v>
      </c>
      <c r="BC207" t="s">
        <v>292</v>
      </c>
      <c r="BD207" t="s">
        <v>292</v>
      </c>
      <c r="BE207" t="s">
        <v>292</v>
      </c>
      <c r="BF207" t="s">
        <v>292</v>
      </c>
      <c r="BG207" t="s">
        <v>293</v>
      </c>
      <c r="BH207" t="s">
        <v>302</v>
      </c>
      <c r="BI207" t="s">
        <v>357</v>
      </c>
      <c r="BJ207" t="s">
        <v>359</v>
      </c>
      <c r="BK207" t="s">
        <v>293</v>
      </c>
      <c r="BL207" t="s">
        <v>293</v>
      </c>
      <c r="BM207" t="s">
        <v>296</v>
      </c>
      <c r="BN207" t="s">
        <v>298</v>
      </c>
      <c r="BO207" t="s">
        <v>293</v>
      </c>
      <c r="BP207" t="s">
        <v>292</v>
      </c>
      <c r="BQ207" t="s">
        <v>293</v>
      </c>
      <c r="BR207" t="s">
        <v>293</v>
      </c>
      <c r="BS207" t="s">
        <v>364</v>
      </c>
      <c r="BT207" t="s">
        <v>366</v>
      </c>
      <c r="BU207" t="s">
        <v>371</v>
      </c>
      <c r="BV207" t="s">
        <v>371</v>
      </c>
      <c r="BW207" t="s">
        <v>2650</v>
      </c>
      <c r="BX207" t="str">
        <f>IF(J207="win",VLOOKUP(B207,ColorScheme!$A$2:$I$32,4,0),VLOOKUP(B207,ColorScheme!$A$2:$I$32,5,0))</f>
        <v>#929591</v>
      </c>
    </row>
    <row r="208" spans="1:76" x14ac:dyDescent="0.3">
      <c r="A208" t="s">
        <v>43</v>
      </c>
      <c r="B208" t="s">
        <v>59</v>
      </c>
      <c r="C208" t="s">
        <v>33</v>
      </c>
      <c r="D208" t="s">
        <v>29</v>
      </c>
      <c r="E208" t="s">
        <v>910</v>
      </c>
      <c r="F208" t="b">
        <v>1</v>
      </c>
      <c r="G208">
        <v>99.9</v>
      </c>
      <c r="H208">
        <v>0</v>
      </c>
      <c r="I208">
        <v>25007</v>
      </c>
      <c r="J208" s="61" t="s">
        <v>18</v>
      </c>
      <c r="K208" s="16" t="s">
        <v>273</v>
      </c>
      <c r="L208" s="16">
        <v>2</v>
      </c>
      <c r="M208" s="16" t="s">
        <v>333</v>
      </c>
      <c r="N208" s="16" t="s">
        <v>278</v>
      </c>
      <c r="O208" s="15" t="s">
        <v>282</v>
      </c>
      <c r="P208" t="s">
        <v>371</v>
      </c>
      <c r="Q208" t="s">
        <v>371</v>
      </c>
      <c r="R208" s="17" t="s">
        <v>371</v>
      </c>
      <c r="S208" s="17">
        <v>0</v>
      </c>
      <c r="T208" s="17">
        <v>1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 t="s">
        <v>704</v>
      </c>
      <c r="AD208" s="16" t="s">
        <v>340</v>
      </c>
      <c r="AE208" s="16" t="s">
        <v>342</v>
      </c>
      <c r="AF208" s="15" t="s">
        <v>343</v>
      </c>
      <c r="AG208" s="15" t="s">
        <v>347</v>
      </c>
      <c r="AH208" s="17" t="s">
        <v>371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 t="s">
        <v>704</v>
      </c>
      <c r="AR208" t="s">
        <v>349</v>
      </c>
      <c r="AS208" t="s">
        <v>349</v>
      </c>
      <c r="AT208">
        <v>1</v>
      </c>
      <c r="AU208">
        <v>0</v>
      </c>
      <c r="AV208">
        <v>0</v>
      </c>
      <c r="AW208" t="s">
        <v>704</v>
      </c>
      <c r="AX208" t="s">
        <v>1227</v>
      </c>
      <c r="AY208" t="s">
        <v>293</v>
      </c>
      <c r="AZ208" t="s">
        <v>353</v>
      </c>
      <c r="BA208" t="s">
        <v>296</v>
      </c>
      <c r="BB208" t="s">
        <v>301</v>
      </c>
      <c r="BC208" t="s">
        <v>292</v>
      </c>
      <c r="BD208" t="s">
        <v>293</v>
      </c>
      <c r="BE208" t="s">
        <v>293</v>
      </c>
      <c r="BF208" t="s">
        <v>292</v>
      </c>
      <c r="BG208" t="s">
        <v>293</v>
      </c>
      <c r="BH208" t="s">
        <v>302</v>
      </c>
      <c r="BI208" t="s">
        <v>357</v>
      </c>
      <c r="BJ208" t="s">
        <v>359</v>
      </c>
      <c r="BK208" t="s">
        <v>293</v>
      </c>
      <c r="BL208" t="s">
        <v>293</v>
      </c>
      <c r="BM208" t="s">
        <v>296</v>
      </c>
      <c r="BN208" t="s">
        <v>298</v>
      </c>
      <c r="BO208" t="s">
        <v>293</v>
      </c>
      <c r="BP208" t="s">
        <v>292</v>
      </c>
      <c r="BQ208" t="s">
        <v>293</v>
      </c>
      <c r="BR208" t="s">
        <v>293</v>
      </c>
      <c r="BS208" t="s">
        <v>364</v>
      </c>
      <c r="BT208" t="s">
        <v>367</v>
      </c>
      <c r="BU208" t="s">
        <v>371</v>
      </c>
      <c r="BV208" t="s">
        <v>371</v>
      </c>
      <c r="BW208" t="s">
        <v>2651</v>
      </c>
      <c r="BX208" t="str">
        <f>IF(J208="win",VLOOKUP(B208,ColorScheme!$A$2:$I$32,4,0),VLOOKUP(B208,ColorScheme!$A$2:$I$32,5,0))</f>
        <v>#92959150</v>
      </c>
    </row>
    <row r="209" spans="1:76" x14ac:dyDescent="0.3">
      <c r="A209" t="s">
        <v>43</v>
      </c>
      <c r="B209" t="s">
        <v>59</v>
      </c>
      <c r="C209" t="s">
        <v>26</v>
      </c>
      <c r="D209" t="s">
        <v>29</v>
      </c>
      <c r="E209" t="s">
        <v>911</v>
      </c>
      <c r="F209" t="b">
        <v>1</v>
      </c>
      <c r="G209">
        <v>100</v>
      </c>
      <c r="H209">
        <v>1</v>
      </c>
      <c r="I209">
        <v>9371</v>
      </c>
      <c r="J209" s="61" t="s">
        <v>18</v>
      </c>
      <c r="K209" s="16" t="s">
        <v>272</v>
      </c>
      <c r="L209" s="16">
        <v>2</v>
      </c>
      <c r="M209" s="16" t="s">
        <v>277</v>
      </c>
      <c r="N209" s="16" t="s">
        <v>335</v>
      </c>
      <c r="O209" s="15" t="s">
        <v>282</v>
      </c>
      <c r="P209" t="s">
        <v>371</v>
      </c>
      <c r="Q209" t="s">
        <v>371</v>
      </c>
      <c r="R209" s="17" t="s">
        <v>371</v>
      </c>
      <c r="S209" s="17">
        <v>0</v>
      </c>
      <c r="T209" s="17">
        <v>1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 t="s">
        <v>704</v>
      </c>
      <c r="AD209" s="16" t="s">
        <v>341</v>
      </c>
      <c r="AE209" s="16" t="s">
        <v>342</v>
      </c>
      <c r="AF209" s="15" t="s">
        <v>340</v>
      </c>
      <c r="AG209" s="15" t="s">
        <v>291</v>
      </c>
      <c r="AH209" s="17" t="s">
        <v>371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 t="s">
        <v>704</v>
      </c>
      <c r="AR209" t="s">
        <v>349</v>
      </c>
      <c r="AS209" t="s">
        <v>349</v>
      </c>
      <c r="AT209">
        <v>1</v>
      </c>
      <c r="AU209">
        <v>0</v>
      </c>
      <c r="AV209">
        <v>0</v>
      </c>
      <c r="AW209" t="s">
        <v>704</v>
      </c>
      <c r="AX209" t="s">
        <v>1222</v>
      </c>
      <c r="AY209" t="s">
        <v>293</v>
      </c>
      <c r="AZ209" t="s">
        <v>354</v>
      </c>
      <c r="BA209" t="s">
        <v>354</v>
      </c>
      <c r="BB209" t="s">
        <v>299</v>
      </c>
      <c r="BC209" t="s">
        <v>292</v>
      </c>
      <c r="BD209" t="s">
        <v>293</v>
      </c>
      <c r="BE209" t="s">
        <v>292</v>
      </c>
      <c r="BF209" t="s">
        <v>293</v>
      </c>
      <c r="BG209" t="s">
        <v>293</v>
      </c>
      <c r="BH209" t="s">
        <v>302</v>
      </c>
      <c r="BI209" t="s">
        <v>302</v>
      </c>
      <c r="BJ209" t="s">
        <v>357</v>
      </c>
      <c r="BK209" t="s">
        <v>293</v>
      </c>
      <c r="BL209" t="s">
        <v>293</v>
      </c>
      <c r="BM209" t="s">
        <v>297</v>
      </c>
      <c r="BN209" t="s">
        <v>298</v>
      </c>
      <c r="BO209" t="s">
        <v>293</v>
      </c>
      <c r="BP209" t="s">
        <v>292</v>
      </c>
      <c r="BQ209" t="s">
        <v>293</v>
      </c>
      <c r="BR209" t="s">
        <v>293</v>
      </c>
      <c r="BS209" t="s">
        <v>364</v>
      </c>
      <c r="BT209" t="s">
        <v>304</v>
      </c>
      <c r="BU209" t="s">
        <v>371</v>
      </c>
      <c r="BV209" t="s">
        <v>371</v>
      </c>
      <c r="BW209" t="s">
        <v>2652</v>
      </c>
      <c r="BX209" t="str">
        <f>IF(J209="win",VLOOKUP(B209,ColorScheme!$A$2:$I$32,4,0),VLOOKUP(B209,ColorScheme!$A$2:$I$32,5,0))</f>
        <v>#92959150</v>
      </c>
    </row>
    <row r="210" spans="1:76" x14ac:dyDescent="0.3">
      <c r="A210" t="s">
        <v>43</v>
      </c>
      <c r="B210" t="s">
        <v>59</v>
      </c>
      <c r="C210" t="s">
        <v>31</v>
      </c>
      <c r="D210" t="s">
        <v>29</v>
      </c>
      <c r="E210" t="s">
        <v>912</v>
      </c>
      <c r="F210" t="b">
        <v>1</v>
      </c>
      <c r="G210">
        <v>100</v>
      </c>
      <c r="H210">
        <v>1</v>
      </c>
      <c r="I210">
        <v>18736</v>
      </c>
      <c r="J210" s="61" t="s">
        <v>18</v>
      </c>
      <c r="K210" s="16" t="s">
        <v>273</v>
      </c>
      <c r="L210" s="16">
        <v>2</v>
      </c>
      <c r="M210" s="16" t="s">
        <v>333</v>
      </c>
      <c r="N210" s="16" t="s">
        <v>278</v>
      </c>
      <c r="O210" s="15" t="s">
        <v>282</v>
      </c>
      <c r="P210" t="s">
        <v>371</v>
      </c>
      <c r="Q210" t="s">
        <v>371</v>
      </c>
      <c r="R210" s="17" t="s">
        <v>371</v>
      </c>
      <c r="S210" s="17">
        <v>0</v>
      </c>
      <c r="T210" s="17">
        <v>1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 t="s">
        <v>704</v>
      </c>
      <c r="AD210" s="16" t="s">
        <v>341</v>
      </c>
      <c r="AE210" s="16" t="s">
        <v>342</v>
      </c>
      <c r="AF210" s="15" t="s">
        <v>343</v>
      </c>
      <c r="AG210" s="15" t="s">
        <v>344</v>
      </c>
      <c r="AH210" s="17" t="s">
        <v>371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704</v>
      </c>
      <c r="AR210" t="s">
        <v>349</v>
      </c>
      <c r="AS210" t="s">
        <v>349</v>
      </c>
      <c r="AT210">
        <v>1</v>
      </c>
      <c r="AU210">
        <v>0</v>
      </c>
      <c r="AV210">
        <v>0</v>
      </c>
      <c r="AW210" t="s">
        <v>704</v>
      </c>
      <c r="AX210" t="s">
        <v>1208</v>
      </c>
      <c r="AY210" t="s">
        <v>293</v>
      </c>
      <c r="AZ210" t="s">
        <v>352</v>
      </c>
      <c r="BA210" t="s">
        <v>296</v>
      </c>
      <c r="BB210" t="s">
        <v>301</v>
      </c>
      <c r="BC210" t="s">
        <v>292</v>
      </c>
      <c r="BD210" t="s">
        <v>292</v>
      </c>
      <c r="BE210" t="s">
        <v>292</v>
      </c>
      <c r="BF210" t="s">
        <v>292</v>
      </c>
      <c r="BG210" t="s">
        <v>293</v>
      </c>
      <c r="BH210" t="s">
        <v>302</v>
      </c>
      <c r="BI210" t="s">
        <v>357</v>
      </c>
      <c r="BJ210" t="s">
        <v>359</v>
      </c>
      <c r="BK210" t="s">
        <v>293</v>
      </c>
      <c r="BL210" t="s">
        <v>293</v>
      </c>
      <c r="BM210" t="s">
        <v>297</v>
      </c>
      <c r="BN210" t="s">
        <v>298</v>
      </c>
      <c r="BO210" t="s">
        <v>293</v>
      </c>
      <c r="BP210" t="s">
        <v>292</v>
      </c>
      <c r="BQ210" t="s">
        <v>293</v>
      </c>
      <c r="BR210" t="s">
        <v>293</v>
      </c>
      <c r="BS210" t="s">
        <v>364</v>
      </c>
      <c r="BT210" t="s">
        <v>304</v>
      </c>
      <c r="BU210" t="s">
        <v>371</v>
      </c>
      <c r="BV210" t="s">
        <v>371</v>
      </c>
      <c r="BW210" t="s">
        <v>2653</v>
      </c>
      <c r="BX210" t="str">
        <f>IF(J210="win",VLOOKUP(B210,ColorScheme!$A$2:$I$32,4,0),VLOOKUP(B210,ColorScheme!$A$2:$I$32,5,0))</f>
        <v>#92959150</v>
      </c>
    </row>
    <row r="211" spans="1:76" x14ac:dyDescent="0.3">
      <c r="A211" t="s">
        <v>43</v>
      </c>
      <c r="B211" t="s">
        <v>59</v>
      </c>
      <c r="C211" t="s">
        <v>27</v>
      </c>
      <c r="D211" t="s">
        <v>29</v>
      </c>
      <c r="E211" t="s">
        <v>913</v>
      </c>
      <c r="F211" t="b">
        <v>1</v>
      </c>
      <c r="G211">
        <v>100</v>
      </c>
      <c r="H211">
        <v>1</v>
      </c>
      <c r="I211">
        <v>10194</v>
      </c>
      <c r="J211" s="61" t="s">
        <v>18</v>
      </c>
      <c r="K211" s="16" t="s">
        <v>272</v>
      </c>
      <c r="L211" s="16">
        <v>2</v>
      </c>
      <c r="M211" s="16" t="s">
        <v>277</v>
      </c>
      <c r="N211" s="16" t="s">
        <v>335</v>
      </c>
      <c r="O211" s="15" t="s">
        <v>282</v>
      </c>
      <c r="P211" t="s">
        <v>371</v>
      </c>
      <c r="Q211" t="s">
        <v>371</v>
      </c>
      <c r="R211" s="17" t="s">
        <v>371</v>
      </c>
      <c r="S211" s="17">
        <v>0</v>
      </c>
      <c r="T211" s="17">
        <v>1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 t="s">
        <v>704</v>
      </c>
      <c r="AD211" s="16" t="s">
        <v>341</v>
      </c>
      <c r="AE211" s="16" t="s">
        <v>342</v>
      </c>
      <c r="AF211" s="15" t="s">
        <v>340</v>
      </c>
      <c r="AG211" s="15" t="s">
        <v>291</v>
      </c>
      <c r="AH211" s="17" t="s">
        <v>371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 t="s">
        <v>704</v>
      </c>
      <c r="AR211" t="s">
        <v>349</v>
      </c>
      <c r="AS211" t="s">
        <v>349</v>
      </c>
      <c r="AT211">
        <v>1</v>
      </c>
      <c r="AU211">
        <v>0</v>
      </c>
      <c r="AV211">
        <v>0</v>
      </c>
      <c r="AW211" t="s">
        <v>704</v>
      </c>
      <c r="AX211" t="s">
        <v>1222</v>
      </c>
      <c r="AY211" t="s">
        <v>293</v>
      </c>
      <c r="AZ211" t="s">
        <v>354</v>
      </c>
      <c r="BA211" t="s">
        <v>354</v>
      </c>
      <c r="BB211" t="s">
        <v>299</v>
      </c>
      <c r="BC211" t="s">
        <v>292</v>
      </c>
      <c r="BD211" t="s">
        <v>293</v>
      </c>
      <c r="BE211" t="s">
        <v>292</v>
      </c>
      <c r="BF211" t="s">
        <v>293</v>
      </c>
      <c r="BG211" t="s">
        <v>293</v>
      </c>
      <c r="BH211" t="s">
        <v>302</v>
      </c>
      <c r="BI211" t="s">
        <v>302</v>
      </c>
      <c r="BJ211" t="s">
        <v>357</v>
      </c>
      <c r="BK211" t="s">
        <v>293</v>
      </c>
      <c r="BL211" t="s">
        <v>293</v>
      </c>
      <c r="BM211" t="s">
        <v>297</v>
      </c>
      <c r="BN211" t="s">
        <v>298</v>
      </c>
      <c r="BO211" t="s">
        <v>293</v>
      </c>
      <c r="BP211" t="s">
        <v>292</v>
      </c>
      <c r="BQ211" t="s">
        <v>293</v>
      </c>
      <c r="BR211" t="s">
        <v>293</v>
      </c>
      <c r="BS211" t="s">
        <v>364</v>
      </c>
      <c r="BT211" t="s">
        <v>304</v>
      </c>
      <c r="BU211" t="s">
        <v>371</v>
      </c>
      <c r="BV211" t="s">
        <v>371</v>
      </c>
      <c r="BW211" t="s">
        <v>2654</v>
      </c>
      <c r="BX211" t="str">
        <f>IF(J211="win",VLOOKUP(B211,ColorScheme!$A$2:$I$32,4,0),VLOOKUP(B211,ColorScheme!$A$2:$I$32,5,0))</f>
        <v>#92959150</v>
      </c>
    </row>
    <row r="212" spans="1:76" x14ac:dyDescent="0.3">
      <c r="A212" t="s">
        <v>43</v>
      </c>
      <c r="B212" t="s">
        <v>59</v>
      </c>
      <c r="C212" t="s">
        <v>28</v>
      </c>
      <c r="D212" t="s">
        <v>29</v>
      </c>
      <c r="E212" t="s">
        <v>914</v>
      </c>
      <c r="F212" t="b">
        <v>1</v>
      </c>
      <c r="G212">
        <v>100</v>
      </c>
      <c r="H212">
        <v>1</v>
      </c>
      <c r="I212">
        <v>12403</v>
      </c>
      <c r="J212" s="61" t="s">
        <v>18</v>
      </c>
      <c r="K212" s="16" t="s">
        <v>272</v>
      </c>
      <c r="L212" s="16">
        <v>2</v>
      </c>
      <c r="M212" s="16" t="s">
        <v>277</v>
      </c>
      <c r="N212" s="16" t="s">
        <v>335</v>
      </c>
      <c r="O212" s="15" t="s">
        <v>282</v>
      </c>
      <c r="P212" t="s">
        <v>371</v>
      </c>
      <c r="Q212" t="s">
        <v>371</v>
      </c>
      <c r="R212" s="17" t="s">
        <v>371</v>
      </c>
      <c r="S212" s="17">
        <v>0</v>
      </c>
      <c r="T212" s="17">
        <v>1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 t="s">
        <v>704</v>
      </c>
      <c r="AD212" s="16" t="s">
        <v>341</v>
      </c>
      <c r="AE212" s="16" t="s">
        <v>342</v>
      </c>
      <c r="AF212" s="15" t="s">
        <v>340</v>
      </c>
      <c r="AG212" s="15" t="s">
        <v>291</v>
      </c>
      <c r="AH212" s="17" t="s">
        <v>344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 t="s">
        <v>704</v>
      </c>
      <c r="AR212" t="s">
        <v>349</v>
      </c>
      <c r="AS212" t="s">
        <v>349</v>
      </c>
      <c r="AT212">
        <v>1</v>
      </c>
      <c r="AU212">
        <v>0</v>
      </c>
      <c r="AV212">
        <v>0</v>
      </c>
      <c r="AW212" t="s">
        <v>704</v>
      </c>
      <c r="AX212" t="s">
        <v>1213</v>
      </c>
      <c r="AY212" t="s">
        <v>293</v>
      </c>
      <c r="AZ212" t="s">
        <v>354</v>
      </c>
      <c r="BA212" t="s">
        <v>354</v>
      </c>
      <c r="BB212" t="s">
        <v>299</v>
      </c>
      <c r="BC212" t="s">
        <v>292</v>
      </c>
      <c r="BD212" t="s">
        <v>292</v>
      </c>
      <c r="BE212" t="s">
        <v>292</v>
      </c>
      <c r="BF212" t="s">
        <v>293</v>
      </c>
      <c r="BG212" t="s">
        <v>293</v>
      </c>
      <c r="BH212" t="s">
        <v>302</v>
      </c>
      <c r="BI212" t="s">
        <v>302</v>
      </c>
      <c r="BJ212" t="s">
        <v>357</v>
      </c>
      <c r="BK212" t="s">
        <v>293</v>
      </c>
      <c r="BL212" t="s">
        <v>293</v>
      </c>
      <c r="BM212" t="s">
        <v>297</v>
      </c>
      <c r="BN212" t="s">
        <v>298</v>
      </c>
      <c r="BO212" t="s">
        <v>293</v>
      </c>
      <c r="BP212" t="s">
        <v>292</v>
      </c>
      <c r="BQ212" t="s">
        <v>293</v>
      </c>
      <c r="BR212" t="s">
        <v>293</v>
      </c>
      <c r="BS212" t="s">
        <v>364</v>
      </c>
      <c r="BT212" t="s">
        <v>304</v>
      </c>
      <c r="BU212" t="s">
        <v>371</v>
      </c>
      <c r="BV212" t="s">
        <v>371</v>
      </c>
      <c r="BW212" t="s">
        <v>2655</v>
      </c>
      <c r="BX212" t="str">
        <f>IF(J212="win",VLOOKUP(B212,ColorScheme!$A$2:$I$32,4,0),VLOOKUP(B212,ColorScheme!$A$2:$I$32,5,0))</f>
        <v>#92959150</v>
      </c>
    </row>
    <row r="213" spans="1:76" x14ac:dyDescent="0.3">
      <c r="A213" t="s">
        <v>43</v>
      </c>
      <c r="B213" t="s">
        <v>59</v>
      </c>
      <c r="C213" t="s">
        <v>35</v>
      </c>
      <c r="D213" t="s">
        <v>29</v>
      </c>
      <c r="E213" t="s">
        <v>915</v>
      </c>
      <c r="F213" t="b">
        <v>1</v>
      </c>
      <c r="G213">
        <v>100</v>
      </c>
      <c r="H213">
        <v>1</v>
      </c>
      <c r="I213">
        <v>20523</v>
      </c>
      <c r="J213" s="61" t="s">
        <v>18</v>
      </c>
      <c r="K213" s="16" t="s">
        <v>273</v>
      </c>
      <c r="L213" s="16">
        <v>2</v>
      </c>
      <c r="M213" s="16" t="s">
        <v>333</v>
      </c>
      <c r="N213" s="16" t="s">
        <v>278</v>
      </c>
      <c r="O213" s="15" t="s">
        <v>283</v>
      </c>
      <c r="P213" t="s">
        <v>371</v>
      </c>
      <c r="Q213" t="s">
        <v>371</v>
      </c>
      <c r="R213" s="17" t="s">
        <v>371</v>
      </c>
      <c r="S213" s="17">
        <v>0</v>
      </c>
      <c r="T213" s="17">
        <v>0</v>
      </c>
      <c r="U213" s="17">
        <v>1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 t="s">
        <v>704</v>
      </c>
      <c r="AD213" s="16" t="s">
        <v>340</v>
      </c>
      <c r="AE213" s="16" t="s">
        <v>342</v>
      </c>
      <c r="AF213" s="15" t="s">
        <v>343</v>
      </c>
      <c r="AG213" s="15" t="s">
        <v>347</v>
      </c>
      <c r="AH213" s="17" t="s">
        <v>371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 t="s">
        <v>704</v>
      </c>
      <c r="AR213" t="s">
        <v>349</v>
      </c>
      <c r="AS213" t="s">
        <v>349</v>
      </c>
      <c r="AT213">
        <v>1</v>
      </c>
      <c r="AU213">
        <v>0</v>
      </c>
      <c r="AV213">
        <v>0</v>
      </c>
      <c r="AW213" t="s">
        <v>704</v>
      </c>
      <c r="AX213" t="s">
        <v>1270</v>
      </c>
      <c r="AY213" t="s">
        <v>293</v>
      </c>
      <c r="AZ213" t="s">
        <v>353</v>
      </c>
      <c r="BA213" t="s">
        <v>296</v>
      </c>
      <c r="BB213" t="s">
        <v>301</v>
      </c>
      <c r="BC213" t="s">
        <v>292</v>
      </c>
      <c r="BD213" t="s">
        <v>293</v>
      </c>
      <c r="BE213" t="s">
        <v>293</v>
      </c>
      <c r="BF213" t="s">
        <v>292</v>
      </c>
      <c r="BG213" t="s">
        <v>293</v>
      </c>
      <c r="BH213" t="s">
        <v>302</v>
      </c>
      <c r="BI213" t="s">
        <v>357</v>
      </c>
      <c r="BJ213" t="s">
        <v>359</v>
      </c>
      <c r="BK213" t="s">
        <v>293</v>
      </c>
      <c r="BL213" t="s">
        <v>293</v>
      </c>
      <c r="BM213" t="s">
        <v>296</v>
      </c>
      <c r="BN213" t="s">
        <v>298</v>
      </c>
      <c r="BO213" t="s">
        <v>293</v>
      </c>
      <c r="BP213" t="s">
        <v>292</v>
      </c>
      <c r="BQ213" t="s">
        <v>293</v>
      </c>
      <c r="BR213" t="s">
        <v>293</v>
      </c>
      <c r="BS213" t="s">
        <v>364</v>
      </c>
      <c r="BT213" t="s">
        <v>304</v>
      </c>
      <c r="BU213" t="s">
        <v>371</v>
      </c>
      <c r="BV213" t="s">
        <v>371</v>
      </c>
      <c r="BW213" t="s">
        <v>2656</v>
      </c>
      <c r="BX213" t="str">
        <f>IF(J213="win",VLOOKUP(B213,ColorScheme!$A$2:$I$32,4,0),VLOOKUP(B213,ColorScheme!$A$2:$I$32,5,0))</f>
        <v>#92959150</v>
      </c>
    </row>
    <row r="214" spans="1:76" x14ac:dyDescent="0.3">
      <c r="A214" t="s">
        <v>43</v>
      </c>
      <c r="B214" t="s">
        <v>49</v>
      </c>
      <c r="C214" t="s">
        <v>15</v>
      </c>
      <c r="D214" t="s">
        <v>12</v>
      </c>
      <c r="E214" t="s">
        <v>916</v>
      </c>
      <c r="F214" t="b">
        <v>1</v>
      </c>
      <c r="G214">
        <v>100</v>
      </c>
      <c r="H214">
        <v>1</v>
      </c>
      <c r="I214">
        <v>16666</v>
      </c>
      <c r="J214" s="61" t="s">
        <v>18</v>
      </c>
      <c r="K214" s="16" t="s">
        <v>272</v>
      </c>
      <c r="L214" s="16">
        <v>3</v>
      </c>
      <c r="M214" s="16" t="s">
        <v>277</v>
      </c>
      <c r="N214" s="16" t="s">
        <v>335</v>
      </c>
      <c r="O214" s="15" t="s">
        <v>283</v>
      </c>
      <c r="P214" t="s">
        <v>281</v>
      </c>
      <c r="Q214" t="s">
        <v>371</v>
      </c>
      <c r="R214" s="17" t="s">
        <v>371</v>
      </c>
      <c r="S214" s="17">
        <v>1</v>
      </c>
      <c r="T214" s="17">
        <v>0</v>
      </c>
      <c r="U214" s="17">
        <v>1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 t="s">
        <v>704</v>
      </c>
      <c r="AD214" s="16" t="s">
        <v>341</v>
      </c>
      <c r="AE214" s="16" t="s">
        <v>340</v>
      </c>
      <c r="AF214" s="15" t="s">
        <v>343</v>
      </c>
      <c r="AG214" s="15" t="s">
        <v>291</v>
      </c>
      <c r="AH214" s="17" t="s">
        <v>371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 t="s">
        <v>704</v>
      </c>
      <c r="AR214" t="s">
        <v>349</v>
      </c>
      <c r="AS214" t="s">
        <v>349</v>
      </c>
      <c r="AT214">
        <v>1</v>
      </c>
      <c r="AU214">
        <v>0</v>
      </c>
      <c r="AV214">
        <v>0</v>
      </c>
      <c r="AW214" t="s">
        <v>704</v>
      </c>
      <c r="AX214" t="s">
        <v>1271</v>
      </c>
      <c r="AY214" t="s">
        <v>292</v>
      </c>
      <c r="AZ214" t="s">
        <v>353</v>
      </c>
      <c r="BA214" t="s">
        <v>296</v>
      </c>
      <c r="BB214" t="s">
        <v>301</v>
      </c>
      <c r="BC214" t="s">
        <v>293</v>
      </c>
      <c r="BD214" t="s">
        <v>292</v>
      </c>
      <c r="BE214" t="s">
        <v>292</v>
      </c>
      <c r="BF214" t="s">
        <v>292</v>
      </c>
      <c r="BG214" t="s">
        <v>293</v>
      </c>
      <c r="BH214" t="s">
        <v>302</v>
      </c>
      <c r="BI214" t="s">
        <v>359</v>
      </c>
      <c r="BJ214" t="s">
        <v>359</v>
      </c>
      <c r="BK214" t="s">
        <v>293</v>
      </c>
      <c r="BL214" t="s">
        <v>293</v>
      </c>
      <c r="BM214" t="s">
        <v>296</v>
      </c>
      <c r="BN214" t="s">
        <v>356</v>
      </c>
      <c r="BO214" t="s">
        <v>293</v>
      </c>
      <c r="BP214" t="s">
        <v>292</v>
      </c>
      <c r="BQ214" t="s">
        <v>293</v>
      </c>
      <c r="BR214" t="s">
        <v>293</v>
      </c>
      <c r="BS214" t="s">
        <v>364</v>
      </c>
      <c r="BT214" t="s">
        <v>304</v>
      </c>
      <c r="BU214" t="s">
        <v>371</v>
      </c>
      <c r="BV214" t="s">
        <v>371</v>
      </c>
      <c r="BW214" t="s">
        <v>2657</v>
      </c>
      <c r="BX214" t="str">
        <f>IF(J214="win",VLOOKUP(B214,ColorScheme!$A$2:$I$32,4,0),VLOOKUP(B214,ColorScheme!$A$2:$I$32,5,0))</f>
        <v>#89fe0550</v>
      </c>
    </row>
    <row r="215" spans="1:76" x14ac:dyDescent="0.3">
      <c r="A215" t="s">
        <v>43</v>
      </c>
      <c r="B215" t="s">
        <v>49</v>
      </c>
      <c r="C215" t="s">
        <v>14</v>
      </c>
      <c r="D215" t="s">
        <v>12</v>
      </c>
      <c r="E215" t="s">
        <v>917</v>
      </c>
      <c r="F215" t="b">
        <v>1</v>
      </c>
      <c r="G215">
        <v>100</v>
      </c>
      <c r="H215">
        <v>1</v>
      </c>
      <c r="I215">
        <v>15914</v>
      </c>
      <c r="J215" s="61" t="s">
        <v>18</v>
      </c>
      <c r="K215" s="16" t="s">
        <v>272</v>
      </c>
      <c r="L215" s="16">
        <v>3</v>
      </c>
      <c r="M215" s="16" t="s">
        <v>277</v>
      </c>
      <c r="N215" s="16" t="s">
        <v>335</v>
      </c>
      <c r="O215" s="15" t="s">
        <v>283</v>
      </c>
      <c r="P215" t="s">
        <v>281</v>
      </c>
      <c r="Q215" t="s">
        <v>284</v>
      </c>
      <c r="R215" s="17" t="s">
        <v>371</v>
      </c>
      <c r="S215" s="17">
        <v>1</v>
      </c>
      <c r="T215" s="17">
        <v>0</v>
      </c>
      <c r="U215" s="17">
        <v>1</v>
      </c>
      <c r="V215" s="17">
        <v>1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 t="s">
        <v>704</v>
      </c>
      <c r="AD215" s="16" t="s">
        <v>340</v>
      </c>
      <c r="AE215" s="16" t="s">
        <v>340</v>
      </c>
      <c r="AF215" s="15" t="s">
        <v>343</v>
      </c>
      <c r="AG215" s="15" t="s">
        <v>291</v>
      </c>
      <c r="AH215" s="17" t="s">
        <v>371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 t="s">
        <v>704</v>
      </c>
      <c r="AR215" t="s">
        <v>349</v>
      </c>
      <c r="AS215" t="s">
        <v>349</v>
      </c>
      <c r="AT215">
        <v>1</v>
      </c>
      <c r="AU215">
        <v>0</v>
      </c>
      <c r="AV215">
        <v>0</v>
      </c>
      <c r="AW215" t="s">
        <v>704</v>
      </c>
      <c r="AX215" t="s">
        <v>1272</v>
      </c>
      <c r="AY215" t="s">
        <v>292</v>
      </c>
      <c r="AZ215" t="s">
        <v>353</v>
      </c>
      <c r="BA215" t="s">
        <v>296</v>
      </c>
      <c r="BB215" t="s">
        <v>301</v>
      </c>
      <c r="BC215" t="s">
        <v>293</v>
      </c>
      <c r="BD215" t="s">
        <v>292</v>
      </c>
      <c r="BE215" t="s">
        <v>293</v>
      </c>
      <c r="BF215" t="s">
        <v>292</v>
      </c>
      <c r="BG215" t="s">
        <v>293</v>
      </c>
      <c r="BH215" t="s">
        <v>302</v>
      </c>
      <c r="BI215" t="s">
        <v>358</v>
      </c>
      <c r="BJ215" t="s">
        <v>359</v>
      </c>
      <c r="BK215" t="s">
        <v>293</v>
      </c>
      <c r="BL215" t="s">
        <v>293</v>
      </c>
      <c r="BM215" t="s">
        <v>296</v>
      </c>
      <c r="BN215" t="s">
        <v>356</v>
      </c>
      <c r="BO215" t="s">
        <v>293</v>
      </c>
      <c r="BP215" t="s">
        <v>292</v>
      </c>
      <c r="BQ215" t="s">
        <v>293</v>
      </c>
      <c r="BR215" t="s">
        <v>293</v>
      </c>
      <c r="BS215" t="s">
        <v>364</v>
      </c>
      <c r="BT215" t="s">
        <v>304</v>
      </c>
      <c r="BU215" t="s">
        <v>371</v>
      </c>
      <c r="BV215" t="s">
        <v>371</v>
      </c>
      <c r="BW215" t="s">
        <v>2658</v>
      </c>
      <c r="BX215" t="str">
        <f>IF(J215="win",VLOOKUP(B215,ColorScheme!$A$2:$I$32,4,0),VLOOKUP(B215,ColorScheme!$A$2:$I$32,5,0))</f>
        <v>#89fe0550</v>
      </c>
    </row>
    <row r="216" spans="1:76" x14ac:dyDescent="0.3">
      <c r="A216" t="s">
        <v>43</v>
      </c>
      <c r="B216" t="s">
        <v>49</v>
      </c>
      <c r="C216" t="s">
        <v>11</v>
      </c>
      <c r="D216" t="s">
        <v>12</v>
      </c>
      <c r="E216" t="s">
        <v>918</v>
      </c>
      <c r="F216" t="b">
        <v>1</v>
      </c>
      <c r="G216">
        <v>100</v>
      </c>
      <c r="H216">
        <v>1</v>
      </c>
      <c r="I216">
        <v>10277</v>
      </c>
      <c r="J216" s="61" t="s">
        <v>18</v>
      </c>
      <c r="K216" s="16" t="s">
        <v>272</v>
      </c>
      <c r="L216" s="16">
        <v>3</v>
      </c>
      <c r="M216" s="16" t="s">
        <v>277</v>
      </c>
      <c r="N216" s="16" t="s">
        <v>335</v>
      </c>
      <c r="O216" s="15" t="s">
        <v>282</v>
      </c>
      <c r="P216" t="s">
        <v>371</v>
      </c>
      <c r="Q216" t="s">
        <v>371</v>
      </c>
      <c r="R216" s="17" t="s">
        <v>371</v>
      </c>
      <c r="S216" s="17">
        <v>0</v>
      </c>
      <c r="T216" s="17">
        <v>1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 t="s">
        <v>704</v>
      </c>
      <c r="AD216" s="16" t="s">
        <v>340</v>
      </c>
      <c r="AE216" s="16" t="s">
        <v>340</v>
      </c>
      <c r="AF216" s="15" t="s">
        <v>343</v>
      </c>
      <c r="AG216" s="15" t="s">
        <v>291</v>
      </c>
      <c r="AH216" s="17" t="s">
        <v>371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 t="s">
        <v>704</v>
      </c>
      <c r="AR216" t="s">
        <v>349</v>
      </c>
      <c r="AS216" t="s">
        <v>349</v>
      </c>
      <c r="AT216">
        <v>1</v>
      </c>
      <c r="AU216">
        <v>0</v>
      </c>
      <c r="AV216">
        <v>0</v>
      </c>
      <c r="AW216" t="s">
        <v>704</v>
      </c>
      <c r="AX216" t="s">
        <v>1222</v>
      </c>
      <c r="AY216" t="s">
        <v>293</v>
      </c>
      <c r="AZ216" t="s">
        <v>353</v>
      </c>
      <c r="BA216" t="s">
        <v>296</v>
      </c>
      <c r="BB216" t="s">
        <v>301</v>
      </c>
      <c r="BC216" t="s">
        <v>293</v>
      </c>
      <c r="BD216" t="s">
        <v>292</v>
      </c>
      <c r="BE216" t="s">
        <v>293</v>
      </c>
      <c r="BF216" t="s">
        <v>292</v>
      </c>
      <c r="BG216" t="s">
        <v>293</v>
      </c>
      <c r="BH216" t="s">
        <v>302</v>
      </c>
      <c r="BI216" t="s">
        <v>358</v>
      </c>
      <c r="BJ216" t="s">
        <v>359</v>
      </c>
      <c r="BK216" t="s">
        <v>293</v>
      </c>
      <c r="BL216" t="s">
        <v>293</v>
      </c>
      <c r="BM216" t="s">
        <v>296</v>
      </c>
      <c r="BN216" t="s">
        <v>356</v>
      </c>
      <c r="BO216" t="s">
        <v>293</v>
      </c>
      <c r="BP216" t="s">
        <v>292</v>
      </c>
      <c r="BQ216" t="s">
        <v>293</v>
      </c>
      <c r="BR216" t="s">
        <v>293</v>
      </c>
      <c r="BS216" t="s">
        <v>364</v>
      </c>
      <c r="BT216" t="s">
        <v>304</v>
      </c>
      <c r="BU216" t="s">
        <v>371</v>
      </c>
      <c r="BV216" t="s">
        <v>371</v>
      </c>
      <c r="BW216" t="s">
        <v>2659</v>
      </c>
      <c r="BX216" t="str">
        <f>IF(J216="win",VLOOKUP(B216,ColorScheme!$A$2:$I$32,4,0),VLOOKUP(B216,ColorScheme!$A$2:$I$32,5,0))</f>
        <v>#89fe0550</v>
      </c>
    </row>
    <row r="217" spans="1:76" x14ac:dyDescent="0.3">
      <c r="A217" t="s">
        <v>43</v>
      </c>
      <c r="B217" t="s">
        <v>49</v>
      </c>
      <c r="C217" t="s">
        <v>19</v>
      </c>
      <c r="D217" t="s">
        <v>12</v>
      </c>
      <c r="E217" t="s">
        <v>919</v>
      </c>
      <c r="F217" t="b">
        <v>1</v>
      </c>
      <c r="G217">
        <v>51.7</v>
      </c>
      <c r="H217">
        <v>0</v>
      </c>
      <c r="I217">
        <v>18694</v>
      </c>
      <c r="J217" s="61" t="s">
        <v>13</v>
      </c>
      <c r="K217" s="16" t="s">
        <v>272</v>
      </c>
      <c r="L217" s="16">
        <v>3</v>
      </c>
      <c r="M217" s="16" t="s">
        <v>277</v>
      </c>
      <c r="N217" s="16" t="s">
        <v>335</v>
      </c>
      <c r="O217" s="15" t="s">
        <v>283</v>
      </c>
      <c r="P217" t="s">
        <v>281</v>
      </c>
      <c r="Q217" t="s">
        <v>284</v>
      </c>
      <c r="R217" s="17" t="s">
        <v>371</v>
      </c>
      <c r="S217" s="17">
        <v>1</v>
      </c>
      <c r="T217" s="17">
        <v>0</v>
      </c>
      <c r="U217" s="17">
        <v>1</v>
      </c>
      <c r="V217" s="17">
        <v>1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 t="s">
        <v>704</v>
      </c>
      <c r="AD217" s="16" t="s">
        <v>341</v>
      </c>
      <c r="AE217" s="16" t="s">
        <v>340</v>
      </c>
      <c r="AF217" s="15" t="s">
        <v>343</v>
      </c>
      <c r="AG217" s="15" t="s">
        <v>345</v>
      </c>
      <c r="AH217" s="17" t="s">
        <v>291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 t="s">
        <v>704</v>
      </c>
      <c r="AR217" t="s">
        <v>349</v>
      </c>
      <c r="AS217" t="s">
        <v>349</v>
      </c>
      <c r="AT217">
        <v>1</v>
      </c>
      <c r="AU217">
        <v>0</v>
      </c>
      <c r="AV217">
        <v>0</v>
      </c>
      <c r="AW217" t="s">
        <v>704</v>
      </c>
      <c r="AX217" t="s">
        <v>1273</v>
      </c>
      <c r="AY217" t="s">
        <v>292</v>
      </c>
      <c r="AZ217" t="s">
        <v>353</v>
      </c>
      <c r="BA217" t="s">
        <v>296</v>
      </c>
      <c r="BB217" t="s">
        <v>301</v>
      </c>
      <c r="BC217" t="s">
        <v>292</v>
      </c>
      <c r="BD217" t="s">
        <v>292</v>
      </c>
      <c r="BE217" t="s">
        <v>292</v>
      </c>
      <c r="BF217" t="s">
        <v>292</v>
      </c>
      <c r="BG217" t="s">
        <v>293</v>
      </c>
      <c r="BH217" t="s">
        <v>302</v>
      </c>
      <c r="BI217" t="s">
        <v>302</v>
      </c>
      <c r="BJ217" t="s">
        <v>359</v>
      </c>
      <c r="BK217" t="s">
        <v>293</v>
      </c>
      <c r="BL217" t="s">
        <v>293</v>
      </c>
      <c r="BM217" t="s">
        <v>297</v>
      </c>
      <c r="BN217" t="s">
        <v>356</v>
      </c>
      <c r="BO217" t="s">
        <v>293</v>
      </c>
      <c r="BP217" t="s">
        <v>292</v>
      </c>
      <c r="BQ217" t="s">
        <v>293</v>
      </c>
      <c r="BR217" t="s">
        <v>293</v>
      </c>
      <c r="BS217" t="s">
        <v>364</v>
      </c>
      <c r="BT217" t="s">
        <v>366</v>
      </c>
      <c r="BU217" t="s">
        <v>371</v>
      </c>
      <c r="BV217" t="s">
        <v>371</v>
      </c>
      <c r="BW217" t="s">
        <v>2660</v>
      </c>
      <c r="BX217" t="str">
        <f>IF(J217="win",VLOOKUP(B217,ColorScheme!$A$2:$I$32,4,0),VLOOKUP(B217,ColorScheme!$A$2:$I$32,5,0))</f>
        <v>#89fe05</v>
      </c>
    </row>
    <row r="218" spans="1:76" x14ac:dyDescent="0.3">
      <c r="A218" t="s">
        <v>43</v>
      </c>
      <c r="B218" t="s">
        <v>49</v>
      </c>
      <c r="C218" t="s">
        <v>17</v>
      </c>
      <c r="D218" t="s">
        <v>12</v>
      </c>
      <c r="E218" t="s">
        <v>920</v>
      </c>
      <c r="F218" t="b">
        <v>1</v>
      </c>
      <c r="G218">
        <v>100</v>
      </c>
      <c r="H218">
        <v>1</v>
      </c>
      <c r="I218">
        <v>18509</v>
      </c>
      <c r="J218" s="61" t="s">
        <v>18</v>
      </c>
      <c r="K218" s="16" t="s">
        <v>272</v>
      </c>
      <c r="L218" s="16">
        <v>3</v>
      </c>
      <c r="M218" s="16" t="s">
        <v>277</v>
      </c>
      <c r="N218" s="16" t="s">
        <v>335</v>
      </c>
      <c r="O218" s="15" t="s">
        <v>283</v>
      </c>
      <c r="P218" t="s">
        <v>281</v>
      </c>
      <c r="Q218" t="s">
        <v>284</v>
      </c>
      <c r="R218" s="17" t="s">
        <v>371</v>
      </c>
      <c r="S218" s="17">
        <v>1</v>
      </c>
      <c r="T218" s="17">
        <v>0</v>
      </c>
      <c r="U218" s="17">
        <v>1</v>
      </c>
      <c r="V218" s="17">
        <v>1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 t="s">
        <v>704</v>
      </c>
      <c r="AD218" s="16" t="s">
        <v>341</v>
      </c>
      <c r="AE218" s="16" t="s">
        <v>340</v>
      </c>
      <c r="AF218" s="15" t="s">
        <v>343</v>
      </c>
      <c r="AG218" s="15" t="s">
        <v>345</v>
      </c>
      <c r="AH218" s="17" t="s">
        <v>291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 t="s">
        <v>704</v>
      </c>
      <c r="AR218" t="s">
        <v>349</v>
      </c>
      <c r="AS218" t="s">
        <v>349</v>
      </c>
      <c r="AT218">
        <v>1</v>
      </c>
      <c r="AU218">
        <v>0</v>
      </c>
      <c r="AV218">
        <v>0</v>
      </c>
      <c r="AW218" t="s">
        <v>704</v>
      </c>
      <c r="AX218" t="s">
        <v>1273</v>
      </c>
      <c r="AY218" t="s">
        <v>292</v>
      </c>
      <c r="AZ218" t="s">
        <v>353</v>
      </c>
      <c r="BA218" t="s">
        <v>296</v>
      </c>
      <c r="BB218" t="s">
        <v>301</v>
      </c>
      <c r="BC218" t="s">
        <v>292</v>
      </c>
      <c r="BD218" t="s">
        <v>292</v>
      </c>
      <c r="BE218" t="s">
        <v>292</v>
      </c>
      <c r="BF218" t="s">
        <v>292</v>
      </c>
      <c r="BG218" t="s">
        <v>293</v>
      </c>
      <c r="BH218" t="s">
        <v>302</v>
      </c>
      <c r="BI218" t="s">
        <v>302</v>
      </c>
      <c r="BJ218" t="s">
        <v>359</v>
      </c>
      <c r="BK218" t="s">
        <v>293</v>
      </c>
      <c r="BL218" t="s">
        <v>293</v>
      </c>
      <c r="BM218" t="s">
        <v>297</v>
      </c>
      <c r="BN218" t="s">
        <v>356</v>
      </c>
      <c r="BO218" t="s">
        <v>293</v>
      </c>
      <c r="BP218" t="s">
        <v>292</v>
      </c>
      <c r="BQ218" t="s">
        <v>293</v>
      </c>
      <c r="BR218" t="s">
        <v>293</v>
      </c>
      <c r="BS218" t="s">
        <v>364</v>
      </c>
      <c r="BT218" t="s">
        <v>304</v>
      </c>
      <c r="BU218" t="s">
        <v>371</v>
      </c>
      <c r="BV218" t="s">
        <v>371</v>
      </c>
      <c r="BW218" t="s">
        <v>2661</v>
      </c>
      <c r="BX218" t="str">
        <f>IF(J218="win",VLOOKUP(B218,ColorScheme!$A$2:$I$32,4,0),VLOOKUP(B218,ColorScheme!$A$2:$I$32,5,0))</f>
        <v>#89fe0550</v>
      </c>
    </row>
    <row r="219" spans="1:76" x14ac:dyDescent="0.3">
      <c r="A219" t="s">
        <v>43</v>
      </c>
      <c r="B219" t="s">
        <v>49</v>
      </c>
      <c r="C219" t="s">
        <v>16</v>
      </c>
      <c r="D219" t="s">
        <v>12</v>
      </c>
      <c r="E219" t="s">
        <v>921</v>
      </c>
      <c r="F219" t="b">
        <v>1</v>
      </c>
      <c r="G219">
        <v>100</v>
      </c>
      <c r="H219">
        <v>1</v>
      </c>
      <c r="I219">
        <v>17904</v>
      </c>
      <c r="J219" s="61" t="s">
        <v>18</v>
      </c>
      <c r="K219" s="16" t="s">
        <v>272</v>
      </c>
      <c r="L219" s="16">
        <v>2</v>
      </c>
      <c r="M219" s="16" t="s">
        <v>333</v>
      </c>
      <c r="N219" s="16" t="s">
        <v>278</v>
      </c>
      <c r="O219" s="15" t="s">
        <v>283</v>
      </c>
      <c r="P219" t="s">
        <v>281</v>
      </c>
      <c r="Q219" t="s">
        <v>284</v>
      </c>
      <c r="R219" s="17" t="s">
        <v>371</v>
      </c>
      <c r="S219" s="17">
        <v>1</v>
      </c>
      <c r="T219" s="17">
        <v>0</v>
      </c>
      <c r="U219" s="17">
        <v>1</v>
      </c>
      <c r="V219" s="17">
        <v>1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 t="s">
        <v>704</v>
      </c>
      <c r="AD219" s="16" t="s">
        <v>341</v>
      </c>
      <c r="AE219" s="16" t="s">
        <v>340</v>
      </c>
      <c r="AF219" s="15" t="s">
        <v>343</v>
      </c>
      <c r="AG219" s="15" t="s">
        <v>345</v>
      </c>
      <c r="AH219" s="17" t="s">
        <v>291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 t="s">
        <v>704</v>
      </c>
      <c r="AR219" t="s">
        <v>349</v>
      </c>
      <c r="AS219" t="s">
        <v>349</v>
      </c>
      <c r="AT219">
        <v>1</v>
      </c>
      <c r="AU219">
        <v>0</v>
      </c>
      <c r="AV219">
        <v>0</v>
      </c>
      <c r="AW219" t="s">
        <v>704</v>
      </c>
      <c r="AX219" t="s">
        <v>1273</v>
      </c>
      <c r="AY219" t="s">
        <v>292</v>
      </c>
      <c r="AZ219" t="s">
        <v>353</v>
      </c>
      <c r="BA219" t="s">
        <v>296</v>
      </c>
      <c r="BB219" t="s">
        <v>301</v>
      </c>
      <c r="BC219" t="s">
        <v>293</v>
      </c>
      <c r="BD219" t="s">
        <v>292</v>
      </c>
      <c r="BE219" t="s">
        <v>292</v>
      </c>
      <c r="BF219" t="s">
        <v>292</v>
      </c>
      <c r="BG219" t="s">
        <v>293</v>
      </c>
      <c r="BH219" t="s">
        <v>302</v>
      </c>
      <c r="BI219" t="s">
        <v>359</v>
      </c>
      <c r="BJ219" t="s">
        <v>359</v>
      </c>
      <c r="BK219" t="s">
        <v>293</v>
      </c>
      <c r="BL219" t="s">
        <v>293</v>
      </c>
      <c r="BM219" t="s">
        <v>296</v>
      </c>
      <c r="BN219" t="s">
        <v>356</v>
      </c>
      <c r="BO219" t="s">
        <v>293</v>
      </c>
      <c r="BP219" t="s">
        <v>292</v>
      </c>
      <c r="BQ219" t="s">
        <v>293</v>
      </c>
      <c r="BR219" t="s">
        <v>293</v>
      </c>
      <c r="BS219" t="s">
        <v>364</v>
      </c>
      <c r="BT219" t="s">
        <v>304</v>
      </c>
      <c r="BU219" t="s">
        <v>371</v>
      </c>
      <c r="BV219" t="s">
        <v>371</v>
      </c>
      <c r="BW219" t="s">
        <v>2662</v>
      </c>
      <c r="BX219" t="str">
        <f>IF(J219="win",VLOOKUP(B219,ColorScheme!$A$2:$I$32,4,0),VLOOKUP(B219,ColorScheme!$A$2:$I$32,5,0))</f>
        <v>#89fe0550</v>
      </c>
    </row>
    <row r="220" spans="1:76" x14ac:dyDescent="0.3">
      <c r="A220" t="s">
        <v>43</v>
      </c>
      <c r="B220" t="s">
        <v>49</v>
      </c>
      <c r="C220" t="s">
        <v>20</v>
      </c>
      <c r="D220" t="s">
        <v>12</v>
      </c>
      <c r="E220" t="s">
        <v>922</v>
      </c>
      <c r="F220" t="b">
        <v>1</v>
      </c>
      <c r="G220">
        <v>71.8</v>
      </c>
      <c r="H220">
        <v>0</v>
      </c>
      <c r="I220">
        <v>17905</v>
      </c>
      <c r="J220" s="61" t="s">
        <v>13</v>
      </c>
      <c r="K220" s="16" t="s">
        <v>272</v>
      </c>
      <c r="L220" s="16">
        <v>3</v>
      </c>
      <c r="M220" s="16" t="s">
        <v>277</v>
      </c>
      <c r="N220" s="16" t="s">
        <v>335</v>
      </c>
      <c r="O220" s="15" t="s">
        <v>283</v>
      </c>
      <c r="P220" t="s">
        <v>281</v>
      </c>
      <c r="Q220" t="s">
        <v>284</v>
      </c>
      <c r="R220" s="17" t="s">
        <v>371</v>
      </c>
      <c r="S220" s="17">
        <v>1</v>
      </c>
      <c r="T220" s="17">
        <v>0</v>
      </c>
      <c r="U220" s="17">
        <v>1</v>
      </c>
      <c r="V220" s="17">
        <v>1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 t="s">
        <v>704</v>
      </c>
      <c r="AD220" s="16" t="s">
        <v>341</v>
      </c>
      <c r="AE220" s="16" t="s">
        <v>340</v>
      </c>
      <c r="AF220" s="15" t="s">
        <v>343</v>
      </c>
      <c r="AG220" s="15" t="s">
        <v>345</v>
      </c>
      <c r="AH220" s="17" t="s">
        <v>291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 t="s">
        <v>704</v>
      </c>
      <c r="AR220" t="s">
        <v>349</v>
      </c>
      <c r="AS220" t="s">
        <v>349</v>
      </c>
      <c r="AT220">
        <v>1</v>
      </c>
      <c r="AU220">
        <v>0</v>
      </c>
      <c r="AV220">
        <v>0</v>
      </c>
      <c r="AW220" t="s">
        <v>704</v>
      </c>
      <c r="AX220" t="s">
        <v>1273</v>
      </c>
      <c r="AY220" t="s">
        <v>293</v>
      </c>
      <c r="AZ220" t="s">
        <v>353</v>
      </c>
      <c r="BA220" t="s">
        <v>296</v>
      </c>
      <c r="BB220" t="s">
        <v>301</v>
      </c>
      <c r="BC220" t="s">
        <v>292</v>
      </c>
      <c r="BD220" t="s">
        <v>292</v>
      </c>
      <c r="BE220" t="s">
        <v>292</v>
      </c>
      <c r="BF220" t="s">
        <v>292</v>
      </c>
      <c r="BG220" t="s">
        <v>293</v>
      </c>
      <c r="BH220" t="s">
        <v>302</v>
      </c>
      <c r="BI220" t="s">
        <v>302</v>
      </c>
      <c r="BJ220" t="s">
        <v>359</v>
      </c>
      <c r="BK220" t="s">
        <v>293</v>
      </c>
      <c r="BL220" t="s">
        <v>293</v>
      </c>
      <c r="BM220" t="s">
        <v>297</v>
      </c>
      <c r="BN220" t="s">
        <v>356</v>
      </c>
      <c r="BO220" t="s">
        <v>293</v>
      </c>
      <c r="BP220" t="s">
        <v>292</v>
      </c>
      <c r="BQ220" t="s">
        <v>293</v>
      </c>
      <c r="BR220" t="s">
        <v>293</v>
      </c>
      <c r="BS220" t="s">
        <v>364</v>
      </c>
      <c r="BT220" t="s">
        <v>366</v>
      </c>
      <c r="BU220" t="s">
        <v>371</v>
      </c>
      <c r="BV220" t="s">
        <v>371</v>
      </c>
      <c r="BW220" t="s">
        <v>2663</v>
      </c>
      <c r="BX220" t="str">
        <f>IF(J220="win",VLOOKUP(B220,ColorScheme!$A$2:$I$32,4,0),VLOOKUP(B220,ColorScheme!$A$2:$I$32,5,0))</f>
        <v>#89fe05</v>
      </c>
    </row>
    <row r="221" spans="1:76" x14ac:dyDescent="0.3">
      <c r="A221" t="s">
        <v>43</v>
      </c>
      <c r="B221" t="s">
        <v>49</v>
      </c>
      <c r="C221" t="s">
        <v>23</v>
      </c>
      <c r="D221" t="s">
        <v>29</v>
      </c>
      <c r="E221" t="s">
        <v>923</v>
      </c>
      <c r="F221" t="b">
        <v>1</v>
      </c>
      <c r="G221">
        <v>53</v>
      </c>
      <c r="H221">
        <v>0</v>
      </c>
      <c r="I221">
        <v>16700</v>
      </c>
      <c r="J221" s="61" t="s">
        <v>13</v>
      </c>
      <c r="K221" s="16" t="s">
        <v>272</v>
      </c>
      <c r="L221" s="16">
        <v>3</v>
      </c>
      <c r="M221" s="16" t="s">
        <v>277</v>
      </c>
      <c r="N221" s="16" t="s">
        <v>335</v>
      </c>
      <c r="O221" s="15" t="s">
        <v>283</v>
      </c>
      <c r="P221" t="s">
        <v>281</v>
      </c>
      <c r="Q221" t="s">
        <v>284</v>
      </c>
      <c r="R221" s="17" t="s">
        <v>371</v>
      </c>
      <c r="S221" s="17">
        <v>1</v>
      </c>
      <c r="T221" s="17">
        <v>0</v>
      </c>
      <c r="U221" s="17">
        <v>1</v>
      </c>
      <c r="V221" s="17">
        <v>1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 t="s">
        <v>704</v>
      </c>
      <c r="AD221" s="16" t="s">
        <v>341</v>
      </c>
      <c r="AE221" s="16" t="s">
        <v>340</v>
      </c>
      <c r="AF221" s="15" t="s">
        <v>343</v>
      </c>
      <c r="AG221" s="15" t="s">
        <v>344</v>
      </c>
      <c r="AH221" s="17" t="s">
        <v>371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704</v>
      </c>
      <c r="AR221" t="s">
        <v>349</v>
      </c>
      <c r="AS221" t="s">
        <v>349</v>
      </c>
      <c r="AT221">
        <v>1</v>
      </c>
      <c r="AU221">
        <v>0</v>
      </c>
      <c r="AV221">
        <v>0</v>
      </c>
      <c r="AW221" t="s">
        <v>704</v>
      </c>
      <c r="AX221" t="s">
        <v>1274</v>
      </c>
      <c r="AY221" t="s">
        <v>293</v>
      </c>
      <c r="AZ221" t="s">
        <v>353</v>
      </c>
      <c r="BA221" t="s">
        <v>296</v>
      </c>
      <c r="BB221" t="s">
        <v>300</v>
      </c>
      <c r="BC221" t="s">
        <v>292</v>
      </c>
      <c r="BD221" t="s">
        <v>292</v>
      </c>
      <c r="BE221" t="s">
        <v>292</v>
      </c>
      <c r="BF221" t="s">
        <v>292</v>
      </c>
      <c r="BG221" t="s">
        <v>293</v>
      </c>
      <c r="BH221" t="s">
        <v>302</v>
      </c>
      <c r="BI221" t="s">
        <v>302</v>
      </c>
      <c r="BJ221" t="s">
        <v>359</v>
      </c>
      <c r="BK221" t="s">
        <v>293</v>
      </c>
      <c r="BL221" t="s">
        <v>293</v>
      </c>
      <c r="BM221" t="s">
        <v>297</v>
      </c>
      <c r="BN221" t="s">
        <v>356</v>
      </c>
      <c r="BO221" t="s">
        <v>293</v>
      </c>
      <c r="BP221" t="s">
        <v>292</v>
      </c>
      <c r="BQ221" t="s">
        <v>293</v>
      </c>
      <c r="BR221" t="s">
        <v>293</v>
      </c>
      <c r="BS221" t="s">
        <v>364</v>
      </c>
      <c r="BT221" t="s">
        <v>366</v>
      </c>
      <c r="BU221" t="s">
        <v>371</v>
      </c>
      <c r="BV221" t="s">
        <v>371</v>
      </c>
      <c r="BW221" t="s">
        <v>2664</v>
      </c>
      <c r="BX221" t="str">
        <f>IF(J221="win",VLOOKUP(B221,ColorScheme!$A$2:$I$32,4,0),VLOOKUP(B221,ColorScheme!$A$2:$I$32,5,0))</f>
        <v>#89fe05</v>
      </c>
    </row>
    <row r="222" spans="1:76" x14ac:dyDescent="0.3">
      <c r="A222" t="s">
        <v>43</v>
      </c>
      <c r="B222" t="s">
        <v>49</v>
      </c>
      <c r="C222" t="s">
        <v>25</v>
      </c>
      <c r="D222" t="s">
        <v>29</v>
      </c>
      <c r="E222" t="s">
        <v>924</v>
      </c>
      <c r="F222" t="b">
        <v>1</v>
      </c>
      <c r="G222">
        <v>61.8</v>
      </c>
      <c r="H222">
        <v>0</v>
      </c>
      <c r="I222">
        <v>15800</v>
      </c>
      <c r="J222" s="61" t="s">
        <v>13</v>
      </c>
      <c r="K222" s="16" t="s">
        <v>272</v>
      </c>
      <c r="L222" s="16">
        <v>3</v>
      </c>
      <c r="M222" s="16" t="s">
        <v>277</v>
      </c>
      <c r="N222" s="16" t="s">
        <v>335</v>
      </c>
      <c r="O222" s="15" t="s">
        <v>283</v>
      </c>
      <c r="P222" t="s">
        <v>281</v>
      </c>
      <c r="Q222" t="s">
        <v>284</v>
      </c>
      <c r="R222" s="17" t="s">
        <v>371</v>
      </c>
      <c r="S222" s="17">
        <v>1</v>
      </c>
      <c r="T222" s="17">
        <v>0</v>
      </c>
      <c r="U222" s="17">
        <v>1</v>
      </c>
      <c r="V222" s="17">
        <v>1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 t="s">
        <v>704</v>
      </c>
      <c r="AD222" s="16" t="s">
        <v>341</v>
      </c>
      <c r="AE222" s="16" t="s">
        <v>340</v>
      </c>
      <c r="AF222" s="15" t="s">
        <v>343</v>
      </c>
      <c r="AG222" s="15" t="s">
        <v>344</v>
      </c>
      <c r="AH222" s="17" t="s">
        <v>371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704</v>
      </c>
      <c r="AR222" t="s">
        <v>349</v>
      </c>
      <c r="AS222" t="s">
        <v>349</v>
      </c>
      <c r="AT222">
        <v>1</v>
      </c>
      <c r="AU222">
        <v>0</v>
      </c>
      <c r="AV222">
        <v>0</v>
      </c>
      <c r="AW222" t="s">
        <v>704</v>
      </c>
      <c r="AX222" t="s">
        <v>1274</v>
      </c>
      <c r="AY222" t="s">
        <v>293</v>
      </c>
      <c r="AZ222" t="s">
        <v>353</v>
      </c>
      <c r="BA222" t="s">
        <v>296</v>
      </c>
      <c r="BB222" t="s">
        <v>300</v>
      </c>
      <c r="BC222" t="s">
        <v>292</v>
      </c>
      <c r="BD222" t="s">
        <v>292</v>
      </c>
      <c r="BE222" t="s">
        <v>292</v>
      </c>
      <c r="BF222" t="s">
        <v>292</v>
      </c>
      <c r="BG222" t="s">
        <v>293</v>
      </c>
      <c r="BH222" t="s">
        <v>302</v>
      </c>
      <c r="BI222" t="s">
        <v>302</v>
      </c>
      <c r="BJ222" t="s">
        <v>359</v>
      </c>
      <c r="BK222" t="s">
        <v>293</v>
      </c>
      <c r="BL222" t="s">
        <v>293</v>
      </c>
      <c r="BM222" t="s">
        <v>297</v>
      </c>
      <c r="BN222" t="s">
        <v>356</v>
      </c>
      <c r="BO222" t="s">
        <v>293</v>
      </c>
      <c r="BP222" t="s">
        <v>292</v>
      </c>
      <c r="BQ222" t="s">
        <v>293</v>
      </c>
      <c r="BR222" t="s">
        <v>293</v>
      </c>
      <c r="BS222" t="s">
        <v>364</v>
      </c>
      <c r="BT222" t="s">
        <v>366</v>
      </c>
      <c r="BU222" t="s">
        <v>371</v>
      </c>
      <c r="BV222" t="s">
        <v>371</v>
      </c>
      <c r="BW222" t="s">
        <v>2665</v>
      </c>
      <c r="BX222" t="str">
        <f>IF(J222="win",VLOOKUP(B222,ColorScheme!$A$2:$I$32,4,0),VLOOKUP(B222,ColorScheme!$A$2:$I$32,5,0))</f>
        <v>#89fe05</v>
      </c>
    </row>
    <row r="223" spans="1:76" x14ac:dyDescent="0.3">
      <c r="A223" t="s">
        <v>43</v>
      </c>
      <c r="B223" t="s">
        <v>49</v>
      </c>
      <c r="C223" t="s">
        <v>24</v>
      </c>
      <c r="D223" t="s">
        <v>29</v>
      </c>
      <c r="E223" t="s">
        <v>925</v>
      </c>
      <c r="F223" t="b">
        <v>1</v>
      </c>
      <c r="G223">
        <v>52.6</v>
      </c>
      <c r="H223">
        <v>0</v>
      </c>
      <c r="I223">
        <v>17523</v>
      </c>
      <c r="J223" s="61" t="s">
        <v>13</v>
      </c>
      <c r="K223" s="16" t="s">
        <v>272</v>
      </c>
      <c r="L223" s="16">
        <v>3</v>
      </c>
      <c r="M223" s="16" t="s">
        <v>277</v>
      </c>
      <c r="N223" s="16" t="s">
        <v>335</v>
      </c>
      <c r="O223" s="15" t="s">
        <v>283</v>
      </c>
      <c r="P223" t="s">
        <v>281</v>
      </c>
      <c r="Q223" t="s">
        <v>284</v>
      </c>
      <c r="R223" s="17" t="s">
        <v>371</v>
      </c>
      <c r="S223" s="17">
        <v>1</v>
      </c>
      <c r="T223" s="17">
        <v>0</v>
      </c>
      <c r="U223" s="17">
        <v>1</v>
      </c>
      <c r="V223" s="17">
        <v>1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 t="s">
        <v>704</v>
      </c>
      <c r="AD223" s="16" t="s">
        <v>341</v>
      </c>
      <c r="AE223" s="16" t="s">
        <v>340</v>
      </c>
      <c r="AF223" s="15" t="s">
        <v>343</v>
      </c>
      <c r="AG223" s="15" t="s">
        <v>344</v>
      </c>
      <c r="AH223" s="17" t="s">
        <v>371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704</v>
      </c>
      <c r="AR223" t="s">
        <v>349</v>
      </c>
      <c r="AS223" t="s">
        <v>349</v>
      </c>
      <c r="AT223">
        <v>1</v>
      </c>
      <c r="AU223">
        <v>0</v>
      </c>
      <c r="AV223">
        <v>0</v>
      </c>
      <c r="AW223" t="s">
        <v>704</v>
      </c>
      <c r="AX223" t="s">
        <v>1274</v>
      </c>
      <c r="AY223" t="s">
        <v>293</v>
      </c>
      <c r="AZ223" t="s">
        <v>353</v>
      </c>
      <c r="BA223" t="s">
        <v>296</v>
      </c>
      <c r="BB223" t="s">
        <v>300</v>
      </c>
      <c r="BC223" t="s">
        <v>292</v>
      </c>
      <c r="BD223" t="s">
        <v>292</v>
      </c>
      <c r="BE223" t="s">
        <v>292</v>
      </c>
      <c r="BF223" t="s">
        <v>292</v>
      </c>
      <c r="BG223" t="s">
        <v>293</v>
      </c>
      <c r="BH223" t="s">
        <v>302</v>
      </c>
      <c r="BI223" t="s">
        <v>302</v>
      </c>
      <c r="BJ223" t="s">
        <v>359</v>
      </c>
      <c r="BK223" t="s">
        <v>293</v>
      </c>
      <c r="BL223" t="s">
        <v>293</v>
      </c>
      <c r="BM223" t="s">
        <v>297</v>
      </c>
      <c r="BN223" t="s">
        <v>356</v>
      </c>
      <c r="BO223" t="s">
        <v>293</v>
      </c>
      <c r="BP223" t="s">
        <v>292</v>
      </c>
      <c r="BQ223" t="s">
        <v>293</v>
      </c>
      <c r="BR223" t="s">
        <v>293</v>
      </c>
      <c r="BS223" t="s">
        <v>364</v>
      </c>
      <c r="BT223" t="s">
        <v>366</v>
      </c>
      <c r="BU223" t="s">
        <v>371</v>
      </c>
      <c r="BV223" t="s">
        <v>371</v>
      </c>
      <c r="BW223" t="s">
        <v>2666</v>
      </c>
      <c r="BX223" t="str">
        <f>IF(J223="win",VLOOKUP(B223,ColorScheme!$A$2:$I$32,4,0),VLOOKUP(B223,ColorScheme!$A$2:$I$32,5,0))</f>
        <v>#89fe05</v>
      </c>
    </row>
    <row r="224" spans="1:76" x14ac:dyDescent="0.3">
      <c r="A224" t="s">
        <v>43</v>
      </c>
      <c r="B224" t="s">
        <v>49</v>
      </c>
      <c r="C224" t="s">
        <v>21</v>
      </c>
      <c r="D224" t="s">
        <v>29</v>
      </c>
      <c r="E224" t="s">
        <v>926</v>
      </c>
      <c r="F224" t="b">
        <v>1</v>
      </c>
      <c r="G224">
        <v>82.3</v>
      </c>
      <c r="H224">
        <v>0</v>
      </c>
      <c r="I224">
        <v>14547</v>
      </c>
      <c r="J224" s="61" t="s">
        <v>13</v>
      </c>
      <c r="K224" s="16" t="s">
        <v>272</v>
      </c>
      <c r="L224" s="16">
        <v>2</v>
      </c>
      <c r="M224" s="16" t="s">
        <v>277</v>
      </c>
      <c r="N224" s="16" t="s">
        <v>335</v>
      </c>
      <c r="O224" s="15" t="s">
        <v>283</v>
      </c>
      <c r="P224" t="s">
        <v>281</v>
      </c>
      <c r="Q224" t="s">
        <v>284</v>
      </c>
      <c r="R224" s="17" t="s">
        <v>371</v>
      </c>
      <c r="S224" s="17">
        <v>1</v>
      </c>
      <c r="T224" s="17">
        <v>0</v>
      </c>
      <c r="U224" s="17">
        <v>1</v>
      </c>
      <c r="V224" s="17">
        <v>1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 t="s">
        <v>704</v>
      </c>
      <c r="AD224" s="16" t="s">
        <v>341</v>
      </c>
      <c r="AE224" s="16" t="s">
        <v>340</v>
      </c>
      <c r="AF224" s="15" t="s">
        <v>343</v>
      </c>
      <c r="AG224" s="15" t="s">
        <v>344</v>
      </c>
      <c r="AH224" s="17" t="s">
        <v>371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704</v>
      </c>
      <c r="AR224" t="s">
        <v>349</v>
      </c>
      <c r="AS224" t="s">
        <v>349</v>
      </c>
      <c r="AT224">
        <v>1</v>
      </c>
      <c r="AU224">
        <v>0</v>
      </c>
      <c r="AV224">
        <v>0</v>
      </c>
      <c r="AW224" t="s">
        <v>704</v>
      </c>
      <c r="AX224" t="s">
        <v>1274</v>
      </c>
      <c r="AY224" t="s">
        <v>293</v>
      </c>
      <c r="AZ224" t="s">
        <v>354</v>
      </c>
      <c r="BA224" t="s">
        <v>354</v>
      </c>
      <c r="BB224" t="s">
        <v>300</v>
      </c>
      <c r="BC224" t="s">
        <v>292</v>
      </c>
      <c r="BD224" t="s">
        <v>292</v>
      </c>
      <c r="BE224" t="s">
        <v>292</v>
      </c>
      <c r="BF224" t="s">
        <v>292</v>
      </c>
      <c r="BG224" t="s">
        <v>293</v>
      </c>
      <c r="BH224" t="s">
        <v>302</v>
      </c>
      <c r="BI224" t="s">
        <v>302</v>
      </c>
      <c r="BJ224" t="s">
        <v>357</v>
      </c>
      <c r="BK224" t="s">
        <v>293</v>
      </c>
      <c r="BL224" t="s">
        <v>293</v>
      </c>
      <c r="BM224" t="s">
        <v>297</v>
      </c>
      <c r="BN224" t="s">
        <v>356</v>
      </c>
      <c r="BO224" t="s">
        <v>293</v>
      </c>
      <c r="BP224" t="s">
        <v>292</v>
      </c>
      <c r="BQ224" t="s">
        <v>293</v>
      </c>
      <c r="BR224" t="s">
        <v>293</v>
      </c>
      <c r="BS224" t="s">
        <v>364</v>
      </c>
      <c r="BT224" t="s">
        <v>366</v>
      </c>
      <c r="BU224" t="s">
        <v>371</v>
      </c>
      <c r="BV224" t="s">
        <v>371</v>
      </c>
      <c r="BW224" t="s">
        <v>2667</v>
      </c>
      <c r="BX224" t="str">
        <f>IF(J224="win",VLOOKUP(B224,ColorScheme!$A$2:$I$32,4,0),VLOOKUP(B224,ColorScheme!$A$2:$I$32,5,0))</f>
        <v>#89fe05</v>
      </c>
    </row>
    <row r="225" spans="1:76" x14ac:dyDescent="0.3">
      <c r="A225" t="s">
        <v>43</v>
      </c>
      <c r="B225" t="s">
        <v>49</v>
      </c>
      <c r="C225" t="s">
        <v>26</v>
      </c>
      <c r="D225" t="s">
        <v>29</v>
      </c>
      <c r="E225" t="s">
        <v>927</v>
      </c>
      <c r="F225" t="b">
        <v>1</v>
      </c>
      <c r="G225">
        <v>100</v>
      </c>
      <c r="H225">
        <v>1</v>
      </c>
      <c r="I225">
        <v>15498</v>
      </c>
      <c r="J225" s="61" t="s">
        <v>18</v>
      </c>
      <c r="K225" s="16" t="s">
        <v>272</v>
      </c>
      <c r="L225" s="16">
        <v>3</v>
      </c>
      <c r="M225" s="16" t="s">
        <v>277</v>
      </c>
      <c r="N225" s="16" t="s">
        <v>335</v>
      </c>
      <c r="O225" s="15" t="s">
        <v>283</v>
      </c>
      <c r="P225" t="s">
        <v>281</v>
      </c>
      <c r="Q225" t="s">
        <v>284</v>
      </c>
      <c r="R225" s="17" t="s">
        <v>371</v>
      </c>
      <c r="S225" s="17">
        <v>1</v>
      </c>
      <c r="T225" s="17">
        <v>0</v>
      </c>
      <c r="U225" s="17">
        <v>1</v>
      </c>
      <c r="V225" s="17">
        <v>1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 t="s">
        <v>704</v>
      </c>
      <c r="AD225" s="16" t="s">
        <v>341</v>
      </c>
      <c r="AE225" s="16" t="s">
        <v>340</v>
      </c>
      <c r="AF225" s="15" t="s">
        <v>343</v>
      </c>
      <c r="AG225" s="15" t="s">
        <v>344</v>
      </c>
      <c r="AH225" s="17" t="s">
        <v>371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704</v>
      </c>
      <c r="AR225" t="s">
        <v>349</v>
      </c>
      <c r="AS225" t="s">
        <v>349</v>
      </c>
      <c r="AT225">
        <v>1</v>
      </c>
      <c r="AU225">
        <v>0</v>
      </c>
      <c r="AV225">
        <v>0</v>
      </c>
      <c r="AW225" t="s">
        <v>704</v>
      </c>
      <c r="AX225" t="s">
        <v>1274</v>
      </c>
      <c r="AY225" t="s">
        <v>293</v>
      </c>
      <c r="AZ225" t="s">
        <v>353</v>
      </c>
      <c r="BA225" t="s">
        <v>296</v>
      </c>
      <c r="BB225" t="s">
        <v>300</v>
      </c>
      <c r="BC225" t="s">
        <v>292</v>
      </c>
      <c r="BD225" t="s">
        <v>292</v>
      </c>
      <c r="BE225" t="s">
        <v>292</v>
      </c>
      <c r="BF225" t="s">
        <v>292</v>
      </c>
      <c r="BG225" t="s">
        <v>293</v>
      </c>
      <c r="BH225" t="s">
        <v>359</v>
      </c>
      <c r="BI225" t="s">
        <v>302</v>
      </c>
      <c r="BJ225" t="s">
        <v>359</v>
      </c>
      <c r="BK225" t="s">
        <v>293</v>
      </c>
      <c r="BL225" t="s">
        <v>293</v>
      </c>
      <c r="BM225" t="s">
        <v>297</v>
      </c>
      <c r="BN225" t="s">
        <v>356</v>
      </c>
      <c r="BO225" t="s">
        <v>293</v>
      </c>
      <c r="BP225" t="s">
        <v>292</v>
      </c>
      <c r="BQ225" t="s">
        <v>293</v>
      </c>
      <c r="BR225" t="s">
        <v>293</v>
      </c>
      <c r="BS225" t="s">
        <v>364</v>
      </c>
      <c r="BT225" t="s">
        <v>304</v>
      </c>
      <c r="BU225" t="s">
        <v>371</v>
      </c>
      <c r="BV225" t="s">
        <v>371</v>
      </c>
      <c r="BW225" t="s">
        <v>2668</v>
      </c>
      <c r="BX225" t="str">
        <f>IF(J225="win",VLOOKUP(B225,ColorScheme!$A$2:$I$32,4,0),VLOOKUP(B225,ColorScheme!$A$2:$I$32,5,0))</f>
        <v>#89fe0550</v>
      </c>
    </row>
    <row r="226" spans="1:76" x14ac:dyDescent="0.3">
      <c r="A226" t="s">
        <v>43</v>
      </c>
      <c r="B226" t="s">
        <v>49</v>
      </c>
      <c r="C226" t="s">
        <v>22</v>
      </c>
      <c r="D226" t="s">
        <v>29</v>
      </c>
      <c r="E226" t="s">
        <v>928</v>
      </c>
      <c r="F226" t="b">
        <v>1</v>
      </c>
      <c r="G226">
        <v>48.9</v>
      </c>
      <c r="H226">
        <v>0</v>
      </c>
      <c r="I226">
        <v>19244</v>
      </c>
      <c r="J226" s="61" t="s">
        <v>13</v>
      </c>
      <c r="K226" s="16" t="s">
        <v>272</v>
      </c>
      <c r="L226" s="16">
        <v>3</v>
      </c>
      <c r="M226" s="16" t="s">
        <v>277</v>
      </c>
      <c r="N226" s="16" t="s">
        <v>335</v>
      </c>
      <c r="O226" s="15" t="s">
        <v>283</v>
      </c>
      <c r="P226" t="s">
        <v>281</v>
      </c>
      <c r="Q226" t="s">
        <v>284</v>
      </c>
      <c r="R226" s="17" t="s">
        <v>371</v>
      </c>
      <c r="S226" s="17">
        <v>1</v>
      </c>
      <c r="T226" s="17">
        <v>0</v>
      </c>
      <c r="U226" s="17">
        <v>1</v>
      </c>
      <c r="V226" s="17">
        <v>1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 t="s">
        <v>704</v>
      </c>
      <c r="AD226" s="16" t="s">
        <v>341</v>
      </c>
      <c r="AE226" s="16" t="s">
        <v>340</v>
      </c>
      <c r="AF226" s="15" t="s">
        <v>343</v>
      </c>
      <c r="AG226" s="15" t="s">
        <v>344</v>
      </c>
      <c r="AH226" s="17" t="s">
        <v>371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704</v>
      </c>
      <c r="AR226" t="s">
        <v>349</v>
      </c>
      <c r="AS226" t="s">
        <v>349</v>
      </c>
      <c r="AT226">
        <v>1</v>
      </c>
      <c r="AU226">
        <v>0</v>
      </c>
      <c r="AV226">
        <v>0</v>
      </c>
      <c r="AW226" t="s">
        <v>704</v>
      </c>
      <c r="AX226" t="s">
        <v>1274</v>
      </c>
      <c r="AY226" t="s">
        <v>293</v>
      </c>
      <c r="AZ226" t="s">
        <v>353</v>
      </c>
      <c r="BA226" t="s">
        <v>296</v>
      </c>
      <c r="BB226" t="s">
        <v>300</v>
      </c>
      <c r="BC226" t="s">
        <v>292</v>
      </c>
      <c r="BD226" t="s">
        <v>292</v>
      </c>
      <c r="BE226" t="s">
        <v>292</v>
      </c>
      <c r="BF226" t="s">
        <v>292</v>
      </c>
      <c r="BG226" t="s">
        <v>293</v>
      </c>
      <c r="BH226" t="s">
        <v>302</v>
      </c>
      <c r="BI226" t="s">
        <v>302</v>
      </c>
      <c r="BJ226" t="s">
        <v>359</v>
      </c>
      <c r="BK226" t="s">
        <v>293</v>
      </c>
      <c r="BL226" t="s">
        <v>293</v>
      </c>
      <c r="BM226" t="s">
        <v>297</v>
      </c>
      <c r="BN226" t="s">
        <v>356</v>
      </c>
      <c r="BO226" t="s">
        <v>293</v>
      </c>
      <c r="BP226" t="s">
        <v>292</v>
      </c>
      <c r="BQ226" t="s">
        <v>293</v>
      </c>
      <c r="BR226" t="s">
        <v>293</v>
      </c>
      <c r="BS226" t="s">
        <v>364</v>
      </c>
      <c r="BT226" t="s">
        <v>366</v>
      </c>
      <c r="BU226" t="s">
        <v>371</v>
      </c>
      <c r="BV226" t="s">
        <v>371</v>
      </c>
      <c r="BW226" t="s">
        <v>2669</v>
      </c>
      <c r="BX226" t="str">
        <f>IF(J226="win",VLOOKUP(B226,ColorScheme!$A$2:$I$32,4,0),VLOOKUP(B226,ColorScheme!$A$2:$I$32,5,0))</f>
        <v>#89fe05</v>
      </c>
    </row>
    <row r="227" spans="1:76" x14ac:dyDescent="0.3">
      <c r="A227" t="s">
        <v>43</v>
      </c>
      <c r="B227" t="s">
        <v>49</v>
      </c>
      <c r="C227" t="s">
        <v>27</v>
      </c>
      <c r="D227" t="s">
        <v>29</v>
      </c>
      <c r="E227" t="s">
        <v>929</v>
      </c>
      <c r="F227" t="b">
        <v>1</v>
      </c>
      <c r="G227">
        <v>100</v>
      </c>
      <c r="H227">
        <v>1</v>
      </c>
      <c r="I227">
        <v>13569</v>
      </c>
      <c r="J227" s="61" t="s">
        <v>18</v>
      </c>
      <c r="K227" s="16" t="s">
        <v>272</v>
      </c>
      <c r="L227" s="16">
        <v>2</v>
      </c>
      <c r="M227" s="16" t="s">
        <v>277</v>
      </c>
      <c r="N227" s="16" t="s">
        <v>335</v>
      </c>
      <c r="O227" s="15" t="s">
        <v>283</v>
      </c>
      <c r="P227" t="s">
        <v>281</v>
      </c>
      <c r="Q227" t="s">
        <v>284</v>
      </c>
      <c r="R227" s="17" t="s">
        <v>371</v>
      </c>
      <c r="S227" s="17">
        <v>1</v>
      </c>
      <c r="T227" s="17">
        <v>0</v>
      </c>
      <c r="U227" s="17">
        <v>1</v>
      </c>
      <c r="V227" s="17">
        <v>1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 t="s">
        <v>704</v>
      </c>
      <c r="AD227" s="16" t="s">
        <v>341</v>
      </c>
      <c r="AE227" s="16" t="s">
        <v>340</v>
      </c>
      <c r="AF227" s="15" t="s">
        <v>340</v>
      </c>
      <c r="AG227" s="15" t="s">
        <v>344</v>
      </c>
      <c r="AH227" s="17" t="s">
        <v>371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704</v>
      </c>
      <c r="AR227" t="s">
        <v>349</v>
      </c>
      <c r="AS227" t="s">
        <v>349</v>
      </c>
      <c r="AT227">
        <v>1</v>
      </c>
      <c r="AU227">
        <v>0</v>
      </c>
      <c r="AV227">
        <v>0</v>
      </c>
      <c r="AW227" t="s">
        <v>704</v>
      </c>
      <c r="AX227" t="s">
        <v>1274</v>
      </c>
      <c r="AY227" t="s">
        <v>293</v>
      </c>
      <c r="AZ227" t="s">
        <v>354</v>
      </c>
      <c r="BA227" t="s">
        <v>354</v>
      </c>
      <c r="BB227" t="s">
        <v>300</v>
      </c>
      <c r="BC227" t="s">
        <v>292</v>
      </c>
      <c r="BD227" t="s">
        <v>292</v>
      </c>
      <c r="BE227" t="s">
        <v>292</v>
      </c>
      <c r="BF227" t="s">
        <v>292</v>
      </c>
      <c r="BG227" t="s">
        <v>293</v>
      </c>
      <c r="BH227" t="s">
        <v>358</v>
      </c>
      <c r="BI227" t="s">
        <v>302</v>
      </c>
      <c r="BJ227" t="s">
        <v>357</v>
      </c>
      <c r="BK227" t="s">
        <v>293</v>
      </c>
      <c r="BL227" t="s">
        <v>293</v>
      </c>
      <c r="BM227" t="s">
        <v>297</v>
      </c>
      <c r="BN227" t="s">
        <v>356</v>
      </c>
      <c r="BO227" t="s">
        <v>293</v>
      </c>
      <c r="BP227" t="s">
        <v>292</v>
      </c>
      <c r="BQ227" t="s">
        <v>293</v>
      </c>
      <c r="BR227" t="s">
        <v>293</v>
      </c>
      <c r="BS227" t="s">
        <v>364</v>
      </c>
      <c r="BT227" t="s">
        <v>304</v>
      </c>
      <c r="BU227" t="s">
        <v>371</v>
      </c>
      <c r="BV227" t="s">
        <v>371</v>
      </c>
      <c r="BW227" t="s">
        <v>2670</v>
      </c>
      <c r="BX227" t="str">
        <f>IF(J227="win",VLOOKUP(B227,ColorScheme!$A$2:$I$32,4,0),VLOOKUP(B227,ColorScheme!$A$2:$I$32,5,0))</f>
        <v>#89fe0550</v>
      </c>
    </row>
    <row r="228" spans="1:76" x14ac:dyDescent="0.3">
      <c r="A228" t="s">
        <v>43</v>
      </c>
      <c r="B228" t="s">
        <v>49</v>
      </c>
      <c r="C228" t="s">
        <v>28</v>
      </c>
      <c r="D228" t="s">
        <v>29</v>
      </c>
      <c r="E228" t="s">
        <v>930</v>
      </c>
      <c r="F228" t="b">
        <v>1</v>
      </c>
      <c r="G228">
        <v>85.1</v>
      </c>
      <c r="H228">
        <v>0</v>
      </c>
      <c r="I228">
        <v>14602</v>
      </c>
      <c r="J228" s="61" t="s">
        <v>13</v>
      </c>
      <c r="K228" s="16" t="s">
        <v>272</v>
      </c>
      <c r="L228" s="16">
        <v>2</v>
      </c>
      <c r="M228" s="16" t="s">
        <v>277</v>
      </c>
      <c r="N228" s="16" t="s">
        <v>335</v>
      </c>
      <c r="O228" s="15" t="s">
        <v>283</v>
      </c>
      <c r="P228" t="s">
        <v>281</v>
      </c>
      <c r="Q228" t="s">
        <v>284</v>
      </c>
      <c r="R228" s="17" t="s">
        <v>371</v>
      </c>
      <c r="S228" s="17">
        <v>1</v>
      </c>
      <c r="T228" s="17">
        <v>0</v>
      </c>
      <c r="U228" s="17">
        <v>1</v>
      </c>
      <c r="V228" s="17">
        <v>1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 t="s">
        <v>704</v>
      </c>
      <c r="AD228" s="16" t="s">
        <v>341</v>
      </c>
      <c r="AE228" s="16" t="s">
        <v>340</v>
      </c>
      <c r="AF228" s="15" t="s">
        <v>340</v>
      </c>
      <c r="AG228" s="15" t="s">
        <v>344</v>
      </c>
      <c r="AH228" s="17" t="s">
        <v>371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704</v>
      </c>
      <c r="AR228" t="s">
        <v>349</v>
      </c>
      <c r="AS228" t="s">
        <v>349</v>
      </c>
      <c r="AT228">
        <v>1</v>
      </c>
      <c r="AU228">
        <v>0</v>
      </c>
      <c r="AV228">
        <v>0</v>
      </c>
      <c r="AW228" t="s">
        <v>704</v>
      </c>
      <c r="AX228" t="s">
        <v>1274</v>
      </c>
      <c r="AY228" t="s">
        <v>293</v>
      </c>
      <c r="AZ228" t="s">
        <v>354</v>
      </c>
      <c r="BA228" t="s">
        <v>354</v>
      </c>
      <c r="BB228" t="s">
        <v>300</v>
      </c>
      <c r="BC228" t="s">
        <v>292</v>
      </c>
      <c r="BD228" t="s">
        <v>292</v>
      </c>
      <c r="BE228" t="s">
        <v>292</v>
      </c>
      <c r="BF228" t="s">
        <v>292</v>
      </c>
      <c r="BG228" t="s">
        <v>293</v>
      </c>
      <c r="BH228" t="s">
        <v>302</v>
      </c>
      <c r="BI228" t="s">
        <v>302</v>
      </c>
      <c r="BJ228" t="s">
        <v>357</v>
      </c>
      <c r="BK228" t="s">
        <v>293</v>
      </c>
      <c r="BL228" t="s">
        <v>293</v>
      </c>
      <c r="BM228" t="s">
        <v>297</v>
      </c>
      <c r="BN228" t="s">
        <v>356</v>
      </c>
      <c r="BO228" t="s">
        <v>293</v>
      </c>
      <c r="BP228" t="s">
        <v>292</v>
      </c>
      <c r="BQ228" t="s">
        <v>293</v>
      </c>
      <c r="BR228" t="s">
        <v>293</v>
      </c>
      <c r="BS228" t="s">
        <v>364</v>
      </c>
      <c r="BT228" t="s">
        <v>366</v>
      </c>
      <c r="BU228" t="s">
        <v>371</v>
      </c>
      <c r="BV228" t="s">
        <v>371</v>
      </c>
      <c r="BW228" t="s">
        <v>2671</v>
      </c>
      <c r="BX228" t="str">
        <f>IF(J228="win",VLOOKUP(B228,ColorScheme!$A$2:$I$32,4,0),VLOOKUP(B228,ColorScheme!$A$2:$I$32,5,0))</f>
        <v>#89fe05</v>
      </c>
    </row>
    <row r="229" spans="1:76" x14ac:dyDescent="0.3">
      <c r="A229" t="s">
        <v>43</v>
      </c>
      <c r="B229" t="s">
        <v>62</v>
      </c>
      <c r="C229" t="s">
        <v>15</v>
      </c>
      <c r="D229" t="s">
        <v>12</v>
      </c>
      <c r="E229" t="s">
        <v>931</v>
      </c>
      <c r="F229" t="b">
        <v>1</v>
      </c>
      <c r="G229">
        <v>49.9</v>
      </c>
      <c r="H229">
        <v>0</v>
      </c>
      <c r="I229">
        <v>11608</v>
      </c>
      <c r="J229" s="61" t="s">
        <v>13</v>
      </c>
      <c r="K229" s="16" t="s">
        <v>272</v>
      </c>
      <c r="L229" s="16">
        <v>3</v>
      </c>
      <c r="M229" s="16" t="s">
        <v>277</v>
      </c>
      <c r="N229" s="16" t="s">
        <v>335</v>
      </c>
      <c r="O229" s="15" t="s">
        <v>282</v>
      </c>
      <c r="P229" t="s">
        <v>371</v>
      </c>
      <c r="Q229" t="s">
        <v>371</v>
      </c>
      <c r="R229" s="17" t="s">
        <v>371</v>
      </c>
      <c r="S229" s="17">
        <v>0</v>
      </c>
      <c r="T229" s="17">
        <v>1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 t="s">
        <v>704</v>
      </c>
      <c r="AD229" s="16" t="s">
        <v>341</v>
      </c>
      <c r="AE229" s="16" t="s">
        <v>342</v>
      </c>
      <c r="AF229" s="15" t="s">
        <v>343</v>
      </c>
      <c r="AG229" s="15" t="s">
        <v>344</v>
      </c>
      <c r="AH229" s="17" t="s">
        <v>371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704</v>
      </c>
      <c r="AR229" t="s">
        <v>349</v>
      </c>
      <c r="AS229" t="s">
        <v>349</v>
      </c>
      <c r="AT229">
        <v>1</v>
      </c>
      <c r="AU229">
        <v>0</v>
      </c>
      <c r="AV229">
        <v>0</v>
      </c>
      <c r="AW229" t="s">
        <v>704</v>
      </c>
      <c r="AX229" t="s">
        <v>1208</v>
      </c>
      <c r="AY229" t="s">
        <v>293</v>
      </c>
      <c r="AZ229" t="s">
        <v>353</v>
      </c>
      <c r="BA229" t="s">
        <v>297</v>
      </c>
      <c r="BB229" t="s">
        <v>301</v>
      </c>
      <c r="BC229" t="s">
        <v>292</v>
      </c>
      <c r="BD229" t="s">
        <v>293</v>
      </c>
      <c r="BE229" t="s">
        <v>292</v>
      </c>
      <c r="BF229" t="s">
        <v>293</v>
      </c>
      <c r="BG229" t="s">
        <v>293</v>
      </c>
      <c r="BH229" t="s">
        <v>302</v>
      </c>
      <c r="BI229" t="s">
        <v>302</v>
      </c>
      <c r="BJ229" t="s">
        <v>359</v>
      </c>
      <c r="BK229" t="s">
        <v>293</v>
      </c>
      <c r="BL229" t="s">
        <v>293</v>
      </c>
      <c r="BM229" t="s">
        <v>297</v>
      </c>
      <c r="BN229" t="s">
        <v>298</v>
      </c>
      <c r="BO229" t="s">
        <v>293</v>
      </c>
      <c r="BP229" t="s">
        <v>292</v>
      </c>
      <c r="BQ229" t="s">
        <v>293</v>
      </c>
      <c r="BR229" t="s">
        <v>293</v>
      </c>
      <c r="BS229" t="s">
        <v>364</v>
      </c>
      <c r="BT229" t="s">
        <v>366</v>
      </c>
      <c r="BU229" t="s">
        <v>371</v>
      </c>
      <c r="BV229" t="s">
        <v>371</v>
      </c>
      <c r="BW229" t="s">
        <v>2672</v>
      </c>
      <c r="BX229" t="str">
        <f>IF(J229="win",VLOOKUP(B229,ColorScheme!$A$2:$I$32,4,0),VLOOKUP(B229,ColorScheme!$A$2:$I$32,5,0))</f>
        <v>#bf77f6</v>
      </c>
    </row>
    <row r="230" spans="1:76" x14ac:dyDescent="0.3">
      <c r="A230" t="s">
        <v>43</v>
      </c>
      <c r="B230" t="s">
        <v>62</v>
      </c>
      <c r="C230" t="s">
        <v>23</v>
      </c>
      <c r="D230" t="s">
        <v>12</v>
      </c>
      <c r="E230" t="s">
        <v>932</v>
      </c>
      <c r="F230" t="b">
        <v>1</v>
      </c>
      <c r="G230">
        <v>72.8</v>
      </c>
      <c r="H230">
        <v>0</v>
      </c>
      <c r="I230">
        <v>10898</v>
      </c>
      <c r="J230" s="61" t="s">
        <v>13</v>
      </c>
      <c r="K230" s="16" t="s">
        <v>272</v>
      </c>
      <c r="L230" s="16">
        <v>3</v>
      </c>
      <c r="M230" s="16" t="s">
        <v>277</v>
      </c>
      <c r="N230" s="16" t="s">
        <v>335</v>
      </c>
      <c r="O230" s="15" t="s">
        <v>283</v>
      </c>
      <c r="P230" t="s">
        <v>284</v>
      </c>
      <c r="Q230" t="s">
        <v>371</v>
      </c>
      <c r="R230" s="17" t="s">
        <v>371</v>
      </c>
      <c r="S230" s="17">
        <v>0</v>
      </c>
      <c r="T230" s="17">
        <v>0</v>
      </c>
      <c r="U230" s="17">
        <v>1</v>
      </c>
      <c r="V230" s="17">
        <v>1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 t="s">
        <v>704</v>
      </c>
      <c r="AD230" s="16" t="s">
        <v>341</v>
      </c>
      <c r="AE230" s="16" t="s">
        <v>340</v>
      </c>
      <c r="AF230" s="15" t="s">
        <v>343</v>
      </c>
      <c r="AG230" s="15" t="s">
        <v>344</v>
      </c>
      <c r="AH230" s="17" t="s">
        <v>371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704</v>
      </c>
      <c r="AR230" t="s">
        <v>349</v>
      </c>
      <c r="AS230" t="s">
        <v>349</v>
      </c>
      <c r="AT230">
        <v>1</v>
      </c>
      <c r="AU230">
        <v>0</v>
      </c>
      <c r="AV230">
        <v>0</v>
      </c>
      <c r="AW230" t="s">
        <v>704</v>
      </c>
      <c r="AX230" t="s">
        <v>1221</v>
      </c>
      <c r="AY230" t="s">
        <v>293</v>
      </c>
      <c r="AZ230" t="s">
        <v>352</v>
      </c>
      <c r="BA230" t="s">
        <v>297</v>
      </c>
      <c r="BB230" t="s">
        <v>301</v>
      </c>
      <c r="BC230" t="s">
        <v>292</v>
      </c>
      <c r="BD230" t="s">
        <v>293</v>
      </c>
      <c r="BE230" t="s">
        <v>292</v>
      </c>
      <c r="BF230" t="s">
        <v>293</v>
      </c>
      <c r="BG230" t="s">
        <v>293</v>
      </c>
      <c r="BH230" t="s">
        <v>302</v>
      </c>
      <c r="BI230" t="s">
        <v>302</v>
      </c>
      <c r="BJ230" t="s">
        <v>359</v>
      </c>
      <c r="BK230" t="s">
        <v>293</v>
      </c>
      <c r="BL230" t="s">
        <v>293</v>
      </c>
      <c r="BM230" t="s">
        <v>297</v>
      </c>
      <c r="BN230" t="s">
        <v>298</v>
      </c>
      <c r="BO230" t="s">
        <v>293</v>
      </c>
      <c r="BP230" t="s">
        <v>292</v>
      </c>
      <c r="BQ230" t="s">
        <v>293</v>
      </c>
      <c r="BR230" t="s">
        <v>293</v>
      </c>
      <c r="BS230" t="s">
        <v>364</v>
      </c>
      <c r="BT230" t="s">
        <v>366</v>
      </c>
      <c r="BU230" t="s">
        <v>371</v>
      </c>
      <c r="BV230" t="s">
        <v>371</v>
      </c>
      <c r="BW230" t="s">
        <v>2673</v>
      </c>
      <c r="BX230" t="str">
        <f>IF(J230="win",VLOOKUP(B230,ColorScheme!$A$2:$I$32,4,0),VLOOKUP(B230,ColorScheme!$A$2:$I$32,5,0))</f>
        <v>#bf77f6</v>
      </c>
    </row>
    <row r="231" spans="1:76" x14ac:dyDescent="0.3">
      <c r="A231" t="s">
        <v>43</v>
      </c>
      <c r="B231" t="s">
        <v>62</v>
      </c>
      <c r="C231" t="s">
        <v>14</v>
      </c>
      <c r="D231" t="s">
        <v>12</v>
      </c>
      <c r="E231" t="s">
        <v>933</v>
      </c>
      <c r="F231" t="b">
        <v>1</v>
      </c>
      <c r="G231">
        <v>100</v>
      </c>
      <c r="H231">
        <v>1</v>
      </c>
      <c r="I231">
        <v>11266</v>
      </c>
      <c r="J231" s="61" t="s">
        <v>18</v>
      </c>
      <c r="K231" s="16" t="s">
        <v>272</v>
      </c>
      <c r="L231" s="16">
        <v>3</v>
      </c>
      <c r="M231" s="16" t="s">
        <v>277</v>
      </c>
      <c r="N231" s="16" t="s">
        <v>335</v>
      </c>
      <c r="O231" s="15" t="s">
        <v>282</v>
      </c>
      <c r="P231" t="s">
        <v>371</v>
      </c>
      <c r="Q231" t="s">
        <v>371</v>
      </c>
      <c r="R231" s="17" t="s">
        <v>371</v>
      </c>
      <c r="S231" s="17">
        <v>0</v>
      </c>
      <c r="T231" s="17">
        <v>1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 t="s">
        <v>704</v>
      </c>
      <c r="AD231" s="16" t="s">
        <v>341</v>
      </c>
      <c r="AE231" s="16" t="s">
        <v>342</v>
      </c>
      <c r="AF231" s="15" t="s">
        <v>343</v>
      </c>
      <c r="AG231" s="15" t="s">
        <v>344</v>
      </c>
      <c r="AH231" s="17" t="s">
        <v>371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704</v>
      </c>
      <c r="AR231" t="s">
        <v>349</v>
      </c>
      <c r="AS231" t="s">
        <v>349</v>
      </c>
      <c r="AT231">
        <v>1</v>
      </c>
      <c r="AU231">
        <v>0</v>
      </c>
      <c r="AV231">
        <v>0</v>
      </c>
      <c r="AW231" t="s">
        <v>704</v>
      </c>
      <c r="AX231" t="s">
        <v>1208</v>
      </c>
      <c r="AY231" t="s">
        <v>293</v>
      </c>
      <c r="AZ231" t="s">
        <v>353</v>
      </c>
      <c r="BA231" t="s">
        <v>297</v>
      </c>
      <c r="BB231" t="s">
        <v>301</v>
      </c>
      <c r="BC231" t="s">
        <v>292</v>
      </c>
      <c r="BD231" t="s">
        <v>293</v>
      </c>
      <c r="BE231" t="s">
        <v>292</v>
      </c>
      <c r="BF231" t="s">
        <v>293</v>
      </c>
      <c r="BG231" t="s">
        <v>293</v>
      </c>
      <c r="BH231" t="s">
        <v>302</v>
      </c>
      <c r="BI231" t="s">
        <v>302</v>
      </c>
      <c r="BJ231" t="s">
        <v>359</v>
      </c>
      <c r="BK231" t="s">
        <v>293</v>
      </c>
      <c r="BL231" t="s">
        <v>293</v>
      </c>
      <c r="BM231" t="s">
        <v>297</v>
      </c>
      <c r="BN231" t="s">
        <v>298</v>
      </c>
      <c r="BO231" t="s">
        <v>293</v>
      </c>
      <c r="BP231" t="s">
        <v>292</v>
      </c>
      <c r="BQ231" t="s">
        <v>293</v>
      </c>
      <c r="BR231" t="s">
        <v>293</v>
      </c>
      <c r="BS231" t="s">
        <v>364</v>
      </c>
      <c r="BT231" t="s">
        <v>304</v>
      </c>
      <c r="BU231" t="s">
        <v>371</v>
      </c>
      <c r="BV231" t="s">
        <v>371</v>
      </c>
      <c r="BW231" t="s">
        <v>2674</v>
      </c>
      <c r="BX231" t="str">
        <f>IF(J231="win",VLOOKUP(B231,ColorScheme!$A$2:$I$32,4,0),VLOOKUP(B231,ColorScheme!$A$2:$I$32,5,0))</f>
        <v>#bf77f650</v>
      </c>
    </row>
    <row r="232" spans="1:76" x14ac:dyDescent="0.3">
      <c r="A232" t="s">
        <v>43</v>
      </c>
      <c r="B232" t="s">
        <v>62</v>
      </c>
      <c r="C232" t="s">
        <v>25</v>
      </c>
      <c r="D232" t="s">
        <v>12</v>
      </c>
      <c r="E232" t="s">
        <v>934</v>
      </c>
      <c r="F232" t="b">
        <v>1</v>
      </c>
      <c r="G232">
        <v>100</v>
      </c>
      <c r="H232">
        <v>1</v>
      </c>
      <c r="I232">
        <v>9089</v>
      </c>
      <c r="J232" s="61" t="s">
        <v>18</v>
      </c>
      <c r="K232" s="16" t="s">
        <v>272</v>
      </c>
      <c r="L232" s="16">
        <v>3</v>
      </c>
      <c r="M232" s="16" t="s">
        <v>277</v>
      </c>
      <c r="N232" s="16" t="s">
        <v>335</v>
      </c>
      <c r="O232" s="15" t="s">
        <v>283</v>
      </c>
      <c r="P232" t="s">
        <v>284</v>
      </c>
      <c r="Q232" t="s">
        <v>371</v>
      </c>
      <c r="R232" s="17" t="s">
        <v>371</v>
      </c>
      <c r="S232" s="17">
        <v>0</v>
      </c>
      <c r="T232" s="17">
        <v>0</v>
      </c>
      <c r="U232" s="17">
        <v>1</v>
      </c>
      <c r="V232" s="17">
        <v>1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 t="s">
        <v>704</v>
      </c>
      <c r="AD232" s="16" t="s">
        <v>341</v>
      </c>
      <c r="AE232" s="16" t="s">
        <v>340</v>
      </c>
      <c r="AF232" s="15" t="s">
        <v>343</v>
      </c>
      <c r="AG232" s="15" t="s">
        <v>344</v>
      </c>
      <c r="AH232" s="17" t="s">
        <v>371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704</v>
      </c>
      <c r="AR232" t="s">
        <v>349</v>
      </c>
      <c r="AS232" t="s">
        <v>349</v>
      </c>
      <c r="AT232">
        <v>1</v>
      </c>
      <c r="AU232">
        <v>0</v>
      </c>
      <c r="AV232">
        <v>0</v>
      </c>
      <c r="AW232" t="s">
        <v>704</v>
      </c>
      <c r="AX232" t="s">
        <v>1221</v>
      </c>
      <c r="AY232" t="s">
        <v>293</v>
      </c>
      <c r="AZ232" t="s">
        <v>352</v>
      </c>
      <c r="BA232" t="s">
        <v>297</v>
      </c>
      <c r="BB232" t="s">
        <v>300</v>
      </c>
      <c r="BC232" t="s">
        <v>292</v>
      </c>
      <c r="BD232" t="s">
        <v>293</v>
      </c>
      <c r="BE232" t="s">
        <v>292</v>
      </c>
      <c r="BF232" t="s">
        <v>293</v>
      </c>
      <c r="BG232" t="s">
        <v>293</v>
      </c>
      <c r="BH232" t="s">
        <v>302</v>
      </c>
      <c r="BI232" t="s">
        <v>302</v>
      </c>
      <c r="BJ232" t="s">
        <v>359</v>
      </c>
      <c r="BK232" t="s">
        <v>293</v>
      </c>
      <c r="BL232" t="s">
        <v>293</v>
      </c>
      <c r="BM232" t="s">
        <v>297</v>
      </c>
      <c r="BN232" t="s">
        <v>298</v>
      </c>
      <c r="BO232" t="s">
        <v>293</v>
      </c>
      <c r="BP232" t="s">
        <v>292</v>
      </c>
      <c r="BQ232" t="s">
        <v>293</v>
      </c>
      <c r="BR232" t="s">
        <v>293</v>
      </c>
      <c r="BS232" t="s">
        <v>364</v>
      </c>
      <c r="BT232" t="s">
        <v>304</v>
      </c>
      <c r="BU232" t="s">
        <v>371</v>
      </c>
      <c r="BV232" t="s">
        <v>371</v>
      </c>
      <c r="BW232" t="s">
        <v>2675</v>
      </c>
      <c r="BX232" t="str">
        <f>IF(J232="win",VLOOKUP(B232,ColorScheme!$A$2:$I$32,4,0),VLOOKUP(B232,ColorScheme!$A$2:$I$32,5,0))</f>
        <v>#bf77f650</v>
      </c>
    </row>
    <row r="233" spans="1:76" x14ac:dyDescent="0.3">
      <c r="A233" t="s">
        <v>43</v>
      </c>
      <c r="B233" t="s">
        <v>62</v>
      </c>
      <c r="C233" t="s">
        <v>11</v>
      </c>
      <c r="D233" t="s">
        <v>12</v>
      </c>
      <c r="E233" t="s">
        <v>935</v>
      </c>
      <c r="F233" t="b">
        <v>1</v>
      </c>
      <c r="G233">
        <v>100</v>
      </c>
      <c r="H233">
        <v>1</v>
      </c>
      <c r="I233">
        <v>10163</v>
      </c>
      <c r="J233" s="61" t="s">
        <v>18</v>
      </c>
      <c r="K233" s="16" t="s">
        <v>272</v>
      </c>
      <c r="L233" s="16">
        <v>2</v>
      </c>
      <c r="M233" s="16" t="s">
        <v>277</v>
      </c>
      <c r="N233" s="16" t="s">
        <v>335</v>
      </c>
      <c r="O233" s="15" t="s">
        <v>282</v>
      </c>
      <c r="P233" t="s">
        <v>371</v>
      </c>
      <c r="Q233" t="s">
        <v>371</v>
      </c>
      <c r="R233" s="17" t="s">
        <v>371</v>
      </c>
      <c r="S233" s="17">
        <v>0</v>
      </c>
      <c r="T233" s="17">
        <v>1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 t="s">
        <v>704</v>
      </c>
      <c r="AD233" s="16" t="s">
        <v>341</v>
      </c>
      <c r="AE233" s="16" t="s">
        <v>340</v>
      </c>
      <c r="AF233" s="15" t="s">
        <v>340</v>
      </c>
      <c r="AG233" s="15" t="s">
        <v>344</v>
      </c>
      <c r="AH233" s="17" t="s">
        <v>371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704</v>
      </c>
      <c r="AR233" t="s">
        <v>349</v>
      </c>
      <c r="AS233" t="s">
        <v>349</v>
      </c>
      <c r="AT233">
        <v>1</v>
      </c>
      <c r="AU233">
        <v>0</v>
      </c>
      <c r="AV233">
        <v>0</v>
      </c>
      <c r="AW233" t="s">
        <v>704</v>
      </c>
      <c r="AX233" t="s">
        <v>1208</v>
      </c>
      <c r="AY233" t="s">
        <v>293</v>
      </c>
      <c r="AZ233" t="s">
        <v>354</v>
      </c>
      <c r="BA233" t="s">
        <v>354</v>
      </c>
      <c r="BB233" t="s">
        <v>301</v>
      </c>
      <c r="BC233" t="s">
        <v>292</v>
      </c>
      <c r="BD233" t="s">
        <v>293</v>
      </c>
      <c r="BE233" t="s">
        <v>292</v>
      </c>
      <c r="BF233" t="s">
        <v>293</v>
      </c>
      <c r="BG233" t="s">
        <v>293</v>
      </c>
      <c r="BH233" t="s">
        <v>302</v>
      </c>
      <c r="BI233" t="s">
        <v>302</v>
      </c>
      <c r="BJ233" t="s">
        <v>357</v>
      </c>
      <c r="BK233" t="s">
        <v>293</v>
      </c>
      <c r="BL233" t="s">
        <v>293</v>
      </c>
      <c r="BM233" t="s">
        <v>297</v>
      </c>
      <c r="BN233" t="s">
        <v>298</v>
      </c>
      <c r="BO233" t="s">
        <v>293</v>
      </c>
      <c r="BP233" t="s">
        <v>292</v>
      </c>
      <c r="BQ233" t="s">
        <v>293</v>
      </c>
      <c r="BR233" t="s">
        <v>293</v>
      </c>
      <c r="BS233" t="s">
        <v>364</v>
      </c>
      <c r="BT233" t="s">
        <v>304</v>
      </c>
      <c r="BU233" t="s">
        <v>371</v>
      </c>
      <c r="BV233" t="s">
        <v>371</v>
      </c>
      <c r="BW233" t="s">
        <v>2676</v>
      </c>
      <c r="BX233" t="str">
        <f>IF(J233="win",VLOOKUP(B233,ColorScheme!$A$2:$I$32,4,0),VLOOKUP(B233,ColorScheme!$A$2:$I$32,5,0))</f>
        <v>#bf77f650</v>
      </c>
    </row>
    <row r="234" spans="1:76" x14ac:dyDescent="0.3">
      <c r="A234" t="s">
        <v>43</v>
      </c>
      <c r="B234" t="s">
        <v>62</v>
      </c>
      <c r="C234" t="s">
        <v>24</v>
      </c>
      <c r="D234" t="s">
        <v>12</v>
      </c>
      <c r="E234" t="s">
        <v>936</v>
      </c>
      <c r="F234" t="b">
        <v>1</v>
      </c>
      <c r="G234">
        <v>100</v>
      </c>
      <c r="H234">
        <v>1</v>
      </c>
      <c r="I234">
        <v>9273</v>
      </c>
      <c r="J234" s="61" t="s">
        <v>18</v>
      </c>
      <c r="K234" s="16" t="s">
        <v>272</v>
      </c>
      <c r="L234" s="16">
        <v>3</v>
      </c>
      <c r="M234" s="16" t="s">
        <v>277</v>
      </c>
      <c r="N234" s="16" t="s">
        <v>335</v>
      </c>
      <c r="O234" s="15" t="s">
        <v>283</v>
      </c>
      <c r="P234" t="s">
        <v>284</v>
      </c>
      <c r="Q234" t="s">
        <v>371</v>
      </c>
      <c r="R234" s="17" t="s">
        <v>371</v>
      </c>
      <c r="S234" s="17">
        <v>0</v>
      </c>
      <c r="T234" s="17">
        <v>0</v>
      </c>
      <c r="U234" s="17">
        <v>1</v>
      </c>
      <c r="V234" s="17">
        <v>1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 t="s">
        <v>704</v>
      </c>
      <c r="AD234" s="16" t="s">
        <v>341</v>
      </c>
      <c r="AE234" s="16" t="s">
        <v>340</v>
      </c>
      <c r="AF234" s="15" t="s">
        <v>343</v>
      </c>
      <c r="AG234" s="15" t="s">
        <v>344</v>
      </c>
      <c r="AH234" s="17" t="s">
        <v>345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704</v>
      </c>
      <c r="AR234" t="s">
        <v>349</v>
      </c>
      <c r="AS234" t="s">
        <v>349</v>
      </c>
      <c r="AT234">
        <v>1</v>
      </c>
      <c r="AU234">
        <v>0</v>
      </c>
      <c r="AV234">
        <v>0</v>
      </c>
      <c r="AW234" t="s">
        <v>704</v>
      </c>
      <c r="AX234" t="s">
        <v>1275</v>
      </c>
      <c r="AY234" t="s">
        <v>293</v>
      </c>
      <c r="AZ234" t="s">
        <v>352</v>
      </c>
      <c r="BA234" t="s">
        <v>297</v>
      </c>
      <c r="BB234" t="s">
        <v>300</v>
      </c>
      <c r="BC234" t="s">
        <v>292</v>
      </c>
      <c r="BD234" t="s">
        <v>293</v>
      </c>
      <c r="BE234" t="s">
        <v>292</v>
      </c>
      <c r="BF234" t="s">
        <v>293</v>
      </c>
      <c r="BG234" t="s">
        <v>293</v>
      </c>
      <c r="BH234" t="s">
        <v>302</v>
      </c>
      <c r="BI234" t="s">
        <v>302</v>
      </c>
      <c r="BJ234" t="s">
        <v>359</v>
      </c>
      <c r="BK234" t="s">
        <v>293</v>
      </c>
      <c r="BL234" t="s">
        <v>293</v>
      </c>
      <c r="BM234" t="s">
        <v>297</v>
      </c>
      <c r="BN234" t="s">
        <v>298</v>
      </c>
      <c r="BO234" t="s">
        <v>293</v>
      </c>
      <c r="BP234" t="s">
        <v>292</v>
      </c>
      <c r="BQ234" t="s">
        <v>293</v>
      </c>
      <c r="BR234" t="s">
        <v>293</v>
      </c>
      <c r="BS234" t="s">
        <v>364</v>
      </c>
      <c r="BT234" t="s">
        <v>304</v>
      </c>
      <c r="BU234" t="s">
        <v>371</v>
      </c>
      <c r="BV234" t="s">
        <v>371</v>
      </c>
      <c r="BW234" t="s">
        <v>2677</v>
      </c>
      <c r="BX234" t="str">
        <f>IF(J234="win",VLOOKUP(B234,ColorScheme!$A$2:$I$32,4,0),VLOOKUP(B234,ColorScheme!$A$2:$I$32,5,0))</f>
        <v>#bf77f650</v>
      </c>
    </row>
    <row r="235" spans="1:76" x14ac:dyDescent="0.3">
      <c r="A235" t="s">
        <v>43</v>
      </c>
      <c r="B235" t="s">
        <v>62</v>
      </c>
      <c r="C235" t="s">
        <v>21</v>
      </c>
      <c r="D235" t="s">
        <v>12</v>
      </c>
      <c r="E235" t="s">
        <v>937</v>
      </c>
      <c r="F235" t="b">
        <v>1</v>
      </c>
      <c r="G235">
        <v>95</v>
      </c>
      <c r="H235">
        <v>0</v>
      </c>
      <c r="I235">
        <v>8461</v>
      </c>
      <c r="J235" s="61" t="s">
        <v>13</v>
      </c>
      <c r="K235" s="16" t="s">
        <v>272</v>
      </c>
      <c r="L235" s="16">
        <v>3</v>
      </c>
      <c r="M235" s="16" t="s">
        <v>277</v>
      </c>
      <c r="N235" s="16" t="s">
        <v>335</v>
      </c>
      <c r="O235" s="15" t="s">
        <v>282</v>
      </c>
      <c r="P235" t="s">
        <v>371</v>
      </c>
      <c r="Q235" t="s">
        <v>371</v>
      </c>
      <c r="R235" s="17" t="s">
        <v>371</v>
      </c>
      <c r="S235" s="17">
        <v>0</v>
      </c>
      <c r="T235" s="17">
        <v>1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 t="s">
        <v>704</v>
      </c>
      <c r="AD235" s="16" t="s">
        <v>341</v>
      </c>
      <c r="AE235" s="16" t="s">
        <v>342</v>
      </c>
      <c r="AF235" s="15" t="s">
        <v>343</v>
      </c>
      <c r="AG235" s="15" t="s">
        <v>344</v>
      </c>
      <c r="AH235" s="17" t="s">
        <v>371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704</v>
      </c>
      <c r="AR235" t="s">
        <v>349</v>
      </c>
      <c r="AS235" t="s">
        <v>349</v>
      </c>
      <c r="AT235">
        <v>1</v>
      </c>
      <c r="AU235">
        <v>0</v>
      </c>
      <c r="AV235">
        <v>0</v>
      </c>
      <c r="AW235" t="s">
        <v>704</v>
      </c>
      <c r="AX235" t="s">
        <v>1208</v>
      </c>
      <c r="AY235" t="s">
        <v>293</v>
      </c>
      <c r="AZ235" t="s">
        <v>353</v>
      </c>
      <c r="BA235" t="s">
        <v>297</v>
      </c>
      <c r="BB235" t="s">
        <v>299</v>
      </c>
      <c r="BC235" t="s">
        <v>292</v>
      </c>
      <c r="BD235" t="s">
        <v>293</v>
      </c>
      <c r="BE235" t="s">
        <v>292</v>
      </c>
      <c r="BF235" t="s">
        <v>293</v>
      </c>
      <c r="BG235" t="s">
        <v>293</v>
      </c>
      <c r="BH235" t="s">
        <v>302</v>
      </c>
      <c r="BI235" t="s">
        <v>302</v>
      </c>
      <c r="BJ235" t="s">
        <v>359</v>
      </c>
      <c r="BK235" t="s">
        <v>293</v>
      </c>
      <c r="BL235" t="s">
        <v>293</v>
      </c>
      <c r="BM235" t="s">
        <v>297</v>
      </c>
      <c r="BN235" t="s">
        <v>298</v>
      </c>
      <c r="BO235" t="s">
        <v>293</v>
      </c>
      <c r="BP235" t="s">
        <v>292</v>
      </c>
      <c r="BQ235" t="s">
        <v>293</v>
      </c>
      <c r="BR235" t="s">
        <v>293</v>
      </c>
      <c r="BS235" t="s">
        <v>364</v>
      </c>
      <c r="BT235" t="s">
        <v>366</v>
      </c>
      <c r="BU235" t="s">
        <v>371</v>
      </c>
      <c r="BV235" t="s">
        <v>371</v>
      </c>
      <c r="BW235" t="s">
        <v>2678</v>
      </c>
      <c r="BX235" t="str">
        <f>IF(J235="win",VLOOKUP(B235,ColorScheme!$A$2:$I$32,4,0),VLOOKUP(B235,ColorScheme!$A$2:$I$32,5,0))</f>
        <v>#bf77f6</v>
      </c>
    </row>
    <row r="236" spans="1:76" x14ac:dyDescent="0.3">
      <c r="A236" t="s">
        <v>43</v>
      </c>
      <c r="B236" t="s">
        <v>62</v>
      </c>
      <c r="C236" t="s">
        <v>30</v>
      </c>
      <c r="D236" t="s">
        <v>12</v>
      </c>
      <c r="E236" t="s">
        <v>938</v>
      </c>
      <c r="F236" t="b">
        <v>1</v>
      </c>
      <c r="G236">
        <v>100</v>
      </c>
      <c r="H236">
        <v>1</v>
      </c>
      <c r="I236">
        <v>9373</v>
      </c>
      <c r="J236" s="61" t="s">
        <v>18</v>
      </c>
      <c r="K236" s="16" t="s">
        <v>272</v>
      </c>
      <c r="L236" s="16">
        <v>3</v>
      </c>
      <c r="M236" s="16" t="s">
        <v>277</v>
      </c>
      <c r="N236" s="16" t="s">
        <v>335</v>
      </c>
      <c r="O236" s="15" t="s">
        <v>283</v>
      </c>
      <c r="P236" t="s">
        <v>284</v>
      </c>
      <c r="Q236" t="s">
        <v>371</v>
      </c>
      <c r="R236" s="17" t="s">
        <v>371</v>
      </c>
      <c r="S236" s="17">
        <v>0</v>
      </c>
      <c r="T236" s="17">
        <v>0</v>
      </c>
      <c r="U236" s="17">
        <v>1</v>
      </c>
      <c r="V236" s="17">
        <v>1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 t="s">
        <v>704</v>
      </c>
      <c r="AD236" s="16" t="s">
        <v>341</v>
      </c>
      <c r="AE236" s="16" t="s">
        <v>340</v>
      </c>
      <c r="AF236" s="15" t="s">
        <v>343</v>
      </c>
      <c r="AG236" s="15" t="s">
        <v>344</v>
      </c>
      <c r="AH236" s="17" t="s">
        <v>371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704</v>
      </c>
      <c r="AR236" t="s">
        <v>349</v>
      </c>
      <c r="AS236" t="s">
        <v>349</v>
      </c>
      <c r="AT236">
        <v>1</v>
      </c>
      <c r="AU236">
        <v>0</v>
      </c>
      <c r="AV236">
        <v>0</v>
      </c>
      <c r="AW236" t="s">
        <v>704</v>
      </c>
      <c r="AX236" t="s">
        <v>1221</v>
      </c>
      <c r="AY236" t="s">
        <v>293</v>
      </c>
      <c r="AZ236" t="s">
        <v>353</v>
      </c>
      <c r="BA236" t="s">
        <v>297</v>
      </c>
      <c r="BB236" t="s">
        <v>299</v>
      </c>
      <c r="BC236" t="s">
        <v>292</v>
      </c>
      <c r="BD236" t="s">
        <v>293</v>
      </c>
      <c r="BE236" t="s">
        <v>292</v>
      </c>
      <c r="BF236" t="s">
        <v>293</v>
      </c>
      <c r="BG236" t="s">
        <v>293</v>
      </c>
      <c r="BH236" t="s">
        <v>302</v>
      </c>
      <c r="BI236" t="s">
        <v>302</v>
      </c>
      <c r="BJ236" t="s">
        <v>359</v>
      </c>
      <c r="BK236" t="s">
        <v>293</v>
      </c>
      <c r="BL236" t="s">
        <v>293</v>
      </c>
      <c r="BM236" t="s">
        <v>297</v>
      </c>
      <c r="BN236" t="s">
        <v>298</v>
      </c>
      <c r="BO236" t="s">
        <v>293</v>
      </c>
      <c r="BP236" t="s">
        <v>292</v>
      </c>
      <c r="BQ236" t="s">
        <v>293</v>
      </c>
      <c r="BR236" t="s">
        <v>293</v>
      </c>
      <c r="BS236" t="s">
        <v>364</v>
      </c>
      <c r="BT236" t="s">
        <v>304</v>
      </c>
      <c r="BU236" t="s">
        <v>371</v>
      </c>
      <c r="BV236" t="s">
        <v>371</v>
      </c>
      <c r="BW236" t="s">
        <v>2679</v>
      </c>
      <c r="BX236" t="str">
        <f>IF(J236="win",VLOOKUP(B236,ColorScheme!$A$2:$I$32,4,0),VLOOKUP(B236,ColorScheme!$A$2:$I$32,5,0))</f>
        <v>#bf77f650</v>
      </c>
    </row>
    <row r="237" spans="1:76" x14ac:dyDescent="0.3">
      <c r="A237" t="s">
        <v>43</v>
      </c>
      <c r="B237" t="s">
        <v>62</v>
      </c>
      <c r="C237" t="s">
        <v>19</v>
      </c>
      <c r="D237" t="s">
        <v>12</v>
      </c>
      <c r="E237" t="s">
        <v>939</v>
      </c>
      <c r="F237" t="b">
        <v>1</v>
      </c>
      <c r="G237">
        <v>95.7</v>
      </c>
      <c r="H237">
        <v>0</v>
      </c>
      <c r="I237">
        <v>8638</v>
      </c>
      <c r="J237" s="61" t="s">
        <v>13</v>
      </c>
      <c r="K237" s="16" t="s">
        <v>272</v>
      </c>
      <c r="L237" s="16">
        <v>3</v>
      </c>
      <c r="M237" s="16" t="s">
        <v>277</v>
      </c>
      <c r="N237" s="16" t="s">
        <v>335</v>
      </c>
      <c r="O237" s="15" t="s">
        <v>282</v>
      </c>
      <c r="P237" t="s">
        <v>371</v>
      </c>
      <c r="Q237" t="s">
        <v>371</v>
      </c>
      <c r="R237" s="17" t="s">
        <v>371</v>
      </c>
      <c r="S237" s="17">
        <v>0</v>
      </c>
      <c r="T237" s="17">
        <v>1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 t="s">
        <v>704</v>
      </c>
      <c r="AD237" s="16" t="s">
        <v>341</v>
      </c>
      <c r="AE237" s="16" t="s">
        <v>342</v>
      </c>
      <c r="AF237" s="15" t="s">
        <v>343</v>
      </c>
      <c r="AG237" s="15" t="s">
        <v>344</v>
      </c>
      <c r="AH237" s="17" t="s">
        <v>371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704</v>
      </c>
      <c r="AR237" t="s">
        <v>349</v>
      </c>
      <c r="AS237" t="s">
        <v>349</v>
      </c>
      <c r="AT237">
        <v>1</v>
      </c>
      <c r="AU237">
        <v>0</v>
      </c>
      <c r="AV237">
        <v>0</v>
      </c>
      <c r="AW237" t="s">
        <v>704</v>
      </c>
      <c r="AX237" t="s">
        <v>1208</v>
      </c>
      <c r="AY237" t="s">
        <v>293</v>
      </c>
      <c r="AZ237" t="s">
        <v>353</v>
      </c>
      <c r="BA237" t="s">
        <v>297</v>
      </c>
      <c r="BB237" t="s">
        <v>299</v>
      </c>
      <c r="BC237" t="s">
        <v>292</v>
      </c>
      <c r="BD237" t="s">
        <v>293</v>
      </c>
      <c r="BE237" t="s">
        <v>292</v>
      </c>
      <c r="BF237" t="s">
        <v>293</v>
      </c>
      <c r="BG237" t="s">
        <v>293</v>
      </c>
      <c r="BH237" t="s">
        <v>302</v>
      </c>
      <c r="BI237" t="s">
        <v>302</v>
      </c>
      <c r="BJ237" t="s">
        <v>359</v>
      </c>
      <c r="BK237" t="s">
        <v>293</v>
      </c>
      <c r="BL237" t="s">
        <v>293</v>
      </c>
      <c r="BM237" t="s">
        <v>297</v>
      </c>
      <c r="BN237" t="s">
        <v>298</v>
      </c>
      <c r="BO237" t="s">
        <v>293</v>
      </c>
      <c r="BP237" t="s">
        <v>292</v>
      </c>
      <c r="BQ237" t="s">
        <v>293</v>
      </c>
      <c r="BR237" t="s">
        <v>293</v>
      </c>
      <c r="BS237" t="s">
        <v>364</v>
      </c>
      <c r="BT237" t="s">
        <v>366</v>
      </c>
      <c r="BU237" t="s">
        <v>371</v>
      </c>
      <c r="BV237" t="s">
        <v>371</v>
      </c>
      <c r="BW237" t="s">
        <v>2680</v>
      </c>
      <c r="BX237" t="str">
        <f>IF(J237="win",VLOOKUP(B237,ColorScheme!$A$2:$I$32,4,0),VLOOKUP(B237,ColorScheme!$A$2:$I$32,5,0))</f>
        <v>#bf77f6</v>
      </c>
    </row>
    <row r="238" spans="1:76" x14ac:dyDescent="0.3">
      <c r="A238" t="s">
        <v>43</v>
      </c>
      <c r="B238" t="s">
        <v>62</v>
      </c>
      <c r="C238" t="s">
        <v>17</v>
      </c>
      <c r="D238" t="s">
        <v>12</v>
      </c>
      <c r="E238" t="s">
        <v>940</v>
      </c>
      <c r="F238" t="b">
        <v>1</v>
      </c>
      <c r="G238">
        <v>95.6</v>
      </c>
      <c r="H238">
        <v>0</v>
      </c>
      <c r="I238">
        <v>8818</v>
      </c>
      <c r="J238" s="61" t="s">
        <v>13</v>
      </c>
      <c r="K238" s="16" t="s">
        <v>272</v>
      </c>
      <c r="L238" s="16">
        <v>3</v>
      </c>
      <c r="M238" s="16" t="s">
        <v>277</v>
      </c>
      <c r="N238" s="16" t="s">
        <v>335</v>
      </c>
      <c r="O238" s="15" t="s">
        <v>282</v>
      </c>
      <c r="P238" t="s">
        <v>371</v>
      </c>
      <c r="Q238" t="s">
        <v>371</v>
      </c>
      <c r="R238" s="17" t="s">
        <v>371</v>
      </c>
      <c r="S238" s="17">
        <v>0</v>
      </c>
      <c r="T238" s="17">
        <v>1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 t="s">
        <v>704</v>
      </c>
      <c r="AD238" s="16" t="s">
        <v>341</v>
      </c>
      <c r="AE238" s="16" t="s">
        <v>342</v>
      </c>
      <c r="AF238" s="15" t="s">
        <v>343</v>
      </c>
      <c r="AG238" s="15" t="s">
        <v>344</v>
      </c>
      <c r="AH238" s="17" t="s">
        <v>371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704</v>
      </c>
      <c r="AR238" t="s">
        <v>349</v>
      </c>
      <c r="AS238" t="s">
        <v>349</v>
      </c>
      <c r="AT238">
        <v>1</v>
      </c>
      <c r="AU238">
        <v>0</v>
      </c>
      <c r="AV238">
        <v>0</v>
      </c>
      <c r="AW238" t="s">
        <v>704</v>
      </c>
      <c r="AX238" t="s">
        <v>1208</v>
      </c>
      <c r="AY238" t="s">
        <v>293</v>
      </c>
      <c r="AZ238" t="s">
        <v>353</v>
      </c>
      <c r="BA238" t="s">
        <v>297</v>
      </c>
      <c r="BB238" t="s">
        <v>299</v>
      </c>
      <c r="BC238" t="s">
        <v>292</v>
      </c>
      <c r="BD238" t="s">
        <v>293</v>
      </c>
      <c r="BE238" t="s">
        <v>292</v>
      </c>
      <c r="BF238" t="s">
        <v>293</v>
      </c>
      <c r="BG238" t="s">
        <v>293</v>
      </c>
      <c r="BH238" t="s">
        <v>302</v>
      </c>
      <c r="BI238" t="s">
        <v>302</v>
      </c>
      <c r="BJ238" t="s">
        <v>359</v>
      </c>
      <c r="BK238" t="s">
        <v>293</v>
      </c>
      <c r="BL238" t="s">
        <v>293</v>
      </c>
      <c r="BM238" t="s">
        <v>297</v>
      </c>
      <c r="BN238" t="s">
        <v>298</v>
      </c>
      <c r="BO238" t="s">
        <v>293</v>
      </c>
      <c r="BP238" t="s">
        <v>292</v>
      </c>
      <c r="BQ238" t="s">
        <v>293</v>
      </c>
      <c r="BR238" t="s">
        <v>293</v>
      </c>
      <c r="BS238" t="s">
        <v>364</v>
      </c>
      <c r="BT238" t="s">
        <v>366</v>
      </c>
      <c r="BU238" t="s">
        <v>371</v>
      </c>
      <c r="BV238" t="s">
        <v>371</v>
      </c>
      <c r="BW238" t="s">
        <v>2681</v>
      </c>
      <c r="BX238" t="str">
        <f>IF(J238="win",VLOOKUP(B238,ColorScheme!$A$2:$I$32,4,0),VLOOKUP(B238,ColorScheme!$A$2:$I$32,5,0))</f>
        <v>#bf77f6</v>
      </c>
    </row>
    <row r="239" spans="1:76" x14ac:dyDescent="0.3">
      <c r="A239" t="s">
        <v>43</v>
      </c>
      <c r="B239" t="s">
        <v>62</v>
      </c>
      <c r="C239" t="s">
        <v>16</v>
      </c>
      <c r="D239" t="s">
        <v>12</v>
      </c>
      <c r="E239" t="s">
        <v>941</v>
      </c>
      <c r="F239" t="b">
        <v>1</v>
      </c>
      <c r="G239">
        <v>60.2</v>
      </c>
      <c r="H239">
        <v>0</v>
      </c>
      <c r="I239">
        <v>10461</v>
      </c>
      <c r="J239" s="61" t="s">
        <v>13</v>
      </c>
      <c r="K239" s="16" t="s">
        <v>272</v>
      </c>
      <c r="L239" s="16">
        <v>3</v>
      </c>
      <c r="M239" s="16" t="s">
        <v>277</v>
      </c>
      <c r="N239" s="16" t="s">
        <v>335</v>
      </c>
      <c r="O239" s="15" t="s">
        <v>282</v>
      </c>
      <c r="P239" t="s">
        <v>371</v>
      </c>
      <c r="Q239" t="s">
        <v>371</v>
      </c>
      <c r="R239" s="17" t="s">
        <v>371</v>
      </c>
      <c r="S239" s="17">
        <v>0</v>
      </c>
      <c r="T239" s="17">
        <v>1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 t="s">
        <v>704</v>
      </c>
      <c r="AD239" s="16" t="s">
        <v>341</v>
      </c>
      <c r="AE239" s="16" t="s">
        <v>342</v>
      </c>
      <c r="AF239" s="15" t="s">
        <v>343</v>
      </c>
      <c r="AG239" s="15" t="s">
        <v>344</v>
      </c>
      <c r="AH239" s="17" t="s">
        <v>371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704</v>
      </c>
      <c r="AR239" t="s">
        <v>349</v>
      </c>
      <c r="AS239" t="s">
        <v>349</v>
      </c>
      <c r="AT239">
        <v>1</v>
      </c>
      <c r="AU239">
        <v>0</v>
      </c>
      <c r="AV239">
        <v>0</v>
      </c>
      <c r="AW239" t="s">
        <v>704</v>
      </c>
      <c r="AX239" t="s">
        <v>1208</v>
      </c>
      <c r="AY239" t="s">
        <v>293</v>
      </c>
      <c r="AZ239" t="s">
        <v>353</v>
      </c>
      <c r="BA239" t="s">
        <v>297</v>
      </c>
      <c r="BB239" t="s">
        <v>300</v>
      </c>
      <c r="BC239" t="s">
        <v>292</v>
      </c>
      <c r="BD239" t="s">
        <v>293</v>
      </c>
      <c r="BE239" t="s">
        <v>292</v>
      </c>
      <c r="BF239" t="s">
        <v>293</v>
      </c>
      <c r="BG239" t="s">
        <v>293</v>
      </c>
      <c r="BH239" t="s">
        <v>302</v>
      </c>
      <c r="BI239" t="s">
        <v>302</v>
      </c>
      <c r="BJ239" t="s">
        <v>359</v>
      </c>
      <c r="BK239" t="s">
        <v>293</v>
      </c>
      <c r="BL239" t="s">
        <v>293</v>
      </c>
      <c r="BM239" t="s">
        <v>297</v>
      </c>
      <c r="BN239" t="s">
        <v>298</v>
      </c>
      <c r="BO239" t="s">
        <v>293</v>
      </c>
      <c r="BP239" t="s">
        <v>292</v>
      </c>
      <c r="BQ239" t="s">
        <v>293</v>
      </c>
      <c r="BR239" t="s">
        <v>293</v>
      </c>
      <c r="BS239" t="s">
        <v>364</v>
      </c>
      <c r="BT239" t="s">
        <v>366</v>
      </c>
      <c r="BU239" t="s">
        <v>371</v>
      </c>
      <c r="BV239" t="s">
        <v>371</v>
      </c>
      <c r="BW239" t="s">
        <v>2682</v>
      </c>
      <c r="BX239" t="str">
        <f>IF(J239="win",VLOOKUP(B239,ColorScheme!$A$2:$I$32,4,0),VLOOKUP(B239,ColorScheme!$A$2:$I$32,5,0))</f>
        <v>#bf77f6</v>
      </c>
    </row>
    <row r="240" spans="1:76" x14ac:dyDescent="0.3">
      <c r="A240" t="s">
        <v>43</v>
      </c>
      <c r="B240" t="s">
        <v>62</v>
      </c>
      <c r="C240" t="s">
        <v>20</v>
      </c>
      <c r="D240" t="s">
        <v>12</v>
      </c>
      <c r="E240" t="s">
        <v>942</v>
      </c>
      <c r="F240" t="b">
        <v>1</v>
      </c>
      <c r="G240">
        <v>100</v>
      </c>
      <c r="H240">
        <v>1</v>
      </c>
      <c r="I240">
        <v>8390</v>
      </c>
      <c r="J240" s="61" t="s">
        <v>18</v>
      </c>
      <c r="K240" s="16" t="s">
        <v>272</v>
      </c>
      <c r="L240" s="16">
        <v>3</v>
      </c>
      <c r="M240" s="16" t="s">
        <v>277</v>
      </c>
      <c r="N240" s="16" t="s">
        <v>335</v>
      </c>
      <c r="O240" s="15" t="s">
        <v>282</v>
      </c>
      <c r="P240" t="s">
        <v>371</v>
      </c>
      <c r="Q240" t="s">
        <v>371</v>
      </c>
      <c r="R240" s="17" t="s">
        <v>371</v>
      </c>
      <c r="S240" s="17">
        <v>0</v>
      </c>
      <c r="T240" s="17">
        <v>1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 t="s">
        <v>704</v>
      </c>
      <c r="AD240" s="16" t="s">
        <v>341</v>
      </c>
      <c r="AE240" s="16" t="s">
        <v>342</v>
      </c>
      <c r="AF240" s="15" t="s">
        <v>343</v>
      </c>
      <c r="AG240" s="15" t="s">
        <v>345</v>
      </c>
      <c r="AH240" s="17" t="s">
        <v>371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704</v>
      </c>
      <c r="AR240" t="s">
        <v>349</v>
      </c>
      <c r="AS240" t="s">
        <v>349</v>
      </c>
      <c r="AT240">
        <v>1</v>
      </c>
      <c r="AU240">
        <v>0</v>
      </c>
      <c r="AV240">
        <v>0</v>
      </c>
      <c r="AW240" t="s">
        <v>704</v>
      </c>
      <c r="AX240" t="s">
        <v>1232</v>
      </c>
      <c r="AY240" t="s">
        <v>293</v>
      </c>
      <c r="AZ240" t="s">
        <v>353</v>
      </c>
      <c r="BA240" t="s">
        <v>297</v>
      </c>
      <c r="BB240" t="s">
        <v>299</v>
      </c>
      <c r="BC240" t="s">
        <v>292</v>
      </c>
      <c r="BD240" t="s">
        <v>293</v>
      </c>
      <c r="BE240" t="s">
        <v>292</v>
      </c>
      <c r="BF240" t="s">
        <v>293</v>
      </c>
      <c r="BG240" t="s">
        <v>293</v>
      </c>
      <c r="BH240" t="s">
        <v>302</v>
      </c>
      <c r="BI240" t="s">
        <v>302</v>
      </c>
      <c r="BJ240" t="s">
        <v>359</v>
      </c>
      <c r="BK240" t="s">
        <v>293</v>
      </c>
      <c r="BL240" t="s">
        <v>293</v>
      </c>
      <c r="BM240" t="s">
        <v>297</v>
      </c>
      <c r="BN240" t="s">
        <v>298</v>
      </c>
      <c r="BO240" t="s">
        <v>293</v>
      </c>
      <c r="BP240" t="s">
        <v>292</v>
      </c>
      <c r="BQ240" t="s">
        <v>362</v>
      </c>
      <c r="BR240" t="s">
        <v>293</v>
      </c>
      <c r="BS240" t="s">
        <v>364</v>
      </c>
      <c r="BT240" t="s">
        <v>304</v>
      </c>
      <c r="BU240" t="s">
        <v>371</v>
      </c>
      <c r="BV240" t="s">
        <v>371</v>
      </c>
      <c r="BW240" t="s">
        <v>2683</v>
      </c>
      <c r="BX240" t="str">
        <f>IF(J240="win",VLOOKUP(B240,ColorScheme!$A$2:$I$32,4,0),VLOOKUP(B240,ColorScheme!$A$2:$I$32,5,0))</f>
        <v>#bf77f650</v>
      </c>
    </row>
    <row r="241" spans="1:76" x14ac:dyDescent="0.3">
      <c r="A241" t="s">
        <v>43</v>
      </c>
      <c r="B241" t="s">
        <v>62</v>
      </c>
      <c r="C241" t="s">
        <v>26</v>
      </c>
      <c r="D241" t="s">
        <v>12</v>
      </c>
      <c r="E241" t="s">
        <v>943</v>
      </c>
      <c r="F241" t="b">
        <v>1</v>
      </c>
      <c r="G241">
        <v>100</v>
      </c>
      <c r="H241">
        <v>1</v>
      </c>
      <c r="I241">
        <v>9293</v>
      </c>
      <c r="J241" s="61" t="s">
        <v>18</v>
      </c>
      <c r="K241" s="16" t="s">
        <v>272</v>
      </c>
      <c r="L241" s="16">
        <v>3</v>
      </c>
      <c r="M241" s="16" t="s">
        <v>277</v>
      </c>
      <c r="N241" s="16" t="s">
        <v>335</v>
      </c>
      <c r="O241" s="15" t="s">
        <v>283</v>
      </c>
      <c r="P241" t="s">
        <v>284</v>
      </c>
      <c r="Q241" t="s">
        <v>371</v>
      </c>
      <c r="R241" s="17" t="s">
        <v>371</v>
      </c>
      <c r="S241" s="17">
        <v>0</v>
      </c>
      <c r="T241" s="17">
        <v>0</v>
      </c>
      <c r="U241" s="17">
        <v>1</v>
      </c>
      <c r="V241" s="17">
        <v>1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 t="s">
        <v>704</v>
      </c>
      <c r="AD241" s="16" t="s">
        <v>341</v>
      </c>
      <c r="AE241" s="16" t="s">
        <v>340</v>
      </c>
      <c r="AF241" s="15" t="s">
        <v>343</v>
      </c>
      <c r="AG241" s="15" t="s">
        <v>345</v>
      </c>
      <c r="AH241" s="17" t="s">
        <v>371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704</v>
      </c>
      <c r="AR241" t="s">
        <v>349</v>
      </c>
      <c r="AS241" t="s">
        <v>349</v>
      </c>
      <c r="AT241">
        <v>1</v>
      </c>
      <c r="AU241">
        <v>0</v>
      </c>
      <c r="AV241">
        <v>0</v>
      </c>
      <c r="AW241" t="s">
        <v>704</v>
      </c>
      <c r="AX241" t="s">
        <v>1230</v>
      </c>
      <c r="AY241" t="s">
        <v>293</v>
      </c>
      <c r="AZ241" t="s">
        <v>352</v>
      </c>
      <c r="BA241" t="s">
        <v>297</v>
      </c>
      <c r="BB241" t="s">
        <v>300</v>
      </c>
      <c r="BC241" t="s">
        <v>292</v>
      </c>
      <c r="BD241" t="s">
        <v>293</v>
      </c>
      <c r="BE241" t="s">
        <v>292</v>
      </c>
      <c r="BF241" t="s">
        <v>293</v>
      </c>
      <c r="BG241" t="s">
        <v>293</v>
      </c>
      <c r="BH241" t="s">
        <v>302</v>
      </c>
      <c r="BI241" t="s">
        <v>302</v>
      </c>
      <c r="BJ241" t="s">
        <v>359</v>
      </c>
      <c r="BK241" t="s">
        <v>293</v>
      </c>
      <c r="BL241" t="s">
        <v>293</v>
      </c>
      <c r="BM241" t="s">
        <v>297</v>
      </c>
      <c r="BN241" t="s">
        <v>298</v>
      </c>
      <c r="BO241" t="s">
        <v>293</v>
      </c>
      <c r="BP241" t="s">
        <v>292</v>
      </c>
      <c r="BQ241" t="s">
        <v>293</v>
      </c>
      <c r="BR241" t="s">
        <v>293</v>
      </c>
      <c r="BS241" t="s">
        <v>364</v>
      </c>
      <c r="BT241" t="s">
        <v>304</v>
      </c>
      <c r="BU241" t="s">
        <v>371</v>
      </c>
      <c r="BV241" t="s">
        <v>371</v>
      </c>
      <c r="BW241" t="s">
        <v>2684</v>
      </c>
      <c r="BX241" t="str">
        <f>IF(J241="win",VLOOKUP(B241,ColorScheme!$A$2:$I$32,4,0),VLOOKUP(B241,ColorScheme!$A$2:$I$32,5,0))</f>
        <v>#bf77f650</v>
      </c>
    </row>
    <row r="242" spans="1:76" x14ac:dyDescent="0.3">
      <c r="A242" t="s">
        <v>43</v>
      </c>
      <c r="B242" t="s">
        <v>62</v>
      </c>
      <c r="C242" t="s">
        <v>22</v>
      </c>
      <c r="D242" t="s">
        <v>12</v>
      </c>
      <c r="E242" t="s">
        <v>944</v>
      </c>
      <c r="F242" t="b">
        <v>1</v>
      </c>
      <c r="G242">
        <v>100</v>
      </c>
      <c r="H242">
        <v>1</v>
      </c>
      <c r="I242">
        <v>10552</v>
      </c>
      <c r="J242" s="61" t="s">
        <v>18</v>
      </c>
      <c r="K242" s="16" t="s">
        <v>272</v>
      </c>
      <c r="L242" s="16">
        <v>2</v>
      </c>
      <c r="M242" s="16" t="s">
        <v>277</v>
      </c>
      <c r="N242" s="16" t="s">
        <v>335</v>
      </c>
      <c r="O242" s="15" t="s">
        <v>283</v>
      </c>
      <c r="P242" t="s">
        <v>284</v>
      </c>
      <c r="Q242" t="s">
        <v>371</v>
      </c>
      <c r="R242" s="17" t="s">
        <v>371</v>
      </c>
      <c r="S242" s="17">
        <v>0</v>
      </c>
      <c r="T242" s="17">
        <v>0</v>
      </c>
      <c r="U242" s="17">
        <v>1</v>
      </c>
      <c r="V242" s="17">
        <v>1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 t="s">
        <v>704</v>
      </c>
      <c r="AD242" s="16" t="s">
        <v>341</v>
      </c>
      <c r="AE242" s="16" t="s">
        <v>340</v>
      </c>
      <c r="AF242" s="15" t="s">
        <v>340</v>
      </c>
      <c r="AG242" s="15" t="s">
        <v>344</v>
      </c>
      <c r="AH242" s="17" t="s">
        <v>371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704</v>
      </c>
      <c r="AR242" t="s">
        <v>349</v>
      </c>
      <c r="AS242" t="s">
        <v>349</v>
      </c>
      <c r="AT242">
        <v>1</v>
      </c>
      <c r="AU242">
        <v>0</v>
      </c>
      <c r="AV242">
        <v>0</v>
      </c>
      <c r="AW242" t="s">
        <v>704</v>
      </c>
      <c r="AX242" t="s">
        <v>1221</v>
      </c>
      <c r="AY242" t="s">
        <v>293</v>
      </c>
      <c r="AZ242" t="s">
        <v>354</v>
      </c>
      <c r="BA242" t="s">
        <v>354</v>
      </c>
      <c r="BB242" t="s">
        <v>301</v>
      </c>
      <c r="BC242" t="s">
        <v>292</v>
      </c>
      <c r="BD242" t="s">
        <v>293</v>
      </c>
      <c r="BE242" t="s">
        <v>292</v>
      </c>
      <c r="BF242" t="s">
        <v>293</v>
      </c>
      <c r="BG242" t="s">
        <v>293</v>
      </c>
      <c r="BH242" t="s">
        <v>302</v>
      </c>
      <c r="BI242" t="s">
        <v>302</v>
      </c>
      <c r="BJ242" t="s">
        <v>357</v>
      </c>
      <c r="BK242" t="s">
        <v>293</v>
      </c>
      <c r="BL242" t="s">
        <v>293</v>
      </c>
      <c r="BM242" t="s">
        <v>297</v>
      </c>
      <c r="BN242" t="s">
        <v>298</v>
      </c>
      <c r="BO242" t="s">
        <v>293</v>
      </c>
      <c r="BP242" t="s">
        <v>292</v>
      </c>
      <c r="BQ242" t="s">
        <v>293</v>
      </c>
      <c r="BR242" t="s">
        <v>293</v>
      </c>
      <c r="BS242" t="s">
        <v>364</v>
      </c>
      <c r="BT242" t="s">
        <v>304</v>
      </c>
      <c r="BU242" t="s">
        <v>371</v>
      </c>
      <c r="BV242" t="s">
        <v>371</v>
      </c>
      <c r="BW242" t="s">
        <v>2685</v>
      </c>
      <c r="BX242" t="str">
        <f>IF(J242="win",VLOOKUP(B242,ColorScheme!$A$2:$I$32,4,0),VLOOKUP(B242,ColorScheme!$A$2:$I$32,5,0))</f>
        <v>#bf77f650</v>
      </c>
    </row>
    <row r="243" spans="1:76" x14ac:dyDescent="0.3">
      <c r="A243" t="s">
        <v>43</v>
      </c>
      <c r="B243" t="s">
        <v>62</v>
      </c>
      <c r="C243" t="s">
        <v>31</v>
      </c>
      <c r="D243" t="s">
        <v>12</v>
      </c>
      <c r="E243" t="s">
        <v>945</v>
      </c>
      <c r="F243" t="b">
        <v>1</v>
      </c>
      <c r="G243">
        <v>85.4</v>
      </c>
      <c r="H243">
        <v>0</v>
      </c>
      <c r="I243">
        <v>9437</v>
      </c>
      <c r="J243" s="61" t="s">
        <v>13</v>
      </c>
      <c r="K243" s="16" t="s">
        <v>272</v>
      </c>
      <c r="L243" s="16">
        <v>3</v>
      </c>
      <c r="M243" s="16" t="s">
        <v>277</v>
      </c>
      <c r="N243" s="16" t="s">
        <v>335</v>
      </c>
      <c r="O243" s="15" t="s">
        <v>283</v>
      </c>
      <c r="P243" t="s">
        <v>284</v>
      </c>
      <c r="Q243" t="s">
        <v>371</v>
      </c>
      <c r="R243" s="17" t="s">
        <v>371</v>
      </c>
      <c r="S243" s="17">
        <v>0</v>
      </c>
      <c r="T243" s="17">
        <v>0</v>
      </c>
      <c r="U243" s="17">
        <v>1</v>
      </c>
      <c r="V243" s="17">
        <v>1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 t="s">
        <v>704</v>
      </c>
      <c r="AD243" s="16" t="s">
        <v>341</v>
      </c>
      <c r="AE243" s="16" t="s">
        <v>340</v>
      </c>
      <c r="AF243" s="15" t="s">
        <v>343</v>
      </c>
      <c r="AG243" s="15" t="s">
        <v>344</v>
      </c>
      <c r="AH243" s="17" t="s">
        <v>371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704</v>
      </c>
      <c r="AR243" t="s">
        <v>349</v>
      </c>
      <c r="AS243" t="s">
        <v>349</v>
      </c>
      <c r="AT243">
        <v>1</v>
      </c>
      <c r="AU243">
        <v>0</v>
      </c>
      <c r="AV243">
        <v>0</v>
      </c>
      <c r="AW243" t="s">
        <v>704</v>
      </c>
      <c r="AX243" t="s">
        <v>1221</v>
      </c>
      <c r="AY243" t="s">
        <v>293</v>
      </c>
      <c r="AZ243" t="s">
        <v>353</v>
      </c>
      <c r="BA243" t="s">
        <v>297</v>
      </c>
      <c r="BB243" t="s">
        <v>300</v>
      </c>
      <c r="BC243" t="s">
        <v>292</v>
      </c>
      <c r="BD243" t="s">
        <v>293</v>
      </c>
      <c r="BE243" t="s">
        <v>292</v>
      </c>
      <c r="BF243" t="s">
        <v>293</v>
      </c>
      <c r="BG243" t="s">
        <v>293</v>
      </c>
      <c r="BH243" t="s">
        <v>302</v>
      </c>
      <c r="BI243" t="s">
        <v>302</v>
      </c>
      <c r="BJ243" t="s">
        <v>359</v>
      </c>
      <c r="BK243" t="s">
        <v>293</v>
      </c>
      <c r="BL243" t="s">
        <v>293</v>
      </c>
      <c r="BM243" t="s">
        <v>297</v>
      </c>
      <c r="BN243" t="s">
        <v>298</v>
      </c>
      <c r="BO243" t="s">
        <v>293</v>
      </c>
      <c r="BP243" t="s">
        <v>292</v>
      </c>
      <c r="BQ243" t="s">
        <v>293</v>
      </c>
      <c r="BR243" t="s">
        <v>293</v>
      </c>
      <c r="BS243" t="s">
        <v>364</v>
      </c>
      <c r="BT243" t="s">
        <v>366</v>
      </c>
      <c r="BU243" t="s">
        <v>371</v>
      </c>
      <c r="BV243" t="s">
        <v>371</v>
      </c>
      <c r="BW243" t="s">
        <v>2686</v>
      </c>
      <c r="BX243" t="str">
        <f>IF(J243="win",VLOOKUP(B243,ColorScheme!$A$2:$I$32,4,0),VLOOKUP(B243,ColorScheme!$A$2:$I$32,5,0))</f>
        <v>#bf77f6</v>
      </c>
    </row>
    <row r="244" spans="1:76" x14ac:dyDescent="0.3">
      <c r="A244" t="s">
        <v>43</v>
      </c>
      <c r="B244" t="s">
        <v>62</v>
      </c>
      <c r="C244" t="s">
        <v>27</v>
      </c>
      <c r="D244" t="s">
        <v>12</v>
      </c>
      <c r="E244" t="s">
        <v>946</v>
      </c>
      <c r="F244" t="b">
        <v>1</v>
      </c>
      <c r="G244">
        <v>100</v>
      </c>
      <c r="H244">
        <v>1</v>
      </c>
      <c r="I244">
        <v>9749</v>
      </c>
      <c r="J244" s="61" t="s">
        <v>18</v>
      </c>
      <c r="K244" s="16" t="s">
        <v>272</v>
      </c>
      <c r="L244" s="16">
        <v>3</v>
      </c>
      <c r="M244" s="16" t="s">
        <v>277</v>
      </c>
      <c r="N244" s="16" t="s">
        <v>335</v>
      </c>
      <c r="O244" s="15" t="s">
        <v>283</v>
      </c>
      <c r="P244" t="s">
        <v>284</v>
      </c>
      <c r="Q244" t="s">
        <v>371</v>
      </c>
      <c r="R244" s="17" t="s">
        <v>371</v>
      </c>
      <c r="S244" s="17">
        <v>0</v>
      </c>
      <c r="T244" s="17">
        <v>0</v>
      </c>
      <c r="U244" s="17">
        <v>1</v>
      </c>
      <c r="V244" s="17">
        <v>1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 t="s">
        <v>704</v>
      </c>
      <c r="AD244" s="16" t="s">
        <v>341</v>
      </c>
      <c r="AE244" s="16" t="s">
        <v>340</v>
      </c>
      <c r="AF244" s="15" t="s">
        <v>343</v>
      </c>
      <c r="AG244" s="15" t="s">
        <v>344</v>
      </c>
      <c r="AH244" s="17" t="s">
        <v>371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704</v>
      </c>
      <c r="AR244" t="s">
        <v>349</v>
      </c>
      <c r="AS244" t="s">
        <v>349</v>
      </c>
      <c r="AT244">
        <v>1</v>
      </c>
      <c r="AU244">
        <v>0</v>
      </c>
      <c r="AV244">
        <v>0</v>
      </c>
      <c r="AW244" t="s">
        <v>704</v>
      </c>
      <c r="AX244" t="s">
        <v>1221</v>
      </c>
      <c r="AY244" t="s">
        <v>293</v>
      </c>
      <c r="AZ244" t="s">
        <v>353</v>
      </c>
      <c r="BA244" t="s">
        <v>297</v>
      </c>
      <c r="BB244" t="s">
        <v>300</v>
      </c>
      <c r="BC244" t="s">
        <v>292</v>
      </c>
      <c r="BD244" t="s">
        <v>293</v>
      </c>
      <c r="BE244" t="s">
        <v>292</v>
      </c>
      <c r="BF244" t="s">
        <v>293</v>
      </c>
      <c r="BG244" t="s">
        <v>293</v>
      </c>
      <c r="BH244" t="s">
        <v>302</v>
      </c>
      <c r="BI244" t="s">
        <v>302</v>
      </c>
      <c r="BJ244" t="s">
        <v>359</v>
      </c>
      <c r="BK244" t="s">
        <v>293</v>
      </c>
      <c r="BL244" t="s">
        <v>293</v>
      </c>
      <c r="BM244" t="s">
        <v>297</v>
      </c>
      <c r="BN244" t="s">
        <v>298</v>
      </c>
      <c r="BO244" t="s">
        <v>293</v>
      </c>
      <c r="BP244" t="s">
        <v>292</v>
      </c>
      <c r="BQ244" t="s">
        <v>293</v>
      </c>
      <c r="BR244" t="s">
        <v>293</v>
      </c>
      <c r="BS244" t="s">
        <v>364</v>
      </c>
      <c r="BT244" t="s">
        <v>304</v>
      </c>
      <c r="BU244" t="s">
        <v>371</v>
      </c>
      <c r="BV244" t="s">
        <v>371</v>
      </c>
      <c r="BW244" t="s">
        <v>2687</v>
      </c>
      <c r="BX244" t="str">
        <f>IF(J244="win",VLOOKUP(B244,ColorScheme!$A$2:$I$32,4,0),VLOOKUP(B244,ColorScheme!$A$2:$I$32,5,0))</f>
        <v>#bf77f650</v>
      </c>
    </row>
    <row r="245" spans="1:76" x14ac:dyDescent="0.3">
      <c r="A245" t="s">
        <v>43</v>
      </c>
      <c r="B245" t="s">
        <v>62</v>
      </c>
      <c r="C245" t="s">
        <v>28</v>
      </c>
      <c r="D245" t="s">
        <v>12</v>
      </c>
      <c r="E245" t="s">
        <v>947</v>
      </c>
      <c r="F245" t="b">
        <v>1</v>
      </c>
      <c r="G245">
        <v>89.3</v>
      </c>
      <c r="H245">
        <v>0</v>
      </c>
      <c r="I245">
        <v>9757</v>
      </c>
      <c r="J245" s="61" t="s">
        <v>13</v>
      </c>
      <c r="K245" s="16" t="s">
        <v>272</v>
      </c>
      <c r="L245" s="16">
        <v>3</v>
      </c>
      <c r="M245" s="16" t="s">
        <v>277</v>
      </c>
      <c r="N245" s="16" t="s">
        <v>335</v>
      </c>
      <c r="O245" s="15" t="s">
        <v>283</v>
      </c>
      <c r="P245" t="s">
        <v>284</v>
      </c>
      <c r="Q245" t="s">
        <v>371</v>
      </c>
      <c r="R245" s="17" t="s">
        <v>371</v>
      </c>
      <c r="S245" s="17">
        <v>0</v>
      </c>
      <c r="T245" s="17">
        <v>0</v>
      </c>
      <c r="U245" s="17">
        <v>1</v>
      </c>
      <c r="V245" s="17">
        <v>1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 t="s">
        <v>704</v>
      </c>
      <c r="AD245" s="16" t="s">
        <v>341</v>
      </c>
      <c r="AE245" s="16" t="s">
        <v>340</v>
      </c>
      <c r="AF245" s="15" t="s">
        <v>343</v>
      </c>
      <c r="AG245" s="15" t="s">
        <v>344</v>
      </c>
      <c r="AH245" s="17" t="s">
        <v>371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704</v>
      </c>
      <c r="AR245" t="s">
        <v>349</v>
      </c>
      <c r="AS245" t="s">
        <v>349</v>
      </c>
      <c r="AT245">
        <v>1</v>
      </c>
      <c r="AU245">
        <v>0</v>
      </c>
      <c r="AV245">
        <v>0</v>
      </c>
      <c r="AW245" t="s">
        <v>704</v>
      </c>
      <c r="AX245" t="s">
        <v>1221</v>
      </c>
      <c r="AY245" t="s">
        <v>293</v>
      </c>
      <c r="AZ245" t="s">
        <v>353</v>
      </c>
      <c r="BA245" t="s">
        <v>297</v>
      </c>
      <c r="BB245" t="s">
        <v>300</v>
      </c>
      <c r="BC245" t="s">
        <v>292</v>
      </c>
      <c r="BD245" t="s">
        <v>293</v>
      </c>
      <c r="BE245" t="s">
        <v>292</v>
      </c>
      <c r="BF245" t="s">
        <v>293</v>
      </c>
      <c r="BG245" t="s">
        <v>293</v>
      </c>
      <c r="BH245" t="s">
        <v>302</v>
      </c>
      <c r="BI245" t="s">
        <v>302</v>
      </c>
      <c r="BJ245" t="s">
        <v>359</v>
      </c>
      <c r="BK245" t="s">
        <v>293</v>
      </c>
      <c r="BL245" t="s">
        <v>293</v>
      </c>
      <c r="BM245" t="s">
        <v>297</v>
      </c>
      <c r="BN245" t="s">
        <v>298</v>
      </c>
      <c r="BO245" t="s">
        <v>293</v>
      </c>
      <c r="BP245" t="s">
        <v>292</v>
      </c>
      <c r="BQ245" t="s">
        <v>293</v>
      </c>
      <c r="BR245" t="s">
        <v>293</v>
      </c>
      <c r="BS245" t="s">
        <v>364</v>
      </c>
      <c r="BT245" t="s">
        <v>366</v>
      </c>
      <c r="BU245" t="s">
        <v>371</v>
      </c>
      <c r="BV245" t="s">
        <v>371</v>
      </c>
      <c r="BW245" t="s">
        <v>2688</v>
      </c>
      <c r="BX245" t="str">
        <f>IF(J245="win",VLOOKUP(B245,ColorScheme!$A$2:$I$32,4,0),VLOOKUP(B245,ColorScheme!$A$2:$I$32,5,0))</f>
        <v>#bf77f6</v>
      </c>
    </row>
    <row r="246" spans="1:76" x14ac:dyDescent="0.3">
      <c r="A246" t="s">
        <v>43</v>
      </c>
      <c r="B246" t="s">
        <v>62</v>
      </c>
      <c r="C246" t="s">
        <v>64</v>
      </c>
      <c r="D246" t="s">
        <v>29</v>
      </c>
      <c r="E246" t="s">
        <v>948</v>
      </c>
      <c r="F246" t="b">
        <v>1</v>
      </c>
      <c r="G246">
        <v>26.8</v>
      </c>
      <c r="H246">
        <v>0</v>
      </c>
      <c r="I246">
        <v>25730</v>
      </c>
      <c r="J246" s="61" t="s">
        <v>13</v>
      </c>
      <c r="K246" s="16" t="s">
        <v>272</v>
      </c>
      <c r="L246" s="16">
        <v>3</v>
      </c>
      <c r="M246" s="16" t="s">
        <v>277</v>
      </c>
      <c r="N246" s="16" t="s">
        <v>335</v>
      </c>
      <c r="O246" s="15" t="s">
        <v>282</v>
      </c>
      <c r="P246" t="s">
        <v>371</v>
      </c>
      <c r="Q246" t="s">
        <v>371</v>
      </c>
      <c r="R246" s="17" t="s">
        <v>371</v>
      </c>
      <c r="S246" s="17">
        <v>0</v>
      </c>
      <c r="T246" s="17">
        <v>1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 t="s">
        <v>704</v>
      </c>
      <c r="AD246" s="16" t="s">
        <v>341</v>
      </c>
      <c r="AE246" s="16" t="s">
        <v>340</v>
      </c>
      <c r="AF246" s="15" t="s">
        <v>343</v>
      </c>
      <c r="AG246" s="15" t="s">
        <v>344</v>
      </c>
      <c r="AH246" s="17" t="s">
        <v>371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704</v>
      </c>
      <c r="AR246" t="s">
        <v>349</v>
      </c>
      <c r="AS246" t="s">
        <v>349</v>
      </c>
      <c r="AT246">
        <v>1</v>
      </c>
      <c r="AU246">
        <v>0</v>
      </c>
      <c r="AV246">
        <v>0</v>
      </c>
      <c r="AW246" t="s">
        <v>704</v>
      </c>
      <c r="AX246" t="s">
        <v>1208</v>
      </c>
      <c r="AY246" t="s">
        <v>293</v>
      </c>
      <c r="AZ246" t="s">
        <v>353</v>
      </c>
      <c r="BA246" t="s">
        <v>296</v>
      </c>
      <c r="BB246" t="s">
        <v>301</v>
      </c>
      <c r="BC246" t="s">
        <v>292</v>
      </c>
      <c r="BD246" t="s">
        <v>293</v>
      </c>
      <c r="BE246" t="s">
        <v>293</v>
      </c>
      <c r="BF246" t="s">
        <v>292</v>
      </c>
      <c r="BG246" t="s">
        <v>293</v>
      </c>
      <c r="BH246" t="s">
        <v>302</v>
      </c>
      <c r="BI246" t="s">
        <v>302</v>
      </c>
      <c r="BJ246" t="s">
        <v>359</v>
      </c>
      <c r="BK246" t="s">
        <v>293</v>
      </c>
      <c r="BL246" t="s">
        <v>293</v>
      </c>
      <c r="BM246" t="s">
        <v>297</v>
      </c>
      <c r="BN246" t="s">
        <v>298</v>
      </c>
      <c r="BO246" t="s">
        <v>293</v>
      </c>
      <c r="BP246" t="s">
        <v>292</v>
      </c>
      <c r="BQ246" t="s">
        <v>293</v>
      </c>
      <c r="BR246" t="s">
        <v>293</v>
      </c>
      <c r="BS246" t="s">
        <v>364</v>
      </c>
      <c r="BT246" t="s">
        <v>366</v>
      </c>
      <c r="BU246" t="s">
        <v>371</v>
      </c>
      <c r="BV246" t="s">
        <v>371</v>
      </c>
      <c r="BW246" t="s">
        <v>2689</v>
      </c>
      <c r="BX246" t="str">
        <f>IF(J246="win",VLOOKUP(B246,ColorScheme!$A$2:$I$32,4,0),VLOOKUP(B246,ColorScheme!$A$2:$I$32,5,0))</f>
        <v>#bf77f6</v>
      </c>
    </row>
    <row r="247" spans="1:76" x14ac:dyDescent="0.3">
      <c r="A247" t="s">
        <v>43</v>
      </c>
      <c r="B247" t="s">
        <v>62</v>
      </c>
      <c r="C247" t="s">
        <v>39</v>
      </c>
      <c r="D247" t="s">
        <v>29</v>
      </c>
      <c r="E247" t="s">
        <v>949</v>
      </c>
      <c r="F247" t="b">
        <v>1</v>
      </c>
      <c r="G247">
        <v>100</v>
      </c>
      <c r="H247">
        <v>1</v>
      </c>
      <c r="I247">
        <v>8098</v>
      </c>
      <c r="J247" s="61" t="s">
        <v>18</v>
      </c>
      <c r="K247" s="16" t="s">
        <v>272</v>
      </c>
      <c r="L247" s="16">
        <v>2</v>
      </c>
      <c r="M247" s="16" t="s">
        <v>277</v>
      </c>
      <c r="N247" s="16" t="s">
        <v>335</v>
      </c>
      <c r="O247" s="15" t="s">
        <v>282</v>
      </c>
      <c r="P247" t="s">
        <v>371</v>
      </c>
      <c r="Q247" t="s">
        <v>371</v>
      </c>
      <c r="R247" s="17" t="s">
        <v>371</v>
      </c>
      <c r="S247" s="17">
        <v>0</v>
      </c>
      <c r="T247" s="17">
        <v>1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 t="s">
        <v>704</v>
      </c>
      <c r="AD247" s="16" t="s">
        <v>341</v>
      </c>
      <c r="AE247" s="16" t="s">
        <v>340</v>
      </c>
      <c r="AF247" s="15" t="s">
        <v>340</v>
      </c>
      <c r="AG247" s="15" t="s">
        <v>345</v>
      </c>
      <c r="AH247" s="17" t="s">
        <v>371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704</v>
      </c>
      <c r="AR247" t="s">
        <v>350</v>
      </c>
      <c r="AS247" t="s">
        <v>349</v>
      </c>
      <c r="AT247">
        <v>0</v>
      </c>
      <c r="AU247">
        <v>1</v>
      </c>
      <c r="AV247">
        <v>0</v>
      </c>
      <c r="AW247" t="s">
        <v>704</v>
      </c>
      <c r="AX247" t="s">
        <v>2913</v>
      </c>
      <c r="AY247" t="s">
        <v>293</v>
      </c>
      <c r="AZ247" t="s">
        <v>354</v>
      </c>
      <c r="BA247" t="s">
        <v>354</v>
      </c>
      <c r="BB247" t="s">
        <v>300</v>
      </c>
      <c r="BC247" t="s">
        <v>292</v>
      </c>
      <c r="BD247" t="s">
        <v>293</v>
      </c>
      <c r="BE247" t="s">
        <v>292</v>
      </c>
      <c r="BF247" t="s">
        <v>293</v>
      </c>
      <c r="BG247" t="s">
        <v>293</v>
      </c>
      <c r="BH247" t="s">
        <v>302</v>
      </c>
      <c r="BI247" t="s">
        <v>302</v>
      </c>
      <c r="BJ247" t="s">
        <v>359</v>
      </c>
      <c r="BK247" t="s">
        <v>293</v>
      </c>
      <c r="BL247" t="s">
        <v>293</v>
      </c>
      <c r="BM247" t="s">
        <v>297</v>
      </c>
      <c r="BN247" t="s">
        <v>298</v>
      </c>
      <c r="BO247" t="s">
        <v>293</v>
      </c>
      <c r="BP247" t="s">
        <v>292</v>
      </c>
      <c r="BQ247" t="s">
        <v>293</v>
      </c>
      <c r="BR247" t="s">
        <v>293</v>
      </c>
      <c r="BS247" t="s">
        <v>364</v>
      </c>
      <c r="BT247" t="s">
        <v>304</v>
      </c>
      <c r="BU247" t="s">
        <v>371</v>
      </c>
      <c r="BV247" t="s">
        <v>371</v>
      </c>
      <c r="BW247" t="s">
        <v>2690</v>
      </c>
      <c r="BX247" t="str">
        <f>IF(J247="win",VLOOKUP(B247,ColorScheme!$A$2:$I$32,4,0),VLOOKUP(B247,ColorScheme!$A$2:$I$32,5,0))</f>
        <v>#bf77f650</v>
      </c>
    </row>
    <row r="248" spans="1:76" x14ac:dyDescent="0.3">
      <c r="A248" t="s">
        <v>43</v>
      </c>
      <c r="B248" t="s">
        <v>62</v>
      </c>
      <c r="C248" t="s">
        <v>37</v>
      </c>
      <c r="D248" t="s">
        <v>29</v>
      </c>
      <c r="E248" t="s">
        <v>950</v>
      </c>
      <c r="F248" t="b">
        <v>1</v>
      </c>
      <c r="G248">
        <v>100</v>
      </c>
      <c r="H248">
        <v>1</v>
      </c>
      <c r="I248">
        <v>10649</v>
      </c>
      <c r="J248" s="61" t="s">
        <v>18</v>
      </c>
      <c r="K248" s="16" t="s">
        <v>272</v>
      </c>
      <c r="L248" s="16">
        <v>2</v>
      </c>
      <c r="M248" s="16" t="s">
        <v>277</v>
      </c>
      <c r="N248" s="16" t="s">
        <v>335</v>
      </c>
      <c r="O248" s="15" t="s">
        <v>282</v>
      </c>
      <c r="P248" t="s">
        <v>371</v>
      </c>
      <c r="Q248" t="s">
        <v>371</v>
      </c>
      <c r="R248" s="17" t="s">
        <v>371</v>
      </c>
      <c r="S248" s="17">
        <v>0</v>
      </c>
      <c r="T248" s="17">
        <v>1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 t="s">
        <v>704</v>
      </c>
      <c r="AD248" s="16" t="s">
        <v>341</v>
      </c>
      <c r="AE248" s="16" t="s">
        <v>340</v>
      </c>
      <c r="AF248" s="15" t="s">
        <v>340</v>
      </c>
      <c r="AG248" s="15" t="s">
        <v>344</v>
      </c>
      <c r="AH248" s="17" t="s">
        <v>371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704</v>
      </c>
      <c r="AR248" t="s">
        <v>349</v>
      </c>
      <c r="AS248" t="s">
        <v>349</v>
      </c>
      <c r="AT248">
        <v>1</v>
      </c>
      <c r="AU248">
        <v>0</v>
      </c>
      <c r="AV248">
        <v>0</v>
      </c>
      <c r="AW248" t="s">
        <v>704</v>
      </c>
      <c r="AX248" t="s">
        <v>1208</v>
      </c>
      <c r="AY248" t="s">
        <v>293</v>
      </c>
      <c r="AZ248" t="s">
        <v>354</v>
      </c>
      <c r="BA248" t="s">
        <v>354</v>
      </c>
      <c r="BB248" t="s">
        <v>301</v>
      </c>
      <c r="BC248" t="s">
        <v>292</v>
      </c>
      <c r="BD248" t="s">
        <v>293</v>
      </c>
      <c r="BE248" t="s">
        <v>292</v>
      </c>
      <c r="BF248" t="s">
        <v>293</v>
      </c>
      <c r="BG248" t="s">
        <v>293</v>
      </c>
      <c r="BH248" t="s">
        <v>302</v>
      </c>
      <c r="BI248" t="s">
        <v>302</v>
      </c>
      <c r="BJ248" t="s">
        <v>359</v>
      </c>
      <c r="BK248" t="s">
        <v>293</v>
      </c>
      <c r="BL248" t="s">
        <v>293</v>
      </c>
      <c r="BM248" t="s">
        <v>297</v>
      </c>
      <c r="BN248" t="s">
        <v>298</v>
      </c>
      <c r="BO248" t="s">
        <v>293</v>
      </c>
      <c r="BP248" t="s">
        <v>292</v>
      </c>
      <c r="BQ248" t="s">
        <v>293</v>
      </c>
      <c r="BR248" t="s">
        <v>293</v>
      </c>
      <c r="BS248" t="s">
        <v>364</v>
      </c>
      <c r="BT248" t="s">
        <v>304</v>
      </c>
      <c r="BU248" t="s">
        <v>371</v>
      </c>
      <c r="BV248" t="s">
        <v>371</v>
      </c>
      <c r="BW248" t="s">
        <v>2691</v>
      </c>
      <c r="BX248" t="str">
        <f>IF(J248="win",VLOOKUP(B248,ColorScheme!$A$2:$I$32,4,0),VLOOKUP(B248,ColorScheme!$A$2:$I$32,5,0))</f>
        <v>#bf77f650</v>
      </c>
    </row>
    <row r="249" spans="1:76" x14ac:dyDescent="0.3">
      <c r="A249" t="s">
        <v>43</v>
      </c>
      <c r="B249" t="s">
        <v>62</v>
      </c>
      <c r="C249" t="s">
        <v>32</v>
      </c>
      <c r="D249" t="s">
        <v>29</v>
      </c>
      <c r="E249" t="s">
        <v>951</v>
      </c>
      <c r="F249" t="b">
        <v>1</v>
      </c>
      <c r="G249">
        <v>82.2</v>
      </c>
      <c r="H249">
        <v>0</v>
      </c>
      <c r="I249">
        <v>8876</v>
      </c>
      <c r="J249" s="61" t="s">
        <v>13</v>
      </c>
      <c r="K249" s="16" t="s">
        <v>272</v>
      </c>
      <c r="L249" s="16">
        <v>3</v>
      </c>
      <c r="M249" s="16" t="s">
        <v>333</v>
      </c>
      <c r="N249" s="16" t="s">
        <v>278</v>
      </c>
      <c r="O249" s="15" t="s">
        <v>283</v>
      </c>
      <c r="P249" t="s">
        <v>371</v>
      </c>
      <c r="Q249" t="s">
        <v>371</v>
      </c>
      <c r="R249" s="17" t="s">
        <v>371</v>
      </c>
      <c r="S249" s="17">
        <v>0</v>
      </c>
      <c r="T249" s="17">
        <v>0</v>
      </c>
      <c r="U249" s="17">
        <v>1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 t="s">
        <v>704</v>
      </c>
      <c r="AD249" s="16" t="s">
        <v>341</v>
      </c>
      <c r="AE249" s="16" t="s">
        <v>340</v>
      </c>
      <c r="AF249" s="15" t="s">
        <v>343</v>
      </c>
      <c r="AG249" s="15" t="s">
        <v>344</v>
      </c>
      <c r="AH249" s="17" t="s">
        <v>371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704</v>
      </c>
      <c r="AR249" t="s">
        <v>349</v>
      </c>
      <c r="AS249" t="s">
        <v>349</v>
      </c>
      <c r="AT249">
        <v>1</v>
      </c>
      <c r="AU249">
        <v>0</v>
      </c>
      <c r="AV249">
        <v>0</v>
      </c>
      <c r="AW249" t="s">
        <v>704</v>
      </c>
      <c r="AX249" t="s">
        <v>1220</v>
      </c>
      <c r="AY249" t="s">
        <v>293</v>
      </c>
      <c r="AZ249" t="s">
        <v>353</v>
      </c>
      <c r="BA249" t="s">
        <v>297</v>
      </c>
      <c r="BB249" t="s">
        <v>300</v>
      </c>
      <c r="BC249" t="s">
        <v>292</v>
      </c>
      <c r="BD249" t="s">
        <v>293</v>
      </c>
      <c r="BE249" t="s">
        <v>292</v>
      </c>
      <c r="BF249" t="s">
        <v>293</v>
      </c>
      <c r="BG249" t="s">
        <v>293</v>
      </c>
      <c r="BH249" t="s">
        <v>302</v>
      </c>
      <c r="BI249" t="s">
        <v>359</v>
      </c>
      <c r="BJ249" t="s">
        <v>359</v>
      </c>
      <c r="BK249" t="s">
        <v>293</v>
      </c>
      <c r="BL249" t="s">
        <v>293</v>
      </c>
      <c r="BM249" t="s">
        <v>297</v>
      </c>
      <c r="BN249" t="s">
        <v>298</v>
      </c>
      <c r="BO249" t="s">
        <v>293</v>
      </c>
      <c r="BP249" t="s">
        <v>292</v>
      </c>
      <c r="BQ249" t="s">
        <v>293</v>
      </c>
      <c r="BR249" t="s">
        <v>293</v>
      </c>
      <c r="BS249" t="s">
        <v>364</v>
      </c>
      <c r="BT249" t="s">
        <v>366</v>
      </c>
      <c r="BU249" t="s">
        <v>371</v>
      </c>
      <c r="BV249" t="s">
        <v>371</v>
      </c>
      <c r="BW249" t="s">
        <v>2692</v>
      </c>
      <c r="BX249" t="str">
        <f>IF(J249="win",VLOOKUP(B249,ColorScheme!$A$2:$I$32,4,0),VLOOKUP(B249,ColorScheme!$A$2:$I$32,5,0))</f>
        <v>#bf77f6</v>
      </c>
    </row>
    <row r="250" spans="1:76" x14ac:dyDescent="0.3">
      <c r="A250" t="s">
        <v>43</v>
      </c>
      <c r="B250" t="s">
        <v>62</v>
      </c>
      <c r="C250" t="s">
        <v>41</v>
      </c>
      <c r="D250" t="s">
        <v>29</v>
      </c>
      <c r="E250" t="s">
        <v>952</v>
      </c>
      <c r="F250" t="b">
        <v>1</v>
      </c>
      <c r="G250">
        <v>100</v>
      </c>
      <c r="H250">
        <v>1</v>
      </c>
      <c r="I250">
        <v>7958</v>
      </c>
      <c r="J250" s="61" t="s">
        <v>18</v>
      </c>
      <c r="K250" s="16" t="s">
        <v>272</v>
      </c>
      <c r="L250" s="16">
        <v>2</v>
      </c>
      <c r="M250" s="16" t="s">
        <v>277</v>
      </c>
      <c r="N250" s="16" t="s">
        <v>335</v>
      </c>
      <c r="O250" s="15" t="s">
        <v>282</v>
      </c>
      <c r="P250" t="s">
        <v>371</v>
      </c>
      <c r="Q250" t="s">
        <v>371</v>
      </c>
      <c r="R250" s="17" t="s">
        <v>371</v>
      </c>
      <c r="S250" s="17">
        <v>0</v>
      </c>
      <c r="T250" s="17">
        <v>1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 t="s">
        <v>704</v>
      </c>
      <c r="AD250" s="16" t="s">
        <v>341</v>
      </c>
      <c r="AE250" s="16" t="s">
        <v>340</v>
      </c>
      <c r="AF250" s="15" t="s">
        <v>340</v>
      </c>
      <c r="AG250" s="15" t="s">
        <v>345</v>
      </c>
      <c r="AH250" s="17" t="s">
        <v>371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704</v>
      </c>
      <c r="AR250" t="s">
        <v>350</v>
      </c>
      <c r="AS250" t="s">
        <v>349</v>
      </c>
      <c r="AT250">
        <v>0</v>
      </c>
      <c r="AU250">
        <v>1</v>
      </c>
      <c r="AV250">
        <v>0</v>
      </c>
      <c r="AW250" t="s">
        <v>704</v>
      </c>
      <c r="AX250" t="s">
        <v>2913</v>
      </c>
      <c r="AY250" t="s">
        <v>293</v>
      </c>
      <c r="AZ250" t="s">
        <v>354</v>
      </c>
      <c r="BA250" t="s">
        <v>354</v>
      </c>
      <c r="BB250" t="s">
        <v>300</v>
      </c>
      <c r="BC250" t="s">
        <v>292</v>
      </c>
      <c r="BD250" t="s">
        <v>293</v>
      </c>
      <c r="BE250" t="s">
        <v>292</v>
      </c>
      <c r="BF250" t="s">
        <v>293</v>
      </c>
      <c r="BG250" t="s">
        <v>293</v>
      </c>
      <c r="BH250" t="s">
        <v>302</v>
      </c>
      <c r="BI250" t="s">
        <v>302</v>
      </c>
      <c r="BJ250" t="s">
        <v>357</v>
      </c>
      <c r="BK250" t="s">
        <v>293</v>
      </c>
      <c r="BL250" t="s">
        <v>293</v>
      </c>
      <c r="BM250" t="s">
        <v>297</v>
      </c>
      <c r="BN250" t="s">
        <v>298</v>
      </c>
      <c r="BO250" t="s">
        <v>293</v>
      </c>
      <c r="BP250" t="s">
        <v>292</v>
      </c>
      <c r="BQ250" t="s">
        <v>293</v>
      </c>
      <c r="BR250" t="s">
        <v>293</v>
      </c>
      <c r="BS250" t="s">
        <v>364</v>
      </c>
      <c r="BT250" t="s">
        <v>304</v>
      </c>
      <c r="BU250" t="s">
        <v>371</v>
      </c>
      <c r="BV250" t="s">
        <v>371</v>
      </c>
      <c r="BW250" t="s">
        <v>2693</v>
      </c>
      <c r="BX250" t="str">
        <f>IF(J250="win",VLOOKUP(B250,ColorScheme!$A$2:$I$32,4,0),VLOOKUP(B250,ColorScheme!$A$2:$I$32,5,0))</f>
        <v>#bf77f650</v>
      </c>
    </row>
    <row r="251" spans="1:76" x14ac:dyDescent="0.3">
      <c r="A251" t="s">
        <v>43</v>
      </c>
      <c r="B251" t="s">
        <v>62</v>
      </c>
      <c r="C251" t="s">
        <v>40</v>
      </c>
      <c r="D251" t="s">
        <v>29</v>
      </c>
      <c r="E251" t="s">
        <v>953</v>
      </c>
      <c r="F251" t="b">
        <v>1</v>
      </c>
      <c r="G251">
        <v>100</v>
      </c>
      <c r="H251">
        <v>1</v>
      </c>
      <c r="I251">
        <v>7899</v>
      </c>
      <c r="J251" s="61" t="s">
        <v>18</v>
      </c>
      <c r="K251" s="16" t="s">
        <v>272</v>
      </c>
      <c r="L251" s="16">
        <v>2</v>
      </c>
      <c r="M251" s="16" t="s">
        <v>277</v>
      </c>
      <c r="N251" s="16" t="s">
        <v>335</v>
      </c>
      <c r="O251" s="15" t="s">
        <v>282</v>
      </c>
      <c r="P251" t="s">
        <v>371</v>
      </c>
      <c r="Q251" t="s">
        <v>371</v>
      </c>
      <c r="R251" s="17" t="s">
        <v>371</v>
      </c>
      <c r="S251" s="17">
        <v>0</v>
      </c>
      <c r="T251" s="17">
        <v>1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 t="s">
        <v>704</v>
      </c>
      <c r="AD251" s="16" t="s">
        <v>341</v>
      </c>
      <c r="AE251" s="16" t="s">
        <v>340</v>
      </c>
      <c r="AF251" s="15" t="s">
        <v>340</v>
      </c>
      <c r="AG251" s="15" t="s">
        <v>345</v>
      </c>
      <c r="AH251" s="17" t="s">
        <v>371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704</v>
      </c>
      <c r="AR251" t="s">
        <v>350</v>
      </c>
      <c r="AS251" t="s">
        <v>349</v>
      </c>
      <c r="AT251">
        <v>0</v>
      </c>
      <c r="AU251">
        <v>1</v>
      </c>
      <c r="AV251">
        <v>0</v>
      </c>
      <c r="AW251" t="s">
        <v>704</v>
      </c>
      <c r="AX251" t="s">
        <v>2913</v>
      </c>
      <c r="AY251" t="s">
        <v>293</v>
      </c>
      <c r="AZ251" t="s">
        <v>354</v>
      </c>
      <c r="BA251" t="s">
        <v>354</v>
      </c>
      <c r="BB251" t="s">
        <v>300</v>
      </c>
      <c r="BC251" t="s">
        <v>292</v>
      </c>
      <c r="BD251" t="s">
        <v>293</v>
      </c>
      <c r="BE251" t="s">
        <v>292</v>
      </c>
      <c r="BF251" t="s">
        <v>293</v>
      </c>
      <c r="BG251" t="s">
        <v>293</v>
      </c>
      <c r="BH251" t="s">
        <v>302</v>
      </c>
      <c r="BI251" t="s">
        <v>302</v>
      </c>
      <c r="BJ251" t="s">
        <v>357</v>
      </c>
      <c r="BK251" t="s">
        <v>293</v>
      </c>
      <c r="BL251" t="s">
        <v>293</v>
      </c>
      <c r="BM251" t="s">
        <v>297</v>
      </c>
      <c r="BN251" t="s">
        <v>298</v>
      </c>
      <c r="BO251" t="s">
        <v>293</v>
      </c>
      <c r="BP251" t="s">
        <v>292</v>
      </c>
      <c r="BQ251" t="s">
        <v>293</v>
      </c>
      <c r="BR251" t="s">
        <v>293</v>
      </c>
      <c r="BS251" t="s">
        <v>364</v>
      </c>
      <c r="BT251" t="s">
        <v>304</v>
      </c>
      <c r="BU251" t="s">
        <v>371</v>
      </c>
      <c r="BV251" t="s">
        <v>371</v>
      </c>
      <c r="BW251" t="s">
        <v>2694</v>
      </c>
      <c r="BX251" t="str">
        <f>IF(J251="win",VLOOKUP(B251,ColorScheme!$A$2:$I$32,4,0),VLOOKUP(B251,ColorScheme!$A$2:$I$32,5,0))</f>
        <v>#bf77f650</v>
      </c>
    </row>
    <row r="252" spans="1:76" x14ac:dyDescent="0.3">
      <c r="A252" t="s">
        <v>43</v>
      </c>
      <c r="B252" t="s">
        <v>62</v>
      </c>
      <c r="C252" t="s">
        <v>63</v>
      </c>
      <c r="D252" t="s">
        <v>29</v>
      </c>
      <c r="E252" t="s">
        <v>954</v>
      </c>
      <c r="F252" t="b">
        <v>1</v>
      </c>
      <c r="G252">
        <v>96.2</v>
      </c>
      <c r="H252">
        <v>0</v>
      </c>
      <c r="I252">
        <v>10935</v>
      </c>
      <c r="J252" s="61" t="s">
        <v>13</v>
      </c>
      <c r="K252" s="16" t="s">
        <v>272</v>
      </c>
      <c r="L252" s="16">
        <v>2</v>
      </c>
      <c r="M252" s="16" t="s">
        <v>277</v>
      </c>
      <c r="N252" s="16" t="s">
        <v>335</v>
      </c>
      <c r="O252" s="15" t="s">
        <v>282</v>
      </c>
      <c r="P252" t="s">
        <v>371</v>
      </c>
      <c r="Q252" t="s">
        <v>371</v>
      </c>
      <c r="R252" s="17" t="s">
        <v>371</v>
      </c>
      <c r="S252" s="17">
        <v>0</v>
      </c>
      <c r="T252" s="17">
        <v>1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 t="s">
        <v>704</v>
      </c>
      <c r="AD252" s="16" t="s">
        <v>341</v>
      </c>
      <c r="AE252" s="16" t="s">
        <v>340</v>
      </c>
      <c r="AF252" s="15" t="s">
        <v>340</v>
      </c>
      <c r="AG252" s="15" t="s">
        <v>345</v>
      </c>
      <c r="AH252" s="17" t="s">
        <v>371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704</v>
      </c>
      <c r="AR252" t="s">
        <v>350</v>
      </c>
      <c r="AS252" t="s">
        <v>349</v>
      </c>
      <c r="AT252">
        <v>0</v>
      </c>
      <c r="AU252">
        <v>1</v>
      </c>
      <c r="AV252">
        <v>0</v>
      </c>
      <c r="AW252" t="s">
        <v>704</v>
      </c>
      <c r="AX252" t="s">
        <v>2913</v>
      </c>
      <c r="AY252" t="s">
        <v>293</v>
      </c>
      <c r="AZ252" t="s">
        <v>354</v>
      </c>
      <c r="BA252" t="s">
        <v>354</v>
      </c>
      <c r="BB252" t="s">
        <v>300</v>
      </c>
      <c r="BC252" t="s">
        <v>293</v>
      </c>
      <c r="BD252" t="s">
        <v>292</v>
      </c>
      <c r="BE252" t="s">
        <v>292</v>
      </c>
      <c r="BF252" t="s">
        <v>293</v>
      </c>
      <c r="BG252" t="s">
        <v>293</v>
      </c>
      <c r="BH252" t="s">
        <v>302</v>
      </c>
      <c r="BI252" t="s">
        <v>302</v>
      </c>
      <c r="BJ252" t="s">
        <v>357</v>
      </c>
      <c r="BK252" t="s">
        <v>293</v>
      </c>
      <c r="BL252" t="s">
        <v>293</v>
      </c>
      <c r="BM252" t="s">
        <v>297</v>
      </c>
      <c r="BN252" t="s">
        <v>356</v>
      </c>
      <c r="BO252" t="s">
        <v>293</v>
      </c>
      <c r="BP252" t="s">
        <v>292</v>
      </c>
      <c r="BQ252" t="s">
        <v>293</v>
      </c>
      <c r="BR252" t="s">
        <v>293</v>
      </c>
      <c r="BS252" t="s">
        <v>364</v>
      </c>
      <c r="BT252" t="s">
        <v>366</v>
      </c>
      <c r="BU252" t="s">
        <v>371</v>
      </c>
      <c r="BV252" t="s">
        <v>371</v>
      </c>
      <c r="BW252" t="s">
        <v>2695</v>
      </c>
      <c r="BX252" t="str">
        <f>IF(J252="win",VLOOKUP(B252,ColorScheme!$A$2:$I$32,4,0),VLOOKUP(B252,ColorScheme!$A$2:$I$32,5,0))</f>
        <v>#bf77f6</v>
      </c>
    </row>
    <row r="253" spans="1:76" x14ac:dyDescent="0.3">
      <c r="A253" t="s">
        <v>43</v>
      </c>
      <c r="B253" t="s">
        <v>62</v>
      </c>
      <c r="C253" t="s">
        <v>38</v>
      </c>
      <c r="D253" t="s">
        <v>29</v>
      </c>
      <c r="E253" t="s">
        <v>955</v>
      </c>
      <c r="F253" t="b">
        <v>1</v>
      </c>
      <c r="G253">
        <v>100</v>
      </c>
      <c r="H253">
        <v>1</v>
      </c>
      <c r="I253">
        <v>7742</v>
      </c>
      <c r="J253" s="61" t="s">
        <v>18</v>
      </c>
      <c r="K253" s="16" t="s">
        <v>272</v>
      </c>
      <c r="L253" s="16">
        <v>2</v>
      </c>
      <c r="M253" s="16" t="s">
        <v>277</v>
      </c>
      <c r="N253" s="16" t="s">
        <v>335</v>
      </c>
      <c r="O253" s="15" t="s">
        <v>282</v>
      </c>
      <c r="P253" t="s">
        <v>371</v>
      </c>
      <c r="Q253" t="s">
        <v>371</v>
      </c>
      <c r="R253" s="17" t="s">
        <v>371</v>
      </c>
      <c r="S253" s="17">
        <v>0</v>
      </c>
      <c r="T253" s="17">
        <v>1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 t="s">
        <v>704</v>
      </c>
      <c r="AD253" s="16" t="s">
        <v>341</v>
      </c>
      <c r="AE253" s="16" t="s">
        <v>340</v>
      </c>
      <c r="AF253" s="15" t="s">
        <v>340</v>
      </c>
      <c r="AG253" s="15" t="s">
        <v>345</v>
      </c>
      <c r="AH253" s="17" t="s">
        <v>371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704</v>
      </c>
      <c r="AR253" t="s">
        <v>350</v>
      </c>
      <c r="AS253" t="s">
        <v>349</v>
      </c>
      <c r="AT253">
        <v>0</v>
      </c>
      <c r="AU253">
        <v>1</v>
      </c>
      <c r="AV253">
        <v>0</v>
      </c>
      <c r="AW253" t="s">
        <v>704</v>
      </c>
      <c r="AX253" t="s">
        <v>2913</v>
      </c>
      <c r="AY253" t="s">
        <v>293</v>
      </c>
      <c r="AZ253" t="s">
        <v>354</v>
      </c>
      <c r="BA253" t="s">
        <v>354</v>
      </c>
      <c r="BB253" t="s">
        <v>300</v>
      </c>
      <c r="BC253" t="s">
        <v>292</v>
      </c>
      <c r="BD253" t="s">
        <v>293</v>
      </c>
      <c r="BE253" t="s">
        <v>292</v>
      </c>
      <c r="BF253" t="s">
        <v>293</v>
      </c>
      <c r="BG253" t="s">
        <v>293</v>
      </c>
      <c r="BH253" t="s">
        <v>302</v>
      </c>
      <c r="BI253" t="s">
        <v>302</v>
      </c>
      <c r="BJ253" t="s">
        <v>357</v>
      </c>
      <c r="BK253" t="s">
        <v>293</v>
      </c>
      <c r="BL253" t="s">
        <v>293</v>
      </c>
      <c r="BM253" t="s">
        <v>297</v>
      </c>
      <c r="BN253" t="s">
        <v>298</v>
      </c>
      <c r="BO253" t="s">
        <v>293</v>
      </c>
      <c r="BP253" t="s">
        <v>292</v>
      </c>
      <c r="BQ253" t="s">
        <v>293</v>
      </c>
      <c r="BR253" t="s">
        <v>293</v>
      </c>
      <c r="BS253" t="s">
        <v>364</v>
      </c>
      <c r="BT253" t="s">
        <v>304</v>
      </c>
      <c r="BU253" t="s">
        <v>371</v>
      </c>
      <c r="BV253" t="s">
        <v>371</v>
      </c>
      <c r="BW253" t="s">
        <v>2696</v>
      </c>
      <c r="BX253" t="str">
        <f>IF(J253="win",VLOOKUP(B253,ColorScheme!$A$2:$I$32,4,0),VLOOKUP(B253,ColorScheme!$A$2:$I$32,5,0))</f>
        <v>#bf77f650</v>
      </c>
    </row>
    <row r="254" spans="1:76" x14ac:dyDescent="0.3">
      <c r="A254" t="s">
        <v>43</v>
      </c>
      <c r="B254" t="s">
        <v>62</v>
      </c>
      <c r="C254" t="s">
        <v>65</v>
      </c>
      <c r="D254" t="s">
        <v>29</v>
      </c>
      <c r="E254" t="s">
        <v>956</v>
      </c>
      <c r="F254" t="b">
        <v>1</v>
      </c>
      <c r="G254">
        <v>100</v>
      </c>
      <c r="H254">
        <v>1</v>
      </c>
      <c r="I254">
        <v>17652</v>
      </c>
      <c r="J254" s="61" t="s">
        <v>18</v>
      </c>
      <c r="K254" s="16" t="s">
        <v>272</v>
      </c>
      <c r="L254" s="16">
        <v>3</v>
      </c>
      <c r="M254" s="16" t="s">
        <v>277</v>
      </c>
      <c r="N254" s="16" t="s">
        <v>335</v>
      </c>
      <c r="O254" s="15" t="s">
        <v>282</v>
      </c>
      <c r="P254" t="s">
        <v>371</v>
      </c>
      <c r="Q254" t="s">
        <v>371</v>
      </c>
      <c r="R254" s="17" t="s">
        <v>371</v>
      </c>
      <c r="S254" s="17">
        <v>0</v>
      </c>
      <c r="T254" s="17">
        <v>1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 t="s">
        <v>704</v>
      </c>
      <c r="AD254" s="16" t="s">
        <v>341</v>
      </c>
      <c r="AE254" s="16" t="s">
        <v>340</v>
      </c>
      <c r="AF254" s="15" t="s">
        <v>343</v>
      </c>
      <c r="AG254" s="15" t="s">
        <v>345</v>
      </c>
      <c r="AH254" s="17" t="s">
        <v>371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704</v>
      </c>
      <c r="AR254" t="s">
        <v>349</v>
      </c>
      <c r="AS254" t="s">
        <v>349</v>
      </c>
      <c r="AT254">
        <v>1</v>
      </c>
      <c r="AU254">
        <v>0</v>
      </c>
      <c r="AV254">
        <v>0</v>
      </c>
      <c r="AW254" t="s">
        <v>704</v>
      </c>
      <c r="AX254" t="s">
        <v>1232</v>
      </c>
      <c r="AY254" t="s">
        <v>293</v>
      </c>
      <c r="AZ254" t="s">
        <v>353</v>
      </c>
      <c r="BA254" t="s">
        <v>296</v>
      </c>
      <c r="BB254" t="s">
        <v>299</v>
      </c>
      <c r="BC254" t="s">
        <v>292</v>
      </c>
      <c r="BD254" t="s">
        <v>293</v>
      </c>
      <c r="BE254" t="s">
        <v>292</v>
      </c>
      <c r="BF254" t="s">
        <v>292</v>
      </c>
      <c r="BG254" t="s">
        <v>293</v>
      </c>
      <c r="BH254" t="s">
        <v>302</v>
      </c>
      <c r="BI254" t="s">
        <v>302</v>
      </c>
      <c r="BJ254" t="s">
        <v>359</v>
      </c>
      <c r="BK254" t="s">
        <v>293</v>
      </c>
      <c r="BL254" t="s">
        <v>293</v>
      </c>
      <c r="BM254" t="s">
        <v>296</v>
      </c>
      <c r="BN254" t="s">
        <v>298</v>
      </c>
      <c r="BO254" t="s">
        <v>293</v>
      </c>
      <c r="BP254" t="s">
        <v>292</v>
      </c>
      <c r="BQ254" t="s">
        <v>293</v>
      </c>
      <c r="BR254" t="s">
        <v>293</v>
      </c>
      <c r="BS254" t="s">
        <v>364</v>
      </c>
      <c r="BT254" t="s">
        <v>304</v>
      </c>
      <c r="BU254" t="s">
        <v>371</v>
      </c>
      <c r="BV254" t="s">
        <v>371</v>
      </c>
      <c r="BW254" t="s">
        <v>2697</v>
      </c>
      <c r="BX254" t="str">
        <f>IF(J254="win",VLOOKUP(B254,ColorScheme!$A$2:$I$32,4,0),VLOOKUP(B254,ColorScheme!$A$2:$I$32,5,0))</f>
        <v>#bf77f650</v>
      </c>
    </row>
    <row r="255" spans="1:76" x14ac:dyDescent="0.3">
      <c r="A255" t="s">
        <v>43</v>
      </c>
      <c r="B255" t="s">
        <v>62</v>
      </c>
      <c r="C255" t="s">
        <v>34</v>
      </c>
      <c r="D255" t="s">
        <v>29</v>
      </c>
      <c r="E255" t="s">
        <v>957</v>
      </c>
      <c r="F255" t="b">
        <v>1</v>
      </c>
      <c r="G255">
        <v>100</v>
      </c>
      <c r="H255">
        <v>1</v>
      </c>
      <c r="I255">
        <v>8651</v>
      </c>
      <c r="J255" s="61" t="s">
        <v>18</v>
      </c>
      <c r="K255" s="16" t="s">
        <v>272</v>
      </c>
      <c r="L255" s="16">
        <v>3</v>
      </c>
      <c r="M255" s="16" t="s">
        <v>333</v>
      </c>
      <c r="N255" s="16" t="s">
        <v>278</v>
      </c>
      <c r="O255" s="15" t="s">
        <v>283</v>
      </c>
      <c r="P255" t="s">
        <v>371</v>
      </c>
      <c r="Q255" t="s">
        <v>371</v>
      </c>
      <c r="R255" s="17" t="s">
        <v>371</v>
      </c>
      <c r="S255" s="17">
        <v>0</v>
      </c>
      <c r="T255" s="17">
        <v>0</v>
      </c>
      <c r="U255" s="17">
        <v>1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 t="s">
        <v>704</v>
      </c>
      <c r="AD255" s="16" t="s">
        <v>341</v>
      </c>
      <c r="AE255" s="16" t="s">
        <v>340</v>
      </c>
      <c r="AF255" s="15" t="s">
        <v>343</v>
      </c>
      <c r="AG255" s="15" t="s">
        <v>344</v>
      </c>
      <c r="AH255" s="17" t="s">
        <v>371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704</v>
      </c>
      <c r="AR255" t="s">
        <v>349</v>
      </c>
      <c r="AS255" t="s">
        <v>349</v>
      </c>
      <c r="AT255">
        <v>1</v>
      </c>
      <c r="AU255">
        <v>0</v>
      </c>
      <c r="AV255">
        <v>0</v>
      </c>
      <c r="AW255" t="s">
        <v>704</v>
      </c>
      <c r="AX255" t="s">
        <v>1220</v>
      </c>
      <c r="AY255" t="s">
        <v>293</v>
      </c>
      <c r="AZ255" t="s">
        <v>353</v>
      </c>
      <c r="BA255" t="s">
        <v>297</v>
      </c>
      <c r="BB255" t="s">
        <v>300</v>
      </c>
      <c r="BC255" t="s">
        <v>292</v>
      </c>
      <c r="BD255" t="s">
        <v>293</v>
      </c>
      <c r="BE255" t="s">
        <v>292</v>
      </c>
      <c r="BF255" t="s">
        <v>293</v>
      </c>
      <c r="BG255" t="s">
        <v>293</v>
      </c>
      <c r="BH255" t="s">
        <v>302</v>
      </c>
      <c r="BI255" t="s">
        <v>359</v>
      </c>
      <c r="BJ255" t="s">
        <v>359</v>
      </c>
      <c r="BK255" t="s">
        <v>293</v>
      </c>
      <c r="BL255" t="s">
        <v>293</v>
      </c>
      <c r="BM255" t="s">
        <v>297</v>
      </c>
      <c r="BN255" t="s">
        <v>298</v>
      </c>
      <c r="BO255" t="s">
        <v>360</v>
      </c>
      <c r="BP255" t="s">
        <v>292</v>
      </c>
      <c r="BQ255" t="s">
        <v>293</v>
      </c>
      <c r="BR255" t="s">
        <v>293</v>
      </c>
      <c r="BS255" t="s">
        <v>364</v>
      </c>
      <c r="BT255" t="s">
        <v>304</v>
      </c>
      <c r="BU255" t="s">
        <v>371</v>
      </c>
      <c r="BV255" t="s">
        <v>371</v>
      </c>
      <c r="BW255" t="s">
        <v>2698</v>
      </c>
      <c r="BX255" t="str">
        <f>IF(J255="win",VLOOKUP(B255,ColorScheme!$A$2:$I$32,4,0),VLOOKUP(B255,ColorScheme!$A$2:$I$32,5,0))</f>
        <v>#bf77f650</v>
      </c>
    </row>
    <row r="256" spans="1:76" x14ac:dyDescent="0.3">
      <c r="A256" t="s">
        <v>43</v>
      </c>
      <c r="B256" t="s">
        <v>62</v>
      </c>
      <c r="C256" t="s">
        <v>42</v>
      </c>
      <c r="D256" t="s">
        <v>29</v>
      </c>
      <c r="E256" t="s">
        <v>958</v>
      </c>
      <c r="F256" t="b">
        <v>1</v>
      </c>
      <c r="G256">
        <v>100</v>
      </c>
      <c r="H256">
        <v>1</v>
      </c>
      <c r="I256">
        <v>8808</v>
      </c>
      <c r="J256" s="61" t="s">
        <v>18</v>
      </c>
      <c r="K256" s="16" t="s">
        <v>272</v>
      </c>
      <c r="L256" s="16">
        <v>3</v>
      </c>
      <c r="M256" s="16" t="s">
        <v>277</v>
      </c>
      <c r="N256" s="16" t="s">
        <v>335</v>
      </c>
      <c r="O256" s="15" t="s">
        <v>282</v>
      </c>
      <c r="P256" t="s">
        <v>371</v>
      </c>
      <c r="Q256" t="s">
        <v>371</v>
      </c>
      <c r="R256" s="17" t="s">
        <v>371</v>
      </c>
      <c r="S256" s="17">
        <v>0</v>
      </c>
      <c r="T256" s="17">
        <v>1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 t="s">
        <v>704</v>
      </c>
      <c r="AD256" s="16" t="s">
        <v>341</v>
      </c>
      <c r="AE256" s="16" t="s">
        <v>340</v>
      </c>
      <c r="AF256" s="15" t="s">
        <v>340</v>
      </c>
      <c r="AG256" s="15" t="s">
        <v>345</v>
      </c>
      <c r="AH256" s="17" t="s">
        <v>371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704</v>
      </c>
      <c r="AR256" t="s">
        <v>350</v>
      </c>
      <c r="AS256" t="s">
        <v>349</v>
      </c>
      <c r="AT256">
        <v>0</v>
      </c>
      <c r="AU256">
        <v>1</v>
      </c>
      <c r="AV256">
        <v>0</v>
      </c>
      <c r="AW256" t="s">
        <v>704</v>
      </c>
      <c r="AX256" t="s">
        <v>2913</v>
      </c>
      <c r="AY256" t="s">
        <v>293</v>
      </c>
      <c r="AZ256" t="s">
        <v>354</v>
      </c>
      <c r="BA256" t="s">
        <v>354</v>
      </c>
      <c r="BB256" t="s">
        <v>300</v>
      </c>
      <c r="BC256" t="s">
        <v>292</v>
      </c>
      <c r="BD256" t="s">
        <v>292</v>
      </c>
      <c r="BE256" t="s">
        <v>292</v>
      </c>
      <c r="BF256" t="s">
        <v>293</v>
      </c>
      <c r="BG256" t="s">
        <v>293</v>
      </c>
      <c r="BH256" t="s">
        <v>302</v>
      </c>
      <c r="BI256" t="s">
        <v>302</v>
      </c>
      <c r="BJ256" t="s">
        <v>357</v>
      </c>
      <c r="BK256" t="s">
        <v>293</v>
      </c>
      <c r="BL256" t="s">
        <v>293</v>
      </c>
      <c r="BM256" t="s">
        <v>297</v>
      </c>
      <c r="BN256" t="s">
        <v>298</v>
      </c>
      <c r="BO256" t="s">
        <v>293</v>
      </c>
      <c r="BP256" t="s">
        <v>292</v>
      </c>
      <c r="BQ256" t="s">
        <v>293</v>
      </c>
      <c r="BR256" t="s">
        <v>293</v>
      </c>
      <c r="BS256" t="s">
        <v>364</v>
      </c>
      <c r="BT256" t="s">
        <v>304</v>
      </c>
      <c r="BU256" t="s">
        <v>371</v>
      </c>
      <c r="BV256" t="s">
        <v>371</v>
      </c>
      <c r="BW256" t="s">
        <v>2699</v>
      </c>
      <c r="BX256" t="str">
        <f>IF(J256="win",VLOOKUP(B256,ColorScheme!$A$2:$I$32,4,0),VLOOKUP(B256,ColorScheme!$A$2:$I$32,5,0))</f>
        <v>#bf77f650</v>
      </c>
    </row>
    <row r="257" spans="1:76" x14ac:dyDescent="0.3">
      <c r="A257" t="s">
        <v>43</v>
      </c>
      <c r="B257" t="s">
        <v>62</v>
      </c>
      <c r="C257" t="s">
        <v>36</v>
      </c>
      <c r="D257" t="s">
        <v>29</v>
      </c>
      <c r="E257" t="s">
        <v>959</v>
      </c>
      <c r="F257" t="b">
        <v>1</v>
      </c>
      <c r="G257">
        <v>93</v>
      </c>
      <c r="H257">
        <v>0</v>
      </c>
      <c r="I257">
        <v>8739</v>
      </c>
      <c r="J257" s="61" t="s">
        <v>13</v>
      </c>
      <c r="K257" s="16" t="s">
        <v>272</v>
      </c>
      <c r="L257" s="16">
        <v>3</v>
      </c>
      <c r="M257" s="16" t="s">
        <v>333</v>
      </c>
      <c r="N257" s="16" t="s">
        <v>278</v>
      </c>
      <c r="O257" s="15" t="s">
        <v>283</v>
      </c>
      <c r="P257" t="s">
        <v>371</v>
      </c>
      <c r="Q257" t="s">
        <v>371</v>
      </c>
      <c r="R257" s="17" t="s">
        <v>371</v>
      </c>
      <c r="S257" s="17">
        <v>0</v>
      </c>
      <c r="T257" s="17">
        <v>0</v>
      </c>
      <c r="U257" s="17">
        <v>1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 t="s">
        <v>704</v>
      </c>
      <c r="AD257" s="16" t="s">
        <v>341</v>
      </c>
      <c r="AE257" s="16" t="s">
        <v>340</v>
      </c>
      <c r="AF257" s="15" t="s">
        <v>343</v>
      </c>
      <c r="AG257" s="15" t="s">
        <v>345</v>
      </c>
      <c r="AH257" s="17" t="s">
        <v>371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704</v>
      </c>
      <c r="AR257" t="s">
        <v>349</v>
      </c>
      <c r="AS257" t="s">
        <v>349</v>
      </c>
      <c r="AT257">
        <v>1</v>
      </c>
      <c r="AU257">
        <v>0</v>
      </c>
      <c r="AV257">
        <v>0</v>
      </c>
      <c r="AW257" t="s">
        <v>704</v>
      </c>
      <c r="AX257" t="s">
        <v>1240</v>
      </c>
      <c r="AY257" t="s">
        <v>293</v>
      </c>
      <c r="AZ257" t="s">
        <v>353</v>
      </c>
      <c r="BA257" t="s">
        <v>297</v>
      </c>
      <c r="BB257" t="s">
        <v>300</v>
      </c>
      <c r="BC257" t="s">
        <v>292</v>
      </c>
      <c r="BD257" t="s">
        <v>293</v>
      </c>
      <c r="BE257" t="s">
        <v>292</v>
      </c>
      <c r="BF257" t="s">
        <v>293</v>
      </c>
      <c r="BG257" t="s">
        <v>293</v>
      </c>
      <c r="BH257" t="s">
        <v>302</v>
      </c>
      <c r="BI257" t="s">
        <v>359</v>
      </c>
      <c r="BJ257" t="s">
        <v>359</v>
      </c>
      <c r="BK257" t="s">
        <v>293</v>
      </c>
      <c r="BL257" t="s">
        <v>293</v>
      </c>
      <c r="BM257" t="s">
        <v>297</v>
      </c>
      <c r="BN257" t="s">
        <v>298</v>
      </c>
      <c r="BO257" t="s">
        <v>293</v>
      </c>
      <c r="BP257" t="s">
        <v>292</v>
      </c>
      <c r="BQ257" t="s">
        <v>293</v>
      </c>
      <c r="BR257" t="s">
        <v>293</v>
      </c>
      <c r="BS257" t="s">
        <v>364</v>
      </c>
      <c r="BT257" t="s">
        <v>366</v>
      </c>
      <c r="BU257" t="s">
        <v>371</v>
      </c>
      <c r="BV257" t="s">
        <v>371</v>
      </c>
      <c r="BW257" t="s">
        <v>2700</v>
      </c>
      <c r="BX257" t="str">
        <f>IF(J257="win",VLOOKUP(B257,ColorScheme!$A$2:$I$32,4,0),VLOOKUP(B257,ColorScheme!$A$2:$I$32,5,0))</f>
        <v>#bf77f6</v>
      </c>
    </row>
    <row r="258" spans="1:76" x14ac:dyDescent="0.3">
      <c r="A258" t="s">
        <v>43</v>
      </c>
      <c r="B258" t="s">
        <v>62</v>
      </c>
      <c r="C258" t="s">
        <v>33</v>
      </c>
      <c r="D258" t="s">
        <v>29</v>
      </c>
      <c r="E258" t="s">
        <v>960</v>
      </c>
      <c r="F258" t="b">
        <v>1</v>
      </c>
      <c r="G258">
        <v>100</v>
      </c>
      <c r="H258">
        <v>1</v>
      </c>
      <c r="I258">
        <v>8853</v>
      </c>
      <c r="J258" s="61" t="s">
        <v>18</v>
      </c>
      <c r="K258" s="16" t="s">
        <v>272</v>
      </c>
      <c r="L258" s="16">
        <v>3</v>
      </c>
      <c r="M258" s="16" t="s">
        <v>333</v>
      </c>
      <c r="N258" s="16" t="s">
        <v>278</v>
      </c>
      <c r="O258" s="15" t="s">
        <v>283</v>
      </c>
      <c r="P258" t="s">
        <v>371</v>
      </c>
      <c r="Q258" t="s">
        <v>371</v>
      </c>
      <c r="R258" s="17" t="s">
        <v>371</v>
      </c>
      <c r="S258" s="17">
        <v>0</v>
      </c>
      <c r="T258" s="17">
        <v>0</v>
      </c>
      <c r="U258" s="17">
        <v>1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 t="s">
        <v>704</v>
      </c>
      <c r="AD258" s="16" t="s">
        <v>341</v>
      </c>
      <c r="AE258" s="16" t="s">
        <v>340</v>
      </c>
      <c r="AF258" s="15" t="s">
        <v>343</v>
      </c>
      <c r="AG258" s="15" t="s">
        <v>344</v>
      </c>
      <c r="AH258" s="17" t="s">
        <v>371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704</v>
      </c>
      <c r="AR258" t="s">
        <v>349</v>
      </c>
      <c r="AS258" t="s">
        <v>349</v>
      </c>
      <c r="AT258">
        <v>1</v>
      </c>
      <c r="AU258">
        <v>0</v>
      </c>
      <c r="AV258">
        <v>0</v>
      </c>
      <c r="AW258" t="s">
        <v>704</v>
      </c>
      <c r="AX258" t="s">
        <v>1220</v>
      </c>
      <c r="AY258" t="s">
        <v>293</v>
      </c>
      <c r="AZ258" t="s">
        <v>353</v>
      </c>
      <c r="BA258" t="s">
        <v>297</v>
      </c>
      <c r="BB258" t="s">
        <v>300</v>
      </c>
      <c r="BC258" t="s">
        <v>292</v>
      </c>
      <c r="BD258" t="s">
        <v>293</v>
      </c>
      <c r="BE258" t="s">
        <v>292</v>
      </c>
      <c r="BF258" t="s">
        <v>293</v>
      </c>
      <c r="BG258" t="s">
        <v>293</v>
      </c>
      <c r="BH258" t="s">
        <v>302</v>
      </c>
      <c r="BI258" t="s">
        <v>359</v>
      </c>
      <c r="BJ258" t="s">
        <v>359</v>
      </c>
      <c r="BK258" t="s">
        <v>293</v>
      </c>
      <c r="BL258" t="s">
        <v>293</v>
      </c>
      <c r="BM258" t="s">
        <v>297</v>
      </c>
      <c r="BN258" t="s">
        <v>298</v>
      </c>
      <c r="BO258" t="s">
        <v>360</v>
      </c>
      <c r="BP258" t="s">
        <v>292</v>
      </c>
      <c r="BQ258" t="s">
        <v>293</v>
      </c>
      <c r="BR258" t="s">
        <v>293</v>
      </c>
      <c r="BS258" t="s">
        <v>364</v>
      </c>
      <c r="BT258" t="s">
        <v>304</v>
      </c>
      <c r="BU258" t="s">
        <v>371</v>
      </c>
      <c r="BV258" t="s">
        <v>371</v>
      </c>
      <c r="BW258" t="s">
        <v>2701</v>
      </c>
      <c r="BX258" t="str">
        <f>IF(J258="win",VLOOKUP(B258,ColorScheme!$A$2:$I$32,4,0),VLOOKUP(B258,ColorScheme!$A$2:$I$32,5,0))</f>
        <v>#bf77f650</v>
      </c>
    </row>
    <row r="259" spans="1:76" x14ac:dyDescent="0.3">
      <c r="A259" t="s">
        <v>43</v>
      </c>
      <c r="B259" t="s">
        <v>62</v>
      </c>
      <c r="C259" t="s">
        <v>35</v>
      </c>
      <c r="D259" t="s">
        <v>29</v>
      </c>
      <c r="E259" t="s">
        <v>961</v>
      </c>
      <c r="F259" t="b">
        <v>1</v>
      </c>
      <c r="G259">
        <v>100</v>
      </c>
      <c r="H259">
        <v>1</v>
      </c>
      <c r="I259">
        <v>8705</v>
      </c>
      <c r="J259" s="61" t="s">
        <v>18</v>
      </c>
      <c r="K259" s="16" t="s">
        <v>272</v>
      </c>
      <c r="L259" s="16">
        <v>3</v>
      </c>
      <c r="M259" s="16" t="s">
        <v>333</v>
      </c>
      <c r="N259" s="16" t="s">
        <v>278</v>
      </c>
      <c r="O259" s="15" t="s">
        <v>283</v>
      </c>
      <c r="P259" t="s">
        <v>371</v>
      </c>
      <c r="Q259" t="s">
        <v>371</v>
      </c>
      <c r="R259" s="17" t="s">
        <v>371</v>
      </c>
      <c r="S259" s="17">
        <v>0</v>
      </c>
      <c r="T259" s="17">
        <v>0</v>
      </c>
      <c r="U259" s="17">
        <v>1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 t="s">
        <v>704</v>
      </c>
      <c r="AD259" s="16" t="s">
        <v>341</v>
      </c>
      <c r="AE259" s="16" t="s">
        <v>340</v>
      </c>
      <c r="AF259" s="15" t="s">
        <v>343</v>
      </c>
      <c r="AG259" s="15" t="s">
        <v>344</v>
      </c>
      <c r="AH259" s="17" t="s">
        <v>371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704</v>
      </c>
      <c r="AR259" t="s">
        <v>349</v>
      </c>
      <c r="AS259" t="s">
        <v>349</v>
      </c>
      <c r="AT259">
        <v>1</v>
      </c>
      <c r="AU259">
        <v>0</v>
      </c>
      <c r="AV259">
        <v>0</v>
      </c>
      <c r="AW259" t="s">
        <v>704</v>
      </c>
      <c r="AX259" t="s">
        <v>1220</v>
      </c>
      <c r="AY259" t="s">
        <v>293</v>
      </c>
      <c r="AZ259" t="s">
        <v>353</v>
      </c>
      <c r="BA259" t="s">
        <v>297</v>
      </c>
      <c r="BB259" t="s">
        <v>300</v>
      </c>
      <c r="BC259" t="s">
        <v>292</v>
      </c>
      <c r="BD259" t="s">
        <v>293</v>
      </c>
      <c r="BE259" t="s">
        <v>292</v>
      </c>
      <c r="BF259" t="s">
        <v>293</v>
      </c>
      <c r="BG259" t="s">
        <v>293</v>
      </c>
      <c r="BH259" t="s">
        <v>302</v>
      </c>
      <c r="BI259" t="s">
        <v>359</v>
      </c>
      <c r="BJ259" t="s">
        <v>359</v>
      </c>
      <c r="BK259" t="s">
        <v>293</v>
      </c>
      <c r="BL259" t="s">
        <v>293</v>
      </c>
      <c r="BM259" t="s">
        <v>297</v>
      </c>
      <c r="BN259" t="s">
        <v>298</v>
      </c>
      <c r="BO259" t="s">
        <v>360</v>
      </c>
      <c r="BP259" t="s">
        <v>292</v>
      </c>
      <c r="BQ259" t="s">
        <v>293</v>
      </c>
      <c r="BR259" t="s">
        <v>293</v>
      </c>
      <c r="BS259" t="s">
        <v>364</v>
      </c>
      <c r="BT259" t="s">
        <v>304</v>
      </c>
      <c r="BU259" t="s">
        <v>371</v>
      </c>
      <c r="BV259" t="s">
        <v>371</v>
      </c>
      <c r="BW259" t="s">
        <v>2702</v>
      </c>
      <c r="BX259" t="str">
        <f>IF(J259="win",VLOOKUP(B259,ColorScheme!$A$2:$I$32,4,0),VLOOKUP(B259,ColorScheme!$A$2:$I$32,5,0))</f>
        <v>#bf77f650</v>
      </c>
    </row>
    <row r="260" spans="1:76" x14ac:dyDescent="0.3">
      <c r="A260" t="s">
        <v>43</v>
      </c>
      <c r="B260" t="s">
        <v>58</v>
      </c>
      <c r="C260" t="s">
        <v>15</v>
      </c>
      <c r="D260" t="s">
        <v>12</v>
      </c>
      <c r="E260" t="s">
        <v>962</v>
      </c>
      <c r="F260" t="b">
        <v>1</v>
      </c>
      <c r="G260">
        <v>100</v>
      </c>
      <c r="H260">
        <v>1</v>
      </c>
      <c r="I260">
        <v>9809</v>
      </c>
      <c r="J260" s="61" t="s">
        <v>18</v>
      </c>
      <c r="K260" s="16" t="s">
        <v>272</v>
      </c>
      <c r="L260" s="16">
        <v>3</v>
      </c>
      <c r="M260" s="16" t="s">
        <v>277</v>
      </c>
      <c r="N260" s="16" t="s">
        <v>335</v>
      </c>
      <c r="O260" s="15" t="s">
        <v>281</v>
      </c>
      <c r="P260" t="s">
        <v>282</v>
      </c>
      <c r="Q260" t="s">
        <v>371</v>
      </c>
      <c r="R260" s="17" t="s">
        <v>371</v>
      </c>
      <c r="S260" s="17">
        <v>1</v>
      </c>
      <c r="T260" s="17">
        <v>1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 t="s">
        <v>704</v>
      </c>
      <c r="AD260" s="16" t="s">
        <v>341</v>
      </c>
      <c r="AE260" s="16" t="s">
        <v>342</v>
      </c>
      <c r="AF260" s="15" t="s">
        <v>343</v>
      </c>
      <c r="AG260" s="15" t="s">
        <v>345</v>
      </c>
      <c r="AH260" s="17" t="s">
        <v>291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 t="s">
        <v>704</v>
      </c>
      <c r="AR260" t="s">
        <v>349</v>
      </c>
      <c r="AS260" t="s">
        <v>349</v>
      </c>
      <c r="AT260">
        <v>1</v>
      </c>
      <c r="AU260">
        <v>0</v>
      </c>
      <c r="AV260">
        <v>0</v>
      </c>
      <c r="AW260" t="s">
        <v>704</v>
      </c>
      <c r="AX260" t="s">
        <v>1276</v>
      </c>
      <c r="AY260" t="s">
        <v>293</v>
      </c>
      <c r="AZ260" t="s">
        <v>352</v>
      </c>
      <c r="BA260" t="s">
        <v>296</v>
      </c>
      <c r="BB260" t="s">
        <v>301</v>
      </c>
      <c r="BC260" t="s">
        <v>292</v>
      </c>
      <c r="BD260" t="s">
        <v>293</v>
      </c>
      <c r="BE260" t="s">
        <v>292</v>
      </c>
      <c r="BF260" t="s">
        <v>292</v>
      </c>
      <c r="BG260" t="s">
        <v>293</v>
      </c>
      <c r="BH260" t="s">
        <v>302</v>
      </c>
      <c r="BI260" t="s">
        <v>302</v>
      </c>
      <c r="BJ260" t="s">
        <v>359</v>
      </c>
      <c r="BK260" t="s">
        <v>293</v>
      </c>
      <c r="BL260" t="s">
        <v>293</v>
      </c>
      <c r="BM260" t="s">
        <v>297</v>
      </c>
      <c r="BN260" t="s">
        <v>298</v>
      </c>
      <c r="BO260" t="s">
        <v>293</v>
      </c>
      <c r="BP260" t="s">
        <v>292</v>
      </c>
      <c r="BQ260" t="s">
        <v>293</v>
      </c>
      <c r="BR260" t="s">
        <v>293</v>
      </c>
      <c r="BS260" t="s">
        <v>364</v>
      </c>
      <c r="BT260" t="s">
        <v>304</v>
      </c>
      <c r="BU260" t="s">
        <v>371</v>
      </c>
      <c r="BV260" t="s">
        <v>371</v>
      </c>
      <c r="BW260" t="s">
        <v>2703</v>
      </c>
      <c r="BX260" t="str">
        <f>IF(J260="win",VLOOKUP(B260,ColorScheme!$A$2:$I$32,4,0),VLOOKUP(B260,ColorScheme!$A$2:$I$32,5,0))</f>
        <v>#d1b26f50</v>
      </c>
    </row>
    <row r="261" spans="1:76" x14ac:dyDescent="0.3">
      <c r="A261" t="s">
        <v>43</v>
      </c>
      <c r="B261" t="s">
        <v>58</v>
      </c>
      <c r="C261" t="s">
        <v>14</v>
      </c>
      <c r="D261" t="s">
        <v>12</v>
      </c>
      <c r="E261" t="s">
        <v>963</v>
      </c>
      <c r="F261" t="b">
        <v>1</v>
      </c>
      <c r="G261">
        <v>79.900000000000006</v>
      </c>
      <c r="H261">
        <v>0</v>
      </c>
      <c r="I261">
        <v>10669</v>
      </c>
      <c r="J261" s="61" t="s">
        <v>13</v>
      </c>
      <c r="K261" s="16" t="s">
        <v>272</v>
      </c>
      <c r="L261" s="16">
        <v>3</v>
      </c>
      <c r="M261" s="16" t="s">
        <v>277</v>
      </c>
      <c r="N261" s="16" t="s">
        <v>335</v>
      </c>
      <c r="O261" s="15" t="s">
        <v>282</v>
      </c>
      <c r="P261" t="s">
        <v>283</v>
      </c>
      <c r="Q261" t="s">
        <v>281</v>
      </c>
      <c r="R261" s="17" t="s">
        <v>371</v>
      </c>
      <c r="S261" s="17">
        <v>1</v>
      </c>
      <c r="T261" s="17">
        <v>1</v>
      </c>
      <c r="U261" s="17">
        <v>1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 t="s">
        <v>704</v>
      </c>
      <c r="AD261" s="16" t="s">
        <v>341</v>
      </c>
      <c r="AE261" s="16" t="s">
        <v>342</v>
      </c>
      <c r="AF261" s="15" t="s">
        <v>343</v>
      </c>
      <c r="AG261" s="15" t="s">
        <v>345</v>
      </c>
      <c r="AH261" s="17" t="s">
        <v>347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  <c r="AQ261" t="s">
        <v>704</v>
      </c>
      <c r="AR261" t="s">
        <v>349</v>
      </c>
      <c r="AS261" t="s">
        <v>349</v>
      </c>
      <c r="AT261">
        <v>1</v>
      </c>
      <c r="AU261">
        <v>0</v>
      </c>
      <c r="AV261">
        <v>0</v>
      </c>
      <c r="AW261" t="s">
        <v>704</v>
      </c>
      <c r="AX261" t="s">
        <v>1277</v>
      </c>
      <c r="AY261" t="s">
        <v>293</v>
      </c>
      <c r="AZ261" t="s">
        <v>352</v>
      </c>
      <c r="BA261" t="s">
        <v>296</v>
      </c>
      <c r="BB261" t="s">
        <v>301</v>
      </c>
      <c r="BC261" t="s">
        <v>292</v>
      </c>
      <c r="BD261" t="s">
        <v>293</v>
      </c>
      <c r="BE261" t="s">
        <v>292</v>
      </c>
      <c r="BF261" t="s">
        <v>292</v>
      </c>
      <c r="BG261" t="s">
        <v>293</v>
      </c>
      <c r="BH261" t="s">
        <v>302</v>
      </c>
      <c r="BI261" t="s">
        <v>302</v>
      </c>
      <c r="BJ261" t="s">
        <v>359</v>
      </c>
      <c r="BK261" t="s">
        <v>293</v>
      </c>
      <c r="BL261" t="s">
        <v>293</v>
      </c>
      <c r="BM261" t="s">
        <v>297</v>
      </c>
      <c r="BN261" t="s">
        <v>298</v>
      </c>
      <c r="BO261" t="s">
        <v>293</v>
      </c>
      <c r="BP261" t="s">
        <v>292</v>
      </c>
      <c r="BQ261" t="s">
        <v>293</v>
      </c>
      <c r="BR261" t="s">
        <v>293</v>
      </c>
      <c r="BS261" t="s">
        <v>364</v>
      </c>
      <c r="BT261" t="s">
        <v>366</v>
      </c>
      <c r="BU261" t="s">
        <v>371</v>
      </c>
      <c r="BV261" t="s">
        <v>371</v>
      </c>
      <c r="BW261" t="s">
        <v>2704</v>
      </c>
      <c r="BX261" t="str">
        <f>IF(J261="win",VLOOKUP(B261,ColorScheme!$A$2:$I$32,4,0),VLOOKUP(B261,ColorScheme!$A$2:$I$32,5,0))</f>
        <v>#d1b26f</v>
      </c>
    </row>
    <row r="262" spans="1:76" x14ac:dyDescent="0.3">
      <c r="A262" t="s">
        <v>43</v>
      </c>
      <c r="B262" t="s">
        <v>58</v>
      </c>
      <c r="C262" t="s">
        <v>11</v>
      </c>
      <c r="D262" t="s">
        <v>12</v>
      </c>
      <c r="E262" t="s">
        <v>964</v>
      </c>
      <c r="F262" t="b">
        <v>1</v>
      </c>
      <c r="G262">
        <v>100</v>
      </c>
      <c r="H262">
        <v>1</v>
      </c>
      <c r="I262">
        <v>9746</v>
      </c>
      <c r="J262" s="61" t="s">
        <v>13</v>
      </c>
      <c r="K262" s="16" t="s">
        <v>272</v>
      </c>
      <c r="L262" s="16">
        <v>3</v>
      </c>
      <c r="M262" s="16" t="s">
        <v>277</v>
      </c>
      <c r="N262" s="16" t="s">
        <v>335</v>
      </c>
      <c r="O262" s="15" t="s">
        <v>282</v>
      </c>
      <c r="P262" t="s">
        <v>283</v>
      </c>
      <c r="Q262" t="s">
        <v>281</v>
      </c>
      <c r="R262" s="17" t="s">
        <v>371</v>
      </c>
      <c r="S262" s="17">
        <v>1</v>
      </c>
      <c r="T262" s="17">
        <v>1</v>
      </c>
      <c r="U262" s="17">
        <v>1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 t="s">
        <v>704</v>
      </c>
      <c r="AD262" s="16" t="s">
        <v>341</v>
      </c>
      <c r="AE262" s="16" t="s">
        <v>342</v>
      </c>
      <c r="AF262" s="15" t="s">
        <v>343</v>
      </c>
      <c r="AG262" s="15" t="s">
        <v>344</v>
      </c>
      <c r="AH262" s="17" t="s">
        <v>371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704</v>
      </c>
      <c r="AR262" t="s">
        <v>349</v>
      </c>
      <c r="AS262" t="s">
        <v>349</v>
      </c>
      <c r="AT262">
        <v>1</v>
      </c>
      <c r="AU262">
        <v>0</v>
      </c>
      <c r="AV262">
        <v>0</v>
      </c>
      <c r="AW262" t="s">
        <v>704</v>
      </c>
      <c r="AX262" t="s">
        <v>1212</v>
      </c>
      <c r="AY262" t="s">
        <v>293</v>
      </c>
      <c r="AZ262" t="s">
        <v>352</v>
      </c>
      <c r="BA262" t="s">
        <v>296</v>
      </c>
      <c r="BB262" t="s">
        <v>301</v>
      </c>
      <c r="BC262" t="s">
        <v>292</v>
      </c>
      <c r="BD262" t="s">
        <v>293</v>
      </c>
      <c r="BE262" t="s">
        <v>292</v>
      </c>
      <c r="BF262" t="s">
        <v>292</v>
      </c>
      <c r="BG262" t="s">
        <v>293</v>
      </c>
      <c r="BH262" t="s">
        <v>302</v>
      </c>
      <c r="BI262" t="s">
        <v>359</v>
      </c>
      <c r="BJ262" t="s">
        <v>359</v>
      </c>
      <c r="BK262" t="s">
        <v>293</v>
      </c>
      <c r="BL262" t="s">
        <v>293</v>
      </c>
      <c r="BM262" t="s">
        <v>297</v>
      </c>
      <c r="BN262" t="s">
        <v>298</v>
      </c>
      <c r="BO262" t="s">
        <v>293</v>
      </c>
      <c r="BP262" t="s">
        <v>292</v>
      </c>
      <c r="BQ262" t="s">
        <v>293</v>
      </c>
      <c r="BR262" t="s">
        <v>293</v>
      </c>
      <c r="BS262" t="s">
        <v>364</v>
      </c>
      <c r="BT262" t="s">
        <v>366</v>
      </c>
      <c r="BU262" t="s">
        <v>371</v>
      </c>
      <c r="BV262" t="s">
        <v>371</v>
      </c>
      <c r="BW262" t="s">
        <v>2705</v>
      </c>
      <c r="BX262" t="str">
        <f>IF(J262="win",VLOOKUP(B262,ColorScheme!$A$2:$I$32,4,0),VLOOKUP(B262,ColorScheme!$A$2:$I$32,5,0))</f>
        <v>#d1b26f</v>
      </c>
    </row>
    <row r="263" spans="1:76" x14ac:dyDescent="0.3">
      <c r="A263" t="s">
        <v>43</v>
      </c>
      <c r="B263" t="s">
        <v>58</v>
      </c>
      <c r="C263" t="s">
        <v>16</v>
      </c>
      <c r="D263" t="s">
        <v>12</v>
      </c>
      <c r="E263" t="s">
        <v>965</v>
      </c>
      <c r="F263" t="b">
        <v>1</v>
      </c>
      <c r="G263">
        <v>100</v>
      </c>
      <c r="H263">
        <v>1</v>
      </c>
      <c r="I263">
        <v>8981</v>
      </c>
      <c r="J263" s="61" t="s">
        <v>18</v>
      </c>
      <c r="K263" s="16" t="s">
        <v>272</v>
      </c>
      <c r="L263" s="16">
        <v>3</v>
      </c>
      <c r="M263" s="16" t="s">
        <v>277</v>
      </c>
      <c r="N263" s="16" t="s">
        <v>335</v>
      </c>
      <c r="O263" s="15" t="s">
        <v>281</v>
      </c>
      <c r="P263" t="s">
        <v>283</v>
      </c>
      <c r="Q263" t="s">
        <v>282</v>
      </c>
      <c r="R263" s="17" t="s">
        <v>371</v>
      </c>
      <c r="S263" s="17">
        <v>1</v>
      </c>
      <c r="T263" s="17">
        <v>1</v>
      </c>
      <c r="U263" s="17">
        <v>1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 t="s">
        <v>704</v>
      </c>
      <c r="AD263" s="16" t="s">
        <v>341</v>
      </c>
      <c r="AE263" s="16" t="s">
        <v>342</v>
      </c>
      <c r="AF263" s="15" t="s">
        <v>343</v>
      </c>
      <c r="AG263" s="15" t="s">
        <v>345</v>
      </c>
      <c r="AH263" s="17" t="s">
        <v>371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704</v>
      </c>
      <c r="AR263" t="s">
        <v>349</v>
      </c>
      <c r="AS263" t="s">
        <v>349</v>
      </c>
      <c r="AT263">
        <v>1</v>
      </c>
      <c r="AU263">
        <v>0</v>
      </c>
      <c r="AV263">
        <v>0</v>
      </c>
      <c r="AW263" t="s">
        <v>704</v>
      </c>
      <c r="AX263" t="s">
        <v>1278</v>
      </c>
      <c r="AY263" t="s">
        <v>293</v>
      </c>
      <c r="AZ263" t="s">
        <v>352</v>
      </c>
      <c r="BA263" t="s">
        <v>296</v>
      </c>
      <c r="BB263" t="s">
        <v>300</v>
      </c>
      <c r="BC263" t="s">
        <v>292</v>
      </c>
      <c r="BD263" t="s">
        <v>293</v>
      </c>
      <c r="BE263" t="s">
        <v>292</v>
      </c>
      <c r="BF263" t="s">
        <v>292</v>
      </c>
      <c r="BG263" t="s">
        <v>293</v>
      </c>
      <c r="BH263" t="s">
        <v>302</v>
      </c>
      <c r="BI263" t="s">
        <v>302</v>
      </c>
      <c r="BJ263" t="s">
        <v>359</v>
      </c>
      <c r="BK263" t="s">
        <v>293</v>
      </c>
      <c r="BL263" t="s">
        <v>293</v>
      </c>
      <c r="BM263" t="s">
        <v>297</v>
      </c>
      <c r="BN263" t="s">
        <v>298</v>
      </c>
      <c r="BO263" t="s">
        <v>293</v>
      </c>
      <c r="BP263" t="s">
        <v>292</v>
      </c>
      <c r="BQ263" t="s">
        <v>293</v>
      </c>
      <c r="BR263" t="s">
        <v>293</v>
      </c>
      <c r="BS263" t="s">
        <v>364</v>
      </c>
      <c r="BT263" t="s">
        <v>304</v>
      </c>
      <c r="BU263" t="s">
        <v>371</v>
      </c>
      <c r="BV263" t="s">
        <v>371</v>
      </c>
      <c r="BW263" t="s">
        <v>2706</v>
      </c>
      <c r="BX263" t="str">
        <f>IF(J263="win",VLOOKUP(B263,ColorScheme!$A$2:$I$32,4,0),VLOOKUP(B263,ColorScheme!$A$2:$I$32,5,0))</f>
        <v>#d1b26f50</v>
      </c>
    </row>
    <row r="264" spans="1:76" x14ac:dyDescent="0.3">
      <c r="A264" t="s">
        <v>43</v>
      </c>
      <c r="B264" t="s">
        <v>58</v>
      </c>
      <c r="C264" t="s">
        <v>19</v>
      </c>
      <c r="D264" t="s">
        <v>29</v>
      </c>
      <c r="E264" t="s">
        <v>966</v>
      </c>
      <c r="F264" t="b">
        <v>1</v>
      </c>
      <c r="G264">
        <v>100</v>
      </c>
      <c r="H264">
        <v>1</v>
      </c>
      <c r="I264">
        <v>22277</v>
      </c>
      <c r="J264" s="61" t="s">
        <v>18</v>
      </c>
      <c r="K264" s="16" t="s">
        <v>272</v>
      </c>
      <c r="L264" s="16">
        <v>2</v>
      </c>
      <c r="M264" s="16" t="s">
        <v>277</v>
      </c>
      <c r="N264" s="16" t="s">
        <v>335</v>
      </c>
      <c r="O264" s="15" t="s">
        <v>281</v>
      </c>
      <c r="P264" t="s">
        <v>282</v>
      </c>
      <c r="Q264" t="s">
        <v>371</v>
      </c>
      <c r="R264" s="17" t="s">
        <v>371</v>
      </c>
      <c r="S264" s="17">
        <v>1</v>
      </c>
      <c r="T264" s="17">
        <v>1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 t="s">
        <v>704</v>
      </c>
      <c r="AD264" s="16" t="s">
        <v>341</v>
      </c>
      <c r="AE264" s="16" t="s">
        <v>340</v>
      </c>
      <c r="AF264" s="15" t="s">
        <v>340</v>
      </c>
      <c r="AG264" s="15" t="s">
        <v>344</v>
      </c>
      <c r="AH264" s="17" t="s">
        <v>347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 t="s">
        <v>704</v>
      </c>
      <c r="AR264" t="s">
        <v>349</v>
      </c>
      <c r="AS264" t="s">
        <v>349</v>
      </c>
      <c r="AT264">
        <v>1</v>
      </c>
      <c r="AU264">
        <v>0</v>
      </c>
      <c r="AV264">
        <v>0</v>
      </c>
      <c r="AW264" t="s">
        <v>704</v>
      </c>
      <c r="AX264" t="s">
        <v>1279</v>
      </c>
      <c r="AY264" t="s">
        <v>293</v>
      </c>
      <c r="AZ264" t="s">
        <v>354</v>
      </c>
      <c r="BA264" t="s">
        <v>354</v>
      </c>
      <c r="BB264" t="s">
        <v>301</v>
      </c>
      <c r="BC264" t="s">
        <v>292</v>
      </c>
      <c r="BD264" t="s">
        <v>293</v>
      </c>
      <c r="BE264" t="s">
        <v>292</v>
      </c>
      <c r="BF264" t="s">
        <v>292</v>
      </c>
      <c r="BG264" t="s">
        <v>293</v>
      </c>
      <c r="BH264" t="s">
        <v>302</v>
      </c>
      <c r="BI264" t="s">
        <v>302</v>
      </c>
      <c r="BJ264" t="s">
        <v>357</v>
      </c>
      <c r="BK264" t="s">
        <v>293</v>
      </c>
      <c r="BL264" t="s">
        <v>293</v>
      </c>
      <c r="BM264" t="s">
        <v>297</v>
      </c>
      <c r="BN264" t="s">
        <v>298</v>
      </c>
      <c r="BO264" t="s">
        <v>293</v>
      </c>
      <c r="BP264" t="s">
        <v>292</v>
      </c>
      <c r="BQ264" t="s">
        <v>363</v>
      </c>
      <c r="BR264" t="s">
        <v>293</v>
      </c>
      <c r="BS264" t="s">
        <v>364</v>
      </c>
      <c r="BT264" t="s">
        <v>304</v>
      </c>
      <c r="BU264" t="s">
        <v>371</v>
      </c>
      <c r="BV264" t="s">
        <v>371</v>
      </c>
      <c r="BW264" t="s">
        <v>2707</v>
      </c>
      <c r="BX264" t="str">
        <f>IF(J264="win",VLOOKUP(B264,ColorScheme!$A$2:$I$32,4,0),VLOOKUP(B264,ColorScheme!$A$2:$I$32,5,0))</f>
        <v>#d1b26f50</v>
      </c>
    </row>
    <row r="265" spans="1:76" x14ac:dyDescent="0.3">
      <c r="A265" t="s">
        <v>43</v>
      </c>
      <c r="B265" t="s">
        <v>58</v>
      </c>
      <c r="C265" t="s">
        <v>17</v>
      </c>
      <c r="D265" t="s">
        <v>29</v>
      </c>
      <c r="E265" t="s">
        <v>967</v>
      </c>
      <c r="F265" t="b">
        <v>1</v>
      </c>
      <c r="G265">
        <v>100</v>
      </c>
      <c r="H265">
        <v>1</v>
      </c>
      <c r="I265">
        <v>16046</v>
      </c>
      <c r="J265" s="61" t="s">
        <v>18</v>
      </c>
      <c r="K265" s="16" t="s">
        <v>272</v>
      </c>
      <c r="L265" s="16">
        <v>2</v>
      </c>
      <c r="M265" s="16" t="s">
        <v>277</v>
      </c>
      <c r="N265" s="16" t="s">
        <v>335</v>
      </c>
      <c r="O265" s="15" t="s">
        <v>281</v>
      </c>
      <c r="P265" t="s">
        <v>282</v>
      </c>
      <c r="Q265" t="s">
        <v>371</v>
      </c>
      <c r="R265" s="17" t="s">
        <v>371</v>
      </c>
      <c r="S265" s="17">
        <v>1</v>
      </c>
      <c r="T265" s="17">
        <v>1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 t="s">
        <v>704</v>
      </c>
      <c r="AD265" s="16" t="s">
        <v>341</v>
      </c>
      <c r="AE265" s="16" t="s">
        <v>340</v>
      </c>
      <c r="AF265" s="15" t="s">
        <v>340</v>
      </c>
      <c r="AG265" s="15" t="s">
        <v>344</v>
      </c>
      <c r="AH265" s="17" t="s">
        <v>347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 t="s">
        <v>704</v>
      </c>
      <c r="AR265" t="s">
        <v>349</v>
      </c>
      <c r="AS265" t="s">
        <v>349</v>
      </c>
      <c r="AT265">
        <v>1</v>
      </c>
      <c r="AU265">
        <v>0</v>
      </c>
      <c r="AV265">
        <v>0</v>
      </c>
      <c r="AW265" t="s">
        <v>704</v>
      </c>
      <c r="AX265" t="s">
        <v>1279</v>
      </c>
      <c r="AY265" t="s">
        <v>293</v>
      </c>
      <c r="AZ265" t="s">
        <v>354</v>
      </c>
      <c r="BA265" t="s">
        <v>354</v>
      </c>
      <c r="BB265" t="s">
        <v>301</v>
      </c>
      <c r="BC265" t="s">
        <v>292</v>
      </c>
      <c r="BD265" t="s">
        <v>293</v>
      </c>
      <c r="BE265" t="s">
        <v>292</v>
      </c>
      <c r="BF265" t="s">
        <v>292</v>
      </c>
      <c r="BG265" t="s">
        <v>293</v>
      </c>
      <c r="BH265" t="s">
        <v>302</v>
      </c>
      <c r="BI265" t="s">
        <v>302</v>
      </c>
      <c r="BJ265" t="s">
        <v>357</v>
      </c>
      <c r="BK265" t="s">
        <v>293</v>
      </c>
      <c r="BL265" t="s">
        <v>293</v>
      </c>
      <c r="BM265" t="s">
        <v>297</v>
      </c>
      <c r="BN265" t="s">
        <v>298</v>
      </c>
      <c r="BO265" t="s">
        <v>293</v>
      </c>
      <c r="BP265" t="s">
        <v>292</v>
      </c>
      <c r="BQ265" t="s">
        <v>363</v>
      </c>
      <c r="BR265" t="s">
        <v>293</v>
      </c>
      <c r="BS265" t="s">
        <v>364</v>
      </c>
      <c r="BT265" t="s">
        <v>304</v>
      </c>
      <c r="BU265" t="s">
        <v>371</v>
      </c>
      <c r="BV265" t="s">
        <v>371</v>
      </c>
      <c r="BW265" t="s">
        <v>2708</v>
      </c>
      <c r="BX265" t="str">
        <f>IF(J265="win",VLOOKUP(B265,ColorScheme!$A$2:$I$32,4,0),VLOOKUP(B265,ColorScheme!$A$2:$I$32,5,0))</f>
        <v>#d1b26f50</v>
      </c>
    </row>
    <row r="266" spans="1:76" x14ac:dyDescent="0.3">
      <c r="A266" t="s">
        <v>45</v>
      </c>
      <c r="B266" t="s">
        <v>61</v>
      </c>
      <c r="C266" t="s">
        <v>15</v>
      </c>
      <c r="D266" t="s">
        <v>12</v>
      </c>
      <c r="E266" t="s">
        <v>968</v>
      </c>
      <c r="F266" t="b">
        <v>1</v>
      </c>
      <c r="G266">
        <v>100</v>
      </c>
      <c r="H266">
        <v>1</v>
      </c>
      <c r="I266">
        <v>19310</v>
      </c>
      <c r="J266" s="61" t="s">
        <v>18</v>
      </c>
      <c r="K266" s="16" t="s">
        <v>272</v>
      </c>
      <c r="L266" s="16">
        <v>3</v>
      </c>
      <c r="M266" s="16" t="s">
        <v>277</v>
      </c>
      <c r="N266" s="16" t="s">
        <v>335</v>
      </c>
      <c r="O266" s="15" t="s">
        <v>284</v>
      </c>
      <c r="P266" t="s">
        <v>283</v>
      </c>
      <c r="Q266" t="s">
        <v>371</v>
      </c>
      <c r="R266" s="17" t="s">
        <v>371</v>
      </c>
      <c r="S266" s="17">
        <v>0</v>
      </c>
      <c r="T266" s="17">
        <v>0</v>
      </c>
      <c r="U266" s="17">
        <v>1</v>
      </c>
      <c r="V266" s="17">
        <v>1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 t="s">
        <v>704</v>
      </c>
      <c r="AD266" s="16" t="s">
        <v>341</v>
      </c>
      <c r="AE266" s="16" t="s">
        <v>340</v>
      </c>
      <c r="AF266" s="15" t="s">
        <v>343</v>
      </c>
      <c r="AG266" s="15" t="s">
        <v>344</v>
      </c>
      <c r="AH266" s="17" t="s">
        <v>371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704</v>
      </c>
      <c r="AR266" t="s">
        <v>349</v>
      </c>
      <c r="AS266" t="s">
        <v>349</v>
      </c>
      <c r="AT266">
        <v>1</v>
      </c>
      <c r="AU266">
        <v>0</v>
      </c>
      <c r="AV266">
        <v>0</v>
      </c>
      <c r="AW266" t="s">
        <v>704</v>
      </c>
      <c r="AX266" t="s">
        <v>1221</v>
      </c>
      <c r="AY266" t="s">
        <v>293</v>
      </c>
      <c r="AZ266" t="s">
        <v>353</v>
      </c>
      <c r="BA266" t="s">
        <v>296</v>
      </c>
      <c r="BB266" t="s">
        <v>300</v>
      </c>
      <c r="BC266" t="s">
        <v>292</v>
      </c>
      <c r="BD266" t="s">
        <v>292</v>
      </c>
      <c r="BE266" t="s">
        <v>292</v>
      </c>
      <c r="BF266" t="s">
        <v>292</v>
      </c>
      <c r="BG266" t="s">
        <v>293</v>
      </c>
      <c r="BH266" t="s">
        <v>302</v>
      </c>
      <c r="BI266" t="s">
        <v>302</v>
      </c>
      <c r="BJ266" t="s">
        <v>359</v>
      </c>
      <c r="BK266" t="s">
        <v>293</v>
      </c>
      <c r="BL266" t="s">
        <v>293</v>
      </c>
      <c r="BM266" t="s">
        <v>297</v>
      </c>
      <c r="BN266" t="s">
        <v>356</v>
      </c>
      <c r="BO266" t="s">
        <v>293</v>
      </c>
      <c r="BP266" t="s">
        <v>292</v>
      </c>
      <c r="BQ266" t="s">
        <v>293</v>
      </c>
      <c r="BR266" t="s">
        <v>293</v>
      </c>
      <c r="BS266" t="s">
        <v>364</v>
      </c>
      <c r="BT266" t="s">
        <v>304</v>
      </c>
      <c r="BU266" t="s">
        <v>371</v>
      </c>
      <c r="BV266" t="s">
        <v>371</v>
      </c>
      <c r="BW266" t="s">
        <v>2709</v>
      </c>
      <c r="BX266" t="str">
        <f>IF(J266="win",VLOOKUP(B266,ColorScheme!$A$2:$I$32,4,0),VLOOKUP(B266,ColorScheme!$A$2:$I$32,5,0))</f>
        <v>#13eac950</v>
      </c>
    </row>
    <row r="267" spans="1:76" x14ac:dyDescent="0.3">
      <c r="A267" t="s">
        <v>45</v>
      </c>
      <c r="B267" t="s">
        <v>61</v>
      </c>
      <c r="C267" t="s">
        <v>14</v>
      </c>
      <c r="D267" t="s">
        <v>12</v>
      </c>
      <c r="E267" t="s">
        <v>969</v>
      </c>
      <c r="F267" t="b">
        <v>1</v>
      </c>
      <c r="G267">
        <v>99.9</v>
      </c>
      <c r="H267">
        <v>0</v>
      </c>
      <c r="I267">
        <v>7128</v>
      </c>
      <c r="J267" s="61" t="s">
        <v>18</v>
      </c>
      <c r="K267" s="16" t="s">
        <v>272</v>
      </c>
      <c r="L267" s="16">
        <v>2</v>
      </c>
      <c r="M267" s="16" t="s">
        <v>333</v>
      </c>
      <c r="N267" s="16" t="s">
        <v>278</v>
      </c>
      <c r="O267" s="15" t="s">
        <v>284</v>
      </c>
      <c r="P267" t="s">
        <v>371</v>
      </c>
      <c r="Q267" t="s">
        <v>371</v>
      </c>
      <c r="R267" s="17" t="s">
        <v>371</v>
      </c>
      <c r="S267" s="17">
        <v>0</v>
      </c>
      <c r="T267" s="17">
        <v>0</v>
      </c>
      <c r="U267" s="17">
        <v>0</v>
      </c>
      <c r="V267" s="17">
        <v>1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 t="s">
        <v>704</v>
      </c>
      <c r="AD267" s="16" t="s">
        <v>341</v>
      </c>
      <c r="AE267" s="16" t="s">
        <v>340</v>
      </c>
      <c r="AF267" s="15" t="s">
        <v>343</v>
      </c>
      <c r="AG267" s="15" t="s">
        <v>344</v>
      </c>
      <c r="AH267" s="17" t="s">
        <v>371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704</v>
      </c>
      <c r="AR267" t="s">
        <v>349</v>
      </c>
      <c r="AS267" t="s">
        <v>349</v>
      </c>
      <c r="AT267">
        <v>1</v>
      </c>
      <c r="AU267">
        <v>0</v>
      </c>
      <c r="AV267">
        <v>0</v>
      </c>
      <c r="AW267" t="s">
        <v>704</v>
      </c>
      <c r="AX267" t="s">
        <v>1280</v>
      </c>
      <c r="AY267" t="s">
        <v>293</v>
      </c>
      <c r="AZ267" t="s">
        <v>353</v>
      </c>
      <c r="BA267" t="s">
        <v>355</v>
      </c>
      <c r="BB267" t="s">
        <v>301</v>
      </c>
      <c r="BC267" t="s">
        <v>292</v>
      </c>
      <c r="BD267" t="s">
        <v>293</v>
      </c>
      <c r="BE267" t="s">
        <v>292</v>
      </c>
      <c r="BF267" t="s">
        <v>292</v>
      </c>
      <c r="BG267" t="s">
        <v>293</v>
      </c>
      <c r="BH267" t="s">
        <v>302</v>
      </c>
      <c r="BI267" t="s">
        <v>357</v>
      </c>
      <c r="BJ267" t="s">
        <v>302</v>
      </c>
      <c r="BK267" t="s">
        <v>293</v>
      </c>
      <c r="BL267" t="s">
        <v>293</v>
      </c>
      <c r="BM267" t="s">
        <v>297</v>
      </c>
      <c r="BN267" t="s">
        <v>298</v>
      </c>
      <c r="BO267" t="s">
        <v>293</v>
      </c>
      <c r="BP267" t="s">
        <v>292</v>
      </c>
      <c r="BQ267" t="s">
        <v>293</v>
      </c>
      <c r="BR267" t="s">
        <v>293</v>
      </c>
      <c r="BS267" t="s">
        <v>364</v>
      </c>
      <c r="BT267" t="s">
        <v>367</v>
      </c>
      <c r="BU267" t="s">
        <v>371</v>
      </c>
      <c r="BV267" t="s">
        <v>371</v>
      </c>
      <c r="BW267" t="s">
        <v>2710</v>
      </c>
      <c r="BX267" t="str">
        <f>IF(J267="win",VLOOKUP(B267,ColorScheme!$A$2:$I$32,4,0),VLOOKUP(B267,ColorScheme!$A$2:$I$32,5,0))</f>
        <v>#13eac950</v>
      </c>
    </row>
    <row r="268" spans="1:76" x14ac:dyDescent="0.3">
      <c r="A268" t="s">
        <v>45</v>
      </c>
      <c r="B268" t="s">
        <v>61</v>
      </c>
      <c r="C268" t="s">
        <v>11</v>
      </c>
      <c r="D268" t="s">
        <v>12</v>
      </c>
      <c r="E268" t="s">
        <v>970</v>
      </c>
      <c r="F268" t="b">
        <v>1</v>
      </c>
      <c r="G268">
        <v>100</v>
      </c>
      <c r="H268">
        <v>1</v>
      </c>
      <c r="I268">
        <v>3954</v>
      </c>
      <c r="J268" s="61" t="s">
        <v>18</v>
      </c>
      <c r="K268" s="16" t="s">
        <v>272</v>
      </c>
      <c r="L268" s="16">
        <v>2</v>
      </c>
      <c r="M268" s="16" t="s">
        <v>333</v>
      </c>
      <c r="N268" s="16" t="s">
        <v>278</v>
      </c>
      <c r="O268" s="15" t="s">
        <v>284</v>
      </c>
      <c r="P268" t="s">
        <v>371</v>
      </c>
      <c r="Q268" t="s">
        <v>371</v>
      </c>
      <c r="R268" s="17" t="s">
        <v>371</v>
      </c>
      <c r="S268" s="17">
        <v>0</v>
      </c>
      <c r="T268" s="17">
        <v>0</v>
      </c>
      <c r="U268" s="17">
        <v>0</v>
      </c>
      <c r="V268" s="17">
        <v>1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 t="s">
        <v>704</v>
      </c>
      <c r="AD268" s="16" t="s">
        <v>340</v>
      </c>
      <c r="AE268" s="16" t="s">
        <v>340</v>
      </c>
      <c r="AF268" s="15" t="s">
        <v>343</v>
      </c>
      <c r="AG268" s="15" t="s">
        <v>291</v>
      </c>
      <c r="AH268" s="17" t="s">
        <v>371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 t="s">
        <v>704</v>
      </c>
      <c r="AR268" t="s">
        <v>349</v>
      </c>
      <c r="AS268" t="s">
        <v>349</v>
      </c>
      <c r="AT268">
        <v>1</v>
      </c>
      <c r="AU268">
        <v>0</v>
      </c>
      <c r="AV268">
        <v>0</v>
      </c>
      <c r="AW268" t="s">
        <v>704</v>
      </c>
      <c r="AX268" t="s">
        <v>1281</v>
      </c>
      <c r="AY268" t="s">
        <v>293</v>
      </c>
      <c r="AZ268" t="s">
        <v>352</v>
      </c>
      <c r="BA268" t="s">
        <v>296</v>
      </c>
      <c r="BB268" t="s">
        <v>299</v>
      </c>
      <c r="BC268" t="s">
        <v>292</v>
      </c>
      <c r="BD268" t="s">
        <v>293</v>
      </c>
      <c r="BE268" t="s">
        <v>293</v>
      </c>
      <c r="BF268" t="s">
        <v>292</v>
      </c>
      <c r="BG268" t="s">
        <v>293</v>
      </c>
      <c r="BH268" t="s">
        <v>302</v>
      </c>
      <c r="BI268" t="s">
        <v>302</v>
      </c>
      <c r="BJ268" t="s">
        <v>359</v>
      </c>
      <c r="BK268" t="s">
        <v>293</v>
      </c>
      <c r="BL268" t="s">
        <v>293</v>
      </c>
      <c r="BM268" t="s">
        <v>296</v>
      </c>
      <c r="BN268" t="s">
        <v>298</v>
      </c>
      <c r="BO268" t="s">
        <v>293</v>
      </c>
      <c r="BP268" t="s">
        <v>292</v>
      </c>
      <c r="BQ268" t="s">
        <v>293</v>
      </c>
      <c r="BR268" t="s">
        <v>293</v>
      </c>
      <c r="BS268" t="s">
        <v>364</v>
      </c>
      <c r="BT268" t="s">
        <v>304</v>
      </c>
      <c r="BU268" t="s">
        <v>371</v>
      </c>
      <c r="BV268" t="s">
        <v>371</v>
      </c>
      <c r="BW268" t="s">
        <v>2711</v>
      </c>
      <c r="BX268" t="str">
        <f>IF(J268="win",VLOOKUP(B268,ColorScheme!$A$2:$I$32,4,0),VLOOKUP(B268,ColorScheme!$A$2:$I$32,5,0))</f>
        <v>#13eac950</v>
      </c>
    </row>
    <row r="269" spans="1:76" x14ac:dyDescent="0.3">
      <c r="A269" t="s">
        <v>45</v>
      </c>
      <c r="B269" t="s">
        <v>61</v>
      </c>
      <c r="C269" t="s">
        <v>16</v>
      </c>
      <c r="D269" t="s">
        <v>29</v>
      </c>
      <c r="E269" t="s">
        <v>971</v>
      </c>
      <c r="F269" t="b">
        <v>1</v>
      </c>
      <c r="G269">
        <v>52.5</v>
      </c>
      <c r="H269">
        <v>0</v>
      </c>
      <c r="I269">
        <v>19599</v>
      </c>
      <c r="J269" s="61" t="s">
        <v>13</v>
      </c>
      <c r="K269" s="16" t="s">
        <v>272</v>
      </c>
      <c r="L269" s="16">
        <v>3</v>
      </c>
      <c r="M269" s="16" t="s">
        <v>277</v>
      </c>
      <c r="N269" s="16" t="s">
        <v>335</v>
      </c>
      <c r="O269" s="15" t="s">
        <v>281</v>
      </c>
      <c r="P269" t="s">
        <v>282</v>
      </c>
      <c r="Q269" t="s">
        <v>371</v>
      </c>
      <c r="R269" s="17" t="s">
        <v>371</v>
      </c>
      <c r="S269" s="17">
        <v>1</v>
      </c>
      <c r="T269" s="17">
        <v>1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 t="s">
        <v>704</v>
      </c>
      <c r="AD269" s="16" t="s">
        <v>341</v>
      </c>
      <c r="AE269" s="16" t="s">
        <v>340</v>
      </c>
      <c r="AF269" s="15" t="s">
        <v>343</v>
      </c>
      <c r="AG269" s="15" t="s">
        <v>344</v>
      </c>
      <c r="AH269" s="17" t="s">
        <v>291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 t="s">
        <v>704</v>
      </c>
      <c r="AR269" t="s">
        <v>349</v>
      </c>
      <c r="AS269" t="s">
        <v>349</v>
      </c>
      <c r="AT269">
        <v>1</v>
      </c>
      <c r="AU269">
        <v>0</v>
      </c>
      <c r="AV269">
        <v>0</v>
      </c>
      <c r="AW269" t="s">
        <v>704</v>
      </c>
      <c r="AX269" t="s">
        <v>1225</v>
      </c>
      <c r="AY269" t="s">
        <v>293</v>
      </c>
      <c r="AZ269" t="s">
        <v>353</v>
      </c>
      <c r="BA269" t="s">
        <v>296</v>
      </c>
      <c r="BB269" t="s">
        <v>300</v>
      </c>
      <c r="BC269" t="s">
        <v>293</v>
      </c>
      <c r="BD269" t="s">
        <v>292</v>
      </c>
      <c r="BE269" t="s">
        <v>292</v>
      </c>
      <c r="BF269" t="s">
        <v>292</v>
      </c>
      <c r="BG269" t="s">
        <v>293</v>
      </c>
      <c r="BH269" t="s">
        <v>302</v>
      </c>
      <c r="BI269" t="s">
        <v>302</v>
      </c>
      <c r="BJ269" t="s">
        <v>359</v>
      </c>
      <c r="BK269" t="s">
        <v>293</v>
      </c>
      <c r="BL269" t="s">
        <v>293</v>
      </c>
      <c r="BM269" t="s">
        <v>297</v>
      </c>
      <c r="BN269" t="s">
        <v>356</v>
      </c>
      <c r="BO269" t="s">
        <v>293</v>
      </c>
      <c r="BP269" t="s">
        <v>292</v>
      </c>
      <c r="BQ269" t="s">
        <v>293</v>
      </c>
      <c r="BR269" t="s">
        <v>293</v>
      </c>
      <c r="BS269" t="s">
        <v>364</v>
      </c>
      <c r="BT269" t="s">
        <v>366</v>
      </c>
      <c r="BU269" t="s">
        <v>371</v>
      </c>
      <c r="BV269" t="s">
        <v>371</v>
      </c>
      <c r="BW269" t="s">
        <v>2712</v>
      </c>
      <c r="BX269" t="str">
        <f>IF(J269="win",VLOOKUP(B269,ColorScheme!$A$2:$I$32,4,0),VLOOKUP(B269,ColorScheme!$A$2:$I$32,5,0))</f>
        <v>#13eac9</v>
      </c>
    </row>
    <row r="270" spans="1:76" x14ac:dyDescent="0.3">
      <c r="A270" t="s">
        <v>45</v>
      </c>
      <c r="B270" t="s">
        <v>66</v>
      </c>
      <c r="C270" t="s">
        <v>15</v>
      </c>
      <c r="D270" t="s">
        <v>12</v>
      </c>
      <c r="E270" t="s">
        <v>972</v>
      </c>
      <c r="F270" t="b">
        <v>1</v>
      </c>
      <c r="G270">
        <v>100</v>
      </c>
      <c r="H270">
        <v>1</v>
      </c>
      <c r="I270">
        <v>14819</v>
      </c>
      <c r="J270" s="61" t="s">
        <v>18</v>
      </c>
      <c r="K270" s="16" t="s">
        <v>272</v>
      </c>
      <c r="L270" s="16">
        <v>3</v>
      </c>
      <c r="M270" s="16" t="s">
        <v>277</v>
      </c>
      <c r="N270" s="16" t="s">
        <v>335</v>
      </c>
      <c r="O270" s="15" t="s">
        <v>281</v>
      </c>
      <c r="P270" t="s">
        <v>282</v>
      </c>
      <c r="Q270" t="s">
        <v>371</v>
      </c>
      <c r="R270" s="17" t="s">
        <v>371</v>
      </c>
      <c r="S270" s="17">
        <v>1</v>
      </c>
      <c r="T270" s="17">
        <v>1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 t="s">
        <v>704</v>
      </c>
      <c r="AD270" s="16" t="s">
        <v>341</v>
      </c>
      <c r="AE270" s="16" t="s">
        <v>340</v>
      </c>
      <c r="AF270" s="15" t="s">
        <v>343</v>
      </c>
      <c r="AG270" s="15" t="s">
        <v>344</v>
      </c>
      <c r="AH270" s="17" t="s">
        <v>371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704</v>
      </c>
      <c r="AR270" t="s">
        <v>349</v>
      </c>
      <c r="AS270" t="s">
        <v>349</v>
      </c>
      <c r="AT270">
        <v>1</v>
      </c>
      <c r="AU270">
        <v>0</v>
      </c>
      <c r="AV270">
        <v>0</v>
      </c>
      <c r="AW270" t="s">
        <v>704</v>
      </c>
      <c r="AX270" t="s">
        <v>1282</v>
      </c>
      <c r="AY270" t="s">
        <v>293</v>
      </c>
      <c r="AZ270" t="s">
        <v>353</v>
      </c>
      <c r="BA270" t="s">
        <v>296</v>
      </c>
      <c r="BB270" t="s">
        <v>301</v>
      </c>
      <c r="BC270" t="s">
        <v>292</v>
      </c>
      <c r="BD270" t="s">
        <v>292</v>
      </c>
      <c r="BE270" t="s">
        <v>292</v>
      </c>
      <c r="BF270" t="s">
        <v>292</v>
      </c>
      <c r="BG270" t="s">
        <v>293</v>
      </c>
      <c r="BH270" t="s">
        <v>358</v>
      </c>
      <c r="BI270" t="s">
        <v>302</v>
      </c>
      <c r="BJ270" t="s">
        <v>359</v>
      </c>
      <c r="BK270" t="s">
        <v>293</v>
      </c>
      <c r="BL270" t="s">
        <v>293</v>
      </c>
      <c r="BM270" t="s">
        <v>297</v>
      </c>
      <c r="BN270" t="s">
        <v>356</v>
      </c>
      <c r="BO270" t="s">
        <v>293</v>
      </c>
      <c r="BP270" t="s">
        <v>292</v>
      </c>
      <c r="BQ270" t="s">
        <v>293</v>
      </c>
      <c r="BR270" t="s">
        <v>293</v>
      </c>
      <c r="BS270" t="s">
        <v>364</v>
      </c>
      <c r="BT270" t="s">
        <v>304</v>
      </c>
      <c r="BU270" t="s">
        <v>371</v>
      </c>
      <c r="BV270" t="s">
        <v>371</v>
      </c>
      <c r="BW270" t="s">
        <v>2713</v>
      </c>
      <c r="BX270" t="str">
        <f>IF(J270="win",VLOOKUP(B270,ColorScheme!$A$2:$I$32,4,0),VLOOKUP(B270,ColorScheme!$A$2:$I$32,5,0))</f>
        <v>#ae718150</v>
      </c>
    </row>
    <row r="271" spans="1:76" x14ac:dyDescent="0.3">
      <c r="A271" t="s">
        <v>45</v>
      </c>
      <c r="B271" t="s">
        <v>66</v>
      </c>
      <c r="C271" t="s">
        <v>14</v>
      </c>
      <c r="D271" t="s">
        <v>12</v>
      </c>
      <c r="E271" t="s">
        <v>973</v>
      </c>
      <c r="F271" t="b">
        <v>1</v>
      </c>
      <c r="G271">
        <v>65.099999999999994</v>
      </c>
      <c r="H271">
        <v>0</v>
      </c>
      <c r="I271">
        <v>16990</v>
      </c>
      <c r="J271" s="61" t="s">
        <v>13</v>
      </c>
      <c r="K271" s="16" t="s">
        <v>272</v>
      </c>
      <c r="L271" s="16">
        <v>3</v>
      </c>
      <c r="M271" s="16" t="s">
        <v>277</v>
      </c>
      <c r="N271" s="16" t="s">
        <v>335</v>
      </c>
      <c r="O271" s="15" t="s">
        <v>281</v>
      </c>
      <c r="P271" t="s">
        <v>282</v>
      </c>
      <c r="Q271" t="s">
        <v>371</v>
      </c>
      <c r="R271" s="17" t="s">
        <v>371</v>
      </c>
      <c r="S271" s="17">
        <v>1</v>
      </c>
      <c r="T271" s="17">
        <v>1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 t="s">
        <v>704</v>
      </c>
      <c r="AD271" s="16" t="s">
        <v>341</v>
      </c>
      <c r="AE271" s="16" t="s">
        <v>340</v>
      </c>
      <c r="AF271" s="15" t="s">
        <v>343</v>
      </c>
      <c r="AG271" s="15" t="s">
        <v>344</v>
      </c>
      <c r="AH271" s="17" t="s">
        <v>371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704</v>
      </c>
      <c r="AR271" t="s">
        <v>349</v>
      </c>
      <c r="AS271" t="s">
        <v>349</v>
      </c>
      <c r="AT271">
        <v>1</v>
      </c>
      <c r="AU271">
        <v>0</v>
      </c>
      <c r="AV271">
        <v>0</v>
      </c>
      <c r="AW271" t="s">
        <v>704</v>
      </c>
      <c r="AX271" t="s">
        <v>1282</v>
      </c>
      <c r="AY271" t="s">
        <v>293</v>
      </c>
      <c r="AZ271" t="s">
        <v>353</v>
      </c>
      <c r="BA271" t="s">
        <v>296</v>
      </c>
      <c r="BB271" t="s">
        <v>301</v>
      </c>
      <c r="BC271" t="s">
        <v>292</v>
      </c>
      <c r="BD271" t="s">
        <v>292</v>
      </c>
      <c r="BE271" t="s">
        <v>292</v>
      </c>
      <c r="BF271" t="s">
        <v>292</v>
      </c>
      <c r="BG271" t="s">
        <v>293</v>
      </c>
      <c r="BH271" t="s">
        <v>302</v>
      </c>
      <c r="BI271" t="s">
        <v>302</v>
      </c>
      <c r="BJ271" t="s">
        <v>359</v>
      </c>
      <c r="BK271" t="s">
        <v>293</v>
      </c>
      <c r="BL271" t="s">
        <v>293</v>
      </c>
      <c r="BM271" t="s">
        <v>297</v>
      </c>
      <c r="BN271" t="s">
        <v>356</v>
      </c>
      <c r="BO271" t="s">
        <v>293</v>
      </c>
      <c r="BP271" t="s">
        <v>292</v>
      </c>
      <c r="BQ271" t="s">
        <v>293</v>
      </c>
      <c r="BR271" t="s">
        <v>293</v>
      </c>
      <c r="BS271" t="s">
        <v>364</v>
      </c>
      <c r="BT271" t="s">
        <v>366</v>
      </c>
      <c r="BU271" t="s">
        <v>371</v>
      </c>
      <c r="BV271" t="s">
        <v>371</v>
      </c>
      <c r="BW271" t="s">
        <v>2714</v>
      </c>
      <c r="BX271" t="str">
        <f>IF(J271="win",VLOOKUP(B271,ColorScheme!$A$2:$I$32,4,0),VLOOKUP(B271,ColorScheme!$A$2:$I$32,5,0))</f>
        <v>#ae7181</v>
      </c>
    </row>
    <row r="272" spans="1:76" x14ac:dyDescent="0.3">
      <c r="A272" t="s">
        <v>45</v>
      </c>
      <c r="B272" t="s">
        <v>66</v>
      </c>
      <c r="C272" t="s">
        <v>11</v>
      </c>
      <c r="D272" t="s">
        <v>12</v>
      </c>
      <c r="E272" t="s">
        <v>974</v>
      </c>
      <c r="F272" t="b">
        <v>1</v>
      </c>
      <c r="G272">
        <v>100</v>
      </c>
      <c r="H272">
        <v>1</v>
      </c>
      <c r="I272">
        <v>11318</v>
      </c>
      <c r="J272" s="61" t="s">
        <v>18</v>
      </c>
      <c r="K272" s="16" t="s">
        <v>272</v>
      </c>
      <c r="L272" s="16">
        <v>3</v>
      </c>
      <c r="M272" s="16" t="s">
        <v>277</v>
      </c>
      <c r="N272" s="16" t="s">
        <v>335</v>
      </c>
      <c r="O272" s="15" t="s">
        <v>282</v>
      </c>
      <c r="P272" t="s">
        <v>371</v>
      </c>
      <c r="Q272" t="s">
        <v>371</v>
      </c>
      <c r="R272" s="17" t="s">
        <v>371</v>
      </c>
      <c r="S272" s="17">
        <v>0</v>
      </c>
      <c r="T272" s="17">
        <v>1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 t="s">
        <v>704</v>
      </c>
      <c r="AD272" s="16" t="s">
        <v>340</v>
      </c>
      <c r="AE272" s="16" t="s">
        <v>340</v>
      </c>
      <c r="AF272" s="15" t="s">
        <v>343</v>
      </c>
      <c r="AG272" s="15" t="s">
        <v>291</v>
      </c>
      <c r="AH272" s="17" t="s">
        <v>371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 t="s">
        <v>704</v>
      </c>
      <c r="AR272" t="s">
        <v>349</v>
      </c>
      <c r="AS272" t="s">
        <v>349</v>
      </c>
      <c r="AT272">
        <v>1</v>
      </c>
      <c r="AU272">
        <v>0</v>
      </c>
      <c r="AV272">
        <v>0</v>
      </c>
      <c r="AW272" t="s">
        <v>704</v>
      </c>
      <c r="AX272" t="s">
        <v>1222</v>
      </c>
      <c r="AY272" t="s">
        <v>293</v>
      </c>
      <c r="AZ272" t="s">
        <v>353</v>
      </c>
      <c r="BA272" t="s">
        <v>296</v>
      </c>
      <c r="BB272" t="s">
        <v>301</v>
      </c>
      <c r="BC272" t="s">
        <v>292</v>
      </c>
      <c r="BD272" t="s">
        <v>293</v>
      </c>
      <c r="BE272" t="s">
        <v>293</v>
      </c>
      <c r="BF272" t="s">
        <v>292</v>
      </c>
      <c r="BG272" t="s">
        <v>293</v>
      </c>
      <c r="BH272" t="s">
        <v>302</v>
      </c>
      <c r="BI272" t="s">
        <v>358</v>
      </c>
      <c r="BJ272" t="s">
        <v>359</v>
      </c>
      <c r="BK272" t="s">
        <v>293</v>
      </c>
      <c r="BL272" t="s">
        <v>293</v>
      </c>
      <c r="BM272" t="s">
        <v>296</v>
      </c>
      <c r="BN272" t="s">
        <v>298</v>
      </c>
      <c r="BO272" t="s">
        <v>293</v>
      </c>
      <c r="BP272" t="s">
        <v>292</v>
      </c>
      <c r="BQ272" t="s">
        <v>293</v>
      </c>
      <c r="BR272" t="s">
        <v>293</v>
      </c>
      <c r="BS272" t="s">
        <v>364</v>
      </c>
      <c r="BT272" t="s">
        <v>304</v>
      </c>
      <c r="BU272" t="s">
        <v>371</v>
      </c>
      <c r="BV272" t="s">
        <v>371</v>
      </c>
      <c r="BW272" t="s">
        <v>2715</v>
      </c>
      <c r="BX272" t="str">
        <f>IF(J272="win",VLOOKUP(B272,ColorScheme!$A$2:$I$32,4,0),VLOOKUP(B272,ColorScheme!$A$2:$I$32,5,0))</f>
        <v>#ae718150</v>
      </c>
    </row>
    <row r="273" spans="1:76" x14ac:dyDescent="0.3">
      <c r="A273" t="s">
        <v>45</v>
      </c>
      <c r="B273" t="s">
        <v>66</v>
      </c>
      <c r="C273" t="s">
        <v>19</v>
      </c>
      <c r="D273" t="s">
        <v>12</v>
      </c>
      <c r="E273" t="s">
        <v>975</v>
      </c>
      <c r="F273" t="b">
        <v>1</v>
      </c>
      <c r="G273">
        <v>73.099999999999994</v>
      </c>
      <c r="H273">
        <v>0</v>
      </c>
      <c r="I273">
        <v>12000</v>
      </c>
      <c r="J273" s="61" t="s">
        <v>13</v>
      </c>
      <c r="K273" s="16" t="s">
        <v>272</v>
      </c>
      <c r="L273" s="16">
        <v>3</v>
      </c>
      <c r="M273" s="16" t="s">
        <v>277</v>
      </c>
      <c r="N273" s="16" t="s">
        <v>335</v>
      </c>
      <c r="O273" s="15" t="s">
        <v>281</v>
      </c>
      <c r="P273" t="s">
        <v>282</v>
      </c>
      <c r="Q273" t="s">
        <v>371</v>
      </c>
      <c r="R273" s="17" t="s">
        <v>371</v>
      </c>
      <c r="S273" s="17">
        <v>1</v>
      </c>
      <c r="T273" s="17">
        <v>1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 t="s">
        <v>704</v>
      </c>
      <c r="AD273" s="16" t="s">
        <v>341</v>
      </c>
      <c r="AE273" s="16" t="s">
        <v>340</v>
      </c>
      <c r="AF273" s="15" t="s">
        <v>343</v>
      </c>
      <c r="AG273" s="15" t="s">
        <v>344</v>
      </c>
      <c r="AH273" s="17" t="s">
        <v>371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704</v>
      </c>
      <c r="AR273" t="s">
        <v>349</v>
      </c>
      <c r="AS273" t="s">
        <v>349</v>
      </c>
      <c r="AT273">
        <v>1</v>
      </c>
      <c r="AU273">
        <v>0</v>
      </c>
      <c r="AV273">
        <v>0</v>
      </c>
      <c r="AW273" t="s">
        <v>704</v>
      </c>
      <c r="AX273" t="s">
        <v>1282</v>
      </c>
      <c r="AY273" t="s">
        <v>293</v>
      </c>
      <c r="AZ273" t="s">
        <v>353</v>
      </c>
      <c r="BA273" t="s">
        <v>296</v>
      </c>
      <c r="BB273" t="s">
        <v>300</v>
      </c>
      <c r="BC273" t="s">
        <v>292</v>
      </c>
      <c r="BD273" t="s">
        <v>293</v>
      </c>
      <c r="BE273" t="s">
        <v>292</v>
      </c>
      <c r="BF273" t="s">
        <v>292</v>
      </c>
      <c r="BG273" t="s">
        <v>293</v>
      </c>
      <c r="BH273" t="s">
        <v>302</v>
      </c>
      <c r="BI273" t="s">
        <v>302</v>
      </c>
      <c r="BJ273" t="s">
        <v>359</v>
      </c>
      <c r="BK273" t="s">
        <v>293</v>
      </c>
      <c r="BL273" t="s">
        <v>293</v>
      </c>
      <c r="BM273" t="s">
        <v>297</v>
      </c>
      <c r="BN273" t="s">
        <v>298</v>
      </c>
      <c r="BO273" t="s">
        <v>293</v>
      </c>
      <c r="BP273" t="s">
        <v>292</v>
      </c>
      <c r="BQ273" t="s">
        <v>293</v>
      </c>
      <c r="BR273" t="s">
        <v>293</v>
      </c>
      <c r="BS273" t="s">
        <v>364</v>
      </c>
      <c r="BT273" t="s">
        <v>366</v>
      </c>
      <c r="BU273" t="s">
        <v>371</v>
      </c>
      <c r="BV273" t="s">
        <v>371</v>
      </c>
      <c r="BW273" t="s">
        <v>2716</v>
      </c>
      <c r="BX273" t="str">
        <f>IF(J273="win",VLOOKUP(B273,ColorScheme!$A$2:$I$32,4,0),VLOOKUP(B273,ColorScheme!$A$2:$I$32,5,0))</f>
        <v>#ae7181</v>
      </c>
    </row>
    <row r="274" spans="1:76" x14ac:dyDescent="0.3">
      <c r="A274" t="s">
        <v>45</v>
      </c>
      <c r="B274" t="s">
        <v>66</v>
      </c>
      <c r="C274" t="s">
        <v>17</v>
      </c>
      <c r="D274" t="s">
        <v>12</v>
      </c>
      <c r="E274" t="s">
        <v>976</v>
      </c>
      <c r="F274" t="b">
        <v>1</v>
      </c>
      <c r="G274">
        <v>61.2</v>
      </c>
      <c r="H274">
        <v>0</v>
      </c>
      <c r="I274">
        <v>13386</v>
      </c>
      <c r="J274" s="61" t="s">
        <v>13</v>
      </c>
      <c r="K274" s="16" t="s">
        <v>272</v>
      </c>
      <c r="L274" s="16">
        <v>3</v>
      </c>
      <c r="M274" s="16" t="s">
        <v>277</v>
      </c>
      <c r="N274" s="16" t="s">
        <v>335</v>
      </c>
      <c r="O274" s="15" t="s">
        <v>281</v>
      </c>
      <c r="P274" t="s">
        <v>282</v>
      </c>
      <c r="Q274" t="s">
        <v>371</v>
      </c>
      <c r="R274" s="17" t="s">
        <v>371</v>
      </c>
      <c r="S274" s="17">
        <v>1</v>
      </c>
      <c r="T274" s="17">
        <v>1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 t="s">
        <v>704</v>
      </c>
      <c r="AD274" s="16" t="s">
        <v>341</v>
      </c>
      <c r="AE274" s="16" t="s">
        <v>340</v>
      </c>
      <c r="AF274" s="15" t="s">
        <v>343</v>
      </c>
      <c r="AG274" s="15" t="s">
        <v>344</v>
      </c>
      <c r="AH274" s="17" t="s">
        <v>371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704</v>
      </c>
      <c r="AR274" t="s">
        <v>349</v>
      </c>
      <c r="AS274" t="s">
        <v>349</v>
      </c>
      <c r="AT274">
        <v>1</v>
      </c>
      <c r="AU274">
        <v>0</v>
      </c>
      <c r="AV274">
        <v>0</v>
      </c>
      <c r="AW274" t="s">
        <v>704</v>
      </c>
      <c r="AX274" t="s">
        <v>1282</v>
      </c>
      <c r="AY274" t="s">
        <v>293</v>
      </c>
      <c r="AZ274" t="s">
        <v>353</v>
      </c>
      <c r="BA274" t="s">
        <v>296</v>
      </c>
      <c r="BB274" t="s">
        <v>300</v>
      </c>
      <c r="BC274" t="s">
        <v>292</v>
      </c>
      <c r="BD274" t="s">
        <v>293</v>
      </c>
      <c r="BE274" t="s">
        <v>292</v>
      </c>
      <c r="BF274" t="s">
        <v>292</v>
      </c>
      <c r="BG274" t="s">
        <v>293</v>
      </c>
      <c r="BH274" t="s">
        <v>302</v>
      </c>
      <c r="BI274" t="s">
        <v>302</v>
      </c>
      <c r="BJ274" t="s">
        <v>359</v>
      </c>
      <c r="BK274" t="s">
        <v>293</v>
      </c>
      <c r="BL274" t="s">
        <v>293</v>
      </c>
      <c r="BM274" t="s">
        <v>297</v>
      </c>
      <c r="BN274" t="s">
        <v>298</v>
      </c>
      <c r="BO274" t="s">
        <v>293</v>
      </c>
      <c r="BP274" t="s">
        <v>292</v>
      </c>
      <c r="BQ274" t="s">
        <v>293</v>
      </c>
      <c r="BR274" t="s">
        <v>293</v>
      </c>
      <c r="BS274" t="s">
        <v>364</v>
      </c>
      <c r="BT274" t="s">
        <v>366</v>
      </c>
      <c r="BU274" t="s">
        <v>371</v>
      </c>
      <c r="BV274" t="s">
        <v>371</v>
      </c>
      <c r="BW274" t="s">
        <v>2717</v>
      </c>
      <c r="BX274" t="str">
        <f>IF(J274="win",VLOOKUP(B274,ColorScheme!$A$2:$I$32,4,0),VLOOKUP(B274,ColorScheme!$A$2:$I$32,5,0))</f>
        <v>#ae7181</v>
      </c>
    </row>
    <row r="275" spans="1:76" x14ac:dyDescent="0.3">
      <c r="A275" t="s">
        <v>45</v>
      </c>
      <c r="B275" t="s">
        <v>66</v>
      </c>
      <c r="C275" t="s">
        <v>16</v>
      </c>
      <c r="D275" t="s">
        <v>12</v>
      </c>
      <c r="E275" t="s">
        <v>977</v>
      </c>
      <c r="F275" t="b">
        <v>1</v>
      </c>
      <c r="G275">
        <v>53.4</v>
      </c>
      <c r="H275">
        <v>0</v>
      </c>
      <c r="I275">
        <v>15116</v>
      </c>
      <c r="J275" s="61" t="s">
        <v>13</v>
      </c>
      <c r="K275" s="16" t="s">
        <v>272</v>
      </c>
      <c r="L275" s="16">
        <v>3</v>
      </c>
      <c r="M275" s="16" t="s">
        <v>277</v>
      </c>
      <c r="N275" s="16" t="s">
        <v>335</v>
      </c>
      <c r="O275" s="15" t="s">
        <v>281</v>
      </c>
      <c r="P275" t="s">
        <v>282</v>
      </c>
      <c r="Q275" t="s">
        <v>371</v>
      </c>
      <c r="R275" s="17" t="s">
        <v>371</v>
      </c>
      <c r="S275" s="17">
        <v>1</v>
      </c>
      <c r="T275" s="17">
        <v>1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 t="s">
        <v>704</v>
      </c>
      <c r="AD275" s="16" t="s">
        <v>341</v>
      </c>
      <c r="AE275" s="16" t="s">
        <v>340</v>
      </c>
      <c r="AF275" s="15" t="s">
        <v>343</v>
      </c>
      <c r="AG275" s="15" t="s">
        <v>344</v>
      </c>
      <c r="AH275" s="17" t="s">
        <v>371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704</v>
      </c>
      <c r="AR275" t="s">
        <v>349</v>
      </c>
      <c r="AS275" t="s">
        <v>349</v>
      </c>
      <c r="AT275">
        <v>1</v>
      </c>
      <c r="AU275">
        <v>0</v>
      </c>
      <c r="AV275">
        <v>0</v>
      </c>
      <c r="AW275" t="s">
        <v>704</v>
      </c>
      <c r="AX275" t="s">
        <v>1282</v>
      </c>
      <c r="AY275" t="s">
        <v>293</v>
      </c>
      <c r="AZ275" t="s">
        <v>353</v>
      </c>
      <c r="BA275" t="s">
        <v>296</v>
      </c>
      <c r="BB275" t="s">
        <v>300</v>
      </c>
      <c r="BC275" t="s">
        <v>292</v>
      </c>
      <c r="BD275" t="s">
        <v>292</v>
      </c>
      <c r="BE275" t="s">
        <v>292</v>
      </c>
      <c r="BF275" t="s">
        <v>292</v>
      </c>
      <c r="BG275" t="s">
        <v>293</v>
      </c>
      <c r="BH275" t="s">
        <v>302</v>
      </c>
      <c r="BI275" t="s">
        <v>302</v>
      </c>
      <c r="BJ275" t="s">
        <v>359</v>
      </c>
      <c r="BK275" t="s">
        <v>293</v>
      </c>
      <c r="BL275" t="s">
        <v>293</v>
      </c>
      <c r="BM275" t="s">
        <v>297</v>
      </c>
      <c r="BN275" t="s">
        <v>356</v>
      </c>
      <c r="BO275" t="s">
        <v>293</v>
      </c>
      <c r="BP275" t="s">
        <v>292</v>
      </c>
      <c r="BQ275" t="s">
        <v>293</v>
      </c>
      <c r="BR275" t="s">
        <v>293</v>
      </c>
      <c r="BS275" t="s">
        <v>364</v>
      </c>
      <c r="BT275" t="s">
        <v>366</v>
      </c>
      <c r="BU275" t="s">
        <v>371</v>
      </c>
      <c r="BV275" t="s">
        <v>371</v>
      </c>
      <c r="BW275" t="s">
        <v>2718</v>
      </c>
      <c r="BX275" t="str">
        <f>IF(J275="win",VLOOKUP(B275,ColorScheme!$A$2:$I$32,4,0),VLOOKUP(B275,ColorScheme!$A$2:$I$32,5,0))</f>
        <v>#ae7181</v>
      </c>
    </row>
    <row r="276" spans="1:76" x14ac:dyDescent="0.3">
      <c r="A276" t="s">
        <v>45</v>
      </c>
      <c r="B276" t="s">
        <v>66</v>
      </c>
      <c r="C276" t="s">
        <v>23</v>
      </c>
      <c r="D276" t="s">
        <v>29</v>
      </c>
      <c r="E276" t="s">
        <v>978</v>
      </c>
      <c r="F276" t="b">
        <v>1</v>
      </c>
      <c r="G276">
        <v>100</v>
      </c>
      <c r="H276">
        <v>1</v>
      </c>
      <c r="I276">
        <v>8289</v>
      </c>
      <c r="J276" s="61" t="s">
        <v>18</v>
      </c>
      <c r="K276" s="16" t="s">
        <v>272</v>
      </c>
      <c r="L276" s="16">
        <v>3</v>
      </c>
      <c r="M276" s="16" t="s">
        <v>277</v>
      </c>
      <c r="N276" s="16" t="s">
        <v>335</v>
      </c>
      <c r="O276" s="15" t="s">
        <v>284</v>
      </c>
      <c r="P276" t="s">
        <v>283</v>
      </c>
      <c r="Q276" t="s">
        <v>282</v>
      </c>
      <c r="R276" s="17" t="s">
        <v>371</v>
      </c>
      <c r="S276" s="17">
        <v>0</v>
      </c>
      <c r="T276" s="17">
        <v>1</v>
      </c>
      <c r="U276" s="17">
        <v>1</v>
      </c>
      <c r="V276" s="17">
        <v>1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 t="s">
        <v>704</v>
      </c>
      <c r="AD276" s="16" t="s">
        <v>341</v>
      </c>
      <c r="AE276" s="16" t="s">
        <v>340</v>
      </c>
      <c r="AF276" s="15" t="s">
        <v>343</v>
      </c>
      <c r="AG276" s="15" t="s">
        <v>344</v>
      </c>
      <c r="AH276" s="17" t="s">
        <v>371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704</v>
      </c>
      <c r="AR276" t="s">
        <v>349</v>
      </c>
      <c r="AS276" t="s">
        <v>349</v>
      </c>
      <c r="AT276">
        <v>1</v>
      </c>
      <c r="AU276">
        <v>0</v>
      </c>
      <c r="AV276">
        <v>0</v>
      </c>
      <c r="AW276" t="s">
        <v>704</v>
      </c>
      <c r="AX276" t="s">
        <v>1223</v>
      </c>
      <c r="AY276" t="s">
        <v>293</v>
      </c>
      <c r="AZ276" t="s">
        <v>353</v>
      </c>
      <c r="BA276" t="s">
        <v>297</v>
      </c>
      <c r="BB276" t="s">
        <v>299</v>
      </c>
      <c r="BC276" t="s">
        <v>292</v>
      </c>
      <c r="BD276" t="s">
        <v>293</v>
      </c>
      <c r="BE276" t="s">
        <v>292</v>
      </c>
      <c r="BF276" t="s">
        <v>293</v>
      </c>
      <c r="BG276" t="s">
        <v>293</v>
      </c>
      <c r="BH276" t="s">
        <v>302</v>
      </c>
      <c r="BI276" t="s">
        <v>302</v>
      </c>
      <c r="BJ276" t="s">
        <v>302</v>
      </c>
      <c r="BK276" t="s">
        <v>293</v>
      </c>
      <c r="BL276" t="s">
        <v>293</v>
      </c>
      <c r="BM276" t="s">
        <v>297</v>
      </c>
      <c r="BN276" t="s">
        <v>298</v>
      </c>
      <c r="BO276" t="s">
        <v>293</v>
      </c>
      <c r="BP276" t="s">
        <v>292</v>
      </c>
      <c r="BQ276" t="s">
        <v>293</v>
      </c>
      <c r="BR276" t="s">
        <v>293</v>
      </c>
      <c r="BS276" t="s">
        <v>364</v>
      </c>
      <c r="BT276" t="s">
        <v>304</v>
      </c>
      <c r="BU276" t="s">
        <v>371</v>
      </c>
      <c r="BV276" t="s">
        <v>371</v>
      </c>
      <c r="BW276" t="s">
        <v>2719</v>
      </c>
      <c r="BX276" t="str">
        <f>IF(J276="win",VLOOKUP(B276,ColorScheme!$A$2:$I$32,4,0),VLOOKUP(B276,ColorScheme!$A$2:$I$32,5,0))</f>
        <v>#ae718150</v>
      </c>
    </row>
    <row r="277" spans="1:76" x14ac:dyDescent="0.3">
      <c r="A277" t="s">
        <v>45</v>
      </c>
      <c r="B277" t="s">
        <v>66</v>
      </c>
      <c r="C277" t="s">
        <v>25</v>
      </c>
      <c r="D277" t="s">
        <v>29</v>
      </c>
      <c r="E277" t="s">
        <v>979</v>
      </c>
      <c r="F277" t="b">
        <v>1</v>
      </c>
      <c r="G277">
        <v>100</v>
      </c>
      <c r="H277">
        <v>1</v>
      </c>
      <c r="I277">
        <v>8591</v>
      </c>
      <c r="J277" s="61" t="s">
        <v>18</v>
      </c>
      <c r="K277" s="16" t="s">
        <v>272</v>
      </c>
      <c r="L277" s="16">
        <v>3</v>
      </c>
      <c r="M277" s="16" t="s">
        <v>277</v>
      </c>
      <c r="N277" s="16" t="s">
        <v>335</v>
      </c>
      <c r="O277" s="15" t="s">
        <v>284</v>
      </c>
      <c r="P277" t="s">
        <v>283</v>
      </c>
      <c r="Q277" t="s">
        <v>371</v>
      </c>
      <c r="R277" s="17" t="s">
        <v>371</v>
      </c>
      <c r="S277" s="17">
        <v>0</v>
      </c>
      <c r="T277" s="17">
        <v>0</v>
      </c>
      <c r="U277" s="17">
        <v>1</v>
      </c>
      <c r="V277" s="17">
        <v>1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 t="s">
        <v>704</v>
      </c>
      <c r="AD277" s="16" t="s">
        <v>341</v>
      </c>
      <c r="AE277" s="16" t="s">
        <v>340</v>
      </c>
      <c r="AF277" s="15" t="s">
        <v>343</v>
      </c>
      <c r="AG277" s="15" t="s">
        <v>344</v>
      </c>
      <c r="AH277" s="17" t="s">
        <v>371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704</v>
      </c>
      <c r="AR277" t="s">
        <v>349</v>
      </c>
      <c r="AS277" t="s">
        <v>349</v>
      </c>
      <c r="AT277">
        <v>1</v>
      </c>
      <c r="AU277">
        <v>0</v>
      </c>
      <c r="AV277">
        <v>0</v>
      </c>
      <c r="AW277" t="s">
        <v>704</v>
      </c>
      <c r="AX277" t="s">
        <v>1221</v>
      </c>
      <c r="AY277" t="s">
        <v>293</v>
      </c>
      <c r="AZ277" t="s">
        <v>353</v>
      </c>
      <c r="BA277" t="s">
        <v>297</v>
      </c>
      <c r="BB277" t="s">
        <v>299</v>
      </c>
      <c r="BC277" t="s">
        <v>292</v>
      </c>
      <c r="BD277" t="s">
        <v>293</v>
      </c>
      <c r="BE277" t="s">
        <v>292</v>
      </c>
      <c r="BF277" t="s">
        <v>293</v>
      </c>
      <c r="BG277" t="s">
        <v>293</v>
      </c>
      <c r="BH277" t="s">
        <v>302</v>
      </c>
      <c r="BI277" t="s">
        <v>302</v>
      </c>
      <c r="BJ277" t="s">
        <v>302</v>
      </c>
      <c r="BK277" t="s">
        <v>293</v>
      </c>
      <c r="BL277" t="s">
        <v>293</v>
      </c>
      <c r="BM277" t="s">
        <v>297</v>
      </c>
      <c r="BN277" t="s">
        <v>298</v>
      </c>
      <c r="BO277" t="s">
        <v>293</v>
      </c>
      <c r="BP277" t="s">
        <v>292</v>
      </c>
      <c r="BQ277" t="s">
        <v>363</v>
      </c>
      <c r="BR277" t="s">
        <v>293</v>
      </c>
      <c r="BS277" t="s">
        <v>364</v>
      </c>
      <c r="BT277" t="s">
        <v>304</v>
      </c>
      <c r="BU277" t="s">
        <v>371</v>
      </c>
      <c r="BV277" t="s">
        <v>371</v>
      </c>
      <c r="BW277" t="s">
        <v>2720</v>
      </c>
      <c r="BX277" t="str">
        <f>IF(J277="win",VLOOKUP(B277,ColorScheme!$A$2:$I$32,4,0),VLOOKUP(B277,ColorScheme!$A$2:$I$32,5,0))</f>
        <v>#ae718150</v>
      </c>
    </row>
    <row r="278" spans="1:76" x14ac:dyDescent="0.3">
      <c r="A278" t="s">
        <v>45</v>
      </c>
      <c r="B278" t="s">
        <v>66</v>
      </c>
      <c r="C278" t="s">
        <v>24</v>
      </c>
      <c r="D278" t="s">
        <v>29</v>
      </c>
      <c r="E278" t="s">
        <v>980</v>
      </c>
      <c r="F278" t="b">
        <v>1</v>
      </c>
      <c r="G278">
        <v>82.6</v>
      </c>
      <c r="H278">
        <v>0</v>
      </c>
      <c r="I278">
        <v>8811</v>
      </c>
      <c r="J278" s="61" t="s">
        <v>13</v>
      </c>
      <c r="K278" s="16" t="s">
        <v>272</v>
      </c>
      <c r="L278" s="16">
        <v>3</v>
      </c>
      <c r="M278" s="16" t="s">
        <v>277</v>
      </c>
      <c r="N278" s="16" t="s">
        <v>335</v>
      </c>
      <c r="O278" s="15" t="s">
        <v>284</v>
      </c>
      <c r="P278" t="s">
        <v>283</v>
      </c>
      <c r="Q278" t="s">
        <v>282</v>
      </c>
      <c r="R278" s="17" t="s">
        <v>371</v>
      </c>
      <c r="S278" s="17">
        <v>0</v>
      </c>
      <c r="T278" s="17">
        <v>1</v>
      </c>
      <c r="U278" s="17">
        <v>1</v>
      </c>
      <c r="V278" s="17">
        <v>1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 t="s">
        <v>704</v>
      </c>
      <c r="AD278" s="16" t="s">
        <v>341</v>
      </c>
      <c r="AE278" s="16" t="s">
        <v>340</v>
      </c>
      <c r="AF278" s="15" t="s">
        <v>343</v>
      </c>
      <c r="AG278" s="15" t="s">
        <v>344</v>
      </c>
      <c r="AH278" s="17" t="s">
        <v>371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704</v>
      </c>
      <c r="AR278" t="s">
        <v>349</v>
      </c>
      <c r="AS278" t="s">
        <v>349</v>
      </c>
      <c r="AT278">
        <v>1</v>
      </c>
      <c r="AU278">
        <v>0</v>
      </c>
      <c r="AV278">
        <v>0</v>
      </c>
      <c r="AW278" t="s">
        <v>704</v>
      </c>
      <c r="AX278" t="s">
        <v>1223</v>
      </c>
      <c r="AY278" t="s">
        <v>293</v>
      </c>
      <c r="AZ278" t="s">
        <v>353</v>
      </c>
      <c r="BA278" t="s">
        <v>297</v>
      </c>
      <c r="BB278" t="s">
        <v>299</v>
      </c>
      <c r="BC278" t="s">
        <v>292</v>
      </c>
      <c r="BD278" t="s">
        <v>293</v>
      </c>
      <c r="BE278" t="s">
        <v>292</v>
      </c>
      <c r="BF278" t="s">
        <v>293</v>
      </c>
      <c r="BG278" t="s">
        <v>293</v>
      </c>
      <c r="BH278" t="s">
        <v>302</v>
      </c>
      <c r="BI278" t="s">
        <v>302</v>
      </c>
      <c r="BJ278" t="s">
        <v>302</v>
      </c>
      <c r="BK278" t="s">
        <v>293</v>
      </c>
      <c r="BL278" t="s">
        <v>293</v>
      </c>
      <c r="BM278" t="s">
        <v>297</v>
      </c>
      <c r="BN278" t="s">
        <v>298</v>
      </c>
      <c r="BO278" t="s">
        <v>293</v>
      </c>
      <c r="BP278" t="s">
        <v>292</v>
      </c>
      <c r="BQ278" t="s">
        <v>293</v>
      </c>
      <c r="BR278" t="s">
        <v>293</v>
      </c>
      <c r="BS278" t="s">
        <v>364</v>
      </c>
      <c r="BT278" t="s">
        <v>366</v>
      </c>
      <c r="BU278" t="s">
        <v>371</v>
      </c>
      <c r="BV278" t="s">
        <v>371</v>
      </c>
      <c r="BW278" t="s">
        <v>2721</v>
      </c>
      <c r="BX278" t="str">
        <f>IF(J278="win",VLOOKUP(B278,ColorScheme!$A$2:$I$32,4,0),VLOOKUP(B278,ColorScheme!$A$2:$I$32,5,0))</f>
        <v>#ae7181</v>
      </c>
    </row>
    <row r="279" spans="1:76" x14ac:dyDescent="0.3">
      <c r="A279" t="s">
        <v>45</v>
      </c>
      <c r="B279" t="s">
        <v>66</v>
      </c>
      <c r="C279" t="s">
        <v>21</v>
      </c>
      <c r="D279" t="s">
        <v>29</v>
      </c>
      <c r="E279" t="s">
        <v>981</v>
      </c>
      <c r="F279" t="b">
        <v>1</v>
      </c>
      <c r="G279">
        <v>100</v>
      </c>
      <c r="H279">
        <v>1</v>
      </c>
      <c r="I279">
        <v>8741</v>
      </c>
      <c r="J279" s="61" t="s">
        <v>18</v>
      </c>
      <c r="K279" s="16" t="s">
        <v>272</v>
      </c>
      <c r="L279" s="16">
        <v>3</v>
      </c>
      <c r="M279" s="16" t="s">
        <v>277</v>
      </c>
      <c r="N279" s="16" t="s">
        <v>335</v>
      </c>
      <c r="O279" s="15" t="s">
        <v>284</v>
      </c>
      <c r="P279" t="s">
        <v>282</v>
      </c>
      <c r="Q279" t="s">
        <v>371</v>
      </c>
      <c r="R279" s="17" t="s">
        <v>371</v>
      </c>
      <c r="S279" s="17">
        <v>0</v>
      </c>
      <c r="T279" s="17">
        <v>1</v>
      </c>
      <c r="U279" s="17">
        <v>0</v>
      </c>
      <c r="V279" s="17">
        <v>1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 t="s">
        <v>704</v>
      </c>
      <c r="AD279" s="16" t="s">
        <v>341</v>
      </c>
      <c r="AE279" s="16" t="s">
        <v>340</v>
      </c>
      <c r="AF279" s="15" t="s">
        <v>343</v>
      </c>
      <c r="AG279" s="15" t="s">
        <v>344</v>
      </c>
      <c r="AH279" s="17" t="s">
        <v>371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704</v>
      </c>
      <c r="AR279" t="s">
        <v>349</v>
      </c>
      <c r="AS279" t="s">
        <v>349</v>
      </c>
      <c r="AT279">
        <v>1</v>
      </c>
      <c r="AU279">
        <v>0</v>
      </c>
      <c r="AV279">
        <v>0</v>
      </c>
      <c r="AW279" t="s">
        <v>704</v>
      </c>
      <c r="AX279" t="s">
        <v>1228</v>
      </c>
      <c r="AY279" t="s">
        <v>293</v>
      </c>
      <c r="AZ279" t="s">
        <v>353</v>
      </c>
      <c r="BA279" t="s">
        <v>297</v>
      </c>
      <c r="BB279" t="s">
        <v>300</v>
      </c>
      <c r="BC279" t="s">
        <v>292</v>
      </c>
      <c r="BD279" t="s">
        <v>293</v>
      </c>
      <c r="BE279" t="s">
        <v>292</v>
      </c>
      <c r="BF279" t="s">
        <v>293</v>
      </c>
      <c r="BG279" t="s">
        <v>293</v>
      </c>
      <c r="BH279" t="s">
        <v>302</v>
      </c>
      <c r="BI279" t="s">
        <v>302</v>
      </c>
      <c r="BJ279" t="s">
        <v>302</v>
      </c>
      <c r="BK279" t="s">
        <v>293</v>
      </c>
      <c r="BL279" t="s">
        <v>293</v>
      </c>
      <c r="BM279" t="s">
        <v>297</v>
      </c>
      <c r="BN279" t="s">
        <v>298</v>
      </c>
      <c r="BO279" t="s">
        <v>293</v>
      </c>
      <c r="BP279" t="s">
        <v>292</v>
      </c>
      <c r="BQ279" t="s">
        <v>293</v>
      </c>
      <c r="BR279" t="s">
        <v>293</v>
      </c>
      <c r="BS279" t="s">
        <v>364</v>
      </c>
      <c r="BT279" t="s">
        <v>304</v>
      </c>
      <c r="BU279" t="s">
        <v>371</v>
      </c>
      <c r="BV279" t="s">
        <v>371</v>
      </c>
      <c r="BW279" t="s">
        <v>2722</v>
      </c>
      <c r="BX279" t="str">
        <f>IF(J279="win",VLOOKUP(B279,ColorScheme!$A$2:$I$32,4,0),VLOOKUP(B279,ColorScheme!$A$2:$I$32,5,0))</f>
        <v>#ae718150</v>
      </c>
    </row>
    <row r="280" spans="1:76" x14ac:dyDescent="0.3">
      <c r="A280" t="s">
        <v>45</v>
      </c>
      <c r="B280" t="s">
        <v>66</v>
      </c>
      <c r="C280" t="s">
        <v>20</v>
      </c>
      <c r="D280" t="s">
        <v>29</v>
      </c>
      <c r="E280" t="s">
        <v>982</v>
      </c>
      <c r="F280" t="b">
        <v>1</v>
      </c>
      <c r="G280">
        <v>100</v>
      </c>
      <c r="H280">
        <v>1</v>
      </c>
      <c r="I280">
        <v>11646</v>
      </c>
      <c r="J280" s="61" t="s">
        <v>18</v>
      </c>
      <c r="K280" s="16" t="s">
        <v>272</v>
      </c>
      <c r="L280" s="16">
        <v>3</v>
      </c>
      <c r="M280" s="16" t="s">
        <v>277</v>
      </c>
      <c r="N280" s="16" t="s">
        <v>335</v>
      </c>
      <c r="O280" s="15" t="s">
        <v>284</v>
      </c>
      <c r="P280" t="s">
        <v>282</v>
      </c>
      <c r="Q280" t="s">
        <v>371</v>
      </c>
      <c r="R280" s="17" t="s">
        <v>371</v>
      </c>
      <c r="S280" s="17">
        <v>0</v>
      </c>
      <c r="T280" s="17">
        <v>1</v>
      </c>
      <c r="U280" s="17">
        <v>0</v>
      </c>
      <c r="V280" s="17">
        <v>1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 t="s">
        <v>704</v>
      </c>
      <c r="AD280" s="16" t="s">
        <v>341</v>
      </c>
      <c r="AE280" s="16" t="s">
        <v>340</v>
      </c>
      <c r="AF280" s="15" t="s">
        <v>343</v>
      </c>
      <c r="AG280" s="15" t="s">
        <v>344</v>
      </c>
      <c r="AH280" s="17" t="s">
        <v>291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 t="s">
        <v>704</v>
      </c>
      <c r="AR280" t="s">
        <v>349</v>
      </c>
      <c r="AS280" t="s">
        <v>349</v>
      </c>
      <c r="AT280">
        <v>1</v>
      </c>
      <c r="AU280">
        <v>0</v>
      </c>
      <c r="AV280">
        <v>0</v>
      </c>
      <c r="AW280" t="s">
        <v>704</v>
      </c>
      <c r="AX280" t="s">
        <v>1283</v>
      </c>
      <c r="AY280" t="s">
        <v>293</v>
      </c>
      <c r="AZ280" t="s">
        <v>353</v>
      </c>
      <c r="BA280" t="s">
        <v>355</v>
      </c>
      <c r="BB280" t="s">
        <v>300</v>
      </c>
      <c r="BC280" t="s">
        <v>292</v>
      </c>
      <c r="BD280" t="s">
        <v>293</v>
      </c>
      <c r="BE280" t="s">
        <v>292</v>
      </c>
      <c r="BF280" t="s">
        <v>292</v>
      </c>
      <c r="BG280" t="s">
        <v>293</v>
      </c>
      <c r="BH280" t="s">
        <v>302</v>
      </c>
      <c r="BI280" t="s">
        <v>302</v>
      </c>
      <c r="BJ280" t="s">
        <v>302</v>
      </c>
      <c r="BK280" t="s">
        <v>293</v>
      </c>
      <c r="BL280" t="s">
        <v>293</v>
      </c>
      <c r="BM280" t="s">
        <v>296</v>
      </c>
      <c r="BN280" t="s">
        <v>298</v>
      </c>
      <c r="BO280" t="s">
        <v>293</v>
      </c>
      <c r="BP280" t="s">
        <v>292</v>
      </c>
      <c r="BQ280" t="s">
        <v>293</v>
      </c>
      <c r="BR280" t="s">
        <v>293</v>
      </c>
      <c r="BS280" t="s">
        <v>364</v>
      </c>
      <c r="BT280" t="s">
        <v>304</v>
      </c>
      <c r="BU280" t="s">
        <v>371</v>
      </c>
      <c r="BV280" t="s">
        <v>371</v>
      </c>
      <c r="BW280" t="s">
        <v>2723</v>
      </c>
      <c r="BX280" t="str">
        <f>IF(J280="win",VLOOKUP(B280,ColorScheme!$A$2:$I$32,4,0),VLOOKUP(B280,ColorScheme!$A$2:$I$32,5,0))</f>
        <v>#ae718150</v>
      </c>
    </row>
    <row r="281" spans="1:76" x14ac:dyDescent="0.3">
      <c r="A281" t="s">
        <v>45</v>
      </c>
      <c r="B281" t="s">
        <v>66</v>
      </c>
      <c r="C281" t="s">
        <v>26</v>
      </c>
      <c r="D281" t="s">
        <v>29</v>
      </c>
      <c r="E281" t="s">
        <v>983</v>
      </c>
      <c r="F281" t="b">
        <v>1</v>
      </c>
      <c r="G281">
        <v>100</v>
      </c>
      <c r="H281">
        <v>1</v>
      </c>
      <c r="I281">
        <v>8718</v>
      </c>
      <c r="J281" s="61" t="s">
        <v>18</v>
      </c>
      <c r="K281" s="16" t="s">
        <v>272</v>
      </c>
      <c r="L281" s="16">
        <v>3</v>
      </c>
      <c r="M281" s="16" t="s">
        <v>277</v>
      </c>
      <c r="N281" s="16" t="s">
        <v>335</v>
      </c>
      <c r="O281" s="15" t="s">
        <v>284</v>
      </c>
      <c r="P281" t="s">
        <v>283</v>
      </c>
      <c r="Q281" t="s">
        <v>371</v>
      </c>
      <c r="R281" s="17" t="s">
        <v>371</v>
      </c>
      <c r="S281" s="17">
        <v>0</v>
      </c>
      <c r="T281" s="17">
        <v>0</v>
      </c>
      <c r="U281" s="17">
        <v>1</v>
      </c>
      <c r="V281" s="17">
        <v>1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 t="s">
        <v>704</v>
      </c>
      <c r="AD281" s="16" t="s">
        <v>341</v>
      </c>
      <c r="AE281" s="16" t="s">
        <v>340</v>
      </c>
      <c r="AF281" s="15" t="s">
        <v>343</v>
      </c>
      <c r="AG281" s="15" t="s">
        <v>344</v>
      </c>
      <c r="AH281" s="17" t="s">
        <v>371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704</v>
      </c>
      <c r="AR281" t="s">
        <v>349</v>
      </c>
      <c r="AS281" t="s">
        <v>349</v>
      </c>
      <c r="AT281">
        <v>1</v>
      </c>
      <c r="AU281">
        <v>0</v>
      </c>
      <c r="AV281">
        <v>0</v>
      </c>
      <c r="AW281" t="s">
        <v>704</v>
      </c>
      <c r="AX281" t="s">
        <v>1221</v>
      </c>
      <c r="AY281" t="s">
        <v>293</v>
      </c>
      <c r="AZ281" t="s">
        <v>353</v>
      </c>
      <c r="BA281" t="s">
        <v>297</v>
      </c>
      <c r="BB281" t="s">
        <v>300</v>
      </c>
      <c r="BC281" t="s">
        <v>292</v>
      </c>
      <c r="BD281" t="s">
        <v>293</v>
      </c>
      <c r="BE281" t="s">
        <v>292</v>
      </c>
      <c r="BF281" t="s">
        <v>293</v>
      </c>
      <c r="BG281" t="s">
        <v>293</v>
      </c>
      <c r="BH281" t="s">
        <v>302</v>
      </c>
      <c r="BI281" t="s">
        <v>302</v>
      </c>
      <c r="BJ281" t="s">
        <v>302</v>
      </c>
      <c r="BK281" t="s">
        <v>293</v>
      </c>
      <c r="BL281" t="s">
        <v>293</v>
      </c>
      <c r="BM281" t="s">
        <v>297</v>
      </c>
      <c r="BN281" t="s">
        <v>298</v>
      </c>
      <c r="BO281" t="s">
        <v>293</v>
      </c>
      <c r="BP281" t="s">
        <v>292</v>
      </c>
      <c r="BQ281" t="s">
        <v>293</v>
      </c>
      <c r="BR281" t="s">
        <v>293</v>
      </c>
      <c r="BS281" t="s">
        <v>364</v>
      </c>
      <c r="BT281" t="s">
        <v>304</v>
      </c>
      <c r="BU281" t="s">
        <v>371</v>
      </c>
      <c r="BV281" t="s">
        <v>371</v>
      </c>
      <c r="BW281" t="s">
        <v>2724</v>
      </c>
      <c r="BX281" t="str">
        <f>IF(J281="win",VLOOKUP(B281,ColorScheme!$A$2:$I$32,4,0),VLOOKUP(B281,ColorScheme!$A$2:$I$32,5,0))</f>
        <v>#ae718150</v>
      </c>
    </row>
    <row r="282" spans="1:76" x14ac:dyDescent="0.3">
      <c r="A282" t="s">
        <v>45</v>
      </c>
      <c r="B282" t="s">
        <v>66</v>
      </c>
      <c r="C282" t="s">
        <v>22</v>
      </c>
      <c r="D282" t="s">
        <v>29</v>
      </c>
      <c r="E282" t="s">
        <v>984</v>
      </c>
      <c r="F282" t="b">
        <v>1</v>
      </c>
      <c r="G282">
        <v>80.400000000000006</v>
      </c>
      <c r="H282">
        <v>0</v>
      </c>
      <c r="I282">
        <v>8849</v>
      </c>
      <c r="J282" s="61" t="s">
        <v>13</v>
      </c>
      <c r="K282" s="16" t="s">
        <v>272</v>
      </c>
      <c r="L282" s="16">
        <v>3</v>
      </c>
      <c r="M282" s="16" t="s">
        <v>277</v>
      </c>
      <c r="N282" s="16" t="s">
        <v>335</v>
      </c>
      <c r="O282" s="15" t="s">
        <v>284</v>
      </c>
      <c r="P282" t="s">
        <v>283</v>
      </c>
      <c r="Q282" t="s">
        <v>282</v>
      </c>
      <c r="R282" s="17" t="s">
        <v>371</v>
      </c>
      <c r="S282" s="17">
        <v>0</v>
      </c>
      <c r="T282" s="17">
        <v>1</v>
      </c>
      <c r="U282" s="17">
        <v>1</v>
      </c>
      <c r="V282" s="17">
        <v>1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 t="s">
        <v>704</v>
      </c>
      <c r="AD282" s="16" t="s">
        <v>341</v>
      </c>
      <c r="AE282" s="16" t="s">
        <v>340</v>
      </c>
      <c r="AF282" s="15" t="s">
        <v>343</v>
      </c>
      <c r="AG282" s="15" t="s">
        <v>344</v>
      </c>
      <c r="AH282" s="17" t="s">
        <v>371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704</v>
      </c>
      <c r="AR282" t="s">
        <v>349</v>
      </c>
      <c r="AS282" t="s">
        <v>349</v>
      </c>
      <c r="AT282">
        <v>1</v>
      </c>
      <c r="AU282">
        <v>0</v>
      </c>
      <c r="AV282">
        <v>0</v>
      </c>
      <c r="AW282" t="s">
        <v>704</v>
      </c>
      <c r="AX282" t="s">
        <v>1223</v>
      </c>
      <c r="AY282" t="s">
        <v>293</v>
      </c>
      <c r="AZ282" t="s">
        <v>353</v>
      </c>
      <c r="BA282" t="s">
        <v>297</v>
      </c>
      <c r="BB282" t="s">
        <v>300</v>
      </c>
      <c r="BC282" t="s">
        <v>292</v>
      </c>
      <c r="BD282" t="s">
        <v>293</v>
      </c>
      <c r="BE282" t="s">
        <v>292</v>
      </c>
      <c r="BF282" t="s">
        <v>293</v>
      </c>
      <c r="BG282" t="s">
        <v>293</v>
      </c>
      <c r="BH282" t="s">
        <v>302</v>
      </c>
      <c r="BI282" t="s">
        <v>302</v>
      </c>
      <c r="BJ282" t="s">
        <v>302</v>
      </c>
      <c r="BK282" t="s">
        <v>293</v>
      </c>
      <c r="BL282" t="s">
        <v>293</v>
      </c>
      <c r="BM282" t="s">
        <v>297</v>
      </c>
      <c r="BN282" t="s">
        <v>298</v>
      </c>
      <c r="BO282" t="s">
        <v>293</v>
      </c>
      <c r="BP282" t="s">
        <v>292</v>
      </c>
      <c r="BQ282" t="s">
        <v>293</v>
      </c>
      <c r="BR282" t="s">
        <v>293</v>
      </c>
      <c r="BS282" t="s">
        <v>364</v>
      </c>
      <c r="BT282" t="s">
        <v>366</v>
      </c>
      <c r="BU282" t="s">
        <v>371</v>
      </c>
      <c r="BV282" t="s">
        <v>371</v>
      </c>
      <c r="BW282" t="s">
        <v>2725</v>
      </c>
      <c r="BX282" t="str">
        <f>IF(J282="win",VLOOKUP(B282,ColorScheme!$A$2:$I$32,4,0),VLOOKUP(B282,ColorScheme!$A$2:$I$32,5,0))</f>
        <v>#ae7181</v>
      </c>
    </row>
    <row r="283" spans="1:76" x14ac:dyDescent="0.3">
      <c r="A283" t="s">
        <v>45</v>
      </c>
      <c r="B283" t="s">
        <v>66</v>
      </c>
      <c r="C283" t="s">
        <v>27</v>
      </c>
      <c r="D283" t="s">
        <v>29</v>
      </c>
      <c r="E283" t="s">
        <v>985</v>
      </c>
      <c r="F283" t="b">
        <v>1</v>
      </c>
      <c r="G283">
        <v>94</v>
      </c>
      <c r="H283">
        <v>0</v>
      </c>
      <c r="I283">
        <v>8778</v>
      </c>
      <c r="J283" s="61" t="s">
        <v>13</v>
      </c>
      <c r="K283" s="16" t="s">
        <v>272</v>
      </c>
      <c r="L283" s="16">
        <v>3</v>
      </c>
      <c r="M283" s="16" t="s">
        <v>277</v>
      </c>
      <c r="N283" s="16" t="s">
        <v>335</v>
      </c>
      <c r="O283" s="15" t="s">
        <v>284</v>
      </c>
      <c r="P283" t="s">
        <v>283</v>
      </c>
      <c r="Q283" t="s">
        <v>282</v>
      </c>
      <c r="R283" s="17" t="s">
        <v>371</v>
      </c>
      <c r="S283" s="17">
        <v>0</v>
      </c>
      <c r="T283" s="17">
        <v>1</v>
      </c>
      <c r="U283" s="17">
        <v>1</v>
      </c>
      <c r="V283" s="17">
        <v>1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 t="s">
        <v>704</v>
      </c>
      <c r="AD283" s="16" t="s">
        <v>341</v>
      </c>
      <c r="AE283" s="16" t="s">
        <v>340</v>
      </c>
      <c r="AF283" s="15" t="s">
        <v>343</v>
      </c>
      <c r="AG283" s="15" t="s">
        <v>344</v>
      </c>
      <c r="AH283" s="17" t="s">
        <v>371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704</v>
      </c>
      <c r="AR283" t="s">
        <v>349</v>
      </c>
      <c r="AS283" t="s">
        <v>349</v>
      </c>
      <c r="AT283">
        <v>1</v>
      </c>
      <c r="AU283">
        <v>0</v>
      </c>
      <c r="AV283">
        <v>0</v>
      </c>
      <c r="AW283" t="s">
        <v>704</v>
      </c>
      <c r="AX283" t="s">
        <v>1223</v>
      </c>
      <c r="AY283" t="s">
        <v>293</v>
      </c>
      <c r="AZ283" t="s">
        <v>353</v>
      </c>
      <c r="BA283" t="s">
        <v>297</v>
      </c>
      <c r="BB283" t="s">
        <v>300</v>
      </c>
      <c r="BC283" t="s">
        <v>292</v>
      </c>
      <c r="BD283" t="s">
        <v>293</v>
      </c>
      <c r="BE283" t="s">
        <v>292</v>
      </c>
      <c r="BF283" t="s">
        <v>293</v>
      </c>
      <c r="BG283" t="s">
        <v>293</v>
      </c>
      <c r="BH283" t="s">
        <v>302</v>
      </c>
      <c r="BI283" t="s">
        <v>302</v>
      </c>
      <c r="BJ283" t="s">
        <v>302</v>
      </c>
      <c r="BK283" t="s">
        <v>293</v>
      </c>
      <c r="BL283" t="s">
        <v>293</v>
      </c>
      <c r="BM283" t="s">
        <v>297</v>
      </c>
      <c r="BN283" t="s">
        <v>298</v>
      </c>
      <c r="BO283" t="s">
        <v>293</v>
      </c>
      <c r="BP283" t="s">
        <v>292</v>
      </c>
      <c r="BQ283" t="s">
        <v>293</v>
      </c>
      <c r="BR283" t="s">
        <v>293</v>
      </c>
      <c r="BS283" t="s">
        <v>364</v>
      </c>
      <c r="BT283" t="s">
        <v>366</v>
      </c>
      <c r="BU283" t="s">
        <v>371</v>
      </c>
      <c r="BV283" t="s">
        <v>371</v>
      </c>
      <c r="BW283" t="s">
        <v>2726</v>
      </c>
      <c r="BX283" t="str">
        <f>IF(J283="win",VLOOKUP(B283,ColorScheme!$A$2:$I$32,4,0),VLOOKUP(B283,ColorScheme!$A$2:$I$32,5,0))</f>
        <v>#ae7181</v>
      </c>
    </row>
    <row r="284" spans="1:76" x14ac:dyDescent="0.3">
      <c r="A284" t="s">
        <v>9</v>
      </c>
      <c r="B284" t="s">
        <v>55</v>
      </c>
      <c r="C284" t="s">
        <v>15</v>
      </c>
      <c r="D284" t="s">
        <v>12</v>
      </c>
      <c r="E284" t="s">
        <v>986</v>
      </c>
      <c r="F284" t="b">
        <v>1</v>
      </c>
      <c r="G284">
        <v>99</v>
      </c>
      <c r="H284">
        <v>0</v>
      </c>
      <c r="I284">
        <v>12195</v>
      </c>
      <c r="J284" s="61" t="s">
        <v>13</v>
      </c>
      <c r="K284" s="16" t="s">
        <v>272</v>
      </c>
      <c r="L284" s="16">
        <v>3</v>
      </c>
      <c r="M284" s="16" t="s">
        <v>277</v>
      </c>
      <c r="N284" s="16" t="s">
        <v>335</v>
      </c>
      <c r="O284" s="15" t="s">
        <v>281</v>
      </c>
      <c r="P284" t="s">
        <v>339</v>
      </c>
      <c r="Q284" t="s">
        <v>283</v>
      </c>
      <c r="R284" s="17" t="s">
        <v>282</v>
      </c>
      <c r="S284" s="17">
        <v>1</v>
      </c>
      <c r="T284" s="17">
        <v>1</v>
      </c>
      <c r="U284" s="17">
        <v>1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1</v>
      </c>
      <c r="AB284" s="17">
        <v>0</v>
      </c>
      <c r="AC284" s="17" t="s">
        <v>704</v>
      </c>
      <c r="AD284" s="16" t="s">
        <v>341</v>
      </c>
      <c r="AE284" s="16" t="s">
        <v>340</v>
      </c>
      <c r="AF284" s="15" t="s">
        <v>343</v>
      </c>
      <c r="AG284" s="15" t="s">
        <v>347</v>
      </c>
      <c r="AH284" s="17" t="s">
        <v>371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 t="s">
        <v>704</v>
      </c>
      <c r="AR284" t="s">
        <v>349</v>
      </c>
      <c r="AS284" t="s">
        <v>349</v>
      </c>
      <c r="AT284">
        <v>1</v>
      </c>
      <c r="AU284">
        <v>0</v>
      </c>
      <c r="AV284">
        <v>0</v>
      </c>
      <c r="AW284" t="s">
        <v>704</v>
      </c>
      <c r="AX284" t="s">
        <v>1284</v>
      </c>
      <c r="AY284" t="s">
        <v>293</v>
      </c>
      <c r="AZ284" t="s">
        <v>352</v>
      </c>
      <c r="BA284" t="s">
        <v>296</v>
      </c>
      <c r="BB284" t="s">
        <v>301</v>
      </c>
      <c r="BC284" t="s">
        <v>292</v>
      </c>
      <c r="BD284" t="s">
        <v>293</v>
      </c>
      <c r="BE284" t="s">
        <v>292</v>
      </c>
      <c r="BF284" t="s">
        <v>292</v>
      </c>
      <c r="BG284" t="s">
        <v>293</v>
      </c>
      <c r="BH284" t="s">
        <v>302</v>
      </c>
      <c r="BI284" t="s">
        <v>302</v>
      </c>
      <c r="BJ284" t="s">
        <v>302</v>
      </c>
      <c r="BK284" t="s">
        <v>293</v>
      </c>
      <c r="BL284" t="s">
        <v>293</v>
      </c>
      <c r="BM284" t="s">
        <v>297</v>
      </c>
      <c r="BN284" t="s">
        <v>298</v>
      </c>
      <c r="BO284" t="s">
        <v>293</v>
      </c>
      <c r="BP284" t="s">
        <v>292</v>
      </c>
      <c r="BQ284" t="s">
        <v>293</v>
      </c>
      <c r="BR284" t="s">
        <v>293</v>
      </c>
      <c r="BS284" t="s">
        <v>364</v>
      </c>
      <c r="BT284" t="s">
        <v>366</v>
      </c>
      <c r="BU284" t="s">
        <v>371</v>
      </c>
      <c r="BV284" t="s">
        <v>371</v>
      </c>
      <c r="BW284" t="s">
        <v>2727</v>
      </c>
      <c r="BX284" t="str">
        <f>IF(J284="win",VLOOKUP(B284,ColorScheme!$A$2:$I$32,4,0),VLOOKUP(B284,ColorScheme!$A$2:$I$32,5,0))</f>
        <v>#650021</v>
      </c>
    </row>
    <row r="285" spans="1:76" x14ac:dyDescent="0.3">
      <c r="A285" t="s">
        <v>9</v>
      </c>
      <c r="B285" t="s">
        <v>55</v>
      </c>
      <c r="C285" t="s">
        <v>14</v>
      </c>
      <c r="D285" t="s">
        <v>12</v>
      </c>
      <c r="E285" t="s">
        <v>987</v>
      </c>
      <c r="F285" t="b">
        <v>1</v>
      </c>
      <c r="G285">
        <v>100</v>
      </c>
      <c r="H285">
        <v>1</v>
      </c>
      <c r="I285">
        <v>11712</v>
      </c>
      <c r="J285" s="61" t="s">
        <v>18</v>
      </c>
      <c r="K285" s="16" t="s">
        <v>272</v>
      </c>
      <c r="L285" s="16">
        <v>3</v>
      </c>
      <c r="M285" s="16" t="s">
        <v>277</v>
      </c>
      <c r="N285" s="16" t="s">
        <v>335</v>
      </c>
      <c r="O285" s="15" t="s">
        <v>281</v>
      </c>
      <c r="P285" t="s">
        <v>339</v>
      </c>
      <c r="Q285" t="s">
        <v>283</v>
      </c>
      <c r="R285" s="17" t="s">
        <v>282</v>
      </c>
      <c r="S285" s="17">
        <v>1</v>
      </c>
      <c r="T285" s="17">
        <v>1</v>
      </c>
      <c r="U285" s="17">
        <v>1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1</v>
      </c>
      <c r="AB285" s="17">
        <v>0</v>
      </c>
      <c r="AC285" s="17" t="s">
        <v>704</v>
      </c>
      <c r="AD285" s="16" t="s">
        <v>341</v>
      </c>
      <c r="AE285" s="16" t="s">
        <v>340</v>
      </c>
      <c r="AF285" s="15" t="s">
        <v>343</v>
      </c>
      <c r="AG285" s="15" t="s">
        <v>347</v>
      </c>
      <c r="AH285" s="17" t="s">
        <v>371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 t="s">
        <v>704</v>
      </c>
      <c r="AR285" t="s">
        <v>349</v>
      </c>
      <c r="AS285" t="s">
        <v>349</v>
      </c>
      <c r="AT285">
        <v>1</v>
      </c>
      <c r="AU285">
        <v>0</v>
      </c>
      <c r="AV285">
        <v>0</v>
      </c>
      <c r="AW285" t="s">
        <v>704</v>
      </c>
      <c r="AX285" t="s">
        <v>1284</v>
      </c>
      <c r="AY285" t="s">
        <v>293</v>
      </c>
      <c r="AZ285" t="s">
        <v>352</v>
      </c>
      <c r="BA285" t="s">
        <v>297</v>
      </c>
      <c r="BB285" t="s">
        <v>301</v>
      </c>
      <c r="BC285" t="s">
        <v>292</v>
      </c>
      <c r="BD285" t="s">
        <v>293</v>
      </c>
      <c r="BE285" t="s">
        <v>292</v>
      </c>
      <c r="BF285" t="s">
        <v>293</v>
      </c>
      <c r="BG285" t="s">
        <v>293</v>
      </c>
      <c r="BH285" t="s">
        <v>302</v>
      </c>
      <c r="BI285" t="s">
        <v>302</v>
      </c>
      <c r="BJ285" t="s">
        <v>302</v>
      </c>
      <c r="BK285" t="s">
        <v>293</v>
      </c>
      <c r="BL285" t="s">
        <v>293</v>
      </c>
      <c r="BM285" t="s">
        <v>297</v>
      </c>
      <c r="BN285" t="s">
        <v>298</v>
      </c>
      <c r="BO285" t="s">
        <v>293</v>
      </c>
      <c r="BP285" t="s">
        <v>292</v>
      </c>
      <c r="BQ285" t="s">
        <v>293</v>
      </c>
      <c r="BR285" t="s">
        <v>293</v>
      </c>
      <c r="BS285" t="s">
        <v>364</v>
      </c>
      <c r="BT285" t="s">
        <v>304</v>
      </c>
      <c r="BU285" t="s">
        <v>371</v>
      </c>
      <c r="BV285" t="s">
        <v>371</v>
      </c>
      <c r="BW285" t="s">
        <v>2728</v>
      </c>
      <c r="BX285" t="str">
        <f>IF(J285="win",VLOOKUP(B285,ColorScheme!$A$2:$I$32,4,0),VLOOKUP(B285,ColorScheme!$A$2:$I$32,5,0))</f>
        <v>#65002150</v>
      </c>
    </row>
    <row r="286" spans="1:76" x14ac:dyDescent="0.3">
      <c r="A286" t="s">
        <v>9</v>
      </c>
      <c r="B286" t="s">
        <v>55</v>
      </c>
      <c r="C286" t="s">
        <v>11</v>
      </c>
      <c r="D286" t="s">
        <v>12</v>
      </c>
      <c r="E286" t="s">
        <v>988</v>
      </c>
      <c r="F286" t="b">
        <v>1</v>
      </c>
      <c r="G286">
        <v>100</v>
      </c>
      <c r="H286">
        <v>1</v>
      </c>
      <c r="I286">
        <v>10938</v>
      </c>
      <c r="J286" s="61" t="s">
        <v>18</v>
      </c>
      <c r="K286" s="16" t="s">
        <v>272</v>
      </c>
      <c r="L286" s="16">
        <v>3</v>
      </c>
      <c r="M286" s="16" t="s">
        <v>277</v>
      </c>
      <c r="N286" s="16" t="s">
        <v>335</v>
      </c>
      <c r="O286" s="15" t="s">
        <v>281</v>
      </c>
      <c r="P286" t="s">
        <v>284</v>
      </c>
      <c r="Q286" t="s">
        <v>283</v>
      </c>
      <c r="R286" s="17" t="s">
        <v>282</v>
      </c>
      <c r="S286" s="17">
        <v>1</v>
      </c>
      <c r="T286" s="17">
        <v>1</v>
      </c>
      <c r="U286" s="17">
        <v>1</v>
      </c>
      <c r="V286" s="17">
        <v>1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0</v>
      </c>
      <c r="AC286" s="17" t="s">
        <v>704</v>
      </c>
      <c r="AD286" s="16" t="s">
        <v>341</v>
      </c>
      <c r="AE286" s="16" t="s">
        <v>340</v>
      </c>
      <c r="AF286" s="15" t="s">
        <v>343</v>
      </c>
      <c r="AG286" s="15" t="s">
        <v>347</v>
      </c>
      <c r="AH286" s="17" t="s">
        <v>371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 t="s">
        <v>704</v>
      </c>
      <c r="AR286" t="s">
        <v>349</v>
      </c>
      <c r="AS286" t="s">
        <v>349</v>
      </c>
      <c r="AT286">
        <v>1</v>
      </c>
      <c r="AU286">
        <v>0</v>
      </c>
      <c r="AV286">
        <v>0</v>
      </c>
      <c r="AW286" t="s">
        <v>704</v>
      </c>
      <c r="AX286" t="s">
        <v>1285</v>
      </c>
      <c r="AY286" t="s">
        <v>293</v>
      </c>
      <c r="AZ286" t="s">
        <v>352</v>
      </c>
      <c r="BA286" t="s">
        <v>297</v>
      </c>
      <c r="BB286" t="s">
        <v>301</v>
      </c>
      <c r="BC286" t="s">
        <v>292</v>
      </c>
      <c r="BD286" t="s">
        <v>293</v>
      </c>
      <c r="BE286" t="s">
        <v>292</v>
      </c>
      <c r="BF286" t="s">
        <v>293</v>
      </c>
      <c r="BG286" t="s">
        <v>293</v>
      </c>
      <c r="BH286" t="s">
        <v>302</v>
      </c>
      <c r="BI286" t="s">
        <v>302</v>
      </c>
      <c r="BJ286" t="s">
        <v>302</v>
      </c>
      <c r="BK286" t="s">
        <v>293</v>
      </c>
      <c r="BL286" t="s">
        <v>293</v>
      </c>
      <c r="BM286" t="s">
        <v>297</v>
      </c>
      <c r="BN286" t="s">
        <v>298</v>
      </c>
      <c r="BO286" t="s">
        <v>293</v>
      </c>
      <c r="BP286" t="s">
        <v>292</v>
      </c>
      <c r="BQ286" t="s">
        <v>293</v>
      </c>
      <c r="BR286" t="s">
        <v>293</v>
      </c>
      <c r="BS286" t="s">
        <v>364</v>
      </c>
      <c r="BT286" t="s">
        <v>304</v>
      </c>
      <c r="BU286" t="s">
        <v>371</v>
      </c>
      <c r="BV286" t="s">
        <v>371</v>
      </c>
      <c r="BW286" t="s">
        <v>2729</v>
      </c>
      <c r="BX286" t="str">
        <f>IF(J286="win",VLOOKUP(B286,ColorScheme!$A$2:$I$32,4,0),VLOOKUP(B286,ColorScheme!$A$2:$I$32,5,0))</f>
        <v>#65002150</v>
      </c>
    </row>
    <row r="287" spans="1:76" x14ac:dyDescent="0.3">
      <c r="A287" t="s">
        <v>9</v>
      </c>
      <c r="B287" t="s">
        <v>55</v>
      </c>
      <c r="C287" t="s">
        <v>19</v>
      </c>
      <c r="D287" t="s">
        <v>29</v>
      </c>
      <c r="E287" t="s">
        <v>989</v>
      </c>
      <c r="F287" t="b">
        <v>1</v>
      </c>
      <c r="G287">
        <v>100</v>
      </c>
      <c r="H287">
        <v>1</v>
      </c>
      <c r="I287">
        <v>8280</v>
      </c>
      <c r="J287" s="61" t="s">
        <v>18</v>
      </c>
      <c r="K287" s="16" t="s">
        <v>272</v>
      </c>
      <c r="L287" s="16">
        <v>3</v>
      </c>
      <c r="M287" s="16" t="s">
        <v>277</v>
      </c>
      <c r="N287" s="16" t="s">
        <v>335</v>
      </c>
      <c r="O287" s="15" t="s">
        <v>339</v>
      </c>
      <c r="P287" t="s">
        <v>283</v>
      </c>
      <c r="Q287" t="s">
        <v>284</v>
      </c>
      <c r="R287" s="17" t="s">
        <v>371</v>
      </c>
      <c r="S287" s="17">
        <v>0</v>
      </c>
      <c r="T287" s="17">
        <v>0</v>
      </c>
      <c r="U287" s="17">
        <v>1</v>
      </c>
      <c r="V287" s="17">
        <v>1</v>
      </c>
      <c r="W287" s="17">
        <v>0</v>
      </c>
      <c r="X287" s="17">
        <v>0</v>
      </c>
      <c r="Y287" s="17">
        <v>0</v>
      </c>
      <c r="Z287" s="17">
        <v>0</v>
      </c>
      <c r="AA287" s="17">
        <v>1</v>
      </c>
      <c r="AB287" s="17">
        <v>0</v>
      </c>
      <c r="AC287" s="17" t="s">
        <v>704</v>
      </c>
      <c r="AD287" s="16" t="s">
        <v>341</v>
      </c>
      <c r="AE287" s="16" t="s">
        <v>340</v>
      </c>
      <c r="AF287" s="15" t="s">
        <v>340</v>
      </c>
      <c r="AG287" s="15" t="s">
        <v>345</v>
      </c>
      <c r="AH287" s="17" t="s">
        <v>291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 t="s">
        <v>704</v>
      </c>
      <c r="AR287" t="s">
        <v>349</v>
      </c>
      <c r="AS287" t="s">
        <v>349</v>
      </c>
      <c r="AT287">
        <v>1</v>
      </c>
      <c r="AU287">
        <v>0</v>
      </c>
      <c r="AV287">
        <v>0</v>
      </c>
      <c r="AW287" t="s">
        <v>704</v>
      </c>
      <c r="AX287" t="s">
        <v>1286</v>
      </c>
      <c r="AY287" t="s">
        <v>293</v>
      </c>
      <c r="AZ287" t="s">
        <v>352</v>
      </c>
      <c r="BA287" t="s">
        <v>298</v>
      </c>
      <c r="BB287" t="s">
        <v>300</v>
      </c>
      <c r="BC287" t="s">
        <v>292</v>
      </c>
      <c r="BD287" t="s">
        <v>293</v>
      </c>
      <c r="BE287" t="s">
        <v>292</v>
      </c>
      <c r="BF287" t="s">
        <v>293</v>
      </c>
      <c r="BG287" t="s">
        <v>293</v>
      </c>
      <c r="BH287" t="s">
        <v>302</v>
      </c>
      <c r="BI287" t="s">
        <v>302</v>
      </c>
      <c r="BJ287" t="s">
        <v>358</v>
      </c>
      <c r="BK287" t="s">
        <v>293</v>
      </c>
      <c r="BL287" t="s">
        <v>293</v>
      </c>
      <c r="BM287" t="s">
        <v>297</v>
      </c>
      <c r="BN287" t="s">
        <v>298</v>
      </c>
      <c r="BO287" t="s">
        <v>293</v>
      </c>
      <c r="BP287" t="s">
        <v>292</v>
      </c>
      <c r="BQ287" t="s">
        <v>293</v>
      </c>
      <c r="BR287" t="s">
        <v>293</v>
      </c>
      <c r="BS287" t="s">
        <v>364</v>
      </c>
      <c r="BT287" t="s">
        <v>304</v>
      </c>
      <c r="BU287" t="s">
        <v>371</v>
      </c>
      <c r="BV287" t="s">
        <v>371</v>
      </c>
      <c r="BW287" t="s">
        <v>2730</v>
      </c>
      <c r="BX287" t="str">
        <f>IF(J287="win",VLOOKUP(B287,ColorScheme!$A$2:$I$32,4,0),VLOOKUP(B287,ColorScheme!$A$2:$I$32,5,0))</f>
        <v>#65002150</v>
      </c>
    </row>
    <row r="288" spans="1:76" x14ac:dyDescent="0.3">
      <c r="A288" t="s">
        <v>9</v>
      </c>
      <c r="B288" t="s">
        <v>55</v>
      </c>
      <c r="C288" t="s">
        <v>17</v>
      </c>
      <c r="D288" t="s">
        <v>29</v>
      </c>
      <c r="E288" t="s">
        <v>990</v>
      </c>
      <c r="F288" t="b">
        <v>1</v>
      </c>
      <c r="G288">
        <v>100</v>
      </c>
      <c r="H288">
        <v>1</v>
      </c>
      <c r="I288">
        <v>9244</v>
      </c>
      <c r="J288" s="61" t="s">
        <v>18</v>
      </c>
      <c r="K288" s="16" t="s">
        <v>272</v>
      </c>
      <c r="L288" s="16">
        <v>2</v>
      </c>
      <c r="M288" s="16" t="s">
        <v>277</v>
      </c>
      <c r="N288" s="16" t="s">
        <v>335</v>
      </c>
      <c r="O288" s="15" t="s">
        <v>281</v>
      </c>
      <c r="P288" t="s">
        <v>283</v>
      </c>
      <c r="Q288" t="s">
        <v>284</v>
      </c>
      <c r="R288" s="17" t="s">
        <v>371</v>
      </c>
      <c r="S288" s="17">
        <v>1</v>
      </c>
      <c r="T288" s="17">
        <v>0</v>
      </c>
      <c r="U288" s="17">
        <v>1</v>
      </c>
      <c r="V288" s="17">
        <v>1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 t="s">
        <v>704</v>
      </c>
      <c r="AD288" s="16" t="s">
        <v>341</v>
      </c>
      <c r="AE288" s="16" t="s">
        <v>340</v>
      </c>
      <c r="AF288" s="15" t="s">
        <v>340</v>
      </c>
      <c r="AG288" s="15" t="s">
        <v>345</v>
      </c>
      <c r="AH288" s="17" t="s">
        <v>371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704</v>
      </c>
      <c r="AR288" t="s">
        <v>349</v>
      </c>
      <c r="AS288" t="s">
        <v>349</v>
      </c>
      <c r="AT288">
        <v>1</v>
      </c>
      <c r="AU288">
        <v>0</v>
      </c>
      <c r="AV288">
        <v>0</v>
      </c>
      <c r="AW288" t="s">
        <v>704</v>
      </c>
      <c r="AX288" t="s">
        <v>1287</v>
      </c>
      <c r="AY288" t="s">
        <v>293</v>
      </c>
      <c r="AZ288" t="s">
        <v>354</v>
      </c>
      <c r="BA288" t="s">
        <v>354</v>
      </c>
      <c r="BB288" t="s">
        <v>300</v>
      </c>
      <c r="BC288" t="s">
        <v>292</v>
      </c>
      <c r="BD288" t="s">
        <v>293</v>
      </c>
      <c r="BE288" t="s">
        <v>292</v>
      </c>
      <c r="BF288" t="s">
        <v>293</v>
      </c>
      <c r="BG288" t="s">
        <v>293</v>
      </c>
      <c r="BH288" t="s">
        <v>302</v>
      </c>
      <c r="BI288" t="s">
        <v>302</v>
      </c>
      <c r="BJ288" t="s">
        <v>357</v>
      </c>
      <c r="BK288" t="s">
        <v>293</v>
      </c>
      <c r="BL288" t="s">
        <v>293</v>
      </c>
      <c r="BM288" t="s">
        <v>297</v>
      </c>
      <c r="BN288" t="s">
        <v>298</v>
      </c>
      <c r="BO288" t="s">
        <v>293</v>
      </c>
      <c r="BP288" t="s">
        <v>292</v>
      </c>
      <c r="BQ288" t="s">
        <v>293</v>
      </c>
      <c r="BR288" t="s">
        <v>293</v>
      </c>
      <c r="BS288" t="s">
        <v>364</v>
      </c>
      <c r="BT288" t="s">
        <v>304</v>
      </c>
      <c r="BU288" t="s">
        <v>371</v>
      </c>
      <c r="BV288" t="s">
        <v>371</v>
      </c>
      <c r="BW288" t="s">
        <v>2731</v>
      </c>
      <c r="BX288" t="str">
        <f>IF(J288="win",VLOOKUP(B288,ColorScheme!$A$2:$I$32,4,0),VLOOKUP(B288,ColorScheme!$A$2:$I$32,5,0))</f>
        <v>#65002150</v>
      </c>
    </row>
    <row r="289" spans="1:76" x14ac:dyDescent="0.3">
      <c r="A289" t="s">
        <v>9</v>
      </c>
      <c r="B289" t="s">
        <v>55</v>
      </c>
      <c r="C289" t="s">
        <v>16</v>
      </c>
      <c r="D289" t="s">
        <v>29</v>
      </c>
      <c r="E289" t="s">
        <v>991</v>
      </c>
      <c r="F289" t="b">
        <v>1</v>
      </c>
      <c r="G289">
        <v>100</v>
      </c>
      <c r="H289">
        <v>1</v>
      </c>
      <c r="I289">
        <v>8935</v>
      </c>
      <c r="J289" s="61" t="s">
        <v>18</v>
      </c>
      <c r="K289" s="16" t="s">
        <v>272</v>
      </c>
      <c r="L289" s="16">
        <v>3</v>
      </c>
      <c r="M289" s="16" t="s">
        <v>277</v>
      </c>
      <c r="N289" s="16" t="s">
        <v>335</v>
      </c>
      <c r="O289" s="15" t="s">
        <v>281</v>
      </c>
      <c r="P289" t="s">
        <v>283</v>
      </c>
      <c r="Q289" t="s">
        <v>284</v>
      </c>
      <c r="R289" s="17" t="s">
        <v>371</v>
      </c>
      <c r="S289" s="17">
        <v>1</v>
      </c>
      <c r="T289" s="17">
        <v>0</v>
      </c>
      <c r="U289" s="17">
        <v>1</v>
      </c>
      <c r="V289" s="17">
        <v>1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 t="s">
        <v>704</v>
      </c>
      <c r="AD289" s="16" t="s">
        <v>341</v>
      </c>
      <c r="AE289" s="16" t="s">
        <v>340</v>
      </c>
      <c r="AF289" s="15" t="s">
        <v>340</v>
      </c>
      <c r="AG289" s="15" t="s">
        <v>345</v>
      </c>
      <c r="AH289" s="17" t="s">
        <v>371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704</v>
      </c>
      <c r="AR289" t="s">
        <v>349</v>
      </c>
      <c r="AS289" t="s">
        <v>349</v>
      </c>
      <c r="AT289">
        <v>1</v>
      </c>
      <c r="AU289">
        <v>0</v>
      </c>
      <c r="AV289">
        <v>0</v>
      </c>
      <c r="AW289" t="s">
        <v>704</v>
      </c>
      <c r="AX289" t="s">
        <v>1287</v>
      </c>
      <c r="AY289" t="s">
        <v>293</v>
      </c>
      <c r="AZ289" t="s">
        <v>354</v>
      </c>
      <c r="BA289" t="s">
        <v>354</v>
      </c>
      <c r="BB289" t="s">
        <v>300</v>
      </c>
      <c r="BC289" t="s">
        <v>292</v>
      </c>
      <c r="BD289" t="s">
        <v>293</v>
      </c>
      <c r="BE289" t="s">
        <v>292</v>
      </c>
      <c r="BF289" t="s">
        <v>293</v>
      </c>
      <c r="BG289" t="s">
        <v>293</v>
      </c>
      <c r="BH289" t="s">
        <v>302</v>
      </c>
      <c r="BI289" t="s">
        <v>302</v>
      </c>
      <c r="BJ289" t="s">
        <v>357</v>
      </c>
      <c r="BK289" t="s">
        <v>293</v>
      </c>
      <c r="BL289" t="s">
        <v>293</v>
      </c>
      <c r="BM289" t="s">
        <v>297</v>
      </c>
      <c r="BN289" t="s">
        <v>298</v>
      </c>
      <c r="BO289" t="s">
        <v>293</v>
      </c>
      <c r="BP289" t="s">
        <v>292</v>
      </c>
      <c r="BQ289" t="s">
        <v>293</v>
      </c>
      <c r="BR289" t="s">
        <v>293</v>
      </c>
      <c r="BS289" t="s">
        <v>364</v>
      </c>
      <c r="BT289" t="s">
        <v>304</v>
      </c>
      <c r="BU289" t="s">
        <v>371</v>
      </c>
      <c r="BV289" t="s">
        <v>371</v>
      </c>
      <c r="BW289" t="s">
        <v>2732</v>
      </c>
      <c r="BX289" t="str">
        <f>IF(J289="win",VLOOKUP(B289,ColorScheme!$A$2:$I$32,4,0),VLOOKUP(B289,ColorScheme!$A$2:$I$32,5,0))</f>
        <v>#65002150</v>
      </c>
    </row>
    <row r="290" spans="1:76" x14ac:dyDescent="0.3">
      <c r="A290" t="s">
        <v>43</v>
      </c>
      <c r="B290" t="s">
        <v>54</v>
      </c>
      <c r="C290" t="s">
        <v>15</v>
      </c>
      <c r="D290" t="s">
        <v>12</v>
      </c>
      <c r="E290" t="s">
        <v>992</v>
      </c>
      <c r="F290" t="b">
        <v>1</v>
      </c>
      <c r="G290">
        <v>85.9</v>
      </c>
      <c r="H290">
        <v>0</v>
      </c>
      <c r="I290">
        <v>9624</v>
      </c>
      <c r="J290" s="61" t="s">
        <v>13</v>
      </c>
      <c r="K290" s="16" t="s">
        <v>272</v>
      </c>
      <c r="L290" s="16">
        <v>3</v>
      </c>
      <c r="M290" s="16" t="s">
        <v>277</v>
      </c>
      <c r="N290" s="16" t="s">
        <v>335</v>
      </c>
      <c r="O290" s="15" t="s">
        <v>281</v>
      </c>
      <c r="P290" t="s">
        <v>285</v>
      </c>
      <c r="Q290" t="s">
        <v>282</v>
      </c>
      <c r="R290" s="17" t="s">
        <v>371</v>
      </c>
      <c r="S290" s="17">
        <v>1</v>
      </c>
      <c r="T290" s="17">
        <v>1</v>
      </c>
      <c r="U290" s="17">
        <v>0</v>
      </c>
      <c r="V290" s="17">
        <v>0</v>
      </c>
      <c r="W290" s="17">
        <v>0</v>
      </c>
      <c r="X290" s="17">
        <v>1</v>
      </c>
      <c r="Y290" s="17">
        <v>0</v>
      </c>
      <c r="Z290" s="17">
        <v>0</v>
      </c>
      <c r="AA290" s="17">
        <v>0</v>
      </c>
      <c r="AB290" s="17">
        <v>0</v>
      </c>
      <c r="AC290" s="17" t="s">
        <v>704</v>
      </c>
      <c r="AD290" s="16" t="s">
        <v>341</v>
      </c>
      <c r="AE290" s="16" t="s">
        <v>340</v>
      </c>
      <c r="AF290" s="15" t="s">
        <v>343</v>
      </c>
      <c r="AG290" s="15" t="s">
        <v>344</v>
      </c>
      <c r="AH290" s="17" t="s">
        <v>345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704</v>
      </c>
      <c r="AR290" t="s">
        <v>349</v>
      </c>
      <c r="AS290" t="s">
        <v>349</v>
      </c>
      <c r="AT290">
        <v>1</v>
      </c>
      <c r="AU290">
        <v>0</v>
      </c>
      <c r="AV290">
        <v>0</v>
      </c>
      <c r="AW290" t="s">
        <v>704</v>
      </c>
      <c r="AX290" t="s">
        <v>1288</v>
      </c>
      <c r="AY290" t="s">
        <v>293</v>
      </c>
      <c r="AZ290" t="s">
        <v>353</v>
      </c>
      <c r="BA290" t="s">
        <v>297</v>
      </c>
      <c r="BB290" t="s">
        <v>300</v>
      </c>
      <c r="BC290" t="s">
        <v>292</v>
      </c>
      <c r="BD290" t="s">
        <v>293</v>
      </c>
      <c r="BE290" t="s">
        <v>292</v>
      </c>
      <c r="BF290" t="s">
        <v>293</v>
      </c>
      <c r="BG290" t="s">
        <v>293</v>
      </c>
      <c r="BH290" t="s">
        <v>302</v>
      </c>
      <c r="BI290" t="s">
        <v>302</v>
      </c>
      <c r="BJ290" t="s">
        <v>359</v>
      </c>
      <c r="BK290" t="s">
        <v>293</v>
      </c>
      <c r="BL290" t="s">
        <v>293</v>
      </c>
      <c r="BM290" t="s">
        <v>297</v>
      </c>
      <c r="BN290" t="s">
        <v>298</v>
      </c>
      <c r="BO290" t="s">
        <v>293</v>
      </c>
      <c r="BP290" t="s">
        <v>292</v>
      </c>
      <c r="BQ290" t="s">
        <v>293</v>
      </c>
      <c r="BR290" t="s">
        <v>293</v>
      </c>
      <c r="BS290" t="s">
        <v>364</v>
      </c>
      <c r="BT290" t="s">
        <v>366</v>
      </c>
      <c r="BU290" t="s">
        <v>371</v>
      </c>
      <c r="BV290" t="s">
        <v>371</v>
      </c>
      <c r="BW290" t="s">
        <v>2733</v>
      </c>
      <c r="BX290" t="str">
        <f>IF(J290="win",VLOOKUP(B290,ColorScheme!$A$2:$I$32,4,0),VLOOKUP(B290,ColorScheme!$A$2:$I$32,5,0))</f>
        <v>#6e750e</v>
      </c>
    </row>
    <row r="291" spans="1:76" x14ac:dyDescent="0.3">
      <c r="A291" t="s">
        <v>43</v>
      </c>
      <c r="B291" t="s">
        <v>54</v>
      </c>
      <c r="C291" t="s">
        <v>14</v>
      </c>
      <c r="D291" t="s">
        <v>12</v>
      </c>
      <c r="E291" t="s">
        <v>993</v>
      </c>
      <c r="F291" t="b">
        <v>1</v>
      </c>
      <c r="G291">
        <v>83.8</v>
      </c>
      <c r="H291">
        <v>0</v>
      </c>
      <c r="I291">
        <v>9985</v>
      </c>
      <c r="J291" s="61" t="s">
        <v>13</v>
      </c>
      <c r="K291" s="16" t="s">
        <v>272</v>
      </c>
      <c r="L291" s="16">
        <v>3</v>
      </c>
      <c r="M291" s="16" t="s">
        <v>277</v>
      </c>
      <c r="N291" s="16" t="s">
        <v>335</v>
      </c>
      <c r="O291" s="15" t="s">
        <v>281</v>
      </c>
      <c r="P291" t="s">
        <v>285</v>
      </c>
      <c r="Q291" t="s">
        <v>282</v>
      </c>
      <c r="R291" s="17" t="s">
        <v>371</v>
      </c>
      <c r="S291" s="17">
        <v>1</v>
      </c>
      <c r="T291" s="17">
        <v>1</v>
      </c>
      <c r="U291" s="17">
        <v>0</v>
      </c>
      <c r="V291" s="17">
        <v>0</v>
      </c>
      <c r="W291" s="17">
        <v>0</v>
      </c>
      <c r="X291" s="17">
        <v>1</v>
      </c>
      <c r="Y291" s="17">
        <v>0</v>
      </c>
      <c r="Z291" s="17">
        <v>0</v>
      </c>
      <c r="AA291" s="17">
        <v>0</v>
      </c>
      <c r="AB291" s="17">
        <v>0</v>
      </c>
      <c r="AC291" s="17" t="s">
        <v>704</v>
      </c>
      <c r="AD291" s="16" t="s">
        <v>341</v>
      </c>
      <c r="AE291" s="16" t="s">
        <v>340</v>
      </c>
      <c r="AF291" s="15" t="s">
        <v>343</v>
      </c>
      <c r="AG291" s="15" t="s">
        <v>344</v>
      </c>
      <c r="AH291" s="17" t="s">
        <v>345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704</v>
      </c>
      <c r="AR291" t="s">
        <v>349</v>
      </c>
      <c r="AS291" t="s">
        <v>349</v>
      </c>
      <c r="AT291">
        <v>1</v>
      </c>
      <c r="AU291">
        <v>0</v>
      </c>
      <c r="AV291">
        <v>0</v>
      </c>
      <c r="AW291" t="s">
        <v>704</v>
      </c>
      <c r="AX291" t="s">
        <v>1288</v>
      </c>
      <c r="AY291" t="s">
        <v>293</v>
      </c>
      <c r="AZ291" t="s">
        <v>353</v>
      </c>
      <c r="BA291" t="s">
        <v>297</v>
      </c>
      <c r="BB291" t="s">
        <v>301</v>
      </c>
      <c r="BC291" t="s">
        <v>292</v>
      </c>
      <c r="BD291" t="s">
        <v>293</v>
      </c>
      <c r="BE291" t="s">
        <v>292</v>
      </c>
      <c r="BF291" t="s">
        <v>293</v>
      </c>
      <c r="BG291" t="s">
        <v>293</v>
      </c>
      <c r="BH291" t="s">
        <v>302</v>
      </c>
      <c r="BI291" t="s">
        <v>302</v>
      </c>
      <c r="BJ291" t="s">
        <v>359</v>
      </c>
      <c r="BK291" t="s">
        <v>293</v>
      </c>
      <c r="BL291" t="s">
        <v>293</v>
      </c>
      <c r="BM291" t="s">
        <v>297</v>
      </c>
      <c r="BN291" t="s">
        <v>298</v>
      </c>
      <c r="BO291" t="s">
        <v>293</v>
      </c>
      <c r="BP291" t="s">
        <v>292</v>
      </c>
      <c r="BQ291" t="s">
        <v>293</v>
      </c>
      <c r="BR291" t="s">
        <v>293</v>
      </c>
      <c r="BS291" t="s">
        <v>364</v>
      </c>
      <c r="BT291" t="s">
        <v>366</v>
      </c>
      <c r="BU291" t="s">
        <v>371</v>
      </c>
      <c r="BV291" t="s">
        <v>371</v>
      </c>
      <c r="BW291" t="s">
        <v>2734</v>
      </c>
      <c r="BX291" t="str">
        <f>IF(J291="win",VLOOKUP(B291,ColorScheme!$A$2:$I$32,4,0),VLOOKUP(B291,ColorScheme!$A$2:$I$32,5,0))</f>
        <v>#6e750e</v>
      </c>
    </row>
    <row r="292" spans="1:76" x14ac:dyDescent="0.3">
      <c r="A292" t="s">
        <v>43</v>
      </c>
      <c r="B292" t="s">
        <v>54</v>
      </c>
      <c r="C292" t="s">
        <v>11</v>
      </c>
      <c r="D292" t="s">
        <v>12</v>
      </c>
      <c r="E292" t="s">
        <v>994</v>
      </c>
      <c r="F292" t="b">
        <v>1</v>
      </c>
      <c r="G292">
        <v>78.2</v>
      </c>
      <c r="H292">
        <v>0</v>
      </c>
      <c r="I292">
        <v>11824</v>
      </c>
      <c r="J292" s="61" t="s">
        <v>13</v>
      </c>
      <c r="K292" s="16" t="s">
        <v>272</v>
      </c>
      <c r="L292" s="16">
        <v>3</v>
      </c>
      <c r="M292" s="16" t="s">
        <v>277</v>
      </c>
      <c r="N292" s="16" t="s">
        <v>335</v>
      </c>
      <c r="O292" s="15" t="s">
        <v>281</v>
      </c>
      <c r="P292" t="s">
        <v>285</v>
      </c>
      <c r="Q292" t="s">
        <v>282</v>
      </c>
      <c r="R292" s="17" t="s">
        <v>371</v>
      </c>
      <c r="S292" s="17">
        <v>1</v>
      </c>
      <c r="T292" s="17">
        <v>1</v>
      </c>
      <c r="U292" s="17">
        <v>0</v>
      </c>
      <c r="V292" s="17">
        <v>0</v>
      </c>
      <c r="W292" s="17">
        <v>0</v>
      </c>
      <c r="X292" s="17">
        <v>1</v>
      </c>
      <c r="Y292" s="17">
        <v>0</v>
      </c>
      <c r="Z292" s="17">
        <v>0</v>
      </c>
      <c r="AA292" s="17">
        <v>0</v>
      </c>
      <c r="AB292" s="17">
        <v>0</v>
      </c>
      <c r="AC292" s="17" t="s">
        <v>704</v>
      </c>
      <c r="AD292" s="16" t="s">
        <v>341</v>
      </c>
      <c r="AE292" s="16" t="s">
        <v>340</v>
      </c>
      <c r="AF292" s="15" t="s">
        <v>343</v>
      </c>
      <c r="AG292" s="15" t="s">
        <v>344</v>
      </c>
      <c r="AH292" s="17" t="s">
        <v>345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704</v>
      </c>
      <c r="AR292" t="s">
        <v>349</v>
      </c>
      <c r="AS292" t="s">
        <v>349</v>
      </c>
      <c r="AT292">
        <v>1</v>
      </c>
      <c r="AU292">
        <v>0</v>
      </c>
      <c r="AV292">
        <v>0</v>
      </c>
      <c r="AW292" t="s">
        <v>704</v>
      </c>
      <c r="AX292" t="s">
        <v>1288</v>
      </c>
      <c r="AY292" t="s">
        <v>292</v>
      </c>
      <c r="AZ292" t="s">
        <v>353</v>
      </c>
      <c r="BA292" t="s">
        <v>355</v>
      </c>
      <c r="BB292" t="s">
        <v>301</v>
      </c>
      <c r="BC292" t="s">
        <v>292</v>
      </c>
      <c r="BD292" t="s">
        <v>292</v>
      </c>
      <c r="BE292" t="s">
        <v>292</v>
      </c>
      <c r="BF292" t="s">
        <v>293</v>
      </c>
      <c r="BG292" t="s">
        <v>293</v>
      </c>
      <c r="BH292" t="s">
        <v>302</v>
      </c>
      <c r="BI292" t="s">
        <v>302</v>
      </c>
      <c r="BJ292" t="s">
        <v>302</v>
      </c>
      <c r="BK292" t="s">
        <v>293</v>
      </c>
      <c r="BL292" t="s">
        <v>293</v>
      </c>
      <c r="BM292" t="s">
        <v>297</v>
      </c>
      <c r="BN292" t="s">
        <v>298</v>
      </c>
      <c r="BO292" t="s">
        <v>293</v>
      </c>
      <c r="BP292" t="s">
        <v>292</v>
      </c>
      <c r="BQ292" t="s">
        <v>293</v>
      </c>
      <c r="BR292" t="s">
        <v>293</v>
      </c>
      <c r="BS292" t="s">
        <v>364</v>
      </c>
      <c r="BT292" t="s">
        <v>366</v>
      </c>
      <c r="BU292" t="s">
        <v>371</v>
      </c>
      <c r="BV292" t="s">
        <v>371</v>
      </c>
      <c r="BW292" t="s">
        <v>2735</v>
      </c>
      <c r="BX292" t="str">
        <f>IF(J292="win",VLOOKUP(B292,ColorScheme!$A$2:$I$32,4,0),VLOOKUP(B292,ColorScheme!$A$2:$I$32,5,0))</f>
        <v>#6e750e</v>
      </c>
    </row>
    <row r="293" spans="1:76" x14ac:dyDescent="0.3">
      <c r="A293" t="s">
        <v>43</v>
      </c>
      <c r="B293" t="s">
        <v>54</v>
      </c>
      <c r="C293" t="s">
        <v>19</v>
      </c>
      <c r="D293" t="s">
        <v>12</v>
      </c>
      <c r="E293" t="s">
        <v>995</v>
      </c>
      <c r="F293" t="b">
        <v>1</v>
      </c>
      <c r="G293">
        <v>99.7</v>
      </c>
      <c r="H293">
        <v>0</v>
      </c>
      <c r="I293">
        <v>8565</v>
      </c>
      <c r="J293" s="61" t="s">
        <v>13</v>
      </c>
      <c r="K293" s="16" t="s">
        <v>272</v>
      </c>
      <c r="L293" s="16">
        <v>3</v>
      </c>
      <c r="M293" s="16" t="s">
        <v>277</v>
      </c>
      <c r="N293" s="16" t="s">
        <v>335</v>
      </c>
      <c r="O293" s="15" t="s">
        <v>281</v>
      </c>
      <c r="P293" t="s">
        <v>285</v>
      </c>
      <c r="Q293" t="s">
        <v>282</v>
      </c>
      <c r="R293" s="17" t="s">
        <v>371</v>
      </c>
      <c r="S293" s="17">
        <v>1</v>
      </c>
      <c r="T293" s="17">
        <v>1</v>
      </c>
      <c r="U293" s="17">
        <v>0</v>
      </c>
      <c r="V293" s="17">
        <v>0</v>
      </c>
      <c r="W293" s="17">
        <v>0</v>
      </c>
      <c r="X293" s="17">
        <v>1</v>
      </c>
      <c r="Y293" s="17">
        <v>0</v>
      </c>
      <c r="Z293" s="17">
        <v>0</v>
      </c>
      <c r="AA293" s="17">
        <v>0</v>
      </c>
      <c r="AB293" s="17">
        <v>0</v>
      </c>
      <c r="AC293" s="17" t="s">
        <v>704</v>
      </c>
      <c r="AD293" s="16" t="s">
        <v>341</v>
      </c>
      <c r="AE293" s="16" t="s">
        <v>340</v>
      </c>
      <c r="AF293" s="15" t="s">
        <v>343</v>
      </c>
      <c r="AG293" s="15" t="s">
        <v>344</v>
      </c>
      <c r="AH293" s="17" t="s">
        <v>345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704</v>
      </c>
      <c r="AR293" t="s">
        <v>349</v>
      </c>
      <c r="AS293" t="s">
        <v>349</v>
      </c>
      <c r="AT293">
        <v>1</v>
      </c>
      <c r="AU293">
        <v>0</v>
      </c>
      <c r="AV293">
        <v>0</v>
      </c>
      <c r="AW293" t="s">
        <v>704</v>
      </c>
      <c r="AX293" t="s">
        <v>1288</v>
      </c>
      <c r="AY293" t="s">
        <v>293</v>
      </c>
      <c r="AZ293" t="s">
        <v>353</v>
      </c>
      <c r="BA293" t="s">
        <v>297</v>
      </c>
      <c r="BB293" t="s">
        <v>299</v>
      </c>
      <c r="BC293" t="s">
        <v>292</v>
      </c>
      <c r="BD293" t="s">
        <v>293</v>
      </c>
      <c r="BE293" t="s">
        <v>292</v>
      </c>
      <c r="BF293" t="s">
        <v>293</v>
      </c>
      <c r="BG293" t="s">
        <v>293</v>
      </c>
      <c r="BH293" t="s">
        <v>302</v>
      </c>
      <c r="BI293" t="s">
        <v>302</v>
      </c>
      <c r="BJ293" t="s">
        <v>359</v>
      </c>
      <c r="BK293" t="s">
        <v>293</v>
      </c>
      <c r="BL293" t="s">
        <v>293</v>
      </c>
      <c r="BM293" t="s">
        <v>297</v>
      </c>
      <c r="BN293" t="s">
        <v>298</v>
      </c>
      <c r="BO293" t="s">
        <v>293</v>
      </c>
      <c r="BP293" t="s">
        <v>292</v>
      </c>
      <c r="BQ293" t="s">
        <v>293</v>
      </c>
      <c r="BR293" t="s">
        <v>293</v>
      </c>
      <c r="BS293" t="s">
        <v>364</v>
      </c>
      <c r="BT293" t="s">
        <v>366</v>
      </c>
      <c r="BU293" t="s">
        <v>371</v>
      </c>
      <c r="BV293" t="s">
        <v>371</v>
      </c>
      <c r="BW293" t="s">
        <v>2736</v>
      </c>
      <c r="BX293" t="str">
        <f>IF(J293="win",VLOOKUP(B293,ColorScheme!$A$2:$I$32,4,0),VLOOKUP(B293,ColorScheme!$A$2:$I$32,5,0))</f>
        <v>#6e750e</v>
      </c>
    </row>
    <row r="294" spans="1:76" x14ac:dyDescent="0.3">
      <c r="A294" t="s">
        <v>43</v>
      </c>
      <c r="B294" t="s">
        <v>54</v>
      </c>
      <c r="C294" t="s">
        <v>17</v>
      </c>
      <c r="D294" t="s">
        <v>12</v>
      </c>
      <c r="E294" t="s">
        <v>996</v>
      </c>
      <c r="F294" t="b">
        <v>1</v>
      </c>
      <c r="G294">
        <v>91.4</v>
      </c>
      <c r="H294">
        <v>0</v>
      </c>
      <c r="I294">
        <v>8948</v>
      </c>
      <c r="J294" s="61" t="s">
        <v>13</v>
      </c>
      <c r="K294" s="16" t="s">
        <v>272</v>
      </c>
      <c r="L294" s="16">
        <v>3</v>
      </c>
      <c r="M294" s="16" t="s">
        <v>277</v>
      </c>
      <c r="N294" s="16" t="s">
        <v>335</v>
      </c>
      <c r="O294" s="15" t="s">
        <v>281</v>
      </c>
      <c r="P294" t="s">
        <v>285</v>
      </c>
      <c r="Q294" t="s">
        <v>282</v>
      </c>
      <c r="R294" s="17" t="s">
        <v>371</v>
      </c>
      <c r="S294" s="17">
        <v>1</v>
      </c>
      <c r="T294" s="17">
        <v>1</v>
      </c>
      <c r="U294" s="17">
        <v>0</v>
      </c>
      <c r="V294" s="17">
        <v>0</v>
      </c>
      <c r="W294" s="17">
        <v>0</v>
      </c>
      <c r="X294" s="17">
        <v>1</v>
      </c>
      <c r="Y294" s="17">
        <v>0</v>
      </c>
      <c r="Z294" s="17">
        <v>0</v>
      </c>
      <c r="AA294" s="17">
        <v>0</v>
      </c>
      <c r="AB294" s="17">
        <v>0</v>
      </c>
      <c r="AC294" s="17" t="s">
        <v>704</v>
      </c>
      <c r="AD294" s="16" t="s">
        <v>341</v>
      </c>
      <c r="AE294" s="16" t="s">
        <v>340</v>
      </c>
      <c r="AF294" s="15" t="s">
        <v>343</v>
      </c>
      <c r="AG294" s="15" t="s">
        <v>344</v>
      </c>
      <c r="AH294" s="17" t="s">
        <v>345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704</v>
      </c>
      <c r="AR294" t="s">
        <v>349</v>
      </c>
      <c r="AS294" t="s">
        <v>349</v>
      </c>
      <c r="AT294">
        <v>1</v>
      </c>
      <c r="AU294">
        <v>0</v>
      </c>
      <c r="AV294">
        <v>0</v>
      </c>
      <c r="AW294" t="s">
        <v>704</v>
      </c>
      <c r="AX294" t="s">
        <v>1288</v>
      </c>
      <c r="AY294" t="s">
        <v>293</v>
      </c>
      <c r="AZ294" t="s">
        <v>353</v>
      </c>
      <c r="BA294" t="s">
        <v>297</v>
      </c>
      <c r="BB294" t="s">
        <v>299</v>
      </c>
      <c r="BC294" t="s">
        <v>292</v>
      </c>
      <c r="BD294" t="s">
        <v>293</v>
      </c>
      <c r="BE294" t="s">
        <v>292</v>
      </c>
      <c r="BF294" t="s">
        <v>293</v>
      </c>
      <c r="BG294" t="s">
        <v>293</v>
      </c>
      <c r="BH294" t="s">
        <v>302</v>
      </c>
      <c r="BI294" t="s">
        <v>302</v>
      </c>
      <c r="BJ294" t="s">
        <v>359</v>
      </c>
      <c r="BK294" t="s">
        <v>293</v>
      </c>
      <c r="BL294" t="s">
        <v>293</v>
      </c>
      <c r="BM294" t="s">
        <v>297</v>
      </c>
      <c r="BN294" t="s">
        <v>298</v>
      </c>
      <c r="BO294" t="s">
        <v>293</v>
      </c>
      <c r="BP294" t="s">
        <v>292</v>
      </c>
      <c r="BQ294" t="s">
        <v>293</v>
      </c>
      <c r="BR294" t="s">
        <v>293</v>
      </c>
      <c r="BS294" t="s">
        <v>364</v>
      </c>
      <c r="BT294" t="s">
        <v>366</v>
      </c>
      <c r="BU294" t="s">
        <v>371</v>
      </c>
      <c r="BV294" t="s">
        <v>371</v>
      </c>
      <c r="BW294" t="s">
        <v>2737</v>
      </c>
      <c r="BX294" t="str">
        <f>IF(J294="win",VLOOKUP(B294,ColorScheme!$A$2:$I$32,4,0),VLOOKUP(B294,ColorScheme!$A$2:$I$32,5,0))</f>
        <v>#6e750e</v>
      </c>
    </row>
    <row r="295" spans="1:76" x14ac:dyDescent="0.3">
      <c r="A295" t="s">
        <v>43</v>
      </c>
      <c r="B295" t="s">
        <v>54</v>
      </c>
      <c r="C295" t="s">
        <v>16</v>
      </c>
      <c r="D295" t="s">
        <v>12</v>
      </c>
      <c r="E295" t="s">
        <v>997</v>
      </c>
      <c r="F295" t="b">
        <v>1</v>
      </c>
      <c r="G295">
        <v>88.6</v>
      </c>
      <c r="H295">
        <v>0</v>
      </c>
      <c r="I295">
        <v>9426</v>
      </c>
      <c r="J295" s="61" t="s">
        <v>13</v>
      </c>
      <c r="K295" s="16" t="s">
        <v>272</v>
      </c>
      <c r="L295" s="16">
        <v>3</v>
      </c>
      <c r="M295" s="16" t="s">
        <v>277</v>
      </c>
      <c r="N295" s="16" t="s">
        <v>335</v>
      </c>
      <c r="O295" s="15" t="s">
        <v>281</v>
      </c>
      <c r="P295" t="s">
        <v>285</v>
      </c>
      <c r="Q295" t="s">
        <v>282</v>
      </c>
      <c r="R295" s="17" t="s">
        <v>371</v>
      </c>
      <c r="S295" s="17">
        <v>1</v>
      </c>
      <c r="T295" s="17">
        <v>1</v>
      </c>
      <c r="U295" s="17">
        <v>0</v>
      </c>
      <c r="V295" s="17">
        <v>0</v>
      </c>
      <c r="W295" s="17">
        <v>0</v>
      </c>
      <c r="X295" s="17">
        <v>1</v>
      </c>
      <c r="Y295" s="17">
        <v>0</v>
      </c>
      <c r="Z295" s="17">
        <v>0</v>
      </c>
      <c r="AA295" s="17">
        <v>0</v>
      </c>
      <c r="AB295" s="17">
        <v>0</v>
      </c>
      <c r="AC295" s="17" t="s">
        <v>704</v>
      </c>
      <c r="AD295" s="16" t="s">
        <v>341</v>
      </c>
      <c r="AE295" s="16" t="s">
        <v>340</v>
      </c>
      <c r="AF295" s="15" t="s">
        <v>343</v>
      </c>
      <c r="AG295" s="15" t="s">
        <v>344</v>
      </c>
      <c r="AH295" s="17" t="s">
        <v>345</v>
      </c>
      <c r="AI295">
        <v>1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704</v>
      </c>
      <c r="AR295" t="s">
        <v>349</v>
      </c>
      <c r="AS295" t="s">
        <v>349</v>
      </c>
      <c r="AT295">
        <v>1</v>
      </c>
      <c r="AU295">
        <v>0</v>
      </c>
      <c r="AV295">
        <v>0</v>
      </c>
      <c r="AW295" t="s">
        <v>704</v>
      </c>
      <c r="AX295" t="s">
        <v>1288</v>
      </c>
      <c r="AY295" t="s">
        <v>293</v>
      </c>
      <c r="AZ295" t="s">
        <v>353</v>
      </c>
      <c r="BA295" t="s">
        <v>297</v>
      </c>
      <c r="BB295" t="s">
        <v>300</v>
      </c>
      <c r="BC295" t="s">
        <v>292</v>
      </c>
      <c r="BD295" t="s">
        <v>293</v>
      </c>
      <c r="BE295" t="s">
        <v>292</v>
      </c>
      <c r="BF295" t="s">
        <v>293</v>
      </c>
      <c r="BG295" t="s">
        <v>293</v>
      </c>
      <c r="BH295" t="s">
        <v>302</v>
      </c>
      <c r="BI295" t="s">
        <v>302</v>
      </c>
      <c r="BJ295" t="s">
        <v>359</v>
      </c>
      <c r="BK295" t="s">
        <v>293</v>
      </c>
      <c r="BL295" t="s">
        <v>293</v>
      </c>
      <c r="BM295" t="s">
        <v>297</v>
      </c>
      <c r="BN295" t="s">
        <v>298</v>
      </c>
      <c r="BO295" t="s">
        <v>293</v>
      </c>
      <c r="BP295" t="s">
        <v>292</v>
      </c>
      <c r="BQ295" t="s">
        <v>293</v>
      </c>
      <c r="BR295" t="s">
        <v>293</v>
      </c>
      <c r="BS295" t="s">
        <v>364</v>
      </c>
      <c r="BT295" t="s">
        <v>366</v>
      </c>
      <c r="BU295" t="s">
        <v>371</v>
      </c>
      <c r="BV295" t="s">
        <v>371</v>
      </c>
      <c r="BW295" t="s">
        <v>2738</v>
      </c>
      <c r="BX295" t="str">
        <f>IF(J295="win",VLOOKUP(B295,ColorScheme!$A$2:$I$32,4,0),VLOOKUP(B295,ColorScheme!$A$2:$I$32,5,0))</f>
        <v>#6e750e</v>
      </c>
    </row>
    <row r="296" spans="1:76" x14ac:dyDescent="0.3">
      <c r="A296" t="s">
        <v>43</v>
      </c>
      <c r="B296" t="s">
        <v>54</v>
      </c>
      <c r="C296" t="s">
        <v>23</v>
      </c>
      <c r="D296" t="s">
        <v>29</v>
      </c>
      <c r="E296" t="s">
        <v>998</v>
      </c>
      <c r="F296" t="b">
        <v>1</v>
      </c>
      <c r="G296">
        <v>100</v>
      </c>
      <c r="H296">
        <v>1</v>
      </c>
      <c r="I296">
        <v>8230</v>
      </c>
      <c r="J296" s="61" t="s">
        <v>13</v>
      </c>
      <c r="K296" s="16" t="s">
        <v>272</v>
      </c>
      <c r="L296" s="16">
        <v>3</v>
      </c>
      <c r="M296" s="16" t="s">
        <v>277</v>
      </c>
      <c r="N296" s="16" t="s">
        <v>335</v>
      </c>
      <c r="O296" s="15" t="s">
        <v>281</v>
      </c>
      <c r="P296" t="s">
        <v>285</v>
      </c>
      <c r="Q296" t="s">
        <v>282</v>
      </c>
      <c r="R296" s="17" t="s">
        <v>371</v>
      </c>
      <c r="S296" s="17">
        <v>1</v>
      </c>
      <c r="T296" s="17">
        <v>1</v>
      </c>
      <c r="U296" s="17">
        <v>0</v>
      </c>
      <c r="V296" s="17">
        <v>0</v>
      </c>
      <c r="W296" s="17">
        <v>0</v>
      </c>
      <c r="X296" s="17">
        <v>1</v>
      </c>
      <c r="Y296" s="17">
        <v>0</v>
      </c>
      <c r="Z296" s="17">
        <v>0</v>
      </c>
      <c r="AA296" s="17">
        <v>0</v>
      </c>
      <c r="AB296" s="17">
        <v>0</v>
      </c>
      <c r="AC296" s="17" t="s">
        <v>704</v>
      </c>
      <c r="AD296" s="16" t="s">
        <v>340</v>
      </c>
      <c r="AE296" s="16" t="s">
        <v>342</v>
      </c>
      <c r="AF296" s="15" t="s">
        <v>343</v>
      </c>
      <c r="AG296" s="15" t="s">
        <v>344</v>
      </c>
      <c r="AH296" s="17" t="s">
        <v>347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 t="s">
        <v>704</v>
      </c>
      <c r="AR296" t="s">
        <v>349</v>
      </c>
      <c r="AS296" t="s">
        <v>349</v>
      </c>
      <c r="AT296">
        <v>1</v>
      </c>
      <c r="AU296">
        <v>0</v>
      </c>
      <c r="AV296">
        <v>0</v>
      </c>
      <c r="AW296" t="s">
        <v>704</v>
      </c>
      <c r="AX296" t="s">
        <v>1289</v>
      </c>
      <c r="AY296" t="s">
        <v>293</v>
      </c>
      <c r="AZ296" t="s">
        <v>353</v>
      </c>
      <c r="BA296" t="s">
        <v>355</v>
      </c>
      <c r="BB296" t="s">
        <v>299</v>
      </c>
      <c r="BC296" t="s">
        <v>292</v>
      </c>
      <c r="BD296" t="s">
        <v>293</v>
      </c>
      <c r="BE296" t="s">
        <v>292</v>
      </c>
      <c r="BF296" t="s">
        <v>292</v>
      </c>
      <c r="BG296" t="s">
        <v>293</v>
      </c>
      <c r="BH296" t="s">
        <v>302</v>
      </c>
      <c r="BI296" t="s">
        <v>302</v>
      </c>
      <c r="BJ296" t="s">
        <v>359</v>
      </c>
      <c r="BK296" t="s">
        <v>293</v>
      </c>
      <c r="BL296" t="s">
        <v>293</v>
      </c>
      <c r="BM296" t="s">
        <v>297</v>
      </c>
      <c r="BN296" t="s">
        <v>298</v>
      </c>
      <c r="BO296" t="s">
        <v>293</v>
      </c>
      <c r="BP296" t="s">
        <v>292</v>
      </c>
      <c r="BQ296" t="s">
        <v>293</v>
      </c>
      <c r="BR296" t="s">
        <v>293</v>
      </c>
      <c r="BS296" t="s">
        <v>364</v>
      </c>
      <c r="BT296" t="s">
        <v>366</v>
      </c>
      <c r="BU296" t="s">
        <v>371</v>
      </c>
      <c r="BV296" t="s">
        <v>371</v>
      </c>
      <c r="BW296" t="s">
        <v>2739</v>
      </c>
      <c r="BX296" t="str">
        <f>IF(J296="win",VLOOKUP(B296,ColorScheme!$A$2:$I$32,4,0),VLOOKUP(B296,ColorScheme!$A$2:$I$32,5,0))</f>
        <v>#6e750e</v>
      </c>
    </row>
    <row r="297" spans="1:76" x14ac:dyDescent="0.3">
      <c r="A297" t="s">
        <v>43</v>
      </c>
      <c r="B297" t="s">
        <v>54</v>
      </c>
      <c r="C297" t="s">
        <v>25</v>
      </c>
      <c r="D297" t="s">
        <v>29</v>
      </c>
      <c r="E297" t="s">
        <v>999</v>
      </c>
      <c r="F297" t="b">
        <v>1</v>
      </c>
      <c r="G297">
        <v>100</v>
      </c>
      <c r="H297">
        <v>1</v>
      </c>
      <c r="I297">
        <v>8175</v>
      </c>
      <c r="J297" s="61" t="s">
        <v>18</v>
      </c>
      <c r="K297" s="16" t="s">
        <v>272</v>
      </c>
      <c r="L297" s="16">
        <v>3</v>
      </c>
      <c r="M297" s="16" t="s">
        <v>277</v>
      </c>
      <c r="N297" s="16" t="s">
        <v>335</v>
      </c>
      <c r="O297" s="15" t="s">
        <v>281</v>
      </c>
      <c r="P297" t="s">
        <v>285</v>
      </c>
      <c r="Q297" t="s">
        <v>282</v>
      </c>
      <c r="R297" s="17" t="s">
        <v>371</v>
      </c>
      <c r="S297" s="17">
        <v>1</v>
      </c>
      <c r="T297" s="17">
        <v>1</v>
      </c>
      <c r="U297" s="17">
        <v>0</v>
      </c>
      <c r="V297" s="17">
        <v>0</v>
      </c>
      <c r="W297" s="17">
        <v>0</v>
      </c>
      <c r="X297" s="17">
        <v>1</v>
      </c>
      <c r="Y297" s="17">
        <v>0</v>
      </c>
      <c r="Z297" s="17">
        <v>0</v>
      </c>
      <c r="AA297" s="17">
        <v>0</v>
      </c>
      <c r="AB297" s="17">
        <v>0</v>
      </c>
      <c r="AC297" s="17" t="s">
        <v>704</v>
      </c>
      <c r="AD297" s="16" t="s">
        <v>340</v>
      </c>
      <c r="AE297" s="16" t="s">
        <v>342</v>
      </c>
      <c r="AF297" s="15" t="s">
        <v>343</v>
      </c>
      <c r="AG297" s="15" t="s">
        <v>344</v>
      </c>
      <c r="AH297" s="17" t="s">
        <v>347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 t="s">
        <v>704</v>
      </c>
      <c r="AR297" t="s">
        <v>349</v>
      </c>
      <c r="AS297" t="s">
        <v>349</v>
      </c>
      <c r="AT297">
        <v>1</v>
      </c>
      <c r="AU297">
        <v>0</v>
      </c>
      <c r="AV297">
        <v>0</v>
      </c>
      <c r="AW297" t="s">
        <v>704</v>
      </c>
      <c r="AX297" t="s">
        <v>1289</v>
      </c>
      <c r="AY297" t="s">
        <v>293</v>
      </c>
      <c r="AZ297" t="s">
        <v>353</v>
      </c>
      <c r="BA297" t="s">
        <v>355</v>
      </c>
      <c r="BB297" t="s">
        <v>299</v>
      </c>
      <c r="BC297" t="s">
        <v>292</v>
      </c>
      <c r="BD297" t="s">
        <v>293</v>
      </c>
      <c r="BE297" t="s">
        <v>292</v>
      </c>
      <c r="BF297" t="s">
        <v>292</v>
      </c>
      <c r="BG297" t="s">
        <v>293</v>
      </c>
      <c r="BH297" t="s">
        <v>302</v>
      </c>
      <c r="BI297" t="s">
        <v>302</v>
      </c>
      <c r="BJ297" t="s">
        <v>359</v>
      </c>
      <c r="BK297" t="s">
        <v>293</v>
      </c>
      <c r="BL297" t="s">
        <v>293</v>
      </c>
      <c r="BM297" t="s">
        <v>297</v>
      </c>
      <c r="BN297" t="s">
        <v>298</v>
      </c>
      <c r="BO297" t="s">
        <v>293</v>
      </c>
      <c r="BP297" t="s">
        <v>292</v>
      </c>
      <c r="BQ297" t="s">
        <v>293</v>
      </c>
      <c r="BR297" t="s">
        <v>293</v>
      </c>
      <c r="BS297" t="s">
        <v>364</v>
      </c>
      <c r="BT297" t="s">
        <v>304</v>
      </c>
      <c r="BU297" t="s">
        <v>371</v>
      </c>
      <c r="BV297" t="s">
        <v>371</v>
      </c>
      <c r="BW297" t="s">
        <v>2740</v>
      </c>
      <c r="BX297" t="str">
        <f>IF(J297="win",VLOOKUP(B297,ColorScheme!$A$2:$I$32,4,0),VLOOKUP(B297,ColorScheme!$A$2:$I$32,5,0))</f>
        <v>#6e750e50</v>
      </c>
    </row>
    <row r="298" spans="1:76" x14ac:dyDescent="0.3">
      <c r="A298" t="s">
        <v>43</v>
      </c>
      <c r="B298" t="s">
        <v>54</v>
      </c>
      <c r="C298" t="s">
        <v>24</v>
      </c>
      <c r="D298" t="s">
        <v>29</v>
      </c>
      <c r="E298" t="s">
        <v>1000</v>
      </c>
      <c r="F298" t="b">
        <v>1</v>
      </c>
      <c r="G298">
        <v>100</v>
      </c>
      <c r="H298">
        <v>1</v>
      </c>
      <c r="I298">
        <v>8190</v>
      </c>
      <c r="J298" s="61" t="s">
        <v>18</v>
      </c>
      <c r="K298" s="16" t="s">
        <v>272</v>
      </c>
      <c r="L298" s="16">
        <v>3</v>
      </c>
      <c r="M298" s="16" t="s">
        <v>277</v>
      </c>
      <c r="N298" s="16" t="s">
        <v>335</v>
      </c>
      <c r="O298" s="15" t="s">
        <v>281</v>
      </c>
      <c r="P298" t="s">
        <v>285</v>
      </c>
      <c r="Q298" t="s">
        <v>282</v>
      </c>
      <c r="R298" s="17" t="s">
        <v>371</v>
      </c>
      <c r="S298" s="17">
        <v>1</v>
      </c>
      <c r="T298" s="17">
        <v>1</v>
      </c>
      <c r="U298" s="17">
        <v>0</v>
      </c>
      <c r="V298" s="17">
        <v>0</v>
      </c>
      <c r="W298" s="17">
        <v>0</v>
      </c>
      <c r="X298" s="17">
        <v>1</v>
      </c>
      <c r="Y298" s="17">
        <v>0</v>
      </c>
      <c r="Z298" s="17">
        <v>0</v>
      </c>
      <c r="AA298" s="17">
        <v>0</v>
      </c>
      <c r="AB298" s="17">
        <v>0</v>
      </c>
      <c r="AC298" s="17" t="s">
        <v>704</v>
      </c>
      <c r="AD298" s="16" t="s">
        <v>340</v>
      </c>
      <c r="AE298" s="16" t="s">
        <v>342</v>
      </c>
      <c r="AF298" s="15" t="s">
        <v>343</v>
      </c>
      <c r="AG298" s="15" t="s">
        <v>344</v>
      </c>
      <c r="AH298" s="17" t="s">
        <v>347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 t="s">
        <v>704</v>
      </c>
      <c r="AR298" t="s">
        <v>349</v>
      </c>
      <c r="AS298" t="s">
        <v>349</v>
      </c>
      <c r="AT298">
        <v>1</v>
      </c>
      <c r="AU298">
        <v>0</v>
      </c>
      <c r="AV298">
        <v>0</v>
      </c>
      <c r="AW298" t="s">
        <v>704</v>
      </c>
      <c r="AX298" t="s">
        <v>1289</v>
      </c>
      <c r="AY298" t="s">
        <v>293</v>
      </c>
      <c r="AZ298" t="s">
        <v>353</v>
      </c>
      <c r="BA298" t="s">
        <v>355</v>
      </c>
      <c r="BB298" t="s">
        <v>299</v>
      </c>
      <c r="BC298" t="s">
        <v>292</v>
      </c>
      <c r="BD298" t="s">
        <v>293</v>
      </c>
      <c r="BE298" t="s">
        <v>292</v>
      </c>
      <c r="BF298" t="s">
        <v>292</v>
      </c>
      <c r="BG298" t="s">
        <v>293</v>
      </c>
      <c r="BH298" t="s">
        <v>302</v>
      </c>
      <c r="BI298" t="s">
        <v>302</v>
      </c>
      <c r="BJ298" t="s">
        <v>359</v>
      </c>
      <c r="BK298" t="s">
        <v>293</v>
      </c>
      <c r="BL298" t="s">
        <v>293</v>
      </c>
      <c r="BM298" t="s">
        <v>297</v>
      </c>
      <c r="BN298" t="s">
        <v>298</v>
      </c>
      <c r="BO298" t="s">
        <v>293</v>
      </c>
      <c r="BP298" t="s">
        <v>292</v>
      </c>
      <c r="BQ298" t="s">
        <v>293</v>
      </c>
      <c r="BR298" t="s">
        <v>293</v>
      </c>
      <c r="BS298" t="s">
        <v>364</v>
      </c>
      <c r="BT298" t="s">
        <v>304</v>
      </c>
      <c r="BU298" t="s">
        <v>371</v>
      </c>
      <c r="BV298" t="s">
        <v>371</v>
      </c>
      <c r="BW298" t="s">
        <v>2741</v>
      </c>
      <c r="BX298" t="str">
        <f>IF(J298="win",VLOOKUP(B298,ColorScheme!$A$2:$I$32,4,0),VLOOKUP(B298,ColorScheme!$A$2:$I$32,5,0))</f>
        <v>#6e750e50</v>
      </c>
    </row>
    <row r="299" spans="1:76" x14ac:dyDescent="0.3">
      <c r="A299" t="s">
        <v>43</v>
      </c>
      <c r="B299" t="s">
        <v>54</v>
      </c>
      <c r="C299" t="s">
        <v>32</v>
      </c>
      <c r="D299" t="s">
        <v>29</v>
      </c>
      <c r="E299" t="s">
        <v>1001</v>
      </c>
      <c r="F299" t="b">
        <v>1</v>
      </c>
      <c r="G299">
        <v>100</v>
      </c>
      <c r="H299">
        <v>1</v>
      </c>
      <c r="I299">
        <v>8146</v>
      </c>
      <c r="J299" s="61" t="s">
        <v>18</v>
      </c>
      <c r="K299" s="16" t="s">
        <v>272</v>
      </c>
      <c r="L299" s="16">
        <v>3</v>
      </c>
      <c r="M299" s="16" t="s">
        <v>277</v>
      </c>
      <c r="N299" s="16" t="s">
        <v>335</v>
      </c>
      <c r="O299" s="15" t="s">
        <v>281</v>
      </c>
      <c r="P299" t="s">
        <v>285</v>
      </c>
      <c r="Q299" t="s">
        <v>282</v>
      </c>
      <c r="R299" s="17" t="s">
        <v>371</v>
      </c>
      <c r="S299" s="17">
        <v>1</v>
      </c>
      <c r="T299" s="17">
        <v>1</v>
      </c>
      <c r="U299" s="17">
        <v>0</v>
      </c>
      <c r="V299" s="17">
        <v>0</v>
      </c>
      <c r="W299" s="17">
        <v>0</v>
      </c>
      <c r="X299" s="17">
        <v>1</v>
      </c>
      <c r="Y299" s="17">
        <v>0</v>
      </c>
      <c r="Z299" s="17">
        <v>0</v>
      </c>
      <c r="AA299" s="17">
        <v>0</v>
      </c>
      <c r="AB299" s="17">
        <v>0</v>
      </c>
      <c r="AC299" s="17" t="s">
        <v>704</v>
      </c>
      <c r="AD299" s="16" t="s">
        <v>340</v>
      </c>
      <c r="AE299" s="16" t="s">
        <v>342</v>
      </c>
      <c r="AF299" s="15" t="s">
        <v>343</v>
      </c>
      <c r="AG299" s="15" t="s">
        <v>344</v>
      </c>
      <c r="AH299" s="17" t="s">
        <v>347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 t="s">
        <v>704</v>
      </c>
      <c r="AR299" t="s">
        <v>349</v>
      </c>
      <c r="AS299" t="s">
        <v>349</v>
      </c>
      <c r="AT299">
        <v>1</v>
      </c>
      <c r="AU299">
        <v>0</v>
      </c>
      <c r="AV299">
        <v>0</v>
      </c>
      <c r="AW299" t="s">
        <v>704</v>
      </c>
      <c r="AX299" t="s">
        <v>1289</v>
      </c>
      <c r="AY299" t="s">
        <v>293</v>
      </c>
      <c r="AZ299" t="s">
        <v>353</v>
      </c>
      <c r="BA299" t="s">
        <v>355</v>
      </c>
      <c r="BB299" t="s">
        <v>299</v>
      </c>
      <c r="BC299" t="s">
        <v>292</v>
      </c>
      <c r="BD299" t="s">
        <v>293</v>
      </c>
      <c r="BE299" t="s">
        <v>292</v>
      </c>
      <c r="BF299" t="s">
        <v>292</v>
      </c>
      <c r="BG299" t="s">
        <v>293</v>
      </c>
      <c r="BH299" t="s">
        <v>302</v>
      </c>
      <c r="BI299" t="s">
        <v>302</v>
      </c>
      <c r="BJ299" t="s">
        <v>359</v>
      </c>
      <c r="BK299" t="s">
        <v>293</v>
      </c>
      <c r="BL299" t="s">
        <v>293</v>
      </c>
      <c r="BM299" t="s">
        <v>297</v>
      </c>
      <c r="BN299" t="s">
        <v>298</v>
      </c>
      <c r="BO299" t="s">
        <v>293</v>
      </c>
      <c r="BP299" t="s">
        <v>292</v>
      </c>
      <c r="BQ299" t="s">
        <v>293</v>
      </c>
      <c r="BR299" t="s">
        <v>293</v>
      </c>
      <c r="BS299" t="s">
        <v>364</v>
      </c>
      <c r="BT299" t="s">
        <v>304</v>
      </c>
      <c r="BU299" t="s">
        <v>371</v>
      </c>
      <c r="BV299" t="s">
        <v>371</v>
      </c>
      <c r="BW299" t="s">
        <v>2742</v>
      </c>
      <c r="BX299" t="str">
        <f>IF(J299="win",VLOOKUP(B299,ColorScheme!$A$2:$I$32,4,0),VLOOKUP(B299,ColorScheme!$A$2:$I$32,5,0))</f>
        <v>#6e750e50</v>
      </c>
    </row>
    <row r="300" spans="1:76" x14ac:dyDescent="0.3">
      <c r="A300" t="s">
        <v>43</v>
      </c>
      <c r="B300" t="s">
        <v>54</v>
      </c>
      <c r="C300" t="s">
        <v>21</v>
      </c>
      <c r="D300" t="s">
        <v>29</v>
      </c>
      <c r="E300" t="s">
        <v>1002</v>
      </c>
      <c r="F300" t="b">
        <v>1</v>
      </c>
      <c r="G300">
        <v>100</v>
      </c>
      <c r="H300">
        <v>1</v>
      </c>
      <c r="I300">
        <v>7792</v>
      </c>
      <c r="J300" s="61" t="s">
        <v>18</v>
      </c>
      <c r="K300" s="16" t="s">
        <v>272</v>
      </c>
      <c r="L300" s="16">
        <v>3</v>
      </c>
      <c r="M300" s="16" t="s">
        <v>277</v>
      </c>
      <c r="N300" s="16" t="s">
        <v>335</v>
      </c>
      <c r="O300" s="15" t="s">
        <v>281</v>
      </c>
      <c r="P300" t="s">
        <v>285</v>
      </c>
      <c r="Q300" t="s">
        <v>282</v>
      </c>
      <c r="R300" s="17" t="s">
        <v>371</v>
      </c>
      <c r="S300" s="17">
        <v>1</v>
      </c>
      <c r="T300" s="17">
        <v>1</v>
      </c>
      <c r="U300" s="17">
        <v>0</v>
      </c>
      <c r="V300" s="17">
        <v>0</v>
      </c>
      <c r="W300" s="17">
        <v>0</v>
      </c>
      <c r="X300" s="17">
        <v>1</v>
      </c>
      <c r="Y300" s="17">
        <v>0</v>
      </c>
      <c r="Z300" s="17">
        <v>0</v>
      </c>
      <c r="AA300" s="17">
        <v>0</v>
      </c>
      <c r="AB300" s="17">
        <v>0</v>
      </c>
      <c r="AC300" s="17" t="s">
        <v>704</v>
      </c>
      <c r="AD300" s="16" t="s">
        <v>340</v>
      </c>
      <c r="AE300" s="16" t="s">
        <v>342</v>
      </c>
      <c r="AF300" s="15" t="s">
        <v>343</v>
      </c>
      <c r="AG300" s="15" t="s">
        <v>344</v>
      </c>
      <c r="AH300" s="17" t="s">
        <v>347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 t="s">
        <v>704</v>
      </c>
      <c r="AR300" t="s">
        <v>349</v>
      </c>
      <c r="AS300" t="s">
        <v>349</v>
      </c>
      <c r="AT300">
        <v>1</v>
      </c>
      <c r="AU300">
        <v>0</v>
      </c>
      <c r="AV300">
        <v>0</v>
      </c>
      <c r="AW300" t="s">
        <v>704</v>
      </c>
      <c r="AX300" t="s">
        <v>1289</v>
      </c>
      <c r="AY300" t="s">
        <v>293</v>
      </c>
      <c r="AZ300" t="s">
        <v>353</v>
      </c>
      <c r="BA300" t="s">
        <v>297</v>
      </c>
      <c r="BB300" t="s">
        <v>300</v>
      </c>
      <c r="BC300" t="s">
        <v>292</v>
      </c>
      <c r="BD300" t="s">
        <v>293</v>
      </c>
      <c r="BE300" t="s">
        <v>292</v>
      </c>
      <c r="BF300" t="s">
        <v>293</v>
      </c>
      <c r="BG300" t="s">
        <v>293</v>
      </c>
      <c r="BH300" t="s">
        <v>302</v>
      </c>
      <c r="BI300" t="s">
        <v>302</v>
      </c>
      <c r="BJ300" t="s">
        <v>359</v>
      </c>
      <c r="BK300" t="s">
        <v>293</v>
      </c>
      <c r="BL300" t="s">
        <v>293</v>
      </c>
      <c r="BM300" t="s">
        <v>297</v>
      </c>
      <c r="BN300" t="s">
        <v>298</v>
      </c>
      <c r="BO300" t="s">
        <v>293</v>
      </c>
      <c r="BP300" t="s">
        <v>292</v>
      </c>
      <c r="BQ300" t="s">
        <v>293</v>
      </c>
      <c r="BR300" t="s">
        <v>293</v>
      </c>
      <c r="BS300" t="s">
        <v>364</v>
      </c>
      <c r="BT300" t="s">
        <v>304</v>
      </c>
      <c r="BU300" t="s">
        <v>371</v>
      </c>
      <c r="BV300" t="s">
        <v>371</v>
      </c>
      <c r="BW300" t="s">
        <v>2743</v>
      </c>
      <c r="BX300" t="str">
        <f>IF(J300="win",VLOOKUP(B300,ColorScheme!$A$2:$I$32,4,0),VLOOKUP(B300,ColorScheme!$A$2:$I$32,5,0))</f>
        <v>#6e750e50</v>
      </c>
    </row>
    <row r="301" spans="1:76" x14ac:dyDescent="0.3">
      <c r="A301" t="s">
        <v>43</v>
      </c>
      <c r="B301" t="s">
        <v>54</v>
      </c>
      <c r="C301" t="s">
        <v>30</v>
      </c>
      <c r="D301" t="s">
        <v>29</v>
      </c>
      <c r="E301" t="s">
        <v>1003</v>
      </c>
      <c r="F301" t="b">
        <v>1</v>
      </c>
      <c r="G301">
        <v>100</v>
      </c>
      <c r="H301">
        <v>1</v>
      </c>
      <c r="I301">
        <v>8204</v>
      </c>
      <c r="J301" s="61" t="s">
        <v>18</v>
      </c>
      <c r="K301" s="16" t="s">
        <v>272</v>
      </c>
      <c r="L301" s="16">
        <v>3</v>
      </c>
      <c r="M301" s="16" t="s">
        <v>277</v>
      </c>
      <c r="N301" s="16" t="s">
        <v>335</v>
      </c>
      <c r="O301" s="15" t="s">
        <v>281</v>
      </c>
      <c r="P301" t="s">
        <v>285</v>
      </c>
      <c r="Q301" t="s">
        <v>282</v>
      </c>
      <c r="R301" s="17" t="s">
        <v>371</v>
      </c>
      <c r="S301" s="17">
        <v>1</v>
      </c>
      <c r="T301" s="17">
        <v>1</v>
      </c>
      <c r="U301" s="17">
        <v>0</v>
      </c>
      <c r="V301" s="17">
        <v>0</v>
      </c>
      <c r="W301" s="17">
        <v>0</v>
      </c>
      <c r="X301" s="17">
        <v>1</v>
      </c>
      <c r="Y301" s="17">
        <v>0</v>
      </c>
      <c r="Z301" s="17">
        <v>0</v>
      </c>
      <c r="AA301" s="17">
        <v>0</v>
      </c>
      <c r="AB301" s="17">
        <v>0</v>
      </c>
      <c r="AC301" s="17" t="s">
        <v>704</v>
      </c>
      <c r="AD301" s="16" t="s">
        <v>340</v>
      </c>
      <c r="AE301" s="16" t="s">
        <v>342</v>
      </c>
      <c r="AF301" s="15" t="s">
        <v>343</v>
      </c>
      <c r="AG301" s="15" t="s">
        <v>344</v>
      </c>
      <c r="AH301" s="17" t="s">
        <v>347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 t="s">
        <v>704</v>
      </c>
      <c r="AR301" t="s">
        <v>349</v>
      </c>
      <c r="AS301" t="s">
        <v>349</v>
      </c>
      <c r="AT301">
        <v>1</v>
      </c>
      <c r="AU301">
        <v>0</v>
      </c>
      <c r="AV301">
        <v>0</v>
      </c>
      <c r="AW301" t="s">
        <v>704</v>
      </c>
      <c r="AX301" t="s">
        <v>1289</v>
      </c>
      <c r="AY301" t="s">
        <v>293</v>
      </c>
      <c r="AZ301" t="s">
        <v>353</v>
      </c>
      <c r="BA301" t="s">
        <v>355</v>
      </c>
      <c r="BB301" t="s">
        <v>300</v>
      </c>
      <c r="BC301" t="s">
        <v>292</v>
      </c>
      <c r="BD301" t="s">
        <v>293</v>
      </c>
      <c r="BE301" t="s">
        <v>292</v>
      </c>
      <c r="BF301" t="s">
        <v>292</v>
      </c>
      <c r="BG301" t="s">
        <v>293</v>
      </c>
      <c r="BH301" t="s">
        <v>302</v>
      </c>
      <c r="BI301" t="s">
        <v>302</v>
      </c>
      <c r="BJ301" t="s">
        <v>359</v>
      </c>
      <c r="BK301" t="s">
        <v>293</v>
      </c>
      <c r="BL301" t="s">
        <v>293</v>
      </c>
      <c r="BM301" t="s">
        <v>297</v>
      </c>
      <c r="BN301" t="s">
        <v>298</v>
      </c>
      <c r="BO301" t="s">
        <v>293</v>
      </c>
      <c r="BP301" t="s">
        <v>292</v>
      </c>
      <c r="BQ301" t="s">
        <v>293</v>
      </c>
      <c r="BR301" t="s">
        <v>293</v>
      </c>
      <c r="BS301" t="s">
        <v>364</v>
      </c>
      <c r="BT301" t="s">
        <v>304</v>
      </c>
      <c r="BU301" t="s">
        <v>371</v>
      </c>
      <c r="BV301" t="s">
        <v>371</v>
      </c>
      <c r="BW301" t="s">
        <v>2744</v>
      </c>
      <c r="BX301" t="str">
        <f>IF(J301="win",VLOOKUP(B301,ColorScheme!$A$2:$I$32,4,0),VLOOKUP(B301,ColorScheme!$A$2:$I$32,5,0))</f>
        <v>#6e750e50</v>
      </c>
    </row>
    <row r="302" spans="1:76" x14ac:dyDescent="0.3">
      <c r="A302" t="s">
        <v>43</v>
      </c>
      <c r="B302" t="s">
        <v>54</v>
      </c>
      <c r="C302" t="s">
        <v>20</v>
      </c>
      <c r="D302" t="s">
        <v>29</v>
      </c>
      <c r="E302" t="s">
        <v>1004</v>
      </c>
      <c r="F302" t="b">
        <v>1</v>
      </c>
      <c r="G302">
        <v>100</v>
      </c>
      <c r="H302">
        <v>1</v>
      </c>
      <c r="I302">
        <v>7991</v>
      </c>
      <c r="J302" s="61" t="s">
        <v>18</v>
      </c>
      <c r="K302" s="16" t="s">
        <v>272</v>
      </c>
      <c r="L302" s="16">
        <v>3</v>
      </c>
      <c r="M302" s="16" t="s">
        <v>277</v>
      </c>
      <c r="N302" s="16" t="s">
        <v>335</v>
      </c>
      <c r="O302" s="15" t="s">
        <v>281</v>
      </c>
      <c r="P302" t="s">
        <v>285</v>
      </c>
      <c r="Q302" t="s">
        <v>282</v>
      </c>
      <c r="R302" s="17" t="s">
        <v>371</v>
      </c>
      <c r="S302" s="17">
        <v>1</v>
      </c>
      <c r="T302" s="17">
        <v>1</v>
      </c>
      <c r="U302" s="17">
        <v>0</v>
      </c>
      <c r="V302" s="17">
        <v>0</v>
      </c>
      <c r="W302" s="17">
        <v>0</v>
      </c>
      <c r="X302" s="17">
        <v>1</v>
      </c>
      <c r="Y302" s="17">
        <v>0</v>
      </c>
      <c r="Z302" s="17">
        <v>0</v>
      </c>
      <c r="AA302" s="17">
        <v>0</v>
      </c>
      <c r="AB302" s="17">
        <v>0</v>
      </c>
      <c r="AC302" s="17" t="s">
        <v>704</v>
      </c>
      <c r="AD302" s="16" t="s">
        <v>340</v>
      </c>
      <c r="AE302" s="16" t="s">
        <v>342</v>
      </c>
      <c r="AF302" s="15" t="s">
        <v>343</v>
      </c>
      <c r="AG302" s="15" t="s">
        <v>344</v>
      </c>
      <c r="AH302" s="17" t="s">
        <v>347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 t="s">
        <v>704</v>
      </c>
      <c r="AR302" t="s">
        <v>349</v>
      </c>
      <c r="AS302" t="s">
        <v>349</v>
      </c>
      <c r="AT302">
        <v>1</v>
      </c>
      <c r="AU302">
        <v>0</v>
      </c>
      <c r="AV302">
        <v>0</v>
      </c>
      <c r="AW302" t="s">
        <v>704</v>
      </c>
      <c r="AX302" t="s">
        <v>1289</v>
      </c>
      <c r="AY302" t="s">
        <v>293</v>
      </c>
      <c r="AZ302" t="s">
        <v>353</v>
      </c>
      <c r="BA302" t="s">
        <v>297</v>
      </c>
      <c r="BB302" t="s">
        <v>300</v>
      </c>
      <c r="BC302" t="s">
        <v>292</v>
      </c>
      <c r="BD302" t="s">
        <v>293</v>
      </c>
      <c r="BE302" t="s">
        <v>292</v>
      </c>
      <c r="BF302" t="s">
        <v>293</v>
      </c>
      <c r="BG302" t="s">
        <v>293</v>
      </c>
      <c r="BH302" t="s">
        <v>302</v>
      </c>
      <c r="BI302" t="s">
        <v>302</v>
      </c>
      <c r="BJ302" t="s">
        <v>359</v>
      </c>
      <c r="BK302" t="s">
        <v>293</v>
      </c>
      <c r="BL302" t="s">
        <v>293</v>
      </c>
      <c r="BM302" t="s">
        <v>297</v>
      </c>
      <c r="BN302" t="s">
        <v>298</v>
      </c>
      <c r="BO302" t="s">
        <v>293</v>
      </c>
      <c r="BP302" t="s">
        <v>292</v>
      </c>
      <c r="BQ302" t="s">
        <v>293</v>
      </c>
      <c r="BR302" t="s">
        <v>293</v>
      </c>
      <c r="BS302" t="s">
        <v>364</v>
      </c>
      <c r="BT302" t="s">
        <v>304</v>
      </c>
      <c r="BU302" t="s">
        <v>371</v>
      </c>
      <c r="BV302" t="s">
        <v>371</v>
      </c>
      <c r="BW302" t="s">
        <v>2745</v>
      </c>
      <c r="BX302" t="str">
        <f>IF(J302="win",VLOOKUP(B302,ColorScheme!$A$2:$I$32,4,0),VLOOKUP(B302,ColorScheme!$A$2:$I$32,5,0))</f>
        <v>#6e750e50</v>
      </c>
    </row>
    <row r="303" spans="1:76" x14ac:dyDescent="0.3">
      <c r="A303" t="s">
        <v>43</v>
      </c>
      <c r="B303" t="s">
        <v>54</v>
      </c>
      <c r="C303" t="s">
        <v>33</v>
      </c>
      <c r="D303" t="s">
        <v>29</v>
      </c>
      <c r="E303" t="s">
        <v>1005</v>
      </c>
      <c r="F303" t="b">
        <v>1</v>
      </c>
      <c r="G303">
        <v>100</v>
      </c>
      <c r="H303">
        <v>1</v>
      </c>
      <c r="I303">
        <v>8185</v>
      </c>
      <c r="J303" s="61" t="s">
        <v>18</v>
      </c>
      <c r="K303" s="16" t="s">
        <v>272</v>
      </c>
      <c r="L303" s="16">
        <v>3</v>
      </c>
      <c r="M303" s="16" t="s">
        <v>277</v>
      </c>
      <c r="N303" s="16" t="s">
        <v>335</v>
      </c>
      <c r="O303" s="15" t="s">
        <v>281</v>
      </c>
      <c r="P303" t="s">
        <v>285</v>
      </c>
      <c r="Q303" t="s">
        <v>282</v>
      </c>
      <c r="R303" s="17" t="s">
        <v>371</v>
      </c>
      <c r="S303" s="17">
        <v>1</v>
      </c>
      <c r="T303" s="17">
        <v>1</v>
      </c>
      <c r="U303" s="17">
        <v>0</v>
      </c>
      <c r="V303" s="17">
        <v>0</v>
      </c>
      <c r="W303" s="17">
        <v>0</v>
      </c>
      <c r="X303" s="17">
        <v>1</v>
      </c>
      <c r="Y303" s="17">
        <v>0</v>
      </c>
      <c r="Z303" s="17">
        <v>0</v>
      </c>
      <c r="AA303" s="17">
        <v>0</v>
      </c>
      <c r="AB303" s="17">
        <v>0</v>
      </c>
      <c r="AC303" s="17" t="s">
        <v>704</v>
      </c>
      <c r="AD303" s="16" t="s">
        <v>340</v>
      </c>
      <c r="AE303" s="16" t="s">
        <v>342</v>
      </c>
      <c r="AF303" s="15" t="s">
        <v>343</v>
      </c>
      <c r="AG303" s="15" t="s">
        <v>344</v>
      </c>
      <c r="AH303" s="17" t="s">
        <v>347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 t="s">
        <v>704</v>
      </c>
      <c r="AR303" t="s">
        <v>349</v>
      </c>
      <c r="AS303" t="s">
        <v>349</v>
      </c>
      <c r="AT303">
        <v>1</v>
      </c>
      <c r="AU303">
        <v>0</v>
      </c>
      <c r="AV303">
        <v>0</v>
      </c>
      <c r="AW303" t="s">
        <v>704</v>
      </c>
      <c r="AX303" t="s">
        <v>1289</v>
      </c>
      <c r="AY303" t="s">
        <v>293</v>
      </c>
      <c r="AZ303" t="s">
        <v>353</v>
      </c>
      <c r="BA303" t="s">
        <v>355</v>
      </c>
      <c r="BB303" t="s">
        <v>300</v>
      </c>
      <c r="BC303" t="s">
        <v>292</v>
      </c>
      <c r="BD303" t="s">
        <v>293</v>
      </c>
      <c r="BE303" t="s">
        <v>292</v>
      </c>
      <c r="BF303" t="s">
        <v>292</v>
      </c>
      <c r="BG303" t="s">
        <v>293</v>
      </c>
      <c r="BH303" t="s">
        <v>302</v>
      </c>
      <c r="BI303" t="s">
        <v>302</v>
      </c>
      <c r="BJ303" t="s">
        <v>359</v>
      </c>
      <c r="BK303" t="s">
        <v>293</v>
      </c>
      <c r="BL303" t="s">
        <v>293</v>
      </c>
      <c r="BM303" t="s">
        <v>297</v>
      </c>
      <c r="BN303" t="s">
        <v>298</v>
      </c>
      <c r="BO303" t="s">
        <v>293</v>
      </c>
      <c r="BP303" t="s">
        <v>292</v>
      </c>
      <c r="BQ303" t="s">
        <v>293</v>
      </c>
      <c r="BR303" t="s">
        <v>293</v>
      </c>
      <c r="BS303" t="s">
        <v>364</v>
      </c>
      <c r="BT303" t="s">
        <v>304</v>
      </c>
      <c r="BU303" t="s">
        <v>371</v>
      </c>
      <c r="BV303" t="s">
        <v>371</v>
      </c>
      <c r="BW303" t="s">
        <v>2746</v>
      </c>
      <c r="BX303" t="str">
        <f>IF(J303="win",VLOOKUP(B303,ColorScheme!$A$2:$I$32,4,0),VLOOKUP(B303,ColorScheme!$A$2:$I$32,5,0))</f>
        <v>#6e750e50</v>
      </c>
    </row>
    <row r="304" spans="1:76" x14ac:dyDescent="0.3">
      <c r="A304" t="s">
        <v>43</v>
      </c>
      <c r="B304" t="s">
        <v>54</v>
      </c>
      <c r="C304" t="s">
        <v>26</v>
      </c>
      <c r="D304" t="s">
        <v>29</v>
      </c>
      <c r="E304" t="s">
        <v>1006</v>
      </c>
      <c r="F304" t="b">
        <v>1</v>
      </c>
      <c r="G304">
        <v>100</v>
      </c>
      <c r="H304">
        <v>1</v>
      </c>
      <c r="I304">
        <v>8139</v>
      </c>
      <c r="J304" s="61" t="s">
        <v>18</v>
      </c>
      <c r="K304" s="16" t="s">
        <v>272</v>
      </c>
      <c r="L304" s="16">
        <v>3</v>
      </c>
      <c r="M304" s="16" t="s">
        <v>277</v>
      </c>
      <c r="N304" s="16" t="s">
        <v>335</v>
      </c>
      <c r="O304" s="15" t="s">
        <v>281</v>
      </c>
      <c r="P304" t="s">
        <v>285</v>
      </c>
      <c r="Q304" t="s">
        <v>282</v>
      </c>
      <c r="R304" s="17" t="s">
        <v>371</v>
      </c>
      <c r="S304" s="17">
        <v>1</v>
      </c>
      <c r="T304" s="17">
        <v>1</v>
      </c>
      <c r="U304" s="17">
        <v>0</v>
      </c>
      <c r="V304" s="17">
        <v>0</v>
      </c>
      <c r="W304" s="17">
        <v>0</v>
      </c>
      <c r="X304" s="17">
        <v>1</v>
      </c>
      <c r="Y304" s="17">
        <v>0</v>
      </c>
      <c r="Z304" s="17">
        <v>0</v>
      </c>
      <c r="AA304" s="17">
        <v>0</v>
      </c>
      <c r="AB304" s="17">
        <v>0</v>
      </c>
      <c r="AC304" s="17" t="s">
        <v>704</v>
      </c>
      <c r="AD304" s="16" t="s">
        <v>340</v>
      </c>
      <c r="AE304" s="16" t="s">
        <v>342</v>
      </c>
      <c r="AF304" s="15" t="s">
        <v>343</v>
      </c>
      <c r="AG304" s="15" t="s">
        <v>344</v>
      </c>
      <c r="AH304" s="17" t="s">
        <v>347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 t="s">
        <v>704</v>
      </c>
      <c r="AR304" t="s">
        <v>349</v>
      </c>
      <c r="AS304" t="s">
        <v>349</v>
      </c>
      <c r="AT304">
        <v>1</v>
      </c>
      <c r="AU304">
        <v>0</v>
      </c>
      <c r="AV304">
        <v>0</v>
      </c>
      <c r="AW304" t="s">
        <v>704</v>
      </c>
      <c r="AX304" t="s">
        <v>1289</v>
      </c>
      <c r="AY304" t="s">
        <v>293</v>
      </c>
      <c r="AZ304" t="s">
        <v>353</v>
      </c>
      <c r="BA304" t="s">
        <v>355</v>
      </c>
      <c r="BB304" t="s">
        <v>299</v>
      </c>
      <c r="BC304" t="s">
        <v>292</v>
      </c>
      <c r="BD304" t="s">
        <v>293</v>
      </c>
      <c r="BE304" t="s">
        <v>292</v>
      </c>
      <c r="BF304" t="s">
        <v>292</v>
      </c>
      <c r="BG304" t="s">
        <v>293</v>
      </c>
      <c r="BH304" t="s">
        <v>302</v>
      </c>
      <c r="BI304" t="s">
        <v>302</v>
      </c>
      <c r="BJ304" t="s">
        <v>359</v>
      </c>
      <c r="BK304" t="s">
        <v>293</v>
      </c>
      <c r="BL304" t="s">
        <v>293</v>
      </c>
      <c r="BM304" t="s">
        <v>297</v>
      </c>
      <c r="BN304" t="s">
        <v>298</v>
      </c>
      <c r="BO304" t="s">
        <v>293</v>
      </c>
      <c r="BP304" t="s">
        <v>292</v>
      </c>
      <c r="BQ304" t="s">
        <v>293</v>
      </c>
      <c r="BR304" t="s">
        <v>293</v>
      </c>
      <c r="BS304" t="s">
        <v>364</v>
      </c>
      <c r="BT304" t="s">
        <v>304</v>
      </c>
      <c r="BU304" t="s">
        <v>371</v>
      </c>
      <c r="BV304" t="s">
        <v>371</v>
      </c>
      <c r="BW304" t="s">
        <v>2747</v>
      </c>
      <c r="BX304" t="str">
        <f>IF(J304="win",VLOOKUP(B304,ColorScheme!$A$2:$I$32,4,0),VLOOKUP(B304,ColorScheme!$A$2:$I$32,5,0))</f>
        <v>#6e750e50</v>
      </c>
    </row>
    <row r="305" spans="1:76" x14ac:dyDescent="0.3">
      <c r="A305" t="s">
        <v>43</v>
      </c>
      <c r="B305" t="s">
        <v>54</v>
      </c>
      <c r="C305" t="s">
        <v>22</v>
      </c>
      <c r="D305" t="s">
        <v>29</v>
      </c>
      <c r="E305" t="s">
        <v>1007</v>
      </c>
      <c r="F305" t="b">
        <v>1</v>
      </c>
      <c r="G305">
        <v>100</v>
      </c>
      <c r="H305">
        <v>1</v>
      </c>
      <c r="I305">
        <v>8434</v>
      </c>
      <c r="J305" s="61" t="s">
        <v>18</v>
      </c>
      <c r="K305" s="16" t="s">
        <v>272</v>
      </c>
      <c r="L305" s="16">
        <v>3</v>
      </c>
      <c r="M305" s="16" t="s">
        <v>277</v>
      </c>
      <c r="N305" s="16" t="s">
        <v>335</v>
      </c>
      <c r="O305" s="15" t="s">
        <v>281</v>
      </c>
      <c r="P305" t="s">
        <v>285</v>
      </c>
      <c r="Q305" t="s">
        <v>282</v>
      </c>
      <c r="R305" s="17" t="s">
        <v>371</v>
      </c>
      <c r="S305" s="17">
        <v>1</v>
      </c>
      <c r="T305" s="17">
        <v>1</v>
      </c>
      <c r="U305" s="17">
        <v>0</v>
      </c>
      <c r="V305" s="17">
        <v>0</v>
      </c>
      <c r="W305" s="17">
        <v>0</v>
      </c>
      <c r="X305" s="17">
        <v>1</v>
      </c>
      <c r="Y305" s="17">
        <v>0</v>
      </c>
      <c r="Z305" s="17">
        <v>0</v>
      </c>
      <c r="AA305" s="17">
        <v>0</v>
      </c>
      <c r="AB305" s="17">
        <v>0</v>
      </c>
      <c r="AC305" s="17" t="s">
        <v>704</v>
      </c>
      <c r="AD305" s="16" t="s">
        <v>340</v>
      </c>
      <c r="AE305" s="16" t="s">
        <v>342</v>
      </c>
      <c r="AF305" s="15" t="s">
        <v>343</v>
      </c>
      <c r="AG305" s="15" t="s">
        <v>344</v>
      </c>
      <c r="AH305" s="17" t="s">
        <v>347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 t="s">
        <v>704</v>
      </c>
      <c r="AR305" t="s">
        <v>349</v>
      </c>
      <c r="AS305" t="s">
        <v>349</v>
      </c>
      <c r="AT305">
        <v>1</v>
      </c>
      <c r="AU305">
        <v>0</v>
      </c>
      <c r="AV305">
        <v>0</v>
      </c>
      <c r="AW305" t="s">
        <v>704</v>
      </c>
      <c r="AX305" t="s">
        <v>1289</v>
      </c>
      <c r="AY305" t="s">
        <v>293</v>
      </c>
      <c r="AZ305" t="s">
        <v>353</v>
      </c>
      <c r="BA305" t="s">
        <v>297</v>
      </c>
      <c r="BB305" t="s">
        <v>300</v>
      </c>
      <c r="BC305" t="s">
        <v>292</v>
      </c>
      <c r="BD305" t="s">
        <v>293</v>
      </c>
      <c r="BE305" t="s">
        <v>292</v>
      </c>
      <c r="BF305" t="s">
        <v>293</v>
      </c>
      <c r="BG305" t="s">
        <v>293</v>
      </c>
      <c r="BH305" t="s">
        <v>302</v>
      </c>
      <c r="BI305" t="s">
        <v>302</v>
      </c>
      <c r="BJ305" t="s">
        <v>359</v>
      </c>
      <c r="BK305" t="s">
        <v>293</v>
      </c>
      <c r="BL305" t="s">
        <v>293</v>
      </c>
      <c r="BM305" t="s">
        <v>297</v>
      </c>
      <c r="BN305" t="s">
        <v>298</v>
      </c>
      <c r="BO305" t="s">
        <v>293</v>
      </c>
      <c r="BP305" t="s">
        <v>292</v>
      </c>
      <c r="BQ305" t="s">
        <v>293</v>
      </c>
      <c r="BR305" t="s">
        <v>293</v>
      </c>
      <c r="BS305" t="s">
        <v>364</v>
      </c>
      <c r="BT305" t="s">
        <v>304</v>
      </c>
      <c r="BU305" t="s">
        <v>371</v>
      </c>
      <c r="BV305" t="s">
        <v>371</v>
      </c>
      <c r="BW305" t="s">
        <v>2748</v>
      </c>
      <c r="BX305" t="str">
        <f>IF(J305="win",VLOOKUP(B305,ColorScheme!$A$2:$I$32,4,0),VLOOKUP(B305,ColorScheme!$A$2:$I$32,5,0))</f>
        <v>#6e750e50</v>
      </c>
    </row>
    <row r="306" spans="1:76" x14ac:dyDescent="0.3">
      <c r="A306" t="s">
        <v>43</v>
      </c>
      <c r="B306" t="s">
        <v>54</v>
      </c>
      <c r="C306" t="s">
        <v>31</v>
      </c>
      <c r="D306" t="s">
        <v>29</v>
      </c>
      <c r="E306" t="s">
        <v>1008</v>
      </c>
      <c r="F306" t="b">
        <v>1</v>
      </c>
      <c r="G306">
        <v>100</v>
      </c>
      <c r="H306">
        <v>1</v>
      </c>
      <c r="I306">
        <v>8219</v>
      </c>
      <c r="J306" s="61" t="s">
        <v>18</v>
      </c>
      <c r="K306" s="16" t="s">
        <v>272</v>
      </c>
      <c r="L306" s="16">
        <v>3</v>
      </c>
      <c r="M306" s="16" t="s">
        <v>277</v>
      </c>
      <c r="N306" s="16" t="s">
        <v>335</v>
      </c>
      <c r="O306" s="15" t="s">
        <v>281</v>
      </c>
      <c r="P306" t="s">
        <v>285</v>
      </c>
      <c r="Q306" t="s">
        <v>282</v>
      </c>
      <c r="R306" s="17" t="s">
        <v>371</v>
      </c>
      <c r="S306" s="17">
        <v>1</v>
      </c>
      <c r="T306" s="17">
        <v>1</v>
      </c>
      <c r="U306" s="17">
        <v>0</v>
      </c>
      <c r="V306" s="17">
        <v>0</v>
      </c>
      <c r="W306" s="17">
        <v>0</v>
      </c>
      <c r="X306" s="17">
        <v>1</v>
      </c>
      <c r="Y306" s="17">
        <v>0</v>
      </c>
      <c r="Z306" s="17">
        <v>0</v>
      </c>
      <c r="AA306" s="17">
        <v>0</v>
      </c>
      <c r="AB306" s="17">
        <v>0</v>
      </c>
      <c r="AC306" s="17" t="s">
        <v>704</v>
      </c>
      <c r="AD306" s="16" t="s">
        <v>340</v>
      </c>
      <c r="AE306" s="16" t="s">
        <v>342</v>
      </c>
      <c r="AF306" s="15" t="s">
        <v>343</v>
      </c>
      <c r="AG306" s="15" t="s">
        <v>344</v>
      </c>
      <c r="AH306" s="17" t="s">
        <v>347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  <c r="AQ306" t="s">
        <v>704</v>
      </c>
      <c r="AR306" t="s">
        <v>349</v>
      </c>
      <c r="AS306" t="s">
        <v>349</v>
      </c>
      <c r="AT306">
        <v>1</v>
      </c>
      <c r="AU306">
        <v>0</v>
      </c>
      <c r="AV306">
        <v>0</v>
      </c>
      <c r="AW306" t="s">
        <v>704</v>
      </c>
      <c r="AX306" t="s">
        <v>1289</v>
      </c>
      <c r="AY306" t="s">
        <v>293</v>
      </c>
      <c r="AZ306" t="s">
        <v>353</v>
      </c>
      <c r="BA306" t="s">
        <v>355</v>
      </c>
      <c r="BB306" t="s">
        <v>299</v>
      </c>
      <c r="BC306" t="s">
        <v>292</v>
      </c>
      <c r="BD306" t="s">
        <v>293</v>
      </c>
      <c r="BE306" t="s">
        <v>292</v>
      </c>
      <c r="BF306" t="s">
        <v>293</v>
      </c>
      <c r="BG306" t="s">
        <v>293</v>
      </c>
      <c r="BH306" t="s">
        <v>302</v>
      </c>
      <c r="BI306" t="s">
        <v>302</v>
      </c>
      <c r="BJ306" t="s">
        <v>359</v>
      </c>
      <c r="BK306" t="s">
        <v>293</v>
      </c>
      <c r="BL306" t="s">
        <v>293</v>
      </c>
      <c r="BM306" t="s">
        <v>297</v>
      </c>
      <c r="BN306" t="s">
        <v>298</v>
      </c>
      <c r="BO306" t="s">
        <v>293</v>
      </c>
      <c r="BP306" t="s">
        <v>292</v>
      </c>
      <c r="BQ306" t="s">
        <v>293</v>
      </c>
      <c r="BR306" t="s">
        <v>293</v>
      </c>
      <c r="BS306" t="s">
        <v>364</v>
      </c>
      <c r="BT306" t="s">
        <v>304</v>
      </c>
      <c r="BU306" t="s">
        <v>371</v>
      </c>
      <c r="BV306" t="s">
        <v>371</v>
      </c>
      <c r="BW306" t="s">
        <v>2749</v>
      </c>
      <c r="BX306" t="str">
        <f>IF(J306="win",VLOOKUP(B306,ColorScheme!$A$2:$I$32,4,0),VLOOKUP(B306,ColorScheme!$A$2:$I$32,5,0))</f>
        <v>#6e750e50</v>
      </c>
    </row>
    <row r="307" spans="1:76" x14ac:dyDescent="0.3">
      <c r="A307" t="s">
        <v>43</v>
      </c>
      <c r="B307" t="s">
        <v>54</v>
      </c>
      <c r="C307" t="s">
        <v>27</v>
      </c>
      <c r="D307" t="s">
        <v>29</v>
      </c>
      <c r="E307" t="s">
        <v>1009</v>
      </c>
      <c r="F307" t="b">
        <v>1</v>
      </c>
      <c r="G307">
        <v>100</v>
      </c>
      <c r="H307">
        <v>1</v>
      </c>
      <c r="I307">
        <v>8142</v>
      </c>
      <c r="J307" s="61" t="s">
        <v>18</v>
      </c>
      <c r="K307" s="16" t="s">
        <v>272</v>
      </c>
      <c r="L307" s="16">
        <v>3</v>
      </c>
      <c r="M307" s="16" t="s">
        <v>277</v>
      </c>
      <c r="N307" s="16" t="s">
        <v>335</v>
      </c>
      <c r="O307" s="15" t="s">
        <v>281</v>
      </c>
      <c r="P307" t="s">
        <v>285</v>
      </c>
      <c r="Q307" t="s">
        <v>282</v>
      </c>
      <c r="R307" s="17" t="s">
        <v>371</v>
      </c>
      <c r="S307" s="17">
        <v>1</v>
      </c>
      <c r="T307" s="17">
        <v>1</v>
      </c>
      <c r="U307" s="17">
        <v>0</v>
      </c>
      <c r="V307" s="17">
        <v>0</v>
      </c>
      <c r="W307" s="17">
        <v>0</v>
      </c>
      <c r="X307" s="17">
        <v>1</v>
      </c>
      <c r="Y307" s="17">
        <v>0</v>
      </c>
      <c r="Z307" s="17">
        <v>0</v>
      </c>
      <c r="AA307" s="17">
        <v>0</v>
      </c>
      <c r="AB307" s="17">
        <v>0</v>
      </c>
      <c r="AC307" s="17" t="s">
        <v>704</v>
      </c>
      <c r="AD307" s="16" t="s">
        <v>340</v>
      </c>
      <c r="AE307" s="16" t="s">
        <v>342</v>
      </c>
      <c r="AF307" s="15" t="s">
        <v>343</v>
      </c>
      <c r="AG307" s="15" t="s">
        <v>344</v>
      </c>
      <c r="AH307" s="17" t="s">
        <v>347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 t="s">
        <v>704</v>
      </c>
      <c r="AR307" t="s">
        <v>349</v>
      </c>
      <c r="AS307" t="s">
        <v>349</v>
      </c>
      <c r="AT307">
        <v>1</v>
      </c>
      <c r="AU307">
        <v>0</v>
      </c>
      <c r="AV307">
        <v>0</v>
      </c>
      <c r="AW307" t="s">
        <v>704</v>
      </c>
      <c r="AX307" t="s">
        <v>1289</v>
      </c>
      <c r="AY307" t="s">
        <v>293</v>
      </c>
      <c r="AZ307" t="s">
        <v>353</v>
      </c>
      <c r="BA307" t="s">
        <v>355</v>
      </c>
      <c r="BB307" t="s">
        <v>299</v>
      </c>
      <c r="BC307" t="s">
        <v>292</v>
      </c>
      <c r="BD307" t="s">
        <v>293</v>
      </c>
      <c r="BE307" t="s">
        <v>292</v>
      </c>
      <c r="BF307" t="s">
        <v>293</v>
      </c>
      <c r="BG307" t="s">
        <v>293</v>
      </c>
      <c r="BH307" t="s">
        <v>302</v>
      </c>
      <c r="BI307" t="s">
        <v>302</v>
      </c>
      <c r="BJ307" t="s">
        <v>359</v>
      </c>
      <c r="BK307" t="s">
        <v>293</v>
      </c>
      <c r="BL307" t="s">
        <v>293</v>
      </c>
      <c r="BM307" t="s">
        <v>297</v>
      </c>
      <c r="BN307" t="s">
        <v>298</v>
      </c>
      <c r="BO307" t="s">
        <v>293</v>
      </c>
      <c r="BP307" t="s">
        <v>292</v>
      </c>
      <c r="BQ307" t="s">
        <v>293</v>
      </c>
      <c r="BR307" t="s">
        <v>293</v>
      </c>
      <c r="BS307" t="s">
        <v>364</v>
      </c>
      <c r="BT307" t="s">
        <v>304</v>
      </c>
      <c r="BU307" t="s">
        <v>371</v>
      </c>
      <c r="BV307" t="s">
        <v>371</v>
      </c>
      <c r="BW307" t="s">
        <v>2750</v>
      </c>
      <c r="BX307" t="str">
        <f>IF(J307="win",VLOOKUP(B307,ColorScheme!$A$2:$I$32,4,0),VLOOKUP(B307,ColorScheme!$A$2:$I$32,5,0))</f>
        <v>#6e750e50</v>
      </c>
    </row>
    <row r="308" spans="1:76" x14ac:dyDescent="0.3">
      <c r="A308" t="s">
        <v>43</v>
      </c>
      <c r="B308" t="s">
        <v>54</v>
      </c>
      <c r="C308" t="s">
        <v>28</v>
      </c>
      <c r="D308" t="s">
        <v>29</v>
      </c>
      <c r="E308" t="s">
        <v>1010</v>
      </c>
      <c r="F308" t="b">
        <v>1</v>
      </c>
      <c r="G308">
        <v>100</v>
      </c>
      <c r="H308">
        <v>1</v>
      </c>
      <c r="I308">
        <v>8129</v>
      </c>
      <c r="J308" s="61" t="s">
        <v>18</v>
      </c>
      <c r="K308" s="16" t="s">
        <v>272</v>
      </c>
      <c r="L308" s="16">
        <v>3</v>
      </c>
      <c r="M308" s="16" t="s">
        <v>277</v>
      </c>
      <c r="N308" s="16" t="s">
        <v>335</v>
      </c>
      <c r="O308" s="15" t="s">
        <v>281</v>
      </c>
      <c r="P308" t="s">
        <v>285</v>
      </c>
      <c r="Q308" t="s">
        <v>282</v>
      </c>
      <c r="R308" s="17" t="s">
        <v>371</v>
      </c>
      <c r="S308" s="17">
        <v>1</v>
      </c>
      <c r="T308" s="17">
        <v>1</v>
      </c>
      <c r="U308" s="17">
        <v>0</v>
      </c>
      <c r="V308" s="17">
        <v>0</v>
      </c>
      <c r="W308" s="17">
        <v>0</v>
      </c>
      <c r="X308" s="17">
        <v>1</v>
      </c>
      <c r="Y308" s="17">
        <v>0</v>
      </c>
      <c r="Z308" s="17">
        <v>0</v>
      </c>
      <c r="AA308" s="17">
        <v>0</v>
      </c>
      <c r="AB308" s="17">
        <v>0</v>
      </c>
      <c r="AC308" s="17" t="s">
        <v>704</v>
      </c>
      <c r="AD308" s="16" t="s">
        <v>340</v>
      </c>
      <c r="AE308" s="16" t="s">
        <v>342</v>
      </c>
      <c r="AF308" s="15" t="s">
        <v>343</v>
      </c>
      <c r="AG308" s="15" t="s">
        <v>344</v>
      </c>
      <c r="AH308" s="17" t="s">
        <v>347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  <c r="AQ308" t="s">
        <v>704</v>
      </c>
      <c r="AR308" t="s">
        <v>349</v>
      </c>
      <c r="AS308" t="s">
        <v>349</v>
      </c>
      <c r="AT308">
        <v>1</v>
      </c>
      <c r="AU308">
        <v>0</v>
      </c>
      <c r="AV308">
        <v>0</v>
      </c>
      <c r="AW308" t="s">
        <v>704</v>
      </c>
      <c r="AX308" t="s">
        <v>1289</v>
      </c>
      <c r="AY308" t="s">
        <v>293</v>
      </c>
      <c r="AZ308" t="s">
        <v>353</v>
      </c>
      <c r="BA308" t="s">
        <v>355</v>
      </c>
      <c r="BB308" t="s">
        <v>299</v>
      </c>
      <c r="BC308" t="s">
        <v>292</v>
      </c>
      <c r="BD308" t="s">
        <v>293</v>
      </c>
      <c r="BE308" t="s">
        <v>292</v>
      </c>
      <c r="BF308" t="s">
        <v>293</v>
      </c>
      <c r="BG308" t="s">
        <v>293</v>
      </c>
      <c r="BH308" t="s">
        <v>302</v>
      </c>
      <c r="BI308" t="s">
        <v>302</v>
      </c>
      <c r="BJ308" t="s">
        <v>359</v>
      </c>
      <c r="BK308" t="s">
        <v>293</v>
      </c>
      <c r="BL308" t="s">
        <v>293</v>
      </c>
      <c r="BM308" t="s">
        <v>297</v>
      </c>
      <c r="BN308" t="s">
        <v>298</v>
      </c>
      <c r="BO308" t="s">
        <v>293</v>
      </c>
      <c r="BP308" t="s">
        <v>292</v>
      </c>
      <c r="BQ308" t="s">
        <v>293</v>
      </c>
      <c r="BR308" t="s">
        <v>293</v>
      </c>
      <c r="BS308" t="s">
        <v>364</v>
      </c>
      <c r="BT308" t="s">
        <v>304</v>
      </c>
      <c r="BU308" t="s">
        <v>371</v>
      </c>
      <c r="BV308" t="s">
        <v>371</v>
      </c>
      <c r="BW308" t="s">
        <v>2751</v>
      </c>
      <c r="BX308" t="str">
        <f>IF(J308="win",VLOOKUP(B308,ColorScheme!$A$2:$I$32,4,0),VLOOKUP(B308,ColorScheme!$A$2:$I$32,5,0))</f>
        <v>#6e750e50</v>
      </c>
    </row>
    <row r="309" spans="1:76" s="38" customFormat="1" x14ac:dyDescent="0.3">
      <c r="A309" s="38" t="s">
        <v>9</v>
      </c>
      <c r="B309" s="38" t="s">
        <v>52</v>
      </c>
      <c r="C309" s="38" t="s">
        <v>15</v>
      </c>
      <c r="D309" s="38" t="s">
        <v>12</v>
      </c>
      <c r="E309" s="38" t="s">
        <v>1011</v>
      </c>
      <c r="F309" s="38" t="b">
        <v>1</v>
      </c>
      <c r="G309" s="38">
        <v>99.9</v>
      </c>
      <c r="H309" s="38">
        <v>0</v>
      </c>
      <c r="I309" s="38">
        <v>5056</v>
      </c>
      <c r="J309" s="61" t="s">
        <v>18</v>
      </c>
      <c r="K309" s="39" t="s">
        <v>272</v>
      </c>
      <c r="L309" s="39">
        <v>2</v>
      </c>
      <c r="M309" s="39" t="s">
        <v>333</v>
      </c>
      <c r="N309" s="39" t="s">
        <v>278</v>
      </c>
      <c r="O309" s="40" t="s">
        <v>339</v>
      </c>
      <c r="P309" s="38" t="s">
        <v>371</v>
      </c>
      <c r="Q309" s="38" t="s">
        <v>371</v>
      </c>
      <c r="R309" s="41" t="s">
        <v>371</v>
      </c>
      <c r="S309" s="41">
        <v>0</v>
      </c>
      <c r="T309" s="41">
        <v>0</v>
      </c>
      <c r="U309" s="41">
        <v>0</v>
      </c>
      <c r="V309" s="41">
        <v>0</v>
      </c>
      <c r="W309" s="41">
        <v>0</v>
      </c>
      <c r="X309" s="41">
        <v>0</v>
      </c>
      <c r="Y309" s="41">
        <v>0</v>
      </c>
      <c r="Z309" s="41">
        <v>0</v>
      </c>
      <c r="AA309" s="41">
        <v>1</v>
      </c>
      <c r="AB309" s="41">
        <v>0</v>
      </c>
      <c r="AC309" s="41" t="s">
        <v>704</v>
      </c>
      <c r="AD309" s="39" t="s">
        <v>341</v>
      </c>
      <c r="AE309" s="39" t="s">
        <v>340</v>
      </c>
      <c r="AF309" s="40" t="s">
        <v>343</v>
      </c>
      <c r="AG309" s="40" t="s">
        <v>345</v>
      </c>
      <c r="AH309" s="41" t="s">
        <v>371</v>
      </c>
      <c r="AI309" s="38">
        <v>0</v>
      </c>
      <c r="AJ309" s="38">
        <v>1</v>
      </c>
      <c r="AK309" s="38">
        <v>0</v>
      </c>
      <c r="AL309" s="38">
        <v>0</v>
      </c>
      <c r="AM309" s="38">
        <v>0</v>
      </c>
      <c r="AN309" s="38">
        <v>0</v>
      </c>
      <c r="AO309" s="38">
        <v>0</v>
      </c>
      <c r="AP309" s="38">
        <v>0</v>
      </c>
      <c r="AQ309" s="38" t="s">
        <v>704</v>
      </c>
      <c r="AR309" s="38" t="s">
        <v>349</v>
      </c>
      <c r="AS309" s="38" t="s">
        <v>349</v>
      </c>
      <c r="AT309" s="38">
        <v>1</v>
      </c>
      <c r="AU309" s="38">
        <v>0</v>
      </c>
      <c r="AV309" s="38">
        <v>0</v>
      </c>
      <c r="AW309" s="38" t="s">
        <v>704</v>
      </c>
      <c r="AX309" t="s">
        <v>1290</v>
      </c>
      <c r="AY309" s="38" t="s">
        <v>293</v>
      </c>
      <c r="AZ309" s="38" t="s">
        <v>353</v>
      </c>
      <c r="BA309" s="38" t="s">
        <v>355</v>
      </c>
      <c r="BB309" s="38" t="s">
        <v>300</v>
      </c>
      <c r="BC309" s="38" t="s">
        <v>292</v>
      </c>
      <c r="BD309" s="38" t="s">
        <v>293</v>
      </c>
      <c r="BE309" s="38" t="s">
        <v>292</v>
      </c>
      <c r="BF309" s="38" t="s">
        <v>292</v>
      </c>
      <c r="BG309" s="38" t="s">
        <v>293</v>
      </c>
      <c r="BH309" s="38" t="s">
        <v>302</v>
      </c>
      <c r="BI309" s="38" t="s">
        <v>302</v>
      </c>
      <c r="BJ309" s="38" t="s">
        <v>359</v>
      </c>
      <c r="BK309" s="38" t="s">
        <v>293</v>
      </c>
      <c r="BL309" s="38" t="s">
        <v>293</v>
      </c>
      <c r="BM309" s="38" t="s">
        <v>297</v>
      </c>
      <c r="BN309" s="38" t="s">
        <v>298</v>
      </c>
      <c r="BO309" s="38" t="s">
        <v>293</v>
      </c>
      <c r="BP309" s="38" t="s">
        <v>292</v>
      </c>
      <c r="BQ309" s="38" t="s">
        <v>293</v>
      </c>
      <c r="BR309" s="38" t="s">
        <v>293</v>
      </c>
      <c r="BS309" s="38" t="s">
        <v>364</v>
      </c>
      <c r="BT309" s="38" t="s">
        <v>367</v>
      </c>
      <c r="BU309" s="38" t="s">
        <v>380</v>
      </c>
      <c r="BV309" s="38" t="s">
        <v>371</v>
      </c>
      <c r="BW309" t="s">
        <v>2752</v>
      </c>
      <c r="BX309" t="str">
        <f>IF(J309="win",VLOOKUP(B309,ColorScheme!$A$2:$I$32,4,0),VLOOKUP(B309,ColorScheme!$A$2:$I$32,5,0))</f>
        <v>#ff796c50</v>
      </c>
    </row>
    <row r="310" spans="1:76" x14ac:dyDescent="0.3">
      <c r="A310" t="s">
        <v>9</v>
      </c>
      <c r="B310" t="s">
        <v>52</v>
      </c>
      <c r="C310" t="s">
        <v>14</v>
      </c>
      <c r="D310" t="s">
        <v>12</v>
      </c>
      <c r="E310" t="s">
        <v>1012</v>
      </c>
      <c r="F310" t="b">
        <v>1</v>
      </c>
      <c r="G310">
        <v>100</v>
      </c>
      <c r="H310">
        <v>1</v>
      </c>
      <c r="I310">
        <v>3639</v>
      </c>
      <c r="J310" s="61" t="s">
        <v>18</v>
      </c>
      <c r="K310" s="16" t="s">
        <v>272</v>
      </c>
      <c r="L310" s="16">
        <v>3</v>
      </c>
      <c r="M310" s="16" t="s">
        <v>277</v>
      </c>
      <c r="N310" s="16" t="s">
        <v>335</v>
      </c>
      <c r="O310" s="15" t="s">
        <v>284</v>
      </c>
      <c r="P310" t="s">
        <v>371</v>
      </c>
      <c r="Q310" t="s">
        <v>371</v>
      </c>
      <c r="R310" s="17" t="s">
        <v>371</v>
      </c>
      <c r="S310" s="17">
        <v>0</v>
      </c>
      <c r="T310" s="17">
        <v>0</v>
      </c>
      <c r="U310" s="17">
        <v>0</v>
      </c>
      <c r="V310" s="17">
        <v>1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 t="s">
        <v>704</v>
      </c>
      <c r="AD310" s="16" t="s">
        <v>341</v>
      </c>
      <c r="AE310" s="16" t="s">
        <v>340</v>
      </c>
      <c r="AF310" s="15" t="s">
        <v>343</v>
      </c>
      <c r="AG310" s="15" t="s">
        <v>345</v>
      </c>
      <c r="AH310" s="17" t="s">
        <v>371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704</v>
      </c>
      <c r="AR310" t="s">
        <v>349</v>
      </c>
      <c r="AS310" t="s">
        <v>349</v>
      </c>
      <c r="AT310">
        <v>1</v>
      </c>
      <c r="AU310">
        <v>0</v>
      </c>
      <c r="AV310">
        <v>0</v>
      </c>
      <c r="AW310" t="s">
        <v>704</v>
      </c>
      <c r="AX310" t="s">
        <v>1291</v>
      </c>
      <c r="AY310" t="s">
        <v>293</v>
      </c>
      <c r="AZ310" t="s">
        <v>353</v>
      </c>
      <c r="BA310" t="s">
        <v>297</v>
      </c>
      <c r="BB310" t="s">
        <v>300</v>
      </c>
      <c r="BC310" t="s">
        <v>292</v>
      </c>
      <c r="BD310" t="s">
        <v>293</v>
      </c>
      <c r="BE310" t="s">
        <v>292</v>
      </c>
      <c r="BF310" t="s">
        <v>293</v>
      </c>
      <c r="BG310" t="s">
        <v>293</v>
      </c>
      <c r="BH310" t="s">
        <v>302</v>
      </c>
      <c r="BI310" t="s">
        <v>302</v>
      </c>
      <c r="BJ310" t="s">
        <v>359</v>
      </c>
      <c r="BK310" t="s">
        <v>293</v>
      </c>
      <c r="BL310" t="s">
        <v>293</v>
      </c>
      <c r="BM310" t="s">
        <v>297</v>
      </c>
      <c r="BN310" t="s">
        <v>298</v>
      </c>
      <c r="BO310" t="s">
        <v>293</v>
      </c>
      <c r="BP310" t="s">
        <v>292</v>
      </c>
      <c r="BQ310" t="s">
        <v>293</v>
      </c>
      <c r="BR310" t="s">
        <v>293</v>
      </c>
      <c r="BS310" t="s">
        <v>364</v>
      </c>
      <c r="BT310" t="s">
        <v>304</v>
      </c>
      <c r="BU310" t="s">
        <v>371</v>
      </c>
      <c r="BV310" t="s">
        <v>371</v>
      </c>
      <c r="BW310" t="s">
        <v>2753</v>
      </c>
      <c r="BX310" t="str">
        <f>IF(J310="win",VLOOKUP(B310,ColorScheme!$A$2:$I$32,4,0),VLOOKUP(B310,ColorScheme!$A$2:$I$32,5,0))</f>
        <v>#ff796c50</v>
      </c>
    </row>
    <row r="311" spans="1:76" x14ac:dyDescent="0.3">
      <c r="A311" t="s">
        <v>9</v>
      </c>
      <c r="B311" t="s">
        <v>52</v>
      </c>
      <c r="C311" t="s">
        <v>11</v>
      </c>
      <c r="D311" t="s">
        <v>12</v>
      </c>
      <c r="E311" t="s">
        <v>1013</v>
      </c>
      <c r="F311" t="b">
        <v>1</v>
      </c>
      <c r="G311">
        <v>100</v>
      </c>
      <c r="H311">
        <v>1</v>
      </c>
      <c r="I311">
        <v>10586</v>
      </c>
      <c r="J311" s="61" t="s">
        <v>18</v>
      </c>
      <c r="K311" s="16" t="s">
        <v>272</v>
      </c>
      <c r="L311" s="16">
        <v>3</v>
      </c>
      <c r="M311" s="16" t="s">
        <v>277</v>
      </c>
      <c r="N311" s="16" t="s">
        <v>335</v>
      </c>
      <c r="O311" s="15" t="s">
        <v>284</v>
      </c>
      <c r="P311" t="s">
        <v>282</v>
      </c>
      <c r="Q311" t="s">
        <v>371</v>
      </c>
      <c r="R311" s="17" t="s">
        <v>371</v>
      </c>
      <c r="S311" s="17">
        <v>0</v>
      </c>
      <c r="T311" s="17">
        <v>1</v>
      </c>
      <c r="U311" s="17">
        <v>0</v>
      </c>
      <c r="V311" s="17">
        <v>1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 t="s">
        <v>704</v>
      </c>
      <c r="AD311" s="16" t="s">
        <v>341</v>
      </c>
      <c r="AE311" s="16" t="s">
        <v>342</v>
      </c>
      <c r="AF311" s="15" t="s">
        <v>343</v>
      </c>
      <c r="AG311" s="15" t="s">
        <v>345</v>
      </c>
      <c r="AH311" s="17" t="s">
        <v>344</v>
      </c>
      <c r="AI311">
        <v>1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704</v>
      </c>
      <c r="AR311" t="s">
        <v>349</v>
      </c>
      <c r="AS311" t="s">
        <v>349</v>
      </c>
      <c r="AT311">
        <v>1</v>
      </c>
      <c r="AU311">
        <v>0</v>
      </c>
      <c r="AV311">
        <v>0</v>
      </c>
      <c r="AW311" t="s">
        <v>704</v>
      </c>
      <c r="AX311" t="s">
        <v>1292</v>
      </c>
      <c r="AY311" t="s">
        <v>293</v>
      </c>
      <c r="AZ311" t="s">
        <v>353</v>
      </c>
      <c r="BA311" t="s">
        <v>297</v>
      </c>
      <c r="BB311" t="s">
        <v>300</v>
      </c>
      <c r="BC311" t="s">
        <v>292</v>
      </c>
      <c r="BD311" t="s">
        <v>293</v>
      </c>
      <c r="BE311" t="s">
        <v>292</v>
      </c>
      <c r="BF311" t="s">
        <v>292</v>
      </c>
      <c r="BG311" t="s">
        <v>293</v>
      </c>
      <c r="BH311" t="s">
        <v>302</v>
      </c>
      <c r="BI311" t="s">
        <v>302</v>
      </c>
      <c r="BJ311" t="s">
        <v>302</v>
      </c>
      <c r="BK311" t="s">
        <v>293</v>
      </c>
      <c r="BL311" t="s">
        <v>293</v>
      </c>
      <c r="BM311" t="s">
        <v>297</v>
      </c>
      <c r="BN311" t="s">
        <v>298</v>
      </c>
      <c r="BO311" t="s">
        <v>293</v>
      </c>
      <c r="BP311" t="s">
        <v>292</v>
      </c>
      <c r="BQ311" t="s">
        <v>293</v>
      </c>
      <c r="BR311" t="s">
        <v>293</v>
      </c>
      <c r="BS311" t="s">
        <v>364</v>
      </c>
      <c r="BT311" t="s">
        <v>304</v>
      </c>
      <c r="BU311" t="s">
        <v>371</v>
      </c>
      <c r="BV311" t="s">
        <v>371</v>
      </c>
      <c r="BW311" t="s">
        <v>2754</v>
      </c>
      <c r="BX311" t="str">
        <f>IF(J311="win",VLOOKUP(B311,ColorScheme!$A$2:$I$32,4,0),VLOOKUP(B311,ColorScheme!$A$2:$I$32,5,0))</f>
        <v>#ff796c50</v>
      </c>
    </row>
    <row r="312" spans="1:76" x14ac:dyDescent="0.3">
      <c r="A312" t="s">
        <v>9</v>
      </c>
      <c r="B312" t="s">
        <v>52</v>
      </c>
      <c r="C312" t="s">
        <v>16</v>
      </c>
      <c r="D312" t="s">
        <v>12</v>
      </c>
      <c r="E312" t="s">
        <v>1014</v>
      </c>
      <c r="F312" t="b">
        <v>1</v>
      </c>
      <c r="G312">
        <v>100</v>
      </c>
      <c r="H312">
        <v>1</v>
      </c>
      <c r="I312">
        <v>16027</v>
      </c>
      <c r="J312" s="61" t="s">
        <v>18</v>
      </c>
      <c r="K312" s="16" t="s">
        <v>272</v>
      </c>
      <c r="L312" s="16">
        <v>3</v>
      </c>
      <c r="M312" s="16" t="s">
        <v>277</v>
      </c>
      <c r="N312" s="16" t="s">
        <v>335</v>
      </c>
      <c r="O312" s="15" t="s">
        <v>339</v>
      </c>
      <c r="P312" t="s">
        <v>283</v>
      </c>
      <c r="Q312" t="s">
        <v>282</v>
      </c>
      <c r="R312" s="17" t="s">
        <v>371</v>
      </c>
      <c r="S312" s="17">
        <v>0</v>
      </c>
      <c r="T312" s="17">
        <v>1</v>
      </c>
      <c r="U312" s="17">
        <v>1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1</v>
      </c>
      <c r="AB312" s="17">
        <v>0</v>
      </c>
      <c r="AC312" s="17" t="s">
        <v>704</v>
      </c>
      <c r="AD312" s="16" t="s">
        <v>341</v>
      </c>
      <c r="AE312" s="16" t="s">
        <v>340</v>
      </c>
      <c r="AF312" s="15" t="s">
        <v>343</v>
      </c>
      <c r="AG312" s="15" t="s">
        <v>345</v>
      </c>
      <c r="AH312" s="17" t="s">
        <v>377</v>
      </c>
      <c r="AI312">
        <v>0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704</v>
      </c>
      <c r="AR312" t="s">
        <v>349</v>
      </c>
      <c r="AS312" t="s">
        <v>349</v>
      </c>
      <c r="AT312">
        <v>1</v>
      </c>
      <c r="AU312">
        <v>0</v>
      </c>
      <c r="AV312">
        <v>0</v>
      </c>
      <c r="AW312" t="s">
        <v>704</v>
      </c>
      <c r="AX312" t="s">
        <v>1293</v>
      </c>
      <c r="AY312" t="s">
        <v>293</v>
      </c>
      <c r="AZ312" t="s">
        <v>353</v>
      </c>
      <c r="BA312" t="s">
        <v>355</v>
      </c>
      <c r="BB312" t="s">
        <v>300</v>
      </c>
      <c r="BC312" t="s">
        <v>292</v>
      </c>
      <c r="BD312" t="s">
        <v>292</v>
      </c>
      <c r="BE312" t="s">
        <v>292</v>
      </c>
      <c r="BF312" t="s">
        <v>292</v>
      </c>
      <c r="BG312" t="s">
        <v>293</v>
      </c>
      <c r="BH312" t="s">
        <v>302</v>
      </c>
      <c r="BI312" t="s">
        <v>302</v>
      </c>
      <c r="BJ312" t="s">
        <v>359</v>
      </c>
      <c r="BK312" t="s">
        <v>293</v>
      </c>
      <c r="BL312" t="s">
        <v>293</v>
      </c>
      <c r="BM312" t="s">
        <v>297</v>
      </c>
      <c r="BN312" t="s">
        <v>356</v>
      </c>
      <c r="BO312" t="s">
        <v>293</v>
      </c>
      <c r="BP312" t="s">
        <v>292</v>
      </c>
      <c r="BQ312" t="s">
        <v>293</v>
      </c>
      <c r="BR312" t="s">
        <v>293</v>
      </c>
      <c r="BS312" t="s">
        <v>364</v>
      </c>
      <c r="BT312" t="s">
        <v>304</v>
      </c>
      <c r="BU312" t="s">
        <v>371</v>
      </c>
      <c r="BV312" t="s">
        <v>371</v>
      </c>
      <c r="BW312" t="s">
        <v>2755</v>
      </c>
      <c r="BX312" t="str">
        <f>IF(J312="win",VLOOKUP(B312,ColorScheme!$A$2:$I$32,4,0),VLOOKUP(B312,ColorScheme!$A$2:$I$32,5,0))</f>
        <v>#ff796c50</v>
      </c>
    </row>
    <row r="313" spans="1:76" x14ac:dyDescent="0.3">
      <c r="A313" t="s">
        <v>9</v>
      </c>
      <c r="B313" t="s">
        <v>52</v>
      </c>
      <c r="C313" t="s">
        <v>23</v>
      </c>
      <c r="D313" t="s">
        <v>29</v>
      </c>
      <c r="E313" t="s">
        <v>1015</v>
      </c>
      <c r="F313" t="b">
        <v>1</v>
      </c>
      <c r="G313">
        <v>86.3</v>
      </c>
      <c r="H313">
        <v>0</v>
      </c>
      <c r="I313">
        <v>14454</v>
      </c>
      <c r="J313" s="61" t="s">
        <v>13</v>
      </c>
      <c r="K313" s="16" t="s">
        <v>272</v>
      </c>
      <c r="L313" s="16">
        <v>3</v>
      </c>
      <c r="M313" s="16" t="s">
        <v>277</v>
      </c>
      <c r="N313" s="16" t="s">
        <v>335</v>
      </c>
      <c r="O313" s="15" t="s">
        <v>339</v>
      </c>
      <c r="P313" t="s">
        <v>283</v>
      </c>
      <c r="Q313" t="s">
        <v>282</v>
      </c>
      <c r="R313" s="17" t="s">
        <v>371</v>
      </c>
      <c r="S313" s="17">
        <v>0</v>
      </c>
      <c r="T313" s="17">
        <v>1</v>
      </c>
      <c r="U313" s="17">
        <v>1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1</v>
      </c>
      <c r="AB313" s="17">
        <v>0</v>
      </c>
      <c r="AC313" s="17" t="s">
        <v>704</v>
      </c>
      <c r="AD313" s="16" t="s">
        <v>341</v>
      </c>
      <c r="AE313" s="16" t="s">
        <v>340</v>
      </c>
      <c r="AF313" s="15" t="s">
        <v>343</v>
      </c>
      <c r="AG313" s="15" t="s">
        <v>345</v>
      </c>
      <c r="AH313" s="17" t="s">
        <v>377</v>
      </c>
      <c r="AI313">
        <v>0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704</v>
      </c>
      <c r="AR313" t="s">
        <v>349</v>
      </c>
      <c r="AS313" t="s">
        <v>349</v>
      </c>
      <c r="AT313">
        <v>1</v>
      </c>
      <c r="AU313">
        <v>0</v>
      </c>
      <c r="AV313">
        <v>0</v>
      </c>
      <c r="AW313" t="s">
        <v>704</v>
      </c>
      <c r="AX313" t="s">
        <v>1293</v>
      </c>
      <c r="AY313" t="s">
        <v>293</v>
      </c>
      <c r="AZ313" t="s">
        <v>353</v>
      </c>
      <c r="BA313" t="s">
        <v>355</v>
      </c>
      <c r="BB313" t="s">
        <v>300</v>
      </c>
      <c r="BC313" t="s">
        <v>292</v>
      </c>
      <c r="BD313" t="s">
        <v>292</v>
      </c>
      <c r="BE313" t="s">
        <v>292</v>
      </c>
      <c r="BF313" t="s">
        <v>292</v>
      </c>
      <c r="BG313" t="s">
        <v>293</v>
      </c>
      <c r="BH313" t="s">
        <v>302</v>
      </c>
      <c r="BI313" t="s">
        <v>302</v>
      </c>
      <c r="BJ313" t="s">
        <v>359</v>
      </c>
      <c r="BK313" t="s">
        <v>293</v>
      </c>
      <c r="BL313" t="s">
        <v>293</v>
      </c>
      <c r="BM313" t="s">
        <v>297</v>
      </c>
      <c r="BN313" t="s">
        <v>356</v>
      </c>
      <c r="BO313" t="s">
        <v>293</v>
      </c>
      <c r="BP313" t="s">
        <v>292</v>
      </c>
      <c r="BQ313" t="s">
        <v>293</v>
      </c>
      <c r="BR313" t="s">
        <v>293</v>
      </c>
      <c r="BS313" t="s">
        <v>364</v>
      </c>
      <c r="BT313" t="s">
        <v>366</v>
      </c>
      <c r="BU313" t="s">
        <v>371</v>
      </c>
      <c r="BV313" t="s">
        <v>371</v>
      </c>
      <c r="BW313" t="s">
        <v>2756</v>
      </c>
      <c r="BX313" t="str">
        <f>IF(J313="win",VLOOKUP(B313,ColorScheme!$A$2:$I$32,4,0),VLOOKUP(B313,ColorScheme!$A$2:$I$32,5,0))</f>
        <v>#ff796c</v>
      </c>
    </row>
    <row r="314" spans="1:76" x14ac:dyDescent="0.3">
      <c r="A314" t="s">
        <v>9</v>
      </c>
      <c r="B314" t="s">
        <v>52</v>
      </c>
      <c r="C314" t="s">
        <v>21</v>
      </c>
      <c r="D314" t="s">
        <v>29</v>
      </c>
      <c r="E314" t="s">
        <v>1016</v>
      </c>
      <c r="F314" t="b">
        <v>1</v>
      </c>
      <c r="G314">
        <v>100</v>
      </c>
      <c r="H314">
        <v>1</v>
      </c>
      <c r="I314">
        <v>9109</v>
      </c>
      <c r="J314" s="61" t="s">
        <v>18</v>
      </c>
      <c r="K314" s="16" t="s">
        <v>272</v>
      </c>
      <c r="L314" s="16">
        <v>3</v>
      </c>
      <c r="M314" s="16" t="s">
        <v>277</v>
      </c>
      <c r="N314" s="16" t="s">
        <v>335</v>
      </c>
      <c r="O314" s="15" t="s">
        <v>339</v>
      </c>
      <c r="P314" t="s">
        <v>283</v>
      </c>
      <c r="Q314" t="s">
        <v>282</v>
      </c>
      <c r="R314" s="17" t="s">
        <v>371</v>
      </c>
      <c r="S314" s="17">
        <v>0</v>
      </c>
      <c r="T314" s="17">
        <v>1</v>
      </c>
      <c r="U314" s="17">
        <v>1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1</v>
      </c>
      <c r="AB314" s="17">
        <v>0</v>
      </c>
      <c r="AC314" s="17" t="s">
        <v>704</v>
      </c>
      <c r="AD314" s="16" t="s">
        <v>341</v>
      </c>
      <c r="AE314" s="16" t="s">
        <v>340</v>
      </c>
      <c r="AF314" s="15" t="s">
        <v>340</v>
      </c>
      <c r="AG314" s="15" t="s">
        <v>345</v>
      </c>
      <c r="AH314" s="17" t="s">
        <v>371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704</v>
      </c>
      <c r="AR314" t="s">
        <v>349</v>
      </c>
      <c r="AS314" t="s">
        <v>349</v>
      </c>
      <c r="AT314">
        <v>1</v>
      </c>
      <c r="AU314">
        <v>0</v>
      </c>
      <c r="AV314">
        <v>0</v>
      </c>
      <c r="AW314" t="s">
        <v>704</v>
      </c>
      <c r="AX314" t="s">
        <v>1294</v>
      </c>
      <c r="AY314" t="s">
        <v>293</v>
      </c>
      <c r="AZ314" t="s">
        <v>353</v>
      </c>
      <c r="BA314" t="s">
        <v>355</v>
      </c>
      <c r="BB314" t="s">
        <v>300</v>
      </c>
      <c r="BC314" t="s">
        <v>292</v>
      </c>
      <c r="BD314" t="s">
        <v>292</v>
      </c>
      <c r="BE314" t="s">
        <v>292</v>
      </c>
      <c r="BF314" t="s">
        <v>292</v>
      </c>
      <c r="BG314" t="s">
        <v>293</v>
      </c>
      <c r="BH314" t="s">
        <v>302</v>
      </c>
      <c r="BI314" t="s">
        <v>302</v>
      </c>
      <c r="BJ314" t="s">
        <v>302</v>
      </c>
      <c r="BK314" t="s">
        <v>293</v>
      </c>
      <c r="BL314" t="s">
        <v>293</v>
      </c>
      <c r="BM314" t="s">
        <v>297</v>
      </c>
      <c r="BN314" t="s">
        <v>356</v>
      </c>
      <c r="BO314" t="s">
        <v>293</v>
      </c>
      <c r="BP314" t="s">
        <v>292</v>
      </c>
      <c r="BQ314" t="s">
        <v>293</v>
      </c>
      <c r="BR314" t="s">
        <v>293</v>
      </c>
      <c r="BS314" t="s">
        <v>364</v>
      </c>
      <c r="BT314" t="s">
        <v>304</v>
      </c>
      <c r="BU314" t="s">
        <v>371</v>
      </c>
      <c r="BV314" t="s">
        <v>371</v>
      </c>
      <c r="BW314" t="s">
        <v>2757</v>
      </c>
      <c r="BX314" t="str">
        <f>IF(J314="win",VLOOKUP(B314,ColorScheme!$A$2:$I$32,4,0),VLOOKUP(B314,ColorScheme!$A$2:$I$32,5,0))</f>
        <v>#ff796c50</v>
      </c>
    </row>
    <row r="315" spans="1:76" x14ac:dyDescent="0.3">
      <c r="A315" t="s">
        <v>9</v>
      </c>
      <c r="B315" t="s">
        <v>52</v>
      </c>
      <c r="C315" t="s">
        <v>19</v>
      </c>
      <c r="D315" t="s">
        <v>29</v>
      </c>
      <c r="E315" t="s">
        <v>1017</v>
      </c>
      <c r="F315" t="b">
        <v>1</v>
      </c>
      <c r="G315">
        <v>100</v>
      </c>
      <c r="H315">
        <v>1</v>
      </c>
      <c r="I315">
        <v>19446</v>
      </c>
      <c r="J315" s="61" t="s">
        <v>18</v>
      </c>
      <c r="K315" s="16" t="s">
        <v>272</v>
      </c>
      <c r="L315" s="16">
        <v>3</v>
      </c>
      <c r="M315" s="16" t="s">
        <v>277</v>
      </c>
      <c r="N315" s="16" t="s">
        <v>335</v>
      </c>
      <c r="O315" s="15" t="s">
        <v>339</v>
      </c>
      <c r="P315" t="s">
        <v>282</v>
      </c>
      <c r="Q315" t="s">
        <v>371</v>
      </c>
      <c r="R315" s="17" t="s">
        <v>371</v>
      </c>
      <c r="S315" s="17">
        <v>0</v>
      </c>
      <c r="T315" s="17">
        <v>1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1</v>
      </c>
      <c r="AB315" s="17">
        <v>0</v>
      </c>
      <c r="AC315" s="17" t="s">
        <v>704</v>
      </c>
      <c r="AD315" s="16" t="s">
        <v>341</v>
      </c>
      <c r="AE315" s="16" t="s">
        <v>342</v>
      </c>
      <c r="AF315" s="15" t="s">
        <v>343</v>
      </c>
      <c r="AG315" s="15" t="s">
        <v>345</v>
      </c>
      <c r="AH315" s="17" t="s">
        <v>371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704</v>
      </c>
      <c r="AR315" t="s">
        <v>349</v>
      </c>
      <c r="AS315" t="s">
        <v>349</v>
      </c>
      <c r="AT315">
        <v>1</v>
      </c>
      <c r="AU315">
        <v>0</v>
      </c>
      <c r="AV315">
        <v>0</v>
      </c>
      <c r="AW315" t="s">
        <v>704</v>
      </c>
      <c r="AX315" t="s">
        <v>1295</v>
      </c>
      <c r="AY315" t="s">
        <v>293</v>
      </c>
      <c r="AZ315" t="s">
        <v>353</v>
      </c>
      <c r="BA315" t="s">
        <v>355</v>
      </c>
      <c r="BB315" t="s">
        <v>300</v>
      </c>
      <c r="BC315" t="s">
        <v>292</v>
      </c>
      <c r="BD315" t="s">
        <v>292</v>
      </c>
      <c r="BE315" t="s">
        <v>292</v>
      </c>
      <c r="BF315" t="s">
        <v>292</v>
      </c>
      <c r="BG315" t="s">
        <v>293</v>
      </c>
      <c r="BH315" t="s">
        <v>302</v>
      </c>
      <c r="BI315" t="s">
        <v>302</v>
      </c>
      <c r="BJ315" t="s">
        <v>302</v>
      </c>
      <c r="BK315" t="s">
        <v>293</v>
      </c>
      <c r="BL315" t="s">
        <v>293</v>
      </c>
      <c r="BM315" t="s">
        <v>297</v>
      </c>
      <c r="BN315" t="s">
        <v>356</v>
      </c>
      <c r="BO315" t="s">
        <v>293</v>
      </c>
      <c r="BP315" t="s">
        <v>292</v>
      </c>
      <c r="BQ315" t="s">
        <v>293</v>
      </c>
      <c r="BR315" t="s">
        <v>293</v>
      </c>
      <c r="BS315" t="s">
        <v>364</v>
      </c>
      <c r="BT315" t="s">
        <v>304</v>
      </c>
      <c r="BU315" t="s">
        <v>371</v>
      </c>
      <c r="BV315" t="s">
        <v>371</v>
      </c>
      <c r="BW315" t="s">
        <v>2758</v>
      </c>
      <c r="BX315" t="str">
        <f>IF(J315="win",VLOOKUP(B315,ColorScheme!$A$2:$I$32,4,0),VLOOKUP(B315,ColorScheme!$A$2:$I$32,5,0))</f>
        <v>#ff796c50</v>
      </c>
    </row>
    <row r="316" spans="1:76" x14ac:dyDescent="0.3">
      <c r="A316" t="s">
        <v>9</v>
      </c>
      <c r="B316" t="s">
        <v>52</v>
      </c>
      <c r="C316" t="s">
        <v>17</v>
      </c>
      <c r="D316" t="s">
        <v>29</v>
      </c>
      <c r="E316" t="s">
        <v>1018</v>
      </c>
      <c r="F316" t="b">
        <v>1</v>
      </c>
      <c r="G316">
        <v>100</v>
      </c>
      <c r="H316">
        <v>1</v>
      </c>
      <c r="I316">
        <v>15384</v>
      </c>
      <c r="J316" s="61" t="s">
        <v>18</v>
      </c>
      <c r="K316" s="16" t="s">
        <v>272</v>
      </c>
      <c r="L316" s="16">
        <v>3</v>
      </c>
      <c r="M316" s="16" t="s">
        <v>277</v>
      </c>
      <c r="N316" s="16" t="s">
        <v>335</v>
      </c>
      <c r="O316" s="15" t="s">
        <v>339</v>
      </c>
      <c r="P316" t="s">
        <v>282</v>
      </c>
      <c r="Q316" t="s">
        <v>371</v>
      </c>
      <c r="R316" s="17" t="s">
        <v>371</v>
      </c>
      <c r="S316" s="17">
        <v>0</v>
      </c>
      <c r="T316" s="17">
        <v>1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1</v>
      </c>
      <c r="AB316" s="17">
        <v>0</v>
      </c>
      <c r="AC316" s="17" t="s">
        <v>704</v>
      </c>
      <c r="AD316" s="16" t="s">
        <v>341</v>
      </c>
      <c r="AE316" s="16" t="s">
        <v>342</v>
      </c>
      <c r="AF316" s="15" t="s">
        <v>343</v>
      </c>
      <c r="AG316" s="15" t="s">
        <v>345</v>
      </c>
      <c r="AH316" s="17" t="s">
        <v>347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 t="s">
        <v>704</v>
      </c>
      <c r="AR316" t="s">
        <v>351</v>
      </c>
      <c r="AS316" t="s">
        <v>349</v>
      </c>
      <c r="AT316">
        <v>0</v>
      </c>
      <c r="AU316">
        <v>0</v>
      </c>
      <c r="AV316">
        <v>1</v>
      </c>
      <c r="AW316" t="s">
        <v>704</v>
      </c>
      <c r="AX316" t="s">
        <v>2914</v>
      </c>
      <c r="AY316" t="s">
        <v>293</v>
      </c>
      <c r="AZ316" t="s">
        <v>353</v>
      </c>
      <c r="BA316" t="s">
        <v>355</v>
      </c>
      <c r="BB316" t="s">
        <v>300</v>
      </c>
      <c r="BC316" t="s">
        <v>292</v>
      </c>
      <c r="BD316" t="s">
        <v>292</v>
      </c>
      <c r="BE316" t="s">
        <v>292</v>
      </c>
      <c r="BF316" t="s">
        <v>292</v>
      </c>
      <c r="BG316" t="s">
        <v>293</v>
      </c>
      <c r="BH316" t="s">
        <v>302</v>
      </c>
      <c r="BI316" t="s">
        <v>302</v>
      </c>
      <c r="BJ316" t="s">
        <v>302</v>
      </c>
      <c r="BK316" t="s">
        <v>293</v>
      </c>
      <c r="BL316" t="s">
        <v>293</v>
      </c>
      <c r="BM316" t="s">
        <v>297</v>
      </c>
      <c r="BN316" t="s">
        <v>356</v>
      </c>
      <c r="BO316" t="s">
        <v>293</v>
      </c>
      <c r="BP316" t="s">
        <v>292</v>
      </c>
      <c r="BQ316" t="s">
        <v>293</v>
      </c>
      <c r="BR316" t="s">
        <v>293</v>
      </c>
      <c r="BS316" t="s">
        <v>364</v>
      </c>
      <c r="BT316" t="s">
        <v>304</v>
      </c>
      <c r="BU316" t="s">
        <v>371</v>
      </c>
      <c r="BV316" t="s">
        <v>371</v>
      </c>
      <c r="BW316" t="s">
        <v>2759</v>
      </c>
      <c r="BX316" t="str">
        <f>IF(J316="win",VLOOKUP(B316,ColorScheme!$A$2:$I$32,4,0),VLOOKUP(B316,ColorScheme!$A$2:$I$32,5,0))</f>
        <v>#ff796c50</v>
      </c>
    </row>
    <row r="317" spans="1:76" x14ac:dyDescent="0.3">
      <c r="A317" t="s">
        <v>9</v>
      </c>
      <c r="B317" t="s">
        <v>52</v>
      </c>
      <c r="C317" t="s">
        <v>20</v>
      </c>
      <c r="D317" t="s">
        <v>29</v>
      </c>
      <c r="E317" t="s">
        <v>1019</v>
      </c>
      <c r="F317" t="b">
        <v>1</v>
      </c>
      <c r="G317">
        <v>100</v>
      </c>
      <c r="H317">
        <v>1</v>
      </c>
      <c r="I317">
        <v>20193</v>
      </c>
      <c r="J317" s="61" t="s">
        <v>18</v>
      </c>
      <c r="K317" s="16" t="s">
        <v>272</v>
      </c>
      <c r="L317" s="16">
        <v>3</v>
      </c>
      <c r="M317" s="16" t="s">
        <v>277</v>
      </c>
      <c r="N317" s="16" t="s">
        <v>335</v>
      </c>
      <c r="O317" s="15" t="s">
        <v>339</v>
      </c>
      <c r="P317" t="s">
        <v>282</v>
      </c>
      <c r="Q317" t="s">
        <v>371</v>
      </c>
      <c r="R317" s="17" t="s">
        <v>371</v>
      </c>
      <c r="S317" s="17">
        <v>0</v>
      </c>
      <c r="T317" s="17">
        <v>1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1</v>
      </c>
      <c r="AB317" s="17">
        <v>0</v>
      </c>
      <c r="AC317" s="17" t="s">
        <v>704</v>
      </c>
      <c r="AD317" s="16" t="s">
        <v>341</v>
      </c>
      <c r="AE317" s="16" t="s">
        <v>340</v>
      </c>
      <c r="AF317" s="15" t="s">
        <v>343</v>
      </c>
      <c r="AG317" s="15" t="s">
        <v>345</v>
      </c>
      <c r="AH317" s="17" t="s">
        <v>377</v>
      </c>
      <c r="AI317">
        <v>0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704</v>
      </c>
      <c r="AR317" t="s">
        <v>349</v>
      </c>
      <c r="AS317" t="s">
        <v>349</v>
      </c>
      <c r="AT317">
        <v>1</v>
      </c>
      <c r="AU317">
        <v>0</v>
      </c>
      <c r="AV317">
        <v>0</v>
      </c>
      <c r="AW317" t="s">
        <v>704</v>
      </c>
      <c r="AX317" t="s">
        <v>1296</v>
      </c>
      <c r="AY317" t="s">
        <v>293</v>
      </c>
      <c r="AZ317" t="s">
        <v>353</v>
      </c>
      <c r="BA317" t="s">
        <v>296</v>
      </c>
      <c r="BB317" t="s">
        <v>300</v>
      </c>
      <c r="BC317" t="s">
        <v>292</v>
      </c>
      <c r="BD317" t="s">
        <v>292</v>
      </c>
      <c r="BE317" t="s">
        <v>292</v>
      </c>
      <c r="BF317" t="s">
        <v>292</v>
      </c>
      <c r="BG317" t="s">
        <v>293</v>
      </c>
      <c r="BH317" t="s">
        <v>302</v>
      </c>
      <c r="BI317" t="s">
        <v>302</v>
      </c>
      <c r="BJ317" t="s">
        <v>302</v>
      </c>
      <c r="BK317" t="s">
        <v>293</v>
      </c>
      <c r="BL317" t="s">
        <v>293</v>
      </c>
      <c r="BM317" t="s">
        <v>296</v>
      </c>
      <c r="BN317" t="s">
        <v>356</v>
      </c>
      <c r="BO317" t="s">
        <v>293</v>
      </c>
      <c r="BP317" t="s">
        <v>292</v>
      </c>
      <c r="BQ317" t="s">
        <v>293</v>
      </c>
      <c r="BR317" t="s">
        <v>293</v>
      </c>
      <c r="BS317" t="s">
        <v>364</v>
      </c>
      <c r="BT317" t="s">
        <v>304</v>
      </c>
      <c r="BU317" t="s">
        <v>371</v>
      </c>
      <c r="BV317" t="s">
        <v>371</v>
      </c>
      <c r="BW317" t="s">
        <v>2760</v>
      </c>
      <c r="BX317" t="str">
        <f>IF(J317="win",VLOOKUP(B317,ColorScheme!$A$2:$I$32,4,0),VLOOKUP(B317,ColorScheme!$A$2:$I$32,5,0))</f>
        <v>#ff796c50</v>
      </c>
    </row>
    <row r="318" spans="1:76" x14ac:dyDescent="0.3">
      <c r="A318" t="s">
        <v>9</v>
      </c>
      <c r="B318" t="s">
        <v>52</v>
      </c>
      <c r="C318" t="s">
        <v>22</v>
      </c>
      <c r="D318" t="s">
        <v>29</v>
      </c>
      <c r="E318" t="s">
        <v>1020</v>
      </c>
      <c r="F318" t="b">
        <v>1</v>
      </c>
      <c r="G318">
        <v>85.8</v>
      </c>
      <c r="H318">
        <v>0</v>
      </c>
      <c r="I318">
        <v>18026</v>
      </c>
      <c r="J318" s="61" t="s">
        <v>13</v>
      </c>
      <c r="K318" s="16" t="s">
        <v>272</v>
      </c>
      <c r="L318" s="16">
        <v>3</v>
      </c>
      <c r="M318" s="16" t="s">
        <v>277</v>
      </c>
      <c r="N318" s="16" t="s">
        <v>335</v>
      </c>
      <c r="O318" s="15" t="s">
        <v>339</v>
      </c>
      <c r="P318" t="s">
        <v>283</v>
      </c>
      <c r="Q318" t="s">
        <v>282</v>
      </c>
      <c r="R318" s="17" t="s">
        <v>371</v>
      </c>
      <c r="S318" s="17">
        <v>0</v>
      </c>
      <c r="T318" s="17">
        <v>1</v>
      </c>
      <c r="U318" s="17">
        <v>1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1</v>
      </c>
      <c r="AB318" s="17">
        <v>0</v>
      </c>
      <c r="AC318" s="17" t="s">
        <v>704</v>
      </c>
      <c r="AD318" s="16" t="s">
        <v>341</v>
      </c>
      <c r="AE318" s="16" t="s">
        <v>340</v>
      </c>
      <c r="AF318" s="15" t="s">
        <v>343</v>
      </c>
      <c r="AG318" s="15" t="s">
        <v>345</v>
      </c>
      <c r="AH318" s="17" t="s">
        <v>377</v>
      </c>
      <c r="AI318">
        <v>0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704</v>
      </c>
      <c r="AR318" t="s">
        <v>349</v>
      </c>
      <c r="AS318" t="s">
        <v>349</v>
      </c>
      <c r="AT318">
        <v>1</v>
      </c>
      <c r="AU318">
        <v>0</v>
      </c>
      <c r="AV318">
        <v>0</v>
      </c>
      <c r="AW318" t="s">
        <v>704</v>
      </c>
      <c r="AX318" t="s">
        <v>1293</v>
      </c>
      <c r="AY318" t="s">
        <v>293</v>
      </c>
      <c r="AZ318" t="s">
        <v>353</v>
      </c>
      <c r="BA318" t="s">
        <v>296</v>
      </c>
      <c r="BB318" t="s">
        <v>300</v>
      </c>
      <c r="BC318" t="s">
        <v>292</v>
      </c>
      <c r="BD318" t="s">
        <v>292</v>
      </c>
      <c r="BE318" t="s">
        <v>292</v>
      </c>
      <c r="BF318" t="s">
        <v>292</v>
      </c>
      <c r="BG318" t="s">
        <v>293</v>
      </c>
      <c r="BH318" t="s">
        <v>302</v>
      </c>
      <c r="BI318" t="s">
        <v>302</v>
      </c>
      <c r="BJ318" t="s">
        <v>302</v>
      </c>
      <c r="BK318" t="s">
        <v>293</v>
      </c>
      <c r="BL318" t="s">
        <v>293</v>
      </c>
      <c r="BM318" t="s">
        <v>296</v>
      </c>
      <c r="BN318" t="s">
        <v>356</v>
      </c>
      <c r="BO318" t="s">
        <v>293</v>
      </c>
      <c r="BP318" t="s">
        <v>292</v>
      </c>
      <c r="BQ318" t="s">
        <v>293</v>
      </c>
      <c r="BR318" t="s">
        <v>293</v>
      </c>
      <c r="BS318" t="s">
        <v>364</v>
      </c>
      <c r="BT318" t="s">
        <v>366</v>
      </c>
      <c r="BU318" t="s">
        <v>371</v>
      </c>
      <c r="BV318" t="s">
        <v>371</v>
      </c>
      <c r="BW318" t="s">
        <v>2761</v>
      </c>
      <c r="BX318" t="str">
        <f>IF(J318="win",VLOOKUP(B318,ColorScheme!$A$2:$I$32,4,0),VLOOKUP(B318,ColorScheme!$A$2:$I$32,5,0))</f>
        <v>#ff796c</v>
      </c>
    </row>
    <row r="319" spans="1:76" x14ac:dyDescent="0.3">
      <c r="A319" t="s">
        <v>43</v>
      </c>
      <c r="B319" t="s">
        <v>69</v>
      </c>
      <c r="C319" t="s">
        <v>15</v>
      </c>
      <c r="D319" t="s">
        <v>12</v>
      </c>
      <c r="E319" t="s">
        <v>1021</v>
      </c>
      <c r="F319" t="b">
        <v>1</v>
      </c>
      <c r="G319">
        <v>100</v>
      </c>
      <c r="H319">
        <v>1</v>
      </c>
      <c r="I319">
        <v>6605</v>
      </c>
      <c r="J319" s="61" t="s">
        <v>18</v>
      </c>
      <c r="K319" s="16" t="s">
        <v>272</v>
      </c>
      <c r="L319" s="16">
        <v>3</v>
      </c>
      <c r="M319" s="16" t="s">
        <v>277</v>
      </c>
      <c r="N319" s="16" t="s">
        <v>335</v>
      </c>
      <c r="O319" s="15" t="s">
        <v>281</v>
      </c>
      <c r="P319" t="s">
        <v>273</v>
      </c>
      <c r="Q319" t="s">
        <v>284</v>
      </c>
      <c r="R319" s="17" t="s">
        <v>371</v>
      </c>
      <c r="S319" s="17">
        <v>1</v>
      </c>
      <c r="T319" s="17">
        <v>0</v>
      </c>
      <c r="U319" s="17">
        <v>0</v>
      </c>
      <c r="V319" s="17">
        <v>1</v>
      </c>
      <c r="W319" s="17">
        <v>1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 t="s">
        <v>704</v>
      </c>
      <c r="AD319" s="16" t="s">
        <v>340</v>
      </c>
      <c r="AE319" s="16" t="s">
        <v>342</v>
      </c>
      <c r="AF319" s="15" t="s">
        <v>343</v>
      </c>
      <c r="AG319" s="15" t="s">
        <v>344</v>
      </c>
      <c r="AH319" s="17" t="s">
        <v>371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704</v>
      </c>
      <c r="AR319" t="s">
        <v>349</v>
      </c>
      <c r="AS319" t="s">
        <v>349</v>
      </c>
      <c r="AT319">
        <v>1</v>
      </c>
      <c r="AU319">
        <v>0</v>
      </c>
      <c r="AV319">
        <v>0</v>
      </c>
      <c r="AW319" t="s">
        <v>704</v>
      </c>
      <c r="AX319" t="s">
        <v>1297</v>
      </c>
      <c r="AY319" t="s">
        <v>293</v>
      </c>
      <c r="AZ319" t="s">
        <v>353</v>
      </c>
      <c r="BA319" t="s">
        <v>296</v>
      </c>
      <c r="BB319" t="s">
        <v>301</v>
      </c>
      <c r="BC319" t="s">
        <v>292</v>
      </c>
      <c r="BD319" t="s">
        <v>293</v>
      </c>
      <c r="BE319" t="s">
        <v>292</v>
      </c>
      <c r="BF319" t="s">
        <v>292</v>
      </c>
      <c r="BG319" t="s">
        <v>293</v>
      </c>
      <c r="BH319" t="s">
        <v>302</v>
      </c>
      <c r="BI319" t="s">
        <v>359</v>
      </c>
      <c r="BJ319" t="s">
        <v>359</v>
      </c>
      <c r="BK319" t="s">
        <v>293</v>
      </c>
      <c r="BL319" t="s">
        <v>293</v>
      </c>
      <c r="BM319" t="s">
        <v>297</v>
      </c>
      <c r="BN319" t="s">
        <v>298</v>
      </c>
      <c r="BO319" t="s">
        <v>293</v>
      </c>
      <c r="BP319" t="s">
        <v>292</v>
      </c>
      <c r="BQ319" t="s">
        <v>293</v>
      </c>
      <c r="BR319" t="s">
        <v>293</v>
      </c>
      <c r="BS319" t="s">
        <v>364</v>
      </c>
      <c r="BT319" t="s">
        <v>304</v>
      </c>
      <c r="BU319" t="s">
        <v>371</v>
      </c>
      <c r="BV319" t="s">
        <v>371</v>
      </c>
      <c r="BW319" t="s">
        <v>2762</v>
      </c>
      <c r="BX319" t="str">
        <f>IF(J319="win",VLOOKUP(B319,ColorScheme!$A$2:$I$32,4,0),VLOOKUP(B319,ColorScheme!$A$2:$I$32,5,0))</f>
        <v>#e6daa650</v>
      </c>
    </row>
    <row r="320" spans="1:76" x14ac:dyDescent="0.3">
      <c r="A320" t="s">
        <v>43</v>
      </c>
      <c r="B320" t="s">
        <v>69</v>
      </c>
      <c r="C320" t="s">
        <v>23</v>
      </c>
      <c r="D320" t="s">
        <v>12</v>
      </c>
      <c r="E320" t="s">
        <v>1022</v>
      </c>
      <c r="F320" t="b">
        <v>1</v>
      </c>
      <c r="G320">
        <v>56.4</v>
      </c>
      <c r="H320">
        <v>0</v>
      </c>
      <c r="I320">
        <v>18749</v>
      </c>
      <c r="J320" s="61" t="s">
        <v>13</v>
      </c>
      <c r="K320" s="16" t="s">
        <v>272</v>
      </c>
      <c r="L320" s="16">
        <v>3</v>
      </c>
      <c r="M320" s="16" t="s">
        <v>277</v>
      </c>
      <c r="N320" s="16" t="s">
        <v>335</v>
      </c>
      <c r="O320" s="15" t="s">
        <v>283</v>
      </c>
      <c r="P320" t="s">
        <v>282</v>
      </c>
      <c r="Q320" t="s">
        <v>371</v>
      </c>
      <c r="R320" s="17" t="s">
        <v>371</v>
      </c>
      <c r="S320" s="17">
        <v>0</v>
      </c>
      <c r="T320" s="17">
        <v>1</v>
      </c>
      <c r="U320" s="17">
        <v>1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 t="s">
        <v>704</v>
      </c>
      <c r="AD320" s="16" t="s">
        <v>341</v>
      </c>
      <c r="AE320" s="16" t="s">
        <v>340</v>
      </c>
      <c r="AF320" s="15" t="s">
        <v>343</v>
      </c>
      <c r="AG320" s="15" t="s">
        <v>344</v>
      </c>
      <c r="AH320" s="17" t="s">
        <v>291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 t="s">
        <v>704</v>
      </c>
      <c r="AR320" t="s">
        <v>349</v>
      </c>
      <c r="AS320" t="s">
        <v>349</v>
      </c>
      <c r="AT320">
        <v>1</v>
      </c>
      <c r="AU320">
        <v>0</v>
      </c>
      <c r="AV320">
        <v>0</v>
      </c>
      <c r="AW320" t="s">
        <v>704</v>
      </c>
      <c r="AX320" t="s">
        <v>1211</v>
      </c>
      <c r="AY320" t="s">
        <v>293</v>
      </c>
      <c r="AZ320" t="s">
        <v>353</v>
      </c>
      <c r="BA320" t="s">
        <v>355</v>
      </c>
      <c r="BB320" t="s">
        <v>301</v>
      </c>
      <c r="BC320" t="s">
        <v>292</v>
      </c>
      <c r="BD320" t="s">
        <v>292</v>
      </c>
      <c r="BE320" t="s">
        <v>292</v>
      </c>
      <c r="BF320" t="s">
        <v>292</v>
      </c>
      <c r="BG320" t="s">
        <v>293</v>
      </c>
      <c r="BH320" t="s">
        <v>302</v>
      </c>
      <c r="BI320" t="s">
        <v>302</v>
      </c>
      <c r="BJ320" t="s">
        <v>359</v>
      </c>
      <c r="BK320" t="s">
        <v>293</v>
      </c>
      <c r="BL320" t="s">
        <v>293</v>
      </c>
      <c r="BM320" t="s">
        <v>296</v>
      </c>
      <c r="BN320" t="s">
        <v>298</v>
      </c>
      <c r="BO320" t="s">
        <v>293</v>
      </c>
      <c r="BP320" t="s">
        <v>292</v>
      </c>
      <c r="BQ320" t="s">
        <v>293</v>
      </c>
      <c r="BR320" t="s">
        <v>293</v>
      </c>
      <c r="BS320" t="s">
        <v>364</v>
      </c>
      <c r="BT320" t="s">
        <v>366</v>
      </c>
      <c r="BU320" t="s">
        <v>371</v>
      </c>
      <c r="BV320" t="s">
        <v>371</v>
      </c>
      <c r="BW320" t="s">
        <v>2763</v>
      </c>
      <c r="BX320" t="str">
        <f>IF(J320="win",VLOOKUP(B320,ColorScheme!$A$2:$I$32,4,0),VLOOKUP(B320,ColorScheme!$A$2:$I$32,5,0))</f>
        <v>#e6daa6</v>
      </c>
    </row>
    <row r="321" spans="1:76" x14ac:dyDescent="0.3">
      <c r="A321" t="s">
        <v>43</v>
      </c>
      <c r="B321" t="s">
        <v>69</v>
      </c>
      <c r="C321" t="s">
        <v>14</v>
      </c>
      <c r="D321" t="s">
        <v>12</v>
      </c>
      <c r="E321" t="s">
        <v>1023</v>
      </c>
      <c r="F321" t="b">
        <v>1</v>
      </c>
      <c r="G321">
        <v>100</v>
      </c>
      <c r="H321">
        <v>1</v>
      </c>
      <c r="I321">
        <v>9503</v>
      </c>
      <c r="J321" s="61" t="s">
        <v>18</v>
      </c>
      <c r="K321" s="16" t="s">
        <v>272</v>
      </c>
      <c r="L321" s="16">
        <v>3</v>
      </c>
      <c r="M321" s="16" t="s">
        <v>277</v>
      </c>
      <c r="N321" s="16" t="s">
        <v>335</v>
      </c>
      <c r="O321" s="15" t="s">
        <v>282</v>
      </c>
      <c r="P321" t="s">
        <v>281</v>
      </c>
      <c r="Q321" t="s">
        <v>284</v>
      </c>
      <c r="R321" s="17" t="s">
        <v>371</v>
      </c>
      <c r="S321" s="17">
        <v>1</v>
      </c>
      <c r="T321" s="17">
        <v>1</v>
      </c>
      <c r="U321" s="17">
        <v>0</v>
      </c>
      <c r="V321" s="17">
        <v>1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 t="s">
        <v>704</v>
      </c>
      <c r="AD321" s="16" t="s">
        <v>341</v>
      </c>
      <c r="AE321" s="16" t="s">
        <v>340</v>
      </c>
      <c r="AF321" s="15" t="s">
        <v>343</v>
      </c>
      <c r="AG321" s="15" t="s">
        <v>291</v>
      </c>
      <c r="AH321" s="17" t="s">
        <v>371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 t="s">
        <v>704</v>
      </c>
      <c r="AR321" t="s">
        <v>349</v>
      </c>
      <c r="AS321" t="s">
        <v>349</v>
      </c>
      <c r="AT321">
        <v>1</v>
      </c>
      <c r="AU321">
        <v>0</v>
      </c>
      <c r="AV321">
        <v>0</v>
      </c>
      <c r="AW321" t="s">
        <v>704</v>
      </c>
      <c r="AX321" t="s">
        <v>1298</v>
      </c>
      <c r="AY321" t="s">
        <v>293</v>
      </c>
      <c r="AZ321" t="s">
        <v>353</v>
      </c>
      <c r="BA321" t="s">
        <v>296</v>
      </c>
      <c r="BB321" t="s">
        <v>300</v>
      </c>
      <c r="BC321" t="s">
        <v>292</v>
      </c>
      <c r="BD321" t="s">
        <v>293</v>
      </c>
      <c r="BE321" t="s">
        <v>292</v>
      </c>
      <c r="BF321" t="s">
        <v>292</v>
      </c>
      <c r="BG321" t="s">
        <v>293</v>
      </c>
      <c r="BH321" t="s">
        <v>358</v>
      </c>
      <c r="BI321" t="s">
        <v>358</v>
      </c>
      <c r="BJ321" t="s">
        <v>359</v>
      </c>
      <c r="BK321" t="s">
        <v>293</v>
      </c>
      <c r="BL321" t="s">
        <v>293</v>
      </c>
      <c r="BM321" t="s">
        <v>297</v>
      </c>
      <c r="BN321" t="s">
        <v>298</v>
      </c>
      <c r="BO321" t="s">
        <v>293</v>
      </c>
      <c r="BP321" t="s">
        <v>292</v>
      </c>
      <c r="BQ321" t="s">
        <v>293</v>
      </c>
      <c r="BR321" t="s">
        <v>293</v>
      </c>
      <c r="BS321" t="s">
        <v>364</v>
      </c>
      <c r="BT321" t="s">
        <v>304</v>
      </c>
      <c r="BU321" t="s">
        <v>371</v>
      </c>
      <c r="BV321" t="s">
        <v>371</v>
      </c>
      <c r="BW321" t="s">
        <v>2764</v>
      </c>
      <c r="BX321" t="str">
        <f>IF(J321="win",VLOOKUP(B321,ColorScheme!$A$2:$I$32,4,0),VLOOKUP(B321,ColorScheme!$A$2:$I$32,5,0))</f>
        <v>#e6daa650</v>
      </c>
    </row>
    <row r="322" spans="1:76" x14ac:dyDescent="0.3">
      <c r="A322" t="s">
        <v>43</v>
      </c>
      <c r="B322" t="s">
        <v>69</v>
      </c>
      <c r="C322" t="s">
        <v>11</v>
      </c>
      <c r="D322" t="s">
        <v>12</v>
      </c>
      <c r="E322" t="s">
        <v>1024</v>
      </c>
      <c r="F322" t="b">
        <v>1</v>
      </c>
      <c r="G322">
        <v>100</v>
      </c>
      <c r="H322">
        <v>1</v>
      </c>
      <c r="I322">
        <v>2977</v>
      </c>
      <c r="J322" s="61" t="s">
        <v>18</v>
      </c>
      <c r="K322" s="16" t="s">
        <v>272</v>
      </c>
      <c r="L322" s="16">
        <v>3</v>
      </c>
      <c r="M322" s="16" t="s">
        <v>277</v>
      </c>
      <c r="N322" s="16" t="s">
        <v>335</v>
      </c>
      <c r="O322" s="15" t="s">
        <v>282</v>
      </c>
      <c r="P322" t="s">
        <v>371</v>
      </c>
      <c r="Q322" t="s">
        <v>371</v>
      </c>
      <c r="R322" s="17" t="s">
        <v>371</v>
      </c>
      <c r="S322" s="17">
        <v>0</v>
      </c>
      <c r="T322" s="17">
        <v>1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 t="s">
        <v>704</v>
      </c>
      <c r="AD322" s="16" t="s">
        <v>340</v>
      </c>
      <c r="AE322" s="16" t="s">
        <v>340</v>
      </c>
      <c r="AF322" s="15" t="s">
        <v>340</v>
      </c>
      <c r="AG322" s="15" t="s">
        <v>348</v>
      </c>
      <c r="AH322" s="17" t="s">
        <v>371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 t="s">
        <v>704</v>
      </c>
      <c r="AR322" t="s">
        <v>349</v>
      </c>
      <c r="AS322" t="s">
        <v>349</v>
      </c>
      <c r="AT322">
        <v>1</v>
      </c>
      <c r="AU322">
        <v>0</v>
      </c>
      <c r="AV322">
        <v>0</v>
      </c>
      <c r="AW322" t="s">
        <v>704</v>
      </c>
      <c r="AX322" t="s">
        <v>1299</v>
      </c>
      <c r="AY322" t="s">
        <v>293</v>
      </c>
      <c r="AZ322" t="s">
        <v>354</v>
      </c>
      <c r="BA322" t="s">
        <v>354</v>
      </c>
      <c r="BB322" t="s">
        <v>340</v>
      </c>
      <c r="BC322" t="s">
        <v>292</v>
      </c>
      <c r="BD322" t="s">
        <v>293</v>
      </c>
      <c r="BE322" t="s">
        <v>293</v>
      </c>
      <c r="BF322" t="s">
        <v>293</v>
      </c>
      <c r="BG322" t="s">
        <v>293</v>
      </c>
      <c r="BH322" t="s">
        <v>358</v>
      </c>
      <c r="BI322" t="s">
        <v>358</v>
      </c>
      <c r="BJ322" t="s">
        <v>357</v>
      </c>
      <c r="BK322" t="s">
        <v>293</v>
      </c>
      <c r="BL322" t="s">
        <v>293</v>
      </c>
      <c r="BM322" t="s">
        <v>354</v>
      </c>
      <c r="BN322" t="s">
        <v>298</v>
      </c>
      <c r="BO322" t="s">
        <v>293</v>
      </c>
      <c r="BP322" t="s">
        <v>293</v>
      </c>
      <c r="BQ322" t="s">
        <v>293</v>
      </c>
      <c r="BR322" t="s">
        <v>293</v>
      </c>
      <c r="BS322" t="s">
        <v>364</v>
      </c>
      <c r="BT322" t="s">
        <v>304</v>
      </c>
      <c r="BU322" t="s">
        <v>371</v>
      </c>
      <c r="BV322" t="s">
        <v>371</v>
      </c>
      <c r="BW322" t="s">
        <v>2765</v>
      </c>
      <c r="BX322" t="str">
        <f>IF(J322="win",VLOOKUP(B322,ColorScheme!$A$2:$I$32,4,0),VLOOKUP(B322,ColorScheme!$A$2:$I$32,5,0))</f>
        <v>#e6daa650</v>
      </c>
    </row>
    <row r="323" spans="1:76" x14ac:dyDescent="0.3">
      <c r="A323" t="s">
        <v>43</v>
      </c>
      <c r="B323" t="s">
        <v>69</v>
      </c>
      <c r="C323" t="s">
        <v>21</v>
      </c>
      <c r="D323" t="s">
        <v>12</v>
      </c>
      <c r="E323" t="s">
        <v>1025</v>
      </c>
      <c r="F323" t="b">
        <v>1</v>
      </c>
      <c r="G323">
        <v>100</v>
      </c>
      <c r="H323">
        <v>1</v>
      </c>
      <c r="I323">
        <v>15845</v>
      </c>
      <c r="J323" s="61" t="s">
        <v>18</v>
      </c>
      <c r="K323" s="16" t="s">
        <v>272</v>
      </c>
      <c r="L323" s="16">
        <v>3</v>
      </c>
      <c r="M323" s="16" t="s">
        <v>277</v>
      </c>
      <c r="N323" s="16" t="s">
        <v>335</v>
      </c>
      <c r="O323" s="15" t="s">
        <v>282</v>
      </c>
      <c r="P323" t="s">
        <v>371</v>
      </c>
      <c r="Q323" t="s">
        <v>371</v>
      </c>
      <c r="R323" s="17" t="s">
        <v>371</v>
      </c>
      <c r="S323" s="17">
        <v>0</v>
      </c>
      <c r="T323" s="17">
        <v>1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 t="s">
        <v>704</v>
      </c>
      <c r="AD323" s="16" t="s">
        <v>341</v>
      </c>
      <c r="AE323" s="16" t="s">
        <v>340</v>
      </c>
      <c r="AF323" s="15" t="s">
        <v>343</v>
      </c>
      <c r="AG323" s="15" t="s">
        <v>344</v>
      </c>
      <c r="AH323" s="17" t="s">
        <v>291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 t="s">
        <v>704</v>
      </c>
      <c r="AR323" t="s">
        <v>349</v>
      </c>
      <c r="AS323" t="s">
        <v>349</v>
      </c>
      <c r="AT323">
        <v>1</v>
      </c>
      <c r="AU323">
        <v>0</v>
      </c>
      <c r="AV323">
        <v>0</v>
      </c>
      <c r="AW323" t="s">
        <v>704</v>
      </c>
      <c r="AX323" t="s">
        <v>1213</v>
      </c>
      <c r="AY323" t="s">
        <v>293</v>
      </c>
      <c r="AZ323" t="s">
        <v>353</v>
      </c>
      <c r="BA323" t="s">
        <v>296</v>
      </c>
      <c r="BB323" t="s">
        <v>301</v>
      </c>
      <c r="BC323" t="s">
        <v>292</v>
      </c>
      <c r="BD323" t="s">
        <v>293</v>
      </c>
      <c r="BE323" t="s">
        <v>293</v>
      </c>
      <c r="BF323" t="s">
        <v>292</v>
      </c>
      <c r="BG323" t="s">
        <v>293</v>
      </c>
      <c r="BH323" t="s">
        <v>302</v>
      </c>
      <c r="BI323" t="s">
        <v>302</v>
      </c>
      <c r="BJ323" t="s">
        <v>359</v>
      </c>
      <c r="BK323" t="s">
        <v>293</v>
      </c>
      <c r="BL323" t="s">
        <v>293</v>
      </c>
      <c r="BM323" t="s">
        <v>296</v>
      </c>
      <c r="BN323" t="s">
        <v>298</v>
      </c>
      <c r="BO323" t="s">
        <v>293</v>
      </c>
      <c r="BP323" t="s">
        <v>292</v>
      </c>
      <c r="BQ323" t="s">
        <v>293</v>
      </c>
      <c r="BR323" t="s">
        <v>293</v>
      </c>
      <c r="BS323" t="s">
        <v>364</v>
      </c>
      <c r="BT323" t="s">
        <v>304</v>
      </c>
      <c r="BU323" t="s">
        <v>371</v>
      </c>
      <c r="BV323" t="s">
        <v>371</v>
      </c>
      <c r="BW323" t="s">
        <v>2766</v>
      </c>
      <c r="BX323" t="str">
        <f>IF(J323="win",VLOOKUP(B323,ColorScheme!$A$2:$I$32,4,0),VLOOKUP(B323,ColorScheme!$A$2:$I$32,5,0))</f>
        <v>#e6daa650</v>
      </c>
    </row>
    <row r="324" spans="1:76" x14ac:dyDescent="0.3">
      <c r="A324" t="s">
        <v>43</v>
      </c>
      <c r="B324" t="s">
        <v>69</v>
      </c>
      <c r="C324" t="s">
        <v>19</v>
      </c>
      <c r="D324" t="s">
        <v>12</v>
      </c>
      <c r="E324" t="s">
        <v>1026</v>
      </c>
      <c r="F324" t="b">
        <v>1</v>
      </c>
      <c r="G324">
        <v>68.2</v>
      </c>
      <c r="H324">
        <v>0</v>
      </c>
      <c r="I324">
        <v>14259</v>
      </c>
      <c r="J324" s="61" t="s">
        <v>13</v>
      </c>
      <c r="K324" s="16" t="s">
        <v>272</v>
      </c>
      <c r="L324" s="16">
        <v>3</v>
      </c>
      <c r="M324" s="16" t="s">
        <v>277</v>
      </c>
      <c r="N324" s="16" t="s">
        <v>335</v>
      </c>
      <c r="O324" s="15" t="s">
        <v>281</v>
      </c>
      <c r="P324" t="s">
        <v>283</v>
      </c>
      <c r="Q324" t="s">
        <v>284</v>
      </c>
      <c r="R324" s="17" t="s">
        <v>371</v>
      </c>
      <c r="S324" s="17">
        <v>1</v>
      </c>
      <c r="T324" s="17">
        <v>0</v>
      </c>
      <c r="U324" s="17">
        <v>1</v>
      </c>
      <c r="V324" s="17">
        <v>1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 t="s">
        <v>704</v>
      </c>
      <c r="AD324" s="16" t="s">
        <v>341</v>
      </c>
      <c r="AE324" s="16" t="s">
        <v>342</v>
      </c>
      <c r="AF324" s="15" t="s">
        <v>343</v>
      </c>
      <c r="AG324" s="15" t="s">
        <v>344</v>
      </c>
      <c r="AH324" s="17" t="s">
        <v>371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704</v>
      </c>
      <c r="AR324" t="s">
        <v>349</v>
      </c>
      <c r="AS324" t="s">
        <v>349</v>
      </c>
      <c r="AT324">
        <v>1</v>
      </c>
      <c r="AU324">
        <v>0</v>
      </c>
      <c r="AV324">
        <v>0</v>
      </c>
      <c r="AW324" t="s">
        <v>704</v>
      </c>
      <c r="AX324" t="s">
        <v>1274</v>
      </c>
      <c r="AY324" t="s">
        <v>293</v>
      </c>
      <c r="AZ324" t="s">
        <v>353</v>
      </c>
      <c r="BA324" t="s">
        <v>296</v>
      </c>
      <c r="BB324" t="s">
        <v>301</v>
      </c>
      <c r="BC324" t="s">
        <v>292</v>
      </c>
      <c r="BD324" t="s">
        <v>292</v>
      </c>
      <c r="BE324" t="s">
        <v>292</v>
      </c>
      <c r="BF324" t="s">
        <v>292</v>
      </c>
      <c r="BG324" t="s">
        <v>293</v>
      </c>
      <c r="BH324" t="s">
        <v>302</v>
      </c>
      <c r="BI324" t="s">
        <v>302</v>
      </c>
      <c r="BJ324" t="s">
        <v>359</v>
      </c>
      <c r="BK324" t="s">
        <v>293</v>
      </c>
      <c r="BL324" t="s">
        <v>293</v>
      </c>
      <c r="BM324" t="s">
        <v>297</v>
      </c>
      <c r="BN324" t="s">
        <v>356</v>
      </c>
      <c r="BO324" t="s">
        <v>293</v>
      </c>
      <c r="BP324" t="s">
        <v>292</v>
      </c>
      <c r="BQ324" t="s">
        <v>293</v>
      </c>
      <c r="BR324" t="s">
        <v>293</v>
      </c>
      <c r="BS324" t="s">
        <v>364</v>
      </c>
      <c r="BT324" t="s">
        <v>366</v>
      </c>
      <c r="BU324" t="s">
        <v>371</v>
      </c>
      <c r="BV324" t="s">
        <v>371</v>
      </c>
      <c r="BW324" t="s">
        <v>2767</v>
      </c>
      <c r="BX324" t="str">
        <f>IF(J324="win",VLOOKUP(B324,ColorScheme!$A$2:$I$32,4,0),VLOOKUP(B324,ColorScheme!$A$2:$I$32,5,0))</f>
        <v>#e6daa6</v>
      </c>
    </row>
    <row r="325" spans="1:76" x14ac:dyDescent="0.3">
      <c r="A325" t="s">
        <v>43</v>
      </c>
      <c r="B325" t="s">
        <v>69</v>
      </c>
      <c r="C325" t="s">
        <v>17</v>
      </c>
      <c r="D325" t="s">
        <v>12</v>
      </c>
      <c r="E325" t="s">
        <v>1027</v>
      </c>
      <c r="F325" t="b">
        <v>1</v>
      </c>
      <c r="G325">
        <v>100</v>
      </c>
      <c r="H325">
        <v>1</v>
      </c>
      <c r="I325">
        <v>13258</v>
      </c>
      <c r="J325" s="61" t="s">
        <v>18</v>
      </c>
      <c r="K325" s="16" t="s">
        <v>272</v>
      </c>
      <c r="L325" s="16">
        <v>3</v>
      </c>
      <c r="M325" s="16" t="s">
        <v>277</v>
      </c>
      <c r="N325" s="16" t="s">
        <v>335</v>
      </c>
      <c r="O325" s="15" t="s">
        <v>281</v>
      </c>
      <c r="P325" t="s">
        <v>283</v>
      </c>
      <c r="Q325" t="s">
        <v>284</v>
      </c>
      <c r="R325" s="17" t="s">
        <v>371</v>
      </c>
      <c r="S325" s="17">
        <v>1</v>
      </c>
      <c r="T325" s="17">
        <v>0</v>
      </c>
      <c r="U325" s="17">
        <v>1</v>
      </c>
      <c r="V325" s="17">
        <v>1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>
        <v>0</v>
      </c>
      <c r="AC325" s="17" t="s">
        <v>704</v>
      </c>
      <c r="AD325" s="16" t="s">
        <v>341</v>
      </c>
      <c r="AE325" s="16" t="s">
        <v>342</v>
      </c>
      <c r="AF325" s="15" t="s">
        <v>343</v>
      </c>
      <c r="AG325" s="15" t="s">
        <v>344</v>
      </c>
      <c r="AH325" s="17" t="s">
        <v>371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704</v>
      </c>
      <c r="AR325" t="s">
        <v>349</v>
      </c>
      <c r="AS325" t="s">
        <v>349</v>
      </c>
      <c r="AT325">
        <v>1</v>
      </c>
      <c r="AU325">
        <v>0</v>
      </c>
      <c r="AV325">
        <v>0</v>
      </c>
      <c r="AW325" t="s">
        <v>704</v>
      </c>
      <c r="AX325" t="s">
        <v>1274</v>
      </c>
      <c r="AY325" t="s">
        <v>293</v>
      </c>
      <c r="AZ325" t="s">
        <v>353</v>
      </c>
      <c r="BA325" t="s">
        <v>296</v>
      </c>
      <c r="BB325" t="s">
        <v>301</v>
      </c>
      <c r="BC325" t="s">
        <v>292</v>
      </c>
      <c r="BD325" t="s">
        <v>292</v>
      </c>
      <c r="BE325" t="s">
        <v>292</v>
      </c>
      <c r="BF325" t="s">
        <v>292</v>
      </c>
      <c r="BG325" t="s">
        <v>293</v>
      </c>
      <c r="BH325" t="s">
        <v>302</v>
      </c>
      <c r="BI325" t="s">
        <v>358</v>
      </c>
      <c r="BJ325" t="s">
        <v>359</v>
      </c>
      <c r="BK325" t="s">
        <v>293</v>
      </c>
      <c r="BL325" t="s">
        <v>293</v>
      </c>
      <c r="BM325" t="s">
        <v>297</v>
      </c>
      <c r="BN325" t="s">
        <v>356</v>
      </c>
      <c r="BO325" t="s">
        <v>293</v>
      </c>
      <c r="BP325" t="s">
        <v>292</v>
      </c>
      <c r="BQ325" t="s">
        <v>293</v>
      </c>
      <c r="BR325" t="s">
        <v>293</v>
      </c>
      <c r="BS325" t="s">
        <v>364</v>
      </c>
      <c r="BT325" t="s">
        <v>304</v>
      </c>
      <c r="BU325" t="s">
        <v>371</v>
      </c>
      <c r="BV325" t="s">
        <v>371</v>
      </c>
      <c r="BW325" t="s">
        <v>2768</v>
      </c>
      <c r="BX325" t="str">
        <f>IF(J325="win",VLOOKUP(B325,ColorScheme!$A$2:$I$32,4,0),VLOOKUP(B325,ColorScheme!$A$2:$I$32,5,0))</f>
        <v>#e6daa650</v>
      </c>
    </row>
    <row r="326" spans="1:76" x14ac:dyDescent="0.3">
      <c r="A326" t="s">
        <v>43</v>
      </c>
      <c r="B326" t="s">
        <v>69</v>
      </c>
      <c r="C326" t="s">
        <v>16</v>
      </c>
      <c r="D326" t="s">
        <v>12</v>
      </c>
      <c r="E326" t="s">
        <v>1028</v>
      </c>
      <c r="F326" t="b">
        <v>1</v>
      </c>
      <c r="G326">
        <v>100</v>
      </c>
      <c r="H326">
        <v>1</v>
      </c>
      <c r="I326">
        <v>11196</v>
      </c>
      <c r="J326" s="61" t="s">
        <v>18</v>
      </c>
      <c r="K326" s="16" t="s">
        <v>272</v>
      </c>
      <c r="L326" s="16">
        <v>3</v>
      </c>
      <c r="M326" s="16" t="s">
        <v>277</v>
      </c>
      <c r="N326" s="16" t="s">
        <v>335</v>
      </c>
      <c r="O326" s="15" t="s">
        <v>281</v>
      </c>
      <c r="P326" t="s">
        <v>283</v>
      </c>
      <c r="Q326" t="s">
        <v>284</v>
      </c>
      <c r="R326" s="17" t="s">
        <v>371</v>
      </c>
      <c r="S326" s="17">
        <v>1</v>
      </c>
      <c r="T326" s="17">
        <v>0</v>
      </c>
      <c r="U326" s="17">
        <v>1</v>
      </c>
      <c r="V326" s="17">
        <v>1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 t="s">
        <v>704</v>
      </c>
      <c r="AD326" s="16" t="s">
        <v>341</v>
      </c>
      <c r="AE326" s="16" t="s">
        <v>342</v>
      </c>
      <c r="AF326" s="15" t="s">
        <v>343</v>
      </c>
      <c r="AG326" s="15" t="s">
        <v>344</v>
      </c>
      <c r="AH326" s="17" t="s">
        <v>371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704</v>
      </c>
      <c r="AR326" t="s">
        <v>349</v>
      </c>
      <c r="AS326" t="s">
        <v>349</v>
      </c>
      <c r="AT326">
        <v>1</v>
      </c>
      <c r="AU326">
        <v>0</v>
      </c>
      <c r="AV326">
        <v>0</v>
      </c>
      <c r="AW326" t="s">
        <v>704</v>
      </c>
      <c r="AX326" t="s">
        <v>1274</v>
      </c>
      <c r="AY326" t="s">
        <v>293</v>
      </c>
      <c r="AZ326" t="s">
        <v>353</v>
      </c>
      <c r="BA326" t="s">
        <v>296</v>
      </c>
      <c r="BB326" t="s">
        <v>301</v>
      </c>
      <c r="BC326" t="s">
        <v>292</v>
      </c>
      <c r="BD326" t="s">
        <v>293</v>
      </c>
      <c r="BE326" t="s">
        <v>292</v>
      </c>
      <c r="BF326" t="s">
        <v>292</v>
      </c>
      <c r="BG326" t="s">
        <v>293</v>
      </c>
      <c r="BH326" t="s">
        <v>302</v>
      </c>
      <c r="BI326" t="s">
        <v>358</v>
      </c>
      <c r="BJ326" t="s">
        <v>359</v>
      </c>
      <c r="BK326" t="s">
        <v>293</v>
      </c>
      <c r="BL326" t="s">
        <v>293</v>
      </c>
      <c r="BM326" t="s">
        <v>297</v>
      </c>
      <c r="BN326" t="s">
        <v>298</v>
      </c>
      <c r="BO326" t="s">
        <v>293</v>
      </c>
      <c r="BP326" t="s">
        <v>292</v>
      </c>
      <c r="BQ326" t="s">
        <v>293</v>
      </c>
      <c r="BR326" t="s">
        <v>293</v>
      </c>
      <c r="BS326" t="s">
        <v>364</v>
      </c>
      <c r="BT326" t="s">
        <v>304</v>
      </c>
      <c r="BU326" t="s">
        <v>371</v>
      </c>
      <c r="BV326" t="s">
        <v>371</v>
      </c>
      <c r="BW326" t="s">
        <v>2769</v>
      </c>
      <c r="BX326" t="str">
        <f>IF(J326="win",VLOOKUP(B326,ColorScheme!$A$2:$I$32,4,0),VLOOKUP(B326,ColorScheme!$A$2:$I$32,5,0))</f>
        <v>#e6daa650</v>
      </c>
    </row>
    <row r="327" spans="1:76" x14ac:dyDescent="0.3">
      <c r="A327" t="s">
        <v>43</v>
      </c>
      <c r="B327" t="s">
        <v>69</v>
      </c>
      <c r="C327" t="s">
        <v>20</v>
      </c>
      <c r="D327" t="s">
        <v>12</v>
      </c>
      <c r="E327" t="s">
        <v>1029</v>
      </c>
      <c r="F327" t="b">
        <v>1</v>
      </c>
      <c r="G327">
        <v>90.9</v>
      </c>
      <c r="H327">
        <v>0</v>
      </c>
      <c r="I327">
        <v>12316</v>
      </c>
      <c r="J327" s="61" t="s">
        <v>13</v>
      </c>
      <c r="K327" s="16" t="s">
        <v>272</v>
      </c>
      <c r="L327" s="16">
        <v>2</v>
      </c>
      <c r="M327" s="16" t="s">
        <v>277</v>
      </c>
      <c r="N327" s="16" t="s">
        <v>335</v>
      </c>
      <c r="O327" s="15" t="s">
        <v>282</v>
      </c>
      <c r="P327" t="s">
        <v>371</v>
      </c>
      <c r="Q327" t="s">
        <v>371</v>
      </c>
      <c r="R327" s="17" t="s">
        <v>371</v>
      </c>
      <c r="S327" s="17">
        <v>0</v>
      </c>
      <c r="T327" s="17">
        <v>1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 t="s">
        <v>704</v>
      </c>
      <c r="AD327" s="16" t="s">
        <v>341</v>
      </c>
      <c r="AE327" s="16" t="s">
        <v>340</v>
      </c>
      <c r="AF327" s="15" t="s">
        <v>340</v>
      </c>
      <c r="AG327" s="15" t="s">
        <v>344</v>
      </c>
      <c r="AH327" s="17" t="s">
        <v>371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704</v>
      </c>
      <c r="AR327" t="s">
        <v>349</v>
      </c>
      <c r="AS327" t="s">
        <v>349</v>
      </c>
      <c r="AT327">
        <v>1</v>
      </c>
      <c r="AU327">
        <v>0</v>
      </c>
      <c r="AV327">
        <v>0</v>
      </c>
      <c r="AW327" t="s">
        <v>704</v>
      </c>
      <c r="AX327" t="s">
        <v>1208</v>
      </c>
      <c r="AY327" t="s">
        <v>293</v>
      </c>
      <c r="AZ327" t="s">
        <v>354</v>
      </c>
      <c r="BA327" t="s">
        <v>354</v>
      </c>
      <c r="BB327" t="s">
        <v>301</v>
      </c>
      <c r="BC327" t="s">
        <v>293</v>
      </c>
      <c r="BD327" t="s">
        <v>292</v>
      </c>
      <c r="BE327" t="s">
        <v>292</v>
      </c>
      <c r="BF327" t="s">
        <v>293</v>
      </c>
      <c r="BG327" t="s">
        <v>293</v>
      </c>
      <c r="BH327" t="s">
        <v>302</v>
      </c>
      <c r="BI327" t="s">
        <v>302</v>
      </c>
      <c r="BJ327" t="s">
        <v>357</v>
      </c>
      <c r="BK327" t="s">
        <v>293</v>
      </c>
      <c r="BL327" t="s">
        <v>293</v>
      </c>
      <c r="BM327" t="s">
        <v>297</v>
      </c>
      <c r="BN327" t="s">
        <v>356</v>
      </c>
      <c r="BO327" t="s">
        <v>293</v>
      </c>
      <c r="BP327" t="s">
        <v>292</v>
      </c>
      <c r="BQ327" t="s">
        <v>293</v>
      </c>
      <c r="BR327" t="s">
        <v>293</v>
      </c>
      <c r="BS327" t="s">
        <v>364</v>
      </c>
      <c r="BT327" t="s">
        <v>366</v>
      </c>
      <c r="BU327" t="s">
        <v>371</v>
      </c>
      <c r="BV327" t="s">
        <v>371</v>
      </c>
      <c r="BW327" t="s">
        <v>2770</v>
      </c>
      <c r="BX327" t="str">
        <f>IF(J327="win",VLOOKUP(B327,ColorScheme!$A$2:$I$32,4,0),VLOOKUP(B327,ColorScheme!$A$2:$I$32,5,0))</f>
        <v>#e6daa6</v>
      </c>
    </row>
    <row r="328" spans="1:76" x14ac:dyDescent="0.3">
      <c r="A328" t="s">
        <v>43</v>
      </c>
      <c r="B328" t="s">
        <v>69</v>
      </c>
      <c r="C328" t="s">
        <v>22</v>
      </c>
      <c r="D328" t="s">
        <v>12</v>
      </c>
      <c r="E328" t="s">
        <v>1030</v>
      </c>
      <c r="F328" t="b">
        <v>1</v>
      </c>
      <c r="G328">
        <v>100</v>
      </c>
      <c r="H328">
        <v>1</v>
      </c>
      <c r="I328">
        <v>17857</v>
      </c>
      <c r="J328" s="61" t="s">
        <v>18</v>
      </c>
      <c r="K328" s="16" t="s">
        <v>272</v>
      </c>
      <c r="L328" s="16">
        <v>3</v>
      </c>
      <c r="M328" s="16" t="s">
        <v>277</v>
      </c>
      <c r="N328" s="16" t="s">
        <v>335</v>
      </c>
      <c r="O328" s="15" t="s">
        <v>282</v>
      </c>
      <c r="P328" t="s">
        <v>371</v>
      </c>
      <c r="Q328" t="s">
        <v>371</v>
      </c>
      <c r="R328" s="17" t="s">
        <v>371</v>
      </c>
      <c r="S328" s="17">
        <v>0</v>
      </c>
      <c r="T328" s="17">
        <v>1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 t="s">
        <v>704</v>
      </c>
      <c r="AD328" s="16" t="s">
        <v>341</v>
      </c>
      <c r="AE328" s="16" t="s">
        <v>340</v>
      </c>
      <c r="AF328" s="15" t="s">
        <v>343</v>
      </c>
      <c r="AG328" s="15" t="s">
        <v>344</v>
      </c>
      <c r="AH328" s="17" t="s">
        <v>291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 t="s">
        <v>704</v>
      </c>
      <c r="AR328" t="s">
        <v>349</v>
      </c>
      <c r="AS328" t="s">
        <v>349</v>
      </c>
      <c r="AT328">
        <v>1</v>
      </c>
      <c r="AU328">
        <v>0</v>
      </c>
      <c r="AV328">
        <v>0</v>
      </c>
      <c r="AW328" t="s">
        <v>704</v>
      </c>
      <c r="AX328" t="s">
        <v>1213</v>
      </c>
      <c r="AY328" t="s">
        <v>293</v>
      </c>
      <c r="AZ328" t="s">
        <v>353</v>
      </c>
      <c r="BA328" t="s">
        <v>296</v>
      </c>
      <c r="BB328" t="s">
        <v>301</v>
      </c>
      <c r="BC328" t="s">
        <v>292</v>
      </c>
      <c r="BD328" t="s">
        <v>292</v>
      </c>
      <c r="BE328" t="s">
        <v>292</v>
      </c>
      <c r="BF328" t="s">
        <v>292</v>
      </c>
      <c r="BG328" t="s">
        <v>293</v>
      </c>
      <c r="BH328" t="s">
        <v>302</v>
      </c>
      <c r="BI328" t="s">
        <v>302</v>
      </c>
      <c r="BJ328" t="s">
        <v>359</v>
      </c>
      <c r="BK328" t="s">
        <v>293</v>
      </c>
      <c r="BL328" t="s">
        <v>293</v>
      </c>
      <c r="BM328" t="s">
        <v>296</v>
      </c>
      <c r="BN328" t="s">
        <v>298</v>
      </c>
      <c r="BO328" t="s">
        <v>293</v>
      </c>
      <c r="BP328" t="s">
        <v>292</v>
      </c>
      <c r="BQ328" t="s">
        <v>293</v>
      </c>
      <c r="BR328" t="s">
        <v>293</v>
      </c>
      <c r="BS328" t="s">
        <v>364</v>
      </c>
      <c r="BT328" t="s">
        <v>304</v>
      </c>
      <c r="BU328" t="s">
        <v>371</v>
      </c>
      <c r="BV328" t="s">
        <v>371</v>
      </c>
      <c r="BW328" t="s">
        <v>2771</v>
      </c>
      <c r="BX328" t="str">
        <f>IF(J328="win",VLOOKUP(B328,ColorScheme!$A$2:$I$32,4,0),VLOOKUP(B328,ColorScheme!$A$2:$I$32,5,0))</f>
        <v>#e6daa650</v>
      </c>
    </row>
    <row r="329" spans="1:76" x14ac:dyDescent="0.3">
      <c r="A329" t="s">
        <v>43</v>
      </c>
      <c r="B329" t="s">
        <v>69</v>
      </c>
      <c r="C329" t="s">
        <v>25</v>
      </c>
      <c r="D329" t="s">
        <v>29</v>
      </c>
      <c r="E329" t="s">
        <v>1031</v>
      </c>
      <c r="F329" t="b">
        <v>1</v>
      </c>
      <c r="G329">
        <v>100</v>
      </c>
      <c r="H329">
        <v>1</v>
      </c>
      <c r="I329">
        <v>9988</v>
      </c>
      <c r="J329" s="61" t="s">
        <v>18</v>
      </c>
      <c r="K329" s="16" t="s">
        <v>272</v>
      </c>
      <c r="L329" s="16">
        <v>2</v>
      </c>
      <c r="M329" s="16" t="s">
        <v>333</v>
      </c>
      <c r="N329" s="16" t="s">
        <v>278</v>
      </c>
      <c r="O329" s="15" t="s">
        <v>282</v>
      </c>
      <c r="P329" t="s">
        <v>371</v>
      </c>
      <c r="Q329" t="s">
        <v>371</v>
      </c>
      <c r="R329" s="17" t="s">
        <v>371</v>
      </c>
      <c r="S329" s="17">
        <v>0</v>
      </c>
      <c r="T329" s="17">
        <v>1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 t="s">
        <v>704</v>
      </c>
      <c r="AD329" s="16" t="s">
        <v>340</v>
      </c>
      <c r="AE329" s="16" t="s">
        <v>342</v>
      </c>
      <c r="AF329" s="15" t="s">
        <v>340</v>
      </c>
      <c r="AG329" s="15" t="s">
        <v>344</v>
      </c>
      <c r="AH329" s="17" t="s">
        <v>371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 t="s">
        <v>704</v>
      </c>
      <c r="AR329" t="s">
        <v>349</v>
      </c>
      <c r="AS329" t="s">
        <v>349</v>
      </c>
      <c r="AT329">
        <v>1</v>
      </c>
      <c r="AU329">
        <v>0</v>
      </c>
      <c r="AV329">
        <v>0</v>
      </c>
      <c r="AW329" t="s">
        <v>704</v>
      </c>
      <c r="AX329" t="s">
        <v>1208</v>
      </c>
      <c r="AY329" t="s">
        <v>293</v>
      </c>
      <c r="AZ329" t="s">
        <v>354</v>
      </c>
      <c r="BA329" t="s">
        <v>354</v>
      </c>
      <c r="BB329" t="s">
        <v>299</v>
      </c>
      <c r="BC329" t="s">
        <v>292</v>
      </c>
      <c r="BD329" t="s">
        <v>293</v>
      </c>
      <c r="BE329" t="s">
        <v>292</v>
      </c>
      <c r="BF329" t="s">
        <v>292</v>
      </c>
      <c r="BG329" t="s">
        <v>293</v>
      </c>
      <c r="BH329" t="s">
        <v>302</v>
      </c>
      <c r="BI329" t="s">
        <v>359</v>
      </c>
      <c r="BJ329" t="s">
        <v>357</v>
      </c>
      <c r="BK329" t="s">
        <v>293</v>
      </c>
      <c r="BL329" t="s">
        <v>293</v>
      </c>
      <c r="BM329" t="s">
        <v>297</v>
      </c>
      <c r="BN329" t="s">
        <v>298</v>
      </c>
      <c r="BO329" t="s">
        <v>293</v>
      </c>
      <c r="BP329" t="s">
        <v>292</v>
      </c>
      <c r="BQ329" t="s">
        <v>293</v>
      </c>
      <c r="BR329" t="s">
        <v>293</v>
      </c>
      <c r="BS329" t="s">
        <v>364</v>
      </c>
      <c r="BT329" t="s">
        <v>304</v>
      </c>
      <c r="BU329" t="s">
        <v>371</v>
      </c>
      <c r="BV329" t="s">
        <v>371</v>
      </c>
      <c r="BW329" t="s">
        <v>2772</v>
      </c>
      <c r="BX329" t="str">
        <f>IF(J329="win",VLOOKUP(B329,ColorScheme!$A$2:$I$32,4,0),VLOOKUP(B329,ColorScheme!$A$2:$I$32,5,0))</f>
        <v>#e6daa650</v>
      </c>
    </row>
    <row r="330" spans="1:76" x14ac:dyDescent="0.3">
      <c r="A330" t="s">
        <v>43</v>
      </c>
      <c r="B330" t="s">
        <v>69</v>
      </c>
      <c r="C330" t="s">
        <v>24</v>
      </c>
      <c r="D330" t="s">
        <v>29</v>
      </c>
      <c r="E330" t="s">
        <v>1032</v>
      </c>
      <c r="F330" t="b">
        <v>1</v>
      </c>
      <c r="G330">
        <v>100</v>
      </c>
      <c r="H330">
        <v>1</v>
      </c>
      <c r="I330">
        <v>11475</v>
      </c>
      <c r="J330" s="61" t="s">
        <v>18</v>
      </c>
      <c r="K330" s="16" t="s">
        <v>272</v>
      </c>
      <c r="L330" s="16">
        <v>2</v>
      </c>
      <c r="M330" s="16" t="s">
        <v>333</v>
      </c>
      <c r="N330" s="16" t="s">
        <v>278</v>
      </c>
      <c r="O330" s="15" t="s">
        <v>282</v>
      </c>
      <c r="P330" t="s">
        <v>371</v>
      </c>
      <c r="Q330" t="s">
        <v>371</v>
      </c>
      <c r="R330" s="17" t="s">
        <v>371</v>
      </c>
      <c r="S330" s="17">
        <v>0</v>
      </c>
      <c r="T330" s="17">
        <v>1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 t="s">
        <v>704</v>
      </c>
      <c r="AD330" s="16" t="s">
        <v>340</v>
      </c>
      <c r="AE330" s="16" t="s">
        <v>342</v>
      </c>
      <c r="AF330" s="15" t="s">
        <v>340</v>
      </c>
      <c r="AG330" s="15" t="s">
        <v>344</v>
      </c>
      <c r="AH330" s="17" t="s">
        <v>371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704</v>
      </c>
      <c r="AR330" t="s">
        <v>349</v>
      </c>
      <c r="AS330" t="s">
        <v>349</v>
      </c>
      <c r="AT330">
        <v>1</v>
      </c>
      <c r="AU330">
        <v>0</v>
      </c>
      <c r="AV330">
        <v>0</v>
      </c>
      <c r="AW330" t="s">
        <v>704</v>
      </c>
      <c r="AX330" t="s">
        <v>1208</v>
      </c>
      <c r="AY330" t="s">
        <v>293</v>
      </c>
      <c r="AZ330" t="s">
        <v>354</v>
      </c>
      <c r="BA330" t="s">
        <v>354</v>
      </c>
      <c r="BB330" t="s">
        <v>301</v>
      </c>
      <c r="BC330" t="s">
        <v>292</v>
      </c>
      <c r="BD330" t="s">
        <v>293</v>
      </c>
      <c r="BE330" t="s">
        <v>292</v>
      </c>
      <c r="BF330" t="s">
        <v>292</v>
      </c>
      <c r="BG330" t="s">
        <v>293</v>
      </c>
      <c r="BH330" t="s">
        <v>302</v>
      </c>
      <c r="BI330" t="s">
        <v>359</v>
      </c>
      <c r="BJ330" t="s">
        <v>359</v>
      </c>
      <c r="BK330" t="s">
        <v>293</v>
      </c>
      <c r="BL330" t="s">
        <v>293</v>
      </c>
      <c r="BM330" t="s">
        <v>297</v>
      </c>
      <c r="BN330" t="s">
        <v>298</v>
      </c>
      <c r="BO330" t="s">
        <v>293</v>
      </c>
      <c r="BP330" t="s">
        <v>292</v>
      </c>
      <c r="BQ330" t="s">
        <v>293</v>
      </c>
      <c r="BR330" t="s">
        <v>293</v>
      </c>
      <c r="BS330" t="s">
        <v>364</v>
      </c>
      <c r="BT330" t="s">
        <v>304</v>
      </c>
      <c r="BU330" t="s">
        <v>371</v>
      </c>
      <c r="BV330" t="s">
        <v>371</v>
      </c>
      <c r="BW330" t="s">
        <v>2773</v>
      </c>
      <c r="BX330" t="str">
        <f>IF(J330="win",VLOOKUP(B330,ColorScheme!$A$2:$I$32,4,0),VLOOKUP(B330,ColorScheme!$A$2:$I$32,5,0))</f>
        <v>#e6daa650</v>
      </c>
    </row>
    <row r="331" spans="1:76" x14ac:dyDescent="0.3">
      <c r="A331" t="s">
        <v>43</v>
      </c>
      <c r="B331" t="s">
        <v>69</v>
      </c>
      <c r="C331" t="s">
        <v>32</v>
      </c>
      <c r="D331" t="s">
        <v>29</v>
      </c>
      <c r="E331" t="s">
        <v>1033</v>
      </c>
      <c r="F331" t="b">
        <v>1</v>
      </c>
      <c r="G331">
        <v>100</v>
      </c>
      <c r="H331">
        <v>1</v>
      </c>
      <c r="I331">
        <v>18781</v>
      </c>
      <c r="J331" s="61" t="s">
        <v>18</v>
      </c>
      <c r="K331" s="16" t="s">
        <v>272</v>
      </c>
      <c r="L331" s="16">
        <v>3</v>
      </c>
      <c r="M331" s="16" t="s">
        <v>277</v>
      </c>
      <c r="N331" s="16" t="s">
        <v>335</v>
      </c>
      <c r="O331" s="15" t="s">
        <v>284</v>
      </c>
      <c r="P331" t="s">
        <v>273</v>
      </c>
      <c r="Q331" t="s">
        <v>282</v>
      </c>
      <c r="R331" s="17" t="s">
        <v>371</v>
      </c>
      <c r="S331" s="17">
        <v>0</v>
      </c>
      <c r="T331" s="17">
        <v>1</v>
      </c>
      <c r="U331" s="17">
        <v>0</v>
      </c>
      <c r="V331" s="17">
        <v>1</v>
      </c>
      <c r="W331" s="17">
        <v>1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 t="s">
        <v>704</v>
      </c>
      <c r="AD331" s="16" t="s">
        <v>341</v>
      </c>
      <c r="AE331" s="16" t="s">
        <v>342</v>
      </c>
      <c r="AF331" s="15" t="s">
        <v>343</v>
      </c>
      <c r="AG331" s="15" t="s">
        <v>345</v>
      </c>
      <c r="AH331" s="17" t="s">
        <v>344</v>
      </c>
      <c r="AI331">
        <v>1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704</v>
      </c>
      <c r="AR331" t="s">
        <v>349</v>
      </c>
      <c r="AS331" t="s">
        <v>349</v>
      </c>
      <c r="AT331">
        <v>1</v>
      </c>
      <c r="AU331">
        <v>0</v>
      </c>
      <c r="AV331">
        <v>0</v>
      </c>
      <c r="AW331" t="s">
        <v>704</v>
      </c>
      <c r="AX331" t="s">
        <v>1300</v>
      </c>
      <c r="AY331" t="s">
        <v>293</v>
      </c>
      <c r="AZ331" t="s">
        <v>353</v>
      </c>
      <c r="BA331" t="s">
        <v>355</v>
      </c>
      <c r="BB331" t="s">
        <v>300</v>
      </c>
      <c r="BC331" t="s">
        <v>293</v>
      </c>
      <c r="BD331" t="s">
        <v>292</v>
      </c>
      <c r="BE331" t="s">
        <v>292</v>
      </c>
      <c r="BF331" t="s">
        <v>292</v>
      </c>
      <c r="BG331" t="s">
        <v>293</v>
      </c>
      <c r="BH331" t="s">
        <v>302</v>
      </c>
      <c r="BI331" t="s">
        <v>302</v>
      </c>
      <c r="BJ331" t="s">
        <v>302</v>
      </c>
      <c r="BK331" t="s">
        <v>293</v>
      </c>
      <c r="BL331" t="s">
        <v>293</v>
      </c>
      <c r="BM331" t="s">
        <v>297</v>
      </c>
      <c r="BN331" t="s">
        <v>356</v>
      </c>
      <c r="BO331" t="s">
        <v>293</v>
      </c>
      <c r="BP331" t="s">
        <v>292</v>
      </c>
      <c r="BQ331" t="s">
        <v>293</v>
      </c>
      <c r="BR331" t="s">
        <v>293</v>
      </c>
      <c r="BS331" t="s">
        <v>364</v>
      </c>
      <c r="BT331" t="s">
        <v>304</v>
      </c>
      <c r="BU331" t="s">
        <v>371</v>
      </c>
      <c r="BV331" t="s">
        <v>371</v>
      </c>
      <c r="BW331" t="s">
        <v>2774</v>
      </c>
      <c r="BX331" t="str">
        <f>IF(J331="win",VLOOKUP(B331,ColorScheme!$A$2:$I$32,4,0),VLOOKUP(B331,ColorScheme!$A$2:$I$32,5,0))</f>
        <v>#e6daa650</v>
      </c>
    </row>
    <row r="332" spans="1:76" x14ac:dyDescent="0.3">
      <c r="A332" t="s">
        <v>43</v>
      </c>
      <c r="B332" t="s">
        <v>69</v>
      </c>
      <c r="C332" t="s">
        <v>30</v>
      </c>
      <c r="D332" t="s">
        <v>29</v>
      </c>
      <c r="E332" t="s">
        <v>1034</v>
      </c>
      <c r="F332" t="b">
        <v>1</v>
      </c>
      <c r="G332">
        <v>63.4</v>
      </c>
      <c r="H332">
        <v>0</v>
      </c>
      <c r="I332">
        <v>14100</v>
      </c>
      <c r="J332" s="61" t="s">
        <v>13</v>
      </c>
      <c r="K332" s="16" t="s">
        <v>272</v>
      </c>
      <c r="L332" s="16">
        <v>3</v>
      </c>
      <c r="M332" s="16" t="s">
        <v>277</v>
      </c>
      <c r="N332" s="16" t="s">
        <v>335</v>
      </c>
      <c r="O332" s="15" t="s">
        <v>282</v>
      </c>
      <c r="P332" t="s">
        <v>339</v>
      </c>
      <c r="Q332" t="s">
        <v>371</v>
      </c>
      <c r="R332" s="17" t="s">
        <v>371</v>
      </c>
      <c r="S332" s="17">
        <v>0</v>
      </c>
      <c r="T332" s="17">
        <v>1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1</v>
      </c>
      <c r="AB332" s="17">
        <v>0</v>
      </c>
      <c r="AC332" s="17" t="s">
        <v>704</v>
      </c>
      <c r="AD332" s="16" t="s">
        <v>341</v>
      </c>
      <c r="AE332" s="16" t="s">
        <v>340</v>
      </c>
      <c r="AF332" s="15" t="s">
        <v>343</v>
      </c>
      <c r="AG332" s="15" t="s">
        <v>344</v>
      </c>
      <c r="AH332" s="17" t="s">
        <v>371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704</v>
      </c>
      <c r="AR332" t="s">
        <v>349</v>
      </c>
      <c r="AS332" t="s">
        <v>349</v>
      </c>
      <c r="AT332">
        <v>1</v>
      </c>
      <c r="AU332">
        <v>0</v>
      </c>
      <c r="AV332">
        <v>0</v>
      </c>
      <c r="AW332" t="s">
        <v>704</v>
      </c>
      <c r="AX332" t="s">
        <v>1301</v>
      </c>
      <c r="AY332" t="s">
        <v>293</v>
      </c>
      <c r="AZ332" t="s">
        <v>353</v>
      </c>
      <c r="BA332" t="s">
        <v>296</v>
      </c>
      <c r="BB332" t="s">
        <v>300</v>
      </c>
      <c r="BC332" t="s">
        <v>293</v>
      </c>
      <c r="BD332" t="s">
        <v>292</v>
      </c>
      <c r="BE332" t="s">
        <v>292</v>
      </c>
      <c r="BF332" t="s">
        <v>292</v>
      </c>
      <c r="BG332" t="s">
        <v>293</v>
      </c>
      <c r="BH332" t="s">
        <v>302</v>
      </c>
      <c r="BI332" t="s">
        <v>302</v>
      </c>
      <c r="BJ332" t="s">
        <v>359</v>
      </c>
      <c r="BK332" t="s">
        <v>293</v>
      </c>
      <c r="BL332" t="s">
        <v>293</v>
      </c>
      <c r="BM332" t="s">
        <v>297</v>
      </c>
      <c r="BN332" t="s">
        <v>356</v>
      </c>
      <c r="BO332" t="s">
        <v>293</v>
      </c>
      <c r="BP332" t="s">
        <v>292</v>
      </c>
      <c r="BQ332" t="s">
        <v>363</v>
      </c>
      <c r="BR332" t="s">
        <v>293</v>
      </c>
      <c r="BS332" t="s">
        <v>364</v>
      </c>
      <c r="BT332" t="s">
        <v>366</v>
      </c>
      <c r="BU332" t="s">
        <v>371</v>
      </c>
      <c r="BV332" t="s">
        <v>371</v>
      </c>
      <c r="BW332" t="s">
        <v>2775</v>
      </c>
      <c r="BX332" t="str">
        <f>IF(J332="win",VLOOKUP(B332,ColorScheme!$A$2:$I$32,4,0),VLOOKUP(B332,ColorScheme!$A$2:$I$32,5,0))</f>
        <v>#e6daa6</v>
      </c>
    </row>
    <row r="333" spans="1:76" x14ac:dyDescent="0.3">
      <c r="A333" t="s">
        <v>43</v>
      </c>
      <c r="B333" t="s">
        <v>69</v>
      </c>
      <c r="C333" t="s">
        <v>34</v>
      </c>
      <c r="D333" t="s">
        <v>29</v>
      </c>
      <c r="E333" t="s">
        <v>1035</v>
      </c>
      <c r="F333" t="b">
        <v>1</v>
      </c>
      <c r="G333">
        <v>100</v>
      </c>
      <c r="H333">
        <v>1</v>
      </c>
      <c r="I333">
        <v>25084</v>
      </c>
      <c r="J333" s="61" t="s">
        <v>18</v>
      </c>
      <c r="K333" s="16" t="s">
        <v>272</v>
      </c>
      <c r="L333" s="16">
        <v>3</v>
      </c>
      <c r="M333" s="16" t="s">
        <v>277</v>
      </c>
      <c r="N333" s="16" t="s">
        <v>335</v>
      </c>
      <c r="O333" s="15" t="s">
        <v>339</v>
      </c>
      <c r="P333" t="s">
        <v>285</v>
      </c>
      <c r="Q333" t="s">
        <v>282</v>
      </c>
      <c r="R333" s="17" t="s">
        <v>371</v>
      </c>
      <c r="S333" s="17">
        <v>0</v>
      </c>
      <c r="T333" s="17">
        <v>1</v>
      </c>
      <c r="U333" s="17">
        <v>0</v>
      </c>
      <c r="V333" s="17">
        <v>0</v>
      </c>
      <c r="W333" s="17">
        <v>0</v>
      </c>
      <c r="X333" s="17">
        <v>1</v>
      </c>
      <c r="Y333" s="17">
        <v>0</v>
      </c>
      <c r="Z333" s="17">
        <v>0</v>
      </c>
      <c r="AA333" s="17">
        <v>1</v>
      </c>
      <c r="AB333" s="17">
        <v>0</v>
      </c>
      <c r="AC333" s="17" t="s">
        <v>704</v>
      </c>
      <c r="AD333" s="16" t="s">
        <v>341</v>
      </c>
      <c r="AE333" s="16" t="s">
        <v>342</v>
      </c>
      <c r="AF333" s="15" t="s">
        <v>343</v>
      </c>
      <c r="AG333" s="15" t="s">
        <v>344</v>
      </c>
      <c r="AH333" s="17" t="s">
        <v>371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704</v>
      </c>
      <c r="AR333" t="s">
        <v>349</v>
      </c>
      <c r="AS333" t="s">
        <v>349</v>
      </c>
      <c r="AT333">
        <v>1</v>
      </c>
      <c r="AU333">
        <v>0</v>
      </c>
      <c r="AV333">
        <v>0</v>
      </c>
      <c r="AW333" t="s">
        <v>704</v>
      </c>
      <c r="AX333" t="s">
        <v>1302</v>
      </c>
      <c r="AY333" t="s">
        <v>293</v>
      </c>
      <c r="AZ333" t="s">
        <v>353</v>
      </c>
      <c r="BA333" t="s">
        <v>355</v>
      </c>
      <c r="BB333" t="s">
        <v>301</v>
      </c>
      <c r="BC333" t="s">
        <v>293</v>
      </c>
      <c r="BD333" t="s">
        <v>292</v>
      </c>
      <c r="BE333" t="s">
        <v>292</v>
      </c>
      <c r="BF333" t="s">
        <v>292</v>
      </c>
      <c r="BG333" t="s">
        <v>293</v>
      </c>
      <c r="BH333" t="s">
        <v>302</v>
      </c>
      <c r="BI333" t="s">
        <v>302</v>
      </c>
      <c r="BJ333" t="s">
        <v>359</v>
      </c>
      <c r="BK333" t="s">
        <v>293</v>
      </c>
      <c r="BL333" t="s">
        <v>293</v>
      </c>
      <c r="BM333" t="s">
        <v>297</v>
      </c>
      <c r="BN333" t="s">
        <v>356</v>
      </c>
      <c r="BO333" t="s">
        <v>293</v>
      </c>
      <c r="BP333" t="s">
        <v>292</v>
      </c>
      <c r="BQ333" t="s">
        <v>293</v>
      </c>
      <c r="BR333" t="s">
        <v>293</v>
      </c>
      <c r="BS333" t="s">
        <v>364</v>
      </c>
      <c r="BT333" t="s">
        <v>304</v>
      </c>
      <c r="BU333" t="s">
        <v>371</v>
      </c>
      <c r="BV333" t="s">
        <v>371</v>
      </c>
      <c r="BW333" t="s">
        <v>2776</v>
      </c>
      <c r="BX333" t="str">
        <f>IF(J333="win",VLOOKUP(B333,ColorScheme!$A$2:$I$32,4,0),VLOOKUP(B333,ColorScheme!$A$2:$I$32,5,0))</f>
        <v>#e6daa650</v>
      </c>
    </row>
    <row r="334" spans="1:76" x14ac:dyDescent="0.3">
      <c r="A334" t="s">
        <v>43</v>
      </c>
      <c r="B334" t="s">
        <v>69</v>
      </c>
      <c r="C334" t="s">
        <v>36</v>
      </c>
      <c r="D334" t="s">
        <v>29</v>
      </c>
      <c r="E334" t="s">
        <v>1036</v>
      </c>
      <c r="F334" t="b">
        <v>1</v>
      </c>
      <c r="G334">
        <v>100</v>
      </c>
      <c r="H334">
        <v>1</v>
      </c>
      <c r="I334">
        <v>24040</v>
      </c>
      <c r="J334" s="61" t="s">
        <v>18</v>
      </c>
      <c r="K334" s="16" t="s">
        <v>272</v>
      </c>
      <c r="L334" s="16">
        <v>3</v>
      </c>
      <c r="M334" s="16" t="s">
        <v>277</v>
      </c>
      <c r="N334" s="16" t="s">
        <v>335</v>
      </c>
      <c r="O334" s="15" t="s">
        <v>283</v>
      </c>
      <c r="P334" t="s">
        <v>371</v>
      </c>
      <c r="Q334" t="s">
        <v>371</v>
      </c>
      <c r="R334" s="17" t="s">
        <v>371</v>
      </c>
      <c r="S334" s="17">
        <v>0</v>
      </c>
      <c r="T334" s="17">
        <v>0</v>
      </c>
      <c r="U334" s="17">
        <v>1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 t="s">
        <v>704</v>
      </c>
      <c r="AD334" s="16" t="s">
        <v>340</v>
      </c>
      <c r="AE334" s="16" t="s">
        <v>342</v>
      </c>
      <c r="AF334" s="15" t="s">
        <v>343</v>
      </c>
      <c r="AG334" s="15" t="s">
        <v>344</v>
      </c>
      <c r="AH334" s="17" t="s">
        <v>291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 t="s">
        <v>704</v>
      </c>
      <c r="AR334" t="s">
        <v>349</v>
      </c>
      <c r="AS334" t="s">
        <v>349</v>
      </c>
      <c r="AT334">
        <v>1</v>
      </c>
      <c r="AU334">
        <v>0</v>
      </c>
      <c r="AV334">
        <v>0</v>
      </c>
      <c r="AW334" t="s">
        <v>704</v>
      </c>
      <c r="AX334" t="s">
        <v>1303</v>
      </c>
      <c r="AY334" t="s">
        <v>293</v>
      </c>
      <c r="AZ334" t="s">
        <v>353</v>
      </c>
      <c r="BA334" t="s">
        <v>296</v>
      </c>
      <c r="BB334" t="s">
        <v>300</v>
      </c>
      <c r="BC334" t="s">
        <v>293</v>
      </c>
      <c r="BD334" t="s">
        <v>292</v>
      </c>
      <c r="BE334" t="s">
        <v>292</v>
      </c>
      <c r="BF334" t="s">
        <v>292</v>
      </c>
      <c r="BG334" t="s">
        <v>293</v>
      </c>
      <c r="BH334" t="s">
        <v>302</v>
      </c>
      <c r="BI334" t="s">
        <v>302</v>
      </c>
      <c r="BJ334" t="s">
        <v>359</v>
      </c>
      <c r="BK334" t="s">
        <v>293</v>
      </c>
      <c r="BL334" t="s">
        <v>293</v>
      </c>
      <c r="BM334" t="s">
        <v>297</v>
      </c>
      <c r="BN334" t="s">
        <v>356</v>
      </c>
      <c r="BO334" t="s">
        <v>293</v>
      </c>
      <c r="BP334" t="s">
        <v>292</v>
      </c>
      <c r="BQ334" t="s">
        <v>293</v>
      </c>
      <c r="BR334" t="s">
        <v>293</v>
      </c>
      <c r="BS334" t="s">
        <v>364</v>
      </c>
      <c r="BT334" t="s">
        <v>304</v>
      </c>
      <c r="BU334" t="s">
        <v>371</v>
      </c>
      <c r="BV334" t="s">
        <v>371</v>
      </c>
      <c r="BW334" t="s">
        <v>2777</v>
      </c>
      <c r="BX334" t="str">
        <f>IF(J334="win",VLOOKUP(B334,ColorScheme!$A$2:$I$32,4,0),VLOOKUP(B334,ColorScheme!$A$2:$I$32,5,0))</f>
        <v>#e6daa650</v>
      </c>
    </row>
    <row r="335" spans="1:76" x14ac:dyDescent="0.3">
      <c r="A335" t="s">
        <v>43</v>
      </c>
      <c r="B335" t="s">
        <v>69</v>
      </c>
      <c r="C335" t="s">
        <v>33</v>
      </c>
      <c r="D335" t="s">
        <v>29</v>
      </c>
      <c r="E335" t="s">
        <v>1037</v>
      </c>
      <c r="F335" t="b">
        <v>1</v>
      </c>
      <c r="G335">
        <v>99.6</v>
      </c>
      <c r="H335">
        <v>0</v>
      </c>
      <c r="I335">
        <v>18914</v>
      </c>
      <c r="J335" s="61" t="s">
        <v>13</v>
      </c>
      <c r="K335" s="16" t="s">
        <v>272</v>
      </c>
      <c r="L335" s="16">
        <v>3</v>
      </c>
      <c r="M335" s="16" t="s">
        <v>277</v>
      </c>
      <c r="N335" s="16" t="s">
        <v>335</v>
      </c>
      <c r="O335" s="15" t="s">
        <v>284</v>
      </c>
      <c r="P335" t="s">
        <v>273</v>
      </c>
      <c r="Q335" t="s">
        <v>282</v>
      </c>
      <c r="R335" s="17" t="s">
        <v>371</v>
      </c>
      <c r="S335" s="17">
        <v>0</v>
      </c>
      <c r="T335" s="17">
        <v>1</v>
      </c>
      <c r="U335" s="17">
        <v>0</v>
      </c>
      <c r="V335" s="17">
        <v>1</v>
      </c>
      <c r="W335" s="17">
        <v>1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 t="s">
        <v>704</v>
      </c>
      <c r="AD335" s="16" t="s">
        <v>341</v>
      </c>
      <c r="AE335" s="16" t="s">
        <v>342</v>
      </c>
      <c r="AF335" s="15" t="s">
        <v>343</v>
      </c>
      <c r="AG335" s="15" t="s">
        <v>344</v>
      </c>
      <c r="AH335" s="17" t="s">
        <v>371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704</v>
      </c>
      <c r="AR335" t="s">
        <v>349</v>
      </c>
      <c r="AS335" t="s">
        <v>349</v>
      </c>
      <c r="AT335">
        <v>1</v>
      </c>
      <c r="AU335">
        <v>0</v>
      </c>
      <c r="AV335">
        <v>0</v>
      </c>
      <c r="AW335" t="s">
        <v>704</v>
      </c>
      <c r="AX335" t="s">
        <v>1304</v>
      </c>
      <c r="AY335" t="s">
        <v>293</v>
      </c>
      <c r="AZ335" t="s">
        <v>353</v>
      </c>
      <c r="BA335" t="s">
        <v>355</v>
      </c>
      <c r="BB335" t="s">
        <v>301</v>
      </c>
      <c r="BC335" t="s">
        <v>293</v>
      </c>
      <c r="BD335" t="s">
        <v>292</v>
      </c>
      <c r="BE335" t="s">
        <v>292</v>
      </c>
      <c r="BF335" t="s">
        <v>292</v>
      </c>
      <c r="BG335" t="s">
        <v>293</v>
      </c>
      <c r="BH335" t="s">
        <v>302</v>
      </c>
      <c r="BI335" t="s">
        <v>302</v>
      </c>
      <c r="BJ335" t="s">
        <v>359</v>
      </c>
      <c r="BK335" t="s">
        <v>293</v>
      </c>
      <c r="BL335" t="s">
        <v>293</v>
      </c>
      <c r="BM335" t="s">
        <v>297</v>
      </c>
      <c r="BN335" t="s">
        <v>356</v>
      </c>
      <c r="BO335" t="s">
        <v>293</v>
      </c>
      <c r="BP335" t="s">
        <v>292</v>
      </c>
      <c r="BQ335" t="s">
        <v>293</v>
      </c>
      <c r="BR335" t="s">
        <v>293</v>
      </c>
      <c r="BS335" t="s">
        <v>364</v>
      </c>
      <c r="BT335" t="s">
        <v>366</v>
      </c>
      <c r="BU335" t="s">
        <v>371</v>
      </c>
      <c r="BV335" t="s">
        <v>371</v>
      </c>
      <c r="BW335" t="s">
        <v>2778</v>
      </c>
      <c r="BX335" t="str">
        <f>IF(J335="win",VLOOKUP(B335,ColorScheme!$A$2:$I$32,4,0),VLOOKUP(B335,ColorScheme!$A$2:$I$32,5,0))</f>
        <v>#e6daa6</v>
      </c>
    </row>
    <row r="336" spans="1:76" x14ac:dyDescent="0.3">
      <c r="A336" t="s">
        <v>43</v>
      </c>
      <c r="B336" t="s">
        <v>69</v>
      </c>
      <c r="C336" t="s">
        <v>26</v>
      </c>
      <c r="D336" t="s">
        <v>29</v>
      </c>
      <c r="E336" t="s">
        <v>1038</v>
      </c>
      <c r="F336" t="b">
        <v>1</v>
      </c>
      <c r="G336">
        <v>100</v>
      </c>
      <c r="H336">
        <v>1</v>
      </c>
      <c r="I336">
        <v>10804</v>
      </c>
      <c r="J336" s="61" t="s">
        <v>18</v>
      </c>
      <c r="K336" s="16" t="s">
        <v>272</v>
      </c>
      <c r="L336" s="16">
        <v>2</v>
      </c>
      <c r="M336" s="16" t="s">
        <v>333</v>
      </c>
      <c r="N336" s="16" t="s">
        <v>278</v>
      </c>
      <c r="O336" s="15" t="s">
        <v>282</v>
      </c>
      <c r="P336" t="s">
        <v>371</v>
      </c>
      <c r="Q336" t="s">
        <v>371</v>
      </c>
      <c r="R336" s="17" t="s">
        <v>371</v>
      </c>
      <c r="S336" s="17">
        <v>0</v>
      </c>
      <c r="T336" s="17">
        <v>1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 t="s">
        <v>704</v>
      </c>
      <c r="AD336" s="16" t="s">
        <v>340</v>
      </c>
      <c r="AE336" s="16" t="s">
        <v>342</v>
      </c>
      <c r="AF336" s="15" t="s">
        <v>340</v>
      </c>
      <c r="AG336" s="15" t="s">
        <v>344</v>
      </c>
      <c r="AH336" s="17" t="s">
        <v>371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704</v>
      </c>
      <c r="AR336" t="s">
        <v>349</v>
      </c>
      <c r="AS336" t="s">
        <v>349</v>
      </c>
      <c r="AT336">
        <v>1</v>
      </c>
      <c r="AU336">
        <v>0</v>
      </c>
      <c r="AV336">
        <v>0</v>
      </c>
      <c r="AW336" t="s">
        <v>704</v>
      </c>
      <c r="AX336" t="s">
        <v>1208</v>
      </c>
      <c r="AY336" t="s">
        <v>293</v>
      </c>
      <c r="AZ336" t="s">
        <v>354</v>
      </c>
      <c r="BA336" t="s">
        <v>354</v>
      </c>
      <c r="BB336" t="s">
        <v>300</v>
      </c>
      <c r="BC336" t="s">
        <v>292</v>
      </c>
      <c r="BD336" t="s">
        <v>293</v>
      </c>
      <c r="BE336" t="s">
        <v>292</v>
      </c>
      <c r="BF336" t="s">
        <v>292</v>
      </c>
      <c r="BG336" t="s">
        <v>293</v>
      </c>
      <c r="BH336" t="s">
        <v>302</v>
      </c>
      <c r="BI336" t="s">
        <v>302</v>
      </c>
      <c r="BJ336" t="s">
        <v>357</v>
      </c>
      <c r="BK336" t="s">
        <v>293</v>
      </c>
      <c r="BL336" t="s">
        <v>293</v>
      </c>
      <c r="BM336" t="s">
        <v>297</v>
      </c>
      <c r="BN336" t="s">
        <v>298</v>
      </c>
      <c r="BO336" t="s">
        <v>293</v>
      </c>
      <c r="BP336" t="s">
        <v>292</v>
      </c>
      <c r="BQ336" t="s">
        <v>293</v>
      </c>
      <c r="BR336" t="s">
        <v>293</v>
      </c>
      <c r="BS336" t="s">
        <v>364</v>
      </c>
      <c r="BT336" t="s">
        <v>304</v>
      </c>
      <c r="BU336" t="s">
        <v>371</v>
      </c>
      <c r="BV336" t="s">
        <v>371</v>
      </c>
      <c r="BW336" t="s">
        <v>2779</v>
      </c>
      <c r="BX336" t="str">
        <f>IF(J336="win",VLOOKUP(B336,ColorScheme!$A$2:$I$32,4,0),VLOOKUP(B336,ColorScheme!$A$2:$I$32,5,0))</f>
        <v>#e6daa650</v>
      </c>
    </row>
    <row r="337" spans="1:76" x14ac:dyDescent="0.3">
      <c r="A337" t="s">
        <v>43</v>
      </c>
      <c r="B337" t="s">
        <v>69</v>
      </c>
      <c r="C337" t="s">
        <v>31</v>
      </c>
      <c r="D337" t="s">
        <v>29</v>
      </c>
      <c r="E337" t="s">
        <v>1039</v>
      </c>
      <c r="F337" t="b">
        <v>1</v>
      </c>
      <c r="G337">
        <v>100</v>
      </c>
      <c r="H337">
        <v>1</v>
      </c>
      <c r="I337">
        <v>12895</v>
      </c>
      <c r="J337" s="61" t="s">
        <v>18</v>
      </c>
      <c r="K337" s="16" t="s">
        <v>272</v>
      </c>
      <c r="L337" s="16">
        <v>3</v>
      </c>
      <c r="M337" s="16" t="s">
        <v>277</v>
      </c>
      <c r="N337" s="16" t="s">
        <v>335</v>
      </c>
      <c r="O337" s="15" t="s">
        <v>282</v>
      </c>
      <c r="P337" t="s">
        <v>339</v>
      </c>
      <c r="Q337" t="s">
        <v>371</v>
      </c>
      <c r="R337" s="17" t="s">
        <v>371</v>
      </c>
      <c r="S337" s="17">
        <v>0</v>
      </c>
      <c r="T337" s="17">
        <v>1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1</v>
      </c>
      <c r="AB337" s="17">
        <v>0</v>
      </c>
      <c r="AC337" s="17" t="s">
        <v>704</v>
      </c>
      <c r="AD337" s="16" t="s">
        <v>341</v>
      </c>
      <c r="AE337" s="16" t="s">
        <v>340</v>
      </c>
      <c r="AF337" s="15" t="s">
        <v>343</v>
      </c>
      <c r="AG337" s="15" t="s">
        <v>344</v>
      </c>
      <c r="AH337" s="17" t="s">
        <v>371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704</v>
      </c>
      <c r="AR337" t="s">
        <v>349</v>
      </c>
      <c r="AS337" t="s">
        <v>349</v>
      </c>
      <c r="AT337">
        <v>1</v>
      </c>
      <c r="AU337">
        <v>0</v>
      </c>
      <c r="AV337">
        <v>0</v>
      </c>
      <c r="AW337" t="s">
        <v>704</v>
      </c>
      <c r="AX337" t="s">
        <v>1301</v>
      </c>
      <c r="AY337" t="s">
        <v>293</v>
      </c>
      <c r="AZ337" t="s">
        <v>353</v>
      </c>
      <c r="BA337" t="s">
        <v>297</v>
      </c>
      <c r="BB337" t="s">
        <v>300</v>
      </c>
      <c r="BC337" t="s">
        <v>293</v>
      </c>
      <c r="BD337" t="s">
        <v>292</v>
      </c>
      <c r="BE337" t="s">
        <v>292</v>
      </c>
      <c r="BF337" t="s">
        <v>293</v>
      </c>
      <c r="BG337" t="s">
        <v>293</v>
      </c>
      <c r="BH337" t="s">
        <v>302</v>
      </c>
      <c r="BI337" t="s">
        <v>302</v>
      </c>
      <c r="BJ337" t="s">
        <v>359</v>
      </c>
      <c r="BK337" t="s">
        <v>293</v>
      </c>
      <c r="BL337" t="s">
        <v>293</v>
      </c>
      <c r="BM337" t="s">
        <v>297</v>
      </c>
      <c r="BN337" t="s">
        <v>356</v>
      </c>
      <c r="BO337" t="s">
        <v>293</v>
      </c>
      <c r="BP337" t="s">
        <v>292</v>
      </c>
      <c r="BQ337" t="s">
        <v>363</v>
      </c>
      <c r="BR337" t="s">
        <v>293</v>
      </c>
      <c r="BS337" t="s">
        <v>364</v>
      </c>
      <c r="BT337" t="s">
        <v>304</v>
      </c>
      <c r="BU337" t="s">
        <v>371</v>
      </c>
      <c r="BV337" t="s">
        <v>371</v>
      </c>
      <c r="BW337" t="s">
        <v>2780</v>
      </c>
      <c r="BX337" t="str">
        <f>IF(J337="win",VLOOKUP(B337,ColorScheme!$A$2:$I$32,4,0),VLOOKUP(B337,ColorScheme!$A$2:$I$32,5,0))</f>
        <v>#e6daa650</v>
      </c>
    </row>
    <row r="338" spans="1:76" x14ac:dyDescent="0.3">
      <c r="A338" t="s">
        <v>43</v>
      </c>
      <c r="B338" t="s">
        <v>69</v>
      </c>
      <c r="C338" t="s">
        <v>27</v>
      </c>
      <c r="D338" t="s">
        <v>29</v>
      </c>
      <c r="E338" t="s">
        <v>1040</v>
      </c>
      <c r="F338" t="b">
        <v>1</v>
      </c>
      <c r="G338">
        <v>88.2</v>
      </c>
      <c r="H338">
        <v>0</v>
      </c>
      <c r="I338">
        <v>13713</v>
      </c>
      <c r="J338" s="61" t="s">
        <v>13</v>
      </c>
      <c r="K338" s="16" t="s">
        <v>272</v>
      </c>
      <c r="L338" s="16">
        <v>2</v>
      </c>
      <c r="M338" s="16" t="s">
        <v>333</v>
      </c>
      <c r="N338" s="16" t="s">
        <v>278</v>
      </c>
      <c r="O338" s="15" t="s">
        <v>282</v>
      </c>
      <c r="P338" t="s">
        <v>371</v>
      </c>
      <c r="Q338" t="s">
        <v>371</v>
      </c>
      <c r="R338" s="17" t="s">
        <v>371</v>
      </c>
      <c r="S338" s="17">
        <v>0</v>
      </c>
      <c r="T338" s="17">
        <v>1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 t="s">
        <v>704</v>
      </c>
      <c r="AD338" s="16" t="s">
        <v>340</v>
      </c>
      <c r="AE338" s="16" t="s">
        <v>342</v>
      </c>
      <c r="AF338" s="15" t="s">
        <v>343</v>
      </c>
      <c r="AG338" s="15" t="s">
        <v>344</v>
      </c>
      <c r="AH338" s="17" t="s">
        <v>371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704</v>
      </c>
      <c r="AR338" t="s">
        <v>349</v>
      </c>
      <c r="AS338" t="s">
        <v>349</v>
      </c>
      <c r="AT338">
        <v>1</v>
      </c>
      <c r="AU338">
        <v>0</v>
      </c>
      <c r="AV338">
        <v>0</v>
      </c>
      <c r="AW338" t="s">
        <v>704</v>
      </c>
      <c r="AX338" t="s">
        <v>1208</v>
      </c>
      <c r="AY338" t="s">
        <v>293</v>
      </c>
      <c r="AZ338" t="s">
        <v>354</v>
      </c>
      <c r="BA338" t="s">
        <v>354</v>
      </c>
      <c r="BB338" t="s">
        <v>300</v>
      </c>
      <c r="BC338" t="s">
        <v>293</v>
      </c>
      <c r="BD338" t="s">
        <v>292</v>
      </c>
      <c r="BE338" t="s">
        <v>292</v>
      </c>
      <c r="BF338" t="s">
        <v>292</v>
      </c>
      <c r="BG338" t="s">
        <v>293</v>
      </c>
      <c r="BH338" t="s">
        <v>302</v>
      </c>
      <c r="BI338" t="s">
        <v>359</v>
      </c>
      <c r="BJ338" t="s">
        <v>357</v>
      </c>
      <c r="BK338" t="s">
        <v>293</v>
      </c>
      <c r="BL338" t="s">
        <v>293</v>
      </c>
      <c r="BM338" t="s">
        <v>297</v>
      </c>
      <c r="BN338" t="s">
        <v>356</v>
      </c>
      <c r="BO338" t="s">
        <v>293</v>
      </c>
      <c r="BP338" t="s">
        <v>292</v>
      </c>
      <c r="BQ338" t="s">
        <v>293</v>
      </c>
      <c r="BR338" t="s">
        <v>293</v>
      </c>
      <c r="BS338" t="s">
        <v>364</v>
      </c>
      <c r="BT338" t="s">
        <v>366</v>
      </c>
      <c r="BU338" t="s">
        <v>371</v>
      </c>
      <c r="BV338" t="s">
        <v>371</v>
      </c>
      <c r="BW338" t="s">
        <v>2781</v>
      </c>
      <c r="BX338" t="str">
        <f>IF(J338="win",VLOOKUP(B338,ColorScheme!$A$2:$I$32,4,0),VLOOKUP(B338,ColorScheme!$A$2:$I$32,5,0))</f>
        <v>#e6daa6</v>
      </c>
    </row>
    <row r="339" spans="1:76" x14ac:dyDescent="0.3">
      <c r="A339" t="s">
        <v>43</v>
      </c>
      <c r="B339" t="s">
        <v>69</v>
      </c>
      <c r="C339" t="s">
        <v>28</v>
      </c>
      <c r="D339" t="s">
        <v>29</v>
      </c>
      <c r="E339" t="s">
        <v>1041</v>
      </c>
      <c r="F339" t="b">
        <v>1</v>
      </c>
      <c r="G339">
        <v>100</v>
      </c>
      <c r="H339">
        <v>1</v>
      </c>
      <c r="I339">
        <v>12617</v>
      </c>
      <c r="J339" s="61" t="s">
        <v>18</v>
      </c>
      <c r="K339" s="16" t="s">
        <v>272</v>
      </c>
      <c r="L339" s="16">
        <v>3</v>
      </c>
      <c r="M339" s="16" t="s">
        <v>277</v>
      </c>
      <c r="N339" s="16" t="s">
        <v>335</v>
      </c>
      <c r="O339" s="15" t="s">
        <v>282</v>
      </c>
      <c r="P339" t="s">
        <v>371</v>
      </c>
      <c r="Q339" t="s">
        <v>371</v>
      </c>
      <c r="R339" s="17" t="s">
        <v>371</v>
      </c>
      <c r="S339" s="17">
        <v>0</v>
      </c>
      <c r="T339" s="17">
        <v>1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 t="s">
        <v>704</v>
      </c>
      <c r="AD339" s="16" t="s">
        <v>341</v>
      </c>
      <c r="AE339" s="16" t="s">
        <v>340</v>
      </c>
      <c r="AF339" s="15" t="s">
        <v>343</v>
      </c>
      <c r="AG339" s="15" t="s">
        <v>344</v>
      </c>
      <c r="AH339" s="17" t="s">
        <v>371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704</v>
      </c>
      <c r="AR339" t="s">
        <v>349</v>
      </c>
      <c r="AS339" t="s">
        <v>349</v>
      </c>
      <c r="AT339">
        <v>1</v>
      </c>
      <c r="AU339">
        <v>0</v>
      </c>
      <c r="AV339">
        <v>0</v>
      </c>
      <c r="AW339" t="s">
        <v>704</v>
      </c>
      <c r="AX339" t="s">
        <v>1208</v>
      </c>
      <c r="AY339" t="s">
        <v>293</v>
      </c>
      <c r="AZ339" t="s">
        <v>352</v>
      </c>
      <c r="BA339" t="s">
        <v>297</v>
      </c>
      <c r="BB339" t="s">
        <v>300</v>
      </c>
      <c r="BC339" t="s">
        <v>293</v>
      </c>
      <c r="BD339" t="s">
        <v>292</v>
      </c>
      <c r="BE339" t="s">
        <v>292</v>
      </c>
      <c r="BF339" t="s">
        <v>293</v>
      </c>
      <c r="BG339" t="s">
        <v>293</v>
      </c>
      <c r="BH339" t="s">
        <v>302</v>
      </c>
      <c r="BI339" t="s">
        <v>302</v>
      </c>
      <c r="BJ339" t="s">
        <v>302</v>
      </c>
      <c r="BK339" t="s">
        <v>293</v>
      </c>
      <c r="BL339" t="s">
        <v>293</v>
      </c>
      <c r="BM339" t="s">
        <v>297</v>
      </c>
      <c r="BN339" t="s">
        <v>356</v>
      </c>
      <c r="BO339" t="s">
        <v>293</v>
      </c>
      <c r="BP339" t="s">
        <v>292</v>
      </c>
      <c r="BQ339" t="s">
        <v>363</v>
      </c>
      <c r="BR339" t="s">
        <v>293</v>
      </c>
      <c r="BS339" t="s">
        <v>364</v>
      </c>
      <c r="BT339" t="s">
        <v>304</v>
      </c>
      <c r="BU339" t="s">
        <v>371</v>
      </c>
      <c r="BV339" t="s">
        <v>371</v>
      </c>
      <c r="BW339" t="s">
        <v>2782</v>
      </c>
      <c r="BX339" t="str">
        <f>IF(J339="win",VLOOKUP(B339,ColorScheme!$A$2:$I$32,4,0),VLOOKUP(B339,ColorScheme!$A$2:$I$32,5,0))</f>
        <v>#e6daa650</v>
      </c>
    </row>
    <row r="340" spans="1:76" x14ac:dyDescent="0.3">
      <c r="A340" t="s">
        <v>43</v>
      </c>
      <c r="B340" t="s">
        <v>69</v>
      </c>
      <c r="C340" t="s">
        <v>35</v>
      </c>
      <c r="D340" t="s">
        <v>29</v>
      </c>
      <c r="E340" t="s">
        <v>1042</v>
      </c>
      <c r="F340" t="b">
        <v>1</v>
      </c>
      <c r="G340">
        <v>91.1</v>
      </c>
      <c r="H340">
        <v>0</v>
      </c>
      <c r="I340">
        <v>25115</v>
      </c>
      <c r="J340" s="61" t="s">
        <v>13</v>
      </c>
      <c r="K340" s="16" t="s">
        <v>272</v>
      </c>
      <c r="L340" s="16">
        <v>3</v>
      </c>
      <c r="M340" s="16" t="s">
        <v>277</v>
      </c>
      <c r="N340" s="16" t="s">
        <v>335</v>
      </c>
      <c r="O340" s="15" t="s">
        <v>339</v>
      </c>
      <c r="P340" t="s">
        <v>283</v>
      </c>
      <c r="Q340" t="s">
        <v>282</v>
      </c>
      <c r="R340" s="17" t="s">
        <v>371</v>
      </c>
      <c r="S340" s="17">
        <v>0</v>
      </c>
      <c r="T340" s="17">
        <v>1</v>
      </c>
      <c r="U340" s="17">
        <v>1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1</v>
      </c>
      <c r="AB340" s="17">
        <v>0</v>
      </c>
      <c r="AC340" s="17" t="s">
        <v>704</v>
      </c>
      <c r="AD340" s="16" t="s">
        <v>341</v>
      </c>
      <c r="AE340" s="16" t="s">
        <v>342</v>
      </c>
      <c r="AF340" s="15" t="s">
        <v>343</v>
      </c>
      <c r="AG340" s="15" t="s">
        <v>344</v>
      </c>
      <c r="AH340" s="17" t="s">
        <v>371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704</v>
      </c>
      <c r="AR340" t="s">
        <v>349</v>
      </c>
      <c r="AS340" t="s">
        <v>349</v>
      </c>
      <c r="AT340">
        <v>1</v>
      </c>
      <c r="AU340">
        <v>0</v>
      </c>
      <c r="AV340">
        <v>0</v>
      </c>
      <c r="AW340" t="s">
        <v>704</v>
      </c>
      <c r="AX340" t="s">
        <v>1305</v>
      </c>
      <c r="AY340" t="s">
        <v>293</v>
      </c>
      <c r="AZ340" t="s">
        <v>353</v>
      </c>
      <c r="BA340" t="s">
        <v>355</v>
      </c>
      <c r="BB340" t="s">
        <v>301</v>
      </c>
      <c r="BC340" t="s">
        <v>293</v>
      </c>
      <c r="BD340" t="s">
        <v>292</v>
      </c>
      <c r="BE340" t="s">
        <v>292</v>
      </c>
      <c r="BF340" t="s">
        <v>292</v>
      </c>
      <c r="BG340" t="s">
        <v>293</v>
      </c>
      <c r="BH340" t="s">
        <v>302</v>
      </c>
      <c r="BI340" t="s">
        <v>302</v>
      </c>
      <c r="BJ340" t="s">
        <v>302</v>
      </c>
      <c r="BK340" t="s">
        <v>293</v>
      </c>
      <c r="BL340" t="s">
        <v>293</v>
      </c>
      <c r="BM340" t="s">
        <v>297</v>
      </c>
      <c r="BN340" t="s">
        <v>356</v>
      </c>
      <c r="BO340" t="s">
        <v>293</v>
      </c>
      <c r="BP340" t="s">
        <v>292</v>
      </c>
      <c r="BQ340" t="s">
        <v>293</v>
      </c>
      <c r="BR340" t="s">
        <v>293</v>
      </c>
      <c r="BS340" t="s">
        <v>364</v>
      </c>
      <c r="BT340" t="s">
        <v>366</v>
      </c>
      <c r="BU340" t="s">
        <v>371</v>
      </c>
      <c r="BV340" t="s">
        <v>371</v>
      </c>
      <c r="BW340" t="s">
        <v>2783</v>
      </c>
      <c r="BX340" t="str">
        <f>IF(J340="win",VLOOKUP(B340,ColorScheme!$A$2:$I$32,4,0),VLOOKUP(B340,ColorScheme!$A$2:$I$32,5,0))</f>
        <v>#e6daa6</v>
      </c>
    </row>
    <row r="341" spans="1:76" x14ac:dyDescent="0.3">
      <c r="A341" t="s">
        <v>45</v>
      </c>
      <c r="B341" t="s">
        <v>48</v>
      </c>
      <c r="C341" t="s">
        <v>15</v>
      </c>
      <c r="D341" t="s">
        <v>12</v>
      </c>
      <c r="E341" t="s">
        <v>1043</v>
      </c>
      <c r="F341" t="b">
        <v>1</v>
      </c>
      <c r="G341">
        <v>100</v>
      </c>
      <c r="H341">
        <v>1</v>
      </c>
      <c r="I341">
        <v>9607</v>
      </c>
      <c r="J341" s="61" t="s">
        <v>18</v>
      </c>
      <c r="K341" s="16" t="s">
        <v>272</v>
      </c>
      <c r="L341" s="16">
        <v>2</v>
      </c>
      <c r="M341" s="16" t="s">
        <v>277</v>
      </c>
      <c r="N341" s="16" t="s">
        <v>335</v>
      </c>
      <c r="O341" s="15" t="s">
        <v>282</v>
      </c>
      <c r="P341" t="s">
        <v>371</v>
      </c>
      <c r="Q341" t="s">
        <v>371</v>
      </c>
      <c r="R341" s="17" t="s">
        <v>371</v>
      </c>
      <c r="S341" s="17">
        <v>0</v>
      </c>
      <c r="T341" s="17">
        <v>1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 t="s">
        <v>704</v>
      </c>
      <c r="AD341" s="16" t="s">
        <v>341</v>
      </c>
      <c r="AE341" s="16" t="s">
        <v>340</v>
      </c>
      <c r="AF341" s="15" t="s">
        <v>340</v>
      </c>
      <c r="AG341" s="15" t="s">
        <v>344</v>
      </c>
      <c r="AH341" s="17" t="s">
        <v>371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704</v>
      </c>
      <c r="AR341" t="s">
        <v>349</v>
      </c>
      <c r="AS341" t="s">
        <v>349</v>
      </c>
      <c r="AT341">
        <v>1</v>
      </c>
      <c r="AU341">
        <v>0</v>
      </c>
      <c r="AV341">
        <v>0</v>
      </c>
      <c r="AW341" t="s">
        <v>704</v>
      </c>
      <c r="AX341" t="s">
        <v>1208</v>
      </c>
      <c r="AY341" t="s">
        <v>293</v>
      </c>
      <c r="AZ341" t="s">
        <v>354</v>
      </c>
      <c r="BA341" t="s">
        <v>354</v>
      </c>
      <c r="BB341" t="s">
        <v>300</v>
      </c>
      <c r="BC341" t="s">
        <v>292</v>
      </c>
      <c r="BD341" t="s">
        <v>293</v>
      </c>
      <c r="BE341" t="s">
        <v>292</v>
      </c>
      <c r="BF341" t="s">
        <v>293</v>
      </c>
      <c r="BG341" t="s">
        <v>293</v>
      </c>
      <c r="BH341" t="s">
        <v>302</v>
      </c>
      <c r="BI341" t="s">
        <v>302</v>
      </c>
      <c r="BJ341" t="s">
        <v>357</v>
      </c>
      <c r="BK341" t="s">
        <v>293</v>
      </c>
      <c r="BL341" t="s">
        <v>293</v>
      </c>
      <c r="BM341" t="s">
        <v>297</v>
      </c>
      <c r="BN341" t="s">
        <v>298</v>
      </c>
      <c r="BO341" t="s">
        <v>293</v>
      </c>
      <c r="BP341" t="s">
        <v>292</v>
      </c>
      <c r="BQ341" t="s">
        <v>293</v>
      </c>
      <c r="BR341" t="s">
        <v>293</v>
      </c>
      <c r="BS341" t="s">
        <v>364</v>
      </c>
      <c r="BT341" t="s">
        <v>304</v>
      </c>
      <c r="BU341" t="s">
        <v>371</v>
      </c>
      <c r="BV341" t="s">
        <v>371</v>
      </c>
      <c r="BW341" t="s">
        <v>2784</v>
      </c>
      <c r="BX341" t="str">
        <f>IF(J341="win",VLOOKUP(B341,ColorScheme!$A$2:$I$32,4,0),VLOOKUP(B341,ColorScheme!$A$2:$I$32,5,0))</f>
        <v>#0504aa50</v>
      </c>
    </row>
    <row r="342" spans="1:76" x14ac:dyDescent="0.3">
      <c r="A342" t="s">
        <v>45</v>
      </c>
      <c r="B342" t="s">
        <v>48</v>
      </c>
      <c r="C342" t="s">
        <v>14</v>
      </c>
      <c r="D342" t="s">
        <v>12</v>
      </c>
      <c r="E342" t="s">
        <v>1044</v>
      </c>
      <c r="F342" t="b">
        <v>1</v>
      </c>
      <c r="G342">
        <v>100</v>
      </c>
      <c r="H342">
        <v>1</v>
      </c>
      <c r="I342">
        <v>11173</v>
      </c>
      <c r="J342" s="61" t="s">
        <v>18</v>
      </c>
      <c r="K342" s="16" t="s">
        <v>272</v>
      </c>
      <c r="L342" s="16">
        <v>3</v>
      </c>
      <c r="M342" s="16" t="s">
        <v>277</v>
      </c>
      <c r="N342" s="16" t="s">
        <v>335</v>
      </c>
      <c r="O342" s="15" t="s">
        <v>284</v>
      </c>
      <c r="P342" t="s">
        <v>282</v>
      </c>
      <c r="Q342" t="s">
        <v>371</v>
      </c>
      <c r="R342" s="17" t="s">
        <v>371</v>
      </c>
      <c r="S342" s="17">
        <v>0</v>
      </c>
      <c r="T342" s="17">
        <v>1</v>
      </c>
      <c r="U342" s="17">
        <v>0</v>
      </c>
      <c r="V342" s="17">
        <v>1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 t="s">
        <v>704</v>
      </c>
      <c r="AD342" s="16" t="s">
        <v>341</v>
      </c>
      <c r="AE342" s="16" t="s">
        <v>340</v>
      </c>
      <c r="AF342" s="15" t="s">
        <v>343</v>
      </c>
      <c r="AG342" s="15" t="s">
        <v>344</v>
      </c>
      <c r="AH342" s="17" t="s">
        <v>371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704</v>
      </c>
      <c r="AR342" t="s">
        <v>349</v>
      </c>
      <c r="AS342" t="s">
        <v>349</v>
      </c>
      <c r="AT342">
        <v>1</v>
      </c>
      <c r="AU342">
        <v>0</v>
      </c>
      <c r="AV342">
        <v>0</v>
      </c>
      <c r="AW342" t="s">
        <v>704</v>
      </c>
      <c r="AX342" t="s">
        <v>1228</v>
      </c>
      <c r="AY342" t="s">
        <v>293</v>
      </c>
      <c r="AZ342" t="s">
        <v>352</v>
      </c>
      <c r="BA342" t="s">
        <v>297</v>
      </c>
      <c r="BB342" t="s">
        <v>300</v>
      </c>
      <c r="BC342" t="s">
        <v>292</v>
      </c>
      <c r="BD342" t="s">
        <v>293</v>
      </c>
      <c r="BE342" t="s">
        <v>292</v>
      </c>
      <c r="BF342" t="s">
        <v>292</v>
      </c>
      <c r="BG342" t="s">
        <v>293</v>
      </c>
      <c r="BH342" t="s">
        <v>302</v>
      </c>
      <c r="BI342" t="s">
        <v>302</v>
      </c>
      <c r="BJ342" t="s">
        <v>302</v>
      </c>
      <c r="BK342" t="s">
        <v>293</v>
      </c>
      <c r="BL342" t="s">
        <v>293</v>
      </c>
      <c r="BM342" t="s">
        <v>297</v>
      </c>
      <c r="BN342" t="s">
        <v>298</v>
      </c>
      <c r="BO342" t="s">
        <v>293</v>
      </c>
      <c r="BP342" t="s">
        <v>292</v>
      </c>
      <c r="BQ342" t="s">
        <v>293</v>
      </c>
      <c r="BR342" t="s">
        <v>293</v>
      </c>
      <c r="BS342" t="s">
        <v>364</v>
      </c>
      <c r="BT342" t="s">
        <v>304</v>
      </c>
      <c r="BU342" t="s">
        <v>371</v>
      </c>
      <c r="BV342" t="s">
        <v>371</v>
      </c>
      <c r="BW342" t="s">
        <v>2785</v>
      </c>
      <c r="BX342" t="str">
        <f>IF(J342="win",VLOOKUP(B342,ColorScheme!$A$2:$I$32,4,0),VLOOKUP(B342,ColorScheme!$A$2:$I$32,5,0))</f>
        <v>#0504aa50</v>
      </c>
    </row>
    <row r="343" spans="1:76" x14ac:dyDescent="0.3">
      <c r="A343" t="s">
        <v>45</v>
      </c>
      <c r="B343" t="s">
        <v>48</v>
      </c>
      <c r="C343" t="s">
        <v>11</v>
      </c>
      <c r="D343" t="s">
        <v>12</v>
      </c>
      <c r="E343" t="s">
        <v>1045</v>
      </c>
      <c r="F343" t="b">
        <v>1</v>
      </c>
      <c r="G343">
        <v>100</v>
      </c>
      <c r="H343">
        <v>1</v>
      </c>
      <c r="I343">
        <v>9851</v>
      </c>
      <c r="J343" s="61" t="s">
        <v>18</v>
      </c>
      <c r="K343" s="16" t="s">
        <v>272</v>
      </c>
      <c r="L343" s="16">
        <v>3</v>
      </c>
      <c r="M343" s="16" t="s">
        <v>277</v>
      </c>
      <c r="N343" s="16" t="s">
        <v>335</v>
      </c>
      <c r="O343" s="15" t="s">
        <v>284</v>
      </c>
      <c r="P343" t="s">
        <v>282</v>
      </c>
      <c r="Q343" t="s">
        <v>371</v>
      </c>
      <c r="R343" s="17" t="s">
        <v>371</v>
      </c>
      <c r="S343" s="17">
        <v>0</v>
      </c>
      <c r="T343" s="17">
        <v>1</v>
      </c>
      <c r="U343" s="17">
        <v>0</v>
      </c>
      <c r="V343" s="17">
        <v>1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 t="s">
        <v>704</v>
      </c>
      <c r="AD343" s="16" t="s">
        <v>341</v>
      </c>
      <c r="AE343" s="16" t="s">
        <v>340</v>
      </c>
      <c r="AF343" s="15" t="s">
        <v>343</v>
      </c>
      <c r="AG343" s="15" t="s">
        <v>344</v>
      </c>
      <c r="AH343" s="17" t="s">
        <v>371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704</v>
      </c>
      <c r="AR343" t="s">
        <v>349</v>
      </c>
      <c r="AS343" t="s">
        <v>349</v>
      </c>
      <c r="AT343">
        <v>1</v>
      </c>
      <c r="AU343">
        <v>0</v>
      </c>
      <c r="AV343">
        <v>0</v>
      </c>
      <c r="AW343" t="s">
        <v>704</v>
      </c>
      <c r="AX343" t="s">
        <v>1228</v>
      </c>
      <c r="AY343" t="s">
        <v>293</v>
      </c>
      <c r="AZ343" t="s">
        <v>352</v>
      </c>
      <c r="BA343" t="s">
        <v>297</v>
      </c>
      <c r="BB343" t="s">
        <v>300</v>
      </c>
      <c r="BC343" t="s">
        <v>292</v>
      </c>
      <c r="BD343" t="s">
        <v>293</v>
      </c>
      <c r="BE343" t="s">
        <v>292</v>
      </c>
      <c r="BF343" t="s">
        <v>293</v>
      </c>
      <c r="BG343" t="s">
        <v>293</v>
      </c>
      <c r="BH343" t="s">
        <v>302</v>
      </c>
      <c r="BI343" t="s">
        <v>302</v>
      </c>
      <c r="BJ343" t="s">
        <v>302</v>
      </c>
      <c r="BK343" t="s">
        <v>293</v>
      </c>
      <c r="BL343" t="s">
        <v>293</v>
      </c>
      <c r="BM343" t="s">
        <v>297</v>
      </c>
      <c r="BN343" t="s">
        <v>298</v>
      </c>
      <c r="BO343" t="s">
        <v>293</v>
      </c>
      <c r="BP343" t="s">
        <v>292</v>
      </c>
      <c r="BQ343" t="s">
        <v>293</v>
      </c>
      <c r="BR343" t="s">
        <v>293</v>
      </c>
      <c r="BS343" t="s">
        <v>364</v>
      </c>
      <c r="BT343" t="s">
        <v>304</v>
      </c>
      <c r="BU343" t="s">
        <v>371</v>
      </c>
      <c r="BV343" t="s">
        <v>371</v>
      </c>
      <c r="BW343" t="s">
        <v>2786</v>
      </c>
      <c r="BX343" t="str">
        <f>IF(J343="win",VLOOKUP(B343,ColorScheme!$A$2:$I$32,4,0),VLOOKUP(B343,ColorScheme!$A$2:$I$32,5,0))</f>
        <v>#0504aa50</v>
      </c>
    </row>
    <row r="344" spans="1:76" x14ac:dyDescent="0.3">
      <c r="A344" t="s">
        <v>45</v>
      </c>
      <c r="B344" t="s">
        <v>48</v>
      </c>
      <c r="C344" t="s">
        <v>19</v>
      </c>
      <c r="D344" t="s">
        <v>12</v>
      </c>
      <c r="E344" t="s">
        <v>1046</v>
      </c>
      <c r="F344" t="b">
        <v>1</v>
      </c>
      <c r="G344">
        <v>100</v>
      </c>
      <c r="H344">
        <v>1</v>
      </c>
      <c r="I344">
        <v>19958</v>
      </c>
      <c r="J344" s="61" t="s">
        <v>18</v>
      </c>
      <c r="K344" s="16" t="s">
        <v>272</v>
      </c>
      <c r="L344" s="16">
        <v>2</v>
      </c>
      <c r="M344" s="16" t="s">
        <v>277</v>
      </c>
      <c r="N344" s="16" t="s">
        <v>335</v>
      </c>
      <c r="O344" s="15" t="s">
        <v>282</v>
      </c>
      <c r="P344" t="s">
        <v>371</v>
      </c>
      <c r="Q344" t="s">
        <v>371</v>
      </c>
      <c r="R344" s="17" t="s">
        <v>371</v>
      </c>
      <c r="S344" s="17">
        <v>0</v>
      </c>
      <c r="T344" s="17">
        <v>1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 t="s">
        <v>704</v>
      </c>
      <c r="AD344" s="16" t="s">
        <v>341</v>
      </c>
      <c r="AE344" s="16" t="s">
        <v>340</v>
      </c>
      <c r="AF344" s="15" t="s">
        <v>340</v>
      </c>
      <c r="AG344" s="15" t="s">
        <v>344</v>
      </c>
      <c r="AH344" s="17" t="s">
        <v>371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704</v>
      </c>
      <c r="AR344" t="s">
        <v>349</v>
      </c>
      <c r="AS344" t="s">
        <v>349</v>
      </c>
      <c r="AT344">
        <v>1</v>
      </c>
      <c r="AU344">
        <v>0</v>
      </c>
      <c r="AV344">
        <v>0</v>
      </c>
      <c r="AW344" t="s">
        <v>704</v>
      </c>
      <c r="AX344" t="s">
        <v>1208</v>
      </c>
      <c r="AY344" t="s">
        <v>293</v>
      </c>
      <c r="AZ344" t="s">
        <v>354</v>
      </c>
      <c r="BA344" t="s">
        <v>354</v>
      </c>
      <c r="BB344" t="s">
        <v>301</v>
      </c>
      <c r="BC344" t="s">
        <v>292</v>
      </c>
      <c r="BD344" t="s">
        <v>293</v>
      </c>
      <c r="BE344" t="s">
        <v>293</v>
      </c>
      <c r="BF344" t="s">
        <v>292</v>
      </c>
      <c r="BG344" t="s">
        <v>293</v>
      </c>
      <c r="BH344" t="s">
        <v>302</v>
      </c>
      <c r="BI344" t="s">
        <v>302</v>
      </c>
      <c r="BJ344" t="s">
        <v>357</v>
      </c>
      <c r="BK344" t="s">
        <v>293</v>
      </c>
      <c r="BL344" t="s">
        <v>293</v>
      </c>
      <c r="BM344" t="s">
        <v>296</v>
      </c>
      <c r="BN344" t="s">
        <v>298</v>
      </c>
      <c r="BO344" t="s">
        <v>293</v>
      </c>
      <c r="BP344" t="s">
        <v>292</v>
      </c>
      <c r="BQ344" t="s">
        <v>293</v>
      </c>
      <c r="BR344" t="s">
        <v>293</v>
      </c>
      <c r="BS344" t="s">
        <v>364</v>
      </c>
      <c r="BT344" t="s">
        <v>304</v>
      </c>
      <c r="BU344" t="s">
        <v>371</v>
      </c>
      <c r="BV344" t="s">
        <v>371</v>
      </c>
      <c r="BW344" t="s">
        <v>2787</v>
      </c>
      <c r="BX344" t="str">
        <f>IF(J344="win",VLOOKUP(B344,ColorScheme!$A$2:$I$32,4,0),VLOOKUP(B344,ColorScheme!$A$2:$I$32,5,0))</f>
        <v>#0504aa50</v>
      </c>
    </row>
    <row r="345" spans="1:76" x14ac:dyDescent="0.3">
      <c r="A345" t="s">
        <v>45</v>
      </c>
      <c r="B345" t="s">
        <v>48</v>
      </c>
      <c r="C345" t="s">
        <v>17</v>
      </c>
      <c r="D345" t="s">
        <v>12</v>
      </c>
      <c r="E345" t="s">
        <v>1047</v>
      </c>
      <c r="F345" t="b">
        <v>1</v>
      </c>
      <c r="G345">
        <v>86.1</v>
      </c>
      <c r="H345">
        <v>0</v>
      </c>
      <c r="I345">
        <v>22810</v>
      </c>
      <c r="J345" s="61" t="s">
        <v>13</v>
      </c>
      <c r="K345" s="16" t="s">
        <v>272</v>
      </c>
      <c r="L345" s="16">
        <v>2</v>
      </c>
      <c r="M345" s="16" t="s">
        <v>277</v>
      </c>
      <c r="N345" s="16" t="s">
        <v>335</v>
      </c>
      <c r="O345" s="15" t="s">
        <v>282</v>
      </c>
      <c r="P345" t="s">
        <v>371</v>
      </c>
      <c r="Q345" t="s">
        <v>371</v>
      </c>
      <c r="R345" s="17" t="s">
        <v>371</v>
      </c>
      <c r="S345" s="17">
        <v>0</v>
      </c>
      <c r="T345" s="17">
        <v>1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>
        <v>0</v>
      </c>
      <c r="AC345" s="17" t="s">
        <v>704</v>
      </c>
      <c r="AD345" s="16" t="s">
        <v>341</v>
      </c>
      <c r="AE345" s="16" t="s">
        <v>340</v>
      </c>
      <c r="AF345" s="15" t="s">
        <v>340</v>
      </c>
      <c r="AG345" s="15" t="s">
        <v>344</v>
      </c>
      <c r="AH345" s="17" t="s">
        <v>371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704</v>
      </c>
      <c r="AR345" t="s">
        <v>349</v>
      </c>
      <c r="AS345" t="s">
        <v>349</v>
      </c>
      <c r="AT345">
        <v>1</v>
      </c>
      <c r="AU345">
        <v>0</v>
      </c>
      <c r="AV345">
        <v>0</v>
      </c>
      <c r="AW345" t="s">
        <v>704</v>
      </c>
      <c r="AX345" t="s">
        <v>1208</v>
      </c>
      <c r="AY345" t="s">
        <v>293</v>
      </c>
      <c r="AZ345" t="s">
        <v>354</v>
      </c>
      <c r="BA345" t="s">
        <v>354</v>
      </c>
      <c r="BB345" t="s">
        <v>301</v>
      </c>
      <c r="BC345" t="s">
        <v>293</v>
      </c>
      <c r="BD345" t="s">
        <v>292</v>
      </c>
      <c r="BE345" t="s">
        <v>293</v>
      </c>
      <c r="BF345" t="s">
        <v>292</v>
      </c>
      <c r="BG345" t="s">
        <v>293</v>
      </c>
      <c r="BH345" t="s">
        <v>302</v>
      </c>
      <c r="BI345" t="s">
        <v>302</v>
      </c>
      <c r="BJ345" t="s">
        <v>357</v>
      </c>
      <c r="BK345" t="s">
        <v>293</v>
      </c>
      <c r="BL345" t="s">
        <v>293</v>
      </c>
      <c r="BM345" t="s">
        <v>296</v>
      </c>
      <c r="BN345" t="s">
        <v>356</v>
      </c>
      <c r="BO345" t="s">
        <v>293</v>
      </c>
      <c r="BP345" t="s">
        <v>292</v>
      </c>
      <c r="BQ345" t="s">
        <v>293</v>
      </c>
      <c r="BR345" t="s">
        <v>293</v>
      </c>
      <c r="BS345" t="s">
        <v>364</v>
      </c>
      <c r="BT345" t="s">
        <v>366</v>
      </c>
      <c r="BU345" t="s">
        <v>371</v>
      </c>
      <c r="BV345" t="s">
        <v>371</v>
      </c>
      <c r="BW345" t="s">
        <v>2788</v>
      </c>
      <c r="BX345" t="str">
        <f>IF(J345="win",VLOOKUP(B345,ColorScheme!$A$2:$I$32,4,0),VLOOKUP(B345,ColorScheme!$A$2:$I$32,5,0))</f>
        <v>#0504aa</v>
      </c>
    </row>
    <row r="346" spans="1:76" x14ac:dyDescent="0.3">
      <c r="A346" t="s">
        <v>45</v>
      </c>
      <c r="B346" t="s">
        <v>48</v>
      </c>
      <c r="C346" t="s">
        <v>16</v>
      </c>
      <c r="D346" t="s">
        <v>12</v>
      </c>
      <c r="E346" t="s">
        <v>1048</v>
      </c>
      <c r="F346" t="b">
        <v>1</v>
      </c>
      <c r="G346">
        <v>86.1</v>
      </c>
      <c r="H346">
        <v>0</v>
      </c>
      <c r="I346">
        <v>12546</v>
      </c>
      <c r="J346" s="61" t="s">
        <v>13</v>
      </c>
      <c r="K346" s="16" t="s">
        <v>272</v>
      </c>
      <c r="L346" s="16">
        <v>2</v>
      </c>
      <c r="M346" s="16" t="s">
        <v>277</v>
      </c>
      <c r="N346" s="16" t="s">
        <v>335</v>
      </c>
      <c r="O346" s="15" t="s">
        <v>282</v>
      </c>
      <c r="P346" t="s">
        <v>371</v>
      </c>
      <c r="Q346" t="s">
        <v>371</v>
      </c>
      <c r="R346" s="17" t="s">
        <v>371</v>
      </c>
      <c r="S346" s="17">
        <v>0</v>
      </c>
      <c r="T346" s="17">
        <v>1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 t="s">
        <v>704</v>
      </c>
      <c r="AD346" s="16" t="s">
        <v>341</v>
      </c>
      <c r="AE346" s="16" t="s">
        <v>340</v>
      </c>
      <c r="AF346" s="15" t="s">
        <v>340</v>
      </c>
      <c r="AG346" s="15" t="s">
        <v>344</v>
      </c>
      <c r="AH346" s="17" t="s">
        <v>371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704</v>
      </c>
      <c r="AR346" t="s">
        <v>349</v>
      </c>
      <c r="AS346" t="s">
        <v>349</v>
      </c>
      <c r="AT346">
        <v>1</v>
      </c>
      <c r="AU346">
        <v>0</v>
      </c>
      <c r="AV346">
        <v>0</v>
      </c>
      <c r="AW346" t="s">
        <v>704</v>
      </c>
      <c r="AX346" t="s">
        <v>1208</v>
      </c>
      <c r="AY346" t="s">
        <v>293</v>
      </c>
      <c r="AZ346" t="s">
        <v>354</v>
      </c>
      <c r="BA346" t="s">
        <v>354</v>
      </c>
      <c r="BB346" t="s">
        <v>301</v>
      </c>
      <c r="BC346" t="s">
        <v>293</v>
      </c>
      <c r="BD346" t="s">
        <v>292</v>
      </c>
      <c r="BE346" t="s">
        <v>292</v>
      </c>
      <c r="BF346" t="s">
        <v>293</v>
      </c>
      <c r="BG346" t="s">
        <v>293</v>
      </c>
      <c r="BH346" t="s">
        <v>302</v>
      </c>
      <c r="BI346" t="s">
        <v>302</v>
      </c>
      <c r="BJ346" t="s">
        <v>357</v>
      </c>
      <c r="BK346" t="s">
        <v>293</v>
      </c>
      <c r="BL346" t="s">
        <v>293</v>
      </c>
      <c r="BM346" t="s">
        <v>297</v>
      </c>
      <c r="BN346" t="s">
        <v>356</v>
      </c>
      <c r="BO346" t="s">
        <v>293</v>
      </c>
      <c r="BP346" t="s">
        <v>292</v>
      </c>
      <c r="BQ346" t="s">
        <v>293</v>
      </c>
      <c r="BR346" t="s">
        <v>293</v>
      </c>
      <c r="BS346" t="s">
        <v>364</v>
      </c>
      <c r="BT346" t="s">
        <v>366</v>
      </c>
      <c r="BU346" t="s">
        <v>371</v>
      </c>
      <c r="BV346" t="s">
        <v>371</v>
      </c>
      <c r="BW346" t="s">
        <v>2789</v>
      </c>
      <c r="BX346" t="str">
        <f>IF(J346="win",VLOOKUP(B346,ColorScheme!$A$2:$I$32,4,0),VLOOKUP(B346,ColorScheme!$A$2:$I$32,5,0))</f>
        <v>#0504aa</v>
      </c>
    </row>
    <row r="347" spans="1:76" x14ac:dyDescent="0.3">
      <c r="A347" t="s">
        <v>45</v>
      </c>
      <c r="B347" t="s">
        <v>48</v>
      </c>
      <c r="C347" t="s">
        <v>20</v>
      </c>
      <c r="D347" t="s">
        <v>12</v>
      </c>
      <c r="E347" t="s">
        <v>1049</v>
      </c>
      <c r="F347" t="b">
        <v>1</v>
      </c>
      <c r="G347">
        <v>100</v>
      </c>
      <c r="H347">
        <v>1</v>
      </c>
      <c r="I347">
        <v>9111</v>
      </c>
      <c r="J347" s="61" t="s">
        <v>18</v>
      </c>
      <c r="K347" s="16" t="s">
        <v>272</v>
      </c>
      <c r="L347" s="16">
        <v>3</v>
      </c>
      <c r="M347" s="16" t="s">
        <v>277</v>
      </c>
      <c r="N347" s="16" t="s">
        <v>335</v>
      </c>
      <c r="O347" s="15" t="s">
        <v>339</v>
      </c>
      <c r="P347" t="s">
        <v>371</v>
      </c>
      <c r="Q347" t="s">
        <v>371</v>
      </c>
      <c r="R347" s="17" t="s">
        <v>371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1</v>
      </c>
      <c r="AB347" s="17">
        <v>0</v>
      </c>
      <c r="AC347" s="17" t="s">
        <v>704</v>
      </c>
      <c r="AD347" s="16" t="s">
        <v>341</v>
      </c>
      <c r="AE347" s="16" t="s">
        <v>340</v>
      </c>
      <c r="AF347" s="15" t="s">
        <v>343</v>
      </c>
      <c r="AG347" s="15" t="s">
        <v>344</v>
      </c>
      <c r="AH347" s="17" t="s">
        <v>371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704</v>
      </c>
      <c r="AR347" t="s">
        <v>349</v>
      </c>
      <c r="AS347" t="s">
        <v>349</v>
      </c>
      <c r="AT347">
        <v>1</v>
      </c>
      <c r="AU347">
        <v>0</v>
      </c>
      <c r="AV347">
        <v>0</v>
      </c>
      <c r="AW347" t="s">
        <v>704</v>
      </c>
      <c r="AX347" t="s">
        <v>1306</v>
      </c>
      <c r="AY347" t="s">
        <v>293</v>
      </c>
      <c r="AZ347" t="s">
        <v>353</v>
      </c>
      <c r="BA347" t="s">
        <v>297</v>
      </c>
      <c r="BB347" t="s">
        <v>301</v>
      </c>
      <c r="BC347" t="s">
        <v>292</v>
      </c>
      <c r="BD347" t="s">
        <v>293</v>
      </c>
      <c r="BE347" t="s">
        <v>292</v>
      </c>
      <c r="BF347" t="s">
        <v>293</v>
      </c>
      <c r="BG347" t="s">
        <v>293</v>
      </c>
      <c r="BH347" t="s">
        <v>302</v>
      </c>
      <c r="BI347" t="s">
        <v>302</v>
      </c>
      <c r="BJ347" t="s">
        <v>302</v>
      </c>
      <c r="BK347" t="s">
        <v>293</v>
      </c>
      <c r="BL347" t="s">
        <v>293</v>
      </c>
      <c r="BM347" t="s">
        <v>297</v>
      </c>
      <c r="BN347" t="s">
        <v>298</v>
      </c>
      <c r="BO347" t="s">
        <v>293</v>
      </c>
      <c r="BP347" t="s">
        <v>292</v>
      </c>
      <c r="BQ347" t="s">
        <v>293</v>
      </c>
      <c r="BR347" t="s">
        <v>293</v>
      </c>
      <c r="BS347" t="s">
        <v>364</v>
      </c>
      <c r="BT347" t="s">
        <v>304</v>
      </c>
      <c r="BU347" t="s">
        <v>371</v>
      </c>
      <c r="BV347" t="s">
        <v>371</v>
      </c>
      <c r="BW347" t="s">
        <v>2790</v>
      </c>
      <c r="BX347" t="str">
        <f>IF(J347="win",VLOOKUP(B347,ColorScheme!$A$2:$I$32,4,0),VLOOKUP(B347,ColorScheme!$A$2:$I$32,5,0))</f>
        <v>#0504aa50</v>
      </c>
    </row>
    <row r="348" spans="1:76" x14ac:dyDescent="0.3">
      <c r="A348" t="s">
        <v>45</v>
      </c>
      <c r="B348" t="s">
        <v>48</v>
      </c>
      <c r="C348" t="s">
        <v>23</v>
      </c>
      <c r="D348" t="s">
        <v>29</v>
      </c>
      <c r="E348" t="s">
        <v>1050</v>
      </c>
      <c r="F348" t="b">
        <v>1</v>
      </c>
      <c r="G348">
        <v>100</v>
      </c>
      <c r="H348">
        <v>1</v>
      </c>
      <c r="I348">
        <v>8376</v>
      </c>
      <c r="J348" s="61" t="s">
        <v>18</v>
      </c>
      <c r="K348" s="16" t="s">
        <v>272</v>
      </c>
      <c r="L348" s="16">
        <v>3</v>
      </c>
      <c r="M348" s="16" t="s">
        <v>277</v>
      </c>
      <c r="N348" s="16" t="s">
        <v>335</v>
      </c>
      <c r="O348" s="15" t="s">
        <v>281</v>
      </c>
      <c r="P348" t="s">
        <v>283</v>
      </c>
      <c r="Q348" t="s">
        <v>282</v>
      </c>
      <c r="R348" s="17" t="s">
        <v>371</v>
      </c>
      <c r="S348" s="17">
        <v>1</v>
      </c>
      <c r="T348" s="17">
        <v>1</v>
      </c>
      <c r="U348" s="17">
        <v>1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 t="s">
        <v>704</v>
      </c>
      <c r="AD348" s="16" t="s">
        <v>340</v>
      </c>
      <c r="AE348" s="16" t="s">
        <v>340</v>
      </c>
      <c r="AF348" s="15" t="s">
        <v>343</v>
      </c>
      <c r="AG348" s="15" t="s">
        <v>348</v>
      </c>
      <c r="AH348" s="17" t="s">
        <v>371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 t="s">
        <v>704</v>
      </c>
      <c r="AR348" t="s">
        <v>349</v>
      </c>
      <c r="AS348" t="s">
        <v>349</v>
      </c>
      <c r="AT348">
        <v>1</v>
      </c>
      <c r="AU348">
        <v>0</v>
      </c>
      <c r="AV348">
        <v>0</v>
      </c>
      <c r="AW348" t="s">
        <v>704</v>
      </c>
      <c r="AX348" t="s">
        <v>1307</v>
      </c>
      <c r="AY348" t="s">
        <v>293</v>
      </c>
      <c r="AZ348" t="s">
        <v>354</v>
      </c>
      <c r="BA348" t="s">
        <v>296</v>
      </c>
      <c r="BB348" t="s">
        <v>300</v>
      </c>
      <c r="BC348" t="s">
        <v>293</v>
      </c>
      <c r="BD348" t="s">
        <v>292</v>
      </c>
      <c r="BE348" t="s">
        <v>293</v>
      </c>
      <c r="BF348" t="s">
        <v>292</v>
      </c>
      <c r="BG348" t="s">
        <v>293</v>
      </c>
      <c r="BH348" t="s">
        <v>358</v>
      </c>
      <c r="BI348" t="s">
        <v>358</v>
      </c>
      <c r="BJ348" t="s">
        <v>359</v>
      </c>
      <c r="BK348" t="s">
        <v>293</v>
      </c>
      <c r="BL348" t="s">
        <v>293</v>
      </c>
      <c r="BM348" t="s">
        <v>296</v>
      </c>
      <c r="BN348" t="s">
        <v>356</v>
      </c>
      <c r="BO348" t="s">
        <v>293</v>
      </c>
      <c r="BP348" t="s">
        <v>292</v>
      </c>
      <c r="BQ348" t="s">
        <v>293</v>
      </c>
      <c r="BR348" t="s">
        <v>293</v>
      </c>
      <c r="BS348" t="s">
        <v>364</v>
      </c>
      <c r="BT348" t="s">
        <v>304</v>
      </c>
      <c r="BU348" t="s">
        <v>371</v>
      </c>
      <c r="BV348" t="s">
        <v>371</v>
      </c>
      <c r="BW348" t="s">
        <v>2791</v>
      </c>
      <c r="BX348" t="str">
        <f>IF(J348="win",VLOOKUP(B348,ColorScheme!$A$2:$I$32,4,0),VLOOKUP(B348,ColorScheme!$A$2:$I$32,5,0))</f>
        <v>#0504aa50</v>
      </c>
    </row>
    <row r="349" spans="1:76" x14ac:dyDescent="0.3">
      <c r="A349" t="s">
        <v>45</v>
      </c>
      <c r="B349" t="s">
        <v>48</v>
      </c>
      <c r="C349" t="s">
        <v>25</v>
      </c>
      <c r="D349" t="s">
        <v>29</v>
      </c>
      <c r="E349" t="s">
        <v>1051</v>
      </c>
      <c r="F349" t="b">
        <v>1</v>
      </c>
      <c r="G349">
        <v>100</v>
      </c>
      <c r="H349">
        <v>1</v>
      </c>
      <c r="I349">
        <v>10687</v>
      </c>
      <c r="J349" s="61" t="s">
        <v>18</v>
      </c>
      <c r="K349" s="16" t="s">
        <v>272</v>
      </c>
      <c r="L349" s="16">
        <v>3</v>
      </c>
      <c r="M349" s="16" t="s">
        <v>277</v>
      </c>
      <c r="N349" s="16" t="s">
        <v>335</v>
      </c>
      <c r="O349" s="15" t="s">
        <v>281</v>
      </c>
      <c r="P349" t="s">
        <v>283</v>
      </c>
      <c r="Q349" t="s">
        <v>282</v>
      </c>
      <c r="R349" s="17" t="s">
        <v>371</v>
      </c>
      <c r="S349" s="17">
        <v>1</v>
      </c>
      <c r="T349" s="17">
        <v>1</v>
      </c>
      <c r="U349" s="17">
        <v>1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 t="s">
        <v>704</v>
      </c>
      <c r="AD349" s="16" t="s">
        <v>340</v>
      </c>
      <c r="AE349" s="16" t="s">
        <v>342</v>
      </c>
      <c r="AF349" s="15" t="s">
        <v>343</v>
      </c>
      <c r="AG349" s="15" t="s">
        <v>344</v>
      </c>
      <c r="AH349" s="17" t="s">
        <v>346</v>
      </c>
      <c r="AI349">
        <v>1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 t="s">
        <v>704</v>
      </c>
      <c r="AR349" t="s">
        <v>349</v>
      </c>
      <c r="AS349" t="s">
        <v>349</v>
      </c>
      <c r="AT349">
        <v>1</v>
      </c>
      <c r="AU349">
        <v>0</v>
      </c>
      <c r="AV349">
        <v>0</v>
      </c>
      <c r="AW349" t="s">
        <v>704</v>
      </c>
      <c r="AX349" t="s">
        <v>1308</v>
      </c>
      <c r="AY349" t="s">
        <v>293</v>
      </c>
      <c r="AZ349" t="s">
        <v>353</v>
      </c>
      <c r="BA349" t="s">
        <v>355</v>
      </c>
      <c r="BB349" t="s">
        <v>300</v>
      </c>
      <c r="BC349" t="s">
        <v>292</v>
      </c>
      <c r="BD349" t="s">
        <v>293</v>
      </c>
      <c r="BE349" t="s">
        <v>292</v>
      </c>
      <c r="BF349" t="s">
        <v>292</v>
      </c>
      <c r="BG349" t="s">
        <v>293</v>
      </c>
      <c r="BH349" t="s">
        <v>302</v>
      </c>
      <c r="BI349" t="s">
        <v>302</v>
      </c>
      <c r="BJ349" t="s">
        <v>359</v>
      </c>
      <c r="BK349" t="s">
        <v>293</v>
      </c>
      <c r="BL349" t="s">
        <v>293</v>
      </c>
      <c r="BM349" t="s">
        <v>297</v>
      </c>
      <c r="BN349" t="s">
        <v>298</v>
      </c>
      <c r="BO349" t="s">
        <v>293</v>
      </c>
      <c r="BP349" t="s">
        <v>292</v>
      </c>
      <c r="BQ349" t="s">
        <v>293</v>
      </c>
      <c r="BR349" t="s">
        <v>293</v>
      </c>
      <c r="BS349" t="s">
        <v>364</v>
      </c>
      <c r="BT349" t="s">
        <v>304</v>
      </c>
      <c r="BU349" t="s">
        <v>371</v>
      </c>
      <c r="BV349" t="s">
        <v>371</v>
      </c>
      <c r="BW349" t="s">
        <v>2792</v>
      </c>
      <c r="BX349" t="str">
        <f>IF(J349="win",VLOOKUP(B349,ColorScheme!$A$2:$I$32,4,0),VLOOKUP(B349,ColorScheme!$A$2:$I$32,5,0))</f>
        <v>#0504aa50</v>
      </c>
    </row>
    <row r="350" spans="1:76" x14ac:dyDescent="0.3">
      <c r="A350" t="s">
        <v>45</v>
      </c>
      <c r="B350" t="s">
        <v>48</v>
      </c>
      <c r="C350" t="s">
        <v>24</v>
      </c>
      <c r="D350" t="s">
        <v>29</v>
      </c>
      <c r="E350" t="s">
        <v>1052</v>
      </c>
      <c r="F350" t="b">
        <v>1</v>
      </c>
      <c r="G350">
        <v>96.3</v>
      </c>
      <c r="H350">
        <v>0</v>
      </c>
      <c r="I350">
        <v>9500</v>
      </c>
      <c r="J350" s="61" t="s">
        <v>13</v>
      </c>
      <c r="K350" s="16" t="s">
        <v>272</v>
      </c>
      <c r="L350" s="16">
        <v>3</v>
      </c>
      <c r="M350" s="16" t="s">
        <v>277</v>
      </c>
      <c r="N350" s="16" t="s">
        <v>335</v>
      </c>
      <c r="O350" s="15" t="s">
        <v>281</v>
      </c>
      <c r="P350" t="s">
        <v>283</v>
      </c>
      <c r="Q350" t="s">
        <v>282</v>
      </c>
      <c r="R350" s="17" t="s">
        <v>371</v>
      </c>
      <c r="S350" s="17">
        <v>1</v>
      </c>
      <c r="T350" s="17">
        <v>1</v>
      </c>
      <c r="U350" s="17">
        <v>1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 t="s">
        <v>704</v>
      </c>
      <c r="AD350" s="16" t="s">
        <v>341</v>
      </c>
      <c r="AE350" s="16" t="s">
        <v>340</v>
      </c>
      <c r="AF350" s="15" t="s">
        <v>343</v>
      </c>
      <c r="AG350" s="15" t="s">
        <v>344</v>
      </c>
      <c r="AH350" s="17" t="s">
        <v>345</v>
      </c>
      <c r="AI350">
        <v>1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704</v>
      </c>
      <c r="AR350" t="s">
        <v>349</v>
      </c>
      <c r="AS350" t="s">
        <v>349</v>
      </c>
      <c r="AT350">
        <v>1</v>
      </c>
      <c r="AU350">
        <v>0</v>
      </c>
      <c r="AV350">
        <v>0</v>
      </c>
      <c r="AW350" t="s">
        <v>704</v>
      </c>
      <c r="AX350" t="s">
        <v>1309</v>
      </c>
      <c r="AY350" t="s">
        <v>293</v>
      </c>
      <c r="AZ350" t="s">
        <v>353</v>
      </c>
      <c r="BA350" t="s">
        <v>296</v>
      </c>
      <c r="BB350" t="s">
        <v>301</v>
      </c>
      <c r="BC350" t="s">
        <v>292</v>
      </c>
      <c r="BD350" t="s">
        <v>293</v>
      </c>
      <c r="BE350" t="s">
        <v>292</v>
      </c>
      <c r="BF350" t="s">
        <v>292</v>
      </c>
      <c r="BG350" t="s">
        <v>293</v>
      </c>
      <c r="BH350" t="s">
        <v>302</v>
      </c>
      <c r="BI350" t="s">
        <v>359</v>
      </c>
      <c r="BJ350" t="s">
        <v>359</v>
      </c>
      <c r="BK350" t="s">
        <v>293</v>
      </c>
      <c r="BL350" t="s">
        <v>293</v>
      </c>
      <c r="BM350" t="s">
        <v>297</v>
      </c>
      <c r="BN350" t="s">
        <v>298</v>
      </c>
      <c r="BO350" t="s">
        <v>293</v>
      </c>
      <c r="BP350" t="s">
        <v>292</v>
      </c>
      <c r="BQ350" t="s">
        <v>293</v>
      </c>
      <c r="BR350" t="s">
        <v>293</v>
      </c>
      <c r="BS350" t="s">
        <v>364</v>
      </c>
      <c r="BT350" t="s">
        <v>366</v>
      </c>
      <c r="BU350" t="s">
        <v>371</v>
      </c>
      <c r="BV350" t="s">
        <v>371</v>
      </c>
      <c r="BW350" t="s">
        <v>2793</v>
      </c>
      <c r="BX350" t="str">
        <f>IF(J350="win",VLOOKUP(B350,ColorScheme!$A$2:$I$32,4,0),VLOOKUP(B350,ColorScheme!$A$2:$I$32,5,0))</f>
        <v>#0504aa</v>
      </c>
    </row>
    <row r="351" spans="1:76" x14ac:dyDescent="0.3">
      <c r="A351" t="s">
        <v>45</v>
      </c>
      <c r="B351" t="s">
        <v>48</v>
      </c>
      <c r="C351" t="s">
        <v>21</v>
      </c>
      <c r="D351" t="s">
        <v>29</v>
      </c>
      <c r="E351" t="s">
        <v>1053</v>
      </c>
      <c r="F351" t="b">
        <v>1</v>
      </c>
      <c r="G351">
        <v>34.6</v>
      </c>
      <c r="H351">
        <v>0</v>
      </c>
      <c r="I351">
        <v>15444</v>
      </c>
      <c r="J351" s="61" t="s">
        <v>13</v>
      </c>
      <c r="K351" s="16" t="s">
        <v>272</v>
      </c>
      <c r="L351" s="16">
        <v>3</v>
      </c>
      <c r="M351" s="16" t="s">
        <v>277</v>
      </c>
      <c r="N351" s="16" t="s">
        <v>335</v>
      </c>
      <c r="O351" s="15" t="s">
        <v>281</v>
      </c>
      <c r="P351" t="s">
        <v>283</v>
      </c>
      <c r="Q351" t="s">
        <v>282</v>
      </c>
      <c r="R351" s="17" t="s">
        <v>371</v>
      </c>
      <c r="S351" s="17">
        <v>1</v>
      </c>
      <c r="T351" s="17">
        <v>1</v>
      </c>
      <c r="U351" s="17">
        <v>1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 t="s">
        <v>704</v>
      </c>
      <c r="AD351" s="16" t="s">
        <v>341</v>
      </c>
      <c r="AE351" s="16" t="s">
        <v>340</v>
      </c>
      <c r="AF351" s="15" t="s">
        <v>343</v>
      </c>
      <c r="AG351" s="15" t="s">
        <v>344</v>
      </c>
      <c r="AH351" s="17" t="s">
        <v>371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704</v>
      </c>
      <c r="AR351" t="s">
        <v>349</v>
      </c>
      <c r="AS351" t="s">
        <v>349</v>
      </c>
      <c r="AT351">
        <v>1</v>
      </c>
      <c r="AU351">
        <v>0</v>
      </c>
      <c r="AV351">
        <v>0</v>
      </c>
      <c r="AW351" t="s">
        <v>704</v>
      </c>
      <c r="AX351" t="s">
        <v>1212</v>
      </c>
      <c r="AY351" t="s">
        <v>293</v>
      </c>
      <c r="AZ351" t="s">
        <v>353</v>
      </c>
      <c r="BA351" t="s">
        <v>296</v>
      </c>
      <c r="BB351" t="s">
        <v>301</v>
      </c>
      <c r="BC351" t="s">
        <v>293</v>
      </c>
      <c r="BD351" t="s">
        <v>292</v>
      </c>
      <c r="BE351" t="s">
        <v>292</v>
      </c>
      <c r="BF351" t="s">
        <v>292</v>
      </c>
      <c r="BG351" t="s">
        <v>293</v>
      </c>
      <c r="BH351" t="s">
        <v>302</v>
      </c>
      <c r="BI351" t="s">
        <v>302</v>
      </c>
      <c r="BJ351" t="s">
        <v>359</v>
      </c>
      <c r="BK351" t="s">
        <v>293</v>
      </c>
      <c r="BL351" t="s">
        <v>293</v>
      </c>
      <c r="BM351" t="s">
        <v>297</v>
      </c>
      <c r="BN351" t="s">
        <v>356</v>
      </c>
      <c r="BO351" t="s">
        <v>293</v>
      </c>
      <c r="BP351" t="s">
        <v>292</v>
      </c>
      <c r="BQ351" t="s">
        <v>293</v>
      </c>
      <c r="BR351" t="s">
        <v>293</v>
      </c>
      <c r="BS351" t="s">
        <v>364</v>
      </c>
      <c r="BT351" t="s">
        <v>366</v>
      </c>
      <c r="BU351" t="s">
        <v>371</v>
      </c>
      <c r="BV351" t="s">
        <v>371</v>
      </c>
      <c r="BW351" t="s">
        <v>2794</v>
      </c>
      <c r="BX351" t="str">
        <f>IF(J351="win",VLOOKUP(B351,ColorScheme!$A$2:$I$32,4,0),VLOOKUP(B351,ColorScheme!$A$2:$I$32,5,0))</f>
        <v>#0504aa</v>
      </c>
    </row>
    <row r="352" spans="1:76" x14ac:dyDescent="0.3">
      <c r="A352" t="s">
        <v>45</v>
      </c>
      <c r="B352" t="s">
        <v>48</v>
      </c>
      <c r="C352" t="s">
        <v>30</v>
      </c>
      <c r="D352" t="s">
        <v>29</v>
      </c>
      <c r="E352" t="s">
        <v>1054</v>
      </c>
      <c r="F352" t="b">
        <v>1</v>
      </c>
      <c r="G352">
        <v>99.9</v>
      </c>
      <c r="H352">
        <v>0</v>
      </c>
      <c r="I352">
        <v>14853</v>
      </c>
      <c r="J352" s="61" t="s">
        <v>18</v>
      </c>
      <c r="K352" s="16" t="s">
        <v>272</v>
      </c>
      <c r="L352" s="16">
        <v>3</v>
      </c>
      <c r="M352" s="16" t="s">
        <v>333</v>
      </c>
      <c r="N352" s="16" t="s">
        <v>278</v>
      </c>
      <c r="O352" s="15" t="s">
        <v>281</v>
      </c>
      <c r="P352" t="s">
        <v>273</v>
      </c>
      <c r="Q352" t="s">
        <v>371</v>
      </c>
      <c r="R352" s="17" t="s">
        <v>371</v>
      </c>
      <c r="S352" s="17">
        <v>1</v>
      </c>
      <c r="T352" s="17">
        <v>0</v>
      </c>
      <c r="U352" s="17">
        <v>0</v>
      </c>
      <c r="V352" s="17">
        <v>0</v>
      </c>
      <c r="W352" s="17">
        <v>1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 t="s">
        <v>704</v>
      </c>
      <c r="AD352" s="16" t="s">
        <v>341</v>
      </c>
      <c r="AE352" s="16" t="s">
        <v>340</v>
      </c>
      <c r="AF352" s="15" t="s">
        <v>343</v>
      </c>
      <c r="AG352" s="15" t="s">
        <v>344</v>
      </c>
      <c r="AH352" s="17" t="s">
        <v>371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704</v>
      </c>
      <c r="AR352" t="s">
        <v>349</v>
      </c>
      <c r="AS352" t="s">
        <v>349</v>
      </c>
      <c r="AT352">
        <v>1</v>
      </c>
      <c r="AU352">
        <v>0</v>
      </c>
      <c r="AV352">
        <v>0</v>
      </c>
      <c r="AW352" t="s">
        <v>704</v>
      </c>
      <c r="AX352" t="s">
        <v>1310</v>
      </c>
      <c r="AY352" t="s">
        <v>293</v>
      </c>
      <c r="AZ352" t="s">
        <v>353</v>
      </c>
      <c r="BA352" t="s">
        <v>296</v>
      </c>
      <c r="BB352" t="s">
        <v>301</v>
      </c>
      <c r="BC352" t="s">
        <v>292</v>
      </c>
      <c r="BD352" t="s">
        <v>292</v>
      </c>
      <c r="BE352" t="s">
        <v>292</v>
      </c>
      <c r="BF352" t="s">
        <v>292</v>
      </c>
      <c r="BG352" t="s">
        <v>293</v>
      </c>
      <c r="BH352" t="s">
        <v>302</v>
      </c>
      <c r="BI352" t="s">
        <v>359</v>
      </c>
      <c r="BJ352" t="s">
        <v>359</v>
      </c>
      <c r="BK352" t="s">
        <v>293</v>
      </c>
      <c r="BL352" t="s">
        <v>293</v>
      </c>
      <c r="BM352" t="s">
        <v>297</v>
      </c>
      <c r="BN352" t="s">
        <v>356</v>
      </c>
      <c r="BO352" t="s">
        <v>293</v>
      </c>
      <c r="BP352" t="s">
        <v>292</v>
      </c>
      <c r="BQ352" t="s">
        <v>293</v>
      </c>
      <c r="BR352" t="s">
        <v>293</v>
      </c>
      <c r="BS352" t="s">
        <v>364</v>
      </c>
      <c r="BT352" t="s">
        <v>367</v>
      </c>
      <c r="BU352" t="s">
        <v>371</v>
      </c>
      <c r="BV352" t="s">
        <v>371</v>
      </c>
      <c r="BW352" t="s">
        <v>2795</v>
      </c>
      <c r="BX352" t="str">
        <f>IF(J352="win",VLOOKUP(B352,ColorScheme!$A$2:$I$32,4,0),VLOOKUP(B352,ColorScheme!$A$2:$I$32,5,0))</f>
        <v>#0504aa50</v>
      </c>
    </row>
    <row r="353" spans="1:76" x14ac:dyDescent="0.3">
      <c r="A353" t="s">
        <v>45</v>
      </c>
      <c r="B353" t="s">
        <v>48</v>
      </c>
      <c r="C353" t="s">
        <v>26</v>
      </c>
      <c r="D353" t="s">
        <v>29</v>
      </c>
      <c r="E353" t="s">
        <v>1055</v>
      </c>
      <c r="F353" t="b">
        <v>1</v>
      </c>
      <c r="G353">
        <v>100</v>
      </c>
      <c r="H353">
        <v>1</v>
      </c>
      <c r="I353">
        <v>8481</v>
      </c>
      <c r="J353" s="61" t="s">
        <v>18</v>
      </c>
      <c r="K353" s="16" t="s">
        <v>273</v>
      </c>
      <c r="L353" s="16">
        <v>2</v>
      </c>
      <c r="M353" s="16" t="s">
        <v>333</v>
      </c>
      <c r="N353" s="16" t="s">
        <v>278</v>
      </c>
      <c r="O353" s="15" t="s">
        <v>281</v>
      </c>
      <c r="P353" t="s">
        <v>273</v>
      </c>
      <c r="Q353" t="s">
        <v>371</v>
      </c>
      <c r="R353" s="17" t="s">
        <v>371</v>
      </c>
      <c r="S353" s="17">
        <v>1</v>
      </c>
      <c r="T353" s="17">
        <v>0</v>
      </c>
      <c r="U353" s="17">
        <v>0</v>
      </c>
      <c r="V353" s="17">
        <v>0</v>
      </c>
      <c r="W353" s="17">
        <v>1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 t="s">
        <v>704</v>
      </c>
      <c r="AD353" s="16" t="s">
        <v>341</v>
      </c>
      <c r="AE353" s="16" t="s">
        <v>340</v>
      </c>
      <c r="AF353" s="15" t="s">
        <v>343</v>
      </c>
      <c r="AG353" s="15" t="s">
        <v>344</v>
      </c>
      <c r="AH353" s="17" t="s">
        <v>291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 t="s">
        <v>704</v>
      </c>
      <c r="AR353" t="s">
        <v>349</v>
      </c>
      <c r="AS353" t="s">
        <v>349</v>
      </c>
      <c r="AT353">
        <v>1</v>
      </c>
      <c r="AU353">
        <v>0</v>
      </c>
      <c r="AV353">
        <v>0</v>
      </c>
      <c r="AW353" t="s">
        <v>704</v>
      </c>
      <c r="AX353" t="s">
        <v>1311</v>
      </c>
      <c r="AY353" t="s">
        <v>293</v>
      </c>
      <c r="AZ353" t="s">
        <v>353</v>
      </c>
      <c r="BA353" t="s">
        <v>296</v>
      </c>
      <c r="BB353" t="s">
        <v>301</v>
      </c>
      <c r="BC353" t="s">
        <v>292</v>
      </c>
      <c r="BD353" t="s">
        <v>293</v>
      </c>
      <c r="BE353" t="s">
        <v>292</v>
      </c>
      <c r="BF353" t="s">
        <v>292</v>
      </c>
      <c r="BG353" t="s">
        <v>293</v>
      </c>
      <c r="BH353" t="s">
        <v>302</v>
      </c>
      <c r="BI353" t="s">
        <v>357</v>
      </c>
      <c r="BJ353" t="s">
        <v>359</v>
      </c>
      <c r="BK353" t="s">
        <v>293</v>
      </c>
      <c r="BL353" t="s">
        <v>293</v>
      </c>
      <c r="BM353" t="s">
        <v>297</v>
      </c>
      <c r="BN353" t="s">
        <v>298</v>
      </c>
      <c r="BO353" t="s">
        <v>293</v>
      </c>
      <c r="BP353" t="s">
        <v>292</v>
      </c>
      <c r="BQ353" t="s">
        <v>293</v>
      </c>
      <c r="BR353" t="s">
        <v>293</v>
      </c>
      <c r="BS353" t="s">
        <v>364</v>
      </c>
      <c r="BT353" t="s">
        <v>304</v>
      </c>
      <c r="BU353" t="s">
        <v>371</v>
      </c>
      <c r="BV353" t="s">
        <v>371</v>
      </c>
      <c r="BW353" t="s">
        <v>2796</v>
      </c>
      <c r="BX353" t="str">
        <f>IF(J353="win",VLOOKUP(B353,ColorScheme!$A$2:$I$32,4,0),VLOOKUP(B353,ColorScheme!$A$2:$I$32,5,0))</f>
        <v>#0504aa50</v>
      </c>
    </row>
    <row r="354" spans="1:76" x14ac:dyDescent="0.3">
      <c r="A354" t="s">
        <v>45</v>
      </c>
      <c r="B354" t="s">
        <v>48</v>
      </c>
      <c r="C354" t="s">
        <v>22</v>
      </c>
      <c r="D354" t="s">
        <v>29</v>
      </c>
      <c r="E354" t="s">
        <v>1056</v>
      </c>
      <c r="F354" t="b">
        <v>1</v>
      </c>
      <c r="G354">
        <v>60.2</v>
      </c>
      <c r="H354">
        <v>0</v>
      </c>
      <c r="I354">
        <v>12368</v>
      </c>
      <c r="J354" s="61" t="s">
        <v>13</v>
      </c>
      <c r="K354" s="16" t="s">
        <v>272</v>
      </c>
      <c r="L354" s="16">
        <v>3</v>
      </c>
      <c r="M354" s="16" t="s">
        <v>277</v>
      </c>
      <c r="N354" s="16" t="s">
        <v>335</v>
      </c>
      <c r="O354" s="15" t="s">
        <v>281</v>
      </c>
      <c r="P354" t="s">
        <v>283</v>
      </c>
      <c r="Q354" t="s">
        <v>282</v>
      </c>
      <c r="R354" s="17" t="s">
        <v>371</v>
      </c>
      <c r="S354" s="17">
        <v>1</v>
      </c>
      <c r="T354" s="17">
        <v>1</v>
      </c>
      <c r="U354" s="17">
        <v>1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>
        <v>0</v>
      </c>
      <c r="AC354" s="17" t="s">
        <v>704</v>
      </c>
      <c r="AD354" s="16" t="s">
        <v>341</v>
      </c>
      <c r="AE354" s="16" t="s">
        <v>340</v>
      </c>
      <c r="AF354" s="15" t="s">
        <v>343</v>
      </c>
      <c r="AG354" s="15" t="s">
        <v>344</v>
      </c>
      <c r="AH354" s="17" t="s">
        <v>345</v>
      </c>
      <c r="AI354">
        <v>1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704</v>
      </c>
      <c r="AR354" t="s">
        <v>349</v>
      </c>
      <c r="AS354" t="s">
        <v>349</v>
      </c>
      <c r="AT354">
        <v>1</v>
      </c>
      <c r="AU354">
        <v>0</v>
      </c>
      <c r="AV354">
        <v>0</v>
      </c>
      <c r="AW354" t="s">
        <v>704</v>
      </c>
      <c r="AX354" t="s">
        <v>1309</v>
      </c>
      <c r="AY354" t="s">
        <v>293</v>
      </c>
      <c r="AZ354" t="s">
        <v>353</v>
      </c>
      <c r="BA354" t="s">
        <v>296</v>
      </c>
      <c r="BB354" t="s">
        <v>301</v>
      </c>
      <c r="BC354" t="s">
        <v>293</v>
      </c>
      <c r="BD354" t="s">
        <v>292</v>
      </c>
      <c r="BE354" t="s">
        <v>292</v>
      </c>
      <c r="BF354" t="s">
        <v>292</v>
      </c>
      <c r="BG354" t="s">
        <v>293</v>
      </c>
      <c r="BH354" t="s">
        <v>302</v>
      </c>
      <c r="BI354" t="s">
        <v>302</v>
      </c>
      <c r="BJ354" t="s">
        <v>359</v>
      </c>
      <c r="BK354" t="s">
        <v>293</v>
      </c>
      <c r="BL354" t="s">
        <v>293</v>
      </c>
      <c r="BM354" t="s">
        <v>297</v>
      </c>
      <c r="BN354" t="s">
        <v>356</v>
      </c>
      <c r="BO354" t="s">
        <v>293</v>
      </c>
      <c r="BP354" t="s">
        <v>292</v>
      </c>
      <c r="BQ354" t="s">
        <v>293</v>
      </c>
      <c r="BR354" t="s">
        <v>293</v>
      </c>
      <c r="BS354" t="s">
        <v>364</v>
      </c>
      <c r="BT354" t="s">
        <v>366</v>
      </c>
      <c r="BU354" t="s">
        <v>371</v>
      </c>
      <c r="BV354" t="s">
        <v>371</v>
      </c>
      <c r="BW354" t="s">
        <v>2797</v>
      </c>
      <c r="BX354" t="str">
        <f>IF(J354="win",VLOOKUP(B354,ColorScheme!$A$2:$I$32,4,0),VLOOKUP(B354,ColorScheme!$A$2:$I$32,5,0))</f>
        <v>#0504aa</v>
      </c>
    </row>
    <row r="355" spans="1:76" x14ac:dyDescent="0.3">
      <c r="A355" t="s">
        <v>45</v>
      </c>
      <c r="B355" t="s">
        <v>48</v>
      </c>
      <c r="C355" t="s">
        <v>31</v>
      </c>
      <c r="D355" t="s">
        <v>29</v>
      </c>
      <c r="E355" t="s">
        <v>1057</v>
      </c>
      <c r="F355" t="b">
        <v>1</v>
      </c>
      <c r="G355">
        <v>68.900000000000006</v>
      </c>
      <c r="H355">
        <v>0</v>
      </c>
      <c r="I355">
        <v>14714</v>
      </c>
      <c r="J355" s="61" t="s">
        <v>13</v>
      </c>
      <c r="K355" s="16" t="s">
        <v>272</v>
      </c>
      <c r="L355" s="16">
        <v>3</v>
      </c>
      <c r="M355" s="16" t="s">
        <v>333</v>
      </c>
      <c r="N355" s="16" t="s">
        <v>278</v>
      </c>
      <c r="O355" s="15" t="s">
        <v>281</v>
      </c>
      <c r="P355" t="s">
        <v>273</v>
      </c>
      <c r="Q355" t="s">
        <v>371</v>
      </c>
      <c r="R355" s="17" t="s">
        <v>371</v>
      </c>
      <c r="S355" s="17">
        <v>1</v>
      </c>
      <c r="T355" s="17">
        <v>0</v>
      </c>
      <c r="U355" s="17">
        <v>0</v>
      </c>
      <c r="V355" s="17">
        <v>0</v>
      </c>
      <c r="W355" s="17">
        <v>1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 t="s">
        <v>704</v>
      </c>
      <c r="AD355" s="16" t="s">
        <v>341</v>
      </c>
      <c r="AE355" s="16" t="s">
        <v>340</v>
      </c>
      <c r="AF355" s="15" t="s">
        <v>343</v>
      </c>
      <c r="AG355" s="15" t="s">
        <v>344</v>
      </c>
      <c r="AH355" s="17" t="s">
        <v>371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704</v>
      </c>
      <c r="AR355" t="s">
        <v>349</v>
      </c>
      <c r="AS355" t="s">
        <v>349</v>
      </c>
      <c r="AT355">
        <v>1</v>
      </c>
      <c r="AU355">
        <v>0</v>
      </c>
      <c r="AV355">
        <v>0</v>
      </c>
      <c r="AW355" t="s">
        <v>704</v>
      </c>
      <c r="AX355" t="s">
        <v>1310</v>
      </c>
      <c r="AY355" t="s">
        <v>293</v>
      </c>
      <c r="AZ355" t="s">
        <v>353</v>
      </c>
      <c r="BA355" t="s">
        <v>296</v>
      </c>
      <c r="BB355" t="s">
        <v>301</v>
      </c>
      <c r="BC355" t="s">
        <v>292</v>
      </c>
      <c r="BD355" t="s">
        <v>292</v>
      </c>
      <c r="BE355" t="s">
        <v>292</v>
      </c>
      <c r="BF355" t="s">
        <v>292</v>
      </c>
      <c r="BG355" t="s">
        <v>293</v>
      </c>
      <c r="BH355" t="s">
        <v>302</v>
      </c>
      <c r="BI355" t="s">
        <v>359</v>
      </c>
      <c r="BJ355" t="s">
        <v>359</v>
      </c>
      <c r="BK355" t="s">
        <v>293</v>
      </c>
      <c r="BL355" t="s">
        <v>293</v>
      </c>
      <c r="BM355" t="s">
        <v>297</v>
      </c>
      <c r="BN355" t="s">
        <v>356</v>
      </c>
      <c r="BO355" t="s">
        <v>293</v>
      </c>
      <c r="BP355" t="s">
        <v>292</v>
      </c>
      <c r="BQ355" t="s">
        <v>293</v>
      </c>
      <c r="BR355" t="s">
        <v>293</v>
      </c>
      <c r="BS355" t="s">
        <v>364</v>
      </c>
      <c r="BT355" t="s">
        <v>366</v>
      </c>
      <c r="BU355" t="s">
        <v>371</v>
      </c>
      <c r="BV355" t="s">
        <v>371</v>
      </c>
      <c r="BW355" t="s">
        <v>2798</v>
      </c>
      <c r="BX355" t="str">
        <f>IF(J355="win",VLOOKUP(B355,ColorScheme!$A$2:$I$32,4,0),VLOOKUP(B355,ColorScheme!$A$2:$I$32,5,0))</f>
        <v>#0504aa</v>
      </c>
    </row>
    <row r="356" spans="1:76" x14ac:dyDescent="0.3">
      <c r="A356" t="s">
        <v>45</v>
      </c>
      <c r="B356" t="s">
        <v>48</v>
      </c>
      <c r="C356" t="s">
        <v>27</v>
      </c>
      <c r="D356" t="s">
        <v>29</v>
      </c>
      <c r="E356" t="s">
        <v>1058</v>
      </c>
      <c r="F356" t="b">
        <v>1</v>
      </c>
      <c r="G356">
        <v>100</v>
      </c>
      <c r="H356">
        <v>1</v>
      </c>
      <c r="I356">
        <v>11209</v>
      </c>
      <c r="J356" s="61" t="s">
        <v>18</v>
      </c>
      <c r="K356" s="16" t="s">
        <v>273</v>
      </c>
      <c r="L356" s="16">
        <v>2</v>
      </c>
      <c r="M356" s="16" t="s">
        <v>333</v>
      </c>
      <c r="N356" s="16" t="s">
        <v>278</v>
      </c>
      <c r="O356" s="15" t="s">
        <v>281</v>
      </c>
      <c r="P356" t="s">
        <v>273</v>
      </c>
      <c r="Q356" t="s">
        <v>371</v>
      </c>
      <c r="R356" s="17" t="s">
        <v>371</v>
      </c>
      <c r="S356" s="17">
        <v>1</v>
      </c>
      <c r="T356" s="17">
        <v>0</v>
      </c>
      <c r="U356" s="17">
        <v>0</v>
      </c>
      <c r="V356" s="17">
        <v>0</v>
      </c>
      <c r="W356" s="17">
        <v>1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 t="s">
        <v>704</v>
      </c>
      <c r="AD356" s="16" t="s">
        <v>341</v>
      </c>
      <c r="AE356" s="16" t="s">
        <v>340</v>
      </c>
      <c r="AF356" s="15" t="s">
        <v>343</v>
      </c>
      <c r="AG356" s="15" t="s">
        <v>344</v>
      </c>
      <c r="AH356" s="17" t="s">
        <v>371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704</v>
      </c>
      <c r="AR356" t="s">
        <v>349</v>
      </c>
      <c r="AS356" t="s">
        <v>349</v>
      </c>
      <c r="AT356">
        <v>1</v>
      </c>
      <c r="AU356">
        <v>0</v>
      </c>
      <c r="AV356">
        <v>0</v>
      </c>
      <c r="AW356" t="s">
        <v>704</v>
      </c>
      <c r="AX356" t="s">
        <v>1310</v>
      </c>
      <c r="AY356" t="s">
        <v>293</v>
      </c>
      <c r="AZ356" t="s">
        <v>353</v>
      </c>
      <c r="BA356" t="s">
        <v>296</v>
      </c>
      <c r="BB356" t="s">
        <v>301</v>
      </c>
      <c r="BC356" t="s">
        <v>292</v>
      </c>
      <c r="BD356" t="s">
        <v>292</v>
      </c>
      <c r="BE356" t="s">
        <v>292</v>
      </c>
      <c r="BF356" t="s">
        <v>292</v>
      </c>
      <c r="BG356" t="s">
        <v>293</v>
      </c>
      <c r="BH356" t="s">
        <v>302</v>
      </c>
      <c r="BI356" t="s">
        <v>357</v>
      </c>
      <c r="BJ356" t="s">
        <v>359</v>
      </c>
      <c r="BK356" t="s">
        <v>293</v>
      </c>
      <c r="BL356" t="s">
        <v>293</v>
      </c>
      <c r="BM356" t="s">
        <v>297</v>
      </c>
      <c r="BN356" t="s">
        <v>356</v>
      </c>
      <c r="BO356" t="s">
        <v>293</v>
      </c>
      <c r="BP356" t="s">
        <v>292</v>
      </c>
      <c r="BQ356" t="s">
        <v>293</v>
      </c>
      <c r="BR356" t="s">
        <v>293</v>
      </c>
      <c r="BS356" t="s">
        <v>364</v>
      </c>
      <c r="BT356" t="s">
        <v>304</v>
      </c>
      <c r="BU356" t="s">
        <v>371</v>
      </c>
      <c r="BV356" t="s">
        <v>371</v>
      </c>
      <c r="BW356" t="s">
        <v>2799</v>
      </c>
      <c r="BX356" t="str">
        <f>IF(J356="win",VLOOKUP(B356,ColorScheme!$A$2:$I$32,4,0),VLOOKUP(B356,ColorScheme!$A$2:$I$32,5,0))</f>
        <v>#0504aa50</v>
      </c>
    </row>
    <row r="357" spans="1:76" x14ac:dyDescent="0.3">
      <c r="A357" t="s">
        <v>45</v>
      </c>
      <c r="B357" t="s">
        <v>48</v>
      </c>
      <c r="C357" t="s">
        <v>28</v>
      </c>
      <c r="D357" t="s">
        <v>29</v>
      </c>
      <c r="E357" t="s">
        <v>1059</v>
      </c>
      <c r="F357" t="b">
        <v>1</v>
      </c>
      <c r="G357">
        <v>100</v>
      </c>
      <c r="H357">
        <v>1</v>
      </c>
      <c r="I357">
        <v>13193</v>
      </c>
      <c r="J357" s="61" t="s">
        <v>18</v>
      </c>
      <c r="K357" s="16" t="s">
        <v>272</v>
      </c>
      <c r="L357" s="16">
        <v>2</v>
      </c>
      <c r="M357" s="16" t="s">
        <v>333</v>
      </c>
      <c r="N357" s="16" t="s">
        <v>278</v>
      </c>
      <c r="O357" s="15" t="s">
        <v>281</v>
      </c>
      <c r="P357" t="s">
        <v>273</v>
      </c>
      <c r="Q357" t="s">
        <v>371</v>
      </c>
      <c r="R357" s="17" t="s">
        <v>371</v>
      </c>
      <c r="S357" s="17">
        <v>1</v>
      </c>
      <c r="T357" s="17">
        <v>0</v>
      </c>
      <c r="U357" s="17">
        <v>0</v>
      </c>
      <c r="V357" s="17">
        <v>0</v>
      </c>
      <c r="W357" s="17">
        <v>1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 t="s">
        <v>704</v>
      </c>
      <c r="AD357" s="16" t="s">
        <v>341</v>
      </c>
      <c r="AE357" s="16" t="s">
        <v>340</v>
      </c>
      <c r="AF357" s="15" t="s">
        <v>343</v>
      </c>
      <c r="AG357" s="15" t="s">
        <v>344</v>
      </c>
      <c r="AH357" s="17" t="s">
        <v>371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704</v>
      </c>
      <c r="AR357" t="s">
        <v>349</v>
      </c>
      <c r="AS357" t="s">
        <v>349</v>
      </c>
      <c r="AT357">
        <v>1</v>
      </c>
      <c r="AU357">
        <v>0</v>
      </c>
      <c r="AV357">
        <v>0</v>
      </c>
      <c r="AW357" t="s">
        <v>704</v>
      </c>
      <c r="AX357" t="s">
        <v>1310</v>
      </c>
      <c r="AY357" t="s">
        <v>293</v>
      </c>
      <c r="AZ357" t="s">
        <v>353</v>
      </c>
      <c r="BA357" t="s">
        <v>296</v>
      </c>
      <c r="BB357" t="s">
        <v>301</v>
      </c>
      <c r="BC357" t="s">
        <v>292</v>
      </c>
      <c r="BD357" t="s">
        <v>292</v>
      </c>
      <c r="BE357" t="s">
        <v>292</v>
      </c>
      <c r="BF357" t="s">
        <v>292</v>
      </c>
      <c r="BG357" t="s">
        <v>293</v>
      </c>
      <c r="BH357" t="s">
        <v>302</v>
      </c>
      <c r="BI357" t="s">
        <v>357</v>
      </c>
      <c r="BJ357" t="s">
        <v>359</v>
      </c>
      <c r="BK357" t="s">
        <v>293</v>
      </c>
      <c r="BL357" t="s">
        <v>293</v>
      </c>
      <c r="BM357" t="s">
        <v>297</v>
      </c>
      <c r="BN357" t="s">
        <v>356</v>
      </c>
      <c r="BO357" t="s">
        <v>293</v>
      </c>
      <c r="BP357" t="s">
        <v>292</v>
      </c>
      <c r="BQ357" t="s">
        <v>293</v>
      </c>
      <c r="BR357" t="s">
        <v>293</v>
      </c>
      <c r="BS357" t="s">
        <v>364</v>
      </c>
      <c r="BT357" t="s">
        <v>304</v>
      </c>
      <c r="BU357" t="s">
        <v>371</v>
      </c>
      <c r="BV357" t="s">
        <v>371</v>
      </c>
      <c r="BW357" t="s">
        <v>2800</v>
      </c>
      <c r="BX357" t="str">
        <f>IF(J357="win",VLOOKUP(B357,ColorScheme!$A$2:$I$32,4,0),VLOOKUP(B357,ColorScheme!$A$2:$I$32,5,0))</f>
        <v>#0504aa50</v>
      </c>
    </row>
    <row r="358" spans="1:76" x14ac:dyDescent="0.3">
      <c r="A358" s="38" t="s">
        <v>9</v>
      </c>
      <c r="B358" s="38" t="s">
        <v>56</v>
      </c>
      <c r="C358" s="38" t="s">
        <v>14</v>
      </c>
      <c r="D358" s="38" t="s">
        <v>12</v>
      </c>
      <c r="E358" s="38" t="s">
        <v>1060</v>
      </c>
      <c r="F358" s="38" t="b">
        <v>1</v>
      </c>
      <c r="G358" s="38">
        <v>99.9</v>
      </c>
      <c r="H358" s="38">
        <v>0</v>
      </c>
      <c r="I358" s="38">
        <v>4686</v>
      </c>
      <c r="J358" s="61" t="s">
        <v>18</v>
      </c>
      <c r="K358" s="39" t="s">
        <v>272</v>
      </c>
      <c r="L358" s="39">
        <v>2</v>
      </c>
      <c r="M358" s="39" t="s">
        <v>333</v>
      </c>
      <c r="N358" s="39" t="s">
        <v>278</v>
      </c>
      <c r="O358" s="40" t="s">
        <v>282</v>
      </c>
      <c r="P358" s="38" t="s">
        <v>371</v>
      </c>
      <c r="Q358" s="38" t="s">
        <v>371</v>
      </c>
      <c r="R358" s="41" t="s">
        <v>371</v>
      </c>
      <c r="S358" s="41">
        <v>0</v>
      </c>
      <c r="T358" s="41">
        <v>1</v>
      </c>
      <c r="U358" s="41">
        <v>0</v>
      </c>
      <c r="V358" s="41">
        <v>0</v>
      </c>
      <c r="W358" s="41">
        <v>0</v>
      </c>
      <c r="X358" s="41">
        <v>0</v>
      </c>
      <c r="Y358" s="41">
        <v>0</v>
      </c>
      <c r="Z358" s="41">
        <v>0</v>
      </c>
      <c r="AA358" s="41">
        <v>0</v>
      </c>
      <c r="AB358" s="41">
        <v>0</v>
      </c>
      <c r="AC358" s="41" t="s">
        <v>704</v>
      </c>
      <c r="AD358" s="39" t="s">
        <v>340</v>
      </c>
      <c r="AE358" s="39" t="s">
        <v>342</v>
      </c>
      <c r="AF358" s="40" t="s">
        <v>343</v>
      </c>
      <c r="AG358" s="40" t="s">
        <v>344</v>
      </c>
      <c r="AH358" s="41" t="s">
        <v>371</v>
      </c>
      <c r="AI358" s="38">
        <v>1</v>
      </c>
      <c r="AJ358" s="38">
        <v>0</v>
      </c>
      <c r="AK358" s="38">
        <v>0</v>
      </c>
      <c r="AL358" s="38">
        <v>0</v>
      </c>
      <c r="AM358" s="38">
        <v>0</v>
      </c>
      <c r="AN358" s="38">
        <v>0</v>
      </c>
      <c r="AO358" s="38">
        <v>0</v>
      </c>
      <c r="AP358" s="38">
        <v>0</v>
      </c>
      <c r="AQ358" s="38" t="s">
        <v>704</v>
      </c>
      <c r="AR358" s="38" t="s">
        <v>349</v>
      </c>
      <c r="AS358" s="38" t="s">
        <v>349</v>
      </c>
      <c r="AT358" s="38">
        <v>1</v>
      </c>
      <c r="AU358" s="38">
        <v>0</v>
      </c>
      <c r="AV358" s="38">
        <v>0</v>
      </c>
      <c r="AW358" s="38" t="s">
        <v>704</v>
      </c>
      <c r="AX358" t="s">
        <v>1208</v>
      </c>
      <c r="AY358" s="38" t="s">
        <v>293</v>
      </c>
      <c r="AZ358" s="38" t="s">
        <v>352</v>
      </c>
      <c r="BA358" s="38" t="s">
        <v>297</v>
      </c>
      <c r="BB358" s="38" t="s">
        <v>300</v>
      </c>
      <c r="BC358" s="38" t="s">
        <v>293</v>
      </c>
      <c r="BD358" s="38" t="s">
        <v>292</v>
      </c>
      <c r="BE358" s="38" t="s">
        <v>292</v>
      </c>
      <c r="BF358" s="38" t="s">
        <v>293</v>
      </c>
      <c r="BG358" s="38" t="s">
        <v>293</v>
      </c>
      <c r="BH358" s="38" t="s">
        <v>302</v>
      </c>
      <c r="BI358" s="38" t="s">
        <v>357</v>
      </c>
      <c r="BJ358" s="38" t="s">
        <v>302</v>
      </c>
      <c r="BK358" s="38" t="s">
        <v>293</v>
      </c>
      <c r="BL358" s="38" t="s">
        <v>293</v>
      </c>
      <c r="BM358" s="38" t="s">
        <v>297</v>
      </c>
      <c r="BN358" s="38" t="s">
        <v>356</v>
      </c>
      <c r="BO358" s="38" t="s">
        <v>293</v>
      </c>
      <c r="BP358" s="38" t="s">
        <v>292</v>
      </c>
      <c r="BQ358" s="38" t="s">
        <v>293</v>
      </c>
      <c r="BR358" s="38" t="s">
        <v>293</v>
      </c>
      <c r="BS358" s="38" t="s">
        <v>364</v>
      </c>
      <c r="BT358" s="38" t="s">
        <v>367</v>
      </c>
      <c r="BU358" s="38" t="s">
        <v>380</v>
      </c>
      <c r="BV358" t="s">
        <v>371</v>
      </c>
      <c r="BW358" t="s">
        <v>2801</v>
      </c>
      <c r="BX358" t="str">
        <f>IF(J358="win",VLOOKUP(B358,ColorScheme!$A$2:$I$32,4,0),VLOOKUP(B358,ColorScheme!$A$2:$I$32,5,0))</f>
        <v>#ff028d50</v>
      </c>
    </row>
    <row r="359" spans="1:76" s="38" customFormat="1" x14ac:dyDescent="0.3">
      <c r="A359" t="s">
        <v>9</v>
      </c>
      <c r="B359" t="s">
        <v>56</v>
      </c>
      <c r="C359" t="s">
        <v>15</v>
      </c>
      <c r="D359" t="s">
        <v>12</v>
      </c>
      <c r="E359" t="s">
        <v>1061</v>
      </c>
      <c r="F359" t="b">
        <v>1</v>
      </c>
      <c r="G359">
        <v>100</v>
      </c>
      <c r="H359">
        <v>1</v>
      </c>
      <c r="I359">
        <v>11104</v>
      </c>
      <c r="J359" s="61" t="s">
        <v>18</v>
      </c>
      <c r="K359" s="16" t="s">
        <v>272</v>
      </c>
      <c r="L359" s="16">
        <v>3</v>
      </c>
      <c r="M359" s="16" t="s">
        <v>277</v>
      </c>
      <c r="N359" s="16" t="s">
        <v>335</v>
      </c>
      <c r="O359" s="15" t="s">
        <v>282</v>
      </c>
      <c r="P359" t="s">
        <v>283</v>
      </c>
      <c r="Q359" t="s">
        <v>286</v>
      </c>
      <c r="R359" s="17" t="s">
        <v>371</v>
      </c>
      <c r="S359" s="17">
        <v>0</v>
      </c>
      <c r="T359" s="17">
        <v>1</v>
      </c>
      <c r="U359" s="17">
        <v>1</v>
      </c>
      <c r="V359" s="17">
        <v>0</v>
      </c>
      <c r="W359" s="17">
        <v>0</v>
      </c>
      <c r="X359" s="17">
        <v>0</v>
      </c>
      <c r="Y359" s="17">
        <v>1</v>
      </c>
      <c r="Z359" s="17">
        <v>0</v>
      </c>
      <c r="AA359" s="17">
        <v>0</v>
      </c>
      <c r="AB359" s="17">
        <v>0</v>
      </c>
      <c r="AC359" s="17" t="s">
        <v>704</v>
      </c>
      <c r="AD359" s="16" t="s">
        <v>341</v>
      </c>
      <c r="AE359" s="16" t="s">
        <v>342</v>
      </c>
      <c r="AF359" s="15" t="s">
        <v>343</v>
      </c>
      <c r="AG359" s="15" t="s">
        <v>344</v>
      </c>
      <c r="AH359" s="17" t="s">
        <v>346</v>
      </c>
      <c r="AI359">
        <v>1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 t="s">
        <v>704</v>
      </c>
      <c r="AR359" t="s">
        <v>349</v>
      </c>
      <c r="AS359" t="s">
        <v>349</v>
      </c>
      <c r="AT359">
        <v>1</v>
      </c>
      <c r="AU359">
        <v>0</v>
      </c>
      <c r="AV359">
        <v>0</v>
      </c>
      <c r="AW359" t="s">
        <v>704</v>
      </c>
      <c r="AX359" t="s">
        <v>1312</v>
      </c>
      <c r="AY359" t="s">
        <v>293</v>
      </c>
      <c r="AZ359" t="s">
        <v>353</v>
      </c>
      <c r="BA359" t="s">
        <v>297</v>
      </c>
      <c r="BB359" t="s">
        <v>300</v>
      </c>
      <c r="BC359" t="s">
        <v>293</v>
      </c>
      <c r="BD359" t="s">
        <v>292</v>
      </c>
      <c r="BE359" t="s">
        <v>292</v>
      </c>
      <c r="BF359" t="s">
        <v>293</v>
      </c>
      <c r="BG359" t="s">
        <v>293</v>
      </c>
      <c r="BH359" t="s">
        <v>302</v>
      </c>
      <c r="BI359" t="s">
        <v>302</v>
      </c>
      <c r="BJ359" t="s">
        <v>302</v>
      </c>
      <c r="BK359" t="s">
        <v>293</v>
      </c>
      <c r="BL359" t="s">
        <v>293</v>
      </c>
      <c r="BM359" t="s">
        <v>297</v>
      </c>
      <c r="BN359" t="s">
        <v>356</v>
      </c>
      <c r="BO359" t="s">
        <v>293</v>
      </c>
      <c r="BP359" t="s">
        <v>292</v>
      </c>
      <c r="BQ359" t="s">
        <v>293</v>
      </c>
      <c r="BR359" t="s">
        <v>293</v>
      </c>
      <c r="BS359" t="s">
        <v>364</v>
      </c>
      <c r="BT359" t="s">
        <v>304</v>
      </c>
      <c r="BU359" t="s">
        <v>371</v>
      </c>
      <c r="BV359" s="38" t="s">
        <v>371</v>
      </c>
      <c r="BW359" t="s">
        <v>2802</v>
      </c>
      <c r="BX359" t="str">
        <f>IF(J359="win",VLOOKUP(B359,ColorScheme!$A$2:$I$32,4,0),VLOOKUP(B359,ColorScheme!$A$2:$I$32,5,0))</f>
        <v>#ff028d50</v>
      </c>
    </row>
    <row r="360" spans="1:76" x14ac:dyDescent="0.3">
      <c r="A360" t="s">
        <v>9</v>
      </c>
      <c r="B360" t="s">
        <v>56</v>
      </c>
      <c r="C360" t="s">
        <v>11</v>
      </c>
      <c r="D360" t="s">
        <v>12</v>
      </c>
      <c r="E360" t="s">
        <v>1062</v>
      </c>
      <c r="F360" t="b">
        <v>1</v>
      </c>
      <c r="G360">
        <v>100</v>
      </c>
      <c r="H360">
        <v>1</v>
      </c>
      <c r="I360">
        <v>3733</v>
      </c>
      <c r="J360" s="61" t="s">
        <v>18</v>
      </c>
      <c r="K360" s="16" t="s">
        <v>272</v>
      </c>
      <c r="L360" s="16">
        <v>2</v>
      </c>
      <c r="M360" s="16" t="s">
        <v>333</v>
      </c>
      <c r="N360" s="16" t="s">
        <v>278</v>
      </c>
      <c r="O360" s="15" t="s">
        <v>284</v>
      </c>
      <c r="P360" t="s">
        <v>371</v>
      </c>
      <c r="Q360" t="s">
        <v>371</v>
      </c>
      <c r="R360" s="17" t="s">
        <v>371</v>
      </c>
      <c r="S360" s="17">
        <v>0</v>
      </c>
      <c r="T360" s="17">
        <v>0</v>
      </c>
      <c r="U360" s="17">
        <v>0</v>
      </c>
      <c r="V360" s="17">
        <v>1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 t="s">
        <v>704</v>
      </c>
      <c r="AD360" s="16" t="s">
        <v>341</v>
      </c>
      <c r="AE360" s="16" t="s">
        <v>340</v>
      </c>
      <c r="AF360" s="15" t="s">
        <v>343</v>
      </c>
      <c r="AG360" s="15" t="s">
        <v>345</v>
      </c>
      <c r="AH360" s="17" t="s">
        <v>371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704</v>
      </c>
      <c r="AR360" t="s">
        <v>349</v>
      </c>
      <c r="AS360" t="s">
        <v>349</v>
      </c>
      <c r="AT360">
        <v>1</v>
      </c>
      <c r="AU360">
        <v>0</v>
      </c>
      <c r="AV360">
        <v>0</v>
      </c>
      <c r="AW360" t="s">
        <v>704</v>
      </c>
      <c r="AX360" t="s">
        <v>1291</v>
      </c>
      <c r="AY360" t="s">
        <v>293</v>
      </c>
      <c r="AZ360" t="s">
        <v>352</v>
      </c>
      <c r="BA360" t="s">
        <v>297</v>
      </c>
      <c r="BB360" t="s">
        <v>300</v>
      </c>
      <c r="BC360" t="s">
        <v>292</v>
      </c>
      <c r="BD360" t="s">
        <v>293</v>
      </c>
      <c r="BE360" t="s">
        <v>292</v>
      </c>
      <c r="BF360" t="s">
        <v>293</v>
      </c>
      <c r="BG360" t="s">
        <v>293</v>
      </c>
      <c r="BH360" t="s">
        <v>302</v>
      </c>
      <c r="BI360" t="s">
        <v>357</v>
      </c>
      <c r="BJ360" t="s">
        <v>302</v>
      </c>
      <c r="BK360" t="s">
        <v>293</v>
      </c>
      <c r="BL360" t="s">
        <v>293</v>
      </c>
      <c r="BM360" t="s">
        <v>297</v>
      </c>
      <c r="BN360" t="s">
        <v>298</v>
      </c>
      <c r="BO360" t="s">
        <v>293</v>
      </c>
      <c r="BP360" t="s">
        <v>292</v>
      </c>
      <c r="BQ360" t="s">
        <v>293</v>
      </c>
      <c r="BR360" t="s">
        <v>293</v>
      </c>
      <c r="BS360" t="s">
        <v>364</v>
      </c>
      <c r="BT360" t="s">
        <v>304</v>
      </c>
      <c r="BU360" t="s">
        <v>371</v>
      </c>
      <c r="BV360" t="s">
        <v>371</v>
      </c>
      <c r="BW360" t="s">
        <v>2803</v>
      </c>
      <c r="BX360" t="str">
        <f>IF(J360="win",VLOOKUP(B360,ColorScheme!$A$2:$I$32,4,0),VLOOKUP(B360,ColorScheme!$A$2:$I$32,5,0))</f>
        <v>#ff028d50</v>
      </c>
    </row>
    <row r="361" spans="1:76" x14ac:dyDescent="0.3">
      <c r="A361" t="s">
        <v>9</v>
      </c>
      <c r="B361" t="s">
        <v>56</v>
      </c>
      <c r="C361" t="s">
        <v>16</v>
      </c>
      <c r="D361" t="s">
        <v>12</v>
      </c>
      <c r="E361" t="s">
        <v>1063</v>
      </c>
      <c r="F361" t="b">
        <v>1</v>
      </c>
      <c r="G361">
        <v>100</v>
      </c>
      <c r="H361">
        <v>1</v>
      </c>
      <c r="I361">
        <v>13365</v>
      </c>
      <c r="J361" s="61" t="s">
        <v>18</v>
      </c>
      <c r="K361" s="16" t="s">
        <v>272</v>
      </c>
      <c r="L361" s="16">
        <v>3</v>
      </c>
      <c r="M361" s="16" t="s">
        <v>277</v>
      </c>
      <c r="N361" s="16" t="s">
        <v>335</v>
      </c>
      <c r="O361" s="15" t="s">
        <v>282</v>
      </c>
      <c r="P361" t="s">
        <v>283</v>
      </c>
      <c r="Q361" t="s">
        <v>286</v>
      </c>
      <c r="R361" s="17" t="s">
        <v>371</v>
      </c>
      <c r="S361" s="17">
        <v>0</v>
      </c>
      <c r="T361" s="17">
        <v>1</v>
      </c>
      <c r="U361" s="17">
        <v>1</v>
      </c>
      <c r="V361" s="17">
        <v>0</v>
      </c>
      <c r="W361" s="17">
        <v>0</v>
      </c>
      <c r="X361" s="17">
        <v>0</v>
      </c>
      <c r="Y361" s="17">
        <v>1</v>
      </c>
      <c r="Z361" s="17">
        <v>0</v>
      </c>
      <c r="AA361" s="17">
        <v>0</v>
      </c>
      <c r="AB361" s="17">
        <v>0</v>
      </c>
      <c r="AC361" s="17" t="s">
        <v>704</v>
      </c>
      <c r="AD361" s="16" t="s">
        <v>341</v>
      </c>
      <c r="AE361" s="16" t="s">
        <v>342</v>
      </c>
      <c r="AF361" s="15" t="s">
        <v>343</v>
      </c>
      <c r="AG361" s="15" t="s">
        <v>344</v>
      </c>
      <c r="AH361" s="17" t="s">
        <v>371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704</v>
      </c>
      <c r="AR361" t="s">
        <v>349</v>
      </c>
      <c r="AS361" t="s">
        <v>349</v>
      </c>
      <c r="AT361">
        <v>1</v>
      </c>
      <c r="AU361">
        <v>0</v>
      </c>
      <c r="AV361">
        <v>0</v>
      </c>
      <c r="AW361" t="s">
        <v>704</v>
      </c>
      <c r="AX361" t="s">
        <v>1313</v>
      </c>
      <c r="AY361" t="s">
        <v>293</v>
      </c>
      <c r="AZ361" t="s">
        <v>353</v>
      </c>
      <c r="BA361" t="s">
        <v>297</v>
      </c>
      <c r="BB361" t="s">
        <v>300</v>
      </c>
      <c r="BC361" t="s">
        <v>293</v>
      </c>
      <c r="BD361" t="s">
        <v>292</v>
      </c>
      <c r="BE361" t="s">
        <v>292</v>
      </c>
      <c r="BF361" t="s">
        <v>292</v>
      </c>
      <c r="BG361" t="s">
        <v>293</v>
      </c>
      <c r="BH361" t="s">
        <v>302</v>
      </c>
      <c r="BI361" t="s">
        <v>302</v>
      </c>
      <c r="BJ361" t="s">
        <v>302</v>
      </c>
      <c r="BK361" t="s">
        <v>293</v>
      </c>
      <c r="BL361" t="s">
        <v>293</v>
      </c>
      <c r="BM361" t="s">
        <v>297</v>
      </c>
      <c r="BN361" t="s">
        <v>356</v>
      </c>
      <c r="BO361" t="s">
        <v>293</v>
      </c>
      <c r="BP361" t="s">
        <v>292</v>
      </c>
      <c r="BQ361" t="s">
        <v>293</v>
      </c>
      <c r="BR361" t="s">
        <v>293</v>
      </c>
      <c r="BS361" t="s">
        <v>364</v>
      </c>
      <c r="BT361" t="s">
        <v>304</v>
      </c>
      <c r="BU361" t="s">
        <v>371</v>
      </c>
      <c r="BV361" t="s">
        <v>371</v>
      </c>
      <c r="BW361" t="s">
        <v>2804</v>
      </c>
      <c r="BX361" t="str">
        <f>IF(J361="win",VLOOKUP(B361,ColorScheme!$A$2:$I$32,4,0),VLOOKUP(B361,ColorScheme!$A$2:$I$32,5,0))</f>
        <v>#ff028d50</v>
      </c>
    </row>
    <row r="362" spans="1:76" x14ac:dyDescent="0.3">
      <c r="A362" t="s">
        <v>9</v>
      </c>
      <c r="B362" t="s">
        <v>56</v>
      </c>
      <c r="C362" t="s">
        <v>23</v>
      </c>
      <c r="D362" t="s">
        <v>29</v>
      </c>
      <c r="E362" t="s">
        <v>1064</v>
      </c>
      <c r="F362" t="b">
        <v>1</v>
      </c>
      <c r="G362">
        <v>100</v>
      </c>
      <c r="H362">
        <v>1</v>
      </c>
      <c r="I362">
        <v>19103</v>
      </c>
      <c r="J362" s="61" t="s">
        <v>18</v>
      </c>
      <c r="K362" s="16" t="s">
        <v>272</v>
      </c>
      <c r="L362" s="16">
        <v>2</v>
      </c>
      <c r="M362" s="16" t="s">
        <v>277</v>
      </c>
      <c r="N362" s="16" t="s">
        <v>335</v>
      </c>
      <c r="O362" s="15" t="s">
        <v>282</v>
      </c>
      <c r="P362" t="s">
        <v>371</v>
      </c>
      <c r="Q362" t="s">
        <v>371</v>
      </c>
      <c r="R362" s="17" t="s">
        <v>371</v>
      </c>
      <c r="S362" s="17">
        <v>0</v>
      </c>
      <c r="T362" s="17">
        <v>1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 t="s">
        <v>704</v>
      </c>
      <c r="AD362" s="16" t="s">
        <v>340</v>
      </c>
      <c r="AE362" s="16" t="s">
        <v>342</v>
      </c>
      <c r="AF362" s="15" t="s">
        <v>340</v>
      </c>
      <c r="AG362" s="15" t="s">
        <v>347</v>
      </c>
      <c r="AH362" s="17" t="s">
        <v>371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 t="s">
        <v>704</v>
      </c>
      <c r="AR362" t="s">
        <v>349</v>
      </c>
      <c r="AS362" t="s">
        <v>349</v>
      </c>
      <c r="AT362">
        <v>1</v>
      </c>
      <c r="AU362">
        <v>0</v>
      </c>
      <c r="AV362">
        <v>0</v>
      </c>
      <c r="AW362" t="s">
        <v>704</v>
      </c>
      <c r="AX362" t="s">
        <v>1227</v>
      </c>
      <c r="AY362" t="s">
        <v>293</v>
      </c>
      <c r="AZ362" t="s">
        <v>354</v>
      </c>
      <c r="BA362" t="s">
        <v>354</v>
      </c>
      <c r="BB362" t="s">
        <v>301</v>
      </c>
      <c r="BC362" t="s">
        <v>293</v>
      </c>
      <c r="BD362" t="s">
        <v>292</v>
      </c>
      <c r="BE362" t="s">
        <v>293</v>
      </c>
      <c r="BF362" t="s">
        <v>292</v>
      </c>
      <c r="BG362" t="s">
        <v>293</v>
      </c>
      <c r="BH362" t="s">
        <v>302</v>
      </c>
      <c r="BI362" t="s">
        <v>302</v>
      </c>
      <c r="BJ362" t="s">
        <v>357</v>
      </c>
      <c r="BK362" t="s">
        <v>293</v>
      </c>
      <c r="BL362" t="s">
        <v>293</v>
      </c>
      <c r="BM362" t="s">
        <v>296</v>
      </c>
      <c r="BN362" t="s">
        <v>356</v>
      </c>
      <c r="BO362" t="s">
        <v>293</v>
      </c>
      <c r="BP362" t="s">
        <v>292</v>
      </c>
      <c r="BQ362" t="s">
        <v>293</v>
      </c>
      <c r="BR362" t="s">
        <v>293</v>
      </c>
      <c r="BS362" t="s">
        <v>364</v>
      </c>
      <c r="BT362" t="s">
        <v>304</v>
      </c>
      <c r="BU362" t="s">
        <v>371</v>
      </c>
      <c r="BV362" t="s">
        <v>371</v>
      </c>
      <c r="BW362" t="s">
        <v>2805</v>
      </c>
      <c r="BX362" t="str">
        <f>IF(J362="win",VLOOKUP(B362,ColorScheme!$A$2:$I$32,4,0),VLOOKUP(B362,ColorScheme!$A$2:$I$32,5,0))</f>
        <v>#ff028d50</v>
      </c>
    </row>
    <row r="363" spans="1:76" x14ac:dyDescent="0.3">
      <c r="A363" t="s">
        <v>9</v>
      </c>
      <c r="B363" t="s">
        <v>56</v>
      </c>
      <c r="C363" t="s">
        <v>25</v>
      </c>
      <c r="D363" t="s">
        <v>29</v>
      </c>
      <c r="E363" t="s">
        <v>1065</v>
      </c>
      <c r="F363" t="b">
        <v>1</v>
      </c>
      <c r="G363">
        <v>100</v>
      </c>
      <c r="H363">
        <v>1</v>
      </c>
      <c r="I363">
        <v>19184</v>
      </c>
      <c r="J363" s="61" t="s">
        <v>18</v>
      </c>
      <c r="K363" s="16" t="s">
        <v>272</v>
      </c>
      <c r="L363" s="16">
        <v>2</v>
      </c>
      <c r="M363" s="16" t="s">
        <v>277</v>
      </c>
      <c r="N363" s="16" t="s">
        <v>335</v>
      </c>
      <c r="O363" s="15" t="s">
        <v>282</v>
      </c>
      <c r="P363" t="s">
        <v>371</v>
      </c>
      <c r="Q363" t="s">
        <v>371</v>
      </c>
      <c r="R363" s="17" t="s">
        <v>371</v>
      </c>
      <c r="S363" s="17">
        <v>0</v>
      </c>
      <c r="T363" s="17">
        <v>1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 t="s">
        <v>704</v>
      </c>
      <c r="AD363" s="16" t="s">
        <v>340</v>
      </c>
      <c r="AE363" s="16" t="s">
        <v>342</v>
      </c>
      <c r="AF363" s="15" t="s">
        <v>340</v>
      </c>
      <c r="AG363" s="15" t="s">
        <v>347</v>
      </c>
      <c r="AH363" s="17" t="s">
        <v>371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 t="s">
        <v>704</v>
      </c>
      <c r="AR363" t="s">
        <v>349</v>
      </c>
      <c r="AS363" t="s">
        <v>349</v>
      </c>
      <c r="AT363">
        <v>1</v>
      </c>
      <c r="AU363">
        <v>0</v>
      </c>
      <c r="AV363">
        <v>0</v>
      </c>
      <c r="AW363" t="s">
        <v>704</v>
      </c>
      <c r="AX363" t="s">
        <v>1227</v>
      </c>
      <c r="AY363" t="s">
        <v>293</v>
      </c>
      <c r="AZ363" t="s">
        <v>354</v>
      </c>
      <c r="BA363" t="s">
        <v>354</v>
      </c>
      <c r="BB363" t="s">
        <v>301</v>
      </c>
      <c r="BC363" t="s">
        <v>293</v>
      </c>
      <c r="BD363" t="s">
        <v>292</v>
      </c>
      <c r="BE363" t="s">
        <v>293</v>
      </c>
      <c r="BF363" t="s">
        <v>292</v>
      </c>
      <c r="BG363" t="s">
        <v>293</v>
      </c>
      <c r="BH363" t="s">
        <v>302</v>
      </c>
      <c r="BI363" t="s">
        <v>302</v>
      </c>
      <c r="BJ363" t="s">
        <v>357</v>
      </c>
      <c r="BK363" t="s">
        <v>293</v>
      </c>
      <c r="BL363" t="s">
        <v>293</v>
      </c>
      <c r="BM363" t="s">
        <v>296</v>
      </c>
      <c r="BN363" t="s">
        <v>356</v>
      </c>
      <c r="BO363" t="s">
        <v>293</v>
      </c>
      <c r="BP363" t="s">
        <v>292</v>
      </c>
      <c r="BQ363" t="s">
        <v>293</v>
      </c>
      <c r="BR363" t="s">
        <v>293</v>
      </c>
      <c r="BS363" t="s">
        <v>364</v>
      </c>
      <c r="BT363" t="s">
        <v>304</v>
      </c>
      <c r="BU363" t="s">
        <v>371</v>
      </c>
      <c r="BV363" t="s">
        <v>371</v>
      </c>
      <c r="BW363" t="s">
        <v>2806</v>
      </c>
      <c r="BX363" t="str">
        <f>IF(J363="win",VLOOKUP(B363,ColorScheme!$A$2:$I$32,4,0),VLOOKUP(B363,ColorScheme!$A$2:$I$32,5,0))</f>
        <v>#ff028d50</v>
      </c>
    </row>
    <row r="364" spans="1:76" x14ac:dyDescent="0.3">
      <c r="A364" t="s">
        <v>9</v>
      </c>
      <c r="B364" t="s">
        <v>56</v>
      </c>
      <c r="C364" t="s">
        <v>24</v>
      </c>
      <c r="D364" t="s">
        <v>29</v>
      </c>
      <c r="E364" t="s">
        <v>1066</v>
      </c>
      <c r="F364" t="b">
        <v>1</v>
      </c>
      <c r="G364">
        <v>100</v>
      </c>
      <c r="H364">
        <v>1</v>
      </c>
      <c r="I364">
        <v>19509</v>
      </c>
      <c r="J364" s="61" t="s">
        <v>18</v>
      </c>
      <c r="K364" s="16" t="s">
        <v>272</v>
      </c>
      <c r="L364" s="16">
        <v>2</v>
      </c>
      <c r="M364" s="16" t="s">
        <v>277</v>
      </c>
      <c r="N364" s="16" t="s">
        <v>335</v>
      </c>
      <c r="O364" s="15" t="s">
        <v>282</v>
      </c>
      <c r="P364" t="s">
        <v>371</v>
      </c>
      <c r="Q364" t="s">
        <v>371</v>
      </c>
      <c r="R364" s="17" t="s">
        <v>371</v>
      </c>
      <c r="S364" s="17">
        <v>0</v>
      </c>
      <c r="T364" s="17">
        <v>1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 t="s">
        <v>704</v>
      </c>
      <c r="AD364" s="16" t="s">
        <v>340</v>
      </c>
      <c r="AE364" s="16" t="s">
        <v>342</v>
      </c>
      <c r="AF364" s="15" t="s">
        <v>340</v>
      </c>
      <c r="AG364" s="15" t="s">
        <v>347</v>
      </c>
      <c r="AH364" s="17" t="s">
        <v>371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 t="s">
        <v>704</v>
      </c>
      <c r="AR364" t="s">
        <v>349</v>
      </c>
      <c r="AS364" t="s">
        <v>349</v>
      </c>
      <c r="AT364">
        <v>1</v>
      </c>
      <c r="AU364">
        <v>0</v>
      </c>
      <c r="AV364">
        <v>0</v>
      </c>
      <c r="AW364" t="s">
        <v>704</v>
      </c>
      <c r="AX364" t="s">
        <v>1227</v>
      </c>
      <c r="AY364" t="s">
        <v>293</v>
      </c>
      <c r="AZ364" t="s">
        <v>354</v>
      </c>
      <c r="BA364" t="s">
        <v>354</v>
      </c>
      <c r="BB364" t="s">
        <v>301</v>
      </c>
      <c r="BC364" t="s">
        <v>293</v>
      </c>
      <c r="BD364" t="s">
        <v>292</v>
      </c>
      <c r="BE364" t="s">
        <v>293</v>
      </c>
      <c r="BF364" t="s">
        <v>292</v>
      </c>
      <c r="BG364" t="s">
        <v>293</v>
      </c>
      <c r="BH364" t="s">
        <v>302</v>
      </c>
      <c r="BI364" t="s">
        <v>302</v>
      </c>
      <c r="BJ364" t="s">
        <v>359</v>
      </c>
      <c r="BK364" t="s">
        <v>293</v>
      </c>
      <c r="BL364" t="s">
        <v>293</v>
      </c>
      <c r="BM364" t="s">
        <v>296</v>
      </c>
      <c r="BN364" t="s">
        <v>356</v>
      </c>
      <c r="BO364" t="s">
        <v>293</v>
      </c>
      <c r="BP364" t="s">
        <v>292</v>
      </c>
      <c r="BQ364" t="s">
        <v>293</v>
      </c>
      <c r="BR364" t="s">
        <v>293</v>
      </c>
      <c r="BS364" t="s">
        <v>364</v>
      </c>
      <c r="BT364" t="s">
        <v>304</v>
      </c>
      <c r="BU364" t="s">
        <v>371</v>
      </c>
      <c r="BV364" t="s">
        <v>371</v>
      </c>
      <c r="BW364" t="s">
        <v>2807</v>
      </c>
      <c r="BX364" t="str">
        <f>IF(J364="win",VLOOKUP(B364,ColorScheme!$A$2:$I$32,4,0),VLOOKUP(B364,ColorScheme!$A$2:$I$32,5,0))</f>
        <v>#ff028d50</v>
      </c>
    </row>
    <row r="365" spans="1:76" x14ac:dyDescent="0.3">
      <c r="A365" t="s">
        <v>9</v>
      </c>
      <c r="B365" t="s">
        <v>56</v>
      </c>
      <c r="C365" t="s">
        <v>21</v>
      </c>
      <c r="D365" t="s">
        <v>29</v>
      </c>
      <c r="E365" t="s">
        <v>1067</v>
      </c>
      <c r="F365" t="b">
        <v>1</v>
      </c>
      <c r="G365">
        <v>100</v>
      </c>
      <c r="H365">
        <v>1</v>
      </c>
      <c r="I365">
        <v>15028</v>
      </c>
      <c r="J365" s="61" t="s">
        <v>18</v>
      </c>
      <c r="K365" s="16" t="s">
        <v>272</v>
      </c>
      <c r="L365" s="16">
        <v>3</v>
      </c>
      <c r="M365" s="16" t="s">
        <v>277</v>
      </c>
      <c r="N365" s="16" t="s">
        <v>335</v>
      </c>
      <c r="O365" s="15" t="s">
        <v>282</v>
      </c>
      <c r="P365" t="s">
        <v>285</v>
      </c>
      <c r="Q365" t="s">
        <v>286</v>
      </c>
      <c r="R365" s="17" t="s">
        <v>371</v>
      </c>
      <c r="S365" s="17">
        <v>0</v>
      </c>
      <c r="T365" s="17">
        <v>1</v>
      </c>
      <c r="U365" s="17">
        <v>0</v>
      </c>
      <c r="V365" s="17">
        <v>0</v>
      </c>
      <c r="W365" s="17">
        <v>0</v>
      </c>
      <c r="X365" s="17">
        <v>1</v>
      </c>
      <c r="Y365" s="17">
        <v>1</v>
      </c>
      <c r="Z365" s="17">
        <v>0</v>
      </c>
      <c r="AA365" s="17">
        <v>0</v>
      </c>
      <c r="AB365" s="17">
        <v>0</v>
      </c>
      <c r="AC365" s="17" t="s">
        <v>704</v>
      </c>
      <c r="AD365" s="16" t="s">
        <v>340</v>
      </c>
      <c r="AE365" s="16" t="s">
        <v>342</v>
      </c>
      <c r="AF365" s="15" t="s">
        <v>343</v>
      </c>
      <c r="AG365" s="15" t="s">
        <v>344</v>
      </c>
      <c r="AH365" s="17" t="s">
        <v>347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 t="s">
        <v>704</v>
      </c>
      <c r="AR365" t="s">
        <v>349</v>
      </c>
      <c r="AS365" t="s">
        <v>349</v>
      </c>
      <c r="AT365">
        <v>1</v>
      </c>
      <c r="AU365">
        <v>0</v>
      </c>
      <c r="AV365">
        <v>0</v>
      </c>
      <c r="AW365" t="s">
        <v>704</v>
      </c>
      <c r="AX365" t="s">
        <v>1314</v>
      </c>
      <c r="AY365" t="s">
        <v>293</v>
      </c>
      <c r="AZ365" t="s">
        <v>353</v>
      </c>
      <c r="BA365" t="s">
        <v>355</v>
      </c>
      <c r="BB365" t="s">
        <v>300</v>
      </c>
      <c r="BC365" t="s">
        <v>293</v>
      </c>
      <c r="BD365" t="s">
        <v>292</v>
      </c>
      <c r="BE365" t="s">
        <v>292</v>
      </c>
      <c r="BF365" t="s">
        <v>292</v>
      </c>
      <c r="BG365" t="s">
        <v>293</v>
      </c>
      <c r="BH365" t="s">
        <v>302</v>
      </c>
      <c r="BI365" t="s">
        <v>302</v>
      </c>
      <c r="BJ365" t="s">
        <v>359</v>
      </c>
      <c r="BK365" t="s">
        <v>293</v>
      </c>
      <c r="BL365" t="s">
        <v>293</v>
      </c>
      <c r="BM365" t="s">
        <v>296</v>
      </c>
      <c r="BN365" t="s">
        <v>356</v>
      </c>
      <c r="BO365" t="s">
        <v>293</v>
      </c>
      <c r="BP365" t="s">
        <v>292</v>
      </c>
      <c r="BQ365" t="s">
        <v>293</v>
      </c>
      <c r="BR365" t="s">
        <v>293</v>
      </c>
      <c r="BS365" t="s">
        <v>364</v>
      </c>
      <c r="BT365" t="s">
        <v>304</v>
      </c>
      <c r="BU365" t="s">
        <v>371</v>
      </c>
      <c r="BV365" t="s">
        <v>371</v>
      </c>
      <c r="BW365" t="s">
        <v>2808</v>
      </c>
      <c r="BX365" t="str">
        <f>IF(J365="win",VLOOKUP(B365,ColorScheme!$A$2:$I$32,4,0),VLOOKUP(B365,ColorScheme!$A$2:$I$32,5,0))</f>
        <v>#ff028d50</v>
      </c>
    </row>
    <row r="366" spans="1:76" x14ac:dyDescent="0.3">
      <c r="A366" t="s">
        <v>9</v>
      </c>
      <c r="B366" t="s">
        <v>56</v>
      </c>
      <c r="C366" t="s">
        <v>19</v>
      </c>
      <c r="D366" t="s">
        <v>29</v>
      </c>
      <c r="E366" t="s">
        <v>1068</v>
      </c>
      <c r="F366" t="b">
        <v>1</v>
      </c>
      <c r="G366">
        <v>100</v>
      </c>
      <c r="H366">
        <v>1</v>
      </c>
      <c r="I366">
        <v>14882</v>
      </c>
      <c r="J366" s="61" t="s">
        <v>18</v>
      </c>
      <c r="K366" s="16" t="s">
        <v>272</v>
      </c>
      <c r="L366" s="16">
        <v>3</v>
      </c>
      <c r="M366" s="16" t="s">
        <v>277</v>
      </c>
      <c r="N366" s="16" t="s">
        <v>335</v>
      </c>
      <c r="O366" s="15" t="s">
        <v>282</v>
      </c>
      <c r="P366" t="s">
        <v>285</v>
      </c>
      <c r="Q366" t="s">
        <v>286</v>
      </c>
      <c r="R366" s="17" t="s">
        <v>371</v>
      </c>
      <c r="S366" s="17">
        <v>0</v>
      </c>
      <c r="T366" s="17">
        <v>1</v>
      </c>
      <c r="U366" s="17">
        <v>0</v>
      </c>
      <c r="V366" s="17">
        <v>0</v>
      </c>
      <c r="W366" s="17">
        <v>0</v>
      </c>
      <c r="X366" s="17">
        <v>1</v>
      </c>
      <c r="Y366" s="17">
        <v>1</v>
      </c>
      <c r="Z366" s="17">
        <v>0</v>
      </c>
      <c r="AA366" s="17">
        <v>0</v>
      </c>
      <c r="AB366" s="17">
        <v>0</v>
      </c>
      <c r="AC366" s="17" t="s">
        <v>704</v>
      </c>
      <c r="AD366" s="16" t="s">
        <v>340</v>
      </c>
      <c r="AE366" s="16" t="s">
        <v>342</v>
      </c>
      <c r="AF366" s="15" t="s">
        <v>343</v>
      </c>
      <c r="AG366" s="15" t="s">
        <v>344</v>
      </c>
      <c r="AH366" s="17" t="s">
        <v>347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 t="s">
        <v>704</v>
      </c>
      <c r="AR366" t="s">
        <v>349</v>
      </c>
      <c r="AS366" t="s">
        <v>349</v>
      </c>
      <c r="AT366">
        <v>1</v>
      </c>
      <c r="AU366">
        <v>0</v>
      </c>
      <c r="AV366">
        <v>0</v>
      </c>
      <c r="AW366" t="s">
        <v>704</v>
      </c>
      <c r="AX366" t="s">
        <v>1314</v>
      </c>
      <c r="AY366" t="s">
        <v>293</v>
      </c>
      <c r="AZ366" t="s">
        <v>353</v>
      </c>
      <c r="BA366" t="s">
        <v>355</v>
      </c>
      <c r="BB366" t="s">
        <v>300</v>
      </c>
      <c r="BC366" t="s">
        <v>293</v>
      </c>
      <c r="BD366" t="s">
        <v>292</v>
      </c>
      <c r="BE366" t="s">
        <v>292</v>
      </c>
      <c r="BF366" t="s">
        <v>292</v>
      </c>
      <c r="BG366" t="s">
        <v>293</v>
      </c>
      <c r="BH366" t="s">
        <v>302</v>
      </c>
      <c r="BI366" t="s">
        <v>302</v>
      </c>
      <c r="BJ366" t="s">
        <v>359</v>
      </c>
      <c r="BK366" t="s">
        <v>293</v>
      </c>
      <c r="BL366" t="s">
        <v>293</v>
      </c>
      <c r="BM366" t="s">
        <v>296</v>
      </c>
      <c r="BN366" t="s">
        <v>356</v>
      </c>
      <c r="BO366" t="s">
        <v>293</v>
      </c>
      <c r="BP366" t="s">
        <v>292</v>
      </c>
      <c r="BQ366" t="s">
        <v>293</v>
      </c>
      <c r="BR366" t="s">
        <v>293</v>
      </c>
      <c r="BS366" t="s">
        <v>364</v>
      </c>
      <c r="BT366" t="s">
        <v>304</v>
      </c>
      <c r="BU366" t="s">
        <v>371</v>
      </c>
      <c r="BV366" t="s">
        <v>371</v>
      </c>
      <c r="BW366" t="s">
        <v>2809</v>
      </c>
      <c r="BX366" t="str">
        <f>IF(J366="win",VLOOKUP(B366,ColorScheme!$A$2:$I$32,4,0),VLOOKUP(B366,ColorScheme!$A$2:$I$32,5,0))</f>
        <v>#ff028d50</v>
      </c>
    </row>
    <row r="367" spans="1:76" x14ac:dyDescent="0.3">
      <c r="A367" t="s">
        <v>9</v>
      </c>
      <c r="B367" t="s">
        <v>56</v>
      </c>
      <c r="C367" t="s">
        <v>17</v>
      </c>
      <c r="D367" t="s">
        <v>29</v>
      </c>
      <c r="E367" t="s">
        <v>1069</v>
      </c>
      <c r="F367" t="b">
        <v>1</v>
      </c>
      <c r="G367">
        <v>100</v>
      </c>
      <c r="H367">
        <v>1</v>
      </c>
      <c r="I367">
        <v>14683</v>
      </c>
      <c r="J367" s="61" t="s">
        <v>18</v>
      </c>
      <c r="K367" s="16" t="s">
        <v>272</v>
      </c>
      <c r="L367" s="16">
        <v>3</v>
      </c>
      <c r="M367" s="16" t="s">
        <v>277</v>
      </c>
      <c r="N367" s="16" t="s">
        <v>335</v>
      </c>
      <c r="O367" s="15" t="s">
        <v>282</v>
      </c>
      <c r="P367" t="s">
        <v>285</v>
      </c>
      <c r="Q367" t="s">
        <v>286</v>
      </c>
      <c r="R367" s="17" t="s">
        <v>371</v>
      </c>
      <c r="S367" s="17">
        <v>0</v>
      </c>
      <c r="T367" s="17">
        <v>1</v>
      </c>
      <c r="U367" s="17">
        <v>0</v>
      </c>
      <c r="V367" s="17">
        <v>0</v>
      </c>
      <c r="W367" s="17">
        <v>0</v>
      </c>
      <c r="X367" s="17">
        <v>1</v>
      </c>
      <c r="Y367" s="17">
        <v>1</v>
      </c>
      <c r="Z367" s="17">
        <v>0</v>
      </c>
      <c r="AA367" s="17">
        <v>0</v>
      </c>
      <c r="AB367" s="17">
        <v>0</v>
      </c>
      <c r="AC367" s="17" t="s">
        <v>704</v>
      </c>
      <c r="AD367" s="16" t="s">
        <v>340</v>
      </c>
      <c r="AE367" s="16" t="s">
        <v>342</v>
      </c>
      <c r="AF367" s="15" t="s">
        <v>343</v>
      </c>
      <c r="AG367" s="15" t="s">
        <v>344</v>
      </c>
      <c r="AH367" s="17" t="s">
        <v>347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 t="s">
        <v>704</v>
      </c>
      <c r="AR367" t="s">
        <v>349</v>
      </c>
      <c r="AS367" t="s">
        <v>349</v>
      </c>
      <c r="AT367">
        <v>1</v>
      </c>
      <c r="AU367">
        <v>0</v>
      </c>
      <c r="AV367">
        <v>0</v>
      </c>
      <c r="AW367" t="s">
        <v>704</v>
      </c>
      <c r="AX367" t="s">
        <v>1314</v>
      </c>
      <c r="AY367" t="s">
        <v>293</v>
      </c>
      <c r="AZ367" t="s">
        <v>353</v>
      </c>
      <c r="BA367" t="s">
        <v>355</v>
      </c>
      <c r="BB367" t="s">
        <v>300</v>
      </c>
      <c r="BC367" t="s">
        <v>293</v>
      </c>
      <c r="BD367" t="s">
        <v>292</v>
      </c>
      <c r="BE367" t="s">
        <v>292</v>
      </c>
      <c r="BF367" t="s">
        <v>292</v>
      </c>
      <c r="BG367" t="s">
        <v>293</v>
      </c>
      <c r="BH367" t="s">
        <v>302</v>
      </c>
      <c r="BI367" t="s">
        <v>302</v>
      </c>
      <c r="BJ367" t="s">
        <v>359</v>
      </c>
      <c r="BK367" t="s">
        <v>293</v>
      </c>
      <c r="BL367" t="s">
        <v>293</v>
      </c>
      <c r="BM367" t="s">
        <v>296</v>
      </c>
      <c r="BN367" t="s">
        <v>356</v>
      </c>
      <c r="BO367" t="s">
        <v>293</v>
      </c>
      <c r="BP367" t="s">
        <v>292</v>
      </c>
      <c r="BQ367" t="s">
        <v>293</v>
      </c>
      <c r="BR367" t="s">
        <v>293</v>
      </c>
      <c r="BS367" t="s">
        <v>364</v>
      </c>
      <c r="BT367" t="s">
        <v>304</v>
      </c>
      <c r="BU367" t="s">
        <v>371</v>
      </c>
      <c r="BV367" t="s">
        <v>371</v>
      </c>
      <c r="BW367" t="s">
        <v>2810</v>
      </c>
      <c r="BX367" t="str">
        <f>IF(J367="win",VLOOKUP(B367,ColorScheme!$A$2:$I$32,4,0),VLOOKUP(B367,ColorScheme!$A$2:$I$32,5,0))</f>
        <v>#ff028d50</v>
      </c>
    </row>
    <row r="368" spans="1:76" x14ac:dyDescent="0.3">
      <c r="A368" t="s">
        <v>9</v>
      </c>
      <c r="B368" t="s">
        <v>56</v>
      </c>
      <c r="C368" t="s">
        <v>20</v>
      </c>
      <c r="D368" t="s">
        <v>29</v>
      </c>
      <c r="E368" t="s">
        <v>1070</v>
      </c>
      <c r="F368" t="b">
        <v>1</v>
      </c>
      <c r="G368">
        <v>100</v>
      </c>
      <c r="H368">
        <v>1</v>
      </c>
      <c r="I368">
        <v>14883</v>
      </c>
      <c r="J368" s="61" t="s">
        <v>18</v>
      </c>
      <c r="K368" s="16" t="s">
        <v>272</v>
      </c>
      <c r="L368" s="16">
        <v>3</v>
      </c>
      <c r="M368" s="16" t="s">
        <v>277</v>
      </c>
      <c r="N368" s="16" t="s">
        <v>335</v>
      </c>
      <c r="O368" s="15" t="s">
        <v>282</v>
      </c>
      <c r="P368" t="s">
        <v>285</v>
      </c>
      <c r="Q368" t="s">
        <v>286</v>
      </c>
      <c r="R368" s="17" t="s">
        <v>371</v>
      </c>
      <c r="S368" s="17">
        <v>0</v>
      </c>
      <c r="T368" s="17">
        <v>1</v>
      </c>
      <c r="U368" s="17">
        <v>0</v>
      </c>
      <c r="V368" s="17">
        <v>0</v>
      </c>
      <c r="W368" s="17">
        <v>0</v>
      </c>
      <c r="X368" s="17">
        <v>1</v>
      </c>
      <c r="Y368" s="17">
        <v>1</v>
      </c>
      <c r="Z368" s="17">
        <v>0</v>
      </c>
      <c r="AA368" s="17">
        <v>0</v>
      </c>
      <c r="AB368" s="17">
        <v>0</v>
      </c>
      <c r="AC368" s="17" t="s">
        <v>704</v>
      </c>
      <c r="AD368" s="16" t="s">
        <v>340</v>
      </c>
      <c r="AE368" s="16" t="s">
        <v>342</v>
      </c>
      <c r="AF368" s="15" t="s">
        <v>343</v>
      </c>
      <c r="AG368" s="15" t="s">
        <v>344</v>
      </c>
      <c r="AH368" s="17" t="s">
        <v>347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 t="s">
        <v>704</v>
      </c>
      <c r="AR368" t="s">
        <v>349</v>
      </c>
      <c r="AS368" t="s">
        <v>349</v>
      </c>
      <c r="AT368">
        <v>1</v>
      </c>
      <c r="AU368">
        <v>0</v>
      </c>
      <c r="AV368">
        <v>0</v>
      </c>
      <c r="AW368" t="s">
        <v>704</v>
      </c>
      <c r="AX368" t="s">
        <v>1314</v>
      </c>
      <c r="AY368" t="s">
        <v>293</v>
      </c>
      <c r="AZ368" t="s">
        <v>353</v>
      </c>
      <c r="BA368" t="s">
        <v>355</v>
      </c>
      <c r="BB368" t="s">
        <v>300</v>
      </c>
      <c r="BC368" t="s">
        <v>293</v>
      </c>
      <c r="BD368" t="s">
        <v>292</v>
      </c>
      <c r="BE368" t="s">
        <v>292</v>
      </c>
      <c r="BF368" t="s">
        <v>292</v>
      </c>
      <c r="BG368" t="s">
        <v>293</v>
      </c>
      <c r="BH368" t="s">
        <v>302</v>
      </c>
      <c r="BI368" t="s">
        <v>302</v>
      </c>
      <c r="BJ368" t="s">
        <v>359</v>
      </c>
      <c r="BK368" t="s">
        <v>293</v>
      </c>
      <c r="BL368" t="s">
        <v>293</v>
      </c>
      <c r="BM368" t="s">
        <v>296</v>
      </c>
      <c r="BN368" t="s">
        <v>356</v>
      </c>
      <c r="BO368" t="s">
        <v>293</v>
      </c>
      <c r="BP368" t="s">
        <v>292</v>
      </c>
      <c r="BQ368" t="s">
        <v>293</v>
      </c>
      <c r="BR368" t="s">
        <v>293</v>
      </c>
      <c r="BS368" t="s">
        <v>364</v>
      </c>
      <c r="BT368" t="s">
        <v>304</v>
      </c>
      <c r="BU368" t="s">
        <v>371</v>
      </c>
      <c r="BV368" t="s">
        <v>371</v>
      </c>
      <c r="BW368" t="s">
        <v>2811</v>
      </c>
      <c r="BX368" t="str">
        <f>IF(J368="win",VLOOKUP(B368,ColorScheme!$A$2:$I$32,4,0),VLOOKUP(B368,ColorScheme!$A$2:$I$32,5,0))</f>
        <v>#ff028d50</v>
      </c>
    </row>
    <row r="369" spans="1:76" x14ac:dyDescent="0.3">
      <c r="A369" t="s">
        <v>9</v>
      </c>
      <c r="B369" t="s">
        <v>56</v>
      </c>
      <c r="C369" t="s">
        <v>22</v>
      </c>
      <c r="D369" t="s">
        <v>29</v>
      </c>
      <c r="E369" t="s">
        <v>1071</v>
      </c>
      <c r="F369" t="b">
        <v>1</v>
      </c>
      <c r="G369">
        <v>63.8</v>
      </c>
      <c r="H369">
        <v>0</v>
      </c>
      <c r="I369">
        <v>15602</v>
      </c>
      <c r="J369" s="61" t="s">
        <v>13</v>
      </c>
      <c r="K369" s="16" t="s">
        <v>272</v>
      </c>
      <c r="L369" s="16">
        <v>3</v>
      </c>
      <c r="M369" s="16" t="s">
        <v>277</v>
      </c>
      <c r="N369" s="16" t="s">
        <v>335</v>
      </c>
      <c r="O369" s="15" t="s">
        <v>282</v>
      </c>
      <c r="P369" t="s">
        <v>285</v>
      </c>
      <c r="Q369" t="s">
        <v>286</v>
      </c>
      <c r="R369" s="17" t="s">
        <v>371</v>
      </c>
      <c r="S369" s="17">
        <v>0</v>
      </c>
      <c r="T369" s="17">
        <v>1</v>
      </c>
      <c r="U369" s="17">
        <v>0</v>
      </c>
      <c r="V369" s="17">
        <v>0</v>
      </c>
      <c r="W369" s="17">
        <v>0</v>
      </c>
      <c r="X369" s="17">
        <v>1</v>
      </c>
      <c r="Y369" s="17">
        <v>1</v>
      </c>
      <c r="Z369" s="17">
        <v>0</v>
      </c>
      <c r="AA369" s="17">
        <v>0</v>
      </c>
      <c r="AB369" s="17">
        <v>0</v>
      </c>
      <c r="AC369" s="17" t="s">
        <v>704</v>
      </c>
      <c r="AD369" s="16" t="s">
        <v>340</v>
      </c>
      <c r="AE369" s="16" t="s">
        <v>342</v>
      </c>
      <c r="AF369" s="15" t="s">
        <v>343</v>
      </c>
      <c r="AG369" s="15" t="s">
        <v>344</v>
      </c>
      <c r="AH369" s="17" t="s">
        <v>347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 t="s">
        <v>704</v>
      </c>
      <c r="AR369" t="s">
        <v>349</v>
      </c>
      <c r="AS369" t="s">
        <v>349</v>
      </c>
      <c r="AT369">
        <v>1</v>
      </c>
      <c r="AU369">
        <v>0</v>
      </c>
      <c r="AV369">
        <v>0</v>
      </c>
      <c r="AW369" t="s">
        <v>704</v>
      </c>
      <c r="AX369" t="s">
        <v>1314</v>
      </c>
      <c r="AY369" t="s">
        <v>293</v>
      </c>
      <c r="AZ369" t="s">
        <v>353</v>
      </c>
      <c r="BA369" t="s">
        <v>355</v>
      </c>
      <c r="BB369" t="s">
        <v>300</v>
      </c>
      <c r="BC369" t="s">
        <v>293</v>
      </c>
      <c r="BD369" t="s">
        <v>292</v>
      </c>
      <c r="BE369" t="s">
        <v>292</v>
      </c>
      <c r="BF369" t="s">
        <v>292</v>
      </c>
      <c r="BG369" t="s">
        <v>293</v>
      </c>
      <c r="BH369" t="s">
        <v>302</v>
      </c>
      <c r="BI369" t="s">
        <v>302</v>
      </c>
      <c r="BJ369" t="s">
        <v>359</v>
      </c>
      <c r="BK369" t="s">
        <v>293</v>
      </c>
      <c r="BL369" t="s">
        <v>293</v>
      </c>
      <c r="BM369" t="s">
        <v>296</v>
      </c>
      <c r="BN369" t="s">
        <v>356</v>
      </c>
      <c r="BO369" t="s">
        <v>293</v>
      </c>
      <c r="BP369" t="s">
        <v>292</v>
      </c>
      <c r="BQ369" t="s">
        <v>293</v>
      </c>
      <c r="BR369" t="s">
        <v>293</v>
      </c>
      <c r="BS369" t="s">
        <v>364</v>
      </c>
      <c r="BT369" t="s">
        <v>366</v>
      </c>
      <c r="BU369" t="s">
        <v>371</v>
      </c>
      <c r="BV369" t="s">
        <v>371</v>
      </c>
      <c r="BW369" t="s">
        <v>2812</v>
      </c>
      <c r="BX369" t="str">
        <f>IF(J369="win",VLOOKUP(B369,ColorScheme!$A$2:$I$32,4,0),VLOOKUP(B369,ColorScheme!$A$2:$I$32,5,0))</f>
        <v>#ff028d</v>
      </c>
    </row>
    <row r="370" spans="1:76" x14ac:dyDescent="0.3">
      <c r="A370" t="s">
        <v>9</v>
      </c>
      <c r="B370" t="s">
        <v>67</v>
      </c>
      <c r="C370" t="s">
        <v>15</v>
      </c>
      <c r="D370" t="s">
        <v>12</v>
      </c>
      <c r="E370" t="s">
        <v>1072</v>
      </c>
      <c r="F370" t="b">
        <v>1</v>
      </c>
      <c r="G370">
        <v>43.8</v>
      </c>
      <c r="H370">
        <v>0</v>
      </c>
      <c r="I370">
        <v>17943</v>
      </c>
      <c r="J370" s="61" t="s">
        <v>13</v>
      </c>
      <c r="K370" s="16" t="s">
        <v>272</v>
      </c>
      <c r="L370" s="16">
        <v>3</v>
      </c>
      <c r="M370" s="16" t="s">
        <v>277</v>
      </c>
      <c r="N370" s="16" t="s">
        <v>335</v>
      </c>
      <c r="O370" s="15" t="s">
        <v>283</v>
      </c>
      <c r="P370" t="s">
        <v>282</v>
      </c>
      <c r="Q370" t="s">
        <v>371</v>
      </c>
      <c r="R370" s="17" t="s">
        <v>371</v>
      </c>
      <c r="S370" s="17">
        <v>0</v>
      </c>
      <c r="T370" s="17">
        <v>1</v>
      </c>
      <c r="U370" s="17">
        <v>1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 t="s">
        <v>704</v>
      </c>
      <c r="AD370" s="16" t="s">
        <v>341</v>
      </c>
      <c r="AE370" s="16" t="s">
        <v>342</v>
      </c>
      <c r="AF370" s="15" t="s">
        <v>343</v>
      </c>
      <c r="AG370" s="15" t="s">
        <v>344</v>
      </c>
      <c r="AH370" s="17" t="s">
        <v>371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704</v>
      </c>
      <c r="AR370" t="s">
        <v>349</v>
      </c>
      <c r="AS370" t="s">
        <v>349</v>
      </c>
      <c r="AT370">
        <v>1</v>
      </c>
      <c r="AU370">
        <v>0</v>
      </c>
      <c r="AV370">
        <v>0</v>
      </c>
      <c r="AW370" t="s">
        <v>704</v>
      </c>
      <c r="AX370" t="s">
        <v>1207</v>
      </c>
      <c r="AY370" t="s">
        <v>293</v>
      </c>
      <c r="AZ370" t="s">
        <v>353</v>
      </c>
      <c r="BA370" t="s">
        <v>296</v>
      </c>
      <c r="BB370" t="s">
        <v>301</v>
      </c>
      <c r="BC370" t="s">
        <v>292</v>
      </c>
      <c r="BD370" t="s">
        <v>293</v>
      </c>
      <c r="BE370" t="s">
        <v>292</v>
      </c>
      <c r="BF370" t="s">
        <v>292</v>
      </c>
      <c r="BG370" t="s">
        <v>293</v>
      </c>
      <c r="BH370" t="s">
        <v>302</v>
      </c>
      <c r="BI370" t="s">
        <v>302</v>
      </c>
      <c r="BJ370" t="s">
        <v>359</v>
      </c>
      <c r="BK370" t="s">
        <v>293</v>
      </c>
      <c r="BL370" t="s">
        <v>293</v>
      </c>
      <c r="BM370" t="s">
        <v>296</v>
      </c>
      <c r="BN370" t="s">
        <v>298</v>
      </c>
      <c r="BO370" t="s">
        <v>293</v>
      </c>
      <c r="BP370" t="s">
        <v>292</v>
      </c>
      <c r="BQ370" t="s">
        <v>293</v>
      </c>
      <c r="BR370" t="s">
        <v>293</v>
      </c>
      <c r="BS370" t="s">
        <v>364</v>
      </c>
      <c r="BT370" t="s">
        <v>366</v>
      </c>
      <c r="BU370" t="s">
        <v>371</v>
      </c>
      <c r="BV370" t="s">
        <v>371</v>
      </c>
      <c r="BW370" t="s">
        <v>2813</v>
      </c>
      <c r="BX370" t="str">
        <f>IF(J370="win",VLOOKUP(B370,ColorScheme!$A$2:$I$32,4,0),VLOOKUP(B370,ColorScheme!$A$2:$I$32,5,0))</f>
        <v>#ffb07c</v>
      </c>
    </row>
    <row r="371" spans="1:76" x14ac:dyDescent="0.3">
      <c r="A371" t="s">
        <v>9</v>
      </c>
      <c r="B371" t="s">
        <v>67</v>
      </c>
      <c r="C371" t="s">
        <v>14</v>
      </c>
      <c r="D371" t="s">
        <v>12</v>
      </c>
      <c r="E371" t="s">
        <v>1073</v>
      </c>
      <c r="F371" t="b">
        <v>1</v>
      </c>
      <c r="G371">
        <v>85.9</v>
      </c>
      <c r="H371">
        <v>0</v>
      </c>
      <c r="I371">
        <v>16911</v>
      </c>
      <c r="J371" s="61" t="s">
        <v>13</v>
      </c>
      <c r="K371" s="16" t="s">
        <v>272</v>
      </c>
      <c r="L371" s="16">
        <v>3</v>
      </c>
      <c r="M371" s="16" t="s">
        <v>277</v>
      </c>
      <c r="N371" s="16" t="s">
        <v>335</v>
      </c>
      <c r="O371" s="15" t="s">
        <v>283</v>
      </c>
      <c r="P371" t="s">
        <v>282</v>
      </c>
      <c r="Q371" t="s">
        <v>371</v>
      </c>
      <c r="R371" s="17" t="s">
        <v>371</v>
      </c>
      <c r="S371" s="17">
        <v>0</v>
      </c>
      <c r="T371" s="17">
        <v>1</v>
      </c>
      <c r="U371" s="17">
        <v>1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 t="s">
        <v>704</v>
      </c>
      <c r="AD371" s="16" t="s">
        <v>341</v>
      </c>
      <c r="AE371" s="16" t="s">
        <v>342</v>
      </c>
      <c r="AF371" s="15" t="s">
        <v>343</v>
      </c>
      <c r="AG371" s="15" t="s">
        <v>344</v>
      </c>
      <c r="AH371" s="17" t="s">
        <v>377</v>
      </c>
      <c r="AI371">
        <v>1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704</v>
      </c>
      <c r="AR371" t="s">
        <v>349</v>
      </c>
      <c r="AS371" t="s">
        <v>349</v>
      </c>
      <c r="AT371">
        <v>1</v>
      </c>
      <c r="AU371">
        <v>0</v>
      </c>
      <c r="AV371">
        <v>0</v>
      </c>
      <c r="AW371" t="s">
        <v>704</v>
      </c>
      <c r="AX371" t="s">
        <v>1315</v>
      </c>
      <c r="AY371" t="s">
        <v>293</v>
      </c>
      <c r="AZ371" t="s">
        <v>353</v>
      </c>
      <c r="BA371" t="s">
        <v>296</v>
      </c>
      <c r="BB371" t="s">
        <v>301</v>
      </c>
      <c r="BC371" t="s">
        <v>292</v>
      </c>
      <c r="BD371" t="s">
        <v>293</v>
      </c>
      <c r="BE371" t="s">
        <v>292</v>
      </c>
      <c r="BF371" t="s">
        <v>292</v>
      </c>
      <c r="BG371" t="s">
        <v>293</v>
      </c>
      <c r="BH371" t="s">
        <v>302</v>
      </c>
      <c r="BI371" t="s">
        <v>302</v>
      </c>
      <c r="BJ371" t="s">
        <v>359</v>
      </c>
      <c r="BK371" t="s">
        <v>293</v>
      </c>
      <c r="BL371" t="s">
        <v>293</v>
      </c>
      <c r="BM371" t="s">
        <v>296</v>
      </c>
      <c r="BN371" t="s">
        <v>298</v>
      </c>
      <c r="BO371" t="s">
        <v>293</v>
      </c>
      <c r="BP371" t="s">
        <v>292</v>
      </c>
      <c r="BQ371" t="s">
        <v>293</v>
      </c>
      <c r="BR371" t="s">
        <v>293</v>
      </c>
      <c r="BS371" t="s">
        <v>364</v>
      </c>
      <c r="BT371" t="s">
        <v>366</v>
      </c>
      <c r="BU371" t="s">
        <v>371</v>
      </c>
      <c r="BV371" t="s">
        <v>371</v>
      </c>
      <c r="BW371" t="s">
        <v>2814</v>
      </c>
      <c r="BX371" t="str">
        <f>IF(J371="win",VLOOKUP(B371,ColorScheme!$A$2:$I$32,4,0),VLOOKUP(B371,ColorScheme!$A$2:$I$32,5,0))</f>
        <v>#ffb07c</v>
      </c>
    </row>
    <row r="372" spans="1:76" x14ac:dyDescent="0.3">
      <c r="A372" t="s">
        <v>9</v>
      </c>
      <c r="B372" t="s">
        <v>67</v>
      </c>
      <c r="C372" t="s">
        <v>11</v>
      </c>
      <c r="D372" t="s">
        <v>12</v>
      </c>
      <c r="E372" t="s">
        <v>1074</v>
      </c>
      <c r="F372" t="b">
        <v>1</v>
      </c>
      <c r="G372">
        <v>100</v>
      </c>
      <c r="H372">
        <v>1</v>
      </c>
      <c r="I372">
        <v>12934</v>
      </c>
      <c r="J372" s="61" t="s">
        <v>18</v>
      </c>
      <c r="K372" s="16" t="s">
        <v>272</v>
      </c>
      <c r="L372" s="16">
        <v>3</v>
      </c>
      <c r="M372" s="16" t="s">
        <v>277</v>
      </c>
      <c r="N372" s="16" t="s">
        <v>335</v>
      </c>
      <c r="O372" s="15" t="s">
        <v>283</v>
      </c>
      <c r="P372" t="s">
        <v>282</v>
      </c>
      <c r="Q372" t="s">
        <v>371</v>
      </c>
      <c r="R372" s="17" t="s">
        <v>371</v>
      </c>
      <c r="S372" s="17">
        <v>0</v>
      </c>
      <c r="T372" s="17">
        <v>1</v>
      </c>
      <c r="U372" s="17">
        <v>1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 t="s">
        <v>704</v>
      </c>
      <c r="AD372" s="16" t="s">
        <v>341</v>
      </c>
      <c r="AE372" s="16" t="s">
        <v>342</v>
      </c>
      <c r="AF372" s="15" t="s">
        <v>343</v>
      </c>
      <c r="AG372" s="15" t="s">
        <v>344</v>
      </c>
      <c r="AH372" s="17" t="s">
        <v>377</v>
      </c>
      <c r="AI372">
        <v>1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704</v>
      </c>
      <c r="AR372" t="s">
        <v>349</v>
      </c>
      <c r="AS372" t="s">
        <v>349</v>
      </c>
      <c r="AT372">
        <v>1</v>
      </c>
      <c r="AU372">
        <v>0</v>
      </c>
      <c r="AV372">
        <v>0</v>
      </c>
      <c r="AW372" t="s">
        <v>704</v>
      </c>
      <c r="AX372" t="s">
        <v>1315</v>
      </c>
      <c r="AY372" t="s">
        <v>292</v>
      </c>
      <c r="AZ372" t="s">
        <v>353</v>
      </c>
      <c r="BA372" t="s">
        <v>355</v>
      </c>
      <c r="BB372" t="s">
        <v>301</v>
      </c>
      <c r="BC372" t="s">
        <v>292</v>
      </c>
      <c r="BD372" t="s">
        <v>293</v>
      </c>
      <c r="BE372" t="s">
        <v>293</v>
      </c>
      <c r="BF372" t="s">
        <v>292</v>
      </c>
      <c r="BG372" t="s">
        <v>293</v>
      </c>
      <c r="BH372" t="s">
        <v>358</v>
      </c>
      <c r="BI372" t="s">
        <v>302</v>
      </c>
      <c r="BJ372" t="s">
        <v>302</v>
      </c>
      <c r="BK372" t="s">
        <v>293</v>
      </c>
      <c r="BL372" t="s">
        <v>293</v>
      </c>
      <c r="BM372" t="s">
        <v>296</v>
      </c>
      <c r="BN372" t="s">
        <v>298</v>
      </c>
      <c r="BO372" t="s">
        <v>293</v>
      </c>
      <c r="BP372" t="s">
        <v>292</v>
      </c>
      <c r="BQ372" t="s">
        <v>293</v>
      </c>
      <c r="BR372" t="s">
        <v>293</v>
      </c>
      <c r="BS372" t="s">
        <v>364</v>
      </c>
      <c r="BT372" t="s">
        <v>304</v>
      </c>
      <c r="BU372" t="s">
        <v>371</v>
      </c>
      <c r="BV372" t="s">
        <v>371</v>
      </c>
      <c r="BW372" t="s">
        <v>2815</v>
      </c>
      <c r="BX372" t="str">
        <f>IF(J372="win",VLOOKUP(B372,ColorScheme!$A$2:$I$32,4,0),VLOOKUP(B372,ColorScheme!$A$2:$I$32,5,0))</f>
        <v>#ffb07c50</v>
      </c>
    </row>
    <row r="373" spans="1:76" x14ac:dyDescent="0.3">
      <c r="A373" t="s">
        <v>9</v>
      </c>
      <c r="B373" t="s">
        <v>67</v>
      </c>
      <c r="C373" t="s">
        <v>19</v>
      </c>
      <c r="D373" t="s">
        <v>12</v>
      </c>
      <c r="E373" t="s">
        <v>1075</v>
      </c>
      <c r="F373" t="b">
        <v>1</v>
      </c>
      <c r="G373">
        <v>83.2</v>
      </c>
      <c r="H373">
        <v>0</v>
      </c>
      <c r="I373">
        <v>12045</v>
      </c>
      <c r="J373" s="61" t="s">
        <v>13</v>
      </c>
      <c r="K373" s="16" t="s">
        <v>272</v>
      </c>
      <c r="L373" s="16">
        <v>3</v>
      </c>
      <c r="M373" s="16" t="s">
        <v>277</v>
      </c>
      <c r="N373" s="16" t="s">
        <v>335</v>
      </c>
      <c r="O373" s="15" t="s">
        <v>283</v>
      </c>
      <c r="P373" t="s">
        <v>339</v>
      </c>
      <c r="Q373" t="s">
        <v>282</v>
      </c>
      <c r="R373" s="17" t="s">
        <v>371</v>
      </c>
      <c r="S373" s="17">
        <v>0</v>
      </c>
      <c r="T373" s="17">
        <v>1</v>
      </c>
      <c r="U373" s="17">
        <v>1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1</v>
      </c>
      <c r="AB373" s="17">
        <v>0</v>
      </c>
      <c r="AC373" s="17" t="s">
        <v>704</v>
      </c>
      <c r="AD373" s="16" t="s">
        <v>341</v>
      </c>
      <c r="AE373" s="16" t="s">
        <v>342</v>
      </c>
      <c r="AF373" s="15" t="s">
        <v>343</v>
      </c>
      <c r="AG373" s="15" t="s">
        <v>344</v>
      </c>
      <c r="AH373" s="17" t="s">
        <v>377</v>
      </c>
      <c r="AI373">
        <v>1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704</v>
      </c>
      <c r="AR373" t="s">
        <v>349</v>
      </c>
      <c r="AS373" t="s">
        <v>349</v>
      </c>
      <c r="AT373">
        <v>1</v>
      </c>
      <c r="AU373">
        <v>0</v>
      </c>
      <c r="AV373">
        <v>0</v>
      </c>
      <c r="AW373" t="s">
        <v>704</v>
      </c>
      <c r="AX373" t="s">
        <v>1316</v>
      </c>
      <c r="AY373" t="s">
        <v>292</v>
      </c>
      <c r="AZ373" t="s">
        <v>353</v>
      </c>
      <c r="BA373" t="s">
        <v>355</v>
      </c>
      <c r="BB373" t="s">
        <v>301</v>
      </c>
      <c r="BC373" t="s">
        <v>292</v>
      </c>
      <c r="BD373" t="s">
        <v>293</v>
      </c>
      <c r="BE373" t="s">
        <v>292</v>
      </c>
      <c r="BF373" t="s">
        <v>292</v>
      </c>
      <c r="BG373" t="s">
        <v>293</v>
      </c>
      <c r="BH373" t="s">
        <v>302</v>
      </c>
      <c r="BI373" t="s">
        <v>302</v>
      </c>
      <c r="BJ373" t="s">
        <v>359</v>
      </c>
      <c r="BK373" t="s">
        <v>293</v>
      </c>
      <c r="BL373" t="s">
        <v>293</v>
      </c>
      <c r="BM373" t="s">
        <v>297</v>
      </c>
      <c r="BN373" t="s">
        <v>298</v>
      </c>
      <c r="BO373" t="s">
        <v>293</v>
      </c>
      <c r="BP373" t="s">
        <v>292</v>
      </c>
      <c r="BQ373" t="s">
        <v>293</v>
      </c>
      <c r="BR373" t="s">
        <v>293</v>
      </c>
      <c r="BS373" t="s">
        <v>364</v>
      </c>
      <c r="BT373" t="s">
        <v>366</v>
      </c>
      <c r="BU373" t="s">
        <v>371</v>
      </c>
      <c r="BV373" t="s">
        <v>371</v>
      </c>
      <c r="BW373" t="s">
        <v>2816</v>
      </c>
      <c r="BX373" t="str">
        <f>IF(J373="win",VLOOKUP(B373,ColorScheme!$A$2:$I$32,4,0),VLOOKUP(B373,ColorScheme!$A$2:$I$32,5,0))</f>
        <v>#ffb07c</v>
      </c>
    </row>
    <row r="374" spans="1:76" x14ac:dyDescent="0.3">
      <c r="A374" t="s">
        <v>9</v>
      </c>
      <c r="B374" t="s">
        <v>67</v>
      </c>
      <c r="C374" t="s">
        <v>17</v>
      </c>
      <c r="D374" t="s">
        <v>12</v>
      </c>
      <c r="E374" t="s">
        <v>1076</v>
      </c>
      <c r="F374" t="b">
        <v>1</v>
      </c>
      <c r="G374">
        <v>62.3</v>
      </c>
      <c r="H374">
        <v>0</v>
      </c>
      <c r="I374">
        <v>14810</v>
      </c>
      <c r="J374" s="61" t="s">
        <v>13</v>
      </c>
      <c r="K374" s="16" t="s">
        <v>272</v>
      </c>
      <c r="L374" s="16">
        <v>3</v>
      </c>
      <c r="M374" s="16" t="s">
        <v>277</v>
      </c>
      <c r="N374" s="16" t="s">
        <v>335</v>
      </c>
      <c r="O374" s="15" t="s">
        <v>283</v>
      </c>
      <c r="P374" t="s">
        <v>282</v>
      </c>
      <c r="Q374" t="s">
        <v>371</v>
      </c>
      <c r="R374" s="17" t="s">
        <v>371</v>
      </c>
      <c r="S374" s="17">
        <v>0</v>
      </c>
      <c r="T374" s="17">
        <v>1</v>
      </c>
      <c r="U374" s="17">
        <v>1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 t="s">
        <v>704</v>
      </c>
      <c r="AD374" s="16" t="s">
        <v>341</v>
      </c>
      <c r="AE374" s="16" t="s">
        <v>342</v>
      </c>
      <c r="AF374" s="15" t="s">
        <v>343</v>
      </c>
      <c r="AG374" s="15" t="s">
        <v>344</v>
      </c>
      <c r="AH374" s="17" t="s">
        <v>371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704</v>
      </c>
      <c r="AR374" t="s">
        <v>349</v>
      </c>
      <c r="AS374" t="s">
        <v>349</v>
      </c>
      <c r="AT374">
        <v>1</v>
      </c>
      <c r="AU374">
        <v>0</v>
      </c>
      <c r="AV374">
        <v>0</v>
      </c>
      <c r="AW374" t="s">
        <v>704</v>
      </c>
      <c r="AX374" t="s">
        <v>1207</v>
      </c>
      <c r="AY374" t="s">
        <v>293</v>
      </c>
      <c r="AZ374" t="s">
        <v>353</v>
      </c>
      <c r="BA374" t="s">
        <v>355</v>
      </c>
      <c r="BB374" t="s">
        <v>301</v>
      </c>
      <c r="BC374" t="s">
        <v>292</v>
      </c>
      <c r="BD374" t="s">
        <v>293</v>
      </c>
      <c r="BE374" t="s">
        <v>292</v>
      </c>
      <c r="BF374" t="s">
        <v>292</v>
      </c>
      <c r="BG374" t="s">
        <v>293</v>
      </c>
      <c r="BH374" t="s">
        <v>302</v>
      </c>
      <c r="BI374" t="s">
        <v>302</v>
      </c>
      <c r="BJ374" t="s">
        <v>359</v>
      </c>
      <c r="BK374" t="s">
        <v>293</v>
      </c>
      <c r="BL374" t="s">
        <v>293</v>
      </c>
      <c r="BM374" t="s">
        <v>297</v>
      </c>
      <c r="BN374" t="s">
        <v>298</v>
      </c>
      <c r="BO374" t="s">
        <v>293</v>
      </c>
      <c r="BP374" t="s">
        <v>292</v>
      </c>
      <c r="BQ374" t="s">
        <v>293</v>
      </c>
      <c r="BR374" t="s">
        <v>293</v>
      </c>
      <c r="BS374" t="s">
        <v>364</v>
      </c>
      <c r="BT374" t="s">
        <v>366</v>
      </c>
      <c r="BU374" t="s">
        <v>371</v>
      </c>
      <c r="BV374" t="s">
        <v>371</v>
      </c>
      <c r="BW374" t="s">
        <v>2817</v>
      </c>
      <c r="BX374" t="str">
        <f>IF(J374="win",VLOOKUP(B374,ColorScheme!$A$2:$I$32,4,0),VLOOKUP(B374,ColorScheme!$A$2:$I$32,5,0))</f>
        <v>#ffb07c</v>
      </c>
    </row>
    <row r="375" spans="1:76" x14ac:dyDescent="0.3">
      <c r="A375" t="s">
        <v>9</v>
      </c>
      <c r="B375" t="s">
        <v>67</v>
      </c>
      <c r="C375" t="s">
        <v>16</v>
      </c>
      <c r="D375" t="s">
        <v>12</v>
      </c>
      <c r="E375" t="s">
        <v>1077</v>
      </c>
      <c r="F375" t="b">
        <v>1</v>
      </c>
      <c r="G375">
        <v>44.5</v>
      </c>
      <c r="H375">
        <v>0</v>
      </c>
      <c r="I375">
        <v>16540</v>
      </c>
      <c r="J375" s="61" t="s">
        <v>13</v>
      </c>
      <c r="K375" s="16" t="s">
        <v>272</v>
      </c>
      <c r="L375" s="16">
        <v>3</v>
      </c>
      <c r="M375" s="16" t="s">
        <v>277</v>
      </c>
      <c r="N375" s="16" t="s">
        <v>335</v>
      </c>
      <c r="O375" s="15" t="s">
        <v>283</v>
      </c>
      <c r="P375" t="s">
        <v>282</v>
      </c>
      <c r="Q375" t="s">
        <v>371</v>
      </c>
      <c r="R375" s="17" t="s">
        <v>371</v>
      </c>
      <c r="S375" s="17">
        <v>0</v>
      </c>
      <c r="T375" s="17">
        <v>1</v>
      </c>
      <c r="U375" s="17">
        <v>1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 t="s">
        <v>704</v>
      </c>
      <c r="AD375" s="16" t="s">
        <v>341</v>
      </c>
      <c r="AE375" s="16" t="s">
        <v>342</v>
      </c>
      <c r="AF375" s="15" t="s">
        <v>343</v>
      </c>
      <c r="AG375" s="15" t="s">
        <v>344</v>
      </c>
      <c r="AH375" s="17" t="s">
        <v>371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704</v>
      </c>
      <c r="AR375" t="s">
        <v>349</v>
      </c>
      <c r="AS375" t="s">
        <v>349</v>
      </c>
      <c r="AT375">
        <v>1</v>
      </c>
      <c r="AU375">
        <v>0</v>
      </c>
      <c r="AV375">
        <v>0</v>
      </c>
      <c r="AW375" t="s">
        <v>704</v>
      </c>
      <c r="AX375" t="s">
        <v>1207</v>
      </c>
      <c r="AY375" t="s">
        <v>293</v>
      </c>
      <c r="AZ375" t="s">
        <v>353</v>
      </c>
      <c r="BA375" t="s">
        <v>355</v>
      </c>
      <c r="BB375" t="s">
        <v>301</v>
      </c>
      <c r="BC375" t="s">
        <v>292</v>
      </c>
      <c r="BD375" t="s">
        <v>293</v>
      </c>
      <c r="BE375" t="s">
        <v>292</v>
      </c>
      <c r="BF375" t="s">
        <v>292</v>
      </c>
      <c r="BG375" t="s">
        <v>293</v>
      </c>
      <c r="BH375" t="s">
        <v>302</v>
      </c>
      <c r="BI375" t="s">
        <v>302</v>
      </c>
      <c r="BJ375" t="s">
        <v>359</v>
      </c>
      <c r="BK375" t="s">
        <v>293</v>
      </c>
      <c r="BL375" t="s">
        <v>293</v>
      </c>
      <c r="BM375" t="s">
        <v>297</v>
      </c>
      <c r="BN375" t="s">
        <v>298</v>
      </c>
      <c r="BO375" t="s">
        <v>293</v>
      </c>
      <c r="BP375" t="s">
        <v>292</v>
      </c>
      <c r="BQ375" t="s">
        <v>293</v>
      </c>
      <c r="BR375" t="s">
        <v>293</v>
      </c>
      <c r="BS375" t="s">
        <v>364</v>
      </c>
      <c r="BT375" t="s">
        <v>366</v>
      </c>
      <c r="BU375" t="s">
        <v>371</v>
      </c>
      <c r="BV375" t="s">
        <v>371</v>
      </c>
      <c r="BW375" t="s">
        <v>2818</v>
      </c>
      <c r="BX375" t="str">
        <f>IF(J375="win",VLOOKUP(B375,ColorScheme!$A$2:$I$32,4,0),VLOOKUP(B375,ColorScheme!$A$2:$I$32,5,0))</f>
        <v>#ffb07c</v>
      </c>
    </row>
    <row r="376" spans="1:76" x14ac:dyDescent="0.3">
      <c r="A376" t="s">
        <v>9</v>
      </c>
      <c r="B376" t="s">
        <v>67</v>
      </c>
      <c r="C376" t="s">
        <v>23</v>
      </c>
      <c r="D376" t="s">
        <v>29</v>
      </c>
      <c r="E376" t="s">
        <v>1078</v>
      </c>
      <c r="F376" t="b">
        <v>1</v>
      </c>
      <c r="G376">
        <v>47.8</v>
      </c>
      <c r="H376">
        <v>0</v>
      </c>
      <c r="I376">
        <v>15375</v>
      </c>
      <c r="J376" s="61" t="s">
        <v>13</v>
      </c>
      <c r="K376" s="16" t="s">
        <v>272</v>
      </c>
      <c r="L376" s="16">
        <v>3</v>
      </c>
      <c r="M376" s="16" t="s">
        <v>277</v>
      </c>
      <c r="N376" s="16" t="s">
        <v>335</v>
      </c>
      <c r="O376" s="15" t="s">
        <v>282</v>
      </c>
      <c r="P376" t="s">
        <v>371</v>
      </c>
      <c r="Q376" t="s">
        <v>371</v>
      </c>
      <c r="R376" s="17" t="s">
        <v>371</v>
      </c>
      <c r="S376" s="17">
        <v>0</v>
      </c>
      <c r="T376" s="17">
        <v>1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 t="s">
        <v>704</v>
      </c>
      <c r="AD376" s="16" t="s">
        <v>341</v>
      </c>
      <c r="AE376" s="16" t="s">
        <v>340</v>
      </c>
      <c r="AF376" s="15" t="s">
        <v>343</v>
      </c>
      <c r="AG376" s="15" t="s">
        <v>345</v>
      </c>
      <c r="AH376" s="17" t="s">
        <v>371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704</v>
      </c>
      <c r="AR376" t="s">
        <v>349</v>
      </c>
      <c r="AS376" t="s">
        <v>349</v>
      </c>
      <c r="AT376">
        <v>1</v>
      </c>
      <c r="AU376">
        <v>0</v>
      </c>
      <c r="AV376">
        <v>0</v>
      </c>
      <c r="AW376" t="s">
        <v>704</v>
      </c>
      <c r="AX376" t="s">
        <v>1232</v>
      </c>
      <c r="AY376" t="s">
        <v>293</v>
      </c>
      <c r="AZ376" t="s">
        <v>353</v>
      </c>
      <c r="BA376" t="s">
        <v>296</v>
      </c>
      <c r="BB376" t="s">
        <v>301</v>
      </c>
      <c r="BC376" t="s">
        <v>292</v>
      </c>
      <c r="BD376" t="s">
        <v>293</v>
      </c>
      <c r="BE376" t="s">
        <v>292</v>
      </c>
      <c r="BF376" t="s">
        <v>292</v>
      </c>
      <c r="BG376" t="s">
        <v>293</v>
      </c>
      <c r="BH376" t="s">
        <v>302</v>
      </c>
      <c r="BI376" t="s">
        <v>302</v>
      </c>
      <c r="BJ376" t="s">
        <v>359</v>
      </c>
      <c r="BK376" t="s">
        <v>293</v>
      </c>
      <c r="BL376" t="s">
        <v>293</v>
      </c>
      <c r="BM376" t="s">
        <v>297</v>
      </c>
      <c r="BN376" t="s">
        <v>298</v>
      </c>
      <c r="BO376" t="s">
        <v>293</v>
      </c>
      <c r="BP376" t="s">
        <v>292</v>
      </c>
      <c r="BQ376" t="s">
        <v>293</v>
      </c>
      <c r="BR376" t="s">
        <v>293</v>
      </c>
      <c r="BS376" t="s">
        <v>364</v>
      </c>
      <c r="BT376" t="s">
        <v>366</v>
      </c>
      <c r="BU376" t="s">
        <v>371</v>
      </c>
      <c r="BV376" t="s">
        <v>371</v>
      </c>
      <c r="BW376" t="s">
        <v>2819</v>
      </c>
      <c r="BX376" t="str">
        <f>IF(J376="win",VLOOKUP(B376,ColorScheme!$A$2:$I$32,4,0),VLOOKUP(B376,ColorScheme!$A$2:$I$32,5,0))</f>
        <v>#ffb07c</v>
      </c>
    </row>
    <row r="377" spans="1:76" x14ac:dyDescent="0.3">
      <c r="A377" t="s">
        <v>9</v>
      </c>
      <c r="B377" t="s">
        <v>67</v>
      </c>
      <c r="C377" t="s">
        <v>25</v>
      </c>
      <c r="D377" t="s">
        <v>29</v>
      </c>
      <c r="E377" t="s">
        <v>1079</v>
      </c>
      <c r="F377" t="b">
        <v>1</v>
      </c>
      <c r="G377">
        <v>56.6</v>
      </c>
      <c r="H377">
        <v>0</v>
      </c>
      <c r="I377">
        <v>11010</v>
      </c>
      <c r="J377" s="61" t="s">
        <v>13</v>
      </c>
      <c r="K377" s="16" t="s">
        <v>272</v>
      </c>
      <c r="L377" s="16">
        <v>3</v>
      </c>
      <c r="M377" s="16" t="s">
        <v>277</v>
      </c>
      <c r="N377" s="16" t="s">
        <v>335</v>
      </c>
      <c r="O377" s="15" t="s">
        <v>282</v>
      </c>
      <c r="P377" t="s">
        <v>371</v>
      </c>
      <c r="Q377" t="s">
        <v>371</v>
      </c>
      <c r="R377" s="17" t="s">
        <v>371</v>
      </c>
      <c r="S377" s="17">
        <v>0</v>
      </c>
      <c r="T377" s="17">
        <v>1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 t="s">
        <v>704</v>
      </c>
      <c r="AD377" s="16" t="s">
        <v>341</v>
      </c>
      <c r="AE377" s="16" t="s">
        <v>340</v>
      </c>
      <c r="AF377" s="15" t="s">
        <v>343</v>
      </c>
      <c r="AG377" s="15" t="s">
        <v>345</v>
      </c>
      <c r="AH377" s="17" t="s">
        <v>371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704</v>
      </c>
      <c r="AR377" t="s">
        <v>349</v>
      </c>
      <c r="AS377" t="s">
        <v>349</v>
      </c>
      <c r="AT377">
        <v>1</v>
      </c>
      <c r="AU377">
        <v>0</v>
      </c>
      <c r="AV377">
        <v>0</v>
      </c>
      <c r="AW377" t="s">
        <v>704</v>
      </c>
      <c r="AX377" t="s">
        <v>1232</v>
      </c>
      <c r="AY377" t="s">
        <v>293</v>
      </c>
      <c r="AZ377" t="s">
        <v>352</v>
      </c>
      <c r="BA377" t="s">
        <v>296</v>
      </c>
      <c r="BB377" t="s">
        <v>301</v>
      </c>
      <c r="BC377" t="s">
        <v>292</v>
      </c>
      <c r="BD377" t="s">
        <v>293</v>
      </c>
      <c r="BE377" t="s">
        <v>292</v>
      </c>
      <c r="BF377" t="s">
        <v>292</v>
      </c>
      <c r="BG377" t="s">
        <v>293</v>
      </c>
      <c r="BH377" t="s">
        <v>302</v>
      </c>
      <c r="BI377" t="s">
        <v>302</v>
      </c>
      <c r="BJ377" t="s">
        <v>359</v>
      </c>
      <c r="BK377" t="s">
        <v>293</v>
      </c>
      <c r="BL377" t="s">
        <v>293</v>
      </c>
      <c r="BM377" t="s">
        <v>297</v>
      </c>
      <c r="BN377" t="s">
        <v>298</v>
      </c>
      <c r="BO377" t="s">
        <v>293</v>
      </c>
      <c r="BP377" t="s">
        <v>292</v>
      </c>
      <c r="BQ377" t="s">
        <v>293</v>
      </c>
      <c r="BR377" t="s">
        <v>293</v>
      </c>
      <c r="BS377" t="s">
        <v>364</v>
      </c>
      <c r="BT377" t="s">
        <v>366</v>
      </c>
      <c r="BU377" t="s">
        <v>371</v>
      </c>
      <c r="BV377" t="s">
        <v>371</v>
      </c>
      <c r="BW377" t="s">
        <v>2820</v>
      </c>
      <c r="BX377" t="str">
        <f>IF(J377="win",VLOOKUP(B377,ColorScheme!$A$2:$I$32,4,0),VLOOKUP(B377,ColorScheme!$A$2:$I$32,5,0))</f>
        <v>#ffb07c</v>
      </c>
    </row>
    <row r="378" spans="1:76" x14ac:dyDescent="0.3">
      <c r="A378" t="s">
        <v>9</v>
      </c>
      <c r="B378" t="s">
        <v>67</v>
      </c>
      <c r="C378" t="s">
        <v>24</v>
      </c>
      <c r="D378" t="s">
        <v>29</v>
      </c>
      <c r="E378" t="s">
        <v>1080</v>
      </c>
      <c r="F378" t="b">
        <v>1</v>
      </c>
      <c r="G378">
        <v>53.1</v>
      </c>
      <c r="H378">
        <v>0</v>
      </c>
      <c r="I378">
        <v>12173</v>
      </c>
      <c r="J378" s="61" t="s">
        <v>13</v>
      </c>
      <c r="K378" s="16" t="s">
        <v>272</v>
      </c>
      <c r="L378" s="16">
        <v>3</v>
      </c>
      <c r="M378" s="16" t="s">
        <v>277</v>
      </c>
      <c r="N378" s="16" t="s">
        <v>335</v>
      </c>
      <c r="O378" s="15" t="s">
        <v>282</v>
      </c>
      <c r="P378" t="s">
        <v>371</v>
      </c>
      <c r="Q378" t="s">
        <v>371</v>
      </c>
      <c r="R378" s="17" t="s">
        <v>371</v>
      </c>
      <c r="S378" s="17">
        <v>0</v>
      </c>
      <c r="T378" s="17">
        <v>1</v>
      </c>
      <c r="U378" s="17">
        <v>0</v>
      </c>
      <c r="V378" s="17">
        <v>0</v>
      </c>
      <c r="W378" s="17">
        <v>0</v>
      </c>
      <c r="X378" s="17">
        <v>0</v>
      </c>
      <c r="Y378" s="17">
        <v>0</v>
      </c>
      <c r="Z378" s="17">
        <v>0</v>
      </c>
      <c r="AA378" s="17">
        <v>0</v>
      </c>
      <c r="AB378" s="17">
        <v>0</v>
      </c>
      <c r="AC378" s="17" t="s">
        <v>704</v>
      </c>
      <c r="AD378" s="16" t="s">
        <v>341</v>
      </c>
      <c r="AE378" s="16" t="s">
        <v>340</v>
      </c>
      <c r="AF378" s="15" t="s">
        <v>343</v>
      </c>
      <c r="AG378" s="15" t="s">
        <v>345</v>
      </c>
      <c r="AH378" s="17" t="s">
        <v>371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704</v>
      </c>
      <c r="AR378" t="s">
        <v>349</v>
      </c>
      <c r="AS378" t="s">
        <v>349</v>
      </c>
      <c r="AT378">
        <v>1</v>
      </c>
      <c r="AU378">
        <v>0</v>
      </c>
      <c r="AV378">
        <v>0</v>
      </c>
      <c r="AW378" t="s">
        <v>704</v>
      </c>
      <c r="AX378" t="s">
        <v>1232</v>
      </c>
      <c r="AY378" t="s">
        <v>293</v>
      </c>
      <c r="AZ378" t="s">
        <v>352</v>
      </c>
      <c r="BA378" t="s">
        <v>296</v>
      </c>
      <c r="BB378" t="s">
        <v>301</v>
      </c>
      <c r="BC378" t="s">
        <v>292</v>
      </c>
      <c r="BD378" t="s">
        <v>293</v>
      </c>
      <c r="BE378" t="s">
        <v>292</v>
      </c>
      <c r="BF378" t="s">
        <v>292</v>
      </c>
      <c r="BG378" t="s">
        <v>293</v>
      </c>
      <c r="BH378" t="s">
        <v>302</v>
      </c>
      <c r="BI378" t="s">
        <v>302</v>
      </c>
      <c r="BJ378" t="s">
        <v>359</v>
      </c>
      <c r="BK378" t="s">
        <v>293</v>
      </c>
      <c r="BL378" t="s">
        <v>293</v>
      </c>
      <c r="BM378" t="s">
        <v>297</v>
      </c>
      <c r="BN378" t="s">
        <v>298</v>
      </c>
      <c r="BO378" t="s">
        <v>293</v>
      </c>
      <c r="BP378" t="s">
        <v>292</v>
      </c>
      <c r="BQ378" t="s">
        <v>293</v>
      </c>
      <c r="BR378" t="s">
        <v>293</v>
      </c>
      <c r="BS378" t="s">
        <v>364</v>
      </c>
      <c r="BT378" t="s">
        <v>366</v>
      </c>
      <c r="BU378" t="s">
        <v>371</v>
      </c>
      <c r="BV378" t="s">
        <v>371</v>
      </c>
      <c r="BW378" t="s">
        <v>2821</v>
      </c>
      <c r="BX378" t="str">
        <f>IF(J378="win",VLOOKUP(B378,ColorScheme!$A$2:$I$32,4,0),VLOOKUP(B378,ColorScheme!$A$2:$I$32,5,0))</f>
        <v>#ffb07c</v>
      </c>
    </row>
    <row r="379" spans="1:76" x14ac:dyDescent="0.3">
      <c r="A379" t="s">
        <v>9</v>
      </c>
      <c r="B379" t="s">
        <v>67</v>
      </c>
      <c r="C379" t="s">
        <v>21</v>
      </c>
      <c r="D379" t="s">
        <v>29</v>
      </c>
      <c r="E379" t="s">
        <v>1081</v>
      </c>
      <c r="F379" t="b">
        <v>1</v>
      </c>
      <c r="G379">
        <v>100</v>
      </c>
      <c r="H379">
        <v>1</v>
      </c>
      <c r="I379">
        <v>10549</v>
      </c>
      <c r="J379" s="61" t="s">
        <v>18</v>
      </c>
      <c r="K379" s="16" t="s">
        <v>272</v>
      </c>
      <c r="L379" s="16">
        <v>2</v>
      </c>
      <c r="M379" s="16" t="s">
        <v>277</v>
      </c>
      <c r="N379" s="16" t="s">
        <v>335</v>
      </c>
      <c r="O379" s="15" t="s">
        <v>282</v>
      </c>
      <c r="P379" t="s">
        <v>371</v>
      </c>
      <c r="Q379" t="s">
        <v>371</v>
      </c>
      <c r="R379" s="17" t="s">
        <v>371</v>
      </c>
      <c r="S379" s="17">
        <v>0</v>
      </c>
      <c r="T379" s="17">
        <v>1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 t="s">
        <v>704</v>
      </c>
      <c r="AD379" s="16" t="s">
        <v>341</v>
      </c>
      <c r="AE379" s="16" t="s">
        <v>340</v>
      </c>
      <c r="AF379" s="15" t="s">
        <v>340</v>
      </c>
      <c r="AG379" s="15" t="s">
        <v>345</v>
      </c>
      <c r="AH379" s="17" t="s">
        <v>371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704</v>
      </c>
      <c r="AR379" t="s">
        <v>349</v>
      </c>
      <c r="AS379" t="s">
        <v>349</v>
      </c>
      <c r="AT379">
        <v>1</v>
      </c>
      <c r="AU379">
        <v>0</v>
      </c>
      <c r="AV379">
        <v>0</v>
      </c>
      <c r="AW379" t="s">
        <v>704</v>
      </c>
      <c r="AX379" t="s">
        <v>1232</v>
      </c>
      <c r="AY379" t="s">
        <v>293</v>
      </c>
      <c r="AZ379" t="s">
        <v>354</v>
      </c>
      <c r="BA379" t="s">
        <v>354</v>
      </c>
      <c r="BB379" t="s">
        <v>301</v>
      </c>
      <c r="BC379" t="s">
        <v>292</v>
      </c>
      <c r="BD379" t="s">
        <v>293</v>
      </c>
      <c r="BE379" t="s">
        <v>292</v>
      </c>
      <c r="BF379" t="s">
        <v>292</v>
      </c>
      <c r="BG379" t="s">
        <v>293</v>
      </c>
      <c r="BH379" t="s">
        <v>302</v>
      </c>
      <c r="BI379" t="s">
        <v>302</v>
      </c>
      <c r="BJ379" t="s">
        <v>357</v>
      </c>
      <c r="BK379" t="s">
        <v>293</v>
      </c>
      <c r="BL379" t="s">
        <v>293</v>
      </c>
      <c r="BM379" t="s">
        <v>297</v>
      </c>
      <c r="BN379" t="s">
        <v>298</v>
      </c>
      <c r="BO379" t="s">
        <v>293</v>
      </c>
      <c r="BP379" t="s">
        <v>292</v>
      </c>
      <c r="BQ379" t="s">
        <v>293</v>
      </c>
      <c r="BR379" t="s">
        <v>293</v>
      </c>
      <c r="BS379" t="s">
        <v>364</v>
      </c>
      <c r="BT379" t="s">
        <v>304</v>
      </c>
      <c r="BU379" t="s">
        <v>371</v>
      </c>
      <c r="BV379" t="s">
        <v>371</v>
      </c>
      <c r="BW379" t="s">
        <v>2822</v>
      </c>
      <c r="BX379" t="str">
        <f>IF(J379="win",VLOOKUP(B379,ColorScheme!$A$2:$I$32,4,0),VLOOKUP(B379,ColorScheme!$A$2:$I$32,5,0))</f>
        <v>#ffb07c50</v>
      </c>
    </row>
    <row r="380" spans="1:76" x14ac:dyDescent="0.3">
      <c r="A380" t="s">
        <v>9</v>
      </c>
      <c r="B380" t="s">
        <v>67</v>
      </c>
      <c r="C380" t="s">
        <v>30</v>
      </c>
      <c r="D380" t="s">
        <v>29</v>
      </c>
      <c r="E380" t="s">
        <v>1082</v>
      </c>
      <c r="F380" t="b">
        <v>1</v>
      </c>
      <c r="G380">
        <v>100</v>
      </c>
      <c r="H380">
        <v>1</v>
      </c>
      <c r="I380">
        <v>13633</v>
      </c>
      <c r="J380" s="61" t="s">
        <v>18</v>
      </c>
      <c r="K380" s="16" t="s">
        <v>272</v>
      </c>
      <c r="L380" s="16">
        <v>3</v>
      </c>
      <c r="M380" s="16" t="s">
        <v>277</v>
      </c>
      <c r="N380" s="16" t="s">
        <v>335</v>
      </c>
      <c r="O380" s="15" t="s">
        <v>282</v>
      </c>
      <c r="P380" t="s">
        <v>371</v>
      </c>
      <c r="Q380" t="s">
        <v>371</v>
      </c>
      <c r="R380" s="17" t="s">
        <v>371</v>
      </c>
      <c r="S380" s="17">
        <v>0</v>
      </c>
      <c r="T380" s="17">
        <v>1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 t="s">
        <v>704</v>
      </c>
      <c r="AD380" s="16" t="s">
        <v>341</v>
      </c>
      <c r="AE380" s="16" t="s">
        <v>342</v>
      </c>
      <c r="AF380" s="15" t="s">
        <v>343</v>
      </c>
      <c r="AG380" s="15" t="s">
        <v>344</v>
      </c>
      <c r="AH380" s="17" t="s">
        <v>371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704</v>
      </c>
      <c r="AR380" t="s">
        <v>349</v>
      </c>
      <c r="AS380" t="s">
        <v>349</v>
      </c>
      <c r="AT380">
        <v>1</v>
      </c>
      <c r="AU380">
        <v>0</v>
      </c>
      <c r="AV380">
        <v>0</v>
      </c>
      <c r="AW380" t="s">
        <v>704</v>
      </c>
      <c r="AX380" t="s">
        <v>1208</v>
      </c>
      <c r="AY380" t="s">
        <v>293</v>
      </c>
      <c r="AZ380" t="s">
        <v>353</v>
      </c>
      <c r="BA380" t="s">
        <v>296</v>
      </c>
      <c r="BB380" t="s">
        <v>301</v>
      </c>
      <c r="BC380" t="s">
        <v>292</v>
      </c>
      <c r="BD380" t="s">
        <v>293</v>
      </c>
      <c r="BE380" t="s">
        <v>292</v>
      </c>
      <c r="BF380" t="s">
        <v>292</v>
      </c>
      <c r="BG380" t="s">
        <v>293</v>
      </c>
      <c r="BH380" t="s">
        <v>302</v>
      </c>
      <c r="BI380" t="s">
        <v>302</v>
      </c>
      <c r="BJ380" t="s">
        <v>359</v>
      </c>
      <c r="BK380" t="s">
        <v>293</v>
      </c>
      <c r="BL380" t="s">
        <v>293</v>
      </c>
      <c r="BM380" t="s">
        <v>297</v>
      </c>
      <c r="BN380" t="s">
        <v>298</v>
      </c>
      <c r="BO380" t="s">
        <v>293</v>
      </c>
      <c r="BP380" t="s">
        <v>292</v>
      </c>
      <c r="BQ380" t="s">
        <v>293</v>
      </c>
      <c r="BR380" t="s">
        <v>293</v>
      </c>
      <c r="BS380" t="s">
        <v>364</v>
      </c>
      <c r="BT380" t="s">
        <v>304</v>
      </c>
      <c r="BU380" t="s">
        <v>371</v>
      </c>
      <c r="BV380" t="s">
        <v>371</v>
      </c>
      <c r="BW380" t="s">
        <v>2823</v>
      </c>
      <c r="BX380" t="str">
        <f>IF(J380="win",VLOOKUP(B380,ColorScheme!$A$2:$I$32,4,0),VLOOKUP(B380,ColorScheme!$A$2:$I$32,5,0))</f>
        <v>#ffb07c50</v>
      </c>
    </row>
    <row r="381" spans="1:76" x14ac:dyDescent="0.3">
      <c r="A381" t="s">
        <v>9</v>
      </c>
      <c r="B381" t="s">
        <v>67</v>
      </c>
      <c r="C381" t="s">
        <v>20</v>
      </c>
      <c r="D381" t="s">
        <v>29</v>
      </c>
      <c r="E381" t="s">
        <v>1083</v>
      </c>
      <c r="F381" t="b">
        <v>1</v>
      </c>
      <c r="G381">
        <v>100</v>
      </c>
      <c r="H381">
        <v>1</v>
      </c>
      <c r="I381">
        <v>9742</v>
      </c>
      <c r="J381" s="61" t="s">
        <v>18</v>
      </c>
      <c r="K381" s="16" t="s">
        <v>272</v>
      </c>
      <c r="L381" s="16">
        <v>2</v>
      </c>
      <c r="M381" s="16" t="s">
        <v>277</v>
      </c>
      <c r="N381" s="16" t="s">
        <v>335</v>
      </c>
      <c r="O381" s="15" t="s">
        <v>282</v>
      </c>
      <c r="P381" t="s">
        <v>371</v>
      </c>
      <c r="Q381" t="s">
        <v>371</v>
      </c>
      <c r="R381" s="17" t="s">
        <v>371</v>
      </c>
      <c r="S381" s="17">
        <v>0</v>
      </c>
      <c r="T381" s="17">
        <v>1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 t="s">
        <v>704</v>
      </c>
      <c r="AD381" s="16" t="s">
        <v>341</v>
      </c>
      <c r="AE381" s="16" t="s">
        <v>340</v>
      </c>
      <c r="AF381" s="15" t="s">
        <v>340</v>
      </c>
      <c r="AG381" s="15" t="s">
        <v>345</v>
      </c>
      <c r="AH381" s="17" t="s">
        <v>371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704</v>
      </c>
      <c r="AR381" t="s">
        <v>349</v>
      </c>
      <c r="AS381" t="s">
        <v>349</v>
      </c>
      <c r="AT381">
        <v>1</v>
      </c>
      <c r="AU381">
        <v>0</v>
      </c>
      <c r="AV381">
        <v>0</v>
      </c>
      <c r="AW381" t="s">
        <v>704</v>
      </c>
      <c r="AX381" t="s">
        <v>1232</v>
      </c>
      <c r="AY381" t="s">
        <v>293</v>
      </c>
      <c r="AZ381" t="s">
        <v>354</v>
      </c>
      <c r="BA381" t="s">
        <v>354</v>
      </c>
      <c r="BB381" t="s">
        <v>301</v>
      </c>
      <c r="BC381" t="s">
        <v>292</v>
      </c>
      <c r="BD381" t="s">
        <v>293</v>
      </c>
      <c r="BE381" t="s">
        <v>292</v>
      </c>
      <c r="BF381" t="s">
        <v>293</v>
      </c>
      <c r="BG381" t="s">
        <v>293</v>
      </c>
      <c r="BH381" t="s">
        <v>302</v>
      </c>
      <c r="BI381" t="s">
        <v>302</v>
      </c>
      <c r="BJ381" t="s">
        <v>357</v>
      </c>
      <c r="BK381" t="s">
        <v>293</v>
      </c>
      <c r="BL381" t="s">
        <v>293</v>
      </c>
      <c r="BM381" t="s">
        <v>297</v>
      </c>
      <c r="BN381" t="s">
        <v>298</v>
      </c>
      <c r="BO381" t="s">
        <v>293</v>
      </c>
      <c r="BP381" t="s">
        <v>292</v>
      </c>
      <c r="BQ381" t="s">
        <v>293</v>
      </c>
      <c r="BR381" t="s">
        <v>293</v>
      </c>
      <c r="BS381" t="s">
        <v>364</v>
      </c>
      <c r="BT381" t="s">
        <v>304</v>
      </c>
      <c r="BU381" t="s">
        <v>371</v>
      </c>
      <c r="BV381" t="s">
        <v>371</v>
      </c>
      <c r="BW381" t="s">
        <v>2824</v>
      </c>
      <c r="BX381" t="str">
        <f>IF(J381="win",VLOOKUP(B381,ColorScheme!$A$2:$I$32,4,0),VLOOKUP(B381,ColorScheme!$A$2:$I$32,5,0))</f>
        <v>#ffb07c50</v>
      </c>
    </row>
    <row r="382" spans="1:76" x14ac:dyDescent="0.3">
      <c r="A382" t="s">
        <v>9</v>
      </c>
      <c r="B382" t="s">
        <v>67</v>
      </c>
      <c r="C382" t="s">
        <v>26</v>
      </c>
      <c r="D382" t="s">
        <v>29</v>
      </c>
      <c r="E382" t="s">
        <v>1084</v>
      </c>
      <c r="F382" t="b">
        <v>1</v>
      </c>
      <c r="G382">
        <v>100</v>
      </c>
      <c r="H382">
        <v>1</v>
      </c>
      <c r="I382">
        <v>9899</v>
      </c>
      <c r="J382" s="61" t="s">
        <v>18</v>
      </c>
      <c r="K382" s="16" t="s">
        <v>272</v>
      </c>
      <c r="L382" s="16">
        <v>3</v>
      </c>
      <c r="M382" s="16" t="s">
        <v>277</v>
      </c>
      <c r="N382" s="16" t="s">
        <v>335</v>
      </c>
      <c r="O382" s="15" t="s">
        <v>282</v>
      </c>
      <c r="P382" t="s">
        <v>371</v>
      </c>
      <c r="Q382" t="s">
        <v>371</v>
      </c>
      <c r="R382" s="17" t="s">
        <v>371</v>
      </c>
      <c r="S382" s="17">
        <v>0</v>
      </c>
      <c r="T382" s="17">
        <v>1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 t="s">
        <v>704</v>
      </c>
      <c r="AD382" s="16" t="s">
        <v>341</v>
      </c>
      <c r="AE382" s="16" t="s">
        <v>340</v>
      </c>
      <c r="AF382" s="15" t="s">
        <v>343</v>
      </c>
      <c r="AG382" s="15" t="s">
        <v>344</v>
      </c>
      <c r="AH382" s="17" t="s">
        <v>371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704</v>
      </c>
      <c r="AR382" t="s">
        <v>349</v>
      </c>
      <c r="AS382" t="s">
        <v>349</v>
      </c>
      <c r="AT382">
        <v>1</v>
      </c>
      <c r="AU382">
        <v>0</v>
      </c>
      <c r="AV382">
        <v>0</v>
      </c>
      <c r="AW382" t="s">
        <v>704</v>
      </c>
      <c r="AX382" t="s">
        <v>1208</v>
      </c>
      <c r="AY382" t="s">
        <v>293</v>
      </c>
      <c r="AZ382" t="s">
        <v>353</v>
      </c>
      <c r="BA382" t="s">
        <v>296</v>
      </c>
      <c r="BB382" t="s">
        <v>301</v>
      </c>
      <c r="BC382" t="s">
        <v>292</v>
      </c>
      <c r="BD382" t="s">
        <v>293</v>
      </c>
      <c r="BE382" t="s">
        <v>292</v>
      </c>
      <c r="BF382" t="s">
        <v>292</v>
      </c>
      <c r="BG382" t="s">
        <v>293</v>
      </c>
      <c r="BH382" t="s">
        <v>358</v>
      </c>
      <c r="BI382" t="s">
        <v>358</v>
      </c>
      <c r="BJ382" t="s">
        <v>359</v>
      </c>
      <c r="BK382" t="s">
        <v>293</v>
      </c>
      <c r="BL382" t="s">
        <v>293</v>
      </c>
      <c r="BM382" t="s">
        <v>296</v>
      </c>
      <c r="BN382" t="s">
        <v>298</v>
      </c>
      <c r="BO382" t="s">
        <v>293</v>
      </c>
      <c r="BP382" t="s">
        <v>292</v>
      </c>
      <c r="BQ382" t="s">
        <v>293</v>
      </c>
      <c r="BR382" t="s">
        <v>293</v>
      </c>
      <c r="BS382" t="s">
        <v>364</v>
      </c>
      <c r="BT382" t="s">
        <v>304</v>
      </c>
      <c r="BU382" t="s">
        <v>371</v>
      </c>
      <c r="BV382" t="s">
        <v>371</v>
      </c>
      <c r="BW382" t="s">
        <v>2825</v>
      </c>
      <c r="BX382" t="str">
        <f>IF(J382="win",VLOOKUP(B382,ColorScheme!$A$2:$I$32,4,0),VLOOKUP(B382,ColorScheme!$A$2:$I$32,5,0))</f>
        <v>#ffb07c50</v>
      </c>
    </row>
    <row r="383" spans="1:76" x14ac:dyDescent="0.3">
      <c r="A383" t="s">
        <v>9</v>
      </c>
      <c r="B383" t="s">
        <v>67</v>
      </c>
      <c r="C383" t="s">
        <v>22</v>
      </c>
      <c r="D383" t="s">
        <v>29</v>
      </c>
      <c r="E383" t="s">
        <v>1085</v>
      </c>
      <c r="F383" t="b">
        <v>1</v>
      </c>
      <c r="G383">
        <v>100</v>
      </c>
      <c r="H383">
        <v>1</v>
      </c>
      <c r="I383">
        <v>20097</v>
      </c>
      <c r="J383" s="61" t="s">
        <v>18</v>
      </c>
      <c r="K383" s="16" t="s">
        <v>272</v>
      </c>
      <c r="L383" s="16">
        <v>2</v>
      </c>
      <c r="M383" s="16" t="s">
        <v>277</v>
      </c>
      <c r="N383" s="16" t="s">
        <v>335</v>
      </c>
      <c r="O383" s="15" t="s">
        <v>282</v>
      </c>
      <c r="P383" t="s">
        <v>371</v>
      </c>
      <c r="Q383" t="s">
        <v>371</v>
      </c>
      <c r="R383" s="17" t="s">
        <v>371</v>
      </c>
      <c r="S383" s="17">
        <v>0</v>
      </c>
      <c r="T383" s="17">
        <v>1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 t="s">
        <v>704</v>
      </c>
      <c r="AD383" s="16" t="s">
        <v>341</v>
      </c>
      <c r="AE383" s="16" t="s">
        <v>340</v>
      </c>
      <c r="AF383" s="15" t="s">
        <v>340</v>
      </c>
      <c r="AG383" s="15" t="s">
        <v>345</v>
      </c>
      <c r="AH383" s="17" t="s">
        <v>371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704</v>
      </c>
      <c r="AR383" t="s">
        <v>349</v>
      </c>
      <c r="AS383" t="s">
        <v>349</v>
      </c>
      <c r="AT383">
        <v>1</v>
      </c>
      <c r="AU383">
        <v>0</v>
      </c>
      <c r="AV383">
        <v>0</v>
      </c>
      <c r="AW383" t="s">
        <v>704</v>
      </c>
      <c r="AX383" t="s">
        <v>1232</v>
      </c>
      <c r="AY383" t="s">
        <v>293</v>
      </c>
      <c r="AZ383" t="s">
        <v>354</v>
      </c>
      <c r="BA383" t="s">
        <v>354</v>
      </c>
      <c r="BB383" t="s">
        <v>301</v>
      </c>
      <c r="BC383" t="s">
        <v>292</v>
      </c>
      <c r="BD383" t="s">
        <v>293</v>
      </c>
      <c r="BE383" t="s">
        <v>293</v>
      </c>
      <c r="BF383" t="s">
        <v>292</v>
      </c>
      <c r="BG383" t="s">
        <v>293</v>
      </c>
      <c r="BH383" t="s">
        <v>302</v>
      </c>
      <c r="BI383" t="s">
        <v>302</v>
      </c>
      <c r="BJ383" t="s">
        <v>357</v>
      </c>
      <c r="BK383" t="s">
        <v>293</v>
      </c>
      <c r="BL383" t="s">
        <v>293</v>
      </c>
      <c r="BM383" t="s">
        <v>296</v>
      </c>
      <c r="BN383" t="s">
        <v>298</v>
      </c>
      <c r="BO383" t="s">
        <v>293</v>
      </c>
      <c r="BP383" t="s">
        <v>292</v>
      </c>
      <c r="BQ383" t="s">
        <v>293</v>
      </c>
      <c r="BR383" t="s">
        <v>293</v>
      </c>
      <c r="BS383" t="s">
        <v>364</v>
      </c>
      <c r="BT383" t="s">
        <v>304</v>
      </c>
      <c r="BU383" t="s">
        <v>371</v>
      </c>
      <c r="BV383" t="s">
        <v>371</v>
      </c>
      <c r="BW383" t="s">
        <v>2826</v>
      </c>
      <c r="BX383" t="str">
        <f>IF(J383="win",VLOOKUP(B383,ColorScheme!$A$2:$I$32,4,0),VLOOKUP(B383,ColorScheme!$A$2:$I$32,5,0))</f>
        <v>#ffb07c50</v>
      </c>
    </row>
    <row r="384" spans="1:76" x14ac:dyDescent="0.3">
      <c r="A384" t="s">
        <v>9</v>
      </c>
      <c r="B384" t="s">
        <v>67</v>
      </c>
      <c r="C384" t="s">
        <v>31</v>
      </c>
      <c r="D384" t="s">
        <v>29</v>
      </c>
      <c r="E384" t="s">
        <v>1086</v>
      </c>
      <c r="F384" t="b">
        <v>1</v>
      </c>
      <c r="G384">
        <v>59.5</v>
      </c>
      <c r="H384">
        <v>0</v>
      </c>
      <c r="I384">
        <v>13679</v>
      </c>
      <c r="J384" s="61" t="s">
        <v>13</v>
      </c>
      <c r="K384" s="16" t="s">
        <v>272</v>
      </c>
      <c r="L384" s="16">
        <v>3</v>
      </c>
      <c r="M384" s="16" t="s">
        <v>277</v>
      </c>
      <c r="N384" s="16" t="s">
        <v>335</v>
      </c>
      <c r="O384" s="15" t="s">
        <v>282</v>
      </c>
      <c r="P384" t="s">
        <v>371</v>
      </c>
      <c r="Q384" t="s">
        <v>371</v>
      </c>
      <c r="R384" s="17" t="s">
        <v>371</v>
      </c>
      <c r="S384" s="17">
        <v>0</v>
      </c>
      <c r="T384" s="17">
        <v>1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 t="s">
        <v>704</v>
      </c>
      <c r="AD384" s="16" t="s">
        <v>341</v>
      </c>
      <c r="AE384" s="16" t="s">
        <v>342</v>
      </c>
      <c r="AF384" s="15" t="s">
        <v>343</v>
      </c>
      <c r="AG384" s="15" t="s">
        <v>344</v>
      </c>
      <c r="AH384" s="17" t="s">
        <v>371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704</v>
      </c>
      <c r="AR384" t="s">
        <v>349</v>
      </c>
      <c r="AS384" t="s">
        <v>349</v>
      </c>
      <c r="AT384">
        <v>1</v>
      </c>
      <c r="AU384">
        <v>0</v>
      </c>
      <c r="AV384">
        <v>0</v>
      </c>
      <c r="AW384" t="s">
        <v>704</v>
      </c>
      <c r="AX384" t="s">
        <v>1208</v>
      </c>
      <c r="AY384" t="s">
        <v>293</v>
      </c>
      <c r="AZ384" t="s">
        <v>353</v>
      </c>
      <c r="BA384" t="s">
        <v>296</v>
      </c>
      <c r="BB384" t="s">
        <v>301</v>
      </c>
      <c r="BC384" t="s">
        <v>292</v>
      </c>
      <c r="BD384" t="s">
        <v>293</v>
      </c>
      <c r="BE384" t="s">
        <v>292</v>
      </c>
      <c r="BF384" t="s">
        <v>292</v>
      </c>
      <c r="BG384" t="s">
        <v>293</v>
      </c>
      <c r="BH384" t="s">
        <v>302</v>
      </c>
      <c r="BI384" t="s">
        <v>302</v>
      </c>
      <c r="BJ384" t="s">
        <v>359</v>
      </c>
      <c r="BK384" t="s">
        <v>293</v>
      </c>
      <c r="BL384" t="s">
        <v>293</v>
      </c>
      <c r="BM384" t="s">
        <v>297</v>
      </c>
      <c r="BN384" t="s">
        <v>298</v>
      </c>
      <c r="BO384" t="s">
        <v>293</v>
      </c>
      <c r="BP384" t="s">
        <v>292</v>
      </c>
      <c r="BQ384" t="s">
        <v>293</v>
      </c>
      <c r="BR384" t="s">
        <v>293</v>
      </c>
      <c r="BS384" t="s">
        <v>364</v>
      </c>
      <c r="BT384" t="s">
        <v>366</v>
      </c>
      <c r="BU384" t="s">
        <v>371</v>
      </c>
      <c r="BV384" t="s">
        <v>371</v>
      </c>
      <c r="BW384" t="s">
        <v>2827</v>
      </c>
      <c r="BX384" t="str">
        <f>IF(J384="win",VLOOKUP(B384,ColorScheme!$A$2:$I$32,4,0),VLOOKUP(B384,ColorScheme!$A$2:$I$32,5,0))</f>
        <v>#ffb07c</v>
      </c>
    </row>
    <row r="385" spans="1:76" x14ac:dyDescent="0.3">
      <c r="A385" t="s">
        <v>9</v>
      </c>
      <c r="B385" t="s">
        <v>67</v>
      </c>
      <c r="C385" t="s">
        <v>27</v>
      </c>
      <c r="D385" t="s">
        <v>29</v>
      </c>
      <c r="E385" t="s">
        <v>1087</v>
      </c>
      <c r="F385" t="b">
        <v>1</v>
      </c>
      <c r="G385">
        <v>52.8</v>
      </c>
      <c r="H385">
        <v>0</v>
      </c>
      <c r="I385">
        <v>16680</v>
      </c>
      <c r="J385" s="61" t="s">
        <v>13</v>
      </c>
      <c r="K385" s="16" t="s">
        <v>272</v>
      </c>
      <c r="L385" s="16">
        <v>3</v>
      </c>
      <c r="M385" s="16" t="s">
        <v>277</v>
      </c>
      <c r="N385" s="16" t="s">
        <v>335</v>
      </c>
      <c r="O385" s="15" t="s">
        <v>282</v>
      </c>
      <c r="P385" t="s">
        <v>371</v>
      </c>
      <c r="Q385" t="s">
        <v>371</v>
      </c>
      <c r="R385" s="17" t="s">
        <v>371</v>
      </c>
      <c r="S385" s="17">
        <v>0</v>
      </c>
      <c r="T385" s="17">
        <v>1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 t="s">
        <v>704</v>
      </c>
      <c r="AD385" s="16" t="s">
        <v>341</v>
      </c>
      <c r="AE385" s="16" t="s">
        <v>342</v>
      </c>
      <c r="AF385" s="15" t="s">
        <v>343</v>
      </c>
      <c r="AG385" s="15" t="s">
        <v>344</v>
      </c>
      <c r="AH385" s="17" t="s">
        <v>291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 t="s">
        <v>704</v>
      </c>
      <c r="AR385" t="s">
        <v>349</v>
      </c>
      <c r="AS385" t="s">
        <v>349</v>
      </c>
      <c r="AT385">
        <v>1</v>
      </c>
      <c r="AU385">
        <v>0</v>
      </c>
      <c r="AV385">
        <v>0</v>
      </c>
      <c r="AW385" t="s">
        <v>704</v>
      </c>
      <c r="AX385" t="s">
        <v>1213</v>
      </c>
      <c r="AY385" t="s">
        <v>293</v>
      </c>
      <c r="AZ385" t="s">
        <v>353</v>
      </c>
      <c r="BA385" t="s">
        <v>296</v>
      </c>
      <c r="BB385" t="s">
        <v>301</v>
      </c>
      <c r="BC385" t="s">
        <v>292</v>
      </c>
      <c r="BD385" t="s">
        <v>293</v>
      </c>
      <c r="BE385" t="s">
        <v>292</v>
      </c>
      <c r="BF385" t="s">
        <v>292</v>
      </c>
      <c r="BG385" t="s">
        <v>293</v>
      </c>
      <c r="BH385" t="s">
        <v>302</v>
      </c>
      <c r="BI385" t="s">
        <v>302</v>
      </c>
      <c r="BJ385" t="s">
        <v>359</v>
      </c>
      <c r="BK385" t="s">
        <v>293</v>
      </c>
      <c r="BL385" t="s">
        <v>293</v>
      </c>
      <c r="BM385" t="s">
        <v>296</v>
      </c>
      <c r="BN385" t="s">
        <v>298</v>
      </c>
      <c r="BO385" t="s">
        <v>293</v>
      </c>
      <c r="BP385" t="s">
        <v>292</v>
      </c>
      <c r="BQ385" t="s">
        <v>293</v>
      </c>
      <c r="BR385" t="s">
        <v>293</v>
      </c>
      <c r="BS385" t="s">
        <v>364</v>
      </c>
      <c r="BT385" t="s">
        <v>366</v>
      </c>
      <c r="BU385" t="s">
        <v>371</v>
      </c>
      <c r="BV385" t="s">
        <v>371</v>
      </c>
      <c r="BW385" t="s">
        <v>2828</v>
      </c>
      <c r="BX385" t="str">
        <f>IF(J385="win",VLOOKUP(B385,ColorScheme!$A$2:$I$32,4,0),VLOOKUP(B385,ColorScheme!$A$2:$I$32,5,0))</f>
        <v>#ffb07c</v>
      </c>
    </row>
    <row r="386" spans="1:76" x14ac:dyDescent="0.3">
      <c r="A386" t="s">
        <v>9</v>
      </c>
      <c r="B386" t="s">
        <v>67</v>
      </c>
      <c r="C386" t="s">
        <v>28</v>
      </c>
      <c r="D386" t="s">
        <v>29</v>
      </c>
      <c r="E386" t="s">
        <v>1088</v>
      </c>
      <c r="F386" t="b">
        <v>1</v>
      </c>
      <c r="G386">
        <v>59.8</v>
      </c>
      <c r="H386">
        <v>0</v>
      </c>
      <c r="I386">
        <v>14565</v>
      </c>
      <c r="J386" s="61" t="s">
        <v>13</v>
      </c>
      <c r="K386" s="16" t="s">
        <v>272</v>
      </c>
      <c r="L386" s="16">
        <v>3</v>
      </c>
      <c r="M386" s="16" t="s">
        <v>277</v>
      </c>
      <c r="N386" s="16" t="s">
        <v>335</v>
      </c>
      <c r="O386" s="15" t="s">
        <v>282</v>
      </c>
      <c r="P386" t="s">
        <v>371</v>
      </c>
      <c r="Q386" t="s">
        <v>371</v>
      </c>
      <c r="R386" s="17" t="s">
        <v>371</v>
      </c>
      <c r="S386" s="17">
        <v>0</v>
      </c>
      <c r="T386" s="17">
        <v>1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 t="s">
        <v>704</v>
      </c>
      <c r="AD386" s="16" t="s">
        <v>341</v>
      </c>
      <c r="AE386" s="16" t="s">
        <v>342</v>
      </c>
      <c r="AF386" s="15" t="s">
        <v>343</v>
      </c>
      <c r="AG386" s="15" t="s">
        <v>344</v>
      </c>
      <c r="AH386" s="17" t="s">
        <v>291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 t="s">
        <v>704</v>
      </c>
      <c r="AR386" t="s">
        <v>349</v>
      </c>
      <c r="AS386" t="s">
        <v>349</v>
      </c>
      <c r="AT386">
        <v>1</v>
      </c>
      <c r="AU386">
        <v>0</v>
      </c>
      <c r="AV386">
        <v>0</v>
      </c>
      <c r="AW386" t="s">
        <v>704</v>
      </c>
      <c r="AX386" t="s">
        <v>1213</v>
      </c>
      <c r="AY386" t="s">
        <v>293</v>
      </c>
      <c r="AZ386" t="s">
        <v>353</v>
      </c>
      <c r="BA386" t="s">
        <v>296</v>
      </c>
      <c r="BB386" t="s">
        <v>301</v>
      </c>
      <c r="BC386" t="s">
        <v>292</v>
      </c>
      <c r="BD386" t="s">
        <v>293</v>
      </c>
      <c r="BE386" t="s">
        <v>292</v>
      </c>
      <c r="BF386" t="s">
        <v>292</v>
      </c>
      <c r="BG386" t="s">
        <v>293</v>
      </c>
      <c r="BH386" t="s">
        <v>302</v>
      </c>
      <c r="BI386" t="s">
        <v>302</v>
      </c>
      <c r="BJ386" t="s">
        <v>359</v>
      </c>
      <c r="BK386" t="s">
        <v>293</v>
      </c>
      <c r="BL386" t="s">
        <v>293</v>
      </c>
      <c r="BM386" t="s">
        <v>296</v>
      </c>
      <c r="BN386" t="s">
        <v>298</v>
      </c>
      <c r="BO386" t="s">
        <v>293</v>
      </c>
      <c r="BP386" t="s">
        <v>292</v>
      </c>
      <c r="BQ386" t="s">
        <v>293</v>
      </c>
      <c r="BR386" t="s">
        <v>293</v>
      </c>
      <c r="BS386" t="s">
        <v>364</v>
      </c>
      <c r="BT386" t="s">
        <v>366</v>
      </c>
      <c r="BU386" t="s">
        <v>371</v>
      </c>
      <c r="BV386" t="s">
        <v>371</v>
      </c>
      <c r="BW386" t="s">
        <v>2829</v>
      </c>
      <c r="BX386" t="str">
        <f>IF(J386="win",VLOOKUP(B386,ColorScheme!$A$2:$I$32,4,0),VLOOKUP(B386,ColorScheme!$A$2:$I$32,5,0))</f>
        <v>#ffb07c</v>
      </c>
    </row>
    <row r="387" spans="1:76" x14ac:dyDescent="0.3">
      <c r="A387" t="s">
        <v>43</v>
      </c>
      <c r="B387" t="s">
        <v>44</v>
      </c>
      <c r="C387" t="s">
        <v>15</v>
      </c>
      <c r="D387" t="s">
        <v>12</v>
      </c>
      <c r="E387" t="s">
        <v>1089</v>
      </c>
      <c r="F387" t="b">
        <v>1</v>
      </c>
      <c r="G387">
        <v>100</v>
      </c>
      <c r="H387">
        <v>1</v>
      </c>
      <c r="I387">
        <v>27807</v>
      </c>
      <c r="J387" s="61" t="s">
        <v>18</v>
      </c>
      <c r="K387" s="16" t="s">
        <v>272</v>
      </c>
      <c r="L387" s="16">
        <v>3</v>
      </c>
      <c r="M387" s="16" t="s">
        <v>277</v>
      </c>
      <c r="N387" s="16" t="s">
        <v>335</v>
      </c>
      <c r="O387" s="15" t="s">
        <v>282</v>
      </c>
      <c r="P387" t="s">
        <v>281</v>
      </c>
      <c r="Q387" t="s">
        <v>284</v>
      </c>
      <c r="R387" s="17" t="s">
        <v>371</v>
      </c>
      <c r="S387" s="17">
        <v>1</v>
      </c>
      <c r="T387" s="17">
        <v>1</v>
      </c>
      <c r="U387" s="17">
        <v>0</v>
      </c>
      <c r="V387" s="17">
        <v>1</v>
      </c>
      <c r="W387" s="17">
        <v>0</v>
      </c>
      <c r="X387" s="17">
        <v>0</v>
      </c>
      <c r="Y387" s="17">
        <v>0</v>
      </c>
      <c r="Z387" s="17">
        <v>0</v>
      </c>
      <c r="AA387" s="17">
        <v>0</v>
      </c>
      <c r="AB387" s="17">
        <v>0</v>
      </c>
      <c r="AC387" s="17" t="s">
        <v>704</v>
      </c>
      <c r="AD387" s="16" t="s">
        <v>341</v>
      </c>
      <c r="AE387" s="16" t="s">
        <v>342</v>
      </c>
      <c r="AF387" s="15" t="s">
        <v>343</v>
      </c>
      <c r="AG387" s="15" t="s">
        <v>344</v>
      </c>
      <c r="AH387" s="17" t="s">
        <v>291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 t="s">
        <v>704</v>
      </c>
      <c r="AR387" t="s">
        <v>349</v>
      </c>
      <c r="AS387" t="s">
        <v>349</v>
      </c>
      <c r="AT387">
        <v>1</v>
      </c>
      <c r="AU387">
        <v>0</v>
      </c>
      <c r="AV387">
        <v>0</v>
      </c>
      <c r="AW387" t="s">
        <v>704</v>
      </c>
      <c r="AX387" t="s">
        <v>1317</v>
      </c>
      <c r="AY387" t="s">
        <v>293</v>
      </c>
      <c r="AZ387" t="s">
        <v>353</v>
      </c>
      <c r="BA387" t="s">
        <v>296</v>
      </c>
      <c r="BB387" t="s">
        <v>301</v>
      </c>
      <c r="BC387" t="s">
        <v>292</v>
      </c>
      <c r="BD387" t="s">
        <v>293</v>
      </c>
      <c r="BE387" t="s">
        <v>293</v>
      </c>
      <c r="BF387" t="s">
        <v>292</v>
      </c>
      <c r="BG387" t="s">
        <v>293</v>
      </c>
      <c r="BH387" t="s">
        <v>302</v>
      </c>
      <c r="BI387" t="s">
        <v>302</v>
      </c>
      <c r="BJ387" t="s">
        <v>359</v>
      </c>
      <c r="BK387" t="s">
        <v>293</v>
      </c>
      <c r="BL387" t="s">
        <v>293</v>
      </c>
      <c r="BM387" t="s">
        <v>296</v>
      </c>
      <c r="BN387" t="s">
        <v>298</v>
      </c>
      <c r="BO387" t="s">
        <v>293</v>
      </c>
      <c r="BP387" t="s">
        <v>292</v>
      </c>
      <c r="BQ387" t="s">
        <v>293</v>
      </c>
      <c r="BR387" t="s">
        <v>293</v>
      </c>
      <c r="BS387" t="s">
        <v>364</v>
      </c>
      <c r="BT387" t="s">
        <v>304</v>
      </c>
      <c r="BU387" t="s">
        <v>371</v>
      </c>
      <c r="BV387" t="s">
        <v>371</v>
      </c>
      <c r="BW387" t="s">
        <v>2830</v>
      </c>
      <c r="BX387" t="str">
        <f>IF(J387="win",VLOOKUP(B387,ColorScheme!$A$2:$I$32,4,0),VLOOKUP(B387,ColorScheme!$A$2:$I$32,5,0))</f>
        <v>#ceb30150</v>
      </c>
    </row>
    <row r="388" spans="1:76" x14ac:dyDescent="0.3">
      <c r="A388" t="s">
        <v>43</v>
      </c>
      <c r="B388" t="s">
        <v>44</v>
      </c>
      <c r="C388" t="s">
        <v>14</v>
      </c>
      <c r="D388" t="s">
        <v>12</v>
      </c>
      <c r="E388" t="s">
        <v>1090</v>
      </c>
      <c r="F388" t="b">
        <v>1</v>
      </c>
      <c r="G388">
        <v>100</v>
      </c>
      <c r="H388">
        <v>1</v>
      </c>
      <c r="I388">
        <v>26505</v>
      </c>
      <c r="J388" s="61" t="s">
        <v>18</v>
      </c>
      <c r="K388" s="16" t="s">
        <v>272</v>
      </c>
      <c r="L388" s="16">
        <v>3</v>
      </c>
      <c r="M388" s="16" t="s">
        <v>277</v>
      </c>
      <c r="N388" s="16" t="s">
        <v>335</v>
      </c>
      <c r="O388" s="15" t="s">
        <v>282</v>
      </c>
      <c r="P388" t="s">
        <v>281</v>
      </c>
      <c r="Q388" t="s">
        <v>284</v>
      </c>
      <c r="R388" s="17" t="s">
        <v>371</v>
      </c>
      <c r="S388" s="17">
        <v>1</v>
      </c>
      <c r="T388" s="17">
        <v>1</v>
      </c>
      <c r="U388" s="17">
        <v>0</v>
      </c>
      <c r="V388" s="17">
        <v>1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 t="s">
        <v>704</v>
      </c>
      <c r="AD388" s="16" t="s">
        <v>341</v>
      </c>
      <c r="AE388" s="16" t="s">
        <v>342</v>
      </c>
      <c r="AF388" s="15" t="s">
        <v>343</v>
      </c>
      <c r="AG388" s="15" t="s">
        <v>344</v>
      </c>
      <c r="AH388" s="17" t="s">
        <v>291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 t="s">
        <v>704</v>
      </c>
      <c r="AR388" t="s">
        <v>349</v>
      </c>
      <c r="AS388" t="s">
        <v>349</v>
      </c>
      <c r="AT388">
        <v>1</v>
      </c>
      <c r="AU388">
        <v>0</v>
      </c>
      <c r="AV388">
        <v>0</v>
      </c>
      <c r="AW388" t="s">
        <v>704</v>
      </c>
      <c r="AX388" t="s">
        <v>1317</v>
      </c>
      <c r="AY388" t="s">
        <v>293</v>
      </c>
      <c r="AZ388" t="s">
        <v>353</v>
      </c>
      <c r="BA388" t="s">
        <v>296</v>
      </c>
      <c r="BB388" t="s">
        <v>301</v>
      </c>
      <c r="BC388" t="s">
        <v>292</v>
      </c>
      <c r="BD388" t="s">
        <v>293</v>
      </c>
      <c r="BE388" t="s">
        <v>293</v>
      </c>
      <c r="BF388" t="s">
        <v>292</v>
      </c>
      <c r="BG388" t="s">
        <v>293</v>
      </c>
      <c r="BH388" t="s">
        <v>302</v>
      </c>
      <c r="BI388" t="s">
        <v>302</v>
      </c>
      <c r="BJ388" t="s">
        <v>359</v>
      </c>
      <c r="BK388" t="s">
        <v>293</v>
      </c>
      <c r="BL388" t="s">
        <v>293</v>
      </c>
      <c r="BM388" t="s">
        <v>296</v>
      </c>
      <c r="BN388" t="s">
        <v>298</v>
      </c>
      <c r="BO388" t="s">
        <v>293</v>
      </c>
      <c r="BP388" t="s">
        <v>292</v>
      </c>
      <c r="BQ388" t="s">
        <v>293</v>
      </c>
      <c r="BR388" t="s">
        <v>293</v>
      </c>
      <c r="BS388" t="s">
        <v>364</v>
      </c>
      <c r="BT388" t="s">
        <v>304</v>
      </c>
      <c r="BU388" t="s">
        <v>371</v>
      </c>
      <c r="BV388" t="s">
        <v>371</v>
      </c>
      <c r="BW388" t="s">
        <v>2831</v>
      </c>
      <c r="BX388" t="str">
        <f>IF(J388="win",VLOOKUP(B388,ColorScheme!$A$2:$I$32,4,0),VLOOKUP(B388,ColorScheme!$A$2:$I$32,5,0))</f>
        <v>#ceb30150</v>
      </c>
    </row>
    <row r="389" spans="1:76" x14ac:dyDescent="0.3">
      <c r="A389" t="s">
        <v>43</v>
      </c>
      <c r="B389" t="s">
        <v>44</v>
      </c>
      <c r="C389" t="s">
        <v>11</v>
      </c>
      <c r="D389" t="s">
        <v>12</v>
      </c>
      <c r="E389" t="s">
        <v>1091</v>
      </c>
      <c r="F389" t="b">
        <v>1</v>
      </c>
      <c r="G389">
        <v>100</v>
      </c>
      <c r="H389">
        <v>1</v>
      </c>
      <c r="I389">
        <v>14115</v>
      </c>
      <c r="J389" s="61" t="s">
        <v>18</v>
      </c>
      <c r="K389" s="16" t="s">
        <v>272</v>
      </c>
      <c r="L389" s="16">
        <v>3</v>
      </c>
      <c r="M389" s="16" t="s">
        <v>277</v>
      </c>
      <c r="N389" s="16" t="s">
        <v>335</v>
      </c>
      <c r="O389" s="15" t="s">
        <v>282</v>
      </c>
      <c r="P389" t="s">
        <v>281</v>
      </c>
      <c r="Q389" t="s">
        <v>284</v>
      </c>
      <c r="R389" s="17" t="s">
        <v>371</v>
      </c>
      <c r="S389" s="17">
        <v>1</v>
      </c>
      <c r="T389" s="17">
        <v>1</v>
      </c>
      <c r="U389" s="17">
        <v>0</v>
      </c>
      <c r="V389" s="17">
        <v>1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 t="s">
        <v>704</v>
      </c>
      <c r="AD389" s="16" t="s">
        <v>340</v>
      </c>
      <c r="AE389" s="16" t="s">
        <v>340</v>
      </c>
      <c r="AF389" s="15" t="s">
        <v>343</v>
      </c>
      <c r="AG389" s="15" t="s">
        <v>291</v>
      </c>
      <c r="AH389" s="17" t="s">
        <v>371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 t="s">
        <v>704</v>
      </c>
      <c r="AR389" t="s">
        <v>349</v>
      </c>
      <c r="AS389" t="s">
        <v>349</v>
      </c>
      <c r="AT389">
        <v>1</v>
      </c>
      <c r="AU389">
        <v>0</v>
      </c>
      <c r="AV389">
        <v>0</v>
      </c>
      <c r="AW389" t="s">
        <v>704</v>
      </c>
      <c r="AX389" t="s">
        <v>1298</v>
      </c>
      <c r="AY389" t="s">
        <v>293</v>
      </c>
      <c r="AZ389" t="s">
        <v>353</v>
      </c>
      <c r="BA389" t="s">
        <v>296</v>
      </c>
      <c r="BB389" t="s">
        <v>301</v>
      </c>
      <c r="BC389" t="s">
        <v>292</v>
      </c>
      <c r="BD389" t="s">
        <v>293</v>
      </c>
      <c r="BE389" t="s">
        <v>293</v>
      </c>
      <c r="BF389" t="s">
        <v>292</v>
      </c>
      <c r="BG389" t="s">
        <v>293</v>
      </c>
      <c r="BH389" t="s">
        <v>302</v>
      </c>
      <c r="BI389" t="s">
        <v>302</v>
      </c>
      <c r="BJ389" t="s">
        <v>359</v>
      </c>
      <c r="BK389" t="s">
        <v>293</v>
      </c>
      <c r="BL389" t="s">
        <v>293</v>
      </c>
      <c r="BM389" t="s">
        <v>296</v>
      </c>
      <c r="BN389" t="s">
        <v>298</v>
      </c>
      <c r="BO389" t="s">
        <v>293</v>
      </c>
      <c r="BP389" t="s">
        <v>292</v>
      </c>
      <c r="BQ389" t="s">
        <v>293</v>
      </c>
      <c r="BR389" t="s">
        <v>293</v>
      </c>
      <c r="BS389" t="s">
        <v>364</v>
      </c>
      <c r="BT389" t="s">
        <v>304</v>
      </c>
      <c r="BU389" t="s">
        <v>371</v>
      </c>
      <c r="BV389" t="s">
        <v>371</v>
      </c>
      <c r="BW389" t="s">
        <v>2832</v>
      </c>
      <c r="BX389" t="str">
        <f>IF(J389="win",VLOOKUP(B389,ColorScheme!$A$2:$I$32,4,0),VLOOKUP(B389,ColorScheme!$A$2:$I$32,5,0))</f>
        <v>#ceb30150</v>
      </c>
    </row>
    <row r="390" spans="1:76" x14ac:dyDescent="0.3">
      <c r="A390" t="s">
        <v>43</v>
      </c>
      <c r="B390" t="s">
        <v>44</v>
      </c>
      <c r="C390" t="s">
        <v>19</v>
      </c>
      <c r="D390" t="s">
        <v>12</v>
      </c>
      <c r="E390" t="s">
        <v>1092</v>
      </c>
      <c r="F390" t="b">
        <v>1</v>
      </c>
      <c r="G390">
        <v>100</v>
      </c>
      <c r="H390">
        <v>1</v>
      </c>
      <c r="I390">
        <v>14465</v>
      </c>
      <c r="J390" s="61" t="s">
        <v>18</v>
      </c>
      <c r="K390" s="16" t="s">
        <v>272</v>
      </c>
      <c r="L390" s="16">
        <v>3</v>
      </c>
      <c r="M390" s="16" t="s">
        <v>277</v>
      </c>
      <c r="N390" s="16" t="s">
        <v>335</v>
      </c>
      <c r="O390" s="15" t="s">
        <v>282</v>
      </c>
      <c r="P390" t="s">
        <v>371</v>
      </c>
      <c r="Q390" t="s">
        <v>371</v>
      </c>
      <c r="R390" s="17" t="s">
        <v>371</v>
      </c>
      <c r="S390" s="17">
        <v>0</v>
      </c>
      <c r="T390" s="17">
        <v>1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 t="s">
        <v>704</v>
      </c>
      <c r="AD390" s="16" t="s">
        <v>341</v>
      </c>
      <c r="AE390" s="16" t="s">
        <v>340</v>
      </c>
      <c r="AF390" s="15" t="s">
        <v>343</v>
      </c>
      <c r="AG390" s="15" t="s">
        <v>345</v>
      </c>
      <c r="AH390" s="17" t="s">
        <v>371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704</v>
      </c>
      <c r="AR390" t="s">
        <v>349</v>
      </c>
      <c r="AS390" t="s">
        <v>349</v>
      </c>
      <c r="AT390">
        <v>1</v>
      </c>
      <c r="AU390">
        <v>0</v>
      </c>
      <c r="AV390">
        <v>0</v>
      </c>
      <c r="AW390" t="s">
        <v>704</v>
      </c>
      <c r="AX390" t="s">
        <v>1232</v>
      </c>
      <c r="AY390" t="s">
        <v>293</v>
      </c>
      <c r="AZ390" t="s">
        <v>353</v>
      </c>
      <c r="BA390" t="s">
        <v>296</v>
      </c>
      <c r="BB390" t="s">
        <v>301</v>
      </c>
      <c r="BC390" t="s">
        <v>293</v>
      </c>
      <c r="BD390" t="s">
        <v>292</v>
      </c>
      <c r="BE390" t="s">
        <v>292</v>
      </c>
      <c r="BF390" t="s">
        <v>292</v>
      </c>
      <c r="BG390" t="s">
        <v>293</v>
      </c>
      <c r="BH390" t="s">
        <v>358</v>
      </c>
      <c r="BI390" t="s">
        <v>302</v>
      </c>
      <c r="BJ390" t="s">
        <v>359</v>
      </c>
      <c r="BK390" t="s">
        <v>293</v>
      </c>
      <c r="BL390" t="s">
        <v>293</v>
      </c>
      <c r="BM390" t="s">
        <v>297</v>
      </c>
      <c r="BN390" t="s">
        <v>356</v>
      </c>
      <c r="BO390" t="s">
        <v>293</v>
      </c>
      <c r="BP390" t="s">
        <v>292</v>
      </c>
      <c r="BQ390" t="s">
        <v>293</v>
      </c>
      <c r="BR390" t="s">
        <v>293</v>
      </c>
      <c r="BS390" t="s">
        <v>364</v>
      </c>
      <c r="BT390" t="s">
        <v>304</v>
      </c>
      <c r="BU390" t="s">
        <v>371</v>
      </c>
      <c r="BV390" t="s">
        <v>371</v>
      </c>
      <c r="BW390" t="s">
        <v>2833</v>
      </c>
      <c r="BX390" t="str">
        <f>IF(J390="win",VLOOKUP(B390,ColorScheme!$A$2:$I$32,4,0),VLOOKUP(B390,ColorScheme!$A$2:$I$32,5,0))</f>
        <v>#ceb30150</v>
      </c>
    </row>
    <row r="391" spans="1:76" x14ac:dyDescent="0.3">
      <c r="A391" t="s">
        <v>43</v>
      </c>
      <c r="B391" t="s">
        <v>44</v>
      </c>
      <c r="C391" t="s">
        <v>17</v>
      </c>
      <c r="D391" t="s">
        <v>12</v>
      </c>
      <c r="E391" t="s">
        <v>1093</v>
      </c>
      <c r="F391" t="b">
        <v>1</v>
      </c>
      <c r="G391">
        <v>100</v>
      </c>
      <c r="H391">
        <v>1</v>
      </c>
      <c r="I391">
        <v>11516</v>
      </c>
      <c r="J391" s="61" t="s">
        <v>18</v>
      </c>
      <c r="K391" s="16" t="s">
        <v>272</v>
      </c>
      <c r="L391" s="16">
        <v>3</v>
      </c>
      <c r="M391" s="16" t="s">
        <v>277</v>
      </c>
      <c r="N391" s="16" t="s">
        <v>335</v>
      </c>
      <c r="O391" s="15" t="s">
        <v>282</v>
      </c>
      <c r="P391" t="s">
        <v>371</v>
      </c>
      <c r="Q391" t="s">
        <v>371</v>
      </c>
      <c r="R391" s="17" t="s">
        <v>371</v>
      </c>
      <c r="S391" s="17">
        <v>0</v>
      </c>
      <c r="T391" s="17">
        <v>1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 t="s">
        <v>704</v>
      </c>
      <c r="AD391" s="16" t="s">
        <v>340</v>
      </c>
      <c r="AE391" s="16" t="s">
        <v>340</v>
      </c>
      <c r="AF391" s="15" t="s">
        <v>343</v>
      </c>
      <c r="AG391" s="15" t="s">
        <v>348</v>
      </c>
      <c r="AH391" s="17" t="s">
        <v>371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 t="s">
        <v>704</v>
      </c>
      <c r="AR391" t="s">
        <v>349</v>
      </c>
      <c r="AS391" t="s">
        <v>349</v>
      </c>
      <c r="AT391">
        <v>1</v>
      </c>
      <c r="AU391">
        <v>0</v>
      </c>
      <c r="AV391">
        <v>0</v>
      </c>
      <c r="AW391" t="s">
        <v>704</v>
      </c>
      <c r="AX391" t="s">
        <v>1299</v>
      </c>
      <c r="AY391" t="s">
        <v>293</v>
      </c>
      <c r="AZ391" t="s">
        <v>353</v>
      </c>
      <c r="BA391" t="s">
        <v>296</v>
      </c>
      <c r="BB391" t="s">
        <v>301</v>
      </c>
      <c r="BC391" t="s">
        <v>293</v>
      </c>
      <c r="BD391" t="s">
        <v>292</v>
      </c>
      <c r="BE391" t="s">
        <v>293</v>
      </c>
      <c r="BF391" t="s">
        <v>292</v>
      </c>
      <c r="BG391" t="s">
        <v>293</v>
      </c>
      <c r="BH391" t="s">
        <v>358</v>
      </c>
      <c r="BI391" t="s">
        <v>358</v>
      </c>
      <c r="BJ391" t="s">
        <v>359</v>
      </c>
      <c r="BK391" t="s">
        <v>293</v>
      </c>
      <c r="BL391" t="s">
        <v>293</v>
      </c>
      <c r="BM391" t="s">
        <v>296</v>
      </c>
      <c r="BN391" t="s">
        <v>356</v>
      </c>
      <c r="BO391" t="s">
        <v>293</v>
      </c>
      <c r="BP391" t="s">
        <v>292</v>
      </c>
      <c r="BQ391" t="s">
        <v>293</v>
      </c>
      <c r="BR391" t="s">
        <v>293</v>
      </c>
      <c r="BS391" t="s">
        <v>364</v>
      </c>
      <c r="BT391" t="s">
        <v>304</v>
      </c>
      <c r="BU391" t="s">
        <v>371</v>
      </c>
      <c r="BV391" t="s">
        <v>371</v>
      </c>
      <c r="BW391" t="s">
        <v>2834</v>
      </c>
      <c r="BX391" t="str">
        <f>IF(J391="win",VLOOKUP(B391,ColorScheme!$A$2:$I$32,4,0),VLOOKUP(B391,ColorScheme!$A$2:$I$32,5,0))</f>
        <v>#ceb30150</v>
      </c>
    </row>
    <row r="392" spans="1:76" x14ac:dyDescent="0.3">
      <c r="A392" t="s">
        <v>43</v>
      </c>
      <c r="B392" t="s">
        <v>44</v>
      </c>
      <c r="C392" t="s">
        <v>16</v>
      </c>
      <c r="D392" t="s">
        <v>12</v>
      </c>
      <c r="E392" t="s">
        <v>1094</v>
      </c>
      <c r="F392" t="b">
        <v>1</v>
      </c>
      <c r="G392">
        <v>100</v>
      </c>
      <c r="H392">
        <v>1</v>
      </c>
      <c r="I392">
        <v>19633</v>
      </c>
      <c r="J392" s="61" t="s">
        <v>18</v>
      </c>
      <c r="K392" s="16" t="s">
        <v>272</v>
      </c>
      <c r="L392" s="16">
        <v>3</v>
      </c>
      <c r="M392" s="16" t="s">
        <v>277</v>
      </c>
      <c r="N392" s="16" t="s">
        <v>335</v>
      </c>
      <c r="O392" s="15" t="s">
        <v>281</v>
      </c>
      <c r="P392" t="s">
        <v>282</v>
      </c>
      <c r="Q392" t="s">
        <v>284</v>
      </c>
      <c r="R392" s="17" t="s">
        <v>371</v>
      </c>
      <c r="S392" s="17">
        <v>1</v>
      </c>
      <c r="T392" s="17">
        <v>1</v>
      </c>
      <c r="U392" s="17">
        <v>0</v>
      </c>
      <c r="V392" s="17">
        <v>1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 t="s">
        <v>704</v>
      </c>
      <c r="AD392" s="16" t="s">
        <v>341</v>
      </c>
      <c r="AE392" s="16" t="s">
        <v>340</v>
      </c>
      <c r="AF392" s="15" t="s">
        <v>343</v>
      </c>
      <c r="AG392" s="15" t="s">
        <v>344</v>
      </c>
      <c r="AH392" s="17" t="s">
        <v>371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704</v>
      </c>
      <c r="AR392" t="s">
        <v>349</v>
      </c>
      <c r="AS392" t="s">
        <v>349</v>
      </c>
      <c r="AT392">
        <v>1</v>
      </c>
      <c r="AU392">
        <v>0</v>
      </c>
      <c r="AV392">
        <v>0</v>
      </c>
      <c r="AW392" t="s">
        <v>704</v>
      </c>
      <c r="AX392" t="s">
        <v>1318</v>
      </c>
      <c r="AY392" t="s">
        <v>293</v>
      </c>
      <c r="AZ392" t="s">
        <v>353</v>
      </c>
      <c r="BA392" t="s">
        <v>296</v>
      </c>
      <c r="BB392" t="s">
        <v>301</v>
      </c>
      <c r="BC392" t="s">
        <v>293</v>
      </c>
      <c r="BD392" t="s">
        <v>292</v>
      </c>
      <c r="BE392" t="s">
        <v>292</v>
      </c>
      <c r="BF392" t="s">
        <v>292</v>
      </c>
      <c r="BG392" t="s">
        <v>293</v>
      </c>
      <c r="BH392" t="s">
        <v>302</v>
      </c>
      <c r="BI392" t="s">
        <v>302</v>
      </c>
      <c r="BJ392" t="s">
        <v>359</v>
      </c>
      <c r="BK392" t="s">
        <v>293</v>
      </c>
      <c r="BL392" t="s">
        <v>293</v>
      </c>
      <c r="BM392" t="s">
        <v>297</v>
      </c>
      <c r="BN392" t="s">
        <v>356</v>
      </c>
      <c r="BO392" t="s">
        <v>293</v>
      </c>
      <c r="BP392" t="s">
        <v>292</v>
      </c>
      <c r="BQ392" t="s">
        <v>293</v>
      </c>
      <c r="BR392" t="s">
        <v>293</v>
      </c>
      <c r="BS392" t="s">
        <v>364</v>
      </c>
      <c r="BT392" t="s">
        <v>304</v>
      </c>
      <c r="BU392" t="s">
        <v>371</v>
      </c>
      <c r="BV392" t="s">
        <v>371</v>
      </c>
      <c r="BW392" t="s">
        <v>2835</v>
      </c>
      <c r="BX392" t="str">
        <f>IF(J392="win",VLOOKUP(B392,ColorScheme!$A$2:$I$32,4,0),VLOOKUP(B392,ColorScheme!$A$2:$I$32,5,0))</f>
        <v>#ceb30150</v>
      </c>
    </row>
    <row r="393" spans="1:76" x14ac:dyDescent="0.3">
      <c r="A393" t="s">
        <v>43</v>
      </c>
      <c r="B393" t="s">
        <v>44</v>
      </c>
      <c r="C393" t="s">
        <v>20</v>
      </c>
      <c r="D393" t="s">
        <v>12</v>
      </c>
      <c r="E393" t="s">
        <v>1095</v>
      </c>
      <c r="F393" t="b">
        <v>1</v>
      </c>
      <c r="G393">
        <v>78.599999999999994</v>
      </c>
      <c r="H393">
        <v>0</v>
      </c>
      <c r="I393">
        <v>17218</v>
      </c>
      <c r="J393" s="61" t="s">
        <v>13</v>
      </c>
      <c r="K393" s="16" t="s">
        <v>272</v>
      </c>
      <c r="L393" s="16">
        <v>3</v>
      </c>
      <c r="M393" s="16" t="s">
        <v>277</v>
      </c>
      <c r="N393" s="16" t="s">
        <v>335</v>
      </c>
      <c r="O393" s="15" t="s">
        <v>282</v>
      </c>
      <c r="P393" t="s">
        <v>371</v>
      </c>
      <c r="Q393" t="s">
        <v>371</v>
      </c>
      <c r="R393" s="17" t="s">
        <v>371</v>
      </c>
      <c r="S393" s="17">
        <v>0</v>
      </c>
      <c r="T393" s="17">
        <v>1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 t="s">
        <v>704</v>
      </c>
      <c r="AD393" s="16" t="s">
        <v>341</v>
      </c>
      <c r="AE393" s="16" t="s">
        <v>340</v>
      </c>
      <c r="AF393" s="15" t="s">
        <v>343</v>
      </c>
      <c r="AG393" s="15" t="s">
        <v>345</v>
      </c>
      <c r="AH393" s="17" t="s">
        <v>371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704</v>
      </c>
      <c r="AR393" t="s">
        <v>349</v>
      </c>
      <c r="AS393" t="s">
        <v>349</v>
      </c>
      <c r="AT393">
        <v>1</v>
      </c>
      <c r="AU393">
        <v>0</v>
      </c>
      <c r="AV393">
        <v>0</v>
      </c>
      <c r="AW393" t="s">
        <v>704</v>
      </c>
      <c r="AX393" t="s">
        <v>1232</v>
      </c>
      <c r="AY393" t="s">
        <v>293</v>
      </c>
      <c r="AZ393" t="s">
        <v>353</v>
      </c>
      <c r="BA393" t="s">
        <v>296</v>
      </c>
      <c r="BB393" t="s">
        <v>301</v>
      </c>
      <c r="BC393" t="s">
        <v>293</v>
      </c>
      <c r="BD393" t="s">
        <v>292</v>
      </c>
      <c r="BE393" t="s">
        <v>292</v>
      </c>
      <c r="BF393" t="s">
        <v>292</v>
      </c>
      <c r="BG393" t="s">
        <v>293</v>
      </c>
      <c r="BH393" t="s">
        <v>302</v>
      </c>
      <c r="BI393" t="s">
        <v>302</v>
      </c>
      <c r="BJ393" t="s">
        <v>359</v>
      </c>
      <c r="BK393" t="s">
        <v>293</v>
      </c>
      <c r="BL393" t="s">
        <v>293</v>
      </c>
      <c r="BM393" t="s">
        <v>297</v>
      </c>
      <c r="BN393" t="s">
        <v>356</v>
      </c>
      <c r="BO393" t="s">
        <v>293</v>
      </c>
      <c r="BP393" t="s">
        <v>292</v>
      </c>
      <c r="BQ393" t="s">
        <v>362</v>
      </c>
      <c r="BR393" t="s">
        <v>293</v>
      </c>
      <c r="BS393" t="s">
        <v>364</v>
      </c>
      <c r="BT393" t="s">
        <v>366</v>
      </c>
      <c r="BU393" t="s">
        <v>371</v>
      </c>
      <c r="BV393" t="s">
        <v>371</v>
      </c>
      <c r="BW393" t="s">
        <v>2836</v>
      </c>
      <c r="BX393" t="str">
        <f>IF(J393="win",VLOOKUP(B393,ColorScheme!$A$2:$I$32,4,0),VLOOKUP(B393,ColorScheme!$A$2:$I$32,5,0))</f>
        <v>#ceb301</v>
      </c>
    </row>
    <row r="394" spans="1:76" x14ac:dyDescent="0.3">
      <c r="A394" t="s">
        <v>43</v>
      </c>
      <c r="B394" t="s">
        <v>44</v>
      </c>
      <c r="C394" t="s">
        <v>23</v>
      </c>
      <c r="D394" t="s">
        <v>29</v>
      </c>
      <c r="E394" t="s">
        <v>1096</v>
      </c>
      <c r="F394" t="b">
        <v>1</v>
      </c>
      <c r="G394">
        <v>68.2</v>
      </c>
      <c r="H394">
        <v>0</v>
      </c>
      <c r="I394">
        <v>14760</v>
      </c>
      <c r="J394" s="61" t="s">
        <v>13</v>
      </c>
      <c r="K394" s="16" t="s">
        <v>272</v>
      </c>
      <c r="L394" s="16">
        <v>3</v>
      </c>
      <c r="M394" s="16" t="s">
        <v>277</v>
      </c>
      <c r="N394" s="16" t="s">
        <v>335</v>
      </c>
      <c r="O394" s="15" t="s">
        <v>282</v>
      </c>
      <c r="P394" t="s">
        <v>371</v>
      </c>
      <c r="Q394" t="s">
        <v>371</v>
      </c>
      <c r="R394" s="17" t="s">
        <v>371</v>
      </c>
      <c r="S394" s="17">
        <v>0</v>
      </c>
      <c r="T394" s="17">
        <v>1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 t="s">
        <v>704</v>
      </c>
      <c r="AD394" s="16" t="s">
        <v>341</v>
      </c>
      <c r="AE394" s="16" t="s">
        <v>342</v>
      </c>
      <c r="AF394" s="15" t="s">
        <v>343</v>
      </c>
      <c r="AG394" s="15" t="s">
        <v>345</v>
      </c>
      <c r="AH394" s="17" t="s">
        <v>344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704</v>
      </c>
      <c r="AR394" t="s">
        <v>349</v>
      </c>
      <c r="AS394" t="s">
        <v>349</v>
      </c>
      <c r="AT394">
        <v>1</v>
      </c>
      <c r="AU394">
        <v>0</v>
      </c>
      <c r="AV394">
        <v>0</v>
      </c>
      <c r="AW394" t="s">
        <v>704</v>
      </c>
      <c r="AX394" t="s">
        <v>1215</v>
      </c>
      <c r="AY394" t="s">
        <v>293</v>
      </c>
      <c r="AZ394" t="s">
        <v>353</v>
      </c>
      <c r="BA394" t="s">
        <v>296</v>
      </c>
      <c r="BB394" t="s">
        <v>300</v>
      </c>
      <c r="BC394" t="s">
        <v>292</v>
      </c>
      <c r="BD394" t="s">
        <v>293</v>
      </c>
      <c r="BE394" t="s">
        <v>292</v>
      </c>
      <c r="BF394" t="s">
        <v>292</v>
      </c>
      <c r="BG394" t="s">
        <v>293</v>
      </c>
      <c r="BH394" t="s">
        <v>302</v>
      </c>
      <c r="BI394" t="s">
        <v>302</v>
      </c>
      <c r="BJ394" t="s">
        <v>359</v>
      </c>
      <c r="BK394" t="s">
        <v>293</v>
      </c>
      <c r="BL394" t="s">
        <v>293</v>
      </c>
      <c r="BM394" t="s">
        <v>297</v>
      </c>
      <c r="BN394" t="s">
        <v>298</v>
      </c>
      <c r="BO394" t="s">
        <v>293</v>
      </c>
      <c r="BP394" t="s">
        <v>292</v>
      </c>
      <c r="BQ394" t="s">
        <v>293</v>
      </c>
      <c r="BR394" t="s">
        <v>293</v>
      </c>
      <c r="BS394" t="s">
        <v>364</v>
      </c>
      <c r="BT394" t="s">
        <v>366</v>
      </c>
      <c r="BU394" t="s">
        <v>371</v>
      </c>
      <c r="BV394" t="s">
        <v>371</v>
      </c>
      <c r="BW394" t="s">
        <v>2837</v>
      </c>
      <c r="BX394" t="str">
        <f>IF(J394="win",VLOOKUP(B394,ColorScheme!$A$2:$I$32,4,0),VLOOKUP(B394,ColorScheme!$A$2:$I$32,5,0))</f>
        <v>#ceb301</v>
      </c>
    </row>
    <row r="395" spans="1:76" x14ac:dyDescent="0.3">
      <c r="A395" t="s">
        <v>43</v>
      </c>
      <c r="B395" t="s">
        <v>44</v>
      </c>
      <c r="C395" t="s">
        <v>25</v>
      </c>
      <c r="D395" t="s">
        <v>29</v>
      </c>
      <c r="E395" t="s">
        <v>1097</v>
      </c>
      <c r="F395" t="b">
        <v>1</v>
      </c>
      <c r="G395">
        <v>47</v>
      </c>
      <c r="H395">
        <v>0</v>
      </c>
      <c r="I395">
        <v>15882</v>
      </c>
      <c r="J395" s="61" t="s">
        <v>13</v>
      </c>
      <c r="K395" s="16" t="s">
        <v>272</v>
      </c>
      <c r="L395" s="16">
        <v>3</v>
      </c>
      <c r="M395" s="16" t="s">
        <v>277</v>
      </c>
      <c r="N395" s="16" t="s">
        <v>335</v>
      </c>
      <c r="O395" s="15" t="s">
        <v>282</v>
      </c>
      <c r="P395" t="s">
        <v>371</v>
      </c>
      <c r="Q395" t="s">
        <v>371</v>
      </c>
      <c r="R395" s="17" t="s">
        <v>371</v>
      </c>
      <c r="S395" s="17">
        <v>0</v>
      </c>
      <c r="T395" s="17">
        <v>1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 t="s">
        <v>704</v>
      </c>
      <c r="AD395" s="16" t="s">
        <v>341</v>
      </c>
      <c r="AE395" s="16" t="s">
        <v>342</v>
      </c>
      <c r="AF395" s="15" t="s">
        <v>343</v>
      </c>
      <c r="AG395" s="15" t="s">
        <v>344</v>
      </c>
      <c r="AH395" s="17" t="s">
        <v>371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704</v>
      </c>
      <c r="AR395" t="s">
        <v>349</v>
      </c>
      <c r="AS395" t="s">
        <v>349</v>
      </c>
      <c r="AT395">
        <v>1</v>
      </c>
      <c r="AU395">
        <v>0</v>
      </c>
      <c r="AV395">
        <v>0</v>
      </c>
      <c r="AW395" t="s">
        <v>704</v>
      </c>
      <c r="AX395" t="s">
        <v>1208</v>
      </c>
      <c r="AY395" t="s">
        <v>293</v>
      </c>
      <c r="AZ395" t="s">
        <v>353</v>
      </c>
      <c r="BA395" t="s">
        <v>296</v>
      </c>
      <c r="BB395" t="s">
        <v>300</v>
      </c>
      <c r="BC395" t="s">
        <v>293</v>
      </c>
      <c r="BD395" t="s">
        <v>292</v>
      </c>
      <c r="BE395" t="s">
        <v>292</v>
      </c>
      <c r="BF395" t="s">
        <v>292</v>
      </c>
      <c r="BG395" t="s">
        <v>293</v>
      </c>
      <c r="BH395" t="s">
        <v>302</v>
      </c>
      <c r="BI395" t="s">
        <v>302</v>
      </c>
      <c r="BJ395" t="s">
        <v>359</v>
      </c>
      <c r="BK395" t="s">
        <v>293</v>
      </c>
      <c r="BL395" t="s">
        <v>293</v>
      </c>
      <c r="BM395" t="s">
        <v>297</v>
      </c>
      <c r="BN395" t="s">
        <v>356</v>
      </c>
      <c r="BO395" t="s">
        <v>293</v>
      </c>
      <c r="BP395" t="s">
        <v>292</v>
      </c>
      <c r="BQ395" t="s">
        <v>293</v>
      </c>
      <c r="BR395" t="s">
        <v>293</v>
      </c>
      <c r="BS395" t="s">
        <v>364</v>
      </c>
      <c r="BT395" t="s">
        <v>366</v>
      </c>
      <c r="BU395" t="s">
        <v>371</v>
      </c>
      <c r="BV395" t="s">
        <v>371</v>
      </c>
      <c r="BW395" t="s">
        <v>2838</v>
      </c>
      <c r="BX395" t="str">
        <f>IF(J395="win",VLOOKUP(B395,ColorScheme!$A$2:$I$32,4,0),VLOOKUP(B395,ColorScheme!$A$2:$I$32,5,0))</f>
        <v>#ceb301</v>
      </c>
    </row>
    <row r="396" spans="1:76" x14ac:dyDescent="0.3">
      <c r="A396" t="s">
        <v>43</v>
      </c>
      <c r="B396" t="s">
        <v>44</v>
      </c>
      <c r="C396" t="s">
        <v>24</v>
      </c>
      <c r="D396" t="s">
        <v>29</v>
      </c>
      <c r="E396" t="s">
        <v>1098</v>
      </c>
      <c r="F396" t="b">
        <v>1</v>
      </c>
      <c r="G396">
        <v>100</v>
      </c>
      <c r="H396">
        <v>1</v>
      </c>
      <c r="I396">
        <v>10538</v>
      </c>
      <c r="J396" s="61" t="s">
        <v>18</v>
      </c>
      <c r="K396" s="16" t="s">
        <v>272</v>
      </c>
      <c r="L396" s="16">
        <v>3</v>
      </c>
      <c r="M396" s="16" t="s">
        <v>277</v>
      </c>
      <c r="N396" s="16" t="s">
        <v>335</v>
      </c>
      <c r="O396" s="15" t="s">
        <v>282</v>
      </c>
      <c r="P396" t="s">
        <v>339</v>
      </c>
      <c r="Q396" t="s">
        <v>285</v>
      </c>
      <c r="R396" s="17" t="s">
        <v>371</v>
      </c>
      <c r="S396" s="17">
        <v>0</v>
      </c>
      <c r="T396" s="17">
        <v>1</v>
      </c>
      <c r="U396" s="17">
        <v>0</v>
      </c>
      <c r="V396" s="17">
        <v>0</v>
      </c>
      <c r="W396" s="17">
        <v>0</v>
      </c>
      <c r="X396" s="17">
        <v>1</v>
      </c>
      <c r="Y396" s="17">
        <v>0</v>
      </c>
      <c r="Z396" s="17">
        <v>0</v>
      </c>
      <c r="AA396" s="17">
        <v>1</v>
      </c>
      <c r="AB396" s="17">
        <v>0</v>
      </c>
      <c r="AC396" s="17" t="s">
        <v>704</v>
      </c>
      <c r="AD396" s="16" t="s">
        <v>341</v>
      </c>
      <c r="AE396" s="16" t="s">
        <v>340</v>
      </c>
      <c r="AF396" s="15" t="s">
        <v>343</v>
      </c>
      <c r="AG396" s="15" t="s">
        <v>344</v>
      </c>
      <c r="AH396" s="17" t="s">
        <v>371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704</v>
      </c>
      <c r="AR396" t="s">
        <v>349</v>
      </c>
      <c r="AS396" t="s">
        <v>349</v>
      </c>
      <c r="AT396">
        <v>1</v>
      </c>
      <c r="AU396">
        <v>0</v>
      </c>
      <c r="AV396">
        <v>0</v>
      </c>
      <c r="AW396" t="s">
        <v>704</v>
      </c>
      <c r="AX396" t="s">
        <v>1302</v>
      </c>
      <c r="AY396" t="s">
        <v>293</v>
      </c>
      <c r="AZ396" t="s">
        <v>353</v>
      </c>
      <c r="BA396" t="s">
        <v>297</v>
      </c>
      <c r="BB396" t="s">
        <v>300</v>
      </c>
      <c r="BC396" t="s">
        <v>292</v>
      </c>
      <c r="BD396" t="s">
        <v>293</v>
      </c>
      <c r="BE396" t="s">
        <v>292</v>
      </c>
      <c r="BF396" t="s">
        <v>293</v>
      </c>
      <c r="BG396" t="s">
        <v>293</v>
      </c>
      <c r="BH396" t="s">
        <v>302</v>
      </c>
      <c r="BI396" t="s">
        <v>302</v>
      </c>
      <c r="BJ396" t="s">
        <v>302</v>
      </c>
      <c r="BK396" t="s">
        <v>293</v>
      </c>
      <c r="BL396" t="s">
        <v>293</v>
      </c>
      <c r="BM396" t="s">
        <v>297</v>
      </c>
      <c r="BN396" t="s">
        <v>298</v>
      </c>
      <c r="BO396" t="s">
        <v>293</v>
      </c>
      <c r="BP396" t="s">
        <v>292</v>
      </c>
      <c r="BQ396" t="s">
        <v>293</v>
      </c>
      <c r="BR396" t="s">
        <v>293</v>
      </c>
      <c r="BS396" t="s">
        <v>364</v>
      </c>
      <c r="BT396" t="s">
        <v>304</v>
      </c>
      <c r="BU396" t="s">
        <v>371</v>
      </c>
      <c r="BV396" t="s">
        <v>371</v>
      </c>
      <c r="BW396" t="s">
        <v>2839</v>
      </c>
      <c r="BX396" t="str">
        <f>IF(J396="win",VLOOKUP(B396,ColorScheme!$A$2:$I$32,4,0),VLOOKUP(B396,ColorScheme!$A$2:$I$32,5,0))</f>
        <v>#ceb30150</v>
      </c>
    </row>
    <row r="397" spans="1:76" x14ac:dyDescent="0.3">
      <c r="A397" t="s">
        <v>43</v>
      </c>
      <c r="B397" t="s">
        <v>44</v>
      </c>
      <c r="C397" t="s">
        <v>21</v>
      </c>
      <c r="D397" t="s">
        <v>29</v>
      </c>
      <c r="E397" t="s">
        <v>1099</v>
      </c>
      <c r="F397" t="b">
        <v>1</v>
      </c>
      <c r="G397">
        <v>100</v>
      </c>
      <c r="H397">
        <v>1</v>
      </c>
      <c r="I397">
        <v>9586</v>
      </c>
      <c r="J397" s="61" t="s">
        <v>18</v>
      </c>
      <c r="K397" s="16" t="s">
        <v>272</v>
      </c>
      <c r="L397" s="16">
        <v>2</v>
      </c>
      <c r="M397" s="16" t="s">
        <v>277</v>
      </c>
      <c r="N397" s="16" t="s">
        <v>335</v>
      </c>
      <c r="O397" s="15" t="s">
        <v>282</v>
      </c>
      <c r="P397" t="s">
        <v>371</v>
      </c>
      <c r="Q397" t="s">
        <v>371</v>
      </c>
      <c r="R397" s="17" t="s">
        <v>371</v>
      </c>
      <c r="S397" s="17">
        <v>0</v>
      </c>
      <c r="T397" s="17">
        <v>1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 t="s">
        <v>704</v>
      </c>
      <c r="AD397" s="16" t="s">
        <v>341</v>
      </c>
      <c r="AE397" s="16" t="s">
        <v>340</v>
      </c>
      <c r="AF397" s="15" t="s">
        <v>340</v>
      </c>
      <c r="AG397" s="15" t="s">
        <v>345</v>
      </c>
      <c r="AH397" s="17" t="s">
        <v>371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704</v>
      </c>
      <c r="AR397" t="s">
        <v>349</v>
      </c>
      <c r="AS397" t="s">
        <v>349</v>
      </c>
      <c r="AT397">
        <v>1</v>
      </c>
      <c r="AU397">
        <v>0</v>
      </c>
      <c r="AV397">
        <v>0</v>
      </c>
      <c r="AW397" t="s">
        <v>704</v>
      </c>
      <c r="AX397" t="s">
        <v>1232</v>
      </c>
      <c r="AY397" t="s">
        <v>293</v>
      </c>
      <c r="AZ397" t="s">
        <v>354</v>
      </c>
      <c r="BA397" t="s">
        <v>354</v>
      </c>
      <c r="BB397" t="s">
        <v>300</v>
      </c>
      <c r="BC397" t="s">
        <v>292</v>
      </c>
      <c r="BD397" t="s">
        <v>293</v>
      </c>
      <c r="BE397" t="s">
        <v>292</v>
      </c>
      <c r="BF397" t="s">
        <v>293</v>
      </c>
      <c r="BG397" t="s">
        <v>293</v>
      </c>
      <c r="BH397" t="s">
        <v>302</v>
      </c>
      <c r="BI397" t="s">
        <v>302</v>
      </c>
      <c r="BJ397" t="s">
        <v>357</v>
      </c>
      <c r="BK397" t="s">
        <v>293</v>
      </c>
      <c r="BL397" t="s">
        <v>293</v>
      </c>
      <c r="BM397" t="s">
        <v>297</v>
      </c>
      <c r="BN397" t="s">
        <v>298</v>
      </c>
      <c r="BO397" t="s">
        <v>293</v>
      </c>
      <c r="BP397" t="s">
        <v>292</v>
      </c>
      <c r="BQ397" t="s">
        <v>293</v>
      </c>
      <c r="BR397" t="s">
        <v>293</v>
      </c>
      <c r="BS397" t="s">
        <v>364</v>
      </c>
      <c r="BT397" t="s">
        <v>304</v>
      </c>
      <c r="BU397" t="s">
        <v>371</v>
      </c>
      <c r="BV397" t="s">
        <v>371</v>
      </c>
      <c r="BW397" t="s">
        <v>2840</v>
      </c>
      <c r="BX397" t="str">
        <f>IF(J397="win",VLOOKUP(B397,ColorScheme!$A$2:$I$32,4,0),VLOOKUP(B397,ColorScheme!$A$2:$I$32,5,0))</f>
        <v>#ceb30150</v>
      </c>
    </row>
    <row r="398" spans="1:76" x14ac:dyDescent="0.3">
      <c r="A398" t="s">
        <v>43</v>
      </c>
      <c r="B398" t="s">
        <v>44</v>
      </c>
      <c r="C398" t="s">
        <v>22</v>
      </c>
      <c r="D398" t="s">
        <v>29</v>
      </c>
      <c r="E398" t="s">
        <v>1100</v>
      </c>
      <c r="F398" t="b">
        <v>1</v>
      </c>
      <c r="G398">
        <v>44.5</v>
      </c>
      <c r="H398">
        <v>0</v>
      </c>
      <c r="I398">
        <v>15364</v>
      </c>
      <c r="J398" s="61" t="s">
        <v>13</v>
      </c>
      <c r="K398" s="16" t="s">
        <v>272</v>
      </c>
      <c r="L398" s="16">
        <v>3</v>
      </c>
      <c r="M398" s="16" t="s">
        <v>277</v>
      </c>
      <c r="N398" s="16" t="s">
        <v>335</v>
      </c>
      <c r="O398" s="15" t="s">
        <v>282</v>
      </c>
      <c r="P398" t="s">
        <v>371</v>
      </c>
      <c r="Q398" t="s">
        <v>371</v>
      </c>
      <c r="R398" s="17" t="s">
        <v>371</v>
      </c>
      <c r="S398" s="17">
        <v>0</v>
      </c>
      <c r="T398" s="17">
        <v>1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 t="s">
        <v>704</v>
      </c>
      <c r="AD398" s="16" t="s">
        <v>341</v>
      </c>
      <c r="AE398" s="16" t="s">
        <v>340</v>
      </c>
      <c r="AF398" s="15" t="s">
        <v>343</v>
      </c>
      <c r="AG398" s="15" t="s">
        <v>345</v>
      </c>
      <c r="AH398" s="17" t="s">
        <v>371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704</v>
      </c>
      <c r="AR398" t="s">
        <v>349</v>
      </c>
      <c r="AS398" t="s">
        <v>349</v>
      </c>
      <c r="AT398">
        <v>1</v>
      </c>
      <c r="AU398">
        <v>0</v>
      </c>
      <c r="AV398">
        <v>0</v>
      </c>
      <c r="AW398" t="s">
        <v>704</v>
      </c>
      <c r="AX398" t="s">
        <v>1232</v>
      </c>
      <c r="AY398" t="s">
        <v>293</v>
      </c>
      <c r="AZ398" t="s">
        <v>353</v>
      </c>
      <c r="BA398" t="s">
        <v>296</v>
      </c>
      <c r="BB398" t="s">
        <v>300</v>
      </c>
      <c r="BC398" t="s">
        <v>292</v>
      </c>
      <c r="BD398" t="s">
        <v>293</v>
      </c>
      <c r="BE398" t="s">
        <v>292</v>
      </c>
      <c r="BF398" t="s">
        <v>292</v>
      </c>
      <c r="BG398" t="s">
        <v>293</v>
      </c>
      <c r="BH398" t="s">
        <v>302</v>
      </c>
      <c r="BI398" t="s">
        <v>302</v>
      </c>
      <c r="BJ398" t="s">
        <v>359</v>
      </c>
      <c r="BK398" t="s">
        <v>293</v>
      </c>
      <c r="BL398" t="s">
        <v>293</v>
      </c>
      <c r="BM398" t="s">
        <v>297</v>
      </c>
      <c r="BN398" t="s">
        <v>298</v>
      </c>
      <c r="BO398" t="s">
        <v>293</v>
      </c>
      <c r="BP398" t="s">
        <v>292</v>
      </c>
      <c r="BQ398" t="s">
        <v>293</v>
      </c>
      <c r="BR398" t="s">
        <v>293</v>
      </c>
      <c r="BS398" t="s">
        <v>364</v>
      </c>
      <c r="BT398" t="s">
        <v>366</v>
      </c>
      <c r="BU398" t="s">
        <v>371</v>
      </c>
      <c r="BV398" t="s">
        <v>371</v>
      </c>
      <c r="BW398" t="s">
        <v>2841</v>
      </c>
      <c r="BX398" t="str">
        <f>IF(J398="win",VLOOKUP(B398,ColorScheme!$A$2:$I$32,4,0),VLOOKUP(B398,ColorScheme!$A$2:$I$32,5,0))</f>
        <v>#ceb301</v>
      </c>
    </row>
    <row r="399" spans="1:76" x14ac:dyDescent="0.3">
      <c r="A399" t="s">
        <v>45</v>
      </c>
      <c r="B399" t="s">
        <v>75</v>
      </c>
      <c r="C399" t="s">
        <v>15</v>
      </c>
      <c r="D399" t="s">
        <v>12</v>
      </c>
      <c r="E399" t="s">
        <v>1101</v>
      </c>
      <c r="F399" t="b">
        <v>1</v>
      </c>
      <c r="G399">
        <v>89.9</v>
      </c>
      <c r="H399">
        <v>0</v>
      </c>
      <c r="I399">
        <v>19855</v>
      </c>
      <c r="J399" s="61" t="s">
        <v>13</v>
      </c>
      <c r="K399" s="16" t="s">
        <v>272</v>
      </c>
      <c r="L399" s="16">
        <v>2</v>
      </c>
      <c r="M399" s="16" t="s">
        <v>277</v>
      </c>
      <c r="N399" s="16" t="s">
        <v>335</v>
      </c>
      <c r="O399" s="15" t="s">
        <v>283</v>
      </c>
      <c r="P399" t="s">
        <v>281</v>
      </c>
      <c r="Q399" t="s">
        <v>284</v>
      </c>
      <c r="R399" s="17" t="s">
        <v>371</v>
      </c>
      <c r="S399" s="17">
        <v>1</v>
      </c>
      <c r="T399" s="17">
        <v>0</v>
      </c>
      <c r="U399" s="17">
        <v>1</v>
      </c>
      <c r="V399" s="17">
        <v>1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 t="s">
        <v>704</v>
      </c>
      <c r="AD399" s="16" t="s">
        <v>340</v>
      </c>
      <c r="AE399" s="16" t="s">
        <v>342</v>
      </c>
      <c r="AF399" s="15" t="s">
        <v>340</v>
      </c>
      <c r="AG399" s="15" t="s">
        <v>344</v>
      </c>
      <c r="AH399" s="17" t="s">
        <v>371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704</v>
      </c>
      <c r="AR399" t="s">
        <v>349</v>
      </c>
      <c r="AS399" t="s">
        <v>349</v>
      </c>
      <c r="AT399">
        <v>1</v>
      </c>
      <c r="AU399">
        <v>0</v>
      </c>
      <c r="AV399">
        <v>0</v>
      </c>
      <c r="AW399" t="s">
        <v>704</v>
      </c>
      <c r="AX399" t="s">
        <v>1274</v>
      </c>
      <c r="AY399" t="s">
        <v>293</v>
      </c>
      <c r="AZ399" t="s">
        <v>354</v>
      </c>
      <c r="BA399" t="s">
        <v>354</v>
      </c>
      <c r="BB399" t="s">
        <v>299</v>
      </c>
      <c r="BC399" t="s">
        <v>293</v>
      </c>
      <c r="BD399" t="s">
        <v>292</v>
      </c>
      <c r="BE399" t="s">
        <v>292</v>
      </c>
      <c r="BF399" t="s">
        <v>293</v>
      </c>
      <c r="BG399" t="s">
        <v>293</v>
      </c>
      <c r="BH399" t="s">
        <v>302</v>
      </c>
      <c r="BI399" t="s">
        <v>302</v>
      </c>
      <c r="BJ399" t="s">
        <v>357</v>
      </c>
      <c r="BK399" t="s">
        <v>293</v>
      </c>
      <c r="BL399" t="s">
        <v>293</v>
      </c>
      <c r="BM399" t="s">
        <v>297</v>
      </c>
      <c r="BN399" t="s">
        <v>356</v>
      </c>
      <c r="BO399" t="s">
        <v>293</v>
      </c>
      <c r="BP399" t="s">
        <v>292</v>
      </c>
      <c r="BQ399" t="s">
        <v>293</v>
      </c>
      <c r="BR399" t="s">
        <v>293</v>
      </c>
      <c r="BS399" t="s">
        <v>364</v>
      </c>
      <c r="BT399" t="s">
        <v>366</v>
      </c>
      <c r="BU399" t="s">
        <v>371</v>
      </c>
      <c r="BV399" t="s">
        <v>371</v>
      </c>
      <c r="BW399" t="s">
        <v>2842</v>
      </c>
      <c r="BX399" t="str">
        <f>IF(J399="win",VLOOKUP(B399,ColorScheme!$A$2:$I$32,4,0),VLOOKUP(B399,ColorScheme!$A$2:$I$32,5,0))</f>
        <v>#c04e01</v>
      </c>
    </row>
    <row r="400" spans="1:76" x14ac:dyDescent="0.3">
      <c r="A400" t="s">
        <v>45</v>
      </c>
      <c r="B400" t="s">
        <v>75</v>
      </c>
      <c r="C400" t="s">
        <v>14</v>
      </c>
      <c r="D400" t="s">
        <v>12</v>
      </c>
      <c r="E400" t="s">
        <v>1102</v>
      </c>
      <c r="F400" t="b">
        <v>1</v>
      </c>
      <c r="G400">
        <v>100</v>
      </c>
      <c r="H400">
        <v>1</v>
      </c>
      <c r="I400">
        <v>21851</v>
      </c>
      <c r="J400" s="61" t="s">
        <v>13</v>
      </c>
      <c r="K400" s="16" t="s">
        <v>272</v>
      </c>
      <c r="L400" s="16">
        <v>3</v>
      </c>
      <c r="M400" s="16" t="s">
        <v>277</v>
      </c>
      <c r="N400" s="16" t="s">
        <v>335</v>
      </c>
      <c r="O400" s="15" t="s">
        <v>282</v>
      </c>
      <c r="P400" t="s">
        <v>281</v>
      </c>
      <c r="Q400" t="s">
        <v>284</v>
      </c>
      <c r="R400" s="17" t="s">
        <v>371</v>
      </c>
      <c r="S400" s="17">
        <v>1</v>
      </c>
      <c r="T400" s="17">
        <v>1</v>
      </c>
      <c r="U400" s="17">
        <v>0</v>
      </c>
      <c r="V400" s="17">
        <v>1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 t="s">
        <v>704</v>
      </c>
      <c r="AD400" s="16" t="s">
        <v>340</v>
      </c>
      <c r="AE400" s="16" t="s">
        <v>342</v>
      </c>
      <c r="AF400" s="15" t="s">
        <v>343</v>
      </c>
      <c r="AG400" s="15" t="s">
        <v>344</v>
      </c>
      <c r="AH400" s="17" t="s">
        <v>371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704</v>
      </c>
      <c r="AR400" t="s">
        <v>349</v>
      </c>
      <c r="AS400" t="s">
        <v>349</v>
      </c>
      <c r="AT400">
        <v>1</v>
      </c>
      <c r="AU400">
        <v>0</v>
      </c>
      <c r="AV400">
        <v>0</v>
      </c>
      <c r="AW400" t="s">
        <v>704</v>
      </c>
      <c r="AX400" t="s">
        <v>1318</v>
      </c>
      <c r="AY400" t="s">
        <v>293</v>
      </c>
      <c r="AZ400" t="s">
        <v>353</v>
      </c>
      <c r="BA400" t="s">
        <v>297</v>
      </c>
      <c r="BB400" t="s">
        <v>300</v>
      </c>
      <c r="BC400" t="s">
        <v>293</v>
      </c>
      <c r="BD400" t="s">
        <v>292</v>
      </c>
      <c r="BE400" t="s">
        <v>292</v>
      </c>
      <c r="BF400" t="s">
        <v>293</v>
      </c>
      <c r="BG400" t="s">
        <v>293</v>
      </c>
      <c r="BH400" t="s">
        <v>302</v>
      </c>
      <c r="BI400" t="s">
        <v>302</v>
      </c>
      <c r="BJ400" t="s">
        <v>359</v>
      </c>
      <c r="BK400" t="s">
        <v>293</v>
      </c>
      <c r="BL400" t="s">
        <v>293</v>
      </c>
      <c r="BM400" t="s">
        <v>297</v>
      </c>
      <c r="BN400" t="s">
        <v>356</v>
      </c>
      <c r="BO400" t="s">
        <v>293</v>
      </c>
      <c r="BP400" t="s">
        <v>292</v>
      </c>
      <c r="BQ400" t="s">
        <v>293</v>
      </c>
      <c r="BR400" t="s">
        <v>293</v>
      </c>
      <c r="BS400" t="s">
        <v>364</v>
      </c>
      <c r="BT400" t="s">
        <v>366</v>
      </c>
      <c r="BU400" t="s">
        <v>371</v>
      </c>
      <c r="BV400" t="s">
        <v>371</v>
      </c>
      <c r="BW400" t="s">
        <v>2843</v>
      </c>
      <c r="BX400" t="str">
        <f>IF(J400="win",VLOOKUP(B400,ColorScheme!$A$2:$I$32,4,0),VLOOKUP(B400,ColorScheme!$A$2:$I$32,5,0))</f>
        <v>#c04e01</v>
      </c>
    </row>
    <row r="401" spans="1:76" x14ac:dyDescent="0.3">
      <c r="A401" t="s">
        <v>45</v>
      </c>
      <c r="B401" t="s">
        <v>75</v>
      </c>
      <c r="C401" t="s">
        <v>11</v>
      </c>
      <c r="D401" t="s">
        <v>12</v>
      </c>
      <c r="E401" t="s">
        <v>1103</v>
      </c>
      <c r="F401" t="b">
        <v>1</v>
      </c>
      <c r="G401">
        <v>99.9</v>
      </c>
      <c r="H401">
        <v>0</v>
      </c>
      <c r="I401">
        <v>22156</v>
      </c>
      <c r="J401" s="61" t="s">
        <v>18</v>
      </c>
      <c r="K401" s="16" t="s">
        <v>272</v>
      </c>
      <c r="L401" s="16">
        <v>2</v>
      </c>
      <c r="M401" s="16" t="s">
        <v>277</v>
      </c>
      <c r="N401" s="16" t="s">
        <v>335</v>
      </c>
      <c r="O401" s="15" t="s">
        <v>282</v>
      </c>
      <c r="P401" t="s">
        <v>281</v>
      </c>
      <c r="Q401" t="s">
        <v>284</v>
      </c>
      <c r="R401" s="17" t="s">
        <v>371</v>
      </c>
      <c r="S401" s="17">
        <v>1</v>
      </c>
      <c r="T401" s="17">
        <v>1</v>
      </c>
      <c r="U401" s="17">
        <v>0</v>
      </c>
      <c r="V401" s="17">
        <v>1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 t="s">
        <v>704</v>
      </c>
      <c r="AD401" s="16" t="s">
        <v>340</v>
      </c>
      <c r="AE401" s="16" t="s">
        <v>342</v>
      </c>
      <c r="AF401" s="15" t="s">
        <v>340</v>
      </c>
      <c r="AG401" s="15" t="s">
        <v>344</v>
      </c>
      <c r="AH401" s="17" t="s">
        <v>371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704</v>
      </c>
      <c r="AR401" t="s">
        <v>349</v>
      </c>
      <c r="AS401" t="s">
        <v>349</v>
      </c>
      <c r="AT401">
        <v>1</v>
      </c>
      <c r="AU401">
        <v>0</v>
      </c>
      <c r="AV401">
        <v>0</v>
      </c>
      <c r="AW401" t="s">
        <v>704</v>
      </c>
      <c r="AX401" t="s">
        <v>1318</v>
      </c>
      <c r="AY401" t="s">
        <v>293</v>
      </c>
      <c r="AZ401" t="s">
        <v>354</v>
      </c>
      <c r="BA401" t="s">
        <v>354</v>
      </c>
      <c r="BB401" t="s">
        <v>299</v>
      </c>
      <c r="BC401" t="s">
        <v>293</v>
      </c>
      <c r="BD401" t="s">
        <v>292</v>
      </c>
      <c r="BE401" t="s">
        <v>292</v>
      </c>
      <c r="BF401" t="s">
        <v>293</v>
      </c>
      <c r="BG401" t="s">
        <v>293</v>
      </c>
      <c r="BH401" t="s">
        <v>302</v>
      </c>
      <c r="BI401" t="s">
        <v>302</v>
      </c>
      <c r="BJ401" t="s">
        <v>357</v>
      </c>
      <c r="BK401" t="s">
        <v>293</v>
      </c>
      <c r="BL401" t="s">
        <v>293</v>
      </c>
      <c r="BM401" t="s">
        <v>297</v>
      </c>
      <c r="BN401" t="s">
        <v>356</v>
      </c>
      <c r="BO401" t="s">
        <v>293</v>
      </c>
      <c r="BP401" t="s">
        <v>292</v>
      </c>
      <c r="BQ401" t="s">
        <v>293</v>
      </c>
      <c r="BR401" t="s">
        <v>293</v>
      </c>
      <c r="BS401" t="s">
        <v>364</v>
      </c>
      <c r="BT401" t="s">
        <v>367</v>
      </c>
      <c r="BU401" t="s">
        <v>371</v>
      </c>
      <c r="BV401" t="s">
        <v>371</v>
      </c>
      <c r="BW401" t="s">
        <v>2844</v>
      </c>
      <c r="BX401" t="str">
        <f>IF(J401="win",VLOOKUP(B401,ColorScheme!$A$2:$I$32,4,0),VLOOKUP(B401,ColorScheme!$A$2:$I$32,5,0))</f>
        <v>#c04e0150</v>
      </c>
    </row>
    <row r="402" spans="1:76" x14ac:dyDescent="0.3">
      <c r="A402" t="s">
        <v>45</v>
      </c>
      <c r="B402" t="s">
        <v>75</v>
      </c>
      <c r="C402" t="s">
        <v>19</v>
      </c>
      <c r="D402" t="s">
        <v>12</v>
      </c>
      <c r="E402" t="s">
        <v>1104</v>
      </c>
      <c r="F402" t="b">
        <v>1</v>
      </c>
      <c r="G402">
        <v>100</v>
      </c>
      <c r="H402">
        <v>1</v>
      </c>
      <c r="I402">
        <v>14900</v>
      </c>
      <c r="J402" s="61" t="s">
        <v>18</v>
      </c>
      <c r="K402" s="16" t="s">
        <v>272</v>
      </c>
      <c r="L402" s="16">
        <v>2</v>
      </c>
      <c r="M402" s="16" t="s">
        <v>277</v>
      </c>
      <c r="N402" s="16" t="s">
        <v>335</v>
      </c>
      <c r="O402" s="15" t="s">
        <v>282</v>
      </c>
      <c r="P402" t="s">
        <v>371</v>
      </c>
      <c r="Q402" t="s">
        <v>371</v>
      </c>
      <c r="R402" s="17" t="s">
        <v>371</v>
      </c>
      <c r="S402" s="17">
        <v>0</v>
      </c>
      <c r="T402" s="17">
        <v>1</v>
      </c>
      <c r="U402" s="17">
        <v>0</v>
      </c>
      <c r="V402" s="17">
        <v>0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 t="s">
        <v>704</v>
      </c>
      <c r="AD402" s="16" t="s">
        <v>340</v>
      </c>
      <c r="AE402" s="16" t="s">
        <v>342</v>
      </c>
      <c r="AF402" s="15" t="s">
        <v>340</v>
      </c>
      <c r="AG402" s="15" t="s">
        <v>347</v>
      </c>
      <c r="AH402" s="17" t="s">
        <v>371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 t="s">
        <v>704</v>
      </c>
      <c r="AR402" t="s">
        <v>349</v>
      </c>
      <c r="AS402" t="s">
        <v>349</v>
      </c>
      <c r="AT402">
        <v>1</v>
      </c>
      <c r="AU402">
        <v>0</v>
      </c>
      <c r="AV402">
        <v>0</v>
      </c>
      <c r="AW402" t="s">
        <v>704</v>
      </c>
      <c r="AX402" t="s">
        <v>1227</v>
      </c>
      <c r="AY402" t="s">
        <v>293</v>
      </c>
      <c r="AZ402" t="s">
        <v>354</v>
      </c>
      <c r="BA402" t="s">
        <v>354</v>
      </c>
      <c r="BB402" t="s">
        <v>299</v>
      </c>
      <c r="BC402" t="s">
        <v>292</v>
      </c>
      <c r="BD402" t="s">
        <v>293</v>
      </c>
      <c r="BE402" t="s">
        <v>293</v>
      </c>
      <c r="BF402" t="s">
        <v>292</v>
      </c>
      <c r="BG402" t="s">
        <v>293</v>
      </c>
      <c r="BH402" t="s">
        <v>302</v>
      </c>
      <c r="BI402" t="s">
        <v>302</v>
      </c>
      <c r="BJ402" t="s">
        <v>357</v>
      </c>
      <c r="BK402" t="s">
        <v>293</v>
      </c>
      <c r="BL402" t="s">
        <v>293</v>
      </c>
      <c r="BM402" t="s">
        <v>296</v>
      </c>
      <c r="BN402" t="s">
        <v>298</v>
      </c>
      <c r="BO402" t="s">
        <v>293</v>
      </c>
      <c r="BP402" t="s">
        <v>292</v>
      </c>
      <c r="BQ402" t="s">
        <v>293</v>
      </c>
      <c r="BR402" t="s">
        <v>293</v>
      </c>
      <c r="BS402" t="s">
        <v>364</v>
      </c>
      <c r="BT402" t="s">
        <v>304</v>
      </c>
      <c r="BU402" t="s">
        <v>371</v>
      </c>
      <c r="BV402" t="s">
        <v>371</v>
      </c>
      <c r="BW402" t="s">
        <v>2845</v>
      </c>
      <c r="BX402" t="str">
        <f>IF(J402="win",VLOOKUP(B402,ColorScheme!$A$2:$I$32,4,0),VLOOKUP(B402,ColorScheme!$A$2:$I$32,5,0))</f>
        <v>#c04e0150</v>
      </c>
    </row>
    <row r="403" spans="1:76" x14ac:dyDescent="0.3">
      <c r="A403" t="s">
        <v>45</v>
      </c>
      <c r="B403" t="s">
        <v>75</v>
      </c>
      <c r="C403" t="s">
        <v>17</v>
      </c>
      <c r="D403" t="s">
        <v>12</v>
      </c>
      <c r="E403" t="s">
        <v>1105</v>
      </c>
      <c r="F403" t="b">
        <v>1</v>
      </c>
      <c r="G403">
        <v>100</v>
      </c>
      <c r="H403">
        <v>1</v>
      </c>
      <c r="I403">
        <v>14657</v>
      </c>
      <c r="J403" s="61" t="s">
        <v>18</v>
      </c>
      <c r="K403" s="16" t="s">
        <v>272</v>
      </c>
      <c r="L403" s="16">
        <v>2</v>
      </c>
      <c r="M403" s="16" t="s">
        <v>277</v>
      </c>
      <c r="N403" s="16" t="s">
        <v>335</v>
      </c>
      <c r="O403" s="15" t="s">
        <v>282</v>
      </c>
      <c r="P403" t="s">
        <v>281</v>
      </c>
      <c r="Q403" t="s">
        <v>284</v>
      </c>
      <c r="R403" s="17" t="s">
        <v>371</v>
      </c>
      <c r="S403" s="17">
        <v>1</v>
      </c>
      <c r="T403" s="17">
        <v>1</v>
      </c>
      <c r="U403" s="17">
        <v>0</v>
      </c>
      <c r="V403" s="17">
        <v>1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 t="s">
        <v>704</v>
      </c>
      <c r="AD403" s="16" t="s">
        <v>340</v>
      </c>
      <c r="AE403" s="16" t="s">
        <v>342</v>
      </c>
      <c r="AF403" s="15" t="s">
        <v>340</v>
      </c>
      <c r="AG403" s="15" t="s">
        <v>344</v>
      </c>
      <c r="AH403" s="17" t="s">
        <v>371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704</v>
      </c>
      <c r="AR403" t="s">
        <v>349</v>
      </c>
      <c r="AS403" t="s">
        <v>349</v>
      </c>
      <c r="AT403">
        <v>1</v>
      </c>
      <c r="AU403">
        <v>0</v>
      </c>
      <c r="AV403">
        <v>0</v>
      </c>
      <c r="AW403" t="s">
        <v>704</v>
      </c>
      <c r="AX403" t="s">
        <v>1318</v>
      </c>
      <c r="AY403" t="s">
        <v>293</v>
      </c>
      <c r="AZ403" t="s">
        <v>354</v>
      </c>
      <c r="BA403" t="s">
        <v>354</v>
      </c>
      <c r="BB403" t="s">
        <v>299</v>
      </c>
      <c r="BC403" t="s">
        <v>293</v>
      </c>
      <c r="BD403" t="s">
        <v>292</v>
      </c>
      <c r="BE403" t="s">
        <v>292</v>
      </c>
      <c r="BF403" t="s">
        <v>293</v>
      </c>
      <c r="BG403" t="s">
        <v>293</v>
      </c>
      <c r="BH403" t="s">
        <v>302</v>
      </c>
      <c r="BI403" t="s">
        <v>302</v>
      </c>
      <c r="BJ403" t="s">
        <v>357</v>
      </c>
      <c r="BK403" t="s">
        <v>293</v>
      </c>
      <c r="BL403" t="s">
        <v>293</v>
      </c>
      <c r="BM403" t="s">
        <v>297</v>
      </c>
      <c r="BN403" t="s">
        <v>356</v>
      </c>
      <c r="BO403" t="s">
        <v>293</v>
      </c>
      <c r="BP403" t="s">
        <v>292</v>
      </c>
      <c r="BQ403" t="s">
        <v>293</v>
      </c>
      <c r="BR403" t="s">
        <v>293</v>
      </c>
      <c r="BS403" t="s">
        <v>364</v>
      </c>
      <c r="BT403" t="s">
        <v>304</v>
      </c>
      <c r="BU403" t="s">
        <v>371</v>
      </c>
      <c r="BV403" t="s">
        <v>371</v>
      </c>
      <c r="BW403" t="s">
        <v>2846</v>
      </c>
      <c r="BX403" t="str">
        <f>IF(J403="win",VLOOKUP(B403,ColorScheme!$A$2:$I$32,4,0),VLOOKUP(B403,ColorScheme!$A$2:$I$32,5,0))</f>
        <v>#c04e0150</v>
      </c>
    </row>
    <row r="404" spans="1:76" x14ac:dyDescent="0.3">
      <c r="A404" t="s">
        <v>45</v>
      </c>
      <c r="B404" t="s">
        <v>75</v>
      </c>
      <c r="C404" t="s">
        <v>16</v>
      </c>
      <c r="D404" t="s">
        <v>12</v>
      </c>
      <c r="E404" t="s">
        <v>1106</v>
      </c>
      <c r="F404" t="b">
        <v>1</v>
      </c>
      <c r="G404">
        <v>100</v>
      </c>
      <c r="H404">
        <v>1</v>
      </c>
      <c r="I404">
        <v>17386</v>
      </c>
      <c r="J404" s="61" t="s">
        <v>18</v>
      </c>
      <c r="K404" s="16" t="s">
        <v>272</v>
      </c>
      <c r="L404" s="16">
        <v>2</v>
      </c>
      <c r="M404" s="16" t="s">
        <v>277</v>
      </c>
      <c r="N404" s="16" t="s">
        <v>335</v>
      </c>
      <c r="O404" s="15" t="s">
        <v>282</v>
      </c>
      <c r="P404" t="s">
        <v>371</v>
      </c>
      <c r="Q404" t="s">
        <v>371</v>
      </c>
      <c r="R404" s="17" t="s">
        <v>371</v>
      </c>
      <c r="S404" s="17">
        <v>0</v>
      </c>
      <c r="T404" s="17">
        <v>1</v>
      </c>
      <c r="U404" s="17">
        <v>0</v>
      </c>
      <c r="V404" s="17">
        <v>0</v>
      </c>
      <c r="W404" s="17">
        <v>0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 t="s">
        <v>704</v>
      </c>
      <c r="AD404" s="16" t="s">
        <v>340</v>
      </c>
      <c r="AE404" s="16" t="s">
        <v>342</v>
      </c>
      <c r="AF404" s="15" t="s">
        <v>340</v>
      </c>
      <c r="AG404" s="15" t="s">
        <v>347</v>
      </c>
      <c r="AH404" s="17" t="s">
        <v>371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 t="s">
        <v>704</v>
      </c>
      <c r="AR404" t="s">
        <v>349</v>
      </c>
      <c r="AS404" t="s">
        <v>349</v>
      </c>
      <c r="AT404">
        <v>1</v>
      </c>
      <c r="AU404">
        <v>0</v>
      </c>
      <c r="AV404">
        <v>0</v>
      </c>
      <c r="AW404" t="s">
        <v>704</v>
      </c>
      <c r="AX404" t="s">
        <v>1227</v>
      </c>
      <c r="AY404" t="s">
        <v>293</v>
      </c>
      <c r="AZ404" t="s">
        <v>354</v>
      </c>
      <c r="BA404" t="s">
        <v>354</v>
      </c>
      <c r="BB404" t="s">
        <v>300</v>
      </c>
      <c r="BC404" t="s">
        <v>292</v>
      </c>
      <c r="BD404" t="s">
        <v>293</v>
      </c>
      <c r="BE404" t="s">
        <v>293</v>
      </c>
      <c r="BF404" t="s">
        <v>292</v>
      </c>
      <c r="BG404" t="s">
        <v>293</v>
      </c>
      <c r="BH404" t="s">
        <v>302</v>
      </c>
      <c r="BI404" t="s">
        <v>302</v>
      </c>
      <c r="BJ404" t="s">
        <v>357</v>
      </c>
      <c r="BK404" t="s">
        <v>293</v>
      </c>
      <c r="BL404" t="s">
        <v>293</v>
      </c>
      <c r="BM404" t="s">
        <v>296</v>
      </c>
      <c r="BN404" t="s">
        <v>298</v>
      </c>
      <c r="BO404" t="s">
        <v>293</v>
      </c>
      <c r="BP404" t="s">
        <v>292</v>
      </c>
      <c r="BQ404" t="s">
        <v>293</v>
      </c>
      <c r="BR404" t="s">
        <v>293</v>
      </c>
      <c r="BS404" t="s">
        <v>364</v>
      </c>
      <c r="BT404" t="s">
        <v>304</v>
      </c>
      <c r="BU404" t="s">
        <v>371</v>
      </c>
      <c r="BV404" t="s">
        <v>371</v>
      </c>
      <c r="BW404" t="s">
        <v>2847</v>
      </c>
      <c r="BX404" t="str">
        <f>IF(J404="win",VLOOKUP(B404,ColorScheme!$A$2:$I$32,4,0),VLOOKUP(B404,ColorScheme!$A$2:$I$32,5,0))</f>
        <v>#c04e0150</v>
      </c>
    </row>
    <row r="405" spans="1:76" x14ac:dyDescent="0.3">
      <c r="A405" t="s">
        <v>45</v>
      </c>
      <c r="B405" t="s">
        <v>75</v>
      </c>
      <c r="C405" t="s">
        <v>20</v>
      </c>
      <c r="D405" t="s">
        <v>12</v>
      </c>
      <c r="E405" t="s">
        <v>1107</v>
      </c>
      <c r="F405" t="b">
        <v>1</v>
      </c>
      <c r="G405">
        <v>100</v>
      </c>
      <c r="H405">
        <v>1</v>
      </c>
      <c r="I405">
        <v>14795</v>
      </c>
      <c r="J405" s="61" t="s">
        <v>18</v>
      </c>
      <c r="K405" s="16" t="s">
        <v>272</v>
      </c>
      <c r="L405" s="16">
        <v>2</v>
      </c>
      <c r="M405" s="16" t="s">
        <v>277</v>
      </c>
      <c r="N405" s="16" t="s">
        <v>335</v>
      </c>
      <c r="O405" s="15" t="s">
        <v>282</v>
      </c>
      <c r="P405" t="s">
        <v>281</v>
      </c>
      <c r="Q405" t="s">
        <v>284</v>
      </c>
      <c r="R405" s="17" t="s">
        <v>371</v>
      </c>
      <c r="S405" s="17">
        <v>1</v>
      </c>
      <c r="T405" s="17">
        <v>1</v>
      </c>
      <c r="U405" s="17">
        <v>0</v>
      </c>
      <c r="V405" s="17">
        <v>1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 t="s">
        <v>704</v>
      </c>
      <c r="AD405" s="16" t="s">
        <v>340</v>
      </c>
      <c r="AE405" s="16" t="s">
        <v>342</v>
      </c>
      <c r="AF405" s="15" t="s">
        <v>340</v>
      </c>
      <c r="AG405" s="15" t="s">
        <v>344</v>
      </c>
      <c r="AH405" s="17" t="s">
        <v>371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704</v>
      </c>
      <c r="AR405" t="s">
        <v>349</v>
      </c>
      <c r="AS405" t="s">
        <v>349</v>
      </c>
      <c r="AT405">
        <v>1</v>
      </c>
      <c r="AU405">
        <v>0</v>
      </c>
      <c r="AV405">
        <v>0</v>
      </c>
      <c r="AW405" t="s">
        <v>704</v>
      </c>
      <c r="AX405" t="s">
        <v>1318</v>
      </c>
      <c r="AY405" t="s">
        <v>293</v>
      </c>
      <c r="AZ405" t="s">
        <v>354</v>
      </c>
      <c r="BA405" t="s">
        <v>354</v>
      </c>
      <c r="BB405" t="s">
        <v>299</v>
      </c>
      <c r="BC405" t="s">
        <v>293</v>
      </c>
      <c r="BD405" t="s">
        <v>292</v>
      </c>
      <c r="BE405" t="s">
        <v>292</v>
      </c>
      <c r="BF405" t="s">
        <v>292</v>
      </c>
      <c r="BG405" t="s">
        <v>293</v>
      </c>
      <c r="BH405" t="s">
        <v>302</v>
      </c>
      <c r="BI405" t="s">
        <v>302</v>
      </c>
      <c r="BJ405" t="s">
        <v>357</v>
      </c>
      <c r="BK405" t="s">
        <v>293</v>
      </c>
      <c r="BL405" t="s">
        <v>293</v>
      </c>
      <c r="BM405" t="s">
        <v>296</v>
      </c>
      <c r="BN405" t="s">
        <v>356</v>
      </c>
      <c r="BO405" t="s">
        <v>293</v>
      </c>
      <c r="BP405" t="s">
        <v>292</v>
      </c>
      <c r="BQ405" t="s">
        <v>293</v>
      </c>
      <c r="BR405" t="s">
        <v>293</v>
      </c>
      <c r="BS405" t="s">
        <v>364</v>
      </c>
      <c r="BT405" t="s">
        <v>304</v>
      </c>
      <c r="BU405" t="s">
        <v>371</v>
      </c>
      <c r="BV405" t="s">
        <v>371</v>
      </c>
      <c r="BW405" t="s">
        <v>2848</v>
      </c>
      <c r="BX405" t="str">
        <f>IF(J405="win",VLOOKUP(B405,ColorScheme!$A$2:$I$32,4,0),VLOOKUP(B405,ColorScheme!$A$2:$I$32,5,0))</f>
        <v>#c04e0150</v>
      </c>
    </row>
    <row r="406" spans="1:76" x14ac:dyDescent="0.3">
      <c r="A406" t="s">
        <v>45</v>
      </c>
      <c r="B406" t="s">
        <v>75</v>
      </c>
      <c r="C406" t="s">
        <v>23</v>
      </c>
      <c r="D406" t="s">
        <v>29</v>
      </c>
      <c r="E406" t="s">
        <v>1108</v>
      </c>
      <c r="F406" t="b">
        <v>1</v>
      </c>
      <c r="G406">
        <v>86</v>
      </c>
      <c r="H406">
        <v>0</v>
      </c>
      <c r="I406">
        <v>14923</v>
      </c>
      <c r="J406" s="61" t="s">
        <v>13</v>
      </c>
      <c r="K406" s="16" t="s">
        <v>272</v>
      </c>
      <c r="L406" s="16">
        <v>2</v>
      </c>
      <c r="M406" s="16" t="s">
        <v>277</v>
      </c>
      <c r="N406" s="16" t="s">
        <v>335</v>
      </c>
      <c r="O406" s="15" t="s">
        <v>282</v>
      </c>
      <c r="P406" t="s">
        <v>281</v>
      </c>
      <c r="Q406" t="s">
        <v>284</v>
      </c>
      <c r="R406" s="17" t="s">
        <v>371</v>
      </c>
      <c r="S406" s="17">
        <v>1</v>
      </c>
      <c r="T406" s="17">
        <v>1</v>
      </c>
      <c r="U406" s="17">
        <v>0</v>
      </c>
      <c r="V406" s="17">
        <v>1</v>
      </c>
      <c r="W406" s="17">
        <v>0</v>
      </c>
      <c r="X406" s="17">
        <v>0</v>
      </c>
      <c r="Y406" s="17">
        <v>0</v>
      </c>
      <c r="Z406" s="17">
        <v>0</v>
      </c>
      <c r="AA406" s="17">
        <v>0</v>
      </c>
      <c r="AB406" s="17">
        <v>0</v>
      </c>
      <c r="AC406" s="17" t="s">
        <v>704</v>
      </c>
      <c r="AD406" s="16" t="s">
        <v>340</v>
      </c>
      <c r="AE406" s="16" t="s">
        <v>342</v>
      </c>
      <c r="AF406" s="15" t="s">
        <v>340</v>
      </c>
      <c r="AG406" s="15" t="s">
        <v>344</v>
      </c>
      <c r="AH406" s="17" t="s">
        <v>371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704</v>
      </c>
      <c r="AR406" t="s">
        <v>349</v>
      </c>
      <c r="AS406" t="s">
        <v>349</v>
      </c>
      <c r="AT406">
        <v>1</v>
      </c>
      <c r="AU406">
        <v>0</v>
      </c>
      <c r="AV406">
        <v>0</v>
      </c>
      <c r="AW406" t="s">
        <v>704</v>
      </c>
      <c r="AX406" t="s">
        <v>1318</v>
      </c>
      <c r="AY406" t="s">
        <v>293</v>
      </c>
      <c r="AZ406" t="s">
        <v>354</v>
      </c>
      <c r="BA406" t="s">
        <v>354</v>
      </c>
      <c r="BB406" t="s">
        <v>299</v>
      </c>
      <c r="BC406" t="s">
        <v>292</v>
      </c>
      <c r="BD406" t="s">
        <v>292</v>
      </c>
      <c r="BE406" t="s">
        <v>292</v>
      </c>
      <c r="BF406" t="s">
        <v>292</v>
      </c>
      <c r="BG406" t="s">
        <v>293</v>
      </c>
      <c r="BH406" t="s">
        <v>302</v>
      </c>
      <c r="BI406" t="s">
        <v>302</v>
      </c>
      <c r="BJ406" t="s">
        <v>357</v>
      </c>
      <c r="BK406" t="s">
        <v>293</v>
      </c>
      <c r="BL406" t="s">
        <v>293</v>
      </c>
      <c r="BM406" t="s">
        <v>296</v>
      </c>
      <c r="BN406" t="s">
        <v>298</v>
      </c>
      <c r="BO406" t="s">
        <v>293</v>
      </c>
      <c r="BP406" t="s">
        <v>292</v>
      </c>
      <c r="BQ406" t="s">
        <v>293</v>
      </c>
      <c r="BR406" t="s">
        <v>293</v>
      </c>
      <c r="BS406" t="s">
        <v>364</v>
      </c>
      <c r="BT406" t="s">
        <v>366</v>
      </c>
      <c r="BU406" t="s">
        <v>371</v>
      </c>
      <c r="BV406" t="s">
        <v>371</v>
      </c>
      <c r="BW406" t="s">
        <v>2849</v>
      </c>
      <c r="BX406" t="str">
        <f>IF(J406="win",VLOOKUP(B406,ColorScheme!$A$2:$I$32,4,0),VLOOKUP(B406,ColorScheme!$A$2:$I$32,5,0))</f>
        <v>#c04e01</v>
      </c>
    </row>
    <row r="407" spans="1:76" x14ac:dyDescent="0.3">
      <c r="A407" t="s">
        <v>45</v>
      </c>
      <c r="B407" t="s">
        <v>75</v>
      </c>
      <c r="C407" t="s">
        <v>25</v>
      </c>
      <c r="D407" t="s">
        <v>29</v>
      </c>
      <c r="E407" t="s">
        <v>1109</v>
      </c>
      <c r="F407" t="b">
        <v>1</v>
      </c>
      <c r="G407">
        <v>71.099999999999994</v>
      </c>
      <c r="H407">
        <v>0</v>
      </c>
      <c r="I407">
        <v>14241</v>
      </c>
      <c r="J407" s="61" t="s">
        <v>13</v>
      </c>
      <c r="K407" s="16" t="s">
        <v>272</v>
      </c>
      <c r="L407" s="16">
        <v>3</v>
      </c>
      <c r="M407" s="16" t="s">
        <v>277</v>
      </c>
      <c r="N407" s="16" t="s">
        <v>335</v>
      </c>
      <c r="O407" s="15" t="s">
        <v>283</v>
      </c>
      <c r="P407" t="s">
        <v>282</v>
      </c>
      <c r="Q407" t="s">
        <v>371</v>
      </c>
      <c r="R407" s="17" t="s">
        <v>371</v>
      </c>
      <c r="S407" s="17">
        <v>0</v>
      </c>
      <c r="T407" s="17">
        <v>1</v>
      </c>
      <c r="U407" s="17">
        <v>1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 t="s">
        <v>704</v>
      </c>
      <c r="AD407" s="16" t="s">
        <v>340</v>
      </c>
      <c r="AE407" s="16" t="s">
        <v>342</v>
      </c>
      <c r="AF407" s="15" t="s">
        <v>343</v>
      </c>
      <c r="AG407" s="15" t="s">
        <v>347</v>
      </c>
      <c r="AH407" s="17" t="s">
        <v>371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  <c r="AQ407" t="s">
        <v>704</v>
      </c>
      <c r="AR407" t="s">
        <v>349</v>
      </c>
      <c r="AS407" t="s">
        <v>349</v>
      </c>
      <c r="AT407">
        <v>1</v>
      </c>
      <c r="AU407">
        <v>0</v>
      </c>
      <c r="AV407">
        <v>0</v>
      </c>
      <c r="AW407" t="s">
        <v>704</v>
      </c>
      <c r="AX407" t="s">
        <v>1319</v>
      </c>
      <c r="AY407" t="s">
        <v>293</v>
      </c>
      <c r="AZ407" t="s">
        <v>353</v>
      </c>
      <c r="BA407" t="s">
        <v>296</v>
      </c>
      <c r="BB407" t="s">
        <v>301</v>
      </c>
      <c r="BC407" t="s">
        <v>293</v>
      </c>
      <c r="BD407" t="s">
        <v>292</v>
      </c>
      <c r="BE407" t="s">
        <v>293</v>
      </c>
      <c r="BF407" t="s">
        <v>292</v>
      </c>
      <c r="BG407" t="s">
        <v>293</v>
      </c>
      <c r="BH407" t="s">
        <v>302</v>
      </c>
      <c r="BI407" t="s">
        <v>302</v>
      </c>
      <c r="BJ407" t="s">
        <v>359</v>
      </c>
      <c r="BK407" t="s">
        <v>293</v>
      </c>
      <c r="BL407" t="s">
        <v>293</v>
      </c>
      <c r="BM407" t="s">
        <v>296</v>
      </c>
      <c r="BN407" t="s">
        <v>356</v>
      </c>
      <c r="BO407" t="s">
        <v>293</v>
      </c>
      <c r="BP407" t="s">
        <v>292</v>
      </c>
      <c r="BQ407" t="s">
        <v>293</v>
      </c>
      <c r="BR407" t="s">
        <v>293</v>
      </c>
      <c r="BS407" t="s">
        <v>364</v>
      </c>
      <c r="BT407" t="s">
        <v>366</v>
      </c>
      <c r="BU407" t="s">
        <v>371</v>
      </c>
      <c r="BV407" t="s">
        <v>371</v>
      </c>
      <c r="BW407" t="s">
        <v>2850</v>
      </c>
      <c r="BX407" t="str">
        <f>IF(J407="win",VLOOKUP(B407,ColorScheme!$A$2:$I$32,4,0),VLOOKUP(B407,ColorScheme!$A$2:$I$32,5,0))</f>
        <v>#c04e01</v>
      </c>
    </row>
    <row r="408" spans="1:76" x14ac:dyDescent="0.3">
      <c r="A408" t="s">
        <v>45</v>
      </c>
      <c r="B408" t="s">
        <v>75</v>
      </c>
      <c r="C408" t="s">
        <v>24</v>
      </c>
      <c r="D408" t="s">
        <v>29</v>
      </c>
      <c r="E408" t="s">
        <v>1110</v>
      </c>
      <c r="F408" t="b">
        <v>1</v>
      </c>
      <c r="G408">
        <v>100</v>
      </c>
      <c r="H408">
        <v>1</v>
      </c>
      <c r="I408">
        <v>11338</v>
      </c>
      <c r="J408" s="61" t="s">
        <v>18</v>
      </c>
      <c r="K408" s="16" t="s">
        <v>272</v>
      </c>
      <c r="L408" s="16">
        <v>2</v>
      </c>
      <c r="M408" s="16" t="s">
        <v>277</v>
      </c>
      <c r="N408" s="16" t="s">
        <v>335</v>
      </c>
      <c r="O408" s="15" t="s">
        <v>282</v>
      </c>
      <c r="P408" t="s">
        <v>371</v>
      </c>
      <c r="Q408" t="s">
        <v>371</v>
      </c>
      <c r="R408" s="17" t="s">
        <v>371</v>
      </c>
      <c r="S408" s="17">
        <v>0</v>
      </c>
      <c r="T408" s="17">
        <v>1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 t="s">
        <v>704</v>
      </c>
      <c r="AD408" s="16" t="s">
        <v>340</v>
      </c>
      <c r="AE408" s="16" t="s">
        <v>342</v>
      </c>
      <c r="AF408" s="15" t="s">
        <v>340</v>
      </c>
      <c r="AG408" s="15" t="s">
        <v>347</v>
      </c>
      <c r="AH408" s="17" t="s">
        <v>371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 t="s">
        <v>704</v>
      </c>
      <c r="AR408" t="s">
        <v>349</v>
      </c>
      <c r="AS408" t="s">
        <v>349</v>
      </c>
      <c r="AT408">
        <v>1</v>
      </c>
      <c r="AU408">
        <v>0</v>
      </c>
      <c r="AV408">
        <v>0</v>
      </c>
      <c r="AW408" t="s">
        <v>704</v>
      </c>
      <c r="AX408" t="s">
        <v>1227</v>
      </c>
      <c r="AY408" t="s">
        <v>293</v>
      </c>
      <c r="AZ408" t="s">
        <v>354</v>
      </c>
      <c r="BA408" t="s">
        <v>354</v>
      </c>
      <c r="BB408" t="s">
        <v>299</v>
      </c>
      <c r="BC408" t="s">
        <v>292</v>
      </c>
      <c r="BD408" t="s">
        <v>293</v>
      </c>
      <c r="BE408" t="s">
        <v>293</v>
      </c>
      <c r="BF408" t="s">
        <v>292</v>
      </c>
      <c r="BG408" t="s">
        <v>293</v>
      </c>
      <c r="BH408" t="s">
        <v>302</v>
      </c>
      <c r="BI408" t="s">
        <v>302</v>
      </c>
      <c r="BJ408" t="s">
        <v>357</v>
      </c>
      <c r="BK408" t="s">
        <v>293</v>
      </c>
      <c r="BL408" t="s">
        <v>293</v>
      </c>
      <c r="BM408" t="s">
        <v>296</v>
      </c>
      <c r="BN408" t="s">
        <v>298</v>
      </c>
      <c r="BO408" t="s">
        <v>293</v>
      </c>
      <c r="BP408" t="s">
        <v>292</v>
      </c>
      <c r="BQ408" t="s">
        <v>293</v>
      </c>
      <c r="BR408" t="s">
        <v>293</v>
      </c>
      <c r="BS408" t="s">
        <v>364</v>
      </c>
      <c r="BT408" t="s">
        <v>304</v>
      </c>
      <c r="BU408" t="s">
        <v>371</v>
      </c>
      <c r="BV408" t="s">
        <v>371</v>
      </c>
      <c r="BW408" t="s">
        <v>2851</v>
      </c>
      <c r="BX408" t="str">
        <f>IF(J408="win",VLOOKUP(B408,ColorScheme!$A$2:$I$32,4,0),VLOOKUP(B408,ColorScheme!$A$2:$I$32,5,0))</f>
        <v>#c04e0150</v>
      </c>
    </row>
    <row r="409" spans="1:76" x14ac:dyDescent="0.3">
      <c r="A409" t="s">
        <v>45</v>
      </c>
      <c r="B409" t="s">
        <v>75</v>
      </c>
      <c r="C409" t="s">
        <v>21</v>
      </c>
      <c r="D409" t="s">
        <v>29</v>
      </c>
      <c r="E409" t="s">
        <v>1111</v>
      </c>
      <c r="F409" t="b">
        <v>1</v>
      </c>
      <c r="G409">
        <v>100</v>
      </c>
      <c r="H409">
        <v>1</v>
      </c>
      <c r="I409">
        <v>12316</v>
      </c>
      <c r="J409" s="61" t="s">
        <v>18</v>
      </c>
      <c r="K409" s="16" t="s">
        <v>272</v>
      </c>
      <c r="L409" s="16">
        <v>2</v>
      </c>
      <c r="M409" s="16" t="s">
        <v>277</v>
      </c>
      <c r="N409" s="16" t="s">
        <v>335</v>
      </c>
      <c r="O409" s="15" t="s">
        <v>282</v>
      </c>
      <c r="P409" t="s">
        <v>281</v>
      </c>
      <c r="Q409" t="s">
        <v>284</v>
      </c>
      <c r="R409" s="17" t="s">
        <v>371</v>
      </c>
      <c r="S409" s="17">
        <v>1</v>
      </c>
      <c r="T409" s="17">
        <v>1</v>
      </c>
      <c r="U409" s="17">
        <v>0</v>
      </c>
      <c r="V409" s="17">
        <v>1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 t="s">
        <v>704</v>
      </c>
      <c r="AD409" s="16" t="s">
        <v>340</v>
      </c>
      <c r="AE409" s="16" t="s">
        <v>342</v>
      </c>
      <c r="AF409" s="15" t="s">
        <v>340</v>
      </c>
      <c r="AG409" s="15" t="s">
        <v>344</v>
      </c>
      <c r="AH409" s="17" t="s">
        <v>371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704</v>
      </c>
      <c r="AR409" t="s">
        <v>349</v>
      </c>
      <c r="AS409" t="s">
        <v>349</v>
      </c>
      <c r="AT409">
        <v>1</v>
      </c>
      <c r="AU409">
        <v>0</v>
      </c>
      <c r="AV409">
        <v>0</v>
      </c>
      <c r="AW409" t="s">
        <v>704</v>
      </c>
      <c r="AX409" t="s">
        <v>1318</v>
      </c>
      <c r="AY409" t="s">
        <v>293</v>
      </c>
      <c r="AZ409" t="s">
        <v>354</v>
      </c>
      <c r="BA409" t="s">
        <v>354</v>
      </c>
      <c r="BB409" t="s">
        <v>299</v>
      </c>
      <c r="BC409" t="s">
        <v>293</v>
      </c>
      <c r="BD409" t="s">
        <v>292</v>
      </c>
      <c r="BE409" t="s">
        <v>292</v>
      </c>
      <c r="BF409" t="s">
        <v>293</v>
      </c>
      <c r="BG409" t="s">
        <v>293</v>
      </c>
      <c r="BH409" t="s">
        <v>302</v>
      </c>
      <c r="BI409" t="s">
        <v>302</v>
      </c>
      <c r="BJ409" t="s">
        <v>357</v>
      </c>
      <c r="BK409" t="s">
        <v>293</v>
      </c>
      <c r="BL409" t="s">
        <v>293</v>
      </c>
      <c r="BM409" t="s">
        <v>297</v>
      </c>
      <c r="BN409" t="s">
        <v>356</v>
      </c>
      <c r="BO409" t="s">
        <v>293</v>
      </c>
      <c r="BP409" t="s">
        <v>292</v>
      </c>
      <c r="BQ409" t="s">
        <v>293</v>
      </c>
      <c r="BR409" t="s">
        <v>293</v>
      </c>
      <c r="BS409" t="s">
        <v>364</v>
      </c>
      <c r="BT409" t="s">
        <v>304</v>
      </c>
      <c r="BU409" t="s">
        <v>371</v>
      </c>
      <c r="BV409" t="s">
        <v>371</v>
      </c>
      <c r="BW409" t="s">
        <v>2852</v>
      </c>
      <c r="BX409" t="str">
        <f>IF(J409="win",VLOOKUP(B409,ColorScheme!$A$2:$I$32,4,0),VLOOKUP(B409,ColorScheme!$A$2:$I$32,5,0))</f>
        <v>#c04e0150</v>
      </c>
    </row>
    <row r="410" spans="1:76" x14ac:dyDescent="0.3">
      <c r="A410" t="s">
        <v>45</v>
      </c>
      <c r="B410" t="s">
        <v>75</v>
      </c>
      <c r="C410" t="s">
        <v>30</v>
      </c>
      <c r="D410" t="s">
        <v>29</v>
      </c>
      <c r="E410" t="s">
        <v>1112</v>
      </c>
      <c r="F410" t="b">
        <v>1</v>
      </c>
      <c r="G410">
        <v>100</v>
      </c>
      <c r="H410">
        <v>1</v>
      </c>
      <c r="I410">
        <v>11072</v>
      </c>
      <c r="J410" s="61" t="s">
        <v>18</v>
      </c>
      <c r="K410" s="16" t="s">
        <v>272</v>
      </c>
      <c r="L410" s="16">
        <v>2</v>
      </c>
      <c r="M410" s="16" t="s">
        <v>277</v>
      </c>
      <c r="N410" s="16" t="s">
        <v>335</v>
      </c>
      <c r="O410" s="15" t="s">
        <v>282</v>
      </c>
      <c r="P410" t="s">
        <v>371</v>
      </c>
      <c r="Q410" t="s">
        <v>371</v>
      </c>
      <c r="R410" s="17" t="s">
        <v>371</v>
      </c>
      <c r="S410" s="17">
        <v>0</v>
      </c>
      <c r="T410" s="17">
        <v>1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 t="s">
        <v>704</v>
      </c>
      <c r="AD410" s="16" t="s">
        <v>340</v>
      </c>
      <c r="AE410" s="16" t="s">
        <v>342</v>
      </c>
      <c r="AF410" s="15" t="s">
        <v>340</v>
      </c>
      <c r="AG410" s="15" t="s">
        <v>344</v>
      </c>
      <c r="AH410" s="17" t="s">
        <v>371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704</v>
      </c>
      <c r="AR410" t="s">
        <v>349</v>
      </c>
      <c r="AS410" t="s">
        <v>349</v>
      </c>
      <c r="AT410">
        <v>1</v>
      </c>
      <c r="AU410">
        <v>0</v>
      </c>
      <c r="AV410">
        <v>0</v>
      </c>
      <c r="AW410" t="s">
        <v>704</v>
      </c>
      <c r="AX410" t="s">
        <v>1208</v>
      </c>
      <c r="AY410" t="s">
        <v>293</v>
      </c>
      <c r="AZ410" t="s">
        <v>354</v>
      </c>
      <c r="BA410" t="s">
        <v>354</v>
      </c>
      <c r="BB410" t="s">
        <v>300</v>
      </c>
      <c r="BC410" t="s">
        <v>293</v>
      </c>
      <c r="BD410" t="s">
        <v>292</v>
      </c>
      <c r="BE410" t="s">
        <v>293</v>
      </c>
      <c r="BF410" t="s">
        <v>292</v>
      </c>
      <c r="BG410" t="s">
        <v>293</v>
      </c>
      <c r="BH410" t="s">
        <v>302</v>
      </c>
      <c r="BI410" t="s">
        <v>302</v>
      </c>
      <c r="BJ410" t="s">
        <v>357</v>
      </c>
      <c r="BK410" t="s">
        <v>293</v>
      </c>
      <c r="BL410" t="s">
        <v>293</v>
      </c>
      <c r="BM410" t="s">
        <v>296</v>
      </c>
      <c r="BN410" t="s">
        <v>356</v>
      </c>
      <c r="BO410" t="s">
        <v>293</v>
      </c>
      <c r="BP410" t="s">
        <v>292</v>
      </c>
      <c r="BQ410" t="s">
        <v>293</v>
      </c>
      <c r="BR410" t="s">
        <v>293</v>
      </c>
      <c r="BS410" t="s">
        <v>364</v>
      </c>
      <c r="BT410" t="s">
        <v>304</v>
      </c>
      <c r="BU410" t="s">
        <v>371</v>
      </c>
      <c r="BV410" t="s">
        <v>371</v>
      </c>
      <c r="BW410" t="s">
        <v>2853</v>
      </c>
      <c r="BX410" t="str">
        <f>IF(J410="win",VLOOKUP(B410,ColorScheme!$A$2:$I$32,4,0),VLOOKUP(B410,ColorScheme!$A$2:$I$32,5,0))</f>
        <v>#c04e0150</v>
      </c>
    </row>
    <row r="411" spans="1:76" x14ac:dyDescent="0.3">
      <c r="A411" t="s">
        <v>45</v>
      </c>
      <c r="B411" t="s">
        <v>75</v>
      </c>
      <c r="C411" t="s">
        <v>26</v>
      </c>
      <c r="D411" t="s">
        <v>29</v>
      </c>
      <c r="E411" t="s">
        <v>1113</v>
      </c>
      <c r="F411" t="b">
        <v>1</v>
      </c>
      <c r="G411">
        <v>98.4</v>
      </c>
      <c r="H411">
        <v>0</v>
      </c>
      <c r="I411">
        <v>13310</v>
      </c>
      <c r="J411" s="61" t="s">
        <v>13</v>
      </c>
      <c r="K411" s="16" t="s">
        <v>272</v>
      </c>
      <c r="L411" s="16">
        <v>2</v>
      </c>
      <c r="M411" s="16" t="s">
        <v>277</v>
      </c>
      <c r="N411" s="16" t="s">
        <v>335</v>
      </c>
      <c r="O411" s="15" t="s">
        <v>282</v>
      </c>
      <c r="P411" t="s">
        <v>281</v>
      </c>
      <c r="Q411" t="s">
        <v>284</v>
      </c>
      <c r="R411" s="17" t="s">
        <v>371</v>
      </c>
      <c r="S411" s="17">
        <v>1</v>
      </c>
      <c r="T411" s="17">
        <v>1</v>
      </c>
      <c r="U411" s="17">
        <v>0</v>
      </c>
      <c r="V411" s="17">
        <v>1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 t="s">
        <v>704</v>
      </c>
      <c r="AD411" s="16" t="s">
        <v>340</v>
      </c>
      <c r="AE411" s="16" t="s">
        <v>342</v>
      </c>
      <c r="AF411" s="15" t="s">
        <v>340</v>
      </c>
      <c r="AG411" s="15" t="s">
        <v>344</v>
      </c>
      <c r="AH411" s="17" t="s">
        <v>371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704</v>
      </c>
      <c r="AR411" t="s">
        <v>349</v>
      </c>
      <c r="AS411" t="s">
        <v>349</v>
      </c>
      <c r="AT411">
        <v>1</v>
      </c>
      <c r="AU411">
        <v>0</v>
      </c>
      <c r="AV411">
        <v>0</v>
      </c>
      <c r="AW411" t="s">
        <v>704</v>
      </c>
      <c r="AX411" t="s">
        <v>1318</v>
      </c>
      <c r="AY411" t="s">
        <v>293</v>
      </c>
      <c r="AZ411" t="s">
        <v>354</v>
      </c>
      <c r="BA411" t="s">
        <v>354</v>
      </c>
      <c r="BB411" t="s">
        <v>299</v>
      </c>
      <c r="BC411" t="s">
        <v>292</v>
      </c>
      <c r="BD411" t="s">
        <v>293</v>
      </c>
      <c r="BE411" t="s">
        <v>292</v>
      </c>
      <c r="BF411" t="s">
        <v>292</v>
      </c>
      <c r="BG411" t="s">
        <v>293</v>
      </c>
      <c r="BH411" t="s">
        <v>302</v>
      </c>
      <c r="BI411" t="s">
        <v>302</v>
      </c>
      <c r="BJ411" t="s">
        <v>357</v>
      </c>
      <c r="BK411" t="s">
        <v>293</v>
      </c>
      <c r="BL411" t="s">
        <v>293</v>
      </c>
      <c r="BM411" t="s">
        <v>296</v>
      </c>
      <c r="BN411" t="s">
        <v>298</v>
      </c>
      <c r="BO411" t="s">
        <v>293</v>
      </c>
      <c r="BP411" t="s">
        <v>292</v>
      </c>
      <c r="BQ411" t="s">
        <v>293</v>
      </c>
      <c r="BR411" t="s">
        <v>293</v>
      </c>
      <c r="BS411" t="s">
        <v>364</v>
      </c>
      <c r="BT411" t="s">
        <v>366</v>
      </c>
      <c r="BU411" t="s">
        <v>371</v>
      </c>
      <c r="BV411" t="s">
        <v>371</v>
      </c>
      <c r="BW411" t="s">
        <v>2854</v>
      </c>
      <c r="BX411" t="str">
        <f>IF(J411="win",VLOOKUP(B411,ColorScheme!$A$2:$I$32,4,0),VLOOKUP(B411,ColorScheme!$A$2:$I$32,5,0))</f>
        <v>#c04e01</v>
      </c>
    </row>
    <row r="412" spans="1:76" x14ac:dyDescent="0.3">
      <c r="A412" t="s">
        <v>45</v>
      </c>
      <c r="B412" t="s">
        <v>75</v>
      </c>
      <c r="C412" t="s">
        <v>22</v>
      </c>
      <c r="D412" t="s">
        <v>29</v>
      </c>
      <c r="E412" t="s">
        <v>1114</v>
      </c>
      <c r="F412" t="b">
        <v>1</v>
      </c>
      <c r="G412">
        <v>100</v>
      </c>
      <c r="H412">
        <v>1</v>
      </c>
      <c r="I412">
        <v>12716</v>
      </c>
      <c r="J412" s="61" t="s">
        <v>18</v>
      </c>
      <c r="K412" s="16" t="s">
        <v>272</v>
      </c>
      <c r="L412" s="16">
        <v>3</v>
      </c>
      <c r="M412" s="16" t="s">
        <v>277</v>
      </c>
      <c r="N412" s="16" t="s">
        <v>335</v>
      </c>
      <c r="O412" s="15" t="s">
        <v>282</v>
      </c>
      <c r="P412" t="s">
        <v>281</v>
      </c>
      <c r="Q412" t="s">
        <v>284</v>
      </c>
      <c r="R412" s="17" t="s">
        <v>371</v>
      </c>
      <c r="S412" s="17">
        <v>1</v>
      </c>
      <c r="T412" s="17">
        <v>1</v>
      </c>
      <c r="U412" s="17">
        <v>0</v>
      </c>
      <c r="V412" s="17">
        <v>1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 t="s">
        <v>704</v>
      </c>
      <c r="AD412" s="16" t="s">
        <v>340</v>
      </c>
      <c r="AE412" s="16" t="s">
        <v>342</v>
      </c>
      <c r="AF412" s="15" t="s">
        <v>343</v>
      </c>
      <c r="AG412" s="15" t="s">
        <v>344</v>
      </c>
      <c r="AH412" s="17" t="s">
        <v>371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704</v>
      </c>
      <c r="AR412" t="s">
        <v>349</v>
      </c>
      <c r="AS412" t="s">
        <v>349</v>
      </c>
      <c r="AT412">
        <v>1</v>
      </c>
      <c r="AU412">
        <v>0</v>
      </c>
      <c r="AV412">
        <v>0</v>
      </c>
      <c r="AW412" t="s">
        <v>704</v>
      </c>
      <c r="AX412" t="s">
        <v>1318</v>
      </c>
      <c r="AY412" t="s">
        <v>293</v>
      </c>
      <c r="AZ412" t="s">
        <v>353</v>
      </c>
      <c r="BA412" t="s">
        <v>296</v>
      </c>
      <c r="BB412" t="s">
        <v>299</v>
      </c>
      <c r="BC412" t="s">
        <v>293</v>
      </c>
      <c r="BD412" t="s">
        <v>292</v>
      </c>
      <c r="BE412" t="s">
        <v>292</v>
      </c>
      <c r="BF412" t="s">
        <v>292</v>
      </c>
      <c r="BG412" t="s">
        <v>293</v>
      </c>
      <c r="BH412" t="s">
        <v>302</v>
      </c>
      <c r="BI412" t="s">
        <v>302</v>
      </c>
      <c r="BJ412" t="s">
        <v>357</v>
      </c>
      <c r="BK412" t="s">
        <v>293</v>
      </c>
      <c r="BL412" t="s">
        <v>293</v>
      </c>
      <c r="BM412" t="s">
        <v>297</v>
      </c>
      <c r="BN412" t="s">
        <v>356</v>
      </c>
      <c r="BO412" t="s">
        <v>293</v>
      </c>
      <c r="BP412" t="s">
        <v>292</v>
      </c>
      <c r="BQ412" t="s">
        <v>293</v>
      </c>
      <c r="BR412" t="s">
        <v>293</v>
      </c>
      <c r="BS412" t="s">
        <v>364</v>
      </c>
      <c r="BT412" t="s">
        <v>304</v>
      </c>
      <c r="BU412" t="s">
        <v>371</v>
      </c>
      <c r="BV412" t="s">
        <v>371</v>
      </c>
      <c r="BW412" t="s">
        <v>2855</v>
      </c>
      <c r="BX412" t="str">
        <f>IF(J412="win",VLOOKUP(B412,ColorScheme!$A$2:$I$32,4,0),VLOOKUP(B412,ColorScheme!$A$2:$I$32,5,0))</f>
        <v>#c04e0150</v>
      </c>
    </row>
    <row r="413" spans="1:76" x14ac:dyDescent="0.3">
      <c r="A413" t="s">
        <v>45</v>
      </c>
      <c r="B413" t="s">
        <v>75</v>
      </c>
      <c r="C413" t="s">
        <v>27</v>
      </c>
      <c r="D413" t="s">
        <v>29</v>
      </c>
      <c r="E413" t="s">
        <v>1115</v>
      </c>
      <c r="F413" t="b">
        <v>1</v>
      </c>
      <c r="G413">
        <v>100</v>
      </c>
      <c r="H413">
        <v>1</v>
      </c>
      <c r="I413">
        <v>11037</v>
      </c>
      <c r="J413" s="61" t="s">
        <v>18</v>
      </c>
      <c r="K413" s="16" t="s">
        <v>272</v>
      </c>
      <c r="L413" s="16">
        <v>2</v>
      </c>
      <c r="M413" s="16" t="s">
        <v>277</v>
      </c>
      <c r="N413" s="16" t="s">
        <v>335</v>
      </c>
      <c r="O413" s="15" t="s">
        <v>282</v>
      </c>
      <c r="P413" t="s">
        <v>371</v>
      </c>
      <c r="Q413" t="s">
        <v>371</v>
      </c>
      <c r="R413" s="17" t="s">
        <v>371</v>
      </c>
      <c r="S413" s="17">
        <v>0</v>
      </c>
      <c r="T413" s="17">
        <v>1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 t="s">
        <v>704</v>
      </c>
      <c r="AD413" s="16" t="s">
        <v>340</v>
      </c>
      <c r="AE413" s="16" t="s">
        <v>342</v>
      </c>
      <c r="AF413" s="15" t="s">
        <v>343</v>
      </c>
      <c r="AG413" s="15" t="s">
        <v>344</v>
      </c>
      <c r="AH413" s="17" t="s">
        <v>371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704</v>
      </c>
      <c r="AR413" t="s">
        <v>349</v>
      </c>
      <c r="AS413" t="s">
        <v>349</v>
      </c>
      <c r="AT413">
        <v>1</v>
      </c>
      <c r="AU413">
        <v>0</v>
      </c>
      <c r="AV413">
        <v>0</v>
      </c>
      <c r="AW413" t="s">
        <v>704</v>
      </c>
      <c r="AX413" t="s">
        <v>1208</v>
      </c>
      <c r="AY413" t="s">
        <v>293</v>
      </c>
      <c r="AZ413" t="s">
        <v>354</v>
      </c>
      <c r="BA413" t="s">
        <v>354</v>
      </c>
      <c r="BB413" t="s">
        <v>299</v>
      </c>
      <c r="BC413" t="s">
        <v>293</v>
      </c>
      <c r="BD413" t="s">
        <v>292</v>
      </c>
      <c r="BE413" t="s">
        <v>293</v>
      </c>
      <c r="BF413" t="s">
        <v>292</v>
      </c>
      <c r="BG413" t="s">
        <v>293</v>
      </c>
      <c r="BH413" t="s">
        <v>302</v>
      </c>
      <c r="BI413" t="s">
        <v>302</v>
      </c>
      <c r="BJ413" t="s">
        <v>357</v>
      </c>
      <c r="BK413" t="s">
        <v>293</v>
      </c>
      <c r="BL413" t="s">
        <v>293</v>
      </c>
      <c r="BM413" t="s">
        <v>296</v>
      </c>
      <c r="BN413" t="s">
        <v>356</v>
      </c>
      <c r="BO413" t="s">
        <v>293</v>
      </c>
      <c r="BP413" t="s">
        <v>292</v>
      </c>
      <c r="BQ413" t="s">
        <v>293</v>
      </c>
      <c r="BR413" t="s">
        <v>293</v>
      </c>
      <c r="BS413" t="s">
        <v>364</v>
      </c>
      <c r="BT413" t="s">
        <v>304</v>
      </c>
      <c r="BU413" t="s">
        <v>371</v>
      </c>
      <c r="BV413" t="s">
        <v>371</v>
      </c>
      <c r="BW413" t="s">
        <v>2856</v>
      </c>
      <c r="BX413" t="str">
        <f>IF(J413="win",VLOOKUP(B413,ColorScheme!$A$2:$I$32,4,0),VLOOKUP(B413,ColorScheme!$A$2:$I$32,5,0))</f>
        <v>#c04e0150</v>
      </c>
    </row>
    <row r="414" spans="1:76" x14ac:dyDescent="0.3">
      <c r="A414" t="s">
        <v>45</v>
      </c>
      <c r="B414" t="s">
        <v>75</v>
      </c>
      <c r="C414" t="s">
        <v>28</v>
      </c>
      <c r="D414" t="s">
        <v>29</v>
      </c>
      <c r="E414" t="s">
        <v>1116</v>
      </c>
      <c r="F414" t="b">
        <v>1</v>
      </c>
      <c r="G414">
        <v>100</v>
      </c>
      <c r="H414">
        <v>1</v>
      </c>
      <c r="I414">
        <v>11252</v>
      </c>
      <c r="J414" s="61" t="s">
        <v>18</v>
      </c>
      <c r="K414" s="16" t="s">
        <v>272</v>
      </c>
      <c r="L414" s="16">
        <v>2</v>
      </c>
      <c r="M414" s="16" t="s">
        <v>277</v>
      </c>
      <c r="N414" s="16" t="s">
        <v>335</v>
      </c>
      <c r="O414" s="15" t="s">
        <v>282</v>
      </c>
      <c r="P414" t="s">
        <v>371</v>
      </c>
      <c r="Q414" t="s">
        <v>371</v>
      </c>
      <c r="R414" s="17" t="s">
        <v>371</v>
      </c>
      <c r="S414" s="17">
        <v>0</v>
      </c>
      <c r="T414" s="17">
        <v>1</v>
      </c>
      <c r="U414" s="17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 t="s">
        <v>704</v>
      </c>
      <c r="AD414" s="16" t="s">
        <v>340</v>
      </c>
      <c r="AE414" s="16" t="s">
        <v>342</v>
      </c>
      <c r="AF414" s="15" t="s">
        <v>343</v>
      </c>
      <c r="AG414" s="15" t="s">
        <v>344</v>
      </c>
      <c r="AH414" s="17" t="s">
        <v>371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704</v>
      </c>
      <c r="AR414" t="s">
        <v>349</v>
      </c>
      <c r="AS414" t="s">
        <v>349</v>
      </c>
      <c r="AT414">
        <v>1</v>
      </c>
      <c r="AU414">
        <v>0</v>
      </c>
      <c r="AV414">
        <v>0</v>
      </c>
      <c r="AW414" t="s">
        <v>704</v>
      </c>
      <c r="AX414" t="s">
        <v>1208</v>
      </c>
      <c r="AY414" t="s">
        <v>293</v>
      </c>
      <c r="AZ414" t="s">
        <v>354</v>
      </c>
      <c r="BA414" t="s">
        <v>354</v>
      </c>
      <c r="BB414" t="s">
        <v>300</v>
      </c>
      <c r="BC414" t="s">
        <v>293</v>
      </c>
      <c r="BD414" t="s">
        <v>292</v>
      </c>
      <c r="BE414" t="s">
        <v>293</v>
      </c>
      <c r="BF414" t="s">
        <v>292</v>
      </c>
      <c r="BG414" t="s">
        <v>293</v>
      </c>
      <c r="BH414" t="s">
        <v>302</v>
      </c>
      <c r="BI414" t="s">
        <v>302</v>
      </c>
      <c r="BJ414" t="s">
        <v>357</v>
      </c>
      <c r="BK414" t="s">
        <v>293</v>
      </c>
      <c r="BL414" t="s">
        <v>293</v>
      </c>
      <c r="BM414" t="s">
        <v>296</v>
      </c>
      <c r="BN414" t="s">
        <v>356</v>
      </c>
      <c r="BO414" t="s">
        <v>293</v>
      </c>
      <c r="BP414" t="s">
        <v>292</v>
      </c>
      <c r="BQ414" t="s">
        <v>293</v>
      </c>
      <c r="BR414" t="s">
        <v>293</v>
      </c>
      <c r="BS414" t="s">
        <v>364</v>
      </c>
      <c r="BT414" t="s">
        <v>304</v>
      </c>
      <c r="BU414" t="s">
        <v>371</v>
      </c>
      <c r="BV414" t="s">
        <v>371</v>
      </c>
      <c r="BW414" t="s">
        <v>2857</v>
      </c>
      <c r="BX414" t="str">
        <f>IF(J414="win",VLOOKUP(B414,ColorScheme!$A$2:$I$32,4,0),VLOOKUP(B414,ColorScheme!$A$2:$I$32,5,0))</f>
        <v>#c04e0150</v>
      </c>
    </row>
    <row r="415" spans="1:76" x14ac:dyDescent="0.3">
      <c r="A415" t="s">
        <v>43</v>
      </c>
      <c r="B415" t="s">
        <v>71</v>
      </c>
      <c r="C415" t="s">
        <v>14</v>
      </c>
      <c r="D415" t="s">
        <v>12</v>
      </c>
      <c r="E415" t="s">
        <v>1117</v>
      </c>
      <c r="F415" t="b">
        <v>1</v>
      </c>
      <c r="G415">
        <v>100</v>
      </c>
      <c r="H415">
        <v>1</v>
      </c>
      <c r="I415">
        <v>13115</v>
      </c>
      <c r="J415" s="61" t="s">
        <v>18</v>
      </c>
      <c r="K415" s="16" t="s">
        <v>272</v>
      </c>
      <c r="L415" s="16">
        <v>3</v>
      </c>
      <c r="M415" s="16" t="s">
        <v>277</v>
      </c>
      <c r="N415" s="16" t="s">
        <v>335</v>
      </c>
      <c r="O415" s="15" t="s">
        <v>282</v>
      </c>
      <c r="P415" t="s">
        <v>371</v>
      </c>
      <c r="Q415" t="s">
        <v>371</v>
      </c>
      <c r="R415" s="17" t="s">
        <v>371</v>
      </c>
      <c r="S415" s="17">
        <v>0</v>
      </c>
      <c r="T415" s="17">
        <v>1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 t="s">
        <v>704</v>
      </c>
      <c r="AD415" s="16" t="s">
        <v>341</v>
      </c>
      <c r="AE415" s="16" t="s">
        <v>340</v>
      </c>
      <c r="AF415" s="15" t="s">
        <v>343</v>
      </c>
      <c r="AG415" s="15" t="s">
        <v>291</v>
      </c>
      <c r="AH415" s="17" t="s">
        <v>371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 t="s">
        <v>704</v>
      </c>
      <c r="AR415" t="s">
        <v>349</v>
      </c>
      <c r="AS415" t="s">
        <v>349</v>
      </c>
      <c r="AT415">
        <v>1</v>
      </c>
      <c r="AU415">
        <v>0</v>
      </c>
      <c r="AV415">
        <v>0</v>
      </c>
      <c r="AW415" t="s">
        <v>704</v>
      </c>
      <c r="AX415" t="s">
        <v>1222</v>
      </c>
      <c r="AY415" t="s">
        <v>293</v>
      </c>
      <c r="AZ415" t="s">
        <v>352</v>
      </c>
      <c r="BA415" t="s">
        <v>296</v>
      </c>
      <c r="BB415" t="s">
        <v>301</v>
      </c>
      <c r="BC415" t="s">
        <v>292</v>
      </c>
      <c r="BD415" t="s">
        <v>293</v>
      </c>
      <c r="BE415" t="s">
        <v>292</v>
      </c>
      <c r="BF415" t="s">
        <v>292</v>
      </c>
      <c r="BG415" t="s">
        <v>293</v>
      </c>
      <c r="BH415" t="s">
        <v>302</v>
      </c>
      <c r="BI415" t="s">
        <v>302</v>
      </c>
      <c r="BJ415" t="s">
        <v>359</v>
      </c>
      <c r="BK415" t="s">
        <v>293</v>
      </c>
      <c r="BL415" t="s">
        <v>293</v>
      </c>
      <c r="BM415" t="s">
        <v>296</v>
      </c>
      <c r="BN415" t="s">
        <v>298</v>
      </c>
      <c r="BO415" t="s">
        <v>293</v>
      </c>
      <c r="BP415" t="s">
        <v>292</v>
      </c>
      <c r="BQ415" t="s">
        <v>293</v>
      </c>
      <c r="BR415" t="s">
        <v>293</v>
      </c>
      <c r="BS415" t="s">
        <v>364</v>
      </c>
      <c r="BT415" t="s">
        <v>304</v>
      </c>
      <c r="BU415" t="s">
        <v>371</v>
      </c>
      <c r="BV415" t="s">
        <v>371</v>
      </c>
      <c r="BW415" t="s">
        <v>2858</v>
      </c>
      <c r="BX415" t="str">
        <f>IF(J415="win",VLOOKUP(B415,ColorScheme!$A$2:$I$32,4,0),VLOOKUP(B415,ColorScheme!$A$2:$I$32,5,0))</f>
        <v>#38028250</v>
      </c>
    </row>
    <row r="416" spans="1:76" x14ac:dyDescent="0.3">
      <c r="A416" t="s">
        <v>43</v>
      </c>
      <c r="B416" t="s">
        <v>71</v>
      </c>
      <c r="C416" t="s">
        <v>11</v>
      </c>
      <c r="D416" t="s">
        <v>12</v>
      </c>
      <c r="E416" t="s">
        <v>1118</v>
      </c>
      <c r="F416" t="b">
        <v>1</v>
      </c>
      <c r="G416">
        <v>100</v>
      </c>
      <c r="H416">
        <v>1</v>
      </c>
      <c r="I416">
        <v>13389</v>
      </c>
      <c r="J416" s="61" t="s">
        <v>18</v>
      </c>
      <c r="K416" s="16" t="s">
        <v>272</v>
      </c>
      <c r="L416" s="16">
        <v>3</v>
      </c>
      <c r="M416" s="16" t="s">
        <v>277</v>
      </c>
      <c r="N416" s="16" t="s">
        <v>335</v>
      </c>
      <c r="O416" s="15" t="s">
        <v>282</v>
      </c>
      <c r="P416" t="s">
        <v>371</v>
      </c>
      <c r="Q416" t="s">
        <v>371</v>
      </c>
      <c r="R416" s="17" t="s">
        <v>371</v>
      </c>
      <c r="S416" s="17">
        <v>0</v>
      </c>
      <c r="T416" s="17">
        <v>1</v>
      </c>
      <c r="U416" s="17">
        <v>0</v>
      </c>
      <c r="V416" s="17">
        <v>0</v>
      </c>
      <c r="W416" s="17">
        <v>0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 t="s">
        <v>704</v>
      </c>
      <c r="AD416" s="16" t="s">
        <v>341</v>
      </c>
      <c r="AE416" s="16" t="s">
        <v>340</v>
      </c>
      <c r="AF416" s="15" t="s">
        <v>343</v>
      </c>
      <c r="AG416" s="15" t="s">
        <v>291</v>
      </c>
      <c r="AH416" s="17" t="s">
        <v>371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 t="s">
        <v>704</v>
      </c>
      <c r="AR416" t="s">
        <v>349</v>
      </c>
      <c r="AS416" t="s">
        <v>349</v>
      </c>
      <c r="AT416">
        <v>1</v>
      </c>
      <c r="AU416">
        <v>0</v>
      </c>
      <c r="AV416">
        <v>0</v>
      </c>
      <c r="AW416" t="s">
        <v>704</v>
      </c>
      <c r="AX416" t="s">
        <v>1222</v>
      </c>
      <c r="AY416" t="s">
        <v>293</v>
      </c>
      <c r="AZ416" t="s">
        <v>352</v>
      </c>
      <c r="BA416" t="s">
        <v>296</v>
      </c>
      <c r="BB416" t="s">
        <v>300</v>
      </c>
      <c r="BC416" t="s">
        <v>292</v>
      </c>
      <c r="BD416" t="s">
        <v>293</v>
      </c>
      <c r="BE416" t="s">
        <v>293</v>
      </c>
      <c r="BF416" t="s">
        <v>292</v>
      </c>
      <c r="BG416" t="s">
        <v>293</v>
      </c>
      <c r="BH416" t="s">
        <v>302</v>
      </c>
      <c r="BI416" t="s">
        <v>302</v>
      </c>
      <c r="BJ416" t="s">
        <v>359</v>
      </c>
      <c r="BK416" t="s">
        <v>293</v>
      </c>
      <c r="BL416" t="s">
        <v>293</v>
      </c>
      <c r="BM416" t="s">
        <v>296</v>
      </c>
      <c r="BN416" t="s">
        <v>356</v>
      </c>
      <c r="BO416" t="s">
        <v>293</v>
      </c>
      <c r="BP416" t="s">
        <v>292</v>
      </c>
      <c r="BQ416" t="s">
        <v>293</v>
      </c>
      <c r="BR416" t="s">
        <v>293</v>
      </c>
      <c r="BS416" t="s">
        <v>364</v>
      </c>
      <c r="BT416" t="s">
        <v>304</v>
      </c>
      <c r="BU416" t="s">
        <v>371</v>
      </c>
      <c r="BV416" t="s">
        <v>371</v>
      </c>
      <c r="BW416" t="s">
        <v>2859</v>
      </c>
      <c r="BX416" t="str">
        <f>IF(J416="win",VLOOKUP(B416,ColorScheme!$A$2:$I$32,4,0),VLOOKUP(B416,ColorScheme!$A$2:$I$32,5,0))</f>
        <v>#38028250</v>
      </c>
    </row>
    <row r="417" spans="1:76" x14ac:dyDescent="0.3">
      <c r="A417" t="s">
        <v>43</v>
      </c>
      <c r="B417" t="s">
        <v>71</v>
      </c>
      <c r="C417" t="s">
        <v>15</v>
      </c>
      <c r="D417" t="s">
        <v>29</v>
      </c>
      <c r="E417" t="s">
        <v>1119</v>
      </c>
      <c r="F417" t="b">
        <v>1</v>
      </c>
      <c r="G417">
        <v>81</v>
      </c>
      <c r="H417">
        <v>0</v>
      </c>
      <c r="I417">
        <v>15133</v>
      </c>
      <c r="J417" s="61" t="s">
        <v>13</v>
      </c>
      <c r="K417" s="16" t="s">
        <v>272</v>
      </c>
      <c r="L417" s="16">
        <v>3</v>
      </c>
      <c r="M417" s="16" t="s">
        <v>277</v>
      </c>
      <c r="N417" s="16" t="s">
        <v>335</v>
      </c>
      <c r="O417" s="15" t="s">
        <v>282</v>
      </c>
      <c r="P417" t="s">
        <v>371</v>
      </c>
      <c r="Q417" t="s">
        <v>371</v>
      </c>
      <c r="R417" s="17" t="s">
        <v>371</v>
      </c>
      <c r="S417" s="17">
        <v>0</v>
      </c>
      <c r="T417" s="17">
        <v>1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 t="s">
        <v>704</v>
      </c>
      <c r="AD417" s="16" t="s">
        <v>341</v>
      </c>
      <c r="AE417" s="16" t="s">
        <v>340</v>
      </c>
      <c r="AF417" s="15" t="s">
        <v>343</v>
      </c>
      <c r="AG417" s="15" t="s">
        <v>344</v>
      </c>
      <c r="AH417" s="17" t="s">
        <v>371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704</v>
      </c>
      <c r="AR417" t="s">
        <v>349</v>
      </c>
      <c r="AS417" t="s">
        <v>349</v>
      </c>
      <c r="AT417">
        <v>1</v>
      </c>
      <c r="AU417">
        <v>0</v>
      </c>
      <c r="AV417">
        <v>0</v>
      </c>
      <c r="AW417" t="s">
        <v>704</v>
      </c>
      <c r="AX417" t="s">
        <v>1208</v>
      </c>
      <c r="AY417" t="s">
        <v>293</v>
      </c>
      <c r="AZ417" t="s">
        <v>353</v>
      </c>
      <c r="BA417" t="s">
        <v>296</v>
      </c>
      <c r="BB417" t="s">
        <v>299</v>
      </c>
      <c r="BC417" t="s">
        <v>292</v>
      </c>
      <c r="BD417" t="s">
        <v>293</v>
      </c>
      <c r="BE417" t="s">
        <v>292</v>
      </c>
      <c r="BF417" t="s">
        <v>292</v>
      </c>
      <c r="BG417" t="s">
        <v>293</v>
      </c>
      <c r="BH417" t="s">
        <v>302</v>
      </c>
      <c r="BI417" t="s">
        <v>302</v>
      </c>
      <c r="BJ417" t="s">
        <v>359</v>
      </c>
      <c r="BK417" t="s">
        <v>293</v>
      </c>
      <c r="BL417" t="s">
        <v>293</v>
      </c>
      <c r="BM417" t="s">
        <v>296</v>
      </c>
      <c r="BN417" t="s">
        <v>298</v>
      </c>
      <c r="BO417" t="s">
        <v>293</v>
      </c>
      <c r="BP417" t="s">
        <v>292</v>
      </c>
      <c r="BQ417" t="s">
        <v>293</v>
      </c>
      <c r="BR417" t="s">
        <v>293</v>
      </c>
      <c r="BS417" t="s">
        <v>364</v>
      </c>
      <c r="BT417" t="s">
        <v>366</v>
      </c>
      <c r="BU417" t="s">
        <v>371</v>
      </c>
      <c r="BV417" t="s">
        <v>371</v>
      </c>
      <c r="BW417" t="s">
        <v>2860</v>
      </c>
      <c r="BX417" t="str">
        <f>IF(J417="win",VLOOKUP(B417,ColorScheme!$A$2:$I$32,4,0),VLOOKUP(B417,ColorScheme!$A$2:$I$32,5,0))</f>
        <v>#380282</v>
      </c>
    </row>
    <row r="418" spans="1:76" x14ac:dyDescent="0.3">
      <c r="A418" t="s">
        <v>43</v>
      </c>
      <c r="B418" t="s">
        <v>71</v>
      </c>
      <c r="C418" t="s">
        <v>19</v>
      </c>
      <c r="D418" t="s">
        <v>29</v>
      </c>
      <c r="E418" t="s">
        <v>1120</v>
      </c>
      <c r="F418" t="b">
        <v>1</v>
      </c>
      <c r="G418">
        <v>55.8</v>
      </c>
      <c r="H418">
        <v>0</v>
      </c>
      <c r="I418">
        <v>28933</v>
      </c>
      <c r="J418" s="61" t="s">
        <v>13</v>
      </c>
      <c r="K418" s="16" t="s">
        <v>272</v>
      </c>
      <c r="L418" s="16">
        <v>3</v>
      </c>
      <c r="M418" s="16" t="s">
        <v>277</v>
      </c>
      <c r="N418" s="16" t="s">
        <v>335</v>
      </c>
      <c r="O418" s="15" t="s">
        <v>282</v>
      </c>
      <c r="P418" t="s">
        <v>371</v>
      </c>
      <c r="Q418" t="s">
        <v>371</v>
      </c>
      <c r="R418" s="17" t="s">
        <v>371</v>
      </c>
      <c r="S418" s="17">
        <v>0</v>
      </c>
      <c r="T418" s="17">
        <v>1</v>
      </c>
      <c r="U418" s="17">
        <v>0</v>
      </c>
      <c r="V418" s="17">
        <v>0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 t="s">
        <v>704</v>
      </c>
      <c r="AD418" s="16" t="s">
        <v>341</v>
      </c>
      <c r="AE418" s="16" t="s">
        <v>342</v>
      </c>
      <c r="AF418" s="15" t="s">
        <v>343</v>
      </c>
      <c r="AG418" s="15" t="s">
        <v>344</v>
      </c>
      <c r="AH418" s="17" t="s">
        <v>347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 t="s">
        <v>704</v>
      </c>
      <c r="AR418" t="s">
        <v>349</v>
      </c>
      <c r="AS418" t="s">
        <v>349</v>
      </c>
      <c r="AT418">
        <v>1</v>
      </c>
      <c r="AU418">
        <v>0</v>
      </c>
      <c r="AV418">
        <v>0</v>
      </c>
      <c r="AW418" t="s">
        <v>704</v>
      </c>
      <c r="AX418" t="s">
        <v>1263</v>
      </c>
      <c r="AY418" t="s">
        <v>293</v>
      </c>
      <c r="AZ418" t="s">
        <v>353</v>
      </c>
      <c r="BA418" t="s">
        <v>296</v>
      </c>
      <c r="BB418" t="s">
        <v>300</v>
      </c>
      <c r="BC418" t="s">
        <v>292</v>
      </c>
      <c r="BD418" t="s">
        <v>293</v>
      </c>
      <c r="BE418" t="s">
        <v>292</v>
      </c>
      <c r="BF418" t="s">
        <v>293</v>
      </c>
      <c r="BG418" t="s">
        <v>293</v>
      </c>
      <c r="BH418" t="s">
        <v>302</v>
      </c>
      <c r="BI418" t="s">
        <v>302</v>
      </c>
      <c r="BJ418" t="s">
        <v>359</v>
      </c>
      <c r="BK418" t="s">
        <v>293</v>
      </c>
      <c r="BL418" t="s">
        <v>293</v>
      </c>
      <c r="BM418" t="s">
        <v>296</v>
      </c>
      <c r="BN418" t="s">
        <v>298</v>
      </c>
      <c r="BO418" t="s">
        <v>293</v>
      </c>
      <c r="BP418" t="s">
        <v>292</v>
      </c>
      <c r="BQ418" t="s">
        <v>293</v>
      </c>
      <c r="BR418" t="s">
        <v>293</v>
      </c>
      <c r="BS418" t="s">
        <v>364</v>
      </c>
      <c r="BT418" t="s">
        <v>366</v>
      </c>
      <c r="BU418" t="s">
        <v>371</v>
      </c>
      <c r="BV418" t="s">
        <v>371</v>
      </c>
      <c r="BW418" t="s">
        <v>2861</v>
      </c>
      <c r="BX418" t="str">
        <f>IF(J418="win",VLOOKUP(B418,ColorScheme!$A$2:$I$32,4,0),VLOOKUP(B418,ColorScheme!$A$2:$I$32,5,0))</f>
        <v>#380282</v>
      </c>
    </row>
    <row r="419" spans="1:76" x14ac:dyDescent="0.3">
      <c r="A419" t="s">
        <v>43</v>
      </c>
      <c r="B419" t="s">
        <v>71</v>
      </c>
      <c r="C419" t="s">
        <v>17</v>
      </c>
      <c r="D419" t="s">
        <v>29</v>
      </c>
      <c r="E419" t="s">
        <v>1121</v>
      </c>
      <c r="F419" t="b">
        <v>1</v>
      </c>
      <c r="G419">
        <v>62.1</v>
      </c>
      <c r="H419">
        <v>0</v>
      </c>
      <c r="I419">
        <v>25766</v>
      </c>
      <c r="J419" s="61" t="s">
        <v>13</v>
      </c>
      <c r="K419" s="16" t="s">
        <v>272</v>
      </c>
      <c r="L419" s="16">
        <v>3</v>
      </c>
      <c r="M419" s="16" t="s">
        <v>277</v>
      </c>
      <c r="N419" s="16" t="s">
        <v>335</v>
      </c>
      <c r="O419" s="15" t="s">
        <v>282</v>
      </c>
      <c r="P419" t="s">
        <v>371</v>
      </c>
      <c r="Q419" t="s">
        <v>371</v>
      </c>
      <c r="R419" s="17" t="s">
        <v>371</v>
      </c>
      <c r="S419" s="17">
        <v>0</v>
      </c>
      <c r="T419" s="17">
        <v>1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 t="s">
        <v>704</v>
      </c>
      <c r="AD419" s="16" t="s">
        <v>341</v>
      </c>
      <c r="AE419" s="16" t="s">
        <v>342</v>
      </c>
      <c r="AF419" s="15" t="s">
        <v>343</v>
      </c>
      <c r="AG419" s="15" t="s">
        <v>344</v>
      </c>
      <c r="AH419" s="17" t="s">
        <v>347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 t="s">
        <v>704</v>
      </c>
      <c r="AR419" t="s">
        <v>349</v>
      </c>
      <c r="AS419" t="s">
        <v>349</v>
      </c>
      <c r="AT419">
        <v>1</v>
      </c>
      <c r="AU419">
        <v>0</v>
      </c>
      <c r="AV419">
        <v>0</v>
      </c>
      <c r="AW419" t="s">
        <v>704</v>
      </c>
      <c r="AX419" t="s">
        <v>1263</v>
      </c>
      <c r="AY419" t="s">
        <v>293</v>
      </c>
      <c r="AZ419" t="s">
        <v>353</v>
      </c>
      <c r="BA419" t="s">
        <v>296</v>
      </c>
      <c r="BB419" t="s">
        <v>300</v>
      </c>
      <c r="BC419" t="s">
        <v>292</v>
      </c>
      <c r="BD419" t="s">
        <v>293</v>
      </c>
      <c r="BE419" t="s">
        <v>292</v>
      </c>
      <c r="BF419" t="s">
        <v>293</v>
      </c>
      <c r="BG419" t="s">
        <v>293</v>
      </c>
      <c r="BH419" t="s">
        <v>302</v>
      </c>
      <c r="BI419" t="s">
        <v>302</v>
      </c>
      <c r="BJ419" t="s">
        <v>359</v>
      </c>
      <c r="BK419" t="s">
        <v>293</v>
      </c>
      <c r="BL419" t="s">
        <v>293</v>
      </c>
      <c r="BM419" t="s">
        <v>296</v>
      </c>
      <c r="BN419" t="s">
        <v>298</v>
      </c>
      <c r="BO419" t="s">
        <v>293</v>
      </c>
      <c r="BP419" t="s">
        <v>292</v>
      </c>
      <c r="BQ419" t="s">
        <v>293</v>
      </c>
      <c r="BR419" t="s">
        <v>293</v>
      </c>
      <c r="BS419" t="s">
        <v>364</v>
      </c>
      <c r="BT419" t="s">
        <v>366</v>
      </c>
      <c r="BU419" t="s">
        <v>371</v>
      </c>
      <c r="BV419" t="s">
        <v>371</v>
      </c>
      <c r="BW419" t="s">
        <v>2862</v>
      </c>
      <c r="BX419" t="str">
        <f>IF(J419="win",VLOOKUP(B419,ColorScheme!$A$2:$I$32,4,0),VLOOKUP(B419,ColorScheme!$A$2:$I$32,5,0))</f>
        <v>#380282</v>
      </c>
    </row>
    <row r="420" spans="1:76" x14ac:dyDescent="0.3">
      <c r="A420" t="s">
        <v>43</v>
      </c>
      <c r="B420" t="s">
        <v>71</v>
      </c>
      <c r="C420" t="s">
        <v>16</v>
      </c>
      <c r="D420" t="s">
        <v>29</v>
      </c>
      <c r="E420" t="s">
        <v>1122</v>
      </c>
      <c r="F420" t="b">
        <v>1</v>
      </c>
      <c r="G420">
        <v>62.1</v>
      </c>
      <c r="H420">
        <v>0</v>
      </c>
      <c r="I420">
        <v>19718</v>
      </c>
      <c r="J420" s="61" t="s">
        <v>13</v>
      </c>
      <c r="K420" s="16" t="s">
        <v>272</v>
      </c>
      <c r="L420" s="16">
        <v>3</v>
      </c>
      <c r="M420" s="16" t="s">
        <v>277</v>
      </c>
      <c r="N420" s="16" t="s">
        <v>335</v>
      </c>
      <c r="O420" s="15" t="s">
        <v>282</v>
      </c>
      <c r="P420" t="s">
        <v>371</v>
      </c>
      <c r="Q420" t="s">
        <v>371</v>
      </c>
      <c r="R420" s="17" t="s">
        <v>371</v>
      </c>
      <c r="S420" s="17">
        <v>0</v>
      </c>
      <c r="T420" s="17">
        <v>1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 t="s">
        <v>704</v>
      </c>
      <c r="AD420" s="16" t="s">
        <v>341</v>
      </c>
      <c r="AE420" s="16" t="s">
        <v>342</v>
      </c>
      <c r="AF420" s="15" t="s">
        <v>343</v>
      </c>
      <c r="AG420" s="15" t="s">
        <v>344</v>
      </c>
      <c r="AH420" s="17" t="s">
        <v>347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 t="s">
        <v>704</v>
      </c>
      <c r="AR420" t="s">
        <v>349</v>
      </c>
      <c r="AS420" t="s">
        <v>349</v>
      </c>
      <c r="AT420">
        <v>1</v>
      </c>
      <c r="AU420">
        <v>0</v>
      </c>
      <c r="AV420">
        <v>0</v>
      </c>
      <c r="AW420" t="s">
        <v>704</v>
      </c>
      <c r="AX420" t="s">
        <v>1263</v>
      </c>
      <c r="AY420" t="s">
        <v>293</v>
      </c>
      <c r="AZ420" t="s">
        <v>353</v>
      </c>
      <c r="BA420" t="s">
        <v>296</v>
      </c>
      <c r="BB420" t="s">
        <v>300</v>
      </c>
      <c r="BC420" t="s">
        <v>292</v>
      </c>
      <c r="BD420" t="s">
        <v>293</v>
      </c>
      <c r="BE420" t="s">
        <v>292</v>
      </c>
      <c r="BF420" t="s">
        <v>293</v>
      </c>
      <c r="BG420" t="s">
        <v>293</v>
      </c>
      <c r="BH420" t="s">
        <v>302</v>
      </c>
      <c r="BI420" t="s">
        <v>302</v>
      </c>
      <c r="BJ420" t="s">
        <v>359</v>
      </c>
      <c r="BK420" t="s">
        <v>293</v>
      </c>
      <c r="BL420" t="s">
        <v>293</v>
      </c>
      <c r="BM420" t="s">
        <v>296</v>
      </c>
      <c r="BN420" t="s">
        <v>298</v>
      </c>
      <c r="BO420" t="s">
        <v>293</v>
      </c>
      <c r="BP420" t="s">
        <v>292</v>
      </c>
      <c r="BQ420" t="s">
        <v>293</v>
      </c>
      <c r="BR420" t="s">
        <v>293</v>
      </c>
      <c r="BS420" t="s">
        <v>364</v>
      </c>
      <c r="BT420" t="s">
        <v>366</v>
      </c>
      <c r="BU420" t="s">
        <v>371</v>
      </c>
      <c r="BV420" t="s">
        <v>371</v>
      </c>
      <c r="BW420" t="s">
        <v>2863</v>
      </c>
      <c r="BX420" t="str">
        <f>IF(J420="win",VLOOKUP(B420,ColorScheme!$A$2:$I$32,4,0),VLOOKUP(B420,ColorScheme!$A$2:$I$32,5,0))</f>
        <v>#380282</v>
      </c>
    </row>
    <row r="421" spans="1:76" x14ac:dyDescent="0.3">
      <c r="A421" t="s">
        <v>43</v>
      </c>
      <c r="B421" t="s">
        <v>71</v>
      </c>
      <c r="C421" t="s">
        <v>20</v>
      </c>
      <c r="D421" t="s">
        <v>29</v>
      </c>
      <c r="E421" t="s">
        <v>1123</v>
      </c>
      <c r="F421" t="b">
        <v>1</v>
      </c>
      <c r="G421">
        <v>55.4</v>
      </c>
      <c r="H421">
        <v>0</v>
      </c>
      <c r="I421">
        <v>29965</v>
      </c>
      <c r="J421" s="61" t="s">
        <v>13</v>
      </c>
      <c r="K421" s="16" t="s">
        <v>272</v>
      </c>
      <c r="L421" s="16">
        <v>3</v>
      </c>
      <c r="M421" s="16" t="s">
        <v>277</v>
      </c>
      <c r="N421" s="16" t="s">
        <v>335</v>
      </c>
      <c r="O421" s="15" t="s">
        <v>282</v>
      </c>
      <c r="P421" t="s">
        <v>371</v>
      </c>
      <c r="Q421" t="s">
        <v>371</v>
      </c>
      <c r="R421" s="17" t="s">
        <v>371</v>
      </c>
      <c r="S421" s="17">
        <v>0</v>
      </c>
      <c r="T421" s="17">
        <v>1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 t="s">
        <v>704</v>
      </c>
      <c r="AD421" s="16" t="s">
        <v>341</v>
      </c>
      <c r="AE421" s="16" t="s">
        <v>342</v>
      </c>
      <c r="AF421" s="15" t="s">
        <v>343</v>
      </c>
      <c r="AG421" s="15" t="s">
        <v>344</v>
      </c>
      <c r="AH421" s="17" t="s">
        <v>347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 t="s">
        <v>704</v>
      </c>
      <c r="AR421" t="s">
        <v>349</v>
      </c>
      <c r="AS421" t="s">
        <v>349</v>
      </c>
      <c r="AT421">
        <v>1</v>
      </c>
      <c r="AU421">
        <v>0</v>
      </c>
      <c r="AV421">
        <v>0</v>
      </c>
      <c r="AW421" t="s">
        <v>704</v>
      </c>
      <c r="AX421" t="s">
        <v>1263</v>
      </c>
      <c r="AY421" t="s">
        <v>293</v>
      </c>
      <c r="AZ421" t="s">
        <v>353</v>
      </c>
      <c r="BA421" t="s">
        <v>296</v>
      </c>
      <c r="BB421" t="s">
        <v>300</v>
      </c>
      <c r="BC421" t="s">
        <v>292</v>
      </c>
      <c r="BD421" t="s">
        <v>293</v>
      </c>
      <c r="BE421" t="s">
        <v>292</v>
      </c>
      <c r="BF421" t="s">
        <v>293</v>
      </c>
      <c r="BG421" t="s">
        <v>293</v>
      </c>
      <c r="BH421" t="s">
        <v>302</v>
      </c>
      <c r="BI421" t="s">
        <v>302</v>
      </c>
      <c r="BJ421" t="s">
        <v>359</v>
      </c>
      <c r="BK421" t="s">
        <v>293</v>
      </c>
      <c r="BL421" t="s">
        <v>293</v>
      </c>
      <c r="BM421" t="s">
        <v>296</v>
      </c>
      <c r="BN421" t="s">
        <v>298</v>
      </c>
      <c r="BO421" t="s">
        <v>293</v>
      </c>
      <c r="BP421" t="s">
        <v>292</v>
      </c>
      <c r="BQ421" t="s">
        <v>293</v>
      </c>
      <c r="BR421" t="s">
        <v>293</v>
      </c>
      <c r="BS421" t="s">
        <v>364</v>
      </c>
      <c r="BT421" t="s">
        <v>366</v>
      </c>
      <c r="BU421" t="s">
        <v>371</v>
      </c>
      <c r="BV421" t="s">
        <v>371</v>
      </c>
      <c r="BW421" t="s">
        <v>2864</v>
      </c>
      <c r="BX421" t="str">
        <f>IF(J421="win",VLOOKUP(B421,ColorScheme!$A$2:$I$32,4,0),VLOOKUP(B421,ColorScheme!$A$2:$I$32,5,0))</f>
        <v>#380282</v>
      </c>
    </row>
    <row r="422" spans="1:76" x14ac:dyDescent="0.3">
      <c r="A422" t="s">
        <v>9</v>
      </c>
      <c r="B422" t="s">
        <v>74</v>
      </c>
      <c r="C422" t="s">
        <v>15</v>
      </c>
      <c r="D422" t="s">
        <v>12</v>
      </c>
      <c r="E422" t="s">
        <v>1124</v>
      </c>
      <c r="F422" t="b">
        <v>1</v>
      </c>
      <c r="G422">
        <v>39.799999999999997</v>
      </c>
      <c r="H422">
        <v>0</v>
      </c>
      <c r="I422">
        <v>29125</v>
      </c>
      <c r="J422" s="61" t="s">
        <v>13</v>
      </c>
      <c r="K422" s="16" t="s">
        <v>272</v>
      </c>
      <c r="L422" s="16">
        <v>3</v>
      </c>
      <c r="M422" s="16" t="s">
        <v>277</v>
      </c>
      <c r="N422" s="16" t="s">
        <v>335</v>
      </c>
      <c r="O422" s="15" t="s">
        <v>283</v>
      </c>
      <c r="P422" t="s">
        <v>273</v>
      </c>
      <c r="Q422" t="s">
        <v>282</v>
      </c>
      <c r="R422" s="17" t="s">
        <v>371</v>
      </c>
      <c r="S422" s="17">
        <v>0</v>
      </c>
      <c r="T422" s="17">
        <v>1</v>
      </c>
      <c r="U422" s="17">
        <v>1</v>
      </c>
      <c r="V422" s="17">
        <v>0</v>
      </c>
      <c r="W422" s="17">
        <v>1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 t="s">
        <v>704</v>
      </c>
      <c r="AD422" s="16" t="s">
        <v>341</v>
      </c>
      <c r="AE422" s="16" t="s">
        <v>342</v>
      </c>
      <c r="AF422" s="15" t="s">
        <v>343</v>
      </c>
      <c r="AG422" s="15" t="s">
        <v>344</v>
      </c>
      <c r="AH422" s="17" t="s">
        <v>291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 t="s">
        <v>704</v>
      </c>
      <c r="AR422" t="s">
        <v>350</v>
      </c>
      <c r="AS422" t="s">
        <v>349</v>
      </c>
      <c r="AT422">
        <v>0</v>
      </c>
      <c r="AU422">
        <v>1</v>
      </c>
      <c r="AV422">
        <v>0</v>
      </c>
      <c r="AW422" t="s">
        <v>704</v>
      </c>
      <c r="AX422" t="s">
        <v>2915</v>
      </c>
      <c r="AY422" t="s">
        <v>293</v>
      </c>
      <c r="AZ422" t="s">
        <v>353</v>
      </c>
      <c r="BA422" t="s">
        <v>355</v>
      </c>
      <c r="BB422" t="s">
        <v>301</v>
      </c>
      <c r="BC422" t="s">
        <v>293</v>
      </c>
      <c r="BD422" t="s">
        <v>292</v>
      </c>
      <c r="BE422" t="s">
        <v>292</v>
      </c>
      <c r="BF422" t="s">
        <v>292</v>
      </c>
      <c r="BG422" t="s">
        <v>293</v>
      </c>
      <c r="BH422" t="s">
        <v>302</v>
      </c>
      <c r="BI422" t="s">
        <v>302</v>
      </c>
      <c r="BJ422" t="s">
        <v>359</v>
      </c>
      <c r="BK422" t="s">
        <v>293</v>
      </c>
      <c r="BL422" t="s">
        <v>293</v>
      </c>
      <c r="BM422" t="s">
        <v>296</v>
      </c>
      <c r="BN422" t="s">
        <v>356</v>
      </c>
      <c r="BO422" t="s">
        <v>293</v>
      </c>
      <c r="BP422" t="s">
        <v>292</v>
      </c>
      <c r="BQ422" t="s">
        <v>293</v>
      </c>
      <c r="BR422" t="s">
        <v>293</v>
      </c>
      <c r="BS422" t="s">
        <v>364</v>
      </c>
      <c r="BT422" t="s">
        <v>366</v>
      </c>
      <c r="BU422" t="s">
        <v>371</v>
      </c>
      <c r="BV422" t="s">
        <v>371</v>
      </c>
      <c r="BW422" t="s">
        <v>2865</v>
      </c>
      <c r="BX422" t="str">
        <f>IF(J422="win",VLOOKUP(B422,ColorScheme!$A$2:$I$32,4,0),VLOOKUP(B422,ColorScheme!$A$2:$I$32,5,0))</f>
        <v>#8eab12</v>
      </c>
    </row>
    <row r="423" spans="1:76" x14ac:dyDescent="0.3">
      <c r="A423" t="s">
        <v>9</v>
      </c>
      <c r="B423" t="s">
        <v>74</v>
      </c>
      <c r="C423" t="s">
        <v>14</v>
      </c>
      <c r="D423" t="s">
        <v>12</v>
      </c>
      <c r="E423" t="s">
        <v>1125</v>
      </c>
      <c r="F423" t="b">
        <v>1</v>
      </c>
      <c r="G423">
        <v>100</v>
      </c>
      <c r="H423">
        <v>1</v>
      </c>
      <c r="I423">
        <v>28839</v>
      </c>
      <c r="J423" s="61" t="s">
        <v>18</v>
      </c>
      <c r="K423" s="16" t="s">
        <v>272</v>
      </c>
      <c r="L423" s="16">
        <v>3</v>
      </c>
      <c r="M423" s="16" t="s">
        <v>277</v>
      </c>
      <c r="N423" s="16" t="s">
        <v>335</v>
      </c>
      <c r="O423" s="15" t="s">
        <v>282</v>
      </c>
      <c r="P423" t="s">
        <v>285</v>
      </c>
      <c r="Q423" t="s">
        <v>371</v>
      </c>
      <c r="R423" s="17" t="s">
        <v>371</v>
      </c>
      <c r="S423" s="17">
        <v>0</v>
      </c>
      <c r="T423" s="17">
        <v>1</v>
      </c>
      <c r="U423" s="17">
        <v>0</v>
      </c>
      <c r="V423" s="17">
        <v>0</v>
      </c>
      <c r="W423" s="17">
        <v>0</v>
      </c>
      <c r="X423" s="17">
        <v>1</v>
      </c>
      <c r="Y423" s="17">
        <v>0</v>
      </c>
      <c r="Z423" s="17">
        <v>0</v>
      </c>
      <c r="AA423" s="17">
        <v>0</v>
      </c>
      <c r="AB423" s="17">
        <v>0</v>
      </c>
      <c r="AC423" s="17" t="s">
        <v>704</v>
      </c>
      <c r="AD423" s="16" t="s">
        <v>341</v>
      </c>
      <c r="AE423" s="16" t="s">
        <v>342</v>
      </c>
      <c r="AF423" s="15" t="s">
        <v>343</v>
      </c>
      <c r="AG423" s="15" t="s">
        <v>344</v>
      </c>
      <c r="AH423" s="17" t="s">
        <v>291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 t="s">
        <v>704</v>
      </c>
      <c r="AR423" t="s">
        <v>350</v>
      </c>
      <c r="AS423" t="s">
        <v>349</v>
      </c>
      <c r="AT423">
        <v>0</v>
      </c>
      <c r="AU423">
        <v>1</v>
      </c>
      <c r="AV423">
        <v>0</v>
      </c>
      <c r="AW423" t="s">
        <v>704</v>
      </c>
      <c r="AX423" t="s">
        <v>2916</v>
      </c>
      <c r="AY423" t="s">
        <v>293</v>
      </c>
      <c r="AZ423" t="s">
        <v>353</v>
      </c>
      <c r="BA423" t="s">
        <v>355</v>
      </c>
      <c r="BB423" t="s">
        <v>301</v>
      </c>
      <c r="BC423" t="s">
        <v>293</v>
      </c>
      <c r="BD423" t="s">
        <v>292</v>
      </c>
      <c r="BE423" t="s">
        <v>292</v>
      </c>
      <c r="BF423" t="s">
        <v>292</v>
      </c>
      <c r="BG423" t="s">
        <v>293</v>
      </c>
      <c r="BH423" t="s">
        <v>302</v>
      </c>
      <c r="BI423" t="s">
        <v>302</v>
      </c>
      <c r="BJ423" t="s">
        <v>359</v>
      </c>
      <c r="BK423" t="s">
        <v>293</v>
      </c>
      <c r="BL423" t="s">
        <v>293</v>
      </c>
      <c r="BM423" t="s">
        <v>296</v>
      </c>
      <c r="BN423" t="s">
        <v>356</v>
      </c>
      <c r="BO423" t="s">
        <v>293</v>
      </c>
      <c r="BP423" t="s">
        <v>292</v>
      </c>
      <c r="BQ423" t="s">
        <v>293</v>
      </c>
      <c r="BR423" t="s">
        <v>293</v>
      </c>
      <c r="BS423" t="s">
        <v>364</v>
      </c>
      <c r="BT423" t="s">
        <v>304</v>
      </c>
      <c r="BU423" t="s">
        <v>371</v>
      </c>
      <c r="BV423" t="s">
        <v>371</v>
      </c>
      <c r="BW423" t="s">
        <v>2866</v>
      </c>
      <c r="BX423" t="str">
        <f>IF(J423="win",VLOOKUP(B423,ColorScheme!$A$2:$I$32,4,0),VLOOKUP(B423,ColorScheme!$A$2:$I$32,5,0))</f>
        <v>#8eab1250</v>
      </c>
    </row>
    <row r="424" spans="1:76" x14ac:dyDescent="0.3">
      <c r="A424" t="s">
        <v>9</v>
      </c>
      <c r="B424" t="s">
        <v>74</v>
      </c>
      <c r="C424" t="s">
        <v>11</v>
      </c>
      <c r="D424" t="s">
        <v>12</v>
      </c>
      <c r="E424" t="s">
        <v>1126</v>
      </c>
      <c r="F424" t="b">
        <v>1</v>
      </c>
      <c r="G424">
        <v>42.4</v>
      </c>
      <c r="H424">
        <v>0</v>
      </c>
      <c r="I424">
        <v>27658</v>
      </c>
      <c r="J424" s="61" t="s">
        <v>13</v>
      </c>
      <c r="K424" s="16" t="s">
        <v>272</v>
      </c>
      <c r="L424" s="16">
        <v>3</v>
      </c>
      <c r="M424" s="16" t="s">
        <v>277</v>
      </c>
      <c r="N424" s="16" t="s">
        <v>335</v>
      </c>
      <c r="O424" s="15" t="s">
        <v>282</v>
      </c>
      <c r="P424" t="s">
        <v>371</v>
      </c>
      <c r="Q424" t="s">
        <v>371</v>
      </c>
      <c r="R424" s="17" t="s">
        <v>371</v>
      </c>
      <c r="S424" s="17">
        <v>0</v>
      </c>
      <c r="T424" s="17">
        <v>1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 t="s">
        <v>704</v>
      </c>
      <c r="AD424" s="16" t="s">
        <v>340</v>
      </c>
      <c r="AE424" s="16" t="s">
        <v>342</v>
      </c>
      <c r="AF424" s="15" t="s">
        <v>343</v>
      </c>
      <c r="AG424" s="15" t="s">
        <v>347</v>
      </c>
      <c r="AH424" s="17" t="s">
        <v>371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 t="s">
        <v>704</v>
      </c>
      <c r="AR424" t="s">
        <v>349</v>
      </c>
      <c r="AS424" t="s">
        <v>349</v>
      </c>
      <c r="AT424">
        <v>1</v>
      </c>
      <c r="AU424">
        <v>0</v>
      </c>
      <c r="AV424">
        <v>0</v>
      </c>
      <c r="AW424" t="s">
        <v>704</v>
      </c>
      <c r="AX424" t="s">
        <v>1227</v>
      </c>
      <c r="AY424" t="s">
        <v>293</v>
      </c>
      <c r="AZ424" t="s">
        <v>353</v>
      </c>
      <c r="BA424" t="s">
        <v>296</v>
      </c>
      <c r="BB424" t="s">
        <v>301</v>
      </c>
      <c r="BC424" t="s">
        <v>293</v>
      </c>
      <c r="BD424" t="s">
        <v>292</v>
      </c>
      <c r="BE424" t="s">
        <v>293</v>
      </c>
      <c r="BF424" t="s">
        <v>292</v>
      </c>
      <c r="BG424" t="s">
        <v>293</v>
      </c>
      <c r="BH424" t="s">
        <v>302</v>
      </c>
      <c r="BI424" t="s">
        <v>302</v>
      </c>
      <c r="BJ424" t="s">
        <v>359</v>
      </c>
      <c r="BK424" t="s">
        <v>293</v>
      </c>
      <c r="BL424" t="s">
        <v>293</v>
      </c>
      <c r="BM424" t="s">
        <v>296</v>
      </c>
      <c r="BN424" t="s">
        <v>356</v>
      </c>
      <c r="BO424" t="s">
        <v>293</v>
      </c>
      <c r="BP424" t="s">
        <v>292</v>
      </c>
      <c r="BQ424" t="s">
        <v>293</v>
      </c>
      <c r="BR424" t="s">
        <v>293</v>
      </c>
      <c r="BS424" t="s">
        <v>364</v>
      </c>
      <c r="BT424" t="s">
        <v>366</v>
      </c>
      <c r="BU424" t="s">
        <v>371</v>
      </c>
      <c r="BV424" t="s">
        <v>371</v>
      </c>
      <c r="BW424" t="s">
        <v>2867</v>
      </c>
      <c r="BX424" t="str">
        <f>IF(J424="win",VLOOKUP(B424,ColorScheme!$A$2:$I$32,4,0),VLOOKUP(B424,ColorScheme!$A$2:$I$32,5,0))</f>
        <v>#8eab12</v>
      </c>
    </row>
    <row r="425" spans="1:76" x14ac:dyDescent="0.3">
      <c r="A425" t="s">
        <v>9</v>
      </c>
      <c r="B425" t="s">
        <v>74</v>
      </c>
      <c r="C425" t="s">
        <v>17</v>
      </c>
      <c r="D425" t="s">
        <v>12</v>
      </c>
      <c r="E425" t="s">
        <v>1127</v>
      </c>
      <c r="F425" t="b">
        <v>1</v>
      </c>
      <c r="G425">
        <v>54.7</v>
      </c>
      <c r="H425">
        <v>0</v>
      </c>
      <c r="I425">
        <v>17491</v>
      </c>
      <c r="J425" s="61" t="s">
        <v>13</v>
      </c>
      <c r="K425" s="16" t="s">
        <v>272</v>
      </c>
      <c r="L425" s="16">
        <v>3</v>
      </c>
      <c r="M425" s="16" t="s">
        <v>277</v>
      </c>
      <c r="N425" s="16" t="s">
        <v>335</v>
      </c>
      <c r="O425" s="15" t="s">
        <v>283</v>
      </c>
      <c r="P425" t="s">
        <v>273</v>
      </c>
      <c r="Q425" t="s">
        <v>282</v>
      </c>
      <c r="R425" s="17" t="s">
        <v>371</v>
      </c>
      <c r="S425" s="17">
        <v>0</v>
      </c>
      <c r="T425" s="17">
        <v>1</v>
      </c>
      <c r="U425" s="17">
        <v>1</v>
      </c>
      <c r="V425" s="17">
        <v>0</v>
      </c>
      <c r="W425" s="17">
        <v>1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 t="s">
        <v>704</v>
      </c>
      <c r="AD425" s="16" t="s">
        <v>340</v>
      </c>
      <c r="AE425" s="16" t="s">
        <v>342</v>
      </c>
      <c r="AF425" s="15" t="s">
        <v>343</v>
      </c>
      <c r="AG425" s="15" t="s">
        <v>344</v>
      </c>
      <c r="AH425" s="17" t="s">
        <v>371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704</v>
      </c>
      <c r="AR425" t="s">
        <v>350</v>
      </c>
      <c r="AS425" t="s">
        <v>349</v>
      </c>
      <c r="AT425">
        <v>0</v>
      </c>
      <c r="AU425">
        <v>1</v>
      </c>
      <c r="AV425">
        <v>0</v>
      </c>
      <c r="AW425" t="s">
        <v>704</v>
      </c>
      <c r="AX425" t="s">
        <v>2917</v>
      </c>
      <c r="AY425" t="s">
        <v>293</v>
      </c>
      <c r="AZ425" t="s">
        <v>353</v>
      </c>
      <c r="BA425" t="s">
        <v>355</v>
      </c>
      <c r="BB425" t="s">
        <v>301</v>
      </c>
      <c r="BC425" t="s">
        <v>293</v>
      </c>
      <c r="BD425" t="s">
        <v>292</v>
      </c>
      <c r="BE425" t="s">
        <v>292</v>
      </c>
      <c r="BF425" t="s">
        <v>292</v>
      </c>
      <c r="BG425" t="s">
        <v>293</v>
      </c>
      <c r="BH425" t="s">
        <v>302</v>
      </c>
      <c r="BI425" t="s">
        <v>302</v>
      </c>
      <c r="BJ425" t="s">
        <v>359</v>
      </c>
      <c r="BK425" t="s">
        <v>293</v>
      </c>
      <c r="BL425" t="s">
        <v>293</v>
      </c>
      <c r="BM425" t="s">
        <v>297</v>
      </c>
      <c r="BN425" t="s">
        <v>356</v>
      </c>
      <c r="BO425" t="s">
        <v>293</v>
      </c>
      <c r="BP425" t="s">
        <v>292</v>
      </c>
      <c r="BQ425" t="s">
        <v>293</v>
      </c>
      <c r="BR425" t="s">
        <v>293</v>
      </c>
      <c r="BS425" t="s">
        <v>364</v>
      </c>
      <c r="BT425" t="s">
        <v>366</v>
      </c>
      <c r="BU425" t="s">
        <v>371</v>
      </c>
      <c r="BV425" t="s">
        <v>371</v>
      </c>
      <c r="BW425" t="s">
        <v>2868</v>
      </c>
      <c r="BX425" t="str">
        <f>IF(J425="win",VLOOKUP(B425,ColorScheme!$A$2:$I$32,4,0),VLOOKUP(B425,ColorScheme!$A$2:$I$32,5,0))</f>
        <v>#8eab12</v>
      </c>
    </row>
    <row r="426" spans="1:76" x14ac:dyDescent="0.3">
      <c r="A426" t="s">
        <v>9</v>
      </c>
      <c r="B426" t="s">
        <v>74</v>
      </c>
      <c r="C426" t="s">
        <v>16</v>
      </c>
      <c r="D426" t="s">
        <v>12</v>
      </c>
      <c r="E426" t="s">
        <v>1128</v>
      </c>
      <c r="F426" t="b">
        <v>1</v>
      </c>
      <c r="G426">
        <v>40.6</v>
      </c>
      <c r="H426">
        <v>0</v>
      </c>
      <c r="I426">
        <v>21240</v>
      </c>
      <c r="J426" s="61" t="s">
        <v>13</v>
      </c>
      <c r="K426" s="16" t="s">
        <v>272</v>
      </c>
      <c r="L426" s="16">
        <v>3</v>
      </c>
      <c r="M426" s="16" t="s">
        <v>277</v>
      </c>
      <c r="N426" s="16" t="s">
        <v>335</v>
      </c>
      <c r="O426" s="15" t="s">
        <v>283</v>
      </c>
      <c r="P426" t="s">
        <v>273</v>
      </c>
      <c r="Q426" t="s">
        <v>282</v>
      </c>
      <c r="R426" s="17" t="s">
        <v>371</v>
      </c>
      <c r="S426" s="17">
        <v>0</v>
      </c>
      <c r="T426" s="17">
        <v>1</v>
      </c>
      <c r="U426" s="17">
        <v>1</v>
      </c>
      <c r="V426" s="17">
        <v>0</v>
      </c>
      <c r="W426" s="17">
        <v>1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 t="s">
        <v>704</v>
      </c>
      <c r="AD426" s="16" t="s">
        <v>340</v>
      </c>
      <c r="AE426" s="16" t="s">
        <v>342</v>
      </c>
      <c r="AF426" s="15" t="s">
        <v>343</v>
      </c>
      <c r="AG426" s="15" t="s">
        <v>344</v>
      </c>
      <c r="AH426" s="17" t="s">
        <v>371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704</v>
      </c>
      <c r="AR426" t="s">
        <v>350</v>
      </c>
      <c r="AS426" t="s">
        <v>349</v>
      </c>
      <c r="AT426">
        <v>0</v>
      </c>
      <c r="AU426">
        <v>1</v>
      </c>
      <c r="AV426">
        <v>0</v>
      </c>
      <c r="AW426" t="s">
        <v>704</v>
      </c>
      <c r="AX426" t="s">
        <v>2917</v>
      </c>
      <c r="AY426" t="s">
        <v>293</v>
      </c>
      <c r="AZ426" t="s">
        <v>353</v>
      </c>
      <c r="BA426" t="s">
        <v>355</v>
      </c>
      <c r="BB426" t="s">
        <v>301</v>
      </c>
      <c r="BC426" t="s">
        <v>293</v>
      </c>
      <c r="BD426" t="s">
        <v>292</v>
      </c>
      <c r="BE426" t="s">
        <v>292</v>
      </c>
      <c r="BF426" t="s">
        <v>292</v>
      </c>
      <c r="BG426" t="s">
        <v>293</v>
      </c>
      <c r="BH426" t="s">
        <v>302</v>
      </c>
      <c r="BI426" t="s">
        <v>302</v>
      </c>
      <c r="BJ426" t="s">
        <v>359</v>
      </c>
      <c r="BK426" t="s">
        <v>293</v>
      </c>
      <c r="BL426" t="s">
        <v>293</v>
      </c>
      <c r="BM426" t="s">
        <v>296</v>
      </c>
      <c r="BN426" t="s">
        <v>356</v>
      </c>
      <c r="BO426" t="s">
        <v>293</v>
      </c>
      <c r="BP426" t="s">
        <v>292</v>
      </c>
      <c r="BQ426" t="s">
        <v>293</v>
      </c>
      <c r="BR426" t="s">
        <v>293</v>
      </c>
      <c r="BS426" t="s">
        <v>364</v>
      </c>
      <c r="BT426" t="s">
        <v>366</v>
      </c>
      <c r="BU426" t="s">
        <v>371</v>
      </c>
      <c r="BV426" t="s">
        <v>371</v>
      </c>
      <c r="BW426" t="s">
        <v>2869</v>
      </c>
      <c r="BX426" t="str">
        <f>IF(J426="win",VLOOKUP(B426,ColorScheme!$A$2:$I$32,4,0),VLOOKUP(B426,ColorScheme!$A$2:$I$32,5,0))</f>
        <v>#8eab12</v>
      </c>
    </row>
    <row r="427" spans="1:76" x14ac:dyDescent="0.3">
      <c r="A427" t="s">
        <v>9</v>
      </c>
      <c r="B427" t="s">
        <v>74</v>
      </c>
      <c r="C427" t="s">
        <v>23</v>
      </c>
      <c r="D427" t="s">
        <v>29</v>
      </c>
      <c r="E427" t="s">
        <v>1129</v>
      </c>
      <c r="F427" t="b">
        <v>1</v>
      </c>
      <c r="G427">
        <v>54.1</v>
      </c>
      <c r="H427">
        <v>0</v>
      </c>
      <c r="I427">
        <v>22388</v>
      </c>
      <c r="J427" s="61" t="s">
        <v>13</v>
      </c>
      <c r="K427" s="16" t="s">
        <v>272</v>
      </c>
      <c r="L427" s="16">
        <v>3</v>
      </c>
      <c r="M427" s="16" t="s">
        <v>277</v>
      </c>
      <c r="N427" s="16" t="s">
        <v>335</v>
      </c>
      <c r="O427" s="15" t="s">
        <v>339</v>
      </c>
      <c r="P427" t="s">
        <v>282</v>
      </c>
      <c r="Q427" t="s">
        <v>371</v>
      </c>
      <c r="R427" s="17" t="s">
        <v>371</v>
      </c>
      <c r="S427" s="17">
        <v>0</v>
      </c>
      <c r="T427" s="17">
        <v>1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1</v>
      </c>
      <c r="AB427" s="17">
        <v>0</v>
      </c>
      <c r="AC427" s="17" t="s">
        <v>704</v>
      </c>
      <c r="AD427" s="16" t="s">
        <v>341</v>
      </c>
      <c r="AE427" s="16" t="s">
        <v>340</v>
      </c>
      <c r="AF427" s="15" t="s">
        <v>343</v>
      </c>
      <c r="AG427" s="15" t="s">
        <v>344</v>
      </c>
      <c r="AH427" s="17" t="s">
        <v>371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704</v>
      </c>
      <c r="AR427" t="s">
        <v>349</v>
      </c>
      <c r="AS427" t="s">
        <v>349</v>
      </c>
      <c r="AT427">
        <v>1</v>
      </c>
      <c r="AU427">
        <v>0</v>
      </c>
      <c r="AV427">
        <v>0</v>
      </c>
      <c r="AW427" t="s">
        <v>704</v>
      </c>
      <c r="AX427" t="s">
        <v>1301</v>
      </c>
      <c r="AY427" t="s">
        <v>293</v>
      </c>
      <c r="AZ427" t="s">
        <v>353</v>
      </c>
      <c r="BA427" t="s">
        <v>296</v>
      </c>
      <c r="BB427" t="s">
        <v>301</v>
      </c>
      <c r="BC427" t="s">
        <v>293</v>
      </c>
      <c r="BD427" t="s">
        <v>292</v>
      </c>
      <c r="BE427" t="s">
        <v>292</v>
      </c>
      <c r="BF427" t="s">
        <v>292</v>
      </c>
      <c r="BG427" t="s">
        <v>293</v>
      </c>
      <c r="BH427" t="s">
        <v>302</v>
      </c>
      <c r="BI427" t="s">
        <v>302</v>
      </c>
      <c r="BJ427" t="s">
        <v>359</v>
      </c>
      <c r="BK427" t="s">
        <v>293</v>
      </c>
      <c r="BL427" t="s">
        <v>293</v>
      </c>
      <c r="BM427" t="s">
        <v>297</v>
      </c>
      <c r="BN427" t="s">
        <v>356</v>
      </c>
      <c r="BO427" t="s">
        <v>293</v>
      </c>
      <c r="BP427" t="s">
        <v>292</v>
      </c>
      <c r="BQ427" t="s">
        <v>293</v>
      </c>
      <c r="BR427" t="s">
        <v>293</v>
      </c>
      <c r="BS427" t="s">
        <v>364</v>
      </c>
      <c r="BT427" t="s">
        <v>366</v>
      </c>
      <c r="BU427" t="s">
        <v>371</v>
      </c>
      <c r="BV427" t="s">
        <v>371</v>
      </c>
      <c r="BW427" t="s">
        <v>2870</v>
      </c>
      <c r="BX427" t="str">
        <f>IF(J427="win",VLOOKUP(B427,ColorScheme!$A$2:$I$32,4,0),VLOOKUP(B427,ColorScheme!$A$2:$I$32,5,0))</f>
        <v>#8eab12</v>
      </c>
    </row>
    <row r="428" spans="1:76" x14ac:dyDescent="0.3">
      <c r="A428" t="s">
        <v>9</v>
      </c>
      <c r="B428" t="s">
        <v>74</v>
      </c>
      <c r="C428" t="s">
        <v>24</v>
      </c>
      <c r="D428" t="s">
        <v>29</v>
      </c>
      <c r="E428" t="s">
        <v>1130</v>
      </c>
      <c r="F428" t="b">
        <v>1</v>
      </c>
      <c r="G428">
        <v>87.3</v>
      </c>
      <c r="H428">
        <v>0</v>
      </c>
      <c r="I428">
        <v>14838</v>
      </c>
      <c r="J428" s="61" t="s">
        <v>13</v>
      </c>
      <c r="K428" s="16" t="s">
        <v>272</v>
      </c>
      <c r="L428" s="16">
        <v>3</v>
      </c>
      <c r="M428" s="16" t="s">
        <v>277</v>
      </c>
      <c r="N428" s="16" t="s">
        <v>335</v>
      </c>
      <c r="O428" s="15" t="s">
        <v>339</v>
      </c>
      <c r="P428" t="s">
        <v>282</v>
      </c>
      <c r="Q428" t="s">
        <v>371</v>
      </c>
      <c r="R428" s="17" t="s">
        <v>371</v>
      </c>
      <c r="S428" s="17">
        <v>0</v>
      </c>
      <c r="T428" s="17">
        <v>1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1</v>
      </c>
      <c r="AB428" s="17">
        <v>0</v>
      </c>
      <c r="AC428" s="17" t="s">
        <v>704</v>
      </c>
      <c r="AD428" s="16" t="s">
        <v>341</v>
      </c>
      <c r="AE428" s="16" t="s">
        <v>340</v>
      </c>
      <c r="AF428" s="15" t="s">
        <v>343</v>
      </c>
      <c r="AG428" s="15" t="s">
        <v>344</v>
      </c>
      <c r="AH428" s="17" t="s">
        <v>371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704</v>
      </c>
      <c r="AR428" t="s">
        <v>349</v>
      </c>
      <c r="AS428" t="s">
        <v>349</v>
      </c>
      <c r="AT428">
        <v>1</v>
      </c>
      <c r="AU428">
        <v>0</v>
      </c>
      <c r="AV428">
        <v>0</v>
      </c>
      <c r="AW428" t="s">
        <v>704</v>
      </c>
      <c r="AX428" t="s">
        <v>1301</v>
      </c>
      <c r="AY428" t="s">
        <v>293</v>
      </c>
      <c r="AZ428" t="s">
        <v>353</v>
      </c>
      <c r="BA428" t="s">
        <v>296</v>
      </c>
      <c r="BB428" t="s">
        <v>300</v>
      </c>
      <c r="BC428" t="s">
        <v>292</v>
      </c>
      <c r="BD428" t="s">
        <v>293</v>
      </c>
      <c r="BE428" t="s">
        <v>292</v>
      </c>
      <c r="BF428" t="s">
        <v>292</v>
      </c>
      <c r="BG428" t="s">
        <v>293</v>
      </c>
      <c r="BH428" t="s">
        <v>302</v>
      </c>
      <c r="BI428" t="s">
        <v>302</v>
      </c>
      <c r="BJ428" t="s">
        <v>359</v>
      </c>
      <c r="BK428" t="s">
        <v>293</v>
      </c>
      <c r="BL428" t="s">
        <v>293</v>
      </c>
      <c r="BM428" t="s">
        <v>297</v>
      </c>
      <c r="BN428" t="s">
        <v>298</v>
      </c>
      <c r="BO428" t="s">
        <v>293</v>
      </c>
      <c r="BP428" t="s">
        <v>292</v>
      </c>
      <c r="BQ428" t="s">
        <v>293</v>
      </c>
      <c r="BR428" t="s">
        <v>293</v>
      </c>
      <c r="BS428" t="s">
        <v>364</v>
      </c>
      <c r="BT428" t="s">
        <v>366</v>
      </c>
      <c r="BU428" t="s">
        <v>371</v>
      </c>
      <c r="BV428" t="s">
        <v>371</v>
      </c>
      <c r="BW428" t="s">
        <v>2871</v>
      </c>
      <c r="BX428" t="str">
        <f>IF(J428="win",VLOOKUP(B428,ColorScheme!$A$2:$I$32,4,0),VLOOKUP(B428,ColorScheme!$A$2:$I$32,5,0))</f>
        <v>#8eab12</v>
      </c>
    </row>
    <row r="429" spans="1:76" x14ac:dyDescent="0.3">
      <c r="A429" t="s">
        <v>9</v>
      </c>
      <c r="B429" t="s">
        <v>74</v>
      </c>
      <c r="C429" t="s">
        <v>21</v>
      </c>
      <c r="D429" t="s">
        <v>29</v>
      </c>
      <c r="E429" t="s">
        <v>1131</v>
      </c>
      <c r="F429" t="b">
        <v>1</v>
      </c>
      <c r="G429">
        <v>45.7</v>
      </c>
      <c r="H429">
        <v>0</v>
      </c>
      <c r="I429">
        <v>20690</v>
      </c>
      <c r="J429" s="61" t="s">
        <v>13</v>
      </c>
      <c r="K429" s="16" t="s">
        <v>272</v>
      </c>
      <c r="L429" s="16">
        <v>3</v>
      </c>
      <c r="M429" s="16" t="s">
        <v>277</v>
      </c>
      <c r="N429" s="16" t="s">
        <v>335</v>
      </c>
      <c r="O429" s="15" t="s">
        <v>282</v>
      </c>
      <c r="P429" t="s">
        <v>371</v>
      </c>
      <c r="Q429" t="s">
        <v>371</v>
      </c>
      <c r="R429" s="17" t="s">
        <v>371</v>
      </c>
      <c r="S429" s="17">
        <v>0</v>
      </c>
      <c r="T429" s="17">
        <v>1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 t="s">
        <v>704</v>
      </c>
      <c r="AD429" s="16" t="s">
        <v>340</v>
      </c>
      <c r="AE429" s="16" t="s">
        <v>342</v>
      </c>
      <c r="AF429" s="15" t="s">
        <v>343</v>
      </c>
      <c r="AG429" s="15" t="s">
        <v>344</v>
      </c>
      <c r="AH429" s="17" t="s">
        <v>371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704</v>
      </c>
      <c r="AR429" t="s">
        <v>349</v>
      </c>
      <c r="AS429" t="s">
        <v>349</v>
      </c>
      <c r="AT429">
        <v>1</v>
      </c>
      <c r="AU429">
        <v>0</v>
      </c>
      <c r="AV429">
        <v>0</v>
      </c>
      <c r="AW429" t="s">
        <v>704</v>
      </c>
      <c r="AX429" t="s">
        <v>1208</v>
      </c>
      <c r="AY429" t="s">
        <v>293</v>
      </c>
      <c r="AZ429" t="s">
        <v>353</v>
      </c>
      <c r="BA429" t="s">
        <v>296</v>
      </c>
      <c r="BB429" t="s">
        <v>300</v>
      </c>
      <c r="BC429" t="s">
        <v>293</v>
      </c>
      <c r="BD429" t="s">
        <v>292</v>
      </c>
      <c r="BE429" t="s">
        <v>292</v>
      </c>
      <c r="BF429" t="s">
        <v>292</v>
      </c>
      <c r="BG429" t="s">
        <v>293</v>
      </c>
      <c r="BH429" t="s">
        <v>302</v>
      </c>
      <c r="BI429" t="s">
        <v>302</v>
      </c>
      <c r="BJ429" t="s">
        <v>359</v>
      </c>
      <c r="BK429" t="s">
        <v>293</v>
      </c>
      <c r="BL429" t="s">
        <v>293</v>
      </c>
      <c r="BM429" t="s">
        <v>297</v>
      </c>
      <c r="BN429" t="s">
        <v>356</v>
      </c>
      <c r="BO429" t="s">
        <v>293</v>
      </c>
      <c r="BP429" t="s">
        <v>292</v>
      </c>
      <c r="BQ429" t="s">
        <v>293</v>
      </c>
      <c r="BR429" t="s">
        <v>293</v>
      </c>
      <c r="BS429" t="s">
        <v>364</v>
      </c>
      <c r="BT429" t="s">
        <v>366</v>
      </c>
      <c r="BU429" t="s">
        <v>371</v>
      </c>
      <c r="BV429" t="s">
        <v>371</v>
      </c>
      <c r="BW429" t="s">
        <v>2872</v>
      </c>
      <c r="BX429" t="str">
        <f>IF(J429="win",VLOOKUP(B429,ColorScheme!$A$2:$I$32,4,0),VLOOKUP(B429,ColorScheme!$A$2:$I$32,5,0))</f>
        <v>#8eab12</v>
      </c>
    </row>
    <row r="430" spans="1:76" x14ac:dyDescent="0.3">
      <c r="A430" t="s">
        <v>9</v>
      </c>
      <c r="B430" t="s">
        <v>74</v>
      </c>
      <c r="C430" t="s">
        <v>19</v>
      </c>
      <c r="D430" t="s">
        <v>29</v>
      </c>
      <c r="E430" t="s">
        <v>1132</v>
      </c>
      <c r="F430" t="b">
        <v>1</v>
      </c>
      <c r="G430">
        <v>100</v>
      </c>
      <c r="H430">
        <v>1</v>
      </c>
      <c r="I430">
        <v>21705</v>
      </c>
      <c r="J430" s="61" t="s">
        <v>18</v>
      </c>
      <c r="K430" s="16" t="s">
        <v>272</v>
      </c>
      <c r="L430" s="16">
        <v>3</v>
      </c>
      <c r="M430" s="16" t="s">
        <v>277</v>
      </c>
      <c r="N430" s="16" t="s">
        <v>335</v>
      </c>
      <c r="O430" s="15" t="s">
        <v>282</v>
      </c>
      <c r="P430" t="s">
        <v>371</v>
      </c>
      <c r="Q430" t="s">
        <v>371</v>
      </c>
      <c r="R430" s="17" t="s">
        <v>371</v>
      </c>
      <c r="S430" s="17">
        <v>0</v>
      </c>
      <c r="T430" s="17">
        <v>1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 t="s">
        <v>704</v>
      </c>
      <c r="AD430" s="16" t="s">
        <v>340</v>
      </c>
      <c r="AE430" s="16" t="s">
        <v>342</v>
      </c>
      <c r="AF430" s="15" t="s">
        <v>343</v>
      </c>
      <c r="AG430" s="15" t="s">
        <v>344</v>
      </c>
      <c r="AH430" s="17" t="s">
        <v>371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704</v>
      </c>
      <c r="AR430" t="s">
        <v>349</v>
      </c>
      <c r="AS430" t="s">
        <v>349</v>
      </c>
      <c r="AT430">
        <v>1</v>
      </c>
      <c r="AU430">
        <v>0</v>
      </c>
      <c r="AV430">
        <v>0</v>
      </c>
      <c r="AW430" t="s">
        <v>704</v>
      </c>
      <c r="AX430" t="s">
        <v>1208</v>
      </c>
      <c r="AY430" t="s">
        <v>293</v>
      </c>
      <c r="AZ430" t="s">
        <v>353</v>
      </c>
      <c r="BA430" t="s">
        <v>296</v>
      </c>
      <c r="BB430" t="s">
        <v>301</v>
      </c>
      <c r="BC430" t="s">
        <v>293</v>
      </c>
      <c r="BD430" t="s">
        <v>292</v>
      </c>
      <c r="BE430" t="s">
        <v>292</v>
      </c>
      <c r="BF430" t="s">
        <v>292</v>
      </c>
      <c r="BG430" t="s">
        <v>293</v>
      </c>
      <c r="BH430" t="s">
        <v>302</v>
      </c>
      <c r="BI430" t="s">
        <v>302</v>
      </c>
      <c r="BJ430" t="s">
        <v>359</v>
      </c>
      <c r="BK430" t="s">
        <v>293</v>
      </c>
      <c r="BL430" t="s">
        <v>293</v>
      </c>
      <c r="BM430" t="s">
        <v>297</v>
      </c>
      <c r="BN430" t="s">
        <v>356</v>
      </c>
      <c r="BO430" t="s">
        <v>293</v>
      </c>
      <c r="BP430" t="s">
        <v>292</v>
      </c>
      <c r="BQ430" t="s">
        <v>293</v>
      </c>
      <c r="BR430" t="s">
        <v>293</v>
      </c>
      <c r="BS430" t="s">
        <v>364</v>
      </c>
      <c r="BT430" t="s">
        <v>304</v>
      </c>
      <c r="BU430" t="s">
        <v>371</v>
      </c>
      <c r="BV430" t="s">
        <v>371</v>
      </c>
      <c r="BW430" t="s">
        <v>2873</v>
      </c>
      <c r="BX430" t="str">
        <f>IF(J430="win",VLOOKUP(B430,ColorScheme!$A$2:$I$32,4,0),VLOOKUP(B430,ColorScheme!$A$2:$I$32,5,0))</f>
        <v>#8eab1250</v>
      </c>
    </row>
    <row r="431" spans="1:76" x14ac:dyDescent="0.3">
      <c r="A431" t="s">
        <v>9</v>
      </c>
      <c r="B431" t="s">
        <v>74</v>
      </c>
      <c r="C431" t="s">
        <v>20</v>
      </c>
      <c r="D431" t="s">
        <v>29</v>
      </c>
      <c r="E431" t="s">
        <v>1133</v>
      </c>
      <c r="F431" t="b">
        <v>1</v>
      </c>
      <c r="G431">
        <v>99.9</v>
      </c>
      <c r="H431">
        <v>0</v>
      </c>
      <c r="I431">
        <v>22101</v>
      </c>
      <c r="J431" s="61" t="s">
        <v>18</v>
      </c>
      <c r="K431" s="16" t="s">
        <v>272</v>
      </c>
      <c r="L431" s="16">
        <v>3</v>
      </c>
      <c r="M431" s="16" t="s">
        <v>277</v>
      </c>
      <c r="N431" s="16" t="s">
        <v>335</v>
      </c>
      <c r="O431" s="15" t="s">
        <v>282</v>
      </c>
      <c r="P431" t="s">
        <v>371</v>
      </c>
      <c r="Q431" t="s">
        <v>371</v>
      </c>
      <c r="R431" s="17" t="s">
        <v>371</v>
      </c>
      <c r="S431" s="17">
        <v>0</v>
      </c>
      <c r="T431" s="17">
        <v>1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 t="s">
        <v>704</v>
      </c>
      <c r="AD431" s="16" t="s">
        <v>340</v>
      </c>
      <c r="AE431" s="16" t="s">
        <v>342</v>
      </c>
      <c r="AF431" s="15" t="s">
        <v>343</v>
      </c>
      <c r="AG431" s="15" t="s">
        <v>344</v>
      </c>
      <c r="AH431" s="17" t="s">
        <v>371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704</v>
      </c>
      <c r="AR431" t="s">
        <v>349</v>
      </c>
      <c r="AS431" t="s">
        <v>349</v>
      </c>
      <c r="AT431">
        <v>1</v>
      </c>
      <c r="AU431">
        <v>0</v>
      </c>
      <c r="AV431">
        <v>0</v>
      </c>
      <c r="AW431" t="s">
        <v>704</v>
      </c>
      <c r="AX431" t="s">
        <v>1208</v>
      </c>
      <c r="AY431" t="s">
        <v>293</v>
      </c>
      <c r="AZ431" t="s">
        <v>353</v>
      </c>
      <c r="BA431" t="s">
        <v>296</v>
      </c>
      <c r="BB431" t="s">
        <v>301</v>
      </c>
      <c r="BC431" t="s">
        <v>293</v>
      </c>
      <c r="BD431" t="s">
        <v>292</v>
      </c>
      <c r="BE431" t="s">
        <v>292</v>
      </c>
      <c r="BF431" t="s">
        <v>292</v>
      </c>
      <c r="BG431" t="s">
        <v>293</v>
      </c>
      <c r="BH431" t="s">
        <v>302</v>
      </c>
      <c r="BI431" t="s">
        <v>302</v>
      </c>
      <c r="BJ431" t="s">
        <v>359</v>
      </c>
      <c r="BK431" t="s">
        <v>293</v>
      </c>
      <c r="BL431" t="s">
        <v>293</v>
      </c>
      <c r="BM431" t="s">
        <v>296</v>
      </c>
      <c r="BN431" t="s">
        <v>356</v>
      </c>
      <c r="BO431" t="s">
        <v>293</v>
      </c>
      <c r="BP431" t="s">
        <v>292</v>
      </c>
      <c r="BQ431" t="s">
        <v>293</v>
      </c>
      <c r="BR431" t="s">
        <v>293</v>
      </c>
      <c r="BS431" t="s">
        <v>364</v>
      </c>
      <c r="BT431" t="s">
        <v>367</v>
      </c>
      <c r="BU431" t="s">
        <v>371</v>
      </c>
      <c r="BV431" t="s">
        <v>371</v>
      </c>
      <c r="BW431" t="s">
        <v>2439</v>
      </c>
      <c r="BX431" t="str">
        <f>IF(J431="win",VLOOKUP(B431,ColorScheme!$A$2:$I$32,4,0),VLOOKUP(B431,ColorScheme!$A$2:$I$32,5,0))</f>
        <v>#8eab1250</v>
      </c>
    </row>
    <row r="432" spans="1:76" x14ac:dyDescent="0.3">
      <c r="A432" t="s">
        <v>9</v>
      </c>
      <c r="B432" t="s">
        <v>74</v>
      </c>
      <c r="C432" t="s">
        <v>22</v>
      </c>
      <c r="D432" t="s">
        <v>29</v>
      </c>
      <c r="E432" t="s">
        <v>1134</v>
      </c>
      <c r="F432" t="b">
        <v>1</v>
      </c>
      <c r="G432">
        <v>41.9</v>
      </c>
      <c r="H432">
        <v>0</v>
      </c>
      <c r="I432">
        <v>28790</v>
      </c>
      <c r="J432" s="61" t="s">
        <v>13</v>
      </c>
      <c r="K432" s="16" t="s">
        <v>272</v>
      </c>
      <c r="L432" s="16">
        <v>3</v>
      </c>
      <c r="M432" s="16" t="s">
        <v>277</v>
      </c>
      <c r="N432" s="16" t="s">
        <v>335</v>
      </c>
      <c r="O432" s="15" t="s">
        <v>339</v>
      </c>
      <c r="P432" t="s">
        <v>282</v>
      </c>
      <c r="Q432" t="s">
        <v>371</v>
      </c>
      <c r="R432" s="17" t="s">
        <v>371</v>
      </c>
      <c r="S432" s="17">
        <v>0</v>
      </c>
      <c r="T432" s="17">
        <v>1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1</v>
      </c>
      <c r="AB432" s="17">
        <v>0</v>
      </c>
      <c r="AC432" s="17" t="s">
        <v>704</v>
      </c>
      <c r="AD432" s="16" t="s">
        <v>341</v>
      </c>
      <c r="AE432" s="16" t="s">
        <v>340</v>
      </c>
      <c r="AF432" s="15" t="s">
        <v>343</v>
      </c>
      <c r="AG432" s="15" t="s">
        <v>344</v>
      </c>
      <c r="AH432" s="17" t="s">
        <v>371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704</v>
      </c>
      <c r="AR432" t="s">
        <v>349</v>
      </c>
      <c r="AS432" t="s">
        <v>349</v>
      </c>
      <c r="AT432">
        <v>1</v>
      </c>
      <c r="AU432">
        <v>0</v>
      </c>
      <c r="AV432">
        <v>0</v>
      </c>
      <c r="AW432" t="s">
        <v>704</v>
      </c>
      <c r="AX432" t="s">
        <v>1301</v>
      </c>
      <c r="AY432" t="s">
        <v>293</v>
      </c>
      <c r="AZ432" t="s">
        <v>353</v>
      </c>
      <c r="BA432" t="s">
        <v>296</v>
      </c>
      <c r="BB432" t="s">
        <v>301</v>
      </c>
      <c r="BC432" t="s">
        <v>293</v>
      </c>
      <c r="BD432" t="s">
        <v>292</v>
      </c>
      <c r="BE432" t="s">
        <v>292</v>
      </c>
      <c r="BF432" t="s">
        <v>292</v>
      </c>
      <c r="BG432" t="s">
        <v>293</v>
      </c>
      <c r="BH432" t="s">
        <v>302</v>
      </c>
      <c r="BI432" t="s">
        <v>302</v>
      </c>
      <c r="BJ432" t="s">
        <v>359</v>
      </c>
      <c r="BK432" t="s">
        <v>293</v>
      </c>
      <c r="BL432" t="s">
        <v>293</v>
      </c>
      <c r="BM432" t="s">
        <v>297</v>
      </c>
      <c r="BN432" t="s">
        <v>356</v>
      </c>
      <c r="BO432" t="s">
        <v>293</v>
      </c>
      <c r="BP432" t="s">
        <v>292</v>
      </c>
      <c r="BQ432" t="s">
        <v>293</v>
      </c>
      <c r="BR432" t="s">
        <v>293</v>
      </c>
      <c r="BS432" t="s">
        <v>364</v>
      </c>
      <c r="BT432" t="s">
        <v>366</v>
      </c>
      <c r="BU432" t="s">
        <v>371</v>
      </c>
      <c r="BV432" t="s">
        <v>371</v>
      </c>
      <c r="BW432" t="s">
        <v>2874</v>
      </c>
      <c r="BX432" t="str">
        <f>IF(J432="win",VLOOKUP(B432,ColorScheme!$A$2:$I$32,4,0),VLOOKUP(B432,ColorScheme!$A$2:$I$32,5,0))</f>
        <v>#8eab12</v>
      </c>
    </row>
    <row r="433" spans="1:76" x14ac:dyDescent="0.3">
      <c r="A433" t="s">
        <v>45</v>
      </c>
      <c r="B433" t="s">
        <v>51</v>
      </c>
      <c r="C433" t="s">
        <v>15</v>
      </c>
      <c r="D433" t="s">
        <v>12</v>
      </c>
      <c r="E433" t="s">
        <v>1135</v>
      </c>
      <c r="F433" t="b">
        <v>1</v>
      </c>
      <c r="G433">
        <v>100</v>
      </c>
      <c r="H433">
        <v>1</v>
      </c>
      <c r="I433">
        <v>11503</v>
      </c>
      <c r="J433" s="61" t="s">
        <v>18</v>
      </c>
      <c r="K433" s="16" t="s">
        <v>272</v>
      </c>
      <c r="L433" s="16">
        <v>3</v>
      </c>
      <c r="M433" s="16" t="s">
        <v>277</v>
      </c>
      <c r="N433" s="16" t="s">
        <v>335</v>
      </c>
      <c r="O433" t="s">
        <v>282</v>
      </c>
      <c r="P433" t="s">
        <v>371</v>
      </c>
      <c r="Q433" t="s">
        <v>371</v>
      </c>
      <c r="R433" s="17" t="s">
        <v>371</v>
      </c>
      <c r="S433" s="17">
        <v>0</v>
      </c>
      <c r="T433" s="17">
        <v>1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 t="s">
        <v>704</v>
      </c>
      <c r="AD433" s="16" t="s">
        <v>341</v>
      </c>
      <c r="AE433" s="16" t="s">
        <v>340</v>
      </c>
      <c r="AF433" s="15" t="s">
        <v>343</v>
      </c>
      <c r="AG433" s="15" t="s">
        <v>344</v>
      </c>
      <c r="AH433" s="17" t="s">
        <v>371</v>
      </c>
      <c r="AI433">
        <v>1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704</v>
      </c>
      <c r="AR433" t="s">
        <v>349</v>
      </c>
      <c r="AS433" t="s">
        <v>349</v>
      </c>
      <c r="AT433">
        <v>1</v>
      </c>
      <c r="AU433">
        <v>0</v>
      </c>
      <c r="AV433">
        <v>0</v>
      </c>
      <c r="AW433" t="s">
        <v>704</v>
      </c>
      <c r="AX433" t="s">
        <v>1208</v>
      </c>
      <c r="AY433" t="s">
        <v>293</v>
      </c>
      <c r="AZ433" t="s">
        <v>352</v>
      </c>
      <c r="BA433" t="s">
        <v>296</v>
      </c>
      <c r="BB433" t="s">
        <v>300</v>
      </c>
      <c r="BC433" t="s">
        <v>292</v>
      </c>
      <c r="BD433" t="s">
        <v>293</v>
      </c>
      <c r="BE433" t="s">
        <v>292</v>
      </c>
      <c r="BF433" t="s">
        <v>292</v>
      </c>
      <c r="BG433" t="s">
        <v>293</v>
      </c>
      <c r="BH433" t="s">
        <v>302</v>
      </c>
      <c r="BI433" t="s">
        <v>302</v>
      </c>
      <c r="BJ433" t="s">
        <v>359</v>
      </c>
      <c r="BK433" t="s">
        <v>293</v>
      </c>
      <c r="BL433" t="s">
        <v>293</v>
      </c>
      <c r="BM433" t="s">
        <v>297</v>
      </c>
      <c r="BN433" t="s">
        <v>298</v>
      </c>
      <c r="BO433" t="s">
        <v>293</v>
      </c>
      <c r="BP433" t="s">
        <v>292</v>
      </c>
      <c r="BQ433" t="s">
        <v>293</v>
      </c>
      <c r="BR433" t="s">
        <v>293</v>
      </c>
      <c r="BS433" t="s">
        <v>364</v>
      </c>
      <c r="BT433" t="s">
        <v>304</v>
      </c>
      <c r="BU433" t="s">
        <v>371</v>
      </c>
      <c r="BV433" t="s">
        <v>371</v>
      </c>
      <c r="BW433" t="s">
        <v>2875</v>
      </c>
      <c r="BX433" t="str">
        <f>IF(J433="win",VLOOKUP(B433,ColorScheme!$A$2:$I$32,4,0),VLOOKUP(B433,ColorScheme!$A$2:$I$32,5,0))</f>
        <v>#3f9b0b50</v>
      </c>
    </row>
    <row r="434" spans="1:76" x14ac:dyDescent="0.3">
      <c r="A434" t="s">
        <v>45</v>
      </c>
      <c r="B434" t="s">
        <v>51</v>
      </c>
      <c r="C434" t="s">
        <v>14</v>
      </c>
      <c r="D434" t="s">
        <v>12</v>
      </c>
      <c r="E434" t="s">
        <v>1136</v>
      </c>
      <c r="F434" t="b">
        <v>1</v>
      </c>
      <c r="G434">
        <v>45.6</v>
      </c>
      <c r="H434">
        <v>0</v>
      </c>
      <c r="I434">
        <v>13001</v>
      </c>
      <c r="J434" s="61" t="s">
        <v>13</v>
      </c>
      <c r="K434" s="16" t="s">
        <v>272</v>
      </c>
      <c r="L434" s="16">
        <v>3</v>
      </c>
      <c r="M434" s="16" t="s">
        <v>277</v>
      </c>
      <c r="N434" s="16" t="s">
        <v>335</v>
      </c>
      <c r="O434" t="s">
        <v>282</v>
      </c>
      <c r="P434" t="s">
        <v>371</v>
      </c>
      <c r="Q434" t="s">
        <v>371</v>
      </c>
      <c r="R434" s="17" t="s">
        <v>371</v>
      </c>
      <c r="S434" s="17">
        <v>0</v>
      </c>
      <c r="T434" s="17">
        <v>1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 t="s">
        <v>704</v>
      </c>
      <c r="AD434" s="16" t="s">
        <v>341</v>
      </c>
      <c r="AE434" s="16" t="s">
        <v>340</v>
      </c>
      <c r="AF434" s="15" t="s">
        <v>343</v>
      </c>
      <c r="AG434" s="15" t="s">
        <v>344</v>
      </c>
      <c r="AH434" s="17" t="s">
        <v>371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704</v>
      </c>
      <c r="AR434" t="s">
        <v>349</v>
      </c>
      <c r="AS434" t="s">
        <v>349</v>
      </c>
      <c r="AT434">
        <v>1</v>
      </c>
      <c r="AU434">
        <v>0</v>
      </c>
      <c r="AV434">
        <v>0</v>
      </c>
      <c r="AW434" t="s">
        <v>704</v>
      </c>
      <c r="AX434" t="s">
        <v>1208</v>
      </c>
      <c r="AY434" t="s">
        <v>293</v>
      </c>
      <c r="AZ434" t="s">
        <v>353</v>
      </c>
      <c r="BA434" t="s">
        <v>296</v>
      </c>
      <c r="BB434" t="s">
        <v>300</v>
      </c>
      <c r="BC434" t="s">
        <v>292</v>
      </c>
      <c r="BD434" t="s">
        <v>293</v>
      </c>
      <c r="BE434" t="s">
        <v>292</v>
      </c>
      <c r="BF434" t="s">
        <v>292</v>
      </c>
      <c r="BG434" t="s">
        <v>293</v>
      </c>
      <c r="BH434" t="s">
        <v>302</v>
      </c>
      <c r="BI434" t="s">
        <v>302</v>
      </c>
      <c r="BJ434" t="s">
        <v>359</v>
      </c>
      <c r="BK434" t="s">
        <v>293</v>
      </c>
      <c r="BL434" t="s">
        <v>293</v>
      </c>
      <c r="BM434" t="s">
        <v>297</v>
      </c>
      <c r="BN434" t="s">
        <v>298</v>
      </c>
      <c r="BO434" t="s">
        <v>293</v>
      </c>
      <c r="BP434" t="s">
        <v>292</v>
      </c>
      <c r="BQ434" t="s">
        <v>293</v>
      </c>
      <c r="BR434" t="s">
        <v>293</v>
      </c>
      <c r="BS434" t="s">
        <v>364</v>
      </c>
      <c r="BT434" t="s">
        <v>366</v>
      </c>
      <c r="BU434" t="s">
        <v>371</v>
      </c>
      <c r="BV434" t="s">
        <v>371</v>
      </c>
      <c r="BW434" t="s">
        <v>2876</v>
      </c>
      <c r="BX434" t="str">
        <f>IF(J434="win",VLOOKUP(B434,ColorScheme!$A$2:$I$32,4,0),VLOOKUP(B434,ColorScheme!$A$2:$I$32,5,0))</f>
        <v>#3f9b0b</v>
      </c>
    </row>
    <row r="435" spans="1:76" x14ac:dyDescent="0.3">
      <c r="A435" t="s">
        <v>45</v>
      </c>
      <c r="B435" t="s">
        <v>51</v>
      </c>
      <c r="C435" t="s">
        <v>11</v>
      </c>
      <c r="D435" t="s">
        <v>12</v>
      </c>
      <c r="E435" t="s">
        <v>1137</v>
      </c>
      <c r="F435" t="b">
        <v>1</v>
      </c>
      <c r="G435">
        <v>46.9</v>
      </c>
      <c r="H435">
        <v>0</v>
      </c>
      <c r="I435">
        <v>14408</v>
      </c>
      <c r="J435" s="61" t="s">
        <v>13</v>
      </c>
      <c r="K435" s="16" t="s">
        <v>272</v>
      </c>
      <c r="L435" s="16">
        <v>3</v>
      </c>
      <c r="M435" s="16" t="s">
        <v>277</v>
      </c>
      <c r="N435" s="16" t="s">
        <v>335</v>
      </c>
      <c r="O435" t="s">
        <v>282</v>
      </c>
      <c r="P435" t="s">
        <v>371</v>
      </c>
      <c r="Q435" t="s">
        <v>371</v>
      </c>
      <c r="R435" s="17" t="s">
        <v>371</v>
      </c>
      <c r="S435" s="17">
        <v>0</v>
      </c>
      <c r="T435" s="17">
        <v>1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 t="s">
        <v>704</v>
      </c>
      <c r="AD435" s="16" t="s">
        <v>341</v>
      </c>
      <c r="AE435" s="16" t="s">
        <v>340</v>
      </c>
      <c r="AF435" s="15" t="s">
        <v>343</v>
      </c>
      <c r="AG435" s="15" t="s">
        <v>344</v>
      </c>
      <c r="AH435" s="17" t="s">
        <v>371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704</v>
      </c>
      <c r="AR435" t="s">
        <v>349</v>
      </c>
      <c r="AS435" t="s">
        <v>349</v>
      </c>
      <c r="AT435">
        <v>1</v>
      </c>
      <c r="AU435">
        <v>0</v>
      </c>
      <c r="AV435">
        <v>0</v>
      </c>
      <c r="AW435" t="s">
        <v>704</v>
      </c>
      <c r="AX435" t="s">
        <v>1208</v>
      </c>
      <c r="AY435" t="s">
        <v>293</v>
      </c>
      <c r="AZ435" t="s">
        <v>353</v>
      </c>
      <c r="BA435" t="s">
        <v>296</v>
      </c>
      <c r="BB435" t="s">
        <v>300</v>
      </c>
      <c r="BC435" t="s">
        <v>292</v>
      </c>
      <c r="BD435" t="s">
        <v>293</v>
      </c>
      <c r="BE435" t="s">
        <v>292</v>
      </c>
      <c r="BF435" t="s">
        <v>292</v>
      </c>
      <c r="BG435" t="s">
        <v>293</v>
      </c>
      <c r="BH435" t="s">
        <v>302</v>
      </c>
      <c r="BI435" t="s">
        <v>302</v>
      </c>
      <c r="BJ435" t="s">
        <v>359</v>
      </c>
      <c r="BK435" t="s">
        <v>293</v>
      </c>
      <c r="BL435" t="s">
        <v>293</v>
      </c>
      <c r="BM435" t="s">
        <v>297</v>
      </c>
      <c r="BN435" t="s">
        <v>298</v>
      </c>
      <c r="BO435" t="s">
        <v>293</v>
      </c>
      <c r="BP435" t="s">
        <v>292</v>
      </c>
      <c r="BQ435" t="s">
        <v>293</v>
      </c>
      <c r="BR435" t="s">
        <v>293</v>
      </c>
      <c r="BS435" t="s">
        <v>364</v>
      </c>
      <c r="BT435" t="s">
        <v>366</v>
      </c>
      <c r="BU435" t="s">
        <v>371</v>
      </c>
      <c r="BV435" t="s">
        <v>371</v>
      </c>
      <c r="BW435" t="s">
        <v>2877</v>
      </c>
      <c r="BX435" t="str">
        <f>IF(J435="win",VLOOKUP(B435,ColorScheme!$A$2:$I$32,4,0),VLOOKUP(B435,ColorScheme!$A$2:$I$32,5,0))</f>
        <v>#3f9b0b</v>
      </c>
    </row>
    <row r="436" spans="1:76" x14ac:dyDescent="0.3">
      <c r="A436" t="s">
        <v>45</v>
      </c>
      <c r="B436" t="s">
        <v>51</v>
      </c>
      <c r="C436" t="s">
        <v>21</v>
      </c>
      <c r="D436" t="s">
        <v>12</v>
      </c>
      <c r="E436" t="s">
        <v>1138</v>
      </c>
      <c r="F436" t="b">
        <v>1</v>
      </c>
      <c r="G436">
        <v>52.6</v>
      </c>
      <c r="H436">
        <v>0</v>
      </c>
      <c r="I436">
        <v>13074</v>
      </c>
      <c r="J436" s="61" t="s">
        <v>13</v>
      </c>
      <c r="K436" s="16" t="s">
        <v>272</v>
      </c>
      <c r="L436" s="16">
        <v>3</v>
      </c>
      <c r="M436" s="16" t="s">
        <v>277</v>
      </c>
      <c r="N436" s="16" t="s">
        <v>335</v>
      </c>
      <c r="O436" t="s">
        <v>282</v>
      </c>
      <c r="P436" t="s">
        <v>371</v>
      </c>
      <c r="Q436" t="s">
        <v>371</v>
      </c>
      <c r="R436" s="17" t="s">
        <v>371</v>
      </c>
      <c r="S436" s="17">
        <v>0</v>
      </c>
      <c r="T436" s="17">
        <v>1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 t="s">
        <v>704</v>
      </c>
      <c r="AD436" s="16" t="s">
        <v>341</v>
      </c>
      <c r="AE436" s="16" t="s">
        <v>340</v>
      </c>
      <c r="AF436" s="15" t="s">
        <v>343</v>
      </c>
      <c r="AG436" s="15" t="s">
        <v>344</v>
      </c>
      <c r="AH436" s="17" t="s">
        <v>371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704</v>
      </c>
      <c r="AR436" t="s">
        <v>349</v>
      </c>
      <c r="AS436" t="s">
        <v>349</v>
      </c>
      <c r="AT436">
        <v>1</v>
      </c>
      <c r="AU436">
        <v>0</v>
      </c>
      <c r="AV436">
        <v>0</v>
      </c>
      <c r="AW436" t="s">
        <v>704</v>
      </c>
      <c r="AX436" t="s">
        <v>1208</v>
      </c>
      <c r="AY436" t="s">
        <v>293</v>
      </c>
      <c r="AZ436" t="s">
        <v>352</v>
      </c>
      <c r="BA436" t="s">
        <v>296</v>
      </c>
      <c r="BB436" t="s">
        <v>300</v>
      </c>
      <c r="BC436" t="s">
        <v>292</v>
      </c>
      <c r="BD436" t="s">
        <v>292</v>
      </c>
      <c r="BE436" t="s">
        <v>292</v>
      </c>
      <c r="BF436" t="s">
        <v>292</v>
      </c>
      <c r="BG436" t="s">
        <v>293</v>
      </c>
      <c r="BH436" t="s">
        <v>302</v>
      </c>
      <c r="BI436" t="s">
        <v>302</v>
      </c>
      <c r="BJ436" t="s">
        <v>359</v>
      </c>
      <c r="BK436" t="s">
        <v>293</v>
      </c>
      <c r="BL436" t="s">
        <v>293</v>
      </c>
      <c r="BM436" t="s">
        <v>297</v>
      </c>
      <c r="BN436" t="s">
        <v>356</v>
      </c>
      <c r="BO436" t="s">
        <v>293</v>
      </c>
      <c r="BP436" t="s">
        <v>292</v>
      </c>
      <c r="BQ436" t="s">
        <v>293</v>
      </c>
      <c r="BR436" t="s">
        <v>293</v>
      </c>
      <c r="BS436" t="s">
        <v>364</v>
      </c>
      <c r="BT436" t="s">
        <v>366</v>
      </c>
      <c r="BU436" t="s">
        <v>371</v>
      </c>
      <c r="BV436" t="s">
        <v>371</v>
      </c>
      <c r="BW436" t="s">
        <v>2878</v>
      </c>
      <c r="BX436" t="str">
        <f>IF(J436="win",VLOOKUP(B436,ColorScheme!$A$2:$I$32,4,0),VLOOKUP(B436,ColorScheme!$A$2:$I$32,5,0))</f>
        <v>#3f9b0b</v>
      </c>
    </row>
    <row r="437" spans="1:76" x14ac:dyDescent="0.3">
      <c r="A437" t="s">
        <v>45</v>
      </c>
      <c r="B437" t="s">
        <v>51</v>
      </c>
      <c r="C437" t="s">
        <v>19</v>
      </c>
      <c r="D437" t="s">
        <v>12</v>
      </c>
      <c r="E437" t="s">
        <v>1139</v>
      </c>
      <c r="F437" t="b">
        <v>1</v>
      </c>
      <c r="G437">
        <v>91.9</v>
      </c>
      <c r="H437">
        <v>0</v>
      </c>
      <c r="I437">
        <v>12966</v>
      </c>
      <c r="J437" s="61" t="s">
        <v>13</v>
      </c>
      <c r="K437" s="16" t="s">
        <v>272</v>
      </c>
      <c r="L437" s="16">
        <v>3</v>
      </c>
      <c r="M437" s="16" t="s">
        <v>277</v>
      </c>
      <c r="N437" s="16" t="s">
        <v>335</v>
      </c>
      <c r="O437" t="s">
        <v>282</v>
      </c>
      <c r="P437" t="s">
        <v>371</v>
      </c>
      <c r="Q437" t="s">
        <v>371</v>
      </c>
      <c r="R437" s="17" t="s">
        <v>371</v>
      </c>
      <c r="S437" s="17">
        <v>0</v>
      </c>
      <c r="T437" s="17">
        <v>1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 t="s">
        <v>704</v>
      </c>
      <c r="AD437" s="16" t="s">
        <v>341</v>
      </c>
      <c r="AE437" s="16" t="s">
        <v>340</v>
      </c>
      <c r="AF437" s="15" t="s">
        <v>343</v>
      </c>
      <c r="AG437" s="15" t="s">
        <v>344</v>
      </c>
      <c r="AH437" s="17" t="s">
        <v>371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704</v>
      </c>
      <c r="AR437" t="s">
        <v>349</v>
      </c>
      <c r="AS437" t="s">
        <v>349</v>
      </c>
      <c r="AT437">
        <v>1</v>
      </c>
      <c r="AU437">
        <v>0</v>
      </c>
      <c r="AV437">
        <v>0</v>
      </c>
      <c r="AW437" t="s">
        <v>704</v>
      </c>
      <c r="AX437" t="s">
        <v>1208</v>
      </c>
      <c r="AY437" t="s">
        <v>293</v>
      </c>
      <c r="AZ437" t="s">
        <v>352</v>
      </c>
      <c r="BA437" t="s">
        <v>296</v>
      </c>
      <c r="BB437" t="s">
        <v>300</v>
      </c>
      <c r="BC437" t="s">
        <v>292</v>
      </c>
      <c r="BD437" t="s">
        <v>292</v>
      </c>
      <c r="BE437" t="s">
        <v>292</v>
      </c>
      <c r="BF437" t="s">
        <v>292</v>
      </c>
      <c r="BG437" t="s">
        <v>293</v>
      </c>
      <c r="BH437" t="s">
        <v>302</v>
      </c>
      <c r="BI437" t="s">
        <v>302</v>
      </c>
      <c r="BJ437" t="s">
        <v>359</v>
      </c>
      <c r="BK437" t="s">
        <v>293</v>
      </c>
      <c r="BL437" t="s">
        <v>293</v>
      </c>
      <c r="BM437" t="s">
        <v>297</v>
      </c>
      <c r="BN437" t="s">
        <v>298</v>
      </c>
      <c r="BO437" t="s">
        <v>293</v>
      </c>
      <c r="BP437" t="s">
        <v>292</v>
      </c>
      <c r="BQ437" t="s">
        <v>293</v>
      </c>
      <c r="BR437" t="s">
        <v>293</v>
      </c>
      <c r="BS437" t="s">
        <v>364</v>
      </c>
      <c r="BT437" t="s">
        <v>366</v>
      </c>
      <c r="BU437" t="s">
        <v>371</v>
      </c>
      <c r="BV437" t="s">
        <v>371</v>
      </c>
      <c r="BW437" t="s">
        <v>2879</v>
      </c>
      <c r="BX437" t="str">
        <f>IF(J437="win",VLOOKUP(B437,ColorScheme!$A$2:$I$32,4,0),VLOOKUP(B437,ColorScheme!$A$2:$I$32,5,0))</f>
        <v>#3f9b0b</v>
      </c>
    </row>
    <row r="438" spans="1:76" x14ac:dyDescent="0.3">
      <c r="A438" t="s">
        <v>45</v>
      </c>
      <c r="B438" t="s">
        <v>51</v>
      </c>
      <c r="C438" t="s">
        <v>17</v>
      </c>
      <c r="D438" t="s">
        <v>12</v>
      </c>
      <c r="E438" t="s">
        <v>1140</v>
      </c>
      <c r="F438" t="b">
        <v>1</v>
      </c>
      <c r="G438">
        <v>100</v>
      </c>
      <c r="H438">
        <v>1</v>
      </c>
      <c r="I438">
        <v>12235</v>
      </c>
      <c r="J438" s="61" t="s">
        <v>18</v>
      </c>
      <c r="K438" s="16" t="s">
        <v>272</v>
      </c>
      <c r="L438" s="16">
        <v>3</v>
      </c>
      <c r="M438" s="16" t="s">
        <v>277</v>
      </c>
      <c r="N438" s="16" t="s">
        <v>335</v>
      </c>
      <c r="O438" t="s">
        <v>282</v>
      </c>
      <c r="P438" t="s">
        <v>371</v>
      </c>
      <c r="Q438" t="s">
        <v>371</v>
      </c>
      <c r="R438" s="17" t="s">
        <v>371</v>
      </c>
      <c r="S438" s="17">
        <v>0</v>
      </c>
      <c r="T438" s="17">
        <v>1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 t="s">
        <v>704</v>
      </c>
      <c r="AD438" s="16" t="s">
        <v>341</v>
      </c>
      <c r="AE438" s="16" t="s">
        <v>340</v>
      </c>
      <c r="AF438" s="15" t="s">
        <v>343</v>
      </c>
      <c r="AG438" s="15" t="s">
        <v>344</v>
      </c>
      <c r="AH438" s="17" t="s">
        <v>371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704</v>
      </c>
      <c r="AR438" t="s">
        <v>349</v>
      </c>
      <c r="AS438" t="s">
        <v>349</v>
      </c>
      <c r="AT438">
        <v>1</v>
      </c>
      <c r="AU438">
        <v>0</v>
      </c>
      <c r="AV438">
        <v>0</v>
      </c>
      <c r="AW438" t="s">
        <v>704</v>
      </c>
      <c r="AX438" t="s">
        <v>1208</v>
      </c>
      <c r="AY438" t="s">
        <v>293</v>
      </c>
      <c r="AZ438" t="s">
        <v>352</v>
      </c>
      <c r="BA438" t="s">
        <v>296</v>
      </c>
      <c r="BB438" t="s">
        <v>300</v>
      </c>
      <c r="BC438" t="s">
        <v>292</v>
      </c>
      <c r="BD438" t="s">
        <v>292</v>
      </c>
      <c r="BE438" t="s">
        <v>292</v>
      </c>
      <c r="BF438" t="s">
        <v>292</v>
      </c>
      <c r="BG438" t="s">
        <v>293</v>
      </c>
      <c r="BH438" t="s">
        <v>302</v>
      </c>
      <c r="BI438" t="s">
        <v>302</v>
      </c>
      <c r="BJ438" t="s">
        <v>359</v>
      </c>
      <c r="BK438" t="s">
        <v>293</v>
      </c>
      <c r="BL438" t="s">
        <v>293</v>
      </c>
      <c r="BM438" t="s">
        <v>297</v>
      </c>
      <c r="BN438" t="s">
        <v>298</v>
      </c>
      <c r="BO438" t="s">
        <v>293</v>
      </c>
      <c r="BP438" t="s">
        <v>292</v>
      </c>
      <c r="BQ438" t="s">
        <v>293</v>
      </c>
      <c r="BR438" t="s">
        <v>293</v>
      </c>
      <c r="BS438" t="s">
        <v>364</v>
      </c>
      <c r="BT438" t="s">
        <v>304</v>
      </c>
      <c r="BU438" t="s">
        <v>371</v>
      </c>
      <c r="BV438" t="s">
        <v>371</v>
      </c>
      <c r="BW438" t="s">
        <v>2880</v>
      </c>
      <c r="BX438" t="str">
        <f>IF(J438="win",VLOOKUP(B438,ColorScheme!$A$2:$I$32,4,0),VLOOKUP(B438,ColorScheme!$A$2:$I$32,5,0))</f>
        <v>#3f9b0b50</v>
      </c>
    </row>
    <row r="439" spans="1:76" x14ac:dyDescent="0.3">
      <c r="A439" t="s">
        <v>45</v>
      </c>
      <c r="B439" t="s">
        <v>51</v>
      </c>
      <c r="C439" t="s">
        <v>16</v>
      </c>
      <c r="D439" t="s">
        <v>12</v>
      </c>
      <c r="E439" t="s">
        <v>1141</v>
      </c>
      <c r="F439" t="b">
        <v>1</v>
      </c>
      <c r="G439">
        <v>45</v>
      </c>
      <c r="H439">
        <v>0</v>
      </c>
      <c r="I439">
        <v>13733</v>
      </c>
      <c r="J439" s="61" t="s">
        <v>13</v>
      </c>
      <c r="K439" s="16" t="s">
        <v>272</v>
      </c>
      <c r="L439" s="16">
        <v>3</v>
      </c>
      <c r="M439" s="16" t="s">
        <v>277</v>
      </c>
      <c r="N439" s="16" t="s">
        <v>335</v>
      </c>
      <c r="O439" t="s">
        <v>282</v>
      </c>
      <c r="P439" t="s">
        <v>371</v>
      </c>
      <c r="Q439" t="s">
        <v>371</v>
      </c>
      <c r="R439" s="17" t="s">
        <v>371</v>
      </c>
      <c r="S439" s="17">
        <v>0</v>
      </c>
      <c r="T439" s="17">
        <v>1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 t="s">
        <v>704</v>
      </c>
      <c r="AD439" s="16" t="s">
        <v>341</v>
      </c>
      <c r="AE439" s="16" t="s">
        <v>340</v>
      </c>
      <c r="AF439" s="15" t="s">
        <v>343</v>
      </c>
      <c r="AG439" s="15" t="s">
        <v>344</v>
      </c>
      <c r="AH439" s="17" t="s">
        <v>371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704</v>
      </c>
      <c r="AR439" t="s">
        <v>349</v>
      </c>
      <c r="AS439" t="s">
        <v>349</v>
      </c>
      <c r="AT439">
        <v>1</v>
      </c>
      <c r="AU439">
        <v>0</v>
      </c>
      <c r="AV439">
        <v>0</v>
      </c>
      <c r="AW439" t="s">
        <v>704</v>
      </c>
      <c r="AX439" t="s">
        <v>1208</v>
      </c>
      <c r="AY439" t="s">
        <v>293</v>
      </c>
      <c r="AZ439" t="s">
        <v>353</v>
      </c>
      <c r="BA439" t="s">
        <v>296</v>
      </c>
      <c r="BB439" t="s">
        <v>300</v>
      </c>
      <c r="BC439" t="s">
        <v>292</v>
      </c>
      <c r="BD439" t="s">
        <v>292</v>
      </c>
      <c r="BE439" t="s">
        <v>292</v>
      </c>
      <c r="BF439" t="s">
        <v>292</v>
      </c>
      <c r="BG439" t="s">
        <v>293</v>
      </c>
      <c r="BH439" t="s">
        <v>302</v>
      </c>
      <c r="BI439" t="s">
        <v>302</v>
      </c>
      <c r="BJ439" t="s">
        <v>359</v>
      </c>
      <c r="BK439" t="s">
        <v>293</v>
      </c>
      <c r="BL439" t="s">
        <v>293</v>
      </c>
      <c r="BM439" t="s">
        <v>297</v>
      </c>
      <c r="BN439" t="s">
        <v>298</v>
      </c>
      <c r="BO439" t="s">
        <v>293</v>
      </c>
      <c r="BP439" t="s">
        <v>292</v>
      </c>
      <c r="BQ439" t="s">
        <v>293</v>
      </c>
      <c r="BR439" t="s">
        <v>293</v>
      </c>
      <c r="BS439" t="s">
        <v>364</v>
      </c>
      <c r="BT439" t="s">
        <v>366</v>
      </c>
      <c r="BU439" t="s">
        <v>371</v>
      </c>
      <c r="BV439" t="s">
        <v>371</v>
      </c>
      <c r="BW439" t="s">
        <v>2881</v>
      </c>
      <c r="BX439" t="str">
        <f>IF(J439="win",VLOOKUP(B439,ColorScheme!$A$2:$I$32,4,0),VLOOKUP(B439,ColorScheme!$A$2:$I$32,5,0))</f>
        <v>#3f9b0b</v>
      </c>
    </row>
    <row r="440" spans="1:76" x14ac:dyDescent="0.3">
      <c r="A440" t="s">
        <v>45</v>
      </c>
      <c r="B440" t="s">
        <v>51</v>
      </c>
      <c r="C440" t="s">
        <v>20</v>
      </c>
      <c r="D440" t="s">
        <v>12</v>
      </c>
      <c r="E440" t="s">
        <v>1142</v>
      </c>
      <c r="F440" t="b">
        <v>1</v>
      </c>
      <c r="G440">
        <v>100</v>
      </c>
      <c r="H440">
        <v>1</v>
      </c>
      <c r="I440">
        <v>11667</v>
      </c>
      <c r="J440" s="61" t="s">
        <v>18</v>
      </c>
      <c r="K440" s="16" t="s">
        <v>272</v>
      </c>
      <c r="L440" s="16">
        <v>2</v>
      </c>
      <c r="M440" s="16" t="s">
        <v>277</v>
      </c>
      <c r="N440" s="16" t="s">
        <v>335</v>
      </c>
      <c r="O440" s="15" t="s">
        <v>282</v>
      </c>
      <c r="P440" t="s">
        <v>371</v>
      </c>
      <c r="Q440" t="s">
        <v>371</v>
      </c>
      <c r="R440" s="17" t="s">
        <v>371</v>
      </c>
      <c r="S440" s="17">
        <v>0</v>
      </c>
      <c r="T440" s="17">
        <v>1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 t="s">
        <v>704</v>
      </c>
      <c r="AD440" s="16" t="s">
        <v>341</v>
      </c>
      <c r="AE440" s="16" t="s">
        <v>340</v>
      </c>
      <c r="AF440" s="15" t="s">
        <v>340</v>
      </c>
      <c r="AG440" s="15" t="s">
        <v>344</v>
      </c>
      <c r="AH440" s="17" t="s">
        <v>371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704</v>
      </c>
      <c r="AR440" t="s">
        <v>349</v>
      </c>
      <c r="AS440" t="s">
        <v>349</v>
      </c>
      <c r="AT440">
        <v>1</v>
      </c>
      <c r="AU440">
        <v>0</v>
      </c>
      <c r="AV440">
        <v>0</v>
      </c>
      <c r="AW440" t="s">
        <v>704</v>
      </c>
      <c r="AX440" t="s">
        <v>1208</v>
      </c>
      <c r="AY440" t="s">
        <v>293</v>
      </c>
      <c r="AZ440" t="s">
        <v>354</v>
      </c>
      <c r="BA440" t="s">
        <v>354</v>
      </c>
      <c r="BB440" t="s">
        <v>300</v>
      </c>
      <c r="BC440" t="s">
        <v>292</v>
      </c>
      <c r="BD440" t="s">
        <v>292</v>
      </c>
      <c r="BE440" t="s">
        <v>292</v>
      </c>
      <c r="BF440" t="s">
        <v>293</v>
      </c>
      <c r="BG440" t="s">
        <v>293</v>
      </c>
      <c r="BH440" t="s">
        <v>302</v>
      </c>
      <c r="BI440" t="s">
        <v>302</v>
      </c>
      <c r="BJ440" t="s">
        <v>357</v>
      </c>
      <c r="BK440" t="s">
        <v>293</v>
      </c>
      <c r="BL440" t="s">
        <v>293</v>
      </c>
      <c r="BM440" t="s">
        <v>297</v>
      </c>
      <c r="BN440" t="s">
        <v>356</v>
      </c>
      <c r="BO440" t="s">
        <v>293</v>
      </c>
      <c r="BP440" t="s">
        <v>292</v>
      </c>
      <c r="BQ440" t="s">
        <v>293</v>
      </c>
      <c r="BR440" t="s">
        <v>293</v>
      </c>
      <c r="BS440" t="s">
        <v>364</v>
      </c>
      <c r="BT440" t="s">
        <v>304</v>
      </c>
      <c r="BU440" t="s">
        <v>371</v>
      </c>
      <c r="BV440" t="s">
        <v>371</v>
      </c>
      <c r="BW440" t="s">
        <v>2882</v>
      </c>
      <c r="BX440" t="str">
        <f>IF(J440="win",VLOOKUP(B440,ColorScheme!$A$2:$I$32,4,0),VLOOKUP(B440,ColorScheme!$A$2:$I$32,5,0))</f>
        <v>#3f9b0b50</v>
      </c>
    </row>
    <row r="441" spans="1:76" x14ac:dyDescent="0.3">
      <c r="A441" t="s">
        <v>45</v>
      </c>
      <c r="B441" t="s">
        <v>51</v>
      </c>
      <c r="C441" t="s">
        <v>22</v>
      </c>
      <c r="D441" t="s">
        <v>12</v>
      </c>
      <c r="E441" t="s">
        <v>1143</v>
      </c>
      <c r="F441" t="b">
        <v>1</v>
      </c>
      <c r="G441">
        <v>52</v>
      </c>
      <c r="H441">
        <v>0</v>
      </c>
      <c r="I441">
        <v>12708</v>
      </c>
      <c r="J441" s="61" t="s">
        <v>13</v>
      </c>
      <c r="K441" s="16" t="s">
        <v>272</v>
      </c>
      <c r="L441" s="16">
        <v>3</v>
      </c>
      <c r="M441" s="16" t="s">
        <v>277</v>
      </c>
      <c r="N441" s="16" t="s">
        <v>335</v>
      </c>
      <c r="O441" t="s">
        <v>282</v>
      </c>
      <c r="P441" t="s">
        <v>371</v>
      </c>
      <c r="Q441" t="s">
        <v>371</v>
      </c>
      <c r="R441" s="17" t="s">
        <v>371</v>
      </c>
      <c r="S441" s="17">
        <v>0</v>
      </c>
      <c r="T441" s="17">
        <v>1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 t="s">
        <v>704</v>
      </c>
      <c r="AD441" s="16" t="s">
        <v>341</v>
      </c>
      <c r="AE441" s="16" t="s">
        <v>340</v>
      </c>
      <c r="AF441" s="15" t="s">
        <v>343</v>
      </c>
      <c r="AG441" s="15" t="s">
        <v>344</v>
      </c>
      <c r="AH441" s="17" t="s">
        <v>371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704</v>
      </c>
      <c r="AR441" t="s">
        <v>349</v>
      </c>
      <c r="AS441" t="s">
        <v>349</v>
      </c>
      <c r="AT441">
        <v>1</v>
      </c>
      <c r="AU441">
        <v>0</v>
      </c>
      <c r="AV441">
        <v>0</v>
      </c>
      <c r="AW441" t="s">
        <v>704</v>
      </c>
      <c r="AX441" t="s">
        <v>1208</v>
      </c>
      <c r="AY441" t="s">
        <v>293</v>
      </c>
      <c r="AZ441" t="s">
        <v>352</v>
      </c>
      <c r="BA441" t="s">
        <v>296</v>
      </c>
      <c r="BB441" t="s">
        <v>300</v>
      </c>
      <c r="BC441" t="s">
        <v>292</v>
      </c>
      <c r="BD441" t="s">
        <v>292</v>
      </c>
      <c r="BE441" t="s">
        <v>292</v>
      </c>
      <c r="BF441" t="s">
        <v>292</v>
      </c>
      <c r="BG441" t="s">
        <v>293</v>
      </c>
      <c r="BH441" t="s">
        <v>302</v>
      </c>
      <c r="BI441" t="s">
        <v>302</v>
      </c>
      <c r="BJ441" t="s">
        <v>359</v>
      </c>
      <c r="BK441" t="s">
        <v>293</v>
      </c>
      <c r="BL441" t="s">
        <v>293</v>
      </c>
      <c r="BM441" t="s">
        <v>297</v>
      </c>
      <c r="BN441" t="s">
        <v>356</v>
      </c>
      <c r="BO441" t="s">
        <v>293</v>
      </c>
      <c r="BP441" t="s">
        <v>292</v>
      </c>
      <c r="BQ441" t="s">
        <v>293</v>
      </c>
      <c r="BR441" t="s">
        <v>293</v>
      </c>
      <c r="BS441" t="s">
        <v>364</v>
      </c>
      <c r="BT441" t="s">
        <v>366</v>
      </c>
      <c r="BU441" t="s">
        <v>371</v>
      </c>
      <c r="BV441" t="s">
        <v>371</v>
      </c>
      <c r="BW441" t="s">
        <v>2883</v>
      </c>
      <c r="BX441" t="str">
        <f>IF(J441="win",VLOOKUP(B441,ColorScheme!$A$2:$I$32,4,0),VLOOKUP(B441,ColorScheme!$A$2:$I$32,5,0))</f>
        <v>#3f9b0b</v>
      </c>
    </row>
    <row r="442" spans="1:76" x14ac:dyDescent="0.3">
      <c r="A442" t="s">
        <v>45</v>
      </c>
      <c r="B442" t="s">
        <v>51</v>
      </c>
      <c r="C442" t="s">
        <v>23</v>
      </c>
      <c r="D442" t="s">
        <v>29</v>
      </c>
      <c r="E442" t="s">
        <v>1144</v>
      </c>
      <c r="F442" t="b">
        <v>1</v>
      </c>
      <c r="G442">
        <v>100</v>
      </c>
      <c r="H442">
        <v>1</v>
      </c>
      <c r="I442">
        <v>12027</v>
      </c>
      <c r="J442" s="61" t="s">
        <v>18</v>
      </c>
      <c r="K442" s="16" t="s">
        <v>272</v>
      </c>
      <c r="L442" s="16">
        <v>3</v>
      </c>
      <c r="M442" s="16" t="s">
        <v>277</v>
      </c>
      <c r="N442" s="16" t="s">
        <v>335</v>
      </c>
      <c r="O442" s="15" t="s">
        <v>282</v>
      </c>
      <c r="P442" t="s">
        <v>371</v>
      </c>
      <c r="Q442" t="s">
        <v>371</v>
      </c>
      <c r="R442" s="17" t="s">
        <v>371</v>
      </c>
      <c r="S442" s="17">
        <v>0</v>
      </c>
      <c r="T442" s="17">
        <v>1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 t="s">
        <v>704</v>
      </c>
      <c r="AD442" s="16" t="s">
        <v>341</v>
      </c>
      <c r="AE442" s="16" t="s">
        <v>340</v>
      </c>
      <c r="AF442" s="15" t="s">
        <v>343</v>
      </c>
      <c r="AG442" s="15" t="s">
        <v>344</v>
      </c>
      <c r="AH442" s="17" t="s">
        <v>371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704</v>
      </c>
      <c r="AR442" t="s">
        <v>349</v>
      </c>
      <c r="AS442" t="s">
        <v>349</v>
      </c>
      <c r="AT442">
        <v>1</v>
      </c>
      <c r="AU442">
        <v>0</v>
      </c>
      <c r="AV442">
        <v>0</v>
      </c>
      <c r="AW442" t="s">
        <v>704</v>
      </c>
      <c r="AX442" t="s">
        <v>1208</v>
      </c>
      <c r="AY442" t="s">
        <v>293</v>
      </c>
      <c r="AZ442" t="s">
        <v>352</v>
      </c>
      <c r="BA442" t="s">
        <v>296</v>
      </c>
      <c r="BB442" t="s">
        <v>300</v>
      </c>
      <c r="BC442" t="s">
        <v>292</v>
      </c>
      <c r="BD442" t="s">
        <v>292</v>
      </c>
      <c r="BE442" t="s">
        <v>292</v>
      </c>
      <c r="BF442" t="s">
        <v>292</v>
      </c>
      <c r="BG442" t="s">
        <v>293</v>
      </c>
      <c r="BH442" t="s">
        <v>302</v>
      </c>
      <c r="BI442" t="s">
        <v>302</v>
      </c>
      <c r="BJ442" t="s">
        <v>359</v>
      </c>
      <c r="BK442" t="s">
        <v>293</v>
      </c>
      <c r="BL442" t="s">
        <v>293</v>
      </c>
      <c r="BM442" t="s">
        <v>297</v>
      </c>
      <c r="BN442" t="s">
        <v>298</v>
      </c>
      <c r="BO442" t="s">
        <v>293</v>
      </c>
      <c r="BP442" t="s">
        <v>292</v>
      </c>
      <c r="BQ442" t="s">
        <v>293</v>
      </c>
      <c r="BR442" t="s">
        <v>293</v>
      </c>
      <c r="BS442" t="s">
        <v>364</v>
      </c>
      <c r="BT442" t="s">
        <v>304</v>
      </c>
      <c r="BU442" t="s">
        <v>371</v>
      </c>
      <c r="BV442" t="s">
        <v>371</v>
      </c>
      <c r="BW442" t="s">
        <v>2884</v>
      </c>
      <c r="BX442" t="str">
        <f>IF(J442="win",VLOOKUP(B442,ColorScheme!$A$2:$I$32,4,0),VLOOKUP(B442,ColorScheme!$A$2:$I$32,5,0))</f>
        <v>#3f9b0b50</v>
      </c>
    </row>
    <row r="443" spans="1:76" x14ac:dyDescent="0.3">
      <c r="A443" t="s">
        <v>45</v>
      </c>
      <c r="B443" t="s">
        <v>51</v>
      </c>
      <c r="C443" t="s">
        <v>25</v>
      </c>
      <c r="D443" t="s">
        <v>29</v>
      </c>
      <c r="E443" t="s">
        <v>1145</v>
      </c>
      <c r="F443" t="b">
        <v>1</v>
      </c>
      <c r="G443">
        <v>100</v>
      </c>
      <c r="H443">
        <v>1</v>
      </c>
      <c r="I443">
        <v>9003</v>
      </c>
      <c r="J443" s="61" t="s">
        <v>18</v>
      </c>
      <c r="K443" s="16" t="s">
        <v>272</v>
      </c>
      <c r="L443" s="16">
        <v>3</v>
      </c>
      <c r="M443" s="16" t="s">
        <v>277</v>
      </c>
      <c r="N443" s="16" t="s">
        <v>335</v>
      </c>
      <c r="O443" s="15" t="s">
        <v>283</v>
      </c>
      <c r="P443" t="s">
        <v>282</v>
      </c>
      <c r="Q443" t="s">
        <v>371</v>
      </c>
      <c r="R443" s="17" t="s">
        <v>371</v>
      </c>
      <c r="S443" s="17">
        <v>0</v>
      </c>
      <c r="T443" s="17">
        <v>1</v>
      </c>
      <c r="U443" s="17">
        <v>1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 t="s">
        <v>704</v>
      </c>
      <c r="AD443" s="16" t="s">
        <v>341</v>
      </c>
      <c r="AE443" s="16" t="s">
        <v>340</v>
      </c>
      <c r="AF443" s="15" t="s">
        <v>343</v>
      </c>
      <c r="AG443" s="15" t="s">
        <v>291</v>
      </c>
      <c r="AH443" s="17" t="s">
        <v>371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 t="s">
        <v>704</v>
      </c>
      <c r="AR443" t="s">
        <v>349</v>
      </c>
      <c r="AS443" t="s">
        <v>349</v>
      </c>
      <c r="AT443">
        <v>1</v>
      </c>
      <c r="AU443">
        <v>0</v>
      </c>
      <c r="AV443">
        <v>0</v>
      </c>
      <c r="AW443" t="s">
        <v>704</v>
      </c>
      <c r="AX443" t="s">
        <v>1320</v>
      </c>
      <c r="AY443" t="s">
        <v>293</v>
      </c>
      <c r="AZ443" t="s">
        <v>353</v>
      </c>
      <c r="BA443" t="s">
        <v>296</v>
      </c>
      <c r="BB443" t="s">
        <v>300</v>
      </c>
      <c r="BC443" t="s">
        <v>292</v>
      </c>
      <c r="BD443" t="s">
        <v>292</v>
      </c>
      <c r="BE443" t="s">
        <v>292</v>
      </c>
      <c r="BF443" t="s">
        <v>292</v>
      </c>
      <c r="BG443" t="s">
        <v>293</v>
      </c>
      <c r="BH443" t="s">
        <v>359</v>
      </c>
      <c r="BI443" t="s">
        <v>302</v>
      </c>
      <c r="BJ443" t="s">
        <v>359</v>
      </c>
      <c r="BK443" t="s">
        <v>293</v>
      </c>
      <c r="BL443" t="s">
        <v>293</v>
      </c>
      <c r="BM443" t="s">
        <v>296</v>
      </c>
      <c r="BN443" t="s">
        <v>356</v>
      </c>
      <c r="BO443" t="s">
        <v>293</v>
      </c>
      <c r="BP443" t="s">
        <v>292</v>
      </c>
      <c r="BQ443" t="s">
        <v>293</v>
      </c>
      <c r="BR443" t="s">
        <v>293</v>
      </c>
      <c r="BS443" t="s">
        <v>364</v>
      </c>
      <c r="BT443" t="s">
        <v>304</v>
      </c>
      <c r="BU443" t="s">
        <v>371</v>
      </c>
      <c r="BV443" t="s">
        <v>371</v>
      </c>
      <c r="BW443" t="s">
        <v>2885</v>
      </c>
      <c r="BX443" t="str">
        <f>IF(J443="win",VLOOKUP(B443,ColorScheme!$A$2:$I$32,4,0),VLOOKUP(B443,ColorScheme!$A$2:$I$32,5,0))</f>
        <v>#3f9b0b50</v>
      </c>
    </row>
    <row r="444" spans="1:76" x14ac:dyDescent="0.3">
      <c r="A444" t="s">
        <v>45</v>
      </c>
      <c r="B444" t="s">
        <v>51</v>
      </c>
      <c r="C444" t="s">
        <v>24</v>
      </c>
      <c r="D444" t="s">
        <v>29</v>
      </c>
      <c r="E444" t="s">
        <v>1146</v>
      </c>
      <c r="F444" t="b">
        <v>1</v>
      </c>
      <c r="G444">
        <v>100</v>
      </c>
      <c r="H444">
        <v>1</v>
      </c>
      <c r="I444">
        <v>12393</v>
      </c>
      <c r="J444" s="61" t="s">
        <v>18</v>
      </c>
      <c r="K444" s="16" t="s">
        <v>272</v>
      </c>
      <c r="L444" s="16">
        <v>3</v>
      </c>
      <c r="M444" s="16" t="s">
        <v>277</v>
      </c>
      <c r="N444" s="16" t="s">
        <v>335</v>
      </c>
      <c r="O444" s="15" t="s">
        <v>282</v>
      </c>
      <c r="P444" t="s">
        <v>371</v>
      </c>
      <c r="Q444" t="s">
        <v>371</v>
      </c>
      <c r="R444" s="17" t="s">
        <v>371</v>
      </c>
      <c r="S444" s="17">
        <v>0</v>
      </c>
      <c r="T444" s="17">
        <v>1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 t="s">
        <v>704</v>
      </c>
      <c r="AD444" s="16" t="s">
        <v>341</v>
      </c>
      <c r="AE444" s="16" t="s">
        <v>340</v>
      </c>
      <c r="AF444" s="15" t="s">
        <v>343</v>
      </c>
      <c r="AG444" s="15" t="s">
        <v>344</v>
      </c>
      <c r="AH444" s="17" t="s">
        <v>371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704</v>
      </c>
      <c r="AR444" t="s">
        <v>349</v>
      </c>
      <c r="AS444" t="s">
        <v>349</v>
      </c>
      <c r="AT444">
        <v>1</v>
      </c>
      <c r="AU444">
        <v>0</v>
      </c>
      <c r="AV444">
        <v>0</v>
      </c>
      <c r="AW444" t="s">
        <v>704</v>
      </c>
      <c r="AX444" t="s">
        <v>1208</v>
      </c>
      <c r="AY444" t="s">
        <v>293</v>
      </c>
      <c r="AZ444" t="s">
        <v>352</v>
      </c>
      <c r="BA444" t="s">
        <v>296</v>
      </c>
      <c r="BB444" t="s">
        <v>300</v>
      </c>
      <c r="BC444" t="s">
        <v>292</v>
      </c>
      <c r="BD444" t="s">
        <v>292</v>
      </c>
      <c r="BE444" t="s">
        <v>292</v>
      </c>
      <c r="BF444" t="s">
        <v>292</v>
      </c>
      <c r="BG444" t="s">
        <v>293</v>
      </c>
      <c r="BH444" t="s">
        <v>302</v>
      </c>
      <c r="BI444" t="s">
        <v>302</v>
      </c>
      <c r="BJ444" t="s">
        <v>359</v>
      </c>
      <c r="BK444" t="s">
        <v>293</v>
      </c>
      <c r="BL444" t="s">
        <v>293</v>
      </c>
      <c r="BM444" t="s">
        <v>297</v>
      </c>
      <c r="BN444" t="s">
        <v>298</v>
      </c>
      <c r="BO444" t="s">
        <v>293</v>
      </c>
      <c r="BP444" t="s">
        <v>292</v>
      </c>
      <c r="BQ444" t="s">
        <v>293</v>
      </c>
      <c r="BR444" t="s">
        <v>293</v>
      </c>
      <c r="BS444" t="s">
        <v>364</v>
      </c>
      <c r="BT444" t="s">
        <v>304</v>
      </c>
      <c r="BU444" t="s">
        <v>371</v>
      </c>
      <c r="BV444" t="s">
        <v>371</v>
      </c>
      <c r="BW444" t="s">
        <v>2886</v>
      </c>
      <c r="BX444" t="str">
        <f>IF(J444="win",VLOOKUP(B444,ColorScheme!$A$2:$I$32,4,0),VLOOKUP(B444,ColorScheme!$A$2:$I$32,5,0))</f>
        <v>#3f9b0b50</v>
      </c>
    </row>
    <row r="445" spans="1:76" x14ac:dyDescent="0.3">
      <c r="A445" t="s">
        <v>45</v>
      </c>
      <c r="B445" t="s">
        <v>51</v>
      </c>
      <c r="C445" t="s">
        <v>32</v>
      </c>
      <c r="D445" t="s">
        <v>29</v>
      </c>
      <c r="E445" t="s">
        <v>1147</v>
      </c>
      <c r="F445" t="b">
        <v>1</v>
      </c>
      <c r="G445">
        <v>100</v>
      </c>
      <c r="H445">
        <v>1</v>
      </c>
      <c r="I445">
        <v>14079</v>
      </c>
      <c r="J445" s="61" t="s">
        <v>18</v>
      </c>
      <c r="K445" s="16" t="s">
        <v>272</v>
      </c>
      <c r="L445" s="16">
        <v>3</v>
      </c>
      <c r="M445" s="16" t="s">
        <v>277</v>
      </c>
      <c r="N445" s="16" t="s">
        <v>335</v>
      </c>
      <c r="O445" s="15" t="s">
        <v>282</v>
      </c>
      <c r="P445" t="s">
        <v>371</v>
      </c>
      <c r="Q445" t="s">
        <v>371</v>
      </c>
      <c r="R445" s="17" t="s">
        <v>371</v>
      </c>
      <c r="S445" s="17">
        <v>0</v>
      </c>
      <c r="T445" s="17">
        <v>1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 t="s">
        <v>704</v>
      </c>
      <c r="AD445" s="16" t="s">
        <v>341</v>
      </c>
      <c r="AE445" s="16" t="s">
        <v>340</v>
      </c>
      <c r="AF445" s="15" t="s">
        <v>343</v>
      </c>
      <c r="AG445" s="15" t="s">
        <v>344</v>
      </c>
      <c r="AH445" s="17" t="s">
        <v>371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704</v>
      </c>
      <c r="AR445" t="s">
        <v>349</v>
      </c>
      <c r="AS445" t="s">
        <v>349</v>
      </c>
      <c r="AT445">
        <v>1</v>
      </c>
      <c r="AU445">
        <v>0</v>
      </c>
      <c r="AV445">
        <v>0</v>
      </c>
      <c r="AW445" t="s">
        <v>704</v>
      </c>
      <c r="AX445" t="s">
        <v>1208</v>
      </c>
      <c r="AY445" t="s">
        <v>293</v>
      </c>
      <c r="AZ445" t="s">
        <v>353</v>
      </c>
      <c r="BA445" t="s">
        <v>296</v>
      </c>
      <c r="BB445" t="s">
        <v>300</v>
      </c>
      <c r="BC445" t="s">
        <v>292</v>
      </c>
      <c r="BD445" t="s">
        <v>292</v>
      </c>
      <c r="BE445" t="s">
        <v>292</v>
      </c>
      <c r="BF445" t="s">
        <v>292</v>
      </c>
      <c r="BG445" t="s">
        <v>293</v>
      </c>
      <c r="BH445" t="s">
        <v>302</v>
      </c>
      <c r="BI445" t="s">
        <v>358</v>
      </c>
      <c r="BJ445" t="s">
        <v>302</v>
      </c>
      <c r="BK445" t="s">
        <v>293</v>
      </c>
      <c r="BL445" t="s">
        <v>293</v>
      </c>
      <c r="BM445" t="s">
        <v>296</v>
      </c>
      <c r="BN445" t="s">
        <v>298</v>
      </c>
      <c r="BO445" t="s">
        <v>293</v>
      </c>
      <c r="BP445" t="s">
        <v>292</v>
      </c>
      <c r="BQ445" t="s">
        <v>363</v>
      </c>
      <c r="BR445" t="s">
        <v>293</v>
      </c>
      <c r="BS445" t="s">
        <v>364</v>
      </c>
      <c r="BT445" t="s">
        <v>304</v>
      </c>
      <c r="BU445" t="s">
        <v>371</v>
      </c>
      <c r="BV445" t="s">
        <v>371</v>
      </c>
      <c r="BW445" t="s">
        <v>2887</v>
      </c>
      <c r="BX445" t="str">
        <f>IF(J445="win",VLOOKUP(B445,ColorScheme!$A$2:$I$32,4,0),VLOOKUP(B445,ColorScheme!$A$2:$I$32,5,0))</f>
        <v>#3f9b0b50</v>
      </c>
    </row>
    <row r="446" spans="1:76" x14ac:dyDescent="0.3">
      <c r="A446" t="s">
        <v>45</v>
      </c>
      <c r="B446" t="s">
        <v>51</v>
      </c>
      <c r="C446" t="s">
        <v>30</v>
      </c>
      <c r="D446" t="s">
        <v>29</v>
      </c>
      <c r="E446" t="s">
        <v>1148</v>
      </c>
      <c r="F446" t="b">
        <v>1</v>
      </c>
      <c r="G446">
        <v>100</v>
      </c>
      <c r="H446">
        <v>1</v>
      </c>
      <c r="I446">
        <v>11117</v>
      </c>
      <c r="J446" s="61" t="s">
        <v>18</v>
      </c>
      <c r="K446" s="16" t="s">
        <v>272</v>
      </c>
      <c r="L446" s="16">
        <v>3</v>
      </c>
      <c r="M446" s="16" t="s">
        <v>277</v>
      </c>
      <c r="N446" s="16" t="s">
        <v>335</v>
      </c>
      <c r="O446" s="15" t="s">
        <v>282</v>
      </c>
      <c r="P446" t="s">
        <v>371</v>
      </c>
      <c r="Q446" t="s">
        <v>371</v>
      </c>
      <c r="R446" s="17" t="s">
        <v>371</v>
      </c>
      <c r="S446" s="17">
        <v>0</v>
      </c>
      <c r="T446" s="17">
        <v>1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 t="s">
        <v>704</v>
      </c>
      <c r="AD446" s="16" t="s">
        <v>341</v>
      </c>
      <c r="AE446" s="16" t="s">
        <v>340</v>
      </c>
      <c r="AF446" s="15" t="s">
        <v>343</v>
      </c>
      <c r="AG446" s="15" t="s">
        <v>344</v>
      </c>
      <c r="AH446" s="17" t="s">
        <v>371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704</v>
      </c>
      <c r="AR446" t="s">
        <v>349</v>
      </c>
      <c r="AS446" t="s">
        <v>349</v>
      </c>
      <c r="AT446">
        <v>1</v>
      </c>
      <c r="AU446">
        <v>0</v>
      </c>
      <c r="AV446">
        <v>0</v>
      </c>
      <c r="AW446" t="s">
        <v>704</v>
      </c>
      <c r="AX446" t="s">
        <v>1208</v>
      </c>
      <c r="AY446" t="s">
        <v>293</v>
      </c>
      <c r="AZ446" t="s">
        <v>353</v>
      </c>
      <c r="BA446" t="s">
        <v>296</v>
      </c>
      <c r="BB446" t="s">
        <v>300</v>
      </c>
      <c r="BC446" t="s">
        <v>292</v>
      </c>
      <c r="BD446" t="s">
        <v>292</v>
      </c>
      <c r="BE446" t="s">
        <v>292</v>
      </c>
      <c r="BF446" t="s">
        <v>292</v>
      </c>
      <c r="BG446" t="s">
        <v>293</v>
      </c>
      <c r="BH446" t="s">
        <v>302</v>
      </c>
      <c r="BI446" t="s">
        <v>358</v>
      </c>
      <c r="BJ446" t="s">
        <v>302</v>
      </c>
      <c r="BK446" t="s">
        <v>293</v>
      </c>
      <c r="BL446" t="s">
        <v>293</v>
      </c>
      <c r="BM446" t="s">
        <v>296</v>
      </c>
      <c r="BN446" t="s">
        <v>298</v>
      </c>
      <c r="BO446" t="s">
        <v>293</v>
      </c>
      <c r="BP446" t="s">
        <v>292</v>
      </c>
      <c r="BQ446" t="s">
        <v>363</v>
      </c>
      <c r="BR446" t="s">
        <v>293</v>
      </c>
      <c r="BS446" t="s">
        <v>364</v>
      </c>
      <c r="BT446" t="s">
        <v>304</v>
      </c>
      <c r="BU446" t="s">
        <v>371</v>
      </c>
      <c r="BV446" t="s">
        <v>371</v>
      </c>
      <c r="BW446" t="s">
        <v>2888</v>
      </c>
      <c r="BX446" t="str">
        <f>IF(J446="win",VLOOKUP(B446,ColorScheme!$A$2:$I$32,4,0),VLOOKUP(B446,ColorScheme!$A$2:$I$32,5,0))</f>
        <v>#3f9b0b50</v>
      </c>
    </row>
    <row r="447" spans="1:76" x14ac:dyDescent="0.3">
      <c r="A447" t="s">
        <v>45</v>
      </c>
      <c r="B447" t="s">
        <v>51</v>
      </c>
      <c r="C447" t="s">
        <v>33</v>
      </c>
      <c r="D447" t="s">
        <v>29</v>
      </c>
      <c r="E447" t="s">
        <v>1149</v>
      </c>
      <c r="F447" t="b">
        <v>1</v>
      </c>
      <c r="G447">
        <v>100</v>
      </c>
      <c r="H447">
        <v>1</v>
      </c>
      <c r="I447">
        <v>15656</v>
      </c>
      <c r="J447" s="61" t="s">
        <v>18</v>
      </c>
      <c r="K447" s="16" t="s">
        <v>272</v>
      </c>
      <c r="L447" s="16">
        <v>3</v>
      </c>
      <c r="M447" s="16" t="s">
        <v>277</v>
      </c>
      <c r="N447" s="16" t="s">
        <v>335</v>
      </c>
      <c r="O447" s="15" t="s">
        <v>282</v>
      </c>
      <c r="P447" t="s">
        <v>371</v>
      </c>
      <c r="Q447" t="s">
        <v>371</v>
      </c>
      <c r="R447" s="17" t="s">
        <v>371</v>
      </c>
      <c r="S447" s="17">
        <v>0</v>
      </c>
      <c r="T447" s="17">
        <v>1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 t="s">
        <v>704</v>
      </c>
      <c r="AD447" s="16" t="s">
        <v>341</v>
      </c>
      <c r="AE447" s="16" t="s">
        <v>340</v>
      </c>
      <c r="AF447" s="15" t="s">
        <v>343</v>
      </c>
      <c r="AG447" s="15" t="s">
        <v>344</v>
      </c>
      <c r="AH447" s="17" t="s">
        <v>371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704</v>
      </c>
      <c r="AR447" t="s">
        <v>349</v>
      </c>
      <c r="AS447" t="s">
        <v>349</v>
      </c>
      <c r="AT447">
        <v>1</v>
      </c>
      <c r="AU447">
        <v>0</v>
      </c>
      <c r="AV447">
        <v>0</v>
      </c>
      <c r="AW447" t="s">
        <v>704</v>
      </c>
      <c r="AX447" t="s">
        <v>1208</v>
      </c>
      <c r="AY447" t="s">
        <v>293</v>
      </c>
      <c r="AZ447" t="s">
        <v>353</v>
      </c>
      <c r="BA447" t="s">
        <v>296</v>
      </c>
      <c r="BB447" t="s">
        <v>300</v>
      </c>
      <c r="BC447" t="s">
        <v>292</v>
      </c>
      <c r="BD447" t="s">
        <v>292</v>
      </c>
      <c r="BE447" t="s">
        <v>292</v>
      </c>
      <c r="BF447" t="s">
        <v>292</v>
      </c>
      <c r="BG447" t="s">
        <v>293</v>
      </c>
      <c r="BH447" t="s">
        <v>302</v>
      </c>
      <c r="BI447" t="s">
        <v>358</v>
      </c>
      <c r="BJ447" t="s">
        <v>302</v>
      </c>
      <c r="BK447" t="s">
        <v>293</v>
      </c>
      <c r="BL447" t="s">
        <v>293</v>
      </c>
      <c r="BM447" t="s">
        <v>296</v>
      </c>
      <c r="BN447" t="s">
        <v>298</v>
      </c>
      <c r="BO447" t="s">
        <v>293</v>
      </c>
      <c r="BP447" t="s">
        <v>292</v>
      </c>
      <c r="BQ447" t="s">
        <v>363</v>
      </c>
      <c r="BR447" t="s">
        <v>293</v>
      </c>
      <c r="BS447" t="s">
        <v>364</v>
      </c>
      <c r="BT447" t="s">
        <v>304</v>
      </c>
      <c r="BU447" t="s">
        <v>371</v>
      </c>
      <c r="BV447" t="s">
        <v>371</v>
      </c>
      <c r="BW447" t="s">
        <v>2889</v>
      </c>
      <c r="BX447" t="str">
        <f>IF(J447="win",VLOOKUP(B447,ColorScheme!$A$2:$I$32,4,0),VLOOKUP(B447,ColorScheme!$A$2:$I$32,5,0))</f>
        <v>#3f9b0b50</v>
      </c>
    </row>
    <row r="448" spans="1:76" x14ac:dyDescent="0.3">
      <c r="A448" t="s">
        <v>45</v>
      </c>
      <c r="B448" t="s">
        <v>51</v>
      </c>
      <c r="C448" t="s">
        <v>26</v>
      </c>
      <c r="D448" t="s">
        <v>29</v>
      </c>
      <c r="E448" t="s">
        <v>1150</v>
      </c>
      <c r="F448" t="b">
        <v>1</v>
      </c>
      <c r="G448">
        <v>100</v>
      </c>
      <c r="H448">
        <v>1</v>
      </c>
      <c r="I448">
        <v>11142</v>
      </c>
      <c r="J448" s="61" t="s">
        <v>18</v>
      </c>
      <c r="K448" s="16" t="s">
        <v>272</v>
      </c>
      <c r="L448" s="16">
        <v>3</v>
      </c>
      <c r="M448" s="16" t="s">
        <v>277</v>
      </c>
      <c r="N448" s="16" t="s">
        <v>335</v>
      </c>
      <c r="O448" s="15" t="s">
        <v>283</v>
      </c>
      <c r="P448" t="s">
        <v>282</v>
      </c>
      <c r="Q448" t="s">
        <v>371</v>
      </c>
      <c r="R448" s="17" t="s">
        <v>371</v>
      </c>
      <c r="S448" s="17">
        <v>0</v>
      </c>
      <c r="T448" s="17">
        <v>1</v>
      </c>
      <c r="U448" s="17">
        <v>1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 t="s">
        <v>704</v>
      </c>
      <c r="AD448" s="16" t="s">
        <v>341</v>
      </c>
      <c r="AE448" s="16" t="s">
        <v>340</v>
      </c>
      <c r="AF448" s="15" t="s">
        <v>343</v>
      </c>
      <c r="AG448" s="15" t="s">
        <v>291</v>
      </c>
      <c r="AH448" s="17" t="s">
        <v>371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 t="s">
        <v>704</v>
      </c>
      <c r="AR448" t="s">
        <v>349</v>
      </c>
      <c r="AS448" t="s">
        <v>349</v>
      </c>
      <c r="AT448">
        <v>1</v>
      </c>
      <c r="AU448">
        <v>0</v>
      </c>
      <c r="AV448">
        <v>0</v>
      </c>
      <c r="AW448" t="s">
        <v>704</v>
      </c>
      <c r="AX448" t="s">
        <v>1320</v>
      </c>
      <c r="AY448" t="s">
        <v>293</v>
      </c>
      <c r="AZ448" t="s">
        <v>353</v>
      </c>
      <c r="BA448" t="s">
        <v>296</v>
      </c>
      <c r="BB448" t="s">
        <v>300</v>
      </c>
      <c r="BC448" t="s">
        <v>292</v>
      </c>
      <c r="BD448" t="s">
        <v>292</v>
      </c>
      <c r="BE448" t="s">
        <v>292</v>
      </c>
      <c r="BF448" t="s">
        <v>292</v>
      </c>
      <c r="BG448" t="s">
        <v>293</v>
      </c>
      <c r="BH448" t="s">
        <v>359</v>
      </c>
      <c r="BI448" t="s">
        <v>302</v>
      </c>
      <c r="BJ448" t="s">
        <v>359</v>
      </c>
      <c r="BK448" t="s">
        <v>293</v>
      </c>
      <c r="BL448" t="s">
        <v>293</v>
      </c>
      <c r="BM448" t="s">
        <v>296</v>
      </c>
      <c r="BN448" t="s">
        <v>356</v>
      </c>
      <c r="BO448" t="s">
        <v>293</v>
      </c>
      <c r="BP448" t="s">
        <v>292</v>
      </c>
      <c r="BQ448" t="s">
        <v>293</v>
      </c>
      <c r="BR448" t="s">
        <v>293</v>
      </c>
      <c r="BS448" t="s">
        <v>364</v>
      </c>
      <c r="BT448" t="s">
        <v>304</v>
      </c>
      <c r="BU448" t="s">
        <v>371</v>
      </c>
      <c r="BV448" t="s">
        <v>371</v>
      </c>
      <c r="BW448" t="s">
        <v>2890</v>
      </c>
      <c r="BX448" t="str">
        <f>IF(J448="win",VLOOKUP(B448,ColorScheme!$A$2:$I$32,4,0),VLOOKUP(B448,ColorScheme!$A$2:$I$32,5,0))</f>
        <v>#3f9b0b50</v>
      </c>
    </row>
    <row r="449" spans="1:76" x14ac:dyDescent="0.3">
      <c r="A449" t="s">
        <v>45</v>
      </c>
      <c r="B449" t="s">
        <v>51</v>
      </c>
      <c r="C449" t="s">
        <v>31</v>
      </c>
      <c r="D449" t="s">
        <v>29</v>
      </c>
      <c r="E449" t="s">
        <v>1151</v>
      </c>
      <c r="F449" t="b">
        <v>1</v>
      </c>
      <c r="G449">
        <v>100</v>
      </c>
      <c r="H449">
        <v>1</v>
      </c>
      <c r="I449">
        <v>12695</v>
      </c>
      <c r="J449" s="61" t="s">
        <v>18</v>
      </c>
      <c r="K449" s="16" t="s">
        <v>272</v>
      </c>
      <c r="L449" s="16">
        <v>3</v>
      </c>
      <c r="M449" s="16" t="s">
        <v>277</v>
      </c>
      <c r="N449" s="16" t="s">
        <v>335</v>
      </c>
      <c r="O449" s="15" t="s">
        <v>282</v>
      </c>
      <c r="P449" t="s">
        <v>371</v>
      </c>
      <c r="Q449" t="s">
        <v>371</v>
      </c>
      <c r="R449" s="17" t="s">
        <v>371</v>
      </c>
      <c r="S449" s="17">
        <v>0</v>
      </c>
      <c r="T449" s="17">
        <v>1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 t="s">
        <v>704</v>
      </c>
      <c r="AD449" s="16" t="s">
        <v>341</v>
      </c>
      <c r="AE449" s="16" t="s">
        <v>340</v>
      </c>
      <c r="AF449" s="15" t="s">
        <v>343</v>
      </c>
      <c r="AG449" s="15" t="s">
        <v>344</v>
      </c>
      <c r="AH449" s="17" t="s">
        <v>371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 t="s">
        <v>704</v>
      </c>
      <c r="AR449" t="s">
        <v>349</v>
      </c>
      <c r="AS449" t="s">
        <v>349</v>
      </c>
      <c r="AT449">
        <v>1</v>
      </c>
      <c r="AU449">
        <v>0</v>
      </c>
      <c r="AV449">
        <v>0</v>
      </c>
      <c r="AW449" t="s">
        <v>704</v>
      </c>
      <c r="AX449" t="s">
        <v>1208</v>
      </c>
      <c r="AY449" t="s">
        <v>293</v>
      </c>
      <c r="AZ449" t="s">
        <v>353</v>
      </c>
      <c r="BA449" t="s">
        <v>296</v>
      </c>
      <c r="BB449" t="s">
        <v>300</v>
      </c>
      <c r="BC449" t="s">
        <v>292</v>
      </c>
      <c r="BD449" t="s">
        <v>292</v>
      </c>
      <c r="BE449" t="s">
        <v>292</v>
      </c>
      <c r="BF449" t="s">
        <v>292</v>
      </c>
      <c r="BG449" t="s">
        <v>293</v>
      </c>
      <c r="BH449" t="s">
        <v>302</v>
      </c>
      <c r="BI449" t="s">
        <v>358</v>
      </c>
      <c r="BJ449" t="s">
        <v>302</v>
      </c>
      <c r="BK449" t="s">
        <v>293</v>
      </c>
      <c r="BL449" t="s">
        <v>293</v>
      </c>
      <c r="BM449" t="s">
        <v>296</v>
      </c>
      <c r="BN449" t="s">
        <v>298</v>
      </c>
      <c r="BO449" t="s">
        <v>293</v>
      </c>
      <c r="BP449" t="s">
        <v>292</v>
      </c>
      <c r="BQ449" t="s">
        <v>363</v>
      </c>
      <c r="BR449" t="s">
        <v>293</v>
      </c>
      <c r="BS449" t="s">
        <v>364</v>
      </c>
      <c r="BT449" t="s">
        <v>304</v>
      </c>
      <c r="BU449" t="s">
        <v>371</v>
      </c>
      <c r="BV449" t="s">
        <v>371</v>
      </c>
      <c r="BW449" t="s">
        <v>2891</v>
      </c>
      <c r="BX449" t="str">
        <f>IF(J449="win",VLOOKUP(B449,ColorScheme!$A$2:$I$32,4,0),VLOOKUP(B449,ColorScheme!$A$2:$I$32,5,0))</f>
        <v>#3f9b0b50</v>
      </c>
    </row>
    <row r="450" spans="1:76" x14ac:dyDescent="0.3">
      <c r="A450" t="s">
        <v>45</v>
      </c>
      <c r="B450" t="s">
        <v>51</v>
      </c>
      <c r="C450" t="s">
        <v>27</v>
      </c>
      <c r="D450" t="s">
        <v>29</v>
      </c>
      <c r="E450" t="s">
        <v>1152</v>
      </c>
      <c r="F450" t="b">
        <v>1</v>
      </c>
      <c r="G450">
        <v>93.1</v>
      </c>
      <c r="H450">
        <v>0</v>
      </c>
      <c r="I450">
        <v>13574</v>
      </c>
      <c r="J450" s="61" t="s">
        <v>13</v>
      </c>
      <c r="K450" s="16" t="s">
        <v>272</v>
      </c>
      <c r="L450" s="16">
        <v>3</v>
      </c>
      <c r="M450" s="16" t="s">
        <v>277</v>
      </c>
      <c r="N450" s="16" t="s">
        <v>335</v>
      </c>
      <c r="O450" s="15" t="s">
        <v>283</v>
      </c>
      <c r="P450" t="s">
        <v>282</v>
      </c>
      <c r="Q450" t="s">
        <v>371</v>
      </c>
      <c r="R450" s="17" t="s">
        <v>371</v>
      </c>
      <c r="S450" s="17">
        <v>0</v>
      </c>
      <c r="T450" s="17">
        <v>1</v>
      </c>
      <c r="U450" s="17">
        <v>1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 t="s">
        <v>704</v>
      </c>
      <c r="AD450" s="16" t="s">
        <v>341</v>
      </c>
      <c r="AE450" s="16" t="s">
        <v>340</v>
      </c>
      <c r="AF450" s="15" t="s">
        <v>343</v>
      </c>
      <c r="AG450" s="15" t="s">
        <v>344</v>
      </c>
      <c r="AH450" s="17" t="s">
        <v>291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 t="s">
        <v>704</v>
      </c>
      <c r="AR450" t="s">
        <v>349</v>
      </c>
      <c r="AS450" t="s">
        <v>349</v>
      </c>
      <c r="AT450">
        <v>1</v>
      </c>
      <c r="AU450">
        <v>0</v>
      </c>
      <c r="AV450">
        <v>0</v>
      </c>
      <c r="AW450" t="s">
        <v>704</v>
      </c>
      <c r="AX450" t="s">
        <v>1211</v>
      </c>
      <c r="AY450" t="s">
        <v>293</v>
      </c>
      <c r="AZ450" t="s">
        <v>353</v>
      </c>
      <c r="BA450" t="s">
        <v>296</v>
      </c>
      <c r="BB450" t="s">
        <v>300</v>
      </c>
      <c r="BC450" t="s">
        <v>292</v>
      </c>
      <c r="BD450" t="s">
        <v>292</v>
      </c>
      <c r="BE450" t="s">
        <v>292</v>
      </c>
      <c r="BF450" t="s">
        <v>292</v>
      </c>
      <c r="BG450" t="s">
        <v>293</v>
      </c>
      <c r="BH450" t="s">
        <v>359</v>
      </c>
      <c r="BI450" t="s">
        <v>302</v>
      </c>
      <c r="BJ450" t="s">
        <v>359</v>
      </c>
      <c r="BK450" t="s">
        <v>293</v>
      </c>
      <c r="BL450" t="s">
        <v>293</v>
      </c>
      <c r="BM450" t="s">
        <v>296</v>
      </c>
      <c r="BN450" t="s">
        <v>356</v>
      </c>
      <c r="BO450" t="s">
        <v>293</v>
      </c>
      <c r="BP450" t="s">
        <v>292</v>
      </c>
      <c r="BQ450" t="s">
        <v>293</v>
      </c>
      <c r="BR450" t="s">
        <v>293</v>
      </c>
      <c r="BS450" t="s">
        <v>364</v>
      </c>
      <c r="BT450" t="s">
        <v>366</v>
      </c>
      <c r="BU450" t="s">
        <v>371</v>
      </c>
      <c r="BV450" t="s">
        <v>371</v>
      </c>
      <c r="BW450" t="s">
        <v>2892</v>
      </c>
      <c r="BX450" t="str">
        <f>IF(J450="win",VLOOKUP(B450,ColorScheme!$A$2:$I$32,4,0),VLOOKUP(B450,ColorScheme!$A$2:$I$32,5,0))</f>
        <v>#3f9b0b</v>
      </c>
    </row>
    <row r="451" spans="1:76" x14ac:dyDescent="0.3">
      <c r="A451" t="s">
        <v>45</v>
      </c>
      <c r="B451" t="s">
        <v>51</v>
      </c>
      <c r="C451" t="s">
        <v>28</v>
      </c>
      <c r="D451" t="s">
        <v>29</v>
      </c>
      <c r="E451" t="s">
        <v>1153</v>
      </c>
      <c r="F451" t="b">
        <v>1</v>
      </c>
      <c r="G451">
        <v>100</v>
      </c>
      <c r="H451">
        <v>1</v>
      </c>
      <c r="I451">
        <v>7428</v>
      </c>
      <c r="J451" s="61" t="s">
        <v>18</v>
      </c>
      <c r="K451" s="16" t="s">
        <v>272</v>
      </c>
      <c r="L451" s="16">
        <v>3</v>
      </c>
      <c r="M451" s="16" t="s">
        <v>277</v>
      </c>
      <c r="N451" s="16" t="s">
        <v>335</v>
      </c>
      <c r="O451" s="15" t="s">
        <v>339</v>
      </c>
      <c r="P451" t="s">
        <v>282</v>
      </c>
      <c r="Q451" t="s">
        <v>371</v>
      </c>
      <c r="R451" s="17" t="s">
        <v>371</v>
      </c>
      <c r="S451" s="17">
        <v>0</v>
      </c>
      <c r="T451" s="17">
        <v>1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1</v>
      </c>
      <c r="AB451" s="17">
        <v>0</v>
      </c>
      <c r="AC451" s="17" t="s">
        <v>704</v>
      </c>
      <c r="AD451" s="16" t="s">
        <v>340</v>
      </c>
      <c r="AE451" s="16" t="s">
        <v>340</v>
      </c>
      <c r="AF451" s="15" t="s">
        <v>340</v>
      </c>
      <c r="AG451" s="15" t="s">
        <v>348</v>
      </c>
      <c r="AH451" s="17" t="s">
        <v>371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 t="s">
        <v>704</v>
      </c>
      <c r="AR451" t="s">
        <v>349</v>
      </c>
      <c r="AS451" t="s">
        <v>349</v>
      </c>
      <c r="AT451">
        <v>1</v>
      </c>
      <c r="AU451">
        <v>0</v>
      </c>
      <c r="AV451">
        <v>0</v>
      </c>
      <c r="AW451" t="s">
        <v>704</v>
      </c>
      <c r="AX451" t="s">
        <v>1321</v>
      </c>
      <c r="AY451" t="s">
        <v>293</v>
      </c>
      <c r="AZ451" t="s">
        <v>354</v>
      </c>
      <c r="BA451" t="s">
        <v>354</v>
      </c>
      <c r="BB451" t="s">
        <v>340</v>
      </c>
      <c r="BC451" t="s">
        <v>293</v>
      </c>
      <c r="BD451" t="s">
        <v>292</v>
      </c>
      <c r="BE451" t="s">
        <v>293</v>
      </c>
      <c r="BF451" t="s">
        <v>292</v>
      </c>
      <c r="BG451" t="s">
        <v>293</v>
      </c>
      <c r="BH451" t="s">
        <v>302</v>
      </c>
      <c r="BI451" t="s">
        <v>358</v>
      </c>
      <c r="BJ451" t="s">
        <v>358</v>
      </c>
      <c r="BK451" t="s">
        <v>293</v>
      </c>
      <c r="BL451" t="s">
        <v>293</v>
      </c>
      <c r="BM451" t="s">
        <v>296</v>
      </c>
      <c r="BN451" t="s">
        <v>356</v>
      </c>
      <c r="BO451" t="s">
        <v>293</v>
      </c>
      <c r="BP451" t="s">
        <v>292</v>
      </c>
      <c r="BQ451" t="s">
        <v>293</v>
      </c>
      <c r="BR451" t="s">
        <v>293</v>
      </c>
      <c r="BS451" t="s">
        <v>364</v>
      </c>
      <c r="BT451" t="s">
        <v>304</v>
      </c>
      <c r="BU451" t="s">
        <v>371</v>
      </c>
      <c r="BV451" t="s">
        <v>371</v>
      </c>
      <c r="BW451" t="s">
        <v>2893</v>
      </c>
      <c r="BX451" t="str">
        <f>IF(J451="win",VLOOKUP(B451,ColorScheme!$A$2:$I$32,4,0),VLOOKUP(B451,ColorScheme!$A$2:$I$32,5,0))</f>
        <v>#3f9b0b50</v>
      </c>
    </row>
    <row r="452" spans="1:76" x14ac:dyDescent="0.3">
      <c r="A452" t="s">
        <v>9</v>
      </c>
      <c r="B452" t="s">
        <v>70</v>
      </c>
      <c r="C452" t="s">
        <v>14</v>
      </c>
      <c r="D452" t="s">
        <v>12</v>
      </c>
      <c r="E452" t="s">
        <v>1154</v>
      </c>
      <c r="F452" t="b">
        <v>1</v>
      </c>
      <c r="G452">
        <v>100</v>
      </c>
      <c r="H452">
        <v>1</v>
      </c>
      <c r="I452">
        <v>15052</v>
      </c>
      <c r="J452" s="61" t="s">
        <v>18</v>
      </c>
      <c r="K452" s="16" t="s">
        <v>272</v>
      </c>
      <c r="L452" s="16">
        <v>3</v>
      </c>
      <c r="M452" s="16" t="s">
        <v>277</v>
      </c>
      <c r="N452" s="16" t="s">
        <v>335</v>
      </c>
      <c r="O452" s="15" t="s">
        <v>282</v>
      </c>
      <c r="P452" t="s">
        <v>371</v>
      </c>
      <c r="Q452" t="s">
        <v>371</v>
      </c>
      <c r="R452" s="17" t="s">
        <v>371</v>
      </c>
      <c r="S452" s="17">
        <v>0</v>
      </c>
      <c r="T452" s="17">
        <v>1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 t="s">
        <v>704</v>
      </c>
      <c r="AD452" s="16" t="s">
        <v>341</v>
      </c>
      <c r="AE452" s="16" t="s">
        <v>340</v>
      </c>
      <c r="AF452" s="15" t="s">
        <v>343</v>
      </c>
      <c r="AG452" s="15" t="s">
        <v>291</v>
      </c>
      <c r="AH452" s="17" t="s">
        <v>371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 t="s">
        <v>704</v>
      </c>
      <c r="AR452" t="s">
        <v>349</v>
      </c>
      <c r="AS452" t="s">
        <v>349</v>
      </c>
      <c r="AT452">
        <v>1</v>
      </c>
      <c r="AU452">
        <v>0</v>
      </c>
      <c r="AV452">
        <v>0</v>
      </c>
      <c r="AW452" t="s">
        <v>704</v>
      </c>
      <c r="AX452" t="s">
        <v>1222</v>
      </c>
      <c r="AY452" t="s">
        <v>293</v>
      </c>
      <c r="AZ452" t="s">
        <v>353</v>
      </c>
      <c r="BA452" t="s">
        <v>296</v>
      </c>
      <c r="BB452" t="s">
        <v>301</v>
      </c>
      <c r="BC452" t="s">
        <v>293</v>
      </c>
      <c r="BD452" t="s">
        <v>292</v>
      </c>
      <c r="BE452" t="s">
        <v>293</v>
      </c>
      <c r="BF452" t="s">
        <v>292</v>
      </c>
      <c r="BG452" t="s">
        <v>293</v>
      </c>
      <c r="BH452" t="s">
        <v>302</v>
      </c>
      <c r="BI452" t="s">
        <v>302</v>
      </c>
      <c r="BJ452" t="s">
        <v>359</v>
      </c>
      <c r="BK452" t="s">
        <v>293</v>
      </c>
      <c r="BL452" t="s">
        <v>293</v>
      </c>
      <c r="BM452" t="s">
        <v>296</v>
      </c>
      <c r="BN452" t="s">
        <v>356</v>
      </c>
      <c r="BO452" t="s">
        <v>293</v>
      </c>
      <c r="BP452" t="s">
        <v>292</v>
      </c>
      <c r="BQ452" t="s">
        <v>293</v>
      </c>
      <c r="BR452" t="s">
        <v>293</v>
      </c>
      <c r="BS452" t="s">
        <v>364</v>
      </c>
      <c r="BT452" t="s">
        <v>304</v>
      </c>
      <c r="BU452" t="s">
        <v>371</v>
      </c>
      <c r="BV452" t="s">
        <v>371</v>
      </c>
      <c r="BW452" t="s">
        <v>2894</v>
      </c>
      <c r="BX452" t="str">
        <f>IF(J452="win",VLOOKUP(B452,ColorScheme!$A$2:$I$32,4,0),VLOOKUP(B452,ColorScheme!$A$2:$I$32,5,0))</f>
        <v>#580f4150</v>
      </c>
    </row>
    <row r="453" spans="1:76" x14ac:dyDescent="0.3">
      <c r="A453" t="s">
        <v>9</v>
      </c>
      <c r="B453" t="s">
        <v>70</v>
      </c>
      <c r="C453" t="s">
        <v>11</v>
      </c>
      <c r="D453" t="s">
        <v>12</v>
      </c>
      <c r="E453" t="s">
        <v>1155</v>
      </c>
      <c r="F453" t="b">
        <v>1</v>
      </c>
      <c r="G453">
        <v>100</v>
      </c>
      <c r="H453">
        <v>1</v>
      </c>
      <c r="I453">
        <v>15694</v>
      </c>
      <c r="J453" s="61" t="s">
        <v>18</v>
      </c>
      <c r="K453" s="16" t="s">
        <v>272</v>
      </c>
      <c r="L453" s="16">
        <v>3</v>
      </c>
      <c r="M453" s="16" t="s">
        <v>277</v>
      </c>
      <c r="N453" s="16" t="s">
        <v>335</v>
      </c>
      <c r="O453" s="15" t="s">
        <v>339</v>
      </c>
      <c r="P453" t="s">
        <v>285</v>
      </c>
      <c r="Q453" t="s">
        <v>282</v>
      </c>
      <c r="R453" s="17" t="s">
        <v>371</v>
      </c>
      <c r="S453" s="17">
        <v>0</v>
      </c>
      <c r="T453" s="17">
        <v>1</v>
      </c>
      <c r="U453" s="17">
        <v>0</v>
      </c>
      <c r="V453" s="17">
        <v>0</v>
      </c>
      <c r="W453" s="17">
        <v>0</v>
      </c>
      <c r="X453" s="17">
        <v>1</v>
      </c>
      <c r="Y453" s="17">
        <v>0</v>
      </c>
      <c r="Z453" s="17">
        <v>0</v>
      </c>
      <c r="AA453" s="17">
        <v>1</v>
      </c>
      <c r="AB453" s="17">
        <v>0</v>
      </c>
      <c r="AC453" s="17" t="s">
        <v>704</v>
      </c>
      <c r="AD453" s="16" t="s">
        <v>341</v>
      </c>
      <c r="AE453" s="16" t="s">
        <v>340</v>
      </c>
      <c r="AF453" s="15" t="s">
        <v>343</v>
      </c>
      <c r="AG453" s="15" t="s">
        <v>291</v>
      </c>
      <c r="AH453" s="17" t="s">
        <v>371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 t="s">
        <v>704</v>
      </c>
      <c r="AR453" t="s">
        <v>349</v>
      </c>
      <c r="AS453" t="s">
        <v>349</v>
      </c>
      <c r="AT453">
        <v>1</v>
      </c>
      <c r="AU453">
        <v>0</v>
      </c>
      <c r="AV453">
        <v>0</v>
      </c>
      <c r="AW453" t="s">
        <v>704</v>
      </c>
      <c r="AX453" t="s">
        <v>1322</v>
      </c>
      <c r="AY453" t="s">
        <v>293</v>
      </c>
      <c r="AZ453" t="s">
        <v>353</v>
      </c>
      <c r="BA453" t="s">
        <v>296</v>
      </c>
      <c r="BB453" t="s">
        <v>301</v>
      </c>
      <c r="BC453" t="s">
        <v>293</v>
      </c>
      <c r="BD453" t="s">
        <v>292</v>
      </c>
      <c r="BE453" t="s">
        <v>293</v>
      </c>
      <c r="BF453" t="s">
        <v>292</v>
      </c>
      <c r="BG453" t="s">
        <v>293</v>
      </c>
      <c r="BH453" t="s">
        <v>302</v>
      </c>
      <c r="BI453" t="s">
        <v>302</v>
      </c>
      <c r="BJ453" t="s">
        <v>302</v>
      </c>
      <c r="BK453" t="s">
        <v>293</v>
      </c>
      <c r="BL453" t="s">
        <v>293</v>
      </c>
      <c r="BM453" t="s">
        <v>296</v>
      </c>
      <c r="BN453" t="s">
        <v>356</v>
      </c>
      <c r="BO453" t="s">
        <v>293</v>
      </c>
      <c r="BP453" t="s">
        <v>292</v>
      </c>
      <c r="BQ453" t="s">
        <v>293</v>
      </c>
      <c r="BR453" t="s">
        <v>293</v>
      </c>
      <c r="BS453" t="s">
        <v>364</v>
      </c>
      <c r="BT453" t="s">
        <v>304</v>
      </c>
      <c r="BU453" t="s">
        <v>371</v>
      </c>
      <c r="BV453" t="s">
        <v>371</v>
      </c>
      <c r="BW453" t="s">
        <v>2895</v>
      </c>
      <c r="BX453" t="str">
        <f>IF(J453="win",VLOOKUP(B453,ColorScheme!$A$2:$I$32,4,0),VLOOKUP(B453,ColorScheme!$A$2:$I$32,5,0))</f>
        <v>#580f4150</v>
      </c>
    </row>
    <row r="454" spans="1:76" x14ac:dyDescent="0.3">
      <c r="A454" t="s">
        <v>9</v>
      </c>
      <c r="B454" t="s">
        <v>70</v>
      </c>
      <c r="C454" t="s">
        <v>15</v>
      </c>
      <c r="D454" t="s">
        <v>29</v>
      </c>
      <c r="E454" t="s">
        <v>1156</v>
      </c>
      <c r="F454" t="b">
        <v>1</v>
      </c>
      <c r="G454">
        <v>100</v>
      </c>
      <c r="H454">
        <v>1</v>
      </c>
      <c r="I454">
        <v>16073</v>
      </c>
      <c r="J454" s="61" t="s">
        <v>18</v>
      </c>
      <c r="K454" s="16" t="s">
        <v>272</v>
      </c>
      <c r="L454" s="16">
        <v>3</v>
      </c>
      <c r="M454" s="16" t="s">
        <v>277</v>
      </c>
      <c r="N454" s="16" t="s">
        <v>335</v>
      </c>
      <c r="O454" s="15" t="s">
        <v>339</v>
      </c>
      <c r="P454" t="s">
        <v>285</v>
      </c>
      <c r="Q454" t="s">
        <v>282</v>
      </c>
      <c r="R454" s="17" t="s">
        <v>371</v>
      </c>
      <c r="S454" s="17">
        <v>0</v>
      </c>
      <c r="T454" s="17">
        <v>1</v>
      </c>
      <c r="U454" s="17">
        <v>0</v>
      </c>
      <c r="V454" s="17">
        <v>0</v>
      </c>
      <c r="W454" s="17">
        <v>0</v>
      </c>
      <c r="X454" s="17">
        <v>1</v>
      </c>
      <c r="Y454" s="17">
        <v>0</v>
      </c>
      <c r="Z454" s="17">
        <v>0</v>
      </c>
      <c r="AA454" s="17">
        <v>1</v>
      </c>
      <c r="AB454" s="17">
        <v>0</v>
      </c>
      <c r="AC454" s="17" t="s">
        <v>704</v>
      </c>
      <c r="AD454" s="16" t="s">
        <v>341</v>
      </c>
      <c r="AE454" s="16" t="s">
        <v>340</v>
      </c>
      <c r="AF454" s="15" t="s">
        <v>343</v>
      </c>
      <c r="AG454" s="15" t="s">
        <v>291</v>
      </c>
      <c r="AH454" s="17" t="s">
        <v>371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 t="s">
        <v>704</v>
      </c>
      <c r="AR454" t="s">
        <v>349</v>
      </c>
      <c r="AS454" t="s">
        <v>349</v>
      </c>
      <c r="AT454">
        <v>1</v>
      </c>
      <c r="AU454">
        <v>0</v>
      </c>
      <c r="AV454">
        <v>0</v>
      </c>
      <c r="AW454" t="s">
        <v>704</v>
      </c>
      <c r="AX454" t="s">
        <v>1322</v>
      </c>
      <c r="AY454" t="s">
        <v>293</v>
      </c>
      <c r="AZ454" t="s">
        <v>352</v>
      </c>
      <c r="BA454" t="s">
        <v>297</v>
      </c>
      <c r="BB454" t="s">
        <v>301</v>
      </c>
      <c r="BC454" t="s">
        <v>293</v>
      </c>
      <c r="BD454" t="s">
        <v>292</v>
      </c>
      <c r="BE454" t="s">
        <v>292</v>
      </c>
      <c r="BF454" t="s">
        <v>292</v>
      </c>
      <c r="BG454" t="s">
        <v>293</v>
      </c>
      <c r="BH454" t="s">
        <v>302</v>
      </c>
      <c r="BI454" t="s">
        <v>302</v>
      </c>
      <c r="BJ454" t="s">
        <v>302</v>
      </c>
      <c r="BK454" t="s">
        <v>293</v>
      </c>
      <c r="BL454" t="s">
        <v>293</v>
      </c>
      <c r="BM454" t="s">
        <v>297</v>
      </c>
      <c r="BN454" t="s">
        <v>356</v>
      </c>
      <c r="BO454" t="s">
        <v>293</v>
      </c>
      <c r="BP454" t="s">
        <v>292</v>
      </c>
      <c r="BQ454" t="s">
        <v>293</v>
      </c>
      <c r="BR454" t="s">
        <v>293</v>
      </c>
      <c r="BS454" t="s">
        <v>364</v>
      </c>
      <c r="BT454" t="s">
        <v>304</v>
      </c>
      <c r="BU454" t="s">
        <v>371</v>
      </c>
      <c r="BV454" t="s">
        <v>371</v>
      </c>
      <c r="BW454" t="s">
        <v>2896</v>
      </c>
      <c r="BX454" t="str">
        <f>IF(J454="win",VLOOKUP(B454,ColorScheme!$A$2:$I$32,4,0),VLOOKUP(B454,ColorScheme!$A$2:$I$32,5,0))</f>
        <v>#580f4150</v>
      </c>
    </row>
    <row r="455" spans="1:76" x14ac:dyDescent="0.3">
      <c r="A455" t="s">
        <v>9</v>
      </c>
      <c r="B455" t="s">
        <v>70</v>
      </c>
      <c r="C455" t="s">
        <v>21</v>
      </c>
      <c r="D455" t="s">
        <v>29</v>
      </c>
      <c r="E455" t="s">
        <v>1157</v>
      </c>
      <c r="F455" t="b">
        <v>1</v>
      </c>
      <c r="G455">
        <v>57.8</v>
      </c>
      <c r="H455">
        <v>0</v>
      </c>
      <c r="I455">
        <v>16647</v>
      </c>
      <c r="J455" s="61" t="s">
        <v>13</v>
      </c>
      <c r="K455" s="16" t="s">
        <v>272</v>
      </c>
      <c r="L455" s="16">
        <v>3</v>
      </c>
      <c r="M455" s="16" t="s">
        <v>277</v>
      </c>
      <c r="N455" s="16" t="s">
        <v>335</v>
      </c>
      <c r="O455" s="15" t="s">
        <v>282</v>
      </c>
      <c r="P455" t="s">
        <v>371</v>
      </c>
      <c r="Q455" t="s">
        <v>371</v>
      </c>
      <c r="R455" s="17" t="s">
        <v>371</v>
      </c>
      <c r="S455" s="17">
        <v>0</v>
      </c>
      <c r="T455" s="17">
        <v>1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 t="s">
        <v>704</v>
      </c>
      <c r="AD455" s="16" t="s">
        <v>341</v>
      </c>
      <c r="AE455" s="16" t="s">
        <v>342</v>
      </c>
      <c r="AF455" s="15" t="s">
        <v>343</v>
      </c>
      <c r="AG455" s="15" t="s">
        <v>344</v>
      </c>
      <c r="AH455" s="17" t="s">
        <v>347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 t="s">
        <v>704</v>
      </c>
      <c r="AR455" t="s">
        <v>349</v>
      </c>
      <c r="AS455" t="s">
        <v>349</v>
      </c>
      <c r="AT455">
        <v>1</v>
      </c>
      <c r="AU455">
        <v>0</v>
      </c>
      <c r="AV455">
        <v>0</v>
      </c>
      <c r="AW455" t="s">
        <v>704</v>
      </c>
      <c r="AX455" t="s">
        <v>1263</v>
      </c>
      <c r="AY455" t="s">
        <v>293</v>
      </c>
      <c r="AZ455" t="s">
        <v>353</v>
      </c>
      <c r="BA455" t="s">
        <v>297</v>
      </c>
      <c r="BB455" t="s">
        <v>301</v>
      </c>
      <c r="BC455" t="s">
        <v>293</v>
      </c>
      <c r="BD455" t="s">
        <v>292</v>
      </c>
      <c r="BE455" t="s">
        <v>292</v>
      </c>
      <c r="BF455" t="s">
        <v>293</v>
      </c>
      <c r="BG455" t="s">
        <v>293</v>
      </c>
      <c r="BH455" t="s">
        <v>302</v>
      </c>
      <c r="BI455" t="s">
        <v>302</v>
      </c>
      <c r="BJ455" t="s">
        <v>359</v>
      </c>
      <c r="BK455" t="s">
        <v>293</v>
      </c>
      <c r="BL455" t="s">
        <v>293</v>
      </c>
      <c r="BM455" t="s">
        <v>297</v>
      </c>
      <c r="BN455" t="s">
        <v>356</v>
      </c>
      <c r="BO455" t="s">
        <v>293</v>
      </c>
      <c r="BP455" t="s">
        <v>292</v>
      </c>
      <c r="BQ455" t="s">
        <v>293</v>
      </c>
      <c r="BR455" t="s">
        <v>293</v>
      </c>
      <c r="BS455" t="s">
        <v>364</v>
      </c>
      <c r="BT455" t="s">
        <v>366</v>
      </c>
      <c r="BU455" t="s">
        <v>371</v>
      </c>
      <c r="BV455" t="s">
        <v>371</v>
      </c>
      <c r="BW455" t="s">
        <v>2897</v>
      </c>
      <c r="BX455" t="str">
        <f>IF(J455="win",VLOOKUP(B455,ColorScheme!$A$2:$I$32,4,0),VLOOKUP(B455,ColorScheme!$A$2:$I$32,5,0))</f>
        <v>#580f41</v>
      </c>
    </row>
    <row r="456" spans="1:76" x14ac:dyDescent="0.3">
      <c r="A456" t="s">
        <v>9</v>
      </c>
      <c r="B456" t="s">
        <v>70</v>
      </c>
      <c r="C456" t="s">
        <v>19</v>
      </c>
      <c r="D456" t="s">
        <v>29</v>
      </c>
      <c r="E456" t="s">
        <v>1158</v>
      </c>
      <c r="F456" t="b">
        <v>1</v>
      </c>
      <c r="G456">
        <v>85.9</v>
      </c>
      <c r="H456">
        <v>0</v>
      </c>
      <c r="I456">
        <v>13494</v>
      </c>
      <c r="J456" s="61" t="s">
        <v>13</v>
      </c>
      <c r="K456" s="16" t="s">
        <v>272</v>
      </c>
      <c r="L456" s="16">
        <v>2</v>
      </c>
      <c r="M456" s="16" t="s">
        <v>277</v>
      </c>
      <c r="N456" s="16" t="s">
        <v>335</v>
      </c>
      <c r="O456" s="15" t="s">
        <v>282</v>
      </c>
      <c r="P456" t="s">
        <v>371</v>
      </c>
      <c r="Q456" t="s">
        <v>371</v>
      </c>
      <c r="R456" s="17" t="s">
        <v>371</v>
      </c>
      <c r="S456" s="17">
        <v>0</v>
      </c>
      <c r="T456" s="17">
        <v>1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 t="s">
        <v>704</v>
      </c>
      <c r="AD456" s="16" t="s">
        <v>341</v>
      </c>
      <c r="AE456" s="16" t="s">
        <v>340</v>
      </c>
      <c r="AF456" s="15" t="s">
        <v>340</v>
      </c>
      <c r="AG456" s="15" t="s">
        <v>344</v>
      </c>
      <c r="AH456" s="17" t="s">
        <v>371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 t="s">
        <v>704</v>
      </c>
      <c r="AR456" t="s">
        <v>349</v>
      </c>
      <c r="AS456" t="s">
        <v>349</v>
      </c>
      <c r="AT456">
        <v>1</v>
      </c>
      <c r="AU456">
        <v>0</v>
      </c>
      <c r="AV456">
        <v>0</v>
      </c>
      <c r="AW456" t="s">
        <v>704</v>
      </c>
      <c r="AX456" t="s">
        <v>1208</v>
      </c>
      <c r="AY456" t="s">
        <v>293</v>
      </c>
      <c r="AZ456" t="s">
        <v>354</v>
      </c>
      <c r="BA456" t="s">
        <v>354</v>
      </c>
      <c r="BB456" t="s">
        <v>301</v>
      </c>
      <c r="BC456" t="s">
        <v>293</v>
      </c>
      <c r="BD456" t="s">
        <v>292</v>
      </c>
      <c r="BE456" t="s">
        <v>292</v>
      </c>
      <c r="BF456" t="s">
        <v>292</v>
      </c>
      <c r="BG456" t="s">
        <v>293</v>
      </c>
      <c r="BH456" t="s">
        <v>302</v>
      </c>
      <c r="BI456" t="s">
        <v>302</v>
      </c>
      <c r="BJ456" t="s">
        <v>357</v>
      </c>
      <c r="BK456" t="s">
        <v>293</v>
      </c>
      <c r="BL456" t="s">
        <v>293</v>
      </c>
      <c r="BM456" t="s">
        <v>297</v>
      </c>
      <c r="BN456" t="s">
        <v>356</v>
      </c>
      <c r="BO456" t="s">
        <v>293</v>
      </c>
      <c r="BP456" t="s">
        <v>292</v>
      </c>
      <c r="BQ456" t="s">
        <v>293</v>
      </c>
      <c r="BR456" t="s">
        <v>293</v>
      </c>
      <c r="BS456" t="s">
        <v>364</v>
      </c>
      <c r="BT456" t="s">
        <v>366</v>
      </c>
      <c r="BU456" t="s">
        <v>371</v>
      </c>
      <c r="BV456" t="s">
        <v>371</v>
      </c>
      <c r="BW456" t="s">
        <v>2898</v>
      </c>
      <c r="BX456" t="str">
        <f>IF(J456="win",VLOOKUP(B456,ColorScheme!$A$2:$I$32,4,0),VLOOKUP(B456,ColorScheme!$A$2:$I$32,5,0))</f>
        <v>#580f41</v>
      </c>
    </row>
    <row r="457" spans="1:76" x14ac:dyDescent="0.3">
      <c r="A457" t="s">
        <v>9</v>
      </c>
      <c r="B457" t="s">
        <v>70</v>
      </c>
      <c r="C457" t="s">
        <v>17</v>
      </c>
      <c r="D457" t="s">
        <v>29</v>
      </c>
      <c r="E457" t="s">
        <v>1159</v>
      </c>
      <c r="F457" t="b">
        <v>1</v>
      </c>
      <c r="G457">
        <v>85.9</v>
      </c>
      <c r="H457">
        <v>0</v>
      </c>
      <c r="I457">
        <v>16799</v>
      </c>
      <c r="J457" s="61" t="s">
        <v>13</v>
      </c>
      <c r="K457" s="16" t="s">
        <v>272</v>
      </c>
      <c r="L457" s="16">
        <v>3</v>
      </c>
      <c r="M457" s="16" t="s">
        <v>277</v>
      </c>
      <c r="N457" s="16" t="s">
        <v>335</v>
      </c>
      <c r="O457" s="15" t="s">
        <v>282</v>
      </c>
      <c r="P457" t="s">
        <v>371</v>
      </c>
      <c r="Q457" t="s">
        <v>371</v>
      </c>
      <c r="R457" s="17" t="s">
        <v>371</v>
      </c>
      <c r="S457" s="17">
        <v>0</v>
      </c>
      <c r="T457" s="17">
        <v>1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 t="s">
        <v>704</v>
      </c>
      <c r="AD457" s="16" t="s">
        <v>341</v>
      </c>
      <c r="AE457" s="16" t="s">
        <v>340</v>
      </c>
      <c r="AF457" s="15" t="s">
        <v>340</v>
      </c>
      <c r="AG457" s="15" t="s">
        <v>344</v>
      </c>
      <c r="AH457" s="17" t="s">
        <v>371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 t="s">
        <v>704</v>
      </c>
      <c r="AR457" t="s">
        <v>349</v>
      </c>
      <c r="AS457" t="s">
        <v>349</v>
      </c>
      <c r="AT457">
        <v>1</v>
      </c>
      <c r="AU457">
        <v>0</v>
      </c>
      <c r="AV457">
        <v>0</v>
      </c>
      <c r="AW457" t="s">
        <v>704</v>
      </c>
      <c r="AX457" t="s">
        <v>1208</v>
      </c>
      <c r="AY457" t="s">
        <v>293</v>
      </c>
      <c r="AZ457" t="s">
        <v>354</v>
      </c>
      <c r="BA457" t="s">
        <v>354</v>
      </c>
      <c r="BB457" t="s">
        <v>301</v>
      </c>
      <c r="BC457" t="s">
        <v>293</v>
      </c>
      <c r="BD457" t="s">
        <v>292</v>
      </c>
      <c r="BE457" t="s">
        <v>292</v>
      </c>
      <c r="BF457" t="s">
        <v>292</v>
      </c>
      <c r="BG457" t="s">
        <v>293</v>
      </c>
      <c r="BH457" t="s">
        <v>302</v>
      </c>
      <c r="BI457" t="s">
        <v>302</v>
      </c>
      <c r="BJ457" t="s">
        <v>357</v>
      </c>
      <c r="BK457" t="s">
        <v>293</v>
      </c>
      <c r="BL457" t="s">
        <v>293</v>
      </c>
      <c r="BM457" t="s">
        <v>297</v>
      </c>
      <c r="BN457" t="s">
        <v>356</v>
      </c>
      <c r="BO457" t="s">
        <v>293</v>
      </c>
      <c r="BP457" t="s">
        <v>292</v>
      </c>
      <c r="BQ457" t="s">
        <v>293</v>
      </c>
      <c r="BR457" t="s">
        <v>293</v>
      </c>
      <c r="BS457" t="s">
        <v>364</v>
      </c>
      <c r="BT457" t="s">
        <v>366</v>
      </c>
      <c r="BU457" t="s">
        <v>371</v>
      </c>
      <c r="BV457" t="s">
        <v>371</v>
      </c>
      <c r="BW457" t="s">
        <v>2899</v>
      </c>
      <c r="BX457" t="str">
        <f>IF(J457="win",VLOOKUP(B457,ColorScheme!$A$2:$I$32,4,0),VLOOKUP(B457,ColorScheme!$A$2:$I$32,5,0))</f>
        <v>#580f41</v>
      </c>
    </row>
    <row r="458" spans="1:76" x14ac:dyDescent="0.3">
      <c r="A458" t="s">
        <v>9</v>
      </c>
      <c r="B458" t="s">
        <v>70</v>
      </c>
      <c r="C458" t="s">
        <v>16</v>
      </c>
      <c r="D458" t="s">
        <v>29</v>
      </c>
      <c r="E458" t="s">
        <v>1160</v>
      </c>
      <c r="F458" t="b">
        <v>1</v>
      </c>
      <c r="G458">
        <v>86.2</v>
      </c>
      <c r="H458">
        <v>0</v>
      </c>
      <c r="I458">
        <v>20585</v>
      </c>
      <c r="J458" s="61" t="s">
        <v>13</v>
      </c>
      <c r="K458" s="16" t="s">
        <v>272</v>
      </c>
      <c r="L458" s="16">
        <v>3</v>
      </c>
      <c r="M458" s="16" t="s">
        <v>277</v>
      </c>
      <c r="N458" s="16" t="s">
        <v>335</v>
      </c>
      <c r="O458" s="15" t="s">
        <v>282</v>
      </c>
      <c r="P458" t="s">
        <v>371</v>
      </c>
      <c r="Q458" t="s">
        <v>371</v>
      </c>
      <c r="R458" s="17" t="s">
        <v>371</v>
      </c>
      <c r="S458" s="17">
        <v>0</v>
      </c>
      <c r="T458" s="17">
        <v>1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 t="s">
        <v>704</v>
      </c>
      <c r="AD458" s="16" t="s">
        <v>341</v>
      </c>
      <c r="AE458" s="16" t="s">
        <v>340</v>
      </c>
      <c r="AF458" s="15" t="s">
        <v>340</v>
      </c>
      <c r="AG458" s="15" t="s">
        <v>344</v>
      </c>
      <c r="AH458" s="17" t="s">
        <v>371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 t="s">
        <v>704</v>
      </c>
      <c r="AR458" t="s">
        <v>349</v>
      </c>
      <c r="AS458" t="s">
        <v>349</v>
      </c>
      <c r="AT458">
        <v>1</v>
      </c>
      <c r="AU458">
        <v>0</v>
      </c>
      <c r="AV458">
        <v>0</v>
      </c>
      <c r="AW458" t="s">
        <v>704</v>
      </c>
      <c r="AX458" t="s">
        <v>1208</v>
      </c>
      <c r="AY458" t="s">
        <v>293</v>
      </c>
      <c r="AZ458" t="s">
        <v>354</v>
      </c>
      <c r="BA458" t="s">
        <v>354</v>
      </c>
      <c r="BB458" t="s">
        <v>301</v>
      </c>
      <c r="BC458" t="s">
        <v>293</v>
      </c>
      <c r="BD458" t="s">
        <v>292</v>
      </c>
      <c r="BE458" t="s">
        <v>292</v>
      </c>
      <c r="BF458" t="s">
        <v>292</v>
      </c>
      <c r="BG458" t="s">
        <v>293</v>
      </c>
      <c r="BH458" t="s">
        <v>302</v>
      </c>
      <c r="BI458" t="s">
        <v>302</v>
      </c>
      <c r="BJ458" t="s">
        <v>357</v>
      </c>
      <c r="BK458" t="s">
        <v>293</v>
      </c>
      <c r="BL458" t="s">
        <v>293</v>
      </c>
      <c r="BM458" t="s">
        <v>296</v>
      </c>
      <c r="BN458" t="s">
        <v>356</v>
      </c>
      <c r="BO458" t="s">
        <v>293</v>
      </c>
      <c r="BP458" t="s">
        <v>292</v>
      </c>
      <c r="BQ458" t="s">
        <v>293</v>
      </c>
      <c r="BR458" t="s">
        <v>293</v>
      </c>
      <c r="BS458" t="s">
        <v>364</v>
      </c>
      <c r="BT458" t="s">
        <v>366</v>
      </c>
      <c r="BU458" t="s">
        <v>371</v>
      </c>
      <c r="BV458" t="s">
        <v>371</v>
      </c>
      <c r="BW458" t="s">
        <v>2900</v>
      </c>
      <c r="BX458" t="str">
        <f>IF(J458="win",VLOOKUP(B458,ColorScheme!$A$2:$I$32,4,0),VLOOKUP(B458,ColorScheme!$A$2:$I$32,5,0))</f>
        <v>#580f41</v>
      </c>
    </row>
    <row r="459" spans="1:76" x14ac:dyDescent="0.3">
      <c r="A459" t="s">
        <v>9</v>
      </c>
      <c r="B459" t="s">
        <v>70</v>
      </c>
      <c r="C459" t="s">
        <v>20</v>
      </c>
      <c r="D459" t="s">
        <v>29</v>
      </c>
      <c r="E459" t="s">
        <v>1161</v>
      </c>
      <c r="F459" t="b">
        <v>1</v>
      </c>
      <c r="G459">
        <v>55</v>
      </c>
      <c r="H459">
        <v>0</v>
      </c>
      <c r="I459">
        <v>15131</v>
      </c>
      <c r="J459" s="61" t="s">
        <v>13</v>
      </c>
      <c r="K459" s="16" t="s">
        <v>272</v>
      </c>
      <c r="L459" s="16">
        <v>3</v>
      </c>
      <c r="M459" s="16" t="s">
        <v>277</v>
      </c>
      <c r="N459" s="16" t="s">
        <v>335</v>
      </c>
      <c r="O459" s="15" t="s">
        <v>282</v>
      </c>
      <c r="P459" t="s">
        <v>371</v>
      </c>
      <c r="Q459" t="s">
        <v>371</v>
      </c>
      <c r="R459" s="17" t="s">
        <v>371</v>
      </c>
      <c r="S459" s="17">
        <v>0</v>
      </c>
      <c r="T459" s="17">
        <v>1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 t="s">
        <v>704</v>
      </c>
      <c r="AD459" s="16" t="s">
        <v>341</v>
      </c>
      <c r="AE459" s="16" t="s">
        <v>342</v>
      </c>
      <c r="AF459" s="15" t="s">
        <v>343</v>
      </c>
      <c r="AG459" s="15" t="s">
        <v>344</v>
      </c>
      <c r="AH459" s="17" t="s">
        <v>291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 t="s">
        <v>704</v>
      </c>
      <c r="AR459" t="s">
        <v>349</v>
      </c>
      <c r="AS459" t="s">
        <v>349</v>
      </c>
      <c r="AT459">
        <v>1</v>
      </c>
      <c r="AU459">
        <v>0</v>
      </c>
      <c r="AV459">
        <v>0</v>
      </c>
      <c r="AW459" t="s">
        <v>704</v>
      </c>
      <c r="AX459" t="s">
        <v>1213</v>
      </c>
      <c r="AY459" t="s">
        <v>293</v>
      </c>
      <c r="AZ459" t="s">
        <v>353</v>
      </c>
      <c r="BA459" t="s">
        <v>297</v>
      </c>
      <c r="BB459" t="s">
        <v>301</v>
      </c>
      <c r="BC459" t="s">
        <v>293</v>
      </c>
      <c r="BD459" t="s">
        <v>292</v>
      </c>
      <c r="BE459" t="s">
        <v>292</v>
      </c>
      <c r="BF459" t="s">
        <v>293</v>
      </c>
      <c r="BG459" t="s">
        <v>293</v>
      </c>
      <c r="BH459" t="s">
        <v>302</v>
      </c>
      <c r="BI459" t="s">
        <v>302</v>
      </c>
      <c r="BJ459" t="s">
        <v>359</v>
      </c>
      <c r="BK459" t="s">
        <v>293</v>
      </c>
      <c r="BL459" t="s">
        <v>293</v>
      </c>
      <c r="BM459" t="s">
        <v>297</v>
      </c>
      <c r="BN459" t="s">
        <v>356</v>
      </c>
      <c r="BO459" t="s">
        <v>293</v>
      </c>
      <c r="BP459" t="s">
        <v>292</v>
      </c>
      <c r="BQ459" t="s">
        <v>293</v>
      </c>
      <c r="BR459" t="s">
        <v>293</v>
      </c>
      <c r="BS459" t="s">
        <v>364</v>
      </c>
      <c r="BT459" t="s">
        <v>366</v>
      </c>
      <c r="BU459" t="s">
        <v>371</v>
      </c>
      <c r="BV459" t="s">
        <v>371</v>
      </c>
      <c r="BW459" t="s">
        <v>2901</v>
      </c>
      <c r="BX459" t="str">
        <f>IF(J459="win",VLOOKUP(B459,ColorScheme!$A$2:$I$32,4,0),VLOOKUP(B459,ColorScheme!$A$2:$I$32,5,0))</f>
        <v>#580f41</v>
      </c>
    </row>
    <row r="460" spans="1:76" x14ac:dyDescent="0.3">
      <c r="A460" t="s">
        <v>9</v>
      </c>
      <c r="B460" t="s">
        <v>70</v>
      </c>
      <c r="C460" t="s">
        <v>22</v>
      </c>
      <c r="D460" t="s">
        <v>29</v>
      </c>
      <c r="E460" t="s">
        <v>1162</v>
      </c>
      <c r="F460" t="b">
        <v>1</v>
      </c>
      <c r="G460">
        <v>34.1</v>
      </c>
      <c r="H460">
        <v>0</v>
      </c>
      <c r="I460">
        <v>18024</v>
      </c>
      <c r="J460" s="61" t="s">
        <v>13</v>
      </c>
      <c r="K460" s="16" t="s">
        <v>272</v>
      </c>
      <c r="L460" s="16">
        <v>3</v>
      </c>
      <c r="M460" s="16" t="s">
        <v>277</v>
      </c>
      <c r="N460" s="16" t="s">
        <v>335</v>
      </c>
      <c r="O460" s="15" t="s">
        <v>282</v>
      </c>
      <c r="P460" t="s">
        <v>371</v>
      </c>
      <c r="Q460" t="s">
        <v>371</v>
      </c>
      <c r="R460" s="17" t="s">
        <v>371</v>
      </c>
      <c r="S460" s="17">
        <v>0</v>
      </c>
      <c r="T460" s="17">
        <v>1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 t="s">
        <v>704</v>
      </c>
      <c r="AD460" s="16" t="s">
        <v>341</v>
      </c>
      <c r="AE460" s="16" t="s">
        <v>340</v>
      </c>
      <c r="AF460" s="15" t="s">
        <v>343</v>
      </c>
      <c r="AG460" s="15" t="s">
        <v>344</v>
      </c>
      <c r="AH460" s="17" t="s">
        <v>371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 t="s">
        <v>704</v>
      </c>
      <c r="AR460" t="s">
        <v>349</v>
      </c>
      <c r="AS460" t="s">
        <v>349</v>
      </c>
      <c r="AT460">
        <v>1</v>
      </c>
      <c r="AU460">
        <v>0</v>
      </c>
      <c r="AV460">
        <v>0</v>
      </c>
      <c r="AW460" t="s">
        <v>704</v>
      </c>
      <c r="AX460" t="s">
        <v>1208</v>
      </c>
      <c r="AY460" t="s">
        <v>293</v>
      </c>
      <c r="AZ460" t="s">
        <v>353</v>
      </c>
      <c r="BA460" t="s">
        <v>296</v>
      </c>
      <c r="BB460" t="s">
        <v>301</v>
      </c>
      <c r="BC460" t="s">
        <v>293</v>
      </c>
      <c r="BD460" t="s">
        <v>292</v>
      </c>
      <c r="BE460" t="s">
        <v>292</v>
      </c>
      <c r="BF460" t="s">
        <v>292</v>
      </c>
      <c r="BG460" t="s">
        <v>293</v>
      </c>
      <c r="BH460" t="s">
        <v>302</v>
      </c>
      <c r="BI460" t="s">
        <v>302</v>
      </c>
      <c r="BJ460" t="s">
        <v>359</v>
      </c>
      <c r="BK460" t="s">
        <v>293</v>
      </c>
      <c r="BL460" t="s">
        <v>293</v>
      </c>
      <c r="BM460" t="s">
        <v>297</v>
      </c>
      <c r="BN460" t="s">
        <v>356</v>
      </c>
      <c r="BO460" t="s">
        <v>293</v>
      </c>
      <c r="BP460" t="s">
        <v>292</v>
      </c>
      <c r="BQ460" t="s">
        <v>293</v>
      </c>
      <c r="BR460" t="s">
        <v>293</v>
      </c>
      <c r="BS460" t="s">
        <v>364</v>
      </c>
      <c r="BT460" t="s">
        <v>366</v>
      </c>
      <c r="BU460" t="s">
        <v>371</v>
      </c>
      <c r="BV460" t="s">
        <v>371</v>
      </c>
      <c r="BW460" t="s">
        <v>2902</v>
      </c>
      <c r="BX460" t="str">
        <f>IF(J460="win",VLOOKUP(B460,ColorScheme!$A$2:$I$32,4,0),VLOOKUP(B460,ColorScheme!$A$2:$I$32,5,0))</f>
        <v>#580f41</v>
      </c>
    </row>
    <row r="461" spans="1:76" x14ac:dyDescent="0.3">
      <c r="A461" t="s">
        <v>381</v>
      </c>
      <c r="B461" t="s">
        <v>1344</v>
      </c>
      <c r="C461" t="s">
        <v>678</v>
      </c>
      <c r="D461" t="s">
        <v>1345</v>
      </c>
      <c r="E461" t="s">
        <v>678</v>
      </c>
      <c r="F461" t="b">
        <v>1</v>
      </c>
      <c r="G461">
        <v>58.5</v>
      </c>
      <c r="H461">
        <v>0</v>
      </c>
      <c r="I461">
        <v>11152</v>
      </c>
      <c r="J461" s="61" t="s">
        <v>13</v>
      </c>
      <c r="K461" t="s">
        <v>272</v>
      </c>
      <c r="L461">
        <v>3</v>
      </c>
      <c r="M461" t="s">
        <v>277</v>
      </c>
      <c r="N461" t="s">
        <v>335</v>
      </c>
      <c r="O461" t="s">
        <v>282</v>
      </c>
      <c r="P461" t="s">
        <v>281</v>
      </c>
      <c r="Q461" t="s">
        <v>371</v>
      </c>
      <c r="R461" t="s">
        <v>371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704</v>
      </c>
      <c r="AD461" t="s">
        <v>341</v>
      </c>
      <c r="AE461" t="s">
        <v>340</v>
      </c>
      <c r="AF461" t="s">
        <v>343</v>
      </c>
      <c r="AG461" t="s">
        <v>345</v>
      </c>
      <c r="AH461" s="17" t="s">
        <v>371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 t="s">
        <v>704</v>
      </c>
      <c r="AR461" t="s">
        <v>349</v>
      </c>
      <c r="AS461" t="s">
        <v>349</v>
      </c>
      <c r="AT461">
        <v>1</v>
      </c>
      <c r="AU461">
        <v>0</v>
      </c>
      <c r="AV461">
        <v>0</v>
      </c>
      <c r="AW461" t="s">
        <v>704</v>
      </c>
      <c r="AX461" t="s">
        <v>1218</v>
      </c>
      <c r="AY461" t="s">
        <v>293</v>
      </c>
      <c r="AZ461" t="s">
        <v>685</v>
      </c>
      <c r="BA461" t="s">
        <v>297</v>
      </c>
      <c r="BB461" t="s">
        <v>301</v>
      </c>
      <c r="BC461" t="s">
        <v>292</v>
      </c>
      <c r="BD461" t="s">
        <v>293</v>
      </c>
      <c r="BE461" t="s">
        <v>292</v>
      </c>
      <c r="BF461" t="s">
        <v>293</v>
      </c>
      <c r="BG461" t="s">
        <v>293</v>
      </c>
      <c r="BH461" t="s">
        <v>302</v>
      </c>
      <c r="BI461" t="s">
        <v>302</v>
      </c>
      <c r="BJ461" t="s">
        <v>359</v>
      </c>
      <c r="BK461" t="s">
        <v>293</v>
      </c>
      <c r="BL461" t="s">
        <v>293</v>
      </c>
      <c r="BM461" t="s">
        <v>297</v>
      </c>
      <c r="BN461" t="s">
        <v>298</v>
      </c>
      <c r="BO461" t="s">
        <v>293</v>
      </c>
      <c r="BP461" t="s">
        <v>292</v>
      </c>
      <c r="BQ461" t="s">
        <v>293</v>
      </c>
      <c r="BR461" t="s">
        <v>293</v>
      </c>
      <c r="BS461" t="s">
        <v>364</v>
      </c>
      <c r="BT461" t="s">
        <v>366</v>
      </c>
      <c r="BU461" t="s">
        <v>371</v>
      </c>
      <c r="BV461" t="s">
        <v>679</v>
      </c>
      <c r="BW461" t="str">
        <f t="shared" ref="BW461:BW513" si="0">VLOOKUP(E461,scrnsht,2,0)</f>
        <v>https://dfp529wcvahka.cloudfront.net/ws/GalleryEntry/0QJQe/video_preview/qc2LnL7U.png</v>
      </c>
      <c r="BX461" t="str">
        <f>IF(J461="win",VLOOKUP(B461,ColorScheme!$A$2:$I$32,4,0),VLOOKUP(B461,ColorScheme!$A$2:$I$32,5,0))</f>
        <v>#000000</v>
      </c>
    </row>
    <row r="462" spans="1:76" x14ac:dyDescent="0.3">
      <c r="A462" t="s">
        <v>381</v>
      </c>
      <c r="B462" t="s">
        <v>1344</v>
      </c>
      <c r="C462" t="s">
        <v>561</v>
      </c>
      <c r="D462" t="s">
        <v>1345</v>
      </c>
      <c r="E462" t="s">
        <v>561</v>
      </c>
      <c r="F462" t="b">
        <v>1</v>
      </c>
      <c r="G462">
        <v>56</v>
      </c>
      <c r="H462">
        <v>0</v>
      </c>
      <c r="I462">
        <v>12663</v>
      </c>
      <c r="J462" s="61" t="s">
        <v>13</v>
      </c>
      <c r="K462" t="s">
        <v>272</v>
      </c>
      <c r="L462">
        <v>3</v>
      </c>
      <c r="M462" t="s">
        <v>277</v>
      </c>
      <c r="N462" t="s">
        <v>335</v>
      </c>
      <c r="O462" t="s">
        <v>281</v>
      </c>
      <c r="P462" t="s">
        <v>283</v>
      </c>
      <c r="Q462" t="s">
        <v>282</v>
      </c>
      <c r="R462" t="s">
        <v>371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704</v>
      </c>
      <c r="AD462" t="s">
        <v>341</v>
      </c>
      <c r="AE462" t="s">
        <v>340</v>
      </c>
      <c r="AF462" t="s">
        <v>343</v>
      </c>
      <c r="AG462" t="s">
        <v>345</v>
      </c>
      <c r="AH462" s="17" t="s">
        <v>344</v>
      </c>
      <c r="AI462">
        <v>1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 t="s">
        <v>704</v>
      </c>
      <c r="AR462" t="s">
        <v>349</v>
      </c>
      <c r="AS462" t="s">
        <v>349</v>
      </c>
      <c r="AT462">
        <v>1</v>
      </c>
      <c r="AU462">
        <v>0</v>
      </c>
      <c r="AV462">
        <v>0</v>
      </c>
      <c r="AW462" t="s">
        <v>704</v>
      </c>
      <c r="AX462" t="s">
        <v>1309</v>
      </c>
      <c r="AY462" t="s">
        <v>293</v>
      </c>
      <c r="AZ462" t="s">
        <v>353</v>
      </c>
      <c r="BA462" t="s">
        <v>296</v>
      </c>
      <c r="BB462" t="s">
        <v>301</v>
      </c>
      <c r="BC462" t="s">
        <v>292</v>
      </c>
      <c r="BD462" t="s">
        <v>293</v>
      </c>
      <c r="BE462" t="s">
        <v>292</v>
      </c>
      <c r="BF462" t="s">
        <v>292</v>
      </c>
      <c r="BG462" t="s">
        <v>293</v>
      </c>
      <c r="BH462" t="s">
        <v>302</v>
      </c>
      <c r="BI462" t="s">
        <v>302</v>
      </c>
      <c r="BJ462" t="s">
        <v>359</v>
      </c>
      <c r="BK462" t="s">
        <v>293</v>
      </c>
      <c r="BL462" t="s">
        <v>293</v>
      </c>
      <c r="BM462" t="s">
        <v>297</v>
      </c>
      <c r="BN462" t="s">
        <v>298</v>
      </c>
      <c r="BO462" t="s">
        <v>293</v>
      </c>
      <c r="BP462" t="s">
        <v>292</v>
      </c>
      <c r="BQ462" t="s">
        <v>293</v>
      </c>
      <c r="BR462" t="s">
        <v>293</v>
      </c>
      <c r="BS462" t="s">
        <v>364</v>
      </c>
      <c r="BT462" t="s">
        <v>366</v>
      </c>
      <c r="BU462" t="s">
        <v>371</v>
      </c>
      <c r="BV462" t="s">
        <v>562</v>
      </c>
      <c r="BW462" t="str">
        <f t="shared" si="0"/>
        <v>https://dfp529wcvahka.cloudfront.net/ws/GalleryEntry/0QpXj/video_preview/lFHG8RTi.png</v>
      </c>
      <c r="BX462" t="str">
        <f>IF(J462="win",VLOOKUP(B462,ColorScheme!$A$2:$I$32,4,0),VLOOKUP(B462,ColorScheme!$A$2:$I$32,5,0))</f>
        <v>#000000</v>
      </c>
    </row>
    <row r="463" spans="1:76" x14ac:dyDescent="0.3">
      <c r="A463" t="s">
        <v>381</v>
      </c>
      <c r="B463" t="s">
        <v>1344</v>
      </c>
      <c r="C463" t="s">
        <v>660</v>
      </c>
      <c r="D463" t="s">
        <v>1345</v>
      </c>
      <c r="E463" t="s">
        <v>660</v>
      </c>
      <c r="F463" t="b">
        <v>1</v>
      </c>
      <c r="G463">
        <v>91.6</v>
      </c>
      <c r="H463">
        <v>0</v>
      </c>
      <c r="I463">
        <v>11036</v>
      </c>
      <c r="J463" s="61" t="s">
        <v>13</v>
      </c>
      <c r="K463" t="s">
        <v>272</v>
      </c>
      <c r="L463">
        <v>3</v>
      </c>
      <c r="M463" t="s">
        <v>277</v>
      </c>
      <c r="N463" t="s">
        <v>335</v>
      </c>
      <c r="O463" t="s">
        <v>282</v>
      </c>
      <c r="P463" t="s">
        <v>371</v>
      </c>
      <c r="Q463" t="s">
        <v>371</v>
      </c>
      <c r="R463" t="s">
        <v>371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704</v>
      </c>
      <c r="AD463" t="s">
        <v>340</v>
      </c>
      <c r="AE463" t="s">
        <v>342</v>
      </c>
      <c r="AF463" t="s">
        <v>343</v>
      </c>
      <c r="AG463" t="s">
        <v>344</v>
      </c>
      <c r="AH463" s="17" t="s">
        <v>371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704</v>
      </c>
      <c r="AR463" t="s">
        <v>350</v>
      </c>
      <c r="AS463" t="s">
        <v>349</v>
      </c>
      <c r="AT463">
        <v>0</v>
      </c>
      <c r="AU463">
        <v>1</v>
      </c>
      <c r="AV463">
        <v>0</v>
      </c>
      <c r="AW463" t="s">
        <v>704</v>
      </c>
      <c r="AX463" t="s">
        <v>2918</v>
      </c>
      <c r="AY463" t="s">
        <v>293</v>
      </c>
      <c r="AZ463" t="s">
        <v>353</v>
      </c>
      <c r="BA463" t="s">
        <v>297</v>
      </c>
      <c r="BB463" t="s">
        <v>300</v>
      </c>
      <c r="BC463" t="s">
        <v>292</v>
      </c>
      <c r="BD463" t="s">
        <v>293</v>
      </c>
      <c r="BE463" t="s">
        <v>292</v>
      </c>
      <c r="BF463" t="s">
        <v>293</v>
      </c>
      <c r="BG463" t="s">
        <v>293</v>
      </c>
      <c r="BH463" t="s">
        <v>302</v>
      </c>
      <c r="BI463" t="s">
        <v>302</v>
      </c>
      <c r="BJ463" t="s">
        <v>359</v>
      </c>
      <c r="BK463" t="s">
        <v>293</v>
      </c>
      <c r="BL463" t="s">
        <v>293</v>
      </c>
      <c r="BM463" t="s">
        <v>297</v>
      </c>
      <c r="BN463" t="s">
        <v>298</v>
      </c>
      <c r="BO463" t="s">
        <v>293</v>
      </c>
      <c r="BP463" t="s">
        <v>292</v>
      </c>
      <c r="BQ463" t="s">
        <v>293</v>
      </c>
      <c r="BR463" t="s">
        <v>293</v>
      </c>
      <c r="BS463" t="s">
        <v>364</v>
      </c>
      <c r="BT463" t="s">
        <v>366</v>
      </c>
      <c r="BU463" t="s">
        <v>371</v>
      </c>
      <c r="BV463" t="s">
        <v>661</v>
      </c>
      <c r="BW463" t="str">
        <f t="shared" si="0"/>
        <v>https://dfp529wcvahka.cloudfront.net/ws/GalleryEntry/1ppo0/video_preview/wOSTMQFp.png</v>
      </c>
      <c r="BX463" t="str">
        <f>IF(J463="win",VLOOKUP(B463,ColorScheme!$A$2:$I$32,4,0),VLOOKUP(B463,ColorScheme!$A$2:$I$32,5,0))</f>
        <v>#000000</v>
      </c>
    </row>
    <row r="464" spans="1:76" x14ac:dyDescent="0.3">
      <c r="A464" t="s">
        <v>381</v>
      </c>
      <c r="B464" t="s">
        <v>1344</v>
      </c>
      <c r="C464" t="s">
        <v>444</v>
      </c>
      <c r="D464" t="s">
        <v>1345</v>
      </c>
      <c r="E464" t="s">
        <v>444</v>
      </c>
      <c r="F464" t="b">
        <v>1</v>
      </c>
      <c r="G464">
        <v>48.5</v>
      </c>
      <c r="H464">
        <v>0</v>
      </c>
      <c r="I464">
        <v>12524</v>
      </c>
      <c r="J464" s="61" t="s">
        <v>13</v>
      </c>
      <c r="K464" t="s">
        <v>272</v>
      </c>
      <c r="L464">
        <v>3</v>
      </c>
      <c r="M464" t="s">
        <v>277</v>
      </c>
      <c r="N464" t="s">
        <v>335</v>
      </c>
      <c r="O464" t="s">
        <v>282</v>
      </c>
      <c r="P464" t="s">
        <v>371</v>
      </c>
      <c r="Q464" t="s">
        <v>371</v>
      </c>
      <c r="R464" t="s">
        <v>371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704</v>
      </c>
      <c r="AD464" t="s">
        <v>341</v>
      </c>
      <c r="AE464" t="s">
        <v>340</v>
      </c>
      <c r="AF464" t="s">
        <v>343</v>
      </c>
      <c r="AG464" t="s">
        <v>344</v>
      </c>
      <c r="AH464" s="17" t="s">
        <v>371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 t="s">
        <v>704</v>
      </c>
      <c r="AR464" t="s">
        <v>349</v>
      </c>
      <c r="AS464" t="s">
        <v>349</v>
      </c>
      <c r="AT464">
        <v>1</v>
      </c>
      <c r="AU464">
        <v>0</v>
      </c>
      <c r="AV464">
        <v>0</v>
      </c>
      <c r="AW464" t="s">
        <v>704</v>
      </c>
      <c r="AX464" t="s">
        <v>1208</v>
      </c>
      <c r="AY464" t="s">
        <v>293</v>
      </c>
      <c r="AZ464" t="s">
        <v>353</v>
      </c>
      <c r="BA464" t="s">
        <v>355</v>
      </c>
      <c r="BB464" t="s">
        <v>300</v>
      </c>
      <c r="BC464" t="s">
        <v>292</v>
      </c>
      <c r="BD464" t="s">
        <v>293</v>
      </c>
      <c r="BE464" t="s">
        <v>292</v>
      </c>
      <c r="BF464" t="s">
        <v>292</v>
      </c>
      <c r="BG464" t="s">
        <v>293</v>
      </c>
      <c r="BH464" t="s">
        <v>302</v>
      </c>
      <c r="BI464" t="s">
        <v>302</v>
      </c>
      <c r="BJ464" t="s">
        <v>359</v>
      </c>
      <c r="BK464" t="s">
        <v>293</v>
      </c>
      <c r="BL464" t="s">
        <v>293</v>
      </c>
      <c r="BM464" t="s">
        <v>297</v>
      </c>
      <c r="BN464" t="s">
        <v>298</v>
      </c>
      <c r="BO464" t="s">
        <v>293</v>
      </c>
      <c r="BP464" t="s">
        <v>292</v>
      </c>
      <c r="BQ464" t="s">
        <v>293</v>
      </c>
      <c r="BR464" t="s">
        <v>293</v>
      </c>
      <c r="BS464" t="s">
        <v>364</v>
      </c>
      <c r="BT464" t="s">
        <v>366</v>
      </c>
      <c r="BU464" t="s">
        <v>371</v>
      </c>
      <c r="BV464" t="s">
        <v>445</v>
      </c>
      <c r="BW464" t="str">
        <f t="shared" si="0"/>
        <v>https://dfp529wcvahka.cloudfront.net/ws/GalleryEntry/1qe8G/video_preview/oHSfJSVH.png</v>
      </c>
      <c r="BX464" t="str">
        <f>IF(J464="win",VLOOKUP(B464,ColorScheme!$A$2:$I$32,4,0),VLOOKUP(B464,ColorScheme!$A$2:$I$32,5,0))</f>
        <v>#000000</v>
      </c>
    </row>
    <row r="465" spans="1:76" x14ac:dyDescent="0.3">
      <c r="A465" t="s">
        <v>381</v>
      </c>
      <c r="B465" t="s">
        <v>1344</v>
      </c>
      <c r="C465" t="s">
        <v>549</v>
      </c>
      <c r="D465" t="s">
        <v>1345</v>
      </c>
      <c r="E465" t="s">
        <v>549</v>
      </c>
      <c r="F465" t="b">
        <v>1</v>
      </c>
      <c r="G465">
        <v>88.7</v>
      </c>
      <c r="H465">
        <v>0</v>
      </c>
      <c r="I465">
        <v>9863</v>
      </c>
      <c r="J465" s="61" t="s">
        <v>13</v>
      </c>
      <c r="K465" t="s">
        <v>272</v>
      </c>
      <c r="L465">
        <v>3</v>
      </c>
      <c r="M465" t="s">
        <v>277</v>
      </c>
      <c r="N465" t="s">
        <v>335</v>
      </c>
      <c r="O465" t="s">
        <v>282</v>
      </c>
      <c r="P465" t="s">
        <v>371</v>
      </c>
      <c r="Q465" t="s">
        <v>371</v>
      </c>
      <c r="R465" t="s">
        <v>371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704</v>
      </c>
      <c r="AD465" t="s">
        <v>341</v>
      </c>
      <c r="AE465" t="s">
        <v>342</v>
      </c>
      <c r="AF465" t="s">
        <v>343</v>
      </c>
      <c r="AG465" t="s">
        <v>345</v>
      </c>
      <c r="AH465" s="17" t="s">
        <v>371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 t="s">
        <v>704</v>
      </c>
      <c r="AR465" t="s">
        <v>349</v>
      </c>
      <c r="AS465" t="s">
        <v>349</v>
      </c>
      <c r="AT465">
        <v>1</v>
      </c>
      <c r="AU465">
        <v>0</v>
      </c>
      <c r="AV465">
        <v>0</v>
      </c>
      <c r="AW465" t="s">
        <v>704</v>
      </c>
      <c r="AX465" t="s">
        <v>1232</v>
      </c>
      <c r="AY465" t="s">
        <v>293</v>
      </c>
      <c r="AZ465" t="s">
        <v>353</v>
      </c>
      <c r="BA465" t="s">
        <v>297</v>
      </c>
      <c r="BB465" t="s">
        <v>300</v>
      </c>
      <c r="BC465" t="s">
        <v>292</v>
      </c>
      <c r="BD465" t="s">
        <v>293</v>
      </c>
      <c r="BE465" t="s">
        <v>292</v>
      </c>
      <c r="BF465" t="s">
        <v>293</v>
      </c>
      <c r="BG465" t="s">
        <v>293</v>
      </c>
      <c r="BH465" t="s">
        <v>302</v>
      </c>
      <c r="BI465" t="s">
        <v>302</v>
      </c>
      <c r="BJ465" t="s">
        <v>359</v>
      </c>
      <c r="BK465" t="s">
        <v>293</v>
      </c>
      <c r="BL465" t="s">
        <v>293</v>
      </c>
      <c r="BM465" t="s">
        <v>297</v>
      </c>
      <c r="BN465" t="s">
        <v>298</v>
      </c>
      <c r="BO465" t="s">
        <v>293</v>
      </c>
      <c r="BP465" t="s">
        <v>292</v>
      </c>
      <c r="BQ465" t="s">
        <v>293</v>
      </c>
      <c r="BR465" t="s">
        <v>293</v>
      </c>
      <c r="BS465" t="s">
        <v>364</v>
      </c>
      <c r="BT465" t="s">
        <v>366</v>
      </c>
      <c r="BU465" t="s">
        <v>371</v>
      </c>
      <c r="BV465" t="s">
        <v>550</v>
      </c>
      <c r="BW465" t="str">
        <f t="shared" si="0"/>
        <v>https://dfp529wcvahka.cloudfront.net/ws/GalleryEntry/2qlDd/video_preview/prcBLOJb.png</v>
      </c>
      <c r="BX465" t="str">
        <f>IF(J465="win",VLOOKUP(B465,ColorScheme!$A$2:$I$32,4,0),VLOOKUP(B465,ColorScheme!$A$2:$I$32,5,0))</f>
        <v>#000000</v>
      </c>
    </row>
    <row r="466" spans="1:76" x14ac:dyDescent="0.3">
      <c r="A466" t="s">
        <v>381</v>
      </c>
      <c r="B466" t="s">
        <v>1344</v>
      </c>
      <c r="C466" t="s">
        <v>486</v>
      </c>
      <c r="D466" t="s">
        <v>1345</v>
      </c>
      <c r="E466" t="s">
        <v>486</v>
      </c>
      <c r="F466" t="b">
        <v>1</v>
      </c>
      <c r="G466">
        <v>84.9</v>
      </c>
      <c r="H466">
        <v>0</v>
      </c>
      <c r="I466">
        <v>8310</v>
      </c>
      <c r="J466" s="61" t="s">
        <v>13</v>
      </c>
      <c r="K466" t="s">
        <v>272</v>
      </c>
      <c r="L466">
        <v>3</v>
      </c>
      <c r="M466" t="s">
        <v>277</v>
      </c>
      <c r="N466" t="s">
        <v>335</v>
      </c>
      <c r="O466" t="s">
        <v>285</v>
      </c>
      <c r="P466" t="s">
        <v>282</v>
      </c>
      <c r="Q466" t="s">
        <v>371</v>
      </c>
      <c r="R466" t="s">
        <v>371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 t="s">
        <v>704</v>
      </c>
      <c r="AD466" t="s">
        <v>341</v>
      </c>
      <c r="AE466" t="s">
        <v>342</v>
      </c>
      <c r="AF466" t="s">
        <v>343</v>
      </c>
      <c r="AG466" t="s">
        <v>345</v>
      </c>
      <c r="AH466" s="17" t="s">
        <v>371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704</v>
      </c>
      <c r="AR466" t="s">
        <v>349</v>
      </c>
      <c r="AS466" t="s">
        <v>349</v>
      </c>
      <c r="AT466">
        <v>1</v>
      </c>
      <c r="AU466">
        <v>0</v>
      </c>
      <c r="AV466">
        <v>0</v>
      </c>
      <c r="AW466" t="s">
        <v>704</v>
      </c>
      <c r="AX466" t="s">
        <v>1323</v>
      </c>
      <c r="AY466" t="s">
        <v>293</v>
      </c>
      <c r="AZ466" t="s">
        <v>353</v>
      </c>
      <c r="BA466" t="s">
        <v>297</v>
      </c>
      <c r="BB466" t="s">
        <v>300</v>
      </c>
      <c r="BC466" t="s">
        <v>292</v>
      </c>
      <c r="BD466" t="s">
        <v>293</v>
      </c>
      <c r="BE466" t="s">
        <v>292</v>
      </c>
      <c r="BF466" t="s">
        <v>293</v>
      </c>
      <c r="BG466" t="s">
        <v>293</v>
      </c>
      <c r="BH466" t="s">
        <v>302</v>
      </c>
      <c r="BI466" t="s">
        <v>302</v>
      </c>
      <c r="BJ466" t="s">
        <v>359</v>
      </c>
      <c r="BK466" t="s">
        <v>293</v>
      </c>
      <c r="BL466" t="s">
        <v>293</v>
      </c>
      <c r="BM466" t="s">
        <v>297</v>
      </c>
      <c r="BN466" t="s">
        <v>298</v>
      </c>
      <c r="BO466" t="s">
        <v>293</v>
      </c>
      <c r="BP466" t="s">
        <v>292</v>
      </c>
      <c r="BQ466" t="s">
        <v>293</v>
      </c>
      <c r="BR466" t="s">
        <v>293</v>
      </c>
      <c r="BS466" t="s">
        <v>364</v>
      </c>
      <c r="BT466" t="s">
        <v>366</v>
      </c>
      <c r="BU466" t="s">
        <v>371</v>
      </c>
      <c r="BV466" t="s">
        <v>487</v>
      </c>
      <c r="BW466" t="str">
        <f t="shared" si="0"/>
        <v>https://dfp529wcvahka.cloudfront.net/ws/GalleryEntry/339l9/video_preview/DOVqA2co.png</v>
      </c>
      <c r="BX466" t="str">
        <f>IF(J466="win",VLOOKUP(B466,ColorScheme!$A$2:$I$32,4,0),VLOOKUP(B466,ColorScheme!$A$2:$I$32,5,0))</f>
        <v>#000000</v>
      </c>
    </row>
    <row r="467" spans="1:76" x14ac:dyDescent="0.3">
      <c r="A467" t="s">
        <v>381</v>
      </c>
      <c r="B467" t="s">
        <v>1344</v>
      </c>
      <c r="C467" t="s">
        <v>510</v>
      </c>
      <c r="D467" t="s">
        <v>1345</v>
      </c>
      <c r="E467" t="s">
        <v>510</v>
      </c>
      <c r="F467" t="b">
        <v>1</v>
      </c>
      <c r="G467">
        <v>100</v>
      </c>
      <c r="H467">
        <v>1</v>
      </c>
      <c r="I467">
        <v>15102</v>
      </c>
      <c r="J467" s="61" t="s">
        <v>18</v>
      </c>
      <c r="K467" t="s">
        <v>272</v>
      </c>
      <c r="L467">
        <v>2</v>
      </c>
      <c r="M467" t="s">
        <v>277</v>
      </c>
      <c r="N467" t="s">
        <v>335</v>
      </c>
      <c r="O467" t="s">
        <v>283</v>
      </c>
      <c r="P467" t="s">
        <v>284</v>
      </c>
      <c r="Q467" t="s">
        <v>371</v>
      </c>
      <c r="R467" t="s">
        <v>371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704</v>
      </c>
      <c r="AD467" t="s">
        <v>341</v>
      </c>
      <c r="AE467" t="s">
        <v>340</v>
      </c>
      <c r="AF467" t="s">
        <v>340</v>
      </c>
      <c r="AG467" t="s">
        <v>291</v>
      </c>
      <c r="AH467" s="17" t="s">
        <v>371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 t="s">
        <v>704</v>
      </c>
      <c r="AR467" t="s">
        <v>349</v>
      </c>
      <c r="AS467" t="s">
        <v>349</v>
      </c>
      <c r="AT467">
        <v>1</v>
      </c>
      <c r="AU467">
        <v>0</v>
      </c>
      <c r="AV467">
        <v>0</v>
      </c>
      <c r="AW467" t="s">
        <v>704</v>
      </c>
      <c r="AX467" t="s">
        <v>1324</v>
      </c>
      <c r="AY467" t="s">
        <v>293</v>
      </c>
      <c r="AZ467" t="s">
        <v>354</v>
      </c>
      <c r="BA467" t="s">
        <v>354</v>
      </c>
      <c r="BB467" t="s">
        <v>301</v>
      </c>
      <c r="BC467" t="s">
        <v>292</v>
      </c>
      <c r="BD467" t="s">
        <v>293</v>
      </c>
      <c r="BE467" t="s">
        <v>292</v>
      </c>
      <c r="BF467" t="s">
        <v>292</v>
      </c>
      <c r="BG467" t="s">
        <v>293</v>
      </c>
      <c r="BH467" t="s">
        <v>302</v>
      </c>
      <c r="BI467" t="s">
        <v>302</v>
      </c>
      <c r="BJ467" t="s">
        <v>357</v>
      </c>
      <c r="BK467" t="s">
        <v>293</v>
      </c>
      <c r="BL467" t="s">
        <v>293</v>
      </c>
      <c r="BM467" t="s">
        <v>296</v>
      </c>
      <c r="BN467" t="s">
        <v>298</v>
      </c>
      <c r="BO467" t="s">
        <v>293</v>
      </c>
      <c r="BP467" t="s">
        <v>292</v>
      </c>
      <c r="BQ467" t="s">
        <v>293</v>
      </c>
      <c r="BR467" t="s">
        <v>293</v>
      </c>
      <c r="BS467" t="s">
        <v>364</v>
      </c>
      <c r="BT467" t="s">
        <v>304</v>
      </c>
      <c r="BU467" t="s">
        <v>371</v>
      </c>
      <c r="BV467" t="s">
        <v>511</v>
      </c>
      <c r="BW467" t="str">
        <f t="shared" si="0"/>
        <v>https://dfp529wcvahka.cloudfront.net/ws/GalleryEntry/45Pq6/video_preview/KK8UsDUK.png</v>
      </c>
      <c r="BX467" t="str">
        <f>IF(J467="win",VLOOKUP(B467,ColorScheme!$A$2:$I$32,4,0),VLOOKUP(B467,ColorScheme!$A$2:$I$32,5,0))</f>
        <v>#00000050</v>
      </c>
    </row>
    <row r="468" spans="1:76" x14ac:dyDescent="0.3">
      <c r="A468" t="s">
        <v>381</v>
      </c>
      <c r="B468" t="s">
        <v>1344</v>
      </c>
      <c r="C468" t="s">
        <v>627</v>
      </c>
      <c r="D468" t="s">
        <v>1345</v>
      </c>
      <c r="E468" t="s">
        <v>627</v>
      </c>
      <c r="F468" t="b">
        <v>1</v>
      </c>
      <c r="G468">
        <v>60.4</v>
      </c>
      <c r="H468">
        <v>0</v>
      </c>
      <c r="I468">
        <v>23683</v>
      </c>
      <c r="J468" s="61" t="s">
        <v>13</v>
      </c>
      <c r="K468" t="s">
        <v>272</v>
      </c>
      <c r="L468">
        <v>2</v>
      </c>
      <c r="M468" t="s">
        <v>277</v>
      </c>
      <c r="N468" t="s">
        <v>335</v>
      </c>
      <c r="O468" t="s">
        <v>282</v>
      </c>
      <c r="P468" t="s">
        <v>371</v>
      </c>
      <c r="Q468" t="s">
        <v>371</v>
      </c>
      <c r="R468" t="s">
        <v>371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704</v>
      </c>
      <c r="AD468" t="s">
        <v>341</v>
      </c>
      <c r="AE468" t="s">
        <v>340</v>
      </c>
      <c r="AF468" t="s">
        <v>340</v>
      </c>
      <c r="AG468" t="s">
        <v>377</v>
      </c>
      <c r="AH468" s="17" t="s">
        <v>371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 t="s">
        <v>704</v>
      </c>
      <c r="AR468" t="s">
        <v>349</v>
      </c>
      <c r="AS468" t="s">
        <v>349</v>
      </c>
      <c r="AT468">
        <v>1</v>
      </c>
      <c r="AU468">
        <v>0</v>
      </c>
      <c r="AV468">
        <v>0</v>
      </c>
      <c r="AW468" t="s">
        <v>704</v>
      </c>
      <c r="AX468" t="s">
        <v>1269</v>
      </c>
      <c r="AY468" t="s">
        <v>293</v>
      </c>
      <c r="AZ468" t="s">
        <v>354</v>
      </c>
      <c r="BA468" t="s">
        <v>354</v>
      </c>
      <c r="BB468" t="s">
        <v>300</v>
      </c>
      <c r="BC468" t="s">
        <v>293</v>
      </c>
      <c r="BD468" t="s">
        <v>292</v>
      </c>
      <c r="BE468" t="s">
        <v>293</v>
      </c>
      <c r="BF468" t="s">
        <v>292</v>
      </c>
      <c r="BG468" t="s">
        <v>293</v>
      </c>
      <c r="BH468" t="s">
        <v>302</v>
      </c>
      <c r="BI468" t="s">
        <v>302</v>
      </c>
      <c r="BJ468" t="s">
        <v>357</v>
      </c>
      <c r="BK468" t="s">
        <v>293</v>
      </c>
      <c r="BL468" t="s">
        <v>293</v>
      </c>
      <c r="BM468" t="s">
        <v>296</v>
      </c>
      <c r="BN468" t="s">
        <v>356</v>
      </c>
      <c r="BO468" t="s">
        <v>293</v>
      </c>
      <c r="BP468" t="s">
        <v>292</v>
      </c>
      <c r="BQ468" t="s">
        <v>293</v>
      </c>
      <c r="BR468" t="s">
        <v>293</v>
      </c>
      <c r="BS468" t="s">
        <v>364</v>
      </c>
      <c r="BT468" t="s">
        <v>366</v>
      </c>
      <c r="BU468" t="s">
        <v>371</v>
      </c>
      <c r="BV468" t="s">
        <v>628</v>
      </c>
      <c r="BW468" t="str">
        <f t="shared" si="0"/>
        <v>https://dfp529wcvahka.cloudfront.net/ws/GalleryEntry/4Ld2q/video_preview/UYSBlL1p.png</v>
      </c>
      <c r="BX468" t="str">
        <f>IF(J468="win",VLOOKUP(B468,ColorScheme!$A$2:$I$32,4,0),VLOOKUP(B468,ColorScheme!$A$2:$I$32,5,0))</f>
        <v>#000000</v>
      </c>
    </row>
    <row r="469" spans="1:76" x14ac:dyDescent="0.3">
      <c r="A469" t="s">
        <v>381</v>
      </c>
      <c r="B469" t="s">
        <v>1344</v>
      </c>
      <c r="C469" t="s">
        <v>564</v>
      </c>
      <c r="D469" t="s">
        <v>1345</v>
      </c>
      <c r="E469" t="s">
        <v>564</v>
      </c>
      <c r="F469" t="b">
        <v>1</v>
      </c>
      <c r="G469">
        <v>99.6</v>
      </c>
      <c r="H469">
        <v>0</v>
      </c>
      <c r="I469">
        <v>7781</v>
      </c>
      <c r="J469" s="61" t="s">
        <v>13</v>
      </c>
      <c r="K469" t="s">
        <v>272</v>
      </c>
      <c r="L469">
        <v>3</v>
      </c>
      <c r="M469" t="s">
        <v>277</v>
      </c>
      <c r="N469" t="s">
        <v>335</v>
      </c>
      <c r="O469" t="s">
        <v>282</v>
      </c>
      <c r="P469" t="s">
        <v>371</v>
      </c>
      <c r="Q469" t="s">
        <v>371</v>
      </c>
      <c r="R469" t="s">
        <v>371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704</v>
      </c>
      <c r="AD469" t="s">
        <v>341</v>
      </c>
      <c r="AE469" t="s">
        <v>342</v>
      </c>
      <c r="AF469" t="s">
        <v>343</v>
      </c>
      <c r="AG469" t="s">
        <v>345</v>
      </c>
      <c r="AH469" s="17" t="s">
        <v>371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 t="s">
        <v>704</v>
      </c>
      <c r="AR469" t="s">
        <v>349</v>
      </c>
      <c r="AS469" t="s">
        <v>349</v>
      </c>
      <c r="AT469">
        <v>1</v>
      </c>
      <c r="AU469">
        <v>0</v>
      </c>
      <c r="AV469">
        <v>0</v>
      </c>
      <c r="AW469" t="s">
        <v>704</v>
      </c>
      <c r="AX469" t="s">
        <v>1232</v>
      </c>
      <c r="AY469" t="s">
        <v>293</v>
      </c>
      <c r="AZ469" t="s">
        <v>294</v>
      </c>
      <c r="BA469" t="s">
        <v>297</v>
      </c>
      <c r="BB469" t="s">
        <v>299</v>
      </c>
      <c r="BC469" t="s">
        <v>292</v>
      </c>
      <c r="BD469" t="s">
        <v>293</v>
      </c>
      <c r="BE469" t="s">
        <v>292</v>
      </c>
      <c r="BF469" t="s">
        <v>293</v>
      </c>
      <c r="BG469" t="s">
        <v>293</v>
      </c>
      <c r="BH469" t="s">
        <v>302</v>
      </c>
      <c r="BI469" t="s">
        <v>302</v>
      </c>
      <c r="BJ469" t="s">
        <v>359</v>
      </c>
      <c r="BK469" t="s">
        <v>293</v>
      </c>
      <c r="BL469" t="s">
        <v>293</v>
      </c>
      <c r="BM469" t="s">
        <v>297</v>
      </c>
      <c r="BN469" t="s">
        <v>298</v>
      </c>
      <c r="BO469" t="s">
        <v>360</v>
      </c>
      <c r="BP469" t="s">
        <v>292</v>
      </c>
      <c r="BQ469" t="s">
        <v>362</v>
      </c>
      <c r="BR469" t="s">
        <v>293</v>
      </c>
      <c r="BS469" t="s">
        <v>364</v>
      </c>
      <c r="BT469" t="s">
        <v>366</v>
      </c>
      <c r="BU469" t="s">
        <v>371</v>
      </c>
      <c r="BV469" t="s">
        <v>565</v>
      </c>
      <c r="BW469" t="str">
        <f t="shared" si="0"/>
        <v>https://dfp529wcvahka.cloudfront.net/ws/GalleryEntry/4XWll/video_preview/i8mIZMPc.png</v>
      </c>
      <c r="BX469" t="str">
        <f>IF(J469="win",VLOOKUP(B469,ColorScheme!$A$2:$I$32,4,0),VLOOKUP(B469,ColorScheme!$A$2:$I$32,5,0))</f>
        <v>#000000</v>
      </c>
    </row>
    <row r="470" spans="1:76" x14ac:dyDescent="0.3">
      <c r="A470" t="s">
        <v>381</v>
      </c>
      <c r="B470" t="s">
        <v>1344</v>
      </c>
      <c r="C470" t="s">
        <v>630</v>
      </c>
      <c r="D470" t="s">
        <v>1345</v>
      </c>
      <c r="E470" t="s">
        <v>630</v>
      </c>
      <c r="F470" t="b">
        <v>1</v>
      </c>
      <c r="G470">
        <v>100</v>
      </c>
      <c r="H470">
        <v>1</v>
      </c>
      <c r="I470">
        <v>15843</v>
      </c>
      <c r="J470" s="61" t="s">
        <v>18</v>
      </c>
      <c r="K470" t="s">
        <v>272</v>
      </c>
      <c r="L470">
        <v>3</v>
      </c>
      <c r="M470" t="s">
        <v>277</v>
      </c>
      <c r="N470" t="s">
        <v>335</v>
      </c>
      <c r="O470" t="s">
        <v>284</v>
      </c>
      <c r="P470" t="s">
        <v>282</v>
      </c>
      <c r="Q470" t="s">
        <v>371</v>
      </c>
      <c r="R470" t="s">
        <v>371</v>
      </c>
      <c r="S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704</v>
      </c>
      <c r="AD470" t="s">
        <v>341</v>
      </c>
      <c r="AE470" t="s">
        <v>340</v>
      </c>
      <c r="AF470" t="s">
        <v>340</v>
      </c>
      <c r="AG470" t="s">
        <v>344</v>
      </c>
      <c r="AH470" s="17" t="s">
        <v>291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 t="s">
        <v>704</v>
      </c>
      <c r="AR470" t="s">
        <v>349</v>
      </c>
      <c r="AS470" t="s">
        <v>349</v>
      </c>
      <c r="AT470">
        <v>1</v>
      </c>
      <c r="AU470">
        <v>0</v>
      </c>
      <c r="AV470">
        <v>0</v>
      </c>
      <c r="AW470" t="s">
        <v>704</v>
      </c>
      <c r="AX470" t="s">
        <v>1283</v>
      </c>
      <c r="AY470" t="s">
        <v>293</v>
      </c>
      <c r="AZ470" t="s">
        <v>354</v>
      </c>
      <c r="BA470" t="s">
        <v>354</v>
      </c>
      <c r="BB470" t="s">
        <v>301</v>
      </c>
      <c r="BC470" t="s">
        <v>292</v>
      </c>
      <c r="BD470" t="s">
        <v>292</v>
      </c>
      <c r="BE470" t="s">
        <v>292</v>
      </c>
      <c r="BF470" t="s">
        <v>292</v>
      </c>
      <c r="BG470" t="s">
        <v>293</v>
      </c>
      <c r="BH470" t="s">
        <v>302</v>
      </c>
      <c r="BI470" t="s">
        <v>358</v>
      </c>
      <c r="BJ470" t="s">
        <v>358</v>
      </c>
      <c r="BK470" t="s">
        <v>293</v>
      </c>
      <c r="BL470" t="s">
        <v>293</v>
      </c>
      <c r="BM470" t="s">
        <v>296</v>
      </c>
      <c r="BN470" t="s">
        <v>356</v>
      </c>
      <c r="BO470" t="s">
        <v>293</v>
      </c>
      <c r="BP470" t="s">
        <v>292</v>
      </c>
      <c r="BQ470" t="s">
        <v>293</v>
      </c>
      <c r="BR470" t="s">
        <v>293</v>
      </c>
      <c r="BS470" t="s">
        <v>364</v>
      </c>
      <c r="BT470" t="s">
        <v>304</v>
      </c>
      <c r="BU470" t="s">
        <v>371</v>
      </c>
      <c r="BV470" t="s">
        <v>631</v>
      </c>
      <c r="BW470" t="str">
        <f t="shared" si="0"/>
        <v>https://dfp529wcvahka.cloudfront.net/ws/GalleryEntry/5G1B5/video_preview/v6HVJ0eD.png</v>
      </c>
      <c r="BX470" t="str">
        <f>IF(J470="win",VLOOKUP(B470,ColorScheme!$A$2:$I$32,4,0),VLOOKUP(B470,ColorScheme!$A$2:$I$32,5,0))</f>
        <v>#00000050</v>
      </c>
    </row>
    <row r="471" spans="1:76" x14ac:dyDescent="0.3">
      <c r="A471" t="s">
        <v>381</v>
      </c>
      <c r="B471" t="s">
        <v>1344</v>
      </c>
      <c r="C471" t="s">
        <v>519</v>
      </c>
      <c r="D471" t="s">
        <v>1345</v>
      </c>
      <c r="E471" t="s">
        <v>519</v>
      </c>
      <c r="F471" t="b">
        <v>1</v>
      </c>
      <c r="G471">
        <v>90.8</v>
      </c>
      <c r="H471">
        <v>0</v>
      </c>
      <c r="I471">
        <v>7689</v>
      </c>
      <c r="J471" s="61" t="s">
        <v>13</v>
      </c>
      <c r="K471" t="s">
        <v>272</v>
      </c>
      <c r="L471">
        <v>3</v>
      </c>
      <c r="M471" t="s">
        <v>277</v>
      </c>
      <c r="N471" t="s">
        <v>335</v>
      </c>
      <c r="O471" t="s">
        <v>282</v>
      </c>
      <c r="P471" t="s">
        <v>371</v>
      </c>
      <c r="Q471" t="s">
        <v>371</v>
      </c>
      <c r="R471" t="s">
        <v>371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704</v>
      </c>
      <c r="AD471" t="s">
        <v>341</v>
      </c>
      <c r="AE471" t="s">
        <v>342</v>
      </c>
      <c r="AF471" t="s">
        <v>343</v>
      </c>
      <c r="AG471" t="s">
        <v>345</v>
      </c>
      <c r="AH471" s="17" t="s">
        <v>371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 t="s">
        <v>704</v>
      </c>
      <c r="AR471" t="s">
        <v>350</v>
      </c>
      <c r="AS471" t="s">
        <v>349</v>
      </c>
      <c r="AT471">
        <v>0</v>
      </c>
      <c r="AU471">
        <v>1</v>
      </c>
      <c r="AV471">
        <v>0</v>
      </c>
      <c r="AW471" t="s">
        <v>704</v>
      </c>
      <c r="AX471" t="s">
        <v>2913</v>
      </c>
      <c r="AY471" t="s">
        <v>293</v>
      </c>
      <c r="AZ471" t="s">
        <v>294</v>
      </c>
      <c r="BA471" t="s">
        <v>297</v>
      </c>
      <c r="BB471" t="s">
        <v>299</v>
      </c>
      <c r="BC471" t="s">
        <v>292</v>
      </c>
      <c r="BD471" t="s">
        <v>293</v>
      </c>
      <c r="BE471" t="s">
        <v>292</v>
      </c>
      <c r="BF471" t="s">
        <v>293</v>
      </c>
      <c r="BG471" t="s">
        <v>293</v>
      </c>
      <c r="BH471" t="s">
        <v>302</v>
      </c>
      <c r="BI471" t="s">
        <v>302</v>
      </c>
      <c r="BJ471" t="s">
        <v>359</v>
      </c>
      <c r="BK471" t="s">
        <v>293</v>
      </c>
      <c r="BL471" t="s">
        <v>293</v>
      </c>
      <c r="BM471" t="s">
        <v>297</v>
      </c>
      <c r="BN471" t="s">
        <v>298</v>
      </c>
      <c r="BO471" t="s">
        <v>360</v>
      </c>
      <c r="BP471" t="s">
        <v>292</v>
      </c>
      <c r="BQ471" t="s">
        <v>293</v>
      </c>
      <c r="BR471" t="s">
        <v>293</v>
      </c>
      <c r="BS471" t="s">
        <v>364</v>
      </c>
      <c r="BT471" t="s">
        <v>366</v>
      </c>
      <c r="BU471" t="s">
        <v>371</v>
      </c>
      <c r="BV471" t="s">
        <v>520</v>
      </c>
      <c r="BW471" t="str">
        <f t="shared" si="0"/>
        <v>https://dfp529wcvahka.cloudfront.net/ws/GalleryEntry/5Xo9p/video_preview/HnYcbPyQ.png</v>
      </c>
      <c r="BX471" t="str">
        <f>IF(J471="win",VLOOKUP(B471,ColorScheme!$A$2:$I$32,4,0),VLOOKUP(B471,ColorScheme!$A$2:$I$32,5,0))</f>
        <v>#000000</v>
      </c>
    </row>
    <row r="472" spans="1:76" x14ac:dyDescent="0.3">
      <c r="A472" t="s">
        <v>381</v>
      </c>
      <c r="B472" t="s">
        <v>1344</v>
      </c>
      <c r="C472" t="s">
        <v>582</v>
      </c>
      <c r="D472" t="s">
        <v>1345</v>
      </c>
      <c r="E472" t="s">
        <v>582</v>
      </c>
      <c r="F472" t="b">
        <v>1</v>
      </c>
      <c r="G472">
        <v>99.3</v>
      </c>
      <c r="H472">
        <v>0</v>
      </c>
      <c r="I472">
        <v>8518</v>
      </c>
      <c r="J472" s="61" t="s">
        <v>13</v>
      </c>
      <c r="K472" t="s">
        <v>272</v>
      </c>
      <c r="L472">
        <v>3</v>
      </c>
      <c r="M472" t="s">
        <v>277</v>
      </c>
      <c r="N472" t="s">
        <v>335</v>
      </c>
      <c r="O472" t="s">
        <v>282</v>
      </c>
      <c r="P472" t="s">
        <v>339</v>
      </c>
      <c r="Q472" t="s">
        <v>371</v>
      </c>
      <c r="R472" t="s">
        <v>371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 t="s">
        <v>704</v>
      </c>
      <c r="AD472" t="s">
        <v>341</v>
      </c>
      <c r="AE472" t="s">
        <v>340</v>
      </c>
      <c r="AF472" t="s">
        <v>343</v>
      </c>
      <c r="AG472" t="s">
        <v>345</v>
      </c>
      <c r="AH472" s="17" t="s">
        <v>371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 t="s">
        <v>704</v>
      </c>
      <c r="AR472" t="s">
        <v>349</v>
      </c>
      <c r="AS472" t="s">
        <v>349</v>
      </c>
      <c r="AT472">
        <v>1</v>
      </c>
      <c r="AU472">
        <v>0</v>
      </c>
      <c r="AV472">
        <v>0</v>
      </c>
      <c r="AW472" t="s">
        <v>704</v>
      </c>
      <c r="AX472" t="s">
        <v>1295</v>
      </c>
      <c r="AY472" t="s">
        <v>293</v>
      </c>
      <c r="AZ472" t="s">
        <v>353</v>
      </c>
      <c r="BA472" t="s">
        <v>297</v>
      </c>
      <c r="BB472" t="s">
        <v>299</v>
      </c>
      <c r="BC472" t="s">
        <v>292</v>
      </c>
      <c r="BD472" t="s">
        <v>293</v>
      </c>
      <c r="BE472" t="s">
        <v>292</v>
      </c>
      <c r="BF472" t="s">
        <v>293</v>
      </c>
      <c r="BG472" t="s">
        <v>293</v>
      </c>
      <c r="BH472" t="s">
        <v>302</v>
      </c>
      <c r="BI472" t="s">
        <v>302</v>
      </c>
      <c r="BJ472" t="s">
        <v>359</v>
      </c>
      <c r="BK472" t="s">
        <v>293</v>
      </c>
      <c r="BL472" t="s">
        <v>293</v>
      </c>
      <c r="BM472" t="s">
        <v>297</v>
      </c>
      <c r="BN472" t="s">
        <v>298</v>
      </c>
      <c r="BO472" t="s">
        <v>293</v>
      </c>
      <c r="BP472" t="s">
        <v>292</v>
      </c>
      <c r="BQ472" t="s">
        <v>363</v>
      </c>
      <c r="BR472" t="s">
        <v>293</v>
      </c>
      <c r="BS472" t="s">
        <v>364</v>
      </c>
      <c r="BT472" t="s">
        <v>366</v>
      </c>
      <c r="BU472" t="s">
        <v>371</v>
      </c>
      <c r="BV472" t="s">
        <v>583</v>
      </c>
      <c r="BW472" t="str">
        <f t="shared" si="0"/>
        <v>https://dfp529wcvahka.cloudfront.net/ws/GalleryEntry/7lOE6/video_preview/wUazsx0o.png</v>
      </c>
      <c r="BX472" t="str">
        <f>IF(J472="win",VLOOKUP(B472,ColorScheme!$A$2:$I$32,4,0),VLOOKUP(B472,ColorScheme!$A$2:$I$32,5,0))</f>
        <v>#000000</v>
      </c>
    </row>
    <row r="473" spans="1:76" x14ac:dyDescent="0.3">
      <c r="A473" t="s">
        <v>381</v>
      </c>
      <c r="B473" t="s">
        <v>1344</v>
      </c>
      <c r="C473" t="s">
        <v>399</v>
      </c>
      <c r="D473" t="s">
        <v>1345</v>
      </c>
      <c r="E473" t="s">
        <v>399</v>
      </c>
      <c r="F473" t="b">
        <v>1</v>
      </c>
      <c r="G473">
        <v>60.8</v>
      </c>
      <c r="H473">
        <v>0</v>
      </c>
      <c r="I473">
        <v>14246</v>
      </c>
      <c r="J473" s="61" t="s">
        <v>18</v>
      </c>
      <c r="K473" t="s">
        <v>273</v>
      </c>
      <c r="L473">
        <v>2</v>
      </c>
      <c r="M473" t="s">
        <v>333</v>
      </c>
      <c r="N473" t="s">
        <v>278</v>
      </c>
      <c r="O473" t="s">
        <v>281</v>
      </c>
      <c r="P473" t="s">
        <v>283</v>
      </c>
      <c r="Q473" t="s">
        <v>371</v>
      </c>
      <c r="R473" t="s">
        <v>371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704</v>
      </c>
      <c r="AD473" t="s">
        <v>341</v>
      </c>
      <c r="AE473" t="s">
        <v>340</v>
      </c>
      <c r="AF473" t="s">
        <v>343</v>
      </c>
      <c r="AG473" t="s">
        <v>344</v>
      </c>
      <c r="AH473" s="17" t="s">
        <v>347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  <c r="AQ473" t="s">
        <v>704</v>
      </c>
      <c r="AR473" t="s">
        <v>349</v>
      </c>
      <c r="AS473" t="s">
        <v>349</v>
      </c>
      <c r="AT473">
        <v>1</v>
      </c>
      <c r="AU473">
        <v>0</v>
      </c>
      <c r="AV473">
        <v>0</v>
      </c>
      <c r="AW473" t="s">
        <v>704</v>
      </c>
      <c r="AX473" t="s">
        <v>1325</v>
      </c>
      <c r="AY473" t="s">
        <v>293</v>
      </c>
      <c r="AZ473" t="s">
        <v>353</v>
      </c>
      <c r="BA473" t="s">
        <v>296</v>
      </c>
      <c r="BB473" t="s">
        <v>300</v>
      </c>
      <c r="BC473" t="s">
        <v>292</v>
      </c>
      <c r="BD473" t="s">
        <v>292</v>
      </c>
      <c r="BE473" t="s">
        <v>292</v>
      </c>
      <c r="BF473" t="s">
        <v>292</v>
      </c>
      <c r="BG473" t="s">
        <v>293</v>
      </c>
      <c r="BH473" t="s">
        <v>302</v>
      </c>
      <c r="BI473" t="s">
        <v>357</v>
      </c>
      <c r="BJ473" t="s">
        <v>359</v>
      </c>
      <c r="BK473" t="s">
        <v>293</v>
      </c>
      <c r="BL473" t="s">
        <v>293</v>
      </c>
      <c r="BM473" t="s">
        <v>297</v>
      </c>
      <c r="BN473" t="s">
        <v>356</v>
      </c>
      <c r="BO473" t="s">
        <v>293</v>
      </c>
      <c r="BP473" t="s">
        <v>292</v>
      </c>
      <c r="BQ473" t="s">
        <v>293</v>
      </c>
      <c r="BR473" t="s">
        <v>293</v>
      </c>
      <c r="BS473" t="s">
        <v>364</v>
      </c>
      <c r="BT473" t="s">
        <v>686</v>
      </c>
      <c r="BU473" t="s">
        <v>371</v>
      </c>
      <c r="BV473" t="s">
        <v>400</v>
      </c>
      <c r="BW473" t="str">
        <f t="shared" si="0"/>
        <v>https://dfp529wcvahka.cloudfront.net/ws/GalleryEntry/7Rkox/video_preview/Gpnc3lwv.png</v>
      </c>
      <c r="BX473" t="str">
        <f>IF(J473="win",VLOOKUP(B473,ColorScheme!$A$2:$I$32,4,0),VLOOKUP(B473,ColorScheme!$A$2:$I$32,5,0))</f>
        <v>#00000050</v>
      </c>
    </row>
    <row r="474" spans="1:76" x14ac:dyDescent="0.3">
      <c r="A474" t="s">
        <v>381</v>
      </c>
      <c r="B474" t="s">
        <v>1344</v>
      </c>
      <c r="C474" t="s">
        <v>393</v>
      </c>
      <c r="D474" t="s">
        <v>1345</v>
      </c>
      <c r="E474" t="s">
        <v>393</v>
      </c>
      <c r="F474" t="b">
        <v>1</v>
      </c>
      <c r="G474">
        <v>84.7</v>
      </c>
      <c r="H474">
        <v>0</v>
      </c>
      <c r="I474">
        <v>8253</v>
      </c>
      <c r="J474" s="61" t="s">
        <v>13</v>
      </c>
      <c r="K474" t="s">
        <v>272</v>
      </c>
      <c r="L474">
        <v>3</v>
      </c>
      <c r="M474" t="s">
        <v>277</v>
      </c>
      <c r="N474" t="s">
        <v>335</v>
      </c>
      <c r="O474" t="s">
        <v>282</v>
      </c>
      <c r="P474" t="s">
        <v>371</v>
      </c>
      <c r="Q474" t="s">
        <v>371</v>
      </c>
      <c r="R474" t="s">
        <v>371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704</v>
      </c>
      <c r="AD474" t="s">
        <v>341</v>
      </c>
      <c r="AE474" t="s">
        <v>342</v>
      </c>
      <c r="AF474" t="s">
        <v>343</v>
      </c>
      <c r="AG474" t="s">
        <v>345</v>
      </c>
      <c r="AH474" s="17" t="s">
        <v>344</v>
      </c>
      <c r="AI474">
        <v>1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704</v>
      </c>
      <c r="AR474" t="s">
        <v>349</v>
      </c>
      <c r="AS474" t="s">
        <v>349</v>
      </c>
      <c r="AT474">
        <v>1</v>
      </c>
      <c r="AU474">
        <v>0</v>
      </c>
      <c r="AV474">
        <v>0</v>
      </c>
      <c r="AW474" t="s">
        <v>704</v>
      </c>
      <c r="AX474" t="s">
        <v>1215</v>
      </c>
      <c r="AY474" t="s">
        <v>293</v>
      </c>
      <c r="AZ474" t="s">
        <v>352</v>
      </c>
      <c r="BA474" t="s">
        <v>297</v>
      </c>
      <c r="BB474" t="s">
        <v>300</v>
      </c>
      <c r="BC474" t="s">
        <v>292</v>
      </c>
      <c r="BD474" t="s">
        <v>293</v>
      </c>
      <c r="BE474" t="s">
        <v>292</v>
      </c>
      <c r="BF474" t="s">
        <v>293</v>
      </c>
      <c r="BG474" t="s">
        <v>293</v>
      </c>
      <c r="BH474" t="s">
        <v>302</v>
      </c>
      <c r="BI474" t="s">
        <v>302</v>
      </c>
      <c r="BJ474" t="s">
        <v>359</v>
      </c>
      <c r="BK474" t="s">
        <v>293</v>
      </c>
      <c r="BL474" t="s">
        <v>293</v>
      </c>
      <c r="BM474" t="s">
        <v>297</v>
      </c>
      <c r="BN474" t="s">
        <v>298</v>
      </c>
      <c r="BO474" t="s">
        <v>293</v>
      </c>
      <c r="BP474" t="s">
        <v>292</v>
      </c>
      <c r="BQ474" t="s">
        <v>293</v>
      </c>
      <c r="BR474" t="s">
        <v>293</v>
      </c>
      <c r="BS474" t="s">
        <v>364</v>
      </c>
      <c r="BT474" t="s">
        <v>366</v>
      </c>
      <c r="BU474" t="s">
        <v>371</v>
      </c>
      <c r="BV474" t="s">
        <v>394</v>
      </c>
      <c r="BW474" t="str">
        <f t="shared" si="0"/>
        <v>https://dfp529wcvahka.cloudfront.net/ws/GalleryEntry/8w7rl/video_preview/Zj4b89RV.png</v>
      </c>
      <c r="BX474" t="str">
        <f>IF(J474="win",VLOOKUP(B474,ColorScheme!$A$2:$I$32,4,0),VLOOKUP(B474,ColorScheme!$A$2:$I$32,5,0))</f>
        <v>#000000</v>
      </c>
    </row>
    <row r="475" spans="1:76" x14ac:dyDescent="0.3">
      <c r="A475" t="s">
        <v>381</v>
      </c>
      <c r="B475" t="s">
        <v>1344</v>
      </c>
      <c r="C475" t="s">
        <v>453</v>
      </c>
      <c r="D475" t="s">
        <v>1345</v>
      </c>
      <c r="E475" t="s">
        <v>453</v>
      </c>
      <c r="F475" t="b">
        <v>1</v>
      </c>
      <c r="G475">
        <v>100</v>
      </c>
      <c r="H475">
        <v>1</v>
      </c>
      <c r="I475">
        <v>15137</v>
      </c>
      <c r="J475" s="61" t="s">
        <v>18</v>
      </c>
      <c r="K475" t="s">
        <v>273</v>
      </c>
      <c r="L475">
        <v>2</v>
      </c>
      <c r="M475" t="s">
        <v>333</v>
      </c>
      <c r="N475" t="s">
        <v>278</v>
      </c>
      <c r="O475" t="s">
        <v>283</v>
      </c>
      <c r="P475" t="s">
        <v>284</v>
      </c>
      <c r="Q475" t="s">
        <v>371</v>
      </c>
      <c r="R475" t="s">
        <v>371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704</v>
      </c>
      <c r="AD475" t="s">
        <v>341</v>
      </c>
      <c r="AE475" t="s">
        <v>342</v>
      </c>
      <c r="AF475" t="s">
        <v>343</v>
      </c>
      <c r="AG475" t="s">
        <v>291</v>
      </c>
      <c r="AH475" s="17" t="s">
        <v>371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 t="s">
        <v>704</v>
      </c>
      <c r="AR475" t="s">
        <v>349</v>
      </c>
      <c r="AS475" t="s">
        <v>349</v>
      </c>
      <c r="AT475">
        <v>1</v>
      </c>
      <c r="AU475">
        <v>0</v>
      </c>
      <c r="AV475">
        <v>0</v>
      </c>
      <c r="AW475" t="s">
        <v>704</v>
      </c>
      <c r="AX475" t="s">
        <v>1324</v>
      </c>
      <c r="AY475" t="s">
        <v>293</v>
      </c>
      <c r="AZ475" t="s">
        <v>352</v>
      </c>
      <c r="BA475" t="s">
        <v>296</v>
      </c>
      <c r="BB475" t="s">
        <v>301</v>
      </c>
      <c r="BC475" t="s">
        <v>292</v>
      </c>
      <c r="BD475" t="s">
        <v>293</v>
      </c>
      <c r="BE475" t="s">
        <v>293</v>
      </c>
      <c r="BF475" t="s">
        <v>292</v>
      </c>
      <c r="BG475" t="s">
        <v>293</v>
      </c>
      <c r="BH475" t="s">
        <v>358</v>
      </c>
      <c r="BI475" t="s">
        <v>357</v>
      </c>
      <c r="BJ475" t="s">
        <v>302</v>
      </c>
      <c r="BK475" t="s">
        <v>293</v>
      </c>
      <c r="BL475" t="s">
        <v>293</v>
      </c>
      <c r="BM475" t="s">
        <v>296</v>
      </c>
      <c r="BN475" t="s">
        <v>298</v>
      </c>
      <c r="BO475" t="s">
        <v>293</v>
      </c>
      <c r="BP475" t="s">
        <v>292</v>
      </c>
      <c r="BQ475" t="s">
        <v>293</v>
      </c>
      <c r="BR475" t="s">
        <v>293</v>
      </c>
      <c r="BS475" t="s">
        <v>364</v>
      </c>
      <c r="BT475" t="s">
        <v>304</v>
      </c>
      <c r="BU475" t="s">
        <v>371</v>
      </c>
      <c r="BV475" t="s">
        <v>454</v>
      </c>
      <c r="BW475" t="str">
        <f t="shared" si="0"/>
        <v>https://dfp529wcvahka.cloudfront.net/ws/GalleryEntry/9d8Bd/video_preview/sEeluzQx.png</v>
      </c>
      <c r="BX475" t="str">
        <f>IF(J475="win",VLOOKUP(B475,ColorScheme!$A$2:$I$32,4,0),VLOOKUP(B475,ColorScheme!$A$2:$I$32,5,0))</f>
        <v>#00000050</v>
      </c>
    </row>
    <row r="476" spans="1:76" x14ac:dyDescent="0.3">
      <c r="A476" t="s">
        <v>381</v>
      </c>
      <c r="B476" t="s">
        <v>1344</v>
      </c>
      <c r="C476" t="s">
        <v>462</v>
      </c>
      <c r="D476" t="s">
        <v>1345</v>
      </c>
      <c r="E476" t="s">
        <v>462</v>
      </c>
      <c r="F476" t="b">
        <v>1</v>
      </c>
      <c r="G476">
        <v>94.5</v>
      </c>
      <c r="H476">
        <v>0</v>
      </c>
      <c r="I476">
        <v>10455</v>
      </c>
      <c r="J476" s="61" t="s">
        <v>13</v>
      </c>
      <c r="K476" t="s">
        <v>272</v>
      </c>
      <c r="L476">
        <v>2</v>
      </c>
      <c r="M476" t="s">
        <v>277</v>
      </c>
      <c r="N476" t="s">
        <v>335</v>
      </c>
      <c r="O476" t="s">
        <v>283</v>
      </c>
      <c r="P476" t="s">
        <v>281</v>
      </c>
      <c r="Q476" t="s">
        <v>284</v>
      </c>
      <c r="R476" t="s">
        <v>371</v>
      </c>
      <c r="S476">
        <v>1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704</v>
      </c>
      <c r="AD476" t="s">
        <v>341</v>
      </c>
      <c r="AE476" t="s">
        <v>340</v>
      </c>
      <c r="AF476" t="s">
        <v>340</v>
      </c>
      <c r="AG476" t="s">
        <v>345</v>
      </c>
      <c r="AH476" s="17" t="s">
        <v>371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 t="s">
        <v>704</v>
      </c>
      <c r="AR476" t="s">
        <v>350</v>
      </c>
      <c r="AS476" t="s">
        <v>349</v>
      </c>
      <c r="AT476">
        <v>0</v>
      </c>
      <c r="AU476">
        <v>1</v>
      </c>
      <c r="AV476">
        <v>0</v>
      </c>
      <c r="AW476" t="s">
        <v>704</v>
      </c>
      <c r="AX476" t="s">
        <v>2919</v>
      </c>
      <c r="AY476" t="s">
        <v>293</v>
      </c>
      <c r="AZ476" t="s">
        <v>354</v>
      </c>
      <c r="BA476" t="s">
        <v>354</v>
      </c>
      <c r="BB476" t="s">
        <v>301</v>
      </c>
      <c r="BC476" t="s">
        <v>292</v>
      </c>
      <c r="BD476" t="s">
        <v>293</v>
      </c>
      <c r="BE476" t="s">
        <v>292</v>
      </c>
      <c r="BF476" t="s">
        <v>293</v>
      </c>
      <c r="BG476" t="s">
        <v>293</v>
      </c>
      <c r="BH476" t="s">
        <v>302</v>
      </c>
      <c r="BI476" t="s">
        <v>302</v>
      </c>
      <c r="BJ476" t="s">
        <v>357</v>
      </c>
      <c r="BK476" t="s">
        <v>293</v>
      </c>
      <c r="BL476" t="s">
        <v>293</v>
      </c>
      <c r="BM476" t="s">
        <v>297</v>
      </c>
      <c r="BN476" t="s">
        <v>298</v>
      </c>
      <c r="BO476" t="s">
        <v>293</v>
      </c>
      <c r="BP476" t="s">
        <v>292</v>
      </c>
      <c r="BQ476" t="s">
        <v>293</v>
      </c>
      <c r="BR476" t="s">
        <v>293</v>
      </c>
      <c r="BS476" t="s">
        <v>364</v>
      </c>
      <c r="BT476" t="s">
        <v>366</v>
      </c>
      <c r="BU476" t="s">
        <v>371</v>
      </c>
      <c r="BV476" t="s">
        <v>463</v>
      </c>
      <c r="BW476" t="str">
        <f t="shared" si="0"/>
        <v>https://dfp529wcvahka.cloudfront.net/ws/GalleryEntry/9ZDod/video_preview/2Po8Fegl.png</v>
      </c>
      <c r="BX476" t="str">
        <f>IF(J476="win",VLOOKUP(B476,ColorScheme!$A$2:$I$32,4,0),VLOOKUP(B476,ColorScheme!$A$2:$I$32,5,0))</f>
        <v>#000000</v>
      </c>
    </row>
    <row r="477" spans="1:76" x14ac:dyDescent="0.3">
      <c r="A477" t="s">
        <v>381</v>
      </c>
      <c r="B477" t="s">
        <v>1344</v>
      </c>
      <c r="C477" t="s">
        <v>597</v>
      </c>
      <c r="D477" t="s">
        <v>1345</v>
      </c>
      <c r="E477" t="s">
        <v>597</v>
      </c>
      <c r="F477" t="b">
        <v>1</v>
      </c>
      <c r="G477">
        <v>99.9</v>
      </c>
      <c r="H477">
        <v>0</v>
      </c>
      <c r="I477">
        <v>9096</v>
      </c>
      <c r="J477" s="61" t="s">
        <v>13</v>
      </c>
      <c r="K477" t="s">
        <v>272</v>
      </c>
      <c r="L477">
        <v>3</v>
      </c>
      <c r="M477" t="s">
        <v>277</v>
      </c>
      <c r="N477" t="s">
        <v>335</v>
      </c>
      <c r="O477" t="s">
        <v>282</v>
      </c>
      <c r="P477" t="s">
        <v>371</v>
      </c>
      <c r="Q477" t="s">
        <v>371</v>
      </c>
      <c r="R477" t="s">
        <v>371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704</v>
      </c>
      <c r="AD477" t="s">
        <v>341</v>
      </c>
      <c r="AE477" t="s">
        <v>342</v>
      </c>
      <c r="AF477" t="s">
        <v>343</v>
      </c>
      <c r="AG477" t="s">
        <v>345</v>
      </c>
      <c r="AH477" s="17" t="s">
        <v>291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 t="s">
        <v>704</v>
      </c>
      <c r="AR477" t="s">
        <v>350</v>
      </c>
      <c r="AS477" t="s">
        <v>349</v>
      </c>
      <c r="AT477">
        <v>0</v>
      </c>
      <c r="AU477">
        <v>1</v>
      </c>
      <c r="AV477">
        <v>0</v>
      </c>
      <c r="AW477" t="s">
        <v>704</v>
      </c>
      <c r="AX477" t="s">
        <v>2920</v>
      </c>
      <c r="AY477" t="s">
        <v>293</v>
      </c>
      <c r="AZ477" t="s">
        <v>294</v>
      </c>
      <c r="BA477" t="s">
        <v>297</v>
      </c>
      <c r="BB477" t="s">
        <v>300</v>
      </c>
      <c r="BC477" t="s">
        <v>292</v>
      </c>
      <c r="BD477" t="s">
        <v>292</v>
      </c>
      <c r="BE477" t="s">
        <v>292</v>
      </c>
      <c r="BF477" t="s">
        <v>292</v>
      </c>
      <c r="BG477" t="s">
        <v>293</v>
      </c>
      <c r="BH477" t="s">
        <v>302</v>
      </c>
      <c r="BI477" t="s">
        <v>302</v>
      </c>
      <c r="BJ477" t="s">
        <v>359</v>
      </c>
      <c r="BK477" t="s">
        <v>293</v>
      </c>
      <c r="BL477" t="s">
        <v>293</v>
      </c>
      <c r="BM477" t="s">
        <v>297</v>
      </c>
      <c r="BN477" t="s">
        <v>298</v>
      </c>
      <c r="BO477" t="s">
        <v>360</v>
      </c>
      <c r="BP477" t="s">
        <v>292</v>
      </c>
      <c r="BQ477" t="s">
        <v>293</v>
      </c>
      <c r="BR477" t="s">
        <v>293</v>
      </c>
      <c r="BS477" t="s">
        <v>364</v>
      </c>
      <c r="BT477" t="s">
        <v>366</v>
      </c>
      <c r="BU477" t="s">
        <v>371</v>
      </c>
      <c r="BV477" t="s">
        <v>598</v>
      </c>
      <c r="BW477" t="str">
        <f t="shared" si="0"/>
        <v>https://dfp529wcvahka.cloudfront.net/ws/GalleryEntry/9ZMgx/video_preview/18g8DC0F.png</v>
      </c>
      <c r="BX477" t="str">
        <f>IF(J477="win",VLOOKUP(B477,ColorScheme!$A$2:$I$32,4,0),VLOOKUP(B477,ColorScheme!$A$2:$I$32,5,0))</f>
        <v>#000000</v>
      </c>
    </row>
    <row r="478" spans="1:76" x14ac:dyDescent="0.3">
      <c r="A478" t="s">
        <v>381</v>
      </c>
      <c r="B478" t="s">
        <v>1344</v>
      </c>
      <c r="C478" t="s">
        <v>438</v>
      </c>
      <c r="D478" t="s">
        <v>1345</v>
      </c>
      <c r="E478" t="s">
        <v>438</v>
      </c>
      <c r="F478" t="b">
        <v>1</v>
      </c>
      <c r="G478">
        <v>100</v>
      </c>
      <c r="H478">
        <v>1</v>
      </c>
      <c r="I478">
        <v>14895</v>
      </c>
      <c r="J478" s="61" t="s">
        <v>18</v>
      </c>
      <c r="K478" t="s">
        <v>272</v>
      </c>
      <c r="L478">
        <v>3</v>
      </c>
      <c r="M478" t="s">
        <v>277</v>
      </c>
      <c r="N478" t="s">
        <v>335</v>
      </c>
      <c r="O478" t="s">
        <v>282</v>
      </c>
      <c r="P478" t="s">
        <v>284</v>
      </c>
      <c r="Q478" t="s">
        <v>371</v>
      </c>
      <c r="R478" t="s">
        <v>371</v>
      </c>
      <c r="S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704</v>
      </c>
      <c r="AD478" t="s">
        <v>341</v>
      </c>
      <c r="AE478" t="s">
        <v>340</v>
      </c>
      <c r="AF478" t="s">
        <v>343</v>
      </c>
      <c r="AG478" t="s">
        <v>344</v>
      </c>
      <c r="AH478" s="17" t="s">
        <v>371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 t="s">
        <v>704</v>
      </c>
      <c r="AR478" t="s">
        <v>349</v>
      </c>
      <c r="AS478" t="s">
        <v>349</v>
      </c>
      <c r="AT478">
        <v>1</v>
      </c>
      <c r="AU478">
        <v>0</v>
      </c>
      <c r="AV478">
        <v>0</v>
      </c>
      <c r="AW478" t="s">
        <v>704</v>
      </c>
      <c r="AX478" t="s">
        <v>1228</v>
      </c>
      <c r="AY478" t="s">
        <v>293</v>
      </c>
      <c r="AZ478" t="s">
        <v>352</v>
      </c>
      <c r="BA478" t="s">
        <v>297</v>
      </c>
      <c r="BB478" t="s">
        <v>301</v>
      </c>
      <c r="BC478" t="s">
        <v>292</v>
      </c>
      <c r="BD478" t="s">
        <v>293</v>
      </c>
      <c r="BE478" t="s">
        <v>292</v>
      </c>
      <c r="BF478" t="s">
        <v>292</v>
      </c>
      <c r="BG478" t="s">
        <v>293</v>
      </c>
      <c r="BH478" t="s">
        <v>302</v>
      </c>
      <c r="BI478" t="s">
        <v>302</v>
      </c>
      <c r="BJ478" t="s">
        <v>302</v>
      </c>
      <c r="BK478" t="s">
        <v>293</v>
      </c>
      <c r="BL478" t="s">
        <v>293</v>
      </c>
      <c r="BM478" t="s">
        <v>297</v>
      </c>
      <c r="BN478" t="s">
        <v>298</v>
      </c>
      <c r="BO478" t="s">
        <v>293</v>
      </c>
      <c r="BP478" t="s">
        <v>292</v>
      </c>
      <c r="BQ478" t="s">
        <v>293</v>
      </c>
      <c r="BR478" t="s">
        <v>293</v>
      </c>
      <c r="BS478" t="s">
        <v>364</v>
      </c>
      <c r="BT478" t="s">
        <v>304</v>
      </c>
      <c r="BU478" t="s">
        <v>371</v>
      </c>
      <c r="BV478" t="s">
        <v>439</v>
      </c>
      <c r="BW478" t="str">
        <f t="shared" si="0"/>
        <v>https://dfp529wcvahka.cloudfront.net/ws/GalleryEntry/a5m8l/video_preview/fRpJggaO.png</v>
      </c>
      <c r="BX478" t="str">
        <f>IF(J478="win",VLOOKUP(B478,ColorScheme!$A$2:$I$32,4,0),VLOOKUP(B478,ColorScheme!$A$2:$I$32,5,0))</f>
        <v>#00000050</v>
      </c>
    </row>
    <row r="479" spans="1:76" x14ac:dyDescent="0.3">
      <c r="A479" t="s">
        <v>381</v>
      </c>
      <c r="B479" t="s">
        <v>1344</v>
      </c>
      <c r="C479" t="s">
        <v>534</v>
      </c>
      <c r="D479" t="s">
        <v>1345</v>
      </c>
      <c r="E479" t="s">
        <v>534</v>
      </c>
      <c r="F479" t="b">
        <v>1</v>
      </c>
      <c r="G479">
        <v>98.3</v>
      </c>
      <c r="H479">
        <v>0</v>
      </c>
      <c r="I479">
        <v>14613</v>
      </c>
      <c r="J479" s="61" t="s">
        <v>13</v>
      </c>
      <c r="K479" t="s">
        <v>272</v>
      </c>
      <c r="L479">
        <v>3</v>
      </c>
      <c r="M479" t="s">
        <v>333</v>
      </c>
      <c r="N479" t="s">
        <v>278</v>
      </c>
      <c r="O479" t="s">
        <v>281</v>
      </c>
      <c r="P479" t="s">
        <v>283</v>
      </c>
      <c r="Q479" t="s">
        <v>371</v>
      </c>
      <c r="R479" t="s">
        <v>371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704</v>
      </c>
      <c r="AD479" t="s">
        <v>341</v>
      </c>
      <c r="AE479" t="s">
        <v>340</v>
      </c>
      <c r="AF479" t="s">
        <v>343</v>
      </c>
      <c r="AG479" t="s">
        <v>344</v>
      </c>
      <c r="AH479" s="17" t="s">
        <v>291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 t="s">
        <v>704</v>
      </c>
      <c r="AR479" t="s">
        <v>349</v>
      </c>
      <c r="AS479" t="s">
        <v>349</v>
      </c>
      <c r="AT479">
        <v>1</v>
      </c>
      <c r="AU479">
        <v>0</v>
      </c>
      <c r="AV479">
        <v>0</v>
      </c>
      <c r="AW479" t="s">
        <v>704</v>
      </c>
      <c r="AX479" t="s">
        <v>1255</v>
      </c>
      <c r="AY479" t="s">
        <v>293</v>
      </c>
      <c r="AZ479" t="s">
        <v>353</v>
      </c>
      <c r="BA479" t="s">
        <v>296</v>
      </c>
      <c r="BB479" t="s">
        <v>299</v>
      </c>
      <c r="BC479" t="s">
        <v>292</v>
      </c>
      <c r="BD479" t="s">
        <v>292</v>
      </c>
      <c r="BE479" t="s">
        <v>292</v>
      </c>
      <c r="BF479" t="s">
        <v>292</v>
      </c>
      <c r="BG479" t="s">
        <v>293</v>
      </c>
      <c r="BH479" t="s">
        <v>302</v>
      </c>
      <c r="BI479" t="s">
        <v>359</v>
      </c>
      <c r="BJ479" t="s">
        <v>359</v>
      </c>
      <c r="BK479" t="s">
        <v>293</v>
      </c>
      <c r="BL479" t="s">
        <v>293</v>
      </c>
      <c r="BM479" t="s">
        <v>296</v>
      </c>
      <c r="BN479" t="s">
        <v>356</v>
      </c>
      <c r="BO479" t="s">
        <v>293</v>
      </c>
      <c r="BP479" t="s">
        <v>292</v>
      </c>
      <c r="BQ479" t="s">
        <v>293</v>
      </c>
      <c r="BR479" t="s">
        <v>293</v>
      </c>
      <c r="BS479" t="s">
        <v>364</v>
      </c>
      <c r="BT479" t="s">
        <v>366</v>
      </c>
      <c r="BU479" t="s">
        <v>371</v>
      </c>
      <c r="BV479" t="s">
        <v>535</v>
      </c>
      <c r="BW479" t="str">
        <f t="shared" si="0"/>
        <v>https://dfp529wcvahka.cloudfront.net/ws/GalleryEntry/aEzNe/video_preview/rxZ0ar89.png</v>
      </c>
      <c r="BX479" t="str">
        <f>IF(J479="win",VLOOKUP(B479,ColorScheme!$A$2:$I$32,4,0),VLOOKUP(B479,ColorScheme!$A$2:$I$32,5,0))</f>
        <v>#000000</v>
      </c>
    </row>
    <row r="480" spans="1:76" x14ac:dyDescent="0.3">
      <c r="A480" t="s">
        <v>381</v>
      </c>
      <c r="B480" t="s">
        <v>1344</v>
      </c>
      <c r="C480" t="s">
        <v>576</v>
      </c>
      <c r="D480" t="s">
        <v>1345</v>
      </c>
      <c r="E480" t="s">
        <v>576</v>
      </c>
      <c r="F480" t="b">
        <v>1</v>
      </c>
      <c r="G480">
        <v>100</v>
      </c>
      <c r="H480">
        <v>1</v>
      </c>
      <c r="I480">
        <v>6800</v>
      </c>
      <c r="J480" s="61" t="s">
        <v>18</v>
      </c>
      <c r="K480" t="s">
        <v>272</v>
      </c>
      <c r="L480">
        <v>1</v>
      </c>
      <c r="M480" t="s">
        <v>277</v>
      </c>
      <c r="N480" t="s">
        <v>336</v>
      </c>
      <c r="O480" t="s">
        <v>283</v>
      </c>
      <c r="P480" t="s">
        <v>284</v>
      </c>
      <c r="Q480" t="s">
        <v>371</v>
      </c>
      <c r="R480" t="s">
        <v>371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704</v>
      </c>
      <c r="AD480" t="s">
        <v>340</v>
      </c>
      <c r="AE480" t="s">
        <v>340</v>
      </c>
      <c r="AF480" t="s">
        <v>340</v>
      </c>
      <c r="AG480" t="s">
        <v>348</v>
      </c>
      <c r="AH480" s="17" t="s">
        <v>371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 t="s">
        <v>704</v>
      </c>
      <c r="AR480" t="s">
        <v>349</v>
      </c>
      <c r="AS480" t="s">
        <v>349</v>
      </c>
      <c r="AT480">
        <v>1</v>
      </c>
      <c r="AU480">
        <v>0</v>
      </c>
      <c r="AV480">
        <v>0</v>
      </c>
      <c r="AW480" t="s">
        <v>704</v>
      </c>
      <c r="AX480" t="s">
        <v>1326</v>
      </c>
      <c r="AY480" t="s">
        <v>293</v>
      </c>
      <c r="AZ480" t="s">
        <v>354</v>
      </c>
      <c r="BA480" t="s">
        <v>354</v>
      </c>
      <c r="BB480" t="s">
        <v>340</v>
      </c>
      <c r="BC480" t="s">
        <v>293</v>
      </c>
      <c r="BD480" t="s">
        <v>292</v>
      </c>
      <c r="BE480" t="s">
        <v>293</v>
      </c>
      <c r="BF480" t="s">
        <v>293</v>
      </c>
      <c r="BG480" t="s">
        <v>293</v>
      </c>
      <c r="BH480" t="s">
        <v>358</v>
      </c>
      <c r="BI480" t="s">
        <v>357</v>
      </c>
      <c r="BJ480" t="s">
        <v>357</v>
      </c>
      <c r="BK480" t="s">
        <v>293</v>
      </c>
      <c r="BL480" t="s">
        <v>293</v>
      </c>
      <c r="BM480" t="s">
        <v>354</v>
      </c>
      <c r="BN480" t="s">
        <v>356</v>
      </c>
      <c r="BO480" t="s">
        <v>293</v>
      </c>
      <c r="BP480" t="s">
        <v>293</v>
      </c>
      <c r="BQ480" t="s">
        <v>293</v>
      </c>
      <c r="BR480" t="s">
        <v>293</v>
      </c>
      <c r="BS480" t="s">
        <v>364</v>
      </c>
      <c r="BT480" t="s">
        <v>304</v>
      </c>
      <c r="BU480" t="s">
        <v>371</v>
      </c>
      <c r="BV480" t="s">
        <v>577</v>
      </c>
      <c r="BW480" t="str">
        <f t="shared" si="0"/>
        <v>https://dfp529wcvahka.cloudfront.net/ws/GalleryEntry/Ag5q6/video_preview/Ms4W68bQ.png</v>
      </c>
      <c r="BX480" t="str">
        <f>IF(J480="win",VLOOKUP(B480,ColorScheme!$A$2:$I$32,4,0),VLOOKUP(B480,ColorScheme!$A$2:$I$32,5,0))</f>
        <v>#00000050</v>
      </c>
    </row>
    <row r="481" spans="1:76" x14ac:dyDescent="0.3">
      <c r="A481" t="s">
        <v>381</v>
      </c>
      <c r="B481" t="s">
        <v>1344</v>
      </c>
      <c r="C481" t="s">
        <v>492</v>
      </c>
      <c r="D481" t="s">
        <v>1345</v>
      </c>
      <c r="E481" t="s">
        <v>492</v>
      </c>
      <c r="F481" t="b">
        <v>1</v>
      </c>
      <c r="G481">
        <v>96.24</v>
      </c>
      <c r="H481">
        <v>0</v>
      </c>
      <c r="I481">
        <v>21436</v>
      </c>
      <c r="J481" s="61" t="s">
        <v>13</v>
      </c>
      <c r="K481" t="s">
        <v>272</v>
      </c>
      <c r="L481">
        <v>3</v>
      </c>
      <c r="M481" t="s">
        <v>277</v>
      </c>
      <c r="N481" t="s">
        <v>335</v>
      </c>
      <c r="O481" t="s">
        <v>283</v>
      </c>
      <c r="P481" t="s">
        <v>286</v>
      </c>
      <c r="Q481" t="s">
        <v>282</v>
      </c>
      <c r="R481" t="s">
        <v>371</v>
      </c>
      <c r="S481">
        <v>0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 t="s">
        <v>704</v>
      </c>
      <c r="AD481" t="s">
        <v>341</v>
      </c>
      <c r="AE481" t="s">
        <v>340</v>
      </c>
      <c r="AF481" t="s">
        <v>343</v>
      </c>
      <c r="AG481" t="s">
        <v>344</v>
      </c>
      <c r="AH481" s="17" t="s">
        <v>347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 t="s">
        <v>704</v>
      </c>
      <c r="AR481" t="s">
        <v>349</v>
      </c>
      <c r="AS481" t="s">
        <v>349</v>
      </c>
      <c r="AT481">
        <v>1</v>
      </c>
      <c r="AU481">
        <v>0</v>
      </c>
      <c r="AV481">
        <v>0</v>
      </c>
      <c r="AW481" t="s">
        <v>704</v>
      </c>
      <c r="AX481" t="s">
        <v>1327</v>
      </c>
      <c r="AY481" t="s">
        <v>293</v>
      </c>
      <c r="AZ481" t="s">
        <v>353</v>
      </c>
      <c r="BA481" t="s">
        <v>296</v>
      </c>
      <c r="BB481" t="s">
        <v>301</v>
      </c>
      <c r="BC481" t="s">
        <v>293</v>
      </c>
      <c r="BD481" t="s">
        <v>292</v>
      </c>
      <c r="BE481" t="s">
        <v>293</v>
      </c>
      <c r="BF481" t="s">
        <v>292</v>
      </c>
      <c r="BG481" t="s">
        <v>293</v>
      </c>
      <c r="BH481" t="s">
        <v>302</v>
      </c>
      <c r="BI481" t="s">
        <v>358</v>
      </c>
      <c r="BJ481" t="s">
        <v>359</v>
      </c>
      <c r="BK481" t="s">
        <v>293</v>
      </c>
      <c r="BL481" t="s">
        <v>293</v>
      </c>
      <c r="BM481" t="s">
        <v>296</v>
      </c>
      <c r="BN481" t="s">
        <v>356</v>
      </c>
      <c r="BO481" t="s">
        <v>293</v>
      </c>
      <c r="BP481" t="s">
        <v>292</v>
      </c>
      <c r="BQ481" t="s">
        <v>293</v>
      </c>
      <c r="BR481" t="s">
        <v>293</v>
      </c>
      <c r="BS481" t="s">
        <v>364</v>
      </c>
      <c r="BT481" t="s">
        <v>366</v>
      </c>
      <c r="BU481" t="s">
        <v>371</v>
      </c>
      <c r="BV481" t="s">
        <v>493</v>
      </c>
      <c r="BW481" t="str">
        <f t="shared" si="0"/>
        <v>https://dfp529wcvahka.cloudfront.net/ws/GalleryEntry/AMMOv/video_preview/cHYGZwHw.png</v>
      </c>
      <c r="BX481" t="str">
        <f>IF(J481="win",VLOOKUP(B481,ColorScheme!$A$2:$I$32,4,0),VLOOKUP(B481,ColorScheme!$A$2:$I$32,5,0))</f>
        <v>#000000</v>
      </c>
    </row>
    <row r="482" spans="1:76" x14ac:dyDescent="0.3">
      <c r="A482" t="s">
        <v>381</v>
      </c>
      <c r="B482" t="s">
        <v>1344</v>
      </c>
      <c r="C482" t="s">
        <v>645</v>
      </c>
      <c r="D482" t="s">
        <v>1345</v>
      </c>
      <c r="E482" t="s">
        <v>645</v>
      </c>
      <c r="F482" t="b">
        <v>1</v>
      </c>
      <c r="G482">
        <v>55.35</v>
      </c>
      <c r="H482">
        <v>0</v>
      </c>
      <c r="I482">
        <v>12001</v>
      </c>
      <c r="J482" s="61" t="s">
        <v>13</v>
      </c>
      <c r="K482" t="s">
        <v>272</v>
      </c>
      <c r="L482">
        <v>3</v>
      </c>
      <c r="M482" t="s">
        <v>277</v>
      </c>
      <c r="N482" t="s">
        <v>335</v>
      </c>
      <c r="O482" t="s">
        <v>282</v>
      </c>
      <c r="P482" t="s">
        <v>371</v>
      </c>
      <c r="Q482" t="s">
        <v>371</v>
      </c>
      <c r="R482" t="s">
        <v>371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704</v>
      </c>
      <c r="AD482" t="s">
        <v>341</v>
      </c>
      <c r="AE482" t="s">
        <v>340</v>
      </c>
      <c r="AF482" t="s">
        <v>343</v>
      </c>
      <c r="AG482" t="s">
        <v>344</v>
      </c>
      <c r="AH482" s="17" t="s">
        <v>371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 t="s">
        <v>704</v>
      </c>
      <c r="AR482" t="s">
        <v>349</v>
      </c>
      <c r="AS482" t="s">
        <v>349</v>
      </c>
      <c r="AT482">
        <v>1</v>
      </c>
      <c r="AU482">
        <v>0</v>
      </c>
      <c r="AV482">
        <v>0</v>
      </c>
      <c r="AW482" t="s">
        <v>704</v>
      </c>
      <c r="AX482" t="s">
        <v>1208</v>
      </c>
      <c r="AY482" t="s">
        <v>293</v>
      </c>
      <c r="AZ482" t="s">
        <v>353</v>
      </c>
      <c r="BA482" t="s">
        <v>296</v>
      </c>
      <c r="BB482" t="s">
        <v>301</v>
      </c>
      <c r="BC482" t="s">
        <v>292</v>
      </c>
      <c r="BD482" t="s">
        <v>293</v>
      </c>
      <c r="BE482" t="s">
        <v>292</v>
      </c>
      <c r="BF482" t="s">
        <v>292</v>
      </c>
      <c r="BG482" t="s">
        <v>293</v>
      </c>
      <c r="BH482" t="s">
        <v>302</v>
      </c>
      <c r="BI482" t="s">
        <v>302</v>
      </c>
      <c r="BJ482" t="s">
        <v>359</v>
      </c>
      <c r="BK482" t="s">
        <v>293</v>
      </c>
      <c r="BL482" t="s">
        <v>293</v>
      </c>
      <c r="BM482" t="s">
        <v>297</v>
      </c>
      <c r="BN482" t="s">
        <v>298</v>
      </c>
      <c r="BO482" t="s">
        <v>293</v>
      </c>
      <c r="BP482" t="s">
        <v>292</v>
      </c>
      <c r="BQ482" t="s">
        <v>293</v>
      </c>
      <c r="BR482" t="s">
        <v>293</v>
      </c>
      <c r="BS482" t="s">
        <v>364</v>
      </c>
      <c r="BT482" t="s">
        <v>366</v>
      </c>
      <c r="BU482" t="s">
        <v>371</v>
      </c>
      <c r="BV482" t="s">
        <v>646</v>
      </c>
      <c r="BW482" t="str">
        <f t="shared" si="0"/>
        <v>https://dfp529wcvahka.cloudfront.net/ws/GalleryEntry/AMR1N/video_preview/YzkCW019.png</v>
      </c>
      <c r="BX482" t="str">
        <f>IF(J482="win",VLOOKUP(B482,ColorScheme!$A$2:$I$32,4,0),VLOOKUP(B482,ColorScheme!$A$2:$I$32,5,0))</f>
        <v>#000000</v>
      </c>
    </row>
    <row r="483" spans="1:76" x14ac:dyDescent="0.3">
      <c r="A483" t="s">
        <v>381</v>
      </c>
      <c r="B483" t="s">
        <v>1344</v>
      </c>
      <c r="C483" t="s">
        <v>387</v>
      </c>
      <c r="D483" t="s">
        <v>1345</v>
      </c>
      <c r="E483" t="s">
        <v>387</v>
      </c>
      <c r="F483" t="b">
        <v>1</v>
      </c>
      <c r="G483">
        <v>99.83</v>
      </c>
      <c r="H483">
        <v>0</v>
      </c>
      <c r="I483">
        <v>8739</v>
      </c>
      <c r="J483" s="61" t="s">
        <v>13</v>
      </c>
      <c r="K483" t="s">
        <v>272</v>
      </c>
      <c r="L483">
        <v>3</v>
      </c>
      <c r="M483" t="s">
        <v>277</v>
      </c>
      <c r="N483" t="s">
        <v>335</v>
      </c>
      <c r="O483" t="s">
        <v>282</v>
      </c>
      <c r="P483" t="s">
        <v>281</v>
      </c>
      <c r="Q483" t="s">
        <v>371</v>
      </c>
      <c r="R483" t="s">
        <v>371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704</v>
      </c>
      <c r="AD483" t="s">
        <v>341</v>
      </c>
      <c r="AE483" t="s">
        <v>340</v>
      </c>
      <c r="AF483" t="s">
        <v>343</v>
      </c>
      <c r="AG483" t="s">
        <v>345</v>
      </c>
      <c r="AH483" s="17" t="s">
        <v>371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704</v>
      </c>
      <c r="AR483" t="s">
        <v>349</v>
      </c>
      <c r="AS483" t="s">
        <v>349</v>
      </c>
      <c r="AT483">
        <v>1</v>
      </c>
      <c r="AU483">
        <v>0</v>
      </c>
      <c r="AV483">
        <v>0</v>
      </c>
      <c r="AW483" t="s">
        <v>704</v>
      </c>
      <c r="AX483" t="s">
        <v>1218</v>
      </c>
      <c r="AY483" t="s">
        <v>293</v>
      </c>
      <c r="AZ483" t="s">
        <v>353</v>
      </c>
      <c r="BA483" t="s">
        <v>297</v>
      </c>
      <c r="BB483" t="s">
        <v>299</v>
      </c>
      <c r="BC483" t="s">
        <v>292</v>
      </c>
      <c r="BD483" t="s">
        <v>293</v>
      </c>
      <c r="BE483" t="s">
        <v>292</v>
      </c>
      <c r="BF483" t="s">
        <v>293</v>
      </c>
      <c r="BG483" t="s">
        <v>293</v>
      </c>
      <c r="BH483" t="s">
        <v>302</v>
      </c>
      <c r="BI483" t="s">
        <v>302</v>
      </c>
      <c r="BJ483" t="s">
        <v>359</v>
      </c>
      <c r="BK483" t="s">
        <v>293</v>
      </c>
      <c r="BL483" t="s">
        <v>293</v>
      </c>
      <c r="BM483" t="s">
        <v>297</v>
      </c>
      <c r="BN483" t="s">
        <v>298</v>
      </c>
      <c r="BO483" t="s">
        <v>293</v>
      </c>
      <c r="BP483" t="s">
        <v>292</v>
      </c>
      <c r="BQ483" t="s">
        <v>293</v>
      </c>
      <c r="BR483" t="s">
        <v>293</v>
      </c>
      <c r="BS483" t="s">
        <v>364</v>
      </c>
      <c r="BT483" t="s">
        <v>366</v>
      </c>
      <c r="BU483" t="s">
        <v>371</v>
      </c>
      <c r="BV483" t="s">
        <v>388</v>
      </c>
      <c r="BW483" t="str">
        <f t="shared" si="0"/>
        <v>https://dfp529wcvahka.cloudfront.net/ws/GalleryEntry/Ao5M3/video_preview/0AqdVqWZ.png</v>
      </c>
      <c r="BX483" t="str">
        <f>IF(J483="win",VLOOKUP(B483,ColorScheme!$A$2:$I$32,4,0),VLOOKUP(B483,ColorScheme!$A$2:$I$32,5,0))</f>
        <v>#000000</v>
      </c>
    </row>
    <row r="484" spans="1:76" x14ac:dyDescent="0.3">
      <c r="A484" t="s">
        <v>381</v>
      </c>
      <c r="B484" t="s">
        <v>1344</v>
      </c>
      <c r="C484" t="s">
        <v>498</v>
      </c>
      <c r="D484" t="s">
        <v>1345</v>
      </c>
      <c r="E484" t="s">
        <v>498</v>
      </c>
      <c r="F484" t="b">
        <v>1</v>
      </c>
      <c r="G484">
        <v>83.4</v>
      </c>
      <c r="H484">
        <v>0</v>
      </c>
      <c r="I484">
        <v>26919</v>
      </c>
      <c r="J484" s="61" t="s">
        <v>13</v>
      </c>
      <c r="K484" t="s">
        <v>272</v>
      </c>
      <c r="L484">
        <v>3</v>
      </c>
      <c r="M484" t="s">
        <v>277</v>
      </c>
      <c r="N484" t="s">
        <v>336</v>
      </c>
      <c r="O484" t="s">
        <v>283</v>
      </c>
      <c r="P484" t="s">
        <v>371</v>
      </c>
      <c r="Q484" t="s">
        <v>371</v>
      </c>
      <c r="R484" t="s">
        <v>371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704</v>
      </c>
      <c r="AD484" t="s">
        <v>341</v>
      </c>
      <c r="AE484" t="s">
        <v>342</v>
      </c>
      <c r="AF484" t="s">
        <v>343</v>
      </c>
      <c r="AG484" t="s">
        <v>291</v>
      </c>
      <c r="AH484" s="17" t="s">
        <v>371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 t="s">
        <v>704</v>
      </c>
      <c r="AR484" t="s">
        <v>349</v>
      </c>
      <c r="AS484" t="s">
        <v>349</v>
      </c>
      <c r="AT484">
        <v>1</v>
      </c>
      <c r="AU484">
        <v>0</v>
      </c>
      <c r="AV484">
        <v>0</v>
      </c>
      <c r="AW484" t="s">
        <v>704</v>
      </c>
      <c r="AX484" t="s">
        <v>1233</v>
      </c>
      <c r="AY484" t="s">
        <v>293</v>
      </c>
      <c r="AZ484" t="s">
        <v>353</v>
      </c>
      <c r="BA484" t="s">
        <v>296</v>
      </c>
      <c r="BB484" t="s">
        <v>301</v>
      </c>
      <c r="BC484" t="s">
        <v>292</v>
      </c>
      <c r="BD484" t="s">
        <v>293</v>
      </c>
      <c r="BE484" t="s">
        <v>293</v>
      </c>
      <c r="BF484" t="s">
        <v>292</v>
      </c>
      <c r="BG484" t="s">
        <v>293</v>
      </c>
      <c r="BH484" t="s">
        <v>302</v>
      </c>
      <c r="BI484" t="s">
        <v>359</v>
      </c>
      <c r="BJ484" t="s">
        <v>359</v>
      </c>
      <c r="BK484" t="s">
        <v>293</v>
      </c>
      <c r="BL484" t="s">
        <v>293</v>
      </c>
      <c r="BM484" t="s">
        <v>296</v>
      </c>
      <c r="BN484" t="s">
        <v>298</v>
      </c>
      <c r="BO484" t="s">
        <v>293</v>
      </c>
      <c r="BP484" t="s">
        <v>292</v>
      </c>
      <c r="BQ484" t="s">
        <v>293</v>
      </c>
      <c r="BR484" t="s">
        <v>293</v>
      </c>
      <c r="BS484" t="s">
        <v>364</v>
      </c>
      <c r="BT484" t="s">
        <v>366</v>
      </c>
      <c r="BU484" t="s">
        <v>371</v>
      </c>
      <c r="BV484" t="s">
        <v>499</v>
      </c>
      <c r="BW484" t="str">
        <f t="shared" si="0"/>
        <v>https://dfp529wcvahka.cloudfront.net/ws/GalleryEntry/b1g4G/video_preview/hkczhnS8.png</v>
      </c>
      <c r="BX484" t="str">
        <f>IF(J484="win",VLOOKUP(B484,ColorScheme!$A$2:$I$32,4,0),VLOOKUP(B484,ColorScheme!$A$2:$I$32,5,0))</f>
        <v>#000000</v>
      </c>
    </row>
    <row r="485" spans="1:76" x14ac:dyDescent="0.3">
      <c r="A485" t="s">
        <v>381</v>
      </c>
      <c r="B485" t="s">
        <v>1344</v>
      </c>
      <c r="C485" t="s">
        <v>465</v>
      </c>
      <c r="D485" t="s">
        <v>1345</v>
      </c>
      <c r="E485" t="s">
        <v>465</v>
      </c>
      <c r="F485" t="b">
        <v>1</v>
      </c>
      <c r="G485">
        <v>96.76</v>
      </c>
      <c r="H485">
        <v>0</v>
      </c>
      <c r="I485">
        <v>6139</v>
      </c>
      <c r="J485" s="61" t="s">
        <v>13</v>
      </c>
      <c r="K485" t="s">
        <v>272</v>
      </c>
      <c r="L485">
        <v>3</v>
      </c>
      <c r="M485" t="s">
        <v>277</v>
      </c>
      <c r="N485" t="s">
        <v>335</v>
      </c>
      <c r="O485" t="s">
        <v>282</v>
      </c>
      <c r="P485" t="s">
        <v>283</v>
      </c>
      <c r="Q485" t="s">
        <v>284</v>
      </c>
      <c r="R485" t="s">
        <v>371</v>
      </c>
      <c r="S485">
        <v>0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704</v>
      </c>
      <c r="AD485" t="s">
        <v>340</v>
      </c>
      <c r="AE485" t="s">
        <v>342</v>
      </c>
      <c r="AF485" t="s">
        <v>343</v>
      </c>
      <c r="AG485" t="s">
        <v>344</v>
      </c>
      <c r="AH485" s="17" t="s">
        <v>371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 t="s">
        <v>704</v>
      </c>
      <c r="AR485" t="s">
        <v>350</v>
      </c>
      <c r="AS485" t="s">
        <v>349</v>
      </c>
      <c r="AT485">
        <v>0</v>
      </c>
      <c r="AU485">
        <v>1</v>
      </c>
      <c r="AV485">
        <v>0</v>
      </c>
      <c r="AW485" t="s">
        <v>704</v>
      </c>
      <c r="AX485" t="s">
        <v>2921</v>
      </c>
      <c r="AY485" t="s">
        <v>293</v>
      </c>
      <c r="AZ485" t="s">
        <v>353</v>
      </c>
      <c r="BA485" t="s">
        <v>297</v>
      </c>
      <c r="BB485" t="s">
        <v>300</v>
      </c>
      <c r="BC485" t="s">
        <v>292</v>
      </c>
      <c r="BD485" t="s">
        <v>293</v>
      </c>
      <c r="BE485" t="s">
        <v>292</v>
      </c>
      <c r="BF485" t="s">
        <v>293</v>
      </c>
      <c r="BG485" t="s">
        <v>293</v>
      </c>
      <c r="BH485" t="s">
        <v>302</v>
      </c>
      <c r="BI485" t="s">
        <v>302</v>
      </c>
      <c r="BJ485" t="s">
        <v>359</v>
      </c>
      <c r="BK485" t="s">
        <v>293</v>
      </c>
      <c r="BL485" t="s">
        <v>293</v>
      </c>
      <c r="BM485" t="s">
        <v>297</v>
      </c>
      <c r="BN485" t="s">
        <v>298</v>
      </c>
      <c r="BO485" t="s">
        <v>293</v>
      </c>
      <c r="BP485" t="s">
        <v>292</v>
      </c>
      <c r="BQ485" t="s">
        <v>293</v>
      </c>
      <c r="BR485" t="s">
        <v>293</v>
      </c>
      <c r="BS485" t="s">
        <v>364</v>
      </c>
      <c r="BT485" t="s">
        <v>366</v>
      </c>
      <c r="BU485" t="s">
        <v>371</v>
      </c>
      <c r="BV485" t="s">
        <v>466</v>
      </c>
      <c r="BW485" t="str">
        <f t="shared" si="0"/>
        <v>https://dfp529wcvahka.cloudfront.net/ws/GalleryEntry/b3BX3/video_preview/mdJrjNwt.png</v>
      </c>
      <c r="BX485" t="str">
        <f>IF(J485="win",VLOOKUP(B485,ColorScheme!$A$2:$I$32,4,0),VLOOKUP(B485,ColorScheme!$A$2:$I$32,5,0))</f>
        <v>#000000</v>
      </c>
    </row>
    <row r="486" spans="1:76" x14ac:dyDescent="0.3">
      <c r="A486" t="s">
        <v>381</v>
      </c>
      <c r="B486" t="s">
        <v>1344</v>
      </c>
      <c r="C486" t="s">
        <v>435</v>
      </c>
      <c r="D486" t="s">
        <v>1345</v>
      </c>
      <c r="E486" t="s">
        <v>435</v>
      </c>
      <c r="F486" t="b">
        <v>1</v>
      </c>
      <c r="G486">
        <v>97.5</v>
      </c>
      <c r="H486">
        <v>0</v>
      </c>
      <c r="I486">
        <v>8416</v>
      </c>
      <c r="J486" s="61" t="s">
        <v>13</v>
      </c>
      <c r="K486" t="s">
        <v>272</v>
      </c>
      <c r="L486">
        <v>3</v>
      </c>
      <c r="M486" t="s">
        <v>277</v>
      </c>
      <c r="N486" t="s">
        <v>335</v>
      </c>
      <c r="O486" t="s">
        <v>282</v>
      </c>
      <c r="P486" t="s">
        <v>371</v>
      </c>
      <c r="Q486" t="s">
        <v>371</v>
      </c>
      <c r="R486" t="s">
        <v>371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704</v>
      </c>
      <c r="AD486" t="s">
        <v>341</v>
      </c>
      <c r="AE486" t="s">
        <v>342</v>
      </c>
      <c r="AF486" t="s">
        <v>343</v>
      </c>
      <c r="AG486" t="s">
        <v>345</v>
      </c>
      <c r="AH486" s="17" t="s">
        <v>371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 t="s">
        <v>704</v>
      </c>
      <c r="AR486" t="s">
        <v>349</v>
      </c>
      <c r="AS486" t="s">
        <v>349</v>
      </c>
      <c r="AT486">
        <v>1</v>
      </c>
      <c r="AU486">
        <v>0</v>
      </c>
      <c r="AV486">
        <v>0</v>
      </c>
      <c r="AW486" t="s">
        <v>704</v>
      </c>
      <c r="AX486" t="s">
        <v>1232</v>
      </c>
      <c r="AY486" t="s">
        <v>293</v>
      </c>
      <c r="AZ486" t="s">
        <v>353</v>
      </c>
      <c r="BA486" t="s">
        <v>297</v>
      </c>
      <c r="BB486" t="s">
        <v>300</v>
      </c>
      <c r="BC486" t="s">
        <v>292</v>
      </c>
      <c r="BD486" t="s">
        <v>293</v>
      </c>
      <c r="BE486" t="s">
        <v>292</v>
      </c>
      <c r="BF486" t="s">
        <v>293</v>
      </c>
      <c r="BG486" t="s">
        <v>293</v>
      </c>
      <c r="BH486" t="s">
        <v>302</v>
      </c>
      <c r="BI486" t="s">
        <v>302</v>
      </c>
      <c r="BJ486" t="s">
        <v>359</v>
      </c>
      <c r="BK486" t="s">
        <v>293</v>
      </c>
      <c r="BL486" t="s">
        <v>293</v>
      </c>
      <c r="BM486" t="s">
        <v>297</v>
      </c>
      <c r="BN486" t="s">
        <v>298</v>
      </c>
      <c r="BO486" t="s">
        <v>293</v>
      </c>
      <c r="BP486" t="s">
        <v>292</v>
      </c>
      <c r="BQ486" t="s">
        <v>362</v>
      </c>
      <c r="BR486" t="s">
        <v>293</v>
      </c>
      <c r="BS486" t="s">
        <v>364</v>
      </c>
      <c r="BT486" t="s">
        <v>366</v>
      </c>
      <c r="BU486" t="s">
        <v>371</v>
      </c>
      <c r="BV486" t="s">
        <v>436</v>
      </c>
      <c r="BW486" t="str">
        <f t="shared" si="0"/>
        <v>https://dfp529wcvahka.cloudfront.net/ws/GalleryEntry/b3ENz/video_preview/IO8adRmZ.png</v>
      </c>
      <c r="BX486" t="str">
        <f>IF(J486="win",VLOOKUP(B486,ColorScheme!$A$2:$I$32,4,0),VLOOKUP(B486,ColorScheme!$A$2:$I$32,5,0))</f>
        <v>#000000</v>
      </c>
    </row>
    <row r="487" spans="1:76" x14ac:dyDescent="0.3">
      <c r="A487" t="s">
        <v>381</v>
      </c>
      <c r="B487" t="s">
        <v>1344</v>
      </c>
      <c r="C487" t="s">
        <v>480</v>
      </c>
      <c r="D487" t="s">
        <v>1345</v>
      </c>
      <c r="E487" t="s">
        <v>480</v>
      </c>
      <c r="F487" t="b">
        <v>1</v>
      </c>
      <c r="G487">
        <v>99.15</v>
      </c>
      <c r="H487">
        <v>0</v>
      </c>
      <c r="I487">
        <v>6592</v>
      </c>
      <c r="J487" s="61" t="s">
        <v>13</v>
      </c>
      <c r="K487" t="s">
        <v>272</v>
      </c>
      <c r="L487">
        <v>3</v>
      </c>
      <c r="M487" t="s">
        <v>333</v>
      </c>
      <c r="N487" t="s">
        <v>278</v>
      </c>
      <c r="O487" t="s">
        <v>273</v>
      </c>
      <c r="P487" t="s">
        <v>371</v>
      </c>
      <c r="Q487" t="s">
        <v>371</v>
      </c>
      <c r="R487" t="s">
        <v>371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704</v>
      </c>
      <c r="AD487" t="s">
        <v>341</v>
      </c>
      <c r="AE487" t="s">
        <v>340</v>
      </c>
      <c r="AF487" t="s">
        <v>343</v>
      </c>
      <c r="AG487" t="s">
        <v>345</v>
      </c>
      <c r="AH487" s="17" t="s">
        <v>291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 t="s">
        <v>704</v>
      </c>
      <c r="AR487" t="s">
        <v>350</v>
      </c>
      <c r="AS487" t="s">
        <v>349</v>
      </c>
      <c r="AT487">
        <v>0</v>
      </c>
      <c r="AU487">
        <v>1</v>
      </c>
      <c r="AV487">
        <v>0</v>
      </c>
      <c r="AW487" t="s">
        <v>704</v>
      </c>
      <c r="AX487" t="s">
        <v>2922</v>
      </c>
      <c r="AY487" t="s">
        <v>293</v>
      </c>
      <c r="AZ487" t="s">
        <v>353</v>
      </c>
      <c r="BA487" t="s">
        <v>297</v>
      </c>
      <c r="BB487" t="s">
        <v>299</v>
      </c>
      <c r="BC487" t="s">
        <v>292</v>
      </c>
      <c r="BD487" t="s">
        <v>293</v>
      </c>
      <c r="BE487" t="s">
        <v>292</v>
      </c>
      <c r="BF487" t="s">
        <v>293</v>
      </c>
      <c r="BG487" t="s">
        <v>293</v>
      </c>
      <c r="BH487" t="s">
        <v>302</v>
      </c>
      <c r="BI487" t="s">
        <v>359</v>
      </c>
      <c r="BJ487" t="s">
        <v>359</v>
      </c>
      <c r="BK487" t="s">
        <v>293</v>
      </c>
      <c r="BL487" t="s">
        <v>293</v>
      </c>
      <c r="BM487" t="s">
        <v>297</v>
      </c>
      <c r="BN487" t="s">
        <v>298</v>
      </c>
      <c r="BO487" t="s">
        <v>360</v>
      </c>
      <c r="BP487" t="s">
        <v>292</v>
      </c>
      <c r="BQ487" t="s">
        <v>293</v>
      </c>
      <c r="BR487" t="s">
        <v>293</v>
      </c>
      <c r="BS487" t="s">
        <v>364</v>
      </c>
      <c r="BT487" t="s">
        <v>366</v>
      </c>
      <c r="BU487" t="s">
        <v>371</v>
      </c>
      <c r="BV487" t="s">
        <v>481</v>
      </c>
      <c r="BW487" t="str">
        <f t="shared" si="0"/>
        <v>https://dfp529wcvahka.cloudfront.net/ws/GalleryEntry/b77M7/video_preview/zmZnthHQ.png</v>
      </c>
      <c r="BX487" t="str">
        <f>IF(J487="win",VLOOKUP(B487,ColorScheme!$A$2:$I$32,4,0),VLOOKUP(B487,ColorScheme!$A$2:$I$32,5,0))</f>
        <v>#000000</v>
      </c>
    </row>
    <row r="488" spans="1:76" x14ac:dyDescent="0.3">
      <c r="A488" t="s">
        <v>381</v>
      </c>
      <c r="B488" t="s">
        <v>1344</v>
      </c>
      <c r="C488" t="s">
        <v>528</v>
      </c>
      <c r="D488" t="s">
        <v>1345</v>
      </c>
      <c r="E488" t="s">
        <v>528</v>
      </c>
      <c r="F488" t="b">
        <v>1</v>
      </c>
      <c r="G488">
        <v>100</v>
      </c>
      <c r="H488">
        <v>1</v>
      </c>
      <c r="I488">
        <v>4580</v>
      </c>
      <c r="J488" s="61" t="s">
        <v>13</v>
      </c>
      <c r="K488" t="s">
        <v>272</v>
      </c>
      <c r="L488">
        <v>3</v>
      </c>
      <c r="M488" t="s">
        <v>333</v>
      </c>
      <c r="N488" t="s">
        <v>280</v>
      </c>
      <c r="O488" t="s">
        <v>284</v>
      </c>
      <c r="P488" t="s">
        <v>283</v>
      </c>
      <c r="Q488" t="s">
        <v>282</v>
      </c>
      <c r="R488" t="s">
        <v>338</v>
      </c>
      <c r="S488">
        <v>0</v>
      </c>
      <c r="T488">
        <v>1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 t="s">
        <v>704</v>
      </c>
      <c r="AD488" t="s">
        <v>340</v>
      </c>
      <c r="AE488" t="s">
        <v>342</v>
      </c>
      <c r="AF488" t="s">
        <v>343</v>
      </c>
      <c r="AG488" t="s">
        <v>291</v>
      </c>
      <c r="AH488" s="17" t="s">
        <v>371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 t="s">
        <v>704</v>
      </c>
      <c r="AR488" t="s">
        <v>350</v>
      </c>
      <c r="AS488" t="s">
        <v>351</v>
      </c>
      <c r="AT488">
        <v>0</v>
      </c>
      <c r="AU488">
        <v>1</v>
      </c>
      <c r="AV488">
        <v>1</v>
      </c>
      <c r="AW488" t="s">
        <v>704</v>
      </c>
      <c r="AX488" t="s">
        <v>1328</v>
      </c>
      <c r="AY488" t="s">
        <v>292</v>
      </c>
      <c r="AZ488" t="s">
        <v>352</v>
      </c>
      <c r="BA488" t="s">
        <v>297</v>
      </c>
      <c r="BB488" t="s">
        <v>299</v>
      </c>
      <c r="BC488" t="s">
        <v>292</v>
      </c>
      <c r="BD488" t="s">
        <v>293</v>
      </c>
      <c r="BE488" t="s">
        <v>292</v>
      </c>
      <c r="BF488" t="s">
        <v>293</v>
      </c>
      <c r="BG488" t="s">
        <v>293</v>
      </c>
      <c r="BH488" t="s">
        <v>358</v>
      </c>
      <c r="BI488" t="s">
        <v>302</v>
      </c>
      <c r="BJ488" t="s">
        <v>302</v>
      </c>
      <c r="BK488" t="s">
        <v>293</v>
      </c>
      <c r="BL488" t="s">
        <v>292</v>
      </c>
      <c r="BM488" t="s">
        <v>297</v>
      </c>
      <c r="BN488" t="s">
        <v>298</v>
      </c>
      <c r="BO488" t="s">
        <v>293</v>
      </c>
      <c r="BP488" t="s">
        <v>292</v>
      </c>
      <c r="BQ488" t="s">
        <v>293</v>
      </c>
      <c r="BR488" t="s">
        <v>293</v>
      </c>
      <c r="BS488" t="s">
        <v>364</v>
      </c>
      <c r="BT488" t="s">
        <v>304</v>
      </c>
      <c r="BU488" t="s">
        <v>371</v>
      </c>
      <c r="BV488" t="s">
        <v>529</v>
      </c>
      <c r="BW488" t="str">
        <f t="shared" si="0"/>
        <v>https://dfp529wcvahka.cloudfront.net/ws/GalleryEntry/bD2r4/video_preview/nIhWrmnG.png</v>
      </c>
      <c r="BX488" t="str">
        <f>IF(J488="win",VLOOKUP(B488,ColorScheme!$A$2:$I$32,4,0),VLOOKUP(B488,ColorScheme!$A$2:$I$32,5,0))</f>
        <v>#000000</v>
      </c>
    </row>
    <row r="489" spans="1:76" x14ac:dyDescent="0.3">
      <c r="A489" t="s">
        <v>381</v>
      </c>
      <c r="B489" t="s">
        <v>1344</v>
      </c>
      <c r="C489" t="s">
        <v>663</v>
      </c>
      <c r="D489" t="s">
        <v>1345</v>
      </c>
      <c r="E489" t="s">
        <v>663</v>
      </c>
      <c r="F489" t="b">
        <v>1</v>
      </c>
      <c r="G489">
        <v>97.6</v>
      </c>
      <c r="H489">
        <v>0</v>
      </c>
      <c r="I489">
        <v>7300</v>
      </c>
      <c r="J489" s="61" t="s">
        <v>13</v>
      </c>
      <c r="K489" t="s">
        <v>272</v>
      </c>
      <c r="L489">
        <v>3</v>
      </c>
      <c r="M489" t="s">
        <v>333</v>
      </c>
      <c r="N489" t="s">
        <v>278</v>
      </c>
      <c r="O489" t="s">
        <v>283</v>
      </c>
      <c r="P489" t="s">
        <v>371</v>
      </c>
      <c r="Q489" t="s">
        <v>371</v>
      </c>
      <c r="R489" t="s">
        <v>371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704</v>
      </c>
      <c r="AD489" t="s">
        <v>341</v>
      </c>
      <c r="AE489" t="s">
        <v>342</v>
      </c>
      <c r="AF489" t="s">
        <v>343</v>
      </c>
      <c r="AG489" t="s">
        <v>345</v>
      </c>
      <c r="AH489" s="17" t="s">
        <v>347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 t="s">
        <v>704</v>
      </c>
      <c r="AR489" t="s">
        <v>349</v>
      </c>
      <c r="AS489" t="s">
        <v>349</v>
      </c>
      <c r="AT489">
        <v>1</v>
      </c>
      <c r="AU489">
        <v>0</v>
      </c>
      <c r="AV489">
        <v>0</v>
      </c>
      <c r="AW489" t="s">
        <v>704</v>
      </c>
      <c r="AX489" t="s">
        <v>1329</v>
      </c>
      <c r="AY489" t="s">
        <v>293</v>
      </c>
      <c r="AZ489" t="s">
        <v>353</v>
      </c>
      <c r="BA489" t="s">
        <v>297</v>
      </c>
      <c r="BB489" t="s">
        <v>300</v>
      </c>
      <c r="BC489" t="s">
        <v>292</v>
      </c>
      <c r="BD489" t="s">
        <v>293</v>
      </c>
      <c r="BE489" t="s">
        <v>292</v>
      </c>
      <c r="BF489" t="s">
        <v>293</v>
      </c>
      <c r="BG489" t="s">
        <v>293</v>
      </c>
      <c r="BH489" t="s">
        <v>302</v>
      </c>
      <c r="BI489" t="s">
        <v>359</v>
      </c>
      <c r="BJ489" t="s">
        <v>359</v>
      </c>
      <c r="BK489" t="s">
        <v>293</v>
      </c>
      <c r="BL489" t="s">
        <v>293</v>
      </c>
      <c r="BM489" t="s">
        <v>297</v>
      </c>
      <c r="BN489" t="s">
        <v>298</v>
      </c>
      <c r="BO489" t="s">
        <v>360</v>
      </c>
      <c r="BP489" t="s">
        <v>292</v>
      </c>
      <c r="BQ489" t="s">
        <v>293</v>
      </c>
      <c r="BR489" t="s">
        <v>293</v>
      </c>
      <c r="BS489" t="s">
        <v>364</v>
      </c>
      <c r="BT489" t="s">
        <v>366</v>
      </c>
      <c r="BU489" t="s">
        <v>371</v>
      </c>
      <c r="BV489" t="s">
        <v>664</v>
      </c>
      <c r="BW489" t="str">
        <f t="shared" si="0"/>
        <v>https://dfp529wcvahka.cloudfront.net/ws/GalleryEntry/bd98w/video_preview/qX3JsbpG.png</v>
      </c>
      <c r="BX489" t="str">
        <f>IF(J489="win",VLOOKUP(B489,ColorScheme!$A$2:$I$32,4,0),VLOOKUP(B489,ColorScheme!$A$2:$I$32,5,0))</f>
        <v>#000000</v>
      </c>
    </row>
    <row r="490" spans="1:76" x14ac:dyDescent="0.3">
      <c r="A490" t="s">
        <v>381</v>
      </c>
      <c r="B490" t="s">
        <v>1344</v>
      </c>
      <c r="C490" t="s">
        <v>669</v>
      </c>
      <c r="D490" t="s">
        <v>1345</v>
      </c>
      <c r="E490" t="s">
        <v>669</v>
      </c>
      <c r="F490" t="b">
        <v>1</v>
      </c>
      <c r="G490">
        <v>92.79</v>
      </c>
      <c r="H490">
        <v>0</v>
      </c>
      <c r="I490">
        <v>11269</v>
      </c>
      <c r="J490" s="61" t="s">
        <v>13</v>
      </c>
      <c r="K490" t="s">
        <v>272</v>
      </c>
      <c r="L490">
        <v>3</v>
      </c>
      <c r="M490" t="s">
        <v>277</v>
      </c>
      <c r="N490" t="s">
        <v>335</v>
      </c>
      <c r="O490" t="s">
        <v>281</v>
      </c>
      <c r="P490" t="s">
        <v>282</v>
      </c>
      <c r="Q490" t="s">
        <v>371</v>
      </c>
      <c r="R490" t="s">
        <v>371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704</v>
      </c>
      <c r="AD490" t="s">
        <v>341</v>
      </c>
      <c r="AE490" t="s">
        <v>342</v>
      </c>
      <c r="AF490" t="s">
        <v>343</v>
      </c>
      <c r="AG490" t="s">
        <v>345</v>
      </c>
      <c r="AH490" s="17" t="s">
        <v>371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 t="s">
        <v>704</v>
      </c>
      <c r="AR490" t="s">
        <v>349</v>
      </c>
      <c r="AS490" t="s">
        <v>349</v>
      </c>
      <c r="AT490">
        <v>1</v>
      </c>
      <c r="AU490">
        <v>0</v>
      </c>
      <c r="AV490">
        <v>0</v>
      </c>
      <c r="AW490" t="s">
        <v>704</v>
      </c>
      <c r="AX490" t="s">
        <v>1218</v>
      </c>
      <c r="AY490" t="s">
        <v>293</v>
      </c>
      <c r="AZ490" t="s">
        <v>353</v>
      </c>
      <c r="BA490" t="s">
        <v>355</v>
      </c>
      <c r="BB490" t="s">
        <v>299</v>
      </c>
      <c r="BC490" t="s">
        <v>292</v>
      </c>
      <c r="BD490" t="s">
        <v>293</v>
      </c>
      <c r="BE490" t="s">
        <v>292</v>
      </c>
      <c r="BF490" t="s">
        <v>292</v>
      </c>
      <c r="BG490" t="s">
        <v>293</v>
      </c>
      <c r="BH490" t="s">
        <v>302</v>
      </c>
      <c r="BI490" t="s">
        <v>302</v>
      </c>
      <c r="BJ490" t="s">
        <v>359</v>
      </c>
      <c r="BK490" t="s">
        <v>293</v>
      </c>
      <c r="BL490" t="s">
        <v>293</v>
      </c>
      <c r="BM490" t="s">
        <v>297</v>
      </c>
      <c r="BN490" t="s">
        <v>298</v>
      </c>
      <c r="BO490" t="s">
        <v>293</v>
      </c>
      <c r="BP490" t="s">
        <v>292</v>
      </c>
      <c r="BQ490" t="s">
        <v>293</v>
      </c>
      <c r="BR490" t="s">
        <v>293</v>
      </c>
      <c r="BS490" t="s">
        <v>364</v>
      </c>
      <c r="BT490" t="s">
        <v>366</v>
      </c>
      <c r="BU490" t="s">
        <v>371</v>
      </c>
      <c r="BV490" t="s">
        <v>670</v>
      </c>
      <c r="BW490" t="str">
        <f t="shared" si="0"/>
        <v>https://dfp529wcvahka.cloudfront.net/ws/GalleryEntry/bdpx7/video_preview/JLQJX2E6.png</v>
      </c>
      <c r="BX490" t="str">
        <f>IF(J490="win",VLOOKUP(B490,ColorScheme!$A$2:$I$32,4,0),VLOOKUP(B490,ColorScheme!$A$2:$I$32,5,0))</f>
        <v>#000000</v>
      </c>
    </row>
    <row r="491" spans="1:76" x14ac:dyDescent="0.3">
      <c r="A491" t="s">
        <v>381</v>
      </c>
      <c r="B491" t="s">
        <v>1344</v>
      </c>
      <c r="C491" t="s">
        <v>651</v>
      </c>
      <c r="D491" t="s">
        <v>1345</v>
      </c>
      <c r="E491" t="s">
        <v>651</v>
      </c>
      <c r="F491" t="b">
        <v>1</v>
      </c>
      <c r="G491">
        <v>99.87</v>
      </c>
      <c r="H491">
        <v>0</v>
      </c>
      <c r="I491">
        <v>8646</v>
      </c>
      <c r="J491" s="61" t="s">
        <v>13</v>
      </c>
      <c r="K491" t="s">
        <v>272</v>
      </c>
      <c r="L491">
        <v>3</v>
      </c>
      <c r="M491" t="s">
        <v>333</v>
      </c>
      <c r="N491" t="s">
        <v>278</v>
      </c>
      <c r="O491" t="s">
        <v>281</v>
      </c>
      <c r="P491" t="s">
        <v>282</v>
      </c>
      <c r="Q491" t="s">
        <v>371</v>
      </c>
      <c r="R491" t="s">
        <v>371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704</v>
      </c>
      <c r="AD491" t="s">
        <v>341</v>
      </c>
      <c r="AE491" t="s">
        <v>342</v>
      </c>
      <c r="AF491" t="s">
        <v>343</v>
      </c>
      <c r="AG491" t="s">
        <v>345</v>
      </c>
      <c r="AH491" s="17" t="s">
        <v>371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704</v>
      </c>
      <c r="AR491" t="s">
        <v>349</v>
      </c>
      <c r="AS491" t="s">
        <v>349</v>
      </c>
      <c r="AT491">
        <v>1</v>
      </c>
      <c r="AU491">
        <v>0</v>
      </c>
      <c r="AV491">
        <v>0</v>
      </c>
      <c r="AW491" t="s">
        <v>704</v>
      </c>
      <c r="AX491" t="s">
        <v>1218</v>
      </c>
      <c r="AY491" t="s">
        <v>293</v>
      </c>
      <c r="AZ491" t="s">
        <v>353</v>
      </c>
      <c r="BA491" t="s">
        <v>297</v>
      </c>
      <c r="BB491" t="s">
        <v>299</v>
      </c>
      <c r="BC491" t="s">
        <v>292</v>
      </c>
      <c r="BD491" t="s">
        <v>293</v>
      </c>
      <c r="BE491" t="s">
        <v>292</v>
      </c>
      <c r="BF491" t="s">
        <v>293</v>
      </c>
      <c r="BG491" t="s">
        <v>293</v>
      </c>
      <c r="BH491" t="s">
        <v>302</v>
      </c>
      <c r="BI491" t="s">
        <v>359</v>
      </c>
      <c r="BJ491" t="s">
        <v>359</v>
      </c>
      <c r="BK491" t="s">
        <v>293</v>
      </c>
      <c r="BL491" t="s">
        <v>293</v>
      </c>
      <c r="BM491" t="s">
        <v>297</v>
      </c>
      <c r="BN491" t="s">
        <v>298</v>
      </c>
      <c r="BO491" t="s">
        <v>293</v>
      </c>
      <c r="BP491" t="s">
        <v>292</v>
      </c>
      <c r="BQ491" t="s">
        <v>362</v>
      </c>
      <c r="BR491" t="s">
        <v>293</v>
      </c>
      <c r="BS491" t="s">
        <v>364</v>
      </c>
      <c r="BT491" t="s">
        <v>366</v>
      </c>
      <c r="BU491" t="s">
        <v>371</v>
      </c>
      <c r="BV491" t="s">
        <v>652</v>
      </c>
      <c r="BW491" t="str">
        <f t="shared" si="0"/>
        <v>https://dfp529wcvahka.cloudfront.net/ws/GalleryEntry/bjjNm/video_preview/xhoMHDlH.png</v>
      </c>
      <c r="BX491" t="str">
        <f>IF(J491="win",VLOOKUP(B491,ColorScheme!$A$2:$I$32,4,0),VLOOKUP(B491,ColorScheme!$A$2:$I$32,5,0))</f>
        <v>#000000</v>
      </c>
    </row>
    <row r="492" spans="1:76" x14ac:dyDescent="0.3">
      <c r="A492" t="s">
        <v>381</v>
      </c>
      <c r="B492" t="s">
        <v>1344</v>
      </c>
      <c r="C492" t="s">
        <v>633</v>
      </c>
      <c r="D492" t="s">
        <v>1345</v>
      </c>
      <c r="E492" t="s">
        <v>633</v>
      </c>
      <c r="F492" t="b">
        <v>1</v>
      </c>
      <c r="G492">
        <v>100</v>
      </c>
      <c r="H492">
        <v>1</v>
      </c>
      <c r="I492">
        <v>14534</v>
      </c>
      <c r="J492" s="61" t="s">
        <v>18</v>
      </c>
      <c r="K492" t="s">
        <v>272</v>
      </c>
      <c r="L492">
        <v>2</v>
      </c>
      <c r="M492" t="s">
        <v>333</v>
      </c>
      <c r="N492" t="s">
        <v>278</v>
      </c>
      <c r="O492" t="s">
        <v>287</v>
      </c>
      <c r="P492" t="s">
        <v>371</v>
      </c>
      <c r="Q492" t="s">
        <v>371</v>
      </c>
      <c r="R492" t="s">
        <v>371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 t="s">
        <v>704</v>
      </c>
      <c r="AD492" t="s">
        <v>340</v>
      </c>
      <c r="AE492" t="s">
        <v>342</v>
      </c>
      <c r="AF492" t="s">
        <v>343</v>
      </c>
      <c r="AG492" t="s">
        <v>291</v>
      </c>
      <c r="AH492" s="17" t="s">
        <v>371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 t="s">
        <v>704</v>
      </c>
      <c r="AR492" t="s">
        <v>351</v>
      </c>
      <c r="AS492" t="s">
        <v>349</v>
      </c>
      <c r="AT492">
        <v>0</v>
      </c>
      <c r="AU492">
        <v>0</v>
      </c>
      <c r="AV492">
        <v>1</v>
      </c>
      <c r="AW492" t="s">
        <v>704</v>
      </c>
      <c r="AX492" t="s">
        <v>2923</v>
      </c>
      <c r="AY492" t="s">
        <v>293</v>
      </c>
      <c r="AZ492" t="s">
        <v>352</v>
      </c>
      <c r="BA492" t="s">
        <v>296</v>
      </c>
      <c r="BB492" t="s">
        <v>300</v>
      </c>
      <c r="BC492" t="s">
        <v>292</v>
      </c>
      <c r="BD492" t="s">
        <v>293</v>
      </c>
      <c r="BE492" t="s">
        <v>292</v>
      </c>
      <c r="BF492" t="s">
        <v>292</v>
      </c>
      <c r="BG492" t="s">
        <v>293</v>
      </c>
      <c r="BH492" t="s">
        <v>302</v>
      </c>
      <c r="BI492" t="s">
        <v>357</v>
      </c>
      <c r="BJ492" t="s">
        <v>359</v>
      </c>
      <c r="BK492" t="s">
        <v>293</v>
      </c>
      <c r="BL492" t="s">
        <v>293</v>
      </c>
      <c r="BM492" t="s">
        <v>296</v>
      </c>
      <c r="BN492" t="s">
        <v>298</v>
      </c>
      <c r="BO492" t="s">
        <v>293</v>
      </c>
      <c r="BP492" t="s">
        <v>292</v>
      </c>
      <c r="BQ492" t="s">
        <v>293</v>
      </c>
      <c r="BR492" t="s">
        <v>293</v>
      </c>
      <c r="BS492" t="s">
        <v>687</v>
      </c>
      <c r="BT492" t="s">
        <v>304</v>
      </c>
      <c r="BU492" t="s">
        <v>371</v>
      </c>
      <c r="BV492" t="s">
        <v>634</v>
      </c>
      <c r="BW492" t="str">
        <f t="shared" si="0"/>
        <v>https://dfp529wcvahka.cloudfront.net/ws/GalleryEntry/BNPjd/video_preview/VeMILkYC.png</v>
      </c>
      <c r="BX492" t="str">
        <f>IF(J492="win",VLOOKUP(B492,ColorScheme!$A$2:$I$32,4,0),VLOOKUP(B492,ColorScheme!$A$2:$I$32,5,0))</f>
        <v>#00000050</v>
      </c>
    </row>
    <row r="493" spans="1:76" x14ac:dyDescent="0.3">
      <c r="A493" t="s">
        <v>381</v>
      </c>
      <c r="B493" t="s">
        <v>1344</v>
      </c>
      <c r="C493" t="s">
        <v>591</v>
      </c>
      <c r="D493" t="s">
        <v>1345</v>
      </c>
      <c r="E493" t="s">
        <v>591</v>
      </c>
      <c r="F493" t="b">
        <v>1</v>
      </c>
      <c r="G493">
        <v>57</v>
      </c>
      <c r="H493">
        <v>0</v>
      </c>
      <c r="I493">
        <v>9673</v>
      </c>
      <c r="J493" s="61" t="s">
        <v>13</v>
      </c>
      <c r="K493" t="s">
        <v>272</v>
      </c>
      <c r="L493">
        <v>3</v>
      </c>
      <c r="M493" t="s">
        <v>277</v>
      </c>
      <c r="N493" t="s">
        <v>335</v>
      </c>
      <c r="O493" t="s">
        <v>282</v>
      </c>
      <c r="P493" t="s">
        <v>371</v>
      </c>
      <c r="Q493" t="s">
        <v>371</v>
      </c>
      <c r="R493" t="s">
        <v>371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704</v>
      </c>
      <c r="AD493" t="s">
        <v>341</v>
      </c>
      <c r="AE493" t="s">
        <v>342</v>
      </c>
      <c r="AF493" t="s">
        <v>343</v>
      </c>
      <c r="AG493" t="s">
        <v>345</v>
      </c>
      <c r="AH493" s="17" t="s">
        <v>344</v>
      </c>
      <c r="AI493">
        <v>1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 t="s">
        <v>704</v>
      </c>
      <c r="AR493" t="s">
        <v>349</v>
      </c>
      <c r="AS493" t="s">
        <v>349</v>
      </c>
      <c r="AT493">
        <v>1</v>
      </c>
      <c r="AU493">
        <v>0</v>
      </c>
      <c r="AV493">
        <v>0</v>
      </c>
      <c r="AW493" t="s">
        <v>704</v>
      </c>
      <c r="AX493" t="s">
        <v>1215</v>
      </c>
      <c r="AY493" t="s">
        <v>293</v>
      </c>
      <c r="AZ493" t="s">
        <v>353</v>
      </c>
      <c r="BA493" t="s">
        <v>297</v>
      </c>
      <c r="BB493" t="s">
        <v>300</v>
      </c>
      <c r="BC493" t="s">
        <v>292</v>
      </c>
      <c r="BD493" t="s">
        <v>293</v>
      </c>
      <c r="BE493" t="s">
        <v>292</v>
      </c>
      <c r="BF493" t="s">
        <v>293</v>
      </c>
      <c r="BG493" t="s">
        <v>293</v>
      </c>
      <c r="BH493" t="s">
        <v>302</v>
      </c>
      <c r="BI493" t="s">
        <v>302</v>
      </c>
      <c r="BJ493" t="s">
        <v>359</v>
      </c>
      <c r="BK493" t="s">
        <v>293</v>
      </c>
      <c r="BL493" t="s">
        <v>293</v>
      </c>
      <c r="BM493" t="s">
        <v>297</v>
      </c>
      <c r="BN493" t="s">
        <v>298</v>
      </c>
      <c r="BO493" t="s">
        <v>293</v>
      </c>
      <c r="BP493" t="s">
        <v>292</v>
      </c>
      <c r="BQ493" t="s">
        <v>293</v>
      </c>
      <c r="BR493" t="s">
        <v>293</v>
      </c>
      <c r="BS493" t="s">
        <v>364</v>
      </c>
      <c r="BT493" t="s">
        <v>366</v>
      </c>
      <c r="BU493" t="s">
        <v>371</v>
      </c>
      <c r="BV493" t="s">
        <v>592</v>
      </c>
      <c r="BW493" t="str">
        <f t="shared" si="0"/>
        <v>https://dfp529wcvahka.cloudfront.net/ws/GalleryEntry/D5eOO/video_preview/EQjSuFSk.png</v>
      </c>
      <c r="BX493" t="str">
        <f>IF(J493="win",VLOOKUP(B493,ColorScheme!$A$2:$I$32,4,0),VLOOKUP(B493,ColorScheme!$A$2:$I$32,5,0))</f>
        <v>#000000</v>
      </c>
    </row>
    <row r="494" spans="1:76" x14ac:dyDescent="0.3">
      <c r="A494" t="s">
        <v>381</v>
      </c>
      <c r="B494" t="s">
        <v>1344</v>
      </c>
      <c r="C494" t="s">
        <v>456</v>
      </c>
      <c r="D494" t="s">
        <v>1345</v>
      </c>
      <c r="E494" t="s">
        <v>456</v>
      </c>
      <c r="F494" t="b">
        <v>1</v>
      </c>
      <c r="G494">
        <v>99</v>
      </c>
      <c r="H494">
        <v>0</v>
      </c>
      <c r="I494">
        <v>7729</v>
      </c>
      <c r="J494" s="61" t="s">
        <v>13</v>
      </c>
      <c r="K494" t="s">
        <v>272</v>
      </c>
      <c r="L494">
        <v>3</v>
      </c>
      <c r="M494" t="s">
        <v>277</v>
      </c>
      <c r="N494" t="s">
        <v>335</v>
      </c>
      <c r="O494" t="s">
        <v>281</v>
      </c>
      <c r="P494" t="s">
        <v>282</v>
      </c>
      <c r="Q494" t="s">
        <v>371</v>
      </c>
      <c r="R494" t="s">
        <v>371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704</v>
      </c>
      <c r="AD494" t="s">
        <v>341</v>
      </c>
      <c r="AE494" t="s">
        <v>340</v>
      </c>
      <c r="AF494" t="s">
        <v>343</v>
      </c>
      <c r="AG494" t="s">
        <v>345</v>
      </c>
      <c r="AH494" s="17" t="s">
        <v>371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 t="s">
        <v>704</v>
      </c>
      <c r="AR494" t="s">
        <v>350</v>
      </c>
      <c r="AS494" t="s">
        <v>349</v>
      </c>
      <c r="AT494">
        <v>0</v>
      </c>
      <c r="AU494">
        <v>1</v>
      </c>
      <c r="AV494">
        <v>0</v>
      </c>
      <c r="AW494" t="s">
        <v>704</v>
      </c>
      <c r="AX494" t="s">
        <v>2924</v>
      </c>
      <c r="AY494" t="s">
        <v>293</v>
      </c>
      <c r="AZ494" t="s">
        <v>353</v>
      </c>
      <c r="BA494" t="s">
        <v>355</v>
      </c>
      <c r="BB494" t="s">
        <v>299</v>
      </c>
      <c r="BC494" t="s">
        <v>292</v>
      </c>
      <c r="BD494" t="s">
        <v>293</v>
      </c>
      <c r="BE494" t="s">
        <v>292</v>
      </c>
      <c r="BF494" t="s">
        <v>292</v>
      </c>
      <c r="BG494" t="s">
        <v>293</v>
      </c>
      <c r="BH494" t="s">
        <v>302</v>
      </c>
      <c r="BI494" t="s">
        <v>302</v>
      </c>
      <c r="BJ494" t="s">
        <v>359</v>
      </c>
      <c r="BK494" t="s">
        <v>293</v>
      </c>
      <c r="BL494" t="s">
        <v>293</v>
      </c>
      <c r="BM494" t="s">
        <v>297</v>
      </c>
      <c r="BN494" t="s">
        <v>298</v>
      </c>
      <c r="BO494" t="s">
        <v>293</v>
      </c>
      <c r="BP494" t="s">
        <v>292</v>
      </c>
      <c r="BQ494" t="s">
        <v>293</v>
      </c>
      <c r="BR494" t="s">
        <v>293</v>
      </c>
      <c r="BS494" t="s">
        <v>364</v>
      </c>
      <c r="BT494" t="s">
        <v>366</v>
      </c>
      <c r="BU494" t="s">
        <v>371</v>
      </c>
      <c r="BV494" t="s">
        <v>457</v>
      </c>
      <c r="BW494" t="str">
        <f t="shared" si="0"/>
        <v>https://dfp529wcvahka.cloudfront.net/ws/GalleryEntry/D5GKP/video_preview/NiHFnRjB.png</v>
      </c>
      <c r="BX494" t="str">
        <f>IF(J494="win",VLOOKUP(B494,ColorScheme!$A$2:$I$32,4,0),VLOOKUP(B494,ColorScheme!$A$2:$I$32,5,0))</f>
        <v>#000000</v>
      </c>
    </row>
    <row r="495" spans="1:76" x14ac:dyDescent="0.3">
      <c r="A495" t="s">
        <v>381</v>
      </c>
      <c r="B495" t="s">
        <v>1344</v>
      </c>
      <c r="C495" t="s">
        <v>537</v>
      </c>
      <c r="D495" t="s">
        <v>1345</v>
      </c>
      <c r="E495" t="s">
        <v>537</v>
      </c>
      <c r="F495" t="b">
        <v>1</v>
      </c>
      <c r="G495">
        <v>65</v>
      </c>
      <c r="H495">
        <v>0</v>
      </c>
      <c r="I495">
        <v>11871</v>
      </c>
      <c r="J495" s="61" t="s">
        <v>13</v>
      </c>
      <c r="K495" t="s">
        <v>272</v>
      </c>
      <c r="L495">
        <v>3</v>
      </c>
      <c r="M495" t="s">
        <v>277</v>
      </c>
      <c r="N495" t="s">
        <v>335</v>
      </c>
      <c r="O495" t="s">
        <v>283</v>
      </c>
      <c r="P495" t="s">
        <v>282</v>
      </c>
      <c r="Q495" t="s">
        <v>371</v>
      </c>
      <c r="R495" t="s">
        <v>371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704</v>
      </c>
      <c r="AD495" t="s">
        <v>341</v>
      </c>
      <c r="AE495" t="s">
        <v>342</v>
      </c>
      <c r="AF495" t="s">
        <v>343</v>
      </c>
      <c r="AG495" t="s">
        <v>344</v>
      </c>
      <c r="AH495" s="17" t="s">
        <v>371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 t="s">
        <v>704</v>
      </c>
      <c r="AR495" t="s">
        <v>349</v>
      </c>
      <c r="AS495" t="s">
        <v>349</v>
      </c>
      <c r="AT495">
        <v>1</v>
      </c>
      <c r="AU495">
        <v>0</v>
      </c>
      <c r="AV495">
        <v>0</v>
      </c>
      <c r="AW495" t="s">
        <v>704</v>
      </c>
      <c r="AX495" t="s">
        <v>1207</v>
      </c>
      <c r="AY495" t="s">
        <v>293</v>
      </c>
      <c r="AZ495" t="s">
        <v>353</v>
      </c>
      <c r="BA495" t="s">
        <v>297</v>
      </c>
      <c r="BB495" t="s">
        <v>301</v>
      </c>
      <c r="BC495" t="s">
        <v>292</v>
      </c>
      <c r="BD495" t="s">
        <v>293</v>
      </c>
      <c r="BE495" t="s">
        <v>292</v>
      </c>
      <c r="BF495" t="s">
        <v>293</v>
      </c>
      <c r="BG495" t="s">
        <v>293</v>
      </c>
      <c r="BH495" t="s">
        <v>302</v>
      </c>
      <c r="BI495" t="s">
        <v>302</v>
      </c>
      <c r="BJ495" t="s">
        <v>359</v>
      </c>
      <c r="BK495" t="s">
        <v>293</v>
      </c>
      <c r="BL495" t="s">
        <v>293</v>
      </c>
      <c r="BM495" t="s">
        <v>297</v>
      </c>
      <c r="BN495" t="s">
        <v>298</v>
      </c>
      <c r="BO495" t="s">
        <v>293</v>
      </c>
      <c r="BP495" t="s">
        <v>292</v>
      </c>
      <c r="BQ495" t="s">
        <v>293</v>
      </c>
      <c r="BR495" t="s">
        <v>293</v>
      </c>
      <c r="BS495" t="s">
        <v>364</v>
      </c>
      <c r="BT495" t="s">
        <v>366</v>
      </c>
      <c r="BU495" t="s">
        <v>371</v>
      </c>
      <c r="BV495" t="s">
        <v>538</v>
      </c>
      <c r="BW495" t="str">
        <f t="shared" si="0"/>
        <v>https://dfp529wcvahka.cloudfront.net/ws/GalleryEntry/dol5G/video_preview/tWv4v1PG.png</v>
      </c>
      <c r="BX495" t="str">
        <f>IF(J495="win",VLOOKUP(B495,ColorScheme!$A$2:$I$32,4,0),VLOOKUP(B495,ColorScheme!$A$2:$I$32,5,0))</f>
        <v>#000000</v>
      </c>
    </row>
    <row r="496" spans="1:76" x14ac:dyDescent="0.3">
      <c r="A496" t="s">
        <v>381</v>
      </c>
      <c r="B496" t="s">
        <v>1344</v>
      </c>
      <c r="C496" t="s">
        <v>471</v>
      </c>
      <c r="D496" t="s">
        <v>1345</v>
      </c>
      <c r="E496" t="s">
        <v>471</v>
      </c>
      <c r="F496" t="b">
        <v>1</v>
      </c>
      <c r="G496">
        <v>85.5</v>
      </c>
      <c r="H496">
        <v>0</v>
      </c>
      <c r="I496">
        <v>14998</v>
      </c>
      <c r="J496" s="61" t="s">
        <v>13</v>
      </c>
      <c r="K496" t="s">
        <v>272</v>
      </c>
      <c r="L496">
        <v>3</v>
      </c>
      <c r="M496" t="s">
        <v>277</v>
      </c>
      <c r="N496" t="s">
        <v>335</v>
      </c>
      <c r="O496" t="s">
        <v>281</v>
      </c>
      <c r="P496" t="s">
        <v>285</v>
      </c>
      <c r="Q496" t="s">
        <v>282</v>
      </c>
      <c r="R496" t="s">
        <v>371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 t="s">
        <v>704</v>
      </c>
      <c r="AD496" t="s">
        <v>341</v>
      </c>
      <c r="AE496" t="s">
        <v>342</v>
      </c>
      <c r="AF496" t="s">
        <v>343</v>
      </c>
      <c r="AG496" t="s">
        <v>344</v>
      </c>
      <c r="AH496" s="17" t="s">
        <v>371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 t="s">
        <v>704</v>
      </c>
      <c r="AR496" t="s">
        <v>350</v>
      </c>
      <c r="AS496" t="s">
        <v>349</v>
      </c>
      <c r="AT496">
        <v>0</v>
      </c>
      <c r="AU496">
        <v>1</v>
      </c>
      <c r="AV496">
        <v>0</v>
      </c>
      <c r="AW496" t="s">
        <v>704</v>
      </c>
      <c r="AX496" t="s">
        <v>2925</v>
      </c>
      <c r="AY496" t="s">
        <v>293</v>
      </c>
      <c r="AZ496" t="s">
        <v>353</v>
      </c>
      <c r="BA496" t="s">
        <v>297</v>
      </c>
      <c r="BB496" t="s">
        <v>301</v>
      </c>
      <c r="BC496" t="s">
        <v>292</v>
      </c>
      <c r="BD496" t="s">
        <v>292</v>
      </c>
      <c r="BE496" t="s">
        <v>292</v>
      </c>
      <c r="BF496" t="s">
        <v>292</v>
      </c>
      <c r="BG496" t="s">
        <v>293</v>
      </c>
      <c r="BH496" t="s">
        <v>302</v>
      </c>
      <c r="BI496" t="s">
        <v>302</v>
      </c>
      <c r="BJ496" t="s">
        <v>359</v>
      </c>
      <c r="BK496" t="s">
        <v>293</v>
      </c>
      <c r="BL496" t="s">
        <v>293</v>
      </c>
      <c r="BM496" t="s">
        <v>297</v>
      </c>
      <c r="BN496" t="s">
        <v>298</v>
      </c>
      <c r="BO496" t="s">
        <v>360</v>
      </c>
      <c r="BP496" t="s">
        <v>292</v>
      </c>
      <c r="BQ496" t="s">
        <v>293</v>
      </c>
      <c r="BR496" t="s">
        <v>293</v>
      </c>
      <c r="BS496" t="s">
        <v>364</v>
      </c>
      <c r="BT496" t="s">
        <v>366</v>
      </c>
      <c r="BU496" t="s">
        <v>371</v>
      </c>
      <c r="BV496" t="s">
        <v>472</v>
      </c>
      <c r="BW496" t="str">
        <f t="shared" si="0"/>
        <v>https://dfp529wcvahka.cloudfront.net/ws/GalleryEntry/doRRG/video_preview/nHg2bI3T.png</v>
      </c>
      <c r="BX496" t="str">
        <f>IF(J496="win",VLOOKUP(B496,ColorScheme!$A$2:$I$32,4,0),VLOOKUP(B496,ColorScheme!$A$2:$I$32,5,0))</f>
        <v>#000000</v>
      </c>
    </row>
    <row r="497" spans="1:76" x14ac:dyDescent="0.3">
      <c r="A497" t="s">
        <v>381</v>
      </c>
      <c r="B497" t="s">
        <v>1344</v>
      </c>
      <c r="C497" t="s">
        <v>546</v>
      </c>
      <c r="D497" t="s">
        <v>1345</v>
      </c>
      <c r="E497" t="s">
        <v>546</v>
      </c>
      <c r="F497" t="b">
        <v>1</v>
      </c>
      <c r="G497">
        <v>100</v>
      </c>
      <c r="H497">
        <v>1</v>
      </c>
      <c r="I497">
        <v>14988</v>
      </c>
      <c r="J497" s="61" t="s">
        <v>18</v>
      </c>
      <c r="K497" t="s">
        <v>272</v>
      </c>
      <c r="L497">
        <v>3</v>
      </c>
      <c r="M497" t="s">
        <v>277</v>
      </c>
      <c r="N497" t="s">
        <v>335</v>
      </c>
      <c r="O497" t="s">
        <v>282</v>
      </c>
      <c r="P497" t="s">
        <v>371</v>
      </c>
      <c r="Q497" t="s">
        <v>371</v>
      </c>
      <c r="R497" t="s">
        <v>371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704</v>
      </c>
      <c r="AD497" t="s">
        <v>341</v>
      </c>
      <c r="AE497" t="s">
        <v>342</v>
      </c>
      <c r="AF497" t="s">
        <v>343</v>
      </c>
      <c r="AG497" t="s">
        <v>291</v>
      </c>
      <c r="AH497" s="17" t="s">
        <v>371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 t="s">
        <v>704</v>
      </c>
      <c r="AR497" t="s">
        <v>349</v>
      </c>
      <c r="AS497" t="s">
        <v>349</v>
      </c>
      <c r="AT497">
        <v>1</v>
      </c>
      <c r="AU497">
        <v>0</v>
      </c>
      <c r="AV497">
        <v>0</v>
      </c>
      <c r="AW497" t="s">
        <v>704</v>
      </c>
      <c r="AX497" t="s">
        <v>1222</v>
      </c>
      <c r="AY497" t="s">
        <v>293</v>
      </c>
      <c r="AZ497" t="s">
        <v>353</v>
      </c>
      <c r="BA497" t="s">
        <v>296</v>
      </c>
      <c r="BB497" t="s">
        <v>299</v>
      </c>
      <c r="BC497" t="s">
        <v>292</v>
      </c>
      <c r="BD497" t="s">
        <v>292</v>
      </c>
      <c r="BE497" t="s">
        <v>292</v>
      </c>
      <c r="BF497" t="s">
        <v>292</v>
      </c>
      <c r="BG497" t="s">
        <v>293</v>
      </c>
      <c r="BH497" t="s">
        <v>302</v>
      </c>
      <c r="BI497" t="s">
        <v>302</v>
      </c>
      <c r="BJ497" t="s">
        <v>359</v>
      </c>
      <c r="BK497" t="s">
        <v>293</v>
      </c>
      <c r="BL497" t="s">
        <v>293</v>
      </c>
      <c r="BM497" t="s">
        <v>296</v>
      </c>
      <c r="BN497" t="s">
        <v>298</v>
      </c>
      <c r="BO497" t="s">
        <v>361</v>
      </c>
      <c r="BP497" t="s">
        <v>292</v>
      </c>
      <c r="BQ497" t="s">
        <v>293</v>
      </c>
      <c r="BR497" t="s">
        <v>293</v>
      </c>
      <c r="BS497" t="s">
        <v>364</v>
      </c>
      <c r="BT497" t="s">
        <v>304</v>
      </c>
      <c r="BU497" t="s">
        <v>371</v>
      </c>
      <c r="BV497" t="s">
        <v>547</v>
      </c>
      <c r="BW497" t="str">
        <f t="shared" si="0"/>
        <v>https://dfp529wcvahka.cloudfront.net/ws/GalleryEntry/Dz244/video_preview/2Cdpysmx.png</v>
      </c>
      <c r="BX497" t="str">
        <f>IF(J497="win",VLOOKUP(B497,ColorScheme!$A$2:$I$32,4,0),VLOOKUP(B497,ColorScheme!$A$2:$I$32,5,0))</f>
        <v>#00000050</v>
      </c>
    </row>
    <row r="498" spans="1:76" x14ac:dyDescent="0.3">
      <c r="A498" t="s">
        <v>381</v>
      </c>
      <c r="B498" t="s">
        <v>1344</v>
      </c>
      <c r="C498" t="s">
        <v>468</v>
      </c>
      <c r="D498" t="s">
        <v>1345</v>
      </c>
      <c r="E498" t="s">
        <v>468</v>
      </c>
      <c r="F498" t="b">
        <v>1</v>
      </c>
      <c r="G498">
        <v>82.3</v>
      </c>
      <c r="H498">
        <v>0</v>
      </c>
      <c r="I498">
        <v>6759</v>
      </c>
      <c r="J498" s="61" t="s">
        <v>13</v>
      </c>
      <c r="K498" t="s">
        <v>272</v>
      </c>
      <c r="L498">
        <v>3</v>
      </c>
      <c r="M498" t="s">
        <v>277</v>
      </c>
      <c r="N498" t="s">
        <v>335</v>
      </c>
      <c r="O498" t="s">
        <v>281</v>
      </c>
      <c r="P498" t="s">
        <v>282</v>
      </c>
      <c r="Q498" t="s">
        <v>284</v>
      </c>
      <c r="R498" t="s">
        <v>371</v>
      </c>
      <c r="S498">
        <v>1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704</v>
      </c>
      <c r="AD498" t="s">
        <v>341</v>
      </c>
      <c r="AE498" t="s">
        <v>342</v>
      </c>
      <c r="AF498" t="s">
        <v>343</v>
      </c>
      <c r="AG498" t="s">
        <v>344</v>
      </c>
      <c r="AH498" s="17" t="s">
        <v>371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704</v>
      </c>
      <c r="AR498" t="s">
        <v>350</v>
      </c>
      <c r="AS498" t="s">
        <v>349</v>
      </c>
      <c r="AT498">
        <v>0</v>
      </c>
      <c r="AU498">
        <v>1</v>
      </c>
      <c r="AV498">
        <v>0</v>
      </c>
      <c r="AW498" t="s">
        <v>704</v>
      </c>
      <c r="AX498" t="s">
        <v>2926</v>
      </c>
      <c r="AY498" t="s">
        <v>293</v>
      </c>
      <c r="AZ498" t="s">
        <v>353</v>
      </c>
      <c r="BA498" t="s">
        <v>297</v>
      </c>
      <c r="BB498" t="s">
        <v>299</v>
      </c>
      <c r="BC498" t="s">
        <v>292</v>
      </c>
      <c r="BD498" t="s">
        <v>293</v>
      </c>
      <c r="BE498" t="s">
        <v>292</v>
      </c>
      <c r="BF498" t="s">
        <v>293</v>
      </c>
      <c r="BG498" t="s">
        <v>293</v>
      </c>
      <c r="BH498" t="s">
        <v>302</v>
      </c>
      <c r="BI498" t="s">
        <v>302</v>
      </c>
      <c r="BJ498" t="s">
        <v>359</v>
      </c>
      <c r="BK498" t="s">
        <v>293</v>
      </c>
      <c r="BL498" t="s">
        <v>293</v>
      </c>
      <c r="BM498" t="s">
        <v>297</v>
      </c>
      <c r="BN498" t="s">
        <v>298</v>
      </c>
      <c r="BO498" t="s">
        <v>293</v>
      </c>
      <c r="BP498" t="s">
        <v>292</v>
      </c>
      <c r="BQ498" t="s">
        <v>293</v>
      </c>
      <c r="BR498" t="s">
        <v>293</v>
      </c>
      <c r="BS498" t="s">
        <v>364</v>
      </c>
      <c r="BT498" t="s">
        <v>366</v>
      </c>
      <c r="BU498" t="s">
        <v>371</v>
      </c>
      <c r="BV498" t="s">
        <v>469</v>
      </c>
      <c r="BW498" t="str">
        <f t="shared" si="0"/>
        <v>https://dfp529wcvahka.cloudfront.net/ws/GalleryEntry/Dzmd4/video_preview/05wjvPHl.png</v>
      </c>
      <c r="BX498" t="str">
        <f>IF(J498="win",VLOOKUP(B498,ColorScheme!$A$2:$I$32,4,0),VLOOKUP(B498,ColorScheme!$A$2:$I$32,5,0))</f>
        <v>#000000</v>
      </c>
    </row>
    <row r="499" spans="1:76" x14ac:dyDescent="0.3">
      <c r="A499" t="s">
        <v>381</v>
      </c>
      <c r="B499" t="s">
        <v>1344</v>
      </c>
      <c r="C499" t="s">
        <v>396</v>
      </c>
      <c r="D499" t="s">
        <v>1345</v>
      </c>
      <c r="E499" t="s">
        <v>396</v>
      </c>
      <c r="F499" t="b">
        <v>1</v>
      </c>
      <c r="G499">
        <v>100</v>
      </c>
      <c r="H499">
        <v>1</v>
      </c>
      <c r="I499">
        <v>12690</v>
      </c>
      <c r="J499" s="61" t="s">
        <v>18</v>
      </c>
      <c r="K499" t="s">
        <v>273</v>
      </c>
      <c r="L499">
        <v>2</v>
      </c>
      <c r="M499" t="s">
        <v>333</v>
      </c>
      <c r="N499" t="s">
        <v>278</v>
      </c>
      <c r="O499" t="s">
        <v>283</v>
      </c>
      <c r="P499" t="s">
        <v>371</v>
      </c>
      <c r="Q499" t="s">
        <v>371</v>
      </c>
      <c r="R499" t="s">
        <v>371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704</v>
      </c>
      <c r="AD499" t="s">
        <v>341</v>
      </c>
      <c r="AE499" t="s">
        <v>340</v>
      </c>
      <c r="AF499" t="s">
        <v>343</v>
      </c>
      <c r="AG499" t="s">
        <v>345</v>
      </c>
      <c r="AH499" s="17" t="s">
        <v>371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704</v>
      </c>
      <c r="AR499" t="s">
        <v>349</v>
      </c>
      <c r="AS499" t="s">
        <v>349</v>
      </c>
      <c r="AT499">
        <v>1</v>
      </c>
      <c r="AU499">
        <v>0</v>
      </c>
      <c r="AV499">
        <v>0</v>
      </c>
      <c r="AW499" t="s">
        <v>704</v>
      </c>
      <c r="AX499" t="s">
        <v>1240</v>
      </c>
      <c r="AY499" t="s">
        <v>293</v>
      </c>
      <c r="AZ499" t="s">
        <v>352</v>
      </c>
      <c r="BA499" t="s">
        <v>296</v>
      </c>
      <c r="BB499" t="s">
        <v>301</v>
      </c>
      <c r="BC499" t="s">
        <v>292</v>
      </c>
      <c r="BD499" t="s">
        <v>293</v>
      </c>
      <c r="BE499" t="s">
        <v>292</v>
      </c>
      <c r="BF499" t="s">
        <v>292</v>
      </c>
      <c r="BG499" t="s">
        <v>293</v>
      </c>
      <c r="BH499" t="s">
        <v>302</v>
      </c>
      <c r="BI499" t="s">
        <v>357</v>
      </c>
      <c r="BJ499" t="s">
        <v>359</v>
      </c>
      <c r="BK499" t="s">
        <v>293</v>
      </c>
      <c r="BL499" t="s">
        <v>293</v>
      </c>
      <c r="BM499" t="s">
        <v>297</v>
      </c>
      <c r="BN499" t="s">
        <v>298</v>
      </c>
      <c r="BO499" t="s">
        <v>293</v>
      </c>
      <c r="BP499" t="s">
        <v>292</v>
      </c>
      <c r="BQ499" t="s">
        <v>293</v>
      </c>
      <c r="BR499" t="s">
        <v>293</v>
      </c>
      <c r="BS499" t="s">
        <v>364</v>
      </c>
      <c r="BT499" t="s">
        <v>304</v>
      </c>
      <c r="BU499" t="s">
        <v>371</v>
      </c>
      <c r="BV499" t="s">
        <v>397</v>
      </c>
      <c r="BW499" t="str">
        <f t="shared" si="0"/>
        <v>https://dfp529wcvahka.cloudfront.net/ws/GalleryEntry/e3zza/video_preview/mWYHmivP.png</v>
      </c>
      <c r="BX499" t="str">
        <f>IF(J499="win",VLOOKUP(B499,ColorScheme!$A$2:$I$32,4,0),VLOOKUP(B499,ColorScheme!$A$2:$I$32,5,0))</f>
        <v>#00000050</v>
      </c>
    </row>
    <row r="500" spans="1:76" x14ac:dyDescent="0.3">
      <c r="A500" t="s">
        <v>381</v>
      </c>
      <c r="B500" t="s">
        <v>1344</v>
      </c>
      <c r="C500" t="s">
        <v>606</v>
      </c>
      <c r="D500" t="s">
        <v>1345</v>
      </c>
      <c r="E500" t="s">
        <v>606</v>
      </c>
      <c r="F500" t="b">
        <v>1</v>
      </c>
      <c r="G500">
        <v>98.7</v>
      </c>
      <c r="H500">
        <v>0</v>
      </c>
      <c r="I500">
        <v>8241</v>
      </c>
      <c r="J500" s="61" t="s">
        <v>13</v>
      </c>
      <c r="K500" t="s">
        <v>272</v>
      </c>
      <c r="L500">
        <v>3</v>
      </c>
      <c r="M500" t="s">
        <v>333</v>
      </c>
      <c r="N500" t="s">
        <v>278</v>
      </c>
      <c r="O500" t="s">
        <v>283</v>
      </c>
      <c r="P500" t="s">
        <v>371</v>
      </c>
      <c r="Q500" t="s">
        <v>371</v>
      </c>
      <c r="R500" t="s">
        <v>371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704</v>
      </c>
      <c r="AD500" t="s">
        <v>341</v>
      </c>
      <c r="AE500" t="s">
        <v>340</v>
      </c>
      <c r="AF500" t="s">
        <v>343</v>
      </c>
      <c r="AG500" t="s">
        <v>344</v>
      </c>
      <c r="AH500" s="17" t="s">
        <v>371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 t="s">
        <v>704</v>
      </c>
      <c r="AR500" t="s">
        <v>349</v>
      </c>
      <c r="AS500" t="s">
        <v>349</v>
      </c>
      <c r="AT500">
        <v>1</v>
      </c>
      <c r="AU500">
        <v>0</v>
      </c>
      <c r="AV500">
        <v>0</v>
      </c>
      <c r="AW500" t="s">
        <v>704</v>
      </c>
      <c r="AX500" t="s">
        <v>1220</v>
      </c>
      <c r="AY500" t="s">
        <v>293</v>
      </c>
      <c r="AZ500" t="s">
        <v>352</v>
      </c>
      <c r="BA500" t="s">
        <v>297</v>
      </c>
      <c r="BB500" t="s">
        <v>300</v>
      </c>
      <c r="BC500" t="s">
        <v>292</v>
      </c>
      <c r="BD500" t="s">
        <v>292</v>
      </c>
      <c r="BE500" t="s">
        <v>292</v>
      </c>
      <c r="BF500" t="s">
        <v>293</v>
      </c>
      <c r="BG500" t="s">
        <v>293</v>
      </c>
      <c r="BH500" t="s">
        <v>302</v>
      </c>
      <c r="BI500" t="s">
        <v>359</v>
      </c>
      <c r="BJ500" t="s">
        <v>359</v>
      </c>
      <c r="BK500" t="s">
        <v>293</v>
      </c>
      <c r="BL500" t="s">
        <v>293</v>
      </c>
      <c r="BM500" t="s">
        <v>297</v>
      </c>
      <c r="BN500" t="s">
        <v>298</v>
      </c>
      <c r="BO500" t="s">
        <v>293</v>
      </c>
      <c r="BP500" t="s">
        <v>292</v>
      </c>
      <c r="BQ500" t="s">
        <v>293</v>
      </c>
      <c r="BR500" t="s">
        <v>293</v>
      </c>
      <c r="BS500" t="s">
        <v>364</v>
      </c>
      <c r="BT500" t="s">
        <v>366</v>
      </c>
      <c r="BU500" t="s">
        <v>371</v>
      </c>
      <c r="BV500" t="s">
        <v>607</v>
      </c>
      <c r="BW500" t="str">
        <f t="shared" si="0"/>
        <v>https://dfp529wcvahka.cloudfront.net/ws/GalleryEntry/EB3WD/video_preview/mhIJvGep.png</v>
      </c>
      <c r="BX500" t="str">
        <f>IF(J500="win",VLOOKUP(B500,ColorScheme!$A$2:$I$32,4,0),VLOOKUP(B500,ColorScheme!$A$2:$I$32,5,0))</f>
        <v>#000000</v>
      </c>
    </row>
    <row r="501" spans="1:76" x14ac:dyDescent="0.3">
      <c r="A501" t="s">
        <v>381</v>
      </c>
      <c r="B501" t="s">
        <v>1344</v>
      </c>
      <c r="C501" t="s">
        <v>609</v>
      </c>
      <c r="D501" t="s">
        <v>1345</v>
      </c>
      <c r="E501" t="s">
        <v>609</v>
      </c>
      <c r="F501" t="b">
        <v>1</v>
      </c>
      <c r="G501">
        <v>100</v>
      </c>
      <c r="H501">
        <v>1</v>
      </c>
      <c r="I501">
        <v>14773</v>
      </c>
      <c r="J501" s="61" t="s">
        <v>13</v>
      </c>
      <c r="K501" t="s">
        <v>272</v>
      </c>
      <c r="L501">
        <v>3</v>
      </c>
      <c r="M501" t="s">
        <v>277</v>
      </c>
      <c r="N501" t="s">
        <v>335</v>
      </c>
      <c r="O501" t="s">
        <v>282</v>
      </c>
      <c r="P501" t="s">
        <v>371</v>
      </c>
      <c r="Q501" t="s">
        <v>371</v>
      </c>
      <c r="R501" t="s">
        <v>371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704</v>
      </c>
      <c r="AD501" t="s">
        <v>340</v>
      </c>
      <c r="AE501" t="s">
        <v>342</v>
      </c>
      <c r="AF501" t="s">
        <v>343</v>
      </c>
      <c r="AG501" t="s">
        <v>344</v>
      </c>
      <c r="AH501" s="17" t="s">
        <v>371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 t="s">
        <v>704</v>
      </c>
      <c r="AR501" t="s">
        <v>349</v>
      </c>
      <c r="AS501" t="s">
        <v>349</v>
      </c>
      <c r="AT501">
        <v>1</v>
      </c>
      <c r="AU501">
        <v>0</v>
      </c>
      <c r="AV501">
        <v>0</v>
      </c>
      <c r="AW501" t="s">
        <v>704</v>
      </c>
      <c r="AX501" t="s">
        <v>1208</v>
      </c>
      <c r="AY501" t="s">
        <v>293</v>
      </c>
      <c r="AZ501" t="s">
        <v>352</v>
      </c>
      <c r="BA501" t="s">
        <v>297</v>
      </c>
      <c r="BB501" t="s">
        <v>300</v>
      </c>
      <c r="BC501" t="s">
        <v>292</v>
      </c>
      <c r="BD501" t="s">
        <v>293</v>
      </c>
      <c r="BE501" t="s">
        <v>292</v>
      </c>
      <c r="BF501" t="s">
        <v>292</v>
      </c>
      <c r="BG501" t="s">
        <v>293</v>
      </c>
      <c r="BH501" t="s">
        <v>302</v>
      </c>
      <c r="BI501" t="s">
        <v>302</v>
      </c>
      <c r="BJ501" t="s">
        <v>359</v>
      </c>
      <c r="BK501" t="s">
        <v>293</v>
      </c>
      <c r="BL501" t="s">
        <v>293</v>
      </c>
      <c r="BM501" t="s">
        <v>296</v>
      </c>
      <c r="BN501" t="s">
        <v>298</v>
      </c>
      <c r="BO501" t="s">
        <v>293</v>
      </c>
      <c r="BP501" t="s">
        <v>292</v>
      </c>
      <c r="BQ501" t="s">
        <v>293</v>
      </c>
      <c r="BR501" t="s">
        <v>293</v>
      </c>
      <c r="BS501" t="s">
        <v>364</v>
      </c>
      <c r="BT501" t="s">
        <v>304</v>
      </c>
      <c r="BU501" t="s">
        <v>371</v>
      </c>
      <c r="BV501" t="s">
        <v>610</v>
      </c>
      <c r="BW501" t="str">
        <f t="shared" si="0"/>
        <v>https://dfp529wcvahka.cloudfront.net/ws/GalleryEntry/EB5ye/video_preview/jSe6P1d1.png</v>
      </c>
      <c r="BX501" t="str">
        <f>IF(J501="win",VLOOKUP(B501,ColorScheme!$A$2:$I$32,4,0),VLOOKUP(B501,ColorScheme!$A$2:$I$32,5,0))</f>
        <v>#000000</v>
      </c>
    </row>
    <row r="502" spans="1:76" x14ac:dyDescent="0.3">
      <c r="A502" t="s">
        <v>381</v>
      </c>
      <c r="B502" t="s">
        <v>1344</v>
      </c>
      <c r="C502" t="s">
        <v>624</v>
      </c>
      <c r="D502" t="s">
        <v>1345</v>
      </c>
      <c r="E502" t="s">
        <v>624</v>
      </c>
      <c r="F502" t="b">
        <v>1</v>
      </c>
      <c r="G502">
        <v>99.6</v>
      </c>
      <c r="H502">
        <v>0</v>
      </c>
      <c r="I502">
        <v>8149</v>
      </c>
      <c r="J502" s="61" t="s">
        <v>13</v>
      </c>
      <c r="K502" t="s">
        <v>272</v>
      </c>
      <c r="L502">
        <v>3</v>
      </c>
      <c r="M502" t="s">
        <v>277</v>
      </c>
      <c r="N502" t="s">
        <v>335</v>
      </c>
      <c r="O502" t="s">
        <v>339</v>
      </c>
      <c r="P502" t="s">
        <v>285</v>
      </c>
      <c r="Q502" t="s">
        <v>282</v>
      </c>
      <c r="R502" t="s">
        <v>371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0</v>
      </c>
      <c r="AC502" t="s">
        <v>704</v>
      </c>
      <c r="AD502" t="s">
        <v>341</v>
      </c>
      <c r="AE502" t="s">
        <v>340</v>
      </c>
      <c r="AF502" t="s">
        <v>343</v>
      </c>
      <c r="AG502" t="s">
        <v>345</v>
      </c>
      <c r="AH502" s="17" t="s">
        <v>371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 t="s">
        <v>704</v>
      </c>
      <c r="AR502" t="s">
        <v>349</v>
      </c>
      <c r="AS502" t="s">
        <v>349</v>
      </c>
      <c r="AT502">
        <v>1</v>
      </c>
      <c r="AU502">
        <v>0</v>
      </c>
      <c r="AV502">
        <v>0</v>
      </c>
      <c r="AW502" t="s">
        <v>704</v>
      </c>
      <c r="AX502" t="s">
        <v>1330</v>
      </c>
      <c r="AY502" t="s">
        <v>293</v>
      </c>
      <c r="AZ502" t="s">
        <v>353</v>
      </c>
      <c r="BA502" t="s">
        <v>297</v>
      </c>
      <c r="BB502" t="s">
        <v>299</v>
      </c>
      <c r="BC502" t="s">
        <v>292</v>
      </c>
      <c r="BD502" t="s">
        <v>293</v>
      </c>
      <c r="BE502" t="s">
        <v>292</v>
      </c>
      <c r="BF502" t="s">
        <v>293</v>
      </c>
      <c r="BG502" t="s">
        <v>293</v>
      </c>
      <c r="BH502" t="s">
        <v>302</v>
      </c>
      <c r="BI502" t="s">
        <v>302</v>
      </c>
      <c r="BJ502" t="s">
        <v>359</v>
      </c>
      <c r="BK502" t="s">
        <v>293</v>
      </c>
      <c r="BL502" t="s">
        <v>293</v>
      </c>
      <c r="BM502" t="s">
        <v>297</v>
      </c>
      <c r="BN502" t="s">
        <v>298</v>
      </c>
      <c r="BO502" t="s">
        <v>293</v>
      </c>
      <c r="BP502" t="s">
        <v>292</v>
      </c>
      <c r="BQ502" t="s">
        <v>362</v>
      </c>
      <c r="BR502" t="s">
        <v>293</v>
      </c>
      <c r="BS502" t="s">
        <v>364</v>
      </c>
      <c r="BT502" t="s">
        <v>366</v>
      </c>
      <c r="BU502" t="s">
        <v>371</v>
      </c>
      <c r="BV502" t="s">
        <v>625</v>
      </c>
      <c r="BW502" t="str">
        <f t="shared" si="0"/>
        <v>https://dfp529wcvahka.cloudfront.net/ws/GalleryEntry/EBEL0/video_preview/sg0gFp2J.png</v>
      </c>
      <c r="BX502" t="str">
        <f>IF(J502="win",VLOOKUP(B502,ColorScheme!$A$2:$I$32,4,0),VLOOKUP(B502,ColorScheme!$A$2:$I$32,5,0))</f>
        <v>#000000</v>
      </c>
    </row>
    <row r="503" spans="1:76" x14ac:dyDescent="0.3">
      <c r="A503" t="s">
        <v>381</v>
      </c>
      <c r="B503" t="s">
        <v>1344</v>
      </c>
      <c r="C503" t="s">
        <v>642</v>
      </c>
      <c r="D503" t="s">
        <v>1345</v>
      </c>
      <c r="E503" t="s">
        <v>642</v>
      </c>
      <c r="F503" t="b">
        <v>1</v>
      </c>
      <c r="G503">
        <v>74.2</v>
      </c>
      <c r="H503">
        <v>0</v>
      </c>
      <c r="I503">
        <v>12008</v>
      </c>
      <c r="J503" s="61" t="s">
        <v>13</v>
      </c>
      <c r="K503" t="s">
        <v>272</v>
      </c>
      <c r="L503">
        <v>3</v>
      </c>
      <c r="M503" t="s">
        <v>277</v>
      </c>
      <c r="N503" t="s">
        <v>335</v>
      </c>
      <c r="O503" t="s">
        <v>283</v>
      </c>
      <c r="P503" t="s">
        <v>281</v>
      </c>
      <c r="Q503" t="s">
        <v>284</v>
      </c>
      <c r="R503" t="s">
        <v>371</v>
      </c>
      <c r="S503">
        <v>1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704</v>
      </c>
      <c r="AD503" t="s">
        <v>341</v>
      </c>
      <c r="AE503" t="s">
        <v>340</v>
      </c>
      <c r="AF503" t="s">
        <v>343</v>
      </c>
      <c r="AG503" t="s">
        <v>344</v>
      </c>
      <c r="AH503" s="17" t="s">
        <v>371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704</v>
      </c>
      <c r="AR503" t="s">
        <v>349</v>
      </c>
      <c r="AS503" t="s">
        <v>349</v>
      </c>
      <c r="AT503">
        <v>1</v>
      </c>
      <c r="AU503">
        <v>0</v>
      </c>
      <c r="AV503">
        <v>0</v>
      </c>
      <c r="AW503" t="s">
        <v>704</v>
      </c>
      <c r="AX503" t="s">
        <v>1274</v>
      </c>
      <c r="AY503" t="s">
        <v>293</v>
      </c>
      <c r="AZ503" t="s">
        <v>685</v>
      </c>
      <c r="BA503" t="s">
        <v>296</v>
      </c>
      <c r="BB503" t="s">
        <v>300</v>
      </c>
      <c r="BC503" t="s">
        <v>292</v>
      </c>
      <c r="BD503" t="s">
        <v>293</v>
      </c>
      <c r="BE503" t="s">
        <v>292</v>
      </c>
      <c r="BF503" t="s">
        <v>292</v>
      </c>
      <c r="BG503" t="s">
        <v>293</v>
      </c>
      <c r="BH503" t="s">
        <v>302</v>
      </c>
      <c r="BI503" t="s">
        <v>302</v>
      </c>
      <c r="BJ503" t="s">
        <v>359</v>
      </c>
      <c r="BK503" t="s">
        <v>293</v>
      </c>
      <c r="BL503" t="s">
        <v>293</v>
      </c>
      <c r="BM503" t="s">
        <v>297</v>
      </c>
      <c r="BN503" t="s">
        <v>298</v>
      </c>
      <c r="BO503" t="s">
        <v>293</v>
      </c>
      <c r="BP503" t="s">
        <v>292</v>
      </c>
      <c r="BQ503" t="s">
        <v>293</v>
      </c>
      <c r="BR503" t="s">
        <v>293</v>
      </c>
      <c r="BS503" t="s">
        <v>364</v>
      </c>
      <c r="BT503" t="s">
        <v>366</v>
      </c>
      <c r="BU503" t="s">
        <v>371</v>
      </c>
      <c r="BV503" t="s">
        <v>643</v>
      </c>
      <c r="BW503" t="str">
        <f t="shared" si="0"/>
        <v>https://dfp529wcvahka.cloudfront.net/ws/GalleryEntry/eDdjE/video_preview/j6w4YB3u.png</v>
      </c>
      <c r="BX503" t="str">
        <f>IF(J503="win",VLOOKUP(B503,ColorScheme!$A$2:$I$32,4,0),VLOOKUP(B503,ColorScheme!$A$2:$I$32,5,0))</f>
        <v>#000000</v>
      </c>
    </row>
    <row r="504" spans="1:76" x14ac:dyDescent="0.3">
      <c r="A504" t="s">
        <v>381</v>
      </c>
      <c r="B504" t="s">
        <v>1344</v>
      </c>
      <c r="C504" t="s">
        <v>411</v>
      </c>
      <c r="D504" t="s">
        <v>1345</v>
      </c>
      <c r="E504" t="s">
        <v>411</v>
      </c>
      <c r="F504" t="b">
        <v>1</v>
      </c>
      <c r="G504">
        <v>100</v>
      </c>
      <c r="H504">
        <v>1</v>
      </c>
      <c r="I504">
        <v>4143</v>
      </c>
      <c r="J504" s="61" t="s">
        <v>18</v>
      </c>
      <c r="K504" t="s">
        <v>272</v>
      </c>
      <c r="L504">
        <v>3</v>
      </c>
      <c r="M504" t="s">
        <v>277</v>
      </c>
      <c r="N504" t="s">
        <v>335</v>
      </c>
      <c r="O504" t="s">
        <v>339</v>
      </c>
      <c r="P504" t="s">
        <v>283</v>
      </c>
      <c r="Q504" t="s">
        <v>281</v>
      </c>
      <c r="R504" t="s">
        <v>338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1</v>
      </c>
      <c r="AB504">
        <v>0</v>
      </c>
      <c r="AC504" t="s">
        <v>704</v>
      </c>
      <c r="AD504" t="s">
        <v>340</v>
      </c>
      <c r="AE504" t="s">
        <v>342</v>
      </c>
      <c r="AF504" t="s">
        <v>340</v>
      </c>
      <c r="AG504" t="s">
        <v>291</v>
      </c>
      <c r="AH504" s="17" t="s">
        <v>371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 t="s">
        <v>704</v>
      </c>
      <c r="AR504" t="s">
        <v>351</v>
      </c>
      <c r="AS504" t="s">
        <v>350</v>
      </c>
      <c r="AT504">
        <v>0</v>
      </c>
      <c r="AU504">
        <v>1</v>
      </c>
      <c r="AV504">
        <v>1</v>
      </c>
      <c r="AW504" t="s">
        <v>704</v>
      </c>
      <c r="AX504" t="s">
        <v>1331</v>
      </c>
      <c r="AY504" t="s">
        <v>292</v>
      </c>
      <c r="AZ504" t="s">
        <v>354</v>
      </c>
      <c r="BA504" t="s">
        <v>354</v>
      </c>
      <c r="BB504" t="s">
        <v>299</v>
      </c>
      <c r="BC504" t="s">
        <v>292</v>
      </c>
      <c r="BD504" t="s">
        <v>293</v>
      </c>
      <c r="BE504" t="s">
        <v>292</v>
      </c>
      <c r="BF504" t="s">
        <v>293</v>
      </c>
      <c r="BG504" t="s">
        <v>293</v>
      </c>
      <c r="BH504" t="s">
        <v>302</v>
      </c>
      <c r="BI504" t="s">
        <v>302</v>
      </c>
      <c r="BJ504" t="s">
        <v>358</v>
      </c>
      <c r="BK504" t="s">
        <v>292</v>
      </c>
      <c r="BL504" t="s">
        <v>292</v>
      </c>
      <c r="BM504" t="s">
        <v>297</v>
      </c>
      <c r="BN504" t="s">
        <v>298</v>
      </c>
      <c r="BO504" t="s">
        <v>293</v>
      </c>
      <c r="BP504" t="s">
        <v>292</v>
      </c>
      <c r="BQ504" t="s">
        <v>293</v>
      </c>
      <c r="BR504" t="s">
        <v>293</v>
      </c>
      <c r="BS504" t="s">
        <v>364</v>
      </c>
      <c r="BT504" t="s">
        <v>304</v>
      </c>
      <c r="BU504" t="s">
        <v>371</v>
      </c>
      <c r="BV504" t="s">
        <v>412</v>
      </c>
      <c r="BW504" t="str">
        <f t="shared" si="0"/>
        <v>https://dfp529wcvahka.cloudfront.net/ws/GalleryEntry/ENaG2/video_preview/IMY7Bybh.png</v>
      </c>
      <c r="BX504" t="str">
        <f>IF(J504="win",VLOOKUP(B504,ColorScheme!$A$2:$I$32,4,0),VLOOKUP(B504,ColorScheme!$A$2:$I$32,5,0))</f>
        <v>#00000050</v>
      </c>
    </row>
    <row r="505" spans="1:76" x14ac:dyDescent="0.3">
      <c r="A505" t="s">
        <v>381</v>
      </c>
      <c r="B505" t="s">
        <v>1344</v>
      </c>
      <c r="C505" t="s">
        <v>621</v>
      </c>
      <c r="D505" t="s">
        <v>1345</v>
      </c>
      <c r="E505" t="s">
        <v>621</v>
      </c>
      <c r="F505" t="b">
        <v>1</v>
      </c>
      <c r="G505">
        <v>99.4</v>
      </c>
      <c r="H505">
        <v>0</v>
      </c>
      <c r="I505">
        <v>6727</v>
      </c>
      <c r="J505" s="61" t="s">
        <v>13</v>
      </c>
      <c r="K505" t="s">
        <v>272</v>
      </c>
      <c r="L505">
        <v>3</v>
      </c>
      <c r="M505" t="s">
        <v>277</v>
      </c>
      <c r="N505" t="s">
        <v>335</v>
      </c>
      <c r="O505" t="s">
        <v>339</v>
      </c>
      <c r="P505" t="s">
        <v>285</v>
      </c>
      <c r="Q505" t="s">
        <v>282</v>
      </c>
      <c r="R505" t="s">
        <v>371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0</v>
      </c>
      <c r="AC505" t="s">
        <v>704</v>
      </c>
      <c r="AD505" t="s">
        <v>341</v>
      </c>
      <c r="AE505" t="s">
        <v>342</v>
      </c>
      <c r="AF505" t="s">
        <v>343</v>
      </c>
      <c r="AG505" t="s">
        <v>291</v>
      </c>
      <c r="AH505" s="17" t="s">
        <v>371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 t="s">
        <v>704</v>
      </c>
      <c r="AR505" t="s">
        <v>350</v>
      </c>
      <c r="AS505" t="s">
        <v>351</v>
      </c>
      <c r="AT505">
        <v>0</v>
      </c>
      <c r="AU505">
        <v>1</v>
      </c>
      <c r="AV505">
        <v>1</v>
      </c>
      <c r="AW505" t="s">
        <v>704</v>
      </c>
      <c r="AX505" t="s">
        <v>1332</v>
      </c>
      <c r="AY505" t="s">
        <v>293</v>
      </c>
      <c r="AZ505" t="s">
        <v>353</v>
      </c>
      <c r="BA505" t="s">
        <v>297</v>
      </c>
      <c r="BB505" t="s">
        <v>299</v>
      </c>
      <c r="BC505" t="s">
        <v>292</v>
      </c>
      <c r="BD505" t="s">
        <v>293</v>
      </c>
      <c r="BE505" t="s">
        <v>292</v>
      </c>
      <c r="BF505" t="s">
        <v>293</v>
      </c>
      <c r="BG505" t="s">
        <v>293</v>
      </c>
      <c r="BH505" t="s">
        <v>302</v>
      </c>
      <c r="BI505" t="s">
        <v>302</v>
      </c>
      <c r="BJ505" t="s">
        <v>359</v>
      </c>
      <c r="BK505" t="s">
        <v>293</v>
      </c>
      <c r="BL505" t="s">
        <v>293</v>
      </c>
      <c r="BM505" t="s">
        <v>297</v>
      </c>
      <c r="BN505" t="s">
        <v>298</v>
      </c>
      <c r="BO505" t="s">
        <v>293</v>
      </c>
      <c r="BP505" t="s">
        <v>292</v>
      </c>
      <c r="BQ505" t="s">
        <v>293</v>
      </c>
      <c r="BR505" t="s">
        <v>293</v>
      </c>
      <c r="BS505" t="s">
        <v>364</v>
      </c>
      <c r="BT505" t="s">
        <v>366</v>
      </c>
      <c r="BU505" t="s">
        <v>371</v>
      </c>
      <c r="BV505" t="s">
        <v>622</v>
      </c>
      <c r="BW505" t="str">
        <f t="shared" si="0"/>
        <v>https://dfp529wcvahka.cloudfront.net/ws/GalleryEntry/ezQez/video_preview/zIT0gp4K.png</v>
      </c>
      <c r="BX505" t="str">
        <f>IF(J505="win",VLOOKUP(B505,ColorScheme!$A$2:$I$32,4,0),VLOOKUP(B505,ColorScheme!$A$2:$I$32,5,0))</f>
        <v>#000000</v>
      </c>
    </row>
    <row r="506" spans="1:76" x14ac:dyDescent="0.3">
      <c r="A506" t="s">
        <v>381</v>
      </c>
      <c r="B506" t="s">
        <v>1344</v>
      </c>
      <c r="C506" t="s">
        <v>507</v>
      </c>
      <c r="D506" t="s">
        <v>1345</v>
      </c>
      <c r="E506" t="s">
        <v>507</v>
      </c>
      <c r="F506" t="b">
        <v>1</v>
      </c>
      <c r="G506">
        <v>95.3</v>
      </c>
      <c r="H506">
        <v>0</v>
      </c>
      <c r="I506">
        <v>7001</v>
      </c>
      <c r="J506" s="61" t="s">
        <v>13</v>
      </c>
      <c r="K506" t="s">
        <v>272</v>
      </c>
      <c r="L506">
        <v>3</v>
      </c>
      <c r="M506" t="s">
        <v>277</v>
      </c>
      <c r="N506" t="s">
        <v>335</v>
      </c>
      <c r="O506" t="s">
        <v>282</v>
      </c>
      <c r="P506" t="s">
        <v>371</v>
      </c>
      <c r="Q506" t="s">
        <v>371</v>
      </c>
      <c r="R506" t="s">
        <v>371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704</v>
      </c>
      <c r="AD506" t="s">
        <v>341</v>
      </c>
      <c r="AE506" t="s">
        <v>342</v>
      </c>
      <c r="AF506" t="s">
        <v>343</v>
      </c>
      <c r="AG506" t="s">
        <v>291</v>
      </c>
      <c r="AH506" s="17" t="s">
        <v>371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 t="s">
        <v>704</v>
      </c>
      <c r="AR506" t="s">
        <v>350</v>
      </c>
      <c r="AS506" t="s">
        <v>349</v>
      </c>
      <c r="AT506">
        <v>0</v>
      </c>
      <c r="AU506">
        <v>1</v>
      </c>
      <c r="AV506">
        <v>0</v>
      </c>
      <c r="AW506" t="s">
        <v>704</v>
      </c>
      <c r="AX506" t="s">
        <v>2927</v>
      </c>
      <c r="AY506" t="s">
        <v>293</v>
      </c>
      <c r="AZ506" t="s">
        <v>294</v>
      </c>
      <c r="BA506" t="s">
        <v>297</v>
      </c>
      <c r="BB506" t="s">
        <v>299</v>
      </c>
      <c r="BC506" t="s">
        <v>292</v>
      </c>
      <c r="BD506" t="s">
        <v>293</v>
      </c>
      <c r="BE506" t="s">
        <v>292</v>
      </c>
      <c r="BF506" t="s">
        <v>293</v>
      </c>
      <c r="BG506" t="s">
        <v>293</v>
      </c>
      <c r="BH506" t="s">
        <v>302</v>
      </c>
      <c r="BI506" t="s">
        <v>302</v>
      </c>
      <c r="BJ506" t="s">
        <v>359</v>
      </c>
      <c r="BK506" t="s">
        <v>293</v>
      </c>
      <c r="BL506" t="s">
        <v>293</v>
      </c>
      <c r="BM506" t="s">
        <v>297</v>
      </c>
      <c r="BN506" t="s">
        <v>298</v>
      </c>
      <c r="BO506" t="s">
        <v>293</v>
      </c>
      <c r="BP506" t="s">
        <v>292</v>
      </c>
      <c r="BQ506" t="s">
        <v>293</v>
      </c>
      <c r="BR506" t="s">
        <v>293</v>
      </c>
      <c r="BS506" t="s">
        <v>364</v>
      </c>
      <c r="BT506" t="s">
        <v>366</v>
      </c>
      <c r="BU506" t="s">
        <v>371</v>
      </c>
      <c r="BV506" t="s">
        <v>508</v>
      </c>
      <c r="BW506" t="str">
        <f t="shared" si="0"/>
        <v>https://dfp529wcvahka.cloudfront.net/ws/GalleryEntry/gQq3e/video_preview/gF5nYHxQ.png</v>
      </c>
      <c r="BX506" t="str">
        <f>IF(J506="win",VLOOKUP(B506,ColorScheme!$A$2:$I$32,4,0),VLOOKUP(B506,ColorScheme!$A$2:$I$32,5,0))</f>
        <v>#000000</v>
      </c>
    </row>
    <row r="507" spans="1:76" x14ac:dyDescent="0.3">
      <c r="A507" t="s">
        <v>381</v>
      </c>
      <c r="B507" t="s">
        <v>1344</v>
      </c>
      <c r="C507" t="s">
        <v>504</v>
      </c>
      <c r="D507" t="s">
        <v>1345</v>
      </c>
      <c r="E507" t="s">
        <v>504</v>
      </c>
      <c r="F507" t="b">
        <v>1</v>
      </c>
      <c r="G507">
        <v>89.9</v>
      </c>
      <c r="H507">
        <v>0</v>
      </c>
      <c r="I507">
        <v>7418</v>
      </c>
      <c r="J507" s="61" t="s">
        <v>13</v>
      </c>
      <c r="K507" t="s">
        <v>272</v>
      </c>
      <c r="L507">
        <v>3</v>
      </c>
      <c r="M507" t="s">
        <v>277</v>
      </c>
      <c r="N507" t="s">
        <v>335</v>
      </c>
      <c r="O507" t="s">
        <v>282</v>
      </c>
      <c r="P507" t="s">
        <v>371</v>
      </c>
      <c r="Q507" t="s">
        <v>371</v>
      </c>
      <c r="R507" t="s">
        <v>371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704</v>
      </c>
      <c r="AD507" t="s">
        <v>341</v>
      </c>
      <c r="AE507" t="s">
        <v>342</v>
      </c>
      <c r="AF507" t="s">
        <v>343</v>
      </c>
      <c r="AG507" t="s">
        <v>344</v>
      </c>
      <c r="AH507" s="17" t="s">
        <v>371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 t="s">
        <v>704</v>
      </c>
      <c r="AR507" t="s">
        <v>350</v>
      </c>
      <c r="AS507" t="s">
        <v>349</v>
      </c>
      <c r="AT507">
        <v>0</v>
      </c>
      <c r="AU507">
        <v>1</v>
      </c>
      <c r="AV507">
        <v>0</v>
      </c>
      <c r="AW507" t="s">
        <v>704</v>
      </c>
      <c r="AX507" t="s">
        <v>2918</v>
      </c>
      <c r="AY507" t="s">
        <v>293</v>
      </c>
      <c r="AZ507" t="s">
        <v>353</v>
      </c>
      <c r="BA507" t="s">
        <v>297</v>
      </c>
      <c r="BB507" t="s">
        <v>300</v>
      </c>
      <c r="BC507" t="s">
        <v>292</v>
      </c>
      <c r="BD507" t="s">
        <v>292</v>
      </c>
      <c r="BE507" t="s">
        <v>292</v>
      </c>
      <c r="BF507" t="s">
        <v>293</v>
      </c>
      <c r="BG507" t="s">
        <v>293</v>
      </c>
      <c r="BH507" t="s">
        <v>302</v>
      </c>
      <c r="BI507" t="s">
        <v>302</v>
      </c>
      <c r="BJ507" t="s">
        <v>359</v>
      </c>
      <c r="BK507" t="s">
        <v>293</v>
      </c>
      <c r="BL507" t="s">
        <v>293</v>
      </c>
      <c r="BM507" t="s">
        <v>297</v>
      </c>
      <c r="BN507" t="s">
        <v>298</v>
      </c>
      <c r="BO507" t="s">
        <v>293</v>
      </c>
      <c r="BP507" t="s">
        <v>292</v>
      </c>
      <c r="BQ507" t="s">
        <v>293</v>
      </c>
      <c r="BR507" t="s">
        <v>293</v>
      </c>
      <c r="BS507" t="s">
        <v>364</v>
      </c>
      <c r="BT507" t="s">
        <v>366</v>
      </c>
      <c r="BU507" t="s">
        <v>371</v>
      </c>
      <c r="BV507" t="s">
        <v>505</v>
      </c>
      <c r="BW507" t="str">
        <f t="shared" si="0"/>
        <v>https://dfp529wcvahka.cloudfront.net/ws/GalleryEntry/j28Zy/video_preview/5cK8jCuQ.png</v>
      </c>
      <c r="BX507" t="str">
        <f>IF(J507="win",VLOOKUP(B507,ColorScheme!$A$2:$I$32,4,0),VLOOKUP(B507,ColorScheme!$A$2:$I$32,5,0))</f>
        <v>#000000</v>
      </c>
    </row>
    <row r="508" spans="1:76" x14ac:dyDescent="0.3">
      <c r="A508" t="s">
        <v>381</v>
      </c>
      <c r="B508" t="s">
        <v>1344</v>
      </c>
      <c r="C508" t="s">
        <v>417</v>
      </c>
      <c r="D508" t="s">
        <v>1345</v>
      </c>
      <c r="E508" t="s">
        <v>417</v>
      </c>
      <c r="F508" t="b">
        <v>1</v>
      </c>
      <c r="G508">
        <v>100</v>
      </c>
      <c r="H508">
        <v>1</v>
      </c>
      <c r="I508">
        <v>15033</v>
      </c>
      <c r="J508" s="61" t="s">
        <v>18</v>
      </c>
      <c r="K508" t="s">
        <v>272</v>
      </c>
      <c r="L508">
        <v>3</v>
      </c>
      <c r="M508" t="s">
        <v>277</v>
      </c>
      <c r="N508" t="s">
        <v>335</v>
      </c>
      <c r="O508" t="s">
        <v>283</v>
      </c>
      <c r="P508" t="s">
        <v>284</v>
      </c>
      <c r="Q508" t="s">
        <v>371</v>
      </c>
      <c r="R508" t="s">
        <v>371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704</v>
      </c>
      <c r="AD508" t="s">
        <v>341</v>
      </c>
      <c r="AE508" t="s">
        <v>342</v>
      </c>
      <c r="AF508" t="s">
        <v>343</v>
      </c>
      <c r="AG508" t="s">
        <v>291</v>
      </c>
      <c r="AH508" s="17" t="s">
        <v>371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 t="s">
        <v>704</v>
      </c>
      <c r="AR508" t="s">
        <v>349</v>
      </c>
      <c r="AS508" t="s">
        <v>349</v>
      </c>
      <c r="AT508">
        <v>1</v>
      </c>
      <c r="AU508">
        <v>0</v>
      </c>
      <c r="AV508">
        <v>0</v>
      </c>
      <c r="AW508" t="s">
        <v>704</v>
      </c>
      <c r="AX508" t="s">
        <v>1324</v>
      </c>
      <c r="AY508" t="s">
        <v>293</v>
      </c>
      <c r="AZ508" t="s">
        <v>353</v>
      </c>
      <c r="BA508" t="s">
        <v>355</v>
      </c>
      <c r="BB508" t="s">
        <v>301</v>
      </c>
      <c r="BC508" t="s">
        <v>292</v>
      </c>
      <c r="BD508" t="s">
        <v>293</v>
      </c>
      <c r="BE508" t="s">
        <v>292</v>
      </c>
      <c r="BF508" t="s">
        <v>292</v>
      </c>
      <c r="BG508" t="s">
        <v>293</v>
      </c>
      <c r="BH508" t="s">
        <v>302</v>
      </c>
      <c r="BI508" t="s">
        <v>302</v>
      </c>
      <c r="BJ508" t="s">
        <v>359</v>
      </c>
      <c r="BK508" t="s">
        <v>293</v>
      </c>
      <c r="BL508" t="s">
        <v>293</v>
      </c>
      <c r="BM508" t="s">
        <v>296</v>
      </c>
      <c r="BN508" t="s">
        <v>298</v>
      </c>
      <c r="BO508" t="s">
        <v>293</v>
      </c>
      <c r="BP508" t="s">
        <v>292</v>
      </c>
      <c r="BQ508" t="s">
        <v>293</v>
      </c>
      <c r="BR508" t="s">
        <v>293</v>
      </c>
      <c r="BS508" t="s">
        <v>364</v>
      </c>
      <c r="BT508" t="s">
        <v>304</v>
      </c>
      <c r="BU508" t="s">
        <v>371</v>
      </c>
      <c r="BV508" t="s">
        <v>418</v>
      </c>
      <c r="BW508" t="str">
        <f t="shared" si="0"/>
        <v>https://dfp529wcvahka.cloudfront.net/ws/GalleryEntry/j2DG5/video_preview/2XmXCrTy.png</v>
      </c>
      <c r="BX508" t="str">
        <f>IF(J508="win",VLOOKUP(B508,ColorScheme!$A$2:$I$32,4,0),VLOOKUP(B508,ColorScheme!$A$2:$I$32,5,0))</f>
        <v>#00000050</v>
      </c>
    </row>
    <row r="509" spans="1:76" x14ac:dyDescent="0.3">
      <c r="A509" t="s">
        <v>381</v>
      </c>
      <c r="B509" t="s">
        <v>1344</v>
      </c>
      <c r="C509" t="s">
        <v>408</v>
      </c>
      <c r="D509" t="s">
        <v>1345</v>
      </c>
      <c r="E509" t="s">
        <v>408</v>
      </c>
      <c r="F509" t="b">
        <v>1</v>
      </c>
      <c r="G509">
        <v>99.7</v>
      </c>
      <c r="H509">
        <v>0</v>
      </c>
      <c r="I509">
        <v>7647</v>
      </c>
      <c r="J509" s="61" t="s">
        <v>13</v>
      </c>
      <c r="K509" t="s">
        <v>272</v>
      </c>
      <c r="L509">
        <v>3</v>
      </c>
      <c r="M509" t="s">
        <v>277</v>
      </c>
      <c r="N509" t="s">
        <v>335</v>
      </c>
      <c r="O509" t="s">
        <v>281</v>
      </c>
      <c r="P509" t="s">
        <v>283</v>
      </c>
      <c r="Q509" t="s">
        <v>284</v>
      </c>
      <c r="R509" t="s">
        <v>371</v>
      </c>
      <c r="S509">
        <v>1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704</v>
      </c>
      <c r="AD509" t="s">
        <v>341</v>
      </c>
      <c r="AE509" t="s">
        <v>342</v>
      </c>
      <c r="AF509" t="s">
        <v>343</v>
      </c>
      <c r="AG509" t="s">
        <v>344</v>
      </c>
      <c r="AH509" s="17" t="s">
        <v>291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 t="s">
        <v>704</v>
      </c>
      <c r="AR509" t="s">
        <v>350</v>
      </c>
      <c r="AS509" t="s">
        <v>349</v>
      </c>
      <c r="AT509">
        <v>0</v>
      </c>
      <c r="AU509">
        <v>1</v>
      </c>
      <c r="AV509">
        <v>0</v>
      </c>
      <c r="AW509" t="s">
        <v>704</v>
      </c>
      <c r="AX509" t="s">
        <v>2928</v>
      </c>
      <c r="AY509" t="s">
        <v>293</v>
      </c>
      <c r="AZ509" t="s">
        <v>353</v>
      </c>
      <c r="BA509" t="s">
        <v>297</v>
      </c>
      <c r="BB509" t="s">
        <v>299</v>
      </c>
      <c r="BC509" t="s">
        <v>292</v>
      </c>
      <c r="BD509" t="s">
        <v>293</v>
      </c>
      <c r="BE509" t="s">
        <v>292</v>
      </c>
      <c r="BF509" t="s">
        <v>293</v>
      </c>
      <c r="BG509" t="s">
        <v>293</v>
      </c>
      <c r="BH509" t="s">
        <v>302</v>
      </c>
      <c r="BI509" t="s">
        <v>302</v>
      </c>
      <c r="BJ509" t="s">
        <v>359</v>
      </c>
      <c r="BK509" t="s">
        <v>293</v>
      </c>
      <c r="BL509" t="s">
        <v>293</v>
      </c>
      <c r="BM509" t="s">
        <v>297</v>
      </c>
      <c r="BN509" t="s">
        <v>298</v>
      </c>
      <c r="BO509" t="s">
        <v>293</v>
      </c>
      <c r="BP509" t="s">
        <v>292</v>
      </c>
      <c r="BQ509" t="s">
        <v>293</v>
      </c>
      <c r="BR509" t="s">
        <v>293</v>
      </c>
      <c r="BS509" t="s">
        <v>364</v>
      </c>
      <c r="BT509" t="s">
        <v>366</v>
      </c>
      <c r="BU509" t="s">
        <v>371</v>
      </c>
      <c r="BV509" t="s">
        <v>409</v>
      </c>
      <c r="BW509" t="str">
        <f t="shared" si="0"/>
        <v>https://dfp529wcvahka.cloudfront.net/ws/GalleryEntry/j2Q4e/video_preview/vOmbZSGz.png</v>
      </c>
      <c r="BX509" t="str">
        <f>IF(J509="win",VLOOKUP(B509,ColorScheme!$A$2:$I$32,4,0),VLOOKUP(B509,ColorScheme!$A$2:$I$32,5,0))</f>
        <v>#000000</v>
      </c>
    </row>
    <row r="510" spans="1:76" x14ac:dyDescent="0.3">
      <c r="A510" t="s">
        <v>381</v>
      </c>
      <c r="B510" t="s">
        <v>1344</v>
      </c>
      <c r="C510" t="s">
        <v>543</v>
      </c>
      <c r="D510" t="s">
        <v>1345</v>
      </c>
      <c r="E510" t="s">
        <v>543</v>
      </c>
      <c r="F510" t="b">
        <v>1</v>
      </c>
      <c r="G510">
        <v>66</v>
      </c>
      <c r="H510">
        <v>0</v>
      </c>
      <c r="I510">
        <v>10948</v>
      </c>
      <c r="J510" s="61" t="s">
        <v>13</v>
      </c>
      <c r="K510" t="s">
        <v>272</v>
      </c>
      <c r="L510">
        <v>3</v>
      </c>
      <c r="M510" t="s">
        <v>277</v>
      </c>
      <c r="N510" t="s">
        <v>335</v>
      </c>
      <c r="O510" t="s">
        <v>283</v>
      </c>
      <c r="P510" t="s">
        <v>282</v>
      </c>
      <c r="Q510" t="s">
        <v>284</v>
      </c>
      <c r="R510" t="s">
        <v>371</v>
      </c>
      <c r="S510">
        <v>0</v>
      </c>
      <c r="T510">
        <v>1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704</v>
      </c>
      <c r="AD510" t="s">
        <v>341</v>
      </c>
      <c r="AE510" t="s">
        <v>342</v>
      </c>
      <c r="AF510" t="s">
        <v>343</v>
      </c>
      <c r="AG510" t="s">
        <v>345</v>
      </c>
      <c r="AH510" s="17" t="s">
        <v>371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 t="s">
        <v>704</v>
      </c>
      <c r="AR510" t="s">
        <v>349</v>
      </c>
      <c r="AS510" t="s">
        <v>349</v>
      </c>
      <c r="AT510">
        <v>1</v>
      </c>
      <c r="AU510">
        <v>0</v>
      </c>
      <c r="AV510">
        <v>0</v>
      </c>
      <c r="AW510" t="s">
        <v>704</v>
      </c>
      <c r="AX510" t="s">
        <v>1333</v>
      </c>
      <c r="AY510" t="s">
        <v>293</v>
      </c>
      <c r="AZ510" t="s">
        <v>353</v>
      </c>
      <c r="BA510" t="s">
        <v>297</v>
      </c>
      <c r="BB510" t="s">
        <v>301</v>
      </c>
      <c r="BC510" t="s">
        <v>292</v>
      </c>
      <c r="BD510" t="s">
        <v>293</v>
      </c>
      <c r="BE510" t="s">
        <v>292</v>
      </c>
      <c r="BF510" t="s">
        <v>293</v>
      </c>
      <c r="BG510" t="s">
        <v>293</v>
      </c>
      <c r="BH510" t="s">
        <v>302</v>
      </c>
      <c r="BI510" t="s">
        <v>302</v>
      </c>
      <c r="BJ510" t="s">
        <v>359</v>
      </c>
      <c r="BK510" t="s">
        <v>293</v>
      </c>
      <c r="BL510" t="s">
        <v>293</v>
      </c>
      <c r="BM510" t="s">
        <v>297</v>
      </c>
      <c r="BN510" t="s">
        <v>298</v>
      </c>
      <c r="BO510" t="s">
        <v>293</v>
      </c>
      <c r="BP510" t="s">
        <v>292</v>
      </c>
      <c r="BQ510" t="s">
        <v>293</v>
      </c>
      <c r="BR510" t="s">
        <v>293</v>
      </c>
      <c r="BS510" t="s">
        <v>364</v>
      </c>
      <c r="BT510" t="s">
        <v>366</v>
      </c>
      <c r="BU510" t="s">
        <v>371</v>
      </c>
      <c r="BV510" t="s">
        <v>544</v>
      </c>
      <c r="BW510" t="str">
        <f t="shared" si="0"/>
        <v>https://dfp529wcvahka.cloudfront.net/ws/GalleryEntry/jedzJ/video_preview/PfPGNfIa.png</v>
      </c>
      <c r="BX510" t="str">
        <f>IF(J510="win",VLOOKUP(B510,ColorScheme!$A$2:$I$32,4,0),VLOOKUP(B510,ColorScheme!$A$2:$I$32,5,0))</f>
        <v>#000000</v>
      </c>
    </row>
    <row r="511" spans="1:76" x14ac:dyDescent="0.3">
      <c r="A511" t="s">
        <v>381</v>
      </c>
      <c r="B511" t="s">
        <v>1344</v>
      </c>
      <c r="C511" t="s">
        <v>666</v>
      </c>
      <c r="D511" t="s">
        <v>1345</v>
      </c>
      <c r="E511" t="s">
        <v>666</v>
      </c>
      <c r="F511" t="b">
        <v>1</v>
      </c>
      <c r="G511">
        <v>57.6</v>
      </c>
      <c r="H511">
        <v>0</v>
      </c>
      <c r="I511">
        <v>11940</v>
      </c>
      <c r="J511" s="61" t="s">
        <v>13</v>
      </c>
      <c r="K511" t="s">
        <v>272</v>
      </c>
      <c r="L511">
        <v>3</v>
      </c>
      <c r="M511" t="s">
        <v>333</v>
      </c>
      <c r="N511" t="s">
        <v>278</v>
      </c>
      <c r="O511" t="s">
        <v>283</v>
      </c>
      <c r="P511" t="s">
        <v>281</v>
      </c>
      <c r="Q511" t="s">
        <v>371</v>
      </c>
      <c r="R511" t="s">
        <v>371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704</v>
      </c>
      <c r="AD511" t="s">
        <v>341</v>
      </c>
      <c r="AE511" t="s">
        <v>340</v>
      </c>
      <c r="AF511" t="s">
        <v>343</v>
      </c>
      <c r="AG511" t="s">
        <v>344</v>
      </c>
      <c r="AH511" s="17" t="s">
        <v>371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 t="s">
        <v>704</v>
      </c>
      <c r="AR511" t="s">
        <v>349</v>
      </c>
      <c r="AS511" t="s">
        <v>349</v>
      </c>
      <c r="AT511">
        <v>1</v>
      </c>
      <c r="AU511">
        <v>0</v>
      </c>
      <c r="AV511">
        <v>0</v>
      </c>
      <c r="AW511" t="s">
        <v>704</v>
      </c>
      <c r="AX511" t="s">
        <v>1258</v>
      </c>
      <c r="AY511" t="s">
        <v>293</v>
      </c>
      <c r="AZ511" t="s">
        <v>352</v>
      </c>
      <c r="BA511" t="s">
        <v>296</v>
      </c>
      <c r="BB511" t="s">
        <v>301</v>
      </c>
      <c r="BC511" t="s">
        <v>292</v>
      </c>
      <c r="BD511" t="s">
        <v>293</v>
      </c>
      <c r="BE511" t="s">
        <v>292</v>
      </c>
      <c r="BF511" t="s">
        <v>292</v>
      </c>
      <c r="BG511" t="s">
        <v>293</v>
      </c>
      <c r="BH511" t="s">
        <v>302</v>
      </c>
      <c r="BI511" t="s">
        <v>359</v>
      </c>
      <c r="BJ511" t="s">
        <v>359</v>
      </c>
      <c r="BK511" t="s">
        <v>293</v>
      </c>
      <c r="BL511" t="s">
        <v>293</v>
      </c>
      <c r="BM511" t="s">
        <v>297</v>
      </c>
      <c r="BN511" t="s">
        <v>298</v>
      </c>
      <c r="BO511" t="s">
        <v>293</v>
      </c>
      <c r="BP511" t="s">
        <v>292</v>
      </c>
      <c r="BQ511" t="s">
        <v>293</v>
      </c>
      <c r="BR511" t="s">
        <v>293</v>
      </c>
      <c r="BS511" t="s">
        <v>364</v>
      </c>
      <c r="BT511" t="s">
        <v>366</v>
      </c>
      <c r="BU511" t="s">
        <v>371</v>
      </c>
      <c r="BV511" t="s">
        <v>667</v>
      </c>
      <c r="BW511" t="str">
        <f t="shared" si="0"/>
        <v>https://dfp529wcvahka.cloudfront.net/ws/GalleryEntry/jg255/video_preview/YFqoXeXi.png</v>
      </c>
      <c r="BX511" t="str">
        <f>IF(J511="win",VLOOKUP(B511,ColorScheme!$A$2:$I$32,4,0),VLOOKUP(B511,ColorScheme!$A$2:$I$32,5,0))</f>
        <v>#000000</v>
      </c>
    </row>
    <row r="512" spans="1:76" x14ac:dyDescent="0.3">
      <c r="A512" t="s">
        <v>381</v>
      </c>
      <c r="B512" t="s">
        <v>1344</v>
      </c>
      <c r="C512" t="s">
        <v>567</v>
      </c>
      <c r="D512" t="s">
        <v>1345</v>
      </c>
      <c r="E512" t="s">
        <v>567</v>
      </c>
      <c r="F512" t="b">
        <v>1</v>
      </c>
      <c r="G512">
        <v>99</v>
      </c>
      <c r="H512">
        <v>0</v>
      </c>
      <c r="I512">
        <v>7742</v>
      </c>
      <c r="J512" s="61" t="s">
        <v>13</v>
      </c>
      <c r="K512" t="s">
        <v>272</v>
      </c>
      <c r="L512">
        <v>3</v>
      </c>
      <c r="M512" t="s">
        <v>277</v>
      </c>
      <c r="N512" t="s">
        <v>335</v>
      </c>
      <c r="O512" t="s">
        <v>281</v>
      </c>
      <c r="P512" t="s">
        <v>286</v>
      </c>
      <c r="Q512" t="s">
        <v>371</v>
      </c>
      <c r="R512" t="s">
        <v>371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 t="s">
        <v>704</v>
      </c>
      <c r="AD512" t="s">
        <v>341</v>
      </c>
      <c r="AE512" t="s">
        <v>340</v>
      </c>
      <c r="AF512" t="s">
        <v>343</v>
      </c>
      <c r="AG512" t="s">
        <v>345</v>
      </c>
      <c r="AH512" s="17" t="s">
        <v>371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704</v>
      </c>
      <c r="AR512" t="s">
        <v>350</v>
      </c>
      <c r="AS512" t="s">
        <v>349</v>
      </c>
      <c r="AT512">
        <v>0</v>
      </c>
      <c r="AU512">
        <v>1</v>
      </c>
      <c r="AV512">
        <v>0</v>
      </c>
      <c r="AW512" t="s">
        <v>704</v>
      </c>
      <c r="AX512" t="s">
        <v>2929</v>
      </c>
      <c r="AY512" t="s">
        <v>293</v>
      </c>
      <c r="AZ512" t="s">
        <v>353</v>
      </c>
      <c r="BA512" t="s">
        <v>297</v>
      </c>
      <c r="BB512" t="s">
        <v>299</v>
      </c>
      <c r="BC512" t="s">
        <v>292</v>
      </c>
      <c r="BD512" t="s">
        <v>293</v>
      </c>
      <c r="BE512" t="s">
        <v>292</v>
      </c>
      <c r="BF512" t="s">
        <v>292</v>
      </c>
      <c r="BG512" t="s">
        <v>293</v>
      </c>
      <c r="BH512" t="s">
        <v>302</v>
      </c>
      <c r="BI512" t="s">
        <v>358</v>
      </c>
      <c r="BJ512" t="s">
        <v>359</v>
      </c>
      <c r="BK512" t="s">
        <v>293</v>
      </c>
      <c r="BL512" t="s">
        <v>293</v>
      </c>
      <c r="BM512" t="s">
        <v>297</v>
      </c>
      <c r="BN512" t="s">
        <v>298</v>
      </c>
      <c r="BO512" t="s">
        <v>293</v>
      </c>
      <c r="BP512" t="s">
        <v>292</v>
      </c>
      <c r="BQ512" t="s">
        <v>293</v>
      </c>
      <c r="BR512" t="s">
        <v>293</v>
      </c>
      <c r="BS512" t="s">
        <v>364</v>
      </c>
      <c r="BT512" t="s">
        <v>366</v>
      </c>
      <c r="BU512" t="s">
        <v>371</v>
      </c>
      <c r="BV512" t="s">
        <v>568</v>
      </c>
      <c r="BW512" t="str">
        <f t="shared" si="0"/>
        <v>https://dfp529wcvahka.cloudfront.net/ws/GalleryEntry/K8d03/video_preview/kQkex4t3.png</v>
      </c>
      <c r="BX512" t="str">
        <f>IF(J512="win",VLOOKUP(B512,ColorScheme!$A$2:$I$32,4,0),VLOOKUP(B512,ColorScheme!$A$2:$I$32,5,0))</f>
        <v>#000000</v>
      </c>
    </row>
    <row r="513" spans="1:76" x14ac:dyDescent="0.3">
      <c r="A513" t="s">
        <v>381</v>
      </c>
      <c r="B513" t="s">
        <v>1344</v>
      </c>
      <c r="C513" t="s">
        <v>612</v>
      </c>
      <c r="D513" t="s">
        <v>1345</v>
      </c>
      <c r="E513" t="s">
        <v>612</v>
      </c>
      <c r="F513" t="b">
        <v>1</v>
      </c>
      <c r="G513">
        <v>86.1</v>
      </c>
      <c r="H513">
        <v>0</v>
      </c>
      <c r="I513">
        <v>9627</v>
      </c>
      <c r="J513" s="61" t="s">
        <v>13</v>
      </c>
      <c r="K513" t="s">
        <v>272</v>
      </c>
      <c r="L513">
        <v>3</v>
      </c>
      <c r="M513" t="s">
        <v>333</v>
      </c>
      <c r="N513" t="s">
        <v>336</v>
      </c>
      <c r="O513" t="s">
        <v>283</v>
      </c>
      <c r="P513" t="s">
        <v>281</v>
      </c>
      <c r="Q513" t="s">
        <v>371</v>
      </c>
      <c r="R513" t="s">
        <v>371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704</v>
      </c>
      <c r="AD513" t="s">
        <v>341</v>
      </c>
      <c r="AE513" t="s">
        <v>340</v>
      </c>
      <c r="AF513" t="s">
        <v>343</v>
      </c>
      <c r="AG513" t="s">
        <v>345</v>
      </c>
      <c r="AH513" s="17" t="s">
        <v>371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704</v>
      </c>
      <c r="AR513" t="s">
        <v>350</v>
      </c>
      <c r="AS513" t="s">
        <v>349</v>
      </c>
      <c r="AT513">
        <v>0</v>
      </c>
      <c r="AU513">
        <v>1</v>
      </c>
      <c r="AV513">
        <v>0</v>
      </c>
      <c r="AW513" t="s">
        <v>704</v>
      </c>
      <c r="AX513" t="s">
        <v>2930</v>
      </c>
      <c r="AY513" t="s">
        <v>293</v>
      </c>
      <c r="AZ513" t="s">
        <v>353</v>
      </c>
      <c r="BA513" t="s">
        <v>296</v>
      </c>
      <c r="BB513" t="s">
        <v>300</v>
      </c>
      <c r="BC513" t="s">
        <v>292</v>
      </c>
      <c r="BD513" t="s">
        <v>293</v>
      </c>
      <c r="BE513" t="s">
        <v>292</v>
      </c>
      <c r="BF513" t="s">
        <v>292</v>
      </c>
      <c r="BG513" t="s">
        <v>293</v>
      </c>
      <c r="BH513" t="s">
        <v>302</v>
      </c>
      <c r="BI513" t="s">
        <v>359</v>
      </c>
      <c r="BJ513" t="s">
        <v>359</v>
      </c>
      <c r="BK513" t="s">
        <v>293</v>
      </c>
      <c r="BL513" t="s">
        <v>293</v>
      </c>
      <c r="BM513" t="s">
        <v>297</v>
      </c>
      <c r="BN513" t="s">
        <v>298</v>
      </c>
      <c r="BO513" t="s">
        <v>293</v>
      </c>
      <c r="BP513" t="s">
        <v>292</v>
      </c>
      <c r="BQ513" t="s">
        <v>293</v>
      </c>
      <c r="BR513" t="s">
        <v>293</v>
      </c>
      <c r="BS513" t="s">
        <v>364</v>
      </c>
      <c r="BT513" t="s">
        <v>366</v>
      </c>
      <c r="BU513" t="s">
        <v>371</v>
      </c>
      <c r="BV513" t="s">
        <v>613</v>
      </c>
      <c r="BW513" t="str">
        <f t="shared" si="0"/>
        <v>https://dfp529wcvahka.cloudfront.net/ws/GalleryEntry/klQQL/video_preview/pPicDBWC.png</v>
      </c>
      <c r="BX513" t="str">
        <f>IF(J513="win",VLOOKUP(B513,ColorScheme!$A$2:$I$32,4,0),VLOOKUP(B513,ColorScheme!$A$2:$I$32,5,0))</f>
        <v>#000000</v>
      </c>
    </row>
    <row r="514" spans="1:76" x14ac:dyDescent="0.3">
      <c r="A514" t="s">
        <v>381</v>
      </c>
      <c r="B514" t="s">
        <v>1344</v>
      </c>
      <c r="C514" t="s">
        <v>594</v>
      </c>
      <c r="D514" t="s">
        <v>1345</v>
      </c>
      <c r="E514" t="s">
        <v>594</v>
      </c>
      <c r="F514" t="b">
        <v>1</v>
      </c>
      <c r="G514">
        <v>65</v>
      </c>
      <c r="H514">
        <v>0</v>
      </c>
      <c r="I514">
        <v>14325</v>
      </c>
      <c r="J514" s="61" t="s">
        <v>18</v>
      </c>
      <c r="K514" t="s">
        <v>273</v>
      </c>
      <c r="L514">
        <v>2</v>
      </c>
      <c r="M514" t="s">
        <v>277</v>
      </c>
      <c r="N514" t="s">
        <v>335</v>
      </c>
      <c r="O514" t="s">
        <v>283</v>
      </c>
      <c r="P514" t="s">
        <v>371</v>
      </c>
      <c r="Q514" t="s">
        <v>371</v>
      </c>
      <c r="R514" t="s">
        <v>371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704</v>
      </c>
      <c r="AD514" t="s">
        <v>340</v>
      </c>
      <c r="AE514" t="s">
        <v>342</v>
      </c>
      <c r="AF514" t="s">
        <v>343</v>
      </c>
      <c r="AG514" t="s">
        <v>347</v>
      </c>
      <c r="AH514" s="17" t="s">
        <v>371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 t="s">
        <v>704</v>
      </c>
      <c r="AR514" t="s">
        <v>349</v>
      </c>
      <c r="AS514" t="s">
        <v>349</v>
      </c>
      <c r="AT514">
        <v>1</v>
      </c>
      <c r="AU514">
        <v>0</v>
      </c>
      <c r="AV514">
        <v>0</v>
      </c>
      <c r="AW514" t="s">
        <v>704</v>
      </c>
      <c r="AX514" t="s">
        <v>1270</v>
      </c>
      <c r="AY514" t="s">
        <v>293</v>
      </c>
      <c r="AZ514" t="s">
        <v>353</v>
      </c>
      <c r="BA514" t="s">
        <v>296</v>
      </c>
      <c r="BB514" t="s">
        <v>301</v>
      </c>
      <c r="BC514" t="s">
        <v>293</v>
      </c>
      <c r="BD514" t="s">
        <v>292</v>
      </c>
      <c r="BE514" t="s">
        <v>292</v>
      </c>
      <c r="BF514" t="s">
        <v>292</v>
      </c>
      <c r="BG514" t="s">
        <v>293</v>
      </c>
      <c r="BH514" t="s">
        <v>302</v>
      </c>
      <c r="BI514" t="s">
        <v>357</v>
      </c>
      <c r="BJ514" t="s">
        <v>359</v>
      </c>
      <c r="BK514" t="s">
        <v>293</v>
      </c>
      <c r="BL514" t="s">
        <v>293</v>
      </c>
      <c r="BM514" t="s">
        <v>297</v>
      </c>
      <c r="BN514" t="s">
        <v>356</v>
      </c>
      <c r="BO514" t="s">
        <v>293</v>
      </c>
      <c r="BP514" t="s">
        <v>292</v>
      </c>
      <c r="BQ514" t="s">
        <v>293</v>
      </c>
      <c r="BR514" t="s">
        <v>293</v>
      </c>
      <c r="BS514" t="s">
        <v>364</v>
      </c>
      <c r="BT514" t="s">
        <v>686</v>
      </c>
      <c r="BU514" t="s">
        <v>371</v>
      </c>
      <c r="BV514" t="s">
        <v>595</v>
      </c>
      <c r="BW514" t="str">
        <f t="shared" ref="BW514:BW560" si="1">VLOOKUP(E514,scrnsht,2,0)</f>
        <v>https://dfp529wcvahka.cloudfront.net/ws/GalleryEntry/KvqzD/video_preview/ZAF6eFqT.png</v>
      </c>
      <c r="BX514" t="str">
        <f>IF(J514="win",VLOOKUP(B514,ColorScheme!$A$2:$I$32,4,0),VLOOKUP(B514,ColorScheme!$A$2:$I$32,5,0))</f>
        <v>#00000050</v>
      </c>
    </row>
    <row r="515" spans="1:76" x14ac:dyDescent="0.3">
      <c r="A515" t="s">
        <v>381</v>
      </c>
      <c r="B515" t="s">
        <v>1344</v>
      </c>
      <c r="C515" t="s">
        <v>483</v>
      </c>
      <c r="D515" t="s">
        <v>1345</v>
      </c>
      <c r="E515" t="s">
        <v>483</v>
      </c>
      <c r="F515" t="b">
        <v>1</v>
      </c>
      <c r="G515">
        <v>90.7</v>
      </c>
      <c r="H515">
        <v>0</v>
      </c>
      <c r="I515">
        <v>9583</v>
      </c>
      <c r="J515" s="61" t="s">
        <v>13</v>
      </c>
      <c r="K515" t="s">
        <v>272</v>
      </c>
      <c r="L515">
        <v>3</v>
      </c>
      <c r="M515" t="s">
        <v>277</v>
      </c>
      <c r="N515" t="s">
        <v>335</v>
      </c>
      <c r="O515" t="s">
        <v>283</v>
      </c>
      <c r="P515" t="s">
        <v>282</v>
      </c>
      <c r="Q515" t="s">
        <v>371</v>
      </c>
      <c r="R515" t="s">
        <v>371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704</v>
      </c>
      <c r="AD515" t="s">
        <v>341</v>
      </c>
      <c r="AE515" t="s">
        <v>340</v>
      </c>
      <c r="AF515" t="s">
        <v>343</v>
      </c>
      <c r="AG515" t="s">
        <v>345</v>
      </c>
      <c r="AH515" s="17" t="s">
        <v>371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704</v>
      </c>
      <c r="AR515" t="s">
        <v>349</v>
      </c>
      <c r="AS515" t="s">
        <v>349</v>
      </c>
      <c r="AT515">
        <v>1</v>
      </c>
      <c r="AU515">
        <v>0</v>
      </c>
      <c r="AV515">
        <v>0</v>
      </c>
      <c r="AW515" t="s">
        <v>704</v>
      </c>
      <c r="AX515" t="s">
        <v>1237</v>
      </c>
      <c r="AY515" t="s">
        <v>293</v>
      </c>
      <c r="AZ515" t="s">
        <v>353</v>
      </c>
      <c r="BA515" t="s">
        <v>297</v>
      </c>
      <c r="BB515" t="s">
        <v>300</v>
      </c>
      <c r="BC515" t="s">
        <v>292</v>
      </c>
      <c r="BD515" t="s">
        <v>293</v>
      </c>
      <c r="BE515" t="s">
        <v>292</v>
      </c>
      <c r="BF515" t="s">
        <v>293</v>
      </c>
      <c r="BG515" t="s">
        <v>293</v>
      </c>
      <c r="BH515" t="s">
        <v>302</v>
      </c>
      <c r="BI515" t="s">
        <v>302</v>
      </c>
      <c r="BJ515" t="s">
        <v>359</v>
      </c>
      <c r="BK515" t="s">
        <v>293</v>
      </c>
      <c r="BL515" t="s">
        <v>293</v>
      </c>
      <c r="BM515" t="s">
        <v>297</v>
      </c>
      <c r="BN515" t="s">
        <v>298</v>
      </c>
      <c r="BO515" t="s">
        <v>293</v>
      </c>
      <c r="BP515" t="s">
        <v>292</v>
      </c>
      <c r="BQ515" t="s">
        <v>362</v>
      </c>
      <c r="BR515" t="s">
        <v>293</v>
      </c>
      <c r="BS515" t="s">
        <v>364</v>
      </c>
      <c r="BT515" t="s">
        <v>366</v>
      </c>
      <c r="BU515" t="s">
        <v>371</v>
      </c>
      <c r="BV515" t="s">
        <v>484</v>
      </c>
      <c r="BW515" t="str">
        <f t="shared" si="1"/>
        <v>https://dfp529wcvahka.cloudfront.net/ws/GalleryEntry/l2v13/video_preview/hy622q3S.png</v>
      </c>
      <c r="BX515" t="str">
        <f>IF(J515="win",VLOOKUP(B515,ColorScheme!$A$2:$I$32,4,0),VLOOKUP(B515,ColorScheme!$A$2:$I$32,5,0))</f>
        <v>#000000</v>
      </c>
    </row>
    <row r="516" spans="1:76" x14ac:dyDescent="0.3">
      <c r="A516" t="s">
        <v>381</v>
      </c>
      <c r="B516" t="s">
        <v>1344</v>
      </c>
      <c r="C516" t="s">
        <v>429</v>
      </c>
      <c r="D516" t="s">
        <v>1345</v>
      </c>
      <c r="E516" t="s">
        <v>429</v>
      </c>
      <c r="F516" t="b">
        <v>1</v>
      </c>
      <c r="G516">
        <v>89</v>
      </c>
      <c r="H516">
        <v>0</v>
      </c>
      <c r="I516">
        <v>9178</v>
      </c>
      <c r="J516" s="61" t="s">
        <v>13</v>
      </c>
      <c r="K516" t="s">
        <v>272</v>
      </c>
      <c r="L516">
        <v>3</v>
      </c>
      <c r="M516" t="s">
        <v>277</v>
      </c>
      <c r="N516" t="s">
        <v>335</v>
      </c>
      <c r="O516" t="s">
        <v>282</v>
      </c>
      <c r="P516" t="s">
        <v>371</v>
      </c>
      <c r="Q516" t="s">
        <v>371</v>
      </c>
      <c r="R516" t="s">
        <v>371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704</v>
      </c>
      <c r="AD516" t="s">
        <v>341</v>
      </c>
      <c r="AE516" t="s">
        <v>342</v>
      </c>
      <c r="AF516" t="s">
        <v>343</v>
      </c>
      <c r="AG516" t="s">
        <v>345</v>
      </c>
      <c r="AH516" s="17" t="s">
        <v>347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 t="s">
        <v>704</v>
      </c>
      <c r="AR516" t="s">
        <v>349</v>
      </c>
      <c r="AS516" t="s">
        <v>349</v>
      </c>
      <c r="AT516">
        <v>1</v>
      </c>
      <c r="AU516">
        <v>0</v>
      </c>
      <c r="AV516">
        <v>0</v>
      </c>
      <c r="AW516" t="s">
        <v>704</v>
      </c>
      <c r="AX516" t="s">
        <v>1264</v>
      </c>
      <c r="AY516" t="s">
        <v>293</v>
      </c>
      <c r="AZ516" t="s">
        <v>353</v>
      </c>
      <c r="BA516" t="s">
        <v>297</v>
      </c>
      <c r="BB516" t="s">
        <v>300</v>
      </c>
      <c r="BC516" t="s">
        <v>292</v>
      </c>
      <c r="BD516" t="s">
        <v>293</v>
      </c>
      <c r="BE516" t="s">
        <v>292</v>
      </c>
      <c r="BF516" t="s">
        <v>293</v>
      </c>
      <c r="BG516" t="s">
        <v>293</v>
      </c>
      <c r="BH516" t="s">
        <v>302</v>
      </c>
      <c r="BI516" t="s">
        <v>302</v>
      </c>
      <c r="BJ516" t="s">
        <v>359</v>
      </c>
      <c r="BK516" t="s">
        <v>293</v>
      </c>
      <c r="BL516" t="s">
        <v>293</v>
      </c>
      <c r="BM516" t="s">
        <v>297</v>
      </c>
      <c r="BN516" t="s">
        <v>298</v>
      </c>
      <c r="BO516" t="s">
        <v>293</v>
      </c>
      <c r="BP516" t="s">
        <v>292</v>
      </c>
      <c r="BQ516" t="s">
        <v>293</v>
      </c>
      <c r="BR516" t="s">
        <v>293</v>
      </c>
      <c r="BS516" t="s">
        <v>364</v>
      </c>
      <c r="BT516" t="s">
        <v>366</v>
      </c>
      <c r="BU516" t="s">
        <v>371</v>
      </c>
      <c r="BV516" t="s">
        <v>430</v>
      </c>
      <c r="BW516" t="str">
        <f t="shared" si="1"/>
        <v>https://dfp529wcvahka.cloudfront.net/ws/GalleryEntry/l5wPj/video_preview/vafNTFJN.png</v>
      </c>
      <c r="BX516" t="str">
        <f>IF(J516="win",VLOOKUP(B516,ColorScheme!$A$2:$I$32,4,0),VLOOKUP(B516,ColorScheme!$A$2:$I$32,5,0))</f>
        <v>#000000</v>
      </c>
    </row>
    <row r="517" spans="1:76" x14ac:dyDescent="0.3">
      <c r="A517" t="s">
        <v>381</v>
      </c>
      <c r="B517" t="s">
        <v>1344</v>
      </c>
      <c r="C517" t="s">
        <v>573</v>
      </c>
      <c r="D517" t="s">
        <v>1345</v>
      </c>
      <c r="E517" t="s">
        <v>573</v>
      </c>
      <c r="F517" t="b">
        <v>1</v>
      </c>
      <c r="G517">
        <v>97.8</v>
      </c>
      <c r="H517">
        <v>0</v>
      </c>
      <c r="I517">
        <v>7690</v>
      </c>
      <c r="J517" s="61" t="s">
        <v>13</v>
      </c>
      <c r="K517" t="s">
        <v>272</v>
      </c>
      <c r="L517">
        <v>3</v>
      </c>
      <c r="M517" t="s">
        <v>277</v>
      </c>
      <c r="N517" t="s">
        <v>335</v>
      </c>
      <c r="O517" t="s">
        <v>283</v>
      </c>
      <c r="P517" t="s">
        <v>282</v>
      </c>
      <c r="Q517" t="s">
        <v>284</v>
      </c>
      <c r="R517" t="s">
        <v>371</v>
      </c>
      <c r="S517">
        <v>0</v>
      </c>
      <c r="T517">
        <v>1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704</v>
      </c>
      <c r="AD517" t="s">
        <v>341</v>
      </c>
      <c r="AE517" t="s">
        <v>342</v>
      </c>
      <c r="AF517" t="s">
        <v>343</v>
      </c>
      <c r="AG517" t="s">
        <v>344</v>
      </c>
      <c r="AH517" s="17" t="s">
        <v>371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704</v>
      </c>
      <c r="AR517" t="s">
        <v>350</v>
      </c>
      <c r="AS517" t="s">
        <v>349</v>
      </c>
      <c r="AT517">
        <v>0</v>
      </c>
      <c r="AU517">
        <v>1</v>
      </c>
      <c r="AV517">
        <v>0</v>
      </c>
      <c r="AW517" t="s">
        <v>704</v>
      </c>
      <c r="AX517" t="s">
        <v>2921</v>
      </c>
      <c r="AY517" t="s">
        <v>293</v>
      </c>
      <c r="AZ517" t="s">
        <v>353</v>
      </c>
      <c r="BA517" t="s">
        <v>297</v>
      </c>
      <c r="BB517" t="s">
        <v>300</v>
      </c>
      <c r="BC517" t="s">
        <v>292</v>
      </c>
      <c r="BD517" t="s">
        <v>293</v>
      </c>
      <c r="BE517" t="s">
        <v>292</v>
      </c>
      <c r="BF517" t="s">
        <v>293</v>
      </c>
      <c r="BG517" t="s">
        <v>293</v>
      </c>
      <c r="BH517" t="s">
        <v>302</v>
      </c>
      <c r="BI517" t="s">
        <v>302</v>
      </c>
      <c r="BJ517" t="s">
        <v>359</v>
      </c>
      <c r="BK517" t="s">
        <v>293</v>
      </c>
      <c r="BL517" t="s">
        <v>293</v>
      </c>
      <c r="BM517" t="s">
        <v>297</v>
      </c>
      <c r="BN517" t="s">
        <v>298</v>
      </c>
      <c r="BO517" t="s">
        <v>293</v>
      </c>
      <c r="BP517" t="s">
        <v>292</v>
      </c>
      <c r="BQ517" t="s">
        <v>293</v>
      </c>
      <c r="BR517" t="s">
        <v>293</v>
      </c>
      <c r="BS517" t="s">
        <v>364</v>
      </c>
      <c r="BT517" t="s">
        <v>366</v>
      </c>
      <c r="BU517" t="s">
        <v>371</v>
      </c>
      <c r="BV517" t="s">
        <v>574</v>
      </c>
      <c r="BW517" t="str">
        <f t="shared" si="1"/>
        <v>https://dfp529wcvahka.cloudfront.net/ws/GalleryEntry/Lak8z/video_preview/FgFkid4f.png</v>
      </c>
      <c r="BX517" t="str">
        <f>IF(J517="win",VLOOKUP(B517,ColorScheme!$A$2:$I$32,4,0),VLOOKUP(B517,ColorScheme!$A$2:$I$32,5,0))</f>
        <v>#000000</v>
      </c>
    </row>
    <row r="518" spans="1:76" x14ac:dyDescent="0.3">
      <c r="A518" t="s">
        <v>381</v>
      </c>
      <c r="B518" t="s">
        <v>1344</v>
      </c>
      <c r="C518" t="s">
        <v>681</v>
      </c>
      <c r="D518" t="s">
        <v>1345</v>
      </c>
      <c r="E518" t="s">
        <v>681</v>
      </c>
      <c r="F518" t="b">
        <v>1</v>
      </c>
      <c r="G518">
        <v>100</v>
      </c>
      <c r="H518">
        <v>1</v>
      </c>
      <c r="I518">
        <v>17232</v>
      </c>
      <c r="J518" s="61" t="s">
        <v>13</v>
      </c>
      <c r="K518" t="s">
        <v>272</v>
      </c>
      <c r="L518">
        <v>3</v>
      </c>
      <c r="M518" t="s">
        <v>277</v>
      </c>
      <c r="N518" t="s">
        <v>336</v>
      </c>
      <c r="O518" t="s">
        <v>281</v>
      </c>
      <c r="P518" t="s">
        <v>283</v>
      </c>
      <c r="Q518" t="s">
        <v>371</v>
      </c>
      <c r="R518" t="s">
        <v>371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704</v>
      </c>
      <c r="AD518" t="s">
        <v>341</v>
      </c>
      <c r="AE518" t="s">
        <v>340</v>
      </c>
      <c r="AF518" t="s">
        <v>343</v>
      </c>
      <c r="AG518" t="s">
        <v>346</v>
      </c>
      <c r="AH518" s="17" t="s">
        <v>291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 t="s">
        <v>704</v>
      </c>
      <c r="AR518" t="s">
        <v>350</v>
      </c>
      <c r="AS518" t="s">
        <v>349</v>
      </c>
      <c r="AT518">
        <v>0</v>
      </c>
      <c r="AU518">
        <v>1</v>
      </c>
      <c r="AV518">
        <v>0</v>
      </c>
      <c r="AW518" t="s">
        <v>704</v>
      </c>
      <c r="AX518" t="s">
        <v>2931</v>
      </c>
      <c r="AY518" t="s">
        <v>293</v>
      </c>
      <c r="AZ518" t="s">
        <v>353</v>
      </c>
      <c r="BA518" t="s">
        <v>296</v>
      </c>
      <c r="BB518" t="s">
        <v>301</v>
      </c>
      <c r="BC518" t="s">
        <v>292</v>
      </c>
      <c r="BD518" t="s">
        <v>293</v>
      </c>
      <c r="BE518" t="s">
        <v>292</v>
      </c>
      <c r="BF518" t="s">
        <v>292</v>
      </c>
      <c r="BG518" t="s">
        <v>293</v>
      </c>
      <c r="BH518" t="s">
        <v>359</v>
      </c>
      <c r="BI518" t="s">
        <v>359</v>
      </c>
      <c r="BJ518" t="s">
        <v>359</v>
      </c>
      <c r="BK518" t="s">
        <v>293</v>
      </c>
      <c r="BL518" t="s">
        <v>293</v>
      </c>
      <c r="BM518" t="s">
        <v>297</v>
      </c>
      <c r="BN518" t="s">
        <v>298</v>
      </c>
      <c r="BO518" t="s">
        <v>293</v>
      </c>
      <c r="BP518" t="s">
        <v>292</v>
      </c>
      <c r="BQ518" t="s">
        <v>293</v>
      </c>
      <c r="BR518" t="s">
        <v>293</v>
      </c>
      <c r="BS518" t="s">
        <v>364</v>
      </c>
      <c r="BT518" t="s">
        <v>304</v>
      </c>
      <c r="BU518" t="s">
        <v>371</v>
      </c>
      <c r="BV518" t="s">
        <v>682</v>
      </c>
      <c r="BW518" t="str">
        <f t="shared" si="1"/>
        <v>https://dfp529wcvahka.cloudfront.net/ws/GalleryEntry/Lgzg6/video_preview/qmliG9ng.png</v>
      </c>
      <c r="BX518" t="str">
        <f>IF(J518="win",VLOOKUP(B518,ColorScheme!$A$2:$I$32,4,0),VLOOKUP(B518,ColorScheme!$A$2:$I$32,5,0))</f>
        <v>#000000</v>
      </c>
    </row>
    <row r="519" spans="1:76" x14ac:dyDescent="0.3">
      <c r="A519" t="s">
        <v>381</v>
      </c>
      <c r="B519" t="s">
        <v>1344</v>
      </c>
      <c r="C519" t="s">
        <v>432</v>
      </c>
      <c r="D519" t="s">
        <v>1345</v>
      </c>
      <c r="E519" t="s">
        <v>432</v>
      </c>
      <c r="F519" t="b">
        <v>1</v>
      </c>
      <c r="G519">
        <v>76.2</v>
      </c>
      <c r="H519">
        <v>0</v>
      </c>
      <c r="I519">
        <v>14998</v>
      </c>
      <c r="J519" s="61" t="s">
        <v>13</v>
      </c>
      <c r="K519" t="s">
        <v>272</v>
      </c>
      <c r="L519">
        <v>3</v>
      </c>
      <c r="M519" t="s">
        <v>277</v>
      </c>
      <c r="N519" t="s">
        <v>336</v>
      </c>
      <c r="O519" t="s">
        <v>284</v>
      </c>
      <c r="P519" t="s">
        <v>283</v>
      </c>
      <c r="Q519" t="s">
        <v>282</v>
      </c>
      <c r="R519" t="s">
        <v>281</v>
      </c>
      <c r="S519">
        <v>1</v>
      </c>
      <c r="T519">
        <v>1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704</v>
      </c>
      <c r="AD519" t="s">
        <v>341</v>
      </c>
      <c r="AE519" t="s">
        <v>342</v>
      </c>
      <c r="AF519" t="s">
        <v>343</v>
      </c>
      <c r="AG519" t="s">
        <v>344</v>
      </c>
      <c r="AH519" s="17" t="s">
        <v>371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 t="s">
        <v>704</v>
      </c>
      <c r="AR519" t="s">
        <v>349</v>
      </c>
      <c r="AS519" t="s">
        <v>349</v>
      </c>
      <c r="AT519">
        <v>1</v>
      </c>
      <c r="AU519">
        <v>0</v>
      </c>
      <c r="AV519">
        <v>0</v>
      </c>
      <c r="AW519" t="s">
        <v>704</v>
      </c>
      <c r="AX519" t="s">
        <v>1334</v>
      </c>
      <c r="AY519" t="s">
        <v>293</v>
      </c>
      <c r="AZ519" t="s">
        <v>352</v>
      </c>
      <c r="BA519" t="s">
        <v>297</v>
      </c>
      <c r="BB519" t="s">
        <v>300</v>
      </c>
      <c r="BC519" t="s">
        <v>292</v>
      </c>
      <c r="BD519" t="s">
        <v>293</v>
      </c>
      <c r="BE519" t="s">
        <v>292</v>
      </c>
      <c r="BF519" t="s">
        <v>292</v>
      </c>
      <c r="BG519" t="s">
        <v>293</v>
      </c>
      <c r="BH519" t="s">
        <v>302</v>
      </c>
      <c r="BI519" t="s">
        <v>359</v>
      </c>
      <c r="BJ519" t="s">
        <v>359</v>
      </c>
      <c r="BK519" t="s">
        <v>293</v>
      </c>
      <c r="BL519" t="s">
        <v>293</v>
      </c>
      <c r="BM519" t="s">
        <v>297</v>
      </c>
      <c r="BN519" t="s">
        <v>298</v>
      </c>
      <c r="BO519" t="s">
        <v>293</v>
      </c>
      <c r="BP519" t="s">
        <v>292</v>
      </c>
      <c r="BQ519" t="s">
        <v>293</v>
      </c>
      <c r="BR519" t="s">
        <v>293</v>
      </c>
      <c r="BS519" t="s">
        <v>364</v>
      </c>
      <c r="BT519" t="s">
        <v>366</v>
      </c>
      <c r="BU519" t="s">
        <v>371</v>
      </c>
      <c r="BV519" t="s">
        <v>433</v>
      </c>
      <c r="BW519" t="str">
        <f t="shared" si="1"/>
        <v>https://dfp529wcvahka.cloudfront.net/ws/GalleryEntry/LNaRw/video_preview/aoVyXt99.png</v>
      </c>
      <c r="BX519" t="str">
        <f>IF(J519="win",VLOOKUP(B519,ColorScheme!$A$2:$I$32,4,0),VLOOKUP(B519,ColorScheme!$A$2:$I$32,5,0))</f>
        <v>#000000</v>
      </c>
    </row>
    <row r="520" spans="1:76" x14ac:dyDescent="0.3">
      <c r="A520" t="s">
        <v>381</v>
      </c>
      <c r="B520" t="s">
        <v>1344</v>
      </c>
      <c r="C520" t="s">
        <v>402</v>
      </c>
      <c r="D520" t="s">
        <v>1345</v>
      </c>
      <c r="E520" t="s">
        <v>402</v>
      </c>
      <c r="F520" t="b">
        <v>1</v>
      </c>
      <c r="G520">
        <v>99.5</v>
      </c>
      <c r="H520">
        <v>0</v>
      </c>
      <c r="I520">
        <v>8082</v>
      </c>
      <c r="J520" s="61" t="s">
        <v>13</v>
      </c>
      <c r="K520" t="s">
        <v>272</v>
      </c>
      <c r="L520">
        <v>3</v>
      </c>
      <c r="M520" t="s">
        <v>277</v>
      </c>
      <c r="N520" t="s">
        <v>335</v>
      </c>
      <c r="O520" t="s">
        <v>283</v>
      </c>
      <c r="P520" t="s">
        <v>284</v>
      </c>
      <c r="Q520" t="s">
        <v>371</v>
      </c>
      <c r="R520" t="s">
        <v>371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704</v>
      </c>
      <c r="AD520" t="s">
        <v>341</v>
      </c>
      <c r="AE520" t="s">
        <v>340</v>
      </c>
      <c r="AF520" t="s">
        <v>343</v>
      </c>
      <c r="AG520" t="s">
        <v>345</v>
      </c>
      <c r="AH520" s="17" t="s">
        <v>371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 t="s">
        <v>704</v>
      </c>
      <c r="AR520" t="s">
        <v>350</v>
      </c>
      <c r="AS520" t="s">
        <v>349</v>
      </c>
      <c r="AT520">
        <v>0</v>
      </c>
      <c r="AU520">
        <v>1</v>
      </c>
      <c r="AV520">
        <v>0</v>
      </c>
      <c r="AW520" t="s">
        <v>704</v>
      </c>
      <c r="AX520" t="s">
        <v>2932</v>
      </c>
      <c r="AY520" t="s">
        <v>293</v>
      </c>
      <c r="AZ520" t="s">
        <v>353</v>
      </c>
      <c r="BA520" t="s">
        <v>355</v>
      </c>
      <c r="BB520" t="s">
        <v>299</v>
      </c>
      <c r="BC520" t="s">
        <v>292</v>
      </c>
      <c r="BD520" t="s">
        <v>293</v>
      </c>
      <c r="BE520" t="s">
        <v>292</v>
      </c>
      <c r="BF520" t="s">
        <v>292</v>
      </c>
      <c r="BG520" t="s">
        <v>293</v>
      </c>
      <c r="BH520" t="s">
        <v>302</v>
      </c>
      <c r="BI520" t="s">
        <v>302</v>
      </c>
      <c r="BJ520" t="s">
        <v>359</v>
      </c>
      <c r="BK520" t="s">
        <v>293</v>
      </c>
      <c r="BL520" t="s">
        <v>293</v>
      </c>
      <c r="BM520" t="s">
        <v>297</v>
      </c>
      <c r="BN520" t="s">
        <v>298</v>
      </c>
      <c r="BO520" t="s">
        <v>293</v>
      </c>
      <c r="BP520" t="s">
        <v>292</v>
      </c>
      <c r="BQ520" t="s">
        <v>293</v>
      </c>
      <c r="BR520" t="s">
        <v>293</v>
      </c>
      <c r="BS520" t="s">
        <v>364</v>
      </c>
      <c r="BT520" t="s">
        <v>366</v>
      </c>
      <c r="BU520" t="s">
        <v>371</v>
      </c>
      <c r="BV520" t="s">
        <v>403</v>
      </c>
      <c r="BW520" t="str">
        <f t="shared" si="1"/>
        <v>https://dfp529wcvahka.cloudfront.net/ws/GalleryEntry/M5o9X/video_preview/AGdPEWQW.png</v>
      </c>
      <c r="BX520" t="str">
        <f>IF(J520="win",VLOOKUP(B520,ColorScheme!$A$2:$I$32,4,0),VLOOKUP(B520,ColorScheme!$A$2:$I$32,5,0))</f>
        <v>#000000</v>
      </c>
    </row>
    <row r="521" spans="1:76" x14ac:dyDescent="0.3">
      <c r="A521" t="s">
        <v>381</v>
      </c>
      <c r="B521" t="s">
        <v>1344</v>
      </c>
      <c r="C521" t="s">
        <v>426</v>
      </c>
      <c r="D521" t="s">
        <v>1345</v>
      </c>
      <c r="E521" t="s">
        <v>426</v>
      </c>
      <c r="F521" t="b">
        <v>1</v>
      </c>
      <c r="G521">
        <v>93</v>
      </c>
      <c r="H521">
        <v>0</v>
      </c>
      <c r="I521">
        <v>8218</v>
      </c>
      <c r="J521" s="61" t="s">
        <v>13</v>
      </c>
      <c r="K521" t="s">
        <v>272</v>
      </c>
      <c r="L521">
        <v>3</v>
      </c>
      <c r="M521" t="s">
        <v>277</v>
      </c>
      <c r="N521" t="s">
        <v>335</v>
      </c>
      <c r="O521" t="s">
        <v>283</v>
      </c>
      <c r="P521" t="s">
        <v>286</v>
      </c>
      <c r="Q521" t="s">
        <v>284</v>
      </c>
      <c r="R521" t="s">
        <v>371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 t="s">
        <v>704</v>
      </c>
      <c r="AD521" t="s">
        <v>341</v>
      </c>
      <c r="AE521" t="s">
        <v>342</v>
      </c>
      <c r="AF521" t="s">
        <v>343</v>
      </c>
      <c r="AG521" t="s">
        <v>344</v>
      </c>
      <c r="AH521" s="17" t="s">
        <v>371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 t="s">
        <v>704</v>
      </c>
      <c r="AR521" t="s">
        <v>349</v>
      </c>
      <c r="AS521" t="s">
        <v>349</v>
      </c>
      <c r="AT521">
        <v>1</v>
      </c>
      <c r="AU521">
        <v>0</v>
      </c>
      <c r="AV521">
        <v>0</v>
      </c>
      <c r="AW521" t="s">
        <v>704</v>
      </c>
      <c r="AX521" t="s">
        <v>1335</v>
      </c>
      <c r="AY521" t="s">
        <v>293</v>
      </c>
      <c r="AZ521" t="s">
        <v>352</v>
      </c>
      <c r="BA521" t="s">
        <v>297</v>
      </c>
      <c r="BB521" t="s">
        <v>300</v>
      </c>
      <c r="BC521" t="s">
        <v>292</v>
      </c>
      <c r="BD521" t="s">
        <v>293</v>
      </c>
      <c r="BE521" t="s">
        <v>292</v>
      </c>
      <c r="BF521" t="s">
        <v>293</v>
      </c>
      <c r="BG521" t="s">
        <v>293</v>
      </c>
      <c r="BH521" t="s">
        <v>302</v>
      </c>
      <c r="BI521" t="s">
        <v>302</v>
      </c>
      <c r="BJ521" t="s">
        <v>359</v>
      </c>
      <c r="BK521" t="s">
        <v>293</v>
      </c>
      <c r="BL521" t="s">
        <v>293</v>
      </c>
      <c r="BM521" t="s">
        <v>297</v>
      </c>
      <c r="BN521" t="s">
        <v>298</v>
      </c>
      <c r="BO521" t="s">
        <v>293</v>
      </c>
      <c r="BP521" t="s">
        <v>292</v>
      </c>
      <c r="BQ521" t="s">
        <v>293</v>
      </c>
      <c r="BR521" t="s">
        <v>293</v>
      </c>
      <c r="BS521" t="s">
        <v>364</v>
      </c>
      <c r="BT521" t="s">
        <v>366</v>
      </c>
      <c r="BU521" t="s">
        <v>371</v>
      </c>
      <c r="BV521" t="s">
        <v>427</v>
      </c>
      <c r="BW521" t="str">
        <f t="shared" si="1"/>
        <v>https://dfp529wcvahka.cloudfront.net/ws/GalleryEntry/mKK82/video_preview/66RMKW5P.png</v>
      </c>
      <c r="BX521" t="str">
        <f>IF(J521="win",VLOOKUP(B521,ColorScheme!$A$2:$I$32,4,0),VLOOKUP(B521,ColorScheme!$A$2:$I$32,5,0))</f>
        <v>#000000</v>
      </c>
    </row>
    <row r="522" spans="1:76" x14ac:dyDescent="0.3">
      <c r="A522" t="s">
        <v>381</v>
      </c>
      <c r="B522" t="s">
        <v>1344</v>
      </c>
      <c r="C522" t="s">
        <v>420</v>
      </c>
      <c r="D522" t="s">
        <v>1345</v>
      </c>
      <c r="E522" t="s">
        <v>420</v>
      </c>
      <c r="F522" t="b">
        <v>1</v>
      </c>
      <c r="G522">
        <v>71.900000000000006</v>
      </c>
      <c r="H522">
        <v>0</v>
      </c>
      <c r="I522">
        <v>8889</v>
      </c>
      <c r="J522" s="61" t="s">
        <v>13</v>
      </c>
      <c r="K522" t="s">
        <v>272</v>
      </c>
      <c r="L522">
        <v>3</v>
      </c>
      <c r="M522" t="s">
        <v>277</v>
      </c>
      <c r="N522" t="s">
        <v>335</v>
      </c>
      <c r="O522" t="s">
        <v>281</v>
      </c>
      <c r="P522" t="s">
        <v>282</v>
      </c>
      <c r="Q522" t="s">
        <v>371</v>
      </c>
      <c r="R522" t="s">
        <v>371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704</v>
      </c>
      <c r="AD522" t="s">
        <v>341</v>
      </c>
      <c r="AE522" t="s">
        <v>340</v>
      </c>
      <c r="AF522" t="s">
        <v>343</v>
      </c>
      <c r="AG522" t="s">
        <v>344</v>
      </c>
      <c r="AH522" s="17" t="s">
        <v>345</v>
      </c>
      <c r="AI522">
        <v>1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 t="s">
        <v>704</v>
      </c>
      <c r="AR522" t="s">
        <v>349</v>
      </c>
      <c r="AS522" t="s">
        <v>349</v>
      </c>
      <c r="AT522">
        <v>1</v>
      </c>
      <c r="AU522">
        <v>0</v>
      </c>
      <c r="AV522">
        <v>0</v>
      </c>
      <c r="AW522" t="s">
        <v>704</v>
      </c>
      <c r="AX522" t="s">
        <v>1217</v>
      </c>
      <c r="AY522" t="s">
        <v>293</v>
      </c>
      <c r="AZ522" t="s">
        <v>353</v>
      </c>
      <c r="BA522" t="s">
        <v>355</v>
      </c>
      <c r="BB522" t="s">
        <v>300</v>
      </c>
      <c r="BC522" t="s">
        <v>292</v>
      </c>
      <c r="BD522" t="s">
        <v>293</v>
      </c>
      <c r="BE522" t="s">
        <v>292</v>
      </c>
      <c r="BF522" t="s">
        <v>292</v>
      </c>
      <c r="BG522" t="s">
        <v>293</v>
      </c>
      <c r="BH522" t="s">
        <v>302</v>
      </c>
      <c r="BI522" t="s">
        <v>302</v>
      </c>
      <c r="BJ522" t="s">
        <v>359</v>
      </c>
      <c r="BK522" t="s">
        <v>293</v>
      </c>
      <c r="BL522" t="s">
        <v>293</v>
      </c>
      <c r="BM522" t="s">
        <v>297</v>
      </c>
      <c r="BN522" t="s">
        <v>298</v>
      </c>
      <c r="BO522" t="s">
        <v>293</v>
      </c>
      <c r="BP522" t="s">
        <v>292</v>
      </c>
      <c r="BQ522" t="s">
        <v>293</v>
      </c>
      <c r="BR522" t="s">
        <v>293</v>
      </c>
      <c r="BS522" t="s">
        <v>364</v>
      </c>
      <c r="BT522" t="s">
        <v>366</v>
      </c>
      <c r="BU522" t="s">
        <v>371</v>
      </c>
      <c r="BV522" t="s">
        <v>421</v>
      </c>
      <c r="BW522" t="str">
        <f t="shared" si="1"/>
        <v>https://dfp529wcvahka.cloudfront.net/ws/GalleryEntry/MmNJ9/video_preview/BPSf7uzq.png</v>
      </c>
      <c r="BX522" t="str">
        <f>IF(J522="win",VLOOKUP(B522,ColorScheme!$A$2:$I$32,4,0),VLOOKUP(B522,ColorScheme!$A$2:$I$32,5,0))</f>
        <v>#000000</v>
      </c>
    </row>
    <row r="523" spans="1:76" x14ac:dyDescent="0.3">
      <c r="A523" t="s">
        <v>381</v>
      </c>
      <c r="B523" t="s">
        <v>1344</v>
      </c>
      <c r="C523" t="s">
        <v>636</v>
      </c>
      <c r="D523" t="s">
        <v>1345</v>
      </c>
      <c r="E523" t="s">
        <v>636</v>
      </c>
      <c r="F523" t="b">
        <v>1</v>
      </c>
      <c r="G523">
        <v>55.4</v>
      </c>
      <c r="H523">
        <v>0</v>
      </c>
      <c r="I523">
        <v>14983</v>
      </c>
      <c r="J523" s="61" t="s">
        <v>13</v>
      </c>
      <c r="K523" t="s">
        <v>272</v>
      </c>
      <c r="L523">
        <v>3</v>
      </c>
      <c r="M523" t="s">
        <v>277</v>
      </c>
      <c r="N523" t="s">
        <v>336</v>
      </c>
      <c r="O523" t="s">
        <v>283</v>
      </c>
      <c r="P523" t="s">
        <v>281</v>
      </c>
      <c r="Q523" t="s">
        <v>371</v>
      </c>
      <c r="R523" t="s">
        <v>371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704</v>
      </c>
      <c r="AD523" t="s">
        <v>341</v>
      </c>
      <c r="AE523" t="s">
        <v>340</v>
      </c>
      <c r="AF523" t="s">
        <v>343</v>
      </c>
      <c r="AG523" t="s">
        <v>344</v>
      </c>
      <c r="AH523" s="17" t="s">
        <v>371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 t="s">
        <v>704</v>
      </c>
      <c r="AR523" t="s">
        <v>349</v>
      </c>
      <c r="AS523" t="s">
        <v>349</v>
      </c>
      <c r="AT523">
        <v>1</v>
      </c>
      <c r="AU523">
        <v>0</v>
      </c>
      <c r="AV523">
        <v>0</v>
      </c>
      <c r="AW523" t="s">
        <v>704</v>
      </c>
      <c r="AX523" t="s">
        <v>1258</v>
      </c>
      <c r="AY523" t="s">
        <v>293</v>
      </c>
      <c r="AZ523" t="s">
        <v>352</v>
      </c>
      <c r="BA523" t="s">
        <v>296</v>
      </c>
      <c r="BB523" t="s">
        <v>301</v>
      </c>
      <c r="BC523" t="s">
        <v>292</v>
      </c>
      <c r="BD523" t="s">
        <v>292</v>
      </c>
      <c r="BE523" t="s">
        <v>292</v>
      </c>
      <c r="BF523" t="s">
        <v>292</v>
      </c>
      <c r="BG523" t="s">
        <v>293</v>
      </c>
      <c r="BH523" t="s">
        <v>302</v>
      </c>
      <c r="BI523" t="s">
        <v>359</v>
      </c>
      <c r="BJ523" t="s">
        <v>359</v>
      </c>
      <c r="BK523" t="s">
        <v>293</v>
      </c>
      <c r="BL523" t="s">
        <v>293</v>
      </c>
      <c r="BM523" t="s">
        <v>297</v>
      </c>
      <c r="BN523" t="s">
        <v>298</v>
      </c>
      <c r="BO523" t="s">
        <v>293</v>
      </c>
      <c r="BP523" t="s">
        <v>292</v>
      </c>
      <c r="BQ523" t="s">
        <v>293</v>
      </c>
      <c r="BR523" t="s">
        <v>293</v>
      </c>
      <c r="BS523" t="s">
        <v>364</v>
      </c>
      <c r="BT523" t="s">
        <v>366</v>
      </c>
      <c r="BU523" t="s">
        <v>371</v>
      </c>
      <c r="BV523" t="s">
        <v>637</v>
      </c>
      <c r="BW523" t="str">
        <f t="shared" si="1"/>
        <v>https://dfp529wcvahka.cloudfront.net/ws/GalleryEntry/MmXa9/video_preview/J6SnZolv.png</v>
      </c>
      <c r="BX523" t="str">
        <f>IF(J523="win",VLOOKUP(B523,ColorScheme!$A$2:$I$32,4,0),VLOOKUP(B523,ColorScheme!$A$2:$I$32,5,0))</f>
        <v>#000000</v>
      </c>
    </row>
    <row r="524" spans="1:76" x14ac:dyDescent="0.3">
      <c r="A524" t="s">
        <v>381</v>
      </c>
      <c r="B524" t="s">
        <v>1344</v>
      </c>
      <c r="C524" t="s">
        <v>588</v>
      </c>
      <c r="D524" t="s">
        <v>1345</v>
      </c>
      <c r="E524" t="s">
        <v>588</v>
      </c>
      <c r="F524" t="b">
        <v>1</v>
      </c>
      <c r="G524">
        <v>55.09</v>
      </c>
      <c r="H524">
        <v>0</v>
      </c>
      <c r="I524">
        <v>14206</v>
      </c>
      <c r="J524" s="61" t="s">
        <v>13</v>
      </c>
      <c r="K524" t="s">
        <v>272</v>
      </c>
      <c r="L524">
        <v>3</v>
      </c>
      <c r="M524" t="s">
        <v>277</v>
      </c>
      <c r="N524" t="s">
        <v>335</v>
      </c>
      <c r="O524" t="s">
        <v>282</v>
      </c>
      <c r="P524" t="s">
        <v>371</v>
      </c>
      <c r="Q524" t="s">
        <v>371</v>
      </c>
      <c r="R524" t="s">
        <v>371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704</v>
      </c>
      <c r="AD524" t="s">
        <v>341</v>
      </c>
      <c r="AE524" t="s">
        <v>340</v>
      </c>
      <c r="AF524" t="s">
        <v>343</v>
      </c>
      <c r="AG524" t="s">
        <v>344</v>
      </c>
      <c r="AH524" s="17" t="s">
        <v>371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704</v>
      </c>
      <c r="AR524" t="s">
        <v>349</v>
      </c>
      <c r="AS524" t="s">
        <v>349</v>
      </c>
      <c r="AT524">
        <v>1</v>
      </c>
      <c r="AU524">
        <v>0</v>
      </c>
      <c r="AV524">
        <v>0</v>
      </c>
      <c r="AW524" t="s">
        <v>704</v>
      </c>
      <c r="AX524" t="s">
        <v>1208</v>
      </c>
      <c r="AY524" t="s">
        <v>293</v>
      </c>
      <c r="AZ524" t="s">
        <v>353</v>
      </c>
      <c r="BA524" t="s">
        <v>296</v>
      </c>
      <c r="BB524" t="s">
        <v>300</v>
      </c>
      <c r="BC524" t="s">
        <v>293</v>
      </c>
      <c r="BD524" t="s">
        <v>292</v>
      </c>
      <c r="BE524" t="s">
        <v>292</v>
      </c>
      <c r="BF524" t="s">
        <v>292</v>
      </c>
      <c r="BG524" t="s">
        <v>293</v>
      </c>
      <c r="BH524" t="s">
        <v>302</v>
      </c>
      <c r="BI524" t="s">
        <v>302</v>
      </c>
      <c r="BJ524" t="s">
        <v>359</v>
      </c>
      <c r="BK524" t="s">
        <v>293</v>
      </c>
      <c r="BL524" t="s">
        <v>293</v>
      </c>
      <c r="BM524" t="s">
        <v>297</v>
      </c>
      <c r="BN524" t="s">
        <v>356</v>
      </c>
      <c r="BO524" t="s">
        <v>293</v>
      </c>
      <c r="BP524" t="s">
        <v>292</v>
      </c>
      <c r="BQ524" t="s">
        <v>293</v>
      </c>
      <c r="BR524" t="s">
        <v>293</v>
      </c>
      <c r="BS524" t="s">
        <v>364</v>
      </c>
      <c r="BT524" t="s">
        <v>366</v>
      </c>
      <c r="BU524" t="s">
        <v>371</v>
      </c>
      <c r="BV524" t="s">
        <v>589</v>
      </c>
      <c r="BW524" t="str">
        <f t="shared" si="1"/>
        <v>https://dfp529wcvahka.cloudfront.net/ws/GalleryEntry/n9w59/video_preview/nXjmRj3z.png</v>
      </c>
      <c r="BX524" t="str">
        <f>IF(J524="win",VLOOKUP(B524,ColorScheme!$A$2:$I$32,4,0),VLOOKUP(B524,ColorScheme!$A$2:$I$32,5,0))</f>
        <v>#000000</v>
      </c>
    </row>
    <row r="525" spans="1:76" x14ac:dyDescent="0.3">
      <c r="A525" t="s">
        <v>381</v>
      </c>
      <c r="B525" t="s">
        <v>1344</v>
      </c>
      <c r="C525" t="s">
        <v>405</v>
      </c>
      <c r="D525" t="s">
        <v>1345</v>
      </c>
      <c r="E525" t="s">
        <v>405</v>
      </c>
      <c r="F525" t="b">
        <v>1</v>
      </c>
      <c r="G525">
        <v>88.94</v>
      </c>
      <c r="H525">
        <v>0</v>
      </c>
      <c r="I525">
        <v>8381</v>
      </c>
      <c r="J525" s="61" t="s">
        <v>13</v>
      </c>
      <c r="K525" t="s">
        <v>272</v>
      </c>
      <c r="L525">
        <v>3</v>
      </c>
      <c r="M525" t="s">
        <v>333</v>
      </c>
      <c r="N525" t="s">
        <v>278</v>
      </c>
      <c r="O525" t="s">
        <v>281</v>
      </c>
      <c r="P525" t="s">
        <v>283</v>
      </c>
      <c r="Q525" t="s">
        <v>371</v>
      </c>
      <c r="R525" t="s">
        <v>371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704</v>
      </c>
      <c r="AD525" t="s">
        <v>341</v>
      </c>
      <c r="AE525" t="s">
        <v>340</v>
      </c>
      <c r="AF525" t="s">
        <v>343</v>
      </c>
      <c r="AG525" t="s">
        <v>345</v>
      </c>
      <c r="AH525" s="17" t="s">
        <v>371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704</v>
      </c>
      <c r="AR525" t="s">
        <v>350</v>
      </c>
      <c r="AS525" t="s">
        <v>349</v>
      </c>
      <c r="AT525">
        <v>0</v>
      </c>
      <c r="AU525">
        <v>1</v>
      </c>
      <c r="AV525">
        <v>0</v>
      </c>
      <c r="AW525" t="s">
        <v>704</v>
      </c>
      <c r="AX525" t="s">
        <v>2930</v>
      </c>
      <c r="AY525" t="s">
        <v>293</v>
      </c>
      <c r="AZ525" t="s">
        <v>352</v>
      </c>
      <c r="BA525" t="s">
        <v>297</v>
      </c>
      <c r="BB525" t="s">
        <v>300</v>
      </c>
      <c r="BC525" t="s">
        <v>292</v>
      </c>
      <c r="BD525" t="s">
        <v>293</v>
      </c>
      <c r="BE525" t="s">
        <v>292</v>
      </c>
      <c r="BF525" t="s">
        <v>293</v>
      </c>
      <c r="BG525" t="s">
        <v>293</v>
      </c>
      <c r="BH525" t="s">
        <v>302</v>
      </c>
      <c r="BI525" t="s">
        <v>359</v>
      </c>
      <c r="BJ525" t="s">
        <v>359</v>
      </c>
      <c r="BK525" t="s">
        <v>293</v>
      </c>
      <c r="BL525" t="s">
        <v>293</v>
      </c>
      <c r="BM525" t="s">
        <v>297</v>
      </c>
      <c r="BN525" t="s">
        <v>298</v>
      </c>
      <c r="BO525" t="s">
        <v>293</v>
      </c>
      <c r="BP525" t="s">
        <v>292</v>
      </c>
      <c r="BQ525" t="s">
        <v>293</v>
      </c>
      <c r="BR525" t="s">
        <v>293</v>
      </c>
      <c r="BS525" t="s">
        <v>364</v>
      </c>
      <c r="BT525" t="s">
        <v>366</v>
      </c>
      <c r="BU525" t="s">
        <v>371</v>
      </c>
      <c r="BV525" t="s">
        <v>406</v>
      </c>
      <c r="BW525" t="str">
        <f t="shared" si="1"/>
        <v>https://dfp529wcvahka.cloudfront.net/ws/GalleryEntry/nR3De/video_preview/LyHFxvwa.png</v>
      </c>
      <c r="BX525" t="str">
        <f>IF(J525="win",VLOOKUP(B525,ColorScheme!$A$2:$I$32,4,0),VLOOKUP(B525,ColorScheme!$A$2:$I$32,5,0))</f>
        <v>#000000</v>
      </c>
    </row>
    <row r="526" spans="1:76" x14ac:dyDescent="0.3">
      <c r="A526" t="s">
        <v>381</v>
      </c>
      <c r="B526" t="s">
        <v>1344</v>
      </c>
      <c r="C526" t="s">
        <v>495</v>
      </c>
      <c r="D526" t="s">
        <v>1345</v>
      </c>
      <c r="E526" t="s">
        <v>495</v>
      </c>
      <c r="F526" t="b">
        <v>1</v>
      </c>
      <c r="G526">
        <v>91.7</v>
      </c>
      <c r="H526">
        <v>0</v>
      </c>
      <c r="I526">
        <v>8734</v>
      </c>
      <c r="J526" s="61" t="s">
        <v>13</v>
      </c>
      <c r="K526" t="s">
        <v>272</v>
      </c>
      <c r="L526">
        <v>3</v>
      </c>
      <c r="M526" t="s">
        <v>277</v>
      </c>
      <c r="N526" t="s">
        <v>335</v>
      </c>
      <c r="O526" t="s">
        <v>282</v>
      </c>
      <c r="P526" t="s">
        <v>281</v>
      </c>
      <c r="Q526" t="s">
        <v>371</v>
      </c>
      <c r="R526" t="s">
        <v>371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704</v>
      </c>
      <c r="AD526" t="s">
        <v>341</v>
      </c>
      <c r="AE526" t="s">
        <v>342</v>
      </c>
      <c r="AF526" t="s">
        <v>343</v>
      </c>
      <c r="AG526" t="s">
        <v>344</v>
      </c>
      <c r="AH526" s="17" t="s">
        <v>347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 t="s">
        <v>704</v>
      </c>
      <c r="AR526" t="s">
        <v>349</v>
      </c>
      <c r="AS526" t="s">
        <v>349</v>
      </c>
      <c r="AT526">
        <v>1</v>
      </c>
      <c r="AU526">
        <v>0</v>
      </c>
      <c r="AV526">
        <v>0</v>
      </c>
      <c r="AW526" t="s">
        <v>704</v>
      </c>
      <c r="AX526" t="s">
        <v>1279</v>
      </c>
      <c r="AY526" t="s">
        <v>293</v>
      </c>
      <c r="AZ526" t="s">
        <v>353</v>
      </c>
      <c r="BA526" t="s">
        <v>297</v>
      </c>
      <c r="BB526" t="s">
        <v>299</v>
      </c>
      <c r="BC526" t="s">
        <v>292</v>
      </c>
      <c r="BD526" t="s">
        <v>293</v>
      </c>
      <c r="BE526" t="s">
        <v>292</v>
      </c>
      <c r="BF526" t="s">
        <v>293</v>
      </c>
      <c r="BG526" t="s">
        <v>293</v>
      </c>
      <c r="BH526" t="s">
        <v>302</v>
      </c>
      <c r="BI526" t="s">
        <v>302</v>
      </c>
      <c r="BJ526" t="s">
        <v>359</v>
      </c>
      <c r="BK526" t="s">
        <v>293</v>
      </c>
      <c r="BL526" t="s">
        <v>293</v>
      </c>
      <c r="BM526" t="s">
        <v>297</v>
      </c>
      <c r="BN526" t="s">
        <v>298</v>
      </c>
      <c r="BO526" t="s">
        <v>293</v>
      </c>
      <c r="BP526" t="s">
        <v>292</v>
      </c>
      <c r="BQ526" t="s">
        <v>293</v>
      </c>
      <c r="BR526" t="s">
        <v>293</v>
      </c>
      <c r="BS526" t="s">
        <v>364</v>
      </c>
      <c r="BT526" t="s">
        <v>366</v>
      </c>
      <c r="BU526" t="s">
        <v>371</v>
      </c>
      <c r="BV526" t="s">
        <v>496</v>
      </c>
      <c r="BW526" t="str">
        <f t="shared" si="1"/>
        <v>https://dfp529wcvahka.cloudfront.net/ws/GalleryEntry/OB5yR/video_preview/DHAIzxft.png</v>
      </c>
      <c r="BX526" t="str">
        <f>IF(J526="win",VLOOKUP(B526,ColorScheme!$A$2:$I$32,4,0),VLOOKUP(B526,ColorScheme!$A$2:$I$32,5,0))</f>
        <v>#000000</v>
      </c>
    </row>
    <row r="527" spans="1:76" x14ac:dyDescent="0.3">
      <c r="A527" t="s">
        <v>381</v>
      </c>
      <c r="B527" t="s">
        <v>1344</v>
      </c>
      <c r="C527" t="s">
        <v>423</v>
      </c>
      <c r="D527" t="s">
        <v>1345</v>
      </c>
      <c r="E527" t="s">
        <v>423</v>
      </c>
      <c r="F527" t="b">
        <v>1</v>
      </c>
      <c r="G527">
        <v>100</v>
      </c>
      <c r="H527">
        <v>1</v>
      </c>
      <c r="I527">
        <v>14194</v>
      </c>
      <c r="J527" s="61" t="s">
        <v>13</v>
      </c>
      <c r="K527" t="s">
        <v>272</v>
      </c>
      <c r="L527">
        <v>3</v>
      </c>
      <c r="M527" t="s">
        <v>277</v>
      </c>
      <c r="N527" t="s">
        <v>335</v>
      </c>
      <c r="O527" t="s">
        <v>339</v>
      </c>
      <c r="P527" t="s">
        <v>273</v>
      </c>
      <c r="Q527" t="s">
        <v>282</v>
      </c>
      <c r="R527" t="s">
        <v>371</v>
      </c>
      <c r="S527">
        <v>0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1</v>
      </c>
      <c r="AB527">
        <v>0</v>
      </c>
      <c r="AC527" t="s">
        <v>704</v>
      </c>
      <c r="AD527" t="s">
        <v>341</v>
      </c>
      <c r="AE527" t="s">
        <v>342</v>
      </c>
      <c r="AF527" t="s">
        <v>343</v>
      </c>
      <c r="AG527" t="s">
        <v>344</v>
      </c>
      <c r="AH527" s="17" t="s">
        <v>291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  <c r="AP527">
        <v>0</v>
      </c>
      <c r="AQ527" t="s">
        <v>704</v>
      </c>
      <c r="AR527" t="s">
        <v>351</v>
      </c>
      <c r="AS527" t="s">
        <v>349</v>
      </c>
      <c r="AT527">
        <v>0</v>
      </c>
      <c r="AU527">
        <v>0</v>
      </c>
      <c r="AV527">
        <v>1</v>
      </c>
      <c r="AW527" t="s">
        <v>704</v>
      </c>
      <c r="AX527" t="s">
        <v>2933</v>
      </c>
      <c r="AY527" t="s">
        <v>293</v>
      </c>
      <c r="AZ527" t="s">
        <v>353</v>
      </c>
      <c r="BA527" t="s">
        <v>355</v>
      </c>
      <c r="BB527" t="s">
        <v>300</v>
      </c>
      <c r="BC527" t="s">
        <v>292</v>
      </c>
      <c r="BD527" t="s">
        <v>293</v>
      </c>
      <c r="BE527" t="s">
        <v>292</v>
      </c>
      <c r="BF527" t="s">
        <v>292</v>
      </c>
      <c r="BG527" t="s">
        <v>293</v>
      </c>
      <c r="BH527" t="s">
        <v>302</v>
      </c>
      <c r="BI527" t="s">
        <v>302</v>
      </c>
      <c r="BJ527" t="s">
        <v>359</v>
      </c>
      <c r="BK527" t="s">
        <v>293</v>
      </c>
      <c r="BL527" t="s">
        <v>293</v>
      </c>
      <c r="BM527" t="s">
        <v>296</v>
      </c>
      <c r="BN527" t="s">
        <v>298</v>
      </c>
      <c r="BO527" t="s">
        <v>293</v>
      </c>
      <c r="BP527" t="s">
        <v>292</v>
      </c>
      <c r="BQ527" t="s">
        <v>293</v>
      </c>
      <c r="BR527" t="s">
        <v>293</v>
      </c>
      <c r="BS527" t="s">
        <v>364</v>
      </c>
      <c r="BT527" t="s">
        <v>304</v>
      </c>
      <c r="BU527" t="s">
        <v>371</v>
      </c>
      <c r="BV527" t="s">
        <v>424</v>
      </c>
      <c r="BW527" t="str">
        <f t="shared" si="1"/>
        <v>https://dfp529wcvahka.cloudfront.net/ws/GalleryEntry/OBXYa/video_preview/UjfHTx35.png</v>
      </c>
      <c r="BX527" t="str">
        <f>IF(J527="win",VLOOKUP(B527,ColorScheme!$A$2:$I$32,4,0),VLOOKUP(B527,ColorScheme!$A$2:$I$32,5,0))</f>
        <v>#000000</v>
      </c>
    </row>
    <row r="528" spans="1:76" x14ac:dyDescent="0.3">
      <c r="A528" t="s">
        <v>381</v>
      </c>
      <c r="B528" t="s">
        <v>1344</v>
      </c>
      <c r="C528" t="s">
        <v>384</v>
      </c>
      <c r="D528" t="s">
        <v>1345</v>
      </c>
      <c r="E528" t="s">
        <v>384</v>
      </c>
      <c r="F528" t="b">
        <v>1</v>
      </c>
      <c r="G528">
        <v>99.4</v>
      </c>
      <c r="H528">
        <v>0</v>
      </c>
      <c r="I528">
        <v>6465</v>
      </c>
      <c r="J528" s="61" t="s">
        <v>13</v>
      </c>
      <c r="K528" t="s">
        <v>272</v>
      </c>
      <c r="L528">
        <v>3</v>
      </c>
      <c r="M528" t="s">
        <v>277</v>
      </c>
      <c r="N528" t="s">
        <v>335</v>
      </c>
      <c r="O528" t="s">
        <v>283</v>
      </c>
      <c r="P528" t="s">
        <v>284</v>
      </c>
      <c r="Q528" t="s">
        <v>282</v>
      </c>
      <c r="R528" t="s">
        <v>371</v>
      </c>
      <c r="S528">
        <v>0</v>
      </c>
      <c r="T528">
        <v>1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704</v>
      </c>
      <c r="AD528" t="s">
        <v>341</v>
      </c>
      <c r="AE528" t="s">
        <v>340</v>
      </c>
      <c r="AF528" t="s">
        <v>343</v>
      </c>
      <c r="AG528" t="s">
        <v>344</v>
      </c>
      <c r="AH528" s="17" t="s">
        <v>371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 t="s">
        <v>704</v>
      </c>
      <c r="AR528" t="s">
        <v>350</v>
      </c>
      <c r="AS528" t="s">
        <v>349</v>
      </c>
      <c r="AT528">
        <v>0</v>
      </c>
      <c r="AU528">
        <v>1</v>
      </c>
      <c r="AV528">
        <v>0</v>
      </c>
      <c r="AW528" t="s">
        <v>704</v>
      </c>
      <c r="AX528" t="s">
        <v>2921</v>
      </c>
      <c r="AY528" t="s">
        <v>292</v>
      </c>
      <c r="AZ528" t="s">
        <v>353</v>
      </c>
      <c r="BA528" t="s">
        <v>297</v>
      </c>
      <c r="BB528" t="s">
        <v>299</v>
      </c>
      <c r="BC528" t="s">
        <v>292</v>
      </c>
      <c r="BD528" t="s">
        <v>292</v>
      </c>
      <c r="BE528" t="s">
        <v>292</v>
      </c>
      <c r="BF528" t="s">
        <v>293</v>
      </c>
      <c r="BG528" t="s">
        <v>293</v>
      </c>
      <c r="BH528" t="s">
        <v>302</v>
      </c>
      <c r="BI528" t="s">
        <v>302</v>
      </c>
      <c r="BJ528" t="s">
        <v>359</v>
      </c>
      <c r="BK528" t="s">
        <v>293</v>
      </c>
      <c r="BL528" t="s">
        <v>293</v>
      </c>
      <c r="BM528" t="s">
        <v>297</v>
      </c>
      <c r="BN528" t="s">
        <v>298</v>
      </c>
      <c r="BO528" t="s">
        <v>293</v>
      </c>
      <c r="BP528" t="s">
        <v>292</v>
      </c>
      <c r="BQ528" t="s">
        <v>293</v>
      </c>
      <c r="BR528" t="s">
        <v>293</v>
      </c>
      <c r="BS528" t="s">
        <v>364</v>
      </c>
      <c r="BT528" t="s">
        <v>366</v>
      </c>
      <c r="BU528" t="s">
        <v>371</v>
      </c>
      <c r="BV528" t="s">
        <v>385</v>
      </c>
      <c r="BW528" t="str">
        <f t="shared" si="1"/>
        <v>https://dfp529wcvahka.cloudfront.net/ws/GalleryEntry/orZDj/video_preview/zHxMQYjH.png</v>
      </c>
      <c r="BX528" t="str">
        <f>IF(J528="win",VLOOKUP(B528,ColorScheme!$A$2:$I$32,4,0),VLOOKUP(B528,ColorScheme!$A$2:$I$32,5,0))</f>
        <v>#000000</v>
      </c>
    </row>
    <row r="529" spans="1:76" x14ac:dyDescent="0.3">
      <c r="A529" t="s">
        <v>381</v>
      </c>
      <c r="B529" t="s">
        <v>1344</v>
      </c>
      <c r="C529" t="s">
        <v>600</v>
      </c>
      <c r="D529" t="s">
        <v>1345</v>
      </c>
      <c r="E529" t="s">
        <v>600</v>
      </c>
      <c r="F529" t="b">
        <v>1</v>
      </c>
      <c r="G529">
        <v>69.5</v>
      </c>
      <c r="H529">
        <v>0</v>
      </c>
      <c r="I529">
        <v>11299</v>
      </c>
      <c r="J529" s="61" t="s">
        <v>13</v>
      </c>
      <c r="K529" t="s">
        <v>272</v>
      </c>
      <c r="L529">
        <v>3</v>
      </c>
      <c r="M529" t="s">
        <v>277</v>
      </c>
      <c r="N529" t="s">
        <v>335</v>
      </c>
      <c r="O529" t="s">
        <v>283</v>
      </c>
      <c r="P529" t="s">
        <v>282</v>
      </c>
      <c r="Q529" t="s">
        <v>371</v>
      </c>
      <c r="R529" t="s">
        <v>371</v>
      </c>
      <c r="S529">
        <v>0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704</v>
      </c>
      <c r="AD529" t="s">
        <v>341</v>
      </c>
      <c r="AE529" t="s">
        <v>340</v>
      </c>
      <c r="AF529" t="s">
        <v>343</v>
      </c>
      <c r="AG529" t="s">
        <v>344</v>
      </c>
      <c r="AH529" s="17" t="s">
        <v>371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 t="s">
        <v>704</v>
      </c>
      <c r="AR529" t="s">
        <v>349</v>
      </c>
      <c r="AS529" t="s">
        <v>349</v>
      </c>
      <c r="AT529">
        <v>1</v>
      </c>
      <c r="AU529">
        <v>0</v>
      </c>
      <c r="AV529">
        <v>0</v>
      </c>
      <c r="AW529" t="s">
        <v>704</v>
      </c>
      <c r="AX529" t="s">
        <v>1207</v>
      </c>
      <c r="AY529" t="s">
        <v>293</v>
      </c>
      <c r="AZ529" t="s">
        <v>353</v>
      </c>
      <c r="BA529" t="s">
        <v>297</v>
      </c>
      <c r="BB529" t="s">
        <v>300</v>
      </c>
      <c r="BC529" t="s">
        <v>292</v>
      </c>
      <c r="BD529" t="s">
        <v>293</v>
      </c>
      <c r="BE529" t="s">
        <v>292</v>
      </c>
      <c r="BF529" t="s">
        <v>293</v>
      </c>
      <c r="BG529" t="s">
        <v>293</v>
      </c>
      <c r="BH529" t="s">
        <v>302</v>
      </c>
      <c r="BI529" t="s">
        <v>302</v>
      </c>
      <c r="BJ529" t="s">
        <v>359</v>
      </c>
      <c r="BK529" t="s">
        <v>293</v>
      </c>
      <c r="BL529" t="s">
        <v>293</v>
      </c>
      <c r="BM529" t="s">
        <v>297</v>
      </c>
      <c r="BN529" t="s">
        <v>298</v>
      </c>
      <c r="BO529" t="s">
        <v>293</v>
      </c>
      <c r="BP529" t="s">
        <v>292</v>
      </c>
      <c r="BQ529" t="s">
        <v>293</v>
      </c>
      <c r="BR529" t="s">
        <v>293</v>
      </c>
      <c r="BS529" t="s">
        <v>364</v>
      </c>
      <c r="BT529" t="s">
        <v>366</v>
      </c>
      <c r="BU529" t="s">
        <v>371</v>
      </c>
      <c r="BV529" t="s">
        <v>601</v>
      </c>
      <c r="BW529" t="str">
        <f t="shared" si="1"/>
        <v>https://dfp529wcvahka.cloudfront.net/ws/GalleryEntry/paq0d/video_preview/nKcNkO30.png</v>
      </c>
      <c r="BX529" t="str">
        <f>IF(J529="win",VLOOKUP(B529,ColorScheme!$A$2:$I$32,4,0),VLOOKUP(B529,ColorScheme!$A$2:$I$32,5,0))</f>
        <v>#000000</v>
      </c>
    </row>
    <row r="530" spans="1:76" x14ac:dyDescent="0.3">
      <c r="A530" t="s">
        <v>381</v>
      </c>
      <c r="B530" t="s">
        <v>1344</v>
      </c>
      <c r="C530" t="s">
        <v>513</v>
      </c>
      <c r="D530" t="s">
        <v>1345</v>
      </c>
      <c r="E530" t="s">
        <v>513</v>
      </c>
      <c r="F530" t="b">
        <v>1</v>
      </c>
      <c r="G530">
        <v>62.5</v>
      </c>
      <c r="H530">
        <v>0</v>
      </c>
      <c r="I530">
        <v>18643</v>
      </c>
      <c r="J530" s="61" t="s">
        <v>13</v>
      </c>
      <c r="K530" t="s">
        <v>272</v>
      </c>
      <c r="L530">
        <v>3</v>
      </c>
      <c r="M530" t="s">
        <v>277</v>
      </c>
      <c r="N530" t="s">
        <v>335</v>
      </c>
      <c r="O530" t="s">
        <v>281</v>
      </c>
      <c r="P530" t="s">
        <v>282</v>
      </c>
      <c r="Q530" t="s">
        <v>371</v>
      </c>
      <c r="R530" t="s">
        <v>371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704</v>
      </c>
      <c r="AD530" t="s">
        <v>340</v>
      </c>
      <c r="AE530" t="s">
        <v>342</v>
      </c>
      <c r="AF530" t="s">
        <v>343</v>
      </c>
      <c r="AG530" t="s">
        <v>344</v>
      </c>
      <c r="AH530" s="17" t="s">
        <v>371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 t="s">
        <v>704</v>
      </c>
      <c r="AR530" t="s">
        <v>349</v>
      </c>
      <c r="AS530" t="s">
        <v>349</v>
      </c>
      <c r="AT530">
        <v>1</v>
      </c>
      <c r="AU530">
        <v>0</v>
      </c>
      <c r="AV530">
        <v>0</v>
      </c>
      <c r="AW530" t="s">
        <v>704</v>
      </c>
      <c r="AX530" t="s">
        <v>1282</v>
      </c>
      <c r="AY530" t="s">
        <v>293</v>
      </c>
      <c r="AZ530" t="s">
        <v>353</v>
      </c>
      <c r="BA530" t="s">
        <v>296</v>
      </c>
      <c r="BB530" t="s">
        <v>300</v>
      </c>
      <c r="BC530" t="s">
        <v>293</v>
      </c>
      <c r="BD530" t="s">
        <v>292</v>
      </c>
      <c r="BE530" t="s">
        <v>292</v>
      </c>
      <c r="BF530" t="s">
        <v>292</v>
      </c>
      <c r="BG530" t="s">
        <v>293</v>
      </c>
      <c r="BH530" t="s">
        <v>302</v>
      </c>
      <c r="BI530" t="s">
        <v>302</v>
      </c>
      <c r="BJ530" t="s">
        <v>359</v>
      </c>
      <c r="BK530" t="s">
        <v>293</v>
      </c>
      <c r="BL530" t="s">
        <v>293</v>
      </c>
      <c r="BM530" t="s">
        <v>296</v>
      </c>
      <c r="BN530" t="s">
        <v>356</v>
      </c>
      <c r="BO530" t="s">
        <v>361</v>
      </c>
      <c r="BP530" t="s">
        <v>292</v>
      </c>
      <c r="BQ530" t="s">
        <v>293</v>
      </c>
      <c r="BR530" t="s">
        <v>293</v>
      </c>
      <c r="BS530" t="s">
        <v>364</v>
      </c>
      <c r="BT530" t="s">
        <v>366</v>
      </c>
      <c r="BU530" t="s">
        <v>371</v>
      </c>
      <c r="BV530" t="s">
        <v>514</v>
      </c>
      <c r="BW530" t="str">
        <f t="shared" si="1"/>
        <v>https://dfp529wcvahka.cloudfront.net/ws/GalleryEntry/paQa5/video_preview/bHrqscfU.png</v>
      </c>
      <c r="BX530" t="str">
        <f>IF(J530="win",VLOOKUP(B530,ColorScheme!$A$2:$I$32,4,0),VLOOKUP(B530,ColorScheme!$A$2:$I$32,5,0))</f>
        <v>#000000</v>
      </c>
    </row>
    <row r="531" spans="1:76" x14ac:dyDescent="0.3">
      <c r="A531" t="s">
        <v>381</v>
      </c>
      <c r="B531" t="s">
        <v>1344</v>
      </c>
      <c r="C531" t="s">
        <v>441</v>
      </c>
      <c r="D531" t="s">
        <v>1345</v>
      </c>
      <c r="E531" t="s">
        <v>441</v>
      </c>
      <c r="F531" t="b">
        <v>1</v>
      </c>
      <c r="G531">
        <v>97.1</v>
      </c>
      <c r="H531">
        <v>0</v>
      </c>
      <c r="I531">
        <v>7230</v>
      </c>
      <c r="J531" s="61" t="s">
        <v>13</v>
      </c>
      <c r="K531" t="s">
        <v>272</v>
      </c>
      <c r="L531">
        <v>3</v>
      </c>
      <c r="M531" t="s">
        <v>277</v>
      </c>
      <c r="N531" t="s">
        <v>335</v>
      </c>
      <c r="O531" t="s">
        <v>281</v>
      </c>
      <c r="P531" t="s">
        <v>283</v>
      </c>
      <c r="Q531" t="s">
        <v>282</v>
      </c>
      <c r="R531" t="s">
        <v>371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704</v>
      </c>
      <c r="AD531" t="s">
        <v>341</v>
      </c>
      <c r="AE531" t="s">
        <v>342</v>
      </c>
      <c r="AF531" t="s">
        <v>343</v>
      </c>
      <c r="AG531" t="s">
        <v>345</v>
      </c>
      <c r="AH531" s="17" t="s">
        <v>371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704</v>
      </c>
      <c r="AR531" t="s">
        <v>350</v>
      </c>
      <c r="AS531" t="s">
        <v>349</v>
      </c>
      <c r="AT531">
        <v>0</v>
      </c>
      <c r="AU531">
        <v>1</v>
      </c>
      <c r="AV531">
        <v>0</v>
      </c>
      <c r="AW531" t="s">
        <v>704</v>
      </c>
      <c r="AX531" t="s">
        <v>2934</v>
      </c>
      <c r="AY531" t="s">
        <v>293</v>
      </c>
      <c r="AZ531" t="s">
        <v>353</v>
      </c>
      <c r="BA531" t="s">
        <v>297</v>
      </c>
      <c r="BB531" t="s">
        <v>299</v>
      </c>
      <c r="BC531" t="s">
        <v>292</v>
      </c>
      <c r="BD531" t="s">
        <v>293</v>
      </c>
      <c r="BE531" t="s">
        <v>292</v>
      </c>
      <c r="BF531" t="s">
        <v>293</v>
      </c>
      <c r="BG531" t="s">
        <v>293</v>
      </c>
      <c r="BH531" t="s">
        <v>302</v>
      </c>
      <c r="BI531" t="s">
        <v>302</v>
      </c>
      <c r="BJ531" t="s">
        <v>359</v>
      </c>
      <c r="BK531" t="s">
        <v>293</v>
      </c>
      <c r="BL531" t="s">
        <v>293</v>
      </c>
      <c r="BM531" t="s">
        <v>297</v>
      </c>
      <c r="BN531" t="s">
        <v>298</v>
      </c>
      <c r="BO531" t="s">
        <v>293</v>
      </c>
      <c r="BP531" t="s">
        <v>292</v>
      </c>
      <c r="BQ531" t="s">
        <v>293</v>
      </c>
      <c r="BR531" t="s">
        <v>293</v>
      </c>
      <c r="BS531" t="s">
        <v>364</v>
      </c>
      <c r="BT531" t="s">
        <v>366</v>
      </c>
      <c r="BU531" t="s">
        <v>371</v>
      </c>
      <c r="BV531" t="s">
        <v>442</v>
      </c>
      <c r="BW531" t="str">
        <f t="shared" si="1"/>
        <v>https://dfp529wcvahka.cloudfront.net/ws/GalleryEntry/pazDd/video_preview/hga3leHo.png</v>
      </c>
      <c r="BX531" t="str">
        <f>IF(J531="win",VLOOKUP(B531,ColorScheme!$A$2:$I$32,4,0),VLOOKUP(B531,ColorScheme!$A$2:$I$32,5,0))</f>
        <v>#000000</v>
      </c>
    </row>
    <row r="532" spans="1:76" x14ac:dyDescent="0.3">
      <c r="A532" t="s">
        <v>381</v>
      </c>
      <c r="B532" t="s">
        <v>1344</v>
      </c>
      <c r="C532" t="s">
        <v>525</v>
      </c>
      <c r="D532" t="s">
        <v>1345</v>
      </c>
      <c r="E532" t="s">
        <v>525</v>
      </c>
      <c r="F532" t="b">
        <v>1</v>
      </c>
      <c r="G532">
        <v>98.4</v>
      </c>
      <c r="H532">
        <v>0</v>
      </c>
      <c r="I532">
        <v>8820</v>
      </c>
      <c r="J532" s="61" t="s">
        <v>13</v>
      </c>
      <c r="K532" t="s">
        <v>272</v>
      </c>
      <c r="L532">
        <v>3</v>
      </c>
      <c r="M532" t="s">
        <v>277</v>
      </c>
      <c r="N532" t="s">
        <v>335</v>
      </c>
      <c r="O532" t="s">
        <v>281</v>
      </c>
      <c r="P532" t="s">
        <v>282</v>
      </c>
      <c r="Q532" t="s">
        <v>371</v>
      </c>
      <c r="R532" t="s">
        <v>371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704</v>
      </c>
      <c r="AD532" t="s">
        <v>341</v>
      </c>
      <c r="AE532" t="s">
        <v>342</v>
      </c>
      <c r="AF532" t="s">
        <v>343</v>
      </c>
      <c r="AG532" t="s">
        <v>344</v>
      </c>
      <c r="AH532" s="17" t="s">
        <v>291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 t="s">
        <v>704</v>
      </c>
      <c r="AR532" t="s">
        <v>350</v>
      </c>
      <c r="AS532" t="s">
        <v>349</v>
      </c>
      <c r="AT532">
        <v>0</v>
      </c>
      <c r="AU532">
        <v>1</v>
      </c>
      <c r="AV532">
        <v>0</v>
      </c>
      <c r="AW532" t="s">
        <v>704</v>
      </c>
      <c r="AX532" t="s">
        <v>2935</v>
      </c>
      <c r="AY532" t="s">
        <v>293</v>
      </c>
      <c r="AZ532" t="s">
        <v>294</v>
      </c>
      <c r="BA532" t="s">
        <v>297</v>
      </c>
      <c r="BB532" t="s">
        <v>299</v>
      </c>
      <c r="BC532" t="s">
        <v>292</v>
      </c>
      <c r="BD532" t="s">
        <v>293</v>
      </c>
      <c r="BE532" t="s">
        <v>292</v>
      </c>
      <c r="BF532" t="s">
        <v>293</v>
      </c>
      <c r="BG532" t="s">
        <v>293</v>
      </c>
      <c r="BH532" t="s">
        <v>302</v>
      </c>
      <c r="BI532" t="s">
        <v>302</v>
      </c>
      <c r="BJ532" t="s">
        <v>359</v>
      </c>
      <c r="BK532" t="s">
        <v>293</v>
      </c>
      <c r="BL532" t="s">
        <v>293</v>
      </c>
      <c r="BM532" t="s">
        <v>297</v>
      </c>
      <c r="BN532" t="s">
        <v>298</v>
      </c>
      <c r="BO532" t="s">
        <v>360</v>
      </c>
      <c r="BP532" t="s">
        <v>292</v>
      </c>
      <c r="BQ532" t="s">
        <v>293</v>
      </c>
      <c r="BR532" t="s">
        <v>293</v>
      </c>
      <c r="BS532" t="s">
        <v>364</v>
      </c>
      <c r="BT532" t="s">
        <v>366</v>
      </c>
      <c r="BU532" t="s">
        <v>371</v>
      </c>
      <c r="BV532" t="s">
        <v>526</v>
      </c>
      <c r="BW532" t="str">
        <f t="shared" si="1"/>
        <v>https://dfp529wcvahka.cloudfront.net/ws/GalleryEntry/Pl8wY/video_preview/qHCDG7T1.png</v>
      </c>
      <c r="BX532" t="str">
        <f>IF(J532="win",VLOOKUP(B532,ColorScheme!$A$2:$I$32,4,0),VLOOKUP(B532,ColorScheme!$A$2:$I$32,5,0))</f>
        <v>#000000</v>
      </c>
    </row>
    <row r="533" spans="1:76" x14ac:dyDescent="0.3">
      <c r="A533" t="s">
        <v>381</v>
      </c>
      <c r="B533" t="s">
        <v>1344</v>
      </c>
      <c r="C533" t="s">
        <v>555</v>
      </c>
      <c r="D533" t="s">
        <v>1345</v>
      </c>
      <c r="E533" t="s">
        <v>555</v>
      </c>
      <c r="F533" t="b">
        <v>1</v>
      </c>
      <c r="G533">
        <v>95.6</v>
      </c>
      <c r="H533">
        <v>0</v>
      </c>
      <c r="I533">
        <v>9288</v>
      </c>
      <c r="J533" s="61" t="s">
        <v>13</v>
      </c>
      <c r="K533" t="s">
        <v>272</v>
      </c>
      <c r="L533">
        <v>3</v>
      </c>
      <c r="M533" t="s">
        <v>277</v>
      </c>
      <c r="N533" t="s">
        <v>335</v>
      </c>
      <c r="O533" t="s">
        <v>281</v>
      </c>
      <c r="P533" t="s">
        <v>285</v>
      </c>
      <c r="Q533" t="s">
        <v>282</v>
      </c>
      <c r="R533" t="s">
        <v>371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 t="s">
        <v>704</v>
      </c>
      <c r="AD533" t="s">
        <v>341</v>
      </c>
      <c r="AE533" t="s">
        <v>340</v>
      </c>
      <c r="AF533" t="s">
        <v>343</v>
      </c>
      <c r="AG533" t="s">
        <v>345</v>
      </c>
      <c r="AH533" s="17" t="s">
        <v>371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 t="s">
        <v>704</v>
      </c>
      <c r="AR533" t="s">
        <v>349</v>
      </c>
      <c r="AS533" t="s">
        <v>349</v>
      </c>
      <c r="AT533">
        <v>1</v>
      </c>
      <c r="AU533">
        <v>0</v>
      </c>
      <c r="AV533">
        <v>0</v>
      </c>
      <c r="AW533" t="s">
        <v>704</v>
      </c>
      <c r="AX533" t="s">
        <v>1336</v>
      </c>
      <c r="AY533" t="s">
        <v>293</v>
      </c>
      <c r="AZ533" t="s">
        <v>352</v>
      </c>
      <c r="BA533" t="s">
        <v>297</v>
      </c>
      <c r="BB533" t="s">
        <v>300</v>
      </c>
      <c r="BC533" t="s">
        <v>292</v>
      </c>
      <c r="BD533" t="s">
        <v>293</v>
      </c>
      <c r="BE533" t="s">
        <v>292</v>
      </c>
      <c r="BF533" t="s">
        <v>293</v>
      </c>
      <c r="BG533" t="s">
        <v>293</v>
      </c>
      <c r="BH533" t="s">
        <v>302</v>
      </c>
      <c r="BI533" t="s">
        <v>302</v>
      </c>
      <c r="BJ533" t="s">
        <v>359</v>
      </c>
      <c r="BK533" t="s">
        <v>293</v>
      </c>
      <c r="BL533" t="s">
        <v>293</v>
      </c>
      <c r="BM533" t="s">
        <v>297</v>
      </c>
      <c r="BN533" t="s">
        <v>298</v>
      </c>
      <c r="BO533" t="s">
        <v>293</v>
      </c>
      <c r="BP533" t="s">
        <v>292</v>
      </c>
      <c r="BQ533" t="s">
        <v>293</v>
      </c>
      <c r="BR533" t="s">
        <v>293</v>
      </c>
      <c r="BS533" t="s">
        <v>364</v>
      </c>
      <c r="BT533" t="s">
        <v>366</v>
      </c>
      <c r="BU533" t="s">
        <v>371</v>
      </c>
      <c r="BV533" t="s">
        <v>556</v>
      </c>
      <c r="BW533" t="str">
        <f t="shared" si="1"/>
        <v>https://dfp529wcvahka.cloudfront.net/ws/GalleryEntry/pQ58d/video_preview/504rYx50.png</v>
      </c>
      <c r="BX533" t="str">
        <f>IF(J533="win",VLOOKUP(B533,ColorScheme!$A$2:$I$32,4,0),VLOOKUP(B533,ColorScheme!$A$2:$I$32,5,0))</f>
        <v>#000000</v>
      </c>
    </row>
    <row r="534" spans="1:76" x14ac:dyDescent="0.3">
      <c r="A534" t="s">
        <v>381</v>
      </c>
      <c r="B534" t="s">
        <v>1344</v>
      </c>
      <c r="C534" t="s">
        <v>414</v>
      </c>
      <c r="D534" t="s">
        <v>1345</v>
      </c>
      <c r="E534" t="s">
        <v>414</v>
      </c>
      <c r="F534" t="b">
        <v>1</v>
      </c>
      <c r="G534">
        <v>99.8</v>
      </c>
      <c r="H534">
        <v>0</v>
      </c>
      <c r="I534">
        <v>6949</v>
      </c>
      <c r="J534" s="61" t="s">
        <v>13</v>
      </c>
      <c r="K534" t="s">
        <v>272</v>
      </c>
      <c r="L534">
        <v>3</v>
      </c>
      <c r="M534" t="s">
        <v>277</v>
      </c>
      <c r="N534" t="s">
        <v>335</v>
      </c>
      <c r="O534" t="s">
        <v>283</v>
      </c>
      <c r="P534" t="s">
        <v>284</v>
      </c>
      <c r="Q534" t="s">
        <v>371</v>
      </c>
      <c r="R534" t="s">
        <v>371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704</v>
      </c>
      <c r="AD534" t="s">
        <v>341</v>
      </c>
      <c r="AE534" t="s">
        <v>342</v>
      </c>
      <c r="AF534" t="s">
        <v>343</v>
      </c>
      <c r="AG534" t="s">
        <v>291</v>
      </c>
      <c r="AH534" s="17" t="s">
        <v>371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 t="s">
        <v>704</v>
      </c>
      <c r="AR534" t="s">
        <v>350</v>
      </c>
      <c r="AS534" t="s">
        <v>349</v>
      </c>
      <c r="AT534">
        <v>0</v>
      </c>
      <c r="AU534">
        <v>1</v>
      </c>
      <c r="AV534">
        <v>0</v>
      </c>
      <c r="AW534" t="s">
        <v>704</v>
      </c>
      <c r="AX534" t="s">
        <v>2936</v>
      </c>
      <c r="AY534" t="s">
        <v>293</v>
      </c>
      <c r="AZ534" t="s">
        <v>353</v>
      </c>
      <c r="BA534" t="s">
        <v>297</v>
      </c>
      <c r="BB534" t="s">
        <v>299</v>
      </c>
      <c r="BC534" t="s">
        <v>292</v>
      </c>
      <c r="BD534" t="s">
        <v>293</v>
      </c>
      <c r="BE534" t="s">
        <v>292</v>
      </c>
      <c r="BF534" t="s">
        <v>293</v>
      </c>
      <c r="BG534" t="s">
        <v>293</v>
      </c>
      <c r="BH534" t="s">
        <v>302</v>
      </c>
      <c r="BI534" t="s">
        <v>302</v>
      </c>
      <c r="BJ534" t="s">
        <v>359</v>
      </c>
      <c r="BK534" t="s">
        <v>293</v>
      </c>
      <c r="BL534" t="s">
        <v>293</v>
      </c>
      <c r="BM534" t="s">
        <v>297</v>
      </c>
      <c r="BN534" t="s">
        <v>298</v>
      </c>
      <c r="BO534" t="s">
        <v>293</v>
      </c>
      <c r="BP534" t="s">
        <v>292</v>
      </c>
      <c r="BQ534" t="s">
        <v>293</v>
      </c>
      <c r="BR534" t="s">
        <v>293</v>
      </c>
      <c r="BS534" t="s">
        <v>364</v>
      </c>
      <c r="BT534" t="s">
        <v>366</v>
      </c>
      <c r="BU534" t="s">
        <v>371</v>
      </c>
      <c r="BV534" t="s">
        <v>415</v>
      </c>
      <c r="BW534" t="str">
        <f t="shared" si="1"/>
        <v>https://dfp529wcvahka.cloudfront.net/ws/GalleryEntry/q7BeJ/video_preview/BYKYfxae.png</v>
      </c>
      <c r="BX534" t="str">
        <f>IF(J534="win",VLOOKUP(B534,ColorScheme!$A$2:$I$32,4,0),VLOOKUP(B534,ColorScheme!$A$2:$I$32,5,0))</f>
        <v>#000000</v>
      </c>
    </row>
    <row r="535" spans="1:76" x14ac:dyDescent="0.3">
      <c r="A535" t="s">
        <v>381</v>
      </c>
      <c r="B535" t="s">
        <v>1344</v>
      </c>
      <c r="C535" t="s">
        <v>516</v>
      </c>
      <c r="D535" t="s">
        <v>1345</v>
      </c>
      <c r="E535" t="s">
        <v>516</v>
      </c>
      <c r="F535" t="b">
        <v>1</v>
      </c>
      <c r="G535">
        <v>96.7</v>
      </c>
      <c r="H535">
        <v>0</v>
      </c>
      <c r="I535">
        <v>8445</v>
      </c>
      <c r="J535" s="61" t="s">
        <v>13</v>
      </c>
      <c r="K535" t="s">
        <v>272</v>
      </c>
      <c r="L535">
        <v>3</v>
      </c>
      <c r="M535" t="s">
        <v>277</v>
      </c>
      <c r="N535" t="s">
        <v>335</v>
      </c>
      <c r="O535" t="s">
        <v>281</v>
      </c>
      <c r="P535" t="s">
        <v>282</v>
      </c>
      <c r="Q535" t="s">
        <v>371</v>
      </c>
      <c r="R535" t="s">
        <v>371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704</v>
      </c>
      <c r="AD535" t="s">
        <v>341</v>
      </c>
      <c r="AE535" t="s">
        <v>342</v>
      </c>
      <c r="AF535" t="s">
        <v>343</v>
      </c>
      <c r="AG535" t="s">
        <v>345</v>
      </c>
      <c r="AH535" s="17" t="s">
        <v>371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 t="s">
        <v>704</v>
      </c>
      <c r="AR535" t="s">
        <v>349</v>
      </c>
      <c r="AS535" t="s">
        <v>349</v>
      </c>
      <c r="AT535">
        <v>1</v>
      </c>
      <c r="AU535">
        <v>0</v>
      </c>
      <c r="AV535">
        <v>0</v>
      </c>
      <c r="AW535" t="s">
        <v>704</v>
      </c>
      <c r="AX535" t="s">
        <v>1218</v>
      </c>
      <c r="AY535" t="s">
        <v>293</v>
      </c>
      <c r="AZ535" t="s">
        <v>294</v>
      </c>
      <c r="BA535" t="s">
        <v>297</v>
      </c>
      <c r="BB535" t="s">
        <v>299</v>
      </c>
      <c r="BC535" t="s">
        <v>292</v>
      </c>
      <c r="BD535" t="s">
        <v>293</v>
      </c>
      <c r="BE535" t="s">
        <v>292</v>
      </c>
      <c r="BF535" t="s">
        <v>293</v>
      </c>
      <c r="BG535" t="s">
        <v>293</v>
      </c>
      <c r="BH535" t="s">
        <v>302</v>
      </c>
      <c r="BI535" t="s">
        <v>302</v>
      </c>
      <c r="BJ535" t="s">
        <v>359</v>
      </c>
      <c r="BK535" t="s">
        <v>293</v>
      </c>
      <c r="BL535" t="s">
        <v>293</v>
      </c>
      <c r="BM535" t="s">
        <v>297</v>
      </c>
      <c r="BN535" t="s">
        <v>298</v>
      </c>
      <c r="BO535" t="s">
        <v>360</v>
      </c>
      <c r="BP535" t="s">
        <v>292</v>
      </c>
      <c r="BQ535" t="s">
        <v>293</v>
      </c>
      <c r="BR535" t="s">
        <v>293</v>
      </c>
      <c r="BS535" t="s">
        <v>364</v>
      </c>
      <c r="BT535" t="s">
        <v>366</v>
      </c>
      <c r="BU535" t="s">
        <v>371</v>
      </c>
      <c r="BV535" t="s">
        <v>517</v>
      </c>
      <c r="BW535" t="str">
        <f t="shared" si="1"/>
        <v>https://dfp529wcvahka.cloudfront.net/ws/GalleryEntry/qeG7o/video_preview/Tr1Jo7oj.png</v>
      </c>
      <c r="BX535" t="str">
        <f>IF(J535="win",VLOOKUP(B535,ColorScheme!$A$2:$I$32,4,0),VLOOKUP(B535,ColorScheme!$A$2:$I$32,5,0))</f>
        <v>#000000</v>
      </c>
    </row>
    <row r="536" spans="1:76" x14ac:dyDescent="0.3">
      <c r="A536" t="s">
        <v>381</v>
      </c>
      <c r="B536" t="s">
        <v>1344</v>
      </c>
      <c r="C536" t="s">
        <v>531</v>
      </c>
      <c r="D536" t="s">
        <v>1345</v>
      </c>
      <c r="E536" t="s">
        <v>531</v>
      </c>
      <c r="F536" t="b">
        <v>1</v>
      </c>
      <c r="G536">
        <v>93.7</v>
      </c>
      <c r="H536">
        <v>0</v>
      </c>
      <c r="I536">
        <v>7279</v>
      </c>
      <c r="J536" s="61" t="s">
        <v>13</v>
      </c>
      <c r="K536" t="s">
        <v>272</v>
      </c>
      <c r="L536">
        <v>3</v>
      </c>
      <c r="M536" t="s">
        <v>333</v>
      </c>
      <c r="N536" t="s">
        <v>278</v>
      </c>
      <c r="O536" t="s">
        <v>283</v>
      </c>
      <c r="P536" t="s">
        <v>371</v>
      </c>
      <c r="Q536" t="s">
        <v>371</v>
      </c>
      <c r="R536" t="s">
        <v>371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704</v>
      </c>
      <c r="AD536" t="s">
        <v>340</v>
      </c>
      <c r="AE536" t="s">
        <v>342</v>
      </c>
      <c r="AF536" t="s">
        <v>343</v>
      </c>
      <c r="AG536" t="s">
        <v>347</v>
      </c>
      <c r="AH536" s="17" t="s">
        <v>371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 t="s">
        <v>704</v>
      </c>
      <c r="AR536" t="s">
        <v>349</v>
      </c>
      <c r="AS536" t="s">
        <v>349</v>
      </c>
      <c r="AT536">
        <v>1</v>
      </c>
      <c r="AU536">
        <v>0</v>
      </c>
      <c r="AV536">
        <v>0</v>
      </c>
      <c r="AW536" t="s">
        <v>704</v>
      </c>
      <c r="AX536" t="s">
        <v>1270</v>
      </c>
      <c r="AY536" t="s">
        <v>293</v>
      </c>
      <c r="AZ536" t="s">
        <v>353</v>
      </c>
      <c r="BA536" t="s">
        <v>297</v>
      </c>
      <c r="BB536" t="s">
        <v>300</v>
      </c>
      <c r="BC536" t="s">
        <v>292</v>
      </c>
      <c r="BD536" t="s">
        <v>293</v>
      </c>
      <c r="BE536" t="s">
        <v>292</v>
      </c>
      <c r="BF536" t="s">
        <v>293</v>
      </c>
      <c r="BG536" t="s">
        <v>293</v>
      </c>
      <c r="BH536" t="s">
        <v>358</v>
      </c>
      <c r="BI536" t="s">
        <v>359</v>
      </c>
      <c r="BJ536" t="s">
        <v>359</v>
      </c>
      <c r="BK536" t="s">
        <v>293</v>
      </c>
      <c r="BL536" t="s">
        <v>293</v>
      </c>
      <c r="BM536" t="s">
        <v>297</v>
      </c>
      <c r="BN536" t="s">
        <v>298</v>
      </c>
      <c r="BO536" t="s">
        <v>293</v>
      </c>
      <c r="BP536" t="s">
        <v>292</v>
      </c>
      <c r="BQ536" t="s">
        <v>293</v>
      </c>
      <c r="BR536" t="s">
        <v>293</v>
      </c>
      <c r="BS536" t="s">
        <v>364</v>
      </c>
      <c r="BT536" t="s">
        <v>366</v>
      </c>
      <c r="BU536" t="s">
        <v>371</v>
      </c>
      <c r="BV536" t="s">
        <v>532</v>
      </c>
      <c r="BW536" t="str">
        <f t="shared" si="1"/>
        <v>https://dfp529wcvahka.cloudfront.net/ws/GalleryEntry/QlJOY/video_preview/pwo5OjTA.png</v>
      </c>
      <c r="BX536" t="str">
        <f>IF(J536="win",VLOOKUP(B536,ColorScheme!$A$2:$I$32,4,0),VLOOKUP(B536,ColorScheme!$A$2:$I$32,5,0))</f>
        <v>#000000</v>
      </c>
    </row>
    <row r="537" spans="1:76" x14ac:dyDescent="0.3">
      <c r="A537" t="s">
        <v>381</v>
      </c>
      <c r="B537" t="s">
        <v>1344</v>
      </c>
      <c r="C537" t="s">
        <v>558</v>
      </c>
      <c r="D537" t="s">
        <v>1345</v>
      </c>
      <c r="E537" t="s">
        <v>558</v>
      </c>
      <c r="F537" t="b">
        <v>1</v>
      </c>
      <c r="G537">
        <v>78.3</v>
      </c>
      <c r="H537">
        <v>0</v>
      </c>
      <c r="I537">
        <v>14761</v>
      </c>
      <c r="J537" s="61" t="s">
        <v>13</v>
      </c>
      <c r="K537" t="s">
        <v>272</v>
      </c>
      <c r="L537">
        <v>3</v>
      </c>
      <c r="M537" t="s">
        <v>277</v>
      </c>
      <c r="N537" t="s">
        <v>335</v>
      </c>
      <c r="O537" t="s">
        <v>284</v>
      </c>
      <c r="P537" t="s">
        <v>283</v>
      </c>
      <c r="Q537" t="s">
        <v>282</v>
      </c>
      <c r="R537" t="s">
        <v>371</v>
      </c>
      <c r="S537">
        <v>0</v>
      </c>
      <c r="T537">
        <v>1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704</v>
      </c>
      <c r="AD537" t="s">
        <v>341</v>
      </c>
      <c r="AE537" t="s">
        <v>342</v>
      </c>
      <c r="AF537" t="s">
        <v>343</v>
      </c>
      <c r="AG537" t="s">
        <v>344</v>
      </c>
      <c r="AH537" s="17" t="s">
        <v>371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704</v>
      </c>
      <c r="AR537" t="s">
        <v>349</v>
      </c>
      <c r="AS537" t="s">
        <v>349</v>
      </c>
      <c r="AT537">
        <v>1</v>
      </c>
      <c r="AU537">
        <v>0</v>
      </c>
      <c r="AV537">
        <v>0</v>
      </c>
      <c r="AW537" t="s">
        <v>704</v>
      </c>
      <c r="AX537" t="s">
        <v>1223</v>
      </c>
      <c r="AY537" t="s">
        <v>293</v>
      </c>
      <c r="AZ537" t="s">
        <v>352</v>
      </c>
      <c r="BA537" t="s">
        <v>297</v>
      </c>
      <c r="BB537" t="s">
        <v>301</v>
      </c>
      <c r="BC537" t="s">
        <v>292</v>
      </c>
      <c r="BD537" t="s">
        <v>293</v>
      </c>
      <c r="BE537" t="s">
        <v>292</v>
      </c>
      <c r="BF537" t="s">
        <v>292</v>
      </c>
      <c r="BG537" t="s">
        <v>293</v>
      </c>
      <c r="BH537" t="s">
        <v>302</v>
      </c>
      <c r="BI537" t="s">
        <v>302</v>
      </c>
      <c r="BJ537" t="s">
        <v>302</v>
      </c>
      <c r="BK537" t="s">
        <v>293</v>
      </c>
      <c r="BL537" t="s">
        <v>293</v>
      </c>
      <c r="BM537" t="s">
        <v>296</v>
      </c>
      <c r="BN537" t="s">
        <v>298</v>
      </c>
      <c r="BO537" t="s">
        <v>293</v>
      </c>
      <c r="BP537" t="s">
        <v>292</v>
      </c>
      <c r="BQ537" t="s">
        <v>293</v>
      </c>
      <c r="BR537" t="s">
        <v>293</v>
      </c>
      <c r="BS537" t="s">
        <v>364</v>
      </c>
      <c r="BT537" t="s">
        <v>366</v>
      </c>
      <c r="BU537" t="s">
        <v>371</v>
      </c>
      <c r="BV537" t="s">
        <v>559</v>
      </c>
      <c r="BW537" t="str">
        <f t="shared" si="1"/>
        <v>https://dfp529wcvahka.cloudfront.net/ws/GalleryEntry/qYMZl/video_preview/BsUApPxJ.png</v>
      </c>
      <c r="BX537" t="str">
        <f>IF(J537="win",VLOOKUP(B537,ColorScheme!$A$2:$I$32,4,0),VLOOKUP(B537,ColorScheme!$A$2:$I$32,5,0))</f>
        <v>#000000</v>
      </c>
    </row>
    <row r="538" spans="1:76" x14ac:dyDescent="0.3">
      <c r="A538" t="s">
        <v>381</v>
      </c>
      <c r="B538" t="s">
        <v>1344</v>
      </c>
      <c r="C538" t="s">
        <v>501</v>
      </c>
      <c r="D538" t="s">
        <v>1345</v>
      </c>
      <c r="E538" t="s">
        <v>501</v>
      </c>
      <c r="F538" t="b">
        <v>1</v>
      </c>
      <c r="G538">
        <v>100</v>
      </c>
      <c r="H538">
        <v>1</v>
      </c>
      <c r="I538">
        <v>14716</v>
      </c>
      <c r="J538" s="61" t="s">
        <v>18</v>
      </c>
      <c r="K538" t="s">
        <v>272</v>
      </c>
      <c r="L538">
        <v>3</v>
      </c>
      <c r="M538" t="s">
        <v>333</v>
      </c>
      <c r="N538" t="s">
        <v>278</v>
      </c>
      <c r="O538" t="s">
        <v>339</v>
      </c>
      <c r="P538" t="s">
        <v>273</v>
      </c>
      <c r="Q538" t="s">
        <v>281</v>
      </c>
      <c r="R538" t="s">
        <v>371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0</v>
      </c>
      <c r="AC538" t="s">
        <v>704</v>
      </c>
      <c r="AD538" t="s">
        <v>341</v>
      </c>
      <c r="AE538" t="s">
        <v>342</v>
      </c>
      <c r="AF538" t="s">
        <v>343</v>
      </c>
      <c r="AG538" t="s">
        <v>291</v>
      </c>
      <c r="AH538" s="17" t="s">
        <v>371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 t="s">
        <v>704</v>
      </c>
      <c r="AR538" t="s">
        <v>350</v>
      </c>
      <c r="AS538" t="s">
        <v>349</v>
      </c>
      <c r="AT538">
        <v>0</v>
      </c>
      <c r="AU538">
        <v>1</v>
      </c>
      <c r="AV538">
        <v>0</v>
      </c>
      <c r="AW538" t="s">
        <v>704</v>
      </c>
      <c r="AX538" t="s">
        <v>2937</v>
      </c>
      <c r="AY538" t="s">
        <v>293</v>
      </c>
      <c r="AZ538" t="s">
        <v>353</v>
      </c>
      <c r="BA538" t="s">
        <v>355</v>
      </c>
      <c r="BB538" t="s">
        <v>300</v>
      </c>
      <c r="BC538" t="s">
        <v>293</v>
      </c>
      <c r="BD538" t="s">
        <v>292</v>
      </c>
      <c r="BE538" t="s">
        <v>292</v>
      </c>
      <c r="BF538" t="s">
        <v>292</v>
      </c>
      <c r="BG538" t="s">
        <v>293</v>
      </c>
      <c r="BH538" t="s">
        <v>302</v>
      </c>
      <c r="BI538" t="s">
        <v>359</v>
      </c>
      <c r="BJ538" t="s">
        <v>359</v>
      </c>
      <c r="BK538" t="s">
        <v>293</v>
      </c>
      <c r="BL538" t="s">
        <v>293</v>
      </c>
      <c r="BM538" t="s">
        <v>297</v>
      </c>
      <c r="BN538" t="s">
        <v>356</v>
      </c>
      <c r="BO538" t="s">
        <v>293</v>
      </c>
      <c r="BP538" t="s">
        <v>292</v>
      </c>
      <c r="BQ538" t="s">
        <v>293</v>
      </c>
      <c r="BR538" t="s">
        <v>293</v>
      </c>
      <c r="BS538" t="s">
        <v>364</v>
      </c>
      <c r="BT538" t="s">
        <v>304</v>
      </c>
      <c r="BU538" t="s">
        <v>371</v>
      </c>
      <c r="BV538" t="s">
        <v>502</v>
      </c>
      <c r="BW538" t="str">
        <f t="shared" si="1"/>
        <v>https://dfp529wcvahka.cloudfront.net/ws/GalleryEntry/R5eOr/video_preview/m18GdnYp.png</v>
      </c>
      <c r="BX538" t="str">
        <f>IF(J538="win",VLOOKUP(B538,ColorScheme!$A$2:$I$32,4,0),VLOOKUP(B538,ColorScheme!$A$2:$I$32,5,0))</f>
        <v>#00000050</v>
      </c>
    </row>
    <row r="539" spans="1:76" x14ac:dyDescent="0.3">
      <c r="A539" t="s">
        <v>381</v>
      </c>
      <c r="B539" t="s">
        <v>1344</v>
      </c>
      <c r="C539" t="s">
        <v>474</v>
      </c>
      <c r="D539" t="s">
        <v>1345</v>
      </c>
      <c r="E539" t="s">
        <v>474</v>
      </c>
      <c r="F539" t="b">
        <v>1</v>
      </c>
      <c r="G539">
        <v>93</v>
      </c>
      <c r="H539">
        <v>0</v>
      </c>
      <c r="I539">
        <v>14246</v>
      </c>
      <c r="J539" s="61" t="s">
        <v>13</v>
      </c>
      <c r="K539" t="s">
        <v>272</v>
      </c>
      <c r="L539">
        <v>3</v>
      </c>
      <c r="M539" t="s">
        <v>333</v>
      </c>
      <c r="N539" t="s">
        <v>280</v>
      </c>
      <c r="O539" t="s">
        <v>281</v>
      </c>
      <c r="P539" t="s">
        <v>285</v>
      </c>
      <c r="Q539" t="s">
        <v>371</v>
      </c>
      <c r="R539" t="s">
        <v>371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 t="s">
        <v>704</v>
      </c>
      <c r="AD539" t="s">
        <v>341</v>
      </c>
      <c r="AE539" t="s">
        <v>340</v>
      </c>
      <c r="AF539" t="s">
        <v>343</v>
      </c>
      <c r="AG539" t="s">
        <v>377</v>
      </c>
      <c r="AH539" s="17" t="s">
        <v>371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704</v>
      </c>
      <c r="AR539" t="s">
        <v>349</v>
      </c>
      <c r="AS539" t="s">
        <v>349</v>
      </c>
      <c r="AT539">
        <v>1</v>
      </c>
      <c r="AU539">
        <v>0</v>
      </c>
      <c r="AV539">
        <v>0</v>
      </c>
      <c r="AW539" t="s">
        <v>704</v>
      </c>
      <c r="AX539" t="s">
        <v>1337</v>
      </c>
      <c r="AY539" t="s">
        <v>293</v>
      </c>
      <c r="AZ539" t="s">
        <v>353</v>
      </c>
      <c r="BA539" t="s">
        <v>296</v>
      </c>
      <c r="BB539" t="s">
        <v>300</v>
      </c>
      <c r="BC539" t="s">
        <v>292</v>
      </c>
      <c r="BD539" t="s">
        <v>293</v>
      </c>
      <c r="BE539" t="s">
        <v>292</v>
      </c>
      <c r="BF539" t="s">
        <v>292</v>
      </c>
      <c r="BG539" t="s">
        <v>293</v>
      </c>
      <c r="BH539" t="s">
        <v>302</v>
      </c>
      <c r="BI539" t="s">
        <v>359</v>
      </c>
      <c r="BJ539" t="s">
        <v>359</v>
      </c>
      <c r="BK539" t="s">
        <v>293</v>
      </c>
      <c r="BL539" t="s">
        <v>293</v>
      </c>
      <c r="BM539" t="s">
        <v>296</v>
      </c>
      <c r="BN539" t="s">
        <v>298</v>
      </c>
      <c r="BO539" t="s">
        <v>293</v>
      </c>
      <c r="BP539" t="s">
        <v>292</v>
      </c>
      <c r="BQ539" t="s">
        <v>293</v>
      </c>
      <c r="BR539" t="s">
        <v>293</v>
      </c>
      <c r="BS539" t="s">
        <v>364</v>
      </c>
      <c r="BT539" t="s">
        <v>366</v>
      </c>
      <c r="BU539" t="s">
        <v>371</v>
      </c>
      <c r="BV539" t="s">
        <v>475</v>
      </c>
      <c r="BW539" t="str">
        <f t="shared" si="1"/>
        <v>https://dfp529wcvahka.cloudfront.net/ws/GalleryEntry/rdDr4/video_preview/SB1oz9fS.png</v>
      </c>
      <c r="BX539" t="str">
        <f>IF(J539="win",VLOOKUP(B539,ColorScheme!$A$2:$I$32,4,0),VLOOKUP(B539,ColorScheme!$A$2:$I$32,5,0))</f>
        <v>#000000</v>
      </c>
    </row>
    <row r="540" spans="1:76" x14ac:dyDescent="0.3">
      <c r="A540" t="s">
        <v>381</v>
      </c>
      <c r="B540" t="s">
        <v>1344</v>
      </c>
      <c r="C540" t="s">
        <v>522</v>
      </c>
      <c r="D540" t="s">
        <v>1345</v>
      </c>
      <c r="E540" t="s">
        <v>522</v>
      </c>
      <c r="F540" t="b">
        <v>1</v>
      </c>
      <c r="G540">
        <v>68.400000000000006</v>
      </c>
      <c r="H540">
        <v>0</v>
      </c>
      <c r="I540">
        <v>11067</v>
      </c>
      <c r="J540" s="61" t="s">
        <v>13</v>
      </c>
      <c r="K540" t="s">
        <v>272</v>
      </c>
      <c r="L540">
        <v>3</v>
      </c>
      <c r="M540" t="s">
        <v>277</v>
      </c>
      <c r="N540" t="s">
        <v>335</v>
      </c>
      <c r="O540" t="s">
        <v>281</v>
      </c>
      <c r="P540" t="s">
        <v>283</v>
      </c>
      <c r="Q540" t="s">
        <v>284</v>
      </c>
      <c r="R540" t="s">
        <v>371</v>
      </c>
      <c r="S540">
        <v>1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704</v>
      </c>
      <c r="AD540" t="s">
        <v>341</v>
      </c>
      <c r="AE540" t="s">
        <v>340</v>
      </c>
      <c r="AF540" t="s">
        <v>343</v>
      </c>
      <c r="AG540" t="s">
        <v>344</v>
      </c>
      <c r="AH540" s="17" t="s">
        <v>371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704</v>
      </c>
      <c r="AR540" t="s">
        <v>349</v>
      </c>
      <c r="AS540" t="s">
        <v>349</v>
      </c>
      <c r="AT540">
        <v>1</v>
      </c>
      <c r="AU540">
        <v>0</v>
      </c>
      <c r="AV540">
        <v>0</v>
      </c>
      <c r="AW540" t="s">
        <v>704</v>
      </c>
      <c r="AX540" t="s">
        <v>1274</v>
      </c>
      <c r="AY540" t="s">
        <v>293</v>
      </c>
      <c r="AZ540" t="s">
        <v>352</v>
      </c>
      <c r="BA540" t="s">
        <v>296</v>
      </c>
      <c r="BB540" t="s">
        <v>301</v>
      </c>
      <c r="BC540" t="s">
        <v>292</v>
      </c>
      <c r="BD540" t="s">
        <v>293</v>
      </c>
      <c r="BE540" t="s">
        <v>292</v>
      </c>
      <c r="BF540" t="s">
        <v>292</v>
      </c>
      <c r="BG540" t="s">
        <v>293</v>
      </c>
      <c r="BH540" t="s">
        <v>302</v>
      </c>
      <c r="BI540" t="s">
        <v>302</v>
      </c>
      <c r="BJ540" t="s">
        <v>359</v>
      </c>
      <c r="BK540" t="s">
        <v>293</v>
      </c>
      <c r="BL540" t="s">
        <v>293</v>
      </c>
      <c r="BM540" t="s">
        <v>297</v>
      </c>
      <c r="BN540" t="s">
        <v>298</v>
      </c>
      <c r="BO540" t="s">
        <v>293</v>
      </c>
      <c r="BP540" t="s">
        <v>292</v>
      </c>
      <c r="BQ540" t="s">
        <v>293</v>
      </c>
      <c r="BR540" t="s">
        <v>293</v>
      </c>
      <c r="BS540" t="s">
        <v>364</v>
      </c>
      <c r="BT540" t="s">
        <v>366</v>
      </c>
      <c r="BU540" t="s">
        <v>371</v>
      </c>
      <c r="BV540" t="s">
        <v>523</v>
      </c>
      <c r="BW540" t="str">
        <f t="shared" si="1"/>
        <v>https://dfp529wcvahka.cloudfront.net/ws/GalleryEntry/rlaqJ/video_preview/qunlw1uv.png</v>
      </c>
      <c r="BX540" t="str">
        <f>IF(J540="win",VLOOKUP(B540,ColorScheme!$A$2:$I$32,4,0),VLOOKUP(B540,ColorScheme!$A$2:$I$32,5,0))</f>
        <v>#000000</v>
      </c>
    </row>
    <row r="541" spans="1:76" x14ac:dyDescent="0.3">
      <c r="A541" t="s">
        <v>381</v>
      </c>
      <c r="B541" t="s">
        <v>1344</v>
      </c>
      <c r="C541" t="s">
        <v>450</v>
      </c>
      <c r="D541" t="s">
        <v>1345</v>
      </c>
      <c r="E541" t="s">
        <v>450</v>
      </c>
      <c r="F541" t="b">
        <v>1</v>
      </c>
      <c r="G541">
        <v>99.6</v>
      </c>
      <c r="H541">
        <v>0</v>
      </c>
      <c r="I541">
        <v>10000</v>
      </c>
      <c r="J541" s="61" t="s">
        <v>13</v>
      </c>
      <c r="K541" t="s">
        <v>272</v>
      </c>
      <c r="L541">
        <v>3</v>
      </c>
      <c r="M541" t="s">
        <v>277</v>
      </c>
      <c r="N541" t="s">
        <v>335</v>
      </c>
      <c r="O541" t="s">
        <v>282</v>
      </c>
      <c r="P541" t="s">
        <v>371</v>
      </c>
      <c r="Q541" t="s">
        <v>371</v>
      </c>
      <c r="R541" t="s">
        <v>371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704</v>
      </c>
      <c r="AD541" t="s">
        <v>341</v>
      </c>
      <c r="AE541" t="s">
        <v>342</v>
      </c>
      <c r="AF541" t="s">
        <v>343</v>
      </c>
      <c r="AG541" t="s">
        <v>345</v>
      </c>
      <c r="AH541" s="17" t="s">
        <v>371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 t="s">
        <v>704</v>
      </c>
      <c r="AR541" t="s">
        <v>349</v>
      </c>
      <c r="AS541" t="s">
        <v>349</v>
      </c>
      <c r="AT541">
        <v>1</v>
      </c>
      <c r="AU541">
        <v>0</v>
      </c>
      <c r="AV541">
        <v>0</v>
      </c>
      <c r="AW541" t="s">
        <v>704</v>
      </c>
      <c r="AX541" t="s">
        <v>1232</v>
      </c>
      <c r="AY541" t="s">
        <v>293</v>
      </c>
      <c r="AZ541" t="s">
        <v>353</v>
      </c>
      <c r="BA541" t="s">
        <v>297</v>
      </c>
      <c r="BB541" t="s">
        <v>299</v>
      </c>
      <c r="BC541" t="s">
        <v>292</v>
      </c>
      <c r="BD541" t="s">
        <v>293</v>
      </c>
      <c r="BE541" t="s">
        <v>292</v>
      </c>
      <c r="BF541" t="s">
        <v>293</v>
      </c>
      <c r="BG541" t="s">
        <v>293</v>
      </c>
      <c r="BH541" t="s">
        <v>302</v>
      </c>
      <c r="BI541" t="s">
        <v>302</v>
      </c>
      <c r="BJ541" t="s">
        <v>359</v>
      </c>
      <c r="BK541" t="s">
        <v>293</v>
      </c>
      <c r="BL541" t="s">
        <v>293</v>
      </c>
      <c r="BM541" t="s">
        <v>297</v>
      </c>
      <c r="BN541" t="s">
        <v>298</v>
      </c>
      <c r="BO541" t="s">
        <v>360</v>
      </c>
      <c r="BP541" t="s">
        <v>292</v>
      </c>
      <c r="BQ541" t="s">
        <v>293</v>
      </c>
      <c r="BR541" t="s">
        <v>293</v>
      </c>
      <c r="BS541" t="s">
        <v>364</v>
      </c>
      <c r="BT541" t="s">
        <v>366</v>
      </c>
      <c r="BU541" t="s">
        <v>371</v>
      </c>
      <c r="BV541" t="s">
        <v>451</v>
      </c>
      <c r="BW541" t="str">
        <f t="shared" si="1"/>
        <v>https://dfp529wcvahka.cloudfront.net/ws/GalleryEntry/rlXM4/video_preview/KYGkNQvv.png</v>
      </c>
      <c r="BX541" t="str">
        <f>IF(J541="win",VLOOKUP(B541,ColorScheme!$A$2:$I$32,4,0),VLOOKUP(B541,ColorScheme!$A$2:$I$32,5,0))</f>
        <v>#000000</v>
      </c>
    </row>
    <row r="542" spans="1:76" x14ac:dyDescent="0.3">
      <c r="A542" t="s">
        <v>381</v>
      </c>
      <c r="B542" t="s">
        <v>1344</v>
      </c>
      <c r="C542" t="s">
        <v>477</v>
      </c>
      <c r="D542" t="s">
        <v>1345</v>
      </c>
      <c r="E542" t="s">
        <v>477</v>
      </c>
      <c r="F542" t="b">
        <v>1</v>
      </c>
      <c r="G542">
        <v>97.4</v>
      </c>
      <c r="H542">
        <v>0</v>
      </c>
      <c r="I542">
        <v>9170</v>
      </c>
      <c r="J542" s="61" t="s">
        <v>13</v>
      </c>
      <c r="K542" t="s">
        <v>272</v>
      </c>
      <c r="L542">
        <v>3</v>
      </c>
      <c r="M542" t="s">
        <v>277</v>
      </c>
      <c r="N542" t="s">
        <v>335</v>
      </c>
      <c r="O542" t="s">
        <v>282</v>
      </c>
      <c r="P542" t="s">
        <v>371</v>
      </c>
      <c r="Q542" t="s">
        <v>371</v>
      </c>
      <c r="R542" t="s">
        <v>371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704</v>
      </c>
      <c r="AD542" t="s">
        <v>341</v>
      </c>
      <c r="AE542" t="s">
        <v>342</v>
      </c>
      <c r="AF542" t="s">
        <v>343</v>
      </c>
      <c r="AG542" t="s">
        <v>344</v>
      </c>
      <c r="AH542" s="17" t="s">
        <v>347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 t="s">
        <v>704</v>
      </c>
      <c r="AR542" t="s">
        <v>350</v>
      </c>
      <c r="AS542" t="s">
        <v>349</v>
      </c>
      <c r="AT542">
        <v>0</v>
      </c>
      <c r="AU542">
        <v>1</v>
      </c>
      <c r="AV542">
        <v>0</v>
      </c>
      <c r="AW542" t="s">
        <v>704</v>
      </c>
      <c r="AX542" t="s">
        <v>2938</v>
      </c>
      <c r="AY542" t="s">
        <v>293</v>
      </c>
      <c r="AZ542" t="s">
        <v>353</v>
      </c>
      <c r="BA542" t="s">
        <v>297</v>
      </c>
      <c r="BB542" t="s">
        <v>299</v>
      </c>
      <c r="BC542" t="s">
        <v>292</v>
      </c>
      <c r="BD542" t="s">
        <v>293</v>
      </c>
      <c r="BE542" t="s">
        <v>292</v>
      </c>
      <c r="BF542" t="s">
        <v>293</v>
      </c>
      <c r="BG542" t="s">
        <v>293</v>
      </c>
      <c r="BH542" t="s">
        <v>302</v>
      </c>
      <c r="BI542" t="s">
        <v>302</v>
      </c>
      <c r="BJ542" t="s">
        <v>359</v>
      </c>
      <c r="BK542" t="s">
        <v>293</v>
      </c>
      <c r="BL542" t="s">
        <v>293</v>
      </c>
      <c r="BM542" t="s">
        <v>297</v>
      </c>
      <c r="BN542" t="s">
        <v>298</v>
      </c>
      <c r="BO542" t="s">
        <v>293</v>
      </c>
      <c r="BP542" t="s">
        <v>292</v>
      </c>
      <c r="BQ542" t="s">
        <v>293</v>
      </c>
      <c r="BR542" t="s">
        <v>293</v>
      </c>
      <c r="BS542" t="s">
        <v>364</v>
      </c>
      <c r="BT542" t="s">
        <v>366</v>
      </c>
      <c r="BU542" t="s">
        <v>371</v>
      </c>
      <c r="BV542" t="s">
        <v>478</v>
      </c>
      <c r="BW542" t="str">
        <f t="shared" si="1"/>
        <v>https://dfp529wcvahka.cloudfront.net/ws/GalleryEntry/RM2Yx/video_preview/vmrKLPdE.png</v>
      </c>
      <c r="BX542" t="str">
        <f>IF(J542="win",VLOOKUP(B542,ColorScheme!$A$2:$I$32,4,0),VLOOKUP(B542,ColorScheme!$A$2:$I$32,5,0))</f>
        <v>#000000</v>
      </c>
    </row>
    <row r="543" spans="1:76" x14ac:dyDescent="0.3">
      <c r="A543" t="s">
        <v>381</v>
      </c>
      <c r="B543" t="s">
        <v>1344</v>
      </c>
      <c r="C543" t="s">
        <v>540</v>
      </c>
      <c r="D543" t="s">
        <v>1345</v>
      </c>
      <c r="E543" t="s">
        <v>540</v>
      </c>
      <c r="F543" t="b">
        <v>1</v>
      </c>
      <c r="G543">
        <v>92.7</v>
      </c>
      <c r="H543">
        <v>0</v>
      </c>
      <c r="I543">
        <v>7320</v>
      </c>
      <c r="J543" s="61" t="s">
        <v>13</v>
      </c>
      <c r="K543" t="s">
        <v>272</v>
      </c>
      <c r="L543">
        <v>3</v>
      </c>
      <c r="M543" t="s">
        <v>277</v>
      </c>
      <c r="N543" t="s">
        <v>335</v>
      </c>
      <c r="O543" t="s">
        <v>273</v>
      </c>
      <c r="P543" t="s">
        <v>282</v>
      </c>
      <c r="Q543" t="s">
        <v>371</v>
      </c>
      <c r="R543" t="s">
        <v>371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704</v>
      </c>
      <c r="AD543" t="s">
        <v>341</v>
      </c>
      <c r="AE543" t="s">
        <v>340</v>
      </c>
      <c r="AF543" t="s">
        <v>343</v>
      </c>
      <c r="AG543" t="s">
        <v>291</v>
      </c>
      <c r="AH543" s="17" t="s">
        <v>371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 t="s">
        <v>704</v>
      </c>
      <c r="AR543" t="s">
        <v>350</v>
      </c>
      <c r="AS543" t="s">
        <v>349</v>
      </c>
      <c r="AT543">
        <v>0</v>
      </c>
      <c r="AU543">
        <v>1</v>
      </c>
      <c r="AV543">
        <v>0</v>
      </c>
      <c r="AW543" t="s">
        <v>704</v>
      </c>
      <c r="AX543" t="s">
        <v>2939</v>
      </c>
      <c r="AY543" t="s">
        <v>293</v>
      </c>
      <c r="AZ543" t="s">
        <v>353</v>
      </c>
      <c r="BA543" t="s">
        <v>297</v>
      </c>
      <c r="BB543" t="s">
        <v>299</v>
      </c>
      <c r="BC543" t="s">
        <v>292</v>
      </c>
      <c r="BD543" t="s">
        <v>293</v>
      </c>
      <c r="BE543" t="s">
        <v>292</v>
      </c>
      <c r="BF543" t="s">
        <v>292</v>
      </c>
      <c r="BG543" t="s">
        <v>293</v>
      </c>
      <c r="BH543" t="s">
        <v>302</v>
      </c>
      <c r="BI543" t="s">
        <v>302</v>
      </c>
      <c r="BJ543" t="s">
        <v>359</v>
      </c>
      <c r="BK543" t="s">
        <v>293</v>
      </c>
      <c r="BL543" t="s">
        <v>293</v>
      </c>
      <c r="BM543" t="s">
        <v>297</v>
      </c>
      <c r="BN543" t="s">
        <v>298</v>
      </c>
      <c r="BO543" t="s">
        <v>293</v>
      </c>
      <c r="BP543" t="s">
        <v>292</v>
      </c>
      <c r="BQ543" t="s">
        <v>293</v>
      </c>
      <c r="BR543" t="s">
        <v>293</v>
      </c>
      <c r="BS543" t="s">
        <v>364</v>
      </c>
      <c r="BT543" t="s">
        <v>366</v>
      </c>
      <c r="BU543" t="s">
        <v>371</v>
      </c>
      <c r="BV543" t="s">
        <v>541</v>
      </c>
      <c r="BW543" t="str">
        <f t="shared" si="1"/>
        <v>https://dfp529wcvahka.cloudfront.net/ws/GalleryEntry/RME97/video_preview/WedgygwJ.png</v>
      </c>
      <c r="BX543" t="str">
        <f>IF(J543="win",VLOOKUP(B543,ColorScheme!$A$2:$I$32,4,0),VLOOKUP(B543,ColorScheme!$A$2:$I$32,5,0))</f>
        <v>#000000</v>
      </c>
    </row>
    <row r="544" spans="1:76" x14ac:dyDescent="0.3">
      <c r="A544" t="s">
        <v>381</v>
      </c>
      <c r="B544" t="s">
        <v>1344</v>
      </c>
      <c r="C544" t="s">
        <v>672</v>
      </c>
      <c r="D544" t="s">
        <v>1345</v>
      </c>
      <c r="E544" t="s">
        <v>672</v>
      </c>
      <c r="F544" t="b">
        <v>1</v>
      </c>
      <c r="G544">
        <v>95.8</v>
      </c>
      <c r="H544">
        <v>0</v>
      </c>
      <c r="I544">
        <v>8723</v>
      </c>
      <c r="J544" s="61" t="s">
        <v>13</v>
      </c>
      <c r="K544" t="s">
        <v>272</v>
      </c>
      <c r="L544">
        <v>3</v>
      </c>
      <c r="M544" t="s">
        <v>277</v>
      </c>
      <c r="N544" t="s">
        <v>335</v>
      </c>
      <c r="O544" t="s">
        <v>283</v>
      </c>
      <c r="P544" t="s">
        <v>281</v>
      </c>
      <c r="Q544" t="s">
        <v>284</v>
      </c>
      <c r="R544" t="s">
        <v>371</v>
      </c>
      <c r="S544">
        <v>1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704</v>
      </c>
      <c r="AD544" t="s">
        <v>341</v>
      </c>
      <c r="AE544" t="s">
        <v>342</v>
      </c>
      <c r="AF544" t="s">
        <v>343</v>
      </c>
      <c r="AG544" t="s">
        <v>344</v>
      </c>
      <c r="AH544" s="17" t="s">
        <v>371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704</v>
      </c>
      <c r="AR544" t="s">
        <v>350</v>
      </c>
      <c r="AS544" t="s">
        <v>349</v>
      </c>
      <c r="AT544">
        <v>0</v>
      </c>
      <c r="AU544">
        <v>1</v>
      </c>
      <c r="AV544">
        <v>0</v>
      </c>
      <c r="AW544" t="s">
        <v>704</v>
      </c>
      <c r="AX544" t="s">
        <v>2940</v>
      </c>
      <c r="AY544" t="s">
        <v>293</v>
      </c>
      <c r="AZ544" t="s">
        <v>353</v>
      </c>
      <c r="BA544" t="s">
        <v>297</v>
      </c>
      <c r="BB544" t="s">
        <v>299</v>
      </c>
      <c r="BC544" t="s">
        <v>292</v>
      </c>
      <c r="BD544" t="s">
        <v>293</v>
      </c>
      <c r="BE544" t="s">
        <v>292</v>
      </c>
      <c r="BF544" t="s">
        <v>293</v>
      </c>
      <c r="BG544" t="s">
        <v>293</v>
      </c>
      <c r="BH544" t="s">
        <v>302</v>
      </c>
      <c r="BI544" t="s">
        <v>302</v>
      </c>
      <c r="BJ544" t="s">
        <v>359</v>
      </c>
      <c r="BK544" t="s">
        <v>293</v>
      </c>
      <c r="BL544" t="s">
        <v>293</v>
      </c>
      <c r="BM544" t="s">
        <v>297</v>
      </c>
      <c r="BN544" t="s">
        <v>298</v>
      </c>
      <c r="BO544" t="s">
        <v>293</v>
      </c>
      <c r="BP544" t="s">
        <v>292</v>
      </c>
      <c r="BQ544" t="s">
        <v>293</v>
      </c>
      <c r="BR544" t="s">
        <v>293</v>
      </c>
      <c r="BS544" t="s">
        <v>364</v>
      </c>
      <c r="BT544" t="s">
        <v>366</v>
      </c>
      <c r="BU544" t="s">
        <v>371</v>
      </c>
      <c r="BV544" t="s">
        <v>673</v>
      </c>
      <c r="BW544" t="str">
        <f t="shared" si="1"/>
        <v>https://dfp529wcvahka.cloudfront.net/ws/GalleryEntry/RMlR7/video_preview/dh8NAy9J.png</v>
      </c>
      <c r="BX544" t="str">
        <f>IF(J544="win",VLOOKUP(B544,ColorScheme!$A$2:$I$32,4,0),VLOOKUP(B544,ColorScheme!$A$2:$I$32,5,0))</f>
        <v>#000000</v>
      </c>
    </row>
    <row r="545" spans="1:76" x14ac:dyDescent="0.3">
      <c r="A545" t="s">
        <v>381</v>
      </c>
      <c r="B545" t="s">
        <v>1344</v>
      </c>
      <c r="C545" t="s">
        <v>390</v>
      </c>
      <c r="D545" t="s">
        <v>1345</v>
      </c>
      <c r="E545" t="s">
        <v>390</v>
      </c>
      <c r="F545" t="b">
        <v>1</v>
      </c>
      <c r="G545">
        <v>90.4</v>
      </c>
      <c r="H545">
        <v>0</v>
      </c>
      <c r="I545">
        <v>8807</v>
      </c>
      <c r="J545" s="61" t="s">
        <v>13</v>
      </c>
      <c r="K545" t="s">
        <v>272</v>
      </c>
      <c r="L545">
        <v>3</v>
      </c>
      <c r="M545" t="s">
        <v>277</v>
      </c>
      <c r="N545" t="s">
        <v>335</v>
      </c>
      <c r="O545" t="s">
        <v>283</v>
      </c>
      <c r="P545" t="s">
        <v>282</v>
      </c>
      <c r="Q545" t="s">
        <v>371</v>
      </c>
      <c r="R545" t="s">
        <v>371</v>
      </c>
      <c r="S545">
        <v>0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704</v>
      </c>
      <c r="AD545" t="s">
        <v>341</v>
      </c>
      <c r="AE545" t="s">
        <v>342</v>
      </c>
      <c r="AF545" t="s">
        <v>343</v>
      </c>
      <c r="AG545" t="s">
        <v>344</v>
      </c>
      <c r="AH545" s="17" t="s">
        <v>347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 t="s">
        <v>704</v>
      </c>
      <c r="AR545" t="s">
        <v>350</v>
      </c>
      <c r="AS545" t="s">
        <v>349</v>
      </c>
      <c r="AT545">
        <v>0</v>
      </c>
      <c r="AU545">
        <v>1</v>
      </c>
      <c r="AV545">
        <v>0</v>
      </c>
      <c r="AW545" t="s">
        <v>704</v>
      </c>
      <c r="AX545" t="s">
        <v>2941</v>
      </c>
      <c r="AY545" t="s">
        <v>293</v>
      </c>
      <c r="AZ545" t="s">
        <v>353</v>
      </c>
      <c r="BA545" t="s">
        <v>297</v>
      </c>
      <c r="BB545" t="s">
        <v>299</v>
      </c>
      <c r="BC545" t="s">
        <v>292</v>
      </c>
      <c r="BD545" t="s">
        <v>293</v>
      </c>
      <c r="BE545" t="s">
        <v>292</v>
      </c>
      <c r="BF545" t="s">
        <v>293</v>
      </c>
      <c r="BG545" t="s">
        <v>293</v>
      </c>
      <c r="BH545" t="s">
        <v>302</v>
      </c>
      <c r="BI545" t="s">
        <v>302</v>
      </c>
      <c r="BJ545" t="s">
        <v>359</v>
      </c>
      <c r="BK545" t="s">
        <v>293</v>
      </c>
      <c r="BL545" t="s">
        <v>293</v>
      </c>
      <c r="BM545" t="s">
        <v>297</v>
      </c>
      <c r="BN545" t="s">
        <v>298</v>
      </c>
      <c r="BO545" t="s">
        <v>293</v>
      </c>
      <c r="BP545" t="s">
        <v>292</v>
      </c>
      <c r="BQ545" t="s">
        <v>293</v>
      </c>
      <c r="BR545" t="s">
        <v>293</v>
      </c>
      <c r="BS545" t="s">
        <v>364</v>
      </c>
      <c r="BT545" t="s">
        <v>366</v>
      </c>
      <c r="BU545" t="s">
        <v>371</v>
      </c>
      <c r="BV545" t="s">
        <v>391</v>
      </c>
      <c r="BW545" t="str">
        <f t="shared" si="1"/>
        <v>https://dfp529wcvahka.cloudfront.net/ws/GalleryEntry/RR1k2/video_preview/CcWzfmSj.png</v>
      </c>
      <c r="BX545" t="str">
        <f>IF(J545="win",VLOOKUP(B545,ColorScheme!$A$2:$I$32,4,0),VLOOKUP(B545,ColorScheme!$A$2:$I$32,5,0))</f>
        <v>#000000</v>
      </c>
    </row>
    <row r="546" spans="1:76" x14ac:dyDescent="0.3">
      <c r="A546" t="s">
        <v>381</v>
      </c>
      <c r="B546" t="s">
        <v>1344</v>
      </c>
      <c r="C546" t="s">
        <v>570</v>
      </c>
      <c r="D546" t="s">
        <v>1345</v>
      </c>
      <c r="E546" t="s">
        <v>570</v>
      </c>
      <c r="F546" t="b">
        <v>1</v>
      </c>
      <c r="G546">
        <v>98.3</v>
      </c>
      <c r="H546">
        <v>0</v>
      </c>
      <c r="I546">
        <v>7868</v>
      </c>
      <c r="J546" s="61" t="s">
        <v>13</v>
      </c>
      <c r="K546" t="s">
        <v>272</v>
      </c>
      <c r="L546">
        <v>3</v>
      </c>
      <c r="M546" t="s">
        <v>277</v>
      </c>
      <c r="N546" t="s">
        <v>335</v>
      </c>
      <c r="O546" t="s">
        <v>283</v>
      </c>
      <c r="P546" t="s">
        <v>282</v>
      </c>
      <c r="Q546" t="s">
        <v>371</v>
      </c>
      <c r="R546" t="s">
        <v>371</v>
      </c>
      <c r="S546">
        <v>0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704</v>
      </c>
      <c r="AD546" t="s">
        <v>341</v>
      </c>
      <c r="AE546" t="s">
        <v>342</v>
      </c>
      <c r="AF546" t="s">
        <v>343</v>
      </c>
      <c r="AG546" t="s">
        <v>345</v>
      </c>
      <c r="AH546" s="17" t="s">
        <v>347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 t="s">
        <v>704</v>
      </c>
      <c r="AR546" t="s">
        <v>349</v>
      </c>
      <c r="AS546" t="s">
        <v>349</v>
      </c>
      <c r="AT546">
        <v>1</v>
      </c>
      <c r="AU546">
        <v>0</v>
      </c>
      <c r="AV546">
        <v>0</v>
      </c>
      <c r="AW546" t="s">
        <v>704</v>
      </c>
      <c r="AX546" t="s">
        <v>1338</v>
      </c>
      <c r="AY546" t="s">
        <v>293</v>
      </c>
      <c r="AZ546" t="s">
        <v>353</v>
      </c>
      <c r="BA546" t="s">
        <v>297</v>
      </c>
      <c r="BB546" t="s">
        <v>299</v>
      </c>
      <c r="BC546" t="s">
        <v>292</v>
      </c>
      <c r="BD546" t="s">
        <v>293</v>
      </c>
      <c r="BE546" t="s">
        <v>292</v>
      </c>
      <c r="BF546" t="s">
        <v>293</v>
      </c>
      <c r="BG546" t="s">
        <v>293</v>
      </c>
      <c r="BH546" t="s">
        <v>302</v>
      </c>
      <c r="BI546" t="s">
        <v>302</v>
      </c>
      <c r="BJ546" t="s">
        <v>359</v>
      </c>
      <c r="BK546" t="s">
        <v>293</v>
      </c>
      <c r="BL546" t="s">
        <v>293</v>
      </c>
      <c r="BM546" t="s">
        <v>297</v>
      </c>
      <c r="BN546" t="s">
        <v>298</v>
      </c>
      <c r="BO546" t="s">
        <v>293</v>
      </c>
      <c r="BP546" t="s">
        <v>292</v>
      </c>
      <c r="BQ546" t="s">
        <v>293</v>
      </c>
      <c r="BR546" t="s">
        <v>293</v>
      </c>
      <c r="BS546" t="s">
        <v>364</v>
      </c>
      <c r="BT546" t="s">
        <v>366</v>
      </c>
      <c r="BU546" t="s">
        <v>371</v>
      </c>
      <c r="BV546" t="s">
        <v>571</v>
      </c>
      <c r="BW546" t="str">
        <f t="shared" si="1"/>
        <v>https://dfp529wcvahka.cloudfront.net/ws/GalleryEntry/v8Mpa/video_preview/GmM2Os6u.png</v>
      </c>
      <c r="BX546" t="str">
        <f>IF(J546="win",VLOOKUP(B546,ColorScheme!$A$2:$I$32,4,0),VLOOKUP(B546,ColorScheme!$A$2:$I$32,5,0))</f>
        <v>#000000</v>
      </c>
    </row>
    <row r="547" spans="1:76" x14ac:dyDescent="0.3">
      <c r="A547" t="s">
        <v>381</v>
      </c>
      <c r="B547" t="s">
        <v>1344</v>
      </c>
      <c r="C547" t="s">
        <v>675</v>
      </c>
      <c r="D547" t="s">
        <v>1345</v>
      </c>
      <c r="E547" t="s">
        <v>675</v>
      </c>
      <c r="F547" t="b">
        <v>1</v>
      </c>
      <c r="G547">
        <v>97.12</v>
      </c>
      <c r="H547">
        <v>0</v>
      </c>
      <c r="I547">
        <v>12670</v>
      </c>
      <c r="J547" s="61" t="s">
        <v>13</v>
      </c>
      <c r="K547" t="s">
        <v>272</v>
      </c>
      <c r="L547">
        <v>3</v>
      </c>
      <c r="M547" t="s">
        <v>277</v>
      </c>
      <c r="N547" t="s">
        <v>335</v>
      </c>
      <c r="O547" t="s">
        <v>283</v>
      </c>
      <c r="P547" t="s">
        <v>281</v>
      </c>
      <c r="Q547" t="s">
        <v>284</v>
      </c>
      <c r="R547" t="s">
        <v>371</v>
      </c>
      <c r="S547">
        <v>1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704</v>
      </c>
      <c r="AD547" t="s">
        <v>341</v>
      </c>
      <c r="AE547" t="s">
        <v>342</v>
      </c>
      <c r="AF547" t="s">
        <v>343</v>
      </c>
      <c r="AG547" t="s">
        <v>344</v>
      </c>
      <c r="AH547" s="17" t="s">
        <v>371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704</v>
      </c>
      <c r="AR547" t="s">
        <v>350</v>
      </c>
      <c r="AS547" t="s">
        <v>349</v>
      </c>
      <c r="AT547">
        <v>0</v>
      </c>
      <c r="AU547">
        <v>1</v>
      </c>
      <c r="AV547">
        <v>0</v>
      </c>
      <c r="AW547" t="s">
        <v>704</v>
      </c>
      <c r="AX547" t="s">
        <v>2940</v>
      </c>
      <c r="AY547" t="s">
        <v>293</v>
      </c>
      <c r="AZ547" t="s">
        <v>353</v>
      </c>
      <c r="BA547" t="s">
        <v>296</v>
      </c>
      <c r="BB547" t="s">
        <v>301</v>
      </c>
      <c r="BC547" t="s">
        <v>292</v>
      </c>
      <c r="BD547" t="s">
        <v>293</v>
      </c>
      <c r="BE547" t="s">
        <v>292</v>
      </c>
      <c r="BF547" t="s">
        <v>292</v>
      </c>
      <c r="BG547" t="s">
        <v>293</v>
      </c>
      <c r="BH547" t="s">
        <v>302</v>
      </c>
      <c r="BI547" t="s">
        <v>302</v>
      </c>
      <c r="BJ547" t="s">
        <v>359</v>
      </c>
      <c r="BK547" t="s">
        <v>293</v>
      </c>
      <c r="BL547" t="s">
        <v>293</v>
      </c>
      <c r="BM547" t="s">
        <v>297</v>
      </c>
      <c r="BN547" t="s">
        <v>298</v>
      </c>
      <c r="BO547" t="s">
        <v>293</v>
      </c>
      <c r="BP547" t="s">
        <v>292</v>
      </c>
      <c r="BQ547" t="s">
        <v>293</v>
      </c>
      <c r="BR547" t="s">
        <v>293</v>
      </c>
      <c r="BS547" t="s">
        <v>364</v>
      </c>
      <c r="BT547" t="s">
        <v>366</v>
      </c>
      <c r="BU547" t="s">
        <v>371</v>
      </c>
      <c r="BV547" t="s">
        <v>676</v>
      </c>
      <c r="BW547" t="str">
        <f t="shared" si="1"/>
        <v>https://dfp529wcvahka.cloudfront.net/ws/GalleryEntry/VeJ65/video_preview/QpirxDnX.png</v>
      </c>
      <c r="BX547" t="str">
        <f>IF(J547="win",VLOOKUP(B547,ColorScheme!$A$2:$I$32,4,0),VLOOKUP(B547,ColorScheme!$A$2:$I$32,5,0))</f>
        <v>#000000</v>
      </c>
    </row>
    <row r="548" spans="1:76" x14ac:dyDescent="0.3">
      <c r="A548" t="s">
        <v>381</v>
      </c>
      <c r="B548" t="s">
        <v>1344</v>
      </c>
      <c r="C548" t="s">
        <v>579</v>
      </c>
      <c r="D548" t="s">
        <v>1345</v>
      </c>
      <c r="E548" t="s">
        <v>579</v>
      </c>
      <c r="F548" t="b">
        <v>1</v>
      </c>
      <c r="G548">
        <v>99.93</v>
      </c>
      <c r="H548">
        <v>0</v>
      </c>
      <c r="I548">
        <v>8544</v>
      </c>
      <c r="J548" s="61" t="s">
        <v>13</v>
      </c>
      <c r="K548" t="s">
        <v>272</v>
      </c>
      <c r="L548">
        <v>3</v>
      </c>
      <c r="M548" t="s">
        <v>333</v>
      </c>
      <c r="N548" t="s">
        <v>278</v>
      </c>
      <c r="O548" t="s">
        <v>273</v>
      </c>
      <c r="P548" t="s">
        <v>371</v>
      </c>
      <c r="Q548" t="s">
        <v>371</v>
      </c>
      <c r="R548" t="s">
        <v>371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704</v>
      </c>
      <c r="AD548" t="s">
        <v>340</v>
      </c>
      <c r="AE548" t="s">
        <v>342</v>
      </c>
      <c r="AF548" t="s">
        <v>343</v>
      </c>
      <c r="AG548" t="s">
        <v>347</v>
      </c>
      <c r="AH548" s="17" t="s">
        <v>371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 t="s">
        <v>704</v>
      </c>
      <c r="AR548" t="s">
        <v>349</v>
      </c>
      <c r="AS548" t="s">
        <v>349</v>
      </c>
      <c r="AT548">
        <v>1</v>
      </c>
      <c r="AU548">
        <v>0</v>
      </c>
      <c r="AV548">
        <v>0</v>
      </c>
      <c r="AW548" t="s">
        <v>704</v>
      </c>
      <c r="AX548" t="s">
        <v>1234</v>
      </c>
      <c r="AY548" t="s">
        <v>293</v>
      </c>
      <c r="AZ548" t="s">
        <v>353</v>
      </c>
      <c r="BA548" t="s">
        <v>297</v>
      </c>
      <c r="BB548" t="s">
        <v>300</v>
      </c>
      <c r="BC548" t="s">
        <v>292</v>
      </c>
      <c r="BD548" t="s">
        <v>292</v>
      </c>
      <c r="BE548" t="s">
        <v>292</v>
      </c>
      <c r="BF548" t="s">
        <v>293</v>
      </c>
      <c r="BG548" t="s">
        <v>293</v>
      </c>
      <c r="BH548" t="s">
        <v>358</v>
      </c>
      <c r="BI548" t="s">
        <v>359</v>
      </c>
      <c r="BJ548" t="s">
        <v>359</v>
      </c>
      <c r="BK548" t="s">
        <v>293</v>
      </c>
      <c r="BL548" t="s">
        <v>293</v>
      </c>
      <c r="BM548" t="s">
        <v>297</v>
      </c>
      <c r="BN548" t="s">
        <v>298</v>
      </c>
      <c r="BO548" t="s">
        <v>293</v>
      </c>
      <c r="BP548" t="s">
        <v>292</v>
      </c>
      <c r="BQ548" t="s">
        <v>293</v>
      </c>
      <c r="BR548" t="s">
        <v>293</v>
      </c>
      <c r="BS548" t="s">
        <v>364</v>
      </c>
      <c r="BT548" t="s">
        <v>366</v>
      </c>
      <c r="BU548" t="s">
        <v>371</v>
      </c>
      <c r="BV548" t="s">
        <v>580</v>
      </c>
      <c r="BW548" t="str">
        <f t="shared" si="1"/>
        <v>https://dfp529wcvahka.cloudfront.net/ws/GalleryEntry/VeP9n/video_preview/CB0AVoI8.png</v>
      </c>
      <c r="BX548" t="str">
        <f>IF(J548="win",VLOOKUP(B548,ColorScheme!$A$2:$I$32,4,0),VLOOKUP(B548,ColorScheme!$A$2:$I$32,5,0))</f>
        <v>#000000</v>
      </c>
    </row>
    <row r="549" spans="1:76" x14ac:dyDescent="0.3">
      <c r="A549" t="s">
        <v>381</v>
      </c>
      <c r="B549" t="s">
        <v>1344</v>
      </c>
      <c r="C549" t="s">
        <v>639</v>
      </c>
      <c r="D549" t="s">
        <v>1345</v>
      </c>
      <c r="E549" t="s">
        <v>639</v>
      </c>
      <c r="F549" t="b">
        <v>1</v>
      </c>
      <c r="G549">
        <v>100</v>
      </c>
      <c r="H549">
        <v>1</v>
      </c>
      <c r="I549">
        <v>11385</v>
      </c>
      <c r="J549" s="61" t="s">
        <v>18</v>
      </c>
      <c r="K549" t="s">
        <v>273</v>
      </c>
      <c r="L549">
        <v>2</v>
      </c>
      <c r="M549" t="s">
        <v>333</v>
      </c>
      <c r="N549" t="s">
        <v>278</v>
      </c>
      <c r="O549" t="s">
        <v>273</v>
      </c>
      <c r="P549" t="s">
        <v>371</v>
      </c>
      <c r="Q549" t="s">
        <v>371</v>
      </c>
      <c r="R549" t="s">
        <v>371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704</v>
      </c>
      <c r="AD549" t="s">
        <v>340</v>
      </c>
      <c r="AE549" t="s">
        <v>342</v>
      </c>
      <c r="AF549" t="s">
        <v>343</v>
      </c>
      <c r="AG549" t="s">
        <v>291</v>
      </c>
      <c r="AH549" s="17" t="s">
        <v>371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 t="s">
        <v>704</v>
      </c>
      <c r="AR549" t="s">
        <v>349</v>
      </c>
      <c r="AS549" t="s">
        <v>349</v>
      </c>
      <c r="AT549">
        <v>1</v>
      </c>
      <c r="AU549">
        <v>0</v>
      </c>
      <c r="AV549">
        <v>0</v>
      </c>
      <c r="AW549" t="s">
        <v>704</v>
      </c>
      <c r="AX549" t="s">
        <v>1238</v>
      </c>
      <c r="AY549" t="s">
        <v>292</v>
      </c>
      <c r="AZ549" t="s">
        <v>353</v>
      </c>
      <c r="BA549" t="s">
        <v>355</v>
      </c>
      <c r="BB549" t="s">
        <v>301</v>
      </c>
      <c r="BC549" t="s">
        <v>293</v>
      </c>
      <c r="BD549" t="s">
        <v>292</v>
      </c>
      <c r="BE549" t="s">
        <v>293</v>
      </c>
      <c r="BF549" t="s">
        <v>292</v>
      </c>
      <c r="BG549" t="s">
        <v>293</v>
      </c>
      <c r="BH549" t="s">
        <v>358</v>
      </c>
      <c r="BI549" t="s">
        <v>357</v>
      </c>
      <c r="BJ549" t="s">
        <v>302</v>
      </c>
      <c r="BK549" t="s">
        <v>293</v>
      </c>
      <c r="BL549" t="s">
        <v>293</v>
      </c>
      <c r="BM549" t="s">
        <v>296</v>
      </c>
      <c r="BN549" t="s">
        <v>356</v>
      </c>
      <c r="BO549" t="s">
        <v>293</v>
      </c>
      <c r="BP549" t="s">
        <v>292</v>
      </c>
      <c r="BQ549" t="s">
        <v>293</v>
      </c>
      <c r="BR549" t="s">
        <v>293</v>
      </c>
      <c r="BS549" t="s">
        <v>364</v>
      </c>
      <c r="BT549" t="s">
        <v>304</v>
      </c>
      <c r="BU549" t="s">
        <v>371</v>
      </c>
      <c r="BV549" t="s">
        <v>640</v>
      </c>
      <c r="BW549" t="str">
        <f t="shared" si="1"/>
        <v>https://dfp529wcvahka.cloudfront.net/ws/GalleryEntry/vMdWJ/video_preview/sSLCSjru.png</v>
      </c>
      <c r="BX549" t="str">
        <f>IF(J549="win",VLOOKUP(B549,ColorScheme!$A$2:$I$32,4,0),VLOOKUP(B549,ColorScheme!$A$2:$I$32,5,0))</f>
        <v>#00000050</v>
      </c>
    </row>
    <row r="550" spans="1:76" x14ac:dyDescent="0.3">
      <c r="A550" t="s">
        <v>381</v>
      </c>
      <c r="B550" t="s">
        <v>1344</v>
      </c>
      <c r="C550" t="s">
        <v>618</v>
      </c>
      <c r="D550" t="s">
        <v>1345</v>
      </c>
      <c r="E550" t="s">
        <v>618</v>
      </c>
      <c r="F550" t="b">
        <v>1</v>
      </c>
      <c r="G550">
        <v>94.15</v>
      </c>
      <c r="H550">
        <v>0</v>
      </c>
      <c r="I550">
        <v>28376</v>
      </c>
      <c r="J550" s="61" t="s">
        <v>13</v>
      </c>
      <c r="K550" t="s">
        <v>273</v>
      </c>
      <c r="L550">
        <v>2</v>
      </c>
      <c r="M550" t="s">
        <v>333</v>
      </c>
      <c r="N550" t="s">
        <v>278</v>
      </c>
      <c r="O550" t="s">
        <v>339</v>
      </c>
      <c r="P550" t="s">
        <v>273</v>
      </c>
      <c r="Q550" t="s">
        <v>371</v>
      </c>
      <c r="R550" t="s">
        <v>371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 t="s">
        <v>704</v>
      </c>
      <c r="AD550" t="s">
        <v>341</v>
      </c>
      <c r="AE550" t="s">
        <v>340</v>
      </c>
      <c r="AF550" t="s">
        <v>343</v>
      </c>
      <c r="AG550" t="s">
        <v>344</v>
      </c>
      <c r="AH550" s="17" t="s">
        <v>291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 t="s">
        <v>704</v>
      </c>
      <c r="AR550" t="s">
        <v>351</v>
      </c>
      <c r="AS550" t="s">
        <v>350</v>
      </c>
      <c r="AT550">
        <v>0</v>
      </c>
      <c r="AU550">
        <v>1</v>
      </c>
      <c r="AV550">
        <v>1</v>
      </c>
      <c r="AW550" t="s">
        <v>704</v>
      </c>
      <c r="AX550" t="s">
        <v>1339</v>
      </c>
      <c r="AY550" t="s">
        <v>293</v>
      </c>
      <c r="AZ550" t="s">
        <v>353</v>
      </c>
      <c r="BA550" t="s">
        <v>296</v>
      </c>
      <c r="BB550" t="s">
        <v>300</v>
      </c>
      <c r="BC550" t="s">
        <v>293</v>
      </c>
      <c r="BD550" t="s">
        <v>292</v>
      </c>
      <c r="BE550" t="s">
        <v>293</v>
      </c>
      <c r="BF550" t="s">
        <v>292</v>
      </c>
      <c r="BG550" t="s">
        <v>293</v>
      </c>
      <c r="BH550" t="s">
        <v>302</v>
      </c>
      <c r="BI550" t="s">
        <v>357</v>
      </c>
      <c r="BJ550" t="s">
        <v>302</v>
      </c>
      <c r="BK550" t="s">
        <v>293</v>
      </c>
      <c r="BL550" t="s">
        <v>293</v>
      </c>
      <c r="BM550" t="s">
        <v>296</v>
      </c>
      <c r="BN550" t="s">
        <v>356</v>
      </c>
      <c r="BO550" t="s">
        <v>293</v>
      </c>
      <c r="BP550" t="s">
        <v>292</v>
      </c>
      <c r="BQ550" t="s">
        <v>293</v>
      </c>
      <c r="BR550" t="s">
        <v>293</v>
      </c>
      <c r="BS550" t="s">
        <v>364</v>
      </c>
      <c r="BT550" t="s">
        <v>366</v>
      </c>
      <c r="BU550" t="s">
        <v>371</v>
      </c>
      <c r="BV550" t="s">
        <v>619</v>
      </c>
      <c r="BW550" t="str">
        <f t="shared" si="1"/>
        <v>https://dfp529wcvahka.cloudfront.net/ws/GalleryEntry/VPZgQ/video_preview/WzGD85Fi.png</v>
      </c>
      <c r="BX550" t="str">
        <f>IF(J550="win",VLOOKUP(B550,ColorScheme!$A$2:$I$32,4,0),VLOOKUP(B550,ColorScheme!$A$2:$I$32,5,0))</f>
        <v>#000000</v>
      </c>
    </row>
    <row r="551" spans="1:76" x14ac:dyDescent="0.3">
      <c r="A551" t="s">
        <v>381</v>
      </c>
      <c r="B551" t="s">
        <v>1344</v>
      </c>
      <c r="C551" t="s">
        <v>585</v>
      </c>
      <c r="D551" t="s">
        <v>1345</v>
      </c>
      <c r="E551" t="s">
        <v>585</v>
      </c>
      <c r="F551" t="b">
        <v>1</v>
      </c>
      <c r="G551">
        <v>100</v>
      </c>
      <c r="H551">
        <v>1</v>
      </c>
      <c r="I551">
        <v>8253</v>
      </c>
      <c r="J551" s="61" t="s">
        <v>13</v>
      </c>
      <c r="K551" t="s">
        <v>272</v>
      </c>
      <c r="L551">
        <v>3</v>
      </c>
      <c r="M551" t="s">
        <v>333</v>
      </c>
      <c r="N551" t="s">
        <v>279</v>
      </c>
      <c r="O551" t="s">
        <v>281</v>
      </c>
      <c r="P551" t="s">
        <v>283</v>
      </c>
      <c r="Q551" t="s">
        <v>338</v>
      </c>
      <c r="R551" t="s">
        <v>371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 t="s">
        <v>704</v>
      </c>
      <c r="AD551" t="s">
        <v>341</v>
      </c>
      <c r="AE551" t="s">
        <v>342</v>
      </c>
      <c r="AF551" t="s">
        <v>343</v>
      </c>
      <c r="AG551" t="s">
        <v>344</v>
      </c>
      <c r="AH551" s="17" t="s">
        <v>371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 t="s">
        <v>704</v>
      </c>
      <c r="AR551" t="s">
        <v>350</v>
      </c>
      <c r="AS551" t="s">
        <v>349</v>
      </c>
      <c r="AT551">
        <v>0</v>
      </c>
      <c r="AU551">
        <v>1</v>
      </c>
      <c r="AV551">
        <v>0</v>
      </c>
      <c r="AW551" t="s">
        <v>704</v>
      </c>
      <c r="AX551" t="s">
        <v>2942</v>
      </c>
      <c r="AY551" t="s">
        <v>293</v>
      </c>
      <c r="AZ551" t="s">
        <v>353</v>
      </c>
      <c r="BA551" t="s">
        <v>297</v>
      </c>
      <c r="BB551" t="s">
        <v>300</v>
      </c>
      <c r="BC551" t="s">
        <v>292</v>
      </c>
      <c r="BD551" t="s">
        <v>293</v>
      </c>
      <c r="BE551" t="s">
        <v>292</v>
      </c>
      <c r="BF551" t="s">
        <v>293</v>
      </c>
      <c r="BG551" t="s">
        <v>293</v>
      </c>
      <c r="BH551" t="s">
        <v>302</v>
      </c>
      <c r="BI551" t="s">
        <v>302</v>
      </c>
      <c r="BJ551" t="s">
        <v>359</v>
      </c>
      <c r="BK551" t="s">
        <v>293</v>
      </c>
      <c r="BL551" t="s">
        <v>293</v>
      </c>
      <c r="BM551" t="s">
        <v>297</v>
      </c>
      <c r="BN551" t="s">
        <v>298</v>
      </c>
      <c r="BO551" t="s">
        <v>293</v>
      </c>
      <c r="BP551" t="s">
        <v>292</v>
      </c>
      <c r="BQ551" t="s">
        <v>293</v>
      </c>
      <c r="BR551" t="s">
        <v>293</v>
      </c>
      <c r="BS551" t="s">
        <v>364</v>
      </c>
      <c r="BT551" t="s">
        <v>304</v>
      </c>
      <c r="BU551" t="s">
        <v>371</v>
      </c>
      <c r="BV551" t="s">
        <v>586</v>
      </c>
      <c r="BW551" t="str">
        <f t="shared" si="1"/>
        <v>https://dfp529wcvahka.cloudfront.net/ws/GalleryEntry/W4k0O/video_preview/gthr8zLg.png</v>
      </c>
      <c r="BX551" t="str">
        <f>IF(J551="win",VLOOKUP(B551,ColorScheme!$A$2:$I$32,4,0),VLOOKUP(B551,ColorScheme!$A$2:$I$32,5,0))</f>
        <v>#000000</v>
      </c>
    </row>
    <row r="552" spans="1:76" x14ac:dyDescent="0.3">
      <c r="A552" t="s">
        <v>381</v>
      </c>
      <c r="B552" t="s">
        <v>1344</v>
      </c>
      <c r="C552" t="s">
        <v>615</v>
      </c>
      <c r="D552" t="s">
        <v>1345</v>
      </c>
      <c r="E552" t="s">
        <v>615</v>
      </c>
      <c r="F552" t="b">
        <v>1</v>
      </c>
      <c r="G552">
        <v>94.5</v>
      </c>
      <c r="H552">
        <v>0</v>
      </c>
      <c r="I552">
        <v>6829</v>
      </c>
      <c r="J552" s="61" t="s">
        <v>13</v>
      </c>
      <c r="K552" t="s">
        <v>272</v>
      </c>
      <c r="L552">
        <v>3</v>
      </c>
      <c r="M552" t="s">
        <v>333</v>
      </c>
      <c r="N552" t="s">
        <v>279</v>
      </c>
      <c r="O552" t="s">
        <v>281</v>
      </c>
      <c r="P552" t="s">
        <v>282</v>
      </c>
      <c r="Q552" t="s">
        <v>371</v>
      </c>
      <c r="R552" t="s">
        <v>371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704</v>
      </c>
      <c r="AD552" t="s">
        <v>341</v>
      </c>
      <c r="AE552" t="s">
        <v>340</v>
      </c>
      <c r="AF552" t="s">
        <v>343</v>
      </c>
      <c r="AG552" t="s">
        <v>345</v>
      </c>
      <c r="AH552" s="17" t="s">
        <v>371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 t="s">
        <v>704</v>
      </c>
      <c r="AR552" t="s">
        <v>350</v>
      </c>
      <c r="AS552" t="s">
        <v>349</v>
      </c>
      <c r="AT552">
        <v>0</v>
      </c>
      <c r="AU552">
        <v>1</v>
      </c>
      <c r="AV552">
        <v>0</v>
      </c>
      <c r="AW552" t="s">
        <v>704</v>
      </c>
      <c r="AX552" t="s">
        <v>2924</v>
      </c>
      <c r="AY552" t="s">
        <v>293</v>
      </c>
      <c r="AZ552" t="s">
        <v>353</v>
      </c>
      <c r="BA552" t="s">
        <v>297</v>
      </c>
      <c r="BB552" t="s">
        <v>299</v>
      </c>
      <c r="BC552" t="s">
        <v>292</v>
      </c>
      <c r="BD552" t="s">
        <v>293</v>
      </c>
      <c r="BE552" t="s">
        <v>292</v>
      </c>
      <c r="BF552" t="s">
        <v>293</v>
      </c>
      <c r="BG552" t="s">
        <v>293</v>
      </c>
      <c r="BH552" t="s">
        <v>302</v>
      </c>
      <c r="BI552" t="s">
        <v>302</v>
      </c>
      <c r="BJ552" t="s">
        <v>359</v>
      </c>
      <c r="BK552" t="s">
        <v>293</v>
      </c>
      <c r="BL552" t="s">
        <v>293</v>
      </c>
      <c r="BM552" t="s">
        <v>297</v>
      </c>
      <c r="BN552" t="s">
        <v>298</v>
      </c>
      <c r="BO552" t="s">
        <v>293</v>
      </c>
      <c r="BP552" t="s">
        <v>292</v>
      </c>
      <c r="BQ552" t="s">
        <v>293</v>
      </c>
      <c r="BR552" t="s">
        <v>293</v>
      </c>
      <c r="BS552" t="s">
        <v>364</v>
      </c>
      <c r="BT552" t="s">
        <v>366</v>
      </c>
      <c r="BU552" t="s">
        <v>371</v>
      </c>
      <c r="BV552" t="s">
        <v>616</v>
      </c>
      <c r="BW552" t="str">
        <f t="shared" si="1"/>
        <v>https://dfp529wcvahka.cloudfront.net/ws/GalleryEntry/W7DY1/video_preview/G7wXe8T3.png</v>
      </c>
      <c r="BX552" t="str">
        <f>IF(J552="win",VLOOKUP(B552,ColorScheme!$A$2:$I$32,4,0),VLOOKUP(B552,ColorScheme!$A$2:$I$32,5,0))</f>
        <v>#000000</v>
      </c>
    </row>
    <row r="553" spans="1:76" x14ac:dyDescent="0.3">
      <c r="A553" t="s">
        <v>381</v>
      </c>
      <c r="B553" t="s">
        <v>1344</v>
      </c>
      <c r="C553" t="s">
        <v>447</v>
      </c>
      <c r="D553" t="s">
        <v>1345</v>
      </c>
      <c r="E553" t="s">
        <v>447</v>
      </c>
      <c r="F553" t="b">
        <v>1</v>
      </c>
      <c r="G553">
        <v>99.9</v>
      </c>
      <c r="H553">
        <v>0</v>
      </c>
      <c r="I553">
        <v>13100</v>
      </c>
      <c r="J553" s="61" t="s">
        <v>13</v>
      </c>
      <c r="K553" t="s">
        <v>272</v>
      </c>
      <c r="L553">
        <v>3</v>
      </c>
      <c r="M553" t="s">
        <v>277</v>
      </c>
      <c r="N553" t="s">
        <v>335</v>
      </c>
      <c r="O553" t="s">
        <v>282</v>
      </c>
      <c r="P553" t="s">
        <v>371</v>
      </c>
      <c r="Q553" t="s">
        <v>371</v>
      </c>
      <c r="R553" t="s">
        <v>371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704</v>
      </c>
      <c r="AD553" t="s">
        <v>341</v>
      </c>
      <c r="AE553" t="s">
        <v>342</v>
      </c>
      <c r="AF553" t="s">
        <v>343</v>
      </c>
      <c r="AG553" t="s">
        <v>345</v>
      </c>
      <c r="AH553" s="17" t="s">
        <v>371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 t="s">
        <v>704</v>
      </c>
      <c r="AR553" t="s">
        <v>349</v>
      </c>
      <c r="AS553" t="s">
        <v>349</v>
      </c>
      <c r="AT553">
        <v>1</v>
      </c>
      <c r="AU553">
        <v>0</v>
      </c>
      <c r="AV553">
        <v>0</v>
      </c>
      <c r="AW553" t="s">
        <v>704</v>
      </c>
      <c r="AX553" t="s">
        <v>1232</v>
      </c>
      <c r="AY553" t="s">
        <v>293</v>
      </c>
      <c r="AZ553" t="s">
        <v>353</v>
      </c>
      <c r="BA553" t="s">
        <v>297</v>
      </c>
      <c r="BB553" t="s">
        <v>300</v>
      </c>
      <c r="BC553" t="s">
        <v>292</v>
      </c>
      <c r="BD553" t="s">
        <v>293</v>
      </c>
      <c r="BE553" t="s">
        <v>292</v>
      </c>
      <c r="BF553" t="s">
        <v>293</v>
      </c>
      <c r="BG553" t="s">
        <v>293</v>
      </c>
      <c r="BH553" t="s">
        <v>302</v>
      </c>
      <c r="BI553" t="s">
        <v>302</v>
      </c>
      <c r="BJ553" t="s">
        <v>359</v>
      </c>
      <c r="BK553" t="s">
        <v>293</v>
      </c>
      <c r="BL553" t="s">
        <v>293</v>
      </c>
      <c r="BM553" t="s">
        <v>297</v>
      </c>
      <c r="BN553" t="s">
        <v>298</v>
      </c>
      <c r="BO553" t="s">
        <v>293</v>
      </c>
      <c r="BP553" t="s">
        <v>292</v>
      </c>
      <c r="BQ553" t="s">
        <v>362</v>
      </c>
      <c r="BR553" t="s">
        <v>293</v>
      </c>
      <c r="BS553" t="s">
        <v>364</v>
      </c>
      <c r="BT553" t="s">
        <v>366</v>
      </c>
      <c r="BU553" t="s">
        <v>371</v>
      </c>
      <c r="BV553" t="s">
        <v>448</v>
      </c>
      <c r="BW553" t="str">
        <f t="shared" si="1"/>
        <v>https://dfp529wcvahka.cloudfront.net/ws/GalleryEntry/W7PGq/video_preview/fGZMf6nh.png</v>
      </c>
      <c r="BX553" t="str">
        <f>IF(J553="win",VLOOKUP(B553,ColorScheme!$A$2:$I$32,4,0),VLOOKUP(B553,ColorScheme!$A$2:$I$32,5,0))</f>
        <v>#000000</v>
      </c>
    </row>
    <row r="554" spans="1:76" x14ac:dyDescent="0.3">
      <c r="A554" t="s">
        <v>381</v>
      </c>
      <c r="B554" t="s">
        <v>1344</v>
      </c>
      <c r="C554" t="s">
        <v>459</v>
      </c>
      <c r="D554" t="s">
        <v>1345</v>
      </c>
      <c r="E554" t="s">
        <v>459</v>
      </c>
      <c r="F554" t="b">
        <v>1</v>
      </c>
      <c r="G554">
        <v>95.8</v>
      </c>
      <c r="H554">
        <v>0</v>
      </c>
      <c r="I554">
        <v>8533</v>
      </c>
      <c r="J554" s="61" t="s">
        <v>13</v>
      </c>
      <c r="K554" t="s">
        <v>272</v>
      </c>
      <c r="L554">
        <v>3</v>
      </c>
      <c r="M554" t="s">
        <v>277</v>
      </c>
      <c r="N554" t="s">
        <v>335</v>
      </c>
      <c r="O554" t="s">
        <v>282</v>
      </c>
      <c r="P554" t="s">
        <v>371</v>
      </c>
      <c r="Q554" t="s">
        <v>371</v>
      </c>
      <c r="R554" t="s">
        <v>371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704</v>
      </c>
      <c r="AD554" t="s">
        <v>341</v>
      </c>
      <c r="AE554" t="s">
        <v>342</v>
      </c>
      <c r="AF554" t="s">
        <v>343</v>
      </c>
      <c r="AG554" t="s">
        <v>345</v>
      </c>
      <c r="AH554" s="17" t="s">
        <v>371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 t="s">
        <v>704</v>
      </c>
      <c r="AR554" t="s">
        <v>349</v>
      </c>
      <c r="AS554" t="s">
        <v>349</v>
      </c>
      <c r="AT554">
        <v>1</v>
      </c>
      <c r="AU554">
        <v>0</v>
      </c>
      <c r="AV554">
        <v>0</v>
      </c>
      <c r="AW554" t="s">
        <v>704</v>
      </c>
      <c r="AX554" t="s">
        <v>1232</v>
      </c>
      <c r="AY554" t="s">
        <v>293</v>
      </c>
      <c r="AZ554" t="s">
        <v>353</v>
      </c>
      <c r="BA554" t="s">
        <v>297</v>
      </c>
      <c r="BB554" t="s">
        <v>300</v>
      </c>
      <c r="BC554" t="s">
        <v>292</v>
      </c>
      <c r="BD554" t="s">
        <v>293</v>
      </c>
      <c r="BE554" t="s">
        <v>292</v>
      </c>
      <c r="BF554" t="s">
        <v>293</v>
      </c>
      <c r="BG554" t="s">
        <v>293</v>
      </c>
      <c r="BH554" t="s">
        <v>302</v>
      </c>
      <c r="BI554" t="s">
        <v>302</v>
      </c>
      <c r="BJ554" t="s">
        <v>359</v>
      </c>
      <c r="BK554" t="s">
        <v>293</v>
      </c>
      <c r="BL554" t="s">
        <v>293</v>
      </c>
      <c r="BM554" t="s">
        <v>297</v>
      </c>
      <c r="BN554" t="s">
        <v>298</v>
      </c>
      <c r="BO554" t="s">
        <v>293</v>
      </c>
      <c r="BP554" t="s">
        <v>292</v>
      </c>
      <c r="BQ554" t="s">
        <v>293</v>
      </c>
      <c r="BR554" t="s">
        <v>293</v>
      </c>
      <c r="BS554" t="s">
        <v>364</v>
      </c>
      <c r="BT554" t="s">
        <v>366</v>
      </c>
      <c r="BU554" t="s">
        <v>371</v>
      </c>
      <c r="BV554" t="s">
        <v>460</v>
      </c>
      <c r="BW554" t="str">
        <f t="shared" si="1"/>
        <v>https://dfp529wcvahka.cloudfront.net/ws/GalleryEntry/w87kx/video_preview/gJ8cO9Rb.png</v>
      </c>
      <c r="BX554" t="str">
        <f>IF(J554="win",VLOOKUP(B554,ColorScheme!$A$2:$I$32,4,0),VLOOKUP(B554,ColorScheme!$A$2:$I$32,5,0))</f>
        <v>#000000</v>
      </c>
    </row>
    <row r="555" spans="1:76" x14ac:dyDescent="0.3">
      <c r="A555" t="s">
        <v>381</v>
      </c>
      <c r="B555" t="s">
        <v>1344</v>
      </c>
      <c r="C555" t="s">
        <v>657</v>
      </c>
      <c r="D555" t="s">
        <v>1345</v>
      </c>
      <c r="E555" t="s">
        <v>657</v>
      </c>
      <c r="F555" t="b">
        <v>1</v>
      </c>
      <c r="G555">
        <v>99.9</v>
      </c>
      <c r="H555">
        <v>0</v>
      </c>
      <c r="I555">
        <v>13156</v>
      </c>
      <c r="J555" s="61" t="s">
        <v>13</v>
      </c>
      <c r="K555" t="s">
        <v>272</v>
      </c>
      <c r="L555">
        <v>3</v>
      </c>
      <c r="M555" t="s">
        <v>333</v>
      </c>
      <c r="N555" t="s">
        <v>278</v>
      </c>
      <c r="O555" t="s">
        <v>281</v>
      </c>
      <c r="P555" t="s">
        <v>283</v>
      </c>
      <c r="Q555" t="s">
        <v>371</v>
      </c>
      <c r="R555" t="s">
        <v>371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704</v>
      </c>
      <c r="AD555" t="s">
        <v>341</v>
      </c>
      <c r="AE555" t="s">
        <v>340</v>
      </c>
      <c r="AF555" t="s">
        <v>343</v>
      </c>
      <c r="AG555" t="s">
        <v>377</v>
      </c>
      <c r="AH555" s="17" t="s">
        <v>371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 t="s">
        <v>704</v>
      </c>
      <c r="AR555" t="s">
        <v>349</v>
      </c>
      <c r="AS555" t="s">
        <v>349</v>
      </c>
      <c r="AT555">
        <v>1</v>
      </c>
      <c r="AU555">
        <v>0</v>
      </c>
      <c r="AV555">
        <v>0</v>
      </c>
      <c r="AW555" t="s">
        <v>704</v>
      </c>
      <c r="AX555" t="s">
        <v>1340</v>
      </c>
      <c r="AY555" t="s">
        <v>293</v>
      </c>
      <c r="AZ555" t="s">
        <v>353</v>
      </c>
      <c r="BA555" t="s">
        <v>296</v>
      </c>
      <c r="BB555" t="s">
        <v>300</v>
      </c>
      <c r="BC555" t="s">
        <v>292</v>
      </c>
      <c r="BD555" t="s">
        <v>293</v>
      </c>
      <c r="BE555" t="s">
        <v>293</v>
      </c>
      <c r="BF555" t="s">
        <v>292</v>
      </c>
      <c r="BG555" t="s">
        <v>293</v>
      </c>
      <c r="BH555" t="s">
        <v>302</v>
      </c>
      <c r="BI555" t="s">
        <v>359</v>
      </c>
      <c r="BJ555" t="s">
        <v>359</v>
      </c>
      <c r="BK555" t="s">
        <v>293</v>
      </c>
      <c r="BL555" t="s">
        <v>293</v>
      </c>
      <c r="BM555" t="s">
        <v>296</v>
      </c>
      <c r="BN555" t="s">
        <v>298</v>
      </c>
      <c r="BO555" t="s">
        <v>293</v>
      </c>
      <c r="BP555" t="s">
        <v>292</v>
      </c>
      <c r="BQ555" t="s">
        <v>293</v>
      </c>
      <c r="BR555" t="s">
        <v>293</v>
      </c>
      <c r="BS555" t="s">
        <v>364</v>
      </c>
      <c r="BT555" t="s">
        <v>366</v>
      </c>
      <c r="BU555" t="s">
        <v>371</v>
      </c>
      <c r="BV555" t="s">
        <v>658</v>
      </c>
      <c r="BW555" t="str">
        <f t="shared" si="1"/>
        <v>https://dfp529wcvahka.cloudfront.net/ws/GalleryEntry/x3yyd/video_preview/8ik1RITJ.png</v>
      </c>
      <c r="BX555" t="str">
        <f>IF(J555="win",VLOOKUP(B555,ColorScheme!$A$2:$I$32,4,0),VLOOKUP(B555,ColorScheme!$A$2:$I$32,5,0))</f>
        <v>#000000</v>
      </c>
    </row>
    <row r="556" spans="1:76" x14ac:dyDescent="0.3">
      <c r="A556" t="s">
        <v>381</v>
      </c>
      <c r="B556" t="s">
        <v>1344</v>
      </c>
      <c r="C556" t="s">
        <v>654</v>
      </c>
      <c r="D556" t="s">
        <v>1345</v>
      </c>
      <c r="E556" t="s">
        <v>654</v>
      </c>
      <c r="F556" t="b">
        <v>1</v>
      </c>
      <c r="G556">
        <v>99.7</v>
      </c>
      <c r="H556">
        <v>0</v>
      </c>
      <c r="I556">
        <v>8637</v>
      </c>
      <c r="J556" s="61" t="s">
        <v>13</v>
      </c>
      <c r="K556" t="s">
        <v>272</v>
      </c>
      <c r="L556">
        <v>3</v>
      </c>
      <c r="M556" t="s">
        <v>277</v>
      </c>
      <c r="N556" t="s">
        <v>335</v>
      </c>
      <c r="O556" t="s">
        <v>282</v>
      </c>
      <c r="P556" t="s">
        <v>371</v>
      </c>
      <c r="Q556" t="s">
        <v>371</v>
      </c>
      <c r="R556" t="s">
        <v>371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704</v>
      </c>
      <c r="AD556" t="s">
        <v>341</v>
      </c>
      <c r="AE556" t="s">
        <v>342</v>
      </c>
      <c r="AF556" t="s">
        <v>343</v>
      </c>
      <c r="AG556" t="s">
        <v>345</v>
      </c>
      <c r="AH556" s="17" t="s">
        <v>371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 t="s">
        <v>704</v>
      </c>
      <c r="AR556" t="s">
        <v>349</v>
      </c>
      <c r="AS556" t="s">
        <v>349</v>
      </c>
      <c r="AT556">
        <v>1</v>
      </c>
      <c r="AU556">
        <v>0</v>
      </c>
      <c r="AV556">
        <v>0</v>
      </c>
      <c r="AW556" t="s">
        <v>704</v>
      </c>
      <c r="AX556" t="s">
        <v>1232</v>
      </c>
      <c r="AY556" t="s">
        <v>293</v>
      </c>
      <c r="AZ556" t="s">
        <v>353</v>
      </c>
      <c r="BA556" t="s">
        <v>297</v>
      </c>
      <c r="BB556" t="s">
        <v>300</v>
      </c>
      <c r="BC556" t="s">
        <v>292</v>
      </c>
      <c r="BD556" t="s">
        <v>293</v>
      </c>
      <c r="BE556" t="s">
        <v>292</v>
      </c>
      <c r="BF556" t="s">
        <v>293</v>
      </c>
      <c r="BG556" t="s">
        <v>293</v>
      </c>
      <c r="BH556" t="s">
        <v>302</v>
      </c>
      <c r="BI556" t="s">
        <v>302</v>
      </c>
      <c r="BJ556" t="s">
        <v>359</v>
      </c>
      <c r="BK556" t="s">
        <v>293</v>
      </c>
      <c r="BL556" t="s">
        <v>293</v>
      </c>
      <c r="BM556" t="s">
        <v>297</v>
      </c>
      <c r="BN556" t="s">
        <v>298</v>
      </c>
      <c r="BO556" t="s">
        <v>293</v>
      </c>
      <c r="BP556" t="s">
        <v>292</v>
      </c>
      <c r="BQ556" t="s">
        <v>362</v>
      </c>
      <c r="BR556" t="s">
        <v>293</v>
      </c>
      <c r="BS556" t="s">
        <v>364</v>
      </c>
      <c r="BT556" t="s">
        <v>366</v>
      </c>
      <c r="BU556" t="s">
        <v>371</v>
      </c>
      <c r="BV556" t="s">
        <v>655</v>
      </c>
      <c r="BW556" t="str">
        <f t="shared" si="1"/>
        <v>https://dfp529wcvahka.cloudfront.net/ws/GalleryEntry/xNzX1/video_preview/LAVJIWd2.png</v>
      </c>
      <c r="BX556" t="str">
        <f>IF(J556="win",VLOOKUP(B556,ColorScheme!$A$2:$I$32,4,0),VLOOKUP(B556,ColorScheme!$A$2:$I$32,5,0))</f>
        <v>#000000</v>
      </c>
    </row>
    <row r="557" spans="1:76" x14ac:dyDescent="0.3">
      <c r="A557" t="s">
        <v>381</v>
      </c>
      <c r="B557" t="s">
        <v>1344</v>
      </c>
      <c r="C557" t="s">
        <v>603</v>
      </c>
      <c r="D557" t="s">
        <v>1345</v>
      </c>
      <c r="E557" t="s">
        <v>603</v>
      </c>
      <c r="F557" t="b">
        <v>1</v>
      </c>
      <c r="G557">
        <v>100</v>
      </c>
      <c r="H557">
        <v>1</v>
      </c>
      <c r="I557">
        <v>22880</v>
      </c>
      <c r="J557" s="61" t="s">
        <v>13</v>
      </c>
      <c r="K557" t="s">
        <v>272</v>
      </c>
      <c r="L557">
        <v>3</v>
      </c>
      <c r="M557" t="s">
        <v>277</v>
      </c>
      <c r="N557" t="s">
        <v>335</v>
      </c>
      <c r="O557" t="s">
        <v>273</v>
      </c>
      <c r="P557" t="s">
        <v>282</v>
      </c>
      <c r="Q557" t="s">
        <v>371</v>
      </c>
      <c r="R557" t="s">
        <v>371</v>
      </c>
      <c r="S557">
        <v>0</v>
      </c>
      <c r="T557">
        <v>1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704</v>
      </c>
      <c r="AD557" t="s">
        <v>340</v>
      </c>
      <c r="AE557" t="s">
        <v>342</v>
      </c>
      <c r="AF557" t="s">
        <v>343</v>
      </c>
      <c r="AG557" t="s">
        <v>291</v>
      </c>
      <c r="AH557" s="17" t="s">
        <v>371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 t="s">
        <v>704</v>
      </c>
      <c r="AR557" t="s">
        <v>349</v>
      </c>
      <c r="AS557" t="s">
        <v>349</v>
      </c>
      <c r="AT557">
        <v>1</v>
      </c>
      <c r="AU557">
        <v>0</v>
      </c>
      <c r="AV557">
        <v>0</v>
      </c>
      <c r="AW557" t="s">
        <v>704</v>
      </c>
      <c r="AX557" t="s">
        <v>1341</v>
      </c>
      <c r="AY557" t="s">
        <v>293</v>
      </c>
      <c r="AZ557" t="s">
        <v>353</v>
      </c>
      <c r="BA557" t="s">
        <v>296</v>
      </c>
      <c r="BB557" t="s">
        <v>301</v>
      </c>
      <c r="BC557" t="s">
        <v>292</v>
      </c>
      <c r="BD557" t="s">
        <v>293</v>
      </c>
      <c r="BE557" t="s">
        <v>293</v>
      </c>
      <c r="BF557" t="s">
        <v>292</v>
      </c>
      <c r="BG557" t="s">
        <v>293</v>
      </c>
      <c r="BH557" t="s">
        <v>302</v>
      </c>
      <c r="BI557" t="s">
        <v>302</v>
      </c>
      <c r="BJ557" t="s">
        <v>359</v>
      </c>
      <c r="BK557" t="s">
        <v>293</v>
      </c>
      <c r="BL557" t="s">
        <v>293</v>
      </c>
      <c r="BM557" t="s">
        <v>296</v>
      </c>
      <c r="BN557" t="s">
        <v>298</v>
      </c>
      <c r="BO557" t="s">
        <v>293</v>
      </c>
      <c r="BP557" t="s">
        <v>292</v>
      </c>
      <c r="BQ557" t="s">
        <v>293</v>
      </c>
      <c r="BR557" t="s">
        <v>293</v>
      </c>
      <c r="BS557" t="s">
        <v>364</v>
      </c>
      <c r="BT557" t="s">
        <v>304</v>
      </c>
      <c r="BU557" t="s">
        <v>371</v>
      </c>
      <c r="BV557" t="s">
        <v>604</v>
      </c>
      <c r="BW557" t="str">
        <f t="shared" si="1"/>
        <v>https://dfp529wcvahka.cloudfront.net/ws/GalleryEntry/Y3pP2/video_preview/STiD0XCf.png</v>
      </c>
      <c r="BX557" t="str">
        <f>IF(J557="win",VLOOKUP(B557,ColorScheme!$A$2:$I$32,4,0),VLOOKUP(B557,ColorScheme!$A$2:$I$32,5,0))</f>
        <v>#000000</v>
      </c>
    </row>
    <row r="558" spans="1:76" x14ac:dyDescent="0.3">
      <c r="A558" t="s">
        <v>381</v>
      </c>
      <c r="B558" t="s">
        <v>1344</v>
      </c>
      <c r="C558" t="s">
        <v>552</v>
      </c>
      <c r="D558" t="s">
        <v>1345</v>
      </c>
      <c r="E558" t="s">
        <v>552</v>
      </c>
      <c r="F558" t="b">
        <v>1</v>
      </c>
      <c r="G558">
        <v>99.6</v>
      </c>
      <c r="H558">
        <v>0</v>
      </c>
      <c r="I558">
        <v>7923</v>
      </c>
      <c r="J558" s="61" t="s">
        <v>13</v>
      </c>
      <c r="K558" t="s">
        <v>272</v>
      </c>
      <c r="L558">
        <v>3</v>
      </c>
      <c r="M558" t="s">
        <v>277</v>
      </c>
      <c r="N558" t="s">
        <v>335</v>
      </c>
      <c r="O558" t="s">
        <v>281</v>
      </c>
      <c r="P558" t="s">
        <v>283</v>
      </c>
      <c r="Q558" t="s">
        <v>282</v>
      </c>
      <c r="R558" t="s">
        <v>371</v>
      </c>
      <c r="S558">
        <v>1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704</v>
      </c>
      <c r="AD558" t="s">
        <v>341</v>
      </c>
      <c r="AE558" t="s">
        <v>340</v>
      </c>
      <c r="AF558" t="s">
        <v>343</v>
      </c>
      <c r="AG558" t="s">
        <v>345</v>
      </c>
      <c r="AH558" s="17" t="s">
        <v>371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 t="s">
        <v>704</v>
      </c>
      <c r="AR558" t="s">
        <v>349</v>
      </c>
      <c r="AS558" t="s">
        <v>349</v>
      </c>
      <c r="AT558">
        <v>1</v>
      </c>
      <c r="AU558">
        <v>0</v>
      </c>
      <c r="AV558">
        <v>0</v>
      </c>
      <c r="AW558" t="s">
        <v>704</v>
      </c>
      <c r="AX558" t="s">
        <v>1278</v>
      </c>
      <c r="AY558" t="s">
        <v>293</v>
      </c>
      <c r="AZ558" t="s">
        <v>353</v>
      </c>
      <c r="BA558" t="s">
        <v>297</v>
      </c>
      <c r="BB558" t="s">
        <v>299</v>
      </c>
      <c r="BC558" t="s">
        <v>292</v>
      </c>
      <c r="BD558" t="s">
        <v>293</v>
      </c>
      <c r="BE558" t="s">
        <v>292</v>
      </c>
      <c r="BF558" t="s">
        <v>293</v>
      </c>
      <c r="BG558" t="s">
        <v>293</v>
      </c>
      <c r="BH558" t="s">
        <v>302</v>
      </c>
      <c r="BI558" t="s">
        <v>302</v>
      </c>
      <c r="BJ558" t="s">
        <v>359</v>
      </c>
      <c r="BK558" t="s">
        <v>293</v>
      </c>
      <c r="BL558" t="s">
        <v>293</v>
      </c>
      <c r="BM558" t="s">
        <v>297</v>
      </c>
      <c r="BN558" t="s">
        <v>298</v>
      </c>
      <c r="BO558" t="s">
        <v>293</v>
      </c>
      <c r="BP558" t="s">
        <v>292</v>
      </c>
      <c r="BQ558" t="s">
        <v>362</v>
      </c>
      <c r="BR558" t="s">
        <v>293</v>
      </c>
      <c r="BS558" t="s">
        <v>364</v>
      </c>
      <c r="BT558" t="s">
        <v>366</v>
      </c>
      <c r="BU558" t="s">
        <v>371</v>
      </c>
      <c r="BV558" t="s">
        <v>553</v>
      </c>
      <c r="BW558" t="str">
        <f t="shared" si="1"/>
        <v>https://dfp529wcvahka.cloudfront.net/ws/GalleryEntry/Z38De/video_preview/v0tTCoha.png</v>
      </c>
      <c r="BX558" t="str">
        <f>IF(J558="win",VLOOKUP(B558,ColorScheme!$A$2:$I$32,4,0),VLOOKUP(B558,ColorScheme!$A$2:$I$32,5,0))</f>
        <v>#000000</v>
      </c>
    </row>
    <row r="559" spans="1:76" x14ac:dyDescent="0.3">
      <c r="A559" t="s">
        <v>381</v>
      </c>
      <c r="B559" t="s">
        <v>1344</v>
      </c>
      <c r="C559" t="s">
        <v>648</v>
      </c>
      <c r="D559" t="s">
        <v>1345</v>
      </c>
      <c r="E559" t="s">
        <v>648</v>
      </c>
      <c r="F559" t="b">
        <v>1</v>
      </c>
      <c r="G559">
        <v>94.9</v>
      </c>
      <c r="H559">
        <v>0</v>
      </c>
      <c r="I559">
        <v>11642</v>
      </c>
      <c r="J559" s="61" t="s">
        <v>13</v>
      </c>
      <c r="K559" t="s">
        <v>272</v>
      </c>
      <c r="L559">
        <v>3</v>
      </c>
      <c r="M559" t="s">
        <v>277</v>
      </c>
      <c r="N559" t="s">
        <v>335</v>
      </c>
      <c r="O559" t="s">
        <v>273</v>
      </c>
      <c r="P559" t="s">
        <v>282</v>
      </c>
      <c r="Q559" t="s">
        <v>371</v>
      </c>
      <c r="R559" t="s">
        <v>371</v>
      </c>
      <c r="S559">
        <v>0</v>
      </c>
      <c r="T559">
        <v>1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704</v>
      </c>
      <c r="AD559" t="s">
        <v>341</v>
      </c>
      <c r="AE559" t="s">
        <v>342</v>
      </c>
      <c r="AF559" t="s">
        <v>343</v>
      </c>
      <c r="AG559" t="s">
        <v>344</v>
      </c>
      <c r="AH559" s="17" t="s">
        <v>345</v>
      </c>
      <c r="AI559">
        <v>1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704</v>
      </c>
      <c r="AR559" t="s">
        <v>349</v>
      </c>
      <c r="AS559" t="s">
        <v>349</v>
      </c>
      <c r="AT559">
        <v>1</v>
      </c>
      <c r="AU559">
        <v>0</v>
      </c>
      <c r="AV559">
        <v>0</v>
      </c>
      <c r="AW559" t="s">
        <v>704</v>
      </c>
      <c r="AX559" t="s">
        <v>1342</v>
      </c>
      <c r="AY559" t="s">
        <v>293</v>
      </c>
      <c r="AZ559" t="s">
        <v>353</v>
      </c>
      <c r="BA559" t="s">
        <v>297</v>
      </c>
      <c r="BB559" t="s">
        <v>299</v>
      </c>
      <c r="BC559" t="s">
        <v>292</v>
      </c>
      <c r="BD559" t="s">
        <v>293</v>
      </c>
      <c r="BE559" t="s">
        <v>292</v>
      </c>
      <c r="BF559" t="s">
        <v>292</v>
      </c>
      <c r="BG559" t="s">
        <v>293</v>
      </c>
      <c r="BH559" t="s">
        <v>302</v>
      </c>
      <c r="BI559" t="s">
        <v>302</v>
      </c>
      <c r="BJ559" t="s">
        <v>359</v>
      </c>
      <c r="BK559" t="s">
        <v>293</v>
      </c>
      <c r="BL559" t="s">
        <v>293</v>
      </c>
      <c r="BM559" t="s">
        <v>297</v>
      </c>
      <c r="BN559" t="s">
        <v>298</v>
      </c>
      <c r="BO559" t="s">
        <v>293</v>
      </c>
      <c r="BP559" t="s">
        <v>292</v>
      </c>
      <c r="BQ559" t="s">
        <v>293</v>
      </c>
      <c r="BR559" t="s">
        <v>293</v>
      </c>
      <c r="BS559" t="s">
        <v>364</v>
      </c>
      <c r="BT559" t="s">
        <v>366</v>
      </c>
      <c r="BU559" t="s">
        <v>371</v>
      </c>
      <c r="BV559" t="s">
        <v>649</v>
      </c>
      <c r="BW559" t="str">
        <f t="shared" si="1"/>
        <v>https://dfp529wcvahka.cloudfront.net/ws/GalleryEntry/ZL8zX/video_preview/9XJSBhwM.png</v>
      </c>
      <c r="BX559" t="str">
        <f>IF(J559="win",VLOOKUP(B559,ColorScheme!$A$2:$I$32,4,0),VLOOKUP(B559,ColorScheme!$A$2:$I$32,5,0))</f>
        <v>#000000</v>
      </c>
    </row>
    <row r="560" spans="1:76" x14ac:dyDescent="0.3">
      <c r="A560" t="s">
        <v>381</v>
      </c>
      <c r="B560" t="s">
        <v>1344</v>
      </c>
      <c r="C560" t="s">
        <v>489</v>
      </c>
      <c r="D560" t="s">
        <v>1345</v>
      </c>
      <c r="E560" t="s">
        <v>489</v>
      </c>
      <c r="F560" t="b">
        <v>1</v>
      </c>
      <c r="G560">
        <v>80.8</v>
      </c>
      <c r="H560">
        <v>0</v>
      </c>
      <c r="I560">
        <v>24589</v>
      </c>
      <c r="J560" s="61" t="s">
        <v>13</v>
      </c>
      <c r="K560" t="s">
        <v>272</v>
      </c>
      <c r="L560">
        <v>2</v>
      </c>
      <c r="M560" t="s">
        <v>277</v>
      </c>
      <c r="N560" t="s">
        <v>335</v>
      </c>
      <c r="O560" t="s">
        <v>282</v>
      </c>
      <c r="P560" t="s">
        <v>371</v>
      </c>
      <c r="Q560" t="s">
        <v>371</v>
      </c>
      <c r="R560" t="s">
        <v>371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704</v>
      </c>
      <c r="AD560" t="s">
        <v>340</v>
      </c>
      <c r="AE560" t="s">
        <v>342</v>
      </c>
      <c r="AF560" t="s">
        <v>340</v>
      </c>
      <c r="AG560" t="s">
        <v>344</v>
      </c>
      <c r="AH560" s="17" t="s">
        <v>371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 t="s">
        <v>704</v>
      </c>
      <c r="AR560" t="s">
        <v>350</v>
      </c>
      <c r="AS560" t="s">
        <v>349</v>
      </c>
      <c r="AT560">
        <v>0</v>
      </c>
      <c r="AU560">
        <v>1</v>
      </c>
      <c r="AV560">
        <v>0</v>
      </c>
      <c r="AW560" t="s">
        <v>704</v>
      </c>
      <c r="AX560" t="s">
        <v>2918</v>
      </c>
      <c r="AY560" t="s">
        <v>293</v>
      </c>
      <c r="AZ560" t="s">
        <v>354</v>
      </c>
      <c r="BA560" t="s">
        <v>354</v>
      </c>
      <c r="BB560" t="s">
        <v>301</v>
      </c>
      <c r="BC560" t="s">
        <v>293</v>
      </c>
      <c r="BD560" t="s">
        <v>292</v>
      </c>
      <c r="BE560" t="s">
        <v>293</v>
      </c>
      <c r="BF560" t="s">
        <v>292</v>
      </c>
      <c r="BG560" t="s">
        <v>293</v>
      </c>
      <c r="BH560" t="s">
        <v>302</v>
      </c>
      <c r="BI560" t="s">
        <v>302</v>
      </c>
      <c r="BJ560" t="s">
        <v>357</v>
      </c>
      <c r="BK560" t="s">
        <v>293</v>
      </c>
      <c r="BL560" t="s">
        <v>293</v>
      </c>
      <c r="BM560" t="s">
        <v>296</v>
      </c>
      <c r="BN560" t="s">
        <v>356</v>
      </c>
      <c r="BO560" t="s">
        <v>293</v>
      </c>
      <c r="BP560" t="s">
        <v>292</v>
      </c>
      <c r="BQ560" t="s">
        <v>293</v>
      </c>
      <c r="BR560" t="s">
        <v>293</v>
      </c>
      <c r="BS560" t="s">
        <v>364</v>
      </c>
      <c r="BT560" t="s">
        <v>366</v>
      </c>
      <c r="BU560" t="s">
        <v>371</v>
      </c>
      <c r="BV560" t="s">
        <v>490</v>
      </c>
      <c r="BW560" t="str">
        <f t="shared" si="1"/>
        <v>https://dfp529wcvahka.cloudfront.net/ws/GalleryEntry/zopw3/video_preview/fs2GxvXS.png</v>
      </c>
      <c r="BX560" t="str">
        <f>IF(J560="win",VLOOKUP(B560,ColorScheme!$A$2:$I$32,4,0),VLOOKUP(B560,ColorScheme!$A$2:$I$32,5,0))</f>
        <v>#000000</v>
      </c>
    </row>
  </sheetData>
  <autoFilter ref="A1:BX560" xr:uid="{108874FE-6757-4588-AB8F-DF70AA9B625D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1" showErrorMessage="1" xr:uid="{898887BE-0431-418A-8F1C-667EEE7147FD}">
          <x14:formula1>
            <xm:f>DimensionsEval!$H$2:$L$2</xm:f>
          </x14:formula1>
          <xm:sqref>K2:K560</xm:sqref>
        </x14:dataValidation>
        <x14:dataValidation type="list" allowBlank="1" showInputMessage="1" showErrorMessage="1" xr:uid="{9199C234-FB3E-4908-A683-158BA75FC3E5}">
          <x14:formula1>
            <xm:f>DimensionsEval!$H$3:$K$3</xm:f>
          </x14:formula1>
          <xm:sqref>L2:L560</xm:sqref>
        </x14:dataValidation>
        <x14:dataValidation type="list" allowBlank="1" showInputMessage="1" showErrorMessage="1" xr:uid="{73E4EFD4-16C6-43C1-BC23-B7E21996799A}">
          <x14:formula1>
            <xm:f>DimensionsEval!$H$4:$J$4</xm:f>
          </x14:formula1>
          <xm:sqref>M2:M560</xm:sqref>
        </x14:dataValidation>
        <x14:dataValidation type="list" allowBlank="1" showInputMessage="1" showErrorMessage="1" xr:uid="{1B9ABA1B-5FC4-4B75-B94E-666DB2E58095}">
          <x14:formula1>
            <xm:f>DimensionsEval!$H$5:$O$5</xm:f>
          </x14:formula1>
          <xm:sqref>N2:N560</xm:sqref>
        </x14:dataValidation>
        <x14:dataValidation type="list" allowBlank="1" showInputMessage="1" showErrorMessage="1" xr:uid="{B716297C-E8E4-4A67-97C8-A034AA61F1C6}">
          <x14:formula1>
            <xm:f>DimensionsEval!$H$6:$R$6</xm:f>
          </x14:formula1>
          <xm:sqref>O2:R560</xm:sqref>
        </x14:dataValidation>
        <x14:dataValidation type="list" allowBlank="1" showInputMessage="1" showErrorMessage="1" xr:uid="{F3BF4718-7AE0-4A37-98C1-826830952A10}">
          <x14:formula1>
            <xm:f>DimensionsEval!$H$10:$J$10</xm:f>
          </x14:formula1>
          <xm:sqref>AD2:AD560</xm:sqref>
        </x14:dataValidation>
        <x14:dataValidation type="list" allowBlank="1" showInputMessage="1" showErrorMessage="1" xr:uid="{FB759B63-0DB6-4CBA-8A68-9C5E5A8579CE}">
          <x14:formula1>
            <xm:f>DimensionsEval!$H$11:$J$11</xm:f>
          </x14:formula1>
          <xm:sqref>AE2:AE560</xm:sqref>
        </x14:dataValidation>
        <x14:dataValidation type="list" allowBlank="1" showInputMessage="1" showErrorMessage="1" xr:uid="{F53B185A-FB45-4E56-88C1-86D7BB1CEFCA}">
          <x14:formula1>
            <xm:f>DimensionsEval!$H$12:$J$12</xm:f>
          </x14:formula1>
          <xm:sqref>AF2:AF560</xm:sqref>
        </x14:dataValidation>
        <x14:dataValidation type="list" allowBlank="1" showInputMessage="1" showErrorMessage="1" xr:uid="{600EC372-AD14-4D42-B972-7EFC1E9B7A1B}">
          <x14:formula1>
            <xm:f>DimensionsEval!$H$13:$O$13</xm:f>
          </x14:formula1>
          <xm:sqref>AI3:AQ560 AG2:AG560</xm:sqref>
        </x14:dataValidation>
        <x14:dataValidation type="list" allowBlank="1" showInputMessage="1" showErrorMessage="1" xr:uid="{D7654811-673E-4D34-B3CB-0E5D6533B6B3}">
          <x14:formula1>
            <xm:f>DimensionsEval!$H$15:$J$15</xm:f>
          </x14:formula1>
          <xm:sqref>AR2:AS560 AT3:AW560</xm:sqref>
        </x14:dataValidation>
        <x14:dataValidation type="list" allowBlank="1" showInputMessage="1" showErrorMessage="1" xr:uid="{FD8FC924-C4E5-42B2-B919-8FE62350D591}">
          <x14:formula1>
            <xm:f>DimensionsEval!$H$17:$I$17</xm:f>
          </x14:formula1>
          <xm:sqref>AY2:AY560</xm:sqref>
        </x14:dataValidation>
        <x14:dataValidation type="list" allowBlank="1" showInputMessage="1" showErrorMessage="1" xr:uid="{9CC901EF-D7B7-4735-8EF6-C4425A7BDBFF}">
          <x14:formula1>
            <xm:f>DimensionsEval!$H$18:$L$18</xm:f>
          </x14:formula1>
          <xm:sqref>AZ2:AZ560</xm:sqref>
        </x14:dataValidation>
        <x14:dataValidation type="list" allowBlank="1" showInputMessage="1" showErrorMessage="1" xr:uid="{DAFB1392-1B7B-4D8F-BF0D-0226153F23F4}">
          <x14:formula1>
            <xm:f>DimensionsEval!$H$19:$N$19</xm:f>
          </x14:formula1>
          <xm:sqref>BA2:BA560</xm:sqref>
        </x14:dataValidation>
        <x14:dataValidation type="list" allowBlank="1" showInputMessage="1" showErrorMessage="1" xr:uid="{6058D4CA-807C-4DD4-BE85-26BDB3CBB82E}">
          <x14:formula1>
            <xm:f>DimensionsEval!$H$20:$K$20</xm:f>
          </x14:formula1>
          <xm:sqref>BB2:BB560</xm:sqref>
        </x14:dataValidation>
        <x14:dataValidation type="list" allowBlank="1" showInputMessage="1" showErrorMessage="1" xr:uid="{AAF078AC-4313-43F2-8FB2-CC96D3833E9D}">
          <x14:formula1>
            <xm:f>DimensionsEval!$H$21:$I$21</xm:f>
          </x14:formula1>
          <xm:sqref>BC2:BC560</xm:sqref>
        </x14:dataValidation>
        <x14:dataValidation type="list" allowBlank="1" showInputMessage="1" showErrorMessage="1" xr:uid="{22141E1D-3CC9-4E4D-A8A9-14B802C6269F}">
          <x14:formula1>
            <xm:f>DimensionsEval!$H$22:$I$22</xm:f>
          </x14:formula1>
          <xm:sqref>BD2:BG560</xm:sqref>
        </x14:dataValidation>
        <x14:dataValidation type="list" allowBlank="1" showInputMessage="1" showErrorMessage="1" xr:uid="{540CC4AE-5B95-4365-A5FC-16A20301480F}">
          <x14:formula1>
            <xm:f>DimensionsEval!$H$26:$K$26</xm:f>
          </x14:formula1>
          <xm:sqref>BH2:BJ560</xm:sqref>
        </x14:dataValidation>
        <x14:dataValidation type="list" allowBlank="1" showInputMessage="1" showErrorMessage="1" xr:uid="{9EE6F720-14C8-4660-996C-703D1467E0C9}">
          <x14:formula1>
            <xm:f>DimensionsEval!$H$29:$I$29</xm:f>
          </x14:formula1>
          <xm:sqref>BK2:BL560</xm:sqref>
        </x14:dataValidation>
        <x14:dataValidation type="list" allowBlank="1" showInputMessage="1" showErrorMessage="1" xr:uid="{47AD1DA5-4B68-4C59-B875-9B53E7E97A68}">
          <x14:formula1>
            <xm:f>DimensionsEval!$H$31:$M$31</xm:f>
          </x14:formula1>
          <xm:sqref>BM2:BM560</xm:sqref>
        </x14:dataValidation>
        <x14:dataValidation type="list" allowBlank="1" showInputMessage="1" showErrorMessage="1" xr:uid="{CBA0BA53-2B13-40A7-8E40-483431584565}">
          <x14:formula1>
            <xm:f>DimensionsEval!$H$32:$J$32</xm:f>
          </x14:formula1>
          <xm:sqref>BN2:BN560</xm:sqref>
        </x14:dataValidation>
        <x14:dataValidation type="list" allowBlank="1" showInputMessage="1" showErrorMessage="1" xr:uid="{A4B515D0-2E3B-4276-AC08-A4A2DDA98F83}">
          <x14:formula1>
            <xm:f>DimensionsEval!$H$33:$J$33</xm:f>
          </x14:formula1>
          <xm:sqref>BO2:BO560</xm:sqref>
        </x14:dataValidation>
        <x14:dataValidation type="list" allowBlank="1" showInputMessage="1" showErrorMessage="1" xr:uid="{DFD1F92C-4C52-482D-B6CA-AFB243A4F2AD}">
          <x14:formula1>
            <xm:f>DimensionsEval!$H$34:$I$34</xm:f>
          </x14:formula1>
          <xm:sqref>BP2:BP560</xm:sqref>
        </x14:dataValidation>
        <x14:dataValidation type="list" allowBlank="1" showInputMessage="1" showErrorMessage="1" xr:uid="{8B094C00-1549-44BB-86A0-A3B92ACEF8F7}">
          <x14:formula1>
            <xm:f>DimensionsEval!$H$35:$J$35</xm:f>
          </x14:formula1>
          <xm:sqref>BQ2:BQ560</xm:sqref>
        </x14:dataValidation>
        <x14:dataValidation type="list" allowBlank="1" showInputMessage="1" showErrorMessage="1" xr:uid="{A627CFB9-58AE-416E-9238-AB800438E7AE}">
          <x14:formula1>
            <xm:f>DimensionsEval!$H$36:$I$36</xm:f>
          </x14:formula1>
          <xm:sqref>BR2:BR560</xm:sqref>
        </x14:dataValidation>
        <x14:dataValidation type="list" allowBlank="1" showInputMessage="1" showErrorMessage="1" xr:uid="{A4838EB5-7DB6-437C-8175-E3B2A2B4336E}">
          <x14:formula1>
            <xm:f>DimensionsEval!$H$37:$L$37</xm:f>
          </x14:formula1>
          <xm:sqref>BS2:BS560</xm:sqref>
        </x14:dataValidation>
        <x14:dataValidation type="list" allowBlank="1" showInputMessage="1" showErrorMessage="1" xr:uid="{E1ACC0FF-1871-43E4-BFC8-99F9C0155283}">
          <x14:formula1>
            <xm:f>DimensionsEval!$H$38:$J$38</xm:f>
          </x14:formula1>
          <xm:sqref>BT2:BT560</xm:sqref>
        </x14:dataValidation>
        <x14:dataValidation type="list" allowBlank="1" showInputMessage="1" showErrorMessage="1" xr:uid="{191A917D-9098-4131-B53B-FAB916C97BD9}">
          <x14:formula1>
            <xm:f>DimensionsEval!$H$13:$P$13</xm:f>
          </x14:formula1>
          <xm:sqref>AH2:AH560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A69E-6364-4D3D-85DA-E47AF3C00D5E}">
  <dimension ref="A1:AE2"/>
  <sheetViews>
    <sheetView topLeftCell="H1" workbookViewId="0">
      <selection activeCell="AE1" sqref="AE1"/>
    </sheetView>
  </sheetViews>
  <sheetFormatPr defaultRowHeight="14.4" x14ac:dyDescent="0.3"/>
  <sheetData>
    <row r="1" spans="1:31" x14ac:dyDescent="0.3">
      <c r="A1" s="58">
        <v>1</v>
      </c>
      <c r="B1" s="58">
        <v>0</v>
      </c>
      <c r="C1" s="58">
        <v>0</v>
      </c>
      <c r="D1" s="58">
        <v>1</v>
      </c>
      <c r="E1" s="58">
        <v>1</v>
      </c>
      <c r="F1" s="58">
        <v>0</v>
      </c>
      <c r="G1" s="58">
        <v>0</v>
      </c>
      <c r="H1" s="58">
        <v>0</v>
      </c>
      <c r="I1" s="58">
        <v>0</v>
      </c>
      <c r="J1" s="58">
        <v>0</v>
      </c>
      <c r="K1" s="58" t="s">
        <v>704</v>
      </c>
      <c r="L1" s="55" t="s">
        <v>341</v>
      </c>
      <c r="M1" s="55" t="s">
        <v>340</v>
      </c>
      <c r="N1" s="56" t="s">
        <v>343</v>
      </c>
      <c r="O1" s="40" t="s">
        <v>344</v>
      </c>
      <c r="P1" s="41" t="s">
        <v>291</v>
      </c>
      <c r="Q1" s="58">
        <v>1</v>
      </c>
      <c r="R1" s="58">
        <v>0</v>
      </c>
      <c r="S1" s="58">
        <v>0</v>
      </c>
      <c r="T1" s="58">
        <v>0</v>
      </c>
      <c r="U1" s="58">
        <v>0</v>
      </c>
      <c r="V1" s="58">
        <v>0</v>
      </c>
      <c r="W1" s="58">
        <v>1</v>
      </c>
      <c r="X1" s="58">
        <v>0</v>
      </c>
      <c r="Y1" s="58" t="s">
        <v>704</v>
      </c>
      <c r="Z1" s="38" t="s">
        <v>349</v>
      </c>
      <c r="AA1" s="38" t="s">
        <v>349</v>
      </c>
      <c r="AB1" s="58">
        <v>1</v>
      </c>
      <c r="AC1" s="58">
        <v>0</v>
      </c>
      <c r="AD1" s="58">
        <v>0</v>
      </c>
      <c r="AE1" t="str">
        <f>"["&amp;A1&amp;","&amp;B1&amp;","&amp;C1&amp;","&amp;D1&amp;","&amp;E1&amp;","&amp;F1&amp;","&amp;G1&amp;","&amp;H1&amp;","&amp;I1&amp;","&amp;J1&amp;","&amp;Q1&amp;","&amp;R1&amp;","&amp;S1&amp;","&amp;T1&amp;","&amp;U1&amp;","&amp;V1&amp;","&amp;W1&amp;","&amp;X1&amp;","&amp;AB1&amp;","&amp;AC1&amp;","&amp;AD1&amp;"]"</f>
        <v>[1,0,0,1,1,0,0,0,0,0,1,0,0,0,0,0,1,0,1,0,0]</v>
      </c>
    </row>
    <row r="2" spans="1:31" x14ac:dyDescent="0.3">
      <c r="AE2" s="38" t="s">
        <v>1206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146D9BFA-E3FC-4B4D-B1C2-1655BB0419FD}">
          <x14:formula1>
            <xm:f>DimensionsEval!$H$13:$P$13</xm:f>
          </x14:formula1>
          <xm:sqref>P1</xm:sqref>
        </x14:dataValidation>
        <x14:dataValidation type="list" allowBlank="1" showInputMessage="1" showErrorMessage="1" xr:uid="{FE5AF418-6B14-4EDE-AC89-969AE7E2F964}">
          <x14:formula1>
            <xm:f>DimensionsEval!$H$15:$J$15</xm:f>
          </x14:formula1>
          <xm:sqref>Z1:AA1</xm:sqref>
        </x14:dataValidation>
        <x14:dataValidation type="list" allowBlank="1" showInputMessage="1" showErrorMessage="1" xr:uid="{C668B055-044E-4C3E-A37E-A93264CAA455}">
          <x14:formula1>
            <xm:f>DimensionsEval!$H$13:$O$13</xm:f>
          </x14:formula1>
          <xm:sqref>O1</xm:sqref>
        </x14:dataValidation>
        <x14:dataValidation type="list" allowBlank="1" showInputMessage="1" showErrorMessage="1" xr:uid="{C4F45BA5-7C21-448F-8E4D-C400B7B59611}">
          <x14:formula1>
            <xm:f>DimensionsEval!$H$12:$J$12</xm:f>
          </x14:formula1>
          <xm:sqref>N1</xm:sqref>
        </x14:dataValidation>
        <x14:dataValidation type="list" allowBlank="1" showInputMessage="1" showErrorMessage="1" xr:uid="{C8E83957-A52B-43BC-BFD6-2BAFE1148C3D}">
          <x14:formula1>
            <xm:f>DimensionsEval!$H$11:$J$11</xm:f>
          </x14:formula1>
          <xm:sqref>M1</xm:sqref>
        </x14:dataValidation>
        <x14:dataValidation type="list" allowBlank="1" showInputMessage="1" showErrorMessage="1" xr:uid="{5207A37A-9535-4CAD-8960-B188CBD6235B}">
          <x14:formula1>
            <xm:f>DimensionsEval!$H$10:$J$10</xm:f>
          </x14:formula1>
          <xm:sqref>L1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F011-DF2D-42A1-BD04-FA57C8EE44A3}">
  <sheetPr filterMode="1">
    <tabColor theme="5"/>
  </sheetPr>
  <dimension ref="A1:AX560"/>
  <sheetViews>
    <sheetView workbookViewId="0">
      <selection activeCell="M18" sqref="M18"/>
    </sheetView>
  </sheetViews>
  <sheetFormatPr defaultRowHeight="14.4" x14ac:dyDescent="0.3"/>
  <cols>
    <col min="1" max="1" width="4" customWidth="1"/>
    <col min="2" max="2" width="14.6640625" bestFit="1" customWidth="1"/>
    <col min="10" max="10" width="9.109375" style="49"/>
    <col min="12" max="12" width="16.88671875" bestFit="1" customWidth="1"/>
    <col min="13" max="14" width="11.44140625" bestFit="1" customWidth="1"/>
    <col min="15" max="15" width="12.5546875" bestFit="1" customWidth="1"/>
    <col min="16" max="18" width="12.5546875" customWidth="1"/>
    <col min="19" max="19" width="16.44140625" bestFit="1" customWidth="1"/>
    <col min="20" max="21" width="16.44140625" customWidth="1"/>
    <col min="24" max="25" width="11.88671875" bestFit="1" customWidth="1"/>
    <col min="26" max="26" width="11.44140625" bestFit="1" customWidth="1"/>
    <col min="27" max="27" width="17.44140625" bestFit="1" customWidth="1"/>
    <col min="28" max="28" width="15.44140625" bestFit="1" customWidth="1"/>
    <col min="29" max="29" width="12.5546875" bestFit="1" customWidth="1"/>
    <col min="30" max="30" width="13" bestFit="1" customWidth="1"/>
    <col min="31" max="31" width="17.88671875" bestFit="1" customWidth="1"/>
    <col min="32" max="32" width="14" bestFit="1" customWidth="1"/>
    <col min="33" max="33" width="13.109375" bestFit="1" customWidth="1"/>
    <col min="34" max="34" width="13.88671875" bestFit="1" customWidth="1"/>
    <col min="35" max="35" width="20.33203125" bestFit="1" customWidth="1"/>
    <col min="36" max="36" width="21.44140625" bestFit="1" customWidth="1"/>
    <col min="37" max="37" width="20.5546875" bestFit="1" customWidth="1"/>
    <col min="38" max="38" width="11.6640625" bestFit="1" customWidth="1"/>
    <col min="39" max="39" width="11.109375" bestFit="1" customWidth="1"/>
    <col min="40" max="40" width="27.6640625" bestFit="1" customWidth="1"/>
    <col min="41" max="41" width="24.88671875" bestFit="1" customWidth="1"/>
    <col min="42" max="42" width="13" bestFit="1" customWidth="1"/>
    <col min="43" max="43" width="12.109375" bestFit="1" customWidth="1"/>
    <col min="44" max="44" width="12.109375" customWidth="1"/>
    <col min="45" max="45" width="10" bestFit="1" customWidth="1"/>
    <col min="46" max="46" width="11.554687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684</v>
      </c>
      <c r="F1" s="2" t="s">
        <v>4</v>
      </c>
      <c r="G1" s="3" t="s">
        <v>5</v>
      </c>
      <c r="H1" s="3" t="s">
        <v>6</v>
      </c>
      <c r="I1" s="3" t="s">
        <v>7</v>
      </c>
      <c r="J1" s="60" t="s">
        <v>8</v>
      </c>
      <c r="K1" s="12" t="s">
        <v>196</v>
      </c>
      <c r="L1" s="13" t="s">
        <v>197</v>
      </c>
      <c r="M1" s="12" t="s">
        <v>198</v>
      </c>
      <c r="N1" s="12" t="s">
        <v>199</v>
      </c>
      <c r="O1" s="12" t="s">
        <v>200</v>
      </c>
      <c r="P1" s="12" t="s">
        <v>202</v>
      </c>
      <c r="Q1" s="12" t="s">
        <v>203</v>
      </c>
      <c r="R1" s="12" t="s">
        <v>208</v>
      </c>
      <c r="S1" s="14" t="s">
        <v>204</v>
      </c>
      <c r="T1" s="20" t="s">
        <v>205</v>
      </c>
      <c r="U1" s="14" t="s">
        <v>206</v>
      </c>
      <c r="V1" s="19" t="s">
        <v>201</v>
      </c>
      <c r="W1" s="18" t="s">
        <v>207</v>
      </c>
      <c r="X1" s="21" t="s">
        <v>209</v>
      </c>
      <c r="Y1" s="21" t="s">
        <v>210</v>
      </c>
      <c r="Z1" s="21" t="s">
        <v>211</v>
      </c>
      <c r="AA1" s="21" t="s">
        <v>212</v>
      </c>
      <c r="AB1" s="21" t="s">
        <v>213</v>
      </c>
      <c r="AC1" s="23" t="s">
        <v>214</v>
      </c>
      <c r="AD1" s="23" t="s">
        <v>215</v>
      </c>
      <c r="AE1" s="23" t="s">
        <v>216</v>
      </c>
      <c r="AF1" s="23" t="s">
        <v>217</v>
      </c>
      <c r="AG1" s="23" t="s">
        <v>218</v>
      </c>
      <c r="AH1" s="23" t="s">
        <v>219</v>
      </c>
      <c r="AI1" s="22" t="s">
        <v>220</v>
      </c>
      <c r="AJ1" s="22" t="s">
        <v>221</v>
      </c>
      <c r="AK1" s="22" t="s">
        <v>222</v>
      </c>
      <c r="AL1" s="22" t="s">
        <v>223</v>
      </c>
      <c r="AM1" s="22" t="s">
        <v>224</v>
      </c>
      <c r="AN1" s="23" t="s">
        <v>225</v>
      </c>
      <c r="AO1" s="23" t="s">
        <v>226</v>
      </c>
      <c r="AP1" s="21" t="s">
        <v>227</v>
      </c>
      <c r="AQ1" s="21" t="s">
        <v>228</v>
      </c>
      <c r="AR1" s="21" t="s">
        <v>270</v>
      </c>
      <c r="AS1" s="21" t="s">
        <v>229</v>
      </c>
      <c r="AT1" s="21" t="s">
        <v>230</v>
      </c>
      <c r="AU1" s="21" t="s">
        <v>231</v>
      </c>
      <c r="AV1" s="21" t="s">
        <v>369</v>
      </c>
    </row>
    <row r="2" spans="1:48" x14ac:dyDescent="0.3">
      <c r="A2" s="38" t="s">
        <v>43</v>
      </c>
      <c r="B2" s="38" t="s">
        <v>50</v>
      </c>
      <c r="C2" s="38" t="s">
        <v>11</v>
      </c>
      <c r="D2" s="38" t="s">
        <v>12</v>
      </c>
      <c r="E2" s="38" t="str">
        <f t="shared" ref="E2:E65" si="0">B2&amp;"-"&amp;D2&amp;"-"&amp;C2</f>
        <v>P_A4T-KYY-S_1Q4</v>
      </c>
      <c r="F2" s="38" t="b">
        <v>1</v>
      </c>
      <c r="G2" s="38">
        <v>99.9</v>
      </c>
      <c r="H2" s="38">
        <v>0</v>
      </c>
      <c r="I2" s="38">
        <v>13397</v>
      </c>
      <c r="J2" s="61" t="s">
        <v>18</v>
      </c>
      <c r="K2" s="55" t="s">
        <v>272</v>
      </c>
      <c r="L2" s="55">
        <v>3</v>
      </c>
      <c r="M2" s="55" t="s">
        <v>333</v>
      </c>
      <c r="N2" s="55" t="s">
        <v>279</v>
      </c>
      <c r="O2" s="56" t="s">
        <v>281</v>
      </c>
      <c r="P2" s="57" t="s">
        <v>273</v>
      </c>
      <c r="Q2" s="57" t="s">
        <v>284</v>
      </c>
      <c r="R2" s="58" t="s">
        <v>371</v>
      </c>
      <c r="S2" s="55" t="s">
        <v>341</v>
      </c>
      <c r="T2" s="55" t="s">
        <v>340</v>
      </c>
      <c r="U2" s="56" t="s">
        <v>343</v>
      </c>
      <c r="V2" s="40" t="s">
        <v>344</v>
      </c>
      <c r="W2" s="41" t="s">
        <v>291</v>
      </c>
      <c r="X2" s="38" t="s">
        <v>349</v>
      </c>
      <c r="Y2" s="38" t="s">
        <v>349</v>
      </c>
      <c r="Z2" s="38" t="s">
        <v>293</v>
      </c>
      <c r="AA2" s="38" t="s">
        <v>353</v>
      </c>
      <c r="AB2" s="38" t="s">
        <v>355</v>
      </c>
      <c r="AC2" s="38" t="s">
        <v>300</v>
      </c>
      <c r="AD2" s="38" t="s">
        <v>292</v>
      </c>
      <c r="AE2" s="38" t="s">
        <v>293</v>
      </c>
      <c r="AF2" s="38" t="s">
        <v>292</v>
      </c>
      <c r="AG2" s="38" t="s">
        <v>292</v>
      </c>
      <c r="AH2" s="38" t="s">
        <v>293</v>
      </c>
      <c r="AI2" s="38" t="s">
        <v>302</v>
      </c>
      <c r="AJ2" s="38" t="s">
        <v>358</v>
      </c>
      <c r="AK2" s="38" t="s">
        <v>359</v>
      </c>
      <c r="AL2" s="38" t="s">
        <v>293</v>
      </c>
      <c r="AM2" s="38" t="s">
        <v>293</v>
      </c>
      <c r="AN2" s="38" t="s">
        <v>297</v>
      </c>
      <c r="AO2" s="38" t="s">
        <v>298</v>
      </c>
      <c r="AP2" s="38" t="s">
        <v>293</v>
      </c>
      <c r="AQ2" s="38" t="s">
        <v>292</v>
      </c>
      <c r="AR2" s="38" t="s">
        <v>293</v>
      </c>
      <c r="AS2" s="38" t="s">
        <v>293</v>
      </c>
      <c r="AT2" s="38" t="s">
        <v>364</v>
      </c>
      <c r="AU2" s="38" t="str">
        <f t="shared" ref="AU2:AU12" si="1">IF(J2="fail",IF(H2=1,"break","car_stuck"),"no_fail")</f>
        <v>car_stuck</v>
      </c>
      <c r="AV2" s="38" t="s">
        <v>368</v>
      </c>
    </row>
    <row r="3" spans="1:48" x14ac:dyDescent="0.3">
      <c r="A3" s="38" t="s">
        <v>43</v>
      </c>
      <c r="B3" s="38" t="s">
        <v>50</v>
      </c>
      <c r="C3" s="38" t="s">
        <v>20</v>
      </c>
      <c r="D3" s="38" t="s">
        <v>29</v>
      </c>
      <c r="E3" s="38" t="str">
        <f t="shared" si="0"/>
        <v>P_A4T-ZSB-S_7W0</v>
      </c>
      <c r="F3" s="38" t="b">
        <v>1</v>
      </c>
      <c r="G3" s="38">
        <v>87</v>
      </c>
      <c r="H3" s="38">
        <v>0</v>
      </c>
      <c r="I3" s="38">
        <v>12099</v>
      </c>
      <c r="J3" s="61" t="s">
        <v>13</v>
      </c>
      <c r="K3" s="39" t="s">
        <v>272</v>
      </c>
      <c r="L3" s="39">
        <v>3</v>
      </c>
      <c r="M3" s="39" t="s">
        <v>277</v>
      </c>
      <c r="N3" s="39" t="s">
        <v>335</v>
      </c>
      <c r="O3" s="40" t="s">
        <v>283</v>
      </c>
      <c r="P3" s="38" t="s">
        <v>282</v>
      </c>
      <c r="Q3" s="38" t="s">
        <v>371</v>
      </c>
      <c r="R3" s="41" t="s">
        <v>371</v>
      </c>
      <c r="S3" s="39" t="s">
        <v>341</v>
      </c>
      <c r="T3" s="39" t="s">
        <v>342</v>
      </c>
      <c r="U3" s="40" t="s">
        <v>343</v>
      </c>
      <c r="V3" s="40" t="s">
        <v>344</v>
      </c>
      <c r="W3" s="41"/>
      <c r="X3" s="38" t="s">
        <v>349</v>
      </c>
      <c r="Y3" s="38" t="s">
        <v>349</v>
      </c>
      <c r="Z3" s="38" t="s">
        <v>293</v>
      </c>
      <c r="AA3" s="38" t="s">
        <v>353</v>
      </c>
      <c r="AB3" s="38" t="s">
        <v>297</v>
      </c>
      <c r="AC3" s="38" t="s">
        <v>301</v>
      </c>
      <c r="AD3" s="38" t="s">
        <v>292</v>
      </c>
      <c r="AE3" s="38" t="s">
        <v>293</v>
      </c>
      <c r="AF3" s="38" t="s">
        <v>292</v>
      </c>
      <c r="AG3" s="38" t="s">
        <v>293</v>
      </c>
      <c r="AH3" s="38" t="s">
        <v>293</v>
      </c>
      <c r="AI3" s="38" t="s">
        <v>302</v>
      </c>
      <c r="AJ3" s="38" t="s">
        <v>302</v>
      </c>
      <c r="AK3" s="38" t="s">
        <v>359</v>
      </c>
      <c r="AL3" s="38" t="s">
        <v>293</v>
      </c>
      <c r="AM3" s="38" t="s">
        <v>293</v>
      </c>
      <c r="AN3" s="38" t="s">
        <v>297</v>
      </c>
      <c r="AO3" s="38" t="s">
        <v>298</v>
      </c>
      <c r="AP3" s="38" t="s">
        <v>293</v>
      </c>
      <c r="AQ3" s="38" t="s">
        <v>292</v>
      </c>
      <c r="AR3" s="38" t="s">
        <v>293</v>
      </c>
      <c r="AS3" s="38" t="s">
        <v>293</v>
      </c>
      <c r="AT3" s="38" t="s">
        <v>364</v>
      </c>
      <c r="AU3" s="38" t="str">
        <f t="shared" si="1"/>
        <v>no_fail</v>
      </c>
      <c r="AV3" s="38" t="s">
        <v>370</v>
      </c>
    </row>
    <row r="4" spans="1:48" x14ac:dyDescent="0.3">
      <c r="A4" s="38" t="s">
        <v>43</v>
      </c>
      <c r="B4" s="38" t="s">
        <v>50</v>
      </c>
      <c r="C4" s="38" t="s">
        <v>27</v>
      </c>
      <c r="D4" s="38" t="s">
        <v>29</v>
      </c>
      <c r="E4" s="38" t="str">
        <f t="shared" si="0"/>
        <v>P_A4T-ZSB-S_9F6</v>
      </c>
      <c r="F4" s="38" t="b">
        <v>1</v>
      </c>
      <c r="G4" s="38">
        <v>99.9</v>
      </c>
      <c r="H4" s="38">
        <v>0</v>
      </c>
      <c r="I4" s="38">
        <v>11915</v>
      </c>
      <c r="J4" s="61" t="s">
        <v>18</v>
      </c>
      <c r="K4" s="39" t="s">
        <v>272</v>
      </c>
      <c r="L4" s="39">
        <v>2</v>
      </c>
      <c r="M4" s="39" t="s">
        <v>333</v>
      </c>
      <c r="N4" s="39" t="s">
        <v>280</v>
      </c>
      <c r="O4" s="40" t="s">
        <v>282</v>
      </c>
      <c r="P4" s="40" t="s">
        <v>371</v>
      </c>
      <c r="Q4" s="38" t="s">
        <v>371</v>
      </c>
      <c r="R4" s="41" t="s">
        <v>371</v>
      </c>
      <c r="S4" s="39" t="s">
        <v>340</v>
      </c>
      <c r="T4" s="39" t="s">
        <v>342</v>
      </c>
      <c r="U4" s="40" t="s">
        <v>340</v>
      </c>
      <c r="V4" s="40" t="s">
        <v>344</v>
      </c>
      <c r="W4" s="41"/>
      <c r="X4" s="38" t="s">
        <v>349</v>
      </c>
      <c r="Y4" s="38" t="s">
        <v>349</v>
      </c>
      <c r="Z4" s="38" t="s">
        <v>293</v>
      </c>
      <c r="AA4" s="38" t="s">
        <v>354</v>
      </c>
      <c r="AB4" s="38" t="s">
        <v>354</v>
      </c>
      <c r="AC4" s="38" t="s">
        <v>300</v>
      </c>
      <c r="AD4" s="38" t="s">
        <v>292</v>
      </c>
      <c r="AE4" s="38" t="s">
        <v>293</v>
      </c>
      <c r="AF4" s="38" t="s">
        <v>292</v>
      </c>
      <c r="AG4" s="38" t="s">
        <v>292</v>
      </c>
      <c r="AH4" s="38" t="s">
        <v>293</v>
      </c>
      <c r="AI4" s="38" t="s">
        <v>359</v>
      </c>
      <c r="AJ4" s="38" t="s">
        <v>359</v>
      </c>
      <c r="AK4" s="38" t="s">
        <v>357</v>
      </c>
      <c r="AL4" s="38" t="s">
        <v>293</v>
      </c>
      <c r="AM4" s="38" t="s">
        <v>293</v>
      </c>
      <c r="AN4" s="38" t="s">
        <v>297</v>
      </c>
      <c r="AO4" s="38" t="s">
        <v>298</v>
      </c>
      <c r="AP4" s="38" t="s">
        <v>293</v>
      </c>
      <c r="AQ4" s="38" t="s">
        <v>292</v>
      </c>
      <c r="AR4" s="38" t="s">
        <v>293</v>
      </c>
      <c r="AS4" s="38" t="s">
        <v>293</v>
      </c>
      <c r="AT4" s="38" t="s">
        <v>364</v>
      </c>
      <c r="AU4" s="38" t="str">
        <f t="shared" si="1"/>
        <v>car_stuck</v>
      </c>
      <c r="AV4" s="38" t="s">
        <v>368</v>
      </c>
    </row>
    <row r="5" spans="1:48" x14ac:dyDescent="0.3">
      <c r="A5" t="s">
        <v>43</v>
      </c>
      <c r="B5" t="s">
        <v>50</v>
      </c>
      <c r="C5" t="s">
        <v>15</v>
      </c>
      <c r="D5" t="s">
        <v>12</v>
      </c>
      <c r="E5" t="str">
        <f t="shared" si="0"/>
        <v>P_A4T-KYY-S_0M4</v>
      </c>
      <c r="F5" t="b">
        <v>1</v>
      </c>
      <c r="G5">
        <v>69.2</v>
      </c>
      <c r="H5">
        <v>0</v>
      </c>
      <c r="I5">
        <v>15028</v>
      </c>
      <c r="J5" s="61" t="s">
        <v>13</v>
      </c>
      <c r="K5" s="16" t="s">
        <v>272</v>
      </c>
      <c r="L5" s="16">
        <v>3</v>
      </c>
      <c r="M5" s="16" t="s">
        <v>277</v>
      </c>
      <c r="N5" s="16" t="s">
        <v>335</v>
      </c>
      <c r="O5" s="15" t="s">
        <v>281</v>
      </c>
      <c r="P5" s="15" t="s">
        <v>273</v>
      </c>
      <c r="Q5" s="15" t="s">
        <v>282</v>
      </c>
      <c r="R5" s="17" t="s">
        <v>371</v>
      </c>
      <c r="S5" s="16" t="s">
        <v>341</v>
      </c>
      <c r="T5" s="16" t="s">
        <v>340</v>
      </c>
      <c r="U5" s="15" t="s">
        <v>343</v>
      </c>
      <c r="V5" s="15" t="s">
        <v>344</v>
      </c>
      <c r="W5" s="17"/>
      <c r="X5" t="s">
        <v>349</v>
      </c>
      <c r="Y5" t="s">
        <v>349</v>
      </c>
      <c r="Z5" t="s">
        <v>293</v>
      </c>
      <c r="AA5" t="s">
        <v>353</v>
      </c>
      <c r="AB5" t="s">
        <v>355</v>
      </c>
      <c r="AC5" t="s">
        <v>300</v>
      </c>
      <c r="AD5" t="s">
        <v>292</v>
      </c>
      <c r="AE5" t="s">
        <v>293</v>
      </c>
      <c r="AF5" t="s">
        <v>292</v>
      </c>
      <c r="AG5" t="s">
        <v>292</v>
      </c>
      <c r="AH5" t="s">
        <v>293</v>
      </c>
      <c r="AI5" t="s">
        <v>302</v>
      </c>
      <c r="AJ5" t="s">
        <v>302</v>
      </c>
      <c r="AK5" t="s">
        <v>359</v>
      </c>
      <c r="AL5" t="s">
        <v>293</v>
      </c>
      <c r="AM5" t="s">
        <v>293</v>
      </c>
      <c r="AN5" t="s">
        <v>297</v>
      </c>
      <c r="AO5" t="s">
        <v>298</v>
      </c>
      <c r="AP5" t="s">
        <v>293</v>
      </c>
      <c r="AQ5" t="s">
        <v>292</v>
      </c>
      <c r="AR5" t="s">
        <v>293</v>
      </c>
      <c r="AS5" t="s">
        <v>293</v>
      </c>
      <c r="AT5" t="s">
        <v>364</v>
      </c>
      <c r="AU5" t="str">
        <f t="shared" si="1"/>
        <v>no_fail</v>
      </c>
    </row>
    <row r="6" spans="1:48" x14ac:dyDescent="0.3">
      <c r="A6" t="s">
        <v>43</v>
      </c>
      <c r="B6" t="s">
        <v>50</v>
      </c>
      <c r="C6" t="s">
        <v>14</v>
      </c>
      <c r="D6" t="s">
        <v>12</v>
      </c>
      <c r="E6" t="str">
        <f t="shared" si="0"/>
        <v>P_A4T-KYY-S_1B0</v>
      </c>
      <c r="F6" t="b">
        <v>1</v>
      </c>
      <c r="G6">
        <v>100</v>
      </c>
      <c r="H6">
        <v>1</v>
      </c>
      <c r="I6">
        <v>14512</v>
      </c>
      <c r="J6" s="61" t="s">
        <v>13</v>
      </c>
      <c r="K6" s="16" t="s">
        <v>272</v>
      </c>
      <c r="L6" s="16">
        <v>3</v>
      </c>
      <c r="M6" s="16" t="s">
        <v>277</v>
      </c>
      <c r="N6" s="16" t="s">
        <v>335</v>
      </c>
      <c r="O6" s="15" t="s">
        <v>281</v>
      </c>
      <c r="P6" s="15" t="s">
        <v>273</v>
      </c>
      <c r="Q6" s="15" t="s">
        <v>282</v>
      </c>
      <c r="R6" s="17" t="s">
        <v>371</v>
      </c>
      <c r="S6" s="16" t="s">
        <v>341</v>
      </c>
      <c r="T6" s="16" t="s">
        <v>340</v>
      </c>
      <c r="U6" s="15" t="s">
        <v>343</v>
      </c>
      <c r="V6" s="15" t="s">
        <v>344</v>
      </c>
      <c r="W6" s="17"/>
      <c r="X6" t="s">
        <v>349</v>
      </c>
      <c r="Y6" t="s">
        <v>349</v>
      </c>
      <c r="Z6" t="s">
        <v>293</v>
      </c>
      <c r="AA6" t="s">
        <v>353</v>
      </c>
      <c r="AB6" t="s">
        <v>355</v>
      </c>
      <c r="AC6" t="s">
        <v>300</v>
      </c>
      <c r="AD6" t="s">
        <v>292</v>
      </c>
      <c r="AE6" t="s">
        <v>293</v>
      </c>
      <c r="AF6" t="s">
        <v>292</v>
      </c>
      <c r="AG6" t="s">
        <v>292</v>
      </c>
      <c r="AH6" t="s">
        <v>293</v>
      </c>
      <c r="AI6" t="s">
        <v>302</v>
      </c>
      <c r="AJ6" t="s">
        <v>358</v>
      </c>
      <c r="AK6" t="s">
        <v>359</v>
      </c>
      <c r="AL6" t="s">
        <v>293</v>
      </c>
      <c r="AM6" t="s">
        <v>293</v>
      </c>
      <c r="AN6" t="s">
        <v>297</v>
      </c>
      <c r="AO6" t="s">
        <v>298</v>
      </c>
      <c r="AP6" t="s">
        <v>293</v>
      </c>
      <c r="AQ6" t="s">
        <v>292</v>
      </c>
      <c r="AR6" t="s">
        <v>293</v>
      </c>
      <c r="AS6" t="s">
        <v>293</v>
      </c>
      <c r="AT6" t="s">
        <v>364</v>
      </c>
      <c r="AU6" t="str">
        <f t="shared" si="1"/>
        <v>no_fail</v>
      </c>
    </row>
    <row r="7" spans="1:48" x14ac:dyDescent="0.3">
      <c r="A7" t="s">
        <v>43</v>
      </c>
      <c r="B7" t="s">
        <v>50</v>
      </c>
      <c r="C7" t="s">
        <v>19</v>
      </c>
      <c r="D7" t="s">
        <v>12</v>
      </c>
      <c r="E7" t="str">
        <f t="shared" si="0"/>
        <v>P_A4T-KYY-S_4U3</v>
      </c>
      <c r="F7" t="b">
        <v>1</v>
      </c>
      <c r="G7">
        <v>100</v>
      </c>
      <c r="H7">
        <v>1</v>
      </c>
      <c r="I7">
        <v>20421</v>
      </c>
      <c r="J7" s="61" t="s">
        <v>18</v>
      </c>
      <c r="K7" s="16" t="s">
        <v>272</v>
      </c>
      <c r="L7" s="16">
        <v>3</v>
      </c>
      <c r="M7" s="16" t="s">
        <v>277</v>
      </c>
      <c r="N7" s="16" t="s">
        <v>335</v>
      </c>
      <c r="O7" s="15" t="s">
        <v>281</v>
      </c>
      <c r="P7" s="15" t="s">
        <v>273</v>
      </c>
      <c r="Q7" s="15" t="s">
        <v>282</v>
      </c>
      <c r="R7" s="17" t="s">
        <v>371</v>
      </c>
      <c r="S7" s="16" t="s">
        <v>341</v>
      </c>
      <c r="T7" s="16" t="s">
        <v>340</v>
      </c>
      <c r="U7" s="15" t="s">
        <v>343</v>
      </c>
      <c r="V7" s="15" t="s">
        <v>344</v>
      </c>
      <c r="W7" s="17"/>
      <c r="X7" t="s">
        <v>349</v>
      </c>
      <c r="Y7" t="s">
        <v>349</v>
      </c>
      <c r="Z7" t="s">
        <v>293</v>
      </c>
      <c r="AA7" t="s">
        <v>353</v>
      </c>
      <c r="AB7" t="s">
        <v>355</v>
      </c>
      <c r="AC7" t="s">
        <v>301</v>
      </c>
      <c r="AD7" t="s">
        <v>292</v>
      </c>
      <c r="AE7" t="s">
        <v>292</v>
      </c>
      <c r="AF7" t="s">
        <v>292</v>
      </c>
      <c r="AG7" t="s">
        <v>292</v>
      </c>
      <c r="AH7" t="s">
        <v>293</v>
      </c>
      <c r="AI7" t="s">
        <v>302</v>
      </c>
      <c r="AJ7" t="s">
        <v>302</v>
      </c>
      <c r="AK7" t="s">
        <v>359</v>
      </c>
      <c r="AL7" t="s">
        <v>293</v>
      </c>
      <c r="AM7" t="s">
        <v>293</v>
      </c>
      <c r="AN7" t="s">
        <v>296</v>
      </c>
      <c r="AO7" t="s">
        <v>356</v>
      </c>
      <c r="AP7" t="s">
        <v>293</v>
      </c>
      <c r="AQ7" t="s">
        <v>292</v>
      </c>
      <c r="AR7" t="s">
        <v>293</v>
      </c>
      <c r="AS7" t="s">
        <v>293</v>
      </c>
      <c r="AT7" t="s">
        <v>364</v>
      </c>
      <c r="AU7" t="str">
        <f t="shared" si="1"/>
        <v>break</v>
      </c>
    </row>
    <row r="8" spans="1:48" x14ac:dyDescent="0.3">
      <c r="A8" t="s">
        <v>43</v>
      </c>
      <c r="B8" t="s">
        <v>50</v>
      </c>
      <c r="C8" t="s">
        <v>17</v>
      </c>
      <c r="D8" t="s">
        <v>12</v>
      </c>
      <c r="E8" t="str">
        <f t="shared" si="0"/>
        <v>P_A4T-KYY-S_6B5</v>
      </c>
      <c r="F8" t="b">
        <v>1</v>
      </c>
      <c r="G8">
        <v>100</v>
      </c>
      <c r="H8">
        <v>1</v>
      </c>
      <c r="I8">
        <v>18768</v>
      </c>
      <c r="J8" s="61" t="s">
        <v>18</v>
      </c>
      <c r="K8" s="16" t="s">
        <v>272</v>
      </c>
      <c r="L8" s="16">
        <v>3</v>
      </c>
      <c r="M8" s="16" t="s">
        <v>277</v>
      </c>
      <c r="N8" s="16" t="s">
        <v>335</v>
      </c>
      <c r="O8" s="15" t="s">
        <v>281</v>
      </c>
      <c r="P8" s="15" t="s">
        <v>273</v>
      </c>
      <c r="Q8" t="s">
        <v>282</v>
      </c>
      <c r="R8" s="17" t="s">
        <v>371</v>
      </c>
      <c r="S8" s="16" t="s">
        <v>341</v>
      </c>
      <c r="T8" s="16" t="s">
        <v>340</v>
      </c>
      <c r="U8" s="15" t="s">
        <v>343</v>
      </c>
      <c r="V8" s="15" t="s">
        <v>344</v>
      </c>
      <c r="W8" s="17"/>
      <c r="X8" t="s">
        <v>349</v>
      </c>
      <c r="Y8" t="s">
        <v>349</v>
      </c>
      <c r="Z8" t="s">
        <v>293</v>
      </c>
      <c r="AA8" t="s">
        <v>353</v>
      </c>
      <c r="AB8" t="s">
        <v>355</v>
      </c>
      <c r="AC8" t="s">
        <v>301</v>
      </c>
      <c r="AD8" t="s">
        <v>292</v>
      </c>
      <c r="AE8" t="s">
        <v>293</v>
      </c>
      <c r="AF8" t="s">
        <v>292</v>
      </c>
      <c r="AG8" t="s">
        <v>292</v>
      </c>
      <c r="AH8" t="s">
        <v>293</v>
      </c>
      <c r="AI8" t="s">
        <v>302</v>
      </c>
      <c r="AJ8" t="s">
        <v>302</v>
      </c>
      <c r="AK8" t="s">
        <v>359</v>
      </c>
      <c r="AL8" t="s">
        <v>293</v>
      </c>
      <c r="AM8" t="s">
        <v>293</v>
      </c>
      <c r="AN8" t="s">
        <v>296</v>
      </c>
      <c r="AO8" t="s">
        <v>298</v>
      </c>
      <c r="AP8" t="s">
        <v>293</v>
      </c>
      <c r="AQ8" t="s">
        <v>292</v>
      </c>
      <c r="AR8" t="s">
        <v>293</v>
      </c>
      <c r="AS8" t="s">
        <v>293</v>
      </c>
      <c r="AT8" t="s">
        <v>364</v>
      </c>
      <c r="AU8" t="str">
        <f t="shared" si="1"/>
        <v>break</v>
      </c>
    </row>
    <row r="9" spans="1:48" x14ac:dyDescent="0.3">
      <c r="A9" t="s">
        <v>43</v>
      </c>
      <c r="B9" t="s">
        <v>50</v>
      </c>
      <c r="C9" t="s">
        <v>16</v>
      </c>
      <c r="D9" t="s">
        <v>12</v>
      </c>
      <c r="E9" t="str">
        <f t="shared" si="0"/>
        <v>P_A4T-KYY-S_6U7</v>
      </c>
      <c r="F9" t="b">
        <v>1</v>
      </c>
      <c r="G9">
        <v>100</v>
      </c>
      <c r="H9">
        <v>1</v>
      </c>
      <c r="I9">
        <v>17066</v>
      </c>
      <c r="J9" s="61" t="s">
        <v>18</v>
      </c>
      <c r="K9" s="16" t="s">
        <v>272</v>
      </c>
      <c r="L9" s="16">
        <v>3</v>
      </c>
      <c r="M9" s="16" t="s">
        <v>277</v>
      </c>
      <c r="N9" s="16" t="s">
        <v>335</v>
      </c>
      <c r="O9" s="15" t="s">
        <v>281</v>
      </c>
      <c r="P9" t="s">
        <v>273</v>
      </c>
      <c r="Q9" t="s">
        <v>282</v>
      </c>
      <c r="R9" s="17" t="s">
        <v>371</v>
      </c>
      <c r="S9" s="16" t="s">
        <v>341</v>
      </c>
      <c r="T9" s="16" t="s">
        <v>340</v>
      </c>
      <c r="U9" s="15" t="s">
        <v>343</v>
      </c>
      <c r="V9" s="15" t="s">
        <v>344</v>
      </c>
      <c r="W9" s="17" t="s">
        <v>291</v>
      </c>
      <c r="X9" t="s">
        <v>349</v>
      </c>
      <c r="Y9" t="s">
        <v>349</v>
      </c>
      <c r="Z9" t="s">
        <v>293</v>
      </c>
      <c r="AA9" t="s">
        <v>353</v>
      </c>
      <c r="AB9" t="s">
        <v>355</v>
      </c>
      <c r="AC9" t="s">
        <v>301</v>
      </c>
      <c r="AD9" t="s">
        <v>292</v>
      </c>
      <c r="AE9" t="s">
        <v>293</v>
      </c>
      <c r="AF9" t="s">
        <v>292</v>
      </c>
      <c r="AG9" t="s">
        <v>292</v>
      </c>
      <c r="AH9" t="s">
        <v>293</v>
      </c>
      <c r="AI9" t="s">
        <v>302</v>
      </c>
      <c r="AJ9" t="s">
        <v>302</v>
      </c>
      <c r="AK9" t="s">
        <v>359</v>
      </c>
      <c r="AL9" t="s">
        <v>293</v>
      </c>
      <c r="AM9" t="s">
        <v>293</v>
      </c>
      <c r="AN9" t="s">
        <v>296</v>
      </c>
      <c r="AO9" t="s">
        <v>298</v>
      </c>
      <c r="AP9" t="s">
        <v>293</v>
      </c>
      <c r="AQ9" t="s">
        <v>292</v>
      </c>
      <c r="AR9" t="s">
        <v>293</v>
      </c>
      <c r="AS9" t="s">
        <v>293</v>
      </c>
      <c r="AT9" t="s">
        <v>364</v>
      </c>
      <c r="AU9" t="str">
        <f t="shared" si="1"/>
        <v>break</v>
      </c>
    </row>
    <row r="10" spans="1:48" x14ac:dyDescent="0.3">
      <c r="A10" t="s">
        <v>43</v>
      </c>
      <c r="B10" t="s">
        <v>50</v>
      </c>
      <c r="C10" t="s">
        <v>23</v>
      </c>
      <c r="D10" t="s">
        <v>29</v>
      </c>
      <c r="E10" t="str">
        <f t="shared" si="0"/>
        <v>P_A4T-ZSB-S_0T2</v>
      </c>
      <c r="F10" t="b">
        <v>1</v>
      </c>
      <c r="G10">
        <v>100</v>
      </c>
      <c r="H10">
        <v>1</v>
      </c>
      <c r="I10">
        <v>9668</v>
      </c>
      <c r="J10" s="61" t="s">
        <v>18</v>
      </c>
      <c r="K10" s="16" t="s">
        <v>272</v>
      </c>
      <c r="L10" s="16">
        <v>2</v>
      </c>
      <c r="M10" s="16" t="s">
        <v>277</v>
      </c>
      <c r="N10" s="16" t="s">
        <v>335</v>
      </c>
      <c r="O10" s="15" t="s">
        <v>282</v>
      </c>
      <c r="P10" t="s">
        <v>371</v>
      </c>
      <c r="Q10" t="s">
        <v>371</v>
      </c>
      <c r="R10" s="17" t="s">
        <v>371</v>
      </c>
      <c r="S10" s="16" t="s">
        <v>340</v>
      </c>
      <c r="T10" s="16" t="s">
        <v>342</v>
      </c>
      <c r="U10" s="15" t="s">
        <v>340</v>
      </c>
      <c r="V10" s="15" t="s">
        <v>344</v>
      </c>
      <c r="W10" s="17"/>
      <c r="X10" t="s">
        <v>349</v>
      </c>
      <c r="Y10" t="s">
        <v>349</v>
      </c>
      <c r="Z10" t="s">
        <v>293</v>
      </c>
      <c r="AA10" t="s">
        <v>354</v>
      </c>
      <c r="AB10" t="s">
        <v>354</v>
      </c>
      <c r="AC10" t="s">
        <v>300</v>
      </c>
      <c r="AD10" t="s">
        <v>292</v>
      </c>
      <c r="AE10" t="s">
        <v>293</v>
      </c>
      <c r="AF10" t="s">
        <v>292</v>
      </c>
      <c r="AG10" t="s">
        <v>293</v>
      </c>
      <c r="AH10" t="s">
        <v>293</v>
      </c>
      <c r="AI10" t="s">
        <v>302</v>
      </c>
      <c r="AJ10" t="s">
        <v>302</v>
      </c>
      <c r="AK10" t="s">
        <v>357</v>
      </c>
      <c r="AL10" t="s">
        <v>293</v>
      </c>
      <c r="AM10" t="s">
        <v>293</v>
      </c>
      <c r="AN10" t="s">
        <v>297</v>
      </c>
      <c r="AO10" t="s">
        <v>298</v>
      </c>
      <c r="AP10" t="s">
        <v>293</v>
      </c>
      <c r="AQ10" t="s">
        <v>292</v>
      </c>
      <c r="AR10" t="s">
        <v>293</v>
      </c>
      <c r="AS10" t="s">
        <v>293</v>
      </c>
      <c r="AT10" t="s">
        <v>364</v>
      </c>
      <c r="AU10" t="str">
        <f t="shared" si="1"/>
        <v>break</v>
      </c>
    </row>
    <row r="11" spans="1:48" x14ac:dyDescent="0.3">
      <c r="A11" t="s">
        <v>43</v>
      </c>
      <c r="B11" t="s">
        <v>50</v>
      </c>
      <c r="C11" t="s">
        <v>25</v>
      </c>
      <c r="D11" t="s">
        <v>29</v>
      </c>
      <c r="E11" t="str">
        <f t="shared" si="0"/>
        <v>P_A4T-ZSB-S_1J8</v>
      </c>
      <c r="F11" t="b">
        <v>1</v>
      </c>
      <c r="G11">
        <v>100</v>
      </c>
      <c r="H11">
        <v>1</v>
      </c>
      <c r="I11">
        <v>16249</v>
      </c>
      <c r="J11" s="61" t="s">
        <v>18</v>
      </c>
      <c r="K11" s="16" t="s">
        <v>272</v>
      </c>
      <c r="L11" s="16">
        <v>2</v>
      </c>
      <c r="M11" s="16" t="s">
        <v>277</v>
      </c>
      <c r="N11" s="16" t="s">
        <v>335</v>
      </c>
      <c r="O11" s="15" t="s">
        <v>282</v>
      </c>
      <c r="P11" t="s">
        <v>371</v>
      </c>
      <c r="Q11" t="s">
        <v>371</v>
      </c>
      <c r="R11" s="17" t="s">
        <v>371</v>
      </c>
      <c r="S11" s="16" t="s">
        <v>341</v>
      </c>
      <c r="T11" s="16" t="s">
        <v>342</v>
      </c>
      <c r="U11" s="15" t="s">
        <v>340</v>
      </c>
      <c r="V11" s="15" t="s">
        <v>344</v>
      </c>
      <c r="W11" s="17"/>
      <c r="X11" t="s">
        <v>349</v>
      </c>
      <c r="Y11" t="s">
        <v>349</v>
      </c>
      <c r="Z11" t="s">
        <v>293</v>
      </c>
      <c r="AA11" t="s">
        <v>354</v>
      </c>
      <c r="AB11" t="s">
        <v>354</v>
      </c>
      <c r="AC11" t="s">
        <v>300</v>
      </c>
      <c r="AD11" t="s">
        <v>292</v>
      </c>
      <c r="AE11" t="s">
        <v>293</v>
      </c>
      <c r="AF11" t="s">
        <v>292</v>
      </c>
      <c r="AG11" t="s">
        <v>293</v>
      </c>
      <c r="AH11" t="s">
        <v>293</v>
      </c>
      <c r="AI11" t="s">
        <v>302</v>
      </c>
      <c r="AJ11" t="s">
        <v>302</v>
      </c>
      <c r="AK11" t="s">
        <v>357</v>
      </c>
      <c r="AL11" t="s">
        <v>293</v>
      </c>
      <c r="AM11" t="s">
        <v>293</v>
      </c>
      <c r="AN11" t="s">
        <v>297</v>
      </c>
      <c r="AO11" t="s">
        <v>298</v>
      </c>
      <c r="AP11" t="s">
        <v>293</v>
      </c>
      <c r="AQ11" t="s">
        <v>292</v>
      </c>
      <c r="AR11" t="s">
        <v>293</v>
      </c>
      <c r="AS11" t="s">
        <v>293</v>
      </c>
      <c r="AT11" t="s">
        <v>364</v>
      </c>
      <c r="AU11" t="str">
        <f t="shared" si="1"/>
        <v>break</v>
      </c>
    </row>
    <row r="12" spans="1:48" x14ac:dyDescent="0.3">
      <c r="A12" t="s">
        <v>43</v>
      </c>
      <c r="B12" t="s">
        <v>50</v>
      </c>
      <c r="C12" t="s">
        <v>24</v>
      </c>
      <c r="D12" t="s">
        <v>29</v>
      </c>
      <c r="E12" t="str">
        <f t="shared" si="0"/>
        <v>P_A4T-ZSB-S_1U0</v>
      </c>
      <c r="F12" t="b">
        <v>1</v>
      </c>
      <c r="G12">
        <v>100</v>
      </c>
      <c r="H12">
        <v>1</v>
      </c>
      <c r="I12">
        <v>13608</v>
      </c>
      <c r="J12" s="61" t="s">
        <v>18</v>
      </c>
      <c r="K12" s="16" t="s">
        <v>272</v>
      </c>
      <c r="L12" s="16">
        <v>2</v>
      </c>
      <c r="M12" s="16" t="s">
        <v>277</v>
      </c>
      <c r="N12" s="16" t="s">
        <v>335</v>
      </c>
      <c r="O12" s="15" t="s">
        <v>282</v>
      </c>
      <c r="P12" t="s">
        <v>371</v>
      </c>
      <c r="Q12" t="s">
        <v>371</v>
      </c>
      <c r="R12" s="17" t="s">
        <v>371</v>
      </c>
      <c r="S12" s="16" t="s">
        <v>341</v>
      </c>
      <c r="T12" s="16" t="s">
        <v>342</v>
      </c>
      <c r="U12" s="15" t="s">
        <v>340</v>
      </c>
      <c r="V12" s="15" t="s">
        <v>344</v>
      </c>
      <c r="W12" s="17"/>
      <c r="X12" t="s">
        <v>349</v>
      </c>
      <c r="Y12" t="s">
        <v>349</v>
      </c>
      <c r="Z12" t="s">
        <v>293</v>
      </c>
      <c r="AA12" t="s">
        <v>354</v>
      </c>
      <c r="AB12" t="s">
        <v>354</v>
      </c>
      <c r="AC12" t="s">
        <v>300</v>
      </c>
      <c r="AD12" t="s">
        <v>292</v>
      </c>
      <c r="AE12" t="s">
        <v>293</v>
      </c>
      <c r="AF12" t="s">
        <v>292</v>
      </c>
      <c r="AG12" t="s">
        <v>293</v>
      </c>
      <c r="AH12" t="s">
        <v>293</v>
      </c>
      <c r="AI12" t="s">
        <v>302</v>
      </c>
      <c r="AJ12" t="s">
        <v>302</v>
      </c>
      <c r="AK12" t="s">
        <v>357</v>
      </c>
      <c r="AL12" t="s">
        <v>293</v>
      </c>
      <c r="AM12" t="s">
        <v>293</v>
      </c>
      <c r="AN12" t="s">
        <v>297</v>
      </c>
      <c r="AO12" t="s">
        <v>298</v>
      </c>
      <c r="AP12" t="s">
        <v>293</v>
      </c>
      <c r="AQ12" t="s">
        <v>292</v>
      </c>
      <c r="AR12" t="s">
        <v>293</v>
      </c>
      <c r="AS12" t="s">
        <v>293</v>
      </c>
      <c r="AT12" t="s">
        <v>364</v>
      </c>
      <c r="AU12" t="str">
        <f t="shared" si="1"/>
        <v>break</v>
      </c>
    </row>
    <row r="13" spans="1:48" x14ac:dyDescent="0.3">
      <c r="A13" t="s">
        <v>43</v>
      </c>
      <c r="B13" t="s">
        <v>50</v>
      </c>
      <c r="C13" t="s">
        <v>21</v>
      </c>
      <c r="D13" t="s">
        <v>29</v>
      </c>
      <c r="E13" t="str">
        <f t="shared" si="0"/>
        <v>P_A4T-ZSB-S_3X6</v>
      </c>
      <c r="F13" t="b">
        <v>1</v>
      </c>
      <c r="G13">
        <v>88</v>
      </c>
      <c r="H13">
        <v>0</v>
      </c>
      <c r="I13">
        <v>9763</v>
      </c>
      <c r="J13" s="61" t="s">
        <v>13</v>
      </c>
      <c r="K13" s="16" t="s">
        <v>272</v>
      </c>
      <c r="L13" s="16">
        <v>3</v>
      </c>
      <c r="M13" s="16" t="s">
        <v>277</v>
      </c>
      <c r="N13" s="16" t="s">
        <v>335</v>
      </c>
      <c r="O13" s="15" t="s">
        <v>283</v>
      </c>
      <c r="P13" t="s">
        <v>282</v>
      </c>
      <c r="Q13" t="s">
        <v>371</v>
      </c>
      <c r="R13" s="17" t="s">
        <v>371</v>
      </c>
      <c r="S13" s="16" t="s">
        <v>341</v>
      </c>
      <c r="T13" s="16" t="s">
        <v>342</v>
      </c>
      <c r="U13" s="15" t="s">
        <v>343</v>
      </c>
      <c r="V13" s="15" t="s">
        <v>344</v>
      </c>
      <c r="W13" s="17"/>
      <c r="X13" t="s">
        <v>349</v>
      </c>
      <c r="Y13" t="s">
        <v>349</v>
      </c>
      <c r="Z13" t="s">
        <v>293</v>
      </c>
      <c r="AA13" t="s">
        <v>353</v>
      </c>
      <c r="AB13" t="s">
        <v>297</v>
      </c>
      <c r="AC13" t="s">
        <v>300</v>
      </c>
      <c r="AD13" t="s">
        <v>292</v>
      </c>
      <c r="AE13" t="s">
        <v>293</v>
      </c>
      <c r="AF13" t="s">
        <v>292</v>
      </c>
      <c r="AG13" t="s">
        <v>293</v>
      </c>
      <c r="AH13" t="s">
        <v>293</v>
      </c>
      <c r="AI13" t="s">
        <v>302</v>
      </c>
      <c r="AJ13" t="s">
        <v>302</v>
      </c>
      <c r="AK13" t="s">
        <v>359</v>
      </c>
      <c r="AL13" t="s">
        <v>293</v>
      </c>
      <c r="AM13" t="s">
        <v>293</v>
      </c>
      <c r="AN13" t="s">
        <v>297</v>
      </c>
      <c r="AO13" t="s">
        <v>298</v>
      </c>
      <c r="AP13" t="s">
        <v>293</v>
      </c>
      <c r="AQ13" t="s">
        <v>292</v>
      </c>
      <c r="AR13" t="s">
        <v>293</v>
      </c>
      <c r="AS13" t="s">
        <v>293</v>
      </c>
      <c r="AT13" t="s">
        <v>364</v>
      </c>
      <c r="AU13" t="s">
        <v>366</v>
      </c>
    </row>
    <row r="14" spans="1:48" x14ac:dyDescent="0.3">
      <c r="A14" t="s">
        <v>43</v>
      </c>
      <c r="B14" t="s">
        <v>50</v>
      </c>
      <c r="C14" t="s">
        <v>26</v>
      </c>
      <c r="D14" t="s">
        <v>29</v>
      </c>
      <c r="E14" t="str">
        <f t="shared" si="0"/>
        <v>P_A4T-ZSB-S_8O8</v>
      </c>
      <c r="F14" t="b">
        <v>1</v>
      </c>
      <c r="G14">
        <v>92.5</v>
      </c>
      <c r="H14">
        <v>0</v>
      </c>
      <c r="I14">
        <v>16613</v>
      </c>
      <c r="J14" s="61" t="s">
        <v>13</v>
      </c>
      <c r="K14" s="16" t="s">
        <v>272</v>
      </c>
      <c r="L14" s="16">
        <v>2</v>
      </c>
      <c r="M14" s="16" t="s">
        <v>333</v>
      </c>
      <c r="N14" s="16" t="s">
        <v>278</v>
      </c>
      <c r="O14" s="15" t="s">
        <v>282</v>
      </c>
      <c r="P14" t="s">
        <v>371</v>
      </c>
      <c r="Q14" t="s">
        <v>371</v>
      </c>
      <c r="R14" s="17" t="s">
        <v>371</v>
      </c>
      <c r="S14" s="16" t="s">
        <v>341</v>
      </c>
      <c r="T14" s="16" t="s">
        <v>342</v>
      </c>
      <c r="U14" s="15" t="s">
        <v>340</v>
      </c>
      <c r="V14" s="15" t="s">
        <v>344</v>
      </c>
      <c r="W14" s="17"/>
      <c r="X14" t="s">
        <v>349</v>
      </c>
      <c r="Y14" t="s">
        <v>349</v>
      </c>
      <c r="Z14" t="s">
        <v>293</v>
      </c>
      <c r="AA14" t="s">
        <v>354</v>
      </c>
      <c r="AB14" t="s">
        <v>354</v>
      </c>
      <c r="AC14" t="s">
        <v>300</v>
      </c>
      <c r="AD14" t="s">
        <v>292</v>
      </c>
      <c r="AE14" t="s">
        <v>293</v>
      </c>
      <c r="AF14" t="s">
        <v>292</v>
      </c>
      <c r="AG14" t="s">
        <v>292</v>
      </c>
      <c r="AH14" t="s">
        <v>293</v>
      </c>
      <c r="AI14" t="s">
        <v>302</v>
      </c>
      <c r="AJ14" t="s">
        <v>359</v>
      </c>
      <c r="AK14" t="s">
        <v>357</v>
      </c>
      <c r="AL14" t="s">
        <v>293</v>
      </c>
      <c r="AM14" t="s">
        <v>293</v>
      </c>
      <c r="AN14" t="s">
        <v>297</v>
      </c>
      <c r="AO14" t="s">
        <v>298</v>
      </c>
      <c r="AP14" t="s">
        <v>293</v>
      </c>
      <c r="AQ14" t="s">
        <v>292</v>
      </c>
      <c r="AR14" t="s">
        <v>293</v>
      </c>
      <c r="AS14" t="s">
        <v>293</v>
      </c>
      <c r="AT14" t="s">
        <v>364</v>
      </c>
      <c r="AU14" t="str">
        <f t="shared" ref="AU14:AU77" si="2">IF(J14="fail",IF(H14=1,"break","car_stuck"),"no_fail")</f>
        <v>no_fail</v>
      </c>
    </row>
    <row r="15" spans="1:48" x14ac:dyDescent="0.3">
      <c r="A15" t="s">
        <v>43</v>
      </c>
      <c r="B15" t="s">
        <v>50</v>
      </c>
      <c r="C15" t="s">
        <v>22</v>
      </c>
      <c r="D15" t="s">
        <v>29</v>
      </c>
      <c r="E15" t="str">
        <f t="shared" si="0"/>
        <v>P_A4T-ZSB-S_9B4</v>
      </c>
      <c r="F15" t="b">
        <v>1</v>
      </c>
      <c r="G15">
        <v>100</v>
      </c>
      <c r="H15">
        <v>1</v>
      </c>
      <c r="I15">
        <v>15206</v>
      </c>
      <c r="J15" s="61" t="s">
        <v>18</v>
      </c>
      <c r="K15" s="16" t="s">
        <v>272</v>
      </c>
      <c r="L15" s="16">
        <v>3</v>
      </c>
      <c r="M15" s="16" t="s">
        <v>277</v>
      </c>
      <c r="N15" s="16" t="s">
        <v>335</v>
      </c>
      <c r="O15" s="15" t="s">
        <v>283</v>
      </c>
      <c r="P15" t="s">
        <v>282</v>
      </c>
      <c r="Q15" t="s">
        <v>371</v>
      </c>
      <c r="R15" s="17" t="s">
        <v>371</v>
      </c>
      <c r="S15" s="16" t="s">
        <v>341</v>
      </c>
      <c r="T15" s="16" t="s">
        <v>342</v>
      </c>
      <c r="U15" s="15" t="s">
        <v>343</v>
      </c>
      <c r="V15" s="15" t="s">
        <v>291</v>
      </c>
      <c r="W15" s="17" t="s">
        <v>344</v>
      </c>
      <c r="X15" t="s">
        <v>349</v>
      </c>
      <c r="Y15" t="s">
        <v>349</v>
      </c>
      <c r="Z15" t="s">
        <v>293</v>
      </c>
      <c r="AA15" t="s">
        <v>353</v>
      </c>
      <c r="AB15" t="s">
        <v>297</v>
      </c>
      <c r="AC15" t="s">
        <v>301</v>
      </c>
      <c r="AD15" t="s">
        <v>292</v>
      </c>
      <c r="AE15" t="s">
        <v>293</v>
      </c>
      <c r="AF15" t="s">
        <v>292</v>
      </c>
      <c r="AG15" t="s">
        <v>292</v>
      </c>
      <c r="AH15" t="s">
        <v>293</v>
      </c>
      <c r="AI15" t="s">
        <v>302</v>
      </c>
      <c r="AJ15" t="s">
        <v>302</v>
      </c>
      <c r="AK15" t="s">
        <v>359</v>
      </c>
      <c r="AL15" t="s">
        <v>293</v>
      </c>
      <c r="AM15" t="s">
        <v>293</v>
      </c>
      <c r="AN15" t="s">
        <v>296</v>
      </c>
      <c r="AO15" t="s">
        <v>298</v>
      </c>
      <c r="AP15" t="s">
        <v>293</v>
      </c>
      <c r="AQ15" t="s">
        <v>292</v>
      </c>
      <c r="AR15" t="s">
        <v>293</v>
      </c>
      <c r="AS15" t="s">
        <v>293</v>
      </c>
      <c r="AT15" t="s">
        <v>364</v>
      </c>
      <c r="AU15" t="str">
        <f t="shared" si="2"/>
        <v>break</v>
      </c>
    </row>
    <row r="16" spans="1:48" x14ac:dyDescent="0.3">
      <c r="A16" t="s">
        <v>43</v>
      </c>
      <c r="B16" t="s">
        <v>50</v>
      </c>
      <c r="C16" t="s">
        <v>28</v>
      </c>
      <c r="D16" t="s">
        <v>29</v>
      </c>
      <c r="E16" t="str">
        <f t="shared" si="0"/>
        <v>P_A4T-ZSB-S_9T2</v>
      </c>
      <c r="F16" t="b">
        <v>1</v>
      </c>
      <c r="G16">
        <v>88.2</v>
      </c>
      <c r="H16">
        <v>0</v>
      </c>
      <c r="I16">
        <v>27467</v>
      </c>
      <c r="J16" s="61" t="s">
        <v>13</v>
      </c>
      <c r="K16" s="16" t="s">
        <v>272</v>
      </c>
      <c r="L16" s="16">
        <v>3</v>
      </c>
      <c r="M16" s="16" t="s">
        <v>277</v>
      </c>
      <c r="N16" s="16" t="s">
        <v>335</v>
      </c>
      <c r="O16" s="15" t="s">
        <v>283</v>
      </c>
      <c r="P16" t="s">
        <v>282</v>
      </c>
      <c r="Q16" t="s">
        <v>281</v>
      </c>
      <c r="R16" s="17" t="s">
        <v>371</v>
      </c>
      <c r="S16" s="16" t="s">
        <v>341</v>
      </c>
      <c r="T16" s="16" t="s">
        <v>342</v>
      </c>
      <c r="U16" s="15" t="s">
        <v>340</v>
      </c>
      <c r="V16" s="15" t="s">
        <v>344</v>
      </c>
      <c r="W16" s="17"/>
      <c r="X16" t="s">
        <v>349</v>
      </c>
      <c r="Y16" t="s">
        <v>349</v>
      </c>
      <c r="Z16" t="s">
        <v>292</v>
      </c>
      <c r="AA16" t="s">
        <v>354</v>
      </c>
      <c r="AB16" t="s">
        <v>354</v>
      </c>
      <c r="AC16" t="s">
        <v>300</v>
      </c>
      <c r="AD16" t="s">
        <v>292</v>
      </c>
      <c r="AE16" t="s">
        <v>293</v>
      </c>
      <c r="AF16" t="s">
        <v>292</v>
      </c>
      <c r="AG16" t="s">
        <v>292</v>
      </c>
      <c r="AH16" t="s">
        <v>293</v>
      </c>
      <c r="AI16" t="s">
        <v>302</v>
      </c>
      <c r="AJ16" t="s">
        <v>302</v>
      </c>
      <c r="AK16" t="s">
        <v>357</v>
      </c>
      <c r="AL16" t="s">
        <v>293</v>
      </c>
      <c r="AM16" t="s">
        <v>293</v>
      </c>
      <c r="AN16" t="s">
        <v>296</v>
      </c>
      <c r="AO16" t="s">
        <v>298</v>
      </c>
      <c r="AP16" t="s">
        <v>293</v>
      </c>
      <c r="AQ16" t="s">
        <v>292</v>
      </c>
      <c r="AR16" t="s">
        <v>293</v>
      </c>
      <c r="AS16" t="s">
        <v>293</v>
      </c>
      <c r="AT16" t="s">
        <v>364</v>
      </c>
      <c r="AU16" t="str">
        <f t="shared" si="2"/>
        <v>no_fail</v>
      </c>
    </row>
    <row r="17" spans="1:47" x14ac:dyDescent="0.3">
      <c r="A17" t="s">
        <v>45</v>
      </c>
      <c r="B17" t="s">
        <v>68</v>
      </c>
      <c r="C17" t="s">
        <v>15</v>
      </c>
      <c r="D17" t="s">
        <v>12</v>
      </c>
      <c r="E17" t="str">
        <f t="shared" si="0"/>
        <v>P_A6W-KYY-S_0M4</v>
      </c>
      <c r="F17" t="b">
        <v>1</v>
      </c>
      <c r="G17">
        <v>100</v>
      </c>
      <c r="H17">
        <v>1</v>
      </c>
      <c r="I17">
        <v>11618</v>
      </c>
      <c r="J17" s="61" t="s">
        <v>18</v>
      </c>
      <c r="K17" s="16" t="s">
        <v>272</v>
      </c>
      <c r="L17" s="16">
        <v>3</v>
      </c>
      <c r="M17" s="16" t="s">
        <v>277</v>
      </c>
      <c r="N17" s="16" t="s">
        <v>335</v>
      </c>
      <c r="O17" s="15" t="s">
        <v>282</v>
      </c>
      <c r="P17" t="s">
        <v>371</v>
      </c>
      <c r="Q17" t="s">
        <v>371</v>
      </c>
      <c r="R17" s="17" t="s">
        <v>371</v>
      </c>
      <c r="S17" s="16" t="s">
        <v>340</v>
      </c>
      <c r="T17" s="16" t="s">
        <v>342</v>
      </c>
      <c r="U17" s="15" t="s">
        <v>343</v>
      </c>
      <c r="V17" s="15" t="s">
        <v>344</v>
      </c>
      <c r="W17" s="17" t="s">
        <v>291</v>
      </c>
      <c r="X17" t="s">
        <v>349</v>
      </c>
      <c r="Y17" t="s">
        <v>349</v>
      </c>
      <c r="Z17" t="s">
        <v>293</v>
      </c>
      <c r="AA17" t="s">
        <v>352</v>
      </c>
      <c r="AB17" t="s">
        <v>296</v>
      </c>
      <c r="AC17" t="s">
        <v>300</v>
      </c>
      <c r="AD17" t="s">
        <v>292</v>
      </c>
      <c r="AE17" t="s">
        <v>293</v>
      </c>
      <c r="AF17" t="s">
        <v>292</v>
      </c>
      <c r="AG17" t="s">
        <v>292</v>
      </c>
      <c r="AH17" t="s">
        <v>293</v>
      </c>
      <c r="AI17" t="s">
        <v>302</v>
      </c>
      <c r="AJ17" t="s">
        <v>302</v>
      </c>
      <c r="AK17" t="s">
        <v>359</v>
      </c>
      <c r="AL17" t="s">
        <v>293</v>
      </c>
      <c r="AM17" t="s">
        <v>293</v>
      </c>
      <c r="AN17" t="s">
        <v>296</v>
      </c>
      <c r="AO17" t="s">
        <v>298</v>
      </c>
      <c r="AP17" t="s">
        <v>293</v>
      </c>
      <c r="AQ17" t="s">
        <v>292</v>
      </c>
      <c r="AR17" t="s">
        <v>363</v>
      </c>
      <c r="AS17" t="s">
        <v>293</v>
      </c>
      <c r="AT17" t="s">
        <v>364</v>
      </c>
      <c r="AU17" t="str">
        <f t="shared" si="2"/>
        <v>break</v>
      </c>
    </row>
    <row r="18" spans="1:47" x14ac:dyDescent="0.3">
      <c r="A18" t="s">
        <v>45</v>
      </c>
      <c r="B18" t="s">
        <v>68</v>
      </c>
      <c r="C18" t="s">
        <v>14</v>
      </c>
      <c r="D18" t="s">
        <v>12</v>
      </c>
      <c r="E18" t="str">
        <f t="shared" si="0"/>
        <v>P_A6W-KYY-S_1B0</v>
      </c>
      <c r="F18" t="b">
        <v>1</v>
      </c>
      <c r="G18">
        <v>91</v>
      </c>
      <c r="H18">
        <v>0</v>
      </c>
      <c r="I18">
        <v>14925</v>
      </c>
      <c r="J18" s="61" t="s">
        <v>13</v>
      </c>
      <c r="K18" s="16" t="s">
        <v>272</v>
      </c>
      <c r="L18" s="16">
        <v>3</v>
      </c>
      <c r="M18" s="16" t="s">
        <v>277</v>
      </c>
      <c r="N18" s="16" t="s">
        <v>335</v>
      </c>
      <c r="O18" s="15" t="s">
        <v>281</v>
      </c>
      <c r="P18" t="s">
        <v>282</v>
      </c>
      <c r="Q18" t="s">
        <v>371</v>
      </c>
      <c r="R18" s="17" t="s">
        <v>371</v>
      </c>
      <c r="S18" s="16" t="s">
        <v>341</v>
      </c>
      <c r="T18" s="16" t="s">
        <v>340</v>
      </c>
      <c r="U18" s="15" t="s">
        <v>343</v>
      </c>
      <c r="V18" s="15" t="s">
        <v>344</v>
      </c>
      <c r="W18" s="17" t="s">
        <v>346</v>
      </c>
      <c r="X18" t="s">
        <v>349</v>
      </c>
      <c r="Y18" t="s">
        <v>349</v>
      </c>
      <c r="Z18" t="s">
        <v>293</v>
      </c>
      <c r="AA18" t="s">
        <v>353</v>
      </c>
      <c r="AB18" t="s">
        <v>296</v>
      </c>
      <c r="AC18" t="s">
        <v>300</v>
      </c>
      <c r="AD18" t="s">
        <v>293</v>
      </c>
      <c r="AE18" t="s">
        <v>292</v>
      </c>
      <c r="AF18" t="s">
        <v>292</v>
      </c>
      <c r="AG18" t="s">
        <v>292</v>
      </c>
      <c r="AH18" t="s">
        <v>293</v>
      </c>
      <c r="AI18" t="s">
        <v>302</v>
      </c>
      <c r="AJ18" t="s">
        <v>302</v>
      </c>
      <c r="AK18" t="s">
        <v>359</v>
      </c>
      <c r="AL18" t="s">
        <v>293</v>
      </c>
      <c r="AM18" t="s">
        <v>293</v>
      </c>
      <c r="AN18" t="s">
        <v>297</v>
      </c>
      <c r="AO18" t="s">
        <v>356</v>
      </c>
      <c r="AP18" t="s">
        <v>293</v>
      </c>
      <c r="AQ18" t="s">
        <v>292</v>
      </c>
      <c r="AR18" t="s">
        <v>293</v>
      </c>
      <c r="AS18" t="s">
        <v>293</v>
      </c>
      <c r="AT18" t="s">
        <v>364</v>
      </c>
      <c r="AU18" t="str">
        <f t="shared" si="2"/>
        <v>no_fail</v>
      </c>
    </row>
    <row r="19" spans="1:47" x14ac:dyDescent="0.3">
      <c r="A19" t="s">
        <v>45</v>
      </c>
      <c r="B19" t="s">
        <v>68</v>
      </c>
      <c r="C19" t="s">
        <v>11</v>
      </c>
      <c r="D19" t="s">
        <v>12</v>
      </c>
      <c r="E19" t="str">
        <f t="shared" si="0"/>
        <v>P_A6W-KYY-S_1Q4</v>
      </c>
      <c r="F19" t="b">
        <v>1</v>
      </c>
      <c r="G19">
        <v>100</v>
      </c>
      <c r="H19">
        <v>1</v>
      </c>
      <c r="I19">
        <v>11946</v>
      </c>
      <c r="J19" s="61" t="s">
        <v>13</v>
      </c>
      <c r="K19" s="16" t="s">
        <v>272</v>
      </c>
      <c r="L19" s="16">
        <v>3</v>
      </c>
      <c r="M19" s="16" t="s">
        <v>277</v>
      </c>
      <c r="N19" s="16" t="s">
        <v>335</v>
      </c>
      <c r="O19" s="15" t="s">
        <v>281</v>
      </c>
      <c r="P19" t="s">
        <v>282</v>
      </c>
      <c r="Q19" t="s">
        <v>371</v>
      </c>
      <c r="R19" s="17" t="s">
        <v>371</v>
      </c>
      <c r="S19" s="16" t="s">
        <v>341</v>
      </c>
      <c r="T19" s="16" t="s">
        <v>340</v>
      </c>
      <c r="U19" s="15" t="s">
        <v>343</v>
      </c>
      <c r="V19" s="15" t="s">
        <v>344</v>
      </c>
      <c r="W19" s="17" t="s">
        <v>346</v>
      </c>
      <c r="X19" t="s">
        <v>349</v>
      </c>
      <c r="Y19" t="s">
        <v>349</v>
      </c>
      <c r="Z19" t="s">
        <v>293</v>
      </c>
      <c r="AA19" t="s">
        <v>353</v>
      </c>
      <c r="AB19" t="s">
        <v>296</v>
      </c>
      <c r="AC19" t="s">
        <v>300</v>
      </c>
      <c r="AD19" t="s">
        <v>292</v>
      </c>
      <c r="AE19" t="s">
        <v>293</v>
      </c>
      <c r="AF19" t="s">
        <v>292</v>
      </c>
      <c r="AG19" t="s">
        <v>292</v>
      </c>
      <c r="AH19" t="s">
        <v>293</v>
      </c>
      <c r="AI19" t="s">
        <v>302</v>
      </c>
      <c r="AJ19" t="s">
        <v>302</v>
      </c>
      <c r="AK19" t="s">
        <v>359</v>
      </c>
      <c r="AL19" t="s">
        <v>293</v>
      </c>
      <c r="AM19" t="s">
        <v>293</v>
      </c>
      <c r="AN19" t="s">
        <v>297</v>
      </c>
      <c r="AO19" t="s">
        <v>298</v>
      </c>
      <c r="AP19" t="s">
        <v>293</v>
      </c>
      <c r="AQ19" t="s">
        <v>292</v>
      </c>
      <c r="AR19" t="s">
        <v>293</v>
      </c>
      <c r="AS19" t="s">
        <v>293</v>
      </c>
      <c r="AT19" t="s">
        <v>364</v>
      </c>
      <c r="AU19" t="str">
        <f t="shared" si="2"/>
        <v>no_fail</v>
      </c>
    </row>
    <row r="20" spans="1:47" x14ac:dyDescent="0.3">
      <c r="A20" t="s">
        <v>45</v>
      </c>
      <c r="B20" t="s">
        <v>68</v>
      </c>
      <c r="C20" t="s">
        <v>17</v>
      </c>
      <c r="D20" t="s">
        <v>12</v>
      </c>
      <c r="E20" t="str">
        <f t="shared" si="0"/>
        <v>P_A6W-KYY-S_6B5</v>
      </c>
      <c r="F20" t="b">
        <v>1</v>
      </c>
      <c r="G20">
        <v>83.3</v>
      </c>
      <c r="H20">
        <v>0</v>
      </c>
      <c r="I20">
        <v>14818</v>
      </c>
      <c r="J20" s="61" t="s">
        <v>13</v>
      </c>
      <c r="K20" s="16" t="s">
        <v>272</v>
      </c>
      <c r="L20" s="16">
        <v>3</v>
      </c>
      <c r="M20" s="16" t="s">
        <v>277</v>
      </c>
      <c r="N20" s="16" t="s">
        <v>335</v>
      </c>
      <c r="O20" s="15" t="s">
        <v>282</v>
      </c>
      <c r="P20" t="s">
        <v>371</v>
      </c>
      <c r="Q20" t="s">
        <v>371</v>
      </c>
      <c r="R20" s="17" t="s">
        <v>371</v>
      </c>
      <c r="S20" s="16" t="s">
        <v>341</v>
      </c>
      <c r="T20" s="16" t="s">
        <v>342</v>
      </c>
      <c r="U20" s="15" t="s">
        <v>343</v>
      </c>
      <c r="V20" s="15" t="s">
        <v>345</v>
      </c>
      <c r="W20" s="17" t="s">
        <v>344</v>
      </c>
      <c r="X20" t="s">
        <v>349</v>
      </c>
      <c r="Y20" t="s">
        <v>349</v>
      </c>
      <c r="Z20" t="s">
        <v>293</v>
      </c>
      <c r="AA20" t="s">
        <v>353</v>
      </c>
      <c r="AB20" t="s">
        <v>296</v>
      </c>
      <c r="AC20" t="s">
        <v>299</v>
      </c>
      <c r="AD20" t="s">
        <v>292</v>
      </c>
      <c r="AE20" t="s">
        <v>292</v>
      </c>
      <c r="AF20" t="s">
        <v>292</v>
      </c>
      <c r="AG20" t="s">
        <v>292</v>
      </c>
      <c r="AH20" t="s">
        <v>293</v>
      </c>
      <c r="AI20" t="s">
        <v>302</v>
      </c>
      <c r="AJ20" t="s">
        <v>302</v>
      </c>
      <c r="AK20" t="s">
        <v>359</v>
      </c>
      <c r="AL20" t="s">
        <v>293</v>
      </c>
      <c r="AM20" t="s">
        <v>293</v>
      </c>
      <c r="AN20" t="s">
        <v>297</v>
      </c>
      <c r="AO20" t="s">
        <v>298</v>
      </c>
      <c r="AP20" t="s">
        <v>293</v>
      </c>
      <c r="AQ20" t="s">
        <v>292</v>
      </c>
      <c r="AR20" t="s">
        <v>363</v>
      </c>
      <c r="AS20" t="s">
        <v>293</v>
      </c>
      <c r="AT20" t="s">
        <v>364</v>
      </c>
      <c r="AU20" t="str">
        <f t="shared" si="2"/>
        <v>no_fail</v>
      </c>
    </row>
    <row r="21" spans="1:47" x14ac:dyDescent="0.3">
      <c r="A21" t="s">
        <v>45</v>
      </c>
      <c r="B21" t="s">
        <v>68</v>
      </c>
      <c r="C21" t="s">
        <v>16</v>
      </c>
      <c r="D21" t="s">
        <v>12</v>
      </c>
      <c r="E21" t="str">
        <f t="shared" si="0"/>
        <v>P_A6W-KYY-S_6U7</v>
      </c>
      <c r="F21" t="b">
        <v>1</v>
      </c>
      <c r="G21">
        <v>100</v>
      </c>
      <c r="H21">
        <v>1</v>
      </c>
      <c r="I21">
        <v>15080</v>
      </c>
      <c r="J21" s="61" t="s">
        <v>18</v>
      </c>
      <c r="K21" s="16" t="s">
        <v>272</v>
      </c>
      <c r="L21" s="16">
        <v>3</v>
      </c>
      <c r="M21" s="16" t="s">
        <v>277</v>
      </c>
      <c r="N21" s="16" t="s">
        <v>335</v>
      </c>
      <c r="O21" s="15" t="s">
        <v>282</v>
      </c>
      <c r="P21" t="s">
        <v>371</v>
      </c>
      <c r="Q21" t="s">
        <v>371</v>
      </c>
      <c r="R21" s="17" t="s">
        <v>371</v>
      </c>
      <c r="S21" s="16" t="s">
        <v>341</v>
      </c>
      <c r="T21" s="16" t="s">
        <v>342</v>
      </c>
      <c r="U21" s="15" t="s">
        <v>343</v>
      </c>
      <c r="V21" s="15" t="s">
        <v>345</v>
      </c>
      <c r="W21" s="17" t="s">
        <v>344</v>
      </c>
      <c r="X21" t="s">
        <v>349</v>
      </c>
      <c r="Y21" t="s">
        <v>349</v>
      </c>
      <c r="Z21" t="s">
        <v>293</v>
      </c>
      <c r="AA21" t="s">
        <v>353</v>
      </c>
      <c r="AB21" t="s">
        <v>296</v>
      </c>
      <c r="AC21" t="s">
        <v>299</v>
      </c>
      <c r="AD21" t="s">
        <v>292</v>
      </c>
      <c r="AE21" t="s">
        <v>293</v>
      </c>
      <c r="AF21" t="s">
        <v>292</v>
      </c>
      <c r="AG21" t="s">
        <v>292</v>
      </c>
      <c r="AH21" t="s">
        <v>293</v>
      </c>
      <c r="AI21" t="s">
        <v>302</v>
      </c>
      <c r="AJ21" t="s">
        <v>302</v>
      </c>
      <c r="AK21" t="s">
        <v>359</v>
      </c>
      <c r="AL21" t="s">
        <v>293</v>
      </c>
      <c r="AM21" t="s">
        <v>293</v>
      </c>
      <c r="AN21" t="s">
        <v>297</v>
      </c>
      <c r="AO21" t="s">
        <v>298</v>
      </c>
      <c r="AP21" t="s">
        <v>293</v>
      </c>
      <c r="AQ21" t="s">
        <v>292</v>
      </c>
      <c r="AR21" t="s">
        <v>363</v>
      </c>
      <c r="AS21" t="s">
        <v>293</v>
      </c>
      <c r="AT21" t="s">
        <v>364</v>
      </c>
      <c r="AU21" t="str">
        <f t="shared" si="2"/>
        <v>break</v>
      </c>
    </row>
    <row r="22" spans="1:47" x14ac:dyDescent="0.3">
      <c r="A22" t="s">
        <v>45</v>
      </c>
      <c r="B22" t="s">
        <v>68</v>
      </c>
      <c r="C22" t="s">
        <v>23</v>
      </c>
      <c r="D22" t="s">
        <v>29</v>
      </c>
      <c r="E22" t="str">
        <f t="shared" si="0"/>
        <v>P_A6W-ZSB-S_0T2</v>
      </c>
      <c r="F22" t="b">
        <v>1</v>
      </c>
      <c r="G22">
        <v>100</v>
      </c>
      <c r="H22">
        <v>1</v>
      </c>
      <c r="I22">
        <v>9025</v>
      </c>
      <c r="J22" s="61" t="s">
        <v>18</v>
      </c>
      <c r="K22" s="16" t="s">
        <v>272</v>
      </c>
      <c r="L22" s="16">
        <v>2</v>
      </c>
      <c r="M22" s="16" t="s">
        <v>277</v>
      </c>
      <c r="N22" s="16" t="s">
        <v>335</v>
      </c>
      <c r="O22" s="15" t="s">
        <v>282</v>
      </c>
      <c r="P22" t="s">
        <v>371</v>
      </c>
      <c r="Q22" t="s">
        <v>371</v>
      </c>
      <c r="R22" s="17" t="s">
        <v>371</v>
      </c>
      <c r="S22" s="16" t="s">
        <v>340</v>
      </c>
      <c r="T22" s="16" t="s">
        <v>342</v>
      </c>
      <c r="U22" s="15" t="s">
        <v>340</v>
      </c>
      <c r="V22" s="15" t="s">
        <v>344</v>
      </c>
      <c r="W22" s="17"/>
      <c r="X22" t="s">
        <v>349</v>
      </c>
      <c r="Y22" t="s">
        <v>349</v>
      </c>
      <c r="Z22" t="s">
        <v>293</v>
      </c>
      <c r="AA22" t="s">
        <v>354</v>
      </c>
      <c r="AB22" t="s">
        <v>354</v>
      </c>
      <c r="AC22" t="s">
        <v>300</v>
      </c>
      <c r="AD22" t="s">
        <v>292</v>
      </c>
      <c r="AE22" t="s">
        <v>293</v>
      </c>
      <c r="AF22" t="s">
        <v>292</v>
      </c>
      <c r="AG22" t="s">
        <v>292</v>
      </c>
      <c r="AH22" t="s">
        <v>293</v>
      </c>
      <c r="AI22" t="s">
        <v>302</v>
      </c>
      <c r="AJ22" t="s">
        <v>302</v>
      </c>
      <c r="AK22" t="s">
        <v>357</v>
      </c>
      <c r="AL22" t="s">
        <v>293</v>
      </c>
      <c r="AM22" t="s">
        <v>293</v>
      </c>
      <c r="AN22" t="s">
        <v>297</v>
      </c>
      <c r="AO22" t="s">
        <v>298</v>
      </c>
      <c r="AP22" t="s">
        <v>293</v>
      </c>
      <c r="AQ22" t="s">
        <v>292</v>
      </c>
      <c r="AR22" t="s">
        <v>293</v>
      </c>
      <c r="AS22" t="s">
        <v>293</v>
      </c>
      <c r="AT22" t="s">
        <v>364</v>
      </c>
      <c r="AU22" t="str">
        <f t="shared" si="2"/>
        <v>break</v>
      </c>
    </row>
    <row r="23" spans="1:47" x14ac:dyDescent="0.3">
      <c r="A23" t="s">
        <v>45</v>
      </c>
      <c r="B23" t="s">
        <v>68</v>
      </c>
      <c r="C23" t="s">
        <v>25</v>
      </c>
      <c r="D23" t="s">
        <v>29</v>
      </c>
      <c r="E23" t="str">
        <f t="shared" si="0"/>
        <v>P_A6W-ZSB-S_1J8</v>
      </c>
      <c r="F23" t="b">
        <v>1</v>
      </c>
      <c r="G23">
        <v>54.9</v>
      </c>
      <c r="H23">
        <v>0</v>
      </c>
      <c r="I23">
        <v>12165</v>
      </c>
      <c r="J23" s="61" t="s">
        <v>13</v>
      </c>
      <c r="K23" s="16" t="s">
        <v>272</v>
      </c>
      <c r="L23" s="16">
        <v>3</v>
      </c>
      <c r="M23" s="16" t="s">
        <v>277</v>
      </c>
      <c r="N23" s="16" t="s">
        <v>335</v>
      </c>
      <c r="O23" s="15" t="s">
        <v>283</v>
      </c>
      <c r="P23" t="s">
        <v>282</v>
      </c>
      <c r="Q23" t="s">
        <v>371</v>
      </c>
      <c r="R23" s="17" t="s">
        <v>371</v>
      </c>
      <c r="S23" s="16" t="s">
        <v>341</v>
      </c>
      <c r="T23" s="16" t="s">
        <v>340</v>
      </c>
      <c r="U23" s="15" t="s">
        <v>343</v>
      </c>
      <c r="V23" s="15" t="s">
        <v>344</v>
      </c>
      <c r="W23" s="17"/>
      <c r="X23" t="s">
        <v>349</v>
      </c>
      <c r="Y23" t="s">
        <v>349</v>
      </c>
      <c r="Z23" t="s">
        <v>293</v>
      </c>
      <c r="AA23" t="s">
        <v>353</v>
      </c>
      <c r="AB23" t="s">
        <v>296</v>
      </c>
      <c r="AC23" t="s">
        <v>300</v>
      </c>
      <c r="AD23" t="s">
        <v>292</v>
      </c>
      <c r="AE23" t="s">
        <v>293</v>
      </c>
      <c r="AF23" t="s">
        <v>292</v>
      </c>
      <c r="AG23" t="s">
        <v>292</v>
      </c>
      <c r="AH23" t="s">
        <v>293</v>
      </c>
      <c r="AI23" t="s">
        <v>302</v>
      </c>
      <c r="AJ23" t="s">
        <v>302</v>
      </c>
      <c r="AK23" t="s">
        <v>359</v>
      </c>
      <c r="AL23" t="s">
        <v>293</v>
      </c>
      <c r="AM23" t="s">
        <v>293</v>
      </c>
      <c r="AN23" t="s">
        <v>297</v>
      </c>
      <c r="AO23" t="s">
        <v>298</v>
      </c>
      <c r="AP23" t="s">
        <v>293</v>
      </c>
      <c r="AQ23" t="s">
        <v>292</v>
      </c>
      <c r="AR23" t="s">
        <v>293</v>
      </c>
      <c r="AS23" t="s">
        <v>293</v>
      </c>
      <c r="AT23" t="s">
        <v>364</v>
      </c>
      <c r="AU23" t="str">
        <f t="shared" si="2"/>
        <v>no_fail</v>
      </c>
    </row>
    <row r="24" spans="1:47" x14ac:dyDescent="0.3">
      <c r="A24" t="s">
        <v>45</v>
      </c>
      <c r="B24" t="s">
        <v>68</v>
      </c>
      <c r="C24" t="s">
        <v>24</v>
      </c>
      <c r="D24" t="s">
        <v>29</v>
      </c>
      <c r="E24" t="str">
        <f t="shared" si="0"/>
        <v>P_A6W-ZSB-S_1U0</v>
      </c>
      <c r="F24" t="b">
        <v>1</v>
      </c>
      <c r="G24">
        <v>67.900000000000006</v>
      </c>
      <c r="H24">
        <v>0</v>
      </c>
      <c r="I24">
        <v>12060</v>
      </c>
      <c r="J24" s="61" t="s">
        <v>13</v>
      </c>
      <c r="K24" s="16" t="s">
        <v>272</v>
      </c>
      <c r="L24" s="16">
        <v>2</v>
      </c>
      <c r="M24" s="16" t="s">
        <v>277</v>
      </c>
      <c r="N24" s="16" t="s">
        <v>335</v>
      </c>
      <c r="O24" s="15" t="s">
        <v>282</v>
      </c>
      <c r="P24" t="s">
        <v>371</v>
      </c>
      <c r="Q24" t="s">
        <v>371</v>
      </c>
      <c r="R24" s="17" t="s">
        <v>371</v>
      </c>
      <c r="S24" s="16" t="s">
        <v>340</v>
      </c>
      <c r="T24" s="16" t="s">
        <v>342</v>
      </c>
      <c r="U24" s="15" t="s">
        <v>340</v>
      </c>
      <c r="V24" s="15" t="s">
        <v>344</v>
      </c>
      <c r="W24" s="17"/>
      <c r="X24" t="s">
        <v>349</v>
      </c>
      <c r="Y24" t="s">
        <v>349</v>
      </c>
      <c r="Z24" t="s">
        <v>293</v>
      </c>
      <c r="AA24" t="s">
        <v>354</v>
      </c>
      <c r="AB24" t="s">
        <v>354</v>
      </c>
      <c r="AC24" t="s">
        <v>300</v>
      </c>
      <c r="AD24" t="s">
        <v>293</v>
      </c>
      <c r="AE24" t="s">
        <v>292</v>
      </c>
      <c r="AF24" t="s">
        <v>292</v>
      </c>
      <c r="AG24" t="s">
        <v>293</v>
      </c>
      <c r="AH24" t="s">
        <v>293</v>
      </c>
      <c r="AI24" t="s">
        <v>302</v>
      </c>
      <c r="AJ24" t="s">
        <v>302</v>
      </c>
      <c r="AK24" t="s">
        <v>357</v>
      </c>
      <c r="AL24" t="s">
        <v>293</v>
      </c>
      <c r="AM24" t="s">
        <v>293</v>
      </c>
      <c r="AN24" t="s">
        <v>297</v>
      </c>
      <c r="AO24" t="s">
        <v>356</v>
      </c>
      <c r="AP24" t="s">
        <v>293</v>
      </c>
      <c r="AQ24" t="s">
        <v>292</v>
      </c>
      <c r="AR24" t="s">
        <v>293</v>
      </c>
      <c r="AS24" t="s">
        <v>293</v>
      </c>
      <c r="AT24" t="s">
        <v>364</v>
      </c>
      <c r="AU24" t="str">
        <f t="shared" si="2"/>
        <v>no_fail</v>
      </c>
    </row>
    <row r="25" spans="1:47" x14ac:dyDescent="0.3">
      <c r="A25" t="s">
        <v>45</v>
      </c>
      <c r="B25" t="s">
        <v>68</v>
      </c>
      <c r="C25" t="s">
        <v>21</v>
      </c>
      <c r="D25" t="s">
        <v>29</v>
      </c>
      <c r="E25" t="str">
        <f t="shared" si="0"/>
        <v>P_A6W-ZSB-S_3X6</v>
      </c>
      <c r="F25" t="b">
        <v>1</v>
      </c>
      <c r="G25">
        <v>92.6</v>
      </c>
      <c r="H25">
        <v>0</v>
      </c>
      <c r="I25">
        <v>10426</v>
      </c>
      <c r="J25" s="61" t="s">
        <v>13</v>
      </c>
      <c r="K25" s="16" t="s">
        <v>272</v>
      </c>
      <c r="L25" s="16">
        <v>3</v>
      </c>
      <c r="M25" s="16" t="s">
        <v>277</v>
      </c>
      <c r="N25" s="16" t="s">
        <v>335</v>
      </c>
      <c r="O25" s="15" t="s">
        <v>281</v>
      </c>
      <c r="P25" t="s">
        <v>273</v>
      </c>
      <c r="Q25" t="s">
        <v>282</v>
      </c>
      <c r="R25" s="17" t="s">
        <v>371</v>
      </c>
      <c r="S25" s="16" t="s">
        <v>340</v>
      </c>
      <c r="T25" s="16" t="s">
        <v>342</v>
      </c>
      <c r="U25" s="15" t="s">
        <v>343</v>
      </c>
      <c r="V25" s="15" t="s">
        <v>344</v>
      </c>
      <c r="W25" s="17"/>
      <c r="X25" t="s">
        <v>349</v>
      </c>
      <c r="Y25" t="s">
        <v>349</v>
      </c>
      <c r="Z25" t="s">
        <v>293</v>
      </c>
      <c r="AA25" t="s">
        <v>353</v>
      </c>
      <c r="AB25" t="s">
        <v>355</v>
      </c>
      <c r="AC25" t="s">
        <v>300</v>
      </c>
      <c r="AD25" t="s">
        <v>292</v>
      </c>
      <c r="AE25" t="s">
        <v>293</v>
      </c>
      <c r="AF25" t="s">
        <v>292</v>
      </c>
      <c r="AG25" t="s">
        <v>292</v>
      </c>
      <c r="AH25" t="s">
        <v>293</v>
      </c>
      <c r="AI25" t="s">
        <v>302</v>
      </c>
      <c r="AJ25" t="s">
        <v>302</v>
      </c>
      <c r="AK25" t="s">
        <v>359</v>
      </c>
      <c r="AL25" t="s">
        <v>293</v>
      </c>
      <c r="AM25" t="s">
        <v>293</v>
      </c>
      <c r="AN25" t="s">
        <v>297</v>
      </c>
      <c r="AO25" t="s">
        <v>298</v>
      </c>
      <c r="AP25" t="s">
        <v>293</v>
      </c>
      <c r="AQ25" t="s">
        <v>292</v>
      </c>
      <c r="AR25" t="s">
        <v>293</v>
      </c>
      <c r="AS25" t="s">
        <v>293</v>
      </c>
      <c r="AT25" t="s">
        <v>364</v>
      </c>
      <c r="AU25" t="str">
        <f t="shared" si="2"/>
        <v>no_fail</v>
      </c>
    </row>
    <row r="26" spans="1:47" x14ac:dyDescent="0.3">
      <c r="A26" t="s">
        <v>45</v>
      </c>
      <c r="B26" t="s">
        <v>68</v>
      </c>
      <c r="C26" t="s">
        <v>19</v>
      </c>
      <c r="D26" t="s">
        <v>29</v>
      </c>
      <c r="E26" t="str">
        <f t="shared" si="0"/>
        <v>P_A6W-ZSB-S_4U3</v>
      </c>
      <c r="F26" t="b">
        <v>1</v>
      </c>
      <c r="G26">
        <v>71.8</v>
      </c>
      <c r="H26">
        <v>0</v>
      </c>
      <c r="I26">
        <v>14160</v>
      </c>
      <c r="J26" s="61" t="s">
        <v>13</v>
      </c>
      <c r="K26" s="16" t="s">
        <v>272</v>
      </c>
      <c r="L26" s="16">
        <v>3</v>
      </c>
      <c r="M26" s="16" t="s">
        <v>277</v>
      </c>
      <c r="N26" s="16" t="s">
        <v>335</v>
      </c>
      <c r="O26" s="15" t="s">
        <v>281</v>
      </c>
      <c r="P26" t="s">
        <v>283</v>
      </c>
      <c r="Q26" t="s">
        <v>282</v>
      </c>
      <c r="R26" s="17" t="s">
        <v>371</v>
      </c>
      <c r="S26" s="16" t="s">
        <v>341</v>
      </c>
      <c r="T26" s="16" t="s">
        <v>342</v>
      </c>
      <c r="U26" s="15" t="s">
        <v>343</v>
      </c>
      <c r="V26" s="15" t="s">
        <v>344</v>
      </c>
      <c r="W26" s="17"/>
      <c r="X26" t="s">
        <v>349</v>
      </c>
      <c r="Y26" t="s">
        <v>349</v>
      </c>
      <c r="Z26" t="s">
        <v>293</v>
      </c>
      <c r="AA26" t="s">
        <v>353</v>
      </c>
      <c r="AB26" t="s">
        <v>355</v>
      </c>
      <c r="AC26" t="s">
        <v>299</v>
      </c>
      <c r="AD26" t="s">
        <v>292</v>
      </c>
      <c r="AE26" t="s">
        <v>292</v>
      </c>
      <c r="AF26" t="s">
        <v>292</v>
      </c>
      <c r="AG26" t="s">
        <v>292</v>
      </c>
      <c r="AH26" t="s">
        <v>293</v>
      </c>
      <c r="AI26" t="s">
        <v>302</v>
      </c>
      <c r="AJ26" t="s">
        <v>302</v>
      </c>
      <c r="AK26" t="s">
        <v>359</v>
      </c>
      <c r="AL26" t="s">
        <v>293</v>
      </c>
      <c r="AM26" t="s">
        <v>293</v>
      </c>
      <c r="AN26" t="s">
        <v>297</v>
      </c>
      <c r="AO26" t="s">
        <v>298</v>
      </c>
      <c r="AP26" t="s">
        <v>293</v>
      </c>
      <c r="AQ26" t="s">
        <v>292</v>
      </c>
      <c r="AR26" t="s">
        <v>293</v>
      </c>
      <c r="AS26" t="s">
        <v>293</v>
      </c>
      <c r="AT26" t="s">
        <v>364</v>
      </c>
      <c r="AU26" t="str">
        <f t="shared" si="2"/>
        <v>no_fail</v>
      </c>
    </row>
    <row r="27" spans="1:47" x14ac:dyDescent="0.3">
      <c r="A27" t="s">
        <v>45</v>
      </c>
      <c r="B27" t="s">
        <v>68</v>
      </c>
      <c r="C27" t="s">
        <v>20</v>
      </c>
      <c r="D27" t="s">
        <v>29</v>
      </c>
      <c r="E27" t="str">
        <f t="shared" si="0"/>
        <v>P_A6W-ZSB-S_7W0</v>
      </c>
      <c r="F27" t="b">
        <v>1</v>
      </c>
      <c r="G27">
        <v>100</v>
      </c>
      <c r="H27">
        <v>1</v>
      </c>
      <c r="I27">
        <v>9939</v>
      </c>
      <c r="J27" s="61" t="s">
        <v>13</v>
      </c>
      <c r="K27" s="16" t="s">
        <v>272</v>
      </c>
      <c r="L27" s="16">
        <v>3</v>
      </c>
      <c r="M27" s="16" t="s">
        <v>277</v>
      </c>
      <c r="N27" s="16" t="s">
        <v>335</v>
      </c>
      <c r="O27" s="15" t="s">
        <v>281</v>
      </c>
      <c r="P27" t="s">
        <v>273</v>
      </c>
      <c r="Q27" t="s">
        <v>282</v>
      </c>
      <c r="R27" s="17" t="s">
        <v>371</v>
      </c>
      <c r="S27" s="16" t="s">
        <v>340</v>
      </c>
      <c r="T27" s="16" t="s">
        <v>342</v>
      </c>
      <c r="U27" s="15" t="s">
        <v>343</v>
      </c>
      <c r="V27" s="15" t="s">
        <v>344</v>
      </c>
      <c r="W27" s="17"/>
      <c r="X27" t="s">
        <v>349</v>
      </c>
      <c r="Y27" t="s">
        <v>349</v>
      </c>
      <c r="Z27" t="s">
        <v>293</v>
      </c>
      <c r="AA27" t="s">
        <v>353</v>
      </c>
      <c r="AB27" t="s">
        <v>355</v>
      </c>
      <c r="AC27" t="s">
        <v>300</v>
      </c>
      <c r="AD27" t="s">
        <v>292</v>
      </c>
      <c r="AE27" t="s">
        <v>293</v>
      </c>
      <c r="AF27" t="s">
        <v>292</v>
      </c>
      <c r="AG27" t="s">
        <v>293</v>
      </c>
      <c r="AH27" t="s">
        <v>293</v>
      </c>
      <c r="AI27" t="s">
        <v>302</v>
      </c>
      <c r="AJ27" t="s">
        <v>302</v>
      </c>
      <c r="AK27" t="s">
        <v>359</v>
      </c>
      <c r="AL27" t="s">
        <v>293</v>
      </c>
      <c r="AM27" t="s">
        <v>293</v>
      </c>
      <c r="AN27" t="s">
        <v>297</v>
      </c>
      <c r="AO27" t="s">
        <v>298</v>
      </c>
      <c r="AP27" t="s">
        <v>293</v>
      </c>
      <c r="AQ27" t="s">
        <v>292</v>
      </c>
      <c r="AR27" t="s">
        <v>293</v>
      </c>
      <c r="AS27" t="s">
        <v>293</v>
      </c>
      <c r="AT27" t="s">
        <v>364</v>
      </c>
      <c r="AU27" t="str">
        <f t="shared" si="2"/>
        <v>no_fail</v>
      </c>
    </row>
    <row r="28" spans="1:47" x14ac:dyDescent="0.3">
      <c r="A28" t="s">
        <v>45</v>
      </c>
      <c r="B28" t="s">
        <v>68</v>
      </c>
      <c r="C28" t="s">
        <v>26</v>
      </c>
      <c r="D28" t="s">
        <v>29</v>
      </c>
      <c r="E28" t="str">
        <f t="shared" si="0"/>
        <v>P_A6W-ZSB-S_8O8</v>
      </c>
      <c r="F28" t="b">
        <v>1</v>
      </c>
      <c r="G28">
        <v>100</v>
      </c>
      <c r="H28">
        <v>1</v>
      </c>
      <c r="I28">
        <v>21200</v>
      </c>
      <c r="J28" s="61" t="s">
        <v>18</v>
      </c>
      <c r="K28" s="16" t="s">
        <v>272</v>
      </c>
      <c r="L28" s="16">
        <v>3</v>
      </c>
      <c r="M28" s="16" t="s">
        <v>277</v>
      </c>
      <c r="N28" s="16" t="s">
        <v>335</v>
      </c>
      <c r="O28" s="15" t="s">
        <v>283</v>
      </c>
      <c r="P28" t="s">
        <v>282</v>
      </c>
      <c r="Q28" t="s">
        <v>371</v>
      </c>
      <c r="R28" s="17" t="s">
        <v>371</v>
      </c>
      <c r="S28" s="16" t="s">
        <v>341</v>
      </c>
      <c r="T28" s="16" t="s">
        <v>340</v>
      </c>
      <c r="U28" s="15" t="s">
        <v>343</v>
      </c>
      <c r="V28" s="15" t="s">
        <v>344</v>
      </c>
      <c r="W28" s="17"/>
      <c r="X28" t="s">
        <v>349</v>
      </c>
      <c r="Y28" t="s">
        <v>349</v>
      </c>
      <c r="Z28" t="s">
        <v>293</v>
      </c>
      <c r="AA28" t="s">
        <v>353</v>
      </c>
      <c r="AB28" t="s">
        <v>296</v>
      </c>
      <c r="AC28" t="s">
        <v>301</v>
      </c>
      <c r="AD28" t="s">
        <v>292</v>
      </c>
      <c r="AE28" t="s">
        <v>293</v>
      </c>
      <c r="AF28" t="s">
        <v>293</v>
      </c>
      <c r="AG28" t="s">
        <v>292</v>
      </c>
      <c r="AH28" t="s">
        <v>293</v>
      </c>
      <c r="AI28" t="s">
        <v>302</v>
      </c>
      <c r="AJ28" t="s">
        <v>302</v>
      </c>
      <c r="AK28" t="s">
        <v>359</v>
      </c>
      <c r="AL28" t="s">
        <v>293</v>
      </c>
      <c r="AM28" t="s">
        <v>293</v>
      </c>
      <c r="AN28" t="s">
        <v>296</v>
      </c>
      <c r="AO28" t="s">
        <v>298</v>
      </c>
      <c r="AP28" t="s">
        <v>293</v>
      </c>
      <c r="AQ28" t="s">
        <v>292</v>
      </c>
      <c r="AR28" t="s">
        <v>293</v>
      </c>
      <c r="AS28" t="s">
        <v>293</v>
      </c>
      <c r="AT28" t="s">
        <v>364</v>
      </c>
      <c r="AU28" t="str">
        <f t="shared" si="2"/>
        <v>break</v>
      </c>
    </row>
    <row r="29" spans="1:47" x14ac:dyDescent="0.3">
      <c r="A29" t="s">
        <v>45</v>
      </c>
      <c r="B29" t="s">
        <v>68</v>
      </c>
      <c r="C29" t="s">
        <v>22</v>
      </c>
      <c r="D29" t="s">
        <v>29</v>
      </c>
      <c r="E29" t="str">
        <f t="shared" si="0"/>
        <v>P_A6W-ZSB-S_9B4</v>
      </c>
      <c r="F29" t="b">
        <v>1</v>
      </c>
      <c r="G29">
        <v>99.8</v>
      </c>
      <c r="H29">
        <v>0</v>
      </c>
      <c r="I29">
        <v>9408</v>
      </c>
      <c r="J29" s="61" t="s">
        <v>13</v>
      </c>
      <c r="K29" s="16" t="s">
        <v>272</v>
      </c>
      <c r="L29" s="16">
        <v>2</v>
      </c>
      <c r="M29" s="16" t="s">
        <v>277</v>
      </c>
      <c r="N29" s="16" t="s">
        <v>335</v>
      </c>
      <c r="O29" s="15" t="s">
        <v>282</v>
      </c>
      <c r="P29" t="s">
        <v>371</v>
      </c>
      <c r="Q29" t="s">
        <v>371</v>
      </c>
      <c r="R29" s="17" t="s">
        <v>371</v>
      </c>
      <c r="S29" s="16" t="s">
        <v>341</v>
      </c>
      <c r="T29" s="16" t="s">
        <v>340</v>
      </c>
      <c r="U29" s="15" t="s">
        <v>340</v>
      </c>
      <c r="V29" s="15" t="s">
        <v>344</v>
      </c>
      <c r="W29" s="17"/>
      <c r="X29" t="s">
        <v>349</v>
      </c>
      <c r="Y29" t="s">
        <v>349</v>
      </c>
      <c r="Z29" t="s">
        <v>293</v>
      </c>
      <c r="AA29" t="s">
        <v>354</v>
      </c>
      <c r="AB29" t="s">
        <v>354</v>
      </c>
      <c r="AC29" t="s">
        <v>300</v>
      </c>
      <c r="AD29" t="s">
        <v>292</v>
      </c>
      <c r="AE29" t="s">
        <v>293</v>
      </c>
      <c r="AF29" t="s">
        <v>292</v>
      </c>
      <c r="AG29" t="s">
        <v>293</v>
      </c>
      <c r="AH29" t="s">
        <v>293</v>
      </c>
      <c r="AI29" t="s">
        <v>302</v>
      </c>
      <c r="AJ29" t="s">
        <v>302</v>
      </c>
      <c r="AK29" t="s">
        <v>357</v>
      </c>
      <c r="AL29" t="s">
        <v>293</v>
      </c>
      <c r="AM29" t="s">
        <v>293</v>
      </c>
      <c r="AN29" t="s">
        <v>297</v>
      </c>
      <c r="AO29" t="s">
        <v>298</v>
      </c>
      <c r="AP29" t="s">
        <v>293</v>
      </c>
      <c r="AQ29" t="s">
        <v>292</v>
      </c>
      <c r="AR29" t="s">
        <v>293</v>
      </c>
      <c r="AS29" t="s">
        <v>293</v>
      </c>
      <c r="AT29" t="s">
        <v>364</v>
      </c>
      <c r="AU29" t="str">
        <f t="shared" si="2"/>
        <v>no_fail</v>
      </c>
    </row>
    <row r="30" spans="1:47" x14ac:dyDescent="0.3">
      <c r="A30" t="s">
        <v>45</v>
      </c>
      <c r="B30" t="s">
        <v>68</v>
      </c>
      <c r="C30" t="s">
        <v>27</v>
      </c>
      <c r="D30" t="s">
        <v>29</v>
      </c>
      <c r="E30" t="str">
        <f t="shared" si="0"/>
        <v>P_A6W-ZSB-S_9F6</v>
      </c>
      <c r="F30" t="b">
        <v>1</v>
      </c>
      <c r="G30">
        <v>100</v>
      </c>
      <c r="H30">
        <v>1</v>
      </c>
      <c r="I30">
        <v>24094</v>
      </c>
      <c r="J30" s="61" t="s">
        <v>18</v>
      </c>
      <c r="K30" s="16" t="s">
        <v>272</v>
      </c>
      <c r="L30" s="16">
        <v>3</v>
      </c>
      <c r="M30" s="16" t="s">
        <v>277</v>
      </c>
      <c r="N30" s="16" t="s">
        <v>335</v>
      </c>
      <c r="O30" s="15" t="s">
        <v>283</v>
      </c>
      <c r="P30" t="s">
        <v>282</v>
      </c>
      <c r="Q30" t="s">
        <v>371</v>
      </c>
      <c r="R30" s="17" t="s">
        <v>371</v>
      </c>
      <c r="S30" s="16" t="s">
        <v>341</v>
      </c>
      <c r="T30" s="16" t="s">
        <v>340</v>
      </c>
      <c r="U30" s="15" t="s">
        <v>343</v>
      </c>
      <c r="V30" s="15" t="s">
        <v>344</v>
      </c>
      <c r="W30" s="17"/>
      <c r="X30" t="s">
        <v>349</v>
      </c>
      <c r="Y30" t="s">
        <v>349</v>
      </c>
      <c r="Z30" t="s">
        <v>293</v>
      </c>
      <c r="AA30" t="s">
        <v>353</v>
      </c>
      <c r="AB30" t="s">
        <v>296</v>
      </c>
      <c r="AC30" t="s">
        <v>301</v>
      </c>
      <c r="AD30" t="s">
        <v>293</v>
      </c>
      <c r="AE30" t="s">
        <v>292</v>
      </c>
      <c r="AF30" t="s">
        <v>293</v>
      </c>
      <c r="AG30" t="s">
        <v>292</v>
      </c>
      <c r="AH30" t="s">
        <v>293</v>
      </c>
      <c r="AI30" t="s">
        <v>302</v>
      </c>
      <c r="AJ30" t="s">
        <v>302</v>
      </c>
      <c r="AK30" t="s">
        <v>359</v>
      </c>
      <c r="AL30" t="s">
        <v>293</v>
      </c>
      <c r="AM30" t="s">
        <v>293</v>
      </c>
      <c r="AN30" t="s">
        <v>296</v>
      </c>
      <c r="AO30" t="s">
        <v>356</v>
      </c>
      <c r="AP30" t="s">
        <v>293</v>
      </c>
      <c r="AQ30" t="s">
        <v>292</v>
      </c>
      <c r="AR30" t="s">
        <v>293</v>
      </c>
      <c r="AS30" t="s">
        <v>293</v>
      </c>
      <c r="AT30" t="s">
        <v>364</v>
      </c>
      <c r="AU30" t="str">
        <f t="shared" si="2"/>
        <v>break</v>
      </c>
    </row>
    <row r="31" spans="1:47" x14ac:dyDescent="0.3">
      <c r="A31" t="s">
        <v>9</v>
      </c>
      <c r="B31" t="s">
        <v>60</v>
      </c>
      <c r="C31" t="s">
        <v>15</v>
      </c>
      <c r="D31" t="s">
        <v>12</v>
      </c>
      <c r="E31" t="str">
        <f t="shared" si="0"/>
        <v>P_B0Z-KYY-S_0M4</v>
      </c>
      <c r="F31" t="b">
        <v>1</v>
      </c>
      <c r="G31">
        <v>100</v>
      </c>
      <c r="H31">
        <v>1</v>
      </c>
      <c r="I31">
        <v>9375</v>
      </c>
      <c r="J31" s="61" t="s">
        <v>18</v>
      </c>
      <c r="K31" s="16" t="s">
        <v>272</v>
      </c>
      <c r="L31" s="16">
        <v>3</v>
      </c>
      <c r="M31" s="16" t="s">
        <v>277</v>
      </c>
      <c r="N31" s="16" t="s">
        <v>335</v>
      </c>
      <c r="O31" s="15" t="s">
        <v>281</v>
      </c>
      <c r="P31" t="s">
        <v>286</v>
      </c>
      <c r="Q31" t="s">
        <v>371</v>
      </c>
      <c r="R31" s="17" t="s">
        <v>371</v>
      </c>
      <c r="S31" s="16" t="s">
        <v>341</v>
      </c>
      <c r="T31" s="16" t="s">
        <v>340</v>
      </c>
      <c r="U31" s="15" t="s">
        <v>343</v>
      </c>
      <c r="V31" s="15" t="s">
        <v>345</v>
      </c>
      <c r="W31" s="17"/>
      <c r="X31" t="s">
        <v>349</v>
      </c>
      <c r="Y31" t="s">
        <v>349</v>
      </c>
      <c r="Z31" t="s">
        <v>293</v>
      </c>
      <c r="AA31" t="s">
        <v>353</v>
      </c>
      <c r="AB31" t="s">
        <v>296</v>
      </c>
      <c r="AC31" t="s">
        <v>301</v>
      </c>
      <c r="AD31" t="s">
        <v>292</v>
      </c>
      <c r="AE31" t="s">
        <v>292</v>
      </c>
      <c r="AF31" t="s">
        <v>292</v>
      </c>
      <c r="AG31" t="s">
        <v>292</v>
      </c>
      <c r="AH31" t="s">
        <v>293</v>
      </c>
      <c r="AI31" t="s">
        <v>302</v>
      </c>
      <c r="AJ31" t="s">
        <v>358</v>
      </c>
      <c r="AK31" t="s">
        <v>359</v>
      </c>
      <c r="AL31" t="s">
        <v>293</v>
      </c>
      <c r="AM31" t="s">
        <v>293</v>
      </c>
      <c r="AN31" t="s">
        <v>297</v>
      </c>
      <c r="AO31" t="s">
        <v>356</v>
      </c>
      <c r="AP31" t="s">
        <v>293</v>
      </c>
      <c r="AQ31" t="s">
        <v>292</v>
      </c>
      <c r="AR31" t="s">
        <v>293</v>
      </c>
      <c r="AS31" t="s">
        <v>293</v>
      </c>
      <c r="AT31" t="s">
        <v>364</v>
      </c>
      <c r="AU31" t="str">
        <f t="shared" si="2"/>
        <v>break</v>
      </c>
    </row>
    <row r="32" spans="1:47" x14ac:dyDescent="0.3">
      <c r="A32" t="s">
        <v>9</v>
      </c>
      <c r="B32" t="s">
        <v>60</v>
      </c>
      <c r="C32" t="s">
        <v>14</v>
      </c>
      <c r="D32" t="s">
        <v>12</v>
      </c>
      <c r="E32" t="str">
        <f t="shared" si="0"/>
        <v>P_B0Z-KYY-S_1B0</v>
      </c>
      <c r="F32" t="b">
        <v>1</v>
      </c>
      <c r="G32">
        <v>100</v>
      </c>
      <c r="H32">
        <v>1</v>
      </c>
      <c r="I32">
        <v>13424</v>
      </c>
      <c r="J32" s="61" t="s">
        <v>18</v>
      </c>
      <c r="K32" s="16" t="s">
        <v>272</v>
      </c>
      <c r="L32" s="16">
        <v>3</v>
      </c>
      <c r="M32" s="16" t="s">
        <v>277</v>
      </c>
      <c r="N32" s="16" t="s">
        <v>335</v>
      </c>
      <c r="O32" s="15" t="s">
        <v>281</v>
      </c>
      <c r="P32" t="s">
        <v>282</v>
      </c>
      <c r="Q32" t="s">
        <v>371</v>
      </c>
      <c r="R32" s="17" t="s">
        <v>371</v>
      </c>
      <c r="S32" s="16" t="s">
        <v>341</v>
      </c>
      <c r="T32" s="16" t="s">
        <v>340</v>
      </c>
      <c r="U32" s="15" t="s">
        <v>343</v>
      </c>
      <c r="V32" s="15" t="s">
        <v>345</v>
      </c>
      <c r="W32" s="17" t="s">
        <v>344</v>
      </c>
      <c r="X32" t="s">
        <v>349</v>
      </c>
      <c r="Y32" t="s">
        <v>349</v>
      </c>
      <c r="Z32" t="s">
        <v>293</v>
      </c>
      <c r="AA32" t="s">
        <v>353</v>
      </c>
      <c r="AB32" t="s">
        <v>296</v>
      </c>
      <c r="AC32" t="s">
        <v>300</v>
      </c>
      <c r="AD32" t="s">
        <v>292</v>
      </c>
      <c r="AE32" t="s">
        <v>293</v>
      </c>
      <c r="AF32" t="s">
        <v>292</v>
      </c>
      <c r="AG32" t="s">
        <v>292</v>
      </c>
      <c r="AH32" t="s">
        <v>293</v>
      </c>
      <c r="AI32" t="s">
        <v>302</v>
      </c>
      <c r="AJ32" t="s">
        <v>302</v>
      </c>
      <c r="AK32" t="s">
        <v>359</v>
      </c>
      <c r="AL32" t="s">
        <v>293</v>
      </c>
      <c r="AM32" t="s">
        <v>293</v>
      </c>
      <c r="AN32" t="s">
        <v>297</v>
      </c>
      <c r="AO32" t="s">
        <v>298</v>
      </c>
      <c r="AP32" t="s">
        <v>293</v>
      </c>
      <c r="AQ32" t="s">
        <v>292</v>
      </c>
      <c r="AR32" t="s">
        <v>293</v>
      </c>
      <c r="AS32" t="s">
        <v>293</v>
      </c>
      <c r="AT32" t="s">
        <v>364</v>
      </c>
      <c r="AU32" t="str">
        <f t="shared" si="2"/>
        <v>break</v>
      </c>
    </row>
    <row r="33" spans="1:47" x14ac:dyDescent="0.3">
      <c r="A33" t="s">
        <v>9</v>
      </c>
      <c r="B33" t="s">
        <v>60</v>
      </c>
      <c r="C33" t="s">
        <v>11</v>
      </c>
      <c r="D33" t="s">
        <v>12</v>
      </c>
      <c r="E33" t="str">
        <f t="shared" si="0"/>
        <v>P_B0Z-KYY-S_1Q4</v>
      </c>
      <c r="F33" t="b">
        <v>1</v>
      </c>
      <c r="G33">
        <v>100</v>
      </c>
      <c r="H33">
        <v>1</v>
      </c>
      <c r="I33">
        <v>9662</v>
      </c>
      <c r="J33" s="61" t="s">
        <v>18</v>
      </c>
      <c r="K33" s="16" t="s">
        <v>272</v>
      </c>
      <c r="L33" s="16">
        <v>3</v>
      </c>
      <c r="M33" s="16" t="s">
        <v>277</v>
      </c>
      <c r="N33" s="16" t="s">
        <v>335</v>
      </c>
      <c r="O33" s="15" t="s">
        <v>281</v>
      </c>
      <c r="P33" t="s">
        <v>282</v>
      </c>
      <c r="Q33" t="s">
        <v>371</v>
      </c>
      <c r="R33" s="17" t="s">
        <v>371</v>
      </c>
      <c r="S33" s="16" t="s">
        <v>341</v>
      </c>
      <c r="T33" s="16" t="s">
        <v>340</v>
      </c>
      <c r="U33" s="15" t="s">
        <v>343</v>
      </c>
      <c r="V33" s="15" t="s">
        <v>345</v>
      </c>
      <c r="W33" s="17"/>
      <c r="X33" t="s">
        <v>349</v>
      </c>
      <c r="Y33" t="s">
        <v>349</v>
      </c>
      <c r="Z33" t="s">
        <v>293</v>
      </c>
      <c r="AA33" t="s">
        <v>352</v>
      </c>
      <c r="AB33" t="s">
        <v>296</v>
      </c>
      <c r="AC33" t="s">
        <v>301</v>
      </c>
      <c r="AD33" t="s">
        <v>292</v>
      </c>
      <c r="AE33" t="s">
        <v>293</v>
      </c>
      <c r="AF33" t="s">
        <v>292</v>
      </c>
      <c r="AG33" t="s">
        <v>292</v>
      </c>
      <c r="AH33" t="s">
        <v>293</v>
      </c>
      <c r="AI33" t="s">
        <v>302</v>
      </c>
      <c r="AJ33" t="s">
        <v>302</v>
      </c>
      <c r="AK33" t="s">
        <v>359</v>
      </c>
      <c r="AL33" t="s">
        <v>293</v>
      </c>
      <c r="AM33" t="s">
        <v>293</v>
      </c>
      <c r="AN33" t="s">
        <v>297</v>
      </c>
      <c r="AO33" t="s">
        <v>298</v>
      </c>
      <c r="AP33" t="s">
        <v>293</v>
      </c>
      <c r="AQ33" t="s">
        <v>292</v>
      </c>
      <c r="AR33" t="s">
        <v>293</v>
      </c>
      <c r="AS33" t="s">
        <v>293</v>
      </c>
      <c r="AT33" t="s">
        <v>364</v>
      </c>
      <c r="AU33" t="str">
        <f t="shared" si="2"/>
        <v>break</v>
      </c>
    </row>
    <row r="34" spans="1:47" x14ac:dyDescent="0.3">
      <c r="A34" t="s">
        <v>9</v>
      </c>
      <c r="B34" t="s">
        <v>60</v>
      </c>
      <c r="C34" t="s">
        <v>16</v>
      </c>
      <c r="D34" t="s">
        <v>12</v>
      </c>
      <c r="E34" t="str">
        <f t="shared" si="0"/>
        <v>P_B0Z-KYY-S_6U7</v>
      </c>
      <c r="F34" t="b">
        <v>1</v>
      </c>
      <c r="G34">
        <v>100</v>
      </c>
      <c r="H34">
        <v>1</v>
      </c>
      <c r="I34">
        <v>15476</v>
      </c>
      <c r="J34" s="61" t="s">
        <v>18</v>
      </c>
      <c r="K34" s="16" t="s">
        <v>272</v>
      </c>
      <c r="L34" s="16">
        <v>3</v>
      </c>
      <c r="M34" s="16" t="s">
        <v>277</v>
      </c>
      <c r="N34" s="16" t="s">
        <v>335</v>
      </c>
      <c r="O34" s="15" t="s">
        <v>281</v>
      </c>
      <c r="P34" t="s">
        <v>286</v>
      </c>
      <c r="Q34" t="s">
        <v>371</v>
      </c>
      <c r="R34" s="17" t="s">
        <v>371</v>
      </c>
      <c r="S34" s="16" t="s">
        <v>341</v>
      </c>
      <c r="T34" s="16" t="s">
        <v>342</v>
      </c>
      <c r="U34" s="15" t="s">
        <v>343</v>
      </c>
      <c r="V34" s="15" t="s">
        <v>345</v>
      </c>
      <c r="W34" s="17" t="s">
        <v>347</v>
      </c>
      <c r="X34" t="s">
        <v>349</v>
      </c>
      <c r="Y34" t="s">
        <v>349</v>
      </c>
      <c r="Z34" t="s">
        <v>293</v>
      </c>
      <c r="AA34" t="s">
        <v>353</v>
      </c>
      <c r="AB34" t="s">
        <v>296</v>
      </c>
      <c r="AC34" t="s">
        <v>301</v>
      </c>
      <c r="AD34" t="s">
        <v>292</v>
      </c>
      <c r="AE34" t="s">
        <v>292</v>
      </c>
      <c r="AF34" t="s">
        <v>292</v>
      </c>
      <c r="AG34" t="s">
        <v>292</v>
      </c>
      <c r="AH34" t="s">
        <v>293</v>
      </c>
      <c r="AI34" t="s">
        <v>302</v>
      </c>
      <c r="AJ34" t="s">
        <v>302</v>
      </c>
      <c r="AK34" t="s">
        <v>359</v>
      </c>
      <c r="AL34" t="s">
        <v>293</v>
      </c>
      <c r="AM34" t="s">
        <v>293</v>
      </c>
      <c r="AN34" t="s">
        <v>297</v>
      </c>
      <c r="AO34" t="s">
        <v>356</v>
      </c>
      <c r="AP34" t="s">
        <v>293</v>
      </c>
      <c r="AQ34" t="s">
        <v>292</v>
      </c>
      <c r="AR34" t="s">
        <v>293</v>
      </c>
      <c r="AS34" t="s">
        <v>293</v>
      </c>
      <c r="AT34" t="s">
        <v>364</v>
      </c>
      <c r="AU34" t="str">
        <f t="shared" si="2"/>
        <v>break</v>
      </c>
    </row>
    <row r="35" spans="1:47" x14ac:dyDescent="0.3">
      <c r="A35" t="s">
        <v>9</v>
      </c>
      <c r="B35" t="s">
        <v>60</v>
      </c>
      <c r="C35" t="s">
        <v>21</v>
      </c>
      <c r="D35" t="s">
        <v>29</v>
      </c>
      <c r="E35" t="str">
        <f t="shared" si="0"/>
        <v>P_B0Z-ZSB-S_3X6</v>
      </c>
      <c r="F35" t="b">
        <v>1</v>
      </c>
      <c r="G35">
        <v>100</v>
      </c>
      <c r="H35">
        <v>1</v>
      </c>
      <c r="I35">
        <v>16155</v>
      </c>
      <c r="J35" s="61" t="s">
        <v>18</v>
      </c>
      <c r="K35" s="16" t="s">
        <v>272</v>
      </c>
      <c r="L35" s="16">
        <v>2</v>
      </c>
      <c r="M35" s="16" t="s">
        <v>277</v>
      </c>
      <c r="N35" s="16" t="s">
        <v>335</v>
      </c>
      <c r="O35" s="15" t="s">
        <v>282</v>
      </c>
      <c r="P35" t="s">
        <v>371</v>
      </c>
      <c r="Q35" t="s">
        <v>371</v>
      </c>
      <c r="R35" s="17" t="s">
        <v>371</v>
      </c>
      <c r="S35" s="16" t="s">
        <v>340</v>
      </c>
      <c r="T35" s="16" t="s">
        <v>342</v>
      </c>
      <c r="U35" s="15" t="s">
        <v>340</v>
      </c>
      <c r="V35" s="15" t="s">
        <v>344</v>
      </c>
      <c r="W35" s="17"/>
      <c r="X35" t="s">
        <v>349</v>
      </c>
      <c r="Y35" t="s">
        <v>349</v>
      </c>
      <c r="Z35" t="s">
        <v>293</v>
      </c>
      <c r="AA35" t="s">
        <v>354</v>
      </c>
      <c r="AB35" t="s">
        <v>354</v>
      </c>
      <c r="AC35" t="s">
        <v>301</v>
      </c>
      <c r="AD35" t="s">
        <v>292</v>
      </c>
      <c r="AE35" t="s">
        <v>293</v>
      </c>
      <c r="AF35" t="s">
        <v>292</v>
      </c>
      <c r="AG35" t="s">
        <v>292</v>
      </c>
      <c r="AH35" t="s">
        <v>293</v>
      </c>
      <c r="AI35" t="s">
        <v>302</v>
      </c>
      <c r="AJ35" t="s">
        <v>302</v>
      </c>
      <c r="AK35" t="s">
        <v>357</v>
      </c>
      <c r="AL35" t="s">
        <v>293</v>
      </c>
      <c r="AM35" t="s">
        <v>293</v>
      </c>
      <c r="AN35" t="s">
        <v>296</v>
      </c>
      <c r="AO35" t="s">
        <v>298</v>
      </c>
      <c r="AP35" t="s">
        <v>293</v>
      </c>
      <c r="AQ35" t="s">
        <v>292</v>
      </c>
      <c r="AR35" t="s">
        <v>293</v>
      </c>
      <c r="AS35" t="s">
        <v>293</v>
      </c>
      <c r="AT35" t="s">
        <v>364</v>
      </c>
      <c r="AU35" t="str">
        <f t="shared" si="2"/>
        <v>break</v>
      </c>
    </row>
    <row r="36" spans="1:47" x14ac:dyDescent="0.3">
      <c r="A36" t="s">
        <v>9</v>
      </c>
      <c r="B36" t="s">
        <v>60</v>
      </c>
      <c r="C36" t="s">
        <v>19</v>
      </c>
      <c r="D36" t="s">
        <v>29</v>
      </c>
      <c r="E36" t="str">
        <f t="shared" si="0"/>
        <v>P_B0Z-ZSB-S_4U3</v>
      </c>
      <c r="F36" t="b">
        <v>1</v>
      </c>
      <c r="G36">
        <v>100</v>
      </c>
      <c r="H36">
        <v>1</v>
      </c>
      <c r="I36">
        <v>13046</v>
      </c>
      <c r="J36" s="61" t="s">
        <v>13</v>
      </c>
      <c r="K36" s="16" t="s">
        <v>273</v>
      </c>
      <c r="L36" s="16">
        <v>2</v>
      </c>
      <c r="M36" s="16" t="s">
        <v>333</v>
      </c>
      <c r="N36" s="16" t="s">
        <v>278</v>
      </c>
      <c r="O36" s="15" t="s">
        <v>283</v>
      </c>
      <c r="P36" t="s">
        <v>371</v>
      </c>
      <c r="Q36" t="s">
        <v>371</v>
      </c>
      <c r="R36" s="17" t="s">
        <v>371</v>
      </c>
      <c r="S36" s="16" t="s">
        <v>341</v>
      </c>
      <c r="T36" s="16" t="s">
        <v>340</v>
      </c>
      <c r="U36" s="15" t="s">
        <v>343</v>
      </c>
      <c r="V36" s="15" t="s">
        <v>344</v>
      </c>
      <c r="W36" s="17"/>
      <c r="X36" t="s">
        <v>349</v>
      </c>
      <c r="Y36" t="s">
        <v>349</v>
      </c>
      <c r="Z36" t="s">
        <v>293</v>
      </c>
      <c r="AA36" t="s">
        <v>353</v>
      </c>
      <c r="AB36" t="s">
        <v>296</v>
      </c>
      <c r="AC36" t="s">
        <v>300</v>
      </c>
      <c r="AD36" t="s">
        <v>293</v>
      </c>
      <c r="AE36" t="s">
        <v>292</v>
      </c>
      <c r="AF36" t="s">
        <v>292</v>
      </c>
      <c r="AG36" t="s">
        <v>292</v>
      </c>
      <c r="AH36" t="s">
        <v>293</v>
      </c>
      <c r="AI36" t="s">
        <v>302</v>
      </c>
      <c r="AJ36" t="s">
        <v>357</v>
      </c>
      <c r="AK36" t="s">
        <v>359</v>
      </c>
      <c r="AL36" t="s">
        <v>293</v>
      </c>
      <c r="AM36" t="s">
        <v>293</v>
      </c>
      <c r="AN36" t="s">
        <v>297</v>
      </c>
      <c r="AO36" t="s">
        <v>356</v>
      </c>
      <c r="AP36" t="s">
        <v>293</v>
      </c>
      <c r="AQ36" t="s">
        <v>292</v>
      </c>
      <c r="AR36" t="s">
        <v>293</v>
      </c>
      <c r="AS36" t="s">
        <v>293</v>
      </c>
      <c r="AT36" t="s">
        <v>364</v>
      </c>
      <c r="AU36" t="str">
        <f t="shared" si="2"/>
        <v>no_fail</v>
      </c>
    </row>
    <row r="37" spans="1:47" x14ac:dyDescent="0.3">
      <c r="A37" t="s">
        <v>9</v>
      </c>
      <c r="B37" t="s">
        <v>60</v>
      </c>
      <c r="C37" t="s">
        <v>17</v>
      </c>
      <c r="D37" t="s">
        <v>29</v>
      </c>
      <c r="E37" t="str">
        <f t="shared" si="0"/>
        <v>P_B0Z-ZSB-S_6B5</v>
      </c>
      <c r="F37" t="b">
        <v>1</v>
      </c>
      <c r="G37">
        <v>98.2</v>
      </c>
      <c r="H37">
        <v>0</v>
      </c>
      <c r="I37">
        <v>12211</v>
      </c>
      <c r="J37" s="61" t="s">
        <v>13</v>
      </c>
      <c r="K37" s="16" t="s">
        <v>272</v>
      </c>
      <c r="L37" s="16">
        <v>2</v>
      </c>
      <c r="M37" s="16" t="s">
        <v>277</v>
      </c>
      <c r="N37" s="16" t="s">
        <v>335</v>
      </c>
      <c r="O37" s="15" t="s">
        <v>282</v>
      </c>
      <c r="P37" t="s">
        <v>371</v>
      </c>
      <c r="Q37" t="s">
        <v>371</v>
      </c>
      <c r="R37" s="17" t="s">
        <v>371</v>
      </c>
      <c r="S37" s="16" t="s">
        <v>341</v>
      </c>
      <c r="T37" s="16" t="s">
        <v>340</v>
      </c>
      <c r="U37" s="15" t="s">
        <v>340</v>
      </c>
      <c r="V37" s="15" t="s">
        <v>344</v>
      </c>
      <c r="W37" s="17"/>
      <c r="X37" t="s">
        <v>349</v>
      </c>
      <c r="Y37" t="s">
        <v>349</v>
      </c>
      <c r="Z37" t="s">
        <v>293</v>
      </c>
      <c r="AA37" t="s">
        <v>354</v>
      </c>
      <c r="AB37" t="s">
        <v>354</v>
      </c>
      <c r="AC37" t="s">
        <v>300</v>
      </c>
      <c r="AD37" t="s">
        <v>293</v>
      </c>
      <c r="AE37" t="s">
        <v>292</v>
      </c>
      <c r="AF37" t="s">
        <v>292</v>
      </c>
      <c r="AG37" t="s">
        <v>293</v>
      </c>
      <c r="AH37" t="s">
        <v>293</v>
      </c>
      <c r="AI37" t="s">
        <v>302</v>
      </c>
      <c r="AJ37" t="s">
        <v>302</v>
      </c>
      <c r="AK37" t="s">
        <v>357</v>
      </c>
      <c r="AL37" t="s">
        <v>293</v>
      </c>
      <c r="AM37" t="s">
        <v>293</v>
      </c>
      <c r="AN37" t="s">
        <v>297</v>
      </c>
      <c r="AO37" t="s">
        <v>356</v>
      </c>
      <c r="AP37" t="s">
        <v>293</v>
      </c>
      <c r="AQ37" t="s">
        <v>292</v>
      </c>
      <c r="AR37" t="s">
        <v>293</v>
      </c>
      <c r="AS37" t="s">
        <v>293</v>
      </c>
      <c r="AT37" t="s">
        <v>364</v>
      </c>
      <c r="AU37" t="str">
        <f t="shared" si="2"/>
        <v>no_fail</v>
      </c>
    </row>
    <row r="38" spans="1:47" x14ac:dyDescent="0.3">
      <c r="A38" t="s">
        <v>9</v>
      </c>
      <c r="B38" t="s">
        <v>60</v>
      </c>
      <c r="C38" t="s">
        <v>20</v>
      </c>
      <c r="D38" t="s">
        <v>29</v>
      </c>
      <c r="E38" t="str">
        <f t="shared" si="0"/>
        <v>P_B0Z-ZSB-S_7W0</v>
      </c>
      <c r="F38" t="b">
        <v>1</v>
      </c>
      <c r="G38">
        <v>100</v>
      </c>
      <c r="H38">
        <v>1</v>
      </c>
      <c r="I38">
        <v>15062</v>
      </c>
      <c r="J38" s="61" t="s">
        <v>18</v>
      </c>
      <c r="K38" s="16" t="s">
        <v>272</v>
      </c>
      <c r="L38" s="16">
        <v>2</v>
      </c>
      <c r="M38" s="16" t="s">
        <v>277</v>
      </c>
      <c r="N38" s="16" t="s">
        <v>335</v>
      </c>
      <c r="O38" s="15" t="s">
        <v>283</v>
      </c>
      <c r="P38" t="s">
        <v>284</v>
      </c>
      <c r="Q38" t="s">
        <v>371</v>
      </c>
      <c r="R38" s="17" t="s">
        <v>371</v>
      </c>
      <c r="S38" s="16" t="s">
        <v>341</v>
      </c>
      <c r="T38" s="16" t="s">
        <v>340</v>
      </c>
      <c r="U38" s="15" t="s">
        <v>340</v>
      </c>
      <c r="V38" s="15" t="s">
        <v>344</v>
      </c>
      <c r="W38" s="17"/>
      <c r="X38" t="s">
        <v>349</v>
      </c>
      <c r="Y38" t="s">
        <v>349</v>
      </c>
      <c r="Z38" t="s">
        <v>293</v>
      </c>
      <c r="AA38" t="s">
        <v>354</v>
      </c>
      <c r="AB38" t="s">
        <v>354</v>
      </c>
      <c r="AC38" t="s">
        <v>300</v>
      </c>
      <c r="AD38" t="s">
        <v>293</v>
      </c>
      <c r="AE38" t="s">
        <v>292</v>
      </c>
      <c r="AF38" t="s">
        <v>292</v>
      </c>
      <c r="AG38" t="s">
        <v>292</v>
      </c>
      <c r="AH38" t="s">
        <v>293</v>
      </c>
      <c r="AI38" t="s">
        <v>302</v>
      </c>
      <c r="AJ38" t="s">
        <v>302</v>
      </c>
      <c r="AK38" t="s">
        <v>357</v>
      </c>
      <c r="AL38" t="s">
        <v>293</v>
      </c>
      <c r="AM38" t="s">
        <v>293</v>
      </c>
      <c r="AN38" t="s">
        <v>297</v>
      </c>
      <c r="AO38" t="s">
        <v>356</v>
      </c>
      <c r="AP38" t="s">
        <v>293</v>
      </c>
      <c r="AQ38" t="s">
        <v>292</v>
      </c>
      <c r="AR38" t="s">
        <v>293</v>
      </c>
      <c r="AS38" t="s">
        <v>293</v>
      </c>
      <c r="AT38" t="s">
        <v>364</v>
      </c>
      <c r="AU38" t="str">
        <f t="shared" si="2"/>
        <v>break</v>
      </c>
    </row>
    <row r="39" spans="1:47" x14ac:dyDescent="0.3">
      <c r="A39" t="s">
        <v>9</v>
      </c>
      <c r="B39" t="s">
        <v>60</v>
      </c>
      <c r="C39" t="s">
        <v>22</v>
      </c>
      <c r="D39" t="s">
        <v>29</v>
      </c>
      <c r="E39" t="str">
        <f t="shared" si="0"/>
        <v>P_B0Z-ZSB-S_9B4</v>
      </c>
      <c r="F39" t="b">
        <v>1</v>
      </c>
      <c r="G39">
        <v>100</v>
      </c>
      <c r="H39">
        <v>1</v>
      </c>
      <c r="I39">
        <v>12810</v>
      </c>
      <c r="J39" s="61" t="s">
        <v>18</v>
      </c>
      <c r="K39" s="16" t="s">
        <v>272</v>
      </c>
      <c r="L39" s="16">
        <v>3</v>
      </c>
      <c r="M39" s="16" t="s">
        <v>277</v>
      </c>
      <c r="N39" s="16" t="s">
        <v>335</v>
      </c>
      <c r="O39" s="15" t="s">
        <v>282</v>
      </c>
      <c r="P39" t="s">
        <v>371</v>
      </c>
      <c r="Q39" t="s">
        <v>371</v>
      </c>
      <c r="R39" s="17" t="s">
        <v>371</v>
      </c>
      <c r="S39" s="16" t="s">
        <v>341</v>
      </c>
      <c r="T39" s="16" t="s">
        <v>340</v>
      </c>
      <c r="U39" s="15" t="s">
        <v>343</v>
      </c>
      <c r="V39" s="15" t="s">
        <v>344</v>
      </c>
      <c r="W39" s="17"/>
      <c r="X39" t="s">
        <v>349</v>
      </c>
      <c r="Y39" t="s">
        <v>349</v>
      </c>
      <c r="Z39" t="s">
        <v>293</v>
      </c>
      <c r="AA39" t="s">
        <v>352</v>
      </c>
      <c r="AB39" t="s">
        <v>296</v>
      </c>
      <c r="AC39" t="s">
        <v>299</v>
      </c>
      <c r="AD39" t="s">
        <v>293</v>
      </c>
      <c r="AE39" t="s">
        <v>292</v>
      </c>
      <c r="AF39" t="s">
        <v>292</v>
      </c>
      <c r="AG39" t="s">
        <v>292</v>
      </c>
      <c r="AH39" t="s">
        <v>293</v>
      </c>
      <c r="AI39" t="s">
        <v>302</v>
      </c>
      <c r="AJ39" t="s">
        <v>302</v>
      </c>
      <c r="AK39" t="s">
        <v>359</v>
      </c>
      <c r="AL39" t="s">
        <v>293</v>
      </c>
      <c r="AM39" t="s">
        <v>293</v>
      </c>
      <c r="AN39" t="s">
        <v>297</v>
      </c>
      <c r="AO39" t="s">
        <v>356</v>
      </c>
      <c r="AP39" t="s">
        <v>293</v>
      </c>
      <c r="AQ39" t="s">
        <v>292</v>
      </c>
      <c r="AR39" t="s">
        <v>293</v>
      </c>
      <c r="AS39" t="s">
        <v>293</v>
      </c>
      <c r="AT39" t="s">
        <v>364</v>
      </c>
      <c r="AU39" t="str">
        <f t="shared" si="2"/>
        <v>break</v>
      </c>
    </row>
    <row r="40" spans="1:47" x14ac:dyDescent="0.3">
      <c r="A40" t="s">
        <v>45</v>
      </c>
      <c r="B40" t="s">
        <v>53</v>
      </c>
      <c r="C40" t="s">
        <v>15</v>
      </c>
      <c r="D40" t="s">
        <v>12</v>
      </c>
      <c r="E40" t="str">
        <f t="shared" si="0"/>
        <v>P_B2P-KYY-S_0M4</v>
      </c>
      <c r="F40" t="b">
        <v>1</v>
      </c>
      <c r="G40">
        <v>76.2</v>
      </c>
      <c r="H40">
        <v>0</v>
      </c>
      <c r="I40">
        <v>11804</v>
      </c>
      <c r="J40" s="61" t="s">
        <v>13</v>
      </c>
      <c r="K40" s="16" t="s">
        <v>272</v>
      </c>
      <c r="L40" s="16">
        <v>3</v>
      </c>
      <c r="M40" s="16" t="s">
        <v>277</v>
      </c>
      <c r="N40" s="16" t="s">
        <v>335</v>
      </c>
      <c r="O40" s="15" t="s">
        <v>282</v>
      </c>
      <c r="P40" t="s">
        <v>371</v>
      </c>
      <c r="Q40" t="s">
        <v>371</v>
      </c>
      <c r="R40" s="17" t="s">
        <v>371</v>
      </c>
      <c r="S40" s="16" t="s">
        <v>341</v>
      </c>
      <c r="T40" s="16" t="s">
        <v>340</v>
      </c>
      <c r="U40" s="15" t="s">
        <v>343</v>
      </c>
      <c r="V40" s="15" t="s">
        <v>344</v>
      </c>
      <c r="W40" s="17"/>
      <c r="X40" t="s">
        <v>349</v>
      </c>
      <c r="Y40" t="s">
        <v>349</v>
      </c>
      <c r="Z40" t="s">
        <v>293</v>
      </c>
      <c r="AA40" t="s">
        <v>352</v>
      </c>
      <c r="AB40" t="s">
        <v>296</v>
      </c>
      <c r="AC40" t="s">
        <v>301</v>
      </c>
      <c r="AD40" t="s">
        <v>292</v>
      </c>
      <c r="AE40" t="s">
        <v>293</v>
      </c>
      <c r="AF40" t="s">
        <v>292</v>
      </c>
      <c r="AG40" t="s">
        <v>292</v>
      </c>
      <c r="AH40" t="s">
        <v>293</v>
      </c>
      <c r="AI40" t="s">
        <v>302</v>
      </c>
      <c r="AJ40" t="s">
        <v>302</v>
      </c>
      <c r="AK40" t="s">
        <v>359</v>
      </c>
      <c r="AL40" t="s">
        <v>293</v>
      </c>
      <c r="AM40" t="s">
        <v>293</v>
      </c>
      <c r="AN40" t="s">
        <v>297</v>
      </c>
      <c r="AO40" t="s">
        <v>298</v>
      </c>
      <c r="AP40" t="s">
        <v>293</v>
      </c>
      <c r="AQ40" t="s">
        <v>292</v>
      </c>
      <c r="AR40" t="s">
        <v>293</v>
      </c>
      <c r="AS40" t="s">
        <v>293</v>
      </c>
      <c r="AT40" t="s">
        <v>364</v>
      </c>
      <c r="AU40" t="str">
        <f t="shared" si="2"/>
        <v>no_fail</v>
      </c>
    </row>
    <row r="41" spans="1:47" x14ac:dyDescent="0.3">
      <c r="A41" t="s">
        <v>45</v>
      </c>
      <c r="B41" t="s">
        <v>53</v>
      </c>
      <c r="C41" t="s">
        <v>14</v>
      </c>
      <c r="D41" t="s">
        <v>12</v>
      </c>
      <c r="E41" t="str">
        <f t="shared" si="0"/>
        <v>P_B2P-KYY-S_1B0</v>
      </c>
      <c r="F41" t="b">
        <v>1</v>
      </c>
      <c r="G41">
        <v>44.9</v>
      </c>
      <c r="H41">
        <v>0</v>
      </c>
      <c r="I41">
        <v>13413</v>
      </c>
      <c r="J41" s="61" t="s">
        <v>13</v>
      </c>
      <c r="K41" s="16" t="s">
        <v>272</v>
      </c>
      <c r="L41" s="16">
        <v>3</v>
      </c>
      <c r="M41" s="16" t="s">
        <v>277</v>
      </c>
      <c r="N41" s="16" t="s">
        <v>335</v>
      </c>
      <c r="O41" s="15" t="s">
        <v>282</v>
      </c>
      <c r="P41" t="s">
        <v>371</v>
      </c>
      <c r="Q41" t="s">
        <v>371</v>
      </c>
      <c r="R41" s="17" t="s">
        <v>371</v>
      </c>
      <c r="S41" s="16" t="s">
        <v>341</v>
      </c>
      <c r="T41" s="16" t="s">
        <v>340</v>
      </c>
      <c r="U41" s="15" t="s">
        <v>343</v>
      </c>
      <c r="V41" s="15" t="s">
        <v>344</v>
      </c>
      <c r="W41" s="17"/>
      <c r="X41" t="s">
        <v>349</v>
      </c>
      <c r="Y41" t="s">
        <v>349</v>
      </c>
      <c r="Z41" t="s">
        <v>293</v>
      </c>
      <c r="AA41" t="s">
        <v>353</v>
      </c>
      <c r="AB41" t="s">
        <v>296</v>
      </c>
      <c r="AC41" t="s">
        <v>301</v>
      </c>
      <c r="AD41" t="s">
        <v>292</v>
      </c>
      <c r="AE41" t="s">
        <v>293</v>
      </c>
      <c r="AF41" t="s">
        <v>292</v>
      </c>
      <c r="AG41" t="s">
        <v>292</v>
      </c>
      <c r="AH41" t="s">
        <v>293</v>
      </c>
      <c r="AI41" t="s">
        <v>302</v>
      </c>
      <c r="AJ41" t="s">
        <v>302</v>
      </c>
      <c r="AK41" t="s">
        <v>359</v>
      </c>
      <c r="AL41" t="s">
        <v>293</v>
      </c>
      <c r="AM41" t="s">
        <v>293</v>
      </c>
      <c r="AN41" t="s">
        <v>297</v>
      </c>
      <c r="AO41" t="s">
        <v>298</v>
      </c>
      <c r="AP41" t="s">
        <v>293</v>
      </c>
      <c r="AQ41" t="s">
        <v>292</v>
      </c>
      <c r="AR41" t="s">
        <v>293</v>
      </c>
      <c r="AS41" t="s">
        <v>293</v>
      </c>
      <c r="AT41" t="s">
        <v>364</v>
      </c>
      <c r="AU41" t="str">
        <f t="shared" si="2"/>
        <v>no_fail</v>
      </c>
    </row>
    <row r="42" spans="1:47" x14ac:dyDescent="0.3">
      <c r="A42" t="s">
        <v>45</v>
      </c>
      <c r="B42" t="s">
        <v>53</v>
      </c>
      <c r="C42" t="s">
        <v>11</v>
      </c>
      <c r="D42" t="s">
        <v>12</v>
      </c>
      <c r="E42" t="str">
        <f t="shared" si="0"/>
        <v>P_B2P-KYY-S_1Q4</v>
      </c>
      <c r="F42" t="b">
        <v>1</v>
      </c>
      <c r="G42">
        <v>46.7</v>
      </c>
      <c r="H42">
        <v>0</v>
      </c>
      <c r="I42">
        <v>15420</v>
      </c>
      <c r="J42" s="61" t="s">
        <v>13</v>
      </c>
      <c r="K42" s="16" t="s">
        <v>272</v>
      </c>
      <c r="L42" s="16">
        <v>3</v>
      </c>
      <c r="M42" s="16" t="s">
        <v>277</v>
      </c>
      <c r="N42" s="16" t="s">
        <v>335</v>
      </c>
      <c r="O42" s="15" t="s">
        <v>283</v>
      </c>
      <c r="P42" t="s">
        <v>282</v>
      </c>
      <c r="Q42" t="s">
        <v>371</v>
      </c>
      <c r="R42" s="17" t="s">
        <v>371</v>
      </c>
      <c r="S42" s="16" t="s">
        <v>341</v>
      </c>
      <c r="T42" s="16" t="s">
        <v>340</v>
      </c>
      <c r="U42" s="15" t="s">
        <v>343</v>
      </c>
      <c r="V42" s="15" t="s">
        <v>344</v>
      </c>
      <c r="W42" s="17"/>
      <c r="X42" t="s">
        <v>349</v>
      </c>
      <c r="Y42" t="s">
        <v>349</v>
      </c>
      <c r="Z42" t="s">
        <v>293</v>
      </c>
      <c r="AA42" t="s">
        <v>353</v>
      </c>
      <c r="AB42" t="s">
        <v>296</v>
      </c>
      <c r="AC42" t="s">
        <v>300</v>
      </c>
      <c r="AD42" t="s">
        <v>292</v>
      </c>
      <c r="AE42" t="s">
        <v>293</v>
      </c>
      <c r="AF42" t="s">
        <v>292</v>
      </c>
      <c r="AG42" t="s">
        <v>292</v>
      </c>
      <c r="AH42" t="s">
        <v>293</v>
      </c>
      <c r="AI42" t="s">
        <v>302</v>
      </c>
      <c r="AJ42" t="s">
        <v>302</v>
      </c>
      <c r="AK42" t="s">
        <v>359</v>
      </c>
      <c r="AL42" t="s">
        <v>293</v>
      </c>
      <c r="AM42" t="s">
        <v>293</v>
      </c>
      <c r="AN42" t="s">
        <v>297</v>
      </c>
      <c r="AO42" t="s">
        <v>298</v>
      </c>
      <c r="AP42" t="s">
        <v>293</v>
      </c>
      <c r="AQ42" t="s">
        <v>292</v>
      </c>
      <c r="AR42" t="s">
        <v>293</v>
      </c>
      <c r="AS42" t="s">
        <v>293</v>
      </c>
      <c r="AT42" t="s">
        <v>364</v>
      </c>
      <c r="AU42" t="str">
        <f t="shared" si="2"/>
        <v>no_fail</v>
      </c>
    </row>
    <row r="43" spans="1:47" x14ac:dyDescent="0.3">
      <c r="A43" t="s">
        <v>45</v>
      </c>
      <c r="B43" t="s">
        <v>53</v>
      </c>
      <c r="C43" t="s">
        <v>16</v>
      </c>
      <c r="D43" t="s">
        <v>12</v>
      </c>
      <c r="E43" t="str">
        <f t="shared" si="0"/>
        <v>P_B2P-KYY-S_6U7</v>
      </c>
      <c r="F43" t="b">
        <v>1</v>
      </c>
      <c r="G43">
        <v>100</v>
      </c>
      <c r="H43">
        <v>1</v>
      </c>
      <c r="I43">
        <v>10809</v>
      </c>
      <c r="J43" s="61" t="s">
        <v>18</v>
      </c>
      <c r="K43" s="16" t="s">
        <v>272</v>
      </c>
      <c r="L43" s="16">
        <v>3</v>
      </c>
      <c r="M43" s="16" t="s">
        <v>277</v>
      </c>
      <c r="N43" s="16" t="s">
        <v>335</v>
      </c>
      <c r="O43" s="15" t="s">
        <v>282</v>
      </c>
      <c r="P43" t="s">
        <v>371</v>
      </c>
      <c r="Q43" t="s">
        <v>371</v>
      </c>
      <c r="R43" s="17" t="s">
        <v>371</v>
      </c>
      <c r="S43" s="16" t="s">
        <v>340</v>
      </c>
      <c r="T43" s="16" t="s">
        <v>342</v>
      </c>
      <c r="U43" s="15" t="s">
        <v>343</v>
      </c>
      <c r="V43" s="15" t="s">
        <v>291</v>
      </c>
      <c r="W43" s="17"/>
      <c r="X43" t="s">
        <v>349</v>
      </c>
      <c r="Y43" t="s">
        <v>349</v>
      </c>
      <c r="Z43" t="s">
        <v>293</v>
      </c>
      <c r="AA43" t="s">
        <v>353</v>
      </c>
      <c r="AB43" t="s">
        <v>355</v>
      </c>
      <c r="AC43" t="s">
        <v>300</v>
      </c>
      <c r="AD43" t="s">
        <v>292</v>
      </c>
      <c r="AE43" t="s">
        <v>293</v>
      </c>
      <c r="AF43" t="s">
        <v>292</v>
      </c>
      <c r="AG43" t="s">
        <v>292</v>
      </c>
      <c r="AH43" t="s">
        <v>293</v>
      </c>
      <c r="AI43" t="s">
        <v>302</v>
      </c>
      <c r="AJ43" t="s">
        <v>358</v>
      </c>
      <c r="AK43" t="s">
        <v>359</v>
      </c>
      <c r="AL43" t="s">
        <v>293</v>
      </c>
      <c r="AM43" t="s">
        <v>293</v>
      </c>
      <c r="AN43" t="s">
        <v>297</v>
      </c>
      <c r="AO43" t="s">
        <v>298</v>
      </c>
      <c r="AP43" t="s">
        <v>293</v>
      </c>
      <c r="AQ43" t="s">
        <v>292</v>
      </c>
      <c r="AR43" t="s">
        <v>293</v>
      </c>
      <c r="AS43" t="s">
        <v>293</v>
      </c>
      <c r="AT43" t="s">
        <v>364</v>
      </c>
      <c r="AU43" t="str">
        <f t="shared" si="2"/>
        <v>break</v>
      </c>
    </row>
    <row r="44" spans="1:47" x14ac:dyDescent="0.3">
      <c r="A44" t="s">
        <v>45</v>
      </c>
      <c r="B44" t="s">
        <v>53</v>
      </c>
      <c r="C44" t="s">
        <v>19</v>
      </c>
      <c r="D44" t="s">
        <v>29</v>
      </c>
      <c r="E44" t="str">
        <f t="shared" si="0"/>
        <v>P_B2P-ZSB-S_4U3</v>
      </c>
      <c r="F44" t="b">
        <v>1</v>
      </c>
      <c r="G44">
        <v>100</v>
      </c>
      <c r="H44">
        <v>1</v>
      </c>
      <c r="I44">
        <v>12848</v>
      </c>
      <c r="J44" s="61" t="s">
        <v>18</v>
      </c>
      <c r="K44" s="16" t="s">
        <v>272</v>
      </c>
      <c r="L44" s="16">
        <v>3</v>
      </c>
      <c r="M44" s="16" t="s">
        <v>277</v>
      </c>
      <c r="N44" s="16" t="s">
        <v>335</v>
      </c>
      <c r="O44" s="15" t="s">
        <v>282</v>
      </c>
      <c r="P44" t="s">
        <v>371</v>
      </c>
      <c r="Q44" t="s">
        <v>371</v>
      </c>
      <c r="R44" s="17" t="s">
        <v>371</v>
      </c>
      <c r="S44" s="16" t="s">
        <v>340</v>
      </c>
      <c r="T44" s="16" t="s">
        <v>340</v>
      </c>
      <c r="U44" s="15" t="s">
        <v>343</v>
      </c>
      <c r="V44" s="15" t="s">
        <v>291</v>
      </c>
      <c r="W44" s="17"/>
      <c r="X44" t="s">
        <v>349</v>
      </c>
      <c r="Y44" t="s">
        <v>349</v>
      </c>
      <c r="Z44" t="s">
        <v>293</v>
      </c>
      <c r="AA44" t="s">
        <v>353</v>
      </c>
      <c r="AB44" t="s">
        <v>296</v>
      </c>
      <c r="AC44" t="s">
        <v>301</v>
      </c>
      <c r="AD44" t="s">
        <v>292</v>
      </c>
      <c r="AE44" t="s">
        <v>293</v>
      </c>
      <c r="AF44" t="s">
        <v>293</v>
      </c>
      <c r="AG44" t="s">
        <v>292</v>
      </c>
      <c r="AH44" t="s">
        <v>293</v>
      </c>
      <c r="AI44" t="s">
        <v>302</v>
      </c>
      <c r="AJ44" t="s">
        <v>302</v>
      </c>
      <c r="AK44" t="s">
        <v>359</v>
      </c>
      <c r="AL44" t="s">
        <v>293</v>
      </c>
      <c r="AM44" t="s">
        <v>293</v>
      </c>
      <c r="AN44" t="s">
        <v>296</v>
      </c>
      <c r="AO44" t="s">
        <v>298</v>
      </c>
      <c r="AP44" t="s">
        <v>293</v>
      </c>
      <c r="AQ44" t="s">
        <v>292</v>
      </c>
      <c r="AR44" t="s">
        <v>293</v>
      </c>
      <c r="AS44" t="s">
        <v>293</v>
      </c>
      <c r="AT44" t="s">
        <v>364</v>
      </c>
      <c r="AU44" t="str">
        <f t="shared" si="2"/>
        <v>break</v>
      </c>
    </row>
    <row r="45" spans="1:47" x14ac:dyDescent="0.3">
      <c r="A45" t="s">
        <v>45</v>
      </c>
      <c r="B45" t="s">
        <v>53</v>
      </c>
      <c r="C45" t="s">
        <v>17</v>
      </c>
      <c r="D45" t="s">
        <v>29</v>
      </c>
      <c r="E45" t="str">
        <f t="shared" si="0"/>
        <v>P_B2P-ZSB-S_6B5</v>
      </c>
      <c r="F45" t="b">
        <v>1</v>
      </c>
      <c r="G45">
        <v>82.6</v>
      </c>
      <c r="H45">
        <v>0</v>
      </c>
      <c r="I45">
        <v>11891</v>
      </c>
      <c r="J45" s="61" t="s">
        <v>13</v>
      </c>
      <c r="K45" s="16" t="s">
        <v>272</v>
      </c>
      <c r="L45" s="16">
        <v>3</v>
      </c>
      <c r="M45" s="16" t="s">
        <v>277</v>
      </c>
      <c r="N45" s="16" t="s">
        <v>335</v>
      </c>
      <c r="O45" s="15" t="s">
        <v>283</v>
      </c>
      <c r="P45" t="s">
        <v>282</v>
      </c>
      <c r="Q45" t="s">
        <v>284</v>
      </c>
      <c r="R45" s="17" t="s">
        <v>371</v>
      </c>
      <c r="S45" s="16" t="s">
        <v>341</v>
      </c>
      <c r="T45" s="16" t="s">
        <v>340</v>
      </c>
      <c r="U45" s="15" t="s">
        <v>343</v>
      </c>
      <c r="V45" s="15" t="s">
        <v>344</v>
      </c>
      <c r="W45" s="17"/>
      <c r="X45" t="s">
        <v>349</v>
      </c>
      <c r="Y45" t="s">
        <v>349</v>
      </c>
      <c r="Z45" t="s">
        <v>293</v>
      </c>
      <c r="AA45" t="s">
        <v>352</v>
      </c>
      <c r="AB45" t="s">
        <v>296</v>
      </c>
      <c r="AC45" t="s">
        <v>300</v>
      </c>
      <c r="AD45" t="s">
        <v>292</v>
      </c>
      <c r="AE45" t="s">
        <v>293</v>
      </c>
      <c r="AF45" t="s">
        <v>292</v>
      </c>
      <c r="AG45" t="s">
        <v>292</v>
      </c>
      <c r="AH45" t="s">
        <v>293</v>
      </c>
      <c r="AI45" t="s">
        <v>302</v>
      </c>
      <c r="AJ45" t="s">
        <v>302</v>
      </c>
      <c r="AK45" t="s">
        <v>359</v>
      </c>
      <c r="AL45" t="s">
        <v>293</v>
      </c>
      <c r="AM45" t="s">
        <v>293</v>
      </c>
      <c r="AN45" t="s">
        <v>297</v>
      </c>
      <c r="AO45" t="s">
        <v>298</v>
      </c>
      <c r="AP45" t="s">
        <v>293</v>
      </c>
      <c r="AQ45" t="s">
        <v>292</v>
      </c>
      <c r="AR45" t="s">
        <v>293</v>
      </c>
      <c r="AS45" t="s">
        <v>293</v>
      </c>
      <c r="AT45" t="s">
        <v>364</v>
      </c>
      <c r="AU45" t="str">
        <f t="shared" si="2"/>
        <v>no_fail</v>
      </c>
    </row>
    <row r="46" spans="1:47" x14ac:dyDescent="0.3">
      <c r="A46" t="s">
        <v>9</v>
      </c>
      <c r="B46" t="s">
        <v>76</v>
      </c>
      <c r="C46" t="s">
        <v>15</v>
      </c>
      <c r="D46" t="s">
        <v>12</v>
      </c>
      <c r="E46" t="str">
        <f t="shared" si="0"/>
        <v>P_B7Q-KYY-S_0M4</v>
      </c>
      <c r="F46" t="b">
        <v>1</v>
      </c>
      <c r="G46">
        <v>100</v>
      </c>
      <c r="H46">
        <v>1</v>
      </c>
      <c r="I46">
        <v>13485</v>
      </c>
      <c r="J46" s="61" t="s">
        <v>18</v>
      </c>
      <c r="K46" s="16" t="s">
        <v>272</v>
      </c>
      <c r="L46" s="16">
        <v>3</v>
      </c>
      <c r="M46" s="16" t="s">
        <v>334</v>
      </c>
      <c r="N46" s="16" t="s">
        <v>334</v>
      </c>
      <c r="O46" s="15" t="s">
        <v>371</v>
      </c>
      <c r="P46" t="s">
        <v>371</v>
      </c>
      <c r="Q46" t="s">
        <v>371</v>
      </c>
      <c r="R46" s="17" t="s">
        <v>371</v>
      </c>
      <c r="S46" s="16" t="s">
        <v>341</v>
      </c>
      <c r="T46" s="16" t="s">
        <v>342</v>
      </c>
      <c r="U46" s="15" t="s">
        <v>343</v>
      </c>
      <c r="V46" s="15" t="s">
        <v>291</v>
      </c>
      <c r="W46" s="17"/>
      <c r="X46" t="s">
        <v>349</v>
      </c>
      <c r="Y46" t="s">
        <v>349</v>
      </c>
      <c r="Z46" t="s">
        <v>293</v>
      </c>
      <c r="AA46" t="s">
        <v>353</v>
      </c>
      <c r="AB46" t="s">
        <v>296</v>
      </c>
      <c r="AC46" t="s">
        <v>301</v>
      </c>
      <c r="AD46" t="s">
        <v>293</v>
      </c>
      <c r="AE46" t="s">
        <v>293</v>
      </c>
      <c r="AF46" t="s">
        <v>292</v>
      </c>
      <c r="AG46" t="s">
        <v>292</v>
      </c>
      <c r="AH46" t="s">
        <v>293</v>
      </c>
      <c r="AI46" t="s">
        <v>359</v>
      </c>
      <c r="AJ46" t="s">
        <v>359</v>
      </c>
      <c r="AK46" t="s">
        <v>359</v>
      </c>
      <c r="AL46" t="s">
        <v>293</v>
      </c>
      <c r="AM46" t="s">
        <v>293</v>
      </c>
      <c r="AN46" t="s">
        <v>297</v>
      </c>
      <c r="AO46" t="s">
        <v>334</v>
      </c>
      <c r="AP46" t="s">
        <v>293</v>
      </c>
      <c r="AQ46" t="s">
        <v>292</v>
      </c>
      <c r="AR46" t="s">
        <v>293</v>
      </c>
      <c r="AS46" t="s">
        <v>293</v>
      </c>
      <c r="AT46" t="s">
        <v>364</v>
      </c>
      <c r="AU46" t="str">
        <f t="shared" si="2"/>
        <v>break</v>
      </c>
    </row>
    <row r="47" spans="1:47" x14ac:dyDescent="0.3">
      <c r="A47" t="s">
        <v>9</v>
      </c>
      <c r="B47" t="s">
        <v>76</v>
      </c>
      <c r="C47" t="s">
        <v>14</v>
      </c>
      <c r="D47" t="s">
        <v>12</v>
      </c>
      <c r="E47" t="str">
        <f t="shared" si="0"/>
        <v>P_B7Q-KYY-S_1B0</v>
      </c>
      <c r="F47" t="b">
        <v>1</v>
      </c>
      <c r="G47">
        <v>81.8</v>
      </c>
      <c r="H47">
        <v>0</v>
      </c>
      <c r="I47">
        <v>13582</v>
      </c>
      <c r="J47" s="61" t="s">
        <v>13</v>
      </c>
      <c r="K47" s="16" t="s">
        <v>272</v>
      </c>
      <c r="L47" s="16">
        <v>3</v>
      </c>
      <c r="M47" s="16" t="s">
        <v>277</v>
      </c>
      <c r="N47" s="16" t="s">
        <v>335</v>
      </c>
      <c r="O47" s="15" t="s">
        <v>281</v>
      </c>
      <c r="P47" t="s">
        <v>282</v>
      </c>
      <c r="Q47" t="s">
        <v>371</v>
      </c>
      <c r="R47" s="17" t="s">
        <v>371</v>
      </c>
      <c r="S47" s="16" t="s">
        <v>341</v>
      </c>
      <c r="T47" s="16" t="s">
        <v>340</v>
      </c>
      <c r="U47" s="15" t="s">
        <v>343</v>
      </c>
      <c r="V47" s="15" t="s">
        <v>344</v>
      </c>
      <c r="W47" s="17" t="s">
        <v>291</v>
      </c>
      <c r="X47" t="s">
        <v>349</v>
      </c>
      <c r="Y47" t="s">
        <v>349</v>
      </c>
      <c r="Z47" t="s">
        <v>293</v>
      </c>
      <c r="AA47" t="s">
        <v>352</v>
      </c>
      <c r="AB47" t="s">
        <v>296</v>
      </c>
      <c r="AC47" t="s">
        <v>300</v>
      </c>
      <c r="AD47" t="s">
        <v>293</v>
      </c>
      <c r="AE47" t="s">
        <v>292</v>
      </c>
      <c r="AF47" t="s">
        <v>292</v>
      </c>
      <c r="AG47" t="s">
        <v>292</v>
      </c>
      <c r="AH47" t="s">
        <v>293</v>
      </c>
      <c r="AI47" t="s">
        <v>302</v>
      </c>
      <c r="AJ47" t="s">
        <v>302</v>
      </c>
      <c r="AK47" t="s">
        <v>359</v>
      </c>
      <c r="AL47" t="s">
        <v>293</v>
      </c>
      <c r="AM47" t="s">
        <v>293</v>
      </c>
      <c r="AN47" t="s">
        <v>297</v>
      </c>
      <c r="AO47" t="s">
        <v>356</v>
      </c>
      <c r="AP47" t="s">
        <v>293</v>
      </c>
      <c r="AQ47" t="s">
        <v>292</v>
      </c>
      <c r="AR47" t="s">
        <v>293</v>
      </c>
      <c r="AS47" t="s">
        <v>293</v>
      </c>
      <c r="AT47" t="s">
        <v>364</v>
      </c>
      <c r="AU47" t="str">
        <f t="shared" si="2"/>
        <v>no_fail</v>
      </c>
    </row>
    <row r="48" spans="1:47" x14ac:dyDescent="0.3">
      <c r="A48" t="s">
        <v>9</v>
      </c>
      <c r="B48" t="s">
        <v>76</v>
      </c>
      <c r="C48" t="s">
        <v>11</v>
      </c>
      <c r="D48" t="s">
        <v>12</v>
      </c>
      <c r="E48" t="str">
        <f t="shared" si="0"/>
        <v>P_B7Q-KYY-S_1Q4</v>
      </c>
      <c r="F48" t="b">
        <v>1</v>
      </c>
      <c r="G48">
        <v>68.599999999999994</v>
      </c>
      <c r="H48">
        <v>0</v>
      </c>
      <c r="I48">
        <v>11742</v>
      </c>
      <c r="J48" s="61" t="s">
        <v>13</v>
      </c>
      <c r="K48" s="16" t="s">
        <v>272</v>
      </c>
      <c r="L48" s="16">
        <v>3</v>
      </c>
      <c r="M48" s="16" t="s">
        <v>277</v>
      </c>
      <c r="N48" s="16" t="s">
        <v>335</v>
      </c>
      <c r="O48" s="15" t="s">
        <v>282</v>
      </c>
      <c r="P48" t="s">
        <v>371</v>
      </c>
      <c r="Q48" t="s">
        <v>371</v>
      </c>
      <c r="R48" s="17" t="s">
        <v>371</v>
      </c>
      <c r="S48" s="16" t="s">
        <v>341</v>
      </c>
      <c r="T48" s="16" t="s">
        <v>340</v>
      </c>
      <c r="U48" s="15" t="s">
        <v>343</v>
      </c>
      <c r="V48" s="15" t="s">
        <v>344</v>
      </c>
      <c r="W48" s="17"/>
      <c r="X48" t="s">
        <v>349</v>
      </c>
      <c r="Y48" t="s">
        <v>349</v>
      </c>
      <c r="Z48" t="s">
        <v>293</v>
      </c>
      <c r="AA48" t="s">
        <v>353</v>
      </c>
      <c r="AB48" t="s">
        <v>296</v>
      </c>
      <c r="AC48" t="s">
        <v>299</v>
      </c>
      <c r="AD48" t="s">
        <v>292</v>
      </c>
      <c r="AE48" t="s">
        <v>293</v>
      </c>
      <c r="AF48" t="s">
        <v>292</v>
      </c>
      <c r="AG48" t="s">
        <v>292</v>
      </c>
      <c r="AH48" t="s">
        <v>293</v>
      </c>
      <c r="AI48" t="s">
        <v>302</v>
      </c>
      <c r="AJ48" t="s">
        <v>302</v>
      </c>
      <c r="AK48" t="s">
        <v>359</v>
      </c>
      <c r="AL48" t="s">
        <v>293</v>
      </c>
      <c r="AM48" t="s">
        <v>293</v>
      </c>
      <c r="AN48" t="s">
        <v>297</v>
      </c>
      <c r="AO48" t="s">
        <v>298</v>
      </c>
      <c r="AP48" t="s">
        <v>293</v>
      </c>
      <c r="AQ48" t="s">
        <v>292</v>
      </c>
      <c r="AR48" t="s">
        <v>293</v>
      </c>
      <c r="AS48" t="s">
        <v>293</v>
      </c>
      <c r="AT48" t="s">
        <v>364</v>
      </c>
      <c r="AU48" t="str">
        <f t="shared" si="2"/>
        <v>no_fail</v>
      </c>
    </row>
    <row r="49" spans="1:48" x14ac:dyDescent="0.3">
      <c r="A49" t="s">
        <v>9</v>
      </c>
      <c r="B49" t="s">
        <v>76</v>
      </c>
      <c r="C49" t="s">
        <v>19</v>
      </c>
      <c r="D49" t="s">
        <v>12</v>
      </c>
      <c r="E49" t="str">
        <f t="shared" si="0"/>
        <v>P_B7Q-KYY-S_4U3</v>
      </c>
      <c r="F49" t="b">
        <v>1</v>
      </c>
      <c r="G49">
        <v>100</v>
      </c>
      <c r="H49">
        <v>1</v>
      </c>
      <c r="I49">
        <v>22643</v>
      </c>
      <c r="J49" s="61" t="s">
        <v>18</v>
      </c>
      <c r="K49" s="16" t="s">
        <v>272</v>
      </c>
      <c r="L49" s="16">
        <v>3</v>
      </c>
      <c r="M49" s="16" t="s">
        <v>277</v>
      </c>
      <c r="N49" s="16" t="s">
        <v>335</v>
      </c>
      <c r="O49" s="15" t="s">
        <v>282</v>
      </c>
      <c r="P49" t="s">
        <v>371</v>
      </c>
      <c r="Q49" t="s">
        <v>371</v>
      </c>
      <c r="R49" s="17" t="s">
        <v>371</v>
      </c>
      <c r="S49" s="16" t="s">
        <v>341</v>
      </c>
      <c r="T49" s="16" t="s">
        <v>342</v>
      </c>
      <c r="U49" s="15" t="s">
        <v>343</v>
      </c>
      <c r="V49" s="15" t="s">
        <v>347</v>
      </c>
      <c r="W49" s="17" t="s">
        <v>291</v>
      </c>
      <c r="X49" t="s">
        <v>349</v>
      </c>
      <c r="Y49" t="s">
        <v>349</v>
      </c>
      <c r="Z49" t="s">
        <v>293</v>
      </c>
      <c r="AA49" t="s">
        <v>352</v>
      </c>
      <c r="AB49" t="s">
        <v>296</v>
      </c>
      <c r="AC49" t="s">
        <v>301</v>
      </c>
      <c r="AD49" t="s">
        <v>292</v>
      </c>
      <c r="AE49" t="s">
        <v>293</v>
      </c>
      <c r="AF49" t="s">
        <v>292</v>
      </c>
      <c r="AG49" t="s">
        <v>292</v>
      </c>
      <c r="AH49" t="s">
        <v>293</v>
      </c>
      <c r="AI49" t="s">
        <v>302</v>
      </c>
      <c r="AJ49" t="s">
        <v>302</v>
      </c>
      <c r="AK49" t="s">
        <v>359</v>
      </c>
      <c r="AL49" t="s">
        <v>293</v>
      </c>
      <c r="AM49" t="s">
        <v>293</v>
      </c>
      <c r="AN49" t="s">
        <v>297</v>
      </c>
      <c r="AO49" t="s">
        <v>298</v>
      </c>
      <c r="AP49" t="s">
        <v>293</v>
      </c>
      <c r="AQ49" t="s">
        <v>292</v>
      </c>
      <c r="AR49" t="s">
        <v>293</v>
      </c>
      <c r="AS49" t="s">
        <v>293</v>
      </c>
      <c r="AT49" t="s">
        <v>364</v>
      </c>
      <c r="AU49" t="str">
        <f t="shared" si="2"/>
        <v>break</v>
      </c>
    </row>
    <row r="50" spans="1:48" x14ac:dyDescent="0.3">
      <c r="A50" t="s">
        <v>9</v>
      </c>
      <c r="B50" t="s">
        <v>76</v>
      </c>
      <c r="C50" t="s">
        <v>17</v>
      </c>
      <c r="D50" t="s">
        <v>12</v>
      </c>
      <c r="E50" t="str">
        <f t="shared" si="0"/>
        <v>P_B7Q-KYY-S_6B5</v>
      </c>
      <c r="F50" t="b">
        <v>1</v>
      </c>
      <c r="G50">
        <v>100</v>
      </c>
      <c r="H50">
        <v>1</v>
      </c>
      <c r="I50">
        <v>18290</v>
      </c>
      <c r="J50" s="61" t="s">
        <v>18</v>
      </c>
      <c r="K50" s="16" t="s">
        <v>272</v>
      </c>
      <c r="L50" s="16">
        <v>3</v>
      </c>
      <c r="M50" s="16" t="s">
        <v>277</v>
      </c>
      <c r="N50" s="16" t="s">
        <v>335</v>
      </c>
      <c r="O50" s="15" t="s">
        <v>282</v>
      </c>
      <c r="P50" t="s">
        <v>371</v>
      </c>
      <c r="Q50" t="s">
        <v>371</v>
      </c>
      <c r="R50" s="17" t="s">
        <v>371</v>
      </c>
      <c r="S50" s="16" t="s">
        <v>341</v>
      </c>
      <c r="T50" s="16" t="s">
        <v>340</v>
      </c>
      <c r="U50" s="15" t="s">
        <v>343</v>
      </c>
      <c r="V50" s="15" t="s">
        <v>347</v>
      </c>
      <c r="W50" s="17"/>
      <c r="X50" t="s">
        <v>349</v>
      </c>
      <c r="Y50" t="s">
        <v>349</v>
      </c>
      <c r="Z50" t="s">
        <v>293</v>
      </c>
      <c r="AA50" t="s">
        <v>352</v>
      </c>
      <c r="AB50" t="s">
        <v>296</v>
      </c>
      <c r="AC50" t="s">
        <v>301</v>
      </c>
      <c r="AD50" t="s">
        <v>292</v>
      </c>
      <c r="AE50" t="s">
        <v>293</v>
      </c>
      <c r="AF50" t="s">
        <v>292</v>
      </c>
      <c r="AG50" t="s">
        <v>292</v>
      </c>
      <c r="AH50" t="s">
        <v>293</v>
      </c>
      <c r="AI50" t="s">
        <v>302</v>
      </c>
      <c r="AJ50" t="s">
        <v>302</v>
      </c>
      <c r="AK50" t="s">
        <v>359</v>
      </c>
      <c r="AL50" t="s">
        <v>293</v>
      </c>
      <c r="AM50" t="s">
        <v>293</v>
      </c>
      <c r="AN50" t="s">
        <v>297</v>
      </c>
      <c r="AO50" t="s">
        <v>298</v>
      </c>
      <c r="AP50" t="s">
        <v>293</v>
      </c>
      <c r="AQ50" t="s">
        <v>292</v>
      </c>
      <c r="AR50" t="s">
        <v>293</v>
      </c>
      <c r="AS50" t="s">
        <v>293</v>
      </c>
      <c r="AT50" t="s">
        <v>364</v>
      </c>
      <c r="AU50" t="str">
        <f t="shared" si="2"/>
        <v>break</v>
      </c>
    </row>
    <row r="51" spans="1:48" x14ac:dyDescent="0.3">
      <c r="A51" t="s">
        <v>9</v>
      </c>
      <c r="B51" t="s">
        <v>76</v>
      </c>
      <c r="C51" t="s">
        <v>16</v>
      </c>
      <c r="D51" t="s">
        <v>12</v>
      </c>
      <c r="E51" t="str">
        <f t="shared" si="0"/>
        <v>P_B7Q-KYY-S_6U7</v>
      </c>
      <c r="F51" t="b">
        <v>1</v>
      </c>
      <c r="G51">
        <v>100</v>
      </c>
      <c r="H51">
        <v>1</v>
      </c>
      <c r="I51">
        <v>12651</v>
      </c>
      <c r="J51" s="61" t="s">
        <v>18</v>
      </c>
      <c r="K51" s="16" t="s">
        <v>272</v>
      </c>
      <c r="L51" s="16">
        <v>3</v>
      </c>
      <c r="M51" s="16" t="s">
        <v>277</v>
      </c>
      <c r="N51" s="16" t="s">
        <v>335</v>
      </c>
      <c r="O51" s="15" t="s">
        <v>282</v>
      </c>
      <c r="P51" t="s">
        <v>371</v>
      </c>
      <c r="Q51" t="s">
        <v>371</v>
      </c>
      <c r="R51" s="17" t="s">
        <v>371</v>
      </c>
      <c r="S51" s="16" t="s">
        <v>341</v>
      </c>
      <c r="T51" s="16" t="s">
        <v>340</v>
      </c>
      <c r="U51" s="15" t="s">
        <v>343</v>
      </c>
      <c r="V51" s="15" t="s">
        <v>291</v>
      </c>
      <c r="W51" s="17"/>
      <c r="X51" t="s">
        <v>349</v>
      </c>
      <c r="Y51" t="s">
        <v>349</v>
      </c>
      <c r="Z51" t="s">
        <v>293</v>
      </c>
      <c r="AA51" t="s">
        <v>352</v>
      </c>
      <c r="AB51" t="s">
        <v>296</v>
      </c>
      <c r="AC51" t="s">
        <v>301</v>
      </c>
      <c r="AD51" t="s">
        <v>292</v>
      </c>
      <c r="AE51" t="s">
        <v>293</v>
      </c>
      <c r="AF51" t="s">
        <v>292</v>
      </c>
      <c r="AG51" t="s">
        <v>292</v>
      </c>
      <c r="AH51" t="s">
        <v>293</v>
      </c>
      <c r="AI51" t="s">
        <v>302</v>
      </c>
      <c r="AJ51" t="s">
        <v>302</v>
      </c>
      <c r="AK51" t="s">
        <v>359</v>
      </c>
      <c r="AL51" t="s">
        <v>293</v>
      </c>
      <c r="AM51" t="s">
        <v>293</v>
      </c>
      <c r="AN51" t="s">
        <v>297</v>
      </c>
      <c r="AO51" t="s">
        <v>298</v>
      </c>
      <c r="AP51" t="s">
        <v>293</v>
      </c>
      <c r="AQ51" t="s">
        <v>292</v>
      </c>
      <c r="AR51" t="s">
        <v>293</v>
      </c>
      <c r="AS51" t="s">
        <v>293</v>
      </c>
      <c r="AT51" t="s">
        <v>364</v>
      </c>
      <c r="AU51" t="str">
        <f t="shared" si="2"/>
        <v>break</v>
      </c>
    </row>
    <row r="52" spans="1:48" x14ac:dyDescent="0.3">
      <c r="A52" t="s">
        <v>9</v>
      </c>
      <c r="B52" t="s">
        <v>76</v>
      </c>
      <c r="C52" t="s">
        <v>20</v>
      </c>
      <c r="D52" t="s">
        <v>12</v>
      </c>
      <c r="E52" t="str">
        <f t="shared" si="0"/>
        <v>P_B7Q-KYY-S_7W0</v>
      </c>
      <c r="F52" t="b">
        <v>1</v>
      </c>
      <c r="G52">
        <v>100</v>
      </c>
      <c r="H52">
        <v>1</v>
      </c>
      <c r="I52">
        <v>10515</v>
      </c>
      <c r="J52" s="61" t="s">
        <v>18</v>
      </c>
      <c r="K52" s="16" t="s">
        <v>272</v>
      </c>
      <c r="L52" s="16">
        <v>3</v>
      </c>
      <c r="M52" s="16" t="s">
        <v>277</v>
      </c>
      <c r="N52" s="16" t="s">
        <v>335</v>
      </c>
      <c r="O52" s="15" t="s">
        <v>284</v>
      </c>
      <c r="P52" t="s">
        <v>282</v>
      </c>
      <c r="Q52" t="s">
        <v>371</v>
      </c>
      <c r="R52" s="17" t="s">
        <v>371</v>
      </c>
      <c r="S52" s="16" t="s">
        <v>341</v>
      </c>
      <c r="T52" s="16" t="s">
        <v>340</v>
      </c>
      <c r="U52" s="15" t="s">
        <v>340</v>
      </c>
      <c r="V52" s="15" t="s">
        <v>344</v>
      </c>
      <c r="W52" s="17"/>
      <c r="X52" t="s">
        <v>349</v>
      </c>
      <c r="Y52" t="s">
        <v>349</v>
      </c>
      <c r="Z52" t="s">
        <v>293</v>
      </c>
      <c r="AA52" t="s">
        <v>354</v>
      </c>
      <c r="AB52" t="s">
        <v>354</v>
      </c>
      <c r="AC52" t="s">
        <v>300</v>
      </c>
      <c r="AD52" t="s">
        <v>292</v>
      </c>
      <c r="AE52" t="s">
        <v>293</v>
      </c>
      <c r="AF52" t="s">
        <v>292</v>
      </c>
      <c r="AG52" t="s">
        <v>293</v>
      </c>
      <c r="AH52" t="s">
        <v>293</v>
      </c>
      <c r="AI52" t="s">
        <v>302</v>
      </c>
      <c r="AJ52" t="s">
        <v>302</v>
      </c>
      <c r="AK52" t="s">
        <v>358</v>
      </c>
      <c r="AL52" t="s">
        <v>293</v>
      </c>
      <c r="AM52" t="s">
        <v>292</v>
      </c>
      <c r="AN52" t="s">
        <v>297</v>
      </c>
      <c r="AO52" t="s">
        <v>298</v>
      </c>
      <c r="AP52" t="s">
        <v>293</v>
      </c>
      <c r="AQ52" t="s">
        <v>292</v>
      </c>
      <c r="AR52" t="s">
        <v>293</v>
      </c>
      <c r="AS52" t="s">
        <v>293</v>
      </c>
      <c r="AT52" t="s">
        <v>364</v>
      </c>
      <c r="AU52" t="str">
        <f t="shared" si="2"/>
        <v>break</v>
      </c>
    </row>
    <row r="53" spans="1:48" x14ac:dyDescent="0.3">
      <c r="A53" t="s">
        <v>9</v>
      </c>
      <c r="B53" t="s">
        <v>76</v>
      </c>
      <c r="C53" t="s">
        <v>23</v>
      </c>
      <c r="D53" t="s">
        <v>29</v>
      </c>
      <c r="E53" t="str">
        <f t="shared" si="0"/>
        <v>P_B7Q-ZSB-S_0T2</v>
      </c>
      <c r="F53" t="b">
        <v>1</v>
      </c>
      <c r="G53">
        <v>100</v>
      </c>
      <c r="H53">
        <v>1</v>
      </c>
      <c r="I53">
        <v>15511</v>
      </c>
      <c r="J53" s="61" t="s">
        <v>18</v>
      </c>
      <c r="K53" s="16" t="s">
        <v>272</v>
      </c>
      <c r="L53" s="16">
        <v>3</v>
      </c>
      <c r="M53" s="16" t="s">
        <v>277</v>
      </c>
      <c r="N53" s="16" t="s">
        <v>335</v>
      </c>
      <c r="O53" s="15" t="s">
        <v>283</v>
      </c>
      <c r="P53" t="s">
        <v>282</v>
      </c>
      <c r="Q53" t="s">
        <v>371</v>
      </c>
      <c r="R53" s="17" t="s">
        <v>371</v>
      </c>
      <c r="S53" s="16" t="s">
        <v>340</v>
      </c>
      <c r="T53" s="16" t="s">
        <v>342</v>
      </c>
      <c r="U53" s="15" t="s">
        <v>343</v>
      </c>
      <c r="V53" s="15" t="s">
        <v>344</v>
      </c>
      <c r="W53" s="17"/>
      <c r="X53" t="s">
        <v>349</v>
      </c>
      <c r="Y53" t="s">
        <v>349</v>
      </c>
      <c r="Z53" t="s">
        <v>293</v>
      </c>
      <c r="AA53" t="s">
        <v>352</v>
      </c>
      <c r="AB53" t="s">
        <v>296</v>
      </c>
      <c r="AC53" t="s">
        <v>300</v>
      </c>
      <c r="AD53" t="s">
        <v>292</v>
      </c>
      <c r="AE53" t="s">
        <v>293</v>
      </c>
      <c r="AF53" t="s">
        <v>292</v>
      </c>
      <c r="AG53" t="s">
        <v>292</v>
      </c>
      <c r="AH53" t="s">
        <v>293</v>
      </c>
      <c r="AI53" t="s">
        <v>302</v>
      </c>
      <c r="AJ53" t="s">
        <v>302</v>
      </c>
      <c r="AK53" t="s">
        <v>359</v>
      </c>
      <c r="AL53" t="s">
        <v>293</v>
      </c>
      <c r="AM53" t="s">
        <v>293</v>
      </c>
      <c r="AN53" t="s">
        <v>297</v>
      </c>
      <c r="AO53" t="s">
        <v>298</v>
      </c>
      <c r="AP53" t="s">
        <v>293</v>
      </c>
      <c r="AQ53" t="s">
        <v>292</v>
      </c>
      <c r="AR53" t="s">
        <v>293</v>
      </c>
      <c r="AS53" t="s">
        <v>293</v>
      </c>
      <c r="AT53" t="s">
        <v>364</v>
      </c>
      <c r="AU53" t="str">
        <f t="shared" si="2"/>
        <v>break</v>
      </c>
    </row>
    <row r="54" spans="1:48" x14ac:dyDescent="0.3">
      <c r="A54" t="s">
        <v>9</v>
      </c>
      <c r="B54" t="s">
        <v>76</v>
      </c>
      <c r="C54" t="s">
        <v>25</v>
      </c>
      <c r="D54" t="s">
        <v>29</v>
      </c>
      <c r="E54" t="str">
        <f t="shared" si="0"/>
        <v>P_B7Q-ZSB-S_1J8</v>
      </c>
      <c r="F54" t="b">
        <v>1</v>
      </c>
      <c r="G54">
        <v>100</v>
      </c>
      <c r="H54">
        <v>1</v>
      </c>
      <c r="I54">
        <v>13391</v>
      </c>
      <c r="J54" s="61" t="s">
        <v>18</v>
      </c>
      <c r="K54" s="16" t="s">
        <v>272</v>
      </c>
      <c r="L54" s="16">
        <v>3</v>
      </c>
      <c r="M54" s="16" t="s">
        <v>277</v>
      </c>
      <c r="N54" s="16" t="s">
        <v>335</v>
      </c>
      <c r="O54" s="15" t="s">
        <v>282</v>
      </c>
      <c r="P54" t="s">
        <v>371</v>
      </c>
      <c r="Q54" t="s">
        <v>371</v>
      </c>
      <c r="R54" s="17" t="s">
        <v>371</v>
      </c>
      <c r="S54" s="16" t="s">
        <v>340</v>
      </c>
      <c r="T54" s="16" t="s">
        <v>342</v>
      </c>
      <c r="U54" s="15" t="s">
        <v>343</v>
      </c>
      <c r="V54" s="15" t="s">
        <v>344</v>
      </c>
      <c r="W54" s="17"/>
      <c r="X54" t="s">
        <v>349</v>
      </c>
      <c r="Y54" t="s">
        <v>349</v>
      </c>
      <c r="Z54" t="s">
        <v>293</v>
      </c>
      <c r="AA54" t="s">
        <v>352</v>
      </c>
      <c r="AB54" t="s">
        <v>296</v>
      </c>
      <c r="AC54" t="s">
        <v>299</v>
      </c>
      <c r="AD54" t="s">
        <v>292</v>
      </c>
      <c r="AE54" t="s">
        <v>293</v>
      </c>
      <c r="AF54" t="s">
        <v>292</v>
      </c>
      <c r="AG54" t="s">
        <v>292</v>
      </c>
      <c r="AH54" t="s">
        <v>293</v>
      </c>
      <c r="AI54" t="s">
        <v>302</v>
      </c>
      <c r="AJ54" t="s">
        <v>302</v>
      </c>
      <c r="AK54" t="s">
        <v>359</v>
      </c>
      <c r="AL54" t="s">
        <v>293</v>
      </c>
      <c r="AM54" t="s">
        <v>293</v>
      </c>
      <c r="AN54" t="s">
        <v>297</v>
      </c>
      <c r="AO54" t="s">
        <v>298</v>
      </c>
      <c r="AP54" t="s">
        <v>293</v>
      </c>
      <c r="AQ54" t="s">
        <v>292</v>
      </c>
      <c r="AR54" t="s">
        <v>293</v>
      </c>
      <c r="AS54" t="s">
        <v>293</v>
      </c>
      <c r="AT54" t="s">
        <v>364</v>
      </c>
      <c r="AU54" t="str">
        <f t="shared" si="2"/>
        <v>break</v>
      </c>
    </row>
    <row r="55" spans="1:48" x14ac:dyDescent="0.3">
      <c r="A55" t="s">
        <v>9</v>
      </c>
      <c r="B55" t="s">
        <v>76</v>
      </c>
      <c r="C55" t="s">
        <v>24</v>
      </c>
      <c r="D55" t="s">
        <v>29</v>
      </c>
      <c r="E55" t="str">
        <f t="shared" si="0"/>
        <v>P_B7Q-ZSB-S_1U0</v>
      </c>
      <c r="F55" t="b">
        <v>1</v>
      </c>
      <c r="G55">
        <v>100</v>
      </c>
      <c r="H55">
        <v>1</v>
      </c>
      <c r="I55">
        <v>14479</v>
      </c>
      <c r="J55" s="61" t="s">
        <v>13</v>
      </c>
      <c r="K55" s="16" t="s">
        <v>272</v>
      </c>
      <c r="L55" s="16">
        <v>3</v>
      </c>
      <c r="M55" s="16" t="s">
        <v>277</v>
      </c>
      <c r="N55" s="16" t="s">
        <v>335</v>
      </c>
      <c r="O55" s="15" t="s">
        <v>283</v>
      </c>
      <c r="P55" t="s">
        <v>284</v>
      </c>
      <c r="Q55" t="s">
        <v>371</v>
      </c>
      <c r="R55" s="17" t="s">
        <v>371</v>
      </c>
      <c r="S55" s="16" t="s">
        <v>340</v>
      </c>
      <c r="T55" s="16" t="s">
        <v>342</v>
      </c>
      <c r="U55" s="15" t="s">
        <v>343</v>
      </c>
      <c r="V55" s="15" t="s">
        <v>344</v>
      </c>
      <c r="W55" s="17"/>
      <c r="X55" t="s">
        <v>349</v>
      </c>
      <c r="Y55" t="s">
        <v>349</v>
      </c>
      <c r="Z55" t="s">
        <v>293</v>
      </c>
      <c r="AA55" t="s">
        <v>352</v>
      </c>
      <c r="AB55" t="s">
        <v>296</v>
      </c>
      <c r="AC55" t="s">
        <v>300</v>
      </c>
      <c r="AD55" t="s">
        <v>292</v>
      </c>
      <c r="AE55" t="s">
        <v>293</v>
      </c>
      <c r="AF55" t="s">
        <v>292</v>
      </c>
      <c r="AG55" t="s">
        <v>292</v>
      </c>
      <c r="AH55" t="s">
        <v>293</v>
      </c>
      <c r="AI55" t="s">
        <v>302</v>
      </c>
      <c r="AJ55" t="s">
        <v>302</v>
      </c>
      <c r="AK55" t="s">
        <v>359</v>
      </c>
      <c r="AL55" t="s">
        <v>293</v>
      </c>
      <c r="AM55" t="s">
        <v>293</v>
      </c>
      <c r="AN55" t="s">
        <v>297</v>
      </c>
      <c r="AO55" t="s">
        <v>298</v>
      </c>
      <c r="AP55" t="s">
        <v>293</v>
      </c>
      <c r="AQ55" t="s">
        <v>292</v>
      </c>
      <c r="AR55" t="s">
        <v>293</v>
      </c>
      <c r="AS55" t="s">
        <v>293</v>
      </c>
      <c r="AT55" t="s">
        <v>364</v>
      </c>
      <c r="AU55" t="str">
        <f t="shared" si="2"/>
        <v>no_fail</v>
      </c>
    </row>
    <row r="56" spans="1:48" x14ac:dyDescent="0.3">
      <c r="A56" t="s">
        <v>9</v>
      </c>
      <c r="B56" t="s">
        <v>76</v>
      </c>
      <c r="C56" t="s">
        <v>21</v>
      </c>
      <c r="D56" t="s">
        <v>29</v>
      </c>
      <c r="E56" t="str">
        <f t="shared" si="0"/>
        <v>P_B7Q-ZSB-S_3X6</v>
      </c>
      <c r="F56" t="b">
        <v>1</v>
      </c>
      <c r="G56">
        <v>99.9</v>
      </c>
      <c r="H56">
        <v>0</v>
      </c>
      <c r="I56">
        <v>10869</v>
      </c>
      <c r="J56" s="61" t="s">
        <v>18</v>
      </c>
      <c r="K56" s="16" t="s">
        <v>272</v>
      </c>
      <c r="L56" s="16">
        <v>2</v>
      </c>
      <c r="M56" s="16" t="s">
        <v>277</v>
      </c>
      <c r="N56" s="16" t="s">
        <v>335</v>
      </c>
      <c r="O56" s="15" t="s">
        <v>282</v>
      </c>
      <c r="P56" t="s">
        <v>371</v>
      </c>
      <c r="Q56" t="s">
        <v>371</v>
      </c>
      <c r="R56" s="17" t="s">
        <v>371</v>
      </c>
      <c r="S56" s="16" t="s">
        <v>340</v>
      </c>
      <c r="T56" s="16" t="s">
        <v>342</v>
      </c>
      <c r="U56" s="15" t="s">
        <v>340</v>
      </c>
      <c r="V56" s="15" t="s">
        <v>344</v>
      </c>
      <c r="W56" s="17"/>
      <c r="X56" t="s">
        <v>349</v>
      </c>
      <c r="Y56" t="s">
        <v>349</v>
      </c>
      <c r="Z56" t="s">
        <v>293</v>
      </c>
      <c r="AA56" t="s">
        <v>354</v>
      </c>
      <c r="AB56" t="s">
        <v>354</v>
      </c>
      <c r="AC56" t="s">
        <v>301</v>
      </c>
      <c r="AD56" t="s">
        <v>292</v>
      </c>
      <c r="AE56" t="s">
        <v>293</v>
      </c>
      <c r="AF56" t="s">
        <v>292</v>
      </c>
      <c r="AG56" t="s">
        <v>293</v>
      </c>
      <c r="AH56" t="s">
        <v>293</v>
      </c>
      <c r="AI56" t="s">
        <v>302</v>
      </c>
      <c r="AJ56" t="s">
        <v>302</v>
      </c>
      <c r="AK56" t="s">
        <v>359</v>
      </c>
      <c r="AL56" t="s">
        <v>293</v>
      </c>
      <c r="AM56" t="s">
        <v>293</v>
      </c>
      <c r="AN56" t="s">
        <v>297</v>
      </c>
      <c r="AO56" t="s">
        <v>298</v>
      </c>
      <c r="AP56" t="s">
        <v>293</v>
      </c>
      <c r="AQ56" t="s">
        <v>292</v>
      </c>
      <c r="AR56" t="s">
        <v>293</v>
      </c>
      <c r="AS56" t="s">
        <v>293</v>
      </c>
      <c r="AT56" t="s">
        <v>364</v>
      </c>
      <c r="AU56" t="str">
        <f t="shared" si="2"/>
        <v>car_stuck</v>
      </c>
    </row>
    <row r="57" spans="1:48" x14ac:dyDescent="0.3">
      <c r="A57" t="s">
        <v>9</v>
      </c>
      <c r="B57" t="s">
        <v>76</v>
      </c>
      <c r="C57" t="s">
        <v>30</v>
      </c>
      <c r="D57" t="s">
        <v>29</v>
      </c>
      <c r="E57" t="str">
        <f t="shared" si="0"/>
        <v>P_B7Q-ZSB-S_3X7</v>
      </c>
      <c r="F57" t="b">
        <v>1</v>
      </c>
      <c r="G57">
        <v>100</v>
      </c>
      <c r="H57">
        <v>1</v>
      </c>
      <c r="I57">
        <v>12226</v>
      </c>
      <c r="J57" s="61" t="s">
        <v>13</v>
      </c>
      <c r="K57" s="16" t="s">
        <v>272</v>
      </c>
      <c r="L57" s="16">
        <v>3</v>
      </c>
      <c r="M57" s="16" t="s">
        <v>277</v>
      </c>
      <c r="N57" s="16" t="s">
        <v>335</v>
      </c>
      <c r="O57" s="15" t="s">
        <v>283</v>
      </c>
      <c r="P57" t="s">
        <v>284</v>
      </c>
      <c r="Q57" t="s">
        <v>371</v>
      </c>
      <c r="R57" s="17" t="s">
        <v>371</v>
      </c>
      <c r="S57" s="16" t="s">
        <v>341</v>
      </c>
      <c r="T57" s="16" t="s">
        <v>340</v>
      </c>
      <c r="U57" s="15" t="s">
        <v>343</v>
      </c>
      <c r="V57" s="15" t="s">
        <v>345</v>
      </c>
      <c r="W57" s="17" t="s">
        <v>346</v>
      </c>
      <c r="X57" t="s">
        <v>349</v>
      </c>
      <c r="Y57" t="s">
        <v>349</v>
      </c>
      <c r="Z57" t="s">
        <v>293</v>
      </c>
      <c r="AA57" t="s">
        <v>353</v>
      </c>
      <c r="AB57" t="s">
        <v>296</v>
      </c>
      <c r="AC57" t="s">
        <v>300</v>
      </c>
      <c r="AD57" t="s">
        <v>293</v>
      </c>
      <c r="AE57" t="s">
        <v>292</v>
      </c>
      <c r="AF57" t="s">
        <v>292</v>
      </c>
      <c r="AG57" t="s">
        <v>292</v>
      </c>
      <c r="AH57" t="s">
        <v>293</v>
      </c>
      <c r="AI57" t="s">
        <v>302</v>
      </c>
      <c r="AJ57" t="s">
        <v>302</v>
      </c>
      <c r="AK57" t="s">
        <v>359</v>
      </c>
      <c r="AL57" t="s">
        <v>293</v>
      </c>
      <c r="AM57" t="s">
        <v>293</v>
      </c>
      <c r="AN57" t="s">
        <v>297</v>
      </c>
      <c r="AO57" t="s">
        <v>356</v>
      </c>
      <c r="AP57" t="s">
        <v>293</v>
      </c>
      <c r="AQ57" t="s">
        <v>292</v>
      </c>
      <c r="AR57" t="s">
        <v>293</v>
      </c>
      <c r="AS57" t="s">
        <v>293</v>
      </c>
      <c r="AT57" t="s">
        <v>364</v>
      </c>
      <c r="AU57" t="str">
        <f t="shared" si="2"/>
        <v>no_fail</v>
      </c>
    </row>
    <row r="58" spans="1:48" x14ac:dyDescent="0.3">
      <c r="A58" t="s">
        <v>9</v>
      </c>
      <c r="B58" t="s">
        <v>76</v>
      </c>
      <c r="C58" t="s">
        <v>26</v>
      </c>
      <c r="D58" t="s">
        <v>29</v>
      </c>
      <c r="E58" t="str">
        <f t="shared" si="0"/>
        <v>P_B7Q-ZSB-S_8O8</v>
      </c>
      <c r="F58" t="b">
        <v>1</v>
      </c>
      <c r="G58">
        <v>100</v>
      </c>
      <c r="H58">
        <v>1</v>
      </c>
      <c r="I58">
        <v>16337</v>
      </c>
      <c r="J58" s="61" t="s">
        <v>13</v>
      </c>
      <c r="K58" s="16" t="s">
        <v>272</v>
      </c>
      <c r="L58" s="16">
        <v>3</v>
      </c>
      <c r="M58" s="16" t="s">
        <v>277</v>
      </c>
      <c r="N58" s="16" t="s">
        <v>335</v>
      </c>
      <c r="O58" s="15" t="s">
        <v>282</v>
      </c>
      <c r="P58" t="s">
        <v>371</v>
      </c>
      <c r="Q58" t="s">
        <v>371</v>
      </c>
      <c r="R58" s="17" t="s">
        <v>371</v>
      </c>
      <c r="S58" s="16" t="s">
        <v>340</v>
      </c>
      <c r="T58" s="16" t="s">
        <v>342</v>
      </c>
      <c r="U58" s="15" t="s">
        <v>343</v>
      </c>
      <c r="V58" s="15" t="s">
        <v>344</v>
      </c>
      <c r="W58" s="17"/>
      <c r="X58" t="s">
        <v>349</v>
      </c>
      <c r="Y58" t="s">
        <v>349</v>
      </c>
      <c r="Z58" t="s">
        <v>293</v>
      </c>
      <c r="AA58" t="s">
        <v>352</v>
      </c>
      <c r="AB58" t="s">
        <v>296</v>
      </c>
      <c r="AC58" t="s">
        <v>299</v>
      </c>
      <c r="AD58" t="s">
        <v>293</v>
      </c>
      <c r="AE58" t="s">
        <v>292</v>
      </c>
      <c r="AF58" t="s">
        <v>292</v>
      </c>
      <c r="AG58" t="s">
        <v>292</v>
      </c>
      <c r="AH58" t="s">
        <v>293</v>
      </c>
      <c r="AI58" t="s">
        <v>302</v>
      </c>
      <c r="AJ58" t="s">
        <v>302</v>
      </c>
      <c r="AK58" t="s">
        <v>359</v>
      </c>
      <c r="AL58" t="s">
        <v>293</v>
      </c>
      <c r="AM58" t="s">
        <v>293</v>
      </c>
      <c r="AN58" t="s">
        <v>297</v>
      </c>
      <c r="AO58" t="s">
        <v>298</v>
      </c>
      <c r="AP58" t="s">
        <v>293</v>
      </c>
      <c r="AQ58" t="s">
        <v>292</v>
      </c>
      <c r="AR58" t="s">
        <v>293</v>
      </c>
      <c r="AS58" t="s">
        <v>293</v>
      </c>
      <c r="AT58" t="s">
        <v>364</v>
      </c>
      <c r="AU58" t="str">
        <f t="shared" si="2"/>
        <v>no_fail</v>
      </c>
    </row>
    <row r="59" spans="1:48" x14ac:dyDescent="0.3">
      <c r="A59" t="s">
        <v>9</v>
      </c>
      <c r="B59" t="s">
        <v>76</v>
      </c>
      <c r="C59" t="s">
        <v>22</v>
      </c>
      <c r="D59" t="s">
        <v>29</v>
      </c>
      <c r="E59" t="str">
        <f t="shared" si="0"/>
        <v>P_B7Q-ZSB-S_9B4</v>
      </c>
      <c r="F59" t="b">
        <v>1</v>
      </c>
      <c r="G59">
        <v>100</v>
      </c>
      <c r="H59">
        <v>1</v>
      </c>
      <c r="I59">
        <v>9669</v>
      </c>
      <c r="J59" s="61" t="s">
        <v>18</v>
      </c>
      <c r="K59" s="16" t="s">
        <v>272</v>
      </c>
      <c r="L59" s="16">
        <v>2</v>
      </c>
      <c r="M59" s="16" t="s">
        <v>277</v>
      </c>
      <c r="N59" s="16" t="s">
        <v>335</v>
      </c>
      <c r="O59" s="15" t="s">
        <v>282</v>
      </c>
      <c r="P59" t="s">
        <v>371</v>
      </c>
      <c r="Q59" t="s">
        <v>371</v>
      </c>
      <c r="R59" s="17" t="s">
        <v>371</v>
      </c>
      <c r="S59" s="16" t="s">
        <v>340</v>
      </c>
      <c r="T59" s="16" t="s">
        <v>342</v>
      </c>
      <c r="U59" s="15" t="s">
        <v>340</v>
      </c>
      <c r="V59" s="15" t="s">
        <v>344</v>
      </c>
      <c r="W59" s="17"/>
      <c r="X59" t="s">
        <v>349</v>
      </c>
      <c r="Y59" t="s">
        <v>349</v>
      </c>
      <c r="Z59" t="s">
        <v>293</v>
      </c>
      <c r="AA59" t="s">
        <v>354</v>
      </c>
      <c r="AB59" t="s">
        <v>354</v>
      </c>
      <c r="AC59" t="s">
        <v>300</v>
      </c>
      <c r="AD59" t="s">
        <v>292</v>
      </c>
      <c r="AE59" t="s">
        <v>293</v>
      </c>
      <c r="AF59" t="s">
        <v>292</v>
      </c>
      <c r="AG59" t="s">
        <v>293</v>
      </c>
      <c r="AH59" t="s">
        <v>293</v>
      </c>
      <c r="AI59" t="s">
        <v>302</v>
      </c>
      <c r="AJ59" t="s">
        <v>302</v>
      </c>
      <c r="AK59" t="s">
        <v>357</v>
      </c>
      <c r="AL59" t="s">
        <v>293</v>
      </c>
      <c r="AM59" t="s">
        <v>293</v>
      </c>
      <c r="AN59" t="s">
        <v>297</v>
      </c>
      <c r="AO59" t="s">
        <v>298</v>
      </c>
      <c r="AP59" t="s">
        <v>293</v>
      </c>
      <c r="AQ59" t="s">
        <v>292</v>
      </c>
      <c r="AR59" t="s">
        <v>293</v>
      </c>
      <c r="AS59" t="s">
        <v>293</v>
      </c>
      <c r="AT59" t="s">
        <v>364</v>
      </c>
      <c r="AU59" t="str">
        <f t="shared" si="2"/>
        <v>break</v>
      </c>
    </row>
    <row r="60" spans="1:48" x14ac:dyDescent="0.3">
      <c r="A60" t="s">
        <v>9</v>
      </c>
      <c r="B60" t="s">
        <v>76</v>
      </c>
      <c r="C60" t="s">
        <v>31</v>
      </c>
      <c r="D60" t="s">
        <v>29</v>
      </c>
      <c r="E60" t="str">
        <f t="shared" si="0"/>
        <v>P_B7Q-ZSB-S_9E0</v>
      </c>
      <c r="F60" t="b">
        <v>1</v>
      </c>
      <c r="G60">
        <v>94.4</v>
      </c>
      <c r="H60">
        <v>0</v>
      </c>
      <c r="I60">
        <v>17795</v>
      </c>
      <c r="J60" s="61" t="s">
        <v>13</v>
      </c>
      <c r="K60" s="16" t="s">
        <v>272</v>
      </c>
      <c r="L60" s="16">
        <v>3</v>
      </c>
      <c r="M60" s="16" t="s">
        <v>277</v>
      </c>
      <c r="N60" s="16" t="s">
        <v>335</v>
      </c>
      <c r="O60" s="15" t="s">
        <v>283</v>
      </c>
      <c r="P60" t="s">
        <v>284</v>
      </c>
      <c r="Q60" t="s">
        <v>371</v>
      </c>
      <c r="R60" s="17" t="s">
        <v>371</v>
      </c>
      <c r="S60" s="16" t="s">
        <v>341</v>
      </c>
      <c r="T60" s="16" t="s">
        <v>340</v>
      </c>
      <c r="U60" s="15" t="s">
        <v>343</v>
      </c>
      <c r="V60" s="15" t="s">
        <v>345</v>
      </c>
      <c r="W60" s="17"/>
      <c r="X60" t="s">
        <v>349</v>
      </c>
      <c r="Y60" t="s">
        <v>349</v>
      </c>
      <c r="Z60" t="s">
        <v>293</v>
      </c>
      <c r="AA60" t="s">
        <v>353</v>
      </c>
      <c r="AB60" t="s">
        <v>296</v>
      </c>
      <c r="AC60" t="s">
        <v>300</v>
      </c>
      <c r="AD60" t="s">
        <v>293</v>
      </c>
      <c r="AE60" t="s">
        <v>292</v>
      </c>
      <c r="AF60" t="s">
        <v>292</v>
      </c>
      <c r="AG60" t="s">
        <v>292</v>
      </c>
      <c r="AH60" t="s">
        <v>293</v>
      </c>
      <c r="AI60" t="s">
        <v>302</v>
      </c>
      <c r="AJ60" t="s">
        <v>302</v>
      </c>
      <c r="AK60" t="s">
        <v>359</v>
      </c>
      <c r="AL60" t="s">
        <v>293</v>
      </c>
      <c r="AM60" t="s">
        <v>293</v>
      </c>
      <c r="AN60" t="s">
        <v>297</v>
      </c>
      <c r="AO60" t="s">
        <v>356</v>
      </c>
      <c r="AP60" t="s">
        <v>293</v>
      </c>
      <c r="AQ60" t="s">
        <v>292</v>
      </c>
      <c r="AR60" t="s">
        <v>293</v>
      </c>
      <c r="AS60" t="s">
        <v>293</v>
      </c>
      <c r="AT60" t="s">
        <v>364</v>
      </c>
      <c r="AU60" t="str">
        <f t="shared" si="2"/>
        <v>no_fail</v>
      </c>
    </row>
    <row r="61" spans="1:48" x14ac:dyDescent="0.3">
      <c r="A61" t="s">
        <v>9</v>
      </c>
      <c r="B61" t="s">
        <v>76</v>
      </c>
      <c r="C61" t="s">
        <v>27</v>
      </c>
      <c r="D61" t="s">
        <v>29</v>
      </c>
      <c r="E61" t="str">
        <f t="shared" si="0"/>
        <v>P_B7Q-ZSB-S_9F6</v>
      </c>
      <c r="F61" t="b">
        <v>1</v>
      </c>
      <c r="G61">
        <v>35.4</v>
      </c>
      <c r="H61">
        <v>0</v>
      </c>
      <c r="I61">
        <v>21200</v>
      </c>
      <c r="J61" s="61" t="s">
        <v>13</v>
      </c>
      <c r="K61" s="16" t="s">
        <v>272</v>
      </c>
      <c r="L61" s="16">
        <v>3</v>
      </c>
      <c r="M61" s="16" t="s">
        <v>277</v>
      </c>
      <c r="N61" s="16" t="s">
        <v>335</v>
      </c>
      <c r="O61" s="15" t="s">
        <v>282</v>
      </c>
      <c r="P61" t="s">
        <v>371</v>
      </c>
      <c r="Q61" t="s">
        <v>371</v>
      </c>
      <c r="R61" s="17" t="s">
        <v>371</v>
      </c>
      <c r="S61" s="16" t="s">
        <v>341</v>
      </c>
      <c r="T61" s="16" t="s">
        <v>340</v>
      </c>
      <c r="U61" s="15" t="s">
        <v>343</v>
      </c>
      <c r="V61" s="15" t="s">
        <v>344</v>
      </c>
      <c r="W61" s="17" t="s">
        <v>377</v>
      </c>
      <c r="X61" t="s">
        <v>349</v>
      </c>
      <c r="Y61" t="s">
        <v>349</v>
      </c>
      <c r="Z61" t="s">
        <v>293</v>
      </c>
      <c r="AA61" t="s">
        <v>353</v>
      </c>
      <c r="AB61" t="s">
        <v>296</v>
      </c>
      <c r="AC61" t="s">
        <v>301</v>
      </c>
      <c r="AD61" t="s">
        <v>293</v>
      </c>
      <c r="AE61" t="s">
        <v>292</v>
      </c>
      <c r="AF61" t="s">
        <v>292</v>
      </c>
      <c r="AG61" t="s">
        <v>292</v>
      </c>
      <c r="AH61" t="s">
        <v>293</v>
      </c>
      <c r="AI61" t="s">
        <v>302</v>
      </c>
      <c r="AJ61" t="s">
        <v>302</v>
      </c>
      <c r="AK61" t="s">
        <v>359</v>
      </c>
      <c r="AL61" t="s">
        <v>293</v>
      </c>
      <c r="AM61" t="s">
        <v>293</v>
      </c>
      <c r="AN61" t="s">
        <v>297</v>
      </c>
      <c r="AO61" t="s">
        <v>356</v>
      </c>
      <c r="AP61" t="s">
        <v>293</v>
      </c>
      <c r="AQ61" t="s">
        <v>292</v>
      </c>
      <c r="AR61" t="s">
        <v>293</v>
      </c>
      <c r="AS61" t="s">
        <v>293</v>
      </c>
      <c r="AT61" t="s">
        <v>364</v>
      </c>
      <c r="AU61" t="str">
        <f t="shared" si="2"/>
        <v>no_fail</v>
      </c>
    </row>
    <row r="62" spans="1:48" x14ac:dyDescent="0.3">
      <c r="A62" t="s">
        <v>9</v>
      </c>
      <c r="B62" t="s">
        <v>76</v>
      </c>
      <c r="C62" t="s">
        <v>28</v>
      </c>
      <c r="D62" t="s">
        <v>29</v>
      </c>
      <c r="E62" t="str">
        <f t="shared" si="0"/>
        <v>P_B7Q-ZSB-S_9T2</v>
      </c>
      <c r="F62" t="b">
        <v>1</v>
      </c>
      <c r="G62">
        <v>63.1</v>
      </c>
      <c r="H62">
        <v>0</v>
      </c>
      <c r="I62">
        <v>14293</v>
      </c>
      <c r="J62" s="61" t="s">
        <v>13</v>
      </c>
      <c r="K62" s="16" t="s">
        <v>272</v>
      </c>
      <c r="L62" s="16">
        <v>3</v>
      </c>
      <c r="M62" s="16" t="s">
        <v>277</v>
      </c>
      <c r="N62" s="16" t="s">
        <v>335</v>
      </c>
      <c r="O62" s="15" t="s">
        <v>282</v>
      </c>
      <c r="P62" t="s">
        <v>371</v>
      </c>
      <c r="Q62" t="s">
        <v>371</v>
      </c>
      <c r="R62" s="17" t="s">
        <v>371</v>
      </c>
      <c r="S62" s="16" t="s">
        <v>341</v>
      </c>
      <c r="T62" s="16" t="s">
        <v>340</v>
      </c>
      <c r="U62" s="15" t="s">
        <v>343</v>
      </c>
      <c r="V62" s="15" t="s">
        <v>345</v>
      </c>
      <c r="W62" s="17"/>
      <c r="X62" t="s">
        <v>349</v>
      </c>
      <c r="Y62" t="s">
        <v>349</v>
      </c>
      <c r="Z62" t="s">
        <v>293</v>
      </c>
      <c r="AA62" t="s">
        <v>353</v>
      </c>
      <c r="AB62" t="s">
        <v>296</v>
      </c>
      <c r="AC62" t="s">
        <v>300</v>
      </c>
      <c r="AD62" t="s">
        <v>293</v>
      </c>
      <c r="AE62" t="s">
        <v>292</v>
      </c>
      <c r="AF62" t="s">
        <v>292</v>
      </c>
      <c r="AG62" t="s">
        <v>292</v>
      </c>
      <c r="AH62" t="s">
        <v>293</v>
      </c>
      <c r="AI62" t="s">
        <v>302</v>
      </c>
      <c r="AJ62" t="s">
        <v>302</v>
      </c>
      <c r="AK62" t="s">
        <v>359</v>
      </c>
      <c r="AL62" t="s">
        <v>293</v>
      </c>
      <c r="AM62" t="s">
        <v>293</v>
      </c>
      <c r="AN62" t="s">
        <v>297</v>
      </c>
      <c r="AO62" t="s">
        <v>356</v>
      </c>
      <c r="AP62" t="s">
        <v>293</v>
      </c>
      <c r="AQ62" t="s">
        <v>292</v>
      </c>
      <c r="AR62" t="s">
        <v>293</v>
      </c>
      <c r="AS62" t="s">
        <v>293</v>
      </c>
      <c r="AT62" t="s">
        <v>364</v>
      </c>
      <c r="AU62" t="str">
        <f t="shared" si="2"/>
        <v>no_fail</v>
      </c>
    </row>
    <row r="63" spans="1:48" x14ac:dyDescent="0.3">
      <c r="A63" s="38" t="s">
        <v>43</v>
      </c>
      <c r="B63" s="38" t="s">
        <v>73</v>
      </c>
      <c r="C63" s="38" t="s">
        <v>19</v>
      </c>
      <c r="D63" s="38" t="s">
        <v>12</v>
      </c>
      <c r="E63" s="38" t="str">
        <f t="shared" si="0"/>
        <v>P_D8O-KYY-S_4U3</v>
      </c>
      <c r="F63" s="38" t="b">
        <v>1</v>
      </c>
      <c r="G63" s="38">
        <v>99.9</v>
      </c>
      <c r="H63" s="38">
        <v>0</v>
      </c>
      <c r="I63" s="38">
        <v>8443</v>
      </c>
      <c r="J63" s="61" t="s">
        <v>18</v>
      </c>
      <c r="K63" s="39" t="s">
        <v>273</v>
      </c>
      <c r="L63" s="39">
        <v>2</v>
      </c>
      <c r="M63" s="39" t="s">
        <v>333</v>
      </c>
      <c r="N63" s="39" t="s">
        <v>278</v>
      </c>
      <c r="O63" s="40" t="s">
        <v>283</v>
      </c>
      <c r="P63" s="38" t="s">
        <v>371</v>
      </c>
      <c r="Q63" s="38" t="s">
        <v>371</v>
      </c>
      <c r="R63" s="41" t="s">
        <v>371</v>
      </c>
      <c r="S63" s="39" t="s">
        <v>340</v>
      </c>
      <c r="T63" s="39" t="s">
        <v>342</v>
      </c>
      <c r="U63" s="40" t="s">
        <v>343</v>
      </c>
      <c r="V63" s="40" t="s">
        <v>291</v>
      </c>
      <c r="W63" s="41"/>
      <c r="X63" s="38" t="s">
        <v>349</v>
      </c>
      <c r="Y63" s="38" t="s">
        <v>349</v>
      </c>
      <c r="Z63" s="38" t="s">
        <v>293</v>
      </c>
      <c r="AA63" s="38" t="s">
        <v>353</v>
      </c>
      <c r="AB63" s="38" t="s">
        <v>296</v>
      </c>
      <c r="AC63" s="38" t="s">
        <v>301</v>
      </c>
      <c r="AD63" s="38" t="s">
        <v>292</v>
      </c>
      <c r="AE63" s="38" t="s">
        <v>293</v>
      </c>
      <c r="AF63" s="38" t="s">
        <v>292</v>
      </c>
      <c r="AG63" s="38" t="s">
        <v>292</v>
      </c>
      <c r="AH63" s="38" t="s">
        <v>293</v>
      </c>
      <c r="AI63" s="38" t="s">
        <v>358</v>
      </c>
      <c r="AJ63" s="38" t="s">
        <v>357</v>
      </c>
      <c r="AK63" s="38" t="s">
        <v>359</v>
      </c>
      <c r="AL63" s="38" t="s">
        <v>293</v>
      </c>
      <c r="AM63" s="38" t="s">
        <v>293</v>
      </c>
      <c r="AN63" s="38" t="s">
        <v>296</v>
      </c>
      <c r="AO63" s="38" t="s">
        <v>298</v>
      </c>
      <c r="AP63" s="38" t="s">
        <v>293</v>
      </c>
      <c r="AQ63" s="38" t="s">
        <v>292</v>
      </c>
      <c r="AR63" s="38" t="s">
        <v>293</v>
      </c>
      <c r="AS63" s="38" t="s">
        <v>293</v>
      </c>
      <c r="AT63" s="38" t="s">
        <v>364</v>
      </c>
      <c r="AU63" s="38" t="str">
        <f t="shared" si="2"/>
        <v>car_stuck</v>
      </c>
      <c r="AV63" s="38" t="s">
        <v>378</v>
      </c>
    </row>
    <row r="64" spans="1:48" x14ac:dyDescent="0.3">
      <c r="A64" s="38" t="s">
        <v>43</v>
      </c>
      <c r="B64" s="38" t="s">
        <v>73</v>
      </c>
      <c r="C64" s="38" t="s">
        <v>33</v>
      </c>
      <c r="D64" s="38" t="s">
        <v>29</v>
      </c>
      <c r="E64" s="38" t="str">
        <f t="shared" si="0"/>
        <v>P_D8O-ZSB-S_8I8</v>
      </c>
      <c r="F64" s="38" t="b">
        <v>1</v>
      </c>
      <c r="G64" s="38">
        <v>99.9</v>
      </c>
      <c r="H64" s="38">
        <v>0</v>
      </c>
      <c r="I64" s="38">
        <v>17982</v>
      </c>
      <c r="J64" s="61" t="s">
        <v>18</v>
      </c>
      <c r="K64" s="39" t="s">
        <v>272</v>
      </c>
      <c r="L64" s="39">
        <v>2</v>
      </c>
      <c r="M64" s="39" t="s">
        <v>333</v>
      </c>
      <c r="N64" s="39" t="s">
        <v>278</v>
      </c>
      <c r="O64" s="40" t="s">
        <v>273</v>
      </c>
      <c r="P64" s="38" t="s">
        <v>371</v>
      </c>
      <c r="Q64" s="38" t="s">
        <v>371</v>
      </c>
      <c r="R64" s="41" t="s">
        <v>371</v>
      </c>
      <c r="S64" s="39" t="s">
        <v>341</v>
      </c>
      <c r="T64" s="39" t="s">
        <v>340</v>
      </c>
      <c r="U64" s="40" t="s">
        <v>343</v>
      </c>
      <c r="V64" s="40" t="s">
        <v>347</v>
      </c>
      <c r="W64" s="41"/>
      <c r="X64" s="38" t="s">
        <v>349</v>
      </c>
      <c r="Y64" s="38" t="s">
        <v>349</v>
      </c>
      <c r="Z64" s="38" t="s">
        <v>293</v>
      </c>
      <c r="AA64" s="38" t="s">
        <v>353</v>
      </c>
      <c r="AB64" s="38" t="s">
        <v>296</v>
      </c>
      <c r="AC64" s="38" t="s">
        <v>300</v>
      </c>
      <c r="AD64" s="38" t="s">
        <v>293</v>
      </c>
      <c r="AE64" s="38" t="s">
        <v>292</v>
      </c>
      <c r="AF64" s="38" t="s">
        <v>293</v>
      </c>
      <c r="AG64" s="38" t="s">
        <v>292</v>
      </c>
      <c r="AH64" s="38" t="s">
        <v>293</v>
      </c>
      <c r="AI64" s="38" t="s">
        <v>302</v>
      </c>
      <c r="AJ64" s="38" t="s">
        <v>357</v>
      </c>
      <c r="AK64" s="38" t="s">
        <v>359</v>
      </c>
      <c r="AL64" s="38" t="s">
        <v>293</v>
      </c>
      <c r="AM64" s="38" t="s">
        <v>293</v>
      </c>
      <c r="AN64" s="38" t="s">
        <v>296</v>
      </c>
      <c r="AO64" s="38" t="s">
        <v>356</v>
      </c>
      <c r="AP64" s="38" t="s">
        <v>293</v>
      </c>
      <c r="AQ64" s="38" t="s">
        <v>292</v>
      </c>
      <c r="AR64" s="38" t="s">
        <v>293</v>
      </c>
      <c r="AS64" s="38" t="s">
        <v>293</v>
      </c>
      <c r="AT64" s="38" t="s">
        <v>364</v>
      </c>
      <c r="AU64" s="38" t="str">
        <f t="shared" si="2"/>
        <v>car_stuck</v>
      </c>
      <c r="AV64" s="38" t="s">
        <v>378</v>
      </c>
    </row>
    <row r="65" spans="1:48" x14ac:dyDescent="0.3">
      <c r="A65" t="s">
        <v>43</v>
      </c>
      <c r="B65" t="s">
        <v>73</v>
      </c>
      <c r="C65" t="s">
        <v>15</v>
      </c>
      <c r="D65" t="s">
        <v>12</v>
      </c>
      <c r="E65" t="str">
        <f t="shared" si="0"/>
        <v>P_D8O-KYY-S_0M4</v>
      </c>
      <c r="F65" t="b">
        <v>1</v>
      </c>
      <c r="G65">
        <v>100</v>
      </c>
      <c r="H65">
        <v>1</v>
      </c>
      <c r="I65">
        <v>9923</v>
      </c>
      <c r="J65" s="61" t="s">
        <v>18</v>
      </c>
      <c r="K65" s="16" t="s">
        <v>272</v>
      </c>
      <c r="L65" s="16">
        <v>3</v>
      </c>
      <c r="M65" s="16" t="s">
        <v>277</v>
      </c>
      <c r="N65" s="16" t="s">
        <v>335</v>
      </c>
      <c r="O65" s="15" t="s">
        <v>281</v>
      </c>
      <c r="P65" t="s">
        <v>285</v>
      </c>
      <c r="Q65" t="s">
        <v>286</v>
      </c>
      <c r="R65" s="17" t="s">
        <v>371</v>
      </c>
      <c r="S65" s="16" t="s">
        <v>341</v>
      </c>
      <c r="T65" s="16" t="s">
        <v>340</v>
      </c>
      <c r="U65" s="15" t="s">
        <v>343</v>
      </c>
      <c r="V65" s="15" t="s">
        <v>344</v>
      </c>
      <c r="W65" s="17"/>
      <c r="X65" t="s">
        <v>349</v>
      </c>
      <c r="Y65" t="s">
        <v>349</v>
      </c>
      <c r="Z65" t="s">
        <v>293</v>
      </c>
      <c r="AA65" t="s">
        <v>353</v>
      </c>
      <c r="AB65" t="s">
        <v>296</v>
      </c>
      <c r="AC65" t="s">
        <v>300</v>
      </c>
      <c r="AD65" t="s">
        <v>292</v>
      </c>
      <c r="AE65" t="s">
        <v>293</v>
      </c>
      <c r="AF65" t="s">
        <v>292</v>
      </c>
      <c r="AG65" t="s">
        <v>292</v>
      </c>
      <c r="AH65" t="s">
        <v>293</v>
      </c>
      <c r="AI65" t="s">
        <v>302</v>
      </c>
      <c r="AJ65" t="s">
        <v>358</v>
      </c>
      <c r="AK65" t="s">
        <v>359</v>
      </c>
      <c r="AL65" t="s">
        <v>293</v>
      </c>
      <c r="AM65" t="s">
        <v>293</v>
      </c>
      <c r="AN65" t="s">
        <v>297</v>
      </c>
      <c r="AO65" t="s">
        <v>298</v>
      </c>
      <c r="AP65" t="s">
        <v>293</v>
      </c>
      <c r="AQ65" t="s">
        <v>292</v>
      </c>
      <c r="AR65" t="s">
        <v>293</v>
      </c>
      <c r="AS65" t="s">
        <v>293</v>
      </c>
      <c r="AT65" t="s">
        <v>364</v>
      </c>
      <c r="AU65" t="str">
        <f t="shared" si="2"/>
        <v>break</v>
      </c>
    </row>
    <row r="66" spans="1:48" x14ac:dyDescent="0.3">
      <c r="A66" t="s">
        <v>43</v>
      </c>
      <c r="B66" t="s">
        <v>73</v>
      </c>
      <c r="C66" t="s">
        <v>23</v>
      </c>
      <c r="D66" t="s">
        <v>12</v>
      </c>
      <c r="E66" t="str">
        <f t="shared" ref="E66:E129" si="3">B66&amp;"-"&amp;D66&amp;"-"&amp;C66</f>
        <v>P_D8O-KYY-S_0T2</v>
      </c>
      <c r="F66" t="b">
        <v>1</v>
      </c>
      <c r="G66">
        <v>100</v>
      </c>
      <c r="H66">
        <v>1</v>
      </c>
      <c r="I66">
        <v>13351</v>
      </c>
      <c r="J66" s="61" t="s">
        <v>18</v>
      </c>
      <c r="K66" s="16" t="s">
        <v>272</v>
      </c>
      <c r="L66" s="16">
        <v>3</v>
      </c>
      <c r="M66" s="16" t="s">
        <v>277</v>
      </c>
      <c r="N66" s="16" t="s">
        <v>335</v>
      </c>
      <c r="O66" s="15" t="s">
        <v>282</v>
      </c>
      <c r="P66" t="s">
        <v>371</v>
      </c>
      <c r="Q66" t="s">
        <v>371</v>
      </c>
      <c r="R66" s="17" t="s">
        <v>371</v>
      </c>
      <c r="S66" s="16" t="s">
        <v>341</v>
      </c>
      <c r="T66" s="16" t="s">
        <v>340</v>
      </c>
      <c r="U66" s="15" t="s">
        <v>343</v>
      </c>
      <c r="V66" s="15" t="s">
        <v>345</v>
      </c>
      <c r="W66" s="17" t="s">
        <v>346</v>
      </c>
      <c r="X66" t="s">
        <v>349</v>
      </c>
      <c r="Y66" t="s">
        <v>349</v>
      </c>
      <c r="Z66" t="s">
        <v>293</v>
      </c>
      <c r="AA66" t="s">
        <v>353</v>
      </c>
      <c r="AB66" t="s">
        <v>296</v>
      </c>
      <c r="AC66" t="s">
        <v>301</v>
      </c>
      <c r="AD66" t="s">
        <v>293</v>
      </c>
      <c r="AE66" t="s">
        <v>292</v>
      </c>
      <c r="AF66" t="s">
        <v>292</v>
      </c>
      <c r="AG66" t="s">
        <v>292</v>
      </c>
      <c r="AH66" t="s">
        <v>293</v>
      </c>
      <c r="AI66" t="s">
        <v>358</v>
      </c>
      <c r="AJ66" t="s">
        <v>358</v>
      </c>
      <c r="AK66" t="s">
        <v>359</v>
      </c>
      <c r="AL66" t="s">
        <v>293</v>
      </c>
      <c r="AM66" t="s">
        <v>293</v>
      </c>
      <c r="AN66" t="s">
        <v>297</v>
      </c>
      <c r="AO66" t="s">
        <v>356</v>
      </c>
      <c r="AP66" t="s">
        <v>293</v>
      </c>
      <c r="AQ66" t="s">
        <v>292</v>
      </c>
      <c r="AR66" t="s">
        <v>293</v>
      </c>
      <c r="AS66" t="s">
        <v>293</v>
      </c>
      <c r="AT66" t="s">
        <v>364</v>
      </c>
      <c r="AU66" t="str">
        <f t="shared" si="2"/>
        <v>break</v>
      </c>
    </row>
    <row r="67" spans="1:48" x14ac:dyDescent="0.3">
      <c r="A67" t="s">
        <v>43</v>
      </c>
      <c r="B67" t="s">
        <v>73</v>
      </c>
      <c r="C67" t="s">
        <v>14</v>
      </c>
      <c r="D67" t="s">
        <v>12</v>
      </c>
      <c r="E67" t="str">
        <f t="shared" si="3"/>
        <v>P_D8O-KYY-S_1B0</v>
      </c>
      <c r="F67" t="b">
        <v>1</v>
      </c>
      <c r="G67">
        <v>100</v>
      </c>
      <c r="H67">
        <v>1</v>
      </c>
      <c r="I67">
        <v>7762</v>
      </c>
      <c r="J67" s="61" t="s">
        <v>18</v>
      </c>
      <c r="K67" s="16" t="s">
        <v>272</v>
      </c>
      <c r="L67" s="16">
        <v>3</v>
      </c>
      <c r="M67" s="16" t="s">
        <v>277</v>
      </c>
      <c r="N67" s="16" t="s">
        <v>335</v>
      </c>
      <c r="O67" s="15" t="s">
        <v>283</v>
      </c>
      <c r="P67" t="s">
        <v>282</v>
      </c>
      <c r="Q67" t="s">
        <v>371</v>
      </c>
      <c r="R67" s="17" t="s">
        <v>371</v>
      </c>
      <c r="S67" s="16" t="s">
        <v>341</v>
      </c>
      <c r="T67" s="16" t="s">
        <v>340</v>
      </c>
      <c r="U67" s="15" t="s">
        <v>343</v>
      </c>
      <c r="V67" s="15" t="s">
        <v>345</v>
      </c>
      <c r="W67" s="17"/>
      <c r="X67" t="s">
        <v>349</v>
      </c>
      <c r="Y67" t="s">
        <v>349</v>
      </c>
      <c r="Z67" t="s">
        <v>293</v>
      </c>
      <c r="AA67" t="s">
        <v>353</v>
      </c>
      <c r="AB67" t="s">
        <v>296</v>
      </c>
      <c r="AC67" t="s">
        <v>300</v>
      </c>
      <c r="AD67" t="s">
        <v>292</v>
      </c>
      <c r="AE67" t="s">
        <v>293</v>
      </c>
      <c r="AF67" t="s">
        <v>292</v>
      </c>
      <c r="AG67" t="s">
        <v>292</v>
      </c>
      <c r="AH67" t="s">
        <v>293</v>
      </c>
      <c r="AI67" t="s">
        <v>302</v>
      </c>
      <c r="AJ67" t="s">
        <v>358</v>
      </c>
      <c r="AK67" t="s">
        <v>359</v>
      </c>
      <c r="AL67" t="s">
        <v>293</v>
      </c>
      <c r="AM67" t="s">
        <v>293</v>
      </c>
      <c r="AN67" t="s">
        <v>296</v>
      </c>
      <c r="AO67" t="s">
        <v>298</v>
      </c>
      <c r="AP67" t="s">
        <v>293</v>
      </c>
      <c r="AQ67" t="s">
        <v>292</v>
      </c>
      <c r="AR67" t="s">
        <v>293</v>
      </c>
      <c r="AS67" t="s">
        <v>293</v>
      </c>
      <c r="AT67" t="s">
        <v>364</v>
      </c>
      <c r="AU67" t="str">
        <f t="shared" si="2"/>
        <v>break</v>
      </c>
    </row>
    <row r="68" spans="1:48" s="38" customFormat="1" x14ac:dyDescent="0.3">
      <c r="A68" t="s">
        <v>43</v>
      </c>
      <c r="B68" t="s">
        <v>73</v>
      </c>
      <c r="C68" t="s">
        <v>11</v>
      </c>
      <c r="D68" t="s">
        <v>12</v>
      </c>
      <c r="E68" t="str">
        <f t="shared" si="3"/>
        <v>P_D8O-KYY-S_1Q4</v>
      </c>
      <c r="F68" t="b">
        <v>1</v>
      </c>
      <c r="G68">
        <v>59</v>
      </c>
      <c r="H68">
        <v>0</v>
      </c>
      <c r="I68">
        <v>13004</v>
      </c>
      <c r="J68" s="61" t="s">
        <v>13</v>
      </c>
      <c r="K68" s="16" t="s">
        <v>272</v>
      </c>
      <c r="L68" s="16">
        <v>3</v>
      </c>
      <c r="M68" s="16" t="s">
        <v>277</v>
      </c>
      <c r="N68" s="16" t="s">
        <v>335</v>
      </c>
      <c r="O68" s="15" t="s">
        <v>283</v>
      </c>
      <c r="P68" t="s">
        <v>282</v>
      </c>
      <c r="Q68" t="s">
        <v>371</v>
      </c>
      <c r="R68" s="17" t="s">
        <v>371</v>
      </c>
      <c r="S68" s="16" t="s">
        <v>341</v>
      </c>
      <c r="T68" s="16" t="s">
        <v>340</v>
      </c>
      <c r="U68" s="15" t="s">
        <v>343</v>
      </c>
      <c r="V68" s="15" t="s">
        <v>344</v>
      </c>
      <c r="W68" s="17"/>
      <c r="X68" t="s">
        <v>349</v>
      </c>
      <c r="Y68" t="s">
        <v>349</v>
      </c>
      <c r="Z68" t="s">
        <v>293</v>
      </c>
      <c r="AA68" t="s">
        <v>353</v>
      </c>
      <c r="AB68" t="s">
        <v>296</v>
      </c>
      <c r="AC68" t="s">
        <v>300</v>
      </c>
      <c r="AD68" t="s">
        <v>292</v>
      </c>
      <c r="AE68" t="s">
        <v>293</v>
      </c>
      <c r="AF68" t="s">
        <v>292</v>
      </c>
      <c r="AG68" t="s">
        <v>292</v>
      </c>
      <c r="AH68" t="s">
        <v>293</v>
      </c>
      <c r="AI68" t="s">
        <v>302</v>
      </c>
      <c r="AJ68" t="s">
        <v>302</v>
      </c>
      <c r="AK68" t="s">
        <v>359</v>
      </c>
      <c r="AL68" t="s">
        <v>293</v>
      </c>
      <c r="AM68" t="s">
        <v>293</v>
      </c>
      <c r="AN68" t="s">
        <v>297</v>
      </c>
      <c r="AO68" t="s">
        <v>298</v>
      </c>
      <c r="AP68" t="s">
        <v>293</v>
      </c>
      <c r="AQ68" t="s">
        <v>292</v>
      </c>
      <c r="AR68" t="s">
        <v>293</v>
      </c>
      <c r="AS68" t="s">
        <v>293</v>
      </c>
      <c r="AT68" t="s">
        <v>364</v>
      </c>
      <c r="AU68" t="str">
        <f t="shared" si="2"/>
        <v>no_fail</v>
      </c>
      <c r="AV68"/>
    </row>
    <row r="69" spans="1:48" x14ac:dyDescent="0.3">
      <c r="A69" t="s">
        <v>43</v>
      </c>
      <c r="B69" t="s">
        <v>73</v>
      </c>
      <c r="C69" t="s">
        <v>21</v>
      </c>
      <c r="D69" t="s">
        <v>12</v>
      </c>
      <c r="E69" t="str">
        <f t="shared" si="3"/>
        <v>P_D8O-KYY-S_3X6</v>
      </c>
      <c r="F69" t="b">
        <v>1</v>
      </c>
      <c r="G69">
        <v>100</v>
      </c>
      <c r="H69">
        <v>1</v>
      </c>
      <c r="I69">
        <v>12415</v>
      </c>
      <c r="J69" s="61" t="s">
        <v>18</v>
      </c>
      <c r="K69" s="16" t="s">
        <v>272</v>
      </c>
      <c r="L69" s="16">
        <v>3</v>
      </c>
      <c r="M69" s="16" t="s">
        <v>277</v>
      </c>
      <c r="N69" s="16" t="s">
        <v>335</v>
      </c>
      <c r="O69" s="15" t="s">
        <v>282</v>
      </c>
      <c r="P69" t="s">
        <v>371</v>
      </c>
      <c r="Q69" t="s">
        <v>371</v>
      </c>
      <c r="R69" s="17" t="s">
        <v>371</v>
      </c>
      <c r="S69" s="16" t="s">
        <v>341</v>
      </c>
      <c r="T69" s="16" t="s">
        <v>342</v>
      </c>
      <c r="U69" s="15" t="s">
        <v>343</v>
      </c>
      <c r="V69" s="15" t="s">
        <v>345</v>
      </c>
      <c r="W69" s="17" t="s">
        <v>346</v>
      </c>
      <c r="X69" t="s">
        <v>349</v>
      </c>
      <c r="Y69" t="s">
        <v>349</v>
      </c>
      <c r="Z69" t="s">
        <v>293</v>
      </c>
      <c r="AA69" t="s">
        <v>353</v>
      </c>
      <c r="AB69" t="s">
        <v>355</v>
      </c>
      <c r="AC69" t="s">
        <v>301</v>
      </c>
      <c r="AD69" t="s">
        <v>292</v>
      </c>
      <c r="AE69" t="s">
        <v>293</v>
      </c>
      <c r="AF69" t="s">
        <v>292</v>
      </c>
      <c r="AG69" t="s">
        <v>292</v>
      </c>
      <c r="AH69" t="s">
        <v>293</v>
      </c>
      <c r="AI69" t="s">
        <v>302</v>
      </c>
      <c r="AJ69" t="s">
        <v>302</v>
      </c>
      <c r="AK69" t="s">
        <v>359</v>
      </c>
      <c r="AL69" t="s">
        <v>293</v>
      </c>
      <c r="AM69" t="s">
        <v>293</v>
      </c>
      <c r="AN69" t="s">
        <v>297</v>
      </c>
      <c r="AO69" t="s">
        <v>298</v>
      </c>
      <c r="AP69" t="s">
        <v>293</v>
      </c>
      <c r="AQ69" t="s">
        <v>292</v>
      </c>
      <c r="AR69" t="s">
        <v>293</v>
      </c>
      <c r="AS69" t="s">
        <v>293</v>
      </c>
      <c r="AT69" t="s">
        <v>364</v>
      </c>
      <c r="AU69" t="str">
        <f t="shared" si="2"/>
        <v>break</v>
      </c>
    </row>
    <row r="70" spans="1:48" x14ac:dyDescent="0.3">
      <c r="A70" t="s">
        <v>43</v>
      </c>
      <c r="B70" t="s">
        <v>73</v>
      </c>
      <c r="C70" t="s">
        <v>17</v>
      </c>
      <c r="D70" t="s">
        <v>12</v>
      </c>
      <c r="E70" t="str">
        <f t="shared" si="3"/>
        <v>P_D8O-KYY-S_6B5</v>
      </c>
      <c r="F70" t="b">
        <v>1</v>
      </c>
      <c r="G70">
        <v>100</v>
      </c>
      <c r="H70">
        <v>1</v>
      </c>
      <c r="I70">
        <v>14874</v>
      </c>
      <c r="J70" s="61" t="s">
        <v>18</v>
      </c>
      <c r="K70" s="16" t="s">
        <v>272</v>
      </c>
      <c r="L70" s="16">
        <v>3</v>
      </c>
      <c r="M70" s="16" t="s">
        <v>277</v>
      </c>
      <c r="N70" s="16" t="s">
        <v>335</v>
      </c>
      <c r="O70" s="15" t="s">
        <v>281</v>
      </c>
      <c r="P70" t="s">
        <v>285</v>
      </c>
      <c r="Q70" t="s">
        <v>286</v>
      </c>
      <c r="R70" s="17" t="s">
        <v>371</v>
      </c>
      <c r="S70" s="16" t="s">
        <v>341</v>
      </c>
      <c r="T70" s="16" t="s">
        <v>340</v>
      </c>
      <c r="U70" s="15" t="s">
        <v>343</v>
      </c>
      <c r="V70" s="15" t="s">
        <v>344</v>
      </c>
      <c r="W70" s="17"/>
      <c r="X70" t="s">
        <v>349</v>
      </c>
      <c r="Y70" t="s">
        <v>349</v>
      </c>
      <c r="Z70" t="s">
        <v>293</v>
      </c>
      <c r="AA70" t="s">
        <v>353</v>
      </c>
      <c r="AB70" t="s">
        <v>296</v>
      </c>
      <c r="AC70" t="s">
        <v>300</v>
      </c>
      <c r="AD70" t="s">
        <v>293</v>
      </c>
      <c r="AE70" t="s">
        <v>292</v>
      </c>
      <c r="AF70" t="s">
        <v>292</v>
      </c>
      <c r="AG70" t="s">
        <v>292</v>
      </c>
      <c r="AH70" t="s">
        <v>293</v>
      </c>
      <c r="AI70" t="s">
        <v>302</v>
      </c>
      <c r="AJ70" t="s">
        <v>358</v>
      </c>
      <c r="AK70" t="s">
        <v>359</v>
      </c>
      <c r="AL70" t="s">
        <v>293</v>
      </c>
      <c r="AM70" t="s">
        <v>293</v>
      </c>
      <c r="AN70" t="s">
        <v>297</v>
      </c>
      <c r="AO70" t="s">
        <v>356</v>
      </c>
      <c r="AP70" t="s">
        <v>293</v>
      </c>
      <c r="AQ70" t="s">
        <v>292</v>
      </c>
      <c r="AR70" t="s">
        <v>293</v>
      </c>
      <c r="AS70" t="s">
        <v>293</v>
      </c>
      <c r="AT70" t="s">
        <v>364</v>
      </c>
      <c r="AU70" t="str">
        <f t="shared" si="2"/>
        <v>break</v>
      </c>
    </row>
    <row r="71" spans="1:48" x14ac:dyDescent="0.3">
      <c r="A71" t="s">
        <v>43</v>
      </c>
      <c r="B71" t="s">
        <v>73</v>
      </c>
      <c r="C71" t="s">
        <v>16</v>
      </c>
      <c r="D71" t="s">
        <v>12</v>
      </c>
      <c r="E71" t="str">
        <f t="shared" si="3"/>
        <v>P_D8O-KYY-S_6U7</v>
      </c>
      <c r="F71" t="b">
        <v>1</v>
      </c>
      <c r="G71">
        <v>100</v>
      </c>
      <c r="H71">
        <v>1</v>
      </c>
      <c r="I71">
        <v>12820</v>
      </c>
      <c r="J71" s="61" t="s">
        <v>18</v>
      </c>
      <c r="K71" s="16" t="s">
        <v>272</v>
      </c>
      <c r="L71" s="16">
        <v>3</v>
      </c>
      <c r="M71" s="16" t="s">
        <v>277</v>
      </c>
      <c r="N71" s="16" t="s">
        <v>335</v>
      </c>
      <c r="O71" s="15" t="s">
        <v>281</v>
      </c>
      <c r="P71" t="s">
        <v>285</v>
      </c>
      <c r="Q71" t="s">
        <v>286</v>
      </c>
      <c r="R71" s="17" t="s">
        <v>371</v>
      </c>
      <c r="S71" s="16" t="s">
        <v>341</v>
      </c>
      <c r="T71" s="16" t="s">
        <v>340</v>
      </c>
      <c r="U71" s="15" t="s">
        <v>343</v>
      </c>
      <c r="V71" s="15" t="s">
        <v>344</v>
      </c>
      <c r="W71" s="17"/>
      <c r="X71" t="s">
        <v>349</v>
      </c>
      <c r="Y71" t="s">
        <v>349</v>
      </c>
      <c r="Z71" t="s">
        <v>293</v>
      </c>
      <c r="AA71" t="s">
        <v>353</v>
      </c>
      <c r="AB71" t="s">
        <v>296</v>
      </c>
      <c r="AC71" t="s">
        <v>300</v>
      </c>
      <c r="AD71" t="s">
        <v>293</v>
      </c>
      <c r="AE71" t="s">
        <v>292</v>
      </c>
      <c r="AF71" t="s">
        <v>292</v>
      </c>
      <c r="AG71" t="s">
        <v>292</v>
      </c>
      <c r="AH71" t="s">
        <v>293</v>
      </c>
      <c r="AI71" t="s">
        <v>302</v>
      </c>
      <c r="AJ71" t="s">
        <v>358</v>
      </c>
      <c r="AK71" t="s">
        <v>359</v>
      </c>
      <c r="AL71" t="s">
        <v>293</v>
      </c>
      <c r="AM71" t="s">
        <v>293</v>
      </c>
      <c r="AN71" t="s">
        <v>297</v>
      </c>
      <c r="AO71" t="s">
        <v>356</v>
      </c>
      <c r="AP71" t="s">
        <v>293</v>
      </c>
      <c r="AQ71" t="s">
        <v>292</v>
      </c>
      <c r="AR71" t="s">
        <v>293</v>
      </c>
      <c r="AS71" t="s">
        <v>293</v>
      </c>
      <c r="AT71" t="s">
        <v>364</v>
      </c>
      <c r="AU71" t="str">
        <f t="shared" si="2"/>
        <v>break</v>
      </c>
    </row>
    <row r="72" spans="1:48" x14ac:dyDescent="0.3">
      <c r="A72" t="s">
        <v>43</v>
      </c>
      <c r="B72" t="s">
        <v>73</v>
      </c>
      <c r="C72" t="s">
        <v>20</v>
      </c>
      <c r="D72" t="s">
        <v>12</v>
      </c>
      <c r="E72" t="str">
        <f t="shared" si="3"/>
        <v>P_D8O-KYY-S_7W0</v>
      </c>
      <c r="F72" t="b">
        <v>1</v>
      </c>
      <c r="G72">
        <v>88.9</v>
      </c>
      <c r="H72">
        <v>0</v>
      </c>
      <c r="I72">
        <v>13880</v>
      </c>
      <c r="J72" s="61" t="s">
        <v>13</v>
      </c>
      <c r="K72" s="16" t="s">
        <v>272</v>
      </c>
      <c r="L72" s="16">
        <v>2</v>
      </c>
      <c r="M72" s="16" t="s">
        <v>277</v>
      </c>
      <c r="N72" s="16" t="s">
        <v>335</v>
      </c>
      <c r="O72" s="15" t="s">
        <v>282</v>
      </c>
      <c r="P72" t="s">
        <v>371</v>
      </c>
      <c r="Q72" t="s">
        <v>371</v>
      </c>
      <c r="R72" s="17" t="s">
        <v>371</v>
      </c>
      <c r="S72" s="16" t="s">
        <v>341</v>
      </c>
      <c r="T72" s="16" t="s">
        <v>340</v>
      </c>
      <c r="U72" s="15" t="s">
        <v>340</v>
      </c>
      <c r="V72" s="15" t="s">
        <v>345</v>
      </c>
      <c r="W72" s="17"/>
      <c r="X72" t="s">
        <v>349</v>
      </c>
      <c r="Y72" t="s">
        <v>349</v>
      </c>
      <c r="Z72" t="s">
        <v>293</v>
      </c>
      <c r="AA72" t="s">
        <v>354</v>
      </c>
      <c r="AB72" t="s">
        <v>354</v>
      </c>
      <c r="AC72" t="s">
        <v>301</v>
      </c>
      <c r="AD72" t="s">
        <v>292</v>
      </c>
      <c r="AE72" t="s">
        <v>293</v>
      </c>
      <c r="AF72" t="s">
        <v>292</v>
      </c>
      <c r="AG72" t="s">
        <v>292</v>
      </c>
      <c r="AH72" t="s">
        <v>293</v>
      </c>
      <c r="AI72" t="s">
        <v>302</v>
      </c>
      <c r="AJ72" t="s">
        <v>302</v>
      </c>
      <c r="AK72" t="s">
        <v>357</v>
      </c>
      <c r="AL72" t="s">
        <v>293</v>
      </c>
      <c r="AM72" t="s">
        <v>293</v>
      </c>
      <c r="AN72" t="s">
        <v>297</v>
      </c>
      <c r="AO72" t="s">
        <v>298</v>
      </c>
      <c r="AP72" t="s">
        <v>293</v>
      </c>
      <c r="AQ72" t="s">
        <v>292</v>
      </c>
      <c r="AR72" t="s">
        <v>293</v>
      </c>
      <c r="AS72" t="s">
        <v>293</v>
      </c>
      <c r="AT72" t="s">
        <v>364</v>
      </c>
      <c r="AU72" t="str">
        <f t="shared" si="2"/>
        <v>no_fail</v>
      </c>
    </row>
    <row r="73" spans="1:48" x14ac:dyDescent="0.3">
      <c r="A73" t="s">
        <v>43</v>
      </c>
      <c r="B73" t="s">
        <v>73</v>
      </c>
      <c r="C73" t="s">
        <v>22</v>
      </c>
      <c r="D73" t="s">
        <v>12</v>
      </c>
      <c r="E73" t="str">
        <f t="shared" si="3"/>
        <v>P_D8O-KYY-S_9B4</v>
      </c>
      <c r="F73" t="b">
        <v>1</v>
      </c>
      <c r="G73">
        <v>100</v>
      </c>
      <c r="H73">
        <v>1</v>
      </c>
      <c r="I73">
        <v>12776</v>
      </c>
      <c r="J73" s="61" t="s">
        <v>18</v>
      </c>
      <c r="K73" s="16" t="s">
        <v>272</v>
      </c>
      <c r="L73" s="16">
        <v>3</v>
      </c>
      <c r="M73" s="16" t="s">
        <v>277</v>
      </c>
      <c r="N73" s="16" t="s">
        <v>335</v>
      </c>
      <c r="O73" s="15" t="s">
        <v>282</v>
      </c>
      <c r="P73" t="s">
        <v>371</v>
      </c>
      <c r="Q73" t="s">
        <v>371</v>
      </c>
      <c r="R73" s="17" t="s">
        <v>371</v>
      </c>
      <c r="S73" s="16" t="s">
        <v>341</v>
      </c>
      <c r="T73" s="16" t="s">
        <v>342</v>
      </c>
      <c r="U73" s="15" t="s">
        <v>343</v>
      </c>
      <c r="V73" s="15" t="s">
        <v>345</v>
      </c>
      <c r="W73" s="17" t="s">
        <v>346</v>
      </c>
      <c r="X73" t="s">
        <v>349</v>
      </c>
      <c r="Y73" t="s">
        <v>349</v>
      </c>
      <c r="Z73" t="s">
        <v>293</v>
      </c>
      <c r="AA73" t="s">
        <v>353</v>
      </c>
      <c r="AB73" t="s">
        <v>355</v>
      </c>
      <c r="AC73" t="s">
        <v>301</v>
      </c>
      <c r="AD73" t="s">
        <v>292</v>
      </c>
      <c r="AE73" t="s">
        <v>292</v>
      </c>
      <c r="AF73" t="s">
        <v>292</v>
      </c>
      <c r="AG73" t="s">
        <v>292</v>
      </c>
      <c r="AH73" t="s">
        <v>293</v>
      </c>
      <c r="AI73" t="s">
        <v>302</v>
      </c>
      <c r="AJ73" t="s">
        <v>302</v>
      </c>
      <c r="AK73" t="s">
        <v>359</v>
      </c>
      <c r="AL73" t="s">
        <v>293</v>
      </c>
      <c r="AM73" t="s">
        <v>293</v>
      </c>
      <c r="AN73" t="s">
        <v>297</v>
      </c>
      <c r="AO73" t="s">
        <v>298</v>
      </c>
      <c r="AP73" t="s">
        <v>293</v>
      </c>
      <c r="AQ73" t="s">
        <v>292</v>
      </c>
      <c r="AR73" t="s">
        <v>293</v>
      </c>
      <c r="AS73" t="s">
        <v>293</v>
      </c>
      <c r="AT73" t="s">
        <v>364</v>
      </c>
      <c r="AU73" t="str">
        <f t="shared" si="2"/>
        <v>break</v>
      </c>
    </row>
    <row r="74" spans="1:48" x14ac:dyDescent="0.3">
      <c r="A74" t="s">
        <v>43</v>
      </c>
      <c r="B74" t="s">
        <v>73</v>
      </c>
      <c r="C74" t="s">
        <v>25</v>
      </c>
      <c r="D74" t="s">
        <v>29</v>
      </c>
      <c r="E74" t="str">
        <f t="shared" si="3"/>
        <v>P_D8O-ZSB-S_1J8</v>
      </c>
      <c r="F74" t="b">
        <v>1</v>
      </c>
      <c r="G74">
        <v>100</v>
      </c>
      <c r="H74">
        <v>1</v>
      </c>
      <c r="I74">
        <v>12651</v>
      </c>
      <c r="J74" s="61" t="s">
        <v>18</v>
      </c>
      <c r="K74" s="16" t="s">
        <v>272</v>
      </c>
      <c r="L74" s="16">
        <v>2</v>
      </c>
      <c r="M74" s="16" t="s">
        <v>277</v>
      </c>
      <c r="N74" s="16" t="s">
        <v>335</v>
      </c>
      <c r="O74" s="15" t="s">
        <v>282</v>
      </c>
      <c r="P74" t="s">
        <v>371</v>
      </c>
      <c r="Q74" t="s">
        <v>371</v>
      </c>
      <c r="R74" s="17" t="s">
        <v>371</v>
      </c>
      <c r="S74" s="16" t="s">
        <v>340</v>
      </c>
      <c r="T74" s="16" t="s">
        <v>342</v>
      </c>
      <c r="U74" s="15" t="s">
        <v>340</v>
      </c>
      <c r="V74" s="15" t="s">
        <v>344</v>
      </c>
      <c r="W74" s="17"/>
      <c r="X74" t="s">
        <v>349</v>
      </c>
      <c r="Y74" t="s">
        <v>349</v>
      </c>
      <c r="Z74" t="s">
        <v>293</v>
      </c>
      <c r="AA74" t="s">
        <v>354</v>
      </c>
      <c r="AB74" t="s">
        <v>354</v>
      </c>
      <c r="AC74" t="s">
        <v>299</v>
      </c>
      <c r="AD74" t="s">
        <v>292</v>
      </c>
      <c r="AE74" t="s">
        <v>293</v>
      </c>
      <c r="AF74" t="s">
        <v>292</v>
      </c>
      <c r="AG74" t="s">
        <v>292</v>
      </c>
      <c r="AH74" t="s">
        <v>293</v>
      </c>
      <c r="AI74" t="s">
        <v>302</v>
      </c>
      <c r="AJ74" t="s">
        <v>302</v>
      </c>
      <c r="AK74" t="s">
        <v>357</v>
      </c>
      <c r="AL74" t="s">
        <v>293</v>
      </c>
      <c r="AM74" t="s">
        <v>293</v>
      </c>
      <c r="AN74" t="s">
        <v>297</v>
      </c>
      <c r="AO74" t="s">
        <v>298</v>
      </c>
      <c r="AP74" t="s">
        <v>293</v>
      </c>
      <c r="AQ74" t="s">
        <v>292</v>
      </c>
      <c r="AR74" t="s">
        <v>293</v>
      </c>
      <c r="AS74" t="s">
        <v>293</v>
      </c>
      <c r="AT74" t="s">
        <v>364</v>
      </c>
      <c r="AU74" t="str">
        <f t="shared" si="2"/>
        <v>break</v>
      </c>
    </row>
    <row r="75" spans="1:48" x14ac:dyDescent="0.3">
      <c r="A75" t="s">
        <v>43</v>
      </c>
      <c r="B75" t="s">
        <v>73</v>
      </c>
      <c r="C75" t="s">
        <v>24</v>
      </c>
      <c r="D75" t="s">
        <v>29</v>
      </c>
      <c r="E75" t="str">
        <f t="shared" si="3"/>
        <v>P_D8O-ZSB-S_1U0</v>
      </c>
      <c r="F75" t="b">
        <v>1</v>
      </c>
      <c r="G75">
        <v>100</v>
      </c>
      <c r="H75">
        <v>1</v>
      </c>
      <c r="I75">
        <v>13667</v>
      </c>
      <c r="J75" s="61" t="s">
        <v>18</v>
      </c>
      <c r="K75" s="16" t="s">
        <v>272</v>
      </c>
      <c r="L75" s="16">
        <v>2</v>
      </c>
      <c r="M75" s="16" t="s">
        <v>277</v>
      </c>
      <c r="N75" s="16" t="s">
        <v>335</v>
      </c>
      <c r="O75" s="15" t="s">
        <v>282</v>
      </c>
      <c r="P75" t="s">
        <v>371</v>
      </c>
      <c r="Q75" t="s">
        <v>371</v>
      </c>
      <c r="R75" s="17" t="s">
        <v>371</v>
      </c>
      <c r="S75" s="16" t="s">
        <v>340</v>
      </c>
      <c r="T75" s="16" t="s">
        <v>342</v>
      </c>
      <c r="U75" s="15" t="s">
        <v>340</v>
      </c>
      <c r="V75" s="15" t="s">
        <v>344</v>
      </c>
      <c r="W75" s="17"/>
      <c r="X75" t="s">
        <v>349</v>
      </c>
      <c r="Y75" t="s">
        <v>349</v>
      </c>
      <c r="Z75" t="s">
        <v>293</v>
      </c>
      <c r="AA75" t="s">
        <v>354</v>
      </c>
      <c r="AB75" t="s">
        <v>354</v>
      </c>
      <c r="AC75" t="s">
        <v>301</v>
      </c>
      <c r="AD75" t="s">
        <v>292</v>
      </c>
      <c r="AE75" t="s">
        <v>293</v>
      </c>
      <c r="AF75" t="s">
        <v>292</v>
      </c>
      <c r="AG75" t="s">
        <v>292</v>
      </c>
      <c r="AH75" t="s">
        <v>293</v>
      </c>
      <c r="AI75" t="s">
        <v>302</v>
      </c>
      <c r="AJ75" t="s">
        <v>302</v>
      </c>
      <c r="AK75" t="s">
        <v>357</v>
      </c>
      <c r="AL75" t="s">
        <v>293</v>
      </c>
      <c r="AM75" t="s">
        <v>293</v>
      </c>
      <c r="AN75" t="s">
        <v>297</v>
      </c>
      <c r="AO75" t="s">
        <v>298</v>
      </c>
      <c r="AP75" t="s">
        <v>293</v>
      </c>
      <c r="AQ75" t="s">
        <v>292</v>
      </c>
      <c r="AR75" t="s">
        <v>293</v>
      </c>
      <c r="AS75" t="s">
        <v>293</v>
      </c>
      <c r="AT75" t="s">
        <v>364</v>
      </c>
      <c r="AU75" t="str">
        <f t="shared" si="2"/>
        <v>break</v>
      </c>
    </row>
    <row r="76" spans="1:48" x14ac:dyDescent="0.3">
      <c r="A76" t="s">
        <v>43</v>
      </c>
      <c r="B76" t="s">
        <v>73</v>
      </c>
      <c r="C76" t="s">
        <v>32</v>
      </c>
      <c r="D76" t="s">
        <v>29</v>
      </c>
      <c r="E76" t="str">
        <f t="shared" si="3"/>
        <v>P_D8O-ZSB-S_3B9</v>
      </c>
      <c r="F76" t="b">
        <v>1</v>
      </c>
      <c r="G76">
        <v>100</v>
      </c>
      <c r="H76">
        <v>1</v>
      </c>
      <c r="I76">
        <v>14606</v>
      </c>
      <c r="J76" s="61" t="s">
        <v>18</v>
      </c>
      <c r="K76" s="16" t="s">
        <v>273</v>
      </c>
      <c r="L76" s="16">
        <v>2</v>
      </c>
      <c r="M76" s="16" t="s">
        <v>333</v>
      </c>
      <c r="N76" s="16" t="s">
        <v>278</v>
      </c>
      <c r="O76" s="15" t="s">
        <v>273</v>
      </c>
      <c r="P76" t="s">
        <v>371</v>
      </c>
      <c r="Q76" t="s">
        <v>371</v>
      </c>
      <c r="R76" s="17" t="s">
        <v>371</v>
      </c>
      <c r="S76" s="16" t="s">
        <v>341</v>
      </c>
      <c r="T76" s="16" t="s">
        <v>340</v>
      </c>
      <c r="U76" s="15" t="s">
        <v>343</v>
      </c>
      <c r="V76" s="15" t="s">
        <v>291</v>
      </c>
      <c r="W76" s="17"/>
      <c r="X76" t="s">
        <v>349</v>
      </c>
      <c r="Y76" t="s">
        <v>349</v>
      </c>
      <c r="Z76" t="s">
        <v>293</v>
      </c>
      <c r="AA76" t="s">
        <v>353</v>
      </c>
      <c r="AB76" t="s">
        <v>296</v>
      </c>
      <c r="AC76" t="s">
        <v>300</v>
      </c>
      <c r="AD76" t="s">
        <v>293</v>
      </c>
      <c r="AE76" t="s">
        <v>292</v>
      </c>
      <c r="AF76" t="s">
        <v>293</v>
      </c>
      <c r="AG76" t="s">
        <v>292</v>
      </c>
      <c r="AH76" t="s">
        <v>293</v>
      </c>
      <c r="AI76" t="s">
        <v>302</v>
      </c>
      <c r="AJ76" t="s">
        <v>357</v>
      </c>
      <c r="AK76" t="s">
        <v>359</v>
      </c>
      <c r="AL76" t="s">
        <v>293</v>
      </c>
      <c r="AM76" t="s">
        <v>293</v>
      </c>
      <c r="AN76" t="s">
        <v>296</v>
      </c>
      <c r="AO76" t="s">
        <v>356</v>
      </c>
      <c r="AP76" t="s">
        <v>293</v>
      </c>
      <c r="AQ76" t="s">
        <v>292</v>
      </c>
      <c r="AR76" t="s">
        <v>293</v>
      </c>
      <c r="AS76" t="s">
        <v>293</v>
      </c>
      <c r="AT76" t="s">
        <v>364</v>
      </c>
      <c r="AU76" t="str">
        <f t="shared" si="2"/>
        <v>break</v>
      </c>
    </row>
    <row r="77" spans="1:48" x14ac:dyDescent="0.3">
      <c r="A77" t="s">
        <v>43</v>
      </c>
      <c r="B77" t="s">
        <v>73</v>
      </c>
      <c r="C77" t="s">
        <v>30</v>
      </c>
      <c r="D77" t="s">
        <v>29</v>
      </c>
      <c r="E77" t="str">
        <f t="shared" si="3"/>
        <v>P_D8O-ZSB-S_3X7</v>
      </c>
      <c r="F77" t="b">
        <v>1</v>
      </c>
      <c r="G77">
        <v>85.9</v>
      </c>
      <c r="H77">
        <v>0</v>
      </c>
      <c r="I77">
        <v>15725</v>
      </c>
      <c r="J77" s="61" t="s">
        <v>13</v>
      </c>
      <c r="K77" s="16" t="s">
        <v>272</v>
      </c>
      <c r="L77" s="16">
        <v>2</v>
      </c>
      <c r="M77" s="16" t="s">
        <v>277</v>
      </c>
      <c r="N77" s="16" t="s">
        <v>335</v>
      </c>
      <c r="O77" s="15" t="s">
        <v>282</v>
      </c>
      <c r="P77" t="s">
        <v>371</v>
      </c>
      <c r="Q77" t="s">
        <v>371</v>
      </c>
      <c r="R77" s="17" t="s">
        <v>371</v>
      </c>
      <c r="S77" s="16" t="s">
        <v>340</v>
      </c>
      <c r="T77" s="16" t="s">
        <v>342</v>
      </c>
      <c r="U77" s="15" t="s">
        <v>340</v>
      </c>
      <c r="V77" s="15" t="s">
        <v>344</v>
      </c>
      <c r="W77" s="17"/>
      <c r="X77" t="s">
        <v>349</v>
      </c>
      <c r="Y77" t="s">
        <v>349</v>
      </c>
      <c r="Z77" t="s">
        <v>293</v>
      </c>
      <c r="AA77" t="s">
        <v>354</v>
      </c>
      <c r="AB77" t="s">
        <v>354</v>
      </c>
      <c r="AC77" t="s">
        <v>300</v>
      </c>
      <c r="AD77" t="s">
        <v>293</v>
      </c>
      <c r="AE77" t="s">
        <v>292</v>
      </c>
      <c r="AF77" t="s">
        <v>292</v>
      </c>
      <c r="AG77" t="s">
        <v>292</v>
      </c>
      <c r="AH77" t="s">
        <v>293</v>
      </c>
      <c r="AI77" t="s">
        <v>302</v>
      </c>
      <c r="AJ77" t="s">
        <v>302</v>
      </c>
      <c r="AK77" t="s">
        <v>357</v>
      </c>
      <c r="AL77" t="s">
        <v>293</v>
      </c>
      <c r="AM77" t="s">
        <v>293</v>
      </c>
      <c r="AN77" t="s">
        <v>297</v>
      </c>
      <c r="AO77" t="s">
        <v>356</v>
      </c>
      <c r="AP77" t="s">
        <v>293</v>
      </c>
      <c r="AQ77" t="s">
        <v>292</v>
      </c>
      <c r="AR77" t="s">
        <v>293</v>
      </c>
      <c r="AS77" t="s">
        <v>293</v>
      </c>
      <c r="AT77" t="s">
        <v>364</v>
      </c>
      <c r="AU77" t="str">
        <f t="shared" si="2"/>
        <v>no_fail</v>
      </c>
    </row>
    <row r="78" spans="1:48" s="38" customFormat="1" x14ac:dyDescent="0.3">
      <c r="A78" t="s">
        <v>43</v>
      </c>
      <c r="B78" t="s">
        <v>73</v>
      </c>
      <c r="C78" t="s">
        <v>34</v>
      </c>
      <c r="D78" t="s">
        <v>29</v>
      </c>
      <c r="E78" t="str">
        <f t="shared" si="3"/>
        <v>P_D8O-ZSB-S_8A5</v>
      </c>
      <c r="F78" t="b">
        <v>1</v>
      </c>
      <c r="G78">
        <v>100</v>
      </c>
      <c r="H78">
        <v>1</v>
      </c>
      <c r="I78">
        <v>20145</v>
      </c>
      <c r="J78" s="61" t="s">
        <v>18</v>
      </c>
      <c r="K78" s="16" t="s">
        <v>273</v>
      </c>
      <c r="L78" s="16">
        <v>3</v>
      </c>
      <c r="M78" s="16" t="s">
        <v>333</v>
      </c>
      <c r="N78" s="16" t="s">
        <v>279</v>
      </c>
      <c r="O78" s="15" t="s">
        <v>273</v>
      </c>
      <c r="P78" t="s">
        <v>338</v>
      </c>
      <c r="Q78" t="s">
        <v>371</v>
      </c>
      <c r="R78" s="17" t="s">
        <v>371</v>
      </c>
      <c r="S78" s="16" t="s">
        <v>341</v>
      </c>
      <c r="T78" s="16" t="s">
        <v>340</v>
      </c>
      <c r="U78" s="15" t="s">
        <v>343</v>
      </c>
      <c r="V78" s="15" t="s">
        <v>347</v>
      </c>
      <c r="W78" s="17"/>
      <c r="X78" t="s">
        <v>350</v>
      </c>
      <c r="Y78" t="s">
        <v>349</v>
      </c>
      <c r="Z78" t="s">
        <v>293</v>
      </c>
      <c r="AA78" t="s">
        <v>353</v>
      </c>
      <c r="AB78" t="s">
        <v>296</v>
      </c>
      <c r="AC78" t="s">
        <v>300</v>
      </c>
      <c r="AD78" t="s">
        <v>293</v>
      </c>
      <c r="AE78" t="s">
        <v>292</v>
      </c>
      <c r="AF78" t="s">
        <v>293</v>
      </c>
      <c r="AG78" t="s">
        <v>292</v>
      </c>
      <c r="AH78" t="s">
        <v>293</v>
      </c>
      <c r="AI78" t="s">
        <v>302</v>
      </c>
      <c r="AJ78" t="s">
        <v>302</v>
      </c>
      <c r="AK78" t="s">
        <v>359</v>
      </c>
      <c r="AL78" t="s">
        <v>293</v>
      </c>
      <c r="AM78" t="s">
        <v>293</v>
      </c>
      <c r="AN78" t="s">
        <v>296</v>
      </c>
      <c r="AO78" t="s">
        <v>356</v>
      </c>
      <c r="AP78" t="s">
        <v>293</v>
      </c>
      <c r="AQ78" t="s">
        <v>292</v>
      </c>
      <c r="AR78" t="s">
        <v>293</v>
      </c>
      <c r="AS78" t="s">
        <v>293</v>
      </c>
      <c r="AT78" t="s">
        <v>364</v>
      </c>
      <c r="AU78" t="str">
        <f t="shared" ref="AU78:AU141" si="4">IF(J78="fail",IF(H78=1,"break","car_stuck"),"no_fail")</f>
        <v>break</v>
      </c>
      <c r="AV78"/>
    </row>
    <row r="79" spans="1:48" x14ac:dyDescent="0.3">
      <c r="A79" t="s">
        <v>43</v>
      </c>
      <c r="B79" t="s">
        <v>73</v>
      </c>
      <c r="C79" t="s">
        <v>26</v>
      </c>
      <c r="D79" t="s">
        <v>29</v>
      </c>
      <c r="E79" t="str">
        <f t="shared" si="3"/>
        <v>P_D8O-ZSB-S_8O8</v>
      </c>
      <c r="F79" t="b">
        <v>1</v>
      </c>
      <c r="G79">
        <v>92.5</v>
      </c>
      <c r="H79">
        <v>0</v>
      </c>
      <c r="I79">
        <v>18112</v>
      </c>
      <c r="J79" s="61" t="s">
        <v>13</v>
      </c>
      <c r="K79" s="16" t="s">
        <v>272</v>
      </c>
      <c r="L79" s="16">
        <v>3</v>
      </c>
      <c r="M79" s="16" t="s">
        <v>277</v>
      </c>
      <c r="N79" s="16" t="s">
        <v>335</v>
      </c>
      <c r="O79" s="15" t="s">
        <v>282</v>
      </c>
      <c r="P79" t="s">
        <v>371</v>
      </c>
      <c r="Q79" t="s">
        <v>371</v>
      </c>
      <c r="R79" s="17" t="s">
        <v>371</v>
      </c>
      <c r="S79" s="16" t="s">
        <v>340</v>
      </c>
      <c r="T79" s="16" t="s">
        <v>342</v>
      </c>
      <c r="U79" s="15" t="s">
        <v>343</v>
      </c>
      <c r="V79" s="15" t="s">
        <v>344</v>
      </c>
      <c r="W79" s="17" t="s">
        <v>291</v>
      </c>
      <c r="X79" t="s">
        <v>349</v>
      </c>
      <c r="Y79" t="s">
        <v>349</v>
      </c>
      <c r="Z79" t="s">
        <v>293</v>
      </c>
      <c r="AA79" t="s">
        <v>353</v>
      </c>
      <c r="AB79" t="s">
        <v>296</v>
      </c>
      <c r="AC79" t="s">
        <v>300</v>
      </c>
      <c r="AD79" t="s">
        <v>292</v>
      </c>
      <c r="AE79" t="s">
        <v>293</v>
      </c>
      <c r="AF79" t="s">
        <v>292</v>
      </c>
      <c r="AG79" t="s">
        <v>292</v>
      </c>
      <c r="AH79" t="s">
        <v>293</v>
      </c>
      <c r="AI79" t="s">
        <v>302</v>
      </c>
      <c r="AJ79" t="s">
        <v>302</v>
      </c>
      <c r="AK79" t="s">
        <v>359</v>
      </c>
      <c r="AL79" t="s">
        <v>293</v>
      </c>
      <c r="AM79" t="s">
        <v>293</v>
      </c>
      <c r="AN79" t="s">
        <v>296</v>
      </c>
      <c r="AO79" t="s">
        <v>298</v>
      </c>
      <c r="AP79" t="s">
        <v>293</v>
      </c>
      <c r="AQ79" t="s">
        <v>292</v>
      </c>
      <c r="AR79" t="s">
        <v>293</v>
      </c>
      <c r="AS79" t="s">
        <v>293</v>
      </c>
      <c r="AT79" t="s">
        <v>364</v>
      </c>
      <c r="AU79" t="str">
        <f t="shared" si="4"/>
        <v>no_fail</v>
      </c>
    </row>
    <row r="80" spans="1:48" x14ac:dyDescent="0.3">
      <c r="A80" t="s">
        <v>43</v>
      </c>
      <c r="B80" t="s">
        <v>73</v>
      </c>
      <c r="C80" t="s">
        <v>31</v>
      </c>
      <c r="D80" t="s">
        <v>29</v>
      </c>
      <c r="E80" t="str">
        <f t="shared" si="3"/>
        <v>P_D8O-ZSB-S_9E0</v>
      </c>
      <c r="F80" t="b">
        <v>1</v>
      </c>
      <c r="G80">
        <v>51.5</v>
      </c>
      <c r="H80">
        <v>0</v>
      </c>
      <c r="I80">
        <v>28294</v>
      </c>
      <c r="J80" s="61" t="s">
        <v>13</v>
      </c>
      <c r="K80" s="16" t="s">
        <v>272</v>
      </c>
      <c r="L80" s="16">
        <v>3</v>
      </c>
      <c r="M80" s="16" t="s">
        <v>277</v>
      </c>
      <c r="N80" s="16" t="s">
        <v>335</v>
      </c>
      <c r="O80" s="15" t="s">
        <v>282</v>
      </c>
      <c r="P80" t="s">
        <v>371</v>
      </c>
      <c r="Q80" t="s">
        <v>371</v>
      </c>
      <c r="R80" s="17" t="s">
        <v>371</v>
      </c>
      <c r="S80" s="16" t="s">
        <v>341</v>
      </c>
      <c r="T80" s="16" t="s">
        <v>340</v>
      </c>
      <c r="U80" s="15" t="s">
        <v>343</v>
      </c>
      <c r="V80" s="15" t="s">
        <v>291</v>
      </c>
      <c r="W80" s="17" t="s">
        <v>346</v>
      </c>
      <c r="X80" t="s">
        <v>349</v>
      </c>
      <c r="Y80" t="s">
        <v>349</v>
      </c>
      <c r="Z80" t="s">
        <v>293</v>
      </c>
      <c r="AA80" t="s">
        <v>353</v>
      </c>
      <c r="AB80" t="s">
        <v>296</v>
      </c>
      <c r="AC80" t="s">
        <v>301</v>
      </c>
      <c r="AD80" t="s">
        <v>293</v>
      </c>
      <c r="AE80" t="s">
        <v>292</v>
      </c>
      <c r="AF80" t="s">
        <v>292</v>
      </c>
      <c r="AG80" t="s">
        <v>292</v>
      </c>
      <c r="AH80" t="s">
        <v>293</v>
      </c>
      <c r="AI80" t="s">
        <v>302</v>
      </c>
      <c r="AJ80" t="s">
        <v>302</v>
      </c>
      <c r="AK80" t="s">
        <v>359</v>
      </c>
      <c r="AL80" t="s">
        <v>293</v>
      </c>
      <c r="AM80" t="s">
        <v>293</v>
      </c>
      <c r="AN80" t="s">
        <v>296</v>
      </c>
      <c r="AO80" t="s">
        <v>356</v>
      </c>
      <c r="AP80" t="s">
        <v>293</v>
      </c>
      <c r="AQ80" t="s">
        <v>292</v>
      </c>
      <c r="AR80" t="s">
        <v>293</v>
      </c>
      <c r="AS80" t="s">
        <v>293</v>
      </c>
      <c r="AT80" t="s">
        <v>364</v>
      </c>
      <c r="AU80" t="str">
        <f t="shared" si="4"/>
        <v>no_fail</v>
      </c>
    </row>
    <row r="81" spans="1:47" x14ac:dyDescent="0.3">
      <c r="A81" t="s">
        <v>43</v>
      </c>
      <c r="B81" t="s">
        <v>73</v>
      </c>
      <c r="C81" t="s">
        <v>27</v>
      </c>
      <c r="D81" t="s">
        <v>29</v>
      </c>
      <c r="E81" t="str">
        <f t="shared" si="3"/>
        <v>P_D8O-ZSB-S_9F6</v>
      </c>
      <c r="F81" t="b">
        <v>1</v>
      </c>
      <c r="G81">
        <v>58.8</v>
      </c>
      <c r="H81">
        <v>0</v>
      </c>
      <c r="I81">
        <v>18403</v>
      </c>
      <c r="J81" s="61" t="s">
        <v>13</v>
      </c>
      <c r="K81" s="16" t="s">
        <v>272</v>
      </c>
      <c r="L81" s="16">
        <v>3</v>
      </c>
      <c r="M81" s="16" t="s">
        <v>277</v>
      </c>
      <c r="N81" s="16" t="s">
        <v>336</v>
      </c>
      <c r="O81" s="15" t="s">
        <v>283</v>
      </c>
      <c r="P81" t="s">
        <v>371</v>
      </c>
      <c r="Q81" t="s">
        <v>371</v>
      </c>
      <c r="R81" s="17" t="s">
        <v>371</v>
      </c>
      <c r="S81" s="16" t="s">
        <v>341</v>
      </c>
      <c r="T81" s="16" t="s">
        <v>340</v>
      </c>
      <c r="U81" s="15" t="s">
        <v>343</v>
      </c>
      <c r="V81" s="15" t="s">
        <v>345</v>
      </c>
      <c r="W81" s="17"/>
      <c r="X81" t="s">
        <v>349</v>
      </c>
      <c r="Y81" t="s">
        <v>349</v>
      </c>
      <c r="Z81" t="s">
        <v>293</v>
      </c>
      <c r="AA81" t="s">
        <v>353</v>
      </c>
      <c r="AB81" t="s">
        <v>296</v>
      </c>
      <c r="AC81" t="s">
        <v>300</v>
      </c>
      <c r="AD81" t="s">
        <v>292</v>
      </c>
      <c r="AE81" t="s">
        <v>293</v>
      </c>
      <c r="AF81" t="s">
        <v>292</v>
      </c>
      <c r="AG81" t="s">
        <v>292</v>
      </c>
      <c r="AH81" t="s">
        <v>293</v>
      </c>
      <c r="AI81" t="s">
        <v>302</v>
      </c>
      <c r="AJ81" t="s">
        <v>359</v>
      </c>
      <c r="AK81" t="s">
        <v>359</v>
      </c>
      <c r="AL81" t="s">
        <v>293</v>
      </c>
      <c r="AM81" t="s">
        <v>293</v>
      </c>
      <c r="AN81" t="s">
        <v>297</v>
      </c>
      <c r="AO81" t="s">
        <v>298</v>
      </c>
      <c r="AP81" t="s">
        <v>293</v>
      </c>
      <c r="AQ81" t="s">
        <v>292</v>
      </c>
      <c r="AR81" t="s">
        <v>293</v>
      </c>
      <c r="AS81" t="s">
        <v>293</v>
      </c>
      <c r="AT81" t="s">
        <v>364</v>
      </c>
      <c r="AU81" t="str">
        <f t="shared" si="4"/>
        <v>no_fail</v>
      </c>
    </row>
    <row r="82" spans="1:47" x14ac:dyDescent="0.3">
      <c r="A82" t="s">
        <v>43</v>
      </c>
      <c r="B82" t="s">
        <v>73</v>
      </c>
      <c r="C82" t="s">
        <v>28</v>
      </c>
      <c r="D82" t="s">
        <v>29</v>
      </c>
      <c r="E82" t="str">
        <f t="shared" si="3"/>
        <v>P_D8O-ZSB-S_9T2</v>
      </c>
      <c r="F82" t="b">
        <v>1</v>
      </c>
      <c r="G82">
        <v>100</v>
      </c>
      <c r="H82">
        <v>1</v>
      </c>
      <c r="I82">
        <v>17540</v>
      </c>
      <c r="J82" s="61" t="s">
        <v>18</v>
      </c>
      <c r="K82" s="16" t="s">
        <v>272</v>
      </c>
      <c r="L82" s="16">
        <v>2</v>
      </c>
      <c r="M82" s="16" t="s">
        <v>277</v>
      </c>
      <c r="N82" s="16" t="s">
        <v>335</v>
      </c>
      <c r="O82" s="15" t="s">
        <v>282</v>
      </c>
      <c r="P82" t="s">
        <v>371</v>
      </c>
      <c r="Q82" t="s">
        <v>371</v>
      </c>
      <c r="R82" s="17" t="s">
        <v>371</v>
      </c>
      <c r="S82" s="16" t="s">
        <v>340</v>
      </c>
      <c r="T82" s="16" t="s">
        <v>342</v>
      </c>
      <c r="U82" s="15" t="s">
        <v>340</v>
      </c>
      <c r="V82" s="15" t="s">
        <v>344</v>
      </c>
      <c r="W82" s="17"/>
      <c r="X82" t="s">
        <v>349</v>
      </c>
      <c r="Y82" t="s">
        <v>349</v>
      </c>
      <c r="Z82" t="s">
        <v>293</v>
      </c>
      <c r="AA82" t="s">
        <v>354</v>
      </c>
      <c r="AB82" t="s">
        <v>354</v>
      </c>
      <c r="AC82" t="s">
        <v>301</v>
      </c>
      <c r="AD82" t="s">
        <v>293</v>
      </c>
      <c r="AE82" t="s">
        <v>292</v>
      </c>
      <c r="AF82" t="s">
        <v>292</v>
      </c>
      <c r="AG82" t="s">
        <v>292</v>
      </c>
      <c r="AH82" t="s">
        <v>293</v>
      </c>
      <c r="AI82" t="s">
        <v>302</v>
      </c>
      <c r="AJ82" t="s">
        <v>302</v>
      </c>
      <c r="AK82" t="s">
        <v>357</v>
      </c>
      <c r="AL82" t="s">
        <v>293</v>
      </c>
      <c r="AM82" t="s">
        <v>293</v>
      </c>
      <c r="AN82" t="s">
        <v>297</v>
      </c>
      <c r="AO82" t="s">
        <v>356</v>
      </c>
      <c r="AP82" t="s">
        <v>293</v>
      </c>
      <c r="AQ82" t="s">
        <v>292</v>
      </c>
      <c r="AR82" t="s">
        <v>293</v>
      </c>
      <c r="AS82" t="s">
        <v>293</v>
      </c>
      <c r="AT82" t="s">
        <v>364</v>
      </c>
      <c r="AU82" t="str">
        <f t="shared" si="4"/>
        <v>break</v>
      </c>
    </row>
    <row r="83" spans="1:47" x14ac:dyDescent="0.3">
      <c r="A83" t="s">
        <v>43</v>
      </c>
      <c r="B83" t="s">
        <v>73</v>
      </c>
      <c r="C83" t="s">
        <v>35</v>
      </c>
      <c r="D83" t="s">
        <v>29</v>
      </c>
      <c r="E83" t="str">
        <f t="shared" si="3"/>
        <v>P_D8O-ZSB-S_9X8</v>
      </c>
      <c r="F83" t="b">
        <v>1</v>
      </c>
      <c r="G83">
        <v>100</v>
      </c>
      <c r="H83">
        <v>1</v>
      </c>
      <c r="I83">
        <v>24190</v>
      </c>
      <c r="J83" s="61" t="s">
        <v>18</v>
      </c>
      <c r="K83" s="16" t="s">
        <v>273</v>
      </c>
      <c r="L83" s="16">
        <v>3</v>
      </c>
      <c r="M83" s="16" t="s">
        <v>333</v>
      </c>
      <c r="N83" s="16" t="s">
        <v>279</v>
      </c>
      <c r="O83" s="15" t="s">
        <v>273</v>
      </c>
      <c r="P83" t="s">
        <v>338</v>
      </c>
      <c r="Q83" t="s">
        <v>371</v>
      </c>
      <c r="R83" s="17" t="s">
        <v>371</v>
      </c>
      <c r="S83" s="16" t="s">
        <v>341</v>
      </c>
      <c r="T83" s="16" t="s">
        <v>342</v>
      </c>
      <c r="U83" s="15" t="s">
        <v>343</v>
      </c>
      <c r="V83" s="15" t="s">
        <v>344</v>
      </c>
      <c r="W83" s="17" t="s">
        <v>347</v>
      </c>
      <c r="X83" t="s">
        <v>349</v>
      </c>
      <c r="Y83" t="s">
        <v>349</v>
      </c>
      <c r="Z83" t="s">
        <v>293</v>
      </c>
      <c r="AA83" t="s">
        <v>353</v>
      </c>
      <c r="AB83" t="s">
        <v>296</v>
      </c>
      <c r="AC83" t="s">
        <v>300</v>
      </c>
      <c r="AD83" t="s">
        <v>293</v>
      </c>
      <c r="AE83" t="s">
        <v>292</v>
      </c>
      <c r="AF83" t="s">
        <v>293</v>
      </c>
      <c r="AG83" t="s">
        <v>292</v>
      </c>
      <c r="AH83" t="s">
        <v>293</v>
      </c>
      <c r="AI83" t="s">
        <v>302</v>
      </c>
      <c r="AJ83" t="s">
        <v>302</v>
      </c>
      <c r="AK83" t="s">
        <v>359</v>
      </c>
      <c r="AL83" t="s">
        <v>293</v>
      </c>
      <c r="AM83" t="s">
        <v>293</v>
      </c>
      <c r="AN83" t="s">
        <v>296</v>
      </c>
      <c r="AO83" t="s">
        <v>356</v>
      </c>
      <c r="AP83" t="s">
        <v>293</v>
      </c>
      <c r="AQ83" t="s">
        <v>292</v>
      </c>
      <c r="AR83" t="s">
        <v>293</v>
      </c>
      <c r="AS83" t="s">
        <v>293</v>
      </c>
      <c r="AT83" t="s">
        <v>364</v>
      </c>
      <c r="AU83" t="str">
        <f t="shared" si="4"/>
        <v>break</v>
      </c>
    </row>
    <row r="84" spans="1:47" x14ac:dyDescent="0.3">
      <c r="A84" t="s">
        <v>45</v>
      </c>
      <c r="B84" t="s">
        <v>46</v>
      </c>
      <c r="C84" t="s">
        <v>15</v>
      </c>
      <c r="D84" t="s">
        <v>12</v>
      </c>
      <c r="E84" t="str">
        <f t="shared" si="3"/>
        <v>P_G7R-KYY-S_0M4</v>
      </c>
      <c r="F84" t="b">
        <v>1</v>
      </c>
      <c r="G84">
        <v>82.1</v>
      </c>
      <c r="H84">
        <v>0</v>
      </c>
      <c r="I84">
        <v>9768</v>
      </c>
      <c r="J84" s="61" t="s">
        <v>13</v>
      </c>
      <c r="K84" s="16" t="s">
        <v>272</v>
      </c>
      <c r="L84" s="16">
        <v>3</v>
      </c>
      <c r="M84" s="16" t="s">
        <v>277</v>
      </c>
      <c r="N84" s="16" t="s">
        <v>336</v>
      </c>
      <c r="O84" s="15" t="s">
        <v>283</v>
      </c>
      <c r="P84" t="s">
        <v>281</v>
      </c>
      <c r="Q84" t="s">
        <v>371</v>
      </c>
      <c r="R84" s="17" t="s">
        <v>371</v>
      </c>
      <c r="S84" s="16" t="s">
        <v>341</v>
      </c>
      <c r="T84" s="16" t="s">
        <v>340</v>
      </c>
      <c r="U84" s="15" t="s">
        <v>343</v>
      </c>
      <c r="V84" s="15" t="s">
        <v>345</v>
      </c>
      <c r="W84" s="17"/>
      <c r="X84" t="s">
        <v>349</v>
      </c>
      <c r="Y84" t="s">
        <v>349</v>
      </c>
      <c r="Z84" t="s">
        <v>293</v>
      </c>
      <c r="AA84" t="s">
        <v>352</v>
      </c>
      <c r="AB84" t="s">
        <v>296</v>
      </c>
      <c r="AC84" t="s">
        <v>301</v>
      </c>
      <c r="AD84" t="s">
        <v>292</v>
      </c>
      <c r="AE84" t="s">
        <v>293</v>
      </c>
      <c r="AF84" t="s">
        <v>292</v>
      </c>
      <c r="AG84" t="s">
        <v>292</v>
      </c>
      <c r="AH84" t="s">
        <v>293</v>
      </c>
      <c r="AI84" t="s">
        <v>302</v>
      </c>
      <c r="AJ84" t="s">
        <v>359</v>
      </c>
      <c r="AK84" t="s">
        <v>359</v>
      </c>
      <c r="AL84" t="s">
        <v>293</v>
      </c>
      <c r="AM84" t="s">
        <v>293</v>
      </c>
      <c r="AN84" t="s">
        <v>297</v>
      </c>
      <c r="AO84" t="s">
        <v>298</v>
      </c>
      <c r="AP84" t="s">
        <v>293</v>
      </c>
      <c r="AQ84" t="s">
        <v>292</v>
      </c>
      <c r="AR84" t="s">
        <v>362</v>
      </c>
      <c r="AS84" t="s">
        <v>293</v>
      </c>
      <c r="AT84" t="s">
        <v>364</v>
      </c>
      <c r="AU84" t="str">
        <f t="shared" si="4"/>
        <v>no_fail</v>
      </c>
    </row>
    <row r="85" spans="1:47" x14ac:dyDescent="0.3">
      <c r="A85" t="s">
        <v>45</v>
      </c>
      <c r="B85" t="s">
        <v>46</v>
      </c>
      <c r="C85" t="s">
        <v>14</v>
      </c>
      <c r="D85" t="s">
        <v>12</v>
      </c>
      <c r="E85" t="str">
        <f t="shared" si="3"/>
        <v>P_G7R-KYY-S_1B0</v>
      </c>
      <c r="F85" t="b">
        <v>1</v>
      </c>
      <c r="G85">
        <v>86.6</v>
      </c>
      <c r="H85">
        <v>0</v>
      </c>
      <c r="I85">
        <v>12594</v>
      </c>
      <c r="J85" s="61" t="s">
        <v>13</v>
      </c>
      <c r="K85" s="16" t="s">
        <v>272</v>
      </c>
      <c r="L85" s="16">
        <v>3</v>
      </c>
      <c r="M85" s="16" t="s">
        <v>277</v>
      </c>
      <c r="N85" s="16" t="s">
        <v>336</v>
      </c>
      <c r="O85" s="15" t="s">
        <v>283</v>
      </c>
      <c r="P85" t="s">
        <v>281</v>
      </c>
      <c r="Q85" t="s">
        <v>371</v>
      </c>
      <c r="R85" s="17" t="s">
        <v>371</v>
      </c>
      <c r="S85" s="16" t="s">
        <v>341</v>
      </c>
      <c r="T85" s="16" t="s">
        <v>340</v>
      </c>
      <c r="U85" s="15" t="s">
        <v>343</v>
      </c>
      <c r="V85" s="15" t="s">
        <v>345</v>
      </c>
      <c r="W85" s="17"/>
      <c r="X85" t="s">
        <v>349</v>
      </c>
      <c r="Y85" t="s">
        <v>349</v>
      </c>
      <c r="Z85" t="s">
        <v>293</v>
      </c>
      <c r="AA85" t="s">
        <v>352</v>
      </c>
      <c r="AB85" t="s">
        <v>296</v>
      </c>
      <c r="AC85" t="s">
        <v>301</v>
      </c>
      <c r="AD85" t="s">
        <v>293</v>
      </c>
      <c r="AE85" t="s">
        <v>292</v>
      </c>
      <c r="AF85" t="s">
        <v>292</v>
      </c>
      <c r="AG85" t="s">
        <v>292</v>
      </c>
      <c r="AH85" t="s">
        <v>293</v>
      </c>
      <c r="AI85" t="s">
        <v>302</v>
      </c>
      <c r="AJ85" t="s">
        <v>359</v>
      </c>
      <c r="AK85" t="s">
        <v>359</v>
      </c>
      <c r="AL85" t="s">
        <v>293</v>
      </c>
      <c r="AM85" t="s">
        <v>293</v>
      </c>
      <c r="AN85" t="s">
        <v>297</v>
      </c>
      <c r="AO85" t="s">
        <v>356</v>
      </c>
      <c r="AP85" t="s">
        <v>293</v>
      </c>
      <c r="AQ85" t="s">
        <v>292</v>
      </c>
      <c r="AR85" t="s">
        <v>362</v>
      </c>
      <c r="AS85" t="s">
        <v>293</v>
      </c>
      <c r="AT85" t="s">
        <v>364</v>
      </c>
      <c r="AU85" t="str">
        <f t="shared" si="4"/>
        <v>no_fail</v>
      </c>
    </row>
    <row r="86" spans="1:47" x14ac:dyDescent="0.3">
      <c r="A86" t="s">
        <v>45</v>
      </c>
      <c r="B86" t="s">
        <v>46</v>
      </c>
      <c r="C86" t="s">
        <v>11</v>
      </c>
      <c r="D86" t="s">
        <v>12</v>
      </c>
      <c r="E86" t="str">
        <f t="shared" si="3"/>
        <v>P_G7R-KYY-S_1Q4</v>
      </c>
      <c r="F86" t="b">
        <v>1</v>
      </c>
      <c r="G86">
        <v>64.400000000000006</v>
      </c>
      <c r="H86">
        <v>0</v>
      </c>
      <c r="I86">
        <v>15051</v>
      </c>
      <c r="J86" s="61" t="s">
        <v>13</v>
      </c>
      <c r="K86" s="16" t="s">
        <v>272</v>
      </c>
      <c r="L86" s="16">
        <v>3</v>
      </c>
      <c r="M86" s="16" t="s">
        <v>277</v>
      </c>
      <c r="N86" s="16" t="s">
        <v>336</v>
      </c>
      <c r="O86" s="15" t="s">
        <v>283</v>
      </c>
      <c r="P86" t="s">
        <v>281</v>
      </c>
      <c r="Q86" t="s">
        <v>371</v>
      </c>
      <c r="R86" s="17" t="s">
        <v>371</v>
      </c>
      <c r="S86" s="16" t="s">
        <v>341</v>
      </c>
      <c r="T86" s="16" t="s">
        <v>340</v>
      </c>
      <c r="U86" s="15" t="s">
        <v>343</v>
      </c>
      <c r="V86" s="15" t="s">
        <v>345</v>
      </c>
      <c r="W86" s="17"/>
      <c r="X86" t="s">
        <v>349</v>
      </c>
      <c r="Y86" t="s">
        <v>349</v>
      </c>
      <c r="Z86" t="s">
        <v>293</v>
      </c>
      <c r="AA86" t="s">
        <v>353</v>
      </c>
      <c r="AB86" t="s">
        <v>296</v>
      </c>
      <c r="AC86" t="s">
        <v>301</v>
      </c>
      <c r="AD86" t="s">
        <v>293</v>
      </c>
      <c r="AE86" t="s">
        <v>292</v>
      </c>
      <c r="AF86" t="s">
        <v>292</v>
      </c>
      <c r="AG86" t="s">
        <v>292</v>
      </c>
      <c r="AH86" t="s">
        <v>293</v>
      </c>
      <c r="AI86" t="s">
        <v>302</v>
      </c>
      <c r="AJ86" t="s">
        <v>359</v>
      </c>
      <c r="AK86" t="s">
        <v>359</v>
      </c>
      <c r="AL86" t="s">
        <v>293</v>
      </c>
      <c r="AM86" t="s">
        <v>293</v>
      </c>
      <c r="AN86" t="s">
        <v>297</v>
      </c>
      <c r="AO86" t="s">
        <v>356</v>
      </c>
      <c r="AP86" t="s">
        <v>293</v>
      </c>
      <c r="AQ86" t="s">
        <v>292</v>
      </c>
      <c r="AR86" t="s">
        <v>362</v>
      </c>
      <c r="AS86" t="s">
        <v>293</v>
      </c>
      <c r="AT86" t="s">
        <v>364</v>
      </c>
      <c r="AU86" t="str">
        <f t="shared" si="4"/>
        <v>no_fail</v>
      </c>
    </row>
    <row r="87" spans="1:47" x14ac:dyDescent="0.3">
      <c r="A87" t="s">
        <v>45</v>
      </c>
      <c r="B87" t="s">
        <v>46</v>
      </c>
      <c r="C87" t="s">
        <v>19</v>
      </c>
      <c r="D87" t="s">
        <v>12</v>
      </c>
      <c r="E87" t="str">
        <f t="shared" si="3"/>
        <v>P_G7R-KYY-S_4U3</v>
      </c>
      <c r="F87" t="b">
        <v>1</v>
      </c>
      <c r="G87">
        <v>82.1</v>
      </c>
      <c r="H87">
        <v>0</v>
      </c>
      <c r="I87">
        <v>9647</v>
      </c>
      <c r="J87" s="61" t="s">
        <v>13</v>
      </c>
      <c r="K87" s="16" t="s">
        <v>272</v>
      </c>
      <c r="L87" s="16">
        <v>3</v>
      </c>
      <c r="M87" s="16" t="s">
        <v>277</v>
      </c>
      <c r="N87" s="16" t="s">
        <v>336</v>
      </c>
      <c r="O87" s="15" t="s">
        <v>283</v>
      </c>
      <c r="P87" t="s">
        <v>281</v>
      </c>
      <c r="Q87" t="s">
        <v>371</v>
      </c>
      <c r="R87" s="17" t="s">
        <v>371</v>
      </c>
      <c r="S87" s="16" t="s">
        <v>341</v>
      </c>
      <c r="T87" s="16" t="s">
        <v>340</v>
      </c>
      <c r="U87" s="15" t="s">
        <v>343</v>
      </c>
      <c r="V87" s="15" t="s">
        <v>345</v>
      </c>
      <c r="W87" s="17" t="s">
        <v>344</v>
      </c>
      <c r="X87" t="s">
        <v>349</v>
      </c>
      <c r="Y87" t="s">
        <v>349</v>
      </c>
      <c r="Z87" t="s">
        <v>293</v>
      </c>
      <c r="AA87" t="s">
        <v>352</v>
      </c>
      <c r="AB87" t="s">
        <v>296</v>
      </c>
      <c r="AC87" t="s">
        <v>301</v>
      </c>
      <c r="AD87" t="s">
        <v>292</v>
      </c>
      <c r="AE87" t="s">
        <v>293</v>
      </c>
      <c r="AF87" t="s">
        <v>292</v>
      </c>
      <c r="AG87" t="s">
        <v>292</v>
      </c>
      <c r="AH87" t="s">
        <v>293</v>
      </c>
      <c r="AI87" t="s">
        <v>302</v>
      </c>
      <c r="AJ87" t="s">
        <v>359</v>
      </c>
      <c r="AK87" t="s">
        <v>359</v>
      </c>
      <c r="AL87" t="s">
        <v>293</v>
      </c>
      <c r="AM87" t="s">
        <v>293</v>
      </c>
      <c r="AN87" t="s">
        <v>297</v>
      </c>
      <c r="AO87" t="s">
        <v>298</v>
      </c>
      <c r="AP87" t="s">
        <v>293</v>
      </c>
      <c r="AQ87" t="s">
        <v>292</v>
      </c>
      <c r="AR87" t="s">
        <v>293</v>
      </c>
      <c r="AS87" t="s">
        <v>293</v>
      </c>
      <c r="AT87" t="s">
        <v>364</v>
      </c>
      <c r="AU87" t="str">
        <f t="shared" si="4"/>
        <v>no_fail</v>
      </c>
    </row>
    <row r="88" spans="1:47" x14ac:dyDescent="0.3">
      <c r="A88" t="s">
        <v>45</v>
      </c>
      <c r="B88" t="s">
        <v>46</v>
      </c>
      <c r="C88" t="s">
        <v>17</v>
      </c>
      <c r="D88" t="s">
        <v>12</v>
      </c>
      <c r="E88" t="str">
        <f t="shared" si="3"/>
        <v>P_G7R-KYY-S_6B5</v>
      </c>
      <c r="F88" t="b">
        <v>1</v>
      </c>
      <c r="G88">
        <v>82.1</v>
      </c>
      <c r="H88">
        <v>0</v>
      </c>
      <c r="I88">
        <v>9633</v>
      </c>
      <c r="J88" s="61" t="s">
        <v>13</v>
      </c>
      <c r="K88" s="16" t="s">
        <v>272</v>
      </c>
      <c r="L88" s="16">
        <v>3</v>
      </c>
      <c r="M88" s="16" t="s">
        <v>277</v>
      </c>
      <c r="N88" s="16" t="s">
        <v>336</v>
      </c>
      <c r="O88" s="15" t="s">
        <v>283</v>
      </c>
      <c r="P88" t="s">
        <v>281</v>
      </c>
      <c r="Q88" t="s">
        <v>371</v>
      </c>
      <c r="R88" s="17" t="s">
        <v>371</v>
      </c>
      <c r="S88" s="16" t="s">
        <v>341</v>
      </c>
      <c r="T88" s="16" t="s">
        <v>340</v>
      </c>
      <c r="U88" s="15" t="s">
        <v>343</v>
      </c>
      <c r="V88" s="15" t="s">
        <v>345</v>
      </c>
      <c r="W88" s="17"/>
      <c r="X88" t="s">
        <v>349</v>
      </c>
      <c r="Y88" t="s">
        <v>349</v>
      </c>
      <c r="Z88" t="s">
        <v>293</v>
      </c>
      <c r="AA88" t="s">
        <v>352</v>
      </c>
      <c r="AB88" t="s">
        <v>296</v>
      </c>
      <c r="AC88" t="s">
        <v>301</v>
      </c>
      <c r="AD88" t="s">
        <v>292</v>
      </c>
      <c r="AE88" t="s">
        <v>293</v>
      </c>
      <c r="AF88" t="s">
        <v>292</v>
      </c>
      <c r="AG88" t="s">
        <v>292</v>
      </c>
      <c r="AH88" t="s">
        <v>293</v>
      </c>
      <c r="AI88" t="s">
        <v>302</v>
      </c>
      <c r="AJ88" t="s">
        <v>359</v>
      </c>
      <c r="AK88" t="s">
        <v>359</v>
      </c>
      <c r="AL88" t="s">
        <v>293</v>
      </c>
      <c r="AM88" t="s">
        <v>293</v>
      </c>
      <c r="AN88" t="s">
        <v>297</v>
      </c>
      <c r="AO88" t="s">
        <v>298</v>
      </c>
      <c r="AP88" t="s">
        <v>293</v>
      </c>
      <c r="AQ88" t="s">
        <v>292</v>
      </c>
      <c r="AR88" t="s">
        <v>362</v>
      </c>
      <c r="AS88" t="s">
        <v>293</v>
      </c>
      <c r="AT88" t="s">
        <v>364</v>
      </c>
      <c r="AU88" t="str">
        <f t="shared" si="4"/>
        <v>no_fail</v>
      </c>
    </row>
    <row r="89" spans="1:47" x14ac:dyDescent="0.3">
      <c r="A89" t="s">
        <v>45</v>
      </c>
      <c r="B89" t="s">
        <v>46</v>
      </c>
      <c r="C89" t="s">
        <v>16</v>
      </c>
      <c r="D89" t="s">
        <v>12</v>
      </c>
      <c r="E89" t="str">
        <f t="shared" si="3"/>
        <v>P_G7R-KYY-S_6U7</v>
      </c>
      <c r="F89" t="b">
        <v>1</v>
      </c>
      <c r="G89">
        <v>100</v>
      </c>
      <c r="H89">
        <v>1</v>
      </c>
      <c r="I89">
        <v>9078</v>
      </c>
      <c r="J89" s="61" t="s">
        <v>18</v>
      </c>
      <c r="K89" s="16" t="s">
        <v>272</v>
      </c>
      <c r="L89" s="16">
        <v>3</v>
      </c>
      <c r="M89" s="16" t="s">
        <v>277</v>
      </c>
      <c r="N89" s="16" t="s">
        <v>336</v>
      </c>
      <c r="O89" s="15" t="s">
        <v>283</v>
      </c>
      <c r="P89" t="s">
        <v>281</v>
      </c>
      <c r="Q89" t="s">
        <v>371</v>
      </c>
      <c r="R89" s="17" t="s">
        <v>371</v>
      </c>
      <c r="S89" s="16" t="s">
        <v>341</v>
      </c>
      <c r="T89" s="16" t="s">
        <v>340</v>
      </c>
      <c r="U89" s="15" t="s">
        <v>343</v>
      </c>
      <c r="V89" s="15" t="s">
        <v>345</v>
      </c>
      <c r="W89" s="17" t="s">
        <v>346</v>
      </c>
      <c r="X89" t="s">
        <v>349</v>
      </c>
      <c r="Y89" t="s">
        <v>349</v>
      </c>
      <c r="Z89" t="s">
        <v>293</v>
      </c>
      <c r="AA89" t="s">
        <v>352</v>
      </c>
      <c r="AB89" t="s">
        <v>296</v>
      </c>
      <c r="AC89" t="s">
        <v>301</v>
      </c>
      <c r="AD89" t="s">
        <v>292</v>
      </c>
      <c r="AE89" t="s">
        <v>293</v>
      </c>
      <c r="AF89" t="s">
        <v>292</v>
      </c>
      <c r="AG89" t="s">
        <v>292</v>
      </c>
      <c r="AH89" t="s">
        <v>293</v>
      </c>
      <c r="AI89" t="s">
        <v>302</v>
      </c>
      <c r="AJ89" t="s">
        <v>359</v>
      </c>
      <c r="AK89" t="s">
        <v>359</v>
      </c>
      <c r="AL89" t="s">
        <v>293</v>
      </c>
      <c r="AM89" t="s">
        <v>293</v>
      </c>
      <c r="AN89" t="s">
        <v>297</v>
      </c>
      <c r="AO89" t="s">
        <v>298</v>
      </c>
      <c r="AP89" t="s">
        <v>293</v>
      </c>
      <c r="AQ89" t="s">
        <v>292</v>
      </c>
      <c r="AR89" t="s">
        <v>362</v>
      </c>
      <c r="AS89" t="s">
        <v>293</v>
      </c>
      <c r="AT89" t="s">
        <v>364</v>
      </c>
      <c r="AU89" t="str">
        <f t="shared" si="4"/>
        <v>break</v>
      </c>
    </row>
    <row r="90" spans="1:47" x14ac:dyDescent="0.3">
      <c r="A90" t="s">
        <v>45</v>
      </c>
      <c r="B90" t="s">
        <v>46</v>
      </c>
      <c r="C90" t="s">
        <v>20</v>
      </c>
      <c r="D90" t="s">
        <v>12</v>
      </c>
      <c r="E90" t="str">
        <f t="shared" si="3"/>
        <v>P_G7R-KYY-S_7W0</v>
      </c>
      <c r="F90" t="b">
        <v>1</v>
      </c>
      <c r="G90">
        <v>100</v>
      </c>
      <c r="H90">
        <v>1</v>
      </c>
      <c r="I90">
        <v>9026</v>
      </c>
      <c r="J90" s="61" t="s">
        <v>18</v>
      </c>
      <c r="K90" s="16" t="s">
        <v>272</v>
      </c>
      <c r="L90" s="16">
        <v>3</v>
      </c>
      <c r="M90" s="16" t="s">
        <v>277</v>
      </c>
      <c r="N90" s="16" t="s">
        <v>336</v>
      </c>
      <c r="O90" s="15" t="s">
        <v>283</v>
      </c>
      <c r="P90" t="s">
        <v>281</v>
      </c>
      <c r="Q90" t="s">
        <v>371</v>
      </c>
      <c r="R90" s="17" t="s">
        <v>371</v>
      </c>
      <c r="S90" s="16" t="s">
        <v>341</v>
      </c>
      <c r="T90" s="16" t="s">
        <v>340</v>
      </c>
      <c r="U90" s="15" t="s">
        <v>343</v>
      </c>
      <c r="V90" s="15" t="s">
        <v>345</v>
      </c>
      <c r="W90" s="17"/>
      <c r="X90" t="s">
        <v>349</v>
      </c>
      <c r="Y90" t="s">
        <v>349</v>
      </c>
      <c r="Z90" t="s">
        <v>293</v>
      </c>
      <c r="AA90" t="s">
        <v>352</v>
      </c>
      <c r="AB90" t="s">
        <v>297</v>
      </c>
      <c r="AC90" t="s">
        <v>301</v>
      </c>
      <c r="AD90" t="s">
        <v>292</v>
      </c>
      <c r="AE90" t="s">
        <v>293</v>
      </c>
      <c r="AF90" t="s">
        <v>292</v>
      </c>
      <c r="AG90" t="s">
        <v>293</v>
      </c>
      <c r="AH90" t="s">
        <v>293</v>
      </c>
      <c r="AI90" t="s">
        <v>302</v>
      </c>
      <c r="AJ90" t="s">
        <v>359</v>
      </c>
      <c r="AK90" t="s">
        <v>359</v>
      </c>
      <c r="AL90" t="s">
        <v>293</v>
      </c>
      <c r="AM90" t="s">
        <v>293</v>
      </c>
      <c r="AN90" t="s">
        <v>297</v>
      </c>
      <c r="AO90" t="s">
        <v>298</v>
      </c>
      <c r="AP90" t="s">
        <v>293</v>
      </c>
      <c r="AQ90" t="s">
        <v>292</v>
      </c>
      <c r="AR90" t="s">
        <v>362</v>
      </c>
      <c r="AS90" t="s">
        <v>293</v>
      </c>
      <c r="AT90" t="s">
        <v>364</v>
      </c>
      <c r="AU90" t="str">
        <f t="shared" si="4"/>
        <v>break</v>
      </c>
    </row>
    <row r="91" spans="1:47" x14ac:dyDescent="0.3">
      <c r="A91" t="s">
        <v>45</v>
      </c>
      <c r="B91" t="s">
        <v>46</v>
      </c>
      <c r="C91" t="s">
        <v>23</v>
      </c>
      <c r="D91" t="s">
        <v>29</v>
      </c>
      <c r="E91" t="str">
        <f t="shared" si="3"/>
        <v>P_G7R-ZSB-S_0T2</v>
      </c>
      <c r="F91" t="b">
        <v>1</v>
      </c>
      <c r="G91">
        <v>100</v>
      </c>
      <c r="H91">
        <v>1</v>
      </c>
      <c r="I91">
        <v>10379</v>
      </c>
      <c r="J91" s="61" t="s">
        <v>18</v>
      </c>
      <c r="K91" s="16" t="s">
        <v>272</v>
      </c>
      <c r="L91" s="16">
        <v>3</v>
      </c>
      <c r="M91" s="16" t="s">
        <v>277</v>
      </c>
      <c r="N91" s="16" t="s">
        <v>336</v>
      </c>
      <c r="O91" s="15" t="s">
        <v>283</v>
      </c>
      <c r="P91" t="s">
        <v>281</v>
      </c>
      <c r="Q91" t="s">
        <v>371</v>
      </c>
      <c r="R91" s="17" t="s">
        <v>371</v>
      </c>
      <c r="S91" s="16" t="s">
        <v>341</v>
      </c>
      <c r="T91" s="16" t="s">
        <v>340</v>
      </c>
      <c r="U91" s="15" t="s">
        <v>343</v>
      </c>
      <c r="V91" s="15" t="s">
        <v>345</v>
      </c>
      <c r="W91" s="17"/>
      <c r="X91" t="s">
        <v>349</v>
      </c>
      <c r="Y91" t="s">
        <v>349</v>
      </c>
      <c r="Z91" t="s">
        <v>292</v>
      </c>
      <c r="AA91" t="s">
        <v>295</v>
      </c>
      <c r="AB91" t="s">
        <v>356</v>
      </c>
      <c r="AC91" t="s">
        <v>301</v>
      </c>
      <c r="AD91" t="s">
        <v>292</v>
      </c>
      <c r="AE91" t="s">
        <v>292</v>
      </c>
      <c r="AF91" t="s">
        <v>292</v>
      </c>
      <c r="AG91" t="s">
        <v>293</v>
      </c>
      <c r="AH91" t="s">
        <v>293</v>
      </c>
      <c r="AI91" t="s">
        <v>302</v>
      </c>
      <c r="AJ91" t="s">
        <v>359</v>
      </c>
      <c r="AK91" t="s">
        <v>358</v>
      </c>
      <c r="AL91" t="s">
        <v>293</v>
      </c>
      <c r="AM91" t="s">
        <v>293</v>
      </c>
      <c r="AN91" t="s">
        <v>297</v>
      </c>
      <c r="AO91" t="s">
        <v>298</v>
      </c>
      <c r="AP91" t="s">
        <v>293</v>
      </c>
      <c r="AQ91" t="s">
        <v>292</v>
      </c>
      <c r="AR91" t="s">
        <v>362</v>
      </c>
      <c r="AS91" t="s">
        <v>293</v>
      </c>
      <c r="AT91" t="s">
        <v>364</v>
      </c>
      <c r="AU91" t="str">
        <f t="shared" si="4"/>
        <v>break</v>
      </c>
    </row>
    <row r="92" spans="1:47" x14ac:dyDescent="0.3">
      <c r="A92" t="s">
        <v>45</v>
      </c>
      <c r="B92" t="s">
        <v>46</v>
      </c>
      <c r="C92" t="s">
        <v>25</v>
      </c>
      <c r="D92" t="s">
        <v>29</v>
      </c>
      <c r="E92" t="str">
        <f t="shared" si="3"/>
        <v>P_G7R-ZSB-S_1J8</v>
      </c>
      <c r="F92" t="b">
        <v>1</v>
      </c>
      <c r="G92">
        <v>97</v>
      </c>
      <c r="H92">
        <v>0</v>
      </c>
      <c r="I92">
        <v>9812</v>
      </c>
      <c r="J92" s="61" t="s">
        <v>13</v>
      </c>
      <c r="K92" s="16" t="s">
        <v>272</v>
      </c>
      <c r="L92" s="16">
        <v>3</v>
      </c>
      <c r="M92" s="16" t="s">
        <v>277</v>
      </c>
      <c r="N92" s="16" t="s">
        <v>336</v>
      </c>
      <c r="O92" s="15" t="s">
        <v>283</v>
      </c>
      <c r="P92" t="s">
        <v>281</v>
      </c>
      <c r="Q92" t="s">
        <v>371</v>
      </c>
      <c r="R92" s="17" t="s">
        <v>371</v>
      </c>
      <c r="S92" s="16" t="s">
        <v>341</v>
      </c>
      <c r="T92" s="16" t="s">
        <v>340</v>
      </c>
      <c r="U92" s="15" t="s">
        <v>343</v>
      </c>
      <c r="V92" s="15" t="s">
        <v>345</v>
      </c>
      <c r="W92" s="17"/>
      <c r="X92" t="s">
        <v>349</v>
      </c>
      <c r="Y92" t="s">
        <v>349</v>
      </c>
      <c r="Z92" t="s">
        <v>293</v>
      </c>
      <c r="AA92" t="s">
        <v>352</v>
      </c>
      <c r="AB92" t="s">
        <v>296</v>
      </c>
      <c r="AC92" t="s">
        <v>300</v>
      </c>
      <c r="AD92" t="s">
        <v>292</v>
      </c>
      <c r="AE92" t="s">
        <v>293</v>
      </c>
      <c r="AF92" t="s">
        <v>292</v>
      </c>
      <c r="AG92" t="s">
        <v>292</v>
      </c>
      <c r="AH92" t="s">
        <v>293</v>
      </c>
      <c r="AI92" t="s">
        <v>302</v>
      </c>
      <c r="AJ92" t="s">
        <v>359</v>
      </c>
      <c r="AK92" t="s">
        <v>359</v>
      </c>
      <c r="AL92" t="s">
        <v>293</v>
      </c>
      <c r="AM92" t="s">
        <v>293</v>
      </c>
      <c r="AN92" t="s">
        <v>297</v>
      </c>
      <c r="AO92" t="s">
        <v>298</v>
      </c>
      <c r="AP92" t="s">
        <v>293</v>
      </c>
      <c r="AQ92" t="s">
        <v>292</v>
      </c>
      <c r="AR92" t="s">
        <v>293</v>
      </c>
      <c r="AS92" t="s">
        <v>293</v>
      </c>
      <c r="AT92" t="s">
        <v>364</v>
      </c>
      <c r="AU92" t="str">
        <f t="shared" si="4"/>
        <v>no_fail</v>
      </c>
    </row>
    <row r="93" spans="1:47" x14ac:dyDescent="0.3">
      <c r="A93" t="s">
        <v>45</v>
      </c>
      <c r="B93" t="s">
        <v>46</v>
      </c>
      <c r="C93" t="s">
        <v>24</v>
      </c>
      <c r="D93" t="s">
        <v>29</v>
      </c>
      <c r="E93" t="str">
        <f t="shared" si="3"/>
        <v>P_G7R-ZSB-S_1U0</v>
      </c>
      <c r="F93" t="b">
        <v>1</v>
      </c>
      <c r="G93">
        <v>96.5</v>
      </c>
      <c r="H93">
        <v>0</v>
      </c>
      <c r="I93">
        <v>11058</v>
      </c>
      <c r="J93" s="61" t="s">
        <v>13</v>
      </c>
      <c r="K93" s="16" t="s">
        <v>272</v>
      </c>
      <c r="L93" s="16">
        <v>3</v>
      </c>
      <c r="M93" s="16" t="s">
        <v>277</v>
      </c>
      <c r="N93" s="16" t="s">
        <v>336</v>
      </c>
      <c r="O93" s="15" t="s">
        <v>283</v>
      </c>
      <c r="P93" t="s">
        <v>281</v>
      </c>
      <c r="Q93" t="s">
        <v>371</v>
      </c>
      <c r="R93" s="17" t="s">
        <v>371</v>
      </c>
      <c r="S93" s="16" t="s">
        <v>341</v>
      </c>
      <c r="T93" s="16" t="s">
        <v>340</v>
      </c>
      <c r="U93" s="15" t="s">
        <v>343</v>
      </c>
      <c r="V93" s="15" t="s">
        <v>345</v>
      </c>
      <c r="W93" s="17"/>
      <c r="X93" t="s">
        <v>349</v>
      </c>
      <c r="Y93" t="s">
        <v>349</v>
      </c>
      <c r="Z93" t="s">
        <v>292</v>
      </c>
      <c r="AA93" t="s">
        <v>295</v>
      </c>
      <c r="AB93" t="s">
        <v>356</v>
      </c>
      <c r="AC93" t="s">
        <v>300</v>
      </c>
      <c r="AD93" t="s">
        <v>292</v>
      </c>
      <c r="AE93" t="s">
        <v>292</v>
      </c>
      <c r="AF93" t="s">
        <v>292</v>
      </c>
      <c r="AG93" t="s">
        <v>293</v>
      </c>
      <c r="AH93" t="s">
        <v>293</v>
      </c>
      <c r="AI93" t="s">
        <v>302</v>
      </c>
      <c r="AJ93" t="s">
        <v>359</v>
      </c>
      <c r="AK93" t="s">
        <v>358</v>
      </c>
      <c r="AL93" t="s">
        <v>293</v>
      </c>
      <c r="AM93" t="s">
        <v>293</v>
      </c>
      <c r="AN93" t="s">
        <v>297</v>
      </c>
      <c r="AO93" t="s">
        <v>298</v>
      </c>
      <c r="AP93" t="s">
        <v>293</v>
      </c>
      <c r="AQ93" t="s">
        <v>292</v>
      </c>
      <c r="AR93" t="s">
        <v>293</v>
      </c>
      <c r="AS93" t="s">
        <v>293</v>
      </c>
      <c r="AT93" t="s">
        <v>364</v>
      </c>
      <c r="AU93" t="str">
        <f t="shared" si="4"/>
        <v>no_fail</v>
      </c>
    </row>
    <row r="94" spans="1:47" x14ac:dyDescent="0.3">
      <c r="A94" t="s">
        <v>45</v>
      </c>
      <c r="B94" t="s">
        <v>46</v>
      </c>
      <c r="C94" t="s">
        <v>21</v>
      </c>
      <c r="D94" t="s">
        <v>29</v>
      </c>
      <c r="E94" t="str">
        <f t="shared" si="3"/>
        <v>P_G7R-ZSB-S_3X6</v>
      </c>
      <c r="F94" t="b">
        <v>1</v>
      </c>
      <c r="G94">
        <v>75.2</v>
      </c>
      <c r="H94">
        <v>0</v>
      </c>
      <c r="I94">
        <v>11608</v>
      </c>
      <c r="J94" s="61" t="s">
        <v>13</v>
      </c>
      <c r="K94" s="16" t="s">
        <v>272</v>
      </c>
      <c r="L94" s="16">
        <v>3</v>
      </c>
      <c r="M94" s="16" t="s">
        <v>277</v>
      </c>
      <c r="N94" s="16" t="s">
        <v>336</v>
      </c>
      <c r="O94" s="15" t="s">
        <v>283</v>
      </c>
      <c r="P94" t="s">
        <v>281</v>
      </c>
      <c r="Q94" t="s">
        <v>371</v>
      </c>
      <c r="R94" s="17" t="s">
        <v>371</v>
      </c>
      <c r="S94" s="16" t="s">
        <v>341</v>
      </c>
      <c r="T94" s="16" t="s">
        <v>340</v>
      </c>
      <c r="U94" s="15" t="s">
        <v>343</v>
      </c>
      <c r="V94" s="15" t="s">
        <v>345</v>
      </c>
      <c r="W94" s="17"/>
      <c r="X94" t="s">
        <v>349</v>
      </c>
      <c r="Y94" t="s">
        <v>349</v>
      </c>
      <c r="Z94" t="s">
        <v>292</v>
      </c>
      <c r="AA94" t="s">
        <v>295</v>
      </c>
      <c r="AB94" t="s">
        <v>356</v>
      </c>
      <c r="AC94" t="s">
        <v>300</v>
      </c>
      <c r="AD94" t="s">
        <v>292</v>
      </c>
      <c r="AE94" t="s">
        <v>292</v>
      </c>
      <c r="AF94" t="s">
        <v>292</v>
      </c>
      <c r="AG94" t="s">
        <v>293</v>
      </c>
      <c r="AH94" t="s">
        <v>293</v>
      </c>
      <c r="AI94" t="s">
        <v>302</v>
      </c>
      <c r="AJ94" t="s">
        <v>359</v>
      </c>
      <c r="AK94" t="s">
        <v>358</v>
      </c>
      <c r="AL94" t="s">
        <v>293</v>
      </c>
      <c r="AM94" t="s">
        <v>293</v>
      </c>
      <c r="AN94" t="s">
        <v>297</v>
      </c>
      <c r="AO94" t="s">
        <v>298</v>
      </c>
      <c r="AP94" t="s">
        <v>293</v>
      </c>
      <c r="AQ94" t="s">
        <v>292</v>
      </c>
      <c r="AR94" t="s">
        <v>293</v>
      </c>
      <c r="AS94" t="s">
        <v>293</v>
      </c>
      <c r="AT94" t="s">
        <v>364</v>
      </c>
      <c r="AU94" t="str">
        <f t="shared" si="4"/>
        <v>no_fail</v>
      </c>
    </row>
    <row r="95" spans="1:47" x14ac:dyDescent="0.3">
      <c r="A95" t="s">
        <v>45</v>
      </c>
      <c r="B95" t="s">
        <v>46</v>
      </c>
      <c r="C95" t="s">
        <v>30</v>
      </c>
      <c r="D95" t="s">
        <v>29</v>
      </c>
      <c r="E95" t="str">
        <f t="shared" si="3"/>
        <v>P_G7R-ZSB-S_3X7</v>
      </c>
      <c r="F95" t="b">
        <v>1</v>
      </c>
      <c r="G95">
        <v>93.3</v>
      </c>
      <c r="H95">
        <v>0</v>
      </c>
      <c r="I95">
        <v>9336</v>
      </c>
      <c r="J95" s="61" t="s">
        <v>13</v>
      </c>
      <c r="K95" s="16" t="s">
        <v>272</v>
      </c>
      <c r="L95" s="16">
        <v>3</v>
      </c>
      <c r="M95" s="16" t="s">
        <v>277</v>
      </c>
      <c r="N95" s="16" t="s">
        <v>336</v>
      </c>
      <c r="O95" s="15" t="s">
        <v>283</v>
      </c>
      <c r="P95" t="s">
        <v>281</v>
      </c>
      <c r="Q95" t="s">
        <v>371</v>
      </c>
      <c r="R95" s="17" t="s">
        <v>371</v>
      </c>
      <c r="S95" s="16" t="s">
        <v>341</v>
      </c>
      <c r="T95" s="16" t="s">
        <v>340</v>
      </c>
      <c r="U95" s="15" t="s">
        <v>343</v>
      </c>
      <c r="V95" s="15" t="s">
        <v>345</v>
      </c>
      <c r="W95" s="17"/>
      <c r="X95" t="s">
        <v>349</v>
      </c>
      <c r="Y95" t="s">
        <v>349</v>
      </c>
      <c r="Z95" t="s">
        <v>293</v>
      </c>
      <c r="AA95" t="s">
        <v>352</v>
      </c>
      <c r="AB95" t="s">
        <v>296</v>
      </c>
      <c r="AC95" t="s">
        <v>300</v>
      </c>
      <c r="AD95" t="s">
        <v>292</v>
      </c>
      <c r="AE95" t="s">
        <v>293</v>
      </c>
      <c r="AF95" t="s">
        <v>292</v>
      </c>
      <c r="AG95" t="s">
        <v>292</v>
      </c>
      <c r="AH95" t="s">
        <v>293</v>
      </c>
      <c r="AI95" t="s">
        <v>302</v>
      </c>
      <c r="AJ95" t="s">
        <v>359</v>
      </c>
      <c r="AK95" t="s">
        <v>359</v>
      </c>
      <c r="AL95" t="s">
        <v>293</v>
      </c>
      <c r="AM95" t="s">
        <v>293</v>
      </c>
      <c r="AN95" t="s">
        <v>297</v>
      </c>
      <c r="AO95" t="s">
        <v>298</v>
      </c>
      <c r="AP95" t="s">
        <v>293</v>
      </c>
      <c r="AQ95" t="s">
        <v>292</v>
      </c>
      <c r="AR95" t="s">
        <v>293</v>
      </c>
      <c r="AS95" t="s">
        <v>293</v>
      </c>
      <c r="AT95" t="s">
        <v>364</v>
      </c>
      <c r="AU95" t="str">
        <f t="shared" si="4"/>
        <v>no_fail</v>
      </c>
    </row>
    <row r="96" spans="1:47" x14ac:dyDescent="0.3">
      <c r="A96" t="s">
        <v>45</v>
      </c>
      <c r="B96" t="s">
        <v>46</v>
      </c>
      <c r="C96" t="s">
        <v>26</v>
      </c>
      <c r="D96" t="s">
        <v>29</v>
      </c>
      <c r="E96" t="str">
        <f t="shared" si="3"/>
        <v>P_G7R-ZSB-S_8O8</v>
      </c>
      <c r="F96" t="b">
        <v>1</v>
      </c>
      <c r="G96">
        <v>100</v>
      </c>
      <c r="H96">
        <v>1</v>
      </c>
      <c r="I96">
        <v>9942</v>
      </c>
      <c r="J96" s="61" t="s">
        <v>18</v>
      </c>
      <c r="K96" s="16" t="s">
        <v>272</v>
      </c>
      <c r="L96" s="16">
        <v>3</v>
      </c>
      <c r="M96" s="16" t="s">
        <v>277</v>
      </c>
      <c r="N96" s="16" t="s">
        <v>336</v>
      </c>
      <c r="O96" s="15" t="s">
        <v>281</v>
      </c>
      <c r="P96" t="s">
        <v>371</v>
      </c>
      <c r="Q96" t="s">
        <v>371</v>
      </c>
      <c r="R96" s="17" t="s">
        <v>371</v>
      </c>
      <c r="S96" s="16" t="s">
        <v>341</v>
      </c>
      <c r="T96" s="16" t="s">
        <v>340</v>
      </c>
      <c r="U96" s="15" t="s">
        <v>343</v>
      </c>
      <c r="V96" s="15" t="s">
        <v>345</v>
      </c>
      <c r="W96" s="17"/>
      <c r="X96" t="s">
        <v>349</v>
      </c>
      <c r="Y96" t="s">
        <v>349</v>
      </c>
      <c r="Z96" t="s">
        <v>293</v>
      </c>
      <c r="AA96" t="s">
        <v>352</v>
      </c>
      <c r="AB96" t="s">
        <v>296</v>
      </c>
      <c r="AC96" t="s">
        <v>300</v>
      </c>
      <c r="AD96" t="s">
        <v>292</v>
      </c>
      <c r="AE96" t="s">
        <v>293</v>
      </c>
      <c r="AF96" t="s">
        <v>292</v>
      </c>
      <c r="AG96" t="s">
        <v>292</v>
      </c>
      <c r="AH96" t="s">
        <v>293</v>
      </c>
      <c r="AI96" t="s">
        <v>359</v>
      </c>
      <c r="AJ96" t="s">
        <v>359</v>
      </c>
      <c r="AK96" t="s">
        <v>359</v>
      </c>
      <c r="AL96" t="s">
        <v>293</v>
      </c>
      <c r="AM96" t="s">
        <v>293</v>
      </c>
      <c r="AN96" t="s">
        <v>297</v>
      </c>
      <c r="AO96" t="s">
        <v>298</v>
      </c>
      <c r="AP96" t="s">
        <v>293</v>
      </c>
      <c r="AQ96" t="s">
        <v>292</v>
      </c>
      <c r="AR96" t="s">
        <v>293</v>
      </c>
      <c r="AS96" t="s">
        <v>293</v>
      </c>
      <c r="AT96" t="s">
        <v>364</v>
      </c>
      <c r="AU96" t="str">
        <f t="shared" si="4"/>
        <v>break</v>
      </c>
    </row>
    <row r="97" spans="1:48" x14ac:dyDescent="0.3">
      <c r="A97" t="s">
        <v>45</v>
      </c>
      <c r="B97" t="s">
        <v>46</v>
      </c>
      <c r="C97" t="s">
        <v>22</v>
      </c>
      <c r="D97" t="s">
        <v>29</v>
      </c>
      <c r="E97" t="str">
        <f t="shared" si="3"/>
        <v>P_G7R-ZSB-S_9B4</v>
      </c>
      <c r="F97" t="b">
        <v>1</v>
      </c>
      <c r="G97">
        <v>81.599999999999994</v>
      </c>
      <c r="H97">
        <v>0</v>
      </c>
      <c r="I97">
        <v>10879</v>
      </c>
      <c r="J97" s="61" t="s">
        <v>13</v>
      </c>
      <c r="K97" s="16" t="s">
        <v>272</v>
      </c>
      <c r="L97" s="16">
        <v>3</v>
      </c>
      <c r="M97" s="16" t="s">
        <v>277</v>
      </c>
      <c r="N97" s="16" t="s">
        <v>336</v>
      </c>
      <c r="O97" s="15" t="s">
        <v>283</v>
      </c>
      <c r="P97" t="s">
        <v>281</v>
      </c>
      <c r="Q97" t="s">
        <v>371</v>
      </c>
      <c r="R97" s="17" t="s">
        <v>371</v>
      </c>
      <c r="S97" s="16" t="s">
        <v>341</v>
      </c>
      <c r="T97" s="16" t="s">
        <v>340</v>
      </c>
      <c r="U97" s="15" t="s">
        <v>343</v>
      </c>
      <c r="V97" s="15" t="s">
        <v>345</v>
      </c>
      <c r="W97" s="17"/>
      <c r="X97" t="s">
        <v>349</v>
      </c>
      <c r="Y97" t="s">
        <v>349</v>
      </c>
      <c r="Z97" t="s">
        <v>292</v>
      </c>
      <c r="AA97" t="s">
        <v>295</v>
      </c>
      <c r="AB97" t="s">
        <v>356</v>
      </c>
      <c r="AC97" t="s">
        <v>301</v>
      </c>
      <c r="AD97" t="s">
        <v>292</v>
      </c>
      <c r="AE97" t="s">
        <v>292</v>
      </c>
      <c r="AF97" t="s">
        <v>292</v>
      </c>
      <c r="AG97" t="s">
        <v>293</v>
      </c>
      <c r="AH97" t="s">
        <v>293</v>
      </c>
      <c r="AI97" t="s">
        <v>302</v>
      </c>
      <c r="AJ97" t="s">
        <v>359</v>
      </c>
      <c r="AK97" t="s">
        <v>358</v>
      </c>
      <c r="AL97" t="s">
        <v>293</v>
      </c>
      <c r="AM97" t="s">
        <v>293</v>
      </c>
      <c r="AN97" t="s">
        <v>297</v>
      </c>
      <c r="AO97" t="s">
        <v>298</v>
      </c>
      <c r="AP97" t="s">
        <v>293</v>
      </c>
      <c r="AQ97" t="s">
        <v>292</v>
      </c>
      <c r="AR97" t="s">
        <v>362</v>
      </c>
      <c r="AS97" t="s">
        <v>293</v>
      </c>
      <c r="AT97" t="s">
        <v>364</v>
      </c>
      <c r="AU97" t="str">
        <f t="shared" si="4"/>
        <v>no_fail</v>
      </c>
    </row>
    <row r="98" spans="1:48" x14ac:dyDescent="0.3">
      <c r="A98" t="s">
        <v>45</v>
      </c>
      <c r="B98" t="s">
        <v>46</v>
      </c>
      <c r="C98" t="s">
        <v>27</v>
      </c>
      <c r="D98" t="s">
        <v>29</v>
      </c>
      <c r="E98" t="str">
        <f t="shared" si="3"/>
        <v>P_G7R-ZSB-S_9F6</v>
      </c>
      <c r="F98" t="b">
        <v>1</v>
      </c>
      <c r="G98">
        <v>100</v>
      </c>
      <c r="H98">
        <v>1</v>
      </c>
      <c r="I98">
        <v>9447</v>
      </c>
      <c r="J98" s="61" t="s">
        <v>18</v>
      </c>
      <c r="K98" s="16" t="s">
        <v>272</v>
      </c>
      <c r="L98" s="16">
        <v>3</v>
      </c>
      <c r="M98" s="16" t="s">
        <v>277</v>
      </c>
      <c r="N98" s="16" t="s">
        <v>336</v>
      </c>
      <c r="O98" s="15" t="s">
        <v>283</v>
      </c>
      <c r="P98" t="s">
        <v>281</v>
      </c>
      <c r="Q98" t="s">
        <v>371</v>
      </c>
      <c r="R98" s="17" t="s">
        <v>371</v>
      </c>
      <c r="S98" s="16" t="s">
        <v>341</v>
      </c>
      <c r="T98" s="16" t="s">
        <v>340</v>
      </c>
      <c r="U98" s="15" t="s">
        <v>343</v>
      </c>
      <c r="V98" s="15" t="s">
        <v>345</v>
      </c>
      <c r="W98" s="17"/>
      <c r="X98" t="s">
        <v>349</v>
      </c>
      <c r="Y98" t="s">
        <v>349</v>
      </c>
      <c r="Z98" t="s">
        <v>293</v>
      </c>
      <c r="AA98" t="s">
        <v>352</v>
      </c>
      <c r="AB98" t="s">
        <v>296</v>
      </c>
      <c r="AC98" t="s">
        <v>300</v>
      </c>
      <c r="AD98" t="s">
        <v>292</v>
      </c>
      <c r="AE98" t="s">
        <v>293</v>
      </c>
      <c r="AF98" t="s">
        <v>292</v>
      </c>
      <c r="AG98" t="s">
        <v>292</v>
      </c>
      <c r="AH98" t="s">
        <v>293</v>
      </c>
      <c r="AI98" t="s">
        <v>302</v>
      </c>
      <c r="AJ98" t="s">
        <v>359</v>
      </c>
      <c r="AK98" t="s">
        <v>359</v>
      </c>
      <c r="AL98" t="s">
        <v>293</v>
      </c>
      <c r="AM98" t="s">
        <v>293</v>
      </c>
      <c r="AN98" t="s">
        <v>297</v>
      </c>
      <c r="AO98" t="s">
        <v>298</v>
      </c>
      <c r="AP98" t="s">
        <v>293</v>
      </c>
      <c r="AQ98" t="s">
        <v>292</v>
      </c>
      <c r="AR98" t="s">
        <v>293</v>
      </c>
      <c r="AS98" t="s">
        <v>293</v>
      </c>
      <c r="AT98" t="s">
        <v>364</v>
      </c>
      <c r="AU98" t="str">
        <f t="shared" si="4"/>
        <v>break</v>
      </c>
    </row>
    <row r="99" spans="1:48" x14ac:dyDescent="0.3">
      <c r="A99" t="s">
        <v>45</v>
      </c>
      <c r="B99" t="s">
        <v>46</v>
      </c>
      <c r="C99" t="s">
        <v>28</v>
      </c>
      <c r="D99" t="s">
        <v>29</v>
      </c>
      <c r="E99" t="str">
        <f t="shared" si="3"/>
        <v>P_G7R-ZSB-S_9T2</v>
      </c>
      <c r="F99" t="b">
        <v>1</v>
      </c>
      <c r="G99">
        <v>91.9</v>
      </c>
      <c r="H99">
        <v>0</v>
      </c>
      <c r="I99">
        <v>9495</v>
      </c>
      <c r="J99" s="61" t="s">
        <v>13</v>
      </c>
      <c r="K99" s="16" t="s">
        <v>272</v>
      </c>
      <c r="L99" s="16">
        <v>3</v>
      </c>
      <c r="M99" s="16" t="s">
        <v>277</v>
      </c>
      <c r="N99" s="16" t="s">
        <v>336</v>
      </c>
      <c r="O99" s="15" t="s">
        <v>283</v>
      </c>
      <c r="P99" t="s">
        <v>281</v>
      </c>
      <c r="Q99" t="s">
        <v>371</v>
      </c>
      <c r="R99" s="17" t="s">
        <v>371</v>
      </c>
      <c r="S99" s="16" t="s">
        <v>341</v>
      </c>
      <c r="T99" s="16" t="s">
        <v>340</v>
      </c>
      <c r="U99" s="15" t="s">
        <v>343</v>
      </c>
      <c r="V99" s="15" t="s">
        <v>345</v>
      </c>
      <c r="W99" s="17"/>
      <c r="X99" t="s">
        <v>349</v>
      </c>
      <c r="Y99" t="s">
        <v>349</v>
      </c>
      <c r="Z99" t="s">
        <v>293</v>
      </c>
      <c r="AA99" t="s">
        <v>352</v>
      </c>
      <c r="AB99" t="s">
        <v>296</v>
      </c>
      <c r="AC99" t="s">
        <v>300</v>
      </c>
      <c r="AD99" t="s">
        <v>292</v>
      </c>
      <c r="AE99" t="s">
        <v>293</v>
      </c>
      <c r="AF99" t="s">
        <v>292</v>
      </c>
      <c r="AG99" t="s">
        <v>292</v>
      </c>
      <c r="AH99" t="s">
        <v>293</v>
      </c>
      <c r="AI99" t="s">
        <v>302</v>
      </c>
      <c r="AJ99" t="s">
        <v>359</v>
      </c>
      <c r="AK99" t="s">
        <v>359</v>
      </c>
      <c r="AL99" t="s">
        <v>293</v>
      </c>
      <c r="AM99" t="s">
        <v>293</v>
      </c>
      <c r="AN99" t="s">
        <v>297</v>
      </c>
      <c r="AO99" t="s">
        <v>298</v>
      </c>
      <c r="AP99" t="s">
        <v>293</v>
      </c>
      <c r="AQ99" t="s">
        <v>292</v>
      </c>
      <c r="AR99" t="s">
        <v>293</v>
      </c>
      <c r="AS99" t="s">
        <v>293</v>
      </c>
      <c r="AT99" t="s">
        <v>364</v>
      </c>
      <c r="AU99" t="str">
        <f t="shared" si="4"/>
        <v>no_fail</v>
      </c>
    </row>
    <row r="100" spans="1:48" x14ac:dyDescent="0.3">
      <c r="A100" s="38" t="s">
        <v>45</v>
      </c>
      <c r="B100" s="38" t="s">
        <v>72</v>
      </c>
      <c r="C100" s="38" t="s">
        <v>23</v>
      </c>
      <c r="D100" s="38" t="s">
        <v>29</v>
      </c>
      <c r="E100" s="38" t="str">
        <f t="shared" si="3"/>
        <v>P_H7P-ZSB-S_0T2</v>
      </c>
      <c r="F100" s="38" t="b">
        <v>1</v>
      </c>
      <c r="G100" s="38">
        <v>99.9</v>
      </c>
      <c r="H100" s="38">
        <v>0</v>
      </c>
      <c r="I100" s="38">
        <v>14387</v>
      </c>
      <c r="J100" s="61" t="s">
        <v>18</v>
      </c>
      <c r="K100" s="39" t="s">
        <v>273</v>
      </c>
      <c r="L100" s="39">
        <v>2</v>
      </c>
      <c r="M100" s="39" t="s">
        <v>333</v>
      </c>
      <c r="N100" s="39" t="s">
        <v>278</v>
      </c>
      <c r="O100" s="40" t="s">
        <v>273</v>
      </c>
      <c r="P100" s="38" t="s">
        <v>371</v>
      </c>
      <c r="Q100" s="38" t="s">
        <v>371</v>
      </c>
      <c r="R100" s="41" t="s">
        <v>371</v>
      </c>
      <c r="S100" s="39" t="s">
        <v>341</v>
      </c>
      <c r="T100" s="39" t="s">
        <v>340</v>
      </c>
      <c r="U100" s="40" t="s">
        <v>343</v>
      </c>
      <c r="V100" s="40" t="s">
        <v>344</v>
      </c>
      <c r="W100" s="41"/>
      <c r="X100" s="38" t="s">
        <v>349</v>
      </c>
      <c r="Y100" s="38" t="s">
        <v>349</v>
      </c>
      <c r="Z100" s="38" t="s">
        <v>293</v>
      </c>
      <c r="AA100" s="38" t="s">
        <v>353</v>
      </c>
      <c r="AB100" s="38" t="s">
        <v>296</v>
      </c>
      <c r="AC100" s="38" t="s">
        <v>301</v>
      </c>
      <c r="AD100" s="38" t="s">
        <v>293</v>
      </c>
      <c r="AE100" s="38" t="s">
        <v>292</v>
      </c>
      <c r="AF100" s="38" t="s">
        <v>292</v>
      </c>
      <c r="AG100" s="38" t="s">
        <v>293</v>
      </c>
      <c r="AH100" s="38" t="s">
        <v>293</v>
      </c>
      <c r="AI100" s="38" t="s">
        <v>302</v>
      </c>
      <c r="AJ100" s="38" t="s">
        <v>357</v>
      </c>
      <c r="AK100" s="38" t="s">
        <v>359</v>
      </c>
      <c r="AL100" s="38" t="s">
        <v>293</v>
      </c>
      <c r="AM100" s="38" t="s">
        <v>293</v>
      </c>
      <c r="AN100" s="38" t="s">
        <v>297</v>
      </c>
      <c r="AO100" s="38" t="s">
        <v>356</v>
      </c>
      <c r="AP100" s="38" t="s">
        <v>293</v>
      </c>
      <c r="AQ100" s="38" t="s">
        <v>292</v>
      </c>
      <c r="AR100" s="38" t="s">
        <v>293</v>
      </c>
      <c r="AS100" s="38" t="s">
        <v>293</v>
      </c>
      <c r="AT100" s="38" t="s">
        <v>364</v>
      </c>
      <c r="AU100" s="38" t="str">
        <f t="shared" si="4"/>
        <v>car_stuck</v>
      </c>
      <c r="AV100" s="38" t="s">
        <v>378</v>
      </c>
    </row>
    <row r="101" spans="1:48" x14ac:dyDescent="0.3">
      <c r="A101" s="38" t="s">
        <v>45</v>
      </c>
      <c r="B101" s="38" t="s">
        <v>72</v>
      </c>
      <c r="C101" s="38" t="s">
        <v>25</v>
      </c>
      <c r="D101" s="38" t="s">
        <v>29</v>
      </c>
      <c r="E101" s="38" t="str">
        <f t="shared" si="3"/>
        <v>P_H7P-ZSB-S_1J8</v>
      </c>
      <c r="F101" s="38" t="b">
        <v>1</v>
      </c>
      <c r="G101" s="38">
        <v>99.9</v>
      </c>
      <c r="H101" s="38">
        <v>0</v>
      </c>
      <c r="I101" s="38">
        <v>21864</v>
      </c>
      <c r="J101" s="61" t="s">
        <v>18</v>
      </c>
      <c r="K101" s="39" t="s">
        <v>273</v>
      </c>
      <c r="L101" s="39">
        <v>2</v>
      </c>
      <c r="M101" s="39" t="s">
        <v>333</v>
      </c>
      <c r="N101" s="39" t="s">
        <v>278</v>
      </c>
      <c r="O101" s="40" t="s">
        <v>273</v>
      </c>
      <c r="P101" s="38" t="s">
        <v>371</v>
      </c>
      <c r="Q101" s="38" t="s">
        <v>371</v>
      </c>
      <c r="R101" s="41" t="s">
        <v>371</v>
      </c>
      <c r="S101" s="39" t="s">
        <v>341</v>
      </c>
      <c r="T101" s="39" t="s">
        <v>340</v>
      </c>
      <c r="U101" s="40" t="s">
        <v>343</v>
      </c>
      <c r="V101" s="40" t="s">
        <v>344</v>
      </c>
      <c r="W101" s="41"/>
      <c r="X101" s="38" t="s">
        <v>349</v>
      </c>
      <c r="Y101" s="38" t="s">
        <v>349</v>
      </c>
      <c r="Z101" s="38" t="s">
        <v>293</v>
      </c>
      <c r="AA101" s="38" t="s">
        <v>353</v>
      </c>
      <c r="AB101" s="38" t="s">
        <v>296</v>
      </c>
      <c r="AC101" s="38" t="s">
        <v>301</v>
      </c>
      <c r="AD101" s="38" t="s">
        <v>293</v>
      </c>
      <c r="AE101" s="38" t="s">
        <v>292</v>
      </c>
      <c r="AF101" s="38" t="s">
        <v>292</v>
      </c>
      <c r="AG101" s="38" t="s">
        <v>292</v>
      </c>
      <c r="AH101" s="38" t="s">
        <v>293</v>
      </c>
      <c r="AI101" s="38" t="s">
        <v>302</v>
      </c>
      <c r="AJ101" s="38" t="s">
        <v>357</v>
      </c>
      <c r="AK101" s="38" t="s">
        <v>359</v>
      </c>
      <c r="AL101" s="38" t="s">
        <v>293</v>
      </c>
      <c r="AM101" s="38" t="s">
        <v>293</v>
      </c>
      <c r="AN101" s="38" t="s">
        <v>296</v>
      </c>
      <c r="AO101" s="38" t="s">
        <v>356</v>
      </c>
      <c r="AP101" s="38" t="s">
        <v>293</v>
      </c>
      <c r="AQ101" s="38" t="s">
        <v>292</v>
      </c>
      <c r="AR101" s="38" t="s">
        <v>293</v>
      </c>
      <c r="AS101" s="38" t="s">
        <v>293</v>
      </c>
      <c r="AT101" s="38" t="s">
        <v>364</v>
      </c>
      <c r="AU101" s="38" t="str">
        <f t="shared" si="4"/>
        <v>car_stuck</v>
      </c>
      <c r="AV101" s="38" t="s">
        <v>378</v>
      </c>
    </row>
    <row r="102" spans="1:48" x14ac:dyDescent="0.3">
      <c r="A102" t="s">
        <v>45</v>
      </c>
      <c r="B102" t="s">
        <v>72</v>
      </c>
      <c r="C102" t="s">
        <v>15</v>
      </c>
      <c r="D102" t="s">
        <v>12</v>
      </c>
      <c r="E102" t="str">
        <f t="shared" si="3"/>
        <v>P_H7P-KYY-S_0M4</v>
      </c>
      <c r="F102" t="b">
        <v>1</v>
      </c>
      <c r="G102">
        <v>40.4</v>
      </c>
      <c r="H102">
        <v>0</v>
      </c>
      <c r="I102">
        <v>13046</v>
      </c>
      <c r="J102" s="61" t="s">
        <v>13</v>
      </c>
      <c r="K102" s="16" t="s">
        <v>272</v>
      </c>
      <c r="L102" s="16">
        <v>3</v>
      </c>
      <c r="M102" s="16" t="s">
        <v>277</v>
      </c>
      <c r="N102" s="16" t="s">
        <v>335</v>
      </c>
      <c r="O102" s="15" t="s">
        <v>282</v>
      </c>
      <c r="P102" t="s">
        <v>371</v>
      </c>
      <c r="Q102" t="s">
        <v>371</v>
      </c>
      <c r="R102" s="17" t="s">
        <v>371</v>
      </c>
      <c r="S102" s="16" t="s">
        <v>341</v>
      </c>
      <c r="T102" s="16" t="s">
        <v>340</v>
      </c>
      <c r="U102" s="15" t="s">
        <v>343</v>
      </c>
      <c r="V102" s="15" t="s">
        <v>344</v>
      </c>
      <c r="W102" s="17"/>
      <c r="X102" t="s">
        <v>349</v>
      </c>
      <c r="Y102" t="s">
        <v>349</v>
      </c>
      <c r="Z102" t="s">
        <v>293</v>
      </c>
      <c r="AA102" t="s">
        <v>353</v>
      </c>
      <c r="AB102" t="s">
        <v>296</v>
      </c>
      <c r="AC102" t="s">
        <v>301</v>
      </c>
      <c r="AD102" t="s">
        <v>292</v>
      </c>
      <c r="AE102" t="s">
        <v>293</v>
      </c>
      <c r="AF102" t="s">
        <v>292</v>
      </c>
      <c r="AG102" t="s">
        <v>292</v>
      </c>
      <c r="AH102" t="s">
        <v>293</v>
      </c>
      <c r="AI102" t="s">
        <v>302</v>
      </c>
      <c r="AJ102" t="s">
        <v>302</v>
      </c>
      <c r="AK102" t="s">
        <v>359</v>
      </c>
      <c r="AL102" t="s">
        <v>293</v>
      </c>
      <c r="AM102" t="s">
        <v>293</v>
      </c>
      <c r="AN102" t="s">
        <v>297</v>
      </c>
      <c r="AO102" t="s">
        <v>298</v>
      </c>
      <c r="AP102" t="s">
        <v>293</v>
      </c>
      <c r="AQ102" t="s">
        <v>292</v>
      </c>
      <c r="AR102" t="s">
        <v>293</v>
      </c>
      <c r="AS102" t="s">
        <v>293</v>
      </c>
      <c r="AT102" t="s">
        <v>364</v>
      </c>
      <c r="AU102" t="str">
        <f t="shared" si="4"/>
        <v>no_fail</v>
      </c>
    </row>
    <row r="103" spans="1:48" x14ac:dyDescent="0.3">
      <c r="A103" t="s">
        <v>45</v>
      </c>
      <c r="B103" t="s">
        <v>72</v>
      </c>
      <c r="C103" t="s">
        <v>14</v>
      </c>
      <c r="D103" t="s">
        <v>12</v>
      </c>
      <c r="E103" t="str">
        <f t="shared" si="3"/>
        <v>P_H7P-KYY-S_1B0</v>
      </c>
      <c r="F103" t="b">
        <v>1</v>
      </c>
      <c r="G103">
        <v>98.3</v>
      </c>
      <c r="H103">
        <v>0</v>
      </c>
      <c r="I103">
        <v>11224</v>
      </c>
      <c r="J103" s="61" t="s">
        <v>13</v>
      </c>
      <c r="K103" s="16" t="s">
        <v>272</v>
      </c>
      <c r="L103" s="16">
        <v>2</v>
      </c>
      <c r="M103" s="16" t="s">
        <v>277</v>
      </c>
      <c r="N103" s="16" t="s">
        <v>335</v>
      </c>
      <c r="O103" s="15" t="s">
        <v>282</v>
      </c>
      <c r="P103" t="s">
        <v>371</v>
      </c>
      <c r="Q103" t="s">
        <v>371</v>
      </c>
      <c r="R103" s="17" t="s">
        <v>371</v>
      </c>
      <c r="S103" s="16" t="s">
        <v>341</v>
      </c>
      <c r="T103" s="16" t="s">
        <v>340</v>
      </c>
      <c r="U103" s="15" t="s">
        <v>340</v>
      </c>
      <c r="V103" s="15" t="s">
        <v>344</v>
      </c>
      <c r="W103" s="17"/>
      <c r="X103" t="s">
        <v>349</v>
      </c>
      <c r="Y103" t="s">
        <v>349</v>
      </c>
      <c r="Z103" t="s">
        <v>293</v>
      </c>
      <c r="AA103" t="s">
        <v>354</v>
      </c>
      <c r="AB103" t="s">
        <v>354</v>
      </c>
      <c r="AC103" t="s">
        <v>301</v>
      </c>
      <c r="AD103" t="s">
        <v>292</v>
      </c>
      <c r="AE103" t="s">
        <v>292</v>
      </c>
      <c r="AF103" t="s">
        <v>292</v>
      </c>
      <c r="AG103" t="s">
        <v>293</v>
      </c>
      <c r="AH103" t="s">
        <v>293</v>
      </c>
      <c r="AI103" t="s">
        <v>302</v>
      </c>
      <c r="AJ103" t="s">
        <v>302</v>
      </c>
      <c r="AK103" t="s">
        <v>357</v>
      </c>
      <c r="AL103" t="s">
        <v>293</v>
      </c>
      <c r="AM103" t="s">
        <v>293</v>
      </c>
      <c r="AN103" t="s">
        <v>297</v>
      </c>
      <c r="AO103" t="s">
        <v>298</v>
      </c>
      <c r="AP103" t="s">
        <v>293</v>
      </c>
      <c r="AQ103" t="s">
        <v>292</v>
      </c>
      <c r="AR103" t="s">
        <v>293</v>
      </c>
      <c r="AS103" t="s">
        <v>293</v>
      </c>
      <c r="AT103" t="s">
        <v>364</v>
      </c>
      <c r="AU103" t="str">
        <f t="shared" si="4"/>
        <v>no_fail</v>
      </c>
    </row>
    <row r="104" spans="1:48" x14ac:dyDescent="0.3">
      <c r="A104" t="s">
        <v>45</v>
      </c>
      <c r="B104" t="s">
        <v>72</v>
      </c>
      <c r="C104" t="s">
        <v>11</v>
      </c>
      <c r="D104" t="s">
        <v>12</v>
      </c>
      <c r="E104" t="str">
        <f t="shared" si="3"/>
        <v>P_H7P-KYY-S_1Q4</v>
      </c>
      <c r="F104" t="b">
        <v>1</v>
      </c>
      <c r="G104">
        <v>100</v>
      </c>
      <c r="H104">
        <v>1</v>
      </c>
      <c r="I104">
        <v>10629</v>
      </c>
      <c r="J104" s="61" t="s">
        <v>18</v>
      </c>
      <c r="K104" s="16" t="s">
        <v>272</v>
      </c>
      <c r="L104" s="16">
        <v>2</v>
      </c>
      <c r="M104" s="16" t="s">
        <v>277</v>
      </c>
      <c r="N104" s="16" t="s">
        <v>335</v>
      </c>
      <c r="O104" s="15" t="s">
        <v>282</v>
      </c>
      <c r="P104" t="s">
        <v>371</v>
      </c>
      <c r="Q104" t="s">
        <v>371</v>
      </c>
      <c r="R104" s="17" t="s">
        <v>371</v>
      </c>
      <c r="S104" s="16" t="s">
        <v>341</v>
      </c>
      <c r="T104" s="16" t="s">
        <v>340</v>
      </c>
      <c r="U104" s="15" t="s">
        <v>340</v>
      </c>
      <c r="V104" s="15" t="s">
        <v>344</v>
      </c>
      <c r="W104" s="17"/>
      <c r="X104" t="s">
        <v>349</v>
      </c>
      <c r="Y104" t="s">
        <v>349</v>
      </c>
      <c r="Z104" t="s">
        <v>293</v>
      </c>
      <c r="AA104" t="s">
        <v>354</v>
      </c>
      <c r="AB104" t="s">
        <v>354</v>
      </c>
      <c r="AC104" t="s">
        <v>301</v>
      </c>
      <c r="AD104" t="s">
        <v>292</v>
      </c>
      <c r="AE104" t="s">
        <v>293</v>
      </c>
      <c r="AF104" t="s">
        <v>292</v>
      </c>
      <c r="AG104" t="s">
        <v>293</v>
      </c>
      <c r="AH104" t="s">
        <v>293</v>
      </c>
      <c r="AI104" t="s">
        <v>302</v>
      </c>
      <c r="AJ104" t="s">
        <v>302</v>
      </c>
      <c r="AK104" t="s">
        <v>357</v>
      </c>
      <c r="AL104" t="s">
        <v>293</v>
      </c>
      <c r="AM104" t="s">
        <v>293</v>
      </c>
      <c r="AN104" t="s">
        <v>297</v>
      </c>
      <c r="AO104" t="s">
        <v>298</v>
      </c>
      <c r="AP104" t="s">
        <v>293</v>
      </c>
      <c r="AQ104" t="s">
        <v>292</v>
      </c>
      <c r="AR104" t="s">
        <v>293</v>
      </c>
      <c r="AS104" t="s">
        <v>293</v>
      </c>
      <c r="AT104" t="s">
        <v>364</v>
      </c>
      <c r="AU104" t="str">
        <f t="shared" si="4"/>
        <v>break</v>
      </c>
    </row>
    <row r="105" spans="1:48" x14ac:dyDescent="0.3">
      <c r="A105" t="s">
        <v>45</v>
      </c>
      <c r="B105" t="s">
        <v>72</v>
      </c>
      <c r="C105" t="s">
        <v>21</v>
      </c>
      <c r="D105" t="s">
        <v>12</v>
      </c>
      <c r="E105" t="str">
        <f t="shared" si="3"/>
        <v>P_H7P-KYY-S_3X6</v>
      </c>
      <c r="F105" t="b">
        <v>1</v>
      </c>
      <c r="G105">
        <v>100</v>
      </c>
      <c r="H105">
        <v>1</v>
      </c>
      <c r="I105">
        <v>10997</v>
      </c>
      <c r="J105" s="61" t="s">
        <v>18</v>
      </c>
      <c r="K105" s="16" t="s">
        <v>272</v>
      </c>
      <c r="L105" s="16">
        <v>2</v>
      </c>
      <c r="M105" s="16" t="s">
        <v>277</v>
      </c>
      <c r="N105" s="16" t="s">
        <v>335</v>
      </c>
      <c r="O105" s="15" t="s">
        <v>282</v>
      </c>
      <c r="P105" t="s">
        <v>371</v>
      </c>
      <c r="Q105" t="s">
        <v>371</v>
      </c>
      <c r="R105" s="17" t="s">
        <v>371</v>
      </c>
      <c r="S105" s="16" t="s">
        <v>341</v>
      </c>
      <c r="T105" s="16" t="s">
        <v>340</v>
      </c>
      <c r="U105" s="15" t="s">
        <v>340</v>
      </c>
      <c r="V105" s="15" t="s">
        <v>344</v>
      </c>
      <c r="W105" s="17"/>
      <c r="X105" t="s">
        <v>349</v>
      </c>
      <c r="Y105" t="s">
        <v>349</v>
      </c>
      <c r="Z105" t="s">
        <v>293</v>
      </c>
      <c r="AA105" t="s">
        <v>354</v>
      </c>
      <c r="AB105" t="s">
        <v>354</v>
      </c>
      <c r="AC105" t="s">
        <v>299</v>
      </c>
      <c r="AD105" t="s">
        <v>293</v>
      </c>
      <c r="AE105" t="s">
        <v>292</v>
      </c>
      <c r="AF105" t="s">
        <v>292</v>
      </c>
      <c r="AG105" t="s">
        <v>293</v>
      </c>
      <c r="AH105" t="s">
        <v>293</v>
      </c>
      <c r="AI105" t="s">
        <v>302</v>
      </c>
      <c r="AJ105" t="s">
        <v>302</v>
      </c>
      <c r="AK105" t="s">
        <v>357</v>
      </c>
      <c r="AL105" t="s">
        <v>293</v>
      </c>
      <c r="AM105" t="s">
        <v>293</v>
      </c>
      <c r="AN105" t="s">
        <v>297</v>
      </c>
      <c r="AO105" t="s">
        <v>356</v>
      </c>
      <c r="AP105" t="s">
        <v>293</v>
      </c>
      <c r="AQ105" t="s">
        <v>292</v>
      </c>
      <c r="AR105" t="s">
        <v>293</v>
      </c>
      <c r="AS105" t="s">
        <v>293</v>
      </c>
      <c r="AT105" t="s">
        <v>364</v>
      </c>
      <c r="AU105" t="str">
        <f t="shared" si="4"/>
        <v>break</v>
      </c>
    </row>
    <row r="106" spans="1:48" x14ac:dyDescent="0.3">
      <c r="A106" t="s">
        <v>45</v>
      </c>
      <c r="B106" t="s">
        <v>72</v>
      </c>
      <c r="C106" t="s">
        <v>19</v>
      </c>
      <c r="D106" t="s">
        <v>12</v>
      </c>
      <c r="E106" t="str">
        <f t="shared" si="3"/>
        <v>P_H7P-KYY-S_4U3</v>
      </c>
      <c r="F106" t="b">
        <v>1</v>
      </c>
      <c r="G106">
        <v>75.8</v>
      </c>
      <c r="H106">
        <v>0</v>
      </c>
      <c r="I106">
        <v>10738</v>
      </c>
      <c r="J106" s="61" t="s">
        <v>13</v>
      </c>
      <c r="K106" s="16" t="s">
        <v>273</v>
      </c>
      <c r="L106" s="16">
        <v>2</v>
      </c>
      <c r="M106" s="16" t="s">
        <v>333</v>
      </c>
      <c r="N106" s="16" t="s">
        <v>278</v>
      </c>
      <c r="O106" s="15" t="s">
        <v>273</v>
      </c>
      <c r="P106" t="s">
        <v>371</v>
      </c>
      <c r="Q106" t="s">
        <v>371</v>
      </c>
      <c r="R106" s="17" t="s">
        <v>371</v>
      </c>
      <c r="S106" s="16" t="s">
        <v>341</v>
      </c>
      <c r="T106" s="16" t="s">
        <v>340</v>
      </c>
      <c r="U106" s="15" t="s">
        <v>343</v>
      </c>
      <c r="V106" s="15" t="s">
        <v>344</v>
      </c>
      <c r="W106" s="17"/>
      <c r="X106" t="s">
        <v>349</v>
      </c>
      <c r="Y106" t="s">
        <v>349</v>
      </c>
      <c r="Z106" t="s">
        <v>293</v>
      </c>
      <c r="AA106" t="s">
        <v>353</v>
      </c>
      <c r="AB106" t="s">
        <v>296</v>
      </c>
      <c r="AC106" t="s">
        <v>301</v>
      </c>
      <c r="AD106" t="s">
        <v>292</v>
      </c>
      <c r="AE106" t="s">
        <v>293</v>
      </c>
      <c r="AF106" t="s">
        <v>292</v>
      </c>
      <c r="AG106" t="s">
        <v>292</v>
      </c>
      <c r="AH106" t="s">
        <v>293</v>
      </c>
      <c r="AI106" t="s">
        <v>302</v>
      </c>
      <c r="AJ106" t="s">
        <v>357</v>
      </c>
      <c r="AK106" t="s">
        <v>359</v>
      </c>
      <c r="AL106" t="s">
        <v>293</v>
      </c>
      <c r="AM106" t="s">
        <v>293</v>
      </c>
      <c r="AN106" t="s">
        <v>297</v>
      </c>
      <c r="AO106" t="s">
        <v>298</v>
      </c>
      <c r="AP106" t="s">
        <v>293</v>
      </c>
      <c r="AQ106" t="s">
        <v>292</v>
      </c>
      <c r="AR106" t="s">
        <v>293</v>
      </c>
      <c r="AS106" t="s">
        <v>293</v>
      </c>
      <c r="AT106" t="s">
        <v>364</v>
      </c>
      <c r="AU106" t="str">
        <f t="shared" si="4"/>
        <v>no_fail</v>
      </c>
    </row>
    <row r="107" spans="1:48" x14ac:dyDescent="0.3">
      <c r="A107" t="s">
        <v>45</v>
      </c>
      <c r="B107" t="s">
        <v>72</v>
      </c>
      <c r="C107" t="s">
        <v>17</v>
      </c>
      <c r="D107" t="s">
        <v>12</v>
      </c>
      <c r="E107" t="str">
        <f t="shared" si="3"/>
        <v>P_H7P-KYY-S_6B5</v>
      </c>
      <c r="F107" t="b">
        <v>1</v>
      </c>
      <c r="G107">
        <v>99.9</v>
      </c>
      <c r="H107">
        <v>0</v>
      </c>
      <c r="I107">
        <v>9469</v>
      </c>
      <c r="J107" s="61" t="s">
        <v>13</v>
      </c>
      <c r="K107" s="16" t="s">
        <v>273</v>
      </c>
      <c r="L107" s="16">
        <v>2</v>
      </c>
      <c r="M107" s="16" t="s">
        <v>333</v>
      </c>
      <c r="N107" s="16" t="s">
        <v>278</v>
      </c>
      <c r="O107" s="15" t="s">
        <v>273</v>
      </c>
      <c r="P107" t="s">
        <v>371</v>
      </c>
      <c r="Q107" t="s">
        <v>371</v>
      </c>
      <c r="R107" s="17" t="s">
        <v>371</v>
      </c>
      <c r="S107" s="16" t="s">
        <v>341</v>
      </c>
      <c r="T107" s="16" t="s">
        <v>340</v>
      </c>
      <c r="U107" s="15" t="s">
        <v>343</v>
      </c>
      <c r="V107" s="15" t="s">
        <v>344</v>
      </c>
      <c r="W107" s="17"/>
      <c r="X107" t="s">
        <v>349</v>
      </c>
      <c r="Y107" t="s">
        <v>349</v>
      </c>
      <c r="Z107" t="s">
        <v>293</v>
      </c>
      <c r="AA107" t="s">
        <v>353</v>
      </c>
      <c r="AB107" t="s">
        <v>296</v>
      </c>
      <c r="AC107" t="s">
        <v>301</v>
      </c>
      <c r="AD107" t="s">
        <v>292</v>
      </c>
      <c r="AE107" t="s">
        <v>293</v>
      </c>
      <c r="AF107" t="s">
        <v>292</v>
      </c>
      <c r="AG107" t="s">
        <v>292</v>
      </c>
      <c r="AH107" t="s">
        <v>293</v>
      </c>
      <c r="AI107" t="s">
        <v>302</v>
      </c>
      <c r="AJ107" t="s">
        <v>357</v>
      </c>
      <c r="AK107" t="s">
        <v>359</v>
      </c>
      <c r="AL107" t="s">
        <v>293</v>
      </c>
      <c r="AM107" t="s">
        <v>293</v>
      </c>
      <c r="AN107" t="s">
        <v>297</v>
      </c>
      <c r="AO107" t="s">
        <v>298</v>
      </c>
      <c r="AP107" t="s">
        <v>293</v>
      </c>
      <c r="AQ107" t="s">
        <v>292</v>
      </c>
      <c r="AR107" t="s">
        <v>293</v>
      </c>
      <c r="AS107" t="s">
        <v>293</v>
      </c>
      <c r="AT107" t="s">
        <v>364</v>
      </c>
      <c r="AU107" t="str">
        <f t="shared" si="4"/>
        <v>no_fail</v>
      </c>
    </row>
    <row r="108" spans="1:48" x14ac:dyDescent="0.3">
      <c r="A108" t="s">
        <v>45</v>
      </c>
      <c r="B108" t="s">
        <v>72</v>
      </c>
      <c r="C108" t="s">
        <v>16</v>
      </c>
      <c r="D108" t="s">
        <v>12</v>
      </c>
      <c r="E108" t="str">
        <f t="shared" si="3"/>
        <v>P_H7P-KYY-S_6U7</v>
      </c>
      <c r="F108" t="b">
        <v>1</v>
      </c>
      <c r="G108">
        <v>100</v>
      </c>
      <c r="H108">
        <v>1</v>
      </c>
      <c r="I108">
        <v>11463</v>
      </c>
      <c r="J108" s="61" t="s">
        <v>18</v>
      </c>
      <c r="K108" s="16" t="s">
        <v>272</v>
      </c>
      <c r="L108" s="16">
        <v>3</v>
      </c>
      <c r="M108" s="16" t="s">
        <v>277</v>
      </c>
      <c r="N108" s="16" t="s">
        <v>335</v>
      </c>
      <c r="O108" s="15" t="s">
        <v>282</v>
      </c>
      <c r="P108" t="s">
        <v>371</v>
      </c>
      <c r="Q108" t="s">
        <v>371</v>
      </c>
      <c r="R108" s="17" t="s">
        <v>371</v>
      </c>
      <c r="S108" s="16" t="s">
        <v>340</v>
      </c>
      <c r="T108" s="16" t="s">
        <v>342</v>
      </c>
      <c r="U108" s="15" t="s">
        <v>343</v>
      </c>
      <c r="V108" s="15" t="s">
        <v>291</v>
      </c>
      <c r="W108" s="17"/>
      <c r="X108" t="s">
        <v>349</v>
      </c>
      <c r="Y108" t="s">
        <v>349</v>
      </c>
      <c r="Z108" t="s">
        <v>293</v>
      </c>
      <c r="AA108" t="s">
        <v>353</v>
      </c>
      <c r="AB108" t="s">
        <v>296</v>
      </c>
      <c r="AC108" t="s">
        <v>300</v>
      </c>
      <c r="AD108" t="s">
        <v>292</v>
      </c>
      <c r="AE108" t="s">
        <v>292</v>
      </c>
      <c r="AF108" t="s">
        <v>292</v>
      </c>
      <c r="AG108" t="s">
        <v>292</v>
      </c>
      <c r="AH108" t="s">
        <v>293</v>
      </c>
      <c r="AI108" t="s">
        <v>302</v>
      </c>
      <c r="AJ108" t="s">
        <v>302</v>
      </c>
      <c r="AK108" t="s">
        <v>359</v>
      </c>
      <c r="AL108" t="s">
        <v>293</v>
      </c>
      <c r="AM108" t="s">
        <v>293</v>
      </c>
      <c r="AN108" t="s">
        <v>296</v>
      </c>
      <c r="AO108" t="s">
        <v>298</v>
      </c>
      <c r="AP108" t="s">
        <v>293</v>
      </c>
      <c r="AQ108" t="s">
        <v>292</v>
      </c>
      <c r="AR108" t="s">
        <v>293</v>
      </c>
      <c r="AS108" t="s">
        <v>293</v>
      </c>
      <c r="AT108" t="s">
        <v>364</v>
      </c>
      <c r="AU108" t="str">
        <f t="shared" si="4"/>
        <v>break</v>
      </c>
    </row>
    <row r="109" spans="1:48" s="38" customFormat="1" x14ac:dyDescent="0.3">
      <c r="A109" t="s">
        <v>45</v>
      </c>
      <c r="B109" t="s">
        <v>72</v>
      </c>
      <c r="C109" t="s">
        <v>20</v>
      </c>
      <c r="D109" t="s">
        <v>12</v>
      </c>
      <c r="E109" t="str">
        <f t="shared" si="3"/>
        <v>P_H7P-KYY-S_7W0</v>
      </c>
      <c r="F109" t="b">
        <v>1</v>
      </c>
      <c r="G109">
        <v>47</v>
      </c>
      <c r="H109">
        <v>0</v>
      </c>
      <c r="I109">
        <v>13771</v>
      </c>
      <c r="J109" s="61" t="s">
        <v>13</v>
      </c>
      <c r="K109" s="16" t="s">
        <v>272</v>
      </c>
      <c r="L109" s="16">
        <v>3</v>
      </c>
      <c r="M109" s="16" t="s">
        <v>277</v>
      </c>
      <c r="N109" s="16" t="s">
        <v>335</v>
      </c>
      <c r="O109" s="15" t="s">
        <v>282</v>
      </c>
      <c r="P109" t="s">
        <v>371</v>
      </c>
      <c r="Q109" t="s">
        <v>371</v>
      </c>
      <c r="R109" s="17" t="s">
        <v>371</v>
      </c>
      <c r="S109" s="16" t="s">
        <v>341</v>
      </c>
      <c r="T109" s="16" t="s">
        <v>340</v>
      </c>
      <c r="U109" s="15" t="s">
        <v>343</v>
      </c>
      <c r="V109" s="15" t="s">
        <v>345</v>
      </c>
      <c r="W109" s="17"/>
      <c r="X109" t="s">
        <v>349</v>
      </c>
      <c r="Y109" t="s">
        <v>349</v>
      </c>
      <c r="Z109" t="s">
        <v>293</v>
      </c>
      <c r="AA109" t="s">
        <v>353</v>
      </c>
      <c r="AB109" t="s">
        <v>296</v>
      </c>
      <c r="AC109" t="s">
        <v>301</v>
      </c>
      <c r="AD109" t="s">
        <v>292</v>
      </c>
      <c r="AE109" t="s">
        <v>293</v>
      </c>
      <c r="AF109" t="s">
        <v>292</v>
      </c>
      <c r="AG109" t="s">
        <v>292</v>
      </c>
      <c r="AH109" t="s">
        <v>293</v>
      </c>
      <c r="AI109" t="s">
        <v>302</v>
      </c>
      <c r="AJ109" t="s">
        <v>302</v>
      </c>
      <c r="AK109" t="s">
        <v>359</v>
      </c>
      <c r="AL109" t="s">
        <v>293</v>
      </c>
      <c r="AM109" t="s">
        <v>293</v>
      </c>
      <c r="AN109" t="s">
        <v>297</v>
      </c>
      <c r="AO109" t="s">
        <v>298</v>
      </c>
      <c r="AP109" t="s">
        <v>293</v>
      </c>
      <c r="AQ109" t="s">
        <v>292</v>
      </c>
      <c r="AR109" t="s">
        <v>362</v>
      </c>
      <c r="AS109" t="s">
        <v>293</v>
      </c>
      <c r="AT109" t="s">
        <v>364</v>
      </c>
      <c r="AU109" t="str">
        <f t="shared" si="4"/>
        <v>no_fail</v>
      </c>
      <c r="AV109"/>
    </row>
    <row r="110" spans="1:48" s="38" customFormat="1" x14ac:dyDescent="0.3">
      <c r="A110" t="s">
        <v>45</v>
      </c>
      <c r="B110" t="s">
        <v>72</v>
      </c>
      <c r="C110" t="s">
        <v>22</v>
      </c>
      <c r="D110" t="s">
        <v>12</v>
      </c>
      <c r="E110" t="str">
        <f t="shared" si="3"/>
        <v>P_H7P-KYY-S_9B4</v>
      </c>
      <c r="F110" t="b">
        <v>1</v>
      </c>
      <c r="G110">
        <v>94.9</v>
      </c>
      <c r="H110">
        <v>0</v>
      </c>
      <c r="I110">
        <v>11422</v>
      </c>
      <c r="J110" s="61" t="s">
        <v>13</v>
      </c>
      <c r="K110" s="16" t="s">
        <v>272</v>
      </c>
      <c r="L110" s="16">
        <v>2</v>
      </c>
      <c r="M110" s="16" t="s">
        <v>277</v>
      </c>
      <c r="N110" s="16" t="s">
        <v>335</v>
      </c>
      <c r="O110" s="15" t="s">
        <v>282</v>
      </c>
      <c r="P110" t="s">
        <v>371</v>
      </c>
      <c r="Q110" t="s">
        <v>371</v>
      </c>
      <c r="R110" s="17" t="s">
        <v>371</v>
      </c>
      <c r="S110" s="16" t="s">
        <v>341</v>
      </c>
      <c r="T110" s="16" t="s">
        <v>340</v>
      </c>
      <c r="U110" s="15" t="s">
        <v>340</v>
      </c>
      <c r="V110" s="15" t="s">
        <v>345</v>
      </c>
      <c r="W110" s="17"/>
      <c r="X110" t="s">
        <v>349</v>
      </c>
      <c r="Y110" t="s">
        <v>349</v>
      </c>
      <c r="Z110" t="s">
        <v>293</v>
      </c>
      <c r="AA110" t="s">
        <v>354</v>
      </c>
      <c r="AB110" t="s">
        <v>354</v>
      </c>
      <c r="AC110" t="s">
        <v>300</v>
      </c>
      <c r="AD110" t="s">
        <v>293</v>
      </c>
      <c r="AE110" t="s">
        <v>292</v>
      </c>
      <c r="AF110" t="s">
        <v>292</v>
      </c>
      <c r="AG110" t="s">
        <v>293</v>
      </c>
      <c r="AH110" t="s">
        <v>293</v>
      </c>
      <c r="AI110" t="s">
        <v>302</v>
      </c>
      <c r="AJ110" t="s">
        <v>302</v>
      </c>
      <c r="AK110" t="s">
        <v>359</v>
      </c>
      <c r="AL110" t="s">
        <v>293</v>
      </c>
      <c r="AM110" t="s">
        <v>293</v>
      </c>
      <c r="AN110" t="s">
        <v>297</v>
      </c>
      <c r="AO110" t="s">
        <v>356</v>
      </c>
      <c r="AP110" t="s">
        <v>293</v>
      </c>
      <c r="AQ110" t="s">
        <v>292</v>
      </c>
      <c r="AR110" t="s">
        <v>293</v>
      </c>
      <c r="AS110" t="s">
        <v>293</v>
      </c>
      <c r="AT110" t="s">
        <v>364</v>
      </c>
      <c r="AU110" t="str">
        <f t="shared" si="4"/>
        <v>no_fail</v>
      </c>
      <c r="AV110"/>
    </row>
    <row r="111" spans="1:48" x14ac:dyDescent="0.3">
      <c r="A111" t="s">
        <v>45</v>
      </c>
      <c r="B111" t="s">
        <v>72</v>
      </c>
      <c r="C111" t="s">
        <v>24</v>
      </c>
      <c r="D111" t="s">
        <v>29</v>
      </c>
      <c r="E111" t="str">
        <f t="shared" si="3"/>
        <v>P_H7P-ZSB-S_1U0</v>
      </c>
      <c r="F111" t="b">
        <v>1</v>
      </c>
      <c r="G111">
        <v>100</v>
      </c>
      <c r="H111">
        <v>1</v>
      </c>
      <c r="I111">
        <v>16213</v>
      </c>
      <c r="J111" s="61" t="s">
        <v>18</v>
      </c>
      <c r="K111" s="16" t="s">
        <v>272</v>
      </c>
      <c r="L111" s="16">
        <v>2</v>
      </c>
      <c r="M111" s="16" t="s">
        <v>333</v>
      </c>
      <c r="N111" s="16" t="s">
        <v>278</v>
      </c>
      <c r="O111" s="15" t="s">
        <v>273</v>
      </c>
      <c r="P111" t="s">
        <v>371</v>
      </c>
      <c r="Q111" t="s">
        <v>371</v>
      </c>
      <c r="R111" s="17" t="s">
        <v>371</v>
      </c>
      <c r="S111" s="16" t="s">
        <v>341</v>
      </c>
      <c r="T111" s="16" t="s">
        <v>340</v>
      </c>
      <c r="U111" s="15" t="s">
        <v>343</v>
      </c>
      <c r="V111" s="15" t="s">
        <v>344</v>
      </c>
      <c r="W111" s="17"/>
      <c r="X111" t="s">
        <v>349</v>
      </c>
      <c r="Y111" t="s">
        <v>349</v>
      </c>
      <c r="Z111" t="s">
        <v>293</v>
      </c>
      <c r="AA111" t="s">
        <v>353</v>
      </c>
      <c r="AB111" t="s">
        <v>296</v>
      </c>
      <c r="AC111" t="s">
        <v>301</v>
      </c>
      <c r="AD111" t="s">
        <v>293</v>
      </c>
      <c r="AE111" t="s">
        <v>292</v>
      </c>
      <c r="AF111" t="s">
        <v>292</v>
      </c>
      <c r="AG111" t="s">
        <v>292</v>
      </c>
      <c r="AH111" t="s">
        <v>293</v>
      </c>
      <c r="AI111" t="s">
        <v>302</v>
      </c>
      <c r="AJ111" t="s">
        <v>357</v>
      </c>
      <c r="AK111" t="s">
        <v>359</v>
      </c>
      <c r="AL111" t="s">
        <v>293</v>
      </c>
      <c r="AM111" t="s">
        <v>293</v>
      </c>
      <c r="AN111" t="s">
        <v>297</v>
      </c>
      <c r="AO111" t="s">
        <v>356</v>
      </c>
      <c r="AP111" t="s">
        <v>293</v>
      </c>
      <c r="AQ111" t="s">
        <v>292</v>
      </c>
      <c r="AR111" t="s">
        <v>293</v>
      </c>
      <c r="AS111" t="s">
        <v>293</v>
      </c>
      <c r="AT111" t="s">
        <v>364</v>
      </c>
      <c r="AU111" t="str">
        <f t="shared" si="4"/>
        <v>break</v>
      </c>
    </row>
    <row r="112" spans="1:48" x14ac:dyDescent="0.3">
      <c r="A112" t="s">
        <v>45</v>
      </c>
      <c r="B112" t="s">
        <v>72</v>
      </c>
      <c r="C112" t="s">
        <v>37</v>
      </c>
      <c r="D112" t="s">
        <v>29</v>
      </c>
      <c r="E112" t="str">
        <f t="shared" si="3"/>
        <v>P_H7P-ZSB-S_3A8</v>
      </c>
      <c r="F112" t="b">
        <v>1</v>
      </c>
      <c r="G112">
        <v>96.6</v>
      </c>
      <c r="H112">
        <v>0</v>
      </c>
      <c r="I112">
        <v>12440</v>
      </c>
      <c r="J112" s="61" t="s">
        <v>13</v>
      </c>
      <c r="K112" s="16" t="s">
        <v>272</v>
      </c>
      <c r="L112" s="16">
        <v>3</v>
      </c>
      <c r="M112" s="16" t="s">
        <v>277</v>
      </c>
      <c r="N112" s="16" t="s">
        <v>335</v>
      </c>
      <c r="O112" s="15" t="s">
        <v>282</v>
      </c>
      <c r="P112" t="s">
        <v>371</v>
      </c>
      <c r="Q112" t="s">
        <v>371</v>
      </c>
      <c r="R112" s="17" t="s">
        <v>371</v>
      </c>
      <c r="S112" s="16" t="s">
        <v>341</v>
      </c>
      <c r="T112" s="16" t="s">
        <v>340</v>
      </c>
      <c r="U112" s="15" t="s">
        <v>343</v>
      </c>
      <c r="V112" s="15" t="s">
        <v>345</v>
      </c>
      <c r="W112" s="17"/>
      <c r="X112" t="s">
        <v>349</v>
      </c>
      <c r="Y112" t="s">
        <v>349</v>
      </c>
      <c r="Z112" t="s">
        <v>293</v>
      </c>
      <c r="AA112" t="s">
        <v>353</v>
      </c>
      <c r="AB112" t="s">
        <v>296</v>
      </c>
      <c r="AC112" t="s">
        <v>300</v>
      </c>
      <c r="AD112" t="s">
        <v>292</v>
      </c>
      <c r="AE112" t="s">
        <v>292</v>
      </c>
      <c r="AF112" t="s">
        <v>292</v>
      </c>
      <c r="AG112" t="s">
        <v>292</v>
      </c>
      <c r="AH112" t="s">
        <v>293</v>
      </c>
      <c r="AI112" t="s">
        <v>302</v>
      </c>
      <c r="AJ112" t="s">
        <v>302</v>
      </c>
      <c r="AK112" t="s">
        <v>359</v>
      </c>
      <c r="AL112" t="s">
        <v>293</v>
      </c>
      <c r="AM112" t="s">
        <v>293</v>
      </c>
      <c r="AN112" t="s">
        <v>297</v>
      </c>
      <c r="AO112" t="s">
        <v>298</v>
      </c>
      <c r="AP112" t="s">
        <v>293</v>
      </c>
      <c r="AQ112" t="s">
        <v>292</v>
      </c>
      <c r="AR112" t="s">
        <v>293</v>
      </c>
      <c r="AS112" t="s">
        <v>293</v>
      </c>
      <c r="AT112" t="s">
        <v>364</v>
      </c>
      <c r="AU112" t="str">
        <f t="shared" si="4"/>
        <v>no_fail</v>
      </c>
    </row>
    <row r="113" spans="1:48" x14ac:dyDescent="0.3">
      <c r="A113" t="s">
        <v>45</v>
      </c>
      <c r="B113" t="s">
        <v>72</v>
      </c>
      <c r="C113" t="s">
        <v>32</v>
      </c>
      <c r="D113" t="s">
        <v>29</v>
      </c>
      <c r="E113" t="str">
        <f t="shared" si="3"/>
        <v>P_H7P-ZSB-S_3B9</v>
      </c>
      <c r="F113" t="b">
        <v>1</v>
      </c>
      <c r="G113">
        <v>100</v>
      </c>
      <c r="H113">
        <v>1</v>
      </c>
      <c r="I113">
        <v>21750</v>
      </c>
      <c r="J113" s="61" t="s">
        <v>18</v>
      </c>
      <c r="K113" s="16" t="s">
        <v>272</v>
      </c>
      <c r="L113" s="16">
        <v>3</v>
      </c>
      <c r="M113" s="16" t="s">
        <v>277</v>
      </c>
      <c r="N113" s="16" t="s">
        <v>335</v>
      </c>
      <c r="O113" s="15" t="s">
        <v>281</v>
      </c>
      <c r="P113" t="s">
        <v>371</v>
      </c>
      <c r="Q113" t="s">
        <v>371</v>
      </c>
      <c r="R113" s="17" t="s">
        <v>371</v>
      </c>
      <c r="S113" s="16" t="s">
        <v>341</v>
      </c>
      <c r="T113" s="16" t="s">
        <v>340</v>
      </c>
      <c r="U113" s="15" t="s">
        <v>343</v>
      </c>
      <c r="V113" s="15" t="s">
        <v>344</v>
      </c>
      <c r="W113" s="17" t="s">
        <v>291</v>
      </c>
      <c r="X113" t="s">
        <v>349</v>
      </c>
      <c r="Y113" t="s">
        <v>349</v>
      </c>
      <c r="Z113" t="s">
        <v>293</v>
      </c>
      <c r="AA113" t="s">
        <v>353</v>
      </c>
      <c r="AB113" t="s">
        <v>296</v>
      </c>
      <c r="AC113" t="s">
        <v>300</v>
      </c>
      <c r="AD113" t="s">
        <v>293</v>
      </c>
      <c r="AE113" t="s">
        <v>292</v>
      </c>
      <c r="AF113" t="s">
        <v>292</v>
      </c>
      <c r="AG113" t="s">
        <v>292</v>
      </c>
      <c r="AH113" t="s">
        <v>293</v>
      </c>
      <c r="AI113" t="s">
        <v>302</v>
      </c>
      <c r="AJ113" t="s">
        <v>302</v>
      </c>
      <c r="AK113" t="s">
        <v>359</v>
      </c>
      <c r="AL113" t="s">
        <v>293</v>
      </c>
      <c r="AM113" t="s">
        <v>293</v>
      </c>
      <c r="AN113" t="s">
        <v>297</v>
      </c>
      <c r="AO113" t="s">
        <v>356</v>
      </c>
      <c r="AP113" t="s">
        <v>293</v>
      </c>
      <c r="AQ113" t="s">
        <v>292</v>
      </c>
      <c r="AR113" t="s">
        <v>363</v>
      </c>
      <c r="AS113" t="s">
        <v>293</v>
      </c>
      <c r="AT113" t="s">
        <v>364</v>
      </c>
      <c r="AU113" t="str">
        <f t="shared" si="4"/>
        <v>break</v>
      </c>
    </row>
    <row r="114" spans="1:48" x14ac:dyDescent="0.3">
      <c r="A114" t="s">
        <v>45</v>
      </c>
      <c r="B114" t="s">
        <v>72</v>
      </c>
      <c r="C114" t="s">
        <v>30</v>
      </c>
      <c r="D114" t="s">
        <v>29</v>
      </c>
      <c r="E114" t="str">
        <f t="shared" si="3"/>
        <v>P_H7P-ZSB-S_3X7</v>
      </c>
      <c r="F114" t="b">
        <v>1</v>
      </c>
      <c r="G114">
        <v>100</v>
      </c>
      <c r="H114">
        <v>1</v>
      </c>
      <c r="I114">
        <v>21629</v>
      </c>
      <c r="J114" s="61" t="s">
        <v>18</v>
      </c>
      <c r="K114" s="16" t="s">
        <v>272</v>
      </c>
      <c r="L114" s="16">
        <v>3</v>
      </c>
      <c r="M114" s="16" t="s">
        <v>277</v>
      </c>
      <c r="N114" s="16" t="s">
        <v>335</v>
      </c>
      <c r="O114" s="15" t="s">
        <v>281</v>
      </c>
      <c r="P114" t="s">
        <v>371</v>
      </c>
      <c r="Q114" t="s">
        <v>371</v>
      </c>
      <c r="R114" s="17" t="s">
        <v>371</v>
      </c>
      <c r="S114" s="16" t="s">
        <v>341</v>
      </c>
      <c r="T114" s="16" t="s">
        <v>340</v>
      </c>
      <c r="U114" s="15" t="s">
        <v>343</v>
      </c>
      <c r="V114" s="15" t="s">
        <v>344</v>
      </c>
      <c r="W114" s="17" t="s">
        <v>291</v>
      </c>
      <c r="X114" t="s">
        <v>349</v>
      </c>
      <c r="Y114" t="s">
        <v>349</v>
      </c>
      <c r="Z114" t="s">
        <v>293</v>
      </c>
      <c r="AA114" t="s">
        <v>353</v>
      </c>
      <c r="AB114" t="s">
        <v>296</v>
      </c>
      <c r="AC114" t="s">
        <v>300</v>
      </c>
      <c r="AD114" t="s">
        <v>293</v>
      </c>
      <c r="AE114" t="s">
        <v>292</v>
      </c>
      <c r="AF114" t="s">
        <v>292</v>
      </c>
      <c r="AG114" t="s">
        <v>292</v>
      </c>
      <c r="AH114" t="s">
        <v>293</v>
      </c>
      <c r="AI114" t="s">
        <v>302</v>
      </c>
      <c r="AJ114" t="s">
        <v>302</v>
      </c>
      <c r="AK114" t="s">
        <v>359</v>
      </c>
      <c r="AL114" t="s">
        <v>293</v>
      </c>
      <c r="AM114" t="s">
        <v>293</v>
      </c>
      <c r="AN114" t="s">
        <v>297</v>
      </c>
      <c r="AO114" t="s">
        <v>356</v>
      </c>
      <c r="AP114" t="s">
        <v>293</v>
      </c>
      <c r="AQ114" t="s">
        <v>292</v>
      </c>
      <c r="AR114" t="s">
        <v>363</v>
      </c>
      <c r="AS114" t="s">
        <v>293</v>
      </c>
      <c r="AT114" t="s">
        <v>364</v>
      </c>
      <c r="AU114" t="str">
        <f t="shared" si="4"/>
        <v>break</v>
      </c>
    </row>
    <row r="115" spans="1:48" x14ac:dyDescent="0.3">
      <c r="A115" t="s">
        <v>45</v>
      </c>
      <c r="B115" t="s">
        <v>72</v>
      </c>
      <c r="C115" t="s">
        <v>34</v>
      </c>
      <c r="D115" t="s">
        <v>29</v>
      </c>
      <c r="E115" t="str">
        <f t="shared" si="3"/>
        <v>P_H7P-ZSB-S_8A5</v>
      </c>
      <c r="F115" t="b">
        <v>1</v>
      </c>
      <c r="G115">
        <v>100</v>
      </c>
      <c r="H115">
        <v>1</v>
      </c>
      <c r="I115">
        <v>6657</v>
      </c>
      <c r="J115" s="61" t="s">
        <v>18</v>
      </c>
      <c r="K115" s="16" t="s">
        <v>272</v>
      </c>
      <c r="L115" s="16">
        <v>2</v>
      </c>
      <c r="M115" s="16" t="s">
        <v>277</v>
      </c>
      <c r="N115" s="16" t="s">
        <v>335</v>
      </c>
      <c r="O115" s="15" t="s">
        <v>282</v>
      </c>
      <c r="P115" t="s">
        <v>371</v>
      </c>
      <c r="Q115" t="s">
        <v>371</v>
      </c>
      <c r="R115" s="17" t="s">
        <v>371</v>
      </c>
      <c r="S115" s="16" t="s">
        <v>341</v>
      </c>
      <c r="T115" s="16" t="s">
        <v>340</v>
      </c>
      <c r="U115" s="15" t="s">
        <v>340</v>
      </c>
      <c r="V115" s="15" t="s">
        <v>345</v>
      </c>
      <c r="W115" s="17" t="s">
        <v>346</v>
      </c>
      <c r="X115" t="s">
        <v>349</v>
      </c>
      <c r="Y115" t="s">
        <v>349</v>
      </c>
      <c r="Z115" t="s">
        <v>293</v>
      </c>
      <c r="AA115" t="s">
        <v>354</v>
      </c>
      <c r="AB115" t="s">
        <v>354</v>
      </c>
      <c r="AC115" t="s">
        <v>300</v>
      </c>
      <c r="AD115" t="s">
        <v>292</v>
      </c>
      <c r="AE115" t="s">
        <v>293</v>
      </c>
      <c r="AF115" t="s">
        <v>292</v>
      </c>
      <c r="AG115" t="s">
        <v>293</v>
      </c>
      <c r="AH115" t="s">
        <v>293</v>
      </c>
      <c r="AI115" t="s">
        <v>302</v>
      </c>
      <c r="AJ115" t="s">
        <v>302</v>
      </c>
      <c r="AK115" t="s">
        <v>357</v>
      </c>
      <c r="AL115" t="s">
        <v>293</v>
      </c>
      <c r="AM115" t="s">
        <v>293</v>
      </c>
      <c r="AN115" t="s">
        <v>297</v>
      </c>
      <c r="AO115" t="s">
        <v>298</v>
      </c>
      <c r="AP115" t="s">
        <v>293</v>
      </c>
      <c r="AQ115" t="s">
        <v>292</v>
      </c>
      <c r="AR115" t="s">
        <v>293</v>
      </c>
      <c r="AS115" t="s">
        <v>293</v>
      </c>
      <c r="AT115" t="s">
        <v>364</v>
      </c>
      <c r="AU115" t="str">
        <f t="shared" si="4"/>
        <v>break</v>
      </c>
    </row>
    <row r="116" spans="1:48" x14ac:dyDescent="0.3">
      <c r="A116" t="s">
        <v>45</v>
      </c>
      <c r="B116" t="s">
        <v>72</v>
      </c>
      <c r="C116" t="s">
        <v>36</v>
      </c>
      <c r="D116" t="s">
        <v>29</v>
      </c>
      <c r="E116" t="str">
        <f t="shared" si="3"/>
        <v>P_H7P-ZSB-S_8D0</v>
      </c>
      <c r="F116" t="b">
        <v>1</v>
      </c>
      <c r="G116">
        <v>100</v>
      </c>
      <c r="H116">
        <v>1</v>
      </c>
      <c r="I116">
        <v>10173</v>
      </c>
      <c r="J116" s="61" t="s">
        <v>18</v>
      </c>
      <c r="K116" s="16" t="s">
        <v>272</v>
      </c>
      <c r="L116" s="16">
        <v>2</v>
      </c>
      <c r="M116" s="16" t="s">
        <v>277</v>
      </c>
      <c r="N116" s="16" t="s">
        <v>335</v>
      </c>
      <c r="O116" s="15" t="s">
        <v>282</v>
      </c>
      <c r="P116" t="s">
        <v>371</v>
      </c>
      <c r="Q116" t="s">
        <v>371</v>
      </c>
      <c r="R116" s="17" t="s">
        <v>371</v>
      </c>
      <c r="S116" s="16" t="s">
        <v>341</v>
      </c>
      <c r="T116" s="16" t="s">
        <v>340</v>
      </c>
      <c r="U116" s="15" t="s">
        <v>340</v>
      </c>
      <c r="V116" s="15" t="s">
        <v>345</v>
      </c>
      <c r="W116" s="17" t="s">
        <v>346</v>
      </c>
      <c r="X116" t="s">
        <v>349</v>
      </c>
      <c r="Y116" t="s">
        <v>349</v>
      </c>
      <c r="Z116" t="s">
        <v>293</v>
      </c>
      <c r="AA116" t="s">
        <v>354</v>
      </c>
      <c r="AB116" t="s">
        <v>354</v>
      </c>
      <c r="AC116" t="s">
        <v>300</v>
      </c>
      <c r="AD116" t="s">
        <v>292</v>
      </c>
      <c r="AE116" t="s">
        <v>292</v>
      </c>
      <c r="AF116" t="s">
        <v>292</v>
      </c>
      <c r="AG116" t="s">
        <v>293</v>
      </c>
      <c r="AH116" t="s">
        <v>293</v>
      </c>
      <c r="AI116" t="s">
        <v>302</v>
      </c>
      <c r="AJ116" t="s">
        <v>302</v>
      </c>
      <c r="AK116" t="s">
        <v>357</v>
      </c>
      <c r="AL116" t="s">
        <v>293</v>
      </c>
      <c r="AM116" t="s">
        <v>293</v>
      </c>
      <c r="AN116" t="s">
        <v>297</v>
      </c>
      <c r="AO116" t="s">
        <v>298</v>
      </c>
      <c r="AP116" t="s">
        <v>293</v>
      </c>
      <c r="AQ116" t="s">
        <v>292</v>
      </c>
      <c r="AR116" t="s">
        <v>293</v>
      </c>
      <c r="AS116" t="s">
        <v>293</v>
      </c>
      <c r="AT116" t="s">
        <v>364</v>
      </c>
      <c r="AU116" t="str">
        <f t="shared" si="4"/>
        <v>break</v>
      </c>
    </row>
    <row r="117" spans="1:48" x14ac:dyDescent="0.3">
      <c r="A117" t="s">
        <v>45</v>
      </c>
      <c r="B117" t="s">
        <v>72</v>
      </c>
      <c r="C117" t="s">
        <v>33</v>
      </c>
      <c r="D117" t="s">
        <v>29</v>
      </c>
      <c r="E117" t="str">
        <f t="shared" si="3"/>
        <v>P_H7P-ZSB-S_8I8</v>
      </c>
      <c r="F117" t="b">
        <v>1</v>
      </c>
      <c r="G117">
        <v>100</v>
      </c>
      <c r="H117">
        <v>1</v>
      </c>
      <c r="I117">
        <v>22104</v>
      </c>
      <c r="J117" s="61" t="s">
        <v>18</v>
      </c>
      <c r="K117" s="16" t="s">
        <v>272</v>
      </c>
      <c r="L117" s="16">
        <v>3</v>
      </c>
      <c r="M117" s="16" t="s">
        <v>277</v>
      </c>
      <c r="N117" s="16" t="s">
        <v>335</v>
      </c>
      <c r="O117" s="15" t="s">
        <v>281</v>
      </c>
      <c r="P117" t="s">
        <v>371</v>
      </c>
      <c r="Q117" t="s">
        <v>371</v>
      </c>
      <c r="R117" s="17" t="s">
        <v>371</v>
      </c>
      <c r="S117" s="16" t="s">
        <v>341</v>
      </c>
      <c r="T117" s="16" t="s">
        <v>340</v>
      </c>
      <c r="U117" s="15" t="s">
        <v>340</v>
      </c>
      <c r="V117" s="15" t="s">
        <v>344</v>
      </c>
      <c r="W117" s="17"/>
      <c r="X117" t="s">
        <v>349</v>
      </c>
      <c r="Y117" t="s">
        <v>349</v>
      </c>
      <c r="Z117" t="s">
        <v>293</v>
      </c>
      <c r="AA117" t="s">
        <v>353</v>
      </c>
      <c r="AB117" t="s">
        <v>296</v>
      </c>
      <c r="AC117" t="s">
        <v>300</v>
      </c>
      <c r="AD117" t="s">
        <v>293</v>
      </c>
      <c r="AE117" t="s">
        <v>292</v>
      </c>
      <c r="AF117" t="s">
        <v>292</v>
      </c>
      <c r="AG117" t="s">
        <v>292</v>
      </c>
      <c r="AH117" t="s">
        <v>293</v>
      </c>
      <c r="AI117" t="s">
        <v>302</v>
      </c>
      <c r="AJ117" t="s">
        <v>302</v>
      </c>
      <c r="AK117" t="s">
        <v>359</v>
      </c>
      <c r="AL117" t="s">
        <v>293</v>
      </c>
      <c r="AM117" t="s">
        <v>293</v>
      </c>
      <c r="AN117" t="s">
        <v>297</v>
      </c>
      <c r="AO117" t="s">
        <v>356</v>
      </c>
      <c r="AP117" t="s">
        <v>293</v>
      </c>
      <c r="AQ117" t="s">
        <v>292</v>
      </c>
      <c r="AR117" t="s">
        <v>293</v>
      </c>
      <c r="AS117" t="s">
        <v>293</v>
      </c>
      <c r="AT117" t="s">
        <v>364</v>
      </c>
      <c r="AU117" t="str">
        <f t="shared" si="4"/>
        <v>break</v>
      </c>
    </row>
    <row r="118" spans="1:48" x14ac:dyDescent="0.3">
      <c r="A118" t="s">
        <v>45</v>
      </c>
      <c r="B118" t="s">
        <v>72</v>
      </c>
      <c r="C118" t="s">
        <v>26</v>
      </c>
      <c r="D118" t="s">
        <v>29</v>
      </c>
      <c r="E118" t="str">
        <f t="shared" si="3"/>
        <v>P_H7P-ZSB-S_8O8</v>
      </c>
      <c r="F118" t="b">
        <v>1</v>
      </c>
      <c r="G118">
        <v>100</v>
      </c>
      <c r="H118">
        <v>1</v>
      </c>
      <c r="I118">
        <v>29679</v>
      </c>
      <c r="J118" s="61" t="s">
        <v>13</v>
      </c>
      <c r="K118" s="16" t="s">
        <v>272</v>
      </c>
      <c r="L118" s="16">
        <v>3</v>
      </c>
      <c r="M118" s="16" t="s">
        <v>277</v>
      </c>
      <c r="N118" s="16" t="s">
        <v>336</v>
      </c>
      <c r="O118" s="15" t="s">
        <v>283</v>
      </c>
      <c r="P118" t="s">
        <v>371</v>
      </c>
      <c r="Q118" t="s">
        <v>371</v>
      </c>
      <c r="R118" s="17" t="s">
        <v>371</v>
      </c>
      <c r="S118" s="16" t="s">
        <v>341</v>
      </c>
      <c r="T118" s="16" t="s">
        <v>342</v>
      </c>
      <c r="U118" s="15" t="s">
        <v>343</v>
      </c>
      <c r="V118" s="15" t="s">
        <v>344</v>
      </c>
      <c r="W118" s="17" t="s">
        <v>347</v>
      </c>
      <c r="X118" t="s">
        <v>349</v>
      </c>
      <c r="Y118" t="s">
        <v>349</v>
      </c>
      <c r="Z118" t="s">
        <v>293</v>
      </c>
      <c r="AA118" t="s">
        <v>353</v>
      </c>
      <c r="AB118" t="s">
        <v>296</v>
      </c>
      <c r="AC118" t="s">
        <v>301</v>
      </c>
      <c r="AD118" t="s">
        <v>293</v>
      </c>
      <c r="AE118" t="s">
        <v>292</v>
      </c>
      <c r="AF118" t="s">
        <v>292</v>
      </c>
      <c r="AG118" t="s">
        <v>292</v>
      </c>
      <c r="AH118" t="s">
        <v>293</v>
      </c>
      <c r="AI118" t="s">
        <v>302</v>
      </c>
      <c r="AJ118" t="s">
        <v>359</v>
      </c>
      <c r="AK118" t="s">
        <v>359</v>
      </c>
      <c r="AL118" t="s">
        <v>293</v>
      </c>
      <c r="AM118" t="s">
        <v>293</v>
      </c>
      <c r="AN118" t="s">
        <v>296</v>
      </c>
      <c r="AO118" t="s">
        <v>356</v>
      </c>
      <c r="AP118" t="s">
        <v>293</v>
      </c>
      <c r="AQ118" t="s">
        <v>292</v>
      </c>
      <c r="AR118" t="s">
        <v>293</v>
      </c>
      <c r="AS118" t="s">
        <v>293</v>
      </c>
      <c r="AT118" t="s">
        <v>364</v>
      </c>
      <c r="AU118" t="str">
        <f t="shared" si="4"/>
        <v>no_fail</v>
      </c>
    </row>
    <row r="119" spans="1:48" x14ac:dyDescent="0.3">
      <c r="A119" t="s">
        <v>45</v>
      </c>
      <c r="B119" t="s">
        <v>72</v>
      </c>
      <c r="C119" t="s">
        <v>31</v>
      </c>
      <c r="D119" t="s">
        <v>29</v>
      </c>
      <c r="E119" t="str">
        <f t="shared" si="3"/>
        <v>P_H7P-ZSB-S_9E0</v>
      </c>
      <c r="F119" t="b">
        <v>1</v>
      </c>
      <c r="G119">
        <v>100</v>
      </c>
      <c r="H119">
        <v>1</v>
      </c>
      <c r="I119">
        <v>21275</v>
      </c>
      <c r="J119" s="61" t="s">
        <v>18</v>
      </c>
      <c r="K119" s="16" t="s">
        <v>272</v>
      </c>
      <c r="L119" s="16">
        <v>3</v>
      </c>
      <c r="M119" s="16" t="s">
        <v>277</v>
      </c>
      <c r="N119" s="16" t="s">
        <v>335</v>
      </c>
      <c r="O119" s="15" t="s">
        <v>281</v>
      </c>
      <c r="P119" t="s">
        <v>371</v>
      </c>
      <c r="Q119" t="s">
        <v>371</v>
      </c>
      <c r="R119" s="17" t="s">
        <v>371</v>
      </c>
      <c r="S119" s="16" t="s">
        <v>341</v>
      </c>
      <c r="T119" s="16" t="s">
        <v>340</v>
      </c>
      <c r="U119" s="15" t="s">
        <v>343</v>
      </c>
      <c r="V119" s="15" t="s">
        <v>344</v>
      </c>
      <c r="W119" s="17" t="s">
        <v>291</v>
      </c>
      <c r="X119" t="s">
        <v>349</v>
      </c>
      <c r="Y119" t="s">
        <v>349</v>
      </c>
      <c r="Z119" t="s">
        <v>293</v>
      </c>
      <c r="AA119" t="s">
        <v>353</v>
      </c>
      <c r="AB119" t="s">
        <v>296</v>
      </c>
      <c r="AC119" t="s">
        <v>300</v>
      </c>
      <c r="AD119" t="s">
        <v>293</v>
      </c>
      <c r="AE119" t="s">
        <v>292</v>
      </c>
      <c r="AF119" t="s">
        <v>292</v>
      </c>
      <c r="AG119" t="s">
        <v>292</v>
      </c>
      <c r="AH119" t="s">
        <v>293</v>
      </c>
      <c r="AI119" t="s">
        <v>302</v>
      </c>
      <c r="AJ119" t="s">
        <v>302</v>
      </c>
      <c r="AK119" t="s">
        <v>359</v>
      </c>
      <c r="AL119" t="s">
        <v>293</v>
      </c>
      <c r="AM119" t="s">
        <v>293</v>
      </c>
      <c r="AN119" t="s">
        <v>297</v>
      </c>
      <c r="AO119" t="s">
        <v>356</v>
      </c>
      <c r="AP119" t="s">
        <v>293</v>
      </c>
      <c r="AQ119" t="s">
        <v>292</v>
      </c>
      <c r="AR119" t="s">
        <v>363</v>
      </c>
      <c r="AS119" t="s">
        <v>293</v>
      </c>
      <c r="AT119" t="s">
        <v>364</v>
      </c>
      <c r="AU119" t="str">
        <f t="shared" si="4"/>
        <v>break</v>
      </c>
    </row>
    <row r="120" spans="1:48" x14ac:dyDescent="0.3">
      <c r="A120" t="s">
        <v>45</v>
      </c>
      <c r="B120" t="s">
        <v>72</v>
      </c>
      <c r="C120" t="s">
        <v>27</v>
      </c>
      <c r="D120" t="s">
        <v>29</v>
      </c>
      <c r="E120" t="str">
        <f t="shared" si="3"/>
        <v>P_H7P-ZSB-S_9F6</v>
      </c>
      <c r="F120" t="b">
        <v>1</v>
      </c>
      <c r="G120">
        <v>100</v>
      </c>
      <c r="H120">
        <v>1</v>
      </c>
      <c r="I120">
        <v>29694</v>
      </c>
      <c r="J120" s="61" t="s">
        <v>18</v>
      </c>
      <c r="K120" s="16" t="s">
        <v>272</v>
      </c>
      <c r="L120" s="16">
        <v>3</v>
      </c>
      <c r="M120" s="16" t="s">
        <v>277</v>
      </c>
      <c r="N120" s="16" t="s">
        <v>336</v>
      </c>
      <c r="O120" s="15" t="s">
        <v>283</v>
      </c>
      <c r="P120" t="s">
        <v>371</v>
      </c>
      <c r="Q120" t="s">
        <v>371</v>
      </c>
      <c r="R120" s="17" t="s">
        <v>371</v>
      </c>
      <c r="S120" s="16" t="s">
        <v>341</v>
      </c>
      <c r="T120" s="16" t="s">
        <v>342</v>
      </c>
      <c r="U120" s="15" t="s">
        <v>343</v>
      </c>
      <c r="V120" s="15" t="s">
        <v>344</v>
      </c>
      <c r="W120" s="17" t="s">
        <v>347</v>
      </c>
      <c r="X120" t="s">
        <v>349</v>
      </c>
      <c r="Y120" t="s">
        <v>349</v>
      </c>
      <c r="Z120" t="s">
        <v>293</v>
      </c>
      <c r="AA120" t="s">
        <v>353</v>
      </c>
      <c r="AB120" t="s">
        <v>296</v>
      </c>
      <c r="AC120" t="s">
        <v>301</v>
      </c>
      <c r="AD120" t="s">
        <v>293</v>
      </c>
      <c r="AE120" t="s">
        <v>292</v>
      </c>
      <c r="AF120" t="s">
        <v>292</v>
      </c>
      <c r="AG120" t="s">
        <v>292</v>
      </c>
      <c r="AH120" t="s">
        <v>293</v>
      </c>
      <c r="AI120" t="s">
        <v>302</v>
      </c>
      <c r="AJ120" t="s">
        <v>359</v>
      </c>
      <c r="AK120" t="s">
        <v>359</v>
      </c>
      <c r="AL120" t="s">
        <v>293</v>
      </c>
      <c r="AM120" t="s">
        <v>293</v>
      </c>
      <c r="AN120" t="s">
        <v>297</v>
      </c>
      <c r="AO120" t="s">
        <v>356</v>
      </c>
      <c r="AP120" t="s">
        <v>293</v>
      </c>
      <c r="AQ120" t="s">
        <v>292</v>
      </c>
      <c r="AR120" t="s">
        <v>293</v>
      </c>
      <c r="AS120" t="s">
        <v>293</v>
      </c>
      <c r="AT120" t="s">
        <v>364</v>
      </c>
      <c r="AU120" t="str">
        <f t="shared" si="4"/>
        <v>break</v>
      </c>
    </row>
    <row r="121" spans="1:48" x14ac:dyDescent="0.3">
      <c r="A121" t="s">
        <v>45</v>
      </c>
      <c r="B121" t="s">
        <v>72</v>
      </c>
      <c r="C121" t="s">
        <v>28</v>
      </c>
      <c r="D121" t="s">
        <v>29</v>
      </c>
      <c r="E121" t="str">
        <f t="shared" si="3"/>
        <v>P_H7P-ZSB-S_9T2</v>
      </c>
      <c r="F121" t="b">
        <v>1</v>
      </c>
      <c r="G121">
        <v>100</v>
      </c>
      <c r="H121">
        <v>1</v>
      </c>
      <c r="I121">
        <v>21104</v>
      </c>
      <c r="J121" s="61" t="s">
        <v>18</v>
      </c>
      <c r="K121" s="16" t="s">
        <v>272</v>
      </c>
      <c r="L121" s="16">
        <v>3</v>
      </c>
      <c r="M121" s="16" t="s">
        <v>277</v>
      </c>
      <c r="N121" s="16" t="s">
        <v>335</v>
      </c>
      <c r="O121" s="15" t="s">
        <v>281</v>
      </c>
      <c r="P121" t="s">
        <v>371</v>
      </c>
      <c r="Q121" t="s">
        <v>371</v>
      </c>
      <c r="R121" s="17" t="s">
        <v>371</v>
      </c>
      <c r="S121" s="16" t="s">
        <v>341</v>
      </c>
      <c r="T121" s="16" t="s">
        <v>340</v>
      </c>
      <c r="U121" s="15" t="s">
        <v>343</v>
      </c>
      <c r="V121" s="15" t="s">
        <v>344</v>
      </c>
      <c r="W121" s="17"/>
      <c r="X121" t="s">
        <v>349</v>
      </c>
      <c r="Y121" t="s">
        <v>349</v>
      </c>
      <c r="Z121" t="s">
        <v>293</v>
      </c>
      <c r="AA121" t="s">
        <v>353</v>
      </c>
      <c r="AB121" t="s">
        <v>296</v>
      </c>
      <c r="AC121" t="s">
        <v>300</v>
      </c>
      <c r="AD121" t="s">
        <v>293</v>
      </c>
      <c r="AE121" t="s">
        <v>292</v>
      </c>
      <c r="AF121" t="s">
        <v>292</v>
      </c>
      <c r="AG121" t="s">
        <v>292</v>
      </c>
      <c r="AH121" t="s">
        <v>293</v>
      </c>
      <c r="AI121" t="s">
        <v>302</v>
      </c>
      <c r="AJ121" t="s">
        <v>302</v>
      </c>
      <c r="AK121" t="s">
        <v>359</v>
      </c>
      <c r="AL121" t="s">
        <v>293</v>
      </c>
      <c r="AM121" t="s">
        <v>293</v>
      </c>
      <c r="AN121" t="s">
        <v>297</v>
      </c>
      <c r="AO121" t="s">
        <v>356</v>
      </c>
      <c r="AP121" t="s">
        <v>293</v>
      </c>
      <c r="AQ121" t="s">
        <v>292</v>
      </c>
      <c r="AR121" t="s">
        <v>363</v>
      </c>
      <c r="AS121" t="s">
        <v>293</v>
      </c>
      <c r="AT121" t="s">
        <v>364</v>
      </c>
      <c r="AU121" t="str">
        <f t="shared" si="4"/>
        <v>break</v>
      </c>
    </row>
    <row r="122" spans="1:48" x14ac:dyDescent="0.3">
      <c r="A122" t="s">
        <v>45</v>
      </c>
      <c r="B122" t="s">
        <v>72</v>
      </c>
      <c r="C122" t="s">
        <v>35</v>
      </c>
      <c r="D122" t="s">
        <v>29</v>
      </c>
      <c r="E122" t="str">
        <f t="shared" si="3"/>
        <v>P_H7P-ZSB-S_9X8</v>
      </c>
      <c r="F122" t="b">
        <v>1</v>
      </c>
      <c r="G122">
        <v>100</v>
      </c>
      <c r="H122">
        <v>1</v>
      </c>
      <c r="I122">
        <v>8749</v>
      </c>
      <c r="J122" s="61" t="s">
        <v>18</v>
      </c>
      <c r="K122" s="16" t="s">
        <v>272</v>
      </c>
      <c r="L122" s="16">
        <v>2</v>
      </c>
      <c r="M122" s="16" t="s">
        <v>277</v>
      </c>
      <c r="N122" s="16" t="s">
        <v>335</v>
      </c>
      <c r="O122" s="15" t="s">
        <v>282</v>
      </c>
      <c r="P122" t="s">
        <v>371</v>
      </c>
      <c r="Q122" t="s">
        <v>371</v>
      </c>
      <c r="R122" s="17" t="s">
        <v>371</v>
      </c>
      <c r="S122" s="16" t="s">
        <v>341</v>
      </c>
      <c r="T122" s="16" t="s">
        <v>340</v>
      </c>
      <c r="U122" s="15" t="s">
        <v>340</v>
      </c>
      <c r="V122" s="15" t="s">
        <v>345</v>
      </c>
      <c r="W122" s="17"/>
      <c r="X122" t="s">
        <v>349</v>
      </c>
      <c r="Y122" t="s">
        <v>349</v>
      </c>
      <c r="Z122" t="s">
        <v>293</v>
      </c>
      <c r="AA122" t="s">
        <v>354</v>
      </c>
      <c r="AB122" t="s">
        <v>354</v>
      </c>
      <c r="AC122" t="s">
        <v>300</v>
      </c>
      <c r="AD122" t="s">
        <v>292</v>
      </c>
      <c r="AE122" t="s">
        <v>293</v>
      </c>
      <c r="AF122" t="s">
        <v>292</v>
      </c>
      <c r="AG122" t="s">
        <v>293</v>
      </c>
      <c r="AH122" t="s">
        <v>293</v>
      </c>
      <c r="AI122" t="s">
        <v>302</v>
      </c>
      <c r="AJ122" t="s">
        <v>302</v>
      </c>
      <c r="AK122" t="s">
        <v>357</v>
      </c>
      <c r="AL122" t="s">
        <v>293</v>
      </c>
      <c r="AM122" t="s">
        <v>293</v>
      </c>
      <c r="AN122" t="s">
        <v>297</v>
      </c>
      <c r="AO122" t="s">
        <v>298</v>
      </c>
      <c r="AP122" t="s">
        <v>293</v>
      </c>
      <c r="AQ122" t="s">
        <v>292</v>
      </c>
      <c r="AR122" t="s">
        <v>293</v>
      </c>
      <c r="AS122" t="s">
        <v>293</v>
      </c>
      <c r="AT122" t="s">
        <v>364</v>
      </c>
      <c r="AU122" t="str">
        <f t="shared" si="4"/>
        <v>break</v>
      </c>
    </row>
    <row r="123" spans="1:48" x14ac:dyDescent="0.3">
      <c r="A123" s="38" t="s">
        <v>9</v>
      </c>
      <c r="B123" s="38" t="s">
        <v>10</v>
      </c>
      <c r="C123" s="38" t="s">
        <v>27</v>
      </c>
      <c r="D123" s="38" t="s">
        <v>12</v>
      </c>
      <c r="E123" s="38" t="str">
        <f t="shared" si="3"/>
        <v>P_I7A-KYY-S_9F6</v>
      </c>
      <c r="F123" s="38" t="b">
        <v>1</v>
      </c>
      <c r="G123" s="38">
        <v>67.5</v>
      </c>
      <c r="H123" s="38">
        <v>0</v>
      </c>
      <c r="I123" s="38">
        <v>12671</v>
      </c>
      <c r="J123" s="61" t="s">
        <v>13</v>
      </c>
      <c r="K123" s="39" t="s">
        <v>272</v>
      </c>
      <c r="L123" s="39">
        <v>3</v>
      </c>
      <c r="M123" s="39" t="s">
        <v>277</v>
      </c>
      <c r="N123" s="39" t="s">
        <v>335</v>
      </c>
      <c r="O123" s="40" t="s">
        <v>281</v>
      </c>
      <c r="P123" s="38" t="s">
        <v>283</v>
      </c>
      <c r="Q123" s="38" t="s">
        <v>286</v>
      </c>
      <c r="R123" s="41" t="s">
        <v>371</v>
      </c>
      <c r="S123" s="39" t="s">
        <v>341</v>
      </c>
      <c r="T123" s="39" t="s">
        <v>340</v>
      </c>
      <c r="U123" s="40" t="s">
        <v>343</v>
      </c>
      <c r="V123" s="40" t="s">
        <v>344</v>
      </c>
      <c r="W123" s="41"/>
      <c r="X123" s="38" t="s">
        <v>349</v>
      </c>
      <c r="Y123" s="38" t="s">
        <v>349</v>
      </c>
      <c r="Z123" s="38" t="s">
        <v>293</v>
      </c>
      <c r="AA123" s="38" t="s">
        <v>353</v>
      </c>
      <c r="AB123" s="38" t="s">
        <v>296</v>
      </c>
      <c r="AC123" s="38" t="s">
        <v>301</v>
      </c>
      <c r="AD123" s="38" t="s">
        <v>292</v>
      </c>
      <c r="AE123" s="38" t="s">
        <v>293</v>
      </c>
      <c r="AF123" s="38" t="s">
        <v>292</v>
      </c>
      <c r="AG123" s="38" t="s">
        <v>292</v>
      </c>
      <c r="AH123" s="38" t="s">
        <v>293</v>
      </c>
      <c r="AI123" s="38" t="s">
        <v>302</v>
      </c>
      <c r="AJ123" s="38" t="s">
        <v>302</v>
      </c>
      <c r="AK123" s="38" t="s">
        <v>359</v>
      </c>
      <c r="AL123" s="38" t="s">
        <v>293</v>
      </c>
      <c r="AM123" s="38" t="s">
        <v>293</v>
      </c>
      <c r="AN123" s="38" t="s">
        <v>297</v>
      </c>
      <c r="AO123" s="38" t="s">
        <v>298</v>
      </c>
      <c r="AP123" s="38" t="s">
        <v>293</v>
      </c>
      <c r="AQ123" s="38" t="s">
        <v>292</v>
      </c>
      <c r="AR123" s="38" t="s">
        <v>293</v>
      </c>
      <c r="AS123" s="38" t="s">
        <v>293</v>
      </c>
      <c r="AT123" s="38" t="s">
        <v>364</v>
      </c>
      <c r="AU123" s="38" t="str">
        <f t="shared" si="4"/>
        <v>no_fail</v>
      </c>
      <c r="AV123" s="38" t="s">
        <v>379</v>
      </c>
    </row>
    <row r="124" spans="1:48" x14ac:dyDescent="0.3">
      <c r="A124" t="s">
        <v>9</v>
      </c>
      <c r="B124" t="s">
        <v>10</v>
      </c>
      <c r="C124" t="s">
        <v>15</v>
      </c>
      <c r="D124" t="s">
        <v>12</v>
      </c>
      <c r="E124" t="str">
        <f t="shared" si="3"/>
        <v>P_I7A-KYY-S_0M4</v>
      </c>
      <c r="F124" t="b">
        <v>1</v>
      </c>
      <c r="G124">
        <v>49.8</v>
      </c>
      <c r="H124">
        <v>0</v>
      </c>
      <c r="I124">
        <v>12988</v>
      </c>
      <c r="J124" s="61" t="s">
        <v>13</v>
      </c>
      <c r="K124" s="16" t="s">
        <v>272</v>
      </c>
      <c r="L124" s="16">
        <v>3</v>
      </c>
      <c r="M124" s="16" t="s">
        <v>277</v>
      </c>
      <c r="N124" s="16" t="s">
        <v>335</v>
      </c>
      <c r="O124" s="15" t="s">
        <v>283</v>
      </c>
      <c r="P124" t="s">
        <v>286</v>
      </c>
      <c r="Q124" t="s">
        <v>371</v>
      </c>
      <c r="R124" s="17" t="s">
        <v>371</v>
      </c>
      <c r="S124" s="16" t="s">
        <v>341</v>
      </c>
      <c r="T124" s="16" t="s">
        <v>340</v>
      </c>
      <c r="U124" s="15" t="s">
        <v>343</v>
      </c>
      <c r="V124" s="15" t="s">
        <v>344</v>
      </c>
      <c r="W124" s="17"/>
      <c r="X124" t="s">
        <v>349</v>
      </c>
      <c r="Y124" t="s">
        <v>349</v>
      </c>
      <c r="Z124" t="s">
        <v>293</v>
      </c>
      <c r="AA124" t="s">
        <v>353</v>
      </c>
      <c r="AB124" t="s">
        <v>296</v>
      </c>
      <c r="AC124" t="s">
        <v>301</v>
      </c>
      <c r="AD124" t="s">
        <v>292</v>
      </c>
      <c r="AE124" t="s">
        <v>293</v>
      </c>
      <c r="AF124" t="s">
        <v>292</v>
      </c>
      <c r="AG124" t="s">
        <v>292</v>
      </c>
      <c r="AH124" t="s">
        <v>293</v>
      </c>
      <c r="AI124" t="s">
        <v>302</v>
      </c>
      <c r="AJ124" t="s">
        <v>302</v>
      </c>
      <c r="AK124" t="s">
        <v>359</v>
      </c>
      <c r="AL124" t="s">
        <v>293</v>
      </c>
      <c r="AM124" t="s">
        <v>293</v>
      </c>
      <c r="AN124" t="s">
        <v>297</v>
      </c>
      <c r="AO124" t="s">
        <v>298</v>
      </c>
      <c r="AP124" t="s">
        <v>293</v>
      </c>
      <c r="AQ124" t="s">
        <v>292</v>
      </c>
      <c r="AR124" t="s">
        <v>293</v>
      </c>
      <c r="AS124" t="s">
        <v>293</v>
      </c>
      <c r="AT124" t="s">
        <v>364</v>
      </c>
      <c r="AU124" t="str">
        <f t="shared" si="4"/>
        <v>no_fail</v>
      </c>
    </row>
    <row r="125" spans="1:48" x14ac:dyDescent="0.3">
      <c r="A125" t="s">
        <v>9</v>
      </c>
      <c r="B125" t="s">
        <v>10</v>
      </c>
      <c r="C125" t="s">
        <v>23</v>
      </c>
      <c r="D125" t="s">
        <v>12</v>
      </c>
      <c r="E125" t="str">
        <f t="shared" si="3"/>
        <v>P_I7A-KYY-S_0T2</v>
      </c>
      <c r="F125" t="b">
        <v>1</v>
      </c>
      <c r="G125">
        <v>100</v>
      </c>
      <c r="H125">
        <v>1</v>
      </c>
      <c r="I125">
        <v>10691</v>
      </c>
      <c r="J125" s="61" t="s">
        <v>18</v>
      </c>
      <c r="K125" s="16" t="s">
        <v>272</v>
      </c>
      <c r="L125" s="16">
        <v>3</v>
      </c>
      <c r="M125" s="16" t="s">
        <v>277</v>
      </c>
      <c r="N125" s="16" t="s">
        <v>335</v>
      </c>
      <c r="O125" s="15" t="s">
        <v>283</v>
      </c>
      <c r="P125" t="s">
        <v>286</v>
      </c>
      <c r="Q125" t="s">
        <v>371</v>
      </c>
      <c r="R125" s="17" t="s">
        <v>371</v>
      </c>
      <c r="S125" s="16" t="s">
        <v>341</v>
      </c>
      <c r="T125" s="16" t="s">
        <v>340</v>
      </c>
      <c r="U125" s="15" t="s">
        <v>343</v>
      </c>
      <c r="V125" s="15" t="s">
        <v>344</v>
      </c>
      <c r="W125" s="17"/>
      <c r="X125" t="s">
        <v>349</v>
      </c>
      <c r="Y125" t="s">
        <v>349</v>
      </c>
      <c r="Z125" t="s">
        <v>293</v>
      </c>
      <c r="AA125" t="s">
        <v>352</v>
      </c>
      <c r="AB125" t="s">
        <v>296</v>
      </c>
      <c r="AC125" t="s">
        <v>301</v>
      </c>
      <c r="AD125" t="s">
        <v>292</v>
      </c>
      <c r="AE125" t="s">
        <v>293</v>
      </c>
      <c r="AF125" t="s">
        <v>292</v>
      </c>
      <c r="AG125" t="s">
        <v>292</v>
      </c>
      <c r="AH125" t="s">
        <v>293</v>
      </c>
      <c r="AI125" t="s">
        <v>302</v>
      </c>
      <c r="AJ125" t="s">
        <v>302</v>
      </c>
      <c r="AK125" t="s">
        <v>359</v>
      </c>
      <c r="AL125" t="s">
        <v>293</v>
      </c>
      <c r="AM125" t="s">
        <v>293</v>
      </c>
      <c r="AN125" t="s">
        <v>297</v>
      </c>
      <c r="AO125" t="s">
        <v>298</v>
      </c>
      <c r="AP125" t="s">
        <v>293</v>
      </c>
      <c r="AQ125" t="s">
        <v>292</v>
      </c>
      <c r="AR125" t="s">
        <v>293</v>
      </c>
      <c r="AS125" t="s">
        <v>293</v>
      </c>
      <c r="AT125" t="s">
        <v>364</v>
      </c>
      <c r="AU125" t="str">
        <f t="shared" si="4"/>
        <v>break</v>
      </c>
    </row>
    <row r="126" spans="1:48" x14ac:dyDescent="0.3">
      <c r="A126" t="s">
        <v>9</v>
      </c>
      <c r="B126" t="s">
        <v>10</v>
      </c>
      <c r="C126" t="s">
        <v>14</v>
      </c>
      <c r="D126" t="s">
        <v>12</v>
      </c>
      <c r="E126" t="str">
        <f t="shared" si="3"/>
        <v>P_I7A-KYY-S_1B0</v>
      </c>
      <c r="F126" t="b">
        <v>1</v>
      </c>
      <c r="G126">
        <v>50.9</v>
      </c>
      <c r="H126">
        <v>0</v>
      </c>
      <c r="I126">
        <v>13845</v>
      </c>
      <c r="J126" s="61" t="s">
        <v>13</v>
      </c>
      <c r="K126" s="16" t="s">
        <v>272</v>
      </c>
      <c r="L126" s="16">
        <v>3</v>
      </c>
      <c r="M126" s="16" t="s">
        <v>277</v>
      </c>
      <c r="N126" s="16" t="s">
        <v>335</v>
      </c>
      <c r="O126" s="15" t="s">
        <v>283</v>
      </c>
      <c r="P126" t="s">
        <v>286</v>
      </c>
      <c r="Q126" t="s">
        <v>371</v>
      </c>
      <c r="R126" s="17" t="s">
        <v>371</v>
      </c>
      <c r="S126" s="16" t="s">
        <v>341</v>
      </c>
      <c r="T126" s="16" t="s">
        <v>340</v>
      </c>
      <c r="U126" s="15" t="s">
        <v>343</v>
      </c>
      <c r="V126" s="15" t="s">
        <v>344</v>
      </c>
      <c r="W126" s="17"/>
      <c r="X126" t="s">
        <v>349</v>
      </c>
      <c r="Y126" t="s">
        <v>349</v>
      </c>
      <c r="Z126" t="s">
        <v>293</v>
      </c>
      <c r="AA126" t="s">
        <v>353</v>
      </c>
      <c r="AB126" t="s">
        <v>296</v>
      </c>
      <c r="AC126" t="s">
        <v>301</v>
      </c>
      <c r="AD126" t="s">
        <v>292</v>
      </c>
      <c r="AE126" t="s">
        <v>293</v>
      </c>
      <c r="AF126" t="s">
        <v>292</v>
      </c>
      <c r="AG126" t="s">
        <v>292</v>
      </c>
      <c r="AH126" t="s">
        <v>293</v>
      </c>
      <c r="AI126" t="s">
        <v>302</v>
      </c>
      <c r="AJ126" t="s">
        <v>302</v>
      </c>
      <c r="AK126" t="s">
        <v>359</v>
      </c>
      <c r="AL126" t="s">
        <v>293</v>
      </c>
      <c r="AM126" t="s">
        <v>293</v>
      </c>
      <c r="AN126" t="s">
        <v>297</v>
      </c>
      <c r="AO126" t="s">
        <v>298</v>
      </c>
      <c r="AP126" t="s">
        <v>293</v>
      </c>
      <c r="AQ126" t="s">
        <v>292</v>
      </c>
      <c r="AR126" t="s">
        <v>293</v>
      </c>
      <c r="AS126" t="s">
        <v>293</v>
      </c>
      <c r="AT126" t="s">
        <v>364</v>
      </c>
      <c r="AU126" t="str">
        <f t="shared" si="4"/>
        <v>no_fail</v>
      </c>
    </row>
    <row r="127" spans="1:48" x14ac:dyDescent="0.3">
      <c r="A127" t="s">
        <v>9</v>
      </c>
      <c r="B127" t="s">
        <v>10</v>
      </c>
      <c r="C127" t="s">
        <v>25</v>
      </c>
      <c r="D127" t="s">
        <v>12</v>
      </c>
      <c r="E127" t="str">
        <f t="shared" si="3"/>
        <v>P_I7A-KYY-S_1J8</v>
      </c>
      <c r="F127" t="b">
        <v>1</v>
      </c>
      <c r="G127">
        <v>100</v>
      </c>
      <c r="H127">
        <v>1</v>
      </c>
      <c r="I127">
        <v>11350</v>
      </c>
      <c r="J127" s="61" t="s">
        <v>18</v>
      </c>
      <c r="K127" s="16" t="s">
        <v>272</v>
      </c>
      <c r="L127" s="16">
        <v>3</v>
      </c>
      <c r="M127" s="16" t="s">
        <v>277</v>
      </c>
      <c r="N127" s="16" t="s">
        <v>335</v>
      </c>
      <c r="O127" s="15" t="s">
        <v>281</v>
      </c>
      <c r="P127" t="s">
        <v>283</v>
      </c>
      <c r="Q127" t="s">
        <v>286</v>
      </c>
      <c r="R127" s="17" t="s">
        <v>371</v>
      </c>
      <c r="S127" s="16" t="s">
        <v>341</v>
      </c>
      <c r="T127" s="16" t="s">
        <v>340</v>
      </c>
      <c r="U127" s="15" t="s">
        <v>343</v>
      </c>
      <c r="V127" s="15" t="s">
        <v>344</v>
      </c>
      <c r="W127" s="17"/>
      <c r="X127" t="s">
        <v>349</v>
      </c>
      <c r="Y127" t="s">
        <v>349</v>
      </c>
      <c r="Z127" t="s">
        <v>293</v>
      </c>
      <c r="AA127" t="s">
        <v>352</v>
      </c>
      <c r="AB127" t="s">
        <v>296</v>
      </c>
      <c r="AC127" t="s">
        <v>301</v>
      </c>
      <c r="AD127" t="s">
        <v>292</v>
      </c>
      <c r="AE127" t="s">
        <v>293</v>
      </c>
      <c r="AF127" t="s">
        <v>292</v>
      </c>
      <c r="AG127" t="s">
        <v>292</v>
      </c>
      <c r="AH127" t="s">
        <v>293</v>
      </c>
      <c r="AI127" t="s">
        <v>302</v>
      </c>
      <c r="AJ127" t="s">
        <v>302</v>
      </c>
      <c r="AK127" t="s">
        <v>359</v>
      </c>
      <c r="AL127" t="s">
        <v>293</v>
      </c>
      <c r="AM127" t="s">
        <v>293</v>
      </c>
      <c r="AN127" t="s">
        <v>297</v>
      </c>
      <c r="AO127" t="s">
        <v>298</v>
      </c>
      <c r="AP127" t="s">
        <v>293</v>
      </c>
      <c r="AQ127" t="s">
        <v>292</v>
      </c>
      <c r="AR127" t="s">
        <v>293</v>
      </c>
      <c r="AS127" t="s">
        <v>293</v>
      </c>
      <c r="AT127" t="s">
        <v>364</v>
      </c>
      <c r="AU127" t="str">
        <f t="shared" si="4"/>
        <v>break</v>
      </c>
    </row>
    <row r="128" spans="1:48" x14ac:dyDescent="0.3">
      <c r="A128" t="s">
        <v>9</v>
      </c>
      <c r="B128" t="s">
        <v>10</v>
      </c>
      <c r="C128" t="s">
        <v>11</v>
      </c>
      <c r="D128" t="s">
        <v>12</v>
      </c>
      <c r="E128" t="str">
        <f t="shared" si="3"/>
        <v>P_I7A-KYY-S_1Q4</v>
      </c>
      <c r="F128" t="b">
        <v>1</v>
      </c>
      <c r="G128">
        <v>51.1</v>
      </c>
      <c r="H128">
        <v>0</v>
      </c>
      <c r="I128">
        <v>15157</v>
      </c>
      <c r="J128" s="61" t="s">
        <v>13</v>
      </c>
      <c r="K128" s="16" t="s">
        <v>272</v>
      </c>
      <c r="L128" s="16">
        <v>3</v>
      </c>
      <c r="M128" s="16" t="s">
        <v>277</v>
      </c>
      <c r="N128" s="16" t="s">
        <v>335</v>
      </c>
      <c r="O128" s="15" t="s">
        <v>283</v>
      </c>
      <c r="P128" t="s">
        <v>286</v>
      </c>
      <c r="Q128" t="s">
        <v>371</v>
      </c>
      <c r="R128" s="17" t="s">
        <v>371</v>
      </c>
      <c r="S128" s="16" t="s">
        <v>341</v>
      </c>
      <c r="T128" s="16" t="s">
        <v>340</v>
      </c>
      <c r="U128" s="15" t="s">
        <v>343</v>
      </c>
      <c r="V128" s="15" t="s">
        <v>344</v>
      </c>
      <c r="W128" s="17"/>
      <c r="X128" t="s">
        <v>349</v>
      </c>
      <c r="Y128" t="s">
        <v>349</v>
      </c>
      <c r="Z128" t="s">
        <v>293</v>
      </c>
      <c r="AA128" t="s">
        <v>353</v>
      </c>
      <c r="AB128" t="s">
        <v>296</v>
      </c>
      <c r="AC128" t="s">
        <v>301</v>
      </c>
      <c r="AD128" t="s">
        <v>292</v>
      </c>
      <c r="AE128" t="s">
        <v>293</v>
      </c>
      <c r="AF128" t="s">
        <v>292</v>
      </c>
      <c r="AG128" t="s">
        <v>292</v>
      </c>
      <c r="AH128" t="s">
        <v>293</v>
      </c>
      <c r="AI128" t="s">
        <v>302</v>
      </c>
      <c r="AJ128" t="s">
        <v>302</v>
      </c>
      <c r="AK128" t="s">
        <v>359</v>
      </c>
      <c r="AL128" t="s">
        <v>293</v>
      </c>
      <c r="AM128" t="s">
        <v>293</v>
      </c>
      <c r="AN128" t="s">
        <v>297</v>
      </c>
      <c r="AO128" t="s">
        <v>298</v>
      </c>
      <c r="AP128" t="s">
        <v>293</v>
      </c>
      <c r="AQ128" t="s">
        <v>292</v>
      </c>
      <c r="AR128" t="s">
        <v>293</v>
      </c>
      <c r="AS128" t="s">
        <v>293</v>
      </c>
      <c r="AT128" t="s">
        <v>364</v>
      </c>
      <c r="AU128" t="str">
        <f t="shared" si="4"/>
        <v>no_fail</v>
      </c>
    </row>
    <row r="129" spans="1:48" x14ac:dyDescent="0.3">
      <c r="A129" t="s">
        <v>9</v>
      </c>
      <c r="B129" t="s">
        <v>10</v>
      </c>
      <c r="C129" t="s">
        <v>24</v>
      </c>
      <c r="D129" t="s">
        <v>12</v>
      </c>
      <c r="E129" t="str">
        <f t="shared" si="3"/>
        <v>P_I7A-KYY-S_1U0</v>
      </c>
      <c r="F129" t="b">
        <v>1</v>
      </c>
      <c r="G129">
        <v>71.599999999999994</v>
      </c>
      <c r="H129">
        <v>0</v>
      </c>
      <c r="I129">
        <v>11640</v>
      </c>
      <c r="J129" s="61" t="s">
        <v>13</v>
      </c>
      <c r="K129" s="16" t="s">
        <v>272</v>
      </c>
      <c r="L129" s="16">
        <v>3</v>
      </c>
      <c r="M129" s="16" t="s">
        <v>277</v>
      </c>
      <c r="N129" s="16" t="s">
        <v>335</v>
      </c>
      <c r="O129" s="15" t="s">
        <v>283</v>
      </c>
      <c r="P129" t="s">
        <v>286</v>
      </c>
      <c r="Q129" t="s">
        <v>371</v>
      </c>
      <c r="R129" s="17" t="s">
        <v>371</v>
      </c>
      <c r="S129" s="16" t="s">
        <v>341</v>
      </c>
      <c r="T129" s="16" t="s">
        <v>340</v>
      </c>
      <c r="U129" s="15" t="s">
        <v>343</v>
      </c>
      <c r="V129" s="15" t="s">
        <v>344</v>
      </c>
      <c r="W129" s="17"/>
      <c r="X129" t="s">
        <v>349</v>
      </c>
      <c r="Y129" t="s">
        <v>349</v>
      </c>
      <c r="Z129" t="s">
        <v>293</v>
      </c>
      <c r="AA129" t="s">
        <v>352</v>
      </c>
      <c r="AB129" t="s">
        <v>296</v>
      </c>
      <c r="AC129" t="s">
        <v>301</v>
      </c>
      <c r="AD129" t="s">
        <v>292</v>
      </c>
      <c r="AE129" t="s">
        <v>293</v>
      </c>
      <c r="AF129" t="s">
        <v>292</v>
      </c>
      <c r="AG129" t="s">
        <v>292</v>
      </c>
      <c r="AH129" t="s">
        <v>293</v>
      </c>
      <c r="AI129" t="s">
        <v>302</v>
      </c>
      <c r="AJ129" t="s">
        <v>302</v>
      </c>
      <c r="AK129" t="s">
        <v>359</v>
      </c>
      <c r="AL129" t="s">
        <v>293</v>
      </c>
      <c r="AM129" t="s">
        <v>293</v>
      </c>
      <c r="AN129" t="s">
        <v>297</v>
      </c>
      <c r="AO129" t="s">
        <v>298</v>
      </c>
      <c r="AP129" t="s">
        <v>293</v>
      </c>
      <c r="AQ129" t="s">
        <v>292</v>
      </c>
      <c r="AR129" t="s">
        <v>293</v>
      </c>
      <c r="AS129" t="s">
        <v>293</v>
      </c>
      <c r="AT129" t="s">
        <v>364</v>
      </c>
      <c r="AU129" t="str">
        <f t="shared" si="4"/>
        <v>no_fail</v>
      </c>
    </row>
    <row r="130" spans="1:48" x14ac:dyDescent="0.3">
      <c r="A130" t="s">
        <v>9</v>
      </c>
      <c r="B130" t="s">
        <v>10</v>
      </c>
      <c r="C130" t="s">
        <v>21</v>
      </c>
      <c r="D130" t="s">
        <v>12</v>
      </c>
      <c r="E130" t="str">
        <f t="shared" ref="E130:E193" si="5">B130&amp;"-"&amp;D130&amp;"-"&amp;C130</f>
        <v>P_I7A-KYY-S_3X6</v>
      </c>
      <c r="F130" t="b">
        <v>1</v>
      </c>
      <c r="G130">
        <v>100</v>
      </c>
      <c r="H130">
        <v>1</v>
      </c>
      <c r="I130">
        <v>9959</v>
      </c>
      <c r="J130" s="61" t="s">
        <v>18</v>
      </c>
      <c r="K130" s="16" t="s">
        <v>272</v>
      </c>
      <c r="L130" s="16">
        <v>3</v>
      </c>
      <c r="M130" s="16" t="s">
        <v>277</v>
      </c>
      <c r="N130" s="16" t="s">
        <v>335</v>
      </c>
      <c r="O130" s="15" t="s">
        <v>283</v>
      </c>
      <c r="P130" t="s">
        <v>286</v>
      </c>
      <c r="Q130" t="s">
        <v>371</v>
      </c>
      <c r="R130" s="17" t="s">
        <v>371</v>
      </c>
      <c r="S130" s="16" t="s">
        <v>341</v>
      </c>
      <c r="T130" s="16" t="s">
        <v>340</v>
      </c>
      <c r="U130" s="15" t="s">
        <v>343</v>
      </c>
      <c r="V130" s="15" t="s">
        <v>344</v>
      </c>
      <c r="W130" s="17" t="s">
        <v>347</v>
      </c>
      <c r="X130" t="s">
        <v>349</v>
      </c>
      <c r="Y130" t="s">
        <v>349</v>
      </c>
      <c r="Z130" t="s">
        <v>293</v>
      </c>
      <c r="AA130" t="s">
        <v>352</v>
      </c>
      <c r="AB130" t="s">
        <v>296</v>
      </c>
      <c r="AC130" t="s">
        <v>300</v>
      </c>
      <c r="AD130" t="s">
        <v>292</v>
      </c>
      <c r="AE130" t="s">
        <v>293</v>
      </c>
      <c r="AF130" t="s">
        <v>292</v>
      </c>
      <c r="AG130" t="s">
        <v>292</v>
      </c>
      <c r="AH130" t="s">
        <v>293</v>
      </c>
      <c r="AI130" t="s">
        <v>302</v>
      </c>
      <c r="AJ130" t="s">
        <v>302</v>
      </c>
      <c r="AK130" t="s">
        <v>359</v>
      </c>
      <c r="AL130" t="s">
        <v>293</v>
      </c>
      <c r="AM130" t="s">
        <v>293</v>
      </c>
      <c r="AN130" t="s">
        <v>297</v>
      </c>
      <c r="AO130" t="s">
        <v>298</v>
      </c>
      <c r="AP130" t="s">
        <v>293</v>
      </c>
      <c r="AQ130" t="s">
        <v>292</v>
      </c>
      <c r="AR130" t="s">
        <v>293</v>
      </c>
      <c r="AS130" t="s">
        <v>293</v>
      </c>
      <c r="AT130" t="s">
        <v>364</v>
      </c>
      <c r="AU130" t="str">
        <f t="shared" si="4"/>
        <v>break</v>
      </c>
    </row>
    <row r="131" spans="1:48" x14ac:dyDescent="0.3">
      <c r="A131" t="s">
        <v>9</v>
      </c>
      <c r="B131" t="s">
        <v>10</v>
      </c>
      <c r="C131" t="s">
        <v>19</v>
      </c>
      <c r="D131" t="s">
        <v>12</v>
      </c>
      <c r="E131" t="str">
        <f t="shared" si="5"/>
        <v>P_I7A-KYY-S_4U3</v>
      </c>
      <c r="F131" t="b">
        <v>1</v>
      </c>
      <c r="G131">
        <v>70</v>
      </c>
      <c r="H131">
        <v>0</v>
      </c>
      <c r="I131">
        <v>11664</v>
      </c>
      <c r="J131" s="61" t="s">
        <v>13</v>
      </c>
      <c r="K131" s="16" t="s">
        <v>272</v>
      </c>
      <c r="L131" s="16">
        <v>3</v>
      </c>
      <c r="M131" s="16" t="s">
        <v>277</v>
      </c>
      <c r="N131" s="16" t="s">
        <v>335</v>
      </c>
      <c r="O131" s="15" t="s">
        <v>283</v>
      </c>
      <c r="P131" t="s">
        <v>286</v>
      </c>
      <c r="Q131" t="s">
        <v>371</v>
      </c>
      <c r="R131" s="17" t="s">
        <v>371</v>
      </c>
      <c r="S131" s="16" t="s">
        <v>341</v>
      </c>
      <c r="T131" s="16" t="s">
        <v>340</v>
      </c>
      <c r="U131" s="15" t="s">
        <v>343</v>
      </c>
      <c r="V131" s="15" t="s">
        <v>344</v>
      </c>
      <c r="W131" s="17"/>
      <c r="X131" t="s">
        <v>349</v>
      </c>
      <c r="Y131" t="s">
        <v>349</v>
      </c>
      <c r="Z131" t="s">
        <v>293</v>
      </c>
      <c r="AA131" t="s">
        <v>352</v>
      </c>
      <c r="AB131" t="s">
        <v>296</v>
      </c>
      <c r="AC131" t="s">
        <v>301</v>
      </c>
      <c r="AD131" t="s">
        <v>292</v>
      </c>
      <c r="AE131" t="s">
        <v>293</v>
      </c>
      <c r="AF131" t="s">
        <v>292</v>
      </c>
      <c r="AG131" t="s">
        <v>292</v>
      </c>
      <c r="AH131" t="s">
        <v>293</v>
      </c>
      <c r="AI131" t="s">
        <v>302</v>
      </c>
      <c r="AJ131" t="s">
        <v>302</v>
      </c>
      <c r="AK131" t="s">
        <v>359</v>
      </c>
      <c r="AL131" t="s">
        <v>293</v>
      </c>
      <c r="AM131" t="s">
        <v>293</v>
      </c>
      <c r="AN131" t="s">
        <v>297</v>
      </c>
      <c r="AO131" t="s">
        <v>298</v>
      </c>
      <c r="AP131" t="s">
        <v>293</v>
      </c>
      <c r="AQ131" t="s">
        <v>292</v>
      </c>
      <c r="AR131" t="s">
        <v>293</v>
      </c>
      <c r="AS131" t="s">
        <v>293</v>
      </c>
      <c r="AT131" t="s">
        <v>364</v>
      </c>
      <c r="AU131" t="str">
        <f t="shared" si="4"/>
        <v>no_fail</v>
      </c>
    </row>
    <row r="132" spans="1:48" x14ac:dyDescent="0.3">
      <c r="A132" t="s">
        <v>9</v>
      </c>
      <c r="B132" t="s">
        <v>10</v>
      </c>
      <c r="C132" t="s">
        <v>17</v>
      </c>
      <c r="D132" t="s">
        <v>12</v>
      </c>
      <c r="E132" t="str">
        <f t="shared" si="5"/>
        <v>P_I7A-KYY-S_6B5</v>
      </c>
      <c r="F132" t="b">
        <v>1</v>
      </c>
      <c r="G132">
        <v>100</v>
      </c>
      <c r="H132">
        <v>1</v>
      </c>
      <c r="I132">
        <v>10979</v>
      </c>
      <c r="J132" s="61" t="s">
        <v>18</v>
      </c>
      <c r="K132" s="16" t="s">
        <v>272</v>
      </c>
      <c r="L132" s="16">
        <v>3</v>
      </c>
      <c r="M132" s="16" t="s">
        <v>277</v>
      </c>
      <c r="N132" s="16" t="s">
        <v>335</v>
      </c>
      <c r="O132" s="15" t="s">
        <v>283</v>
      </c>
      <c r="P132" t="s">
        <v>286</v>
      </c>
      <c r="Q132" t="s">
        <v>371</v>
      </c>
      <c r="R132" s="17" t="s">
        <v>371</v>
      </c>
      <c r="S132" s="16" t="s">
        <v>341</v>
      </c>
      <c r="T132" s="16" t="s">
        <v>340</v>
      </c>
      <c r="U132" s="15" t="s">
        <v>343</v>
      </c>
      <c r="V132" s="15" t="s">
        <v>344</v>
      </c>
      <c r="W132" s="17"/>
      <c r="X132" t="s">
        <v>349</v>
      </c>
      <c r="Y132" t="s">
        <v>349</v>
      </c>
      <c r="Z132" t="s">
        <v>293</v>
      </c>
      <c r="AA132" t="s">
        <v>352</v>
      </c>
      <c r="AB132" t="s">
        <v>297</v>
      </c>
      <c r="AC132" t="s">
        <v>301</v>
      </c>
      <c r="AD132" t="s">
        <v>292</v>
      </c>
      <c r="AE132" t="s">
        <v>293</v>
      </c>
      <c r="AF132" t="s">
        <v>292</v>
      </c>
      <c r="AG132" t="s">
        <v>293</v>
      </c>
      <c r="AH132" t="s">
        <v>293</v>
      </c>
      <c r="AI132" t="s">
        <v>302</v>
      </c>
      <c r="AJ132" t="s">
        <v>302</v>
      </c>
      <c r="AK132" t="s">
        <v>359</v>
      </c>
      <c r="AL132" t="s">
        <v>293</v>
      </c>
      <c r="AM132" t="s">
        <v>293</v>
      </c>
      <c r="AN132" t="s">
        <v>297</v>
      </c>
      <c r="AO132" t="s">
        <v>298</v>
      </c>
      <c r="AP132" t="s">
        <v>293</v>
      </c>
      <c r="AQ132" t="s">
        <v>292</v>
      </c>
      <c r="AR132" t="s">
        <v>293</v>
      </c>
      <c r="AS132" t="s">
        <v>293</v>
      </c>
      <c r="AT132" t="s">
        <v>364</v>
      </c>
      <c r="AU132" t="str">
        <f t="shared" si="4"/>
        <v>break</v>
      </c>
    </row>
    <row r="133" spans="1:48" x14ac:dyDescent="0.3">
      <c r="A133" t="s">
        <v>9</v>
      </c>
      <c r="B133" t="s">
        <v>10</v>
      </c>
      <c r="C133" t="s">
        <v>16</v>
      </c>
      <c r="D133" t="s">
        <v>12</v>
      </c>
      <c r="E133" t="str">
        <f t="shared" si="5"/>
        <v>P_I7A-KYY-S_6U7</v>
      </c>
      <c r="F133" t="b">
        <v>1</v>
      </c>
      <c r="G133">
        <v>68.2</v>
      </c>
      <c r="H133">
        <v>0</v>
      </c>
      <c r="I133">
        <v>11982</v>
      </c>
      <c r="J133" s="61" t="s">
        <v>13</v>
      </c>
      <c r="K133" s="16" t="s">
        <v>272</v>
      </c>
      <c r="L133" s="16">
        <v>3</v>
      </c>
      <c r="M133" s="16" t="s">
        <v>277</v>
      </c>
      <c r="N133" s="16" t="s">
        <v>335</v>
      </c>
      <c r="O133" s="15" t="s">
        <v>283</v>
      </c>
      <c r="P133" t="s">
        <v>286</v>
      </c>
      <c r="Q133" t="s">
        <v>371</v>
      </c>
      <c r="R133" s="17" t="s">
        <v>371</v>
      </c>
      <c r="S133" s="16" t="s">
        <v>341</v>
      </c>
      <c r="T133" s="16" t="s">
        <v>340</v>
      </c>
      <c r="U133" s="15" t="s">
        <v>343</v>
      </c>
      <c r="V133" s="15" t="s">
        <v>344</v>
      </c>
      <c r="W133" s="17"/>
      <c r="X133" t="s">
        <v>349</v>
      </c>
      <c r="Y133" t="s">
        <v>349</v>
      </c>
      <c r="Z133" t="s">
        <v>293</v>
      </c>
      <c r="AA133" t="s">
        <v>352</v>
      </c>
      <c r="AB133" t="s">
        <v>296</v>
      </c>
      <c r="AC133" t="s">
        <v>301</v>
      </c>
      <c r="AD133" t="s">
        <v>292</v>
      </c>
      <c r="AE133" t="s">
        <v>293</v>
      </c>
      <c r="AF133" t="s">
        <v>292</v>
      </c>
      <c r="AG133" t="s">
        <v>292</v>
      </c>
      <c r="AH133" t="s">
        <v>293</v>
      </c>
      <c r="AI133" t="s">
        <v>302</v>
      </c>
      <c r="AJ133" t="s">
        <v>302</v>
      </c>
      <c r="AK133" t="s">
        <v>359</v>
      </c>
      <c r="AL133" t="s">
        <v>293</v>
      </c>
      <c r="AM133" t="s">
        <v>293</v>
      </c>
      <c r="AN133" t="s">
        <v>297</v>
      </c>
      <c r="AO133" t="s">
        <v>298</v>
      </c>
      <c r="AP133" t="s">
        <v>293</v>
      </c>
      <c r="AQ133" t="s">
        <v>292</v>
      </c>
      <c r="AR133" t="s">
        <v>293</v>
      </c>
      <c r="AS133" t="s">
        <v>293</v>
      </c>
      <c r="AT133" t="s">
        <v>364</v>
      </c>
      <c r="AU133" t="str">
        <f t="shared" si="4"/>
        <v>no_fail</v>
      </c>
    </row>
    <row r="134" spans="1:48" x14ac:dyDescent="0.3">
      <c r="A134" t="s">
        <v>9</v>
      </c>
      <c r="B134" t="s">
        <v>10</v>
      </c>
      <c r="C134" t="s">
        <v>20</v>
      </c>
      <c r="D134" t="s">
        <v>12</v>
      </c>
      <c r="E134" t="str">
        <f t="shared" si="5"/>
        <v>P_I7A-KYY-S_7W0</v>
      </c>
      <c r="F134" t="b">
        <v>1</v>
      </c>
      <c r="G134">
        <v>100</v>
      </c>
      <c r="H134">
        <v>1</v>
      </c>
      <c r="I134">
        <v>11362</v>
      </c>
      <c r="J134" s="61" t="s">
        <v>18</v>
      </c>
      <c r="K134" s="16" t="s">
        <v>272</v>
      </c>
      <c r="L134" s="16">
        <v>3</v>
      </c>
      <c r="M134" s="16" t="s">
        <v>277</v>
      </c>
      <c r="N134" s="16" t="s">
        <v>335</v>
      </c>
      <c r="O134" s="15" t="s">
        <v>283</v>
      </c>
      <c r="P134" t="s">
        <v>286</v>
      </c>
      <c r="Q134" t="s">
        <v>371</v>
      </c>
      <c r="R134" s="17" t="s">
        <v>371</v>
      </c>
      <c r="S134" s="16" t="s">
        <v>341</v>
      </c>
      <c r="T134" s="16" t="s">
        <v>340</v>
      </c>
      <c r="U134" s="15" t="s">
        <v>343</v>
      </c>
      <c r="V134" s="15" t="s">
        <v>344</v>
      </c>
      <c r="W134" s="17"/>
      <c r="X134" t="s">
        <v>349</v>
      </c>
      <c r="Y134" t="s">
        <v>349</v>
      </c>
      <c r="Z134" t="s">
        <v>293</v>
      </c>
      <c r="AA134" t="s">
        <v>352</v>
      </c>
      <c r="AB134" t="s">
        <v>296</v>
      </c>
      <c r="AC134" t="s">
        <v>301</v>
      </c>
      <c r="AD134" t="s">
        <v>292</v>
      </c>
      <c r="AE134" t="s">
        <v>293</v>
      </c>
      <c r="AF134" t="s">
        <v>292</v>
      </c>
      <c r="AG134" t="s">
        <v>292</v>
      </c>
      <c r="AH134" t="s">
        <v>293</v>
      </c>
      <c r="AI134" t="s">
        <v>302</v>
      </c>
      <c r="AJ134" t="s">
        <v>302</v>
      </c>
      <c r="AK134" t="s">
        <v>359</v>
      </c>
      <c r="AL134" t="s">
        <v>293</v>
      </c>
      <c r="AM134" t="s">
        <v>293</v>
      </c>
      <c r="AN134" t="s">
        <v>297</v>
      </c>
      <c r="AO134" t="s">
        <v>298</v>
      </c>
      <c r="AP134" t="s">
        <v>293</v>
      </c>
      <c r="AQ134" t="s">
        <v>292</v>
      </c>
      <c r="AR134" t="s">
        <v>293</v>
      </c>
      <c r="AS134" t="s">
        <v>293</v>
      </c>
      <c r="AT134" t="s">
        <v>364</v>
      </c>
      <c r="AU134" t="str">
        <f t="shared" si="4"/>
        <v>break</v>
      </c>
    </row>
    <row r="135" spans="1:48" x14ac:dyDescent="0.3">
      <c r="A135" t="s">
        <v>9</v>
      </c>
      <c r="B135" t="s">
        <v>10</v>
      </c>
      <c r="C135" t="s">
        <v>26</v>
      </c>
      <c r="D135" t="s">
        <v>12</v>
      </c>
      <c r="E135" t="str">
        <f t="shared" si="5"/>
        <v>P_I7A-KYY-S_8O8</v>
      </c>
      <c r="F135" t="b">
        <v>1</v>
      </c>
      <c r="G135">
        <v>100</v>
      </c>
      <c r="H135">
        <v>1</v>
      </c>
      <c r="I135">
        <v>11665</v>
      </c>
      <c r="J135" s="61" t="s">
        <v>18</v>
      </c>
      <c r="K135" s="16" t="s">
        <v>272</v>
      </c>
      <c r="L135" s="16">
        <v>3</v>
      </c>
      <c r="M135" s="16" t="s">
        <v>277</v>
      </c>
      <c r="N135" s="16" t="s">
        <v>335</v>
      </c>
      <c r="O135" s="15" t="s">
        <v>281</v>
      </c>
      <c r="P135" t="s">
        <v>283</v>
      </c>
      <c r="Q135" t="s">
        <v>286</v>
      </c>
      <c r="R135" s="17" t="s">
        <v>371</v>
      </c>
      <c r="S135" s="16" t="s">
        <v>341</v>
      </c>
      <c r="T135" s="16" t="s">
        <v>340</v>
      </c>
      <c r="U135" s="15" t="s">
        <v>343</v>
      </c>
      <c r="V135" s="15" t="s">
        <v>344</v>
      </c>
      <c r="W135" s="17"/>
      <c r="X135" t="s">
        <v>349</v>
      </c>
      <c r="Y135" t="s">
        <v>349</v>
      </c>
      <c r="Z135" t="s">
        <v>293</v>
      </c>
      <c r="AA135" t="s">
        <v>352</v>
      </c>
      <c r="AB135" t="s">
        <v>296</v>
      </c>
      <c r="AC135" t="s">
        <v>301</v>
      </c>
      <c r="AD135" t="s">
        <v>292</v>
      </c>
      <c r="AE135" t="s">
        <v>293</v>
      </c>
      <c r="AF135" t="s">
        <v>292</v>
      </c>
      <c r="AG135" t="s">
        <v>292</v>
      </c>
      <c r="AH135" t="s">
        <v>293</v>
      </c>
      <c r="AI135" t="s">
        <v>302</v>
      </c>
      <c r="AJ135" t="s">
        <v>302</v>
      </c>
      <c r="AK135" t="s">
        <v>359</v>
      </c>
      <c r="AL135" t="s">
        <v>293</v>
      </c>
      <c r="AM135" t="s">
        <v>293</v>
      </c>
      <c r="AN135" t="s">
        <v>297</v>
      </c>
      <c r="AO135" t="s">
        <v>298</v>
      </c>
      <c r="AP135" t="s">
        <v>293</v>
      </c>
      <c r="AQ135" t="s">
        <v>292</v>
      </c>
      <c r="AR135" t="s">
        <v>293</v>
      </c>
      <c r="AS135" t="s">
        <v>293</v>
      </c>
      <c r="AT135" t="s">
        <v>364</v>
      </c>
      <c r="AU135" t="str">
        <f t="shared" si="4"/>
        <v>break</v>
      </c>
    </row>
    <row r="136" spans="1:48" s="38" customFormat="1" x14ac:dyDescent="0.3">
      <c r="A136" t="s">
        <v>9</v>
      </c>
      <c r="B136" t="s">
        <v>10</v>
      </c>
      <c r="C136" t="s">
        <v>22</v>
      </c>
      <c r="D136" t="s">
        <v>12</v>
      </c>
      <c r="E136" t="str">
        <f t="shared" si="5"/>
        <v>P_I7A-KYY-S_9B4</v>
      </c>
      <c r="F136" t="b">
        <v>1</v>
      </c>
      <c r="G136">
        <v>100</v>
      </c>
      <c r="H136">
        <v>1</v>
      </c>
      <c r="I136">
        <v>11364</v>
      </c>
      <c r="J136" s="61" t="s">
        <v>18</v>
      </c>
      <c r="K136" s="16" t="s">
        <v>272</v>
      </c>
      <c r="L136" s="16">
        <v>3</v>
      </c>
      <c r="M136" s="16" t="s">
        <v>277</v>
      </c>
      <c r="N136" s="16" t="s">
        <v>335</v>
      </c>
      <c r="O136" s="15" t="s">
        <v>283</v>
      </c>
      <c r="P136" t="s">
        <v>286</v>
      </c>
      <c r="Q136" t="s">
        <v>371</v>
      </c>
      <c r="R136" s="17" t="s">
        <v>371</v>
      </c>
      <c r="S136" s="16" t="s">
        <v>341</v>
      </c>
      <c r="T136" s="16" t="s">
        <v>340</v>
      </c>
      <c r="U136" s="15" t="s">
        <v>343</v>
      </c>
      <c r="V136" s="15" t="s">
        <v>344</v>
      </c>
      <c r="W136" s="17"/>
      <c r="X136" t="s">
        <v>349</v>
      </c>
      <c r="Y136" t="s">
        <v>349</v>
      </c>
      <c r="Z136" t="s">
        <v>293</v>
      </c>
      <c r="AA136" t="s">
        <v>352</v>
      </c>
      <c r="AB136" t="s">
        <v>296</v>
      </c>
      <c r="AC136" t="s">
        <v>300</v>
      </c>
      <c r="AD136" t="s">
        <v>292</v>
      </c>
      <c r="AE136" t="s">
        <v>293</v>
      </c>
      <c r="AF136" t="s">
        <v>292</v>
      </c>
      <c r="AG136" t="s">
        <v>292</v>
      </c>
      <c r="AH136" t="s">
        <v>293</v>
      </c>
      <c r="AI136" t="s">
        <v>302</v>
      </c>
      <c r="AJ136" t="s">
        <v>302</v>
      </c>
      <c r="AK136" t="s">
        <v>359</v>
      </c>
      <c r="AL136" t="s">
        <v>293</v>
      </c>
      <c r="AM136" t="s">
        <v>293</v>
      </c>
      <c r="AN136" t="s">
        <v>297</v>
      </c>
      <c r="AO136" t="s">
        <v>298</v>
      </c>
      <c r="AP136" t="s">
        <v>293</v>
      </c>
      <c r="AQ136" t="s">
        <v>292</v>
      </c>
      <c r="AR136" t="s">
        <v>293</v>
      </c>
      <c r="AS136" t="s">
        <v>293</v>
      </c>
      <c r="AT136" t="s">
        <v>364</v>
      </c>
      <c r="AU136" t="str">
        <f t="shared" si="4"/>
        <v>break</v>
      </c>
      <c r="AV136"/>
    </row>
    <row r="137" spans="1:48" x14ac:dyDescent="0.3">
      <c r="A137" t="s">
        <v>9</v>
      </c>
      <c r="B137" t="s">
        <v>10</v>
      </c>
      <c r="C137" t="s">
        <v>39</v>
      </c>
      <c r="D137" t="s">
        <v>29</v>
      </c>
      <c r="E137" t="str">
        <f t="shared" si="5"/>
        <v>P_I7A-ZSB-S_2I5</v>
      </c>
      <c r="F137" t="b">
        <v>1</v>
      </c>
      <c r="G137">
        <v>100</v>
      </c>
      <c r="H137">
        <v>1</v>
      </c>
      <c r="I137">
        <v>13269</v>
      </c>
      <c r="J137" s="61" t="s">
        <v>18</v>
      </c>
      <c r="K137" s="16" t="s">
        <v>272</v>
      </c>
      <c r="L137" s="16">
        <v>3</v>
      </c>
      <c r="M137" s="16" t="s">
        <v>333</v>
      </c>
      <c r="N137" s="16" t="s">
        <v>279</v>
      </c>
      <c r="O137" s="15" t="s">
        <v>283</v>
      </c>
      <c r="P137" t="s">
        <v>282</v>
      </c>
      <c r="Q137" t="s">
        <v>338</v>
      </c>
      <c r="R137" s="17" t="s">
        <v>371</v>
      </c>
      <c r="S137" s="16" t="s">
        <v>341</v>
      </c>
      <c r="T137" s="16" t="s">
        <v>340</v>
      </c>
      <c r="U137" s="15" t="s">
        <v>343</v>
      </c>
      <c r="V137" s="15" t="s">
        <v>344</v>
      </c>
      <c r="W137" s="17"/>
      <c r="X137" t="s">
        <v>349</v>
      </c>
      <c r="Y137" t="s">
        <v>349</v>
      </c>
      <c r="Z137" t="s">
        <v>293</v>
      </c>
      <c r="AA137" t="s">
        <v>352</v>
      </c>
      <c r="AB137" t="s">
        <v>296</v>
      </c>
      <c r="AC137" t="s">
        <v>301</v>
      </c>
      <c r="AD137" t="s">
        <v>292</v>
      </c>
      <c r="AE137" t="s">
        <v>293</v>
      </c>
      <c r="AF137" t="s">
        <v>292</v>
      </c>
      <c r="AG137" t="s">
        <v>292</v>
      </c>
      <c r="AH137" t="s">
        <v>293</v>
      </c>
      <c r="AI137" t="s">
        <v>302</v>
      </c>
      <c r="AJ137" t="s">
        <v>302</v>
      </c>
      <c r="AK137" t="s">
        <v>359</v>
      </c>
      <c r="AL137" t="s">
        <v>293</v>
      </c>
      <c r="AM137" t="s">
        <v>293</v>
      </c>
      <c r="AN137" t="s">
        <v>297</v>
      </c>
      <c r="AO137" t="s">
        <v>298</v>
      </c>
      <c r="AP137" t="s">
        <v>293</v>
      </c>
      <c r="AQ137" t="s">
        <v>292</v>
      </c>
      <c r="AR137" t="s">
        <v>293</v>
      </c>
      <c r="AS137" t="s">
        <v>293</v>
      </c>
      <c r="AT137" t="s">
        <v>364</v>
      </c>
      <c r="AU137" t="str">
        <f t="shared" si="4"/>
        <v>break</v>
      </c>
    </row>
    <row r="138" spans="1:48" x14ac:dyDescent="0.3">
      <c r="A138" t="s">
        <v>9</v>
      </c>
      <c r="B138" t="s">
        <v>10</v>
      </c>
      <c r="C138" t="s">
        <v>37</v>
      </c>
      <c r="D138" t="s">
        <v>29</v>
      </c>
      <c r="E138" t="str">
        <f t="shared" si="5"/>
        <v>P_I7A-ZSB-S_3A8</v>
      </c>
      <c r="F138" t="b">
        <v>1</v>
      </c>
      <c r="G138">
        <v>100</v>
      </c>
      <c r="H138">
        <v>1</v>
      </c>
      <c r="I138">
        <v>14668</v>
      </c>
      <c r="J138" s="61" t="s">
        <v>18</v>
      </c>
      <c r="K138" s="16" t="s">
        <v>272</v>
      </c>
      <c r="L138" s="16">
        <v>3</v>
      </c>
      <c r="M138" s="16" t="s">
        <v>277</v>
      </c>
      <c r="N138" s="16" t="s">
        <v>335</v>
      </c>
      <c r="O138" s="15" t="s">
        <v>273</v>
      </c>
      <c r="P138" t="s">
        <v>286</v>
      </c>
      <c r="Q138" t="s">
        <v>371</v>
      </c>
      <c r="R138" s="17" t="s">
        <v>371</v>
      </c>
      <c r="S138" s="16" t="s">
        <v>341</v>
      </c>
      <c r="T138" s="16" t="s">
        <v>340</v>
      </c>
      <c r="U138" s="15" t="s">
        <v>343</v>
      </c>
      <c r="V138" s="15" t="s">
        <v>344</v>
      </c>
      <c r="W138" s="17"/>
      <c r="X138" t="s">
        <v>349</v>
      </c>
      <c r="Y138" t="s">
        <v>349</v>
      </c>
      <c r="Z138" t="s">
        <v>293</v>
      </c>
      <c r="AA138" t="s">
        <v>353</v>
      </c>
      <c r="AB138" t="s">
        <v>296</v>
      </c>
      <c r="AC138" t="s">
        <v>301</v>
      </c>
      <c r="AD138" t="s">
        <v>292</v>
      </c>
      <c r="AE138" t="s">
        <v>293</v>
      </c>
      <c r="AF138" t="s">
        <v>292</v>
      </c>
      <c r="AG138" t="s">
        <v>292</v>
      </c>
      <c r="AH138" t="s">
        <v>293</v>
      </c>
      <c r="AI138" t="s">
        <v>302</v>
      </c>
      <c r="AJ138" t="s">
        <v>302</v>
      </c>
      <c r="AK138" t="s">
        <v>359</v>
      </c>
      <c r="AL138" t="s">
        <v>293</v>
      </c>
      <c r="AM138" t="s">
        <v>293</v>
      </c>
      <c r="AN138" t="s">
        <v>297</v>
      </c>
      <c r="AO138" t="s">
        <v>298</v>
      </c>
      <c r="AP138" t="s">
        <v>293</v>
      </c>
      <c r="AQ138" t="s">
        <v>292</v>
      </c>
      <c r="AR138" t="s">
        <v>293</v>
      </c>
      <c r="AS138" t="s">
        <v>293</v>
      </c>
      <c r="AT138" t="s">
        <v>364</v>
      </c>
      <c r="AU138" t="str">
        <f t="shared" si="4"/>
        <v>break</v>
      </c>
    </row>
    <row r="139" spans="1:48" x14ac:dyDescent="0.3">
      <c r="A139" t="s">
        <v>9</v>
      </c>
      <c r="B139" t="s">
        <v>10</v>
      </c>
      <c r="C139" t="s">
        <v>32</v>
      </c>
      <c r="D139" t="s">
        <v>29</v>
      </c>
      <c r="E139" t="str">
        <f t="shared" si="5"/>
        <v>P_I7A-ZSB-S_3B9</v>
      </c>
      <c r="F139" t="b">
        <v>1</v>
      </c>
      <c r="G139">
        <v>51.4</v>
      </c>
      <c r="H139">
        <v>0</v>
      </c>
      <c r="I139">
        <v>14956</v>
      </c>
      <c r="J139" s="61" t="s">
        <v>13</v>
      </c>
      <c r="K139" s="16" t="s">
        <v>273</v>
      </c>
      <c r="L139" s="16">
        <v>2</v>
      </c>
      <c r="M139" s="16" t="s">
        <v>333</v>
      </c>
      <c r="N139" s="16" t="s">
        <v>278</v>
      </c>
      <c r="O139" s="15" t="s">
        <v>283</v>
      </c>
      <c r="P139" t="s">
        <v>281</v>
      </c>
      <c r="Q139" t="s">
        <v>371</v>
      </c>
      <c r="R139" s="17" t="s">
        <v>371</v>
      </c>
      <c r="S139" s="16" t="s">
        <v>341</v>
      </c>
      <c r="T139" s="16" t="s">
        <v>342</v>
      </c>
      <c r="U139" s="15" t="s">
        <v>343</v>
      </c>
      <c r="V139" s="15" t="s">
        <v>344</v>
      </c>
      <c r="W139" s="17" t="s">
        <v>291</v>
      </c>
      <c r="X139" t="s">
        <v>349</v>
      </c>
      <c r="Y139" t="s">
        <v>349</v>
      </c>
      <c r="Z139" t="s">
        <v>293</v>
      </c>
      <c r="AA139" t="s">
        <v>353</v>
      </c>
      <c r="AB139" t="s">
        <v>296</v>
      </c>
      <c r="AC139" t="s">
        <v>300</v>
      </c>
      <c r="AD139" t="s">
        <v>292</v>
      </c>
      <c r="AE139" t="s">
        <v>293</v>
      </c>
      <c r="AF139" t="s">
        <v>292</v>
      </c>
      <c r="AG139" t="s">
        <v>292</v>
      </c>
      <c r="AH139" t="s">
        <v>293</v>
      </c>
      <c r="AI139" t="s">
        <v>302</v>
      </c>
      <c r="AJ139" t="s">
        <v>357</v>
      </c>
      <c r="AK139" t="s">
        <v>359</v>
      </c>
      <c r="AL139" t="s">
        <v>293</v>
      </c>
      <c r="AM139" t="s">
        <v>293</v>
      </c>
      <c r="AN139" t="s">
        <v>297</v>
      </c>
      <c r="AO139" t="s">
        <v>298</v>
      </c>
      <c r="AP139" t="s">
        <v>293</v>
      </c>
      <c r="AQ139" t="s">
        <v>292</v>
      </c>
      <c r="AR139" t="s">
        <v>293</v>
      </c>
      <c r="AS139" t="s">
        <v>293</v>
      </c>
      <c r="AT139" t="s">
        <v>364</v>
      </c>
      <c r="AU139" t="str">
        <f t="shared" si="4"/>
        <v>no_fail</v>
      </c>
    </row>
    <row r="140" spans="1:48" x14ac:dyDescent="0.3">
      <c r="A140" t="s">
        <v>9</v>
      </c>
      <c r="B140" t="s">
        <v>10</v>
      </c>
      <c r="C140" t="s">
        <v>30</v>
      </c>
      <c r="D140" t="s">
        <v>29</v>
      </c>
      <c r="E140" t="str">
        <f t="shared" si="5"/>
        <v>P_I7A-ZSB-S_3X7</v>
      </c>
      <c r="F140" t="b">
        <v>1</v>
      </c>
      <c r="G140">
        <v>100</v>
      </c>
      <c r="H140">
        <v>1</v>
      </c>
      <c r="I140">
        <v>14222</v>
      </c>
      <c r="J140" s="61" t="s">
        <v>18</v>
      </c>
      <c r="K140" s="16" t="s">
        <v>273</v>
      </c>
      <c r="L140" s="16">
        <v>2</v>
      </c>
      <c r="M140" s="16" t="s">
        <v>333</v>
      </c>
      <c r="N140" s="16" t="s">
        <v>278</v>
      </c>
      <c r="O140" s="15" t="s">
        <v>283</v>
      </c>
      <c r="P140" t="s">
        <v>284</v>
      </c>
      <c r="Q140" t="s">
        <v>371</v>
      </c>
      <c r="R140" s="17" t="s">
        <v>371</v>
      </c>
      <c r="S140" s="16" t="s">
        <v>341</v>
      </c>
      <c r="T140" s="16" t="s">
        <v>342</v>
      </c>
      <c r="U140" s="15" t="s">
        <v>343</v>
      </c>
      <c r="V140" s="15" t="s">
        <v>344</v>
      </c>
      <c r="W140" s="17" t="s">
        <v>291</v>
      </c>
      <c r="X140" t="s">
        <v>349</v>
      </c>
      <c r="Y140" t="s">
        <v>349</v>
      </c>
      <c r="Z140" t="s">
        <v>293</v>
      </c>
      <c r="AA140" t="s">
        <v>353</v>
      </c>
      <c r="AB140" t="s">
        <v>296</v>
      </c>
      <c r="AC140" t="s">
        <v>300</v>
      </c>
      <c r="AD140" t="s">
        <v>292</v>
      </c>
      <c r="AE140" t="s">
        <v>293</v>
      </c>
      <c r="AF140" t="s">
        <v>292</v>
      </c>
      <c r="AG140" t="s">
        <v>292</v>
      </c>
      <c r="AH140" t="s">
        <v>293</v>
      </c>
      <c r="AI140" t="s">
        <v>302</v>
      </c>
      <c r="AJ140" t="s">
        <v>357</v>
      </c>
      <c r="AK140" t="s">
        <v>359</v>
      </c>
      <c r="AL140" t="s">
        <v>293</v>
      </c>
      <c r="AM140" t="s">
        <v>293</v>
      </c>
      <c r="AN140" t="s">
        <v>297</v>
      </c>
      <c r="AO140" t="s">
        <v>298</v>
      </c>
      <c r="AP140" t="s">
        <v>293</v>
      </c>
      <c r="AQ140" t="s">
        <v>292</v>
      </c>
      <c r="AR140" t="s">
        <v>293</v>
      </c>
      <c r="AS140" t="s">
        <v>293</v>
      </c>
      <c r="AT140" t="s">
        <v>364</v>
      </c>
      <c r="AU140" t="str">
        <f t="shared" si="4"/>
        <v>break</v>
      </c>
    </row>
    <row r="141" spans="1:48" x14ac:dyDescent="0.3">
      <c r="A141" t="s">
        <v>9</v>
      </c>
      <c r="B141" t="s">
        <v>10</v>
      </c>
      <c r="C141" t="s">
        <v>41</v>
      </c>
      <c r="D141" t="s">
        <v>29</v>
      </c>
      <c r="E141" t="str">
        <f t="shared" si="5"/>
        <v>P_I7A-ZSB-S_4B4</v>
      </c>
      <c r="F141" t="b">
        <v>1</v>
      </c>
      <c r="G141">
        <v>100</v>
      </c>
      <c r="H141">
        <v>1</v>
      </c>
      <c r="I141">
        <v>12926</v>
      </c>
      <c r="J141" s="61" t="s">
        <v>18</v>
      </c>
      <c r="K141" s="16" t="s">
        <v>272</v>
      </c>
      <c r="L141" s="16">
        <v>3</v>
      </c>
      <c r="M141" s="16" t="s">
        <v>333</v>
      </c>
      <c r="N141" s="16" t="s">
        <v>279</v>
      </c>
      <c r="O141" s="15" t="s">
        <v>283</v>
      </c>
      <c r="P141" t="s">
        <v>282</v>
      </c>
      <c r="Q141" t="s">
        <v>338</v>
      </c>
      <c r="R141" s="17" t="s">
        <v>371</v>
      </c>
      <c r="S141" s="16" t="s">
        <v>341</v>
      </c>
      <c r="T141" s="16" t="s">
        <v>340</v>
      </c>
      <c r="U141" s="15" t="s">
        <v>343</v>
      </c>
      <c r="V141" s="15" t="s">
        <v>344</v>
      </c>
      <c r="W141" s="17"/>
      <c r="X141" t="s">
        <v>350</v>
      </c>
      <c r="Y141" t="s">
        <v>349</v>
      </c>
      <c r="Z141" t="s">
        <v>293</v>
      </c>
      <c r="AA141" t="s">
        <v>353</v>
      </c>
      <c r="AB141" t="s">
        <v>296</v>
      </c>
      <c r="AC141" t="s">
        <v>301</v>
      </c>
      <c r="AD141" t="s">
        <v>292</v>
      </c>
      <c r="AE141" t="s">
        <v>293</v>
      </c>
      <c r="AF141" t="s">
        <v>292</v>
      </c>
      <c r="AG141" t="s">
        <v>292</v>
      </c>
      <c r="AH141" t="s">
        <v>293</v>
      </c>
      <c r="AI141" t="s">
        <v>302</v>
      </c>
      <c r="AJ141" t="s">
        <v>302</v>
      </c>
      <c r="AK141" t="s">
        <v>359</v>
      </c>
      <c r="AL141" t="s">
        <v>293</v>
      </c>
      <c r="AM141" t="s">
        <v>293</v>
      </c>
      <c r="AN141" t="s">
        <v>297</v>
      </c>
      <c r="AO141" t="s">
        <v>298</v>
      </c>
      <c r="AP141" t="s">
        <v>293</v>
      </c>
      <c r="AQ141" t="s">
        <v>292</v>
      </c>
      <c r="AR141" t="s">
        <v>293</v>
      </c>
      <c r="AS141" t="s">
        <v>293</v>
      </c>
      <c r="AT141" t="s">
        <v>364</v>
      </c>
      <c r="AU141" t="str">
        <f t="shared" si="4"/>
        <v>break</v>
      </c>
    </row>
    <row r="142" spans="1:48" x14ac:dyDescent="0.3">
      <c r="A142" t="s">
        <v>9</v>
      </c>
      <c r="B142" t="s">
        <v>10</v>
      </c>
      <c r="C142" t="s">
        <v>40</v>
      </c>
      <c r="D142" t="s">
        <v>29</v>
      </c>
      <c r="E142" t="str">
        <f t="shared" si="5"/>
        <v>P_I7A-ZSB-S_5N2</v>
      </c>
      <c r="F142" t="b">
        <v>1</v>
      </c>
      <c r="G142">
        <v>100</v>
      </c>
      <c r="H142">
        <v>1</v>
      </c>
      <c r="I142">
        <v>13632</v>
      </c>
      <c r="J142" s="61" t="s">
        <v>18</v>
      </c>
      <c r="K142" s="16" t="s">
        <v>272</v>
      </c>
      <c r="L142" s="16">
        <v>3</v>
      </c>
      <c r="M142" s="16" t="s">
        <v>333</v>
      </c>
      <c r="N142" s="16" t="s">
        <v>279</v>
      </c>
      <c r="O142" s="15" t="s">
        <v>283</v>
      </c>
      <c r="P142" t="s">
        <v>282</v>
      </c>
      <c r="Q142" t="s">
        <v>338</v>
      </c>
      <c r="R142" s="17" t="s">
        <v>371</v>
      </c>
      <c r="S142" s="16" t="s">
        <v>341</v>
      </c>
      <c r="T142" s="16" t="s">
        <v>340</v>
      </c>
      <c r="U142" s="15" t="s">
        <v>343</v>
      </c>
      <c r="V142" s="15" t="s">
        <v>344</v>
      </c>
      <c r="W142" s="17"/>
      <c r="X142" t="s">
        <v>350</v>
      </c>
      <c r="Y142" t="s">
        <v>349</v>
      </c>
      <c r="Z142" t="s">
        <v>293</v>
      </c>
      <c r="AA142" t="s">
        <v>352</v>
      </c>
      <c r="AB142" t="s">
        <v>296</v>
      </c>
      <c r="AC142" t="s">
        <v>301</v>
      </c>
      <c r="AD142" t="s">
        <v>292</v>
      </c>
      <c r="AE142" t="s">
        <v>293</v>
      </c>
      <c r="AF142" t="s">
        <v>292</v>
      </c>
      <c r="AG142" t="s">
        <v>292</v>
      </c>
      <c r="AH142" t="s">
        <v>293</v>
      </c>
      <c r="AI142" t="s">
        <v>302</v>
      </c>
      <c r="AJ142" t="s">
        <v>302</v>
      </c>
      <c r="AK142" t="s">
        <v>359</v>
      </c>
      <c r="AL142" t="s">
        <v>293</v>
      </c>
      <c r="AM142" t="s">
        <v>293</v>
      </c>
      <c r="AN142" t="s">
        <v>297</v>
      </c>
      <c r="AO142" t="s">
        <v>298</v>
      </c>
      <c r="AP142" t="s">
        <v>293</v>
      </c>
      <c r="AQ142" t="s">
        <v>292</v>
      </c>
      <c r="AR142" t="s">
        <v>293</v>
      </c>
      <c r="AS142" t="s">
        <v>293</v>
      </c>
      <c r="AT142" t="s">
        <v>364</v>
      </c>
      <c r="AU142" t="str">
        <f t="shared" ref="AU142:AU205" si="6">IF(J142="fail",IF(H142=1,"break","car_stuck"),"no_fail")</f>
        <v>break</v>
      </c>
    </row>
    <row r="143" spans="1:48" x14ac:dyDescent="0.3">
      <c r="A143" t="s">
        <v>9</v>
      </c>
      <c r="B143" t="s">
        <v>10</v>
      </c>
      <c r="C143" t="s">
        <v>38</v>
      </c>
      <c r="D143" t="s">
        <v>29</v>
      </c>
      <c r="E143" t="str">
        <f t="shared" si="5"/>
        <v>P_I7A-ZSB-S_7X6</v>
      </c>
      <c r="F143" t="b">
        <v>1</v>
      </c>
      <c r="G143">
        <v>100</v>
      </c>
      <c r="H143">
        <v>1</v>
      </c>
      <c r="I143">
        <v>16019</v>
      </c>
      <c r="J143" s="61" t="s">
        <v>18</v>
      </c>
      <c r="K143" s="16" t="s">
        <v>272</v>
      </c>
      <c r="L143" s="16">
        <v>3</v>
      </c>
      <c r="M143" s="16" t="s">
        <v>277</v>
      </c>
      <c r="N143" s="16" t="s">
        <v>335</v>
      </c>
      <c r="O143" s="15" t="s">
        <v>273</v>
      </c>
      <c r="P143" t="s">
        <v>338</v>
      </c>
      <c r="Q143" t="s">
        <v>371</v>
      </c>
      <c r="R143" s="17" t="s">
        <v>371</v>
      </c>
      <c r="S143" s="16" t="s">
        <v>341</v>
      </c>
      <c r="T143" s="16" t="s">
        <v>340</v>
      </c>
      <c r="U143" s="15" t="s">
        <v>343</v>
      </c>
      <c r="V143" s="15" t="s">
        <v>344</v>
      </c>
      <c r="W143" s="17"/>
      <c r="X143" t="s">
        <v>349</v>
      </c>
      <c r="Y143" t="s">
        <v>349</v>
      </c>
      <c r="Z143" t="s">
        <v>293</v>
      </c>
      <c r="AA143" t="s">
        <v>353</v>
      </c>
      <c r="AB143" t="s">
        <v>296</v>
      </c>
      <c r="AC143" t="s">
        <v>301</v>
      </c>
      <c r="AD143" t="s">
        <v>292</v>
      </c>
      <c r="AE143" t="s">
        <v>293</v>
      </c>
      <c r="AF143" t="s">
        <v>292</v>
      </c>
      <c r="AG143" t="s">
        <v>292</v>
      </c>
      <c r="AH143" t="s">
        <v>293</v>
      </c>
      <c r="AI143" t="s">
        <v>302</v>
      </c>
      <c r="AJ143" t="s">
        <v>302</v>
      </c>
      <c r="AK143" t="s">
        <v>359</v>
      </c>
      <c r="AL143" t="s">
        <v>293</v>
      </c>
      <c r="AM143" t="s">
        <v>293</v>
      </c>
      <c r="AN143" t="s">
        <v>297</v>
      </c>
      <c r="AO143" t="s">
        <v>298</v>
      </c>
      <c r="AP143" t="s">
        <v>293</v>
      </c>
      <c r="AQ143" t="s">
        <v>292</v>
      </c>
      <c r="AR143" t="s">
        <v>293</v>
      </c>
      <c r="AS143" t="s">
        <v>293</v>
      </c>
      <c r="AT143" t="s">
        <v>364</v>
      </c>
      <c r="AU143" t="str">
        <f t="shared" si="6"/>
        <v>break</v>
      </c>
    </row>
    <row r="144" spans="1:48" x14ac:dyDescent="0.3">
      <c r="A144" t="s">
        <v>9</v>
      </c>
      <c r="B144" t="s">
        <v>10</v>
      </c>
      <c r="C144" t="s">
        <v>34</v>
      </c>
      <c r="D144" t="s">
        <v>29</v>
      </c>
      <c r="E144" t="str">
        <f t="shared" si="5"/>
        <v>P_I7A-ZSB-S_8A5</v>
      </c>
      <c r="F144" t="b">
        <v>1</v>
      </c>
      <c r="G144">
        <v>100</v>
      </c>
      <c r="H144">
        <v>1</v>
      </c>
      <c r="I144">
        <v>14212</v>
      </c>
      <c r="J144" s="61" t="s">
        <v>18</v>
      </c>
      <c r="K144" s="16" t="s">
        <v>273</v>
      </c>
      <c r="L144" s="16">
        <v>2</v>
      </c>
      <c r="M144" s="16" t="s">
        <v>333</v>
      </c>
      <c r="N144" s="16" t="s">
        <v>278</v>
      </c>
      <c r="O144" s="15" t="s">
        <v>283</v>
      </c>
      <c r="P144" t="s">
        <v>281</v>
      </c>
      <c r="Q144" t="s">
        <v>371</v>
      </c>
      <c r="R144" s="17" t="s">
        <v>371</v>
      </c>
      <c r="S144" s="16" t="s">
        <v>341</v>
      </c>
      <c r="T144" s="16" t="s">
        <v>342</v>
      </c>
      <c r="U144" s="15" t="s">
        <v>343</v>
      </c>
      <c r="V144" s="15" t="s">
        <v>344</v>
      </c>
      <c r="W144" s="17"/>
      <c r="X144" t="s">
        <v>349</v>
      </c>
      <c r="Y144" t="s">
        <v>349</v>
      </c>
      <c r="Z144" t="s">
        <v>293</v>
      </c>
      <c r="AA144" t="s">
        <v>353</v>
      </c>
      <c r="AB144" t="s">
        <v>296</v>
      </c>
      <c r="AC144" t="s">
        <v>300</v>
      </c>
      <c r="AD144" t="s">
        <v>292</v>
      </c>
      <c r="AE144" t="s">
        <v>293</v>
      </c>
      <c r="AF144" t="s">
        <v>292</v>
      </c>
      <c r="AG144" t="s">
        <v>292</v>
      </c>
      <c r="AH144" t="s">
        <v>293</v>
      </c>
      <c r="AI144" t="s">
        <v>302</v>
      </c>
      <c r="AJ144" t="s">
        <v>357</v>
      </c>
      <c r="AK144" t="s">
        <v>359</v>
      </c>
      <c r="AL144" t="s">
        <v>293</v>
      </c>
      <c r="AM144" t="s">
        <v>293</v>
      </c>
      <c r="AN144" t="s">
        <v>297</v>
      </c>
      <c r="AO144" t="s">
        <v>298</v>
      </c>
      <c r="AP144" t="s">
        <v>293</v>
      </c>
      <c r="AQ144" t="s">
        <v>292</v>
      </c>
      <c r="AR144" t="s">
        <v>293</v>
      </c>
      <c r="AS144" t="s">
        <v>293</v>
      </c>
      <c r="AT144" t="s">
        <v>364</v>
      </c>
      <c r="AU144" t="str">
        <f t="shared" si="6"/>
        <v>break</v>
      </c>
    </row>
    <row r="145" spans="1:47" x14ac:dyDescent="0.3">
      <c r="A145" t="s">
        <v>9</v>
      </c>
      <c r="B145" t="s">
        <v>10</v>
      </c>
      <c r="C145" t="s">
        <v>42</v>
      </c>
      <c r="D145" t="s">
        <v>29</v>
      </c>
      <c r="E145" t="str">
        <f t="shared" si="5"/>
        <v>P_I7A-ZSB-S_8C2</v>
      </c>
      <c r="F145" t="b">
        <v>1</v>
      </c>
      <c r="G145">
        <v>100</v>
      </c>
      <c r="H145">
        <v>1</v>
      </c>
      <c r="I145">
        <v>14591</v>
      </c>
      <c r="J145" s="61" t="s">
        <v>13</v>
      </c>
      <c r="K145" s="16" t="s">
        <v>272</v>
      </c>
      <c r="L145" s="16">
        <v>3</v>
      </c>
      <c r="M145" s="16" t="s">
        <v>333</v>
      </c>
      <c r="N145" s="16" t="s">
        <v>279</v>
      </c>
      <c r="O145" s="15" t="s">
        <v>283</v>
      </c>
      <c r="P145" t="s">
        <v>282</v>
      </c>
      <c r="Q145" t="s">
        <v>338</v>
      </c>
      <c r="R145" s="17" t="s">
        <v>371</v>
      </c>
      <c r="S145" s="16" t="s">
        <v>341</v>
      </c>
      <c r="T145" s="16" t="s">
        <v>340</v>
      </c>
      <c r="U145" s="15" t="s">
        <v>343</v>
      </c>
      <c r="V145" s="15" t="s">
        <v>344</v>
      </c>
      <c r="W145" s="17"/>
      <c r="X145" t="s">
        <v>350</v>
      </c>
      <c r="Y145" t="s">
        <v>349</v>
      </c>
      <c r="Z145" t="s">
        <v>293</v>
      </c>
      <c r="AA145" t="s">
        <v>353</v>
      </c>
      <c r="AB145" t="s">
        <v>296</v>
      </c>
      <c r="AC145" t="s">
        <v>300</v>
      </c>
      <c r="AD145" t="s">
        <v>292</v>
      </c>
      <c r="AE145" t="s">
        <v>293</v>
      </c>
      <c r="AF145" t="s">
        <v>292</v>
      </c>
      <c r="AG145" t="s">
        <v>292</v>
      </c>
      <c r="AH145" t="s">
        <v>293</v>
      </c>
      <c r="AI145" t="s">
        <v>302</v>
      </c>
      <c r="AJ145" t="s">
        <v>302</v>
      </c>
      <c r="AK145" t="s">
        <v>359</v>
      </c>
      <c r="AL145" t="s">
        <v>293</v>
      </c>
      <c r="AM145" t="s">
        <v>293</v>
      </c>
      <c r="AN145" t="s">
        <v>297</v>
      </c>
      <c r="AO145" t="s">
        <v>298</v>
      </c>
      <c r="AP145" t="s">
        <v>293</v>
      </c>
      <c r="AQ145" t="s">
        <v>292</v>
      </c>
      <c r="AR145" t="s">
        <v>293</v>
      </c>
      <c r="AS145" t="s">
        <v>293</v>
      </c>
      <c r="AT145" t="s">
        <v>364</v>
      </c>
      <c r="AU145" t="str">
        <f t="shared" si="6"/>
        <v>no_fail</v>
      </c>
    </row>
    <row r="146" spans="1:47" x14ac:dyDescent="0.3">
      <c r="A146" t="s">
        <v>9</v>
      </c>
      <c r="B146" t="s">
        <v>10</v>
      </c>
      <c r="C146" t="s">
        <v>36</v>
      </c>
      <c r="D146" t="s">
        <v>29</v>
      </c>
      <c r="E146" t="str">
        <f t="shared" si="5"/>
        <v>P_I7A-ZSB-S_8D0</v>
      </c>
      <c r="F146" t="b">
        <v>1</v>
      </c>
      <c r="G146">
        <v>100</v>
      </c>
      <c r="H146">
        <v>1</v>
      </c>
      <c r="I146">
        <v>14106</v>
      </c>
      <c r="J146" s="61" t="s">
        <v>18</v>
      </c>
      <c r="K146" s="16" t="s">
        <v>272</v>
      </c>
      <c r="L146" s="16">
        <v>3</v>
      </c>
      <c r="M146" s="16" t="s">
        <v>277</v>
      </c>
      <c r="N146" s="16" t="s">
        <v>335</v>
      </c>
      <c r="O146" s="15" t="s">
        <v>273</v>
      </c>
      <c r="P146" t="s">
        <v>286</v>
      </c>
      <c r="Q146" t="s">
        <v>371</v>
      </c>
      <c r="R146" s="17" t="s">
        <v>371</v>
      </c>
      <c r="S146" s="16" t="s">
        <v>341</v>
      </c>
      <c r="T146" s="16" t="s">
        <v>340</v>
      </c>
      <c r="U146" s="15" t="s">
        <v>343</v>
      </c>
      <c r="V146" s="15" t="s">
        <v>344</v>
      </c>
      <c r="W146" s="17"/>
      <c r="X146" t="s">
        <v>349</v>
      </c>
      <c r="Y146" t="s">
        <v>349</v>
      </c>
      <c r="Z146" t="s">
        <v>293</v>
      </c>
      <c r="AA146" t="s">
        <v>353</v>
      </c>
      <c r="AB146" t="s">
        <v>296</v>
      </c>
      <c r="AC146" t="s">
        <v>301</v>
      </c>
      <c r="AD146" t="s">
        <v>292</v>
      </c>
      <c r="AE146" t="s">
        <v>293</v>
      </c>
      <c r="AF146" t="s">
        <v>292</v>
      </c>
      <c r="AG146" t="s">
        <v>292</v>
      </c>
      <c r="AH146" t="s">
        <v>293</v>
      </c>
      <c r="AI146" t="s">
        <v>302</v>
      </c>
      <c r="AJ146" t="s">
        <v>302</v>
      </c>
      <c r="AK146" t="s">
        <v>359</v>
      </c>
      <c r="AL146" t="s">
        <v>293</v>
      </c>
      <c r="AM146" t="s">
        <v>293</v>
      </c>
      <c r="AN146" t="s">
        <v>297</v>
      </c>
      <c r="AO146" t="s">
        <v>298</v>
      </c>
      <c r="AP146" t="s">
        <v>293</v>
      </c>
      <c r="AQ146" t="s">
        <v>292</v>
      </c>
      <c r="AR146" t="s">
        <v>293</v>
      </c>
      <c r="AS146" t="s">
        <v>293</v>
      </c>
      <c r="AT146" t="s">
        <v>364</v>
      </c>
      <c r="AU146" t="str">
        <f t="shared" si="6"/>
        <v>break</v>
      </c>
    </row>
    <row r="147" spans="1:47" x14ac:dyDescent="0.3">
      <c r="A147" t="s">
        <v>9</v>
      </c>
      <c r="B147" t="s">
        <v>10</v>
      </c>
      <c r="C147" t="s">
        <v>33</v>
      </c>
      <c r="D147" t="s">
        <v>29</v>
      </c>
      <c r="E147" t="str">
        <f t="shared" si="5"/>
        <v>P_I7A-ZSB-S_8I8</v>
      </c>
      <c r="F147" t="b">
        <v>1</v>
      </c>
      <c r="G147">
        <v>100</v>
      </c>
      <c r="H147">
        <v>1</v>
      </c>
      <c r="I147">
        <v>13950</v>
      </c>
      <c r="J147" s="61" t="s">
        <v>18</v>
      </c>
      <c r="K147" s="16" t="s">
        <v>273</v>
      </c>
      <c r="L147" s="16">
        <v>2</v>
      </c>
      <c r="M147" s="16" t="s">
        <v>333</v>
      </c>
      <c r="N147" s="16" t="s">
        <v>278</v>
      </c>
      <c r="O147" s="15" t="s">
        <v>283</v>
      </c>
      <c r="P147" t="s">
        <v>281</v>
      </c>
      <c r="Q147" t="s">
        <v>371</v>
      </c>
      <c r="R147" s="17" t="s">
        <v>371</v>
      </c>
      <c r="S147" s="16" t="s">
        <v>341</v>
      </c>
      <c r="T147" s="16" t="s">
        <v>342</v>
      </c>
      <c r="U147" s="15" t="s">
        <v>343</v>
      </c>
      <c r="V147" s="15" t="s">
        <v>344</v>
      </c>
      <c r="W147" s="17"/>
      <c r="X147" t="s">
        <v>349</v>
      </c>
      <c r="Y147" t="s">
        <v>349</v>
      </c>
      <c r="Z147" t="s">
        <v>293</v>
      </c>
      <c r="AA147" t="s">
        <v>353</v>
      </c>
      <c r="AB147" t="s">
        <v>296</v>
      </c>
      <c r="AC147" t="s">
        <v>300</v>
      </c>
      <c r="AD147" t="s">
        <v>292</v>
      </c>
      <c r="AE147" t="s">
        <v>293</v>
      </c>
      <c r="AF147" t="s">
        <v>292</v>
      </c>
      <c r="AG147" t="s">
        <v>292</v>
      </c>
      <c r="AH147" t="s">
        <v>293</v>
      </c>
      <c r="AI147" t="s">
        <v>302</v>
      </c>
      <c r="AJ147" t="s">
        <v>357</v>
      </c>
      <c r="AK147" t="s">
        <v>359</v>
      </c>
      <c r="AL147" t="s">
        <v>293</v>
      </c>
      <c r="AM147" t="s">
        <v>293</v>
      </c>
      <c r="AN147" t="s">
        <v>297</v>
      </c>
      <c r="AO147" t="s">
        <v>298</v>
      </c>
      <c r="AP147" t="s">
        <v>293</v>
      </c>
      <c r="AQ147" t="s">
        <v>292</v>
      </c>
      <c r="AR147" t="s">
        <v>293</v>
      </c>
      <c r="AS147" t="s">
        <v>293</v>
      </c>
      <c r="AT147" t="s">
        <v>364</v>
      </c>
      <c r="AU147" t="str">
        <f t="shared" si="6"/>
        <v>break</v>
      </c>
    </row>
    <row r="148" spans="1:47" x14ac:dyDescent="0.3">
      <c r="A148" t="s">
        <v>9</v>
      </c>
      <c r="B148" t="s">
        <v>10</v>
      </c>
      <c r="C148" t="s">
        <v>31</v>
      </c>
      <c r="D148" t="s">
        <v>29</v>
      </c>
      <c r="E148" t="str">
        <f t="shared" si="5"/>
        <v>P_I7A-ZSB-S_9E0</v>
      </c>
      <c r="F148" t="b">
        <v>1</v>
      </c>
      <c r="G148">
        <v>100</v>
      </c>
      <c r="H148">
        <v>1</v>
      </c>
      <c r="I148">
        <v>17083</v>
      </c>
      <c r="J148" s="61" t="s">
        <v>18</v>
      </c>
      <c r="K148" s="16" t="s">
        <v>273</v>
      </c>
      <c r="L148" s="16">
        <v>2</v>
      </c>
      <c r="M148" s="16" t="s">
        <v>333</v>
      </c>
      <c r="N148" s="16" t="s">
        <v>278</v>
      </c>
      <c r="O148" s="15" t="s">
        <v>283</v>
      </c>
      <c r="P148" t="s">
        <v>281</v>
      </c>
      <c r="Q148" t="s">
        <v>371</v>
      </c>
      <c r="R148" s="17" t="s">
        <v>371</v>
      </c>
      <c r="S148" s="16" t="s">
        <v>341</v>
      </c>
      <c r="T148" s="16" t="s">
        <v>342</v>
      </c>
      <c r="U148" s="15" t="s">
        <v>343</v>
      </c>
      <c r="V148" s="15" t="s">
        <v>344</v>
      </c>
      <c r="W148" s="17"/>
      <c r="X148" t="s">
        <v>349</v>
      </c>
      <c r="Y148" t="s">
        <v>349</v>
      </c>
      <c r="Z148" t="s">
        <v>293</v>
      </c>
      <c r="AA148" t="s">
        <v>353</v>
      </c>
      <c r="AB148" t="s">
        <v>296</v>
      </c>
      <c r="AC148" t="s">
        <v>301</v>
      </c>
      <c r="AD148" t="s">
        <v>292</v>
      </c>
      <c r="AE148" t="s">
        <v>293</v>
      </c>
      <c r="AF148" t="s">
        <v>292</v>
      </c>
      <c r="AG148" t="s">
        <v>292</v>
      </c>
      <c r="AH148" t="s">
        <v>293</v>
      </c>
      <c r="AI148" t="s">
        <v>302</v>
      </c>
      <c r="AJ148" t="s">
        <v>357</v>
      </c>
      <c r="AK148" t="s">
        <v>359</v>
      </c>
      <c r="AL148" t="s">
        <v>293</v>
      </c>
      <c r="AM148" t="s">
        <v>293</v>
      </c>
      <c r="AN148" t="s">
        <v>297</v>
      </c>
      <c r="AO148" t="s">
        <v>298</v>
      </c>
      <c r="AP148" t="s">
        <v>293</v>
      </c>
      <c r="AQ148" t="s">
        <v>292</v>
      </c>
      <c r="AR148" t="s">
        <v>293</v>
      </c>
      <c r="AS148" t="s">
        <v>293</v>
      </c>
      <c r="AT148" t="s">
        <v>364</v>
      </c>
      <c r="AU148" t="str">
        <f t="shared" si="6"/>
        <v>break</v>
      </c>
    </row>
    <row r="149" spans="1:47" x14ac:dyDescent="0.3">
      <c r="A149" t="s">
        <v>9</v>
      </c>
      <c r="B149" t="s">
        <v>10</v>
      </c>
      <c r="C149" t="s">
        <v>28</v>
      </c>
      <c r="D149" t="s">
        <v>29</v>
      </c>
      <c r="E149" t="str">
        <f t="shared" si="5"/>
        <v>P_I7A-ZSB-S_9T2</v>
      </c>
      <c r="F149" t="b">
        <v>1</v>
      </c>
      <c r="G149">
        <v>100</v>
      </c>
      <c r="H149">
        <v>1</v>
      </c>
      <c r="I149">
        <v>10885</v>
      </c>
      <c r="J149" s="61" t="s">
        <v>18</v>
      </c>
      <c r="K149" s="16" t="s">
        <v>273</v>
      </c>
      <c r="L149" s="16">
        <v>2</v>
      </c>
      <c r="M149" s="16" t="s">
        <v>333</v>
      </c>
      <c r="N149" s="16" t="s">
        <v>278</v>
      </c>
      <c r="O149" s="15" t="s">
        <v>283</v>
      </c>
      <c r="P149" t="s">
        <v>281</v>
      </c>
      <c r="Q149" t="s">
        <v>371</v>
      </c>
      <c r="R149" s="17" t="s">
        <v>371</v>
      </c>
      <c r="S149" s="16" t="s">
        <v>341</v>
      </c>
      <c r="T149" s="16" t="s">
        <v>340</v>
      </c>
      <c r="U149" s="15" t="s">
        <v>343</v>
      </c>
      <c r="V149" s="15" t="s">
        <v>344</v>
      </c>
      <c r="W149" s="17"/>
      <c r="X149" t="s">
        <v>349</v>
      </c>
      <c r="Y149" t="s">
        <v>349</v>
      </c>
      <c r="Z149" t="s">
        <v>293</v>
      </c>
      <c r="AA149" t="s">
        <v>352</v>
      </c>
      <c r="AB149" t="s">
        <v>296</v>
      </c>
      <c r="AC149" t="s">
        <v>301</v>
      </c>
      <c r="AD149" t="s">
        <v>292</v>
      </c>
      <c r="AE149" t="s">
        <v>293</v>
      </c>
      <c r="AF149" t="s">
        <v>292</v>
      </c>
      <c r="AG149" t="s">
        <v>292</v>
      </c>
      <c r="AH149" t="s">
        <v>293</v>
      </c>
      <c r="AI149" t="s">
        <v>302</v>
      </c>
      <c r="AJ149" t="s">
        <v>357</v>
      </c>
      <c r="AK149" t="s">
        <v>359</v>
      </c>
      <c r="AL149" t="s">
        <v>293</v>
      </c>
      <c r="AM149" t="s">
        <v>293</v>
      </c>
      <c r="AN149" t="s">
        <v>297</v>
      </c>
      <c r="AO149" t="s">
        <v>298</v>
      </c>
      <c r="AP149" t="s">
        <v>293</v>
      </c>
      <c r="AQ149" t="s">
        <v>292</v>
      </c>
      <c r="AR149" t="s">
        <v>293</v>
      </c>
      <c r="AS149" t="s">
        <v>293</v>
      </c>
      <c r="AT149" t="s">
        <v>364</v>
      </c>
      <c r="AU149" t="str">
        <f t="shared" si="6"/>
        <v>break</v>
      </c>
    </row>
    <row r="150" spans="1:47" x14ac:dyDescent="0.3">
      <c r="A150" t="s">
        <v>9</v>
      </c>
      <c r="B150" t="s">
        <v>10</v>
      </c>
      <c r="C150" t="s">
        <v>35</v>
      </c>
      <c r="D150" t="s">
        <v>29</v>
      </c>
      <c r="E150" t="str">
        <f t="shared" si="5"/>
        <v>P_I7A-ZSB-S_9X8</v>
      </c>
      <c r="F150" t="b">
        <v>1</v>
      </c>
      <c r="G150">
        <v>100</v>
      </c>
      <c r="H150">
        <v>1</v>
      </c>
      <c r="I150">
        <v>15909</v>
      </c>
      <c r="J150" s="61" t="s">
        <v>18</v>
      </c>
      <c r="K150" s="16" t="s">
        <v>272</v>
      </c>
      <c r="L150" s="16">
        <v>2</v>
      </c>
      <c r="M150" s="16" t="s">
        <v>333</v>
      </c>
      <c r="N150" s="16" t="s">
        <v>278</v>
      </c>
      <c r="O150" s="15" t="s">
        <v>283</v>
      </c>
      <c r="P150" t="s">
        <v>281</v>
      </c>
      <c r="Q150" t="s">
        <v>371</v>
      </c>
      <c r="R150" s="17" t="s">
        <v>371</v>
      </c>
      <c r="S150" s="16" t="s">
        <v>341</v>
      </c>
      <c r="T150" s="16" t="s">
        <v>342</v>
      </c>
      <c r="U150" s="15" t="s">
        <v>343</v>
      </c>
      <c r="V150" s="15" t="s">
        <v>344</v>
      </c>
      <c r="W150" s="17"/>
      <c r="X150" t="s">
        <v>349</v>
      </c>
      <c r="Y150" t="s">
        <v>349</v>
      </c>
      <c r="Z150" t="s">
        <v>293</v>
      </c>
      <c r="AA150" t="s">
        <v>353</v>
      </c>
      <c r="AB150" t="s">
        <v>296</v>
      </c>
      <c r="AC150" t="s">
        <v>301</v>
      </c>
      <c r="AD150" t="s">
        <v>292</v>
      </c>
      <c r="AE150" t="s">
        <v>293</v>
      </c>
      <c r="AF150" t="s">
        <v>292</v>
      </c>
      <c r="AG150" t="s">
        <v>292</v>
      </c>
      <c r="AH150" t="s">
        <v>293</v>
      </c>
      <c r="AI150" t="s">
        <v>302</v>
      </c>
      <c r="AJ150" t="s">
        <v>357</v>
      </c>
      <c r="AK150" t="s">
        <v>359</v>
      </c>
      <c r="AL150" t="s">
        <v>293</v>
      </c>
      <c r="AM150" t="s">
        <v>293</v>
      </c>
      <c r="AN150" t="s">
        <v>297</v>
      </c>
      <c r="AO150" t="s">
        <v>298</v>
      </c>
      <c r="AP150" t="s">
        <v>293</v>
      </c>
      <c r="AQ150" t="s">
        <v>292</v>
      </c>
      <c r="AR150" t="s">
        <v>293</v>
      </c>
      <c r="AS150" t="s">
        <v>293</v>
      </c>
      <c r="AT150" t="s">
        <v>364</v>
      </c>
      <c r="AU150" t="str">
        <f t="shared" si="6"/>
        <v>break</v>
      </c>
    </row>
    <row r="151" spans="1:47" x14ac:dyDescent="0.3">
      <c r="A151" t="s">
        <v>9</v>
      </c>
      <c r="B151" t="s">
        <v>47</v>
      </c>
      <c r="C151" t="s">
        <v>15</v>
      </c>
      <c r="D151" t="s">
        <v>12</v>
      </c>
      <c r="E151" t="str">
        <f t="shared" si="5"/>
        <v>P_I9B-KYY-S_0M4</v>
      </c>
      <c r="F151" t="b">
        <v>1</v>
      </c>
      <c r="G151">
        <v>100</v>
      </c>
      <c r="H151">
        <v>1</v>
      </c>
      <c r="I151">
        <v>9017</v>
      </c>
      <c r="J151" s="61" t="s">
        <v>18</v>
      </c>
      <c r="K151" s="16" t="s">
        <v>272</v>
      </c>
      <c r="L151" s="16">
        <v>2</v>
      </c>
      <c r="M151" s="16" t="s">
        <v>277</v>
      </c>
      <c r="N151" s="16" t="s">
        <v>335</v>
      </c>
      <c r="O151" s="15" t="s">
        <v>282</v>
      </c>
      <c r="P151" t="s">
        <v>371</v>
      </c>
      <c r="Q151" t="s">
        <v>371</v>
      </c>
      <c r="R151" s="17" t="s">
        <v>371</v>
      </c>
      <c r="S151" s="16" t="s">
        <v>341</v>
      </c>
      <c r="T151" s="16" t="s">
        <v>340</v>
      </c>
      <c r="U151" s="15" t="s">
        <v>340</v>
      </c>
      <c r="V151" s="15" t="s">
        <v>344</v>
      </c>
      <c r="W151" s="17"/>
      <c r="X151" t="s">
        <v>349</v>
      </c>
      <c r="Y151" t="s">
        <v>349</v>
      </c>
      <c r="Z151" t="s">
        <v>293</v>
      </c>
      <c r="AA151" t="s">
        <v>354</v>
      </c>
      <c r="AB151" t="s">
        <v>354</v>
      </c>
      <c r="AC151" t="s">
        <v>300</v>
      </c>
      <c r="AD151" t="s">
        <v>292</v>
      </c>
      <c r="AE151" t="s">
        <v>293</v>
      </c>
      <c r="AF151" t="s">
        <v>292</v>
      </c>
      <c r="AG151" t="s">
        <v>293</v>
      </c>
      <c r="AH151" t="s">
        <v>293</v>
      </c>
      <c r="AI151" t="s">
        <v>302</v>
      </c>
      <c r="AJ151" t="s">
        <v>302</v>
      </c>
      <c r="AK151" t="s">
        <v>357</v>
      </c>
      <c r="AL151" t="s">
        <v>293</v>
      </c>
      <c r="AM151" t="s">
        <v>293</v>
      </c>
      <c r="AN151" t="s">
        <v>297</v>
      </c>
      <c r="AO151" t="s">
        <v>298</v>
      </c>
      <c r="AP151" t="s">
        <v>293</v>
      </c>
      <c r="AQ151" t="s">
        <v>292</v>
      </c>
      <c r="AR151" t="s">
        <v>293</v>
      </c>
      <c r="AS151" t="s">
        <v>293</v>
      </c>
      <c r="AT151" t="s">
        <v>364</v>
      </c>
      <c r="AU151" t="str">
        <f t="shared" si="6"/>
        <v>break</v>
      </c>
    </row>
    <row r="152" spans="1:47" x14ac:dyDescent="0.3">
      <c r="A152" t="s">
        <v>9</v>
      </c>
      <c r="B152" t="s">
        <v>47</v>
      </c>
      <c r="C152" t="s">
        <v>14</v>
      </c>
      <c r="D152" t="s">
        <v>12</v>
      </c>
      <c r="E152" t="str">
        <f t="shared" si="5"/>
        <v>P_I9B-KYY-S_1B0</v>
      </c>
      <c r="F152" t="b">
        <v>1</v>
      </c>
      <c r="G152">
        <v>100</v>
      </c>
      <c r="H152">
        <v>1</v>
      </c>
      <c r="I152">
        <v>9041</v>
      </c>
      <c r="J152" s="61" t="s">
        <v>18</v>
      </c>
      <c r="K152" s="16" t="s">
        <v>272</v>
      </c>
      <c r="L152" s="16">
        <v>2</v>
      </c>
      <c r="M152" s="16" t="s">
        <v>277</v>
      </c>
      <c r="N152" s="16" t="s">
        <v>335</v>
      </c>
      <c r="O152" s="15" t="s">
        <v>282</v>
      </c>
      <c r="P152" t="s">
        <v>371</v>
      </c>
      <c r="Q152" t="s">
        <v>371</v>
      </c>
      <c r="R152" s="17" t="s">
        <v>371</v>
      </c>
      <c r="S152" s="16" t="s">
        <v>341</v>
      </c>
      <c r="T152" s="16" t="s">
        <v>342</v>
      </c>
      <c r="U152" s="15" t="s">
        <v>340</v>
      </c>
      <c r="V152" s="15" t="s">
        <v>344</v>
      </c>
      <c r="W152" s="17"/>
      <c r="X152" t="s">
        <v>349</v>
      </c>
      <c r="Y152" t="s">
        <v>349</v>
      </c>
      <c r="Z152" t="s">
        <v>293</v>
      </c>
      <c r="AA152" t="s">
        <v>354</v>
      </c>
      <c r="AB152" t="s">
        <v>354</v>
      </c>
      <c r="AC152" t="s">
        <v>300</v>
      </c>
      <c r="AD152" t="s">
        <v>292</v>
      </c>
      <c r="AE152" t="s">
        <v>293</v>
      </c>
      <c r="AF152" t="s">
        <v>292</v>
      </c>
      <c r="AG152" t="s">
        <v>293</v>
      </c>
      <c r="AH152" t="s">
        <v>293</v>
      </c>
      <c r="AI152" t="s">
        <v>302</v>
      </c>
      <c r="AJ152" t="s">
        <v>302</v>
      </c>
      <c r="AK152" t="s">
        <v>357</v>
      </c>
      <c r="AL152" t="s">
        <v>293</v>
      </c>
      <c r="AM152" t="s">
        <v>293</v>
      </c>
      <c r="AN152" t="s">
        <v>297</v>
      </c>
      <c r="AO152" t="s">
        <v>298</v>
      </c>
      <c r="AP152" t="s">
        <v>293</v>
      </c>
      <c r="AQ152" t="s">
        <v>292</v>
      </c>
      <c r="AR152" t="s">
        <v>293</v>
      </c>
      <c r="AS152" t="s">
        <v>293</v>
      </c>
      <c r="AT152" t="s">
        <v>364</v>
      </c>
      <c r="AU152" t="str">
        <f t="shared" si="6"/>
        <v>break</v>
      </c>
    </row>
    <row r="153" spans="1:47" x14ac:dyDescent="0.3">
      <c r="A153" t="s">
        <v>9</v>
      </c>
      <c r="B153" t="s">
        <v>47</v>
      </c>
      <c r="C153" t="s">
        <v>11</v>
      </c>
      <c r="D153" t="s">
        <v>12</v>
      </c>
      <c r="E153" t="str">
        <f t="shared" si="5"/>
        <v>P_I9B-KYY-S_1Q4</v>
      </c>
      <c r="F153" t="b">
        <v>1</v>
      </c>
      <c r="G153">
        <v>83.5</v>
      </c>
      <c r="H153">
        <v>0</v>
      </c>
      <c r="I153">
        <v>11630</v>
      </c>
      <c r="J153" s="61" t="s">
        <v>13</v>
      </c>
      <c r="K153" s="16" t="s">
        <v>272</v>
      </c>
      <c r="L153" s="16">
        <v>3</v>
      </c>
      <c r="M153" s="16" t="s">
        <v>277</v>
      </c>
      <c r="N153" s="16" t="s">
        <v>335</v>
      </c>
      <c r="O153" s="15" t="s">
        <v>285</v>
      </c>
      <c r="P153" t="s">
        <v>282</v>
      </c>
      <c r="Q153" t="s">
        <v>371</v>
      </c>
      <c r="R153" s="17" t="s">
        <v>371</v>
      </c>
      <c r="S153" s="16" t="s">
        <v>341</v>
      </c>
      <c r="T153" s="16" t="s">
        <v>342</v>
      </c>
      <c r="U153" s="15" t="s">
        <v>343</v>
      </c>
      <c r="V153" s="15" t="s">
        <v>344</v>
      </c>
      <c r="W153" s="17"/>
      <c r="X153" t="s">
        <v>349</v>
      </c>
      <c r="Y153" t="s">
        <v>349</v>
      </c>
      <c r="Z153" t="s">
        <v>293</v>
      </c>
      <c r="AA153" t="s">
        <v>353</v>
      </c>
      <c r="AB153" t="s">
        <v>297</v>
      </c>
      <c r="AC153" t="s">
        <v>300</v>
      </c>
      <c r="AD153" t="s">
        <v>292</v>
      </c>
      <c r="AE153" t="s">
        <v>293</v>
      </c>
      <c r="AF153" t="s">
        <v>292</v>
      </c>
      <c r="AG153" t="s">
        <v>293</v>
      </c>
      <c r="AH153" t="s">
        <v>293</v>
      </c>
      <c r="AI153" t="s">
        <v>302</v>
      </c>
      <c r="AJ153" t="s">
        <v>302</v>
      </c>
      <c r="AK153" t="s">
        <v>359</v>
      </c>
      <c r="AL153" t="s">
        <v>293</v>
      </c>
      <c r="AM153" t="s">
        <v>293</v>
      </c>
      <c r="AN153" t="s">
        <v>297</v>
      </c>
      <c r="AO153" t="s">
        <v>298</v>
      </c>
      <c r="AP153" t="s">
        <v>293</v>
      </c>
      <c r="AQ153" t="s">
        <v>292</v>
      </c>
      <c r="AR153" t="s">
        <v>293</v>
      </c>
      <c r="AS153" t="s">
        <v>293</v>
      </c>
      <c r="AT153" t="s">
        <v>364</v>
      </c>
      <c r="AU153" t="str">
        <f t="shared" si="6"/>
        <v>no_fail</v>
      </c>
    </row>
    <row r="154" spans="1:47" x14ac:dyDescent="0.3">
      <c r="A154" t="s">
        <v>9</v>
      </c>
      <c r="B154" t="s">
        <v>47</v>
      </c>
      <c r="C154" t="s">
        <v>17</v>
      </c>
      <c r="D154" t="s">
        <v>12</v>
      </c>
      <c r="E154" t="str">
        <f t="shared" si="5"/>
        <v>P_I9B-KYY-S_6B5</v>
      </c>
      <c r="F154" t="b">
        <v>1</v>
      </c>
      <c r="G154">
        <v>45.4</v>
      </c>
      <c r="H154">
        <v>0</v>
      </c>
      <c r="I154">
        <v>26028</v>
      </c>
      <c r="J154" s="61" t="s">
        <v>18</v>
      </c>
      <c r="K154" s="16" t="s">
        <v>272</v>
      </c>
      <c r="L154" s="16">
        <v>3</v>
      </c>
      <c r="M154" s="16" t="s">
        <v>277</v>
      </c>
      <c r="N154" s="16" t="s">
        <v>335</v>
      </c>
      <c r="O154" s="15" t="s">
        <v>282</v>
      </c>
      <c r="P154" t="s">
        <v>371</v>
      </c>
      <c r="Q154" t="s">
        <v>371</v>
      </c>
      <c r="R154" s="17" t="s">
        <v>371</v>
      </c>
      <c r="S154" s="16" t="s">
        <v>341</v>
      </c>
      <c r="T154" s="16" t="s">
        <v>340</v>
      </c>
      <c r="U154" s="15" t="s">
        <v>343</v>
      </c>
      <c r="V154" s="15" t="s">
        <v>345</v>
      </c>
      <c r="W154" s="17"/>
      <c r="X154" t="s">
        <v>349</v>
      </c>
      <c r="Y154" t="s">
        <v>349</v>
      </c>
      <c r="Z154" t="s">
        <v>293</v>
      </c>
      <c r="AA154" t="s">
        <v>353</v>
      </c>
      <c r="AB154" t="s">
        <v>296</v>
      </c>
      <c r="AC154" t="s">
        <v>301</v>
      </c>
      <c r="AD154" t="s">
        <v>292</v>
      </c>
      <c r="AE154" t="s">
        <v>293</v>
      </c>
      <c r="AF154" t="s">
        <v>293</v>
      </c>
      <c r="AG154" t="s">
        <v>292</v>
      </c>
      <c r="AH154" t="s">
        <v>293</v>
      </c>
      <c r="AI154" t="s">
        <v>302</v>
      </c>
      <c r="AJ154" t="s">
        <v>302</v>
      </c>
      <c r="AK154" t="s">
        <v>359</v>
      </c>
      <c r="AL154" t="s">
        <v>293</v>
      </c>
      <c r="AM154" t="s">
        <v>293</v>
      </c>
      <c r="AN154" t="s">
        <v>296</v>
      </c>
      <c r="AO154" t="s">
        <v>298</v>
      </c>
      <c r="AP154" t="s">
        <v>293</v>
      </c>
      <c r="AQ154" t="s">
        <v>292</v>
      </c>
      <c r="AR154" t="s">
        <v>293</v>
      </c>
      <c r="AS154" t="s">
        <v>293</v>
      </c>
      <c r="AT154" t="s">
        <v>364</v>
      </c>
      <c r="AU154" t="str">
        <f t="shared" si="6"/>
        <v>car_stuck</v>
      </c>
    </row>
    <row r="155" spans="1:47" x14ac:dyDescent="0.3">
      <c r="A155" t="s">
        <v>9</v>
      </c>
      <c r="B155" t="s">
        <v>47</v>
      </c>
      <c r="C155" t="s">
        <v>16</v>
      </c>
      <c r="D155" t="s">
        <v>12</v>
      </c>
      <c r="E155" t="str">
        <f t="shared" si="5"/>
        <v>P_I9B-KYY-S_6U7</v>
      </c>
      <c r="F155" t="b">
        <v>1</v>
      </c>
      <c r="G155">
        <v>47.1</v>
      </c>
      <c r="H155">
        <v>0</v>
      </c>
      <c r="I155">
        <v>14503</v>
      </c>
      <c r="J155" s="61" t="s">
        <v>13</v>
      </c>
      <c r="K155" s="16" t="s">
        <v>272</v>
      </c>
      <c r="L155" s="16">
        <v>3</v>
      </c>
      <c r="M155" s="16" t="s">
        <v>277</v>
      </c>
      <c r="N155" s="16" t="s">
        <v>335</v>
      </c>
      <c r="O155" s="15" t="s">
        <v>282</v>
      </c>
      <c r="P155" t="s">
        <v>371</v>
      </c>
      <c r="Q155" t="s">
        <v>371</v>
      </c>
      <c r="R155" s="17" t="s">
        <v>371</v>
      </c>
      <c r="S155" s="16" t="s">
        <v>341</v>
      </c>
      <c r="T155" s="16" t="s">
        <v>340</v>
      </c>
      <c r="U155" s="15" t="s">
        <v>343</v>
      </c>
      <c r="V155" s="15" t="s">
        <v>344</v>
      </c>
      <c r="W155" s="17"/>
      <c r="X155" t="s">
        <v>349</v>
      </c>
      <c r="Y155" t="s">
        <v>349</v>
      </c>
      <c r="Z155" t="s">
        <v>293</v>
      </c>
      <c r="AA155" t="s">
        <v>353</v>
      </c>
      <c r="AB155" t="s">
        <v>296</v>
      </c>
      <c r="AC155" t="s">
        <v>300</v>
      </c>
      <c r="AD155" t="s">
        <v>292</v>
      </c>
      <c r="AE155" t="s">
        <v>293</v>
      </c>
      <c r="AF155" t="s">
        <v>292</v>
      </c>
      <c r="AG155" t="s">
        <v>292</v>
      </c>
      <c r="AH155" t="s">
        <v>293</v>
      </c>
      <c r="AI155" t="s">
        <v>302</v>
      </c>
      <c r="AJ155" t="s">
        <v>302</v>
      </c>
      <c r="AK155" t="s">
        <v>359</v>
      </c>
      <c r="AL155" t="s">
        <v>293</v>
      </c>
      <c r="AM155" t="s">
        <v>293</v>
      </c>
      <c r="AN155" t="s">
        <v>297</v>
      </c>
      <c r="AO155" t="s">
        <v>298</v>
      </c>
      <c r="AP155" t="s">
        <v>293</v>
      </c>
      <c r="AQ155" t="s">
        <v>292</v>
      </c>
      <c r="AR155" t="s">
        <v>293</v>
      </c>
      <c r="AS155" t="s">
        <v>293</v>
      </c>
      <c r="AT155" t="s">
        <v>364</v>
      </c>
      <c r="AU155" t="str">
        <f t="shared" si="6"/>
        <v>no_fail</v>
      </c>
    </row>
    <row r="156" spans="1:47" x14ac:dyDescent="0.3">
      <c r="A156" t="s">
        <v>9</v>
      </c>
      <c r="B156" t="s">
        <v>47</v>
      </c>
      <c r="C156" t="s">
        <v>23</v>
      </c>
      <c r="D156" t="s">
        <v>29</v>
      </c>
      <c r="E156" t="str">
        <f t="shared" si="5"/>
        <v>P_I9B-ZSB-S_0T2</v>
      </c>
      <c r="F156" t="b">
        <v>1</v>
      </c>
      <c r="G156">
        <v>95.2</v>
      </c>
      <c r="H156">
        <v>0</v>
      </c>
      <c r="I156">
        <v>14631</v>
      </c>
      <c r="J156" s="61" t="s">
        <v>13</v>
      </c>
      <c r="K156" s="16" t="s">
        <v>272</v>
      </c>
      <c r="L156" s="16">
        <v>2</v>
      </c>
      <c r="M156" s="16" t="s">
        <v>277</v>
      </c>
      <c r="N156" s="16" t="s">
        <v>335</v>
      </c>
      <c r="O156" s="15" t="s">
        <v>282</v>
      </c>
      <c r="P156" t="s">
        <v>371</v>
      </c>
      <c r="Q156" t="s">
        <v>371</v>
      </c>
      <c r="R156" s="17" t="s">
        <v>371</v>
      </c>
      <c r="S156" s="16" t="s">
        <v>341</v>
      </c>
      <c r="T156" s="16" t="s">
        <v>342</v>
      </c>
      <c r="U156" s="15" t="s">
        <v>340</v>
      </c>
      <c r="V156" s="15" t="s">
        <v>345</v>
      </c>
      <c r="W156" s="17"/>
      <c r="X156" t="s">
        <v>349</v>
      </c>
      <c r="Y156" t="s">
        <v>349</v>
      </c>
      <c r="Z156" t="s">
        <v>293</v>
      </c>
      <c r="AA156" t="s">
        <v>354</v>
      </c>
      <c r="AB156" t="s">
        <v>354</v>
      </c>
      <c r="AC156" t="s">
        <v>300</v>
      </c>
      <c r="AD156" t="s">
        <v>293</v>
      </c>
      <c r="AE156" t="s">
        <v>292</v>
      </c>
      <c r="AF156" t="s">
        <v>292</v>
      </c>
      <c r="AG156" t="s">
        <v>293</v>
      </c>
      <c r="AH156" t="s">
        <v>293</v>
      </c>
      <c r="AI156" t="s">
        <v>302</v>
      </c>
      <c r="AJ156" t="s">
        <v>302</v>
      </c>
      <c r="AK156" t="s">
        <v>357</v>
      </c>
      <c r="AL156" t="s">
        <v>293</v>
      </c>
      <c r="AM156" t="s">
        <v>293</v>
      </c>
      <c r="AN156" t="s">
        <v>297</v>
      </c>
      <c r="AO156" t="s">
        <v>356</v>
      </c>
      <c r="AP156" t="s">
        <v>293</v>
      </c>
      <c r="AQ156" t="s">
        <v>292</v>
      </c>
      <c r="AR156" t="s">
        <v>293</v>
      </c>
      <c r="AS156" t="s">
        <v>293</v>
      </c>
      <c r="AT156" t="s">
        <v>364</v>
      </c>
      <c r="AU156" t="str">
        <f t="shared" si="6"/>
        <v>no_fail</v>
      </c>
    </row>
    <row r="157" spans="1:47" x14ac:dyDescent="0.3">
      <c r="A157" t="s">
        <v>9</v>
      </c>
      <c r="B157" t="s">
        <v>47</v>
      </c>
      <c r="C157" t="s">
        <v>25</v>
      </c>
      <c r="D157" t="s">
        <v>29</v>
      </c>
      <c r="E157" t="str">
        <f t="shared" si="5"/>
        <v>P_I9B-ZSB-S_1J8</v>
      </c>
      <c r="F157" t="b">
        <v>1</v>
      </c>
      <c r="G157">
        <v>70.8</v>
      </c>
      <c r="H157">
        <v>0</v>
      </c>
      <c r="I157">
        <v>17009</v>
      </c>
      <c r="J157" s="61" t="s">
        <v>13</v>
      </c>
      <c r="K157" s="16" t="s">
        <v>272</v>
      </c>
      <c r="L157" s="16">
        <v>2</v>
      </c>
      <c r="M157" s="16" t="s">
        <v>277</v>
      </c>
      <c r="N157" s="16" t="s">
        <v>335</v>
      </c>
      <c r="O157" s="15" t="s">
        <v>282</v>
      </c>
      <c r="P157" t="s">
        <v>371</v>
      </c>
      <c r="Q157" t="s">
        <v>371</v>
      </c>
      <c r="R157" s="17" t="s">
        <v>371</v>
      </c>
      <c r="S157" s="16" t="s">
        <v>341</v>
      </c>
      <c r="T157" s="16" t="s">
        <v>340</v>
      </c>
      <c r="U157" s="15" t="s">
        <v>340</v>
      </c>
      <c r="V157" s="15" t="s">
        <v>345</v>
      </c>
      <c r="W157" s="17"/>
      <c r="X157" t="s">
        <v>349</v>
      </c>
      <c r="Y157" t="s">
        <v>349</v>
      </c>
      <c r="Z157" t="s">
        <v>293</v>
      </c>
      <c r="AA157" t="s">
        <v>354</v>
      </c>
      <c r="AB157" t="s">
        <v>354</v>
      </c>
      <c r="AC157" t="s">
        <v>301</v>
      </c>
      <c r="AD157" t="s">
        <v>293</v>
      </c>
      <c r="AE157" t="s">
        <v>292</v>
      </c>
      <c r="AF157" t="s">
        <v>292</v>
      </c>
      <c r="AG157" t="s">
        <v>293</v>
      </c>
      <c r="AH157" t="s">
        <v>293</v>
      </c>
      <c r="AI157" t="s">
        <v>302</v>
      </c>
      <c r="AJ157" t="s">
        <v>302</v>
      </c>
      <c r="AK157" t="s">
        <v>357</v>
      </c>
      <c r="AL157" t="s">
        <v>293</v>
      </c>
      <c r="AM157" t="s">
        <v>293</v>
      </c>
      <c r="AN157" t="s">
        <v>297</v>
      </c>
      <c r="AO157" t="s">
        <v>356</v>
      </c>
      <c r="AP157" t="s">
        <v>293</v>
      </c>
      <c r="AQ157" t="s">
        <v>292</v>
      </c>
      <c r="AR157" t="s">
        <v>293</v>
      </c>
      <c r="AS157" t="s">
        <v>293</v>
      </c>
      <c r="AT157" t="s">
        <v>364</v>
      </c>
      <c r="AU157" t="str">
        <f t="shared" si="6"/>
        <v>no_fail</v>
      </c>
    </row>
    <row r="158" spans="1:47" x14ac:dyDescent="0.3">
      <c r="A158" t="s">
        <v>9</v>
      </c>
      <c r="B158" t="s">
        <v>47</v>
      </c>
      <c r="C158" t="s">
        <v>24</v>
      </c>
      <c r="D158" t="s">
        <v>29</v>
      </c>
      <c r="E158" t="str">
        <f t="shared" si="5"/>
        <v>P_I9B-ZSB-S_1U0</v>
      </c>
      <c r="F158" t="b">
        <v>1</v>
      </c>
      <c r="G158">
        <v>100</v>
      </c>
      <c r="H158">
        <v>1</v>
      </c>
      <c r="I158">
        <v>11235</v>
      </c>
      <c r="J158" s="61" t="s">
        <v>18</v>
      </c>
      <c r="K158" s="16" t="s">
        <v>272</v>
      </c>
      <c r="L158" s="16">
        <v>2</v>
      </c>
      <c r="M158" s="16" t="s">
        <v>277</v>
      </c>
      <c r="N158" s="16" t="s">
        <v>335</v>
      </c>
      <c r="O158" s="15" t="s">
        <v>282</v>
      </c>
      <c r="P158" t="s">
        <v>371</v>
      </c>
      <c r="Q158" t="s">
        <v>371</v>
      </c>
      <c r="R158" s="17" t="s">
        <v>371</v>
      </c>
      <c r="S158" s="16" t="s">
        <v>341</v>
      </c>
      <c r="T158" s="16" t="s">
        <v>340</v>
      </c>
      <c r="U158" s="15" t="s">
        <v>340</v>
      </c>
      <c r="V158" s="15" t="s">
        <v>345</v>
      </c>
      <c r="W158" s="17"/>
      <c r="X158" t="s">
        <v>349</v>
      </c>
      <c r="Y158" t="s">
        <v>349</v>
      </c>
      <c r="Z158" t="s">
        <v>293</v>
      </c>
      <c r="AA158" t="s">
        <v>354</v>
      </c>
      <c r="AB158" t="s">
        <v>354</v>
      </c>
      <c r="AC158" t="s">
        <v>300</v>
      </c>
      <c r="AD158" t="s">
        <v>293</v>
      </c>
      <c r="AE158" t="s">
        <v>292</v>
      </c>
      <c r="AF158" t="s">
        <v>292</v>
      </c>
      <c r="AG158" t="s">
        <v>293</v>
      </c>
      <c r="AH158" t="s">
        <v>293</v>
      </c>
      <c r="AI158" t="s">
        <v>302</v>
      </c>
      <c r="AJ158" t="s">
        <v>302</v>
      </c>
      <c r="AK158" t="s">
        <v>357</v>
      </c>
      <c r="AL158" t="s">
        <v>293</v>
      </c>
      <c r="AM158" t="s">
        <v>293</v>
      </c>
      <c r="AN158" t="s">
        <v>297</v>
      </c>
      <c r="AO158" t="s">
        <v>356</v>
      </c>
      <c r="AP158" t="s">
        <v>293</v>
      </c>
      <c r="AQ158" t="s">
        <v>292</v>
      </c>
      <c r="AR158" t="s">
        <v>362</v>
      </c>
      <c r="AS158" t="s">
        <v>293</v>
      </c>
      <c r="AT158" t="s">
        <v>364</v>
      </c>
      <c r="AU158" t="str">
        <f t="shared" si="6"/>
        <v>break</v>
      </c>
    </row>
    <row r="159" spans="1:47" x14ac:dyDescent="0.3">
      <c r="A159" t="s">
        <v>9</v>
      </c>
      <c r="B159" t="s">
        <v>47</v>
      </c>
      <c r="C159" t="s">
        <v>21</v>
      </c>
      <c r="D159" t="s">
        <v>29</v>
      </c>
      <c r="E159" t="str">
        <f t="shared" si="5"/>
        <v>P_I9B-ZSB-S_3X6</v>
      </c>
      <c r="F159" t="b">
        <v>1</v>
      </c>
      <c r="G159">
        <v>100</v>
      </c>
      <c r="H159">
        <v>1</v>
      </c>
      <c r="I159">
        <v>11724</v>
      </c>
      <c r="J159" s="61" t="s">
        <v>18</v>
      </c>
      <c r="K159" s="16" t="s">
        <v>272</v>
      </c>
      <c r="L159" s="16">
        <v>2</v>
      </c>
      <c r="M159" s="16" t="s">
        <v>277</v>
      </c>
      <c r="N159" s="16" t="s">
        <v>335</v>
      </c>
      <c r="O159" s="15" t="s">
        <v>282</v>
      </c>
      <c r="P159" t="s">
        <v>371</v>
      </c>
      <c r="Q159" t="s">
        <v>371</v>
      </c>
      <c r="R159" s="17" t="s">
        <v>371</v>
      </c>
      <c r="S159" s="16" t="s">
        <v>341</v>
      </c>
      <c r="T159" s="16" t="s">
        <v>340</v>
      </c>
      <c r="U159" s="15" t="s">
        <v>340</v>
      </c>
      <c r="V159" s="15" t="s">
        <v>345</v>
      </c>
      <c r="W159" s="17"/>
      <c r="X159" t="s">
        <v>349</v>
      </c>
      <c r="Y159" t="s">
        <v>349</v>
      </c>
      <c r="Z159" t="s">
        <v>293</v>
      </c>
      <c r="AA159" t="s">
        <v>354</v>
      </c>
      <c r="AB159" t="s">
        <v>354</v>
      </c>
      <c r="AC159" t="s">
        <v>299</v>
      </c>
      <c r="AD159" t="s">
        <v>292</v>
      </c>
      <c r="AE159" t="s">
        <v>293</v>
      </c>
      <c r="AF159" t="s">
        <v>292</v>
      </c>
      <c r="AG159" t="s">
        <v>292</v>
      </c>
      <c r="AH159" t="s">
        <v>293</v>
      </c>
      <c r="AI159" t="s">
        <v>302</v>
      </c>
      <c r="AJ159" t="s">
        <v>302</v>
      </c>
      <c r="AK159" t="s">
        <v>357</v>
      </c>
      <c r="AL159" t="s">
        <v>293</v>
      </c>
      <c r="AM159" t="s">
        <v>293</v>
      </c>
      <c r="AN159" t="s">
        <v>296</v>
      </c>
      <c r="AO159" t="s">
        <v>298</v>
      </c>
      <c r="AP159" t="s">
        <v>293</v>
      </c>
      <c r="AQ159" t="s">
        <v>292</v>
      </c>
      <c r="AR159" t="s">
        <v>293</v>
      </c>
      <c r="AS159" t="s">
        <v>293</v>
      </c>
      <c r="AT159" t="s">
        <v>364</v>
      </c>
      <c r="AU159" t="str">
        <f t="shared" si="6"/>
        <v>break</v>
      </c>
    </row>
    <row r="160" spans="1:47" x14ac:dyDescent="0.3">
      <c r="A160" t="s">
        <v>9</v>
      </c>
      <c r="B160" t="s">
        <v>47</v>
      </c>
      <c r="C160" t="s">
        <v>19</v>
      </c>
      <c r="D160" t="s">
        <v>29</v>
      </c>
      <c r="E160" t="str">
        <f t="shared" si="5"/>
        <v>P_I9B-ZSB-S_4U3</v>
      </c>
      <c r="F160" t="b">
        <v>1</v>
      </c>
      <c r="G160">
        <v>65.8</v>
      </c>
      <c r="H160">
        <v>0</v>
      </c>
      <c r="I160">
        <v>19295</v>
      </c>
      <c r="J160" s="61" t="s">
        <v>13</v>
      </c>
      <c r="K160" s="16" t="s">
        <v>272</v>
      </c>
      <c r="L160" s="16">
        <v>2</v>
      </c>
      <c r="M160" s="16" t="s">
        <v>277</v>
      </c>
      <c r="N160" s="16" t="s">
        <v>335</v>
      </c>
      <c r="O160" s="15" t="s">
        <v>282</v>
      </c>
      <c r="P160" t="s">
        <v>371</v>
      </c>
      <c r="Q160" t="s">
        <v>371</v>
      </c>
      <c r="R160" s="17" t="s">
        <v>371</v>
      </c>
      <c r="S160" s="16" t="s">
        <v>341</v>
      </c>
      <c r="T160" s="16" t="s">
        <v>340</v>
      </c>
      <c r="U160" s="15" t="s">
        <v>340</v>
      </c>
      <c r="V160" s="15" t="s">
        <v>345</v>
      </c>
      <c r="W160" s="17" t="s">
        <v>377</v>
      </c>
      <c r="X160" t="s">
        <v>349</v>
      </c>
      <c r="Y160" t="s">
        <v>349</v>
      </c>
      <c r="Z160" t="s">
        <v>293</v>
      </c>
      <c r="AA160" t="s">
        <v>354</v>
      </c>
      <c r="AB160" t="s">
        <v>354</v>
      </c>
      <c r="AC160" t="s">
        <v>301</v>
      </c>
      <c r="AD160" t="s">
        <v>292</v>
      </c>
      <c r="AE160" t="s">
        <v>293</v>
      </c>
      <c r="AF160" t="s">
        <v>293</v>
      </c>
      <c r="AG160" t="s">
        <v>292</v>
      </c>
      <c r="AH160" t="s">
        <v>293</v>
      </c>
      <c r="AI160" t="s">
        <v>302</v>
      </c>
      <c r="AJ160" t="s">
        <v>302</v>
      </c>
      <c r="AK160" t="s">
        <v>357</v>
      </c>
      <c r="AL160" t="s">
        <v>293</v>
      </c>
      <c r="AM160" t="s">
        <v>293</v>
      </c>
      <c r="AN160" t="s">
        <v>296</v>
      </c>
      <c r="AO160" t="s">
        <v>298</v>
      </c>
      <c r="AP160" t="s">
        <v>293</v>
      </c>
      <c r="AQ160" t="s">
        <v>292</v>
      </c>
      <c r="AR160" t="s">
        <v>293</v>
      </c>
      <c r="AS160" t="s">
        <v>293</v>
      </c>
      <c r="AT160" t="s">
        <v>364</v>
      </c>
      <c r="AU160" t="str">
        <f t="shared" si="6"/>
        <v>no_fail</v>
      </c>
    </row>
    <row r="161" spans="1:47" x14ac:dyDescent="0.3">
      <c r="A161" t="s">
        <v>9</v>
      </c>
      <c r="B161" t="s">
        <v>47</v>
      </c>
      <c r="C161" t="s">
        <v>20</v>
      </c>
      <c r="D161" t="s">
        <v>29</v>
      </c>
      <c r="E161" t="str">
        <f t="shared" si="5"/>
        <v>P_I9B-ZSB-S_7W0</v>
      </c>
      <c r="F161" t="b">
        <v>1</v>
      </c>
      <c r="G161">
        <v>81.2</v>
      </c>
      <c r="H161">
        <v>0</v>
      </c>
      <c r="I161">
        <v>16803</v>
      </c>
      <c r="J161" s="61" t="s">
        <v>13</v>
      </c>
      <c r="K161" s="16" t="s">
        <v>272</v>
      </c>
      <c r="L161" s="16">
        <v>2</v>
      </c>
      <c r="M161" s="16" t="s">
        <v>277</v>
      </c>
      <c r="N161" s="16" t="s">
        <v>335</v>
      </c>
      <c r="O161" s="15" t="s">
        <v>282</v>
      </c>
      <c r="P161" t="s">
        <v>371</v>
      </c>
      <c r="Q161" t="s">
        <v>371</v>
      </c>
      <c r="R161" s="17" t="s">
        <v>371</v>
      </c>
      <c r="S161" s="16" t="s">
        <v>341</v>
      </c>
      <c r="T161" s="16" t="s">
        <v>340</v>
      </c>
      <c r="U161" s="15" t="s">
        <v>340</v>
      </c>
      <c r="V161" s="15" t="s">
        <v>345</v>
      </c>
      <c r="W161" s="17" t="s">
        <v>377</v>
      </c>
      <c r="X161" t="s">
        <v>349</v>
      </c>
      <c r="Y161" t="s">
        <v>349</v>
      </c>
      <c r="Z161" t="s">
        <v>293</v>
      </c>
      <c r="AA161" t="s">
        <v>354</v>
      </c>
      <c r="AB161" t="s">
        <v>354</v>
      </c>
      <c r="AC161" t="s">
        <v>301</v>
      </c>
      <c r="AD161" t="s">
        <v>292</v>
      </c>
      <c r="AE161" t="s">
        <v>293</v>
      </c>
      <c r="AF161" t="s">
        <v>292</v>
      </c>
      <c r="AG161" t="s">
        <v>292</v>
      </c>
      <c r="AH161" t="s">
        <v>293</v>
      </c>
      <c r="AI161" t="s">
        <v>302</v>
      </c>
      <c r="AJ161" t="s">
        <v>302</v>
      </c>
      <c r="AK161" t="s">
        <v>357</v>
      </c>
      <c r="AL161" t="s">
        <v>293</v>
      </c>
      <c r="AM161" t="s">
        <v>293</v>
      </c>
      <c r="AN161" t="s">
        <v>296</v>
      </c>
      <c r="AO161" t="s">
        <v>298</v>
      </c>
      <c r="AP161" t="s">
        <v>293</v>
      </c>
      <c r="AQ161" t="s">
        <v>292</v>
      </c>
      <c r="AR161" t="s">
        <v>293</v>
      </c>
      <c r="AS161" t="s">
        <v>293</v>
      </c>
      <c r="AT161" t="s">
        <v>364</v>
      </c>
      <c r="AU161" t="str">
        <f t="shared" si="6"/>
        <v>no_fail</v>
      </c>
    </row>
    <row r="162" spans="1:47" x14ac:dyDescent="0.3">
      <c r="A162" t="s">
        <v>9</v>
      </c>
      <c r="B162" t="s">
        <v>47</v>
      </c>
      <c r="C162" t="s">
        <v>26</v>
      </c>
      <c r="D162" t="s">
        <v>29</v>
      </c>
      <c r="E162" t="str">
        <f t="shared" si="5"/>
        <v>P_I9B-ZSB-S_8O8</v>
      </c>
      <c r="F162" t="b">
        <v>1</v>
      </c>
      <c r="G162">
        <v>100</v>
      </c>
      <c r="H162">
        <v>1</v>
      </c>
      <c r="I162">
        <v>14157</v>
      </c>
      <c r="J162" s="61" t="s">
        <v>18</v>
      </c>
      <c r="K162" s="16" t="s">
        <v>272</v>
      </c>
      <c r="L162" s="16">
        <v>2</v>
      </c>
      <c r="M162" s="16" t="s">
        <v>277</v>
      </c>
      <c r="N162" s="16" t="s">
        <v>335</v>
      </c>
      <c r="O162" s="15" t="s">
        <v>282</v>
      </c>
      <c r="P162" t="s">
        <v>371</v>
      </c>
      <c r="Q162" t="s">
        <v>371</v>
      </c>
      <c r="R162" s="17" t="s">
        <v>371</v>
      </c>
      <c r="S162" s="16" t="s">
        <v>341</v>
      </c>
      <c r="T162" s="16" t="s">
        <v>340</v>
      </c>
      <c r="U162" s="15" t="s">
        <v>340</v>
      </c>
      <c r="V162" s="15" t="s">
        <v>345</v>
      </c>
      <c r="W162" s="17"/>
      <c r="X162" t="s">
        <v>349</v>
      </c>
      <c r="Y162" t="s">
        <v>349</v>
      </c>
      <c r="Z162" t="s">
        <v>293</v>
      </c>
      <c r="AA162" t="s">
        <v>354</v>
      </c>
      <c r="AB162" t="s">
        <v>354</v>
      </c>
      <c r="AC162" t="s">
        <v>301</v>
      </c>
      <c r="AD162" t="s">
        <v>292</v>
      </c>
      <c r="AE162" t="s">
        <v>293</v>
      </c>
      <c r="AF162" t="s">
        <v>292</v>
      </c>
      <c r="AG162" t="s">
        <v>293</v>
      </c>
      <c r="AH162" t="s">
        <v>293</v>
      </c>
      <c r="AI162" t="s">
        <v>302</v>
      </c>
      <c r="AJ162" t="s">
        <v>302</v>
      </c>
      <c r="AK162" t="s">
        <v>357</v>
      </c>
      <c r="AL162" t="s">
        <v>293</v>
      </c>
      <c r="AM162" t="s">
        <v>293</v>
      </c>
      <c r="AN162" t="s">
        <v>297</v>
      </c>
      <c r="AO162" t="s">
        <v>298</v>
      </c>
      <c r="AP162" t="s">
        <v>293</v>
      </c>
      <c r="AQ162" t="s">
        <v>292</v>
      </c>
      <c r="AR162" t="s">
        <v>293</v>
      </c>
      <c r="AS162" t="s">
        <v>293</v>
      </c>
      <c r="AT162" t="s">
        <v>364</v>
      </c>
      <c r="AU162" t="str">
        <f t="shared" si="6"/>
        <v>break</v>
      </c>
    </row>
    <row r="163" spans="1:47" x14ac:dyDescent="0.3">
      <c r="A163" t="s">
        <v>9</v>
      </c>
      <c r="B163" t="s">
        <v>47</v>
      </c>
      <c r="C163" t="s">
        <v>22</v>
      </c>
      <c r="D163" t="s">
        <v>29</v>
      </c>
      <c r="E163" t="str">
        <f t="shared" si="5"/>
        <v>P_I9B-ZSB-S_9B4</v>
      </c>
      <c r="F163" t="b">
        <v>1</v>
      </c>
      <c r="G163">
        <v>100</v>
      </c>
      <c r="H163">
        <v>1</v>
      </c>
      <c r="I163">
        <v>11780</v>
      </c>
      <c r="J163" s="61" t="s">
        <v>18</v>
      </c>
      <c r="K163" s="16" t="s">
        <v>272</v>
      </c>
      <c r="L163" s="16">
        <v>2</v>
      </c>
      <c r="M163" s="16" t="s">
        <v>277</v>
      </c>
      <c r="N163" s="16" t="s">
        <v>335</v>
      </c>
      <c r="O163" s="15" t="s">
        <v>282</v>
      </c>
      <c r="P163" t="s">
        <v>371</v>
      </c>
      <c r="Q163" t="s">
        <v>371</v>
      </c>
      <c r="R163" s="17" t="s">
        <v>371</v>
      </c>
      <c r="S163" s="16" t="s">
        <v>341</v>
      </c>
      <c r="T163" s="16" t="s">
        <v>342</v>
      </c>
      <c r="U163" s="15" t="s">
        <v>340</v>
      </c>
      <c r="V163" s="15" t="s">
        <v>345</v>
      </c>
      <c r="W163" s="17"/>
      <c r="X163" t="s">
        <v>349</v>
      </c>
      <c r="Y163" t="s">
        <v>349</v>
      </c>
      <c r="Z163" t="s">
        <v>293</v>
      </c>
      <c r="AA163" t="s">
        <v>354</v>
      </c>
      <c r="AB163" t="s">
        <v>354</v>
      </c>
      <c r="AC163" t="s">
        <v>300</v>
      </c>
      <c r="AD163" t="s">
        <v>292</v>
      </c>
      <c r="AE163" t="s">
        <v>293</v>
      </c>
      <c r="AF163" t="s">
        <v>292</v>
      </c>
      <c r="AG163" t="s">
        <v>293</v>
      </c>
      <c r="AH163" t="s">
        <v>293</v>
      </c>
      <c r="AI163" t="s">
        <v>302</v>
      </c>
      <c r="AJ163" t="s">
        <v>302</v>
      </c>
      <c r="AK163" t="s">
        <v>357</v>
      </c>
      <c r="AL163" t="s">
        <v>293</v>
      </c>
      <c r="AM163" t="s">
        <v>293</v>
      </c>
      <c r="AN163" t="s">
        <v>297</v>
      </c>
      <c r="AO163" t="s">
        <v>298</v>
      </c>
      <c r="AP163" t="s">
        <v>293</v>
      </c>
      <c r="AQ163" t="s">
        <v>292</v>
      </c>
      <c r="AR163" t="s">
        <v>293</v>
      </c>
      <c r="AS163" t="s">
        <v>293</v>
      </c>
      <c r="AT163" t="s">
        <v>364</v>
      </c>
      <c r="AU163" t="str">
        <f t="shared" si="6"/>
        <v>break</v>
      </c>
    </row>
    <row r="164" spans="1:47" x14ac:dyDescent="0.3">
      <c r="A164" t="s">
        <v>9</v>
      </c>
      <c r="B164" t="s">
        <v>47</v>
      </c>
      <c r="C164" t="s">
        <v>27</v>
      </c>
      <c r="D164" t="s">
        <v>29</v>
      </c>
      <c r="E164" t="str">
        <f t="shared" si="5"/>
        <v>P_I9B-ZSB-S_9F6</v>
      </c>
      <c r="F164" t="b">
        <v>1</v>
      </c>
      <c r="G164">
        <v>100</v>
      </c>
      <c r="H164">
        <v>1</v>
      </c>
      <c r="I164">
        <v>15509</v>
      </c>
      <c r="J164" s="61" t="s">
        <v>18</v>
      </c>
      <c r="K164" s="16" t="s">
        <v>272</v>
      </c>
      <c r="L164" s="16">
        <v>2</v>
      </c>
      <c r="M164" s="16" t="s">
        <v>277</v>
      </c>
      <c r="N164" s="16" t="s">
        <v>335</v>
      </c>
      <c r="O164" s="15" t="s">
        <v>282</v>
      </c>
      <c r="P164" t="s">
        <v>371</v>
      </c>
      <c r="Q164" t="s">
        <v>371</v>
      </c>
      <c r="R164" s="17" t="s">
        <v>371</v>
      </c>
      <c r="S164" s="16" t="s">
        <v>341</v>
      </c>
      <c r="T164" s="16" t="s">
        <v>340</v>
      </c>
      <c r="U164" s="15" t="s">
        <v>340</v>
      </c>
      <c r="V164" s="15" t="s">
        <v>345</v>
      </c>
      <c r="W164" s="17" t="s">
        <v>291</v>
      </c>
      <c r="X164" t="s">
        <v>349</v>
      </c>
      <c r="Y164" t="s">
        <v>349</v>
      </c>
      <c r="Z164" t="s">
        <v>293</v>
      </c>
      <c r="AA164" t="s">
        <v>354</v>
      </c>
      <c r="AB164" t="s">
        <v>354</v>
      </c>
      <c r="AC164" t="s">
        <v>300</v>
      </c>
      <c r="AD164" t="s">
        <v>292</v>
      </c>
      <c r="AE164" t="s">
        <v>293</v>
      </c>
      <c r="AF164" t="s">
        <v>292</v>
      </c>
      <c r="AG164" t="s">
        <v>293</v>
      </c>
      <c r="AH164" t="s">
        <v>293</v>
      </c>
      <c r="AI164" t="s">
        <v>302</v>
      </c>
      <c r="AJ164" t="s">
        <v>302</v>
      </c>
      <c r="AK164" t="s">
        <v>357</v>
      </c>
      <c r="AL164" t="s">
        <v>293</v>
      </c>
      <c r="AM164" t="s">
        <v>293</v>
      </c>
      <c r="AN164" t="s">
        <v>297</v>
      </c>
      <c r="AO164" t="s">
        <v>298</v>
      </c>
      <c r="AP164" t="s">
        <v>293</v>
      </c>
      <c r="AQ164" t="s">
        <v>292</v>
      </c>
      <c r="AR164" t="s">
        <v>293</v>
      </c>
      <c r="AS164" t="s">
        <v>293</v>
      </c>
      <c r="AT164" t="s">
        <v>364</v>
      </c>
      <c r="AU164" t="str">
        <f t="shared" si="6"/>
        <v>break</v>
      </c>
    </row>
    <row r="165" spans="1:47" x14ac:dyDescent="0.3">
      <c r="A165" t="s">
        <v>9</v>
      </c>
      <c r="B165" t="s">
        <v>47</v>
      </c>
      <c r="C165" t="s">
        <v>28</v>
      </c>
      <c r="D165" t="s">
        <v>29</v>
      </c>
      <c r="E165" t="str">
        <f t="shared" si="5"/>
        <v>P_I9B-ZSB-S_9T2</v>
      </c>
      <c r="F165" t="b">
        <v>1</v>
      </c>
      <c r="G165">
        <v>100</v>
      </c>
      <c r="H165">
        <v>1</v>
      </c>
      <c r="I165">
        <v>14985</v>
      </c>
      <c r="J165" s="61" t="s">
        <v>18</v>
      </c>
      <c r="K165" s="16" t="s">
        <v>272</v>
      </c>
      <c r="L165" s="16">
        <v>2</v>
      </c>
      <c r="M165" s="16" t="s">
        <v>277</v>
      </c>
      <c r="N165" s="16" t="s">
        <v>335</v>
      </c>
      <c r="O165" s="15" t="s">
        <v>282</v>
      </c>
      <c r="P165" t="s">
        <v>371</v>
      </c>
      <c r="Q165" t="s">
        <v>371</v>
      </c>
      <c r="R165" s="17" t="s">
        <v>371</v>
      </c>
      <c r="S165" s="16" t="s">
        <v>341</v>
      </c>
      <c r="T165" s="16" t="s">
        <v>340</v>
      </c>
      <c r="U165" s="15" t="s">
        <v>343</v>
      </c>
      <c r="V165" s="15" t="s">
        <v>345</v>
      </c>
      <c r="W165" s="17" t="s">
        <v>291</v>
      </c>
      <c r="X165" t="s">
        <v>349</v>
      </c>
      <c r="Y165" t="s">
        <v>349</v>
      </c>
      <c r="Z165" t="s">
        <v>293</v>
      </c>
      <c r="AA165" t="s">
        <v>354</v>
      </c>
      <c r="AB165" t="s">
        <v>354</v>
      </c>
      <c r="AC165" t="s">
        <v>300</v>
      </c>
      <c r="AD165" t="s">
        <v>292</v>
      </c>
      <c r="AE165" t="s">
        <v>293</v>
      </c>
      <c r="AF165" t="s">
        <v>292</v>
      </c>
      <c r="AG165" t="s">
        <v>293</v>
      </c>
      <c r="AH165" t="s">
        <v>293</v>
      </c>
      <c r="AI165" t="s">
        <v>302</v>
      </c>
      <c r="AJ165" t="s">
        <v>302</v>
      </c>
      <c r="AK165" t="s">
        <v>357</v>
      </c>
      <c r="AL165" t="s">
        <v>293</v>
      </c>
      <c r="AM165" t="s">
        <v>293</v>
      </c>
      <c r="AN165" t="s">
        <v>297</v>
      </c>
      <c r="AO165" t="s">
        <v>298</v>
      </c>
      <c r="AP165" t="s">
        <v>293</v>
      </c>
      <c r="AQ165" t="s">
        <v>292</v>
      </c>
      <c r="AR165" t="s">
        <v>293</v>
      </c>
      <c r="AS165" t="s">
        <v>293</v>
      </c>
      <c r="AT165" t="s">
        <v>364</v>
      </c>
      <c r="AU165" t="str">
        <f t="shared" si="6"/>
        <v>break</v>
      </c>
    </row>
    <row r="166" spans="1:47" x14ac:dyDescent="0.3">
      <c r="A166" t="s">
        <v>45</v>
      </c>
      <c r="B166" t="s">
        <v>57</v>
      </c>
      <c r="C166" t="s">
        <v>15</v>
      </c>
      <c r="D166" t="s">
        <v>12</v>
      </c>
      <c r="E166" t="str">
        <f t="shared" si="5"/>
        <v>P_J8S-KYY-S_0M4</v>
      </c>
      <c r="F166" t="b">
        <v>1</v>
      </c>
      <c r="G166">
        <v>81.400000000000006</v>
      </c>
      <c r="H166">
        <v>0</v>
      </c>
      <c r="I166">
        <v>11783</v>
      </c>
      <c r="J166" s="61" t="s">
        <v>13</v>
      </c>
      <c r="K166" s="16" t="s">
        <v>272</v>
      </c>
      <c r="L166" s="16">
        <v>3</v>
      </c>
      <c r="M166" s="16" t="s">
        <v>277</v>
      </c>
      <c r="N166" s="16" t="s">
        <v>335</v>
      </c>
      <c r="O166" s="15" t="s">
        <v>282</v>
      </c>
      <c r="P166" t="s">
        <v>371</v>
      </c>
      <c r="Q166" t="s">
        <v>371</v>
      </c>
      <c r="R166" s="17" t="s">
        <v>371</v>
      </c>
      <c r="S166" s="16" t="s">
        <v>341</v>
      </c>
      <c r="T166" s="16" t="s">
        <v>340</v>
      </c>
      <c r="U166" s="15" t="s">
        <v>343</v>
      </c>
      <c r="V166" s="15" t="s">
        <v>344</v>
      </c>
      <c r="W166" s="17"/>
      <c r="X166" t="s">
        <v>349</v>
      </c>
      <c r="Y166" t="s">
        <v>349</v>
      </c>
      <c r="Z166" t="s">
        <v>293</v>
      </c>
      <c r="AA166" t="s">
        <v>353</v>
      </c>
      <c r="AB166" t="s">
        <v>296</v>
      </c>
      <c r="AC166" t="s">
        <v>301</v>
      </c>
      <c r="AD166" t="s">
        <v>292</v>
      </c>
      <c r="AE166" t="s">
        <v>293</v>
      </c>
      <c r="AF166" t="s">
        <v>292</v>
      </c>
      <c r="AG166" t="s">
        <v>292</v>
      </c>
      <c r="AH166" t="s">
        <v>293</v>
      </c>
      <c r="AI166" t="s">
        <v>358</v>
      </c>
      <c r="AJ166" t="s">
        <v>302</v>
      </c>
      <c r="AK166" t="s">
        <v>359</v>
      </c>
      <c r="AL166" t="s">
        <v>293</v>
      </c>
      <c r="AM166" t="s">
        <v>293</v>
      </c>
      <c r="AN166" t="s">
        <v>297</v>
      </c>
      <c r="AO166" t="s">
        <v>298</v>
      </c>
      <c r="AP166" t="s">
        <v>293</v>
      </c>
      <c r="AQ166" t="s">
        <v>292</v>
      </c>
      <c r="AR166" t="s">
        <v>293</v>
      </c>
      <c r="AS166" t="s">
        <v>293</v>
      </c>
      <c r="AT166" t="s">
        <v>364</v>
      </c>
      <c r="AU166" t="str">
        <f t="shared" si="6"/>
        <v>no_fail</v>
      </c>
    </row>
    <row r="167" spans="1:47" x14ac:dyDescent="0.3">
      <c r="A167" t="s">
        <v>45</v>
      </c>
      <c r="B167" t="s">
        <v>57</v>
      </c>
      <c r="C167" t="s">
        <v>23</v>
      </c>
      <c r="D167" t="s">
        <v>12</v>
      </c>
      <c r="E167" t="str">
        <f t="shared" si="5"/>
        <v>P_J8S-KYY-S_0T2</v>
      </c>
      <c r="F167" t="b">
        <v>1</v>
      </c>
      <c r="G167">
        <v>100</v>
      </c>
      <c r="H167">
        <v>1</v>
      </c>
      <c r="I167">
        <v>8738</v>
      </c>
      <c r="J167" s="61" t="s">
        <v>18</v>
      </c>
      <c r="K167" s="16" t="s">
        <v>272</v>
      </c>
      <c r="L167" s="16">
        <v>3</v>
      </c>
      <c r="M167" s="16" t="s">
        <v>277</v>
      </c>
      <c r="N167" s="16" t="s">
        <v>335</v>
      </c>
      <c r="O167" s="15" t="s">
        <v>283</v>
      </c>
      <c r="P167" t="s">
        <v>339</v>
      </c>
      <c r="Q167" t="s">
        <v>371</v>
      </c>
      <c r="R167" s="17" t="s">
        <v>371</v>
      </c>
      <c r="S167" s="16" t="s">
        <v>341</v>
      </c>
      <c r="T167" s="16" t="s">
        <v>342</v>
      </c>
      <c r="U167" s="15" t="s">
        <v>343</v>
      </c>
      <c r="V167" s="15" t="s">
        <v>345</v>
      </c>
      <c r="W167" s="17" t="s">
        <v>347</v>
      </c>
      <c r="X167" t="s">
        <v>349</v>
      </c>
      <c r="Y167" t="s">
        <v>349</v>
      </c>
      <c r="Z167" t="s">
        <v>293</v>
      </c>
      <c r="AA167" t="s">
        <v>352</v>
      </c>
      <c r="AB167" t="s">
        <v>296</v>
      </c>
      <c r="AC167" t="s">
        <v>299</v>
      </c>
      <c r="AD167" t="s">
        <v>292</v>
      </c>
      <c r="AE167" t="s">
        <v>292</v>
      </c>
      <c r="AF167" t="s">
        <v>292</v>
      </c>
      <c r="AG167" t="s">
        <v>292</v>
      </c>
      <c r="AH167" t="s">
        <v>293</v>
      </c>
      <c r="AI167" t="s">
        <v>302</v>
      </c>
      <c r="AJ167" t="s">
        <v>302</v>
      </c>
      <c r="AK167" t="s">
        <v>359</v>
      </c>
      <c r="AL167" t="s">
        <v>293</v>
      </c>
      <c r="AM167" t="s">
        <v>293</v>
      </c>
      <c r="AN167" t="s">
        <v>297</v>
      </c>
      <c r="AO167" t="s">
        <v>298</v>
      </c>
      <c r="AP167" t="s">
        <v>293</v>
      </c>
      <c r="AQ167" t="s">
        <v>292</v>
      </c>
      <c r="AR167" t="s">
        <v>293</v>
      </c>
      <c r="AS167" t="s">
        <v>293</v>
      </c>
      <c r="AT167" t="s">
        <v>364</v>
      </c>
      <c r="AU167" t="str">
        <f t="shared" si="6"/>
        <v>break</v>
      </c>
    </row>
    <row r="168" spans="1:47" x14ac:dyDescent="0.3">
      <c r="A168" t="s">
        <v>45</v>
      </c>
      <c r="B168" t="s">
        <v>57</v>
      </c>
      <c r="C168" t="s">
        <v>14</v>
      </c>
      <c r="D168" t="s">
        <v>12</v>
      </c>
      <c r="E168" t="str">
        <f t="shared" si="5"/>
        <v>P_J8S-KYY-S_1B0</v>
      </c>
      <c r="F168" t="b">
        <v>1</v>
      </c>
      <c r="G168">
        <v>92.3</v>
      </c>
      <c r="H168">
        <v>0</v>
      </c>
      <c r="I168">
        <v>10124</v>
      </c>
      <c r="J168" s="61" t="s">
        <v>13</v>
      </c>
      <c r="K168" s="16" t="s">
        <v>272</v>
      </c>
      <c r="L168" s="16">
        <v>3</v>
      </c>
      <c r="M168" s="16" t="s">
        <v>277</v>
      </c>
      <c r="N168" s="16" t="s">
        <v>335</v>
      </c>
      <c r="O168" s="15" t="s">
        <v>282</v>
      </c>
      <c r="P168" t="s">
        <v>371</v>
      </c>
      <c r="Q168" t="s">
        <v>371</v>
      </c>
      <c r="R168" s="17" t="s">
        <v>371</v>
      </c>
      <c r="S168" s="16" t="s">
        <v>341</v>
      </c>
      <c r="T168" s="16" t="s">
        <v>342</v>
      </c>
      <c r="U168" s="15" t="s">
        <v>343</v>
      </c>
      <c r="V168" s="15" t="s">
        <v>344</v>
      </c>
      <c r="W168" s="17" t="s">
        <v>347</v>
      </c>
      <c r="X168" t="s">
        <v>349</v>
      </c>
      <c r="Y168" t="s">
        <v>349</v>
      </c>
      <c r="Z168" t="s">
        <v>293</v>
      </c>
      <c r="AA168" t="s">
        <v>353</v>
      </c>
      <c r="AB168" t="s">
        <v>297</v>
      </c>
      <c r="AC168" t="s">
        <v>301</v>
      </c>
      <c r="AD168" t="s">
        <v>292</v>
      </c>
      <c r="AE168" t="s">
        <v>293</v>
      </c>
      <c r="AF168" t="s">
        <v>292</v>
      </c>
      <c r="AG168" t="s">
        <v>293</v>
      </c>
      <c r="AH168" t="s">
        <v>293</v>
      </c>
      <c r="AI168" t="s">
        <v>358</v>
      </c>
      <c r="AJ168" t="s">
        <v>302</v>
      </c>
      <c r="AK168" t="s">
        <v>359</v>
      </c>
      <c r="AL168" t="s">
        <v>293</v>
      </c>
      <c r="AM168" t="s">
        <v>293</v>
      </c>
      <c r="AN168" t="s">
        <v>297</v>
      </c>
      <c r="AO168" t="s">
        <v>298</v>
      </c>
      <c r="AP168" t="s">
        <v>293</v>
      </c>
      <c r="AQ168" t="s">
        <v>292</v>
      </c>
      <c r="AR168" t="s">
        <v>293</v>
      </c>
      <c r="AS168" t="s">
        <v>293</v>
      </c>
      <c r="AT168" t="s">
        <v>364</v>
      </c>
      <c r="AU168" t="str">
        <f t="shared" si="6"/>
        <v>no_fail</v>
      </c>
    </row>
    <row r="169" spans="1:47" x14ac:dyDescent="0.3">
      <c r="A169" t="s">
        <v>45</v>
      </c>
      <c r="B169" t="s">
        <v>57</v>
      </c>
      <c r="C169" t="s">
        <v>11</v>
      </c>
      <c r="D169" t="s">
        <v>12</v>
      </c>
      <c r="E169" t="str">
        <f t="shared" si="5"/>
        <v>P_J8S-KYY-S_1Q4</v>
      </c>
      <c r="F169" t="b">
        <v>1</v>
      </c>
      <c r="G169">
        <v>100</v>
      </c>
      <c r="H169">
        <v>1</v>
      </c>
      <c r="I169">
        <v>9297</v>
      </c>
      <c r="J169" s="61" t="s">
        <v>18</v>
      </c>
      <c r="K169" s="16" t="s">
        <v>272</v>
      </c>
      <c r="L169" s="16">
        <v>3</v>
      </c>
      <c r="M169" s="16" t="s">
        <v>277</v>
      </c>
      <c r="N169" s="16" t="s">
        <v>335</v>
      </c>
      <c r="O169" s="15" t="s">
        <v>282</v>
      </c>
      <c r="P169" t="s">
        <v>371</v>
      </c>
      <c r="Q169" t="s">
        <v>371</v>
      </c>
      <c r="R169" s="17" t="s">
        <v>371</v>
      </c>
      <c r="S169" s="16" t="s">
        <v>341</v>
      </c>
      <c r="T169" s="16" t="s">
        <v>342</v>
      </c>
      <c r="U169" s="15" t="s">
        <v>343</v>
      </c>
      <c r="V169" s="15" t="s">
        <v>344</v>
      </c>
      <c r="W169" s="17" t="s">
        <v>347</v>
      </c>
      <c r="X169" t="s">
        <v>349</v>
      </c>
      <c r="Y169" t="s">
        <v>349</v>
      </c>
      <c r="Z169" t="s">
        <v>293</v>
      </c>
      <c r="AA169" t="s">
        <v>353</v>
      </c>
      <c r="AB169" t="s">
        <v>297</v>
      </c>
      <c r="AC169" t="s">
        <v>301</v>
      </c>
      <c r="AD169" t="s">
        <v>292</v>
      </c>
      <c r="AE169" t="s">
        <v>293</v>
      </c>
      <c r="AF169" t="s">
        <v>292</v>
      </c>
      <c r="AG169" t="s">
        <v>293</v>
      </c>
      <c r="AH169" t="s">
        <v>293</v>
      </c>
      <c r="AI169" t="s">
        <v>358</v>
      </c>
      <c r="AJ169" t="s">
        <v>302</v>
      </c>
      <c r="AK169" t="s">
        <v>359</v>
      </c>
      <c r="AL169" t="s">
        <v>293</v>
      </c>
      <c r="AM169" t="s">
        <v>293</v>
      </c>
      <c r="AN169" t="s">
        <v>297</v>
      </c>
      <c r="AO169" t="s">
        <v>298</v>
      </c>
      <c r="AP169" t="s">
        <v>293</v>
      </c>
      <c r="AQ169" t="s">
        <v>292</v>
      </c>
      <c r="AR169" t="s">
        <v>293</v>
      </c>
      <c r="AS169" t="s">
        <v>293</v>
      </c>
      <c r="AT169" t="s">
        <v>364</v>
      </c>
      <c r="AU169" t="str">
        <f t="shared" si="6"/>
        <v>break</v>
      </c>
    </row>
    <row r="170" spans="1:47" x14ac:dyDescent="0.3">
      <c r="A170" t="s">
        <v>45</v>
      </c>
      <c r="B170" t="s">
        <v>57</v>
      </c>
      <c r="C170" t="s">
        <v>24</v>
      </c>
      <c r="D170" t="s">
        <v>12</v>
      </c>
      <c r="E170" t="str">
        <f t="shared" si="5"/>
        <v>P_J8S-KYY-S_1U0</v>
      </c>
      <c r="F170" t="b">
        <v>1</v>
      </c>
      <c r="G170">
        <v>100</v>
      </c>
      <c r="H170">
        <v>1</v>
      </c>
      <c r="I170">
        <v>8122</v>
      </c>
      <c r="J170" s="61" t="s">
        <v>13</v>
      </c>
      <c r="K170" s="16" t="s">
        <v>272</v>
      </c>
      <c r="L170" s="16">
        <v>3</v>
      </c>
      <c r="M170" s="16" t="s">
        <v>277</v>
      </c>
      <c r="N170" s="16" t="s">
        <v>335</v>
      </c>
      <c r="O170" s="15" t="s">
        <v>283</v>
      </c>
      <c r="P170" t="s">
        <v>339</v>
      </c>
      <c r="Q170" t="s">
        <v>371</v>
      </c>
      <c r="R170" s="17" t="s">
        <v>371</v>
      </c>
      <c r="S170" s="16" t="s">
        <v>341</v>
      </c>
      <c r="T170" s="16" t="s">
        <v>342</v>
      </c>
      <c r="U170" s="15" t="s">
        <v>343</v>
      </c>
      <c r="V170" s="15" t="s">
        <v>345</v>
      </c>
      <c r="W170" s="17" t="s">
        <v>347</v>
      </c>
      <c r="X170" t="s">
        <v>349</v>
      </c>
      <c r="Y170" t="s">
        <v>349</v>
      </c>
      <c r="Z170" t="s">
        <v>293</v>
      </c>
      <c r="AA170" t="s">
        <v>352</v>
      </c>
      <c r="AB170" t="s">
        <v>296</v>
      </c>
      <c r="AC170" t="s">
        <v>300</v>
      </c>
      <c r="AD170" t="s">
        <v>292</v>
      </c>
      <c r="AE170" t="s">
        <v>293</v>
      </c>
      <c r="AF170" t="s">
        <v>292</v>
      </c>
      <c r="AG170" t="s">
        <v>292</v>
      </c>
      <c r="AH170" t="s">
        <v>293</v>
      </c>
      <c r="AI170" t="s">
        <v>302</v>
      </c>
      <c r="AJ170" t="s">
        <v>302</v>
      </c>
      <c r="AK170" t="s">
        <v>359</v>
      </c>
      <c r="AL170" t="s">
        <v>293</v>
      </c>
      <c r="AM170" t="s">
        <v>293</v>
      </c>
      <c r="AN170" t="s">
        <v>297</v>
      </c>
      <c r="AO170" t="s">
        <v>298</v>
      </c>
      <c r="AP170" t="s">
        <v>293</v>
      </c>
      <c r="AQ170" t="s">
        <v>292</v>
      </c>
      <c r="AR170" t="s">
        <v>293</v>
      </c>
      <c r="AS170" t="s">
        <v>293</v>
      </c>
      <c r="AT170" t="s">
        <v>364</v>
      </c>
      <c r="AU170" t="str">
        <f t="shared" si="6"/>
        <v>no_fail</v>
      </c>
    </row>
    <row r="171" spans="1:47" x14ac:dyDescent="0.3">
      <c r="A171" t="s">
        <v>45</v>
      </c>
      <c r="B171" t="s">
        <v>57</v>
      </c>
      <c r="C171" t="s">
        <v>21</v>
      </c>
      <c r="D171" t="s">
        <v>12</v>
      </c>
      <c r="E171" t="str">
        <f t="shared" si="5"/>
        <v>P_J8S-KYY-S_3X6</v>
      </c>
      <c r="F171" t="b">
        <v>1</v>
      </c>
      <c r="G171">
        <v>100</v>
      </c>
      <c r="H171">
        <v>1</v>
      </c>
      <c r="I171">
        <v>7863</v>
      </c>
      <c r="J171" s="61" t="s">
        <v>18</v>
      </c>
      <c r="K171" s="16" t="s">
        <v>272</v>
      </c>
      <c r="L171" s="16">
        <v>3</v>
      </c>
      <c r="M171" s="16" t="s">
        <v>277</v>
      </c>
      <c r="N171" s="16" t="s">
        <v>335</v>
      </c>
      <c r="O171" s="15" t="s">
        <v>283</v>
      </c>
      <c r="P171" t="s">
        <v>339</v>
      </c>
      <c r="Q171" t="s">
        <v>371</v>
      </c>
      <c r="R171" s="17" t="s">
        <v>371</v>
      </c>
      <c r="S171" s="16" t="s">
        <v>341</v>
      </c>
      <c r="T171" s="16" t="s">
        <v>342</v>
      </c>
      <c r="U171" s="15" t="s">
        <v>343</v>
      </c>
      <c r="V171" s="15" t="s">
        <v>345</v>
      </c>
      <c r="W171" s="17" t="s">
        <v>347</v>
      </c>
      <c r="X171" t="s">
        <v>349</v>
      </c>
      <c r="Y171" t="s">
        <v>349</v>
      </c>
      <c r="Z171" t="s">
        <v>293</v>
      </c>
      <c r="AA171" t="s">
        <v>352</v>
      </c>
      <c r="AB171" t="s">
        <v>296</v>
      </c>
      <c r="AC171" t="s">
        <v>299</v>
      </c>
      <c r="AD171" t="s">
        <v>292</v>
      </c>
      <c r="AE171" t="s">
        <v>293</v>
      </c>
      <c r="AF171" t="s">
        <v>292</v>
      </c>
      <c r="AG171" t="s">
        <v>292</v>
      </c>
      <c r="AH171" t="s">
        <v>293</v>
      </c>
      <c r="AI171" t="s">
        <v>302</v>
      </c>
      <c r="AJ171" t="s">
        <v>302</v>
      </c>
      <c r="AK171" t="s">
        <v>359</v>
      </c>
      <c r="AL171" t="s">
        <v>293</v>
      </c>
      <c r="AM171" t="s">
        <v>293</v>
      </c>
      <c r="AN171" t="s">
        <v>297</v>
      </c>
      <c r="AO171" t="s">
        <v>298</v>
      </c>
      <c r="AP171" t="s">
        <v>293</v>
      </c>
      <c r="AQ171" t="s">
        <v>292</v>
      </c>
      <c r="AR171" t="s">
        <v>293</v>
      </c>
      <c r="AS171" t="s">
        <v>293</v>
      </c>
      <c r="AT171" t="s">
        <v>364</v>
      </c>
      <c r="AU171" t="str">
        <f t="shared" si="6"/>
        <v>break</v>
      </c>
    </row>
    <row r="172" spans="1:47" x14ac:dyDescent="0.3">
      <c r="A172" t="s">
        <v>45</v>
      </c>
      <c r="B172" t="s">
        <v>57</v>
      </c>
      <c r="C172" t="s">
        <v>19</v>
      </c>
      <c r="D172" t="s">
        <v>12</v>
      </c>
      <c r="E172" t="str">
        <f t="shared" si="5"/>
        <v>P_J8S-KYY-S_4U3</v>
      </c>
      <c r="F172" t="b">
        <v>1</v>
      </c>
      <c r="G172">
        <v>62.3</v>
      </c>
      <c r="H172">
        <v>0</v>
      </c>
      <c r="I172">
        <v>10140</v>
      </c>
      <c r="J172" s="61" t="s">
        <v>13</v>
      </c>
      <c r="K172" s="16" t="s">
        <v>272</v>
      </c>
      <c r="L172" s="16">
        <v>3</v>
      </c>
      <c r="M172" s="16" t="s">
        <v>277</v>
      </c>
      <c r="N172" s="16" t="s">
        <v>335</v>
      </c>
      <c r="O172" s="15" t="s">
        <v>282</v>
      </c>
      <c r="P172" t="s">
        <v>371</v>
      </c>
      <c r="Q172" t="s">
        <v>371</v>
      </c>
      <c r="R172" s="17" t="s">
        <v>371</v>
      </c>
      <c r="S172" s="16" t="s">
        <v>341</v>
      </c>
      <c r="T172" s="16" t="s">
        <v>342</v>
      </c>
      <c r="U172" s="15" t="s">
        <v>343</v>
      </c>
      <c r="V172" s="15" t="s">
        <v>344</v>
      </c>
      <c r="W172" s="17"/>
      <c r="X172" t="s">
        <v>349</v>
      </c>
      <c r="Y172" t="s">
        <v>349</v>
      </c>
      <c r="Z172" t="s">
        <v>293</v>
      </c>
      <c r="AA172" t="s">
        <v>352</v>
      </c>
      <c r="AB172" t="s">
        <v>296</v>
      </c>
      <c r="AC172" t="s">
        <v>301</v>
      </c>
      <c r="AD172" t="s">
        <v>292</v>
      </c>
      <c r="AE172" t="s">
        <v>293</v>
      </c>
      <c r="AF172" t="s">
        <v>292</v>
      </c>
      <c r="AG172" t="s">
        <v>292</v>
      </c>
      <c r="AH172" t="s">
        <v>293</v>
      </c>
      <c r="AI172" t="s">
        <v>302</v>
      </c>
      <c r="AJ172" t="s">
        <v>302</v>
      </c>
      <c r="AK172" t="s">
        <v>359</v>
      </c>
      <c r="AL172" t="s">
        <v>293</v>
      </c>
      <c r="AM172" t="s">
        <v>293</v>
      </c>
      <c r="AN172" t="s">
        <v>297</v>
      </c>
      <c r="AO172" t="s">
        <v>298</v>
      </c>
      <c r="AP172" t="s">
        <v>293</v>
      </c>
      <c r="AQ172" t="s">
        <v>292</v>
      </c>
      <c r="AR172" t="s">
        <v>293</v>
      </c>
      <c r="AS172" t="s">
        <v>293</v>
      </c>
      <c r="AT172" t="s">
        <v>364</v>
      </c>
      <c r="AU172" t="str">
        <f t="shared" si="6"/>
        <v>no_fail</v>
      </c>
    </row>
    <row r="173" spans="1:47" x14ac:dyDescent="0.3">
      <c r="A173" t="s">
        <v>45</v>
      </c>
      <c r="B173" t="s">
        <v>57</v>
      </c>
      <c r="C173" t="s">
        <v>17</v>
      </c>
      <c r="D173" t="s">
        <v>12</v>
      </c>
      <c r="E173" t="str">
        <f t="shared" si="5"/>
        <v>P_J8S-KYY-S_6B5</v>
      </c>
      <c r="F173" t="b">
        <v>1</v>
      </c>
      <c r="G173">
        <v>100</v>
      </c>
      <c r="H173">
        <v>1</v>
      </c>
      <c r="I173">
        <v>9534</v>
      </c>
      <c r="J173" s="61" t="s">
        <v>18</v>
      </c>
      <c r="K173" s="16" t="s">
        <v>272</v>
      </c>
      <c r="L173" s="16">
        <v>2</v>
      </c>
      <c r="M173" s="16" t="s">
        <v>277</v>
      </c>
      <c r="N173" s="16" t="s">
        <v>335</v>
      </c>
      <c r="O173" s="15" t="s">
        <v>282</v>
      </c>
      <c r="P173" t="s">
        <v>371</v>
      </c>
      <c r="Q173" t="s">
        <v>371</v>
      </c>
      <c r="R173" s="17" t="s">
        <v>371</v>
      </c>
      <c r="S173" s="16" t="s">
        <v>341</v>
      </c>
      <c r="T173" s="16" t="s">
        <v>342</v>
      </c>
      <c r="U173" s="15" t="s">
        <v>343</v>
      </c>
      <c r="V173" s="15" t="s">
        <v>344</v>
      </c>
      <c r="W173" s="17"/>
      <c r="X173" t="s">
        <v>349</v>
      </c>
      <c r="Y173" t="s">
        <v>349</v>
      </c>
      <c r="Z173" t="s">
        <v>293</v>
      </c>
      <c r="AA173" t="s">
        <v>354</v>
      </c>
      <c r="AB173" t="s">
        <v>354</v>
      </c>
      <c r="AC173" t="s">
        <v>301</v>
      </c>
      <c r="AD173" t="s">
        <v>292</v>
      </c>
      <c r="AE173" t="s">
        <v>293</v>
      </c>
      <c r="AF173" t="s">
        <v>292</v>
      </c>
      <c r="AG173" t="s">
        <v>293</v>
      </c>
      <c r="AH173" t="s">
        <v>293</v>
      </c>
      <c r="AI173" t="s">
        <v>302</v>
      </c>
      <c r="AJ173" t="s">
        <v>302</v>
      </c>
      <c r="AK173" t="s">
        <v>357</v>
      </c>
      <c r="AL173" t="s">
        <v>293</v>
      </c>
      <c r="AM173" t="s">
        <v>293</v>
      </c>
      <c r="AN173" t="s">
        <v>297</v>
      </c>
      <c r="AO173" t="s">
        <v>298</v>
      </c>
      <c r="AP173" t="s">
        <v>293</v>
      </c>
      <c r="AQ173" t="s">
        <v>292</v>
      </c>
      <c r="AR173" t="s">
        <v>293</v>
      </c>
      <c r="AS173" t="s">
        <v>293</v>
      </c>
      <c r="AT173" t="s">
        <v>364</v>
      </c>
      <c r="AU173" t="str">
        <f t="shared" si="6"/>
        <v>break</v>
      </c>
    </row>
    <row r="174" spans="1:47" x14ac:dyDescent="0.3">
      <c r="A174" t="s">
        <v>45</v>
      </c>
      <c r="B174" t="s">
        <v>57</v>
      </c>
      <c r="C174" t="s">
        <v>16</v>
      </c>
      <c r="D174" t="s">
        <v>12</v>
      </c>
      <c r="E174" t="str">
        <f t="shared" si="5"/>
        <v>P_J8S-KYY-S_6U7</v>
      </c>
      <c r="F174" t="b">
        <v>1</v>
      </c>
      <c r="G174">
        <v>100</v>
      </c>
      <c r="H174">
        <v>1</v>
      </c>
      <c r="I174">
        <v>8655</v>
      </c>
      <c r="J174" s="61" t="s">
        <v>18</v>
      </c>
      <c r="K174" s="16" t="s">
        <v>272</v>
      </c>
      <c r="L174" s="16">
        <v>2</v>
      </c>
      <c r="M174" s="16" t="s">
        <v>277</v>
      </c>
      <c r="N174" s="16" t="s">
        <v>335</v>
      </c>
      <c r="O174" s="15" t="s">
        <v>282</v>
      </c>
      <c r="P174" t="s">
        <v>371</v>
      </c>
      <c r="Q174" t="s">
        <v>371</v>
      </c>
      <c r="R174" s="17" t="s">
        <v>371</v>
      </c>
      <c r="S174" s="16" t="s">
        <v>341</v>
      </c>
      <c r="T174" s="16" t="s">
        <v>342</v>
      </c>
      <c r="U174" s="15" t="s">
        <v>343</v>
      </c>
      <c r="V174" s="15" t="s">
        <v>344</v>
      </c>
      <c r="W174" s="17"/>
      <c r="X174" t="s">
        <v>349</v>
      </c>
      <c r="Y174" t="s">
        <v>349</v>
      </c>
      <c r="Z174" t="s">
        <v>293</v>
      </c>
      <c r="AA174" t="s">
        <v>354</v>
      </c>
      <c r="AB174" t="s">
        <v>354</v>
      </c>
      <c r="AC174" t="s">
        <v>301</v>
      </c>
      <c r="AD174" t="s">
        <v>292</v>
      </c>
      <c r="AE174" t="s">
        <v>293</v>
      </c>
      <c r="AF174" t="s">
        <v>292</v>
      </c>
      <c r="AG174" t="s">
        <v>293</v>
      </c>
      <c r="AH174" t="s">
        <v>293</v>
      </c>
      <c r="AI174" t="s">
        <v>358</v>
      </c>
      <c r="AJ174" t="s">
        <v>302</v>
      </c>
      <c r="AK174" t="s">
        <v>357</v>
      </c>
      <c r="AL174" t="s">
        <v>293</v>
      </c>
      <c r="AM174" t="s">
        <v>293</v>
      </c>
      <c r="AN174" t="s">
        <v>297</v>
      </c>
      <c r="AO174" t="s">
        <v>298</v>
      </c>
      <c r="AP174" t="s">
        <v>293</v>
      </c>
      <c r="AQ174" t="s">
        <v>292</v>
      </c>
      <c r="AR174" t="s">
        <v>293</v>
      </c>
      <c r="AS174" t="s">
        <v>293</v>
      </c>
      <c r="AT174" t="s">
        <v>364</v>
      </c>
      <c r="AU174" t="str">
        <f t="shared" si="6"/>
        <v>break</v>
      </c>
    </row>
    <row r="175" spans="1:47" x14ac:dyDescent="0.3">
      <c r="A175" t="s">
        <v>45</v>
      </c>
      <c r="B175" t="s">
        <v>57</v>
      </c>
      <c r="C175" t="s">
        <v>20</v>
      </c>
      <c r="D175" t="s">
        <v>12</v>
      </c>
      <c r="E175" t="str">
        <f t="shared" si="5"/>
        <v>P_J8S-KYY-S_7W0</v>
      </c>
      <c r="F175" t="b">
        <v>1</v>
      </c>
      <c r="G175">
        <v>99.2</v>
      </c>
      <c r="H175">
        <v>0</v>
      </c>
      <c r="I175">
        <v>8677</v>
      </c>
      <c r="J175" s="61" t="s">
        <v>13</v>
      </c>
      <c r="K175" s="16" t="s">
        <v>272</v>
      </c>
      <c r="L175" s="16">
        <v>3</v>
      </c>
      <c r="M175" s="16" t="s">
        <v>277</v>
      </c>
      <c r="N175" s="16" t="s">
        <v>335</v>
      </c>
      <c r="O175" s="15" t="s">
        <v>282</v>
      </c>
      <c r="P175" t="s">
        <v>371</v>
      </c>
      <c r="Q175" t="s">
        <v>371</v>
      </c>
      <c r="R175" s="17" t="s">
        <v>371</v>
      </c>
      <c r="S175" s="16" t="s">
        <v>341</v>
      </c>
      <c r="T175" s="16" t="s">
        <v>342</v>
      </c>
      <c r="U175" s="15" t="s">
        <v>343</v>
      </c>
      <c r="V175" s="15" t="s">
        <v>345</v>
      </c>
      <c r="W175" s="17" t="s">
        <v>347</v>
      </c>
      <c r="X175" t="s">
        <v>349</v>
      </c>
      <c r="Y175" t="s">
        <v>349</v>
      </c>
      <c r="Z175" t="s">
        <v>293</v>
      </c>
      <c r="AA175" t="s">
        <v>352</v>
      </c>
      <c r="AB175" t="s">
        <v>296</v>
      </c>
      <c r="AC175" t="s">
        <v>300</v>
      </c>
      <c r="AD175" t="s">
        <v>292</v>
      </c>
      <c r="AE175" t="s">
        <v>293</v>
      </c>
      <c r="AF175" t="s">
        <v>292</v>
      </c>
      <c r="AG175" t="s">
        <v>292</v>
      </c>
      <c r="AH175" t="s">
        <v>293</v>
      </c>
      <c r="AI175" t="s">
        <v>302</v>
      </c>
      <c r="AJ175" t="s">
        <v>302</v>
      </c>
      <c r="AK175" t="s">
        <v>359</v>
      </c>
      <c r="AL175" t="s">
        <v>293</v>
      </c>
      <c r="AM175" t="s">
        <v>293</v>
      </c>
      <c r="AN175" t="s">
        <v>297</v>
      </c>
      <c r="AO175" t="s">
        <v>298</v>
      </c>
      <c r="AP175" t="s">
        <v>293</v>
      </c>
      <c r="AQ175" t="s">
        <v>292</v>
      </c>
      <c r="AR175" t="s">
        <v>293</v>
      </c>
      <c r="AS175" t="s">
        <v>293</v>
      </c>
      <c r="AT175" t="s">
        <v>364</v>
      </c>
      <c r="AU175" t="str">
        <f t="shared" si="6"/>
        <v>no_fail</v>
      </c>
    </row>
    <row r="176" spans="1:47" x14ac:dyDescent="0.3">
      <c r="A176" t="s">
        <v>45</v>
      </c>
      <c r="B176" t="s">
        <v>57</v>
      </c>
      <c r="C176" t="s">
        <v>22</v>
      </c>
      <c r="D176" t="s">
        <v>12</v>
      </c>
      <c r="E176" t="str">
        <f t="shared" si="5"/>
        <v>P_J8S-KYY-S_9B4</v>
      </c>
      <c r="F176" t="b">
        <v>1</v>
      </c>
      <c r="G176">
        <v>100</v>
      </c>
      <c r="H176">
        <v>1</v>
      </c>
      <c r="I176">
        <v>7998</v>
      </c>
      <c r="J176" s="61" t="s">
        <v>18</v>
      </c>
      <c r="K176" s="16" t="s">
        <v>272</v>
      </c>
      <c r="L176" s="16">
        <v>3</v>
      </c>
      <c r="M176" s="16" t="s">
        <v>277</v>
      </c>
      <c r="N176" s="16" t="s">
        <v>335</v>
      </c>
      <c r="O176" s="15" t="s">
        <v>283</v>
      </c>
      <c r="P176" t="s">
        <v>339</v>
      </c>
      <c r="Q176" t="s">
        <v>371</v>
      </c>
      <c r="R176" s="17" t="s">
        <v>371</v>
      </c>
      <c r="S176" s="16" t="s">
        <v>341</v>
      </c>
      <c r="T176" s="16" t="s">
        <v>342</v>
      </c>
      <c r="U176" s="15" t="s">
        <v>343</v>
      </c>
      <c r="V176" s="15" t="s">
        <v>345</v>
      </c>
      <c r="W176" s="17" t="s">
        <v>347</v>
      </c>
      <c r="X176" t="s">
        <v>349</v>
      </c>
      <c r="Y176" t="s">
        <v>349</v>
      </c>
      <c r="Z176" t="s">
        <v>293</v>
      </c>
      <c r="AA176" t="s">
        <v>352</v>
      </c>
      <c r="AB176" t="s">
        <v>296</v>
      </c>
      <c r="AC176" t="s">
        <v>300</v>
      </c>
      <c r="AD176" t="s">
        <v>292</v>
      </c>
      <c r="AE176" t="s">
        <v>293</v>
      </c>
      <c r="AF176" t="s">
        <v>292</v>
      </c>
      <c r="AG176" t="s">
        <v>292</v>
      </c>
      <c r="AH176" t="s">
        <v>293</v>
      </c>
      <c r="AI176" t="s">
        <v>302</v>
      </c>
      <c r="AJ176" t="s">
        <v>302</v>
      </c>
      <c r="AK176" t="s">
        <v>359</v>
      </c>
      <c r="AL176" t="s">
        <v>293</v>
      </c>
      <c r="AM176" t="s">
        <v>293</v>
      </c>
      <c r="AN176" t="s">
        <v>297</v>
      </c>
      <c r="AO176" t="s">
        <v>298</v>
      </c>
      <c r="AP176" t="s">
        <v>293</v>
      </c>
      <c r="AQ176" t="s">
        <v>292</v>
      </c>
      <c r="AR176" t="s">
        <v>293</v>
      </c>
      <c r="AS176" t="s">
        <v>293</v>
      </c>
      <c r="AT176" t="s">
        <v>364</v>
      </c>
      <c r="AU176" t="str">
        <f t="shared" si="6"/>
        <v>break</v>
      </c>
    </row>
    <row r="177" spans="1:47" x14ac:dyDescent="0.3">
      <c r="A177" t="s">
        <v>45</v>
      </c>
      <c r="B177" t="s">
        <v>57</v>
      </c>
      <c r="C177" t="s">
        <v>25</v>
      </c>
      <c r="D177" t="s">
        <v>29</v>
      </c>
      <c r="E177" t="str">
        <f t="shared" si="5"/>
        <v>P_J8S-ZSB-S_1J8</v>
      </c>
      <c r="F177" t="b">
        <v>1</v>
      </c>
      <c r="G177">
        <v>99.6</v>
      </c>
      <c r="H177">
        <v>0</v>
      </c>
      <c r="I177">
        <v>8148</v>
      </c>
      <c r="J177" s="61" t="s">
        <v>13</v>
      </c>
      <c r="K177" s="16" t="s">
        <v>272</v>
      </c>
      <c r="L177" s="16">
        <v>3</v>
      </c>
      <c r="M177" s="16" t="s">
        <v>277</v>
      </c>
      <c r="N177" s="16" t="s">
        <v>335</v>
      </c>
      <c r="O177" s="15" t="s">
        <v>283</v>
      </c>
      <c r="P177" t="s">
        <v>339</v>
      </c>
      <c r="Q177" t="s">
        <v>371</v>
      </c>
      <c r="R177" s="17" t="s">
        <v>371</v>
      </c>
      <c r="S177" s="16" t="s">
        <v>341</v>
      </c>
      <c r="T177" s="16" t="s">
        <v>342</v>
      </c>
      <c r="U177" s="15" t="s">
        <v>343</v>
      </c>
      <c r="V177" s="15" t="s">
        <v>345</v>
      </c>
      <c r="W177" s="17" t="s">
        <v>347</v>
      </c>
      <c r="X177" t="s">
        <v>349</v>
      </c>
      <c r="Y177" t="s">
        <v>349</v>
      </c>
      <c r="Z177" t="s">
        <v>293</v>
      </c>
      <c r="AA177" t="s">
        <v>352</v>
      </c>
      <c r="AB177" t="s">
        <v>296</v>
      </c>
      <c r="AC177" t="s">
        <v>300</v>
      </c>
      <c r="AD177" t="s">
        <v>292</v>
      </c>
      <c r="AE177" t="s">
        <v>293</v>
      </c>
      <c r="AF177" t="s">
        <v>292</v>
      </c>
      <c r="AG177" t="s">
        <v>292</v>
      </c>
      <c r="AH177" t="s">
        <v>293</v>
      </c>
      <c r="AI177" t="s">
        <v>302</v>
      </c>
      <c r="AJ177" t="s">
        <v>302</v>
      </c>
      <c r="AK177" t="s">
        <v>359</v>
      </c>
      <c r="AL177" t="s">
        <v>293</v>
      </c>
      <c r="AM177" t="s">
        <v>293</v>
      </c>
      <c r="AN177" t="s">
        <v>297</v>
      </c>
      <c r="AO177" t="s">
        <v>298</v>
      </c>
      <c r="AP177" t="s">
        <v>293</v>
      </c>
      <c r="AQ177" t="s">
        <v>292</v>
      </c>
      <c r="AR177" t="s">
        <v>293</v>
      </c>
      <c r="AS177" t="s">
        <v>293</v>
      </c>
      <c r="AT177" t="s">
        <v>364</v>
      </c>
      <c r="AU177" t="str">
        <f t="shared" si="6"/>
        <v>no_fail</v>
      </c>
    </row>
    <row r="178" spans="1:47" x14ac:dyDescent="0.3">
      <c r="A178" t="s">
        <v>45</v>
      </c>
      <c r="B178" t="s">
        <v>57</v>
      </c>
      <c r="C178" t="s">
        <v>32</v>
      </c>
      <c r="D178" t="s">
        <v>29</v>
      </c>
      <c r="E178" t="str">
        <f t="shared" si="5"/>
        <v>P_J8S-ZSB-S_3B9</v>
      </c>
      <c r="F178" t="b">
        <v>1</v>
      </c>
      <c r="G178">
        <v>100</v>
      </c>
      <c r="H178">
        <v>1</v>
      </c>
      <c r="I178">
        <v>9220</v>
      </c>
      <c r="J178" s="61" t="s">
        <v>18</v>
      </c>
      <c r="K178" s="16" t="s">
        <v>272</v>
      </c>
      <c r="L178" s="16">
        <v>3</v>
      </c>
      <c r="M178" s="16" t="s">
        <v>277</v>
      </c>
      <c r="N178" s="16" t="s">
        <v>335</v>
      </c>
      <c r="O178" s="15" t="s">
        <v>284</v>
      </c>
      <c r="P178" t="s">
        <v>282</v>
      </c>
      <c r="Q178" t="s">
        <v>371</v>
      </c>
      <c r="R178" s="17" t="s">
        <v>371</v>
      </c>
      <c r="S178" s="16" t="s">
        <v>341</v>
      </c>
      <c r="T178" s="16" t="s">
        <v>342</v>
      </c>
      <c r="U178" s="15" t="s">
        <v>343</v>
      </c>
      <c r="V178" s="15" t="s">
        <v>344</v>
      </c>
      <c r="W178" s="17"/>
      <c r="X178" t="s">
        <v>349</v>
      </c>
      <c r="Y178" t="s">
        <v>349</v>
      </c>
      <c r="Z178" t="s">
        <v>293</v>
      </c>
      <c r="AA178" t="s">
        <v>352</v>
      </c>
      <c r="AB178" t="s">
        <v>296</v>
      </c>
      <c r="AC178" t="s">
        <v>300</v>
      </c>
      <c r="AD178" t="s">
        <v>292</v>
      </c>
      <c r="AE178" t="s">
        <v>293</v>
      </c>
      <c r="AF178" t="s">
        <v>292</v>
      </c>
      <c r="AG178" t="s">
        <v>292</v>
      </c>
      <c r="AH178" t="s">
        <v>293</v>
      </c>
      <c r="AI178" t="s">
        <v>302</v>
      </c>
      <c r="AJ178" t="s">
        <v>302</v>
      </c>
      <c r="AK178" t="s">
        <v>359</v>
      </c>
      <c r="AL178" t="s">
        <v>293</v>
      </c>
      <c r="AM178" t="s">
        <v>293</v>
      </c>
      <c r="AN178" t="s">
        <v>297</v>
      </c>
      <c r="AO178" t="s">
        <v>298</v>
      </c>
      <c r="AP178" t="s">
        <v>293</v>
      </c>
      <c r="AQ178" t="s">
        <v>292</v>
      </c>
      <c r="AR178" t="s">
        <v>293</v>
      </c>
      <c r="AS178" t="s">
        <v>293</v>
      </c>
      <c r="AT178" t="s">
        <v>364</v>
      </c>
      <c r="AU178" t="str">
        <f t="shared" si="6"/>
        <v>break</v>
      </c>
    </row>
    <row r="179" spans="1:47" x14ac:dyDescent="0.3">
      <c r="A179" t="s">
        <v>45</v>
      </c>
      <c r="B179" t="s">
        <v>57</v>
      </c>
      <c r="C179" t="s">
        <v>30</v>
      </c>
      <c r="D179" t="s">
        <v>29</v>
      </c>
      <c r="E179" t="str">
        <f t="shared" si="5"/>
        <v>P_J8S-ZSB-S_3X7</v>
      </c>
      <c r="F179" t="b">
        <v>1</v>
      </c>
      <c r="G179">
        <v>100</v>
      </c>
      <c r="H179">
        <v>1</v>
      </c>
      <c r="I179">
        <v>9538</v>
      </c>
      <c r="J179" s="61" t="s">
        <v>18</v>
      </c>
      <c r="K179" s="16" t="s">
        <v>272</v>
      </c>
      <c r="L179" s="16">
        <v>3</v>
      </c>
      <c r="M179" s="16" t="s">
        <v>277</v>
      </c>
      <c r="N179" s="16" t="s">
        <v>335</v>
      </c>
      <c r="O179" s="15" t="s">
        <v>284</v>
      </c>
      <c r="P179" t="s">
        <v>282</v>
      </c>
      <c r="Q179" t="s">
        <v>371</v>
      </c>
      <c r="R179" s="17" t="s">
        <v>371</v>
      </c>
      <c r="S179" s="16" t="s">
        <v>341</v>
      </c>
      <c r="T179" s="16" t="s">
        <v>340</v>
      </c>
      <c r="U179" s="15" t="s">
        <v>343</v>
      </c>
      <c r="V179" s="15" t="s">
        <v>344</v>
      </c>
      <c r="W179" s="17"/>
      <c r="X179" t="s">
        <v>349</v>
      </c>
      <c r="Y179" t="s">
        <v>349</v>
      </c>
      <c r="Z179" t="s">
        <v>293</v>
      </c>
      <c r="AA179" t="s">
        <v>352</v>
      </c>
      <c r="AB179" t="s">
        <v>296</v>
      </c>
      <c r="AC179" t="s">
        <v>300</v>
      </c>
      <c r="AD179" t="s">
        <v>292</v>
      </c>
      <c r="AE179" t="s">
        <v>292</v>
      </c>
      <c r="AF179" t="s">
        <v>292</v>
      </c>
      <c r="AG179" t="s">
        <v>292</v>
      </c>
      <c r="AH179" t="s">
        <v>293</v>
      </c>
      <c r="AI179" t="s">
        <v>302</v>
      </c>
      <c r="AJ179" t="s">
        <v>302</v>
      </c>
      <c r="AK179" t="s">
        <v>359</v>
      </c>
      <c r="AL179" t="s">
        <v>293</v>
      </c>
      <c r="AM179" t="s">
        <v>293</v>
      </c>
      <c r="AN179" t="s">
        <v>297</v>
      </c>
      <c r="AO179" t="s">
        <v>298</v>
      </c>
      <c r="AP179" t="s">
        <v>293</v>
      </c>
      <c r="AQ179" t="s">
        <v>292</v>
      </c>
      <c r="AR179" t="s">
        <v>293</v>
      </c>
      <c r="AS179" t="s">
        <v>293</v>
      </c>
      <c r="AT179" t="s">
        <v>364</v>
      </c>
      <c r="AU179" t="str">
        <f t="shared" si="6"/>
        <v>break</v>
      </c>
    </row>
    <row r="180" spans="1:47" x14ac:dyDescent="0.3">
      <c r="A180" t="s">
        <v>45</v>
      </c>
      <c r="B180" t="s">
        <v>57</v>
      </c>
      <c r="C180" t="s">
        <v>34</v>
      </c>
      <c r="D180" t="s">
        <v>29</v>
      </c>
      <c r="E180" t="str">
        <f t="shared" si="5"/>
        <v>P_J8S-ZSB-S_8A5</v>
      </c>
      <c r="F180" t="b">
        <v>1</v>
      </c>
      <c r="G180">
        <v>100</v>
      </c>
      <c r="H180">
        <v>1</v>
      </c>
      <c r="I180">
        <v>9280</v>
      </c>
      <c r="J180" s="61" t="s">
        <v>18</v>
      </c>
      <c r="K180" s="16" t="s">
        <v>272</v>
      </c>
      <c r="L180" s="16">
        <v>3</v>
      </c>
      <c r="M180" s="16" t="s">
        <v>277</v>
      </c>
      <c r="N180" s="16" t="s">
        <v>335</v>
      </c>
      <c r="O180" s="15" t="s">
        <v>282</v>
      </c>
      <c r="P180" t="s">
        <v>339</v>
      </c>
      <c r="Q180" t="s">
        <v>371</v>
      </c>
      <c r="R180" s="17" t="s">
        <v>371</v>
      </c>
      <c r="S180" s="16" t="s">
        <v>341</v>
      </c>
      <c r="T180" s="16" t="s">
        <v>342</v>
      </c>
      <c r="U180" s="15" t="s">
        <v>343</v>
      </c>
      <c r="V180" s="15" t="s">
        <v>345</v>
      </c>
      <c r="W180" s="17" t="s">
        <v>347</v>
      </c>
      <c r="X180" t="s">
        <v>349</v>
      </c>
      <c r="Y180" t="s">
        <v>349</v>
      </c>
      <c r="Z180" t="s">
        <v>293</v>
      </c>
      <c r="AA180" t="s">
        <v>352</v>
      </c>
      <c r="AB180" t="s">
        <v>296</v>
      </c>
      <c r="AC180" t="s">
        <v>300</v>
      </c>
      <c r="AD180" t="s">
        <v>292</v>
      </c>
      <c r="AE180" t="s">
        <v>293</v>
      </c>
      <c r="AF180" t="s">
        <v>292</v>
      </c>
      <c r="AG180" t="s">
        <v>292</v>
      </c>
      <c r="AH180" t="s">
        <v>293</v>
      </c>
      <c r="AI180" t="s">
        <v>302</v>
      </c>
      <c r="AJ180" t="s">
        <v>302</v>
      </c>
      <c r="AK180" t="s">
        <v>359</v>
      </c>
      <c r="AL180" t="s">
        <v>293</v>
      </c>
      <c r="AM180" t="s">
        <v>293</v>
      </c>
      <c r="AN180" t="s">
        <v>297</v>
      </c>
      <c r="AO180" t="s">
        <v>298</v>
      </c>
      <c r="AP180" t="s">
        <v>293</v>
      </c>
      <c r="AQ180" t="s">
        <v>292</v>
      </c>
      <c r="AR180" t="s">
        <v>362</v>
      </c>
      <c r="AS180" t="s">
        <v>293</v>
      </c>
      <c r="AT180" t="s">
        <v>364</v>
      </c>
      <c r="AU180" t="str">
        <f t="shared" si="6"/>
        <v>break</v>
      </c>
    </row>
    <row r="181" spans="1:47" x14ac:dyDescent="0.3">
      <c r="A181" t="s">
        <v>45</v>
      </c>
      <c r="B181" t="s">
        <v>57</v>
      </c>
      <c r="C181" t="s">
        <v>36</v>
      </c>
      <c r="D181" t="s">
        <v>29</v>
      </c>
      <c r="E181" t="str">
        <f t="shared" si="5"/>
        <v>P_J8S-ZSB-S_8D0</v>
      </c>
      <c r="F181" t="b">
        <v>1</v>
      </c>
      <c r="G181">
        <v>100</v>
      </c>
      <c r="H181">
        <v>1</v>
      </c>
      <c r="I181">
        <v>9312</v>
      </c>
      <c r="J181" s="61" t="s">
        <v>18</v>
      </c>
      <c r="K181" s="16" t="s">
        <v>272</v>
      </c>
      <c r="L181" s="16">
        <v>3</v>
      </c>
      <c r="M181" s="16" t="s">
        <v>277</v>
      </c>
      <c r="N181" s="16" t="s">
        <v>335</v>
      </c>
      <c r="O181" s="15" t="s">
        <v>282</v>
      </c>
      <c r="P181" t="s">
        <v>283</v>
      </c>
      <c r="Q181" t="s">
        <v>371</v>
      </c>
      <c r="R181" s="17" t="s">
        <v>371</v>
      </c>
      <c r="S181" s="16" t="s">
        <v>341</v>
      </c>
      <c r="T181" s="16" t="s">
        <v>342</v>
      </c>
      <c r="U181" s="15" t="s">
        <v>343</v>
      </c>
      <c r="V181" s="15" t="s">
        <v>345</v>
      </c>
      <c r="W181" s="17" t="s">
        <v>344</v>
      </c>
      <c r="X181" t="s">
        <v>349</v>
      </c>
      <c r="Y181" t="s">
        <v>349</v>
      </c>
      <c r="Z181" t="s">
        <v>293</v>
      </c>
      <c r="AA181" t="s">
        <v>352</v>
      </c>
      <c r="AB181" t="s">
        <v>296</v>
      </c>
      <c r="AC181" t="s">
        <v>300</v>
      </c>
      <c r="AD181" t="s">
        <v>292</v>
      </c>
      <c r="AE181" t="s">
        <v>293</v>
      </c>
      <c r="AF181" t="s">
        <v>292</v>
      </c>
      <c r="AG181" t="s">
        <v>292</v>
      </c>
      <c r="AH181" t="s">
        <v>293</v>
      </c>
      <c r="AI181" t="s">
        <v>302</v>
      </c>
      <c r="AJ181" t="s">
        <v>302</v>
      </c>
      <c r="AK181" t="s">
        <v>359</v>
      </c>
      <c r="AL181" t="s">
        <v>293</v>
      </c>
      <c r="AM181" t="s">
        <v>293</v>
      </c>
      <c r="AN181" t="s">
        <v>297</v>
      </c>
      <c r="AO181" t="s">
        <v>298</v>
      </c>
      <c r="AP181" t="s">
        <v>293</v>
      </c>
      <c r="AQ181" t="s">
        <v>292</v>
      </c>
      <c r="AR181" t="s">
        <v>362</v>
      </c>
      <c r="AS181" t="s">
        <v>293</v>
      </c>
      <c r="AT181" t="s">
        <v>364</v>
      </c>
      <c r="AU181" t="str">
        <f t="shared" si="6"/>
        <v>break</v>
      </c>
    </row>
    <row r="182" spans="1:47" x14ac:dyDescent="0.3">
      <c r="A182" t="s">
        <v>45</v>
      </c>
      <c r="B182" t="s">
        <v>57</v>
      </c>
      <c r="C182" t="s">
        <v>33</v>
      </c>
      <c r="D182" t="s">
        <v>29</v>
      </c>
      <c r="E182" t="str">
        <f t="shared" si="5"/>
        <v>P_J8S-ZSB-S_8I8</v>
      </c>
      <c r="F182" t="b">
        <v>1</v>
      </c>
      <c r="G182">
        <v>100</v>
      </c>
      <c r="H182">
        <v>1</v>
      </c>
      <c r="I182">
        <v>8993</v>
      </c>
      <c r="J182" s="61" t="s">
        <v>18</v>
      </c>
      <c r="K182" s="16" t="s">
        <v>272</v>
      </c>
      <c r="L182" s="16">
        <v>3</v>
      </c>
      <c r="M182" s="16" t="s">
        <v>277</v>
      </c>
      <c r="N182" s="16" t="s">
        <v>335</v>
      </c>
      <c r="O182" s="15" t="s">
        <v>282</v>
      </c>
      <c r="P182" t="s">
        <v>339</v>
      </c>
      <c r="Q182" t="s">
        <v>371</v>
      </c>
      <c r="R182" s="17" t="s">
        <v>371</v>
      </c>
      <c r="S182" s="16" t="s">
        <v>341</v>
      </c>
      <c r="T182" s="16" t="s">
        <v>342</v>
      </c>
      <c r="U182" s="15" t="s">
        <v>343</v>
      </c>
      <c r="V182" s="15" t="s">
        <v>345</v>
      </c>
      <c r="W182" s="17" t="s">
        <v>344</v>
      </c>
      <c r="X182" t="s">
        <v>349</v>
      </c>
      <c r="Y182" t="s">
        <v>349</v>
      </c>
      <c r="Z182" t="s">
        <v>293</v>
      </c>
      <c r="AA182" t="s">
        <v>352</v>
      </c>
      <c r="AB182" t="s">
        <v>296</v>
      </c>
      <c r="AC182" t="s">
        <v>300</v>
      </c>
      <c r="AD182" t="s">
        <v>292</v>
      </c>
      <c r="AE182" t="s">
        <v>293</v>
      </c>
      <c r="AF182" t="s">
        <v>292</v>
      </c>
      <c r="AG182" t="s">
        <v>292</v>
      </c>
      <c r="AH182" t="s">
        <v>293</v>
      </c>
      <c r="AI182" t="s">
        <v>302</v>
      </c>
      <c r="AJ182" t="s">
        <v>302</v>
      </c>
      <c r="AK182" t="s">
        <v>359</v>
      </c>
      <c r="AL182" t="s">
        <v>293</v>
      </c>
      <c r="AM182" t="s">
        <v>293</v>
      </c>
      <c r="AN182" t="s">
        <v>297</v>
      </c>
      <c r="AO182" t="s">
        <v>298</v>
      </c>
      <c r="AP182" t="s">
        <v>293</v>
      </c>
      <c r="AQ182" t="s">
        <v>292</v>
      </c>
      <c r="AR182" t="s">
        <v>293</v>
      </c>
      <c r="AS182" t="s">
        <v>293</v>
      </c>
      <c r="AT182" t="s">
        <v>364</v>
      </c>
      <c r="AU182" t="str">
        <f t="shared" si="6"/>
        <v>break</v>
      </c>
    </row>
    <row r="183" spans="1:47" x14ac:dyDescent="0.3">
      <c r="A183" t="s">
        <v>45</v>
      </c>
      <c r="B183" t="s">
        <v>57</v>
      </c>
      <c r="C183" t="s">
        <v>26</v>
      </c>
      <c r="D183" t="s">
        <v>29</v>
      </c>
      <c r="E183" t="str">
        <f t="shared" si="5"/>
        <v>P_J8S-ZSB-S_8O8</v>
      </c>
      <c r="F183" t="b">
        <v>1</v>
      </c>
      <c r="G183">
        <v>100</v>
      </c>
      <c r="H183">
        <v>1</v>
      </c>
      <c r="I183">
        <v>9359</v>
      </c>
      <c r="J183" s="61" t="s">
        <v>18</v>
      </c>
      <c r="K183" s="16" t="s">
        <v>272</v>
      </c>
      <c r="L183" s="16">
        <v>3</v>
      </c>
      <c r="M183" s="16" t="s">
        <v>277</v>
      </c>
      <c r="N183" s="16" t="s">
        <v>335</v>
      </c>
      <c r="O183" s="15" t="s">
        <v>284</v>
      </c>
      <c r="P183" t="s">
        <v>282</v>
      </c>
      <c r="Q183" t="s">
        <v>371</v>
      </c>
      <c r="R183" s="17" t="s">
        <v>371</v>
      </c>
      <c r="S183" s="16" t="s">
        <v>341</v>
      </c>
      <c r="T183" s="16" t="s">
        <v>340</v>
      </c>
      <c r="U183" s="15" t="s">
        <v>340</v>
      </c>
      <c r="V183" s="15" t="s">
        <v>344</v>
      </c>
      <c r="W183" s="17"/>
      <c r="X183" t="s">
        <v>349</v>
      </c>
      <c r="Y183" t="s">
        <v>349</v>
      </c>
      <c r="Z183" t="s">
        <v>293</v>
      </c>
      <c r="AA183" t="s">
        <v>354</v>
      </c>
      <c r="AB183" t="s">
        <v>354</v>
      </c>
      <c r="AC183" t="s">
        <v>300</v>
      </c>
      <c r="AD183" t="s">
        <v>292</v>
      </c>
      <c r="AE183" t="s">
        <v>293</v>
      </c>
      <c r="AF183" t="s">
        <v>292</v>
      </c>
      <c r="AG183" t="s">
        <v>293</v>
      </c>
      <c r="AH183" t="s">
        <v>293</v>
      </c>
      <c r="AI183" t="s">
        <v>302</v>
      </c>
      <c r="AJ183" t="s">
        <v>302</v>
      </c>
      <c r="AK183" t="s">
        <v>302</v>
      </c>
      <c r="AL183" t="s">
        <v>293</v>
      </c>
      <c r="AM183" t="s">
        <v>293</v>
      </c>
      <c r="AN183" t="s">
        <v>297</v>
      </c>
      <c r="AO183" t="s">
        <v>298</v>
      </c>
      <c r="AP183" t="s">
        <v>293</v>
      </c>
      <c r="AQ183" t="s">
        <v>292</v>
      </c>
      <c r="AR183" t="s">
        <v>293</v>
      </c>
      <c r="AS183" t="s">
        <v>293</v>
      </c>
      <c r="AT183" t="s">
        <v>364</v>
      </c>
      <c r="AU183" t="str">
        <f t="shared" si="6"/>
        <v>break</v>
      </c>
    </row>
    <row r="184" spans="1:47" x14ac:dyDescent="0.3">
      <c r="A184" t="s">
        <v>45</v>
      </c>
      <c r="B184" t="s">
        <v>57</v>
      </c>
      <c r="C184" t="s">
        <v>31</v>
      </c>
      <c r="D184" t="s">
        <v>29</v>
      </c>
      <c r="E184" t="str">
        <f t="shared" si="5"/>
        <v>P_J8S-ZSB-S_9E0</v>
      </c>
      <c r="F184" t="b">
        <v>1</v>
      </c>
      <c r="G184">
        <v>100</v>
      </c>
      <c r="H184">
        <v>1</v>
      </c>
      <c r="I184">
        <v>9526</v>
      </c>
      <c r="J184" s="61" t="s">
        <v>18</v>
      </c>
      <c r="K184" s="16" t="s">
        <v>272</v>
      </c>
      <c r="L184" s="16">
        <v>3</v>
      </c>
      <c r="M184" s="16" t="s">
        <v>277</v>
      </c>
      <c r="N184" s="16" t="s">
        <v>335</v>
      </c>
      <c r="O184" s="15" t="s">
        <v>284</v>
      </c>
      <c r="P184" t="s">
        <v>282</v>
      </c>
      <c r="Q184" t="s">
        <v>371</v>
      </c>
      <c r="R184" s="17" t="s">
        <v>371</v>
      </c>
      <c r="S184" s="16" t="s">
        <v>341</v>
      </c>
      <c r="T184" s="16" t="s">
        <v>340</v>
      </c>
      <c r="U184" s="15" t="s">
        <v>343</v>
      </c>
      <c r="V184" s="15" t="s">
        <v>344</v>
      </c>
      <c r="W184" s="17"/>
      <c r="X184" t="s">
        <v>349</v>
      </c>
      <c r="Y184" t="s">
        <v>349</v>
      </c>
      <c r="Z184" t="s">
        <v>293</v>
      </c>
      <c r="AA184" t="s">
        <v>352</v>
      </c>
      <c r="AB184" t="s">
        <v>296</v>
      </c>
      <c r="AC184" t="s">
        <v>300</v>
      </c>
      <c r="AD184" t="s">
        <v>292</v>
      </c>
      <c r="AE184" t="s">
        <v>292</v>
      </c>
      <c r="AF184" t="s">
        <v>292</v>
      </c>
      <c r="AG184" t="s">
        <v>292</v>
      </c>
      <c r="AH184" t="s">
        <v>293</v>
      </c>
      <c r="AI184" t="s">
        <v>302</v>
      </c>
      <c r="AJ184" t="s">
        <v>302</v>
      </c>
      <c r="AK184" t="s">
        <v>359</v>
      </c>
      <c r="AL184" t="s">
        <v>293</v>
      </c>
      <c r="AM184" t="s">
        <v>293</v>
      </c>
      <c r="AN184" t="s">
        <v>297</v>
      </c>
      <c r="AO184" t="s">
        <v>298</v>
      </c>
      <c r="AP184" t="s">
        <v>293</v>
      </c>
      <c r="AQ184" t="s">
        <v>292</v>
      </c>
      <c r="AR184" t="s">
        <v>293</v>
      </c>
      <c r="AS184" t="s">
        <v>293</v>
      </c>
      <c r="AT184" t="s">
        <v>364</v>
      </c>
      <c r="AU184" t="str">
        <f t="shared" si="6"/>
        <v>break</v>
      </c>
    </row>
    <row r="185" spans="1:47" x14ac:dyDescent="0.3">
      <c r="A185" t="s">
        <v>45</v>
      </c>
      <c r="B185" t="s">
        <v>57</v>
      </c>
      <c r="C185" t="s">
        <v>27</v>
      </c>
      <c r="D185" t="s">
        <v>29</v>
      </c>
      <c r="E185" t="str">
        <f t="shared" si="5"/>
        <v>P_J8S-ZSB-S_9F6</v>
      </c>
      <c r="F185" t="b">
        <v>1</v>
      </c>
      <c r="G185">
        <v>100</v>
      </c>
      <c r="H185">
        <v>1</v>
      </c>
      <c r="I185">
        <v>9232</v>
      </c>
      <c r="J185" s="61" t="s">
        <v>18</v>
      </c>
      <c r="K185" s="16" t="s">
        <v>272</v>
      </c>
      <c r="L185" s="16">
        <v>3</v>
      </c>
      <c r="M185" s="16" t="s">
        <v>277</v>
      </c>
      <c r="N185" s="16" t="s">
        <v>335</v>
      </c>
      <c r="O185" s="15" t="s">
        <v>284</v>
      </c>
      <c r="P185" t="s">
        <v>285</v>
      </c>
      <c r="Q185" t="s">
        <v>282</v>
      </c>
      <c r="R185" s="17" t="s">
        <v>371</v>
      </c>
      <c r="S185" s="16" t="s">
        <v>341</v>
      </c>
      <c r="T185" s="16" t="s">
        <v>340</v>
      </c>
      <c r="U185" s="15" t="s">
        <v>340</v>
      </c>
      <c r="V185" s="15" t="s">
        <v>344</v>
      </c>
      <c r="W185" s="17"/>
      <c r="X185" t="s">
        <v>349</v>
      </c>
      <c r="Y185" t="s">
        <v>349</v>
      </c>
      <c r="Z185" t="s">
        <v>293</v>
      </c>
      <c r="AA185" t="s">
        <v>354</v>
      </c>
      <c r="AB185" t="s">
        <v>354</v>
      </c>
      <c r="AC185" t="s">
        <v>300</v>
      </c>
      <c r="AD185" t="s">
        <v>292</v>
      </c>
      <c r="AE185" t="s">
        <v>293</v>
      </c>
      <c r="AF185" t="s">
        <v>292</v>
      </c>
      <c r="AG185" t="s">
        <v>293</v>
      </c>
      <c r="AH185" t="s">
        <v>293</v>
      </c>
      <c r="AI185" t="s">
        <v>302</v>
      </c>
      <c r="AJ185" t="s">
        <v>302</v>
      </c>
      <c r="AK185" t="s">
        <v>357</v>
      </c>
      <c r="AL185" t="s">
        <v>293</v>
      </c>
      <c r="AM185" t="s">
        <v>293</v>
      </c>
      <c r="AN185" t="s">
        <v>297</v>
      </c>
      <c r="AO185" t="s">
        <v>298</v>
      </c>
      <c r="AP185" t="s">
        <v>293</v>
      </c>
      <c r="AQ185" t="s">
        <v>292</v>
      </c>
      <c r="AR185" t="s">
        <v>293</v>
      </c>
      <c r="AS185" t="s">
        <v>293</v>
      </c>
      <c r="AT185" t="s">
        <v>364</v>
      </c>
      <c r="AU185" t="str">
        <f t="shared" si="6"/>
        <v>break</v>
      </c>
    </row>
    <row r="186" spans="1:47" x14ac:dyDescent="0.3">
      <c r="A186" t="s">
        <v>45</v>
      </c>
      <c r="B186" t="s">
        <v>57</v>
      </c>
      <c r="C186" t="s">
        <v>28</v>
      </c>
      <c r="D186" t="s">
        <v>29</v>
      </c>
      <c r="E186" t="str">
        <f t="shared" si="5"/>
        <v>P_J8S-ZSB-S_9T2</v>
      </c>
      <c r="F186" t="b">
        <v>1</v>
      </c>
      <c r="G186">
        <v>100</v>
      </c>
      <c r="H186">
        <v>1</v>
      </c>
      <c r="I186">
        <v>9313</v>
      </c>
      <c r="J186" s="61" t="s">
        <v>18</v>
      </c>
      <c r="K186" s="16" t="s">
        <v>272</v>
      </c>
      <c r="L186" s="16">
        <v>3</v>
      </c>
      <c r="M186" s="16" t="s">
        <v>277</v>
      </c>
      <c r="N186" s="16" t="s">
        <v>335</v>
      </c>
      <c r="O186" s="15" t="s">
        <v>284</v>
      </c>
      <c r="P186" t="s">
        <v>282</v>
      </c>
      <c r="Q186" t="s">
        <v>371</v>
      </c>
      <c r="R186" s="17" t="s">
        <v>371</v>
      </c>
      <c r="S186" s="16" t="s">
        <v>341</v>
      </c>
      <c r="T186" s="16" t="s">
        <v>340</v>
      </c>
      <c r="U186" s="15" t="s">
        <v>343</v>
      </c>
      <c r="V186" s="15" t="s">
        <v>344</v>
      </c>
      <c r="W186" s="17"/>
      <c r="X186" t="s">
        <v>349</v>
      </c>
      <c r="Y186" t="s">
        <v>349</v>
      </c>
      <c r="Z186" t="s">
        <v>293</v>
      </c>
      <c r="AA186" t="s">
        <v>352</v>
      </c>
      <c r="AB186" t="s">
        <v>296</v>
      </c>
      <c r="AC186" t="s">
        <v>300</v>
      </c>
      <c r="AD186" t="s">
        <v>292</v>
      </c>
      <c r="AE186" t="s">
        <v>293</v>
      </c>
      <c r="AF186" t="s">
        <v>292</v>
      </c>
      <c r="AG186" t="s">
        <v>292</v>
      </c>
      <c r="AH186" t="s">
        <v>293</v>
      </c>
      <c r="AI186" t="s">
        <v>302</v>
      </c>
      <c r="AJ186" t="s">
        <v>302</v>
      </c>
      <c r="AK186" t="s">
        <v>359</v>
      </c>
      <c r="AL186" t="s">
        <v>293</v>
      </c>
      <c r="AM186" t="s">
        <v>293</v>
      </c>
      <c r="AN186" t="s">
        <v>297</v>
      </c>
      <c r="AO186" t="s">
        <v>298</v>
      </c>
      <c r="AP186" t="s">
        <v>293</v>
      </c>
      <c r="AQ186" t="s">
        <v>292</v>
      </c>
      <c r="AR186" t="s">
        <v>293</v>
      </c>
      <c r="AS186" t="s">
        <v>293</v>
      </c>
      <c r="AT186" t="s">
        <v>364</v>
      </c>
      <c r="AU186" t="str">
        <f t="shared" si="6"/>
        <v>break</v>
      </c>
    </row>
    <row r="187" spans="1:47" x14ac:dyDescent="0.3">
      <c r="A187" t="s">
        <v>45</v>
      </c>
      <c r="B187" t="s">
        <v>57</v>
      </c>
      <c r="C187" t="s">
        <v>35</v>
      </c>
      <c r="D187" t="s">
        <v>29</v>
      </c>
      <c r="E187" t="str">
        <f t="shared" si="5"/>
        <v>P_J8S-ZSB-S_9X8</v>
      </c>
      <c r="F187" t="b">
        <v>1</v>
      </c>
      <c r="G187">
        <v>100</v>
      </c>
      <c r="H187">
        <v>1</v>
      </c>
      <c r="I187">
        <v>9630</v>
      </c>
      <c r="J187" s="61" t="s">
        <v>18</v>
      </c>
      <c r="K187" s="16" t="s">
        <v>272</v>
      </c>
      <c r="L187" s="16">
        <v>3</v>
      </c>
      <c r="M187" s="16" t="s">
        <v>277</v>
      </c>
      <c r="N187" s="16" t="s">
        <v>335</v>
      </c>
      <c r="O187" s="15" t="s">
        <v>282</v>
      </c>
      <c r="P187" t="s">
        <v>339</v>
      </c>
      <c r="R187" s="17" t="s">
        <v>371</v>
      </c>
      <c r="S187" s="16" t="s">
        <v>341</v>
      </c>
      <c r="T187" s="16" t="s">
        <v>342</v>
      </c>
      <c r="U187" s="15" t="s">
        <v>343</v>
      </c>
      <c r="V187" s="15" t="s">
        <v>345</v>
      </c>
      <c r="W187" s="17" t="s">
        <v>347</v>
      </c>
      <c r="X187" t="s">
        <v>349</v>
      </c>
      <c r="Y187" t="s">
        <v>349</v>
      </c>
      <c r="Z187" t="s">
        <v>293</v>
      </c>
      <c r="AA187" t="s">
        <v>352</v>
      </c>
      <c r="AB187" t="s">
        <v>296</v>
      </c>
      <c r="AC187" t="s">
        <v>300</v>
      </c>
      <c r="AD187" t="s">
        <v>292</v>
      </c>
      <c r="AE187" t="s">
        <v>293</v>
      </c>
      <c r="AF187" t="s">
        <v>292</v>
      </c>
      <c r="AG187" t="s">
        <v>292</v>
      </c>
      <c r="AH187" t="s">
        <v>293</v>
      </c>
      <c r="AI187" t="s">
        <v>302</v>
      </c>
      <c r="AJ187" t="s">
        <v>302</v>
      </c>
      <c r="AK187" t="s">
        <v>359</v>
      </c>
      <c r="AL187" t="s">
        <v>293</v>
      </c>
      <c r="AM187" t="s">
        <v>293</v>
      </c>
      <c r="AN187" t="s">
        <v>297</v>
      </c>
      <c r="AO187" t="s">
        <v>298</v>
      </c>
      <c r="AP187" t="s">
        <v>293</v>
      </c>
      <c r="AQ187" t="s">
        <v>292</v>
      </c>
      <c r="AR187" t="s">
        <v>293</v>
      </c>
      <c r="AS187" t="s">
        <v>293</v>
      </c>
      <c r="AT187" t="s">
        <v>364</v>
      </c>
      <c r="AU187" t="str">
        <f t="shared" si="6"/>
        <v>break</v>
      </c>
    </row>
    <row r="188" spans="1:47" x14ac:dyDescent="0.3">
      <c r="A188" t="s">
        <v>43</v>
      </c>
      <c r="B188" t="s">
        <v>59</v>
      </c>
      <c r="C188" t="s">
        <v>15</v>
      </c>
      <c r="D188" t="s">
        <v>12</v>
      </c>
      <c r="E188" t="str">
        <f t="shared" si="5"/>
        <v>P_K5X-KYY-S_0M4</v>
      </c>
      <c r="F188" t="b">
        <v>1</v>
      </c>
      <c r="G188">
        <v>100</v>
      </c>
      <c r="H188">
        <v>1</v>
      </c>
      <c r="I188">
        <v>10911</v>
      </c>
      <c r="J188" s="61" t="s">
        <v>18</v>
      </c>
      <c r="K188" s="16" t="s">
        <v>272</v>
      </c>
      <c r="L188" s="16">
        <v>3</v>
      </c>
      <c r="M188" s="16" t="s">
        <v>277</v>
      </c>
      <c r="N188" s="16" t="s">
        <v>335</v>
      </c>
      <c r="O188" s="15" t="s">
        <v>282</v>
      </c>
      <c r="P188" t="s">
        <v>371</v>
      </c>
      <c r="Q188" t="s">
        <v>371</v>
      </c>
      <c r="R188" s="17" t="s">
        <v>371</v>
      </c>
      <c r="S188" s="16" t="s">
        <v>341</v>
      </c>
      <c r="T188" s="16" t="s">
        <v>340</v>
      </c>
      <c r="U188" s="15" t="s">
        <v>343</v>
      </c>
      <c r="V188" s="15" t="s">
        <v>344</v>
      </c>
      <c r="W188" s="17"/>
      <c r="X188" t="s">
        <v>349</v>
      </c>
      <c r="Y188" t="s">
        <v>349</v>
      </c>
      <c r="Z188" t="s">
        <v>293</v>
      </c>
      <c r="AA188" t="s">
        <v>353</v>
      </c>
      <c r="AB188" t="s">
        <v>296</v>
      </c>
      <c r="AC188" t="s">
        <v>301</v>
      </c>
      <c r="AD188" t="s">
        <v>292</v>
      </c>
      <c r="AE188" t="s">
        <v>293</v>
      </c>
      <c r="AF188" t="s">
        <v>292</v>
      </c>
      <c r="AG188" t="s">
        <v>292</v>
      </c>
      <c r="AH188" t="s">
        <v>293</v>
      </c>
      <c r="AI188" t="s">
        <v>302</v>
      </c>
      <c r="AJ188" t="s">
        <v>302</v>
      </c>
      <c r="AK188" t="s">
        <v>359</v>
      </c>
      <c r="AL188" t="s">
        <v>293</v>
      </c>
      <c r="AM188" t="s">
        <v>293</v>
      </c>
      <c r="AN188" t="s">
        <v>297</v>
      </c>
      <c r="AO188" t="s">
        <v>298</v>
      </c>
      <c r="AP188" t="s">
        <v>293</v>
      </c>
      <c r="AQ188" t="s">
        <v>292</v>
      </c>
      <c r="AR188" t="s">
        <v>293</v>
      </c>
      <c r="AS188" t="s">
        <v>293</v>
      </c>
      <c r="AT188" t="s">
        <v>364</v>
      </c>
      <c r="AU188" t="str">
        <f t="shared" si="6"/>
        <v>break</v>
      </c>
    </row>
    <row r="189" spans="1:47" x14ac:dyDescent="0.3">
      <c r="A189" t="s">
        <v>43</v>
      </c>
      <c r="B189" t="s">
        <v>59</v>
      </c>
      <c r="C189" t="s">
        <v>23</v>
      </c>
      <c r="D189" t="s">
        <v>12</v>
      </c>
      <c r="E189" t="str">
        <f t="shared" si="5"/>
        <v>P_K5X-KYY-S_0T2</v>
      </c>
      <c r="F189" t="b">
        <v>1</v>
      </c>
      <c r="G189">
        <v>72.2</v>
      </c>
      <c r="H189">
        <v>0</v>
      </c>
      <c r="I189">
        <v>10019</v>
      </c>
      <c r="J189" s="61" t="s">
        <v>13</v>
      </c>
      <c r="K189" s="16" t="s">
        <v>273</v>
      </c>
      <c r="L189" s="16">
        <v>2</v>
      </c>
      <c r="M189" s="16" t="s">
        <v>333</v>
      </c>
      <c r="N189" s="16" t="s">
        <v>278</v>
      </c>
      <c r="O189" s="15" t="s">
        <v>282</v>
      </c>
      <c r="P189" t="s">
        <v>371</v>
      </c>
      <c r="Q189" t="s">
        <v>371</v>
      </c>
      <c r="R189" s="17" t="s">
        <v>371</v>
      </c>
      <c r="S189" s="16" t="s">
        <v>340</v>
      </c>
      <c r="T189" s="16" t="s">
        <v>342</v>
      </c>
      <c r="U189" s="15" t="s">
        <v>343</v>
      </c>
      <c r="V189" s="15" t="s">
        <v>344</v>
      </c>
      <c r="W189" s="17"/>
      <c r="X189" t="s">
        <v>349</v>
      </c>
      <c r="Y189" t="s">
        <v>349</v>
      </c>
      <c r="Z189" t="s">
        <v>293</v>
      </c>
      <c r="AA189" t="s">
        <v>353</v>
      </c>
      <c r="AB189" t="s">
        <v>355</v>
      </c>
      <c r="AC189" t="s">
        <v>301</v>
      </c>
      <c r="AD189" t="s">
        <v>292</v>
      </c>
      <c r="AE189" t="s">
        <v>293</v>
      </c>
      <c r="AF189" t="s">
        <v>292</v>
      </c>
      <c r="AG189" t="s">
        <v>292</v>
      </c>
      <c r="AH189" t="s">
        <v>293</v>
      </c>
      <c r="AI189" t="s">
        <v>302</v>
      </c>
      <c r="AJ189" t="s">
        <v>357</v>
      </c>
      <c r="AK189" t="s">
        <v>359</v>
      </c>
      <c r="AL189" t="s">
        <v>293</v>
      </c>
      <c r="AM189" t="s">
        <v>293</v>
      </c>
      <c r="AN189" t="s">
        <v>297</v>
      </c>
      <c r="AO189" t="s">
        <v>298</v>
      </c>
      <c r="AP189" t="s">
        <v>293</v>
      </c>
      <c r="AQ189" t="s">
        <v>292</v>
      </c>
      <c r="AR189" t="s">
        <v>293</v>
      </c>
      <c r="AS189" t="s">
        <v>293</v>
      </c>
      <c r="AT189" t="s">
        <v>364</v>
      </c>
      <c r="AU189" t="str">
        <f t="shared" si="6"/>
        <v>no_fail</v>
      </c>
    </row>
    <row r="190" spans="1:47" x14ac:dyDescent="0.3">
      <c r="A190" t="s">
        <v>43</v>
      </c>
      <c r="B190" t="s">
        <v>59</v>
      </c>
      <c r="C190" t="s">
        <v>14</v>
      </c>
      <c r="D190" t="s">
        <v>12</v>
      </c>
      <c r="E190" t="str">
        <f t="shared" si="5"/>
        <v>P_K5X-KYY-S_1B0</v>
      </c>
      <c r="F190" t="b">
        <v>1</v>
      </c>
      <c r="G190">
        <v>38.9</v>
      </c>
      <c r="H190">
        <v>0</v>
      </c>
      <c r="I190">
        <v>12454</v>
      </c>
      <c r="J190" s="61" t="s">
        <v>13</v>
      </c>
      <c r="K190" s="16" t="s">
        <v>272</v>
      </c>
      <c r="L190" s="16">
        <v>3</v>
      </c>
      <c r="M190" s="16" t="s">
        <v>277</v>
      </c>
      <c r="N190" s="16" t="s">
        <v>335</v>
      </c>
      <c r="O190" s="15" t="s">
        <v>282</v>
      </c>
      <c r="P190" t="s">
        <v>371</v>
      </c>
      <c r="Q190" t="s">
        <v>371</v>
      </c>
      <c r="R190" s="17" t="s">
        <v>371</v>
      </c>
      <c r="S190" s="16" t="s">
        <v>341</v>
      </c>
      <c r="T190" s="16" t="s">
        <v>340</v>
      </c>
      <c r="U190" s="15" t="s">
        <v>343</v>
      </c>
      <c r="V190" s="15" t="s">
        <v>344</v>
      </c>
      <c r="W190" s="17"/>
      <c r="X190" t="s">
        <v>349</v>
      </c>
      <c r="Y190" t="s">
        <v>349</v>
      </c>
      <c r="Z190" t="s">
        <v>293</v>
      </c>
      <c r="AA190" t="s">
        <v>353</v>
      </c>
      <c r="AB190" t="s">
        <v>296</v>
      </c>
      <c r="AC190" t="s">
        <v>301</v>
      </c>
      <c r="AD190" t="s">
        <v>292</v>
      </c>
      <c r="AE190" t="s">
        <v>293</v>
      </c>
      <c r="AF190" t="s">
        <v>292</v>
      </c>
      <c r="AG190" t="s">
        <v>292</v>
      </c>
      <c r="AH190" t="s">
        <v>293</v>
      </c>
      <c r="AI190" t="s">
        <v>302</v>
      </c>
      <c r="AJ190" t="s">
        <v>302</v>
      </c>
      <c r="AK190" t="s">
        <v>359</v>
      </c>
      <c r="AL190" t="s">
        <v>293</v>
      </c>
      <c r="AM190" t="s">
        <v>293</v>
      </c>
      <c r="AN190" t="s">
        <v>297</v>
      </c>
      <c r="AO190" t="s">
        <v>298</v>
      </c>
      <c r="AP190" t="s">
        <v>293</v>
      </c>
      <c r="AQ190" t="s">
        <v>292</v>
      </c>
      <c r="AR190" t="s">
        <v>293</v>
      </c>
      <c r="AS190" t="s">
        <v>293</v>
      </c>
      <c r="AT190" t="s">
        <v>364</v>
      </c>
      <c r="AU190" t="str">
        <f t="shared" si="6"/>
        <v>no_fail</v>
      </c>
    </row>
    <row r="191" spans="1:47" x14ac:dyDescent="0.3">
      <c r="A191" t="s">
        <v>43</v>
      </c>
      <c r="B191" t="s">
        <v>59</v>
      </c>
      <c r="C191" t="s">
        <v>25</v>
      </c>
      <c r="D191" t="s">
        <v>12</v>
      </c>
      <c r="E191" t="str">
        <f t="shared" si="5"/>
        <v>P_K5X-KYY-S_1J8</v>
      </c>
      <c r="F191" t="b">
        <v>1</v>
      </c>
      <c r="G191">
        <v>100</v>
      </c>
      <c r="H191">
        <v>1</v>
      </c>
      <c r="I191">
        <v>11942</v>
      </c>
      <c r="J191" s="61" t="s">
        <v>18</v>
      </c>
      <c r="K191" s="16" t="s">
        <v>272</v>
      </c>
      <c r="L191" s="16">
        <v>3</v>
      </c>
      <c r="M191" s="16" t="s">
        <v>277</v>
      </c>
      <c r="N191" s="16" t="s">
        <v>335</v>
      </c>
      <c r="O191" s="15" t="s">
        <v>282</v>
      </c>
      <c r="P191" t="s">
        <v>371</v>
      </c>
      <c r="Q191" t="s">
        <v>371</v>
      </c>
      <c r="R191" s="17" t="s">
        <v>371</v>
      </c>
      <c r="S191" s="16" t="s">
        <v>341</v>
      </c>
      <c r="T191" s="16" t="s">
        <v>340</v>
      </c>
      <c r="U191" s="15" t="s">
        <v>343</v>
      </c>
      <c r="V191" s="15" t="s">
        <v>377</v>
      </c>
      <c r="W191" s="17"/>
      <c r="X191" t="s">
        <v>349</v>
      </c>
      <c r="Y191" t="s">
        <v>349</v>
      </c>
      <c r="Z191" t="s">
        <v>293</v>
      </c>
      <c r="AA191" t="s">
        <v>295</v>
      </c>
      <c r="AB191" t="s">
        <v>297</v>
      </c>
      <c r="AC191" t="s">
        <v>300</v>
      </c>
      <c r="AD191" t="s">
        <v>292</v>
      </c>
      <c r="AE191" t="s">
        <v>293</v>
      </c>
      <c r="AF191" t="s">
        <v>292</v>
      </c>
      <c r="AG191" t="s">
        <v>292</v>
      </c>
      <c r="AH191" t="s">
        <v>293</v>
      </c>
      <c r="AI191" t="s">
        <v>302</v>
      </c>
      <c r="AJ191" t="s">
        <v>302</v>
      </c>
      <c r="AK191" t="s">
        <v>359</v>
      </c>
      <c r="AL191" t="s">
        <v>293</v>
      </c>
      <c r="AM191" t="s">
        <v>293</v>
      </c>
      <c r="AN191" t="s">
        <v>297</v>
      </c>
      <c r="AO191" t="s">
        <v>298</v>
      </c>
      <c r="AP191" t="s">
        <v>293</v>
      </c>
      <c r="AQ191" t="s">
        <v>292</v>
      </c>
      <c r="AR191" t="s">
        <v>293</v>
      </c>
      <c r="AS191" t="s">
        <v>293</v>
      </c>
      <c r="AT191" t="s">
        <v>364</v>
      </c>
      <c r="AU191" t="str">
        <f t="shared" si="6"/>
        <v>break</v>
      </c>
    </row>
    <row r="192" spans="1:47" x14ac:dyDescent="0.3">
      <c r="A192" t="s">
        <v>43</v>
      </c>
      <c r="B192" t="s">
        <v>59</v>
      </c>
      <c r="C192" t="s">
        <v>11</v>
      </c>
      <c r="D192" t="s">
        <v>12</v>
      </c>
      <c r="E192" t="str">
        <f t="shared" si="5"/>
        <v>P_K5X-KYY-S_1Q4</v>
      </c>
      <c r="F192" t="b">
        <v>1</v>
      </c>
      <c r="G192">
        <v>57.1</v>
      </c>
      <c r="H192">
        <v>0</v>
      </c>
      <c r="I192">
        <v>16614</v>
      </c>
      <c r="J192" s="61" t="s">
        <v>13</v>
      </c>
      <c r="K192" s="16" t="s">
        <v>272</v>
      </c>
      <c r="L192" s="16">
        <v>3</v>
      </c>
      <c r="M192" s="16" t="s">
        <v>277</v>
      </c>
      <c r="N192" s="16" t="s">
        <v>335</v>
      </c>
      <c r="O192" s="15" t="s">
        <v>282</v>
      </c>
      <c r="P192" t="s">
        <v>371</v>
      </c>
      <c r="Q192" t="s">
        <v>371</v>
      </c>
      <c r="R192" s="17" t="s">
        <v>371</v>
      </c>
      <c r="S192" s="16" t="s">
        <v>341</v>
      </c>
      <c r="T192" s="16" t="s">
        <v>342</v>
      </c>
      <c r="U192" s="15" t="s">
        <v>343</v>
      </c>
      <c r="V192" s="15" t="s">
        <v>291</v>
      </c>
      <c r="W192" s="17"/>
      <c r="X192" t="s">
        <v>349</v>
      </c>
      <c r="Y192" t="s">
        <v>349</v>
      </c>
      <c r="Z192" t="s">
        <v>293</v>
      </c>
      <c r="AA192" t="s">
        <v>353</v>
      </c>
      <c r="AB192" t="s">
        <v>296</v>
      </c>
      <c r="AC192" t="s">
        <v>301</v>
      </c>
      <c r="AD192" t="s">
        <v>292</v>
      </c>
      <c r="AE192" t="s">
        <v>293</v>
      </c>
      <c r="AF192" t="s">
        <v>293</v>
      </c>
      <c r="AG192" t="s">
        <v>292</v>
      </c>
      <c r="AH192" t="s">
        <v>293</v>
      </c>
      <c r="AI192" t="s">
        <v>358</v>
      </c>
      <c r="AJ192" t="s">
        <v>302</v>
      </c>
      <c r="AK192" t="s">
        <v>359</v>
      </c>
      <c r="AL192" t="s">
        <v>293</v>
      </c>
      <c r="AM192" t="s">
        <v>293</v>
      </c>
      <c r="AN192" t="s">
        <v>296</v>
      </c>
      <c r="AO192" t="s">
        <v>298</v>
      </c>
      <c r="AP192" t="s">
        <v>293</v>
      </c>
      <c r="AQ192" t="s">
        <v>292</v>
      </c>
      <c r="AR192" t="s">
        <v>293</v>
      </c>
      <c r="AS192" t="s">
        <v>293</v>
      </c>
      <c r="AT192" t="s">
        <v>364</v>
      </c>
      <c r="AU192" t="str">
        <f t="shared" si="6"/>
        <v>no_fail</v>
      </c>
    </row>
    <row r="193" spans="1:47" x14ac:dyDescent="0.3">
      <c r="A193" t="s">
        <v>43</v>
      </c>
      <c r="B193" t="s">
        <v>59</v>
      </c>
      <c r="C193" t="s">
        <v>24</v>
      </c>
      <c r="D193" t="s">
        <v>12</v>
      </c>
      <c r="E193" t="str">
        <f t="shared" si="5"/>
        <v>P_K5X-KYY-S_1U0</v>
      </c>
      <c r="F193" t="b">
        <v>1</v>
      </c>
      <c r="G193">
        <v>100</v>
      </c>
      <c r="H193">
        <v>1</v>
      </c>
      <c r="I193">
        <v>11236</v>
      </c>
      <c r="J193" s="61" t="s">
        <v>18</v>
      </c>
      <c r="K193" s="16" t="s">
        <v>272</v>
      </c>
      <c r="L193" s="16">
        <v>2</v>
      </c>
      <c r="M193" s="16" t="s">
        <v>277</v>
      </c>
      <c r="N193" s="16" t="s">
        <v>335</v>
      </c>
      <c r="O193" s="15" t="s">
        <v>282</v>
      </c>
      <c r="P193" t="s">
        <v>371</v>
      </c>
      <c r="Q193" t="s">
        <v>371</v>
      </c>
      <c r="R193" s="17" t="s">
        <v>371</v>
      </c>
      <c r="S193" s="16" t="s">
        <v>341</v>
      </c>
      <c r="T193" s="16" t="s">
        <v>340</v>
      </c>
      <c r="U193" s="15" t="s">
        <v>340</v>
      </c>
      <c r="V193" s="15" t="s">
        <v>377</v>
      </c>
      <c r="W193" s="17"/>
      <c r="X193" t="s">
        <v>349</v>
      </c>
      <c r="Y193" t="s">
        <v>349</v>
      </c>
      <c r="Z193" t="s">
        <v>293</v>
      </c>
      <c r="AA193" t="s">
        <v>354</v>
      </c>
      <c r="AB193" t="s">
        <v>354</v>
      </c>
      <c r="AC193" t="s">
        <v>300</v>
      </c>
      <c r="AD193" t="s">
        <v>292</v>
      </c>
      <c r="AE193" t="s">
        <v>293</v>
      </c>
      <c r="AF193" t="s">
        <v>292</v>
      </c>
      <c r="AG193" t="s">
        <v>292</v>
      </c>
      <c r="AH193" t="s">
        <v>293</v>
      </c>
      <c r="AI193" t="s">
        <v>302</v>
      </c>
      <c r="AJ193" t="s">
        <v>302</v>
      </c>
      <c r="AK193" t="s">
        <v>357</v>
      </c>
      <c r="AL193" t="s">
        <v>293</v>
      </c>
      <c r="AM193" t="s">
        <v>293</v>
      </c>
      <c r="AN193" t="s">
        <v>296</v>
      </c>
      <c r="AO193" t="s">
        <v>298</v>
      </c>
      <c r="AP193" t="s">
        <v>293</v>
      </c>
      <c r="AQ193" t="s">
        <v>292</v>
      </c>
      <c r="AR193" t="s">
        <v>293</v>
      </c>
      <c r="AS193" t="s">
        <v>293</v>
      </c>
      <c r="AT193" t="s">
        <v>364</v>
      </c>
      <c r="AU193" t="str">
        <f t="shared" si="6"/>
        <v>break</v>
      </c>
    </row>
    <row r="194" spans="1:47" x14ac:dyDescent="0.3">
      <c r="A194" t="s">
        <v>43</v>
      </c>
      <c r="B194" t="s">
        <v>59</v>
      </c>
      <c r="C194" t="s">
        <v>21</v>
      </c>
      <c r="D194" t="s">
        <v>12</v>
      </c>
      <c r="E194" t="str">
        <f t="shared" ref="E194:E257" si="7">B194&amp;"-"&amp;D194&amp;"-"&amp;C194</f>
        <v>P_K5X-KYY-S_3X6</v>
      </c>
      <c r="F194" t="b">
        <v>1</v>
      </c>
      <c r="G194">
        <v>60.1</v>
      </c>
      <c r="H194">
        <v>0</v>
      </c>
      <c r="I194">
        <v>11226</v>
      </c>
      <c r="J194" s="61" t="s">
        <v>13</v>
      </c>
      <c r="K194" s="16" t="s">
        <v>273</v>
      </c>
      <c r="L194" s="16">
        <v>2</v>
      </c>
      <c r="M194" s="16" t="s">
        <v>333</v>
      </c>
      <c r="N194" s="16" t="s">
        <v>278</v>
      </c>
      <c r="O194" s="15" t="s">
        <v>282</v>
      </c>
      <c r="P194" t="s">
        <v>371</v>
      </c>
      <c r="Q194" t="s">
        <v>371</v>
      </c>
      <c r="R194" s="17" t="s">
        <v>371</v>
      </c>
      <c r="S194" s="16" t="s">
        <v>340</v>
      </c>
      <c r="T194" s="16" t="s">
        <v>342</v>
      </c>
      <c r="U194" s="15" t="s">
        <v>343</v>
      </c>
      <c r="V194" s="15" t="s">
        <v>344</v>
      </c>
      <c r="W194" s="17"/>
      <c r="X194" t="s">
        <v>349</v>
      </c>
      <c r="Y194" t="s">
        <v>349</v>
      </c>
      <c r="Z194" t="s">
        <v>293</v>
      </c>
      <c r="AA194" t="s">
        <v>353</v>
      </c>
      <c r="AB194" t="s">
        <v>296</v>
      </c>
      <c r="AC194" t="s">
        <v>300</v>
      </c>
      <c r="AD194" t="s">
        <v>292</v>
      </c>
      <c r="AE194" t="s">
        <v>293</v>
      </c>
      <c r="AF194" t="s">
        <v>292</v>
      </c>
      <c r="AG194" t="s">
        <v>292</v>
      </c>
      <c r="AH194" t="s">
        <v>293</v>
      </c>
      <c r="AI194" t="s">
        <v>302</v>
      </c>
      <c r="AJ194" t="s">
        <v>357</v>
      </c>
      <c r="AK194" t="s">
        <v>359</v>
      </c>
      <c r="AL194" t="s">
        <v>293</v>
      </c>
      <c r="AM194" t="s">
        <v>293</v>
      </c>
      <c r="AN194" t="s">
        <v>297</v>
      </c>
      <c r="AO194" t="s">
        <v>298</v>
      </c>
      <c r="AP194" t="s">
        <v>293</v>
      </c>
      <c r="AQ194" t="s">
        <v>292</v>
      </c>
      <c r="AR194" t="s">
        <v>293</v>
      </c>
      <c r="AS194" t="s">
        <v>293</v>
      </c>
      <c r="AT194" t="s">
        <v>364</v>
      </c>
      <c r="AU194" t="str">
        <f t="shared" si="6"/>
        <v>no_fail</v>
      </c>
    </row>
    <row r="195" spans="1:47" x14ac:dyDescent="0.3">
      <c r="A195" t="s">
        <v>43</v>
      </c>
      <c r="B195" t="s">
        <v>59</v>
      </c>
      <c r="C195" t="s">
        <v>19</v>
      </c>
      <c r="D195" t="s">
        <v>12</v>
      </c>
      <c r="E195" t="str">
        <f t="shared" si="7"/>
        <v>P_K5X-KYY-S_4U3</v>
      </c>
      <c r="F195" t="b">
        <v>1</v>
      </c>
      <c r="G195">
        <v>32.5</v>
      </c>
      <c r="H195">
        <v>0</v>
      </c>
      <c r="I195">
        <v>23538</v>
      </c>
      <c r="J195" s="61" t="s">
        <v>13</v>
      </c>
      <c r="K195" s="16" t="s">
        <v>272</v>
      </c>
      <c r="L195" s="16">
        <v>3</v>
      </c>
      <c r="M195" s="16" t="s">
        <v>277</v>
      </c>
      <c r="N195" s="16" t="s">
        <v>335</v>
      </c>
      <c r="O195" s="15" t="s">
        <v>282</v>
      </c>
      <c r="P195" t="s">
        <v>371</v>
      </c>
      <c r="Q195" t="s">
        <v>371</v>
      </c>
      <c r="R195" s="17" t="s">
        <v>371</v>
      </c>
      <c r="S195" s="16" t="s">
        <v>341</v>
      </c>
      <c r="T195" s="16" t="s">
        <v>340</v>
      </c>
      <c r="U195" s="15" t="s">
        <v>343</v>
      </c>
      <c r="V195" s="15" t="s">
        <v>377</v>
      </c>
      <c r="W195" s="17"/>
      <c r="X195" t="s">
        <v>349</v>
      </c>
      <c r="Y195" t="s">
        <v>349</v>
      </c>
      <c r="Z195" t="s">
        <v>293</v>
      </c>
      <c r="AA195" t="s">
        <v>353</v>
      </c>
      <c r="AB195" t="s">
        <v>296</v>
      </c>
      <c r="AC195" t="s">
        <v>301</v>
      </c>
      <c r="AD195" t="s">
        <v>293</v>
      </c>
      <c r="AE195" t="s">
        <v>292</v>
      </c>
      <c r="AF195" t="s">
        <v>293</v>
      </c>
      <c r="AG195" t="s">
        <v>292</v>
      </c>
      <c r="AH195" t="s">
        <v>293</v>
      </c>
      <c r="AI195" t="s">
        <v>302</v>
      </c>
      <c r="AJ195" t="s">
        <v>302</v>
      </c>
      <c r="AK195" t="s">
        <v>359</v>
      </c>
      <c r="AL195" t="s">
        <v>293</v>
      </c>
      <c r="AM195" t="s">
        <v>293</v>
      </c>
      <c r="AN195" t="s">
        <v>296</v>
      </c>
      <c r="AO195" t="s">
        <v>356</v>
      </c>
      <c r="AP195" t="s">
        <v>293</v>
      </c>
      <c r="AQ195" t="s">
        <v>292</v>
      </c>
      <c r="AR195" t="s">
        <v>293</v>
      </c>
      <c r="AS195" t="s">
        <v>293</v>
      </c>
      <c r="AT195" t="s">
        <v>364</v>
      </c>
      <c r="AU195" t="str">
        <f t="shared" si="6"/>
        <v>no_fail</v>
      </c>
    </row>
    <row r="196" spans="1:47" x14ac:dyDescent="0.3">
      <c r="A196" t="s">
        <v>43</v>
      </c>
      <c r="B196" t="s">
        <v>59</v>
      </c>
      <c r="C196" t="s">
        <v>17</v>
      </c>
      <c r="D196" t="s">
        <v>12</v>
      </c>
      <c r="E196" t="str">
        <f t="shared" si="7"/>
        <v>P_K5X-KYY-S_6B5</v>
      </c>
      <c r="F196" t="b">
        <v>1</v>
      </c>
      <c r="G196">
        <v>27</v>
      </c>
      <c r="H196">
        <v>0</v>
      </c>
      <c r="I196">
        <v>23829</v>
      </c>
      <c r="J196" s="61" t="s">
        <v>13</v>
      </c>
      <c r="K196" s="16" t="s">
        <v>272</v>
      </c>
      <c r="L196" s="16">
        <v>3</v>
      </c>
      <c r="M196" s="16" t="s">
        <v>277</v>
      </c>
      <c r="N196" s="16" t="s">
        <v>335</v>
      </c>
      <c r="O196" s="15" t="s">
        <v>282</v>
      </c>
      <c r="P196" t="s">
        <v>371</v>
      </c>
      <c r="Q196" t="s">
        <v>371</v>
      </c>
      <c r="R196" s="17" t="s">
        <v>371</v>
      </c>
      <c r="S196" s="16" t="s">
        <v>341</v>
      </c>
      <c r="T196" s="16" t="s">
        <v>340</v>
      </c>
      <c r="U196" s="15" t="s">
        <v>343</v>
      </c>
      <c r="V196" s="15" t="s">
        <v>377</v>
      </c>
      <c r="W196" s="17"/>
      <c r="X196" t="s">
        <v>349</v>
      </c>
      <c r="Y196" t="s">
        <v>349</v>
      </c>
      <c r="Z196" t="s">
        <v>293</v>
      </c>
      <c r="AA196" t="s">
        <v>353</v>
      </c>
      <c r="AB196" t="s">
        <v>296</v>
      </c>
      <c r="AC196" t="s">
        <v>301</v>
      </c>
      <c r="AD196" t="s">
        <v>293</v>
      </c>
      <c r="AE196" t="s">
        <v>292</v>
      </c>
      <c r="AF196" t="s">
        <v>293</v>
      </c>
      <c r="AG196" t="s">
        <v>292</v>
      </c>
      <c r="AH196" t="s">
        <v>293</v>
      </c>
      <c r="AI196" t="s">
        <v>302</v>
      </c>
      <c r="AJ196" t="s">
        <v>302</v>
      </c>
      <c r="AK196" t="s">
        <v>359</v>
      </c>
      <c r="AL196" t="s">
        <v>293</v>
      </c>
      <c r="AM196" t="s">
        <v>293</v>
      </c>
      <c r="AN196" t="s">
        <v>296</v>
      </c>
      <c r="AO196" t="s">
        <v>356</v>
      </c>
      <c r="AP196" t="s">
        <v>293</v>
      </c>
      <c r="AQ196" t="s">
        <v>292</v>
      </c>
      <c r="AR196" t="s">
        <v>293</v>
      </c>
      <c r="AS196" t="s">
        <v>293</v>
      </c>
      <c r="AT196" t="s">
        <v>364</v>
      </c>
      <c r="AU196" t="str">
        <f t="shared" si="6"/>
        <v>no_fail</v>
      </c>
    </row>
    <row r="197" spans="1:47" x14ac:dyDescent="0.3">
      <c r="A197" t="s">
        <v>43</v>
      </c>
      <c r="B197" t="s">
        <v>59</v>
      </c>
      <c r="C197" t="s">
        <v>16</v>
      </c>
      <c r="D197" t="s">
        <v>12</v>
      </c>
      <c r="E197" t="str">
        <f t="shared" si="7"/>
        <v>P_K5X-KYY-S_6U7</v>
      </c>
      <c r="F197" t="b">
        <v>1</v>
      </c>
      <c r="G197">
        <v>64.7</v>
      </c>
      <c r="H197">
        <v>0</v>
      </c>
      <c r="I197">
        <v>12619</v>
      </c>
      <c r="J197" s="61" t="s">
        <v>13</v>
      </c>
      <c r="K197" s="16" t="s">
        <v>272</v>
      </c>
      <c r="L197" s="16">
        <v>3</v>
      </c>
      <c r="M197" s="16" t="s">
        <v>277</v>
      </c>
      <c r="N197" s="16" t="s">
        <v>335</v>
      </c>
      <c r="O197" s="15" t="s">
        <v>282</v>
      </c>
      <c r="P197" t="s">
        <v>371</v>
      </c>
      <c r="Q197" t="s">
        <v>371</v>
      </c>
      <c r="R197" s="17" t="s">
        <v>371</v>
      </c>
      <c r="S197" s="16" t="s">
        <v>341</v>
      </c>
      <c r="T197" s="16" t="s">
        <v>340</v>
      </c>
      <c r="U197" s="15" t="s">
        <v>343</v>
      </c>
      <c r="V197" s="15" t="s">
        <v>344</v>
      </c>
      <c r="W197" s="17"/>
      <c r="X197" t="s">
        <v>349</v>
      </c>
      <c r="Y197" t="s">
        <v>349</v>
      </c>
      <c r="Z197" t="s">
        <v>293</v>
      </c>
      <c r="AA197" t="s">
        <v>353</v>
      </c>
      <c r="AB197" t="s">
        <v>296</v>
      </c>
      <c r="AC197" t="s">
        <v>300</v>
      </c>
      <c r="AD197" t="s">
        <v>292</v>
      </c>
      <c r="AE197" t="s">
        <v>293</v>
      </c>
      <c r="AF197" t="s">
        <v>292</v>
      </c>
      <c r="AG197" t="s">
        <v>292</v>
      </c>
      <c r="AH197" t="s">
        <v>293</v>
      </c>
      <c r="AI197" t="s">
        <v>302</v>
      </c>
      <c r="AJ197" t="s">
        <v>302</v>
      </c>
      <c r="AK197" t="s">
        <v>359</v>
      </c>
      <c r="AL197" t="s">
        <v>293</v>
      </c>
      <c r="AM197" t="s">
        <v>293</v>
      </c>
      <c r="AN197" t="s">
        <v>297</v>
      </c>
      <c r="AO197" t="s">
        <v>298</v>
      </c>
      <c r="AP197" t="s">
        <v>293</v>
      </c>
      <c r="AQ197" t="s">
        <v>292</v>
      </c>
      <c r="AR197" t="s">
        <v>293</v>
      </c>
      <c r="AS197" t="s">
        <v>293</v>
      </c>
      <c r="AT197" t="s">
        <v>364</v>
      </c>
      <c r="AU197" t="str">
        <f t="shared" si="6"/>
        <v>no_fail</v>
      </c>
    </row>
    <row r="198" spans="1:47" x14ac:dyDescent="0.3">
      <c r="A198" t="s">
        <v>43</v>
      </c>
      <c r="B198" t="s">
        <v>59</v>
      </c>
      <c r="C198" t="s">
        <v>20</v>
      </c>
      <c r="D198" t="s">
        <v>12</v>
      </c>
      <c r="E198" t="str">
        <f t="shared" si="7"/>
        <v>P_K5X-KYY-S_7W0</v>
      </c>
      <c r="F198" t="b">
        <v>1</v>
      </c>
      <c r="G198">
        <v>23.2</v>
      </c>
      <c r="H198">
        <v>0</v>
      </c>
      <c r="I198">
        <v>28131</v>
      </c>
      <c r="J198" s="61" t="s">
        <v>13</v>
      </c>
      <c r="K198" s="16" t="s">
        <v>272</v>
      </c>
      <c r="L198" s="16">
        <v>3</v>
      </c>
      <c r="M198" s="16" t="s">
        <v>277</v>
      </c>
      <c r="N198" s="16" t="s">
        <v>335</v>
      </c>
      <c r="O198" s="15" t="s">
        <v>282</v>
      </c>
      <c r="P198" t="s">
        <v>371</v>
      </c>
      <c r="Q198" t="s">
        <v>371</v>
      </c>
      <c r="R198" s="17" t="s">
        <v>371</v>
      </c>
      <c r="S198" s="16" t="s">
        <v>341</v>
      </c>
      <c r="T198" s="16" t="s">
        <v>340</v>
      </c>
      <c r="U198" s="15" t="s">
        <v>343</v>
      </c>
      <c r="V198" s="15" t="s">
        <v>377</v>
      </c>
      <c r="W198" s="17"/>
      <c r="X198" t="s">
        <v>349</v>
      </c>
      <c r="Y198" t="s">
        <v>349</v>
      </c>
      <c r="Z198" t="s">
        <v>293</v>
      </c>
      <c r="AA198" t="s">
        <v>353</v>
      </c>
      <c r="AB198" t="s">
        <v>296</v>
      </c>
      <c r="AC198" t="s">
        <v>301</v>
      </c>
      <c r="AD198" t="s">
        <v>293</v>
      </c>
      <c r="AE198" t="s">
        <v>292</v>
      </c>
      <c r="AF198" t="s">
        <v>293</v>
      </c>
      <c r="AG198" t="s">
        <v>292</v>
      </c>
      <c r="AH198" t="s">
        <v>293</v>
      </c>
      <c r="AI198" t="s">
        <v>302</v>
      </c>
      <c r="AJ198" t="s">
        <v>302</v>
      </c>
      <c r="AK198" t="s">
        <v>359</v>
      </c>
      <c r="AL198" t="s">
        <v>293</v>
      </c>
      <c r="AM198" t="s">
        <v>293</v>
      </c>
      <c r="AN198" t="s">
        <v>296</v>
      </c>
      <c r="AO198" t="s">
        <v>356</v>
      </c>
      <c r="AP198" t="s">
        <v>293</v>
      </c>
      <c r="AQ198" t="s">
        <v>292</v>
      </c>
      <c r="AR198" t="s">
        <v>293</v>
      </c>
      <c r="AS198" t="s">
        <v>293</v>
      </c>
      <c r="AT198" t="s">
        <v>364</v>
      </c>
      <c r="AU198" t="str">
        <f t="shared" si="6"/>
        <v>no_fail</v>
      </c>
    </row>
    <row r="199" spans="1:47" x14ac:dyDescent="0.3">
      <c r="A199" t="s">
        <v>43</v>
      </c>
      <c r="B199" t="s">
        <v>59</v>
      </c>
      <c r="C199" t="s">
        <v>22</v>
      </c>
      <c r="D199" t="s">
        <v>12</v>
      </c>
      <c r="E199" t="str">
        <f t="shared" si="7"/>
        <v>P_K5X-KYY-S_9B4</v>
      </c>
      <c r="F199" t="b">
        <v>1</v>
      </c>
      <c r="G199">
        <v>76.5</v>
      </c>
      <c r="H199">
        <v>0</v>
      </c>
      <c r="I199">
        <v>10444</v>
      </c>
      <c r="J199" s="61" t="s">
        <v>13</v>
      </c>
      <c r="K199" s="16" t="s">
        <v>273</v>
      </c>
      <c r="L199" s="16">
        <v>2</v>
      </c>
      <c r="M199" s="16" t="s">
        <v>333</v>
      </c>
      <c r="N199" s="16" t="s">
        <v>278</v>
      </c>
      <c r="O199" s="15" t="s">
        <v>282</v>
      </c>
      <c r="P199" t="s">
        <v>371</v>
      </c>
      <c r="Q199" t="s">
        <v>371</v>
      </c>
      <c r="R199" s="17" t="s">
        <v>371</v>
      </c>
      <c r="S199" s="16" t="s">
        <v>340</v>
      </c>
      <c r="T199" s="16" t="s">
        <v>342</v>
      </c>
      <c r="U199" s="15" t="s">
        <v>343</v>
      </c>
      <c r="V199" s="15" t="s">
        <v>344</v>
      </c>
      <c r="W199" s="17"/>
      <c r="X199" t="s">
        <v>349</v>
      </c>
      <c r="Y199" t="s">
        <v>349</v>
      </c>
      <c r="Z199" t="s">
        <v>293</v>
      </c>
      <c r="AA199" t="s">
        <v>353</v>
      </c>
      <c r="AB199" t="s">
        <v>355</v>
      </c>
      <c r="AC199" t="s">
        <v>300</v>
      </c>
      <c r="AD199" t="s">
        <v>292</v>
      </c>
      <c r="AE199" t="s">
        <v>293</v>
      </c>
      <c r="AF199" t="s">
        <v>292</v>
      </c>
      <c r="AG199" t="s">
        <v>292</v>
      </c>
      <c r="AH199" t="s">
        <v>293</v>
      </c>
      <c r="AI199" t="s">
        <v>302</v>
      </c>
      <c r="AJ199" t="s">
        <v>357</v>
      </c>
      <c r="AK199" t="s">
        <v>359</v>
      </c>
      <c r="AL199" t="s">
        <v>293</v>
      </c>
      <c r="AM199" t="s">
        <v>293</v>
      </c>
      <c r="AN199" t="s">
        <v>297</v>
      </c>
      <c r="AO199" t="s">
        <v>298</v>
      </c>
      <c r="AP199" t="s">
        <v>293</v>
      </c>
      <c r="AQ199" t="s">
        <v>292</v>
      </c>
      <c r="AR199" t="s">
        <v>293</v>
      </c>
      <c r="AS199" t="s">
        <v>293</v>
      </c>
      <c r="AT199" t="s">
        <v>364</v>
      </c>
      <c r="AU199" t="str">
        <f t="shared" si="6"/>
        <v>no_fail</v>
      </c>
    </row>
    <row r="200" spans="1:47" x14ac:dyDescent="0.3">
      <c r="A200" t="s">
        <v>43</v>
      </c>
      <c r="B200" t="s">
        <v>59</v>
      </c>
      <c r="C200" t="s">
        <v>39</v>
      </c>
      <c r="D200" t="s">
        <v>29</v>
      </c>
      <c r="E200" t="str">
        <f t="shared" si="7"/>
        <v>P_K5X-ZSB-S_2I5</v>
      </c>
      <c r="F200" t="b">
        <v>1</v>
      </c>
      <c r="G200">
        <v>57.1</v>
      </c>
      <c r="H200">
        <v>0</v>
      </c>
      <c r="I200">
        <v>22433</v>
      </c>
      <c r="J200" s="61" t="s">
        <v>13</v>
      </c>
      <c r="K200" s="16" t="s">
        <v>273</v>
      </c>
      <c r="L200" s="16">
        <v>2</v>
      </c>
      <c r="M200" s="16" t="s">
        <v>333</v>
      </c>
      <c r="N200" s="16" t="s">
        <v>278</v>
      </c>
      <c r="O200" s="15" t="s">
        <v>283</v>
      </c>
      <c r="P200" t="s">
        <v>371</v>
      </c>
      <c r="Q200" t="s">
        <v>371</v>
      </c>
      <c r="R200" s="17" t="s">
        <v>371</v>
      </c>
      <c r="S200" s="16" t="s">
        <v>341</v>
      </c>
      <c r="T200" s="16" t="s">
        <v>342</v>
      </c>
      <c r="U200" s="15" t="s">
        <v>343</v>
      </c>
      <c r="V200" s="15" t="s">
        <v>344</v>
      </c>
      <c r="W200" s="17" t="s">
        <v>347</v>
      </c>
      <c r="X200" t="s">
        <v>349</v>
      </c>
      <c r="Y200" t="s">
        <v>349</v>
      </c>
      <c r="Z200" t="s">
        <v>293</v>
      </c>
      <c r="AA200" t="s">
        <v>353</v>
      </c>
      <c r="AB200" t="s">
        <v>296</v>
      </c>
      <c r="AC200" t="s">
        <v>301</v>
      </c>
      <c r="AD200" t="s">
        <v>292</v>
      </c>
      <c r="AE200" t="s">
        <v>292</v>
      </c>
      <c r="AF200" t="s">
        <v>292</v>
      </c>
      <c r="AG200" t="s">
        <v>292</v>
      </c>
      <c r="AH200" t="s">
        <v>293</v>
      </c>
      <c r="AI200" t="s">
        <v>302</v>
      </c>
      <c r="AJ200" t="s">
        <v>357</v>
      </c>
      <c r="AK200" t="s">
        <v>359</v>
      </c>
      <c r="AL200" t="s">
        <v>293</v>
      </c>
      <c r="AM200" t="s">
        <v>293</v>
      </c>
      <c r="AN200" t="s">
        <v>296</v>
      </c>
      <c r="AO200" t="s">
        <v>298</v>
      </c>
      <c r="AP200" t="s">
        <v>293</v>
      </c>
      <c r="AQ200" t="s">
        <v>292</v>
      </c>
      <c r="AR200" t="s">
        <v>293</v>
      </c>
      <c r="AS200" t="s">
        <v>293</v>
      </c>
      <c r="AT200" t="s">
        <v>364</v>
      </c>
      <c r="AU200" t="str">
        <f t="shared" si="6"/>
        <v>no_fail</v>
      </c>
    </row>
    <row r="201" spans="1:47" x14ac:dyDescent="0.3">
      <c r="A201" t="s">
        <v>43</v>
      </c>
      <c r="B201" t="s">
        <v>59</v>
      </c>
      <c r="C201" t="s">
        <v>37</v>
      </c>
      <c r="D201" t="s">
        <v>29</v>
      </c>
      <c r="E201" t="str">
        <f t="shared" si="7"/>
        <v>P_K5X-ZSB-S_3A8</v>
      </c>
      <c r="F201" t="b">
        <v>1</v>
      </c>
      <c r="G201">
        <v>92.6</v>
      </c>
      <c r="H201">
        <v>0</v>
      </c>
      <c r="I201">
        <v>22874</v>
      </c>
      <c r="J201" s="61" t="s">
        <v>13</v>
      </c>
      <c r="K201" s="16" t="s">
        <v>273</v>
      </c>
      <c r="L201" s="16">
        <v>2</v>
      </c>
      <c r="M201" s="16" t="s">
        <v>333</v>
      </c>
      <c r="N201" s="16" t="s">
        <v>278</v>
      </c>
      <c r="O201" s="15" t="s">
        <v>283</v>
      </c>
      <c r="P201" t="s">
        <v>371</v>
      </c>
      <c r="Q201" t="s">
        <v>371</v>
      </c>
      <c r="R201" s="17" t="s">
        <v>371</v>
      </c>
      <c r="S201" s="16" t="s">
        <v>341</v>
      </c>
      <c r="T201" s="16" t="s">
        <v>342</v>
      </c>
      <c r="U201" s="15" t="s">
        <v>343</v>
      </c>
      <c r="V201" s="15" t="s">
        <v>344</v>
      </c>
      <c r="W201" s="17" t="s">
        <v>347</v>
      </c>
      <c r="X201" t="s">
        <v>349</v>
      </c>
      <c r="Y201" t="s">
        <v>349</v>
      </c>
      <c r="Z201" t="s">
        <v>293</v>
      </c>
      <c r="AA201" t="s">
        <v>353</v>
      </c>
      <c r="AB201" t="s">
        <v>296</v>
      </c>
      <c r="AC201" t="s">
        <v>301</v>
      </c>
      <c r="AD201" t="s">
        <v>292</v>
      </c>
      <c r="AE201" t="s">
        <v>292</v>
      </c>
      <c r="AF201" t="s">
        <v>292</v>
      </c>
      <c r="AG201" t="s">
        <v>292</v>
      </c>
      <c r="AH201" t="s">
        <v>293</v>
      </c>
      <c r="AI201" t="s">
        <v>302</v>
      </c>
      <c r="AJ201" t="s">
        <v>357</v>
      </c>
      <c r="AK201" t="s">
        <v>359</v>
      </c>
      <c r="AL201" t="s">
        <v>293</v>
      </c>
      <c r="AM201" t="s">
        <v>293</v>
      </c>
      <c r="AN201" t="s">
        <v>296</v>
      </c>
      <c r="AO201" t="s">
        <v>298</v>
      </c>
      <c r="AP201" t="s">
        <v>293</v>
      </c>
      <c r="AQ201" t="s">
        <v>292</v>
      </c>
      <c r="AR201" t="s">
        <v>293</v>
      </c>
      <c r="AS201" t="s">
        <v>293</v>
      </c>
      <c r="AT201" t="s">
        <v>364</v>
      </c>
      <c r="AU201" t="str">
        <f t="shared" si="6"/>
        <v>no_fail</v>
      </c>
    </row>
    <row r="202" spans="1:47" x14ac:dyDescent="0.3">
      <c r="A202" t="s">
        <v>43</v>
      </c>
      <c r="B202" t="s">
        <v>59</v>
      </c>
      <c r="C202" t="s">
        <v>32</v>
      </c>
      <c r="D202" t="s">
        <v>29</v>
      </c>
      <c r="E202" t="str">
        <f t="shared" si="7"/>
        <v>P_K5X-ZSB-S_3B9</v>
      </c>
      <c r="F202" t="b">
        <v>1</v>
      </c>
      <c r="G202">
        <v>100</v>
      </c>
      <c r="H202">
        <v>1</v>
      </c>
      <c r="I202">
        <v>19303</v>
      </c>
      <c r="J202" s="61" t="s">
        <v>18</v>
      </c>
      <c r="K202" s="16" t="s">
        <v>273</v>
      </c>
      <c r="L202" s="16">
        <v>2</v>
      </c>
      <c r="M202" s="16" t="s">
        <v>333</v>
      </c>
      <c r="N202" s="16" t="s">
        <v>278</v>
      </c>
      <c r="O202" s="15" t="s">
        <v>282</v>
      </c>
      <c r="P202" t="s">
        <v>371</v>
      </c>
      <c r="Q202" t="s">
        <v>371</v>
      </c>
      <c r="R202" s="17" t="s">
        <v>371</v>
      </c>
      <c r="S202" s="16" t="s">
        <v>341</v>
      </c>
      <c r="T202" s="16" t="s">
        <v>342</v>
      </c>
      <c r="U202" s="15" t="s">
        <v>343</v>
      </c>
      <c r="V202" s="15" t="s">
        <v>344</v>
      </c>
      <c r="W202" s="17"/>
      <c r="X202" t="s">
        <v>349</v>
      </c>
      <c r="Y202" t="s">
        <v>349</v>
      </c>
      <c r="Z202" t="s">
        <v>293</v>
      </c>
      <c r="AA202" t="s">
        <v>352</v>
      </c>
      <c r="AB202" t="s">
        <v>296</v>
      </c>
      <c r="AC202" t="s">
        <v>301</v>
      </c>
      <c r="AD202" t="s">
        <v>292</v>
      </c>
      <c r="AE202" t="s">
        <v>292</v>
      </c>
      <c r="AF202" t="s">
        <v>292</v>
      </c>
      <c r="AG202" t="s">
        <v>292</v>
      </c>
      <c r="AH202" t="s">
        <v>293</v>
      </c>
      <c r="AI202" t="s">
        <v>302</v>
      </c>
      <c r="AJ202" t="s">
        <v>357</v>
      </c>
      <c r="AK202" t="s">
        <v>359</v>
      </c>
      <c r="AL202" t="s">
        <v>293</v>
      </c>
      <c r="AM202" t="s">
        <v>293</v>
      </c>
      <c r="AN202" t="s">
        <v>297</v>
      </c>
      <c r="AO202" t="s">
        <v>298</v>
      </c>
      <c r="AP202" t="s">
        <v>293</v>
      </c>
      <c r="AQ202" t="s">
        <v>292</v>
      </c>
      <c r="AR202" t="s">
        <v>293</v>
      </c>
      <c r="AS202" t="s">
        <v>293</v>
      </c>
      <c r="AT202" t="s">
        <v>364</v>
      </c>
      <c r="AU202" t="str">
        <f t="shared" si="6"/>
        <v>break</v>
      </c>
    </row>
    <row r="203" spans="1:47" x14ac:dyDescent="0.3">
      <c r="A203" t="s">
        <v>43</v>
      </c>
      <c r="B203" t="s">
        <v>59</v>
      </c>
      <c r="C203" t="s">
        <v>30</v>
      </c>
      <c r="D203" t="s">
        <v>29</v>
      </c>
      <c r="E203" t="str">
        <f t="shared" si="7"/>
        <v>P_K5X-ZSB-S_3X7</v>
      </c>
      <c r="F203" t="b">
        <v>1</v>
      </c>
      <c r="G203">
        <v>100</v>
      </c>
      <c r="H203">
        <v>1</v>
      </c>
      <c r="I203">
        <v>18169</v>
      </c>
      <c r="J203" s="61" t="s">
        <v>18</v>
      </c>
      <c r="K203" s="16" t="s">
        <v>273</v>
      </c>
      <c r="L203" s="16">
        <v>2</v>
      </c>
      <c r="M203" s="16" t="s">
        <v>333</v>
      </c>
      <c r="N203" s="16" t="s">
        <v>278</v>
      </c>
      <c r="O203" s="15" t="s">
        <v>282</v>
      </c>
      <c r="P203" t="s">
        <v>371</v>
      </c>
      <c r="Q203" t="s">
        <v>371</v>
      </c>
      <c r="R203" s="17" t="s">
        <v>371</v>
      </c>
      <c r="S203" s="16" t="s">
        <v>341</v>
      </c>
      <c r="T203" s="16" t="s">
        <v>342</v>
      </c>
      <c r="U203" s="15" t="s">
        <v>343</v>
      </c>
      <c r="V203" s="15" t="s">
        <v>344</v>
      </c>
      <c r="W203" s="17"/>
      <c r="X203" t="s">
        <v>349</v>
      </c>
      <c r="Y203" t="s">
        <v>349</v>
      </c>
      <c r="Z203" t="s">
        <v>293</v>
      </c>
      <c r="AA203" t="s">
        <v>352</v>
      </c>
      <c r="AB203" t="s">
        <v>296</v>
      </c>
      <c r="AC203" t="s">
        <v>301</v>
      </c>
      <c r="AD203" t="s">
        <v>292</v>
      </c>
      <c r="AE203" t="s">
        <v>293</v>
      </c>
      <c r="AF203" t="s">
        <v>292</v>
      </c>
      <c r="AG203" t="s">
        <v>292</v>
      </c>
      <c r="AH203" t="s">
        <v>293</v>
      </c>
      <c r="AI203" t="s">
        <v>302</v>
      </c>
      <c r="AJ203" t="s">
        <v>357</v>
      </c>
      <c r="AK203" t="s">
        <v>359</v>
      </c>
      <c r="AL203" t="s">
        <v>293</v>
      </c>
      <c r="AM203" t="s">
        <v>293</v>
      </c>
      <c r="AN203" t="s">
        <v>297</v>
      </c>
      <c r="AO203" t="s">
        <v>298</v>
      </c>
      <c r="AP203" t="s">
        <v>293</v>
      </c>
      <c r="AQ203" t="s">
        <v>292</v>
      </c>
      <c r="AR203" t="s">
        <v>293</v>
      </c>
      <c r="AS203" t="s">
        <v>293</v>
      </c>
      <c r="AT203" t="s">
        <v>364</v>
      </c>
      <c r="AU203" t="str">
        <f t="shared" si="6"/>
        <v>break</v>
      </c>
    </row>
    <row r="204" spans="1:47" x14ac:dyDescent="0.3">
      <c r="A204" t="s">
        <v>43</v>
      </c>
      <c r="B204" t="s">
        <v>59</v>
      </c>
      <c r="C204" t="s">
        <v>40</v>
      </c>
      <c r="D204" t="s">
        <v>29</v>
      </c>
      <c r="E204" t="str">
        <f t="shared" si="7"/>
        <v>P_K5X-ZSB-S_5N2</v>
      </c>
      <c r="F204" t="b">
        <v>1</v>
      </c>
      <c r="G204">
        <v>100</v>
      </c>
      <c r="H204">
        <v>1</v>
      </c>
      <c r="I204">
        <v>16706</v>
      </c>
      <c r="J204" s="61" t="s">
        <v>18</v>
      </c>
      <c r="K204" s="16" t="s">
        <v>273</v>
      </c>
      <c r="L204" s="16">
        <v>2</v>
      </c>
      <c r="M204" s="16" t="s">
        <v>333</v>
      </c>
      <c r="N204" s="16" t="s">
        <v>278</v>
      </c>
      <c r="O204" s="15" t="s">
        <v>283</v>
      </c>
      <c r="P204" t="s">
        <v>371</v>
      </c>
      <c r="Q204" t="s">
        <v>371</v>
      </c>
      <c r="R204" s="17" t="s">
        <v>371</v>
      </c>
      <c r="S204" s="16" t="s">
        <v>340</v>
      </c>
      <c r="T204" s="16" t="s">
        <v>342</v>
      </c>
      <c r="U204" s="15" t="s">
        <v>343</v>
      </c>
      <c r="V204" s="15" t="s">
        <v>347</v>
      </c>
      <c r="W204" s="17"/>
      <c r="X204" t="s">
        <v>349</v>
      </c>
      <c r="Y204" t="s">
        <v>349</v>
      </c>
      <c r="Z204" t="s">
        <v>293</v>
      </c>
      <c r="AA204" t="s">
        <v>353</v>
      </c>
      <c r="AB204" t="s">
        <v>296</v>
      </c>
      <c r="AC204" t="s">
        <v>300</v>
      </c>
      <c r="AD204" t="s">
        <v>292</v>
      </c>
      <c r="AE204" t="s">
        <v>293</v>
      </c>
      <c r="AF204" t="s">
        <v>292</v>
      </c>
      <c r="AG204" t="s">
        <v>292</v>
      </c>
      <c r="AH204" t="s">
        <v>293</v>
      </c>
      <c r="AI204" t="s">
        <v>302</v>
      </c>
      <c r="AJ204" t="s">
        <v>357</v>
      </c>
      <c r="AK204" t="s">
        <v>359</v>
      </c>
      <c r="AL204" t="s">
        <v>293</v>
      </c>
      <c r="AM204" t="s">
        <v>293</v>
      </c>
      <c r="AN204" t="s">
        <v>296</v>
      </c>
      <c r="AO204" t="s">
        <v>298</v>
      </c>
      <c r="AP204" t="s">
        <v>293</v>
      </c>
      <c r="AQ204" t="s">
        <v>292</v>
      </c>
      <c r="AR204" t="s">
        <v>293</v>
      </c>
      <c r="AS204" t="s">
        <v>293</v>
      </c>
      <c r="AT204" t="s">
        <v>364</v>
      </c>
      <c r="AU204" t="str">
        <f t="shared" si="6"/>
        <v>break</v>
      </c>
    </row>
    <row r="205" spans="1:47" x14ac:dyDescent="0.3">
      <c r="A205" t="s">
        <v>43</v>
      </c>
      <c r="B205" t="s">
        <v>59</v>
      </c>
      <c r="C205" t="s">
        <v>38</v>
      </c>
      <c r="D205" t="s">
        <v>29</v>
      </c>
      <c r="E205" t="str">
        <f t="shared" si="7"/>
        <v>P_K5X-ZSB-S_7X6</v>
      </c>
      <c r="F205" t="b">
        <v>1</v>
      </c>
      <c r="G205">
        <v>51.3</v>
      </c>
      <c r="H205">
        <v>0</v>
      </c>
      <c r="I205">
        <v>24311</v>
      </c>
      <c r="J205" s="61" t="s">
        <v>13</v>
      </c>
      <c r="K205" s="16" t="s">
        <v>273</v>
      </c>
      <c r="L205" s="16">
        <v>2</v>
      </c>
      <c r="M205" s="16" t="s">
        <v>333</v>
      </c>
      <c r="N205" s="16" t="s">
        <v>278</v>
      </c>
      <c r="O205" s="15" t="s">
        <v>283</v>
      </c>
      <c r="P205" t="s">
        <v>371</v>
      </c>
      <c r="Q205" t="s">
        <v>371</v>
      </c>
      <c r="R205" s="17" t="s">
        <v>371</v>
      </c>
      <c r="S205" s="16" t="s">
        <v>341</v>
      </c>
      <c r="T205" s="16" t="s">
        <v>342</v>
      </c>
      <c r="U205" s="15" t="s">
        <v>343</v>
      </c>
      <c r="V205" s="15" t="s">
        <v>344</v>
      </c>
      <c r="W205" s="17" t="s">
        <v>347</v>
      </c>
      <c r="X205" t="s">
        <v>349</v>
      </c>
      <c r="Y205" t="s">
        <v>349</v>
      </c>
      <c r="Z205" t="s">
        <v>293</v>
      </c>
      <c r="AA205" t="s">
        <v>353</v>
      </c>
      <c r="AB205" t="s">
        <v>296</v>
      </c>
      <c r="AC205" t="s">
        <v>301</v>
      </c>
      <c r="AD205" t="s">
        <v>292</v>
      </c>
      <c r="AE205" t="s">
        <v>292</v>
      </c>
      <c r="AF205" t="s">
        <v>292</v>
      </c>
      <c r="AG205" t="s">
        <v>292</v>
      </c>
      <c r="AH205" t="s">
        <v>293</v>
      </c>
      <c r="AI205" t="s">
        <v>302</v>
      </c>
      <c r="AJ205" t="s">
        <v>357</v>
      </c>
      <c r="AK205" t="s">
        <v>359</v>
      </c>
      <c r="AL205" t="s">
        <v>293</v>
      </c>
      <c r="AM205" t="s">
        <v>293</v>
      </c>
      <c r="AN205" t="s">
        <v>296</v>
      </c>
      <c r="AO205" t="s">
        <v>298</v>
      </c>
      <c r="AP205" t="s">
        <v>293</v>
      </c>
      <c r="AQ205" t="s">
        <v>292</v>
      </c>
      <c r="AR205" t="s">
        <v>293</v>
      </c>
      <c r="AS205" t="s">
        <v>293</v>
      </c>
      <c r="AT205" t="s">
        <v>364</v>
      </c>
      <c r="AU205" t="str">
        <f t="shared" si="6"/>
        <v>no_fail</v>
      </c>
    </row>
    <row r="206" spans="1:47" x14ac:dyDescent="0.3">
      <c r="A206" t="s">
        <v>43</v>
      </c>
      <c r="B206" t="s">
        <v>59</v>
      </c>
      <c r="C206" t="s">
        <v>34</v>
      </c>
      <c r="D206" t="s">
        <v>29</v>
      </c>
      <c r="E206" t="str">
        <f t="shared" si="7"/>
        <v>P_K5X-ZSB-S_8A5</v>
      </c>
      <c r="F206" t="b">
        <v>1</v>
      </c>
      <c r="G206">
        <v>100</v>
      </c>
      <c r="H206">
        <v>1</v>
      </c>
      <c r="I206">
        <v>25432</v>
      </c>
      <c r="J206" s="61" t="s">
        <v>18</v>
      </c>
      <c r="K206" s="16" t="s">
        <v>273</v>
      </c>
      <c r="L206" s="16">
        <v>2</v>
      </c>
      <c r="M206" s="16" t="s">
        <v>333</v>
      </c>
      <c r="N206" s="16" t="s">
        <v>278</v>
      </c>
      <c r="O206" s="15" t="s">
        <v>273</v>
      </c>
      <c r="P206" t="s">
        <v>371</v>
      </c>
      <c r="Q206" t="s">
        <v>371</v>
      </c>
      <c r="R206" s="17" t="s">
        <v>371</v>
      </c>
      <c r="S206" s="16" t="s">
        <v>340</v>
      </c>
      <c r="T206" s="16" t="s">
        <v>342</v>
      </c>
      <c r="U206" s="15" t="s">
        <v>343</v>
      </c>
      <c r="V206" s="15" t="s">
        <v>347</v>
      </c>
      <c r="W206" s="17"/>
      <c r="X206" t="s">
        <v>349</v>
      </c>
      <c r="Y206" t="s">
        <v>349</v>
      </c>
      <c r="Z206" t="s">
        <v>293</v>
      </c>
      <c r="AA206" t="s">
        <v>353</v>
      </c>
      <c r="AB206" t="s">
        <v>296</v>
      </c>
      <c r="AC206" t="s">
        <v>301</v>
      </c>
      <c r="AD206" t="s">
        <v>292</v>
      </c>
      <c r="AE206" t="s">
        <v>293</v>
      </c>
      <c r="AF206" t="s">
        <v>293</v>
      </c>
      <c r="AG206" t="s">
        <v>292</v>
      </c>
      <c r="AH206" t="s">
        <v>293</v>
      </c>
      <c r="AI206" t="s">
        <v>302</v>
      </c>
      <c r="AJ206" t="s">
        <v>357</v>
      </c>
      <c r="AK206" t="s">
        <v>359</v>
      </c>
      <c r="AL206" t="s">
        <v>293</v>
      </c>
      <c r="AM206" t="s">
        <v>293</v>
      </c>
      <c r="AN206" t="s">
        <v>296</v>
      </c>
      <c r="AO206" t="s">
        <v>298</v>
      </c>
      <c r="AP206" t="s">
        <v>293</v>
      </c>
      <c r="AQ206" t="s">
        <v>292</v>
      </c>
      <c r="AR206" t="s">
        <v>293</v>
      </c>
      <c r="AS206" t="s">
        <v>293</v>
      </c>
      <c r="AT206" t="s">
        <v>364</v>
      </c>
      <c r="AU206" t="str">
        <f t="shared" ref="AU206:AU269" si="8">IF(J206="fail",IF(H206=1,"break","car_stuck"),"no_fail")</f>
        <v>break</v>
      </c>
    </row>
    <row r="207" spans="1:47" x14ac:dyDescent="0.3">
      <c r="A207" t="s">
        <v>43</v>
      </c>
      <c r="B207" t="s">
        <v>59</v>
      </c>
      <c r="C207" t="s">
        <v>36</v>
      </c>
      <c r="D207" t="s">
        <v>29</v>
      </c>
      <c r="E207" t="str">
        <f t="shared" si="7"/>
        <v>P_K5X-ZSB-S_8D0</v>
      </c>
      <c r="F207" t="b">
        <v>1</v>
      </c>
      <c r="G207">
        <v>96.3</v>
      </c>
      <c r="H207">
        <v>0</v>
      </c>
      <c r="I207">
        <v>21275</v>
      </c>
      <c r="J207" s="61" t="s">
        <v>13</v>
      </c>
      <c r="K207" s="16" t="s">
        <v>273</v>
      </c>
      <c r="L207" s="16">
        <v>2</v>
      </c>
      <c r="M207" s="16" t="s">
        <v>333</v>
      </c>
      <c r="N207" s="16" t="s">
        <v>278</v>
      </c>
      <c r="O207" s="15" t="s">
        <v>273</v>
      </c>
      <c r="P207" t="s">
        <v>371</v>
      </c>
      <c r="Q207" t="s">
        <v>371</v>
      </c>
      <c r="R207" s="17" t="s">
        <v>371</v>
      </c>
      <c r="S207" s="16" t="s">
        <v>340</v>
      </c>
      <c r="T207" s="16" t="s">
        <v>342</v>
      </c>
      <c r="U207" s="15" t="s">
        <v>343</v>
      </c>
      <c r="V207" s="15" t="s">
        <v>347</v>
      </c>
      <c r="W207" s="17"/>
      <c r="X207" t="s">
        <v>349</v>
      </c>
      <c r="Y207" t="s">
        <v>349</v>
      </c>
      <c r="Z207" t="s">
        <v>293</v>
      </c>
      <c r="AA207" t="s">
        <v>353</v>
      </c>
      <c r="AB207" t="s">
        <v>296</v>
      </c>
      <c r="AC207" t="s">
        <v>301</v>
      </c>
      <c r="AD207" t="s">
        <v>292</v>
      </c>
      <c r="AE207" t="s">
        <v>292</v>
      </c>
      <c r="AF207" t="s">
        <v>292</v>
      </c>
      <c r="AG207" t="s">
        <v>292</v>
      </c>
      <c r="AH207" t="s">
        <v>293</v>
      </c>
      <c r="AI207" t="s">
        <v>302</v>
      </c>
      <c r="AJ207" t="s">
        <v>357</v>
      </c>
      <c r="AK207" t="s">
        <v>359</v>
      </c>
      <c r="AL207" t="s">
        <v>293</v>
      </c>
      <c r="AM207" t="s">
        <v>293</v>
      </c>
      <c r="AN207" t="s">
        <v>296</v>
      </c>
      <c r="AO207" t="s">
        <v>298</v>
      </c>
      <c r="AP207" t="s">
        <v>293</v>
      </c>
      <c r="AQ207" t="s">
        <v>292</v>
      </c>
      <c r="AR207" t="s">
        <v>293</v>
      </c>
      <c r="AS207" t="s">
        <v>293</v>
      </c>
      <c r="AT207" t="s">
        <v>364</v>
      </c>
      <c r="AU207" t="str">
        <f t="shared" si="8"/>
        <v>no_fail</v>
      </c>
    </row>
    <row r="208" spans="1:47" x14ac:dyDescent="0.3">
      <c r="A208" t="s">
        <v>43</v>
      </c>
      <c r="B208" t="s">
        <v>59</v>
      </c>
      <c r="C208" t="s">
        <v>33</v>
      </c>
      <c r="D208" t="s">
        <v>29</v>
      </c>
      <c r="E208" t="str">
        <f t="shared" si="7"/>
        <v>P_K5X-ZSB-S_8I8</v>
      </c>
      <c r="F208" t="b">
        <v>1</v>
      </c>
      <c r="G208">
        <v>99.9</v>
      </c>
      <c r="H208">
        <v>0</v>
      </c>
      <c r="I208">
        <v>25007</v>
      </c>
      <c r="J208" s="61" t="s">
        <v>18</v>
      </c>
      <c r="K208" s="16" t="s">
        <v>273</v>
      </c>
      <c r="L208" s="16">
        <v>2</v>
      </c>
      <c r="M208" s="16" t="s">
        <v>333</v>
      </c>
      <c r="N208" s="16" t="s">
        <v>278</v>
      </c>
      <c r="O208" s="15" t="s">
        <v>282</v>
      </c>
      <c r="P208" t="s">
        <v>371</v>
      </c>
      <c r="Q208" t="s">
        <v>371</v>
      </c>
      <c r="R208" s="17" t="s">
        <v>371</v>
      </c>
      <c r="S208" s="16" t="s">
        <v>340</v>
      </c>
      <c r="T208" s="16" t="s">
        <v>342</v>
      </c>
      <c r="U208" s="15" t="s">
        <v>343</v>
      </c>
      <c r="V208" s="15" t="s">
        <v>347</v>
      </c>
      <c r="W208" s="17"/>
      <c r="X208" t="s">
        <v>349</v>
      </c>
      <c r="Y208" t="s">
        <v>349</v>
      </c>
      <c r="Z208" t="s">
        <v>293</v>
      </c>
      <c r="AA208" t="s">
        <v>353</v>
      </c>
      <c r="AB208" t="s">
        <v>296</v>
      </c>
      <c r="AC208" t="s">
        <v>301</v>
      </c>
      <c r="AD208" t="s">
        <v>292</v>
      </c>
      <c r="AE208" t="s">
        <v>293</v>
      </c>
      <c r="AF208" t="s">
        <v>293</v>
      </c>
      <c r="AG208" t="s">
        <v>292</v>
      </c>
      <c r="AH208" t="s">
        <v>293</v>
      </c>
      <c r="AI208" t="s">
        <v>302</v>
      </c>
      <c r="AJ208" t="s">
        <v>357</v>
      </c>
      <c r="AK208" t="s">
        <v>359</v>
      </c>
      <c r="AL208" t="s">
        <v>293</v>
      </c>
      <c r="AM208" t="s">
        <v>293</v>
      </c>
      <c r="AN208" t="s">
        <v>296</v>
      </c>
      <c r="AO208" t="s">
        <v>298</v>
      </c>
      <c r="AP208" t="s">
        <v>293</v>
      </c>
      <c r="AQ208" t="s">
        <v>292</v>
      </c>
      <c r="AR208" t="s">
        <v>293</v>
      </c>
      <c r="AS208" t="s">
        <v>293</v>
      </c>
      <c r="AT208" t="s">
        <v>364</v>
      </c>
      <c r="AU208" t="str">
        <f t="shared" si="8"/>
        <v>car_stuck</v>
      </c>
    </row>
    <row r="209" spans="1:47" x14ac:dyDescent="0.3">
      <c r="A209" t="s">
        <v>43</v>
      </c>
      <c r="B209" t="s">
        <v>59</v>
      </c>
      <c r="C209" t="s">
        <v>26</v>
      </c>
      <c r="D209" t="s">
        <v>29</v>
      </c>
      <c r="E209" t="str">
        <f t="shared" si="7"/>
        <v>P_K5X-ZSB-S_8O8</v>
      </c>
      <c r="F209" t="b">
        <v>1</v>
      </c>
      <c r="G209">
        <v>100</v>
      </c>
      <c r="H209">
        <v>1</v>
      </c>
      <c r="I209">
        <v>9371</v>
      </c>
      <c r="J209" s="61" t="s">
        <v>18</v>
      </c>
      <c r="K209" s="16" t="s">
        <v>272</v>
      </c>
      <c r="L209" s="16">
        <v>2</v>
      </c>
      <c r="M209" s="16" t="s">
        <v>277</v>
      </c>
      <c r="N209" s="16" t="s">
        <v>335</v>
      </c>
      <c r="O209" s="15" t="s">
        <v>282</v>
      </c>
      <c r="P209" t="s">
        <v>371</v>
      </c>
      <c r="Q209" t="s">
        <v>371</v>
      </c>
      <c r="R209" s="17" t="s">
        <v>371</v>
      </c>
      <c r="S209" s="16" t="s">
        <v>341</v>
      </c>
      <c r="T209" s="16" t="s">
        <v>342</v>
      </c>
      <c r="U209" s="15" t="s">
        <v>340</v>
      </c>
      <c r="V209" s="15" t="s">
        <v>291</v>
      </c>
      <c r="W209" s="17"/>
      <c r="X209" t="s">
        <v>349</v>
      </c>
      <c r="Y209" t="s">
        <v>349</v>
      </c>
      <c r="Z209" t="s">
        <v>293</v>
      </c>
      <c r="AA209" t="s">
        <v>354</v>
      </c>
      <c r="AB209" t="s">
        <v>354</v>
      </c>
      <c r="AC209" t="s">
        <v>299</v>
      </c>
      <c r="AD209" t="s">
        <v>292</v>
      </c>
      <c r="AE209" t="s">
        <v>293</v>
      </c>
      <c r="AF209" t="s">
        <v>292</v>
      </c>
      <c r="AG209" t="s">
        <v>293</v>
      </c>
      <c r="AH209" t="s">
        <v>293</v>
      </c>
      <c r="AI209" t="s">
        <v>302</v>
      </c>
      <c r="AJ209" t="s">
        <v>302</v>
      </c>
      <c r="AK209" t="s">
        <v>357</v>
      </c>
      <c r="AL209" t="s">
        <v>293</v>
      </c>
      <c r="AM209" t="s">
        <v>293</v>
      </c>
      <c r="AN209" t="s">
        <v>297</v>
      </c>
      <c r="AO209" t="s">
        <v>298</v>
      </c>
      <c r="AP209" t="s">
        <v>293</v>
      </c>
      <c r="AQ209" t="s">
        <v>292</v>
      </c>
      <c r="AR209" t="s">
        <v>293</v>
      </c>
      <c r="AS209" t="s">
        <v>293</v>
      </c>
      <c r="AT209" t="s">
        <v>364</v>
      </c>
      <c r="AU209" t="str">
        <f t="shared" si="8"/>
        <v>break</v>
      </c>
    </row>
    <row r="210" spans="1:47" x14ac:dyDescent="0.3">
      <c r="A210" t="s">
        <v>43</v>
      </c>
      <c r="B210" t="s">
        <v>59</v>
      </c>
      <c r="C210" t="s">
        <v>31</v>
      </c>
      <c r="D210" t="s">
        <v>29</v>
      </c>
      <c r="E210" t="str">
        <f t="shared" si="7"/>
        <v>P_K5X-ZSB-S_9E0</v>
      </c>
      <c r="F210" t="b">
        <v>1</v>
      </c>
      <c r="G210">
        <v>100</v>
      </c>
      <c r="H210">
        <v>1</v>
      </c>
      <c r="I210">
        <v>18736</v>
      </c>
      <c r="J210" s="61" t="s">
        <v>18</v>
      </c>
      <c r="K210" s="16" t="s">
        <v>273</v>
      </c>
      <c r="L210" s="16">
        <v>2</v>
      </c>
      <c r="M210" s="16" t="s">
        <v>333</v>
      </c>
      <c r="N210" s="16" t="s">
        <v>278</v>
      </c>
      <c r="O210" s="15" t="s">
        <v>282</v>
      </c>
      <c r="P210" t="s">
        <v>371</v>
      </c>
      <c r="Q210" t="s">
        <v>371</v>
      </c>
      <c r="R210" s="17" t="s">
        <v>371</v>
      </c>
      <c r="S210" s="16" t="s">
        <v>341</v>
      </c>
      <c r="T210" s="16" t="s">
        <v>342</v>
      </c>
      <c r="U210" s="15" t="s">
        <v>343</v>
      </c>
      <c r="V210" s="15" t="s">
        <v>344</v>
      </c>
      <c r="W210" s="17"/>
      <c r="X210" t="s">
        <v>349</v>
      </c>
      <c r="Y210" t="s">
        <v>349</v>
      </c>
      <c r="Z210" t="s">
        <v>293</v>
      </c>
      <c r="AA210" t="s">
        <v>352</v>
      </c>
      <c r="AB210" t="s">
        <v>296</v>
      </c>
      <c r="AC210" t="s">
        <v>301</v>
      </c>
      <c r="AD210" t="s">
        <v>292</v>
      </c>
      <c r="AE210" t="s">
        <v>292</v>
      </c>
      <c r="AF210" t="s">
        <v>292</v>
      </c>
      <c r="AG210" t="s">
        <v>292</v>
      </c>
      <c r="AH210" t="s">
        <v>293</v>
      </c>
      <c r="AI210" t="s">
        <v>302</v>
      </c>
      <c r="AJ210" t="s">
        <v>357</v>
      </c>
      <c r="AK210" t="s">
        <v>359</v>
      </c>
      <c r="AL210" t="s">
        <v>293</v>
      </c>
      <c r="AM210" t="s">
        <v>293</v>
      </c>
      <c r="AN210" t="s">
        <v>297</v>
      </c>
      <c r="AO210" t="s">
        <v>298</v>
      </c>
      <c r="AP210" t="s">
        <v>293</v>
      </c>
      <c r="AQ210" t="s">
        <v>292</v>
      </c>
      <c r="AR210" t="s">
        <v>293</v>
      </c>
      <c r="AS210" t="s">
        <v>293</v>
      </c>
      <c r="AT210" t="s">
        <v>364</v>
      </c>
      <c r="AU210" t="str">
        <f t="shared" si="8"/>
        <v>break</v>
      </c>
    </row>
    <row r="211" spans="1:47" x14ac:dyDescent="0.3">
      <c r="A211" t="s">
        <v>43</v>
      </c>
      <c r="B211" t="s">
        <v>59</v>
      </c>
      <c r="C211" t="s">
        <v>27</v>
      </c>
      <c r="D211" t="s">
        <v>29</v>
      </c>
      <c r="E211" t="str">
        <f t="shared" si="7"/>
        <v>P_K5X-ZSB-S_9F6</v>
      </c>
      <c r="F211" t="b">
        <v>1</v>
      </c>
      <c r="G211">
        <v>100</v>
      </c>
      <c r="H211">
        <v>1</v>
      </c>
      <c r="I211">
        <v>10194</v>
      </c>
      <c r="J211" s="61" t="s">
        <v>18</v>
      </c>
      <c r="K211" s="16" t="s">
        <v>272</v>
      </c>
      <c r="L211" s="16">
        <v>2</v>
      </c>
      <c r="M211" s="16" t="s">
        <v>277</v>
      </c>
      <c r="N211" s="16" t="s">
        <v>335</v>
      </c>
      <c r="O211" s="15" t="s">
        <v>282</v>
      </c>
      <c r="P211" t="s">
        <v>371</v>
      </c>
      <c r="Q211" t="s">
        <v>371</v>
      </c>
      <c r="R211" s="17" t="s">
        <v>371</v>
      </c>
      <c r="S211" s="16" t="s">
        <v>341</v>
      </c>
      <c r="T211" s="16" t="s">
        <v>342</v>
      </c>
      <c r="U211" s="15" t="s">
        <v>340</v>
      </c>
      <c r="V211" s="15" t="s">
        <v>291</v>
      </c>
      <c r="W211" s="17"/>
      <c r="X211" t="s">
        <v>349</v>
      </c>
      <c r="Y211" t="s">
        <v>349</v>
      </c>
      <c r="Z211" t="s">
        <v>293</v>
      </c>
      <c r="AA211" t="s">
        <v>354</v>
      </c>
      <c r="AB211" t="s">
        <v>354</v>
      </c>
      <c r="AC211" t="s">
        <v>299</v>
      </c>
      <c r="AD211" t="s">
        <v>292</v>
      </c>
      <c r="AE211" t="s">
        <v>293</v>
      </c>
      <c r="AF211" t="s">
        <v>292</v>
      </c>
      <c r="AG211" t="s">
        <v>293</v>
      </c>
      <c r="AH211" t="s">
        <v>293</v>
      </c>
      <c r="AI211" t="s">
        <v>302</v>
      </c>
      <c r="AJ211" t="s">
        <v>302</v>
      </c>
      <c r="AK211" t="s">
        <v>357</v>
      </c>
      <c r="AL211" t="s">
        <v>293</v>
      </c>
      <c r="AM211" t="s">
        <v>293</v>
      </c>
      <c r="AN211" t="s">
        <v>297</v>
      </c>
      <c r="AO211" t="s">
        <v>298</v>
      </c>
      <c r="AP211" t="s">
        <v>293</v>
      </c>
      <c r="AQ211" t="s">
        <v>292</v>
      </c>
      <c r="AR211" t="s">
        <v>293</v>
      </c>
      <c r="AS211" t="s">
        <v>293</v>
      </c>
      <c r="AT211" t="s">
        <v>364</v>
      </c>
      <c r="AU211" t="str">
        <f t="shared" si="8"/>
        <v>break</v>
      </c>
    </row>
    <row r="212" spans="1:47" x14ac:dyDescent="0.3">
      <c r="A212" t="s">
        <v>43</v>
      </c>
      <c r="B212" t="s">
        <v>59</v>
      </c>
      <c r="C212" t="s">
        <v>28</v>
      </c>
      <c r="D212" t="s">
        <v>29</v>
      </c>
      <c r="E212" t="str">
        <f t="shared" si="7"/>
        <v>P_K5X-ZSB-S_9T2</v>
      </c>
      <c r="F212" t="b">
        <v>1</v>
      </c>
      <c r="G212">
        <v>100</v>
      </c>
      <c r="H212">
        <v>1</v>
      </c>
      <c r="I212">
        <v>12403</v>
      </c>
      <c r="J212" s="61" t="s">
        <v>18</v>
      </c>
      <c r="K212" s="16" t="s">
        <v>272</v>
      </c>
      <c r="L212" s="16">
        <v>2</v>
      </c>
      <c r="M212" s="16" t="s">
        <v>277</v>
      </c>
      <c r="N212" s="16" t="s">
        <v>335</v>
      </c>
      <c r="O212" s="15" t="s">
        <v>282</v>
      </c>
      <c r="P212" t="s">
        <v>371</v>
      </c>
      <c r="Q212" t="s">
        <v>371</v>
      </c>
      <c r="R212" s="17" t="s">
        <v>371</v>
      </c>
      <c r="S212" s="16" t="s">
        <v>341</v>
      </c>
      <c r="T212" s="16" t="s">
        <v>342</v>
      </c>
      <c r="U212" s="15" t="s">
        <v>340</v>
      </c>
      <c r="V212" s="15" t="s">
        <v>291</v>
      </c>
      <c r="W212" s="17" t="s">
        <v>344</v>
      </c>
      <c r="X212" t="s">
        <v>349</v>
      </c>
      <c r="Y212" t="s">
        <v>349</v>
      </c>
      <c r="Z212" t="s">
        <v>293</v>
      </c>
      <c r="AA212" t="s">
        <v>354</v>
      </c>
      <c r="AB212" t="s">
        <v>354</v>
      </c>
      <c r="AC212" t="s">
        <v>299</v>
      </c>
      <c r="AD212" t="s">
        <v>292</v>
      </c>
      <c r="AE212" t="s">
        <v>292</v>
      </c>
      <c r="AF212" t="s">
        <v>292</v>
      </c>
      <c r="AG212" t="s">
        <v>293</v>
      </c>
      <c r="AH212" t="s">
        <v>293</v>
      </c>
      <c r="AI212" t="s">
        <v>302</v>
      </c>
      <c r="AJ212" t="s">
        <v>302</v>
      </c>
      <c r="AK212" t="s">
        <v>357</v>
      </c>
      <c r="AL212" t="s">
        <v>293</v>
      </c>
      <c r="AM212" t="s">
        <v>293</v>
      </c>
      <c r="AN212" t="s">
        <v>297</v>
      </c>
      <c r="AO212" t="s">
        <v>298</v>
      </c>
      <c r="AP212" t="s">
        <v>293</v>
      </c>
      <c r="AQ212" t="s">
        <v>292</v>
      </c>
      <c r="AR212" t="s">
        <v>293</v>
      </c>
      <c r="AS212" t="s">
        <v>293</v>
      </c>
      <c r="AT212" t="s">
        <v>364</v>
      </c>
      <c r="AU212" t="str">
        <f t="shared" si="8"/>
        <v>break</v>
      </c>
    </row>
    <row r="213" spans="1:47" x14ac:dyDescent="0.3">
      <c r="A213" t="s">
        <v>43</v>
      </c>
      <c r="B213" t="s">
        <v>59</v>
      </c>
      <c r="C213" t="s">
        <v>35</v>
      </c>
      <c r="D213" t="s">
        <v>29</v>
      </c>
      <c r="E213" t="str">
        <f t="shared" si="7"/>
        <v>P_K5X-ZSB-S_9X8</v>
      </c>
      <c r="F213" t="b">
        <v>1</v>
      </c>
      <c r="G213">
        <v>100</v>
      </c>
      <c r="H213">
        <v>1</v>
      </c>
      <c r="I213">
        <v>20523</v>
      </c>
      <c r="J213" s="61" t="s">
        <v>18</v>
      </c>
      <c r="K213" s="16" t="s">
        <v>273</v>
      </c>
      <c r="L213" s="16">
        <v>2</v>
      </c>
      <c r="M213" s="16" t="s">
        <v>333</v>
      </c>
      <c r="N213" s="16" t="s">
        <v>278</v>
      </c>
      <c r="O213" s="15" t="s">
        <v>283</v>
      </c>
      <c r="P213" t="s">
        <v>371</v>
      </c>
      <c r="Q213" t="s">
        <v>371</v>
      </c>
      <c r="R213" s="17" t="s">
        <v>371</v>
      </c>
      <c r="S213" s="16" t="s">
        <v>340</v>
      </c>
      <c r="T213" s="16" t="s">
        <v>342</v>
      </c>
      <c r="U213" s="15" t="s">
        <v>343</v>
      </c>
      <c r="V213" s="15" t="s">
        <v>347</v>
      </c>
      <c r="W213" s="17"/>
      <c r="X213" t="s">
        <v>349</v>
      </c>
      <c r="Y213" t="s">
        <v>349</v>
      </c>
      <c r="Z213" t="s">
        <v>293</v>
      </c>
      <c r="AA213" t="s">
        <v>353</v>
      </c>
      <c r="AB213" t="s">
        <v>296</v>
      </c>
      <c r="AC213" t="s">
        <v>301</v>
      </c>
      <c r="AD213" t="s">
        <v>292</v>
      </c>
      <c r="AE213" t="s">
        <v>293</v>
      </c>
      <c r="AF213" t="s">
        <v>293</v>
      </c>
      <c r="AG213" t="s">
        <v>292</v>
      </c>
      <c r="AH213" t="s">
        <v>293</v>
      </c>
      <c r="AI213" t="s">
        <v>302</v>
      </c>
      <c r="AJ213" t="s">
        <v>357</v>
      </c>
      <c r="AK213" t="s">
        <v>359</v>
      </c>
      <c r="AL213" t="s">
        <v>293</v>
      </c>
      <c r="AM213" t="s">
        <v>293</v>
      </c>
      <c r="AN213" t="s">
        <v>296</v>
      </c>
      <c r="AO213" t="s">
        <v>298</v>
      </c>
      <c r="AP213" t="s">
        <v>293</v>
      </c>
      <c r="AQ213" t="s">
        <v>292</v>
      </c>
      <c r="AR213" t="s">
        <v>293</v>
      </c>
      <c r="AS213" t="s">
        <v>293</v>
      </c>
      <c r="AT213" t="s">
        <v>364</v>
      </c>
      <c r="AU213" t="str">
        <f t="shared" si="8"/>
        <v>break</v>
      </c>
    </row>
    <row r="214" spans="1:47" x14ac:dyDescent="0.3">
      <c r="A214" t="s">
        <v>43</v>
      </c>
      <c r="B214" t="s">
        <v>49</v>
      </c>
      <c r="C214" t="s">
        <v>15</v>
      </c>
      <c r="D214" t="s">
        <v>12</v>
      </c>
      <c r="E214" t="str">
        <f t="shared" si="7"/>
        <v>P_L3X-KYY-S_0M4</v>
      </c>
      <c r="F214" t="b">
        <v>1</v>
      </c>
      <c r="G214">
        <v>100</v>
      </c>
      <c r="H214">
        <v>1</v>
      </c>
      <c r="I214">
        <v>16666</v>
      </c>
      <c r="J214" s="61" t="s">
        <v>18</v>
      </c>
      <c r="K214" s="16" t="s">
        <v>272</v>
      </c>
      <c r="L214" s="16">
        <v>3</v>
      </c>
      <c r="M214" s="16" t="s">
        <v>277</v>
      </c>
      <c r="N214" s="16" t="s">
        <v>335</v>
      </c>
      <c r="O214" s="15" t="s">
        <v>283</v>
      </c>
      <c r="P214" t="s">
        <v>281</v>
      </c>
      <c r="Q214" t="s">
        <v>371</v>
      </c>
      <c r="R214" s="17" t="s">
        <v>371</v>
      </c>
      <c r="S214" s="16" t="s">
        <v>341</v>
      </c>
      <c r="T214" s="16" t="s">
        <v>340</v>
      </c>
      <c r="U214" s="15" t="s">
        <v>343</v>
      </c>
      <c r="V214" s="15" t="s">
        <v>291</v>
      </c>
      <c r="W214" s="17"/>
      <c r="X214" t="s">
        <v>349</v>
      </c>
      <c r="Y214" t="s">
        <v>349</v>
      </c>
      <c r="Z214" t="s">
        <v>292</v>
      </c>
      <c r="AA214" t="s">
        <v>353</v>
      </c>
      <c r="AB214" t="s">
        <v>296</v>
      </c>
      <c r="AC214" t="s">
        <v>301</v>
      </c>
      <c r="AD214" t="s">
        <v>293</v>
      </c>
      <c r="AE214" t="s">
        <v>292</v>
      </c>
      <c r="AF214" t="s">
        <v>292</v>
      </c>
      <c r="AG214" t="s">
        <v>292</v>
      </c>
      <c r="AH214" t="s">
        <v>293</v>
      </c>
      <c r="AI214" t="s">
        <v>302</v>
      </c>
      <c r="AJ214" t="s">
        <v>359</v>
      </c>
      <c r="AK214" t="s">
        <v>359</v>
      </c>
      <c r="AL214" t="s">
        <v>293</v>
      </c>
      <c r="AM214" t="s">
        <v>293</v>
      </c>
      <c r="AN214" t="s">
        <v>296</v>
      </c>
      <c r="AO214" t="s">
        <v>356</v>
      </c>
      <c r="AP214" t="s">
        <v>293</v>
      </c>
      <c r="AQ214" t="s">
        <v>292</v>
      </c>
      <c r="AR214" t="s">
        <v>293</v>
      </c>
      <c r="AS214" t="s">
        <v>293</v>
      </c>
      <c r="AT214" t="s">
        <v>364</v>
      </c>
      <c r="AU214" t="str">
        <f t="shared" si="8"/>
        <v>break</v>
      </c>
    </row>
    <row r="215" spans="1:47" x14ac:dyDescent="0.3">
      <c r="A215" t="s">
        <v>43</v>
      </c>
      <c r="B215" t="s">
        <v>49</v>
      </c>
      <c r="C215" t="s">
        <v>14</v>
      </c>
      <c r="D215" t="s">
        <v>12</v>
      </c>
      <c r="E215" t="str">
        <f t="shared" si="7"/>
        <v>P_L3X-KYY-S_1B0</v>
      </c>
      <c r="F215" t="b">
        <v>1</v>
      </c>
      <c r="G215">
        <v>100</v>
      </c>
      <c r="H215">
        <v>1</v>
      </c>
      <c r="I215">
        <v>15914</v>
      </c>
      <c r="J215" s="61" t="s">
        <v>18</v>
      </c>
      <c r="K215" s="16" t="s">
        <v>272</v>
      </c>
      <c r="L215" s="16">
        <v>3</v>
      </c>
      <c r="M215" s="16" t="s">
        <v>277</v>
      </c>
      <c r="N215" s="16" t="s">
        <v>335</v>
      </c>
      <c r="O215" s="15" t="s">
        <v>283</v>
      </c>
      <c r="P215" t="s">
        <v>281</v>
      </c>
      <c r="Q215" t="s">
        <v>284</v>
      </c>
      <c r="R215" s="17" t="s">
        <v>371</v>
      </c>
      <c r="S215" s="16" t="s">
        <v>340</v>
      </c>
      <c r="T215" s="16" t="s">
        <v>340</v>
      </c>
      <c r="U215" s="15" t="s">
        <v>343</v>
      </c>
      <c r="V215" s="15" t="s">
        <v>291</v>
      </c>
      <c r="W215" s="17"/>
      <c r="X215" t="s">
        <v>349</v>
      </c>
      <c r="Y215" t="s">
        <v>349</v>
      </c>
      <c r="Z215" t="s">
        <v>292</v>
      </c>
      <c r="AA215" t="s">
        <v>353</v>
      </c>
      <c r="AB215" t="s">
        <v>296</v>
      </c>
      <c r="AC215" t="s">
        <v>301</v>
      </c>
      <c r="AD215" t="s">
        <v>293</v>
      </c>
      <c r="AE215" t="s">
        <v>292</v>
      </c>
      <c r="AF215" t="s">
        <v>293</v>
      </c>
      <c r="AG215" t="s">
        <v>292</v>
      </c>
      <c r="AH215" t="s">
        <v>293</v>
      </c>
      <c r="AI215" t="s">
        <v>302</v>
      </c>
      <c r="AJ215" t="s">
        <v>358</v>
      </c>
      <c r="AK215" t="s">
        <v>359</v>
      </c>
      <c r="AL215" t="s">
        <v>293</v>
      </c>
      <c r="AM215" t="s">
        <v>293</v>
      </c>
      <c r="AN215" t="s">
        <v>296</v>
      </c>
      <c r="AO215" t="s">
        <v>356</v>
      </c>
      <c r="AP215" t="s">
        <v>293</v>
      </c>
      <c r="AQ215" t="s">
        <v>292</v>
      </c>
      <c r="AR215" t="s">
        <v>293</v>
      </c>
      <c r="AS215" t="s">
        <v>293</v>
      </c>
      <c r="AT215" t="s">
        <v>364</v>
      </c>
      <c r="AU215" t="str">
        <f t="shared" si="8"/>
        <v>break</v>
      </c>
    </row>
    <row r="216" spans="1:47" x14ac:dyDescent="0.3">
      <c r="A216" t="s">
        <v>43</v>
      </c>
      <c r="B216" t="s">
        <v>49</v>
      </c>
      <c r="C216" t="s">
        <v>11</v>
      </c>
      <c r="D216" t="s">
        <v>12</v>
      </c>
      <c r="E216" t="str">
        <f t="shared" si="7"/>
        <v>P_L3X-KYY-S_1Q4</v>
      </c>
      <c r="F216" t="b">
        <v>1</v>
      </c>
      <c r="G216">
        <v>100</v>
      </c>
      <c r="H216">
        <v>1</v>
      </c>
      <c r="I216">
        <v>10277</v>
      </c>
      <c r="J216" s="61" t="s">
        <v>18</v>
      </c>
      <c r="K216" s="16" t="s">
        <v>272</v>
      </c>
      <c r="L216" s="16">
        <v>3</v>
      </c>
      <c r="M216" s="16" t="s">
        <v>277</v>
      </c>
      <c r="N216" s="16" t="s">
        <v>335</v>
      </c>
      <c r="O216" s="15" t="s">
        <v>282</v>
      </c>
      <c r="P216" t="s">
        <v>371</v>
      </c>
      <c r="Q216" t="s">
        <v>371</v>
      </c>
      <c r="R216" s="17" t="s">
        <v>371</v>
      </c>
      <c r="S216" s="16" t="s">
        <v>340</v>
      </c>
      <c r="T216" s="16" t="s">
        <v>340</v>
      </c>
      <c r="U216" s="15" t="s">
        <v>343</v>
      </c>
      <c r="V216" s="15" t="s">
        <v>291</v>
      </c>
      <c r="W216" s="17"/>
      <c r="X216" t="s">
        <v>349</v>
      </c>
      <c r="Y216" t="s">
        <v>349</v>
      </c>
      <c r="Z216" t="s">
        <v>293</v>
      </c>
      <c r="AA216" t="s">
        <v>353</v>
      </c>
      <c r="AB216" t="s">
        <v>296</v>
      </c>
      <c r="AC216" t="s">
        <v>301</v>
      </c>
      <c r="AD216" t="s">
        <v>293</v>
      </c>
      <c r="AE216" t="s">
        <v>292</v>
      </c>
      <c r="AF216" t="s">
        <v>293</v>
      </c>
      <c r="AG216" t="s">
        <v>292</v>
      </c>
      <c r="AH216" t="s">
        <v>293</v>
      </c>
      <c r="AI216" t="s">
        <v>302</v>
      </c>
      <c r="AJ216" t="s">
        <v>358</v>
      </c>
      <c r="AK216" t="s">
        <v>359</v>
      </c>
      <c r="AL216" t="s">
        <v>293</v>
      </c>
      <c r="AM216" t="s">
        <v>293</v>
      </c>
      <c r="AN216" t="s">
        <v>296</v>
      </c>
      <c r="AO216" t="s">
        <v>356</v>
      </c>
      <c r="AP216" t="s">
        <v>293</v>
      </c>
      <c r="AQ216" t="s">
        <v>292</v>
      </c>
      <c r="AR216" t="s">
        <v>293</v>
      </c>
      <c r="AS216" t="s">
        <v>293</v>
      </c>
      <c r="AT216" t="s">
        <v>364</v>
      </c>
      <c r="AU216" t="str">
        <f t="shared" si="8"/>
        <v>break</v>
      </c>
    </row>
    <row r="217" spans="1:47" x14ac:dyDescent="0.3">
      <c r="A217" t="s">
        <v>43</v>
      </c>
      <c r="B217" t="s">
        <v>49</v>
      </c>
      <c r="C217" t="s">
        <v>19</v>
      </c>
      <c r="D217" t="s">
        <v>12</v>
      </c>
      <c r="E217" t="str">
        <f t="shared" si="7"/>
        <v>P_L3X-KYY-S_4U3</v>
      </c>
      <c r="F217" t="b">
        <v>1</v>
      </c>
      <c r="G217">
        <v>51.7</v>
      </c>
      <c r="H217">
        <v>0</v>
      </c>
      <c r="I217">
        <v>18694</v>
      </c>
      <c r="J217" s="61" t="s">
        <v>13</v>
      </c>
      <c r="K217" s="16" t="s">
        <v>272</v>
      </c>
      <c r="L217" s="16">
        <v>3</v>
      </c>
      <c r="M217" s="16" t="s">
        <v>277</v>
      </c>
      <c r="N217" s="16" t="s">
        <v>335</v>
      </c>
      <c r="O217" s="15" t="s">
        <v>283</v>
      </c>
      <c r="P217" t="s">
        <v>281</v>
      </c>
      <c r="Q217" t="s">
        <v>284</v>
      </c>
      <c r="R217" s="17" t="s">
        <v>371</v>
      </c>
      <c r="S217" s="16" t="s">
        <v>341</v>
      </c>
      <c r="T217" s="16" t="s">
        <v>340</v>
      </c>
      <c r="U217" s="15" t="s">
        <v>343</v>
      </c>
      <c r="V217" s="15" t="s">
        <v>345</v>
      </c>
      <c r="W217" s="17" t="s">
        <v>291</v>
      </c>
      <c r="X217" t="s">
        <v>349</v>
      </c>
      <c r="Y217" t="s">
        <v>349</v>
      </c>
      <c r="Z217" t="s">
        <v>292</v>
      </c>
      <c r="AA217" t="s">
        <v>353</v>
      </c>
      <c r="AB217" t="s">
        <v>296</v>
      </c>
      <c r="AC217" t="s">
        <v>301</v>
      </c>
      <c r="AD217" t="s">
        <v>292</v>
      </c>
      <c r="AE217" t="s">
        <v>292</v>
      </c>
      <c r="AF217" t="s">
        <v>292</v>
      </c>
      <c r="AG217" t="s">
        <v>292</v>
      </c>
      <c r="AH217" t="s">
        <v>293</v>
      </c>
      <c r="AI217" t="s">
        <v>302</v>
      </c>
      <c r="AJ217" t="s">
        <v>302</v>
      </c>
      <c r="AK217" t="s">
        <v>359</v>
      </c>
      <c r="AL217" t="s">
        <v>293</v>
      </c>
      <c r="AM217" t="s">
        <v>293</v>
      </c>
      <c r="AN217" t="s">
        <v>297</v>
      </c>
      <c r="AO217" t="s">
        <v>356</v>
      </c>
      <c r="AP217" t="s">
        <v>293</v>
      </c>
      <c r="AQ217" t="s">
        <v>292</v>
      </c>
      <c r="AR217" t="s">
        <v>293</v>
      </c>
      <c r="AS217" t="s">
        <v>293</v>
      </c>
      <c r="AT217" t="s">
        <v>364</v>
      </c>
      <c r="AU217" t="str">
        <f t="shared" si="8"/>
        <v>no_fail</v>
      </c>
    </row>
    <row r="218" spans="1:47" x14ac:dyDescent="0.3">
      <c r="A218" t="s">
        <v>43</v>
      </c>
      <c r="B218" t="s">
        <v>49</v>
      </c>
      <c r="C218" t="s">
        <v>17</v>
      </c>
      <c r="D218" t="s">
        <v>12</v>
      </c>
      <c r="E218" t="str">
        <f t="shared" si="7"/>
        <v>P_L3X-KYY-S_6B5</v>
      </c>
      <c r="F218" t="b">
        <v>1</v>
      </c>
      <c r="G218">
        <v>100</v>
      </c>
      <c r="H218">
        <v>1</v>
      </c>
      <c r="I218">
        <v>18509</v>
      </c>
      <c r="J218" s="61" t="s">
        <v>18</v>
      </c>
      <c r="K218" s="16" t="s">
        <v>272</v>
      </c>
      <c r="L218" s="16">
        <v>3</v>
      </c>
      <c r="M218" s="16" t="s">
        <v>277</v>
      </c>
      <c r="N218" s="16" t="s">
        <v>335</v>
      </c>
      <c r="O218" s="15" t="s">
        <v>283</v>
      </c>
      <c r="P218" t="s">
        <v>281</v>
      </c>
      <c r="Q218" t="s">
        <v>284</v>
      </c>
      <c r="R218" s="17" t="s">
        <v>371</v>
      </c>
      <c r="S218" s="16" t="s">
        <v>341</v>
      </c>
      <c r="T218" s="16" t="s">
        <v>340</v>
      </c>
      <c r="U218" s="15" t="s">
        <v>343</v>
      </c>
      <c r="V218" s="15" t="s">
        <v>345</v>
      </c>
      <c r="W218" s="17" t="s">
        <v>291</v>
      </c>
      <c r="X218" t="s">
        <v>349</v>
      </c>
      <c r="Y218" t="s">
        <v>349</v>
      </c>
      <c r="Z218" t="s">
        <v>292</v>
      </c>
      <c r="AA218" t="s">
        <v>353</v>
      </c>
      <c r="AB218" t="s">
        <v>296</v>
      </c>
      <c r="AC218" t="s">
        <v>301</v>
      </c>
      <c r="AD218" t="s">
        <v>292</v>
      </c>
      <c r="AE218" t="s">
        <v>292</v>
      </c>
      <c r="AF218" t="s">
        <v>292</v>
      </c>
      <c r="AG218" t="s">
        <v>292</v>
      </c>
      <c r="AH218" t="s">
        <v>293</v>
      </c>
      <c r="AI218" t="s">
        <v>302</v>
      </c>
      <c r="AJ218" t="s">
        <v>302</v>
      </c>
      <c r="AK218" t="s">
        <v>359</v>
      </c>
      <c r="AL218" t="s">
        <v>293</v>
      </c>
      <c r="AM218" t="s">
        <v>293</v>
      </c>
      <c r="AN218" t="s">
        <v>297</v>
      </c>
      <c r="AO218" t="s">
        <v>356</v>
      </c>
      <c r="AP218" t="s">
        <v>293</v>
      </c>
      <c r="AQ218" t="s">
        <v>292</v>
      </c>
      <c r="AR218" t="s">
        <v>293</v>
      </c>
      <c r="AS218" t="s">
        <v>293</v>
      </c>
      <c r="AT218" t="s">
        <v>364</v>
      </c>
      <c r="AU218" t="str">
        <f t="shared" si="8"/>
        <v>break</v>
      </c>
    </row>
    <row r="219" spans="1:47" x14ac:dyDescent="0.3">
      <c r="A219" t="s">
        <v>43</v>
      </c>
      <c r="B219" t="s">
        <v>49</v>
      </c>
      <c r="C219" t="s">
        <v>16</v>
      </c>
      <c r="D219" t="s">
        <v>12</v>
      </c>
      <c r="E219" t="str">
        <f t="shared" si="7"/>
        <v>P_L3X-KYY-S_6U7</v>
      </c>
      <c r="F219" t="b">
        <v>1</v>
      </c>
      <c r="G219">
        <v>100</v>
      </c>
      <c r="H219">
        <v>1</v>
      </c>
      <c r="I219">
        <v>17904</v>
      </c>
      <c r="J219" s="61" t="s">
        <v>18</v>
      </c>
      <c r="K219" s="16" t="s">
        <v>272</v>
      </c>
      <c r="L219" s="16">
        <v>2</v>
      </c>
      <c r="M219" s="16" t="s">
        <v>333</v>
      </c>
      <c r="N219" s="16" t="s">
        <v>278</v>
      </c>
      <c r="O219" s="15" t="s">
        <v>283</v>
      </c>
      <c r="P219" t="s">
        <v>281</v>
      </c>
      <c r="Q219" t="s">
        <v>284</v>
      </c>
      <c r="R219" s="17" t="s">
        <v>371</v>
      </c>
      <c r="S219" s="16" t="s">
        <v>341</v>
      </c>
      <c r="T219" s="16" t="s">
        <v>340</v>
      </c>
      <c r="U219" s="15" t="s">
        <v>343</v>
      </c>
      <c r="V219" s="15" t="s">
        <v>345</v>
      </c>
      <c r="W219" s="17" t="s">
        <v>291</v>
      </c>
      <c r="X219" t="s">
        <v>349</v>
      </c>
      <c r="Y219" t="s">
        <v>349</v>
      </c>
      <c r="Z219" t="s">
        <v>292</v>
      </c>
      <c r="AA219" t="s">
        <v>353</v>
      </c>
      <c r="AB219" t="s">
        <v>296</v>
      </c>
      <c r="AC219" t="s">
        <v>301</v>
      </c>
      <c r="AD219" t="s">
        <v>293</v>
      </c>
      <c r="AE219" t="s">
        <v>292</v>
      </c>
      <c r="AF219" t="s">
        <v>292</v>
      </c>
      <c r="AG219" t="s">
        <v>292</v>
      </c>
      <c r="AH219" t="s">
        <v>293</v>
      </c>
      <c r="AI219" t="s">
        <v>302</v>
      </c>
      <c r="AJ219" t="s">
        <v>359</v>
      </c>
      <c r="AK219" t="s">
        <v>359</v>
      </c>
      <c r="AL219" t="s">
        <v>293</v>
      </c>
      <c r="AM219" t="s">
        <v>293</v>
      </c>
      <c r="AN219" t="s">
        <v>296</v>
      </c>
      <c r="AO219" t="s">
        <v>356</v>
      </c>
      <c r="AP219" t="s">
        <v>293</v>
      </c>
      <c r="AQ219" t="s">
        <v>292</v>
      </c>
      <c r="AR219" t="s">
        <v>293</v>
      </c>
      <c r="AS219" t="s">
        <v>293</v>
      </c>
      <c r="AT219" t="s">
        <v>364</v>
      </c>
      <c r="AU219" t="str">
        <f t="shared" si="8"/>
        <v>break</v>
      </c>
    </row>
    <row r="220" spans="1:47" x14ac:dyDescent="0.3">
      <c r="A220" t="s">
        <v>43</v>
      </c>
      <c r="B220" t="s">
        <v>49</v>
      </c>
      <c r="C220" t="s">
        <v>20</v>
      </c>
      <c r="D220" t="s">
        <v>12</v>
      </c>
      <c r="E220" t="str">
        <f t="shared" si="7"/>
        <v>P_L3X-KYY-S_7W0</v>
      </c>
      <c r="F220" t="b">
        <v>1</v>
      </c>
      <c r="G220">
        <v>71.8</v>
      </c>
      <c r="H220">
        <v>0</v>
      </c>
      <c r="I220">
        <v>17905</v>
      </c>
      <c r="J220" s="61" t="s">
        <v>13</v>
      </c>
      <c r="K220" s="16" t="s">
        <v>272</v>
      </c>
      <c r="L220" s="16">
        <v>3</v>
      </c>
      <c r="M220" s="16" t="s">
        <v>277</v>
      </c>
      <c r="N220" s="16" t="s">
        <v>335</v>
      </c>
      <c r="O220" s="15" t="s">
        <v>283</v>
      </c>
      <c r="P220" t="s">
        <v>281</v>
      </c>
      <c r="Q220" t="s">
        <v>284</v>
      </c>
      <c r="R220" s="17" t="s">
        <v>371</v>
      </c>
      <c r="S220" s="16" t="s">
        <v>341</v>
      </c>
      <c r="T220" s="16" t="s">
        <v>340</v>
      </c>
      <c r="U220" s="15" t="s">
        <v>343</v>
      </c>
      <c r="V220" s="15" t="s">
        <v>345</v>
      </c>
      <c r="W220" s="17" t="s">
        <v>291</v>
      </c>
      <c r="X220" t="s">
        <v>349</v>
      </c>
      <c r="Y220" t="s">
        <v>349</v>
      </c>
      <c r="Z220" t="s">
        <v>293</v>
      </c>
      <c r="AA220" t="s">
        <v>353</v>
      </c>
      <c r="AB220" t="s">
        <v>296</v>
      </c>
      <c r="AC220" t="s">
        <v>301</v>
      </c>
      <c r="AD220" t="s">
        <v>292</v>
      </c>
      <c r="AE220" t="s">
        <v>292</v>
      </c>
      <c r="AF220" t="s">
        <v>292</v>
      </c>
      <c r="AG220" t="s">
        <v>292</v>
      </c>
      <c r="AH220" t="s">
        <v>293</v>
      </c>
      <c r="AI220" t="s">
        <v>302</v>
      </c>
      <c r="AJ220" t="s">
        <v>302</v>
      </c>
      <c r="AK220" t="s">
        <v>359</v>
      </c>
      <c r="AL220" t="s">
        <v>293</v>
      </c>
      <c r="AM220" t="s">
        <v>293</v>
      </c>
      <c r="AN220" t="s">
        <v>297</v>
      </c>
      <c r="AO220" t="s">
        <v>356</v>
      </c>
      <c r="AP220" t="s">
        <v>293</v>
      </c>
      <c r="AQ220" t="s">
        <v>292</v>
      </c>
      <c r="AR220" t="s">
        <v>293</v>
      </c>
      <c r="AS220" t="s">
        <v>293</v>
      </c>
      <c r="AT220" t="s">
        <v>364</v>
      </c>
      <c r="AU220" t="str">
        <f t="shared" si="8"/>
        <v>no_fail</v>
      </c>
    </row>
    <row r="221" spans="1:47" x14ac:dyDescent="0.3">
      <c r="A221" t="s">
        <v>43</v>
      </c>
      <c r="B221" t="s">
        <v>49</v>
      </c>
      <c r="C221" t="s">
        <v>23</v>
      </c>
      <c r="D221" t="s">
        <v>29</v>
      </c>
      <c r="E221" t="str">
        <f t="shared" si="7"/>
        <v>P_L3X-ZSB-S_0T2</v>
      </c>
      <c r="F221" t="b">
        <v>1</v>
      </c>
      <c r="G221">
        <v>53</v>
      </c>
      <c r="H221">
        <v>0</v>
      </c>
      <c r="I221">
        <v>16700</v>
      </c>
      <c r="J221" s="61" t="s">
        <v>13</v>
      </c>
      <c r="K221" s="16" t="s">
        <v>272</v>
      </c>
      <c r="L221" s="16">
        <v>3</v>
      </c>
      <c r="M221" s="16" t="s">
        <v>277</v>
      </c>
      <c r="N221" s="16" t="s">
        <v>335</v>
      </c>
      <c r="O221" s="15" t="s">
        <v>283</v>
      </c>
      <c r="P221" t="s">
        <v>281</v>
      </c>
      <c r="Q221" t="s">
        <v>284</v>
      </c>
      <c r="R221" s="17" t="s">
        <v>371</v>
      </c>
      <c r="S221" s="16" t="s">
        <v>341</v>
      </c>
      <c r="T221" s="16" t="s">
        <v>340</v>
      </c>
      <c r="U221" s="15" t="s">
        <v>343</v>
      </c>
      <c r="V221" s="15" t="s">
        <v>344</v>
      </c>
      <c r="W221" s="17"/>
      <c r="X221" t="s">
        <v>349</v>
      </c>
      <c r="Y221" t="s">
        <v>349</v>
      </c>
      <c r="Z221" t="s">
        <v>293</v>
      </c>
      <c r="AA221" t="s">
        <v>353</v>
      </c>
      <c r="AB221" t="s">
        <v>296</v>
      </c>
      <c r="AC221" t="s">
        <v>300</v>
      </c>
      <c r="AD221" t="s">
        <v>292</v>
      </c>
      <c r="AE221" t="s">
        <v>292</v>
      </c>
      <c r="AF221" t="s">
        <v>292</v>
      </c>
      <c r="AG221" t="s">
        <v>292</v>
      </c>
      <c r="AH221" t="s">
        <v>293</v>
      </c>
      <c r="AI221" t="s">
        <v>302</v>
      </c>
      <c r="AJ221" t="s">
        <v>302</v>
      </c>
      <c r="AK221" t="s">
        <v>359</v>
      </c>
      <c r="AL221" t="s">
        <v>293</v>
      </c>
      <c r="AM221" t="s">
        <v>293</v>
      </c>
      <c r="AN221" t="s">
        <v>297</v>
      </c>
      <c r="AO221" t="s">
        <v>356</v>
      </c>
      <c r="AP221" t="s">
        <v>293</v>
      </c>
      <c r="AQ221" t="s">
        <v>292</v>
      </c>
      <c r="AR221" t="s">
        <v>293</v>
      </c>
      <c r="AS221" t="s">
        <v>293</v>
      </c>
      <c r="AT221" t="s">
        <v>364</v>
      </c>
      <c r="AU221" t="str">
        <f t="shared" si="8"/>
        <v>no_fail</v>
      </c>
    </row>
    <row r="222" spans="1:47" x14ac:dyDescent="0.3">
      <c r="A222" t="s">
        <v>43</v>
      </c>
      <c r="B222" t="s">
        <v>49</v>
      </c>
      <c r="C222" t="s">
        <v>25</v>
      </c>
      <c r="D222" t="s">
        <v>29</v>
      </c>
      <c r="E222" t="str">
        <f t="shared" si="7"/>
        <v>P_L3X-ZSB-S_1J8</v>
      </c>
      <c r="F222" t="b">
        <v>1</v>
      </c>
      <c r="G222">
        <v>61.8</v>
      </c>
      <c r="H222">
        <v>0</v>
      </c>
      <c r="I222">
        <v>15800</v>
      </c>
      <c r="J222" s="61" t="s">
        <v>13</v>
      </c>
      <c r="K222" s="16" t="s">
        <v>272</v>
      </c>
      <c r="L222" s="16">
        <v>3</v>
      </c>
      <c r="M222" s="16" t="s">
        <v>277</v>
      </c>
      <c r="N222" s="16" t="s">
        <v>335</v>
      </c>
      <c r="O222" s="15" t="s">
        <v>283</v>
      </c>
      <c r="P222" t="s">
        <v>281</v>
      </c>
      <c r="Q222" t="s">
        <v>284</v>
      </c>
      <c r="R222" s="17" t="s">
        <v>371</v>
      </c>
      <c r="S222" s="16" t="s">
        <v>341</v>
      </c>
      <c r="T222" s="16" t="s">
        <v>340</v>
      </c>
      <c r="U222" s="15" t="s">
        <v>343</v>
      </c>
      <c r="V222" s="15" t="s">
        <v>344</v>
      </c>
      <c r="W222" s="17"/>
      <c r="X222" t="s">
        <v>349</v>
      </c>
      <c r="Y222" t="s">
        <v>349</v>
      </c>
      <c r="Z222" t="s">
        <v>293</v>
      </c>
      <c r="AA222" t="s">
        <v>353</v>
      </c>
      <c r="AB222" t="s">
        <v>296</v>
      </c>
      <c r="AC222" t="s">
        <v>300</v>
      </c>
      <c r="AD222" t="s">
        <v>292</v>
      </c>
      <c r="AE222" t="s">
        <v>292</v>
      </c>
      <c r="AF222" t="s">
        <v>292</v>
      </c>
      <c r="AG222" t="s">
        <v>292</v>
      </c>
      <c r="AH222" t="s">
        <v>293</v>
      </c>
      <c r="AI222" t="s">
        <v>302</v>
      </c>
      <c r="AJ222" t="s">
        <v>302</v>
      </c>
      <c r="AK222" t="s">
        <v>359</v>
      </c>
      <c r="AL222" t="s">
        <v>293</v>
      </c>
      <c r="AM222" t="s">
        <v>293</v>
      </c>
      <c r="AN222" t="s">
        <v>297</v>
      </c>
      <c r="AO222" t="s">
        <v>356</v>
      </c>
      <c r="AP222" t="s">
        <v>293</v>
      </c>
      <c r="AQ222" t="s">
        <v>292</v>
      </c>
      <c r="AR222" t="s">
        <v>293</v>
      </c>
      <c r="AS222" t="s">
        <v>293</v>
      </c>
      <c r="AT222" t="s">
        <v>364</v>
      </c>
      <c r="AU222" t="str">
        <f t="shared" si="8"/>
        <v>no_fail</v>
      </c>
    </row>
    <row r="223" spans="1:47" x14ac:dyDescent="0.3">
      <c r="A223" t="s">
        <v>43</v>
      </c>
      <c r="B223" t="s">
        <v>49</v>
      </c>
      <c r="C223" t="s">
        <v>24</v>
      </c>
      <c r="D223" t="s">
        <v>29</v>
      </c>
      <c r="E223" t="str">
        <f t="shared" si="7"/>
        <v>P_L3X-ZSB-S_1U0</v>
      </c>
      <c r="F223" t="b">
        <v>1</v>
      </c>
      <c r="G223">
        <v>52.6</v>
      </c>
      <c r="H223">
        <v>0</v>
      </c>
      <c r="I223">
        <v>17523</v>
      </c>
      <c r="J223" s="61" t="s">
        <v>13</v>
      </c>
      <c r="K223" s="16" t="s">
        <v>272</v>
      </c>
      <c r="L223" s="16">
        <v>3</v>
      </c>
      <c r="M223" s="16" t="s">
        <v>277</v>
      </c>
      <c r="N223" s="16" t="s">
        <v>335</v>
      </c>
      <c r="O223" s="15" t="s">
        <v>283</v>
      </c>
      <c r="P223" t="s">
        <v>281</v>
      </c>
      <c r="Q223" t="s">
        <v>284</v>
      </c>
      <c r="R223" s="17" t="s">
        <v>371</v>
      </c>
      <c r="S223" s="16" t="s">
        <v>341</v>
      </c>
      <c r="T223" s="16" t="s">
        <v>340</v>
      </c>
      <c r="U223" s="15" t="s">
        <v>343</v>
      </c>
      <c r="V223" s="15" t="s">
        <v>344</v>
      </c>
      <c r="W223" s="17"/>
      <c r="X223" t="s">
        <v>349</v>
      </c>
      <c r="Y223" t="s">
        <v>349</v>
      </c>
      <c r="Z223" t="s">
        <v>293</v>
      </c>
      <c r="AA223" t="s">
        <v>353</v>
      </c>
      <c r="AB223" t="s">
        <v>296</v>
      </c>
      <c r="AC223" t="s">
        <v>300</v>
      </c>
      <c r="AD223" t="s">
        <v>292</v>
      </c>
      <c r="AE223" t="s">
        <v>292</v>
      </c>
      <c r="AF223" t="s">
        <v>292</v>
      </c>
      <c r="AG223" t="s">
        <v>292</v>
      </c>
      <c r="AH223" t="s">
        <v>293</v>
      </c>
      <c r="AI223" t="s">
        <v>302</v>
      </c>
      <c r="AJ223" t="s">
        <v>302</v>
      </c>
      <c r="AK223" t="s">
        <v>359</v>
      </c>
      <c r="AL223" t="s">
        <v>293</v>
      </c>
      <c r="AM223" t="s">
        <v>293</v>
      </c>
      <c r="AN223" t="s">
        <v>297</v>
      </c>
      <c r="AO223" t="s">
        <v>356</v>
      </c>
      <c r="AP223" t="s">
        <v>293</v>
      </c>
      <c r="AQ223" t="s">
        <v>292</v>
      </c>
      <c r="AR223" t="s">
        <v>293</v>
      </c>
      <c r="AS223" t="s">
        <v>293</v>
      </c>
      <c r="AT223" t="s">
        <v>364</v>
      </c>
      <c r="AU223" t="str">
        <f t="shared" si="8"/>
        <v>no_fail</v>
      </c>
    </row>
    <row r="224" spans="1:47" x14ac:dyDescent="0.3">
      <c r="A224" t="s">
        <v>43</v>
      </c>
      <c r="B224" t="s">
        <v>49</v>
      </c>
      <c r="C224" t="s">
        <v>21</v>
      </c>
      <c r="D224" t="s">
        <v>29</v>
      </c>
      <c r="E224" t="str">
        <f t="shared" si="7"/>
        <v>P_L3X-ZSB-S_3X6</v>
      </c>
      <c r="F224" t="b">
        <v>1</v>
      </c>
      <c r="G224">
        <v>82.3</v>
      </c>
      <c r="H224">
        <v>0</v>
      </c>
      <c r="I224">
        <v>14547</v>
      </c>
      <c r="J224" s="61" t="s">
        <v>13</v>
      </c>
      <c r="K224" s="16" t="s">
        <v>272</v>
      </c>
      <c r="L224" s="16">
        <v>2</v>
      </c>
      <c r="M224" s="16" t="s">
        <v>277</v>
      </c>
      <c r="N224" s="16" t="s">
        <v>335</v>
      </c>
      <c r="O224" s="15" t="s">
        <v>283</v>
      </c>
      <c r="P224" t="s">
        <v>281</v>
      </c>
      <c r="Q224" t="s">
        <v>284</v>
      </c>
      <c r="R224" s="17" t="s">
        <v>371</v>
      </c>
      <c r="S224" s="16" t="s">
        <v>341</v>
      </c>
      <c r="T224" s="16" t="s">
        <v>340</v>
      </c>
      <c r="U224" s="15" t="s">
        <v>343</v>
      </c>
      <c r="V224" s="15" t="s">
        <v>344</v>
      </c>
      <c r="W224" s="17"/>
      <c r="X224" t="s">
        <v>349</v>
      </c>
      <c r="Y224" t="s">
        <v>349</v>
      </c>
      <c r="Z224" t="s">
        <v>293</v>
      </c>
      <c r="AA224" t="s">
        <v>354</v>
      </c>
      <c r="AB224" t="s">
        <v>354</v>
      </c>
      <c r="AC224" t="s">
        <v>300</v>
      </c>
      <c r="AD224" t="s">
        <v>292</v>
      </c>
      <c r="AE224" t="s">
        <v>292</v>
      </c>
      <c r="AF224" t="s">
        <v>292</v>
      </c>
      <c r="AG224" t="s">
        <v>292</v>
      </c>
      <c r="AH224" t="s">
        <v>293</v>
      </c>
      <c r="AI224" t="s">
        <v>302</v>
      </c>
      <c r="AJ224" t="s">
        <v>302</v>
      </c>
      <c r="AK224" t="s">
        <v>357</v>
      </c>
      <c r="AL224" t="s">
        <v>293</v>
      </c>
      <c r="AM224" t="s">
        <v>293</v>
      </c>
      <c r="AN224" t="s">
        <v>297</v>
      </c>
      <c r="AO224" t="s">
        <v>356</v>
      </c>
      <c r="AP224" t="s">
        <v>293</v>
      </c>
      <c r="AQ224" t="s">
        <v>292</v>
      </c>
      <c r="AR224" t="s">
        <v>293</v>
      </c>
      <c r="AS224" t="s">
        <v>293</v>
      </c>
      <c r="AT224" t="s">
        <v>364</v>
      </c>
      <c r="AU224" t="str">
        <f t="shared" si="8"/>
        <v>no_fail</v>
      </c>
    </row>
    <row r="225" spans="1:47" x14ac:dyDescent="0.3">
      <c r="A225" t="s">
        <v>43</v>
      </c>
      <c r="B225" t="s">
        <v>49</v>
      </c>
      <c r="C225" t="s">
        <v>26</v>
      </c>
      <c r="D225" t="s">
        <v>29</v>
      </c>
      <c r="E225" t="str">
        <f t="shared" si="7"/>
        <v>P_L3X-ZSB-S_8O8</v>
      </c>
      <c r="F225" t="b">
        <v>1</v>
      </c>
      <c r="G225">
        <v>100</v>
      </c>
      <c r="H225">
        <v>1</v>
      </c>
      <c r="I225">
        <v>15498</v>
      </c>
      <c r="J225" s="61" t="s">
        <v>18</v>
      </c>
      <c r="K225" s="16" t="s">
        <v>272</v>
      </c>
      <c r="L225" s="16">
        <v>3</v>
      </c>
      <c r="M225" s="16" t="s">
        <v>277</v>
      </c>
      <c r="N225" s="16" t="s">
        <v>335</v>
      </c>
      <c r="O225" s="15" t="s">
        <v>283</v>
      </c>
      <c r="P225" t="s">
        <v>281</v>
      </c>
      <c r="Q225" t="s">
        <v>284</v>
      </c>
      <c r="R225" s="17" t="s">
        <v>371</v>
      </c>
      <c r="S225" s="16" t="s">
        <v>341</v>
      </c>
      <c r="T225" s="16" t="s">
        <v>340</v>
      </c>
      <c r="U225" s="15" t="s">
        <v>343</v>
      </c>
      <c r="V225" s="15" t="s">
        <v>344</v>
      </c>
      <c r="W225" s="17"/>
      <c r="X225" t="s">
        <v>349</v>
      </c>
      <c r="Y225" t="s">
        <v>349</v>
      </c>
      <c r="Z225" t="s">
        <v>293</v>
      </c>
      <c r="AA225" t="s">
        <v>353</v>
      </c>
      <c r="AB225" t="s">
        <v>296</v>
      </c>
      <c r="AC225" t="s">
        <v>300</v>
      </c>
      <c r="AD225" t="s">
        <v>292</v>
      </c>
      <c r="AE225" t="s">
        <v>292</v>
      </c>
      <c r="AF225" t="s">
        <v>292</v>
      </c>
      <c r="AG225" t="s">
        <v>292</v>
      </c>
      <c r="AH225" t="s">
        <v>293</v>
      </c>
      <c r="AI225" t="s">
        <v>359</v>
      </c>
      <c r="AJ225" t="s">
        <v>302</v>
      </c>
      <c r="AK225" t="s">
        <v>359</v>
      </c>
      <c r="AL225" t="s">
        <v>293</v>
      </c>
      <c r="AM225" t="s">
        <v>293</v>
      </c>
      <c r="AN225" t="s">
        <v>297</v>
      </c>
      <c r="AO225" t="s">
        <v>356</v>
      </c>
      <c r="AP225" t="s">
        <v>293</v>
      </c>
      <c r="AQ225" t="s">
        <v>292</v>
      </c>
      <c r="AR225" t="s">
        <v>293</v>
      </c>
      <c r="AS225" t="s">
        <v>293</v>
      </c>
      <c r="AT225" t="s">
        <v>364</v>
      </c>
      <c r="AU225" t="str">
        <f t="shared" si="8"/>
        <v>break</v>
      </c>
    </row>
    <row r="226" spans="1:47" x14ac:dyDescent="0.3">
      <c r="A226" t="s">
        <v>43</v>
      </c>
      <c r="B226" t="s">
        <v>49</v>
      </c>
      <c r="C226" t="s">
        <v>22</v>
      </c>
      <c r="D226" t="s">
        <v>29</v>
      </c>
      <c r="E226" t="str">
        <f t="shared" si="7"/>
        <v>P_L3X-ZSB-S_9B4</v>
      </c>
      <c r="F226" t="b">
        <v>1</v>
      </c>
      <c r="G226">
        <v>48.9</v>
      </c>
      <c r="H226">
        <v>0</v>
      </c>
      <c r="I226">
        <v>19244</v>
      </c>
      <c r="J226" s="61" t="s">
        <v>13</v>
      </c>
      <c r="K226" s="16" t="s">
        <v>272</v>
      </c>
      <c r="L226" s="16">
        <v>3</v>
      </c>
      <c r="M226" s="16" t="s">
        <v>277</v>
      </c>
      <c r="N226" s="16" t="s">
        <v>335</v>
      </c>
      <c r="O226" s="15" t="s">
        <v>283</v>
      </c>
      <c r="P226" t="s">
        <v>281</v>
      </c>
      <c r="Q226" t="s">
        <v>284</v>
      </c>
      <c r="R226" s="17" t="s">
        <v>371</v>
      </c>
      <c r="S226" s="16" t="s">
        <v>341</v>
      </c>
      <c r="T226" s="16" t="s">
        <v>340</v>
      </c>
      <c r="U226" s="15" t="s">
        <v>343</v>
      </c>
      <c r="V226" s="15" t="s">
        <v>344</v>
      </c>
      <c r="W226" s="17"/>
      <c r="X226" t="s">
        <v>349</v>
      </c>
      <c r="Y226" t="s">
        <v>349</v>
      </c>
      <c r="Z226" t="s">
        <v>293</v>
      </c>
      <c r="AA226" t="s">
        <v>353</v>
      </c>
      <c r="AB226" t="s">
        <v>296</v>
      </c>
      <c r="AC226" t="s">
        <v>300</v>
      </c>
      <c r="AD226" t="s">
        <v>292</v>
      </c>
      <c r="AE226" t="s">
        <v>292</v>
      </c>
      <c r="AF226" t="s">
        <v>292</v>
      </c>
      <c r="AG226" t="s">
        <v>292</v>
      </c>
      <c r="AH226" t="s">
        <v>293</v>
      </c>
      <c r="AI226" t="s">
        <v>302</v>
      </c>
      <c r="AJ226" t="s">
        <v>302</v>
      </c>
      <c r="AK226" t="s">
        <v>359</v>
      </c>
      <c r="AL226" t="s">
        <v>293</v>
      </c>
      <c r="AM226" t="s">
        <v>293</v>
      </c>
      <c r="AN226" t="s">
        <v>297</v>
      </c>
      <c r="AO226" t="s">
        <v>356</v>
      </c>
      <c r="AP226" t="s">
        <v>293</v>
      </c>
      <c r="AQ226" t="s">
        <v>292</v>
      </c>
      <c r="AR226" t="s">
        <v>293</v>
      </c>
      <c r="AS226" t="s">
        <v>293</v>
      </c>
      <c r="AT226" t="s">
        <v>364</v>
      </c>
      <c r="AU226" t="str">
        <f t="shared" si="8"/>
        <v>no_fail</v>
      </c>
    </row>
    <row r="227" spans="1:47" x14ac:dyDescent="0.3">
      <c r="A227" t="s">
        <v>43</v>
      </c>
      <c r="B227" t="s">
        <v>49</v>
      </c>
      <c r="C227" t="s">
        <v>27</v>
      </c>
      <c r="D227" t="s">
        <v>29</v>
      </c>
      <c r="E227" t="str">
        <f t="shared" si="7"/>
        <v>P_L3X-ZSB-S_9F6</v>
      </c>
      <c r="F227" t="b">
        <v>1</v>
      </c>
      <c r="G227">
        <v>100</v>
      </c>
      <c r="H227">
        <v>1</v>
      </c>
      <c r="I227">
        <v>13569</v>
      </c>
      <c r="J227" s="61" t="s">
        <v>18</v>
      </c>
      <c r="K227" s="16" t="s">
        <v>272</v>
      </c>
      <c r="L227" s="16">
        <v>2</v>
      </c>
      <c r="M227" s="16" t="s">
        <v>277</v>
      </c>
      <c r="N227" s="16" t="s">
        <v>335</v>
      </c>
      <c r="O227" s="15" t="s">
        <v>283</v>
      </c>
      <c r="P227" t="s">
        <v>281</v>
      </c>
      <c r="Q227" t="s">
        <v>284</v>
      </c>
      <c r="R227" s="17" t="s">
        <v>371</v>
      </c>
      <c r="S227" s="16" t="s">
        <v>341</v>
      </c>
      <c r="T227" s="16" t="s">
        <v>340</v>
      </c>
      <c r="U227" s="15" t="s">
        <v>340</v>
      </c>
      <c r="V227" s="15" t="s">
        <v>344</v>
      </c>
      <c r="W227" s="17"/>
      <c r="X227" t="s">
        <v>349</v>
      </c>
      <c r="Y227" t="s">
        <v>349</v>
      </c>
      <c r="Z227" t="s">
        <v>293</v>
      </c>
      <c r="AA227" t="s">
        <v>354</v>
      </c>
      <c r="AB227" t="s">
        <v>354</v>
      </c>
      <c r="AC227" t="s">
        <v>300</v>
      </c>
      <c r="AD227" t="s">
        <v>292</v>
      </c>
      <c r="AE227" t="s">
        <v>292</v>
      </c>
      <c r="AF227" t="s">
        <v>292</v>
      </c>
      <c r="AG227" t="s">
        <v>292</v>
      </c>
      <c r="AH227" t="s">
        <v>293</v>
      </c>
      <c r="AI227" t="s">
        <v>358</v>
      </c>
      <c r="AJ227" t="s">
        <v>302</v>
      </c>
      <c r="AK227" t="s">
        <v>357</v>
      </c>
      <c r="AL227" t="s">
        <v>293</v>
      </c>
      <c r="AM227" t="s">
        <v>293</v>
      </c>
      <c r="AN227" t="s">
        <v>297</v>
      </c>
      <c r="AO227" t="s">
        <v>356</v>
      </c>
      <c r="AP227" t="s">
        <v>293</v>
      </c>
      <c r="AQ227" t="s">
        <v>292</v>
      </c>
      <c r="AR227" t="s">
        <v>293</v>
      </c>
      <c r="AS227" t="s">
        <v>293</v>
      </c>
      <c r="AT227" t="s">
        <v>364</v>
      </c>
      <c r="AU227" t="str">
        <f t="shared" si="8"/>
        <v>break</v>
      </c>
    </row>
    <row r="228" spans="1:47" x14ac:dyDescent="0.3">
      <c r="A228" t="s">
        <v>43</v>
      </c>
      <c r="B228" t="s">
        <v>49</v>
      </c>
      <c r="C228" t="s">
        <v>28</v>
      </c>
      <c r="D228" t="s">
        <v>29</v>
      </c>
      <c r="E228" t="str">
        <f t="shared" si="7"/>
        <v>P_L3X-ZSB-S_9T2</v>
      </c>
      <c r="F228" t="b">
        <v>1</v>
      </c>
      <c r="G228">
        <v>85.1</v>
      </c>
      <c r="H228">
        <v>0</v>
      </c>
      <c r="I228">
        <v>14602</v>
      </c>
      <c r="J228" s="61" t="s">
        <v>13</v>
      </c>
      <c r="K228" s="16" t="s">
        <v>272</v>
      </c>
      <c r="L228" s="16">
        <v>2</v>
      </c>
      <c r="M228" s="16" t="s">
        <v>277</v>
      </c>
      <c r="N228" s="16" t="s">
        <v>335</v>
      </c>
      <c r="O228" s="15" t="s">
        <v>283</v>
      </c>
      <c r="P228" t="s">
        <v>281</v>
      </c>
      <c r="Q228" t="s">
        <v>284</v>
      </c>
      <c r="R228" s="17" t="s">
        <v>371</v>
      </c>
      <c r="S228" s="16" t="s">
        <v>341</v>
      </c>
      <c r="T228" s="16" t="s">
        <v>340</v>
      </c>
      <c r="U228" s="15" t="s">
        <v>340</v>
      </c>
      <c r="V228" s="15" t="s">
        <v>344</v>
      </c>
      <c r="W228" s="17"/>
      <c r="X228" t="s">
        <v>349</v>
      </c>
      <c r="Y228" t="s">
        <v>349</v>
      </c>
      <c r="Z228" t="s">
        <v>293</v>
      </c>
      <c r="AA228" t="s">
        <v>354</v>
      </c>
      <c r="AB228" t="s">
        <v>354</v>
      </c>
      <c r="AC228" t="s">
        <v>300</v>
      </c>
      <c r="AD228" t="s">
        <v>292</v>
      </c>
      <c r="AE228" t="s">
        <v>292</v>
      </c>
      <c r="AF228" t="s">
        <v>292</v>
      </c>
      <c r="AG228" t="s">
        <v>292</v>
      </c>
      <c r="AH228" t="s">
        <v>293</v>
      </c>
      <c r="AI228" t="s">
        <v>302</v>
      </c>
      <c r="AJ228" t="s">
        <v>302</v>
      </c>
      <c r="AK228" t="s">
        <v>357</v>
      </c>
      <c r="AL228" t="s">
        <v>293</v>
      </c>
      <c r="AM228" t="s">
        <v>293</v>
      </c>
      <c r="AN228" t="s">
        <v>297</v>
      </c>
      <c r="AO228" t="s">
        <v>356</v>
      </c>
      <c r="AP228" t="s">
        <v>293</v>
      </c>
      <c r="AQ228" t="s">
        <v>292</v>
      </c>
      <c r="AR228" t="s">
        <v>293</v>
      </c>
      <c r="AS228" t="s">
        <v>293</v>
      </c>
      <c r="AT228" t="s">
        <v>364</v>
      </c>
      <c r="AU228" t="str">
        <f t="shared" si="8"/>
        <v>no_fail</v>
      </c>
    </row>
    <row r="229" spans="1:47" x14ac:dyDescent="0.3">
      <c r="A229" t="s">
        <v>43</v>
      </c>
      <c r="B229" t="s">
        <v>62</v>
      </c>
      <c r="C229" t="s">
        <v>15</v>
      </c>
      <c r="D229" t="s">
        <v>12</v>
      </c>
      <c r="E229" t="str">
        <f t="shared" si="7"/>
        <v>P_L4V-KYY-S_0M4</v>
      </c>
      <c r="F229" t="b">
        <v>1</v>
      </c>
      <c r="G229">
        <v>49.9</v>
      </c>
      <c r="H229">
        <v>0</v>
      </c>
      <c r="I229">
        <v>11608</v>
      </c>
      <c r="J229" s="61" t="s">
        <v>13</v>
      </c>
      <c r="K229" s="16" t="s">
        <v>272</v>
      </c>
      <c r="L229" s="16">
        <v>3</v>
      </c>
      <c r="M229" s="16" t="s">
        <v>277</v>
      </c>
      <c r="N229" s="16" t="s">
        <v>335</v>
      </c>
      <c r="O229" s="15" t="s">
        <v>282</v>
      </c>
      <c r="P229" t="s">
        <v>371</v>
      </c>
      <c r="Q229" t="s">
        <v>371</v>
      </c>
      <c r="R229" s="17" t="s">
        <v>371</v>
      </c>
      <c r="S229" s="16" t="s">
        <v>341</v>
      </c>
      <c r="T229" s="16" t="s">
        <v>342</v>
      </c>
      <c r="U229" s="15" t="s">
        <v>343</v>
      </c>
      <c r="V229" s="15" t="s">
        <v>344</v>
      </c>
      <c r="W229" s="17"/>
      <c r="X229" t="s">
        <v>349</v>
      </c>
      <c r="Y229" t="s">
        <v>349</v>
      </c>
      <c r="Z229" t="s">
        <v>293</v>
      </c>
      <c r="AA229" t="s">
        <v>353</v>
      </c>
      <c r="AB229" t="s">
        <v>297</v>
      </c>
      <c r="AC229" t="s">
        <v>301</v>
      </c>
      <c r="AD229" t="s">
        <v>292</v>
      </c>
      <c r="AE229" t="s">
        <v>293</v>
      </c>
      <c r="AF229" t="s">
        <v>292</v>
      </c>
      <c r="AG229" t="s">
        <v>293</v>
      </c>
      <c r="AH229" t="s">
        <v>293</v>
      </c>
      <c r="AI229" t="s">
        <v>302</v>
      </c>
      <c r="AJ229" t="s">
        <v>302</v>
      </c>
      <c r="AK229" t="s">
        <v>359</v>
      </c>
      <c r="AL229" t="s">
        <v>293</v>
      </c>
      <c r="AM229" t="s">
        <v>293</v>
      </c>
      <c r="AN229" t="s">
        <v>297</v>
      </c>
      <c r="AO229" t="s">
        <v>298</v>
      </c>
      <c r="AP229" t="s">
        <v>293</v>
      </c>
      <c r="AQ229" t="s">
        <v>292</v>
      </c>
      <c r="AR229" t="s">
        <v>293</v>
      </c>
      <c r="AS229" t="s">
        <v>293</v>
      </c>
      <c r="AT229" t="s">
        <v>364</v>
      </c>
      <c r="AU229" t="str">
        <f t="shared" si="8"/>
        <v>no_fail</v>
      </c>
    </row>
    <row r="230" spans="1:47" x14ac:dyDescent="0.3">
      <c r="A230" t="s">
        <v>43</v>
      </c>
      <c r="B230" t="s">
        <v>62</v>
      </c>
      <c r="C230" t="s">
        <v>23</v>
      </c>
      <c r="D230" t="s">
        <v>12</v>
      </c>
      <c r="E230" t="str">
        <f t="shared" si="7"/>
        <v>P_L4V-KYY-S_0T2</v>
      </c>
      <c r="F230" t="b">
        <v>1</v>
      </c>
      <c r="G230">
        <v>72.8</v>
      </c>
      <c r="H230">
        <v>0</v>
      </c>
      <c r="I230">
        <v>10898</v>
      </c>
      <c r="J230" s="61" t="s">
        <v>13</v>
      </c>
      <c r="K230" s="16" t="s">
        <v>272</v>
      </c>
      <c r="L230" s="16">
        <v>3</v>
      </c>
      <c r="M230" s="16" t="s">
        <v>277</v>
      </c>
      <c r="N230" s="16" t="s">
        <v>335</v>
      </c>
      <c r="O230" s="15" t="s">
        <v>283</v>
      </c>
      <c r="P230" t="s">
        <v>284</v>
      </c>
      <c r="Q230" t="s">
        <v>371</v>
      </c>
      <c r="R230" s="17" t="s">
        <v>371</v>
      </c>
      <c r="S230" s="16" t="s">
        <v>341</v>
      </c>
      <c r="T230" s="16" t="s">
        <v>340</v>
      </c>
      <c r="U230" s="15" t="s">
        <v>343</v>
      </c>
      <c r="V230" s="15" t="s">
        <v>344</v>
      </c>
      <c r="W230" s="17"/>
      <c r="X230" t="s">
        <v>349</v>
      </c>
      <c r="Y230" t="s">
        <v>349</v>
      </c>
      <c r="Z230" t="s">
        <v>293</v>
      </c>
      <c r="AA230" t="s">
        <v>352</v>
      </c>
      <c r="AB230" t="s">
        <v>297</v>
      </c>
      <c r="AC230" t="s">
        <v>301</v>
      </c>
      <c r="AD230" t="s">
        <v>292</v>
      </c>
      <c r="AE230" t="s">
        <v>293</v>
      </c>
      <c r="AF230" t="s">
        <v>292</v>
      </c>
      <c r="AG230" t="s">
        <v>293</v>
      </c>
      <c r="AH230" t="s">
        <v>293</v>
      </c>
      <c r="AI230" t="s">
        <v>302</v>
      </c>
      <c r="AJ230" t="s">
        <v>302</v>
      </c>
      <c r="AK230" t="s">
        <v>359</v>
      </c>
      <c r="AL230" t="s">
        <v>293</v>
      </c>
      <c r="AM230" t="s">
        <v>293</v>
      </c>
      <c r="AN230" t="s">
        <v>297</v>
      </c>
      <c r="AO230" t="s">
        <v>298</v>
      </c>
      <c r="AP230" t="s">
        <v>293</v>
      </c>
      <c r="AQ230" t="s">
        <v>292</v>
      </c>
      <c r="AR230" t="s">
        <v>293</v>
      </c>
      <c r="AS230" t="s">
        <v>293</v>
      </c>
      <c r="AT230" t="s">
        <v>364</v>
      </c>
      <c r="AU230" t="str">
        <f t="shared" si="8"/>
        <v>no_fail</v>
      </c>
    </row>
    <row r="231" spans="1:47" x14ac:dyDescent="0.3">
      <c r="A231" t="s">
        <v>43</v>
      </c>
      <c r="B231" t="s">
        <v>62</v>
      </c>
      <c r="C231" t="s">
        <v>14</v>
      </c>
      <c r="D231" t="s">
        <v>12</v>
      </c>
      <c r="E231" t="str">
        <f t="shared" si="7"/>
        <v>P_L4V-KYY-S_1B0</v>
      </c>
      <c r="F231" t="b">
        <v>1</v>
      </c>
      <c r="G231">
        <v>100</v>
      </c>
      <c r="H231">
        <v>1</v>
      </c>
      <c r="I231">
        <v>11266</v>
      </c>
      <c r="J231" s="61" t="s">
        <v>18</v>
      </c>
      <c r="K231" s="16" t="s">
        <v>272</v>
      </c>
      <c r="L231" s="16">
        <v>3</v>
      </c>
      <c r="M231" s="16" t="s">
        <v>277</v>
      </c>
      <c r="N231" s="16" t="s">
        <v>335</v>
      </c>
      <c r="O231" s="15" t="s">
        <v>282</v>
      </c>
      <c r="P231" t="s">
        <v>371</v>
      </c>
      <c r="Q231" t="s">
        <v>371</v>
      </c>
      <c r="R231" s="17" t="s">
        <v>371</v>
      </c>
      <c r="S231" s="16" t="s">
        <v>341</v>
      </c>
      <c r="T231" s="16" t="s">
        <v>342</v>
      </c>
      <c r="U231" s="15" t="s">
        <v>343</v>
      </c>
      <c r="V231" s="15" t="s">
        <v>344</v>
      </c>
      <c r="W231" s="17"/>
      <c r="X231" t="s">
        <v>349</v>
      </c>
      <c r="Y231" t="s">
        <v>349</v>
      </c>
      <c r="Z231" t="s">
        <v>293</v>
      </c>
      <c r="AA231" t="s">
        <v>353</v>
      </c>
      <c r="AB231" t="s">
        <v>297</v>
      </c>
      <c r="AC231" t="s">
        <v>301</v>
      </c>
      <c r="AD231" t="s">
        <v>292</v>
      </c>
      <c r="AE231" t="s">
        <v>293</v>
      </c>
      <c r="AF231" t="s">
        <v>292</v>
      </c>
      <c r="AG231" t="s">
        <v>293</v>
      </c>
      <c r="AH231" t="s">
        <v>293</v>
      </c>
      <c r="AI231" t="s">
        <v>302</v>
      </c>
      <c r="AJ231" t="s">
        <v>302</v>
      </c>
      <c r="AK231" t="s">
        <v>359</v>
      </c>
      <c r="AL231" t="s">
        <v>293</v>
      </c>
      <c r="AM231" t="s">
        <v>293</v>
      </c>
      <c r="AN231" t="s">
        <v>297</v>
      </c>
      <c r="AO231" t="s">
        <v>298</v>
      </c>
      <c r="AP231" t="s">
        <v>293</v>
      </c>
      <c r="AQ231" t="s">
        <v>292</v>
      </c>
      <c r="AR231" t="s">
        <v>293</v>
      </c>
      <c r="AS231" t="s">
        <v>293</v>
      </c>
      <c r="AT231" t="s">
        <v>364</v>
      </c>
      <c r="AU231" t="str">
        <f t="shared" si="8"/>
        <v>break</v>
      </c>
    </row>
    <row r="232" spans="1:47" x14ac:dyDescent="0.3">
      <c r="A232" t="s">
        <v>43</v>
      </c>
      <c r="B232" t="s">
        <v>62</v>
      </c>
      <c r="C232" t="s">
        <v>25</v>
      </c>
      <c r="D232" t="s">
        <v>12</v>
      </c>
      <c r="E232" t="str">
        <f t="shared" si="7"/>
        <v>P_L4V-KYY-S_1J8</v>
      </c>
      <c r="F232" t="b">
        <v>1</v>
      </c>
      <c r="G232">
        <v>100</v>
      </c>
      <c r="H232">
        <v>1</v>
      </c>
      <c r="I232">
        <v>9089</v>
      </c>
      <c r="J232" s="61" t="s">
        <v>18</v>
      </c>
      <c r="K232" s="16" t="s">
        <v>272</v>
      </c>
      <c r="L232" s="16">
        <v>3</v>
      </c>
      <c r="M232" s="16" t="s">
        <v>277</v>
      </c>
      <c r="N232" s="16" t="s">
        <v>335</v>
      </c>
      <c r="O232" s="15" t="s">
        <v>283</v>
      </c>
      <c r="P232" t="s">
        <v>284</v>
      </c>
      <c r="Q232" t="s">
        <v>371</v>
      </c>
      <c r="R232" s="17" t="s">
        <v>371</v>
      </c>
      <c r="S232" s="16" t="s">
        <v>341</v>
      </c>
      <c r="T232" s="16" t="s">
        <v>340</v>
      </c>
      <c r="U232" s="15" t="s">
        <v>343</v>
      </c>
      <c r="V232" s="15" t="s">
        <v>344</v>
      </c>
      <c r="W232" s="17"/>
      <c r="X232" t="s">
        <v>349</v>
      </c>
      <c r="Y232" t="s">
        <v>349</v>
      </c>
      <c r="Z232" t="s">
        <v>293</v>
      </c>
      <c r="AA232" t="s">
        <v>352</v>
      </c>
      <c r="AB232" t="s">
        <v>297</v>
      </c>
      <c r="AC232" t="s">
        <v>300</v>
      </c>
      <c r="AD232" t="s">
        <v>292</v>
      </c>
      <c r="AE232" t="s">
        <v>293</v>
      </c>
      <c r="AF232" t="s">
        <v>292</v>
      </c>
      <c r="AG232" t="s">
        <v>293</v>
      </c>
      <c r="AH232" t="s">
        <v>293</v>
      </c>
      <c r="AI232" t="s">
        <v>302</v>
      </c>
      <c r="AJ232" t="s">
        <v>302</v>
      </c>
      <c r="AK232" t="s">
        <v>359</v>
      </c>
      <c r="AL232" t="s">
        <v>293</v>
      </c>
      <c r="AM232" t="s">
        <v>293</v>
      </c>
      <c r="AN232" t="s">
        <v>297</v>
      </c>
      <c r="AO232" t="s">
        <v>298</v>
      </c>
      <c r="AP232" t="s">
        <v>293</v>
      </c>
      <c r="AQ232" t="s">
        <v>292</v>
      </c>
      <c r="AR232" t="s">
        <v>293</v>
      </c>
      <c r="AS232" t="s">
        <v>293</v>
      </c>
      <c r="AT232" t="s">
        <v>364</v>
      </c>
      <c r="AU232" t="str">
        <f t="shared" si="8"/>
        <v>break</v>
      </c>
    </row>
    <row r="233" spans="1:47" x14ac:dyDescent="0.3">
      <c r="A233" t="s">
        <v>43</v>
      </c>
      <c r="B233" t="s">
        <v>62</v>
      </c>
      <c r="C233" t="s">
        <v>11</v>
      </c>
      <c r="D233" t="s">
        <v>12</v>
      </c>
      <c r="E233" t="str">
        <f t="shared" si="7"/>
        <v>P_L4V-KYY-S_1Q4</v>
      </c>
      <c r="F233" t="b">
        <v>1</v>
      </c>
      <c r="G233">
        <v>100</v>
      </c>
      <c r="H233">
        <v>1</v>
      </c>
      <c r="I233">
        <v>10163</v>
      </c>
      <c r="J233" s="61" t="s">
        <v>18</v>
      </c>
      <c r="K233" s="16" t="s">
        <v>272</v>
      </c>
      <c r="L233" s="16">
        <v>2</v>
      </c>
      <c r="M233" s="16" t="s">
        <v>277</v>
      </c>
      <c r="N233" s="16" t="s">
        <v>335</v>
      </c>
      <c r="O233" s="15" t="s">
        <v>282</v>
      </c>
      <c r="P233" t="s">
        <v>371</v>
      </c>
      <c r="Q233" t="s">
        <v>371</v>
      </c>
      <c r="R233" s="17" t="s">
        <v>371</v>
      </c>
      <c r="S233" s="16" t="s">
        <v>341</v>
      </c>
      <c r="T233" s="16" t="s">
        <v>340</v>
      </c>
      <c r="U233" s="15" t="s">
        <v>340</v>
      </c>
      <c r="V233" s="15" t="s">
        <v>344</v>
      </c>
      <c r="W233" s="17"/>
      <c r="X233" t="s">
        <v>349</v>
      </c>
      <c r="Y233" t="s">
        <v>349</v>
      </c>
      <c r="Z233" t="s">
        <v>293</v>
      </c>
      <c r="AA233" t="s">
        <v>354</v>
      </c>
      <c r="AB233" t="s">
        <v>354</v>
      </c>
      <c r="AC233" t="s">
        <v>301</v>
      </c>
      <c r="AD233" t="s">
        <v>292</v>
      </c>
      <c r="AE233" t="s">
        <v>293</v>
      </c>
      <c r="AF233" t="s">
        <v>292</v>
      </c>
      <c r="AG233" t="s">
        <v>293</v>
      </c>
      <c r="AH233" t="s">
        <v>293</v>
      </c>
      <c r="AI233" t="s">
        <v>302</v>
      </c>
      <c r="AJ233" t="s">
        <v>302</v>
      </c>
      <c r="AK233" t="s">
        <v>357</v>
      </c>
      <c r="AL233" t="s">
        <v>293</v>
      </c>
      <c r="AM233" t="s">
        <v>293</v>
      </c>
      <c r="AN233" t="s">
        <v>297</v>
      </c>
      <c r="AO233" t="s">
        <v>298</v>
      </c>
      <c r="AP233" t="s">
        <v>293</v>
      </c>
      <c r="AQ233" t="s">
        <v>292</v>
      </c>
      <c r="AR233" t="s">
        <v>293</v>
      </c>
      <c r="AS233" t="s">
        <v>293</v>
      </c>
      <c r="AT233" t="s">
        <v>364</v>
      </c>
      <c r="AU233" t="str">
        <f t="shared" si="8"/>
        <v>break</v>
      </c>
    </row>
    <row r="234" spans="1:47" x14ac:dyDescent="0.3">
      <c r="A234" t="s">
        <v>43</v>
      </c>
      <c r="B234" t="s">
        <v>62</v>
      </c>
      <c r="C234" t="s">
        <v>24</v>
      </c>
      <c r="D234" t="s">
        <v>12</v>
      </c>
      <c r="E234" t="str">
        <f t="shared" si="7"/>
        <v>P_L4V-KYY-S_1U0</v>
      </c>
      <c r="F234" t="b">
        <v>1</v>
      </c>
      <c r="G234">
        <v>100</v>
      </c>
      <c r="H234">
        <v>1</v>
      </c>
      <c r="I234">
        <v>9273</v>
      </c>
      <c r="J234" s="61" t="s">
        <v>18</v>
      </c>
      <c r="K234" s="16" t="s">
        <v>272</v>
      </c>
      <c r="L234" s="16">
        <v>3</v>
      </c>
      <c r="M234" s="16" t="s">
        <v>277</v>
      </c>
      <c r="N234" s="16" t="s">
        <v>335</v>
      </c>
      <c r="O234" s="15" t="s">
        <v>283</v>
      </c>
      <c r="P234" t="s">
        <v>284</v>
      </c>
      <c r="Q234" t="s">
        <v>371</v>
      </c>
      <c r="R234" s="17" t="s">
        <v>371</v>
      </c>
      <c r="S234" s="16" t="s">
        <v>341</v>
      </c>
      <c r="T234" s="16" t="s">
        <v>340</v>
      </c>
      <c r="U234" s="15" t="s">
        <v>343</v>
      </c>
      <c r="V234" s="15" t="s">
        <v>344</v>
      </c>
      <c r="W234" s="17" t="s">
        <v>345</v>
      </c>
      <c r="X234" t="s">
        <v>349</v>
      </c>
      <c r="Y234" t="s">
        <v>349</v>
      </c>
      <c r="Z234" t="s">
        <v>293</v>
      </c>
      <c r="AA234" t="s">
        <v>352</v>
      </c>
      <c r="AB234" t="s">
        <v>297</v>
      </c>
      <c r="AC234" t="s">
        <v>300</v>
      </c>
      <c r="AD234" t="s">
        <v>292</v>
      </c>
      <c r="AE234" t="s">
        <v>293</v>
      </c>
      <c r="AF234" t="s">
        <v>292</v>
      </c>
      <c r="AG234" t="s">
        <v>293</v>
      </c>
      <c r="AH234" t="s">
        <v>293</v>
      </c>
      <c r="AI234" t="s">
        <v>302</v>
      </c>
      <c r="AJ234" t="s">
        <v>302</v>
      </c>
      <c r="AK234" t="s">
        <v>359</v>
      </c>
      <c r="AL234" t="s">
        <v>293</v>
      </c>
      <c r="AM234" t="s">
        <v>293</v>
      </c>
      <c r="AN234" t="s">
        <v>297</v>
      </c>
      <c r="AO234" t="s">
        <v>298</v>
      </c>
      <c r="AP234" t="s">
        <v>293</v>
      </c>
      <c r="AQ234" t="s">
        <v>292</v>
      </c>
      <c r="AR234" t="s">
        <v>293</v>
      </c>
      <c r="AS234" t="s">
        <v>293</v>
      </c>
      <c r="AT234" t="s">
        <v>364</v>
      </c>
      <c r="AU234" t="str">
        <f t="shared" si="8"/>
        <v>break</v>
      </c>
    </row>
    <row r="235" spans="1:47" x14ac:dyDescent="0.3">
      <c r="A235" t="s">
        <v>43</v>
      </c>
      <c r="B235" t="s">
        <v>62</v>
      </c>
      <c r="C235" t="s">
        <v>21</v>
      </c>
      <c r="D235" t="s">
        <v>12</v>
      </c>
      <c r="E235" t="str">
        <f t="shared" si="7"/>
        <v>P_L4V-KYY-S_3X6</v>
      </c>
      <c r="F235" t="b">
        <v>1</v>
      </c>
      <c r="G235">
        <v>95</v>
      </c>
      <c r="H235">
        <v>0</v>
      </c>
      <c r="I235">
        <v>8461</v>
      </c>
      <c r="J235" s="61" t="s">
        <v>13</v>
      </c>
      <c r="K235" s="16" t="s">
        <v>272</v>
      </c>
      <c r="L235" s="16">
        <v>3</v>
      </c>
      <c r="M235" s="16" t="s">
        <v>277</v>
      </c>
      <c r="N235" s="16" t="s">
        <v>335</v>
      </c>
      <c r="O235" s="15" t="s">
        <v>282</v>
      </c>
      <c r="P235" t="s">
        <v>371</v>
      </c>
      <c r="Q235" t="s">
        <v>371</v>
      </c>
      <c r="R235" s="17" t="s">
        <v>371</v>
      </c>
      <c r="S235" s="16" t="s">
        <v>341</v>
      </c>
      <c r="T235" s="16" t="s">
        <v>342</v>
      </c>
      <c r="U235" s="15" t="s">
        <v>343</v>
      </c>
      <c r="V235" s="15" t="s">
        <v>344</v>
      </c>
      <c r="W235" s="17"/>
      <c r="X235" t="s">
        <v>349</v>
      </c>
      <c r="Y235" t="s">
        <v>349</v>
      </c>
      <c r="Z235" t="s">
        <v>293</v>
      </c>
      <c r="AA235" t="s">
        <v>353</v>
      </c>
      <c r="AB235" t="s">
        <v>297</v>
      </c>
      <c r="AC235" t="s">
        <v>299</v>
      </c>
      <c r="AD235" t="s">
        <v>292</v>
      </c>
      <c r="AE235" t="s">
        <v>293</v>
      </c>
      <c r="AF235" t="s">
        <v>292</v>
      </c>
      <c r="AG235" t="s">
        <v>293</v>
      </c>
      <c r="AH235" t="s">
        <v>293</v>
      </c>
      <c r="AI235" t="s">
        <v>302</v>
      </c>
      <c r="AJ235" t="s">
        <v>302</v>
      </c>
      <c r="AK235" t="s">
        <v>359</v>
      </c>
      <c r="AL235" t="s">
        <v>293</v>
      </c>
      <c r="AM235" t="s">
        <v>293</v>
      </c>
      <c r="AN235" t="s">
        <v>297</v>
      </c>
      <c r="AO235" t="s">
        <v>298</v>
      </c>
      <c r="AP235" t="s">
        <v>293</v>
      </c>
      <c r="AQ235" t="s">
        <v>292</v>
      </c>
      <c r="AR235" t="s">
        <v>293</v>
      </c>
      <c r="AS235" t="s">
        <v>293</v>
      </c>
      <c r="AT235" t="s">
        <v>364</v>
      </c>
      <c r="AU235" t="str">
        <f t="shared" si="8"/>
        <v>no_fail</v>
      </c>
    </row>
    <row r="236" spans="1:47" x14ac:dyDescent="0.3">
      <c r="A236" t="s">
        <v>43</v>
      </c>
      <c r="B236" t="s">
        <v>62</v>
      </c>
      <c r="C236" t="s">
        <v>30</v>
      </c>
      <c r="D236" t="s">
        <v>12</v>
      </c>
      <c r="E236" t="str">
        <f t="shared" si="7"/>
        <v>P_L4V-KYY-S_3X7</v>
      </c>
      <c r="F236" t="b">
        <v>1</v>
      </c>
      <c r="G236">
        <v>100</v>
      </c>
      <c r="H236">
        <v>1</v>
      </c>
      <c r="I236">
        <v>9373</v>
      </c>
      <c r="J236" s="61" t="s">
        <v>18</v>
      </c>
      <c r="K236" s="16" t="s">
        <v>272</v>
      </c>
      <c r="L236" s="16">
        <v>3</v>
      </c>
      <c r="M236" s="16" t="s">
        <v>277</v>
      </c>
      <c r="N236" s="16" t="s">
        <v>335</v>
      </c>
      <c r="O236" s="15" t="s">
        <v>283</v>
      </c>
      <c r="P236" t="s">
        <v>284</v>
      </c>
      <c r="Q236" t="s">
        <v>371</v>
      </c>
      <c r="R236" s="17" t="s">
        <v>371</v>
      </c>
      <c r="S236" s="16" t="s">
        <v>341</v>
      </c>
      <c r="T236" s="16" t="s">
        <v>340</v>
      </c>
      <c r="U236" s="15" t="s">
        <v>343</v>
      </c>
      <c r="V236" s="15" t="s">
        <v>344</v>
      </c>
      <c r="W236" s="17"/>
      <c r="X236" t="s">
        <v>349</v>
      </c>
      <c r="Y236" t="s">
        <v>349</v>
      </c>
      <c r="Z236" t="s">
        <v>293</v>
      </c>
      <c r="AA236" t="s">
        <v>353</v>
      </c>
      <c r="AB236" t="s">
        <v>297</v>
      </c>
      <c r="AC236" t="s">
        <v>299</v>
      </c>
      <c r="AD236" t="s">
        <v>292</v>
      </c>
      <c r="AE236" t="s">
        <v>293</v>
      </c>
      <c r="AF236" t="s">
        <v>292</v>
      </c>
      <c r="AG236" t="s">
        <v>293</v>
      </c>
      <c r="AH236" t="s">
        <v>293</v>
      </c>
      <c r="AI236" t="s">
        <v>302</v>
      </c>
      <c r="AJ236" t="s">
        <v>302</v>
      </c>
      <c r="AK236" t="s">
        <v>359</v>
      </c>
      <c r="AL236" t="s">
        <v>293</v>
      </c>
      <c r="AM236" t="s">
        <v>293</v>
      </c>
      <c r="AN236" t="s">
        <v>297</v>
      </c>
      <c r="AO236" t="s">
        <v>298</v>
      </c>
      <c r="AP236" t="s">
        <v>293</v>
      </c>
      <c r="AQ236" t="s">
        <v>292</v>
      </c>
      <c r="AR236" t="s">
        <v>293</v>
      </c>
      <c r="AS236" t="s">
        <v>293</v>
      </c>
      <c r="AT236" t="s">
        <v>364</v>
      </c>
      <c r="AU236" t="str">
        <f t="shared" si="8"/>
        <v>break</v>
      </c>
    </row>
    <row r="237" spans="1:47" x14ac:dyDescent="0.3">
      <c r="A237" t="s">
        <v>43</v>
      </c>
      <c r="B237" t="s">
        <v>62</v>
      </c>
      <c r="C237" t="s">
        <v>19</v>
      </c>
      <c r="D237" t="s">
        <v>12</v>
      </c>
      <c r="E237" t="str">
        <f t="shared" si="7"/>
        <v>P_L4V-KYY-S_4U3</v>
      </c>
      <c r="F237" t="b">
        <v>1</v>
      </c>
      <c r="G237">
        <v>95.7</v>
      </c>
      <c r="H237">
        <v>0</v>
      </c>
      <c r="I237">
        <v>8638</v>
      </c>
      <c r="J237" s="61" t="s">
        <v>13</v>
      </c>
      <c r="K237" s="16" t="s">
        <v>272</v>
      </c>
      <c r="L237" s="16">
        <v>3</v>
      </c>
      <c r="M237" s="16" t="s">
        <v>277</v>
      </c>
      <c r="N237" s="16" t="s">
        <v>335</v>
      </c>
      <c r="O237" s="15" t="s">
        <v>282</v>
      </c>
      <c r="P237" t="s">
        <v>371</v>
      </c>
      <c r="Q237" t="s">
        <v>371</v>
      </c>
      <c r="R237" s="17" t="s">
        <v>371</v>
      </c>
      <c r="S237" s="16" t="s">
        <v>341</v>
      </c>
      <c r="T237" s="16" t="s">
        <v>342</v>
      </c>
      <c r="U237" s="15" t="s">
        <v>343</v>
      </c>
      <c r="V237" s="15" t="s">
        <v>344</v>
      </c>
      <c r="W237" s="17"/>
      <c r="X237" t="s">
        <v>349</v>
      </c>
      <c r="Y237" t="s">
        <v>349</v>
      </c>
      <c r="Z237" t="s">
        <v>293</v>
      </c>
      <c r="AA237" t="s">
        <v>353</v>
      </c>
      <c r="AB237" t="s">
        <v>297</v>
      </c>
      <c r="AC237" t="s">
        <v>299</v>
      </c>
      <c r="AD237" t="s">
        <v>292</v>
      </c>
      <c r="AE237" t="s">
        <v>293</v>
      </c>
      <c r="AF237" t="s">
        <v>292</v>
      </c>
      <c r="AG237" t="s">
        <v>293</v>
      </c>
      <c r="AH237" t="s">
        <v>293</v>
      </c>
      <c r="AI237" t="s">
        <v>302</v>
      </c>
      <c r="AJ237" t="s">
        <v>302</v>
      </c>
      <c r="AK237" t="s">
        <v>359</v>
      </c>
      <c r="AL237" t="s">
        <v>293</v>
      </c>
      <c r="AM237" t="s">
        <v>293</v>
      </c>
      <c r="AN237" t="s">
        <v>297</v>
      </c>
      <c r="AO237" t="s">
        <v>298</v>
      </c>
      <c r="AP237" t="s">
        <v>293</v>
      </c>
      <c r="AQ237" t="s">
        <v>292</v>
      </c>
      <c r="AR237" t="s">
        <v>293</v>
      </c>
      <c r="AS237" t="s">
        <v>293</v>
      </c>
      <c r="AT237" t="s">
        <v>364</v>
      </c>
      <c r="AU237" t="str">
        <f t="shared" si="8"/>
        <v>no_fail</v>
      </c>
    </row>
    <row r="238" spans="1:47" x14ac:dyDescent="0.3">
      <c r="A238" t="s">
        <v>43</v>
      </c>
      <c r="B238" t="s">
        <v>62</v>
      </c>
      <c r="C238" t="s">
        <v>17</v>
      </c>
      <c r="D238" t="s">
        <v>12</v>
      </c>
      <c r="E238" t="str">
        <f t="shared" si="7"/>
        <v>P_L4V-KYY-S_6B5</v>
      </c>
      <c r="F238" t="b">
        <v>1</v>
      </c>
      <c r="G238">
        <v>95.6</v>
      </c>
      <c r="H238">
        <v>0</v>
      </c>
      <c r="I238">
        <v>8818</v>
      </c>
      <c r="J238" s="61" t="s">
        <v>13</v>
      </c>
      <c r="K238" s="16" t="s">
        <v>272</v>
      </c>
      <c r="L238" s="16">
        <v>3</v>
      </c>
      <c r="M238" s="16" t="s">
        <v>277</v>
      </c>
      <c r="N238" s="16" t="s">
        <v>335</v>
      </c>
      <c r="O238" s="15" t="s">
        <v>282</v>
      </c>
      <c r="P238" t="s">
        <v>371</v>
      </c>
      <c r="Q238" t="s">
        <v>371</v>
      </c>
      <c r="R238" s="17" t="s">
        <v>371</v>
      </c>
      <c r="S238" s="16" t="s">
        <v>341</v>
      </c>
      <c r="T238" s="16" t="s">
        <v>342</v>
      </c>
      <c r="U238" s="15" t="s">
        <v>343</v>
      </c>
      <c r="V238" s="15" t="s">
        <v>344</v>
      </c>
      <c r="W238" s="17"/>
      <c r="X238" t="s">
        <v>349</v>
      </c>
      <c r="Y238" t="s">
        <v>349</v>
      </c>
      <c r="Z238" t="s">
        <v>293</v>
      </c>
      <c r="AA238" t="s">
        <v>353</v>
      </c>
      <c r="AB238" t="s">
        <v>297</v>
      </c>
      <c r="AC238" t="s">
        <v>299</v>
      </c>
      <c r="AD238" t="s">
        <v>292</v>
      </c>
      <c r="AE238" t="s">
        <v>293</v>
      </c>
      <c r="AF238" t="s">
        <v>292</v>
      </c>
      <c r="AG238" t="s">
        <v>293</v>
      </c>
      <c r="AH238" t="s">
        <v>293</v>
      </c>
      <c r="AI238" t="s">
        <v>302</v>
      </c>
      <c r="AJ238" t="s">
        <v>302</v>
      </c>
      <c r="AK238" t="s">
        <v>359</v>
      </c>
      <c r="AL238" t="s">
        <v>293</v>
      </c>
      <c r="AM238" t="s">
        <v>293</v>
      </c>
      <c r="AN238" t="s">
        <v>297</v>
      </c>
      <c r="AO238" t="s">
        <v>298</v>
      </c>
      <c r="AP238" t="s">
        <v>293</v>
      </c>
      <c r="AQ238" t="s">
        <v>292</v>
      </c>
      <c r="AR238" t="s">
        <v>293</v>
      </c>
      <c r="AS238" t="s">
        <v>293</v>
      </c>
      <c r="AT238" t="s">
        <v>364</v>
      </c>
      <c r="AU238" t="str">
        <f t="shared" si="8"/>
        <v>no_fail</v>
      </c>
    </row>
    <row r="239" spans="1:47" x14ac:dyDescent="0.3">
      <c r="A239" t="s">
        <v>43</v>
      </c>
      <c r="B239" t="s">
        <v>62</v>
      </c>
      <c r="C239" t="s">
        <v>16</v>
      </c>
      <c r="D239" t="s">
        <v>12</v>
      </c>
      <c r="E239" t="str">
        <f t="shared" si="7"/>
        <v>P_L4V-KYY-S_6U7</v>
      </c>
      <c r="F239" t="b">
        <v>1</v>
      </c>
      <c r="G239">
        <v>60.2</v>
      </c>
      <c r="H239">
        <v>0</v>
      </c>
      <c r="I239">
        <v>10461</v>
      </c>
      <c r="J239" s="61" t="s">
        <v>13</v>
      </c>
      <c r="K239" s="16" t="s">
        <v>272</v>
      </c>
      <c r="L239" s="16">
        <v>3</v>
      </c>
      <c r="M239" s="16" t="s">
        <v>277</v>
      </c>
      <c r="N239" s="16" t="s">
        <v>335</v>
      </c>
      <c r="O239" s="15" t="s">
        <v>282</v>
      </c>
      <c r="P239" t="s">
        <v>371</v>
      </c>
      <c r="Q239" t="s">
        <v>371</v>
      </c>
      <c r="R239" s="17" t="s">
        <v>371</v>
      </c>
      <c r="S239" s="16" t="s">
        <v>341</v>
      </c>
      <c r="T239" s="16" t="s">
        <v>342</v>
      </c>
      <c r="U239" s="15" t="s">
        <v>343</v>
      </c>
      <c r="V239" s="15" t="s">
        <v>344</v>
      </c>
      <c r="W239" s="17"/>
      <c r="X239" t="s">
        <v>349</v>
      </c>
      <c r="Y239" t="s">
        <v>349</v>
      </c>
      <c r="Z239" t="s">
        <v>293</v>
      </c>
      <c r="AA239" t="s">
        <v>353</v>
      </c>
      <c r="AB239" t="s">
        <v>297</v>
      </c>
      <c r="AC239" t="s">
        <v>300</v>
      </c>
      <c r="AD239" t="s">
        <v>292</v>
      </c>
      <c r="AE239" t="s">
        <v>293</v>
      </c>
      <c r="AF239" t="s">
        <v>292</v>
      </c>
      <c r="AG239" t="s">
        <v>293</v>
      </c>
      <c r="AH239" t="s">
        <v>293</v>
      </c>
      <c r="AI239" t="s">
        <v>302</v>
      </c>
      <c r="AJ239" t="s">
        <v>302</v>
      </c>
      <c r="AK239" t="s">
        <v>359</v>
      </c>
      <c r="AL239" t="s">
        <v>293</v>
      </c>
      <c r="AM239" t="s">
        <v>293</v>
      </c>
      <c r="AN239" t="s">
        <v>297</v>
      </c>
      <c r="AO239" t="s">
        <v>298</v>
      </c>
      <c r="AP239" t="s">
        <v>293</v>
      </c>
      <c r="AQ239" t="s">
        <v>292</v>
      </c>
      <c r="AR239" t="s">
        <v>293</v>
      </c>
      <c r="AS239" t="s">
        <v>293</v>
      </c>
      <c r="AT239" t="s">
        <v>364</v>
      </c>
      <c r="AU239" t="str">
        <f t="shared" si="8"/>
        <v>no_fail</v>
      </c>
    </row>
    <row r="240" spans="1:47" x14ac:dyDescent="0.3">
      <c r="A240" t="s">
        <v>43</v>
      </c>
      <c r="B240" t="s">
        <v>62</v>
      </c>
      <c r="C240" t="s">
        <v>20</v>
      </c>
      <c r="D240" t="s">
        <v>12</v>
      </c>
      <c r="E240" t="str">
        <f t="shared" si="7"/>
        <v>P_L4V-KYY-S_7W0</v>
      </c>
      <c r="F240" t="b">
        <v>1</v>
      </c>
      <c r="G240">
        <v>100</v>
      </c>
      <c r="H240">
        <v>1</v>
      </c>
      <c r="I240">
        <v>8390</v>
      </c>
      <c r="J240" s="61" t="s">
        <v>18</v>
      </c>
      <c r="K240" s="16" t="s">
        <v>272</v>
      </c>
      <c r="L240" s="16">
        <v>3</v>
      </c>
      <c r="M240" s="16" t="s">
        <v>277</v>
      </c>
      <c r="N240" s="16" t="s">
        <v>335</v>
      </c>
      <c r="O240" s="15" t="s">
        <v>282</v>
      </c>
      <c r="P240" t="s">
        <v>371</v>
      </c>
      <c r="Q240" t="s">
        <v>371</v>
      </c>
      <c r="R240" s="17" t="s">
        <v>371</v>
      </c>
      <c r="S240" s="16" t="s">
        <v>341</v>
      </c>
      <c r="T240" s="16" t="s">
        <v>342</v>
      </c>
      <c r="U240" s="15" t="s">
        <v>343</v>
      </c>
      <c r="V240" s="15" t="s">
        <v>345</v>
      </c>
      <c r="W240" s="17"/>
      <c r="X240" t="s">
        <v>349</v>
      </c>
      <c r="Y240" t="s">
        <v>349</v>
      </c>
      <c r="Z240" t="s">
        <v>293</v>
      </c>
      <c r="AA240" t="s">
        <v>353</v>
      </c>
      <c r="AB240" t="s">
        <v>297</v>
      </c>
      <c r="AC240" t="s">
        <v>299</v>
      </c>
      <c r="AD240" t="s">
        <v>292</v>
      </c>
      <c r="AE240" t="s">
        <v>293</v>
      </c>
      <c r="AF240" t="s">
        <v>292</v>
      </c>
      <c r="AG240" t="s">
        <v>293</v>
      </c>
      <c r="AH240" t="s">
        <v>293</v>
      </c>
      <c r="AI240" t="s">
        <v>302</v>
      </c>
      <c r="AJ240" t="s">
        <v>302</v>
      </c>
      <c r="AK240" t="s">
        <v>359</v>
      </c>
      <c r="AL240" t="s">
        <v>293</v>
      </c>
      <c r="AM240" t="s">
        <v>293</v>
      </c>
      <c r="AN240" t="s">
        <v>297</v>
      </c>
      <c r="AO240" t="s">
        <v>298</v>
      </c>
      <c r="AP240" t="s">
        <v>293</v>
      </c>
      <c r="AQ240" t="s">
        <v>292</v>
      </c>
      <c r="AR240" t="s">
        <v>362</v>
      </c>
      <c r="AS240" t="s">
        <v>293</v>
      </c>
      <c r="AT240" t="s">
        <v>364</v>
      </c>
      <c r="AU240" t="str">
        <f t="shared" si="8"/>
        <v>break</v>
      </c>
    </row>
    <row r="241" spans="1:47" x14ac:dyDescent="0.3">
      <c r="A241" t="s">
        <v>43</v>
      </c>
      <c r="B241" t="s">
        <v>62</v>
      </c>
      <c r="C241" t="s">
        <v>26</v>
      </c>
      <c r="D241" t="s">
        <v>12</v>
      </c>
      <c r="E241" t="str">
        <f t="shared" si="7"/>
        <v>P_L4V-KYY-S_8O8</v>
      </c>
      <c r="F241" t="b">
        <v>1</v>
      </c>
      <c r="G241">
        <v>100</v>
      </c>
      <c r="H241">
        <v>1</v>
      </c>
      <c r="I241">
        <v>9293</v>
      </c>
      <c r="J241" s="61" t="s">
        <v>18</v>
      </c>
      <c r="K241" s="16" t="s">
        <v>272</v>
      </c>
      <c r="L241" s="16">
        <v>3</v>
      </c>
      <c r="M241" s="16" t="s">
        <v>277</v>
      </c>
      <c r="N241" s="16" t="s">
        <v>335</v>
      </c>
      <c r="O241" s="15" t="s">
        <v>283</v>
      </c>
      <c r="P241" t="s">
        <v>284</v>
      </c>
      <c r="Q241" t="s">
        <v>371</v>
      </c>
      <c r="R241" s="17" t="s">
        <v>371</v>
      </c>
      <c r="S241" s="16" t="s">
        <v>341</v>
      </c>
      <c r="T241" s="16" t="s">
        <v>340</v>
      </c>
      <c r="U241" s="15" t="s">
        <v>343</v>
      </c>
      <c r="V241" s="15" t="s">
        <v>345</v>
      </c>
      <c r="W241" s="17"/>
      <c r="X241" t="s">
        <v>349</v>
      </c>
      <c r="Y241" t="s">
        <v>349</v>
      </c>
      <c r="Z241" t="s">
        <v>293</v>
      </c>
      <c r="AA241" t="s">
        <v>352</v>
      </c>
      <c r="AB241" t="s">
        <v>297</v>
      </c>
      <c r="AC241" t="s">
        <v>300</v>
      </c>
      <c r="AD241" t="s">
        <v>292</v>
      </c>
      <c r="AE241" t="s">
        <v>293</v>
      </c>
      <c r="AF241" t="s">
        <v>292</v>
      </c>
      <c r="AG241" t="s">
        <v>293</v>
      </c>
      <c r="AH241" t="s">
        <v>293</v>
      </c>
      <c r="AI241" t="s">
        <v>302</v>
      </c>
      <c r="AJ241" t="s">
        <v>302</v>
      </c>
      <c r="AK241" t="s">
        <v>359</v>
      </c>
      <c r="AL241" t="s">
        <v>293</v>
      </c>
      <c r="AM241" t="s">
        <v>293</v>
      </c>
      <c r="AN241" t="s">
        <v>297</v>
      </c>
      <c r="AO241" t="s">
        <v>298</v>
      </c>
      <c r="AP241" t="s">
        <v>293</v>
      </c>
      <c r="AQ241" t="s">
        <v>292</v>
      </c>
      <c r="AR241" t="s">
        <v>293</v>
      </c>
      <c r="AS241" t="s">
        <v>293</v>
      </c>
      <c r="AT241" t="s">
        <v>364</v>
      </c>
      <c r="AU241" t="str">
        <f t="shared" si="8"/>
        <v>break</v>
      </c>
    </row>
    <row r="242" spans="1:47" x14ac:dyDescent="0.3">
      <c r="A242" t="s">
        <v>43</v>
      </c>
      <c r="B242" t="s">
        <v>62</v>
      </c>
      <c r="C242" t="s">
        <v>22</v>
      </c>
      <c r="D242" t="s">
        <v>12</v>
      </c>
      <c r="E242" t="str">
        <f t="shared" si="7"/>
        <v>P_L4V-KYY-S_9B4</v>
      </c>
      <c r="F242" t="b">
        <v>1</v>
      </c>
      <c r="G242">
        <v>100</v>
      </c>
      <c r="H242">
        <v>1</v>
      </c>
      <c r="I242">
        <v>10552</v>
      </c>
      <c r="J242" s="61" t="s">
        <v>18</v>
      </c>
      <c r="K242" s="16" t="s">
        <v>272</v>
      </c>
      <c r="L242" s="16">
        <v>2</v>
      </c>
      <c r="M242" s="16" t="s">
        <v>277</v>
      </c>
      <c r="N242" s="16" t="s">
        <v>335</v>
      </c>
      <c r="O242" s="15" t="s">
        <v>283</v>
      </c>
      <c r="P242" t="s">
        <v>284</v>
      </c>
      <c r="Q242" t="s">
        <v>371</v>
      </c>
      <c r="R242" s="17" t="s">
        <v>371</v>
      </c>
      <c r="S242" s="16" t="s">
        <v>341</v>
      </c>
      <c r="T242" s="16" t="s">
        <v>340</v>
      </c>
      <c r="U242" s="15" t="s">
        <v>340</v>
      </c>
      <c r="V242" s="15" t="s">
        <v>344</v>
      </c>
      <c r="W242" s="17"/>
      <c r="X242" t="s">
        <v>349</v>
      </c>
      <c r="Y242" t="s">
        <v>349</v>
      </c>
      <c r="Z242" t="s">
        <v>293</v>
      </c>
      <c r="AA242" t="s">
        <v>354</v>
      </c>
      <c r="AB242" t="s">
        <v>354</v>
      </c>
      <c r="AC242" t="s">
        <v>301</v>
      </c>
      <c r="AD242" t="s">
        <v>292</v>
      </c>
      <c r="AE242" t="s">
        <v>293</v>
      </c>
      <c r="AF242" t="s">
        <v>292</v>
      </c>
      <c r="AG242" t="s">
        <v>293</v>
      </c>
      <c r="AH242" t="s">
        <v>293</v>
      </c>
      <c r="AI242" t="s">
        <v>302</v>
      </c>
      <c r="AJ242" t="s">
        <v>302</v>
      </c>
      <c r="AK242" t="s">
        <v>357</v>
      </c>
      <c r="AL242" t="s">
        <v>293</v>
      </c>
      <c r="AM242" t="s">
        <v>293</v>
      </c>
      <c r="AN242" t="s">
        <v>297</v>
      </c>
      <c r="AO242" t="s">
        <v>298</v>
      </c>
      <c r="AP242" t="s">
        <v>293</v>
      </c>
      <c r="AQ242" t="s">
        <v>292</v>
      </c>
      <c r="AR242" t="s">
        <v>293</v>
      </c>
      <c r="AS242" t="s">
        <v>293</v>
      </c>
      <c r="AT242" t="s">
        <v>364</v>
      </c>
      <c r="AU242" t="str">
        <f t="shared" si="8"/>
        <v>break</v>
      </c>
    </row>
    <row r="243" spans="1:47" x14ac:dyDescent="0.3">
      <c r="A243" t="s">
        <v>43</v>
      </c>
      <c r="B243" t="s">
        <v>62</v>
      </c>
      <c r="C243" t="s">
        <v>31</v>
      </c>
      <c r="D243" t="s">
        <v>12</v>
      </c>
      <c r="E243" t="str">
        <f t="shared" si="7"/>
        <v>P_L4V-KYY-S_9E0</v>
      </c>
      <c r="F243" t="b">
        <v>1</v>
      </c>
      <c r="G243">
        <v>85.4</v>
      </c>
      <c r="H243">
        <v>0</v>
      </c>
      <c r="I243">
        <v>9437</v>
      </c>
      <c r="J243" s="61" t="s">
        <v>13</v>
      </c>
      <c r="K243" s="16" t="s">
        <v>272</v>
      </c>
      <c r="L243" s="16">
        <v>3</v>
      </c>
      <c r="M243" s="16" t="s">
        <v>277</v>
      </c>
      <c r="N243" s="16" t="s">
        <v>335</v>
      </c>
      <c r="O243" s="15" t="s">
        <v>283</v>
      </c>
      <c r="P243" t="s">
        <v>284</v>
      </c>
      <c r="Q243" t="s">
        <v>371</v>
      </c>
      <c r="R243" s="17" t="s">
        <v>371</v>
      </c>
      <c r="S243" s="16" t="s">
        <v>341</v>
      </c>
      <c r="T243" s="16" t="s">
        <v>340</v>
      </c>
      <c r="U243" s="15" t="s">
        <v>343</v>
      </c>
      <c r="V243" s="15" t="s">
        <v>344</v>
      </c>
      <c r="W243" s="17"/>
      <c r="X243" t="s">
        <v>349</v>
      </c>
      <c r="Y243" t="s">
        <v>349</v>
      </c>
      <c r="Z243" t="s">
        <v>293</v>
      </c>
      <c r="AA243" t="s">
        <v>353</v>
      </c>
      <c r="AB243" t="s">
        <v>297</v>
      </c>
      <c r="AC243" t="s">
        <v>300</v>
      </c>
      <c r="AD243" t="s">
        <v>292</v>
      </c>
      <c r="AE243" t="s">
        <v>293</v>
      </c>
      <c r="AF243" t="s">
        <v>292</v>
      </c>
      <c r="AG243" t="s">
        <v>293</v>
      </c>
      <c r="AH243" t="s">
        <v>293</v>
      </c>
      <c r="AI243" t="s">
        <v>302</v>
      </c>
      <c r="AJ243" t="s">
        <v>302</v>
      </c>
      <c r="AK243" t="s">
        <v>359</v>
      </c>
      <c r="AL243" t="s">
        <v>293</v>
      </c>
      <c r="AM243" t="s">
        <v>293</v>
      </c>
      <c r="AN243" t="s">
        <v>297</v>
      </c>
      <c r="AO243" t="s">
        <v>298</v>
      </c>
      <c r="AP243" t="s">
        <v>293</v>
      </c>
      <c r="AQ243" t="s">
        <v>292</v>
      </c>
      <c r="AR243" t="s">
        <v>293</v>
      </c>
      <c r="AS243" t="s">
        <v>293</v>
      </c>
      <c r="AT243" t="s">
        <v>364</v>
      </c>
      <c r="AU243" t="str">
        <f t="shared" si="8"/>
        <v>no_fail</v>
      </c>
    </row>
    <row r="244" spans="1:47" x14ac:dyDescent="0.3">
      <c r="A244" t="s">
        <v>43</v>
      </c>
      <c r="B244" t="s">
        <v>62</v>
      </c>
      <c r="C244" t="s">
        <v>27</v>
      </c>
      <c r="D244" t="s">
        <v>12</v>
      </c>
      <c r="E244" t="str">
        <f t="shared" si="7"/>
        <v>P_L4V-KYY-S_9F6</v>
      </c>
      <c r="F244" t="b">
        <v>1</v>
      </c>
      <c r="G244">
        <v>100</v>
      </c>
      <c r="H244">
        <v>1</v>
      </c>
      <c r="I244">
        <v>9749</v>
      </c>
      <c r="J244" s="61" t="s">
        <v>18</v>
      </c>
      <c r="K244" s="16" t="s">
        <v>272</v>
      </c>
      <c r="L244" s="16">
        <v>3</v>
      </c>
      <c r="M244" s="16" t="s">
        <v>277</v>
      </c>
      <c r="N244" s="16" t="s">
        <v>335</v>
      </c>
      <c r="O244" s="15" t="s">
        <v>283</v>
      </c>
      <c r="P244" t="s">
        <v>284</v>
      </c>
      <c r="Q244" t="s">
        <v>371</v>
      </c>
      <c r="R244" s="17" t="s">
        <v>371</v>
      </c>
      <c r="S244" s="16" t="s">
        <v>341</v>
      </c>
      <c r="T244" s="16" t="s">
        <v>340</v>
      </c>
      <c r="U244" s="15" t="s">
        <v>343</v>
      </c>
      <c r="V244" s="15" t="s">
        <v>344</v>
      </c>
      <c r="W244" s="17"/>
      <c r="X244" t="s">
        <v>349</v>
      </c>
      <c r="Y244" t="s">
        <v>349</v>
      </c>
      <c r="Z244" t="s">
        <v>293</v>
      </c>
      <c r="AA244" t="s">
        <v>353</v>
      </c>
      <c r="AB244" t="s">
        <v>297</v>
      </c>
      <c r="AC244" t="s">
        <v>300</v>
      </c>
      <c r="AD244" t="s">
        <v>292</v>
      </c>
      <c r="AE244" t="s">
        <v>293</v>
      </c>
      <c r="AF244" t="s">
        <v>292</v>
      </c>
      <c r="AG244" t="s">
        <v>293</v>
      </c>
      <c r="AH244" t="s">
        <v>293</v>
      </c>
      <c r="AI244" t="s">
        <v>302</v>
      </c>
      <c r="AJ244" t="s">
        <v>302</v>
      </c>
      <c r="AK244" t="s">
        <v>359</v>
      </c>
      <c r="AL244" t="s">
        <v>293</v>
      </c>
      <c r="AM244" t="s">
        <v>293</v>
      </c>
      <c r="AN244" t="s">
        <v>297</v>
      </c>
      <c r="AO244" t="s">
        <v>298</v>
      </c>
      <c r="AP244" t="s">
        <v>293</v>
      </c>
      <c r="AQ244" t="s">
        <v>292</v>
      </c>
      <c r="AR244" t="s">
        <v>293</v>
      </c>
      <c r="AS244" t="s">
        <v>293</v>
      </c>
      <c r="AT244" t="s">
        <v>364</v>
      </c>
      <c r="AU244" t="str">
        <f t="shared" si="8"/>
        <v>break</v>
      </c>
    </row>
    <row r="245" spans="1:47" x14ac:dyDescent="0.3">
      <c r="A245" t="s">
        <v>43</v>
      </c>
      <c r="B245" t="s">
        <v>62</v>
      </c>
      <c r="C245" t="s">
        <v>28</v>
      </c>
      <c r="D245" t="s">
        <v>12</v>
      </c>
      <c r="E245" t="str">
        <f t="shared" si="7"/>
        <v>P_L4V-KYY-S_9T2</v>
      </c>
      <c r="F245" t="b">
        <v>1</v>
      </c>
      <c r="G245">
        <v>89.3</v>
      </c>
      <c r="H245">
        <v>0</v>
      </c>
      <c r="I245">
        <v>9757</v>
      </c>
      <c r="J245" s="61" t="s">
        <v>13</v>
      </c>
      <c r="K245" s="16" t="s">
        <v>272</v>
      </c>
      <c r="L245" s="16">
        <v>3</v>
      </c>
      <c r="M245" s="16" t="s">
        <v>277</v>
      </c>
      <c r="N245" s="16" t="s">
        <v>335</v>
      </c>
      <c r="O245" s="15" t="s">
        <v>283</v>
      </c>
      <c r="P245" t="s">
        <v>284</v>
      </c>
      <c r="Q245" t="s">
        <v>371</v>
      </c>
      <c r="R245" s="17" t="s">
        <v>371</v>
      </c>
      <c r="S245" s="16" t="s">
        <v>341</v>
      </c>
      <c r="T245" s="16" t="s">
        <v>340</v>
      </c>
      <c r="U245" s="15" t="s">
        <v>343</v>
      </c>
      <c r="V245" s="15" t="s">
        <v>344</v>
      </c>
      <c r="W245" s="17"/>
      <c r="X245" t="s">
        <v>349</v>
      </c>
      <c r="Y245" t="s">
        <v>349</v>
      </c>
      <c r="Z245" t="s">
        <v>293</v>
      </c>
      <c r="AA245" t="s">
        <v>353</v>
      </c>
      <c r="AB245" t="s">
        <v>297</v>
      </c>
      <c r="AC245" t="s">
        <v>300</v>
      </c>
      <c r="AD245" t="s">
        <v>292</v>
      </c>
      <c r="AE245" t="s">
        <v>293</v>
      </c>
      <c r="AF245" t="s">
        <v>292</v>
      </c>
      <c r="AG245" t="s">
        <v>293</v>
      </c>
      <c r="AH245" t="s">
        <v>293</v>
      </c>
      <c r="AI245" t="s">
        <v>302</v>
      </c>
      <c r="AJ245" t="s">
        <v>302</v>
      </c>
      <c r="AK245" t="s">
        <v>359</v>
      </c>
      <c r="AL245" t="s">
        <v>293</v>
      </c>
      <c r="AM245" t="s">
        <v>293</v>
      </c>
      <c r="AN245" t="s">
        <v>297</v>
      </c>
      <c r="AO245" t="s">
        <v>298</v>
      </c>
      <c r="AP245" t="s">
        <v>293</v>
      </c>
      <c r="AQ245" t="s">
        <v>292</v>
      </c>
      <c r="AR245" t="s">
        <v>293</v>
      </c>
      <c r="AS245" t="s">
        <v>293</v>
      </c>
      <c r="AT245" t="s">
        <v>364</v>
      </c>
      <c r="AU245" t="str">
        <f t="shared" si="8"/>
        <v>no_fail</v>
      </c>
    </row>
    <row r="246" spans="1:47" x14ac:dyDescent="0.3">
      <c r="A246" t="s">
        <v>43</v>
      </c>
      <c r="B246" t="s">
        <v>62</v>
      </c>
      <c r="C246" t="s">
        <v>64</v>
      </c>
      <c r="D246" t="s">
        <v>29</v>
      </c>
      <c r="E246" t="str">
        <f t="shared" si="7"/>
        <v>P_L4V-ZSB-S_1X1</v>
      </c>
      <c r="F246" t="b">
        <v>1</v>
      </c>
      <c r="G246">
        <v>26.8</v>
      </c>
      <c r="H246">
        <v>0</v>
      </c>
      <c r="I246">
        <v>25730</v>
      </c>
      <c r="J246" s="61" t="s">
        <v>13</v>
      </c>
      <c r="K246" s="16" t="s">
        <v>272</v>
      </c>
      <c r="L246" s="16">
        <v>3</v>
      </c>
      <c r="M246" s="16" t="s">
        <v>277</v>
      </c>
      <c r="N246" s="16" t="s">
        <v>335</v>
      </c>
      <c r="O246" s="15" t="s">
        <v>282</v>
      </c>
      <c r="P246" t="s">
        <v>371</v>
      </c>
      <c r="Q246" t="s">
        <v>371</v>
      </c>
      <c r="R246" s="17" t="s">
        <v>371</v>
      </c>
      <c r="S246" s="16" t="s">
        <v>341</v>
      </c>
      <c r="T246" s="16" t="s">
        <v>340</v>
      </c>
      <c r="U246" s="15" t="s">
        <v>343</v>
      </c>
      <c r="V246" s="15" t="s">
        <v>344</v>
      </c>
      <c r="W246" s="17"/>
      <c r="X246" t="s">
        <v>349</v>
      </c>
      <c r="Y246" t="s">
        <v>349</v>
      </c>
      <c r="Z246" t="s">
        <v>293</v>
      </c>
      <c r="AA246" t="s">
        <v>353</v>
      </c>
      <c r="AB246" t="s">
        <v>296</v>
      </c>
      <c r="AC246" t="s">
        <v>301</v>
      </c>
      <c r="AD246" t="s">
        <v>292</v>
      </c>
      <c r="AE246" t="s">
        <v>293</v>
      </c>
      <c r="AF246" t="s">
        <v>293</v>
      </c>
      <c r="AG246" t="s">
        <v>292</v>
      </c>
      <c r="AH246" t="s">
        <v>293</v>
      </c>
      <c r="AI246" t="s">
        <v>302</v>
      </c>
      <c r="AJ246" t="s">
        <v>302</v>
      </c>
      <c r="AK246" t="s">
        <v>359</v>
      </c>
      <c r="AL246" t="s">
        <v>293</v>
      </c>
      <c r="AM246" t="s">
        <v>293</v>
      </c>
      <c r="AN246" t="s">
        <v>297</v>
      </c>
      <c r="AO246" t="s">
        <v>298</v>
      </c>
      <c r="AP246" t="s">
        <v>293</v>
      </c>
      <c r="AQ246" t="s">
        <v>292</v>
      </c>
      <c r="AR246" t="s">
        <v>293</v>
      </c>
      <c r="AS246" t="s">
        <v>293</v>
      </c>
      <c r="AT246" t="s">
        <v>364</v>
      </c>
      <c r="AU246" t="str">
        <f t="shared" si="8"/>
        <v>no_fail</v>
      </c>
    </row>
    <row r="247" spans="1:47" x14ac:dyDescent="0.3">
      <c r="A247" t="s">
        <v>43</v>
      </c>
      <c r="B247" t="s">
        <v>62</v>
      </c>
      <c r="C247" t="s">
        <v>39</v>
      </c>
      <c r="D247" t="s">
        <v>29</v>
      </c>
      <c r="E247" t="str">
        <f t="shared" si="7"/>
        <v>P_L4V-ZSB-S_2I5</v>
      </c>
      <c r="F247" t="b">
        <v>1</v>
      </c>
      <c r="G247">
        <v>100</v>
      </c>
      <c r="H247">
        <v>1</v>
      </c>
      <c r="I247">
        <v>8098</v>
      </c>
      <c r="J247" s="61" t="s">
        <v>18</v>
      </c>
      <c r="K247" s="16" t="s">
        <v>272</v>
      </c>
      <c r="L247" s="16">
        <v>2</v>
      </c>
      <c r="M247" s="16" t="s">
        <v>277</v>
      </c>
      <c r="N247" s="16" t="s">
        <v>335</v>
      </c>
      <c r="O247" s="15" t="s">
        <v>282</v>
      </c>
      <c r="P247" t="s">
        <v>371</v>
      </c>
      <c r="Q247" t="s">
        <v>371</v>
      </c>
      <c r="R247" s="17" t="s">
        <v>371</v>
      </c>
      <c r="S247" s="16" t="s">
        <v>341</v>
      </c>
      <c r="T247" s="16" t="s">
        <v>340</v>
      </c>
      <c r="U247" s="15" t="s">
        <v>340</v>
      </c>
      <c r="V247" s="15" t="s">
        <v>345</v>
      </c>
      <c r="W247" s="17"/>
      <c r="X247" t="s">
        <v>350</v>
      </c>
      <c r="Y247" t="s">
        <v>349</v>
      </c>
      <c r="Z247" t="s">
        <v>293</v>
      </c>
      <c r="AA247" t="s">
        <v>354</v>
      </c>
      <c r="AB247" t="s">
        <v>354</v>
      </c>
      <c r="AC247" t="s">
        <v>300</v>
      </c>
      <c r="AD247" t="s">
        <v>292</v>
      </c>
      <c r="AE247" t="s">
        <v>293</v>
      </c>
      <c r="AF247" t="s">
        <v>292</v>
      </c>
      <c r="AG247" t="s">
        <v>293</v>
      </c>
      <c r="AH247" t="s">
        <v>293</v>
      </c>
      <c r="AI247" t="s">
        <v>302</v>
      </c>
      <c r="AJ247" t="s">
        <v>302</v>
      </c>
      <c r="AK247" t="s">
        <v>359</v>
      </c>
      <c r="AL247" t="s">
        <v>293</v>
      </c>
      <c r="AM247" t="s">
        <v>293</v>
      </c>
      <c r="AN247" t="s">
        <v>297</v>
      </c>
      <c r="AO247" t="s">
        <v>298</v>
      </c>
      <c r="AP247" t="s">
        <v>293</v>
      </c>
      <c r="AQ247" t="s">
        <v>292</v>
      </c>
      <c r="AR247" t="s">
        <v>293</v>
      </c>
      <c r="AS247" t="s">
        <v>293</v>
      </c>
      <c r="AT247" t="s">
        <v>364</v>
      </c>
      <c r="AU247" t="str">
        <f t="shared" si="8"/>
        <v>break</v>
      </c>
    </row>
    <row r="248" spans="1:47" x14ac:dyDescent="0.3">
      <c r="A248" t="s">
        <v>43</v>
      </c>
      <c r="B248" t="s">
        <v>62</v>
      </c>
      <c r="C248" t="s">
        <v>37</v>
      </c>
      <c r="D248" t="s">
        <v>29</v>
      </c>
      <c r="E248" t="str">
        <f t="shared" si="7"/>
        <v>P_L4V-ZSB-S_3A8</v>
      </c>
      <c r="F248" t="b">
        <v>1</v>
      </c>
      <c r="G248">
        <v>100</v>
      </c>
      <c r="H248">
        <v>1</v>
      </c>
      <c r="I248">
        <v>10649</v>
      </c>
      <c r="J248" s="61" t="s">
        <v>18</v>
      </c>
      <c r="K248" s="16" t="s">
        <v>272</v>
      </c>
      <c r="L248" s="16">
        <v>2</v>
      </c>
      <c r="M248" s="16" t="s">
        <v>277</v>
      </c>
      <c r="N248" s="16" t="s">
        <v>335</v>
      </c>
      <c r="O248" s="15" t="s">
        <v>282</v>
      </c>
      <c r="P248" t="s">
        <v>371</v>
      </c>
      <c r="Q248" t="s">
        <v>371</v>
      </c>
      <c r="R248" s="17" t="s">
        <v>371</v>
      </c>
      <c r="S248" s="16" t="s">
        <v>341</v>
      </c>
      <c r="T248" s="16" t="s">
        <v>340</v>
      </c>
      <c r="U248" s="15" t="s">
        <v>340</v>
      </c>
      <c r="V248" s="15" t="s">
        <v>344</v>
      </c>
      <c r="W248" s="17"/>
      <c r="X248" t="s">
        <v>349</v>
      </c>
      <c r="Y248" t="s">
        <v>349</v>
      </c>
      <c r="Z248" t="s">
        <v>293</v>
      </c>
      <c r="AA248" t="s">
        <v>354</v>
      </c>
      <c r="AB248" t="s">
        <v>354</v>
      </c>
      <c r="AC248" t="s">
        <v>301</v>
      </c>
      <c r="AD248" t="s">
        <v>292</v>
      </c>
      <c r="AE248" t="s">
        <v>293</v>
      </c>
      <c r="AF248" t="s">
        <v>292</v>
      </c>
      <c r="AG248" t="s">
        <v>293</v>
      </c>
      <c r="AH248" t="s">
        <v>293</v>
      </c>
      <c r="AI248" t="s">
        <v>302</v>
      </c>
      <c r="AJ248" t="s">
        <v>302</v>
      </c>
      <c r="AK248" t="s">
        <v>359</v>
      </c>
      <c r="AL248" t="s">
        <v>293</v>
      </c>
      <c r="AM248" t="s">
        <v>293</v>
      </c>
      <c r="AN248" t="s">
        <v>297</v>
      </c>
      <c r="AO248" t="s">
        <v>298</v>
      </c>
      <c r="AP248" t="s">
        <v>293</v>
      </c>
      <c r="AQ248" t="s">
        <v>292</v>
      </c>
      <c r="AR248" t="s">
        <v>293</v>
      </c>
      <c r="AS248" t="s">
        <v>293</v>
      </c>
      <c r="AT248" t="s">
        <v>364</v>
      </c>
      <c r="AU248" t="str">
        <f t="shared" si="8"/>
        <v>break</v>
      </c>
    </row>
    <row r="249" spans="1:47" x14ac:dyDescent="0.3">
      <c r="A249" t="s">
        <v>43</v>
      </c>
      <c r="B249" t="s">
        <v>62</v>
      </c>
      <c r="C249" t="s">
        <v>32</v>
      </c>
      <c r="D249" t="s">
        <v>29</v>
      </c>
      <c r="E249" t="str">
        <f t="shared" si="7"/>
        <v>P_L4V-ZSB-S_3B9</v>
      </c>
      <c r="F249" t="b">
        <v>1</v>
      </c>
      <c r="G249">
        <v>82.2</v>
      </c>
      <c r="H249">
        <v>0</v>
      </c>
      <c r="I249">
        <v>8876</v>
      </c>
      <c r="J249" s="61" t="s">
        <v>13</v>
      </c>
      <c r="K249" s="16" t="s">
        <v>272</v>
      </c>
      <c r="L249" s="16">
        <v>3</v>
      </c>
      <c r="M249" s="16" t="s">
        <v>333</v>
      </c>
      <c r="N249" s="16" t="s">
        <v>278</v>
      </c>
      <c r="O249" s="15" t="s">
        <v>283</v>
      </c>
      <c r="P249" t="s">
        <v>371</v>
      </c>
      <c r="Q249" t="s">
        <v>371</v>
      </c>
      <c r="R249" s="17" t="s">
        <v>371</v>
      </c>
      <c r="S249" s="16" t="s">
        <v>341</v>
      </c>
      <c r="T249" s="16" t="s">
        <v>340</v>
      </c>
      <c r="U249" s="15" t="s">
        <v>343</v>
      </c>
      <c r="V249" s="15" t="s">
        <v>344</v>
      </c>
      <c r="W249" s="17"/>
      <c r="X249" t="s">
        <v>349</v>
      </c>
      <c r="Y249" t="s">
        <v>349</v>
      </c>
      <c r="Z249" t="s">
        <v>293</v>
      </c>
      <c r="AA249" t="s">
        <v>353</v>
      </c>
      <c r="AB249" t="s">
        <v>297</v>
      </c>
      <c r="AC249" t="s">
        <v>300</v>
      </c>
      <c r="AD249" t="s">
        <v>292</v>
      </c>
      <c r="AE249" t="s">
        <v>293</v>
      </c>
      <c r="AF249" t="s">
        <v>292</v>
      </c>
      <c r="AG249" t="s">
        <v>293</v>
      </c>
      <c r="AH249" t="s">
        <v>293</v>
      </c>
      <c r="AI249" t="s">
        <v>302</v>
      </c>
      <c r="AJ249" t="s">
        <v>359</v>
      </c>
      <c r="AK249" t="s">
        <v>359</v>
      </c>
      <c r="AL249" t="s">
        <v>293</v>
      </c>
      <c r="AM249" t="s">
        <v>293</v>
      </c>
      <c r="AN249" t="s">
        <v>297</v>
      </c>
      <c r="AO249" t="s">
        <v>298</v>
      </c>
      <c r="AP249" t="s">
        <v>293</v>
      </c>
      <c r="AQ249" t="s">
        <v>292</v>
      </c>
      <c r="AR249" t="s">
        <v>293</v>
      </c>
      <c r="AS249" t="s">
        <v>293</v>
      </c>
      <c r="AT249" t="s">
        <v>364</v>
      </c>
      <c r="AU249" t="str">
        <f t="shared" si="8"/>
        <v>no_fail</v>
      </c>
    </row>
    <row r="250" spans="1:47" x14ac:dyDescent="0.3">
      <c r="A250" t="s">
        <v>43</v>
      </c>
      <c r="B250" t="s">
        <v>62</v>
      </c>
      <c r="C250" t="s">
        <v>41</v>
      </c>
      <c r="D250" t="s">
        <v>29</v>
      </c>
      <c r="E250" t="str">
        <f t="shared" si="7"/>
        <v>P_L4V-ZSB-S_4B4</v>
      </c>
      <c r="F250" t="b">
        <v>1</v>
      </c>
      <c r="G250">
        <v>100</v>
      </c>
      <c r="H250">
        <v>1</v>
      </c>
      <c r="I250">
        <v>7958</v>
      </c>
      <c r="J250" s="61" t="s">
        <v>18</v>
      </c>
      <c r="K250" s="16" t="s">
        <v>272</v>
      </c>
      <c r="L250" s="16">
        <v>2</v>
      </c>
      <c r="M250" s="16" t="s">
        <v>277</v>
      </c>
      <c r="N250" s="16" t="s">
        <v>335</v>
      </c>
      <c r="O250" s="15" t="s">
        <v>282</v>
      </c>
      <c r="P250" t="s">
        <v>371</v>
      </c>
      <c r="Q250" t="s">
        <v>371</v>
      </c>
      <c r="R250" s="17" t="s">
        <v>371</v>
      </c>
      <c r="S250" s="16" t="s">
        <v>341</v>
      </c>
      <c r="T250" s="16" t="s">
        <v>340</v>
      </c>
      <c r="U250" s="15" t="s">
        <v>340</v>
      </c>
      <c r="V250" s="15" t="s">
        <v>345</v>
      </c>
      <c r="W250" s="17"/>
      <c r="X250" t="s">
        <v>350</v>
      </c>
      <c r="Y250" t="s">
        <v>349</v>
      </c>
      <c r="Z250" t="s">
        <v>293</v>
      </c>
      <c r="AA250" t="s">
        <v>354</v>
      </c>
      <c r="AB250" t="s">
        <v>354</v>
      </c>
      <c r="AC250" t="s">
        <v>300</v>
      </c>
      <c r="AD250" t="s">
        <v>292</v>
      </c>
      <c r="AE250" t="s">
        <v>293</v>
      </c>
      <c r="AF250" t="s">
        <v>292</v>
      </c>
      <c r="AG250" t="s">
        <v>293</v>
      </c>
      <c r="AH250" t="s">
        <v>293</v>
      </c>
      <c r="AI250" t="s">
        <v>302</v>
      </c>
      <c r="AJ250" t="s">
        <v>302</v>
      </c>
      <c r="AK250" t="s">
        <v>357</v>
      </c>
      <c r="AL250" t="s">
        <v>293</v>
      </c>
      <c r="AM250" t="s">
        <v>293</v>
      </c>
      <c r="AN250" t="s">
        <v>297</v>
      </c>
      <c r="AO250" t="s">
        <v>298</v>
      </c>
      <c r="AP250" t="s">
        <v>293</v>
      </c>
      <c r="AQ250" t="s">
        <v>292</v>
      </c>
      <c r="AR250" t="s">
        <v>293</v>
      </c>
      <c r="AS250" t="s">
        <v>293</v>
      </c>
      <c r="AT250" t="s">
        <v>364</v>
      </c>
      <c r="AU250" t="str">
        <f t="shared" si="8"/>
        <v>break</v>
      </c>
    </row>
    <row r="251" spans="1:47" x14ac:dyDescent="0.3">
      <c r="A251" t="s">
        <v>43</v>
      </c>
      <c r="B251" t="s">
        <v>62</v>
      </c>
      <c r="C251" t="s">
        <v>40</v>
      </c>
      <c r="D251" t="s">
        <v>29</v>
      </c>
      <c r="E251" t="str">
        <f t="shared" si="7"/>
        <v>P_L4V-ZSB-S_5N2</v>
      </c>
      <c r="F251" t="b">
        <v>1</v>
      </c>
      <c r="G251">
        <v>100</v>
      </c>
      <c r="H251">
        <v>1</v>
      </c>
      <c r="I251">
        <v>7899</v>
      </c>
      <c r="J251" s="61" t="s">
        <v>18</v>
      </c>
      <c r="K251" s="16" t="s">
        <v>272</v>
      </c>
      <c r="L251" s="16">
        <v>2</v>
      </c>
      <c r="M251" s="16" t="s">
        <v>277</v>
      </c>
      <c r="N251" s="16" t="s">
        <v>335</v>
      </c>
      <c r="O251" s="15" t="s">
        <v>282</v>
      </c>
      <c r="P251" t="s">
        <v>371</v>
      </c>
      <c r="Q251" t="s">
        <v>371</v>
      </c>
      <c r="R251" s="17" t="s">
        <v>371</v>
      </c>
      <c r="S251" s="16" t="s">
        <v>341</v>
      </c>
      <c r="T251" s="16" t="s">
        <v>340</v>
      </c>
      <c r="U251" s="15" t="s">
        <v>340</v>
      </c>
      <c r="V251" s="15" t="s">
        <v>345</v>
      </c>
      <c r="W251" s="17"/>
      <c r="X251" t="s">
        <v>350</v>
      </c>
      <c r="Y251" t="s">
        <v>349</v>
      </c>
      <c r="Z251" t="s">
        <v>293</v>
      </c>
      <c r="AA251" t="s">
        <v>354</v>
      </c>
      <c r="AB251" t="s">
        <v>354</v>
      </c>
      <c r="AC251" t="s">
        <v>300</v>
      </c>
      <c r="AD251" t="s">
        <v>292</v>
      </c>
      <c r="AE251" t="s">
        <v>293</v>
      </c>
      <c r="AF251" t="s">
        <v>292</v>
      </c>
      <c r="AG251" t="s">
        <v>293</v>
      </c>
      <c r="AH251" t="s">
        <v>293</v>
      </c>
      <c r="AI251" t="s">
        <v>302</v>
      </c>
      <c r="AJ251" t="s">
        <v>302</v>
      </c>
      <c r="AK251" t="s">
        <v>357</v>
      </c>
      <c r="AL251" t="s">
        <v>293</v>
      </c>
      <c r="AM251" t="s">
        <v>293</v>
      </c>
      <c r="AN251" t="s">
        <v>297</v>
      </c>
      <c r="AO251" t="s">
        <v>298</v>
      </c>
      <c r="AP251" t="s">
        <v>293</v>
      </c>
      <c r="AQ251" t="s">
        <v>292</v>
      </c>
      <c r="AR251" t="s">
        <v>293</v>
      </c>
      <c r="AS251" t="s">
        <v>293</v>
      </c>
      <c r="AT251" t="s">
        <v>364</v>
      </c>
      <c r="AU251" t="str">
        <f t="shared" si="8"/>
        <v>break</v>
      </c>
    </row>
    <row r="252" spans="1:47" x14ac:dyDescent="0.3">
      <c r="A252" t="s">
        <v>43</v>
      </c>
      <c r="B252" t="s">
        <v>62</v>
      </c>
      <c r="C252" t="s">
        <v>63</v>
      </c>
      <c r="D252" t="s">
        <v>29</v>
      </c>
      <c r="E252" t="str">
        <f t="shared" si="7"/>
        <v>P_L4V-ZSB-S_6I4</v>
      </c>
      <c r="F252" t="b">
        <v>1</v>
      </c>
      <c r="G252">
        <v>96.2</v>
      </c>
      <c r="H252">
        <v>0</v>
      </c>
      <c r="I252">
        <v>10935</v>
      </c>
      <c r="J252" s="61" t="s">
        <v>13</v>
      </c>
      <c r="K252" s="16" t="s">
        <v>272</v>
      </c>
      <c r="L252" s="16">
        <v>2</v>
      </c>
      <c r="M252" s="16" t="s">
        <v>277</v>
      </c>
      <c r="N252" s="16" t="s">
        <v>335</v>
      </c>
      <c r="O252" s="15" t="s">
        <v>282</v>
      </c>
      <c r="P252" t="s">
        <v>371</v>
      </c>
      <c r="Q252" t="s">
        <v>371</v>
      </c>
      <c r="R252" s="17" t="s">
        <v>371</v>
      </c>
      <c r="S252" s="16" t="s">
        <v>341</v>
      </c>
      <c r="T252" s="16" t="s">
        <v>340</v>
      </c>
      <c r="U252" s="15" t="s">
        <v>340</v>
      </c>
      <c r="V252" s="15" t="s">
        <v>345</v>
      </c>
      <c r="W252" s="17"/>
      <c r="X252" t="s">
        <v>350</v>
      </c>
      <c r="Y252" t="s">
        <v>349</v>
      </c>
      <c r="Z252" t="s">
        <v>293</v>
      </c>
      <c r="AA252" t="s">
        <v>354</v>
      </c>
      <c r="AB252" t="s">
        <v>354</v>
      </c>
      <c r="AC252" t="s">
        <v>300</v>
      </c>
      <c r="AD252" t="s">
        <v>293</v>
      </c>
      <c r="AE252" t="s">
        <v>292</v>
      </c>
      <c r="AF252" t="s">
        <v>292</v>
      </c>
      <c r="AG252" t="s">
        <v>293</v>
      </c>
      <c r="AH252" t="s">
        <v>293</v>
      </c>
      <c r="AI252" t="s">
        <v>302</v>
      </c>
      <c r="AJ252" t="s">
        <v>302</v>
      </c>
      <c r="AK252" t="s">
        <v>357</v>
      </c>
      <c r="AL252" t="s">
        <v>293</v>
      </c>
      <c r="AM252" t="s">
        <v>293</v>
      </c>
      <c r="AN252" t="s">
        <v>297</v>
      </c>
      <c r="AO252" t="s">
        <v>356</v>
      </c>
      <c r="AP252" t="s">
        <v>293</v>
      </c>
      <c r="AQ252" t="s">
        <v>292</v>
      </c>
      <c r="AR252" t="s">
        <v>293</v>
      </c>
      <c r="AS252" t="s">
        <v>293</v>
      </c>
      <c r="AT252" t="s">
        <v>364</v>
      </c>
      <c r="AU252" t="str">
        <f t="shared" si="8"/>
        <v>no_fail</v>
      </c>
    </row>
    <row r="253" spans="1:47" x14ac:dyDescent="0.3">
      <c r="A253" t="s">
        <v>43</v>
      </c>
      <c r="B253" t="s">
        <v>62</v>
      </c>
      <c r="C253" t="s">
        <v>38</v>
      </c>
      <c r="D253" t="s">
        <v>29</v>
      </c>
      <c r="E253" t="str">
        <f t="shared" si="7"/>
        <v>P_L4V-ZSB-S_7X6</v>
      </c>
      <c r="F253" t="b">
        <v>1</v>
      </c>
      <c r="G253">
        <v>100</v>
      </c>
      <c r="H253">
        <v>1</v>
      </c>
      <c r="I253">
        <v>7742</v>
      </c>
      <c r="J253" s="61" t="s">
        <v>18</v>
      </c>
      <c r="K253" s="16" t="s">
        <v>272</v>
      </c>
      <c r="L253" s="16">
        <v>2</v>
      </c>
      <c r="M253" s="16" t="s">
        <v>277</v>
      </c>
      <c r="N253" s="16" t="s">
        <v>335</v>
      </c>
      <c r="O253" s="15" t="s">
        <v>282</v>
      </c>
      <c r="P253" t="s">
        <v>371</v>
      </c>
      <c r="Q253" t="s">
        <v>371</v>
      </c>
      <c r="R253" s="17" t="s">
        <v>371</v>
      </c>
      <c r="S253" s="16" t="s">
        <v>341</v>
      </c>
      <c r="T253" s="16" t="s">
        <v>340</v>
      </c>
      <c r="U253" s="15" t="s">
        <v>340</v>
      </c>
      <c r="V253" s="15" t="s">
        <v>345</v>
      </c>
      <c r="W253" s="17"/>
      <c r="X253" t="s">
        <v>350</v>
      </c>
      <c r="Y253" t="s">
        <v>349</v>
      </c>
      <c r="Z253" t="s">
        <v>293</v>
      </c>
      <c r="AA253" t="s">
        <v>354</v>
      </c>
      <c r="AB253" t="s">
        <v>354</v>
      </c>
      <c r="AC253" t="s">
        <v>300</v>
      </c>
      <c r="AD253" t="s">
        <v>292</v>
      </c>
      <c r="AE253" t="s">
        <v>293</v>
      </c>
      <c r="AF253" t="s">
        <v>292</v>
      </c>
      <c r="AG253" t="s">
        <v>293</v>
      </c>
      <c r="AH253" t="s">
        <v>293</v>
      </c>
      <c r="AI253" t="s">
        <v>302</v>
      </c>
      <c r="AJ253" t="s">
        <v>302</v>
      </c>
      <c r="AK253" t="s">
        <v>357</v>
      </c>
      <c r="AL253" t="s">
        <v>293</v>
      </c>
      <c r="AM253" t="s">
        <v>293</v>
      </c>
      <c r="AN253" t="s">
        <v>297</v>
      </c>
      <c r="AO253" t="s">
        <v>298</v>
      </c>
      <c r="AP253" t="s">
        <v>293</v>
      </c>
      <c r="AQ253" t="s">
        <v>292</v>
      </c>
      <c r="AR253" t="s">
        <v>293</v>
      </c>
      <c r="AS253" t="s">
        <v>293</v>
      </c>
      <c r="AT253" t="s">
        <v>364</v>
      </c>
      <c r="AU253" t="str">
        <f t="shared" si="8"/>
        <v>break</v>
      </c>
    </row>
    <row r="254" spans="1:47" x14ac:dyDescent="0.3">
      <c r="A254" t="s">
        <v>43</v>
      </c>
      <c r="B254" t="s">
        <v>62</v>
      </c>
      <c r="C254" t="s">
        <v>65</v>
      </c>
      <c r="D254" t="s">
        <v>29</v>
      </c>
      <c r="E254" t="str">
        <f t="shared" si="7"/>
        <v>P_L4V-ZSB-S_7Y0</v>
      </c>
      <c r="F254" t="b">
        <v>1</v>
      </c>
      <c r="G254">
        <v>100</v>
      </c>
      <c r="H254">
        <v>1</v>
      </c>
      <c r="I254">
        <v>17652</v>
      </c>
      <c r="J254" s="61" t="s">
        <v>18</v>
      </c>
      <c r="K254" s="16" t="s">
        <v>272</v>
      </c>
      <c r="L254" s="16">
        <v>3</v>
      </c>
      <c r="M254" s="16" t="s">
        <v>277</v>
      </c>
      <c r="N254" s="16" t="s">
        <v>335</v>
      </c>
      <c r="O254" s="15" t="s">
        <v>282</v>
      </c>
      <c r="P254" t="s">
        <v>371</v>
      </c>
      <c r="Q254" t="s">
        <v>371</v>
      </c>
      <c r="R254" s="17" t="s">
        <v>371</v>
      </c>
      <c r="S254" s="16" t="s">
        <v>341</v>
      </c>
      <c r="T254" s="16" t="s">
        <v>340</v>
      </c>
      <c r="U254" s="15" t="s">
        <v>343</v>
      </c>
      <c r="V254" s="15" t="s">
        <v>345</v>
      </c>
      <c r="W254" s="17"/>
      <c r="X254" t="s">
        <v>349</v>
      </c>
      <c r="Y254" t="s">
        <v>349</v>
      </c>
      <c r="Z254" t="s">
        <v>293</v>
      </c>
      <c r="AA254" t="s">
        <v>353</v>
      </c>
      <c r="AB254" t="s">
        <v>296</v>
      </c>
      <c r="AC254" t="s">
        <v>299</v>
      </c>
      <c r="AD254" t="s">
        <v>292</v>
      </c>
      <c r="AE254" t="s">
        <v>293</v>
      </c>
      <c r="AF254" t="s">
        <v>292</v>
      </c>
      <c r="AG254" t="s">
        <v>292</v>
      </c>
      <c r="AH254" t="s">
        <v>293</v>
      </c>
      <c r="AI254" t="s">
        <v>302</v>
      </c>
      <c r="AJ254" t="s">
        <v>302</v>
      </c>
      <c r="AK254" t="s">
        <v>359</v>
      </c>
      <c r="AL254" t="s">
        <v>293</v>
      </c>
      <c r="AM254" t="s">
        <v>293</v>
      </c>
      <c r="AN254" t="s">
        <v>296</v>
      </c>
      <c r="AO254" t="s">
        <v>298</v>
      </c>
      <c r="AP254" t="s">
        <v>293</v>
      </c>
      <c r="AQ254" t="s">
        <v>292</v>
      </c>
      <c r="AR254" t="s">
        <v>293</v>
      </c>
      <c r="AS254" t="s">
        <v>293</v>
      </c>
      <c r="AT254" t="s">
        <v>364</v>
      </c>
      <c r="AU254" t="str">
        <f t="shared" si="8"/>
        <v>break</v>
      </c>
    </row>
    <row r="255" spans="1:47" x14ac:dyDescent="0.3">
      <c r="A255" t="s">
        <v>43</v>
      </c>
      <c r="B255" t="s">
        <v>62</v>
      </c>
      <c r="C255" t="s">
        <v>34</v>
      </c>
      <c r="D255" t="s">
        <v>29</v>
      </c>
      <c r="E255" t="str">
        <f t="shared" si="7"/>
        <v>P_L4V-ZSB-S_8A5</v>
      </c>
      <c r="F255" t="b">
        <v>1</v>
      </c>
      <c r="G255">
        <v>100</v>
      </c>
      <c r="H255">
        <v>1</v>
      </c>
      <c r="I255">
        <v>8651</v>
      </c>
      <c r="J255" s="61" t="s">
        <v>18</v>
      </c>
      <c r="K255" s="16" t="s">
        <v>272</v>
      </c>
      <c r="L255" s="16">
        <v>3</v>
      </c>
      <c r="M255" s="16" t="s">
        <v>333</v>
      </c>
      <c r="N255" s="16" t="s">
        <v>278</v>
      </c>
      <c r="O255" s="15" t="s">
        <v>283</v>
      </c>
      <c r="P255" t="s">
        <v>371</v>
      </c>
      <c r="Q255" t="s">
        <v>371</v>
      </c>
      <c r="R255" s="17" t="s">
        <v>371</v>
      </c>
      <c r="S255" s="16" t="s">
        <v>341</v>
      </c>
      <c r="T255" s="16" t="s">
        <v>340</v>
      </c>
      <c r="U255" s="15" t="s">
        <v>343</v>
      </c>
      <c r="V255" s="15" t="s">
        <v>344</v>
      </c>
      <c r="W255" s="17"/>
      <c r="X255" t="s">
        <v>349</v>
      </c>
      <c r="Y255" t="s">
        <v>349</v>
      </c>
      <c r="Z255" t="s">
        <v>293</v>
      </c>
      <c r="AA255" t="s">
        <v>353</v>
      </c>
      <c r="AB255" t="s">
        <v>297</v>
      </c>
      <c r="AC255" t="s">
        <v>300</v>
      </c>
      <c r="AD255" t="s">
        <v>292</v>
      </c>
      <c r="AE255" t="s">
        <v>293</v>
      </c>
      <c r="AF255" t="s">
        <v>292</v>
      </c>
      <c r="AG255" t="s">
        <v>293</v>
      </c>
      <c r="AH255" t="s">
        <v>293</v>
      </c>
      <c r="AI255" t="s">
        <v>302</v>
      </c>
      <c r="AJ255" t="s">
        <v>359</v>
      </c>
      <c r="AK255" t="s">
        <v>359</v>
      </c>
      <c r="AL255" t="s">
        <v>293</v>
      </c>
      <c r="AM255" t="s">
        <v>293</v>
      </c>
      <c r="AN255" t="s">
        <v>297</v>
      </c>
      <c r="AO255" t="s">
        <v>298</v>
      </c>
      <c r="AP255" t="s">
        <v>360</v>
      </c>
      <c r="AQ255" t="s">
        <v>292</v>
      </c>
      <c r="AR255" t="s">
        <v>293</v>
      </c>
      <c r="AS255" t="s">
        <v>293</v>
      </c>
      <c r="AT255" t="s">
        <v>364</v>
      </c>
      <c r="AU255" t="str">
        <f t="shared" si="8"/>
        <v>break</v>
      </c>
    </row>
    <row r="256" spans="1:47" x14ac:dyDescent="0.3">
      <c r="A256" t="s">
        <v>43</v>
      </c>
      <c r="B256" t="s">
        <v>62</v>
      </c>
      <c r="C256" t="s">
        <v>42</v>
      </c>
      <c r="D256" t="s">
        <v>29</v>
      </c>
      <c r="E256" t="str">
        <f t="shared" si="7"/>
        <v>P_L4V-ZSB-S_8C2</v>
      </c>
      <c r="F256" t="b">
        <v>1</v>
      </c>
      <c r="G256">
        <v>100</v>
      </c>
      <c r="H256">
        <v>1</v>
      </c>
      <c r="I256">
        <v>8808</v>
      </c>
      <c r="J256" s="61" t="s">
        <v>18</v>
      </c>
      <c r="K256" s="16" t="s">
        <v>272</v>
      </c>
      <c r="L256" s="16">
        <v>3</v>
      </c>
      <c r="M256" s="16" t="s">
        <v>277</v>
      </c>
      <c r="N256" s="16" t="s">
        <v>335</v>
      </c>
      <c r="O256" s="15" t="s">
        <v>282</v>
      </c>
      <c r="P256" t="s">
        <v>371</v>
      </c>
      <c r="Q256" t="s">
        <v>371</v>
      </c>
      <c r="R256" s="17" t="s">
        <v>371</v>
      </c>
      <c r="S256" s="16" t="s">
        <v>341</v>
      </c>
      <c r="T256" s="16" t="s">
        <v>340</v>
      </c>
      <c r="U256" s="15" t="s">
        <v>340</v>
      </c>
      <c r="V256" s="15" t="s">
        <v>345</v>
      </c>
      <c r="W256" s="17"/>
      <c r="X256" t="s">
        <v>350</v>
      </c>
      <c r="Y256" t="s">
        <v>349</v>
      </c>
      <c r="Z256" t="s">
        <v>293</v>
      </c>
      <c r="AA256" t="s">
        <v>354</v>
      </c>
      <c r="AB256" t="s">
        <v>354</v>
      </c>
      <c r="AC256" t="s">
        <v>300</v>
      </c>
      <c r="AD256" t="s">
        <v>292</v>
      </c>
      <c r="AE256" t="s">
        <v>292</v>
      </c>
      <c r="AF256" t="s">
        <v>292</v>
      </c>
      <c r="AG256" t="s">
        <v>293</v>
      </c>
      <c r="AH256" t="s">
        <v>293</v>
      </c>
      <c r="AI256" t="s">
        <v>302</v>
      </c>
      <c r="AJ256" t="s">
        <v>302</v>
      </c>
      <c r="AK256" t="s">
        <v>357</v>
      </c>
      <c r="AL256" t="s">
        <v>293</v>
      </c>
      <c r="AM256" t="s">
        <v>293</v>
      </c>
      <c r="AN256" t="s">
        <v>297</v>
      </c>
      <c r="AO256" t="s">
        <v>298</v>
      </c>
      <c r="AP256" t="s">
        <v>293</v>
      </c>
      <c r="AQ256" t="s">
        <v>292</v>
      </c>
      <c r="AR256" t="s">
        <v>293</v>
      </c>
      <c r="AS256" t="s">
        <v>293</v>
      </c>
      <c r="AT256" t="s">
        <v>364</v>
      </c>
      <c r="AU256" t="str">
        <f t="shared" si="8"/>
        <v>break</v>
      </c>
    </row>
    <row r="257" spans="1:47" x14ac:dyDescent="0.3">
      <c r="A257" t="s">
        <v>43</v>
      </c>
      <c r="B257" t="s">
        <v>62</v>
      </c>
      <c r="C257" t="s">
        <v>36</v>
      </c>
      <c r="D257" t="s">
        <v>29</v>
      </c>
      <c r="E257" t="str">
        <f t="shared" si="7"/>
        <v>P_L4V-ZSB-S_8D0</v>
      </c>
      <c r="F257" t="b">
        <v>1</v>
      </c>
      <c r="G257">
        <v>93</v>
      </c>
      <c r="H257">
        <v>0</v>
      </c>
      <c r="I257">
        <v>8739</v>
      </c>
      <c r="J257" s="61" t="s">
        <v>13</v>
      </c>
      <c r="K257" s="16" t="s">
        <v>272</v>
      </c>
      <c r="L257" s="16">
        <v>3</v>
      </c>
      <c r="M257" s="16" t="s">
        <v>333</v>
      </c>
      <c r="N257" s="16" t="s">
        <v>278</v>
      </c>
      <c r="O257" s="15" t="s">
        <v>283</v>
      </c>
      <c r="P257" t="s">
        <v>371</v>
      </c>
      <c r="Q257" t="s">
        <v>371</v>
      </c>
      <c r="R257" s="17" t="s">
        <v>371</v>
      </c>
      <c r="S257" s="16" t="s">
        <v>341</v>
      </c>
      <c r="T257" s="16" t="s">
        <v>340</v>
      </c>
      <c r="U257" s="15" t="s">
        <v>343</v>
      </c>
      <c r="V257" s="15" t="s">
        <v>345</v>
      </c>
      <c r="W257" s="17"/>
      <c r="X257" t="s">
        <v>349</v>
      </c>
      <c r="Y257" t="s">
        <v>349</v>
      </c>
      <c r="Z257" t="s">
        <v>293</v>
      </c>
      <c r="AA257" t="s">
        <v>353</v>
      </c>
      <c r="AB257" t="s">
        <v>297</v>
      </c>
      <c r="AC257" t="s">
        <v>300</v>
      </c>
      <c r="AD257" t="s">
        <v>292</v>
      </c>
      <c r="AE257" t="s">
        <v>293</v>
      </c>
      <c r="AF257" t="s">
        <v>292</v>
      </c>
      <c r="AG257" t="s">
        <v>293</v>
      </c>
      <c r="AH257" t="s">
        <v>293</v>
      </c>
      <c r="AI257" t="s">
        <v>302</v>
      </c>
      <c r="AJ257" t="s">
        <v>359</v>
      </c>
      <c r="AK257" t="s">
        <v>359</v>
      </c>
      <c r="AL257" t="s">
        <v>293</v>
      </c>
      <c r="AM257" t="s">
        <v>293</v>
      </c>
      <c r="AN257" t="s">
        <v>297</v>
      </c>
      <c r="AO257" t="s">
        <v>298</v>
      </c>
      <c r="AP257" t="s">
        <v>293</v>
      </c>
      <c r="AQ257" t="s">
        <v>292</v>
      </c>
      <c r="AR257" t="s">
        <v>293</v>
      </c>
      <c r="AS257" t="s">
        <v>293</v>
      </c>
      <c r="AT257" t="s">
        <v>364</v>
      </c>
      <c r="AU257" t="str">
        <f t="shared" si="8"/>
        <v>no_fail</v>
      </c>
    </row>
    <row r="258" spans="1:47" x14ac:dyDescent="0.3">
      <c r="A258" t="s">
        <v>43</v>
      </c>
      <c r="B258" t="s">
        <v>62</v>
      </c>
      <c r="C258" t="s">
        <v>33</v>
      </c>
      <c r="D258" t="s">
        <v>29</v>
      </c>
      <c r="E258" t="str">
        <f t="shared" ref="E258:E321" si="9">B258&amp;"-"&amp;D258&amp;"-"&amp;C258</f>
        <v>P_L4V-ZSB-S_8I8</v>
      </c>
      <c r="F258" t="b">
        <v>1</v>
      </c>
      <c r="G258">
        <v>100</v>
      </c>
      <c r="H258">
        <v>1</v>
      </c>
      <c r="I258">
        <v>8853</v>
      </c>
      <c r="J258" s="61" t="s">
        <v>18</v>
      </c>
      <c r="K258" s="16" t="s">
        <v>272</v>
      </c>
      <c r="L258" s="16">
        <v>3</v>
      </c>
      <c r="M258" s="16" t="s">
        <v>333</v>
      </c>
      <c r="N258" s="16" t="s">
        <v>278</v>
      </c>
      <c r="O258" s="15" t="s">
        <v>283</v>
      </c>
      <c r="P258" t="s">
        <v>371</v>
      </c>
      <c r="Q258" t="s">
        <v>371</v>
      </c>
      <c r="R258" s="17" t="s">
        <v>371</v>
      </c>
      <c r="S258" s="16" t="s">
        <v>341</v>
      </c>
      <c r="T258" s="16" t="s">
        <v>340</v>
      </c>
      <c r="U258" s="15" t="s">
        <v>343</v>
      </c>
      <c r="V258" s="15" t="s">
        <v>344</v>
      </c>
      <c r="W258" s="17"/>
      <c r="X258" t="s">
        <v>349</v>
      </c>
      <c r="Y258" t="s">
        <v>349</v>
      </c>
      <c r="Z258" t="s">
        <v>293</v>
      </c>
      <c r="AA258" t="s">
        <v>353</v>
      </c>
      <c r="AB258" t="s">
        <v>297</v>
      </c>
      <c r="AC258" t="s">
        <v>300</v>
      </c>
      <c r="AD258" t="s">
        <v>292</v>
      </c>
      <c r="AE258" t="s">
        <v>293</v>
      </c>
      <c r="AF258" t="s">
        <v>292</v>
      </c>
      <c r="AG258" t="s">
        <v>293</v>
      </c>
      <c r="AH258" t="s">
        <v>293</v>
      </c>
      <c r="AI258" t="s">
        <v>302</v>
      </c>
      <c r="AJ258" t="s">
        <v>359</v>
      </c>
      <c r="AK258" t="s">
        <v>359</v>
      </c>
      <c r="AL258" t="s">
        <v>293</v>
      </c>
      <c r="AM258" t="s">
        <v>293</v>
      </c>
      <c r="AN258" t="s">
        <v>297</v>
      </c>
      <c r="AO258" t="s">
        <v>298</v>
      </c>
      <c r="AP258" t="s">
        <v>360</v>
      </c>
      <c r="AQ258" t="s">
        <v>292</v>
      </c>
      <c r="AR258" t="s">
        <v>293</v>
      </c>
      <c r="AS258" t="s">
        <v>293</v>
      </c>
      <c r="AT258" t="s">
        <v>364</v>
      </c>
      <c r="AU258" t="str">
        <f t="shared" si="8"/>
        <v>break</v>
      </c>
    </row>
    <row r="259" spans="1:47" x14ac:dyDescent="0.3">
      <c r="A259" t="s">
        <v>43</v>
      </c>
      <c r="B259" t="s">
        <v>62</v>
      </c>
      <c r="C259" t="s">
        <v>35</v>
      </c>
      <c r="D259" t="s">
        <v>29</v>
      </c>
      <c r="E259" t="str">
        <f t="shared" si="9"/>
        <v>P_L4V-ZSB-S_9X8</v>
      </c>
      <c r="F259" t="b">
        <v>1</v>
      </c>
      <c r="G259">
        <v>100</v>
      </c>
      <c r="H259">
        <v>1</v>
      </c>
      <c r="I259">
        <v>8705</v>
      </c>
      <c r="J259" s="61" t="s">
        <v>18</v>
      </c>
      <c r="K259" s="16" t="s">
        <v>272</v>
      </c>
      <c r="L259" s="16">
        <v>3</v>
      </c>
      <c r="M259" s="16" t="s">
        <v>333</v>
      </c>
      <c r="N259" s="16" t="s">
        <v>278</v>
      </c>
      <c r="O259" s="15" t="s">
        <v>283</v>
      </c>
      <c r="P259" t="s">
        <v>371</v>
      </c>
      <c r="Q259" t="s">
        <v>371</v>
      </c>
      <c r="R259" s="17" t="s">
        <v>371</v>
      </c>
      <c r="S259" s="16" t="s">
        <v>341</v>
      </c>
      <c r="T259" s="16" t="s">
        <v>340</v>
      </c>
      <c r="U259" s="15" t="s">
        <v>343</v>
      </c>
      <c r="V259" s="15" t="s">
        <v>344</v>
      </c>
      <c r="W259" s="17"/>
      <c r="X259" t="s">
        <v>349</v>
      </c>
      <c r="Y259" t="s">
        <v>349</v>
      </c>
      <c r="Z259" t="s">
        <v>293</v>
      </c>
      <c r="AA259" t="s">
        <v>353</v>
      </c>
      <c r="AB259" t="s">
        <v>297</v>
      </c>
      <c r="AC259" t="s">
        <v>300</v>
      </c>
      <c r="AD259" t="s">
        <v>292</v>
      </c>
      <c r="AE259" t="s">
        <v>293</v>
      </c>
      <c r="AF259" t="s">
        <v>292</v>
      </c>
      <c r="AG259" t="s">
        <v>293</v>
      </c>
      <c r="AH259" t="s">
        <v>293</v>
      </c>
      <c r="AI259" t="s">
        <v>302</v>
      </c>
      <c r="AJ259" t="s">
        <v>359</v>
      </c>
      <c r="AK259" t="s">
        <v>359</v>
      </c>
      <c r="AL259" t="s">
        <v>293</v>
      </c>
      <c r="AM259" t="s">
        <v>293</v>
      </c>
      <c r="AN259" t="s">
        <v>297</v>
      </c>
      <c r="AO259" t="s">
        <v>298</v>
      </c>
      <c r="AP259" t="s">
        <v>360</v>
      </c>
      <c r="AQ259" t="s">
        <v>292</v>
      </c>
      <c r="AR259" t="s">
        <v>293</v>
      </c>
      <c r="AS259" t="s">
        <v>293</v>
      </c>
      <c r="AT259" t="s">
        <v>364</v>
      </c>
      <c r="AU259" t="str">
        <f t="shared" si="8"/>
        <v>break</v>
      </c>
    </row>
    <row r="260" spans="1:47" x14ac:dyDescent="0.3">
      <c r="A260" t="s">
        <v>43</v>
      </c>
      <c r="B260" t="s">
        <v>58</v>
      </c>
      <c r="C260" t="s">
        <v>15</v>
      </c>
      <c r="D260" t="s">
        <v>12</v>
      </c>
      <c r="E260" t="str">
        <f t="shared" si="9"/>
        <v>P_L7K-KYY-S_0M4</v>
      </c>
      <c r="F260" t="b">
        <v>1</v>
      </c>
      <c r="G260">
        <v>100</v>
      </c>
      <c r="H260">
        <v>1</v>
      </c>
      <c r="I260">
        <v>9809</v>
      </c>
      <c r="J260" s="61" t="s">
        <v>18</v>
      </c>
      <c r="K260" s="16" t="s">
        <v>272</v>
      </c>
      <c r="L260" s="16">
        <v>3</v>
      </c>
      <c r="M260" s="16" t="s">
        <v>277</v>
      </c>
      <c r="N260" s="16" t="s">
        <v>335</v>
      </c>
      <c r="O260" s="15" t="s">
        <v>281</v>
      </c>
      <c r="P260" t="s">
        <v>282</v>
      </c>
      <c r="Q260" t="s">
        <v>371</v>
      </c>
      <c r="R260" s="17" t="s">
        <v>371</v>
      </c>
      <c r="S260" s="16" t="s">
        <v>341</v>
      </c>
      <c r="T260" s="16" t="s">
        <v>342</v>
      </c>
      <c r="U260" s="15" t="s">
        <v>343</v>
      </c>
      <c r="V260" s="15" t="s">
        <v>345</v>
      </c>
      <c r="W260" s="17" t="s">
        <v>291</v>
      </c>
      <c r="X260" t="s">
        <v>349</v>
      </c>
      <c r="Y260" t="s">
        <v>349</v>
      </c>
      <c r="Z260" t="s">
        <v>293</v>
      </c>
      <c r="AA260" t="s">
        <v>352</v>
      </c>
      <c r="AB260" t="s">
        <v>296</v>
      </c>
      <c r="AC260" t="s">
        <v>301</v>
      </c>
      <c r="AD260" t="s">
        <v>292</v>
      </c>
      <c r="AE260" t="s">
        <v>293</v>
      </c>
      <c r="AF260" t="s">
        <v>292</v>
      </c>
      <c r="AG260" t="s">
        <v>292</v>
      </c>
      <c r="AH260" t="s">
        <v>293</v>
      </c>
      <c r="AI260" t="s">
        <v>302</v>
      </c>
      <c r="AJ260" t="s">
        <v>302</v>
      </c>
      <c r="AK260" t="s">
        <v>359</v>
      </c>
      <c r="AL260" t="s">
        <v>293</v>
      </c>
      <c r="AM260" t="s">
        <v>293</v>
      </c>
      <c r="AN260" t="s">
        <v>297</v>
      </c>
      <c r="AO260" t="s">
        <v>298</v>
      </c>
      <c r="AP260" t="s">
        <v>293</v>
      </c>
      <c r="AQ260" t="s">
        <v>292</v>
      </c>
      <c r="AR260" t="s">
        <v>293</v>
      </c>
      <c r="AS260" t="s">
        <v>293</v>
      </c>
      <c r="AT260" t="s">
        <v>364</v>
      </c>
      <c r="AU260" t="str">
        <f t="shared" si="8"/>
        <v>break</v>
      </c>
    </row>
    <row r="261" spans="1:47" x14ac:dyDescent="0.3">
      <c r="A261" t="s">
        <v>43</v>
      </c>
      <c r="B261" t="s">
        <v>58</v>
      </c>
      <c r="C261" t="s">
        <v>14</v>
      </c>
      <c r="D261" t="s">
        <v>12</v>
      </c>
      <c r="E261" t="str">
        <f t="shared" si="9"/>
        <v>P_L7K-KYY-S_1B0</v>
      </c>
      <c r="F261" t="b">
        <v>1</v>
      </c>
      <c r="G261">
        <v>79.900000000000006</v>
      </c>
      <c r="H261">
        <v>0</v>
      </c>
      <c r="I261">
        <v>10669</v>
      </c>
      <c r="J261" s="61" t="s">
        <v>13</v>
      </c>
      <c r="K261" s="16" t="s">
        <v>272</v>
      </c>
      <c r="L261" s="16">
        <v>3</v>
      </c>
      <c r="M261" s="16" t="s">
        <v>277</v>
      </c>
      <c r="N261" s="16" t="s">
        <v>335</v>
      </c>
      <c r="O261" s="15" t="s">
        <v>282</v>
      </c>
      <c r="P261" t="s">
        <v>283</v>
      </c>
      <c r="Q261" t="s">
        <v>281</v>
      </c>
      <c r="R261" s="17" t="s">
        <v>371</v>
      </c>
      <c r="S261" s="16" t="s">
        <v>341</v>
      </c>
      <c r="T261" s="16" t="s">
        <v>342</v>
      </c>
      <c r="U261" s="15" t="s">
        <v>343</v>
      </c>
      <c r="V261" s="15" t="s">
        <v>345</v>
      </c>
      <c r="W261" s="17" t="s">
        <v>347</v>
      </c>
      <c r="X261" t="s">
        <v>349</v>
      </c>
      <c r="Y261" t="s">
        <v>349</v>
      </c>
      <c r="Z261" t="s">
        <v>293</v>
      </c>
      <c r="AA261" t="s">
        <v>352</v>
      </c>
      <c r="AB261" t="s">
        <v>296</v>
      </c>
      <c r="AC261" t="s">
        <v>301</v>
      </c>
      <c r="AD261" t="s">
        <v>292</v>
      </c>
      <c r="AE261" t="s">
        <v>293</v>
      </c>
      <c r="AF261" t="s">
        <v>292</v>
      </c>
      <c r="AG261" t="s">
        <v>292</v>
      </c>
      <c r="AH261" t="s">
        <v>293</v>
      </c>
      <c r="AI261" t="s">
        <v>302</v>
      </c>
      <c r="AJ261" t="s">
        <v>302</v>
      </c>
      <c r="AK261" t="s">
        <v>359</v>
      </c>
      <c r="AL261" t="s">
        <v>293</v>
      </c>
      <c r="AM261" t="s">
        <v>293</v>
      </c>
      <c r="AN261" t="s">
        <v>297</v>
      </c>
      <c r="AO261" t="s">
        <v>298</v>
      </c>
      <c r="AP261" t="s">
        <v>293</v>
      </c>
      <c r="AQ261" t="s">
        <v>292</v>
      </c>
      <c r="AR261" t="s">
        <v>293</v>
      </c>
      <c r="AS261" t="s">
        <v>293</v>
      </c>
      <c r="AT261" t="s">
        <v>364</v>
      </c>
      <c r="AU261" t="str">
        <f t="shared" si="8"/>
        <v>no_fail</v>
      </c>
    </row>
    <row r="262" spans="1:47" x14ac:dyDescent="0.3">
      <c r="A262" t="s">
        <v>43</v>
      </c>
      <c r="B262" t="s">
        <v>58</v>
      </c>
      <c r="C262" t="s">
        <v>11</v>
      </c>
      <c r="D262" t="s">
        <v>12</v>
      </c>
      <c r="E262" t="str">
        <f t="shared" si="9"/>
        <v>P_L7K-KYY-S_1Q4</v>
      </c>
      <c r="F262" t="b">
        <v>1</v>
      </c>
      <c r="G262">
        <v>100</v>
      </c>
      <c r="H262">
        <v>1</v>
      </c>
      <c r="I262">
        <v>9746</v>
      </c>
      <c r="J262" s="61" t="s">
        <v>13</v>
      </c>
      <c r="K262" s="16" t="s">
        <v>272</v>
      </c>
      <c r="L262" s="16">
        <v>3</v>
      </c>
      <c r="M262" s="16" t="s">
        <v>277</v>
      </c>
      <c r="N262" s="16" t="s">
        <v>335</v>
      </c>
      <c r="O262" s="15" t="s">
        <v>282</v>
      </c>
      <c r="P262" t="s">
        <v>283</v>
      </c>
      <c r="Q262" t="s">
        <v>281</v>
      </c>
      <c r="R262" s="17" t="s">
        <v>371</v>
      </c>
      <c r="S262" s="16" t="s">
        <v>341</v>
      </c>
      <c r="T262" s="16" t="s">
        <v>342</v>
      </c>
      <c r="U262" s="15" t="s">
        <v>343</v>
      </c>
      <c r="V262" s="15" t="s">
        <v>344</v>
      </c>
      <c r="W262" s="17"/>
      <c r="X262" t="s">
        <v>349</v>
      </c>
      <c r="Y262" t="s">
        <v>349</v>
      </c>
      <c r="Z262" t="s">
        <v>293</v>
      </c>
      <c r="AA262" t="s">
        <v>352</v>
      </c>
      <c r="AB262" t="s">
        <v>296</v>
      </c>
      <c r="AC262" t="s">
        <v>301</v>
      </c>
      <c r="AD262" t="s">
        <v>292</v>
      </c>
      <c r="AE262" t="s">
        <v>293</v>
      </c>
      <c r="AF262" t="s">
        <v>292</v>
      </c>
      <c r="AG262" t="s">
        <v>292</v>
      </c>
      <c r="AH262" t="s">
        <v>293</v>
      </c>
      <c r="AI262" t="s">
        <v>302</v>
      </c>
      <c r="AJ262" t="s">
        <v>359</v>
      </c>
      <c r="AK262" t="s">
        <v>359</v>
      </c>
      <c r="AL262" t="s">
        <v>293</v>
      </c>
      <c r="AM262" t="s">
        <v>293</v>
      </c>
      <c r="AN262" t="s">
        <v>297</v>
      </c>
      <c r="AO262" t="s">
        <v>298</v>
      </c>
      <c r="AP262" t="s">
        <v>293</v>
      </c>
      <c r="AQ262" t="s">
        <v>292</v>
      </c>
      <c r="AR262" t="s">
        <v>293</v>
      </c>
      <c r="AS262" t="s">
        <v>293</v>
      </c>
      <c r="AT262" t="s">
        <v>364</v>
      </c>
      <c r="AU262" t="str">
        <f t="shared" si="8"/>
        <v>no_fail</v>
      </c>
    </row>
    <row r="263" spans="1:47" x14ac:dyDescent="0.3">
      <c r="A263" t="s">
        <v>43</v>
      </c>
      <c r="B263" t="s">
        <v>58</v>
      </c>
      <c r="C263" t="s">
        <v>16</v>
      </c>
      <c r="D263" t="s">
        <v>12</v>
      </c>
      <c r="E263" t="str">
        <f t="shared" si="9"/>
        <v>P_L7K-KYY-S_6U7</v>
      </c>
      <c r="F263" t="b">
        <v>1</v>
      </c>
      <c r="G263">
        <v>100</v>
      </c>
      <c r="H263">
        <v>1</v>
      </c>
      <c r="I263">
        <v>8981</v>
      </c>
      <c r="J263" s="61" t="s">
        <v>18</v>
      </c>
      <c r="K263" s="16" t="s">
        <v>272</v>
      </c>
      <c r="L263" s="16">
        <v>3</v>
      </c>
      <c r="M263" s="16" t="s">
        <v>277</v>
      </c>
      <c r="N263" s="16" t="s">
        <v>335</v>
      </c>
      <c r="O263" s="15" t="s">
        <v>281</v>
      </c>
      <c r="P263" t="s">
        <v>283</v>
      </c>
      <c r="Q263" t="s">
        <v>282</v>
      </c>
      <c r="R263" s="17" t="s">
        <v>371</v>
      </c>
      <c r="S263" s="16" t="s">
        <v>341</v>
      </c>
      <c r="T263" s="16" t="s">
        <v>342</v>
      </c>
      <c r="U263" s="15" t="s">
        <v>343</v>
      </c>
      <c r="V263" s="15" t="s">
        <v>345</v>
      </c>
      <c r="W263" s="17"/>
      <c r="X263" t="s">
        <v>349</v>
      </c>
      <c r="Y263" t="s">
        <v>349</v>
      </c>
      <c r="Z263" t="s">
        <v>293</v>
      </c>
      <c r="AA263" t="s">
        <v>352</v>
      </c>
      <c r="AB263" t="s">
        <v>296</v>
      </c>
      <c r="AC263" t="s">
        <v>300</v>
      </c>
      <c r="AD263" t="s">
        <v>292</v>
      </c>
      <c r="AE263" t="s">
        <v>293</v>
      </c>
      <c r="AF263" t="s">
        <v>292</v>
      </c>
      <c r="AG263" t="s">
        <v>292</v>
      </c>
      <c r="AH263" t="s">
        <v>293</v>
      </c>
      <c r="AI263" t="s">
        <v>302</v>
      </c>
      <c r="AJ263" t="s">
        <v>302</v>
      </c>
      <c r="AK263" t="s">
        <v>359</v>
      </c>
      <c r="AL263" t="s">
        <v>293</v>
      </c>
      <c r="AM263" t="s">
        <v>293</v>
      </c>
      <c r="AN263" t="s">
        <v>297</v>
      </c>
      <c r="AO263" t="s">
        <v>298</v>
      </c>
      <c r="AP263" t="s">
        <v>293</v>
      </c>
      <c r="AQ263" t="s">
        <v>292</v>
      </c>
      <c r="AR263" t="s">
        <v>293</v>
      </c>
      <c r="AS263" t="s">
        <v>293</v>
      </c>
      <c r="AT263" t="s">
        <v>364</v>
      </c>
      <c r="AU263" t="str">
        <f t="shared" si="8"/>
        <v>break</v>
      </c>
    </row>
    <row r="264" spans="1:47" x14ac:dyDescent="0.3">
      <c r="A264" t="s">
        <v>43</v>
      </c>
      <c r="B264" t="s">
        <v>58</v>
      </c>
      <c r="C264" t="s">
        <v>19</v>
      </c>
      <c r="D264" t="s">
        <v>29</v>
      </c>
      <c r="E264" t="str">
        <f t="shared" si="9"/>
        <v>P_L7K-ZSB-S_4U3</v>
      </c>
      <c r="F264" t="b">
        <v>1</v>
      </c>
      <c r="G264">
        <v>100</v>
      </c>
      <c r="H264">
        <v>1</v>
      </c>
      <c r="I264">
        <v>22277</v>
      </c>
      <c r="J264" s="61" t="s">
        <v>18</v>
      </c>
      <c r="K264" s="16" t="s">
        <v>272</v>
      </c>
      <c r="L264" s="16">
        <v>2</v>
      </c>
      <c r="M264" s="16" t="s">
        <v>277</v>
      </c>
      <c r="N264" s="16" t="s">
        <v>335</v>
      </c>
      <c r="O264" s="15" t="s">
        <v>281</v>
      </c>
      <c r="P264" t="s">
        <v>282</v>
      </c>
      <c r="Q264" t="s">
        <v>371</v>
      </c>
      <c r="R264" s="17" t="s">
        <v>371</v>
      </c>
      <c r="S264" s="16" t="s">
        <v>341</v>
      </c>
      <c r="T264" s="16" t="s">
        <v>340</v>
      </c>
      <c r="U264" s="15" t="s">
        <v>340</v>
      </c>
      <c r="V264" s="15" t="s">
        <v>344</v>
      </c>
      <c r="W264" s="17" t="s">
        <v>347</v>
      </c>
      <c r="X264" t="s">
        <v>349</v>
      </c>
      <c r="Y264" t="s">
        <v>349</v>
      </c>
      <c r="Z264" t="s">
        <v>293</v>
      </c>
      <c r="AA264" t="s">
        <v>354</v>
      </c>
      <c r="AB264" t="s">
        <v>354</v>
      </c>
      <c r="AC264" t="s">
        <v>301</v>
      </c>
      <c r="AD264" t="s">
        <v>292</v>
      </c>
      <c r="AE264" t="s">
        <v>293</v>
      </c>
      <c r="AF264" t="s">
        <v>292</v>
      </c>
      <c r="AG264" t="s">
        <v>292</v>
      </c>
      <c r="AH264" t="s">
        <v>293</v>
      </c>
      <c r="AI264" t="s">
        <v>302</v>
      </c>
      <c r="AJ264" t="s">
        <v>302</v>
      </c>
      <c r="AK264" t="s">
        <v>357</v>
      </c>
      <c r="AL264" t="s">
        <v>293</v>
      </c>
      <c r="AM264" t="s">
        <v>293</v>
      </c>
      <c r="AN264" t="s">
        <v>297</v>
      </c>
      <c r="AO264" t="s">
        <v>298</v>
      </c>
      <c r="AP264" t="s">
        <v>293</v>
      </c>
      <c r="AQ264" t="s">
        <v>292</v>
      </c>
      <c r="AR264" t="s">
        <v>363</v>
      </c>
      <c r="AS264" t="s">
        <v>293</v>
      </c>
      <c r="AT264" t="s">
        <v>364</v>
      </c>
      <c r="AU264" t="str">
        <f t="shared" si="8"/>
        <v>break</v>
      </c>
    </row>
    <row r="265" spans="1:47" x14ac:dyDescent="0.3">
      <c r="A265" t="s">
        <v>43</v>
      </c>
      <c r="B265" t="s">
        <v>58</v>
      </c>
      <c r="C265" t="s">
        <v>17</v>
      </c>
      <c r="D265" t="s">
        <v>29</v>
      </c>
      <c r="E265" t="str">
        <f t="shared" si="9"/>
        <v>P_L7K-ZSB-S_6B5</v>
      </c>
      <c r="F265" t="b">
        <v>1</v>
      </c>
      <c r="G265">
        <v>100</v>
      </c>
      <c r="H265">
        <v>1</v>
      </c>
      <c r="I265">
        <v>16046</v>
      </c>
      <c r="J265" s="61" t="s">
        <v>18</v>
      </c>
      <c r="K265" s="16" t="s">
        <v>272</v>
      </c>
      <c r="L265" s="16">
        <v>2</v>
      </c>
      <c r="M265" s="16" t="s">
        <v>277</v>
      </c>
      <c r="N265" s="16" t="s">
        <v>335</v>
      </c>
      <c r="O265" s="15" t="s">
        <v>281</v>
      </c>
      <c r="P265" t="s">
        <v>282</v>
      </c>
      <c r="Q265" t="s">
        <v>371</v>
      </c>
      <c r="R265" s="17" t="s">
        <v>371</v>
      </c>
      <c r="S265" s="16" t="s">
        <v>341</v>
      </c>
      <c r="T265" s="16" t="s">
        <v>340</v>
      </c>
      <c r="U265" s="15" t="s">
        <v>340</v>
      </c>
      <c r="V265" s="15" t="s">
        <v>344</v>
      </c>
      <c r="W265" s="17" t="s">
        <v>347</v>
      </c>
      <c r="X265" t="s">
        <v>349</v>
      </c>
      <c r="Y265" t="s">
        <v>349</v>
      </c>
      <c r="Z265" t="s">
        <v>293</v>
      </c>
      <c r="AA265" t="s">
        <v>354</v>
      </c>
      <c r="AB265" t="s">
        <v>354</v>
      </c>
      <c r="AC265" t="s">
        <v>301</v>
      </c>
      <c r="AD265" t="s">
        <v>292</v>
      </c>
      <c r="AE265" t="s">
        <v>293</v>
      </c>
      <c r="AF265" t="s">
        <v>292</v>
      </c>
      <c r="AG265" t="s">
        <v>292</v>
      </c>
      <c r="AH265" t="s">
        <v>293</v>
      </c>
      <c r="AI265" t="s">
        <v>302</v>
      </c>
      <c r="AJ265" t="s">
        <v>302</v>
      </c>
      <c r="AK265" t="s">
        <v>357</v>
      </c>
      <c r="AL265" t="s">
        <v>293</v>
      </c>
      <c r="AM265" t="s">
        <v>293</v>
      </c>
      <c r="AN265" t="s">
        <v>297</v>
      </c>
      <c r="AO265" t="s">
        <v>298</v>
      </c>
      <c r="AP265" t="s">
        <v>293</v>
      </c>
      <c r="AQ265" t="s">
        <v>292</v>
      </c>
      <c r="AR265" t="s">
        <v>363</v>
      </c>
      <c r="AS265" t="s">
        <v>293</v>
      </c>
      <c r="AT265" t="s">
        <v>364</v>
      </c>
      <c r="AU265" t="str">
        <f t="shared" si="8"/>
        <v>break</v>
      </c>
    </row>
    <row r="266" spans="1:47" x14ac:dyDescent="0.3">
      <c r="A266" t="s">
        <v>45</v>
      </c>
      <c r="B266" t="s">
        <v>61</v>
      </c>
      <c r="C266" t="s">
        <v>15</v>
      </c>
      <c r="D266" t="s">
        <v>12</v>
      </c>
      <c r="E266" t="str">
        <f t="shared" si="9"/>
        <v>P_M4M-KYY-S_0M4</v>
      </c>
      <c r="F266" t="b">
        <v>1</v>
      </c>
      <c r="G266">
        <v>100</v>
      </c>
      <c r="H266">
        <v>1</v>
      </c>
      <c r="I266">
        <v>19310</v>
      </c>
      <c r="J266" s="61" t="s">
        <v>18</v>
      </c>
      <c r="K266" s="16" t="s">
        <v>272</v>
      </c>
      <c r="L266" s="16">
        <v>3</v>
      </c>
      <c r="M266" s="16" t="s">
        <v>277</v>
      </c>
      <c r="N266" s="16" t="s">
        <v>335</v>
      </c>
      <c r="O266" s="15" t="s">
        <v>284</v>
      </c>
      <c r="P266" t="s">
        <v>283</v>
      </c>
      <c r="Q266" t="s">
        <v>371</v>
      </c>
      <c r="R266" s="17" t="s">
        <v>371</v>
      </c>
      <c r="S266" s="16" t="s">
        <v>341</v>
      </c>
      <c r="T266" s="16" t="s">
        <v>340</v>
      </c>
      <c r="U266" s="15" t="s">
        <v>343</v>
      </c>
      <c r="V266" s="15" t="s">
        <v>344</v>
      </c>
      <c r="W266" s="17"/>
      <c r="X266" t="s">
        <v>349</v>
      </c>
      <c r="Y266" t="s">
        <v>349</v>
      </c>
      <c r="Z266" t="s">
        <v>293</v>
      </c>
      <c r="AA266" t="s">
        <v>353</v>
      </c>
      <c r="AB266" t="s">
        <v>296</v>
      </c>
      <c r="AC266" t="s">
        <v>300</v>
      </c>
      <c r="AD266" t="s">
        <v>292</v>
      </c>
      <c r="AE266" t="s">
        <v>292</v>
      </c>
      <c r="AF266" t="s">
        <v>292</v>
      </c>
      <c r="AG266" t="s">
        <v>292</v>
      </c>
      <c r="AH266" t="s">
        <v>293</v>
      </c>
      <c r="AI266" t="s">
        <v>302</v>
      </c>
      <c r="AJ266" t="s">
        <v>302</v>
      </c>
      <c r="AK266" t="s">
        <v>359</v>
      </c>
      <c r="AL266" t="s">
        <v>293</v>
      </c>
      <c r="AM266" t="s">
        <v>293</v>
      </c>
      <c r="AN266" t="s">
        <v>297</v>
      </c>
      <c r="AO266" t="s">
        <v>356</v>
      </c>
      <c r="AP266" t="s">
        <v>293</v>
      </c>
      <c r="AQ266" t="s">
        <v>292</v>
      </c>
      <c r="AR266" t="s">
        <v>293</v>
      </c>
      <c r="AS266" t="s">
        <v>293</v>
      </c>
      <c r="AT266" t="s">
        <v>364</v>
      </c>
      <c r="AU266" t="str">
        <f t="shared" si="8"/>
        <v>break</v>
      </c>
    </row>
    <row r="267" spans="1:47" x14ac:dyDescent="0.3">
      <c r="A267" t="s">
        <v>45</v>
      </c>
      <c r="B267" t="s">
        <v>61</v>
      </c>
      <c r="C267" t="s">
        <v>14</v>
      </c>
      <c r="D267" t="s">
        <v>12</v>
      </c>
      <c r="E267" t="str">
        <f t="shared" si="9"/>
        <v>P_M4M-KYY-S_1B0</v>
      </c>
      <c r="F267" t="b">
        <v>1</v>
      </c>
      <c r="G267">
        <v>99.9</v>
      </c>
      <c r="H267">
        <v>0</v>
      </c>
      <c r="I267">
        <v>7128</v>
      </c>
      <c r="J267" s="61" t="s">
        <v>18</v>
      </c>
      <c r="K267" s="16" t="s">
        <v>272</v>
      </c>
      <c r="L267" s="16">
        <v>2</v>
      </c>
      <c r="M267" s="16" t="s">
        <v>333</v>
      </c>
      <c r="N267" s="16" t="s">
        <v>278</v>
      </c>
      <c r="O267" s="15" t="s">
        <v>284</v>
      </c>
      <c r="P267" t="s">
        <v>371</v>
      </c>
      <c r="Q267" t="s">
        <v>371</v>
      </c>
      <c r="R267" s="17" t="s">
        <v>371</v>
      </c>
      <c r="S267" s="16" t="s">
        <v>341</v>
      </c>
      <c r="T267" s="16" t="s">
        <v>340</v>
      </c>
      <c r="U267" s="15" t="s">
        <v>343</v>
      </c>
      <c r="V267" s="15" t="s">
        <v>344</v>
      </c>
      <c r="W267" s="17"/>
      <c r="X267" t="s">
        <v>349</v>
      </c>
      <c r="Y267" t="s">
        <v>349</v>
      </c>
      <c r="Z267" t="s">
        <v>293</v>
      </c>
      <c r="AA267" t="s">
        <v>353</v>
      </c>
      <c r="AB267" t="s">
        <v>355</v>
      </c>
      <c r="AC267" t="s">
        <v>301</v>
      </c>
      <c r="AD267" t="s">
        <v>292</v>
      </c>
      <c r="AE267" t="s">
        <v>293</v>
      </c>
      <c r="AF267" t="s">
        <v>292</v>
      </c>
      <c r="AG267" t="s">
        <v>292</v>
      </c>
      <c r="AH267" t="s">
        <v>293</v>
      </c>
      <c r="AI267" t="s">
        <v>302</v>
      </c>
      <c r="AJ267" t="s">
        <v>357</v>
      </c>
      <c r="AK267" t="s">
        <v>302</v>
      </c>
      <c r="AL267" t="s">
        <v>293</v>
      </c>
      <c r="AM267" t="s">
        <v>293</v>
      </c>
      <c r="AN267" t="s">
        <v>297</v>
      </c>
      <c r="AO267" t="s">
        <v>298</v>
      </c>
      <c r="AP267" t="s">
        <v>293</v>
      </c>
      <c r="AQ267" t="s">
        <v>292</v>
      </c>
      <c r="AR267" t="s">
        <v>293</v>
      </c>
      <c r="AS267" t="s">
        <v>293</v>
      </c>
      <c r="AT267" t="s">
        <v>364</v>
      </c>
      <c r="AU267" t="str">
        <f t="shared" si="8"/>
        <v>car_stuck</v>
      </c>
    </row>
    <row r="268" spans="1:47" x14ac:dyDescent="0.3">
      <c r="A268" t="s">
        <v>45</v>
      </c>
      <c r="B268" t="s">
        <v>61</v>
      </c>
      <c r="C268" t="s">
        <v>11</v>
      </c>
      <c r="D268" t="s">
        <v>12</v>
      </c>
      <c r="E268" t="str">
        <f t="shared" si="9"/>
        <v>P_M4M-KYY-S_1Q4</v>
      </c>
      <c r="F268" t="b">
        <v>1</v>
      </c>
      <c r="G268">
        <v>100</v>
      </c>
      <c r="H268">
        <v>1</v>
      </c>
      <c r="I268">
        <v>3954</v>
      </c>
      <c r="J268" s="61" t="s">
        <v>18</v>
      </c>
      <c r="K268" s="16" t="s">
        <v>272</v>
      </c>
      <c r="L268" s="16">
        <v>2</v>
      </c>
      <c r="M268" s="16" t="s">
        <v>333</v>
      </c>
      <c r="N268" s="16" t="s">
        <v>278</v>
      </c>
      <c r="O268" s="15" t="s">
        <v>284</v>
      </c>
      <c r="P268" t="s">
        <v>371</v>
      </c>
      <c r="Q268" t="s">
        <v>371</v>
      </c>
      <c r="R268" s="17" t="s">
        <v>371</v>
      </c>
      <c r="S268" s="16" t="s">
        <v>340</v>
      </c>
      <c r="T268" s="16" t="s">
        <v>340</v>
      </c>
      <c r="U268" s="15" t="s">
        <v>343</v>
      </c>
      <c r="V268" s="15" t="s">
        <v>291</v>
      </c>
      <c r="W268" s="17"/>
      <c r="X268" t="s">
        <v>349</v>
      </c>
      <c r="Y268" t="s">
        <v>349</v>
      </c>
      <c r="Z268" t="s">
        <v>293</v>
      </c>
      <c r="AA268" t="s">
        <v>352</v>
      </c>
      <c r="AB268" t="s">
        <v>296</v>
      </c>
      <c r="AC268" t="s">
        <v>299</v>
      </c>
      <c r="AD268" t="s">
        <v>292</v>
      </c>
      <c r="AE268" t="s">
        <v>293</v>
      </c>
      <c r="AF268" t="s">
        <v>293</v>
      </c>
      <c r="AG268" t="s">
        <v>292</v>
      </c>
      <c r="AH268" t="s">
        <v>293</v>
      </c>
      <c r="AI268" t="s">
        <v>302</v>
      </c>
      <c r="AJ268" t="s">
        <v>302</v>
      </c>
      <c r="AK268" t="s">
        <v>359</v>
      </c>
      <c r="AL268" t="s">
        <v>293</v>
      </c>
      <c r="AM268" t="s">
        <v>293</v>
      </c>
      <c r="AN268" t="s">
        <v>296</v>
      </c>
      <c r="AO268" t="s">
        <v>298</v>
      </c>
      <c r="AP268" t="s">
        <v>293</v>
      </c>
      <c r="AQ268" t="s">
        <v>292</v>
      </c>
      <c r="AR268" t="s">
        <v>293</v>
      </c>
      <c r="AS268" t="s">
        <v>293</v>
      </c>
      <c r="AT268" t="s">
        <v>364</v>
      </c>
      <c r="AU268" t="str">
        <f t="shared" si="8"/>
        <v>break</v>
      </c>
    </row>
    <row r="269" spans="1:47" x14ac:dyDescent="0.3">
      <c r="A269" t="s">
        <v>45</v>
      </c>
      <c r="B269" t="s">
        <v>61</v>
      </c>
      <c r="C269" t="s">
        <v>16</v>
      </c>
      <c r="D269" t="s">
        <v>29</v>
      </c>
      <c r="E269" t="str">
        <f t="shared" si="9"/>
        <v>P_M4M-ZSB-S_6U7</v>
      </c>
      <c r="F269" t="b">
        <v>1</v>
      </c>
      <c r="G269">
        <v>52.5</v>
      </c>
      <c r="H269">
        <v>0</v>
      </c>
      <c r="I269">
        <v>19599</v>
      </c>
      <c r="J269" s="61" t="s">
        <v>13</v>
      </c>
      <c r="K269" s="16" t="s">
        <v>272</v>
      </c>
      <c r="L269" s="16">
        <v>3</v>
      </c>
      <c r="M269" s="16" t="s">
        <v>277</v>
      </c>
      <c r="N269" s="16" t="s">
        <v>335</v>
      </c>
      <c r="O269" s="15" t="s">
        <v>281</v>
      </c>
      <c r="P269" t="s">
        <v>282</v>
      </c>
      <c r="Q269" t="s">
        <v>371</v>
      </c>
      <c r="R269" s="17" t="s">
        <v>371</v>
      </c>
      <c r="S269" s="16" t="s">
        <v>341</v>
      </c>
      <c r="T269" s="16" t="s">
        <v>340</v>
      </c>
      <c r="U269" s="15" t="s">
        <v>343</v>
      </c>
      <c r="V269" s="15" t="s">
        <v>344</v>
      </c>
      <c r="W269" s="17" t="s">
        <v>291</v>
      </c>
      <c r="X269" t="s">
        <v>349</v>
      </c>
      <c r="Y269" t="s">
        <v>349</v>
      </c>
      <c r="Z269" t="s">
        <v>293</v>
      </c>
      <c r="AA269" t="s">
        <v>353</v>
      </c>
      <c r="AB269" t="s">
        <v>296</v>
      </c>
      <c r="AC269" t="s">
        <v>300</v>
      </c>
      <c r="AD269" t="s">
        <v>293</v>
      </c>
      <c r="AE269" t="s">
        <v>292</v>
      </c>
      <c r="AF269" t="s">
        <v>292</v>
      </c>
      <c r="AG269" t="s">
        <v>292</v>
      </c>
      <c r="AH269" t="s">
        <v>293</v>
      </c>
      <c r="AI269" t="s">
        <v>302</v>
      </c>
      <c r="AJ269" t="s">
        <v>302</v>
      </c>
      <c r="AK269" t="s">
        <v>359</v>
      </c>
      <c r="AL269" t="s">
        <v>293</v>
      </c>
      <c r="AM269" t="s">
        <v>293</v>
      </c>
      <c r="AN269" t="s">
        <v>297</v>
      </c>
      <c r="AO269" t="s">
        <v>356</v>
      </c>
      <c r="AP269" t="s">
        <v>293</v>
      </c>
      <c r="AQ269" t="s">
        <v>292</v>
      </c>
      <c r="AR269" t="s">
        <v>293</v>
      </c>
      <c r="AS269" t="s">
        <v>293</v>
      </c>
      <c r="AT269" t="s">
        <v>364</v>
      </c>
      <c r="AU269" t="str">
        <f t="shared" si="8"/>
        <v>no_fail</v>
      </c>
    </row>
    <row r="270" spans="1:47" x14ac:dyDescent="0.3">
      <c r="A270" t="s">
        <v>45</v>
      </c>
      <c r="B270" t="s">
        <v>66</v>
      </c>
      <c r="C270" t="s">
        <v>15</v>
      </c>
      <c r="D270" t="s">
        <v>12</v>
      </c>
      <c r="E270" t="str">
        <f t="shared" si="9"/>
        <v>P_M8L-KYY-S_0M4</v>
      </c>
      <c r="F270" t="b">
        <v>1</v>
      </c>
      <c r="G270">
        <v>100</v>
      </c>
      <c r="H270">
        <v>1</v>
      </c>
      <c r="I270">
        <v>14819</v>
      </c>
      <c r="J270" s="61" t="s">
        <v>18</v>
      </c>
      <c r="K270" s="16" t="s">
        <v>272</v>
      </c>
      <c r="L270" s="16">
        <v>3</v>
      </c>
      <c r="M270" s="16" t="s">
        <v>277</v>
      </c>
      <c r="N270" s="16" t="s">
        <v>335</v>
      </c>
      <c r="O270" s="15" t="s">
        <v>281</v>
      </c>
      <c r="P270" t="s">
        <v>282</v>
      </c>
      <c r="Q270" t="s">
        <v>371</v>
      </c>
      <c r="R270" s="17" t="s">
        <v>371</v>
      </c>
      <c r="S270" s="16" t="s">
        <v>341</v>
      </c>
      <c r="T270" s="16" t="s">
        <v>340</v>
      </c>
      <c r="U270" s="15" t="s">
        <v>343</v>
      </c>
      <c r="V270" s="15" t="s">
        <v>344</v>
      </c>
      <c r="W270" s="17"/>
      <c r="X270" t="s">
        <v>349</v>
      </c>
      <c r="Y270" t="s">
        <v>349</v>
      </c>
      <c r="Z270" t="s">
        <v>293</v>
      </c>
      <c r="AA270" t="s">
        <v>353</v>
      </c>
      <c r="AB270" t="s">
        <v>296</v>
      </c>
      <c r="AC270" t="s">
        <v>301</v>
      </c>
      <c r="AD270" t="s">
        <v>292</v>
      </c>
      <c r="AE270" t="s">
        <v>292</v>
      </c>
      <c r="AF270" t="s">
        <v>292</v>
      </c>
      <c r="AG270" t="s">
        <v>292</v>
      </c>
      <c r="AH270" t="s">
        <v>293</v>
      </c>
      <c r="AI270" t="s">
        <v>358</v>
      </c>
      <c r="AJ270" t="s">
        <v>302</v>
      </c>
      <c r="AK270" t="s">
        <v>359</v>
      </c>
      <c r="AL270" t="s">
        <v>293</v>
      </c>
      <c r="AM270" t="s">
        <v>293</v>
      </c>
      <c r="AN270" t="s">
        <v>297</v>
      </c>
      <c r="AO270" t="s">
        <v>356</v>
      </c>
      <c r="AP270" t="s">
        <v>293</v>
      </c>
      <c r="AQ270" t="s">
        <v>292</v>
      </c>
      <c r="AR270" t="s">
        <v>293</v>
      </c>
      <c r="AS270" t="s">
        <v>293</v>
      </c>
      <c r="AT270" t="s">
        <v>364</v>
      </c>
      <c r="AU270" t="str">
        <f t="shared" ref="AU270:AU333" si="10">IF(J270="fail",IF(H270=1,"break","car_stuck"),"no_fail")</f>
        <v>break</v>
      </c>
    </row>
    <row r="271" spans="1:47" x14ac:dyDescent="0.3">
      <c r="A271" t="s">
        <v>45</v>
      </c>
      <c r="B271" t="s">
        <v>66</v>
      </c>
      <c r="C271" t="s">
        <v>14</v>
      </c>
      <c r="D271" t="s">
        <v>12</v>
      </c>
      <c r="E271" t="str">
        <f t="shared" si="9"/>
        <v>P_M8L-KYY-S_1B0</v>
      </c>
      <c r="F271" t="b">
        <v>1</v>
      </c>
      <c r="G271">
        <v>65.099999999999994</v>
      </c>
      <c r="H271">
        <v>0</v>
      </c>
      <c r="I271">
        <v>16990</v>
      </c>
      <c r="J271" s="61" t="s">
        <v>13</v>
      </c>
      <c r="K271" s="16" t="s">
        <v>272</v>
      </c>
      <c r="L271" s="16">
        <v>3</v>
      </c>
      <c r="M271" s="16" t="s">
        <v>277</v>
      </c>
      <c r="N271" s="16" t="s">
        <v>335</v>
      </c>
      <c r="O271" s="15" t="s">
        <v>281</v>
      </c>
      <c r="P271" t="s">
        <v>282</v>
      </c>
      <c r="Q271" t="s">
        <v>371</v>
      </c>
      <c r="R271" s="17" t="s">
        <v>371</v>
      </c>
      <c r="S271" s="16" t="s">
        <v>341</v>
      </c>
      <c r="T271" s="16" t="s">
        <v>340</v>
      </c>
      <c r="U271" s="15" t="s">
        <v>343</v>
      </c>
      <c r="V271" s="15" t="s">
        <v>344</v>
      </c>
      <c r="W271" s="17"/>
      <c r="X271" t="s">
        <v>349</v>
      </c>
      <c r="Y271" t="s">
        <v>349</v>
      </c>
      <c r="Z271" t="s">
        <v>293</v>
      </c>
      <c r="AA271" t="s">
        <v>353</v>
      </c>
      <c r="AB271" t="s">
        <v>296</v>
      </c>
      <c r="AC271" t="s">
        <v>301</v>
      </c>
      <c r="AD271" t="s">
        <v>292</v>
      </c>
      <c r="AE271" t="s">
        <v>292</v>
      </c>
      <c r="AF271" t="s">
        <v>292</v>
      </c>
      <c r="AG271" t="s">
        <v>292</v>
      </c>
      <c r="AH271" t="s">
        <v>293</v>
      </c>
      <c r="AI271" t="s">
        <v>302</v>
      </c>
      <c r="AJ271" t="s">
        <v>302</v>
      </c>
      <c r="AK271" t="s">
        <v>359</v>
      </c>
      <c r="AL271" t="s">
        <v>293</v>
      </c>
      <c r="AM271" t="s">
        <v>293</v>
      </c>
      <c r="AN271" t="s">
        <v>297</v>
      </c>
      <c r="AO271" t="s">
        <v>356</v>
      </c>
      <c r="AP271" t="s">
        <v>293</v>
      </c>
      <c r="AQ271" t="s">
        <v>292</v>
      </c>
      <c r="AR271" t="s">
        <v>293</v>
      </c>
      <c r="AS271" t="s">
        <v>293</v>
      </c>
      <c r="AT271" t="s">
        <v>364</v>
      </c>
      <c r="AU271" t="str">
        <f t="shared" si="10"/>
        <v>no_fail</v>
      </c>
    </row>
    <row r="272" spans="1:47" x14ac:dyDescent="0.3">
      <c r="A272" t="s">
        <v>45</v>
      </c>
      <c r="B272" t="s">
        <v>66</v>
      </c>
      <c r="C272" t="s">
        <v>11</v>
      </c>
      <c r="D272" t="s">
        <v>12</v>
      </c>
      <c r="E272" t="str">
        <f t="shared" si="9"/>
        <v>P_M8L-KYY-S_1Q4</v>
      </c>
      <c r="F272" t="b">
        <v>1</v>
      </c>
      <c r="G272">
        <v>100</v>
      </c>
      <c r="H272">
        <v>1</v>
      </c>
      <c r="I272">
        <v>11318</v>
      </c>
      <c r="J272" s="61" t="s">
        <v>18</v>
      </c>
      <c r="K272" s="16" t="s">
        <v>272</v>
      </c>
      <c r="L272" s="16">
        <v>3</v>
      </c>
      <c r="M272" s="16" t="s">
        <v>277</v>
      </c>
      <c r="N272" s="16" t="s">
        <v>335</v>
      </c>
      <c r="O272" s="15" t="s">
        <v>282</v>
      </c>
      <c r="P272" t="s">
        <v>371</v>
      </c>
      <c r="Q272" t="s">
        <v>371</v>
      </c>
      <c r="R272" s="17" t="s">
        <v>371</v>
      </c>
      <c r="S272" s="16" t="s">
        <v>340</v>
      </c>
      <c r="T272" s="16" t="s">
        <v>340</v>
      </c>
      <c r="U272" s="15" t="s">
        <v>343</v>
      </c>
      <c r="V272" s="15" t="s">
        <v>291</v>
      </c>
      <c r="W272" s="17"/>
      <c r="X272" t="s">
        <v>349</v>
      </c>
      <c r="Y272" t="s">
        <v>349</v>
      </c>
      <c r="Z272" t="s">
        <v>293</v>
      </c>
      <c r="AA272" t="s">
        <v>353</v>
      </c>
      <c r="AB272" t="s">
        <v>296</v>
      </c>
      <c r="AC272" t="s">
        <v>301</v>
      </c>
      <c r="AD272" t="s">
        <v>292</v>
      </c>
      <c r="AE272" t="s">
        <v>293</v>
      </c>
      <c r="AF272" t="s">
        <v>293</v>
      </c>
      <c r="AG272" t="s">
        <v>292</v>
      </c>
      <c r="AH272" t="s">
        <v>293</v>
      </c>
      <c r="AI272" t="s">
        <v>302</v>
      </c>
      <c r="AJ272" t="s">
        <v>358</v>
      </c>
      <c r="AK272" t="s">
        <v>359</v>
      </c>
      <c r="AL272" t="s">
        <v>293</v>
      </c>
      <c r="AM272" t="s">
        <v>293</v>
      </c>
      <c r="AN272" t="s">
        <v>296</v>
      </c>
      <c r="AO272" t="s">
        <v>298</v>
      </c>
      <c r="AP272" t="s">
        <v>293</v>
      </c>
      <c r="AQ272" t="s">
        <v>292</v>
      </c>
      <c r="AR272" t="s">
        <v>293</v>
      </c>
      <c r="AS272" t="s">
        <v>293</v>
      </c>
      <c r="AT272" t="s">
        <v>364</v>
      </c>
      <c r="AU272" t="str">
        <f t="shared" si="10"/>
        <v>break</v>
      </c>
    </row>
    <row r="273" spans="1:47" x14ac:dyDescent="0.3">
      <c r="A273" t="s">
        <v>45</v>
      </c>
      <c r="B273" t="s">
        <v>66</v>
      </c>
      <c r="C273" t="s">
        <v>19</v>
      </c>
      <c r="D273" t="s">
        <v>12</v>
      </c>
      <c r="E273" t="str">
        <f t="shared" si="9"/>
        <v>P_M8L-KYY-S_4U3</v>
      </c>
      <c r="F273" t="b">
        <v>1</v>
      </c>
      <c r="G273">
        <v>73.099999999999994</v>
      </c>
      <c r="H273">
        <v>0</v>
      </c>
      <c r="I273">
        <v>12000</v>
      </c>
      <c r="J273" s="61" t="s">
        <v>13</v>
      </c>
      <c r="K273" s="16" t="s">
        <v>272</v>
      </c>
      <c r="L273" s="16">
        <v>3</v>
      </c>
      <c r="M273" s="16" t="s">
        <v>277</v>
      </c>
      <c r="N273" s="16" t="s">
        <v>335</v>
      </c>
      <c r="O273" s="15" t="s">
        <v>281</v>
      </c>
      <c r="P273" t="s">
        <v>282</v>
      </c>
      <c r="Q273" t="s">
        <v>371</v>
      </c>
      <c r="R273" s="17" t="s">
        <v>371</v>
      </c>
      <c r="S273" s="16" t="s">
        <v>341</v>
      </c>
      <c r="T273" s="16" t="s">
        <v>340</v>
      </c>
      <c r="U273" s="15" t="s">
        <v>343</v>
      </c>
      <c r="V273" s="15" t="s">
        <v>344</v>
      </c>
      <c r="W273" s="17"/>
      <c r="X273" t="s">
        <v>349</v>
      </c>
      <c r="Y273" t="s">
        <v>349</v>
      </c>
      <c r="Z273" t="s">
        <v>293</v>
      </c>
      <c r="AA273" t="s">
        <v>353</v>
      </c>
      <c r="AB273" t="s">
        <v>296</v>
      </c>
      <c r="AC273" t="s">
        <v>300</v>
      </c>
      <c r="AD273" t="s">
        <v>292</v>
      </c>
      <c r="AE273" t="s">
        <v>293</v>
      </c>
      <c r="AF273" t="s">
        <v>292</v>
      </c>
      <c r="AG273" t="s">
        <v>292</v>
      </c>
      <c r="AH273" t="s">
        <v>293</v>
      </c>
      <c r="AI273" t="s">
        <v>302</v>
      </c>
      <c r="AJ273" t="s">
        <v>302</v>
      </c>
      <c r="AK273" t="s">
        <v>359</v>
      </c>
      <c r="AL273" t="s">
        <v>293</v>
      </c>
      <c r="AM273" t="s">
        <v>293</v>
      </c>
      <c r="AN273" t="s">
        <v>297</v>
      </c>
      <c r="AO273" t="s">
        <v>298</v>
      </c>
      <c r="AP273" t="s">
        <v>293</v>
      </c>
      <c r="AQ273" t="s">
        <v>292</v>
      </c>
      <c r="AR273" t="s">
        <v>293</v>
      </c>
      <c r="AS273" t="s">
        <v>293</v>
      </c>
      <c r="AT273" t="s">
        <v>364</v>
      </c>
      <c r="AU273" t="str">
        <f t="shared" si="10"/>
        <v>no_fail</v>
      </c>
    </row>
    <row r="274" spans="1:47" x14ac:dyDescent="0.3">
      <c r="A274" t="s">
        <v>45</v>
      </c>
      <c r="B274" t="s">
        <v>66</v>
      </c>
      <c r="C274" t="s">
        <v>17</v>
      </c>
      <c r="D274" t="s">
        <v>12</v>
      </c>
      <c r="E274" t="str">
        <f t="shared" si="9"/>
        <v>P_M8L-KYY-S_6B5</v>
      </c>
      <c r="F274" t="b">
        <v>1</v>
      </c>
      <c r="G274">
        <v>61.2</v>
      </c>
      <c r="H274">
        <v>0</v>
      </c>
      <c r="I274">
        <v>13386</v>
      </c>
      <c r="J274" s="61" t="s">
        <v>13</v>
      </c>
      <c r="K274" s="16" t="s">
        <v>272</v>
      </c>
      <c r="L274" s="16">
        <v>3</v>
      </c>
      <c r="M274" s="16" t="s">
        <v>277</v>
      </c>
      <c r="N274" s="16" t="s">
        <v>335</v>
      </c>
      <c r="O274" s="15" t="s">
        <v>281</v>
      </c>
      <c r="P274" t="s">
        <v>282</v>
      </c>
      <c r="Q274" t="s">
        <v>371</v>
      </c>
      <c r="R274" s="17" t="s">
        <v>371</v>
      </c>
      <c r="S274" s="16" t="s">
        <v>341</v>
      </c>
      <c r="T274" s="16" t="s">
        <v>340</v>
      </c>
      <c r="U274" s="15" t="s">
        <v>343</v>
      </c>
      <c r="V274" s="15" t="s">
        <v>344</v>
      </c>
      <c r="W274" s="17"/>
      <c r="X274" t="s">
        <v>349</v>
      </c>
      <c r="Y274" t="s">
        <v>349</v>
      </c>
      <c r="Z274" t="s">
        <v>293</v>
      </c>
      <c r="AA274" t="s">
        <v>353</v>
      </c>
      <c r="AB274" t="s">
        <v>296</v>
      </c>
      <c r="AC274" t="s">
        <v>300</v>
      </c>
      <c r="AD274" t="s">
        <v>292</v>
      </c>
      <c r="AE274" t="s">
        <v>293</v>
      </c>
      <c r="AF274" t="s">
        <v>292</v>
      </c>
      <c r="AG274" t="s">
        <v>292</v>
      </c>
      <c r="AH274" t="s">
        <v>293</v>
      </c>
      <c r="AI274" t="s">
        <v>302</v>
      </c>
      <c r="AJ274" t="s">
        <v>302</v>
      </c>
      <c r="AK274" t="s">
        <v>359</v>
      </c>
      <c r="AL274" t="s">
        <v>293</v>
      </c>
      <c r="AM274" t="s">
        <v>293</v>
      </c>
      <c r="AN274" t="s">
        <v>297</v>
      </c>
      <c r="AO274" t="s">
        <v>298</v>
      </c>
      <c r="AP274" t="s">
        <v>293</v>
      </c>
      <c r="AQ274" t="s">
        <v>292</v>
      </c>
      <c r="AR274" t="s">
        <v>293</v>
      </c>
      <c r="AS274" t="s">
        <v>293</v>
      </c>
      <c r="AT274" t="s">
        <v>364</v>
      </c>
      <c r="AU274" t="str">
        <f t="shared" si="10"/>
        <v>no_fail</v>
      </c>
    </row>
    <row r="275" spans="1:47" x14ac:dyDescent="0.3">
      <c r="A275" t="s">
        <v>45</v>
      </c>
      <c r="B275" t="s">
        <v>66</v>
      </c>
      <c r="C275" t="s">
        <v>16</v>
      </c>
      <c r="D275" t="s">
        <v>12</v>
      </c>
      <c r="E275" t="str">
        <f t="shared" si="9"/>
        <v>P_M8L-KYY-S_6U7</v>
      </c>
      <c r="F275" t="b">
        <v>1</v>
      </c>
      <c r="G275">
        <v>53.4</v>
      </c>
      <c r="H275">
        <v>0</v>
      </c>
      <c r="I275">
        <v>15116</v>
      </c>
      <c r="J275" s="61" t="s">
        <v>13</v>
      </c>
      <c r="K275" s="16" t="s">
        <v>272</v>
      </c>
      <c r="L275" s="16">
        <v>3</v>
      </c>
      <c r="M275" s="16" t="s">
        <v>277</v>
      </c>
      <c r="N275" s="16" t="s">
        <v>335</v>
      </c>
      <c r="O275" s="15" t="s">
        <v>281</v>
      </c>
      <c r="P275" t="s">
        <v>282</v>
      </c>
      <c r="Q275" t="s">
        <v>371</v>
      </c>
      <c r="R275" s="17" t="s">
        <v>371</v>
      </c>
      <c r="S275" s="16" t="s">
        <v>341</v>
      </c>
      <c r="T275" s="16" t="s">
        <v>340</v>
      </c>
      <c r="U275" s="15" t="s">
        <v>343</v>
      </c>
      <c r="V275" s="15" t="s">
        <v>344</v>
      </c>
      <c r="W275" s="17"/>
      <c r="X275" t="s">
        <v>349</v>
      </c>
      <c r="Y275" t="s">
        <v>349</v>
      </c>
      <c r="Z275" t="s">
        <v>293</v>
      </c>
      <c r="AA275" t="s">
        <v>353</v>
      </c>
      <c r="AB275" t="s">
        <v>296</v>
      </c>
      <c r="AC275" t="s">
        <v>300</v>
      </c>
      <c r="AD275" t="s">
        <v>292</v>
      </c>
      <c r="AE275" t="s">
        <v>292</v>
      </c>
      <c r="AF275" t="s">
        <v>292</v>
      </c>
      <c r="AG275" t="s">
        <v>292</v>
      </c>
      <c r="AH275" t="s">
        <v>293</v>
      </c>
      <c r="AI275" t="s">
        <v>302</v>
      </c>
      <c r="AJ275" t="s">
        <v>302</v>
      </c>
      <c r="AK275" t="s">
        <v>359</v>
      </c>
      <c r="AL275" t="s">
        <v>293</v>
      </c>
      <c r="AM275" t="s">
        <v>293</v>
      </c>
      <c r="AN275" t="s">
        <v>297</v>
      </c>
      <c r="AO275" t="s">
        <v>356</v>
      </c>
      <c r="AP275" t="s">
        <v>293</v>
      </c>
      <c r="AQ275" t="s">
        <v>292</v>
      </c>
      <c r="AR275" t="s">
        <v>293</v>
      </c>
      <c r="AS275" t="s">
        <v>293</v>
      </c>
      <c r="AT275" t="s">
        <v>364</v>
      </c>
      <c r="AU275" t="str">
        <f t="shared" si="10"/>
        <v>no_fail</v>
      </c>
    </row>
    <row r="276" spans="1:47" x14ac:dyDescent="0.3">
      <c r="A276" t="s">
        <v>45</v>
      </c>
      <c r="B276" t="s">
        <v>66</v>
      </c>
      <c r="C276" t="s">
        <v>23</v>
      </c>
      <c r="D276" t="s">
        <v>29</v>
      </c>
      <c r="E276" t="str">
        <f t="shared" si="9"/>
        <v>P_M8L-ZSB-S_0T2</v>
      </c>
      <c r="F276" t="b">
        <v>1</v>
      </c>
      <c r="G276">
        <v>100</v>
      </c>
      <c r="H276">
        <v>1</v>
      </c>
      <c r="I276">
        <v>8289</v>
      </c>
      <c r="J276" s="61" t="s">
        <v>18</v>
      </c>
      <c r="K276" s="16" t="s">
        <v>272</v>
      </c>
      <c r="L276" s="16">
        <v>3</v>
      </c>
      <c r="M276" s="16" t="s">
        <v>277</v>
      </c>
      <c r="N276" s="16" t="s">
        <v>335</v>
      </c>
      <c r="O276" s="15" t="s">
        <v>284</v>
      </c>
      <c r="P276" t="s">
        <v>283</v>
      </c>
      <c r="Q276" t="s">
        <v>282</v>
      </c>
      <c r="R276" s="17" t="s">
        <v>371</v>
      </c>
      <c r="S276" s="16" t="s">
        <v>341</v>
      </c>
      <c r="T276" s="16" t="s">
        <v>340</v>
      </c>
      <c r="U276" s="15" t="s">
        <v>343</v>
      </c>
      <c r="V276" s="15" t="s">
        <v>344</v>
      </c>
      <c r="W276" s="17"/>
      <c r="X276" t="s">
        <v>349</v>
      </c>
      <c r="Y276" t="s">
        <v>349</v>
      </c>
      <c r="Z276" t="s">
        <v>293</v>
      </c>
      <c r="AA276" t="s">
        <v>353</v>
      </c>
      <c r="AB276" t="s">
        <v>297</v>
      </c>
      <c r="AC276" t="s">
        <v>299</v>
      </c>
      <c r="AD276" t="s">
        <v>292</v>
      </c>
      <c r="AE276" t="s">
        <v>293</v>
      </c>
      <c r="AF276" t="s">
        <v>292</v>
      </c>
      <c r="AG276" t="s">
        <v>293</v>
      </c>
      <c r="AH276" t="s">
        <v>293</v>
      </c>
      <c r="AI276" t="s">
        <v>302</v>
      </c>
      <c r="AJ276" t="s">
        <v>302</v>
      </c>
      <c r="AK276" t="s">
        <v>302</v>
      </c>
      <c r="AL276" t="s">
        <v>293</v>
      </c>
      <c r="AM276" t="s">
        <v>293</v>
      </c>
      <c r="AN276" t="s">
        <v>297</v>
      </c>
      <c r="AO276" t="s">
        <v>298</v>
      </c>
      <c r="AP276" t="s">
        <v>293</v>
      </c>
      <c r="AQ276" t="s">
        <v>292</v>
      </c>
      <c r="AR276" t="s">
        <v>293</v>
      </c>
      <c r="AS276" t="s">
        <v>293</v>
      </c>
      <c r="AT276" t="s">
        <v>364</v>
      </c>
      <c r="AU276" t="str">
        <f t="shared" si="10"/>
        <v>break</v>
      </c>
    </row>
    <row r="277" spans="1:47" x14ac:dyDescent="0.3">
      <c r="A277" t="s">
        <v>45</v>
      </c>
      <c r="B277" t="s">
        <v>66</v>
      </c>
      <c r="C277" t="s">
        <v>25</v>
      </c>
      <c r="D277" t="s">
        <v>29</v>
      </c>
      <c r="E277" t="str">
        <f t="shared" si="9"/>
        <v>P_M8L-ZSB-S_1J8</v>
      </c>
      <c r="F277" t="b">
        <v>1</v>
      </c>
      <c r="G277">
        <v>100</v>
      </c>
      <c r="H277">
        <v>1</v>
      </c>
      <c r="I277">
        <v>8591</v>
      </c>
      <c r="J277" s="61" t="s">
        <v>18</v>
      </c>
      <c r="K277" s="16" t="s">
        <v>272</v>
      </c>
      <c r="L277" s="16">
        <v>3</v>
      </c>
      <c r="M277" s="16" t="s">
        <v>277</v>
      </c>
      <c r="N277" s="16" t="s">
        <v>335</v>
      </c>
      <c r="O277" s="15" t="s">
        <v>284</v>
      </c>
      <c r="P277" t="s">
        <v>283</v>
      </c>
      <c r="Q277" t="s">
        <v>371</v>
      </c>
      <c r="R277" s="17" t="s">
        <v>371</v>
      </c>
      <c r="S277" s="16" t="s">
        <v>341</v>
      </c>
      <c r="T277" s="16" t="s">
        <v>340</v>
      </c>
      <c r="U277" s="15" t="s">
        <v>343</v>
      </c>
      <c r="V277" s="15" t="s">
        <v>344</v>
      </c>
      <c r="W277" s="17"/>
      <c r="X277" t="s">
        <v>349</v>
      </c>
      <c r="Y277" t="s">
        <v>349</v>
      </c>
      <c r="Z277" t="s">
        <v>293</v>
      </c>
      <c r="AA277" t="s">
        <v>353</v>
      </c>
      <c r="AB277" t="s">
        <v>297</v>
      </c>
      <c r="AC277" t="s">
        <v>299</v>
      </c>
      <c r="AD277" t="s">
        <v>292</v>
      </c>
      <c r="AE277" t="s">
        <v>293</v>
      </c>
      <c r="AF277" t="s">
        <v>292</v>
      </c>
      <c r="AG277" t="s">
        <v>293</v>
      </c>
      <c r="AH277" t="s">
        <v>293</v>
      </c>
      <c r="AI277" t="s">
        <v>302</v>
      </c>
      <c r="AJ277" t="s">
        <v>302</v>
      </c>
      <c r="AK277" t="s">
        <v>302</v>
      </c>
      <c r="AL277" t="s">
        <v>293</v>
      </c>
      <c r="AM277" t="s">
        <v>293</v>
      </c>
      <c r="AN277" t="s">
        <v>297</v>
      </c>
      <c r="AO277" t="s">
        <v>298</v>
      </c>
      <c r="AP277" t="s">
        <v>293</v>
      </c>
      <c r="AQ277" t="s">
        <v>292</v>
      </c>
      <c r="AR277" t="s">
        <v>363</v>
      </c>
      <c r="AS277" t="s">
        <v>293</v>
      </c>
      <c r="AT277" t="s">
        <v>364</v>
      </c>
      <c r="AU277" t="str">
        <f t="shared" si="10"/>
        <v>break</v>
      </c>
    </row>
    <row r="278" spans="1:47" x14ac:dyDescent="0.3">
      <c r="A278" t="s">
        <v>45</v>
      </c>
      <c r="B278" t="s">
        <v>66</v>
      </c>
      <c r="C278" t="s">
        <v>24</v>
      </c>
      <c r="D278" t="s">
        <v>29</v>
      </c>
      <c r="E278" t="str">
        <f t="shared" si="9"/>
        <v>P_M8L-ZSB-S_1U0</v>
      </c>
      <c r="F278" t="b">
        <v>1</v>
      </c>
      <c r="G278">
        <v>82.6</v>
      </c>
      <c r="H278">
        <v>0</v>
      </c>
      <c r="I278">
        <v>8811</v>
      </c>
      <c r="J278" s="61" t="s">
        <v>13</v>
      </c>
      <c r="K278" s="16" t="s">
        <v>272</v>
      </c>
      <c r="L278" s="16">
        <v>3</v>
      </c>
      <c r="M278" s="16" t="s">
        <v>277</v>
      </c>
      <c r="N278" s="16" t="s">
        <v>335</v>
      </c>
      <c r="O278" s="15" t="s">
        <v>284</v>
      </c>
      <c r="P278" t="s">
        <v>283</v>
      </c>
      <c r="Q278" t="s">
        <v>282</v>
      </c>
      <c r="R278" s="17" t="s">
        <v>371</v>
      </c>
      <c r="S278" s="16" t="s">
        <v>341</v>
      </c>
      <c r="T278" s="16" t="s">
        <v>340</v>
      </c>
      <c r="U278" s="15" t="s">
        <v>343</v>
      </c>
      <c r="V278" s="15" t="s">
        <v>344</v>
      </c>
      <c r="W278" s="17"/>
      <c r="X278" t="s">
        <v>349</v>
      </c>
      <c r="Y278" t="s">
        <v>349</v>
      </c>
      <c r="Z278" t="s">
        <v>293</v>
      </c>
      <c r="AA278" t="s">
        <v>353</v>
      </c>
      <c r="AB278" t="s">
        <v>297</v>
      </c>
      <c r="AC278" t="s">
        <v>299</v>
      </c>
      <c r="AD278" t="s">
        <v>292</v>
      </c>
      <c r="AE278" t="s">
        <v>293</v>
      </c>
      <c r="AF278" t="s">
        <v>292</v>
      </c>
      <c r="AG278" t="s">
        <v>293</v>
      </c>
      <c r="AH278" t="s">
        <v>293</v>
      </c>
      <c r="AI278" t="s">
        <v>302</v>
      </c>
      <c r="AJ278" t="s">
        <v>302</v>
      </c>
      <c r="AK278" t="s">
        <v>302</v>
      </c>
      <c r="AL278" t="s">
        <v>293</v>
      </c>
      <c r="AM278" t="s">
        <v>293</v>
      </c>
      <c r="AN278" t="s">
        <v>297</v>
      </c>
      <c r="AO278" t="s">
        <v>298</v>
      </c>
      <c r="AP278" t="s">
        <v>293</v>
      </c>
      <c r="AQ278" t="s">
        <v>292</v>
      </c>
      <c r="AR278" t="s">
        <v>293</v>
      </c>
      <c r="AS278" t="s">
        <v>293</v>
      </c>
      <c r="AT278" t="s">
        <v>364</v>
      </c>
      <c r="AU278" t="str">
        <f t="shared" si="10"/>
        <v>no_fail</v>
      </c>
    </row>
    <row r="279" spans="1:47" x14ac:dyDescent="0.3">
      <c r="A279" t="s">
        <v>45</v>
      </c>
      <c r="B279" t="s">
        <v>66</v>
      </c>
      <c r="C279" t="s">
        <v>21</v>
      </c>
      <c r="D279" t="s">
        <v>29</v>
      </c>
      <c r="E279" t="str">
        <f t="shared" si="9"/>
        <v>P_M8L-ZSB-S_3X6</v>
      </c>
      <c r="F279" t="b">
        <v>1</v>
      </c>
      <c r="G279">
        <v>100</v>
      </c>
      <c r="H279">
        <v>1</v>
      </c>
      <c r="I279">
        <v>8741</v>
      </c>
      <c r="J279" s="61" t="s">
        <v>18</v>
      </c>
      <c r="K279" s="16" t="s">
        <v>272</v>
      </c>
      <c r="L279" s="16">
        <v>3</v>
      </c>
      <c r="M279" s="16" t="s">
        <v>277</v>
      </c>
      <c r="N279" s="16" t="s">
        <v>335</v>
      </c>
      <c r="O279" s="15" t="s">
        <v>284</v>
      </c>
      <c r="P279" t="s">
        <v>282</v>
      </c>
      <c r="Q279" t="s">
        <v>371</v>
      </c>
      <c r="R279" s="17" t="s">
        <v>371</v>
      </c>
      <c r="S279" s="16" t="s">
        <v>341</v>
      </c>
      <c r="T279" s="16" t="s">
        <v>340</v>
      </c>
      <c r="U279" s="15" t="s">
        <v>343</v>
      </c>
      <c r="V279" s="15" t="s">
        <v>344</v>
      </c>
      <c r="W279" s="17"/>
      <c r="X279" t="s">
        <v>349</v>
      </c>
      <c r="Y279" t="s">
        <v>349</v>
      </c>
      <c r="Z279" t="s">
        <v>293</v>
      </c>
      <c r="AA279" t="s">
        <v>353</v>
      </c>
      <c r="AB279" t="s">
        <v>297</v>
      </c>
      <c r="AC279" t="s">
        <v>300</v>
      </c>
      <c r="AD279" t="s">
        <v>292</v>
      </c>
      <c r="AE279" t="s">
        <v>293</v>
      </c>
      <c r="AF279" t="s">
        <v>292</v>
      </c>
      <c r="AG279" t="s">
        <v>293</v>
      </c>
      <c r="AH279" t="s">
        <v>293</v>
      </c>
      <c r="AI279" t="s">
        <v>302</v>
      </c>
      <c r="AJ279" t="s">
        <v>302</v>
      </c>
      <c r="AK279" t="s">
        <v>302</v>
      </c>
      <c r="AL279" t="s">
        <v>293</v>
      </c>
      <c r="AM279" t="s">
        <v>293</v>
      </c>
      <c r="AN279" t="s">
        <v>297</v>
      </c>
      <c r="AO279" t="s">
        <v>298</v>
      </c>
      <c r="AP279" t="s">
        <v>293</v>
      </c>
      <c r="AQ279" t="s">
        <v>292</v>
      </c>
      <c r="AR279" t="s">
        <v>293</v>
      </c>
      <c r="AS279" t="s">
        <v>293</v>
      </c>
      <c r="AT279" t="s">
        <v>364</v>
      </c>
      <c r="AU279" t="str">
        <f t="shared" si="10"/>
        <v>break</v>
      </c>
    </row>
    <row r="280" spans="1:47" x14ac:dyDescent="0.3">
      <c r="A280" t="s">
        <v>45</v>
      </c>
      <c r="B280" t="s">
        <v>66</v>
      </c>
      <c r="C280" t="s">
        <v>20</v>
      </c>
      <c r="D280" t="s">
        <v>29</v>
      </c>
      <c r="E280" t="str">
        <f t="shared" si="9"/>
        <v>P_M8L-ZSB-S_7W0</v>
      </c>
      <c r="F280" t="b">
        <v>1</v>
      </c>
      <c r="G280">
        <v>100</v>
      </c>
      <c r="H280">
        <v>1</v>
      </c>
      <c r="I280">
        <v>11646</v>
      </c>
      <c r="J280" s="61" t="s">
        <v>18</v>
      </c>
      <c r="K280" s="16" t="s">
        <v>272</v>
      </c>
      <c r="L280" s="16">
        <v>3</v>
      </c>
      <c r="M280" s="16" t="s">
        <v>277</v>
      </c>
      <c r="N280" s="16" t="s">
        <v>335</v>
      </c>
      <c r="O280" s="15" t="s">
        <v>284</v>
      </c>
      <c r="P280" t="s">
        <v>282</v>
      </c>
      <c r="Q280" t="s">
        <v>371</v>
      </c>
      <c r="R280" s="17" t="s">
        <v>371</v>
      </c>
      <c r="S280" s="16" t="s">
        <v>341</v>
      </c>
      <c r="T280" s="16" t="s">
        <v>340</v>
      </c>
      <c r="U280" s="15" t="s">
        <v>343</v>
      </c>
      <c r="V280" s="15" t="s">
        <v>344</v>
      </c>
      <c r="W280" s="17" t="s">
        <v>291</v>
      </c>
      <c r="X280" t="s">
        <v>349</v>
      </c>
      <c r="Y280" t="s">
        <v>349</v>
      </c>
      <c r="Z280" t="s">
        <v>293</v>
      </c>
      <c r="AA280" t="s">
        <v>353</v>
      </c>
      <c r="AB280" t="s">
        <v>355</v>
      </c>
      <c r="AC280" t="s">
        <v>300</v>
      </c>
      <c r="AD280" t="s">
        <v>292</v>
      </c>
      <c r="AE280" t="s">
        <v>293</v>
      </c>
      <c r="AF280" t="s">
        <v>292</v>
      </c>
      <c r="AG280" t="s">
        <v>292</v>
      </c>
      <c r="AH280" t="s">
        <v>293</v>
      </c>
      <c r="AI280" t="s">
        <v>302</v>
      </c>
      <c r="AJ280" t="s">
        <v>302</v>
      </c>
      <c r="AK280" t="s">
        <v>302</v>
      </c>
      <c r="AL280" t="s">
        <v>293</v>
      </c>
      <c r="AM280" t="s">
        <v>293</v>
      </c>
      <c r="AN280" t="s">
        <v>296</v>
      </c>
      <c r="AO280" t="s">
        <v>298</v>
      </c>
      <c r="AP280" t="s">
        <v>293</v>
      </c>
      <c r="AQ280" t="s">
        <v>292</v>
      </c>
      <c r="AR280" t="s">
        <v>293</v>
      </c>
      <c r="AS280" t="s">
        <v>293</v>
      </c>
      <c r="AT280" t="s">
        <v>364</v>
      </c>
      <c r="AU280" t="str">
        <f t="shared" si="10"/>
        <v>break</v>
      </c>
    </row>
    <row r="281" spans="1:47" x14ac:dyDescent="0.3">
      <c r="A281" t="s">
        <v>45</v>
      </c>
      <c r="B281" t="s">
        <v>66</v>
      </c>
      <c r="C281" t="s">
        <v>26</v>
      </c>
      <c r="D281" t="s">
        <v>29</v>
      </c>
      <c r="E281" t="str">
        <f t="shared" si="9"/>
        <v>P_M8L-ZSB-S_8O8</v>
      </c>
      <c r="F281" t="b">
        <v>1</v>
      </c>
      <c r="G281">
        <v>100</v>
      </c>
      <c r="H281">
        <v>1</v>
      </c>
      <c r="I281">
        <v>8718</v>
      </c>
      <c r="J281" s="61" t="s">
        <v>18</v>
      </c>
      <c r="K281" s="16" t="s">
        <v>272</v>
      </c>
      <c r="L281" s="16">
        <v>3</v>
      </c>
      <c r="M281" s="16" t="s">
        <v>277</v>
      </c>
      <c r="N281" s="16" t="s">
        <v>335</v>
      </c>
      <c r="O281" s="15" t="s">
        <v>284</v>
      </c>
      <c r="P281" t="s">
        <v>283</v>
      </c>
      <c r="Q281" t="s">
        <v>371</v>
      </c>
      <c r="R281" s="17" t="s">
        <v>371</v>
      </c>
      <c r="S281" s="16" t="s">
        <v>341</v>
      </c>
      <c r="T281" s="16" t="s">
        <v>340</v>
      </c>
      <c r="U281" s="15" t="s">
        <v>343</v>
      </c>
      <c r="V281" s="15" t="s">
        <v>344</v>
      </c>
      <c r="W281" s="17"/>
      <c r="X281" t="s">
        <v>349</v>
      </c>
      <c r="Y281" t="s">
        <v>349</v>
      </c>
      <c r="Z281" t="s">
        <v>293</v>
      </c>
      <c r="AA281" t="s">
        <v>353</v>
      </c>
      <c r="AB281" t="s">
        <v>297</v>
      </c>
      <c r="AC281" t="s">
        <v>300</v>
      </c>
      <c r="AD281" t="s">
        <v>292</v>
      </c>
      <c r="AE281" t="s">
        <v>293</v>
      </c>
      <c r="AF281" t="s">
        <v>292</v>
      </c>
      <c r="AG281" t="s">
        <v>293</v>
      </c>
      <c r="AH281" t="s">
        <v>293</v>
      </c>
      <c r="AI281" t="s">
        <v>302</v>
      </c>
      <c r="AJ281" t="s">
        <v>302</v>
      </c>
      <c r="AK281" t="s">
        <v>302</v>
      </c>
      <c r="AL281" t="s">
        <v>293</v>
      </c>
      <c r="AM281" t="s">
        <v>293</v>
      </c>
      <c r="AN281" t="s">
        <v>297</v>
      </c>
      <c r="AO281" t="s">
        <v>298</v>
      </c>
      <c r="AP281" t="s">
        <v>293</v>
      </c>
      <c r="AQ281" t="s">
        <v>292</v>
      </c>
      <c r="AR281" t="s">
        <v>293</v>
      </c>
      <c r="AS281" t="s">
        <v>293</v>
      </c>
      <c r="AT281" t="s">
        <v>364</v>
      </c>
      <c r="AU281" t="str">
        <f t="shared" si="10"/>
        <v>break</v>
      </c>
    </row>
    <row r="282" spans="1:47" x14ac:dyDescent="0.3">
      <c r="A282" t="s">
        <v>45</v>
      </c>
      <c r="B282" t="s">
        <v>66</v>
      </c>
      <c r="C282" t="s">
        <v>22</v>
      </c>
      <c r="D282" t="s">
        <v>29</v>
      </c>
      <c r="E282" t="str">
        <f t="shared" si="9"/>
        <v>P_M8L-ZSB-S_9B4</v>
      </c>
      <c r="F282" t="b">
        <v>1</v>
      </c>
      <c r="G282">
        <v>80.400000000000006</v>
      </c>
      <c r="H282">
        <v>0</v>
      </c>
      <c r="I282">
        <v>8849</v>
      </c>
      <c r="J282" s="61" t="s">
        <v>13</v>
      </c>
      <c r="K282" s="16" t="s">
        <v>272</v>
      </c>
      <c r="L282" s="16">
        <v>3</v>
      </c>
      <c r="M282" s="16" t="s">
        <v>277</v>
      </c>
      <c r="N282" s="16" t="s">
        <v>335</v>
      </c>
      <c r="O282" s="15" t="s">
        <v>284</v>
      </c>
      <c r="P282" t="s">
        <v>283</v>
      </c>
      <c r="Q282" t="s">
        <v>282</v>
      </c>
      <c r="R282" s="17" t="s">
        <v>371</v>
      </c>
      <c r="S282" s="16" t="s">
        <v>341</v>
      </c>
      <c r="T282" s="16" t="s">
        <v>340</v>
      </c>
      <c r="U282" s="15" t="s">
        <v>343</v>
      </c>
      <c r="V282" s="15" t="s">
        <v>344</v>
      </c>
      <c r="W282" s="17"/>
      <c r="X282" t="s">
        <v>349</v>
      </c>
      <c r="Y282" t="s">
        <v>349</v>
      </c>
      <c r="Z282" t="s">
        <v>293</v>
      </c>
      <c r="AA282" t="s">
        <v>353</v>
      </c>
      <c r="AB282" t="s">
        <v>297</v>
      </c>
      <c r="AC282" t="s">
        <v>300</v>
      </c>
      <c r="AD282" t="s">
        <v>292</v>
      </c>
      <c r="AE282" t="s">
        <v>293</v>
      </c>
      <c r="AF282" t="s">
        <v>292</v>
      </c>
      <c r="AG282" t="s">
        <v>293</v>
      </c>
      <c r="AH282" t="s">
        <v>293</v>
      </c>
      <c r="AI282" t="s">
        <v>302</v>
      </c>
      <c r="AJ282" t="s">
        <v>302</v>
      </c>
      <c r="AK282" t="s">
        <v>302</v>
      </c>
      <c r="AL282" t="s">
        <v>293</v>
      </c>
      <c r="AM282" t="s">
        <v>293</v>
      </c>
      <c r="AN282" t="s">
        <v>297</v>
      </c>
      <c r="AO282" t="s">
        <v>298</v>
      </c>
      <c r="AP282" t="s">
        <v>293</v>
      </c>
      <c r="AQ282" t="s">
        <v>292</v>
      </c>
      <c r="AR282" t="s">
        <v>293</v>
      </c>
      <c r="AS282" t="s">
        <v>293</v>
      </c>
      <c r="AT282" t="s">
        <v>364</v>
      </c>
      <c r="AU282" t="str">
        <f t="shared" si="10"/>
        <v>no_fail</v>
      </c>
    </row>
    <row r="283" spans="1:47" x14ac:dyDescent="0.3">
      <c r="A283" t="s">
        <v>45</v>
      </c>
      <c r="B283" t="s">
        <v>66</v>
      </c>
      <c r="C283" t="s">
        <v>27</v>
      </c>
      <c r="D283" t="s">
        <v>29</v>
      </c>
      <c r="E283" t="str">
        <f t="shared" si="9"/>
        <v>P_M8L-ZSB-S_9F6</v>
      </c>
      <c r="F283" t="b">
        <v>1</v>
      </c>
      <c r="G283">
        <v>94</v>
      </c>
      <c r="H283">
        <v>0</v>
      </c>
      <c r="I283">
        <v>8778</v>
      </c>
      <c r="J283" s="61" t="s">
        <v>13</v>
      </c>
      <c r="K283" s="16" t="s">
        <v>272</v>
      </c>
      <c r="L283" s="16">
        <v>3</v>
      </c>
      <c r="M283" s="16" t="s">
        <v>277</v>
      </c>
      <c r="N283" s="16" t="s">
        <v>335</v>
      </c>
      <c r="O283" s="15" t="s">
        <v>284</v>
      </c>
      <c r="P283" t="s">
        <v>283</v>
      </c>
      <c r="Q283" t="s">
        <v>282</v>
      </c>
      <c r="R283" s="17" t="s">
        <v>371</v>
      </c>
      <c r="S283" s="16" t="s">
        <v>341</v>
      </c>
      <c r="T283" s="16" t="s">
        <v>340</v>
      </c>
      <c r="U283" s="15" t="s">
        <v>343</v>
      </c>
      <c r="V283" s="15" t="s">
        <v>344</v>
      </c>
      <c r="W283" s="17"/>
      <c r="X283" t="s">
        <v>349</v>
      </c>
      <c r="Y283" t="s">
        <v>349</v>
      </c>
      <c r="Z283" t="s">
        <v>293</v>
      </c>
      <c r="AA283" t="s">
        <v>353</v>
      </c>
      <c r="AB283" t="s">
        <v>297</v>
      </c>
      <c r="AC283" t="s">
        <v>300</v>
      </c>
      <c r="AD283" t="s">
        <v>292</v>
      </c>
      <c r="AE283" t="s">
        <v>293</v>
      </c>
      <c r="AF283" t="s">
        <v>292</v>
      </c>
      <c r="AG283" t="s">
        <v>293</v>
      </c>
      <c r="AH283" t="s">
        <v>293</v>
      </c>
      <c r="AI283" t="s">
        <v>302</v>
      </c>
      <c r="AJ283" t="s">
        <v>302</v>
      </c>
      <c r="AK283" t="s">
        <v>302</v>
      </c>
      <c r="AL283" t="s">
        <v>293</v>
      </c>
      <c r="AM283" t="s">
        <v>293</v>
      </c>
      <c r="AN283" t="s">
        <v>297</v>
      </c>
      <c r="AO283" t="s">
        <v>298</v>
      </c>
      <c r="AP283" t="s">
        <v>293</v>
      </c>
      <c r="AQ283" t="s">
        <v>292</v>
      </c>
      <c r="AR283" t="s">
        <v>293</v>
      </c>
      <c r="AS283" t="s">
        <v>293</v>
      </c>
      <c r="AT283" t="s">
        <v>364</v>
      </c>
      <c r="AU283" t="str">
        <f t="shared" si="10"/>
        <v>no_fail</v>
      </c>
    </row>
    <row r="284" spans="1:47" x14ac:dyDescent="0.3">
      <c r="A284" t="s">
        <v>9</v>
      </c>
      <c r="B284" t="s">
        <v>55</v>
      </c>
      <c r="C284" t="s">
        <v>15</v>
      </c>
      <c r="D284" t="s">
        <v>12</v>
      </c>
      <c r="E284" t="str">
        <f t="shared" si="9"/>
        <v>P_N5O-KYY-S_0M4</v>
      </c>
      <c r="F284" t="b">
        <v>1</v>
      </c>
      <c r="G284">
        <v>99</v>
      </c>
      <c r="H284">
        <v>0</v>
      </c>
      <c r="I284">
        <v>12195</v>
      </c>
      <c r="J284" s="61" t="s">
        <v>13</v>
      </c>
      <c r="K284" s="16" t="s">
        <v>272</v>
      </c>
      <c r="L284" s="16">
        <v>3</v>
      </c>
      <c r="M284" s="16" t="s">
        <v>277</v>
      </c>
      <c r="N284" s="16" t="s">
        <v>335</v>
      </c>
      <c r="O284" s="15" t="s">
        <v>281</v>
      </c>
      <c r="P284" t="s">
        <v>339</v>
      </c>
      <c r="Q284" t="s">
        <v>283</v>
      </c>
      <c r="R284" s="17" t="s">
        <v>282</v>
      </c>
      <c r="S284" s="16" t="s">
        <v>341</v>
      </c>
      <c r="T284" s="16" t="s">
        <v>340</v>
      </c>
      <c r="U284" s="15" t="s">
        <v>343</v>
      </c>
      <c r="V284" s="15" t="s">
        <v>347</v>
      </c>
      <c r="W284" s="17"/>
      <c r="X284" t="s">
        <v>349</v>
      </c>
      <c r="Y284" t="s">
        <v>349</v>
      </c>
      <c r="Z284" t="s">
        <v>293</v>
      </c>
      <c r="AA284" t="s">
        <v>352</v>
      </c>
      <c r="AB284" t="s">
        <v>296</v>
      </c>
      <c r="AC284" t="s">
        <v>301</v>
      </c>
      <c r="AD284" t="s">
        <v>292</v>
      </c>
      <c r="AE284" t="s">
        <v>293</v>
      </c>
      <c r="AF284" t="s">
        <v>292</v>
      </c>
      <c r="AG284" t="s">
        <v>292</v>
      </c>
      <c r="AH284" t="s">
        <v>293</v>
      </c>
      <c r="AI284" t="s">
        <v>302</v>
      </c>
      <c r="AJ284" t="s">
        <v>302</v>
      </c>
      <c r="AK284" t="s">
        <v>302</v>
      </c>
      <c r="AL284" t="s">
        <v>293</v>
      </c>
      <c r="AM284" t="s">
        <v>293</v>
      </c>
      <c r="AN284" t="s">
        <v>297</v>
      </c>
      <c r="AO284" t="s">
        <v>298</v>
      </c>
      <c r="AP284" t="s">
        <v>293</v>
      </c>
      <c r="AQ284" t="s">
        <v>292</v>
      </c>
      <c r="AR284" t="s">
        <v>293</v>
      </c>
      <c r="AS284" t="s">
        <v>293</v>
      </c>
      <c r="AT284" t="s">
        <v>364</v>
      </c>
      <c r="AU284" t="str">
        <f t="shared" si="10"/>
        <v>no_fail</v>
      </c>
    </row>
    <row r="285" spans="1:47" x14ac:dyDescent="0.3">
      <c r="A285" t="s">
        <v>9</v>
      </c>
      <c r="B285" t="s">
        <v>55</v>
      </c>
      <c r="C285" t="s">
        <v>14</v>
      </c>
      <c r="D285" t="s">
        <v>12</v>
      </c>
      <c r="E285" t="str">
        <f t="shared" si="9"/>
        <v>P_N5O-KYY-S_1B0</v>
      </c>
      <c r="F285" t="b">
        <v>1</v>
      </c>
      <c r="G285">
        <v>100</v>
      </c>
      <c r="H285">
        <v>1</v>
      </c>
      <c r="I285">
        <v>11712</v>
      </c>
      <c r="J285" s="61" t="s">
        <v>18</v>
      </c>
      <c r="K285" s="16" t="s">
        <v>272</v>
      </c>
      <c r="L285" s="16">
        <v>3</v>
      </c>
      <c r="M285" s="16" t="s">
        <v>277</v>
      </c>
      <c r="N285" s="16" t="s">
        <v>335</v>
      </c>
      <c r="O285" s="15" t="s">
        <v>281</v>
      </c>
      <c r="P285" t="s">
        <v>339</v>
      </c>
      <c r="Q285" t="s">
        <v>283</v>
      </c>
      <c r="R285" s="17" t="s">
        <v>282</v>
      </c>
      <c r="S285" s="16" t="s">
        <v>341</v>
      </c>
      <c r="T285" s="16" t="s">
        <v>340</v>
      </c>
      <c r="U285" s="15" t="s">
        <v>343</v>
      </c>
      <c r="V285" s="15" t="s">
        <v>347</v>
      </c>
      <c r="W285" s="17"/>
      <c r="X285" t="s">
        <v>349</v>
      </c>
      <c r="Y285" t="s">
        <v>349</v>
      </c>
      <c r="Z285" t="s">
        <v>293</v>
      </c>
      <c r="AA285" t="s">
        <v>352</v>
      </c>
      <c r="AB285" t="s">
        <v>297</v>
      </c>
      <c r="AC285" t="s">
        <v>301</v>
      </c>
      <c r="AD285" t="s">
        <v>292</v>
      </c>
      <c r="AE285" t="s">
        <v>293</v>
      </c>
      <c r="AF285" t="s">
        <v>292</v>
      </c>
      <c r="AG285" t="s">
        <v>293</v>
      </c>
      <c r="AH285" t="s">
        <v>293</v>
      </c>
      <c r="AI285" t="s">
        <v>302</v>
      </c>
      <c r="AJ285" t="s">
        <v>302</v>
      </c>
      <c r="AK285" t="s">
        <v>302</v>
      </c>
      <c r="AL285" t="s">
        <v>293</v>
      </c>
      <c r="AM285" t="s">
        <v>293</v>
      </c>
      <c r="AN285" t="s">
        <v>297</v>
      </c>
      <c r="AO285" t="s">
        <v>298</v>
      </c>
      <c r="AP285" t="s">
        <v>293</v>
      </c>
      <c r="AQ285" t="s">
        <v>292</v>
      </c>
      <c r="AR285" t="s">
        <v>293</v>
      </c>
      <c r="AS285" t="s">
        <v>293</v>
      </c>
      <c r="AT285" t="s">
        <v>364</v>
      </c>
      <c r="AU285" t="str">
        <f t="shared" si="10"/>
        <v>break</v>
      </c>
    </row>
    <row r="286" spans="1:47" x14ac:dyDescent="0.3">
      <c r="A286" t="s">
        <v>9</v>
      </c>
      <c r="B286" t="s">
        <v>55</v>
      </c>
      <c r="C286" t="s">
        <v>11</v>
      </c>
      <c r="D286" t="s">
        <v>12</v>
      </c>
      <c r="E286" t="str">
        <f t="shared" si="9"/>
        <v>P_N5O-KYY-S_1Q4</v>
      </c>
      <c r="F286" t="b">
        <v>1</v>
      </c>
      <c r="G286">
        <v>100</v>
      </c>
      <c r="H286">
        <v>1</v>
      </c>
      <c r="I286">
        <v>10938</v>
      </c>
      <c r="J286" s="61" t="s">
        <v>18</v>
      </c>
      <c r="K286" s="16" t="s">
        <v>272</v>
      </c>
      <c r="L286" s="16">
        <v>3</v>
      </c>
      <c r="M286" s="16" t="s">
        <v>277</v>
      </c>
      <c r="N286" s="16" t="s">
        <v>335</v>
      </c>
      <c r="O286" s="15" t="s">
        <v>281</v>
      </c>
      <c r="P286" t="s">
        <v>284</v>
      </c>
      <c r="Q286" t="s">
        <v>283</v>
      </c>
      <c r="R286" s="17" t="s">
        <v>282</v>
      </c>
      <c r="S286" s="16" t="s">
        <v>341</v>
      </c>
      <c r="T286" s="16" t="s">
        <v>340</v>
      </c>
      <c r="U286" s="15" t="s">
        <v>343</v>
      </c>
      <c r="V286" s="15" t="s">
        <v>347</v>
      </c>
      <c r="W286" s="17"/>
      <c r="X286" t="s">
        <v>349</v>
      </c>
      <c r="Y286" t="s">
        <v>349</v>
      </c>
      <c r="Z286" t="s">
        <v>293</v>
      </c>
      <c r="AA286" t="s">
        <v>352</v>
      </c>
      <c r="AB286" t="s">
        <v>297</v>
      </c>
      <c r="AC286" t="s">
        <v>301</v>
      </c>
      <c r="AD286" t="s">
        <v>292</v>
      </c>
      <c r="AE286" t="s">
        <v>293</v>
      </c>
      <c r="AF286" t="s">
        <v>292</v>
      </c>
      <c r="AG286" t="s">
        <v>293</v>
      </c>
      <c r="AH286" t="s">
        <v>293</v>
      </c>
      <c r="AI286" t="s">
        <v>302</v>
      </c>
      <c r="AJ286" t="s">
        <v>302</v>
      </c>
      <c r="AK286" t="s">
        <v>302</v>
      </c>
      <c r="AL286" t="s">
        <v>293</v>
      </c>
      <c r="AM286" t="s">
        <v>293</v>
      </c>
      <c r="AN286" t="s">
        <v>297</v>
      </c>
      <c r="AO286" t="s">
        <v>298</v>
      </c>
      <c r="AP286" t="s">
        <v>293</v>
      </c>
      <c r="AQ286" t="s">
        <v>292</v>
      </c>
      <c r="AR286" t="s">
        <v>293</v>
      </c>
      <c r="AS286" t="s">
        <v>293</v>
      </c>
      <c r="AT286" t="s">
        <v>364</v>
      </c>
      <c r="AU286" t="str">
        <f t="shared" si="10"/>
        <v>break</v>
      </c>
    </row>
    <row r="287" spans="1:47" x14ac:dyDescent="0.3">
      <c r="A287" t="s">
        <v>9</v>
      </c>
      <c r="B287" t="s">
        <v>55</v>
      </c>
      <c r="C287" t="s">
        <v>19</v>
      </c>
      <c r="D287" t="s">
        <v>29</v>
      </c>
      <c r="E287" t="str">
        <f t="shared" si="9"/>
        <v>P_N5O-ZSB-S_4U3</v>
      </c>
      <c r="F287" t="b">
        <v>1</v>
      </c>
      <c r="G287">
        <v>100</v>
      </c>
      <c r="H287">
        <v>1</v>
      </c>
      <c r="I287">
        <v>8280</v>
      </c>
      <c r="J287" s="61" t="s">
        <v>18</v>
      </c>
      <c r="K287" s="16" t="s">
        <v>272</v>
      </c>
      <c r="L287" s="16">
        <v>3</v>
      </c>
      <c r="M287" s="16" t="s">
        <v>277</v>
      </c>
      <c r="N287" s="16" t="s">
        <v>335</v>
      </c>
      <c r="O287" s="15" t="s">
        <v>339</v>
      </c>
      <c r="P287" t="s">
        <v>283</v>
      </c>
      <c r="Q287" t="s">
        <v>284</v>
      </c>
      <c r="R287" s="17" t="s">
        <v>371</v>
      </c>
      <c r="S287" s="16" t="s">
        <v>341</v>
      </c>
      <c r="T287" s="16" t="s">
        <v>340</v>
      </c>
      <c r="U287" s="15" t="s">
        <v>340</v>
      </c>
      <c r="V287" s="15" t="s">
        <v>345</v>
      </c>
      <c r="W287" s="17" t="s">
        <v>291</v>
      </c>
      <c r="X287" t="s">
        <v>349</v>
      </c>
      <c r="Y287" t="s">
        <v>349</v>
      </c>
      <c r="Z287" t="s">
        <v>293</v>
      </c>
      <c r="AA287" t="s">
        <v>352</v>
      </c>
      <c r="AB287" t="s">
        <v>298</v>
      </c>
      <c r="AC287" t="s">
        <v>300</v>
      </c>
      <c r="AD287" t="s">
        <v>292</v>
      </c>
      <c r="AE287" t="s">
        <v>293</v>
      </c>
      <c r="AF287" t="s">
        <v>292</v>
      </c>
      <c r="AG287" t="s">
        <v>293</v>
      </c>
      <c r="AH287" t="s">
        <v>293</v>
      </c>
      <c r="AI287" t="s">
        <v>302</v>
      </c>
      <c r="AJ287" t="s">
        <v>302</v>
      </c>
      <c r="AK287" t="s">
        <v>358</v>
      </c>
      <c r="AL287" t="s">
        <v>293</v>
      </c>
      <c r="AM287" t="s">
        <v>293</v>
      </c>
      <c r="AN287" t="s">
        <v>297</v>
      </c>
      <c r="AO287" t="s">
        <v>298</v>
      </c>
      <c r="AP287" t="s">
        <v>293</v>
      </c>
      <c r="AQ287" t="s">
        <v>292</v>
      </c>
      <c r="AR287" t="s">
        <v>293</v>
      </c>
      <c r="AS287" t="s">
        <v>293</v>
      </c>
      <c r="AT287" t="s">
        <v>364</v>
      </c>
      <c r="AU287" t="str">
        <f t="shared" si="10"/>
        <v>break</v>
      </c>
    </row>
    <row r="288" spans="1:47" x14ac:dyDescent="0.3">
      <c r="A288" t="s">
        <v>9</v>
      </c>
      <c r="B288" t="s">
        <v>55</v>
      </c>
      <c r="C288" t="s">
        <v>17</v>
      </c>
      <c r="D288" t="s">
        <v>29</v>
      </c>
      <c r="E288" t="str">
        <f t="shared" si="9"/>
        <v>P_N5O-ZSB-S_6B5</v>
      </c>
      <c r="F288" t="b">
        <v>1</v>
      </c>
      <c r="G288">
        <v>100</v>
      </c>
      <c r="H288">
        <v>1</v>
      </c>
      <c r="I288">
        <v>9244</v>
      </c>
      <c r="J288" s="61" t="s">
        <v>18</v>
      </c>
      <c r="K288" s="16" t="s">
        <v>272</v>
      </c>
      <c r="L288" s="16">
        <v>2</v>
      </c>
      <c r="M288" s="16" t="s">
        <v>277</v>
      </c>
      <c r="N288" s="16" t="s">
        <v>335</v>
      </c>
      <c r="O288" s="15" t="s">
        <v>281</v>
      </c>
      <c r="P288" t="s">
        <v>283</v>
      </c>
      <c r="Q288" t="s">
        <v>284</v>
      </c>
      <c r="R288" s="17" t="s">
        <v>371</v>
      </c>
      <c r="S288" s="16" t="s">
        <v>341</v>
      </c>
      <c r="T288" s="16" t="s">
        <v>340</v>
      </c>
      <c r="U288" s="15" t="s">
        <v>340</v>
      </c>
      <c r="V288" s="15" t="s">
        <v>345</v>
      </c>
      <c r="W288" s="17"/>
      <c r="X288" t="s">
        <v>349</v>
      </c>
      <c r="Y288" t="s">
        <v>349</v>
      </c>
      <c r="Z288" t="s">
        <v>293</v>
      </c>
      <c r="AA288" t="s">
        <v>354</v>
      </c>
      <c r="AB288" t="s">
        <v>354</v>
      </c>
      <c r="AC288" t="s">
        <v>300</v>
      </c>
      <c r="AD288" t="s">
        <v>292</v>
      </c>
      <c r="AE288" t="s">
        <v>293</v>
      </c>
      <c r="AF288" t="s">
        <v>292</v>
      </c>
      <c r="AG288" t="s">
        <v>293</v>
      </c>
      <c r="AH288" t="s">
        <v>293</v>
      </c>
      <c r="AI288" t="s">
        <v>302</v>
      </c>
      <c r="AJ288" t="s">
        <v>302</v>
      </c>
      <c r="AK288" t="s">
        <v>357</v>
      </c>
      <c r="AL288" t="s">
        <v>293</v>
      </c>
      <c r="AM288" t="s">
        <v>293</v>
      </c>
      <c r="AN288" t="s">
        <v>297</v>
      </c>
      <c r="AO288" t="s">
        <v>298</v>
      </c>
      <c r="AP288" t="s">
        <v>293</v>
      </c>
      <c r="AQ288" t="s">
        <v>292</v>
      </c>
      <c r="AR288" t="s">
        <v>293</v>
      </c>
      <c r="AS288" t="s">
        <v>293</v>
      </c>
      <c r="AT288" t="s">
        <v>364</v>
      </c>
      <c r="AU288" t="str">
        <f t="shared" si="10"/>
        <v>break</v>
      </c>
    </row>
    <row r="289" spans="1:47" x14ac:dyDescent="0.3">
      <c r="A289" t="s">
        <v>9</v>
      </c>
      <c r="B289" t="s">
        <v>55</v>
      </c>
      <c r="C289" t="s">
        <v>16</v>
      </c>
      <c r="D289" t="s">
        <v>29</v>
      </c>
      <c r="E289" t="str">
        <f t="shared" si="9"/>
        <v>P_N5O-ZSB-S_6U7</v>
      </c>
      <c r="F289" t="b">
        <v>1</v>
      </c>
      <c r="G289">
        <v>100</v>
      </c>
      <c r="H289">
        <v>1</v>
      </c>
      <c r="I289">
        <v>8935</v>
      </c>
      <c r="J289" s="61" t="s">
        <v>18</v>
      </c>
      <c r="K289" s="16" t="s">
        <v>272</v>
      </c>
      <c r="L289" s="16">
        <v>3</v>
      </c>
      <c r="M289" s="16" t="s">
        <v>277</v>
      </c>
      <c r="N289" s="16" t="s">
        <v>335</v>
      </c>
      <c r="O289" s="15" t="s">
        <v>281</v>
      </c>
      <c r="P289" t="s">
        <v>283</v>
      </c>
      <c r="Q289" t="s">
        <v>284</v>
      </c>
      <c r="R289" s="17" t="s">
        <v>371</v>
      </c>
      <c r="S289" s="16" t="s">
        <v>341</v>
      </c>
      <c r="T289" s="16" t="s">
        <v>340</v>
      </c>
      <c r="U289" s="15" t="s">
        <v>340</v>
      </c>
      <c r="V289" s="15" t="s">
        <v>345</v>
      </c>
      <c r="W289" s="17"/>
      <c r="X289" t="s">
        <v>349</v>
      </c>
      <c r="Y289" t="s">
        <v>349</v>
      </c>
      <c r="Z289" t="s">
        <v>293</v>
      </c>
      <c r="AA289" t="s">
        <v>354</v>
      </c>
      <c r="AB289" t="s">
        <v>354</v>
      </c>
      <c r="AC289" t="s">
        <v>300</v>
      </c>
      <c r="AD289" t="s">
        <v>292</v>
      </c>
      <c r="AE289" t="s">
        <v>293</v>
      </c>
      <c r="AF289" t="s">
        <v>292</v>
      </c>
      <c r="AG289" t="s">
        <v>293</v>
      </c>
      <c r="AH289" t="s">
        <v>293</v>
      </c>
      <c r="AI289" t="s">
        <v>302</v>
      </c>
      <c r="AJ289" t="s">
        <v>302</v>
      </c>
      <c r="AK289" t="s">
        <v>357</v>
      </c>
      <c r="AL289" t="s">
        <v>293</v>
      </c>
      <c r="AM289" t="s">
        <v>293</v>
      </c>
      <c r="AN289" t="s">
        <v>297</v>
      </c>
      <c r="AO289" t="s">
        <v>298</v>
      </c>
      <c r="AP289" t="s">
        <v>293</v>
      </c>
      <c r="AQ289" t="s">
        <v>292</v>
      </c>
      <c r="AR289" t="s">
        <v>293</v>
      </c>
      <c r="AS289" t="s">
        <v>293</v>
      </c>
      <c r="AT289" t="s">
        <v>364</v>
      </c>
      <c r="AU289" t="str">
        <f t="shared" si="10"/>
        <v>break</v>
      </c>
    </row>
    <row r="290" spans="1:47" x14ac:dyDescent="0.3">
      <c r="A290" t="s">
        <v>43</v>
      </c>
      <c r="B290" t="s">
        <v>54</v>
      </c>
      <c r="C290" t="s">
        <v>15</v>
      </c>
      <c r="D290" t="s">
        <v>12</v>
      </c>
      <c r="E290" t="str">
        <f t="shared" si="9"/>
        <v>P_O7W-KYY-S_0M4</v>
      </c>
      <c r="F290" t="b">
        <v>1</v>
      </c>
      <c r="G290">
        <v>85.9</v>
      </c>
      <c r="H290">
        <v>0</v>
      </c>
      <c r="I290">
        <v>9624</v>
      </c>
      <c r="J290" s="61" t="s">
        <v>13</v>
      </c>
      <c r="K290" s="16" t="s">
        <v>272</v>
      </c>
      <c r="L290" s="16">
        <v>3</v>
      </c>
      <c r="M290" s="16" t="s">
        <v>277</v>
      </c>
      <c r="N290" s="16" t="s">
        <v>335</v>
      </c>
      <c r="O290" s="15" t="s">
        <v>281</v>
      </c>
      <c r="P290" t="s">
        <v>285</v>
      </c>
      <c r="Q290" t="s">
        <v>282</v>
      </c>
      <c r="R290" s="17" t="s">
        <v>371</v>
      </c>
      <c r="S290" s="16" t="s">
        <v>341</v>
      </c>
      <c r="T290" s="16" t="s">
        <v>340</v>
      </c>
      <c r="U290" s="15" t="s">
        <v>343</v>
      </c>
      <c r="V290" s="15" t="s">
        <v>344</v>
      </c>
      <c r="W290" s="17" t="s">
        <v>345</v>
      </c>
      <c r="X290" t="s">
        <v>349</v>
      </c>
      <c r="Y290" t="s">
        <v>349</v>
      </c>
      <c r="Z290" t="s">
        <v>293</v>
      </c>
      <c r="AA290" t="s">
        <v>353</v>
      </c>
      <c r="AB290" t="s">
        <v>297</v>
      </c>
      <c r="AC290" t="s">
        <v>300</v>
      </c>
      <c r="AD290" t="s">
        <v>292</v>
      </c>
      <c r="AE290" t="s">
        <v>293</v>
      </c>
      <c r="AF290" t="s">
        <v>292</v>
      </c>
      <c r="AG290" t="s">
        <v>293</v>
      </c>
      <c r="AH290" t="s">
        <v>293</v>
      </c>
      <c r="AI290" t="s">
        <v>302</v>
      </c>
      <c r="AJ290" t="s">
        <v>302</v>
      </c>
      <c r="AK290" t="s">
        <v>359</v>
      </c>
      <c r="AL290" t="s">
        <v>293</v>
      </c>
      <c r="AM290" t="s">
        <v>293</v>
      </c>
      <c r="AN290" t="s">
        <v>297</v>
      </c>
      <c r="AO290" t="s">
        <v>298</v>
      </c>
      <c r="AP290" t="s">
        <v>293</v>
      </c>
      <c r="AQ290" t="s">
        <v>292</v>
      </c>
      <c r="AR290" t="s">
        <v>293</v>
      </c>
      <c r="AS290" t="s">
        <v>293</v>
      </c>
      <c r="AT290" t="s">
        <v>364</v>
      </c>
      <c r="AU290" t="str">
        <f t="shared" si="10"/>
        <v>no_fail</v>
      </c>
    </row>
    <row r="291" spans="1:47" x14ac:dyDescent="0.3">
      <c r="A291" t="s">
        <v>43</v>
      </c>
      <c r="B291" t="s">
        <v>54</v>
      </c>
      <c r="C291" t="s">
        <v>14</v>
      </c>
      <c r="D291" t="s">
        <v>12</v>
      </c>
      <c r="E291" t="str">
        <f t="shared" si="9"/>
        <v>P_O7W-KYY-S_1B0</v>
      </c>
      <c r="F291" t="b">
        <v>1</v>
      </c>
      <c r="G291">
        <v>83.8</v>
      </c>
      <c r="H291">
        <v>0</v>
      </c>
      <c r="I291">
        <v>9985</v>
      </c>
      <c r="J291" s="61" t="s">
        <v>13</v>
      </c>
      <c r="K291" s="16" t="s">
        <v>272</v>
      </c>
      <c r="L291" s="16">
        <v>3</v>
      </c>
      <c r="M291" s="16" t="s">
        <v>277</v>
      </c>
      <c r="N291" s="16" t="s">
        <v>335</v>
      </c>
      <c r="O291" s="15" t="s">
        <v>281</v>
      </c>
      <c r="P291" t="s">
        <v>285</v>
      </c>
      <c r="Q291" t="s">
        <v>282</v>
      </c>
      <c r="R291" s="17" t="s">
        <v>371</v>
      </c>
      <c r="S291" s="16" t="s">
        <v>341</v>
      </c>
      <c r="T291" s="16" t="s">
        <v>340</v>
      </c>
      <c r="U291" s="15" t="s">
        <v>343</v>
      </c>
      <c r="V291" s="15" t="s">
        <v>344</v>
      </c>
      <c r="W291" s="17" t="s">
        <v>345</v>
      </c>
      <c r="X291" t="s">
        <v>349</v>
      </c>
      <c r="Y291" t="s">
        <v>349</v>
      </c>
      <c r="Z291" t="s">
        <v>293</v>
      </c>
      <c r="AA291" t="s">
        <v>353</v>
      </c>
      <c r="AB291" t="s">
        <v>297</v>
      </c>
      <c r="AC291" t="s">
        <v>301</v>
      </c>
      <c r="AD291" t="s">
        <v>292</v>
      </c>
      <c r="AE291" t="s">
        <v>293</v>
      </c>
      <c r="AF291" t="s">
        <v>292</v>
      </c>
      <c r="AG291" t="s">
        <v>293</v>
      </c>
      <c r="AH291" t="s">
        <v>293</v>
      </c>
      <c r="AI291" t="s">
        <v>302</v>
      </c>
      <c r="AJ291" t="s">
        <v>302</v>
      </c>
      <c r="AK291" t="s">
        <v>359</v>
      </c>
      <c r="AL291" t="s">
        <v>293</v>
      </c>
      <c r="AM291" t="s">
        <v>293</v>
      </c>
      <c r="AN291" t="s">
        <v>297</v>
      </c>
      <c r="AO291" t="s">
        <v>298</v>
      </c>
      <c r="AP291" t="s">
        <v>293</v>
      </c>
      <c r="AQ291" t="s">
        <v>292</v>
      </c>
      <c r="AR291" t="s">
        <v>293</v>
      </c>
      <c r="AS291" t="s">
        <v>293</v>
      </c>
      <c r="AT291" t="s">
        <v>364</v>
      </c>
      <c r="AU291" t="str">
        <f t="shared" si="10"/>
        <v>no_fail</v>
      </c>
    </row>
    <row r="292" spans="1:47" x14ac:dyDescent="0.3">
      <c r="A292" t="s">
        <v>43</v>
      </c>
      <c r="B292" t="s">
        <v>54</v>
      </c>
      <c r="C292" t="s">
        <v>11</v>
      </c>
      <c r="D292" t="s">
        <v>12</v>
      </c>
      <c r="E292" t="str">
        <f t="shared" si="9"/>
        <v>P_O7W-KYY-S_1Q4</v>
      </c>
      <c r="F292" t="b">
        <v>1</v>
      </c>
      <c r="G292">
        <v>78.2</v>
      </c>
      <c r="H292">
        <v>0</v>
      </c>
      <c r="I292">
        <v>11824</v>
      </c>
      <c r="J292" s="61" t="s">
        <v>13</v>
      </c>
      <c r="K292" s="16" t="s">
        <v>272</v>
      </c>
      <c r="L292" s="16">
        <v>3</v>
      </c>
      <c r="M292" s="16" t="s">
        <v>277</v>
      </c>
      <c r="N292" s="16" t="s">
        <v>335</v>
      </c>
      <c r="O292" s="15" t="s">
        <v>281</v>
      </c>
      <c r="P292" t="s">
        <v>285</v>
      </c>
      <c r="Q292" t="s">
        <v>282</v>
      </c>
      <c r="R292" s="17" t="s">
        <v>371</v>
      </c>
      <c r="S292" s="16" t="s">
        <v>341</v>
      </c>
      <c r="T292" s="16" t="s">
        <v>340</v>
      </c>
      <c r="U292" s="15" t="s">
        <v>343</v>
      </c>
      <c r="V292" s="15" t="s">
        <v>344</v>
      </c>
      <c r="W292" s="17" t="s">
        <v>345</v>
      </c>
      <c r="X292" t="s">
        <v>349</v>
      </c>
      <c r="Y292" t="s">
        <v>349</v>
      </c>
      <c r="Z292" t="s">
        <v>292</v>
      </c>
      <c r="AA292" t="s">
        <v>353</v>
      </c>
      <c r="AB292" t="s">
        <v>355</v>
      </c>
      <c r="AC292" t="s">
        <v>301</v>
      </c>
      <c r="AD292" t="s">
        <v>292</v>
      </c>
      <c r="AE292" t="s">
        <v>292</v>
      </c>
      <c r="AF292" t="s">
        <v>292</v>
      </c>
      <c r="AG292" t="s">
        <v>293</v>
      </c>
      <c r="AH292" t="s">
        <v>293</v>
      </c>
      <c r="AI292" t="s">
        <v>302</v>
      </c>
      <c r="AJ292" t="s">
        <v>302</v>
      </c>
      <c r="AK292" t="s">
        <v>302</v>
      </c>
      <c r="AL292" t="s">
        <v>293</v>
      </c>
      <c r="AM292" t="s">
        <v>293</v>
      </c>
      <c r="AN292" t="s">
        <v>297</v>
      </c>
      <c r="AO292" t="s">
        <v>298</v>
      </c>
      <c r="AP292" t="s">
        <v>293</v>
      </c>
      <c r="AQ292" t="s">
        <v>292</v>
      </c>
      <c r="AR292" t="s">
        <v>293</v>
      </c>
      <c r="AS292" t="s">
        <v>293</v>
      </c>
      <c r="AT292" t="s">
        <v>364</v>
      </c>
      <c r="AU292" t="str">
        <f t="shared" si="10"/>
        <v>no_fail</v>
      </c>
    </row>
    <row r="293" spans="1:47" x14ac:dyDescent="0.3">
      <c r="A293" t="s">
        <v>43</v>
      </c>
      <c r="B293" t="s">
        <v>54</v>
      </c>
      <c r="C293" t="s">
        <v>19</v>
      </c>
      <c r="D293" t="s">
        <v>12</v>
      </c>
      <c r="E293" t="str">
        <f t="shared" si="9"/>
        <v>P_O7W-KYY-S_4U3</v>
      </c>
      <c r="F293" t="b">
        <v>1</v>
      </c>
      <c r="G293">
        <v>99.7</v>
      </c>
      <c r="H293">
        <v>0</v>
      </c>
      <c r="I293">
        <v>8565</v>
      </c>
      <c r="J293" s="61" t="s">
        <v>13</v>
      </c>
      <c r="K293" s="16" t="s">
        <v>272</v>
      </c>
      <c r="L293" s="16">
        <v>3</v>
      </c>
      <c r="M293" s="16" t="s">
        <v>277</v>
      </c>
      <c r="N293" s="16" t="s">
        <v>335</v>
      </c>
      <c r="O293" s="15" t="s">
        <v>281</v>
      </c>
      <c r="P293" t="s">
        <v>285</v>
      </c>
      <c r="Q293" t="s">
        <v>282</v>
      </c>
      <c r="R293" s="17" t="s">
        <v>371</v>
      </c>
      <c r="S293" s="16" t="s">
        <v>341</v>
      </c>
      <c r="T293" s="16" t="s">
        <v>340</v>
      </c>
      <c r="U293" s="15" t="s">
        <v>343</v>
      </c>
      <c r="V293" s="15" t="s">
        <v>344</v>
      </c>
      <c r="W293" s="17" t="s">
        <v>345</v>
      </c>
      <c r="X293" t="s">
        <v>349</v>
      </c>
      <c r="Y293" t="s">
        <v>349</v>
      </c>
      <c r="Z293" t="s">
        <v>293</v>
      </c>
      <c r="AA293" t="s">
        <v>353</v>
      </c>
      <c r="AB293" t="s">
        <v>297</v>
      </c>
      <c r="AC293" t="s">
        <v>299</v>
      </c>
      <c r="AD293" t="s">
        <v>292</v>
      </c>
      <c r="AE293" t="s">
        <v>293</v>
      </c>
      <c r="AF293" t="s">
        <v>292</v>
      </c>
      <c r="AG293" t="s">
        <v>293</v>
      </c>
      <c r="AH293" t="s">
        <v>293</v>
      </c>
      <c r="AI293" t="s">
        <v>302</v>
      </c>
      <c r="AJ293" t="s">
        <v>302</v>
      </c>
      <c r="AK293" t="s">
        <v>359</v>
      </c>
      <c r="AL293" t="s">
        <v>293</v>
      </c>
      <c r="AM293" t="s">
        <v>293</v>
      </c>
      <c r="AN293" t="s">
        <v>297</v>
      </c>
      <c r="AO293" t="s">
        <v>298</v>
      </c>
      <c r="AP293" t="s">
        <v>293</v>
      </c>
      <c r="AQ293" t="s">
        <v>292</v>
      </c>
      <c r="AR293" t="s">
        <v>293</v>
      </c>
      <c r="AS293" t="s">
        <v>293</v>
      </c>
      <c r="AT293" t="s">
        <v>364</v>
      </c>
      <c r="AU293" t="str">
        <f t="shared" si="10"/>
        <v>no_fail</v>
      </c>
    </row>
    <row r="294" spans="1:47" x14ac:dyDescent="0.3">
      <c r="A294" t="s">
        <v>43</v>
      </c>
      <c r="B294" t="s">
        <v>54</v>
      </c>
      <c r="C294" t="s">
        <v>17</v>
      </c>
      <c r="D294" t="s">
        <v>12</v>
      </c>
      <c r="E294" t="str">
        <f t="shared" si="9"/>
        <v>P_O7W-KYY-S_6B5</v>
      </c>
      <c r="F294" t="b">
        <v>1</v>
      </c>
      <c r="G294">
        <v>91.4</v>
      </c>
      <c r="H294">
        <v>0</v>
      </c>
      <c r="I294">
        <v>8948</v>
      </c>
      <c r="J294" s="61" t="s">
        <v>13</v>
      </c>
      <c r="K294" s="16" t="s">
        <v>272</v>
      </c>
      <c r="L294" s="16">
        <v>3</v>
      </c>
      <c r="M294" s="16" t="s">
        <v>277</v>
      </c>
      <c r="N294" s="16" t="s">
        <v>335</v>
      </c>
      <c r="O294" s="15" t="s">
        <v>281</v>
      </c>
      <c r="P294" t="s">
        <v>285</v>
      </c>
      <c r="Q294" t="s">
        <v>282</v>
      </c>
      <c r="R294" s="17" t="s">
        <v>371</v>
      </c>
      <c r="S294" s="16" t="s">
        <v>341</v>
      </c>
      <c r="T294" s="16" t="s">
        <v>340</v>
      </c>
      <c r="U294" s="15" t="s">
        <v>343</v>
      </c>
      <c r="V294" s="15" t="s">
        <v>344</v>
      </c>
      <c r="W294" s="17" t="s">
        <v>345</v>
      </c>
      <c r="X294" t="s">
        <v>349</v>
      </c>
      <c r="Y294" t="s">
        <v>349</v>
      </c>
      <c r="Z294" t="s">
        <v>293</v>
      </c>
      <c r="AA294" t="s">
        <v>353</v>
      </c>
      <c r="AB294" t="s">
        <v>297</v>
      </c>
      <c r="AC294" t="s">
        <v>299</v>
      </c>
      <c r="AD294" t="s">
        <v>292</v>
      </c>
      <c r="AE294" t="s">
        <v>293</v>
      </c>
      <c r="AF294" t="s">
        <v>292</v>
      </c>
      <c r="AG294" t="s">
        <v>293</v>
      </c>
      <c r="AH294" t="s">
        <v>293</v>
      </c>
      <c r="AI294" t="s">
        <v>302</v>
      </c>
      <c r="AJ294" t="s">
        <v>302</v>
      </c>
      <c r="AK294" t="s">
        <v>359</v>
      </c>
      <c r="AL294" t="s">
        <v>293</v>
      </c>
      <c r="AM294" t="s">
        <v>293</v>
      </c>
      <c r="AN294" t="s">
        <v>297</v>
      </c>
      <c r="AO294" t="s">
        <v>298</v>
      </c>
      <c r="AP294" t="s">
        <v>293</v>
      </c>
      <c r="AQ294" t="s">
        <v>292</v>
      </c>
      <c r="AR294" t="s">
        <v>293</v>
      </c>
      <c r="AS294" t="s">
        <v>293</v>
      </c>
      <c r="AT294" t="s">
        <v>364</v>
      </c>
      <c r="AU294" t="str">
        <f t="shared" si="10"/>
        <v>no_fail</v>
      </c>
    </row>
    <row r="295" spans="1:47" x14ac:dyDescent="0.3">
      <c r="A295" t="s">
        <v>43</v>
      </c>
      <c r="B295" t="s">
        <v>54</v>
      </c>
      <c r="C295" t="s">
        <v>16</v>
      </c>
      <c r="D295" t="s">
        <v>12</v>
      </c>
      <c r="E295" t="str">
        <f t="shared" si="9"/>
        <v>P_O7W-KYY-S_6U7</v>
      </c>
      <c r="F295" t="b">
        <v>1</v>
      </c>
      <c r="G295">
        <v>88.6</v>
      </c>
      <c r="H295">
        <v>0</v>
      </c>
      <c r="I295">
        <v>9426</v>
      </c>
      <c r="J295" s="61" t="s">
        <v>13</v>
      </c>
      <c r="K295" s="16" t="s">
        <v>272</v>
      </c>
      <c r="L295" s="16">
        <v>3</v>
      </c>
      <c r="M295" s="16" t="s">
        <v>277</v>
      </c>
      <c r="N295" s="16" t="s">
        <v>335</v>
      </c>
      <c r="O295" s="15" t="s">
        <v>281</v>
      </c>
      <c r="P295" t="s">
        <v>285</v>
      </c>
      <c r="Q295" t="s">
        <v>282</v>
      </c>
      <c r="R295" s="17" t="s">
        <v>371</v>
      </c>
      <c r="S295" s="16" t="s">
        <v>341</v>
      </c>
      <c r="T295" s="16" t="s">
        <v>340</v>
      </c>
      <c r="U295" s="15" t="s">
        <v>343</v>
      </c>
      <c r="V295" s="15" t="s">
        <v>344</v>
      </c>
      <c r="W295" s="17" t="s">
        <v>345</v>
      </c>
      <c r="X295" t="s">
        <v>349</v>
      </c>
      <c r="Y295" t="s">
        <v>349</v>
      </c>
      <c r="Z295" t="s">
        <v>293</v>
      </c>
      <c r="AA295" t="s">
        <v>353</v>
      </c>
      <c r="AB295" t="s">
        <v>297</v>
      </c>
      <c r="AC295" t="s">
        <v>300</v>
      </c>
      <c r="AD295" t="s">
        <v>292</v>
      </c>
      <c r="AE295" t="s">
        <v>293</v>
      </c>
      <c r="AF295" t="s">
        <v>292</v>
      </c>
      <c r="AG295" t="s">
        <v>293</v>
      </c>
      <c r="AH295" t="s">
        <v>293</v>
      </c>
      <c r="AI295" t="s">
        <v>302</v>
      </c>
      <c r="AJ295" t="s">
        <v>302</v>
      </c>
      <c r="AK295" t="s">
        <v>359</v>
      </c>
      <c r="AL295" t="s">
        <v>293</v>
      </c>
      <c r="AM295" t="s">
        <v>293</v>
      </c>
      <c r="AN295" t="s">
        <v>297</v>
      </c>
      <c r="AO295" t="s">
        <v>298</v>
      </c>
      <c r="AP295" t="s">
        <v>293</v>
      </c>
      <c r="AQ295" t="s">
        <v>292</v>
      </c>
      <c r="AR295" t="s">
        <v>293</v>
      </c>
      <c r="AS295" t="s">
        <v>293</v>
      </c>
      <c r="AT295" t="s">
        <v>364</v>
      </c>
      <c r="AU295" t="str">
        <f t="shared" si="10"/>
        <v>no_fail</v>
      </c>
    </row>
    <row r="296" spans="1:47" x14ac:dyDescent="0.3">
      <c r="A296" t="s">
        <v>43</v>
      </c>
      <c r="B296" t="s">
        <v>54</v>
      </c>
      <c r="C296" t="s">
        <v>23</v>
      </c>
      <c r="D296" t="s">
        <v>29</v>
      </c>
      <c r="E296" t="str">
        <f t="shared" si="9"/>
        <v>P_O7W-ZSB-S_0T2</v>
      </c>
      <c r="F296" t="b">
        <v>1</v>
      </c>
      <c r="G296">
        <v>100</v>
      </c>
      <c r="H296">
        <v>1</v>
      </c>
      <c r="I296">
        <v>8230</v>
      </c>
      <c r="J296" s="61" t="s">
        <v>13</v>
      </c>
      <c r="K296" s="16" t="s">
        <v>272</v>
      </c>
      <c r="L296" s="16">
        <v>3</v>
      </c>
      <c r="M296" s="16" t="s">
        <v>277</v>
      </c>
      <c r="N296" s="16" t="s">
        <v>335</v>
      </c>
      <c r="O296" s="15" t="s">
        <v>281</v>
      </c>
      <c r="P296" t="s">
        <v>285</v>
      </c>
      <c r="Q296" t="s">
        <v>282</v>
      </c>
      <c r="R296" s="17" t="s">
        <v>371</v>
      </c>
      <c r="S296" s="16" t="s">
        <v>340</v>
      </c>
      <c r="T296" s="16" t="s">
        <v>342</v>
      </c>
      <c r="U296" s="15" t="s">
        <v>343</v>
      </c>
      <c r="V296" s="15" t="s">
        <v>344</v>
      </c>
      <c r="W296" s="17" t="s">
        <v>347</v>
      </c>
      <c r="X296" t="s">
        <v>349</v>
      </c>
      <c r="Y296" t="s">
        <v>349</v>
      </c>
      <c r="Z296" t="s">
        <v>293</v>
      </c>
      <c r="AA296" t="s">
        <v>353</v>
      </c>
      <c r="AB296" t="s">
        <v>355</v>
      </c>
      <c r="AC296" t="s">
        <v>299</v>
      </c>
      <c r="AD296" t="s">
        <v>292</v>
      </c>
      <c r="AE296" t="s">
        <v>293</v>
      </c>
      <c r="AF296" t="s">
        <v>292</v>
      </c>
      <c r="AG296" t="s">
        <v>292</v>
      </c>
      <c r="AH296" t="s">
        <v>293</v>
      </c>
      <c r="AI296" t="s">
        <v>302</v>
      </c>
      <c r="AJ296" t="s">
        <v>302</v>
      </c>
      <c r="AK296" t="s">
        <v>359</v>
      </c>
      <c r="AL296" t="s">
        <v>293</v>
      </c>
      <c r="AM296" t="s">
        <v>293</v>
      </c>
      <c r="AN296" t="s">
        <v>297</v>
      </c>
      <c r="AO296" t="s">
        <v>298</v>
      </c>
      <c r="AP296" t="s">
        <v>293</v>
      </c>
      <c r="AQ296" t="s">
        <v>292</v>
      </c>
      <c r="AR296" t="s">
        <v>293</v>
      </c>
      <c r="AS296" t="s">
        <v>293</v>
      </c>
      <c r="AT296" t="s">
        <v>364</v>
      </c>
      <c r="AU296" t="str">
        <f t="shared" si="10"/>
        <v>no_fail</v>
      </c>
    </row>
    <row r="297" spans="1:47" x14ac:dyDescent="0.3">
      <c r="A297" t="s">
        <v>43</v>
      </c>
      <c r="B297" t="s">
        <v>54</v>
      </c>
      <c r="C297" t="s">
        <v>25</v>
      </c>
      <c r="D297" t="s">
        <v>29</v>
      </c>
      <c r="E297" t="str">
        <f t="shared" si="9"/>
        <v>P_O7W-ZSB-S_1J8</v>
      </c>
      <c r="F297" t="b">
        <v>1</v>
      </c>
      <c r="G297">
        <v>100</v>
      </c>
      <c r="H297">
        <v>1</v>
      </c>
      <c r="I297">
        <v>8175</v>
      </c>
      <c r="J297" s="61" t="s">
        <v>18</v>
      </c>
      <c r="K297" s="16" t="s">
        <v>272</v>
      </c>
      <c r="L297" s="16">
        <v>3</v>
      </c>
      <c r="M297" s="16" t="s">
        <v>277</v>
      </c>
      <c r="N297" s="16" t="s">
        <v>335</v>
      </c>
      <c r="O297" s="15" t="s">
        <v>281</v>
      </c>
      <c r="P297" t="s">
        <v>285</v>
      </c>
      <c r="Q297" t="s">
        <v>282</v>
      </c>
      <c r="R297" s="17" t="s">
        <v>371</v>
      </c>
      <c r="S297" s="16" t="s">
        <v>340</v>
      </c>
      <c r="T297" s="16" t="s">
        <v>342</v>
      </c>
      <c r="U297" s="15" t="s">
        <v>343</v>
      </c>
      <c r="V297" s="15" t="s">
        <v>344</v>
      </c>
      <c r="W297" s="17" t="s">
        <v>347</v>
      </c>
      <c r="X297" t="s">
        <v>349</v>
      </c>
      <c r="Y297" t="s">
        <v>349</v>
      </c>
      <c r="Z297" t="s">
        <v>293</v>
      </c>
      <c r="AA297" t="s">
        <v>353</v>
      </c>
      <c r="AB297" t="s">
        <v>355</v>
      </c>
      <c r="AC297" t="s">
        <v>299</v>
      </c>
      <c r="AD297" t="s">
        <v>292</v>
      </c>
      <c r="AE297" t="s">
        <v>293</v>
      </c>
      <c r="AF297" t="s">
        <v>292</v>
      </c>
      <c r="AG297" t="s">
        <v>292</v>
      </c>
      <c r="AH297" t="s">
        <v>293</v>
      </c>
      <c r="AI297" t="s">
        <v>302</v>
      </c>
      <c r="AJ297" t="s">
        <v>302</v>
      </c>
      <c r="AK297" t="s">
        <v>359</v>
      </c>
      <c r="AL297" t="s">
        <v>293</v>
      </c>
      <c r="AM297" t="s">
        <v>293</v>
      </c>
      <c r="AN297" t="s">
        <v>297</v>
      </c>
      <c r="AO297" t="s">
        <v>298</v>
      </c>
      <c r="AP297" t="s">
        <v>293</v>
      </c>
      <c r="AQ297" t="s">
        <v>292</v>
      </c>
      <c r="AR297" t="s">
        <v>293</v>
      </c>
      <c r="AS297" t="s">
        <v>293</v>
      </c>
      <c r="AT297" t="s">
        <v>364</v>
      </c>
      <c r="AU297" t="str">
        <f t="shared" si="10"/>
        <v>break</v>
      </c>
    </row>
    <row r="298" spans="1:47" x14ac:dyDescent="0.3">
      <c r="A298" t="s">
        <v>43</v>
      </c>
      <c r="B298" t="s">
        <v>54</v>
      </c>
      <c r="C298" t="s">
        <v>24</v>
      </c>
      <c r="D298" t="s">
        <v>29</v>
      </c>
      <c r="E298" t="str">
        <f t="shared" si="9"/>
        <v>P_O7W-ZSB-S_1U0</v>
      </c>
      <c r="F298" t="b">
        <v>1</v>
      </c>
      <c r="G298">
        <v>100</v>
      </c>
      <c r="H298">
        <v>1</v>
      </c>
      <c r="I298">
        <v>8190</v>
      </c>
      <c r="J298" s="61" t="s">
        <v>18</v>
      </c>
      <c r="K298" s="16" t="s">
        <v>272</v>
      </c>
      <c r="L298" s="16">
        <v>3</v>
      </c>
      <c r="M298" s="16" t="s">
        <v>277</v>
      </c>
      <c r="N298" s="16" t="s">
        <v>335</v>
      </c>
      <c r="O298" s="15" t="s">
        <v>281</v>
      </c>
      <c r="P298" t="s">
        <v>285</v>
      </c>
      <c r="Q298" t="s">
        <v>282</v>
      </c>
      <c r="R298" s="17" t="s">
        <v>371</v>
      </c>
      <c r="S298" s="16" t="s">
        <v>340</v>
      </c>
      <c r="T298" s="16" t="s">
        <v>342</v>
      </c>
      <c r="U298" s="15" t="s">
        <v>343</v>
      </c>
      <c r="V298" s="15" t="s">
        <v>344</v>
      </c>
      <c r="W298" s="17" t="s">
        <v>347</v>
      </c>
      <c r="X298" t="s">
        <v>349</v>
      </c>
      <c r="Y298" t="s">
        <v>349</v>
      </c>
      <c r="Z298" t="s">
        <v>293</v>
      </c>
      <c r="AA298" t="s">
        <v>353</v>
      </c>
      <c r="AB298" t="s">
        <v>355</v>
      </c>
      <c r="AC298" t="s">
        <v>299</v>
      </c>
      <c r="AD298" t="s">
        <v>292</v>
      </c>
      <c r="AE298" t="s">
        <v>293</v>
      </c>
      <c r="AF298" t="s">
        <v>292</v>
      </c>
      <c r="AG298" t="s">
        <v>292</v>
      </c>
      <c r="AH298" t="s">
        <v>293</v>
      </c>
      <c r="AI298" t="s">
        <v>302</v>
      </c>
      <c r="AJ298" t="s">
        <v>302</v>
      </c>
      <c r="AK298" t="s">
        <v>359</v>
      </c>
      <c r="AL298" t="s">
        <v>293</v>
      </c>
      <c r="AM298" t="s">
        <v>293</v>
      </c>
      <c r="AN298" t="s">
        <v>297</v>
      </c>
      <c r="AO298" t="s">
        <v>298</v>
      </c>
      <c r="AP298" t="s">
        <v>293</v>
      </c>
      <c r="AQ298" t="s">
        <v>292</v>
      </c>
      <c r="AR298" t="s">
        <v>293</v>
      </c>
      <c r="AS298" t="s">
        <v>293</v>
      </c>
      <c r="AT298" t="s">
        <v>364</v>
      </c>
      <c r="AU298" t="str">
        <f t="shared" si="10"/>
        <v>break</v>
      </c>
    </row>
    <row r="299" spans="1:47" x14ac:dyDescent="0.3">
      <c r="A299" t="s">
        <v>43</v>
      </c>
      <c r="B299" t="s">
        <v>54</v>
      </c>
      <c r="C299" t="s">
        <v>32</v>
      </c>
      <c r="D299" t="s">
        <v>29</v>
      </c>
      <c r="E299" t="str">
        <f t="shared" si="9"/>
        <v>P_O7W-ZSB-S_3B9</v>
      </c>
      <c r="F299" t="b">
        <v>1</v>
      </c>
      <c r="G299">
        <v>100</v>
      </c>
      <c r="H299">
        <v>1</v>
      </c>
      <c r="I299">
        <v>8146</v>
      </c>
      <c r="J299" s="61" t="s">
        <v>18</v>
      </c>
      <c r="K299" s="16" t="s">
        <v>272</v>
      </c>
      <c r="L299" s="16">
        <v>3</v>
      </c>
      <c r="M299" s="16" t="s">
        <v>277</v>
      </c>
      <c r="N299" s="16" t="s">
        <v>335</v>
      </c>
      <c r="O299" s="15" t="s">
        <v>281</v>
      </c>
      <c r="P299" t="s">
        <v>285</v>
      </c>
      <c r="Q299" t="s">
        <v>282</v>
      </c>
      <c r="R299" s="17" t="s">
        <v>371</v>
      </c>
      <c r="S299" s="16" t="s">
        <v>340</v>
      </c>
      <c r="T299" s="16" t="s">
        <v>342</v>
      </c>
      <c r="U299" s="15" t="s">
        <v>343</v>
      </c>
      <c r="V299" s="15" t="s">
        <v>344</v>
      </c>
      <c r="W299" s="17" t="s">
        <v>347</v>
      </c>
      <c r="X299" t="s">
        <v>349</v>
      </c>
      <c r="Y299" t="s">
        <v>349</v>
      </c>
      <c r="Z299" t="s">
        <v>293</v>
      </c>
      <c r="AA299" t="s">
        <v>353</v>
      </c>
      <c r="AB299" t="s">
        <v>355</v>
      </c>
      <c r="AC299" t="s">
        <v>299</v>
      </c>
      <c r="AD299" t="s">
        <v>292</v>
      </c>
      <c r="AE299" t="s">
        <v>293</v>
      </c>
      <c r="AF299" t="s">
        <v>292</v>
      </c>
      <c r="AG299" t="s">
        <v>292</v>
      </c>
      <c r="AH299" t="s">
        <v>293</v>
      </c>
      <c r="AI299" t="s">
        <v>302</v>
      </c>
      <c r="AJ299" t="s">
        <v>302</v>
      </c>
      <c r="AK299" t="s">
        <v>359</v>
      </c>
      <c r="AL299" t="s">
        <v>293</v>
      </c>
      <c r="AM299" t="s">
        <v>293</v>
      </c>
      <c r="AN299" t="s">
        <v>297</v>
      </c>
      <c r="AO299" t="s">
        <v>298</v>
      </c>
      <c r="AP299" t="s">
        <v>293</v>
      </c>
      <c r="AQ299" t="s">
        <v>292</v>
      </c>
      <c r="AR299" t="s">
        <v>293</v>
      </c>
      <c r="AS299" t="s">
        <v>293</v>
      </c>
      <c r="AT299" t="s">
        <v>364</v>
      </c>
      <c r="AU299" t="str">
        <f t="shared" si="10"/>
        <v>break</v>
      </c>
    </row>
    <row r="300" spans="1:47" x14ac:dyDescent="0.3">
      <c r="A300" t="s">
        <v>43</v>
      </c>
      <c r="B300" t="s">
        <v>54</v>
      </c>
      <c r="C300" t="s">
        <v>21</v>
      </c>
      <c r="D300" t="s">
        <v>29</v>
      </c>
      <c r="E300" t="str">
        <f t="shared" si="9"/>
        <v>P_O7W-ZSB-S_3X6</v>
      </c>
      <c r="F300" t="b">
        <v>1</v>
      </c>
      <c r="G300">
        <v>100</v>
      </c>
      <c r="H300">
        <v>1</v>
      </c>
      <c r="I300">
        <v>7792</v>
      </c>
      <c r="J300" s="61" t="s">
        <v>18</v>
      </c>
      <c r="K300" s="16" t="s">
        <v>272</v>
      </c>
      <c r="L300" s="16">
        <v>3</v>
      </c>
      <c r="M300" s="16" t="s">
        <v>277</v>
      </c>
      <c r="N300" s="16" t="s">
        <v>335</v>
      </c>
      <c r="O300" s="15" t="s">
        <v>281</v>
      </c>
      <c r="P300" t="s">
        <v>285</v>
      </c>
      <c r="Q300" t="s">
        <v>282</v>
      </c>
      <c r="R300" s="17" t="s">
        <v>371</v>
      </c>
      <c r="S300" s="16" t="s">
        <v>340</v>
      </c>
      <c r="T300" s="16" t="s">
        <v>342</v>
      </c>
      <c r="U300" s="15" t="s">
        <v>343</v>
      </c>
      <c r="V300" s="15" t="s">
        <v>344</v>
      </c>
      <c r="W300" s="17" t="s">
        <v>347</v>
      </c>
      <c r="X300" t="s">
        <v>349</v>
      </c>
      <c r="Y300" t="s">
        <v>349</v>
      </c>
      <c r="Z300" t="s">
        <v>293</v>
      </c>
      <c r="AA300" t="s">
        <v>353</v>
      </c>
      <c r="AB300" t="s">
        <v>297</v>
      </c>
      <c r="AC300" t="s">
        <v>300</v>
      </c>
      <c r="AD300" t="s">
        <v>292</v>
      </c>
      <c r="AE300" t="s">
        <v>293</v>
      </c>
      <c r="AF300" t="s">
        <v>292</v>
      </c>
      <c r="AG300" t="s">
        <v>293</v>
      </c>
      <c r="AH300" t="s">
        <v>293</v>
      </c>
      <c r="AI300" t="s">
        <v>302</v>
      </c>
      <c r="AJ300" t="s">
        <v>302</v>
      </c>
      <c r="AK300" t="s">
        <v>359</v>
      </c>
      <c r="AL300" t="s">
        <v>293</v>
      </c>
      <c r="AM300" t="s">
        <v>293</v>
      </c>
      <c r="AN300" t="s">
        <v>297</v>
      </c>
      <c r="AO300" t="s">
        <v>298</v>
      </c>
      <c r="AP300" t="s">
        <v>293</v>
      </c>
      <c r="AQ300" t="s">
        <v>292</v>
      </c>
      <c r="AR300" t="s">
        <v>293</v>
      </c>
      <c r="AS300" t="s">
        <v>293</v>
      </c>
      <c r="AT300" t="s">
        <v>364</v>
      </c>
      <c r="AU300" t="str">
        <f t="shared" si="10"/>
        <v>break</v>
      </c>
    </row>
    <row r="301" spans="1:47" x14ac:dyDescent="0.3">
      <c r="A301" t="s">
        <v>43</v>
      </c>
      <c r="B301" t="s">
        <v>54</v>
      </c>
      <c r="C301" t="s">
        <v>30</v>
      </c>
      <c r="D301" t="s">
        <v>29</v>
      </c>
      <c r="E301" t="str">
        <f t="shared" si="9"/>
        <v>P_O7W-ZSB-S_3X7</v>
      </c>
      <c r="F301" t="b">
        <v>1</v>
      </c>
      <c r="G301">
        <v>100</v>
      </c>
      <c r="H301">
        <v>1</v>
      </c>
      <c r="I301">
        <v>8204</v>
      </c>
      <c r="J301" s="61" t="s">
        <v>18</v>
      </c>
      <c r="K301" s="16" t="s">
        <v>272</v>
      </c>
      <c r="L301" s="16">
        <v>3</v>
      </c>
      <c r="M301" s="16" t="s">
        <v>277</v>
      </c>
      <c r="N301" s="16" t="s">
        <v>335</v>
      </c>
      <c r="O301" s="15" t="s">
        <v>281</v>
      </c>
      <c r="P301" t="s">
        <v>285</v>
      </c>
      <c r="Q301" t="s">
        <v>282</v>
      </c>
      <c r="R301" s="17" t="s">
        <v>371</v>
      </c>
      <c r="S301" s="16" t="s">
        <v>340</v>
      </c>
      <c r="T301" s="16" t="s">
        <v>342</v>
      </c>
      <c r="U301" s="15" t="s">
        <v>343</v>
      </c>
      <c r="V301" s="15" t="s">
        <v>344</v>
      </c>
      <c r="W301" s="17" t="s">
        <v>347</v>
      </c>
      <c r="X301" t="s">
        <v>349</v>
      </c>
      <c r="Y301" t="s">
        <v>349</v>
      </c>
      <c r="Z301" t="s">
        <v>293</v>
      </c>
      <c r="AA301" t="s">
        <v>353</v>
      </c>
      <c r="AB301" t="s">
        <v>355</v>
      </c>
      <c r="AC301" t="s">
        <v>300</v>
      </c>
      <c r="AD301" t="s">
        <v>292</v>
      </c>
      <c r="AE301" t="s">
        <v>293</v>
      </c>
      <c r="AF301" t="s">
        <v>292</v>
      </c>
      <c r="AG301" t="s">
        <v>292</v>
      </c>
      <c r="AH301" t="s">
        <v>293</v>
      </c>
      <c r="AI301" t="s">
        <v>302</v>
      </c>
      <c r="AJ301" t="s">
        <v>302</v>
      </c>
      <c r="AK301" t="s">
        <v>359</v>
      </c>
      <c r="AL301" t="s">
        <v>293</v>
      </c>
      <c r="AM301" t="s">
        <v>293</v>
      </c>
      <c r="AN301" t="s">
        <v>297</v>
      </c>
      <c r="AO301" t="s">
        <v>298</v>
      </c>
      <c r="AP301" t="s">
        <v>293</v>
      </c>
      <c r="AQ301" t="s">
        <v>292</v>
      </c>
      <c r="AR301" t="s">
        <v>293</v>
      </c>
      <c r="AS301" t="s">
        <v>293</v>
      </c>
      <c r="AT301" t="s">
        <v>364</v>
      </c>
      <c r="AU301" t="str">
        <f t="shared" si="10"/>
        <v>break</v>
      </c>
    </row>
    <row r="302" spans="1:47" x14ac:dyDescent="0.3">
      <c r="A302" t="s">
        <v>43</v>
      </c>
      <c r="B302" t="s">
        <v>54</v>
      </c>
      <c r="C302" t="s">
        <v>20</v>
      </c>
      <c r="D302" t="s">
        <v>29</v>
      </c>
      <c r="E302" t="str">
        <f t="shared" si="9"/>
        <v>P_O7W-ZSB-S_7W0</v>
      </c>
      <c r="F302" t="b">
        <v>1</v>
      </c>
      <c r="G302">
        <v>100</v>
      </c>
      <c r="H302">
        <v>1</v>
      </c>
      <c r="I302">
        <v>7991</v>
      </c>
      <c r="J302" s="61" t="s">
        <v>18</v>
      </c>
      <c r="K302" s="16" t="s">
        <v>272</v>
      </c>
      <c r="L302" s="16">
        <v>3</v>
      </c>
      <c r="M302" s="16" t="s">
        <v>277</v>
      </c>
      <c r="N302" s="16" t="s">
        <v>335</v>
      </c>
      <c r="O302" s="15" t="s">
        <v>281</v>
      </c>
      <c r="P302" t="s">
        <v>285</v>
      </c>
      <c r="Q302" t="s">
        <v>282</v>
      </c>
      <c r="R302" s="17" t="s">
        <v>371</v>
      </c>
      <c r="S302" s="16" t="s">
        <v>340</v>
      </c>
      <c r="T302" s="16" t="s">
        <v>342</v>
      </c>
      <c r="U302" s="15" t="s">
        <v>343</v>
      </c>
      <c r="V302" s="15" t="s">
        <v>344</v>
      </c>
      <c r="W302" s="17" t="s">
        <v>347</v>
      </c>
      <c r="X302" t="s">
        <v>349</v>
      </c>
      <c r="Y302" t="s">
        <v>349</v>
      </c>
      <c r="Z302" t="s">
        <v>293</v>
      </c>
      <c r="AA302" t="s">
        <v>353</v>
      </c>
      <c r="AB302" t="s">
        <v>297</v>
      </c>
      <c r="AC302" t="s">
        <v>300</v>
      </c>
      <c r="AD302" t="s">
        <v>292</v>
      </c>
      <c r="AE302" t="s">
        <v>293</v>
      </c>
      <c r="AF302" t="s">
        <v>292</v>
      </c>
      <c r="AG302" t="s">
        <v>293</v>
      </c>
      <c r="AH302" t="s">
        <v>293</v>
      </c>
      <c r="AI302" t="s">
        <v>302</v>
      </c>
      <c r="AJ302" t="s">
        <v>302</v>
      </c>
      <c r="AK302" t="s">
        <v>359</v>
      </c>
      <c r="AL302" t="s">
        <v>293</v>
      </c>
      <c r="AM302" t="s">
        <v>293</v>
      </c>
      <c r="AN302" t="s">
        <v>297</v>
      </c>
      <c r="AO302" t="s">
        <v>298</v>
      </c>
      <c r="AP302" t="s">
        <v>293</v>
      </c>
      <c r="AQ302" t="s">
        <v>292</v>
      </c>
      <c r="AR302" t="s">
        <v>293</v>
      </c>
      <c r="AS302" t="s">
        <v>293</v>
      </c>
      <c r="AT302" t="s">
        <v>364</v>
      </c>
      <c r="AU302" t="str">
        <f t="shared" si="10"/>
        <v>break</v>
      </c>
    </row>
    <row r="303" spans="1:47" x14ac:dyDescent="0.3">
      <c r="A303" t="s">
        <v>43</v>
      </c>
      <c r="B303" t="s">
        <v>54</v>
      </c>
      <c r="C303" t="s">
        <v>33</v>
      </c>
      <c r="D303" t="s">
        <v>29</v>
      </c>
      <c r="E303" t="str">
        <f t="shared" si="9"/>
        <v>P_O7W-ZSB-S_8I8</v>
      </c>
      <c r="F303" t="b">
        <v>1</v>
      </c>
      <c r="G303">
        <v>100</v>
      </c>
      <c r="H303">
        <v>1</v>
      </c>
      <c r="I303">
        <v>8185</v>
      </c>
      <c r="J303" s="61" t="s">
        <v>18</v>
      </c>
      <c r="K303" s="16" t="s">
        <v>272</v>
      </c>
      <c r="L303" s="16">
        <v>3</v>
      </c>
      <c r="M303" s="16" t="s">
        <v>277</v>
      </c>
      <c r="N303" s="16" t="s">
        <v>335</v>
      </c>
      <c r="O303" s="15" t="s">
        <v>281</v>
      </c>
      <c r="P303" t="s">
        <v>285</v>
      </c>
      <c r="Q303" t="s">
        <v>282</v>
      </c>
      <c r="R303" s="17" t="s">
        <v>371</v>
      </c>
      <c r="S303" s="16" t="s">
        <v>340</v>
      </c>
      <c r="T303" s="16" t="s">
        <v>342</v>
      </c>
      <c r="U303" s="15" t="s">
        <v>343</v>
      </c>
      <c r="V303" s="15" t="s">
        <v>344</v>
      </c>
      <c r="W303" s="17" t="s">
        <v>347</v>
      </c>
      <c r="X303" t="s">
        <v>349</v>
      </c>
      <c r="Y303" t="s">
        <v>349</v>
      </c>
      <c r="Z303" t="s">
        <v>293</v>
      </c>
      <c r="AA303" t="s">
        <v>353</v>
      </c>
      <c r="AB303" t="s">
        <v>355</v>
      </c>
      <c r="AC303" t="s">
        <v>300</v>
      </c>
      <c r="AD303" t="s">
        <v>292</v>
      </c>
      <c r="AE303" t="s">
        <v>293</v>
      </c>
      <c r="AF303" t="s">
        <v>292</v>
      </c>
      <c r="AG303" t="s">
        <v>292</v>
      </c>
      <c r="AH303" t="s">
        <v>293</v>
      </c>
      <c r="AI303" t="s">
        <v>302</v>
      </c>
      <c r="AJ303" t="s">
        <v>302</v>
      </c>
      <c r="AK303" t="s">
        <v>359</v>
      </c>
      <c r="AL303" t="s">
        <v>293</v>
      </c>
      <c r="AM303" t="s">
        <v>293</v>
      </c>
      <c r="AN303" t="s">
        <v>297</v>
      </c>
      <c r="AO303" t="s">
        <v>298</v>
      </c>
      <c r="AP303" t="s">
        <v>293</v>
      </c>
      <c r="AQ303" t="s">
        <v>292</v>
      </c>
      <c r="AR303" t="s">
        <v>293</v>
      </c>
      <c r="AS303" t="s">
        <v>293</v>
      </c>
      <c r="AT303" t="s">
        <v>364</v>
      </c>
      <c r="AU303" t="str">
        <f t="shared" si="10"/>
        <v>break</v>
      </c>
    </row>
    <row r="304" spans="1:47" x14ac:dyDescent="0.3">
      <c r="A304" t="s">
        <v>43</v>
      </c>
      <c r="B304" t="s">
        <v>54</v>
      </c>
      <c r="C304" t="s">
        <v>26</v>
      </c>
      <c r="D304" t="s">
        <v>29</v>
      </c>
      <c r="E304" t="str">
        <f t="shared" si="9"/>
        <v>P_O7W-ZSB-S_8O8</v>
      </c>
      <c r="F304" t="b">
        <v>1</v>
      </c>
      <c r="G304">
        <v>100</v>
      </c>
      <c r="H304">
        <v>1</v>
      </c>
      <c r="I304">
        <v>8139</v>
      </c>
      <c r="J304" s="61" t="s">
        <v>18</v>
      </c>
      <c r="K304" s="16" t="s">
        <v>272</v>
      </c>
      <c r="L304" s="16">
        <v>3</v>
      </c>
      <c r="M304" s="16" t="s">
        <v>277</v>
      </c>
      <c r="N304" s="16" t="s">
        <v>335</v>
      </c>
      <c r="O304" s="15" t="s">
        <v>281</v>
      </c>
      <c r="P304" t="s">
        <v>285</v>
      </c>
      <c r="Q304" t="s">
        <v>282</v>
      </c>
      <c r="R304" s="17" t="s">
        <v>371</v>
      </c>
      <c r="S304" s="16" t="s">
        <v>340</v>
      </c>
      <c r="T304" s="16" t="s">
        <v>342</v>
      </c>
      <c r="U304" s="15" t="s">
        <v>343</v>
      </c>
      <c r="V304" s="15" t="s">
        <v>344</v>
      </c>
      <c r="W304" s="17" t="s">
        <v>347</v>
      </c>
      <c r="X304" t="s">
        <v>349</v>
      </c>
      <c r="Y304" t="s">
        <v>349</v>
      </c>
      <c r="Z304" t="s">
        <v>293</v>
      </c>
      <c r="AA304" t="s">
        <v>353</v>
      </c>
      <c r="AB304" t="s">
        <v>355</v>
      </c>
      <c r="AC304" t="s">
        <v>299</v>
      </c>
      <c r="AD304" t="s">
        <v>292</v>
      </c>
      <c r="AE304" t="s">
        <v>293</v>
      </c>
      <c r="AF304" t="s">
        <v>292</v>
      </c>
      <c r="AG304" t="s">
        <v>292</v>
      </c>
      <c r="AH304" t="s">
        <v>293</v>
      </c>
      <c r="AI304" t="s">
        <v>302</v>
      </c>
      <c r="AJ304" t="s">
        <v>302</v>
      </c>
      <c r="AK304" t="s">
        <v>359</v>
      </c>
      <c r="AL304" t="s">
        <v>293</v>
      </c>
      <c r="AM304" t="s">
        <v>293</v>
      </c>
      <c r="AN304" t="s">
        <v>297</v>
      </c>
      <c r="AO304" t="s">
        <v>298</v>
      </c>
      <c r="AP304" t="s">
        <v>293</v>
      </c>
      <c r="AQ304" t="s">
        <v>292</v>
      </c>
      <c r="AR304" t="s">
        <v>293</v>
      </c>
      <c r="AS304" t="s">
        <v>293</v>
      </c>
      <c r="AT304" t="s">
        <v>364</v>
      </c>
      <c r="AU304" t="str">
        <f t="shared" si="10"/>
        <v>break</v>
      </c>
    </row>
    <row r="305" spans="1:48" x14ac:dyDescent="0.3">
      <c r="A305" t="s">
        <v>43</v>
      </c>
      <c r="B305" t="s">
        <v>54</v>
      </c>
      <c r="C305" t="s">
        <v>22</v>
      </c>
      <c r="D305" t="s">
        <v>29</v>
      </c>
      <c r="E305" t="str">
        <f t="shared" si="9"/>
        <v>P_O7W-ZSB-S_9B4</v>
      </c>
      <c r="F305" t="b">
        <v>1</v>
      </c>
      <c r="G305">
        <v>100</v>
      </c>
      <c r="H305">
        <v>1</v>
      </c>
      <c r="I305">
        <v>8434</v>
      </c>
      <c r="J305" s="61" t="s">
        <v>18</v>
      </c>
      <c r="K305" s="16" t="s">
        <v>272</v>
      </c>
      <c r="L305" s="16">
        <v>3</v>
      </c>
      <c r="M305" s="16" t="s">
        <v>277</v>
      </c>
      <c r="N305" s="16" t="s">
        <v>335</v>
      </c>
      <c r="O305" s="15" t="s">
        <v>281</v>
      </c>
      <c r="P305" t="s">
        <v>285</v>
      </c>
      <c r="Q305" t="s">
        <v>282</v>
      </c>
      <c r="R305" s="17" t="s">
        <v>371</v>
      </c>
      <c r="S305" s="16" t="s">
        <v>340</v>
      </c>
      <c r="T305" s="16" t="s">
        <v>342</v>
      </c>
      <c r="U305" s="15" t="s">
        <v>343</v>
      </c>
      <c r="V305" s="15" t="s">
        <v>344</v>
      </c>
      <c r="W305" s="17" t="s">
        <v>347</v>
      </c>
      <c r="X305" t="s">
        <v>349</v>
      </c>
      <c r="Y305" t="s">
        <v>349</v>
      </c>
      <c r="Z305" t="s">
        <v>293</v>
      </c>
      <c r="AA305" t="s">
        <v>353</v>
      </c>
      <c r="AB305" t="s">
        <v>297</v>
      </c>
      <c r="AC305" t="s">
        <v>300</v>
      </c>
      <c r="AD305" t="s">
        <v>292</v>
      </c>
      <c r="AE305" t="s">
        <v>293</v>
      </c>
      <c r="AF305" t="s">
        <v>292</v>
      </c>
      <c r="AG305" t="s">
        <v>293</v>
      </c>
      <c r="AH305" t="s">
        <v>293</v>
      </c>
      <c r="AI305" t="s">
        <v>302</v>
      </c>
      <c r="AJ305" t="s">
        <v>302</v>
      </c>
      <c r="AK305" t="s">
        <v>359</v>
      </c>
      <c r="AL305" t="s">
        <v>293</v>
      </c>
      <c r="AM305" t="s">
        <v>293</v>
      </c>
      <c r="AN305" t="s">
        <v>297</v>
      </c>
      <c r="AO305" t="s">
        <v>298</v>
      </c>
      <c r="AP305" t="s">
        <v>293</v>
      </c>
      <c r="AQ305" t="s">
        <v>292</v>
      </c>
      <c r="AR305" t="s">
        <v>293</v>
      </c>
      <c r="AS305" t="s">
        <v>293</v>
      </c>
      <c r="AT305" t="s">
        <v>364</v>
      </c>
      <c r="AU305" t="str">
        <f t="shared" si="10"/>
        <v>break</v>
      </c>
    </row>
    <row r="306" spans="1:48" x14ac:dyDescent="0.3">
      <c r="A306" t="s">
        <v>43</v>
      </c>
      <c r="B306" t="s">
        <v>54</v>
      </c>
      <c r="C306" t="s">
        <v>31</v>
      </c>
      <c r="D306" t="s">
        <v>29</v>
      </c>
      <c r="E306" t="str">
        <f t="shared" si="9"/>
        <v>P_O7W-ZSB-S_9E0</v>
      </c>
      <c r="F306" t="b">
        <v>1</v>
      </c>
      <c r="G306">
        <v>100</v>
      </c>
      <c r="H306">
        <v>1</v>
      </c>
      <c r="I306">
        <v>8219</v>
      </c>
      <c r="J306" s="61" t="s">
        <v>18</v>
      </c>
      <c r="K306" s="16" t="s">
        <v>272</v>
      </c>
      <c r="L306" s="16">
        <v>3</v>
      </c>
      <c r="M306" s="16" t="s">
        <v>277</v>
      </c>
      <c r="N306" s="16" t="s">
        <v>335</v>
      </c>
      <c r="O306" s="15" t="s">
        <v>281</v>
      </c>
      <c r="P306" t="s">
        <v>285</v>
      </c>
      <c r="Q306" t="s">
        <v>282</v>
      </c>
      <c r="R306" s="17" t="s">
        <v>371</v>
      </c>
      <c r="S306" s="16" t="s">
        <v>340</v>
      </c>
      <c r="T306" s="16" t="s">
        <v>342</v>
      </c>
      <c r="U306" s="15" t="s">
        <v>343</v>
      </c>
      <c r="V306" s="15" t="s">
        <v>344</v>
      </c>
      <c r="W306" s="17" t="s">
        <v>347</v>
      </c>
      <c r="X306" t="s">
        <v>349</v>
      </c>
      <c r="Y306" t="s">
        <v>349</v>
      </c>
      <c r="Z306" t="s">
        <v>293</v>
      </c>
      <c r="AA306" t="s">
        <v>353</v>
      </c>
      <c r="AB306" t="s">
        <v>355</v>
      </c>
      <c r="AC306" t="s">
        <v>299</v>
      </c>
      <c r="AD306" t="s">
        <v>292</v>
      </c>
      <c r="AE306" t="s">
        <v>293</v>
      </c>
      <c r="AF306" t="s">
        <v>292</v>
      </c>
      <c r="AG306" t="s">
        <v>293</v>
      </c>
      <c r="AH306" t="s">
        <v>293</v>
      </c>
      <c r="AI306" t="s">
        <v>302</v>
      </c>
      <c r="AJ306" t="s">
        <v>302</v>
      </c>
      <c r="AK306" t="s">
        <v>359</v>
      </c>
      <c r="AL306" t="s">
        <v>293</v>
      </c>
      <c r="AM306" t="s">
        <v>293</v>
      </c>
      <c r="AN306" t="s">
        <v>297</v>
      </c>
      <c r="AO306" t="s">
        <v>298</v>
      </c>
      <c r="AP306" t="s">
        <v>293</v>
      </c>
      <c r="AQ306" t="s">
        <v>292</v>
      </c>
      <c r="AR306" t="s">
        <v>293</v>
      </c>
      <c r="AS306" t="s">
        <v>293</v>
      </c>
      <c r="AT306" t="s">
        <v>364</v>
      </c>
      <c r="AU306" t="str">
        <f t="shared" si="10"/>
        <v>break</v>
      </c>
    </row>
    <row r="307" spans="1:48" x14ac:dyDescent="0.3">
      <c r="A307" t="s">
        <v>43</v>
      </c>
      <c r="B307" t="s">
        <v>54</v>
      </c>
      <c r="C307" t="s">
        <v>27</v>
      </c>
      <c r="D307" t="s">
        <v>29</v>
      </c>
      <c r="E307" t="str">
        <f t="shared" si="9"/>
        <v>P_O7W-ZSB-S_9F6</v>
      </c>
      <c r="F307" t="b">
        <v>1</v>
      </c>
      <c r="G307">
        <v>100</v>
      </c>
      <c r="H307">
        <v>1</v>
      </c>
      <c r="I307">
        <v>8142</v>
      </c>
      <c r="J307" s="61" t="s">
        <v>18</v>
      </c>
      <c r="K307" s="16" t="s">
        <v>272</v>
      </c>
      <c r="L307" s="16">
        <v>3</v>
      </c>
      <c r="M307" s="16" t="s">
        <v>277</v>
      </c>
      <c r="N307" s="16" t="s">
        <v>335</v>
      </c>
      <c r="O307" s="15" t="s">
        <v>281</v>
      </c>
      <c r="P307" t="s">
        <v>285</v>
      </c>
      <c r="Q307" t="s">
        <v>282</v>
      </c>
      <c r="R307" s="17" t="s">
        <v>371</v>
      </c>
      <c r="S307" s="16" t="s">
        <v>340</v>
      </c>
      <c r="T307" s="16" t="s">
        <v>342</v>
      </c>
      <c r="U307" s="15" t="s">
        <v>343</v>
      </c>
      <c r="V307" s="15" t="s">
        <v>344</v>
      </c>
      <c r="W307" s="17" t="s">
        <v>347</v>
      </c>
      <c r="X307" t="s">
        <v>349</v>
      </c>
      <c r="Y307" t="s">
        <v>349</v>
      </c>
      <c r="Z307" t="s">
        <v>293</v>
      </c>
      <c r="AA307" t="s">
        <v>353</v>
      </c>
      <c r="AB307" t="s">
        <v>355</v>
      </c>
      <c r="AC307" t="s">
        <v>299</v>
      </c>
      <c r="AD307" t="s">
        <v>292</v>
      </c>
      <c r="AE307" t="s">
        <v>293</v>
      </c>
      <c r="AF307" t="s">
        <v>292</v>
      </c>
      <c r="AG307" t="s">
        <v>293</v>
      </c>
      <c r="AH307" t="s">
        <v>293</v>
      </c>
      <c r="AI307" t="s">
        <v>302</v>
      </c>
      <c r="AJ307" t="s">
        <v>302</v>
      </c>
      <c r="AK307" t="s">
        <v>359</v>
      </c>
      <c r="AL307" t="s">
        <v>293</v>
      </c>
      <c r="AM307" t="s">
        <v>293</v>
      </c>
      <c r="AN307" t="s">
        <v>297</v>
      </c>
      <c r="AO307" t="s">
        <v>298</v>
      </c>
      <c r="AP307" t="s">
        <v>293</v>
      </c>
      <c r="AQ307" t="s">
        <v>292</v>
      </c>
      <c r="AR307" t="s">
        <v>293</v>
      </c>
      <c r="AS307" t="s">
        <v>293</v>
      </c>
      <c r="AT307" t="s">
        <v>364</v>
      </c>
      <c r="AU307" t="str">
        <f t="shared" si="10"/>
        <v>break</v>
      </c>
    </row>
    <row r="308" spans="1:48" x14ac:dyDescent="0.3">
      <c r="A308" t="s">
        <v>43</v>
      </c>
      <c r="B308" t="s">
        <v>54</v>
      </c>
      <c r="C308" t="s">
        <v>28</v>
      </c>
      <c r="D308" t="s">
        <v>29</v>
      </c>
      <c r="E308" t="str">
        <f t="shared" si="9"/>
        <v>P_O7W-ZSB-S_9T2</v>
      </c>
      <c r="F308" t="b">
        <v>1</v>
      </c>
      <c r="G308">
        <v>100</v>
      </c>
      <c r="H308">
        <v>1</v>
      </c>
      <c r="I308">
        <v>8129</v>
      </c>
      <c r="J308" s="61" t="s">
        <v>18</v>
      </c>
      <c r="K308" s="16" t="s">
        <v>272</v>
      </c>
      <c r="L308" s="16">
        <v>3</v>
      </c>
      <c r="M308" s="16" t="s">
        <v>277</v>
      </c>
      <c r="N308" s="16" t="s">
        <v>335</v>
      </c>
      <c r="O308" s="15" t="s">
        <v>281</v>
      </c>
      <c r="P308" t="s">
        <v>285</v>
      </c>
      <c r="Q308" t="s">
        <v>282</v>
      </c>
      <c r="R308" s="17" t="s">
        <v>371</v>
      </c>
      <c r="S308" s="16" t="s">
        <v>340</v>
      </c>
      <c r="T308" s="16" t="s">
        <v>342</v>
      </c>
      <c r="U308" s="15" t="s">
        <v>343</v>
      </c>
      <c r="V308" s="15" t="s">
        <v>344</v>
      </c>
      <c r="W308" s="17" t="s">
        <v>347</v>
      </c>
      <c r="X308" t="s">
        <v>349</v>
      </c>
      <c r="Y308" t="s">
        <v>349</v>
      </c>
      <c r="Z308" t="s">
        <v>293</v>
      </c>
      <c r="AA308" t="s">
        <v>353</v>
      </c>
      <c r="AB308" t="s">
        <v>355</v>
      </c>
      <c r="AC308" t="s">
        <v>299</v>
      </c>
      <c r="AD308" t="s">
        <v>292</v>
      </c>
      <c r="AE308" t="s">
        <v>293</v>
      </c>
      <c r="AF308" t="s">
        <v>292</v>
      </c>
      <c r="AG308" t="s">
        <v>293</v>
      </c>
      <c r="AH308" t="s">
        <v>293</v>
      </c>
      <c r="AI308" t="s">
        <v>302</v>
      </c>
      <c r="AJ308" t="s">
        <v>302</v>
      </c>
      <c r="AK308" t="s">
        <v>359</v>
      </c>
      <c r="AL308" t="s">
        <v>293</v>
      </c>
      <c r="AM308" t="s">
        <v>293</v>
      </c>
      <c r="AN308" t="s">
        <v>297</v>
      </c>
      <c r="AO308" t="s">
        <v>298</v>
      </c>
      <c r="AP308" t="s">
        <v>293</v>
      </c>
      <c r="AQ308" t="s">
        <v>292</v>
      </c>
      <c r="AR308" t="s">
        <v>293</v>
      </c>
      <c r="AS308" t="s">
        <v>293</v>
      </c>
      <c r="AT308" t="s">
        <v>364</v>
      </c>
      <c r="AU308" t="str">
        <f t="shared" si="10"/>
        <v>break</v>
      </c>
    </row>
    <row r="309" spans="1:48" s="38" customFormat="1" x14ac:dyDescent="0.3">
      <c r="A309" s="38" t="s">
        <v>9</v>
      </c>
      <c r="B309" s="38" t="s">
        <v>52</v>
      </c>
      <c r="C309" s="38" t="s">
        <v>15</v>
      </c>
      <c r="D309" s="38" t="s">
        <v>12</v>
      </c>
      <c r="E309" s="38" t="str">
        <f t="shared" si="9"/>
        <v>P_P8M-KYY-S_0M4</v>
      </c>
      <c r="F309" s="38" t="b">
        <v>1</v>
      </c>
      <c r="G309" s="38">
        <v>99.9</v>
      </c>
      <c r="H309" s="38">
        <v>0</v>
      </c>
      <c r="I309" s="38">
        <v>5056</v>
      </c>
      <c r="J309" s="61" t="s">
        <v>18</v>
      </c>
      <c r="K309" s="39" t="s">
        <v>272</v>
      </c>
      <c r="L309" s="39">
        <v>2</v>
      </c>
      <c r="M309" s="39" t="s">
        <v>333</v>
      </c>
      <c r="N309" s="39" t="s">
        <v>278</v>
      </c>
      <c r="O309" s="40" t="s">
        <v>339</v>
      </c>
      <c r="P309" s="38" t="s">
        <v>371</v>
      </c>
      <c r="Q309" s="38" t="s">
        <v>371</v>
      </c>
      <c r="R309" s="41" t="s">
        <v>371</v>
      </c>
      <c r="S309" s="39" t="s">
        <v>341</v>
      </c>
      <c r="T309" s="39" t="s">
        <v>340</v>
      </c>
      <c r="U309" s="40" t="s">
        <v>343</v>
      </c>
      <c r="V309" s="40" t="s">
        <v>345</v>
      </c>
      <c r="W309" s="41"/>
      <c r="X309" s="38" t="s">
        <v>349</v>
      </c>
      <c r="Y309" s="38" t="s">
        <v>349</v>
      </c>
      <c r="Z309" s="38" t="s">
        <v>293</v>
      </c>
      <c r="AA309" s="38" t="s">
        <v>353</v>
      </c>
      <c r="AB309" s="38" t="s">
        <v>355</v>
      </c>
      <c r="AC309" s="38" t="s">
        <v>300</v>
      </c>
      <c r="AD309" s="38" t="s">
        <v>292</v>
      </c>
      <c r="AE309" s="38" t="s">
        <v>293</v>
      </c>
      <c r="AF309" s="38" t="s">
        <v>292</v>
      </c>
      <c r="AG309" s="38" t="s">
        <v>292</v>
      </c>
      <c r="AH309" s="38" t="s">
        <v>293</v>
      </c>
      <c r="AI309" s="38" t="s">
        <v>302</v>
      </c>
      <c r="AJ309" s="38" t="s">
        <v>302</v>
      </c>
      <c r="AK309" s="38" t="s">
        <v>359</v>
      </c>
      <c r="AL309" s="38" t="s">
        <v>293</v>
      </c>
      <c r="AM309" s="38" t="s">
        <v>293</v>
      </c>
      <c r="AN309" s="38" t="s">
        <v>297</v>
      </c>
      <c r="AO309" s="38" t="s">
        <v>298</v>
      </c>
      <c r="AP309" s="38" t="s">
        <v>293</v>
      </c>
      <c r="AQ309" s="38" t="s">
        <v>292</v>
      </c>
      <c r="AR309" s="38" t="s">
        <v>293</v>
      </c>
      <c r="AS309" s="38" t="s">
        <v>293</v>
      </c>
      <c r="AT309" s="38" t="s">
        <v>364</v>
      </c>
      <c r="AU309" s="38" t="str">
        <f t="shared" si="10"/>
        <v>car_stuck</v>
      </c>
      <c r="AV309" s="38" t="s">
        <v>380</v>
      </c>
    </row>
    <row r="310" spans="1:48" x14ac:dyDescent="0.3">
      <c r="A310" t="s">
        <v>9</v>
      </c>
      <c r="B310" t="s">
        <v>52</v>
      </c>
      <c r="C310" t="s">
        <v>14</v>
      </c>
      <c r="D310" t="s">
        <v>12</v>
      </c>
      <c r="E310" t="str">
        <f t="shared" si="9"/>
        <v>P_P8M-KYY-S_1B0</v>
      </c>
      <c r="F310" t="b">
        <v>1</v>
      </c>
      <c r="G310">
        <v>100</v>
      </c>
      <c r="H310">
        <v>1</v>
      </c>
      <c r="I310">
        <v>3639</v>
      </c>
      <c r="J310" s="61" t="s">
        <v>18</v>
      </c>
      <c r="K310" s="16" t="s">
        <v>272</v>
      </c>
      <c r="L310" s="16">
        <v>3</v>
      </c>
      <c r="M310" s="16" t="s">
        <v>277</v>
      </c>
      <c r="N310" s="16" t="s">
        <v>335</v>
      </c>
      <c r="O310" s="15" t="s">
        <v>284</v>
      </c>
      <c r="P310" t="s">
        <v>371</v>
      </c>
      <c r="Q310" t="s">
        <v>371</v>
      </c>
      <c r="R310" s="17" t="s">
        <v>371</v>
      </c>
      <c r="S310" s="16" t="s">
        <v>341</v>
      </c>
      <c r="T310" s="16" t="s">
        <v>340</v>
      </c>
      <c r="U310" s="15" t="s">
        <v>343</v>
      </c>
      <c r="V310" s="15" t="s">
        <v>345</v>
      </c>
      <c r="W310" s="17"/>
      <c r="X310" t="s">
        <v>349</v>
      </c>
      <c r="Y310" t="s">
        <v>349</v>
      </c>
      <c r="Z310" t="s">
        <v>293</v>
      </c>
      <c r="AA310" t="s">
        <v>353</v>
      </c>
      <c r="AB310" t="s">
        <v>297</v>
      </c>
      <c r="AC310" t="s">
        <v>300</v>
      </c>
      <c r="AD310" t="s">
        <v>292</v>
      </c>
      <c r="AE310" t="s">
        <v>293</v>
      </c>
      <c r="AF310" t="s">
        <v>292</v>
      </c>
      <c r="AG310" t="s">
        <v>293</v>
      </c>
      <c r="AH310" t="s">
        <v>293</v>
      </c>
      <c r="AI310" t="s">
        <v>302</v>
      </c>
      <c r="AJ310" t="s">
        <v>302</v>
      </c>
      <c r="AK310" t="s">
        <v>359</v>
      </c>
      <c r="AL310" t="s">
        <v>293</v>
      </c>
      <c r="AM310" t="s">
        <v>293</v>
      </c>
      <c r="AN310" t="s">
        <v>297</v>
      </c>
      <c r="AO310" t="s">
        <v>298</v>
      </c>
      <c r="AP310" t="s">
        <v>293</v>
      </c>
      <c r="AQ310" t="s">
        <v>292</v>
      </c>
      <c r="AR310" t="s">
        <v>293</v>
      </c>
      <c r="AS310" t="s">
        <v>293</v>
      </c>
      <c r="AT310" t="s">
        <v>364</v>
      </c>
      <c r="AU310" t="str">
        <f t="shared" si="10"/>
        <v>break</v>
      </c>
    </row>
    <row r="311" spans="1:48" x14ac:dyDescent="0.3">
      <c r="A311" t="s">
        <v>9</v>
      </c>
      <c r="B311" t="s">
        <v>52</v>
      </c>
      <c r="C311" t="s">
        <v>11</v>
      </c>
      <c r="D311" t="s">
        <v>12</v>
      </c>
      <c r="E311" t="str">
        <f t="shared" si="9"/>
        <v>P_P8M-KYY-S_1Q4</v>
      </c>
      <c r="F311" t="b">
        <v>1</v>
      </c>
      <c r="G311">
        <v>100</v>
      </c>
      <c r="H311">
        <v>1</v>
      </c>
      <c r="I311">
        <v>10586</v>
      </c>
      <c r="J311" s="61" t="s">
        <v>18</v>
      </c>
      <c r="K311" s="16" t="s">
        <v>272</v>
      </c>
      <c r="L311" s="16">
        <v>3</v>
      </c>
      <c r="M311" s="16" t="s">
        <v>277</v>
      </c>
      <c r="N311" s="16" t="s">
        <v>335</v>
      </c>
      <c r="O311" s="15" t="s">
        <v>284</v>
      </c>
      <c r="P311" t="s">
        <v>282</v>
      </c>
      <c r="Q311" t="s">
        <v>371</v>
      </c>
      <c r="R311" s="17" t="s">
        <v>371</v>
      </c>
      <c r="S311" s="16" t="s">
        <v>341</v>
      </c>
      <c r="T311" s="16" t="s">
        <v>342</v>
      </c>
      <c r="U311" s="15" t="s">
        <v>343</v>
      </c>
      <c r="V311" s="15" t="s">
        <v>345</v>
      </c>
      <c r="W311" s="17" t="s">
        <v>344</v>
      </c>
      <c r="X311" t="s">
        <v>349</v>
      </c>
      <c r="Y311" t="s">
        <v>349</v>
      </c>
      <c r="Z311" t="s">
        <v>293</v>
      </c>
      <c r="AA311" t="s">
        <v>353</v>
      </c>
      <c r="AB311" t="s">
        <v>297</v>
      </c>
      <c r="AC311" t="s">
        <v>300</v>
      </c>
      <c r="AD311" t="s">
        <v>292</v>
      </c>
      <c r="AE311" t="s">
        <v>293</v>
      </c>
      <c r="AF311" t="s">
        <v>292</v>
      </c>
      <c r="AG311" t="s">
        <v>292</v>
      </c>
      <c r="AH311" t="s">
        <v>293</v>
      </c>
      <c r="AI311" t="s">
        <v>302</v>
      </c>
      <c r="AJ311" t="s">
        <v>302</v>
      </c>
      <c r="AK311" t="s">
        <v>302</v>
      </c>
      <c r="AL311" t="s">
        <v>293</v>
      </c>
      <c r="AM311" t="s">
        <v>293</v>
      </c>
      <c r="AN311" t="s">
        <v>297</v>
      </c>
      <c r="AO311" t="s">
        <v>298</v>
      </c>
      <c r="AP311" t="s">
        <v>293</v>
      </c>
      <c r="AQ311" t="s">
        <v>292</v>
      </c>
      <c r="AR311" t="s">
        <v>293</v>
      </c>
      <c r="AS311" t="s">
        <v>293</v>
      </c>
      <c r="AT311" t="s">
        <v>364</v>
      </c>
      <c r="AU311" t="str">
        <f t="shared" si="10"/>
        <v>break</v>
      </c>
    </row>
    <row r="312" spans="1:48" x14ac:dyDescent="0.3">
      <c r="A312" t="s">
        <v>9</v>
      </c>
      <c r="B312" t="s">
        <v>52</v>
      </c>
      <c r="C312" t="s">
        <v>16</v>
      </c>
      <c r="D312" t="s">
        <v>12</v>
      </c>
      <c r="E312" t="str">
        <f t="shared" si="9"/>
        <v>P_P8M-KYY-S_6U7</v>
      </c>
      <c r="F312" t="b">
        <v>1</v>
      </c>
      <c r="G312">
        <v>100</v>
      </c>
      <c r="H312">
        <v>1</v>
      </c>
      <c r="I312">
        <v>16027</v>
      </c>
      <c r="J312" s="61" t="s">
        <v>18</v>
      </c>
      <c r="K312" s="16" t="s">
        <v>272</v>
      </c>
      <c r="L312" s="16">
        <v>3</v>
      </c>
      <c r="M312" s="16" t="s">
        <v>277</v>
      </c>
      <c r="N312" s="16" t="s">
        <v>335</v>
      </c>
      <c r="O312" s="15" t="s">
        <v>339</v>
      </c>
      <c r="P312" t="s">
        <v>283</v>
      </c>
      <c r="Q312" t="s">
        <v>282</v>
      </c>
      <c r="R312" s="17" t="s">
        <v>371</v>
      </c>
      <c r="S312" s="16" t="s">
        <v>341</v>
      </c>
      <c r="T312" s="16" t="s">
        <v>340</v>
      </c>
      <c r="U312" s="15" t="s">
        <v>343</v>
      </c>
      <c r="V312" s="15" t="s">
        <v>345</v>
      </c>
      <c r="W312" s="17" t="s">
        <v>377</v>
      </c>
      <c r="X312" t="s">
        <v>349</v>
      </c>
      <c r="Y312" t="s">
        <v>349</v>
      </c>
      <c r="Z312" t="s">
        <v>293</v>
      </c>
      <c r="AA312" t="s">
        <v>353</v>
      </c>
      <c r="AB312" t="s">
        <v>355</v>
      </c>
      <c r="AC312" t="s">
        <v>300</v>
      </c>
      <c r="AD312" t="s">
        <v>292</v>
      </c>
      <c r="AE312" t="s">
        <v>292</v>
      </c>
      <c r="AF312" t="s">
        <v>292</v>
      </c>
      <c r="AG312" t="s">
        <v>292</v>
      </c>
      <c r="AH312" t="s">
        <v>293</v>
      </c>
      <c r="AI312" t="s">
        <v>302</v>
      </c>
      <c r="AJ312" t="s">
        <v>302</v>
      </c>
      <c r="AK312" t="s">
        <v>359</v>
      </c>
      <c r="AL312" t="s">
        <v>293</v>
      </c>
      <c r="AM312" t="s">
        <v>293</v>
      </c>
      <c r="AN312" t="s">
        <v>297</v>
      </c>
      <c r="AO312" t="s">
        <v>356</v>
      </c>
      <c r="AP312" t="s">
        <v>293</v>
      </c>
      <c r="AQ312" t="s">
        <v>292</v>
      </c>
      <c r="AR312" t="s">
        <v>293</v>
      </c>
      <c r="AS312" t="s">
        <v>293</v>
      </c>
      <c r="AT312" t="s">
        <v>364</v>
      </c>
      <c r="AU312" t="str">
        <f t="shared" si="10"/>
        <v>break</v>
      </c>
    </row>
    <row r="313" spans="1:48" x14ac:dyDescent="0.3">
      <c r="A313" t="s">
        <v>9</v>
      </c>
      <c r="B313" t="s">
        <v>52</v>
      </c>
      <c r="C313" t="s">
        <v>23</v>
      </c>
      <c r="D313" t="s">
        <v>29</v>
      </c>
      <c r="E313" t="str">
        <f t="shared" si="9"/>
        <v>P_P8M-ZSB-S_0T2</v>
      </c>
      <c r="F313" t="b">
        <v>1</v>
      </c>
      <c r="G313">
        <v>86.3</v>
      </c>
      <c r="H313">
        <v>0</v>
      </c>
      <c r="I313">
        <v>14454</v>
      </c>
      <c r="J313" s="61" t="s">
        <v>13</v>
      </c>
      <c r="K313" s="16" t="s">
        <v>272</v>
      </c>
      <c r="L313" s="16">
        <v>3</v>
      </c>
      <c r="M313" s="16" t="s">
        <v>277</v>
      </c>
      <c r="N313" s="16" t="s">
        <v>335</v>
      </c>
      <c r="O313" s="15" t="s">
        <v>339</v>
      </c>
      <c r="P313" t="s">
        <v>283</v>
      </c>
      <c r="Q313" t="s">
        <v>282</v>
      </c>
      <c r="R313" s="17" t="s">
        <v>371</v>
      </c>
      <c r="S313" s="16" t="s">
        <v>341</v>
      </c>
      <c r="T313" s="16" t="s">
        <v>340</v>
      </c>
      <c r="U313" s="15" t="s">
        <v>343</v>
      </c>
      <c r="V313" s="15" t="s">
        <v>345</v>
      </c>
      <c r="W313" s="17" t="s">
        <v>377</v>
      </c>
      <c r="X313" t="s">
        <v>349</v>
      </c>
      <c r="Y313" t="s">
        <v>349</v>
      </c>
      <c r="Z313" t="s">
        <v>293</v>
      </c>
      <c r="AA313" t="s">
        <v>353</v>
      </c>
      <c r="AB313" t="s">
        <v>355</v>
      </c>
      <c r="AC313" t="s">
        <v>300</v>
      </c>
      <c r="AD313" t="s">
        <v>292</v>
      </c>
      <c r="AE313" t="s">
        <v>292</v>
      </c>
      <c r="AF313" t="s">
        <v>292</v>
      </c>
      <c r="AG313" t="s">
        <v>292</v>
      </c>
      <c r="AH313" t="s">
        <v>293</v>
      </c>
      <c r="AI313" t="s">
        <v>302</v>
      </c>
      <c r="AJ313" t="s">
        <v>302</v>
      </c>
      <c r="AK313" t="s">
        <v>359</v>
      </c>
      <c r="AL313" t="s">
        <v>293</v>
      </c>
      <c r="AM313" t="s">
        <v>293</v>
      </c>
      <c r="AN313" t="s">
        <v>297</v>
      </c>
      <c r="AO313" t="s">
        <v>356</v>
      </c>
      <c r="AP313" t="s">
        <v>293</v>
      </c>
      <c r="AQ313" t="s">
        <v>292</v>
      </c>
      <c r="AR313" t="s">
        <v>293</v>
      </c>
      <c r="AS313" t="s">
        <v>293</v>
      </c>
      <c r="AT313" t="s">
        <v>364</v>
      </c>
      <c r="AU313" t="str">
        <f t="shared" si="10"/>
        <v>no_fail</v>
      </c>
    </row>
    <row r="314" spans="1:48" x14ac:dyDescent="0.3">
      <c r="A314" t="s">
        <v>9</v>
      </c>
      <c r="B314" t="s">
        <v>52</v>
      </c>
      <c r="C314" t="s">
        <v>21</v>
      </c>
      <c r="D314" t="s">
        <v>29</v>
      </c>
      <c r="E314" t="str">
        <f t="shared" si="9"/>
        <v>P_P8M-ZSB-S_3X6</v>
      </c>
      <c r="F314" t="b">
        <v>1</v>
      </c>
      <c r="G314">
        <v>100</v>
      </c>
      <c r="H314">
        <v>1</v>
      </c>
      <c r="I314">
        <v>9109</v>
      </c>
      <c r="J314" s="61" t="s">
        <v>18</v>
      </c>
      <c r="K314" s="16" t="s">
        <v>272</v>
      </c>
      <c r="L314" s="16">
        <v>3</v>
      </c>
      <c r="M314" s="16" t="s">
        <v>277</v>
      </c>
      <c r="N314" s="16" t="s">
        <v>335</v>
      </c>
      <c r="O314" s="15" t="s">
        <v>339</v>
      </c>
      <c r="P314" t="s">
        <v>283</v>
      </c>
      <c r="Q314" t="s">
        <v>282</v>
      </c>
      <c r="R314" s="17" t="s">
        <v>371</v>
      </c>
      <c r="S314" s="16" t="s">
        <v>341</v>
      </c>
      <c r="T314" s="16" t="s">
        <v>340</v>
      </c>
      <c r="U314" s="15" t="s">
        <v>340</v>
      </c>
      <c r="V314" s="15" t="s">
        <v>345</v>
      </c>
      <c r="W314" s="17"/>
      <c r="X314" t="s">
        <v>349</v>
      </c>
      <c r="Y314" t="s">
        <v>349</v>
      </c>
      <c r="Z314" t="s">
        <v>293</v>
      </c>
      <c r="AA314" t="s">
        <v>353</v>
      </c>
      <c r="AB314" t="s">
        <v>355</v>
      </c>
      <c r="AC314" t="s">
        <v>300</v>
      </c>
      <c r="AD314" t="s">
        <v>292</v>
      </c>
      <c r="AE314" t="s">
        <v>292</v>
      </c>
      <c r="AF314" t="s">
        <v>292</v>
      </c>
      <c r="AG314" t="s">
        <v>292</v>
      </c>
      <c r="AH314" t="s">
        <v>293</v>
      </c>
      <c r="AI314" t="s">
        <v>302</v>
      </c>
      <c r="AJ314" t="s">
        <v>302</v>
      </c>
      <c r="AK314" t="s">
        <v>302</v>
      </c>
      <c r="AL314" t="s">
        <v>293</v>
      </c>
      <c r="AM314" t="s">
        <v>293</v>
      </c>
      <c r="AN314" t="s">
        <v>297</v>
      </c>
      <c r="AO314" t="s">
        <v>356</v>
      </c>
      <c r="AP314" t="s">
        <v>293</v>
      </c>
      <c r="AQ314" t="s">
        <v>292</v>
      </c>
      <c r="AR314" t="s">
        <v>293</v>
      </c>
      <c r="AS314" t="s">
        <v>293</v>
      </c>
      <c r="AT314" t="s">
        <v>364</v>
      </c>
      <c r="AU314" t="str">
        <f t="shared" si="10"/>
        <v>break</v>
      </c>
    </row>
    <row r="315" spans="1:48" x14ac:dyDescent="0.3">
      <c r="A315" t="s">
        <v>9</v>
      </c>
      <c r="B315" t="s">
        <v>52</v>
      </c>
      <c r="C315" t="s">
        <v>19</v>
      </c>
      <c r="D315" t="s">
        <v>29</v>
      </c>
      <c r="E315" t="str">
        <f t="shared" si="9"/>
        <v>P_P8M-ZSB-S_4U3</v>
      </c>
      <c r="F315" t="b">
        <v>1</v>
      </c>
      <c r="G315">
        <v>100</v>
      </c>
      <c r="H315">
        <v>1</v>
      </c>
      <c r="I315">
        <v>19446</v>
      </c>
      <c r="J315" s="61" t="s">
        <v>18</v>
      </c>
      <c r="K315" s="16" t="s">
        <v>272</v>
      </c>
      <c r="L315" s="16">
        <v>3</v>
      </c>
      <c r="M315" s="16" t="s">
        <v>277</v>
      </c>
      <c r="N315" s="16" t="s">
        <v>335</v>
      </c>
      <c r="O315" s="15" t="s">
        <v>339</v>
      </c>
      <c r="P315" t="s">
        <v>282</v>
      </c>
      <c r="Q315" t="s">
        <v>371</v>
      </c>
      <c r="R315" s="17" t="s">
        <v>371</v>
      </c>
      <c r="S315" s="16" t="s">
        <v>341</v>
      </c>
      <c r="T315" s="16" t="s">
        <v>342</v>
      </c>
      <c r="U315" s="15" t="s">
        <v>343</v>
      </c>
      <c r="V315" s="15" t="s">
        <v>345</v>
      </c>
      <c r="W315" s="17"/>
      <c r="X315" t="s">
        <v>349</v>
      </c>
      <c r="Y315" t="s">
        <v>349</v>
      </c>
      <c r="Z315" t="s">
        <v>293</v>
      </c>
      <c r="AA315" t="s">
        <v>353</v>
      </c>
      <c r="AB315" t="s">
        <v>355</v>
      </c>
      <c r="AC315" t="s">
        <v>300</v>
      </c>
      <c r="AD315" t="s">
        <v>292</v>
      </c>
      <c r="AE315" t="s">
        <v>292</v>
      </c>
      <c r="AF315" t="s">
        <v>292</v>
      </c>
      <c r="AG315" t="s">
        <v>292</v>
      </c>
      <c r="AH315" t="s">
        <v>293</v>
      </c>
      <c r="AI315" t="s">
        <v>302</v>
      </c>
      <c r="AJ315" t="s">
        <v>302</v>
      </c>
      <c r="AK315" t="s">
        <v>302</v>
      </c>
      <c r="AL315" t="s">
        <v>293</v>
      </c>
      <c r="AM315" t="s">
        <v>293</v>
      </c>
      <c r="AN315" t="s">
        <v>297</v>
      </c>
      <c r="AO315" t="s">
        <v>356</v>
      </c>
      <c r="AP315" t="s">
        <v>293</v>
      </c>
      <c r="AQ315" t="s">
        <v>292</v>
      </c>
      <c r="AR315" t="s">
        <v>293</v>
      </c>
      <c r="AS315" t="s">
        <v>293</v>
      </c>
      <c r="AT315" t="s">
        <v>364</v>
      </c>
      <c r="AU315" t="str">
        <f t="shared" si="10"/>
        <v>break</v>
      </c>
    </row>
    <row r="316" spans="1:48" x14ac:dyDescent="0.3">
      <c r="A316" t="s">
        <v>9</v>
      </c>
      <c r="B316" t="s">
        <v>52</v>
      </c>
      <c r="C316" t="s">
        <v>17</v>
      </c>
      <c r="D316" t="s">
        <v>29</v>
      </c>
      <c r="E316" t="str">
        <f t="shared" si="9"/>
        <v>P_P8M-ZSB-S_6B5</v>
      </c>
      <c r="F316" t="b">
        <v>1</v>
      </c>
      <c r="G316">
        <v>100</v>
      </c>
      <c r="H316">
        <v>1</v>
      </c>
      <c r="I316">
        <v>15384</v>
      </c>
      <c r="J316" s="61" t="s">
        <v>18</v>
      </c>
      <c r="K316" s="16" t="s">
        <v>272</v>
      </c>
      <c r="L316" s="16">
        <v>3</v>
      </c>
      <c r="M316" s="16" t="s">
        <v>277</v>
      </c>
      <c r="N316" s="16" t="s">
        <v>335</v>
      </c>
      <c r="O316" s="15" t="s">
        <v>339</v>
      </c>
      <c r="P316" t="s">
        <v>282</v>
      </c>
      <c r="Q316" t="s">
        <v>371</v>
      </c>
      <c r="R316" s="17" t="s">
        <v>371</v>
      </c>
      <c r="S316" s="16" t="s">
        <v>341</v>
      </c>
      <c r="T316" s="16" t="s">
        <v>342</v>
      </c>
      <c r="U316" s="15" t="s">
        <v>343</v>
      </c>
      <c r="V316" s="15" t="s">
        <v>345</v>
      </c>
      <c r="W316" s="17" t="s">
        <v>347</v>
      </c>
      <c r="X316" t="s">
        <v>351</v>
      </c>
      <c r="Y316" t="s">
        <v>349</v>
      </c>
      <c r="Z316" t="s">
        <v>293</v>
      </c>
      <c r="AA316" t="s">
        <v>353</v>
      </c>
      <c r="AB316" t="s">
        <v>355</v>
      </c>
      <c r="AC316" t="s">
        <v>300</v>
      </c>
      <c r="AD316" t="s">
        <v>292</v>
      </c>
      <c r="AE316" t="s">
        <v>292</v>
      </c>
      <c r="AF316" t="s">
        <v>292</v>
      </c>
      <c r="AG316" t="s">
        <v>292</v>
      </c>
      <c r="AH316" t="s">
        <v>293</v>
      </c>
      <c r="AI316" t="s">
        <v>302</v>
      </c>
      <c r="AJ316" t="s">
        <v>302</v>
      </c>
      <c r="AK316" t="s">
        <v>302</v>
      </c>
      <c r="AL316" t="s">
        <v>293</v>
      </c>
      <c r="AM316" t="s">
        <v>293</v>
      </c>
      <c r="AN316" t="s">
        <v>297</v>
      </c>
      <c r="AO316" t="s">
        <v>356</v>
      </c>
      <c r="AP316" t="s">
        <v>293</v>
      </c>
      <c r="AQ316" t="s">
        <v>292</v>
      </c>
      <c r="AR316" t="s">
        <v>293</v>
      </c>
      <c r="AS316" t="s">
        <v>293</v>
      </c>
      <c r="AT316" t="s">
        <v>364</v>
      </c>
      <c r="AU316" t="str">
        <f t="shared" si="10"/>
        <v>break</v>
      </c>
    </row>
    <row r="317" spans="1:48" x14ac:dyDescent="0.3">
      <c r="A317" t="s">
        <v>9</v>
      </c>
      <c r="B317" t="s">
        <v>52</v>
      </c>
      <c r="C317" t="s">
        <v>20</v>
      </c>
      <c r="D317" t="s">
        <v>29</v>
      </c>
      <c r="E317" t="str">
        <f t="shared" si="9"/>
        <v>P_P8M-ZSB-S_7W0</v>
      </c>
      <c r="F317" t="b">
        <v>1</v>
      </c>
      <c r="G317">
        <v>100</v>
      </c>
      <c r="H317">
        <v>1</v>
      </c>
      <c r="I317">
        <v>20193</v>
      </c>
      <c r="J317" s="61" t="s">
        <v>18</v>
      </c>
      <c r="K317" s="16" t="s">
        <v>272</v>
      </c>
      <c r="L317" s="16">
        <v>3</v>
      </c>
      <c r="M317" s="16" t="s">
        <v>277</v>
      </c>
      <c r="N317" s="16" t="s">
        <v>335</v>
      </c>
      <c r="O317" s="15" t="s">
        <v>339</v>
      </c>
      <c r="P317" t="s">
        <v>282</v>
      </c>
      <c r="Q317" t="s">
        <v>371</v>
      </c>
      <c r="R317" s="17" t="s">
        <v>371</v>
      </c>
      <c r="S317" s="16" t="s">
        <v>341</v>
      </c>
      <c r="T317" s="16" t="s">
        <v>340</v>
      </c>
      <c r="U317" s="15" t="s">
        <v>343</v>
      </c>
      <c r="V317" s="15" t="s">
        <v>345</v>
      </c>
      <c r="W317" s="17" t="s">
        <v>377</v>
      </c>
      <c r="X317" t="s">
        <v>349</v>
      </c>
      <c r="Y317" t="s">
        <v>349</v>
      </c>
      <c r="Z317" t="s">
        <v>293</v>
      </c>
      <c r="AA317" t="s">
        <v>353</v>
      </c>
      <c r="AB317" t="s">
        <v>296</v>
      </c>
      <c r="AC317" t="s">
        <v>300</v>
      </c>
      <c r="AD317" t="s">
        <v>292</v>
      </c>
      <c r="AE317" t="s">
        <v>292</v>
      </c>
      <c r="AF317" t="s">
        <v>292</v>
      </c>
      <c r="AG317" t="s">
        <v>292</v>
      </c>
      <c r="AH317" t="s">
        <v>293</v>
      </c>
      <c r="AI317" t="s">
        <v>302</v>
      </c>
      <c r="AJ317" t="s">
        <v>302</v>
      </c>
      <c r="AK317" t="s">
        <v>302</v>
      </c>
      <c r="AL317" t="s">
        <v>293</v>
      </c>
      <c r="AM317" t="s">
        <v>293</v>
      </c>
      <c r="AN317" t="s">
        <v>296</v>
      </c>
      <c r="AO317" t="s">
        <v>356</v>
      </c>
      <c r="AP317" t="s">
        <v>293</v>
      </c>
      <c r="AQ317" t="s">
        <v>292</v>
      </c>
      <c r="AR317" t="s">
        <v>293</v>
      </c>
      <c r="AS317" t="s">
        <v>293</v>
      </c>
      <c r="AT317" t="s">
        <v>364</v>
      </c>
      <c r="AU317" t="str">
        <f t="shared" si="10"/>
        <v>break</v>
      </c>
    </row>
    <row r="318" spans="1:48" x14ac:dyDescent="0.3">
      <c r="A318" t="s">
        <v>9</v>
      </c>
      <c r="B318" t="s">
        <v>52</v>
      </c>
      <c r="C318" t="s">
        <v>22</v>
      </c>
      <c r="D318" t="s">
        <v>29</v>
      </c>
      <c r="E318" t="str">
        <f t="shared" si="9"/>
        <v>P_P8M-ZSB-S_9B4</v>
      </c>
      <c r="F318" t="b">
        <v>1</v>
      </c>
      <c r="G318">
        <v>85.8</v>
      </c>
      <c r="H318">
        <v>0</v>
      </c>
      <c r="I318">
        <v>18026</v>
      </c>
      <c r="J318" s="61" t="s">
        <v>13</v>
      </c>
      <c r="K318" s="16" t="s">
        <v>272</v>
      </c>
      <c r="L318" s="16">
        <v>3</v>
      </c>
      <c r="M318" s="16" t="s">
        <v>277</v>
      </c>
      <c r="N318" s="16" t="s">
        <v>335</v>
      </c>
      <c r="O318" s="15" t="s">
        <v>339</v>
      </c>
      <c r="P318" t="s">
        <v>283</v>
      </c>
      <c r="Q318" t="s">
        <v>282</v>
      </c>
      <c r="R318" s="17" t="s">
        <v>371</v>
      </c>
      <c r="S318" s="16" t="s">
        <v>341</v>
      </c>
      <c r="T318" s="16" t="s">
        <v>340</v>
      </c>
      <c r="U318" s="15" t="s">
        <v>343</v>
      </c>
      <c r="V318" s="15" t="s">
        <v>345</v>
      </c>
      <c r="W318" s="17" t="s">
        <v>377</v>
      </c>
      <c r="X318" t="s">
        <v>349</v>
      </c>
      <c r="Y318" t="s">
        <v>349</v>
      </c>
      <c r="Z318" t="s">
        <v>293</v>
      </c>
      <c r="AA318" t="s">
        <v>353</v>
      </c>
      <c r="AB318" t="s">
        <v>296</v>
      </c>
      <c r="AC318" t="s">
        <v>300</v>
      </c>
      <c r="AD318" t="s">
        <v>292</v>
      </c>
      <c r="AE318" t="s">
        <v>292</v>
      </c>
      <c r="AF318" t="s">
        <v>292</v>
      </c>
      <c r="AG318" t="s">
        <v>292</v>
      </c>
      <c r="AH318" t="s">
        <v>293</v>
      </c>
      <c r="AI318" t="s">
        <v>302</v>
      </c>
      <c r="AJ318" t="s">
        <v>302</v>
      </c>
      <c r="AK318" t="s">
        <v>302</v>
      </c>
      <c r="AL318" t="s">
        <v>293</v>
      </c>
      <c r="AM318" t="s">
        <v>293</v>
      </c>
      <c r="AN318" t="s">
        <v>296</v>
      </c>
      <c r="AO318" t="s">
        <v>356</v>
      </c>
      <c r="AP318" t="s">
        <v>293</v>
      </c>
      <c r="AQ318" t="s">
        <v>292</v>
      </c>
      <c r="AR318" t="s">
        <v>293</v>
      </c>
      <c r="AS318" t="s">
        <v>293</v>
      </c>
      <c r="AT318" t="s">
        <v>364</v>
      </c>
      <c r="AU318" t="str">
        <f t="shared" si="10"/>
        <v>no_fail</v>
      </c>
    </row>
    <row r="319" spans="1:48" x14ac:dyDescent="0.3">
      <c r="A319" t="s">
        <v>43</v>
      </c>
      <c r="B319" t="s">
        <v>69</v>
      </c>
      <c r="C319" t="s">
        <v>15</v>
      </c>
      <c r="D319" t="s">
        <v>12</v>
      </c>
      <c r="E319" t="str">
        <f t="shared" si="9"/>
        <v>P_S3X-KYY-S_0M4</v>
      </c>
      <c r="F319" t="b">
        <v>1</v>
      </c>
      <c r="G319">
        <v>100</v>
      </c>
      <c r="H319">
        <v>1</v>
      </c>
      <c r="I319">
        <v>6605</v>
      </c>
      <c r="J319" s="61" t="s">
        <v>18</v>
      </c>
      <c r="K319" s="16" t="s">
        <v>272</v>
      </c>
      <c r="L319" s="16">
        <v>3</v>
      </c>
      <c r="M319" s="16" t="s">
        <v>277</v>
      </c>
      <c r="N319" s="16" t="s">
        <v>335</v>
      </c>
      <c r="O319" s="15" t="s">
        <v>281</v>
      </c>
      <c r="P319" t="s">
        <v>273</v>
      </c>
      <c r="Q319" t="s">
        <v>284</v>
      </c>
      <c r="R319" s="17" t="s">
        <v>371</v>
      </c>
      <c r="S319" s="16" t="s">
        <v>340</v>
      </c>
      <c r="T319" s="16" t="s">
        <v>342</v>
      </c>
      <c r="U319" s="15" t="s">
        <v>343</v>
      </c>
      <c r="V319" s="15" t="s">
        <v>344</v>
      </c>
      <c r="W319" s="17"/>
      <c r="X319" t="s">
        <v>349</v>
      </c>
      <c r="Y319" t="s">
        <v>349</v>
      </c>
      <c r="Z319" t="s">
        <v>293</v>
      </c>
      <c r="AA319" t="s">
        <v>353</v>
      </c>
      <c r="AB319" t="s">
        <v>296</v>
      </c>
      <c r="AC319" t="s">
        <v>301</v>
      </c>
      <c r="AD319" t="s">
        <v>292</v>
      </c>
      <c r="AE319" t="s">
        <v>293</v>
      </c>
      <c r="AF319" t="s">
        <v>292</v>
      </c>
      <c r="AG319" t="s">
        <v>292</v>
      </c>
      <c r="AH319" t="s">
        <v>293</v>
      </c>
      <c r="AI319" t="s">
        <v>302</v>
      </c>
      <c r="AJ319" t="s">
        <v>359</v>
      </c>
      <c r="AK319" t="s">
        <v>359</v>
      </c>
      <c r="AL319" t="s">
        <v>293</v>
      </c>
      <c r="AM319" t="s">
        <v>293</v>
      </c>
      <c r="AN319" t="s">
        <v>297</v>
      </c>
      <c r="AO319" t="s">
        <v>298</v>
      </c>
      <c r="AP319" t="s">
        <v>293</v>
      </c>
      <c r="AQ319" t="s">
        <v>292</v>
      </c>
      <c r="AR319" t="s">
        <v>293</v>
      </c>
      <c r="AS319" t="s">
        <v>293</v>
      </c>
      <c r="AT319" t="s">
        <v>364</v>
      </c>
      <c r="AU319" t="str">
        <f t="shared" si="10"/>
        <v>break</v>
      </c>
    </row>
    <row r="320" spans="1:48" x14ac:dyDescent="0.3">
      <c r="A320" t="s">
        <v>43</v>
      </c>
      <c r="B320" t="s">
        <v>69</v>
      </c>
      <c r="C320" t="s">
        <v>23</v>
      </c>
      <c r="D320" t="s">
        <v>12</v>
      </c>
      <c r="E320" t="str">
        <f t="shared" si="9"/>
        <v>P_S3X-KYY-S_0T2</v>
      </c>
      <c r="F320" t="b">
        <v>1</v>
      </c>
      <c r="G320">
        <v>56.4</v>
      </c>
      <c r="H320">
        <v>0</v>
      </c>
      <c r="I320">
        <v>18749</v>
      </c>
      <c r="J320" s="61" t="s">
        <v>13</v>
      </c>
      <c r="K320" s="16" t="s">
        <v>272</v>
      </c>
      <c r="L320" s="16">
        <v>3</v>
      </c>
      <c r="M320" s="16" t="s">
        <v>277</v>
      </c>
      <c r="N320" s="16" t="s">
        <v>335</v>
      </c>
      <c r="O320" s="15" t="s">
        <v>283</v>
      </c>
      <c r="P320" t="s">
        <v>282</v>
      </c>
      <c r="Q320" t="s">
        <v>371</v>
      </c>
      <c r="R320" s="17" t="s">
        <v>371</v>
      </c>
      <c r="S320" s="16" t="s">
        <v>341</v>
      </c>
      <c r="T320" s="16" t="s">
        <v>340</v>
      </c>
      <c r="U320" s="15" t="s">
        <v>343</v>
      </c>
      <c r="V320" s="15" t="s">
        <v>344</v>
      </c>
      <c r="W320" s="17" t="s">
        <v>291</v>
      </c>
      <c r="X320" t="s">
        <v>349</v>
      </c>
      <c r="Y320" t="s">
        <v>349</v>
      </c>
      <c r="Z320" t="s">
        <v>293</v>
      </c>
      <c r="AA320" t="s">
        <v>353</v>
      </c>
      <c r="AB320" t="s">
        <v>355</v>
      </c>
      <c r="AC320" t="s">
        <v>301</v>
      </c>
      <c r="AD320" t="s">
        <v>292</v>
      </c>
      <c r="AE320" t="s">
        <v>292</v>
      </c>
      <c r="AF320" t="s">
        <v>292</v>
      </c>
      <c r="AG320" t="s">
        <v>292</v>
      </c>
      <c r="AH320" t="s">
        <v>293</v>
      </c>
      <c r="AI320" t="s">
        <v>302</v>
      </c>
      <c r="AJ320" t="s">
        <v>302</v>
      </c>
      <c r="AK320" t="s">
        <v>359</v>
      </c>
      <c r="AL320" t="s">
        <v>293</v>
      </c>
      <c r="AM320" t="s">
        <v>293</v>
      </c>
      <c r="AN320" t="s">
        <v>296</v>
      </c>
      <c r="AO320" t="s">
        <v>298</v>
      </c>
      <c r="AP320" t="s">
        <v>293</v>
      </c>
      <c r="AQ320" t="s">
        <v>292</v>
      </c>
      <c r="AR320" t="s">
        <v>293</v>
      </c>
      <c r="AS320" t="s">
        <v>293</v>
      </c>
      <c r="AT320" t="s">
        <v>364</v>
      </c>
      <c r="AU320" t="str">
        <f t="shared" si="10"/>
        <v>no_fail</v>
      </c>
    </row>
    <row r="321" spans="1:47" x14ac:dyDescent="0.3">
      <c r="A321" t="s">
        <v>43</v>
      </c>
      <c r="B321" t="s">
        <v>69</v>
      </c>
      <c r="C321" t="s">
        <v>14</v>
      </c>
      <c r="D321" t="s">
        <v>12</v>
      </c>
      <c r="E321" t="str">
        <f t="shared" si="9"/>
        <v>P_S3X-KYY-S_1B0</v>
      </c>
      <c r="F321" t="b">
        <v>1</v>
      </c>
      <c r="G321">
        <v>100</v>
      </c>
      <c r="H321">
        <v>1</v>
      </c>
      <c r="I321">
        <v>9503</v>
      </c>
      <c r="J321" s="61" t="s">
        <v>18</v>
      </c>
      <c r="K321" s="16" t="s">
        <v>272</v>
      </c>
      <c r="L321" s="16">
        <v>3</v>
      </c>
      <c r="M321" s="16" t="s">
        <v>277</v>
      </c>
      <c r="N321" s="16" t="s">
        <v>335</v>
      </c>
      <c r="O321" s="15" t="s">
        <v>282</v>
      </c>
      <c r="P321" t="s">
        <v>281</v>
      </c>
      <c r="Q321" t="s">
        <v>284</v>
      </c>
      <c r="R321" s="17" t="s">
        <v>371</v>
      </c>
      <c r="S321" s="16" t="s">
        <v>341</v>
      </c>
      <c r="T321" s="16" t="s">
        <v>340</v>
      </c>
      <c r="U321" s="15" t="s">
        <v>343</v>
      </c>
      <c r="V321" s="15" t="s">
        <v>291</v>
      </c>
      <c r="W321" s="17"/>
      <c r="X321" t="s">
        <v>349</v>
      </c>
      <c r="Y321" t="s">
        <v>349</v>
      </c>
      <c r="Z321" t="s">
        <v>293</v>
      </c>
      <c r="AA321" t="s">
        <v>353</v>
      </c>
      <c r="AB321" t="s">
        <v>296</v>
      </c>
      <c r="AC321" t="s">
        <v>300</v>
      </c>
      <c r="AD321" t="s">
        <v>292</v>
      </c>
      <c r="AE321" t="s">
        <v>293</v>
      </c>
      <c r="AF321" t="s">
        <v>292</v>
      </c>
      <c r="AG321" t="s">
        <v>292</v>
      </c>
      <c r="AH321" t="s">
        <v>293</v>
      </c>
      <c r="AI321" t="s">
        <v>358</v>
      </c>
      <c r="AJ321" t="s">
        <v>358</v>
      </c>
      <c r="AK321" t="s">
        <v>359</v>
      </c>
      <c r="AL321" t="s">
        <v>293</v>
      </c>
      <c r="AM321" t="s">
        <v>293</v>
      </c>
      <c r="AN321" t="s">
        <v>297</v>
      </c>
      <c r="AO321" t="s">
        <v>298</v>
      </c>
      <c r="AP321" t="s">
        <v>293</v>
      </c>
      <c r="AQ321" t="s">
        <v>292</v>
      </c>
      <c r="AR321" t="s">
        <v>293</v>
      </c>
      <c r="AS321" t="s">
        <v>293</v>
      </c>
      <c r="AT321" t="s">
        <v>364</v>
      </c>
      <c r="AU321" t="str">
        <f t="shared" si="10"/>
        <v>break</v>
      </c>
    </row>
    <row r="322" spans="1:47" x14ac:dyDescent="0.3">
      <c r="A322" t="s">
        <v>43</v>
      </c>
      <c r="B322" t="s">
        <v>69</v>
      </c>
      <c r="C322" t="s">
        <v>11</v>
      </c>
      <c r="D322" t="s">
        <v>12</v>
      </c>
      <c r="E322" t="str">
        <f t="shared" ref="E322:E385" si="11">B322&amp;"-"&amp;D322&amp;"-"&amp;C322</f>
        <v>P_S3X-KYY-S_1Q4</v>
      </c>
      <c r="F322" t="b">
        <v>1</v>
      </c>
      <c r="G322">
        <v>100</v>
      </c>
      <c r="H322">
        <v>1</v>
      </c>
      <c r="I322">
        <v>2977</v>
      </c>
      <c r="J322" s="61" t="s">
        <v>18</v>
      </c>
      <c r="K322" s="16" t="s">
        <v>272</v>
      </c>
      <c r="L322" s="16">
        <v>3</v>
      </c>
      <c r="M322" s="16" t="s">
        <v>277</v>
      </c>
      <c r="N322" s="16" t="s">
        <v>335</v>
      </c>
      <c r="O322" s="15" t="s">
        <v>282</v>
      </c>
      <c r="P322" t="s">
        <v>371</v>
      </c>
      <c r="Q322" t="s">
        <v>371</v>
      </c>
      <c r="R322" s="17" t="s">
        <v>371</v>
      </c>
      <c r="S322" s="16" t="s">
        <v>340</v>
      </c>
      <c r="T322" s="16" t="s">
        <v>340</v>
      </c>
      <c r="U322" s="15" t="s">
        <v>340</v>
      </c>
      <c r="V322" s="15" t="s">
        <v>348</v>
      </c>
      <c r="W322" s="17"/>
      <c r="X322" t="s">
        <v>349</v>
      </c>
      <c r="Y322" t="s">
        <v>349</v>
      </c>
      <c r="Z322" t="s">
        <v>293</v>
      </c>
      <c r="AA322" t="s">
        <v>354</v>
      </c>
      <c r="AB322" t="s">
        <v>354</v>
      </c>
      <c r="AC322" t="s">
        <v>340</v>
      </c>
      <c r="AD322" t="s">
        <v>292</v>
      </c>
      <c r="AE322" t="s">
        <v>293</v>
      </c>
      <c r="AF322" t="s">
        <v>293</v>
      </c>
      <c r="AG322" t="s">
        <v>293</v>
      </c>
      <c r="AH322" t="s">
        <v>293</v>
      </c>
      <c r="AI322" t="s">
        <v>358</v>
      </c>
      <c r="AJ322" t="s">
        <v>358</v>
      </c>
      <c r="AK322" t="s">
        <v>357</v>
      </c>
      <c r="AL322" t="s">
        <v>293</v>
      </c>
      <c r="AM322" t="s">
        <v>293</v>
      </c>
      <c r="AN322" t="s">
        <v>354</v>
      </c>
      <c r="AO322" t="s">
        <v>298</v>
      </c>
      <c r="AP322" t="s">
        <v>293</v>
      </c>
      <c r="AQ322" t="s">
        <v>293</v>
      </c>
      <c r="AR322" t="s">
        <v>293</v>
      </c>
      <c r="AS322" t="s">
        <v>293</v>
      </c>
      <c r="AT322" t="s">
        <v>364</v>
      </c>
      <c r="AU322" t="str">
        <f t="shared" si="10"/>
        <v>break</v>
      </c>
    </row>
    <row r="323" spans="1:47" x14ac:dyDescent="0.3">
      <c r="A323" t="s">
        <v>43</v>
      </c>
      <c r="B323" t="s">
        <v>69</v>
      </c>
      <c r="C323" t="s">
        <v>21</v>
      </c>
      <c r="D323" t="s">
        <v>12</v>
      </c>
      <c r="E323" t="str">
        <f t="shared" si="11"/>
        <v>P_S3X-KYY-S_3X6</v>
      </c>
      <c r="F323" t="b">
        <v>1</v>
      </c>
      <c r="G323">
        <v>100</v>
      </c>
      <c r="H323">
        <v>1</v>
      </c>
      <c r="I323">
        <v>15845</v>
      </c>
      <c r="J323" s="61" t="s">
        <v>18</v>
      </c>
      <c r="K323" s="16" t="s">
        <v>272</v>
      </c>
      <c r="L323" s="16">
        <v>3</v>
      </c>
      <c r="M323" s="16" t="s">
        <v>277</v>
      </c>
      <c r="N323" s="16" t="s">
        <v>335</v>
      </c>
      <c r="O323" s="15" t="s">
        <v>282</v>
      </c>
      <c r="P323" t="s">
        <v>371</v>
      </c>
      <c r="Q323" t="s">
        <v>371</v>
      </c>
      <c r="R323" s="17" t="s">
        <v>371</v>
      </c>
      <c r="S323" s="16" t="s">
        <v>341</v>
      </c>
      <c r="T323" s="16" t="s">
        <v>340</v>
      </c>
      <c r="U323" s="15" t="s">
        <v>343</v>
      </c>
      <c r="V323" s="15" t="s">
        <v>344</v>
      </c>
      <c r="W323" s="17" t="s">
        <v>291</v>
      </c>
      <c r="X323" t="s">
        <v>349</v>
      </c>
      <c r="Y323" t="s">
        <v>349</v>
      </c>
      <c r="Z323" t="s">
        <v>293</v>
      </c>
      <c r="AA323" t="s">
        <v>353</v>
      </c>
      <c r="AB323" t="s">
        <v>296</v>
      </c>
      <c r="AC323" t="s">
        <v>301</v>
      </c>
      <c r="AD323" t="s">
        <v>292</v>
      </c>
      <c r="AE323" t="s">
        <v>293</v>
      </c>
      <c r="AF323" t="s">
        <v>293</v>
      </c>
      <c r="AG323" t="s">
        <v>292</v>
      </c>
      <c r="AH323" t="s">
        <v>293</v>
      </c>
      <c r="AI323" t="s">
        <v>302</v>
      </c>
      <c r="AJ323" t="s">
        <v>302</v>
      </c>
      <c r="AK323" t="s">
        <v>359</v>
      </c>
      <c r="AL323" t="s">
        <v>293</v>
      </c>
      <c r="AM323" t="s">
        <v>293</v>
      </c>
      <c r="AN323" t="s">
        <v>296</v>
      </c>
      <c r="AO323" t="s">
        <v>298</v>
      </c>
      <c r="AP323" t="s">
        <v>293</v>
      </c>
      <c r="AQ323" t="s">
        <v>292</v>
      </c>
      <c r="AR323" t="s">
        <v>293</v>
      </c>
      <c r="AS323" t="s">
        <v>293</v>
      </c>
      <c r="AT323" t="s">
        <v>364</v>
      </c>
      <c r="AU323" t="str">
        <f t="shared" si="10"/>
        <v>break</v>
      </c>
    </row>
    <row r="324" spans="1:47" x14ac:dyDescent="0.3">
      <c r="A324" t="s">
        <v>43</v>
      </c>
      <c r="B324" t="s">
        <v>69</v>
      </c>
      <c r="C324" t="s">
        <v>19</v>
      </c>
      <c r="D324" t="s">
        <v>12</v>
      </c>
      <c r="E324" t="str">
        <f t="shared" si="11"/>
        <v>P_S3X-KYY-S_4U3</v>
      </c>
      <c r="F324" t="b">
        <v>1</v>
      </c>
      <c r="G324">
        <v>68.2</v>
      </c>
      <c r="H324">
        <v>0</v>
      </c>
      <c r="I324">
        <v>14259</v>
      </c>
      <c r="J324" s="61" t="s">
        <v>13</v>
      </c>
      <c r="K324" s="16" t="s">
        <v>272</v>
      </c>
      <c r="L324" s="16">
        <v>3</v>
      </c>
      <c r="M324" s="16" t="s">
        <v>277</v>
      </c>
      <c r="N324" s="16" t="s">
        <v>335</v>
      </c>
      <c r="O324" s="15" t="s">
        <v>281</v>
      </c>
      <c r="P324" t="s">
        <v>283</v>
      </c>
      <c r="Q324" t="s">
        <v>284</v>
      </c>
      <c r="R324" s="17" t="s">
        <v>371</v>
      </c>
      <c r="S324" s="16" t="s">
        <v>341</v>
      </c>
      <c r="T324" s="16" t="s">
        <v>342</v>
      </c>
      <c r="U324" s="15" t="s">
        <v>343</v>
      </c>
      <c r="V324" s="15" t="s">
        <v>344</v>
      </c>
      <c r="W324" s="17"/>
      <c r="X324" t="s">
        <v>349</v>
      </c>
      <c r="Y324" t="s">
        <v>349</v>
      </c>
      <c r="Z324" t="s">
        <v>293</v>
      </c>
      <c r="AA324" t="s">
        <v>353</v>
      </c>
      <c r="AB324" t="s">
        <v>296</v>
      </c>
      <c r="AC324" t="s">
        <v>301</v>
      </c>
      <c r="AD324" t="s">
        <v>292</v>
      </c>
      <c r="AE324" t="s">
        <v>292</v>
      </c>
      <c r="AF324" t="s">
        <v>292</v>
      </c>
      <c r="AG324" t="s">
        <v>292</v>
      </c>
      <c r="AH324" t="s">
        <v>293</v>
      </c>
      <c r="AI324" t="s">
        <v>302</v>
      </c>
      <c r="AJ324" t="s">
        <v>302</v>
      </c>
      <c r="AK324" t="s">
        <v>359</v>
      </c>
      <c r="AL324" t="s">
        <v>293</v>
      </c>
      <c r="AM324" t="s">
        <v>293</v>
      </c>
      <c r="AN324" t="s">
        <v>297</v>
      </c>
      <c r="AO324" t="s">
        <v>356</v>
      </c>
      <c r="AP324" t="s">
        <v>293</v>
      </c>
      <c r="AQ324" t="s">
        <v>292</v>
      </c>
      <c r="AR324" t="s">
        <v>293</v>
      </c>
      <c r="AS324" t="s">
        <v>293</v>
      </c>
      <c r="AT324" t="s">
        <v>364</v>
      </c>
      <c r="AU324" t="str">
        <f t="shared" si="10"/>
        <v>no_fail</v>
      </c>
    </row>
    <row r="325" spans="1:47" x14ac:dyDescent="0.3">
      <c r="A325" t="s">
        <v>43</v>
      </c>
      <c r="B325" t="s">
        <v>69</v>
      </c>
      <c r="C325" t="s">
        <v>17</v>
      </c>
      <c r="D325" t="s">
        <v>12</v>
      </c>
      <c r="E325" t="str">
        <f t="shared" si="11"/>
        <v>P_S3X-KYY-S_6B5</v>
      </c>
      <c r="F325" t="b">
        <v>1</v>
      </c>
      <c r="G325">
        <v>100</v>
      </c>
      <c r="H325">
        <v>1</v>
      </c>
      <c r="I325">
        <v>13258</v>
      </c>
      <c r="J325" s="61" t="s">
        <v>18</v>
      </c>
      <c r="K325" s="16" t="s">
        <v>272</v>
      </c>
      <c r="L325" s="16">
        <v>3</v>
      </c>
      <c r="M325" s="16" t="s">
        <v>277</v>
      </c>
      <c r="N325" s="16" t="s">
        <v>335</v>
      </c>
      <c r="O325" s="15" t="s">
        <v>281</v>
      </c>
      <c r="P325" t="s">
        <v>283</v>
      </c>
      <c r="Q325" t="s">
        <v>284</v>
      </c>
      <c r="R325" s="17" t="s">
        <v>371</v>
      </c>
      <c r="S325" s="16" t="s">
        <v>341</v>
      </c>
      <c r="T325" s="16" t="s">
        <v>342</v>
      </c>
      <c r="U325" s="15" t="s">
        <v>343</v>
      </c>
      <c r="V325" s="15" t="s">
        <v>344</v>
      </c>
      <c r="W325" s="17"/>
      <c r="X325" t="s">
        <v>349</v>
      </c>
      <c r="Y325" t="s">
        <v>349</v>
      </c>
      <c r="Z325" t="s">
        <v>293</v>
      </c>
      <c r="AA325" t="s">
        <v>353</v>
      </c>
      <c r="AB325" t="s">
        <v>296</v>
      </c>
      <c r="AC325" t="s">
        <v>301</v>
      </c>
      <c r="AD325" t="s">
        <v>292</v>
      </c>
      <c r="AE325" t="s">
        <v>292</v>
      </c>
      <c r="AF325" t="s">
        <v>292</v>
      </c>
      <c r="AG325" t="s">
        <v>292</v>
      </c>
      <c r="AH325" t="s">
        <v>293</v>
      </c>
      <c r="AI325" t="s">
        <v>302</v>
      </c>
      <c r="AJ325" t="s">
        <v>358</v>
      </c>
      <c r="AK325" t="s">
        <v>359</v>
      </c>
      <c r="AL325" t="s">
        <v>293</v>
      </c>
      <c r="AM325" t="s">
        <v>293</v>
      </c>
      <c r="AN325" t="s">
        <v>297</v>
      </c>
      <c r="AO325" t="s">
        <v>356</v>
      </c>
      <c r="AP325" t="s">
        <v>293</v>
      </c>
      <c r="AQ325" t="s">
        <v>292</v>
      </c>
      <c r="AR325" t="s">
        <v>293</v>
      </c>
      <c r="AS325" t="s">
        <v>293</v>
      </c>
      <c r="AT325" t="s">
        <v>364</v>
      </c>
      <c r="AU325" t="str">
        <f t="shared" si="10"/>
        <v>break</v>
      </c>
    </row>
    <row r="326" spans="1:47" x14ac:dyDescent="0.3">
      <c r="A326" t="s">
        <v>43</v>
      </c>
      <c r="B326" t="s">
        <v>69</v>
      </c>
      <c r="C326" t="s">
        <v>16</v>
      </c>
      <c r="D326" t="s">
        <v>12</v>
      </c>
      <c r="E326" t="str">
        <f t="shared" si="11"/>
        <v>P_S3X-KYY-S_6U7</v>
      </c>
      <c r="F326" t="b">
        <v>1</v>
      </c>
      <c r="G326">
        <v>100</v>
      </c>
      <c r="H326">
        <v>1</v>
      </c>
      <c r="I326">
        <v>11196</v>
      </c>
      <c r="J326" s="61" t="s">
        <v>18</v>
      </c>
      <c r="K326" s="16" t="s">
        <v>272</v>
      </c>
      <c r="L326" s="16">
        <v>3</v>
      </c>
      <c r="M326" s="16" t="s">
        <v>277</v>
      </c>
      <c r="N326" s="16" t="s">
        <v>335</v>
      </c>
      <c r="O326" s="15" t="s">
        <v>281</v>
      </c>
      <c r="P326" t="s">
        <v>283</v>
      </c>
      <c r="Q326" t="s">
        <v>284</v>
      </c>
      <c r="R326" s="17" t="s">
        <v>371</v>
      </c>
      <c r="S326" s="16" t="s">
        <v>341</v>
      </c>
      <c r="T326" s="16" t="s">
        <v>342</v>
      </c>
      <c r="U326" s="15" t="s">
        <v>343</v>
      </c>
      <c r="V326" s="15" t="s">
        <v>344</v>
      </c>
      <c r="W326" s="17"/>
      <c r="X326" t="s">
        <v>349</v>
      </c>
      <c r="Y326" t="s">
        <v>349</v>
      </c>
      <c r="Z326" t="s">
        <v>293</v>
      </c>
      <c r="AA326" t="s">
        <v>353</v>
      </c>
      <c r="AB326" t="s">
        <v>296</v>
      </c>
      <c r="AC326" t="s">
        <v>301</v>
      </c>
      <c r="AD326" t="s">
        <v>292</v>
      </c>
      <c r="AE326" t="s">
        <v>293</v>
      </c>
      <c r="AF326" t="s">
        <v>292</v>
      </c>
      <c r="AG326" t="s">
        <v>292</v>
      </c>
      <c r="AH326" t="s">
        <v>293</v>
      </c>
      <c r="AI326" t="s">
        <v>302</v>
      </c>
      <c r="AJ326" t="s">
        <v>358</v>
      </c>
      <c r="AK326" t="s">
        <v>359</v>
      </c>
      <c r="AL326" t="s">
        <v>293</v>
      </c>
      <c r="AM326" t="s">
        <v>293</v>
      </c>
      <c r="AN326" t="s">
        <v>297</v>
      </c>
      <c r="AO326" t="s">
        <v>298</v>
      </c>
      <c r="AP326" t="s">
        <v>293</v>
      </c>
      <c r="AQ326" t="s">
        <v>292</v>
      </c>
      <c r="AR326" t="s">
        <v>293</v>
      </c>
      <c r="AS326" t="s">
        <v>293</v>
      </c>
      <c r="AT326" t="s">
        <v>364</v>
      </c>
      <c r="AU326" t="str">
        <f t="shared" si="10"/>
        <v>break</v>
      </c>
    </row>
    <row r="327" spans="1:47" x14ac:dyDescent="0.3">
      <c r="A327" t="s">
        <v>43</v>
      </c>
      <c r="B327" t="s">
        <v>69</v>
      </c>
      <c r="C327" t="s">
        <v>20</v>
      </c>
      <c r="D327" t="s">
        <v>12</v>
      </c>
      <c r="E327" t="str">
        <f t="shared" si="11"/>
        <v>P_S3X-KYY-S_7W0</v>
      </c>
      <c r="F327" t="b">
        <v>1</v>
      </c>
      <c r="G327">
        <v>90.9</v>
      </c>
      <c r="H327">
        <v>0</v>
      </c>
      <c r="I327">
        <v>12316</v>
      </c>
      <c r="J327" s="61" t="s">
        <v>13</v>
      </c>
      <c r="K327" s="16" t="s">
        <v>272</v>
      </c>
      <c r="L327" s="16">
        <v>2</v>
      </c>
      <c r="M327" s="16" t="s">
        <v>277</v>
      </c>
      <c r="N327" s="16" t="s">
        <v>335</v>
      </c>
      <c r="O327" s="15" t="s">
        <v>282</v>
      </c>
      <c r="P327" t="s">
        <v>371</v>
      </c>
      <c r="Q327" t="s">
        <v>371</v>
      </c>
      <c r="R327" s="17" t="s">
        <v>371</v>
      </c>
      <c r="S327" s="16" t="s">
        <v>341</v>
      </c>
      <c r="T327" s="16" t="s">
        <v>340</v>
      </c>
      <c r="U327" s="15" t="s">
        <v>340</v>
      </c>
      <c r="V327" s="15" t="s">
        <v>344</v>
      </c>
      <c r="W327" s="17"/>
      <c r="X327" t="s">
        <v>349</v>
      </c>
      <c r="Y327" t="s">
        <v>349</v>
      </c>
      <c r="Z327" t="s">
        <v>293</v>
      </c>
      <c r="AA327" t="s">
        <v>354</v>
      </c>
      <c r="AB327" t="s">
        <v>354</v>
      </c>
      <c r="AC327" t="s">
        <v>301</v>
      </c>
      <c r="AD327" t="s">
        <v>293</v>
      </c>
      <c r="AE327" t="s">
        <v>292</v>
      </c>
      <c r="AF327" t="s">
        <v>292</v>
      </c>
      <c r="AG327" t="s">
        <v>293</v>
      </c>
      <c r="AH327" t="s">
        <v>293</v>
      </c>
      <c r="AI327" t="s">
        <v>302</v>
      </c>
      <c r="AJ327" t="s">
        <v>302</v>
      </c>
      <c r="AK327" t="s">
        <v>357</v>
      </c>
      <c r="AL327" t="s">
        <v>293</v>
      </c>
      <c r="AM327" t="s">
        <v>293</v>
      </c>
      <c r="AN327" t="s">
        <v>297</v>
      </c>
      <c r="AO327" t="s">
        <v>356</v>
      </c>
      <c r="AP327" t="s">
        <v>293</v>
      </c>
      <c r="AQ327" t="s">
        <v>292</v>
      </c>
      <c r="AR327" t="s">
        <v>293</v>
      </c>
      <c r="AS327" t="s">
        <v>293</v>
      </c>
      <c r="AT327" t="s">
        <v>364</v>
      </c>
      <c r="AU327" t="str">
        <f t="shared" si="10"/>
        <v>no_fail</v>
      </c>
    </row>
    <row r="328" spans="1:47" x14ac:dyDescent="0.3">
      <c r="A328" t="s">
        <v>43</v>
      </c>
      <c r="B328" t="s">
        <v>69</v>
      </c>
      <c r="C328" t="s">
        <v>22</v>
      </c>
      <c r="D328" t="s">
        <v>12</v>
      </c>
      <c r="E328" t="str">
        <f t="shared" si="11"/>
        <v>P_S3X-KYY-S_9B4</v>
      </c>
      <c r="F328" t="b">
        <v>1</v>
      </c>
      <c r="G328">
        <v>100</v>
      </c>
      <c r="H328">
        <v>1</v>
      </c>
      <c r="I328">
        <v>17857</v>
      </c>
      <c r="J328" s="61" t="s">
        <v>18</v>
      </c>
      <c r="K328" s="16" t="s">
        <v>272</v>
      </c>
      <c r="L328" s="16">
        <v>3</v>
      </c>
      <c r="M328" s="16" t="s">
        <v>277</v>
      </c>
      <c r="N328" s="16" t="s">
        <v>335</v>
      </c>
      <c r="O328" s="15" t="s">
        <v>282</v>
      </c>
      <c r="P328" t="s">
        <v>371</v>
      </c>
      <c r="Q328" t="s">
        <v>371</v>
      </c>
      <c r="R328" s="17" t="s">
        <v>371</v>
      </c>
      <c r="S328" s="16" t="s">
        <v>341</v>
      </c>
      <c r="T328" s="16" t="s">
        <v>340</v>
      </c>
      <c r="U328" s="15" t="s">
        <v>343</v>
      </c>
      <c r="V328" s="15" t="s">
        <v>344</v>
      </c>
      <c r="W328" s="17" t="s">
        <v>291</v>
      </c>
      <c r="X328" t="s">
        <v>349</v>
      </c>
      <c r="Y328" t="s">
        <v>349</v>
      </c>
      <c r="Z328" t="s">
        <v>293</v>
      </c>
      <c r="AA328" t="s">
        <v>353</v>
      </c>
      <c r="AB328" t="s">
        <v>296</v>
      </c>
      <c r="AC328" t="s">
        <v>301</v>
      </c>
      <c r="AD328" t="s">
        <v>292</v>
      </c>
      <c r="AE328" t="s">
        <v>292</v>
      </c>
      <c r="AF328" t="s">
        <v>292</v>
      </c>
      <c r="AG328" t="s">
        <v>292</v>
      </c>
      <c r="AH328" t="s">
        <v>293</v>
      </c>
      <c r="AI328" t="s">
        <v>302</v>
      </c>
      <c r="AJ328" t="s">
        <v>302</v>
      </c>
      <c r="AK328" t="s">
        <v>359</v>
      </c>
      <c r="AL328" t="s">
        <v>293</v>
      </c>
      <c r="AM328" t="s">
        <v>293</v>
      </c>
      <c r="AN328" t="s">
        <v>296</v>
      </c>
      <c r="AO328" t="s">
        <v>298</v>
      </c>
      <c r="AP328" t="s">
        <v>293</v>
      </c>
      <c r="AQ328" t="s">
        <v>292</v>
      </c>
      <c r="AR328" t="s">
        <v>293</v>
      </c>
      <c r="AS328" t="s">
        <v>293</v>
      </c>
      <c r="AT328" t="s">
        <v>364</v>
      </c>
      <c r="AU328" t="str">
        <f t="shared" si="10"/>
        <v>break</v>
      </c>
    </row>
    <row r="329" spans="1:47" x14ac:dyDescent="0.3">
      <c r="A329" t="s">
        <v>43</v>
      </c>
      <c r="B329" t="s">
        <v>69</v>
      </c>
      <c r="C329" t="s">
        <v>25</v>
      </c>
      <c r="D329" t="s">
        <v>29</v>
      </c>
      <c r="E329" t="str">
        <f t="shared" si="11"/>
        <v>P_S3X-ZSB-S_1J8</v>
      </c>
      <c r="F329" t="b">
        <v>1</v>
      </c>
      <c r="G329">
        <v>100</v>
      </c>
      <c r="H329">
        <v>1</v>
      </c>
      <c r="I329">
        <v>9988</v>
      </c>
      <c r="J329" s="61" t="s">
        <v>18</v>
      </c>
      <c r="K329" s="16" t="s">
        <v>272</v>
      </c>
      <c r="L329" s="16">
        <v>2</v>
      </c>
      <c r="M329" s="16" t="s">
        <v>333</v>
      </c>
      <c r="N329" s="16" t="s">
        <v>278</v>
      </c>
      <c r="O329" s="15" t="s">
        <v>282</v>
      </c>
      <c r="P329" t="s">
        <v>371</v>
      </c>
      <c r="Q329" t="s">
        <v>371</v>
      </c>
      <c r="R329" s="17" t="s">
        <v>371</v>
      </c>
      <c r="S329" s="16" t="s">
        <v>340</v>
      </c>
      <c r="T329" s="16" t="s">
        <v>342</v>
      </c>
      <c r="U329" s="15" t="s">
        <v>340</v>
      </c>
      <c r="V329" s="15" t="s">
        <v>344</v>
      </c>
      <c r="W329" s="17"/>
      <c r="X329" t="s">
        <v>349</v>
      </c>
      <c r="Y329" t="s">
        <v>349</v>
      </c>
      <c r="Z329" t="s">
        <v>293</v>
      </c>
      <c r="AA329" t="s">
        <v>354</v>
      </c>
      <c r="AB329" t="s">
        <v>354</v>
      </c>
      <c r="AC329" t="s">
        <v>299</v>
      </c>
      <c r="AD329" t="s">
        <v>292</v>
      </c>
      <c r="AE329" t="s">
        <v>293</v>
      </c>
      <c r="AF329" t="s">
        <v>292</v>
      </c>
      <c r="AG329" t="s">
        <v>292</v>
      </c>
      <c r="AH329" t="s">
        <v>293</v>
      </c>
      <c r="AI329" t="s">
        <v>302</v>
      </c>
      <c r="AJ329" t="s">
        <v>359</v>
      </c>
      <c r="AK329" t="s">
        <v>357</v>
      </c>
      <c r="AL329" t="s">
        <v>293</v>
      </c>
      <c r="AM329" t="s">
        <v>293</v>
      </c>
      <c r="AN329" t="s">
        <v>297</v>
      </c>
      <c r="AO329" t="s">
        <v>298</v>
      </c>
      <c r="AP329" t="s">
        <v>293</v>
      </c>
      <c r="AQ329" t="s">
        <v>292</v>
      </c>
      <c r="AR329" t="s">
        <v>293</v>
      </c>
      <c r="AS329" t="s">
        <v>293</v>
      </c>
      <c r="AT329" t="s">
        <v>364</v>
      </c>
      <c r="AU329" t="str">
        <f t="shared" si="10"/>
        <v>break</v>
      </c>
    </row>
    <row r="330" spans="1:47" x14ac:dyDescent="0.3">
      <c r="A330" t="s">
        <v>43</v>
      </c>
      <c r="B330" t="s">
        <v>69</v>
      </c>
      <c r="C330" t="s">
        <v>24</v>
      </c>
      <c r="D330" t="s">
        <v>29</v>
      </c>
      <c r="E330" t="str">
        <f t="shared" si="11"/>
        <v>P_S3X-ZSB-S_1U0</v>
      </c>
      <c r="F330" t="b">
        <v>1</v>
      </c>
      <c r="G330">
        <v>100</v>
      </c>
      <c r="H330">
        <v>1</v>
      </c>
      <c r="I330">
        <v>11475</v>
      </c>
      <c r="J330" s="61" t="s">
        <v>18</v>
      </c>
      <c r="K330" s="16" t="s">
        <v>272</v>
      </c>
      <c r="L330" s="16">
        <v>2</v>
      </c>
      <c r="M330" s="16" t="s">
        <v>333</v>
      </c>
      <c r="N330" s="16" t="s">
        <v>278</v>
      </c>
      <c r="O330" s="15" t="s">
        <v>282</v>
      </c>
      <c r="P330" t="s">
        <v>371</v>
      </c>
      <c r="Q330" t="s">
        <v>371</v>
      </c>
      <c r="R330" s="17" t="s">
        <v>371</v>
      </c>
      <c r="S330" s="16" t="s">
        <v>340</v>
      </c>
      <c r="T330" s="16" t="s">
        <v>342</v>
      </c>
      <c r="U330" s="15" t="s">
        <v>340</v>
      </c>
      <c r="V330" s="15" t="s">
        <v>344</v>
      </c>
      <c r="W330" s="17"/>
      <c r="X330" t="s">
        <v>349</v>
      </c>
      <c r="Y330" t="s">
        <v>349</v>
      </c>
      <c r="Z330" t="s">
        <v>293</v>
      </c>
      <c r="AA330" t="s">
        <v>354</v>
      </c>
      <c r="AB330" t="s">
        <v>354</v>
      </c>
      <c r="AC330" t="s">
        <v>301</v>
      </c>
      <c r="AD330" t="s">
        <v>292</v>
      </c>
      <c r="AE330" t="s">
        <v>293</v>
      </c>
      <c r="AF330" t="s">
        <v>292</v>
      </c>
      <c r="AG330" t="s">
        <v>292</v>
      </c>
      <c r="AH330" t="s">
        <v>293</v>
      </c>
      <c r="AI330" t="s">
        <v>302</v>
      </c>
      <c r="AJ330" t="s">
        <v>359</v>
      </c>
      <c r="AK330" t="s">
        <v>359</v>
      </c>
      <c r="AL330" t="s">
        <v>293</v>
      </c>
      <c r="AM330" t="s">
        <v>293</v>
      </c>
      <c r="AN330" t="s">
        <v>297</v>
      </c>
      <c r="AO330" t="s">
        <v>298</v>
      </c>
      <c r="AP330" t="s">
        <v>293</v>
      </c>
      <c r="AQ330" t="s">
        <v>292</v>
      </c>
      <c r="AR330" t="s">
        <v>293</v>
      </c>
      <c r="AS330" t="s">
        <v>293</v>
      </c>
      <c r="AT330" t="s">
        <v>364</v>
      </c>
      <c r="AU330" t="str">
        <f t="shared" si="10"/>
        <v>break</v>
      </c>
    </row>
    <row r="331" spans="1:47" x14ac:dyDescent="0.3">
      <c r="A331" t="s">
        <v>43</v>
      </c>
      <c r="B331" t="s">
        <v>69</v>
      </c>
      <c r="C331" t="s">
        <v>32</v>
      </c>
      <c r="D331" t="s">
        <v>29</v>
      </c>
      <c r="E331" t="str">
        <f t="shared" si="11"/>
        <v>P_S3X-ZSB-S_3B9</v>
      </c>
      <c r="F331" t="b">
        <v>1</v>
      </c>
      <c r="G331">
        <v>100</v>
      </c>
      <c r="H331">
        <v>1</v>
      </c>
      <c r="I331">
        <v>18781</v>
      </c>
      <c r="J331" s="61" t="s">
        <v>18</v>
      </c>
      <c r="K331" s="16" t="s">
        <v>272</v>
      </c>
      <c r="L331" s="16">
        <v>3</v>
      </c>
      <c r="M331" s="16" t="s">
        <v>277</v>
      </c>
      <c r="N331" s="16" t="s">
        <v>335</v>
      </c>
      <c r="O331" s="15" t="s">
        <v>284</v>
      </c>
      <c r="P331" t="s">
        <v>273</v>
      </c>
      <c r="Q331" t="s">
        <v>282</v>
      </c>
      <c r="R331" s="17" t="s">
        <v>371</v>
      </c>
      <c r="S331" s="16" t="s">
        <v>341</v>
      </c>
      <c r="T331" s="16" t="s">
        <v>342</v>
      </c>
      <c r="U331" s="15" t="s">
        <v>343</v>
      </c>
      <c r="V331" s="15" t="s">
        <v>345</v>
      </c>
      <c r="W331" s="17" t="s">
        <v>344</v>
      </c>
      <c r="X331" t="s">
        <v>349</v>
      </c>
      <c r="Y331" t="s">
        <v>349</v>
      </c>
      <c r="Z331" t="s">
        <v>293</v>
      </c>
      <c r="AA331" t="s">
        <v>353</v>
      </c>
      <c r="AB331" t="s">
        <v>355</v>
      </c>
      <c r="AC331" t="s">
        <v>300</v>
      </c>
      <c r="AD331" t="s">
        <v>293</v>
      </c>
      <c r="AE331" t="s">
        <v>292</v>
      </c>
      <c r="AF331" t="s">
        <v>292</v>
      </c>
      <c r="AG331" t="s">
        <v>292</v>
      </c>
      <c r="AH331" t="s">
        <v>293</v>
      </c>
      <c r="AI331" t="s">
        <v>302</v>
      </c>
      <c r="AJ331" t="s">
        <v>302</v>
      </c>
      <c r="AK331" t="s">
        <v>302</v>
      </c>
      <c r="AL331" t="s">
        <v>293</v>
      </c>
      <c r="AM331" t="s">
        <v>293</v>
      </c>
      <c r="AN331" t="s">
        <v>297</v>
      </c>
      <c r="AO331" t="s">
        <v>356</v>
      </c>
      <c r="AP331" t="s">
        <v>293</v>
      </c>
      <c r="AQ331" t="s">
        <v>292</v>
      </c>
      <c r="AR331" t="s">
        <v>293</v>
      </c>
      <c r="AS331" t="s">
        <v>293</v>
      </c>
      <c r="AT331" t="s">
        <v>364</v>
      </c>
      <c r="AU331" t="str">
        <f t="shared" si="10"/>
        <v>break</v>
      </c>
    </row>
    <row r="332" spans="1:47" x14ac:dyDescent="0.3">
      <c r="A332" t="s">
        <v>43</v>
      </c>
      <c r="B332" t="s">
        <v>69</v>
      </c>
      <c r="C332" t="s">
        <v>30</v>
      </c>
      <c r="D332" t="s">
        <v>29</v>
      </c>
      <c r="E332" t="str">
        <f t="shared" si="11"/>
        <v>P_S3X-ZSB-S_3X7</v>
      </c>
      <c r="F332" t="b">
        <v>1</v>
      </c>
      <c r="G332">
        <v>63.4</v>
      </c>
      <c r="H332">
        <v>0</v>
      </c>
      <c r="I332">
        <v>14100</v>
      </c>
      <c r="J332" s="61" t="s">
        <v>13</v>
      </c>
      <c r="K332" s="16" t="s">
        <v>272</v>
      </c>
      <c r="L332" s="16">
        <v>3</v>
      </c>
      <c r="M332" s="16" t="s">
        <v>277</v>
      </c>
      <c r="N332" s="16" t="s">
        <v>335</v>
      </c>
      <c r="O332" s="15" t="s">
        <v>282</v>
      </c>
      <c r="P332" t="s">
        <v>339</v>
      </c>
      <c r="Q332" t="s">
        <v>371</v>
      </c>
      <c r="R332" s="17" t="s">
        <v>371</v>
      </c>
      <c r="S332" s="16" t="s">
        <v>341</v>
      </c>
      <c r="T332" s="16" t="s">
        <v>340</v>
      </c>
      <c r="U332" s="15" t="s">
        <v>343</v>
      </c>
      <c r="V332" s="15" t="s">
        <v>344</v>
      </c>
      <c r="W332" s="17"/>
      <c r="X332" t="s">
        <v>349</v>
      </c>
      <c r="Y332" t="s">
        <v>349</v>
      </c>
      <c r="Z332" t="s">
        <v>293</v>
      </c>
      <c r="AA332" t="s">
        <v>353</v>
      </c>
      <c r="AB332" t="s">
        <v>296</v>
      </c>
      <c r="AC332" t="s">
        <v>300</v>
      </c>
      <c r="AD332" t="s">
        <v>293</v>
      </c>
      <c r="AE332" t="s">
        <v>292</v>
      </c>
      <c r="AF332" t="s">
        <v>292</v>
      </c>
      <c r="AG332" t="s">
        <v>292</v>
      </c>
      <c r="AH332" t="s">
        <v>293</v>
      </c>
      <c r="AI332" t="s">
        <v>302</v>
      </c>
      <c r="AJ332" t="s">
        <v>302</v>
      </c>
      <c r="AK332" t="s">
        <v>359</v>
      </c>
      <c r="AL332" t="s">
        <v>293</v>
      </c>
      <c r="AM332" t="s">
        <v>293</v>
      </c>
      <c r="AN332" t="s">
        <v>297</v>
      </c>
      <c r="AO332" t="s">
        <v>356</v>
      </c>
      <c r="AP332" t="s">
        <v>293</v>
      </c>
      <c r="AQ332" t="s">
        <v>292</v>
      </c>
      <c r="AR332" t="s">
        <v>363</v>
      </c>
      <c r="AS332" t="s">
        <v>293</v>
      </c>
      <c r="AT332" t="s">
        <v>364</v>
      </c>
      <c r="AU332" t="str">
        <f t="shared" si="10"/>
        <v>no_fail</v>
      </c>
    </row>
    <row r="333" spans="1:47" x14ac:dyDescent="0.3">
      <c r="A333" t="s">
        <v>43</v>
      </c>
      <c r="B333" t="s">
        <v>69</v>
      </c>
      <c r="C333" t="s">
        <v>34</v>
      </c>
      <c r="D333" t="s">
        <v>29</v>
      </c>
      <c r="E333" t="str">
        <f t="shared" si="11"/>
        <v>P_S3X-ZSB-S_8A5</v>
      </c>
      <c r="F333" t="b">
        <v>1</v>
      </c>
      <c r="G333">
        <v>100</v>
      </c>
      <c r="H333">
        <v>1</v>
      </c>
      <c r="I333">
        <v>25084</v>
      </c>
      <c r="J333" s="61" t="s">
        <v>18</v>
      </c>
      <c r="K333" s="16" t="s">
        <v>272</v>
      </c>
      <c r="L333" s="16">
        <v>3</v>
      </c>
      <c r="M333" s="16" t="s">
        <v>277</v>
      </c>
      <c r="N333" s="16" t="s">
        <v>335</v>
      </c>
      <c r="O333" s="15" t="s">
        <v>339</v>
      </c>
      <c r="P333" t="s">
        <v>285</v>
      </c>
      <c r="Q333" t="s">
        <v>282</v>
      </c>
      <c r="R333" s="17" t="s">
        <v>371</v>
      </c>
      <c r="S333" s="16" t="s">
        <v>341</v>
      </c>
      <c r="T333" s="16" t="s">
        <v>342</v>
      </c>
      <c r="U333" s="15" t="s">
        <v>343</v>
      </c>
      <c r="V333" s="15" t="s">
        <v>344</v>
      </c>
      <c r="W333" s="17"/>
      <c r="X333" t="s">
        <v>349</v>
      </c>
      <c r="Y333" t="s">
        <v>349</v>
      </c>
      <c r="Z333" t="s">
        <v>293</v>
      </c>
      <c r="AA333" t="s">
        <v>353</v>
      </c>
      <c r="AB333" t="s">
        <v>355</v>
      </c>
      <c r="AC333" t="s">
        <v>301</v>
      </c>
      <c r="AD333" t="s">
        <v>293</v>
      </c>
      <c r="AE333" t="s">
        <v>292</v>
      </c>
      <c r="AF333" t="s">
        <v>292</v>
      </c>
      <c r="AG333" t="s">
        <v>292</v>
      </c>
      <c r="AH333" t="s">
        <v>293</v>
      </c>
      <c r="AI333" t="s">
        <v>302</v>
      </c>
      <c r="AJ333" t="s">
        <v>302</v>
      </c>
      <c r="AK333" t="s">
        <v>359</v>
      </c>
      <c r="AL333" t="s">
        <v>293</v>
      </c>
      <c r="AM333" t="s">
        <v>293</v>
      </c>
      <c r="AN333" t="s">
        <v>297</v>
      </c>
      <c r="AO333" t="s">
        <v>356</v>
      </c>
      <c r="AP333" t="s">
        <v>293</v>
      </c>
      <c r="AQ333" t="s">
        <v>292</v>
      </c>
      <c r="AR333" t="s">
        <v>293</v>
      </c>
      <c r="AS333" t="s">
        <v>293</v>
      </c>
      <c r="AT333" t="s">
        <v>364</v>
      </c>
      <c r="AU333" t="str">
        <f t="shared" si="10"/>
        <v>break</v>
      </c>
    </row>
    <row r="334" spans="1:47" x14ac:dyDescent="0.3">
      <c r="A334" t="s">
        <v>43</v>
      </c>
      <c r="B334" t="s">
        <v>69</v>
      </c>
      <c r="C334" t="s">
        <v>36</v>
      </c>
      <c r="D334" t="s">
        <v>29</v>
      </c>
      <c r="E334" t="str">
        <f t="shared" si="11"/>
        <v>P_S3X-ZSB-S_8D0</v>
      </c>
      <c r="F334" t="b">
        <v>1</v>
      </c>
      <c r="G334">
        <v>100</v>
      </c>
      <c r="H334">
        <v>1</v>
      </c>
      <c r="I334">
        <v>24040</v>
      </c>
      <c r="J334" s="61" t="s">
        <v>18</v>
      </c>
      <c r="K334" s="16" t="s">
        <v>272</v>
      </c>
      <c r="L334" s="16">
        <v>3</v>
      </c>
      <c r="M334" s="16" t="s">
        <v>277</v>
      </c>
      <c r="N334" s="16" t="s">
        <v>335</v>
      </c>
      <c r="O334" s="15" t="s">
        <v>283</v>
      </c>
      <c r="P334" t="s">
        <v>371</v>
      </c>
      <c r="Q334" t="s">
        <v>371</v>
      </c>
      <c r="R334" s="17" t="s">
        <v>371</v>
      </c>
      <c r="S334" s="16" t="s">
        <v>340</v>
      </c>
      <c r="T334" s="16" t="s">
        <v>342</v>
      </c>
      <c r="U334" s="15" t="s">
        <v>343</v>
      </c>
      <c r="V334" s="15" t="s">
        <v>344</v>
      </c>
      <c r="W334" s="17" t="s">
        <v>291</v>
      </c>
      <c r="X334" t="s">
        <v>349</v>
      </c>
      <c r="Y334" t="s">
        <v>349</v>
      </c>
      <c r="Z334" t="s">
        <v>293</v>
      </c>
      <c r="AA334" t="s">
        <v>353</v>
      </c>
      <c r="AB334" t="s">
        <v>296</v>
      </c>
      <c r="AC334" t="s">
        <v>300</v>
      </c>
      <c r="AD334" t="s">
        <v>293</v>
      </c>
      <c r="AE334" t="s">
        <v>292</v>
      </c>
      <c r="AF334" t="s">
        <v>292</v>
      </c>
      <c r="AG334" t="s">
        <v>292</v>
      </c>
      <c r="AH334" t="s">
        <v>293</v>
      </c>
      <c r="AI334" t="s">
        <v>302</v>
      </c>
      <c r="AJ334" t="s">
        <v>302</v>
      </c>
      <c r="AK334" t="s">
        <v>359</v>
      </c>
      <c r="AL334" t="s">
        <v>293</v>
      </c>
      <c r="AM334" t="s">
        <v>293</v>
      </c>
      <c r="AN334" t="s">
        <v>297</v>
      </c>
      <c r="AO334" t="s">
        <v>356</v>
      </c>
      <c r="AP334" t="s">
        <v>293</v>
      </c>
      <c r="AQ334" t="s">
        <v>292</v>
      </c>
      <c r="AR334" t="s">
        <v>293</v>
      </c>
      <c r="AS334" t="s">
        <v>293</v>
      </c>
      <c r="AT334" t="s">
        <v>364</v>
      </c>
      <c r="AU334" t="str">
        <f t="shared" ref="AU334:AU397" si="12">IF(J334="fail",IF(H334=1,"break","car_stuck"),"no_fail")</f>
        <v>break</v>
      </c>
    </row>
    <row r="335" spans="1:47" x14ac:dyDescent="0.3">
      <c r="A335" t="s">
        <v>43</v>
      </c>
      <c r="B335" t="s">
        <v>69</v>
      </c>
      <c r="C335" t="s">
        <v>33</v>
      </c>
      <c r="D335" t="s">
        <v>29</v>
      </c>
      <c r="E335" t="str">
        <f t="shared" si="11"/>
        <v>P_S3X-ZSB-S_8I8</v>
      </c>
      <c r="F335" t="b">
        <v>1</v>
      </c>
      <c r="G335">
        <v>99.6</v>
      </c>
      <c r="H335">
        <v>0</v>
      </c>
      <c r="I335">
        <v>18914</v>
      </c>
      <c r="J335" s="61" t="s">
        <v>13</v>
      </c>
      <c r="K335" s="16" t="s">
        <v>272</v>
      </c>
      <c r="L335" s="16">
        <v>3</v>
      </c>
      <c r="M335" s="16" t="s">
        <v>277</v>
      </c>
      <c r="N335" s="16" t="s">
        <v>335</v>
      </c>
      <c r="O335" s="15" t="s">
        <v>284</v>
      </c>
      <c r="P335" t="s">
        <v>273</v>
      </c>
      <c r="Q335" t="s">
        <v>282</v>
      </c>
      <c r="R335" s="17" t="s">
        <v>371</v>
      </c>
      <c r="S335" s="16" t="s">
        <v>341</v>
      </c>
      <c r="T335" s="16" t="s">
        <v>342</v>
      </c>
      <c r="U335" s="15" t="s">
        <v>343</v>
      </c>
      <c r="V335" s="15" t="s">
        <v>344</v>
      </c>
      <c r="W335" s="17"/>
      <c r="X335" t="s">
        <v>349</v>
      </c>
      <c r="Y335" t="s">
        <v>349</v>
      </c>
      <c r="Z335" t="s">
        <v>293</v>
      </c>
      <c r="AA335" t="s">
        <v>353</v>
      </c>
      <c r="AB335" t="s">
        <v>355</v>
      </c>
      <c r="AC335" t="s">
        <v>301</v>
      </c>
      <c r="AD335" t="s">
        <v>293</v>
      </c>
      <c r="AE335" t="s">
        <v>292</v>
      </c>
      <c r="AF335" t="s">
        <v>292</v>
      </c>
      <c r="AG335" t="s">
        <v>292</v>
      </c>
      <c r="AH335" t="s">
        <v>293</v>
      </c>
      <c r="AI335" t="s">
        <v>302</v>
      </c>
      <c r="AJ335" t="s">
        <v>302</v>
      </c>
      <c r="AK335" t="s">
        <v>359</v>
      </c>
      <c r="AL335" t="s">
        <v>293</v>
      </c>
      <c r="AM335" t="s">
        <v>293</v>
      </c>
      <c r="AN335" t="s">
        <v>297</v>
      </c>
      <c r="AO335" t="s">
        <v>356</v>
      </c>
      <c r="AP335" t="s">
        <v>293</v>
      </c>
      <c r="AQ335" t="s">
        <v>292</v>
      </c>
      <c r="AR335" t="s">
        <v>293</v>
      </c>
      <c r="AS335" t="s">
        <v>293</v>
      </c>
      <c r="AT335" t="s">
        <v>364</v>
      </c>
      <c r="AU335" t="str">
        <f t="shared" si="12"/>
        <v>no_fail</v>
      </c>
    </row>
    <row r="336" spans="1:47" x14ac:dyDescent="0.3">
      <c r="A336" t="s">
        <v>43</v>
      </c>
      <c r="B336" t="s">
        <v>69</v>
      </c>
      <c r="C336" t="s">
        <v>26</v>
      </c>
      <c r="D336" t="s">
        <v>29</v>
      </c>
      <c r="E336" t="str">
        <f t="shared" si="11"/>
        <v>P_S3X-ZSB-S_8O8</v>
      </c>
      <c r="F336" t="b">
        <v>1</v>
      </c>
      <c r="G336">
        <v>100</v>
      </c>
      <c r="H336">
        <v>1</v>
      </c>
      <c r="I336">
        <v>10804</v>
      </c>
      <c r="J336" s="61" t="s">
        <v>18</v>
      </c>
      <c r="K336" s="16" t="s">
        <v>272</v>
      </c>
      <c r="L336" s="16">
        <v>2</v>
      </c>
      <c r="M336" s="16" t="s">
        <v>333</v>
      </c>
      <c r="N336" s="16" t="s">
        <v>278</v>
      </c>
      <c r="O336" s="15" t="s">
        <v>282</v>
      </c>
      <c r="P336" t="s">
        <v>371</v>
      </c>
      <c r="Q336" t="s">
        <v>371</v>
      </c>
      <c r="R336" s="17" t="s">
        <v>371</v>
      </c>
      <c r="S336" s="16" t="s">
        <v>340</v>
      </c>
      <c r="T336" s="16" t="s">
        <v>342</v>
      </c>
      <c r="U336" s="15" t="s">
        <v>340</v>
      </c>
      <c r="V336" s="15" t="s">
        <v>344</v>
      </c>
      <c r="W336" s="17"/>
      <c r="X336" t="s">
        <v>349</v>
      </c>
      <c r="Y336" t="s">
        <v>349</v>
      </c>
      <c r="Z336" t="s">
        <v>293</v>
      </c>
      <c r="AA336" t="s">
        <v>354</v>
      </c>
      <c r="AB336" t="s">
        <v>354</v>
      </c>
      <c r="AC336" t="s">
        <v>300</v>
      </c>
      <c r="AD336" t="s">
        <v>292</v>
      </c>
      <c r="AE336" t="s">
        <v>293</v>
      </c>
      <c r="AF336" t="s">
        <v>292</v>
      </c>
      <c r="AG336" t="s">
        <v>292</v>
      </c>
      <c r="AH336" t="s">
        <v>293</v>
      </c>
      <c r="AI336" t="s">
        <v>302</v>
      </c>
      <c r="AJ336" t="s">
        <v>302</v>
      </c>
      <c r="AK336" t="s">
        <v>357</v>
      </c>
      <c r="AL336" t="s">
        <v>293</v>
      </c>
      <c r="AM336" t="s">
        <v>293</v>
      </c>
      <c r="AN336" t="s">
        <v>297</v>
      </c>
      <c r="AO336" t="s">
        <v>298</v>
      </c>
      <c r="AP336" t="s">
        <v>293</v>
      </c>
      <c r="AQ336" t="s">
        <v>292</v>
      </c>
      <c r="AR336" t="s">
        <v>293</v>
      </c>
      <c r="AS336" t="s">
        <v>293</v>
      </c>
      <c r="AT336" t="s">
        <v>364</v>
      </c>
      <c r="AU336" t="str">
        <f t="shared" si="12"/>
        <v>break</v>
      </c>
    </row>
    <row r="337" spans="1:47" x14ac:dyDescent="0.3">
      <c r="A337" t="s">
        <v>43</v>
      </c>
      <c r="B337" t="s">
        <v>69</v>
      </c>
      <c r="C337" t="s">
        <v>31</v>
      </c>
      <c r="D337" t="s">
        <v>29</v>
      </c>
      <c r="E337" t="str">
        <f t="shared" si="11"/>
        <v>P_S3X-ZSB-S_9E0</v>
      </c>
      <c r="F337" t="b">
        <v>1</v>
      </c>
      <c r="G337">
        <v>100</v>
      </c>
      <c r="H337">
        <v>1</v>
      </c>
      <c r="I337">
        <v>12895</v>
      </c>
      <c r="J337" s="61" t="s">
        <v>18</v>
      </c>
      <c r="K337" s="16" t="s">
        <v>272</v>
      </c>
      <c r="L337" s="16">
        <v>3</v>
      </c>
      <c r="M337" s="16" t="s">
        <v>277</v>
      </c>
      <c r="N337" s="16" t="s">
        <v>335</v>
      </c>
      <c r="O337" s="15" t="s">
        <v>282</v>
      </c>
      <c r="P337" t="s">
        <v>339</v>
      </c>
      <c r="Q337" t="s">
        <v>371</v>
      </c>
      <c r="R337" s="17" t="s">
        <v>371</v>
      </c>
      <c r="S337" s="16" t="s">
        <v>341</v>
      </c>
      <c r="T337" s="16" t="s">
        <v>340</v>
      </c>
      <c r="U337" s="15" t="s">
        <v>343</v>
      </c>
      <c r="V337" s="15" t="s">
        <v>344</v>
      </c>
      <c r="W337" s="17"/>
      <c r="X337" t="s">
        <v>349</v>
      </c>
      <c r="Y337" t="s">
        <v>349</v>
      </c>
      <c r="Z337" t="s">
        <v>293</v>
      </c>
      <c r="AA337" t="s">
        <v>353</v>
      </c>
      <c r="AB337" t="s">
        <v>297</v>
      </c>
      <c r="AC337" t="s">
        <v>300</v>
      </c>
      <c r="AD337" t="s">
        <v>293</v>
      </c>
      <c r="AE337" t="s">
        <v>292</v>
      </c>
      <c r="AF337" t="s">
        <v>292</v>
      </c>
      <c r="AG337" t="s">
        <v>293</v>
      </c>
      <c r="AH337" t="s">
        <v>293</v>
      </c>
      <c r="AI337" t="s">
        <v>302</v>
      </c>
      <c r="AJ337" t="s">
        <v>302</v>
      </c>
      <c r="AK337" t="s">
        <v>359</v>
      </c>
      <c r="AL337" t="s">
        <v>293</v>
      </c>
      <c r="AM337" t="s">
        <v>293</v>
      </c>
      <c r="AN337" t="s">
        <v>297</v>
      </c>
      <c r="AO337" t="s">
        <v>356</v>
      </c>
      <c r="AP337" t="s">
        <v>293</v>
      </c>
      <c r="AQ337" t="s">
        <v>292</v>
      </c>
      <c r="AR337" t="s">
        <v>363</v>
      </c>
      <c r="AS337" t="s">
        <v>293</v>
      </c>
      <c r="AT337" t="s">
        <v>364</v>
      </c>
      <c r="AU337" t="str">
        <f t="shared" si="12"/>
        <v>break</v>
      </c>
    </row>
    <row r="338" spans="1:47" x14ac:dyDescent="0.3">
      <c r="A338" t="s">
        <v>43</v>
      </c>
      <c r="B338" t="s">
        <v>69</v>
      </c>
      <c r="C338" t="s">
        <v>27</v>
      </c>
      <c r="D338" t="s">
        <v>29</v>
      </c>
      <c r="E338" t="str">
        <f t="shared" si="11"/>
        <v>P_S3X-ZSB-S_9F6</v>
      </c>
      <c r="F338" t="b">
        <v>1</v>
      </c>
      <c r="G338">
        <v>88.2</v>
      </c>
      <c r="H338">
        <v>0</v>
      </c>
      <c r="I338">
        <v>13713</v>
      </c>
      <c r="J338" s="61" t="s">
        <v>13</v>
      </c>
      <c r="K338" s="16" t="s">
        <v>272</v>
      </c>
      <c r="L338" s="16">
        <v>2</v>
      </c>
      <c r="M338" s="16" t="s">
        <v>333</v>
      </c>
      <c r="N338" s="16" t="s">
        <v>278</v>
      </c>
      <c r="O338" s="15" t="s">
        <v>282</v>
      </c>
      <c r="P338" t="s">
        <v>371</v>
      </c>
      <c r="Q338" t="s">
        <v>371</v>
      </c>
      <c r="R338" s="17" t="s">
        <v>371</v>
      </c>
      <c r="S338" s="16" t="s">
        <v>340</v>
      </c>
      <c r="T338" s="16" t="s">
        <v>342</v>
      </c>
      <c r="U338" s="15" t="s">
        <v>343</v>
      </c>
      <c r="V338" s="15" t="s">
        <v>344</v>
      </c>
      <c r="W338" s="17"/>
      <c r="X338" t="s">
        <v>349</v>
      </c>
      <c r="Y338" t="s">
        <v>349</v>
      </c>
      <c r="Z338" t="s">
        <v>293</v>
      </c>
      <c r="AA338" t="s">
        <v>354</v>
      </c>
      <c r="AB338" t="s">
        <v>354</v>
      </c>
      <c r="AC338" t="s">
        <v>300</v>
      </c>
      <c r="AD338" t="s">
        <v>293</v>
      </c>
      <c r="AE338" t="s">
        <v>292</v>
      </c>
      <c r="AF338" t="s">
        <v>292</v>
      </c>
      <c r="AG338" t="s">
        <v>292</v>
      </c>
      <c r="AH338" t="s">
        <v>293</v>
      </c>
      <c r="AI338" t="s">
        <v>302</v>
      </c>
      <c r="AJ338" t="s">
        <v>359</v>
      </c>
      <c r="AK338" t="s">
        <v>357</v>
      </c>
      <c r="AL338" t="s">
        <v>293</v>
      </c>
      <c r="AM338" t="s">
        <v>293</v>
      </c>
      <c r="AN338" t="s">
        <v>297</v>
      </c>
      <c r="AO338" t="s">
        <v>356</v>
      </c>
      <c r="AP338" t="s">
        <v>293</v>
      </c>
      <c r="AQ338" t="s">
        <v>292</v>
      </c>
      <c r="AR338" t="s">
        <v>293</v>
      </c>
      <c r="AS338" t="s">
        <v>293</v>
      </c>
      <c r="AT338" t="s">
        <v>364</v>
      </c>
      <c r="AU338" t="str">
        <f t="shared" si="12"/>
        <v>no_fail</v>
      </c>
    </row>
    <row r="339" spans="1:47" x14ac:dyDescent="0.3">
      <c r="A339" t="s">
        <v>43</v>
      </c>
      <c r="B339" t="s">
        <v>69</v>
      </c>
      <c r="C339" t="s">
        <v>28</v>
      </c>
      <c r="D339" t="s">
        <v>29</v>
      </c>
      <c r="E339" t="str">
        <f t="shared" si="11"/>
        <v>P_S3X-ZSB-S_9T2</v>
      </c>
      <c r="F339" t="b">
        <v>1</v>
      </c>
      <c r="G339">
        <v>100</v>
      </c>
      <c r="H339">
        <v>1</v>
      </c>
      <c r="I339">
        <v>12617</v>
      </c>
      <c r="J339" s="61" t="s">
        <v>18</v>
      </c>
      <c r="K339" s="16" t="s">
        <v>272</v>
      </c>
      <c r="L339" s="16">
        <v>3</v>
      </c>
      <c r="M339" s="16" t="s">
        <v>277</v>
      </c>
      <c r="N339" s="16" t="s">
        <v>335</v>
      </c>
      <c r="O339" s="15" t="s">
        <v>282</v>
      </c>
      <c r="P339" t="s">
        <v>371</v>
      </c>
      <c r="Q339" t="s">
        <v>371</v>
      </c>
      <c r="R339" s="17" t="s">
        <v>371</v>
      </c>
      <c r="S339" s="16" t="s">
        <v>341</v>
      </c>
      <c r="T339" s="16" t="s">
        <v>340</v>
      </c>
      <c r="U339" s="15" t="s">
        <v>343</v>
      </c>
      <c r="V339" s="15" t="s">
        <v>344</v>
      </c>
      <c r="W339" s="17"/>
      <c r="X339" t="s">
        <v>349</v>
      </c>
      <c r="Y339" t="s">
        <v>349</v>
      </c>
      <c r="Z339" t="s">
        <v>293</v>
      </c>
      <c r="AA339" t="s">
        <v>352</v>
      </c>
      <c r="AB339" t="s">
        <v>297</v>
      </c>
      <c r="AC339" t="s">
        <v>300</v>
      </c>
      <c r="AD339" t="s">
        <v>293</v>
      </c>
      <c r="AE339" t="s">
        <v>292</v>
      </c>
      <c r="AF339" t="s">
        <v>292</v>
      </c>
      <c r="AG339" t="s">
        <v>293</v>
      </c>
      <c r="AH339" t="s">
        <v>293</v>
      </c>
      <c r="AI339" t="s">
        <v>302</v>
      </c>
      <c r="AJ339" t="s">
        <v>302</v>
      </c>
      <c r="AK339" t="s">
        <v>302</v>
      </c>
      <c r="AL339" t="s">
        <v>293</v>
      </c>
      <c r="AM339" t="s">
        <v>293</v>
      </c>
      <c r="AN339" t="s">
        <v>297</v>
      </c>
      <c r="AO339" t="s">
        <v>356</v>
      </c>
      <c r="AP339" t="s">
        <v>293</v>
      </c>
      <c r="AQ339" t="s">
        <v>292</v>
      </c>
      <c r="AR339" t="s">
        <v>363</v>
      </c>
      <c r="AS339" t="s">
        <v>293</v>
      </c>
      <c r="AT339" t="s">
        <v>364</v>
      </c>
      <c r="AU339" t="str">
        <f t="shared" si="12"/>
        <v>break</v>
      </c>
    </row>
    <row r="340" spans="1:47" x14ac:dyDescent="0.3">
      <c r="A340" t="s">
        <v>43</v>
      </c>
      <c r="B340" t="s">
        <v>69</v>
      </c>
      <c r="C340" t="s">
        <v>35</v>
      </c>
      <c r="D340" t="s">
        <v>29</v>
      </c>
      <c r="E340" t="str">
        <f t="shared" si="11"/>
        <v>P_S3X-ZSB-S_9X8</v>
      </c>
      <c r="F340" t="b">
        <v>1</v>
      </c>
      <c r="G340">
        <v>91.1</v>
      </c>
      <c r="H340">
        <v>0</v>
      </c>
      <c r="I340">
        <v>25115</v>
      </c>
      <c r="J340" s="61" t="s">
        <v>13</v>
      </c>
      <c r="K340" s="16" t="s">
        <v>272</v>
      </c>
      <c r="L340" s="16">
        <v>3</v>
      </c>
      <c r="M340" s="16" t="s">
        <v>277</v>
      </c>
      <c r="N340" s="16" t="s">
        <v>335</v>
      </c>
      <c r="O340" s="15" t="s">
        <v>339</v>
      </c>
      <c r="P340" t="s">
        <v>283</v>
      </c>
      <c r="Q340" t="s">
        <v>282</v>
      </c>
      <c r="R340" s="17" t="s">
        <v>371</v>
      </c>
      <c r="S340" s="16" t="s">
        <v>341</v>
      </c>
      <c r="T340" s="16" t="s">
        <v>342</v>
      </c>
      <c r="U340" s="15" t="s">
        <v>343</v>
      </c>
      <c r="V340" s="15" t="s">
        <v>344</v>
      </c>
      <c r="W340" s="17"/>
      <c r="X340" t="s">
        <v>349</v>
      </c>
      <c r="Y340" t="s">
        <v>349</v>
      </c>
      <c r="Z340" t="s">
        <v>293</v>
      </c>
      <c r="AA340" t="s">
        <v>353</v>
      </c>
      <c r="AB340" t="s">
        <v>355</v>
      </c>
      <c r="AC340" t="s">
        <v>301</v>
      </c>
      <c r="AD340" t="s">
        <v>293</v>
      </c>
      <c r="AE340" t="s">
        <v>292</v>
      </c>
      <c r="AF340" t="s">
        <v>292</v>
      </c>
      <c r="AG340" t="s">
        <v>292</v>
      </c>
      <c r="AH340" t="s">
        <v>293</v>
      </c>
      <c r="AI340" t="s">
        <v>302</v>
      </c>
      <c r="AJ340" t="s">
        <v>302</v>
      </c>
      <c r="AK340" t="s">
        <v>302</v>
      </c>
      <c r="AL340" t="s">
        <v>293</v>
      </c>
      <c r="AM340" t="s">
        <v>293</v>
      </c>
      <c r="AN340" t="s">
        <v>297</v>
      </c>
      <c r="AO340" t="s">
        <v>356</v>
      </c>
      <c r="AP340" t="s">
        <v>293</v>
      </c>
      <c r="AQ340" t="s">
        <v>292</v>
      </c>
      <c r="AR340" t="s">
        <v>293</v>
      </c>
      <c r="AS340" t="s">
        <v>293</v>
      </c>
      <c r="AT340" t="s">
        <v>364</v>
      </c>
      <c r="AU340" t="str">
        <f t="shared" si="12"/>
        <v>no_fail</v>
      </c>
    </row>
    <row r="341" spans="1:47" x14ac:dyDescent="0.3">
      <c r="A341" t="s">
        <v>45</v>
      </c>
      <c r="B341" t="s">
        <v>48</v>
      </c>
      <c r="C341" t="s">
        <v>15</v>
      </c>
      <c r="D341" t="s">
        <v>12</v>
      </c>
      <c r="E341" t="str">
        <f t="shared" si="11"/>
        <v>P_T4B-KYY-S_0M4</v>
      </c>
      <c r="F341" t="b">
        <v>1</v>
      </c>
      <c r="G341">
        <v>100</v>
      </c>
      <c r="H341">
        <v>1</v>
      </c>
      <c r="I341">
        <v>9607</v>
      </c>
      <c r="J341" s="61" t="s">
        <v>18</v>
      </c>
      <c r="K341" s="16" t="s">
        <v>272</v>
      </c>
      <c r="L341" s="16">
        <v>2</v>
      </c>
      <c r="M341" s="16" t="s">
        <v>277</v>
      </c>
      <c r="N341" s="16" t="s">
        <v>335</v>
      </c>
      <c r="O341" s="15" t="s">
        <v>282</v>
      </c>
      <c r="P341" t="s">
        <v>371</v>
      </c>
      <c r="Q341" t="s">
        <v>371</v>
      </c>
      <c r="R341" s="17" t="s">
        <v>371</v>
      </c>
      <c r="S341" s="16" t="s">
        <v>341</v>
      </c>
      <c r="T341" s="16" t="s">
        <v>340</v>
      </c>
      <c r="U341" s="15" t="s">
        <v>340</v>
      </c>
      <c r="V341" s="15" t="s">
        <v>344</v>
      </c>
      <c r="W341" s="17"/>
      <c r="X341" t="s">
        <v>349</v>
      </c>
      <c r="Y341" t="s">
        <v>349</v>
      </c>
      <c r="Z341" t="s">
        <v>293</v>
      </c>
      <c r="AA341" t="s">
        <v>354</v>
      </c>
      <c r="AB341" t="s">
        <v>354</v>
      </c>
      <c r="AC341" t="s">
        <v>300</v>
      </c>
      <c r="AD341" t="s">
        <v>292</v>
      </c>
      <c r="AE341" t="s">
        <v>293</v>
      </c>
      <c r="AF341" t="s">
        <v>292</v>
      </c>
      <c r="AG341" t="s">
        <v>293</v>
      </c>
      <c r="AH341" t="s">
        <v>293</v>
      </c>
      <c r="AI341" t="s">
        <v>302</v>
      </c>
      <c r="AJ341" t="s">
        <v>302</v>
      </c>
      <c r="AK341" t="s">
        <v>357</v>
      </c>
      <c r="AL341" t="s">
        <v>293</v>
      </c>
      <c r="AM341" t="s">
        <v>293</v>
      </c>
      <c r="AN341" t="s">
        <v>297</v>
      </c>
      <c r="AO341" t="s">
        <v>298</v>
      </c>
      <c r="AP341" t="s">
        <v>293</v>
      </c>
      <c r="AQ341" t="s">
        <v>292</v>
      </c>
      <c r="AR341" t="s">
        <v>293</v>
      </c>
      <c r="AS341" t="s">
        <v>293</v>
      </c>
      <c r="AT341" t="s">
        <v>364</v>
      </c>
      <c r="AU341" t="str">
        <f t="shared" si="12"/>
        <v>break</v>
      </c>
    </row>
    <row r="342" spans="1:47" x14ac:dyDescent="0.3">
      <c r="A342" t="s">
        <v>45</v>
      </c>
      <c r="B342" t="s">
        <v>48</v>
      </c>
      <c r="C342" t="s">
        <v>14</v>
      </c>
      <c r="D342" t="s">
        <v>12</v>
      </c>
      <c r="E342" t="str">
        <f t="shared" si="11"/>
        <v>P_T4B-KYY-S_1B0</v>
      </c>
      <c r="F342" t="b">
        <v>1</v>
      </c>
      <c r="G342">
        <v>100</v>
      </c>
      <c r="H342">
        <v>1</v>
      </c>
      <c r="I342">
        <v>11173</v>
      </c>
      <c r="J342" s="61" t="s">
        <v>18</v>
      </c>
      <c r="K342" s="16" t="s">
        <v>272</v>
      </c>
      <c r="L342" s="16">
        <v>3</v>
      </c>
      <c r="M342" s="16" t="s">
        <v>277</v>
      </c>
      <c r="N342" s="16" t="s">
        <v>335</v>
      </c>
      <c r="O342" s="15" t="s">
        <v>284</v>
      </c>
      <c r="P342" t="s">
        <v>282</v>
      </c>
      <c r="Q342" t="s">
        <v>371</v>
      </c>
      <c r="R342" s="17" t="s">
        <v>371</v>
      </c>
      <c r="S342" s="16" t="s">
        <v>341</v>
      </c>
      <c r="T342" s="16" t="s">
        <v>340</v>
      </c>
      <c r="U342" s="15" t="s">
        <v>343</v>
      </c>
      <c r="V342" s="15" t="s">
        <v>344</v>
      </c>
      <c r="W342" s="17"/>
      <c r="X342" t="s">
        <v>349</v>
      </c>
      <c r="Y342" t="s">
        <v>349</v>
      </c>
      <c r="Z342" t="s">
        <v>293</v>
      </c>
      <c r="AA342" t="s">
        <v>352</v>
      </c>
      <c r="AB342" t="s">
        <v>297</v>
      </c>
      <c r="AC342" t="s">
        <v>300</v>
      </c>
      <c r="AD342" t="s">
        <v>292</v>
      </c>
      <c r="AE342" t="s">
        <v>293</v>
      </c>
      <c r="AF342" t="s">
        <v>292</v>
      </c>
      <c r="AG342" t="s">
        <v>292</v>
      </c>
      <c r="AH342" t="s">
        <v>293</v>
      </c>
      <c r="AI342" t="s">
        <v>302</v>
      </c>
      <c r="AJ342" t="s">
        <v>302</v>
      </c>
      <c r="AK342" t="s">
        <v>302</v>
      </c>
      <c r="AL342" t="s">
        <v>293</v>
      </c>
      <c r="AM342" t="s">
        <v>293</v>
      </c>
      <c r="AN342" t="s">
        <v>297</v>
      </c>
      <c r="AO342" t="s">
        <v>298</v>
      </c>
      <c r="AP342" t="s">
        <v>293</v>
      </c>
      <c r="AQ342" t="s">
        <v>292</v>
      </c>
      <c r="AR342" t="s">
        <v>293</v>
      </c>
      <c r="AS342" t="s">
        <v>293</v>
      </c>
      <c r="AT342" t="s">
        <v>364</v>
      </c>
      <c r="AU342" t="str">
        <f t="shared" si="12"/>
        <v>break</v>
      </c>
    </row>
    <row r="343" spans="1:47" x14ac:dyDescent="0.3">
      <c r="A343" t="s">
        <v>45</v>
      </c>
      <c r="B343" t="s">
        <v>48</v>
      </c>
      <c r="C343" t="s">
        <v>11</v>
      </c>
      <c r="D343" t="s">
        <v>12</v>
      </c>
      <c r="E343" t="str">
        <f t="shared" si="11"/>
        <v>P_T4B-KYY-S_1Q4</v>
      </c>
      <c r="F343" t="b">
        <v>1</v>
      </c>
      <c r="G343">
        <v>100</v>
      </c>
      <c r="H343">
        <v>1</v>
      </c>
      <c r="I343">
        <v>9851</v>
      </c>
      <c r="J343" s="61" t="s">
        <v>18</v>
      </c>
      <c r="K343" s="16" t="s">
        <v>272</v>
      </c>
      <c r="L343" s="16">
        <v>3</v>
      </c>
      <c r="M343" s="16" t="s">
        <v>277</v>
      </c>
      <c r="N343" s="16" t="s">
        <v>335</v>
      </c>
      <c r="O343" s="15" t="s">
        <v>284</v>
      </c>
      <c r="P343" t="s">
        <v>282</v>
      </c>
      <c r="Q343" t="s">
        <v>371</v>
      </c>
      <c r="R343" s="17" t="s">
        <v>371</v>
      </c>
      <c r="S343" s="16" t="s">
        <v>341</v>
      </c>
      <c r="T343" s="16" t="s">
        <v>340</v>
      </c>
      <c r="U343" s="15" t="s">
        <v>343</v>
      </c>
      <c r="V343" s="15" t="s">
        <v>344</v>
      </c>
      <c r="W343" s="17"/>
      <c r="X343" t="s">
        <v>349</v>
      </c>
      <c r="Y343" t="s">
        <v>349</v>
      </c>
      <c r="Z343" t="s">
        <v>293</v>
      </c>
      <c r="AA343" t="s">
        <v>352</v>
      </c>
      <c r="AB343" t="s">
        <v>297</v>
      </c>
      <c r="AC343" t="s">
        <v>300</v>
      </c>
      <c r="AD343" t="s">
        <v>292</v>
      </c>
      <c r="AE343" t="s">
        <v>293</v>
      </c>
      <c r="AF343" t="s">
        <v>292</v>
      </c>
      <c r="AG343" t="s">
        <v>293</v>
      </c>
      <c r="AH343" t="s">
        <v>293</v>
      </c>
      <c r="AI343" t="s">
        <v>302</v>
      </c>
      <c r="AJ343" t="s">
        <v>302</v>
      </c>
      <c r="AK343" t="s">
        <v>302</v>
      </c>
      <c r="AL343" t="s">
        <v>293</v>
      </c>
      <c r="AM343" t="s">
        <v>293</v>
      </c>
      <c r="AN343" t="s">
        <v>297</v>
      </c>
      <c r="AO343" t="s">
        <v>298</v>
      </c>
      <c r="AP343" t="s">
        <v>293</v>
      </c>
      <c r="AQ343" t="s">
        <v>292</v>
      </c>
      <c r="AR343" t="s">
        <v>293</v>
      </c>
      <c r="AS343" t="s">
        <v>293</v>
      </c>
      <c r="AT343" t="s">
        <v>364</v>
      </c>
      <c r="AU343" t="str">
        <f t="shared" si="12"/>
        <v>break</v>
      </c>
    </row>
    <row r="344" spans="1:47" x14ac:dyDescent="0.3">
      <c r="A344" t="s">
        <v>45</v>
      </c>
      <c r="B344" t="s">
        <v>48</v>
      </c>
      <c r="C344" t="s">
        <v>19</v>
      </c>
      <c r="D344" t="s">
        <v>12</v>
      </c>
      <c r="E344" t="str">
        <f t="shared" si="11"/>
        <v>P_T4B-KYY-S_4U3</v>
      </c>
      <c r="F344" t="b">
        <v>1</v>
      </c>
      <c r="G344">
        <v>100</v>
      </c>
      <c r="H344">
        <v>1</v>
      </c>
      <c r="I344">
        <v>19958</v>
      </c>
      <c r="J344" s="61" t="s">
        <v>18</v>
      </c>
      <c r="K344" s="16" t="s">
        <v>272</v>
      </c>
      <c r="L344" s="16">
        <v>2</v>
      </c>
      <c r="M344" s="16" t="s">
        <v>277</v>
      </c>
      <c r="N344" s="16" t="s">
        <v>335</v>
      </c>
      <c r="O344" s="15" t="s">
        <v>282</v>
      </c>
      <c r="P344" t="s">
        <v>371</v>
      </c>
      <c r="Q344" t="s">
        <v>371</v>
      </c>
      <c r="R344" s="17" t="s">
        <v>371</v>
      </c>
      <c r="S344" s="16" t="s">
        <v>341</v>
      </c>
      <c r="T344" s="16" t="s">
        <v>340</v>
      </c>
      <c r="U344" s="15" t="s">
        <v>340</v>
      </c>
      <c r="V344" s="15" t="s">
        <v>344</v>
      </c>
      <c r="W344" s="17"/>
      <c r="X344" t="s">
        <v>349</v>
      </c>
      <c r="Y344" t="s">
        <v>349</v>
      </c>
      <c r="Z344" t="s">
        <v>293</v>
      </c>
      <c r="AA344" t="s">
        <v>354</v>
      </c>
      <c r="AB344" t="s">
        <v>354</v>
      </c>
      <c r="AC344" t="s">
        <v>301</v>
      </c>
      <c r="AD344" t="s">
        <v>292</v>
      </c>
      <c r="AE344" t="s">
        <v>293</v>
      </c>
      <c r="AF344" t="s">
        <v>293</v>
      </c>
      <c r="AG344" t="s">
        <v>292</v>
      </c>
      <c r="AH344" t="s">
        <v>293</v>
      </c>
      <c r="AI344" t="s">
        <v>302</v>
      </c>
      <c r="AJ344" t="s">
        <v>302</v>
      </c>
      <c r="AK344" t="s">
        <v>357</v>
      </c>
      <c r="AL344" t="s">
        <v>293</v>
      </c>
      <c r="AM344" t="s">
        <v>293</v>
      </c>
      <c r="AN344" t="s">
        <v>296</v>
      </c>
      <c r="AO344" t="s">
        <v>298</v>
      </c>
      <c r="AP344" t="s">
        <v>293</v>
      </c>
      <c r="AQ344" t="s">
        <v>292</v>
      </c>
      <c r="AR344" t="s">
        <v>293</v>
      </c>
      <c r="AS344" t="s">
        <v>293</v>
      </c>
      <c r="AT344" t="s">
        <v>364</v>
      </c>
      <c r="AU344" t="str">
        <f t="shared" si="12"/>
        <v>break</v>
      </c>
    </row>
    <row r="345" spans="1:47" x14ac:dyDescent="0.3">
      <c r="A345" t="s">
        <v>45</v>
      </c>
      <c r="B345" t="s">
        <v>48</v>
      </c>
      <c r="C345" t="s">
        <v>17</v>
      </c>
      <c r="D345" t="s">
        <v>12</v>
      </c>
      <c r="E345" t="str">
        <f t="shared" si="11"/>
        <v>P_T4B-KYY-S_6B5</v>
      </c>
      <c r="F345" t="b">
        <v>1</v>
      </c>
      <c r="G345">
        <v>86.1</v>
      </c>
      <c r="H345">
        <v>0</v>
      </c>
      <c r="I345">
        <v>22810</v>
      </c>
      <c r="J345" s="61" t="s">
        <v>13</v>
      </c>
      <c r="K345" s="16" t="s">
        <v>272</v>
      </c>
      <c r="L345" s="16">
        <v>2</v>
      </c>
      <c r="M345" s="16" t="s">
        <v>277</v>
      </c>
      <c r="N345" s="16" t="s">
        <v>335</v>
      </c>
      <c r="O345" s="15" t="s">
        <v>282</v>
      </c>
      <c r="P345" t="s">
        <v>371</v>
      </c>
      <c r="Q345" t="s">
        <v>371</v>
      </c>
      <c r="R345" s="17" t="s">
        <v>371</v>
      </c>
      <c r="S345" s="16" t="s">
        <v>341</v>
      </c>
      <c r="T345" s="16" t="s">
        <v>340</v>
      </c>
      <c r="U345" s="15" t="s">
        <v>340</v>
      </c>
      <c r="V345" s="15" t="s">
        <v>344</v>
      </c>
      <c r="W345" s="17"/>
      <c r="X345" t="s">
        <v>349</v>
      </c>
      <c r="Y345" t="s">
        <v>349</v>
      </c>
      <c r="Z345" t="s">
        <v>293</v>
      </c>
      <c r="AA345" t="s">
        <v>354</v>
      </c>
      <c r="AB345" t="s">
        <v>354</v>
      </c>
      <c r="AC345" t="s">
        <v>301</v>
      </c>
      <c r="AD345" t="s">
        <v>293</v>
      </c>
      <c r="AE345" t="s">
        <v>292</v>
      </c>
      <c r="AF345" t="s">
        <v>293</v>
      </c>
      <c r="AG345" t="s">
        <v>292</v>
      </c>
      <c r="AH345" t="s">
        <v>293</v>
      </c>
      <c r="AI345" t="s">
        <v>302</v>
      </c>
      <c r="AJ345" t="s">
        <v>302</v>
      </c>
      <c r="AK345" t="s">
        <v>357</v>
      </c>
      <c r="AL345" t="s">
        <v>293</v>
      </c>
      <c r="AM345" t="s">
        <v>293</v>
      </c>
      <c r="AN345" t="s">
        <v>296</v>
      </c>
      <c r="AO345" t="s">
        <v>356</v>
      </c>
      <c r="AP345" t="s">
        <v>293</v>
      </c>
      <c r="AQ345" t="s">
        <v>292</v>
      </c>
      <c r="AR345" t="s">
        <v>293</v>
      </c>
      <c r="AS345" t="s">
        <v>293</v>
      </c>
      <c r="AT345" t="s">
        <v>364</v>
      </c>
      <c r="AU345" t="str">
        <f t="shared" si="12"/>
        <v>no_fail</v>
      </c>
    </row>
    <row r="346" spans="1:47" x14ac:dyDescent="0.3">
      <c r="A346" t="s">
        <v>45</v>
      </c>
      <c r="B346" t="s">
        <v>48</v>
      </c>
      <c r="C346" t="s">
        <v>16</v>
      </c>
      <c r="D346" t="s">
        <v>12</v>
      </c>
      <c r="E346" t="str">
        <f t="shared" si="11"/>
        <v>P_T4B-KYY-S_6U7</v>
      </c>
      <c r="F346" t="b">
        <v>1</v>
      </c>
      <c r="G346">
        <v>86.1</v>
      </c>
      <c r="H346">
        <v>0</v>
      </c>
      <c r="I346">
        <v>12546</v>
      </c>
      <c r="J346" s="61" t="s">
        <v>13</v>
      </c>
      <c r="K346" s="16" t="s">
        <v>272</v>
      </c>
      <c r="L346" s="16">
        <v>2</v>
      </c>
      <c r="M346" s="16" t="s">
        <v>277</v>
      </c>
      <c r="N346" s="16" t="s">
        <v>335</v>
      </c>
      <c r="O346" s="15" t="s">
        <v>282</v>
      </c>
      <c r="P346" t="s">
        <v>371</v>
      </c>
      <c r="Q346" t="s">
        <v>371</v>
      </c>
      <c r="R346" s="17" t="s">
        <v>371</v>
      </c>
      <c r="S346" s="16" t="s">
        <v>341</v>
      </c>
      <c r="T346" s="16" t="s">
        <v>340</v>
      </c>
      <c r="U346" s="15" t="s">
        <v>340</v>
      </c>
      <c r="V346" s="15" t="s">
        <v>344</v>
      </c>
      <c r="W346" s="17"/>
      <c r="X346" t="s">
        <v>349</v>
      </c>
      <c r="Y346" t="s">
        <v>349</v>
      </c>
      <c r="Z346" t="s">
        <v>293</v>
      </c>
      <c r="AA346" t="s">
        <v>354</v>
      </c>
      <c r="AB346" t="s">
        <v>354</v>
      </c>
      <c r="AC346" t="s">
        <v>301</v>
      </c>
      <c r="AD346" t="s">
        <v>293</v>
      </c>
      <c r="AE346" t="s">
        <v>292</v>
      </c>
      <c r="AF346" t="s">
        <v>292</v>
      </c>
      <c r="AG346" t="s">
        <v>293</v>
      </c>
      <c r="AH346" t="s">
        <v>293</v>
      </c>
      <c r="AI346" t="s">
        <v>302</v>
      </c>
      <c r="AJ346" t="s">
        <v>302</v>
      </c>
      <c r="AK346" t="s">
        <v>357</v>
      </c>
      <c r="AL346" t="s">
        <v>293</v>
      </c>
      <c r="AM346" t="s">
        <v>293</v>
      </c>
      <c r="AN346" t="s">
        <v>297</v>
      </c>
      <c r="AO346" t="s">
        <v>356</v>
      </c>
      <c r="AP346" t="s">
        <v>293</v>
      </c>
      <c r="AQ346" t="s">
        <v>292</v>
      </c>
      <c r="AR346" t="s">
        <v>293</v>
      </c>
      <c r="AS346" t="s">
        <v>293</v>
      </c>
      <c r="AT346" t="s">
        <v>364</v>
      </c>
      <c r="AU346" t="str">
        <f t="shared" si="12"/>
        <v>no_fail</v>
      </c>
    </row>
    <row r="347" spans="1:47" x14ac:dyDescent="0.3">
      <c r="A347" t="s">
        <v>45</v>
      </c>
      <c r="B347" t="s">
        <v>48</v>
      </c>
      <c r="C347" t="s">
        <v>20</v>
      </c>
      <c r="D347" t="s">
        <v>12</v>
      </c>
      <c r="E347" t="str">
        <f t="shared" si="11"/>
        <v>P_T4B-KYY-S_7W0</v>
      </c>
      <c r="F347" t="b">
        <v>1</v>
      </c>
      <c r="G347">
        <v>100</v>
      </c>
      <c r="H347">
        <v>1</v>
      </c>
      <c r="I347">
        <v>9111</v>
      </c>
      <c r="J347" s="61" t="s">
        <v>18</v>
      </c>
      <c r="K347" s="16" t="s">
        <v>272</v>
      </c>
      <c r="L347" s="16">
        <v>3</v>
      </c>
      <c r="M347" s="16" t="s">
        <v>277</v>
      </c>
      <c r="N347" s="16" t="s">
        <v>335</v>
      </c>
      <c r="O347" s="15" t="s">
        <v>339</v>
      </c>
      <c r="P347" t="s">
        <v>371</v>
      </c>
      <c r="Q347" t="s">
        <v>371</v>
      </c>
      <c r="R347" s="17" t="s">
        <v>371</v>
      </c>
      <c r="S347" s="16" t="s">
        <v>341</v>
      </c>
      <c r="T347" s="16" t="s">
        <v>340</v>
      </c>
      <c r="U347" s="15" t="s">
        <v>343</v>
      </c>
      <c r="V347" s="15" t="s">
        <v>344</v>
      </c>
      <c r="W347" s="17"/>
      <c r="X347" t="s">
        <v>349</v>
      </c>
      <c r="Y347" t="s">
        <v>349</v>
      </c>
      <c r="Z347" t="s">
        <v>293</v>
      </c>
      <c r="AA347" t="s">
        <v>353</v>
      </c>
      <c r="AB347" t="s">
        <v>297</v>
      </c>
      <c r="AC347" t="s">
        <v>301</v>
      </c>
      <c r="AD347" t="s">
        <v>292</v>
      </c>
      <c r="AE347" t="s">
        <v>293</v>
      </c>
      <c r="AF347" t="s">
        <v>292</v>
      </c>
      <c r="AG347" t="s">
        <v>293</v>
      </c>
      <c r="AH347" t="s">
        <v>293</v>
      </c>
      <c r="AI347" t="s">
        <v>302</v>
      </c>
      <c r="AJ347" t="s">
        <v>302</v>
      </c>
      <c r="AK347" t="s">
        <v>302</v>
      </c>
      <c r="AL347" t="s">
        <v>293</v>
      </c>
      <c r="AM347" t="s">
        <v>293</v>
      </c>
      <c r="AN347" t="s">
        <v>297</v>
      </c>
      <c r="AO347" t="s">
        <v>298</v>
      </c>
      <c r="AP347" t="s">
        <v>293</v>
      </c>
      <c r="AQ347" t="s">
        <v>292</v>
      </c>
      <c r="AR347" t="s">
        <v>293</v>
      </c>
      <c r="AS347" t="s">
        <v>293</v>
      </c>
      <c r="AT347" t="s">
        <v>364</v>
      </c>
      <c r="AU347" t="str">
        <f t="shared" si="12"/>
        <v>break</v>
      </c>
    </row>
    <row r="348" spans="1:47" x14ac:dyDescent="0.3">
      <c r="A348" t="s">
        <v>45</v>
      </c>
      <c r="B348" t="s">
        <v>48</v>
      </c>
      <c r="C348" t="s">
        <v>23</v>
      </c>
      <c r="D348" t="s">
        <v>29</v>
      </c>
      <c r="E348" t="str">
        <f t="shared" si="11"/>
        <v>P_T4B-ZSB-S_0T2</v>
      </c>
      <c r="F348" t="b">
        <v>1</v>
      </c>
      <c r="G348">
        <v>100</v>
      </c>
      <c r="H348">
        <v>1</v>
      </c>
      <c r="I348">
        <v>8376</v>
      </c>
      <c r="J348" s="61" t="s">
        <v>18</v>
      </c>
      <c r="K348" s="16" t="s">
        <v>272</v>
      </c>
      <c r="L348" s="16">
        <v>3</v>
      </c>
      <c r="M348" s="16" t="s">
        <v>277</v>
      </c>
      <c r="N348" s="16" t="s">
        <v>335</v>
      </c>
      <c r="O348" s="15" t="s">
        <v>281</v>
      </c>
      <c r="P348" t="s">
        <v>283</v>
      </c>
      <c r="Q348" t="s">
        <v>282</v>
      </c>
      <c r="R348" s="17" t="s">
        <v>371</v>
      </c>
      <c r="S348" s="16" t="s">
        <v>340</v>
      </c>
      <c r="T348" s="16" t="s">
        <v>340</v>
      </c>
      <c r="U348" s="15" t="s">
        <v>343</v>
      </c>
      <c r="V348" s="15" t="s">
        <v>348</v>
      </c>
      <c r="W348" s="17"/>
      <c r="X348" t="s">
        <v>349</v>
      </c>
      <c r="Y348" t="s">
        <v>349</v>
      </c>
      <c r="Z348" t="s">
        <v>293</v>
      </c>
      <c r="AA348" t="s">
        <v>354</v>
      </c>
      <c r="AB348" t="s">
        <v>296</v>
      </c>
      <c r="AC348" t="s">
        <v>300</v>
      </c>
      <c r="AD348" t="s">
        <v>293</v>
      </c>
      <c r="AE348" t="s">
        <v>292</v>
      </c>
      <c r="AF348" t="s">
        <v>293</v>
      </c>
      <c r="AG348" t="s">
        <v>292</v>
      </c>
      <c r="AH348" t="s">
        <v>293</v>
      </c>
      <c r="AI348" t="s">
        <v>358</v>
      </c>
      <c r="AJ348" t="s">
        <v>358</v>
      </c>
      <c r="AK348" t="s">
        <v>359</v>
      </c>
      <c r="AL348" t="s">
        <v>293</v>
      </c>
      <c r="AM348" t="s">
        <v>293</v>
      </c>
      <c r="AN348" t="s">
        <v>296</v>
      </c>
      <c r="AO348" t="s">
        <v>356</v>
      </c>
      <c r="AP348" t="s">
        <v>293</v>
      </c>
      <c r="AQ348" t="s">
        <v>292</v>
      </c>
      <c r="AR348" t="s">
        <v>293</v>
      </c>
      <c r="AS348" t="s">
        <v>293</v>
      </c>
      <c r="AT348" t="s">
        <v>364</v>
      </c>
      <c r="AU348" t="str">
        <f t="shared" si="12"/>
        <v>break</v>
      </c>
    </row>
    <row r="349" spans="1:47" x14ac:dyDescent="0.3">
      <c r="A349" t="s">
        <v>45</v>
      </c>
      <c r="B349" t="s">
        <v>48</v>
      </c>
      <c r="C349" t="s">
        <v>25</v>
      </c>
      <c r="D349" t="s">
        <v>29</v>
      </c>
      <c r="E349" t="str">
        <f t="shared" si="11"/>
        <v>P_T4B-ZSB-S_1J8</v>
      </c>
      <c r="F349" t="b">
        <v>1</v>
      </c>
      <c r="G349">
        <v>100</v>
      </c>
      <c r="H349">
        <v>1</v>
      </c>
      <c r="I349">
        <v>10687</v>
      </c>
      <c r="J349" s="61" t="s">
        <v>18</v>
      </c>
      <c r="K349" s="16" t="s">
        <v>272</v>
      </c>
      <c r="L349" s="16">
        <v>3</v>
      </c>
      <c r="M349" s="16" t="s">
        <v>277</v>
      </c>
      <c r="N349" s="16" t="s">
        <v>335</v>
      </c>
      <c r="O349" s="15" t="s">
        <v>281</v>
      </c>
      <c r="P349" t="s">
        <v>283</v>
      </c>
      <c r="Q349" t="s">
        <v>282</v>
      </c>
      <c r="R349" s="17" t="s">
        <v>371</v>
      </c>
      <c r="S349" s="16" t="s">
        <v>340</v>
      </c>
      <c r="T349" s="16" t="s">
        <v>342</v>
      </c>
      <c r="U349" s="15" t="s">
        <v>343</v>
      </c>
      <c r="V349" s="15" t="s">
        <v>344</v>
      </c>
      <c r="W349" s="17" t="s">
        <v>346</v>
      </c>
      <c r="X349" t="s">
        <v>349</v>
      </c>
      <c r="Y349" t="s">
        <v>349</v>
      </c>
      <c r="Z349" t="s">
        <v>293</v>
      </c>
      <c r="AA349" t="s">
        <v>353</v>
      </c>
      <c r="AB349" t="s">
        <v>355</v>
      </c>
      <c r="AC349" t="s">
        <v>300</v>
      </c>
      <c r="AD349" t="s">
        <v>292</v>
      </c>
      <c r="AE349" t="s">
        <v>293</v>
      </c>
      <c r="AF349" t="s">
        <v>292</v>
      </c>
      <c r="AG349" t="s">
        <v>292</v>
      </c>
      <c r="AH349" t="s">
        <v>293</v>
      </c>
      <c r="AI349" t="s">
        <v>302</v>
      </c>
      <c r="AJ349" t="s">
        <v>302</v>
      </c>
      <c r="AK349" t="s">
        <v>359</v>
      </c>
      <c r="AL349" t="s">
        <v>293</v>
      </c>
      <c r="AM349" t="s">
        <v>293</v>
      </c>
      <c r="AN349" t="s">
        <v>297</v>
      </c>
      <c r="AO349" t="s">
        <v>298</v>
      </c>
      <c r="AP349" t="s">
        <v>293</v>
      </c>
      <c r="AQ349" t="s">
        <v>292</v>
      </c>
      <c r="AR349" t="s">
        <v>293</v>
      </c>
      <c r="AS349" t="s">
        <v>293</v>
      </c>
      <c r="AT349" t="s">
        <v>364</v>
      </c>
      <c r="AU349" t="str">
        <f t="shared" si="12"/>
        <v>break</v>
      </c>
    </row>
    <row r="350" spans="1:47" x14ac:dyDescent="0.3">
      <c r="A350" t="s">
        <v>45</v>
      </c>
      <c r="B350" t="s">
        <v>48</v>
      </c>
      <c r="C350" t="s">
        <v>24</v>
      </c>
      <c r="D350" t="s">
        <v>29</v>
      </c>
      <c r="E350" t="str">
        <f t="shared" si="11"/>
        <v>P_T4B-ZSB-S_1U0</v>
      </c>
      <c r="F350" t="b">
        <v>1</v>
      </c>
      <c r="G350">
        <v>96.3</v>
      </c>
      <c r="H350">
        <v>0</v>
      </c>
      <c r="I350">
        <v>9500</v>
      </c>
      <c r="J350" s="61" t="s">
        <v>13</v>
      </c>
      <c r="K350" s="16" t="s">
        <v>272</v>
      </c>
      <c r="L350" s="16">
        <v>3</v>
      </c>
      <c r="M350" s="16" t="s">
        <v>277</v>
      </c>
      <c r="N350" s="16" t="s">
        <v>335</v>
      </c>
      <c r="O350" s="15" t="s">
        <v>281</v>
      </c>
      <c r="P350" t="s">
        <v>283</v>
      </c>
      <c r="Q350" t="s">
        <v>282</v>
      </c>
      <c r="R350" s="17" t="s">
        <v>371</v>
      </c>
      <c r="S350" s="16" t="s">
        <v>341</v>
      </c>
      <c r="T350" s="16" t="s">
        <v>340</v>
      </c>
      <c r="U350" s="15" t="s">
        <v>343</v>
      </c>
      <c r="V350" s="15" t="s">
        <v>344</v>
      </c>
      <c r="W350" s="17" t="s">
        <v>345</v>
      </c>
      <c r="X350" t="s">
        <v>349</v>
      </c>
      <c r="Y350" t="s">
        <v>349</v>
      </c>
      <c r="Z350" t="s">
        <v>293</v>
      </c>
      <c r="AA350" t="s">
        <v>353</v>
      </c>
      <c r="AB350" t="s">
        <v>296</v>
      </c>
      <c r="AC350" t="s">
        <v>301</v>
      </c>
      <c r="AD350" t="s">
        <v>292</v>
      </c>
      <c r="AE350" t="s">
        <v>293</v>
      </c>
      <c r="AF350" t="s">
        <v>292</v>
      </c>
      <c r="AG350" t="s">
        <v>292</v>
      </c>
      <c r="AH350" t="s">
        <v>293</v>
      </c>
      <c r="AI350" t="s">
        <v>302</v>
      </c>
      <c r="AJ350" t="s">
        <v>359</v>
      </c>
      <c r="AK350" t="s">
        <v>359</v>
      </c>
      <c r="AL350" t="s">
        <v>293</v>
      </c>
      <c r="AM350" t="s">
        <v>293</v>
      </c>
      <c r="AN350" t="s">
        <v>297</v>
      </c>
      <c r="AO350" t="s">
        <v>298</v>
      </c>
      <c r="AP350" t="s">
        <v>293</v>
      </c>
      <c r="AQ350" t="s">
        <v>292</v>
      </c>
      <c r="AR350" t="s">
        <v>293</v>
      </c>
      <c r="AS350" t="s">
        <v>293</v>
      </c>
      <c r="AT350" t="s">
        <v>364</v>
      </c>
      <c r="AU350" t="str">
        <f t="shared" si="12"/>
        <v>no_fail</v>
      </c>
    </row>
    <row r="351" spans="1:47" x14ac:dyDescent="0.3">
      <c r="A351" t="s">
        <v>45</v>
      </c>
      <c r="B351" t="s">
        <v>48</v>
      </c>
      <c r="C351" t="s">
        <v>21</v>
      </c>
      <c r="D351" t="s">
        <v>29</v>
      </c>
      <c r="E351" t="str">
        <f t="shared" si="11"/>
        <v>P_T4B-ZSB-S_3X6</v>
      </c>
      <c r="F351" t="b">
        <v>1</v>
      </c>
      <c r="G351">
        <v>34.6</v>
      </c>
      <c r="H351">
        <v>0</v>
      </c>
      <c r="I351">
        <v>15444</v>
      </c>
      <c r="J351" s="61" t="s">
        <v>13</v>
      </c>
      <c r="K351" s="16" t="s">
        <v>272</v>
      </c>
      <c r="L351" s="16">
        <v>3</v>
      </c>
      <c r="M351" s="16" t="s">
        <v>277</v>
      </c>
      <c r="N351" s="16" t="s">
        <v>335</v>
      </c>
      <c r="O351" s="15" t="s">
        <v>281</v>
      </c>
      <c r="P351" t="s">
        <v>283</v>
      </c>
      <c r="Q351" t="s">
        <v>282</v>
      </c>
      <c r="R351" s="17" t="s">
        <v>371</v>
      </c>
      <c r="S351" s="16" t="s">
        <v>341</v>
      </c>
      <c r="T351" s="16" t="s">
        <v>340</v>
      </c>
      <c r="U351" s="15" t="s">
        <v>343</v>
      </c>
      <c r="V351" s="15" t="s">
        <v>344</v>
      </c>
      <c r="W351" s="17"/>
      <c r="X351" t="s">
        <v>349</v>
      </c>
      <c r="Y351" t="s">
        <v>349</v>
      </c>
      <c r="Z351" t="s">
        <v>293</v>
      </c>
      <c r="AA351" t="s">
        <v>353</v>
      </c>
      <c r="AB351" t="s">
        <v>296</v>
      </c>
      <c r="AC351" t="s">
        <v>301</v>
      </c>
      <c r="AD351" t="s">
        <v>293</v>
      </c>
      <c r="AE351" t="s">
        <v>292</v>
      </c>
      <c r="AF351" t="s">
        <v>292</v>
      </c>
      <c r="AG351" t="s">
        <v>292</v>
      </c>
      <c r="AH351" t="s">
        <v>293</v>
      </c>
      <c r="AI351" t="s">
        <v>302</v>
      </c>
      <c r="AJ351" t="s">
        <v>302</v>
      </c>
      <c r="AK351" t="s">
        <v>359</v>
      </c>
      <c r="AL351" t="s">
        <v>293</v>
      </c>
      <c r="AM351" t="s">
        <v>293</v>
      </c>
      <c r="AN351" t="s">
        <v>297</v>
      </c>
      <c r="AO351" t="s">
        <v>356</v>
      </c>
      <c r="AP351" t="s">
        <v>293</v>
      </c>
      <c r="AQ351" t="s">
        <v>292</v>
      </c>
      <c r="AR351" t="s">
        <v>293</v>
      </c>
      <c r="AS351" t="s">
        <v>293</v>
      </c>
      <c r="AT351" t="s">
        <v>364</v>
      </c>
      <c r="AU351" t="str">
        <f t="shared" si="12"/>
        <v>no_fail</v>
      </c>
    </row>
    <row r="352" spans="1:47" x14ac:dyDescent="0.3">
      <c r="A352" t="s">
        <v>45</v>
      </c>
      <c r="B352" t="s">
        <v>48</v>
      </c>
      <c r="C352" t="s">
        <v>30</v>
      </c>
      <c r="D352" t="s">
        <v>29</v>
      </c>
      <c r="E352" t="str">
        <f t="shared" si="11"/>
        <v>P_T4B-ZSB-S_3X7</v>
      </c>
      <c r="F352" t="b">
        <v>1</v>
      </c>
      <c r="G352">
        <v>99.9</v>
      </c>
      <c r="H352">
        <v>0</v>
      </c>
      <c r="I352">
        <v>14853</v>
      </c>
      <c r="J352" s="61" t="s">
        <v>18</v>
      </c>
      <c r="K352" s="16" t="s">
        <v>272</v>
      </c>
      <c r="L352" s="16">
        <v>3</v>
      </c>
      <c r="M352" s="16" t="s">
        <v>333</v>
      </c>
      <c r="N352" s="16" t="s">
        <v>278</v>
      </c>
      <c r="O352" s="15" t="s">
        <v>281</v>
      </c>
      <c r="P352" t="s">
        <v>273</v>
      </c>
      <c r="Q352" t="s">
        <v>371</v>
      </c>
      <c r="R352" s="17" t="s">
        <v>371</v>
      </c>
      <c r="S352" s="16" t="s">
        <v>341</v>
      </c>
      <c r="T352" s="16" t="s">
        <v>340</v>
      </c>
      <c r="U352" s="15" t="s">
        <v>343</v>
      </c>
      <c r="V352" s="15" t="s">
        <v>344</v>
      </c>
      <c r="W352" s="17"/>
      <c r="X352" t="s">
        <v>349</v>
      </c>
      <c r="Y352" t="s">
        <v>349</v>
      </c>
      <c r="Z352" t="s">
        <v>293</v>
      </c>
      <c r="AA352" t="s">
        <v>353</v>
      </c>
      <c r="AB352" t="s">
        <v>296</v>
      </c>
      <c r="AC352" t="s">
        <v>301</v>
      </c>
      <c r="AD352" t="s">
        <v>292</v>
      </c>
      <c r="AE352" t="s">
        <v>292</v>
      </c>
      <c r="AF352" t="s">
        <v>292</v>
      </c>
      <c r="AG352" t="s">
        <v>292</v>
      </c>
      <c r="AH352" t="s">
        <v>293</v>
      </c>
      <c r="AI352" t="s">
        <v>302</v>
      </c>
      <c r="AJ352" t="s">
        <v>359</v>
      </c>
      <c r="AK352" t="s">
        <v>359</v>
      </c>
      <c r="AL352" t="s">
        <v>293</v>
      </c>
      <c r="AM352" t="s">
        <v>293</v>
      </c>
      <c r="AN352" t="s">
        <v>297</v>
      </c>
      <c r="AO352" t="s">
        <v>356</v>
      </c>
      <c r="AP352" t="s">
        <v>293</v>
      </c>
      <c r="AQ352" t="s">
        <v>292</v>
      </c>
      <c r="AR352" t="s">
        <v>293</v>
      </c>
      <c r="AS352" t="s">
        <v>293</v>
      </c>
      <c r="AT352" t="s">
        <v>364</v>
      </c>
      <c r="AU352" t="str">
        <f t="shared" si="12"/>
        <v>car_stuck</v>
      </c>
    </row>
    <row r="353" spans="1:48" x14ac:dyDescent="0.3">
      <c r="A353" t="s">
        <v>45</v>
      </c>
      <c r="B353" t="s">
        <v>48</v>
      </c>
      <c r="C353" t="s">
        <v>26</v>
      </c>
      <c r="D353" t="s">
        <v>29</v>
      </c>
      <c r="E353" t="str">
        <f t="shared" si="11"/>
        <v>P_T4B-ZSB-S_8O8</v>
      </c>
      <c r="F353" t="b">
        <v>1</v>
      </c>
      <c r="G353">
        <v>100</v>
      </c>
      <c r="H353">
        <v>1</v>
      </c>
      <c r="I353">
        <v>8481</v>
      </c>
      <c r="J353" s="61" t="s">
        <v>18</v>
      </c>
      <c r="K353" s="16" t="s">
        <v>273</v>
      </c>
      <c r="L353" s="16">
        <v>2</v>
      </c>
      <c r="M353" s="16" t="s">
        <v>333</v>
      </c>
      <c r="N353" s="16" t="s">
        <v>278</v>
      </c>
      <c r="O353" s="15" t="s">
        <v>281</v>
      </c>
      <c r="P353" t="s">
        <v>273</v>
      </c>
      <c r="Q353" t="s">
        <v>371</v>
      </c>
      <c r="R353" s="17" t="s">
        <v>371</v>
      </c>
      <c r="S353" s="16" t="s">
        <v>341</v>
      </c>
      <c r="T353" s="16" t="s">
        <v>340</v>
      </c>
      <c r="U353" s="15" t="s">
        <v>343</v>
      </c>
      <c r="V353" s="15" t="s">
        <v>344</v>
      </c>
      <c r="W353" s="17" t="s">
        <v>291</v>
      </c>
      <c r="X353" t="s">
        <v>349</v>
      </c>
      <c r="Y353" t="s">
        <v>349</v>
      </c>
      <c r="Z353" t="s">
        <v>293</v>
      </c>
      <c r="AA353" t="s">
        <v>353</v>
      </c>
      <c r="AB353" t="s">
        <v>296</v>
      </c>
      <c r="AC353" t="s">
        <v>301</v>
      </c>
      <c r="AD353" t="s">
        <v>292</v>
      </c>
      <c r="AE353" t="s">
        <v>293</v>
      </c>
      <c r="AF353" t="s">
        <v>292</v>
      </c>
      <c r="AG353" t="s">
        <v>292</v>
      </c>
      <c r="AH353" t="s">
        <v>293</v>
      </c>
      <c r="AI353" t="s">
        <v>302</v>
      </c>
      <c r="AJ353" t="s">
        <v>357</v>
      </c>
      <c r="AK353" t="s">
        <v>359</v>
      </c>
      <c r="AL353" t="s">
        <v>293</v>
      </c>
      <c r="AM353" t="s">
        <v>293</v>
      </c>
      <c r="AN353" t="s">
        <v>297</v>
      </c>
      <c r="AO353" t="s">
        <v>298</v>
      </c>
      <c r="AP353" t="s">
        <v>293</v>
      </c>
      <c r="AQ353" t="s">
        <v>292</v>
      </c>
      <c r="AR353" t="s">
        <v>293</v>
      </c>
      <c r="AS353" t="s">
        <v>293</v>
      </c>
      <c r="AT353" t="s">
        <v>364</v>
      </c>
      <c r="AU353" t="str">
        <f t="shared" si="12"/>
        <v>break</v>
      </c>
    </row>
    <row r="354" spans="1:48" x14ac:dyDescent="0.3">
      <c r="A354" t="s">
        <v>45</v>
      </c>
      <c r="B354" t="s">
        <v>48</v>
      </c>
      <c r="C354" t="s">
        <v>22</v>
      </c>
      <c r="D354" t="s">
        <v>29</v>
      </c>
      <c r="E354" t="str">
        <f t="shared" si="11"/>
        <v>P_T4B-ZSB-S_9B4</v>
      </c>
      <c r="F354" t="b">
        <v>1</v>
      </c>
      <c r="G354">
        <v>60.2</v>
      </c>
      <c r="H354">
        <v>0</v>
      </c>
      <c r="I354">
        <v>12368</v>
      </c>
      <c r="J354" s="61" t="s">
        <v>13</v>
      </c>
      <c r="K354" s="16" t="s">
        <v>272</v>
      </c>
      <c r="L354" s="16">
        <v>3</v>
      </c>
      <c r="M354" s="16" t="s">
        <v>277</v>
      </c>
      <c r="N354" s="16" t="s">
        <v>335</v>
      </c>
      <c r="O354" s="15" t="s">
        <v>281</v>
      </c>
      <c r="P354" t="s">
        <v>283</v>
      </c>
      <c r="Q354" t="s">
        <v>282</v>
      </c>
      <c r="R354" s="17" t="s">
        <v>371</v>
      </c>
      <c r="S354" s="16" t="s">
        <v>341</v>
      </c>
      <c r="T354" s="16" t="s">
        <v>340</v>
      </c>
      <c r="U354" s="15" t="s">
        <v>343</v>
      </c>
      <c r="V354" s="15" t="s">
        <v>344</v>
      </c>
      <c r="W354" s="17" t="s">
        <v>345</v>
      </c>
      <c r="X354" t="s">
        <v>349</v>
      </c>
      <c r="Y354" t="s">
        <v>349</v>
      </c>
      <c r="Z354" t="s">
        <v>293</v>
      </c>
      <c r="AA354" t="s">
        <v>353</v>
      </c>
      <c r="AB354" t="s">
        <v>296</v>
      </c>
      <c r="AC354" t="s">
        <v>301</v>
      </c>
      <c r="AD354" t="s">
        <v>293</v>
      </c>
      <c r="AE354" t="s">
        <v>292</v>
      </c>
      <c r="AF354" t="s">
        <v>292</v>
      </c>
      <c r="AG354" t="s">
        <v>292</v>
      </c>
      <c r="AH354" t="s">
        <v>293</v>
      </c>
      <c r="AI354" t="s">
        <v>302</v>
      </c>
      <c r="AJ354" t="s">
        <v>302</v>
      </c>
      <c r="AK354" t="s">
        <v>359</v>
      </c>
      <c r="AL354" t="s">
        <v>293</v>
      </c>
      <c r="AM354" t="s">
        <v>293</v>
      </c>
      <c r="AN354" t="s">
        <v>297</v>
      </c>
      <c r="AO354" t="s">
        <v>356</v>
      </c>
      <c r="AP354" t="s">
        <v>293</v>
      </c>
      <c r="AQ354" t="s">
        <v>292</v>
      </c>
      <c r="AR354" t="s">
        <v>293</v>
      </c>
      <c r="AS354" t="s">
        <v>293</v>
      </c>
      <c r="AT354" t="s">
        <v>364</v>
      </c>
      <c r="AU354" t="str">
        <f t="shared" si="12"/>
        <v>no_fail</v>
      </c>
    </row>
    <row r="355" spans="1:48" x14ac:dyDescent="0.3">
      <c r="A355" t="s">
        <v>45</v>
      </c>
      <c r="B355" t="s">
        <v>48</v>
      </c>
      <c r="C355" t="s">
        <v>31</v>
      </c>
      <c r="D355" t="s">
        <v>29</v>
      </c>
      <c r="E355" t="str">
        <f t="shared" si="11"/>
        <v>P_T4B-ZSB-S_9E0</v>
      </c>
      <c r="F355" t="b">
        <v>1</v>
      </c>
      <c r="G355">
        <v>68.900000000000006</v>
      </c>
      <c r="H355">
        <v>0</v>
      </c>
      <c r="I355">
        <v>14714</v>
      </c>
      <c r="J355" s="61" t="s">
        <v>13</v>
      </c>
      <c r="K355" s="16" t="s">
        <v>272</v>
      </c>
      <c r="L355" s="16">
        <v>3</v>
      </c>
      <c r="M355" s="16" t="s">
        <v>333</v>
      </c>
      <c r="N355" s="16" t="s">
        <v>278</v>
      </c>
      <c r="O355" s="15" t="s">
        <v>281</v>
      </c>
      <c r="P355" t="s">
        <v>273</v>
      </c>
      <c r="Q355" t="s">
        <v>371</v>
      </c>
      <c r="R355" s="17" t="s">
        <v>371</v>
      </c>
      <c r="S355" s="16" t="s">
        <v>341</v>
      </c>
      <c r="T355" s="16" t="s">
        <v>340</v>
      </c>
      <c r="U355" s="15" t="s">
        <v>343</v>
      </c>
      <c r="V355" s="15" t="s">
        <v>344</v>
      </c>
      <c r="W355" s="17"/>
      <c r="X355" t="s">
        <v>349</v>
      </c>
      <c r="Y355" t="s">
        <v>349</v>
      </c>
      <c r="Z355" t="s">
        <v>293</v>
      </c>
      <c r="AA355" t="s">
        <v>353</v>
      </c>
      <c r="AB355" t="s">
        <v>296</v>
      </c>
      <c r="AC355" t="s">
        <v>301</v>
      </c>
      <c r="AD355" t="s">
        <v>292</v>
      </c>
      <c r="AE355" t="s">
        <v>292</v>
      </c>
      <c r="AF355" t="s">
        <v>292</v>
      </c>
      <c r="AG355" t="s">
        <v>292</v>
      </c>
      <c r="AH355" t="s">
        <v>293</v>
      </c>
      <c r="AI355" t="s">
        <v>302</v>
      </c>
      <c r="AJ355" t="s">
        <v>359</v>
      </c>
      <c r="AK355" t="s">
        <v>359</v>
      </c>
      <c r="AL355" t="s">
        <v>293</v>
      </c>
      <c r="AM355" t="s">
        <v>293</v>
      </c>
      <c r="AN355" t="s">
        <v>297</v>
      </c>
      <c r="AO355" t="s">
        <v>356</v>
      </c>
      <c r="AP355" t="s">
        <v>293</v>
      </c>
      <c r="AQ355" t="s">
        <v>292</v>
      </c>
      <c r="AR355" t="s">
        <v>293</v>
      </c>
      <c r="AS355" t="s">
        <v>293</v>
      </c>
      <c r="AT355" t="s">
        <v>364</v>
      </c>
      <c r="AU355" t="str">
        <f t="shared" si="12"/>
        <v>no_fail</v>
      </c>
    </row>
    <row r="356" spans="1:48" x14ac:dyDescent="0.3">
      <c r="A356" t="s">
        <v>45</v>
      </c>
      <c r="B356" t="s">
        <v>48</v>
      </c>
      <c r="C356" t="s">
        <v>27</v>
      </c>
      <c r="D356" t="s">
        <v>29</v>
      </c>
      <c r="E356" t="str">
        <f t="shared" si="11"/>
        <v>P_T4B-ZSB-S_9F6</v>
      </c>
      <c r="F356" t="b">
        <v>1</v>
      </c>
      <c r="G356">
        <v>100</v>
      </c>
      <c r="H356">
        <v>1</v>
      </c>
      <c r="I356">
        <v>11209</v>
      </c>
      <c r="J356" s="61" t="s">
        <v>18</v>
      </c>
      <c r="K356" s="16" t="s">
        <v>273</v>
      </c>
      <c r="L356" s="16">
        <v>2</v>
      </c>
      <c r="M356" s="16" t="s">
        <v>333</v>
      </c>
      <c r="N356" s="16" t="s">
        <v>278</v>
      </c>
      <c r="O356" s="15" t="s">
        <v>281</v>
      </c>
      <c r="P356" t="s">
        <v>273</v>
      </c>
      <c r="Q356" t="s">
        <v>371</v>
      </c>
      <c r="R356" s="17" t="s">
        <v>371</v>
      </c>
      <c r="S356" s="16" t="s">
        <v>341</v>
      </c>
      <c r="T356" s="16" t="s">
        <v>340</v>
      </c>
      <c r="U356" s="15" t="s">
        <v>343</v>
      </c>
      <c r="V356" s="15" t="s">
        <v>344</v>
      </c>
      <c r="W356" s="17"/>
      <c r="X356" t="s">
        <v>349</v>
      </c>
      <c r="Y356" t="s">
        <v>349</v>
      </c>
      <c r="Z356" t="s">
        <v>293</v>
      </c>
      <c r="AA356" t="s">
        <v>353</v>
      </c>
      <c r="AB356" t="s">
        <v>296</v>
      </c>
      <c r="AC356" t="s">
        <v>301</v>
      </c>
      <c r="AD356" t="s">
        <v>292</v>
      </c>
      <c r="AE356" t="s">
        <v>292</v>
      </c>
      <c r="AF356" t="s">
        <v>292</v>
      </c>
      <c r="AG356" t="s">
        <v>292</v>
      </c>
      <c r="AH356" t="s">
        <v>293</v>
      </c>
      <c r="AI356" t="s">
        <v>302</v>
      </c>
      <c r="AJ356" t="s">
        <v>357</v>
      </c>
      <c r="AK356" t="s">
        <v>359</v>
      </c>
      <c r="AL356" t="s">
        <v>293</v>
      </c>
      <c r="AM356" t="s">
        <v>293</v>
      </c>
      <c r="AN356" t="s">
        <v>297</v>
      </c>
      <c r="AO356" t="s">
        <v>356</v>
      </c>
      <c r="AP356" t="s">
        <v>293</v>
      </c>
      <c r="AQ356" t="s">
        <v>292</v>
      </c>
      <c r="AR356" t="s">
        <v>293</v>
      </c>
      <c r="AS356" t="s">
        <v>293</v>
      </c>
      <c r="AT356" t="s">
        <v>364</v>
      </c>
      <c r="AU356" t="str">
        <f t="shared" si="12"/>
        <v>break</v>
      </c>
    </row>
    <row r="357" spans="1:48" x14ac:dyDescent="0.3">
      <c r="A357" t="s">
        <v>45</v>
      </c>
      <c r="B357" t="s">
        <v>48</v>
      </c>
      <c r="C357" t="s">
        <v>28</v>
      </c>
      <c r="D357" t="s">
        <v>29</v>
      </c>
      <c r="E357" t="str">
        <f t="shared" si="11"/>
        <v>P_T4B-ZSB-S_9T2</v>
      </c>
      <c r="F357" t="b">
        <v>1</v>
      </c>
      <c r="G357">
        <v>100</v>
      </c>
      <c r="H357">
        <v>1</v>
      </c>
      <c r="I357">
        <v>13193</v>
      </c>
      <c r="J357" s="61" t="s">
        <v>18</v>
      </c>
      <c r="K357" s="16" t="s">
        <v>272</v>
      </c>
      <c r="L357" s="16">
        <v>2</v>
      </c>
      <c r="M357" s="16" t="s">
        <v>333</v>
      </c>
      <c r="N357" s="16" t="s">
        <v>278</v>
      </c>
      <c r="O357" s="15" t="s">
        <v>281</v>
      </c>
      <c r="P357" t="s">
        <v>273</v>
      </c>
      <c r="Q357" t="s">
        <v>371</v>
      </c>
      <c r="R357" s="17" t="s">
        <v>371</v>
      </c>
      <c r="S357" s="16" t="s">
        <v>341</v>
      </c>
      <c r="T357" s="16" t="s">
        <v>340</v>
      </c>
      <c r="U357" s="15" t="s">
        <v>343</v>
      </c>
      <c r="V357" s="15" t="s">
        <v>344</v>
      </c>
      <c r="W357" s="17"/>
      <c r="X357" t="s">
        <v>349</v>
      </c>
      <c r="Y357" t="s">
        <v>349</v>
      </c>
      <c r="Z357" t="s">
        <v>293</v>
      </c>
      <c r="AA357" t="s">
        <v>353</v>
      </c>
      <c r="AB357" t="s">
        <v>296</v>
      </c>
      <c r="AC357" t="s">
        <v>301</v>
      </c>
      <c r="AD357" t="s">
        <v>292</v>
      </c>
      <c r="AE357" t="s">
        <v>292</v>
      </c>
      <c r="AF357" t="s">
        <v>292</v>
      </c>
      <c r="AG357" t="s">
        <v>292</v>
      </c>
      <c r="AH357" t="s">
        <v>293</v>
      </c>
      <c r="AI357" t="s">
        <v>302</v>
      </c>
      <c r="AJ357" t="s">
        <v>357</v>
      </c>
      <c r="AK357" t="s">
        <v>359</v>
      </c>
      <c r="AL357" t="s">
        <v>293</v>
      </c>
      <c r="AM357" t="s">
        <v>293</v>
      </c>
      <c r="AN357" t="s">
        <v>297</v>
      </c>
      <c r="AO357" t="s">
        <v>356</v>
      </c>
      <c r="AP357" t="s">
        <v>293</v>
      </c>
      <c r="AQ357" t="s">
        <v>292</v>
      </c>
      <c r="AR357" t="s">
        <v>293</v>
      </c>
      <c r="AS357" t="s">
        <v>293</v>
      </c>
      <c r="AT357" t="s">
        <v>364</v>
      </c>
      <c r="AU357" t="str">
        <f t="shared" si="12"/>
        <v>break</v>
      </c>
    </row>
    <row r="358" spans="1:48" x14ac:dyDescent="0.3">
      <c r="A358" s="38" t="s">
        <v>9</v>
      </c>
      <c r="B358" s="38" t="s">
        <v>56</v>
      </c>
      <c r="C358" s="38" t="s">
        <v>14</v>
      </c>
      <c r="D358" s="38" t="s">
        <v>12</v>
      </c>
      <c r="E358" s="38" t="str">
        <f t="shared" si="11"/>
        <v>P_V1M-KYY-S_1B0</v>
      </c>
      <c r="F358" s="38" t="b">
        <v>1</v>
      </c>
      <c r="G358" s="38">
        <v>99.9</v>
      </c>
      <c r="H358" s="38">
        <v>0</v>
      </c>
      <c r="I358" s="38">
        <v>4686</v>
      </c>
      <c r="J358" s="61" t="s">
        <v>18</v>
      </c>
      <c r="K358" s="39" t="s">
        <v>272</v>
      </c>
      <c r="L358" s="39">
        <v>2</v>
      </c>
      <c r="M358" s="39" t="s">
        <v>333</v>
      </c>
      <c r="N358" s="39" t="s">
        <v>278</v>
      </c>
      <c r="O358" s="40" t="s">
        <v>282</v>
      </c>
      <c r="P358" s="38" t="s">
        <v>371</v>
      </c>
      <c r="Q358" s="38" t="s">
        <v>371</v>
      </c>
      <c r="R358" s="41" t="s">
        <v>371</v>
      </c>
      <c r="S358" s="39" t="s">
        <v>340</v>
      </c>
      <c r="T358" s="39" t="s">
        <v>342</v>
      </c>
      <c r="U358" s="40" t="s">
        <v>343</v>
      </c>
      <c r="V358" s="40" t="s">
        <v>344</v>
      </c>
      <c r="W358" s="41"/>
      <c r="X358" s="38" t="s">
        <v>349</v>
      </c>
      <c r="Y358" s="38" t="s">
        <v>349</v>
      </c>
      <c r="Z358" s="38" t="s">
        <v>293</v>
      </c>
      <c r="AA358" s="38" t="s">
        <v>352</v>
      </c>
      <c r="AB358" s="38" t="s">
        <v>297</v>
      </c>
      <c r="AC358" s="38" t="s">
        <v>300</v>
      </c>
      <c r="AD358" s="38" t="s">
        <v>293</v>
      </c>
      <c r="AE358" s="38" t="s">
        <v>292</v>
      </c>
      <c r="AF358" s="38" t="s">
        <v>292</v>
      </c>
      <c r="AG358" s="38" t="s">
        <v>293</v>
      </c>
      <c r="AH358" s="38" t="s">
        <v>293</v>
      </c>
      <c r="AI358" s="38" t="s">
        <v>302</v>
      </c>
      <c r="AJ358" s="38" t="s">
        <v>357</v>
      </c>
      <c r="AK358" s="38" t="s">
        <v>302</v>
      </c>
      <c r="AL358" s="38" t="s">
        <v>293</v>
      </c>
      <c r="AM358" s="38" t="s">
        <v>293</v>
      </c>
      <c r="AN358" s="38" t="s">
        <v>297</v>
      </c>
      <c r="AO358" s="38" t="s">
        <v>356</v>
      </c>
      <c r="AP358" s="38" t="s">
        <v>293</v>
      </c>
      <c r="AQ358" s="38" t="s">
        <v>292</v>
      </c>
      <c r="AR358" s="38" t="s">
        <v>293</v>
      </c>
      <c r="AS358" s="38" t="s">
        <v>293</v>
      </c>
      <c r="AT358" s="38" t="s">
        <v>364</v>
      </c>
      <c r="AU358" s="38" t="str">
        <f t="shared" si="12"/>
        <v>car_stuck</v>
      </c>
      <c r="AV358" s="38" t="s">
        <v>380</v>
      </c>
    </row>
    <row r="359" spans="1:48" s="38" customFormat="1" x14ac:dyDescent="0.3">
      <c r="A359" t="s">
        <v>9</v>
      </c>
      <c r="B359" t="s">
        <v>56</v>
      </c>
      <c r="C359" t="s">
        <v>15</v>
      </c>
      <c r="D359" t="s">
        <v>12</v>
      </c>
      <c r="E359" t="str">
        <f t="shared" si="11"/>
        <v>P_V1M-KYY-S_0M4</v>
      </c>
      <c r="F359" t="b">
        <v>1</v>
      </c>
      <c r="G359">
        <v>100</v>
      </c>
      <c r="H359">
        <v>1</v>
      </c>
      <c r="I359">
        <v>11104</v>
      </c>
      <c r="J359" s="61" t="s">
        <v>18</v>
      </c>
      <c r="K359" s="16" t="s">
        <v>272</v>
      </c>
      <c r="L359" s="16">
        <v>3</v>
      </c>
      <c r="M359" s="16" t="s">
        <v>277</v>
      </c>
      <c r="N359" s="16" t="s">
        <v>335</v>
      </c>
      <c r="O359" s="15" t="s">
        <v>282</v>
      </c>
      <c r="P359" t="s">
        <v>283</v>
      </c>
      <c r="Q359" t="s">
        <v>286</v>
      </c>
      <c r="R359" s="17" t="s">
        <v>371</v>
      </c>
      <c r="S359" s="16" t="s">
        <v>341</v>
      </c>
      <c r="T359" s="16" t="s">
        <v>342</v>
      </c>
      <c r="U359" s="15" t="s">
        <v>343</v>
      </c>
      <c r="V359" s="15" t="s">
        <v>344</v>
      </c>
      <c r="W359" s="17" t="s">
        <v>346</v>
      </c>
      <c r="X359" t="s">
        <v>349</v>
      </c>
      <c r="Y359" t="s">
        <v>349</v>
      </c>
      <c r="Z359" t="s">
        <v>293</v>
      </c>
      <c r="AA359" t="s">
        <v>353</v>
      </c>
      <c r="AB359" t="s">
        <v>297</v>
      </c>
      <c r="AC359" t="s">
        <v>300</v>
      </c>
      <c r="AD359" t="s">
        <v>293</v>
      </c>
      <c r="AE359" t="s">
        <v>292</v>
      </c>
      <c r="AF359" t="s">
        <v>292</v>
      </c>
      <c r="AG359" t="s">
        <v>293</v>
      </c>
      <c r="AH359" t="s">
        <v>293</v>
      </c>
      <c r="AI359" t="s">
        <v>302</v>
      </c>
      <c r="AJ359" t="s">
        <v>302</v>
      </c>
      <c r="AK359" t="s">
        <v>302</v>
      </c>
      <c r="AL359" t="s">
        <v>293</v>
      </c>
      <c r="AM359" t="s">
        <v>293</v>
      </c>
      <c r="AN359" t="s">
        <v>297</v>
      </c>
      <c r="AO359" t="s">
        <v>356</v>
      </c>
      <c r="AP359" t="s">
        <v>293</v>
      </c>
      <c r="AQ359" t="s">
        <v>292</v>
      </c>
      <c r="AR359" t="s">
        <v>293</v>
      </c>
      <c r="AS359" t="s">
        <v>293</v>
      </c>
      <c r="AT359" t="s">
        <v>364</v>
      </c>
      <c r="AU359" t="str">
        <f t="shared" si="12"/>
        <v>break</v>
      </c>
      <c r="AV359"/>
    </row>
    <row r="360" spans="1:48" x14ac:dyDescent="0.3">
      <c r="A360" t="s">
        <v>9</v>
      </c>
      <c r="B360" t="s">
        <v>56</v>
      </c>
      <c r="C360" t="s">
        <v>11</v>
      </c>
      <c r="D360" t="s">
        <v>12</v>
      </c>
      <c r="E360" t="str">
        <f t="shared" si="11"/>
        <v>P_V1M-KYY-S_1Q4</v>
      </c>
      <c r="F360" t="b">
        <v>1</v>
      </c>
      <c r="G360">
        <v>100</v>
      </c>
      <c r="H360">
        <v>1</v>
      </c>
      <c r="I360">
        <v>3733</v>
      </c>
      <c r="J360" s="61" t="s">
        <v>18</v>
      </c>
      <c r="K360" s="16" t="s">
        <v>272</v>
      </c>
      <c r="L360" s="16">
        <v>2</v>
      </c>
      <c r="M360" s="16" t="s">
        <v>333</v>
      </c>
      <c r="N360" s="16" t="s">
        <v>278</v>
      </c>
      <c r="O360" s="15" t="s">
        <v>284</v>
      </c>
      <c r="P360" t="s">
        <v>371</v>
      </c>
      <c r="Q360" t="s">
        <v>371</v>
      </c>
      <c r="R360" s="17" t="s">
        <v>371</v>
      </c>
      <c r="S360" s="16" t="s">
        <v>341</v>
      </c>
      <c r="T360" s="16" t="s">
        <v>340</v>
      </c>
      <c r="U360" s="15" t="s">
        <v>343</v>
      </c>
      <c r="V360" s="15" t="s">
        <v>345</v>
      </c>
      <c r="W360" s="17"/>
      <c r="X360" t="s">
        <v>349</v>
      </c>
      <c r="Y360" t="s">
        <v>349</v>
      </c>
      <c r="Z360" t="s">
        <v>293</v>
      </c>
      <c r="AA360" t="s">
        <v>352</v>
      </c>
      <c r="AB360" t="s">
        <v>297</v>
      </c>
      <c r="AC360" t="s">
        <v>300</v>
      </c>
      <c r="AD360" t="s">
        <v>292</v>
      </c>
      <c r="AE360" t="s">
        <v>293</v>
      </c>
      <c r="AF360" t="s">
        <v>292</v>
      </c>
      <c r="AG360" t="s">
        <v>293</v>
      </c>
      <c r="AH360" t="s">
        <v>293</v>
      </c>
      <c r="AI360" t="s">
        <v>302</v>
      </c>
      <c r="AJ360" t="s">
        <v>357</v>
      </c>
      <c r="AK360" t="s">
        <v>302</v>
      </c>
      <c r="AL360" t="s">
        <v>293</v>
      </c>
      <c r="AM360" t="s">
        <v>293</v>
      </c>
      <c r="AN360" t="s">
        <v>297</v>
      </c>
      <c r="AO360" t="s">
        <v>298</v>
      </c>
      <c r="AP360" t="s">
        <v>293</v>
      </c>
      <c r="AQ360" t="s">
        <v>292</v>
      </c>
      <c r="AR360" t="s">
        <v>293</v>
      </c>
      <c r="AS360" t="s">
        <v>293</v>
      </c>
      <c r="AT360" t="s">
        <v>364</v>
      </c>
      <c r="AU360" t="str">
        <f t="shared" si="12"/>
        <v>break</v>
      </c>
    </row>
    <row r="361" spans="1:48" x14ac:dyDescent="0.3">
      <c r="A361" t="s">
        <v>9</v>
      </c>
      <c r="B361" t="s">
        <v>56</v>
      </c>
      <c r="C361" t="s">
        <v>16</v>
      </c>
      <c r="D361" t="s">
        <v>12</v>
      </c>
      <c r="E361" t="str">
        <f t="shared" si="11"/>
        <v>P_V1M-KYY-S_6U7</v>
      </c>
      <c r="F361" t="b">
        <v>1</v>
      </c>
      <c r="G361">
        <v>100</v>
      </c>
      <c r="H361">
        <v>1</v>
      </c>
      <c r="I361">
        <v>13365</v>
      </c>
      <c r="J361" s="61" t="s">
        <v>18</v>
      </c>
      <c r="K361" s="16" t="s">
        <v>272</v>
      </c>
      <c r="L361" s="16">
        <v>3</v>
      </c>
      <c r="M361" s="16" t="s">
        <v>277</v>
      </c>
      <c r="N361" s="16" t="s">
        <v>335</v>
      </c>
      <c r="O361" s="15" t="s">
        <v>282</v>
      </c>
      <c r="P361" t="s">
        <v>283</v>
      </c>
      <c r="Q361" t="s">
        <v>286</v>
      </c>
      <c r="R361" s="17" t="s">
        <v>371</v>
      </c>
      <c r="S361" s="16" t="s">
        <v>341</v>
      </c>
      <c r="T361" s="16" t="s">
        <v>342</v>
      </c>
      <c r="U361" s="15" t="s">
        <v>343</v>
      </c>
      <c r="V361" s="15" t="s">
        <v>344</v>
      </c>
      <c r="W361" s="17"/>
      <c r="X361" t="s">
        <v>349</v>
      </c>
      <c r="Y361" t="s">
        <v>349</v>
      </c>
      <c r="Z361" t="s">
        <v>293</v>
      </c>
      <c r="AA361" t="s">
        <v>353</v>
      </c>
      <c r="AB361" t="s">
        <v>297</v>
      </c>
      <c r="AC361" t="s">
        <v>300</v>
      </c>
      <c r="AD361" t="s">
        <v>293</v>
      </c>
      <c r="AE361" t="s">
        <v>292</v>
      </c>
      <c r="AF361" t="s">
        <v>292</v>
      </c>
      <c r="AG361" t="s">
        <v>292</v>
      </c>
      <c r="AH361" t="s">
        <v>293</v>
      </c>
      <c r="AI361" t="s">
        <v>302</v>
      </c>
      <c r="AJ361" t="s">
        <v>302</v>
      </c>
      <c r="AK361" t="s">
        <v>302</v>
      </c>
      <c r="AL361" t="s">
        <v>293</v>
      </c>
      <c r="AM361" t="s">
        <v>293</v>
      </c>
      <c r="AN361" t="s">
        <v>297</v>
      </c>
      <c r="AO361" t="s">
        <v>356</v>
      </c>
      <c r="AP361" t="s">
        <v>293</v>
      </c>
      <c r="AQ361" t="s">
        <v>292</v>
      </c>
      <c r="AR361" t="s">
        <v>293</v>
      </c>
      <c r="AS361" t="s">
        <v>293</v>
      </c>
      <c r="AT361" t="s">
        <v>364</v>
      </c>
      <c r="AU361" t="str">
        <f t="shared" si="12"/>
        <v>break</v>
      </c>
    </row>
    <row r="362" spans="1:48" x14ac:dyDescent="0.3">
      <c r="A362" t="s">
        <v>9</v>
      </c>
      <c r="B362" t="s">
        <v>56</v>
      </c>
      <c r="C362" t="s">
        <v>23</v>
      </c>
      <c r="D362" t="s">
        <v>29</v>
      </c>
      <c r="E362" t="str">
        <f t="shared" si="11"/>
        <v>P_V1M-ZSB-S_0T2</v>
      </c>
      <c r="F362" t="b">
        <v>1</v>
      </c>
      <c r="G362">
        <v>100</v>
      </c>
      <c r="H362">
        <v>1</v>
      </c>
      <c r="I362">
        <v>19103</v>
      </c>
      <c r="J362" s="61" t="s">
        <v>18</v>
      </c>
      <c r="K362" s="16" t="s">
        <v>272</v>
      </c>
      <c r="L362" s="16">
        <v>2</v>
      </c>
      <c r="M362" s="16" t="s">
        <v>277</v>
      </c>
      <c r="N362" s="16" t="s">
        <v>335</v>
      </c>
      <c r="O362" s="15" t="s">
        <v>282</v>
      </c>
      <c r="P362" t="s">
        <v>371</v>
      </c>
      <c r="Q362" t="s">
        <v>371</v>
      </c>
      <c r="R362" s="17" t="s">
        <v>371</v>
      </c>
      <c r="S362" s="16" t="s">
        <v>340</v>
      </c>
      <c r="T362" s="16" t="s">
        <v>342</v>
      </c>
      <c r="U362" s="15" t="s">
        <v>340</v>
      </c>
      <c r="V362" s="15" t="s">
        <v>347</v>
      </c>
      <c r="W362" s="17"/>
      <c r="X362" t="s">
        <v>349</v>
      </c>
      <c r="Y362" t="s">
        <v>349</v>
      </c>
      <c r="Z362" t="s">
        <v>293</v>
      </c>
      <c r="AA362" t="s">
        <v>354</v>
      </c>
      <c r="AB362" t="s">
        <v>354</v>
      </c>
      <c r="AC362" t="s">
        <v>301</v>
      </c>
      <c r="AD362" t="s">
        <v>293</v>
      </c>
      <c r="AE362" t="s">
        <v>292</v>
      </c>
      <c r="AF362" t="s">
        <v>293</v>
      </c>
      <c r="AG362" t="s">
        <v>292</v>
      </c>
      <c r="AH362" t="s">
        <v>293</v>
      </c>
      <c r="AI362" t="s">
        <v>302</v>
      </c>
      <c r="AJ362" t="s">
        <v>302</v>
      </c>
      <c r="AK362" t="s">
        <v>357</v>
      </c>
      <c r="AL362" t="s">
        <v>293</v>
      </c>
      <c r="AM362" t="s">
        <v>293</v>
      </c>
      <c r="AN362" t="s">
        <v>296</v>
      </c>
      <c r="AO362" t="s">
        <v>356</v>
      </c>
      <c r="AP362" t="s">
        <v>293</v>
      </c>
      <c r="AQ362" t="s">
        <v>292</v>
      </c>
      <c r="AR362" t="s">
        <v>293</v>
      </c>
      <c r="AS362" t="s">
        <v>293</v>
      </c>
      <c r="AT362" t="s">
        <v>364</v>
      </c>
      <c r="AU362" t="str">
        <f t="shared" si="12"/>
        <v>break</v>
      </c>
    </row>
    <row r="363" spans="1:48" x14ac:dyDescent="0.3">
      <c r="A363" t="s">
        <v>9</v>
      </c>
      <c r="B363" t="s">
        <v>56</v>
      </c>
      <c r="C363" t="s">
        <v>25</v>
      </c>
      <c r="D363" t="s">
        <v>29</v>
      </c>
      <c r="E363" t="str">
        <f t="shared" si="11"/>
        <v>P_V1M-ZSB-S_1J8</v>
      </c>
      <c r="F363" t="b">
        <v>1</v>
      </c>
      <c r="G363">
        <v>100</v>
      </c>
      <c r="H363">
        <v>1</v>
      </c>
      <c r="I363">
        <v>19184</v>
      </c>
      <c r="J363" s="61" t="s">
        <v>18</v>
      </c>
      <c r="K363" s="16" t="s">
        <v>272</v>
      </c>
      <c r="L363" s="16">
        <v>2</v>
      </c>
      <c r="M363" s="16" t="s">
        <v>277</v>
      </c>
      <c r="N363" s="16" t="s">
        <v>335</v>
      </c>
      <c r="O363" s="15" t="s">
        <v>282</v>
      </c>
      <c r="P363" t="s">
        <v>371</v>
      </c>
      <c r="Q363" t="s">
        <v>371</v>
      </c>
      <c r="R363" s="17" t="s">
        <v>371</v>
      </c>
      <c r="S363" s="16" t="s">
        <v>340</v>
      </c>
      <c r="T363" s="16" t="s">
        <v>342</v>
      </c>
      <c r="U363" s="15" t="s">
        <v>340</v>
      </c>
      <c r="V363" s="15" t="s">
        <v>347</v>
      </c>
      <c r="W363" s="17"/>
      <c r="X363" t="s">
        <v>349</v>
      </c>
      <c r="Y363" t="s">
        <v>349</v>
      </c>
      <c r="Z363" t="s">
        <v>293</v>
      </c>
      <c r="AA363" t="s">
        <v>354</v>
      </c>
      <c r="AB363" t="s">
        <v>354</v>
      </c>
      <c r="AC363" t="s">
        <v>301</v>
      </c>
      <c r="AD363" t="s">
        <v>293</v>
      </c>
      <c r="AE363" t="s">
        <v>292</v>
      </c>
      <c r="AF363" t="s">
        <v>293</v>
      </c>
      <c r="AG363" t="s">
        <v>292</v>
      </c>
      <c r="AH363" t="s">
        <v>293</v>
      </c>
      <c r="AI363" t="s">
        <v>302</v>
      </c>
      <c r="AJ363" t="s">
        <v>302</v>
      </c>
      <c r="AK363" t="s">
        <v>357</v>
      </c>
      <c r="AL363" t="s">
        <v>293</v>
      </c>
      <c r="AM363" t="s">
        <v>293</v>
      </c>
      <c r="AN363" t="s">
        <v>296</v>
      </c>
      <c r="AO363" t="s">
        <v>356</v>
      </c>
      <c r="AP363" t="s">
        <v>293</v>
      </c>
      <c r="AQ363" t="s">
        <v>292</v>
      </c>
      <c r="AR363" t="s">
        <v>293</v>
      </c>
      <c r="AS363" t="s">
        <v>293</v>
      </c>
      <c r="AT363" t="s">
        <v>364</v>
      </c>
      <c r="AU363" t="str">
        <f t="shared" si="12"/>
        <v>break</v>
      </c>
    </row>
    <row r="364" spans="1:48" x14ac:dyDescent="0.3">
      <c r="A364" t="s">
        <v>9</v>
      </c>
      <c r="B364" t="s">
        <v>56</v>
      </c>
      <c r="C364" t="s">
        <v>24</v>
      </c>
      <c r="D364" t="s">
        <v>29</v>
      </c>
      <c r="E364" t="str">
        <f t="shared" si="11"/>
        <v>P_V1M-ZSB-S_1U0</v>
      </c>
      <c r="F364" t="b">
        <v>1</v>
      </c>
      <c r="G364">
        <v>100</v>
      </c>
      <c r="H364">
        <v>1</v>
      </c>
      <c r="I364">
        <v>19509</v>
      </c>
      <c r="J364" s="61" t="s">
        <v>18</v>
      </c>
      <c r="K364" s="16" t="s">
        <v>272</v>
      </c>
      <c r="L364" s="16">
        <v>2</v>
      </c>
      <c r="M364" s="16" t="s">
        <v>277</v>
      </c>
      <c r="N364" s="16" t="s">
        <v>335</v>
      </c>
      <c r="O364" s="15" t="s">
        <v>282</v>
      </c>
      <c r="P364" t="s">
        <v>371</v>
      </c>
      <c r="Q364" t="s">
        <v>371</v>
      </c>
      <c r="R364" s="17" t="s">
        <v>371</v>
      </c>
      <c r="S364" s="16" t="s">
        <v>340</v>
      </c>
      <c r="T364" s="16" t="s">
        <v>342</v>
      </c>
      <c r="U364" s="15" t="s">
        <v>340</v>
      </c>
      <c r="V364" s="15" t="s">
        <v>347</v>
      </c>
      <c r="W364" s="17"/>
      <c r="X364" t="s">
        <v>349</v>
      </c>
      <c r="Y364" t="s">
        <v>349</v>
      </c>
      <c r="Z364" t="s">
        <v>293</v>
      </c>
      <c r="AA364" t="s">
        <v>354</v>
      </c>
      <c r="AB364" t="s">
        <v>354</v>
      </c>
      <c r="AC364" t="s">
        <v>301</v>
      </c>
      <c r="AD364" t="s">
        <v>293</v>
      </c>
      <c r="AE364" t="s">
        <v>292</v>
      </c>
      <c r="AF364" t="s">
        <v>293</v>
      </c>
      <c r="AG364" t="s">
        <v>292</v>
      </c>
      <c r="AH364" t="s">
        <v>293</v>
      </c>
      <c r="AI364" t="s">
        <v>302</v>
      </c>
      <c r="AJ364" t="s">
        <v>302</v>
      </c>
      <c r="AK364" t="s">
        <v>359</v>
      </c>
      <c r="AL364" t="s">
        <v>293</v>
      </c>
      <c r="AM364" t="s">
        <v>293</v>
      </c>
      <c r="AN364" t="s">
        <v>296</v>
      </c>
      <c r="AO364" t="s">
        <v>356</v>
      </c>
      <c r="AP364" t="s">
        <v>293</v>
      </c>
      <c r="AQ364" t="s">
        <v>292</v>
      </c>
      <c r="AR364" t="s">
        <v>293</v>
      </c>
      <c r="AS364" t="s">
        <v>293</v>
      </c>
      <c r="AT364" t="s">
        <v>364</v>
      </c>
      <c r="AU364" t="str">
        <f t="shared" si="12"/>
        <v>break</v>
      </c>
    </row>
    <row r="365" spans="1:48" x14ac:dyDescent="0.3">
      <c r="A365" t="s">
        <v>9</v>
      </c>
      <c r="B365" t="s">
        <v>56</v>
      </c>
      <c r="C365" t="s">
        <v>21</v>
      </c>
      <c r="D365" t="s">
        <v>29</v>
      </c>
      <c r="E365" t="str">
        <f t="shared" si="11"/>
        <v>P_V1M-ZSB-S_3X6</v>
      </c>
      <c r="F365" t="b">
        <v>1</v>
      </c>
      <c r="G365">
        <v>100</v>
      </c>
      <c r="H365">
        <v>1</v>
      </c>
      <c r="I365">
        <v>15028</v>
      </c>
      <c r="J365" s="61" t="s">
        <v>18</v>
      </c>
      <c r="K365" s="16" t="s">
        <v>272</v>
      </c>
      <c r="L365" s="16">
        <v>3</v>
      </c>
      <c r="M365" s="16" t="s">
        <v>277</v>
      </c>
      <c r="N365" s="16" t="s">
        <v>335</v>
      </c>
      <c r="O365" s="15" t="s">
        <v>282</v>
      </c>
      <c r="P365" t="s">
        <v>285</v>
      </c>
      <c r="Q365" t="s">
        <v>286</v>
      </c>
      <c r="R365" s="17" t="s">
        <v>371</v>
      </c>
      <c r="S365" s="16" t="s">
        <v>340</v>
      </c>
      <c r="T365" s="16" t="s">
        <v>342</v>
      </c>
      <c r="U365" s="15" t="s">
        <v>343</v>
      </c>
      <c r="V365" s="15" t="s">
        <v>344</v>
      </c>
      <c r="W365" s="17" t="s">
        <v>347</v>
      </c>
      <c r="X365" t="s">
        <v>349</v>
      </c>
      <c r="Y365" t="s">
        <v>349</v>
      </c>
      <c r="Z365" t="s">
        <v>293</v>
      </c>
      <c r="AA365" t="s">
        <v>353</v>
      </c>
      <c r="AB365" t="s">
        <v>355</v>
      </c>
      <c r="AC365" t="s">
        <v>300</v>
      </c>
      <c r="AD365" t="s">
        <v>293</v>
      </c>
      <c r="AE365" t="s">
        <v>292</v>
      </c>
      <c r="AF365" t="s">
        <v>292</v>
      </c>
      <c r="AG365" t="s">
        <v>292</v>
      </c>
      <c r="AH365" t="s">
        <v>293</v>
      </c>
      <c r="AI365" t="s">
        <v>302</v>
      </c>
      <c r="AJ365" t="s">
        <v>302</v>
      </c>
      <c r="AK365" t="s">
        <v>359</v>
      </c>
      <c r="AL365" t="s">
        <v>293</v>
      </c>
      <c r="AM365" t="s">
        <v>293</v>
      </c>
      <c r="AN365" t="s">
        <v>296</v>
      </c>
      <c r="AO365" t="s">
        <v>356</v>
      </c>
      <c r="AP365" t="s">
        <v>293</v>
      </c>
      <c r="AQ365" t="s">
        <v>292</v>
      </c>
      <c r="AR365" t="s">
        <v>293</v>
      </c>
      <c r="AS365" t="s">
        <v>293</v>
      </c>
      <c r="AT365" t="s">
        <v>364</v>
      </c>
      <c r="AU365" t="str">
        <f t="shared" si="12"/>
        <v>break</v>
      </c>
    </row>
    <row r="366" spans="1:48" x14ac:dyDescent="0.3">
      <c r="A366" t="s">
        <v>9</v>
      </c>
      <c r="B366" t="s">
        <v>56</v>
      </c>
      <c r="C366" t="s">
        <v>19</v>
      </c>
      <c r="D366" t="s">
        <v>29</v>
      </c>
      <c r="E366" t="str">
        <f t="shared" si="11"/>
        <v>P_V1M-ZSB-S_4U3</v>
      </c>
      <c r="F366" t="b">
        <v>1</v>
      </c>
      <c r="G366">
        <v>100</v>
      </c>
      <c r="H366">
        <v>1</v>
      </c>
      <c r="I366">
        <v>14882</v>
      </c>
      <c r="J366" s="61" t="s">
        <v>18</v>
      </c>
      <c r="K366" s="16" t="s">
        <v>272</v>
      </c>
      <c r="L366" s="16">
        <v>3</v>
      </c>
      <c r="M366" s="16" t="s">
        <v>277</v>
      </c>
      <c r="N366" s="16" t="s">
        <v>335</v>
      </c>
      <c r="O366" s="15" t="s">
        <v>282</v>
      </c>
      <c r="P366" t="s">
        <v>285</v>
      </c>
      <c r="Q366" t="s">
        <v>286</v>
      </c>
      <c r="R366" s="17" t="s">
        <v>371</v>
      </c>
      <c r="S366" s="16" t="s">
        <v>340</v>
      </c>
      <c r="T366" s="16" t="s">
        <v>342</v>
      </c>
      <c r="U366" s="15" t="s">
        <v>343</v>
      </c>
      <c r="V366" s="15" t="s">
        <v>344</v>
      </c>
      <c r="W366" s="17" t="s">
        <v>347</v>
      </c>
      <c r="X366" t="s">
        <v>349</v>
      </c>
      <c r="Y366" t="s">
        <v>349</v>
      </c>
      <c r="Z366" t="s">
        <v>293</v>
      </c>
      <c r="AA366" t="s">
        <v>353</v>
      </c>
      <c r="AB366" t="s">
        <v>355</v>
      </c>
      <c r="AC366" t="s">
        <v>300</v>
      </c>
      <c r="AD366" t="s">
        <v>293</v>
      </c>
      <c r="AE366" t="s">
        <v>292</v>
      </c>
      <c r="AF366" t="s">
        <v>292</v>
      </c>
      <c r="AG366" t="s">
        <v>292</v>
      </c>
      <c r="AH366" t="s">
        <v>293</v>
      </c>
      <c r="AI366" t="s">
        <v>302</v>
      </c>
      <c r="AJ366" t="s">
        <v>302</v>
      </c>
      <c r="AK366" t="s">
        <v>359</v>
      </c>
      <c r="AL366" t="s">
        <v>293</v>
      </c>
      <c r="AM366" t="s">
        <v>293</v>
      </c>
      <c r="AN366" t="s">
        <v>296</v>
      </c>
      <c r="AO366" t="s">
        <v>356</v>
      </c>
      <c r="AP366" t="s">
        <v>293</v>
      </c>
      <c r="AQ366" t="s">
        <v>292</v>
      </c>
      <c r="AR366" t="s">
        <v>293</v>
      </c>
      <c r="AS366" t="s">
        <v>293</v>
      </c>
      <c r="AT366" t="s">
        <v>364</v>
      </c>
      <c r="AU366" t="str">
        <f t="shared" si="12"/>
        <v>break</v>
      </c>
    </row>
    <row r="367" spans="1:48" x14ac:dyDescent="0.3">
      <c r="A367" t="s">
        <v>9</v>
      </c>
      <c r="B367" t="s">
        <v>56</v>
      </c>
      <c r="C367" t="s">
        <v>17</v>
      </c>
      <c r="D367" t="s">
        <v>29</v>
      </c>
      <c r="E367" t="str">
        <f t="shared" si="11"/>
        <v>P_V1M-ZSB-S_6B5</v>
      </c>
      <c r="F367" t="b">
        <v>1</v>
      </c>
      <c r="G367">
        <v>100</v>
      </c>
      <c r="H367">
        <v>1</v>
      </c>
      <c r="I367">
        <v>14683</v>
      </c>
      <c r="J367" s="61" t="s">
        <v>18</v>
      </c>
      <c r="K367" s="16" t="s">
        <v>272</v>
      </c>
      <c r="L367" s="16">
        <v>3</v>
      </c>
      <c r="M367" s="16" t="s">
        <v>277</v>
      </c>
      <c r="N367" s="16" t="s">
        <v>335</v>
      </c>
      <c r="O367" s="15" t="s">
        <v>282</v>
      </c>
      <c r="P367" t="s">
        <v>285</v>
      </c>
      <c r="Q367" t="s">
        <v>286</v>
      </c>
      <c r="R367" s="17" t="s">
        <v>371</v>
      </c>
      <c r="S367" s="16" t="s">
        <v>340</v>
      </c>
      <c r="T367" s="16" t="s">
        <v>342</v>
      </c>
      <c r="U367" s="15" t="s">
        <v>343</v>
      </c>
      <c r="V367" s="15" t="s">
        <v>344</v>
      </c>
      <c r="W367" s="17" t="s">
        <v>347</v>
      </c>
      <c r="X367" t="s">
        <v>349</v>
      </c>
      <c r="Y367" t="s">
        <v>349</v>
      </c>
      <c r="Z367" t="s">
        <v>293</v>
      </c>
      <c r="AA367" t="s">
        <v>353</v>
      </c>
      <c r="AB367" t="s">
        <v>355</v>
      </c>
      <c r="AC367" t="s">
        <v>300</v>
      </c>
      <c r="AD367" t="s">
        <v>293</v>
      </c>
      <c r="AE367" t="s">
        <v>292</v>
      </c>
      <c r="AF367" t="s">
        <v>292</v>
      </c>
      <c r="AG367" t="s">
        <v>292</v>
      </c>
      <c r="AH367" t="s">
        <v>293</v>
      </c>
      <c r="AI367" t="s">
        <v>302</v>
      </c>
      <c r="AJ367" t="s">
        <v>302</v>
      </c>
      <c r="AK367" t="s">
        <v>359</v>
      </c>
      <c r="AL367" t="s">
        <v>293</v>
      </c>
      <c r="AM367" t="s">
        <v>293</v>
      </c>
      <c r="AN367" t="s">
        <v>296</v>
      </c>
      <c r="AO367" t="s">
        <v>356</v>
      </c>
      <c r="AP367" t="s">
        <v>293</v>
      </c>
      <c r="AQ367" t="s">
        <v>292</v>
      </c>
      <c r="AR367" t="s">
        <v>293</v>
      </c>
      <c r="AS367" t="s">
        <v>293</v>
      </c>
      <c r="AT367" t="s">
        <v>364</v>
      </c>
      <c r="AU367" t="str">
        <f t="shared" si="12"/>
        <v>break</v>
      </c>
    </row>
    <row r="368" spans="1:48" x14ac:dyDescent="0.3">
      <c r="A368" t="s">
        <v>9</v>
      </c>
      <c r="B368" t="s">
        <v>56</v>
      </c>
      <c r="C368" t="s">
        <v>20</v>
      </c>
      <c r="D368" t="s">
        <v>29</v>
      </c>
      <c r="E368" t="str">
        <f t="shared" si="11"/>
        <v>P_V1M-ZSB-S_7W0</v>
      </c>
      <c r="F368" t="b">
        <v>1</v>
      </c>
      <c r="G368">
        <v>100</v>
      </c>
      <c r="H368">
        <v>1</v>
      </c>
      <c r="I368">
        <v>14883</v>
      </c>
      <c r="J368" s="61" t="s">
        <v>18</v>
      </c>
      <c r="K368" s="16" t="s">
        <v>272</v>
      </c>
      <c r="L368" s="16">
        <v>3</v>
      </c>
      <c r="M368" s="16" t="s">
        <v>277</v>
      </c>
      <c r="N368" s="16" t="s">
        <v>335</v>
      </c>
      <c r="O368" s="15" t="s">
        <v>282</v>
      </c>
      <c r="P368" t="s">
        <v>285</v>
      </c>
      <c r="Q368" t="s">
        <v>286</v>
      </c>
      <c r="R368" s="17" t="s">
        <v>371</v>
      </c>
      <c r="S368" s="16" t="s">
        <v>340</v>
      </c>
      <c r="T368" s="16" t="s">
        <v>342</v>
      </c>
      <c r="U368" s="15" t="s">
        <v>343</v>
      </c>
      <c r="V368" s="15" t="s">
        <v>344</v>
      </c>
      <c r="W368" s="17" t="s">
        <v>347</v>
      </c>
      <c r="X368" t="s">
        <v>349</v>
      </c>
      <c r="Y368" t="s">
        <v>349</v>
      </c>
      <c r="Z368" t="s">
        <v>293</v>
      </c>
      <c r="AA368" t="s">
        <v>353</v>
      </c>
      <c r="AB368" t="s">
        <v>355</v>
      </c>
      <c r="AC368" t="s">
        <v>300</v>
      </c>
      <c r="AD368" t="s">
        <v>293</v>
      </c>
      <c r="AE368" t="s">
        <v>292</v>
      </c>
      <c r="AF368" t="s">
        <v>292</v>
      </c>
      <c r="AG368" t="s">
        <v>292</v>
      </c>
      <c r="AH368" t="s">
        <v>293</v>
      </c>
      <c r="AI368" t="s">
        <v>302</v>
      </c>
      <c r="AJ368" t="s">
        <v>302</v>
      </c>
      <c r="AK368" t="s">
        <v>359</v>
      </c>
      <c r="AL368" t="s">
        <v>293</v>
      </c>
      <c r="AM368" t="s">
        <v>293</v>
      </c>
      <c r="AN368" t="s">
        <v>296</v>
      </c>
      <c r="AO368" t="s">
        <v>356</v>
      </c>
      <c r="AP368" t="s">
        <v>293</v>
      </c>
      <c r="AQ368" t="s">
        <v>292</v>
      </c>
      <c r="AR368" t="s">
        <v>293</v>
      </c>
      <c r="AS368" t="s">
        <v>293</v>
      </c>
      <c r="AT368" t="s">
        <v>364</v>
      </c>
      <c r="AU368" t="str">
        <f t="shared" si="12"/>
        <v>break</v>
      </c>
    </row>
    <row r="369" spans="1:47" x14ac:dyDescent="0.3">
      <c r="A369" t="s">
        <v>9</v>
      </c>
      <c r="B369" t="s">
        <v>56</v>
      </c>
      <c r="C369" t="s">
        <v>22</v>
      </c>
      <c r="D369" t="s">
        <v>29</v>
      </c>
      <c r="E369" t="str">
        <f t="shared" si="11"/>
        <v>P_V1M-ZSB-S_9B4</v>
      </c>
      <c r="F369" t="b">
        <v>1</v>
      </c>
      <c r="G369">
        <v>63.8</v>
      </c>
      <c r="H369">
        <v>0</v>
      </c>
      <c r="I369">
        <v>15602</v>
      </c>
      <c r="J369" s="61" t="s">
        <v>13</v>
      </c>
      <c r="K369" s="16" t="s">
        <v>272</v>
      </c>
      <c r="L369" s="16">
        <v>3</v>
      </c>
      <c r="M369" s="16" t="s">
        <v>277</v>
      </c>
      <c r="N369" s="16" t="s">
        <v>335</v>
      </c>
      <c r="O369" s="15" t="s">
        <v>282</v>
      </c>
      <c r="P369" t="s">
        <v>285</v>
      </c>
      <c r="Q369" t="s">
        <v>286</v>
      </c>
      <c r="R369" s="17" t="s">
        <v>371</v>
      </c>
      <c r="S369" s="16" t="s">
        <v>340</v>
      </c>
      <c r="T369" s="16" t="s">
        <v>342</v>
      </c>
      <c r="U369" s="15" t="s">
        <v>343</v>
      </c>
      <c r="V369" s="15" t="s">
        <v>344</v>
      </c>
      <c r="W369" s="17" t="s">
        <v>347</v>
      </c>
      <c r="X369" t="s">
        <v>349</v>
      </c>
      <c r="Y369" t="s">
        <v>349</v>
      </c>
      <c r="Z369" t="s">
        <v>293</v>
      </c>
      <c r="AA369" t="s">
        <v>353</v>
      </c>
      <c r="AB369" t="s">
        <v>355</v>
      </c>
      <c r="AC369" t="s">
        <v>300</v>
      </c>
      <c r="AD369" t="s">
        <v>293</v>
      </c>
      <c r="AE369" t="s">
        <v>292</v>
      </c>
      <c r="AF369" t="s">
        <v>292</v>
      </c>
      <c r="AG369" t="s">
        <v>292</v>
      </c>
      <c r="AH369" t="s">
        <v>293</v>
      </c>
      <c r="AI369" t="s">
        <v>302</v>
      </c>
      <c r="AJ369" t="s">
        <v>302</v>
      </c>
      <c r="AK369" t="s">
        <v>359</v>
      </c>
      <c r="AL369" t="s">
        <v>293</v>
      </c>
      <c r="AM369" t="s">
        <v>293</v>
      </c>
      <c r="AN369" t="s">
        <v>296</v>
      </c>
      <c r="AO369" t="s">
        <v>356</v>
      </c>
      <c r="AP369" t="s">
        <v>293</v>
      </c>
      <c r="AQ369" t="s">
        <v>292</v>
      </c>
      <c r="AR369" t="s">
        <v>293</v>
      </c>
      <c r="AS369" t="s">
        <v>293</v>
      </c>
      <c r="AT369" t="s">
        <v>364</v>
      </c>
      <c r="AU369" t="str">
        <f t="shared" si="12"/>
        <v>no_fail</v>
      </c>
    </row>
    <row r="370" spans="1:47" x14ac:dyDescent="0.3">
      <c r="A370" t="s">
        <v>9</v>
      </c>
      <c r="B370" t="s">
        <v>67</v>
      </c>
      <c r="C370" t="s">
        <v>15</v>
      </c>
      <c r="D370" t="s">
        <v>12</v>
      </c>
      <c r="E370" t="str">
        <f t="shared" si="11"/>
        <v>P_V2A-KYY-S_0M4</v>
      </c>
      <c r="F370" t="b">
        <v>1</v>
      </c>
      <c r="G370">
        <v>43.8</v>
      </c>
      <c r="H370">
        <v>0</v>
      </c>
      <c r="I370">
        <v>17943</v>
      </c>
      <c r="J370" s="61" t="s">
        <v>13</v>
      </c>
      <c r="K370" s="16" t="s">
        <v>272</v>
      </c>
      <c r="L370" s="16">
        <v>3</v>
      </c>
      <c r="M370" s="16" t="s">
        <v>277</v>
      </c>
      <c r="N370" s="16" t="s">
        <v>335</v>
      </c>
      <c r="O370" s="15" t="s">
        <v>283</v>
      </c>
      <c r="P370" t="s">
        <v>282</v>
      </c>
      <c r="Q370" t="s">
        <v>371</v>
      </c>
      <c r="R370" s="17" t="s">
        <v>371</v>
      </c>
      <c r="S370" s="16" t="s">
        <v>341</v>
      </c>
      <c r="T370" s="16" t="s">
        <v>342</v>
      </c>
      <c r="U370" s="15" t="s">
        <v>343</v>
      </c>
      <c r="V370" s="15" t="s">
        <v>344</v>
      </c>
      <c r="W370" s="17"/>
      <c r="X370" t="s">
        <v>349</v>
      </c>
      <c r="Y370" t="s">
        <v>349</v>
      </c>
      <c r="Z370" t="s">
        <v>293</v>
      </c>
      <c r="AA370" t="s">
        <v>353</v>
      </c>
      <c r="AB370" t="s">
        <v>296</v>
      </c>
      <c r="AC370" t="s">
        <v>301</v>
      </c>
      <c r="AD370" t="s">
        <v>292</v>
      </c>
      <c r="AE370" t="s">
        <v>293</v>
      </c>
      <c r="AF370" t="s">
        <v>292</v>
      </c>
      <c r="AG370" t="s">
        <v>292</v>
      </c>
      <c r="AH370" t="s">
        <v>293</v>
      </c>
      <c r="AI370" t="s">
        <v>302</v>
      </c>
      <c r="AJ370" t="s">
        <v>302</v>
      </c>
      <c r="AK370" t="s">
        <v>359</v>
      </c>
      <c r="AL370" t="s">
        <v>293</v>
      </c>
      <c r="AM370" t="s">
        <v>293</v>
      </c>
      <c r="AN370" t="s">
        <v>296</v>
      </c>
      <c r="AO370" t="s">
        <v>298</v>
      </c>
      <c r="AP370" t="s">
        <v>293</v>
      </c>
      <c r="AQ370" t="s">
        <v>292</v>
      </c>
      <c r="AR370" t="s">
        <v>293</v>
      </c>
      <c r="AS370" t="s">
        <v>293</v>
      </c>
      <c r="AT370" t="s">
        <v>364</v>
      </c>
      <c r="AU370" t="str">
        <f t="shared" si="12"/>
        <v>no_fail</v>
      </c>
    </row>
    <row r="371" spans="1:47" x14ac:dyDescent="0.3">
      <c r="A371" t="s">
        <v>9</v>
      </c>
      <c r="B371" t="s">
        <v>67</v>
      </c>
      <c r="C371" t="s">
        <v>14</v>
      </c>
      <c r="D371" t="s">
        <v>12</v>
      </c>
      <c r="E371" t="str">
        <f t="shared" si="11"/>
        <v>P_V2A-KYY-S_1B0</v>
      </c>
      <c r="F371" t="b">
        <v>1</v>
      </c>
      <c r="G371">
        <v>85.9</v>
      </c>
      <c r="H371">
        <v>0</v>
      </c>
      <c r="I371">
        <v>16911</v>
      </c>
      <c r="J371" s="61" t="s">
        <v>13</v>
      </c>
      <c r="K371" s="16" t="s">
        <v>272</v>
      </c>
      <c r="L371" s="16">
        <v>3</v>
      </c>
      <c r="M371" s="16" t="s">
        <v>277</v>
      </c>
      <c r="N371" s="16" t="s">
        <v>335</v>
      </c>
      <c r="O371" s="15" t="s">
        <v>283</v>
      </c>
      <c r="P371" t="s">
        <v>282</v>
      </c>
      <c r="Q371" t="s">
        <v>371</v>
      </c>
      <c r="R371" s="17" t="s">
        <v>371</v>
      </c>
      <c r="S371" s="16" t="s">
        <v>341</v>
      </c>
      <c r="T371" s="16" t="s">
        <v>342</v>
      </c>
      <c r="U371" s="15" t="s">
        <v>343</v>
      </c>
      <c r="V371" s="15" t="s">
        <v>344</v>
      </c>
      <c r="W371" s="17" t="s">
        <v>377</v>
      </c>
      <c r="X371" t="s">
        <v>349</v>
      </c>
      <c r="Y371" t="s">
        <v>349</v>
      </c>
      <c r="Z371" t="s">
        <v>293</v>
      </c>
      <c r="AA371" t="s">
        <v>353</v>
      </c>
      <c r="AB371" t="s">
        <v>296</v>
      </c>
      <c r="AC371" t="s">
        <v>301</v>
      </c>
      <c r="AD371" t="s">
        <v>292</v>
      </c>
      <c r="AE371" t="s">
        <v>293</v>
      </c>
      <c r="AF371" t="s">
        <v>292</v>
      </c>
      <c r="AG371" t="s">
        <v>292</v>
      </c>
      <c r="AH371" t="s">
        <v>293</v>
      </c>
      <c r="AI371" t="s">
        <v>302</v>
      </c>
      <c r="AJ371" t="s">
        <v>302</v>
      </c>
      <c r="AK371" t="s">
        <v>359</v>
      </c>
      <c r="AL371" t="s">
        <v>293</v>
      </c>
      <c r="AM371" t="s">
        <v>293</v>
      </c>
      <c r="AN371" t="s">
        <v>296</v>
      </c>
      <c r="AO371" t="s">
        <v>298</v>
      </c>
      <c r="AP371" t="s">
        <v>293</v>
      </c>
      <c r="AQ371" t="s">
        <v>292</v>
      </c>
      <c r="AR371" t="s">
        <v>293</v>
      </c>
      <c r="AS371" t="s">
        <v>293</v>
      </c>
      <c r="AT371" t="s">
        <v>364</v>
      </c>
      <c r="AU371" t="str">
        <f t="shared" si="12"/>
        <v>no_fail</v>
      </c>
    </row>
    <row r="372" spans="1:47" x14ac:dyDescent="0.3">
      <c r="A372" t="s">
        <v>9</v>
      </c>
      <c r="B372" t="s">
        <v>67</v>
      </c>
      <c r="C372" t="s">
        <v>11</v>
      </c>
      <c r="D372" t="s">
        <v>12</v>
      </c>
      <c r="E372" t="str">
        <f t="shared" si="11"/>
        <v>P_V2A-KYY-S_1Q4</v>
      </c>
      <c r="F372" t="b">
        <v>1</v>
      </c>
      <c r="G372">
        <v>100</v>
      </c>
      <c r="H372">
        <v>1</v>
      </c>
      <c r="I372">
        <v>12934</v>
      </c>
      <c r="J372" s="61" t="s">
        <v>18</v>
      </c>
      <c r="K372" s="16" t="s">
        <v>272</v>
      </c>
      <c r="L372" s="16">
        <v>3</v>
      </c>
      <c r="M372" s="16" t="s">
        <v>277</v>
      </c>
      <c r="N372" s="16" t="s">
        <v>335</v>
      </c>
      <c r="O372" s="15" t="s">
        <v>283</v>
      </c>
      <c r="P372" t="s">
        <v>282</v>
      </c>
      <c r="Q372" t="s">
        <v>371</v>
      </c>
      <c r="R372" s="17" t="s">
        <v>371</v>
      </c>
      <c r="S372" s="16" t="s">
        <v>341</v>
      </c>
      <c r="T372" s="16" t="s">
        <v>342</v>
      </c>
      <c r="U372" s="15" t="s">
        <v>343</v>
      </c>
      <c r="V372" s="15" t="s">
        <v>344</v>
      </c>
      <c r="W372" s="17" t="s">
        <v>377</v>
      </c>
      <c r="X372" t="s">
        <v>349</v>
      </c>
      <c r="Y372" t="s">
        <v>349</v>
      </c>
      <c r="Z372" t="s">
        <v>292</v>
      </c>
      <c r="AA372" t="s">
        <v>353</v>
      </c>
      <c r="AB372" t="s">
        <v>355</v>
      </c>
      <c r="AC372" t="s">
        <v>301</v>
      </c>
      <c r="AD372" t="s">
        <v>292</v>
      </c>
      <c r="AE372" t="s">
        <v>293</v>
      </c>
      <c r="AF372" t="s">
        <v>293</v>
      </c>
      <c r="AG372" t="s">
        <v>292</v>
      </c>
      <c r="AH372" t="s">
        <v>293</v>
      </c>
      <c r="AI372" t="s">
        <v>358</v>
      </c>
      <c r="AJ372" t="s">
        <v>302</v>
      </c>
      <c r="AK372" t="s">
        <v>302</v>
      </c>
      <c r="AL372" t="s">
        <v>293</v>
      </c>
      <c r="AM372" t="s">
        <v>293</v>
      </c>
      <c r="AN372" t="s">
        <v>296</v>
      </c>
      <c r="AO372" t="s">
        <v>298</v>
      </c>
      <c r="AP372" t="s">
        <v>293</v>
      </c>
      <c r="AQ372" t="s">
        <v>292</v>
      </c>
      <c r="AR372" t="s">
        <v>293</v>
      </c>
      <c r="AS372" t="s">
        <v>293</v>
      </c>
      <c r="AT372" t="s">
        <v>364</v>
      </c>
      <c r="AU372" t="str">
        <f t="shared" si="12"/>
        <v>break</v>
      </c>
    </row>
    <row r="373" spans="1:47" x14ac:dyDescent="0.3">
      <c r="A373" t="s">
        <v>9</v>
      </c>
      <c r="B373" t="s">
        <v>67</v>
      </c>
      <c r="C373" t="s">
        <v>19</v>
      </c>
      <c r="D373" t="s">
        <v>12</v>
      </c>
      <c r="E373" t="str">
        <f t="shared" si="11"/>
        <v>P_V2A-KYY-S_4U3</v>
      </c>
      <c r="F373" t="b">
        <v>1</v>
      </c>
      <c r="G373">
        <v>83.2</v>
      </c>
      <c r="H373">
        <v>0</v>
      </c>
      <c r="I373">
        <v>12045</v>
      </c>
      <c r="J373" s="61" t="s">
        <v>13</v>
      </c>
      <c r="K373" s="16" t="s">
        <v>272</v>
      </c>
      <c r="L373" s="16">
        <v>3</v>
      </c>
      <c r="M373" s="16" t="s">
        <v>277</v>
      </c>
      <c r="N373" s="16" t="s">
        <v>335</v>
      </c>
      <c r="O373" s="15" t="s">
        <v>283</v>
      </c>
      <c r="P373" t="s">
        <v>339</v>
      </c>
      <c r="Q373" t="s">
        <v>282</v>
      </c>
      <c r="R373" s="17" t="s">
        <v>371</v>
      </c>
      <c r="S373" s="16" t="s">
        <v>341</v>
      </c>
      <c r="T373" s="16" t="s">
        <v>342</v>
      </c>
      <c r="U373" s="15" t="s">
        <v>343</v>
      </c>
      <c r="V373" s="15" t="s">
        <v>344</v>
      </c>
      <c r="W373" s="17" t="s">
        <v>377</v>
      </c>
      <c r="X373" t="s">
        <v>349</v>
      </c>
      <c r="Y373" t="s">
        <v>349</v>
      </c>
      <c r="Z373" t="s">
        <v>292</v>
      </c>
      <c r="AA373" t="s">
        <v>353</v>
      </c>
      <c r="AB373" t="s">
        <v>355</v>
      </c>
      <c r="AC373" t="s">
        <v>301</v>
      </c>
      <c r="AD373" t="s">
        <v>292</v>
      </c>
      <c r="AE373" t="s">
        <v>293</v>
      </c>
      <c r="AF373" t="s">
        <v>292</v>
      </c>
      <c r="AG373" t="s">
        <v>292</v>
      </c>
      <c r="AH373" t="s">
        <v>293</v>
      </c>
      <c r="AI373" t="s">
        <v>302</v>
      </c>
      <c r="AJ373" t="s">
        <v>302</v>
      </c>
      <c r="AK373" t="s">
        <v>359</v>
      </c>
      <c r="AL373" t="s">
        <v>293</v>
      </c>
      <c r="AM373" t="s">
        <v>293</v>
      </c>
      <c r="AN373" t="s">
        <v>297</v>
      </c>
      <c r="AO373" t="s">
        <v>298</v>
      </c>
      <c r="AP373" t="s">
        <v>293</v>
      </c>
      <c r="AQ373" t="s">
        <v>292</v>
      </c>
      <c r="AR373" t="s">
        <v>293</v>
      </c>
      <c r="AS373" t="s">
        <v>293</v>
      </c>
      <c r="AT373" t="s">
        <v>364</v>
      </c>
      <c r="AU373" t="str">
        <f t="shared" si="12"/>
        <v>no_fail</v>
      </c>
    </row>
    <row r="374" spans="1:47" x14ac:dyDescent="0.3">
      <c r="A374" t="s">
        <v>9</v>
      </c>
      <c r="B374" t="s">
        <v>67</v>
      </c>
      <c r="C374" t="s">
        <v>17</v>
      </c>
      <c r="D374" t="s">
        <v>12</v>
      </c>
      <c r="E374" t="str">
        <f t="shared" si="11"/>
        <v>P_V2A-KYY-S_6B5</v>
      </c>
      <c r="F374" t="b">
        <v>1</v>
      </c>
      <c r="G374">
        <v>62.3</v>
      </c>
      <c r="H374">
        <v>0</v>
      </c>
      <c r="I374">
        <v>14810</v>
      </c>
      <c r="J374" s="61" t="s">
        <v>13</v>
      </c>
      <c r="K374" s="16" t="s">
        <v>272</v>
      </c>
      <c r="L374" s="16">
        <v>3</v>
      </c>
      <c r="M374" s="16" t="s">
        <v>277</v>
      </c>
      <c r="N374" s="16" t="s">
        <v>335</v>
      </c>
      <c r="O374" s="15" t="s">
        <v>283</v>
      </c>
      <c r="P374" t="s">
        <v>282</v>
      </c>
      <c r="Q374" t="s">
        <v>371</v>
      </c>
      <c r="R374" s="17" t="s">
        <v>371</v>
      </c>
      <c r="S374" s="16" t="s">
        <v>341</v>
      </c>
      <c r="T374" s="16" t="s">
        <v>342</v>
      </c>
      <c r="U374" s="15" t="s">
        <v>343</v>
      </c>
      <c r="V374" s="15" t="s">
        <v>344</v>
      </c>
      <c r="W374" s="17"/>
      <c r="X374" t="s">
        <v>349</v>
      </c>
      <c r="Y374" t="s">
        <v>349</v>
      </c>
      <c r="Z374" t="s">
        <v>293</v>
      </c>
      <c r="AA374" t="s">
        <v>353</v>
      </c>
      <c r="AB374" t="s">
        <v>355</v>
      </c>
      <c r="AC374" t="s">
        <v>301</v>
      </c>
      <c r="AD374" t="s">
        <v>292</v>
      </c>
      <c r="AE374" t="s">
        <v>293</v>
      </c>
      <c r="AF374" t="s">
        <v>292</v>
      </c>
      <c r="AG374" t="s">
        <v>292</v>
      </c>
      <c r="AH374" t="s">
        <v>293</v>
      </c>
      <c r="AI374" t="s">
        <v>302</v>
      </c>
      <c r="AJ374" t="s">
        <v>302</v>
      </c>
      <c r="AK374" t="s">
        <v>359</v>
      </c>
      <c r="AL374" t="s">
        <v>293</v>
      </c>
      <c r="AM374" t="s">
        <v>293</v>
      </c>
      <c r="AN374" t="s">
        <v>297</v>
      </c>
      <c r="AO374" t="s">
        <v>298</v>
      </c>
      <c r="AP374" t="s">
        <v>293</v>
      </c>
      <c r="AQ374" t="s">
        <v>292</v>
      </c>
      <c r="AR374" t="s">
        <v>293</v>
      </c>
      <c r="AS374" t="s">
        <v>293</v>
      </c>
      <c r="AT374" t="s">
        <v>364</v>
      </c>
      <c r="AU374" t="str">
        <f t="shared" si="12"/>
        <v>no_fail</v>
      </c>
    </row>
    <row r="375" spans="1:47" x14ac:dyDescent="0.3">
      <c r="A375" t="s">
        <v>9</v>
      </c>
      <c r="B375" t="s">
        <v>67</v>
      </c>
      <c r="C375" t="s">
        <v>16</v>
      </c>
      <c r="D375" t="s">
        <v>12</v>
      </c>
      <c r="E375" t="str">
        <f t="shared" si="11"/>
        <v>P_V2A-KYY-S_6U7</v>
      </c>
      <c r="F375" t="b">
        <v>1</v>
      </c>
      <c r="G375">
        <v>44.5</v>
      </c>
      <c r="H375">
        <v>0</v>
      </c>
      <c r="I375">
        <v>16540</v>
      </c>
      <c r="J375" s="61" t="s">
        <v>13</v>
      </c>
      <c r="K375" s="16" t="s">
        <v>272</v>
      </c>
      <c r="L375" s="16">
        <v>3</v>
      </c>
      <c r="M375" s="16" t="s">
        <v>277</v>
      </c>
      <c r="N375" s="16" t="s">
        <v>335</v>
      </c>
      <c r="O375" s="15" t="s">
        <v>283</v>
      </c>
      <c r="P375" t="s">
        <v>282</v>
      </c>
      <c r="Q375" t="s">
        <v>371</v>
      </c>
      <c r="R375" s="17" t="s">
        <v>371</v>
      </c>
      <c r="S375" s="16" t="s">
        <v>341</v>
      </c>
      <c r="T375" s="16" t="s">
        <v>342</v>
      </c>
      <c r="U375" s="15" t="s">
        <v>343</v>
      </c>
      <c r="V375" s="15" t="s">
        <v>344</v>
      </c>
      <c r="W375" s="17"/>
      <c r="X375" t="s">
        <v>349</v>
      </c>
      <c r="Y375" t="s">
        <v>349</v>
      </c>
      <c r="Z375" t="s">
        <v>293</v>
      </c>
      <c r="AA375" t="s">
        <v>353</v>
      </c>
      <c r="AB375" t="s">
        <v>355</v>
      </c>
      <c r="AC375" t="s">
        <v>301</v>
      </c>
      <c r="AD375" t="s">
        <v>292</v>
      </c>
      <c r="AE375" t="s">
        <v>293</v>
      </c>
      <c r="AF375" t="s">
        <v>292</v>
      </c>
      <c r="AG375" t="s">
        <v>292</v>
      </c>
      <c r="AH375" t="s">
        <v>293</v>
      </c>
      <c r="AI375" t="s">
        <v>302</v>
      </c>
      <c r="AJ375" t="s">
        <v>302</v>
      </c>
      <c r="AK375" t="s">
        <v>359</v>
      </c>
      <c r="AL375" t="s">
        <v>293</v>
      </c>
      <c r="AM375" t="s">
        <v>293</v>
      </c>
      <c r="AN375" t="s">
        <v>297</v>
      </c>
      <c r="AO375" t="s">
        <v>298</v>
      </c>
      <c r="AP375" t="s">
        <v>293</v>
      </c>
      <c r="AQ375" t="s">
        <v>292</v>
      </c>
      <c r="AR375" t="s">
        <v>293</v>
      </c>
      <c r="AS375" t="s">
        <v>293</v>
      </c>
      <c r="AT375" t="s">
        <v>364</v>
      </c>
      <c r="AU375" t="str">
        <f t="shared" si="12"/>
        <v>no_fail</v>
      </c>
    </row>
    <row r="376" spans="1:47" x14ac:dyDescent="0.3">
      <c r="A376" t="s">
        <v>9</v>
      </c>
      <c r="B376" t="s">
        <v>67</v>
      </c>
      <c r="C376" t="s">
        <v>23</v>
      </c>
      <c r="D376" t="s">
        <v>29</v>
      </c>
      <c r="E376" t="str">
        <f t="shared" si="11"/>
        <v>P_V2A-ZSB-S_0T2</v>
      </c>
      <c r="F376" t="b">
        <v>1</v>
      </c>
      <c r="G376">
        <v>47.8</v>
      </c>
      <c r="H376">
        <v>0</v>
      </c>
      <c r="I376">
        <v>15375</v>
      </c>
      <c r="J376" s="61" t="s">
        <v>13</v>
      </c>
      <c r="K376" s="16" t="s">
        <v>272</v>
      </c>
      <c r="L376" s="16">
        <v>3</v>
      </c>
      <c r="M376" s="16" t="s">
        <v>277</v>
      </c>
      <c r="N376" s="16" t="s">
        <v>335</v>
      </c>
      <c r="O376" s="15" t="s">
        <v>282</v>
      </c>
      <c r="P376" t="s">
        <v>371</v>
      </c>
      <c r="Q376" t="s">
        <v>371</v>
      </c>
      <c r="R376" s="17" t="s">
        <v>371</v>
      </c>
      <c r="S376" s="16" t="s">
        <v>341</v>
      </c>
      <c r="T376" s="16" t="s">
        <v>340</v>
      </c>
      <c r="U376" s="15" t="s">
        <v>343</v>
      </c>
      <c r="V376" s="15" t="s">
        <v>345</v>
      </c>
      <c r="W376" s="17"/>
      <c r="X376" t="s">
        <v>349</v>
      </c>
      <c r="Y376" t="s">
        <v>349</v>
      </c>
      <c r="Z376" t="s">
        <v>293</v>
      </c>
      <c r="AA376" t="s">
        <v>353</v>
      </c>
      <c r="AB376" t="s">
        <v>296</v>
      </c>
      <c r="AC376" t="s">
        <v>301</v>
      </c>
      <c r="AD376" t="s">
        <v>292</v>
      </c>
      <c r="AE376" t="s">
        <v>293</v>
      </c>
      <c r="AF376" t="s">
        <v>292</v>
      </c>
      <c r="AG376" t="s">
        <v>292</v>
      </c>
      <c r="AH376" t="s">
        <v>293</v>
      </c>
      <c r="AI376" t="s">
        <v>302</v>
      </c>
      <c r="AJ376" t="s">
        <v>302</v>
      </c>
      <c r="AK376" t="s">
        <v>359</v>
      </c>
      <c r="AL376" t="s">
        <v>293</v>
      </c>
      <c r="AM376" t="s">
        <v>293</v>
      </c>
      <c r="AN376" t="s">
        <v>297</v>
      </c>
      <c r="AO376" t="s">
        <v>298</v>
      </c>
      <c r="AP376" t="s">
        <v>293</v>
      </c>
      <c r="AQ376" t="s">
        <v>292</v>
      </c>
      <c r="AR376" t="s">
        <v>293</v>
      </c>
      <c r="AS376" t="s">
        <v>293</v>
      </c>
      <c r="AT376" t="s">
        <v>364</v>
      </c>
      <c r="AU376" t="str">
        <f t="shared" si="12"/>
        <v>no_fail</v>
      </c>
    </row>
    <row r="377" spans="1:47" x14ac:dyDescent="0.3">
      <c r="A377" t="s">
        <v>9</v>
      </c>
      <c r="B377" t="s">
        <v>67</v>
      </c>
      <c r="C377" t="s">
        <v>25</v>
      </c>
      <c r="D377" t="s">
        <v>29</v>
      </c>
      <c r="E377" t="str">
        <f t="shared" si="11"/>
        <v>P_V2A-ZSB-S_1J8</v>
      </c>
      <c r="F377" t="b">
        <v>1</v>
      </c>
      <c r="G377">
        <v>56.6</v>
      </c>
      <c r="H377">
        <v>0</v>
      </c>
      <c r="I377">
        <v>11010</v>
      </c>
      <c r="J377" s="61" t="s">
        <v>13</v>
      </c>
      <c r="K377" s="16" t="s">
        <v>272</v>
      </c>
      <c r="L377" s="16">
        <v>3</v>
      </c>
      <c r="M377" s="16" t="s">
        <v>277</v>
      </c>
      <c r="N377" s="16" t="s">
        <v>335</v>
      </c>
      <c r="O377" s="15" t="s">
        <v>282</v>
      </c>
      <c r="P377" t="s">
        <v>371</v>
      </c>
      <c r="Q377" t="s">
        <v>371</v>
      </c>
      <c r="R377" s="17" t="s">
        <v>371</v>
      </c>
      <c r="S377" s="16" t="s">
        <v>341</v>
      </c>
      <c r="T377" s="16" t="s">
        <v>340</v>
      </c>
      <c r="U377" s="15" t="s">
        <v>343</v>
      </c>
      <c r="V377" s="15" t="s">
        <v>345</v>
      </c>
      <c r="W377" s="17"/>
      <c r="X377" t="s">
        <v>349</v>
      </c>
      <c r="Y377" t="s">
        <v>349</v>
      </c>
      <c r="Z377" t="s">
        <v>293</v>
      </c>
      <c r="AA377" t="s">
        <v>352</v>
      </c>
      <c r="AB377" t="s">
        <v>296</v>
      </c>
      <c r="AC377" t="s">
        <v>301</v>
      </c>
      <c r="AD377" t="s">
        <v>292</v>
      </c>
      <c r="AE377" t="s">
        <v>293</v>
      </c>
      <c r="AF377" t="s">
        <v>292</v>
      </c>
      <c r="AG377" t="s">
        <v>292</v>
      </c>
      <c r="AH377" t="s">
        <v>293</v>
      </c>
      <c r="AI377" t="s">
        <v>302</v>
      </c>
      <c r="AJ377" t="s">
        <v>302</v>
      </c>
      <c r="AK377" t="s">
        <v>359</v>
      </c>
      <c r="AL377" t="s">
        <v>293</v>
      </c>
      <c r="AM377" t="s">
        <v>293</v>
      </c>
      <c r="AN377" t="s">
        <v>297</v>
      </c>
      <c r="AO377" t="s">
        <v>298</v>
      </c>
      <c r="AP377" t="s">
        <v>293</v>
      </c>
      <c r="AQ377" t="s">
        <v>292</v>
      </c>
      <c r="AR377" t="s">
        <v>293</v>
      </c>
      <c r="AS377" t="s">
        <v>293</v>
      </c>
      <c r="AT377" t="s">
        <v>364</v>
      </c>
      <c r="AU377" t="str">
        <f t="shared" si="12"/>
        <v>no_fail</v>
      </c>
    </row>
    <row r="378" spans="1:47" x14ac:dyDescent="0.3">
      <c r="A378" t="s">
        <v>9</v>
      </c>
      <c r="B378" t="s">
        <v>67</v>
      </c>
      <c r="C378" t="s">
        <v>24</v>
      </c>
      <c r="D378" t="s">
        <v>29</v>
      </c>
      <c r="E378" t="str">
        <f t="shared" si="11"/>
        <v>P_V2A-ZSB-S_1U0</v>
      </c>
      <c r="F378" t="b">
        <v>1</v>
      </c>
      <c r="G378">
        <v>53.1</v>
      </c>
      <c r="H378">
        <v>0</v>
      </c>
      <c r="I378">
        <v>12173</v>
      </c>
      <c r="J378" s="61" t="s">
        <v>13</v>
      </c>
      <c r="K378" s="16" t="s">
        <v>272</v>
      </c>
      <c r="L378" s="16">
        <v>3</v>
      </c>
      <c r="M378" s="16" t="s">
        <v>277</v>
      </c>
      <c r="N378" s="16" t="s">
        <v>335</v>
      </c>
      <c r="O378" s="15" t="s">
        <v>282</v>
      </c>
      <c r="P378" t="s">
        <v>371</v>
      </c>
      <c r="Q378" t="s">
        <v>371</v>
      </c>
      <c r="R378" s="17" t="s">
        <v>371</v>
      </c>
      <c r="S378" s="16" t="s">
        <v>341</v>
      </c>
      <c r="T378" s="16" t="s">
        <v>340</v>
      </c>
      <c r="U378" s="15" t="s">
        <v>343</v>
      </c>
      <c r="V378" s="15" t="s">
        <v>345</v>
      </c>
      <c r="W378" s="17"/>
      <c r="X378" t="s">
        <v>349</v>
      </c>
      <c r="Y378" t="s">
        <v>349</v>
      </c>
      <c r="Z378" t="s">
        <v>293</v>
      </c>
      <c r="AA378" t="s">
        <v>352</v>
      </c>
      <c r="AB378" t="s">
        <v>296</v>
      </c>
      <c r="AC378" t="s">
        <v>301</v>
      </c>
      <c r="AD378" t="s">
        <v>292</v>
      </c>
      <c r="AE378" t="s">
        <v>293</v>
      </c>
      <c r="AF378" t="s">
        <v>292</v>
      </c>
      <c r="AG378" t="s">
        <v>292</v>
      </c>
      <c r="AH378" t="s">
        <v>293</v>
      </c>
      <c r="AI378" t="s">
        <v>302</v>
      </c>
      <c r="AJ378" t="s">
        <v>302</v>
      </c>
      <c r="AK378" t="s">
        <v>359</v>
      </c>
      <c r="AL378" t="s">
        <v>293</v>
      </c>
      <c r="AM378" t="s">
        <v>293</v>
      </c>
      <c r="AN378" t="s">
        <v>297</v>
      </c>
      <c r="AO378" t="s">
        <v>298</v>
      </c>
      <c r="AP378" t="s">
        <v>293</v>
      </c>
      <c r="AQ378" t="s">
        <v>292</v>
      </c>
      <c r="AR378" t="s">
        <v>293</v>
      </c>
      <c r="AS378" t="s">
        <v>293</v>
      </c>
      <c r="AT378" t="s">
        <v>364</v>
      </c>
      <c r="AU378" t="str">
        <f t="shared" si="12"/>
        <v>no_fail</v>
      </c>
    </row>
    <row r="379" spans="1:47" x14ac:dyDescent="0.3">
      <c r="A379" t="s">
        <v>9</v>
      </c>
      <c r="B379" t="s">
        <v>67</v>
      </c>
      <c r="C379" t="s">
        <v>21</v>
      </c>
      <c r="D379" t="s">
        <v>29</v>
      </c>
      <c r="E379" t="str">
        <f t="shared" si="11"/>
        <v>P_V2A-ZSB-S_3X6</v>
      </c>
      <c r="F379" t="b">
        <v>1</v>
      </c>
      <c r="G379">
        <v>100</v>
      </c>
      <c r="H379">
        <v>1</v>
      </c>
      <c r="I379">
        <v>10549</v>
      </c>
      <c r="J379" s="61" t="s">
        <v>18</v>
      </c>
      <c r="K379" s="16" t="s">
        <v>272</v>
      </c>
      <c r="L379" s="16">
        <v>2</v>
      </c>
      <c r="M379" s="16" t="s">
        <v>277</v>
      </c>
      <c r="N379" s="16" t="s">
        <v>335</v>
      </c>
      <c r="O379" s="15" t="s">
        <v>282</v>
      </c>
      <c r="P379" t="s">
        <v>371</v>
      </c>
      <c r="Q379" t="s">
        <v>371</v>
      </c>
      <c r="R379" s="17" t="s">
        <v>371</v>
      </c>
      <c r="S379" s="16" t="s">
        <v>341</v>
      </c>
      <c r="T379" s="16" t="s">
        <v>340</v>
      </c>
      <c r="U379" s="15" t="s">
        <v>340</v>
      </c>
      <c r="V379" s="15" t="s">
        <v>345</v>
      </c>
      <c r="W379" s="17"/>
      <c r="X379" t="s">
        <v>349</v>
      </c>
      <c r="Y379" t="s">
        <v>349</v>
      </c>
      <c r="Z379" t="s">
        <v>293</v>
      </c>
      <c r="AA379" t="s">
        <v>354</v>
      </c>
      <c r="AB379" t="s">
        <v>354</v>
      </c>
      <c r="AC379" t="s">
        <v>301</v>
      </c>
      <c r="AD379" t="s">
        <v>292</v>
      </c>
      <c r="AE379" t="s">
        <v>293</v>
      </c>
      <c r="AF379" t="s">
        <v>292</v>
      </c>
      <c r="AG379" t="s">
        <v>292</v>
      </c>
      <c r="AH379" t="s">
        <v>293</v>
      </c>
      <c r="AI379" t="s">
        <v>302</v>
      </c>
      <c r="AJ379" t="s">
        <v>302</v>
      </c>
      <c r="AK379" t="s">
        <v>357</v>
      </c>
      <c r="AL379" t="s">
        <v>293</v>
      </c>
      <c r="AM379" t="s">
        <v>293</v>
      </c>
      <c r="AN379" t="s">
        <v>297</v>
      </c>
      <c r="AO379" t="s">
        <v>298</v>
      </c>
      <c r="AP379" t="s">
        <v>293</v>
      </c>
      <c r="AQ379" t="s">
        <v>292</v>
      </c>
      <c r="AR379" t="s">
        <v>293</v>
      </c>
      <c r="AS379" t="s">
        <v>293</v>
      </c>
      <c r="AT379" t="s">
        <v>364</v>
      </c>
      <c r="AU379" t="str">
        <f t="shared" si="12"/>
        <v>break</v>
      </c>
    </row>
    <row r="380" spans="1:47" x14ac:dyDescent="0.3">
      <c r="A380" t="s">
        <v>9</v>
      </c>
      <c r="B380" t="s">
        <v>67</v>
      </c>
      <c r="C380" t="s">
        <v>30</v>
      </c>
      <c r="D380" t="s">
        <v>29</v>
      </c>
      <c r="E380" t="str">
        <f t="shared" si="11"/>
        <v>P_V2A-ZSB-S_3X7</v>
      </c>
      <c r="F380" t="b">
        <v>1</v>
      </c>
      <c r="G380">
        <v>100</v>
      </c>
      <c r="H380">
        <v>1</v>
      </c>
      <c r="I380">
        <v>13633</v>
      </c>
      <c r="J380" s="61" t="s">
        <v>18</v>
      </c>
      <c r="K380" s="16" t="s">
        <v>272</v>
      </c>
      <c r="L380" s="16">
        <v>3</v>
      </c>
      <c r="M380" s="16" t="s">
        <v>277</v>
      </c>
      <c r="N380" s="16" t="s">
        <v>335</v>
      </c>
      <c r="O380" s="15" t="s">
        <v>282</v>
      </c>
      <c r="P380" t="s">
        <v>371</v>
      </c>
      <c r="Q380" t="s">
        <v>371</v>
      </c>
      <c r="R380" s="17" t="s">
        <v>371</v>
      </c>
      <c r="S380" s="16" t="s">
        <v>341</v>
      </c>
      <c r="T380" s="16" t="s">
        <v>342</v>
      </c>
      <c r="U380" s="15" t="s">
        <v>343</v>
      </c>
      <c r="V380" s="15" t="s">
        <v>344</v>
      </c>
      <c r="W380" s="17"/>
      <c r="X380" t="s">
        <v>349</v>
      </c>
      <c r="Y380" t="s">
        <v>349</v>
      </c>
      <c r="Z380" t="s">
        <v>293</v>
      </c>
      <c r="AA380" t="s">
        <v>353</v>
      </c>
      <c r="AB380" t="s">
        <v>296</v>
      </c>
      <c r="AC380" t="s">
        <v>301</v>
      </c>
      <c r="AD380" t="s">
        <v>292</v>
      </c>
      <c r="AE380" t="s">
        <v>293</v>
      </c>
      <c r="AF380" t="s">
        <v>292</v>
      </c>
      <c r="AG380" t="s">
        <v>292</v>
      </c>
      <c r="AH380" t="s">
        <v>293</v>
      </c>
      <c r="AI380" t="s">
        <v>302</v>
      </c>
      <c r="AJ380" t="s">
        <v>302</v>
      </c>
      <c r="AK380" t="s">
        <v>359</v>
      </c>
      <c r="AL380" t="s">
        <v>293</v>
      </c>
      <c r="AM380" t="s">
        <v>293</v>
      </c>
      <c r="AN380" t="s">
        <v>297</v>
      </c>
      <c r="AO380" t="s">
        <v>298</v>
      </c>
      <c r="AP380" t="s">
        <v>293</v>
      </c>
      <c r="AQ380" t="s">
        <v>292</v>
      </c>
      <c r="AR380" t="s">
        <v>293</v>
      </c>
      <c r="AS380" t="s">
        <v>293</v>
      </c>
      <c r="AT380" t="s">
        <v>364</v>
      </c>
      <c r="AU380" t="str">
        <f t="shared" si="12"/>
        <v>break</v>
      </c>
    </row>
    <row r="381" spans="1:47" x14ac:dyDescent="0.3">
      <c r="A381" t="s">
        <v>9</v>
      </c>
      <c r="B381" t="s">
        <v>67</v>
      </c>
      <c r="C381" t="s">
        <v>20</v>
      </c>
      <c r="D381" t="s">
        <v>29</v>
      </c>
      <c r="E381" t="str">
        <f t="shared" si="11"/>
        <v>P_V2A-ZSB-S_7W0</v>
      </c>
      <c r="F381" t="b">
        <v>1</v>
      </c>
      <c r="G381">
        <v>100</v>
      </c>
      <c r="H381">
        <v>1</v>
      </c>
      <c r="I381">
        <v>9742</v>
      </c>
      <c r="J381" s="61" t="s">
        <v>18</v>
      </c>
      <c r="K381" s="16" t="s">
        <v>272</v>
      </c>
      <c r="L381" s="16">
        <v>2</v>
      </c>
      <c r="M381" s="16" t="s">
        <v>277</v>
      </c>
      <c r="N381" s="16" t="s">
        <v>335</v>
      </c>
      <c r="O381" s="15" t="s">
        <v>282</v>
      </c>
      <c r="P381" t="s">
        <v>371</v>
      </c>
      <c r="Q381" t="s">
        <v>371</v>
      </c>
      <c r="R381" s="17" t="s">
        <v>371</v>
      </c>
      <c r="S381" s="16" t="s">
        <v>341</v>
      </c>
      <c r="T381" s="16" t="s">
        <v>340</v>
      </c>
      <c r="U381" s="15" t="s">
        <v>340</v>
      </c>
      <c r="V381" s="15" t="s">
        <v>345</v>
      </c>
      <c r="W381" s="17"/>
      <c r="X381" t="s">
        <v>349</v>
      </c>
      <c r="Y381" t="s">
        <v>349</v>
      </c>
      <c r="Z381" t="s">
        <v>293</v>
      </c>
      <c r="AA381" t="s">
        <v>354</v>
      </c>
      <c r="AB381" t="s">
        <v>354</v>
      </c>
      <c r="AC381" t="s">
        <v>301</v>
      </c>
      <c r="AD381" t="s">
        <v>292</v>
      </c>
      <c r="AE381" t="s">
        <v>293</v>
      </c>
      <c r="AF381" t="s">
        <v>292</v>
      </c>
      <c r="AG381" t="s">
        <v>293</v>
      </c>
      <c r="AH381" t="s">
        <v>293</v>
      </c>
      <c r="AI381" t="s">
        <v>302</v>
      </c>
      <c r="AJ381" t="s">
        <v>302</v>
      </c>
      <c r="AK381" t="s">
        <v>357</v>
      </c>
      <c r="AL381" t="s">
        <v>293</v>
      </c>
      <c r="AM381" t="s">
        <v>293</v>
      </c>
      <c r="AN381" t="s">
        <v>297</v>
      </c>
      <c r="AO381" t="s">
        <v>298</v>
      </c>
      <c r="AP381" t="s">
        <v>293</v>
      </c>
      <c r="AQ381" t="s">
        <v>292</v>
      </c>
      <c r="AR381" t="s">
        <v>293</v>
      </c>
      <c r="AS381" t="s">
        <v>293</v>
      </c>
      <c r="AT381" t="s">
        <v>364</v>
      </c>
      <c r="AU381" t="str">
        <f t="shared" si="12"/>
        <v>break</v>
      </c>
    </row>
    <row r="382" spans="1:47" x14ac:dyDescent="0.3">
      <c r="A382" t="s">
        <v>9</v>
      </c>
      <c r="B382" t="s">
        <v>67</v>
      </c>
      <c r="C382" t="s">
        <v>26</v>
      </c>
      <c r="D382" t="s">
        <v>29</v>
      </c>
      <c r="E382" t="str">
        <f t="shared" si="11"/>
        <v>P_V2A-ZSB-S_8O8</v>
      </c>
      <c r="F382" t="b">
        <v>1</v>
      </c>
      <c r="G382">
        <v>100</v>
      </c>
      <c r="H382">
        <v>1</v>
      </c>
      <c r="I382">
        <v>9899</v>
      </c>
      <c r="J382" s="61" t="s">
        <v>18</v>
      </c>
      <c r="K382" s="16" t="s">
        <v>272</v>
      </c>
      <c r="L382" s="16">
        <v>3</v>
      </c>
      <c r="M382" s="16" t="s">
        <v>277</v>
      </c>
      <c r="N382" s="16" t="s">
        <v>335</v>
      </c>
      <c r="O382" s="15" t="s">
        <v>282</v>
      </c>
      <c r="P382" t="s">
        <v>371</v>
      </c>
      <c r="Q382" t="s">
        <v>371</v>
      </c>
      <c r="R382" s="17" t="s">
        <v>371</v>
      </c>
      <c r="S382" s="16" t="s">
        <v>341</v>
      </c>
      <c r="T382" s="16" t="s">
        <v>340</v>
      </c>
      <c r="U382" s="15" t="s">
        <v>343</v>
      </c>
      <c r="V382" s="15" t="s">
        <v>344</v>
      </c>
      <c r="W382" s="17"/>
      <c r="X382" t="s">
        <v>349</v>
      </c>
      <c r="Y382" t="s">
        <v>349</v>
      </c>
      <c r="Z382" t="s">
        <v>293</v>
      </c>
      <c r="AA382" t="s">
        <v>353</v>
      </c>
      <c r="AB382" t="s">
        <v>296</v>
      </c>
      <c r="AC382" t="s">
        <v>301</v>
      </c>
      <c r="AD382" t="s">
        <v>292</v>
      </c>
      <c r="AE382" t="s">
        <v>293</v>
      </c>
      <c r="AF382" t="s">
        <v>292</v>
      </c>
      <c r="AG382" t="s">
        <v>292</v>
      </c>
      <c r="AH382" t="s">
        <v>293</v>
      </c>
      <c r="AI382" t="s">
        <v>358</v>
      </c>
      <c r="AJ382" t="s">
        <v>358</v>
      </c>
      <c r="AK382" t="s">
        <v>359</v>
      </c>
      <c r="AL382" t="s">
        <v>293</v>
      </c>
      <c r="AM382" t="s">
        <v>293</v>
      </c>
      <c r="AN382" t="s">
        <v>296</v>
      </c>
      <c r="AO382" t="s">
        <v>298</v>
      </c>
      <c r="AP382" t="s">
        <v>293</v>
      </c>
      <c r="AQ382" t="s">
        <v>292</v>
      </c>
      <c r="AR382" t="s">
        <v>293</v>
      </c>
      <c r="AS382" t="s">
        <v>293</v>
      </c>
      <c r="AT382" t="s">
        <v>364</v>
      </c>
      <c r="AU382" t="str">
        <f t="shared" si="12"/>
        <v>break</v>
      </c>
    </row>
    <row r="383" spans="1:47" x14ac:dyDescent="0.3">
      <c r="A383" t="s">
        <v>9</v>
      </c>
      <c r="B383" t="s">
        <v>67</v>
      </c>
      <c r="C383" t="s">
        <v>22</v>
      </c>
      <c r="D383" t="s">
        <v>29</v>
      </c>
      <c r="E383" t="str">
        <f t="shared" si="11"/>
        <v>P_V2A-ZSB-S_9B4</v>
      </c>
      <c r="F383" t="b">
        <v>1</v>
      </c>
      <c r="G383">
        <v>100</v>
      </c>
      <c r="H383">
        <v>1</v>
      </c>
      <c r="I383">
        <v>20097</v>
      </c>
      <c r="J383" s="61" t="s">
        <v>18</v>
      </c>
      <c r="K383" s="16" t="s">
        <v>272</v>
      </c>
      <c r="L383" s="16">
        <v>2</v>
      </c>
      <c r="M383" s="16" t="s">
        <v>277</v>
      </c>
      <c r="N383" s="16" t="s">
        <v>335</v>
      </c>
      <c r="O383" s="15" t="s">
        <v>282</v>
      </c>
      <c r="P383" t="s">
        <v>371</v>
      </c>
      <c r="Q383" t="s">
        <v>371</v>
      </c>
      <c r="R383" s="17" t="s">
        <v>371</v>
      </c>
      <c r="S383" s="16" t="s">
        <v>341</v>
      </c>
      <c r="T383" s="16" t="s">
        <v>340</v>
      </c>
      <c r="U383" s="15" t="s">
        <v>340</v>
      </c>
      <c r="V383" s="15" t="s">
        <v>345</v>
      </c>
      <c r="W383" s="17"/>
      <c r="X383" t="s">
        <v>349</v>
      </c>
      <c r="Y383" t="s">
        <v>349</v>
      </c>
      <c r="Z383" t="s">
        <v>293</v>
      </c>
      <c r="AA383" t="s">
        <v>354</v>
      </c>
      <c r="AB383" t="s">
        <v>354</v>
      </c>
      <c r="AC383" t="s">
        <v>301</v>
      </c>
      <c r="AD383" t="s">
        <v>292</v>
      </c>
      <c r="AE383" t="s">
        <v>293</v>
      </c>
      <c r="AF383" t="s">
        <v>293</v>
      </c>
      <c r="AG383" t="s">
        <v>292</v>
      </c>
      <c r="AH383" t="s">
        <v>293</v>
      </c>
      <c r="AI383" t="s">
        <v>302</v>
      </c>
      <c r="AJ383" t="s">
        <v>302</v>
      </c>
      <c r="AK383" t="s">
        <v>357</v>
      </c>
      <c r="AL383" t="s">
        <v>293</v>
      </c>
      <c r="AM383" t="s">
        <v>293</v>
      </c>
      <c r="AN383" t="s">
        <v>296</v>
      </c>
      <c r="AO383" t="s">
        <v>298</v>
      </c>
      <c r="AP383" t="s">
        <v>293</v>
      </c>
      <c r="AQ383" t="s">
        <v>292</v>
      </c>
      <c r="AR383" t="s">
        <v>293</v>
      </c>
      <c r="AS383" t="s">
        <v>293</v>
      </c>
      <c r="AT383" t="s">
        <v>364</v>
      </c>
      <c r="AU383" t="str">
        <f t="shared" si="12"/>
        <v>break</v>
      </c>
    </row>
    <row r="384" spans="1:47" x14ac:dyDescent="0.3">
      <c r="A384" t="s">
        <v>9</v>
      </c>
      <c r="B384" t="s">
        <v>67</v>
      </c>
      <c r="C384" t="s">
        <v>31</v>
      </c>
      <c r="D384" t="s">
        <v>29</v>
      </c>
      <c r="E384" t="str">
        <f t="shared" si="11"/>
        <v>P_V2A-ZSB-S_9E0</v>
      </c>
      <c r="F384" t="b">
        <v>1</v>
      </c>
      <c r="G384">
        <v>59.5</v>
      </c>
      <c r="H384">
        <v>0</v>
      </c>
      <c r="I384">
        <v>13679</v>
      </c>
      <c r="J384" s="61" t="s">
        <v>13</v>
      </c>
      <c r="K384" s="16" t="s">
        <v>272</v>
      </c>
      <c r="L384" s="16">
        <v>3</v>
      </c>
      <c r="M384" s="16" t="s">
        <v>277</v>
      </c>
      <c r="N384" s="16" t="s">
        <v>335</v>
      </c>
      <c r="O384" s="15" t="s">
        <v>282</v>
      </c>
      <c r="P384" t="s">
        <v>371</v>
      </c>
      <c r="Q384" t="s">
        <v>371</v>
      </c>
      <c r="R384" s="17" t="s">
        <v>371</v>
      </c>
      <c r="S384" s="16" t="s">
        <v>341</v>
      </c>
      <c r="T384" s="16" t="s">
        <v>342</v>
      </c>
      <c r="U384" s="15" t="s">
        <v>343</v>
      </c>
      <c r="V384" s="15" t="s">
        <v>344</v>
      </c>
      <c r="W384" s="17"/>
      <c r="X384" t="s">
        <v>349</v>
      </c>
      <c r="Y384" t="s">
        <v>349</v>
      </c>
      <c r="Z384" t="s">
        <v>293</v>
      </c>
      <c r="AA384" t="s">
        <v>353</v>
      </c>
      <c r="AB384" t="s">
        <v>296</v>
      </c>
      <c r="AC384" t="s">
        <v>301</v>
      </c>
      <c r="AD384" t="s">
        <v>292</v>
      </c>
      <c r="AE384" t="s">
        <v>293</v>
      </c>
      <c r="AF384" t="s">
        <v>292</v>
      </c>
      <c r="AG384" t="s">
        <v>292</v>
      </c>
      <c r="AH384" t="s">
        <v>293</v>
      </c>
      <c r="AI384" t="s">
        <v>302</v>
      </c>
      <c r="AJ384" t="s">
        <v>302</v>
      </c>
      <c r="AK384" t="s">
        <v>359</v>
      </c>
      <c r="AL384" t="s">
        <v>293</v>
      </c>
      <c r="AM384" t="s">
        <v>293</v>
      </c>
      <c r="AN384" t="s">
        <v>297</v>
      </c>
      <c r="AO384" t="s">
        <v>298</v>
      </c>
      <c r="AP384" t="s">
        <v>293</v>
      </c>
      <c r="AQ384" t="s">
        <v>292</v>
      </c>
      <c r="AR384" t="s">
        <v>293</v>
      </c>
      <c r="AS384" t="s">
        <v>293</v>
      </c>
      <c r="AT384" t="s">
        <v>364</v>
      </c>
      <c r="AU384" t="str">
        <f t="shared" si="12"/>
        <v>no_fail</v>
      </c>
    </row>
    <row r="385" spans="1:47" x14ac:dyDescent="0.3">
      <c r="A385" t="s">
        <v>9</v>
      </c>
      <c r="B385" t="s">
        <v>67</v>
      </c>
      <c r="C385" t="s">
        <v>27</v>
      </c>
      <c r="D385" t="s">
        <v>29</v>
      </c>
      <c r="E385" t="str">
        <f t="shared" si="11"/>
        <v>P_V2A-ZSB-S_9F6</v>
      </c>
      <c r="F385" t="b">
        <v>1</v>
      </c>
      <c r="G385">
        <v>52.8</v>
      </c>
      <c r="H385">
        <v>0</v>
      </c>
      <c r="I385">
        <v>16680</v>
      </c>
      <c r="J385" s="61" t="s">
        <v>13</v>
      </c>
      <c r="K385" s="16" t="s">
        <v>272</v>
      </c>
      <c r="L385" s="16">
        <v>3</v>
      </c>
      <c r="M385" s="16" t="s">
        <v>277</v>
      </c>
      <c r="N385" s="16" t="s">
        <v>335</v>
      </c>
      <c r="O385" s="15" t="s">
        <v>282</v>
      </c>
      <c r="P385" t="s">
        <v>371</v>
      </c>
      <c r="Q385" t="s">
        <v>371</v>
      </c>
      <c r="R385" s="17" t="s">
        <v>371</v>
      </c>
      <c r="S385" s="16" t="s">
        <v>341</v>
      </c>
      <c r="T385" s="16" t="s">
        <v>342</v>
      </c>
      <c r="U385" s="15" t="s">
        <v>343</v>
      </c>
      <c r="V385" s="15" t="s">
        <v>344</v>
      </c>
      <c r="W385" s="17" t="s">
        <v>291</v>
      </c>
      <c r="X385" t="s">
        <v>349</v>
      </c>
      <c r="Y385" t="s">
        <v>349</v>
      </c>
      <c r="Z385" t="s">
        <v>293</v>
      </c>
      <c r="AA385" t="s">
        <v>353</v>
      </c>
      <c r="AB385" t="s">
        <v>296</v>
      </c>
      <c r="AC385" t="s">
        <v>301</v>
      </c>
      <c r="AD385" t="s">
        <v>292</v>
      </c>
      <c r="AE385" t="s">
        <v>293</v>
      </c>
      <c r="AF385" t="s">
        <v>292</v>
      </c>
      <c r="AG385" t="s">
        <v>292</v>
      </c>
      <c r="AH385" t="s">
        <v>293</v>
      </c>
      <c r="AI385" t="s">
        <v>302</v>
      </c>
      <c r="AJ385" t="s">
        <v>302</v>
      </c>
      <c r="AK385" t="s">
        <v>359</v>
      </c>
      <c r="AL385" t="s">
        <v>293</v>
      </c>
      <c r="AM385" t="s">
        <v>293</v>
      </c>
      <c r="AN385" t="s">
        <v>296</v>
      </c>
      <c r="AO385" t="s">
        <v>298</v>
      </c>
      <c r="AP385" t="s">
        <v>293</v>
      </c>
      <c r="AQ385" t="s">
        <v>292</v>
      </c>
      <c r="AR385" t="s">
        <v>293</v>
      </c>
      <c r="AS385" t="s">
        <v>293</v>
      </c>
      <c r="AT385" t="s">
        <v>364</v>
      </c>
      <c r="AU385" t="str">
        <f t="shared" si="12"/>
        <v>no_fail</v>
      </c>
    </row>
    <row r="386" spans="1:47" x14ac:dyDescent="0.3">
      <c r="A386" t="s">
        <v>9</v>
      </c>
      <c r="B386" t="s">
        <v>67</v>
      </c>
      <c r="C386" t="s">
        <v>28</v>
      </c>
      <c r="D386" t="s">
        <v>29</v>
      </c>
      <c r="E386" t="str">
        <f t="shared" ref="E386:E449" si="13">B386&amp;"-"&amp;D386&amp;"-"&amp;C386</f>
        <v>P_V2A-ZSB-S_9T2</v>
      </c>
      <c r="F386" t="b">
        <v>1</v>
      </c>
      <c r="G386">
        <v>59.8</v>
      </c>
      <c r="H386">
        <v>0</v>
      </c>
      <c r="I386">
        <v>14565</v>
      </c>
      <c r="J386" s="61" t="s">
        <v>13</v>
      </c>
      <c r="K386" s="16" t="s">
        <v>272</v>
      </c>
      <c r="L386" s="16">
        <v>3</v>
      </c>
      <c r="M386" s="16" t="s">
        <v>277</v>
      </c>
      <c r="N386" s="16" t="s">
        <v>335</v>
      </c>
      <c r="O386" s="15" t="s">
        <v>282</v>
      </c>
      <c r="P386" t="s">
        <v>371</v>
      </c>
      <c r="Q386" t="s">
        <v>371</v>
      </c>
      <c r="R386" s="17" t="s">
        <v>371</v>
      </c>
      <c r="S386" s="16" t="s">
        <v>341</v>
      </c>
      <c r="T386" s="16" t="s">
        <v>342</v>
      </c>
      <c r="U386" s="15" t="s">
        <v>343</v>
      </c>
      <c r="V386" s="15" t="s">
        <v>344</v>
      </c>
      <c r="W386" s="17" t="s">
        <v>291</v>
      </c>
      <c r="X386" t="s">
        <v>349</v>
      </c>
      <c r="Y386" t="s">
        <v>349</v>
      </c>
      <c r="Z386" t="s">
        <v>293</v>
      </c>
      <c r="AA386" t="s">
        <v>353</v>
      </c>
      <c r="AB386" t="s">
        <v>296</v>
      </c>
      <c r="AC386" t="s">
        <v>301</v>
      </c>
      <c r="AD386" t="s">
        <v>292</v>
      </c>
      <c r="AE386" t="s">
        <v>293</v>
      </c>
      <c r="AF386" t="s">
        <v>292</v>
      </c>
      <c r="AG386" t="s">
        <v>292</v>
      </c>
      <c r="AH386" t="s">
        <v>293</v>
      </c>
      <c r="AI386" t="s">
        <v>302</v>
      </c>
      <c r="AJ386" t="s">
        <v>302</v>
      </c>
      <c r="AK386" t="s">
        <v>359</v>
      </c>
      <c r="AL386" t="s">
        <v>293</v>
      </c>
      <c r="AM386" t="s">
        <v>293</v>
      </c>
      <c r="AN386" t="s">
        <v>296</v>
      </c>
      <c r="AO386" t="s">
        <v>298</v>
      </c>
      <c r="AP386" t="s">
        <v>293</v>
      </c>
      <c r="AQ386" t="s">
        <v>292</v>
      </c>
      <c r="AR386" t="s">
        <v>293</v>
      </c>
      <c r="AS386" t="s">
        <v>293</v>
      </c>
      <c r="AT386" t="s">
        <v>364</v>
      </c>
      <c r="AU386" t="str">
        <f t="shared" si="12"/>
        <v>no_fail</v>
      </c>
    </row>
    <row r="387" spans="1:47" x14ac:dyDescent="0.3">
      <c r="A387" t="s">
        <v>43</v>
      </c>
      <c r="B387" t="s">
        <v>44</v>
      </c>
      <c r="C387" t="s">
        <v>15</v>
      </c>
      <c r="D387" t="s">
        <v>12</v>
      </c>
      <c r="E387" t="str">
        <f t="shared" si="13"/>
        <v>P_W5V-KYY-S_0M4</v>
      </c>
      <c r="F387" t="b">
        <v>1</v>
      </c>
      <c r="G387">
        <v>100</v>
      </c>
      <c r="H387">
        <v>1</v>
      </c>
      <c r="I387">
        <v>27807</v>
      </c>
      <c r="J387" s="61" t="s">
        <v>18</v>
      </c>
      <c r="K387" s="16" t="s">
        <v>272</v>
      </c>
      <c r="L387" s="16">
        <v>3</v>
      </c>
      <c r="M387" s="16" t="s">
        <v>277</v>
      </c>
      <c r="N387" s="16" t="s">
        <v>335</v>
      </c>
      <c r="O387" s="15" t="s">
        <v>282</v>
      </c>
      <c r="P387" t="s">
        <v>281</v>
      </c>
      <c r="Q387" t="s">
        <v>284</v>
      </c>
      <c r="R387" s="17" t="s">
        <v>371</v>
      </c>
      <c r="S387" s="16" t="s">
        <v>341</v>
      </c>
      <c r="T387" s="16" t="s">
        <v>342</v>
      </c>
      <c r="U387" s="15" t="s">
        <v>343</v>
      </c>
      <c r="V387" s="15" t="s">
        <v>344</v>
      </c>
      <c r="W387" s="17" t="s">
        <v>291</v>
      </c>
      <c r="X387" t="s">
        <v>349</v>
      </c>
      <c r="Y387" t="s">
        <v>349</v>
      </c>
      <c r="Z387" t="s">
        <v>293</v>
      </c>
      <c r="AA387" t="s">
        <v>353</v>
      </c>
      <c r="AB387" t="s">
        <v>296</v>
      </c>
      <c r="AC387" t="s">
        <v>301</v>
      </c>
      <c r="AD387" t="s">
        <v>292</v>
      </c>
      <c r="AE387" t="s">
        <v>293</v>
      </c>
      <c r="AF387" t="s">
        <v>293</v>
      </c>
      <c r="AG387" t="s">
        <v>292</v>
      </c>
      <c r="AH387" t="s">
        <v>293</v>
      </c>
      <c r="AI387" t="s">
        <v>302</v>
      </c>
      <c r="AJ387" t="s">
        <v>302</v>
      </c>
      <c r="AK387" t="s">
        <v>359</v>
      </c>
      <c r="AL387" t="s">
        <v>293</v>
      </c>
      <c r="AM387" t="s">
        <v>293</v>
      </c>
      <c r="AN387" t="s">
        <v>296</v>
      </c>
      <c r="AO387" t="s">
        <v>298</v>
      </c>
      <c r="AP387" t="s">
        <v>293</v>
      </c>
      <c r="AQ387" t="s">
        <v>292</v>
      </c>
      <c r="AR387" t="s">
        <v>293</v>
      </c>
      <c r="AS387" t="s">
        <v>293</v>
      </c>
      <c r="AT387" t="s">
        <v>364</v>
      </c>
      <c r="AU387" t="str">
        <f t="shared" si="12"/>
        <v>break</v>
      </c>
    </row>
    <row r="388" spans="1:47" x14ac:dyDescent="0.3">
      <c r="A388" t="s">
        <v>43</v>
      </c>
      <c r="B388" t="s">
        <v>44</v>
      </c>
      <c r="C388" t="s">
        <v>14</v>
      </c>
      <c r="D388" t="s">
        <v>12</v>
      </c>
      <c r="E388" t="str">
        <f t="shared" si="13"/>
        <v>P_W5V-KYY-S_1B0</v>
      </c>
      <c r="F388" t="b">
        <v>1</v>
      </c>
      <c r="G388">
        <v>100</v>
      </c>
      <c r="H388">
        <v>1</v>
      </c>
      <c r="I388">
        <v>26505</v>
      </c>
      <c r="J388" s="61" t="s">
        <v>18</v>
      </c>
      <c r="K388" s="16" t="s">
        <v>272</v>
      </c>
      <c r="L388" s="16">
        <v>3</v>
      </c>
      <c r="M388" s="16" t="s">
        <v>277</v>
      </c>
      <c r="N388" s="16" t="s">
        <v>335</v>
      </c>
      <c r="O388" s="15" t="s">
        <v>282</v>
      </c>
      <c r="P388" t="s">
        <v>281</v>
      </c>
      <c r="Q388" t="s">
        <v>284</v>
      </c>
      <c r="R388" s="17" t="s">
        <v>371</v>
      </c>
      <c r="S388" s="16" t="s">
        <v>341</v>
      </c>
      <c r="T388" s="16" t="s">
        <v>342</v>
      </c>
      <c r="U388" s="15" t="s">
        <v>343</v>
      </c>
      <c r="V388" s="15" t="s">
        <v>344</v>
      </c>
      <c r="W388" s="17" t="s">
        <v>291</v>
      </c>
      <c r="X388" t="s">
        <v>349</v>
      </c>
      <c r="Y388" t="s">
        <v>349</v>
      </c>
      <c r="Z388" t="s">
        <v>293</v>
      </c>
      <c r="AA388" t="s">
        <v>353</v>
      </c>
      <c r="AB388" t="s">
        <v>296</v>
      </c>
      <c r="AC388" t="s">
        <v>301</v>
      </c>
      <c r="AD388" t="s">
        <v>292</v>
      </c>
      <c r="AE388" t="s">
        <v>293</v>
      </c>
      <c r="AF388" t="s">
        <v>293</v>
      </c>
      <c r="AG388" t="s">
        <v>292</v>
      </c>
      <c r="AH388" t="s">
        <v>293</v>
      </c>
      <c r="AI388" t="s">
        <v>302</v>
      </c>
      <c r="AJ388" t="s">
        <v>302</v>
      </c>
      <c r="AK388" t="s">
        <v>359</v>
      </c>
      <c r="AL388" t="s">
        <v>293</v>
      </c>
      <c r="AM388" t="s">
        <v>293</v>
      </c>
      <c r="AN388" t="s">
        <v>296</v>
      </c>
      <c r="AO388" t="s">
        <v>298</v>
      </c>
      <c r="AP388" t="s">
        <v>293</v>
      </c>
      <c r="AQ388" t="s">
        <v>292</v>
      </c>
      <c r="AR388" t="s">
        <v>293</v>
      </c>
      <c r="AS388" t="s">
        <v>293</v>
      </c>
      <c r="AT388" t="s">
        <v>364</v>
      </c>
      <c r="AU388" t="str">
        <f t="shared" si="12"/>
        <v>break</v>
      </c>
    </row>
    <row r="389" spans="1:47" x14ac:dyDescent="0.3">
      <c r="A389" t="s">
        <v>43</v>
      </c>
      <c r="B389" t="s">
        <v>44</v>
      </c>
      <c r="C389" t="s">
        <v>11</v>
      </c>
      <c r="D389" t="s">
        <v>12</v>
      </c>
      <c r="E389" t="str">
        <f t="shared" si="13"/>
        <v>P_W5V-KYY-S_1Q4</v>
      </c>
      <c r="F389" t="b">
        <v>1</v>
      </c>
      <c r="G389">
        <v>100</v>
      </c>
      <c r="H389">
        <v>1</v>
      </c>
      <c r="I389">
        <v>14115</v>
      </c>
      <c r="J389" s="61" t="s">
        <v>18</v>
      </c>
      <c r="K389" s="16" t="s">
        <v>272</v>
      </c>
      <c r="L389" s="16">
        <v>3</v>
      </c>
      <c r="M389" s="16" t="s">
        <v>277</v>
      </c>
      <c r="N389" s="16" t="s">
        <v>335</v>
      </c>
      <c r="O389" s="15" t="s">
        <v>282</v>
      </c>
      <c r="P389" t="s">
        <v>281</v>
      </c>
      <c r="Q389" t="s">
        <v>284</v>
      </c>
      <c r="R389" s="17" t="s">
        <v>371</v>
      </c>
      <c r="S389" s="16" t="s">
        <v>340</v>
      </c>
      <c r="T389" s="16" t="s">
        <v>340</v>
      </c>
      <c r="U389" s="15" t="s">
        <v>343</v>
      </c>
      <c r="V389" s="15" t="s">
        <v>291</v>
      </c>
      <c r="W389" s="17"/>
      <c r="X389" t="s">
        <v>349</v>
      </c>
      <c r="Y389" t="s">
        <v>349</v>
      </c>
      <c r="Z389" t="s">
        <v>293</v>
      </c>
      <c r="AA389" t="s">
        <v>353</v>
      </c>
      <c r="AB389" t="s">
        <v>296</v>
      </c>
      <c r="AC389" t="s">
        <v>301</v>
      </c>
      <c r="AD389" t="s">
        <v>292</v>
      </c>
      <c r="AE389" t="s">
        <v>293</v>
      </c>
      <c r="AF389" t="s">
        <v>293</v>
      </c>
      <c r="AG389" t="s">
        <v>292</v>
      </c>
      <c r="AH389" t="s">
        <v>293</v>
      </c>
      <c r="AI389" t="s">
        <v>302</v>
      </c>
      <c r="AJ389" t="s">
        <v>302</v>
      </c>
      <c r="AK389" t="s">
        <v>359</v>
      </c>
      <c r="AL389" t="s">
        <v>293</v>
      </c>
      <c r="AM389" t="s">
        <v>293</v>
      </c>
      <c r="AN389" t="s">
        <v>296</v>
      </c>
      <c r="AO389" t="s">
        <v>298</v>
      </c>
      <c r="AP389" t="s">
        <v>293</v>
      </c>
      <c r="AQ389" t="s">
        <v>292</v>
      </c>
      <c r="AR389" t="s">
        <v>293</v>
      </c>
      <c r="AS389" t="s">
        <v>293</v>
      </c>
      <c r="AT389" t="s">
        <v>364</v>
      </c>
      <c r="AU389" t="str">
        <f t="shared" si="12"/>
        <v>break</v>
      </c>
    </row>
    <row r="390" spans="1:47" x14ac:dyDescent="0.3">
      <c r="A390" t="s">
        <v>43</v>
      </c>
      <c r="B390" t="s">
        <v>44</v>
      </c>
      <c r="C390" t="s">
        <v>19</v>
      </c>
      <c r="D390" t="s">
        <v>12</v>
      </c>
      <c r="E390" t="str">
        <f t="shared" si="13"/>
        <v>P_W5V-KYY-S_4U3</v>
      </c>
      <c r="F390" t="b">
        <v>1</v>
      </c>
      <c r="G390">
        <v>100</v>
      </c>
      <c r="H390">
        <v>1</v>
      </c>
      <c r="I390">
        <v>14465</v>
      </c>
      <c r="J390" s="61" t="s">
        <v>18</v>
      </c>
      <c r="K390" s="16" t="s">
        <v>272</v>
      </c>
      <c r="L390" s="16">
        <v>3</v>
      </c>
      <c r="M390" s="16" t="s">
        <v>277</v>
      </c>
      <c r="N390" s="16" t="s">
        <v>335</v>
      </c>
      <c r="O390" s="15" t="s">
        <v>282</v>
      </c>
      <c r="P390" t="s">
        <v>371</v>
      </c>
      <c r="Q390" t="s">
        <v>371</v>
      </c>
      <c r="R390" s="17" t="s">
        <v>371</v>
      </c>
      <c r="S390" s="16" t="s">
        <v>341</v>
      </c>
      <c r="T390" s="16" t="s">
        <v>340</v>
      </c>
      <c r="U390" s="15" t="s">
        <v>343</v>
      </c>
      <c r="V390" s="15" t="s">
        <v>345</v>
      </c>
      <c r="W390" s="17"/>
      <c r="X390" t="s">
        <v>349</v>
      </c>
      <c r="Y390" t="s">
        <v>349</v>
      </c>
      <c r="Z390" t="s">
        <v>293</v>
      </c>
      <c r="AA390" t="s">
        <v>353</v>
      </c>
      <c r="AB390" t="s">
        <v>296</v>
      </c>
      <c r="AC390" t="s">
        <v>301</v>
      </c>
      <c r="AD390" t="s">
        <v>293</v>
      </c>
      <c r="AE390" t="s">
        <v>292</v>
      </c>
      <c r="AF390" t="s">
        <v>292</v>
      </c>
      <c r="AG390" t="s">
        <v>292</v>
      </c>
      <c r="AH390" t="s">
        <v>293</v>
      </c>
      <c r="AI390" t="s">
        <v>358</v>
      </c>
      <c r="AJ390" t="s">
        <v>302</v>
      </c>
      <c r="AK390" t="s">
        <v>359</v>
      </c>
      <c r="AL390" t="s">
        <v>293</v>
      </c>
      <c r="AM390" t="s">
        <v>293</v>
      </c>
      <c r="AN390" t="s">
        <v>297</v>
      </c>
      <c r="AO390" t="s">
        <v>356</v>
      </c>
      <c r="AP390" t="s">
        <v>293</v>
      </c>
      <c r="AQ390" t="s">
        <v>292</v>
      </c>
      <c r="AR390" t="s">
        <v>293</v>
      </c>
      <c r="AS390" t="s">
        <v>293</v>
      </c>
      <c r="AT390" t="s">
        <v>364</v>
      </c>
      <c r="AU390" t="str">
        <f t="shared" si="12"/>
        <v>break</v>
      </c>
    </row>
    <row r="391" spans="1:47" x14ac:dyDescent="0.3">
      <c r="A391" t="s">
        <v>43</v>
      </c>
      <c r="B391" t="s">
        <v>44</v>
      </c>
      <c r="C391" t="s">
        <v>17</v>
      </c>
      <c r="D391" t="s">
        <v>12</v>
      </c>
      <c r="E391" t="str">
        <f t="shared" si="13"/>
        <v>P_W5V-KYY-S_6B5</v>
      </c>
      <c r="F391" t="b">
        <v>1</v>
      </c>
      <c r="G391">
        <v>100</v>
      </c>
      <c r="H391">
        <v>1</v>
      </c>
      <c r="I391">
        <v>11516</v>
      </c>
      <c r="J391" s="61" t="s">
        <v>18</v>
      </c>
      <c r="K391" s="16" t="s">
        <v>272</v>
      </c>
      <c r="L391" s="16">
        <v>3</v>
      </c>
      <c r="M391" s="16" t="s">
        <v>277</v>
      </c>
      <c r="N391" s="16" t="s">
        <v>335</v>
      </c>
      <c r="O391" s="15" t="s">
        <v>282</v>
      </c>
      <c r="P391" t="s">
        <v>371</v>
      </c>
      <c r="Q391" t="s">
        <v>371</v>
      </c>
      <c r="R391" s="17" t="s">
        <v>371</v>
      </c>
      <c r="S391" s="16" t="s">
        <v>340</v>
      </c>
      <c r="T391" s="16" t="s">
        <v>340</v>
      </c>
      <c r="U391" s="15" t="s">
        <v>343</v>
      </c>
      <c r="V391" s="15" t="s">
        <v>348</v>
      </c>
      <c r="W391" s="17"/>
      <c r="X391" t="s">
        <v>349</v>
      </c>
      <c r="Y391" t="s">
        <v>349</v>
      </c>
      <c r="Z391" t="s">
        <v>293</v>
      </c>
      <c r="AA391" t="s">
        <v>353</v>
      </c>
      <c r="AB391" t="s">
        <v>296</v>
      </c>
      <c r="AC391" t="s">
        <v>301</v>
      </c>
      <c r="AD391" t="s">
        <v>293</v>
      </c>
      <c r="AE391" t="s">
        <v>292</v>
      </c>
      <c r="AF391" t="s">
        <v>293</v>
      </c>
      <c r="AG391" t="s">
        <v>292</v>
      </c>
      <c r="AH391" t="s">
        <v>293</v>
      </c>
      <c r="AI391" t="s">
        <v>358</v>
      </c>
      <c r="AJ391" t="s">
        <v>358</v>
      </c>
      <c r="AK391" t="s">
        <v>359</v>
      </c>
      <c r="AL391" t="s">
        <v>293</v>
      </c>
      <c r="AM391" t="s">
        <v>293</v>
      </c>
      <c r="AN391" t="s">
        <v>296</v>
      </c>
      <c r="AO391" t="s">
        <v>356</v>
      </c>
      <c r="AP391" t="s">
        <v>293</v>
      </c>
      <c r="AQ391" t="s">
        <v>292</v>
      </c>
      <c r="AR391" t="s">
        <v>293</v>
      </c>
      <c r="AS391" t="s">
        <v>293</v>
      </c>
      <c r="AT391" t="s">
        <v>364</v>
      </c>
      <c r="AU391" t="str">
        <f t="shared" si="12"/>
        <v>break</v>
      </c>
    </row>
    <row r="392" spans="1:47" x14ac:dyDescent="0.3">
      <c r="A392" t="s">
        <v>43</v>
      </c>
      <c r="B392" t="s">
        <v>44</v>
      </c>
      <c r="C392" t="s">
        <v>16</v>
      </c>
      <c r="D392" t="s">
        <v>12</v>
      </c>
      <c r="E392" t="str">
        <f t="shared" si="13"/>
        <v>P_W5V-KYY-S_6U7</v>
      </c>
      <c r="F392" t="b">
        <v>1</v>
      </c>
      <c r="G392">
        <v>100</v>
      </c>
      <c r="H392">
        <v>1</v>
      </c>
      <c r="I392">
        <v>19633</v>
      </c>
      <c r="J392" s="61" t="s">
        <v>18</v>
      </c>
      <c r="K392" s="16" t="s">
        <v>272</v>
      </c>
      <c r="L392" s="16">
        <v>3</v>
      </c>
      <c r="M392" s="16" t="s">
        <v>277</v>
      </c>
      <c r="N392" s="16" t="s">
        <v>335</v>
      </c>
      <c r="O392" s="15" t="s">
        <v>281</v>
      </c>
      <c r="P392" t="s">
        <v>282</v>
      </c>
      <c r="Q392" t="s">
        <v>284</v>
      </c>
      <c r="R392" s="17" t="s">
        <v>371</v>
      </c>
      <c r="S392" s="16" t="s">
        <v>341</v>
      </c>
      <c r="T392" s="16" t="s">
        <v>340</v>
      </c>
      <c r="U392" s="15" t="s">
        <v>343</v>
      </c>
      <c r="V392" s="15" t="s">
        <v>344</v>
      </c>
      <c r="W392" s="17"/>
      <c r="X392" t="s">
        <v>349</v>
      </c>
      <c r="Y392" t="s">
        <v>349</v>
      </c>
      <c r="Z392" t="s">
        <v>293</v>
      </c>
      <c r="AA392" t="s">
        <v>353</v>
      </c>
      <c r="AB392" t="s">
        <v>296</v>
      </c>
      <c r="AC392" t="s">
        <v>301</v>
      </c>
      <c r="AD392" t="s">
        <v>293</v>
      </c>
      <c r="AE392" t="s">
        <v>292</v>
      </c>
      <c r="AF392" t="s">
        <v>292</v>
      </c>
      <c r="AG392" t="s">
        <v>292</v>
      </c>
      <c r="AH392" t="s">
        <v>293</v>
      </c>
      <c r="AI392" t="s">
        <v>302</v>
      </c>
      <c r="AJ392" t="s">
        <v>302</v>
      </c>
      <c r="AK392" t="s">
        <v>359</v>
      </c>
      <c r="AL392" t="s">
        <v>293</v>
      </c>
      <c r="AM392" t="s">
        <v>293</v>
      </c>
      <c r="AN392" t="s">
        <v>297</v>
      </c>
      <c r="AO392" t="s">
        <v>356</v>
      </c>
      <c r="AP392" t="s">
        <v>293</v>
      </c>
      <c r="AQ392" t="s">
        <v>292</v>
      </c>
      <c r="AR392" t="s">
        <v>293</v>
      </c>
      <c r="AS392" t="s">
        <v>293</v>
      </c>
      <c r="AT392" t="s">
        <v>364</v>
      </c>
      <c r="AU392" t="str">
        <f t="shared" si="12"/>
        <v>break</v>
      </c>
    </row>
    <row r="393" spans="1:47" x14ac:dyDescent="0.3">
      <c r="A393" t="s">
        <v>43</v>
      </c>
      <c r="B393" t="s">
        <v>44</v>
      </c>
      <c r="C393" t="s">
        <v>20</v>
      </c>
      <c r="D393" t="s">
        <v>12</v>
      </c>
      <c r="E393" t="str">
        <f t="shared" si="13"/>
        <v>P_W5V-KYY-S_7W0</v>
      </c>
      <c r="F393" t="b">
        <v>1</v>
      </c>
      <c r="G393">
        <v>78.599999999999994</v>
      </c>
      <c r="H393">
        <v>0</v>
      </c>
      <c r="I393">
        <v>17218</v>
      </c>
      <c r="J393" s="61" t="s">
        <v>13</v>
      </c>
      <c r="K393" s="16" t="s">
        <v>272</v>
      </c>
      <c r="L393" s="16">
        <v>3</v>
      </c>
      <c r="M393" s="16" t="s">
        <v>277</v>
      </c>
      <c r="N393" s="16" t="s">
        <v>335</v>
      </c>
      <c r="O393" s="15" t="s">
        <v>282</v>
      </c>
      <c r="P393" t="s">
        <v>371</v>
      </c>
      <c r="Q393" t="s">
        <v>371</v>
      </c>
      <c r="R393" s="17" t="s">
        <v>371</v>
      </c>
      <c r="S393" s="16" t="s">
        <v>341</v>
      </c>
      <c r="T393" s="16" t="s">
        <v>340</v>
      </c>
      <c r="U393" s="15" t="s">
        <v>343</v>
      </c>
      <c r="V393" s="15" t="s">
        <v>345</v>
      </c>
      <c r="W393" s="17"/>
      <c r="X393" t="s">
        <v>349</v>
      </c>
      <c r="Y393" t="s">
        <v>349</v>
      </c>
      <c r="Z393" t="s">
        <v>293</v>
      </c>
      <c r="AA393" t="s">
        <v>353</v>
      </c>
      <c r="AB393" t="s">
        <v>296</v>
      </c>
      <c r="AC393" t="s">
        <v>301</v>
      </c>
      <c r="AD393" t="s">
        <v>293</v>
      </c>
      <c r="AE393" t="s">
        <v>292</v>
      </c>
      <c r="AF393" t="s">
        <v>292</v>
      </c>
      <c r="AG393" t="s">
        <v>292</v>
      </c>
      <c r="AH393" t="s">
        <v>293</v>
      </c>
      <c r="AI393" t="s">
        <v>302</v>
      </c>
      <c r="AJ393" t="s">
        <v>302</v>
      </c>
      <c r="AK393" t="s">
        <v>359</v>
      </c>
      <c r="AL393" t="s">
        <v>293</v>
      </c>
      <c r="AM393" t="s">
        <v>293</v>
      </c>
      <c r="AN393" t="s">
        <v>297</v>
      </c>
      <c r="AO393" t="s">
        <v>356</v>
      </c>
      <c r="AP393" t="s">
        <v>293</v>
      </c>
      <c r="AQ393" t="s">
        <v>292</v>
      </c>
      <c r="AR393" t="s">
        <v>362</v>
      </c>
      <c r="AS393" t="s">
        <v>293</v>
      </c>
      <c r="AT393" t="s">
        <v>364</v>
      </c>
      <c r="AU393" t="str">
        <f t="shared" si="12"/>
        <v>no_fail</v>
      </c>
    </row>
    <row r="394" spans="1:47" x14ac:dyDescent="0.3">
      <c r="A394" t="s">
        <v>43</v>
      </c>
      <c r="B394" t="s">
        <v>44</v>
      </c>
      <c r="C394" t="s">
        <v>23</v>
      </c>
      <c r="D394" t="s">
        <v>29</v>
      </c>
      <c r="E394" t="str">
        <f t="shared" si="13"/>
        <v>P_W5V-ZSB-S_0T2</v>
      </c>
      <c r="F394" t="b">
        <v>1</v>
      </c>
      <c r="G394">
        <v>68.2</v>
      </c>
      <c r="H394">
        <v>0</v>
      </c>
      <c r="I394">
        <v>14760</v>
      </c>
      <c r="J394" s="61" t="s">
        <v>13</v>
      </c>
      <c r="K394" s="16" t="s">
        <v>272</v>
      </c>
      <c r="L394" s="16">
        <v>3</v>
      </c>
      <c r="M394" s="16" t="s">
        <v>277</v>
      </c>
      <c r="N394" s="16" t="s">
        <v>335</v>
      </c>
      <c r="O394" s="15" t="s">
        <v>282</v>
      </c>
      <c r="P394" t="s">
        <v>371</v>
      </c>
      <c r="Q394" t="s">
        <v>371</v>
      </c>
      <c r="R394" s="17" t="s">
        <v>371</v>
      </c>
      <c r="S394" s="16" t="s">
        <v>341</v>
      </c>
      <c r="T394" s="16" t="s">
        <v>342</v>
      </c>
      <c r="U394" s="15" t="s">
        <v>343</v>
      </c>
      <c r="V394" s="15" t="s">
        <v>345</v>
      </c>
      <c r="W394" s="17" t="s">
        <v>344</v>
      </c>
      <c r="X394" t="s">
        <v>349</v>
      </c>
      <c r="Y394" t="s">
        <v>349</v>
      </c>
      <c r="Z394" t="s">
        <v>293</v>
      </c>
      <c r="AA394" t="s">
        <v>353</v>
      </c>
      <c r="AB394" t="s">
        <v>296</v>
      </c>
      <c r="AC394" t="s">
        <v>300</v>
      </c>
      <c r="AD394" t="s">
        <v>292</v>
      </c>
      <c r="AE394" t="s">
        <v>293</v>
      </c>
      <c r="AF394" t="s">
        <v>292</v>
      </c>
      <c r="AG394" t="s">
        <v>292</v>
      </c>
      <c r="AH394" t="s">
        <v>293</v>
      </c>
      <c r="AI394" t="s">
        <v>302</v>
      </c>
      <c r="AJ394" t="s">
        <v>302</v>
      </c>
      <c r="AK394" t="s">
        <v>359</v>
      </c>
      <c r="AL394" t="s">
        <v>293</v>
      </c>
      <c r="AM394" t="s">
        <v>293</v>
      </c>
      <c r="AN394" t="s">
        <v>297</v>
      </c>
      <c r="AO394" t="s">
        <v>298</v>
      </c>
      <c r="AP394" t="s">
        <v>293</v>
      </c>
      <c r="AQ394" t="s">
        <v>292</v>
      </c>
      <c r="AR394" t="s">
        <v>293</v>
      </c>
      <c r="AS394" t="s">
        <v>293</v>
      </c>
      <c r="AT394" t="s">
        <v>364</v>
      </c>
      <c r="AU394" t="str">
        <f t="shared" si="12"/>
        <v>no_fail</v>
      </c>
    </row>
    <row r="395" spans="1:47" x14ac:dyDescent="0.3">
      <c r="A395" t="s">
        <v>43</v>
      </c>
      <c r="B395" t="s">
        <v>44</v>
      </c>
      <c r="C395" t="s">
        <v>25</v>
      </c>
      <c r="D395" t="s">
        <v>29</v>
      </c>
      <c r="E395" t="str">
        <f t="shared" si="13"/>
        <v>P_W5V-ZSB-S_1J8</v>
      </c>
      <c r="F395" t="b">
        <v>1</v>
      </c>
      <c r="G395">
        <v>47</v>
      </c>
      <c r="H395">
        <v>0</v>
      </c>
      <c r="I395">
        <v>15882</v>
      </c>
      <c r="J395" s="61" t="s">
        <v>13</v>
      </c>
      <c r="K395" s="16" t="s">
        <v>272</v>
      </c>
      <c r="L395" s="16">
        <v>3</v>
      </c>
      <c r="M395" s="16" t="s">
        <v>277</v>
      </c>
      <c r="N395" s="16" t="s">
        <v>335</v>
      </c>
      <c r="O395" s="15" t="s">
        <v>282</v>
      </c>
      <c r="P395" t="s">
        <v>371</v>
      </c>
      <c r="Q395" t="s">
        <v>371</v>
      </c>
      <c r="R395" s="17" t="s">
        <v>371</v>
      </c>
      <c r="S395" s="16" t="s">
        <v>341</v>
      </c>
      <c r="T395" s="16" t="s">
        <v>342</v>
      </c>
      <c r="U395" s="15" t="s">
        <v>343</v>
      </c>
      <c r="V395" s="15" t="s">
        <v>344</v>
      </c>
      <c r="W395" s="17"/>
      <c r="X395" t="s">
        <v>349</v>
      </c>
      <c r="Y395" t="s">
        <v>349</v>
      </c>
      <c r="Z395" t="s">
        <v>293</v>
      </c>
      <c r="AA395" t="s">
        <v>353</v>
      </c>
      <c r="AB395" t="s">
        <v>296</v>
      </c>
      <c r="AC395" t="s">
        <v>300</v>
      </c>
      <c r="AD395" t="s">
        <v>293</v>
      </c>
      <c r="AE395" t="s">
        <v>292</v>
      </c>
      <c r="AF395" t="s">
        <v>292</v>
      </c>
      <c r="AG395" t="s">
        <v>292</v>
      </c>
      <c r="AH395" t="s">
        <v>293</v>
      </c>
      <c r="AI395" t="s">
        <v>302</v>
      </c>
      <c r="AJ395" t="s">
        <v>302</v>
      </c>
      <c r="AK395" t="s">
        <v>359</v>
      </c>
      <c r="AL395" t="s">
        <v>293</v>
      </c>
      <c r="AM395" t="s">
        <v>293</v>
      </c>
      <c r="AN395" t="s">
        <v>297</v>
      </c>
      <c r="AO395" t="s">
        <v>356</v>
      </c>
      <c r="AP395" t="s">
        <v>293</v>
      </c>
      <c r="AQ395" t="s">
        <v>292</v>
      </c>
      <c r="AR395" t="s">
        <v>293</v>
      </c>
      <c r="AS395" t="s">
        <v>293</v>
      </c>
      <c r="AT395" t="s">
        <v>364</v>
      </c>
      <c r="AU395" t="str">
        <f t="shared" si="12"/>
        <v>no_fail</v>
      </c>
    </row>
    <row r="396" spans="1:47" x14ac:dyDescent="0.3">
      <c r="A396" t="s">
        <v>43</v>
      </c>
      <c r="B396" t="s">
        <v>44</v>
      </c>
      <c r="C396" t="s">
        <v>24</v>
      </c>
      <c r="D396" t="s">
        <v>29</v>
      </c>
      <c r="E396" t="str">
        <f t="shared" si="13"/>
        <v>P_W5V-ZSB-S_1U0</v>
      </c>
      <c r="F396" t="b">
        <v>1</v>
      </c>
      <c r="G396">
        <v>100</v>
      </c>
      <c r="H396">
        <v>1</v>
      </c>
      <c r="I396">
        <v>10538</v>
      </c>
      <c r="J396" s="61" t="s">
        <v>18</v>
      </c>
      <c r="K396" s="16" t="s">
        <v>272</v>
      </c>
      <c r="L396" s="16">
        <v>3</v>
      </c>
      <c r="M396" s="16" t="s">
        <v>277</v>
      </c>
      <c r="N396" s="16" t="s">
        <v>335</v>
      </c>
      <c r="O396" s="15" t="s">
        <v>282</v>
      </c>
      <c r="P396" t="s">
        <v>339</v>
      </c>
      <c r="Q396" t="s">
        <v>285</v>
      </c>
      <c r="R396" s="17" t="s">
        <v>371</v>
      </c>
      <c r="S396" s="16" t="s">
        <v>341</v>
      </c>
      <c r="T396" s="16" t="s">
        <v>340</v>
      </c>
      <c r="U396" s="15" t="s">
        <v>343</v>
      </c>
      <c r="V396" s="15" t="s">
        <v>344</v>
      </c>
      <c r="W396" s="17"/>
      <c r="X396" t="s">
        <v>349</v>
      </c>
      <c r="Y396" t="s">
        <v>349</v>
      </c>
      <c r="Z396" t="s">
        <v>293</v>
      </c>
      <c r="AA396" t="s">
        <v>353</v>
      </c>
      <c r="AB396" t="s">
        <v>297</v>
      </c>
      <c r="AC396" t="s">
        <v>300</v>
      </c>
      <c r="AD396" t="s">
        <v>292</v>
      </c>
      <c r="AE396" t="s">
        <v>293</v>
      </c>
      <c r="AF396" t="s">
        <v>292</v>
      </c>
      <c r="AG396" t="s">
        <v>293</v>
      </c>
      <c r="AH396" t="s">
        <v>293</v>
      </c>
      <c r="AI396" t="s">
        <v>302</v>
      </c>
      <c r="AJ396" t="s">
        <v>302</v>
      </c>
      <c r="AK396" t="s">
        <v>302</v>
      </c>
      <c r="AL396" t="s">
        <v>293</v>
      </c>
      <c r="AM396" t="s">
        <v>293</v>
      </c>
      <c r="AN396" t="s">
        <v>297</v>
      </c>
      <c r="AO396" t="s">
        <v>298</v>
      </c>
      <c r="AP396" t="s">
        <v>293</v>
      </c>
      <c r="AQ396" t="s">
        <v>292</v>
      </c>
      <c r="AR396" t="s">
        <v>293</v>
      </c>
      <c r="AS396" t="s">
        <v>293</v>
      </c>
      <c r="AT396" t="s">
        <v>364</v>
      </c>
      <c r="AU396" t="str">
        <f t="shared" si="12"/>
        <v>break</v>
      </c>
    </row>
    <row r="397" spans="1:47" x14ac:dyDescent="0.3">
      <c r="A397" t="s">
        <v>43</v>
      </c>
      <c r="B397" t="s">
        <v>44</v>
      </c>
      <c r="C397" t="s">
        <v>21</v>
      </c>
      <c r="D397" t="s">
        <v>29</v>
      </c>
      <c r="E397" t="str">
        <f t="shared" si="13"/>
        <v>P_W5V-ZSB-S_3X6</v>
      </c>
      <c r="F397" t="b">
        <v>1</v>
      </c>
      <c r="G397">
        <v>100</v>
      </c>
      <c r="H397">
        <v>1</v>
      </c>
      <c r="I397">
        <v>9586</v>
      </c>
      <c r="J397" s="61" t="s">
        <v>18</v>
      </c>
      <c r="K397" s="16" t="s">
        <v>272</v>
      </c>
      <c r="L397" s="16">
        <v>2</v>
      </c>
      <c r="M397" s="16" t="s">
        <v>277</v>
      </c>
      <c r="N397" s="16" t="s">
        <v>335</v>
      </c>
      <c r="O397" s="15" t="s">
        <v>282</v>
      </c>
      <c r="P397" t="s">
        <v>371</v>
      </c>
      <c r="Q397" t="s">
        <v>371</v>
      </c>
      <c r="R397" s="17" t="s">
        <v>371</v>
      </c>
      <c r="S397" s="16" t="s">
        <v>341</v>
      </c>
      <c r="T397" s="16" t="s">
        <v>340</v>
      </c>
      <c r="U397" s="15" t="s">
        <v>340</v>
      </c>
      <c r="V397" s="15" t="s">
        <v>345</v>
      </c>
      <c r="W397" s="17"/>
      <c r="X397" t="s">
        <v>349</v>
      </c>
      <c r="Y397" t="s">
        <v>349</v>
      </c>
      <c r="Z397" t="s">
        <v>293</v>
      </c>
      <c r="AA397" t="s">
        <v>354</v>
      </c>
      <c r="AB397" t="s">
        <v>354</v>
      </c>
      <c r="AC397" t="s">
        <v>300</v>
      </c>
      <c r="AD397" t="s">
        <v>292</v>
      </c>
      <c r="AE397" t="s">
        <v>293</v>
      </c>
      <c r="AF397" t="s">
        <v>292</v>
      </c>
      <c r="AG397" t="s">
        <v>293</v>
      </c>
      <c r="AH397" t="s">
        <v>293</v>
      </c>
      <c r="AI397" t="s">
        <v>302</v>
      </c>
      <c r="AJ397" t="s">
        <v>302</v>
      </c>
      <c r="AK397" t="s">
        <v>357</v>
      </c>
      <c r="AL397" t="s">
        <v>293</v>
      </c>
      <c r="AM397" t="s">
        <v>293</v>
      </c>
      <c r="AN397" t="s">
        <v>297</v>
      </c>
      <c r="AO397" t="s">
        <v>298</v>
      </c>
      <c r="AP397" t="s">
        <v>293</v>
      </c>
      <c r="AQ397" t="s">
        <v>292</v>
      </c>
      <c r="AR397" t="s">
        <v>293</v>
      </c>
      <c r="AS397" t="s">
        <v>293</v>
      </c>
      <c r="AT397" t="s">
        <v>364</v>
      </c>
      <c r="AU397" t="str">
        <f t="shared" si="12"/>
        <v>break</v>
      </c>
    </row>
    <row r="398" spans="1:47" x14ac:dyDescent="0.3">
      <c r="A398" t="s">
        <v>43</v>
      </c>
      <c r="B398" t="s">
        <v>44</v>
      </c>
      <c r="C398" t="s">
        <v>22</v>
      </c>
      <c r="D398" t="s">
        <v>29</v>
      </c>
      <c r="E398" t="str">
        <f t="shared" si="13"/>
        <v>P_W5V-ZSB-S_9B4</v>
      </c>
      <c r="F398" t="b">
        <v>1</v>
      </c>
      <c r="G398">
        <v>44.5</v>
      </c>
      <c r="H398">
        <v>0</v>
      </c>
      <c r="I398">
        <v>15364</v>
      </c>
      <c r="J398" s="61" t="s">
        <v>13</v>
      </c>
      <c r="K398" s="16" t="s">
        <v>272</v>
      </c>
      <c r="L398" s="16">
        <v>3</v>
      </c>
      <c r="M398" s="16" t="s">
        <v>277</v>
      </c>
      <c r="N398" s="16" t="s">
        <v>335</v>
      </c>
      <c r="O398" s="15" t="s">
        <v>282</v>
      </c>
      <c r="P398" t="s">
        <v>371</v>
      </c>
      <c r="Q398" t="s">
        <v>371</v>
      </c>
      <c r="R398" s="17" t="s">
        <v>371</v>
      </c>
      <c r="S398" s="16" t="s">
        <v>341</v>
      </c>
      <c r="T398" s="16" t="s">
        <v>340</v>
      </c>
      <c r="U398" s="15" t="s">
        <v>343</v>
      </c>
      <c r="V398" s="15" t="s">
        <v>345</v>
      </c>
      <c r="W398" s="17"/>
      <c r="X398" t="s">
        <v>349</v>
      </c>
      <c r="Y398" t="s">
        <v>349</v>
      </c>
      <c r="Z398" t="s">
        <v>293</v>
      </c>
      <c r="AA398" t="s">
        <v>353</v>
      </c>
      <c r="AB398" t="s">
        <v>296</v>
      </c>
      <c r="AC398" t="s">
        <v>300</v>
      </c>
      <c r="AD398" t="s">
        <v>292</v>
      </c>
      <c r="AE398" t="s">
        <v>293</v>
      </c>
      <c r="AF398" t="s">
        <v>292</v>
      </c>
      <c r="AG398" t="s">
        <v>292</v>
      </c>
      <c r="AH398" t="s">
        <v>293</v>
      </c>
      <c r="AI398" t="s">
        <v>302</v>
      </c>
      <c r="AJ398" t="s">
        <v>302</v>
      </c>
      <c r="AK398" t="s">
        <v>359</v>
      </c>
      <c r="AL398" t="s">
        <v>293</v>
      </c>
      <c r="AM398" t="s">
        <v>293</v>
      </c>
      <c r="AN398" t="s">
        <v>297</v>
      </c>
      <c r="AO398" t="s">
        <v>298</v>
      </c>
      <c r="AP398" t="s">
        <v>293</v>
      </c>
      <c r="AQ398" t="s">
        <v>292</v>
      </c>
      <c r="AR398" t="s">
        <v>293</v>
      </c>
      <c r="AS398" t="s">
        <v>293</v>
      </c>
      <c r="AT398" t="s">
        <v>364</v>
      </c>
      <c r="AU398" t="str">
        <f t="shared" ref="AU398:AU460" si="14">IF(J398="fail",IF(H398=1,"break","car_stuck"),"no_fail")</f>
        <v>no_fail</v>
      </c>
    </row>
    <row r="399" spans="1:47" x14ac:dyDescent="0.3">
      <c r="A399" t="s">
        <v>45</v>
      </c>
      <c r="B399" t="s">
        <v>75</v>
      </c>
      <c r="C399" t="s">
        <v>15</v>
      </c>
      <c r="D399" t="s">
        <v>12</v>
      </c>
      <c r="E399" t="str">
        <f t="shared" si="13"/>
        <v>P_W6F-KYY-S_0M4</v>
      </c>
      <c r="F399" t="b">
        <v>1</v>
      </c>
      <c r="G399">
        <v>89.9</v>
      </c>
      <c r="H399">
        <v>0</v>
      </c>
      <c r="I399">
        <v>19855</v>
      </c>
      <c r="J399" s="61" t="s">
        <v>13</v>
      </c>
      <c r="K399" s="16" t="s">
        <v>272</v>
      </c>
      <c r="L399" s="16">
        <v>2</v>
      </c>
      <c r="M399" s="16" t="s">
        <v>277</v>
      </c>
      <c r="N399" s="16" t="s">
        <v>335</v>
      </c>
      <c r="O399" s="15" t="s">
        <v>283</v>
      </c>
      <c r="P399" t="s">
        <v>281</v>
      </c>
      <c r="Q399" t="s">
        <v>284</v>
      </c>
      <c r="R399" s="17" t="s">
        <v>371</v>
      </c>
      <c r="S399" s="16" t="s">
        <v>340</v>
      </c>
      <c r="T399" s="16" t="s">
        <v>342</v>
      </c>
      <c r="U399" s="15" t="s">
        <v>340</v>
      </c>
      <c r="V399" s="15" t="s">
        <v>344</v>
      </c>
      <c r="W399" s="17"/>
      <c r="X399" t="s">
        <v>349</v>
      </c>
      <c r="Y399" t="s">
        <v>349</v>
      </c>
      <c r="Z399" t="s">
        <v>293</v>
      </c>
      <c r="AA399" t="s">
        <v>354</v>
      </c>
      <c r="AB399" t="s">
        <v>354</v>
      </c>
      <c r="AC399" t="s">
        <v>299</v>
      </c>
      <c r="AD399" t="s">
        <v>293</v>
      </c>
      <c r="AE399" t="s">
        <v>292</v>
      </c>
      <c r="AF399" t="s">
        <v>292</v>
      </c>
      <c r="AG399" t="s">
        <v>293</v>
      </c>
      <c r="AH399" t="s">
        <v>293</v>
      </c>
      <c r="AI399" t="s">
        <v>302</v>
      </c>
      <c r="AJ399" t="s">
        <v>302</v>
      </c>
      <c r="AK399" t="s">
        <v>357</v>
      </c>
      <c r="AL399" t="s">
        <v>293</v>
      </c>
      <c r="AM399" t="s">
        <v>293</v>
      </c>
      <c r="AN399" t="s">
        <v>297</v>
      </c>
      <c r="AO399" t="s">
        <v>356</v>
      </c>
      <c r="AP399" t="s">
        <v>293</v>
      </c>
      <c r="AQ399" t="s">
        <v>292</v>
      </c>
      <c r="AR399" t="s">
        <v>293</v>
      </c>
      <c r="AS399" t="s">
        <v>293</v>
      </c>
      <c r="AT399" t="s">
        <v>364</v>
      </c>
      <c r="AU399" t="str">
        <f t="shared" si="14"/>
        <v>no_fail</v>
      </c>
    </row>
    <row r="400" spans="1:47" x14ac:dyDescent="0.3">
      <c r="A400" t="s">
        <v>45</v>
      </c>
      <c r="B400" t="s">
        <v>75</v>
      </c>
      <c r="C400" t="s">
        <v>14</v>
      </c>
      <c r="D400" t="s">
        <v>12</v>
      </c>
      <c r="E400" t="str">
        <f t="shared" si="13"/>
        <v>P_W6F-KYY-S_1B0</v>
      </c>
      <c r="F400" t="b">
        <v>1</v>
      </c>
      <c r="G400">
        <v>100</v>
      </c>
      <c r="H400">
        <v>1</v>
      </c>
      <c r="I400">
        <v>21851</v>
      </c>
      <c r="J400" s="61" t="s">
        <v>13</v>
      </c>
      <c r="K400" s="16" t="s">
        <v>272</v>
      </c>
      <c r="L400" s="16">
        <v>3</v>
      </c>
      <c r="M400" s="16" t="s">
        <v>277</v>
      </c>
      <c r="N400" s="16" t="s">
        <v>335</v>
      </c>
      <c r="O400" s="15" t="s">
        <v>282</v>
      </c>
      <c r="P400" t="s">
        <v>281</v>
      </c>
      <c r="Q400" t="s">
        <v>284</v>
      </c>
      <c r="R400" s="17" t="s">
        <v>371</v>
      </c>
      <c r="S400" s="16" t="s">
        <v>340</v>
      </c>
      <c r="T400" s="16" t="s">
        <v>342</v>
      </c>
      <c r="U400" s="15" t="s">
        <v>343</v>
      </c>
      <c r="V400" s="15" t="s">
        <v>344</v>
      </c>
      <c r="W400" s="17"/>
      <c r="X400" t="s">
        <v>349</v>
      </c>
      <c r="Y400" t="s">
        <v>349</v>
      </c>
      <c r="Z400" t="s">
        <v>293</v>
      </c>
      <c r="AA400" t="s">
        <v>353</v>
      </c>
      <c r="AB400" t="s">
        <v>297</v>
      </c>
      <c r="AC400" t="s">
        <v>300</v>
      </c>
      <c r="AD400" t="s">
        <v>293</v>
      </c>
      <c r="AE400" t="s">
        <v>292</v>
      </c>
      <c r="AF400" t="s">
        <v>292</v>
      </c>
      <c r="AG400" t="s">
        <v>293</v>
      </c>
      <c r="AH400" t="s">
        <v>293</v>
      </c>
      <c r="AI400" t="s">
        <v>302</v>
      </c>
      <c r="AJ400" t="s">
        <v>302</v>
      </c>
      <c r="AK400" t="s">
        <v>359</v>
      </c>
      <c r="AL400" t="s">
        <v>293</v>
      </c>
      <c r="AM400" t="s">
        <v>293</v>
      </c>
      <c r="AN400" t="s">
        <v>297</v>
      </c>
      <c r="AO400" t="s">
        <v>356</v>
      </c>
      <c r="AP400" t="s">
        <v>293</v>
      </c>
      <c r="AQ400" t="s">
        <v>292</v>
      </c>
      <c r="AR400" t="s">
        <v>293</v>
      </c>
      <c r="AS400" t="s">
        <v>293</v>
      </c>
      <c r="AT400" t="s">
        <v>364</v>
      </c>
      <c r="AU400" t="str">
        <f t="shared" si="14"/>
        <v>no_fail</v>
      </c>
    </row>
    <row r="401" spans="1:47" x14ac:dyDescent="0.3">
      <c r="A401" t="s">
        <v>45</v>
      </c>
      <c r="B401" t="s">
        <v>75</v>
      </c>
      <c r="C401" t="s">
        <v>11</v>
      </c>
      <c r="D401" t="s">
        <v>12</v>
      </c>
      <c r="E401" t="str">
        <f t="shared" si="13"/>
        <v>P_W6F-KYY-S_1Q4</v>
      </c>
      <c r="F401" t="b">
        <v>1</v>
      </c>
      <c r="G401">
        <v>99.9</v>
      </c>
      <c r="H401">
        <v>0</v>
      </c>
      <c r="I401">
        <v>22156</v>
      </c>
      <c r="J401" s="61" t="s">
        <v>18</v>
      </c>
      <c r="K401" s="16" t="s">
        <v>272</v>
      </c>
      <c r="L401" s="16">
        <v>2</v>
      </c>
      <c r="M401" s="16" t="s">
        <v>277</v>
      </c>
      <c r="N401" s="16" t="s">
        <v>335</v>
      </c>
      <c r="O401" s="15" t="s">
        <v>282</v>
      </c>
      <c r="P401" t="s">
        <v>281</v>
      </c>
      <c r="Q401" t="s">
        <v>284</v>
      </c>
      <c r="R401" s="17" t="s">
        <v>371</v>
      </c>
      <c r="S401" s="16" t="s">
        <v>340</v>
      </c>
      <c r="T401" s="16" t="s">
        <v>342</v>
      </c>
      <c r="U401" s="15" t="s">
        <v>340</v>
      </c>
      <c r="V401" s="15" t="s">
        <v>344</v>
      </c>
      <c r="W401" s="17"/>
      <c r="X401" t="s">
        <v>349</v>
      </c>
      <c r="Y401" t="s">
        <v>349</v>
      </c>
      <c r="Z401" t="s">
        <v>293</v>
      </c>
      <c r="AA401" t="s">
        <v>354</v>
      </c>
      <c r="AB401" t="s">
        <v>354</v>
      </c>
      <c r="AC401" t="s">
        <v>299</v>
      </c>
      <c r="AD401" t="s">
        <v>293</v>
      </c>
      <c r="AE401" t="s">
        <v>292</v>
      </c>
      <c r="AF401" t="s">
        <v>292</v>
      </c>
      <c r="AG401" t="s">
        <v>293</v>
      </c>
      <c r="AH401" t="s">
        <v>293</v>
      </c>
      <c r="AI401" t="s">
        <v>302</v>
      </c>
      <c r="AJ401" t="s">
        <v>302</v>
      </c>
      <c r="AK401" t="s">
        <v>357</v>
      </c>
      <c r="AL401" t="s">
        <v>293</v>
      </c>
      <c r="AM401" t="s">
        <v>293</v>
      </c>
      <c r="AN401" t="s">
        <v>297</v>
      </c>
      <c r="AO401" t="s">
        <v>356</v>
      </c>
      <c r="AP401" t="s">
        <v>293</v>
      </c>
      <c r="AQ401" t="s">
        <v>292</v>
      </c>
      <c r="AR401" t="s">
        <v>293</v>
      </c>
      <c r="AS401" t="s">
        <v>293</v>
      </c>
      <c r="AT401" t="s">
        <v>364</v>
      </c>
      <c r="AU401" t="str">
        <f t="shared" si="14"/>
        <v>car_stuck</v>
      </c>
    </row>
    <row r="402" spans="1:47" x14ac:dyDescent="0.3">
      <c r="A402" t="s">
        <v>45</v>
      </c>
      <c r="B402" t="s">
        <v>75</v>
      </c>
      <c r="C402" t="s">
        <v>19</v>
      </c>
      <c r="D402" t="s">
        <v>12</v>
      </c>
      <c r="E402" t="str">
        <f t="shared" si="13"/>
        <v>P_W6F-KYY-S_4U3</v>
      </c>
      <c r="F402" t="b">
        <v>1</v>
      </c>
      <c r="G402">
        <v>100</v>
      </c>
      <c r="H402">
        <v>1</v>
      </c>
      <c r="I402">
        <v>14900</v>
      </c>
      <c r="J402" s="61" t="s">
        <v>18</v>
      </c>
      <c r="K402" s="16" t="s">
        <v>272</v>
      </c>
      <c r="L402" s="16">
        <v>2</v>
      </c>
      <c r="M402" s="16" t="s">
        <v>277</v>
      </c>
      <c r="N402" s="16" t="s">
        <v>335</v>
      </c>
      <c r="O402" s="15" t="s">
        <v>282</v>
      </c>
      <c r="P402" t="s">
        <v>371</v>
      </c>
      <c r="Q402" t="s">
        <v>371</v>
      </c>
      <c r="R402" s="17" t="s">
        <v>371</v>
      </c>
      <c r="S402" s="16" t="s">
        <v>340</v>
      </c>
      <c r="T402" s="16" t="s">
        <v>342</v>
      </c>
      <c r="U402" s="15" t="s">
        <v>340</v>
      </c>
      <c r="V402" s="15" t="s">
        <v>347</v>
      </c>
      <c r="W402" s="17"/>
      <c r="X402" t="s">
        <v>349</v>
      </c>
      <c r="Y402" t="s">
        <v>349</v>
      </c>
      <c r="Z402" t="s">
        <v>293</v>
      </c>
      <c r="AA402" t="s">
        <v>354</v>
      </c>
      <c r="AB402" t="s">
        <v>354</v>
      </c>
      <c r="AC402" t="s">
        <v>299</v>
      </c>
      <c r="AD402" t="s">
        <v>292</v>
      </c>
      <c r="AE402" t="s">
        <v>293</v>
      </c>
      <c r="AF402" t="s">
        <v>293</v>
      </c>
      <c r="AG402" t="s">
        <v>292</v>
      </c>
      <c r="AH402" t="s">
        <v>293</v>
      </c>
      <c r="AI402" t="s">
        <v>302</v>
      </c>
      <c r="AJ402" t="s">
        <v>302</v>
      </c>
      <c r="AK402" t="s">
        <v>357</v>
      </c>
      <c r="AL402" t="s">
        <v>293</v>
      </c>
      <c r="AM402" t="s">
        <v>293</v>
      </c>
      <c r="AN402" t="s">
        <v>296</v>
      </c>
      <c r="AO402" t="s">
        <v>298</v>
      </c>
      <c r="AP402" t="s">
        <v>293</v>
      </c>
      <c r="AQ402" t="s">
        <v>292</v>
      </c>
      <c r="AR402" t="s">
        <v>293</v>
      </c>
      <c r="AS402" t="s">
        <v>293</v>
      </c>
      <c r="AT402" t="s">
        <v>364</v>
      </c>
      <c r="AU402" t="str">
        <f t="shared" si="14"/>
        <v>break</v>
      </c>
    </row>
    <row r="403" spans="1:47" x14ac:dyDescent="0.3">
      <c r="A403" t="s">
        <v>45</v>
      </c>
      <c r="B403" t="s">
        <v>75</v>
      </c>
      <c r="C403" t="s">
        <v>17</v>
      </c>
      <c r="D403" t="s">
        <v>12</v>
      </c>
      <c r="E403" t="str">
        <f t="shared" si="13"/>
        <v>P_W6F-KYY-S_6B5</v>
      </c>
      <c r="F403" t="b">
        <v>1</v>
      </c>
      <c r="G403">
        <v>100</v>
      </c>
      <c r="H403">
        <v>1</v>
      </c>
      <c r="I403">
        <v>14657</v>
      </c>
      <c r="J403" s="61" t="s">
        <v>18</v>
      </c>
      <c r="K403" s="16" t="s">
        <v>272</v>
      </c>
      <c r="L403" s="16">
        <v>2</v>
      </c>
      <c r="M403" s="16" t="s">
        <v>277</v>
      </c>
      <c r="N403" s="16" t="s">
        <v>335</v>
      </c>
      <c r="O403" s="15" t="s">
        <v>282</v>
      </c>
      <c r="P403" t="s">
        <v>281</v>
      </c>
      <c r="Q403" t="s">
        <v>284</v>
      </c>
      <c r="R403" s="17" t="s">
        <v>371</v>
      </c>
      <c r="S403" s="16" t="s">
        <v>340</v>
      </c>
      <c r="T403" s="16" t="s">
        <v>342</v>
      </c>
      <c r="U403" s="15" t="s">
        <v>340</v>
      </c>
      <c r="V403" s="15" t="s">
        <v>344</v>
      </c>
      <c r="W403" s="17"/>
      <c r="X403" t="s">
        <v>349</v>
      </c>
      <c r="Y403" t="s">
        <v>349</v>
      </c>
      <c r="Z403" t="s">
        <v>293</v>
      </c>
      <c r="AA403" t="s">
        <v>354</v>
      </c>
      <c r="AB403" t="s">
        <v>354</v>
      </c>
      <c r="AC403" t="s">
        <v>299</v>
      </c>
      <c r="AD403" t="s">
        <v>293</v>
      </c>
      <c r="AE403" t="s">
        <v>292</v>
      </c>
      <c r="AF403" t="s">
        <v>292</v>
      </c>
      <c r="AG403" t="s">
        <v>293</v>
      </c>
      <c r="AH403" t="s">
        <v>293</v>
      </c>
      <c r="AI403" t="s">
        <v>302</v>
      </c>
      <c r="AJ403" t="s">
        <v>302</v>
      </c>
      <c r="AK403" t="s">
        <v>357</v>
      </c>
      <c r="AL403" t="s">
        <v>293</v>
      </c>
      <c r="AM403" t="s">
        <v>293</v>
      </c>
      <c r="AN403" t="s">
        <v>297</v>
      </c>
      <c r="AO403" t="s">
        <v>356</v>
      </c>
      <c r="AP403" t="s">
        <v>293</v>
      </c>
      <c r="AQ403" t="s">
        <v>292</v>
      </c>
      <c r="AR403" t="s">
        <v>293</v>
      </c>
      <c r="AS403" t="s">
        <v>293</v>
      </c>
      <c r="AT403" t="s">
        <v>364</v>
      </c>
      <c r="AU403" t="str">
        <f t="shared" si="14"/>
        <v>break</v>
      </c>
    </row>
    <row r="404" spans="1:47" x14ac:dyDescent="0.3">
      <c r="A404" t="s">
        <v>45</v>
      </c>
      <c r="B404" t="s">
        <v>75</v>
      </c>
      <c r="C404" t="s">
        <v>16</v>
      </c>
      <c r="D404" t="s">
        <v>12</v>
      </c>
      <c r="E404" t="str">
        <f t="shared" si="13"/>
        <v>P_W6F-KYY-S_6U7</v>
      </c>
      <c r="F404" t="b">
        <v>1</v>
      </c>
      <c r="G404">
        <v>100</v>
      </c>
      <c r="H404">
        <v>1</v>
      </c>
      <c r="I404">
        <v>17386</v>
      </c>
      <c r="J404" s="61" t="s">
        <v>18</v>
      </c>
      <c r="K404" s="16" t="s">
        <v>272</v>
      </c>
      <c r="L404" s="16">
        <v>2</v>
      </c>
      <c r="M404" s="16" t="s">
        <v>277</v>
      </c>
      <c r="N404" s="16" t="s">
        <v>335</v>
      </c>
      <c r="O404" s="15" t="s">
        <v>282</v>
      </c>
      <c r="P404" t="s">
        <v>371</v>
      </c>
      <c r="Q404" t="s">
        <v>371</v>
      </c>
      <c r="R404" s="17" t="s">
        <v>371</v>
      </c>
      <c r="S404" s="16" t="s">
        <v>340</v>
      </c>
      <c r="T404" s="16" t="s">
        <v>342</v>
      </c>
      <c r="U404" s="15" t="s">
        <v>340</v>
      </c>
      <c r="V404" s="15" t="s">
        <v>347</v>
      </c>
      <c r="W404" s="17"/>
      <c r="X404" t="s">
        <v>349</v>
      </c>
      <c r="Y404" t="s">
        <v>349</v>
      </c>
      <c r="Z404" t="s">
        <v>293</v>
      </c>
      <c r="AA404" t="s">
        <v>354</v>
      </c>
      <c r="AB404" t="s">
        <v>354</v>
      </c>
      <c r="AC404" t="s">
        <v>300</v>
      </c>
      <c r="AD404" t="s">
        <v>292</v>
      </c>
      <c r="AE404" t="s">
        <v>293</v>
      </c>
      <c r="AF404" t="s">
        <v>293</v>
      </c>
      <c r="AG404" t="s">
        <v>292</v>
      </c>
      <c r="AH404" t="s">
        <v>293</v>
      </c>
      <c r="AI404" t="s">
        <v>302</v>
      </c>
      <c r="AJ404" t="s">
        <v>302</v>
      </c>
      <c r="AK404" t="s">
        <v>357</v>
      </c>
      <c r="AL404" t="s">
        <v>293</v>
      </c>
      <c r="AM404" t="s">
        <v>293</v>
      </c>
      <c r="AN404" t="s">
        <v>296</v>
      </c>
      <c r="AO404" t="s">
        <v>298</v>
      </c>
      <c r="AP404" t="s">
        <v>293</v>
      </c>
      <c r="AQ404" t="s">
        <v>292</v>
      </c>
      <c r="AR404" t="s">
        <v>293</v>
      </c>
      <c r="AS404" t="s">
        <v>293</v>
      </c>
      <c r="AT404" t="s">
        <v>364</v>
      </c>
      <c r="AU404" t="str">
        <f t="shared" si="14"/>
        <v>break</v>
      </c>
    </row>
    <row r="405" spans="1:47" x14ac:dyDescent="0.3">
      <c r="A405" t="s">
        <v>45</v>
      </c>
      <c r="B405" t="s">
        <v>75</v>
      </c>
      <c r="C405" t="s">
        <v>20</v>
      </c>
      <c r="D405" t="s">
        <v>12</v>
      </c>
      <c r="E405" t="str">
        <f t="shared" si="13"/>
        <v>P_W6F-KYY-S_7W0</v>
      </c>
      <c r="F405" t="b">
        <v>1</v>
      </c>
      <c r="G405">
        <v>100</v>
      </c>
      <c r="H405">
        <v>1</v>
      </c>
      <c r="I405">
        <v>14795</v>
      </c>
      <c r="J405" s="61" t="s">
        <v>18</v>
      </c>
      <c r="K405" s="16" t="s">
        <v>272</v>
      </c>
      <c r="L405" s="16">
        <v>2</v>
      </c>
      <c r="M405" s="16" t="s">
        <v>277</v>
      </c>
      <c r="N405" s="16" t="s">
        <v>335</v>
      </c>
      <c r="O405" s="15" t="s">
        <v>282</v>
      </c>
      <c r="P405" t="s">
        <v>281</v>
      </c>
      <c r="Q405" t="s">
        <v>284</v>
      </c>
      <c r="R405" s="17" t="s">
        <v>371</v>
      </c>
      <c r="S405" s="16" t="s">
        <v>340</v>
      </c>
      <c r="T405" s="16" t="s">
        <v>342</v>
      </c>
      <c r="U405" s="15" t="s">
        <v>340</v>
      </c>
      <c r="V405" s="15" t="s">
        <v>344</v>
      </c>
      <c r="W405" s="17"/>
      <c r="X405" t="s">
        <v>349</v>
      </c>
      <c r="Y405" t="s">
        <v>349</v>
      </c>
      <c r="Z405" t="s">
        <v>293</v>
      </c>
      <c r="AA405" t="s">
        <v>354</v>
      </c>
      <c r="AB405" t="s">
        <v>354</v>
      </c>
      <c r="AC405" t="s">
        <v>299</v>
      </c>
      <c r="AD405" t="s">
        <v>293</v>
      </c>
      <c r="AE405" t="s">
        <v>292</v>
      </c>
      <c r="AF405" t="s">
        <v>292</v>
      </c>
      <c r="AG405" t="s">
        <v>292</v>
      </c>
      <c r="AH405" t="s">
        <v>293</v>
      </c>
      <c r="AI405" t="s">
        <v>302</v>
      </c>
      <c r="AJ405" t="s">
        <v>302</v>
      </c>
      <c r="AK405" t="s">
        <v>357</v>
      </c>
      <c r="AL405" t="s">
        <v>293</v>
      </c>
      <c r="AM405" t="s">
        <v>293</v>
      </c>
      <c r="AN405" t="s">
        <v>296</v>
      </c>
      <c r="AO405" t="s">
        <v>356</v>
      </c>
      <c r="AP405" t="s">
        <v>293</v>
      </c>
      <c r="AQ405" t="s">
        <v>292</v>
      </c>
      <c r="AR405" t="s">
        <v>293</v>
      </c>
      <c r="AS405" t="s">
        <v>293</v>
      </c>
      <c r="AT405" t="s">
        <v>364</v>
      </c>
      <c r="AU405" t="str">
        <f t="shared" si="14"/>
        <v>break</v>
      </c>
    </row>
    <row r="406" spans="1:47" x14ac:dyDescent="0.3">
      <c r="A406" t="s">
        <v>45</v>
      </c>
      <c r="B406" t="s">
        <v>75</v>
      </c>
      <c r="C406" t="s">
        <v>23</v>
      </c>
      <c r="D406" t="s">
        <v>29</v>
      </c>
      <c r="E406" t="str">
        <f t="shared" si="13"/>
        <v>P_W6F-ZSB-S_0T2</v>
      </c>
      <c r="F406" t="b">
        <v>1</v>
      </c>
      <c r="G406">
        <v>86</v>
      </c>
      <c r="H406">
        <v>0</v>
      </c>
      <c r="I406">
        <v>14923</v>
      </c>
      <c r="J406" s="61" t="s">
        <v>13</v>
      </c>
      <c r="K406" s="16" t="s">
        <v>272</v>
      </c>
      <c r="L406" s="16">
        <v>2</v>
      </c>
      <c r="M406" s="16" t="s">
        <v>277</v>
      </c>
      <c r="N406" s="16" t="s">
        <v>335</v>
      </c>
      <c r="O406" s="15" t="s">
        <v>282</v>
      </c>
      <c r="P406" t="s">
        <v>281</v>
      </c>
      <c r="Q406" t="s">
        <v>284</v>
      </c>
      <c r="R406" s="17" t="s">
        <v>371</v>
      </c>
      <c r="S406" s="16" t="s">
        <v>340</v>
      </c>
      <c r="T406" s="16" t="s">
        <v>342</v>
      </c>
      <c r="U406" s="15" t="s">
        <v>340</v>
      </c>
      <c r="V406" s="15" t="s">
        <v>344</v>
      </c>
      <c r="W406" s="17"/>
      <c r="X406" t="s">
        <v>349</v>
      </c>
      <c r="Y406" t="s">
        <v>349</v>
      </c>
      <c r="Z406" t="s">
        <v>293</v>
      </c>
      <c r="AA406" t="s">
        <v>354</v>
      </c>
      <c r="AB406" t="s">
        <v>354</v>
      </c>
      <c r="AC406" t="s">
        <v>299</v>
      </c>
      <c r="AD406" t="s">
        <v>292</v>
      </c>
      <c r="AE406" t="s">
        <v>292</v>
      </c>
      <c r="AF406" t="s">
        <v>292</v>
      </c>
      <c r="AG406" t="s">
        <v>292</v>
      </c>
      <c r="AH406" t="s">
        <v>293</v>
      </c>
      <c r="AI406" t="s">
        <v>302</v>
      </c>
      <c r="AJ406" t="s">
        <v>302</v>
      </c>
      <c r="AK406" t="s">
        <v>357</v>
      </c>
      <c r="AL406" t="s">
        <v>293</v>
      </c>
      <c r="AM406" t="s">
        <v>293</v>
      </c>
      <c r="AN406" t="s">
        <v>296</v>
      </c>
      <c r="AO406" t="s">
        <v>298</v>
      </c>
      <c r="AP406" t="s">
        <v>293</v>
      </c>
      <c r="AQ406" t="s">
        <v>292</v>
      </c>
      <c r="AR406" t="s">
        <v>293</v>
      </c>
      <c r="AS406" t="s">
        <v>293</v>
      </c>
      <c r="AT406" t="s">
        <v>364</v>
      </c>
      <c r="AU406" t="str">
        <f t="shared" si="14"/>
        <v>no_fail</v>
      </c>
    </row>
    <row r="407" spans="1:47" x14ac:dyDescent="0.3">
      <c r="A407" t="s">
        <v>45</v>
      </c>
      <c r="B407" t="s">
        <v>75</v>
      </c>
      <c r="C407" t="s">
        <v>25</v>
      </c>
      <c r="D407" t="s">
        <v>29</v>
      </c>
      <c r="E407" t="str">
        <f t="shared" si="13"/>
        <v>P_W6F-ZSB-S_1J8</v>
      </c>
      <c r="F407" t="b">
        <v>1</v>
      </c>
      <c r="G407">
        <v>71.099999999999994</v>
      </c>
      <c r="H407">
        <v>0</v>
      </c>
      <c r="I407">
        <v>14241</v>
      </c>
      <c r="J407" s="61" t="s">
        <v>13</v>
      </c>
      <c r="K407" s="16" t="s">
        <v>272</v>
      </c>
      <c r="L407" s="16">
        <v>3</v>
      </c>
      <c r="M407" s="16" t="s">
        <v>277</v>
      </c>
      <c r="N407" s="16" t="s">
        <v>335</v>
      </c>
      <c r="O407" s="15" t="s">
        <v>283</v>
      </c>
      <c r="P407" t="s">
        <v>282</v>
      </c>
      <c r="Q407" t="s">
        <v>371</v>
      </c>
      <c r="R407" s="17" t="s">
        <v>371</v>
      </c>
      <c r="S407" s="16" t="s">
        <v>340</v>
      </c>
      <c r="T407" s="16" t="s">
        <v>342</v>
      </c>
      <c r="U407" s="15" t="s">
        <v>343</v>
      </c>
      <c r="V407" s="15" t="s">
        <v>347</v>
      </c>
      <c r="W407" s="17"/>
      <c r="X407" t="s">
        <v>349</v>
      </c>
      <c r="Y407" t="s">
        <v>349</v>
      </c>
      <c r="Z407" t="s">
        <v>293</v>
      </c>
      <c r="AA407" t="s">
        <v>353</v>
      </c>
      <c r="AB407" t="s">
        <v>296</v>
      </c>
      <c r="AC407" t="s">
        <v>301</v>
      </c>
      <c r="AD407" t="s">
        <v>293</v>
      </c>
      <c r="AE407" t="s">
        <v>292</v>
      </c>
      <c r="AF407" t="s">
        <v>293</v>
      </c>
      <c r="AG407" t="s">
        <v>292</v>
      </c>
      <c r="AH407" t="s">
        <v>293</v>
      </c>
      <c r="AI407" t="s">
        <v>302</v>
      </c>
      <c r="AJ407" t="s">
        <v>302</v>
      </c>
      <c r="AK407" t="s">
        <v>359</v>
      </c>
      <c r="AL407" t="s">
        <v>293</v>
      </c>
      <c r="AM407" t="s">
        <v>293</v>
      </c>
      <c r="AN407" t="s">
        <v>296</v>
      </c>
      <c r="AO407" t="s">
        <v>356</v>
      </c>
      <c r="AP407" t="s">
        <v>293</v>
      </c>
      <c r="AQ407" t="s">
        <v>292</v>
      </c>
      <c r="AR407" t="s">
        <v>293</v>
      </c>
      <c r="AS407" t="s">
        <v>293</v>
      </c>
      <c r="AT407" t="s">
        <v>364</v>
      </c>
      <c r="AU407" t="str">
        <f t="shared" si="14"/>
        <v>no_fail</v>
      </c>
    </row>
    <row r="408" spans="1:47" x14ac:dyDescent="0.3">
      <c r="A408" t="s">
        <v>45</v>
      </c>
      <c r="B408" t="s">
        <v>75</v>
      </c>
      <c r="C408" t="s">
        <v>24</v>
      </c>
      <c r="D408" t="s">
        <v>29</v>
      </c>
      <c r="E408" t="str">
        <f t="shared" si="13"/>
        <v>P_W6F-ZSB-S_1U0</v>
      </c>
      <c r="F408" t="b">
        <v>1</v>
      </c>
      <c r="G408">
        <v>100</v>
      </c>
      <c r="H408">
        <v>1</v>
      </c>
      <c r="I408">
        <v>11338</v>
      </c>
      <c r="J408" s="61" t="s">
        <v>18</v>
      </c>
      <c r="K408" s="16" t="s">
        <v>272</v>
      </c>
      <c r="L408" s="16">
        <v>2</v>
      </c>
      <c r="M408" s="16" t="s">
        <v>277</v>
      </c>
      <c r="N408" s="16" t="s">
        <v>335</v>
      </c>
      <c r="O408" s="15" t="s">
        <v>282</v>
      </c>
      <c r="P408" t="s">
        <v>371</v>
      </c>
      <c r="Q408" t="s">
        <v>371</v>
      </c>
      <c r="R408" s="17" t="s">
        <v>371</v>
      </c>
      <c r="S408" s="16" t="s">
        <v>340</v>
      </c>
      <c r="T408" s="16" t="s">
        <v>342</v>
      </c>
      <c r="U408" s="15" t="s">
        <v>340</v>
      </c>
      <c r="V408" s="15" t="s">
        <v>347</v>
      </c>
      <c r="W408" s="17"/>
      <c r="X408" t="s">
        <v>349</v>
      </c>
      <c r="Y408" t="s">
        <v>349</v>
      </c>
      <c r="Z408" t="s">
        <v>293</v>
      </c>
      <c r="AA408" t="s">
        <v>354</v>
      </c>
      <c r="AB408" t="s">
        <v>354</v>
      </c>
      <c r="AC408" t="s">
        <v>299</v>
      </c>
      <c r="AD408" t="s">
        <v>292</v>
      </c>
      <c r="AE408" t="s">
        <v>293</v>
      </c>
      <c r="AF408" t="s">
        <v>293</v>
      </c>
      <c r="AG408" t="s">
        <v>292</v>
      </c>
      <c r="AH408" t="s">
        <v>293</v>
      </c>
      <c r="AI408" t="s">
        <v>302</v>
      </c>
      <c r="AJ408" t="s">
        <v>302</v>
      </c>
      <c r="AK408" t="s">
        <v>357</v>
      </c>
      <c r="AL408" t="s">
        <v>293</v>
      </c>
      <c r="AM408" t="s">
        <v>293</v>
      </c>
      <c r="AN408" t="s">
        <v>296</v>
      </c>
      <c r="AO408" t="s">
        <v>298</v>
      </c>
      <c r="AP408" t="s">
        <v>293</v>
      </c>
      <c r="AQ408" t="s">
        <v>292</v>
      </c>
      <c r="AR408" t="s">
        <v>293</v>
      </c>
      <c r="AS408" t="s">
        <v>293</v>
      </c>
      <c r="AT408" t="s">
        <v>364</v>
      </c>
      <c r="AU408" t="str">
        <f t="shared" si="14"/>
        <v>break</v>
      </c>
    </row>
    <row r="409" spans="1:47" x14ac:dyDescent="0.3">
      <c r="A409" t="s">
        <v>45</v>
      </c>
      <c r="B409" t="s">
        <v>75</v>
      </c>
      <c r="C409" t="s">
        <v>21</v>
      </c>
      <c r="D409" t="s">
        <v>29</v>
      </c>
      <c r="E409" t="str">
        <f t="shared" si="13"/>
        <v>P_W6F-ZSB-S_3X6</v>
      </c>
      <c r="F409" t="b">
        <v>1</v>
      </c>
      <c r="G409">
        <v>100</v>
      </c>
      <c r="H409">
        <v>1</v>
      </c>
      <c r="I409">
        <v>12316</v>
      </c>
      <c r="J409" s="61" t="s">
        <v>18</v>
      </c>
      <c r="K409" s="16" t="s">
        <v>272</v>
      </c>
      <c r="L409" s="16">
        <v>2</v>
      </c>
      <c r="M409" s="16" t="s">
        <v>277</v>
      </c>
      <c r="N409" s="16" t="s">
        <v>335</v>
      </c>
      <c r="O409" s="15" t="s">
        <v>282</v>
      </c>
      <c r="P409" t="s">
        <v>281</v>
      </c>
      <c r="Q409" t="s">
        <v>284</v>
      </c>
      <c r="R409" s="17" t="s">
        <v>371</v>
      </c>
      <c r="S409" s="16" t="s">
        <v>340</v>
      </c>
      <c r="T409" s="16" t="s">
        <v>342</v>
      </c>
      <c r="U409" s="15" t="s">
        <v>340</v>
      </c>
      <c r="V409" s="15" t="s">
        <v>344</v>
      </c>
      <c r="W409" s="17"/>
      <c r="X409" t="s">
        <v>349</v>
      </c>
      <c r="Y409" t="s">
        <v>349</v>
      </c>
      <c r="Z409" t="s">
        <v>293</v>
      </c>
      <c r="AA409" t="s">
        <v>354</v>
      </c>
      <c r="AB409" t="s">
        <v>354</v>
      </c>
      <c r="AC409" t="s">
        <v>299</v>
      </c>
      <c r="AD409" t="s">
        <v>293</v>
      </c>
      <c r="AE409" t="s">
        <v>292</v>
      </c>
      <c r="AF409" t="s">
        <v>292</v>
      </c>
      <c r="AG409" t="s">
        <v>293</v>
      </c>
      <c r="AH409" t="s">
        <v>293</v>
      </c>
      <c r="AI409" t="s">
        <v>302</v>
      </c>
      <c r="AJ409" t="s">
        <v>302</v>
      </c>
      <c r="AK409" t="s">
        <v>357</v>
      </c>
      <c r="AL409" t="s">
        <v>293</v>
      </c>
      <c r="AM409" t="s">
        <v>293</v>
      </c>
      <c r="AN409" t="s">
        <v>297</v>
      </c>
      <c r="AO409" t="s">
        <v>356</v>
      </c>
      <c r="AP409" t="s">
        <v>293</v>
      </c>
      <c r="AQ409" t="s">
        <v>292</v>
      </c>
      <c r="AR409" t="s">
        <v>293</v>
      </c>
      <c r="AS409" t="s">
        <v>293</v>
      </c>
      <c r="AT409" t="s">
        <v>364</v>
      </c>
      <c r="AU409" t="str">
        <f t="shared" si="14"/>
        <v>break</v>
      </c>
    </row>
    <row r="410" spans="1:47" x14ac:dyDescent="0.3">
      <c r="A410" t="s">
        <v>45</v>
      </c>
      <c r="B410" t="s">
        <v>75</v>
      </c>
      <c r="C410" t="s">
        <v>30</v>
      </c>
      <c r="D410" t="s">
        <v>29</v>
      </c>
      <c r="E410" t="str">
        <f t="shared" si="13"/>
        <v>P_W6F-ZSB-S_3X7</v>
      </c>
      <c r="F410" t="b">
        <v>1</v>
      </c>
      <c r="G410">
        <v>100</v>
      </c>
      <c r="H410">
        <v>1</v>
      </c>
      <c r="I410">
        <v>11072</v>
      </c>
      <c r="J410" s="61" t="s">
        <v>18</v>
      </c>
      <c r="K410" s="16" t="s">
        <v>272</v>
      </c>
      <c r="L410" s="16">
        <v>2</v>
      </c>
      <c r="M410" s="16" t="s">
        <v>277</v>
      </c>
      <c r="N410" s="16" t="s">
        <v>335</v>
      </c>
      <c r="O410" s="15" t="s">
        <v>282</v>
      </c>
      <c r="P410" t="s">
        <v>371</v>
      </c>
      <c r="Q410" t="s">
        <v>371</v>
      </c>
      <c r="R410" s="17" t="s">
        <v>371</v>
      </c>
      <c r="S410" s="16" t="s">
        <v>340</v>
      </c>
      <c r="T410" s="16" t="s">
        <v>342</v>
      </c>
      <c r="U410" s="15" t="s">
        <v>340</v>
      </c>
      <c r="V410" s="15" t="s">
        <v>344</v>
      </c>
      <c r="W410" s="17"/>
      <c r="X410" t="s">
        <v>349</v>
      </c>
      <c r="Y410" t="s">
        <v>349</v>
      </c>
      <c r="Z410" t="s">
        <v>293</v>
      </c>
      <c r="AA410" t="s">
        <v>354</v>
      </c>
      <c r="AB410" t="s">
        <v>354</v>
      </c>
      <c r="AC410" t="s">
        <v>300</v>
      </c>
      <c r="AD410" t="s">
        <v>293</v>
      </c>
      <c r="AE410" t="s">
        <v>292</v>
      </c>
      <c r="AF410" t="s">
        <v>293</v>
      </c>
      <c r="AG410" t="s">
        <v>292</v>
      </c>
      <c r="AH410" t="s">
        <v>293</v>
      </c>
      <c r="AI410" t="s">
        <v>302</v>
      </c>
      <c r="AJ410" t="s">
        <v>302</v>
      </c>
      <c r="AK410" t="s">
        <v>357</v>
      </c>
      <c r="AL410" t="s">
        <v>293</v>
      </c>
      <c r="AM410" t="s">
        <v>293</v>
      </c>
      <c r="AN410" t="s">
        <v>296</v>
      </c>
      <c r="AO410" t="s">
        <v>356</v>
      </c>
      <c r="AP410" t="s">
        <v>293</v>
      </c>
      <c r="AQ410" t="s">
        <v>292</v>
      </c>
      <c r="AR410" t="s">
        <v>293</v>
      </c>
      <c r="AS410" t="s">
        <v>293</v>
      </c>
      <c r="AT410" t="s">
        <v>364</v>
      </c>
      <c r="AU410" t="str">
        <f t="shared" si="14"/>
        <v>break</v>
      </c>
    </row>
    <row r="411" spans="1:47" x14ac:dyDescent="0.3">
      <c r="A411" t="s">
        <v>45</v>
      </c>
      <c r="B411" t="s">
        <v>75</v>
      </c>
      <c r="C411" t="s">
        <v>26</v>
      </c>
      <c r="D411" t="s">
        <v>29</v>
      </c>
      <c r="E411" t="str">
        <f t="shared" si="13"/>
        <v>P_W6F-ZSB-S_8O8</v>
      </c>
      <c r="F411" t="b">
        <v>1</v>
      </c>
      <c r="G411">
        <v>98.4</v>
      </c>
      <c r="H411">
        <v>0</v>
      </c>
      <c r="I411">
        <v>13310</v>
      </c>
      <c r="J411" s="61" t="s">
        <v>13</v>
      </c>
      <c r="K411" s="16" t="s">
        <v>272</v>
      </c>
      <c r="L411" s="16">
        <v>2</v>
      </c>
      <c r="M411" s="16" t="s">
        <v>277</v>
      </c>
      <c r="N411" s="16" t="s">
        <v>335</v>
      </c>
      <c r="O411" s="15" t="s">
        <v>282</v>
      </c>
      <c r="P411" t="s">
        <v>281</v>
      </c>
      <c r="Q411" t="s">
        <v>284</v>
      </c>
      <c r="R411" s="17" t="s">
        <v>371</v>
      </c>
      <c r="S411" s="16" t="s">
        <v>340</v>
      </c>
      <c r="T411" s="16" t="s">
        <v>342</v>
      </c>
      <c r="U411" s="15" t="s">
        <v>340</v>
      </c>
      <c r="V411" s="15" t="s">
        <v>344</v>
      </c>
      <c r="W411" s="17"/>
      <c r="X411" t="s">
        <v>349</v>
      </c>
      <c r="Y411" t="s">
        <v>349</v>
      </c>
      <c r="Z411" t="s">
        <v>293</v>
      </c>
      <c r="AA411" t="s">
        <v>354</v>
      </c>
      <c r="AB411" t="s">
        <v>354</v>
      </c>
      <c r="AC411" t="s">
        <v>299</v>
      </c>
      <c r="AD411" t="s">
        <v>292</v>
      </c>
      <c r="AE411" t="s">
        <v>293</v>
      </c>
      <c r="AF411" t="s">
        <v>292</v>
      </c>
      <c r="AG411" t="s">
        <v>292</v>
      </c>
      <c r="AH411" t="s">
        <v>293</v>
      </c>
      <c r="AI411" t="s">
        <v>302</v>
      </c>
      <c r="AJ411" t="s">
        <v>302</v>
      </c>
      <c r="AK411" t="s">
        <v>357</v>
      </c>
      <c r="AL411" t="s">
        <v>293</v>
      </c>
      <c r="AM411" t="s">
        <v>293</v>
      </c>
      <c r="AN411" t="s">
        <v>296</v>
      </c>
      <c r="AO411" t="s">
        <v>298</v>
      </c>
      <c r="AP411" t="s">
        <v>293</v>
      </c>
      <c r="AQ411" t="s">
        <v>292</v>
      </c>
      <c r="AR411" t="s">
        <v>293</v>
      </c>
      <c r="AS411" t="s">
        <v>293</v>
      </c>
      <c r="AT411" t="s">
        <v>364</v>
      </c>
      <c r="AU411" t="str">
        <f t="shared" si="14"/>
        <v>no_fail</v>
      </c>
    </row>
    <row r="412" spans="1:47" x14ac:dyDescent="0.3">
      <c r="A412" t="s">
        <v>45</v>
      </c>
      <c r="B412" t="s">
        <v>75</v>
      </c>
      <c r="C412" t="s">
        <v>22</v>
      </c>
      <c r="D412" t="s">
        <v>29</v>
      </c>
      <c r="E412" t="str">
        <f t="shared" si="13"/>
        <v>P_W6F-ZSB-S_9B4</v>
      </c>
      <c r="F412" t="b">
        <v>1</v>
      </c>
      <c r="G412">
        <v>100</v>
      </c>
      <c r="H412">
        <v>1</v>
      </c>
      <c r="I412">
        <v>12716</v>
      </c>
      <c r="J412" s="61" t="s">
        <v>18</v>
      </c>
      <c r="K412" s="16" t="s">
        <v>272</v>
      </c>
      <c r="L412" s="16">
        <v>3</v>
      </c>
      <c r="M412" s="16" t="s">
        <v>277</v>
      </c>
      <c r="N412" s="16" t="s">
        <v>335</v>
      </c>
      <c r="O412" s="15" t="s">
        <v>282</v>
      </c>
      <c r="P412" t="s">
        <v>281</v>
      </c>
      <c r="Q412" t="s">
        <v>284</v>
      </c>
      <c r="R412" s="17" t="s">
        <v>371</v>
      </c>
      <c r="S412" s="16" t="s">
        <v>340</v>
      </c>
      <c r="T412" s="16" t="s">
        <v>342</v>
      </c>
      <c r="U412" s="15" t="s">
        <v>343</v>
      </c>
      <c r="V412" s="15" t="s">
        <v>344</v>
      </c>
      <c r="W412" s="17"/>
      <c r="X412" t="s">
        <v>349</v>
      </c>
      <c r="Y412" t="s">
        <v>349</v>
      </c>
      <c r="Z412" t="s">
        <v>293</v>
      </c>
      <c r="AA412" t="s">
        <v>353</v>
      </c>
      <c r="AB412" t="s">
        <v>296</v>
      </c>
      <c r="AC412" t="s">
        <v>299</v>
      </c>
      <c r="AD412" t="s">
        <v>293</v>
      </c>
      <c r="AE412" t="s">
        <v>292</v>
      </c>
      <c r="AF412" t="s">
        <v>292</v>
      </c>
      <c r="AG412" t="s">
        <v>292</v>
      </c>
      <c r="AH412" t="s">
        <v>293</v>
      </c>
      <c r="AI412" t="s">
        <v>302</v>
      </c>
      <c r="AJ412" t="s">
        <v>302</v>
      </c>
      <c r="AK412" t="s">
        <v>357</v>
      </c>
      <c r="AL412" t="s">
        <v>293</v>
      </c>
      <c r="AM412" t="s">
        <v>293</v>
      </c>
      <c r="AN412" t="s">
        <v>297</v>
      </c>
      <c r="AO412" t="s">
        <v>356</v>
      </c>
      <c r="AP412" t="s">
        <v>293</v>
      </c>
      <c r="AQ412" t="s">
        <v>292</v>
      </c>
      <c r="AR412" t="s">
        <v>293</v>
      </c>
      <c r="AS412" t="s">
        <v>293</v>
      </c>
      <c r="AT412" t="s">
        <v>364</v>
      </c>
      <c r="AU412" t="str">
        <f t="shared" si="14"/>
        <v>break</v>
      </c>
    </row>
    <row r="413" spans="1:47" x14ac:dyDescent="0.3">
      <c r="A413" t="s">
        <v>45</v>
      </c>
      <c r="B413" t="s">
        <v>75</v>
      </c>
      <c r="C413" t="s">
        <v>27</v>
      </c>
      <c r="D413" t="s">
        <v>29</v>
      </c>
      <c r="E413" t="str">
        <f t="shared" si="13"/>
        <v>P_W6F-ZSB-S_9F6</v>
      </c>
      <c r="F413" t="b">
        <v>1</v>
      </c>
      <c r="G413">
        <v>100</v>
      </c>
      <c r="H413">
        <v>1</v>
      </c>
      <c r="I413">
        <v>11037</v>
      </c>
      <c r="J413" s="61" t="s">
        <v>18</v>
      </c>
      <c r="K413" s="16" t="s">
        <v>272</v>
      </c>
      <c r="L413" s="16">
        <v>2</v>
      </c>
      <c r="M413" s="16" t="s">
        <v>277</v>
      </c>
      <c r="N413" s="16" t="s">
        <v>335</v>
      </c>
      <c r="O413" s="15" t="s">
        <v>282</v>
      </c>
      <c r="P413" t="s">
        <v>371</v>
      </c>
      <c r="Q413" t="s">
        <v>371</v>
      </c>
      <c r="R413" s="17" t="s">
        <v>371</v>
      </c>
      <c r="S413" s="16" t="s">
        <v>340</v>
      </c>
      <c r="T413" s="16" t="s">
        <v>342</v>
      </c>
      <c r="U413" s="15" t="s">
        <v>343</v>
      </c>
      <c r="V413" s="15" t="s">
        <v>344</v>
      </c>
      <c r="W413" s="17"/>
      <c r="X413" t="s">
        <v>349</v>
      </c>
      <c r="Y413" t="s">
        <v>349</v>
      </c>
      <c r="Z413" t="s">
        <v>293</v>
      </c>
      <c r="AA413" t="s">
        <v>354</v>
      </c>
      <c r="AB413" t="s">
        <v>354</v>
      </c>
      <c r="AC413" t="s">
        <v>299</v>
      </c>
      <c r="AD413" t="s">
        <v>293</v>
      </c>
      <c r="AE413" t="s">
        <v>292</v>
      </c>
      <c r="AF413" t="s">
        <v>293</v>
      </c>
      <c r="AG413" t="s">
        <v>292</v>
      </c>
      <c r="AH413" t="s">
        <v>293</v>
      </c>
      <c r="AI413" t="s">
        <v>302</v>
      </c>
      <c r="AJ413" t="s">
        <v>302</v>
      </c>
      <c r="AK413" t="s">
        <v>357</v>
      </c>
      <c r="AL413" t="s">
        <v>293</v>
      </c>
      <c r="AM413" t="s">
        <v>293</v>
      </c>
      <c r="AN413" t="s">
        <v>296</v>
      </c>
      <c r="AO413" t="s">
        <v>356</v>
      </c>
      <c r="AP413" t="s">
        <v>293</v>
      </c>
      <c r="AQ413" t="s">
        <v>292</v>
      </c>
      <c r="AR413" t="s">
        <v>293</v>
      </c>
      <c r="AS413" t="s">
        <v>293</v>
      </c>
      <c r="AT413" t="s">
        <v>364</v>
      </c>
      <c r="AU413" t="str">
        <f t="shared" si="14"/>
        <v>break</v>
      </c>
    </row>
    <row r="414" spans="1:47" x14ac:dyDescent="0.3">
      <c r="A414" t="s">
        <v>45</v>
      </c>
      <c r="B414" t="s">
        <v>75</v>
      </c>
      <c r="C414" t="s">
        <v>28</v>
      </c>
      <c r="D414" t="s">
        <v>29</v>
      </c>
      <c r="E414" t="str">
        <f t="shared" si="13"/>
        <v>P_W6F-ZSB-S_9T2</v>
      </c>
      <c r="F414" t="b">
        <v>1</v>
      </c>
      <c r="G414">
        <v>100</v>
      </c>
      <c r="H414">
        <v>1</v>
      </c>
      <c r="I414">
        <v>11252</v>
      </c>
      <c r="J414" s="61" t="s">
        <v>18</v>
      </c>
      <c r="K414" s="16" t="s">
        <v>272</v>
      </c>
      <c r="L414" s="16">
        <v>2</v>
      </c>
      <c r="M414" s="16" t="s">
        <v>277</v>
      </c>
      <c r="N414" s="16" t="s">
        <v>335</v>
      </c>
      <c r="O414" s="15" t="s">
        <v>282</v>
      </c>
      <c r="P414" t="s">
        <v>371</v>
      </c>
      <c r="Q414" t="s">
        <v>371</v>
      </c>
      <c r="R414" s="17" t="s">
        <v>371</v>
      </c>
      <c r="S414" s="16" t="s">
        <v>340</v>
      </c>
      <c r="T414" s="16" t="s">
        <v>342</v>
      </c>
      <c r="U414" s="15" t="s">
        <v>343</v>
      </c>
      <c r="V414" s="15" t="s">
        <v>344</v>
      </c>
      <c r="W414" s="17"/>
      <c r="X414" t="s">
        <v>349</v>
      </c>
      <c r="Y414" t="s">
        <v>349</v>
      </c>
      <c r="Z414" t="s">
        <v>293</v>
      </c>
      <c r="AA414" t="s">
        <v>354</v>
      </c>
      <c r="AB414" t="s">
        <v>354</v>
      </c>
      <c r="AC414" t="s">
        <v>300</v>
      </c>
      <c r="AD414" t="s">
        <v>293</v>
      </c>
      <c r="AE414" t="s">
        <v>292</v>
      </c>
      <c r="AF414" t="s">
        <v>293</v>
      </c>
      <c r="AG414" t="s">
        <v>292</v>
      </c>
      <c r="AH414" t="s">
        <v>293</v>
      </c>
      <c r="AI414" t="s">
        <v>302</v>
      </c>
      <c r="AJ414" t="s">
        <v>302</v>
      </c>
      <c r="AK414" t="s">
        <v>357</v>
      </c>
      <c r="AL414" t="s">
        <v>293</v>
      </c>
      <c r="AM414" t="s">
        <v>293</v>
      </c>
      <c r="AN414" t="s">
        <v>296</v>
      </c>
      <c r="AO414" t="s">
        <v>356</v>
      </c>
      <c r="AP414" t="s">
        <v>293</v>
      </c>
      <c r="AQ414" t="s">
        <v>292</v>
      </c>
      <c r="AR414" t="s">
        <v>293</v>
      </c>
      <c r="AS414" t="s">
        <v>293</v>
      </c>
      <c r="AT414" t="s">
        <v>364</v>
      </c>
      <c r="AU414" t="str">
        <f t="shared" si="14"/>
        <v>break</v>
      </c>
    </row>
    <row r="415" spans="1:47" x14ac:dyDescent="0.3">
      <c r="A415" t="s">
        <v>43</v>
      </c>
      <c r="B415" t="s">
        <v>71</v>
      </c>
      <c r="C415" t="s">
        <v>14</v>
      </c>
      <c r="D415" t="s">
        <v>12</v>
      </c>
      <c r="E415" t="str">
        <f t="shared" si="13"/>
        <v>P_X0F-KYY-S_1B0</v>
      </c>
      <c r="F415" t="b">
        <v>1</v>
      </c>
      <c r="G415">
        <v>100</v>
      </c>
      <c r="H415">
        <v>1</v>
      </c>
      <c r="I415">
        <v>13115</v>
      </c>
      <c r="J415" s="61" t="s">
        <v>18</v>
      </c>
      <c r="K415" s="16" t="s">
        <v>272</v>
      </c>
      <c r="L415" s="16">
        <v>3</v>
      </c>
      <c r="M415" s="16" t="s">
        <v>277</v>
      </c>
      <c r="N415" s="16" t="s">
        <v>335</v>
      </c>
      <c r="O415" s="15" t="s">
        <v>282</v>
      </c>
      <c r="P415" t="s">
        <v>371</v>
      </c>
      <c r="Q415" t="s">
        <v>371</v>
      </c>
      <c r="R415" s="17" t="s">
        <v>371</v>
      </c>
      <c r="S415" s="16" t="s">
        <v>341</v>
      </c>
      <c r="T415" s="16" t="s">
        <v>340</v>
      </c>
      <c r="U415" s="15" t="s">
        <v>343</v>
      </c>
      <c r="V415" s="15" t="s">
        <v>291</v>
      </c>
      <c r="W415" s="17"/>
      <c r="X415" t="s">
        <v>349</v>
      </c>
      <c r="Y415" t="s">
        <v>349</v>
      </c>
      <c r="Z415" t="s">
        <v>293</v>
      </c>
      <c r="AA415" t="s">
        <v>352</v>
      </c>
      <c r="AB415" t="s">
        <v>296</v>
      </c>
      <c r="AC415" t="s">
        <v>301</v>
      </c>
      <c r="AD415" t="s">
        <v>292</v>
      </c>
      <c r="AE415" t="s">
        <v>293</v>
      </c>
      <c r="AF415" t="s">
        <v>292</v>
      </c>
      <c r="AG415" t="s">
        <v>292</v>
      </c>
      <c r="AH415" t="s">
        <v>293</v>
      </c>
      <c r="AI415" t="s">
        <v>302</v>
      </c>
      <c r="AJ415" t="s">
        <v>302</v>
      </c>
      <c r="AK415" t="s">
        <v>359</v>
      </c>
      <c r="AL415" t="s">
        <v>293</v>
      </c>
      <c r="AM415" t="s">
        <v>293</v>
      </c>
      <c r="AN415" t="s">
        <v>296</v>
      </c>
      <c r="AO415" t="s">
        <v>298</v>
      </c>
      <c r="AP415" t="s">
        <v>293</v>
      </c>
      <c r="AQ415" t="s">
        <v>292</v>
      </c>
      <c r="AR415" t="s">
        <v>293</v>
      </c>
      <c r="AS415" t="s">
        <v>293</v>
      </c>
      <c r="AT415" t="s">
        <v>364</v>
      </c>
      <c r="AU415" t="str">
        <f t="shared" si="14"/>
        <v>break</v>
      </c>
    </row>
    <row r="416" spans="1:47" x14ac:dyDescent="0.3">
      <c r="A416" t="s">
        <v>43</v>
      </c>
      <c r="B416" t="s">
        <v>71</v>
      </c>
      <c r="C416" t="s">
        <v>11</v>
      </c>
      <c r="D416" t="s">
        <v>12</v>
      </c>
      <c r="E416" t="str">
        <f t="shared" si="13"/>
        <v>P_X0F-KYY-S_1Q4</v>
      </c>
      <c r="F416" t="b">
        <v>1</v>
      </c>
      <c r="G416">
        <v>100</v>
      </c>
      <c r="H416">
        <v>1</v>
      </c>
      <c r="I416">
        <v>13389</v>
      </c>
      <c r="J416" s="61" t="s">
        <v>18</v>
      </c>
      <c r="K416" s="16" t="s">
        <v>272</v>
      </c>
      <c r="L416" s="16">
        <v>3</v>
      </c>
      <c r="M416" s="16" t="s">
        <v>277</v>
      </c>
      <c r="N416" s="16" t="s">
        <v>335</v>
      </c>
      <c r="O416" s="15" t="s">
        <v>282</v>
      </c>
      <c r="P416" t="s">
        <v>371</v>
      </c>
      <c r="Q416" t="s">
        <v>371</v>
      </c>
      <c r="R416" s="17" t="s">
        <v>371</v>
      </c>
      <c r="S416" s="16" t="s">
        <v>341</v>
      </c>
      <c r="T416" s="16" t="s">
        <v>340</v>
      </c>
      <c r="U416" s="15" t="s">
        <v>343</v>
      </c>
      <c r="V416" s="15" t="s">
        <v>291</v>
      </c>
      <c r="W416" s="17"/>
      <c r="X416" t="s">
        <v>349</v>
      </c>
      <c r="Y416" t="s">
        <v>349</v>
      </c>
      <c r="Z416" t="s">
        <v>293</v>
      </c>
      <c r="AA416" t="s">
        <v>352</v>
      </c>
      <c r="AB416" t="s">
        <v>296</v>
      </c>
      <c r="AC416" t="s">
        <v>300</v>
      </c>
      <c r="AD416" t="s">
        <v>292</v>
      </c>
      <c r="AE416" t="s">
        <v>293</v>
      </c>
      <c r="AF416" t="s">
        <v>293</v>
      </c>
      <c r="AG416" t="s">
        <v>292</v>
      </c>
      <c r="AH416" t="s">
        <v>293</v>
      </c>
      <c r="AI416" t="s">
        <v>302</v>
      </c>
      <c r="AJ416" t="s">
        <v>302</v>
      </c>
      <c r="AK416" t="s">
        <v>359</v>
      </c>
      <c r="AL416" t="s">
        <v>293</v>
      </c>
      <c r="AM416" t="s">
        <v>293</v>
      </c>
      <c r="AN416" t="s">
        <v>296</v>
      </c>
      <c r="AO416" t="s">
        <v>356</v>
      </c>
      <c r="AP416" t="s">
        <v>293</v>
      </c>
      <c r="AQ416" t="s">
        <v>292</v>
      </c>
      <c r="AR416" t="s">
        <v>293</v>
      </c>
      <c r="AS416" t="s">
        <v>293</v>
      </c>
      <c r="AT416" t="s">
        <v>364</v>
      </c>
      <c r="AU416" t="str">
        <f t="shared" si="14"/>
        <v>break</v>
      </c>
    </row>
    <row r="417" spans="1:47" x14ac:dyDescent="0.3">
      <c r="A417" t="s">
        <v>43</v>
      </c>
      <c r="B417" t="s">
        <v>71</v>
      </c>
      <c r="C417" t="s">
        <v>15</v>
      </c>
      <c r="D417" t="s">
        <v>29</v>
      </c>
      <c r="E417" t="str">
        <f t="shared" si="13"/>
        <v>P_X0F-ZSB-S_0M4</v>
      </c>
      <c r="F417" t="b">
        <v>1</v>
      </c>
      <c r="G417">
        <v>81</v>
      </c>
      <c r="H417">
        <v>0</v>
      </c>
      <c r="I417">
        <v>15133</v>
      </c>
      <c r="J417" s="61" t="s">
        <v>13</v>
      </c>
      <c r="K417" s="16" t="s">
        <v>272</v>
      </c>
      <c r="L417" s="16">
        <v>3</v>
      </c>
      <c r="M417" s="16" t="s">
        <v>277</v>
      </c>
      <c r="N417" s="16" t="s">
        <v>335</v>
      </c>
      <c r="O417" s="15" t="s">
        <v>282</v>
      </c>
      <c r="P417" t="s">
        <v>371</v>
      </c>
      <c r="Q417" t="s">
        <v>371</v>
      </c>
      <c r="R417" s="17" t="s">
        <v>371</v>
      </c>
      <c r="S417" s="16" t="s">
        <v>341</v>
      </c>
      <c r="T417" s="16" t="s">
        <v>340</v>
      </c>
      <c r="U417" s="15" t="s">
        <v>343</v>
      </c>
      <c r="V417" s="15" t="s">
        <v>344</v>
      </c>
      <c r="W417" s="17"/>
      <c r="X417" t="s">
        <v>349</v>
      </c>
      <c r="Y417" t="s">
        <v>349</v>
      </c>
      <c r="Z417" t="s">
        <v>293</v>
      </c>
      <c r="AA417" t="s">
        <v>353</v>
      </c>
      <c r="AB417" t="s">
        <v>296</v>
      </c>
      <c r="AC417" t="s">
        <v>299</v>
      </c>
      <c r="AD417" t="s">
        <v>292</v>
      </c>
      <c r="AE417" t="s">
        <v>293</v>
      </c>
      <c r="AF417" t="s">
        <v>292</v>
      </c>
      <c r="AG417" t="s">
        <v>292</v>
      </c>
      <c r="AH417" t="s">
        <v>293</v>
      </c>
      <c r="AI417" t="s">
        <v>302</v>
      </c>
      <c r="AJ417" t="s">
        <v>302</v>
      </c>
      <c r="AK417" t="s">
        <v>359</v>
      </c>
      <c r="AL417" t="s">
        <v>293</v>
      </c>
      <c r="AM417" t="s">
        <v>293</v>
      </c>
      <c r="AN417" t="s">
        <v>296</v>
      </c>
      <c r="AO417" t="s">
        <v>298</v>
      </c>
      <c r="AP417" t="s">
        <v>293</v>
      </c>
      <c r="AQ417" t="s">
        <v>292</v>
      </c>
      <c r="AR417" t="s">
        <v>293</v>
      </c>
      <c r="AS417" t="s">
        <v>293</v>
      </c>
      <c r="AT417" t="s">
        <v>364</v>
      </c>
      <c r="AU417" t="str">
        <f t="shared" si="14"/>
        <v>no_fail</v>
      </c>
    </row>
    <row r="418" spans="1:47" x14ac:dyDescent="0.3">
      <c r="A418" t="s">
        <v>43</v>
      </c>
      <c r="B418" t="s">
        <v>71</v>
      </c>
      <c r="C418" t="s">
        <v>19</v>
      </c>
      <c r="D418" t="s">
        <v>29</v>
      </c>
      <c r="E418" t="str">
        <f t="shared" si="13"/>
        <v>P_X0F-ZSB-S_4U3</v>
      </c>
      <c r="F418" t="b">
        <v>1</v>
      </c>
      <c r="G418">
        <v>55.8</v>
      </c>
      <c r="H418">
        <v>0</v>
      </c>
      <c r="I418">
        <v>28933</v>
      </c>
      <c r="J418" s="61" t="s">
        <v>13</v>
      </c>
      <c r="K418" s="16" t="s">
        <v>272</v>
      </c>
      <c r="L418" s="16">
        <v>3</v>
      </c>
      <c r="M418" s="16" t="s">
        <v>277</v>
      </c>
      <c r="N418" s="16" t="s">
        <v>335</v>
      </c>
      <c r="O418" s="15" t="s">
        <v>282</v>
      </c>
      <c r="P418" t="s">
        <v>371</v>
      </c>
      <c r="Q418" t="s">
        <v>371</v>
      </c>
      <c r="R418" s="17" t="s">
        <v>371</v>
      </c>
      <c r="S418" s="16" t="s">
        <v>341</v>
      </c>
      <c r="T418" s="16" t="s">
        <v>342</v>
      </c>
      <c r="U418" s="15" t="s">
        <v>343</v>
      </c>
      <c r="V418" s="15" t="s">
        <v>344</v>
      </c>
      <c r="W418" s="17" t="s">
        <v>347</v>
      </c>
      <c r="X418" t="s">
        <v>349</v>
      </c>
      <c r="Y418" t="s">
        <v>349</v>
      </c>
      <c r="Z418" t="s">
        <v>293</v>
      </c>
      <c r="AA418" t="s">
        <v>353</v>
      </c>
      <c r="AB418" t="s">
        <v>296</v>
      </c>
      <c r="AC418" t="s">
        <v>300</v>
      </c>
      <c r="AD418" t="s">
        <v>292</v>
      </c>
      <c r="AE418" t="s">
        <v>293</v>
      </c>
      <c r="AF418" t="s">
        <v>292</v>
      </c>
      <c r="AG418" t="s">
        <v>293</v>
      </c>
      <c r="AH418" t="s">
        <v>293</v>
      </c>
      <c r="AI418" t="s">
        <v>302</v>
      </c>
      <c r="AJ418" t="s">
        <v>302</v>
      </c>
      <c r="AK418" t="s">
        <v>359</v>
      </c>
      <c r="AL418" t="s">
        <v>293</v>
      </c>
      <c r="AM418" t="s">
        <v>293</v>
      </c>
      <c r="AN418" t="s">
        <v>296</v>
      </c>
      <c r="AO418" t="s">
        <v>298</v>
      </c>
      <c r="AP418" t="s">
        <v>293</v>
      </c>
      <c r="AQ418" t="s">
        <v>292</v>
      </c>
      <c r="AR418" t="s">
        <v>293</v>
      </c>
      <c r="AS418" t="s">
        <v>293</v>
      </c>
      <c r="AT418" t="s">
        <v>364</v>
      </c>
      <c r="AU418" t="str">
        <f t="shared" si="14"/>
        <v>no_fail</v>
      </c>
    </row>
    <row r="419" spans="1:47" x14ac:dyDescent="0.3">
      <c r="A419" t="s">
        <v>43</v>
      </c>
      <c r="B419" t="s">
        <v>71</v>
      </c>
      <c r="C419" t="s">
        <v>17</v>
      </c>
      <c r="D419" t="s">
        <v>29</v>
      </c>
      <c r="E419" t="str">
        <f t="shared" si="13"/>
        <v>P_X0F-ZSB-S_6B5</v>
      </c>
      <c r="F419" t="b">
        <v>1</v>
      </c>
      <c r="G419">
        <v>62.1</v>
      </c>
      <c r="H419">
        <v>0</v>
      </c>
      <c r="I419">
        <v>25766</v>
      </c>
      <c r="J419" s="61" t="s">
        <v>13</v>
      </c>
      <c r="K419" s="16" t="s">
        <v>272</v>
      </c>
      <c r="L419" s="16">
        <v>3</v>
      </c>
      <c r="M419" s="16" t="s">
        <v>277</v>
      </c>
      <c r="N419" s="16" t="s">
        <v>335</v>
      </c>
      <c r="O419" s="15" t="s">
        <v>282</v>
      </c>
      <c r="P419" t="s">
        <v>371</v>
      </c>
      <c r="Q419" t="s">
        <v>371</v>
      </c>
      <c r="R419" s="17" t="s">
        <v>371</v>
      </c>
      <c r="S419" s="16" t="s">
        <v>341</v>
      </c>
      <c r="T419" s="16" t="s">
        <v>342</v>
      </c>
      <c r="U419" s="15" t="s">
        <v>343</v>
      </c>
      <c r="V419" s="15" t="s">
        <v>344</v>
      </c>
      <c r="W419" s="17" t="s">
        <v>347</v>
      </c>
      <c r="X419" t="s">
        <v>349</v>
      </c>
      <c r="Y419" t="s">
        <v>349</v>
      </c>
      <c r="Z419" t="s">
        <v>293</v>
      </c>
      <c r="AA419" t="s">
        <v>353</v>
      </c>
      <c r="AB419" t="s">
        <v>296</v>
      </c>
      <c r="AC419" t="s">
        <v>300</v>
      </c>
      <c r="AD419" t="s">
        <v>292</v>
      </c>
      <c r="AE419" t="s">
        <v>293</v>
      </c>
      <c r="AF419" t="s">
        <v>292</v>
      </c>
      <c r="AG419" t="s">
        <v>293</v>
      </c>
      <c r="AH419" t="s">
        <v>293</v>
      </c>
      <c r="AI419" t="s">
        <v>302</v>
      </c>
      <c r="AJ419" t="s">
        <v>302</v>
      </c>
      <c r="AK419" t="s">
        <v>359</v>
      </c>
      <c r="AL419" t="s">
        <v>293</v>
      </c>
      <c r="AM419" t="s">
        <v>293</v>
      </c>
      <c r="AN419" t="s">
        <v>296</v>
      </c>
      <c r="AO419" t="s">
        <v>298</v>
      </c>
      <c r="AP419" t="s">
        <v>293</v>
      </c>
      <c r="AQ419" t="s">
        <v>292</v>
      </c>
      <c r="AR419" t="s">
        <v>293</v>
      </c>
      <c r="AS419" t="s">
        <v>293</v>
      </c>
      <c r="AT419" t="s">
        <v>364</v>
      </c>
      <c r="AU419" t="str">
        <f t="shared" si="14"/>
        <v>no_fail</v>
      </c>
    </row>
    <row r="420" spans="1:47" x14ac:dyDescent="0.3">
      <c r="A420" t="s">
        <v>43</v>
      </c>
      <c r="B420" t="s">
        <v>71</v>
      </c>
      <c r="C420" t="s">
        <v>16</v>
      </c>
      <c r="D420" t="s">
        <v>29</v>
      </c>
      <c r="E420" t="str">
        <f t="shared" si="13"/>
        <v>P_X0F-ZSB-S_6U7</v>
      </c>
      <c r="F420" t="b">
        <v>1</v>
      </c>
      <c r="G420">
        <v>62.1</v>
      </c>
      <c r="H420">
        <v>0</v>
      </c>
      <c r="I420">
        <v>19718</v>
      </c>
      <c r="J420" s="61" t="s">
        <v>13</v>
      </c>
      <c r="K420" s="16" t="s">
        <v>272</v>
      </c>
      <c r="L420" s="16">
        <v>3</v>
      </c>
      <c r="M420" s="16" t="s">
        <v>277</v>
      </c>
      <c r="N420" s="16" t="s">
        <v>335</v>
      </c>
      <c r="O420" s="15" t="s">
        <v>282</v>
      </c>
      <c r="P420" t="s">
        <v>371</v>
      </c>
      <c r="Q420" t="s">
        <v>371</v>
      </c>
      <c r="R420" s="17" t="s">
        <v>371</v>
      </c>
      <c r="S420" s="16" t="s">
        <v>341</v>
      </c>
      <c r="T420" s="16" t="s">
        <v>342</v>
      </c>
      <c r="U420" s="15" t="s">
        <v>343</v>
      </c>
      <c r="V420" s="15" t="s">
        <v>344</v>
      </c>
      <c r="W420" s="17" t="s">
        <v>347</v>
      </c>
      <c r="X420" t="s">
        <v>349</v>
      </c>
      <c r="Y420" t="s">
        <v>349</v>
      </c>
      <c r="Z420" t="s">
        <v>293</v>
      </c>
      <c r="AA420" t="s">
        <v>353</v>
      </c>
      <c r="AB420" t="s">
        <v>296</v>
      </c>
      <c r="AC420" t="s">
        <v>300</v>
      </c>
      <c r="AD420" t="s">
        <v>292</v>
      </c>
      <c r="AE420" t="s">
        <v>293</v>
      </c>
      <c r="AF420" t="s">
        <v>292</v>
      </c>
      <c r="AG420" t="s">
        <v>293</v>
      </c>
      <c r="AH420" t="s">
        <v>293</v>
      </c>
      <c r="AI420" t="s">
        <v>302</v>
      </c>
      <c r="AJ420" t="s">
        <v>302</v>
      </c>
      <c r="AK420" t="s">
        <v>359</v>
      </c>
      <c r="AL420" t="s">
        <v>293</v>
      </c>
      <c r="AM420" t="s">
        <v>293</v>
      </c>
      <c r="AN420" t="s">
        <v>296</v>
      </c>
      <c r="AO420" t="s">
        <v>298</v>
      </c>
      <c r="AP420" t="s">
        <v>293</v>
      </c>
      <c r="AQ420" t="s">
        <v>292</v>
      </c>
      <c r="AR420" t="s">
        <v>293</v>
      </c>
      <c r="AS420" t="s">
        <v>293</v>
      </c>
      <c r="AT420" t="s">
        <v>364</v>
      </c>
      <c r="AU420" t="str">
        <f t="shared" si="14"/>
        <v>no_fail</v>
      </c>
    </row>
    <row r="421" spans="1:47" x14ac:dyDescent="0.3">
      <c r="A421" t="s">
        <v>43</v>
      </c>
      <c r="B421" t="s">
        <v>71</v>
      </c>
      <c r="C421" t="s">
        <v>20</v>
      </c>
      <c r="D421" t="s">
        <v>29</v>
      </c>
      <c r="E421" t="str">
        <f t="shared" si="13"/>
        <v>P_X0F-ZSB-S_7W0</v>
      </c>
      <c r="F421" t="b">
        <v>1</v>
      </c>
      <c r="G421">
        <v>55.4</v>
      </c>
      <c r="H421">
        <v>0</v>
      </c>
      <c r="I421">
        <v>29965</v>
      </c>
      <c r="J421" s="61" t="s">
        <v>13</v>
      </c>
      <c r="K421" s="16" t="s">
        <v>272</v>
      </c>
      <c r="L421" s="16">
        <v>3</v>
      </c>
      <c r="M421" s="16" t="s">
        <v>277</v>
      </c>
      <c r="N421" s="16" t="s">
        <v>335</v>
      </c>
      <c r="O421" s="15" t="s">
        <v>282</v>
      </c>
      <c r="P421" t="s">
        <v>371</v>
      </c>
      <c r="Q421" t="s">
        <v>371</v>
      </c>
      <c r="R421" s="17" t="s">
        <v>371</v>
      </c>
      <c r="S421" s="16" t="s">
        <v>341</v>
      </c>
      <c r="T421" s="16" t="s">
        <v>342</v>
      </c>
      <c r="U421" s="15" t="s">
        <v>343</v>
      </c>
      <c r="V421" s="15" t="s">
        <v>344</v>
      </c>
      <c r="W421" s="17" t="s">
        <v>347</v>
      </c>
      <c r="X421" t="s">
        <v>349</v>
      </c>
      <c r="Y421" t="s">
        <v>349</v>
      </c>
      <c r="Z421" t="s">
        <v>293</v>
      </c>
      <c r="AA421" t="s">
        <v>353</v>
      </c>
      <c r="AB421" t="s">
        <v>296</v>
      </c>
      <c r="AC421" t="s">
        <v>300</v>
      </c>
      <c r="AD421" t="s">
        <v>292</v>
      </c>
      <c r="AE421" t="s">
        <v>293</v>
      </c>
      <c r="AF421" t="s">
        <v>292</v>
      </c>
      <c r="AG421" t="s">
        <v>293</v>
      </c>
      <c r="AH421" t="s">
        <v>293</v>
      </c>
      <c r="AI421" t="s">
        <v>302</v>
      </c>
      <c r="AJ421" t="s">
        <v>302</v>
      </c>
      <c r="AK421" t="s">
        <v>359</v>
      </c>
      <c r="AL421" t="s">
        <v>293</v>
      </c>
      <c r="AM421" t="s">
        <v>293</v>
      </c>
      <c r="AN421" t="s">
        <v>296</v>
      </c>
      <c r="AO421" t="s">
        <v>298</v>
      </c>
      <c r="AP421" t="s">
        <v>293</v>
      </c>
      <c r="AQ421" t="s">
        <v>292</v>
      </c>
      <c r="AR421" t="s">
        <v>293</v>
      </c>
      <c r="AS421" t="s">
        <v>293</v>
      </c>
      <c r="AT421" t="s">
        <v>364</v>
      </c>
      <c r="AU421" t="str">
        <f t="shared" si="14"/>
        <v>no_fail</v>
      </c>
    </row>
    <row r="422" spans="1:47" x14ac:dyDescent="0.3">
      <c r="A422" t="s">
        <v>9</v>
      </c>
      <c r="B422" t="s">
        <v>74</v>
      </c>
      <c r="C422" t="s">
        <v>15</v>
      </c>
      <c r="D422" t="s">
        <v>12</v>
      </c>
      <c r="E422" t="str">
        <f t="shared" si="13"/>
        <v>P_X0T-KYY-S_0M4</v>
      </c>
      <c r="F422" t="b">
        <v>1</v>
      </c>
      <c r="G422">
        <v>39.799999999999997</v>
      </c>
      <c r="H422">
        <v>0</v>
      </c>
      <c r="I422">
        <v>29125</v>
      </c>
      <c r="J422" s="61" t="s">
        <v>13</v>
      </c>
      <c r="K422" s="16" t="s">
        <v>272</v>
      </c>
      <c r="L422" s="16">
        <v>3</v>
      </c>
      <c r="M422" s="16" t="s">
        <v>277</v>
      </c>
      <c r="N422" s="16" t="s">
        <v>335</v>
      </c>
      <c r="O422" s="15" t="s">
        <v>283</v>
      </c>
      <c r="P422" t="s">
        <v>273</v>
      </c>
      <c r="Q422" t="s">
        <v>282</v>
      </c>
      <c r="R422" s="17" t="s">
        <v>371</v>
      </c>
      <c r="S422" s="16" t="s">
        <v>341</v>
      </c>
      <c r="T422" s="16" t="s">
        <v>342</v>
      </c>
      <c r="U422" s="15" t="s">
        <v>343</v>
      </c>
      <c r="V422" s="15" t="s">
        <v>344</v>
      </c>
      <c r="W422" s="17" t="s">
        <v>291</v>
      </c>
      <c r="X422" t="s">
        <v>350</v>
      </c>
      <c r="Y422" t="s">
        <v>349</v>
      </c>
      <c r="Z422" t="s">
        <v>293</v>
      </c>
      <c r="AA422" t="s">
        <v>353</v>
      </c>
      <c r="AB422" t="s">
        <v>355</v>
      </c>
      <c r="AC422" t="s">
        <v>301</v>
      </c>
      <c r="AD422" t="s">
        <v>293</v>
      </c>
      <c r="AE422" t="s">
        <v>292</v>
      </c>
      <c r="AF422" t="s">
        <v>292</v>
      </c>
      <c r="AG422" t="s">
        <v>292</v>
      </c>
      <c r="AH422" t="s">
        <v>293</v>
      </c>
      <c r="AI422" t="s">
        <v>302</v>
      </c>
      <c r="AJ422" t="s">
        <v>302</v>
      </c>
      <c r="AK422" t="s">
        <v>359</v>
      </c>
      <c r="AL422" t="s">
        <v>293</v>
      </c>
      <c r="AM422" t="s">
        <v>293</v>
      </c>
      <c r="AN422" t="s">
        <v>296</v>
      </c>
      <c r="AO422" t="s">
        <v>356</v>
      </c>
      <c r="AP422" t="s">
        <v>293</v>
      </c>
      <c r="AQ422" t="s">
        <v>292</v>
      </c>
      <c r="AR422" t="s">
        <v>293</v>
      </c>
      <c r="AS422" t="s">
        <v>293</v>
      </c>
      <c r="AT422" t="s">
        <v>364</v>
      </c>
      <c r="AU422" t="str">
        <f t="shared" si="14"/>
        <v>no_fail</v>
      </c>
    </row>
    <row r="423" spans="1:47" x14ac:dyDescent="0.3">
      <c r="A423" t="s">
        <v>9</v>
      </c>
      <c r="B423" t="s">
        <v>74</v>
      </c>
      <c r="C423" t="s">
        <v>14</v>
      </c>
      <c r="D423" t="s">
        <v>12</v>
      </c>
      <c r="E423" t="str">
        <f t="shared" si="13"/>
        <v>P_X0T-KYY-S_1B0</v>
      </c>
      <c r="F423" t="b">
        <v>1</v>
      </c>
      <c r="G423">
        <v>100</v>
      </c>
      <c r="H423">
        <v>1</v>
      </c>
      <c r="I423">
        <v>28839</v>
      </c>
      <c r="J423" s="61" t="s">
        <v>18</v>
      </c>
      <c r="K423" s="16" t="s">
        <v>272</v>
      </c>
      <c r="L423" s="16">
        <v>3</v>
      </c>
      <c r="M423" s="16" t="s">
        <v>277</v>
      </c>
      <c r="N423" s="16" t="s">
        <v>335</v>
      </c>
      <c r="O423" s="15" t="s">
        <v>282</v>
      </c>
      <c r="P423" t="s">
        <v>285</v>
      </c>
      <c r="Q423" t="s">
        <v>371</v>
      </c>
      <c r="R423" s="17" t="s">
        <v>371</v>
      </c>
      <c r="S423" s="16" t="s">
        <v>341</v>
      </c>
      <c r="T423" s="16" t="s">
        <v>342</v>
      </c>
      <c r="U423" s="15" t="s">
        <v>343</v>
      </c>
      <c r="V423" s="15" t="s">
        <v>344</v>
      </c>
      <c r="W423" s="17" t="s">
        <v>291</v>
      </c>
      <c r="X423" t="s">
        <v>350</v>
      </c>
      <c r="Y423" t="s">
        <v>349</v>
      </c>
      <c r="Z423" t="s">
        <v>293</v>
      </c>
      <c r="AA423" t="s">
        <v>353</v>
      </c>
      <c r="AB423" t="s">
        <v>355</v>
      </c>
      <c r="AC423" t="s">
        <v>301</v>
      </c>
      <c r="AD423" t="s">
        <v>293</v>
      </c>
      <c r="AE423" t="s">
        <v>292</v>
      </c>
      <c r="AF423" t="s">
        <v>292</v>
      </c>
      <c r="AG423" t="s">
        <v>292</v>
      </c>
      <c r="AH423" t="s">
        <v>293</v>
      </c>
      <c r="AI423" t="s">
        <v>302</v>
      </c>
      <c r="AJ423" t="s">
        <v>302</v>
      </c>
      <c r="AK423" t="s">
        <v>359</v>
      </c>
      <c r="AL423" t="s">
        <v>293</v>
      </c>
      <c r="AM423" t="s">
        <v>293</v>
      </c>
      <c r="AN423" t="s">
        <v>296</v>
      </c>
      <c r="AO423" t="s">
        <v>356</v>
      </c>
      <c r="AP423" t="s">
        <v>293</v>
      </c>
      <c r="AQ423" t="s">
        <v>292</v>
      </c>
      <c r="AR423" t="s">
        <v>293</v>
      </c>
      <c r="AS423" t="s">
        <v>293</v>
      </c>
      <c r="AT423" t="s">
        <v>364</v>
      </c>
      <c r="AU423" t="str">
        <f t="shared" si="14"/>
        <v>break</v>
      </c>
    </row>
    <row r="424" spans="1:47" x14ac:dyDescent="0.3">
      <c r="A424" t="s">
        <v>9</v>
      </c>
      <c r="B424" t="s">
        <v>74</v>
      </c>
      <c r="C424" t="s">
        <v>11</v>
      </c>
      <c r="D424" t="s">
        <v>12</v>
      </c>
      <c r="E424" t="str">
        <f t="shared" si="13"/>
        <v>P_X0T-KYY-S_1Q4</v>
      </c>
      <c r="F424" t="b">
        <v>1</v>
      </c>
      <c r="G424">
        <v>42.4</v>
      </c>
      <c r="H424">
        <v>0</v>
      </c>
      <c r="I424">
        <v>27658</v>
      </c>
      <c r="J424" s="61" t="s">
        <v>13</v>
      </c>
      <c r="K424" s="16" t="s">
        <v>272</v>
      </c>
      <c r="L424" s="16">
        <v>3</v>
      </c>
      <c r="M424" s="16" t="s">
        <v>277</v>
      </c>
      <c r="N424" s="16" t="s">
        <v>335</v>
      </c>
      <c r="O424" s="15" t="s">
        <v>282</v>
      </c>
      <c r="P424" t="s">
        <v>371</v>
      </c>
      <c r="Q424" t="s">
        <v>371</v>
      </c>
      <c r="R424" s="17" t="s">
        <v>371</v>
      </c>
      <c r="S424" s="16" t="s">
        <v>340</v>
      </c>
      <c r="T424" s="16" t="s">
        <v>342</v>
      </c>
      <c r="U424" s="15" t="s">
        <v>343</v>
      </c>
      <c r="V424" s="15" t="s">
        <v>347</v>
      </c>
      <c r="W424" s="17"/>
      <c r="X424" t="s">
        <v>349</v>
      </c>
      <c r="Y424" t="s">
        <v>349</v>
      </c>
      <c r="Z424" t="s">
        <v>293</v>
      </c>
      <c r="AA424" t="s">
        <v>353</v>
      </c>
      <c r="AB424" t="s">
        <v>296</v>
      </c>
      <c r="AC424" t="s">
        <v>301</v>
      </c>
      <c r="AD424" t="s">
        <v>293</v>
      </c>
      <c r="AE424" t="s">
        <v>292</v>
      </c>
      <c r="AF424" t="s">
        <v>293</v>
      </c>
      <c r="AG424" t="s">
        <v>292</v>
      </c>
      <c r="AH424" t="s">
        <v>293</v>
      </c>
      <c r="AI424" t="s">
        <v>302</v>
      </c>
      <c r="AJ424" t="s">
        <v>302</v>
      </c>
      <c r="AK424" t="s">
        <v>359</v>
      </c>
      <c r="AL424" t="s">
        <v>293</v>
      </c>
      <c r="AM424" t="s">
        <v>293</v>
      </c>
      <c r="AN424" t="s">
        <v>296</v>
      </c>
      <c r="AO424" t="s">
        <v>356</v>
      </c>
      <c r="AP424" t="s">
        <v>293</v>
      </c>
      <c r="AQ424" t="s">
        <v>292</v>
      </c>
      <c r="AR424" t="s">
        <v>293</v>
      </c>
      <c r="AS424" t="s">
        <v>293</v>
      </c>
      <c r="AT424" t="s">
        <v>364</v>
      </c>
      <c r="AU424" t="str">
        <f t="shared" si="14"/>
        <v>no_fail</v>
      </c>
    </row>
    <row r="425" spans="1:47" x14ac:dyDescent="0.3">
      <c r="A425" t="s">
        <v>9</v>
      </c>
      <c r="B425" t="s">
        <v>74</v>
      </c>
      <c r="C425" t="s">
        <v>17</v>
      </c>
      <c r="D425" t="s">
        <v>12</v>
      </c>
      <c r="E425" t="str">
        <f t="shared" si="13"/>
        <v>P_X0T-KYY-S_6B5</v>
      </c>
      <c r="F425" t="b">
        <v>1</v>
      </c>
      <c r="G425">
        <v>54.7</v>
      </c>
      <c r="H425">
        <v>0</v>
      </c>
      <c r="I425">
        <v>17491</v>
      </c>
      <c r="J425" s="61" t="s">
        <v>13</v>
      </c>
      <c r="K425" s="16" t="s">
        <v>272</v>
      </c>
      <c r="L425" s="16">
        <v>3</v>
      </c>
      <c r="M425" s="16" t="s">
        <v>277</v>
      </c>
      <c r="N425" s="16" t="s">
        <v>335</v>
      </c>
      <c r="O425" s="15" t="s">
        <v>283</v>
      </c>
      <c r="P425" t="s">
        <v>273</v>
      </c>
      <c r="Q425" t="s">
        <v>282</v>
      </c>
      <c r="R425" s="17" t="s">
        <v>371</v>
      </c>
      <c r="S425" s="16" t="s">
        <v>340</v>
      </c>
      <c r="T425" s="16" t="s">
        <v>342</v>
      </c>
      <c r="U425" s="15" t="s">
        <v>343</v>
      </c>
      <c r="V425" s="15" t="s">
        <v>344</v>
      </c>
      <c r="W425" s="17"/>
      <c r="X425" t="s">
        <v>350</v>
      </c>
      <c r="Y425" t="s">
        <v>349</v>
      </c>
      <c r="Z425" t="s">
        <v>293</v>
      </c>
      <c r="AA425" t="s">
        <v>353</v>
      </c>
      <c r="AB425" t="s">
        <v>355</v>
      </c>
      <c r="AC425" t="s">
        <v>301</v>
      </c>
      <c r="AD425" t="s">
        <v>293</v>
      </c>
      <c r="AE425" t="s">
        <v>292</v>
      </c>
      <c r="AF425" t="s">
        <v>292</v>
      </c>
      <c r="AG425" t="s">
        <v>292</v>
      </c>
      <c r="AH425" t="s">
        <v>293</v>
      </c>
      <c r="AI425" t="s">
        <v>302</v>
      </c>
      <c r="AJ425" t="s">
        <v>302</v>
      </c>
      <c r="AK425" t="s">
        <v>359</v>
      </c>
      <c r="AL425" t="s">
        <v>293</v>
      </c>
      <c r="AM425" t="s">
        <v>293</v>
      </c>
      <c r="AN425" t="s">
        <v>297</v>
      </c>
      <c r="AO425" t="s">
        <v>356</v>
      </c>
      <c r="AP425" t="s">
        <v>293</v>
      </c>
      <c r="AQ425" t="s">
        <v>292</v>
      </c>
      <c r="AR425" t="s">
        <v>293</v>
      </c>
      <c r="AS425" t="s">
        <v>293</v>
      </c>
      <c r="AT425" t="s">
        <v>364</v>
      </c>
      <c r="AU425" t="str">
        <f t="shared" si="14"/>
        <v>no_fail</v>
      </c>
    </row>
    <row r="426" spans="1:47" x14ac:dyDescent="0.3">
      <c r="A426" t="s">
        <v>9</v>
      </c>
      <c r="B426" t="s">
        <v>74</v>
      </c>
      <c r="C426" t="s">
        <v>16</v>
      </c>
      <c r="D426" t="s">
        <v>12</v>
      </c>
      <c r="E426" t="str">
        <f t="shared" si="13"/>
        <v>P_X0T-KYY-S_6U7</v>
      </c>
      <c r="F426" t="b">
        <v>1</v>
      </c>
      <c r="G426">
        <v>40.6</v>
      </c>
      <c r="H426">
        <v>0</v>
      </c>
      <c r="I426">
        <v>21240</v>
      </c>
      <c r="J426" s="61" t="s">
        <v>13</v>
      </c>
      <c r="K426" s="16" t="s">
        <v>272</v>
      </c>
      <c r="L426" s="16">
        <v>3</v>
      </c>
      <c r="M426" s="16" t="s">
        <v>277</v>
      </c>
      <c r="N426" s="16" t="s">
        <v>335</v>
      </c>
      <c r="O426" s="15" t="s">
        <v>283</v>
      </c>
      <c r="P426" t="s">
        <v>273</v>
      </c>
      <c r="Q426" t="s">
        <v>282</v>
      </c>
      <c r="R426" s="17" t="s">
        <v>371</v>
      </c>
      <c r="S426" s="16" t="s">
        <v>340</v>
      </c>
      <c r="T426" s="16" t="s">
        <v>342</v>
      </c>
      <c r="U426" s="15" t="s">
        <v>343</v>
      </c>
      <c r="V426" s="15" t="s">
        <v>344</v>
      </c>
      <c r="W426" s="17"/>
      <c r="X426" t="s">
        <v>350</v>
      </c>
      <c r="Y426" t="s">
        <v>349</v>
      </c>
      <c r="Z426" t="s">
        <v>293</v>
      </c>
      <c r="AA426" t="s">
        <v>353</v>
      </c>
      <c r="AB426" t="s">
        <v>355</v>
      </c>
      <c r="AC426" t="s">
        <v>301</v>
      </c>
      <c r="AD426" t="s">
        <v>293</v>
      </c>
      <c r="AE426" t="s">
        <v>292</v>
      </c>
      <c r="AF426" t="s">
        <v>292</v>
      </c>
      <c r="AG426" t="s">
        <v>292</v>
      </c>
      <c r="AH426" t="s">
        <v>293</v>
      </c>
      <c r="AI426" t="s">
        <v>302</v>
      </c>
      <c r="AJ426" t="s">
        <v>302</v>
      </c>
      <c r="AK426" t="s">
        <v>359</v>
      </c>
      <c r="AL426" t="s">
        <v>293</v>
      </c>
      <c r="AM426" t="s">
        <v>293</v>
      </c>
      <c r="AN426" t="s">
        <v>296</v>
      </c>
      <c r="AO426" t="s">
        <v>356</v>
      </c>
      <c r="AP426" t="s">
        <v>293</v>
      </c>
      <c r="AQ426" t="s">
        <v>292</v>
      </c>
      <c r="AR426" t="s">
        <v>293</v>
      </c>
      <c r="AS426" t="s">
        <v>293</v>
      </c>
      <c r="AT426" t="s">
        <v>364</v>
      </c>
      <c r="AU426" t="str">
        <f t="shared" si="14"/>
        <v>no_fail</v>
      </c>
    </row>
    <row r="427" spans="1:47" x14ac:dyDescent="0.3">
      <c r="A427" t="s">
        <v>9</v>
      </c>
      <c r="B427" t="s">
        <v>74</v>
      </c>
      <c r="C427" t="s">
        <v>23</v>
      </c>
      <c r="D427" t="s">
        <v>29</v>
      </c>
      <c r="E427" t="str">
        <f t="shared" si="13"/>
        <v>P_X0T-ZSB-S_0T2</v>
      </c>
      <c r="F427" t="b">
        <v>1</v>
      </c>
      <c r="G427">
        <v>54.1</v>
      </c>
      <c r="H427">
        <v>0</v>
      </c>
      <c r="I427">
        <v>22388</v>
      </c>
      <c r="J427" s="61" t="s">
        <v>13</v>
      </c>
      <c r="K427" s="16" t="s">
        <v>272</v>
      </c>
      <c r="L427" s="16">
        <v>3</v>
      </c>
      <c r="M427" s="16" t="s">
        <v>277</v>
      </c>
      <c r="N427" s="16" t="s">
        <v>335</v>
      </c>
      <c r="O427" s="15" t="s">
        <v>339</v>
      </c>
      <c r="P427" t="s">
        <v>282</v>
      </c>
      <c r="Q427" t="s">
        <v>371</v>
      </c>
      <c r="R427" s="17" t="s">
        <v>371</v>
      </c>
      <c r="S427" s="16" t="s">
        <v>341</v>
      </c>
      <c r="T427" s="16" t="s">
        <v>340</v>
      </c>
      <c r="U427" s="15" t="s">
        <v>343</v>
      </c>
      <c r="V427" s="15" t="s">
        <v>344</v>
      </c>
      <c r="W427" s="17"/>
      <c r="X427" t="s">
        <v>349</v>
      </c>
      <c r="Y427" t="s">
        <v>349</v>
      </c>
      <c r="Z427" t="s">
        <v>293</v>
      </c>
      <c r="AA427" t="s">
        <v>353</v>
      </c>
      <c r="AB427" t="s">
        <v>296</v>
      </c>
      <c r="AC427" t="s">
        <v>301</v>
      </c>
      <c r="AD427" t="s">
        <v>293</v>
      </c>
      <c r="AE427" t="s">
        <v>292</v>
      </c>
      <c r="AF427" t="s">
        <v>292</v>
      </c>
      <c r="AG427" t="s">
        <v>292</v>
      </c>
      <c r="AH427" t="s">
        <v>293</v>
      </c>
      <c r="AI427" t="s">
        <v>302</v>
      </c>
      <c r="AJ427" t="s">
        <v>302</v>
      </c>
      <c r="AK427" t="s">
        <v>359</v>
      </c>
      <c r="AL427" t="s">
        <v>293</v>
      </c>
      <c r="AM427" t="s">
        <v>293</v>
      </c>
      <c r="AN427" t="s">
        <v>297</v>
      </c>
      <c r="AO427" t="s">
        <v>356</v>
      </c>
      <c r="AP427" t="s">
        <v>293</v>
      </c>
      <c r="AQ427" t="s">
        <v>292</v>
      </c>
      <c r="AR427" t="s">
        <v>293</v>
      </c>
      <c r="AS427" t="s">
        <v>293</v>
      </c>
      <c r="AT427" t="s">
        <v>364</v>
      </c>
      <c r="AU427" t="str">
        <f t="shared" si="14"/>
        <v>no_fail</v>
      </c>
    </row>
    <row r="428" spans="1:47" x14ac:dyDescent="0.3">
      <c r="A428" t="s">
        <v>9</v>
      </c>
      <c r="B428" t="s">
        <v>74</v>
      </c>
      <c r="C428" t="s">
        <v>24</v>
      </c>
      <c r="D428" t="s">
        <v>29</v>
      </c>
      <c r="E428" t="str">
        <f t="shared" si="13"/>
        <v>P_X0T-ZSB-S_1U0</v>
      </c>
      <c r="F428" t="b">
        <v>1</v>
      </c>
      <c r="G428">
        <v>87.3</v>
      </c>
      <c r="H428">
        <v>0</v>
      </c>
      <c r="I428">
        <v>14838</v>
      </c>
      <c r="J428" s="61" t="s">
        <v>13</v>
      </c>
      <c r="K428" s="16" t="s">
        <v>272</v>
      </c>
      <c r="L428" s="16">
        <v>3</v>
      </c>
      <c r="M428" s="16" t="s">
        <v>277</v>
      </c>
      <c r="N428" s="16" t="s">
        <v>335</v>
      </c>
      <c r="O428" s="15" t="s">
        <v>339</v>
      </c>
      <c r="P428" t="s">
        <v>282</v>
      </c>
      <c r="Q428" t="s">
        <v>371</v>
      </c>
      <c r="R428" s="17" t="s">
        <v>371</v>
      </c>
      <c r="S428" s="16" t="s">
        <v>341</v>
      </c>
      <c r="T428" s="16" t="s">
        <v>340</v>
      </c>
      <c r="U428" s="15" t="s">
        <v>343</v>
      </c>
      <c r="V428" s="15" t="s">
        <v>344</v>
      </c>
      <c r="W428" s="17"/>
      <c r="X428" t="s">
        <v>349</v>
      </c>
      <c r="Y428" t="s">
        <v>349</v>
      </c>
      <c r="Z428" t="s">
        <v>293</v>
      </c>
      <c r="AA428" t="s">
        <v>353</v>
      </c>
      <c r="AB428" t="s">
        <v>296</v>
      </c>
      <c r="AC428" t="s">
        <v>300</v>
      </c>
      <c r="AD428" t="s">
        <v>292</v>
      </c>
      <c r="AE428" t="s">
        <v>293</v>
      </c>
      <c r="AF428" t="s">
        <v>292</v>
      </c>
      <c r="AG428" t="s">
        <v>292</v>
      </c>
      <c r="AH428" t="s">
        <v>293</v>
      </c>
      <c r="AI428" t="s">
        <v>302</v>
      </c>
      <c r="AJ428" t="s">
        <v>302</v>
      </c>
      <c r="AK428" t="s">
        <v>359</v>
      </c>
      <c r="AL428" t="s">
        <v>293</v>
      </c>
      <c r="AM428" t="s">
        <v>293</v>
      </c>
      <c r="AN428" t="s">
        <v>297</v>
      </c>
      <c r="AO428" t="s">
        <v>298</v>
      </c>
      <c r="AP428" t="s">
        <v>293</v>
      </c>
      <c r="AQ428" t="s">
        <v>292</v>
      </c>
      <c r="AR428" t="s">
        <v>293</v>
      </c>
      <c r="AS428" t="s">
        <v>293</v>
      </c>
      <c r="AT428" t="s">
        <v>364</v>
      </c>
      <c r="AU428" t="str">
        <f t="shared" si="14"/>
        <v>no_fail</v>
      </c>
    </row>
    <row r="429" spans="1:47" x14ac:dyDescent="0.3">
      <c r="A429" t="s">
        <v>9</v>
      </c>
      <c r="B429" t="s">
        <v>74</v>
      </c>
      <c r="C429" t="s">
        <v>21</v>
      </c>
      <c r="D429" t="s">
        <v>29</v>
      </c>
      <c r="E429" t="str">
        <f t="shared" si="13"/>
        <v>P_X0T-ZSB-S_3X6</v>
      </c>
      <c r="F429" t="b">
        <v>1</v>
      </c>
      <c r="G429">
        <v>45.7</v>
      </c>
      <c r="H429">
        <v>0</v>
      </c>
      <c r="I429">
        <v>20690</v>
      </c>
      <c r="J429" s="61" t="s">
        <v>13</v>
      </c>
      <c r="K429" s="16" t="s">
        <v>272</v>
      </c>
      <c r="L429" s="16">
        <v>3</v>
      </c>
      <c r="M429" s="16" t="s">
        <v>277</v>
      </c>
      <c r="N429" s="16" t="s">
        <v>335</v>
      </c>
      <c r="O429" s="15" t="s">
        <v>282</v>
      </c>
      <c r="P429" t="s">
        <v>371</v>
      </c>
      <c r="Q429" t="s">
        <v>371</v>
      </c>
      <c r="R429" s="17" t="s">
        <v>371</v>
      </c>
      <c r="S429" s="16" t="s">
        <v>340</v>
      </c>
      <c r="T429" s="16" t="s">
        <v>342</v>
      </c>
      <c r="U429" s="15" t="s">
        <v>343</v>
      </c>
      <c r="V429" s="15" t="s">
        <v>344</v>
      </c>
      <c r="W429" s="17"/>
      <c r="X429" t="s">
        <v>349</v>
      </c>
      <c r="Y429" t="s">
        <v>349</v>
      </c>
      <c r="Z429" t="s">
        <v>293</v>
      </c>
      <c r="AA429" t="s">
        <v>353</v>
      </c>
      <c r="AB429" t="s">
        <v>296</v>
      </c>
      <c r="AC429" t="s">
        <v>300</v>
      </c>
      <c r="AD429" t="s">
        <v>293</v>
      </c>
      <c r="AE429" t="s">
        <v>292</v>
      </c>
      <c r="AF429" t="s">
        <v>292</v>
      </c>
      <c r="AG429" t="s">
        <v>292</v>
      </c>
      <c r="AH429" t="s">
        <v>293</v>
      </c>
      <c r="AI429" t="s">
        <v>302</v>
      </c>
      <c r="AJ429" t="s">
        <v>302</v>
      </c>
      <c r="AK429" t="s">
        <v>359</v>
      </c>
      <c r="AL429" t="s">
        <v>293</v>
      </c>
      <c r="AM429" t="s">
        <v>293</v>
      </c>
      <c r="AN429" t="s">
        <v>297</v>
      </c>
      <c r="AO429" t="s">
        <v>356</v>
      </c>
      <c r="AP429" t="s">
        <v>293</v>
      </c>
      <c r="AQ429" t="s">
        <v>292</v>
      </c>
      <c r="AR429" t="s">
        <v>293</v>
      </c>
      <c r="AS429" t="s">
        <v>293</v>
      </c>
      <c r="AT429" t="s">
        <v>364</v>
      </c>
      <c r="AU429" t="str">
        <f t="shared" si="14"/>
        <v>no_fail</v>
      </c>
    </row>
    <row r="430" spans="1:47" x14ac:dyDescent="0.3">
      <c r="A430" t="s">
        <v>9</v>
      </c>
      <c r="B430" t="s">
        <v>74</v>
      </c>
      <c r="C430" t="s">
        <v>19</v>
      </c>
      <c r="D430" t="s">
        <v>29</v>
      </c>
      <c r="E430" t="str">
        <f t="shared" si="13"/>
        <v>P_X0T-ZSB-S_4U3</v>
      </c>
      <c r="F430" t="b">
        <v>1</v>
      </c>
      <c r="G430">
        <v>100</v>
      </c>
      <c r="H430">
        <v>1</v>
      </c>
      <c r="I430">
        <v>21705</v>
      </c>
      <c r="J430" s="61" t="s">
        <v>18</v>
      </c>
      <c r="K430" s="16" t="s">
        <v>272</v>
      </c>
      <c r="L430" s="16">
        <v>3</v>
      </c>
      <c r="M430" s="16" t="s">
        <v>277</v>
      </c>
      <c r="N430" s="16" t="s">
        <v>335</v>
      </c>
      <c r="O430" s="15" t="s">
        <v>282</v>
      </c>
      <c r="P430" t="s">
        <v>371</v>
      </c>
      <c r="Q430" t="s">
        <v>371</v>
      </c>
      <c r="R430" s="17" t="s">
        <v>371</v>
      </c>
      <c r="S430" s="16" t="s">
        <v>340</v>
      </c>
      <c r="T430" s="16" t="s">
        <v>342</v>
      </c>
      <c r="U430" s="15" t="s">
        <v>343</v>
      </c>
      <c r="V430" s="15" t="s">
        <v>344</v>
      </c>
      <c r="W430" s="17"/>
      <c r="X430" t="s">
        <v>349</v>
      </c>
      <c r="Y430" t="s">
        <v>349</v>
      </c>
      <c r="Z430" t="s">
        <v>293</v>
      </c>
      <c r="AA430" t="s">
        <v>353</v>
      </c>
      <c r="AB430" t="s">
        <v>296</v>
      </c>
      <c r="AC430" t="s">
        <v>301</v>
      </c>
      <c r="AD430" t="s">
        <v>293</v>
      </c>
      <c r="AE430" t="s">
        <v>292</v>
      </c>
      <c r="AF430" t="s">
        <v>292</v>
      </c>
      <c r="AG430" t="s">
        <v>292</v>
      </c>
      <c r="AH430" t="s">
        <v>293</v>
      </c>
      <c r="AI430" t="s">
        <v>302</v>
      </c>
      <c r="AJ430" t="s">
        <v>302</v>
      </c>
      <c r="AK430" t="s">
        <v>359</v>
      </c>
      <c r="AL430" t="s">
        <v>293</v>
      </c>
      <c r="AM430" t="s">
        <v>293</v>
      </c>
      <c r="AN430" t="s">
        <v>297</v>
      </c>
      <c r="AO430" t="s">
        <v>356</v>
      </c>
      <c r="AP430" t="s">
        <v>293</v>
      </c>
      <c r="AQ430" t="s">
        <v>292</v>
      </c>
      <c r="AR430" t="s">
        <v>293</v>
      </c>
      <c r="AS430" t="s">
        <v>293</v>
      </c>
      <c r="AT430" t="s">
        <v>364</v>
      </c>
      <c r="AU430" t="str">
        <f t="shared" si="14"/>
        <v>break</v>
      </c>
    </row>
    <row r="431" spans="1:47" x14ac:dyDescent="0.3">
      <c r="A431" t="s">
        <v>9</v>
      </c>
      <c r="B431" t="s">
        <v>74</v>
      </c>
      <c r="C431" t="s">
        <v>20</v>
      </c>
      <c r="D431" t="s">
        <v>29</v>
      </c>
      <c r="E431" t="str">
        <f t="shared" si="13"/>
        <v>P_X0T-ZSB-S_7W0</v>
      </c>
      <c r="F431" t="b">
        <v>1</v>
      </c>
      <c r="G431">
        <v>99.9</v>
      </c>
      <c r="H431">
        <v>0</v>
      </c>
      <c r="I431">
        <v>22101</v>
      </c>
      <c r="J431" s="61" t="s">
        <v>18</v>
      </c>
      <c r="K431" s="16" t="s">
        <v>272</v>
      </c>
      <c r="L431" s="16">
        <v>3</v>
      </c>
      <c r="M431" s="16" t="s">
        <v>277</v>
      </c>
      <c r="N431" s="16" t="s">
        <v>335</v>
      </c>
      <c r="O431" s="15" t="s">
        <v>282</v>
      </c>
      <c r="P431" t="s">
        <v>371</v>
      </c>
      <c r="Q431" t="s">
        <v>371</v>
      </c>
      <c r="R431" s="17" t="s">
        <v>371</v>
      </c>
      <c r="S431" s="16" t="s">
        <v>340</v>
      </c>
      <c r="T431" s="16" t="s">
        <v>342</v>
      </c>
      <c r="U431" s="15" t="s">
        <v>343</v>
      </c>
      <c r="V431" s="15" t="s">
        <v>344</v>
      </c>
      <c r="W431" s="17"/>
      <c r="X431" t="s">
        <v>349</v>
      </c>
      <c r="Y431" t="s">
        <v>349</v>
      </c>
      <c r="Z431" t="s">
        <v>293</v>
      </c>
      <c r="AA431" t="s">
        <v>353</v>
      </c>
      <c r="AB431" t="s">
        <v>296</v>
      </c>
      <c r="AC431" t="s">
        <v>301</v>
      </c>
      <c r="AD431" t="s">
        <v>293</v>
      </c>
      <c r="AE431" t="s">
        <v>292</v>
      </c>
      <c r="AF431" t="s">
        <v>292</v>
      </c>
      <c r="AG431" t="s">
        <v>292</v>
      </c>
      <c r="AH431" t="s">
        <v>293</v>
      </c>
      <c r="AI431" t="s">
        <v>302</v>
      </c>
      <c r="AJ431" t="s">
        <v>302</v>
      </c>
      <c r="AK431" t="s">
        <v>359</v>
      </c>
      <c r="AL431" t="s">
        <v>293</v>
      </c>
      <c r="AM431" t="s">
        <v>293</v>
      </c>
      <c r="AN431" t="s">
        <v>296</v>
      </c>
      <c r="AO431" t="s">
        <v>356</v>
      </c>
      <c r="AP431" t="s">
        <v>293</v>
      </c>
      <c r="AQ431" t="s">
        <v>292</v>
      </c>
      <c r="AR431" t="s">
        <v>293</v>
      </c>
      <c r="AS431" t="s">
        <v>293</v>
      </c>
      <c r="AT431" t="s">
        <v>364</v>
      </c>
      <c r="AU431" t="str">
        <f t="shared" si="14"/>
        <v>car_stuck</v>
      </c>
    </row>
    <row r="432" spans="1:47" x14ac:dyDescent="0.3">
      <c r="A432" t="s">
        <v>9</v>
      </c>
      <c r="B432" t="s">
        <v>74</v>
      </c>
      <c r="C432" t="s">
        <v>22</v>
      </c>
      <c r="D432" t="s">
        <v>29</v>
      </c>
      <c r="E432" t="str">
        <f t="shared" si="13"/>
        <v>P_X0T-ZSB-S_9B4</v>
      </c>
      <c r="F432" t="b">
        <v>1</v>
      </c>
      <c r="G432">
        <v>41.9</v>
      </c>
      <c r="H432">
        <v>0</v>
      </c>
      <c r="I432">
        <v>28790</v>
      </c>
      <c r="J432" s="61" t="s">
        <v>13</v>
      </c>
      <c r="K432" s="16" t="s">
        <v>272</v>
      </c>
      <c r="L432" s="16">
        <v>3</v>
      </c>
      <c r="M432" s="16" t="s">
        <v>277</v>
      </c>
      <c r="N432" s="16" t="s">
        <v>335</v>
      </c>
      <c r="O432" s="15" t="s">
        <v>339</v>
      </c>
      <c r="P432" t="s">
        <v>282</v>
      </c>
      <c r="Q432" t="s">
        <v>371</v>
      </c>
      <c r="R432" s="17" t="s">
        <v>371</v>
      </c>
      <c r="S432" s="16" t="s">
        <v>341</v>
      </c>
      <c r="T432" s="16" t="s">
        <v>340</v>
      </c>
      <c r="U432" s="15" t="s">
        <v>343</v>
      </c>
      <c r="V432" s="15" t="s">
        <v>344</v>
      </c>
      <c r="W432" s="17"/>
      <c r="X432" t="s">
        <v>349</v>
      </c>
      <c r="Y432" t="s">
        <v>349</v>
      </c>
      <c r="Z432" t="s">
        <v>293</v>
      </c>
      <c r="AA432" t="s">
        <v>353</v>
      </c>
      <c r="AB432" t="s">
        <v>296</v>
      </c>
      <c r="AC432" t="s">
        <v>301</v>
      </c>
      <c r="AD432" t="s">
        <v>293</v>
      </c>
      <c r="AE432" t="s">
        <v>292</v>
      </c>
      <c r="AF432" t="s">
        <v>292</v>
      </c>
      <c r="AG432" t="s">
        <v>292</v>
      </c>
      <c r="AH432" t="s">
        <v>293</v>
      </c>
      <c r="AI432" t="s">
        <v>302</v>
      </c>
      <c r="AJ432" t="s">
        <v>302</v>
      </c>
      <c r="AK432" t="s">
        <v>359</v>
      </c>
      <c r="AL432" t="s">
        <v>293</v>
      </c>
      <c r="AM432" t="s">
        <v>293</v>
      </c>
      <c r="AN432" t="s">
        <v>297</v>
      </c>
      <c r="AO432" t="s">
        <v>356</v>
      </c>
      <c r="AP432" t="s">
        <v>293</v>
      </c>
      <c r="AQ432" t="s">
        <v>292</v>
      </c>
      <c r="AR432" t="s">
        <v>293</v>
      </c>
      <c r="AS432" t="s">
        <v>293</v>
      </c>
      <c r="AT432" t="s">
        <v>364</v>
      </c>
      <c r="AU432" t="str">
        <f t="shared" si="14"/>
        <v>no_fail</v>
      </c>
    </row>
    <row r="433" spans="1:47" x14ac:dyDescent="0.3">
      <c r="A433" t="s">
        <v>45</v>
      </c>
      <c r="B433" t="s">
        <v>51</v>
      </c>
      <c r="C433" t="s">
        <v>15</v>
      </c>
      <c r="D433" t="s">
        <v>12</v>
      </c>
      <c r="E433" t="str">
        <f t="shared" si="13"/>
        <v>P_X2G-KYY-S_0M4</v>
      </c>
      <c r="F433" t="b">
        <v>1</v>
      </c>
      <c r="G433">
        <v>100</v>
      </c>
      <c r="H433">
        <v>1</v>
      </c>
      <c r="I433">
        <v>11503</v>
      </c>
      <c r="J433" s="61" t="s">
        <v>18</v>
      </c>
      <c r="K433" s="16" t="s">
        <v>272</v>
      </c>
      <c r="L433" s="16">
        <v>3</v>
      </c>
      <c r="M433" s="16" t="s">
        <v>277</v>
      </c>
      <c r="N433" s="16" t="s">
        <v>335</v>
      </c>
      <c r="O433" t="s">
        <v>282</v>
      </c>
      <c r="Q433" t="s">
        <v>371</v>
      </c>
      <c r="R433" s="17" t="s">
        <v>371</v>
      </c>
      <c r="S433" s="16" t="s">
        <v>341</v>
      </c>
      <c r="T433" s="16" t="s">
        <v>340</v>
      </c>
      <c r="U433" s="15" t="s">
        <v>343</v>
      </c>
      <c r="V433" s="15" t="s">
        <v>344</v>
      </c>
      <c r="W433" s="17"/>
      <c r="X433" t="s">
        <v>349</v>
      </c>
      <c r="Y433" t="s">
        <v>349</v>
      </c>
      <c r="Z433" t="s">
        <v>293</v>
      </c>
      <c r="AA433" t="s">
        <v>352</v>
      </c>
      <c r="AB433" t="s">
        <v>296</v>
      </c>
      <c r="AC433" t="s">
        <v>300</v>
      </c>
      <c r="AD433" t="s">
        <v>292</v>
      </c>
      <c r="AE433" t="s">
        <v>293</v>
      </c>
      <c r="AF433" t="s">
        <v>292</v>
      </c>
      <c r="AG433" t="s">
        <v>292</v>
      </c>
      <c r="AH433" t="s">
        <v>293</v>
      </c>
      <c r="AI433" t="s">
        <v>302</v>
      </c>
      <c r="AJ433" t="s">
        <v>302</v>
      </c>
      <c r="AK433" t="s">
        <v>359</v>
      </c>
      <c r="AL433" t="s">
        <v>293</v>
      </c>
      <c r="AM433" t="s">
        <v>293</v>
      </c>
      <c r="AN433" t="s">
        <v>297</v>
      </c>
      <c r="AO433" t="s">
        <v>298</v>
      </c>
      <c r="AP433" t="s">
        <v>293</v>
      </c>
      <c r="AQ433" t="s">
        <v>292</v>
      </c>
      <c r="AR433" t="s">
        <v>293</v>
      </c>
      <c r="AS433" t="s">
        <v>293</v>
      </c>
      <c r="AT433" t="s">
        <v>364</v>
      </c>
      <c r="AU433" t="str">
        <f t="shared" si="14"/>
        <v>break</v>
      </c>
    </row>
    <row r="434" spans="1:47" x14ac:dyDescent="0.3">
      <c r="A434" t="s">
        <v>45</v>
      </c>
      <c r="B434" t="s">
        <v>51</v>
      </c>
      <c r="C434" t="s">
        <v>14</v>
      </c>
      <c r="D434" t="s">
        <v>12</v>
      </c>
      <c r="E434" t="str">
        <f t="shared" si="13"/>
        <v>P_X2G-KYY-S_1B0</v>
      </c>
      <c r="F434" t="b">
        <v>1</v>
      </c>
      <c r="G434">
        <v>45.6</v>
      </c>
      <c r="H434">
        <v>0</v>
      </c>
      <c r="I434">
        <v>13001</v>
      </c>
      <c r="J434" s="61" t="s">
        <v>13</v>
      </c>
      <c r="K434" s="16" t="s">
        <v>272</v>
      </c>
      <c r="L434" s="16">
        <v>3</v>
      </c>
      <c r="M434" s="16" t="s">
        <v>277</v>
      </c>
      <c r="N434" s="16" t="s">
        <v>335</v>
      </c>
      <c r="O434" t="s">
        <v>282</v>
      </c>
      <c r="Q434" t="s">
        <v>371</v>
      </c>
      <c r="R434" s="17" t="s">
        <v>371</v>
      </c>
      <c r="S434" s="16" t="s">
        <v>341</v>
      </c>
      <c r="T434" s="16" t="s">
        <v>340</v>
      </c>
      <c r="U434" s="15" t="s">
        <v>343</v>
      </c>
      <c r="V434" s="15" t="s">
        <v>344</v>
      </c>
      <c r="W434" s="17"/>
      <c r="X434" t="s">
        <v>349</v>
      </c>
      <c r="Y434" t="s">
        <v>349</v>
      </c>
      <c r="Z434" t="s">
        <v>293</v>
      </c>
      <c r="AA434" t="s">
        <v>353</v>
      </c>
      <c r="AB434" t="s">
        <v>296</v>
      </c>
      <c r="AC434" t="s">
        <v>300</v>
      </c>
      <c r="AD434" t="s">
        <v>292</v>
      </c>
      <c r="AE434" t="s">
        <v>293</v>
      </c>
      <c r="AF434" t="s">
        <v>292</v>
      </c>
      <c r="AG434" t="s">
        <v>292</v>
      </c>
      <c r="AH434" t="s">
        <v>293</v>
      </c>
      <c r="AI434" t="s">
        <v>302</v>
      </c>
      <c r="AJ434" t="s">
        <v>302</v>
      </c>
      <c r="AK434" t="s">
        <v>359</v>
      </c>
      <c r="AL434" t="s">
        <v>293</v>
      </c>
      <c r="AM434" t="s">
        <v>293</v>
      </c>
      <c r="AN434" t="s">
        <v>297</v>
      </c>
      <c r="AO434" t="s">
        <v>298</v>
      </c>
      <c r="AP434" t="s">
        <v>293</v>
      </c>
      <c r="AQ434" t="s">
        <v>292</v>
      </c>
      <c r="AR434" t="s">
        <v>293</v>
      </c>
      <c r="AS434" t="s">
        <v>293</v>
      </c>
      <c r="AT434" t="s">
        <v>364</v>
      </c>
      <c r="AU434" t="str">
        <f t="shared" si="14"/>
        <v>no_fail</v>
      </c>
    </row>
    <row r="435" spans="1:47" x14ac:dyDescent="0.3">
      <c r="A435" t="s">
        <v>45</v>
      </c>
      <c r="B435" t="s">
        <v>51</v>
      </c>
      <c r="C435" t="s">
        <v>11</v>
      </c>
      <c r="D435" t="s">
        <v>12</v>
      </c>
      <c r="E435" t="str">
        <f t="shared" si="13"/>
        <v>P_X2G-KYY-S_1Q4</v>
      </c>
      <c r="F435" t="b">
        <v>1</v>
      </c>
      <c r="G435">
        <v>46.9</v>
      </c>
      <c r="H435">
        <v>0</v>
      </c>
      <c r="I435">
        <v>14408</v>
      </c>
      <c r="J435" s="61" t="s">
        <v>13</v>
      </c>
      <c r="K435" s="16" t="s">
        <v>272</v>
      </c>
      <c r="L435" s="16">
        <v>3</v>
      </c>
      <c r="M435" s="16" t="s">
        <v>277</v>
      </c>
      <c r="N435" s="16" t="s">
        <v>335</v>
      </c>
      <c r="O435" t="s">
        <v>282</v>
      </c>
      <c r="Q435" t="s">
        <v>371</v>
      </c>
      <c r="R435" s="17" t="s">
        <v>371</v>
      </c>
      <c r="S435" s="16" t="s">
        <v>341</v>
      </c>
      <c r="T435" s="16" t="s">
        <v>340</v>
      </c>
      <c r="U435" s="15" t="s">
        <v>343</v>
      </c>
      <c r="V435" s="15" t="s">
        <v>344</v>
      </c>
      <c r="W435" s="17"/>
      <c r="X435" t="s">
        <v>349</v>
      </c>
      <c r="Y435" t="s">
        <v>349</v>
      </c>
      <c r="Z435" t="s">
        <v>293</v>
      </c>
      <c r="AA435" t="s">
        <v>353</v>
      </c>
      <c r="AB435" t="s">
        <v>296</v>
      </c>
      <c r="AC435" t="s">
        <v>300</v>
      </c>
      <c r="AD435" t="s">
        <v>292</v>
      </c>
      <c r="AE435" t="s">
        <v>293</v>
      </c>
      <c r="AF435" t="s">
        <v>292</v>
      </c>
      <c r="AG435" t="s">
        <v>292</v>
      </c>
      <c r="AH435" t="s">
        <v>293</v>
      </c>
      <c r="AI435" t="s">
        <v>302</v>
      </c>
      <c r="AJ435" t="s">
        <v>302</v>
      </c>
      <c r="AK435" t="s">
        <v>359</v>
      </c>
      <c r="AL435" t="s">
        <v>293</v>
      </c>
      <c r="AM435" t="s">
        <v>293</v>
      </c>
      <c r="AN435" t="s">
        <v>297</v>
      </c>
      <c r="AO435" t="s">
        <v>298</v>
      </c>
      <c r="AP435" t="s">
        <v>293</v>
      </c>
      <c r="AQ435" t="s">
        <v>292</v>
      </c>
      <c r="AR435" t="s">
        <v>293</v>
      </c>
      <c r="AS435" t="s">
        <v>293</v>
      </c>
      <c r="AT435" t="s">
        <v>364</v>
      </c>
      <c r="AU435" t="str">
        <f t="shared" si="14"/>
        <v>no_fail</v>
      </c>
    </row>
    <row r="436" spans="1:47" x14ac:dyDescent="0.3">
      <c r="A436" t="s">
        <v>45</v>
      </c>
      <c r="B436" t="s">
        <v>51</v>
      </c>
      <c r="C436" t="s">
        <v>21</v>
      </c>
      <c r="D436" t="s">
        <v>12</v>
      </c>
      <c r="E436" t="str">
        <f t="shared" si="13"/>
        <v>P_X2G-KYY-S_3X6</v>
      </c>
      <c r="F436" t="b">
        <v>1</v>
      </c>
      <c r="G436">
        <v>52.6</v>
      </c>
      <c r="H436">
        <v>0</v>
      </c>
      <c r="I436">
        <v>13074</v>
      </c>
      <c r="J436" s="61" t="s">
        <v>13</v>
      </c>
      <c r="K436" s="16" t="s">
        <v>272</v>
      </c>
      <c r="L436" s="16">
        <v>3</v>
      </c>
      <c r="M436" s="16" t="s">
        <v>277</v>
      </c>
      <c r="N436" s="16" t="s">
        <v>335</v>
      </c>
      <c r="O436" t="s">
        <v>282</v>
      </c>
      <c r="Q436" t="s">
        <v>371</v>
      </c>
      <c r="R436" s="17" t="s">
        <v>371</v>
      </c>
      <c r="S436" s="16" t="s">
        <v>341</v>
      </c>
      <c r="T436" s="16" t="s">
        <v>340</v>
      </c>
      <c r="U436" s="15" t="s">
        <v>343</v>
      </c>
      <c r="V436" s="15" t="s">
        <v>344</v>
      </c>
      <c r="W436" s="17"/>
      <c r="X436" t="s">
        <v>349</v>
      </c>
      <c r="Y436" t="s">
        <v>349</v>
      </c>
      <c r="Z436" t="s">
        <v>293</v>
      </c>
      <c r="AA436" t="s">
        <v>352</v>
      </c>
      <c r="AB436" t="s">
        <v>296</v>
      </c>
      <c r="AC436" t="s">
        <v>300</v>
      </c>
      <c r="AD436" t="s">
        <v>292</v>
      </c>
      <c r="AE436" t="s">
        <v>292</v>
      </c>
      <c r="AF436" t="s">
        <v>292</v>
      </c>
      <c r="AG436" t="s">
        <v>292</v>
      </c>
      <c r="AH436" t="s">
        <v>293</v>
      </c>
      <c r="AI436" t="s">
        <v>302</v>
      </c>
      <c r="AJ436" t="s">
        <v>302</v>
      </c>
      <c r="AK436" t="s">
        <v>359</v>
      </c>
      <c r="AL436" t="s">
        <v>293</v>
      </c>
      <c r="AM436" t="s">
        <v>293</v>
      </c>
      <c r="AN436" t="s">
        <v>297</v>
      </c>
      <c r="AO436" t="s">
        <v>356</v>
      </c>
      <c r="AP436" t="s">
        <v>293</v>
      </c>
      <c r="AQ436" t="s">
        <v>292</v>
      </c>
      <c r="AR436" t="s">
        <v>293</v>
      </c>
      <c r="AS436" t="s">
        <v>293</v>
      </c>
      <c r="AT436" t="s">
        <v>364</v>
      </c>
      <c r="AU436" t="str">
        <f t="shared" si="14"/>
        <v>no_fail</v>
      </c>
    </row>
    <row r="437" spans="1:47" x14ac:dyDescent="0.3">
      <c r="A437" t="s">
        <v>45</v>
      </c>
      <c r="B437" t="s">
        <v>51</v>
      </c>
      <c r="C437" t="s">
        <v>19</v>
      </c>
      <c r="D437" t="s">
        <v>12</v>
      </c>
      <c r="E437" t="str">
        <f t="shared" si="13"/>
        <v>P_X2G-KYY-S_4U3</v>
      </c>
      <c r="F437" t="b">
        <v>1</v>
      </c>
      <c r="G437">
        <v>91.9</v>
      </c>
      <c r="H437">
        <v>0</v>
      </c>
      <c r="I437">
        <v>12966</v>
      </c>
      <c r="J437" s="61" t="s">
        <v>13</v>
      </c>
      <c r="K437" s="16" t="s">
        <v>272</v>
      </c>
      <c r="L437" s="16">
        <v>3</v>
      </c>
      <c r="M437" s="16" t="s">
        <v>277</v>
      </c>
      <c r="N437" s="16" t="s">
        <v>335</v>
      </c>
      <c r="O437" t="s">
        <v>282</v>
      </c>
      <c r="Q437" t="s">
        <v>371</v>
      </c>
      <c r="R437" s="17" t="s">
        <v>371</v>
      </c>
      <c r="S437" s="16" t="s">
        <v>341</v>
      </c>
      <c r="T437" s="16" t="s">
        <v>340</v>
      </c>
      <c r="U437" s="15" t="s">
        <v>343</v>
      </c>
      <c r="V437" s="15" t="s">
        <v>344</v>
      </c>
      <c r="W437" s="17"/>
      <c r="X437" t="s">
        <v>349</v>
      </c>
      <c r="Y437" t="s">
        <v>349</v>
      </c>
      <c r="Z437" t="s">
        <v>293</v>
      </c>
      <c r="AA437" t="s">
        <v>352</v>
      </c>
      <c r="AB437" t="s">
        <v>296</v>
      </c>
      <c r="AC437" t="s">
        <v>300</v>
      </c>
      <c r="AD437" t="s">
        <v>292</v>
      </c>
      <c r="AE437" t="s">
        <v>292</v>
      </c>
      <c r="AF437" t="s">
        <v>292</v>
      </c>
      <c r="AG437" t="s">
        <v>292</v>
      </c>
      <c r="AH437" t="s">
        <v>293</v>
      </c>
      <c r="AI437" t="s">
        <v>302</v>
      </c>
      <c r="AJ437" t="s">
        <v>302</v>
      </c>
      <c r="AK437" t="s">
        <v>359</v>
      </c>
      <c r="AL437" t="s">
        <v>293</v>
      </c>
      <c r="AM437" t="s">
        <v>293</v>
      </c>
      <c r="AN437" t="s">
        <v>297</v>
      </c>
      <c r="AO437" t="s">
        <v>298</v>
      </c>
      <c r="AP437" t="s">
        <v>293</v>
      </c>
      <c r="AQ437" t="s">
        <v>292</v>
      </c>
      <c r="AR437" t="s">
        <v>293</v>
      </c>
      <c r="AS437" t="s">
        <v>293</v>
      </c>
      <c r="AT437" t="s">
        <v>364</v>
      </c>
      <c r="AU437" t="str">
        <f t="shared" si="14"/>
        <v>no_fail</v>
      </c>
    </row>
    <row r="438" spans="1:47" x14ac:dyDescent="0.3">
      <c r="A438" t="s">
        <v>45</v>
      </c>
      <c r="B438" t="s">
        <v>51</v>
      </c>
      <c r="C438" t="s">
        <v>17</v>
      </c>
      <c r="D438" t="s">
        <v>12</v>
      </c>
      <c r="E438" t="str">
        <f t="shared" si="13"/>
        <v>P_X2G-KYY-S_6B5</v>
      </c>
      <c r="F438" t="b">
        <v>1</v>
      </c>
      <c r="G438">
        <v>100</v>
      </c>
      <c r="H438">
        <v>1</v>
      </c>
      <c r="I438">
        <v>12235</v>
      </c>
      <c r="J438" s="61" t="s">
        <v>18</v>
      </c>
      <c r="K438" s="16" t="s">
        <v>272</v>
      </c>
      <c r="L438" s="16">
        <v>3</v>
      </c>
      <c r="M438" s="16" t="s">
        <v>277</v>
      </c>
      <c r="N438" s="16" t="s">
        <v>335</v>
      </c>
      <c r="O438" t="s">
        <v>282</v>
      </c>
      <c r="Q438" t="s">
        <v>371</v>
      </c>
      <c r="R438" s="17" t="s">
        <v>371</v>
      </c>
      <c r="S438" s="16" t="s">
        <v>341</v>
      </c>
      <c r="T438" s="16" t="s">
        <v>340</v>
      </c>
      <c r="U438" s="15" t="s">
        <v>343</v>
      </c>
      <c r="V438" s="15" t="s">
        <v>344</v>
      </c>
      <c r="W438" s="17"/>
      <c r="X438" t="s">
        <v>349</v>
      </c>
      <c r="Y438" t="s">
        <v>349</v>
      </c>
      <c r="Z438" t="s">
        <v>293</v>
      </c>
      <c r="AA438" t="s">
        <v>352</v>
      </c>
      <c r="AB438" t="s">
        <v>296</v>
      </c>
      <c r="AC438" t="s">
        <v>300</v>
      </c>
      <c r="AD438" t="s">
        <v>292</v>
      </c>
      <c r="AE438" t="s">
        <v>292</v>
      </c>
      <c r="AF438" t="s">
        <v>292</v>
      </c>
      <c r="AG438" t="s">
        <v>292</v>
      </c>
      <c r="AH438" t="s">
        <v>293</v>
      </c>
      <c r="AI438" t="s">
        <v>302</v>
      </c>
      <c r="AJ438" t="s">
        <v>302</v>
      </c>
      <c r="AK438" t="s">
        <v>359</v>
      </c>
      <c r="AL438" t="s">
        <v>293</v>
      </c>
      <c r="AM438" t="s">
        <v>293</v>
      </c>
      <c r="AN438" t="s">
        <v>297</v>
      </c>
      <c r="AO438" t="s">
        <v>298</v>
      </c>
      <c r="AP438" t="s">
        <v>293</v>
      </c>
      <c r="AQ438" t="s">
        <v>292</v>
      </c>
      <c r="AR438" t="s">
        <v>293</v>
      </c>
      <c r="AS438" t="s">
        <v>293</v>
      </c>
      <c r="AT438" t="s">
        <v>364</v>
      </c>
      <c r="AU438" t="str">
        <f t="shared" si="14"/>
        <v>break</v>
      </c>
    </row>
    <row r="439" spans="1:47" x14ac:dyDescent="0.3">
      <c r="A439" t="s">
        <v>45</v>
      </c>
      <c r="B439" t="s">
        <v>51</v>
      </c>
      <c r="C439" t="s">
        <v>16</v>
      </c>
      <c r="D439" t="s">
        <v>12</v>
      </c>
      <c r="E439" t="str">
        <f t="shared" si="13"/>
        <v>P_X2G-KYY-S_6U7</v>
      </c>
      <c r="F439" t="b">
        <v>1</v>
      </c>
      <c r="G439">
        <v>45</v>
      </c>
      <c r="H439">
        <v>0</v>
      </c>
      <c r="I439">
        <v>13733</v>
      </c>
      <c r="J439" s="61" t="s">
        <v>13</v>
      </c>
      <c r="K439" s="16" t="s">
        <v>272</v>
      </c>
      <c r="L439" s="16">
        <v>3</v>
      </c>
      <c r="M439" s="16" t="s">
        <v>277</v>
      </c>
      <c r="N439" s="16" t="s">
        <v>335</v>
      </c>
      <c r="O439" t="s">
        <v>282</v>
      </c>
      <c r="Q439" t="s">
        <v>371</v>
      </c>
      <c r="R439" s="17" t="s">
        <v>371</v>
      </c>
      <c r="S439" s="16" t="s">
        <v>341</v>
      </c>
      <c r="T439" s="16" t="s">
        <v>340</v>
      </c>
      <c r="U439" s="15" t="s">
        <v>343</v>
      </c>
      <c r="V439" s="15" t="s">
        <v>344</v>
      </c>
      <c r="W439" s="17"/>
      <c r="X439" t="s">
        <v>349</v>
      </c>
      <c r="Y439" t="s">
        <v>349</v>
      </c>
      <c r="Z439" t="s">
        <v>293</v>
      </c>
      <c r="AA439" t="s">
        <v>353</v>
      </c>
      <c r="AB439" t="s">
        <v>296</v>
      </c>
      <c r="AC439" t="s">
        <v>300</v>
      </c>
      <c r="AD439" t="s">
        <v>292</v>
      </c>
      <c r="AE439" t="s">
        <v>292</v>
      </c>
      <c r="AF439" t="s">
        <v>292</v>
      </c>
      <c r="AG439" t="s">
        <v>292</v>
      </c>
      <c r="AH439" t="s">
        <v>293</v>
      </c>
      <c r="AI439" t="s">
        <v>302</v>
      </c>
      <c r="AJ439" t="s">
        <v>302</v>
      </c>
      <c r="AK439" t="s">
        <v>359</v>
      </c>
      <c r="AL439" t="s">
        <v>293</v>
      </c>
      <c r="AM439" t="s">
        <v>293</v>
      </c>
      <c r="AN439" t="s">
        <v>297</v>
      </c>
      <c r="AO439" t="s">
        <v>298</v>
      </c>
      <c r="AP439" t="s">
        <v>293</v>
      </c>
      <c r="AQ439" t="s">
        <v>292</v>
      </c>
      <c r="AR439" t="s">
        <v>293</v>
      </c>
      <c r="AS439" t="s">
        <v>293</v>
      </c>
      <c r="AT439" t="s">
        <v>364</v>
      </c>
      <c r="AU439" t="str">
        <f t="shared" si="14"/>
        <v>no_fail</v>
      </c>
    </row>
    <row r="440" spans="1:47" x14ac:dyDescent="0.3">
      <c r="A440" t="s">
        <v>45</v>
      </c>
      <c r="B440" t="s">
        <v>51</v>
      </c>
      <c r="C440" t="s">
        <v>20</v>
      </c>
      <c r="D440" t="s">
        <v>12</v>
      </c>
      <c r="E440" t="str">
        <f t="shared" si="13"/>
        <v>P_X2G-KYY-S_7W0</v>
      </c>
      <c r="F440" t="b">
        <v>1</v>
      </c>
      <c r="G440">
        <v>100</v>
      </c>
      <c r="H440">
        <v>1</v>
      </c>
      <c r="I440">
        <v>11667</v>
      </c>
      <c r="J440" s="61" t="s">
        <v>18</v>
      </c>
      <c r="K440" s="16" t="s">
        <v>272</v>
      </c>
      <c r="L440" s="16">
        <v>2</v>
      </c>
      <c r="M440" s="16" t="s">
        <v>277</v>
      </c>
      <c r="N440" s="16" t="s">
        <v>335</v>
      </c>
      <c r="O440" s="15" t="s">
        <v>282</v>
      </c>
      <c r="P440" t="s">
        <v>371</v>
      </c>
      <c r="Q440" t="s">
        <v>371</v>
      </c>
      <c r="R440" s="17" t="s">
        <v>371</v>
      </c>
      <c r="S440" s="16" t="s">
        <v>341</v>
      </c>
      <c r="T440" s="16" t="s">
        <v>340</v>
      </c>
      <c r="U440" s="15" t="s">
        <v>340</v>
      </c>
      <c r="V440" s="15" t="s">
        <v>344</v>
      </c>
      <c r="W440" s="17"/>
      <c r="X440" t="s">
        <v>349</v>
      </c>
      <c r="Y440" t="s">
        <v>349</v>
      </c>
      <c r="Z440" t="s">
        <v>293</v>
      </c>
      <c r="AA440" t="s">
        <v>354</v>
      </c>
      <c r="AB440" t="s">
        <v>354</v>
      </c>
      <c r="AC440" t="s">
        <v>300</v>
      </c>
      <c r="AD440" t="s">
        <v>292</v>
      </c>
      <c r="AE440" t="s">
        <v>292</v>
      </c>
      <c r="AF440" t="s">
        <v>292</v>
      </c>
      <c r="AG440" t="s">
        <v>293</v>
      </c>
      <c r="AH440" t="s">
        <v>293</v>
      </c>
      <c r="AI440" t="s">
        <v>302</v>
      </c>
      <c r="AJ440" t="s">
        <v>302</v>
      </c>
      <c r="AK440" t="s">
        <v>357</v>
      </c>
      <c r="AL440" t="s">
        <v>293</v>
      </c>
      <c r="AM440" t="s">
        <v>293</v>
      </c>
      <c r="AN440" t="s">
        <v>297</v>
      </c>
      <c r="AO440" t="s">
        <v>356</v>
      </c>
      <c r="AP440" t="s">
        <v>293</v>
      </c>
      <c r="AQ440" t="s">
        <v>292</v>
      </c>
      <c r="AR440" t="s">
        <v>293</v>
      </c>
      <c r="AS440" t="s">
        <v>293</v>
      </c>
      <c r="AT440" t="s">
        <v>364</v>
      </c>
      <c r="AU440" t="str">
        <f t="shared" si="14"/>
        <v>break</v>
      </c>
    </row>
    <row r="441" spans="1:47" x14ac:dyDescent="0.3">
      <c r="A441" t="s">
        <v>45</v>
      </c>
      <c r="B441" t="s">
        <v>51</v>
      </c>
      <c r="C441" t="s">
        <v>22</v>
      </c>
      <c r="D441" t="s">
        <v>12</v>
      </c>
      <c r="E441" t="str">
        <f t="shared" si="13"/>
        <v>P_X2G-KYY-S_9B4</v>
      </c>
      <c r="F441" t="b">
        <v>1</v>
      </c>
      <c r="G441">
        <v>52</v>
      </c>
      <c r="H441">
        <v>0</v>
      </c>
      <c r="I441">
        <v>12708</v>
      </c>
      <c r="J441" s="61" t="s">
        <v>13</v>
      </c>
      <c r="K441" s="16" t="s">
        <v>272</v>
      </c>
      <c r="L441" s="16">
        <v>3</v>
      </c>
      <c r="M441" s="16" t="s">
        <v>277</v>
      </c>
      <c r="N441" s="16" t="s">
        <v>335</v>
      </c>
      <c r="O441" t="s">
        <v>282</v>
      </c>
      <c r="Q441" t="s">
        <v>371</v>
      </c>
      <c r="R441" s="17" t="s">
        <v>371</v>
      </c>
      <c r="S441" s="16" t="s">
        <v>341</v>
      </c>
      <c r="T441" s="16" t="s">
        <v>340</v>
      </c>
      <c r="U441" s="15" t="s">
        <v>343</v>
      </c>
      <c r="V441" s="15" t="s">
        <v>344</v>
      </c>
      <c r="W441" s="17"/>
      <c r="X441" t="s">
        <v>349</v>
      </c>
      <c r="Y441" t="s">
        <v>349</v>
      </c>
      <c r="Z441" t="s">
        <v>293</v>
      </c>
      <c r="AA441" t="s">
        <v>352</v>
      </c>
      <c r="AB441" t="s">
        <v>296</v>
      </c>
      <c r="AC441" t="s">
        <v>300</v>
      </c>
      <c r="AD441" t="s">
        <v>292</v>
      </c>
      <c r="AE441" t="s">
        <v>292</v>
      </c>
      <c r="AF441" t="s">
        <v>292</v>
      </c>
      <c r="AG441" t="s">
        <v>292</v>
      </c>
      <c r="AH441" t="s">
        <v>293</v>
      </c>
      <c r="AI441" t="s">
        <v>302</v>
      </c>
      <c r="AJ441" t="s">
        <v>302</v>
      </c>
      <c r="AK441" t="s">
        <v>359</v>
      </c>
      <c r="AL441" t="s">
        <v>293</v>
      </c>
      <c r="AM441" t="s">
        <v>293</v>
      </c>
      <c r="AN441" t="s">
        <v>297</v>
      </c>
      <c r="AO441" t="s">
        <v>356</v>
      </c>
      <c r="AP441" t="s">
        <v>293</v>
      </c>
      <c r="AQ441" t="s">
        <v>292</v>
      </c>
      <c r="AR441" t="s">
        <v>293</v>
      </c>
      <c r="AS441" t="s">
        <v>293</v>
      </c>
      <c r="AT441" t="s">
        <v>364</v>
      </c>
      <c r="AU441" t="str">
        <f t="shared" si="14"/>
        <v>no_fail</v>
      </c>
    </row>
    <row r="442" spans="1:47" x14ac:dyDescent="0.3">
      <c r="A442" t="s">
        <v>45</v>
      </c>
      <c r="B442" t="s">
        <v>51</v>
      </c>
      <c r="C442" t="s">
        <v>23</v>
      </c>
      <c r="D442" t="s">
        <v>29</v>
      </c>
      <c r="E442" t="str">
        <f t="shared" si="13"/>
        <v>P_X2G-ZSB-S_0T2</v>
      </c>
      <c r="F442" t="b">
        <v>1</v>
      </c>
      <c r="G442">
        <v>100</v>
      </c>
      <c r="H442">
        <v>1</v>
      </c>
      <c r="I442">
        <v>12027</v>
      </c>
      <c r="J442" s="61" t="s">
        <v>18</v>
      </c>
      <c r="K442" s="16" t="s">
        <v>272</v>
      </c>
      <c r="L442" s="16">
        <v>3</v>
      </c>
      <c r="M442" s="16" t="s">
        <v>277</v>
      </c>
      <c r="N442" s="16" t="s">
        <v>335</v>
      </c>
      <c r="O442" s="15" t="s">
        <v>282</v>
      </c>
      <c r="P442" t="s">
        <v>371</v>
      </c>
      <c r="Q442" t="s">
        <v>371</v>
      </c>
      <c r="R442" s="17" t="s">
        <v>371</v>
      </c>
      <c r="S442" s="16" t="s">
        <v>341</v>
      </c>
      <c r="T442" s="16" t="s">
        <v>340</v>
      </c>
      <c r="U442" s="15" t="s">
        <v>343</v>
      </c>
      <c r="V442" s="15" t="s">
        <v>344</v>
      </c>
      <c r="W442" s="17"/>
      <c r="X442" t="s">
        <v>349</v>
      </c>
      <c r="Y442" t="s">
        <v>349</v>
      </c>
      <c r="Z442" t="s">
        <v>293</v>
      </c>
      <c r="AA442" t="s">
        <v>352</v>
      </c>
      <c r="AB442" t="s">
        <v>296</v>
      </c>
      <c r="AC442" t="s">
        <v>300</v>
      </c>
      <c r="AD442" t="s">
        <v>292</v>
      </c>
      <c r="AE442" t="s">
        <v>292</v>
      </c>
      <c r="AF442" t="s">
        <v>292</v>
      </c>
      <c r="AG442" t="s">
        <v>292</v>
      </c>
      <c r="AH442" t="s">
        <v>293</v>
      </c>
      <c r="AI442" t="s">
        <v>302</v>
      </c>
      <c r="AJ442" t="s">
        <v>302</v>
      </c>
      <c r="AK442" t="s">
        <v>359</v>
      </c>
      <c r="AL442" t="s">
        <v>293</v>
      </c>
      <c r="AM442" t="s">
        <v>293</v>
      </c>
      <c r="AN442" t="s">
        <v>297</v>
      </c>
      <c r="AO442" t="s">
        <v>298</v>
      </c>
      <c r="AP442" t="s">
        <v>293</v>
      </c>
      <c r="AQ442" t="s">
        <v>292</v>
      </c>
      <c r="AR442" t="s">
        <v>293</v>
      </c>
      <c r="AS442" t="s">
        <v>293</v>
      </c>
      <c r="AT442" t="s">
        <v>364</v>
      </c>
      <c r="AU442" t="str">
        <f t="shared" si="14"/>
        <v>break</v>
      </c>
    </row>
    <row r="443" spans="1:47" x14ac:dyDescent="0.3">
      <c r="A443" t="s">
        <v>45</v>
      </c>
      <c r="B443" t="s">
        <v>51</v>
      </c>
      <c r="C443" t="s">
        <v>25</v>
      </c>
      <c r="D443" t="s">
        <v>29</v>
      </c>
      <c r="E443" t="str">
        <f t="shared" si="13"/>
        <v>P_X2G-ZSB-S_1J8</v>
      </c>
      <c r="F443" t="b">
        <v>1</v>
      </c>
      <c r="G443">
        <v>100</v>
      </c>
      <c r="H443">
        <v>1</v>
      </c>
      <c r="I443">
        <v>9003</v>
      </c>
      <c r="J443" s="61" t="s">
        <v>18</v>
      </c>
      <c r="K443" s="16" t="s">
        <v>272</v>
      </c>
      <c r="L443" s="16">
        <v>3</v>
      </c>
      <c r="M443" s="16" t="s">
        <v>277</v>
      </c>
      <c r="N443" s="16" t="s">
        <v>335</v>
      </c>
      <c r="O443" s="15" t="s">
        <v>283</v>
      </c>
      <c r="P443" t="s">
        <v>282</v>
      </c>
      <c r="Q443" t="s">
        <v>371</v>
      </c>
      <c r="R443" s="17" t="s">
        <v>371</v>
      </c>
      <c r="S443" s="16" t="s">
        <v>341</v>
      </c>
      <c r="T443" s="16" t="s">
        <v>340</v>
      </c>
      <c r="U443" s="15" t="s">
        <v>343</v>
      </c>
      <c r="V443" s="15" t="s">
        <v>291</v>
      </c>
      <c r="W443" s="17"/>
      <c r="X443" t="s">
        <v>349</v>
      </c>
      <c r="Y443" t="s">
        <v>349</v>
      </c>
      <c r="Z443" t="s">
        <v>293</v>
      </c>
      <c r="AA443" t="s">
        <v>353</v>
      </c>
      <c r="AB443" t="s">
        <v>296</v>
      </c>
      <c r="AC443" t="s">
        <v>300</v>
      </c>
      <c r="AD443" t="s">
        <v>292</v>
      </c>
      <c r="AE443" t="s">
        <v>292</v>
      </c>
      <c r="AF443" t="s">
        <v>292</v>
      </c>
      <c r="AG443" t="s">
        <v>292</v>
      </c>
      <c r="AH443" t="s">
        <v>293</v>
      </c>
      <c r="AI443" t="s">
        <v>359</v>
      </c>
      <c r="AJ443" t="s">
        <v>302</v>
      </c>
      <c r="AK443" t="s">
        <v>359</v>
      </c>
      <c r="AL443" t="s">
        <v>293</v>
      </c>
      <c r="AM443" t="s">
        <v>293</v>
      </c>
      <c r="AN443" t="s">
        <v>296</v>
      </c>
      <c r="AO443" t="s">
        <v>356</v>
      </c>
      <c r="AP443" t="s">
        <v>293</v>
      </c>
      <c r="AQ443" t="s">
        <v>292</v>
      </c>
      <c r="AR443" t="s">
        <v>293</v>
      </c>
      <c r="AS443" t="s">
        <v>293</v>
      </c>
      <c r="AT443" t="s">
        <v>364</v>
      </c>
      <c r="AU443" t="str">
        <f t="shared" si="14"/>
        <v>break</v>
      </c>
    </row>
    <row r="444" spans="1:47" x14ac:dyDescent="0.3">
      <c r="A444" t="s">
        <v>45</v>
      </c>
      <c r="B444" t="s">
        <v>51</v>
      </c>
      <c r="C444" t="s">
        <v>24</v>
      </c>
      <c r="D444" t="s">
        <v>29</v>
      </c>
      <c r="E444" t="str">
        <f t="shared" si="13"/>
        <v>P_X2G-ZSB-S_1U0</v>
      </c>
      <c r="F444" t="b">
        <v>1</v>
      </c>
      <c r="G444">
        <v>100</v>
      </c>
      <c r="H444">
        <v>1</v>
      </c>
      <c r="I444">
        <v>12393</v>
      </c>
      <c r="J444" s="61" t="s">
        <v>18</v>
      </c>
      <c r="K444" s="16" t="s">
        <v>272</v>
      </c>
      <c r="L444" s="16">
        <v>3</v>
      </c>
      <c r="M444" s="16" t="s">
        <v>277</v>
      </c>
      <c r="N444" s="16" t="s">
        <v>335</v>
      </c>
      <c r="O444" s="15" t="s">
        <v>282</v>
      </c>
      <c r="P444" t="s">
        <v>371</v>
      </c>
      <c r="Q444" t="s">
        <v>371</v>
      </c>
      <c r="R444" s="17" t="s">
        <v>371</v>
      </c>
      <c r="S444" s="16" t="s">
        <v>341</v>
      </c>
      <c r="T444" s="16" t="s">
        <v>340</v>
      </c>
      <c r="U444" s="15" t="s">
        <v>343</v>
      </c>
      <c r="V444" s="15" t="s">
        <v>344</v>
      </c>
      <c r="W444" s="17"/>
      <c r="X444" t="s">
        <v>349</v>
      </c>
      <c r="Y444" t="s">
        <v>349</v>
      </c>
      <c r="Z444" t="s">
        <v>293</v>
      </c>
      <c r="AA444" t="s">
        <v>352</v>
      </c>
      <c r="AB444" t="s">
        <v>296</v>
      </c>
      <c r="AC444" t="s">
        <v>300</v>
      </c>
      <c r="AD444" t="s">
        <v>292</v>
      </c>
      <c r="AE444" t="s">
        <v>292</v>
      </c>
      <c r="AF444" t="s">
        <v>292</v>
      </c>
      <c r="AG444" t="s">
        <v>292</v>
      </c>
      <c r="AH444" t="s">
        <v>293</v>
      </c>
      <c r="AI444" t="s">
        <v>302</v>
      </c>
      <c r="AJ444" t="s">
        <v>302</v>
      </c>
      <c r="AK444" t="s">
        <v>359</v>
      </c>
      <c r="AL444" t="s">
        <v>293</v>
      </c>
      <c r="AM444" t="s">
        <v>293</v>
      </c>
      <c r="AN444" t="s">
        <v>297</v>
      </c>
      <c r="AO444" t="s">
        <v>298</v>
      </c>
      <c r="AP444" t="s">
        <v>293</v>
      </c>
      <c r="AQ444" t="s">
        <v>292</v>
      </c>
      <c r="AR444" t="s">
        <v>293</v>
      </c>
      <c r="AS444" t="s">
        <v>293</v>
      </c>
      <c r="AT444" t="s">
        <v>364</v>
      </c>
      <c r="AU444" t="str">
        <f t="shared" si="14"/>
        <v>break</v>
      </c>
    </row>
    <row r="445" spans="1:47" x14ac:dyDescent="0.3">
      <c r="A445" t="s">
        <v>45</v>
      </c>
      <c r="B445" t="s">
        <v>51</v>
      </c>
      <c r="C445" t="s">
        <v>32</v>
      </c>
      <c r="D445" t="s">
        <v>29</v>
      </c>
      <c r="E445" t="str">
        <f t="shared" si="13"/>
        <v>P_X2G-ZSB-S_3B9</v>
      </c>
      <c r="F445" t="b">
        <v>1</v>
      </c>
      <c r="G445">
        <v>100</v>
      </c>
      <c r="H445">
        <v>1</v>
      </c>
      <c r="I445">
        <v>14079</v>
      </c>
      <c r="J445" s="61" t="s">
        <v>18</v>
      </c>
      <c r="K445" s="16" t="s">
        <v>272</v>
      </c>
      <c r="L445" s="16">
        <v>3</v>
      </c>
      <c r="M445" s="16" t="s">
        <v>277</v>
      </c>
      <c r="N445" s="16" t="s">
        <v>335</v>
      </c>
      <c r="O445" s="15" t="s">
        <v>282</v>
      </c>
      <c r="P445" t="s">
        <v>371</v>
      </c>
      <c r="Q445" t="s">
        <v>371</v>
      </c>
      <c r="R445" s="17" t="s">
        <v>371</v>
      </c>
      <c r="S445" s="16" t="s">
        <v>341</v>
      </c>
      <c r="T445" s="16" t="s">
        <v>340</v>
      </c>
      <c r="U445" s="15" t="s">
        <v>343</v>
      </c>
      <c r="V445" s="15" t="s">
        <v>344</v>
      </c>
      <c r="W445" s="17"/>
      <c r="X445" t="s">
        <v>349</v>
      </c>
      <c r="Y445" t="s">
        <v>349</v>
      </c>
      <c r="Z445" t="s">
        <v>293</v>
      </c>
      <c r="AA445" t="s">
        <v>353</v>
      </c>
      <c r="AB445" t="s">
        <v>296</v>
      </c>
      <c r="AC445" t="s">
        <v>300</v>
      </c>
      <c r="AD445" t="s">
        <v>292</v>
      </c>
      <c r="AE445" t="s">
        <v>292</v>
      </c>
      <c r="AF445" t="s">
        <v>292</v>
      </c>
      <c r="AG445" t="s">
        <v>292</v>
      </c>
      <c r="AH445" t="s">
        <v>293</v>
      </c>
      <c r="AI445" t="s">
        <v>302</v>
      </c>
      <c r="AJ445" t="s">
        <v>358</v>
      </c>
      <c r="AK445" t="s">
        <v>302</v>
      </c>
      <c r="AL445" t="s">
        <v>293</v>
      </c>
      <c r="AM445" t="s">
        <v>293</v>
      </c>
      <c r="AN445" t="s">
        <v>296</v>
      </c>
      <c r="AO445" t="s">
        <v>298</v>
      </c>
      <c r="AP445" t="s">
        <v>293</v>
      </c>
      <c r="AQ445" t="s">
        <v>292</v>
      </c>
      <c r="AR445" t="s">
        <v>363</v>
      </c>
      <c r="AS445" t="s">
        <v>293</v>
      </c>
      <c r="AT445" t="s">
        <v>364</v>
      </c>
      <c r="AU445" t="str">
        <f t="shared" si="14"/>
        <v>break</v>
      </c>
    </row>
    <row r="446" spans="1:47" x14ac:dyDescent="0.3">
      <c r="A446" t="s">
        <v>45</v>
      </c>
      <c r="B446" t="s">
        <v>51</v>
      </c>
      <c r="C446" t="s">
        <v>30</v>
      </c>
      <c r="D446" t="s">
        <v>29</v>
      </c>
      <c r="E446" t="str">
        <f t="shared" si="13"/>
        <v>P_X2G-ZSB-S_3X7</v>
      </c>
      <c r="F446" t="b">
        <v>1</v>
      </c>
      <c r="G446">
        <v>100</v>
      </c>
      <c r="H446">
        <v>1</v>
      </c>
      <c r="I446">
        <v>11117</v>
      </c>
      <c r="J446" s="61" t="s">
        <v>18</v>
      </c>
      <c r="K446" s="16" t="s">
        <v>272</v>
      </c>
      <c r="L446" s="16">
        <v>3</v>
      </c>
      <c r="M446" s="16" t="s">
        <v>277</v>
      </c>
      <c r="N446" s="16" t="s">
        <v>335</v>
      </c>
      <c r="O446" s="15" t="s">
        <v>282</v>
      </c>
      <c r="P446" t="s">
        <v>371</v>
      </c>
      <c r="Q446" t="s">
        <v>371</v>
      </c>
      <c r="R446" s="17" t="s">
        <v>371</v>
      </c>
      <c r="S446" s="16" t="s">
        <v>341</v>
      </c>
      <c r="T446" s="16" t="s">
        <v>340</v>
      </c>
      <c r="U446" s="15" t="s">
        <v>343</v>
      </c>
      <c r="V446" s="15" t="s">
        <v>344</v>
      </c>
      <c r="W446" s="17"/>
      <c r="X446" t="s">
        <v>349</v>
      </c>
      <c r="Y446" t="s">
        <v>349</v>
      </c>
      <c r="Z446" t="s">
        <v>293</v>
      </c>
      <c r="AA446" t="s">
        <v>353</v>
      </c>
      <c r="AB446" t="s">
        <v>296</v>
      </c>
      <c r="AC446" t="s">
        <v>300</v>
      </c>
      <c r="AD446" t="s">
        <v>292</v>
      </c>
      <c r="AE446" t="s">
        <v>292</v>
      </c>
      <c r="AF446" t="s">
        <v>292</v>
      </c>
      <c r="AG446" t="s">
        <v>292</v>
      </c>
      <c r="AH446" t="s">
        <v>293</v>
      </c>
      <c r="AI446" t="s">
        <v>302</v>
      </c>
      <c r="AJ446" t="s">
        <v>358</v>
      </c>
      <c r="AK446" t="s">
        <v>302</v>
      </c>
      <c r="AL446" t="s">
        <v>293</v>
      </c>
      <c r="AM446" t="s">
        <v>293</v>
      </c>
      <c r="AN446" t="s">
        <v>296</v>
      </c>
      <c r="AO446" t="s">
        <v>298</v>
      </c>
      <c r="AP446" t="s">
        <v>293</v>
      </c>
      <c r="AQ446" t="s">
        <v>292</v>
      </c>
      <c r="AR446" t="s">
        <v>363</v>
      </c>
      <c r="AS446" t="s">
        <v>293</v>
      </c>
      <c r="AT446" t="s">
        <v>364</v>
      </c>
      <c r="AU446" t="str">
        <f t="shared" si="14"/>
        <v>break</v>
      </c>
    </row>
    <row r="447" spans="1:47" x14ac:dyDescent="0.3">
      <c r="A447" t="s">
        <v>45</v>
      </c>
      <c r="B447" t="s">
        <v>51</v>
      </c>
      <c r="C447" t="s">
        <v>33</v>
      </c>
      <c r="D447" t="s">
        <v>29</v>
      </c>
      <c r="E447" t="str">
        <f t="shared" si="13"/>
        <v>P_X2G-ZSB-S_8I8</v>
      </c>
      <c r="F447" t="b">
        <v>1</v>
      </c>
      <c r="G447">
        <v>100</v>
      </c>
      <c r="H447">
        <v>1</v>
      </c>
      <c r="I447">
        <v>15656</v>
      </c>
      <c r="J447" s="61" t="s">
        <v>18</v>
      </c>
      <c r="K447" s="16" t="s">
        <v>272</v>
      </c>
      <c r="L447" s="16">
        <v>3</v>
      </c>
      <c r="M447" s="16" t="s">
        <v>277</v>
      </c>
      <c r="N447" s="16" t="s">
        <v>335</v>
      </c>
      <c r="O447" s="15" t="s">
        <v>282</v>
      </c>
      <c r="P447" t="s">
        <v>371</v>
      </c>
      <c r="Q447" t="s">
        <v>371</v>
      </c>
      <c r="R447" s="17" t="s">
        <v>371</v>
      </c>
      <c r="S447" s="16" t="s">
        <v>341</v>
      </c>
      <c r="T447" s="16" t="s">
        <v>340</v>
      </c>
      <c r="U447" s="15" t="s">
        <v>343</v>
      </c>
      <c r="V447" s="15" t="s">
        <v>344</v>
      </c>
      <c r="W447" s="17"/>
      <c r="X447" t="s">
        <v>349</v>
      </c>
      <c r="Y447" t="s">
        <v>349</v>
      </c>
      <c r="Z447" t="s">
        <v>293</v>
      </c>
      <c r="AA447" t="s">
        <v>353</v>
      </c>
      <c r="AB447" t="s">
        <v>296</v>
      </c>
      <c r="AC447" t="s">
        <v>300</v>
      </c>
      <c r="AD447" t="s">
        <v>292</v>
      </c>
      <c r="AE447" t="s">
        <v>292</v>
      </c>
      <c r="AF447" t="s">
        <v>292</v>
      </c>
      <c r="AG447" t="s">
        <v>292</v>
      </c>
      <c r="AH447" t="s">
        <v>293</v>
      </c>
      <c r="AI447" t="s">
        <v>302</v>
      </c>
      <c r="AJ447" t="s">
        <v>358</v>
      </c>
      <c r="AK447" t="s">
        <v>302</v>
      </c>
      <c r="AL447" t="s">
        <v>293</v>
      </c>
      <c r="AM447" t="s">
        <v>293</v>
      </c>
      <c r="AN447" t="s">
        <v>296</v>
      </c>
      <c r="AO447" t="s">
        <v>298</v>
      </c>
      <c r="AP447" t="s">
        <v>293</v>
      </c>
      <c r="AQ447" t="s">
        <v>292</v>
      </c>
      <c r="AR447" t="s">
        <v>363</v>
      </c>
      <c r="AS447" t="s">
        <v>293</v>
      </c>
      <c r="AT447" t="s">
        <v>364</v>
      </c>
      <c r="AU447" t="str">
        <f t="shared" si="14"/>
        <v>break</v>
      </c>
    </row>
    <row r="448" spans="1:47" x14ac:dyDescent="0.3">
      <c r="A448" t="s">
        <v>45</v>
      </c>
      <c r="B448" t="s">
        <v>51</v>
      </c>
      <c r="C448" t="s">
        <v>26</v>
      </c>
      <c r="D448" t="s">
        <v>29</v>
      </c>
      <c r="E448" t="str">
        <f t="shared" si="13"/>
        <v>P_X2G-ZSB-S_8O8</v>
      </c>
      <c r="F448" t="b">
        <v>1</v>
      </c>
      <c r="G448">
        <v>100</v>
      </c>
      <c r="H448">
        <v>1</v>
      </c>
      <c r="I448">
        <v>11142</v>
      </c>
      <c r="J448" s="61" t="s">
        <v>18</v>
      </c>
      <c r="K448" s="16" t="s">
        <v>272</v>
      </c>
      <c r="L448" s="16">
        <v>3</v>
      </c>
      <c r="M448" s="16" t="s">
        <v>277</v>
      </c>
      <c r="N448" s="16" t="s">
        <v>335</v>
      </c>
      <c r="O448" s="15" t="s">
        <v>283</v>
      </c>
      <c r="P448" t="s">
        <v>282</v>
      </c>
      <c r="Q448" t="s">
        <v>371</v>
      </c>
      <c r="R448" s="17" t="s">
        <v>371</v>
      </c>
      <c r="S448" s="16" t="s">
        <v>341</v>
      </c>
      <c r="T448" s="16" t="s">
        <v>340</v>
      </c>
      <c r="U448" s="15" t="s">
        <v>343</v>
      </c>
      <c r="V448" s="15" t="s">
        <v>291</v>
      </c>
      <c r="W448" s="17"/>
      <c r="X448" t="s">
        <v>349</v>
      </c>
      <c r="Y448" t="s">
        <v>349</v>
      </c>
      <c r="Z448" t="s">
        <v>293</v>
      </c>
      <c r="AA448" t="s">
        <v>353</v>
      </c>
      <c r="AB448" t="s">
        <v>296</v>
      </c>
      <c r="AC448" t="s">
        <v>300</v>
      </c>
      <c r="AD448" t="s">
        <v>292</v>
      </c>
      <c r="AE448" t="s">
        <v>292</v>
      </c>
      <c r="AF448" t="s">
        <v>292</v>
      </c>
      <c r="AG448" t="s">
        <v>292</v>
      </c>
      <c r="AH448" t="s">
        <v>293</v>
      </c>
      <c r="AI448" t="s">
        <v>359</v>
      </c>
      <c r="AJ448" t="s">
        <v>302</v>
      </c>
      <c r="AK448" t="s">
        <v>359</v>
      </c>
      <c r="AL448" t="s">
        <v>293</v>
      </c>
      <c r="AM448" t="s">
        <v>293</v>
      </c>
      <c r="AN448" t="s">
        <v>296</v>
      </c>
      <c r="AO448" t="s">
        <v>356</v>
      </c>
      <c r="AP448" t="s">
        <v>293</v>
      </c>
      <c r="AQ448" t="s">
        <v>292</v>
      </c>
      <c r="AR448" t="s">
        <v>293</v>
      </c>
      <c r="AS448" t="s">
        <v>293</v>
      </c>
      <c r="AT448" t="s">
        <v>364</v>
      </c>
      <c r="AU448" t="str">
        <f t="shared" si="14"/>
        <v>break</v>
      </c>
    </row>
    <row r="449" spans="1:50" x14ac:dyDescent="0.3">
      <c r="A449" t="s">
        <v>45</v>
      </c>
      <c r="B449" t="s">
        <v>51</v>
      </c>
      <c r="C449" t="s">
        <v>31</v>
      </c>
      <c r="D449" t="s">
        <v>29</v>
      </c>
      <c r="E449" t="str">
        <f t="shared" si="13"/>
        <v>P_X2G-ZSB-S_9E0</v>
      </c>
      <c r="F449" t="b">
        <v>1</v>
      </c>
      <c r="G449">
        <v>100</v>
      </c>
      <c r="H449">
        <v>1</v>
      </c>
      <c r="I449">
        <v>12695</v>
      </c>
      <c r="J449" s="61" t="s">
        <v>18</v>
      </c>
      <c r="K449" s="16" t="s">
        <v>272</v>
      </c>
      <c r="L449" s="16">
        <v>3</v>
      </c>
      <c r="M449" s="16" t="s">
        <v>277</v>
      </c>
      <c r="N449" s="16" t="s">
        <v>335</v>
      </c>
      <c r="O449" s="15" t="s">
        <v>282</v>
      </c>
      <c r="P449" t="s">
        <v>371</v>
      </c>
      <c r="Q449" t="s">
        <v>371</v>
      </c>
      <c r="R449" s="17" t="s">
        <v>371</v>
      </c>
      <c r="S449" s="16" t="s">
        <v>341</v>
      </c>
      <c r="T449" s="16" t="s">
        <v>340</v>
      </c>
      <c r="U449" s="15" t="s">
        <v>343</v>
      </c>
      <c r="V449" s="15" t="s">
        <v>344</v>
      </c>
      <c r="W449" s="17"/>
      <c r="X449" t="s">
        <v>349</v>
      </c>
      <c r="Y449" t="s">
        <v>349</v>
      </c>
      <c r="Z449" t="s">
        <v>293</v>
      </c>
      <c r="AA449" t="s">
        <v>353</v>
      </c>
      <c r="AB449" t="s">
        <v>296</v>
      </c>
      <c r="AC449" t="s">
        <v>300</v>
      </c>
      <c r="AD449" t="s">
        <v>292</v>
      </c>
      <c r="AE449" t="s">
        <v>292</v>
      </c>
      <c r="AF449" t="s">
        <v>292</v>
      </c>
      <c r="AG449" t="s">
        <v>292</v>
      </c>
      <c r="AH449" t="s">
        <v>293</v>
      </c>
      <c r="AI449" t="s">
        <v>302</v>
      </c>
      <c r="AJ449" t="s">
        <v>358</v>
      </c>
      <c r="AK449" t="s">
        <v>302</v>
      </c>
      <c r="AL449" t="s">
        <v>293</v>
      </c>
      <c r="AM449" t="s">
        <v>293</v>
      </c>
      <c r="AN449" t="s">
        <v>296</v>
      </c>
      <c r="AO449" t="s">
        <v>298</v>
      </c>
      <c r="AP449" t="s">
        <v>293</v>
      </c>
      <c r="AQ449" t="s">
        <v>292</v>
      </c>
      <c r="AR449" t="s">
        <v>363</v>
      </c>
      <c r="AS449" t="s">
        <v>293</v>
      </c>
      <c r="AT449" t="s">
        <v>364</v>
      </c>
      <c r="AU449" t="str">
        <f t="shared" si="14"/>
        <v>break</v>
      </c>
    </row>
    <row r="450" spans="1:50" x14ac:dyDescent="0.3">
      <c r="A450" t="s">
        <v>45</v>
      </c>
      <c r="B450" t="s">
        <v>51</v>
      </c>
      <c r="C450" t="s">
        <v>27</v>
      </c>
      <c r="D450" t="s">
        <v>29</v>
      </c>
      <c r="E450" t="str">
        <f t="shared" ref="E450:E460" si="15">B450&amp;"-"&amp;D450&amp;"-"&amp;C450</f>
        <v>P_X2G-ZSB-S_9F6</v>
      </c>
      <c r="F450" t="b">
        <v>1</v>
      </c>
      <c r="G450">
        <v>93.1</v>
      </c>
      <c r="H450">
        <v>0</v>
      </c>
      <c r="I450">
        <v>13574</v>
      </c>
      <c r="J450" s="61" t="s">
        <v>13</v>
      </c>
      <c r="K450" s="16" t="s">
        <v>272</v>
      </c>
      <c r="L450" s="16">
        <v>3</v>
      </c>
      <c r="M450" s="16" t="s">
        <v>277</v>
      </c>
      <c r="N450" s="16" t="s">
        <v>335</v>
      </c>
      <c r="O450" s="15" t="s">
        <v>283</v>
      </c>
      <c r="P450" t="s">
        <v>282</v>
      </c>
      <c r="Q450" t="s">
        <v>371</v>
      </c>
      <c r="R450" s="17" t="s">
        <v>371</v>
      </c>
      <c r="S450" s="16" t="s">
        <v>341</v>
      </c>
      <c r="T450" s="16" t="s">
        <v>340</v>
      </c>
      <c r="U450" s="15" t="s">
        <v>343</v>
      </c>
      <c r="V450" s="15" t="s">
        <v>344</v>
      </c>
      <c r="W450" s="17" t="s">
        <v>291</v>
      </c>
      <c r="X450" t="s">
        <v>349</v>
      </c>
      <c r="Y450" t="s">
        <v>349</v>
      </c>
      <c r="Z450" t="s">
        <v>293</v>
      </c>
      <c r="AA450" t="s">
        <v>353</v>
      </c>
      <c r="AB450" t="s">
        <v>296</v>
      </c>
      <c r="AC450" t="s">
        <v>300</v>
      </c>
      <c r="AD450" t="s">
        <v>292</v>
      </c>
      <c r="AE450" t="s">
        <v>292</v>
      </c>
      <c r="AF450" t="s">
        <v>292</v>
      </c>
      <c r="AG450" t="s">
        <v>292</v>
      </c>
      <c r="AH450" t="s">
        <v>293</v>
      </c>
      <c r="AI450" t="s">
        <v>359</v>
      </c>
      <c r="AJ450" t="s">
        <v>302</v>
      </c>
      <c r="AK450" t="s">
        <v>359</v>
      </c>
      <c r="AL450" t="s">
        <v>293</v>
      </c>
      <c r="AM450" t="s">
        <v>293</v>
      </c>
      <c r="AN450" t="s">
        <v>296</v>
      </c>
      <c r="AO450" t="s">
        <v>356</v>
      </c>
      <c r="AP450" t="s">
        <v>293</v>
      </c>
      <c r="AQ450" t="s">
        <v>292</v>
      </c>
      <c r="AR450" t="s">
        <v>293</v>
      </c>
      <c r="AS450" t="s">
        <v>293</v>
      </c>
      <c r="AT450" t="s">
        <v>364</v>
      </c>
      <c r="AU450" t="str">
        <f t="shared" si="14"/>
        <v>no_fail</v>
      </c>
    </row>
    <row r="451" spans="1:50" x14ac:dyDescent="0.3">
      <c r="A451" t="s">
        <v>45</v>
      </c>
      <c r="B451" t="s">
        <v>51</v>
      </c>
      <c r="C451" t="s">
        <v>28</v>
      </c>
      <c r="D451" t="s">
        <v>29</v>
      </c>
      <c r="E451" t="str">
        <f t="shared" si="15"/>
        <v>P_X2G-ZSB-S_9T2</v>
      </c>
      <c r="F451" t="b">
        <v>1</v>
      </c>
      <c r="G451">
        <v>100</v>
      </c>
      <c r="H451">
        <v>1</v>
      </c>
      <c r="I451">
        <v>7428</v>
      </c>
      <c r="J451" s="61" t="s">
        <v>18</v>
      </c>
      <c r="K451" s="16" t="s">
        <v>272</v>
      </c>
      <c r="L451" s="16">
        <v>3</v>
      </c>
      <c r="M451" s="16" t="s">
        <v>277</v>
      </c>
      <c r="N451" s="16" t="s">
        <v>335</v>
      </c>
      <c r="O451" s="15" t="s">
        <v>339</v>
      </c>
      <c r="P451" t="s">
        <v>282</v>
      </c>
      <c r="Q451" t="s">
        <v>371</v>
      </c>
      <c r="R451" s="17" t="s">
        <v>371</v>
      </c>
      <c r="S451" s="16" t="s">
        <v>340</v>
      </c>
      <c r="T451" s="16" t="s">
        <v>340</v>
      </c>
      <c r="U451" s="15" t="s">
        <v>340</v>
      </c>
      <c r="V451" s="15" t="s">
        <v>348</v>
      </c>
      <c r="W451" s="17"/>
      <c r="X451" t="s">
        <v>349</v>
      </c>
      <c r="Y451" t="s">
        <v>349</v>
      </c>
      <c r="Z451" t="s">
        <v>293</v>
      </c>
      <c r="AA451" t="s">
        <v>354</v>
      </c>
      <c r="AB451" t="s">
        <v>354</v>
      </c>
      <c r="AC451" t="s">
        <v>340</v>
      </c>
      <c r="AD451" t="s">
        <v>293</v>
      </c>
      <c r="AE451" t="s">
        <v>292</v>
      </c>
      <c r="AF451" t="s">
        <v>293</v>
      </c>
      <c r="AG451" t="s">
        <v>292</v>
      </c>
      <c r="AH451" t="s">
        <v>293</v>
      </c>
      <c r="AI451" t="s">
        <v>302</v>
      </c>
      <c r="AJ451" t="s">
        <v>358</v>
      </c>
      <c r="AK451" t="s">
        <v>358</v>
      </c>
      <c r="AL451" t="s">
        <v>293</v>
      </c>
      <c r="AM451" t="s">
        <v>293</v>
      </c>
      <c r="AN451" t="s">
        <v>296</v>
      </c>
      <c r="AO451" t="s">
        <v>356</v>
      </c>
      <c r="AP451" t="s">
        <v>293</v>
      </c>
      <c r="AQ451" t="s">
        <v>292</v>
      </c>
      <c r="AR451" t="s">
        <v>293</v>
      </c>
      <c r="AS451" t="s">
        <v>293</v>
      </c>
      <c r="AT451" t="s">
        <v>364</v>
      </c>
      <c r="AU451" t="str">
        <f t="shared" si="14"/>
        <v>break</v>
      </c>
    </row>
    <row r="452" spans="1:50" x14ac:dyDescent="0.3">
      <c r="A452" t="s">
        <v>9</v>
      </c>
      <c r="B452" t="s">
        <v>70</v>
      </c>
      <c r="C452" t="s">
        <v>14</v>
      </c>
      <c r="D452" t="s">
        <v>12</v>
      </c>
      <c r="E452" t="str">
        <f t="shared" si="15"/>
        <v>P_Z2A-KYY-S_1B0</v>
      </c>
      <c r="F452" t="b">
        <v>1</v>
      </c>
      <c r="G452">
        <v>100</v>
      </c>
      <c r="H452">
        <v>1</v>
      </c>
      <c r="I452">
        <v>15052</v>
      </c>
      <c r="J452" s="61" t="s">
        <v>18</v>
      </c>
      <c r="K452" s="16" t="s">
        <v>272</v>
      </c>
      <c r="L452" s="16">
        <v>3</v>
      </c>
      <c r="M452" s="16" t="s">
        <v>277</v>
      </c>
      <c r="N452" s="16" t="s">
        <v>335</v>
      </c>
      <c r="O452" s="15" t="s">
        <v>282</v>
      </c>
      <c r="P452" t="s">
        <v>371</v>
      </c>
      <c r="Q452" t="s">
        <v>371</v>
      </c>
      <c r="R452" s="17" t="s">
        <v>371</v>
      </c>
      <c r="S452" s="16" t="s">
        <v>341</v>
      </c>
      <c r="T452" s="16" t="s">
        <v>340</v>
      </c>
      <c r="U452" s="15" t="s">
        <v>343</v>
      </c>
      <c r="V452" s="15" t="s">
        <v>291</v>
      </c>
      <c r="W452" s="17"/>
      <c r="X452" t="s">
        <v>349</v>
      </c>
      <c r="Y452" t="s">
        <v>349</v>
      </c>
      <c r="Z452" t="s">
        <v>293</v>
      </c>
      <c r="AA452" t="s">
        <v>353</v>
      </c>
      <c r="AB452" t="s">
        <v>296</v>
      </c>
      <c r="AC452" t="s">
        <v>301</v>
      </c>
      <c r="AD452" t="s">
        <v>293</v>
      </c>
      <c r="AE452" t="s">
        <v>292</v>
      </c>
      <c r="AF452" t="s">
        <v>293</v>
      </c>
      <c r="AG452" t="s">
        <v>292</v>
      </c>
      <c r="AH452" t="s">
        <v>293</v>
      </c>
      <c r="AI452" t="s">
        <v>302</v>
      </c>
      <c r="AJ452" t="s">
        <v>302</v>
      </c>
      <c r="AK452" t="s">
        <v>359</v>
      </c>
      <c r="AL452" t="s">
        <v>293</v>
      </c>
      <c r="AM452" t="s">
        <v>293</v>
      </c>
      <c r="AN452" t="s">
        <v>296</v>
      </c>
      <c r="AO452" t="s">
        <v>356</v>
      </c>
      <c r="AP452" t="s">
        <v>293</v>
      </c>
      <c r="AQ452" t="s">
        <v>292</v>
      </c>
      <c r="AR452" t="s">
        <v>293</v>
      </c>
      <c r="AS452" t="s">
        <v>293</v>
      </c>
      <c r="AT452" t="s">
        <v>364</v>
      </c>
      <c r="AU452" t="str">
        <f t="shared" si="14"/>
        <v>break</v>
      </c>
    </row>
    <row r="453" spans="1:50" x14ac:dyDescent="0.3">
      <c r="A453" t="s">
        <v>9</v>
      </c>
      <c r="B453" t="s">
        <v>70</v>
      </c>
      <c r="C453" t="s">
        <v>11</v>
      </c>
      <c r="D453" t="s">
        <v>12</v>
      </c>
      <c r="E453" t="str">
        <f t="shared" si="15"/>
        <v>P_Z2A-KYY-S_1Q4</v>
      </c>
      <c r="F453" t="b">
        <v>1</v>
      </c>
      <c r="G453">
        <v>100</v>
      </c>
      <c r="H453">
        <v>1</v>
      </c>
      <c r="I453">
        <v>15694</v>
      </c>
      <c r="J453" s="61" t="s">
        <v>18</v>
      </c>
      <c r="K453" s="16" t="s">
        <v>272</v>
      </c>
      <c r="L453" s="16">
        <v>3</v>
      </c>
      <c r="M453" s="16" t="s">
        <v>277</v>
      </c>
      <c r="N453" s="16" t="s">
        <v>335</v>
      </c>
      <c r="O453" s="15" t="s">
        <v>339</v>
      </c>
      <c r="P453" t="s">
        <v>285</v>
      </c>
      <c r="Q453" t="s">
        <v>282</v>
      </c>
      <c r="R453" s="17" t="s">
        <v>371</v>
      </c>
      <c r="S453" s="16" t="s">
        <v>341</v>
      </c>
      <c r="T453" s="16" t="s">
        <v>340</v>
      </c>
      <c r="U453" s="15" t="s">
        <v>343</v>
      </c>
      <c r="V453" s="15" t="s">
        <v>291</v>
      </c>
      <c r="W453" s="17"/>
      <c r="X453" t="s">
        <v>349</v>
      </c>
      <c r="Y453" t="s">
        <v>349</v>
      </c>
      <c r="Z453" t="s">
        <v>293</v>
      </c>
      <c r="AA453" t="s">
        <v>353</v>
      </c>
      <c r="AB453" t="s">
        <v>296</v>
      </c>
      <c r="AC453" t="s">
        <v>301</v>
      </c>
      <c r="AD453" t="s">
        <v>293</v>
      </c>
      <c r="AE453" t="s">
        <v>292</v>
      </c>
      <c r="AF453" t="s">
        <v>293</v>
      </c>
      <c r="AG453" t="s">
        <v>292</v>
      </c>
      <c r="AH453" t="s">
        <v>293</v>
      </c>
      <c r="AI453" t="s">
        <v>302</v>
      </c>
      <c r="AJ453" t="s">
        <v>302</v>
      </c>
      <c r="AK453" t="s">
        <v>302</v>
      </c>
      <c r="AL453" t="s">
        <v>293</v>
      </c>
      <c r="AM453" t="s">
        <v>293</v>
      </c>
      <c r="AN453" t="s">
        <v>296</v>
      </c>
      <c r="AO453" t="s">
        <v>356</v>
      </c>
      <c r="AP453" t="s">
        <v>293</v>
      </c>
      <c r="AQ453" t="s">
        <v>292</v>
      </c>
      <c r="AR453" t="s">
        <v>293</v>
      </c>
      <c r="AS453" t="s">
        <v>293</v>
      </c>
      <c r="AT453" t="s">
        <v>364</v>
      </c>
      <c r="AU453" t="str">
        <f t="shared" si="14"/>
        <v>break</v>
      </c>
    </row>
    <row r="454" spans="1:50" x14ac:dyDescent="0.3">
      <c r="A454" t="s">
        <v>9</v>
      </c>
      <c r="B454" t="s">
        <v>70</v>
      </c>
      <c r="C454" t="s">
        <v>15</v>
      </c>
      <c r="D454" t="s">
        <v>29</v>
      </c>
      <c r="E454" t="str">
        <f t="shared" si="15"/>
        <v>P_Z2A-ZSB-S_0M4</v>
      </c>
      <c r="F454" t="b">
        <v>1</v>
      </c>
      <c r="G454">
        <v>100</v>
      </c>
      <c r="H454">
        <v>1</v>
      </c>
      <c r="I454">
        <v>16073</v>
      </c>
      <c r="J454" s="61" t="s">
        <v>18</v>
      </c>
      <c r="K454" s="16" t="s">
        <v>272</v>
      </c>
      <c r="L454" s="16">
        <v>3</v>
      </c>
      <c r="M454" s="16" t="s">
        <v>277</v>
      </c>
      <c r="N454" s="16" t="s">
        <v>335</v>
      </c>
      <c r="O454" s="15" t="s">
        <v>339</v>
      </c>
      <c r="P454" t="s">
        <v>285</v>
      </c>
      <c r="Q454" t="s">
        <v>282</v>
      </c>
      <c r="R454" s="17" t="s">
        <v>371</v>
      </c>
      <c r="S454" s="16" t="s">
        <v>341</v>
      </c>
      <c r="T454" s="16" t="s">
        <v>340</v>
      </c>
      <c r="U454" s="15" t="s">
        <v>343</v>
      </c>
      <c r="V454" s="15" t="s">
        <v>291</v>
      </c>
      <c r="W454" s="17"/>
      <c r="X454" t="s">
        <v>349</v>
      </c>
      <c r="Y454" t="s">
        <v>349</v>
      </c>
      <c r="Z454" t="s">
        <v>293</v>
      </c>
      <c r="AA454" t="s">
        <v>352</v>
      </c>
      <c r="AB454" t="s">
        <v>297</v>
      </c>
      <c r="AC454" t="s">
        <v>301</v>
      </c>
      <c r="AD454" t="s">
        <v>293</v>
      </c>
      <c r="AE454" t="s">
        <v>292</v>
      </c>
      <c r="AF454" t="s">
        <v>292</v>
      </c>
      <c r="AG454" t="s">
        <v>292</v>
      </c>
      <c r="AH454" t="s">
        <v>293</v>
      </c>
      <c r="AI454" t="s">
        <v>302</v>
      </c>
      <c r="AJ454" t="s">
        <v>302</v>
      </c>
      <c r="AK454" t="s">
        <v>302</v>
      </c>
      <c r="AL454" t="s">
        <v>293</v>
      </c>
      <c r="AM454" t="s">
        <v>293</v>
      </c>
      <c r="AN454" t="s">
        <v>297</v>
      </c>
      <c r="AO454" t="s">
        <v>356</v>
      </c>
      <c r="AP454" t="s">
        <v>293</v>
      </c>
      <c r="AQ454" t="s">
        <v>292</v>
      </c>
      <c r="AR454" t="s">
        <v>293</v>
      </c>
      <c r="AS454" t="s">
        <v>293</v>
      </c>
      <c r="AT454" t="s">
        <v>364</v>
      </c>
      <c r="AU454" t="str">
        <f t="shared" si="14"/>
        <v>break</v>
      </c>
    </row>
    <row r="455" spans="1:50" x14ac:dyDescent="0.3">
      <c r="A455" t="s">
        <v>9</v>
      </c>
      <c r="B455" t="s">
        <v>70</v>
      </c>
      <c r="C455" t="s">
        <v>21</v>
      </c>
      <c r="D455" t="s">
        <v>29</v>
      </c>
      <c r="E455" t="str">
        <f t="shared" si="15"/>
        <v>P_Z2A-ZSB-S_3X6</v>
      </c>
      <c r="F455" t="b">
        <v>1</v>
      </c>
      <c r="G455">
        <v>57.8</v>
      </c>
      <c r="H455">
        <v>0</v>
      </c>
      <c r="I455">
        <v>16647</v>
      </c>
      <c r="J455" s="61" t="s">
        <v>13</v>
      </c>
      <c r="K455" s="16" t="s">
        <v>272</v>
      </c>
      <c r="L455" s="16">
        <v>3</v>
      </c>
      <c r="M455" s="16" t="s">
        <v>277</v>
      </c>
      <c r="N455" s="16" t="s">
        <v>335</v>
      </c>
      <c r="O455" s="15" t="s">
        <v>282</v>
      </c>
      <c r="P455" t="s">
        <v>371</v>
      </c>
      <c r="Q455" t="s">
        <v>371</v>
      </c>
      <c r="R455" s="17" t="s">
        <v>371</v>
      </c>
      <c r="S455" s="16" t="s">
        <v>341</v>
      </c>
      <c r="T455" s="16" t="s">
        <v>342</v>
      </c>
      <c r="U455" s="15" t="s">
        <v>343</v>
      </c>
      <c r="V455" s="15" t="s">
        <v>344</v>
      </c>
      <c r="W455" s="17" t="s">
        <v>347</v>
      </c>
      <c r="X455" t="s">
        <v>349</v>
      </c>
      <c r="Y455" t="s">
        <v>349</v>
      </c>
      <c r="Z455" t="s">
        <v>293</v>
      </c>
      <c r="AA455" t="s">
        <v>353</v>
      </c>
      <c r="AB455" t="s">
        <v>297</v>
      </c>
      <c r="AC455" t="s">
        <v>301</v>
      </c>
      <c r="AD455" t="s">
        <v>293</v>
      </c>
      <c r="AE455" t="s">
        <v>292</v>
      </c>
      <c r="AF455" t="s">
        <v>292</v>
      </c>
      <c r="AG455" t="s">
        <v>293</v>
      </c>
      <c r="AH455" t="s">
        <v>293</v>
      </c>
      <c r="AI455" t="s">
        <v>302</v>
      </c>
      <c r="AJ455" t="s">
        <v>302</v>
      </c>
      <c r="AK455" t="s">
        <v>359</v>
      </c>
      <c r="AL455" t="s">
        <v>293</v>
      </c>
      <c r="AM455" t="s">
        <v>293</v>
      </c>
      <c r="AN455" t="s">
        <v>297</v>
      </c>
      <c r="AO455" t="s">
        <v>356</v>
      </c>
      <c r="AP455" t="s">
        <v>293</v>
      </c>
      <c r="AQ455" t="s">
        <v>292</v>
      </c>
      <c r="AR455" t="s">
        <v>293</v>
      </c>
      <c r="AS455" t="s">
        <v>293</v>
      </c>
      <c r="AT455" t="s">
        <v>364</v>
      </c>
      <c r="AU455" t="str">
        <f t="shared" si="14"/>
        <v>no_fail</v>
      </c>
    </row>
    <row r="456" spans="1:50" x14ac:dyDescent="0.3">
      <c r="A456" t="s">
        <v>9</v>
      </c>
      <c r="B456" t="s">
        <v>70</v>
      </c>
      <c r="C456" t="s">
        <v>19</v>
      </c>
      <c r="D456" t="s">
        <v>29</v>
      </c>
      <c r="E456" t="str">
        <f t="shared" si="15"/>
        <v>P_Z2A-ZSB-S_4U3</v>
      </c>
      <c r="F456" t="b">
        <v>1</v>
      </c>
      <c r="G456">
        <v>85.9</v>
      </c>
      <c r="H456">
        <v>0</v>
      </c>
      <c r="I456">
        <v>13494</v>
      </c>
      <c r="J456" s="61" t="s">
        <v>13</v>
      </c>
      <c r="K456" s="16" t="s">
        <v>272</v>
      </c>
      <c r="L456" s="16">
        <v>2</v>
      </c>
      <c r="M456" s="16" t="s">
        <v>277</v>
      </c>
      <c r="N456" s="16" t="s">
        <v>335</v>
      </c>
      <c r="O456" s="15" t="s">
        <v>282</v>
      </c>
      <c r="P456" t="s">
        <v>371</v>
      </c>
      <c r="Q456" t="s">
        <v>371</v>
      </c>
      <c r="R456" s="17" t="s">
        <v>371</v>
      </c>
      <c r="S456" s="16" t="s">
        <v>341</v>
      </c>
      <c r="T456" s="16" t="s">
        <v>340</v>
      </c>
      <c r="U456" s="15" t="s">
        <v>340</v>
      </c>
      <c r="V456" s="15" t="s">
        <v>344</v>
      </c>
      <c r="W456" s="17"/>
      <c r="X456" t="s">
        <v>349</v>
      </c>
      <c r="Y456" t="s">
        <v>349</v>
      </c>
      <c r="Z456" t="s">
        <v>293</v>
      </c>
      <c r="AA456" t="s">
        <v>354</v>
      </c>
      <c r="AB456" t="s">
        <v>354</v>
      </c>
      <c r="AC456" t="s">
        <v>301</v>
      </c>
      <c r="AD456" t="s">
        <v>293</v>
      </c>
      <c r="AE456" t="s">
        <v>292</v>
      </c>
      <c r="AF456" t="s">
        <v>292</v>
      </c>
      <c r="AG456" t="s">
        <v>292</v>
      </c>
      <c r="AH456" t="s">
        <v>293</v>
      </c>
      <c r="AI456" t="s">
        <v>302</v>
      </c>
      <c r="AJ456" t="s">
        <v>302</v>
      </c>
      <c r="AK456" t="s">
        <v>357</v>
      </c>
      <c r="AL456" t="s">
        <v>293</v>
      </c>
      <c r="AM456" t="s">
        <v>293</v>
      </c>
      <c r="AN456" t="s">
        <v>297</v>
      </c>
      <c r="AO456" t="s">
        <v>356</v>
      </c>
      <c r="AP456" t="s">
        <v>293</v>
      </c>
      <c r="AQ456" t="s">
        <v>292</v>
      </c>
      <c r="AR456" t="s">
        <v>293</v>
      </c>
      <c r="AS456" t="s">
        <v>293</v>
      </c>
      <c r="AT456" t="s">
        <v>364</v>
      </c>
      <c r="AU456" t="str">
        <f t="shared" si="14"/>
        <v>no_fail</v>
      </c>
    </row>
    <row r="457" spans="1:50" x14ac:dyDescent="0.3">
      <c r="A457" t="s">
        <v>9</v>
      </c>
      <c r="B457" t="s">
        <v>70</v>
      </c>
      <c r="C457" t="s">
        <v>17</v>
      </c>
      <c r="D457" t="s">
        <v>29</v>
      </c>
      <c r="E457" t="str">
        <f t="shared" si="15"/>
        <v>P_Z2A-ZSB-S_6B5</v>
      </c>
      <c r="F457" t="b">
        <v>1</v>
      </c>
      <c r="G457">
        <v>85.9</v>
      </c>
      <c r="H457">
        <v>0</v>
      </c>
      <c r="I457">
        <v>16799</v>
      </c>
      <c r="J457" s="61" t="s">
        <v>13</v>
      </c>
      <c r="K457" s="16" t="s">
        <v>272</v>
      </c>
      <c r="L457" s="16">
        <v>3</v>
      </c>
      <c r="M457" s="16" t="s">
        <v>277</v>
      </c>
      <c r="N457" s="16" t="s">
        <v>335</v>
      </c>
      <c r="O457" s="15" t="s">
        <v>282</v>
      </c>
      <c r="P457" t="s">
        <v>371</v>
      </c>
      <c r="Q457" t="s">
        <v>371</v>
      </c>
      <c r="R457" s="17" t="s">
        <v>371</v>
      </c>
      <c r="S457" s="16" t="s">
        <v>341</v>
      </c>
      <c r="T457" s="16" t="s">
        <v>340</v>
      </c>
      <c r="U457" s="15" t="s">
        <v>340</v>
      </c>
      <c r="V457" s="15" t="s">
        <v>344</v>
      </c>
      <c r="W457" s="17"/>
      <c r="X457" t="s">
        <v>349</v>
      </c>
      <c r="Y457" t="s">
        <v>349</v>
      </c>
      <c r="Z457" t="s">
        <v>293</v>
      </c>
      <c r="AA457" t="s">
        <v>354</v>
      </c>
      <c r="AB457" t="s">
        <v>354</v>
      </c>
      <c r="AC457" t="s">
        <v>301</v>
      </c>
      <c r="AD457" t="s">
        <v>293</v>
      </c>
      <c r="AE457" t="s">
        <v>292</v>
      </c>
      <c r="AF457" t="s">
        <v>292</v>
      </c>
      <c r="AG457" t="s">
        <v>292</v>
      </c>
      <c r="AH457" t="s">
        <v>293</v>
      </c>
      <c r="AI457" t="s">
        <v>302</v>
      </c>
      <c r="AJ457" t="s">
        <v>302</v>
      </c>
      <c r="AK457" t="s">
        <v>357</v>
      </c>
      <c r="AL457" t="s">
        <v>293</v>
      </c>
      <c r="AM457" t="s">
        <v>293</v>
      </c>
      <c r="AN457" t="s">
        <v>297</v>
      </c>
      <c r="AO457" t="s">
        <v>356</v>
      </c>
      <c r="AP457" t="s">
        <v>293</v>
      </c>
      <c r="AQ457" t="s">
        <v>292</v>
      </c>
      <c r="AR457" t="s">
        <v>293</v>
      </c>
      <c r="AS457" t="s">
        <v>293</v>
      </c>
      <c r="AT457" t="s">
        <v>364</v>
      </c>
      <c r="AU457" t="str">
        <f t="shared" si="14"/>
        <v>no_fail</v>
      </c>
    </row>
    <row r="458" spans="1:50" x14ac:dyDescent="0.3">
      <c r="A458" t="s">
        <v>9</v>
      </c>
      <c r="B458" t="s">
        <v>70</v>
      </c>
      <c r="C458" t="s">
        <v>16</v>
      </c>
      <c r="D458" t="s">
        <v>29</v>
      </c>
      <c r="E458" t="str">
        <f t="shared" si="15"/>
        <v>P_Z2A-ZSB-S_6U7</v>
      </c>
      <c r="F458" t="b">
        <v>1</v>
      </c>
      <c r="G458">
        <v>86.2</v>
      </c>
      <c r="H458">
        <v>0</v>
      </c>
      <c r="I458">
        <v>20585</v>
      </c>
      <c r="J458" s="61" t="s">
        <v>13</v>
      </c>
      <c r="K458" s="16" t="s">
        <v>272</v>
      </c>
      <c r="L458" s="16">
        <v>3</v>
      </c>
      <c r="M458" s="16" t="s">
        <v>277</v>
      </c>
      <c r="N458" s="16" t="s">
        <v>335</v>
      </c>
      <c r="O458" s="15" t="s">
        <v>282</v>
      </c>
      <c r="P458" t="s">
        <v>371</v>
      </c>
      <c r="Q458" t="s">
        <v>371</v>
      </c>
      <c r="R458" s="17" t="s">
        <v>371</v>
      </c>
      <c r="S458" s="16" t="s">
        <v>341</v>
      </c>
      <c r="T458" s="16" t="s">
        <v>340</v>
      </c>
      <c r="U458" s="15" t="s">
        <v>340</v>
      </c>
      <c r="V458" s="15" t="s">
        <v>344</v>
      </c>
      <c r="W458" s="17"/>
      <c r="X458" t="s">
        <v>349</v>
      </c>
      <c r="Y458" t="s">
        <v>349</v>
      </c>
      <c r="Z458" t="s">
        <v>293</v>
      </c>
      <c r="AA458" t="s">
        <v>354</v>
      </c>
      <c r="AB458" t="s">
        <v>354</v>
      </c>
      <c r="AC458" t="s">
        <v>301</v>
      </c>
      <c r="AD458" t="s">
        <v>293</v>
      </c>
      <c r="AE458" t="s">
        <v>292</v>
      </c>
      <c r="AF458" t="s">
        <v>292</v>
      </c>
      <c r="AG458" t="s">
        <v>292</v>
      </c>
      <c r="AH458" t="s">
        <v>293</v>
      </c>
      <c r="AI458" t="s">
        <v>302</v>
      </c>
      <c r="AJ458" t="s">
        <v>302</v>
      </c>
      <c r="AK458" t="s">
        <v>357</v>
      </c>
      <c r="AL458" t="s">
        <v>293</v>
      </c>
      <c r="AM458" t="s">
        <v>293</v>
      </c>
      <c r="AN458" t="s">
        <v>296</v>
      </c>
      <c r="AO458" t="s">
        <v>356</v>
      </c>
      <c r="AP458" t="s">
        <v>293</v>
      </c>
      <c r="AQ458" t="s">
        <v>292</v>
      </c>
      <c r="AR458" t="s">
        <v>293</v>
      </c>
      <c r="AS458" t="s">
        <v>293</v>
      </c>
      <c r="AT458" t="s">
        <v>364</v>
      </c>
      <c r="AU458" t="str">
        <f t="shared" si="14"/>
        <v>no_fail</v>
      </c>
    </row>
    <row r="459" spans="1:50" x14ac:dyDescent="0.3">
      <c r="A459" t="s">
        <v>9</v>
      </c>
      <c r="B459" t="s">
        <v>70</v>
      </c>
      <c r="C459" t="s">
        <v>20</v>
      </c>
      <c r="D459" t="s">
        <v>29</v>
      </c>
      <c r="E459" t="str">
        <f t="shared" si="15"/>
        <v>P_Z2A-ZSB-S_7W0</v>
      </c>
      <c r="F459" t="b">
        <v>1</v>
      </c>
      <c r="G459">
        <v>55</v>
      </c>
      <c r="H459">
        <v>0</v>
      </c>
      <c r="I459">
        <v>15131</v>
      </c>
      <c r="J459" s="61" t="s">
        <v>13</v>
      </c>
      <c r="K459" s="16" t="s">
        <v>272</v>
      </c>
      <c r="L459" s="16">
        <v>3</v>
      </c>
      <c r="M459" s="16" t="s">
        <v>277</v>
      </c>
      <c r="N459" s="16" t="s">
        <v>335</v>
      </c>
      <c r="O459" s="15" t="s">
        <v>282</v>
      </c>
      <c r="P459" t="s">
        <v>371</v>
      </c>
      <c r="Q459" t="s">
        <v>371</v>
      </c>
      <c r="R459" s="17" t="s">
        <v>371</v>
      </c>
      <c r="S459" s="16" t="s">
        <v>341</v>
      </c>
      <c r="T459" s="16" t="s">
        <v>342</v>
      </c>
      <c r="U459" s="15" t="s">
        <v>343</v>
      </c>
      <c r="V459" s="15" t="s">
        <v>344</v>
      </c>
      <c r="W459" s="17" t="s">
        <v>291</v>
      </c>
      <c r="X459" t="s">
        <v>349</v>
      </c>
      <c r="Y459" t="s">
        <v>349</v>
      </c>
      <c r="Z459" t="s">
        <v>293</v>
      </c>
      <c r="AA459" t="s">
        <v>353</v>
      </c>
      <c r="AB459" t="s">
        <v>297</v>
      </c>
      <c r="AC459" t="s">
        <v>301</v>
      </c>
      <c r="AD459" t="s">
        <v>293</v>
      </c>
      <c r="AE459" t="s">
        <v>292</v>
      </c>
      <c r="AF459" t="s">
        <v>292</v>
      </c>
      <c r="AG459" t="s">
        <v>293</v>
      </c>
      <c r="AH459" t="s">
        <v>293</v>
      </c>
      <c r="AI459" t="s">
        <v>302</v>
      </c>
      <c r="AJ459" t="s">
        <v>302</v>
      </c>
      <c r="AK459" t="s">
        <v>359</v>
      </c>
      <c r="AL459" t="s">
        <v>293</v>
      </c>
      <c r="AM459" t="s">
        <v>293</v>
      </c>
      <c r="AN459" t="s">
        <v>297</v>
      </c>
      <c r="AO459" t="s">
        <v>356</v>
      </c>
      <c r="AP459" t="s">
        <v>293</v>
      </c>
      <c r="AQ459" t="s">
        <v>292</v>
      </c>
      <c r="AR459" t="s">
        <v>293</v>
      </c>
      <c r="AS459" t="s">
        <v>293</v>
      </c>
      <c r="AT459" t="s">
        <v>364</v>
      </c>
      <c r="AU459" t="str">
        <f t="shared" si="14"/>
        <v>no_fail</v>
      </c>
    </row>
    <row r="460" spans="1:50" x14ac:dyDescent="0.3">
      <c r="A460" t="s">
        <v>9</v>
      </c>
      <c r="B460" t="s">
        <v>70</v>
      </c>
      <c r="C460" t="s">
        <v>22</v>
      </c>
      <c r="D460" t="s">
        <v>29</v>
      </c>
      <c r="E460" t="str">
        <f t="shared" si="15"/>
        <v>P_Z2A-ZSB-S_9B4</v>
      </c>
      <c r="F460" t="b">
        <v>1</v>
      </c>
      <c r="G460">
        <v>34.1</v>
      </c>
      <c r="H460">
        <v>0</v>
      </c>
      <c r="I460">
        <v>18024</v>
      </c>
      <c r="J460" s="61" t="s">
        <v>13</v>
      </c>
      <c r="K460" s="16" t="s">
        <v>272</v>
      </c>
      <c r="L460" s="16">
        <v>3</v>
      </c>
      <c r="M460" s="16" t="s">
        <v>277</v>
      </c>
      <c r="N460" s="16" t="s">
        <v>335</v>
      </c>
      <c r="O460" s="15" t="s">
        <v>282</v>
      </c>
      <c r="P460" t="s">
        <v>371</v>
      </c>
      <c r="Q460" t="s">
        <v>371</v>
      </c>
      <c r="R460" s="17" t="s">
        <v>371</v>
      </c>
      <c r="S460" s="16" t="s">
        <v>341</v>
      </c>
      <c r="T460" s="16" t="s">
        <v>340</v>
      </c>
      <c r="U460" s="15" t="s">
        <v>343</v>
      </c>
      <c r="V460" s="15" t="s">
        <v>344</v>
      </c>
      <c r="W460" s="17"/>
      <c r="X460" t="s">
        <v>349</v>
      </c>
      <c r="Y460" t="s">
        <v>349</v>
      </c>
      <c r="Z460" t="s">
        <v>293</v>
      </c>
      <c r="AA460" t="s">
        <v>353</v>
      </c>
      <c r="AB460" t="s">
        <v>296</v>
      </c>
      <c r="AC460" t="s">
        <v>301</v>
      </c>
      <c r="AD460" t="s">
        <v>293</v>
      </c>
      <c r="AE460" t="s">
        <v>292</v>
      </c>
      <c r="AF460" t="s">
        <v>292</v>
      </c>
      <c r="AG460" t="s">
        <v>292</v>
      </c>
      <c r="AH460" t="s">
        <v>293</v>
      </c>
      <c r="AI460" t="s">
        <v>302</v>
      </c>
      <c r="AJ460" t="s">
        <v>302</v>
      </c>
      <c r="AK460" t="s">
        <v>359</v>
      </c>
      <c r="AL460" t="s">
        <v>293</v>
      </c>
      <c r="AM460" t="s">
        <v>293</v>
      </c>
      <c r="AN460" t="s">
        <v>297</v>
      </c>
      <c r="AO460" t="s">
        <v>356</v>
      </c>
      <c r="AP460" t="s">
        <v>293</v>
      </c>
      <c r="AQ460" t="s">
        <v>292</v>
      </c>
      <c r="AR460" t="s">
        <v>293</v>
      </c>
      <c r="AS460" t="s">
        <v>293</v>
      </c>
      <c r="AT460" t="s">
        <v>364</v>
      </c>
      <c r="AU460" t="str">
        <f t="shared" si="14"/>
        <v>no_fail</v>
      </c>
    </row>
    <row r="461" spans="1:50" hidden="1" x14ac:dyDescent="0.3">
      <c r="A461" t="s">
        <v>381</v>
      </c>
      <c r="B461" t="s">
        <v>288</v>
      </c>
      <c r="C461" t="s">
        <v>678</v>
      </c>
      <c r="D461" t="s">
        <v>288</v>
      </c>
      <c r="E461" t="str">
        <f t="shared" ref="E461:E524" si="16">C461</f>
        <v>0QJQe</v>
      </c>
      <c r="F461" t="b">
        <v>1</v>
      </c>
      <c r="G461">
        <v>58.5</v>
      </c>
      <c r="H461">
        <f t="shared" ref="H461:H524" si="17">IF(G461=100,1,0)</f>
        <v>0</v>
      </c>
      <c r="I461">
        <v>11152</v>
      </c>
      <c r="J461" s="61" t="s">
        <v>13</v>
      </c>
      <c r="K461" t="s">
        <v>272</v>
      </c>
      <c r="L461">
        <v>3</v>
      </c>
      <c r="M461" t="s">
        <v>277</v>
      </c>
      <c r="N461" t="s">
        <v>335</v>
      </c>
      <c r="O461" t="s">
        <v>282</v>
      </c>
      <c r="P461" t="s">
        <v>281</v>
      </c>
      <c r="Q461" t="s">
        <v>371</v>
      </c>
      <c r="R461" t="s">
        <v>371</v>
      </c>
      <c r="S461" t="s">
        <v>341</v>
      </c>
      <c r="T461" t="s">
        <v>340</v>
      </c>
      <c r="U461" t="s">
        <v>343</v>
      </c>
      <c r="V461" t="s">
        <v>345</v>
      </c>
      <c r="W461" s="17"/>
      <c r="X461" t="s">
        <v>349</v>
      </c>
      <c r="Y461" t="s">
        <v>349</v>
      </c>
      <c r="Z461" t="s">
        <v>293</v>
      </c>
      <c r="AA461" t="s">
        <v>685</v>
      </c>
      <c r="AB461" t="s">
        <v>297</v>
      </c>
      <c r="AC461" t="s">
        <v>301</v>
      </c>
      <c r="AD461" t="s">
        <v>292</v>
      </c>
      <c r="AE461" t="s">
        <v>293</v>
      </c>
      <c r="AF461" t="s">
        <v>292</v>
      </c>
      <c r="AG461" t="s">
        <v>293</v>
      </c>
      <c r="AH461" t="s">
        <v>293</v>
      </c>
      <c r="AI461" t="s">
        <v>302</v>
      </c>
      <c r="AJ461" t="s">
        <v>302</v>
      </c>
      <c r="AK461" t="s">
        <v>359</v>
      </c>
      <c r="AL461" t="s">
        <v>293</v>
      </c>
      <c r="AM461" t="s">
        <v>293</v>
      </c>
      <c r="AN461" t="s">
        <v>297</v>
      </c>
      <c r="AO461" t="s">
        <v>298</v>
      </c>
      <c r="AP461" t="s">
        <v>293</v>
      </c>
      <c r="AQ461" t="s">
        <v>292</v>
      </c>
      <c r="AR461" t="s">
        <v>293</v>
      </c>
      <c r="AS461" t="s">
        <v>293</v>
      </c>
      <c r="AT461" t="s">
        <v>364</v>
      </c>
      <c r="AU461" t="str">
        <f>IF(G461=100,"break", IF(J461="fail", "car_water", "no_fail"))</f>
        <v>no_fail</v>
      </c>
      <c r="AW461" t="s">
        <v>679</v>
      </c>
      <c r="AX461" t="s">
        <v>680</v>
      </c>
    </row>
    <row r="462" spans="1:50" hidden="1" x14ac:dyDescent="0.3">
      <c r="A462" t="s">
        <v>381</v>
      </c>
      <c r="B462" t="s">
        <v>288</v>
      </c>
      <c r="C462" t="s">
        <v>561</v>
      </c>
      <c r="D462" t="s">
        <v>288</v>
      </c>
      <c r="E462" t="str">
        <f t="shared" si="16"/>
        <v>0QpXj</v>
      </c>
      <c r="F462" t="b">
        <v>1</v>
      </c>
      <c r="G462">
        <v>56</v>
      </c>
      <c r="H462">
        <f t="shared" si="17"/>
        <v>0</v>
      </c>
      <c r="I462">
        <v>12663</v>
      </c>
      <c r="J462" s="61" t="s">
        <v>13</v>
      </c>
      <c r="K462" t="s">
        <v>272</v>
      </c>
      <c r="L462">
        <v>3</v>
      </c>
      <c r="M462" t="s">
        <v>277</v>
      </c>
      <c r="N462" t="s">
        <v>335</v>
      </c>
      <c r="O462" t="s">
        <v>281</v>
      </c>
      <c r="P462" t="s">
        <v>283</v>
      </c>
      <c r="Q462" t="s">
        <v>282</v>
      </c>
      <c r="R462" t="s">
        <v>371</v>
      </c>
      <c r="S462" t="s">
        <v>341</v>
      </c>
      <c r="T462" t="s">
        <v>340</v>
      </c>
      <c r="U462" t="s">
        <v>343</v>
      </c>
      <c r="V462" t="s">
        <v>345</v>
      </c>
      <c r="W462" s="17" t="s">
        <v>344</v>
      </c>
      <c r="X462" t="s">
        <v>349</v>
      </c>
      <c r="Y462" t="s">
        <v>349</v>
      </c>
      <c r="Z462" t="s">
        <v>293</v>
      </c>
      <c r="AA462" t="s">
        <v>353</v>
      </c>
      <c r="AB462" t="s">
        <v>296</v>
      </c>
      <c r="AC462" t="s">
        <v>301</v>
      </c>
      <c r="AD462" t="s">
        <v>292</v>
      </c>
      <c r="AE462" t="s">
        <v>293</v>
      </c>
      <c r="AF462" t="s">
        <v>292</v>
      </c>
      <c r="AG462" t="s">
        <v>292</v>
      </c>
      <c r="AH462" t="s">
        <v>293</v>
      </c>
      <c r="AI462" t="s">
        <v>302</v>
      </c>
      <c r="AJ462" t="s">
        <v>302</v>
      </c>
      <c r="AK462" t="s">
        <v>359</v>
      </c>
      <c r="AL462" t="s">
        <v>293</v>
      </c>
      <c r="AM462" t="s">
        <v>293</v>
      </c>
      <c r="AN462" t="s">
        <v>297</v>
      </c>
      <c r="AO462" t="s">
        <v>298</v>
      </c>
      <c r="AP462" t="s">
        <v>293</v>
      </c>
      <c r="AQ462" t="s">
        <v>292</v>
      </c>
      <c r="AR462" t="s">
        <v>293</v>
      </c>
      <c r="AS462" t="s">
        <v>293</v>
      </c>
      <c r="AT462" t="s">
        <v>364</v>
      </c>
      <c r="AU462" t="str">
        <f t="shared" ref="AU462:AU525" si="18">IF(G462=100,"break", IF(J462="fail", "car_water", "no_fail"))</f>
        <v>no_fail</v>
      </c>
      <c r="AW462" t="s">
        <v>562</v>
      </c>
      <c r="AX462" t="s">
        <v>563</v>
      </c>
    </row>
    <row r="463" spans="1:50" hidden="1" x14ac:dyDescent="0.3">
      <c r="A463" t="s">
        <v>381</v>
      </c>
      <c r="B463" t="s">
        <v>288</v>
      </c>
      <c r="C463" t="s">
        <v>660</v>
      </c>
      <c r="D463" t="s">
        <v>288</v>
      </c>
      <c r="E463" t="str">
        <f t="shared" si="16"/>
        <v>1ppo0</v>
      </c>
      <c r="F463" t="b">
        <v>1</v>
      </c>
      <c r="G463">
        <v>91.6</v>
      </c>
      <c r="H463">
        <f t="shared" si="17"/>
        <v>0</v>
      </c>
      <c r="I463">
        <v>11036</v>
      </c>
      <c r="J463" s="61" t="s">
        <v>13</v>
      </c>
      <c r="K463" t="s">
        <v>272</v>
      </c>
      <c r="L463">
        <v>3</v>
      </c>
      <c r="M463" t="s">
        <v>277</v>
      </c>
      <c r="N463" t="s">
        <v>335</v>
      </c>
      <c r="O463" t="s">
        <v>282</v>
      </c>
      <c r="P463" t="s">
        <v>371</v>
      </c>
      <c r="Q463" t="s">
        <v>371</v>
      </c>
      <c r="R463" t="s">
        <v>371</v>
      </c>
      <c r="S463" t="s">
        <v>340</v>
      </c>
      <c r="T463" t="s">
        <v>342</v>
      </c>
      <c r="U463" t="s">
        <v>343</v>
      </c>
      <c r="V463" t="s">
        <v>344</v>
      </c>
      <c r="W463" s="17"/>
      <c r="X463" t="s">
        <v>350</v>
      </c>
      <c r="Y463" t="s">
        <v>349</v>
      </c>
      <c r="Z463" t="s">
        <v>293</v>
      </c>
      <c r="AA463" t="s">
        <v>353</v>
      </c>
      <c r="AB463" t="s">
        <v>297</v>
      </c>
      <c r="AC463" t="s">
        <v>300</v>
      </c>
      <c r="AD463" t="s">
        <v>292</v>
      </c>
      <c r="AE463" t="s">
        <v>293</v>
      </c>
      <c r="AF463" t="s">
        <v>292</v>
      </c>
      <c r="AG463" t="s">
        <v>293</v>
      </c>
      <c r="AH463" t="s">
        <v>293</v>
      </c>
      <c r="AI463" t="s">
        <v>302</v>
      </c>
      <c r="AJ463" t="s">
        <v>302</v>
      </c>
      <c r="AK463" t="s">
        <v>359</v>
      </c>
      <c r="AL463" t="s">
        <v>293</v>
      </c>
      <c r="AM463" t="s">
        <v>293</v>
      </c>
      <c r="AN463" t="s">
        <v>297</v>
      </c>
      <c r="AO463" t="s">
        <v>298</v>
      </c>
      <c r="AP463" t="s">
        <v>293</v>
      </c>
      <c r="AQ463" t="s">
        <v>292</v>
      </c>
      <c r="AR463" t="s">
        <v>293</v>
      </c>
      <c r="AS463" t="s">
        <v>293</v>
      </c>
      <c r="AT463" t="s">
        <v>364</v>
      </c>
      <c r="AU463" t="str">
        <f t="shared" si="18"/>
        <v>no_fail</v>
      </c>
      <c r="AW463" t="s">
        <v>661</v>
      </c>
      <c r="AX463" t="s">
        <v>662</v>
      </c>
    </row>
    <row r="464" spans="1:50" hidden="1" x14ac:dyDescent="0.3">
      <c r="A464" t="s">
        <v>381</v>
      </c>
      <c r="B464" t="s">
        <v>288</v>
      </c>
      <c r="C464" t="s">
        <v>444</v>
      </c>
      <c r="D464" t="s">
        <v>288</v>
      </c>
      <c r="E464" t="str">
        <f t="shared" si="16"/>
        <v>1qe8G</v>
      </c>
      <c r="F464" t="b">
        <v>1</v>
      </c>
      <c r="G464">
        <v>48.5</v>
      </c>
      <c r="H464">
        <f t="shared" si="17"/>
        <v>0</v>
      </c>
      <c r="I464">
        <v>12524</v>
      </c>
      <c r="J464" s="61" t="s">
        <v>13</v>
      </c>
      <c r="K464" t="s">
        <v>272</v>
      </c>
      <c r="L464">
        <v>3</v>
      </c>
      <c r="M464" t="s">
        <v>277</v>
      </c>
      <c r="N464" t="s">
        <v>335</v>
      </c>
      <c r="O464" t="s">
        <v>282</v>
      </c>
      <c r="P464" t="s">
        <v>371</v>
      </c>
      <c r="Q464" t="s">
        <v>371</v>
      </c>
      <c r="R464" t="s">
        <v>371</v>
      </c>
      <c r="S464" t="s">
        <v>341</v>
      </c>
      <c r="T464" t="s">
        <v>340</v>
      </c>
      <c r="U464" t="s">
        <v>343</v>
      </c>
      <c r="V464" t="s">
        <v>344</v>
      </c>
      <c r="W464" s="17"/>
      <c r="X464" t="s">
        <v>349</v>
      </c>
      <c r="Y464" t="s">
        <v>349</v>
      </c>
      <c r="Z464" t="s">
        <v>293</v>
      </c>
      <c r="AA464" t="s">
        <v>353</v>
      </c>
      <c r="AB464" t="s">
        <v>355</v>
      </c>
      <c r="AC464" t="s">
        <v>300</v>
      </c>
      <c r="AD464" t="s">
        <v>292</v>
      </c>
      <c r="AE464" t="s">
        <v>293</v>
      </c>
      <c r="AF464" t="s">
        <v>292</v>
      </c>
      <c r="AG464" t="s">
        <v>292</v>
      </c>
      <c r="AH464" t="s">
        <v>293</v>
      </c>
      <c r="AI464" t="s">
        <v>302</v>
      </c>
      <c r="AJ464" t="s">
        <v>302</v>
      </c>
      <c r="AK464" t="s">
        <v>359</v>
      </c>
      <c r="AL464" t="s">
        <v>293</v>
      </c>
      <c r="AM464" t="s">
        <v>293</v>
      </c>
      <c r="AN464" t="s">
        <v>297</v>
      </c>
      <c r="AO464" t="s">
        <v>298</v>
      </c>
      <c r="AP464" t="s">
        <v>293</v>
      </c>
      <c r="AQ464" t="s">
        <v>292</v>
      </c>
      <c r="AR464" t="s">
        <v>293</v>
      </c>
      <c r="AS464" t="s">
        <v>293</v>
      </c>
      <c r="AT464" t="s">
        <v>364</v>
      </c>
      <c r="AU464" t="str">
        <f t="shared" si="18"/>
        <v>no_fail</v>
      </c>
      <c r="AW464" t="s">
        <v>445</v>
      </c>
      <c r="AX464" t="s">
        <v>446</v>
      </c>
    </row>
    <row r="465" spans="1:50" hidden="1" x14ac:dyDescent="0.3">
      <c r="A465" t="s">
        <v>381</v>
      </c>
      <c r="B465" t="s">
        <v>288</v>
      </c>
      <c r="C465" t="s">
        <v>549</v>
      </c>
      <c r="D465" t="s">
        <v>288</v>
      </c>
      <c r="E465" t="str">
        <f t="shared" si="16"/>
        <v>2qlDd</v>
      </c>
      <c r="F465" t="b">
        <v>1</v>
      </c>
      <c r="G465">
        <v>88.7</v>
      </c>
      <c r="H465">
        <f t="shared" si="17"/>
        <v>0</v>
      </c>
      <c r="I465">
        <v>9863</v>
      </c>
      <c r="J465" s="61" t="s">
        <v>13</v>
      </c>
      <c r="K465" t="s">
        <v>272</v>
      </c>
      <c r="L465">
        <v>3</v>
      </c>
      <c r="M465" t="s">
        <v>277</v>
      </c>
      <c r="N465" t="s">
        <v>335</v>
      </c>
      <c r="O465" t="s">
        <v>282</v>
      </c>
      <c r="P465" t="s">
        <v>371</v>
      </c>
      <c r="Q465" t="s">
        <v>371</v>
      </c>
      <c r="R465" t="s">
        <v>371</v>
      </c>
      <c r="S465" t="s">
        <v>341</v>
      </c>
      <c r="T465" t="s">
        <v>342</v>
      </c>
      <c r="U465" t="s">
        <v>343</v>
      </c>
      <c r="V465" t="s">
        <v>345</v>
      </c>
      <c r="W465" s="17"/>
      <c r="X465" t="s">
        <v>349</v>
      </c>
      <c r="Y465" t="s">
        <v>349</v>
      </c>
      <c r="Z465" t="s">
        <v>293</v>
      </c>
      <c r="AA465" t="s">
        <v>353</v>
      </c>
      <c r="AB465" t="s">
        <v>297</v>
      </c>
      <c r="AC465" t="s">
        <v>300</v>
      </c>
      <c r="AD465" t="s">
        <v>292</v>
      </c>
      <c r="AE465" t="s">
        <v>293</v>
      </c>
      <c r="AF465" t="s">
        <v>292</v>
      </c>
      <c r="AG465" t="s">
        <v>293</v>
      </c>
      <c r="AH465" t="s">
        <v>293</v>
      </c>
      <c r="AI465" t="s">
        <v>302</v>
      </c>
      <c r="AJ465" t="s">
        <v>302</v>
      </c>
      <c r="AK465" t="s">
        <v>359</v>
      </c>
      <c r="AL465" t="s">
        <v>293</v>
      </c>
      <c r="AM465" t="s">
        <v>293</v>
      </c>
      <c r="AN465" t="s">
        <v>297</v>
      </c>
      <c r="AO465" t="s">
        <v>298</v>
      </c>
      <c r="AP465" t="s">
        <v>293</v>
      </c>
      <c r="AQ465" t="s">
        <v>292</v>
      </c>
      <c r="AR465" t="s">
        <v>293</v>
      </c>
      <c r="AS465" t="s">
        <v>293</v>
      </c>
      <c r="AT465" t="s">
        <v>364</v>
      </c>
      <c r="AU465" t="str">
        <f t="shared" si="18"/>
        <v>no_fail</v>
      </c>
      <c r="AW465" t="s">
        <v>550</v>
      </c>
      <c r="AX465" t="s">
        <v>551</v>
      </c>
    </row>
    <row r="466" spans="1:50" hidden="1" x14ac:dyDescent="0.3">
      <c r="A466" t="s">
        <v>381</v>
      </c>
      <c r="B466" t="s">
        <v>288</v>
      </c>
      <c r="C466" t="s">
        <v>486</v>
      </c>
      <c r="D466" t="s">
        <v>288</v>
      </c>
      <c r="E466" t="str">
        <f t="shared" si="16"/>
        <v>339l9</v>
      </c>
      <c r="F466" t="b">
        <v>1</v>
      </c>
      <c r="G466">
        <v>84.9</v>
      </c>
      <c r="H466">
        <f t="shared" si="17"/>
        <v>0</v>
      </c>
      <c r="I466">
        <v>8310</v>
      </c>
      <c r="J466" s="61" t="s">
        <v>13</v>
      </c>
      <c r="K466" t="s">
        <v>272</v>
      </c>
      <c r="L466">
        <v>3</v>
      </c>
      <c r="M466" t="s">
        <v>277</v>
      </c>
      <c r="N466" t="s">
        <v>335</v>
      </c>
      <c r="O466" t="s">
        <v>285</v>
      </c>
      <c r="P466" t="s">
        <v>282</v>
      </c>
      <c r="Q466" t="s">
        <v>371</v>
      </c>
      <c r="R466" t="s">
        <v>371</v>
      </c>
      <c r="S466" t="s">
        <v>341</v>
      </c>
      <c r="T466" t="s">
        <v>342</v>
      </c>
      <c r="U466" t="s">
        <v>343</v>
      </c>
      <c r="V466" t="s">
        <v>345</v>
      </c>
      <c r="W466" s="17"/>
      <c r="X466" t="s">
        <v>349</v>
      </c>
      <c r="Y466" t="s">
        <v>349</v>
      </c>
      <c r="Z466" t="s">
        <v>293</v>
      </c>
      <c r="AA466" t="s">
        <v>353</v>
      </c>
      <c r="AB466" t="s">
        <v>297</v>
      </c>
      <c r="AC466" t="s">
        <v>300</v>
      </c>
      <c r="AD466" t="s">
        <v>292</v>
      </c>
      <c r="AE466" t="s">
        <v>293</v>
      </c>
      <c r="AF466" t="s">
        <v>292</v>
      </c>
      <c r="AG466" t="s">
        <v>293</v>
      </c>
      <c r="AH466" t="s">
        <v>293</v>
      </c>
      <c r="AI466" t="s">
        <v>302</v>
      </c>
      <c r="AJ466" t="s">
        <v>302</v>
      </c>
      <c r="AK466" t="s">
        <v>359</v>
      </c>
      <c r="AL466" t="s">
        <v>293</v>
      </c>
      <c r="AM466" t="s">
        <v>293</v>
      </c>
      <c r="AN466" t="s">
        <v>297</v>
      </c>
      <c r="AO466" t="s">
        <v>298</v>
      </c>
      <c r="AP466" t="s">
        <v>293</v>
      </c>
      <c r="AQ466" t="s">
        <v>292</v>
      </c>
      <c r="AR466" t="s">
        <v>293</v>
      </c>
      <c r="AS466" t="s">
        <v>293</v>
      </c>
      <c r="AT466" t="s">
        <v>364</v>
      </c>
      <c r="AU466" t="str">
        <f t="shared" si="18"/>
        <v>no_fail</v>
      </c>
      <c r="AW466" t="s">
        <v>487</v>
      </c>
      <c r="AX466" t="s">
        <v>488</v>
      </c>
    </row>
    <row r="467" spans="1:50" hidden="1" x14ac:dyDescent="0.3">
      <c r="A467" t="s">
        <v>381</v>
      </c>
      <c r="B467" t="s">
        <v>288</v>
      </c>
      <c r="C467" t="s">
        <v>510</v>
      </c>
      <c r="D467" t="s">
        <v>288</v>
      </c>
      <c r="E467" t="str">
        <f t="shared" si="16"/>
        <v>45Pq6</v>
      </c>
      <c r="F467" t="b">
        <v>1</v>
      </c>
      <c r="G467">
        <v>100</v>
      </c>
      <c r="H467">
        <f t="shared" si="17"/>
        <v>1</v>
      </c>
      <c r="I467">
        <v>15102</v>
      </c>
      <c r="J467" s="61" t="s">
        <v>18</v>
      </c>
      <c r="K467" t="s">
        <v>272</v>
      </c>
      <c r="L467">
        <v>2</v>
      </c>
      <c r="M467" t="s">
        <v>277</v>
      </c>
      <c r="N467" t="s">
        <v>335</v>
      </c>
      <c r="O467" t="s">
        <v>283</v>
      </c>
      <c r="P467" t="s">
        <v>284</v>
      </c>
      <c r="Q467" t="s">
        <v>371</v>
      </c>
      <c r="R467" t="s">
        <v>371</v>
      </c>
      <c r="S467" t="s">
        <v>341</v>
      </c>
      <c r="T467" t="s">
        <v>340</v>
      </c>
      <c r="U467" t="s">
        <v>340</v>
      </c>
      <c r="V467" t="s">
        <v>291</v>
      </c>
      <c r="W467" s="17"/>
      <c r="X467" t="s">
        <v>349</v>
      </c>
      <c r="Y467" t="s">
        <v>349</v>
      </c>
      <c r="Z467" t="s">
        <v>293</v>
      </c>
      <c r="AA467" t="s">
        <v>354</v>
      </c>
      <c r="AB467" t="s">
        <v>354</v>
      </c>
      <c r="AC467" t="s">
        <v>301</v>
      </c>
      <c r="AD467" t="s">
        <v>292</v>
      </c>
      <c r="AE467" t="s">
        <v>293</v>
      </c>
      <c r="AF467" t="s">
        <v>292</v>
      </c>
      <c r="AG467" t="s">
        <v>292</v>
      </c>
      <c r="AH467" t="s">
        <v>293</v>
      </c>
      <c r="AI467" t="s">
        <v>302</v>
      </c>
      <c r="AJ467" t="s">
        <v>302</v>
      </c>
      <c r="AK467" t="s">
        <v>357</v>
      </c>
      <c r="AL467" t="s">
        <v>293</v>
      </c>
      <c r="AM467" t="s">
        <v>293</v>
      </c>
      <c r="AN467" t="s">
        <v>296</v>
      </c>
      <c r="AO467" t="s">
        <v>298</v>
      </c>
      <c r="AP467" t="s">
        <v>293</v>
      </c>
      <c r="AQ467" t="s">
        <v>292</v>
      </c>
      <c r="AR467" t="s">
        <v>293</v>
      </c>
      <c r="AS467" t="s">
        <v>293</v>
      </c>
      <c r="AT467" t="s">
        <v>364</v>
      </c>
      <c r="AU467" t="str">
        <f t="shared" si="18"/>
        <v>break</v>
      </c>
      <c r="AW467" t="s">
        <v>511</v>
      </c>
      <c r="AX467" t="s">
        <v>512</v>
      </c>
    </row>
    <row r="468" spans="1:50" hidden="1" x14ac:dyDescent="0.3">
      <c r="A468" t="s">
        <v>381</v>
      </c>
      <c r="B468" t="s">
        <v>288</v>
      </c>
      <c r="C468" t="s">
        <v>627</v>
      </c>
      <c r="D468" t="s">
        <v>288</v>
      </c>
      <c r="E468" t="str">
        <f t="shared" si="16"/>
        <v>4Ld2q</v>
      </c>
      <c r="F468" t="b">
        <v>1</v>
      </c>
      <c r="G468">
        <v>60.4</v>
      </c>
      <c r="H468">
        <f t="shared" si="17"/>
        <v>0</v>
      </c>
      <c r="I468">
        <v>23683</v>
      </c>
      <c r="J468" s="61" t="s">
        <v>13</v>
      </c>
      <c r="K468" t="s">
        <v>272</v>
      </c>
      <c r="L468">
        <v>2</v>
      </c>
      <c r="M468" t="s">
        <v>277</v>
      </c>
      <c r="N468" t="s">
        <v>335</v>
      </c>
      <c r="O468" t="s">
        <v>282</v>
      </c>
      <c r="P468" t="s">
        <v>371</v>
      </c>
      <c r="Q468" t="s">
        <v>371</v>
      </c>
      <c r="R468" t="s">
        <v>371</v>
      </c>
      <c r="S468" t="s">
        <v>341</v>
      </c>
      <c r="T468" t="s">
        <v>340</v>
      </c>
      <c r="U468" t="s">
        <v>340</v>
      </c>
      <c r="V468" t="s">
        <v>377</v>
      </c>
      <c r="W468" s="17"/>
      <c r="X468" t="s">
        <v>349</v>
      </c>
      <c r="Y468" t="s">
        <v>349</v>
      </c>
      <c r="Z468" t="s">
        <v>293</v>
      </c>
      <c r="AA468" t="s">
        <v>354</v>
      </c>
      <c r="AB468" t="s">
        <v>354</v>
      </c>
      <c r="AC468" t="s">
        <v>300</v>
      </c>
      <c r="AD468" t="s">
        <v>293</v>
      </c>
      <c r="AE468" t="s">
        <v>292</v>
      </c>
      <c r="AF468" t="s">
        <v>293</v>
      </c>
      <c r="AG468" t="s">
        <v>292</v>
      </c>
      <c r="AH468" t="s">
        <v>293</v>
      </c>
      <c r="AI468" t="s">
        <v>302</v>
      </c>
      <c r="AJ468" t="s">
        <v>302</v>
      </c>
      <c r="AK468" t="s">
        <v>357</v>
      </c>
      <c r="AL468" t="s">
        <v>293</v>
      </c>
      <c r="AM468" t="s">
        <v>293</v>
      </c>
      <c r="AN468" t="s">
        <v>296</v>
      </c>
      <c r="AO468" t="s">
        <v>356</v>
      </c>
      <c r="AP468" t="s">
        <v>293</v>
      </c>
      <c r="AQ468" t="s">
        <v>292</v>
      </c>
      <c r="AR468" t="s">
        <v>293</v>
      </c>
      <c r="AS468" t="s">
        <v>293</v>
      </c>
      <c r="AT468" t="s">
        <v>364</v>
      </c>
      <c r="AU468" t="str">
        <f t="shared" si="18"/>
        <v>no_fail</v>
      </c>
      <c r="AW468" t="s">
        <v>628</v>
      </c>
      <c r="AX468" t="s">
        <v>629</v>
      </c>
    </row>
    <row r="469" spans="1:50" hidden="1" x14ac:dyDescent="0.3">
      <c r="A469" t="s">
        <v>381</v>
      </c>
      <c r="B469" t="s">
        <v>288</v>
      </c>
      <c r="C469" t="s">
        <v>564</v>
      </c>
      <c r="D469" t="s">
        <v>288</v>
      </c>
      <c r="E469" t="str">
        <f t="shared" si="16"/>
        <v>4XWll</v>
      </c>
      <c r="F469" t="b">
        <v>1</v>
      </c>
      <c r="G469">
        <v>99.6</v>
      </c>
      <c r="H469">
        <f t="shared" si="17"/>
        <v>0</v>
      </c>
      <c r="I469">
        <v>7781</v>
      </c>
      <c r="J469" s="61" t="s">
        <v>13</v>
      </c>
      <c r="K469" t="s">
        <v>272</v>
      </c>
      <c r="L469">
        <v>3</v>
      </c>
      <c r="M469" t="s">
        <v>277</v>
      </c>
      <c r="N469" t="s">
        <v>335</v>
      </c>
      <c r="O469" t="s">
        <v>282</v>
      </c>
      <c r="P469" t="s">
        <v>371</v>
      </c>
      <c r="Q469" t="s">
        <v>371</v>
      </c>
      <c r="R469" t="s">
        <v>371</v>
      </c>
      <c r="S469" t="s">
        <v>341</v>
      </c>
      <c r="T469" t="s">
        <v>342</v>
      </c>
      <c r="U469" t="s">
        <v>343</v>
      </c>
      <c r="V469" t="s">
        <v>345</v>
      </c>
      <c r="W469" s="17"/>
      <c r="X469" t="s">
        <v>349</v>
      </c>
      <c r="Y469" t="s">
        <v>349</v>
      </c>
      <c r="Z469" t="s">
        <v>293</v>
      </c>
      <c r="AA469" t="s">
        <v>294</v>
      </c>
      <c r="AB469" t="s">
        <v>297</v>
      </c>
      <c r="AC469" t="s">
        <v>299</v>
      </c>
      <c r="AD469" t="s">
        <v>292</v>
      </c>
      <c r="AE469" t="s">
        <v>293</v>
      </c>
      <c r="AF469" t="s">
        <v>292</v>
      </c>
      <c r="AG469" t="s">
        <v>293</v>
      </c>
      <c r="AH469" t="s">
        <v>293</v>
      </c>
      <c r="AI469" t="s">
        <v>302</v>
      </c>
      <c r="AJ469" t="s">
        <v>302</v>
      </c>
      <c r="AK469" t="s">
        <v>359</v>
      </c>
      <c r="AL469" t="s">
        <v>293</v>
      </c>
      <c r="AM469" t="s">
        <v>293</v>
      </c>
      <c r="AN469" t="s">
        <v>297</v>
      </c>
      <c r="AO469" t="s">
        <v>298</v>
      </c>
      <c r="AP469" t="s">
        <v>360</v>
      </c>
      <c r="AQ469" t="s">
        <v>292</v>
      </c>
      <c r="AR469" t="s">
        <v>362</v>
      </c>
      <c r="AS469" t="s">
        <v>293</v>
      </c>
      <c r="AT469" t="s">
        <v>364</v>
      </c>
      <c r="AU469" t="str">
        <f t="shared" si="18"/>
        <v>no_fail</v>
      </c>
      <c r="AW469" t="s">
        <v>565</v>
      </c>
      <c r="AX469" t="s">
        <v>566</v>
      </c>
    </row>
    <row r="470" spans="1:50" hidden="1" x14ac:dyDescent="0.3">
      <c r="A470" t="s">
        <v>381</v>
      </c>
      <c r="B470" t="s">
        <v>288</v>
      </c>
      <c r="C470" t="s">
        <v>630</v>
      </c>
      <c r="D470" t="s">
        <v>288</v>
      </c>
      <c r="E470" t="str">
        <f t="shared" si="16"/>
        <v>5G1B5</v>
      </c>
      <c r="F470" t="b">
        <v>1</v>
      </c>
      <c r="G470">
        <v>100</v>
      </c>
      <c r="H470">
        <f t="shared" si="17"/>
        <v>1</v>
      </c>
      <c r="I470">
        <v>15843</v>
      </c>
      <c r="J470" s="61" t="s">
        <v>18</v>
      </c>
      <c r="K470" t="s">
        <v>272</v>
      </c>
      <c r="L470">
        <v>3</v>
      </c>
      <c r="M470" t="s">
        <v>277</v>
      </c>
      <c r="N470" t="s">
        <v>335</v>
      </c>
      <c r="O470" t="s">
        <v>284</v>
      </c>
      <c r="P470" t="s">
        <v>282</v>
      </c>
      <c r="Q470" t="s">
        <v>371</v>
      </c>
      <c r="R470" t="s">
        <v>371</v>
      </c>
      <c r="S470" t="s">
        <v>341</v>
      </c>
      <c r="T470" t="s">
        <v>340</v>
      </c>
      <c r="U470" t="s">
        <v>340</v>
      </c>
      <c r="V470" t="s">
        <v>344</v>
      </c>
      <c r="W470" s="17" t="s">
        <v>291</v>
      </c>
      <c r="X470" t="s">
        <v>349</v>
      </c>
      <c r="Y470" t="s">
        <v>349</v>
      </c>
      <c r="Z470" t="s">
        <v>293</v>
      </c>
      <c r="AA470" t="s">
        <v>354</v>
      </c>
      <c r="AB470" t="s">
        <v>354</v>
      </c>
      <c r="AC470" t="s">
        <v>301</v>
      </c>
      <c r="AD470" t="s">
        <v>292</v>
      </c>
      <c r="AE470" t="s">
        <v>292</v>
      </c>
      <c r="AF470" t="s">
        <v>292</v>
      </c>
      <c r="AG470" t="s">
        <v>292</v>
      </c>
      <c r="AH470" t="s">
        <v>293</v>
      </c>
      <c r="AI470" t="s">
        <v>302</v>
      </c>
      <c r="AJ470" t="s">
        <v>358</v>
      </c>
      <c r="AK470" t="s">
        <v>358</v>
      </c>
      <c r="AL470" t="s">
        <v>293</v>
      </c>
      <c r="AM470" t="s">
        <v>293</v>
      </c>
      <c r="AN470" t="s">
        <v>296</v>
      </c>
      <c r="AO470" t="s">
        <v>356</v>
      </c>
      <c r="AP470" t="s">
        <v>293</v>
      </c>
      <c r="AQ470" t="s">
        <v>292</v>
      </c>
      <c r="AR470" t="s">
        <v>293</v>
      </c>
      <c r="AS470" t="s">
        <v>293</v>
      </c>
      <c r="AT470" t="s">
        <v>364</v>
      </c>
      <c r="AU470" t="str">
        <f t="shared" si="18"/>
        <v>break</v>
      </c>
      <c r="AW470" t="s">
        <v>631</v>
      </c>
      <c r="AX470" t="s">
        <v>632</v>
      </c>
    </row>
    <row r="471" spans="1:50" hidden="1" x14ac:dyDescent="0.3">
      <c r="A471" t="s">
        <v>381</v>
      </c>
      <c r="B471" t="s">
        <v>288</v>
      </c>
      <c r="C471" t="s">
        <v>519</v>
      </c>
      <c r="D471" t="s">
        <v>288</v>
      </c>
      <c r="E471" t="str">
        <f t="shared" si="16"/>
        <v>5Xo9p</v>
      </c>
      <c r="F471" t="b">
        <v>1</v>
      </c>
      <c r="G471">
        <v>90.8</v>
      </c>
      <c r="H471">
        <f t="shared" si="17"/>
        <v>0</v>
      </c>
      <c r="I471">
        <v>7689</v>
      </c>
      <c r="J471" s="61" t="s">
        <v>13</v>
      </c>
      <c r="K471" t="s">
        <v>272</v>
      </c>
      <c r="L471">
        <v>3</v>
      </c>
      <c r="M471" t="s">
        <v>277</v>
      </c>
      <c r="N471" t="s">
        <v>335</v>
      </c>
      <c r="O471" t="s">
        <v>282</v>
      </c>
      <c r="P471" t="s">
        <v>371</v>
      </c>
      <c r="Q471" t="s">
        <v>371</v>
      </c>
      <c r="R471" t="s">
        <v>371</v>
      </c>
      <c r="S471" t="s">
        <v>341</v>
      </c>
      <c r="T471" t="s">
        <v>342</v>
      </c>
      <c r="U471" t="s">
        <v>343</v>
      </c>
      <c r="V471" t="s">
        <v>345</v>
      </c>
      <c r="W471" s="17"/>
      <c r="X471" t="s">
        <v>350</v>
      </c>
      <c r="Y471" t="s">
        <v>349</v>
      </c>
      <c r="Z471" t="s">
        <v>293</v>
      </c>
      <c r="AA471" t="s">
        <v>294</v>
      </c>
      <c r="AB471" t="s">
        <v>297</v>
      </c>
      <c r="AC471" t="s">
        <v>299</v>
      </c>
      <c r="AD471" t="s">
        <v>292</v>
      </c>
      <c r="AE471" t="s">
        <v>293</v>
      </c>
      <c r="AF471" t="s">
        <v>292</v>
      </c>
      <c r="AG471" t="s">
        <v>293</v>
      </c>
      <c r="AH471" t="s">
        <v>293</v>
      </c>
      <c r="AI471" t="s">
        <v>302</v>
      </c>
      <c r="AJ471" t="s">
        <v>302</v>
      </c>
      <c r="AK471" t="s">
        <v>359</v>
      </c>
      <c r="AL471" t="s">
        <v>293</v>
      </c>
      <c r="AM471" t="s">
        <v>293</v>
      </c>
      <c r="AN471" t="s">
        <v>297</v>
      </c>
      <c r="AO471" t="s">
        <v>298</v>
      </c>
      <c r="AP471" t="s">
        <v>360</v>
      </c>
      <c r="AQ471" t="s">
        <v>292</v>
      </c>
      <c r="AR471" t="s">
        <v>293</v>
      </c>
      <c r="AS471" t="s">
        <v>293</v>
      </c>
      <c r="AT471" t="s">
        <v>364</v>
      </c>
      <c r="AU471" t="str">
        <f t="shared" si="18"/>
        <v>no_fail</v>
      </c>
      <c r="AW471" t="s">
        <v>520</v>
      </c>
      <c r="AX471" t="s">
        <v>521</v>
      </c>
    </row>
    <row r="472" spans="1:50" hidden="1" x14ac:dyDescent="0.3">
      <c r="A472" t="s">
        <v>381</v>
      </c>
      <c r="B472" t="s">
        <v>288</v>
      </c>
      <c r="C472" t="s">
        <v>582</v>
      </c>
      <c r="D472" t="s">
        <v>288</v>
      </c>
      <c r="E472" t="str">
        <f t="shared" si="16"/>
        <v>7lOE6</v>
      </c>
      <c r="F472" t="b">
        <v>1</v>
      </c>
      <c r="G472">
        <v>99.3</v>
      </c>
      <c r="H472">
        <f t="shared" si="17"/>
        <v>0</v>
      </c>
      <c r="I472">
        <v>8518</v>
      </c>
      <c r="J472" s="61" t="s">
        <v>13</v>
      </c>
      <c r="K472" t="s">
        <v>272</v>
      </c>
      <c r="L472">
        <v>3</v>
      </c>
      <c r="M472" t="s">
        <v>277</v>
      </c>
      <c r="N472" t="s">
        <v>335</v>
      </c>
      <c r="O472" t="s">
        <v>282</v>
      </c>
      <c r="P472" t="s">
        <v>339</v>
      </c>
      <c r="Q472" t="s">
        <v>371</v>
      </c>
      <c r="R472" t="s">
        <v>371</v>
      </c>
      <c r="S472" t="s">
        <v>341</v>
      </c>
      <c r="T472" t="s">
        <v>340</v>
      </c>
      <c r="U472" t="s">
        <v>343</v>
      </c>
      <c r="V472" t="s">
        <v>345</v>
      </c>
      <c r="W472" s="17"/>
      <c r="X472" t="s">
        <v>349</v>
      </c>
      <c r="Y472" t="s">
        <v>349</v>
      </c>
      <c r="Z472" t="s">
        <v>293</v>
      </c>
      <c r="AA472" t="s">
        <v>353</v>
      </c>
      <c r="AB472" t="s">
        <v>297</v>
      </c>
      <c r="AC472" t="s">
        <v>299</v>
      </c>
      <c r="AD472" t="s">
        <v>292</v>
      </c>
      <c r="AE472" t="s">
        <v>293</v>
      </c>
      <c r="AF472" t="s">
        <v>292</v>
      </c>
      <c r="AG472" t="s">
        <v>293</v>
      </c>
      <c r="AH472" t="s">
        <v>293</v>
      </c>
      <c r="AI472" t="s">
        <v>302</v>
      </c>
      <c r="AJ472" t="s">
        <v>302</v>
      </c>
      <c r="AK472" t="s">
        <v>359</v>
      </c>
      <c r="AL472" t="s">
        <v>293</v>
      </c>
      <c r="AM472" t="s">
        <v>293</v>
      </c>
      <c r="AN472" t="s">
        <v>297</v>
      </c>
      <c r="AO472" t="s">
        <v>298</v>
      </c>
      <c r="AP472" t="s">
        <v>293</v>
      </c>
      <c r="AQ472" t="s">
        <v>292</v>
      </c>
      <c r="AR472" t="s">
        <v>363</v>
      </c>
      <c r="AS472" t="s">
        <v>293</v>
      </c>
      <c r="AT472" t="s">
        <v>364</v>
      </c>
      <c r="AU472" t="str">
        <f t="shared" si="18"/>
        <v>no_fail</v>
      </c>
      <c r="AW472" t="s">
        <v>583</v>
      </c>
      <c r="AX472" t="s">
        <v>584</v>
      </c>
    </row>
    <row r="473" spans="1:50" hidden="1" x14ac:dyDescent="0.3">
      <c r="A473" t="s">
        <v>381</v>
      </c>
      <c r="B473" t="s">
        <v>288</v>
      </c>
      <c r="C473" t="s">
        <v>399</v>
      </c>
      <c r="D473" t="s">
        <v>288</v>
      </c>
      <c r="E473" t="str">
        <f t="shared" si="16"/>
        <v>7Rkox</v>
      </c>
      <c r="F473" t="b">
        <v>1</v>
      </c>
      <c r="G473">
        <v>60.8</v>
      </c>
      <c r="H473">
        <f t="shared" si="17"/>
        <v>0</v>
      </c>
      <c r="I473">
        <v>14246</v>
      </c>
      <c r="J473" s="61" t="s">
        <v>18</v>
      </c>
      <c r="K473" t="s">
        <v>273</v>
      </c>
      <c r="L473">
        <v>2</v>
      </c>
      <c r="M473" t="s">
        <v>333</v>
      </c>
      <c r="N473" t="s">
        <v>278</v>
      </c>
      <c r="O473" t="s">
        <v>281</v>
      </c>
      <c r="P473" t="s">
        <v>283</v>
      </c>
      <c r="Q473" t="s">
        <v>371</v>
      </c>
      <c r="R473" t="s">
        <v>371</v>
      </c>
      <c r="S473" t="s">
        <v>341</v>
      </c>
      <c r="T473" t="s">
        <v>340</v>
      </c>
      <c r="U473" t="s">
        <v>343</v>
      </c>
      <c r="V473" t="s">
        <v>344</v>
      </c>
      <c r="W473" s="17" t="s">
        <v>347</v>
      </c>
      <c r="X473" t="s">
        <v>349</v>
      </c>
      <c r="Y473" t="s">
        <v>349</v>
      </c>
      <c r="Z473" t="s">
        <v>293</v>
      </c>
      <c r="AA473" t="s">
        <v>353</v>
      </c>
      <c r="AB473" t="s">
        <v>296</v>
      </c>
      <c r="AC473" t="s">
        <v>300</v>
      </c>
      <c r="AD473" t="s">
        <v>292</v>
      </c>
      <c r="AE473" t="s">
        <v>292</v>
      </c>
      <c r="AF473" t="s">
        <v>292</v>
      </c>
      <c r="AG473" t="s">
        <v>292</v>
      </c>
      <c r="AH473" t="s">
        <v>293</v>
      </c>
      <c r="AI473" t="s">
        <v>302</v>
      </c>
      <c r="AJ473" t="s">
        <v>357</v>
      </c>
      <c r="AK473" t="s">
        <v>359</v>
      </c>
      <c r="AL473" t="s">
        <v>293</v>
      </c>
      <c r="AM473" t="s">
        <v>293</v>
      </c>
      <c r="AN473" t="s">
        <v>297</v>
      </c>
      <c r="AO473" t="s">
        <v>356</v>
      </c>
      <c r="AP473" t="s">
        <v>293</v>
      </c>
      <c r="AQ473" t="s">
        <v>292</v>
      </c>
      <c r="AR473" t="s">
        <v>293</v>
      </c>
      <c r="AS473" t="s">
        <v>293</v>
      </c>
      <c r="AT473" t="s">
        <v>364</v>
      </c>
      <c r="AU473" t="str">
        <f t="shared" si="18"/>
        <v>car_water</v>
      </c>
      <c r="AW473" t="s">
        <v>400</v>
      </c>
      <c r="AX473" t="s">
        <v>401</v>
      </c>
    </row>
    <row r="474" spans="1:50" hidden="1" x14ac:dyDescent="0.3">
      <c r="A474" t="s">
        <v>381</v>
      </c>
      <c r="B474" t="s">
        <v>288</v>
      </c>
      <c r="C474" t="s">
        <v>393</v>
      </c>
      <c r="D474" t="s">
        <v>288</v>
      </c>
      <c r="E474" t="str">
        <f t="shared" si="16"/>
        <v>8w7rl</v>
      </c>
      <c r="F474" t="b">
        <v>1</v>
      </c>
      <c r="G474">
        <v>84.7</v>
      </c>
      <c r="H474">
        <f t="shared" si="17"/>
        <v>0</v>
      </c>
      <c r="I474">
        <v>8253</v>
      </c>
      <c r="J474" s="61" t="s">
        <v>13</v>
      </c>
      <c r="K474" t="s">
        <v>272</v>
      </c>
      <c r="L474">
        <v>3</v>
      </c>
      <c r="M474" t="s">
        <v>277</v>
      </c>
      <c r="N474" t="s">
        <v>335</v>
      </c>
      <c r="O474" t="s">
        <v>282</v>
      </c>
      <c r="P474" t="s">
        <v>371</v>
      </c>
      <c r="Q474" t="s">
        <v>371</v>
      </c>
      <c r="R474" t="s">
        <v>371</v>
      </c>
      <c r="S474" t="s">
        <v>341</v>
      </c>
      <c r="T474" t="s">
        <v>342</v>
      </c>
      <c r="U474" t="s">
        <v>343</v>
      </c>
      <c r="V474" t="s">
        <v>345</v>
      </c>
      <c r="W474" s="17" t="s">
        <v>344</v>
      </c>
      <c r="X474" t="s">
        <v>349</v>
      </c>
      <c r="Y474" t="s">
        <v>349</v>
      </c>
      <c r="Z474" t="s">
        <v>293</v>
      </c>
      <c r="AA474" t="s">
        <v>352</v>
      </c>
      <c r="AB474" t="s">
        <v>297</v>
      </c>
      <c r="AC474" t="s">
        <v>300</v>
      </c>
      <c r="AD474" t="s">
        <v>292</v>
      </c>
      <c r="AE474" t="s">
        <v>293</v>
      </c>
      <c r="AF474" t="s">
        <v>292</v>
      </c>
      <c r="AG474" t="s">
        <v>293</v>
      </c>
      <c r="AH474" t="s">
        <v>293</v>
      </c>
      <c r="AI474" t="s">
        <v>302</v>
      </c>
      <c r="AJ474" t="s">
        <v>302</v>
      </c>
      <c r="AK474" t="s">
        <v>359</v>
      </c>
      <c r="AL474" t="s">
        <v>293</v>
      </c>
      <c r="AM474" t="s">
        <v>293</v>
      </c>
      <c r="AN474" t="s">
        <v>297</v>
      </c>
      <c r="AO474" t="s">
        <v>298</v>
      </c>
      <c r="AP474" t="s">
        <v>293</v>
      </c>
      <c r="AQ474" t="s">
        <v>292</v>
      </c>
      <c r="AR474" t="s">
        <v>293</v>
      </c>
      <c r="AS474" t="s">
        <v>293</v>
      </c>
      <c r="AT474" t="s">
        <v>364</v>
      </c>
      <c r="AU474" t="str">
        <f t="shared" si="18"/>
        <v>no_fail</v>
      </c>
      <c r="AW474" t="s">
        <v>394</v>
      </c>
      <c r="AX474" t="s">
        <v>395</v>
      </c>
    </row>
    <row r="475" spans="1:50" hidden="1" x14ac:dyDescent="0.3">
      <c r="A475" t="s">
        <v>381</v>
      </c>
      <c r="B475" t="s">
        <v>288</v>
      </c>
      <c r="C475" t="s">
        <v>453</v>
      </c>
      <c r="D475" t="s">
        <v>288</v>
      </c>
      <c r="E475" t="str">
        <f t="shared" si="16"/>
        <v>9d8Bd</v>
      </c>
      <c r="F475" t="b">
        <v>1</v>
      </c>
      <c r="G475">
        <v>100</v>
      </c>
      <c r="H475">
        <f t="shared" si="17"/>
        <v>1</v>
      </c>
      <c r="I475">
        <v>15137</v>
      </c>
      <c r="J475" s="61" t="s">
        <v>18</v>
      </c>
      <c r="K475" t="s">
        <v>273</v>
      </c>
      <c r="L475">
        <v>2</v>
      </c>
      <c r="M475" t="s">
        <v>333</v>
      </c>
      <c r="N475" t="s">
        <v>278</v>
      </c>
      <c r="O475" t="s">
        <v>283</v>
      </c>
      <c r="P475" t="s">
        <v>284</v>
      </c>
      <c r="Q475" t="s">
        <v>371</v>
      </c>
      <c r="R475" t="s">
        <v>371</v>
      </c>
      <c r="S475" t="s">
        <v>341</v>
      </c>
      <c r="T475" t="s">
        <v>342</v>
      </c>
      <c r="U475" t="s">
        <v>343</v>
      </c>
      <c r="V475" t="s">
        <v>291</v>
      </c>
      <c r="W475" s="17"/>
      <c r="X475" t="s">
        <v>349</v>
      </c>
      <c r="Y475" t="s">
        <v>349</v>
      </c>
      <c r="Z475" t="s">
        <v>293</v>
      </c>
      <c r="AA475" t="s">
        <v>352</v>
      </c>
      <c r="AB475" t="s">
        <v>296</v>
      </c>
      <c r="AC475" t="s">
        <v>301</v>
      </c>
      <c r="AD475" t="s">
        <v>292</v>
      </c>
      <c r="AE475" t="s">
        <v>293</v>
      </c>
      <c r="AF475" t="s">
        <v>293</v>
      </c>
      <c r="AG475" t="s">
        <v>292</v>
      </c>
      <c r="AH475" t="s">
        <v>293</v>
      </c>
      <c r="AI475" t="s">
        <v>358</v>
      </c>
      <c r="AJ475" t="s">
        <v>357</v>
      </c>
      <c r="AK475" t="s">
        <v>302</v>
      </c>
      <c r="AL475" t="s">
        <v>293</v>
      </c>
      <c r="AM475" t="s">
        <v>293</v>
      </c>
      <c r="AN475" t="s">
        <v>296</v>
      </c>
      <c r="AO475" t="s">
        <v>298</v>
      </c>
      <c r="AP475" t="s">
        <v>293</v>
      </c>
      <c r="AQ475" t="s">
        <v>292</v>
      </c>
      <c r="AR475" t="s">
        <v>293</v>
      </c>
      <c r="AS475" t="s">
        <v>293</v>
      </c>
      <c r="AT475" t="s">
        <v>364</v>
      </c>
      <c r="AU475" t="str">
        <f t="shared" si="18"/>
        <v>break</v>
      </c>
      <c r="AW475" t="s">
        <v>454</v>
      </c>
      <c r="AX475" t="s">
        <v>455</v>
      </c>
    </row>
    <row r="476" spans="1:50" hidden="1" x14ac:dyDescent="0.3">
      <c r="A476" t="s">
        <v>381</v>
      </c>
      <c r="B476" t="s">
        <v>288</v>
      </c>
      <c r="C476" t="s">
        <v>462</v>
      </c>
      <c r="D476" t="s">
        <v>288</v>
      </c>
      <c r="E476" t="str">
        <f t="shared" si="16"/>
        <v>9ZDod</v>
      </c>
      <c r="F476" t="b">
        <v>1</v>
      </c>
      <c r="G476">
        <v>94.5</v>
      </c>
      <c r="H476">
        <f t="shared" si="17"/>
        <v>0</v>
      </c>
      <c r="I476">
        <v>10455</v>
      </c>
      <c r="J476" s="61" t="s">
        <v>13</v>
      </c>
      <c r="K476" t="s">
        <v>272</v>
      </c>
      <c r="L476">
        <v>2</v>
      </c>
      <c r="M476" t="s">
        <v>277</v>
      </c>
      <c r="N476" t="s">
        <v>335</v>
      </c>
      <c r="O476" t="s">
        <v>283</v>
      </c>
      <c r="P476" t="s">
        <v>281</v>
      </c>
      <c r="Q476" t="s">
        <v>284</v>
      </c>
      <c r="R476" t="s">
        <v>371</v>
      </c>
      <c r="S476" t="s">
        <v>341</v>
      </c>
      <c r="T476" t="s">
        <v>340</v>
      </c>
      <c r="U476" t="s">
        <v>340</v>
      </c>
      <c r="V476" t="s">
        <v>345</v>
      </c>
      <c r="W476" s="17"/>
      <c r="X476" t="s">
        <v>350</v>
      </c>
      <c r="Y476" t="s">
        <v>349</v>
      </c>
      <c r="Z476" t="s">
        <v>293</v>
      </c>
      <c r="AA476" t="s">
        <v>354</v>
      </c>
      <c r="AB476" t="s">
        <v>354</v>
      </c>
      <c r="AC476" t="s">
        <v>301</v>
      </c>
      <c r="AD476" t="s">
        <v>292</v>
      </c>
      <c r="AE476" t="s">
        <v>293</v>
      </c>
      <c r="AF476" t="s">
        <v>292</v>
      </c>
      <c r="AG476" t="s">
        <v>293</v>
      </c>
      <c r="AH476" t="s">
        <v>293</v>
      </c>
      <c r="AI476" t="s">
        <v>302</v>
      </c>
      <c r="AJ476" t="s">
        <v>302</v>
      </c>
      <c r="AK476" t="s">
        <v>357</v>
      </c>
      <c r="AL476" t="s">
        <v>293</v>
      </c>
      <c r="AM476" t="s">
        <v>293</v>
      </c>
      <c r="AN476" t="s">
        <v>297</v>
      </c>
      <c r="AO476" t="s">
        <v>298</v>
      </c>
      <c r="AP476" t="s">
        <v>293</v>
      </c>
      <c r="AQ476" t="s">
        <v>292</v>
      </c>
      <c r="AR476" t="s">
        <v>293</v>
      </c>
      <c r="AS476" t="s">
        <v>293</v>
      </c>
      <c r="AT476" t="s">
        <v>364</v>
      </c>
      <c r="AU476" t="str">
        <f t="shared" si="18"/>
        <v>no_fail</v>
      </c>
      <c r="AW476" t="s">
        <v>463</v>
      </c>
      <c r="AX476" t="s">
        <v>464</v>
      </c>
    </row>
    <row r="477" spans="1:50" hidden="1" x14ac:dyDescent="0.3">
      <c r="A477" t="s">
        <v>381</v>
      </c>
      <c r="B477" t="s">
        <v>288</v>
      </c>
      <c r="C477" t="s">
        <v>597</v>
      </c>
      <c r="D477" t="s">
        <v>288</v>
      </c>
      <c r="E477" t="str">
        <f t="shared" si="16"/>
        <v>9ZMgx</v>
      </c>
      <c r="F477" t="b">
        <v>1</v>
      </c>
      <c r="G477">
        <v>99.9</v>
      </c>
      <c r="H477">
        <f t="shared" si="17"/>
        <v>0</v>
      </c>
      <c r="I477">
        <v>9096</v>
      </c>
      <c r="J477" s="61" t="s">
        <v>13</v>
      </c>
      <c r="K477" t="s">
        <v>272</v>
      </c>
      <c r="L477">
        <v>3</v>
      </c>
      <c r="M477" t="s">
        <v>277</v>
      </c>
      <c r="N477" t="s">
        <v>335</v>
      </c>
      <c r="O477" t="s">
        <v>282</v>
      </c>
      <c r="P477" t="s">
        <v>371</v>
      </c>
      <c r="Q477" t="s">
        <v>371</v>
      </c>
      <c r="R477" t="s">
        <v>371</v>
      </c>
      <c r="S477" t="s">
        <v>341</v>
      </c>
      <c r="T477" t="s">
        <v>342</v>
      </c>
      <c r="U477" t="s">
        <v>343</v>
      </c>
      <c r="V477" t="s">
        <v>345</v>
      </c>
      <c r="W477" s="17" t="s">
        <v>291</v>
      </c>
      <c r="X477" t="s">
        <v>350</v>
      </c>
      <c r="Y477" t="s">
        <v>349</v>
      </c>
      <c r="Z477" t="s">
        <v>293</v>
      </c>
      <c r="AA477" t="s">
        <v>294</v>
      </c>
      <c r="AB477" t="s">
        <v>297</v>
      </c>
      <c r="AC477" t="s">
        <v>300</v>
      </c>
      <c r="AD477" t="s">
        <v>292</v>
      </c>
      <c r="AE477" t="s">
        <v>292</v>
      </c>
      <c r="AF477" t="s">
        <v>292</v>
      </c>
      <c r="AG477" t="s">
        <v>292</v>
      </c>
      <c r="AH477" t="s">
        <v>293</v>
      </c>
      <c r="AI477" t="s">
        <v>302</v>
      </c>
      <c r="AJ477" t="s">
        <v>302</v>
      </c>
      <c r="AK477" t="s">
        <v>359</v>
      </c>
      <c r="AL477" t="s">
        <v>293</v>
      </c>
      <c r="AM477" t="s">
        <v>293</v>
      </c>
      <c r="AN477" t="s">
        <v>297</v>
      </c>
      <c r="AO477" t="s">
        <v>298</v>
      </c>
      <c r="AP477" t="s">
        <v>360</v>
      </c>
      <c r="AQ477" t="s">
        <v>292</v>
      </c>
      <c r="AR477" t="s">
        <v>293</v>
      </c>
      <c r="AS477" t="s">
        <v>293</v>
      </c>
      <c r="AT477" t="s">
        <v>364</v>
      </c>
      <c r="AU477" t="str">
        <f t="shared" si="18"/>
        <v>no_fail</v>
      </c>
      <c r="AW477" t="s">
        <v>598</v>
      </c>
      <c r="AX477" t="s">
        <v>599</v>
      </c>
    </row>
    <row r="478" spans="1:50" hidden="1" x14ac:dyDescent="0.3">
      <c r="A478" t="s">
        <v>381</v>
      </c>
      <c r="B478" t="s">
        <v>288</v>
      </c>
      <c r="C478" t="s">
        <v>438</v>
      </c>
      <c r="D478" t="s">
        <v>288</v>
      </c>
      <c r="E478" t="str">
        <f t="shared" si="16"/>
        <v>a5m8l</v>
      </c>
      <c r="F478" t="b">
        <v>1</v>
      </c>
      <c r="G478">
        <v>100</v>
      </c>
      <c r="H478">
        <f t="shared" si="17"/>
        <v>1</v>
      </c>
      <c r="I478">
        <v>14895</v>
      </c>
      <c r="J478" s="61" t="s">
        <v>18</v>
      </c>
      <c r="K478" t="s">
        <v>272</v>
      </c>
      <c r="L478">
        <v>3</v>
      </c>
      <c r="M478" t="s">
        <v>277</v>
      </c>
      <c r="N478" t="s">
        <v>335</v>
      </c>
      <c r="O478" t="s">
        <v>282</v>
      </c>
      <c r="P478" t="s">
        <v>284</v>
      </c>
      <c r="Q478" t="s">
        <v>371</v>
      </c>
      <c r="R478" t="s">
        <v>371</v>
      </c>
      <c r="S478" t="s">
        <v>341</v>
      </c>
      <c r="T478" t="s">
        <v>340</v>
      </c>
      <c r="U478" t="s">
        <v>343</v>
      </c>
      <c r="V478" t="s">
        <v>344</v>
      </c>
      <c r="W478" s="17"/>
      <c r="X478" t="s">
        <v>349</v>
      </c>
      <c r="Y478" t="s">
        <v>349</v>
      </c>
      <c r="Z478" t="s">
        <v>293</v>
      </c>
      <c r="AA478" t="s">
        <v>352</v>
      </c>
      <c r="AB478" t="s">
        <v>297</v>
      </c>
      <c r="AC478" t="s">
        <v>301</v>
      </c>
      <c r="AD478" t="s">
        <v>292</v>
      </c>
      <c r="AE478" t="s">
        <v>293</v>
      </c>
      <c r="AF478" t="s">
        <v>292</v>
      </c>
      <c r="AG478" t="s">
        <v>292</v>
      </c>
      <c r="AH478" t="s">
        <v>293</v>
      </c>
      <c r="AI478" t="s">
        <v>302</v>
      </c>
      <c r="AJ478" t="s">
        <v>302</v>
      </c>
      <c r="AK478" t="s">
        <v>302</v>
      </c>
      <c r="AL478" t="s">
        <v>293</v>
      </c>
      <c r="AM478" t="s">
        <v>293</v>
      </c>
      <c r="AN478" t="s">
        <v>297</v>
      </c>
      <c r="AO478" t="s">
        <v>298</v>
      </c>
      <c r="AP478" t="s">
        <v>293</v>
      </c>
      <c r="AQ478" t="s">
        <v>292</v>
      </c>
      <c r="AR478" t="s">
        <v>293</v>
      </c>
      <c r="AS478" t="s">
        <v>293</v>
      </c>
      <c r="AT478" t="s">
        <v>364</v>
      </c>
      <c r="AU478" t="str">
        <f t="shared" si="18"/>
        <v>break</v>
      </c>
      <c r="AW478" t="s">
        <v>439</v>
      </c>
      <c r="AX478" t="s">
        <v>440</v>
      </c>
    </row>
    <row r="479" spans="1:50" hidden="1" x14ac:dyDescent="0.3">
      <c r="A479" t="s">
        <v>381</v>
      </c>
      <c r="B479" t="s">
        <v>288</v>
      </c>
      <c r="C479" t="s">
        <v>534</v>
      </c>
      <c r="D479" t="s">
        <v>288</v>
      </c>
      <c r="E479" t="str">
        <f t="shared" si="16"/>
        <v>aEzNe</v>
      </c>
      <c r="F479" t="b">
        <v>1</v>
      </c>
      <c r="G479">
        <v>98.3</v>
      </c>
      <c r="H479">
        <f t="shared" si="17"/>
        <v>0</v>
      </c>
      <c r="I479">
        <v>14613</v>
      </c>
      <c r="J479" s="61" t="s">
        <v>13</v>
      </c>
      <c r="K479" t="s">
        <v>272</v>
      </c>
      <c r="L479">
        <v>3</v>
      </c>
      <c r="M479" t="s">
        <v>333</v>
      </c>
      <c r="N479" t="s">
        <v>278</v>
      </c>
      <c r="O479" t="s">
        <v>281</v>
      </c>
      <c r="P479" t="s">
        <v>283</v>
      </c>
      <c r="Q479" t="s">
        <v>371</v>
      </c>
      <c r="R479" t="s">
        <v>371</v>
      </c>
      <c r="S479" t="s">
        <v>341</v>
      </c>
      <c r="T479" t="s">
        <v>340</v>
      </c>
      <c r="U479" t="s">
        <v>343</v>
      </c>
      <c r="V479" t="s">
        <v>344</v>
      </c>
      <c r="W479" s="17" t="s">
        <v>291</v>
      </c>
      <c r="X479" t="s">
        <v>349</v>
      </c>
      <c r="Y479" t="s">
        <v>349</v>
      </c>
      <c r="Z479" t="s">
        <v>293</v>
      </c>
      <c r="AA479" t="s">
        <v>353</v>
      </c>
      <c r="AB479" t="s">
        <v>296</v>
      </c>
      <c r="AC479" t="s">
        <v>299</v>
      </c>
      <c r="AD479" t="s">
        <v>292</v>
      </c>
      <c r="AE479" t="s">
        <v>292</v>
      </c>
      <c r="AF479" t="s">
        <v>292</v>
      </c>
      <c r="AG479" t="s">
        <v>292</v>
      </c>
      <c r="AH479" t="s">
        <v>293</v>
      </c>
      <c r="AI479" t="s">
        <v>302</v>
      </c>
      <c r="AJ479" t="s">
        <v>359</v>
      </c>
      <c r="AK479" t="s">
        <v>359</v>
      </c>
      <c r="AL479" t="s">
        <v>293</v>
      </c>
      <c r="AM479" t="s">
        <v>293</v>
      </c>
      <c r="AN479" t="s">
        <v>296</v>
      </c>
      <c r="AO479" t="s">
        <v>356</v>
      </c>
      <c r="AP479" t="s">
        <v>293</v>
      </c>
      <c r="AQ479" t="s">
        <v>292</v>
      </c>
      <c r="AR479" t="s">
        <v>293</v>
      </c>
      <c r="AS479" t="s">
        <v>293</v>
      </c>
      <c r="AT479" t="s">
        <v>364</v>
      </c>
      <c r="AU479" t="str">
        <f t="shared" si="18"/>
        <v>no_fail</v>
      </c>
      <c r="AW479" t="s">
        <v>535</v>
      </c>
      <c r="AX479" t="s">
        <v>536</v>
      </c>
    </row>
    <row r="480" spans="1:50" hidden="1" x14ac:dyDescent="0.3">
      <c r="A480" t="s">
        <v>381</v>
      </c>
      <c r="B480" t="s">
        <v>288</v>
      </c>
      <c r="C480" t="s">
        <v>576</v>
      </c>
      <c r="D480" t="s">
        <v>288</v>
      </c>
      <c r="E480" t="str">
        <f t="shared" si="16"/>
        <v>Ag5q6</v>
      </c>
      <c r="F480" t="b">
        <v>1</v>
      </c>
      <c r="G480">
        <v>100</v>
      </c>
      <c r="H480">
        <f t="shared" si="17"/>
        <v>1</v>
      </c>
      <c r="I480">
        <v>6800</v>
      </c>
      <c r="J480" s="61" t="s">
        <v>18</v>
      </c>
      <c r="K480" t="s">
        <v>272</v>
      </c>
      <c r="L480">
        <v>1</v>
      </c>
      <c r="M480" t="s">
        <v>277</v>
      </c>
      <c r="N480" t="s">
        <v>336</v>
      </c>
      <c r="O480" t="s">
        <v>283</v>
      </c>
      <c r="P480" t="s">
        <v>284</v>
      </c>
      <c r="R480" t="s">
        <v>371</v>
      </c>
      <c r="S480" t="s">
        <v>340</v>
      </c>
      <c r="T480" t="s">
        <v>340</v>
      </c>
      <c r="U480" t="s">
        <v>340</v>
      </c>
      <c r="V480" t="s">
        <v>348</v>
      </c>
      <c r="W480" s="17"/>
      <c r="X480" t="s">
        <v>349</v>
      </c>
      <c r="Y480" t="s">
        <v>349</v>
      </c>
      <c r="Z480" t="s">
        <v>293</v>
      </c>
      <c r="AA480" t="s">
        <v>354</v>
      </c>
      <c r="AB480" t="s">
        <v>354</v>
      </c>
      <c r="AC480" t="s">
        <v>340</v>
      </c>
      <c r="AD480" t="s">
        <v>293</v>
      </c>
      <c r="AE480" t="s">
        <v>292</v>
      </c>
      <c r="AF480" t="s">
        <v>293</v>
      </c>
      <c r="AG480" t="s">
        <v>293</v>
      </c>
      <c r="AH480" t="s">
        <v>293</v>
      </c>
      <c r="AI480" t="s">
        <v>358</v>
      </c>
      <c r="AJ480" t="s">
        <v>357</v>
      </c>
      <c r="AK480" t="s">
        <v>357</v>
      </c>
      <c r="AL480" t="s">
        <v>293</v>
      </c>
      <c r="AM480" t="s">
        <v>293</v>
      </c>
      <c r="AN480" t="s">
        <v>354</v>
      </c>
      <c r="AO480" t="s">
        <v>356</v>
      </c>
      <c r="AP480" t="s">
        <v>293</v>
      </c>
      <c r="AQ480" t="s">
        <v>293</v>
      </c>
      <c r="AR480" t="s">
        <v>293</v>
      </c>
      <c r="AS480" t="s">
        <v>293</v>
      </c>
      <c r="AT480" t="s">
        <v>364</v>
      </c>
      <c r="AU480" t="str">
        <f t="shared" si="18"/>
        <v>break</v>
      </c>
      <c r="AW480" t="s">
        <v>577</v>
      </c>
      <c r="AX480" t="s">
        <v>578</v>
      </c>
    </row>
    <row r="481" spans="1:50" hidden="1" x14ac:dyDescent="0.3">
      <c r="A481" t="s">
        <v>381</v>
      </c>
      <c r="B481" t="s">
        <v>288</v>
      </c>
      <c r="C481" t="s">
        <v>492</v>
      </c>
      <c r="D481" t="s">
        <v>288</v>
      </c>
      <c r="E481" t="str">
        <f t="shared" si="16"/>
        <v>AMMOv</v>
      </c>
      <c r="F481" t="b">
        <v>1</v>
      </c>
      <c r="G481">
        <v>96.24</v>
      </c>
      <c r="H481">
        <f t="shared" si="17"/>
        <v>0</v>
      </c>
      <c r="I481">
        <v>21436</v>
      </c>
      <c r="J481" s="61" t="s">
        <v>13</v>
      </c>
      <c r="K481" t="s">
        <v>272</v>
      </c>
      <c r="L481">
        <v>3</v>
      </c>
      <c r="M481" t="s">
        <v>277</v>
      </c>
      <c r="N481" t="s">
        <v>335</v>
      </c>
      <c r="O481" t="s">
        <v>283</v>
      </c>
      <c r="P481" t="s">
        <v>286</v>
      </c>
      <c r="Q481" t="s">
        <v>282</v>
      </c>
      <c r="R481" t="s">
        <v>371</v>
      </c>
      <c r="S481" t="s">
        <v>341</v>
      </c>
      <c r="T481" t="s">
        <v>340</v>
      </c>
      <c r="U481" t="s">
        <v>343</v>
      </c>
      <c r="V481" t="s">
        <v>344</v>
      </c>
      <c r="W481" s="17" t="s">
        <v>347</v>
      </c>
      <c r="X481" t="s">
        <v>349</v>
      </c>
      <c r="Y481" t="s">
        <v>349</v>
      </c>
      <c r="Z481" t="s">
        <v>293</v>
      </c>
      <c r="AA481" t="s">
        <v>353</v>
      </c>
      <c r="AB481" t="s">
        <v>296</v>
      </c>
      <c r="AC481" t="s">
        <v>301</v>
      </c>
      <c r="AD481" t="s">
        <v>293</v>
      </c>
      <c r="AE481" t="s">
        <v>292</v>
      </c>
      <c r="AF481" t="s">
        <v>293</v>
      </c>
      <c r="AG481" t="s">
        <v>292</v>
      </c>
      <c r="AH481" t="s">
        <v>293</v>
      </c>
      <c r="AI481" t="s">
        <v>302</v>
      </c>
      <c r="AJ481" t="s">
        <v>358</v>
      </c>
      <c r="AK481" t="s">
        <v>359</v>
      </c>
      <c r="AL481" t="s">
        <v>293</v>
      </c>
      <c r="AM481" t="s">
        <v>293</v>
      </c>
      <c r="AN481" t="s">
        <v>296</v>
      </c>
      <c r="AO481" t="s">
        <v>356</v>
      </c>
      <c r="AP481" t="s">
        <v>293</v>
      </c>
      <c r="AQ481" t="s">
        <v>292</v>
      </c>
      <c r="AR481" t="s">
        <v>293</v>
      </c>
      <c r="AS481" t="s">
        <v>293</v>
      </c>
      <c r="AT481" t="s">
        <v>364</v>
      </c>
      <c r="AU481" t="str">
        <f t="shared" si="18"/>
        <v>no_fail</v>
      </c>
      <c r="AW481" t="s">
        <v>493</v>
      </c>
      <c r="AX481" t="s">
        <v>494</v>
      </c>
    </row>
    <row r="482" spans="1:50" hidden="1" x14ac:dyDescent="0.3">
      <c r="A482" t="s">
        <v>381</v>
      </c>
      <c r="B482" t="s">
        <v>288</v>
      </c>
      <c r="C482" t="s">
        <v>645</v>
      </c>
      <c r="D482" t="s">
        <v>288</v>
      </c>
      <c r="E482" t="str">
        <f t="shared" si="16"/>
        <v>AMR1N</v>
      </c>
      <c r="F482" t="b">
        <v>1</v>
      </c>
      <c r="G482">
        <v>55.35</v>
      </c>
      <c r="H482">
        <f t="shared" si="17"/>
        <v>0</v>
      </c>
      <c r="I482">
        <v>12001</v>
      </c>
      <c r="J482" s="61" t="s">
        <v>13</v>
      </c>
      <c r="K482" t="s">
        <v>272</v>
      </c>
      <c r="L482">
        <v>3</v>
      </c>
      <c r="M482" t="s">
        <v>277</v>
      </c>
      <c r="N482" t="s">
        <v>335</v>
      </c>
      <c r="O482" t="s">
        <v>282</v>
      </c>
      <c r="P482" t="s">
        <v>371</v>
      </c>
      <c r="Q482" t="s">
        <v>371</v>
      </c>
      <c r="R482" t="s">
        <v>371</v>
      </c>
      <c r="S482" t="s">
        <v>341</v>
      </c>
      <c r="T482" t="s">
        <v>340</v>
      </c>
      <c r="U482" t="s">
        <v>343</v>
      </c>
      <c r="V482" t="s">
        <v>344</v>
      </c>
      <c r="W482" s="17"/>
      <c r="X482" t="s">
        <v>349</v>
      </c>
      <c r="Y482" t="s">
        <v>349</v>
      </c>
      <c r="Z482" t="s">
        <v>293</v>
      </c>
      <c r="AA482" t="s">
        <v>353</v>
      </c>
      <c r="AB482" t="s">
        <v>296</v>
      </c>
      <c r="AC482" t="s">
        <v>301</v>
      </c>
      <c r="AD482" t="s">
        <v>292</v>
      </c>
      <c r="AE482" t="s">
        <v>293</v>
      </c>
      <c r="AF482" t="s">
        <v>292</v>
      </c>
      <c r="AG482" t="s">
        <v>292</v>
      </c>
      <c r="AH482" t="s">
        <v>293</v>
      </c>
      <c r="AI482" t="s">
        <v>302</v>
      </c>
      <c r="AJ482" t="s">
        <v>302</v>
      </c>
      <c r="AK482" t="s">
        <v>359</v>
      </c>
      <c r="AL482" t="s">
        <v>293</v>
      </c>
      <c r="AM482" t="s">
        <v>293</v>
      </c>
      <c r="AN482" t="s">
        <v>297</v>
      </c>
      <c r="AO482" t="s">
        <v>298</v>
      </c>
      <c r="AP482" t="s">
        <v>293</v>
      </c>
      <c r="AQ482" t="s">
        <v>292</v>
      </c>
      <c r="AR482" t="s">
        <v>293</v>
      </c>
      <c r="AS482" t="s">
        <v>293</v>
      </c>
      <c r="AT482" t="s">
        <v>364</v>
      </c>
      <c r="AU482" t="str">
        <f t="shared" si="18"/>
        <v>no_fail</v>
      </c>
      <c r="AW482" t="s">
        <v>646</v>
      </c>
      <c r="AX482" t="s">
        <v>647</v>
      </c>
    </row>
    <row r="483" spans="1:50" hidden="1" x14ac:dyDescent="0.3">
      <c r="A483" t="s">
        <v>381</v>
      </c>
      <c r="B483" t="s">
        <v>288</v>
      </c>
      <c r="C483" t="s">
        <v>387</v>
      </c>
      <c r="D483" t="s">
        <v>288</v>
      </c>
      <c r="E483" t="str">
        <f t="shared" si="16"/>
        <v>Ao5M3</v>
      </c>
      <c r="F483" t="b">
        <v>1</v>
      </c>
      <c r="G483">
        <v>99.83</v>
      </c>
      <c r="H483">
        <f t="shared" si="17"/>
        <v>0</v>
      </c>
      <c r="I483">
        <v>8739</v>
      </c>
      <c r="J483" s="61" t="s">
        <v>13</v>
      </c>
      <c r="K483" t="s">
        <v>272</v>
      </c>
      <c r="L483">
        <v>3</v>
      </c>
      <c r="M483" t="s">
        <v>277</v>
      </c>
      <c r="N483" t="s">
        <v>335</v>
      </c>
      <c r="O483" t="s">
        <v>282</v>
      </c>
      <c r="P483" t="s">
        <v>281</v>
      </c>
      <c r="Q483" t="s">
        <v>371</v>
      </c>
      <c r="R483" t="s">
        <v>371</v>
      </c>
      <c r="S483" t="s">
        <v>341</v>
      </c>
      <c r="T483" t="s">
        <v>340</v>
      </c>
      <c r="U483" t="s">
        <v>343</v>
      </c>
      <c r="V483" t="s">
        <v>345</v>
      </c>
      <c r="W483" s="17"/>
      <c r="X483" t="s">
        <v>349</v>
      </c>
      <c r="Y483" t="s">
        <v>349</v>
      </c>
      <c r="Z483" t="s">
        <v>293</v>
      </c>
      <c r="AA483" t="s">
        <v>353</v>
      </c>
      <c r="AB483" t="s">
        <v>297</v>
      </c>
      <c r="AC483" t="s">
        <v>299</v>
      </c>
      <c r="AD483" t="s">
        <v>292</v>
      </c>
      <c r="AE483" t="s">
        <v>293</v>
      </c>
      <c r="AF483" t="s">
        <v>292</v>
      </c>
      <c r="AG483" t="s">
        <v>293</v>
      </c>
      <c r="AH483" t="s">
        <v>293</v>
      </c>
      <c r="AI483" t="s">
        <v>302</v>
      </c>
      <c r="AJ483" t="s">
        <v>302</v>
      </c>
      <c r="AK483" t="s">
        <v>359</v>
      </c>
      <c r="AL483" t="s">
        <v>293</v>
      </c>
      <c r="AM483" t="s">
        <v>293</v>
      </c>
      <c r="AN483" t="s">
        <v>297</v>
      </c>
      <c r="AO483" t="s">
        <v>298</v>
      </c>
      <c r="AP483" t="s">
        <v>293</v>
      </c>
      <c r="AQ483" t="s">
        <v>292</v>
      </c>
      <c r="AR483" t="s">
        <v>293</v>
      </c>
      <c r="AS483" t="s">
        <v>293</v>
      </c>
      <c r="AT483" t="s">
        <v>364</v>
      </c>
      <c r="AU483" t="str">
        <f t="shared" si="18"/>
        <v>no_fail</v>
      </c>
      <c r="AW483" t="s">
        <v>388</v>
      </c>
      <c r="AX483" t="s">
        <v>389</v>
      </c>
    </row>
    <row r="484" spans="1:50" hidden="1" x14ac:dyDescent="0.3">
      <c r="A484" t="s">
        <v>381</v>
      </c>
      <c r="B484" t="s">
        <v>288</v>
      </c>
      <c r="C484" t="s">
        <v>498</v>
      </c>
      <c r="D484" t="s">
        <v>288</v>
      </c>
      <c r="E484" t="str">
        <f t="shared" si="16"/>
        <v>b1g4G</v>
      </c>
      <c r="F484" t="b">
        <v>1</v>
      </c>
      <c r="G484">
        <v>83.4</v>
      </c>
      <c r="H484">
        <f t="shared" si="17"/>
        <v>0</v>
      </c>
      <c r="I484">
        <v>26919</v>
      </c>
      <c r="J484" s="61" t="s">
        <v>13</v>
      </c>
      <c r="K484" t="s">
        <v>272</v>
      </c>
      <c r="L484">
        <v>3</v>
      </c>
      <c r="M484" t="s">
        <v>277</v>
      </c>
      <c r="N484" t="s">
        <v>336</v>
      </c>
      <c r="O484" t="s">
        <v>283</v>
      </c>
      <c r="P484" t="s">
        <v>371</v>
      </c>
      <c r="Q484" t="s">
        <v>371</v>
      </c>
      <c r="R484" t="s">
        <v>371</v>
      </c>
      <c r="S484" t="s">
        <v>341</v>
      </c>
      <c r="T484" t="s">
        <v>342</v>
      </c>
      <c r="U484" t="s">
        <v>343</v>
      </c>
      <c r="V484" t="s">
        <v>291</v>
      </c>
      <c r="W484" s="17"/>
      <c r="X484" t="s">
        <v>349</v>
      </c>
      <c r="Y484" t="s">
        <v>349</v>
      </c>
      <c r="Z484" t="s">
        <v>293</v>
      </c>
      <c r="AA484" t="s">
        <v>353</v>
      </c>
      <c r="AB484" t="s">
        <v>296</v>
      </c>
      <c r="AC484" t="s">
        <v>301</v>
      </c>
      <c r="AD484" t="s">
        <v>292</v>
      </c>
      <c r="AE484" t="s">
        <v>293</v>
      </c>
      <c r="AF484" t="s">
        <v>293</v>
      </c>
      <c r="AG484" t="s">
        <v>292</v>
      </c>
      <c r="AH484" t="s">
        <v>293</v>
      </c>
      <c r="AI484" t="s">
        <v>302</v>
      </c>
      <c r="AJ484" t="s">
        <v>359</v>
      </c>
      <c r="AK484" t="s">
        <v>359</v>
      </c>
      <c r="AL484" t="s">
        <v>293</v>
      </c>
      <c r="AM484" t="s">
        <v>293</v>
      </c>
      <c r="AN484" t="s">
        <v>296</v>
      </c>
      <c r="AO484" t="s">
        <v>298</v>
      </c>
      <c r="AP484" t="s">
        <v>293</v>
      </c>
      <c r="AQ484" t="s">
        <v>292</v>
      </c>
      <c r="AR484" t="s">
        <v>293</v>
      </c>
      <c r="AS484" t="s">
        <v>293</v>
      </c>
      <c r="AT484" t="s">
        <v>364</v>
      </c>
      <c r="AU484" t="str">
        <f t="shared" si="18"/>
        <v>no_fail</v>
      </c>
      <c r="AW484" t="s">
        <v>499</v>
      </c>
      <c r="AX484" t="s">
        <v>500</v>
      </c>
    </row>
    <row r="485" spans="1:50" hidden="1" x14ac:dyDescent="0.3">
      <c r="A485" t="s">
        <v>381</v>
      </c>
      <c r="B485" t="s">
        <v>288</v>
      </c>
      <c r="C485" t="s">
        <v>465</v>
      </c>
      <c r="D485" t="s">
        <v>288</v>
      </c>
      <c r="E485" t="str">
        <f t="shared" si="16"/>
        <v>b3BX3</v>
      </c>
      <c r="F485" t="b">
        <v>1</v>
      </c>
      <c r="G485">
        <v>96.76</v>
      </c>
      <c r="H485">
        <f t="shared" si="17"/>
        <v>0</v>
      </c>
      <c r="I485">
        <v>6139</v>
      </c>
      <c r="J485" s="61" t="s">
        <v>13</v>
      </c>
      <c r="K485" t="s">
        <v>272</v>
      </c>
      <c r="L485">
        <v>3</v>
      </c>
      <c r="M485" t="s">
        <v>277</v>
      </c>
      <c r="N485" t="s">
        <v>335</v>
      </c>
      <c r="O485" t="s">
        <v>282</v>
      </c>
      <c r="P485" t="s">
        <v>283</v>
      </c>
      <c r="Q485" t="s">
        <v>284</v>
      </c>
      <c r="R485" t="s">
        <v>371</v>
      </c>
      <c r="S485" t="s">
        <v>340</v>
      </c>
      <c r="T485" t="s">
        <v>342</v>
      </c>
      <c r="U485" t="s">
        <v>343</v>
      </c>
      <c r="V485" t="s">
        <v>344</v>
      </c>
      <c r="W485" s="17"/>
      <c r="X485" t="s">
        <v>350</v>
      </c>
      <c r="Y485" t="s">
        <v>349</v>
      </c>
      <c r="Z485" t="s">
        <v>293</v>
      </c>
      <c r="AA485" t="s">
        <v>353</v>
      </c>
      <c r="AB485" t="s">
        <v>297</v>
      </c>
      <c r="AC485" t="s">
        <v>300</v>
      </c>
      <c r="AD485" t="s">
        <v>292</v>
      </c>
      <c r="AE485" t="s">
        <v>293</v>
      </c>
      <c r="AF485" t="s">
        <v>292</v>
      </c>
      <c r="AG485" t="s">
        <v>293</v>
      </c>
      <c r="AH485" t="s">
        <v>293</v>
      </c>
      <c r="AI485" t="s">
        <v>302</v>
      </c>
      <c r="AJ485" t="s">
        <v>302</v>
      </c>
      <c r="AK485" t="s">
        <v>359</v>
      </c>
      <c r="AL485" t="s">
        <v>293</v>
      </c>
      <c r="AM485" t="s">
        <v>293</v>
      </c>
      <c r="AN485" t="s">
        <v>297</v>
      </c>
      <c r="AO485" t="s">
        <v>298</v>
      </c>
      <c r="AP485" t="s">
        <v>293</v>
      </c>
      <c r="AQ485" t="s">
        <v>292</v>
      </c>
      <c r="AR485" t="s">
        <v>293</v>
      </c>
      <c r="AS485" t="s">
        <v>293</v>
      </c>
      <c r="AT485" t="s">
        <v>364</v>
      </c>
      <c r="AU485" t="str">
        <f t="shared" si="18"/>
        <v>no_fail</v>
      </c>
      <c r="AW485" t="s">
        <v>466</v>
      </c>
      <c r="AX485" t="s">
        <v>467</v>
      </c>
    </row>
    <row r="486" spans="1:50" hidden="1" x14ac:dyDescent="0.3">
      <c r="A486" t="s">
        <v>381</v>
      </c>
      <c r="B486" t="s">
        <v>288</v>
      </c>
      <c r="C486" t="s">
        <v>435</v>
      </c>
      <c r="D486" t="s">
        <v>288</v>
      </c>
      <c r="E486" t="str">
        <f t="shared" si="16"/>
        <v>b3ENz</v>
      </c>
      <c r="F486" t="b">
        <v>1</v>
      </c>
      <c r="G486">
        <v>97.5</v>
      </c>
      <c r="H486">
        <f t="shared" si="17"/>
        <v>0</v>
      </c>
      <c r="I486">
        <v>8416</v>
      </c>
      <c r="J486" s="61" t="s">
        <v>13</v>
      </c>
      <c r="K486" t="s">
        <v>272</v>
      </c>
      <c r="L486">
        <v>3</v>
      </c>
      <c r="M486" t="s">
        <v>277</v>
      </c>
      <c r="N486" t="s">
        <v>335</v>
      </c>
      <c r="O486" t="s">
        <v>282</v>
      </c>
      <c r="P486" t="s">
        <v>371</v>
      </c>
      <c r="Q486" t="s">
        <v>371</v>
      </c>
      <c r="R486" t="s">
        <v>371</v>
      </c>
      <c r="S486" t="s">
        <v>341</v>
      </c>
      <c r="T486" t="s">
        <v>342</v>
      </c>
      <c r="U486" t="s">
        <v>343</v>
      </c>
      <c r="V486" t="s">
        <v>345</v>
      </c>
      <c r="W486" s="17"/>
      <c r="X486" t="s">
        <v>349</v>
      </c>
      <c r="Y486" t="s">
        <v>349</v>
      </c>
      <c r="Z486" t="s">
        <v>293</v>
      </c>
      <c r="AA486" t="s">
        <v>353</v>
      </c>
      <c r="AB486" t="s">
        <v>297</v>
      </c>
      <c r="AC486" t="s">
        <v>300</v>
      </c>
      <c r="AD486" t="s">
        <v>292</v>
      </c>
      <c r="AE486" t="s">
        <v>293</v>
      </c>
      <c r="AF486" t="s">
        <v>292</v>
      </c>
      <c r="AG486" t="s">
        <v>293</v>
      </c>
      <c r="AH486" t="s">
        <v>293</v>
      </c>
      <c r="AI486" t="s">
        <v>302</v>
      </c>
      <c r="AJ486" t="s">
        <v>302</v>
      </c>
      <c r="AK486" t="s">
        <v>359</v>
      </c>
      <c r="AL486" t="s">
        <v>293</v>
      </c>
      <c r="AM486" t="s">
        <v>293</v>
      </c>
      <c r="AN486" t="s">
        <v>297</v>
      </c>
      <c r="AO486" t="s">
        <v>298</v>
      </c>
      <c r="AP486" t="s">
        <v>293</v>
      </c>
      <c r="AQ486" t="s">
        <v>292</v>
      </c>
      <c r="AR486" t="s">
        <v>362</v>
      </c>
      <c r="AS486" t="s">
        <v>293</v>
      </c>
      <c r="AT486" t="s">
        <v>364</v>
      </c>
      <c r="AU486" t="str">
        <f t="shared" si="18"/>
        <v>no_fail</v>
      </c>
      <c r="AW486" t="s">
        <v>436</v>
      </c>
      <c r="AX486" t="s">
        <v>437</v>
      </c>
    </row>
    <row r="487" spans="1:50" hidden="1" x14ac:dyDescent="0.3">
      <c r="A487" t="s">
        <v>381</v>
      </c>
      <c r="B487" t="s">
        <v>288</v>
      </c>
      <c r="C487" t="s">
        <v>480</v>
      </c>
      <c r="D487" t="s">
        <v>288</v>
      </c>
      <c r="E487" t="str">
        <f t="shared" si="16"/>
        <v>b77M7</v>
      </c>
      <c r="F487" t="b">
        <v>1</v>
      </c>
      <c r="G487">
        <v>99.15</v>
      </c>
      <c r="H487">
        <f t="shared" si="17"/>
        <v>0</v>
      </c>
      <c r="I487">
        <v>6592</v>
      </c>
      <c r="J487" s="61" t="s">
        <v>13</v>
      </c>
      <c r="K487" t="s">
        <v>272</v>
      </c>
      <c r="L487">
        <v>3</v>
      </c>
      <c r="M487" t="s">
        <v>333</v>
      </c>
      <c r="N487" t="s">
        <v>278</v>
      </c>
      <c r="O487" t="s">
        <v>273</v>
      </c>
      <c r="P487" t="s">
        <v>371</v>
      </c>
      <c r="Q487" t="s">
        <v>371</v>
      </c>
      <c r="R487" t="s">
        <v>371</v>
      </c>
      <c r="S487" t="s">
        <v>341</v>
      </c>
      <c r="T487" t="s">
        <v>340</v>
      </c>
      <c r="U487" t="s">
        <v>343</v>
      </c>
      <c r="V487" t="s">
        <v>345</v>
      </c>
      <c r="W487" s="17" t="s">
        <v>291</v>
      </c>
      <c r="X487" t="s">
        <v>350</v>
      </c>
      <c r="Y487" t="s">
        <v>349</v>
      </c>
      <c r="Z487" t="s">
        <v>293</v>
      </c>
      <c r="AA487" t="s">
        <v>353</v>
      </c>
      <c r="AB487" t="s">
        <v>297</v>
      </c>
      <c r="AC487" t="s">
        <v>299</v>
      </c>
      <c r="AD487" t="s">
        <v>292</v>
      </c>
      <c r="AE487" t="s">
        <v>293</v>
      </c>
      <c r="AF487" t="s">
        <v>292</v>
      </c>
      <c r="AG487" t="s">
        <v>293</v>
      </c>
      <c r="AH487" t="s">
        <v>293</v>
      </c>
      <c r="AI487" t="s">
        <v>302</v>
      </c>
      <c r="AJ487" t="s">
        <v>359</v>
      </c>
      <c r="AK487" t="s">
        <v>359</v>
      </c>
      <c r="AL487" t="s">
        <v>293</v>
      </c>
      <c r="AM487" t="s">
        <v>293</v>
      </c>
      <c r="AN487" t="s">
        <v>297</v>
      </c>
      <c r="AO487" t="s">
        <v>298</v>
      </c>
      <c r="AP487" t="s">
        <v>360</v>
      </c>
      <c r="AQ487" t="s">
        <v>292</v>
      </c>
      <c r="AR487" t="s">
        <v>293</v>
      </c>
      <c r="AS487" t="s">
        <v>293</v>
      </c>
      <c r="AT487" t="s">
        <v>364</v>
      </c>
      <c r="AU487" t="str">
        <f t="shared" si="18"/>
        <v>no_fail</v>
      </c>
      <c r="AW487" t="s">
        <v>481</v>
      </c>
      <c r="AX487" t="s">
        <v>482</v>
      </c>
    </row>
    <row r="488" spans="1:50" hidden="1" x14ac:dyDescent="0.3">
      <c r="A488" t="s">
        <v>381</v>
      </c>
      <c r="B488" t="s">
        <v>288</v>
      </c>
      <c r="C488" t="s">
        <v>528</v>
      </c>
      <c r="D488" t="s">
        <v>288</v>
      </c>
      <c r="E488" t="str">
        <f t="shared" si="16"/>
        <v>bD2r4</v>
      </c>
      <c r="F488" t="b">
        <v>1</v>
      </c>
      <c r="G488">
        <v>100</v>
      </c>
      <c r="H488">
        <f t="shared" si="17"/>
        <v>1</v>
      </c>
      <c r="I488">
        <v>4580</v>
      </c>
      <c r="J488" s="61" t="s">
        <v>13</v>
      </c>
      <c r="K488" t="s">
        <v>272</v>
      </c>
      <c r="L488">
        <v>3</v>
      </c>
      <c r="M488" t="s">
        <v>333</v>
      </c>
      <c r="N488" t="s">
        <v>280</v>
      </c>
      <c r="O488" t="s">
        <v>284</v>
      </c>
      <c r="P488" t="s">
        <v>283</v>
      </c>
      <c r="Q488" t="s">
        <v>282</v>
      </c>
      <c r="R488" t="s">
        <v>338</v>
      </c>
      <c r="S488" t="s">
        <v>340</v>
      </c>
      <c r="T488" t="s">
        <v>342</v>
      </c>
      <c r="U488" t="s">
        <v>343</v>
      </c>
      <c r="V488" t="s">
        <v>291</v>
      </c>
      <c r="W488" s="17"/>
      <c r="X488" t="s">
        <v>350</v>
      </c>
      <c r="Y488" t="s">
        <v>351</v>
      </c>
      <c r="Z488" t="s">
        <v>292</v>
      </c>
      <c r="AA488" t="s">
        <v>352</v>
      </c>
      <c r="AB488" t="s">
        <v>297</v>
      </c>
      <c r="AC488" t="s">
        <v>299</v>
      </c>
      <c r="AD488" t="s">
        <v>292</v>
      </c>
      <c r="AE488" t="s">
        <v>293</v>
      </c>
      <c r="AF488" t="s">
        <v>292</v>
      </c>
      <c r="AG488" t="s">
        <v>293</v>
      </c>
      <c r="AH488" t="s">
        <v>293</v>
      </c>
      <c r="AI488" t="s">
        <v>358</v>
      </c>
      <c r="AJ488" t="s">
        <v>302</v>
      </c>
      <c r="AK488" t="s">
        <v>302</v>
      </c>
      <c r="AL488" t="s">
        <v>293</v>
      </c>
      <c r="AM488" t="s">
        <v>292</v>
      </c>
      <c r="AN488" t="s">
        <v>297</v>
      </c>
      <c r="AO488" t="s">
        <v>298</v>
      </c>
      <c r="AP488" t="s">
        <v>293</v>
      </c>
      <c r="AQ488" t="s">
        <v>292</v>
      </c>
      <c r="AR488" t="s">
        <v>293</v>
      </c>
      <c r="AS488" t="s">
        <v>293</v>
      </c>
      <c r="AT488" t="s">
        <v>364</v>
      </c>
      <c r="AU488" t="str">
        <f t="shared" si="18"/>
        <v>break</v>
      </c>
      <c r="AW488" t="s">
        <v>529</v>
      </c>
      <c r="AX488" t="s">
        <v>530</v>
      </c>
    </row>
    <row r="489" spans="1:50" hidden="1" x14ac:dyDescent="0.3">
      <c r="A489" t="s">
        <v>381</v>
      </c>
      <c r="B489" t="s">
        <v>288</v>
      </c>
      <c r="C489" t="s">
        <v>663</v>
      </c>
      <c r="D489" t="s">
        <v>288</v>
      </c>
      <c r="E489" t="str">
        <f t="shared" si="16"/>
        <v>bd98w</v>
      </c>
      <c r="F489" t="b">
        <v>1</v>
      </c>
      <c r="G489">
        <v>97.6</v>
      </c>
      <c r="H489">
        <f t="shared" si="17"/>
        <v>0</v>
      </c>
      <c r="I489">
        <v>7300</v>
      </c>
      <c r="J489" s="61" t="s">
        <v>13</v>
      </c>
      <c r="K489" t="s">
        <v>272</v>
      </c>
      <c r="L489">
        <v>3</v>
      </c>
      <c r="M489" t="s">
        <v>333</v>
      </c>
      <c r="N489" t="s">
        <v>278</v>
      </c>
      <c r="O489" t="s">
        <v>283</v>
      </c>
      <c r="P489" t="s">
        <v>371</v>
      </c>
      <c r="Q489" t="s">
        <v>371</v>
      </c>
      <c r="R489" t="s">
        <v>371</v>
      </c>
      <c r="S489" t="s">
        <v>341</v>
      </c>
      <c r="T489" t="s">
        <v>342</v>
      </c>
      <c r="U489" t="s">
        <v>343</v>
      </c>
      <c r="V489" t="s">
        <v>345</v>
      </c>
      <c r="W489" s="17" t="s">
        <v>347</v>
      </c>
      <c r="X489" t="s">
        <v>349</v>
      </c>
      <c r="Y489" t="s">
        <v>349</v>
      </c>
      <c r="Z489" t="s">
        <v>293</v>
      </c>
      <c r="AA489" t="s">
        <v>353</v>
      </c>
      <c r="AB489" t="s">
        <v>297</v>
      </c>
      <c r="AC489" t="s">
        <v>300</v>
      </c>
      <c r="AD489" t="s">
        <v>292</v>
      </c>
      <c r="AE489" t="s">
        <v>293</v>
      </c>
      <c r="AF489" t="s">
        <v>292</v>
      </c>
      <c r="AG489" t="s">
        <v>293</v>
      </c>
      <c r="AH489" t="s">
        <v>293</v>
      </c>
      <c r="AI489" t="s">
        <v>302</v>
      </c>
      <c r="AJ489" t="s">
        <v>359</v>
      </c>
      <c r="AK489" t="s">
        <v>359</v>
      </c>
      <c r="AL489" t="s">
        <v>293</v>
      </c>
      <c r="AM489" t="s">
        <v>293</v>
      </c>
      <c r="AN489" t="s">
        <v>297</v>
      </c>
      <c r="AO489" t="s">
        <v>298</v>
      </c>
      <c r="AP489" t="s">
        <v>360</v>
      </c>
      <c r="AQ489" t="s">
        <v>292</v>
      </c>
      <c r="AR489" t="s">
        <v>293</v>
      </c>
      <c r="AS489" t="s">
        <v>293</v>
      </c>
      <c r="AT489" t="s">
        <v>364</v>
      </c>
      <c r="AU489" t="str">
        <f t="shared" si="18"/>
        <v>no_fail</v>
      </c>
      <c r="AW489" t="s">
        <v>664</v>
      </c>
      <c r="AX489" t="s">
        <v>665</v>
      </c>
    </row>
    <row r="490" spans="1:50" hidden="1" x14ac:dyDescent="0.3">
      <c r="A490" t="s">
        <v>381</v>
      </c>
      <c r="B490" t="s">
        <v>288</v>
      </c>
      <c r="C490" t="s">
        <v>669</v>
      </c>
      <c r="D490" t="s">
        <v>288</v>
      </c>
      <c r="E490" t="str">
        <f t="shared" si="16"/>
        <v>bdpx7</v>
      </c>
      <c r="F490" t="b">
        <v>1</v>
      </c>
      <c r="G490">
        <v>92.79</v>
      </c>
      <c r="H490">
        <f t="shared" si="17"/>
        <v>0</v>
      </c>
      <c r="I490">
        <v>11269</v>
      </c>
      <c r="J490" s="61" t="s">
        <v>13</v>
      </c>
      <c r="K490" t="s">
        <v>272</v>
      </c>
      <c r="L490">
        <v>3</v>
      </c>
      <c r="M490" t="s">
        <v>277</v>
      </c>
      <c r="N490" t="s">
        <v>335</v>
      </c>
      <c r="O490" t="s">
        <v>281</v>
      </c>
      <c r="P490" t="s">
        <v>282</v>
      </c>
      <c r="Q490" t="s">
        <v>371</v>
      </c>
      <c r="R490" t="s">
        <v>371</v>
      </c>
      <c r="S490" t="s">
        <v>341</v>
      </c>
      <c r="T490" t="s">
        <v>342</v>
      </c>
      <c r="U490" t="s">
        <v>343</v>
      </c>
      <c r="V490" t="s">
        <v>345</v>
      </c>
      <c r="W490" s="17"/>
      <c r="X490" t="s">
        <v>349</v>
      </c>
      <c r="Y490" t="s">
        <v>349</v>
      </c>
      <c r="Z490" t="s">
        <v>293</v>
      </c>
      <c r="AA490" t="s">
        <v>353</v>
      </c>
      <c r="AB490" t="s">
        <v>355</v>
      </c>
      <c r="AC490" t="s">
        <v>299</v>
      </c>
      <c r="AD490" t="s">
        <v>292</v>
      </c>
      <c r="AE490" t="s">
        <v>293</v>
      </c>
      <c r="AF490" t="s">
        <v>292</v>
      </c>
      <c r="AG490" t="s">
        <v>292</v>
      </c>
      <c r="AH490" t="s">
        <v>293</v>
      </c>
      <c r="AI490" t="s">
        <v>302</v>
      </c>
      <c r="AJ490" t="s">
        <v>302</v>
      </c>
      <c r="AK490" t="s">
        <v>359</v>
      </c>
      <c r="AL490" t="s">
        <v>293</v>
      </c>
      <c r="AM490" t="s">
        <v>293</v>
      </c>
      <c r="AN490" t="s">
        <v>297</v>
      </c>
      <c r="AO490" t="s">
        <v>298</v>
      </c>
      <c r="AP490" t="s">
        <v>293</v>
      </c>
      <c r="AQ490" t="s">
        <v>292</v>
      </c>
      <c r="AR490" t="s">
        <v>293</v>
      </c>
      <c r="AS490" t="s">
        <v>293</v>
      </c>
      <c r="AT490" t="s">
        <v>364</v>
      </c>
      <c r="AU490" t="str">
        <f t="shared" si="18"/>
        <v>no_fail</v>
      </c>
      <c r="AW490" t="s">
        <v>670</v>
      </c>
      <c r="AX490" t="s">
        <v>671</v>
      </c>
    </row>
    <row r="491" spans="1:50" hidden="1" x14ac:dyDescent="0.3">
      <c r="A491" t="s">
        <v>381</v>
      </c>
      <c r="B491" t="s">
        <v>288</v>
      </c>
      <c r="C491" t="s">
        <v>651</v>
      </c>
      <c r="D491" t="s">
        <v>288</v>
      </c>
      <c r="E491" t="str">
        <f t="shared" si="16"/>
        <v>bjjNm</v>
      </c>
      <c r="F491" t="b">
        <v>1</v>
      </c>
      <c r="G491">
        <v>99.87</v>
      </c>
      <c r="H491">
        <f t="shared" si="17"/>
        <v>0</v>
      </c>
      <c r="I491">
        <v>8646</v>
      </c>
      <c r="J491" s="61" t="s">
        <v>13</v>
      </c>
      <c r="K491" t="s">
        <v>272</v>
      </c>
      <c r="L491">
        <v>3</v>
      </c>
      <c r="M491" t="s">
        <v>333</v>
      </c>
      <c r="N491" t="s">
        <v>278</v>
      </c>
      <c r="O491" t="s">
        <v>281</v>
      </c>
      <c r="P491" t="s">
        <v>282</v>
      </c>
      <c r="Q491" t="s">
        <v>371</v>
      </c>
      <c r="R491" t="s">
        <v>371</v>
      </c>
      <c r="S491" t="s">
        <v>341</v>
      </c>
      <c r="T491" t="s">
        <v>342</v>
      </c>
      <c r="U491" t="s">
        <v>343</v>
      </c>
      <c r="V491" t="s">
        <v>345</v>
      </c>
      <c r="W491" s="17"/>
      <c r="X491" t="s">
        <v>349</v>
      </c>
      <c r="Y491" t="s">
        <v>349</v>
      </c>
      <c r="Z491" t="s">
        <v>293</v>
      </c>
      <c r="AA491" t="s">
        <v>353</v>
      </c>
      <c r="AB491" t="s">
        <v>297</v>
      </c>
      <c r="AC491" t="s">
        <v>299</v>
      </c>
      <c r="AD491" t="s">
        <v>292</v>
      </c>
      <c r="AE491" t="s">
        <v>293</v>
      </c>
      <c r="AF491" t="s">
        <v>292</v>
      </c>
      <c r="AG491" t="s">
        <v>293</v>
      </c>
      <c r="AH491" t="s">
        <v>293</v>
      </c>
      <c r="AI491" t="s">
        <v>302</v>
      </c>
      <c r="AJ491" t="s">
        <v>359</v>
      </c>
      <c r="AK491" t="s">
        <v>359</v>
      </c>
      <c r="AL491" t="s">
        <v>293</v>
      </c>
      <c r="AM491" t="s">
        <v>293</v>
      </c>
      <c r="AN491" t="s">
        <v>297</v>
      </c>
      <c r="AO491" t="s">
        <v>298</v>
      </c>
      <c r="AP491" t="s">
        <v>293</v>
      </c>
      <c r="AQ491" t="s">
        <v>292</v>
      </c>
      <c r="AR491" t="s">
        <v>362</v>
      </c>
      <c r="AS491" t="s">
        <v>293</v>
      </c>
      <c r="AT491" t="s">
        <v>364</v>
      </c>
      <c r="AU491" t="str">
        <f t="shared" si="18"/>
        <v>no_fail</v>
      </c>
      <c r="AW491" t="s">
        <v>652</v>
      </c>
      <c r="AX491" t="s">
        <v>653</v>
      </c>
    </row>
    <row r="492" spans="1:50" hidden="1" x14ac:dyDescent="0.3">
      <c r="A492" t="s">
        <v>381</v>
      </c>
      <c r="B492" t="s">
        <v>288</v>
      </c>
      <c r="C492" t="s">
        <v>633</v>
      </c>
      <c r="D492" t="s">
        <v>288</v>
      </c>
      <c r="E492" t="str">
        <f t="shared" si="16"/>
        <v>BNPjd</v>
      </c>
      <c r="F492" t="b">
        <v>1</v>
      </c>
      <c r="G492">
        <v>100</v>
      </c>
      <c r="H492">
        <f t="shared" si="17"/>
        <v>1</v>
      </c>
      <c r="I492">
        <v>14534</v>
      </c>
      <c r="J492" s="61" t="s">
        <v>18</v>
      </c>
      <c r="K492" t="s">
        <v>272</v>
      </c>
      <c r="L492">
        <v>2</v>
      </c>
      <c r="M492" t="s">
        <v>333</v>
      </c>
      <c r="N492" t="s">
        <v>278</v>
      </c>
      <c r="O492" t="s">
        <v>287</v>
      </c>
      <c r="P492" t="s">
        <v>371</v>
      </c>
      <c r="Q492" t="s">
        <v>371</v>
      </c>
      <c r="R492" t="s">
        <v>371</v>
      </c>
      <c r="S492" t="s">
        <v>340</v>
      </c>
      <c r="T492" t="s">
        <v>342</v>
      </c>
      <c r="U492" t="s">
        <v>343</v>
      </c>
      <c r="V492" t="s">
        <v>291</v>
      </c>
      <c r="W492" s="17"/>
      <c r="X492" t="s">
        <v>351</v>
      </c>
      <c r="Y492" t="s">
        <v>349</v>
      </c>
      <c r="Z492" t="s">
        <v>293</v>
      </c>
      <c r="AA492" t="s">
        <v>352</v>
      </c>
      <c r="AB492" t="s">
        <v>296</v>
      </c>
      <c r="AC492" t="s">
        <v>300</v>
      </c>
      <c r="AD492" t="s">
        <v>292</v>
      </c>
      <c r="AE492" t="s">
        <v>293</v>
      </c>
      <c r="AF492" t="s">
        <v>292</v>
      </c>
      <c r="AG492" t="s">
        <v>292</v>
      </c>
      <c r="AH492" t="s">
        <v>293</v>
      </c>
      <c r="AI492" t="s">
        <v>302</v>
      </c>
      <c r="AJ492" t="s">
        <v>357</v>
      </c>
      <c r="AK492" t="s">
        <v>359</v>
      </c>
      <c r="AL492" t="s">
        <v>293</v>
      </c>
      <c r="AM492" t="s">
        <v>293</v>
      </c>
      <c r="AN492" t="s">
        <v>296</v>
      </c>
      <c r="AO492" t="s">
        <v>298</v>
      </c>
      <c r="AP492" t="s">
        <v>293</v>
      </c>
      <c r="AQ492" t="s">
        <v>292</v>
      </c>
      <c r="AR492" t="s">
        <v>293</v>
      </c>
      <c r="AS492" t="s">
        <v>293</v>
      </c>
      <c r="AT492" t="s">
        <v>687</v>
      </c>
      <c r="AU492" t="str">
        <f t="shared" si="18"/>
        <v>break</v>
      </c>
      <c r="AW492" t="s">
        <v>634</v>
      </c>
      <c r="AX492" t="s">
        <v>635</v>
      </c>
    </row>
    <row r="493" spans="1:50" hidden="1" x14ac:dyDescent="0.3">
      <c r="A493" t="s">
        <v>381</v>
      </c>
      <c r="B493" t="s">
        <v>288</v>
      </c>
      <c r="C493" t="s">
        <v>591</v>
      </c>
      <c r="D493" t="s">
        <v>288</v>
      </c>
      <c r="E493" t="str">
        <f t="shared" si="16"/>
        <v>D5eOO</v>
      </c>
      <c r="F493" t="b">
        <v>1</v>
      </c>
      <c r="G493">
        <v>57</v>
      </c>
      <c r="H493">
        <f t="shared" si="17"/>
        <v>0</v>
      </c>
      <c r="I493">
        <v>9673</v>
      </c>
      <c r="J493" s="61" t="s">
        <v>13</v>
      </c>
      <c r="K493" t="s">
        <v>272</v>
      </c>
      <c r="L493">
        <v>3</v>
      </c>
      <c r="M493" t="s">
        <v>277</v>
      </c>
      <c r="N493" t="s">
        <v>335</v>
      </c>
      <c r="O493" t="s">
        <v>282</v>
      </c>
      <c r="P493" t="s">
        <v>371</v>
      </c>
      <c r="Q493" t="s">
        <v>371</v>
      </c>
      <c r="R493" t="s">
        <v>371</v>
      </c>
      <c r="S493" t="s">
        <v>341</v>
      </c>
      <c r="T493" t="s">
        <v>342</v>
      </c>
      <c r="U493" t="s">
        <v>343</v>
      </c>
      <c r="V493" t="s">
        <v>345</v>
      </c>
      <c r="W493" s="17" t="s">
        <v>344</v>
      </c>
      <c r="X493" t="s">
        <v>349</v>
      </c>
      <c r="Y493" t="s">
        <v>349</v>
      </c>
      <c r="Z493" t="s">
        <v>293</v>
      </c>
      <c r="AA493" t="s">
        <v>353</v>
      </c>
      <c r="AB493" t="s">
        <v>297</v>
      </c>
      <c r="AC493" t="s">
        <v>300</v>
      </c>
      <c r="AD493" t="s">
        <v>292</v>
      </c>
      <c r="AE493" t="s">
        <v>293</v>
      </c>
      <c r="AF493" t="s">
        <v>292</v>
      </c>
      <c r="AG493" t="s">
        <v>293</v>
      </c>
      <c r="AH493" t="s">
        <v>293</v>
      </c>
      <c r="AI493" t="s">
        <v>302</v>
      </c>
      <c r="AJ493" t="s">
        <v>302</v>
      </c>
      <c r="AK493" t="s">
        <v>359</v>
      </c>
      <c r="AL493" t="s">
        <v>293</v>
      </c>
      <c r="AM493" t="s">
        <v>293</v>
      </c>
      <c r="AN493" t="s">
        <v>297</v>
      </c>
      <c r="AO493" t="s">
        <v>298</v>
      </c>
      <c r="AP493" t="s">
        <v>293</v>
      </c>
      <c r="AQ493" t="s">
        <v>292</v>
      </c>
      <c r="AR493" t="s">
        <v>293</v>
      </c>
      <c r="AS493" t="s">
        <v>293</v>
      </c>
      <c r="AT493" t="s">
        <v>364</v>
      </c>
      <c r="AU493" t="str">
        <f t="shared" si="18"/>
        <v>no_fail</v>
      </c>
      <c r="AW493" t="s">
        <v>592</v>
      </c>
      <c r="AX493" t="s">
        <v>593</v>
      </c>
    </row>
    <row r="494" spans="1:50" hidden="1" x14ac:dyDescent="0.3">
      <c r="A494" t="s">
        <v>381</v>
      </c>
      <c r="B494" t="s">
        <v>288</v>
      </c>
      <c r="C494" t="s">
        <v>456</v>
      </c>
      <c r="D494" t="s">
        <v>288</v>
      </c>
      <c r="E494" t="str">
        <f t="shared" si="16"/>
        <v>D5GKP</v>
      </c>
      <c r="F494" t="b">
        <v>1</v>
      </c>
      <c r="G494">
        <v>99</v>
      </c>
      <c r="H494">
        <f t="shared" si="17"/>
        <v>0</v>
      </c>
      <c r="I494">
        <v>7729</v>
      </c>
      <c r="J494" s="61" t="s">
        <v>13</v>
      </c>
      <c r="K494" t="s">
        <v>272</v>
      </c>
      <c r="L494">
        <v>3</v>
      </c>
      <c r="M494" t="s">
        <v>277</v>
      </c>
      <c r="N494" t="s">
        <v>335</v>
      </c>
      <c r="O494" t="s">
        <v>281</v>
      </c>
      <c r="P494" t="s">
        <v>282</v>
      </c>
      <c r="Q494" t="s">
        <v>371</v>
      </c>
      <c r="R494" t="s">
        <v>371</v>
      </c>
      <c r="S494" t="s">
        <v>341</v>
      </c>
      <c r="T494" t="s">
        <v>340</v>
      </c>
      <c r="U494" t="s">
        <v>343</v>
      </c>
      <c r="V494" t="s">
        <v>345</v>
      </c>
      <c r="W494" s="17"/>
      <c r="X494" t="s">
        <v>350</v>
      </c>
      <c r="Y494" t="s">
        <v>349</v>
      </c>
      <c r="Z494" t="s">
        <v>293</v>
      </c>
      <c r="AA494" t="s">
        <v>353</v>
      </c>
      <c r="AB494" t="s">
        <v>355</v>
      </c>
      <c r="AC494" t="s">
        <v>299</v>
      </c>
      <c r="AD494" t="s">
        <v>292</v>
      </c>
      <c r="AE494" t="s">
        <v>293</v>
      </c>
      <c r="AF494" t="s">
        <v>292</v>
      </c>
      <c r="AG494" t="s">
        <v>292</v>
      </c>
      <c r="AH494" t="s">
        <v>293</v>
      </c>
      <c r="AI494" t="s">
        <v>302</v>
      </c>
      <c r="AJ494" t="s">
        <v>302</v>
      </c>
      <c r="AK494" t="s">
        <v>359</v>
      </c>
      <c r="AL494" t="s">
        <v>293</v>
      </c>
      <c r="AM494" t="s">
        <v>293</v>
      </c>
      <c r="AN494" t="s">
        <v>297</v>
      </c>
      <c r="AO494" t="s">
        <v>298</v>
      </c>
      <c r="AP494" t="s">
        <v>293</v>
      </c>
      <c r="AQ494" t="s">
        <v>292</v>
      </c>
      <c r="AR494" t="s">
        <v>293</v>
      </c>
      <c r="AS494" t="s">
        <v>293</v>
      </c>
      <c r="AT494" t="s">
        <v>364</v>
      </c>
      <c r="AU494" t="str">
        <f t="shared" si="18"/>
        <v>no_fail</v>
      </c>
      <c r="AW494" t="s">
        <v>457</v>
      </c>
      <c r="AX494" t="s">
        <v>458</v>
      </c>
    </row>
    <row r="495" spans="1:50" hidden="1" x14ac:dyDescent="0.3">
      <c r="A495" t="s">
        <v>381</v>
      </c>
      <c r="B495" t="s">
        <v>288</v>
      </c>
      <c r="C495" t="s">
        <v>537</v>
      </c>
      <c r="D495" t="s">
        <v>288</v>
      </c>
      <c r="E495" t="str">
        <f t="shared" si="16"/>
        <v>dol5G</v>
      </c>
      <c r="F495" t="b">
        <v>1</v>
      </c>
      <c r="G495">
        <v>65</v>
      </c>
      <c r="H495">
        <f t="shared" si="17"/>
        <v>0</v>
      </c>
      <c r="I495">
        <v>11871</v>
      </c>
      <c r="J495" s="61" t="s">
        <v>13</v>
      </c>
      <c r="K495" t="s">
        <v>272</v>
      </c>
      <c r="L495">
        <v>3</v>
      </c>
      <c r="M495" t="s">
        <v>277</v>
      </c>
      <c r="N495" t="s">
        <v>335</v>
      </c>
      <c r="O495" t="s">
        <v>283</v>
      </c>
      <c r="P495" t="s">
        <v>282</v>
      </c>
      <c r="Q495" t="s">
        <v>371</v>
      </c>
      <c r="R495" t="s">
        <v>371</v>
      </c>
      <c r="S495" t="s">
        <v>341</v>
      </c>
      <c r="T495" t="s">
        <v>342</v>
      </c>
      <c r="U495" t="s">
        <v>343</v>
      </c>
      <c r="V495" t="s">
        <v>344</v>
      </c>
      <c r="W495" s="17"/>
      <c r="X495" t="s">
        <v>349</v>
      </c>
      <c r="Y495" t="s">
        <v>349</v>
      </c>
      <c r="Z495" t="s">
        <v>293</v>
      </c>
      <c r="AA495" t="s">
        <v>353</v>
      </c>
      <c r="AB495" t="s">
        <v>297</v>
      </c>
      <c r="AC495" t="s">
        <v>301</v>
      </c>
      <c r="AD495" t="s">
        <v>292</v>
      </c>
      <c r="AE495" t="s">
        <v>293</v>
      </c>
      <c r="AF495" t="s">
        <v>292</v>
      </c>
      <c r="AG495" t="s">
        <v>293</v>
      </c>
      <c r="AH495" t="s">
        <v>293</v>
      </c>
      <c r="AI495" t="s">
        <v>302</v>
      </c>
      <c r="AJ495" t="s">
        <v>302</v>
      </c>
      <c r="AK495" t="s">
        <v>359</v>
      </c>
      <c r="AL495" t="s">
        <v>293</v>
      </c>
      <c r="AM495" t="s">
        <v>293</v>
      </c>
      <c r="AN495" t="s">
        <v>297</v>
      </c>
      <c r="AO495" t="s">
        <v>298</v>
      </c>
      <c r="AP495" t="s">
        <v>293</v>
      </c>
      <c r="AQ495" t="s">
        <v>292</v>
      </c>
      <c r="AR495" t="s">
        <v>293</v>
      </c>
      <c r="AS495" t="s">
        <v>293</v>
      </c>
      <c r="AT495" t="s">
        <v>364</v>
      </c>
      <c r="AU495" t="str">
        <f t="shared" si="18"/>
        <v>no_fail</v>
      </c>
      <c r="AW495" t="s">
        <v>538</v>
      </c>
      <c r="AX495" t="s">
        <v>539</v>
      </c>
    </row>
    <row r="496" spans="1:50" hidden="1" x14ac:dyDescent="0.3">
      <c r="A496" t="s">
        <v>381</v>
      </c>
      <c r="B496" t="s">
        <v>288</v>
      </c>
      <c r="C496" t="s">
        <v>471</v>
      </c>
      <c r="D496" t="s">
        <v>288</v>
      </c>
      <c r="E496" t="str">
        <f t="shared" si="16"/>
        <v>doRRG</v>
      </c>
      <c r="F496" t="b">
        <v>1</v>
      </c>
      <c r="G496">
        <v>85.5</v>
      </c>
      <c r="H496">
        <f t="shared" si="17"/>
        <v>0</v>
      </c>
      <c r="I496">
        <v>14998</v>
      </c>
      <c r="J496" s="61" t="s">
        <v>13</v>
      </c>
      <c r="K496" t="s">
        <v>272</v>
      </c>
      <c r="L496">
        <v>3</v>
      </c>
      <c r="M496" t="s">
        <v>277</v>
      </c>
      <c r="N496" t="s">
        <v>335</v>
      </c>
      <c r="O496" t="s">
        <v>281</v>
      </c>
      <c r="P496" t="s">
        <v>285</v>
      </c>
      <c r="Q496" t="s">
        <v>282</v>
      </c>
      <c r="R496" t="s">
        <v>371</v>
      </c>
      <c r="S496" t="s">
        <v>341</v>
      </c>
      <c r="T496" t="s">
        <v>342</v>
      </c>
      <c r="U496" t="s">
        <v>343</v>
      </c>
      <c r="V496" t="s">
        <v>344</v>
      </c>
      <c r="W496" s="17"/>
      <c r="X496" t="s">
        <v>350</v>
      </c>
      <c r="Y496" t="s">
        <v>349</v>
      </c>
      <c r="Z496" t="s">
        <v>293</v>
      </c>
      <c r="AA496" t="s">
        <v>353</v>
      </c>
      <c r="AB496" t="s">
        <v>297</v>
      </c>
      <c r="AC496" t="s">
        <v>301</v>
      </c>
      <c r="AD496" t="s">
        <v>292</v>
      </c>
      <c r="AE496" t="s">
        <v>292</v>
      </c>
      <c r="AF496" t="s">
        <v>292</v>
      </c>
      <c r="AG496" t="s">
        <v>292</v>
      </c>
      <c r="AH496" t="s">
        <v>293</v>
      </c>
      <c r="AI496" t="s">
        <v>302</v>
      </c>
      <c r="AJ496" t="s">
        <v>302</v>
      </c>
      <c r="AK496" t="s">
        <v>359</v>
      </c>
      <c r="AL496" t="s">
        <v>293</v>
      </c>
      <c r="AM496" t="s">
        <v>293</v>
      </c>
      <c r="AN496" t="s">
        <v>297</v>
      </c>
      <c r="AO496" t="s">
        <v>298</v>
      </c>
      <c r="AP496" t="s">
        <v>360</v>
      </c>
      <c r="AQ496" t="s">
        <v>292</v>
      </c>
      <c r="AR496" t="s">
        <v>293</v>
      </c>
      <c r="AS496" t="s">
        <v>293</v>
      </c>
      <c r="AT496" t="s">
        <v>364</v>
      </c>
      <c r="AU496" t="str">
        <f t="shared" si="18"/>
        <v>no_fail</v>
      </c>
      <c r="AW496" t="s">
        <v>472</v>
      </c>
      <c r="AX496" t="s">
        <v>473</v>
      </c>
    </row>
    <row r="497" spans="1:50" hidden="1" x14ac:dyDescent="0.3">
      <c r="A497" t="s">
        <v>381</v>
      </c>
      <c r="B497" t="s">
        <v>288</v>
      </c>
      <c r="C497" t="s">
        <v>546</v>
      </c>
      <c r="D497" t="s">
        <v>288</v>
      </c>
      <c r="E497" t="str">
        <f t="shared" si="16"/>
        <v>Dz244</v>
      </c>
      <c r="F497" t="b">
        <v>1</v>
      </c>
      <c r="G497">
        <v>100</v>
      </c>
      <c r="H497">
        <f t="shared" si="17"/>
        <v>1</v>
      </c>
      <c r="I497">
        <v>14988</v>
      </c>
      <c r="J497" s="61" t="s">
        <v>18</v>
      </c>
      <c r="K497" t="s">
        <v>272</v>
      </c>
      <c r="L497">
        <v>3</v>
      </c>
      <c r="M497" t="s">
        <v>277</v>
      </c>
      <c r="N497" t="s">
        <v>335</v>
      </c>
      <c r="O497" t="s">
        <v>282</v>
      </c>
      <c r="P497" t="s">
        <v>371</v>
      </c>
      <c r="Q497" t="s">
        <v>371</v>
      </c>
      <c r="R497" t="s">
        <v>371</v>
      </c>
      <c r="S497" t="s">
        <v>341</v>
      </c>
      <c r="T497" t="s">
        <v>342</v>
      </c>
      <c r="U497" t="s">
        <v>343</v>
      </c>
      <c r="V497" t="s">
        <v>291</v>
      </c>
      <c r="W497" s="17"/>
      <c r="X497" t="s">
        <v>349</v>
      </c>
      <c r="Y497" t="s">
        <v>349</v>
      </c>
      <c r="Z497" t="s">
        <v>293</v>
      </c>
      <c r="AA497" t="s">
        <v>353</v>
      </c>
      <c r="AB497" t="s">
        <v>296</v>
      </c>
      <c r="AC497" t="s">
        <v>299</v>
      </c>
      <c r="AD497" t="s">
        <v>292</v>
      </c>
      <c r="AE497" t="s">
        <v>292</v>
      </c>
      <c r="AF497" t="s">
        <v>292</v>
      </c>
      <c r="AG497" t="s">
        <v>292</v>
      </c>
      <c r="AH497" t="s">
        <v>293</v>
      </c>
      <c r="AI497" t="s">
        <v>302</v>
      </c>
      <c r="AJ497" t="s">
        <v>302</v>
      </c>
      <c r="AK497" t="s">
        <v>359</v>
      </c>
      <c r="AL497" t="s">
        <v>293</v>
      </c>
      <c r="AM497" t="s">
        <v>293</v>
      </c>
      <c r="AN497" t="s">
        <v>296</v>
      </c>
      <c r="AO497" t="s">
        <v>298</v>
      </c>
      <c r="AP497" t="s">
        <v>361</v>
      </c>
      <c r="AQ497" t="s">
        <v>292</v>
      </c>
      <c r="AR497" t="s">
        <v>293</v>
      </c>
      <c r="AS497" t="s">
        <v>293</v>
      </c>
      <c r="AT497" t="s">
        <v>364</v>
      </c>
      <c r="AU497" t="str">
        <f t="shared" si="18"/>
        <v>break</v>
      </c>
      <c r="AW497" t="s">
        <v>547</v>
      </c>
      <c r="AX497" t="s">
        <v>548</v>
      </c>
    </row>
    <row r="498" spans="1:50" hidden="1" x14ac:dyDescent="0.3">
      <c r="A498" t="s">
        <v>381</v>
      </c>
      <c r="B498" t="s">
        <v>288</v>
      </c>
      <c r="C498" t="s">
        <v>468</v>
      </c>
      <c r="D498" t="s">
        <v>288</v>
      </c>
      <c r="E498" t="str">
        <f t="shared" si="16"/>
        <v>Dzmd4</v>
      </c>
      <c r="F498" t="b">
        <v>1</v>
      </c>
      <c r="G498">
        <v>82.3</v>
      </c>
      <c r="H498">
        <f t="shared" si="17"/>
        <v>0</v>
      </c>
      <c r="I498">
        <v>6759</v>
      </c>
      <c r="J498" s="61" t="s">
        <v>13</v>
      </c>
      <c r="K498" t="s">
        <v>272</v>
      </c>
      <c r="L498">
        <v>3</v>
      </c>
      <c r="M498" t="s">
        <v>277</v>
      </c>
      <c r="N498" t="s">
        <v>335</v>
      </c>
      <c r="O498" t="s">
        <v>281</v>
      </c>
      <c r="P498" t="s">
        <v>282</v>
      </c>
      <c r="Q498" t="s">
        <v>284</v>
      </c>
      <c r="R498" t="s">
        <v>371</v>
      </c>
      <c r="S498" t="s">
        <v>341</v>
      </c>
      <c r="T498" t="s">
        <v>342</v>
      </c>
      <c r="U498" t="s">
        <v>343</v>
      </c>
      <c r="V498" t="s">
        <v>344</v>
      </c>
      <c r="W498" s="17"/>
      <c r="X498" t="s">
        <v>350</v>
      </c>
      <c r="Y498" t="s">
        <v>349</v>
      </c>
      <c r="Z498" t="s">
        <v>293</v>
      </c>
      <c r="AA498" t="s">
        <v>353</v>
      </c>
      <c r="AB498" t="s">
        <v>297</v>
      </c>
      <c r="AC498" t="s">
        <v>299</v>
      </c>
      <c r="AD498" t="s">
        <v>292</v>
      </c>
      <c r="AE498" t="s">
        <v>293</v>
      </c>
      <c r="AF498" t="s">
        <v>292</v>
      </c>
      <c r="AG498" t="s">
        <v>293</v>
      </c>
      <c r="AH498" t="s">
        <v>293</v>
      </c>
      <c r="AI498" t="s">
        <v>302</v>
      </c>
      <c r="AJ498" t="s">
        <v>302</v>
      </c>
      <c r="AK498" t="s">
        <v>359</v>
      </c>
      <c r="AL498" t="s">
        <v>293</v>
      </c>
      <c r="AM498" t="s">
        <v>293</v>
      </c>
      <c r="AN498" t="s">
        <v>297</v>
      </c>
      <c r="AO498" t="s">
        <v>298</v>
      </c>
      <c r="AP498" t="s">
        <v>293</v>
      </c>
      <c r="AQ498" t="s">
        <v>292</v>
      </c>
      <c r="AR498" t="s">
        <v>293</v>
      </c>
      <c r="AS498" t="s">
        <v>293</v>
      </c>
      <c r="AT498" t="s">
        <v>364</v>
      </c>
      <c r="AU498" t="str">
        <f t="shared" si="18"/>
        <v>no_fail</v>
      </c>
      <c r="AW498" t="s">
        <v>469</v>
      </c>
      <c r="AX498" t="s">
        <v>470</v>
      </c>
    </row>
    <row r="499" spans="1:50" hidden="1" x14ac:dyDescent="0.3">
      <c r="A499" t="s">
        <v>381</v>
      </c>
      <c r="B499" t="s">
        <v>288</v>
      </c>
      <c r="C499" t="s">
        <v>396</v>
      </c>
      <c r="D499" t="s">
        <v>288</v>
      </c>
      <c r="E499" t="str">
        <f t="shared" si="16"/>
        <v>e3zza</v>
      </c>
      <c r="F499" t="b">
        <v>1</v>
      </c>
      <c r="G499">
        <v>100</v>
      </c>
      <c r="H499">
        <f t="shared" si="17"/>
        <v>1</v>
      </c>
      <c r="I499">
        <v>12690</v>
      </c>
      <c r="J499" s="61" t="s">
        <v>18</v>
      </c>
      <c r="K499" t="s">
        <v>273</v>
      </c>
      <c r="L499">
        <v>2</v>
      </c>
      <c r="M499" t="s">
        <v>333</v>
      </c>
      <c r="N499" t="s">
        <v>278</v>
      </c>
      <c r="O499" t="s">
        <v>283</v>
      </c>
      <c r="P499" t="s">
        <v>371</v>
      </c>
      <c r="Q499" t="s">
        <v>371</v>
      </c>
      <c r="R499" t="s">
        <v>371</v>
      </c>
      <c r="S499" t="s">
        <v>341</v>
      </c>
      <c r="T499" t="s">
        <v>340</v>
      </c>
      <c r="U499" t="s">
        <v>343</v>
      </c>
      <c r="V499" t="s">
        <v>345</v>
      </c>
      <c r="W499" s="17"/>
      <c r="X499" t="s">
        <v>349</v>
      </c>
      <c r="Y499" t="s">
        <v>349</v>
      </c>
      <c r="Z499" t="s">
        <v>293</v>
      </c>
      <c r="AA499" t="s">
        <v>352</v>
      </c>
      <c r="AB499" t="s">
        <v>296</v>
      </c>
      <c r="AC499" t="s">
        <v>301</v>
      </c>
      <c r="AD499" t="s">
        <v>292</v>
      </c>
      <c r="AE499" t="s">
        <v>293</v>
      </c>
      <c r="AF499" t="s">
        <v>292</v>
      </c>
      <c r="AG499" t="s">
        <v>292</v>
      </c>
      <c r="AH499" t="s">
        <v>293</v>
      </c>
      <c r="AI499" t="s">
        <v>302</v>
      </c>
      <c r="AJ499" t="s">
        <v>357</v>
      </c>
      <c r="AK499" t="s">
        <v>359</v>
      </c>
      <c r="AL499" t="s">
        <v>293</v>
      </c>
      <c r="AM499" t="s">
        <v>293</v>
      </c>
      <c r="AN499" t="s">
        <v>297</v>
      </c>
      <c r="AO499" t="s">
        <v>298</v>
      </c>
      <c r="AP499" t="s">
        <v>293</v>
      </c>
      <c r="AQ499" t="s">
        <v>292</v>
      </c>
      <c r="AR499" t="s">
        <v>293</v>
      </c>
      <c r="AS499" t="s">
        <v>293</v>
      </c>
      <c r="AT499" t="s">
        <v>364</v>
      </c>
      <c r="AU499" t="str">
        <f t="shared" si="18"/>
        <v>break</v>
      </c>
      <c r="AW499" t="s">
        <v>397</v>
      </c>
      <c r="AX499" t="s">
        <v>398</v>
      </c>
    </row>
    <row r="500" spans="1:50" hidden="1" x14ac:dyDescent="0.3">
      <c r="A500" t="s">
        <v>381</v>
      </c>
      <c r="B500" t="s">
        <v>288</v>
      </c>
      <c r="C500" t="s">
        <v>606</v>
      </c>
      <c r="D500" t="s">
        <v>288</v>
      </c>
      <c r="E500" t="str">
        <f t="shared" si="16"/>
        <v>EB3WD</v>
      </c>
      <c r="F500" t="b">
        <v>1</v>
      </c>
      <c r="G500">
        <v>98.7</v>
      </c>
      <c r="H500">
        <f t="shared" si="17"/>
        <v>0</v>
      </c>
      <c r="I500">
        <v>8241</v>
      </c>
      <c r="J500" s="61" t="s">
        <v>13</v>
      </c>
      <c r="K500" t="s">
        <v>272</v>
      </c>
      <c r="L500">
        <v>3</v>
      </c>
      <c r="M500" t="s">
        <v>333</v>
      </c>
      <c r="N500" t="s">
        <v>278</v>
      </c>
      <c r="O500" t="s">
        <v>283</v>
      </c>
      <c r="P500" t="s">
        <v>371</v>
      </c>
      <c r="Q500" t="s">
        <v>371</v>
      </c>
      <c r="R500" t="s">
        <v>371</v>
      </c>
      <c r="S500" t="s">
        <v>341</v>
      </c>
      <c r="T500" t="s">
        <v>340</v>
      </c>
      <c r="U500" t="s">
        <v>343</v>
      </c>
      <c r="V500" t="s">
        <v>344</v>
      </c>
      <c r="W500" s="17"/>
      <c r="X500" t="s">
        <v>349</v>
      </c>
      <c r="Y500" t="s">
        <v>349</v>
      </c>
      <c r="Z500" t="s">
        <v>293</v>
      </c>
      <c r="AA500" t="s">
        <v>352</v>
      </c>
      <c r="AB500" t="s">
        <v>297</v>
      </c>
      <c r="AC500" t="s">
        <v>300</v>
      </c>
      <c r="AD500" t="s">
        <v>292</v>
      </c>
      <c r="AE500" t="s">
        <v>292</v>
      </c>
      <c r="AF500" t="s">
        <v>292</v>
      </c>
      <c r="AG500" t="s">
        <v>293</v>
      </c>
      <c r="AH500" t="s">
        <v>293</v>
      </c>
      <c r="AI500" t="s">
        <v>302</v>
      </c>
      <c r="AJ500" t="s">
        <v>359</v>
      </c>
      <c r="AK500" t="s">
        <v>359</v>
      </c>
      <c r="AL500" t="s">
        <v>293</v>
      </c>
      <c r="AM500" t="s">
        <v>293</v>
      </c>
      <c r="AN500" t="s">
        <v>297</v>
      </c>
      <c r="AO500" t="s">
        <v>298</v>
      </c>
      <c r="AP500" t="s">
        <v>293</v>
      </c>
      <c r="AQ500" t="s">
        <v>292</v>
      </c>
      <c r="AR500" t="s">
        <v>293</v>
      </c>
      <c r="AS500" t="s">
        <v>293</v>
      </c>
      <c r="AT500" t="s">
        <v>364</v>
      </c>
      <c r="AU500" t="str">
        <f t="shared" si="18"/>
        <v>no_fail</v>
      </c>
      <c r="AW500" t="s">
        <v>607</v>
      </c>
      <c r="AX500" t="s">
        <v>608</v>
      </c>
    </row>
    <row r="501" spans="1:50" hidden="1" x14ac:dyDescent="0.3">
      <c r="A501" t="s">
        <v>381</v>
      </c>
      <c r="B501" t="s">
        <v>288</v>
      </c>
      <c r="C501" t="s">
        <v>609</v>
      </c>
      <c r="D501" t="s">
        <v>288</v>
      </c>
      <c r="E501" t="str">
        <f t="shared" si="16"/>
        <v>EB5ye</v>
      </c>
      <c r="F501" t="b">
        <v>1</v>
      </c>
      <c r="G501">
        <v>100</v>
      </c>
      <c r="H501">
        <f t="shared" si="17"/>
        <v>1</v>
      </c>
      <c r="I501">
        <v>14773</v>
      </c>
      <c r="J501" s="61" t="s">
        <v>13</v>
      </c>
      <c r="K501" t="s">
        <v>272</v>
      </c>
      <c r="L501">
        <v>3</v>
      </c>
      <c r="M501" t="s">
        <v>277</v>
      </c>
      <c r="N501" t="s">
        <v>335</v>
      </c>
      <c r="O501" t="s">
        <v>282</v>
      </c>
      <c r="P501" t="s">
        <v>371</v>
      </c>
      <c r="Q501" t="s">
        <v>371</v>
      </c>
      <c r="R501" t="s">
        <v>371</v>
      </c>
      <c r="S501" t="s">
        <v>340</v>
      </c>
      <c r="T501" t="s">
        <v>342</v>
      </c>
      <c r="U501" t="s">
        <v>343</v>
      </c>
      <c r="V501" t="s">
        <v>344</v>
      </c>
      <c r="W501" s="17"/>
      <c r="X501" t="s">
        <v>349</v>
      </c>
      <c r="Y501" t="s">
        <v>349</v>
      </c>
      <c r="Z501" t="s">
        <v>293</v>
      </c>
      <c r="AA501" t="s">
        <v>352</v>
      </c>
      <c r="AB501" t="s">
        <v>297</v>
      </c>
      <c r="AC501" t="s">
        <v>300</v>
      </c>
      <c r="AD501" t="s">
        <v>292</v>
      </c>
      <c r="AE501" t="s">
        <v>293</v>
      </c>
      <c r="AF501" t="s">
        <v>292</v>
      </c>
      <c r="AG501" t="s">
        <v>292</v>
      </c>
      <c r="AH501" t="s">
        <v>293</v>
      </c>
      <c r="AI501" t="s">
        <v>302</v>
      </c>
      <c r="AJ501" t="s">
        <v>302</v>
      </c>
      <c r="AK501" t="s">
        <v>359</v>
      </c>
      <c r="AL501" t="s">
        <v>293</v>
      </c>
      <c r="AM501" t="s">
        <v>293</v>
      </c>
      <c r="AN501" t="s">
        <v>296</v>
      </c>
      <c r="AO501" t="s">
        <v>298</v>
      </c>
      <c r="AP501" t="s">
        <v>293</v>
      </c>
      <c r="AQ501" t="s">
        <v>292</v>
      </c>
      <c r="AR501" t="s">
        <v>293</v>
      </c>
      <c r="AS501" t="s">
        <v>293</v>
      </c>
      <c r="AT501" t="s">
        <v>364</v>
      </c>
      <c r="AU501" t="str">
        <f t="shared" si="18"/>
        <v>break</v>
      </c>
      <c r="AW501" t="s">
        <v>610</v>
      </c>
      <c r="AX501" t="s">
        <v>611</v>
      </c>
    </row>
    <row r="502" spans="1:50" hidden="1" x14ac:dyDescent="0.3">
      <c r="A502" t="s">
        <v>381</v>
      </c>
      <c r="B502" t="s">
        <v>288</v>
      </c>
      <c r="C502" t="s">
        <v>624</v>
      </c>
      <c r="D502" t="s">
        <v>288</v>
      </c>
      <c r="E502" t="str">
        <f t="shared" si="16"/>
        <v>EBEL0</v>
      </c>
      <c r="F502" t="b">
        <v>1</v>
      </c>
      <c r="G502">
        <v>99.6</v>
      </c>
      <c r="H502">
        <f t="shared" si="17"/>
        <v>0</v>
      </c>
      <c r="I502">
        <v>8149</v>
      </c>
      <c r="J502" s="61" t="s">
        <v>13</v>
      </c>
      <c r="K502" t="s">
        <v>272</v>
      </c>
      <c r="L502">
        <v>3</v>
      </c>
      <c r="M502" t="s">
        <v>277</v>
      </c>
      <c r="N502" t="s">
        <v>335</v>
      </c>
      <c r="O502" t="s">
        <v>339</v>
      </c>
      <c r="P502" t="s">
        <v>285</v>
      </c>
      <c r="Q502" t="s">
        <v>282</v>
      </c>
      <c r="R502" t="s">
        <v>371</v>
      </c>
      <c r="S502" t="s">
        <v>341</v>
      </c>
      <c r="T502" t="s">
        <v>340</v>
      </c>
      <c r="U502" t="s">
        <v>343</v>
      </c>
      <c r="V502" t="s">
        <v>345</v>
      </c>
      <c r="W502" s="17"/>
      <c r="X502" t="s">
        <v>349</v>
      </c>
      <c r="Y502" t="s">
        <v>349</v>
      </c>
      <c r="Z502" t="s">
        <v>293</v>
      </c>
      <c r="AA502" t="s">
        <v>353</v>
      </c>
      <c r="AB502" t="s">
        <v>297</v>
      </c>
      <c r="AC502" t="s">
        <v>299</v>
      </c>
      <c r="AD502" t="s">
        <v>292</v>
      </c>
      <c r="AE502" t="s">
        <v>293</v>
      </c>
      <c r="AF502" t="s">
        <v>292</v>
      </c>
      <c r="AG502" t="s">
        <v>293</v>
      </c>
      <c r="AH502" t="s">
        <v>293</v>
      </c>
      <c r="AI502" t="s">
        <v>302</v>
      </c>
      <c r="AJ502" t="s">
        <v>302</v>
      </c>
      <c r="AK502" t="s">
        <v>359</v>
      </c>
      <c r="AL502" t="s">
        <v>293</v>
      </c>
      <c r="AM502" t="s">
        <v>293</v>
      </c>
      <c r="AN502" t="s">
        <v>297</v>
      </c>
      <c r="AO502" t="s">
        <v>298</v>
      </c>
      <c r="AP502" t="s">
        <v>293</v>
      </c>
      <c r="AQ502" t="s">
        <v>292</v>
      </c>
      <c r="AR502" t="s">
        <v>362</v>
      </c>
      <c r="AS502" t="s">
        <v>293</v>
      </c>
      <c r="AT502" t="s">
        <v>364</v>
      </c>
      <c r="AU502" t="str">
        <f t="shared" si="18"/>
        <v>no_fail</v>
      </c>
      <c r="AW502" t="s">
        <v>625</v>
      </c>
      <c r="AX502" t="s">
        <v>626</v>
      </c>
    </row>
    <row r="503" spans="1:50" hidden="1" x14ac:dyDescent="0.3">
      <c r="A503" t="s">
        <v>381</v>
      </c>
      <c r="B503" t="s">
        <v>288</v>
      </c>
      <c r="C503" t="s">
        <v>642</v>
      </c>
      <c r="D503" t="s">
        <v>288</v>
      </c>
      <c r="E503" t="str">
        <f t="shared" si="16"/>
        <v>eDdjE</v>
      </c>
      <c r="F503" t="b">
        <v>1</v>
      </c>
      <c r="G503">
        <v>74.2</v>
      </c>
      <c r="H503">
        <f t="shared" si="17"/>
        <v>0</v>
      </c>
      <c r="I503">
        <v>12008</v>
      </c>
      <c r="J503" s="61" t="s">
        <v>13</v>
      </c>
      <c r="K503" t="s">
        <v>272</v>
      </c>
      <c r="L503">
        <v>3</v>
      </c>
      <c r="M503" t="s">
        <v>277</v>
      </c>
      <c r="N503" t="s">
        <v>335</v>
      </c>
      <c r="O503" t="s">
        <v>283</v>
      </c>
      <c r="P503" t="s">
        <v>281</v>
      </c>
      <c r="Q503" t="s">
        <v>284</v>
      </c>
      <c r="R503" t="s">
        <v>371</v>
      </c>
      <c r="S503" t="s">
        <v>341</v>
      </c>
      <c r="T503" t="s">
        <v>340</v>
      </c>
      <c r="U503" t="s">
        <v>343</v>
      </c>
      <c r="V503" t="s">
        <v>344</v>
      </c>
      <c r="W503" s="17"/>
      <c r="X503" t="s">
        <v>349</v>
      </c>
      <c r="Y503" t="s">
        <v>349</v>
      </c>
      <c r="Z503" t="s">
        <v>293</v>
      </c>
      <c r="AA503" t="s">
        <v>685</v>
      </c>
      <c r="AB503" t="s">
        <v>296</v>
      </c>
      <c r="AC503" t="s">
        <v>300</v>
      </c>
      <c r="AD503" t="s">
        <v>292</v>
      </c>
      <c r="AE503" t="s">
        <v>293</v>
      </c>
      <c r="AF503" t="s">
        <v>292</v>
      </c>
      <c r="AG503" t="s">
        <v>292</v>
      </c>
      <c r="AH503" t="s">
        <v>293</v>
      </c>
      <c r="AI503" t="s">
        <v>302</v>
      </c>
      <c r="AJ503" t="s">
        <v>302</v>
      </c>
      <c r="AK503" t="s">
        <v>359</v>
      </c>
      <c r="AL503" t="s">
        <v>293</v>
      </c>
      <c r="AM503" t="s">
        <v>293</v>
      </c>
      <c r="AN503" t="s">
        <v>297</v>
      </c>
      <c r="AO503" t="s">
        <v>298</v>
      </c>
      <c r="AP503" t="s">
        <v>293</v>
      </c>
      <c r="AQ503" t="s">
        <v>292</v>
      </c>
      <c r="AR503" t="s">
        <v>293</v>
      </c>
      <c r="AS503" t="s">
        <v>293</v>
      </c>
      <c r="AT503" t="s">
        <v>364</v>
      </c>
      <c r="AU503" t="str">
        <f t="shared" si="18"/>
        <v>no_fail</v>
      </c>
      <c r="AW503" t="s">
        <v>643</v>
      </c>
      <c r="AX503" t="s">
        <v>644</v>
      </c>
    </row>
    <row r="504" spans="1:50" hidden="1" x14ac:dyDescent="0.3">
      <c r="A504" t="s">
        <v>381</v>
      </c>
      <c r="B504" t="s">
        <v>288</v>
      </c>
      <c r="C504" t="s">
        <v>411</v>
      </c>
      <c r="D504" t="s">
        <v>288</v>
      </c>
      <c r="E504" t="str">
        <f t="shared" si="16"/>
        <v>ENaG2</v>
      </c>
      <c r="F504" t="b">
        <v>1</v>
      </c>
      <c r="G504">
        <v>100</v>
      </c>
      <c r="H504">
        <f t="shared" si="17"/>
        <v>1</v>
      </c>
      <c r="I504">
        <v>4143</v>
      </c>
      <c r="J504" s="61" t="s">
        <v>18</v>
      </c>
      <c r="K504" t="s">
        <v>272</v>
      </c>
      <c r="L504">
        <v>3</v>
      </c>
      <c r="M504" t="s">
        <v>277</v>
      </c>
      <c r="N504" t="s">
        <v>335</v>
      </c>
      <c r="O504" t="s">
        <v>339</v>
      </c>
      <c r="P504" t="s">
        <v>283</v>
      </c>
      <c r="Q504" t="s">
        <v>281</v>
      </c>
      <c r="R504" t="s">
        <v>338</v>
      </c>
      <c r="S504" t="s">
        <v>340</v>
      </c>
      <c r="T504" t="s">
        <v>342</v>
      </c>
      <c r="U504" t="s">
        <v>340</v>
      </c>
      <c r="V504" t="s">
        <v>291</v>
      </c>
      <c r="W504" s="17"/>
      <c r="X504" t="s">
        <v>351</v>
      </c>
      <c r="Y504" t="s">
        <v>350</v>
      </c>
      <c r="Z504" t="s">
        <v>292</v>
      </c>
      <c r="AA504" t="s">
        <v>354</v>
      </c>
      <c r="AB504" t="s">
        <v>354</v>
      </c>
      <c r="AC504" t="s">
        <v>299</v>
      </c>
      <c r="AD504" t="s">
        <v>292</v>
      </c>
      <c r="AE504" t="s">
        <v>293</v>
      </c>
      <c r="AF504" t="s">
        <v>292</v>
      </c>
      <c r="AG504" t="s">
        <v>293</v>
      </c>
      <c r="AH504" t="s">
        <v>293</v>
      </c>
      <c r="AI504" t="s">
        <v>302</v>
      </c>
      <c r="AJ504" t="s">
        <v>302</v>
      </c>
      <c r="AK504" t="s">
        <v>358</v>
      </c>
      <c r="AL504" t="s">
        <v>292</v>
      </c>
      <c r="AM504" t="s">
        <v>292</v>
      </c>
      <c r="AN504" t="s">
        <v>297</v>
      </c>
      <c r="AO504" t="s">
        <v>298</v>
      </c>
      <c r="AP504" t="s">
        <v>293</v>
      </c>
      <c r="AQ504" t="s">
        <v>292</v>
      </c>
      <c r="AR504" t="s">
        <v>293</v>
      </c>
      <c r="AS504" t="s">
        <v>293</v>
      </c>
      <c r="AT504" t="s">
        <v>364</v>
      </c>
      <c r="AU504" t="str">
        <f t="shared" si="18"/>
        <v>break</v>
      </c>
      <c r="AW504" t="s">
        <v>412</v>
      </c>
      <c r="AX504" t="s">
        <v>413</v>
      </c>
    </row>
    <row r="505" spans="1:50" hidden="1" x14ac:dyDescent="0.3">
      <c r="A505" t="s">
        <v>381</v>
      </c>
      <c r="B505" t="s">
        <v>288</v>
      </c>
      <c r="C505" t="s">
        <v>621</v>
      </c>
      <c r="D505" t="s">
        <v>288</v>
      </c>
      <c r="E505" t="str">
        <f t="shared" si="16"/>
        <v>ezQez</v>
      </c>
      <c r="F505" t="b">
        <v>1</v>
      </c>
      <c r="G505">
        <v>99.4</v>
      </c>
      <c r="H505">
        <f t="shared" si="17"/>
        <v>0</v>
      </c>
      <c r="I505">
        <v>6727</v>
      </c>
      <c r="J505" s="61" t="s">
        <v>13</v>
      </c>
      <c r="K505" t="s">
        <v>272</v>
      </c>
      <c r="L505">
        <v>3</v>
      </c>
      <c r="M505" t="s">
        <v>277</v>
      </c>
      <c r="N505" t="s">
        <v>335</v>
      </c>
      <c r="O505" t="s">
        <v>339</v>
      </c>
      <c r="P505" t="s">
        <v>285</v>
      </c>
      <c r="Q505" t="s">
        <v>282</v>
      </c>
      <c r="R505" t="s">
        <v>371</v>
      </c>
      <c r="S505" t="s">
        <v>341</v>
      </c>
      <c r="T505" t="s">
        <v>342</v>
      </c>
      <c r="U505" t="s">
        <v>343</v>
      </c>
      <c r="V505" t="s">
        <v>291</v>
      </c>
      <c r="W505" s="17"/>
      <c r="X505" t="s">
        <v>350</v>
      </c>
      <c r="Y505" t="s">
        <v>351</v>
      </c>
      <c r="Z505" t="s">
        <v>293</v>
      </c>
      <c r="AA505" t="s">
        <v>353</v>
      </c>
      <c r="AB505" t="s">
        <v>297</v>
      </c>
      <c r="AC505" t="s">
        <v>299</v>
      </c>
      <c r="AD505" t="s">
        <v>292</v>
      </c>
      <c r="AE505" t="s">
        <v>293</v>
      </c>
      <c r="AF505" t="s">
        <v>292</v>
      </c>
      <c r="AG505" t="s">
        <v>293</v>
      </c>
      <c r="AH505" t="s">
        <v>293</v>
      </c>
      <c r="AI505" t="s">
        <v>302</v>
      </c>
      <c r="AJ505" t="s">
        <v>302</v>
      </c>
      <c r="AK505" t="s">
        <v>359</v>
      </c>
      <c r="AL505" t="s">
        <v>293</v>
      </c>
      <c r="AM505" t="s">
        <v>293</v>
      </c>
      <c r="AN505" t="s">
        <v>297</v>
      </c>
      <c r="AO505" t="s">
        <v>298</v>
      </c>
      <c r="AP505" t="s">
        <v>293</v>
      </c>
      <c r="AQ505" t="s">
        <v>292</v>
      </c>
      <c r="AR505" t="s">
        <v>293</v>
      </c>
      <c r="AS505" t="s">
        <v>293</v>
      </c>
      <c r="AT505" t="s">
        <v>364</v>
      </c>
      <c r="AU505" t="str">
        <f t="shared" si="18"/>
        <v>no_fail</v>
      </c>
      <c r="AW505" t="s">
        <v>622</v>
      </c>
      <c r="AX505" t="s">
        <v>623</v>
      </c>
    </row>
    <row r="506" spans="1:50" hidden="1" x14ac:dyDescent="0.3">
      <c r="A506" t="s">
        <v>381</v>
      </c>
      <c r="B506" t="s">
        <v>288</v>
      </c>
      <c r="C506" t="s">
        <v>507</v>
      </c>
      <c r="D506" t="s">
        <v>288</v>
      </c>
      <c r="E506" t="str">
        <f t="shared" si="16"/>
        <v>gQq3e</v>
      </c>
      <c r="F506" t="b">
        <v>1</v>
      </c>
      <c r="G506">
        <v>95.3</v>
      </c>
      <c r="H506">
        <f t="shared" si="17"/>
        <v>0</v>
      </c>
      <c r="I506">
        <v>7001</v>
      </c>
      <c r="J506" s="61" t="s">
        <v>13</v>
      </c>
      <c r="K506" t="s">
        <v>272</v>
      </c>
      <c r="L506">
        <v>3</v>
      </c>
      <c r="M506" t="s">
        <v>277</v>
      </c>
      <c r="N506" t="s">
        <v>335</v>
      </c>
      <c r="O506" t="s">
        <v>282</v>
      </c>
      <c r="P506" t="s">
        <v>371</v>
      </c>
      <c r="Q506" t="s">
        <v>371</v>
      </c>
      <c r="R506" t="s">
        <v>371</v>
      </c>
      <c r="S506" t="s">
        <v>341</v>
      </c>
      <c r="T506" t="s">
        <v>342</v>
      </c>
      <c r="U506" t="s">
        <v>343</v>
      </c>
      <c r="V506" t="s">
        <v>291</v>
      </c>
      <c r="W506" s="17"/>
      <c r="X506" t="s">
        <v>350</v>
      </c>
      <c r="Y506" t="s">
        <v>349</v>
      </c>
      <c r="Z506" t="s">
        <v>293</v>
      </c>
      <c r="AA506" t="s">
        <v>294</v>
      </c>
      <c r="AB506" t="s">
        <v>297</v>
      </c>
      <c r="AC506" t="s">
        <v>299</v>
      </c>
      <c r="AD506" t="s">
        <v>292</v>
      </c>
      <c r="AE506" t="s">
        <v>293</v>
      </c>
      <c r="AF506" t="s">
        <v>292</v>
      </c>
      <c r="AG506" t="s">
        <v>293</v>
      </c>
      <c r="AH506" t="s">
        <v>293</v>
      </c>
      <c r="AI506" t="s">
        <v>302</v>
      </c>
      <c r="AJ506" t="s">
        <v>302</v>
      </c>
      <c r="AK506" t="s">
        <v>359</v>
      </c>
      <c r="AL506" t="s">
        <v>293</v>
      </c>
      <c r="AM506" t="s">
        <v>293</v>
      </c>
      <c r="AN506" t="s">
        <v>297</v>
      </c>
      <c r="AO506" t="s">
        <v>298</v>
      </c>
      <c r="AP506" t="s">
        <v>293</v>
      </c>
      <c r="AQ506" t="s">
        <v>292</v>
      </c>
      <c r="AR506" t="s">
        <v>293</v>
      </c>
      <c r="AS506" t="s">
        <v>293</v>
      </c>
      <c r="AT506" t="s">
        <v>364</v>
      </c>
      <c r="AU506" t="str">
        <f t="shared" si="18"/>
        <v>no_fail</v>
      </c>
      <c r="AW506" t="s">
        <v>508</v>
      </c>
      <c r="AX506" t="s">
        <v>509</v>
      </c>
    </row>
    <row r="507" spans="1:50" hidden="1" x14ac:dyDescent="0.3">
      <c r="A507" t="s">
        <v>381</v>
      </c>
      <c r="B507" t="s">
        <v>288</v>
      </c>
      <c r="C507" t="s">
        <v>504</v>
      </c>
      <c r="D507" t="s">
        <v>288</v>
      </c>
      <c r="E507" t="str">
        <f t="shared" si="16"/>
        <v>j28Zy</v>
      </c>
      <c r="F507" t="b">
        <v>1</v>
      </c>
      <c r="G507">
        <v>89.9</v>
      </c>
      <c r="H507">
        <f t="shared" si="17"/>
        <v>0</v>
      </c>
      <c r="I507">
        <v>7418</v>
      </c>
      <c r="J507" s="61" t="s">
        <v>13</v>
      </c>
      <c r="K507" t="s">
        <v>272</v>
      </c>
      <c r="L507">
        <v>3</v>
      </c>
      <c r="M507" t="s">
        <v>277</v>
      </c>
      <c r="N507" t="s">
        <v>335</v>
      </c>
      <c r="O507" t="s">
        <v>282</v>
      </c>
      <c r="P507" t="s">
        <v>371</v>
      </c>
      <c r="Q507" t="s">
        <v>371</v>
      </c>
      <c r="R507" t="s">
        <v>371</v>
      </c>
      <c r="S507" t="s">
        <v>341</v>
      </c>
      <c r="T507" t="s">
        <v>342</v>
      </c>
      <c r="U507" t="s">
        <v>343</v>
      </c>
      <c r="V507" t="s">
        <v>344</v>
      </c>
      <c r="W507" s="17"/>
      <c r="X507" t="s">
        <v>350</v>
      </c>
      <c r="Y507" t="s">
        <v>349</v>
      </c>
      <c r="Z507" t="s">
        <v>293</v>
      </c>
      <c r="AA507" t="s">
        <v>353</v>
      </c>
      <c r="AB507" t="s">
        <v>297</v>
      </c>
      <c r="AC507" t="s">
        <v>300</v>
      </c>
      <c r="AD507" t="s">
        <v>292</v>
      </c>
      <c r="AE507" t="s">
        <v>292</v>
      </c>
      <c r="AF507" t="s">
        <v>292</v>
      </c>
      <c r="AG507" t="s">
        <v>293</v>
      </c>
      <c r="AH507" t="s">
        <v>293</v>
      </c>
      <c r="AI507" t="s">
        <v>302</v>
      </c>
      <c r="AJ507" t="s">
        <v>302</v>
      </c>
      <c r="AK507" t="s">
        <v>359</v>
      </c>
      <c r="AL507" t="s">
        <v>293</v>
      </c>
      <c r="AM507" t="s">
        <v>293</v>
      </c>
      <c r="AN507" t="s">
        <v>297</v>
      </c>
      <c r="AO507" t="s">
        <v>298</v>
      </c>
      <c r="AP507" t="s">
        <v>293</v>
      </c>
      <c r="AQ507" t="s">
        <v>292</v>
      </c>
      <c r="AR507" t="s">
        <v>293</v>
      </c>
      <c r="AS507" t="s">
        <v>293</v>
      </c>
      <c r="AT507" t="s">
        <v>364</v>
      </c>
      <c r="AU507" t="str">
        <f t="shared" si="18"/>
        <v>no_fail</v>
      </c>
      <c r="AW507" t="s">
        <v>505</v>
      </c>
      <c r="AX507" t="s">
        <v>506</v>
      </c>
    </row>
    <row r="508" spans="1:50" hidden="1" x14ac:dyDescent="0.3">
      <c r="A508" t="s">
        <v>381</v>
      </c>
      <c r="B508" t="s">
        <v>288</v>
      </c>
      <c r="C508" t="s">
        <v>417</v>
      </c>
      <c r="D508" t="s">
        <v>288</v>
      </c>
      <c r="E508" t="str">
        <f t="shared" si="16"/>
        <v>j2DG5</v>
      </c>
      <c r="F508" t="b">
        <v>1</v>
      </c>
      <c r="G508">
        <v>100</v>
      </c>
      <c r="H508">
        <f t="shared" si="17"/>
        <v>1</v>
      </c>
      <c r="I508">
        <v>15033</v>
      </c>
      <c r="J508" s="61" t="s">
        <v>18</v>
      </c>
      <c r="K508" t="s">
        <v>272</v>
      </c>
      <c r="L508">
        <v>3</v>
      </c>
      <c r="M508" t="s">
        <v>277</v>
      </c>
      <c r="N508" t="s">
        <v>335</v>
      </c>
      <c r="O508" t="s">
        <v>283</v>
      </c>
      <c r="P508" t="s">
        <v>284</v>
      </c>
      <c r="Q508" t="s">
        <v>371</v>
      </c>
      <c r="R508" t="s">
        <v>371</v>
      </c>
      <c r="S508" t="s">
        <v>341</v>
      </c>
      <c r="T508" t="s">
        <v>342</v>
      </c>
      <c r="U508" t="s">
        <v>343</v>
      </c>
      <c r="V508" t="s">
        <v>291</v>
      </c>
      <c r="W508" s="17"/>
      <c r="X508" t="s">
        <v>349</v>
      </c>
      <c r="Y508" t="s">
        <v>349</v>
      </c>
      <c r="Z508" t="s">
        <v>293</v>
      </c>
      <c r="AA508" t="s">
        <v>353</v>
      </c>
      <c r="AB508" t="s">
        <v>355</v>
      </c>
      <c r="AC508" t="s">
        <v>301</v>
      </c>
      <c r="AD508" t="s">
        <v>292</v>
      </c>
      <c r="AE508" t="s">
        <v>293</v>
      </c>
      <c r="AF508" t="s">
        <v>292</v>
      </c>
      <c r="AG508" t="s">
        <v>292</v>
      </c>
      <c r="AH508" t="s">
        <v>293</v>
      </c>
      <c r="AI508" t="s">
        <v>302</v>
      </c>
      <c r="AJ508" t="s">
        <v>302</v>
      </c>
      <c r="AK508" t="s">
        <v>359</v>
      </c>
      <c r="AL508" t="s">
        <v>293</v>
      </c>
      <c r="AM508" t="s">
        <v>293</v>
      </c>
      <c r="AN508" t="s">
        <v>296</v>
      </c>
      <c r="AO508" t="s">
        <v>298</v>
      </c>
      <c r="AP508" t="s">
        <v>293</v>
      </c>
      <c r="AQ508" t="s">
        <v>292</v>
      </c>
      <c r="AR508" t="s">
        <v>293</v>
      </c>
      <c r="AS508" t="s">
        <v>293</v>
      </c>
      <c r="AT508" t="s">
        <v>364</v>
      </c>
      <c r="AU508" t="str">
        <f t="shared" si="18"/>
        <v>break</v>
      </c>
      <c r="AW508" t="s">
        <v>418</v>
      </c>
      <c r="AX508" t="s">
        <v>419</v>
      </c>
    </row>
    <row r="509" spans="1:50" hidden="1" x14ac:dyDescent="0.3">
      <c r="A509" t="s">
        <v>381</v>
      </c>
      <c r="B509" t="s">
        <v>288</v>
      </c>
      <c r="C509" t="s">
        <v>408</v>
      </c>
      <c r="D509" t="s">
        <v>288</v>
      </c>
      <c r="E509" t="str">
        <f t="shared" si="16"/>
        <v>j2Q4e</v>
      </c>
      <c r="F509" t="b">
        <v>1</v>
      </c>
      <c r="G509">
        <v>99.7</v>
      </c>
      <c r="H509">
        <f t="shared" si="17"/>
        <v>0</v>
      </c>
      <c r="I509">
        <v>7647</v>
      </c>
      <c r="J509" s="61" t="s">
        <v>13</v>
      </c>
      <c r="K509" t="s">
        <v>272</v>
      </c>
      <c r="L509">
        <v>3</v>
      </c>
      <c r="M509" t="s">
        <v>277</v>
      </c>
      <c r="N509" t="s">
        <v>335</v>
      </c>
      <c r="O509" t="s">
        <v>281</v>
      </c>
      <c r="P509" t="s">
        <v>283</v>
      </c>
      <c r="Q509" t="s">
        <v>284</v>
      </c>
      <c r="R509" t="s">
        <v>371</v>
      </c>
      <c r="S509" t="s">
        <v>341</v>
      </c>
      <c r="T509" t="s">
        <v>342</v>
      </c>
      <c r="U509" t="s">
        <v>343</v>
      </c>
      <c r="V509" t="s">
        <v>344</v>
      </c>
      <c r="W509" s="17" t="s">
        <v>291</v>
      </c>
      <c r="X509" t="s">
        <v>350</v>
      </c>
      <c r="Y509" t="s">
        <v>349</v>
      </c>
      <c r="Z509" t="s">
        <v>293</v>
      </c>
      <c r="AA509" t="s">
        <v>353</v>
      </c>
      <c r="AB509" t="s">
        <v>297</v>
      </c>
      <c r="AC509" t="s">
        <v>299</v>
      </c>
      <c r="AD509" t="s">
        <v>292</v>
      </c>
      <c r="AE509" t="s">
        <v>293</v>
      </c>
      <c r="AF509" t="s">
        <v>292</v>
      </c>
      <c r="AG509" t="s">
        <v>293</v>
      </c>
      <c r="AH509" t="s">
        <v>293</v>
      </c>
      <c r="AI509" t="s">
        <v>302</v>
      </c>
      <c r="AJ509" t="s">
        <v>302</v>
      </c>
      <c r="AK509" t="s">
        <v>359</v>
      </c>
      <c r="AL509" t="s">
        <v>293</v>
      </c>
      <c r="AM509" t="s">
        <v>293</v>
      </c>
      <c r="AN509" t="s">
        <v>297</v>
      </c>
      <c r="AO509" t="s">
        <v>298</v>
      </c>
      <c r="AP509" t="s">
        <v>293</v>
      </c>
      <c r="AQ509" t="s">
        <v>292</v>
      </c>
      <c r="AR509" t="s">
        <v>293</v>
      </c>
      <c r="AS509" t="s">
        <v>293</v>
      </c>
      <c r="AT509" t="s">
        <v>364</v>
      </c>
      <c r="AU509" t="str">
        <f t="shared" si="18"/>
        <v>no_fail</v>
      </c>
      <c r="AW509" t="s">
        <v>409</v>
      </c>
      <c r="AX509" t="s">
        <v>410</v>
      </c>
    </row>
    <row r="510" spans="1:50" hidden="1" x14ac:dyDescent="0.3">
      <c r="A510" t="s">
        <v>381</v>
      </c>
      <c r="B510" t="s">
        <v>288</v>
      </c>
      <c r="C510" t="s">
        <v>543</v>
      </c>
      <c r="D510" t="s">
        <v>288</v>
      </c>
      <c r="E510" t="str">
        <f t="shared" si="16"/>
        <v>jedzJ</v>
      </c>
      <c r="F510" t="b">
        <v>1</v>
      </c>
      <c r="G510">
        <v>66</v>
      </c>
      <c r="H510">
        <f t="shared" si="17"/>
        <v>0</v>
      </c>
      <c r="I510">
        <v>10948</v>
      </c>
      <c r="J510" s="61" t="s">
        <v>13</v>
      </c>
      <c r="K510" t="s">
        <v>272</v>
      </c>
      <c r="L510">
        <v>3</v>
      </c>
      <c r="M510" t="s">
        <v>277</v>
      </c>
      <c r="N510" t="s">
        <v>335</v>
      </c>
      <c r="O510" t="s">
        <v>283</v>
      </c>
      <c r="P510" t="s">
        <v>282</v>
      </c>
      <c r="Q510" t="s">
        <v>284</v>
      </c>
      <c r="R510" t="s">
        <v>371</v>
      </c>
      <c r="S510" t="s">
        <v>341</v>
      </c>
      <c r="T510" t="s">
        <v>342</v>
      </c>
      <c r="U510" t="s">
        <v>343</v>
      </c>
      <c r="V510" t="s">
        <v>345</v>
      </c>
      <c r="W510" s="17"/>
      <c r="X510" t="s">
        <v>349</v>
      </c>
      <c r="Y510" t="s">
        <v>349</v>
      </c>
      <c r="Z510" t="s">
        <v>293</v>
      </c>
      <c r="AA510" t="s">
        <v>353</v>
      </c>
      <c r="AB510" t="s">
        <v>297</v>
      </c>
      <c r="AC510" t="s">
        <v>301</v>
      </c>
      <c r="AD510" t="s">
        <v>292</v>
      </c>
      <c r="AE510" t="s">
        <v>293</v>
      </c>
      <c r="AF510" t="s">
        <v>292</v>
      </c>
      <c r="AG510" t="s">
        <v>293</v>
      </c>
      <c r="AH510" t="s">
        <v>293</v>
      </c>
      <c r="AI510" t="s">
        <v>302</v>
      </c>
      <c r="AJ510" t="s">
        <v>302</v>
      </c>
      <c r="AK510" t="s">
        <v>359</v>
      </c>
      <c r="AL510" t="s">
        <v>293</v>
      </c>
      <c r="AM510" t="s">
        <v>293</v>
      </c>
      <c r="AN510" t="s">
        <v>297</v>
      </c>
      <c r="AO510" t="s">
        <v>298</v>
      </c>
      <c r="AP510" t="s">
        <v>293</v>
      </c>
      <c r="AQ510" t="s">
        <v>292</v>
      </c>
      <c r="AR510" t="s">
        <v>293</v>
      </c>
      <c r="AS510" t="s">
        <v>293</v>
      </c>
      <c r="AT510" t="s">
        <v>364</v>
      </c>
      <c r="AU510" t="str">
        <f t="shared" si="18"/>
        <v>no_fail</v>
      </c>
      <c r="AW510" t="s">
        <v>544</v>
      </c>
      <c r="AX510" t="s">
        <v>545</v>
      </c>
    </row>
    <row r="511" spans="1:50" hidden="1" x14ac:dyDescent="0.3">
      <c r="A511" t="s">
        <v>381</v>
      </c>
      <c r="B511" t="s">
        <v>288</v>
      </c>
      <c r="C511" t="s">
        <v>666</v>
      </c>
      <c r="D511" t="s">
        <v>288</v>
      </c>
      <c r="E511" t="str">
        <f t="shared" si="16"/>
        <v>jg255</v>
      </c>
      <c r="F511" t="b">
        <v>1</v>
      </c>
      <c r="G511">
        <v>57.6</v>
      </c>
      <c r="H511">
        <f t="shared" si="17"/>
        <v>0</v>
      </c>
      <c r="I511">
        <v>11940</v>
      </c>
      <c r="J511" s="61" t="s">
        <v>13</v>
      </c>
      <c r="K511" t="s">
        <v>272</v>
      </c>
      <c r="L511">
        <v>3</v>
      </c>
      <c r="M511" t="s">
        <v>333</v>
      </c>
      <c r="N511" t="s">
        <v>278</v>
      </c>
      <c r="O511" t="s">
        <v>283</v>
      </c>
      <c r="P511" t="s">
        <v>281</v>
      </c>
      <c r="Q511" t="s">
        <v>371</v>
      </c>
      <c r="R511" t="s">
        <v>371</v>
      </c>
      <c r="S511" t="s">
        <v>341</v>
      </c>
      <c r="T511" t="s">
        <v>340</v>
      </c>
      <c r="U511" t="s">
        <v>343</v>
      </c>
      <c r="V511" t="s">
        <v>344</v>
      </c>
      <c r="W511" s="17"/>
      <c r="X511" t="s">
        <v>349</v>
      </c>
      <c r="Y511" t="s">
        <v>349</v>
      </c>
      <c r="Z511" t="s">
        <v>293</v>
      </c>
      <c r="AA511" t="s">
        <v>352</v>
      </c>
      <c r="AB511" t="s">
        <v>296</v>
      </c>
      <c r="AC511" t="s">
        <v>301</v>
      </c>
      <c r="AD511" t="s">
        <v>292</v>
      </c>
      <c r="AE511" t="s">
        <v>293</v>
      </c>
      <c r="AF511" t="s">
        <v>292</v>
      </c>
      <c r="AG511" t="s">
        <v>292</v>
      </c>
      <c r="AH511" t="s">
        <v>293</v>
      </c>
      <c r="AI511" t="s">
        <v>302</v>
      </c>
      <c r="AJ511" t="s">
        <v>359</v>
      </c>
      <c r="AK511" t="s">
        <v>359</v>
      </c>
      <c r="AL511" t="s">
        <v>293</v>
      </c>
      <c r="AM511" t="s">
        <v>293</v>
      </c>
      <c r="AN511" t="s">
        <v>297</v>
      </c>
      <c r="AO511" t="s">
        <v>298</v>
      </c>
      <c r="AP511" t="s">
        <v>293</v>
      </c>
      <c r="AQ511" t="s">
        <v>292</v>
      </c>
      <c r="AR511" t="s">
        <v>293</v>
      </c>
      <c r="AS511" t="s">
        <v>293</v>
      </c>
      <c r="AT511" t="s">
        <v>364</v>
      </c>
      <c r="AU511" t="str">
        <f t="shared" si="18"/>
        <v>no_fail</v>
      </c>
      <c r="AW511" t="s">
        <v>667</v>
      </c>
      <c r="AX511" t="s">
        <v>668</v>
      </c>
    </row>
    <row r="512" spans="1:50" hidden="1" x14ac:dyDescent="0.3">
      <c r="A512" t="s">
        <v>381</v>
      </c>
      <c r="B512" t="s">
        <v>288</v>
      </c>
      <c r="C512" t="s">
        <v>567</v>
      </c>
      <c r="D512" t="s">
        <v>288</v>
      </c>
      <c r="E512" t="str">
        <f t="shared" si="16"/>
        <v>K8d03</v>
      </c>
      <c r="F512" t="b">
        <v>1</v>
      </c>
      <c r="G512">
        <v>99</v>
      </c>
      <c r="H512">
        <f t="shared" si="17"/>
        <v>0</v>
      </c>
      <c r="I512">
        <v>7742</v>
      </c>
      <c r="J512" s="61" t="s">
        <v>13</v>
      </c>
      <c r="K512" t="s">
        <v>272</v>
      </c>
      <c r="L512">
        <v>3</v>
      </c>
      <c r="M512" t="s">
        <v>277</v>
      </c>
      <c r="N512" t="s">
        <v>335</v>
      </c>
      <c r="O512" t="s">
        <v>281</v>
      </c>
      <c r="P512" t="s">
        <v>286</v>
      </c>
      <c r="Q512" t="s">
        <v>371</v>
      </c>
      <c r="R512" t="s">
        <v>371</v>
      </c>
      <c r="S512" t="s">
        <v>341</v>
      </c>
      <c r="T512" t="s">
        <v>340</v>
      </c>
      <c r="U512" t="s">
        <v>343</v>
      </c>
      <c r="V512" t="s">
        <v>345</v>
      </c>
      <c r="W512" s="17"/>
      <c r="X512" t="s">
        <v>350</v>
      </c>
      <c r="Y512" t="s">
        <v>349</v>
      </c>
      <c r="Z512" t="s">
        <v>293</v>
      </c>
      <c r="AA512" t="s">
        <v>353</v>
      </c>
      <c r="AB512" t="s">
        <v>297</v>
      </c>
      <c r="AC512" t="s">
        <v>299</v>
      </c>
      <c r="AD512" t="s">
        <v>292</v>
      </c>
      <c r="AE512" t="s">
        <v>293</v>
      </c>
      <c r="AF512" t="s">
        <v>292</v>
      </c>
      <c r="AG512" t="s">
        <v>292</v>
      </c>
      <c r="AH512" t="s">
        <v>293</v>
      </c>
      <c r="AI512" t="s">
        <v>302</v>
      </c>
      <c r="AJ512" t="s">
        <v>358</v>
      </c>
      <c r="AK512" t="s">
        <v>359</v>
      </c>
      <c r="AL512" t="s">
        <v>293</v>
      </c>
      <c r="AM512" t="s">
        <v>293</v>
      </c>
      <c r="AN512" t="s">
        <v>297</v>
      </c>
      <c r="AO512" t="s">
        <v>298</v>
      </c>
      <c r="AP512" t="s">
        <v>293</v>
      </c>
      <c r="AQ512" t="s">
        <v>292</v>
      </c>
      <c r="AR512" t="s">
        <v>293</v>
      </c>
      <c r="AS512" t="s">
        <v>293</v>
      </c>
      <c r="AT512" t="s">
        <v>364</v>
      </c>
      <c r="AU512" t="str">
        <f t="shared" si="18"/>
        <v>no_fail</v>
      </c>
      <c r="AW512" t="s">
        <v>568</v>
      </c>
      <c r="AX512" t="s">
        <v>569</v>
      </c>
    </row>
    <row r="513" spans="1:50" hidden="1" x14ac:dyDescent="0.3">
      <c r="A513" t="s">
        <v>381</v>
      </c>
      <c r="B513" t="s">
        <v>288</v>
      </c>
      <c r="C513" t="s">
        <v>612</v>
      </c>
      <c r="D513" t="s">
        <v>288</v>
      </c>
      <c r="E513" t="str">
        <f t="shared" si="16"/>
        <v>klQQL</v>
      </c>
      <c r="F513" t="b">
        <v>1</v>
      </c>
      <c r="G513">
        <v>86.1</v>
      </c>
      <c r="H513">
        <f t="shared" si="17"/>
        <v>0</v>
      </c>
      <c r="I513">
        <v>9627</v>
      </c>
      <c r="J513" s="61" t="s">
        <v>13</v>
      </c>
      <c r="K513" t="s">
        <v>272</v>
      </c>
      <c r="L513">
        <v>3</v>
      </c>
      <c r="M513" t="s">
        <v>333</v>
      </c>
      <c r="N513" t="s">
        <v>336</v>
      </c>
      <c r="O513" t="s">
        <v>283</v>
      </c>
      <c r="P513" t="s">
        <v>281</v>
      </c>
      <c r="Q513" t="s">
        <v>371</v>
      </c>
      <c r="R513" t="s">
        <v>371</v>
      </c>
      <c r="S513" t="s">
        <v>341</v>
      </c>
      <c r="T513" t="s">
        <v>340</v>
      </c>
      <c r="U513" t="s">
        <v>343</v>
      </c>
      <c r="V513" t="s">
        <v>345</v>
      </c>
      <c r="W513" s="17"/>
      <c r="X513" t="s">
        <v>350</v>
      </c>
      <c r="Y513" t="s">
        <v>349</v>
      </c>
      <c r="Z513" t="s">
        <v>293</v>
      </c>
      <c r="AA513" t="s">
        <v>353</v>
      </c>
      <c r="AB513" t="s">
        <v>296</v>
      </c>
      <c r="AC513" t="s">
        <v>300</v>
      </c>
      <c r="AD513" t="s">
        <v>292</v>
      </c>
      <c r="AE513" t="s">
        <v>293</v>
      </c>
      <c r="AF513" t="s">
        <v>292</v>
      </c>
      <c r="AG513" t="s">
        <v>292</v>
      </c>
      <c r="AH513" t="s">
        <v>293</v>
      </c>
      <c r="AI513" t="s">
        <v>302</v>
      </c>
      <c r="AJ513" t="s">
        <v>359</v>
      </c>
      <c r="AK513" t="s">
        <v>359</v>
      </c>
      <c r="AL513" t="s">
        <v>293</v>
      </c>
      <c r="AM513" t="s">
        <v>293</v>
      </c>
      <c r="AN513" t="s">
        <v>297</v>
      </c>
      <c r="AO513" t="s">
        <v>298</v>
      </c>
      <c r="AP513" t="s">
        <v>293</v>
      </c>
      <c r="AQ513" t="s">
        <v>292</v>
      </c>
      <c r="AR513" t="s">
        <v>293</v>
      </c>
      <c r="AS513" t="s">
        <v>293</v>
      </c>
      <c r="AT513" t="s">
        <v>364</v>
      </c>
      <c r="AU513" t="str">
        <f t="shared" si="18"/>
        <v>no_fail</v>
      </c>
      <c r="AW513" t="s">
        <v>613</v>
      </c>
      <c r="AX513" t="s">
        <v>614</v>
      </c>
    </row>
    <row r="514" spans="1:50" hidden="1" x14ac:dyDescent="0.3">
      <c r="A514" t="s">
        <v>381</v>
      </c>
      <c r="B514" t="s">
        <v>288</v>
      </c>
      <c r="C514" t="s">
        <v>594</v>
      </c>
      <c r="D514" t="s">
        <v>288</v>
      </c>
      <c r="E514" t="str">
        <f t="shared" si="16"/>
        <v>KvqzD</v>
      </c>
      <c r="F514" t="b">
        <v>1</v>
      </c>
      <c r="G514">
        <v>65</v>
      </c>
      <c r="H514">
        <f t="shared" si="17"/>
        <v>0</v>
      </c>
      <c r="I514">
        <v>14325</v>
      </c>
      <c r="J514" s="61" t="s">
        <v>18</v>
      </c>
      <c r="K514" t="s">
        <v>273</v>
      </c>
      <c r="L514">
        <v>2</v>
      </c>
      <c r="M514" t="s">
        <v>277</v>
      </c>
      <c r="N514" t="s">
        <v>335</v>
      </c>
      <c r="O514" t="s">
        <v>283</v>
      </c>
      <c r="P514" t="s">
        <v>371</v>
      </c>
      <c r="Q514" t="s">
        <v>371</v>
      </c>
      <c r="R514" t="s">
        <v>371</v>
      </c>
      <c r="S514" t="s">
        <v>340</v>
      </c>
      <c r="T514" t="s">
        <v>342</v>
      </c>
      <c r="U514" t="s">
        <v>343</v>
      </c>
      <c r="V514" t="s">
        <v>347</v>
      </c>
      <c r="W514" s="17"/>
      <c r="X514" t="s">
        <v>349</v>
      </c>
      <c r="Y514" t="s">
        <v>349</v>
      </c>
      <c r="Z514" t="s">
        <v>293</v>
      </c>
      <c r="AA514" t="s">
        <v>353</v>
      </c>
      <c r="AB514" t="s">
        <v>296</v>
      </c>
      <c r="AC514" t="s">
        <v>301</v>
      </c>
      <c r="AD514" t="s">
        <v>293</v>
      </c>
      <c r="AE514" t="s">
        <v>292</v>
      </c>
      <c r="AF514" t="s">
        <v>292</v>
      </c>
      <c r="AG514" t="s">
        <v>292</v>
      </c>
      <c r="AH514" t="s">
        <v>293</v>
      </c>
      <c r="AI514" t="s">
        <v>302</v>
      </c>
      <c r="AJ514" t="s">
        <v>357</v>
      </c>
      <c r="AK514" t="s">
        <v>359</v>
      </c>
      <c r="AL514" t="s">
        <v>293</v>
      </c>
      <c r="AM514" t="s">
        <v>293</v>
      </c>
      <c r="AN514" t="s">
        <v>297</v>
      </c>
      <c r="AO514" t="s">
        <v>356</v>
      </c>
      <c r="AP514" t="s">
        <v>293</v>
      </c>
      <c r="AQ514" t="s">
        <v>292</v>
      </c>
      <c r="AR514" t="s">
        <v>293</v>
      </c>
      <c r="AS514" t="s">
        <v>293</v>
      </c>
      <c r="AT514" t="s">
        <v>364</v>
      </c>
      <c r="AU514" t="str">
        <f t="shared" si="18"/>
        <v>car_water</v>
      </c>
      <c r="AW514" t="s">
        <v>595</v>
      </c>
      <c r="AX514" t="s">
        <v>596</v>
      </c>
    </row>
    <row r="515" spans="1:50" hidden="1" x14ac:dyDescent="0.3">
      <c r="A515" t="s">
        <v>381</v>
      </c>
      <c r="B515" t="s">
        <v>288</v>
      </c>
      <c r="C515" t="s">
        <v>483</v>
      </c>
      <c r="D515" t="s">
        <v>288</v>
      </c>
      <c r="E515" t="str">
        <f t="shared" si="16"/>
        <v>l2v13</v>
      </c>
      <c r="F515" t="b">
        <v>1</v>
      </c>
      <c r="G515">
        <v>90.7</v>
      </c>
      <c r="H515">
        <f t="shared" si="17"/>
        <v>0</v>
      </c>
      <c r="I515">
        <v>9583</v>
      </c>
      <c r="J515" s="61" t="s">
        <v>13</v>
      </c>
      <c r="K515" t="s">
        <v>272</v>
      </c>
      <c r="L515">
        <v>3</v>
      </c>
      <c r="M515" t="s">
        <v>277</v>
      </c>
      <c r="N515" t="s">
        <v>335</v>
      </c>
      <c r="O515" t="s">
        <v>283</v>
      </c>
      <c r="P515" t="s">
        <v>282</v>
      </c>
      <c r="Q515" t="s">
        <v>371</v>
      </c>
      <c r="R515" t="s">
        <v>371</v>
      </c>
      <c r="S515" t="s">
        <v>341</v>
      </c>
      <c r="T515" t="s">
        <v>340</v>
      </c>
      <c r="U515" t="s">
        <v>343</v>
      </c>
      <c r="V515" t="s">
        <v>345</v>
      </c>
      <c r="W515" s="17"/>
      <c r="X515" t="s">
        <v>349</v>
      </c>
      <c r="Y515" t="s">
        <v>349</v>
      </c>
      <c r="Z515" t="s">
        <v>293</v>
      </c>
      <c r="AA515" t="s">
        <v>353</v>
      </c>
      <c r="AB515" t="s">
        <v>297</v>
      </c>
      <c r="AC515" t="s">
        <v>300</v>
      </c>
      <c r="AD515" t="s">
        <v>292</v>
      </c>
      <c r="AE515" t="s">
        <v>293</v>
      </c>
      <c r="AF515" t="s">
        <v>292</v>
      </c>
      <c r="AG515" t="s">
        <v>293</v>
      </c>
      <c r="AH515" t="s">
        <v>293</v>
      </c>
      <c r="AI515" t="s">
        <v>302</v>
      </c>
      <c r="AJ515" t="s">
        <v>302</v>
      </c>
      <c r="AK515" t="s">
        <v>359</v>
      </c>
      <c r="AL515" t="s">
        <v>293</v>
      </c>
      <c r="AM515" t="s">
        <v>293</v>
      </c>
      <c r="AN515" t="s">
        <v>297</v>
      </c>
      <c r="AO515" t="s">
        <v>298</v>
      </c>
      <c r="AP515" t="s">
        <v>293</v>
      </c>
      <c r="AQ515" t="s">
        <v>292</v>
      </c>
      <c r="AR515" t="s">
        <v>362</v>
      </c>
      <c r="AS515" t="s">
        <v>293</v>
      </c>
      <c r="AT515" t="s">
        <v>364</v>
      </c>
      <c r="AU515" t="str">
        <f t="shared" si="18"/>
        <v>no_fail</v>
      </c>
      <c r="AW515" t="s">
        <v>484</v>
      </c>
      <c r="AX515" t="s">
        <v>485</v>
      </c>
    </row>
    <row r="516" spans="1:50" hidden="1" x14ac:dyDescent="0.3">
      <c r="A516" t="s">
        <v>381</v>
      </c>
      <c r="B516" t="s">
        <v>288</v>
      </c>
      <c r="C516" t="s">
        <v>429</v>
      </c>
      <c r="D516" t="s">
        <v>288</v>
      </c>
      <c r="E516" t="str">
        <f t="shared" si="16"/>
        <v>l5wPj</v>
      </c>
      <c r="F516" t="b">
        <v>1</v>
      </c>
      <c r="G516">
        <v>89</v>
      </c>
      <c r="H516">
        <f t="shared" si="17"/>
        <v>0</v>
      </c>
      <c r="I516">
        <v>9178</v>
      </c>
      <c r="J516" s="61" t="s">
        <v>13</v>
      </c>
      <c r="K516" t="s">
        <v>272</v>
      </c>
      <c r="L516">
        <v>3</v>
      </c>
      <c r="M516" t="s">
        <v>277</v>
      </c>
      <c r="N516" t="s">
        <v>335</v>
      </c>
      <c r="O516" t="s">
        <v>282</v>
      </c>
      <c r="P516" t="s">
        <v>371</v>
      </c>
      <c r="Q516" t="s">
        <v>371</v>
      </c>
      <c r="R516" t="s">
        <v>371</v>
      </c>
      <c r="S516" t="s">
        <v>341</v>
      </c>
      <c r="T516" t="s">
        <v>342</v>
      </c>
      <c r="U516" t="s">
        <v>343</v>
      </c>
      <c r="V516" t="s">
        <v>345</v>
      </c>
      <c r="W516" s="17" t="s">
        <v>347</v>
      </c>
      <c r="X516" t="s">
        <v>349</v>
      </c>
      <c r="Y516" t="s">
        <v>349</v>
      </c>
      <c r="Z516" t="s">
        <v>293</v>
      </c>
      <c r="AA516" t="s">
        <v>353</v>
      </c>
      <c r="AB516" t="s">
        <v>297</v>
      </c>
      <c r="AC516" t="s">
        <v>300</v>
      </c>
      <c r="AD516" t="s">
        <v>292</v>
      </c>
      <c r="AE516" t="s">
        <v>293</v>
      </c>
      <c r="AF516" t="s">
        <v>292</v>
      </c>
      <c r="AG516" t="s">
        <v>293</v>
      </c>
      <c r="AH516" t="s">
        <v>293</v>
      </c>
      <c r="AI516" t="s">
        <v>302</v>
      </c>
      <c r="AJ516" t="s">
        <v>302</v>
      </c>
      <c r="AK516" t="s">
        <v>359</v>
      </c>
      <c r="AL516" t="s">
        <v>293</v>
      </c>
      <c r="AM516" t="s">
        <v>293</v>
      </c>
      <c r="AN516" t="s">
        <v>297</v>
      </c>
      <c r="AO516" t="s">
        <v>298</v>
      </c>
      <c r="AP516" t="s">
        <v>293</v>
      </c>
      <c r="AQ516" t="s">
        <v>292</v>
      </c>
      <c r="AR516" t="s">
        <v>293</v>
      </c>
      <c r="AS516" t="s">
        <v>293</v>
      </c>
      <c r="AT516" t="s">
        <v>364</v>
      </c>
      <c r="AU516" t="str">
        <f t="shared" si="18"/>
        <v>no_fail</v>
      </c>
      <c r="AW516" t="s">
        <v>430</v>
      </c>
      <c r="AX516" t="s">
        <v>431</v>
      </c>
    </row>
    <row r="517" spans="1:50" hidden="1" x14ac:dyDescent="0.3">
      <c r="A517" t="s">
        <v>381</v>
      </c>
      <c r="B517" t="s">
        <v>288</v>
      </c>
      <c r="C517" t="s">
        <v>573</v>
      </c>
      <c r="D517" t="s">
        <v>288</v>
      </c>
      <c r="E517" t="str">
        <f t="shared" si="16"/>
        <v>Lak8z</v>
      </c>
      <c r="F517" t="b">
        <v>1</v>
      </c>
      <c r="G517">
        <v>97.8</v>
      </c>
      <c r="H517">
        <f t="shared" si="17"/>
        <v>0</v>
      </c>
      <c r="I517">
        <v>7690</v>
      </c>
      <c r="J517" s="61" t="s">
        <v>13</v>
      </c>
      <c r="K517" t="s">
        <v>272</v>
      </c>
      <c r="L517">
        <v>3</v>
      </c>
      <c r="M517" t="s">
        <v>277</v>
      </c>
      <c r="N517" t="s">
        <v>335</v>
      </c>
      <c r="O517" t="s">
        <v>283</v>
      </c>
      <c r="P517" t="s">
        <v>282</v>
      </c>
      <c r="Q517" t="s">
        <v>284</v>
      </c>
      <c r="R517" t="s">
        <v>371</v>
      </c>
      <c r="S517" t="s">
        <v>341</v>
      </c>
      <c r="T517" t="s">
        <v>342</v>
      </c>
      <c r="U517" t="s">
        <v>343</v>
      </c>
      <c r="V517" t="s">
        <v>344</v>
      </c>
      <c r="W517" s="17"/>
      <c r="X517" t="s">
        <v>350</v>
      </c>
      <c r="Y517" t="s">
        <v>349</v>
      </c>
      <c r="Z517" t="s">
        <v>293</v>
      </c>
      <c r="AA517" t="s">
        <v>353</v>
      </c>
      <c r="AB517" t="s">
        <v>297</v>
      </c>
      <c r="AC517" t="s">
        <v>300</v>
      </c>
      <c r="AD517" t="s">
        <v>292</v>
      </c>
      <c r="AE517" t="s">
        <v>293</v>
      </c>
      <c r="AF517" t="s">
        <v>292</v>
      </c>
      <c r="AG517" t="s">
        <v>293</v>
      </c>
      <c r="AH517" t="s">
        <v>293</v>
      </c>
      <c r="AI517" t="s">
        <v>302</v>
      </c>
      <c r="AJ517" t="s">
        <v>302</v>
      </c>
      <c r="AK517" t="s">
        <v>359</v>
      </c>
      <c r="AL517" t="s">
        <v>293</v>
      </c>
      <c r="AM517" t="s">
        <v>293</v>
      </c>
      <c r="AN517" t="s">
        <v>297</v>
      </c>
      <c r="AO517" t="s">
        <v>298</v>
      </c>
      <c r="AP517" t="s">
        <v>293</v>
      </c>
      <c r="AQ517" t="s">
        <v>292</v>
      </c>
      <c r="AR517" t="s">
        <v>293</v>
      </c>
      <c r="AS517" t="s">
        <v>293</v>
      </c>
      <c r="AT517" t="s">
        <v>364</v>
      </c>
      <c r="AU517" t="str">
        <f t="shared" si="18"/>
        <v>no_fail</v>
      </c>
      <c r="AW517" t="s">
        <v>574</v>
      </c>
      <c r="AX517" t="s">
        <v>575</v>
      </c>
    </row>
    <row r="518" spans="1:50" hidden="1" x14ac:dyDescent="0.3">
      <c r="A518" t="s">
        <v>381</v>
      </c>
      <c r="B518" t="s">
        <v>288</v>
      </c>
      <c r="C518" t="s">
        <v>681</v>
      </c>
      <c r="D518" t="s">
        <v>288</v>
      </c>
      <c r="E518" t="str">
        <f t="shared" si="16"/>
        <v>Lgzg6</v>
      </c>
      <c r="F518" t="b">
        <v>1</v>
      </c>
      <c r="G518">
        <v>100</v>
      </c>
      <c r="H518">
        <f t="shared" si="17"/>
        <v>1</v>
      </c>
      <c r="I518">
        <v>17232</v>
      </c>
      <c r="J518" s="61" t="s">
        <v>13</v>
      </c>
      <c r="K518" t="s">
        <v>272</v>
      </c>
      <c r="L518">
        <v>3</v>
      </c>
      <c r="M518" t="s">
        <v>277</v>
      </c>
      <c r="N518" t="s">
        <v>336</v>
      </c>
      <c r="O518" t="s">
        <v>281</v>
      </c>
      <c r="P518" t="s">
        <v>283</v>
      </c>
      <c r="Q518" t="s">
        <v>371</v>
      </c>
      <c r="R518" t="s">
        <v>371</v>
      </c>
      <c r="S518" t="s">
        <v>341</v>
      </c>
      <c r="T518" t="s">
        <v>340</v>
      </c>
      <c r="U518" t="s">
        <v>343</v>
      </c>
      <c r="V518" t="s">
        <v>346</v>
      </c>
      <c r="W518" s="17"/>
      <c r="X518" t="s">
        <v>350</v>
      </c>
      <c r="Y518" t="s">
        <v>349</v>
      </c>
      <c r="Z518" t="s">
        <v>293</v>
      </c>
      <c r="AA518" t="s">
        <v>353</v>
      </c>
      <c r="AB518" t="s">
        <v>296</v>
      </c>
      <c r="AC518" t="s">
        <v>301</v>
      </c>
      <c r="AD518" t="s">
        <v>292</v>
      </c>
      <c r="AE518" t="s">
        <v>293</v>
      </c>
      <c r="AF518" t="s">
        <v>292</v>
      </c>
      <c r="AG518" t="s">
        <v>292</v>
      </c>
      <c r="AH518" t="s">
        <v>293</v>
      </c>
      <c r="AI518" t="s">
        <v>302</v>
      </c>
      <c r="AJ518" t="s">
        <v>359</v>
      </c>
      <c r="AK518" t="s">
        <v>359</v>
      </c>
      <c r="AL518" t="s">
        <v>293</v>
      </c>
      <c r="AM518" t="s">
        <v>293</v>
      </c>
      <c r="AN518" t="s">
        <v>297</v>
      </c>
      <c r="AO518" t="s">
        <v>298</v>
      </c>
      <c r="AP518" t="s">
        <v>293</v>
      </c>
      <c r="AQ518" t="s">
        <v>292</v>
      </c>
      <c r="AR518" t="s">
        <v>293</v>
      </c>
      <c r="AS518" t="s">
        <v>293</v>
      </c>
      <c r="AT518" t="s">
        <v>364</v>
      </c>
      <c r="AU518" t="str">
        <f t="shared" si="18"/>
        <v>break</v>
      </c>
      <c r="AW518" t="s">
        <v>682</v>
      </c>
      <c r="AX518" t="s">
        <v>683</v>
      </c>
    </row>
    <row r="519" spans="1:50" hidden="1" x14ac:dyDescent="0.3">
      <c r="A519" t="s">
        <v>381</v>
      </c>
      <c r="B519" t="s">
        <v>288</v>
      </c>
      <c r="C519" t="s">
        <v>432</v>
      </c>
      <c r="D519" t="s">
        <v>288</v>
      </c>
      <c r="E519" t="str">
        <f t="shared" si="16"/>
        <v>LNaRw</v>
      </c>
      <c r="F519" t="b">
        <v>1</v>
      </c>
      <c r="G519">
        <v>76.2</v>
      </c>
      <c r="H519">
        <f t="shared" si="17"/>
        <v>0</v>
      </c>
      <c r="I519">
        <v>14998</v>
      </c>
      <c r="J519" s="61" t="s">
        <v>13</v>
      </c>
      <c r="K519" t="s">
        <v>272</v>
      </c>
      <c r="L519">
        <v>3</v>
      </c>
      <c r="M519" t="s">
        <v>277</v>
      </c>
      <c r="N519" t="s">
        <v>336</v>
      </c>
      <c r="O519" t="s">
        <v>284</v>
      </c>
      <c r="P519" t="s">
        <v>283</v>
      </c>
      <c r="Q519" t="s">
        <v>282</v>
      </c>
      <c r="R519" t="s">
        <v>281</v>
      </c>
      <c r="S519" t="s">
        <v>341</v>
      </c>
      <c r="T519" t="s">
        <v>342</v>
      </c>
      <c r="U519" t="s">
        <v>343</v>
      </c>
      <c r="V519" t="s">
        <v>344</v>
      </c>
      <c r="W519" s="17"/>
      <c r="X519" t="s">
        <v>349</v>
      </c>
      <c r="Y519" t="s">
        <v>349</v>
      </c>
      <c r="Z519" t="s">
        <v>293</v>
      </c>
      <c r="AA519" t="s">
        <v>352</v>
      </c>
      <c r="AB519" t="s">
        <v>297</v>
      </c>
      <c r="AC519" t="s">
        <v>300</v>
      </c>
      <c r="AD519" t="s">
        <v>292</v>
      </c>
      <c r="AE519" t="s">
        <v>293</v>
      </c>
      <c r="AF519" t="s">
        <v>292</v>
      </c>
      <c r="AG519" t="s">
        <v>292</v>
      </c>
      <c r="AH519" t="s">
        <v>293</v>
      </c>
      <c r="AI519" t="s">
        <v>302</v>
      </c>
      <c r="AJ519" t="s">
        <v>359</v>
      </c>
      <c r="AK519" t="s">
        <v>359</v>
      </c>
      <c r="AL519" t="s">
        <v>293</v>
      </c>
      <c r="AM519" t="s">
        <v>293</v>
      </c>
      <c r="AN519" t="s">
        <v>297</v>
      </c>
      <c r="AO519" t="s">
        <v>298</v>
      </c>
      <c r="AP519" t="s">
        <v>293</v>
      </c>
      <c r="AQ519" t="s">
        <v>292</v>
      </c>
      <c r="AR519" t="s">
        <v>293</v>
      </c>
      <c r="AS519" t="s">
        <v>293</v>
      </c>
      <c r="AT519" t="s">
        <v>364</v>
      </c>
      <c r="AU519" t="str">
        <f t="shared" si="18"/>
        <v>no_fail</v>
      </c>
      <c r="AW519" t="s">
        <v>433</v>
      </c>
      <c r="AX519" t="s">
        <v>434</v>
      </c>
    </row>
    <row r="520" spans="1:50" hidden="1" x14ac:dyDescent="0.3">
      <c r="A520" t="s">
        <v>381</v>
      </c>
      <c r="B520" t="s">
        <v>288</v>
      </c>
      <c r="C520" t="s">
        <v>402</v>
      </c>
      <c r="D520" t="s">
        <v>288</v>
      </c>
      <c r="E520" t="str">
        <f t="shared" si="16"/>
        <v>M5o9X</v>
      </c>
      <c r="F520" t="b">
        <v>1</v>
      </c>
      <c r="G520">
        <v>99.5</v>
      </c>
      <c r="H520">
        <f t="shared" si="17"/>
        <v>0</v>
      </c>
      <c r="I520">
        <v>8082</v>
      </c>
      <c r="J520" s="61" t="s">
        <v>13</v>
      </c>
      <c r="K520" t="s">
        <v>272</v>
      </c>
      <c r="L520">
        <v>3</v>
      </c>
      <c r="M520" t="s">
        <v>277</v>
      </c>
      <c r="N520" t="s">
        <v>335</v>
      </c>
      <c r="O520" t="s">
        <v>283</v>
      </c>
      <c r="P520" t="s">
        <v>284</v>
      </c>
      <c r="Q520" t="s">
        <v>371</v>
      </c>
      <c r="R520" t="s">
        <v>371</v>
      </c>
      <c r="S520" t="s">
        <v>341</v>
      </c>
      <c r="T520" t="s">
        <v>340</v>
      </c>
      <c r="U520" t="s">
        <v>343</v>
      </c>
      <c r="V520" t="s">
        <v>345</v>
      </c>
      <c r="W520" s="17"/>
      <c r="X520" t="s">
        <v>350</v>
      </c>
      <c r="Y520" t="s">
        <v>349</v>
      </c>
      <c r="Z520" t="s">
        <v>293</v>
      </c>
      <c r="AA520" t="s">
        <v>353</v>
      </c>
      <c r="AB520" t="s">
        <v>355</v>
      </c>
      <c r="AC520" t="s">
        <v>299</v>
      </c>
      <c r="AD520" t="s">
        <v>292</v>
      </c>
      <c r="AE520" t="s">
        <v>293</v>
      </c>
      <c r="AF520" t="s">
        <v>292</v>
      </c>
      <c r="AG520" t="s">
        <v>292</v>
      </c>
      <c r="AH520" t="s">
        <v>293</v>
      </c>
      <c r="AI520" t="s">
        <v>302</v>
      </c>
      <c r="AJ520" t="s">
        <v>302</v>
      </c>
      <c r="AK520" t="s">
        <v>359</v>
      </c>
      <c r="AL520" t="s">
        <v>293</v>
      </c>
      <c r="AM520" t="s">
        <v>293</v>
      </c>
      <c r="AN520" t="s">
        <v>297</v>
      </c>
      <c r="AO520" t="s">
        <v>298</v>
      </c>
      <c r="AP520" t="s">
        <v>293</v>
      </c>
      <c r="AQ520" t="s">
        <v>292</v>
      </c>
      <c r="AR520" t="s">
        <v>293</v>
      </c>
      <c r="AS520" t="s">
        <v>293</v>
      </c>
      <c r="AT520" t="s">
        <v>364</v>
      </c>
      <c r="AU520" t="str">
        <f t="shared" si="18"/>
        <v>no_fail</v>
      </c>
      <c r="AW520" t="s">
        <v>403</v>
      </c>
      <c r="AX520" t="s">
        <v>404</v>
      </c>
    </row>
    <row r="521" spans="1:50" hidden="1" x14ac:dyDescent="0.3">
      <c r="A521" t="s">
        <v>381</v>
      </c>
      <c r="B521" t="s">
        <v>288</v>
      </c>
      <c r="C521" t="s">
        <v>426</v>
      </c>
      <c r="D521" t="s">
        <v>288</v>
      </c>
      <c r="E521" t="str">
        <f t="shared" si="16"/>
        <v>mKK82</v>
      </c>
      <c r="F521" t="b">
        <v>1</v>
      </c>
      <c r="G521">
        <v>93</v>
      </c>
      <c r="H521">
        <f t="shared" si="17"/>
        <v>0</v>
      </c>
      <c r="I521">
        <v>8218</v>
      </c>
      <c r="J521" s="61" t="s">
        <v>13</v>
      </c>
      <c r="K521" t="s">
        <v>272</v>
      </c>
      <c r="L521">
        <v>3</v>
      </c>
      <c r="M521" t="s">
        <v>277</v>
      </c>
      <c r="N521" t="s">
        <v>335</v>
      </c>
      <c r="O521" t="s">
        <v>283</v>
      </c>
      <c r="P521" t="s">
        <v>286</v>
      </c>
      <c r="Q521" t="s">
        <v>284</v>
      </c>
      <c r="R521" t="s">
        <v>371</v>
      </c>
      <c r="S521" t="s">
        <v>341</v>
      </c>
      <c r="T521" t="s">
        <v>342</v>
      </c>
      <c r="U521" t="s">
        <v>343</v>
      </c>
      <c r="V521" t="s">
        <v>344</v>
      </c>
      <c r="W521" s="17"/>
      <c r="X521" t="s">
        <v>349</v>
      </c>
      <c r="Y521" t="s">
        <v>349</v>
      </c>
      <c r="Z521" t="s">
        <v>293</v>
      </c>
      <c r="AA521" t="s">
        <v>352</v>
      </c>
      <c r="AB521" t="s">
        <v>297</v>
      </c>
      <c r="AC521" t="s">
        <v>300</v>
      </c>
      <c r="AD521" t="s">
        <v>292</v>
      </c>
      <c r="AE521" t="s">
        <v>293</v>
      </c>
      <c r="AF521" t="s">
        <v>292</v>
      </c>
      <c r="AG521" t="s">
        <v>293</v>
      </c>
      <c r="AH521" t="s">
        <v>293</v>
      </c>
      <c r="AI521" t="s">
        <v>302</v>
      </c>
      <c r="AJ521" t="s">
        <v>302</v>
      </c>
      <c r="AK521" t="s">
        <v>359</v>
      </c>
      <c r="AL521" t="s">
        <v>293</v>
      </c>
      <c r="AM521" t="s">
        <v>293</v>
      </c>
      <c r="AN521" t="s">
        <v>297</v>
      </c>
      <c r="AO521" t="s">
        <v>298</v>
      </c>
      <c r="AP521" t="s">
        <v>293</v>
      </c>
      <c r="AQ521" t="s">
        <v>292</v>
      </c>
      <c r="AR521" t="s">
        <v>293</v>
      </c>
      <c r="AS521" t="s">
        <v>293</v>
      </c>
      <c r="AT521" t="s">
        <v>364</v>
      </c>
      <c r="AU521" t="str">
        <f t="shared" si="18"/>
        <v>no_fail</v>
      </c>
      <c r="AW521" t="s">
        <v>427</v>
      </c>
      <c r="AX521" t="s">
        <v>428</v>
      </c>
    </row>
    <row r="522" spans="1:50" hidden="1" x14ac:dyDescent="0.3">
      <c r="A522" t="s">
        <v>381</v>
      </c>
      <c r="B522" t="s">
        <v>288</v>
      </c>
      <c r="C522" t="s">
        <v>420</v>
      </c>
      <c r="D522" t="s">
        <v>288</v>
      </c>
      <c r="E522" t="str">
        <f t="shared" si="16"/>
        <v>MmNJ9</v>
      </c>
      <c r="F522" t="b">
        <v>1</v>
      </c>
      <c r="G522">
        <v>71.900000000000006</v>
      </c>
      <c r="H522">
        <f t="shared" si="17"/>
        <v>0</v>
      </c>
      <c r="I522">
        <v>8889</v>
      </c>
      <c r="J522" s="61" t="s">
        <v>13</v>
      </c>
      <c r="K522" t="s">
        <v>272</v>
      </c>
      <c r="L522">
        <v>3</v>
      </c>
      <c r="M522" t="s">
        <v>277</v>
      </c>
      <c r="N522" t="s">
        <v>335</v>
      </c>
      <c r="O522" t="s">
        <v>281</v>
      </c>
      <c r="P522" t="s">
        <v>282</v>
      </c>
      <c r="Q522" t="s">
        <v>371</v>
      </c>
      <c r="R522" t="s">
        <v>371</v>
      </c>
      <c r="S522" t="s">
        <v>341</v>
      </c>
      <c r="T522" t="s">
        <v>340</v>
      </c>
      <c r="U522" t="s">
        <v>343</v>
      </c>
      <c r="V522" t="s">
        <v>344</v>
      </c>
      <c r="W522" s="17" t="s">
        <v>345</v>
      </c>
      <c r="X522" t="s">
        <v>349</v>
      </c>
      <c r="Y522" t="s">
        <v>349</v>
      </c>
      <c r="Z522" t="s">
        <v>293</v>
      </c>
      <c r="AA522" t="s">
        <v>353</v>
      </c>
      <c r="AB522" t="s">
        <v>355</v>
      </c>
      <c r="AC522" t="s">
        <v>300</v>
      </c>
      <c r="AD522" t="s">
        <v>292</v>
      </c>
      <c r="AE522" t="s">
        <v>293</v>
      </c>
      <c r="AF522" t="s">
        <v>292</v>
      </c>
      <c r="AG522" t="s">
        <v>292</v>
      </c>
      <c r="AH522" t="s">
        <v>293</v>
      </c>
      <c r="AI522" t="s">
        <v>302</v>
      </c>
      <c r="AJ522" t="s">
        <v>302</v>
      </c>
      <c r="AK522" t="s">
        <v>359</v>
      </c>
      <c r="AL522" t="s">
        <v>293</v>
      </c>
      <c r="AM522" t="s">
        <v>293</v>
      </c>
      <c r="AN522" t="s">
        <v>297</v>
      </c>
      <c r="AO522" t="s">
        <v>298</v>
      </c>
      <c r="AP522" t="s">
        <v>293</v>
      </c>
      <c r="AQ522" t="s">
        <v>292</v>
      </c>
      <c r="AR522" t="s">
        <v>293</v>
      </c>
      <c r="AS522" t="s">
        <v>293</v>
      </c>
      <c r="AT522" t="s">
        <v>364</v>
      </c>
      <c r="AU522" t="str">
        <f t="shared" si="18"/>
        <v>no_fail</v>
      </c>
      <c r="AW522" t="s">
        <v>421</v>
      </c>
      <c r="AX522" t="s">
        <v>422</v>
      </c>
    </row>
    <row r="523" spans="1:50" hidden="1" x14ac:dyDescent="0.3">
      <c r="A523" t="s">
        <v>381</v>
      </c>
      <c r="B523" t="s">
        <v>288</v>
      </c>
      <c r="C523" t="s">
        <v>636</v>
      </c>
      <c r="D523" t="s">
        <v>288</v>
      </c>
      <c r="E523" t="str">
        <f t="shared" si="16"/>
        <v>MmXa9</v>
      </c>
      <c r="F523" t="b">
        <v>1</v>
      </c>
      <c r="G523">
        <v>55.4</v>
      </c>
      <c r="H523">
        <f t="shared" si="17"/>
        <v>0</v>
      </c>
      <c r="I523">
        <v>14983</v>
      </c>
      <c r="J523" s="61" t="s">
        <v>13</v>
      </c>
      <c r="K523" t="s">
        <v>272</v>
      </c>
      <c r="L523">
        <v>3</v>
      </c>
      <c r="M523" t="s">
        <v>277</v>
      </c>
      <c r="N523" t="s">
        <v>336</v>
      </c>
      <c r="O523" t="s">
        <v>283</v>
      </c>
      <c r="P523" t="s">
        <v>281</v>
      </c>
      <c r="Q523" t="s">
        <v>371</v>
      </c>
      <c r="R523" t="s">
        <v>371</v>
      </c>
      <c r="S523" t="s">
        <v>341</v>
      </c>
      <c r="T523" t="s">
        <v>340</v>
      </c>
      <c r="U523" t="s">
        <v>343</v>
      </c>
      <c r="V523" t="s">
        <v>344</v>
      </c>
      <c r="W523" s="17"/>
      <c r="X523" t="s">
        <v>349</v>
      </c>
      <c r="Y523" t="s">
        <v>349</v>
      </c>
      <c r="Z523" t="s">
        <v>293</v>
      </c>
      <c r="AA523" t="s">
        <v>352</v>
      </c>
      <c r="AB523" t="s">
        <v>296</v>
      </c>
      <c r="AC523" t="s">
        <v>301</v>
      </c>
      <c r="AD523" t="s">
        <v>292</v>
      </c>
      <c r="AE523" t="s">
        <v>292</v>
      </c>
      <c r="AF523" t="s">
        <v>292</v>
      </c>
      <c r="AG523" t="s">
        <v>292</v>
      </c>
      <c r="AH523" t="s">
        <v>293</v>
      </c>
      <c r="AI523" t="s">
        <v>302</v>
      </c>
      <c r="AJ523" t="s">
        <v>359</v>
      </c>
      <c r="AK523" t="s">
        <v>359</v>
      </c>
      <c r="AL523" t="s">
        <v>293</v>
      </c>
      <c r="AM523" t="s">
        <v>293</v>
      </c>
      <c r="AN523" t="s">
        <v>297</v>
      </c>
      <c r="AO523" t="s">
        <v>298</v>
      </c>
      <c r="AP523" t="s">
        <v>293</v>
      </c>
      <c r="AQ523" t="s">
        <v>292</v>
      </c>
      <c r="AR523" t="s">
        <v>293</v>
      </c>
      <c r="AS523" t="s">
        <v>293</v>
      </c>
      <c r="AT523" t="s">
        <v>364</v>
      </c>
      <c r="AU523" t="str">
        <f t="shared" si="18"/>
        <v>no_fail</v>
      </c>
      <c r="AW523" t="s">
        <v>637</v>
      </c>
      <c r="AX523" t="s">
        <v>638</v>
      </c>
    </row>
    <row r="524" spans="1:50" hidden="1" x14ac:dyDescent="0.3">
      <c r="A524" t="s">
        <v>381</v>
      </c>
      <c r="B524" t="s">
        <v>288</v>
      </c>
      <c r="C524" t="s">
        <v>588</v>
      </c>
      <c r="D524" t="s">
        <v>288</v>
      </c>
      <c r="E524" t="str">
        <f t="shared" si="16"/>
        <v>n9w59</v>
      </c>
      <c r="F524" t="b">
        <v>1</v>
      </c>
      <c r="G524">
        <v>55.09</v>
      </c>
      <c r="H524">
        <f t="shared" si="17"/>
        <v>0</v>
      </c>
      <c r="I524">
        <v>14206</v>
      </c>
      <c r="J524" s="61" t="s">
        <v>13</v>
      </c>
      <c r="K524" t="s">
        <v>272</v>
      </c>
      <c r="L524">
        <v>3</v>
      </c>
      <c r="M524" t="s">
        <v>277</v>
      </c>
      <c r="N524" t="s">
        <v>335</v>
      </c>
      <c r="O524" t="s">
        <v>282</v>
      </c>
      <c r="P524" t="s">
        <v>371</v>
      </c>
      <c r="Q524" t="s">
        <v>371</v>
      </c>
      <c r="R524" t="s">
        <v>371</v>
      </c>
      <c r="S524" t="s">
        <v>341</v>
      </c>
      <c r="T524" t="s">
        <v>340</v>
      </c>
      <c r="U524" t="s">
        <v>343</v>
      </c>
      <c r="V524" t="s">
        <v>344</v>
      </c>
      <c r="W524" s="17"/>
      <c r="X524" t="s">
        <v>349</v>
      </c>
      <c r="Y524" t="s">
        <v>349</v>
      </c>
      <c r="Z524" t="s">
        <v>293</v>
      </c>
      <c r="AA524" t="s">
        <v>353</v>
      </c>
      <c r="AB524" t="s">
        <v>296</v>
      </c>
      <c r="AC524" t="s">
        <v>300</v>
      </c>
      <c r="AD524" t="s">
        <v>293</v>
      </c>
      <c r="AE524" t="s">
        <v>292</v>
      </c>
      <c r="AF524" t="s">
        <v>292</v>
      </c>
      <c r="AG524" t="s">
        <v>292</v>
      </c>
      <c r="AH524" t="s">
        <v>293</v>
      </c>
      <c r="AI524" t="s">
        <v>302</v>
      </c>
      <c r="AJ524" t="s">
        <v>302</v>
      </c>
      <c r="AK524" t="s">
        <v>359</v>
      </c>
      <c r="AL524" t="s">
        <v>293</v>
      </c>
      <c r="AM524" t="s">
        <v>293</v>
      </c>
      <c r="AN524" t="s">
        <v>297</v>
      </c>
      <c r="AO524" t="s">
        <v>356</v>
      </c>
      <c r="AP524" t="s">
        <v>293</v>
      </c>
      <c r="AQ524" t="s">
        <v>292</v>
      </c>
      <c r="AR524" t="s">
        <v>293</v>
      </c>
      <c r="AS524" t="s">
        <v>293</v>
      </c>
      <c r="AT524" t="s">
        <v>364</v>
      </c>
      <c r="AU524" t="str">
        <f t="shared" si="18"/>
        <v>no_fail</v>
      </c>
      <c r="AW524" t="s">
        <v>589</v>
      </c>
      <c r="AX524" t="s">
        <v>590</v>
      </c>
    </row>
    <row r="525" spans="1:50" hidden="1" x14ac:dyDescent="0.3">
      <c r="A525" t="s">
        <v>381</v>
      </c>
      <c r="B525" t="s">
        <v>288</v>
      </c>
      <c r="C525" t="s">
        <v>405</v>
      </c>
      <c r="D525" t="s">
        <v>288</v>
      </c>
      <c r="E525" t="str">
        <f t="shared" ref="E525:E560" si="19">C525</f>
        <v>nR3De</v>
      </c>
      <c r="F525" t="b">
        <v>1</v>
      </c>
      <c r="G525">
        <v>88.94</v>
      </c>
      <c r="H525">
        <f t="shared" ref="H525:H560" si="20">IF(G525=100,1,0)</f>
        <v>0</v>
      </c>
      <c r="I525">
        <v>8381</v>
      </c>
      <c r="J525" s="61" t="s">
        <v>13</v>
      </c>
      <c r="K525" t="s">
        <v>272</v>
      </c>
      <c r="L525">
        <v>3</v>
      </c>
      <c r="M525" t="s">
        <v>333</v>
      </c>
      <c r="N525" t="s">
        <v>278</v>
      </c>
      <c r="O525" t="s">
        <v>281</v>
      </c>
      <c r="P525" t="s">
        <v>283</v>
      </c>
      <c r="Q525" t="s">
        <v>371</v>
      </c>
      <c r="R525" t="s">
        <v>371</v>
      </c>
      <c r="S525" t="s">
        <v>341</v>
      </c>
      <c r="T525" t="s">
        <v>340</v>
      </c>
      <c r="U525" t="s">
        <v>343</v>
      </c>
      <c r="V525" t="s">
        <v>345</v>
      </c>
      <c r="W525" s="17"/>
      <c r="X525" t="s">
        <v>350</v>
      </c>
      <c r="Y525" t="s">
        <v>349</v>
      </c>
      <c r="Z525" t="s">
        <v>293</v>
      </c>
      <c r="AA525" t="s">
        <v>352</v>
      </c>
      <c r="AB525" t="s">
        <v>297</v>
      </c>
      <c r="AC525" t="s">
        <v>300</v>
      </c>
      <c r="AD525" t="s">
        <v>292</v>
      </c>
      <c r="AE525" t="s">
        <v>293</v>
      </c>
      <c r="AF525" t="s">
        <v>292</v>
      </c>
      <c r="AG525" t="s">
        <v>293</v>
      </c>
      <c r="AH525" t="s">
        <v>293</v>
      </c>
      <c r="AI525" t="s">
        <v>302</v>
      </c>
      <c r="AJ525" t="s">
        <v>359</v>
      </c>
      <c r="AK525" t="s">
        <v>359</v>
      </c>
      <c r="AL525" t="s">
        <v>293</v>
      </c>
      <c r="AM525" t="s">
        <v>293</v>
      </c>
      <c r="AN525" t="s">
        <v>297</v>
      </c>
      <c r="AO525" t="s">
        <v>298</v>
      </c>
      <c r="AP525" t="s">
        <v>293</v>
      </c>
      <c r="AQ525" t="s">
        <v>292</v>
      </c>
      <c r="AR525" t="s">
        <v>293</v>
      </c>
      <c r="AS525" t="s">
        <v>293</v>
      </c>
      <c r="AT525" t="s">
        <v>364</v>
      </c>
      <c r="AU525" t="str">
        <f t="shared" si="18"/>
        <v>no_fail</v>
      </c>
      <c r="AW525" t="s">
        <v>406</v>
      </c>
      <c r="AX525" t="s">
        <v>407</v>
      </c>
    </row>
    <row r="526" spans="1:50" hidden="1" x14ac:dyDescent="0.3">
      <c r="A526" t="s">
        <v>381</v>
      </c>
      <c r="B526" t="s">
        <v>288</v>
      </c>
      <c r="C526" t="s">
        <v>495</v>
      </c>
      <c r="D526" t="s">
        <v>288</v>
      </c>
      <c r="E526" t="str">
        <f t="shared" si="19"/>
        <v>OB5yR</v>
      </c>
      <c r="F526" t="b">
        <v>1</v>
      </c>
      <c r="G526">
        <v>91.7</v>
      </c>
      <c r="H526">
        <f t="shared" si="20"/>
        <v>0</v>
      </c>
      <c r="I526">
        <v>8734</v>
      </c>
      <c r="J526" s="61" t="s">
        <v>13</v>
      </c>
      <c r="K526" t="s">
        <v>272</v>
      </c>
      <c r="L526">
        <v>3</v>
      </c>
      <c r="M526" t="s">
        <v>277</v>
      </c>
      <c r="N526" t="s">
        <v>335</v>
      </c>
      <c r="O526" t="s">
        <v>282</v>
      </c>
      <c r="P526" t="s">
        <v>281</v>
      </c>
      <c r="Q526" t="s">
        <v>371</v>
      </c>
      <c r="R526" t="s">
        <v>371</v>
      </c>
      <c r="S526" t="s">
        <v>341</v>
      </c>
      <c r="T526" t="s">
        <v>342</v>
      </c>
      <c r="U526" t="s">
        <v>343</v>
      </c>
      <c r="V526" t="s">
        <v>344</v>
      </c>
      <c r="W526" s="17" t="s">
        <v>347</v>
      </c>
      <c r="X526" t="s">
        <v>349</v>
      </c>
      <c r="Y526" t="s">
        <v>349</v>
      </c>
      <c r="Z526" t="s">
        <v>293</v>
      </c>
      <c r="AA526" t="s">
        <v>353</v>
      </c>
      <c r="AB526" t="s">
        <v>297</v>
      </c>
      <c r="AC526" t="s">
        <v>299</v>
      </c>
      <c r="AD526" t="s">
        <v>292</v>
      </c>
      <c r="AE526" t="s">
        <v>293</v>
      </c>
      <c r="AF526" t="s">
        <v>292</v>
      </c>
      <c r="AG526" t="s">
        <v>293</v>
      </c>
      <c r="AH526" t="s">
        <v>293</v>
      </c>
      <c r="AI526" t="s">
        <v>302</v>
      </c>
      <c r="AJ526" t="s">
        <v>302</v>
      </c>
      <c r="AK526" t="s">
        <v>359</v>
      </c>
      <c r="AL526" t="s">
        <v>293</v>
      </c>
      <c r="AM526" t="s">
        <v>293</v>
      </c>
      <c r="AN526" t="s">
        <v>297</v>
      </c>
      <c r="AO526" t="s">
        <v>298</v>
      </c>
      <c r="AP526" t="s">
        <v>293</v>
      </c>
      <c r="AQ526" t="s">
        <v>292</v>
      </c>
      <c r="AR526" t="s">
        <v>293</v>
      </c>
      <c r="AS526" t="s">
        <v>293</v>
      </c>
      <c r="AT526" t="s">
        <v>364</v>
      </c>
      <c r="AU526" t="str">
        <f t="shared" ref="AU526:AU560" si="21">IF(G526=100,"break", IF(J526="fail", "car_water", "no_fail"))</f>
        <v>no_fail</v>
      </c>
      <c r="AW526" t="s">
        <v>496</v>
      </c>
      <c r="AX526" t="s">
        <v>497</v>
      </c>
    </row>
    <row r="527" spans="1:50" hidden="1" x14ac:dyDescent="0.3">
      <c r="A527" t="s">
        <v>381</v>
      </c>
      <c r="B527" t="s">
        <v>288</v>
      </c>
      <c r="C527" t="s">
        <v>423</v>
      </c>
      <c r="D527" t="s">
        <v>288</v>
      </c>
      <c r="E527" t="str">
        <f t="shared" si="19"/>
        <v>OBXYa</v>
      </c>
      <c r="F527" t="b">
        <v>1</v>
      </c>
      <c r="G527">
        <v>100</v>
      </c>
      <c r="H527">
        <f t="shared" si="20"/>
        <v>1</v>
      </c>
      <c r="I527">
        <v>14194</v>
      </c>
      <c r="J527" s="61" t="s">
        <v>13</v>
      </c>
      <c r="K527" t="s">
        <v>272</v>
      </c>
      <c r="L527">
        <v>3</v>
      </c>
      <c r="M527" t="s">
        <v>277</v>
      </c>
      <c r="N527" t="s">
        <v>335</v>
      </c>
      <c r="O527" t="s">
        <v>339</v>
      </c>
      <c r="P527" t="s">
        <v>273</v>
      </c>
      <c r="Q527" t="s">
        <v>282</v>
      </c>
      <c r="R527" t="s">
        <v>371</v>
      </c>
      <c r="S527" t="s">
        <v>341</v>
      </c>
      <c r="T527" t="s">
        <v>342</v>
      </c>
      <c r="U527" t="s">
        <v>343</v>
      </c>
      <c r="V527" t="s">
        <v>344</v>
      </c>
      <c r="W527" s="17" t="s">
        <v>291</v>
      </c>
      <c r="X527" t="s">
        <v>351</v>
      </c>
      <c r="Y527" t="s">
        <v>349</v>
      </c>
      <c r="Z527" t="s">
        <v>293</v>
      </c>
      <c r="AA527" t="s">
        <v>353</v>
      </c>
      <c r="AB527" t="s">
        <v>355</v>
      </c>
      <c r="AC527" t="s">
        <v>300</v>
      </c>
      <c r="AD527" t="s">
        <v>292</v>
      </c>
      <c r="AE527" t="s">
        <v>293</v>
      </c>
      <c r="AF527" t="s">
        <v>292</v>
      </c>
      <c r="AG527" t="s">
        <v>292</v>
      </c>
      <c r="AH527" t="s">
        <v>293</v>
      </c>
      <c r="AI527" t="s">
        <v>302</v>
      </c>
      <c r="AJ527" t="s">
        <v>302</v>
      </c>
      <c r="AK527" t="s">
        <v>359</v>
      </c>
      <c r="AL527" t="s">
        <v>293</v>
      </c>
      <c r="AM527" t="s">
        <v>293</v>
      </c>
      <c r="AN527" t="s">
        <v>296</v>
      </c>
      <c r="AO527" t="s">
        <v>298</v>
      </c>
      <c r="AP527" t="s">
        <v>293</v>
      </c>
      <c r="AQ527" t="s">
        <v>292</v>
      </c>
      <c r="AR527" t="s">
        <v>293</v>
      </c>
      <c r="AS527" t="s">
        <v>293</v>
      </c>
      <c r="AT527" t="s">
        <v>364</v>
      </c>
      <c r="AU527" t="str">
        <f t="shared" si="21"/>
        <v>break</v>
      </c>
      <c r="AW527" t="s">
        <v>424</v>
      </c>
      <c r="AX527" t="s">
        <v>425</v>
      </c>
    </row>
    <row r="528" spans="1:50" hidden="1" x14ac:dyDescent="0.3">
      <c r="A528" t="s">
        <v>381</v>
      </c>
      <c r="B528" t="s">
        <v>288</v>
      </c>
      <c r="C528" t="s">
        <v>384</v>
      </c>
      <c r="D528" t="s">
        <v>288</v>
      </c>
      <c r="E528" t="str">
        <f t="shared" si="19"/>
        <v>orZDj</v>
      </c>
      <c r="F528" t="b">
        <v>1</v>
      </c>
      <c r="G528">
        <v>99.4</v>
      </c>
      <c r="H528">
        <f t="shared" si="20"/>
        <v>0</v>
      </c>
      <c r="I528">
        <v>6465</v>
      </c>
      <c r="J528" s="61" t="s">
        <v>13</v>
      </c>
      <c r="K528" t="s">
        <v>272</v>
      </c>
      <c r="L528">
        <v>3</v>
      </c>
      <c r="M528" t="s">
        <v>277</v>
      </c>
      <c r="N528" t="s">
        <v>335</v>
      </c>
      <c r="O528" t="s">
        <v>283</v>
      </c>
      <c r="P528" t="s">
        <v>284</v>
      </c>
      <c r="Q528" t="s">
        <v>282</v>
      </c>
      <c r="R528" t="s">
        <v>371</v>
      </c>
      <c r="S528" t="s">
        <v>341</v>
      </c>
      <c r="T528" t="s">
        <v>340</v>
      </c>
      <c r="U528" t="s">
        <v>343</v>
      </c>
      <c r="V528" t="s">
        <v>344</v>
      </c>
      <c r="W528" s="17"/>
      <c r="X528" t="s">
        <v>350</v>
      </c>
      <c r="Y528" t="s">
        <v>349</v>
      </c>
      <c r="Z528" t="s">
        <v>292</v>
      </c>
      <c r="AA528" t="s">
        <v>353</v>
      </c>
      <c r="AB528" t="s">
        <v>297</v>
      </c>
      <c r="AC528" t="s">
        <v>299</v>
      </c>
      <c r="AD528" t="s">
        <v>292</v>
      </c>
      <c r="AE528" t="s">
        <v>292</v>
      </c>
      <c r="AF528" t="s">
        <v>292</v>
      </c>
      <c r="AG528" t="s">
        <v>293</v>
      </c>
      <c r="AH528" t="s">
        <v>293</v>
      </c>
      <c r="AI528" t="s">
        <v>302</v>
      </c>
      <c r="AJ528" t="s">
        <v>302</v>
      </c>
      <c r="AK528" t="s">
        <v>359</v>
      </c>
      <c r="AL528" t="s">
        <v>293</v>
      </c>
      <c r="AM528" t="s">
        <v>293</v>
      </c>
      <c r="AN528" t="s">
        <v>297</v>
      </c>
      <c r="AO528" t="s">
        <v>298</v>
      </c>
      <c r="AP528" t="s">
        <v>293</v>
      </c>
      <c r="AQ528" t="s">
        <v>292</v>
      </c>
      <c r="AR528" t="s">
        <v>293</v>
      </c>
      <c r="AS528" t="s">
        <v>293</v>
      </c>
      <c r="AT528" t="s">
        <v>364</v>
      </c>
      <c r="AU528" t="str">
        <f t="shared" si="21"/>
        <v>no_fail</v>
      </c>
      <c r="AW528" t="s">
        <v>385</v>
      </c>
      <c r="AX528" t="s">
        <v>386</v>
      </c>
    </row>
    <row r="529" spans="1:50" hidden="1" x14ac:dyDescent="0.3">
      <c r="A529" t="s">
        <v>381</v>
      </c>
      <c r="B529" t="s">
        <v>288</v>
      </c>
      <c r="C529" t="s">
        <v>600</v>
      </c>
      <c r="D529" t="s">
        <v>288</v>
      </c>
      <c r="E529" t="str">
        <f t="shared" si="19"/>
        <v>paq0d</v>
      </c>
      <c r="F529" t="b">
        <v>1</v>
      </c>
      <c r="G529">
        <v>69.5</v>
      </c>
      <c r="H529">
        <f t="shared" si="20"/>
        <v>0</v>
      </c>
      <c r="I529">
        <v>11299</v>
      </c>
      <c r="J529" s="61" t="s">
        <v>13</v>
      </c>
      <c r="K529" t="s">
        <v>272</v>
      </c>
      <c r="L529">
        <v>3</v>
      </c>
      <c r="M529" t="s">
        <v>277</v>
      </c>
      <c r="N529" t="s">
        <v>335</v>
      </c>
      <c r="O529" t="s">
        <v>283</v>
      </c>
      <c r="P529" t="s">
        <v>282</v>
      </c>
      <c r="Q529" t="s">
        <v>371</v>
      </c>
      <c r="R529" t="s">
        <v>371</v>
      </c>
      <c r="S529" t="s">
        <v>341</v>
      </c>
      <c r="T529" t="s">
        <v>340</v>
      </c>
      <c r="U529" t="s">
        <v>343</v>
      </c>
      <c r="V529" t="s">
        <v>344</v>
      </c>
      <c r="W529" s="17"/>
      <c r="X529" t="s">
        <v>349</v>
      </c>
      <c r="Y529" t="s">
        <v>349</v>
      </c>
      <c r="Z529" t="s">
        <v>293</v>
      </c>
      <c r="AA529" t="s">
        <v>353</v>
      </c>
      <c r="AB529" t="s">
        <v>297</v>
      </c>
      <c r="AC529" t="s">
        <v>300</v>
      </c>
      <c r="AD529" t="s">
        <v>292</v>
      </c>
      <c r="AE529" t="s">
        <v>293</v>
      </c>
      <c r="AF529" t="s">
        <v>292</v>
      </c>
      <c r="AG529" t="s">
        <v>293</v>
      </c>
      <c r="AH529" t="s">
        <v>293</v>
      </c>
      <c r="AI529" t="s">
        <v>302</v>
      </c>
      <c r="AJ529" t="s">
        <v>302</v>
      </c>
      <c r="AK529" t="s">
        <v>359</v>
      </c>
      <c r="AL529" t="s">
        <v>293</v>
      </c>
      <c r="AM529" t="s">
        <v>293</v>
      </c>
      <c r="AN529" t="s">
        <v>297</v>
      </c>
      <c r="AO529" t="s">
        <v>298</v>
      </c>
      <c r="AP529" t="s">
        <v>293</v>
      </c>
      <c r="AQ529" t="s">
        <v>292</v>
      </c>
      <c r="AR529" t="s">
        <v>293</v>
      </c>
      <c r="AS529" t="s">
        <v>293</v>
      </c>
      <c r="AT529" t="s">
        <v>364</v>
      </c>
      <c r="AU529" t="str">
        <f t="shared" si="21"/>
        <v>no_fail</v>
      </c>
      <c r="AW529" t="s">
        <v>601</v>
      </c>
      <c r="AX529" t="s">
        <v>602</v>
      </c>
    </row>
    <row r="530" spans="1:50" hidden="1" x14ac:dyDescent="0.3">
      <c r="A530" t="s">
        <v>381</v>
      </c>
      <c r="B530" t="s">
        <v>288</v>
      </c>
      <c r="C530" t="s">
        <v>513</v>
      </c>
      <c r="D530" t="s">
        <v>288</v>
      </c>
      <c r="E530" t="str">
        <f t="shared" si="19"/>
        <v>paQa5</v>
      </c>
      <c r="F530" t="b">
        <v>1</v>
      </c>
      <c r="G530">
        <v>62.5</v>
      </c>
      <c r="H530">
        <f t="shared" si="20"/>
        <v>0</v>
      </c>
      <c r="I530">
        <v>18643</v>
      </c>
      <c r="J530" s="61" t="s">
        <v>13</v>
      </c>
      <c r="K530" t="s">
        <v>272</v>
      </c>
      <c r="L530">
        <v>3</v>
      </c>
      <c r="M530" t="s">
        <v>277</v>
      </c>
      <c r="N530" t="s">
        <v>335</v>
      </c>
      <c r="O530" t="s">
        <v>281</v>
      </c>
      <c r="P530" t="s">
        <v>282</v>
      </c>
      <c r="Q530" t="s">
        <v>371</v>
      </c>
      <c r="R530" t="s">
        <v>371</v>
      </c>
      <c r="S530" t="s">
        <v>340</v>
      </c>
      <c r="T530" t="s">
        <v>342</v>
      </c>
      <c r="U530" t="s">
        <v>343</v>
      </c>
      <c r="V530" t="s">
        <v>344</v>
      </c>
      <c r="W530" s="17"/>
      <c r="X530" t="s">
        <v>349</v>
      </c>
      <c r="Y530" t="s">
        <v>349</v>
      </c>
      <c r="Z530" t="s">
        <v>293</v>
      </c>
      <c r="AA530" t="s">
        <v>353</v>
      </c>
      <c r="AB530" t="s">
        <v>296</v>
      </c>
      <c r="AC530" t="s">
        <v>300</v>
      </c>
      <c r="AD530" t="s">
        <v>293</v>
      </c>
      <c r="AE530" t="s">
        <v>292</v>
      </c>
      <c r="AF530" t="s">
        <v>292</v>
      </c>
      <c r="AG530" t="s">
        <v>292</v>
      </c>
      <c r="AH530" t="s">
        <v>293</v>
      </c>
      <c r="AI530" t="s">
        <v>302</v>
      </c>
      <c r="AJ530" t="s">
        <v>302</v>
      </c>
      <c r="AK530" t="s">
        <v>359</v>
      </c>
      <c r="AL530" t="s">
        <v>293</v>
      </c>
      <c r="AM530" t="s">
        <v>293</v>
      </c>
      <c r="AN530" t="s">
        <v>296</v>
      </c>
      <c r="AO530" t="s">
        <v>356</v>
      </c>
      <c r="AP530" t="s">
        <v>361</v>
      </c>
      <c r="AQ530" t="s">
        <v>292</v>
      </c>
      <c r="AR530" t="s">
        <v>293</v>
      </c>
      <c r="AS530" t="s">
        <v>293</v>
      </c>
      <c r="AT530" t="s">
        <v>364</v>
      </c>
      <c r="AU530" t="str">
        <f t="shared" si="21"/>
        <v>no_fail</v>
      </c>
      <c r="AW530" t="s">
        <v>514</v>
      </c>
      <c r="AX530" t="s">
        <v>515</v>
      </c>
    </row>
    <row r="531" spans="1:50" hidden="1" x14ac:dyDescent="0.3">
      <c r="A531" t="s">
        <v>381</v>
      </c>
      <c r="B531" t="s">
        <v>288</v>
      </c>
      <c r="C531" t="s">
        <v>441</v>
      </c>
      <c r="D531" t="s">
        <v>288</v>
      </c>
      <c r="E531" t="str">
        <f t="shared" si="19"/>
        <v>pazDd</v>
      </c>
      <c r="F531" t="b">
        <v>1</v>
      </c>
      <c r="G531">
        <v>97.1</v>
      </c>
      <c r="H531">
        <f t="shared" si="20"/>
        <v>0</v>
      </c>
      <c r="I531">
        <v>7230</v>
      </c>
      <c r="J531" s="61" t="s">
        <v>13</v>
      </c>
      <c r="K531" t="s">
        <v>272</v>
      </c>
      <c r="L531">
        <v>3</v>
      </c>
      <c r="M531" t="s">
        <v>277</v>
      </c>
      <c r="N531" t="s">
        <v>335</v>
      </c>
      <c r="O531" t="s">
        <v>281</v>
      </c>
      <c r="P531" t="s">
        <v>283</v>
      </c>
      <c r="Q531" t="s">
        <v>282</v>
      </c>
      <c r="R531" t="s">
        <v>371</v>
      </c>
      <c r="S531" t="s">
        <v>341</v>
      </c>
      <c r="T531" t="s">
        <v>342</v>
      </c>
      <c r="U531" t="s">
        <v>343</v>
      </c>
      <c r="V531" t="s">
        <v>345</v>
      </c>
      <c r="W531" s="17"/>
      <c r="X531" t="s">
        <v>350</v>
      </c>
      <c r="Y531" t="s">
        <v>349</v>
      </c>
      <c r="Z531" t="s">
        <v>293</v>
      </c>
      <c r="AA531" t="s">
        <v>353</v>
      </c>
      <c r="AB531" t="s">
        <v>297</v>
      </c>
      <c r="AC531" t="s">
        <v>299</v>
      </c>
      <c r="AD531" t="s">
        <v>292</v>
      </c>
      <c r="AE531" t="s">
        <v>293</v>
      </c>
      <c r="AF531" t="s">
        <v>292</v>
      </c>
      <c r="AG531" t="s">
        <v>293</v>
      </c>
      <c r="AH531" t="s">
        <v>293</v>
      </c>
      <c r="AI531" t="s">
        <v>302</v>
      </c>
      <c r="AJ531" t="s">
        <v>302</v>
      </c>
      <c r="AK531" t="s">
        <v>359</v>
      </c>
      <c r="AL531" t="s">
        <v>293</v>
      </c>
      <c r="AM531" t="s">
        <v>293</v>
      </c>
      <c r="AN531" t="s">
        <v>297</v>
      </c>
      <c r="AO531" t="s">
        <v>298</v>
      </c>
      <c r="AP531" t="s">
        <v>293</v>
      </c>
      <c r="AQ531" t="s">
        <v>292</v>
      </c>
      <c r="AR531" t="s">
        <v>293</v>
      </c>
      <c r="AS531" t="s">
        <v>293</v>
      </c>
      <c r="AT531" t="s">
        <v>364</v>
      </c>
      <c r="AU531" t="str">
        <f t="shared" si="21"/>
        <v>no_fail</v>
      </c>
      <c r="AW531" t="s">
        <v>442</v>
      </c>
      <c r="AX531" t="s">
        <v>443</v>
      </c>
    </row>
    <row r="532" spans="1:50" hidden="1" x14ac:dyDescent="0.3">
      <c r="A532" t="s">
        <v>381</v>
      </c>
      <c r="B532" t="s">
        <v>288</v>
      </c>
      <c r="C532" t="s">
        <v>525</v>
      </c>
      <c r="D532" t="s">
        <v>288</v>
      </c>
      <c r="E532" t="str">
        <f t="shared" si="19"/>
        <v>Pl8wY</v>
      </c>
      <c r="F532" t="b">
        <v>1</v>
      </c>
      <c r="G532">
        <v>98.4</v>
      </c>
      <c r="H532">
        <f t="shared" si="20"/>
        <v>0</v>
      </c>
      <c r="I532">
        <v>8820</v>
      </c>
      <c r="J532" s="61" t="s">
        <v>13</v>
      </c>
      <c r="K532" t="s">
        <v>272</v>
      </c>
      <c r="L532">
        <v>3</v>
      </c>
      <c r="M532" t="s">
        <v>277</v>
      </c>
      <c r="N532" t="s">
        <v>335</v>
      </c>
      <c r="O532" t="s">
        <v>281</v>
      </c>
      <c r="P532" t="s">
        <v>282</v>
      </c>
      <c r="Q532" t="s">
        <v>371</v>
      </c>
      <c r="R532" t="s">
        <v>371</v>
      </c>
      <c r="S532" t="s">
        <v>341</v>
      </c>
      <c r="T532" t="s">
        <v>342</v>
      </c>
      <c r="U532" t="s">
        <v>343</v>
      </c>
      <c r="V532" t="s">
        <v>344</v>
      </c>
      <c r="W532" s="17" t="s">
        <v>291</v>
      </c>
      <c r="X532" t="s">
        <v>350</v>
      </c>
      <c r="Y532" t="s">
        <v>349</v>
      </c>
      <c r="Z532" t="s">
        <v>293</v>
      </c>
      <c r="AA532" t="s">
        <v>294</v>
      </c>
      <c r="AB532" t="s">
        <v>297</v>
      </c>
      <c r="AC532" t="s">
        <v>299</v>
      </c>
      <c r="AD532" t="s">
        <v>292</v>
      </c>
      <c r="AE532" t="s">
        <v>293</v>
      </c>
      <c r="AF532" t="s">
        <v>292</v>
      </c>
      <c r="AG532" t="s">
        <v>293</v>
      </c>
      <c r="AH532" t="s">
        <v>293</v>
      </c>
      <c r="AI532" t="s">
        <v>302</v>
      </c>
      <c r="AJ532" t="s">
        <v>302</v>
      </c>
      <c r="AK532" t="s">
        <v>359</v>
      </c>
      <c r="AL532" t="s">
        <v>293</v>
      </c>
      <c r="AM532" t="s">
        <v>293</v>
      </c>
      <c r="AN532" t="s">
        <v>297</v>
      </c>
      <c r="AO532" t="s">
        <v>298</v>
      </c>
      <c r="AP532" t="s">
        <v>360</v>
      </c>
      <c r="AQ532" t="s">
        <v>292</v>
      </c>
      <c r="AR532" t="s">
        <v>293</v>
      </c>
      <c r="AS532" t="s">
        <v>293</v>
      </c>
      <c r="AT532" t="s">
        <v>364</v>
      </c>
      <c r="AU532" t="str">
        <f t="shared" si="21"/>
        <v>no_fail</v>
      </c>
      <c r="AW532" t="s">
        <v>526</v>
      </c>
      <c r="AX532" t="s">
        <v>527</v>
      </c>
    </row>
    <row r="533" spans="1:50" hidden="1" x14ac:dyDescent="0.3">
      <c r="A533" t="s">
        <v>381</v>
      </c>
      <c r="B533" t="s">
        <v>288</v>
      </c>
      <c r="C533" t="s">
        <v>555</v>
      </c>
      <c r="D533" t="s">
        <v>288</v>
      </c>
      <c r="E533" t="str">
        <f t="shared" si="19"/>
        <v>pQ58d</v>
      </c>
      <c r="F533" t="b">
        <v>1</v>
      </c>
      <c r="G533">
        <v>95.6</v>
      </c>
      <c r="H533">
        <f t="shared" si="20"/>
        <v>0</v>
      </c>
      <c r="I533">
        <v>9288</v>
      </c>
      <c r="J533" s="61" t="s">
        <v>13</v>
      </c>
      <c r="K533" t="s">
        <v>272</v>
      </c>
      <c r="L533">
        <v>3</v>
      </c>
      <c r="M533" t="s">
        <v>277</v>
      </c>
      <c r="N533" t="s">
        <v>335</v>
      </c>
      <c r="O533" t="s">
        <v>281</v>
      </c>
      <c r="P533" t="s">
        <v>285</v>
      </c>
      <c r="Q533" t="s">
        <v>282</v>
      </c>
      <c r="R533" t="s">
        <v>371</v>
      </c>
      <c r="S533" t="s">
        <v>341</v>
      </c>
      <c r="T533" t="s">
        <v>340</v>
      </c>
      <c r="U533" t="s">
        <v>343</v>
      </c>
      <c r="V533" t="s">
        <v>345</v>
      </c>
      <c r="W533" s="17"/>
      <c r="X533" t="s">
        <v>349</v>
      </c>
      <c r="Y533" t="s">
        <v>349</v>
      </c>
      <c r="Z533" t="s">
        <v>293</v>
      </c>
      <c r="AA533" t="s">
        <v>352</v>
      </c>
      <c r="AB533" t="s">
        <v>297</v>
      </c>
      <c r="AC533" t="s">
        <v>300</v>
      </c>
      <c r="AD533" t="s">
        <v>292</v>
      </c>
      <c r="AE533" t="s">
        <v>293</v>
      </c>
      <c r="AF533" t="s">
        <v>292</v>
      </c>
      <c r="AG533" t="s">
        <v>293</v>
      </c>
      <c r="AH533" t="s">
        <v>293</v>
      </c>
      <c r="AI533" t="s">
        <v>302</v>
      </c>
      <c r="AJ533" t="s">
        <v>302</v>
      </c>
      <c r="AK533" t="s">
        <v>359</v>
      </c>
      <c r="AL533" t="s">
        <v>293</v>
      </c>
      <c r="AM533" t="s">
        <v>293</v>
      </c>
      <c r="AN533" t="s">
        <v>297</v>
      </c>
      <c r="AO533" t="s">
        <v>298</v>
      </c>
      <c r="AP533" t="s">
        <v>293</v>
      </c>
      <c r="AQ533" t="s">
        <v>292</v>
      </c>
      <c r="AR533" t="s">
        <v>293</v>
      </c>
      <c r="AS533" t="s">
        <v>293</v>
      </c>
      <c r="AT533" t="s">
        <v>364</v>
      </c>
      <c r="AU533" t="str">
        <f t="shared" si="21"/>
        <v>no_fail</v>
      </c>
      <c r="AW533" t="s">
        <v>556</v>
      </c>
      <c r="AX533" t="s">
        <v>557</v>
      </c>
    </row>
    <row r="534" spans="1:50" hidden="1" x14ac:dyDescent="0.3">
      <c r="A534" t="s">
        <v>381</v>
      </c>
      <c r="B534" t="s">
        <v>288</v>
      </c>
      <c r="C534" t="s">
        <v>414</v>
      </c>
      <c r="D534" t="s">
        <v>288</v>
      </c>
      <c r="E534" t="str">
        <f t="shared" si="19"/>
        <v>q7BeJ</v>
      </c>
      <c r="F534" t="b">
        <v>1</v>
      </c>
      <c r="G534">
        <v>99.8</v>
      </c>
      <c r="H534">
        <f t="shared" si="20"/>
        <v>0</v>
      </c>
      <c r="I534">
        <v>6949</v>
      </c>
      <c r="J534" s="61" t="s">
        <v>13</v>
      </c>
      <c r="K534" t="s">
        <v>272</v>
      </c>
      <c r="L534">
        <v>3</v>
      </c>
      <c r="M534" t="s">
        <v>277</v>
      </c>
      <c r="N534" t="s">
        <v>335</v>
      </c>
      <c r="O534" t="s">
        <v>283</v>
      </c>
      <c r="P534" t="s">
        <v>284</v>
      </c>
      <c r="Q534" t="s">
        <v>371</v>
      </c>
      <c r="R534" t="s">
        <v>371</v>
      </c>
      <c r="S534" t="s">
        <v>341</v>
      </c>
      <c r="T534" t="s">
        <v>342</v>
      </c>
      <c r="U534" t="s">
        <v>343</v>
      </c>
      <c r="V534" t="s">
        <v>291</v>
      </c>
      <c r="W534" s="17"/>
      <c r="X534" t="s">
        <v>350</v>
      </c>
      <c r="Y534" t="s">
        <v>349</v>
      </c>
      <c r="Z534" t="s">
        <v>293</v>
      </c>
      <c r="AA534" t="s">
        <v>353</v>
      </c>
      <c r="AB534" t="s">
        <v>297</v>
      </c>
      <c r="AC534" t="s">
        <v>299</v>
      </c>
      <c r="AD534" t="s">
        <v>292</v>
      </c>
      <c r="AE534" t="s">
        <v>293</v>
      </c>
      <c r="AF534" t="s">
        <v>292</v>
      </c>
      <c r="AG534" t="s">
        <v>293</v>
      </c>
      <c r="AH534" t="s">
        <v>293</v>
      </c>
      <c r="AI534" t="s">
        <v>302</v>
      </c>
      <c r="AJ534" t="s">
        <v>302</v>
      </c>
      <c r="AK534" t="s">
        <v>359</v>
      </c>
      <c r="AL534" t="s">
        <v>293</v>
      </c>
      <c r="AM534" t="s">
        <v>293</v>
      </c>
      <c r="AN534" t="s">
        <v>297</v>
      </c>
      <c r="AO534" t="s">
        <v>298</v>
      </c>
      <c r="AP534" t="s">
        <v>293</v>
      </c>
      <c r="AQ534" t="s">
        <v>292</v>
      </c>
      <c r="AR534" t="s">
        <v>293</v>
      </c>
      <c r="AS534" t="s">
        <v>293</v>
      </c>
      <c r="AT534" t="s">
        <v>364</v>
      </c>
      <c r="AU534" t="str">
        <f t="shared" si="21"/>
        <v>no_fail</v>
      </c>
      <c r="AW534" t="s">
        <v>415</v>
      </c>
      <c r="AX534" t="s">
        <v>416</v>
      </c>
    </row>
    <row r="535" spans="1:50" hidden="1" x14ac:dyDescent="0.3">
      <c r="A535" t="s">
        <v>381</v>
      </c>
      <c r="B535" t="s">
        <v>288</v>
      </c>
      <c r="C535" t="s">
        <v>516</v>
      </c>
      <c r="D535" t="s">
        <v>288</v>
      </c>
      <c r="E535" t="str">
        <f t="shared" si="19"/>
        <v>qeG7o</v>
      </c>
      <c r="F535" t="b">
        <v>1</v>
      </c>
      <c r="G535">
        <v>96.7</v>
      </c>
      <c r="H535">
        <f t="shared" si="20"/>
        <v>0</v>
      </c>
      <c r="I535">
        <v>8445</v>
      </c>
      <c r="J535" s="61" t="s">
        <v>13</v>
      </c>
      <c r="K535" t="s">
        <v>272</v>
      </c>
      <c r="L535">
        <v>3</v>
      </c>
      <c r="M535" t="s">
        <v>277</v>
      </c>
      <c r="N535" t="s">
        <v>335</v>
      </c>
      <c r="O535" t="s">
        <v>281</v>
      </c>
      <c r="P535" t="s">
        <v>282</v>
      </c>
      <c r="Q535" t="s">
        <v>371</v>
      </c>
      <c r="R535" t="s">
        <v>371</v>
      </c>
      <c r="S535" t="s">
        <v>341</v>
      </c>
      <c r="T535" t="s">
        <v>342</v>
      </c>
      <c r="U535" t="s">
        <v>343</v>
      </c>
      <c r="V535" t="s">
        <v>345</v>
      </c>
      <c r="W535" s="17"/>
      <c r="X535" t="s">
        <v>349</v>
      </c>
      <c r="Y535" t="s">
        <v>349</v>
      </c>
      <c r="Z535" t="s">
        <v>293</v>
      </c>
      <c r="AA535" t="s">
        <v>294</v>
      </c>
      <c r="AB535" t="s">
        <v>297</v>
      </c>
      <c r="AC535" t="s">
        <v>299</v>
      </c>
      <c r="AD535" t="s">
        <v>292</v>
      </c>
      <c r="AE535" t="s">
        <v>293</v>
      </c>
      <c r="AF535" t="s">
        <v>292</v>
      </c>
      <c r="AG535" t="s">
        <v>293</v>
      </c>
      <c r="AH535" t="s">
        <v>293</v>
      </c>
      <c r="AI535" t="s">
        <v>302</v>
      </c>
      <c r="AJ535" t="s">
        <v>302</v>
      </c>
      <c r="AK535" t="s">
        <v>359</v>
      </c>
      <c r="AL535" t="s">
        <v>293</v>
      </c>
      <c r="AM535" t="s">
        <v>293</v>
      </c>
      <c r="AN535" t="s">
        <v>297</v>
      </c>
      <c r="AO535" t="s">
        <v>298</v>
      </c>
      <c r="AP535" t="s">
        <v>360</v>
      </c>
      <c r="AQ535" t="s">
        <v>292</v>
      </c>
      <c r="AR535" t="s">
        <v>293</v>
      </c>
      <c r="AS535" t="s">
        <v>293</v>
      </c>
      <c r="AT535" t="s">
        <v>364</v>
      </c>
      <c r="AU535" t="str">
        <f t="shared" si="21"/>
        <v>no_fail</v>
      </c>
      <c r="AW535" t="s">
        <v>517</v>
      </c>
      <c r="AX535" t="s">
        <v>518</v>
      </c>
    </row>
    <row r="536" spans="1:50" hidden="1" x14ac:dyDescent="0.3">
      <c r="A536" t="s">
        <v>381</v>
      </c>
      <c r="B536" t="s">
        <v>288</v>
      </c>
      <c r="C536" t="s">
        <v>531</v>
      </c>
      <c r="D536" t="s">
        <v>288</v>
      </c>
      <c r="E536" t="str">
        <f t="shared" si="19"/>
        <v>QlJOY</v>
      </c>
      <c r="F536" t="b">
        <v>1</v>
      </c>
      <c r="G536">
        <v>93.7</v>
      </c>
      <c r="H536">
        <f t="shared" si="20"/>
        <v>0</v>
      </c>
      <c r="I536">
        <v>7279</v>
      </c>
      <c r="J536" s="61" t="s">
        <v>13</v>
      </c>
      <c r="K536" t="s">
        <v>272</v>
      </c>
      <c r="L536">
        <v>3</v>
      </c>
      <c r="M536" t="s">
        <v>333</v>
      </c>
      <c r="N536" t="s">
        <v>278</v>
      </c>
      <c r="O536" t="s">
        <v>283</v>
      </c>
      <c r="P536" t="s">
        <v>371</v>
      </c>
      <c r="Q536" t="s">
        <v>371</v>
      </c>
      <c r="R536" t="s">
        <v>371</v>
      </c>
      <c r="S536" t="s">
        <v>340</v>
      </c>
      <c r="T536" t="s">
        <v>342</v>
      </c>
      <c r="U536" t="s">
        <v>343</v>
      </c>
      <c r="V536" t="s">
        <v>347</v>
      </c>
      <c r="W536" s="17"/>
      <c r="X536" t="s">
        <v>349</v>
      </c>
      <c r="Y536" t="s">
        <v>349</v>
      </c>
      <c r="Z536" t="s">
        <v>293</v>
      </c>
      <c r="AA536" t="s">
        <v>353</v>
      </c>
      <c r="AB536" t="s">
        <v>297</v>
      </c>
      <c r="AC536" t="s">
        <v>300</v>
      </c>
      <c r="AD536" t="s">
        <v>292</v>
      </c>
      <c r="AE536" t="s">
        <v>293</v>
      </c>
      <c r="AF536" t="s">
        <v>292</v>
      </c>
      <c r="AG536" t="s">
        <v>293</v>
      </c>
      <c r="AH536" t="s">
        <v>293</v>
      </c>
      <c r="AI536" t="s">
        <v>358</v>
      </c>
      <c r="AJ536" t="s">
        <v>359</v>
      </c>
      <c r="AK536" t="s">
        <v>359</v>
      </c>
      <c r="AL536" t="s">
        <v>293</v>
      </c>
      <c r="AM536" t="s">
        <v>293</v>
      </c>
      <c r="AN536" t="s">
        <v>297</v>
      </c>
      <c r="AO536" t="s">
        <v>298</v>
      </c>
      <c r="AP536" t="s">
        <v>293</v>
      </c>
      <c r="AQ536" t="s">
        <v>292</v>
      </c>
      <c r="AR536" t="s">
        <v>293</v>
      </c>
      <c r="AS536" t="s">
        <v>293</v>
      </c>
      <c r="AT536" t="s">
        <v>364</v>
      </c>
      <c r="AU536" t="str">
        <f t="shared" si="21"/>
        <v>no_fail</v>
      </c>
      <c r="AW536" t="s">
        <v>532</v>
      </c>
      <c r="AX536" t="s">
        <v>533</v>
      </c>
    </row>
    <row r="537" spans="1:50" hidden="1" x14ac:dyDescent="0.3">
      <c r="A537" t="s">
        <v>381</v>
      </c>
      <c r="B537" t="s">
        <v>288</v>
      </c>
      <c r="C537" t="s">
        <v>558</v>
      </c>
      <c r="D537" t="s">
        <v>288</v>
      </c>
      <c r="E537" t="str">
        <f t="shared" si="19"/>
        <v>qYMZl</v>
      </c>
      <c r="F537" t="b">
        <v>1</v>
      </c>
      <c r="G537">
        <v>78.3</v>
      </c>
      <c r="H537">
        <f t="shared" si="20"/>
        <v>0</v>
      </c>
      <c r="I537">
        <v>14761</v>
      </c>
      <c r="J537" s="61" t="s">
        <v>13</v>
      </c>
      <c r="K537" t="s">
        <v>272</v>
      </c>
      <c r="L537">
        <v>3</v>
      </c>
      <c r="M537" t="s">
        <v>277</v>
      </c>
      <c r="N537" t="s">
        <v>335</v>
      </c>
      <c r="O537" t="s">
        <v>284</v>
      </c>
      <c r="P537" t="s">
        <v>283</v>
      </c>
      <c r="Q537" t="s">
        <v>282</v>
      </c>
      <c r="R537" t="s">
        <v>371</v>
      </c>
      <c r="S537" t="s">
        <v>341</v>
      </c>
      <c r="T537" t="s">
        <v>342</v>
      </c>
      <c r="U537" t="s">
        <v>343</v>
      </c>
      <c r="V537" t="s">
        <v>344</v>
      </c>
      <c r="W537" s="17"/>
      <c r="X537" t="s">
        <v>349</v>
      </c>
      <c r="Y537" t="s">
        <v>349</v>
      </c>
      <c r="Z537" t="s">
        <v>293</v>
      </c>
      <c r="AA537" t="s">
        <v>352</v>
      </c>
      <c r="AB537" t="s">
        <v>297</v>
      </c>
      <c r="AC537" t="s">
        <v>301</v>
      </c>
      <c r="AD537" t="s">
        <v>292</v>
      </c>
      <c r="AE537" t="s">
        <v>293</v>
      </c>
      <c r="AF537" t="s">
        <v>292</v>
      </c>
      <c r="AG537" t="s">
        <v>292</v>
      </c>
      <c r="AH537" t="s">
        <v>293</v>
      </c>
      <c r="AI537" t="s">
        <v>302</v>
      </c>
      <c r="AJ537" t="s">
        <v>302</v>
      </c>
      <c r="AK537" t="s">
        <v>302</v>
      </c>
      <c r="AL537" t="s">
        <v>293</v>
      </c>
      <c r="AM537" t="s">
        <v>293</v>
      </c>
      <c r="AN537" t="s">
        <v>296</v>
      </c>
      <c r="AO537" t="s">
        <v>298</v>
      </c>
      <c r="AP537" t="s">
        <v>293</v>
      </c>
      <c r="AQ537" t="s">
        <v>292</v>
      </c>
      <c r="AR537" t="s">
        <v>293</v>
      </c>
      <c r="AS537" t="s">
        <v>293</v>
      </c>
      <c r="AT537" t="s">
        <v>364</v>
      </c>
      <c r="AU537" t="str">
        <f t="shared" si="21"/>
        <v>no_fail</v>
      </c>
      <c r="AW537" t="s">
        <v>559</v>
      </c>
      <c r="AX537" t="s">
        <v>560</v>
      </c>
    </row>
    <row r="538" spans="1:50" hidden="1" x14ac:dyDescent="0.3">
      <c r="A538" t="s">
        <v>381</v>
      </c>
      <c r="B538" t="s">
        <v>288</v>
      </c>
      <c r="C538" t="s">
        <v>501</v>
      </c>
      <c r="D538" t="s">
        <v>288</v>
      </c>
      <c r="E538" t="str">
        <f t="shared" si="19"/>
        <v>R5eOr</v>
      </c>
      <c r="F538" t="b">
        <v>1</v>
      </c>
      <c r="G538">
        <v>100</v>
      </c>
      <c r="H538">
        <f t="shared" si="20"/>
        <v>1</v>
      </c>
      <c r="I538">
        <v>14716</v>
      </c>
      <c r="J538" s="61" t="s">
        <v>18</v>
      </c>
      <c r="K538" t="s">
        <v>272</v>
      </c>
      <c r="L538">
        <v>3</v>
      </c>
      <c r="M538" t="s">
        <v>333</v>
      </c>
      <c r="N538" t="s">
        <v>278</v>
      </c>
      <c r="O538" t="s">
        <v>339</v>
      </c>
      <c r="P538" t="s">
        <v>273</v>
      </c>
      <c r="Q538" t="s">
        <v>281</v>
      </c>
      <c r="R538" t="s">
        <v>371</v>
      </c>
      <c r="S538" t="s">
        <v>341</v>
      </c>
      <c r="T538" t="s">
        <v>342</v>
      </c>
      <c r="U538" t="s">
        <v>343</v>
      </c>
      <c r="V538" t="s">
        <v>291</v>
      </c>
      <c r="W538" s="17"/>
      <c r="X538" t="s">
        <v>350</v>
      </c>
      <c r="Y538" t="s">
        <v>349</v>
      </c>
      <c r="Z538" t="s">
        <v>293</v>
      </c>
      <c r="AA538" t="s">
        <v>353</v>
      </c>
      <c r="AB538" t="s">
        <v>355</v>
      </c>
      <c r="AC538" t="s">
        <v>300</v>
      </c>
      <c r="AD538" t="s">
        <v>293</v>
      </c>
      <c r="AE538" t="s">
        <v>292</v>
      </c>
      <c r="AF538" t="s">
        <v>292</v>
      </c>
      <c r="AG538" t="s">
        <v>292</v>
      </c>
      <c r="AH538" t="s">
        <v>293</v>
      </c>
      <c r="AI538" t="s">
        <v>302</v>
      </c>
      <c r="AJ538" t="s">
        <v>359</v>
      </c>
      <c r="AK538" t="s">
        <v>359</v>
      </c>
      <c r="AL538" t="s">
        <v>293</v>
      </c>
      <c r="AM538" t="s">
        <v>293</v>
      </c>
      <c r="AN538" t="s">
        <v>297</v>
      </c>
      <c r="AO538" t="s">
        <v>356</v>
      </c>
      <c r="AP538" t="s">
        <v>293</v>
      </c>
      <c r="AQ538" t="s">
        <v>292</v>
      </c>
      <c r="AR538" t="s">
        <v>293</v>
      </c>
      <c r="AS538" t="s">
        <v>293</v>
      </c>
      <c r="AT538" t="s">
        <v>364</v>
      </c>
      <c r="AU538" t="str">
        <f t="shared" si="21"/>
        <v>break</v>
      </c>
      <c r="AW538" t="s">
        <v>502</v>
      </c>
      <c r="AX538" t="s">
        <v>503</v>
      </c>
    </row>
    <row r="539" spans="1:50" hidden="1" x14ac:dyDescent="0.3">
      <c r="A539" t="s">
        <v>381</v>
      </c>
      <c r="B539" t="s">
        <v>288</v>
      </c>
      <c r="C539" t="s">
        <v>474</v>
      </c>
      <c r="D539" t="s">
        <v>288</v>
      </c>
      <c r="E539" t="str">
        <f t="shared" si="19"/>
        <v>rdDr4</v>
      </c>
      <c r="F539" t="b">
        <v>1</v>
      </c>
      <c r="G539">
        <v>93</v>
      </c>
      <c r="H539">
        <f t="shared" si="20"/>
        <v>0</v>
      </c>
      <c r="I539">
        <v>14246</v>
      </c>
      <c r="J539" s="61" t="s">
        <v>13</v>
      </c>
      <c r="K539" t="s">
        <v>272</v>
      </c>
      <c r="L539">
        <v>3</v>
      </c>
      <c r="M539" t="s">
        <v>333</v>
      </c>
      <c r="N539" t="s">
        <v>280</v>
      </c>
      <c r="O539" t="s">
        <v>281</v>
      </c>
      <c r="P539" t="s">
        <v>285</v>
      </c>
      <c r="Q539" t="s">
        <v>371</v>
      </c>
      <c r="R539" t="s">
        <v>371</v>
      </c>
      <c r="S539" t="s">
        <v>341</v>
      </c>
      <c r="T539" t="s">
        <v>340</v>
      </c>
      <c r="U539" t="s">
        <v>343</v>
      </c>
      <c r="V539" t="s">
        <v>377</v>
      </c>
      <c r="W539" s="17"/>
      <c r="X539" t="s">
        <v>349</v>
      </c>
      <c r="Y539" t="s">
        <v>349</v>
      </c>
      <c r="Z539" t="s">
        <v>293</v>
      </c>
      <c r="AA539" t="s">
        <v>353</v>
      </c>
      <c r="AB539" t="s">
        <v>296</v>
      </c>
      <c r="AC539" t="s">
        <v>300</v>
      </c>
      <c r="AD539" t="s">
        <v>292</v>
      </c>
      <c r="AE539" t="s">
        <v>293</v>
      </c>
      <c r="AF539" t="s">
        <v>292</v>
      </c>
      <c r="AG539" t="s">
        <v>292</v>
      </c>
      <c r="AH539" t="s">
        <v>293</v>
      </c>
      <c r="AI539" t="s">
        <v>302</v>
      </c>
      <c r="AJ539" t="s">
        <v>359</v>
      </c>
      <c r="AK539" t="s">
        <v>359</v>
      </c>
      <c r="AL539" t="s">
        <v>293</v>
      </c>
      <c r="AM539" t="s">
        <v>293</v>
      </c>
      <c r="AN539" t="s">
        <v>296</v>
      </c>
      <c r="AO539" t="s">
        <v>298</v>
      </c>
      <c r="AP539" t="s">
        <v>293</v>
      </c>
      <c r="AQ539" t="s">
        <v>292</v>
      </c>
      <c r="AR539" t="s">
        <v>293</v>
      </c>
      <c r="AS539" t="s">
        <v>293</v>
      </c>
      <c r="AT539" t="s">
        <v>364</v>
      </c>
      <c r="AU539" t="str">
        <f t="shared" si="21"/>
        <v>no_fail</v>
      </c>
      <c r="AW539" t="s">
        <v>475</v>
      </c>
      <c r="AX539" t="s">
        <v>476</v>
      </c>
    </row>
    <row r="540" spans="1:50" hidden="1" x14ac:dyDescent="0.3">
      <c r="A540" t="s">
        <v>381</v>
      </c>
      <c r="B540" t="s">
        <v>288</v>
      </c>
      <c r="C540" t="s">
        <v>522</v>
      </c>
      <c r="D540" t="s">
        <v>288</v>
      </c>
      <c r="E540" t="str">
        <f t="shared" si="19"/>
        <v>rlaqJ</v>
      </c>
      <c r="F540" t="b">
        <v>1</v>
      </c>
      <c r="G540">
        <v>68.400000000000006</v>
      </c>
      <c r="H540">
        <f t="shared" si="20"/>
        <v>0</v>
      </c>
      <c r="I540">
        <v>11067</v>
      </c>
      <c r="J540" s="61" t="s">
        <v>13</v>
      </c>
      <c r="K540" t="s">
        <v>272</v>
      </c>
      <c r="L540">
        <v>3</v>
      </c>
      <c r="M540" t="s">
        <v>277</v>
      </c>
      <c r="N540" t="s">
        <v>335</v>
      </c>
      <c r="O540" t="s">
        <v>281</v>
      </c>
      <c r="P540" t="s">
        <v>283</v>
      </c>
      <c r="Q540" t="s">
        <v>284</v>
      </c>
      <c r="R540" t="s">
        <v>371</v>
      </c>
      <c r="S540" t="s">
        <v>341</v>
      </c>
      <c r="T540" t="s">
        <v>340</v>
      </c>
      <c r="U540" t="s">
        <v>343</v>
      </c>
      <c r="V540" t="s">
        <v>344</v>
      </c>
      <c r="W540" s="17"/>
      <c r="X540" t="s">
        <v>349</v>
      </c>
      <c r="Y540" t="s">
        <v>349</v>
      </c>
      <c r="Z540" t="s">
        <v>293</v>
      </c>
      <c r="AA540" t="s">
        <v>352</v>
      </c>
      <c r="AB540" t="s">
        <v>296</v>
      </c>
      <c r="AC540" t="s">
        <v>301</v>
      </c>
      <c r="AD540" t="s">
        <v>292</v>
      </c>
      <c r="AE540" t="s">
        <v>293</v>
      </c>
      <c r="AF540" t="s">
        <v>292</v>
      </c>
      <c r="AG540" t="s">
        <v>292</v>
      </c>
      <c r="AH540" t="s">
        <v>293</v>
      </c>
      <c r="AI540" t="s">
        <v>302</v>
      </c>
      <c r="AJ540" t="s">
        <v>302</v>
      </c>
      <c r="AK540" t="s">
        <v>359</v>
      </c>
      <c r="AL540" t="s">
        <v>293</v>
      </c>
      <c r="AM540" t="s">
        <v>293</v>
      </c>
      <c r="AN540" t="s">
        <v>297</v>
      </c>
      <c r="AO540" t="s">
        <v>298</v>
      </c>
      <c r="AP540" t="s">
        <v>293</v>
      </c>
      <c r="AQ540" t="s">
        <v>292</v>
      </c>
      <c r="AR540" t="s">
        <v>293</v>
      </c>
      <c r="AS540" t="s">
        <v>293</v>
      </c>
      <c r="AT540" t="s">
        <v>364</v>
      </c>
      <c r="AU540" t="str">
        <f t="shared" si="21"/>
        <v>no_fail</v>
      </c>
      <c r="AW540" t="s">
        <v>523</v>
      </c>
      <c r="AX540" t="s">
        <v>524</v>
      </c>
    </row>
    <row r="541" spans="1:50" hidden="1" x14ac:dyDescent="0.3">
      <c r="A541" t="s">
        <v>381</v>
      </c>
      <c r="B541" t="s">
        <v>288</v>
      </c>
      <c r="C541" t="s">
        <v>450</v>
      </c>
      <c r="D541" t="s">
        <v>288</v>
      </c>
      <c r="E541" t="str">
        <f t="shared" si="19"/>
        <v>rlXM4</v>
      </c>
      <c r="F541" t="b">
        <v>1</v>
      </c>
      <c r="G541">
        <v>99.6</v>
      </c>
      <c r="H541">
        <f t="shared" si="20"/>
        <v>0</v>
      </c>
      <c r="I541">
        <v>10000</v>
      </c>
      <c r="J541" s="61" t="s">
        <v>13</v>
      </c>
      <c r="K541" t="s">
        <v>272</v>
      </c>
      <c r="L541">
        <v>3</v>
      </c>
      <c r="M541" t="s">
        <v>277</v>
      </c>
      <c r="N541" t="s">
        <v>335</v>
      </c>
      <c r="O541" t="s">
        <v>282</v>
      </c>
      <c r="P541" t="s">
        <v>371</v>
      </c>
      <c r="Q541" t="s">
        <v>371</v>
      </c>
      <c r="R541" t="s">
        <v>371</v>
      </c>
      <c r="S541" t="s">
        <v>341</v>
      </c>
      <c r="T541" t="s">
        <v>342</v>
      </c>
      <c r="U541" t="s">
        <v>343</v>
      </c>
      <c r="V541" t="s">
        <v>345</v>
      </c>
      <c r="W541" s="17"/>
      <c r="X541" t="s">
        <v>349</v>
      </c>
      <c r="Y541" t="s">
        <v>349</v>
      </c>
      <c r="Z541" t="s">
        <v>293</v>
      </c>
      <c r="AA541" t="s">
        <v>353</v>
      </c>
      <c r="AB541" t="s">
        <v>297</v>
      </c>
      <c r="AC541" t="s">
        <v>299</v>
      </c>
      <c r="AD541" t="s">
        <v>292</v>
      </c>
      <c r="AE541" t="s">
        <v>293</v>
      </c>
      <c r="AF541" t="s">
        <v>292</v>
      </c>
      <c r="AG541" t="s">
        <v>293</v>
      </c>
      <c r="AH541" t="s">
        <v>293</v>
      </c>
      <c r="AI541" t="s">
        <v>302</v>
      </c>
      <c r="AJ541" t="s">
        <v>302</v>
      </c>
      <c r="AK541" t="s">
        <v>359</v>
      </c>
      <c r="AL541" t="s">
        <v>293</v>
      </c>
      <c r="AM541" t="s">
        <v>293</v>
      </c>
      <c r="AN541" t="s">
        <v>297</v>
      </c>
      <c r="AO541" t="s">
        <v>298</v>
      </c>
      <c r="AP541" t="s">
        <v>360</v>
      </c>
      <c r="AQ541" t="s">
        <v>292</v>
      </c>
      <c r="AR541" t="s">
        <v>293</v>
      </c>
      <c r="AS541" t="s">
        <v>293</v>
      </c>
      <c r="AT541" t="s">
        <v>364</v>
      </c>
      <c r="AU541" t="str">
        <f t="shared" si="21"/>
        <v>no_fail</v>
      </c>
      <c r="AW541" t="s">
        <v>451</v>
      </c>
      <c r="AX541" t="s">
        <v>452</v>
      </c>
    </row>
    <row r="542" spans="1:50" hidden="1" x14ac:dyDescent="0.3">
      <c r="A542" t="s">
        <v>381</v>
      </c>
      <c r="B542" t="s">
        <v>288</v>
      </c>
      <c r="C542" t="s">
        <v>477</v>
      </c>
      <c r="D542" t="s">
        <v>288</v>
      </c>
      <c r="E542" t="str">
        <f t="shared" si="19"/>
        <v>RM2Yx</v>
      </c>
      <c r="F542" t="b">
        <v>1</v>
      </c>
      <c r="G542">
        <v>97.4</v>
      </c>
      <c r="H542">
        <f t="shared" si="20"/>
        <v>0</v>
      </c>
      <c r="I542">
        <v>9170</v>
      </c>
      <c r="J542" s="61" t="s">
        <v>13</v>
      </c>
      <c r="K542" t="s">
        <v>272</v>
      </c>
      <c r="L542">
        <v>3</v>
      </c>
      <c r="M542" t="s">
        <v>277</v>
      </c>
      <c r="N542" t="s">
        <v>335</v>
      </c>
      <c r="O542" t="s">
        <v>282</v>
      </c>
      <c r="P542" t="s">
        <v>371</v>
      </c>
      <c r="Q542" t="s">
        <v>371</v>
      </c>
      <c r="R542" t="s">
        <v>371</v>
      </c>
      <c r="S542" t="s">
        <v>341</v>
      </c>
      <c r="T542" t="s">
        <v>342</v>
      </c>
      <c r="U542" t="s">
        <v>343</v>
      </c>
      <c r="V542" t="s">
        <v>344</v>
      </c>
      <c r="W542" s="17" t="s">
        <v>347</v>
      </c>
      <c r="X542" t="s">
        <v>350</v>
      </c>
      <c r="Y542" t="s">
        <v>349</v>
      </c>
      <c r="Z542" t="s">
        <v>293</v>
      </c>
      <c r="AA542" t="s">
        <v>353</v>
      </c>
      <c r="AB542" t="s">
        <v>297</v>
      </c>
      <c r="AC542" t="s">
        <v>299</v>
      </c>
      <c r="AD542" t="s">
        <v>292</v>
      </c>
      <c r="AE542" t="s">
        <v>293</v>
      </c>
      <c r="AF542" t="s">
        <v>292</v>
      </c>
      <c r="AG542" t="s">
        <v>293</v>
      </c>
      <c r="AH542" t="s">
        <v>293</v>
      </c>
      <c r="AI542" t="s">
        <v>302</v>
      </c>
      <c r="AJ542" t="s">
        <v>302</v>
      </c>
      <c r="AK542" t="s">
        <v>359</v>
      </c>
      <c r="AL542" t="s">
        <v>293</v>
      </c>
      <c r="AM542" t="s">
        <v>293</v>
      </c>
      <c r="AN542" t="s">
        <v>297</v>
      </c>
      <c r="AO542" t="s">
        <v>298</v>
      </c>
      <c r="AP542" t="s">
        <v>293</v>
      </c>
      <c r="AQ542" t="s">
        <v>292</v>
      </c>
      <c r="AR542" t="s">
        <v>293</v>
      </c>
      <c r="AS542" t="s">
        <v>293</v>
      </c>
      <c r="AT542" t="s">
        <v>364</v>
      </c>
      <c r="AU542" t="str">
        <f t="shared" si="21"/>
        <v>no_fail</v>
      </c>
      <c r="AW542" t="s">
        <v>478</v>
      </c>
      <c r="AX542" t="s">
        <v>479</v>
      </c>
    </row>
    <row r="543" spans="1:50" hidden="1" x14ac:dyDescent="0.3">
      <c r="A543" t="s">
        <v>381</v>
      </c>
      <c r="B543" t="s">
        <v>288</v>
      </c>
      <c r="C543" t="s">
        <v>540</v>
      </c>
      <c r="D543" t="s">
        <v>288</v>
      </c>
      <c r="E543" t="str">
        <f t="shared" si="19"/>
        <v>RME97</v>
      </c>
      <c r="F543" t="b">
        <v>1</v>
      </c>
      <c r="G543">
        <v>92.7</v>
      </c>
      <c r="H543">
        <f t="shared" si="20"/>
        <v>0</v>
      </c>
      <c r="I543">
        <v>7320</v>
      </c>
      <c r="J543" s="61" t="s">
        <v>13</v>
      </c>
      <c r="K543" t="s">
        <v>272</v>
      </c>
      <c r="L543">
        <v>3</v>
      </c>
      <c r="M543" t="s">
        <v>277</v>
      </c>
      <c r="N543" t="s">
        <v>335</v>
      </c>
      <c r="O543" t="s">
        <v>273</v>
      </c>
      <c r="P543" t="s">
        <v>282</v>
      </c>
      <c r="Q543" t="s">
        <v>371</v>
      </c>
      <c r="R543" t="s">
        <v>371</v>
      </c>
      <c r="S543" t="s">
        <v>341</v>
      </c>
      <c r="T543" t="s">
        <v>340</v>
      </c>
      <c r="U543" t="s">
        <v>343</v>
      </c>
      <c r="V543" t="s">
        <v>291</v>
      </c>
      <c r="W543" s="17"/>
      <c r="X543" t="s">
        <v>350</v>
      </c>
      <c r="Y543" t="s">
        <v>349</v>
      </c>
      <c r="Z543" t="s">
        <v>293</v>
      </c>
      <c r="AA543" t="s">
        <v>353</v>
      </c>
      <c r="AB543" t="s">
        <v>297</v>
      </c>
      <c r="AC543" t="s">
        <v>299</v>
      </c>
      <c r="AD543" t="s">
        <v>292</v>
      </c>
      <c r="AE543" t="s">
        <v>293</v>
      </c>
      <c r="AF543" t="s">
        <v>292</v>
      </c>
      <c r="AG543" t="s">
        <v>292</v>
      </c>
      <c r="AH543" t="s">
        <v>293</v>
      </c>
      <c r="AI543" t="s">
        <v>302</v>
      </c>
      <c r="AJ543" t="s">
        <v>302</v>
      </c>
      <c r="AK543" t="s">
        <v>359</v>
      </c>
      <c r="AL543" t="s">
        <v>293</v>
      </c>
      <c r="AM543" t="s">
        <v>293</v>
      </c>
      <c r="AN543" t="s">
        <v>297</v>
      </c>
      <c r="AO543" t="s">
        <v>298</v>
      </c>
      <c r="AP543" t="s">
        <v>293</v>
      </c>
      <c r="AQ543" t="s">
        <v>292</v>
      </c>
      <c r="AR543" t="s">
        <v>293</v>
      </c>
      <c r="AS543" t="s">
        <v>293</v>
      </c>
      <c r="AT543" t="s">
        <v>364</v>
      </c>
      <c r="AU543" t="str">
        <f t="shared" si="21"/>
        <v>no_fail</v>
      </c>
      <c r="AW543" t="s">
        <v>541</v>
      </c>
      <c r="AX543" t="s">
        <v>542</v>
      </c>
    </row>
    <row r="544" spans="1:50" hidden="1" x14ac:dyDescent="0.3">
      <c r="A544" t="s">
        <v>381</v>
      </c>
      <c r="B544" t="s">
        <v>288</v>
      </c>
      <c r="C544" t="s">
        <v>672</v>
      </c>
      <c r="D544" t="s">
        <v>288</v>
      </c>
      <c r="E544" t="str">
        <f t="shared" si="19"/>
        <v>RMlR7</v>
      </c>
      <c r="F544" t="b">
        <v>1</v>
      </c>
      <c r="G544">
        <v>95.8</v>
      </c>
      <c r="H544">
        <f t="shared" si="20"/>
        <v>0</v>
      </c>
      <c r="I544">
        <v>8723</v>
      </c>
      <c r="J544" s="61" t="s">
        <v>13</v>
      </c>
      <c r="K544" t="s">
        <v>272</v>
      </c>
      <c r="L544">
        <v>3</v>
      </c>
      <c r="M544" t="s">
        <v>277</v>
      </c>
      <c r="N544" t="s">
        <v>335</v>
      </c>
      <c r="O544" t="s">
        <v>283</v>
      </c>
      <c r="P544" t="s">
        <v>281</v>
      </c>
      <c r="Q544" t="s">
        <v>284</v>
      </c>
      <c r="R544" t="s">
        <v>371</v>
      </c>
      <c r="S544" t="s">
        <v>341</v>
      </c>
      <c r="T544" t="s">
        <v>342</v>
      </c>
      <c r="U544" t="s">
        <v>343</v>
      </c>
      <c r="V544" t="s">
        <v>344</v>
      </c>
      <c r="W544" s="17"/>
      <c r="X544" t="s">
        <v>350</v>
      </c>
      <c r="Y544" t="s">
        <v>349</v>
      </c>
      <c r="Z544" t="s">
        <v>293</v>
      </c>
      <c r="AA544" t="s">
        <v>353</v>
      </c>
      <c r="AB544" t="s">
        <v>297</v>
      </c>
      <c r="AC544" t="s">
        <v>299</v>
      </c>
      <c r="AD544" t="s">
        <v>292</v>
      </c>
      <c r="AE544" t="s">
        <v>293</v>
      </c>
      <c r="AF544" t="s">
        <v>292</v>
      </c>
      <c r="AG544" t="s">
        <v>293</v>
      </c>
      <c r="AH544" t="s">
        <v>293</v>
      </c>
      <c r="AI544" t="s">
        <v>302</v>
      </c>
      <c r="AJ544" t="s">
        <v>302</v>
      </c>
      <c r="AK544" t="s">
        <v>359</v>
      </c>
      <c r="AL544" t="s">
        <v>293</v>
      </c>
      <c r="AM544" t="s">
        <v>293</v>
      </c>
      <c r="AN544" t="s">
        <v>297</v>
      </c>
      <c r="AO544" t="s">
        <v>298</v>
      </c>
      <c r="AP544" t="s">
        <v>293</v>
      </c>
      <c r="AQ544" t="s">
        <v>292</v>
      </c>
      <c r="AR544" t="s">
        <v>293</v>
      </c>
      <c r="AS544" t="s">
        <v>293</v>
      </c>
      <c r="AT544" t="s">
        <v>364</v>
      </c>
      <c r="AU544" t="str">
        <f t="shared" si="21"/>
        <v>no_fail</v>
      </c>
      <c r="AW544" t="s">
        <v>673</v>
      </c>
      <c r="AX544" t="s">
        <v>674</v>
      </c>
    </row>
    <row r="545" spans="1:50" hidden="1" x14ac:dyDescent="0.3">
      <c r="A545" t="s">
        <v>381</v>
      </c>
      <c r="B545" t="s">
        <v>288</v>
      </c>
      <c r="C545" t="s">
        <v>390</v>
      </c>
      <c r="D545" t="s">
        <v>288</v>
      </c>
      <c r="E545" t="str">
        <f t="shared" si="19"/>
        <v>RR1k2</v>
      </c>
      <c r="F545" t="b">
        <v>1</v>
      </c>
      <c r="G545">
        <v>90.4</v>
      </c>
      <c r="H545">
        <f t="shared" si="20"/>
        <v>0</v>
      </c>
      <c r="I545">
        <v>8807</v>
      </c>
      <c r="J545" s="61" t="s">
        <v>13</v>
      </c>
      <c r="K545" t="s">
        <v>272</v>
      </c>
      <c r="L545">
        <v>3</v>
      </c>
      <c r="M545" t="s">
        <v>277</v>
      </c>
      <c r="N545" t="s">
        <v>335</v>
      </c>
      <c r="O545" t="s">
        <v>283</v>
      </c>
      <c r="P545" t="s">
        <v>282</v>
      </c>
      <c r="Q545" t="s">
        <v>371</v>
      </c>
      <c r="R545" t="s">
        <v>371</v>
      </c>
      <c r="S545" t="s">
        <v>341</v>
      </c>
      <c r="T545" t="s">
        <v>342</v>
      </c>
      <c r="U545" t="s">
        <v>343</v>
      </c>
      <c r="V545" t="s">
        <v>344</v>
      </c>
      <c r="W545" s="17" t="s">
        <v>347</v>
      </c>
      <c r="X545" t="s">
        <v>350</v>
      </c>
      <c r="Y545" t="s">
        <v>349</v>
      </c>
      <c r="Z545" t="s">
        <v>293</v>
      </c>
      <c r="AA545" t="s">
        <v>353</v>
      </c>
      <c r="AB545" t="s">
        <v>297</v>
      </c>
      <c r="AC545" t="s">
        <v>299</v>
      </c>
      <c r="AD545" t="s">
        <v>292</v>
      </c>
      <c r="AE545" t="s">
        <v>293</v>
      </c>
      <c r="AF545" t="s">
        <v>292</v>
      </c>
      <c r="AG545" t="s">
        <v>293</v>
      </c>
      <c r="AH545" t="s">
        <v>293</v>
      </c>
      <c r="AI545" t="s">
        <v>302</v>
      </c>
      <c r="AJ545" t="s">
        <v>302</v>
      </c>
      <c r="AK545" t="s">
        <v>359</v>
      </c>
      <c r="AL545" t="s">
        <v>293</v>
      </c>
      <c r="AM545" t="s">
        <v>293</v>
      </c>
      <c r="AN545" t="s">
        <v>297</v>
      </c>
      <c r="AO545" t="s">
        <v>298</v>
      </c>
      <c r="AP545" t="s">
        <v>293</v>
      </c>
      <c r="AQ545" t="s">
        <v>292</v>
      </c>
      <c r="AR545" t="s">
        <v>293</v>
      </c>
      <c r="AS545" t="s">
        <v>293</v>
      </c>
      <c r="AT545" t="s">
        <v>364</v>
      </c>
      <c r="AU545" t="str">
        <f t="shared" si="21"/>
        <v>no_fail</v>
      </c>
      <c r="AW545" t="s">
        <v>391</v>
      </c>
      <c r="AX545" t="s">
        <v>392</v>
      </c>
    </row>
    <row r="546" spans="1:50" hidden="1" x14ac:dyDescent="0.3">
      <c r="A546" t="s">
        <v>381</v>
      </c>
      <c r="B546" t="s">
        <v>288</v>
      </c>
      <c r="C546" t="s">
        <v>570</v>
      </c>
      <c r="D546" t="s">
        <v>288</v>
      </c>
      <c r="E546" t="str">
        <f t="shared" si="19"/>
        <v>v8Mpa</v>
      </c>
      <c r="F546" t="b">
        <v>1</v>
      </c>
      <c r="G546">
        <v>98.3</v>
      </c>
      <c r="H546">
        <f t="shared" si="20"/>
        <v>0</v>
      </c>
      <c r="I546">
        <v>7868</v>
      </c>
      <c r="J546" s="61" t="s">
        <v>13</v>
      </c>
      <c r="K546" t="s">
        <v>272</v>
      </c>
      <c r="L546">
        <v>3</v>
      </c>
      <c r="M546" t="s">
        <v>277</v>
      </c>
      <c r="N546" t="s">
        <v>335</v>
      </c>
      <c r="O546" t="s">
        <v>283</v>
      </c>
      <c r="P546" t="s">
        <v>282</v>
      </c>
      <c r="Q546" t="s">
        <v>371</v>
      </c>
      <c r="R546" t="s">
        <v>371</v>
      </c>
      <c r="S546" t="s">
        <v>341</v>
      </c>
      <c r="T546" t="s">
        <v>342</v>
      </c>
      <c r="U546" t="s">
        <v>343</v>
      </c>
      <c r="V546" t="s">
        <v>345</v>
      </c>
      <c r="W546" s="17" t="s">
        <v>347</v>
      </c>
      <c r="X546" t="s">
        <v>349</v>
      </c>
      <c r="Y546" t="s">
        <v>349</v>
      </c>
      <c r="Z546" t="s">
        <v>293</v>
      </c>
      <c r="AA546" t="s">
        <v>353</v>
      </c>
      <c r="AB546" t="s">
        <v>297</v>
      </c>
      <c r="AC546" t="s">
        <v>299</v>
      </c>
      <c r="AD546" t="s">
        <v>292</v>
      </c>
      <c r="AE546" t="s">
        <v>293</v>
      </c>
      <c r="AF546" t="s">
        <v>292</v>
      </c>
      <c r="AG546" t="s">
        <v>293</v>
      </c>
      <c r="AH546" t="s">
        <v>293</v>
      </c>
      <c r="AI546" t="s">
        <v>302</v>
      </c>
      <c r="AJ546" t="s">
        <v>302</v>
      </c>
      <c r="AK546" t="s">
        <v>359</v>
      </c>
      <c r="AL546" t="s">
        <v>293</v>
      </c>
      <c r="AM546" t="s">
        <v>293</v>
      </c>
      <c r="AN546" t="s">
        <v>297</v>
      </c>
      <c r="AO546" t="s">
        <v>298</v>
      </c>
      <c r="AP546" t="s">
        <v>293</v>
      </c>
      <c r="AQ546" t="s">
        <v>292</v>
      </c>
      <c r="AR546" t="s">
        <v>293</v>
      </c>
      <c r="AS546" t="s">
        <v>293</v>
      </c>
      <c r="AT546" t="s">
        <v>364</v>
      </c>
      <c r="AU546" t="str">
        <f t="shared" si="21"/>
        <v>no_fail</v>
      </c>
      <c r="AW546" t="s">
        <v>571</v>
      </c>
      <c r="AX546" t="s">
        <v>572</v>
      </c>
    </row>
    <row r="547" spans="1:50" hidden="1" x14ac:dyDescent="0.3">
      <c r="A547" t="s">
        <v>381</v>
      </c>
      <c r="B547" t="s">
        <v>288</v>
      </c>
      <c r="C547" t="s">
        <v>675</v>
      </c>
      <c r="D547" t="s">
        <v>288</v>
      </c>
      <c r="E547" t="str">
        <f t="shared" si="19"/>
        <v>VeJ65</v>
      </c>
      <c r="F547" t="b">
        <v>1</v>
      </c>
      <c r="G547">
        <v>97.12</v>
      </c>
      <c r="H547">
        <f t="shared" si="20"/>
        <v>0</v>
      </c>
      <c r="I547">
        <v>12670</v>
      </c>
      <c r="J547" s="61" t="s">
        <v>13</v>
      </c>
      <c r="K547" t="s">
        <v>272</v>
      </c>
      <c r="L547">
        <v>3</v>
      </c>
      <c r="M547" t="s">
        <v>277</v>
      </c>
      <c r="N547" t="s">
        <v>335</v>
      </c>
      <c r="O547" t="s">
        <v>283</v>
      </c>
      <c r="P547" t="s">
        <v>281</v>
      </c>
      <c r="Q547" t="s">
        <v>284</v>
      </c>
      <c r="R547" t="s">
        <v>371</v>
      </c>
      <c r="S547" t="s">
        <v>341</v>
      </c>
      <c r="T547" t="s">
        <v>342</v>
      </c>
      <c r="U547" t="s">
        <v>343</v>
      </c>
      <c r="V547" t="s">
        <v>344</v>
      </c>
      <c r="W547" s="17"/>
      <c r="X547" t="s">
        <v>350</v>
      </c>
      <c r="Y547" t="s">
        <v>349</v>
      </c>
      <c r="Z547" t="s">
        <v>293</v>
      </c>
      <c r="AA547" t="s">
        <v>353</v>
      </c>
      <c r="AB547" t="s">
        <v>296</v>
      </c>
      <c r="AC547" t="s">
        <v>301</v>
      </c>
      <c r="AD547" t="s">
        <v>292</v>
      </c>
      <c r="AE547" t="s">
        <v>293</v>
      </c>
      <c r="AF547" t="s">
        <v>292</v>
      </c>
      <c r="AG547" t="s">
        <v>292</v>
      </c>
      <c r="AH547" t="s">
        <v>293</v>
      </c>
      <c r="AI547" t="s">
        <v>302</v>
      </c>
      <c r="AJ547" t="s">
        <v>302</v>
      </c>
      <c r="AK547" t="s">
        <v>359</v>
      </c>
      <c r="AL547" t="s">
        <v>293</v>
      </c>
      <c r="AM547" t="s">
        <v>293</v>
      </c>
      <c r="AN547" t="s">
        <v>297</v>
      </c>
      <c r="AO547" t="s">
        <v>298</v>
      </c>
      <c r="AP547" t="s">
        <v>293</v>
      </c>
      <c r="AQ547" t="s">
        <v>292</v>
      </c>
      <c r="AR547" t="s">
        <v>293</v>
      </c>
      <c r="AS547" t="s">
        <v>293</v>
      </c>
      <c r="AT547" t="s">
        <v>364</v>
      </c>
      <c r="AU547" t="str">
        <f t="shared" si="21"/>
        <v>no_fail</v>
      </c>
      <c r="AW547" t="s">
        <v>676</v>
      </c>
      <c r="AX547" t="s">
        <v>677</v>
      </c>
    </row>
    <row r="548" spans="1:50" hidden="1" x14ac:dyDescent="0.3">
      <c r="A548" t="s">
        <v>381</v>
      </c>
      <c r="B548" t="s">
        <v>288</v>
      </c>
      <c r="C548" t="s">
        <v>579</v>
      </c>
      <c r="D548" t="s">
        <v>288</v>
      </c>
      <c r="E548" t="str">
        <f t="shared" si="19"/>
        <v>VeP9n</v>
      </c>
      <c r="F548" t="b">
        <v>1</v>
      </c>
      <c r="G548">
        <v>99.93</v>
      </c>
      <c r="H548">
        <f t="shared" si="20"/>
        <v>0</v>
      </c>
      <c r="I548">
        <v>8544</v>
      </c>
      <c r="J548" s="61" t="s">
        <v>13</v>
      </c>
      <c r="K548" t="s">
        <v>272</v>
      </c>
      <c r="L548">
        <v>3</v>
      </c>
      <c r="M548" t="s">
        <v>333</v>
      </c>
      <c r="N548" t="s">
        <v>278</v>
      </c>
      <c r="O548" t="s">
        <v>273</v>
      </c>
      <c r="P548" t="s">
        <v>371</v>
      </c>
      <c r="Q548" t="s">
        <v>371</v>
      </c>
      <c r="R548" t="s">
        <v>371</v>
      </c>
      <c r="S548" t="s">
        <v>340</v>
      </c>
      <c r="T548" t="s">
        <v>342</v>
      </c>
      <c r="U548" t="s">
        <v>343</v>
      </c>
      <c r="V548" t="s">
        <v>347</v>
      </c>
      <c r="W548" s="17"/>
      <c r="X548" t="s">
        <v>349</v>
      </c>
      <c r="Y548" t="s">
        <v>349</v>
      </c>
      <c r="Z548" t="s">
        <v>293</v>
      </c>
      <c r="AA548" t="s">
        <v>353</v>
      </c>
      <c r="AB548" t="s">
        <v>297</v>
      </c>
      <c r="AC548" t="s">
        <v>300</v>
      </c>
      <c r="AD548" t="s">
        <v>292</v>
      </c>
      <c r="AE548" t="s">
        <v>292</v>
      </c>
      <c r="AF548" t="s">
        <v>292</v>
      </c>
      <c r="AG548" t="s">
        <v>293</v>
      </c>
      <c r="AH548" t="s">
        <v>293</v>
      </c>
      <c r="AI548" t="s">
        <v>358</v>
      </c>
      <c r="AJ548" t="s">
        <v>359</v>
      </c>
      <c r="AK548" t="s">
        <v>359</v>
      </c>
      <c r="AL548" t="s">
        <v>293</v>
      </c>
      <c r="AM548" t="s">
        <v>293</v>
      </c>
      <c r="AN548" t="s">
        <v>297</v>
      </c>
      <c r="AO548" t="s">
        <v>298</v>
      </c>
      <c r="AP548" t="s">
        <v>293</v>
      </c>
      <c r="AQ548" t="s">
        <v>292</v>
      </c>
      <c r="AR548" t="s">
        <v>293</v>
      </c>
      <c r="AS548" t="s">
        <v>293</v>
      </c>
      <c r="AT548" t="s">
        <v>364</v>
      </c>
      <c r="AU548" t="str">
        <f t="shared" si="21"/>
        <v>no_fail</v>
      </c>
      <c r="AW548" t="s">
        <v>580</v>
      </c>
      <c r="AX548" t="s">
        <v>581</v>
      </c>
    </row>
    <row r="549" spans="1:50" hidden="1" x14ac:dyDescent="0.3">
      <c r="A549" t="s">
        <v>381</v>
      </c>
      <c r="B549" t="s">
        <v>288</v>
      </c>
      <c r="C549" t="s">
        <v>639</v>
      </c>
      <c r="D549" t="s">
        <v>288</v>
      </c>
      <c r="E549" t="str">
        <f t="shared" si="19"/>
        <v>vMdWJ</v>
      </c>
      <c r="F549" t="b">
        <v>1</v>
      </c>
      <c r="G549">
        <v>100</v>
      </c>
      <c r="H549">
        <f t="shared" si="20"/>
        <v>1</v>
      </c>
      <c r="I549">
        <v>11385</v>
      </c>
      <c r="J549" s="61" t="s">
        <v>18</v>
      </c>
      <c r="K549" t="s">
        <v>273</v>
      </c>
      <c r="L549">
        <v>2</v>
      </c>
      <c r="M549" t="s">
        <v>333</v>
      </c>
      <c r="N549" t="s">
        <v>278</v>
      </c>
      <c r="O549" t="s">
        <v>273</v>
      </c>
      <c r="P549" t="s">
        <v>371</v>
      </c>
      <c r="Q549" t="s">
        <v>371</v>
      </c>
      <c r="R549" t="s">
        <v>371</v>
      </c>
      <c r="S549" t="s">
        <v>340</v>
      </c>
      <c r="T549" t="s">
        <v>342</v>
      </c>
      <c r="U549" t="s">
        <v>343</v>
      </c>
      <c r="V549" t="s">
        <v>291</v>
      </c>
      <c r="W549" s="17"/>
      <c r="X549" t="s">
        <v>349</v>
      </c>
      <c r="Y549" t="s">
        <v>349</v>
      </c>
      <c r="Z549" t="s">
        <v>292</v>
      </c>
      <c r="AA549" t="s">
        <v>353</v>
      </c>
      <c r="AB549" t="s">
        <v>355</v>
      </c>
      <c r="AC549" t="s">
        <v>301</v>
      </c>
      <c r="AD549" t="s">
        <v>293</v>
      </c>
      <c r="AE549" t="s">
        <v>292</v>
      </c>
      <c r="AF549" t="s">
        <v>293</v>
      </c>
      <c r="AG549" t="s">
        <v>292</v>
      </c>
      <c r="AH549" t="s">
        <v>293</v>
      </c>
      <c r="AI549" t="s">
        <v>358</v>
      </c>
      <c r="AJ549" t="s">
        <v>357</v>
      </c>
      <c r="AK549" t="s">
        <v>302</v>
      </c>
      <c r="AL549" t="s">
        <v>293</v>
      </c>
      <c r="AM549" t="s">
        <v>293</v>
      </c>
      <c r="AN549" t="s">
        <v>296</v>
      </c>
      <c r="AO549" t="s">
        <v>356</v>
      </c>
      <c r="AP549" t="s">
        <v>293</v>
      </c>
      <c r="AQ549" t="s">
        <v>292</v>
      </c>
      <c r="AR549" t="s">
        <v>293</v>
      </c>
      <c r="AS549" t="s">
        <v>293</v>
      </c>
      <c r="AT549" t="s">
        <v>364</v>
      </c>
      <c r="AU549" t="str">
        <f t="shared" si="21"/>
        <v>break</v>
      </c>
      <c r="AW549" t="s">
        <v>640</v>
      </c>
      <c r="AX549" t="s">
        <v>641</v>
      </c>
    </row>
    <row r="550" spans="1:50" hidden="1" x14ac:dyDescent="0.3">
      <c r="A550" t="s">
        <v>381</v>
      </c>
      <c r="B550" t="s">
        <v>288</v>
      </c>
      <c r="C550" t="s">
        <v>618</v>
      </c>
      <c r="D550" t="s">
        <v>288</v>
      </c>
      <c r="E550" t="str">
        <f t="shared" si="19"/>
        <v>VPZgQ</v>
      </c>
      <c r="F550" t="b">
        <v>1</v>
      </c>
      <c r="G550">
        <v>94.15</v>
      </c>
      <c r="H550">
        <f t="shared" si="20"/>
        <v>0</v>
      </c>
      <c r="I550">
        <v>28376</v>
      </c>
      <c r="J550" s="61" t="s">
        <v>13</v>
      </c>
      <c r="K550" t="s">
        <v>273</v>
      </c>
      <c r="L550">
        <v>2</v>
      </c>
      <c r="M550" t="s">
        <v>333</v>
      </c>
      <c r="N550" t="s">
        <v>278</v>
      </c>
      <c r="O550" t="s">
        <v>339</v>
      </c>
      <c r="P550" t="s">
        <v>273</v>
      </c>
      <c r="Q550" t="s">
        <v>371</v>
      </c>
      <c r="R550" t="s">
        <v>371</v>
      </c>
      <c r="S550" t="s">
        <v>341</v>
      </c>
      <c r="T550" t="s">
        <v>340</v>
      </c>
      <c r="U550" t="s">
        <v>343</v>
      </c>
      <c r="V550" t="s">
        <v>344</v>
      </c>
      <c r="W550" s="17" t="s">
        <v>291</v>
      </c>
      <c r="X550" t="s">
        <v>351</v>
      </c>
      <c r="Y550" t="s">
        <v>350</v>
      </c>
      <c r="Z550" t="s">
        <v>293</v>
      </c>
      <c r="AA550" t="s">
        <v>353</v>
      </c>
      <c r="AB550" t="s">
        <v>296</v>
      </c>
      <c r="AC550" t="s">
        <v>300</v>
      </c>
      <c r="AD550" t="s">
        <v>293</v>
      </c>
      <c r="AE550" t="s">
        <v>292</v>
      </c>
      <c r="AF550" t="s">
        <v>293</v>
      </c>
      <c r="AG550" t="s">
        <v>292</v>
      </c>
      <c r="AH550" t="s">
        <v>293</v>
      </c>
      <c r="AI550" t="s">
        <v>302</v>
      </c>
      <c r="AJ550" t="s">
        <v>357</v>
      </c>
      <c r="AK550" t="s">
        <v>302</v>
      </c>
      <c r="AL550" t="s">
        <v>293</v>
      </c>
      <c r="AM550" t="s">
        <v>293</v>
      </c>
      <c r="AN550" t="s">
        <v>296</v>
      </c>
      <c r="AO550" t="s">
        <v>356</v>
      </c>
      <c r="AP550" t="s">
        <v>293</v>
      </c>
      <c r="AQ550" t="s">
        <v>292</v>
      </c>
      <c r="AR550" t="s">
        <v>293</v>
      </c>
      <c r="AS550" t="s">
        <v>293</v>
      </c>
      <c r="AT550" t="s">
        <v>364</v>
      </c>
      <c r="AU550" t="str">
        <f t="shared" si="21"/>
        <v>no_fail</v>
      </c>
      <c r="AW550" t="s">
        <v>619</v>
      </c>
      <c r="AX550" t="s">
        <v>620</v>
      </c>
    </row>
    <row r="551" spans="1:50" hidden="1" x14ac:dyDescent="0.3">
      <c r="A551" t="s">
        <v>381</v>
      </c>
      <c r="B551" t="s">
        <v>288</v>
      </c>
      <c r="C551" t="s">
        <v>585</v>
      </c>
      <c r="D551" t="s">
        <v>288</v>
      </c>
      <c r="E551" t="str">
        <f t="shared" si="19"/>
        <v>W4k0O</v>
      </c>
      <c r="F551" t="b">
        <v>1</v>
      </c>
      <c r="G551">
        <v>100</v>
      </c>
      <c r="H551">
        <f t="shared" si="20"/>
        <v>1</v>
      </c>
      <c r="I551">
        <v>8253</v>
      </c>
      <c r="J551" s="61" t="s">
        <v>13</v>
      </c>
      <c r="K551" t="s">
        <v>272</v>
      </c>
      <c r="L551">
        <v>3</v>
      </c>
      <c r="M551" t="s">
        <v>333</v>
      </c>
      <c r="N551" t="s">
        <v>279</v>
      </c>
      <c r="O551" t="s">
        <v>281</v>
      </c>
      <c r="P551" t="s">
        <v>283</v>
      </c>
      <c r="Q551" t="s">
        <v>338</v>
      </c>
      <c r="R551" t="s">
        <v>371</v>
      </c>
      <c r="S551" t="s">
        <v>341</v>
      </c>
      <c r="T551" t="s">
        <v>342</v>
      </c>
      <c r="U551" t="s">
        <v>343</v>
      </c>
      <c r="V551" t="s">
        <v>344</v>
      </c>
      <c r="W551" s="17"/>
      <c r="X551" t="s">
        <v>350</v>
      </c>
      <c r="Y551" t="s">
        <v>349</v>
      </c>
      <c r="Z551" t="s">
        <v>293</v>
      </c>
      <c r="AA551" t="s">
        <v>353</v>
      </c>
      <c r="AB551" t="s">
        <v>297</v>
      </c>
      <c r="AC551" t="s">
        <v>300</v>
      </c>
      <c r="AD551" t="s">
        <v>292</v>
      </c>
      <c r="AE551" t="s">
        <v>293</v>
      </c>
      <c r="AF551" t="s">
        <v>292</v>
      </c>
      <c r="AG551" t="s">
        <v>293</v>
      </c>
      <c r="AH551" t="s">
        <v>293</v>
      </c>
      <c r="AI551" t="s">
        <v>302</v>
      </c>
      <c r="AJ551" t="s">
        <v>302</v>
      </c>
      <c r="AK551" t="s">
        <v>359</v>
      </c>
      <c r="AL551" t="s">
        <v>293</v>
      </c>
      <c r="AM551" t="s">
        <v>293</v>
      </c>
      <c r="AN551" t="s">
        <v>297</v>
      </c>
      <c r="AO551" t="s">
        <v>298</v>
      </c>
      <c r="AP551" t="s">
        <v>293</v>
      </c>
      <c r="AQ551" t="s">
        <v>292</v>
      </c>
      <c r="AR551" t="s">
        <v>293</v>
      </c>
      <c r="AS551" t="s">
        <v>293</v>
      </c>
      <c r="AT551" t="s">
        <v>364</v>
      </c>
      <c r="AU551" t="str">
        <f t="shared" si="21"/>
        <v>break</v>
      </c>
      <c r="AW551" t="s">
        <v>586</v>
      </c>
      <c r="AX551" t="s">
        <v>587</v>
      </c>
    </row>
    <row r="552" spans="1:50" hidden="1" x14ac:dyDescent="0.3">
      <c r="A552" t="s">
        <v>381</v>
      </c>
      <c r="B552" t="s">
        <v>288</v>
      </c>
      <c r="C552" t="s">
        <v>615</v>
      </c>
      <c r="D552" t="s">
        <v>288</v>
      </c>
      <c r="E552" t="str">
        <f t="shared" si="19"/>
        <v>W7DY1</v>
      </c>
      <c r="F552" t="b">
        <v>1</v>
      </c>
      <c r="G552">
        <v>94.5</v>
      </c>
      <c r="H552">
        <f t="shared" si="20"/>
        <v>0</v>
      </c>
      <c r="I552">
        <v>6829</v>
      </c>
      <c r="J552" s="61" t="s">
        <v>13</v>
      </c>
      <c r="K552" t="s">
        <v>272</v>
      </c>
      <c r="L552">
        <v>3</v>
      </c>
      <c r="M552" t="s">
        <v>333</v>
      </c>
      <c r="N552" t="s">
        <v>279</v>
      </c>
      <c r="O552" t="s">
        <v>281</v>
      </c>
      <c r="P552" t="s">
        <v>282</v>
      </c>
      <c r="Q552" t="s">
        <v>371</v>
      </c>
      <c r="R552" t="s">
        <v>371</v>
      </c>
      <c r="S552" t="s">
        <v>341</v>
      </c>
      <c r="T552" t="s">
        <v>340</v>
      </c>
      <c r="U552" t="s">
        <v>343</v>
      </c>
      <c r="V552" t="s">
        <v>345</v>
      </c>
      <c r="W552" s="17"/>
      <c r="X552" t="s">
        <v>350</v>
      </c>
      <c r="Y552" t="s">
        <v>349</v>
      </c>
      <c r="Z552" t="s">
        <v>293</v>
      </c>
      <c r="AA552" t="s">
        <v>353</v>
      </c>
      <c r="AB552" t="s">
        <v>297</v>
      </c>
      <c r="AC552" t="s">
        <v>299</v>
      </c>
      <c r="AD552" t="s">
        <v>292</v>
      </c>
      <c r="AE552" t="s">
        <v>293</v>
      </c>
      <c r="AF552" t="s">
        <v>292</v>
      </c>
      <c r="AG552" t="s">
        <v>293</v>
      </c>
      <c r="AH552" t="s">
        <v>293</v>
      </c>
      <c r="AI552" t="s">
        <v>302</v>
      </c>
      <c r="AJ552" t="s">
        <v>302</v>
      </c>
      <c r="AK552" t="s">
        <v>359</v>
      </c>
      <c r="AL552" t="s">
        <v>293</v>
      </c>
      <c r="AM552" t="s">
        <v>293</v>
      </c>
      <c r="AN552" t="s">
        <v>297</v>
      </c>
      <c r="AO552" t="s">
        <v>298</v>
      </c>
      <c r="AP552" t="s">
        <v>293</v>
      </c>
      <c r="AQ552" t="s">
        <v>292</v>
      </c>
      <c r="AR552" t="s">
        <v>293</v>
      </c>
      <c r="AS552" t="s">
        <v>293</v>
      </c>
      <c r="AT552" t="s">
        <v>364</v>
      </c>
      <c r="AU552" t="str">
        <f t="shared" si="21"/>
        <v>no_fail</v>
      </c>
      <c r="AW552" t="s">
        <v>616</v>
      </c>
      <c r="AX552" t="s">
        <v>617</v>
      </c>
    </row>
    <row r="553" spans="1:50" hidden="1" x14ac:dyDescent="0.3">
      <c r="A553" t="s">
        <v>381</v>
      </c>
      <c r="B553" t="s">
        <v>288</v>
      </c>
      <c r="C553" t="s">
        <v>447</v>
      </c>
      <c r="D553" t="s">
        <v>288</v>
      </c>
      <c r="E553" t="str">
        <f t="shared" si="19"/>
        <v>W7PGq</v>
      </c>
      <c r="F553" t="b">
        <v>1</v>
      </c>
      <c r="G553">
        <v>99.9</v>
      </c>
      <c r="H553">
        <f t="shared" si="20"/>
        <v>0</v>
      </c>
      <c r="I553">
        <v>13100</v>
      </c>
      <c r="J553" s="61" t="s">
        <v>13</v>
      </c>
      <c r="K553" t="s">
        <v>272</v>
      </c>
      <c r="L553">
        <v>3</v>
      </c>
      <c r="M553" t="s">
        <v>277</v>
      </c>
      <c r="N553" t="s">
        <v>335</v>
      </c>
      <c r="O553" t="s">
        <v>282</v>
      </c>
      <c r="P553" t="s">
        <v>371</v>
      </c>
      <c r="Q553" t="s">
        <v>371</v>
      </c>
      <c r="R553" t="s">
        <v>371</v>
      </c>
      <c r="S553" t="s">
        <v>341</v>
      </c>
      <c r="T553" t="s">
        <v>342</v>
      </c>
      <c r="U553" t="s">
        <v>343</v>
      </c>
      <c r="V553" t="s">
        <v>345</v>
      </c>
      <c r="W553" s="17"/>
      <c r="X553" t="s">
        <v>349</v>
      </c>
      <c r="Y553" t="s">
        <v>349</v>
      </c>
      <c r="Z553" t="s">
        <v>293</v>
      </c>
      <c r="AA553" t="s">
        <v>353</v>
      </c>
      <c r="AB553" t="s">
        <v>297</v>
      </c>
      <c r="AC553" t="s">
        <v>300</v>
      </c>
      <c r="AD553" t="s">
        <v>292</v>
      </c>
      <c r="AE553" t="s">
        <v>293</v>
      </c>
      <c r="AF553" t="s">
        <v>292</v>
      </c>
      <c r="AG553" t="s">
        <v>293</v>
      </c>
      <c r="AH553" t="s">
        <v>293</v>
      </c>
      <c r="AI553" t="s">
        <v>302</v>
      </c>
      <c r="AJ553" t="s">
        <v>302</v>
      </c>
      <c r="AK553" t="s">
        <v>359</v>
      </c>
      <c r="AL553" t="s">
        <v>293</v>
      </c>
      <c r="AM553" t="s">
        <v>293</v>
      </c>
      <c r="AN553" t="s">
        <v>297</v>
      </c>
      <c r="AO553" t="s">
        <v>298</v>
      </c>
      <c r="AP553" t="s">
        <v>293</v>
      </c>
      <c r="AQ553" t="s">
        <v>292</v>
      </c>
      <c r="AR553" t="s">
        <v>362</v>
      </c>
      <c r="AS553" t="s">
        <v>293</v>
      </c>
      <c r="AT553" t="s">
        <v>364</v>
      </c>
      <c r="AU553" t="str">
        <f t="shared" si="21"/>
        <v>no_fail</v>
      </c>
      <c r="AW553" t="s">
        <v>448</v>
      </c>
      <c r="AX553" t="s">
        <v>449</v>
      </c>
    </row>
    <row r="554" spans="1:50" hidden="1" x14ac:dyDescent="0.3">
      <c r="A554" t="s">
        <v>381</v>
      </c>
      <c r="B554" t="s">
        <v>288</v>
      </c>
      <c r="C554" t="s">
        <v>459</v>
      </c>
      <c r="D554" t="s">
        <v>288</v>
      </c>
      <c r="E554" t="str">
        <f t="shared" si="19"/>
        <v>w87kx</v>
      </c>
      <c r="F554" t="b">
        <v>1</v>
      </c>
      <c r="G554">
        <v>95.8</v>
      </c>
      <c r="H554">
        <f t="shared" si="20"/>
        <v>0</v>
      </c>
      <c r="I554">
        <v>8533</v>
      </c>
      <c r="J554" s="61" t="s">
        <v>13</v>
      </c>
      <c r="K554" t="s">
        <v>272</v>
      </c>
      <c r="L554">
        <v>3</v>
      </c>
      <c r="M554" t="s">
        <v>277</v>
      </c>
      <c r="N554" t="s">
        <v>335</v>
      </c>
      <c r="O554" t="s">
        <v>282</v>
      </c>
      <c r="P554" t="s">
        <v>371</v>
      </c>
      <c r="Q554" t="s">
        <v>371</v>
      </c>
      <c r="R554" t="s">
        <v>371</v>
      </c>
      <c r="S554" t="s">
        <v>341</v>
      </c>
      <c r="T554" t="s">
        <v>342</v>
      </c>
      <c r="U554" t="s">
        <v>343</v>
      </c>
      <c r="V554" t="s">
        <v>345</v>
      </c>
      <c r="W554" s="17"/>
      <c r="X554" t="s">
        <v>349</v>
      </c>
      <c r="Y554" t="s">
        <v>349</v>
      </c>
      <c r="Z554" t="s">
        <v>293</v>
      </c>
      <c r="AA554" t="s">
        <v>353</v>
      </c>
      <c r="AB554" t="s">
        <v>297</v>
      </c>
      <c r="AC554" t="s">
        <v>300</v>
      </c>
      <c r="AD554" t="s">
        <v>292</v>
      </c>
      <c r="AE554" t="s">
        <v>293</v>
      </c>
      <c r="AF554" t="s">
        <v>292</v>
      </c>
      <c r="AG554" t="s">
        <v>293</v>
      </c>
      <c r="AH554" t="s">
        <v>293</v>
      </c>
      <c r="AI554" t="s">
        <v>302</v>
      </c>
      <c r="AJ554" t="s">
        <v>302</v>
      </c>
      <c r="AK554" t="s">
        <v>359</v>
      </c>
      <c r="AL554" t="s">
        <v>293</v>
      </c>
      <c r="AM554" t="s">
        <v>293</v>
      </c>
      <c r="AN554" t="s">
        <v>297</v>
      </c>
      <c r="AO554" t="s">
        <v>298</v>
      </c>
      <c r="AP554" t="s">
        <v>293</v>
      </c>
      <c r="AQ554" t="s">
        <v>292</v>
      </c>
      <c r="AR554" t="s">
        <v>293</v>
      </c>
      <c r="AS554" t="s">
        <v>293</v>
      </c>
      <c r="AT554" t="s">
        <v>364</v>
      </c>
      <c r="AU554" t="str">
        <f t="shared" si="21"/>
        <v>no_fail</v>
      </c>
      <c r="AW554" t="s">
        <v>460</v>
      </c>
      <c r="AX554" t="s">
        <v>461</v>
      </c>
    </row>
    <row r="555" spans="1:50" hidden="1" x14ac:dyDescent="0.3">
      <c r="A555" t="s">
        <v>381</v>
      </c>
      <c r="B555" t="s">
        <v>288</v>
      </c>
      <c r="C555" t="s">
        <v>657</v>
      </c>
      <c r="D555" t="s">
        <v>288</v>
      </c>
      <c r="E555" t="str">
        <f t="shared" si="19"/>
        <v>x3yyd</v>
      </c>
      <c r="F555" t="b">
        <v>1</v>
      </c>
      <c r="G555">
        <v>99.9</v>
      </c>
      <c r="H555">
        <f t="shared" si="20"/>
        <v>0</v>
      </c>
      <c r="I555">
        <v>13156</v>
      </c>
      <c r="J555" s="61" t="s">
        <v>13</v>
      </c>
      <c r="K555" t="s">
        <v>272</v>
      </c>
      <c r="L555">
        <v>3</v>
      </c>
      <c r="M555" t="s">
        <v>333</v>
      </c>
      <c r="N555" t="s">
        <v>278</v>
      </c>
      <c r="O555" t="s">
        <v>281</v>
      </c>
      <c r="P555" t="s">
        <v>283</v>
      </c>
      <c r="Q555" t="s">
        <v>371</v>
      </c>
      <c r="R555" t="s">
        <v>371</v>
      </c>
      <c r="S555" t="s">
        <v>341</v>
      </c>
      <c r="T555" t="s">
        <v>340</v>
      </c>
      <c r="U555" t="s">
        <v>343</v>
      </c>
      <c r="V555" t="s">
        <v>377</v>
      </c>
      <c r="W555" s="17"/>
      <c r="X555" t="s">
        <v>349</v>
      </c>
      <c r="Y555" t="s">
        <v>349</v>
      </c>
      <c r="Z555" t="s">
        <v>293</v>
      </c>
      <c r="AA555" t="s">
        <v>353</v>
      </c>
      <c r="AB555" t="s">
        <v>296</v>
      </c>
      <c r="AC555" t="s">
        <v>300</v>
      </c>
      <c r="AD555" t="s">
        <v>292</v>
      </c>
      <c r="AE555" t="s">
        <v>293</v>
      </c>
      <c r="AF555" t="s">
        <v>293</v>
      </c>
      <c r="AG555" t="s">
        <v>292</v>
      </c>
      <c r="AH555" t="s">
        <v>293</v>
      </c>
      <c r="AI555" t="s">
        <v>302</v>
      </c>
      <c r="AJ555" t="s">
        <v>359</v>
      </c>
      <c r="AK555" t="s">
        <v>359</v>
      </c>
      <c r="AL555" t="s">
        <v>293</v>
      </c>
      <c r="AM555" t="s">
        <v>293</v>
      </c>
      <c r="AN555" t="s">
        <v>296</v>
      </c>
      <c r="AO555" t="s">
        <v>298</v>
      </c>
      <c r="AP555" t="s">
        <v>293</v>
      </c>
      <c r="AQ555" t="s">
        <v>292</v>
      </c>
      <c r="AR555" t="s">
        <v>293</v>
      </c>
      <c r="AS555" t="s">
        <v>293</v>
      </c>
      <c r="AT555" t="s">
        <v>364</v>
      </c>
      <c r="AU555" t="str">
        <f t="shared" si="21"/>
        <v>no_fail</v>
      </c>
      <c r="AW555" t="s">
        <v>658</v>
      </c>
      <c r="AX555" t="s">
        <v>659</v>
      </c>
    </row>
    <row r="556" spans="1:50" hidden="1" x14ac:dyDescent="0.3">
      <c r="A556" t="s">
        <v>381</v>
      </c>
      <c r="B556" t="s">
        <v>288</v>
      </c>
      <c r="C556" t="s">
        <v>654</v>
      </c>
      <c r="D556" t="s">
        <v>288</v>
      </c>
      <c r="E556" t="str">
        <f t="shared" si="19"/>
        <v>xNzX1</v>
      </c>
      <c r="F556" t="b">
        <v>1</v>
      </c>
      <c r="G556">
        <v>99.7</v>
      </c>
      <c r="H556">
        <f t="shared" si="20"/>
        <v>0</v>
      </c>
      <c r="I556">
        <v>8637</v>
      </c>
      <c r="J556" s="61" t="s">
        <v>13</v>
      </c>
      <c r="K556" t="s">
        <v>272</v>
      </c>
      <c r="L556">
        <v>3</v>
      </c>
      <c r="M556" t="s">
        <v>277</v>
      </c>
      <c r="N556" t="s">
        <v>335</v>
      </c>
      <c r="O556" t="s">
        <v>282</v>
      </c>
      <c r="P556" t="s">
        <v>371</v>
      </c>
      <c r="Q556" t="s">
        <v>371</v>
      </c>
      <c r="R556" t="s">
        <v>371</v>
      </c>
      <c r="S556" t="s">
        <v>341</v>
      </c>
      <c r="T556" t="s">
        <v>342</v>
      </c>
      <c r="U556" t="s">
        <v>343</v>
      </c>
      <c r="V556" t="s">
        <v>345</v>
      </c>
      <c r="W556" s="17"/>
      <c r="X556" t="s">
        <v>349</v>
      </c>
      <c r="Y556" t="s">
        <v>349</v>
      </c>
      <c r="Z556" t="s">
        <v>293</v>
      </c>
      <c r="AA556" t="s">
        <v>353</v>
      </c>
      <c r="AB556" t="s">
        <v>297</v>
      </c>
      <c r="AC556" t="s">
        <v>300</v>
      </c>
      <c r="AD556" t="s">
        <v>292</v>
      </c>
      <c r="AE556" t="s">
        <v>293</v>
      </c>
      <c r="AF556" t="s">
        <v>292</v>
      </c>
      <c r="AG556" t="s">
        <v>293</v>
      </c>
      <c r="AH556" t="s">
        <v>293</v>
      </c>
      <c r="AI556" t="s">
        <v>302</v>
      </c>
      <c r="AJ556" t="s">
        <v>302</v>
      </c>
      <c r="AK556" t="s">
        <v>359</v>
      </c>
      <c r="AL556" t="s">
        <v>293</v>
      </c>
      <c r="AM556" t="s">
        <v>293</v>
      </c>
      <c r="AN556" t="s">
        <v>297</v>
      </c>
      <c r="AO556" t="s">
        <v>298</v>
      </c>
      <c r="AP556" t="s">
        <v>293</v>
      </c>
      <c r="AQ556" t="s">
        <v>292</v>
      </c>
      <c r="AR556" t="s">
        <v>362</v>
      </c>
      <c r="AS556" t="s">
        <v>293</v>
      </c>
      <c r="AT556" t="s">
        <v>364</v>
      </c>
      <c r="AU556" t="str">
        <f t="shared" si="21"/>
        <v>no_fail</v>
      </c>
      <c r="AW556" t="s">
        <v>655</v>
      </c>
      <c r="AX556" t="s">
        <v>656</v>
      </c>
    </row>
    <row r="557" spans="1:50" hidden="1" x14ac:dyDescent="0.3">
      <c r="A557" t="s">
        <v>381</v>
      </c>
      <c r="B557" t="s">
        <v>288</v>
      </c>
      <c r="C557" t="s">
        <v>603</v>
      </c>
      <c r="D557" t="s">
        <v>288</v>
      </c>
      <c r="E557" t="str">
        <f t="shared" si="19"/>
        <v>Y3pP2</v>
      </c>
      <c r="F557" t="b">
        <v>1</v>
      </c>
      <c r="G557">
        <v>100</v>
      </c>
      <c r="H557">
        <f t="shared" si="20"/>
        <v>1</v>
      </c>
      <c r="I557">
        <v>22880</v>
      </c>
      <c r="J557" s="61" t="s">
        <v>13</v>
      </c>
      <c r="K557" t="s">
        <v>272</v>
      </c>
      <c r="L557">
        <v>3</v>
      </c>
      <c r="M557" t="s">
        <v>277</v>
      </c>
      <c r="N557" t="s">
        <v>335</v>
      </c>
      <c r="O557" t="s">
        <v>273</v>
      </c>
      <c r="P557" t="s">
        <v>282</v>
      </c>
      <c r="Q557" t="s">
        <v>371</v>
      </c>
      <c r="R557" t="s">
        <v>371</v>
      </c>
      <c r="S557" t="s">
        <v>340</v>
      </c>
      <c r="T557" t="s">
        <v>342</v>
      </c>
      <c r="U557" t="s">
        <v>343</v>
      </c>
      <c r="V557" t="s">
        <v>291</v>
      </c>
      <c r="W557" s="17"/>
      <c r="X557" t="s">
        <v>349</v>
      </c>
      <c r="Y557" t="s">
        <v>349</v>
      </c>
      <c r="Z557" t="s">
        <v>293</v>
      </c>
      <c r="AA557" t="s">
        <v>353</v>
      </c>
      <c r="AB557" t="s">
        <v>296</v>
      </c>
      <c r="AC557" t="s">
        <v>301</v>
      </c>
      <c r="AD557" t="s">
        <v>292</v>
      </c>
      <c r="AE557" t="s">
        <v>293</v>
      </c>
      <c r="AF557" t="s">
        <v>293</v>
      </c>
      <c r="AG557" t="s">
        <v>292</v>
      </c>
      <c r="AH557" t="s">
        <v>293</v>
      </c>
      <c r="AI557" t="s">
        <v>302</v>
      </c>
      <c r="AJ557" t="s">
        <v>302</v>
      </c>
      <c r="AK557" t="s">
        <v>359</v>
      </c>
      <c r="AL557" t="s">
        <v>293</v>
      </c>
      <c r="AM557" t="s">
        <v>293</v>
      </c>
      <c r="AN557" t="s">
        <v>296</v>
      </c>
      <c r="AO557" t="s">
        <v>298</v>
      </c>
      <c r="AP557" t="s">
        <v>293</v>
      </c>
      <c r="AQ557" t="s">
        <v>292</v>
      </c>
      <c r="AR557" t="s">
        <v>293</v>
      </c>
      <c r="AS557" t="s">
        <v>293</v>
      </c>
      <c r="AT557" t="s">
        <v>364</v>
      </c>
      <c r="AU557" t="str">
        <f t="shared" si="21"/>
        <v>break</v>
      </c>
      <c r="AW557" t="s">
        <v>604</v>
      </c>
      <c r="AX557" t="s">
        <v>605</v>
      </c>
    </row>
    <row r="558" spans="1:50" hidden="1" x14ac:dyDescent="0.3">
      <c r="A558" t="s">
        <v>381</v>
      </c>
      <c r="B558" t="s">
        <v>288</v>
      </c>
      <c r="C558" t="s">
        <v>552</v>
      </c>
      <c r="D558" t="s">
        <v>288</v>
      </c>
      <c r="E558" t="str">
        <f t="shared" si="19"/>
        <v>Z38De</v>
      </c>
      <c r="F558" t="b">
        <v>1</v>
      </c>
      <c r="G558">
        <v>99.6</v>
      </c>
      <c r="H558">
        <f t="shared" si="20"/>
        <v>0</v>
      </c>
      <c r="I558">
        <v>7923</v>
      </c>
      <c r="J558" s="61" t="s">
        <v>13</v>
      </c>
      <c r="K558" t="s">
        <v>272</v>
      </c>
      <c r="L558">
        <v>3</v>
      </c>
      <c r="M558" t="s">
        <v>277</v>
      </c>
      <c r="N558" t="s">
        <v>335</v>
      </c>
      <c r="O558" t="s">
        <v>281</v>
      </c>
      <c r="P558" t="s">
        <v>283</v>
      </c>
      <c r="Q558" t="s">
        <v>282</v>
      </c>
      <c r="R558" t="s">
        <v>371</v>
      </c>
      <c r="S558" t="s">
        <v>341</v>
      </c>
      <c r="T558" t="s">
        <v>340</v>
      </c>
      <c r="U558" t="s">
        <v>343</v>
      </c>
      <c r="V558" t="s">
        <v>345</v>
      </c>
      <c r="W558" s="17"/>
      <c r="X558" t="s">
        <v>349</v>
      </c>
      <c r="Y558" t="s">
        <v>349</v>
      </c>
      <c r="Z558" t="s">
        <v>293</v>
      </c>
      <c r="AA558" t="s">
        <v>353</v>
      </c>
      <c r="AB558" t="s">
        <v>297</v>
      </c>
      <c r="AC558" t="s">
        <v>299</v>
      </c>
      <c r="AD558" t="s">
        <v>292</v>
      </c>
      <c r="AE558" t="s">
        <v>293</v>
      </c>
      <c r="AF558" t="s">
        <v>292</v>
      </c>
      <c r="AG558" t="s">
        <v>293</v>
      </c>
      <c r="AH558" t="s">
        <v>293</v>
      </c>
      <c r="AI558" t="s">
        <v>302</v>
      </c>
      <c r="AJ558" t="s">
        <v>302</v>
      </c>
      <c r="AK558" t="s">
        <v>359</v>
      </c>
      <c r="AL558" t="s">
        <v>293</v>
      </c>
      <c r="AM558" t="s">
        <v>293</v>
      </c>
      <c r="AN558" t="s">
        <v>297</v>
      </c>
      <c r="AO558" t="s">
        <v>298</v>
      </c>
      <c r="AP558" t="s">
        <v>293</v>
      </c>
      <c r="AQ558" t="s">
        <v>292</v>
      </c>
      <c r="AR558" t="s">
        <v>362</v>
      </c>
      <c r="AS558" t="s">
        <v>293</v>
      </c>
      <c r="AT558" t="s">
        <v>364</v>
      </c>
      <c r="AU558" t="str">
        <f t="shared" si="21"/>
        <v>no_fail</v>
      </c>
      <c r="AW558" t="s">
        <v>553</v>
      </c>
      <c r="AX558" t="s">
        <v>554</v>
      </c>
    </row>
    <row r="559" spans="1:50" hidden="1" x14ac:dyDescent="0.3">
      <c r="A559" t="s">
        <v>381</v>
      </c>
      <c r="B559" t="s">
        <v>288</v>
      </c>
      <c r="C559" t="s">
        <v>648</v>
      </c>
      <c r="D559" t="s">
        <v>288</v>
      </c>
      <c r="E559" t="str">
        <f t="shared" si="19"/>
        <v>ZL8zX</v>
      </c>
      <c r="F559" t="b">
        <v>1</v>
      </c>
      <c r="G559">
        <v>94.9</v>
      </c>
      <c r="H559">
        <f t="shared" si="20"/>
        <v>0</v>
      </c>
      <c r="I559">
        <v>11642</v>
      </c>
      <c r="J559" s="61" t="s">
        <v>13</v>
      </c>
      <c r="K559" t="s">
        <v>272</v>
      </c>
      <c r="L559">
        <v>3</v>
      </c>
      <c r="M559" t="s">
        <v>277</v>
      </c>
      <c r="N559" t="s">
        <v>335</v>
      </c>
      <c r="O559" t="s">
        <v>273</v>
      </c>
      <c r="P559" t="s">
        <v>282</v>
      </c>
      <c r="Q559" t="s">
        <v>371</v>
      </c>
      <c r="R559" t="s">
        <v>371</v>
      </c>
      <c r="S559" t="s">
        <v>341</v>
      </c>
      <c r="T559" t="s">
        <v>342</v>
      </c>
      <c r="U559" t="s">
        <v>343</v>
      </c>
      <c r="V559" t="s">
        <v>344</v>
      </c>
      <c r="W559" s="17" t="s">
        <v>345</v>
      </c>
      <c r="X559" t="s">
        <v>349</v>
      </c>
      <c r="Y559" t="s">
        <v>349</v>
      </c>
      <c r="Z559" t="s">
        <v>293</v>
      </c>
      <c r="AA559" t="s">
        <v>353</v>
      </c>
      <c r="AB559" t="s">
        <v>297</v>
      </c>
      <c r="AC559" t="s">
        <v>299</v>
      </c>
      <c r="AD559" t="s">
        <v>292</v>
      </c>
      <c r="AE559" t="s">
        <v>293</v>
      </c>
      <c r="AF559" t="s">
        <v>292</v>
      </c>
      <c r="AG559" t="s">
        <v>292</v>
      </c>
      <c r="AH559" t="s">
        <v>293</v>
      </c>
      <c r="AI559" t="s">
        <v>302</v>
      </c>
      <c r="AJ559" t="s">
        <v>302</v>
      </c>
      <c r="AK559" t="s">
        <v>359</v>
      </c>
      <c r="AL559" t="s">
        <v>293</v>
      </c>
      <c r="AM559" t="s">
        <v>293</v>
      </c>
      <c r="AN559" t="s">
        <v>297</v>
      </c>
      <c r="AO559" t="s">
        <v>298</v>
      </c>
      <c r="AP559" t="s">
        <v>293</v>
      </c>
      <c r="AQ559" t="s">
        <v>292</v>
      </c>
      <c r="AR559" t="s">
        <v>293</v>
      </c>
      <c r="AS559" t="s">
        <v>293</v>
      </c>
      <c r="AT559" t="s">
        <v>364</v>
      </c>
      <c r="AU559" t="str">
        <f t="shared" si="21"/>
        <v>no_fail</v>
      </c>
      <c r="AW559" t="s">
        <v>649</v>
      </c>
      <c r="AX559" t="s">
        <v>650</v>
      </c>
    </row>
    <row r="560" spans="1:50" hidden="1" x14ac:dyDescent="0.3">
      <c r="A560" t="s">
        <v>381</v>
      </c>
      <c r="B560" t="s">
        <v>288</v>
      </c>
      <c r="C560" t="s">
        <v>489</v>
      </c>
      <c r="D560" t="s">
        <v>288</v>
      </c>
      <c r="E560" t="str">
        <f t="shared" si="19"/>
        <v>zopw3</v>
      </c>
      <c r="F560" t="b">
        <v>1</v>
      </c>
      <c r="G560">
        <v>80.8</v>
      </c>
      <c r="H560">
        <f t="shared" si="20"/>
        <v>0</v>
      </c>
      <c r="I560">
        <v>24589</v>
      </c>
      <c r="J560" s="61" t="s">
        <v>13</v>
      </c>
      <c r="K560" t="s">
        <v>272</v>
      </c>
      <c r="L560">
        <v>2</v>
      </c>
      <c r="M560" t="s">
        <v>277</v>
      </c>
      <c r="N560" t="s">
        <v>335</v>
      </c>
      <c r="O560" t="s">
        <v>282</v>
      </c>
      <c r="P560" t="s">
        <v>371</v>
      </c>
      <c r="Q560" t="s">
        <v>371</v>
      </c>
      <c r="R560" t="s">
        <v>371</v>
      </c>
      <c r="S560" t="s">
        <v>340</v>
      </c>
      <c r="T560" t="s">
        <v>342</v>
      </c>
      <c r="U560" t="s">
        <v>340</v>
      </c>
      <c r="V560" t="s">
        <v>344</v>
      </c>
      <c r="W560" s="17"/>
      <c r="X560" t="s">
        <v>350</v>
      </c>
      <c r="Y560" t="s">
        <v>349</v>
      </c>
      <c r="Z560" t="s">
        <v>293</v>
      </c>
      <c r="AA560" t="s">
        <v>354</v>
      </c>
      <c r="AB560" t="s">
        <v>354</v>
      </c>
      <c r="AC560" t="s">
        <v>301</v>
      </c>
      <c r="AD560" t="s">
        <v>293</v>
      </c>
      <c r="AE560" t="s">
        <v>292</v>
      </c>
      <c r="AF560" t="s">
        <v>293</v>
      </c>
      <c r="AG560" t="s">
        <v>292</v>
      </c>
      <c r="AH560" t="s">
        <v>293</v>
      </c>
      <c r="AI560" t="s">
        <v>302</v>
      </c>
      <c r="AJ560" t="s">
        <v>302</v>
      </c>
      <c r="AK560" t="s">
        <v>357</v>
      </c>
      <c r="AL560" t="s">
        <v>293</v>
      </c>
      <c r="AM560" t="s">
        <v>293</v>
      </c>
      <c r="AN560" t="s">
        <v>296</v>
      </c>
      <c r="AO560" t="s">
        <v>356</v>
      </c>
      <c r="AP560" t="s">
        <v>293</v>
      </c>
      <c r="AQ560" t="s">
        <v>292</v>
      </c>
      <c r="AR560" t="s">
        <v>293</v>
      </c>
      <c r="AS560" t="s">
        <v>293</v>
      </c>
      <c r="AT560" t="s">
        <v>364</v>
      </c>
      <c r="AU560" t="str">
        <f t="shared" si="21"/>
        <v>no_fail</v>
      </c>
      <c r="AW560" t="s">
        <v>490</v>
      </c>
      <c r="AX560" t="s">
        <v>491</v>
      </c>
    </row>
  </sheetData>
  <autoFilter ref="A1:AX560" xr:uid="{7A10F011-DF2D-42A1-BD04-FA57C8EE44A3}">
    <filterColumn colId="1">
      <filters>
        <filter val="P_A4T"/>
        <filter val="P_A6W"/>
        <filter val="P_B0Z"/>
        <filter val="P_B2P"/>
        <filter val="P_B7Q"/>
        <filter val="P_D8O"/>
        <filter val="P_G7R"/>
        <filter val="P_H7P"/>
        <filter val="P_I7A"/>
        <filter val="P_I9B"/>
        <filter val="P_J8S"/>
        <filter val="P_K5X"/>
        <filter val="P_L3X"/>
        <filter val="P_L4V"/>
        <filter val="P_L7K"/>
        <filter val="P_M4M"/>
        <filter val="P_M8L"/>
        <filter val="P_N5O"/>
        <filter val="P_O7W"/>
        <filter val="P_P8M"/>
        <filter val="P_S3X"/>
        <filter val="P_T4B"/>
        <filter val="P_V1M"/>
        <filter val="P_V2A"/>
        <filter val="P_W5V"/>
        <filter val="P_W6F"/>
        <filter val="P_X0F"/>
        <filter val="P_X0T"/>
        <filter val="P_X2G"/>
        <filter val="P_Z2A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6">
        <x14:dataValidation type="list" allowBlank="1" showInputMessage="1" showErrorMessage="1" xr:uid="{358D49E8-20C9-41EC-8D66-381446A3F6BB}">
          <x14:formula1>
            <xm:f>DimensionsEval!$H$38:$J$38</xm:f>
          </x14:formula1>
          <xm:sqref>AU2:AU560</xm:sqref>
        </x14:dataValidation>
        <x14:dataValidation type="list" allowBlank="1" showInputMessage="1" showErrorMessage="1" xr:uid="{4E02960D-2F18-464E-8CDE-B63F798A4B87}">
          <x14:formula1>
            <xm:f>DimensionsEval!$H$37:$L$37</xm:f>
          </x14:formula1>
          <xm:sqref>AT2:AT560</xm:sqref>
        </x14:dataValidation>
        <x14:dataValidation type="list" allowBlank="1" showInputMessage="1" showErrorMessage="1" xr:uid="{CB5178EA-7216-4475-9617-EC7D87E49136}">
          <x14:formula1>
            <xm:f>DimensionsEval!$H$36:$I$36</xm:f>
          </x14:formula1>
          <xm:sqref>AS2:AS560</xm:sqref>
        </x14:dataValidation>
        <x14:dataValidation type="list" allowBlank="1" showInputMessage="1" showErrorMessage="1" xr:uid="{8629F96A-E7BD-483F-98C4-E2D9D99ECA34}">
          <x14:formula1>
            <xm:f>DimensionsEval!$H$35:$J$35</xm:f>
          </x14:formula1>
          <xm:sqref>AR2:AR560</xm:sqref>
        </x14:dataValidation>
        <x14:dataValidation type="list" allowBlank="1" showInputMessage="1" showErrorMessage="1" xr:uid="{AFE864D6-F656-40C8-ADC6-5F298D6D0892}">
          <x14:formula1>
            <xm:f>DimensionsEval!$H$34:$I$34</xm:f>
          </x14:formula1>
          <xm:sqref>AQ2:AQ560</xm:sqref>
        </x14:dataValidation>
        <x14:dataValidation type="list" allowBlank="1" showInputMessage="1" showErrorMessage="1" xr:uid="{10E91094-5551-4468-BC25-78439465AB8C}">
          <x14:formula1>
            <xm:f>DimensionsEval!$H$33:$J$33</xm:f>
          </x14:formula1>
          <xm:sqref>AP2:AP560</xm:sqref>
        </x14:dataValidation>
        <x14:dataValidation type="list" allowBlank="1" showInputMessage="1" showErrorMessage="1" xr:uid="{5F319547-90B3-4F34-9C9B-8B60B25070DA}">
          <x14:formula1>
            <xm:f>DimensionsEval!$H$32:$J$32</xm:f>
          </x14:formula1>
          <xm:sqref>AO2:AO560</xm:sqref>
        </x14:dataValidation>
        <x14:dataValidation type="list" allowBlank="1" showInputMessage="1" showErrorMessage="1" xr:uid="{ECDCA412-C275-41C7-AE23-02F1C6DB888D}">
          <x14:formula1>
            <xm:f>DimensionsEval!$H$31:$M$31</xm:f>
          </x14:formula1>
          <xm:sqref>AN2:AN560</xm:sqref>
        </x14:dataValidation>
        <x14:dataValidation type="list" allowBlank="1" showInputMessage="1" showErrorMessage="1" xr:uid="{083E7F9F-C161-4468-80C4-A6B56C068019}">
          <x14:formula1>
            <xm:f>DimensionsEval!$H$29:$I$29</xm:f>
          </x14:formula1>
          <xm:sqref>AL2:AM560</xm:sqref>
        </x14:dataValidation>
        <x14:dataValidation type="list" allowBlank="1" showInputMessage="1" showErrorMessage="1" xr:uid="{9CC7E4A3-C6E9-4AC3-ABA5-EF918D2E0C3A}">
          <x14:formula1>
            <xm:f>DimensionsEval!$H$26:$K$26</xm:f>
          </x14:formula1>
          <xm:sqref>AI2:AK560</xm:sqref>
        </x14:dataValidation>
        <x14:dataValidation type="list" allowBlank="1" showInputMessage="1" showErrorMessage="1" xr:uid="{6F95CB08-3917-4A67-98C8-F972296B8030}">
          <x14:formula1>
            <xm:f>DimensionsEval!$H$22:$I$22</xm:f>
          </x14:formula1>
          <xm:sqref>AE2:AH560</xm:sqref>
        </x14:dataValidation>
        <x14:dataValidation type="list" allowBlank="1" showInputMessage="1" showErrorMessage="1" xr:uid="{826A1AEF-A44F-408A-9194-A8D81EE63EA2}">
          <x14:formula1>
            <xm:f>DimensionsEval!$H$21:$I$21</xm:f>
          </x14:formula1>
          <xm:sqref>AD2:AD560</xm:sqref>
        </x14:dataValidation>
        <x14:dataValidation type="list" allowBlank="1" showInputMessage="1" showErrorMessage="1" xr:uid="{A1D89B8B-55A6-45E0-9DAA-085047ACE8AD}">
          <x14:formula1>
            <xm:f>DimensionsEval!$H$20:$K$20</xm:f>
          </x14:formula1>
          <xm:sqref>AC2:AC560</xm:sqref>
        </x14:dataValidation>
        <x14:dataValidation type="list" allowBlank="1" showInputMessage="1" showErrorMessage="1" xr:uid="{3A230BE8-207E-4B63-913A-61F77D3C5291}">
          <x14:formula1>
            <xm:f>DimensionsEval!$H$19:$N$19</xm:f>
          </x14:formula1>
          <xm:sqref>AB2:AB560</xm:sqref>
        </x14:dataValidation>
        <x14:dataValidation type="list" allowBlank="1" showInputMessage="1" showErrorMessage="1" xr:uid="{E1EA152C-6FF8-46B7-BE69-0CB4BF6E0077}">
          <x14:formula1>
            <xm:f>DimensionsEval!$H$18:$L$18</xm:f>
          </x14:formula1>
          <xm:sqref>AA2:AA560</xm:sqref>
        </x14:dataValidation>
        <x14:dataValidation type="list" allowBlank="1" showInputMessage="1" showErrorMessage="1" xr:uid="{7EE49D6A-70E8-4974-9650-E62095ABB99A}">
          <x14:formula1>
            <xm:f>DimensionsEval!$H$17:$I$17</xm:f>
          </x14:formula1>
          <xm:sqref>Z2:Z560</xm:sqref>
        </x14:dataValidation>
        <x14:dataValidation type="list" allowBlank="1" showInputMessage="1" showErrorMessage="1" xr:uid="{18A55670-936B-4B76-93EB-5866A373E3B6}">
          <x14:formula1>
            <xm:f>DimensionsEval!$H$15:$J$15</xm:f>
          </x14:formula1>
          <xm:sqref>X2:Y560</xm:sqref>
        </x14:dataValidation>
        <x14:dataValidation type="list" allowBlank="1" showInputMessage="1" showErrorMessage="1" xr:uid="{861ECE6F-81A7-43A4-A0AB-C90D1B303063}">
          <x14:formula1>
            <xm:f>DimensionsEval!$H$13:$O$13</xm:f>
          </x14:formula1>
          <xm:sqref>V2:W560</xm:sqref>
        </x14:dataValidation>
        <x14:dataValidation type="list" allowBlank="1" showInputMessage="1" showErrorMessage="1" xr:uid="{5F2A9FCC-D6B2-494D-B92D-5CD5B9FA8E1D}">
          <x14:formula1>
            <xm:f>DimensionsEval!$H$12:$J$12</xm:f>
          </x14:formula1>
          <xm:sqref>U2:U560</xm:sqref>
        </x14:dataValidation>
        <x14:dataValidation type="list" allowBlank="1" showInputMessage="1" showErrorMessage="1" xr:uid="{CA916C80-CB4D-46B8-93BE-1BA7CCE8E59B}">
          <x14:formula1>
            <xm:f>DimensionsEval!$H$11:$J$11</xm:f>
          </x14:formula1>
          <xm:sqref>T2:T560</xm:sqref>
        </x14:dataValidation>
        <x14:dataValidation type="list" allowBlank="1" showInputMessage="1" showErrorMessage="1" xr:uid="{0FEF2B93-216B-4542-8535-7B539C620B34}">
          <x14:formula1>
            <xm:f>DimensionsEval!$H$10:$J$10</xm:f>
          </x14:formula1>
          <xm:sqref>S2:S560</xm:sqref>
        </x14:dataValidation>
        <x14:dataValidation type="list" allowBlank="1" showInputMessage="1" showErrorMessage="1" xr:uid="{15D09EF8-95DC-424B-B951-01D048A2DDE3}">
          <x14:formula1>
            <xm:f>DimensionsEval!$H$6:$R$6</xm:f>
          </x14:formula1>
          <xm:sqref>O2:R560</xm:sqref>
        </x14:dataValidation>
        <x14:dataValidation type="list" allowBlank="1" showInputMessage="1" showErrorMessage="1" xr:uid="{4E691CBA-4339-4EA6-B391-BC68CBF89597}">
          <x14:formula1>
            <xm:f>DimensionsEval!$H$5:$N$5</xm:f>
          </x14:formula1>
          <xm:sqref>N2:N560</xm:sqref>
        </x14:dataValidation>
        <x14:dataValidation type="list" allowBlank="1" showInputMessage="1" showErrorMessage="1" xr:uid="{6817FCDB-A4F8-4122-B260-6867C3174162}">
          <x14:formula1>
            <xm:f>DimensionsEval!$H$4:$J$4</xm:f>
          </x14:formula1>
          <xm:sqref>M2:M560</xm:sqref>
        </x14:dataValidation>
        <x14:dataValidation type="list" allowBlank="1" showInputMessage="1" showErrorMessage="1" xr:uid="{2BC35F0D-AA8D-44A1-BCF5-7EFC22980160}">
          <x14:formula1>
            <xm:f>DimensionsEval!$H$3:$K$3</xm:f>
          </x14:formula1>
          <xm:sqref>L2:L560</xm:sqref>
        </x14:dataValidation>
        <x14:dataValidation type="list" allowBlank="1" showInputMessage="1" showErrorMessage="1" xr:uid="{6B33E3F6-4F2D-4345-B8D7-6C2838D9FE1F}">
          <x14:formula1>
            <xm:f>DimensionsEval!$H$2:$L$2</xm:f>
          </x14:formula1>
          <xm:sqref>K2:K560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8BA1-1CEA-42F6-A718-461318045577}">
  <dimension ref="A1:R560"/>
  <sheetViews>
    <sheetView workbookViewId="0">
      <selection activeCell="I460" sqref="I2:I460"/>
    </sheetView>
  </sheetViews>
  <sheetFormatPr defaultRowHeight="14.4" x14ac:dyDescent="0.3"/>
  <cols>
    <col min="1" max="1" width="14.6640625" bestFit="1" customWidth="1"/>
    <col min="4" max="4" width="40.6640625" customWidth="1"/>
  </cols>
  <sheetData>
    <row r="1" spans="1:18" x14ac:dyDescent="0.3">
      <c r="A1" s="1" t="s">
        <v>1</v>
      </c>
      <c r="B1" s="1" t="s">
        <v>2</v>
      </c>
      <c r="C1" s="1" t="s">
        <v>3</v>
      </c>
      <c r="D1" s="1" t="s">
        <v>684</v>
      </c>
      <c r="E1" s="1" t="s">
        <v>2440</v>
      </c>
      <c r="F1" s="1" t="s">
        <v>2441</v>
      </c>
      <c r="G1" s="1" t="s">
        <v>2442</v>
      </c>
      <c r="H1" s="1" t="s">
        <v>2443</v>
      </c>
      <c r="I1" s="1" t="s">
        <v>2444</v>
      </c>
      <c r="K1" s="108"/>
      <c r="L1" s="107" t="s">
        <v>2350</v>
      </c>
      <c r="N1" s="108"/>
      <c r="O1" s="107" t="s">
        <v>2384</v>
      </c>
      <c r="Q1" s="114" t="s">
        <v>2435</v>
      </c>
      <c r="R1" s="109" t="s">
        <v>2436</v>
      </c>
    </row>
    <row r="2" spans="1:18" x14ac:dyDescent="0.3">
      <c r="A2" s="38" t="s">
        <v>50</v>
      </c>
      <c r="B2" s="38" t="s">
        <v>11</v>
      </c>
      <c r="C2" s="38" t="s">
        <v>12</v>
      </c>
      <c r="D2" s="38" t="s">
        <v>703</v>
      </c>
      <c r="E2" t="str">
        <f>VLOOKUP(A2,$N$3:$O$42,2,0)</f>
        <v>P_007</v>
      </c>
      <c r="F2" t="str">
        <f>VLOOKUP(C2,$Q$2:$R$3,2,0)</f>
        <v>Pre</v>
      </c>
      <c r="G2" t="str">
        <f>VLOOKUP(B2,$K$2:$L$33,2,0)</f>
        <v>01</v>
      </c>
      <c r="H2" t="str">
        <f>E2&amp;"-"&amp;F2&amp;"-"&amp;G2&amp;".png"</f>
        <v>P_007-Pre-01.png</v>
      </c>
      <c r="I2" t="str">
        <f>"https://raw.githubusercontent.com/epz0/bridgespace/main/img/"&amp;H2</f>
        <v>https://raw.githubusercontent.com/epz0/bridgespace/main/img/P_007-Pre-01.png</v>
      </c>
      <c r="K2" s="109" t="s">
        <v>2352</v>
      </c>
      <c r="L2" s="44" t="s">
        <v>2351</v>
      </c>
      <c r="N2" s="109" t="s">
        <v>2352</v>
      </c>
      <c r="O2" s="44" t="s">
        <v>2351</v>
      </c>
      <c r="Q2" s="115" t="s">
        <v>12</v>
      </c>
      <c r="R2" s="111" t="s">
        <v>2437</v>
      </c>
    </row>
    <row r="3" spans="1:18" x14ac:dyDescent="0.3">
      <c r="A3" s="38" t="s">
        <v>50</v>
      </c>
      <c r="B3" s="38" t="s">
        <v>20</v>
      </c>
      <c r="C3" s="38" t="s">
        <v>29</v>
      </c>
      <c r="D3" s="38" t="s">
        <v>705</v>
      </c>
      <c r="E3" t="str">
        <f t="shared" ref="E3:E66" si="0">VLOOKUP(A3,$N$3:$O$42,2,0)</f>
        <v>P_007</v>
      </c>
      <c r="F3" t="str">
        <f t="shared" ref="F3:F66" si="1">VLOOKUP(C3,$Q$2:$R$3,2,0)</f>
        <v>Pst</v>
      </c>
      <c r="G3" t="str">
        <f t="shared" ref="G3:G66" si="2">VLOOKUP(B3,$K$2:$L$33,2,0)</f>
        <v>07</v>
      </c>
      <c r="H3" t="str">
        <f t="shared" ref="H3:H66" si="3">E3&amp;"-"&amp;F3&amp;"-"&amp;G3&amp;".png"</f>
        <v>P_007-Pst-07.png</v>
      </c>
      <c r="I3" t="str">
        <f t="shared" ref="I3:I66" si="4">"https://raw.githubusercontent.com/epz0/bridgespace/main/img/"&amp;H3</f>
        <v>https://raw.githubusercontent.com/epz0/bridgespace/main/img/P_007-Pst-07.png</v>
      </c>
      <c r="K3" s="111" t="s">
        <v>11</v>
      </c>
      <c r="L3" s="110" t="s">
        <v>2353</v>
      </c>
      <c r="N3" s="111" t="s">
        <v>10</v>
      </c>
      <c r="O3" s="110" t="s">
        <v>2385</v>
      </c>
      <c r="Q3" s="115" t="s">
        <v>29</v>
      </c>
      <c r="R3" s="111" t="s">
        <v>2438</v>
      </c>
    </row>
    <row r="4" spans="1:18" x14ac:dyDescent="0.3">
      <c r="A4" s="38" t="s">
        <v>50</v>
      </c>
      <c r="B4" s="38" t="s">
        <v>27</v>
      </c>
      <c r="C4" s="38" t="s">
        <v>29</v>
      </c>
      <c r="D4" s="38" t="s">
        <v>706</v>
      </c>
      <c r="E4" t="str">
        <f t="shared" si="0"/>
        <v>P_007</v>
      </c>
      <c r="F4" t="str">
        <f t="shared" si="1"/>
        <v>Pst</v>
      </c>
      <c r="G4" t="str">
        <f t="shared" si="2"/>
        <v>14</v>
      </c>
      <c r="H4" t="str">
        <f t="shared" si="3"/>
        <v>P_007-Pst-14.png</v>
      </c>
      <c r="I4" t="str">
        <f t="shared" si="4"/>
        <v>https://raw.githubusercontent.com/epz0/bridgespace/main/img/P_007-Pst-14.png</v>
      </c>
      <c r="K4" s="111" t="s">
        <v>14</v>
      </c>
      <c r="L4" s="110" t="s">
        <v>2354</v>
      </c>
      <c r="N4" s="111" t="s">
        <v>44</v>
      </c>
      <c r="O4" s="110" t="s">
        <v>2386</v>
      </c>
    </row>
    <row r="5" spans="1:18" x14ac:dyDescent="0.3">
      <c r="A5" t="s">
        <v>50</v>
      </c>
      <c r="B5" t="s">
        <v>15</v>
      </c>
      <c r="C5" t="s">
        <v>12</v>
      </c>
      <c r="D5" t="s">
        <v>707</v>
      </c>
      <c r="E5" t="str">
        <f t="shared" si="0"/>
        <v>P_007</v>
      </c>
      <c r="F5" t="str">
        <f t="shared" si="1"/>
        <v>Pre</v>
      </c>
      <c r="G5" t="str">
        <f t="shared" si="2"/>
        <v>03</v>
      </c>
      <c r="H5" t="str">
        <f t="shared" si="3"/>
        <v>P_007-Pre-03.png</v>
      </c>
      <c r="I5" t="str">
        <f t="shared" si="4"/>
        <v>https://raw.githubusercontent.com/epz0/bridgespace/main/img/P_007-Pre-03.png</v>
      </c>
      <c r="K5" s="111" t="s">
        <v>15</v>
      </c>
      <c r="L5" s="110" t="s">
        <v>2355</v>
      </c>
      <c r="N5" s="111" t="s">
        <v>46</v>
      </c>
      <c r="O5" s="110" t="s">
        <v>2387</v>
      </c>
    </row>
    <row r="6" spans="1:18" x14ac:dyDescent="0.3">
      <c r="A6" t="s">
        <v>50</v>
      </c>
      <c r="B6" t="s">
        <v>14</v>
      </c>
      <c r="C6" t="s">
        <v>12</v>
      </c>
      <c r="D6" t="s">
        <v>708</v>
      </c>
      <c r="E6" t="str">
        <f t="shared" si="0"/>
        <v>P_007</v>
      </c>
      <c r="F6" t="str">
        <f t="shared" si="1"/>
        <v>Pre</v>
      </c>
      <c r="G6" t="str">
        <f t="shared" si="2"/>
        <v>02</v>
      </c>
      <c r="H6" t="str">
        <f t="shared" si="3"/>
        <v>P_007-Pre-02.png</v>
      </c>
      <c r="I6" t="str">
        <f t="shared" si="4"/>
        <v>https://raw.githubusercontent.com/epz0/bridgespace/main/img/P_007-Pre-02.png</v>
      </c>
      <c r="K6" s="111" t="s">
        <v>16</v>
      </c>
      <c r="L6" s="110" t="s">
        <v>2356</v>
      </c>
      <c r="N6" s="111" t="s">
        <v>47</v>
      </c>
      <c r="O6" s="110" t="s">
        <v>2388</v>
      </c>
    </row>
    <row r="7" spans="1:18" x14ac:dyDescent="0.3">
      <c r="A7" t="s">
        <v>50</v>
      </c>
      <c r="B7" t="s">
        <v>19</v>
      </c>
      <c r="C7" t="s">
        <v>12</v>
      </c>
      <c r="D7" t="s">
        <v>709</v>
      </c>
      <c r="E7" t="str">
        <f t="shared" si="0"/>
        <v>P_007</v>
      </c>
      <c r="F7" t="str">
        <f t="shared" si="1"/>
        <v>Pre</v>
      </c>
      <c r="G7" t="str">
        <f t="shared" si="2"/>
        <v>06</v>
      </c>
      <c r="H7" t="str">
        <f t="shared" si="3"/>
        <v>P_007-Pre-06.png</v>
      </c>
      <c r="I7" t="str">
        <f t="shared" si="4"/>
        <v>https://raw.githubusercontent.com/epz0/bridgespace/main/img/P_007-Pre-06.png</v>
      </c>
      <c r="K7" s="111" t="s">
        <v>17</v>
      </c>
      <c r="L7" s="110" t="s">
        <v>2357</v>
      </c>
      <c r="N7" s="111" t="s">
        <v>48</v>
      </c>
      <c r="O7" s="110" t="s">
        <v>2389</v>
      </c>
    </row>
    <row r="8" spans="1:18" x14ac:dyDescent="0.3">
      <c r="A8" t="s">
        <v>50</v>
      </c>
      <c r="B8" t="s">
        <v>17</v>
      </c>
      <c r="C8" t="s">
        <v>12</v>
      </c>
      <c r="D8" t="s">
        <v>710</v>
      </c>
      <c r="E8" t="str">
        <f t="shared" si="0"/>
        <v>P_007</v>
      </c>
      <c r="F8" t="str">
        <f t="shared" si="1"/>
        <v>Pre</v>
      </c>
      <c r="G8" t="str">
        <f t="shared" si="2"/>
        <v>05</v>
      </c>
      <c r="H8" t="str">
        <f t="shared" si="3"/>
        <v>P_007-Pre-05.png</v>
      </c>
      <c r="I8" t="str">
        <f t="shared" si="4"/>
        <v>https://raw.githubusercontent.com/epz0/bridgespace/main/img/P_007-Pre-05.png</v>
      </c>
      <c r="K8" s="111" t="s">
        <v>19</v>
      </c>
      <c r="L8" s="110" t="s">
        <v>2358</v>
      </c>
      <c r="N8" s="111" t="s">
        <v>49</v>
      </c>
      <c r="O8" s="110" t="s">
        <v>2390</v>
      </c>
      <c r="R8" t="s">
        <v>2439</v>
      </c>
    </row>
    <row r="9" spans="1:18" x14ac:dyDescent="0.3">
      <c r="A9" t="s">
        <v>50</v>
      </c>
      <c r="B9" t="s">
        <v>16</v>
      </c>
      <c r="C9" t="s">
        <v>12</v>
      </c>
      <c r="D9" t="s">
        <v>711</v>
      </c>
      <c r="E9" t="str">
        <f t="shared" si="0"/>
        <v>P_007</v>
      </c>
      <c r="F9" t="str">
        <f t="shared" si="1"/>
        <v>Pre</v>
      </c>
      <c r="G9" t="str">
        <f t="shared" si="2"/>
        <v>04</v>
      </c>
      <c r="H9" t="str">
        <f t="shared" si="3"/>
        <v>P_007-Pre-04.png</v>
      </c>
      <c r="I9" t="str">
        <f t="shared" si="4"/>
        <v>https://raw.githubusercontent.com/epz0/bridgespace/main/img/P_007-Pre-04.png</v>
      </c>
      <c r="K9" s="111" t="s">
        <v>20</v>
      </c>
      <c r="L9" s="110" t="s">
        <v>2359</v>
      </c>
      <c r="N9" s="111" t="s">
        <v>50</v>
      </c>
      <c r="O9" s="110" t="s">
        <v>2391</v>
      </c>
    </row>
    <row r="10" spans="1:18" x14ac:dyDescent="0.3">
      <c r="A10" t="s">
        <v>50</v>
      </c>
      <c r="B10" t="s">
        <v>23</v>
      </c>
      <c r="C10" t="s">
        <v>29</v>
      </c>
      <c r="D10" t="s">
        <v>712</v>
      </c>
      <c r="E10" t="str">
        <f t="shared" si="0"/>
        <v>P_007</v>
      </c>
      <c r="F10" t="str">
        <f t="shared" si="1"/>
        <v>Pst</v>
      </c>
      <c r="G10" t="str">
        <f t="shared" si="2"/>
        <v>10</v>
      </c>
      <c r="H10" t="str">
        <f t="shared" si="3"/>
        <v>P_007-Pst-10.png</v>
      </c>
      <c r="I10" t="str">
        <f t="shared" si="4"/>
        <v>https://raw.githubusercontent.com/epz0/bridgespace/main/img/P_007-Pst-10.png</v>
      </c>
      <c r="K10" s="111" t="s">
        <v>21</v>
      </c>
      <c r="L10" s="110" t="s">
        <v>2360</v>
      </c>
      <c r="N10" s="111" t="s">
        <v>51</v>
      </c>
      <c r="O10" s="110" t="s">
        <v>2392</v>
      </c>
    </row>
    <row r="11" spans="1:18" x14ac:dyDescent="0.3">
      <c r="A11" t="s">
        <v>50</v>
      </c>
      <c r="B11" t="s">
        <v>25</v>
      </c>
      <c r="C11" t="s">
        <v>29</v>
      </c>
      <c r="D11" t="s">
        <v>713</v>
      </c>
      <c r="E11" t="str">
        <f t="shared" si="0"/>
        <v>P_007</v>
      </c>
      <c r="F11" t="str">
        <f t="shared" si="1"/>
        <v>Pst</v>
      </c>
      <c r="G11" t="str">
        <f t="shared" si="2"/>
        <v>12</v>
      </c>
      <c r="H11" t="str">
        <f t="shared" si="3"/>
        <v>P_007-Pst-12.png</v>
      </c>
      <c r="I11" t="str">
        <f t="shared" si="4"/>
        <v>https://raw.githubusercontent.com/epz0/bridgespace/main/img/P_007-Pst-12.png</v>
      </c>
      <c r="K11" s="111" t="s">
        <v>22</v>
      </c>
      <c r="L11" s="110" t="s">
        <v>2361</v>
      </c>
      <c r="N11" s="111" t="s">
        <v>52</v>
      </c>
      <c r="O11" s="110" t="s">
        <v>2393</v>
      </c>
    </row>
    <row r="12" spans="1:18" x14ac:dyDescent="0.3">
      <c r="A12" t="s">
        <v>50</v>
      </c>
      <c r="B12" t="s">
        <v>24</v>
      </c>
      <c r="C12" t="s">
        <v>29</v>
      </c>
      <c r="D12" t="s">
        <v>714</v>
      </c>
      <c r="E12" t="str">
        <f t="shared" si="0"/>
        <v>P_007</v>
      </c>
      <c r="F12" t="str">
        <f t="shared" si="1"/>
        <v>Pst</v>
      </c>
      <c r="G12" t="str">
        <f t="shared" si="2"/>
        <v>11</v>
      </c>
      <c r="H12" t="str">
        <f t="shared" si="3"/>
        <v>P_007-Pst-11.png</v>
      </c>
      <c r="I12" t="str">
        <f t="shared" si="4"/>
        <v>https://raw.githubusercontent.com/epz0/bridgespace/main/img/P_007-Pst-11.png</v>
      </c>
      <c r="K12" s="111" t="s">
        <v>23</v>
      </c>
      <c r="L12" s="110" t="s">
        <v>2362</v>
      </c>
      <c r="N12" s="111" t="s">
        <v>53</v>
      </c>
      <c r="O12" s="110" t="s">
        <v>2394</v>
      </c>
    </row>
    <row r="13" spans="1:18" x14ac:dyDescent="0.3">
      <c r="A13" t="s">
        <v>50</v>
      </c>
      <c r="B13" t="s">
        <v>21</v>
      </c>
      <c r="C13" t="s">
        <v>29</v>
      </c>
      <c r="D13" t="s">
        <v>715</v>
      </c>
      <c r="E13" t="str">
        <f t="shared" si="0"/>
        <v>P_007</v>
      </c>
      <c r="F13" t="str">
        <f t="shared" si="1"/>
        <v>Pst</v>
      </c>
      <c r="G13" t="str">
        <f t="shared" si="2"/>
        <v>08</v>
      </c>
      <c r="H13" t="str">
        <f t="shared" si="3"/>
        <v>P_007-Pst-08.png</v>
      </c>
      <c r="I13" t="str">
        <f t="shared" si="4"/>
        <v>https://raw.githubusercontent.com/epz0/bridgespace/main/img/P_007-Pst-08.png</v>
      </c>
      <c r="K13" s="111" t="s">
        <v>24</v>
      </c>
      <c r="L13" s="110" t="s">
        <v>2363</v>
      </c>
      <c r="N13" s="111" t="s">
        <v>54</v>
      </c>
      <c r="O13" s="110" t="s">
        <v>2395</v>
      </c>
    </row>
    <row r="14" spans="1:18" x14ac:dyDescent="0.3">
      <c r="A14" t="s">
        <v>50</v>
      </c>
      <c r="B14" t="s">
        <v>26</v>
      </c>
      <c r="C14" t="s">
        <v>29</v>
      </c>
      <c r="D14" t="s">
        <v>716</v>
      </c>
      <c r="E14" t="str">
        <f t="shared" si="0"/>
        <v>P_007</v>
      </c>
      <c r="F14" t="str">
        <f t="shared" si="1"/>
        <v>Pst</v>
      </c>
      <c r="G14" t="str">
        <f t="shared" si="2"/>
        <v>13</v>
      </c>
      <c r="H14" t="str">
        <f t="shared" si="3"/>
        <v>P_007-Pst-13.png</v>
      </c>
      <c r="I14" t="str">
        <f t="shared" si="4"/>
        <v>https://raw.githubusercontent.com/epz0/bridgespace/main/img/P_007-Pst-13.png</v>
      </c>
      <c r="K14" s="111" t="s">
        <v>25</v>
      </c>
      <c r="L14" s="110" t="s">
        <v>2364</v>
      </c>
      <c r="N14" s="111" t="s">
        <v>55</v>
      </c>
      <c r="O14" s="110" t="s">
        <v>2396</v>
      </c>
    </row>
    <row r="15" spans="1:18" x14ac:dyDescent="0.3">
      <c r="A15" t="s">
        <v>50</v>
      </c>
      <c r="B15" t="s">
        <v>22</v>
      </c>
      <c r="C15" t="s">
        <v>29</v>
      </c>
      <c r="D15" t="s">
        <v>717</v>
      </c>
      <c r="E15" t="str">
        <f t="shared" si="0"/>
        <v>P_007</v>
      </c>
      <c r="F15" t="str">
        <f t="shared" si="1"/>
        <v>Pst</v>
      </c>
      <c r="G15" t="str">
        <f t="shared" si="2"/>
        <v>09</v>
      </c>
      <c r="H15" t="str">
        <f t="shared" si="3"/>
        <v>P_007-Pst-09.png</v>
      </c>
      <c r="I15" t="str">
        <f t="shared" si="4"/>
        <v>https://raw.githubusercontent.com/epz0/bridgespace/main/img/P_007-Pst-09.png</v>
      </c>
      <c r="K15" s="111" t="s">
        <v>26</v>
      </c>
      <c r="L15" s="110" t="s">
        <v>2365</v>
      </c>
      <c r="N15" s="111" t="s">
        <v>56</v>
      </c>
      <c r="O15" s="110" t="s">
        <v>2397</v>
      </c>
    </row>
    <row r="16" spans="1:18" x14ac:dyDescent="0.3">
      <c r="A16" t="s">
        <v>50</v>
      </c>
      <c r="B16" t="s">
        <v>28</v>
      </c>
      <c r="C16" t="s">
        <v>29</v>
      </c>
      <c r="D16" t="s">
        <v>718</v>
      </c>
      <c r="E16" t="str">
        <f t="shared" si="0"/>
        <v>P_007</v>
      </c>
      <c r="F16" t="str">
        <f t="shared" si="1"/>
        <v>Pst</v>
      </c>
      <c r="G16" t="str">
        <f t="shared" si="2"/>
        <v>15</v>
      </c>
      <c r="H16" t="str">
        <f t="shared" si="3"/>
        <v>P_007-Pst-15.png</v>
      </c>
      <c r="I16" t="str">
        <f t="shared" si="4"/>
        <v>https://raw.githubusercontent.com/epz0/bridgespace/main/img/P_007-Pst-15.png</v>
      </c>
      <c r="K16" s="111" t="s">
        <v>27</v>
      </c>
      <c r="L16" s="110" t="s">
        <v>2366</v>
      </c>
      <c r="N16" s="111" t="s">
        <v>57</v>
      </c>
      <c r="O16" s="110" t="s">
        <v>2398</v>
      </c>
    </row>
    <row r="17" spans="1:15" x14ac:dyDescent="0.3">
      <c r="A17" t="s">
        <v>68</v>
      </c>
      <c r="B17" t="s">
        <v>15</v>
      </c>
      <c r="C17" t="s">
        <v>12</v>
      </c>
      <c r="D17" t="s">
        <v>719</v>
      </c>
      <c r="E17" t="str">
        <f t="shared" si="0"/>
        <v>P_022</v>
      </c>
      <c r="F17" t="str">
        <f t="shared" si="1"/>
        <v>Pre</v>
      </c>
      <c r="G17" t="str">
        <f t="shared" si="2"/>
        <v>03</v>
      </c>
      <c r="H17" t="str">
        <f t="shared" si="3"/>
        <v>P_022-Pre-03.png</v>
      </c>
      <c r="I17" t="str">
        <f t="shared" si="4"/>
        <v>https://raw.githubusercontent.com/epz0/bridgespace/main/img/P_022-Pre-03.png</v>
      </c>
      <c r="K17" s="111" t="s">
        <v>28</v>
      </c>
      <c r="L17" s="110" t="s">
        <v>2367</v>
      </c>
      <c r="N17" s="111" t="s">
        <v>58</v>
      </c>
      <c r="O17" s="110" t="s">
        <v>2399</v>
      </c>
    </row>
    <row r="18" spans="1:15" x14ac:dyDescent="0.3">
      <c r="A18" t="s">
        <v>68</v>
      </c>
      <c r="B18" t="s">
        <v>14</v>
      </c>
      <c r="C18" t="s">
        <v>12</v>
      </c>
      <c r="D18" t="s">
        <v>720</v>
      </c>
      <c r="E18" t="str">
        <f t="shared" si="0"/>
        <v>P_022</v>
      </c>
      <c r="F18" t="str">
        <f t="shared" si="1"/>
        <v>Pre</v>
      </c>
      <c r="G18" t="str">
        <f t="shared" si="2"/>
        <v>02</v>
      </c>
      <c r="H18" t="str">
        <f t="shared" si="3"/>
        <v>P_022-Pre-02.png</v>
      </c>
      <c r="I18" t="str">
        <f t="shared" si="4"/>
        <v>https://raw.githubusercontent.com/epz0/bridgespace/main/img/P_022-Pre-02.png</v>
      </c>
      <c r="K18" s="111" t="s">
        <v>30</v>
      </c>
      <c r="L18" s="110" t="s">
        <v>2368</v>
      </c>
      <c r="N18" s="111" t="s">
        <v>59</v>
      </c>
      <c r="O18" s="110" t="s">
        <v>2400</v>
      </c>
    </row>
    <row r="19" spans="1:15" x14ac:dyDescent="0.3">
      <c r="A19" t="s">
        <v>68</v>
      </c>
      <c r="B19" t="s">
        <v>11</v>
      </c>
      <c r="C19" t="s">
        <v>12</v>
      </c>
      <c r="D19" t="s">
        <v>721</v>
      </c>
      <c r="E19" t="str">
        <f t="shared" si="0"/>
        <v>P_022</v>
      </c>
      <c r="F19" t="str">
        <f t="shared" si="1"/>
        <v>Pre</v>
      </c>
      <c r="G19" t="str">
        <f t="shared" si="2"/>
        <v>01</v>
      </c>
      <c r="H19" t="str">
        <f t="shared" si="3"/>
        <v>P_022-Pre-01.png</v>
      </c>
      <c r="I19" t="str">
        <f t="shared" si="4"/>
        <v>https://raw.githubusercontent.com/epz0/bridgespace/main/img/P_022-Pre-01.png</v>
      </c>
      <c r="K19" s="111" t="s">
        <v>31</v>
      </c>
      <c r="L19" s="110" t="s">
        <v>2369</v>
      </c>
      <c r="N19" s="111" t="s">
        <v>60</v>
      </c>
      <c r="O19" s="110" t="s">
        <v>2401</v>
      </c>
    </row>
    <row r="20" spans="1:15" x14ac:dyDescent="0.3">
      <c r="A20" t="s">
        <v>68</v>
      </c>
      <c r="B20" t="s">
        <v>17</v>
      </c>
      <c r="C20" t="s">
        <v>12</v>
      </c>
      <c r="D20" t="s">
        <v>722</v>
      </c>
      <c r="E20" t="str">
        <f t="shared" si="0"/>
        <v>P_022</v>
      </c>
      <c r="F20" t="str">
        <f t="shared" si="1"/>
        <v>Pre</v>
      </c>
      <c r="G20" t="str">
        <f t="shared" si="2"/>
        <v>05</v>
      </c>
      <c r="H20" t="str">
        <f t="shared" si="3"/>
        <v>P_022-Pre-05.png</v>
      </c>
      <c r="I20" t="str">
        <f t="shared" si="4"/>
        <v>https://raw.githubusercontent.com/epz0/bridgespace/main/img/P_022-Pre-05.png</v>
      </c>
      <c r="K20" s="111" t="s">
        <v>32</v>
      </c>
      <c r="L20" s="110" t="s">
        <v>2370</v>
      </c>
      <c r="N20" s="111" t="s">
        <v>61</v>
      </c>
      <c r="O20" s="110" t="s">
        <v>2402</v>
      </c>
    </row>
    <row r="21" spans="1:15" x14ac:dyDescent="0.3">
      <c r="A21" t="s">
        <v>68</v>
      </c>
      <c r="B21" t="s">
        <v>16</v>
      </c>
      <c r="C21" t="s">
        <v>12</v>
      </c>
      <c r="D21" t="s">
        <v>723</v>
      </c>
      <c r="E21" t="str">
        <f t="shared" si="0"/>
        <v>P_022</v>
      </c>
      <c r="F21" t="str">
        <f t="shared" si="1"/>
        <v>Pre</v>
      </c>
      <c r="G21" t="str">
        <f t="shared" si="2"/>
        <v>04</v>
      </c>
      <c r="H21" t="str">
        <f t="shared" si="3"/>
        <v>P_022-Pre-04.png</v>
      </c>
      <c r="I21" t="str">
        <f t="shared" si="4"/>
        <v>https://raw.githubusercontent.com/epz0/bridgespace/main/img/P_022-Pre-04.png</v>
      </c>
      <c r="K21" s="111" t="s">
        <v>33</v>
      </c>
      <c r="L21" s="110" t="s">
        <v>2371</v>
      </c>
      <c r="N21" s="111" t="s">
        <v>62</v>
      </c>
      <c r="O21" s="110" t="s">
        <v>2403</v>
      </c>
    </row>
    <row r="22" spans="1:15" x14ac:dyDescent="0.3">
      <c r="A22" t="s">
        <v>68</v>
      </c>
      <c r="B22" t="s">
        <v>23</v>
      </c>
      <c r="C22" t="s">
        <v>29</v>
      </c>
      <c r="D22" t="s">
        <v>724</v>
      </c>
      <c r="E22" t="str">
        <f t="shared" si="0"/>
        <v>P_022</v>
      </c>
      <c r="F22" t="str">
        <f t="shared" si="1"/>
        <v>Pst</v>
      </c>
      <c r="G22" t="str">
        <f t="shared" si="2"/>
        <v>10</v>
      </c>
      <c r="H22" t="str">
        <f t="shared" si="3"/>
        <v>P_022-Pst-10.png</v>
      </c>
      <c r="I22" t="str">
        <f t="shared" si="4"/>
        <v>https://raw.githubusercontent.com/epz0/bridgespace/main/img/P_022-Pst-10.png</v>
      </c>
      <c r="K22" s="111" t="s">
        <v>34</v>
      </c>
      <c r="L22" s="110" t="s">
        <v>2372</v>
      </c>
      <c r="N22" s="111" t="s">
        <v>66</v>
      </c>
      <c r="O22" s="110" t="s">
        <v>2404</v>
      </c>
    </row>
    <row r="23" spans="1:15" x14ac:dyDescent="0.3">
      <c r="A23" t="s">
        <v>68</v>
      </c>
      <c r="B23" t="s">
        <v>25</v>
      </c>
      <c r="C23" t="s">
        <v>29</v>
      </c>
      <c r="D23" t="s">
        <v>725</v>
      </c>
      <c r="E23" t="str">
        <f t="shared" si="0"/>
        <v>P_022</v>
      </c>
      <c r="F23" t="str">
        <f t="shared" si="1"/>
        <v>Pst</v>
      </c>
      <c r="G23" t="str">
        <f t="shared" si="2"/>
        <v>12</v>
      </c>
      <c r="H23" t="str">
        <f t="shared" si="3"/>
        <v>P_022-Pst-12.png</v>
      </c>
      <c r="I23" t="str">
        <f t="shared" si="4"/>
        <v>https://raw.githubusercontent.com/epz0/bridgespace/main/img/P_022-Pst-12.png</v>
      </c>
      <c r="K23" s="111" t="s">
        <v>35</v>
      </c>
      <c r="L23" s="110" t="s">
        <v>2373</v>
      </c>
      <c r="N23" s="111" t="s">
        <v>67</v>
      </c>
      <c r="O23" s="110" t="s">
        <v>2405</v>
      </c>
    </row>
    <row r="24" spans="1:15" x14ac:dyDescent="0.3">
      <c r="A24" t="s">
        <v>68</v>
      </c>
      <c r="B24" t="s">
        <v>24</v>
      </c>
      <c r="C24" t="s">
        <v>29</v>
      </c>
      <c r="D24" t="s">
        <v>726</v>
      </c>
      <c r="E24" t="str">
        <f t="shared" si="0"/>
        <v>P_022</v>
      </c>
      <c r="F24" t="str">
        <f t="shared" si="1"/>
        <v>Pst</v>
      </c>
      <c r="G24" t="str">
        <f t="shared" si="2"/>
        <v>11</v>
      </c>
      <c r="H24" t="str">
        <f t="shared" si="3"/>
        <v>P_022-Pst-11.png</v>
      </c>
      <c r="I24" t="str">
        <f t="shared" si="4"/>
        <v>https://raw.githubusercontent.com/epz0/bridgespace/main/img/P_022-Pst-11.png</v>
      </c>
      <c r="K24" s="111" t="s">
        <v>36</v>
      </c>
      <c r="L24" s="110" t="s">
        <v>2374</v>
      </c>
      <c r="N24" s="111" t="s">
        <v>68</v>
      </c>
      <c r="O24" s="110" t="s">
        <v>2406</v>
      </c>
    </row>
    <row r="25" spans="1:15" x14ac:dyDescent="0.3">
      <c r="A25" t="s">
        <v>68</v>
      </c>
      <c r="B25" t="s">
        <v>21</v>
      </c>
      <c r="C25" t="s">
        <v>29</v>
      </c>
      <c r="D25" t="s">
        <v>727</v>
      </c>
      <c r="E25" t="str">
        <f t="shared" si="0"/>
        <v>P_022</v>
      </c>
      <c r="F25" t="str">
        <f t="shared" si="1"/>
        <v>Pst</v>
      </c>
      <c r="G25" t="str">
        <f t="shared" si="2"/>
        <v>08</v>
      </c>
      <c r="H25" t="str">
        <f t="shared" si="3"/>
        <v>P_022-Pst-08.png</v>
      </c>
      <c r="I25" t="str">
        <f t="shared" si="4"/>
        <v>https://raw.githubusercontent.com/epz0/bridgespace/main/img/P_022-Pst-08.png</v>
      </c>
      <c r="K25" s="111" t="s">
        <v>37</v>
      </c>
      <c r="L25" s="110" t="s">
        <v>2375</v>
      </c>
      <c r="N25" s="111" t="s">
        <v>69</v>
      </c>
      <c r="O25" s="110" t="s">
        <v>2407</v>
      </c>
    </row>
    <row r="26" spans="1:15" x14ac:dyDescent="0.3">
      <c r="A26" t="s">
        <v>68</v>
      </c>
      <c r="B26" t="s">
        <v>19</v>
      </c>
      <c r="C26" t="s">
        <v>29</v>
      </c>
      <c r="D26" t="s">
        <v>728</v>
      </c>
      <c r="E26" t="str">
        <f t="shared" si="0"/>
        <v>P_022</v>
      </c>
      <c r="F26" t="str">
        <f t="shared" si="1"/>
        <v>Pst</v>
      </c>
      <c r="G26" t="str">
        <f t="shared" si="2"/>
        <v>06</v>
      </c>
      <c r="H26" t="str">
        <f t="shared" si="3"/>
        <v>P_022-Pst-06.png</v>
      </c>
      <c r="I26" t="str">
        <f t="shared" si="4"/>
        <v>https://raw.githubusercontent.com/epz0/bridgespace/main/img/P_022-Pst-06.png</v>
      </c>
      <c r="K26" s="111" t="s">
        <v>38</v>
      </c>
      <c r="L26" s="110" t="s">
        <v>2376</v>
      </c>
      <c r="N26" s="111" t="s">
        <v>70</v>
      </c>
      <c r="O26" s="110" t="s">
        <v>2408</v>
      </c>
    </row>
    <row r="27" spans="1:15" x14ac:dyDescent="0.3">
      <c r="A27" t="s">
        <v>68</v>
      </c>
      <c r="B27" t="s">
        <v>20</v>
      </c>
      <c r="C27" t="s">
        <v>29</v>
      </c>
      <c r="D27" t="s">
        <v>729</v>
      </c>
      <c r="E27" t="str">
        <f t="shared" si="0"/>
        <v>P_022</v>
      </c>
      <c r="F27" t="str">
        <f t="shared" si="1"/>
        <v>Pst</v>
      </c>
      <c r="G27" t="str">
        <f t="shared" si="2"/>
        <v>07</v>
      </c>
      <c r="H27" t="str">
        <f t="shared" si="3"/>
        <v>P_022-Pst-07.png</v>
      </c>
      <c r="I27" t="str">
        <f t="shared" si="4"/>
        <v>https://raw.githubusercontent.com/epz0/bridgespace/main/img/P_022-Pst-07.png</v>
      </c>
      <c r="K27" s="111" t="s">
        <v>39</v>
      </c>
      <c r="L27" s="110" t="s">
        <v>2377</v>
      </c>
      <c r="N27" s="111" t="s">
        <v>71</v>
      </c>
      <c r="O27" s="110" t="s">
        <v>2409</v>
      </c>
    </row>
    <row r="28" spans="1:15" x14ac:dyDescent="0.3">
      <c r="A28" t="s">
        <v>68</v>
      </c>
      <c r="B28" t="s">
        <v>26</v>
      </c>
      <c r="C28" t="s">
        <v>29</v>
      </c>
      <c r="D28" t="s">
        <v>730</v>
      </c>
      <c r="E28" t="str">
        <f t="shared" si="0"/>
        <v>P_022</v>
      </c>
      <c r="F28" t="str">
        <f t="shared" si="1"/>
        <v>Pst</v>
      </c>
      <c r="G28" t="str">
        <f t="shared" si="2"/>
        <v>13</v>
      </c>
      <c r="H28" t="str">
        <f t="shared" si="3"/>
        <v>P_022-Pst-13.png</v>
      </c>
      <c r="I28" t="str">
        <f t="shared" si="4"/>
        <v>https://raw.githubusercontent.com/epz0/bridgespace/main/img/P_022-Pst-13.png</v>
      </c>
      <c r="K28" s="111" t="s">
        <v>40</v>
      </c>
      <c r="L28" s="110" t="s">
        <v>2378</v>
      </c>
      <c r="N28" s="111" t="s">
        <v>72</v>
      </c>
      <c r="O28" s="110" t="s">
        <v>2410</v>
      </c>
    </row>
    <row r="29" spans="1:15" x14ac:dyDescent="0.3">
      <c r="A29" t="s">
        <v>68</v>
      </c>
      <c r="B29" t="s">
        <v>22</v>
      </c>
      <c r="C29" t="s">
        <v>29</v>
      </c>
      <c r="D29" t="s">
        <v>731</v>
      </c>
      <c r="E29" t="str">
        <f t="shared" si="0"/>
        <v>P_022</v>
      </c>
      <c r="F29" t="str">
        <f t="shared" si="1"/>
        <v>Pst</v>
      </c>
      <c r="G29" t="str">
        <f t="shared" si="2"/>
        <v>09</v>
      </c>
      <c r="H29" t="str">
        <f t="shared" si="3"/>
        <v>P_022-Pst-09.png</v>
      </c>
      <c r="I29" t="str">
        <f t="shared" si="4"/>
        <v>https://raw.githubusercontent.com/epz0/bridgespace/main/img/P_022-Pst-09.png</v>
      </c>
      <c r="K29" s="111" t="s">
        <v>41</v>
      </c>
      <c r="L29" s="110" t="s">
        <v>2379</v>
      </c>
      <c r="N29" s="111" t="s">
        <v>73</v>
      </c>
      <c r="O29" s="110" t="s">
        <v>2411</v>
      </c>
    </row>
    <row r="30" spans="1:15" x14ac:dyDescent="0.3">
      <c r="A30" t="s">
        <v>68</v>
      </c>
      <c r="B30" t="s">
        <v>27</v>
      </c>
      <c r="C30" t="s">
        <v>29</v>
      </c>
      <c r="D30" t="s">
        <v>732</v>
      </c>
      <c r="E30" t="str">
        <f t="shared" si="0"/>
        <v>P_022</v>
      </c>
      <c r="F30" t="str">
        <f t="shared" si="1"/>
        <v>Pst</v>
      </c>
      <c r="G30" t="str">
        <f t="shared" si="2"/>
        <v>14</v>
      </c>
      <c r="H30" t="str">
        <f t="shared" si="3"/>
        <v>P_022-Pst-14.png</v>
      </c>
      <c r="I30" t="str">
        <f t="shared" si="4"/>
        <v>https://raw.githubusercontent.com/epz0/bridgespace/main/img/P_022-Pst-14.png</v>
      </c>
      <c r="K30" s="111" t="s">
        <v>42</v>
      </c>
      <c r="L30" s="110" t="s">
        <v>2380</v>
      </c>
      <c r="N30" s="111" t="s">
        <v>74</v>
      </c>
      <c r="O30" s="110" t="s">
        <v>2412</v>
      </c>
    </row>
    <row r="31" spans="1:15" x14ac:dyDescent="0.3">
      <c r="A31" t="s">
        <v>60</v>
      </c>
      <c r="B31" t="s">
        <v>15</v>
      </c>
      <c r="C31" t="s">
        <v>12</v>
      </c>
      <c r="D31" t="s">
        <v>733</v>
      </c>
      <c r="E31" t="str">
        <f t="shared" si="0"/>
        <v>P_017</v>
      </c>
      <c r="F31" t="str">
        <f t="shared" si="1"/>
        <v>Pre</v>
      </c>
      <c r="G31" t="str">
        <f t="shared" si="2"/>
        <v>03</v>
      </c>
      <c r="H31" t="str">
        <f t="shared" si="3"/>
        <v>P_017-Pre-03.png</v>
      </c>
      <c r="I31" t="str">
        <f t="shared" si="4"/>
        <v>https://raw.githubusercontent.com/epz0/bridgespace/main/img/P_017-Pre-03.png</v>
      </c>
      <c r="K31" s="111" t="s">
        <v>63</v>
      </c>
      <c r="L31" s="110" t="s">
        <v>2381</v>
      </c>
      <c r="N31" s="111" t="s">
        <v>75</v>
      </c>
      <c r="O31" s="110" t="s">
        <v>2413</v>
      </c>
    </row>
    <row r="32" spans="1:15" x14ac:dyDescent="0.3">
      <c r="A32" t="s">
        <v>60</v>
      </c>
      <c r="B32" t="s">
        <v>14</v>
      </c>
      <c r="C32" t="s">
        <v>12</v>
      </c>
      <c r="D32" t="s">
        <v>734</v>
      </c>
      <c r="E32" t="str">
        <f t="shared" si="0"/>
        <v>P_017</v>
      </c>
      <c r="F32" t="str">
        <f t="shared" si="1"/>
        <v>Pre</v>
      </c>
      <c r="G32" t="str">
        <f t="shared" si="2"/>
        <v>02</v>
      </c>
      <c r="H32" t="str">
        <f t="shared" si="3"/>
        <v>P_017-Pre-02.png</v>
      </c>
      <c r="I32" t="str">
        <f t="shared" si="4"/>
        <v>https://raw.githubusercontent.com/epz0/bridgespace/main/img/P_017-Pre-02.png</v>
      </c>
      <c r="K32" s="111" t="s">
        <v>64</v>
      </c>
      <c r="L32" s="110" t="s">
        <v>2382</v>
      </c>
      <c r="N32" s="111" t="s">
        <v>76</v>
      </c>
      <c r="O32" s="110" t="s">
        <v>2414</v>
      </c>
    </row>
    <row r="33" spans="1:15" ht="15" thickBot="1" x14ac:dyDescent="0.35">
      <c r="A33" t="s">
        <v>60</v>
      </c>
      <c r="B33" t="s">
        <v>11</v>
      </c>
      <c r="C33" t="s">
        <v>12</v>
      </c>
      <c r="D33" t="s">
        <v>735</v>
      </c>
      <c r="E33" t="str">
        <f t="shared" si="0"/>
        <v>P_017</v>
      </c>
      <c r="F33" t="str">
        <f t="shared" si="1"/>
        <v>Pre</v>
      </c>
      <c r="G33" t="str">
        <f t="shared" si="2"/>
        <v>01</v>
      </c>
      <c r="H33" t="str">
        <f t="shared" si="3"/>
        <v>P_017-Pre-01.png</v>
      </c>
      <c r="I33" t="str">
        <f t="shared" si="4"/>
        <v>https://raw.githubusercontent.com/epz0/bridgespace/main/img/P_017-Pre-01.png</v>
      </c>
      <c r="K33" s="113" t="s">
        <v>65</v>
      </c>
      <c r="L33" s="112" t="s">
        <v>2383</v>
      </c>
      <c r="N33" s="111" t="s">
        <v>2416</v>
      </c>
      <c r="O33" s="110" t="s">
        <v>2415</v>
      </c>
    </row>
    <row r="34" spans="1:15" x14ac:dyDescent="0.3">
      <c r="A34" t="s">
        <v>60</v>
      </c>
      <c r="B34" t="s">
        <v>16</v>
      </c>
      <c r="C34" t="s">
        <v>12</v>
      </c>
      <c r="D34" t="s">
        <v>736</v>
      </c>
      <c r="E34" t="str">
        <f t="shared" si="0"/>
        <v>P_017</v>
      </c>
      <c r="F34" t="str">
        <f t="shared" si="1"/>
        <v>Pre</v>
      </c>
      <c r="G34" t="str">
        <f t="shared" si="2"/>
        <v>04</v>
      </c>
      <c r="H34" t="str">
        <f t="shared" si="3"/>
        <v>P_017-Pre-04.png</v>
      </c>
      <c r="I34" t="str">
        <f t="shared" si="4"/>
        <v>https://raw.githubusercontent.com/epz0/bridgespace/main/img/P_017-Pre-04.png</v>
      </c>
      <c r="N34" s="111" t="s">
        <v>2418</v>
      </c>
      <c r="O34" s="110" t="s">
        <v>2417</v>
      </c>
    </row>
    <row r="35" spans="1:15" x14ac:dyDescent="0.3">
      <c r="A35" t="s">
        <v>60</v>
      </c>
      <c r="B35" t="s">
        <v>21</v>
      </c>
      <c r="C35" t="s">
        <v>29</v>
      </c>
      <c r="D35" t="s">
        <v>737</v>
      </c>
      <c r="E35" t="str">
        <f t="shared" si="0"/>
        <v>P_017</v>
      </c>
      <c r="F35" t="str">
        <f t="shared" si="1"/>
        <v>Pst</v>
      </c>
      <c r="G35" t="str">
        <f t="shared" si="2"/>
        <v>08</v>
      </c>
      <c r="H35" t="str">
        <f t="shared" si="3"/>
        <v>P_017-Pst-08.png</v>
      </c>
      <c r="I35" t="str">
        <f t="shared" si="4"/>
        <v>https://raw.githubusercontent.com/epz0/bridgespace/main/img/P_017-Pst-08.png</v>
      </c>
      <c r="N35" s="111" t="s">
        <v>2420</v>
      </c>
      <c r="O35" s="110" t="s">
        <v>2419</v>
      </c>
    </row>
    <row r="36" spans="1:15" x14ac:dyDescent="0.3">
      <c r="A36" t="s">
        <v>60</v>
      </c>
      <c r="B36" t="s">
        <v>19</v>
      </c>
      <c r="C36" t="s">
        <v>29</v>
      </c>
      <c r="D36" t="s">
        <v>738</v>
      </c>
      <c r="E36" t="str">
        <f t="shared" si="0"/>
        <v>P_017</v>
      </c>
      <c r="F36" t="str">
        <f t="shared" si="1"/>
        <v>Pst</v>
      </c>
      <c r="G36" t="str">
        <f t="shared" si="2"/>
        <v>06</v>
      </c>
      <c r="H36" t="str">
        <f t="shared" si="3"/>
        <v>P_017-Pst-06.png</v>
      </c>
      <c r="I36" t="str">
        <f t="shared" si="4"/>
        <v>https://raw.githubusercontent.com/epz0/bridgespace/main/img/P_017-Pst-06.png</v>
      </c>
      <c r="N36" s="111" t="s">
        <v>2422</v>
      </c>
      <c r="O36" s="110" t="s">
        <v>2421</v>
      </c>
    </row>
    <row r="37" spans="1:15" x14ac:dyDescent="0.3">
      <c r="A37" t="s">
        <v>60</v>
      </c>
      <c r="B37" t="s">
        <v>17</v>
      </c>
      <c r="C37" t="s">
        <v>29</v>
      </c>
      <c r="D37" t="s">
        <v>739</v>
      </c>
      <c r="E37" t="str">
        <f t="shared" si="0"/>
        <v>P_017</v>
      </c>
      <c r="F37" t="str">
        <f t="shared" si="1"/>
        <v>Pst</v>
      </c>
      <c r="G37" t="str">
        <f t="shared" si="2"/>
        <v>05</v>
      </c>
      <c r="H37" t="str">
        <f t="shared" si="3"/>
        <v>P_017-Pst-05.png</v>
      </c>
      <c r="I37" t="str">
        <f t="shared" si="4"/>
        <v>https://raw.githubusercontent.com/epz0/bridgespace/main/img/P_017-Pst-05.png</v>
      </c>
      <c r="N37" s="111" t="s">
        <v>2424</v>
      </c>
      <c r="O37" s="110" t="s">
        <v>2423</v>
      </c>
    </row>
    <row r="38" spans="1:15" x14ac:dyDescent="0.3">
      <c r="A38" t="s">
        <v>60</v>
      </c>
      <c r="B38" t="s">
        <v>20</v>
      </c>
      <c r="C38" t="s">
        <v>29</v>
      </c>
      <c r="D38" t="s">
        <v>740</v>
      </c>
      <c r="E38" t="str">
        <f t="shared" si="0"/>
        <v>P_017</v>
      </c>
      <c r="F38" t="str">
        <f t="shared" si="1"/>
        <v>Pst</v>
      </c>
      <c r="G38" t="str">
        <f t="shared" si="2"/>
        <v>07</v>
      </c>
      <c r="H38" t="str">
        <f t="shared" si="3"/>
        <v>P_017-Pst-07.png</v>
      </c>
      <c r="I38" t="str">
        <f t="shared" si="4"/>
        <v>https://raw.githubusercontent.com/epz0/bridgespace/main/img/P_017-Pst-07.png</v>
      </c>
      <c r="N38" s="111" t="s">
        <v>2426</v>
      </c>
      <c r="O38" s="110" t="s">
        <v>2425</v>
      </c>
    </row>
    <row r="39" spans="1:15" x14ac:dyDescent="0.3">
      <c r="A39" t="s">
        <v>60</v>
      </c>
      <c r="B39" t="s">
        <v>22</v>
      </c>
      <c r="C39" t="s">
        <v>29</v>
      </c>
      <c r="D39" t="s">
        <v>741</v>
      </c>
      <c r="E39" t="str">
        <f t="shared" si="0"/>
        <v>P_017</v>
      </c>
      <c r="F39" t="str">
        <f t="shared" si="1"/>
        <v>Pst</v>
      </c>
      <c r="G39" t="str">
        <f t="shared" si="2"/>
        <v>09</v>
      </c>
      <c r="H39" t="str">
        <f t="shared" si="3"/>
        <v>P_017-Pst-09.png</v>
      </c>
      <c r="I39" t="str">
        <f t="shared" si="4"/>
        <v>https://raw.githubusercontent.com/epz0/bridgespace/main/img/P_017-Pst-09.png</v>
      </c>
      <c r="N39" s="111" t="s">
        <v>2428</v>
      </c>
      <c r="O39" s="110" t="s">
        <v>2427</v>
      </c>
    </row>
    <row r="40" spans="1:15" x14ac:dyDescent="0.3">
      <c r="A40" t="s">
        <v>53</v>
      </c>
      <c r="B40" t="s">
        <v>15</v>
      </c>
      <c r="C40" t="s">
        <v>12</v>
      </c>
      <c r="D40" t="s">
        <v>742</v>
      </c>
      <c r="E40" t="str">
        <f t="shared" si="0"/>
        <v>P_010</v>
      </c>
      <c r="F40" t="str">
        <f t="shared" si="1"/>
        <v>Pre</v>
      </c>
      <c r="G40" t="str">
        <f t="shared" si="2"/>
        <v>03</v>
      </c>
      <c r="H40" t="str">
        <f t="shared" si="3"/>
        <v>P_010-Pre-03.png</v>
      </c>
      <c r="I40" t="str">
        <f t="shared" si="4"/>
        <v>https://raw.githubusercontent.com/epz0/bridgespace/main/img/P_010-Pre-03.png</v>
      </c>
      <c r="N40" s="111" t="s">
        <v>2430</v>
      </c>
      <c r="O40" s="110" t="s">
        <v>2429</v>
      </c>
    </row>
    <row r="41" spans="1:15" x14ac:dyDescent="0.3">
      <c r="A41" t="s">
        <v>53</v>
      </c>
      <c r="B41" t="s">
        <v>14</v>
      </c>
      <c r="C41" t="s">
        <v>12</v>
      </c>
      <c r="D41" t="s">
        <v>743</v>
      </c>
      <c r="E41" t="str">
        <f t="shared" si="0"/>
        <v>P_010</v>
      </c>
      <c r="F41" t="str">
        <f t="shared" si="1"/>
        <v>Pre</v>
      </c>
      <c r="G41" t="str">
        <f t="shared" si="2"/>
        <v>02</v>
      </c>
      <c r="H41" t="str">
        <f t="shared" si="3"/>
        <v>P_010-Pre-02.png</v>
      </c>
      <c r="I41" t="str">
        <f t="shared" si="4"/>
        <v>https://raw.githubusercontent.com/epz0/bridgespace/main/img/P_010-Pre-02.png</v>
      </c>
      <c r="N41" s="111" t="s">
        <v>2432</v>
      </c>
      <c r="O41" s="110" t="s">
        <v>2431</v>
      </c>
    </row>
    <row r="42" spans="1:15" ht="15" thickBot="1" x14ac:dyDescent="0.35">
      <c r="A42" t="s">
        <v>53</v>
      </c>
      <c r="B42" t="s">
        <v>11</v>
      </c>
      <c r="C42" t="s">
        <v>12</v>
      </c>
      <c r="D42" t="s">
        <v>744</v>
      </c>
      <c r="E42" t="str">
        <f t="shared" si="0"/>
        <v>P_010</v>
      </c>
      <c r="F42" t="str">
        <f t="shared" si="1"/>
        <v>Pre</v>
      </c>
      <c r="G42" t="str">
        <f t="shared" si="2"/>
        <v>01</v>
      </c>
      <c r="H42" t="str">
        <f t="shared" si="3"/>
        <v>P_010-Pre-01.png</v>
      </c>
      <c r="I42" t="str">
        <f t="shared" si="4"/>
        <v>https://raw.githubusercontent.com/epz0/bridgespace/main/img/P_010-Pre-01.png</v>
      </c>
      <c r="N42" s="113" t="s">
        <v>2434</v>
      </c>
      <c r="O42" s="112" t="s">
        <v>2433</v>
      </c>
    </row>
    <row r="43" spans="1:15" x14ac:dyDescent="0.3">
      <c r="A43" t="s">
        <v>53</v>
      </c>
      <c r="B43" t="s">
        <v>16</v>
      </c>
      <c r="C43" t="s">
        <v>12</v>
      </c>
      <c r="D43" t="s">
        <v>745</v>
      </c>
      <c r="E43" t="str">
        <f t="shared" si="0"/>
        <v>P_010</v>
      </c>
      <c r="F43" t="str">
        <f t="shared" si="1"/>
        <v>Pre</v>
      </c>
      <c r="G43" t="str">
        <f t="shared" si="2"/>
        <v>04</v>
      </c>
      <c r="H43" t="str">
        <f t="shared" si="3"/>
        <v>P_010-Pre-04.png</v>
      </c>
      <c r="I43" t="str">
        <f t="shared" si="4"/>
        <v>https://raw.githubusercontent.com/epz0/bridgespace/main/img/P_010-Pre-04.png</v>
      </c>
    </row>
    <row r="44" spans="1:15" x14ac:dyDescent="0.3">
      <c r="A44" t="s">
        <v>53</v>
      </c>
      <c r="B44" t="s">
        <v>19</v>
      </c>
      <c r="C44" t="s">
        <v>29</v>
      </c>
      <c r="D44" t="s">
        <v>746</v>
      </c>
      <c r="E44" t="str">
        <f t="shared" si="0"/>
        <v>P_010</v>
      </c>
      <c r="F44" t="str">
        <f t="shared" si="1"/>
        <v>Pst</v>
      </c>
      <c r="G44" t="str">
        <f t="shared" si="2"/>
        <v>06</v>
      </c>
      <c r="H44" t="str">
        <f t="shared" si="3"/>
        <v>P_010-Pst-06.png</v>
      </c>
      <c r="I44" t="str">
        <f t="shared" si="4"/>
        <v>https://raw.githubusercontent.com/epz0/bridgespace/main/img/P_010-Pst-06.png</v>
      </c>
    </row>
    <row r="45" spans="1:15" x14ac:dyDescent="0.3">
      <c r="A45" t="s">
        <v>53</v>
      </c>
      <c r="B45" t="s">
        <v>17</v>
      </c>
      <c r="C45" t="s">
        <v>29</v>
      </c>
      <c r="D45" t="s">
        <v>747</v>
      </c>
      <c r="E45" t="str">
        <f t="shared" si="0"/>
        <v>P_010</v>
      </c>
      <c r="F45" t="str">
        <f t="shared" si="1"/>
        <v>Pst</v>
      </c>
      <c r="G45" t="str">
        <f t="shared" si="2"/>
        <v>05</v>
      </c>
      <c r="H45" t="str">
        <f t="shared" si="3"/>
        <v>P_010-Pst-05.png</v>
      </c>
      <c r="I45" t="str">
        <f t="shared" si="4"/>
        <v>https://raw.githubusercontent.com/epz0/bridgespace/main/img/P_010-Pst-05.png</v>
      </c>
    </row>
    <row r="46" spans="1:15" x14ac:dyDescent="0.3">
      <c r="A46" t="s">
        <v>76</v>
      </c>
      <c r="B46" t="s">
        <v>15</v>
      </c>
      <c r="C46" t="s">
        <v>12</v>
      </c>
      <c r="D46" t="s">
        <v>748</v>
      </c>
      <c r="E46" t="str">
        <f t="shared" si="0"/>
        <v>P_030</v>
      </c>
      <c r="F46" t="str">
        <f t="shared" si="1"/>
        <v>Pre</v>
      </c>
      <c r="G46" t="str">
        <f t="shared" si="2"/>
        <v>03</v>
      </c>
      <c r="H46" t="str">
        <f t="shared" si="3"/>
        <v>P_030-Pre-03.png</v>
      </c>
      <c r="I46" t="str">
        <f t="shared" si="4"/>
        <v>https://raw.githubusercontent.com/epz0/bridgespace/main/img/P_030-Pre-03.png</v>
      </c>
    </row>
    <row r="47" spans="1:15" x14ac:dyDescent="0.3">
      <c r="A47" t="s">
        <v>76</v>
      </c>
      <c r="B47" t="s">
        <v>14</v>
      </c>
      <c r="C47" t="s">
        <v>12</v>
      </c>
      <c r="D47" t="s">
        <v>749</v>
      </c>
      <c r="E47" t="str">
        <f t="shared" si="0"/>
        <v>P_030</v>
      </c>
      <c r="F47" t="str">
        <f t="shared" si="1"/>
        <v>Pre</v>
      </c>
      <c r="G47" t="str">
        <f t="shared" si="2"/>
        <v>02</v>
      </c>
      <c r="H47" t="str">
        <f t="shared" si="3"/>
        <v>P_030-Pre-02.png</v>
      </c>
      <c r="I47" t="str">
        <f t="shared" si="4"/>
        <v>https://raw.githubusercontent.com/epz0/bridgespace/main/img/P_030-Pre-02.png</v>
      </c>
    </row>
    <row r="48" spans="1:15" x14ac:dyDescent="0.3">
      <c r="A48" t="s">
        <v>76</v>
      </c>
      <c r="B48" t="s">
        <v>11</v>
      </c>
      <c r="C48" t="s">
        <v>12</v>
      </c>
      <c r="D48" t="s">
        <v>750</v>
      </c>
      <c r="E48" t="str">
        <f t="shared" si="0"/>
        <v>P_030</v>
      </c>
      <c r="F48" t="str">
        <f t="shared" si="1"/>
        <v>Pre</v>
      </c>
      <c r="G48" t="str">
        <f t="shared" si="2"/>
        <v>01</v>
      </c>
      <c r="H48" t="str">
        <f t="shared" si="3"/>
        <v>P_030-Pre-01.png</v>
      </c>
      <c r="I48" t="str">
        <f t="shared" si="4"/>
        <v>https://raw.githubusercontent.com/epz0/bridgespace/main/img/P_030-Pre-01.png</v>
      </c>
    </row>
    <row r="49" spans="1:9" x14ac:dyDescent="0.3">
      <c r="A49" t="s">
        <v>76</v>
      </c>
      <c r="B49" t="s">
        <v>19</v>
      </c>
      <c r="C49" t="s">
        <v>12</v>
      </c>
      <c r="D49" t="s">
        <v>751</v>
      </c>
      <c r="E49" t="str">
        <f t="shared" si="0"/>
        <v>P_030</v>
      </c>
      <c r="F49" t="str">
        <f t="shared" si="1"/>
        <v>Pre</v>
      </c>
      <c r="G49" t="str">
        <f t="shared" si="2"/>
        <v>06</v>
      </c>
      <c r="H49" t="str">
        <f t="shared" si="3"/>
        <v>P_030-Pre-06.png</v>
      </c>
      <c r="I49" t="str">
        <f t="shared" si="4"/>
        <v>https://raw.githubusercontent.com/epz0/bridgespace/main/img/P_030-Pre-06.png</v>
      </c>
    </row>
    <row r="50" spans="1:9" x14ac:dyDescent="0.3">
      <c r="A50" t="s">
        <v>76</v>
      </c>
      <c r="B50" t="s">
        <v>17</v>
      </c>
      <c r="C50" t="s">
        <v>12</v>
      </c>
      <c r="D50" t="s">
        <v>752</v>
      </c>
      <c r="E50" t="str">
        <f t="shared" si="0"/>
        <v>P_030</v>
      </c>
      <c r="F50" t="str">
        <f t="shared" si="1"/>
        <v>Pre</v>
      </c>
      <c r="G50" t="str">
        <f t="shared" si="2"/>
        <v>05</v>
      </c>
      <c r="H50" t="str">
        <f t="shared" si="3"/>
        <v>P_030-Pre-05.png</v>
      </c>
      <c r="I50" t="str">
        <f t="shared" si="4"/>
        <v>https://raw.githubusercontent.com/epz0/bridgespace/main/img/P_030-Pre-05.png</v>
      </c>
    </row>
    <row r="51" spans="1:9" x14ac:dyDescent="0.3">
      <c r="A51" t="s">
        <v>76</v>
      </c>
      <c r="B51" t="s">
        <v>16</v>
      </c>
      <c r="C51" t="s">
        <v>12</v>
      </c>
      <c r="D51" t="s">
        <v>753</v>
      </c>
      <c r="E51" t="str">
        <f t="shared" si="0"/>
        <v>P_030</v>
      </c>
      <c r="F51" t="str">
        <f t="shared" si="1"/>
        <v>Pre</v>
      </c>
      <c r="G51" t="str">
        <f t="shared" si="2"/>
        <v>04</v>
      </c>
      <c r="H51" t="str">
        <f t="shared" si="3"/>
        <v>P_030-Pre-04.png</v>
      </c>
      <c r="I51" t="str">
        <f t="shared" si="4"/>
        <v>https://raw.githubusercontent.com/epz0/bridgespace/main/img/P_030-Pre-04.png</v>
      </c>
    </row>
    <row r="52" spans="1:9" x14ac:dyDescent="0.3">
      <c r="A52" t="s">
        <v>76</v>
      </c>
      <c r="B52" t="s">
        <v>20</v>
      </c>
      <c r="C52" t="s">
        <v>12</v>
      </c>
      <c r="D52" t="s">
        <v>754</v>
      </c>
      <c r="E52" t="str">
        <f t="shared" si="0"/>
        <v>P_030</v>
      </c>
      <c r="F52" t="str">
        <f t="shared" si="1"/>
        <v>Pre</v>
      </c>
      <c r="G52" t="str">
        <f t="shared" si="2"/>
        <v>07</v>
      </c>
      <c r="H52" t="str">
        <f t="shared" si="3"/>
        <v>P_030-Pre-07.png</v>
      </c>
      <c r="I52" t="str">
        <f t="shared" si="4"/>
        <v>https://raw.githubusercontent.com/epz0/bridgespace/main/img/P_030-Pre-07.png</v>
      </c>
    </row>
    <row r="53" spans="1:9" x14ac:dyDescent="0.3">
      <c r="A53" t="s">
        <v>76</v>
      </c>
      <c r="B53" t="s">
        <v>23</v>
      </c>
      <c r="C53" t="s">
        <v>29</v>
      </c>
      <c r="D53" t="s">
        <v>755</v>
      </c>
      <c r="E53" t="str">
        <f t="shared" si="0"/>
        <v>P_030</v>
      </c>
      <c r="F53" t="str">
        <f t="shared" si="1"/>
        <v>Pst</v>
      </c>
      <c r="G53" t="str">
        <f t="shared" si="2"/>
        <v>10</v>
      </c>
      <c r="H53" t="str">
        <f t="shared" si="3"/>
        <v>P_030-Pst-10.png</v>
      </c>
      <c r="I53" t="str">
        <f t="shared" si="4"/>
        <v>https://raw.githubusercontent.com/epz0/bridgespace/main/img/P_030-Pst-10.png</v>
      </c>
    </row>
    <row r="54" spans="1:9" x14ac:dyDescent="0.3">
      <c r="A54" t="s">
        <v>76</v>
      </c>
      <c r="B54" t="s">
        <v>25</v>
      </c>
      <c r="C54" t="s">
        <v>29</v>
      </c>
      <c r="D54" t="s">
        <v>756</v>
      </c>
      <c r="E54" t="str">
        <f t="shared" si="0"/>
        <v>P_030</v>
      </c>
      <c r="F54" t="str">
        <f t="shared" si="1"/>
        <v>Pst</v>
      </c>
      <c r="G54" t="str">
        <f t="shared" si="2"/>
        <v>12</v>
      </c>
      <c r="H54" t="str">
        <f t="shared" si="3"/>
        <v>P_030-Pst-12.png</v>
      </c>
      <c r="I54" t="str">
        <f t="shared" si="4"/>
        <v>https://raw.githubusercontent.com/epz0/bridgespace/main/img/P_030-Pst-12.png</v>
      </c>
    </row>
    <row r="55" spans="1:9" x14ac:dyDescent="0.3">
      <c r="A55" t="s">
        <v>76</v>
      </c>
      <c r="B55" t="s">
        <v>24</v>
      </c>
      <c r="C55" t="s">
        <v>29</v>
      </c>
      <c r="D55" t="s">
        <v>757</v>
      </c>
      <c r="E55" t="str">
        <f t="shared" si="0"/>
        <v>P_030</v>
      </c>
      <c r="F55" t="str">
        <f t="shared" si="1"/>
        <v>Pst</v>
      </c>
      <c r="G55" t="str">
        <f t="shared" si="2"/>
        <v>11</v>
      </c>
      <c r="H55" t="str">
        <f t="shared" si="3"/>
        <v>P_030-Pst-11.png</v>
      </c>
      <c r="I55" t="str">
        <f t="shared" si="4"/>
        <v>https://raw.githubusercontent.com/epz0/bridgespace/main/img/P_030-Pst-11.png</v>
      </c>
    </row>
    <row r="56" spans="1:9" x14ac:dyDescent="0.3">
      <c r="A56" t="s">
        <v>76</v>
      </c>
      <c r="B56" t="s">
        <v>21</v>
      </c>
      <c r="C56" t="s">
        <v>29</v>
      </c>
      <c r="D56" t="s">
        <v>758</v>
      </c>
      <c r="E56" t="str">
        <f t="shared" si="0"/>
        <v>P_030</v>
      </c>
      <c r="F56" t="str">
        <f t="shared" si="1"/>
        <v>Pst</v>
      </c>
      <c r="G56" t="str">
        <f t="shared" si="2"/>
        <v>08</v>
      </c>
      <c r="H56" t="str">
        <f t="shared" si="3"/>
        <v>P_030-Pst-08.png</v>
      </c>
      <c r="I56" t="str">
        <f t="shared" si="4"/>
        <v>https://raw.githubusercontent.com/epz0/bridgespace/main/img/P_030-Pst-08.png</v>
      </c>
    </row>
    <row r="57" spans="1:9" x14ac:dyDescent="0.3">
      <c r="A57" t="s">
        <v>76</v>
      </c>
      <c r="B57" t="s">
        <v>30</v>
      </c>
      <c r="C57" t="s">
        <v>29</v>
      </c>
      <c r="D57" t="s">
        <v>759</v>
      </c>
      <c r="E57" t="str">
        <f t="shared" si="0"/>
        <v>P_030</v>
      </c>
      <c r="F57" t="str">
        <f t="shared" si="1"/>
        <v>Pst</v>
      </c>
      <c r="G57" t="str">
        <f t="shared" si="2"/>
        <v>16</v>
      </c>
      <c r="H57" t="str">
        <f t="shared" si="3"/>
        <v>P_030-Pst-16.png</v>
      </c>
      <c r="I57" t="str">
        <f t="shared" si="4"/>
        <v>https://raw.githubusercontent.com/epz0/bridgespace/main/img/P_030-Pst-16.png</v>
      </c>
    </row>
    <row r="58" spans="1:9" x14ac:dyDescent="0.3">
      <c r="A58" t="s">
        <v>76</v>
      </c>
      <c r="B58" t="s">
        <v>26</v>
      </c>
      <c r="C58" t="s">
        <v>29</v>
      </c>
      <c r="D58" t="s">
        <v>760</v>
      </c>
      <c r="E58" t="str">
        <f t="shared" si="0"/>
        <v>P_030</v>
      </c>
      <c r="F58" t="str">
        <f t="shared" si="1"/>
        <v>Pst</v>
      </c>
      <c r="G58" t="str">
        <f t="shared" si="2"/>
        <v>13</v>
      </c>
      <c r="H58" t="str">
        <f t="shared" si="3"/>
        <v>P_030-Pst-13.png</v>
      </c>
      <c r="I58" t="str">
        <f t="shared" si="4"/>
        <v>https://raw.githubusercontent.com/epz0/bridgespace/main/img/P_030-Pst-13.png</v>
      </c>
    </row>
    <row r="59" spans="1:9" x14ac:dyDescent="0.3">
      <c r="A59" t="s">
        <v>76</v>
      </c>
      <c r="B59" t="s">
        <v>22</v>
      </c>
      <c r="C59" t="s">
        <v>29</v>
      </c>
      <c r="D59" t="s">
        <v>761</v>
      </c>
      <c r="E59" t="str">
        <f t="shared" si="0"/>
        <v>P_030</v>
      </c>
      <c r="F59" t="str">
        <f t="shared" si="1"/>
        <v>Pst</v>
      </c>
      <c r="G59" t="str">
        <f t="shared" si="2"/>
        <v>09</v>
      </c>
      <c r="H59" t="str">
        <f t="shared" si="3"/>
        <v>P_030-Pst-09.png</v>
      </c>
      <c r="I59" t="str">
        <f t="shared" si="4"/>
        <v>https://raw.githubusercontent.com/epz0/bridgespace/main/img/P_030-Pst-09.png</v>
      </c>
    </row>
    <row r="60" spans="1:9" x14ac:dyDescent="0.3">
      <c r="A60" t="s">
        <v>76</v>
      </c>
      <c r="B60" t="s">
        <v>31</v>
      </c>
      <c r="C60" t="s">
        <v>29</v>
      </c>
      <c r="D60" t="s">
        <v>762</v>
      </c>
      <c r="E60" t="str">
        <f t="shared" si="0"/>
        <v>P_030</v>
      </c>
      <c r="F60" t="str">
        <f t="shared" si="1"/>
        <v>Pst</v>
      </c>
      <c r="G60" t="str">
        <f t="shared" si="2"/>
        <v>17</v>
      </c>
      <c r="H60" t="str">
        <f t="shared" si="3"/>
        <v>P_030-Pst-17.png</v>
      </c>
      <c r="I60" t="str">
        <f t="shared" si="4"/>
        <v>https://raw.githubusercontent.com/epz0/bridgespace/main/img/P_030-Pst-17.png</v>
      </c>
    </row>
    <row r="61" spans="1:9" x14ac:dyDescent="0.3">
      <c r="A61" t="s">
        <v>76</v>
      </c>
      <c r="B61" t="s">
        <v>27</v>
      </c>
      <c r="C61" t="s">
        <v>29</v>
      </c>
      <c r="D61" t="s">
        <v>763</v>
      </c>
      <c r="E61" t="str">
        <f t="shared" si="0"/>
        <v>P_030</v>
      </c>
      <c r="F61" t="str">
        <f t="shared" si="1"/>
        <v>Pst</v>
      </c>
      <c r="G61" t="str">
        <f t="shared" si="2"/>
        <v>14</v>
      </c>
      <c r="H61" t="str">
        <f t="shared" si="3"/>
        <v>P_030-Pst-14.png</v>
      </c>
      <c r="I61" t="str">
        <f t="shared" si="4"/>
        <v>https://raw.githubusercontent.com/epz0/bridgespace/main/img/P_030-Pst-14.png</v>
      </c>
    </row>
    <row r="62" spans="1:9" x14ac:dyDescent="0.3">
      <c r="A62" t="s">
        <v>76</v>
      </c>
      <c r="B62" t="s">
        <v>28</v>
      </c>
      <c r="C62" t="s">
        <v>29</v>
      </c>
      <c r="D62" t="s">
        <v>764</v>
      </c>
      <c r="E62" t="str">
        <f t="shared" si="0"/>
        <v>P_030</v>
      </c>
      <c r="F62" t="str">
        <f t="shared" si="1"/>
        <v>Pst</v>
      </c>
      <c r="G62" t="str">
        <f t="shared" si="2"/>
        <v>15</v>
      </c>
      <c r="H62" t="str">
        <f t="shared" si="3"/>
        <v>P_030-Pst-15.png</v>
      </c>
      <c r="I62" t="str">
        <f t="shared" si="4"/>
        <v>https://raw.githubusercontent.com/epz0/bridgespace/main/img/P_030-Pst-15.png</v>
      </c>
    </row>
    <row r="63" spans="1:9" x14ac:dyDescent="0.3">
      <c r="A63" s="38" t="s">
        <v>73</v>
      </c>
      <c r="B63" s="38" t="s">
        <v>19</v>
      </c>
      <c r="C63" s="38" t="s">
        <v>12</v>
      </c>
      <c r="D63" s="38" t="s">
        <v>765</v>
      </c>
      <c r="E63" t="str">
        <f t="shared" si="0"/>
        <v>P_027</v>
      </c>
      <c r="F63" t="str">
        <f t="shared" si="1"/>
        <v>Pre</v>
      </c>
      <c r="G63" t="str">
        <f t="shared" si="2"/>
        <v>06</v>
      </c>
      <c r="H63" t="str">
        <f t="shared" si="3"/>
        <v>P_027-Pre-06.png</v>
      </c>
      <c r="I63" t="str">
        <f t="shared" si="4"/>
        <v>https://raw.githubusercontent.com/epz0/bridgespace/main/img/P_027-Pre-06.png</v>
      </c>
    </row>
    <row r="64" spans="1:9" x14ac:dyDescent="0.3">
      <c r="A64" s="38" t="s">
        <v>73</v>
      </c>
      <c r="B64" s="38" t="s">
        <v>33</v>
      </c>
      <c r="C64" s="38" t="s">
        <v>29</v>
      </c>
      <c r="D64" s="38" t="s">
        <v>766</v>
      </c>
      <c r="E64" t="str">
        <f t="shared" si="0"/>
        <v>P_027</v>
      </c>
      <c r="F64" t="str">
        <f t="shared" si="1"/>
        <v>Pst</v>
      </c>
      <c r="G64" t="str">
        <f t="shared" si="2"/>
        <v>19</v>
      </c>
      <c r="H64" t="str">
        <f t="shared" si="3"/>
        <v>P_027-Pst-19.png</v>
      </c>
      <c r="I64" t="str">
        <f t="shared" si="4"/>
        <v>https://raw.githubusercontent.com/epz0/bridgespace/main/img/P_027-Pst-19.png</v>
      </c>
    </row>
    <row r="65" spans="1:9" x14ac:dyDescent="0.3">
      <c r="A65" t="s">
        <v>73</v>
      </c>
      <c r="B65" t="s">
        <v>15</v>
      </c>
      <c r="C65" t="s">
        <v>12</v>
      </c>
      <c r="D65" t="s">
        <v>767</v>
      </c>
      <c r="E65" t="str">
        <f t="shared" si="0"/>
        <v>P_027</v>
      </c>
      <c r="F65" t="str">
        <f t="shared" si="1"/>
        <v>Pre</v>
      </c>
      <c r="G65" t="str">
        <f t="shared" si="2"/>
        <v>03</v>
      </c>
      <c r="H65" t="str">
        <f t="shared" si="3"/>
        <v>P_027-Pre-03.png</v>
      </c>
      <c r="I65" t="str">
        <f t="shared" si="4"/>
        <v>https://raw.githubusercontent.com/epz0/bridgespace/main/img/P_027-Pre-03.png</v>
      </c>
    </row>
    <row r="66" spans="1:9" x14ac:dyDescent="0.3">
      <c r="A66" t="s">
        <v>73</v>
      </c>
      <c r="B66" t="s">
        <v>23</v>
      </c>
      <c r="C66" t="s">
        <v>12</v>
      </c>
      <c r="D66" t="s">
        <v>768</v>
      </c>
      <c r="E66" t="str">
        <f t="shared" si="0"/>
        <v>P_027</v>
      </c>
      <c r="F66" t="str">
        <f t="shared" si="1"/>
        <v>Pre</v>
      </c>
      <c r="G66" t="str">
        <f t="shared" si="2"/>
        <v>10</v>
      </c>
      <c r="H66" t="str">
        <f t="shared" si="3"/>
        <v>P_027-Pre-10.png</v>
      </c>
      <c r="I66" t="str">
        <f t="shared" si="4"/>
        <v>https://raw.githubusercontent.com/epz0/bridgespace/main/img/P_027-Pre-10.png</v>
      </c>
    </row>
    <row r="67" spans="1:9" x14ac:dyDescent="0.3">
      <c r="A67" t="s">
        <v>73</v>
      </c>
      <c r="B67" t="s">
        <v>14</v>
      </c>
      <c r="C67" t="s">
        <v>12</v>
      </c>
      <c r="D67" t="s">
        <v>769</v>
      </c>
      <c r="E67" t="str">
        <f t="shared" ref="E67:E130" si="5">VLOOKUP(A67,$N$3:$O$42,2,0)</f>
        <v>P_027</v>
      </c>
      <c r="F67" t="str">
        <f t="shared" ref="F67:F130" si="6">VLOOKUP(C67,$Q$2:$R$3,2,0)</f>
        <v>Pre</v>
      </c>
      <c r="G67" t="str">
        <f t="shared" ref="G67:G130" si="7">VLOOKUP(B67,$K$2:$L$33,2,0)</f>
        <v>02</v>
      </c>
      <c r="H67" t="str">
        <f t="shared" ref="H67:H130" si="8">E67&amp;"-"&amp;F67&amp;"-"&amp;G67&amp;".png"</f>
        <v>P_027-Pre-02.png</v>
      </c>
      <c r="I67" t="str">
        <f t="shared" ref="I67:I130" si="9">"https://raw.githubusercontent.com/epz0/bridgespace/main/img/"&amp;H67</f>
        <v>https://raw.githubusercontent.com/epz0/bridgespace/main/img/P_027-Pre-02.png</v>
      </c>
    </row>
    <row r="68" spans="1:9" x14ac:dyDescent="0.3">
      <c r="A68" t="s">
        <v>73</v>
      </c>
      <c r="B68" t="s">
        <v>11</v>
      </c>
      <c r="C68" t="s">
        <v>12</v>
      </c>
      <c r="D68" t="s">
        <v>770</v>
      </c>
      <c r="E68" t="str">
        <f t="shared" si="5"/>
        <v>P_027</v>
      </c>
      <c r="F68" t="str">
        <f t="shared" si="6"/>
        <v>Pre</v>
      </c>
      <c r="G68" t="str">
        <f t="shared" si="7"/>
        <v>01</v>
      </c>
      <c r="H68" t="str">
        <f t="shared" si="8"/>
        <v>P_027-Pre-01.png</v>
      </c>
      <c r="I68" t="str">
        <f t="shared" si="9"/>
        <v>https://raw.githubusercontent.com/epz0/bridgespace/main/img/P_027-Pre-01.png</v>
      </c>
    </row>
    <row r="69" spans="1:9" x14ac:dyDescent="0.3">
      <c r="A69" t="s">
        <v>73</v>
      </c>
      <c r="B69" t="s">
        <v>21</v>
      </c>
      <c r="C69" t="s">
        <v>12</v>
      </c>
      <c r="D69" t="s">
        <v>771</v>
      </c>
      <c r="E69" t="str">
        <f t="shared" si="5"/>
        <v>P_027</v>
      </c>
      <c r="F69" t="str">
        <f t="shared" si="6"/>
        <v>Pre</v>
      </c>
      <c r="G69" t="str">
        <f t="shared" si="7"/>
        <v>08</v>
      </c>
      <c r="H69" t="str">
        <f t="shared" si="8"/>
        <v>P_027-Pre-08.png</v>
      </c>
      <c r="I69" t="str">
        <f t="shared" si="9"/>
        <v>https://raw.githubusercontent.com/epz0/bridgespace/main/img/P_027-Pre-08.png</v>
      </c>
    </row>
    <row r="70" spans="1:9" x14ac:dyDescent="0.3">
      <c r="A70" t="s">
        <v>73</v>
      </c>
      <c r="B70" t="s">
        <v>17</v>
      </c>
      <c r="C70" t="s">
        <v>12</v>
      </c>
      <c r="D70" t="s">
        <v>772</v>
      </c>
      <c r="E70" t="str">
        <f t="shared" si="5"/>
        <v>P_027</v>
      </c>
      <c r="F70" t="str">
        <f t="shared" si="6"/>
        <v>Pre</v>
      </c>
      <c r="G70" t="str">
        <f t="shared" si="7"/>
        <v>05</v>
      </c>
      <c r="H70" t="str">
        <f t="shared" si="8"/>
        <v>P_027-Pre-05.png</v>
      </c>
      <c r="I70" t="str">
        <f t="shared" si="9"/>
        <v>https://raw.githubusercontent.com/epz0/bridgespace/main/img/P_027-Pre-05.png</v>
      </c>
    </row>
    <row r="71" spans="1:9" x14ac:dyDescent="0.3">
      <c r="A71" t="s">
        <v>73</v>
      </c>
      <c r="B71" t="s">
        <v>16</v>
      </c>
      <c r="C71" t="s">
        <v>12</v>
      </c>
      <c r="D71" t="s">
        <v>773</v>
      </c>
      <c r="E71" t="str">
        <f t="shared" si="5"/>
        <v>P_027</v>
      </c>
      <c r="F71" t="str">
        <f t="shared" si="6"/>
        <v>Pre</v>
      </c>
      <c r="G71" t="str">
        <f t="shared" si="7"/>
        <v>04</v>
      </c>
      <c r="H71" t="str">
        <f t="shared" si="8"/>
        <v>P_027-Pre-04.png</v>
      </c>
      <c r="I71" t="str">
        <f t="shared" si="9"/>
        <v>https://raw.githubusercontent.com/epz0/bridgespace/main/img/P_027-Pre-04.png</v>
      </c>
    </row>
    <row r="72" spans="1:9" x14ac:dyDescent="0.3">
      <c r="A72" t="s">
        <v>73</v>
      </c>
      <c r="B72" t="s">
        <v>20</v>
      </c>
      <c r="C72" t="s">
        <v>12</v>
      </c>
      <c r="D72" t="s">
        <v>774</v>
      </c>
      <c r="E72" t="str">
        <f t="shared" si="5"/>
        <v>P_027</v>
      </c>
      <c r="F72" t="str">
        <f t="shared" si="6"/>
        <v>Pre</v>
      </c>
      <c r="G72" t="str">
        <f t="shared" si="7"/>
        <v>07</v>
      </c>
      <c r="H72" t="str">
        <f t="shared" si="8"/>
        <v>P_027-Pre-07.png</v>
      </c>
      <c r="I72" t="str">
        <f t="shared" si="9"/>
        <v>https://raw.githubusercontent.com/epz0/bridgespace/main/img/P_027-Pre-07.png</v>
      </c>
    </row>
    <row r="73" spans="1:9" x14ac:dyDescent="0.3">
      <c r="A73" t="s">
        <v>73</v>
      </c>
      <c r="B73" t="s">
        <v>22</v>
      </c>
      <c r="C73" t="s">
        <v>12</v>
      </c>
      <c r="D73" t="s">
        <v>775</v>
      </c>
      <c r="E73" t="str">
        <f t="shared" si="5"/>
        <v>P_027</v>
      </c>
      <c r="F73" t="str">
        <f t="shared" si="6"/>
        <v>Pre</v>
      </c>
      <c r="G73" t="str">
        <f t="shared" si="7"/>
        <v>09</v>
      </c>
      <c r="H73" t="str">
        <f t="shared" si="8"/>
        <v>P_027-Pre-09.png</v>
      </c>
      <c r="I73" t="str">
        <f t="shared" si="9"/>
        <v>https://raw.githubusercontent.com/epz0/bridgespace/main/img/P_027-Pre-09.png</v>
      </c>
    </row>
    <row r="74" spans="1:9" x14ac:dyDescent="0.3">
      <c r="A74" t="s">
        <v>73</v>
      </c>
      <c r="B74" t="s">
        <v>25</v>
      </c>
      <c r="C74" t="s">
        <v>29</v>
      </c>
      <c r="D74" t="s">
        <v>776</v>
      </c>
      <c r="E74" t="str">
        <f t="shared" si="5"/>
        <v>P_027</v>
      </c>
      <c r="F74" t="str">
        <f t="shared" si="6"/>
        <v>Pst</v>
      </c>
      <c r="G74" t="str">
        <f t="shared" si="7"/>
        <v>12</v>
      </c>
      <c r="H74" t="str">
        <f t="shared" si="8"/>
        <v>P_027-Pst-12.png</v>
      </c>
      <c r="I74" t="str">
        <f t="shared" si="9"/>
        <v>https://raw.githubusercontent.com/epz0/bridgespace/main/img/P_027-Pst-12.png</v>
      </c>
    </row>
    <row r="75" spans="1:9" x14ac:dyDescent="0.3">
      <c r="A75" t="s">
        <v>73</v>
      </c>
      <c r="B75" t="s">
        <v>24</v>
      </c>
      <c r="C75" t="s">
        <v>29</v>
      </c>
      <c r="D75" t="s">
        <v>777</v>
      </c>
      <c r="E75" t="str">
        <f t="shared" si="5"/>
        <v>P_027</v>
      </c>
      <c r="F75" t="str">
        <f t="shared" si="6"/>
        <v>Pst</v>
      </c>
      <c r="G75" t="str">
        <f t="shared" si="7"/>
        <v>11</v>
      </c>
      <c r="H75" t="str">
        <f t="shared" si="8"/>
        <v>P_027-Pst-11.png</v>
      </c>
      <c r="I75" t="str">
        <f t="shared" si="9"/>
        <v>https://raw.githubusercontent.com/epz0/bridgespace/main/img/P_027-Pst-11.png</v>
      </c>
    </row>
    <row r="76" spans="1:9" x14ac:dyDescent="0.3">
      <c r="A76" t="s">
        <v>73</v>
      </c>
      <c r="B76" t="s">
        <v>32</v>
      </c>
      <c r="C76" t="s">
        <v>29</v>
      </c>
      <c r="D76" t="s">
        <v>778</v>
      </c>
      <c r="E76" t="str">
        <f t="shared" si="5"/>
        <v>P_027</v>
      </c>
      <c r="F76" t="str">
        <f t="shared" si="6"/>
        <v>Pst</v>
      </c>
      <c r="G76" t="str">
        <f t="shared" si="7"/>
        <v>18</v>
      </c>
      <c r="H76" t="str">
        <f t="shared" si="8"/>
        <v>P_027-Pst-18.png</v>
      </c>
      <c r="I76" t="str">
        <f t="shared" si="9"/>
        <v>https://raw.githubusercontent.com/epz0/bridgespace/main/img/P_027-Pst-18.png</v>
      </c>
    </row>
    <row r="77" spans="1:9" x14ac:dyDescent="0.3">
      <c r="A77" t="s">
        <v>73</v>
      </c>
      <c r="B77" t="s">
        <v>30</v>
      </c>
      <c r="C77" t="s">
        <v>29</v>
      </c>
      <c r="D77" t="s">
        <v>779</v>
      </c>
      <c r="E77" t="str">
        <f t="shared" si="5"/>
        <v>P_027</v>
      </c>
      <c r="F77" t="str">
        <f t="shared" si="6"/>
        <v>Pst</v>
      </c>
      <c r="G77" t="str">
        <f t="shared" si="7"/>
        <v>16</v>
      </c>
      <c r="H77" t="str">
        <f t="shared" si="8"/>
        <v>P_027-Pst-16.png</v>
      </c>
      <c r="I77" t="str">
        <f t="shared" si="9"/>
        <v>https://raw.githubusercontent.com/epz0/bridgespace/main/img/P_027-Pst-16.png</v>
      </c>
    </row>
    <row r="78" spans="1:9" x14ac:dyDescent="0.3">
      <c r="A78" t="s">
        <v>73</v>
      </c>
      <c r="B78" t="s">
        <v>34</v>
      </c>
      <c r="C78" t="s">
        <v>29</v>
      </c>
      <c r="D78" t="s">
        <v>780</v>
      </c>
      <c r="E78" t="str">
        <f t="shared" si="5"/>
        <v>P_027</v>
      </c>
      <c r="F78" t="str">
        <f t="shared" si="6"/>
        <v>Pst</v>
      </c>
      <c r="G78" t="str">
        <f t="shared" si="7"/>
        <v>20</v>
      </c>
      <c r="H78" t="str">
        <f t="shared" si="8"/>
        <v>P_027-Pst-20.png</v>
      </c>
      <c r="I78" t="str">
        <f t="shared" si="9"/>
        <v>https://raw.githubusercontent.com/epz0/bridgespace/main/img/P_027-Pst-20.png</v>
      </c>
    </row>
    <row r="79" spans="1:9" x14ac:dyDescent="0.3">
      <c r="A79" t="s">
        <v>73</v>
      </c>
      <c r="B79" t="s">
        <v>26</v>
      </c>
      <c r="C79" t="s">
        <v>29</v>
      </c>
      <c r="D79" t="s">
        <v>781</v>
      </c>
      <c r="E79" t="str">
        <f t="shared" si="5"/>
        <v>P_027</v>
      </c>
      <c r="F79" t="str">
        <f t="shared" si="6"/>
        <v>Pst</v>
      </c>
      <c r="G79" t="str">
        <f t="shared" si="7"/>
        <v>13</v>
      </c>
      <c r="H79" t="str">
        <f t="shared" si="8"/>
        <v>P_027-Pst-13.png</v>
      </c>
      <c r="I79" t="str">
        <f t="shared" si="9"/>
        <v>https://raw.githubusercontent.com/epz0/bridgespace/main/img/P_027-Pst-13.png</v>
      </c>
    </row>
    <row r="80" spans="1:9" x14ac:dyDescent="0.3">
      <c r="A80" t="s">
        <v>73</v>
      </c>
      <c r="B80" t="s">
        <v>31</v>
      </c>
      <c r="C80" t="s">
        <v>29</v>
      </c>
      <c r="D80" t="s">
        <v>782</v>
      </c>
      <c r="E80" t="str">
        <f t="shared" si="5"/>
        <v>P_027</v>
      </c>
      <c r="F80" t="str">
        <f t="shared" si="6"/>
        <v>Pst</v>
      </c>
      <c r="G80" t="str">
        <f t="shared" si="7"/>
        <v>17</v>
      </c>
      <c r="H80" t="str">
        <f t="shared" si="8"/>
        <v>P_027-Pst-17.png</v>
      </c>
      <c r="I80" t="str">
        <f t="shared" si="9"/>
        <v>https://raw.githubusercontent.com/epz0/bridgespace/main/img/P_027-Pst-17.png</v>
      </c>
    </row>
    <row r="81" spans="1:9" x14ac:dyDescent="0.3">
      <c r="A81" t="s">
        <v>73</v>
      </c>
      <c r="B81" t="s">
        <v>27</v>
      </c>
      <c r="C81" t="s">
        <v>29</v>
      </c>
      <c r="D81" t="s">
        <v>783</v>
      </c>
      <c r="E81" t="str">
        <f t="shared" si="5"/>
        <v>P_027</v>
      </c>
      <c r="F81" t="str">
        <f t="shared" si="6"/>
        <v>Pst</v>
      </c>
      <c r="G81" t="str">
        <f t="shared" si="7"/>
        <v>14</v>
      </c>
      <c r="H81" t="str">
        <f t="shared" si="8"/>
        <v>P_027-Pst-14.png</v>
      </c>
      <c r="I81" t="str">
        <f t="shared" si="9"/>
        <v>https://raw.githubusercontent.com/epz0/bridgespace/main/img/P_027-Pst-14.png</v>
      </c>
    </row>
    <row r="82" spans="1:9" x14ac:dyDescent="0.3">
      <c r="A82" t="s">
        <v>73</v>
      </c>
      <c r="B82" t="s">
        <v>28</v>
      </c>
      <c r="C82" t="s">
        <v>29</v>
      </c>
      <c r="D82" t="s">
        <v>784</v>
      </c>
      <c r="E82" t="str">
        <f t="shared" si="5"/>
        <v>P_027</v>
      </c>
      <c r="F82" t="str">
        <f t="shared" si="6"/>
        <v>Pst</v>
      </c>
      <c r="G82" t="str">
        <f t="shared" si="7"/>
        <v>15</v>
      </c>
      <c r="H82" t="str">
        <f t="shared" si="8"/>
        <v>P_027-Pst-15.png</v>
      </c>
      <c r="I82" t="str">
        <f t="shared" si="9"/>
        <v>https://raw.githubusercontent.com/epz0/bridgespace/main/img/P_027-Pst-15.png</v>
      </c>
    </row>
    <row r="83" spans="1:9" x14ac:dyDescent="0.3">
      <c r="A83" t="s">
        <v>73</v>
      </c>
      <c r="B83" t="s">
        <v>35</v>
      </c>
      <c r="C83" t="s">
        <v>29</v>
      </c>
      <c r="D83" t="s">
        <v>785</v>
      </c>
      <c r="E83" t="str">
        <f t="shared" si="5"/>
        <v>P_027</v>
      </c>
      <c r="F83" t="str">
        <f t="shared" si="6"/>
        <v>Pst</v>
      </c>
      <c r="G83" t="str">
        <f t="shared" si="7"/>
        <v>21</v>
      </c>
      <c r="H83" t="str">
        <f t="shared" si="8"/>
        <v>P_027-Pst-21.png</v>
      </c>
      <c r="I83" t="str">
        <f t="shared" si="9"/>
        <v>https://raw.githubusercontent.com/epz0/bridgespace/main/img/P_027-Pst-21.png</v>
      </c>
    </row>
    <row r="84" spans="1:9" x14ac:dyDescent="0.3">
      <c r="A84" t="s">
        <v>46</v>
      </c>
      <c r="B84" t="s">
        <v>15</v>
      </c>
      <c r="C84" t="s">
        <v>12</v>
      </c>
      <c r="D84" t="s">
        <v>786</v>
      </c>
      <c r="E84" t="str">
        <f t="shared" si="5"/>
        <v>P_003</v>
      </c>
      <c r="F84" t="str">
        <f t="shared" si="6"/>
        <v>Pre</v>
      </c>
      <c r="G84" t="str">
        <f t="shared" si="7"/>
        <v>03</v>
      </c>
      <c r="H84" t="str">
        <f t="shared" si="8"/>
        <v>P_003-Pre-03.png</v>
      </c>
      <c r="I84" t="str">
        <f t="shared" si="9"/>
        <v>https://raw.githubusercontent.com/epz0/bridgespace/main/img/P_003-Pre-03.png</v>
      </c>
    </row>
    <row r="85" spans="1:9" x14ac:dyDescent="0.3">
      <c r="A85" t="s">
        <v>46</v>
      </c>
      <c r="B85" t="s">
        <v>14</v>
      </c>
      <c r="C85" t="s">
        <v>12</v>
      </c>
      <c r="D85" t="s">
        <v>787</v>
      </c>
      <c r="E85" t="str">
        <f t="shared" si="5"/>
        <v>P_003</v>
      </c>
      <c r="F85" t="str">
        <f t="shared" si="6"/>
        <v>Pre</v>
      </c>
      <c r="G85" t="str">
        <f t="shared" si="7"/>
        <v>02</v>
      </c>
      <c r="H85" t="str">
        <f t="shared" si="8"/>
        <v>P_003-Pre-02.png</v>
      </c>
      <c r="I85" t="str">
        <f t="shared" si="9"/>
        <v>https://raw.githubusercontent.com/epz0/bridgespace/main/img/P_003-Pre-02.png</v>
      </c>
    </row>
    <row r="86" spans="1:9" x14ac:dyDescent="0.3">
      <c r="A86" t="s">
        <v>46</v>
      </c>
      <c r="B86" t="s">
        <v>11</v>
      </c>
      <c r="C86" t="s">
        <v>12</v>
      </c>
      <c r="D86" t="s">
        <v>788</v>
      </c>
      <c r="E86" t="str">
        <f t="shared" si="5"/>
        <v>P_003</v>
      </c>
      <c r="F86" t="str">
        <f t="shared" si="6"/>
        <v>Pre</v>
      </c>
      <c r="G86" t="str">
        <f t="shared" si="7"/>
        <v>01</v>
      </c>
      <c r="H86" t="str">
        <f t="shared" si="8"/>
        <v>P_003-Pre-01.png</v>
      </c>
      <c r="I86" t="str">
        <f t="shared" si="9"/>
        <v>https://raw.githubusercontent.com/epz0/bridgespace/main/img/P_003-Pre-01.png</v>
      </c>
    </row>
    <row r="87" spans="1:9" x14ac:dyDescent="0.3">
      <c r="A87" t="s">
        <v>46</v>
      </c>
      <c r="B87" t="s">
        <v>19</v>
      </c>
      <c r="C87" t="s">
        <v>12</v>
      </c>
      <c r="D87" t="s">
        <v>789</v>
      </c>
      <c r="E87" t="str">
        <f t="shared" si="5"/>
        <v>P_003</v>
      </c>
      <c r="F87" t="str">
        <f t="shared" si="6"/>
        <v>Pre</v>
      </c>
      <c r="G87" t="str">
        <f t="shared" si="7"/>
        <v>06</v>
      </c>
      <c r="H87" t="str">
        <f t="shared" si="8"/>
        <v>P_003-Pre-06.png</v>
      </c>
      <c r="I87" t="str">
        <f t="shared" si="9"/>
        <v>https://raw.githubusercontent.com/epz0/bridgespace/main/img/P_003-Pre-06.png</v>
      </c>
    </row>
    <row r="88" spans="1:9" x14ac:dyDescent="0.3">
      <c r="A88" t="s">
        <v>46</v>
      </c>
      <c r="B88" t="s">
        <v>17</v>
      </c>
      <c r="C88" t="s">
        <v>12</v>
      </c>
      <c r="D88" t="s">
        <v>790</v>
      </c>
      <c r="E88" t="str">
        <f t="shared" si="5"/>
        <v>P_003</v>
      </c>
      <c r="F88" t="str">
        <f t="shared" si="6"/>
        <v>Pre</v>
      </c>
      <c r="G88" t="str">
        <f t="shared" si="7"/>
        <v>05</v>
      </c>
      <c r="H88" t="str">
        <f t="shared" si="8"/>
        <v>P_003-Pre-05.png</v>
      </c>
      <c r="I88" t="str">
        <f t="shared" si="9"/>
        <v>https://raw.githubusercontent.com/epz0/bridgespace/main/img/P_003-Pre-05.png</v>
      </c>
    </row>
    <row r="89" spans="1:9" x14ac:dyDescent="0.3">
      <c r="A89" t="s">
        <v>46</v>
      </c>
      <c r="B89" t="s">
        <v>16</v>
      </c>
      <c r="C89" t="s">
        <v>12</v>
      </c>
      <c r="D89" t="s">
        <v>791</v>
      </c>
      <c r="E89" t="str">
        <f t="shared" si="5"/>
        <v>P_003</v>
      </c>
      <c r="F89" t="str">
        <f t="shared" si="6"/>
        <v>Pre</v>
      </c>
      <c r="G89" t="str">
        <f t="shared" si="7"/>
        <v>04</v>
      </c>
      <c r="H89" t="str">
        <f t="shared" si="8"/>
        <v>P_003-Pre-04.png</v>
      </c>
      <c r="I89" t="str">
        <f t="shared" si="9"/>
        <v>https://raw.githubusercontent.com/epz0/bridgespace/main/img/P_003-Pre-04.png</v>
      </c>
    </row>
    <row r="90" spans="1:9" x14ac:dyDescent="0.3">
      <c r="A90" t="s">
        <v>46</v>
      </c>
      <c r="B90" t="s">
        <v>20</v>
      </c>
      <c r="C90" t="s">
        <v>12</v>
      </c>
      <c r="D90" t="s">
        <v>792</v>
      </c>
      <c r="E90" t="str">
        <f t="shared" si="5"/>
        <v>P_003</v>
      </c>
      <c r="F90" t="str">
        <f t="shared" si="6"/>
        <v>Pre</v>
      </c>
      <c r="G90" t="str">
        <f t="shared" si="7"/>
        <v>07</v>
      </c>
      <c r="H90" t="str">
        <f t="shared" si="8"/>
        <v>P_003-Pre-07.png</v>
      </c>
      <c r="I90" t="str">
        <f t="shared" si="9"/>
        <v>https://raw.githubusercontent.com/epz0/bridgespace/main/img/P_003-Pre-07.png</v>
      </c>
    </row>
    <row r="91" spans="1:9" x14ac:dyDescent="0.3">
      <c r="A91" t="s">
        <v>46</v>
      </c>
      <c r="B91" t="s">
        <v>23</v>
      </c>
      <c r="C91" t="s">
        <v>29</v>
      </c>
      <c r="D91" t="s">
        <v>793</v>
      </c>
      <c r="E91" t="str">
        <f t="shared" si="5"/>
        <v>P_003</v>
      </c>
      <c r="F91" t="str">
        <f t="shared" si="6"/>
        <v>Pst</v>
      </c>
      <c r="G91" t="str">
        <f t="shared" si="7"/>
        <v>10</v>
      </c>
      <c r="H91" t="str">
        <f t="shared" si="8"/>
        <v>P_003-Pst-10.png</v>
      </c>
      <c r="I91" t="str">
        <f t="shared" si="9"/>
        <v>https://raw.githubusercontent.com/epz0/bridgespace/main/img/P_003-Pst-10.png</v>
      </c>
    </row>
    <row r="92" spans="1:9" x14ac:dyDescent="0.3">
      <c r="A92" t="s">
        <v>46</v>
      </c>
      <c r="B92" t="s">
        <v>25</v>
      </c>
      <c r="C92" t="s">
        <v>29</v>
      </c>
      <c r="D92" t="s">
        <v>794</v>
      </c>
      <c r="E92" t="str">
        <f t="shared" si="5"/>
        <v>P_003</v>
      </c>
      <c r="F92" t="str">
        <f t="shared" si="6"/>
        <v>Pst</v>
      </c>
      <c r="G92" t="str">
        <f t="shared" si="7"/>
        <v>12</v>
      </c>
      <c r="H92" t="str">
        <f t="shared" si="8"/>
        <v>P_003-Pst-12.png</v>
      </c>
      <c r="I92" t="str">
        <f t="shared" si="9"/>
        <v>https://raw.githubusercontent.com/epz0/bridgespace/main/img/P_003-Pst-12.png</v>
      </c>
    </row>
    <row r="93" spans="1:9" x14ac:dyDescent="0.3">
      <c r="A93" t="s">
        <v>46</v>
      </c>
      <c r="B93" t="s">
        <v>24</v>
      </c>
      <c r="C93" t="s">
        <v>29</v>
      </c>
      <c r="D93" t="s">
        <v>795</v>
      </c>
      <c r="E93" t="str">
        <f t="shared" si="5"/>
        <v>P_003</v>
      </c>
      <c r="F93" t="str">
        <f t="shared" si="6"/>
        <v>Pst</v>
      </c>
      <c r="G93" t="str">
        <f t="shared" si="7"/>
        <v>11</v>
      </c>
      <c r="H93" t="str">
        <f t="shared" si="8"/>
        <v>P_003-Pst-11.png</v>
      </c>
      <c r="I93" t="str">
        <f t="shared" si="9"/>
        <v>https://raw.githubusercontent.com/epz0/bridgespace/main/img/P_003-Pst-11.png</v>
      </c>
    </row>
    <row r="94" spans="1:9" x14ac:dyDescent="0.3">
      <c r="A94" t="s">
        <v>46</v>
      </c>
      <c r="B94" t="s">
        <v>21</v>
      </c>
      <c r="C94" t="s">
        <v>29</v>
      </c>
      <c r="D94" t="s">
        <v>796</v>
      </c>
      <c r="E94" t="str">
        <f t="shared" si="5"/>
        <v>P_003</v>
      </c>
      <c r="F94" t="str">
        <f t="shared" si="6"/>
        <v>Pst</v>
      </c>
      <c r="G94" t="str">
        <f t="shared" si="7"/>
        <v>08</v>
      </c>
      <c r="H94" t="str">
        <f t="shared" si="8"/>
        <v>P_003-Pst-08.png</v>
      </c>
      <c r="I94" t="str">
        <f t="shared" si="9"/>
        <v>https://raw.githubusercontent.com/epz0/bridgespace/main/img/P_003-Pst-08.png</v>
      </c>
    </row>
    <row r="95" spans="1:9" x14ac:dyDescent="0.3">
      <c r="A95" t="s">
        <v>46</v>
      </c>
      <c r="B95" t="s">
        <v>30</v>
      </c>
      <c r="C95" t="s">
        <v>29</v>
      </c>
      <c r="D95" t="s">
        <v>797</v>
      </c>
      <c r="E95" t="str">
        <f t="shared" si="5"/>
        <v>P_003</v>
      </c>
      <c r="F95" t="str">
        <f t="shared" si="6"/>
        <v>Pst</v>
      </c>
      <c r="G95" t="str">
        <f t="shared" si="7"/>
        <v>16</v>
      </c>
      <c r="H95" t="str">
        <f t="shared" si="8"/>
        <v>P_003-Pst-16.png</v>
      </c>
      <c r="I95" t="str">
        <f t="shared" si="9"/>
        <v>https://raw.githubusercontent.com/epz0/bridgespace/main/img/P_003-Pst-16.png</v>
      </c>
    </row>
    <row r="96" spans="1:9" x14ac:dyDescent="0.3">
      <c r="A96" t="s">
        <v>46</v>
      </c>
      <c r="B96" t="s">
        <v>26</v>
      </c>
      <c r="C96" t="s">
        <v>29</v>
      </c>
      <c r="D96" t="s">
        <v>798</v>
      </c>
      <c r="E96" t="str">
        <f t="shared" si="5"/>
        <v>P_003</v>
      </c>
      <c r="F96" t="str">
        <f t="shared" si="6"/>
        <v>Pst</v>
      </c>
      <c r="G96" t="str">
        <f t="shared" si="7"/>
        <v>13</v>
      </c>
      <c r="H96" t="str">
        <f t="shared" si="8"/>
        <v>P_003-Pst-13.png</v>
      </c>
      <c r="I96" t="str">
        <f t="shared" si="9"/>
        <v>https://raw.githubusercontent.com/epz0/bridgespace/main/img/P_003-Pst-13.png</v>
      </c>
    </row>
    <row r="97" spans="1:9" x14ac:dyDescent="0.3">
      <c r="A97" t="s">
        <v>46</v>
      </c>
      <c r="B97" t="s">
        <v>22</v>
      </c>
      <c r="C97" t="s">
        <v>29</v>
      </c>
      <c r="D97" t="s">
        <v>799</v>
      </c>
      <c r="E97" t="str">
        <f t="shared" si="5"/>
        <v>P_003</v>
      </c>
      <c r="F97" t="str">
        <f t="shared" si="6"/>
        <v>Pst</v>
      </c>
      <c r="G97" t="str">
        <f t="shared" si="7"/>
        <v>09</v>
      </c>
      <c r="H97" t="str">
        <f t="shared" si="8"/>
        <v>P_003-Pst-09.png</v>
      </c>
      <c r="I97" t="str">
        <f t="shared" si="9"/>
        <v>https://raw.githubusercontent.com/epz0/bridgespace/main/img/P_003-Pst-09.png</v>
      </c>
    </row>
    <row r="98" spans="1:9" x14ac:dyDescent="0.3">
      <c r="A98" t="s">
        <v>46</v>
      </c>
      <c r="B98" t="s">
        <v>27</v>
      </c>
      <c r="C98" t="s">
        <v>29</v>
      </c>
      <c r="D98" t="s">
        <v>800</v>
      </c>
      <c r="E98" t="str">
        <f t="shared" si="5"/>
        <v>P_003</v>
      </c>
      <c r="F98" t="str">
        <f t="shared" si="6"/>
        <v>Pst</v>
      </c>
      <c r="G98" t="str">
        <f t="shared" si="7"/>
        <v>14</v>
      </c>
      <c r="H98" t="str">
        <f t="shared" si="8"/>
        <v>P_003-Pst-14.png</v>
      </c>
      <c r="I98" t="str">
        <f t="shared" si="9"/>
        <v>https://raw.githubusercontent.com/epz0/bridgespace/main/img/P_003-Pst-14.png</v>
      </c>
    </row>
    <row r="99" spans="1:9" x14ac:dyDescent="0.3">
      <c r="A99" t="s">
        <v>46</v>
      </c>
      <c r="B99" t="s">
        <v>28</v>
      </c>
      <c r="C99" t="s">
        <v>29</v>
      </c>
      <c r="D99" t="s">
        <v>801</v>
      </c>
      <c r="E99" t="str">
        <f t="shared" si="5"/>
        <v>P_003</v>
      </c>
      <c r="F99" t="str">
        <f t="shared" si="6"/>
        <v>Pst</v>
      </c>
      <c r="G99" t="str">
        <f t="shared" si="7"/>
        <v>15</v>
      </c>
      <c r="H99" t="str">
        <f t="shared" si="8"/>
        <v>P_003-Pst-15.png</v>
      </c>
      <c r="I99" t="str">
        <f t="shared" si="9"/>
        <v>https://raw.githubusercontent.com/epz0/bridgespace/main/img/P_003-Pst-15.png</v>
      </c>
    </row>
    <row r="100" spans="1:9" x14ac:dyDescent="0.3">
      <c r="A100" s="38" t="s">
        <v>72</v>
      </c>
      <c r="B100" s="38" t="s">
        <v>23</v>
      </c>
      <c r="C100" s="38" t="s">
        <v>29</v>
      </c>
      <c r="D100" s="38" t="s">
        <v>802</v>
      </c>
      <c r="E100" t="str">
        <f t="shared" si="5"/>
        <v>P_026</v>
      </c>
      <c r="F100" t="str">
        <f t="shared" si="6"/>
        <v>Pst</v>
      </c>
      <c r="G100" t="str">
        <f t="shared" si="7"/>
        <v>10</v>
      </c>
      <c r="H100" t="str">
        <f t="shared" si="8"/>
        <v>P_026-Pst-10.png</v>
      </c>
      <c r="I100" t="str">
        <f t="shared" si="9"/>
        <v>https://raw.githubusercontent.com/epz0/bridgespace/main/img/P_026-Pst-10.png</v>
      </c>
    </row>
    <row r="101" spans="1:9" x14ac:dyDescent="0.3">
      <c r="A101" s="38" t="s">
        <v>72</v>
      </c>
      <c r="B101" s="38" t="s">
        <v>25</v>
      </c>
      <c r="C101" s="38" t="s">
        <v>29</v>
      </c>
      <c r="D101" s="38" t="s">
        <v>803</v>
      </c>
      <c r="E101" t="str">
        <f t="shared" si="5"/>
        <v>P_026</v>
      </c>
      <c r="F101" t="str">
        <f t="shared" si="6"/>
        <v>Pst</v>
      </c>
      <c r="G101" t="str">
        <f t="shared" si="7"/>
        <v>12</v>
      </c>
      <c r="H101" t="str">
        <f t="shared" si="8"/>
        <v>P_026-Pst-12.png</v>
      </c>
      <c r="I101" t="str">
        <f t="shared" si="9"/>
        <v>https://raw.githubusercontent.com/epz0/bridgespace/main/img/P_026-Pst-12.png</v>
      </c>
    </row>
    <row r="102" spans="1:9" x14ac:dyDescent="0.3">
      <c r="A102" t="s">
        <v>72</v>
      </c>
      <c r="B102" t="s">
        <v>15</v>
      </c>
      <c r="C102" t="s">
        <v>12</v>
      </c>
      <c r="D102" t="s">
        <v>804</v>
      </c>
      <c r="E102" t="str">
        <f t="shared" si="5"/>
        <v>P_026</v>
      </c>
      <c r="F102" t="str">
        <f t="shared" si="6"/>
        <v>Pre</v>
      </c>
      <c r="G102" t="str">
        <f t="shared" si="7"/>
        <v>03</v>
      </c>
      <c r="H102" t="str">
        <f t="shared" si="8"/>
        <v>P_026-Pre-03.png</v>
      </c>
      <c r="I102" t="str">
        <f t="shared" si="9"/>
        <v>https://raw.githubusercontent.com/epz0/bridgespace/main/img/P_026-Pre-03.png</v>
      </c>
    </row>
    <row r="103" spans="1:9" x14ac:dyDescent="0.3">
      <c r="A103" t="s">
        <v>72</v>
      </c>
      <c r="B103" t="s">
        <v>14</v>
      </c>
      <c r="C103" t="s">
        <v>12</v>
      </c>
      <c r="D103" t="s">
        <v>805</v>
      </c>
      <c r="E103" t="str">
        <f t="shared" si="5"/>
        <v>P_026</v>
      </c>
      <c r="F103" t="str">
        <f t="shared" si="6"/>
        <v>Pre</v>
      </c>
      <c r="G103" t="str">
        <f t="shared" si="7"/>
        <v>02</v>
      </c>
      <c r="H103" t="str">
        <f t="shared" si="8"/>
        <v>P_026-Pre-02.png</v>
      </c>
      <c r="I103" t="str">
        <f t="shared" si="9"/>
        <v>https://raw.githubusercontent.com/epz0/bridgespace/main/img/P_026-Pre-02.png</v>
      </c>
    </row>
    <row r="104" spans="1:9" x14ac:dyDescent="0.3">
      <c r="A104" t="s">
        <v>72</v>
      </c>
      <c r="B104" t="s">
        <v>11</v>
      </c>
      <c r="C104" t="s">
        <v>12</v>
      </c>
      <c r="D104" t="s">
        <v>806</v>
      </c>
      <c r="E104" t="str">
        <f t="shared" si="5"/>
        <v>P_026</v>
      </c>
      <c r="F104" t="str">
        <f t="shared" si="6"/>
        <v>Pre</v>
      </c>
      <c r="G104" t="str">
        <f t="shared" si="7"/>
        <v>01</v>
      </c>
      <c r="H104" t="str">
        <f t="shared" si="8"/>
        <v>P_026-Pre-01.png</v>
      </c>
      <c r="I104" t="str">
        <f t="shared" si="9"/>
        <v>https://raw.githubusercontent.com/epz0/bridgespace/main/img/P_026-Pre-01.png</v>
      </c>
    </row>
    <row r="105" spans="1:9" x14ac:dyDescent="0.3">
      <c r="A105" t="s">
        <v>72</v>
      </c>
      <c r="B105" t="s">
        <v>21</v>
      </c>
      <c r="C105" t="s">
        <v>12</v>
      </c>
      <c r="D105" t="s">
        <v>807</v>
      </c>
      <c r="E105" t="str">
        <f t="shared" si="5"/>
        <v>P_026</v>
      </c>
      <c r="F105" t="str">
        <f t="shared" si="6"/>
        <v>Pre</v>
      </c>
      <c r="G105" t="str">
        <f t="shared" si="7"/>
        <v>08</v>
      </c>
      <c r="H105" t="str">
        <f t="shared" si="8"/>
        <v>P_026-Pre-08.png</v>
      </c>
      <c r="I105" t="str">
        <f t="shared" si="9"/>
        <v>https://raw.githubusercontent.com/epz0/bridgespace/main/img/P_026-Pre-08.png</v>
      </c>
    </row>
    <row r="106" spans="1:9" x14ac:dyDescent="0.3">
      <c r="A106" t="s">
        <v>72</v>
      </c>
      <c r="B106" t="s">
        <v>19</v>
      </c>
      <c r="C106" t="s">
        <v>12</v>
      </c>
      <c r="D106" t="s">
        <v>808</v>
      </c>
      <c r="E106" t="str">
        <f t="shared" si="5"/>
        <v>P_026</v>
      </c>
      <c r="F106" t="str">
        <f t="shared" si="6"/>
        <v>Pre</v>
      </c>
      <c r="G106" t="str">
        <f t="shared" si="7"/>
        <v>06</v>
      </c>
      <c r="H106" t="str">
        <f t="shared" si="8"/>
        <v>P_026-Pre-06.png</v>
      </c>
      <c r="I106" t="str">
        <f t="shared" si="9"/>
        <v>https://raw.githubusercontent.com/epz0/bridgespace/main/img/P_026-Pre-06.png</v>
      </c>
    </row>
    <row r="107" spans="1:9" x14ac:dyDescent="0.3">
      <c r="A107" t="s">
        <v>72</v>
      </c>
      <c r="B107" t="s">
        <v>17</v>
      </c>
      <c r="C107" t="s">
        <v>12</v>
      </c>
      <c r="D107" t="s">
        <v>809</v>
      </c>
      <c r="E107" t="str">
        <f t="shared" si="5"/>
        <v>P_026</v>
      </c>
      <c r="F107" t="str">
        <f t="shared" si="6"/>
        <v>Pre</v>
      </c>
      <c r="G107" t="str">
        <f t="shared" si="7"/>
        <v>05</v>
      </c>
      <c r="H107" t="str">
        <f t="shared" si="8"/>
        <v>P_026-Pre-05.png</v>
      </c>
      <c r="I107" t="str">
        <f t="shared" si="9"/>
        <v>https://raw.githubusercontent.com/epz0/bridgespace/main/img/P_026-Pre-05.png</v>
      </c>
    </row>
    <row r="108" spans="1:9" x14ac:dyDescent="0.3">
      <c r="A108" t="s">
        <v>72</v>
      </c>
      <c r="B108" t="s">
        <v>16</v>
      </c>
      <c r="C108" t="s">
        <v>12</v>
      </c>
      <c r="D108" t="s">
        <v>810</v>
      </c>
      <c r="E108" t="str">
        <f t="shared" si="5"/>
        <v>P_026</v>
      </c>
      <c r="F108" t="str">
        <f t="shared" si="6"/>
        <v>Pre</v>
      </c>
      <c r="G108" t="str">
        <f t="shared" si="7"/>
        <v>04</v>
      </c>
      <c r="H108" t="str">
        <f t="shared" si="8"/>
        <v>P_026-Pre-04.png</v>
      </c>
      <c r="I108" t="str">
        <f t="shared" si="9"/>
        <v>https://raw.githubusercontent.com/epz0/bridgespace/main/img/P_026-Pre-04.png</v>
      </c>
    </row>
    <row r="109" spans="1:9" x14ac:dyDescent="0.3">
      <c r="A109" t="s">
        <v>72</v>
      </c>
      <c r="B109" t="s">
        <v>20</v>
      </c>
      <c r="C109" t="s">
        <v>12</v>
      </c>
      <c r="D109" t="s">
        <v>811</v>
      </c>
      <c r="E109" t="str">
        <f t="shared" si="5"/>
        <v>P_026</v>
      </c>
      <c r="F109" t="str">
        <f t="shared" si="6"/>
        <v>Pre</v>
      </c>
      <c r="G109" t="str">
        <f t="shared" si="7"/>
        <v>07</v>
      </c>
      <c r="H109" t="str">
        <f t="shared" si="8"/>
        <v>P_026-Pre-07.png</v>
      </c>
      <c r="I109" t="str">
        <f t="shared" si="9"/>
        <v>https://raw.githubusercontent.com/epz0/bridgespace/main/img/P_026-Pre-07.png</v>
      </c>
    </row>
    <row r="110" spans="1:9" x14ac:dyDescent="0.3">
      <c r="A110" t="s">
        <v>72</v>
      </c>
      <c r="B110" t="s">
        <v>22</v>
      </c>
      <c r="C110" t="s">
        <v>12</v>
      </c>
      <c r="D110" t="s">
        <v>812</v>
      </c>
      <c r="E110" t="str">
        <f t="shared" si="5"/>
        <v>P_026</v>
      </c>
      <c r="F110" t="str">
        <f t="shared" si="6"/>
        <v>Pre</v>
      </c>
      <c r="G110" t="str">
        <f t="shared" si="7"/>
        <v>09</v>
      </c>
      <c r="H110" t="str">
        <f t="shared" si="8"/>
        <v>P_026-Pre-09.png</v>
      </c>
      <c r="I110" t="str">
        <f t="shared" si="9"/>
        <v>https://raw.githubusercontent.com/epz0/bridgespace/main/img/P_026-Pre-09.png</v>
      </c>
    </row>
    <row r="111" spans="1:9" x14ac:dyDescent="0.3">
      <c r="A111" t="s">
        <v>72</v>
      </c>
      <c r="B111" t="s">
        <v>24</v>
      </c>
      <c r="C111" t="s">
        <v>29</v>
      </c>
      <c r="D111" t="s">
        <v>813</v>
      </c>
      <c r="E111" t="str">
        <f t="shared" si="5"/>
        <v>P_026</v>
      </c>
      <c r="F111" t="str">
        <f t="shared" si="6"/>
        <v>Pst</v>
      </c>
      <c r="G111" t="str">
        <f t="shared" si="7"/>
        <v>11</v>
      </c>
      <c r="H111" t="str">
        <f t="shared" si="8"/>
        <v>P_026-Pst-11.png</v>
      </c>
      <c r="I111" t="str">
        <f t="shared" si="9"/>
        <v>https://raw.githubusercontent.com/epz0/bridgespace/main/img/P_026-Pst-11.png</v>
      </c>
    </row>
    <row r="112" spans="1:9" x14ac:dyDescent="0.3">
      <c r="A112" t="s">
        <v>72</v>
      </c>
      <c r="B112" t="s">
        <v>37</v>
      </c>
      <c r="C112" t="s">
        <v>29</v>
      </c>
      <c r="D112" t="s">
        <v>814</v>
      </c>
      <c r="E112" t="str">
        <f t="shared" si="5"/>
        <v>P_026</v>
      </c>
      <c r="F112" t="str">
        <f t="shared" si="6"/>
        <v>Pst</v>
      </c>
      <c r="G112" t="str">
        <f t="shared" si="7"/>
        <v>23</v>
      </c>
      <c r="H112" t="str">
        <f t="shared" si="8"/>
        <v>P_026-Pst-23.png</v>
      </c>
      <c r="I112" t="str">
        <f t="shared" si="9"/>
        <v>https://raw.githubusercontent.com/epz0/bridgespace/main/img/P_026-Pst-23.png</v>
      </c>
    </row>
    <row r="113" spans="1:9" x14ac:dyDescent="0.3">
      <c r="A113" t="s">
        <v>72</v>
      </c>
      <c r="B113" t="s">
        <v>32</v>
      </c>
      <c r="C113" t="s">
        <v>29</v>
      </c>
      <c r="D113" t="s">
        <v>815</v>
      </c>
      <c r="E113" t="str">
        <f t="shared" si="5"/>
        <v>P_026</v>
      </c>
      <c r="F113" t="str">
        <f t="shared" si="6"/>
        <v>Pst</v>
      </c>
      <c r="G113" t="str">
        <f t="shared" si="7"/>
        <v>18</v>
      </c>
      <c r="H113" t="str">
        <f t="shared" si="8"/>
        <v>P_026-Pst-18.png</v>
      </c>
      <c r="I113" t="str">
        <f t="shared" si="9"/>
        <v>https://raw.githubusercontent.com/epz0/bridgespace/main/img/P_026-Pst-18.png</v>
      </c>
    </row>
    <row r="114" spans="1:9" x14ac:dyDescent="0.3">
      <c r="A114" t="s">
        <v>72</v>
      </c>
      <c r="B114" t="s">
        <v>30</v>
      </c>
      <c r="C114" t="s">
        <v>29</v>
      </c>
      <c r="D114" t="s">
        <v>816</v>
      </c>
      <c r="E114" t="str">
        <f t="shared" si="5"/>
        <v>P_026</v>
      </c>
      <c r="F114" t="str">
        <f t="shared" si="6"/>
        <v>Pst</v>
      </c>
      <c r="G114" t="str">
        <f t="shared" si="7"/>
        <v>16</v>
      </c>
      <c r="H114" t="str">
        <f t="shared" si="8"/>
        <v>P_026-Pst-16.png</v>
      </c>
      <c r="I114" t="str">
        <f t="shared" si="9"/>
        <v>https://raw.githubusercontent.com/epz0/bridgespace/main/img/P_026-Pst-16.png</v>
      </c>
    </row>
    <row r="115" spans="1:9" x14ac:dyDescent="0.3">
      <c r="A115" t="s">
        <v>72</v>
      </c>
      <c r="B115" t="s">
        <v>34</v>
      </c>
      <c r="C115" t="s">
        <v>29</v>
      </c>
      <c r="D115" t="s">
        <v>817</v>
      </c>
      <c r="E115" t="str">
        <f t="shared" si="5"/>
        <v>P_026</v>
      </c>
      <c r="F115" t="str">
        <f t="shared" si="6"/>
        <v>Pst</v>
      </c>
      <c r="G115" t="str">
        <f t="shared" si="7"/>
        <v>20</v>
      </c>
      <c r="H115" t="str">
        <f t="shared" si="8"/>
        <v>P_026-Pst-20.png</v>
      </c>
      <c r="I115" t="str">
        <f t="shared" si="9"/>
        <v>https://raw.githubusercontent.com/epz0/bridgespace/main/img/P_026-Pst-20.png</v>
      </c>
    </row>
    <row r="116" spans="1:9" x14ac:dyDescent="0.3">
      <c r="A116" t="s">
        <v>72</v>
      </c>
      <c r="B116" t="s">
        <v>36</v>
      </c>
      <c r="C116" t="s">
        <v>29</v>
      </c>
      <c r="D116" t="s">
        <v>818</v>
      </c>
      <c r="E116" t="str">
        <f t="shared" si="5"/>
        <v>P_026</v>
      </c>
      <c r="F116" t="str">
        <f t="shared" si="6"/>
        <v>Pst</v>
      </c>
      <c r="G116" t="str">
        <f t="shared" si="7"/>
        <v>22</v>
      </c>
      <c r="H116" t="str">
        <f t="shared" si="8"/>
        <v>P_026-Pst-22.png</v>
      </c>
      <c r="I116" t="str">
        <f t="shared" si="9"/>
        <v>https://raw.githubusercontent.com/epz0/bridgespace/main/img/P_026-Pst-22.png</v>
      </c>
    </row>
    <row r="117" spans="1:9" x14ac:dyDescent="0.3">
      <c r="A117" t="s">
        <v>72</v>
      </c>
      <c r="B117" t="s">
        <v>33</v>
      </c>
      <c r="C117" t="s">
        <v>29</v>
      </c>
      <c r="D117" t="s">
        <v>819</v>
      </c>
      <c r="E117" t="str">
        <f t="shared" si="5"/>
        <v>P_026</v>
      </c>
      <c r="F117" t="str">
        <f t="shared" si="6"/>
        <v>Pst</v>
      </c>
      <c r="G117" t="str">
        <f t="shared" si="7"/>
        <v>19</v>
      </c>
      <c r="H117" t="str">
        <f t="shared" si="8"/>
        <v>P_026-Pst-19.png</v>
      </c>
      <c r="I117" t="str">
        <f t="shared" si="9"/>
        <v>https://raw.githubusercontent.com/epz0/bridgespace/main/img/P_026-Pst-19.png</v>
      </c>
    </row>
    <row r="118" spans="1:9" x14ac:dyDescent="0.3">
      <c r="A118" t="s">
        <v>72</v>
      </c>
      <c r="B118" t="s">
        <v>26</v>
      </c>
      <c r="C118" t="s">
        <v>29</v>
      </c>
      <c r="D118" t="s">
        <v>820</v>
      </c>
      <c r="E118" t="str">
        <f t="shared" si="5"/>
        <v>P_026</v>
      </c>
      <c r="F118" t="str">
        <f t="shared" si="6"/>
        <v>Pst</v>
      </c>
      <c r="G118" t="str">
        <f t="shared" si="7"/>
        <v>13</v>
      </c>
      <c r="H118" t="str">
        <f t="shared" si="8"/>
        <v>P_026-Pst-13.png</v>
      </c>
      <c r="I118" t="str">
        <f t="shared" si="9"/>
        <v>https://raw.githubusercontent.com/epz0/bridgespace/main/img/P_026-Pst-13.png</v>
      </c>
    </row>
    <row r="119" spans="1:9" x14ac:dyDescent="0.3">
      <c r="A119" t="s">
        <v>72</v>
      </c>
      <c r="B119" t="s">
        <v>31</v>
      </c>
      <c r="C119" t="s">
        <v>29</v>
      </c>
      <c r="D119" t="s">
        <v>821</v>
      </c>
      <c r="E119" t="str">
        <f t="shared" si="5"/>
        <v>P_026</v>
      </c>
      <c r="F119" t="str">
        <f t="shared" si="6"/>
        <v>Pst</v>
      </c>
      <c r="G119" t="str">
        <f t="shared" si="7"/>
        <v>17</v>
      </c>
      <c r="H119" t="str">
        <f t="shared" si="8"/>
        <v>P_026-Pst-17.png</v>
      </c>
      <c r="I119" t="str">
        <f t="shared" si="9"/>
        <v>https://raw.githubusercontent.com/epz0/bridgespace/main/img/P_026-Pst-17.png</v>
      </c>
    </row>
    <row r="120" spans="1:9" x14ac:dyDescent="0.3">
      <c r="A120" t="s">
        <v>72</v>
      </c>
      <c r="B120" t="s">
        <v>27</v>
      </c>
      <c r="C120" t="s">
        <v>29</v>
      </c>
      <c r="D120" t="s">
        <v>822</v>
      </c>
      <c r="E120" t="str">
        <f t="shared" si="5"/>
        <v>P_026</v>
      </c>
      <c r="F120" t="str">
        <f t="shared" si="6"/>
        <v>Pst</v>
      </c>
      <c r="G120" t="str">
        <f t="shared" si="7"/>
        <v>14</v>
      </c>
      <c r="H120" t="str">
        <f t="shared" si="8"/>
        <v>P_026-Pst-14.png</v>
      </c>
      <c r="I120" t="str">
        <f t="shared" si="9"/>
        <v>https://raw.githubusercontent.com/epz0/bridgespace/main/img/P_026-Pst-14.png</v>
      </c>
    </row>
    <row r="121" spans="1:9" x14ac:dyDescent="0.3">
      <c r="A121" t="s">
        <v>72</v>
      </c>
      <c r="B121" t="s">
        <v>28</v>
      </c>
      <c r="C121" t="s">
        <v>29</v>
      </c>
      <c r="D121" t="s">
        <v>823</v>
      </c>
      <c r="E121" t="str">
        <f t="shared" si="5"/>
        <v>P_026</v>
      </c>
      <c r="F121" t="str">
        <f t="shared" si="6"/>
        <v>Pst</v>
      </c>
      <c r="G121" t="str">
        <f t="shared" si="7"/>
        <v>15</v>
      </c>
      <c r="H121" t="str">
        <f t="shared" si="8"/>
        <v>P_026-Pst-15.png</v>
      </c>
      <c r="I121" t="str">
        <f t="shared" si="9"/>
        <v>https://raw.githubusercontent.com/epz0/bridgespace/main/img/P_026-Pst-15.png</v>
      </c>
    </row>
    <row r="122" spans="1:9" x14ac:dyDescent="0.3">
      <c r="A122" t="s">
        <v>72</v>
      </c>
      <c r="B122" t="s">
        <v>35</v>
      </c>
      <c r="C122" t="s">
        <v>29</v>
      </c>
      <c r="D122" t="s">
        <v>824</v>
      </c>
      <c r="E122" t="str">
        <f t="shared" si="5"/>
        <v>P_026</v>
      </c>
      <c r="F122" t="str">
        <f t="shared" si="6"/>
        <v>Pst</v>
      </c>
      <c r="G122" t="str">
        <f t="shared" si="7"/>
        <v>21</v>
      </c>
      <c r="H122" t="str">
        <f t="shared" si="8"/>
        <v>P_026-Pst-21.png</v>
      </c>
      <c r="I122" t="str">
        <f t="shared" si="9"/>
        <v>https://raw.githubusercontent.com/epz0/bridgespace/main/img/P_026-Pst-21.png</v>
      </c>
    </row>
    <row r="123" spans="1:9" x14ac:dyDescent="0.3">
      <c r="A123" s="38" t="s">
        <v>10</v>
      </c>
      <c r="B123" s="38" t="s">
        <v>27</v>
      </c>
      <c r="C123" s="38" t="s">
        <v>12</v>
      </c>
      <c r="D123" s="38" t="s">
        <v>825</v>
      </c>
      <c r="E123" t="str">
        <f t="shared" si="5"/>
        <v>P_001</v>
      </c>
      <c r="F123" t="str">
        <f t="shared" si="6"/>
        <v>Pre</v>
      </c>
      <c r="G123" t="str">
        <f t="shared" si="7"/>
        <v>14</v>
      </c>
      <c r="H123" t="str">
        <f t="shared" si="8"/>
        <v>P_001-Pre-14.png</v>
      </c>
      <c r="I123" t="str">
        <f t="shared" si="9"/>
        <v>https://raw.githubusercontent.com/epz0/bridgespace/main/img/P_001-Pre-14.png</v>
      </c>
    </row>
    <row r="124" spans="1:9" x14ac:dyDescent="0.3">
      <c r="A124" t="s">
        <v>10</v>
      </c>
      <c r="B124" t="s">
        <v>15</v>
      </c>
      <c r="C124" t="s">
        <v>12</v>
      </c>
      <c r="D124" t="s">
        <v>826</v>
      </c>
      <c r="E124" t="str">
        <f t="shared" si="5"/>
        <v>P_001</v>
      </c>
      <c r="F124" t="str">
        <f t="shared" si="6"/>
        <v>Pre</v>
      </c>
      <c r="G124" t="str">
        <f t="shared" si="7"/>
        <v>03</v>
      </c>
      <c r="H124" t="str">
        <f t="shared" si="8"/>
        <v>P_001-Pre-03.png</v>
      </c>
      <c r="I124" t="str">
        <f t="shared" si="9"/>
        <v>https://raw.githubusercontent.com/epz0/bridgespace/main/img/P_001-Pre-03.png</v>
      </c>
    </row>
    <row r="125" spans="1:9" x14ac:dyDescent="0.3">
      <c r="A125" t="s">
        <v>10</v>
      </c>
      <c r="B125" t="s">
        <v>23</v>
      </c>
      <c r="C125" t="s">
        <v>12</v>
      </c>
      <c r="D125" t="s">
        <v>827</v>
      </c>
      <c r="E125" t="str">
        <f t="shared" si="5"/>
        <v>P_001</v>
      </c>
      <c r="F125" t="str">
        <f t="shared" si="6"/>
        <v>Pre</v>
      </c>
      <c r="G125" t="str">
        <f t="shared" si="7"/>
        <v>10</v>
      </c>
      <c r="H125" t="str">
        <f t="shared" si="8"/>
        <v>P_001-Pre-10.png</v>
      </c>
      <c r="I125" t="str">
        <f t="shared" si="9"/>
        <v>https://raw.githubusercontent.com/epz0/bridgespace/main/img/P_001-Pre-10.png</v>
      </c>
    </row>
    <row r="126" spans="1:9" x14ac:dyDescent="0.3">
      <c r="A126" t="s">
        <v>10</v>
      </c>
      <c r="B126" t="s">
        <v>14</v>
      </c>
      <c r="C126" t="s">
        <v>12</v>
      </c>
      <c r="D126" t="s">
        <v>828</v>
      </c>
      <c r="E126" t="str">
        <f t="shared" si="5"/>
        <v>P_001</v>
      </c>
      <c r="F126" t="str">
        <f t="shared" si="6"/>
        <v>Pre</v>
      </c>
      <c r="G126" t="str">
        <f t="shared" si="7"/>
        <v>02</v>
      </c>
      <c r="H126" t="str">
        <f t="shared" si="8"/>
        <v>P_001-Pre-02.png</v>
      </c>
      <c r="I126" t="str">
        <f t="shared" si="9"/>
        <v>https://raw.githubusercontent.com/epz0/bridgespace/main/img/P_001-Pre-02.png</v>
      </c>
    </row>
    <row r="127" spans="1:9" x14ac:dyDescent="0.3">
      <c r="A127" t="s">
        <v>10</v>
      </c>
      <c r="B127" t="s">
        <v>25</v>
      </c>
      <c r="C127" t="s">
        <v>12</v>
      </c>
      <c r="D127" t="s">
        <v>829</v>
      </c>
      <c r="E127" t="str">
        <f t="shared" si="5"/>
        <v>P_001</v>
      </c>
      <c r="F127" t="str">
        <f t="shared" si="6"/>
        <v>Pre</v>
      </c>
      <c r="G127" t="str">
        <f t="shared" si="7"/>
        <v>12</v>
      </c>
      <c r="H127" t="str">
        <f t="shared" si="8"/>
        <v>P_001-Pre-12.png</v>
      </c>
      <c r="I127" t="str">
        <f t="shared" si="9"/>
        <v>https://raw.githubusercontent.com/epz0/bridgespace/main/img/P_001-Pre-12.png</v>
      </c>
    </row>
    <row r="128" spans="1:9" x14ac:dyDescent="0.3">
      <c r="A128" t="s">
        <v>10</v>
      </c>
      <c r="B128" t="s">
        <v>11</v>
      </c>
      <c r="C128" t="s">
        <v>12</v>
      </c>
      <c r="D128" t="s">
        <v>830</v>
      </c>
      <c r="E128" t="str">
        <f t="shared" si="5"/>
        <v>P_001</v>
      </c>
      <c r="F128" t="str">
        <f t="shared" si="6"/>
        <v>Pre</v>
      </c>
      <c r="G128" t="str">
        <f t="shared" si="7"/>
        <v>01</v>
      </c>
      <c r="H128" t="str">
        <f t="shared" si="8"/>
        <v>P_001-Pre-01.png</v>
      </c>
      <c r="I128" t="str">
        <f t="shared" si="9"/>
        <v>https://raw.githubusercontent.com/epz0/bridgespace/main/img/P_001-Pre-01.png</v>
      </c>
    </row>
    <row r="129" spans="1:9" x14ac:dyDescent="0.3">
      <c r="A129" t="s">
        <v>10</v>
      </c>
      <c r="B129" t="s">
        <v>24</v>
      </c>
      <c r="C129" t="s">
        <v>12</v>
      </c>
      <c r="D129" t="s">
        <v>831</v>
      </c>
      <c r="E129" t="str">
        <f t="shared" si="5"/>
        <v>P_001</v>
      </c>
      <c r="F129" t="str">
        <f t="shared" si="6"/>
        <v>Pre</v>
      </c>
      <c r="G129" t="str">
        <f t="shared" si="7"/>
        <v>11</v>
      </c>
      <c r="H129" t="str">
        <f t="shared" si="8"/>
        <v>P_001-Pre-11.png</v>
      </c>
      <c r="I129" t="str">
        <f t="shared" si="9"/>
        <v>https://raw.githubusercontent.com/epz0/bridgespace/main/img/P_001-Pre-11.png</v>
      </c>
    </row>
    <row r="130" spans="1:9" x14ac:dyDescent="0.3">
      <c r="A130" t="s">
        <v>10</v>
      </c>
      <c r="B130" t="s">
        <v>21</v>
      </c>
      <c r="C130" t="s">
        <v>12</v>
      </c>
      <c r="D130" t="s">
        <v>832</v>
      </c>
      <c r="E130" t="str">
        <f t="shared" si="5"/>
        <v>P_001</v>
      </c>
      <c r="F130" t="str">
        <f t="shared" si="6"/>
        <v>Pre</v>
      </c>
      <c r="G130" t="str">
        <f t="shared" si="7"/>
        <v>08</v>
      </c>
      <c r="H130" t="str">
        <f t="shared" si="8"/>
        <v>P_001-Pre-08.png</v>
      </c>
      <c r="I130" t="str">
        <f t="shared" si="9"/>
        <v>https://raw.githubusercontent.com/epz0/bridgespace/main/img/P_001-Pre-08.png</v>
      </c>
    </row>
    <row r="131" spans="1:9" x14ac:dyDescent="0.3">
      <c r="A131" t="s">
        <v>10</v>
      </c>
      <c r="B131" t="s">
        <v>19</v>
      </c>
      <c r="C131" t="s">
        <v>12</v>
      </c>
      <c r="D131" t="s">
        <v>833</v>
      </c>
      <c r="E131" t="str">
        <f t="shared" ref="E131:E194" si="10">VLOOKUP(A131,$N$3:$O$42,2,0)</f>
        <v>P_001</v>
      </c>
      <c r="F131" t="str">
        <f t="shared" ref="F131:F194" si="11">VLOOKUP(C131,$Q$2:$R$3,2,0)</f>
        <v>Pre</v>
      </c>
      <c r="G131" t="str">
        <f t="shared" ref="G131:G194" si="12">VLOOKUP(B131,$K$2:$L$33,2,0)</f>
        <v>06</v>
      </c>
      <c r="H131" t="str">
        <f t="shared" ref="H131:H194" si="13">E131&amp;"-"&amp;F131&amp;"-"&amp;G131&amp;".png"</f>
        <v>P_001-Pre-06.png</v>
      </c>
      <c r="I131" t="str">
        <f t="shared" ref="I131:I194" si="14">"https://raw.githubusercontent.com/epz0/bridgespace/main/img/"&amp;H131</f>
        <v>https://raw.githubusercontent.com/epz0/bridgespace/main/img/P_001-Pre-06.png</v>
      </c>
    </row>
    <row r="132" spans="1:9" x14ac:dyDescent="0.3">
      <c r="A132" t="s">
        <v>10</v>
      </c>
      <c r="B132" t="s">
        <v>17</v>
      </c>
      <c r="C132" t="s">
        <v>12</v>
      </c>
      <c r="D132" t="s">
        <v>834</v>
      </c>
      <c r="E132" t="str">
        <f t="shared" si="10"/>
        <v>P_001</v>
      </c>
      <c r="F132" t="str">
        <f t="shared" si="11"/>
        <v>Pre</v>
      </c>
      <c r="G132" t="str">
        <f t="shared" si="12"/>
        <v>05</v>
      </c>
      <c r="H132" t="str">
        <f t="shared" si="13"/>
        <v>P_001-Pre-05.png</v>
      </c>
      <c r="I132" t="str">
        <f t="shared" si="14"/>
        <v>https://raw.githubusercontent.com/epz0/bridgespace/main/img/P_001-Pre-05.png</v>
      </c>
    </row>
    <row r="133" spans="1:9" x14ac:dyDescent="0.3">
      <c r="A133" t="s">
        <v>10</v>
      </c>
      <c r="B133" t="s">
        <v>16</v>
      </c>
      <c r="C133" t="s">
        <v>12</v>
      </c>
      <c r="D133" t="s">
        <v>835</v>
      </c>
      <c r="E133" t="str">
        <f t="shared" si="10"/>
        <v>P_001</v>
      </c>
      <c r="F133" t="str">
        <f t="shared" si="11"/>
        <v>Pre</v>
      </c>
      <c r="G133" t="str">
        <f t="shared" si="12"/>
        <v>04</v>
      </c>
      <c r="H133" t="str">
        <f t="shared" si="13"/>
        <v>P_001-Pre-04.png</v>
      </c>
      <c r="I133" t="str">
        <f t="shared" si="14"/>
        <v>https://raw.githubusercontent.com/epz0/bridgespace/main/img/P_001-Pre-04.png</v>
      </c>
    </row>
    <row r="134" spans="1:9" x14ac:dyDescent="0.3">
      <c r="A134" t="s">
        <v>10</v>
      </c>
      <c r="B134" t="s">
        <v>20</v>
      </c>
      <c r="C134" t="s">
        <v>12</v>
      </c>
      <c r="D134" t="s">
        <v>836</v>
      </c>
      <c r="E134" t="str">
        <f t="shared" si="10"/>
        <v>P_001</v>
      </c>
      <c r="F134" t="str">
        <f t="shared" si="11"/>
        <v>Pre</v>
      </c>
      <c r="G134" t="str">
        <f t="shared" si="12"/>
        <v>07</v>
      </c>
      <c r="H134" t="str">
        <f t="shared" si="13"/>
        <v>P_001-Pre-07.png</v>
      </c>
      <c r="I134" t="str">
        <f t="shared" si="14"/>
        <v>https://raw.githubusercontent.com/epz0/bridgespace/main/img/P_001-Pre-07.png</v>
      </c>
    </row>
    <row r="135" spans="1:9" x14ac:dyDescent="0.3">
      <c r="A135" t="s">
        <v>10</v>
      </c>
      <c r="B135" t="s">
        <v>26</v>
      </c>
      <c r="C135" t="s">
        <v>12</v>
      </c>
      <c r="D135" t="s">
        <v>837</v>
      </c>
      <c r="E135" t="str">
        <f t="shared" si="10"/>
        <v>P_001</v>
      </c>
      <c r="F135" t="str">
        <f t="shared" si="11"/>
        <v>Pre</v>
      </c>
      <c r="G135" t="str">
        <f t="shared" si="12"/>
        <v>13</v>
      </c>
      <c r="H135" t="str">
        <f t="shared" si="13"/>
        <v>P_001-Pre-13.png</v>
      </c>
      <c r="I135" t="str">
        <f t="shared" si="14"/>
        <v>https://raw.githubusercontent.com/epz0/bridgespace/main/img/P_001-Pre-13.png</v>
      </c>
    </row>
    <row r="136" spans="1:9" x14ac:dyDescent="0.3">
      <c r="A136" t="s">
        <v>10</v>
      </c>
      <c r="B136" t="s">
        <v>22</v>
      </c>
      <c r="C136" t="s">
        <v>12</v>
      </c>
      <c r="D136" t="s">
        <v>838</v>
      </c>
      <c r="E136" t="str">
        <f t="shared" si="10"/>
        <v>P_001</v>
      </c>
      <c r="F136" t="str">
        <f t="shared" si="11"/>
        <v>Pre</v>
      </c>
      <c r="G136" t="str">
        <f t="shared" si="12"/>
        <v>09</v>
      </c>
      <c r="H136" t="str">
        <f t="shared" si="13"/>
        <v>P_001-Pre-09.png</v>
      </c>
      <c r="I136" t="str">
        <f t="shared" si="14"/>
        <v>https://raw.githubusercontent.com/epz0/bridgespace/main/img/P_001-Pre-09.png</v>
      </c>
    </row>
    <row r="137" spans="1:9" x14ac:dyDescent="0.3">
      <c r="A137" t="s">
        <v>10</v>
      </c>
      <c r="B137" t="s">
        <v>39</v>
      </c>
      <c r="C137" t="s">
        <v>29</v>
      </c>
      <c r="D137" t="s">
        <v>839</v>
      </c>
      <c r="E137" t="str">
        <f t="shared" si="10"/>
        <v>P_001</v>
      </c>
      <c r="F137" t="str">
        <f t="shared" si="11"/>
        <v>Pst</v>
      </c>
      <c r="G137" t="str">
        <f t="shared" si="12"/>
        <v>25</v>
      </c>
      <c r="H137" t="str">
        <f t="shared" si="13"/>
        <v>P_001-Pst-25.png</v>
      </c>
      <c r="I137" t="str">
        <f t="shared" si="14"/>
        <v>https://raw.githubusercontent.com/epz0/bridgespace/main/img/P_001-Pst-25.png</v>
      </c>
    </row>
    <row r="138" spans="1:9" x14ac:dyDescent="0.3">
      <c r="A138" t="s">
        <v>10</v>
      </c>
      <c r="B138" t="s">
        <v>37</v>
      </c>
      <c r="C138" t="s">
        <v>29</v>
      </c>
      <c r="D138" t="s">
        <v>840</v>
      </c>
      <c r="E138" t="str">
        <f t="shared" si="10"/>
        <v>P_001</v>
      </c>
      <c r="F138" t="str">
        <f t="shared" si="11"/>
        <v>Pst</v>
      </c>
      <c r="G138" t="str">
        <f t="shared" si="12"/>
        <v>23</v>
      </c>
      <c r="H138" t="str">
        <f t="shared" si="13"/>
        <v>P_001-Pst-23.png</v>
      </c>
      <c r="I138" t="str">
        <f t="shared" si="14"/>
        <v>https://raw.githubusercontent.com/epz0/bridgespace/main/img/P_001-Pst-23.png</v>
      </c>
    </row>
    <row r="139" spans="1:9" x14ac:dyDescent="0.3">
      <c r="A139" t="s">
        <v>10</v>
      </c>
      <c r="B139" t="s">
        <v>32</v>
      </c>
      <c r="C139" t="s">
        <v>29</v>
      </c>
      <c r="D139" t="s">
        <v>841</v>
      </c>
      <c r="E139" t="str">
        <f t="shared" si="10"/>
        <v>P_001</v>
      </c>
      <c r="F139" t="str">
        <f t="shared" si="11"/>
        <v>Pst</v>
      </c>
      <c r="G139" t="str">
        <f t="shared" si="12"/>
        <v>18</v>
      </c>
      <c r="H139" t="str">
        <f t="shared" si="13"/>
        <v>P_001-Pst-18.png</v>
      </c>
      <c r="I139" t="str">
        <f t="shared" si="14"/>
        <v>https://raw.githubusercontent.com/epz0/bridgespace/main/img/P_001-Pst-18.png</v>
      </c>
    </row>
    <row r="140" spans="1:9" x14ac:dyDescent="0.3">
      <c r="A140" t="s">
        <v>10</v>
      </c>
      <c r="B140" t="s">
        <v>30</v>
      </c>
      <c r="C140" t="s">
        <v>29</v>
      </c>
      <c r="D140" t="s">
        <v>842</v>
      </c>
      <c r="E140" t="str">
        <f t="shared" si="10"/>
        <v>P_001</v>
      </c>
      <c r="F140" t="str">
        <f t="shared" si="11"/>
        <v>Pst</v>
      </c>
      <c r="G140" t="str">
        <f t="shared" si="12"/>
        <v>16</v>
      </c>
      <c r="H140" t="str">
        <f t="shared" si="13"/>
        <v>P_001-Pst-16.png</v>
      </c>
      <c r="I140" t="str">
        <f t="shared" si="14"/>
        <v>https://raw.githubusercontent.com/epz0/bridgespace/main/img/P_001-Pst-16.png</v>
      </c>
    </row>
    <row r="141" spans="1:9" x14ac:dyDescent="0.3">
      <c r="A141" t="s">
        <v>10</v>
      </c>
      <c r="B141" t="s">
        <v>41</v>
      </c>
      <c r="C141" t="s">
        <v>29</v>
      </c>
      <c r="D141" t="s">
        <v>843</v>
      </c>
      <c r="E141" t="str">
        <f t="shared" si="10"/>
        <v>P_001</v>
      </c>
      <c r="F141" t="str">
        <f t="shared" si="11"/>
        <v>Pst</v>
      </c>
      <c r="G141" t="str">
        <f t="shared" si="12"/>
        <v>27</v>
      </c>
      <c r="H141" t="str">
        <f t="shared" si="13"/>
        <v>P_001-Pst-27.png</v>
      </c>
      <c r="I141" t="str">
        <f t="shared" si="14"/>
        <v>https://raw.githubusercontent.com/epz0/bridgespace/main/img/P_001-Pst-27.png</v>
      </c>
    </row>
    <row r="142" spans="1:9" x14ac:dyDescent="0.3">
      <c r="A142" t="s">
        <v>10</v>
      </c>
      <c r="B142" t="s">
        <v>40</v>
      </c>
      <c r="C142" t="s">
        <v>29</v>
      </c>
      <c r="D142" t="s">
        <v>844</v>
      </c>
      <c r="E142" t="str">
        <f t="shared" si="10"/>
        <v>P_001</v>
      </c>
      <c r="F142" t="str">
        <f t="shared" si="11"/>
        <v>Pst</v>
      </c>
      <c r="G142" t="str">
        <f t="shared" si="12"/>
        <v>26</v>
      </c>
      <c r="H142" t="str">
        <f t="shared" si="13"/>
        <v>P_001-Pst-26.png</v>
      </c>
      <c r="I142" t="str">
        <f t="shared" si="14"/>
        <v>https://raw.githubusercontent.com/epz0/bridgespace/main/img/P_001-Pst-26.png</v>
      </c>
    </row>
    <row r="143" spans="1:9" x14ac:dyDescent="0.3">
      <c r="A143" t="s">
        <v>10</v>
      </c>
      <c r="B143" t="s">
        <v>38</v>
      </c>
      <c r="C143" t="s">
        <v>29</v>
      </c>
      <c r="D143" t="s">
        <v>845</v>
      </c>
      <c r="E143" t="str">
        <f t="shared" si="10"/>
        <v>P_001</v>
      </c>
      <c r="F143" t="str">
        <f t="shared" si="11"/>
        <v>Pst</v>
      </c>
      <c r="G143" t="str">
        <f t="shared" si="12"/>
        <v>24</v>
      </c>
      <c r="H143" t="str">
        <f t="shared" si="13"/>
        <v>P_001-Pst-24.png</v>
      </c>
      <c r="I143" t="str">
        <f t="shared" si="14"/>
        <v>https://raw.githubusercontent.com/epz0/bridgespace/main/img/P_001-Pst-24.png</v>
      </c>
    </row>
    <row r="144" spans="1:9" x14ac:dyDescent="0.3">
      <c r="A144" t="s">
        <v>10</v>
      </c>
      <c r="B144" t="s">
        <v>34</v>
      </c>
      <c r="C144" t="s">
        <v>29</v>
      </c>
      <c r="D144" t="s">
        <v>846</v>
      </c>
      <c r="E144" t="str">
        <f t="shared" si="10"/>
        <v>P_001</v>
      </c>
      <c r="F144" t="str">
        <f t="shared" si="11"/>
        <v>Pst</v>
      </c>
      <c r="G144" t="str">
        <f t="shared" si="12"/>
        <v>20</v>
      </c>
      <c r="H144" t="str">
        <f t="shared" si="13"/>
        <v>P_001-Pst-20.png</v>
      </c>
      <c r="I144" t="str">
        <f t="shared" si="14"/>
        <v>https://raw.githubusercontent.com/epz0/bridgespace/main/img/P_001-Pst-20.png</v>
      </c>
    </row>
    <row r="145" spans="1:9" x14ac:dyDescent="0.3">
      <c r="A145" t="s">
        <v>10</v>
      </c>
      <c r="B145" t="s">
        <v>42</v>
      </c>
      <c r="C145" t="s">
        <v>29</v>
      </c>
      <c r="D145" t="s">
        <v>847</v>
      </c>
      <c r="E145" t="str">
        <f t="shared" si="10"/>
        <v>P_001</v>
      </c>
      <c r="F145" t="str">
        <f t="shared" si="11"/>
        <v>Pst</v>
      </c>
      <c r="G145" t="str">
        <f t="shared" si="12"/>
        <v>28</v>
      </c>
      <c r="H145" t="str">
        <f t="shared" si="13"/>
        <v>P_001-Pst-28.png</v>
      </c>
      <c r="I145" t="str">
        <f t="shared" si="14"/>
        <v>https://raw.githubusercontent.com/epz0/bridgespace/main/img/P_001-Pst-28.png</v>
      </c>
    </row>
    <row r="146" spans="1:9" x14ac:dyDescent="0.3">
      <c r="A146" t="s">
        <v>10</v>
      </c>
      <c r="B146" t="s">
        <v>36</v>
      </c>
      <c r="C146" t="s">
        <v>29</v>
      </c>
      <c r="D146" t="s">
        <v>848</v>
      </c>
      <c r="E146" t="str">
        <f t="shared" si="10"/>
        <v>P_001</v>
      </c>
      <c r="F146" t="str">
        <f t="shared" si="11"/>
        <v>Pst</v>
      </c>
      <c r="G146" t="str">
        <f t="shared" si="12"/>
        <v>22</v>
      </c>
      <c r="H146" t="str">
        <f t="shared" si="13"/>
        <v>P_001-Pst-22.png</v>
      </c>
      <c r="I146" t="str">
        <f t="shared" si="14"/>
        <v>https://raw.githubusercontent.com/epz0/bridgespace/main/img/P_001-Pst-22.png</v>
      </c>
    </row>
    <row r="147" spans="1:9" x14ac:dyDescent="0.3">
      <c r="A147" t="s">
        <v>10</v>
      </c>
      <c r="B147" t="s">
        <v>33</v>
      </c>
      <c r="C147" t="s">
        <v>29</v>
      </c>
      <c r="D147" t="s">
        <v>849</v>
      </c>
      <c r="E147" t="str">
        <f t="shared" si="10"/>
        <v>P_001</v>
      </c>
      <c r="F147" t="str">
        <f t="shared" si="11"/>
        <v>Pst</v>
      </c>
      <c r="G147" t="str">
        <f t="shared" si="12"/>
        <v>19</v>
      </c>
      <c r="H147" t="str">
        <f t="shared" si="13"/>
        <v>P_001-Pst-19.png</v>
      </c>
      <c r="I147" t="str">
        <f t="shared" si="14"/>
        <v>https://raw.githubusercontent.com/epz0/bridgespace/main/img/P_001-Pst-19.png</v>
      </c>
    </row>
    <row r="148" spans="1:9" x14ac:dyDescent="0.3">
      <c r="A148" t="s">
        <v>10</v>
      </c>
      <c r="B148" t="s">
        <v>31</v>
      </c>
      <c r="C148" t="s">
        <v>29</v>
      </c>
      <c r="D148" t="s">
        <v>850</v>
      </c>
      <c r="E148" t="str">
        <f t="shared" si="10"/>
        <v>P_001</v>
      </c>
      <c r="F148" t="str">
        <f t="shared" si="11"/>
        <v>Pst</v>
      </c>
      <c r="G148" t="str">
        <f t="shared" si="12"/>
        <v>17</v>
      </c>
      <c r="H148" t="str">
        <f t="shared" si="13"/>
        <v>P_001-Pst-17.png</v>
      </c>
      <c r="I148" t="str">
        <f t="shared" si="14"/>
        <v>https://raw.githubusercontent.com/epz0/bridgespace/main/img/P_001-Pst-17.png</v>
      </c>
    </row>
    <row r="149" spans="1:9" x14ac:dyDescent="0.3">
      <c r="A149" t="s">
        <v>10</v>
      </c>
      <c r="B149" t="s">
        <v>28</v>
      </c>
      <c r="C149" t="s">
        <v>29</v>
      </c>
      <c r="D149" t="s">
        <v>851</v>
      </c>
      <c r="E149" t="str">
        <f t="shared" si="10"/>
        <v>P_001</v>
      </c>
      <c r="F149" t="str">
        <f t="shared" si="11"/>
        <v>Pst</v>
      </c>
      <c r="G149" t="str">
        <f t="shared" si="12"/>
        <v>15</v>
      </c>
      <c r="H149" t="str">
        <f t="shared" si="13"/>
        <v>P_001-Pst-15.png</v>
      </c>
      <c r="I149" t="str">
        <f t="shared" si="14"/>
        <v>https://raw.githubusercontent.com/epz0/bridgespace/main/img/P_001-Pst-15.png</v>
      </c>
    </row>
    <row r="150" spans="1:9" x14ac:dyDescent="0.3">
      <c r="A150" t="s">
        <v>10</v>
      </c>
      <c r="B150" t="s">
        <v>35</v>
      </c>
      <c r="C150" t="s">
        <v>29</v>
      </c>
      <c r="D150" t="s">
        <v>852</v>
      </c>
      <c r="E150" t="str">
        <f t="shared" si="10"/>
        <v>P_001</v>
      </c>
      <c r="F150" t="str">
        <f t="shared" si="11"/>
        <v>Pst</v>
      </c>
      <c r="G150" t="str">
        <f t="shared" si="12"/>
        <v>21</v>
      </c>
      <c r="H150" t="str">
        <f t="shared" si="13"/>
        <v>P_001-Pst-21.png</v>
      </c>
      <c r="I150" t="str">
        <f t="shared" si="14"/>
        <v>https://raw.githubusercontent.com/epz0/bridgespace/main/img/P_001-Pst-21.png</v>
      </c>
    </row>
    <row r="151" spans="1:9" x14ac:dyDescent="0.3">
      <c r="A151" t="s">
        <v>47</v>
      </c>
      <c r="B151" t="s">
        <v>15</v>
      </c>
      <c r="C151" t="s">
        <v>12</v>
      </c>
      <c r="D151" t="s">
        <v>853</v>
      </c>
      <c r="E151" t="str">
        <f t="shared" si="10"/>
        <v>P_004</v>
      </c>
      <c r="F151" t="str">
        <f t="shared" si="11"/>
        <v>Pre</v>
      </c>
      <c r="G151" t="str">
        <f t="shared" si="12"/>
        <v>03</v>
      </c>
      <c r="H151" t="str">
        <f t="shared" si="13"/>
        <v>P_004-Pre-03.png</v>
      </c>
      <c r="I151" t="str">
        <f t="shared" si="14"/>
        <v>https://raw.githubusercontent.com/epz0/bridgespace/main/img/P_004-Pre-03.png</v>
      </c>
    </row>
    <row r="152" spans="1:9" x14ac:dyDescent="0.3">
      <c r="A152" t="s">
        <v>47</v>
      </c>
      <c r="B152" t="s">
        <v>14</v>
      </c>
      <c r="C152" t="s">
        <v>12</v>
      </c>
      <c r="D152" t="s">
        <v>854</v>
      </c>
      <c r="E152" t="str">
        <f t="shared" si="10"/>
        <v>P_004</v>
      </c>
      <c r="F152" t="str">
        <f t="shared" si="11"/>
        <v>Pre</v>
      </c>
      <c r="G152" t="str">
        <f t="shared" si="12"/>
        <v>02</v>
      </c>
      <c r="H152" t="str">
        <f t="shared" si="13"/>
        <v>P_004-Pre-02.png</v>
      </c>
      <c r="I152" t="str">
        <f t="shared" si="14"/>
        <v>https://raw.githubusercontent.com/epz0/bridgespace/main/img/P_004-Pre-02.png</v>
      </c>
    </row>
    <row r="153" spans="1:9" x14ac:dyDescent="0.3">
      <c r="A153" t="s">
        <v>47</v>
      </c>
      <c r="B153" t="s">
        <v>11</v>
      </c>
      <c r="C153" t="s">
        <v>12</v>
      </c>
      <c r="D153" t="s">
        <v>855</v>
      </c>
      <c r="E153" t="str">
        <f t="shared" si="10"/>
        <v>P_004</v>
      </c>
      <c r="F153" t="str">
        <f t="shared" si="11"/>
        <v>Pre</v>
      </c>
      <c r="G153" t="str">
        <f t="shared" si="12"/>
        <v>01</v>
      </c>
      <c r="H153" t="str">
        <f t="shared" si="13"/>
        <v>P_004-Pre-01.png</v>
      </c>
      <c r="I153" t="str">
        <f t="shared" si="14"/>
        <v>https://raw.githubusercontent.com/epz0/bridgespace/main/img/P_004-Pre-01.png</v>
      </c>
    </row>
    <row r="154" spans="1:9" x14ac:dyDescent="0.3">
      <c r="A154" t="s">
        <v>47</v>
      </c>
      <c r="B154" t="s">
        <v>17</v>
      </c>
      <c r="C154" t="s">
        <v>12</v>
      </c>
      <c r="D154" t="s">
        <v>856</v>
      </c>
      <c r="E154" t="str">
        <f t="shared" si="10"/>
        <v>P_004</v>
      </c>
      <c r="F154" t="str">
        <f t="shared" si="11"/>
        <v>Pre</v>
      </c>
      <c r="G154" t="str">
        <f t="shared" si="12"/>
        <v>05</v>
      </c>
      <c r="H154" t="str">
        <f t="shared" si="13"/>
        <v>P_004-Pre-05.png</v>
      </c>
      <c r="I154" t="str">
        <f t="shared" si="14"/>
        <v>https://raw.githubusercontent.com/epz0/bridgespace/main/img/P_004-Pre-05.png</v>
      </c>
    </row>
    <row r="155" spans="1:9" x14ac:dyDescent="0.3">
      <c r="A155" t="s">
        <v>47</v>
      </c>
      <c r="B155" t="s">
        <v>16</v>
      </c>
      <c r="C155" t="s">
        <v>12</v>
      </c>
      <c r="D155" t="s">
        <v>857</v>
      </c>
      <c r="E155" t="str">
        <f t="shared" si="10"/>
        <v>P_004</v>
      </c>
      <c r="F155" t="str">
        <f t="shared" si="11"/>
        <v>Pre</v>
      </c>
      <c r="G155" t="str">
        <f t="shared" si="12"/>
        <v>04</v>
      </c>
      <c r="H155" t="str">
        <f t="shared" si="13"/>
        <v>P_004-Pre-04.png</v>
      </c>
      <c r="I155" t="str">
        <f t="shared" si="14"/>
        <v>https://raw.githubusercontent.com/epz0/bridgespace/main/img/P_004-Pre-04.png</v>
      </c>
    </row>
    <row r="156" spans="1:9" x14ac:dyDescent="0.3">
      <c r="A156" t="s">
        <v>47</v>
      </c>
      <c r="B156" t="s">
        <v>23</v>
      </c>
      <c r="C156" t="s">
        <v>29</v>
      </c>
      <c r="D156" t="s">
        <v>858</v>
      </c>
      <c r="E156" t="str">
        <f t="shared" si="10"/>
        <v>P_004</v>
      </c>
      <c r="F156" t="str">
        <f t="shared" si="11"/>
        <v>Pst</v>
      </c>
      <c r="G156" t="str">
        <f t="shared" si="12"/>
        <v>10</v>
      </c>
      <c r="H156" t="str">
        <f t="shared" si="13"/>
        <v>P_004-Pst-10.png</v>
      </c>
      <c r="I156" t="str">
        <f t="shared" si="14"/>
        <v>https://raw.githubusercontent.com/epz0/bridgespace/main/img/P_004-Pst-10.png</v>
      </c>
    </row>
    <row r="157" spans="1:9" x14ac:dyDescent="0.3">
      <c r="A157" t="s">
        <v>47</v>
      </c>
      <c r="B157" t="s">
        <v>25</v>
      </c>
      <c r="C157" t="s">
        <v>29</v>
      </c>
      <c r="D157" t="s">
        <v>859</v>
      </c>
      <c r="E157" t="str">
        <f t="shared" si="10"/>
        <v>P_004</v>
      </c>
      <c r="F157" t="str">
        <f t="shared" si="11"/>
        <v>Pst</v>
      </c>
      <c r="G157" t="str">
        <f t="shared" si="12"/>
        <v>12</v>
      </c>
      <c r="H157" t="str">
        <f t="shared" si="13"/>
        <v>P_004-Pst-12.png</v>
      </c>
      <c r="I157" t="str">
        <f t="shared" si="14"/>
        <v>https://raw.githubusercontent.com/epz0/bridgespace/main/img/P_004-Pst-12.png</v>
      </c>
    </row>
    <row r="158" spans="1:9" x14ac:dyDescent="0.3">
      <c r="A158" t="s">
        <v>47</v>
      </c>
      <c r="B158" t="s">
        <v>24</v>
      </c>
      <c r="C158" t="s">
        <v>29</v>
      </c>
      <c r="D158" t="s">
        <v>860</v>
      </c>
      <c r="E158" t="str">
        <f t="shared" si="10"/>
        <v>P_004</v>
      </c>
      <c r="F158" t="str">
        <f t="shared" si="11"/>
        <v>Pst</v>
      </c>
      <c r="G158" t="str">
        <f t="shared" si="12"/>
        <v>11</v>
      </c>
      <c r="H158" t="str">
        <f t="shared" si="13"/>
        <v>P_004-Pst-11.png</v>
      </c>
      <c r="I158" t="str">
        <f t="shared" si="14"/>
        <v>https://raw.githubusercontent.com/epz0/bridgespace/main/img/P_004-Pst-11.png</v>
      </c>
    </row>
    <row r="159" spans="1:9" x14ac:dyDescent="0.3">
      <c r="A159" t="s">
        <v>47</v>
      </c>
      <c r="B159" t="s">
        <v>21</v>
      </c>
      <c r="C159" t="s">
        <v>29</v>
      </c>
      <c r="D159" t="s">
        <v>861</v>
      </c>
      <c r="E159" t="str">
        <f t="shared" si="10"/>
        <v>P_004</v>
      </c>
      <c r="F159" t="str">
        <f t="shared" si="11"/>
        <v>Pst</v>
      </c>
      <c r="G159" t="str">
        <f t="shared" si="12"/>
        <v>08</v>
      </c>
      <c r="H159" t="str">
        <f t="shared" si="13"/>
        <v>P_004-Pst-08.png</v>
      </c>
      <c r="I159" t="str">
        <f t="shared" si="14"/>
        <v>https://raw.githubusercontent.com/epz0/bridgespace/main/img/P_004-Pst-08.png</v>
      </c>
    </row>
    <row r="160" spans="1:9" x14ac:dyDescent="0.3">
      <c r="A160" t="s">
        <v>47</v>
      </c>
      <c r="B160" t="s">
        <v>19</v>
      </c>
      <c r="C160" t="s">
        <v>29</v>
      </c>
      <c r="D160" t="s">
        <v>862</v>
      </c>
      <c r="E160" t="str">
        <f t="shared" si="10"/>
        <v>P_004</v>
      </c>
      <c r="F160" t="str">
        <f t="shared" si="11"/>
        <v>Pst</v>
      </c>
      <c r="G160" t="str">
        <f t="shared" si="12"/>
        <v>06</v>
      </c>
      <c r="H160" t="str">
        <f t="shared" si="13"/>
        <v>P_004-Pst-06.png</v>
      </c>
      <c r="I160" t="str">
        <f t="shared" si="14"/>
        <v>https://raw.githubusercontent.com/epz0/bridgespace/main/img/P_004-Pst-06.png</v>
      </c>
    </row>
    <row r="161" spans="1:9" x14ac:dyDescent="0.3">
      <c r="A161" t="s">
        <v>47</v>
      </c>
      <c r="B161" t="s">
        <v>20</v>
      </c>
      <c r="C161" t="s">
        <v>29</v>
      </c>
      <c r="D161" t="s">
        <v>863</v>
      </c>
      <c r="E161" t="str">
        <f t="shared" si="10"/>
        <v>P_004</v>
      </c>
      <c r="F161" t="str">
        <f t="shared" si="11"/>
        <v>Pst</v>
      </c>
      <c r="G161" t="str">
        <f t="shared" si="12"/>
        <v>07</v>
      </c>
      <c r="H161" t="str">
        <f t="shared" si="13"/>
        <v>P_004-Pst-07.png</v>
      </c>
      <c r="I161" t="str">
        <f t="shared" si="14"/>
        <v>https://raw.githubusercontent.com/epz0/bridgespace/main/img/P_004-Pst-07.png</v>
      </c>
    </row>
    <row r="162" spans="1:9" x14ac:dyDescent="0.3">
      <c r="A162" t="s">
        <v>47</v>
      </c>
      <c r="B162" t="s">
        <v>26</v>
      </c>
      <c r="C162" t="s">
        <v>29</v>
      </c>
      <c r="D162" t="s">
        <v>864</v>
      </c>
      <c r="E162" t="str">
        <f t="shared" si="10"/>
        <v>P_004</v>
      </c>
      <c r="F162" t="str">
        <f t="shared" si="11"/>
        <v>Pst</v>
      </c>
      <c r="G162" t="str">
        <f t="shared" si="12"/>
        <v>13</v>
      </c>
      <c r="H162" t="str">
        <f t="shared" si="13"/>
        <v>P_004-Pst-13.png</v>
      </c>
      <c r="I162" t="str">
        <f t="shared" si="14"/>
        <v>https://raw.githubusercontent.com/epz0/bridgespace/main/img/P_004-Pst-13.png</v>
      </c>
    </row>
    <row r="163" spans="1:9" x14ac:dyDescent="0.3">
      <c r="A163" t="s">
        <v>47</v>
      </c>
      <c r="B163" t="s">
        <v>22</v>
      </c>
      <c r="C163" t="s">
        <v>29</v>
      </c>
      <c r="D163" t="s">
        <v>865</v>
      </c>
      <c r="E163" t="str">
        <f t="shared" si="10"/>
        <v>P_004</v>
      </c>
      <c r="F163" t="str">
        <f t="shared" si="11"/>
        <v>Pst</v>
      </c>
      <c r="G163" t="str">
        <f t="shared" si="12"/>
        <v>09</v>
      </c>
      <c r="H163" t="str">
        <f t="shared" si="13"/>
        <v>P_004-Pst-09.png</v>
      </c>
      <c r="I163" t="str">
        <f t="shared" si="14"/>
        <v>https://raw.githubusercontent.com/epz0/bridgespace/main/img/P_004-Pst-09.png</v>
      </c>
    </row>
    <row r="164" spans="1:9" x14ac:dyDescent="0.3">
      <c r="A164" t="s">
        <v>47</v>
      </c>
      <c r="B164" t="s">
        <v>27</v>
      </c>
      <c r="C164" t="s">
        <v>29</v>
      </c>
      <c r="D164" t="s">
        <v>866</v>
      </c>
      <c r="E164" t="str">
        <f t="shared" si="10"/>
        <v>P_004</v>
      </c>
      <c r="F164" t="str">
        <f t="shared" si="11"/>
        <v>Pst</v>
      </c>
      <c r="G164" t="str">
        <f t="shared" si="12"/>
        <v>14</v>
      </c>
      <c r="H164" t="str">
        <f t="shared" si="13"/>
        <v>P_004-Pst-14.png</v>
      </c>
      <c r="I164" t="str">
        <f t="shared" si="14"/>
        <v>https://raw.githubusercontent.com/epz0/bridgespace/main/img/P_004-Pst-14.png</v>
      </c>
    </row>
    <row r="165" spans="1:9" x14ac:dyDescent="0.3">
      <c r="A165" t="s">
        <v>47</v>
      </c>
      <c r="B165" t="s">
        <v>28</v>
      </c>
      <c r="C165" t="s">
        <v>29</v>
      </c>
      <c r="D165" t="s">
        <v>867</v>
      </c>
      <c r="E165" t="str">
        <f t="shared" si="10"/>
        <v>P_004</v>
      </c>
      <c r="F165" t="str">
        <f t="shared" si="11"/>
        <v>Pst</v>
      </c>
      <c r="G165" t="str">
        <f t="shared" si="12"/>
        <v>15</v>
      </c>
      <c r="H165" t="str">
        <f t="shared" si="13"/>
        <v>P_004-Pst-15.png</v>
      </c>
      <c r="I165" t="str">
        <f t="shared" si="14"/>
        <v>https://raw.githubusercontent.com/epz0/bridgespace/main/img/P_004-Pst-15.png</v>
      </c>
    </row>
    <row r="166" spans="1:9" x14ac:dyDescent="0.3">
      <c r="A166" t="s">
        <v>57</v>
      </c>
      <c r="B166" t="s">
        <v>15</v>
      </c>
      <c r="C166" t="s">
        <v>12</v>
      </c>
      <c r="D166" t="s">
        <v>868</v>
      </c>
      <c r="E166" t="str">
        <f t="shared" si="10"/>
        <v>P_014</v>
      </c>
      <c r="F166" t="str">
        <f t="shared" si="11"/>
        <v>Pre</v>
      </c>
      <c r="G166" t="str">
        <f t="shared" si="12"/>
        <v>03</v>
      </c>
      <c r="H166" t="str">
        <f t="shared" si="13"/>
        <v>P_014-Pre-03.png</v>
      </c>
      <c r="I166" t="str">
        <f t="shared" si="14"/>
        <v>https://raw.githubusercontent.com/epz0/bridgespace/main/img/P_014-Pre-03.png</v>
      </c>
    </row>
    <row r="167" spans="1:9" x14ac:dyDescent="0.3">
      <c r="A167" t="s">
        <v>57</v>
      </c>
      <c r="B167" t="s">
        <v>23</v>
      </c>
      <c r="C167" t="s">
        <v>12</v>
      </c>
      <c r="D167" t="s">
        <v>869</v>
      </c>
      <c r="E167" t="str">
        <f t="shared" si="10"/>
        <v>P_014</v>
      </c>
      <c r="F167" t="str">
        <f t="shared" si="11"/>
        <v>Pre</v>
      </c>
      <c r="G167" t="str">
        <f t="shared" si="12"/>
        <v>10</v>
      </c>
      <c r="H167" t="str">
        <f t="shared" si="13"/>
        <v>P_014-Pre-10.png</v>
      </c>
      <c r="I167" t="str">
        <f t="shared" si="14"/>
        <v>https://raw.githubusercontent.com/epz0/bridgespace/main/img/P_014-Pre-10.png</v>
      </c>
    </row>
    <row r="168" spans="1:9" x14ac:dyDescent="0.3">
      <c r="A168" t="s">
        <v>57</v>
      </c>
      <c r="B168" t="s">
        <v>14</v>
      </c>
      <c r="C168" t="s">
        <v>12</v>
      </c>
      <c r="D168" t="s">
        <v>870</v>
      </c>
      <c r="E168" t="str">
        <f t="shared" si="10"/>
        <v>P_014</v>
      </c>
      <c r="F168" t="str">
        <f t="shared" si="11"/>
        <v>Pre</v>
      </c>
      <c r="G168" t="str">
        <f t="shared" si="12"/>
        <v>02</v>
      </c>
      <c r="H168" t="str">
        <f t="shared" si="13"/>
        <v>P_014-Pre-02.png</v>
      </c>
      <c r="I168" t="str">
        <f t="shared" si="14"/>
        <v>https://raw.githubusercontent.com/epz0/bridgespace/main/img/P_014-Pre-02.png</v>
      </c>
    </row>
    <row r="169" spans="1:9" x14ac:dyDescent="0.3">
      <c r="A169" t="s">
        <v>57</v>
      </c>
      <c r="B169" t="s">
        <v>11</v>
      </c>
      <c r="C169" t="s">
        <v>12</v>
      </c>
      <c r="D169" t="s">
        <v>871</v>
      </c>
      <c r="E169" t="str">
        <f t="shared" si="10"/>
        <v>P_014</v>
      </c>
      <c r="F169" t="str">
        <f t="shared" si="11"/>
        <v>Pre</v>
      </c>
      <c r="G169" t="str">
        <f t="shared" si="12"/>
        <v>01</v>
      </c>
      <c r="H169" t="str">
        <f t="shared" si="13"/>
        <v>P_014-Pre-01.png</v>
      </c>
      <c r="I169" t="str">
        <f t="shared" si="14"/>
        <v>https://raw.githubusercontent.com/epz0/bridgespace/main/img/P_014-Pre-01.png</v>
      </c>
    </row>
    <row r="170" spans="1:9" x14ac:dyDescent="0.3">
      <c r="A170" t="s">
        <v>57</v>
      </c>
      <c r="B170" t="s">
        <v>24</v>
      </c>
      <c r="C170" t="s">
        <v>12</v>
      </c>
      <c r="D170" t="s">
        <v>872</v>
      </c>
      <c r="E170" t="str">
        <f t="shared" si="10"/>
        <v>P_014</v>
      </c>
      <c r="F170" t="str">
        <f t="shared" si="11"/>
        <v>Pre</v>
      </c>
      <c r="G170" t="str">
        <f t="shared" si="12"/>
        <v>11</v>
      </c>
      <c r="H170" t="str">
        <f t="shared" si="13"/>
        <v>P_014-Pre-11.png</v>
      </c>
      <c r="I170" t="str">
        <f t="shared" si="14"/>
        <v>https://raw.githubusercontent.com/epz0/bridgespace/main/img/P_014-Pre-11.png</v>
      </c>
    </row>
    <row r="171" spans="1:9" x14ac:dyDescent="0.3">
      <c r="A171" t="s">
        <v>57</v>
      </c>
      <c r="B171" t="s">
        <v>21</v>
      </c>
      <c r="C171" t="s">
        <v>12</v>
      </c>
      <c r="D171" t="s">
        <v>873</v>
      </c>
      <c r="E171" t="str">
        <f t="shared" si="10"/>
        <v>P_014</v>
      </c>
      <c r="F171" t="str">
        <f t="shared" si="11"/>
        <v>Pre</v>
      </c>
      <c r="G171" t="str">
        <f t="shared" si="12"/>
        <v>08</v>
      </c>
      <c r="H171" t="str">
        <f t="shared" si="13"/>
        <v>P_014-Pre-08.png</v>
      </c>
      <c r="I171" t="str">
        <f t="shared" si="14"/>
        <v>https://raw.githubusercontent.com/epz0/bridgespace/main/img/P_014-Pre-08.png</v>
      </c>
    </row>
    <row r="172" spans="1:9" x14ac:dyDescent="0.3">
      <c r="A172" t="s">
        <v>57</v>
      </c>
      <c r="B172" t="s">
        <v>19</v>
      </c>
      <c r="C172" t="s">
        <v>12</v>
      </c>
      <c r="D172" t="s">
        <v>874</v>
      </c>
      <c r="E172" t="str">
        <f t="shared" si="10"/>
        <v>P_014</v>
      </c>
      <c r="F172" t="str">
        <f t="shared" si="11"/>
        <v>Pre</v>
      </c>
      <c r="G172" t="str">
        <f t="shared" si="12"/>
        <v>06</v>
      </c>
      <c r="H172" t="str">
        <f t="shared" si="13"/>
        <v>P_014-Pre-06.png</v>
      </c>
      <c r="I172" t="str">
        <f t="shared" si="14"/>
        <v>https://raw.githubusercontent.com/epz0/bridgespace/main/img/P_014-Pre-06.png</v>
      </c>
    </row>
    <row r="173" spans="1:9" x14ac:dyDescent="0.3">
      <c r="A173" t="s">
        <v>57</v>
      </c>
      <c r="B173" t="s">
        <v>17</v>
      </c>
      <c r="C173" t="s">
        <v>12</v>
      </c>
      <c r="D173" t="s">
        <v>875</v>
      </c>
      <c r="E173" t="str">
        <f t="shared" si="10"/>
        <v>P_014</v>
      </c>
      <c r="F173" t="str">
        <f t="shared" si="11"/>
        <v>Pre</v>
      </c>
      <c r="G173" t="str">
        <f t="shared" si="12"/>
        <v>05</v>
      </c>
      <c r="H173" t="str">
        <f t="shared" si="13"/>
        <v>P_014-Pre-05.png</v>
      </c>
      <c r="I173" t="str">
        <f t="shared" si="14"/>
        <v>https://raw.githubusercontent.com/epz0/bridgespace/main/img/P_014-Pre-05.png</v>
      </c>
    </row>
    <row r="174" spans="1:9" x14ac:dyDescent="0.3">
      <c r="A174" t="s">
        <v>57</v>
      </c>
      <c r="B174" t="s">
        <v>16</v>
      </c>
      <c r="C174" t="s">
        <v>12</v>
      </c>
      <c r="D174" t="s">
        <v>876</v>
      </c>
      <c r="E174" t="str">
        <f t="shared" si="10"/>
        <v>P_014</v>
      </c>
      <c r="F174" t="str">
        <f t="shared" si="11"/>
        <v>Pre</v>
      </c>
      <c r="G174" t="str">
        <f t="shared" si="12"/>
        <v>04</v>
      </c>
      <c r="H174" t="str">
        <f t="shared" si="13"/>
        <v>P_014-Pre-04.png</v>
      </c>
      <c r="I174" t="str">
        <f t="shared" si="14"/>
        <v>https://raw.githubusercontent.com/epz0/bridgespace/main/img/P_014-Pre-04.png</v>
      </c>
    </row>
    <row r="175" spans="1:9" x14ac:dyDescent="0.3">
      <c r="A175" t="s">
        <v>57</v>
      </c>
      <c r="B175" t="s">
        <v>20</v>
      </c>
      <c r="C175" t="s">
        <v>12</v>
      </c>
      <c r="D175" t="s">
        <v>877</v>
      </c>
      <c r="E175" t="str">
        <f t="shared" si="10"/>
        <v>P_014</v>
      </c>
      <c r="F175" t="str">
        <f t="shared" si="11"/>
        <v>Pre</v>
      </c>
      <c r="G175" t="str">
        <f t="shared" si="12"/>
        <v>07</v>
      </c>
      <c r="H175" t="str">
        <f t="shared" si="13"/>
        <v>P_014-Pre-07.png</v>
      </c>
      <c r="I175" t="str">
        <f t="shared" si="14"/>
        <v>https://raw.githubusercontent.com/epz0/bridgespace/main/img/P_014-Pre-07.png</v>
      </c>
    </row>
    <row r="176" spans="1:9" x14ac:dyDescent="0.3">
      <c r="A176" t="s">
        <v>57</v>
      </c>
      <c r="B176" t="s">
        <v>22</v>
      </c>
      <c r="C176" t="s">
        <v>12</v>
      </c>
      <c r="D176" t="s">
        <v>878</v>
      </c>
      <c r="E176" t="str">
        <f t="shared" si="10"/>
        <v>P_014</v>
      </c>
      <c r="F176" t="str">
        <f t="shared" si="11"/>
        <v>Pre</v>
      </c>
      <c r="G176" t="str">
        <f t="shared" si="12"/>
        <v>09</v>
      </c>
      <c r="H176" t="str">
        <f t="shared" si="13"/>
        <v>P_014-Pre-09.png</v>
      </c>
      <c r="I176" t="str">
        <f t="shared" si="14"/>
        <v>https://raw.githubusercontent.com/epz0/bridgespace/main/img/P_014-Pre-09.png</v>
      </c>
    </row>
    <row r="177" spans="1:9" x14ac:dyDescent="0.3">
      <c r="A177" t="s">
        <v>57</v>
      </c>
      <c r="B177" t="s">
        <v>25</v>
      </c>
      <c r="C177" t="s">
        <v>29</v>
      </c>
      <c r="D177" t="s">
        <v>879</v>
      </c>
      <c r="E177" t="str">
        <f t="shared" si="10"/>
        <v>P_014</v>
      </c>
      <c r="F177" t="str">
        <f t="shared" si="11"/>
        <v>Pst</v>
      </c>
      <c r="G177" t="str">
        <f t="shared" si="12"/>
        <v>12</v>
      </c>
      <c r="H177" t="str">
        <f t="shared" si="13"/>
        <v>P_014-Pst-12.png</v>
      </c>
      <c r="I177" t="str">
        <f t="shared" si="14"/>
        <v>https://raw.githubusercontent.com/epz0/bridgespace/main/img/P_014-Pst-12.png</v>
      </c>
    </row>
    <row r="178" spans="1:9" x14ac:dyDescent="0.3">
      <c r="A178" t="s">
        <v>57</v>
      </c>
      <c r="B178" t="s">
        <v>32</v>
      </c>
      <c r="C178" t="s">
        <v>29</v>
      </c>
      <c r="D178" t="s">
        <v>880</v>
      </c>
      <c r="E178" t="str">
        <f t="shared" si="10"/>
        <v>P_014</v>
      </c>
      <c r="F178" t="str">
        <f t="shared" si="11"/>
        <v>Pst</v>
      </c>
      <c r="G178" t="str">
        <f t="shared" si="12"/>
        <v>18</v>
      </c>
      <c r="H178" t="str">
        <f t="shared" si="13"/>
        <v>P_014-Pst-18.png</v>
      </c>
      <c r="I178" t="str">
        <f t="shared" si="14"/>
        <v>https://raw.githubusercontent.com/epz0/bridgespace/main/img/P_014-Pst-18.png</v>
      </c>
    </row>
    <row r="179" spans="1:9" x14ac:dyDescent="0.3">
      <c r="A179" t="s">
        <v>57</v>
      </c>
      <c r="B179" t="s">
        <v>30</v>
      </c>
      <c r="C179" t="s">
        <v>29</v>
      </c>
      <c r="D179" t="s">
        <v>881</v>
      </c>
      <c r="E179" t="str">
        <f t="shared" si="10"/>
        <v>P_014</v>
      </c>
      <c r="F179" t="str">
        <f t="shared" si="11"/>
        <v>Pst</v>
      </c>
      <c r="G179" t="str">
        <f t="shared" si="12"/>
        <v>16</v>
      </c>
      <c r="H179" t="str">
        <f t="shared" si="13"/>
        <v>P_014-Pst-16.png</v>
      </c>
      <c r="I179" t="str">
        <f t="shared" si="14"/>
        <v>https://raw.githubusercontent.com/epz0/bridgespace/main/img/P_014-Pst-16.png</v>
      </c>
    </row>
    <row r="180" spans="1:9" x14ac:dyDescent="0.3">
      <c r="A180" t="s">
        <v>57</v>
      </c>
      <c r="B180" t="s">
        <v>34</v>
      </c>
      <c r="C180" t="s">
        <v>29</v>
      </c>
      <c r="D180" t="s">
        <v>882</v>
      </c>
      <c r="E180" t="str">
        <f t="shared" si="10"/>
        <v>P_014</v>
      </c>
      <c r="F180" t="str">
        <f t="shared" si="11"/>
        <v>Pst</v>
      </c>
      <c r="G180" t="str">
        <f t="shared" si="12"/>
        <v>20</v>
      </c>
      <c r="H180" t="str">
        <f t="shared" si="13"/>
        <v>P_014-Pst-20.png</v>
      </c>
      <c r="I180" t="str">
        <f t="shared" si="14"/>
        <v>https://raw.githubusercontent.com/epz0/bridgespace/main/img/P_014-Pst-20.png</v>
      </c>
    </row>
    <row r="181" spans="1:9" x14ac:dyDescent="0.3">
      <c r="A181" t="s">
        <v>57</v>
      </c>
      <c r="B181" t="s">
        <v>36</v>
      </c>
      <c r="C181" t="s">
        <v>29</v>
      </c>
      <c r="D181" t="s">
        <v>883</v>
      </c>
      <c r="E181" t="str">
        <f t="shared" si="10"/>
        <v>P_014</v>
      </c>
      <c r="F181" t="str">
        <f t="shared" si="11"/>
        <v>Pst</v>
      </c>
      <c r="G181" t="str">
        <f t="shared" si="12"/>
        <v>22</v>
      </c>
      <c r="H181" t="str">
        <f t="shared" si="13"/>
        <v>P_014-Pst-22.png</v>
      </c>
      <c r="I181" t="str">
        <f t="shared" si="14"/>
        <v>https://raw.githubusercontent.com/epz0/bridgespace/main/img/P_014-Pst-22.png</v>
      </c>
    </row>
    <row r="182" spans="1:9" x14ac:dyDescent="0.3">
      <c r="A182" t="s">
        <v>57</v>
      </c>
      <c r="B182" t="s">
        <v>33</v>
      </c>
      <c r="C182" t="s">
        <v>29</v>
      </c>
      <c r="D182" t="s">
        <v>884</v>
      </c>
      <c r="E182" t="str">
        <f t="shared" si="10"/>
        <v>P_014</v>
      </c>
      <c r="F182" t="str">
        <f t="shared" si="11"/>
        <v>Pst</v>
      </c>
      <c r="G182" t="str">
        <f t="shared" si="12"/>
        <v>19</v>
      </c>
      <c r="H182" t="str">
        <f t="shared" si="13"/>
        <v>P_014-Pst-19.png</v>
      </c>
      <c r="I182" t="str">
        <f t="shared" si="14"/>
        <v>https://raw.githubusercontent.com/epz0/bridgespace/main/img/P_014-Pst-19.png</v>
      </c>
    </row>
    <row r="183" spans="1:9" x14ac:dyDescent="0.3">
      <c r="A183" t="s">
        <v>57</v>
      </c>
      <c r="B183" t="s">
        <v>26</v>
      </c>
      <c r="C183" t="s">
        <v>29</v>
      </c>
      <c r="D183" t="s">
        <v>885</v>
      </c>
      <c r="E183" t="str">
        <f t="shared" si="10"/>
        <v>P_014</v>
      </c>
      <c r="F183" t="str">
        <f t="shared" si="11"/>
        <v>Pst</v>
      </c>
      <c r="G183" t="str">
        <f t="shared" si="12"/>
        <v>13</v>
      </c>
      <c r="H183" t="str">
        <f t="shared" si="13"/>
        <v>P_014-Pst-13.png</v>
      </c>
      <c r="I183" t="str">
        <f t="shared" si="14"/>
        <v>https://raw.githubusercontent.com/epz0/bridgespace/main/img/P_014-Pst-13.png</v>
      </c>
    </row>
    <row r="184" spans="1:9" x14ac:dyDescent="0.3">
      <c r="A184" t="s">
        <v>57</v>
      </c>
      <c r="B184" t="s">
        <v>31</v>
      </c>
      <c r="C184" t="s">
        <v>29</v>
      </c>
      <c r="D184" t="s">
        <v>886</v>
      </c>
      <c r="E184" t="str">
        <f t="shared" si="10"/>
        <v>P_014</v>
      </c>
      <c r="F184" t="str">
        <f t="shared" si="11"/>
        <v>Pst</v>
      </c>
      <c r="G184" t="str">
        <f t="shared" si="12"/>
        <v>17</v>
      </c>
      <c r="H184" t="str">
        <f t="shared" si="13"/>
        <v>P_014-Pst-17.png</v>
      </c>
      <c r="I184" t="str">
        <f t="shared" si="14"/>
        <v>https://raw.githubusercontent.com/epz0/bridgespace/main/img/P_014-Pst-17.png</v>
      </c>
    </row>
    <row r="185" spans="1:9" x14ac:dyDescent="0.3">
      <c r="A185" t="s">
        <v>57</v>
      </c>
      <c r="B185" t="s">
        <v>27</v>
      </c>
      <c r="C185" t="s">
        <v>29</v>
      </c>
      <c r="D185" t="s">
        <v>887</v>
      </c>
      <c r="E185" t="str">
        <f t="shared" si="10"/>
        <v>P_014</v>
      </c>
      <c r="F185" t="str">
        <f t="shared" si="11"/>
        <v>Pst</v>
      </c>
      <c r="G185" t="str">
        <f t="shared" si="12"/>
        <v>14</v>
      </c>
      <c r="H185" t="str">
        <f t="shared" si="13"/>
        <v>P_014-Pst-14.png</v>
      </c>
      <c r="I185" t="str">
        <f t="shared" si="14"/>
        <v>https://raw.githubusercontent.com/epz0/bridgespace/main/img/P_014-Pst-14.png</v>
      </c>
    </row>
    <row r="186" spans="1:9" x14ac:dyDescent="0.3">
      <c r="A186" t="s">
        <v>57</v>
      </c>
      <c r="B186" t="s">
        <v>28</v>
      </c>
      <c r="C186" t="s">
        <v>29</v>
      </c>
      <c r="D186" t="s">
        <v>888</v>
      </c>
      <c r="E186" t="str">
        <f t="shared" si="10"/>
        <v>P_014</v>
      </c>
      <c r="F186" t="str">
        <f t="shared" si="11"/>
        <v>Pst</v>
      </c>
      <c r="G186" t="str">
        <f t="shared" si="12"/>
        <v>15</v>
      </c>
      <c r="H186" t="str">
        <f t="shared" si="13"/>
        <v>P_014-Pst-15.png</v>
      </c>
      <c r="I186" t="str">
        <f t="shared" si="14"/>
        <v>https://raw.githubusercontent.com/epz0/bridgespace/main/img/P_014-Pst-15.png</v>
      </c>
    </row>
    <row r="187" spans="1:9" x14ac:dyDescent="0.3">
      <c r="A187" t="s">
        <v>57</v>
      </c>
      <c r="B187" t="s">
        <v>35</v>
      </c>
      <c r="C187" t="s">
        <v>29</v>
      </c>
      <c r="D187" t="s">
        <v>889</v>
      </c>
      <c r="E187" t="str">
        <f t="shared" si="10"/>
        <v>P_014</v>
      </c>
      <c r="F187" t="str">
        <f t="shared" si="11"/>
        <v>Pst</v>
      </c>
      <c r="G187" t="str">
        <f t="shared" si="12"/>
        <v>21</v>
      </c>
      <c r="H187" t="str">
        <f t="shared" si="13"/>
        <v>P_014-Pst-21.png</v>
      </c>
      <c r="I187" t="str">
        <f t="shared" si="14"/>
        <v>https://raw.githubusercontent.com/epz0/bridgespace/main/img/P_014-Pst-21.png</v>
      </c>
    </row>
    <row r="188" spans="1:9" x14ac:dyDescent="0.3">
      <c r="A188" t="s">
        <v>59</v>
      </c>
      <c r="B188" t="s">
        <v>15</v>
      </c>
      <c r="C188" t="s">
        <v>12</v>
      </c>
      <c r="D188" t="s">
        <v>890</v>
      </c>
      <c r="E188" t="str">
        <f t="shared" si="10"/>
        <v>P_016</v>
      </c>
      <c r="F188" t="str">
        <f t="shared" si="11"/>
        <v>Pre</v>
      </c>
      <c r="G188" t="str">
        <f t="shared" si="12"/>
        <v>03</v>
      </c>
      <c r="H188" t="str">
        <f t="shared" si="13"/>
        <v>P_016-Pre-03.png</v>
      </c>
      <c r="I188" t="str">
        <f t="shared" si="14"/>
        <v>https://raw.githubusercontent.com/epz0/bridgespace/main/img/P_016-Pre-03.png</v>
      </c>
    </row>
    <row r="189" spans="1:9" x14ac:dyDescent="0.3">
      <c r="A189" t="s">
        <v>59</v>
      </c>
      <c r="B189" t="s">
        <v>23</v>
      </c>
      <c r="C189" t="s">
        <v>12</v>
      </c>
      <c r="D189" t="s">
        <v>891</v>
      </c>
      <c r="E189" t="str">
        <f t="shared" si="10"/>
        <v>P_016</v>
      </c>
      <c r="F189" t="str">
        <f t="shared" si="11"/>
        <v>Pre</v>
      </c>
      <c r="G189" t="str">
        <f t="shared" si="12"/>
        <v>10</v>
      </c>
      <c r="H189" t="str">
        <f t="shared" si="13"/>
        <v>P_016-Pre-10.png</v>
      </c>
      <c r="I189" t="str">
        <f t="shared" si="14"/>
        <v>https://raw.githubusercontent.com/epz0/bridgespace/main/img/P_016-Pre-10.png</v>
      </c>
    </row>
    <row r="190" spans="1:9" x14ac:dyDescent="0.3">
      <c r="A190" t="s">
        <v>59</v>
      </c>
      <c r="B190" t="s">
        <v>14</v>
      </c>
      <c r="C190" t="s">
        <v>12</v>
      </c>
      <c r="D190" t="s">
        <v>892</v>
      </c>
      <c r="E190" t="str">
        <f t="shared" si="10"/>
        <v>P_016</v>
      </c>
      <c r="F190" t="str">
        <f t="shared" si="11"/>
        <v>Pre</v>
      </c>
      <c r="G190" t="str">
        <f t="shared" si="12"/>
        <v>02</v>
      </c>
      <c r="H190" t="str">
        <f t="shared" si="13"/>
        <v>P_016-Pre-02.png</v>
      </c>
      <c r="I190" t="str">
        <f t="shared" si="14"/>
        <v>https://raw.githubusercontent.com/epz0/bridgespace/main/img/P_016-Pre-02.png</v>
      </c>
    </row>
    <row r="191" spans="1:9" x14ac:dyDescent="0.3">
      <c r="A191" t="s">
        <v>59</v>
      </c>
      <c r="B191" t="s">
        <v>25</v>
      </c>
      <c r="C191" t="s">
        <v>12</v>
      </c>
      <c r="D191" t="s">
        <v>893</v>
      </c>
      <c r="E191" t="str">
        <f t="shared" si="10"/>
        <v>P_016</v>
      </c>
      <c r="F191" t="str">
        <f t="shared" si="11"/>
        <v>Pre</v>
      </c>
      <c r="G191" t="str">
        <f t="shared" si="12"/>
        <v>12</v>
      </c>
      <c r="H191" t="str">
        <f t="shared" si="13"/>
        <v>P_016-Pre-12.png</v>
      </c>
      <c r="I191" t="str">
        <f t="shared" si="14"/>
        <v>https://raw.githubusercontent.com/epz0/bridgespace/main/img/P_016-Pre-12.png</v>
      </c>
    </row>
    <row r="192" spans="1:9" x14ac:dyDescent="0.3">
      <c r="A192" t="s">
        <v>59</v>
      </c>
      <c r="B192" t="s">
        <v>11</v>
      </c>
      <c r="C192" t="s">
        <v>12</v>
      </c>
      <c r="D192" t="s">
        <v>894</v>
      </c>
      <c r="E192" t="str">
        <f t="shared" si="10"/>
        <v>P_016</v>
      </c>
      <c r="F192" t="str">
        <f t="shared" si="11"/>
        <v>Pre</v>
      </c>
      <c r="G192" t="str">
        <f t="shared" si="12"/>
        <v>01</v>
      </c>
      <c r="H192" t="str">
        <f t="shared" si="13"/>
        <v>P_016-Pre-01.png</v>
      </c>
      <c r="I192" t="str">
        <f t="shared" si="14"/>
        <v>https://raw.githubusercontent.com/epz0/bridgespace/main/img/P_016-Pre-01.png</v>
      </c>
    </row>
    <row r="193" spans="1:9" x14ac:dyDescent="0.3">
      <c r="A193" t="s">
        <v>59</v>
      </c>
      <c r="B193" t="s">
        <v>24</v>
      </c>
      <c r="C193" t="s">
        <v>12</v>
      </c>
      <c r="D193" t="s">
        <v>895</v>
      </c>
      <c r="E193" t="str">
        <f t="shared" si="10"/>
        <v>P_016</v>
      </c>
      <c r="F193" t="str">
        <f t="shared" si="11"/>
        <v>Pre</v>
      </c>
      <c r="G193" t="str">
        <f t="shared" si="12"/>
        <v>11</v>
      </c>
      <c r="H193" t="str">
        <f t="shared" si="13"/>
        <v>P_016-Pre-11.png</v>
      </c>
      <c r="I193" t="str">
        <f t="shared" si="14"/>
        <v>https://raw.githubusercontent.com/epz0/bridgespace/main/img/P_016-Pre-11.png</v>
      </c>
    </row>
    <row r="194" spans="1:9" x14ac:dyDescent="0.3">
      <c r="A194" t="s">
        <v>59</v>
      </c>
      <c r="B194" t="s">
        <v>21</v>
      </c>
      <c r="C194" t="s">
        <v>12</v>
      </c>
      <c r="D194" t="s">
        <v>896</v>
      </c>
      <c r="E194" t="str">
        <f t="shared" si="10"/>
        <v>P_016</v>
      </c>
      <c r="F194" t="str">
        <f t="shared" si="11"/>
        <v>Pre</v>
      </c>
      <c r="G194" t="str">
        <f t="shared" si="12"/>
        <v>08</v>
      </c>
      <c r="H194" t="str">
        <f t="shared" si="13"/>
        <v>P_016-Pre-08.png</v>
      </c>
      <c r="I194" t="str">
        <f t="shared" si="14"/>
        <v>https://raw.githubusercontent.com/epz0/bridgespace/main/img/P_016-Pre-08.png</v>
      </c>
    </row>
    <row r="195" spans="1:9" x14ac:dyDescent="0.3">
      <c r="A195" t="s">
        <v>59</v>
      </c>
      <c r="B195" t="s">
        <v>19</v>
      </c>
      <c r="C195" t="s">
        <v>12</v>
      </c>
      <c r="D195" t="s">
        <v>897</v>
      </c>
      <c r="E195" t="str">
        <f t="shared" ref="E195:E258" si="15">VLOOKUP(A195,$N$3:$O$42,2,0)</f>
        <v>P_016</v>
      </c>
      <c r="F195" t="str">
        <f t="shared" ref="F195:F258" si="16">VLOOKUP(C195,$Q$2:$R$3,2,0)</f>
        <v>Pre</v>
      </c>
      <c r="G195" t="str">
        <f t="shared" ref="G195:G258" si="17">VLOOKUP(B195,$K$2:$L$33,2,0)</f>
        <v>06</v>
      </c>
      <c r="H195" t="str">
        <f t="shared" ref="H195:H258" si="18">E195&amp;"-"&amp;F195&amp;"-"&amp;G195&amp;".png"</f>
        <v>P_016-Pre-06.png</v>
      </c>
      <c r="I195" t="str">
        <f t="shared" ref="I195:I258" si="19">"https://raw.githubusercontent.com/epz0/bridgespace/main/img/"&amp;H195</f>
        <v>https://raw.githubusercontent.com/epz0/bridgespace/main/img/P_016-Pre-06.png</v>
      </c>
    </row>
    <row r="196" spans="1:9" x14ac:dyDescent="0.3">
      <c r="A196" t="s">
        <v>59</v>
      </c>
      <c r="B196" t="s">
        <v>17</v>
      </c>
      <c r="C196" t="s">
        <v>12</v>
      </c>
      <c r="D196" t="s">
        <v>898</v>
      </c>
      <c r="E196" t="str">
        <f t="shared" si="15"/>
        <v>P_016</v>
      </c>
      <c r="F196" t="str">
        <f t="shared" si="16"/>
        <v>Pre</v>
      </c>
      <c r="G196" t="str">
        <f t="shared" si="17"/>
        <v>05</v>
      </c>
      <c r="H196" t="str">
        <f t="shared" si="18"/>
        <v>P_016-Pre-05.png</v>
      </c>
      <c r="I196" t="str">
        <f t="shared" si="19"/>
        <v>https://raw.githubusercontent.com/epz0/bridgespace/main/img/P_016-Pre-05.png</v>
      </c>
    </row>
    <row r="197" spans="1:9" x14ac:dyDescent="0.3">
      <c r="A197" t="s">
        <v>59</v>
      </c>
      <c r="B197" t="s">
        <v>16</v>
      </c>
      <c r="C197" t="s">
        <v>12</v>
      </c>
      <c r="D197" t="s">
        <v>899</v>
      </c>
      <c r="E197" t="str">
        <f t="shared" si="15"/>
        <v>P_016</v>
      </c>
      <c r="F197" t="str">
        <f t="shared" si="16"/>
        <v>Pre</v>
      </c>
      <c r="G197" t="str">
        <f t="shared" si="17"/>
        <v>04</v>
      </c>
      <c r="H197" t="str">
        <f t="shared" si="18"/>
        <v>P_016-Pre-04.png</v>
      </c>
      <c r="I197" t="str">
        <f t="shared" si="19"/>
        <v>https://raw.githubusercontent.com/epz0/bridgespace/main/img/P_016-Pre-04.png</v>
      </c>
    </row>
    <row r="198" spans="1:9" x14ac:dyDescent="0.3">
      <c r="A198" t="s">
        <v>59</v>
      </c>
      <c r="B198" t="s">
        <v>20</v>
      </c>
      <c r="C198" t="s">
        <v>12</v>
      </c>
      <c r="D198" t="s">
        <v>900</v>
      </c>
      <c r="E198" t="str">
        <f t="shared" si="15"/>
        <v>P_016</v>
      </c>
      <c r="F198" t="str">
        <f t="shared" si="16"/>
        <v>Pre</v>
      </c>
      <c r="G198" t="str">
        <f t="shared" si="17"/>
        <v>07</v>
      </c>
      <c r="H198" t="str">
        <f t="shared" si="18"/>
        <v>P_016-Pre-07.png</v>
      </c>
      <c r="I198" t="str">
        <f t="shared" si="19"/>
        <v>https://raw.githubusercontent.com/epz0/bridgespace/main/img/P_016-Pre-07.png</v>
      </c>
    </row>
    <row r="199" spans="1:9" x14ac:dyDescent="0.3">
      <c r="A199" t="s">
        <v>59</v>
      </c>
      <c r="B199" t="s">
        <v>22</v>
      </c>
      <c r="C199" t="s">
        <v>12</v>
      </c>
      <c r="D199" t="s">
        <v>901</v>
      </c>
      <c r="E199" t="str">
        <f t="shared" si="15"/>
        <v>P_016</v>
      </c>
      <c r="F199" t="str">
        <f t="shared" si="16"/>
        <v>Pre</v>
      </c>
      <c r="G199" t="str">
        <f t="shared" si="17"/>
        <v>09</v>
      </c>
      <c r="H199" t="str">
        <f t="shared" si="18"/>
        <v>P_016-Pre-09.png</v>
      </c>
      <c r="I199" t="str">
        <f t="shared" si="19"/>
        <v>https://raw.githubusercontent.com/epz0/bridgespace/main/img/P_016-Pre-09.png</v>
      </c>
    </row>
    <row r="200" spans="1:9" x14ac:dyDescent="0.3">
      <c r="A200" t="s">
        <v>59</v>
      </c>
      <c r="B200" t="s">
        <v>39</v>
      </c>
      <c r="C200" t="s">
        <v>29</v>
      </c>
      <c r="D200" t="s">
        <v>902</v>
      </c>
      <c r="E200" t="str">
        <f t="shared" si="15"/>
        <v>P_016</v>
      </c>
      <c r="F200" t="str">
        <f t="shared" si="16"/>
        <v>Pst</v>
      </c>
      <c r="G200" t="str">
        <f t="shared" si="17"/>
        <v>25</v>
      </c>
      <c r="H200" t="str">
        <f t="shared" si="18"/>
        <v>P_016-Pst-25.png</v>
      </c>
      <c r="I200" t="str">
        <f t="shared" si="19"/>
        <v>https://raw.githubusercontent.com/epz0/bridgespace/main/img/P_016-Pst-25.png</v>
      </c>
    </row>
    <row r="201" spans="1:9" x14ac:dyDescent="0.3">
      <c r="A201" t="s">
        <v>59</v>
      </c>
      <c r="B201" t="s">
        <v>37</v>
      </c>
      <c r="C201" t="s">
        <v>29</v>
      </c>
      <c r="D201" t="s">
        <v>903</v>
      </c>
      <c r="E201" t="str">
        <f t="shared" si="15"/>
        <v>P_016</v>
      </c>
      <c r="F201" t="str">
        <f t="shared" si="16"/>
        <v>Pst</v>
      </c>
      <c r="G201" t="str">
        <f t="shared" si="17"/>
        <v>23</v>
      </c>
      <c r="H201" t="str">
        <f t="shared" si="18"/>
        <v>P_016-Pst-23.png</v>
      </c>
      <c r="I201" t="str">
        <f t="shared" si="19"/>
        <v>https://raw.githubusercontent.com/epz0/bridgespace/main/img/P_016-Pst-23.png</v>
      </c>
    </row>
    <row r="202" spans="1:9" x14ac:dyDescent="0.3">
      <c r="A202" t="s">
        <v>59</v>
      </c>
      <c r="B202" t="s">
        <v>32</v>
      </c>
      <c r="C202" t="s">
        <v>29</v>
      </c>
      <c r="D202" t="s">
        <v>904</v>
      </c>
      <c r="E202" t="str">
        <f t="shared" si="15"/>
        <v>P_016</v>
      </c>
      <c r="F202" t="str">
        <f t="shared" si="16"/>
        <v>Pst</v>
      </c>
      <c r="G202" t="str">
        <f t="shared" si="17"/>
        <v>18</v>
      </c>
      <c r="H202" t="str">
        <f t="shared" si="18"/>
        <v>P_016-Pst-18.png</v>
      </c>
      <c r="I202" t="str">
        <f t="shared" si="19"/>
        <v>https://raw.githubusercontent.com/epz0/bridgespace/main/img/P_016-Pst-18.png</v>
      </c>
    </row>
    <row r="203" spans="1:9" x14ac:dyDescent="0.3">
      <c r="A203" t="s">
        <v>59</v>
      </c>
      <c r="B203" t="s">
        <v>30</v>
      </c>
      <c r="C203" t="s">
        <v>29</v>
      </c>
      <c r="D203" t="s">
        <v>905</v>
      </c>
      <c r="E203" t="str">
        <f t="shared" si="15"/>
        <v>P_016</v>
      </c>
      <c r="F203" t="str">
        <f t="shared" si="16"/>
        <v>Pst</v>
      </c>
      <c r="G203" t="str">
        <f t="shared" si="17"/>
        <v>16</v>
      </c>
      <c r="H203" t="str">
        <f t="shared" si="18"/>
        <v>P_016-Pst-16.png</v>
      </c>
      <c r="I203" t="str">
        <f t="shared" si="19"/>
        <v>https://raw.githubusercontent.com/epz0/bridgespace/main/img/P_016-Pst-16.png</v>
      </c>
    </row>
    <row r="204" spans="1:9" x14ac:dyDescent="0.3">
      <c r="A204" t="s">
        <v>59</v>
      </c>
      <c r="B204" t="s">
        <v>40</v>
      </c>
      <c r="C204" t="s">
        <v>29</v>
      </c>
      <c r="D204" t="s">
        <v>906</v>
      </c>
      <c r="E204" t="str">
        <f t="shared" si="15"/>
        <v>P_016</v>
      </c>
      <c r="F204" t="str">
        <f t="shared" si="16"/>
        <v>Pst</v>
      </c>
      <c r="G204" t="str">
        <f t="shared" si="17"/>
        <v>26</v>
      </c>
      <c r="H204" t="str">
        <f t="shared" si="18"/>
        <v>P_016-Pst-26.png</v>
      </c>
      <c r="I204" t="str">
        <f t="shared" si="19"/>
        <v>https://raw.githubusercontent.com/epz0/bridgespace/main/img/P_016-Pst-26.png</v>
      </c>
    </row>
    <row r="205" spans="1:9" x14ac:dyDescent="0.3">
      <c r="A205" t="s">
        <v>59</v>
      </c>
      <c r="B205" t="s">
        <v>38</v>
      </c>
      <c r="C205" t="s">
        <v>29</v>
      </c>
      <c r="D205" t="s">
        <v>907</v>
      </c>
      <c r="E205" t="str">
        <f t="shared" si="15"/>
        <v>P_016</v>
      </c>
      <c r="F205" t="str">
        <f t="shared" si="16"/>
        <v>Pst</v>
      </c>
      <c r="G205" t="str">
        <f t="shared" si="17"/>
        <v>24</v>
      </c>
      <c r="H205" t="str">
        <f t="shared" si="18"/>
        <v>P_016-Pst-24.png</v>
      </c>
      <c r="I205" t="str">
        <f t="shared" si="19"/>
        <v>https://raw.githubusercontent.com/epz0/bridgespace/main/img/P_016-Pst-24.png</v>
      </c>
    </row>
    <row r="206" spans="1:9" x14ac:dyDescent="0.3">
      <c r="A206" t="s">
        <v>59</v>
      </c>
      <c r="B206" t="s">
        <v>34</v>
      </c>
      <c r="C206" t="s">
        <v>29</v>
      </c>
      <c r="D206" t="s">
        <v>908</v>
      </c>
      <c r="E206" t="str">
        <f t="shared" si="15"/>
        <v>P_016</v>
      </c>
      <c r="F206" t="str">
        <f t="shared" si="16"/>
        <v>Pst</v>
      </c>
      <c r="G206" t="str">
        <f t="shared" si="17"/>
        <v>20</v>
      </c>
      <c r="H206" t="str">
        <f t="shared" si="18"/>
        <v>P_016-Pst-20.png</v>
      </c>
      <c r="I206" t="str">
        <f t="shared" si="19"/>
        <v>https://raw.githubusercontent.com/epz0/bridgespace/main/img/P_016-Pst-20.png</v>
      </c>
    </row>
    <row r="207" spans="1:9" x14ac:dyDescent="0.3">
      <c r="A207" t="s">
        <v>59</v>
      </c>
      <c r="B207" t="s">
        <v>36</v>
      </c>
      <c r="C207" t="s">
        <v>29</v>
      </c>
      <c r="D207" t="s">
        <v>909</v>
      </c>
      <c r="E207" t="str">
        <f t="shared" si="15"/>
        <v>P_016</v>
      </c>
      <c r="F207" t="str">
        <f t="shared" si="16"/>
        <v>Pst</v>
      </c>
      <c r="G207" t="str">
        <f t="shared" si="17"/>
        <v>22</v>
      </c>
      <c r="H207" t="str">
        <f t="shared" si="18"/>
        <v>P_016-Pst-22.png</v>
      </c>
      <c r="I207" t="str">
        <f t="shared" si="19"/>
        <v>https://raw.githubusercontent.com/epz0/bridgespace/main/img/P_016-Pst-22.png</v>
      </c>
    </row>
    <row r="208" spans="1:9" x14ac:dyDescent="0.3">
      <c r="A208" t="s">
        <v>59</v>
      </c>
      <c r="B208" t="s">
        <v>33</v>
      </c>
      <c r="C208" t="s">
        <v>29</v>
      </c>
      <c r="D208" t="s">
        <v>910</v>
      </c>
      <c r="E208" t="str">
        <f t="shared" si="15"/>
        <v>P_016</v>
      </c>
      <c r="F208" t="str">
        <f t="shared" si="16"/>
        <v>Pst</v>
      </c>
      <c r="G208" t="str">
        <f t="shared" si="17"/>
        <v>19</v>
      </c>
      <c r="H208" t="str">
        <f t="shared" si="18"/>
        <v>P_016-Pst-19.png</v>
      </c>
      <c r="I208" t="str">
        <f t="shared" si="19"/>
        <v>https://raw.githubusercontent.com/epz0/bridgespace/main/img/P_016-Pst-19.png</v>
      </c>
    </row>
    <row r="209" spans="1:9" x14ac:dyDescent="0.3">
      <c r="A209" t="s">
        <v>59</v>
      </c>
      <c r="B209" t="s">
        <v>26</v>
      </c>
      <c r="C209" t="s">
        <v>29</v>
      </c>
      <c r="D209" t="s">
        <v>911</v>
      </c>
      <c r="E209" t="str">
        <f t="shared" si="15"/>
        <v>P_016</v>
      </c>
      <c r="F209" t="str">
        <f t="shared" si="16"/>
        <v>Pst</v>
      </c>
      <c r="G209" t="str">
        <f t="shared" si="17"/>
        <v>13</v>
      </c>
      <c r="H209" t="str">
        <f t="shared" si="18"/>
        <v>P_016-Pst-13.png</v>
      </c>
      <c r="I209" t="str">
        <f t="shared" si="19"/>
        <v>https://raw.githubusercontent.com/epz0/bridgespace/main/img/P_016-Pst-13.png</v>
      </c>
    </row>
    <row r="210" spans="1:9" x14ac:dyDescent="0.3">
      <c r="A210" t="s">
        <v>59</v>
      </c>
      <c r="B210" t="s">
        <v>31</v>
      </c>
      <c r="C210" t="s">
        <v>29</v>
      </c>
      <c r="D210" t="s">
        <v>912</v>
      </c>
      <c r="E210" t="str">
        <f t="shared" si="15"/>
        <v>P_016</v>
      </c>
      <c r="F210" t="str">
        <f t="shared" si="16"/>
        <v>Pst</v>
      </c>
      <c r="G210" t="str">
        <f t="shared" si="17"/>
        <v>17</v>
      </c>
      <c r="H210" t="str">
        <f t="shared" si="18"/>
        <v>P_016-Pst-17.png</v>
      </c>
      <c r="I210" t="str">
        <f t="shared" si="19"/>
        <v>https://raw.githubusercontent.com/epz0/bridgespace/main/img/P_016-Pst-17.png</v>
      </c>
    </row>
    <row r="211" spans="1:9" x14ac:dyDescent="0.3">
      <c r="A211" t="s">
        <v>59</v>
      </c>
      <c r="B211" t="s">
        <v>27</v>
      </c>
      <c r="C211" t="s">
        <v>29</v>
      </c>
      <c r="D211" t="s">
        <v>913</v>
      </c>
      <c r="E211" t="str">
        <f t="shared" si="15"/>
        <v>P_016</v>
      </c>
      <c r="F211" t="str">
        <f t="shared" si="16"/>
        <v>Pst</v>
      </c>
      <c r="G211" t="str">
        <f t="shared" si="17"/>
        <v>14</v>
      </c>
      <c r="H211" t="str">
        <f t="shared" si="18"/>
        <v>P_016-Pst-14.png</v>
      </c>
      <c r="I211" t="str">
        <f t="shared" si="19"/>
        <v>https://raw.githubusercontent.com/epz0/bridgespace/main/img/P_016-Pst-14.png</v>
      </c>
    </row>
    <row r="212" spans="1:9" x14ac:dyDescent="0.3">
      <c r="A212" t="s">
        <v>59</v>
      </c>
      <c r="B212" t="s">
        <v>28</v>
      </c>
      <c r="C212" t="s">
        <v>29</v>
      </c>
      <c r="D212" t="s">
        <v>914</v>
      </c>
      <c r="E212" t="str">
        <f t="shared" si="15"/>
        <v>P_016</v>
      </c>
      <c r="F212" t="str">
        <f t="shared" si="16"/>
        <v>Pst</v>
      </c>
      <c r="G212" t="str">
        <f t="shared" si="17"/>
        <v>15</v>
      </c>
      <c r="H212" t="str">
        <f t="shared" si="18"/>
        <v>P_016-Pst-15.png</v>
      </c>
      <c r="I212" t="str">
        <f t="shared" si="19"/>
        <v>https://raw.githubusercontent.com/epz0/bridgespace/main/img/P_016-Pst-15.png</v>
      </c>
    </row>
    <row r="213" spans="1:9" x14ac:dyDescent="0.3">
      <c r="A213" t="s">
        <v>59</v>
      </c>
      <c r="B213" t="s">
        <v>35</v>
      </c>
      <c r="C213" t="s">
        <v>29</v>
      </c>
      <c r="D213" t="s">
        <v>915</v>
      </c>
      <c r="E213" t="str">
        <f t="shared" si="15"/>
        <v>P_016</v>
      </c>
      <c r="F213" t="str">
        <f t="shared" si="16"/>
        <v>Pst</v>
      </c>
      <c r="G213" t="str">
        <f t="shared" si="17"/>
        <v>21</v>
      </c>
      <c r="H213" t="str">
        <f t="shared" si="18"/>
        <v>P_016-Pst-21.png</v>
      </c>
      <c r="I213" t="str">
        <f t="shared" si="19"/>
        <v>https://raw.githubusercontent.com/epz0/bridgespace/main/img/P_016-Pst-21.png</v>
      </c>
    </row>
    <row r="214" spans="1:9" x14ac:dyDescent="0.3">
      <c r="A214" t="s">
        <v>49</v>
      </c>
      <c r="B214" t="s">
        <v>15</v>
      </c>
      <c r="C214" t="s">
        <v>12</v>
      </c>
      <c r="D214" t="s">
        <v>916</v>
      </c>
      <c r="E214" t="str">
        <f t="shared" si="15"/>
        <v>P_006</v>
      </c>
      <c r="F214" t="str">
        <f t="shared" si="16"/>
        <v>Pre</v>
      </c>
      <c r="G214" t="str">
        <f t="shared" si="17"/>
        <v>03</v>
      </c>
      <c r="H214" t="str">
        <f t="shared" si="18"/>
        <v>P_006-Pre-03.png</v>
      </c>
      <c r="I214" t="str">
        <f t="shared" si="19"/>
        <v>https://raw.githubusercontent.com/epz0/bridgespace/main/img/P_006-Pre-03.png</v>
      </c>
    </row>
    <row r="215" spans="1:9" x14ac:dyDescent="0.3">
      <c r="A215" t="s">
        <v>49</v>
      </c>
      <c r="B215" t="s">
        <v>14</v>
      </c>
      <c r="C215" t="s">
        <v>12</v>
      </c>
      <c r="D215" t="s">
        <v>917</v>
      </c>
      <c r="E215" t="str">
        <f t="shared" si="15"/>
        <v>P_006</v>
      </c>
      <c r="F215" t="str">
        <f t="shared" si="16"/>
        <v>Pre</v>
      </c>
      <c r="G215" t="str">
        <f t="shared" si="17"/>
        <v>02</v>
      </c>
      <c r="H215" t="str">
        <f t="shared" si="18"/>
        <v>P_006-Pre-02.png</v>
      </c>
      <c r="I215" t="str">
        <f t="shared" si="19"/>
        <v>https://raw.githubusercontent.com/epz0/bridgespace/main/img/P_006-Pre-02.png</v>
      </c>
    </row>
    <row r="216" spans="1:9" x14ac:dyDescent="0.3">
      <c r="A216" t="s">
        <v>49</v>
      </c>
      <c r="B216" t="s">
        <v>11</v>
      </c>
      <c r="C216" t="s">
        <v>12</v>
      </c>
      <c r="D216" t="s">
        <v>918</v>
      </c>
      <c r="E216" t="str">
        <f t="shared" si="15"/>
        <v>P_006</v>
      </c>
      <c r="F216" t="str">
        <f t="shared" si="16"/>
        <v>Pre</v>
      </c>
      <c r="G216" t="str">
        <f t="shared" si="17"/>
        <v>01</v>
      </c>
      <c r="H216" t="str">
        <f t="shared" si="18"/>
        <v>P_006-Pre-01.png</v>
      </c>
      <c r="I216" t="str">
        <f t="shared" si="19"/>
        <v>https://raw.githubusercontent.com/epz0/bridgespace/main/img/P_006-Pre-01.png</v>
      </c>
    </row>
    <row r="217" spans="1:9" x14ac:dyDescent="0.3">
      <c r="A217" t="s">
        <v>49</v>
      </c>
      <c r="B217" t="s">
        <v>19</v>
      </c>
      <c r="C217" t="s">
        <v>12</v>
      </c>
      <c r="D217" t="s">
        <v>919</v>
      </c>
      <c r="E217" t="str">
        <f t="shared" si="15"/>
        <v>P_006</v>
      </c>
      <c r="F217" t="str">
        <f t="shared" si="16"/>
        <v>Pre</v>
      </c>
      <c r="G217" t="str">
        <f t="shared" si="17"/>
        <v>06</v>
      </c>
      <c r="H217" t="str">
        <f t="shared" si="18"/>
        <v>P_006-Pre-06.png</v>
      </c>
      <c r="I217" t="str">
        <f t="shared" si="19"/>
        <v>https://raw.githubusercontent.com/epz0/bridgespace/main/img/P_006-Pre-06.png</v>
      </c>
    </row>
    <row r="218" spans="1:9" x14ac:dyDescent="0.3">
      <c r="A218" t="s">
        <v>49</v>
      </c>
      <c r="B218" t="s">
        <v>17</v>
      </c>
      <c r="C218" t="s">
        <v>12</v>
      </c>
      <c r="D218" t="s">
        <v>920</v>
      </c>
      <c r="E218" t="str">
        <f t="shared" si="15"/>
        <v>P_006</v>
      </c>
      <c r="F218" t="str">
        <f t="shared" si="16"/>
        <v>Pre</v>
      </c>
      <c r="G218" t="str">
        <f t="shared" si="17"/>
        <v>05</v>
      </c>
      <c r="H218" t="str">
        <f t="shared" si="18"/>
        <v>P_006-Pre-05.png</v>
      </c>
      <c r="I218" t="str">
        <f t="shared" si="19"/>
        <v>https://raw.githubusercontent.com/epz0/bridgespace/main/img/P_006-Pre-05.png</v>
      </c>
    </row>
    <row r="219" spans="1:9" x14ac:dyDescent="0.3">
      <c r="A219" t="s">
        <v>49</v>
      </c>
      <c r="B219" t="s">
        <v>16</v>
      </c>
      <c r="C219" t="s">
        <v>12</v>
      </c>
      <c r="D219" t="s">
        <v>921</v>
      </c>
      <c r="E219" t="str">
        <f t="shared" si="15"/>
        <v>P_006</v>
      </c>
      <c r="F219" t="str">
        <f t="shared" si="16"/>
        <v>Pre</v>
      </c>
      <c r="G219" t="str">
        <f t="shared" si="17"/>
        <v>04</v>
      </c>
      <c r="H219" t="str">
        <f t="shared" si="18"/>
        <v>P_006-Pre-04.png</v>
      </c>
      <c r="I219" t="str">
        <f t="shared" si="19"/>
        <v>https://raw.githubusercontent.com/epz0/bridgespace/main/img/P_006-Pre-04.png</v>
      </c>
    </row>
    <row r="220" spans="1:9" x14ac:dyDescent="0.3">
      <c r="A220" t="s">
        <v>49</v>
      </c>
      <c r="B220" t="s">
        <v>20</v>
      </c>
      <c r="C220" t="s">
        <v>12</v>
      </c>
      <c r="D220" t="s">
        <v>922</v>
      </c>
      <c r="E220" t="str">
        <f t="shared" si="15"/>
        <v>P_006</v>
      </c>
      <c r="F220" t="str">
        <f t="shared" si="16"/>
        <v>Pre</v>
      </c>
      <c r="G220" t="str">
        <f t="shared" si="17"/>
        <v>07</v>
      </c>
      <c r="H220" t="str">
        <f t="shared" si="18"/>
        <v>P_006-Pre-07.png</v>
      </c>
      <c r="I220" t="str">
        <f t="shared" si="19"/>
        <v>https://raw.githubusercontent.com/epz0/bridgespace/main/img/P_006-Pre-07.png</v>
      </c>
    </row>
    <row r="221" spans="1:9" x14ac:dyDescent="0.3">
      <c r="A221" t="s">
        <v>49</v>
      </c>
      <c r="B221" t="s">
        <v>23</v>
      </c>
      <c r="C221" t="s">
        <v>29</v>
      </c>
      <c r="D221" t="s">
        <v>923</v>
      </c>
      <c r="E221" t="str">
        <f t="shared" si="15"/>
        <v>P_006</v>
      </c>
      <c r="F221" t="str">
        <f t="shared" si="16"/>
        <v>Pst</v>
      </c>
      <c r="G221" t="str">
        <f t="shared" si="17"/>
        <v>10</v>
      </c>
      <c r="H221" t="str">
        <f t="shared" si="18"/>
        <v>P_006-Pst-10.png</v>
      </c>
      <c r="I221" t="str">
        <f t="shared" si="19"/>
        <v>https://raw.githubusercontent.com/epz0/bridgespace/main/img/P_006-Pst-10.png</v>
      </c>
    </row>
    <row r="222" spans="1:9" x14ac:dyDescent="0.3">
      <c r="A222" t="s">
        <v>49</v>
      </c>
      <c r="B222" t="s">
        <v>25</v>
      </c>
      <c r="C222" t="s">
        <v>29</v>
      </c>
      <c r="D222" t="s">
        <v>924</v>
      </c>
      <c r="E222" t="str">
        <f t="shared" si="15"/>
        <v>P_006</v>
      </c>
      <c r="F222" t="str">
        <f t="shared" si="16"/>
        <v>Pst</v>
      </c>
      <c r="G222" t="str">
        <f t="shared" si="17"/>
        <v>12</v>
      </c>
      <c r="H222" t="str">
        <f t="shared" si="18"/>
        <v>P_006-Pst-12.png</v>
      </c>
      <c r="I222" t="str">
        <f t="shared" si="19"/>
        <v>https://raw.githubusercontent.com/epz0/bridgespace/main/img/P_006-Pst-12.png</v>
      </c>
    </row>
    <row r="223" spans="1:9" x14ac:dyDescent="0.3">
      <c r="A223" t="s">
        <v>49</v>
      </c>
      <c r="B223" t="s">
        <v>24</v>
      </c>
      <c r="C223" t="s">
        <v>29</v>
      </c>
      <c r="D223" t="s">
        <v>925</v>
      </c>
      <c r="E223" t="str">
        <f t="shared" si="15"/>
        <v>P_006</v>
      </c>
      <c r="F223" t="str">
        <f t="shared" si="16"/>
        <v>Pst</v>
      </c>
      <c r="G223" t="str">
        <f t="shared" si="17"/>
        <v>11</v>
      </c>
      <c r="H223" t="str">
        <f t="shared" si="18"/>
        <v>P_006-Pst-11.png</v>
      </c>
      <c r="I223" t="str">
        <f t="shared" si="19"/>
        <v>https://raw.githubusercontent.com/epz0/bridgespace/main/img/P_006-Pst-11.png</v>
      </c>
    </row>
    <row r="224" spans="1:9" x14ac:dyDescent="0.3">
      <c r="A224" t="s">
        <v>49</v>
      </c>
      <c r="B224" t="s">
        <v>21</v>
      </c>
      <c r="C224" t="s">
        <v>29</v>
      </c>
      <c r="D224" t="s">
        <v>926</v>
      </c>
      <c r="E224" t="str">
        <f t="shared" si="15"/>
        <v>P_006</v>
      </c>
      <c r="F224" t="str">
        <f t="shared" si="16"/>
        <v>Pst</v>
      </c>
      <c r="G224" t="str">
        <f t="shared" si="17"/>
        <v>08</v>
      </c>
      <c r="H224" t="str">
        <f t="shared" si="18"/>
        <v>P_006-Pst-08.png</v>
      </c>
      <c r="I224" t="str">
        <f t="shared" si="19"/>
        <v>https://raw.githubusercontent.com/epz0/bridgespace/main/img/P_006-Pst-08.png</v>
      </c>
    </row>
    <row r="225" spans="1:9" x14ac:dyDescent="0.3">
      <c r="A225" t="s">
        <v>49</v>
      </c>
      <c r="B225" t="s">
        <v>26</v>
      </c>
      <c r="C225" t="s">
        <v>29</v>
      </c>
      <c r="D225" t="s">
        <v>927</v>
      </c>
      <c r="E225" t="str">
        <f t="shared" si="15"/>
        <v>P_006</v>
      </c>
      <c r="F225" t="str">
        <f t="shared" si="16"/>
        <v>Pst</v>
      </c>
      <c r="G225" t="str">
        <f t="shared" si="17"/>
        <v>13</v>
      </c>
      <c r="H225" t="str">
        <f t="shared" si="18"/>
        <v>P_006-Pst-13.png</v>
      </c>
      <c r="I225" t="str">
        <f t="shared" si="19"/>
        <v>https://raw.githubusercontent.com/epz0/bridgespace/main/img/P_006-Pst-13.png</v>
      </c>
    </row>
    <row r="226" spans="1:9" x14ac:dyDescent="0.3">
      <c r="A226" t="s">
        <v>49</v>
      </c>
      <c r="B226" t="s">
        <v>22</v>
      </c>
      <c r="C226" t="s">
        <v>29</v>
      </c>
      <c r="D226" t="s">
        <v>928</v>
      </c>
      <c r="E226" t="str">
        <f t="shared" si="15"/>
        <v>P_006</v>
      </c>
      <c r="F226" t="str">
        <f t="shared" si="16"/>
        <v>Pst</v>
      </c>
      <c r="G226" t="str">
        <f t="shared" si="17"/>
        <v>09</v>
      </c>
      <c r="H226" t="str">
        <f t="shared" si="18"/>
        <v>P_006-Pst-09.png</v>
      </c>
      <c r="I226" t="str">
        <f t="shared" si="19"/>
        <v>https://raw.githubusercontent.com/epz0/bridgespace/main/img/P_006-Pst-09.png</v>
      </c>
    </row>
    <row r="227" spans="1:9" x14ac:dyDescent="0.3">
      <c r="A227" t="s">
        <v>49</v>
      </c>
      <c r="B227" t="s">
        <v>27</v>
      </c>
      <c r="C227" t="s">
        <v>29</v>
      </c>
      <c r="D227" t="s">
        <v>929</v>
      </c>
      <c r="E227" t="str">
        <f t="shared" si="15"/>
        <v>P_006</v>
      </c>
      <c r="F227" t="str">
        <f t="shared" si="16"/>
        <v>Pst</v>
      </c>
      <c r="G227" t="str">
        <f t="shared" si="17"/>
        <v>14</v>
      </c>
      <c r="H227" t="str">
        <f t="shared" si="18"/>
        <v>P_006-Pst-14.png</v>
      </c>
      <c r="I227" t="str">
        <f t="shared" si="19"/>
        <v>https://raw.githubusercontent.com/epz0/bridgespace/main/img/P_006-Pst-14.png</v>
      </c>
    </row>
    <row r="228" spans="1:9" x14ac:dyDescent="0.3">
      <c r="A228" t="s">
        <v>49</v>
      </c>
      <c r="B228" t="s">
        <v>28</v>
      </c>
      <c r="C228" t="s">
        <v>29</v>
      </c>
      <c r="D228" t="s">
        <v>930</v>
      </c>
      <c r="E228" t="str">
        <f t="shared" si="15"/>
        <v>P_006</v>
      </c>
      <c r="F228" t="str">
        <f t="shared" si="16"/>
        <v>Pst</v>
      </c>
      <c r="G228" t="str">
        <f t="shared" si="17"/>
        <v>15</v>
      </c>
      <c r="H228" t="str">
        <f t="shared" si="18"/>
        <v>P_006-Pst-15.png</v>
      </c>
      <c r="I228" t="str">
        <f t="shared" si="19"/>
        <v>https://raw.githubusercontent.com/epz0/bridgespace/main/img/P_006-Pst-15.png</v>
      </c>
    </row>
    <row r="229" spans="1:9" x14ac:dyDescent="0.3">
      <c r="A229" t="s">
        <v>62</v>
      </c>
      <c r="B229" t="s">
        <v>15</v>
      </c>
      <c r="C229" t="s">
        <v>12</v>
      </c>
      <c r="D229" t="s">
        <v>931</v>
      </c>
      <c r="E229" t="str">
        <f t="shared" si="15"/>
        <v>P_019</v>
      </c>
      <c r="F229" t="str">
        <f t="shared" si="16"/>
        <v>Pre</v>
      </c>
      <c r="G229" t="str">
        <f t="shared" si="17"/>
        <v>03</v>
      </c>
      <c r="H229" t="str">
        <f t="shared" si="18"/>
        <v>P_019-Pre-03.png</v>
      </c>
      <c r="I229" t="str">
        <f t="shared" si="19"/>
        <v>https://raw.githubusercontent.com/epz0/bridgespace/main/img/P_019-Pre-03.png</v>
      </c>
    </row>
    <row r="230" spans="1:9" x14ac:dyDescent="0.3">
      <c r="A230" t="s">
        <v>62</v>
      </c>
      <c r="B230" t="s">
        <v>23</v>
      </c>
      <c r="C230" t="s">
        <v>12</v>
      </c>
      <c r="D230" t="s">
        <v>932</v>
      </c>
      <c r="E230" t="str">
        <f t="shared" si="15"/>
        <v>P_019</v>
      </c>
      <c r="F230" t="str">
        <f t="shared" si="16"/>
        <v>Pre</v>
      </c>
      <c r="G230" t="str">
        <f t="shared" si="17"/>
        <v>10</v>
      </c>
      <c r="H230" t="str">
        <f t="shared" si="18"/>
        <v>P_019-Pre-10.png</v>
      </c>
      <c r="I230" t="str">
        <f t="shared" si="19"/>
        <v>https://raw.githubusercontent.com/epz0/bridgespace/main/img/P_019-Pre-10.png</v>
      </c>
    </row>
    <row r="231" spans="1:9" x14ac:dyDescent="0.3">
      <c r="A231" t="s">
        <v>62</v>
      </c>
      <c r="B231" t="s">
        <v>14</v>
      </c>
      <c r="C231" t="s">
        <v>12</v>
      </c>
      <c r="D231" t="s">
        <v>933</v>
      </c>
      <c r="E231" t="str">
        <f t="shared" si="15"/>
        <v>P_019</v>
      </c>
      <c r="F231" t="str">
        <f t="shared" si="16"/>
        <v>Pre</v>
      </c>
      <c r="G231" t="str">
        <f t="shared" si="17"/>
        <v>02</v>
      </c>
      <c r="H231" t="str">
        <f t="shared" si="18"/>
        <v>P_019-Pre-02.png</v>
      </c>
      <c r="I231" t="str">
        <f t="shared" si="19"/>
        <v>https://raw.githubusercontent.com/epz0/bridgespace/main/img/P_019-Pre-02.png</v>
      </c>
    </row>
    <row r="232" spans="1:9" x14ac:dyDescent="0.3">
      <c r="A232" t="s">
        <v>62</v>
      </c>
      <c r="B232" t="s">
        <v>25</v>
      </c>
      <c r="C232" t="s">
        <v>12</v>
      </c>
      <c r="D232" t="s">
        <v>934</v>
      </c>
      <c r="E232" t="str">
        <f t="shared" si="15"/>
        <v>P_019</v>
      </c>
      <c r="F232" t="str">
        <f t="shared" si="16"/>
        <v>Pre</v>
      </c>
      <c r="G232" t="str">
        <f t="shared" si="17"/>
        <v>12</v>
      </c>
      <c r="H232" t="str">
        <f t="shared" si="18"/>
        <v>P_019-Pre-12.png</v>
      </c>
      <c r="I232" t="str">
        <f t="shared" si="19"/>
        <v>https://raw.githubusercontent.com/epz0/bridgespace/main/img/P_019-Pre-12.png</v>
      </c>
    </row>
    <row r="233" spans="1:9" x14ac:dyDescent="0.3">
      <c r="A233" t="s">
        <v>62</v>
      </c>
      <c r="B233" t="s">
        <v>11</v>
      </c>
      <c r="C233" t="s">
        <v>12</v>
      </c>
      <c r="D233" t="s">
        <v>935</v>
      </c>
      <c r="E233" t="str">
        <f t="shared" si="15"/>
        <v>P_019</v>
      </c>
      <c r="F233" t="str">
        <f t="shared" si="16"/>
        <v>Pre</v>
      </c>
      <c r="G233" t="str">
        <f t="shared" si="17"/>
        <v>01</v>
      </c>
      <c r="H233" t="str">
        <f t="shared" si="18"/>
        <v>P_019-Pre-01.png</v>
      </c>
      <c r="I233" t="str">
        <f t="shared" si="19"/>
        <v>https://raw.githubusercontent.com/epz0/bridgespace/main/img/P_019-Pre-01.png</v>
      </c>
    </row>
    <row r="234" spans="1:9" x14ac:dyDescent="0.3">
      <c r="A234" t="s">
        <v>62</v>
      </c>
      <c r="B234" t="s">
        <v>24</v>
      </c>
      <c r="C234" t="s">
        <v>12</v>
      </c>
      <c r="D234" t="s">
        <v>936</v>
      </c>
      <c r="E234" t="str">
        <f t="shared" si="15"/>
        <v>P_019</v>
      </c>
      <c r="F234" t="str">
        <f t="shared" si="16"/>
        <v>Pre</v>
      </c>
      <c r="G234" t="str">
        <f t="shared" si="17"/>
        <v>11</v>
      </c>
      <c r="H234" t="str">
        <f t="shared" si="18"/>
        <v>P_019-Pre-11.png</v>
      </c>
      <c r="I234" t="str">
        <f t="shared" si="19"/>
        <v>https://raw.githubusercontent.com/epz0/bridgespace/main/img/P_019-Pre-11.png</v>
      </c>
    </row>
    <row r="235" spans="1:9" x14ac:dyDescent="0.3">
      <c r="A235" t="s">
        <v>62</v>
      </c>
      <c r="B235" t="s">
        <v>21</v>
      </c>
      <c r="C235" t="s">
        <v>12</v>
      </c>
      <c r="D235" t="s">
        <v>937</v>
      </c>
      <c r="E235" t="str">
        <f t="shared" si="15"/>
        <v>P_019</v>
      </c>
      <c r="F235" t="str">
        <f t="shared" si="16"/>
        <v>Pre</v>
      </c>
      <c r="G235" t="str">
        <f t="shared" si="17"/>
        <v>08</v>
      </c>
      <c r="H235" t="str">
        <f t="shared" si="18"/>
        <v>P_019-Pre-08.png</v>
      </c>
      <c r="I235" t="str">
        <f t="shared" si="19"/>
        <v>https://raw.githubusercontent.com/epz0/bridgespace/main/img/P_019-Pre-08.png</v>
      </c>
    </row>
    <row r="236" spans="1:9" x14ac:dyDescent="0.3">
      <c r="A236" t="s">
        <v>62</v>
      </c>
      <c r="B236" t="s">
        <v>30</v>
      </c>
      <c r="C236" t="s">
        <v>12</v>
      </c>
      <c r="D236" t="s">
        <v>938</v>
      </c>
      <c r="E236" t="str">
        <f t="shared" si="15"/>
        <v>P_019</v>
      </c>
      <c r="F236" t="str">
        <f t="shared" si="16"/>
        <v>Pre</v>
      </c>
      <c r="G236" t="str">
        <f t="shared" si="17"/>
        <v>16</v>
      </c>
      <c r="H236" t="str">
        <f t="shared" si="18"/>
        <v>P_019-Pre-16.png</v>
      </c>
      <c r="I236" t="str">
        <f t="shared" si="19"/>
        <v>https://raw.githubusercontent.com/epz0/bridgespace/main/img/P_019-Pre-16.png</v>
      </c>
    </row>
    <row r="237" spans="1:9" x14ac:dyDescent="0.3">
      <c r="A237" t="s">
        <v>62</v>
      </c>
      <c r="B237" t="s">
        <v>19</v>
      </c>
      <c r="C237" t="s">
        <v>12</v>
      </c>
      <c r="D237" t="s">
        <v>939</v>
      </c>
      <c r="E237" t="str">
        <f t="shared" si="15"/>
        <v>P_019</v>
      </c>
      <c r="F237" t="str">
        <f t="shared" si="16"/>
        <v>Pre</v>
      </c>
      <c r="G237" t="str">
        <f t="shared" si="17"/>
        <v>06</v>
      </c>
      <c r="H237" t="str">
        <f t="shared" si="18"/>
        <v>P_019-Pre-06.png</v>
      </c>
      <c r="I237" t="str">
        <f t="shared" si="19"/>
        <v>https://raw.githubusercontent.com/epz0/bridgespace/main/img/P_019-Pre-06.png</v>
      </c>
    </row>
    <row r="238" spans="1:9" x14ac:dyDescent="0.3">
      <c r="A238" t="s">
        <v>62</v>
      </c>
      <c r="B238" t="s">
        <v>17</v>
      </c>
      <c r="C238" t="s">
        <v>12</v>
      </c>
      <c r="D238" t="s">
        <v>940</v>
      </c>
      <c r="E238" t="str">
        <f t="shared" si="15"/>
        <v>P_019</v>
      </c>
      <c r="F238" t="str">
        <f t="shared" si="16"/>
        <v>Pre</v>
      </c>
      <c r="G238" t="str">
        <f t="shared" si="17"/>
        <v>05</v>
      </c>
      <c r="H238" t="str">
        <f t="shared" si="18"/>
        <v>P_019-Pre-05.png</v>
      </c>
      <c r="I238" t="str">
        <f t="shared" si="19"/>
        <v>https://raw.githubusercontent.com/epz0/bridgespace/main/img/P_019-Pre-05.png</v>
      </c>
    </row>
    <row r="239" spans="1:9" x14ac:dyDescent="0.3">
      <c r="A239" t="s">
        <v>62</v>
      </c>
      <c r="B239" t="s">
        <v>16</v>
      </c>
      <c r="C239" t="s">
        <v>12</v>
      </c>
      <c r="D239" t="s">
        <v>941</v>
      </c>
      <c r="E239" t="str">
        <f t="shared" si="15"/>
        <v>P_019</v>
      </c>
      <c r="F239" t="str">
        <f t="shared" si="16"/>
        <v>Pre</v>
      </c>
      <c r="G239" t="str">
        <f t="shared" si="17"/>
        <v>04</v>
      </c>
      <c r="H239" t="str">
        <f t="shared" si="18"/>
        <v>P_019-Pre-04.png</v>
      </c>
      <c r="I239" t="str">
        <f t="shared" si="19"/>
        <v>https://raw.githubusercontent.com/epz0/bridgespace/main/img/P_019-Pre-04.png</v>
      </c>
    </row>
    <row r="240" spans="1:9" x14ac:dyDescent="0.3">
      <c r="A240" t="s">
        <v>62</v>
      </c>
      <c r="B240" t="s">
        <v>20</v>
      </c>
      <c r="C240" t="s">
        <v>12</v>
      </c>
      <c r="D240" t="s">
        <v>942</v>
      </c>
      <c r="E240" t="str">
        <f t="shared" si="15"/>
        <v>P_019</v>
      </c>
      <c r="F240" t="str">
        <f t="shared" si="16"/>
        <v>Pre</v>
      </c>
      <c r="G240" t="str">
        <f t="shared" si="17"/>
        <v>07</v>
      </c>
      <c r="H240" t="str">
        <f t="shared" si="18"/>
        <v>P_019-Pre-07.png</v>
      </c>
      <c r="I240" t="str">
        <f t="shared" si="19"/>
        <v>https://raw.githubusercontent.com/epz0/bridgespace/main/img/P_019-Pre-07.png</v>
      </c>
    </row>
    <row r="241" spans="1:9" x14ac:dyDescent="0.3">
      <c r="A241" t="s">
        <v>62</v>
      </c>
      <c r="B241" t="s">
        <v>26</v>
      </c>
      <c r="C241" t="s">
        <v>12</v>
      </c>
      <c r="D241" t="s">
        <v>943</v>
      </c>
      <c r="E241" t="str">
        <f t="shared" si="15"/>
        <v>P_019</v>
      </c>
      <c r="F241" t="str">
        <f t="shared" si="16"/>
        <v>Pre</v>
      </c>
      <c r="G241" t="str">
        <f t="shared" si="17"/>
        <v>13</v>
      </c>
      <c r="H241" t="str">
        <f t="shared" si="18"/>
        <v>P_019-Pre-13.png</v>
      </c>
      <c r="I241" t="str">
        <f t="shared" si="19"/>
        <v>https://raw.githubusercontent.com/epz0/bridgespace/main/img/P_019-Pre-13.png</v>
      </c>
    </row>
    <row r="242" spans="1:9" x14ac:dyDescent="0.3">
      <c r="A242" t="s">
        <v>62</v>
      </c>
      <c r="B242" t="s">
        <v>22</v>
      </c>
      <c r="C242" t="s">
        <v>12</v>
      </c>
      <c r="D242" t="s">
        <v>944</v>
      </c>
      <c r="E242" t="str">
        <f t="shared" si="15"/>
        <v>P_019</v>
      </c>
      <c r="F242" t="str">
        <f t="shared" si="16"/>
        <v>Pre</v>
      </c>
      <c r="G242" t="str">
        <f t="shared" si="17"/>
        <v>09</v>
      </c>
      <c r="H242" t="str">
        <f t="shared" si="18"/>
        <v>P_019-Pre-09.png</v>
      </c>
      <c r="I242" t="str">
        <f t="shared" si="19"/>
        <v>https://raw.githubusercontent.com/epz0/bridgespace/main/img/P_019-Pre-09.png</v>
      </c>
    </row>
    <row r="243" spans="1:9" x14ac:dyDescent="0.3">
      <c r="A243" t="s">
        <v>62</v>
      </c>
      <c r="B243" t="s">
        <v>31</v>
      </c>
      <c r="C243" t="s">
        <v>12</v>
      </c>
      <c r="D243" t="s">
        <v>945</v>
      </c>
      <c r="E243" t="str">
        <f t="shared" si="15"/>
        <v>P_019</v>
      </c>
      <c r="F243" t="str">
        <f t="shared" si="16"/>
        <v>Pre</v>
      </c>
      <c r="G243" t="str">
        <f t="shared" si="17"/>
        <v>17</v>
      </c>
      <c r="H243" t="str">
        <f t="shared" si="18"/>
        <v>P_019-Pre-17.png</v>
      </c>
      <c r="I243" t="str">
        <f t="shared" si="19"/>
        <v>https://raw.githubusercontent.com/epz0/bridgespace/main/img/P_019-Pre-17.png</v>
      </c>
    </row>
    <row r="244" spans="1:9" x14ac:dyDescent="0.3">
      <c r="A244" t="s">
        <v>62</v>
      </c>
      <c r="B244" t="s">
        <v>27</v>
      </c>
      <c r="C244" t="s">
        <v>12</v>
      </c>
      <c r="D244" t="s">
        <v>946</v>
      </c>
      <c r="E244" t="str">
        <f t="shared" si="15"/>
        <v>P_019</v>
      </c>
      <c r="F244" t="str">
        <f t="shared" si="16"/>
        <v>Pre</v>
      </c>
      <c r="G244" t="str">
        <f t="shared" si="17"/>
        <v>14</v>
      </c>
      <c r="H244" t="str">
        <f t="shared" si="18"/>
        <v>P_019-Pre-14.png</v>
      </c>
      <c r="I244" t="str">
        <f t="shared" si="19"/>
        <v>https://raw.githubusercontent.com/epz0/bridgespace/main/img/P_019-Pre-14.png</v>
      </c>
    </row>
    <row r="245" spans="1:9" x14ac:dyDescent="0.3">
      <c r="A245" t="s">
        <v>62</v>
      </c>
      <c r="B245" t="s">
        <v>28</v>
      </c>
      <c r="C245" t="s">
        <v>12</v>
      </c>
      <c r="D245" t="s">
        <v>947</v>
      </c>
      <c r="E245" t="str">
        <f t="shared" si="15"/>
        <v>P_019</v>
      </c>
      <c r="F245" t="str">
        <f t="shared" si="16"/>
        <v>Pre</v>
      </c>
      <c r="G245" t="str">
        <f t="shared" si="17"/>
        <v>15</v>
      </c>
      <c r="H245" t="str">
        <f t="shared" si="18"/>
        <v>P_019-Pre-15.png</v>
      </c>
      <c r="I245" t="str">
        <f t="shared" si="19"/>
        <v>https://raw.githubusercontent.com/epz0/bridgespace/main/img/P_019-Pre-15.png</v>
      </c>
    </row>
    <row r="246" spans="1:9" x14ac:dyDescent="0.3">
      <c r="A246" t="s">
        <v>62</v>
      </c>
      <c r="B246" t="s">
        <v>64</v>
      </c>
      <c r="C246" t="s">
        <v>29</v>
      </c>
      <c r="D246" t="s">
        <v>948</v>
      </c>
      <c r="E246" t="str">
        <f t="shared" si="15"/>
        <v>P_019</v>
      </c>
      <c r="F246" t="str">
        <f t="shared" si="16"/>
        <v>Pst</v>
      </c>
      <c r="G246" t="str">
        <f t="shared" si="17"/>
        <v>30</v>
      </c>
      <c r="H246" t="str">
        <f t="shared" si="18"/>
        <v>P_019-Pst-30.png</v>
      </c>
      <c r="I246" t="str">
        <f t="shared" si="19"/>
        <v>https://raw.githubusercontent.com/epz0/bridgespace/main/img/P_019-Pst-30.png</v>
      </c>
    </row>
    <row r="247" spans="1:9" x14ac:dyDescent="0.3">
      <c r="A247" t="s">
        <v>62</v>
      </c>
      <c r="B247" t="s">
        <v>39</v>
      </c>
      <c r="C247" t="s">
        <v>29</v>
      </c>
      <c r="D247" t="s">
        <v>949</v>
      </c>
      <c r="E247" t="str">
        <f t="shared" si="15"/>
        <v>P_019</v>
      </c>
      <c r="F247" t="str">
        <f t="shared" si="16"/>
        <v>Pst</v>
      </c>
      <c r="G247" t="str">
        <f t="shared" si="17"/>
        <v>25</v>
      </c>
      <c r="H247" t="str">
        <f t="shared" si="18"/>
        <v>P_019-Pst-25.png</v>
      </c>
      <c r="I247" t="str">
        <f t="shared" si="19"/>
        <v>https://raw.githubusercontent.com/epz0/bridgespace/main/img/P_019-Pst-25.png</v>
      </c>
    </row>
    <row r="248" spans="1:9" x14ac:dyDescent="0.3">
      <c r="A248" t="s">
        <v>62</v>
      </c>
      <c r="B248" t="s">
        <v>37</v>
      </c>
      <c r="C248" t="s">
        <v>29</v>
      </c>
      <c r="D248" t="s">
        <v>950</v>
      </c>
      <c r="E248" t="str">
        <f t="shared" si="15"/>
        <v>P_019</v>
      </c>
      <c r="F248" t="str">
        <f t="shared" si="16"/>
        <v>Pst</v>
      </c>
      <c r="G248" t="str">
        <f t="shared" si="17"/>
        <v>23</v>
      </c>
      <c r="H248" t="str">
        <f t="shared" si="18"/>
        <v>P_019-Pst-23.png</v>
      </c>
      <c r="I248" t="str">
        <f t="shared" si="19"/>
        <v>https://raw.githubusercontent.com/epz0/bridgespace/main/img/P_019-Pst-23.png</v>
      </c>
    </row>
    <row r="249" spans="1:9" x14ac:dyDescent="0.3">
      <c r="A249" t="s">
        <v>62</v>
      </c>
      <c r="B249" t="s">
        <v>32</v>
      </c>
      <c r="C249" t="s">
        <v>29</v>
      </c>
      <c r="D249" t="s">
        <v>951</v>
      </c>
      <c r="E249" t="str">
        <f t="shared" si="15"/>
        <v>P_019</v>
      </c>
      <c r="F249" t="str">
        <f t="shared" si="16"/>
        <v>Pst</v>
      </c>
      <c r="G249" t="str">
        <f t="shared" si="17"/>
        <v>18</v>
      </c>
      <c r="H249" t="str">
        <f t="shared" si="18"/>
        <v>P_019-Pst-18.png</v>
      </c>
      <c r="I249" t="str">
        <f t="shared" si="19"/>
        <v>https://raw.githubusercontent.com/epz0/bridgespace/main/img/P_019-Pst-18.png</v>
      </c>
    </row>
    <row r="250" spans="1:9" x14ac:dyDescent="0.3">
      <c r="A250" t="s">
        <v>62</v>
      </c>
      <c r="B250" t="s">
        <v>41</v>
      </c>
      <c r="C250" t="s">
        <v>29</v>
      </c>
      <c r="D250" t="s">
        <v>952</v>
      </c>
      <c r="E250" t="str">
        <f t="shared" si="15"/>
        <v>P_019</v>
      </c>
      <c r="F250" t="str">
        <f t="shared" si="16"/>
        <v>Pst</v>
      </c>
      <c r="G250" t="str">
        <f t="shared" si="17"/>
        <v>27</v>
      </c>
      <c r="H250" t="str">
        <f t="shared" si="18"/>
        <v>P_019-Pst-27.png</v>
      </c>
      <c r="I250" t="str">
        <f t="shared" si="19"/>
        <v>https://raw.githubusercontent.com/epz0/bridgespace/main/img/P_019-Pst-27.png</v>
      </c>
    </row>
    <row r="251" spans="1:9" x14ac:dyDescent="0.3">
      <c r="A251" t="s">
        <v>62</v>
      </c>
      <c r="B251" t="s">
        <v>40</v>
      </c>
      <c r="C251" t="s">
        <v>29</v>
      </c>
      <c r="D251" t="s">
        <v>953</v>
      </c>
      <c r="E251" t="str">
        <f t="shared" si="15"/>
        <v>P_019</v>
      </c>
      <c r="F251" t="str">
        <f t="shared" si="16"/>
        <v>Pst</v>
      </c>
      <c r="G251" t="str">
        <f t="shared" si="17"/>
        <v>26</v>
      </c>
      <c r="H251" t="str">
        <f t="shared" si="18"/>
        <v>P_019-Pst-26.png</v>
      </c>
      <c r="I251" t="str">
        <f t="shared" si="19"/>
        <v>https://raw.githubusercontent.com/epz0/bridgespace/main/img/P_019-Pst-26.png</v>
      </c>
    </row>
    <row r="252" spans="1:9" x14ac:dyDescent="0.3">
      <c r="A252" t="s">
        <v>62</v>
      </c>
      <c r="B252" t="s">
        <v>63</v>
      </c>
      <c r="C252" t="s">
        <v>29</v>
      </c>
      <c r="D252" t="s">
        <v>954</v>
      </c>
      <c r="E252" t="str">
        <f t="shared" si="15"/>
        <v>P_019</v>
      </c>
      <c r="F252" t="str">
        <f t="shared" si="16"/>
        <v>Pst</v>
      </c>
      <c r="G252" t="str">
        <f t="shared" si="17"/>
        <v>29</v>
      </c>
      <c r="H252" t="str">
        <f t="shared" si="18"/>
        <v>P_019-Pst-29.png</v>
      </c>
      <c r="I252" t="str">
        <f t="shared" si="19"/>
        <v>https://raw.githubusercontent.com/epz0/bridgespace/main/img/P_019-Pst-29.png</v>
      </c>
    </row>
    <row r="253" spans="1:9" x14ac:dyDescent="0.3">
      <c r="A253" t="s">
        <v>62</v>
      </c>
      <c r="B253" t="s">
        <v>38</v>
      </c>
      <c r="C253" t="s">
        <v>29</v>
      </c>
      <c r="D253" t="s">
        <v>955</v>
      </c>
      <c r="E253" t="str">
        <f t="shared" si="15"/>
        <v>P_019</v>
      </c>
      <c r="F253" t="str">
        <f t="shared" si="16"/>
        <v>Pst</v>
      </c>
      <c r="G253" t="str">
        <f t="shared" si="17"/>
        <v>24</v>
      </c>
      <c r="H253" t="str">
        <f t="shared" si="18"/>
        <v>P_019-Pst-24.png</v>
      </c>
      <c r="I253" t="str">
        <f t="shared" si="19"/>
        <v>https://raw.githubusercontent.com/epz0/bridgespace/main/img/P_019-Pst-24.png</v>
      </c>
    </row>
    <row r="254" spans="1:9" x14ac:dyDescent="0.3">
      <c r="A254" t="s">
        <v>62</v>
      </c>
      <c r="B254" t="s">
        <v>65</v>
      </c>
      <c r="C254" t="s">
        <v>29</v>
      </c>
      <c r="D254" t="s">
        <v>956</v>
      </c>
      <c r="E254" t="str">
        <f t="shared" si="15"/>
        <v>P_019</v>
      </c>
      <c r="F254" t="str">
        <f t="shared" si="16"/>
        <v>Pst</v>
      </c>
      <c r="G254" t="str">
        <f t="shared" si="17"/>
        <v>31</v>
      </c>
      <c r="H254" t="str">
        <f t="shared" si="18"/>
        <v>P_019-Pst-31.png</v>
      </c>
      <c r="I254" t="str">
        <f t="shared" si="19"/>
        <v>https://raw.githubusercontent.com/epz0/bridgespace/main/img/P_019-Pst-31.png</v>
      </c>
    </row>
    <row r="255" spans="1:9" x14ac:dyDescent="0.3">
      <c r="A255" t="s">
        <v>62</v>
      </c>
      <c r="B255" t="s">
        <v>34</v>
      </c>
      <c r="C255" t="s">
        <v>29</v>
      </c>
      <c r="D255" t="s">
        <v>957</v>
      </c>
      <c r="E255" t="str">
        <f t="shared" si="15"/>
        <v>P_019</v>
      </c>
      <c r="F255" t="str">
        <f t="shared" si="16"/>
        <v>Pst</v>
      </c>
      <c r="G255" t="str">
        <f t="shared" si="17"/>
        <v>20</v>
      </c>
      <c r="H255" t="str">
        <f t="shared" si="18"/>
        <v>P_019-Pst-20.png</v>
      </c>
      <c r="I255" t="str">
        <f t="shared" si="19"/>
        <v>https://raw.githubusercontent.com/epz0/bridgespace/main/img/P_019-Pst-20.png</v>
      </c>
    </row>
    <row r="256" spans="1:9" x14ac:dyDescent="0.3">
      <c r="A256" t="s">
        <v>62</v>
      </c>
      <c r="B256" t="s">
        <v>42</v>
      </c>
      <c r="C256" t="s">
        <v>29</v>
      </c>
      <c r="D256" t="s">
        <v>958</v>
      </c>
      <c r="E256" t="str">
        <f t="shared" si="15"/>
        <v>P_019</v>
      </c>
      <c r="F256" t="str">
        <f t="shared" si="16"/>
        <v>Pst</v>
      </c>
      <c r="G256" t="str">
        <f t="shared" si="17"/>
        <v>28</v>
      </c>
      <c r="H256" t="str">
        <f t="shared" si="18"/>
        <v>P_019-Pst-28.png</v>
      </c>
      <c r="I256" t="str">
        <f t="shared" si="19"/>
        <v>https://raw.githubusercontent.com/epz0/bridgespace/main/img/P_019-Pst-28.png</v>
      </c>
    </row>
    <row r="257" spans="1:9" x14ac:dyDescent="0.3">
      <c r="A257" t="s">
        <v>62</v>
      </c>
      <c r="B257" t="s">
        <v>36</v>
      </c>
      <c r="C257" t="s">
        <v>29</v>
      </c>
      <c r="D257" t="s">
        <v>959</v>
      </c>
      <c r="E257" t="str">
        <f t="shared" si="15"/>
        <v>P_019</v>
      </c>
      <c r="F257" t="str">
        <f t="shared" si="16"/>
        <v>Pst</v>
      </c>
      <c r="G257" t="str">
        <f t="shared" si="17"/>
        <v>22</v>
      </c>
      <c r="H257" t="str">
        <f t="shared" si="18"/>
        <v>P_019-Pst-22.png</v>
      </c>
      <c r="I257" t="str">
        <f t="shared" si="19"/>
        <v>https://raw.githubusercontent.com/epz0/bridgespace/main/img/P_019-Pst-22.png</v>
      </c>
    </row>
    <row r="258" spans="1:9" x14ac:dyDescent="0.3">
      <c r="A258" t="s">
        <v>62</v>
      </c>
      <c r="B258" t="s">
        <v>33</v>
      </c>
      <c r="C258" t="s">
        <v>29</v>
      </c>
      <c r="D258" t="s">
        <v>960</v>
      </c>
      <c r="E258" t="str">
        <f t="shared" si="15"/>
        <v>P_019</v>
      </c>
      <c r="F258" t="str">
        <f t="shared" si="16"/>
        <v>Pst</v>
      </c>
      <c r="G258" t="str">
        <f t="shared" si="17"/>
        <v>19</v>
      </c>
      <c r="H258" t="str">
        <f t="shared" si="18"/>
        <v>P_019-Pst-19.png</v>
      </c>
      <c r="I258" t="str">
        <f t="shared" si="19"/>
        <v>https://raw.githubusercontent.com/epz0/bridgespace/main/img/P_019-Pst-19.png</v>
      </c>
    </row>
    <row r="259" spans="1:9" x14ac:dyDescent="0.3">
      <c r="A259" t="s">
        <v>62</v>
      </c>
      <c r="B259" t="s">
        <v>35</v>
      </c>
      <c r="C259" t="s">
        <v>29</v>
      </c>
      <c r="D259" t="s">
        <v>961</v>
      </c>
      <c r="E259" t="str">
        <f t="shared" ref="E259:E322" si="20">VLOOKUP(A259,$N$3:$O$42,2,0)</f>
        <v>P_019</v>
      </c>
      <c r="F259" t="str">
        <f t="shared" ref="F259:F322" si="21">VLOOKUP(C259,$Q$2:$R$3,2,0)</f>
        <v>Pst</v>
      </c>
      <c r="G259" t="str">
        <f t="shared" ref="G259:G322" si="22">VLOOKUP(B259,$K$2:$L$33,2,0)</f>
        <v>21</v>
      </c>
      <c r="H259" t="str">
        <f t="shared" ref="H259:H322" si="23">E259&amp;"-"&amp;F259&amp;"-"&amp;G259&amp;".png"</f>
        <v>P_019-Pst-21.png</v>
      </c>
      <c r="I259" t="str">
        <f t="shared" ref="I259:I322" si="24">"https://raw.githubusercontent.com/epz0/bridgespace/main/img/"&amp;H259</f>
        <v>https://raw.githubusercontent.com/epz0/bridgespace/main/img/P_019-Pst-21.png</v>
      </c>
    </row>
    <row r="260" spans="1:9" x14ac:dyDescent="0.3">
      <c r="A260" t="s">
        <v>58</v>
      </c>
      <c r="B260" t="s">
        <v>15</v>
      </c>
      <c r="C260" t="s">
        <v>12</v>
      </c>
      <c r="D260" t="s">
        <v>962</v>
      </c>
      <c r="E260" t="str">
        <f t="shared" si="20"/>
        <v>P_015</v>
      </c>
      <c r="F260" t="str">
        <f t="shared" si="21"/>
        <v>Pre</v>
      </c>
      <c r="G260" t="str">
        <f t="shared" si="22"/>
        <v>03</v>
      </c>
      <c r="H260" t="str">
        <f t="shared" si="23"/>
        <v>P_015-Pre-03.png</v>
      </c>
      <c r="I260" t="str">
        <f t="shared" si="24"/>
        <v>https://raw.githubusercontent.com/epz0/bridgespace/main/img/P_015-Pre-03.png</v>
      </c>
    </row>
    <row r="261" spans="1:9" x14ac:dyDescent="0.3">
      <c r="A261" t="s">
        <v>58</v>
      </c>
      <c r="B261" t="s">
        <v>14</v>
      </c>
      <c r="C261" t="s">
        <v>12</v>
      </c>
      <c r="D261" t="s">
        <v>963</v>
      </c>
      <c r="E261" t="str">
        <f t="shared" si="20"/>
        <v>P_015</v>
      </c>
      <c r="F261" t="str">
        <f t="shared" si="21"/>
        <v>Pre</v>
      </c>
      <c r="G261" t="str">
        <f t="shared" si="22"/>
        <v>02</v>
      </c>
      <c r="H261" t="str">
        <f t="shared" si="23"/>
        <v>P_015-Pre-02.png</v>
      </c>
      <c r="I261" t="str">
        <f t="shared" si="24"/>
        <v>https://raw.githubusercontent.com/epz0/bridgespace/main/img/P_015-Pre-02.png</v>
      </c>
    </row>
    <row r="262" spans="1:9" x14ac:dyDescent="0.3">
      <c r="A262" t="s">
        <v>58</v>
      </c>
      <c r="B262" t="s">
        <v>11</v>
      </c>
      <c r="C262" t="s">
        <v>12</v>
      </c>
      <c r="D262" t="s">
        <v>964</v>
      </c>
      <c r="E262" t="str">
        <f t="shared" si="20"/>
        <v>P_015</v>
      </c>
      <c r="F262" t="str">
        <f t="shared" si="21"/>
        <v>Pre</v>
      </c>
      <c r="G262" t="str">
        <f t="shared" si="22"/>
        <v>01</v>
      </c>
      <c r="H262" t="str">
        <f t="shared" si="23"/>
        <v>P_015-Pre-01.png</v>
      </c>
      <c r="I262" t="str">
        <f t="shared" si="24"/>
        <v>https://raw.githubusercontent.com/epz0/bridgespace/main/img/P_015-Pre-01.png</v>
      </c>
    </row>
    <row r="263" spans="1:9" x14ac:dyDescent="0.3">
      <c r="A263" t="s">
        <v>58</v>
      </c>
      <c r="B263" t="s">
        <v>16</v>
      </c>
      <c r="C263" t="s">
        <v>12</v>
      </c>
      <c r="D263" t="s">
        <v>965</v>
      </c>
      <c r="E263" t="str">
        <f t="shared" si="20"/>
        <v>P_015</v>
      </c>
      <c r="F263" t="str">
        <f t="shared" si="21"/>
        <v>Pre</v>
      </c>
      <c r="G263" t="str">
        <f t="shared" si="22"/>
        <v>04</v>
      </c>
      <c r="H263" t="str">
        <f t="shared" si="23"/>
        <v>P_015-Pre-04.png</v>
      </c>
      <c r="I263" t="str">
        <f t="shared" si="24"/>
        <v>https://raw.githubusercontent.com/epz0/bridgespace/main/img/P_015-Pre-04.png</v>
      </c>
    </row>
    <row r="264" spans="1:9" x14ac:dyDescent="0.3">
      <c r="A264" t="s">
        <v>58</v>
      </c>
      <c r="B264" t="s">
        <v>19</v>
      </c>
      <c r="C264" t="s">
        <v>29</v>
      </c>
      <c r="D264" t="s">
        <v>966</v>
      </c>
      <c r="E264" t="str">
        <f t="shared" si="20"/>
        <v>P_015</v>
      </c>
      <c r="F264" t="str">
        <f t="shared" si="21"/>
        <v>Pst</v>
      </c>
      <c r="G264" t="str">
        <f t="shared" si="22"/>
        <v>06</v>
      </c>
      <c r="H264" t="str">
        <f t="shared" si="23"/>
        <v>P_015-Pst-06.png</v>
      </c>
      <c r="I264" t="str">
        <f t="shared" si="24"/>
        <v>https://raw.githubusercontent.com/epz0/bridgespace/main/img/P_015-Pst-06.png</v>
      </c>
    </row>
    <row r="265" spans="1:9" x14ac:dyDescent="0.3">
      <c r="A265" t="s">
        <v>58</v>
      </c>
      <c r="B265" t="s">
        <v>17</v>
      </c>
      <c r="C265" t="s">
        <v>29</v>
      </c>
      <c r="D265" t="s">
        <v>967</v>
      </c>
      <c r="E265" t="str">
        <f t="shared" si="20"/>
        <v>P_015</v>
      </c>
      <c r="F265" t="str">
        <f t="shared" si="21"/>
        <v>Pst</v>
      </c>
      <c r="G265" t="str">
        <f t="shared" si="22"/>
        <v>05</v>
      </c>
      <c r="H265" t="str">
        <f t="shared" si="23"/>
        <v>P_015-Pst-05.png</v>
      </c>
      <c r="I265" t="str">
        <f t="shared" si="24"/>
        <v>https://raw.githubusercontent.com/epz0/bridgespace/main/img/P_015-Pst-05.png</v>
      </c>
    </row>
    <row r="266" spans="1:9" x14ac:dyDescent="0.3">
      <c r="A266" t="s">
        <v>61</v>
      </c>
      <c r="B266" t="s">
        <v>15</v>
      </c>
      <c r="C266" t="s">
        <v>12</v>
      </c>
      <c r="D266" t="s">
        <v>968</v>
      </c>
      <c r="E266" t="str">
        <f t="shared" si="20"/>
        <v>P_018</v>
      </c>
      <c r="F266" t="str">
        <f t="shared" si="21"/>
        <v>Pre</v>
      </c>
      <c r="G266" t="str">
        <f t="shared" si="22"/>
        <v>03</v>
      </c>
      <c r="H266" t="str">
        <f t="shared" si="23"/>
        <v>P_018-Pre-03.png</v>
      </c>
      <c r="I266" t="str">
        <f t="shared" si="24"/>
        <v>https://raw.githubusercontent.com/epz0/bridgespace/main/img/P_018-Pre-03.png</v>
      </c>
    </row>
    <row r="267" spans="1:9" x14ac:dyDescent="0.3">
      <c r="A267" t="s">
        <v>61</v>
      </c>
      <c r="B267" t="s">
        <v>14</v>
      </c>
      <c r="C267" t="s">
        <v>12</v>
      </c>
      <c r="D267" t="s">
        <v>969</v>
      </c>
      <c r="E267" t="str">
        <f t="shared" si="20"/>
        <v>P_018</v>
      </c>
      <c r="F267" t="str">
        <f t="shared" si="21"/>
        <v>Pre</v>
      </c>
      <c r="G267" t="str">
        <f t="shared" si="22"/>
        <v>02</v>
      </c>
      <c r="H267" t="str">
        <f t="shared" si="23"/>
        <v>P_018-Pre-02.png</v>
      </c>
      <c r="I267" t="str">
        <f t="shared" si="24"/>
        <v>https://raw.githubusercontent.com/epz0/bridgespace/main/img/P_018-Pre-02.png</v>
      </c>
    </row>
    <row r="268" spans="1:9" x14ac:dyDescent="0.3">
      <c r="A268" t="s">
        <v>61</v>
      </c>
      <c r="B268" t="s">
        <v>11</v>
      </c>
      <c r="C268" t="s">
        <v>12</v>
      </c>
      <c r="D268" t="s">
        <v>970</v>
      </c>
      <c r="E268" t="str">
        <f t="shared" si="20"/>
        <v>P_018</v>
      </c>
      <c r="F268" t="str">
        <f t="shared" si="21"/>
        <v>Pre</v>
      </c>
      <c r="G268" t="str">
        <f t="shared" si="22"/>
        <v>01</v>
      </c>
      <c r="H268" t="str">
        <f t="shared" si="23"/>
        <v>P_018-Pre-01.png</v>
      </c>
      <c r="I268" t="str">
        <f t="shared" si="24"/>
        <v>https://raw.githubusercontent.com/epz0/bridgespace/main/img/P_018-Pre-01.png</v>
      </c>
    </row>
    <row r="269" spans="1:9" x14ac:dyDescent="0.3">
      <c r="A269" t="s">
        <v>61</v>
      </c>
      <c r="B269" t="s">
        <v>16</v>
      </c>
      <c r="C269" t="s">
        <v>29</v>
      </c>
      <c r="D269" t="s">
        <v>971</v>
      </c>
      <c r="E269" t="str">
        <f t="shared" si="20"/>
        <v>P_018</v>
      </c>
      <c r="F269" t="str">
        <f t="shared" si="21"/>
        <v>Pst</v>
      </c>
      <c r="G269" t="str">
        <f t="shared" si="22"/>
        <v>04</v>
      </c>
      <c r="H269" t="str">
        <f t="shared" si="23"/>
        <v>P_018-Pst-04.png</v>
      </c>
      <c r="I269" t="str">
        <f t="shared" si="24"/>
        <v>https://raw.githubusercontent.com/epz0/bridgespace/main/img/P_018-Pst-04.png</v>
      </c>
    </row>
    <row r="270" spans="1:9" x14ac:dyDescent="0.3">
      <c r="A270" t="s">
        <v>66</v>
      </c>
      <c r="B270" t="s">
        <v>15</v>
      </c>
      <c r="C270" t="s">
        <v>12</v>
      </c>
      <c r="D270" t="s">
        <v>972</v>
      </c>
      <c r="E270" t="str">
        <f t="shared" si="20"/>
        <v>P_020</v>
      </c>
      <c r="F270" t="str">
        <f t="shared" si="21"/>
        <v>Pre</v>
      </c>
      <c r="G270" t="str">
        <f t="shared" si="22"/>
        <v>03</v>
      </c>
      <c r="H270" t="str">
        <f t="shared" si="23"/>
        <v>P_020-Pre-03.png</v>
      </c>
      <c r="I270" t="str">
        <f t="shared" si="24"/>
        <v>https://raw.githubusercontent.com/epz0/bridgespace/main/img/P_020-Pre-03.png</v>
      </c>
    </row>
    <row r="271" spans="1:9" x14ac:dyDescent="0.3">
      <c r="A271" t="s">
        <v>66</v>
      </c>
      <c r="B271" t="s">
        <v>14</v>
      </c>
      <c r="C271" t="s">
        <v>12</v>
      </c>
      <c r="D271" t="s">
        <v>973</v>
      </c>
      <c r="E271" t="str">
        <f t="shared" si="20"/>
        <v>P_020</v>
      </c>
      <c r="F271" t="str">
        <f t="shared" si="21"/>
        <v>Pre</v>
      </c>
      <c r="G271" t="str">
        <f t="shared" si="22"/>
        <v>02</v>
      </c>
      <c r="H271" t="str">
        <f t="shared" si="23"/>
        <v>P_020-Pre-02.png</v>
      </c>
      <c r="I271" t="str">
        <f t="shared" si="24"/>
        <v>https://raw.githubusercontent.com/epz0/bridgespace/main/img/P_020-Pre-02.png</v>
      </c>
    </row>
    <row r="272" spans="1:9" x14ac:dyDescent="0.3">
      <c r="A272" t="s">
        <v>66</v>
      </c>
      <c r="B272" t="s">
        <v>11</v>
      </c>
      <c r="C272" t="s">
        <v>12</v>
      </c>
      <c r="D272" t="s">
        <v>974</v>
      </c>
      <c r="E272" t="str">
        <f t="shared" si="20"/>
        <v>P_020</v>
      </c>
      <c r="F272" t="str">
        <f t="shared" si="21"/>
        <v>Pre</v>
      </c>
      <c r="G272" t="str">
        <f t="shared" si="22"/>
        <v>01</v>
      </c>
      <c r="H272" t="str">
        <f t="shared" si="23"/>
        <v>P_020-Pre-01.png</v>
      </c>
      <c r="I272" t="str">
        <f t="shared" si="24"/>
        <v>https://raw.githubusercontent.com/epz0/bridgespace/main/img/P_020-Pre-01.png</v>
      </c>
    </row>
    <row r="273" spans="1:9" x14ac:dyDescent="0.3">
      <c r="A273" t="s">
        <v>66</v>
      </c>
      <c r="B273" t="s">
        <v>19</v>
      </c>
      <c r="C273" t="s">
        <v>12</v>
      </c>
      <c r="D273" t="s">
        <v>975</v>
      </c>
      <c r="E273" t="str">
        <f t="shared" si="20"/>
        <v>P_020</v>
      </c>
      <c r="F273" t="str">
        <f t="shared" si="21"/>
        <v>Pre</v>
      </c>
      <c r="G273" t="str">
        <f t="shared" si="22"/>
        <v>06</v>
      </c>
      <c r="H273" t="str">
        <f t="shared" si="23"/>
        <v>P_020-Pre-06.png</v>
      </c>
      <c r="I273" t="str">
        <f t="shared" si="24"/>
        <v>https://raw.githubusercontent.com/epz0/bridgespace/main/img/P_020-Pre-06.png</v>
      </c>
    </row>
    <row r="274" spans="1:9" x14ac:dyDescent="0.3">
      <c r="A274" t="s">
        <v>66</v>
      </c>
      <c r="B274" t="s">
        <v>17</v>
      </c>
      <c r="C274" t="s">
        <v>12</v>
      </c>
      <c r="D274" t="s">
        <v>976</v>
      </c>
      <c r="E274" t="str">
        <f t="shared" si="20"/>
        <v>P_020</v>
      </c>
      <c r="F274" t="str">
        <f t="shared" si="21"/>
        <v>Pre</v>
      </c>
      <c r="G274" t="str">
        <f t="shared" si="22"/>
        <v>05</v>
      </c>
      <c r="H274" t="str">
        <f t="shared" si="23"/>
        <v>P_020-Pre-05.png</v>
      </c>
      <c r="I274" t="str">
        <f t="shared" si="24"/>
        <v>https://raw.githubusercontent.com/epz0/bridgespace/main/img/P_020-Pre-05.png</v>
      </c>
    </row>
    <row r="275" spans="1:9" x14ac:dyDescent="0.3">
      <c r="A275" t="s">
        <v>66</v>
      </c>
      <c r="B275" t="s">
        <v>16</v>
      </c>
      <c r="C275" t="s">
        <v>12</v>
      </c>
      <c r="D275" t="s">
        <v>977</v>
      </c>
      <c r="E275" t="str">
        <f t="shared" si="20"/>
        <v>P_020</v>
      </c>
      <c r="F275" t="str">
        <f t="shared" si="21"/>
        <v>Pre</v>
      </c>
      <c r="G275" t="str">
        <f t="shared" si="22"/>
        <v>04</v>
      </c>
      <c r="H275" t="str">
        <f t="shared" si="23"/>
        <v>P_020-Pre-04.png</v>
      </c>
      <c r="I275" t="str">
        <f t="shared" si="24"/>
        <v>https://raw.githubusercontent.com/epz0/bridgespace/main/img/P_020-Pre-04.png</v>
      </c>
    </row>
    <row r="276" spans="1:9" x14ac:dyDescent="0.3">
      <c r="A276" t="s">
        <v>66</v>
      </c>
      <c r="B276" t="s">
        <v>23</v>
      </c>
      <c r="C276" t="s">
        <v>29</v>
      </c>
      <c r="D276" t="s">
        <v>978</v>
      </c>
      <c r="E276" t="str">
        <f t="shared" si="20"/>
        <v>P_020</v>
      </c>
      <c r="F276" t="str">
        <f t="shared" si="21"/>
        <v>Pst</v>
      </c>
      <c r="G276" t="str">
        <f t="shared" si="22"/>
        <v>10</v>
      </c>
      <c r="H276" t="str">
        <f t="shared" si="23"/>
        <v>P_020-Pst-10.png</v>
      </c>
      <c r="I276" t="str">
        <f t="shared" si="24"/>
        <v>https://raw.githubusercontent.com/epz0/bridgespace/main/img/P_020-Pst-10.png</v>
      </c>
    </row>
    <row r="277" spans="1:9" x14ac:dyDescent="0.3">
      <c r="A277" t="s">
        <v>66</v>
      </c>
      <c r="B277" t="s">
        <v>25</v>
      </c>
      <c r="C277" t="s">
        <v>29</v>
      </c>
      <c r="D277" t="s">
        <v>979</v>
      </c>
      <c r="E277" t="str">
        <f t="shared" si="20"/>
        <v>P_020</v>
      </c>
      <c r="F277" t="str">
        <f t="shared" si="21"/>
        <v>Pst</v>
      </c>
      <c r="G277" t="str">
        <f t="shared" si="22"/>
        <v>12</v>
      </c>
      <c r="H277" t="str">
        <f t="shared" si="23"/>
        <v>P_020-Pst-12.png</v>
      </c>
      <c r="I277" t="str">
        <f t="shared" si="24"/>
        <v>https://raw.githubusercontent.com/epz0/bridgespace/main/img/P_020-Pst-12.png</v>
      </c>
    </row>
    <row r="278" spans="1:9" x14ac:dyDescent="0.3">
      <c r="A278" t="s">
        <v>66</v>
      </c>
      <c r="B278" t="s">
        <v>24</v>
      </c>
      <c r="C278" t="s">
        <v>29</v>
      </c>
      <c r="D278" t="s">
        <v>980</v>
      </c>
      <c r="E278" t="str">
        <f t="shared" si="20"/>
        <v>P_020</v>
      </c>
      <c r="F278" t="str">
        <f t="shared" si="21"/>
        <v>Pst</v>
      </c>
      <c r="G278" t="str">
        <f t="shared" si="22"/>
        <v>11</v>
      </c>
      <c r="H278" t="str">
        <f t="shared" si="23"/>
        <v>P_020-Pst-11.png</v>
      </c>
      <c r="I278" t="str">
        <f t="shared" si="24"/>
        <v>https://raw.githubusercontent.com/epz0/bridgespace/main/img/P_020-Pst-11.png</v>
      </c>
    </row>
    <row r="279" spans="1:9" x14ac:dyDescent="0.3">
      <c r="A279" t="s">
        <v>66</v>
      </c>
      <c r="B279" t="s">
        <v>21</v>
      </c>
      <c r="C279" t="s">
        <v>29</v>
      </c>
      <c r="D279" t="s">
        <v>981</v>
      </c>
      <c r="E279" t="str">
        <f t="shared" si="20"/>
        <v>P_020</v>
      </c>
      <c r="F279" t="str">
        <f t="shared" si="21"/>
        <v>Pst</v>
      </c>
      <c r="G279" t="str">
        <f t="shared" si="22"/>
        <v>08</v>
      </c>
      <c r="H279" t="str">
        <f t="shared" si="23"/>
        <v>P_020-Pst-08.png</v>
      </c>
      <c r="I279" t="str">
        <f t="shared" si="24"/>
        <v>https://raw.githubusercontent.com/epz0/bridgespace/main/img/P_020-Pst-08.png</v>
      </c>
    </row>
    <row r="280" spans="1:9" x14ac:dyDescent="0.3">
      <c r="A280" t="s">
        <v>66</v>
      </c>
      <c r="B280" t="s">
        <v>20</v>
      </c>
      <c r="C280" t="s">
        <v>29</v>
      </c>
      <c r="D280" t="s">
        <v>982</v>
      </c>
      <c r="E280" t="str">
        <f t="shared" si="20"/>
        <v>P_020</v>
      </c>
      <c r="F280" t="str">
        <f t="shared" si="21"/>
        <v>Pst</v>
      </c>
      <c r="G280" t="str">
        <f t="shared" si="22"/>
        <v>07</v>
      </c>
      <c r="H280" t="str">
        <f t="shared" si="23"/>
        <v>P_020-Pst-07.png</v>
      </c>
      <c r="I280" t="str">
        <f t="shared" si="24"/>
        <v>https://raw.githubusercontent.com/epz0/bridgespace/main/img/P_020-Pst-07.png</v>
      </c>
    </row>
    <row r="281" spans="1:9" x14ac:dyDescent="0.3">
      <c r="A281" t="s">
        <v>66</v>
      </c>
      <c r="B281" t="s">
        <v>26</v>
      </c>
      <c r="C281" t="s">
        <v>29</v>
      </c>
      <c r="D281" t="s">
        <v>983</v>
      </c>
      <c r="E281" t="str">
        <f t="shared" si="20"/>
        <v>P_020</v>
      </c>
      <c r="F281" t="str">
        <f t="shared" si="21"/>
        <v>Pst</v>
      </c>
      <c r="G281" t="str">
        <f t="shared" si="22"/>
        <v>13</v>
      </c>
      <c r="H281" t="str">
        <f t="shared" si="23"/>
        <v>P_020-Pst-13.png</v>
      </c>
      <c r="I281" t="str">
        <f t="shared" si="24"/>
        <v>https://raw.githubusercontent.com/epz0/bridgespace/main/img/P_020-Pst-13.png</v>
      </c>
    </row>
    <row r="282" spans="1:9" x14ac:dyDescent="0.3">
      <c r="A282" t="s">
        <v>66</v>
      </c>
      <c r="B282" t="s">
        <v>22</v>
      </c>
      <c r="C282" t="s">
        <v>29</v>
      </c>
      <c r="D282" t="s">
        <v>984</v>
      </c>
      <c r="E282" t="str">
        <f t="shared" si="20"/>
        <v>P_020</v>
      </c>
      <c r="F282" t="str">
        <f t="shared" si="21"/>
        <v>Pst</v>
      </c>
      <c r="G282" t="str">
        <f t="shared" si="22"/>
        <v>09</v>
      </c>
      <c r="H282" t="str">
        <f t="shared" si="23"/>
        <v>P_020-Pst-09.png</v>
      </c>
      <c r="I282" t="str">
        <f t="shared" si="24"/>
        <v>https://raw.githubusercontent.com/epz0/bridgespace/main/img/P_020-Pst-09.png</v>
      </c>
    </row>
    <row r="283" spans="1:9" x14ac:dyDescent="0.3">
      <c r="A283" t="s">
        <v>66</v>
      </c>
      <c r="B283" t="s">
        <v>27</v>
      </c>
      <c r="C283" t="s">
        <v>29</v>
      </c>
      <c r="D283" t="s">
        <v>985</v>
      </c>
      <c r="E283" t="str">
        <f t="shared" si="20"/>
        <v>P_020</v>
      </c>
      <c r="F283" t="str">
        <f t="shared" si="21"/>
        <v>Pst</v>
      </c>
      <c r="G283" t="str">
        <f t="shared" si="22"/>
        <v>14</v>
      </c>
      <c r="H283" t="str">
        <f t="shared" si="23"/>
        <v>P_020-Pst-14.png</v>
      </c>
      <c r="I283" t="str">
        <f t="shared" si="24"/>
        <v>https://raw.githubusercontent.com/epz0/bridgespace/main/img/P_020-Pst-14.png</v>
      </c>
    </row>
    <row r="284" spans="1:9" x14ac:dyDescent="0.3">
      <c r="A284" t="s">
        <v>55</v>
      </c>
      <c r="B284" t="s">
        <v>15</v>
      </c>
      <c r="C284" t="s">
        <v>12</v>
      </c>
      <c r="D284" t="s">
        <v>986</v>
      </c>
      <c r="E284" t="str">
        <f t="shared" si="20"/>
        <v>P_012</v>
      </c>
      <c r="F284" t="str">
        <f t="shared" si="21"/>
        <v>Pre</v>
      </c>
      <c r="G284" t="str">
        <f t="shared" si="22"/>
        <v>03</v>
      </c>
      <c r="H284" t="str">
        <f t="shared" si="23"/>
        <v>P_012-Pre-03.png</v>
      </c>
      <c r="I284" t="str">
        <f t="shared" si="24"/>
        <v>https://raw.githubusercontent.com/epz0/bridgespace/main/img/P_012-Pre-03.png</v>
      </c>
    </row>
    <row r="285" spans="1:9" x14ac:dyDescent="0.3">
      <c r="A285" t="s">
        <v>55</v>
      </c>
      <c r="B285" t="s">
        <v>14</v>
      </c>
      <c r="C285" t="s">
        <v>12</v>
      </c>
      <c r="D285" t="s">
        <v>987</v>
      </c>
      <c r="E285" t="str">
        <f t="shared" si="20"/>
        <v>P_012</v>
      </c>
      <c r="F285" t="str">
        <f t="shared" si="21"/>
        <v>Pre</v>
      </c>
      <c r="G285" t="str">
        <f t="shared" si="22"/>
        <v>02</v>
      </c>
      <c r="H285" t="str">
        <f t="shared" si="23"/>
        <v>P_012-Pre-02.png</v>
      </c>
      <c r="I285" t="str">
        <f t="shared" si="24"/>
        <v>https://raw.githubusercontent.com/epz0/bridgespace/main/img/P_012-Pre-02.png</v>
      </c>
    </row>
    <row r="286" spans="1:9" x14ac:dyDescent="0.3">
      <c r="A286" t="s">
        <v>55</v>
      </c>
      <c r="B286" t="s">
        <v>11</v>
      </c>
      <c r="C286" t="s">
        <v>12</v>
      </c>
      <c r="D286" t="s">
        <v>988</v>
      </c>
      <c r="E286" t="str">
        <f t="shared" si="20"/>
        <v>P_012</v>
      </c>
      <c r="F286" t="str">
        <f t="shared" si="21"/>
        <v>Pre</v>
      </c>
      <c r="G286" t="str">
        <f t="shared" si="22"/>
        <v>01</v>
      </c>
      <c r="H286" t="str">
        <f t="shared" si="23"/>
        <v>P_012-Pre-01.png</v>
      </c>
      <c r="I286" t="str">
        <f t="shared" si="24"/>
        <v>https://raw.githubusercontent.com/epz0/bridgespace/main/img/P_012-Pre-01.png</v>
      </c>
    </row>
    <row r="287" spans="1:9" x14ac:dyDescent="0.3">
      <c r="A287" t="s">
        <v>55</v>
      </c>
      <c r="B287" t="s">
        <v>19</v>
      </c>
      <c r="C287" t="s">
        <v>29</v>
      </c>
      <c r="D287" t="s">
        <v>989</v>
      </c>
      <c r="E287" t="str">
        <f t="shared" si="20"/>
        <v>P_012</v>
      </c>
      <c r="F287" t="str">
        <f t="shared" si="21"/>
        <v>Pst</v>
      </c>
      <c r="G287" t="str">
        <f t="shared" si="22"/>
        <v>06</v>
      </c>
      <c r="H287" t="str">
        <f t="shared" si="23"/>
        <v>P_012-Pst-06.png</v>
      </c>
      <c r="I287" t="str">
        <f t="shared" si="24"/>
        <v>https://raw.githubusercontent.com/epz0/bridgespace/main/img/P_012-Pst-06.png</v>
      </c>
    </row>
    <row r="288" spans="1:9" x14ac:dyDescent="0.3">
      <c r="A288" t="s">
        <v>55</v>
      </c>
      <c r="B288" t="s">
        <v>17</v>
      </c>
      <c r="C288" t="s">
        <v>29</v>
      </c>
      <c r="D288" t="s">
        <v>990</v>
      </c>
      <c r="E288" t="str">
        <f t="shared" si="20"/>
        <v>P_012</v>
      </c>
      <c r="F288" t="str">
        <f t="shared" si="21"/>
        <v>Pst</v>
      </c>
      <c r="G288" t="str">
        <f t="shared" si="22"/>
        <v>05</v>
      </c>
      <c r="H288" t="str">
        <f t="shared" si="23"/>
        <v>P_012-Pst-05.png</v>
      </c>
      <c r="I288" t="str">
        <f t="shared" si="24"/>
        <v>https://raw.githubusercontent.com/epz0/bridgespace/main/img/P_012-Pst-05.png</v>
      </c>
    </row>
    <row r="289" spans="1:9" x14ac:dyDescent="0.3">
      <c r="A289" t="s">
        <v>55</v>
      </c>
      <c r="B289" t="s">
        <v>16</v>
      </c>
      <c r="C289" t="s">
        <v>29</v>
      </c>
      <c r="D289" t="s">
        <v>991</v>
      </c>
      <c r="E289" t="str">
        <f t="shared" si="20"/>
        <v>P_012</v>
      </c>
      <c r="F289" t="str">
        <f t="shared" si="21"/>
        <v>Pst</v>
      </c>
      <c r="G289" t="str">
        <f t="shared" si="22"/>
        <v>04</v>
      </c>
      <c r="H289" t="str">
        <f t="shared" si="23"/>
        <v>P_012-Pst-04.png</v>
      </c>
      <c r="I289" t="str">
        <f t="shared" si="24"/>
        <v>https://raw.githubusercontent.com/epz0/bridgespace/main/img/P_012-Pst-04.png</v>
      </c>
    </row>
    <row r="290" spans="1:9" x14ac:dyDescent="0.3">
      <c r="A290" t="s">
        <v>54</v>
      </c>
      <c r="B290" t="s">
        <v>15</v>
      </c>
      <c r="C290" t="s">
        <v>12</v>
      </c>
      <c r="D290" t="s">
        <v>992</v>
      </c>
      <c r="E290" t="str">
        <f t="shared" si="20"/>
        <v>P_011</v>
      </c>
      <c r="F290" t="str">
        <f t="shared" si="21"/>
        <v>Pre</v>
      </c>
      <c r="G290" t="str">
        <f t="shared" si="22"/>
        <v>03</v>
      </c>
      <c r="H290" t="str">
        <f t="shared" si="23"/>
        <v>P_011-Pre-03.png</v>
      </c>
      <c r="I290" t="str">
        <f t="shared" si="24"/>
        <v>https://raw.githubusercontent.com/epz0/bridgespace/main/img/P_011-Pre-03.png</v>
      </c>
    </row>
    <row r="291" spans="1:9" x14ac:dyDescent="0.3">
      <c r="A291" t="s">
        <v>54</v>
      </c>
      <c r="B291" t="s">
        <v>14</v>
      </c>
      <c r="C291" t="s">
        <v>12</v>
      </c>
      <c r="D291" t="s">
        <v>993</v>
      </c>
      <c r="E291" t="str">
        <f t="shared" si="20"/>
        <v>P_011</v>
      </c>
      <c r="F291" t="str">
        <f t="shared" si="21"/>
        <v>Pre</v>
      </c>
      <c r="G291" t="str">
        <f t="shared" si="22"/>
        <v>02</v>
      </c>
      <c r="H291" t="str">
        <f t="shared" si="23"/>
        <v>P_011-Pre-02.png</v>
      </c>
      <c r="I291" t="str">
        <f t="shared" si="24"/>
        <v>https://raw.githubusercontent.com/epz0/bridgespace/main/img/P_011-Pre-02.png</v>
      </c>
    </row>
    <row r="292" spans="1:9" x14ac:dyDescent="0.3">
      <c r="A292" t="s">
        <v>54</v>
      </c>
      <c r="B292" t="s">
        <v>11</v>
      </c>
      <c r="C292" t="s">
        <v>12</v>
      </c>
      <c r="D292" t="s">
        <v>994</v>
      </c>
      <c r="E292" t="str">
        <f t="shared" si="20"/>
        <v>P_011</v>
      </c>
      <c r="F292" t="str">
        <f t="shared" si="21"/>
        <v>Pre</v>
      </c>
      <c r="G292" t="str">
        <f t="shared" si="22"/>
        <v>01</v>
      </c>
      <c r="H292" t="str">
        <f t="shared" si="23"/>
        <v>P_011-Pre-01.png</v>
      </c>
      <c r="I292" t="str">
        <f t="shared" si="24"/>
        <v>https://raw.githubusercontent.com/epz0/bridgespace/main/img/P_011-Pre-01.png</v>
      </c>
    </row>
    <row r="293" spans="1:9" x14ac:dyDescent="0.3">
      <c r="A293" t="s">
        <v>54</v>
      </c>
      <c r="B293" t="s">
        <v>19</v>
      </c>
      <c r="C293" t="s">
        <v>12</v>
      </c>
      <c r="D293" t="s">
        <v>995</v>
      </c>
      <c r="E293" t="str">
        <f t="shared" si="20"/>
        <v>P_011</v>
      </c>
      <c r="F293" t="str">
        <f t="shared" si="21"/>
        <v>Pre</v>
      </c>
      <c r="G293" t="str">
        <f t="shared" si="22"/>
        <v>06</v>
      </c>
      <c r="H293" t="str">
        <f t="shared" si="23"/>
        <v>P_011-Pre-06.png</v>
      </c>
      <c r="I293" t="str">
        <f t="shared" si="24"/>
        <v>https://raw.githubusercontent.com/epz0/bridgespace/main/img/P_011-Pre-06.png</v>
      </c>
    </row>
    <row r="294" spans="1:9" x14ac:dyDescent="0.3">
      <c r="A294" t="s">
        <v>54</v>
      </c>
      <c r="B294" t="s">
        <v>17</v>
      </c>
      <c r="C294" t="s">
        <v>12</v>
      </c>
      <c r="D294" t="s">
        <v>996</v>
      </c>
      <c r="E294" t="str">
        <f t="shared" si="20"/>
        <v>P_011</v>
      </c>
      <c r="F294" t="str">
        <f t="shared" si="21"/>
        <v>Pre</v>
      </c>
      <c r="G294" t="str">
        <f t="shared" si="22"/>
        <v>05</v>
      </c>
      <c r="H294" t="str">
        <f t="shared" si="23"/>
        <v>P_011-Pre-05.png</v>
      </c>
      <c r="I294" t="str">
        <f t="shared" si="24"/>
        <v>https://raw.githubusercontent.com/epz0/bridgespace/main/img/P_011-Pre-05.png</v>
      </c>
    </row>
    <row r="295" spans="1:9" x14ac:dyDescent="0.3">
      <c r="A295" t="s">
        <v>54</v>
      </c>
      <c r="B295" t="s">
        <v>16</v>
      </c>
      <c r="C295" t="s">
        <v>12</v>
      </c>
      <c r="D295" t="s">
        <v>997</v>
      </c>
      <c r="E295" t="str">
        <f t="shared" si="20"/>
        <v>P_011</v>
      </c>
      <c r="F295" t="str">
        <f t="shared" si="21"/>
        <v>Pre</v>
      </c>
      <c r="G295" t="str">
        <f t="shared" si="22"/>
        <v>04</v>
      </c>
      <c r="H295" t="str">
        <f t="shared" si="23"/>
        <v>P_011-Pre-04.png</v>
      </c>
      <c r="I295" t="str">
        <f t="shared" si="24"/>
        <v>https://raw.githubusercontent.com/epz0/bridgespace/main/img/P_011-Pre-04.png</v>
      </c>
    </row>
    <row r="296" spans="1:9" x14ac:dyDescent="0.3">
      <c r="A296" t="s">
        <v>54</v>
      </c>
      <c r="B296" t="s">
        <v>23</v>
      </c>
      <c r="C296" t="s">
        <v>29</v>
      </c>
      <c r="D296" t="s">
        <v>998</v>
      </c>
      <c r="E296" t="str">
        <f t="shared" si="20"/>
        <v>P_011</v>
      </c>
      <c r="F296" t="str">
        <f t="shared" si="21"/>
        <v>Pst</v>
      </c>
      <c r="G296" t="str">
        <f t="shared" si="22"/>
        <v>10</v>
      </c>
      <c r="H296" t="str">
        <f t="shared" si="23"/>
        <v>P_011-Pst-10.png</v>
      </c>
      <c r="I296" t="str">
        <f t="shared" si="24"/>
        <v>https://raw.githubusercontent.com/epz0/bridgespace/main/img/P_011-Pst-10.png</v>
      </c>
    </row>
    <row r="297" spans="1:9" x14ac:dyDescent="0.3">
      <c r="A297" t="s">
        <v>54</v>
      </c>
      <c r="B297" t="s">
        <v>25</v>
      </c>
      <c r="C297" t="s">
        <v>29</v>
      </c>
      <c r="D297" t="s">
        <v>999</v>
      </c>
      <c r="E297" t="str">
        <f t="shared" si="20"/>
        <v>P_011</v>
      </c>
      <c r="F297" t="str">
        <f t="shared" si="21"/>
        <v>Pst</v>
      </c>
      <c r="G297" t="str">
        <f t="shared" si="22"/>
        <v>12</v>
      </c>
      <c r="H297" t="str">
        <f t="shared" si="23"/>
        <v>P_011-Pst-12.png</v>
      </c>
      <c r="I297" t="str">
        <f t="shared" si="24"/>
        <v>https://raw.githubusercontent.com/epz0/bridgespace/main/img/P_011-Pst-12.png</v>
      </c>
    </row>
    <row r="298" spans="1:9" x14ac:dyDescent="0.3">
      <c r="A298" t="s">
        <v>54</v>
      </c>
      <c r="B298" t="s">
        <v>24</v>
      </c>
      <c r="C298" t="s">
        <v>29</v>
      </c>
      <c r="D298" t="s">
        <v>1000</v>
      </c>
      <c r="E298" t="str">
        <f t="shared" si="20"/>
        <v>P_011</v>
      </c>
      <c r="F298" t="str">
        <f t="shared" si="21"/>
        <v>Pst</v>
      </c>
      <c r="G298" t="str">
        <f t="shared" si="22"/>
        <v>11</v>
      </c>
      <c r="H298" t="str">
        <f t="shared" si="23"/>
        <v>P_011-Pst-11.png</v>
      </c>
      <c r="I298" t="str">
        <f t="shared" si="24"/>
        <v>https://raw.githubusercontent.com/epz0/bridgespace/main/img/P_011-Pst-11.png</v>
      </c>
    </row>
    <row r="299" spans="1:9" x14ac:dyDescent="0.3">
      <c r="A299" t="s">
        <v>54</v>
      </c>
      <c r="B299" t="s">
        <v>32</v>
      </c>
      <c r="C299" t="s">
        <v>29</v>
      </c>
      <c r="D299" t="s">
        <v>1001</v>
      </c>
      <c r="E299" t="str">
        <f t="shared" si="20"/>
        <v>P_011</v>
      </c>
      <c r="F299" t="str">
        <f t="shared" si="21"/>
        <v>Pst</v>
      </c>
      <c r="G299" t="str">
        <f t="shared" si="22"/>
        <v>18</v>
      </c>
      <c r="H299" t="str">
        <f t="shared" si="23"/>
        <v>P_011-Pst-18.png</v>
      </c>
      <c r="I299" t="str">
        <f t="shared" si="24"/>
        <v>https://raw.githubusercontent.com/epz0/bridgespace/main/img/P_011-Pst-18.png</v>
      </c>
    </row>
    <row r="300" spans="1:9" x14ac:dyDescent="0.3">
      <c r="A300" t="s">
        <v>54</v>
      </c>
      <c r="B300" t="s">
        <v>21</v>
      </c>
      <c r="C300" t="s">
        <v>29</v>
      </c>
      <c r="D300" t="s">
        <v>1002</v>
      </c>
      <c r="E300" t="str">
        <f t="shared" si="20"/>
        <v>P_011</v>
      </c>
      <c r="F300" t="str">
        <f t="shared" si="21"/>
        <v>Pst</v>
      </c>
      <c r="G300" t="str">
        <f t="shared" si="22"/>
        <v>08</v>
      </c>
      <c r="H300" t="str">
        <f t="shared" si="23"/>
        <v>P_011-Pst-08.png</v>
      </c>
      <c r="I300" t="str">
        <f t="shared" si="24"/>
        <v>https://raw.githubusercontent.com/epz0/bridgespace/main/img/P_011-Pst-08.png</v>
      </c>
    </row>
    <row r="301" spans="1:9" x14ac:dyDescent="0.3">
      <c r="A301" t="s">
        <v>54</v>
      </c>
      <c r="B301" t="s">
        <v>30</v>
      </c>
      <c r="C301" t="s">
        <v>29</v>
      </c>
      <c r="D301" t="s">
        <v>1003</v>
      </c>
      <c r="E301" t="str">
        <f t="shared" si="20"/>
        <v>P_011</v>
      </c>
      <c r="F301" t="str">
        <f t="shared" si="21"/>
        <v>Pst</v>
      </c>
      <c r="G301" t="str">
        <f t="shared" si="22"/>
        <v>16</v>
      </c>
      <c r="H301" t="str">
        <f t="shared" si="23"/>
        <v>P_011-Pst-16.png</v>
      </c>
      <c r="I301" t="str">
        <f t="shared" si="24"/>
        <v>https://raw.githubusercontent.com/epz0/bridgespace/main/img/P_011-Pst-16.png</v>
      </c>
    </row>
    <row r="302" spans="1:9" x14ac:dyDescent="0.3">
      <c r="A302" t="s">
        <v>54</v>
      </c>
      <c r="B302" t="s">
        <v>20</v>
      </c>
      <c r="C302" t="s">
        <v>29</v>
      </c>
      <c r="D302" t="s">
        <v>1004</v>
      </c>
      <c r="E302" t="str">
        <f t="shared" si="20"/>
        <v>P_011</v>
      </c>
      <c r="F302" t="str">
        <f t="shared" si="21"/>
        <v>Pst</v>
      </c>
      <c r="G302" t="str">
        <f t="shared" si="22"/>
        <v>07</v>
      </c>
      <c r="H302" t="str">
        <f t="shared" si="23"/>
        <v>P_011-Pst-07.png</v>
      </c>
      <c r="I302" t="str">
        <f t="shared" si="24"/>
        <v>https://raw.githubusercontent.com/epz0/bridgespace/main/img/P_011-Pst-07.png</v>
      </c>
    </row>
    <row r="303" spans="1:9" x14ac:dyDescent="0.3">
      <c r="A303" t="s">
        <v>54</v>
      </c>
      <c r="B303" t="s">
        <v>33</v>
      </c>
      <c r="C303" t="s">
        <v>29</v>
      </c>
      <c r="D303" t="s">
        <v>1005</v>
      </c>
      <c r="E303" t="str">
        <f t="shared" si="20"/>
        <v>P_011</v>
      </c>
      <c r="F303" t="str">
        <f t="shared" si="21"/>
        <v>Pst</v>
      </c>
      <c r="G303" t="str">
        <f t="shared" si="22"/>
        <v>19</v>
      </c>
      <c r="H303" t="str">
        <f t="shared" si="23"/>
        <v>P_011-Pst-19.png</v>
      </c>
      <c r="I303" t="str">
        <f t="shared" si="24"/>
        <v>https://raw.githubusercontent.com/epz0/bridgespace/main/img/P_011-Pst-19.png</v>
      </c>
    </row>
    <row r="304" spans="1:9" x14ac:dyDescent="0.3">
      <c r="A304" t="s">
        <v>54</v>
      </c>
      <c r="B304" t="s">
        <v>26</v>
      </c>
      <c r="C304" t="s">
        <v>29</v>
      </c>
      <c r="D304" t="s">
        <v>1006</v>
      </c>
      <c r="E304" t="str">
        <f t="shared" si="20"/>
        <v>P_011</v>
      </c>
      <c r="F304" t="str">
        <f t="shared" si="21"/>
        <v>Pst</v>
      </c>
      <c r="G304" t="str">
        <f t="shared" si="22"/>
        <v>13</v>
      </c>
      <c r="H304" t="str">
        <f t="shared" si="23"/>
        <v>P_011-Pst-13.png</v>
      </c>
      <c r="I304" t="str">
        <f t="shared" si="24"/>
        <v>https://raw.githubusercontent.com/epz0/bridgespace/main/img/P_011-Pst-13.png</v>
      </c>
    </row>
    <row r="305" spans="1:9" x14ac:dyDescent="0.3">
      <c r="A305" t="s">
        <v>54</v>
      </c>
      <c r="B305" t="s">
        <v>22</v>
      </c>
      <c r="C305" t="s">
        <v>29</v>
      </c>
      <c r="D305" t="s">
        <v>1007</v>
      </c>
      <c r="E305" t="str">
        <f t="shared" si="20"/>
        <v>P_011</v>
      </c>
      <c r="F305" t="str">
        <f t="shared" si="21"/>
        <v>Pst</v>
      </c>
      <c r="G305" t="str">
        <f t="shared" si="22"/>
        <v>09</v>
      </c>
      <c r="H305" t="str">
        <f t="shared" si="23"/>
        <v>P_011-Pst-09.png</v>
      </c>
      <c r="I305" t="str">
        <f t="shared" si="24"/>
        <v>https://raw.githubusercontent.com/epz0/bridgespace/main/img/P_011-Pst-09.png</v>
      </c>
    </row>
    <row r="306" spans="1:9" x14ac:dyDescent="0.3">
      <c r="A306" t="s">
        <v>54</v>
      </c>
      <c r="B306" t="s">
        <v>31</v>
      </c>
      <c r="C306" t="s">
        <v>29</v>
      </c>
      <c r="D306" t="s">
        <v>1008</v>
      </c>
      <c r="E306" t="str">
        <f t="shared" si="20"/>
        <v>P_011</v>
      </c>
      <c r="F306" t="str">
        <f t="shared" si="21"/>
        <v>Pst</v>
      </c>
      <c r="G306" t="str">
        <f t="shared" si="22"/>
        <v>17</v>
      </c>
      <c r="H306" t="str">
        <f t="shared" si="23"/>
        <v>P_011-Pst-17.png</v>
      </c>
      <c r="I306" t="str">
        <f t="shared" si="24"/>
        <v>https://raw.githubusercontent.com/epz0/bridgespace/main/img/P_011-Pst-17.png</v>
      </c>
    </row>
    <row r="307" spans="1:9" x14ac:dyDescent="0.3">
      <c r="A307" t="s">
        <v>54</v>
      </c>
      <c r="B307" t="s">
        <v>27</v>
      </c>
      <c r="C307" t="s">
        <v>29</v>
      </c>
      <c r="D307" t="s">
        <v>1009</v>
      </c>
      <c r="E307" t="str">
        <f t="shared" si="20"/>
        <v>P_011</v>
      </c>
      <c r="F307" t="str">
        <f t="shared" si="21"/>
        <v>Pst</v>
      </c>
      <c r="G307" t="str">
        <f t="shared" si="22"/>
        <v>14</v>
      </c>
      <c r="H307" t="str">
        <f t="shared" si="23"/>
        <v>P_011-Pst-14.png</v>
      </c>
      <c r="I307" t="str">
        <f t="shared" si="24"/>
        <v>https://raw.githubusercontent.com/epz0/bridgespace/main/img/P_011-Pst-14.png</v>
      </c>
    </row>
    <row r="308" spans="1:9" x14ac:dyDescent="0.3">
      <c r="A308" t="s">
        <v>54</v>
      </c>
      <c r="B308" t="s">
        <v>28</v>
      </c>
      <c r="C308" t="s">
        <v>29</v>
      </c>
      <c r="D308" t="s">
        <v>1010</v>
      </c>
      <c r="E308" t="str">
        <f t="shared" si="20"/>
        <v>P_011</v>
      </c>
      <c r="F308" t="str">
        <f t="shared" si="21"/>
        <v>Pst</v>
      </c>
      <c r="G308" t="str">
        <f t="shared" si="22"/>
        <v>15</v>
      </c>
      <c r="H308" t="str">
        <f t="shared" si="23"/>
        <v>P_011-Pst-15.png</v>
      </c>
      <c r="I308" t="str">
        <f t="shared" si="24"/>
        <v>https://raw.githubusercontent.com/epz0/bridgespace/main/img/P_011-Pst-15.png</v>
      </c>
    </row>
    <row r="309" spans="1:9" x14ac:dyDescent="0.3">
      <c r="A309" s="38" t="s">
        <v>52</v>
      </c>
      <c r="B309" s="38" t="s">
        <v>15</v>
      </c>
      <c r="C309" s="38" t="s">
        <v>12</v>
      </c>
      <c r="D309" s="38" t="s">
        <v>1011</v>
      </c>
      <c r="E309" t="str">
        <f t="shared" si="20"/>
        <v>P_009</v>
      </c>
      <c r="F309" t="str">
        <f t="shared" si="21"/>
        <v>Pre</v>
      </c>
      <c r="G309" t="str">
        <f t="shared" si="22"/>
        <v>03</v>
      </c>
      <c r="H309" t="str">
        <f t="shared" si="23"/>
        <v>P_009-Pre-03.png</v>
      </c>
      <c r="I309" t="str">
        <f t="shared" si="24"/>
        <v>https://raw.githubusercontent.com/epz0/bridgespace/main/img/P_009-Pre-03.png</v>
      </c>
    </row>
    <row r="310" spans="1:9" x14ac:dyDescent="0.3">
      <c r="A310" t="s">
        <v>52</v>
      </c>
      <c r="B310" t="s">
        <v>14</v>
      </c>
      <c r="C310" t="s">
        <v>12</v>
      </c>
      <c r="D310" t="s">
        <v>1012</v>
      </c>
      <c r="E310" t="str">
        <f t="shared" si="20"/>
        <v>P_009</v>
      </c>
      <c r="F310" t="str">
        <f t="shared" si="21"/>
        <v>Pre</v>
      </c>
      <c r="G310" t="str">
        <f t="shared" si="22"/>
        <v>02</v>
      </c>
      <c r="H310" t="str">
        <f t="shared" si="23"/>
        <v>P_009-Pre-02.png</v>
      </c>
      <c r="I310" t="str">
        <f t="shared" si="24"/>
        <v>https://raw.githubusercontent.com/epz0/bridgespace/main/img/P_009-Pre-02.png</v>
      </c>
    </row>
    <row r="311" spans="1:9" x14ac:dyDescent="0.3">
      <c r="A311" t="s">
        <v>52</v>
      </c>
      <c r="B311" t="s">
        <v>11</v>
      </c>
      <c r="C311" t="s">
        <v>12</v>
      </c>
      <c r="D311" t="s">
        <v>1013</v>
      </c>
      <c r="E311" t="str">
        <f t="shared" si="20"/>
        <v>P_009</v>
      </c>
      <c r="F311" t="str">
        <f t="shared" si="21"/>
        <v>Pre</v>
      </c>
      <c r="G311" t="str">
        <f t="shared" si="22"/>
        <v>01</v>
      </c>
      <c r="H311" t="str">
        <f t="shared" si="23"/>
        <v>P_009-Pre-01.png</v>
      </c>
      <c r="I311" t="str">
        <f t="shared" si="24"/>
        <v>https://raw.githubusercontent.com/epz0/bridgespace/main/img/P_009-Pre-01.png</v>
      </c>
    </row>
    <row r="312" spans="1:9" x14ac:dyDescent="0.3">
      <c r="A312" t="s">
        <v>52</v>
      </c>
      <c r="B312" t="s">
        <v>16</v>
      </c>
      <c r="C312" t="s">
        <v>12</v>
      </c>
      <c r="D312" t="s">
        <v>1014</v>
      </c>
      <c r="E312" t="str">
        <f t="shared" si="20"/>
        <v>P_009</v>
      </c>
      <c r="F312" t="str">
        <f t="shared" si="21"/>
        <v>Pre</v>
      </c>
      <c r="G312" t="str">
        <f t="shared" si="22"/>
        <v>04</v>
      </c>
      <c r="H312" t="str">
        <f t="shared" si="23"/>
        <v>P_009-Pre-04.png</v>
      </c>
      <c r="I312" t="str">
        <f t="shared" si="24"/>
        <v>https://raw.githubusercontent.com/epz0/bridgespace/main/img/P_009-Pre-04.png</v>
      </c>
    </row>
    <row r="313" spans="1:9" x14ac:dyDescent="0.3">
      <c r="A313" t="s">
        <v>52</v>
      </c>
      <c r="B313" t="s">
        <v>23</v>
      </c>
      <c r="C313" t="s">
        <v>29</v>
      </c>
      <c r="D313" t="s">
        <v>1015</v>
      </c>
      <c r="E313" t="str">
        <f t="shared" si="20"/>
        <v>P_009</v>
      </c>
      <c r="F313" t="str">
        <f t="shared" si="21"/>
        <v>Pst</v>
      </c>
      <c r="G313" t="str">
        <f t="shared" si="22"/>
        <v>10</v>
      </c>
      <c r="H313" t="str">
        <f t="shared" si="23"/>
        <v>P_009-Pst-10.png</v>
      </c>
      <c r="I313" t="str">
        <f t="shared" si="24"/>
        <v>https://raw.githubusercontent.com/epz0/bridgespace/main/img/P_009-Pst-10.png</v>
      </c>
    </row>
    <row r="314" spans="1:9" x14ac:dyDescent="0.3">
      <c r="A314" t="s">
        <v>52</v>
      </c>
      <c r="B314" t="s">
        <v>21</v>
      </c>
      <c r="C314" t="s">
        <v>29</v>
      </c>
      <c r="D314" t="s">
        <v>1016</v>
      </c>
      <c r="E314" t="str">
        <f t="shared" si="20"/>
        <v>P_009</v>
      </c>
      <c r="F314" t="str">
        <f t="shared" si="21"/>
        <v>Pst</v>
      </c>
      <c r="G314" t="str">
        <f t="shared" si="22"/>
        <v>08</v>
      </c>
      <c r="H314" t="str">
        <f t="shared" si="23"/>
        <v>P_009-Pst-08.png</v>
      </c>
      <c r="I314" t="str">
        <f t="shared" si="24"/>
        <v>https://raw.githubusercontent.com/epz0/bridgespace/main/img/P_009-Pst-08.png</v>
      </c>
    </row>
    <row r="315" spans="1:9" x14ac:dyDescent="0.3">
      <c r="A315" t="s">
        <v>52</v>
      </c>
      <c r="B315" t="s">
        <v>19</v>
      </c>
      <c r="C315" t="s">
        <v>29</v>
      </c>
      <c r="D315" t="s">
        <v>1017</v>
      </c>
      <c r="E315" t="str">
        <f t="shared" si="20"/>
        <v>P_009</v>
      </c>
      <c r="F315" t="str">
        <f t="shared" si="21"/>
        <v>Pst</v>
      </c>
      <c r="G315" t="str">
        <f t="shared" si="22"/>
        <v>06</v>
      </c>
      <c r="H315" t="str">
        <f t="shared" si="23"/>
        <v>P_009-Pst-06.png</v>
      </c>
      <c r="I315" t="str">
        <f t="shared" si="24"/>
        <v>https://raw.githubusercontent.com/epz0/bridgespace/main/img/P_009-Pst-06.png</v>
      </c>
    </row>
    <row r="316" spans="1:9" x14ac:dyDescent="0.3">
      <c r="A316" t="s">
        <v>52</v>
      </c>
      <c r="B316" t="s">
        <v>17</v>
      </c>
      <c r="C316" t="s">
        <v>29</v>
      </c>
      <c r="D316" t="s">
        <v>1018</v>
      </c>
      <c r="E316" t="str">
        <f t="shared" si="20"/>
        <v>P_009</v>
      </c>
      <c r="F316" t="str">
        <f t="shared" si="21"/>
        <v>Pst</v>
      </c>
      <c r="G316" t="str">
        <f t="shared" si="22"/>
        <v>05</v>
      </c>
      <c r="H316" t="str">
        <f t="shared" si="23"/>
        <v>P_009-Pst-05.png</v>
      </c>
      <c r="I316" t="str">
        <f t="shared" si="24"/>
        <v>https://raw.githubusercontent.com/epz0/bridgespace/main/img/P_009-Pst-05.png</v>
      </c>
    </row>
    <row r="317" spans="1:9" x14ac:dyDescent="0.3">
      <c r="A317" t="s">
        <v>52</v>
      </c>
      <c r="B317" t="s">
        <v>20</v>
      </c>
      <c r="C317" t="s">
        <v>29</v>
      </c>
      <c r="D317" t="s">
        <v>1019</v>
      </c>
      <c r="E317" t="str">
        <f t="shared" si="20"/>
        <v>P_009</v>
      </c>
      <c r="F317" t="str">
        <f t="shared" si="21"/>
        <v>Pst</v>
      </c>
      <c r="G317" t="str">
        <f t="shared" si="22"/>
        <v>07</v>
      </c>
      <c r="H317" t="str">
        <f t="shared" si="23"/>
        <v>P_009-Pst-07.png</v>
      </c>
      <c r="I317" t="str">
        <f t="shared" si="24"/>
        <v>https://raw.githubusercontent.com/epz0/bridgespace/main/img/P_009-Pst-07.png</v>
      </c>
    </row>
    <row r="318" spans="1:9" x14ac:dyDescent="0.3">
      <c r="A318" t="s">
        <v>52</v>
      </c>
      <c r="B318" t="s">
        <v>22</v>
      </c>
      <c r="C318" t="s">
        <v>29</v>
      </c>
      <c r="D318" t="s">
        <v>1020</v>
      </c>
      <c r="E318" t="str">
        <f t="shared" si="20"/>
        <v>P_009</v>
      </c>
      <c r="F318" t="str">
        <f t="shared" si="21"/>
        <v>Pst</v>
      </c>
      <c r="G318" t="str">
        <f t="shared" si="22"/>
        <v>09</v>
      </c>
      <c r="H318" t="str">
        <f t="shared" si="23"/>
        <v>P_009-Pst-09.png</v>
      </c>
      <c r="I318" t="str">
        <f t="shared" si="24"/>
        <v>https://raw.githubusercontent.com/epz0/bridgespace/main/img/P_009-Pst-09.png</v>
      </c>
    </row>
    <row r="319" spans="1:9" x14ac:dyDescent="0.3">
      <c r="A319" t="s">
        <v>69</v>
      </c>
      <c r="B319" t="s">
        <v>15</v>
      </c>
      <c r="C319" t="s">
        <v>12</v>
      </c>
      <c r="D319" t="s">
        <v>1021</v>
      </c>
      <c r="E319" t="str">
        <f t="shared" si="20"/>
        <v>P_023</v>
      </c>
      <c r="F319" t="str">
        <f t="shared" si="21"/>
        <v>Pre</v>
      </c>
      <c r="G319" t="str">
        <f t="shared" si="22"/>
        <v>03</v>
      </c>
      <c r="H319" t="str">
        <f t="shared" si="23"/>
        <v>P_023-Pre-03.png</v>
      </c>
      <c r="I319" t="str">
        <f t="shared" si="24"/>
        <v>https://raw.githubusercontent.com/epz0/bridgespace/main/img/P_023-Pre-03.png</v>
      </c>
    </row>
    <row r="320" spans="1:9" x14ac:dyDescent="0.3">
      <c r="A320" t="s">
        <v>69</v>
      </c>
      <c r="B320" t="s">
        <v>23</v>
      </c>
      <c r="C320" t="s">
        <v>12</v>
      </c>
      <c r="D320" t="s">
        <v>1022</v>
      </c>
      <c r="E320" t="str">
        <f t="shared" si="20"/>
        <v>P_023</v>
      </c>
      <c r="F320" t="str">
        <f t="shared" si="21"/>
        <v>Pre</v>
      </c>
      <c r="G320" t="str">
        <f t="shared" si="22"/>
        <v>10</v>
      </c>
      <c r="H320" t="str">
        <f t="shared" si="23"/>
        <v>P_023-Pre-10.png</v>
      </c>
      <c r="I320" t="str">
        <f t="shared" si="24"/>
        <v>https://raw.githubusercontent.com/epz0/bridgespace/main/img/P_023-Pre-10.png</v>
      </c>
    </row>
    <row r="321" spans="1:9" x14ac:dyDescent="0.3">
      <c r="A321" t="s">
        <v>69</v>
      </c>
      <c r="B321" t="s">
        <v>14</v>
      </c>
      <c r="C321" t="s">
        <v>12</v>
      </c>
      <c r="D321" t="s">
        <v>1023</v>
      </c>
      <c r="E321" t="str">
        <f t="shared" si="20"/>
        <v>P_023</v>
      </c>
      <c r="F321" t="str">
        <f t="shared" si="21"/>
        <v>Pre</v>
      </c>
      <c r="G321" t="str">
        <f t="shared" si="22"/>
        <v>02</v>
      </c>
      <c r="H321" t="str">
        <f t="shared" si="23"/>
        <v>P_023-Pre-02.png</v>
      </c>
      <c r="I321" t="str">
        <f t="shared" si="24"/>
        <v>https://raw.githubusercontent.com/epz0/bridgespace/main/img/P_023-Pre-02.png</v>
      </c>
    </row>
    <row r="322" spans="1:9" x14ac:dyDescent="0.3">
      <c r="A322" t="s">
        <v>69</v>
      </c>
      <c r="B322" t="s">
        <v>11</v>
      </c>
      <c r="C322" t="s">
        <v>12</v>
      </c>
      <c r="D322" t="s">
        <v>1024</v>
      </c>
      <c r="E322" t="str">
        <f t="shared" si="20"/>
        <v>P_023</v>
      </c>
      <c r="F322" t="str">
        <f t="shared" si="21"/>
        <v>Pre</v>
      </c>
      <c r="G322" t="str">
        <f t="shared" si="22"/>
        <v>01</v>
      </c>
      <c r="H322" t="str">
        <f t="shared" si="23"/>
        <v>P_023-Pre-01.png</v>
      </c>
      <c r="I322" t="str">
        <f t="shared" si="24"/>
        <v>https://raw.githubusercontent.com/epz0/bridgespace/main/img/P_023-Pre-01.png</v>
      </c>
    </row>
    <row r="323" spans="1:9" x14ac:dyDescent="0.3">
      <c r="A323" t="s">
        <v>69</v>
      </c>
      <c r="B323" t="s">
        <v>21</v>
      </c>
      <c r="C323" t="s">
        <v>12</v>
      </c>
      <c r="D323" t="s">
        <v>1025</v>
      </c>
      <c r="E323" t="str">
        <f t="shared" ref="E323:E386" si="25">VLOOKUP(A323,$N$3:$O$42,2,0)</f>
        <v>P_023</v>
      </c>
      <c r="F323" t="str">
        <f t="shared" ref="F323:F386" si="26">VLOOKUP(C323,$Q$2:$R$3,2,0)</f>
        <v>Pre</v>
      </c>
      <c r="G323" t="str">
        <f t="shared" ref="G323:G386" si="27">VLOOKUP(B323,$K$2:$L$33,2,0)</f>
        <v>08</v>
      </c>
      <c r="H323" t="str">
        <f t="shared" ref="H323:H386" si="28">E323&amp;"-"&amp;F323&amp;"-"&amp;G323&amp;".png"</f>
        <v>P_023-Pre-08.png</v>
      </c>
      <c r="I323" t="str">
        <f t="shared" ref="I323:I386" si="29">"https://raw.githubusercontent.com/epz0/bridgespace/main/img/"&amp;H323</f>
        <v>https://raw.githubusercontent.com/epz0/bridgespace/main/img/P_023-Pre-08.png</v>
      </c>
    </row>
    <row r="324" spans="1:9" x14ac:dyDescent="0.3">
      <c r="A324" t="s">
        <v>69</v>
      </c>
      <c r="B324" t="s">
        <v>19</v>
      </c>
      <c r="C324" t="s">
        <v>12</v>
      </c>
      <c r="D324" t="s">
        <v>1026</v>
      </c>
      <c r="E324" t="str">
        <f t="shared" si="25"/>
        <v>P_023</v>
      </c>
      <c r="F324" t="str">
        <f t="shared" si="26"/>
        <v>Pre</v>
      </c>
      <c r="G324" t="str">
        <f t="shared" si="27"/>
        <v>06</v>
      </c>
      <c r="H324" t="str">
        <f t="shared" si="28"/>
        <v>P_023-Pre-06.png</v>
      </c>
      <c r="I324" t="str">
        <f t="shared" si="29"/>
        <v>https://raw.githubusercontent.com/epz0/bridgespace/main/img/P_023-Pre-06.png</v>
      </c>
    </row>
    <row r="325" spans="1:9" x14ac:dyDescent="0.3">
      <c r="A325" t="s">
        <v>69</v>
      </c>
      <c r="B325" t="s">
        <v>17</v>
      </c>
      <c r="C325" t="s">
        <v>12</v>
      </c>
      <c r="D325" t="s">
        <v>1027</v>
      </c>
      <c r="E325" t="str">
        <f t="shared" si="25"/>
        <v>P_023</v>
      </c>
      <c r="F325" t="str">
        <f t="shared" si="26"/>
        <v>Pre</v>
      </c>
      <c r="G325" t="str">
        <f t="shared" si="27"/>
        <v>05</v>
      </c>
      <c r="H325" t="str">
        <f t="shared" si="28"/>
        <v>P_023-Pre-05.png</v>
      </c>
      <c r="I325" t="str">
        <f t="shared" si="29"/>
        <v>https://raw.githubusercontent.com/epz0/bridgespace/main/img/P_023-Pre-05.png</v>
      </c>
    </row>
    <row r="326" spans="1:9" x14ac:dyDescent="0.3">
      <c r="A326" t="s">
        <v>69</v>
      </c>
      <c r="B326" t="s">
        <v>16</v>
      </c>
      <c r="C326" t="s">
        <v>12</v>
      </c>
      <c r="D326" t="s">
        <v>1028</v>
      </c>
      <c r="E326" t="str">
        <f t="shared" si="25"/>
        <v>P_023</v>
      </c>
      <c r="F326" t="str">
        <f t="shared" si="26"/>
        <v>Pre</v>
      </c>
      <c r="G326" t="str">
        <f t="shared" si="27"/>
        <v>04</v>
      </c>
      <c r="H326" t="str">
        <f t="shared" si="28"/>
        <v>P_023-Pre-04.png</v>
      </c>
      <c r="I326" t="str">
        <f t="shared" si="29"/>
        <v>https://raw.githubusercontent.com/epz0/bridgespace/main/img/P_023-Pre-04.png</v>
      </c>
    </row>
    <row r="327" spans="1:9" x14ac:dyDescent="0.3">
      <c r="A327" t="s">
        <v>69</v>
      </c>
      <c r="B327" t="s">
        <v>20</v>
      </c>
      <c r="C327" t="s">
        <v>12</v>
      </c>
      <c r="D327" t="s">
        <v>1029</v>
      </c>
      <c r="E327" t="str">
        <f t="shared" si="25"/>
        <v>P_023</v>
      </c>
      <c r="F327" t="str">
        <f t="shared" si="26"/>
        <v>Pre</v>
      </c>
      <c r="G327" t="str">
        <f t="shared" si="27"/>
        <v>07</v>
      </c>
      <c r="H327" t="str">
        <f t="shared" si="28"/>
        <v>P_023-Pre-07.png</v>
      </c>
      <c r="I327" t="str">
        <f t="shared" si="29"/>
        <v>https://raw.githubusercontent.com/epz0/bridgespace/main/img/P_023-Pre-07.png</v>
      </c>
    </row>
    <row r="328" spans="1:9" x14ac:dyDescent="0.3">
      <c r="A328" t="s">
        <v>69</v>
      </c>
      <c r="B328" t="s">
        <v>22</v>
      </c>
      <c r="C328" t="s">
        <v>12</v>
      </c>
      <c r="D328" t="s">
        <v>1030</v>
      </c>
      <c r="E328" t="str">
        <f t="shared" si="25"/>
        <v>P_023</v>
      </c>
      <c r="F328" t="str">
        <f t="shared" si="26"/>
        <v>Pre</v>
      </c>
      <c r="G328" t="str">
        <f t="shared" si="27"/>
        <v>09</v>
      </c>
      <c r="H328" t="str">
        <f t="shared" si="28"/>
        <v>P_023-Pre-09.png</v>
      </c>
      <c r="I328" t="str">
        <f t="shared" si="29"/>
        <v>https://raw.githubusercontent.com/epz0/bridgespace/main/img/P_023-Pre-09.png</v>
      </c>
    </row>
    <row r="329" spans="1:9" x14ac:dyDescent="0.3">
      <c r="A329" t="s">
        <v>69</v>
      </c>
      <c r="B329" t="s">
        <v>25</v>
      </c>
      <c r="C329" t="s">
        <v>29</v>
      </c>
      <c r="D329" t="s">
        <v>1031</v>
      </c>
      <c r="E329" t="str">
        <f t="shared" si="25"/>
        <v>P_023</v>
      </c>
      <c r="F329" t="str">
        <f t="shared" si="26"/>
        <v>Pst</v>
      </c>
      <c r="G329" t="str">
        <f t="shared" si="27"/>
        <v>12</v>
      </c>
      <c r="H329" t="str">
        <f t="shared" si="28"/>
        <v>P_023-Pst-12.png</v>
      </c>
      <c r="I329" t="str">
        <f t="shared" si="29"/>
        <v>https://raw.githubusercontent.com/epz0/bridgespace/main/img/P_023-Pst-12.png</v>
      </c>
    </row>
    <row r="330" spans="1:9" x14ac:dyDescent="0.3">
      <c r="A330" t="s">
        <v>69</v>
      </c>
      <c r="B330" t="s">
        <v>24</v>
      </c>
      <c r="C330" t="s">
        <v>29</v>
      </c>
      <c r="D330" t="s">
        <v>1032</v>
      </c>
      <c r="E330" t="str">
        <f t="shared" si="25"/>
        <v>P_023</v>
      </c>
      <c r="F330" t="str">
        <f t="shared" si="26"/>
        <v>Pst</v>
      </c>
      <c r="G330" t="str">
        <f t="shared" si="27"/>
        <v>11</v>
      </c>
      <c r="H330" t="str">
        <f t="shared" si="28"/>
        <v>P_023-Pst-11.png</v>
      </c>
      <c r="I330" t="str">
        <f t="shared" si="29"/>
        <v>https://raw.githubusercontent.com/epz0/bridgespace/main/img/P_023-Pst-11.png</v>
      </c>
    </row>
    <row r="331" spans="1:9" x14ac:dyDescent="0.3">
      <c r="A331" t="s">
        <v>69</v>
      </c>
      <c r="B331" t="s">
        <v>32</v>
      </c>
      <c r="C331" t="s">
        <v>29</v>
      </c>
      <c r="D331" t="s">
        <v>1033</v>
      </c>
      <c r="E331" t="str">
        <f t="shared" si="25"/>
        <v>P_023</v>
      </c>
      <c r="F331" t="str">
        <f t="shared" si="26"/>
        <v>Pst</v>
      </c>
      <c r="G331" t="str">
        <f t="shared" si="27"/>
        <v>18</v>
      </c>
      <c r="H331" t="str">
        <f t="shared" si="28"/>
        <v>P_023-Pst-18.png</v>
      </c>
      <c r="I331" t="str">
        <f t="shared" si="29"/>
        <v>https://raw.githubusercontent.com/epz0/bridgespace/main/img/P_023-Pst-18.png</v>
      </c>
    </row>
    <row r="332" spans="1:9" x14ac:dyDescent="0.3">
      <c r="A332" t="s">
        <v>69</v>
      </c>
      <c r="B332" t="s">
        <v>30</v>
      </c>
      <c r="C332" t="s">
        <v>29</v>
      </c>
      <c r="D332" t="s">
        <v>1034</v>
      </c>
      <c r="E332" t="str">
        <f t="shared" si="25"/>
        <v>P_023</v>
      </c>
      <c r="F332" t="str">
        <f t="shared" si="26"/>
        <v>Pst</v>
      </c>
      <c r="G332" t="str">
        <f t="shared" si="27"/>
        <v>16</v>
      </c>
      <c r="H332" t="str">
        <f t="shared" si="28"/>
        <v>P_023-Pst-16.png</v>
      </c>
      <c r="I332" t="str">
        <f t="shared" si="29"/>
        <v>https://raw.githubusercontent.com/epz0/bridgespace/main/img/P_023-Pst-16.png</v>
      </c>
    </row>
    <row r="333" spans="1:9" x14ac:dyDescent="0.3">
      <c r="A333" t="s">
        <v>69</v>
      </c>
      <c r="B333" t="s">
        <v>34</v>
      </c>
      <c r="C333" t="s">
        <v>29</v>
      </c>
      <c r="D333" t="s">
        <v>1035</v>
      </c>
      <c r="E333" t="str">
        <f t="shared" si="25"/>
        <v>P_023</v>
      </c>
      <c r="F333" t="str">
        <f t="shared" si="26"/>
        <v>Pst</v>
      </c>
      <c r="G333" t="str">
        <f t="shared" si="27"/>
        <v>20</v>
      </c>
      <c r="H333" t="str">
        <f t="shared" si="28"/>
        <v>P_023-Pst-20.png</v>
      </c>
      <c r="I333" t="str">
        <f t="shared" si="29"/>
        <v>https://raw.githubusercontent.com/epz0/bridgespace/main/img/P_023-Pst-20.png</v>
      </c>
    </row>
    <row r="334" spans="1:9" x14ac:dyDescent="0.3">
      <c r="A334" t="s">
        <v>69</v>
      </c>
      <c r="B334" t="s">
        <v>36</v>
      </c>
      <c r="C334" t="s">
        <v>29</v>
      </c>
      <c r="D334" t="s">
        <v>1036</v>
      </c>
      <c r="E334" t="str">
        <f t="shared" si="25"/>
        <v>P_023</v>
      </c>
      <c r="F334" t="str">
        <f t="shared" si="26"/>
        <v>Pst</v>
      </c>
      <c r="G334" t="str">
        <f t="shared" si="27"/>
        <v>22</v>
      </c>
      <c r="H334" t="str">
        <f t="shared" si="28"/>
        <v>P_023-Pst-22.png</v>
      </c>
      <c r="I334" t="str">
        <f t="shared" si="29"/>
        <v>https://raw.githubusercontent.com/epz0/bridgespace/main/img/P_023-Pst-22.png</v>
      </c>
    </row>
    <row r="335" spans="1:9" x14ac:dyDescent="0.3">
      <c r="A335" t="s">
        <v>69</v>
      </c>
      <c r="B335" t="s">
        <v>33</v>
      </c>
      <c r="C335" t="s">
        <v>29</v>
      </c>
      <c r="D335" t="s">
        <v>1037</v>
      </c>
      <c r="E335" t="str">
        <f t="shared" si="25"/>
        <v>P_023</v>
      </c>
      <c r="F335" t="str">
        <f t="shared" si="26"/>
        <v>Pst</v>
      </c>
      <c r="G335" t="str">
        <f t="shared" si="27"/>
        <v>19</v>
      </c>
      <c r="H335" t="str">
        <f t="shared" si="28"/>
        <v>P_023-Pst-19.png</v>
      </c>
      <c r="I335" t="str">
        <f t="shared" si="29"/>
        <v>https://raw.githubusercontent.com/epz0/bridgespace/main/img/P_023-Pst-19.png</v>
      </c>
    </row>
    <row r="336" spans="1:9" x14ac:dyDescent="0.3">
      <c r="A336" t="s">
        <v>69</v>
      </c>
      <c r="B336" t="s">
        <v>26</v>
      </c>
      <c r="C336" t="s">
        <v>29</v>
      </c>
      <c r="D336" t="s">
        <v>1038</v>
      </c>
      <c r="E336" t="str">
        <f t="shared" si="25"/>
        <v>P_023</v>
      </c>
      <c r="F336" t="str">
        <f t="shared" si="26"/>
        <v>Pst</v>
      </c>
      <c r="G336" t="str">
        <f t="shared" si="27"/>
        <v>13</v>
      </c>
      <c r="H336" t="str">
        <f t="shared" si="28"/>
        <v>P_023-Pst-13.png</v>
      </c>
      <c r="I336" t="str">
        <f t="shared" si="29"/>
        <v>https://raw.githubusercontent.com/epz0/bridgespace/main/img/P_023-Pst-13.png</v>
      </c>
    </row>
    <row r="337" spans="1:9" x14ac:dyDescent="0.3">
      <c r="A337" t="s">
        <v>69</v>
      </c>
      <c r="B337" t="s">
        <v>31</v>
      </c>
      <c r="C337" t="s">
        <v>29</v>
      </c>
      <c r="D337" t="s">
        <v>1039</v>
      </c>
      <c r="E337" t="str">
        <f t="shared" si="25"/>
        <v>P_023</v>
      </c>
      <c r="F337" t="str">
        <f t="shared" si="26"/>
        <v>Pst</v>
      </c>
      <c r="G337" t="str">
        <f t="shared" si="27"/>
        <v>17</v>
      </c>
      <c r="H337" t="str">
        <f t="shared" si="28"/>
        <v>P_023-Pst-17.png</v>
      </c>
      <c r="I337" t="str">
        <f t="shared" si="29"/>
        <v>https://raw.githubusercontent.com/epz0/bridgespace/main/img/P_023-Pst-17.png</v>
      </c>
    </row>
    <row r="338" spans="1:9" x14ac:dyDescent="0.3">
      <c r="A338" t="s">
        <v>69</v>
      </c>
      <c r="B338" t="s">
        <v>27</v>
      </c>
      <c r="C338" t="s">
        <v>29</v>
      </c>
      <c r="D338" t="s">
        <v>1040</v>
      </c>
      <c r="E338" t="str">
        <f t="shared" si="25"/>
        <v>P_023</v>
      </c>
      <c r="F338" t="str">
        <f t="shared" si="26"/>
        <v>Pst</v>
      </c>
      <c r="G338" t="str">
        <f t="shared" si="27"/>
        <v>14</v>
      </c>
      <c r="H338" t="str">
        <f t="shared" si="28"/>
        <v>P_023-Pst-14.png</v>
      </c>
      <c r="I338" t="str">
        <f t="shared" si="29"/>
        <v>https://raw.githubusercontent.com/epz0/bridgespace/main/img/P_023-Pst-14.png</v>
      </c>
    </row>
    <row r="339" spans="1:9" x14ac:dyDescent="0.3">
      <c r="A339" t="s">
        <v>69</v>
      </c>
      <c r="B339" t="s">
        <v>28</v>
      </c>
      <c r="C339" t="s">
        <v>29</v>
      </c>
      <c r="D339" t="s">
        <v>1041</v>
      </c>
      <c r="E339" t="str">
        <f t="shared" si="25"/>
        <v>P_023</v>
      </c>
      <c r="F339" t="str">
        <f t="shared" si="26"/>
        <v>Pst</v>
      </c>
      <c r="G339" t="str">
        <f t="shared" si="27"/>
        <v>15</v>
      </c>
      <c r="H339" t="str">
        <f t="shared" si="28"/>
        <v>P_023-Pst-15.png</v>
      </c>
      <c r="I339" t="str">
        <f t="shared" si="29"/>
        <v>https://raw.githubusercontent.com/epz0/bridgespace/main/img/P_023-Pst-15.png</v>
      </c>
    </row>
    <row r="340" spans="1:9" x14ac:dyDescent="0.3">
      <c r="A340" t="s">
        <v>69</v>
      </c>
      <c r="B340" t="s">
        <v>35</v>
      </c>
      <c r="C340" t="s">
        <v>29</v>
      </c>
      <c r="D340" t="s">
        <v>1042</v>
      </c>
      <c r="E340" t="str">
        <f t="shared" si="25"/>
        <v>P_023</v>
      </c>
      <c r="F340" t="str">
        <f t="shared" si="26"/>
        <v>Pst</v>
      </c>
      <c r="G340" t="str">
        <f t="shared" si="27"/>
        <v>21</v>
      </c>
      <c r="H340" t="str">
        <f t="shared" si="28"/>
        <v>P_023-Pst-21.png</v>
      </c>
      <c r="I340" t="str">
        <f t="shared" si="29"/>
        <v>https://raw.githubusercontent.com/epz0/bridgespace/main/img/P_023-Pst-21.png</v>
      </c>
    </row>
    <row r="341" spans="1:9" x14ac:dyDescent="0.3">
      <c r="A341" t="s">
        <v>48</v>
      </c>
      <c r="B341" t="s">
        <v>15</v>
      </c>
      <c r="C341" t="s">
        <v>12</v>
      </c>
      <c r="D341" t="s">
        <v>1043</v>
      </c>
      <c r="E341" t="str">
        <f t="shared" si="25"/>
        <v>P_005</v>
      </c>
      <c r="F341" t="str">
        <f t="shared" si="26"/>
        <v>Pre</v>
      </c>
      <c r="G341" t="str">
        <f t="shared" si="27"/>
        <v>03</v>
      </c>
      <c r="H341" t="str">
        <f t="shared" si="28"/>
        <v>P_005-Pre-03.png</v>
      </c>
      <c r="I341" t="str">
        <f t="shared" si="29"/>
        <v>https://raw.githubusercontent.com/epz0/bridgespace/main/img/P_005-Pre-03.png</v>
      </c>
    </row>
    <row r="342" spans="1:9" x14ac:dyDescent="0.3">
      <c r="A342" t="s">
        <v>48</v>
      </c>
      <c r="B342" t="s">
        <v>14</v>
      </c>
      <c r="C342" t="s">
        <v>12</v>
      </c>
      <c r="D342" t="s">
        <v>1044</v>
      </c>
      <c r="E342" t="str">
        <f t="shared" si="25"/>
        <v>P_005</v>
      </c>
      <c r="F342" t="str">
        <f t="shared" si="26"/>
        <v>Pre</v>
      </c>
      <c r="G342" t="str">
        <f t="shared" si="27"/>
        <v>02</v>
      </c>
      <c r="H342" t="str">
        <f t="shared" si="28"/>
        <v>P_005-Pre-02.png</v>
      </c>
      <c r="I342" t="str">
        <f t="shared" si="29"/>
        <v>https://raw.githubusercontent.com/epz0/bridgespace/main/img/P_005-Pre-02.png</v>
      </c>
    </row>
    <row r="343" spans="1:9" x14ac:dyDescent="0.3">
      <c r="A343" t="s">
        <v>48</v>
      </c>
      <c r="B343" t="s">
        <v>11</v>
      </c>
      <c r="C343" t="s">
        <v>12</v>
      </c>
      <c r="D343" t="s">
        <v>1045</v>
      </c>
      <c r="E343" t="str">
        <f t="shared" si="25"/>
        <v>P_005</v>
      </c>
      <c r="F343" t="str">
        <f t="shared" si="26"/>
        <v>Pre</v>
      </c>
      <c r="G343" t="str">
        <f t="shared" si="27"/>
        <v>01</v>
      </c>
      <c r="H343" t="str">
        <f t="shared" si="28"/>
        <v>P_005-Pre-01.png</v>
      </c>
      <c r="I343" t="str">
        <f t="shared" si="29"/>
        <v>https://raw.githubusercontent.com/epz0/bridgespace/main/img/P_005-Pre-01.png</v>
      </c>
    </row>
    <row r="344" spans="1:9" x14ac:dyDescent="0.3">
      <c r="A344" t="s">
        <v>48</v>
      </c>
      <c r="B344" t="s">
        <v>19</v>
      </c>
      <c r="C344" t="s">
        <v>12</v>
      </c>
      <c r="D344" t="s">
        <v>1046</v>
      </c>
      <c r="E344" t="str">
        <f t="shared" si="25"/>
        <v>P_005</v>
      </c>
      <c r="F344" t="str">
        <f t="shared" si="26"/>
        <v>Pre</v>
      </c>
      <c r="G344" t="str">
        <f t="shared" si="27"/>
        <v>06</v>
      </c>
      <c r="H344" t="str">
        <f t="shared" si="28"/>
        <v>P_005-Pre-06.png</v>
      </c>
      <c r="I344" t="str">
        <f t="shared" si="29"/>
        <v>https://raw.githubusercontent.com/epz0/bridgespace/main/img/P_005-Pre-06.png</v>
      </c>
    </row>
    <row r="345" spans="1:9" x14ac:dyDescent="0.3">
      <c r="A345" t="s">
        <v>48</v>
      </c>
      <c r="B345" t="s">
        <v>17</v>
      </c>
      <c r="C345" t="s">
        <v>12</v>
      </c>
      <c r="D345" t="s">
        <v>1047</v>
      </c>
      <c r="E345" t="str">
        <f t="shared" si="25"/>
        <v>P_005</v>
      </c>
      <c r="F345" t="str">
        <f t="shared" si="26"/>
        <v>Pre</v>
      </c>
      <c r="G345" t="str">
        <f t="shared" si="27"/>
        <v>05</v>
      </c>
      <c r="H345" t="str">
        <f t="shared" si="28"/>
        <v>P_005-Pre-05.png</v>
      </c>
      <c r="I345" t="str">
        <f t="shared" si="29"/>
        <v>https://raw.githubusercontent.com/epz0/bridgespace/main/img/P_005-Pre-05.png</v>
      </c>
    </row>
    <row r="346" spans="1:9" x14ac:dyDescent="0.3">
      <c r="A346" t="s">
        <v>48</v>
      </c>
      <c r="B346" t="s">
        <v>16</v>
      </c>
      <c r="C346" t="s">
        <v>12</v>
      </c>
      <c r="D346" t="s">
        <v>1048</v>
      </c>
      <c r="E346" t="str">
        <f t="shared" si="25"/>
        <v>P_005</v>
      </c>
      <c r="F346" t="str">
        <f t="shared" si="26"/>
        <v>Pre</v>
      </c>
      <c r="G346" t="str">
        <f t="shared" si="27"/>
        <v>04</v>
      </c>
      <c r="H346" t="str">
        <f t="shared" si="28"/>
        <v>P_005-Pre-04.png</v>
      </c>
      <c r="I346" t="str">
        <f t="shared" si="29"/>
        <v>https://raw.githubusercontent.com/epz0/bridgespace/main/img/P_005-Pre-04.png</v>
      </c>
    </row>
    <row r="347" spans="1:9" x14ac:dyDescent="0.3">
      <c r="A347" t="s">
        <v>48</v>
      </c>
      <c r="B347" t="s">
        <v>20</v>
      </c>
      <c r="C347" t="s">
        <v>12</v>
      </c>
      <c r="D347" t="s">
        <v>1049</v>
      </c>
      <c r="E347" t="str">
        <f t="shared" si="25"/>
        <v>P_005</v>
      </c>
      <c r="F347" t="str">
        <f t="shared" si="26"/>
        <v>Pre</v>
      </c>
      <c r="G347" t="str">
        <f t="shared" si="27"/>
        <v>07</v>
      </c>
      <c r="H347" t="str">
        <f t="shared" si="28"/>
        <v>P_005-Pre-07.png</v>
      </c>
      <c r="I347" t="str">
        <f t="shared" si="29"/>
        <v>https://raw.githubusercontent.com/epz0/bridgespace/main/img/P_005-Pre-07.png</v>
      </c>
    </row>
    <row r="348" spans="1:9" x14ac:dyDescent="0.3">
      <c r="A348" t="s">
        <v>48</v>
      </c>
      <c r="B348" t="s">
        <v>23</v>
      </c>
      <c r="C348" t="s">
        <v>29</v>
      </c>
      <c r="D348" t="s">
        <v>1050</v>
      </c>
      <c r="E348" t="str">
        <f t="shared" si="25"/>
        <v>P_005</v>
      </c>
      <c r="F348" t="str">
        <f t="shared" si="26"/>
        <v>Pst</v>
      </c>
      <c r="G348" t="str">
        <f t="shared" si="27"/>
        <v>10</v>
      </c>
      <c r="H348" t="str">
        <f t="shared" si="28"/>
        <v>P_005-Pst-10.png</v>
      </c>
      <c r="I348" t="str">
        <f t="shared" si="29"/>
        <v>https://raw.githubusercontent.com/epz0/bridgespace/main/img/P_005-Pst-10.png</v>
      </c>
    </row>
    <row r="349" spans="1:9" x14ac:dyDescent="0.3">
      <c r="A349" t="s">
        <v>48</v>
      </c>
      <c r="B349" t="s">
        <v>25</v>
      </c>
      <c r="C349" t="s">
        <v>29</v>
      </c>
      <c r="D349" t="s">
        <v>1051</v>
      </c>
      <c r="E349" t="str">
        <f t="shared" si="25"/>
        <v>P_005</v>
      </c>
      <c r="F349" t="str">
        <f t="shared" si="26"/>
        <v>Pst</v>
      </c>
      <c r="G349" t="str">
        <f t="shared" si="27"/>
        <v>12</v>
      </c>
      <c r="H349" t="str">
        <f t="shared" si="28"/>
        <v>P_005-Pst-12.png</v>
      </c>
      <c r="I349" t="str">
        <f t="shared" si="29"/>
        <v>https://raw.githubusercontent.com/epz0/bridgespace/main/img/P_005-Pst-12.png</v>
      </c>
    </row>
    <row r="350" spans="1:9" x14ac:dyDescent="0.3">
      <c r="A350" t="s">
        <v>48</v>
      </c>
      <c r="B350" t="s">
        <v>24</v>
      </c>
      <c r="C350" t="s">
        <v>29</v>
      </c>
      <c r="D350" t="s">
        <v>1052</v>
      </c>
      <c r="E350" t="str">
        <f t="shared" si="25"/>
        <v>P_005</v>
      </c>
      <c r="F350" t="str">
        <f t="shared" si="26"/>
        <v>Pst</v>
      </c>
      <c r="G350" t="str">
        <f t="shared" si="27"/>
        <v>11</v>
      </c>
      <c r="H350" t="str">
        <f t="shared" si="28"/>
        <v>P_005-Pst-11.png</v>
      </c>
      <c r="I350" t="str">
        <f t="shared" si="29"/>
        <v>https://raw.githubusercontent.com/epz0/bridgespace/main/img/P_005-Pst-11.png</v>
      </c>
    </row>
    <row r="351" spans="1:9" x14ac:dyDescent="0.3">
      <c r="A351" t="s">
        <v>48</v>
      </c>
      <c r="B351" t="s">
        <v>21</v>
      </c>
      <c r="C351" t="s">
        <v>29</v>
      </c>
      <c r="D351" t="s">
        <v>1053</v>
      </c>
      <c r="E351" t="str">
        <f t="shared" si="25"/>
        <v>P_005</v>
      </c>
      <c r="F351" t="str">
        <f t="shared" si="26"/>
        <v>Pst</v>
      </c>
      <c r="G351" t="str">
        <f t="shared" si="27"/>
        <v>08</v>
      </c>
      <c r="H351" t="str">
        <f t="shared" si="28"/>
        <v>P_005-Pst-08.png</v>
      </c>
      <c r="I351" t="str">
        <f t="shared" si="29"/>
        <v>https://raw.githubusercontent.com/epz0/bridgespace/main/img/P_005-Pst-08.png</v>
      </c>
    </row>
    <row r="352" spans="1:9" x14ac:dyDescent="0.3">
      <c r="A352" t="s">
        <v>48</v>
      </c>
      <c r="B352" t="s">
        <v>30</v>
      </c>
      <c r="C352" t="s">
        <v>29</v>
      </c>
      <c r="D352" t="s">
        <v>1054</v>
      </c>
      <c r="E352" t="str">
        <f t="shared" si="25"/>
        <v>P_005</v>
      </c>
      <c r="F352" t="str">
        <f t="shared" si="26"/>
        <v>Pst</v>
      </c>
      <c r="G352" t="str">
        <f t="shared" si="27"/>
        <v>16</v>
      </c>
      <c r="H352" t="str">
        <f t="shared" si="28"/>
        <v>P_005-Pst-16.png</v>
      </c>
      <c r="I352" t="str">
        <f t="shared" si="29"/>
        <v>https://raw.githubusercontent.com/epz0/bridgespace/main/img/P_005-Pst-16.png</v>
      </c>
    </row>
    <row r="353" spans="1:9" x14ac:dyDescent="0.3">
      <c r="A353" t="s">
        <v>48</v>
      </c>
      <c r="B353" t="s">
        <v>26</v>
      </c>
      <c r="C353" t="s">
        <v>29</v>
      </c>
      <c r="D353" t="s">
        <v>1055</v>
      </c>
      <c r="E353" t="str">
        <f t="shared" si="25"/>
        <v>P_005</v>
      </c>
      <c r="F353" t="str">
        <f t="shared" si="26"/>
        <v>Pst</v>
      </c>
      <c r="G353" t="str">
        <f t="shared" si="27"/>
        <v>13</v>
      </c>
      <c r="H353" t="str">
        <f t="shared" si="28"/>
        <v>P_005-Pst-13.png</v>
      </c>
      <c r="I353" t="str">
        <f t="shared" si="29"/>
        <v>https://raw.githubusercontent.com/epz0/bridgespace/main/img/P_005-Pst-13.png</v>
      </c>
    </row>
    <row r="354" spans="1:9" x14ac:dyDescent="0.3">
      <c r="A354" t="s">
        <v>48</v>
      </c>
      <c r="B354" t="s">
        <v>22</v>
      </c>
      <c r="C354" t="s">
        <v>29</v>
      </c>
      <c r="D354" t="s">
        <v>1056</v>
      </c>
      <c r="E354" t="str">
        <f t="shared" si="25"/>
        <v>P_005</v>
      </c>
      <c r="F354" t="str">
        <f t="shared" si="26"/>
        <v>Pst</v>
      </c>
      <c r="G354" t="str">
        <f t="shared" si="27"/>
        <v>09</v>
      </c>
      <c r="H354" t="str">
        <f t="shared" si="28"/>
        <v>P_005-Pst-09.png</v>
      </c>
      <c r="I354" t="str">
        <f t="shared" si="29"/>
        <v>https://raw.githubusercontent.com/epz0/bridgespace/main/img/P_005-Pst-09.png</v>
      </c>
    </row>
    <row r="355" spans="1:9" x14ac:dyDescent="0.3">
      <c r="A355" t="s">
        <v>48</v>
      </c>
      <c r="B355" t="s">
        <v>31</v>
      </c>
      <c r="C355" t="s">
        <v>29</v>
      </c>
      <c r="D355" t="s">
        <v>1057</v>
      </c>
      <c r="E355" t="str">
        <f t="shared" si="25"/>
        <v>P_005</v>
      </c>
      <c r="F355" t="str">
        <f t="shared" si="26"/>
        <v>Pst</v>
      </c>
      <c r="G355" t="str">
        <f t="shared" si="27"/>
        <v>17</v>
      </c>
      <c r="H355" t="str">
        <f t="shared" si="28"/>
        <v>P_005-Pst-17.png</v>
      </c>
      <c r="I355" t="str">
        <f t="shared" si="29"/>
        <v>https://raw.githubusercontent.com/epz0/bridgespace/main/img/P_005-Pst-17.png</v>
      </c>
    </row>
    <row r="356" spans="1:9" x14ac:dyDescent="0.3">
      <c r="A356" t="s">
        <v>48</v>
      </c>
      <c r="B356" t="s">
        <v>27</v>
      </c>
      <c r="C356" t="s">
        <v>29</v>
      </c>
      <c r="D356" t="s">
        <v>1058</v>
      </c>
      <c r="E356" t="str">
        <f t="shared" si="25"/>
        <v>P_005</v>
      </c>
      <c r="F356" t="str">
        <f t="shared" si="26"/>
        <v>Pst</v>
      </c>
      <c r="G356" t="str">
        <f t="shared" si="27"/>
        <v>14</v>
      </c>
      <c r="H356" t="str">
        <f t="shared" si="28"/>
        <v>P_005-Pst-14.png</v>
      </c>
      <c r="I356" t="str">
        <f t="shared" si="29"/>
        <v>https://raw.githubusercontent.com/epz0/bridgespace/main/img/P_005-Pst-14.png</v>
      </c>
    </row>
    <row r="357" spans="1:9" x14ac:dyDescent="0.3">
      <c r="A357" t="s">
        <v>48</v>
      </c>
      <c r="B357" t="s">
        <v>28</v>
      </c>
      <c r="C357" t="s">
        <v>29</v>
      </c>
      <c r="D357" t="s">
        <v>1059</v>
      </c>
      <c r="E357" t="str">
        <f t="shared" si="25"/>
        <v>P_005</v>
      </c>
      <c r="F357" t="str">
        <f t="shared" si="26"/>
        <v>Pst</v>
      </c>
      <c r="G357" t="str">
        <f t="shared" si="27"/>
        <v>15</v>
      </c>
      <c r="H357" t="str">
        <f t="shared" si="28"/>
        <v>P_005-Pst-15.png</v>
      </c>
      <c r="I357" t="str">
        <f t="shared" si="29"/>
        <v>https://raw.githubusercontent.com/epz0/bridgespace/main/img/P_005-Pst-15.png</v>
      </c>
    </row>
    <row r="358" spans="1:9" x14ac:dyDescent="0.3">
      <c r="A358" s="38" t="s">
        <v>56</v>
      </c>
      <c r="B358" s="38" t="s">
        <v>14</v>
      </c>
      <c r="C358" s="38" t="s">
        <v>12</v>
      </c>
      <c r="D358" s="38" t="s">
        <v>1060</v>
      </c>
      <c r="E358" t="str">
        <f t="shared" si="25"/>
        <v>P_013</v>
      </c>
      <c r="F358" t="str">
        <f t="shared" si="26"/>
        <v>Pre</v>
      </c>
      <c r="G358" t="str">
        <f t="shared" si="27"/>
        <v>02</v>
      </c>
      <c r="H358" t="str">
        <f t="shared" si="28"/>
        <v>P_013-Pre-02.png</v>
      </c>
      <c r="I358" t="str">
        <f t="shared" si="29"/>
        <v>https://raw.githubusercontent.com/epz0/bridgespace/main/img/P_013-Pre-02.png</v>
      </c>
    </row>
    <row r="359" spans="1:9" x14ac:dyDescent="0.3">
      <c r="A359" t="s">
        <v>56</v>
      </c>
      <c r="B359" t="s">
        <v>15</v>
      </c>
      <c r="C359" t="s">
        <v>12</v>
      </c>
      <c r="D359" t="s">
        <v>1061</v>
      </c>
      <c r="E359" t="str">
        <f t="shared" si="25"/>
        <v>P_013</v>
      </c>
      <c r="F359" t="str">
        <f t="shared" si="26"/>
        <v>Pre</v>
      </c>
      <c r="G359" t="str">
        <f t="shared" si="27"/>
        <v>03</v>
      </c>
      <c r="H359" t="str">
        <f t="shared" si="28"/>
        <v>P_013-Pre-03.png</v>
      </c>
      <c r="I359" t="str">
        <f t="shared" si="29"/>
        <v>https://raw.githubusercontent.com/epz0/bridgespace/main/img/P_013-Pre-03.png</v>
      </c>
    </row>
    <row r="360" spans="1:9" x14ac:dyDescent="0.3">
      <c r="A360" t="s">
        <v>56</v>
      </c>
      <c r="B360" t="s">
        <v>11</v>
      </c>
      <c r="C360" t="s">
        <v>12</v>
      </c>
      <c r="D360" t="s">
        <v>1062</v>
      </c>
      <c r="E360" t="str">
        <f t="shared" si="25"/>
        <v>P_013</v>
      </c>
      <c r="F360" t="str">
        <f t="shared" si="26"/>
        <v>Pre</v>
      </c>
      <c r="G360" t="str">
        <f t="shared" si="27"/>
        <v>01</v>
      </c>
      <c r="H360" t="str">
        <f t="shared" si="28"/>
        <v>P_013-Pre-01.png</v>
      </c>
      <c r="I360" t="str">
        <f t="shared" si="29"/>
        <v>https://raw.githubusercontent.com/epz0/bridgespace/main/img/P_013-Pre-01.png</v>
      </c>
    </row>
    <row r="361" spans="1:9" x14ac:dyDescent="0.3">
      <c r="A361" t="s">
        <v>56</v>
      </c>
      <c r="B361" t="s">
        <v>16</v>
      </c>
      <c r="C361" t="s">
        <v>12</v>
      </c>
      <c r="D361" t="s">
        <v>1063</v>
      </c>
      <c r="E361" t="str">
        <f t="shared" si="25"/>
        <v>P_013</v>
      </c>
      <c r="F361" t="str">
        <f t="shared" si="26"/>
        <v>Pre</v>
      </c>
      <c r="G361" t="str">
        <f t="shared" si="27"/>
        <v>04</v>
      </c>
      <c r="H361" t="str">
        <f t="shared" si="28"/>
        <v>P_013-Pre-04.png</v>
      </c>
      <c r="I361" t="str">
        <f t="shared" si="29"/>
        <v>https://raw.githubusercontent.com/epz0/bridgespace/main/img/P_013-Pre-04.png</v>
      </c>
    </row>
    <row r="362" spans="1:9" x14ac:dyDescent="0.3">
      <c r="A362" t="s">
        <v>56</v>
      </c>
      <c r="B362" t="s">
        <v>23</v>
      </c>
      <c r="C362" t="s">
        <v>29</v>
      </c>
      <c r="D362" t="s">
        <v>1064</v>
      </c>
      <c r="E362" t="str">
        <f t="shared" si="25"/>
        <v>P_013</v>
      </c>
      <c r="F362" t="str">
        <f t="shared" si="26"/>
        <v>Pst</v>
      </c>
      <c r="G362" t="str">
        <f t="shared" si="27"/>
        <v>10</v>
      </c>
      <c r="H362" t="str">
        <f t="shared" si="28"/>
        <v>P_013-Pst-10.png</v>
      </c>
      <c r="I362" t="str">
        <f t="shared" si="29"/>
        <v>https://raw.githubusercontent.com/epz0/bridgespace/main/img/P_013-Pst-10.png</v>
      </c>
    </row>
    <row r="363" spans="1:9" x14ac:dyDescent="0.3">
      <c r="A363" t="s">
        <v>56</v>
      </c>
      <c r="B363" t="s">
        <v>25</v>
      </c>
      <c r="C363" t="s">
        <v>29</v>
      </c>
      <c r="D363" t="s">
        <v>1065</v>
      </c>
      <c r="E363" t="str">
        <f t="shared" si="25"/>
        <v>P_013</v>
      </c>
      <c r="F363" t="str">
        <f t="shared" si="26"/>
        <v>Pst</v>
      </c>
      <c r="G363" t="str">
        <f t="shared" si="27"/>
        <v>12</v>
      </c>
      <c r="H363" t="str">
        <f t="shared" si="28"/>
        <v>P_013-Pst-12.png</v>
      </c>
      <c r="I363" t="str">
        <f t="shared" si="29"/>
        <v>https://raw.githubusercontent.com/epz0/bridgespace/main/img/P_013-Pst-12.png</v>
      </c>
    </row>
    <row r="364" spans="1:9" x14ac:dyDescent="0.3">
      <c r="A364" t="s">
        <v>56</v>
      </c>
      <c r="B364" t="s">
        <v>24</v>
      </c>
      <c r="C364" t="s">
        <v>29</v>
      </c>
      <c r="D364" t="s">
        <v>1066</v>
      </c>
      <c r="E364" t="str">
        <f t="shared" si="25"/>
        <v>P_013</v>
      </c>
      <c r="F364" t="str">
        <f t="shared" si="26"/>
        <v>Pst</v>
      </c>
      <c r="G364" t="str">
        <f t="shared" si="27"/>
        <v>11</v>
      </c>
      <c r="H364" t="str">
        <f t="shared" si="28"/>
        <v>P_013-Pst-11.png</v>
      </c>
      <c r="I364" t="str">
        <f t="shared" si="29"/>
        <v>https://raw.githubusercontent.com/epz0/bridgespace/main/img/P_013-Pst-11.png</v>
      </c>
    </row>
    <row r="365" spans="1:9" x14ac:dyDescent="0.3">
      <c r="A365" t="s">
        <v>56</v>
      </c>
      <c r="B365" t="s">
        <v>21</v>
      </c>
      <c r="C365" t="s">
        <v>29</v>
      </c>
      <c r="D365" t="s">
        <v>1067</v>
      </c>
      <c r="E365" t="str">
        <f t="shared" si="25"/>
        <v>P_013</v>
      </c>
      <c r="F365" t="str">
        <f t="shared" si="26"/>
        <v>Pst</v>
      </c>
      <c r="G365" t="str">
        <f t="shared" si="27"/>
        <v>08</v>
      </c>
      <c r="H365" t="str">
        <f t="shared" si="28"/>
        <v>P_013-Pst-08.png</v>
      </c>
      <c r="I365" t="str">
        <f t="shared" si="29"/>
        <v>https://raw.githubusercontent.com/epz0/bridgespace/main/img/P_013-Pst-08.png</v>
      </c>
    </row>
    <row r="366" spans="1:9" x14ac:dyDescent="0.3">
      <c r="A366" t="s">
        <v>56</v>
      </c>
      <c r="B366" t="s">
        <v>19</v>
      </c>
      <c r="C366" t="s">
        <v>29</v>
      </c>
      <c r="D366" t="s">
        <v>1068</v>
      </c>
      <c r="E366" t="str">
        <f t="shared" si="25"/>
        <v>P_013</v>
      </c>
      <c r="F366" t="str">
        <f t="shared" si="26"/>
        <v>Pst</v>
      </c>
      <c r="G366" t="str">
        <f t="shared" si="27"/>
        <v>06</v>
      </c>
      <c r="H366" t="str">
        <f t="shared" si="28"/>
        <v>P_013-Pst-06.png</v>
      </c>
      <c r="I366" t="str">
        <f t="shared" si="29"/>
        <v>https://raw.githubusercontent.com/epz0/bridgespace/main/img/P_013-Pst-06.png</v>
      </c>
    </row>
    <row r="367" spans="1:9" x14ac:dyDescent="0.3">
      <c r="A367" t="s">
        <v>56</v>
      </c>
      <c r="B367" t="s">
        <v>17</v>
      </c>
      <c r="C367" t="s">
        <v>29</v>
      </c>
      <c r="D367" t="s">
        <v>1069</v>
      </c>
      <c r="E367" t="str">
        <f t="shared" si="25"/>
        <v>P_013</v>
      </c>
      <c r="F367" t="str">
        <f t="shared" si="26"/>
        <v>Pst</v>
      </c>
      <c r="G367" t="str">
        <f t="shared" si="27"/>
        <v>05</v>
      </c>
      <c r="H367" t="str">
        <f t="shared" si="28"/>
        <v>P_013-Pst-05.png</v>
      </c>
      <c r="I367" t="str">
        <f t="shared" si="29"/>
        <v>https://raw.githubusercontent.com/epz0/bridgespace/main/img/P_013-Pst-05.png</v>
      </c>
    </row>
    <row r="368" spans="1:9" x14ac:dyDescent="0.3">
      <c r="A368" t="s">
        <v>56</v>
      </c>
      <c r="B368" t="s">
        <v>20</v>
      </c>
      <c r="C368" t="s">
        <v>29</v>
      </c>
      <c r="D368" t="s">
        <v>1070</v>
      </c>
      <c r="E368" t="str">
        <f t="shared" si="25"/>
        <v>P_013</v>
      </c>
      <c r="F368" t="str">
        <f t="shared" si="26"/>
        <v>Pst</v>
      </c>
      <c r="G368" t="str">
        <f t="shared" si="27"/>
        <v>07</v>
      </c>
      <c r="H368" t="str">
        <f t="shared" si="28"/>
        <v>P_013-Pst-07.png</v>
      </c>
      <c r="I368" t="str">
        <f t="shared" si="29"/>
        <v>https://raw.githubusercontent.com/epz0/bridgespace/main/img/P_013-Pst-07.png</v>
      </c>
    </row>
    <row r="369" spans="1:9" x14ac:dyDescent="0.3">
      <c r="A369" t="s">
        <v>56</v>
      </c>
      <c r="B369" t="s">
        <v>22</v>
      </c>
      <c r="C369" t="s">
        <v>29</v>
      </c>
      <c r="D369" t="s">
        <v>1071</v>
      </c>
      <c r="E369" t="str">
        <f t="shared" si="25"/>
        <v>P_013</v>
      </c>
      <c r="F369" t="str">
        <f t="shared" si="26"/>
        <v>Pst</v>
      </c>
      <c r="G369" t="str">
        <f t="shared" si="27"/>
        <v>09</v>
      </c>
      <c r="H369" t="str">
        <f t="shared" si="28"/>
        <v>P_013-Pst-09.png</v>
      </c>
      <c r="I369" t="str">
        <f t="shared" si="29"/>
        <v>https://raw.githubusercontent.com/epz0/bridgespace/main/img/P_013-Pst-09.png</v>
      </c>
    </row>
    <row r="370" spans="1:9" x14ac:dyDescent="0.3">
      <c r="A370" t="s">
        <v>67</v>
      </c>
      <c r="B370" t="s">
        <v>15</v>
      </c>
      <c r="C370" t="s">
        <v>12</v>
      </c>
      <c r="D370" t="s">
        <v>1072</v>
      </c>
      <c r="E370" t="str">
        <f t="shared" si="25"/>
        <v>P_021</v>
      </c>
      <c r="F370" t="str">
        <f t="shared" si="26"/>
        <v>Pre</v>
      </c>
      <c r="G370" t="str">
        <f t="shared" si="27"/>
        <v>03</v>
      </c>
      <c r="H370" t="str">
        <f t="shared" si="28"/>
        <v>P_021-Pre-03.png</v>
      </c>
      <c r="I370" t="str">
        <f t="shared" si="29"/>
        <v>https://raw.githubusercontent.com/epz0/bridgespace/main/img/P_021-Pre-03.png</v>
      </c>
    </row>
    <row r="371" spans="1:9" x14ac:dyDescent="0.3">
      <c r="A371" t="s">
        <v>67</v>
      </c>
      <c r="B371" t="s">
        <v>14</v>
      </c>
      <c r="C371" t="s">
        <v>12</v>
      </c>
      <c r="D371" t="s">
        <v>1073</v>
      </c>
      <c r="E371" t="str">
        <f t="shared" si="25"/>
        <v>P_021</v>
      </c>
      <c r="F371" t="str">
        <f t="shared" si="26"/>
        <v>Pre</v>
      </c>
      <c r="G371" t="str">
        <f t="shared" si="27"/>
        <v>02</v>
      </c>
      <c r="H371" t="str">
        <f t="shared" si="28"/>
        <v>P_021-Pre-02.png</v>
      </c>
      <c r="I371" t="str">
        <f t="shared" si="29"/>
        <v>https://raw.githubusercontent.com/epz0/bridgespace/main/img/P_021-Pre-02.png</v>
      </c>
    </row>
    <row r="372" spans="1:9" x14ac:dyDescent="0.3">
      <c r="A372" t="s">
        <v>67</v>
      </c>
      <c r="B372" t="s">
        <v>11</v>
      </c>
      <c r="C372" t="s">
        <v>12</v>
      </c>
      <c r="D372" t="s">
        <v>1074</v>
      </c>
      <c r="E372" t="str">
        <f t="shared" si="25"/>
        <v>P_021</v>
      </c>
      <c r="F372" t="str">
        <f t="shared" si="26"/>
        <v>Pre</v>
      </c>
      <c r="G372" t="str">
        <f t="shared" si="27"/>
        <v>01</v>
      </c>
      <c r="H372" t="str">
        <f t="shared" si="28"/>
        <v>P_021-Pre-01.png</v>
      </c>
      <c r="I372" t="str">
        <f t="shared" si="29"/>
        <v>https://raw.githubusercontent.com/epz0/bridgespace/main/img/P_021-Pre-01.png</v>
      </c>
    </row>
    <row r="373" spans="1:9" x14ac:dyDescent="0.3">
      <c r="A373" t="s">
        <v>67</v>
      </c>
      <c r="B373" t="s">
        <v>19</v>
      </c>
      <c r="C373" t="s">
        <v>12</v>
      </c>
      <c r="D373" t="s">
        <v>1075</v>
      </c>
      <c r="E373" t="str">
        <f t="shared" si="25"/>
        <v>P_021</v>
      </c>
      <c r="F373" t="str">
        <f t="shared" si="26"/>
        <v>Pre</v>
      </c>
      <c r="G373" t="str">
        <f t="shared" si="27"/>
        <v>06</v>
      </c>
      <c r="H373" t="str">
        <f t="shared" si="28"/>
        <v>P_021-Pre-06.png</v>
      </c>
      <c r="I373" t="str">
        <f t="shared" si="29"/>
        <v>https://raw.githubusercontent.com/epz0/bridgespace/main/img/P_021-Pre-06.png</v>
      </c>
    </row>
    <row r="374" spans="1:9" x14ac:dyDescent="0.3">
      <c r="A374" t="s">
        <v>67</v>
      </c>
      <c r="B374" t="s">
        <v>17</v>
      </c>
      <c r="C374" t="s">
        <v>12</v>
      </c>
      <c r="D374" t="s">
        <v>1076</v>
      </c>
      <c r="E374" t="str">
        <f t="shared" si="25"/>
        <v>P_021</v>
      </c>
      <c r="F374" t="str">
        <f t="shared" si="26"/>
        <v>Pre</v>
      </c>
      <c r="G374" t="str">
        <f t="shared" si="27"/>
        <v>05</v>
      </c>
      <c r="H374" t="str">
        <f t="shared" si="28"/>
        <v>P_021-Pre-05.png</v>
      </c>
      <c r="I374" t="str">
        <f t="shared" si="29"/>
        <v>https://raw.githubusercontent.com/epz0/bridgespace/main/img/P_021-Pre-05.png</v>
      </c>
    </row>
    <row r="375" spans="1:9" x14ac:dyDescent="0.3">
      <c r="A375" t="s">
        <v>67</v>
      </c>
      <c r="B375" t="s">
        <v>16</v>
      </c>
      <c r="C375" t="s">
        <v>12</v>
      </c>
      <c r="D375" t="s">
        <v>1077</v>
      </c>
      <c r="E375" t="str">
        <f t="shared" si="25"/>
        <v>P_021</v>
      </c>
      <c r="F375" t="str">
        <f t="shared" si="26"/>
        <v>Pre</v>
      </c>
      <c r="G375" t="str">
        <f t="shared" si="27"/>
        <v>04</v>
      </c>
      <c r="H375" t="str">
        <f t="shared" si="28"/>
        <v>P_021-Pre-04.png</v>
      </c>
      <c r="I375" t="str">
        <f t="shared" si="29"/>
        <v>https://raw.githubusercontent.com/epz0/bridgespace/main/img/P_021-Pre-04.png</v>
      </c>
    </row>
    <row r="376" spans="1:9" x14ac:dyDescent="0.3">
      <c r="A376" t="s">
        <v>67</v>
      </c>
      <c r="B376" t="s">
        <v>23</v>
      </c>
      <c r="C376" t="s">
        <v>29</v>
      </c>
      <c r="D376" t="s">
        <v>1078</v>
      </c>
      <c r="E376" t="str">
        <f t="shared" si="25"/>
        <v>P_021</v>
      </c>
      <c r="F376" t="str">
        <f t="shared" si="26"/>
        <v>Pst</v>
      </c>
      <c r="G376" t="str">
        <f t="shared" si="27"/>
        <v>10</v>
      </c>
      <c r="H376" t="str">
        <f t="shared" si="28"/>
        <v>P_021-Pst-10.png</v>
      </c>
      <c r="I376" t="str">
        <f t="shared" si="29"/>
        <v>https://raw.githubusercontent.com/epz0/bridgespace/main/img/P_021-Pst-10.png</v>
      </c>
    </row>
    <row r="377" spans="1:9" x14ac:dyDescent="0.3">
      <c r="A377" t="s">
        <v>67</v>
      </c>
      <c r="B377" t="s">
        <v>25</v>
      </c>
      <c r="C377" t="s">
        <v>29</v>
      </c>
      <c r="D377" t="s">
        <v>1079</v>
      </c>
      <c r="E377" t="str">
        <f t="shared" si="25"/>
        <v>P_021</v>
      </c>
      <c r="F377" t="str">
        <f t="shared" si="26"/>
        <v>Pst</v>
      </c>
      <c r="G377" t="str">
        <f t="shared" si="27"/>
        <v>12</v>
      </c>
      <c r="H377" t="str">
        <f t="shared" si="28"/>
        <v>P_021-Pst-12.png</v>
      </c>
      <c r="I377" t="str">
        <f t="shared" si="29"/>
        <v>https://raw.githubusercontent.com/epz0/bridgespace/main/img/P_021-Pst-12.png</v>
      </c>
    </row>
    <row r="378" spans="1:9" x14ac:dyDescent="0.3">
      <c r="A378" t="s">
        <v>67</v>
      </c>
      <c r="B378" t="s">
        <v>24</v>
      </c>
      <c r="C378" t="s">
        <v>29</v>
      </c>
      <c r="D378" t="s">
        <v>1080</v>
      </c>
      <c r="E378" t="str">
        <f t="shared" si="25"/>
        <v>P_021</v>
      </c>
      <c r="F378" t="str">
        <f t="shared" si="26"/>
        <v>Pst</v>
      </c>
      <c r="G378" t="str">
        <f t="shared" si="27"/>
        <v>11</v>
      </c>
      <c r="H378" t="str">
        <f t="shared" si="28"/>
        <v>P_021-Pst-11.png</v>
      </c>
      <c r="I378" t="str">
        <f t="shared" si="29"/>
        <v>https://raw.githubusercontent.com/epz0/bridgespace/main/img/P_021-Pst-11.png</v>
      </c>
    </row>
    <row r="379" spans="1:9" x14ac:dyDescent="0.3">
      <c r="A379" t="s">
        <v>67</v>
      </c>
      <c r="B379" t="s">
        <v>21</v>
      </c>
      <c r="C379" t="s">
        <v>29</v>
      </c>
      <c r="D379" t="s">
        <v>1081</v>
      </c>
      <c r="E379" t="str">
        <f t="shared" si="25"/>
        <v>P_021</v>
      </c>
      <c r="F379" t="str">
        <f t="shared" si="26"/>
        <v>Pst</v>
      </c>
      <c r="G379" t="str">
        <f t="shared" si="27"/>
        <v>08</v>
      </c>
      <c r="H379" t="str">
        <f t="shared" si="28"/>
        <v>P_021-Pst-08.png</v>
      </c>
      <c r="I379" t="str">
        <f t="shared" si="29"/>
        <v>https://raw.githubusercontent.com/epz0/bridgespace/main/img/P_021-Pst-08.png</v>
      </c>
    </row>
    <row r="380" spans="1:9" x14ac:dyDescent="0.3">
      <c r="A380" t="s">
        <v>67</v>
      </c>
      <c r="B380" t="s">
        <v>30</v>
      </c>
      <c r="C380" t="s">
        <v>29</v>
      </c>
      <c r="D380" t="s">
        <v>1082</v>
      </c>
      <c r="E380" t="str">
        <f t="shared" si="25"/>
        <v>P_021</v>
      </c>
      <c r="F380" t="str">
        <f t="shared" si="26"/>
        <v>Pst</v>
      </c>
      <c r="G380" t="str">
        <f t="shared" si="27"/>
        <v>16</v>
      </c>
      <c r="H380" t="str">
        <f t="shared" si="28"/>
        <v>P_021-Pst-16.png</v>
      </c>
      <c r="I380" t="str">
        <f t="shared" si="29"/>
        <v>https://raw.githubusercontent.com/epz0/bridgespace/main/img/P_021-Pst-16.png</v>
      </c>
    </row>
    <row r="381" spans="1:9" x14ac:dyDescent="0.3">
      <c r="A381" t="s">
        <v>67</v>
      </c>
      <c r="B381" t="s">
        <v>20</v>
      </c>
      <c r="C381" t="s">
        <v>29</v>
      </c>
      <c r="D381" t="s">
        <v>1083</v>
      </c>
      <c r="E381" t="str">
        <f t="shared" si="25"/>
        <v>P_021</v>
      </c>
      <c r="F381" t="str">
        <f t="shared" si="26"/>
        <v>Pst</v>
      </c>
      <c r="G381" t="str">
        <f t="shared" si="27"/>
        <v>07</v>
      </c>
      <c r="H381" t="str">
        <f t="shared" si="28"/>
        <v>P_021-Pst-07.png</v>
      </c>
      <c r="I381" t="str">
        <f t="shared" si="29"/>
        <v>https://raw.githubusercontent.com/epz0/bridgespace/main/img/P_021-Pst-07.png</v>
      </c>
    </row>
    <row r="382" spans="1:9" x14ac:dyDescent="0.3">
      <c r="A382" t="s">
        <v>67</v>
      </c>
      <c r="B382" t="s">
        <v>26</v>
      </c>
      <c r="C382" t="s">
        <v>29</v>
      </c>
      <c r="D382" t="s">
        <v>1084</v>
      </c>
      <c r="E382" t="str">
        <f t="shared" si="25"/>
        <v>P_021</v>
      </c>
      <c r="F382" t="str">
        <f t="shared" si="26"/>
        <v>Pst</v>
      </c>
      <c r="G382" t="str">
        <f t="shared" si="27"/>
        <v>13</v>
      </c>
      <c r="H382" t="str">
        <f t="shared" si="28"/>
        <v>P_021-Pst-13.png</v>
      </c>
      <c r="I382" t="str">
        <f t="shared" si="29"/>
        <v>https://raw.githubusercontent.com/epz0/bridgespace/main/img/P_021-Pst-13.png</v>
      </c>
    </row>
    <row r="383" spans="1:9" x14ac:dyDescent="0.3">
      <c r="A383" t="s">
        <v>67</v>
      </c>
      <c r="B383" t="s">
        <v>22</v>
      </c>
      <c r="C383" t="s">
        <v>29</v>
      </c>
      <c r="D383" t="s">
        <v>1085</v>
      </c>
      <c r="E383" t="str">
        <f t="shared" si="25"/>
        <v>P_021</v>
      </c>
      <c r="F383" t="str">
        <f t="shared" si="26"/>
        <v>Pst</v>
      </c>
      <c r="G383" t="str">
        <f t="shared" si="27"/>
        <v>09</v>
      </c>
      <c r="H383" t="str">
        <f t="shared" si="28"/>
        <v>P_021-Pst-09.png</v>
      </c>
      <c r="I383" t="str">
        <f t="shared" si="29"/>
        <v>https://raw.githubusercontent.com/epz0/bridgespace/main/img/P_021-Pst-09.png</v>
      </c>
    </row>
    <row r="384" spans="1:9" x14ac:dyDescent="0.3">
      <c r="A384" t="s">
        <v>67</v>
      </c>
      <c r="B384" t="s">
        <v>31</v>
      </c>
      <c r="C384" t="s">
        <v>29</v>
      </c>
      <c r="D384" t="s">
        <v>1086</v>
      </c>
      <c r="E384" t="str">
        <f t="shared" si="25"/>
        <v>P_021</v>
      </c>
      <c r="F384" t="str">
        <f t="shared" si="26"/>
        <v>Pst</v>
      </c>
      <c r="G384" t="str">
        <f t="shared" si="27"/>
        <v>17</v>
      </c>
      <c r="H384" t="str">
        <f t="shared" si="28"/>
        <v>P_021-Pst-17.png</v>
      </c>
      <c r="I384" t="str">
        <f t="shared" si="29"/>
        <v>https://raw.githubusercontent.com/epz0/bridgespace/main/img/P_021-Pst-17.png</v>
      </c>
    </row>
    <row r="385" spans="1:9" x14ac:dyDescent="0.3">
      <c r="A385" t="s">
        <v>67</v>
      </c>
      <c r="B385" t="s">
        <v>27</v>
      </c>
      <c r="C385" t="s">
        <v>29</v>
      </c>
      <c r="D385" t="s">
        <v>1087</v>
      </c>
      <c r="E385" t="str">
        <f t="shared" si="25"/>
        <v>P_021</v>
      </c>
      <c r="F385" t="str">
        <f t="shared" si="26"/>
        <v>Pst</v>
      </c>
      <c r="G385" t="str">
        <f t="shared" si="27"/>
        <v>14</v>
      </c>
      <c r="H385" t="str">
        <f t="shared" si="28"/>
        <v>P_021-Pst-14.png</v>
      </c>
      <c r="I385" t="str">
        <f t="shared" si="29"/>
        <v>https://raw.githubusercontent.com/epz0/bridgespace/main/img/P_021-Pst-14.png</v>
      </c>
    </row>
    <row r="386" spans="1:9" x14ac:dyDescent="0.3">
      <c r="A386" t="s">
        <v>67</v>
      </c>
      <c r="B386" t="s">
        <v>28</v>
      </c>
      <c r="C386" t="s">
        <v>29</v>
      </c>
      <c r="D386" t="s">
        <v>1088</v>
      </c>
      <c r="E386" t="str">
        <f t="shared" si="25"/>
        <v>P_021</v>
      </c>
      <c r="F386" t="str">
        <f t="shared" si="26"/>
        <v>Pst</v>
      </c>
      <c r="G386" t="str">
        <f t="shared" si="27"/>
        <v>15</v>
      </c>
      <c r="H386" t="str">
        <f t="shared" si="28"/>
        <v>P_021-Pst-15.png</v>
      </c>
      <c r="I386" t="str">
        <f t="shared" si="29"/>
        <v>https://raw.githubusercontent.com/epz0/bridgespace/main/img/P_021-Pst-15.png</v>
      </c>
    </row>
    <row r="387" spans="1:9" x14ac:dyDescent="0.3">
      <c r="A387" t="s">
        <v>44</v>
      </c>
      <c r="B387" t="s">
        <v>15</v>
      </c>
      <c r="C387" t="s">
        <v>12</v>
      </c>
      <c r="D387" t="s">
        <v>1089</v>
      </c>
      <c r="E387" t="str">
        <f t="shared" ref="E387:E450" si="30">VLOOKUP(A387,$N$3:$O$42,2,0)</f>
        <v>P_002</v>
      </c>
      <c r="F387" t="str">
        <f t="shared" ref="F387:F450" si="31">VLOOKUP(C387,$Q$2:$R$3,2,0)</f>
        <v>Pre</v>
      </c>
      <c r="G387" t="str">
        <f t="shared" ref="G387:G450" si="32">VLOOKUP(B387,$K$2:$L$33,2,0)</f>
        <v>03</v>
      </c>
      <c r="H387" t="str">
        <f t="shared" ref="H387:H450" si="33">E387&amp;"-"&amp;F387&amp;"-"&amp;G387&amp;".png"</f>
        <v>P_002-Pre-03.png</v>
      </c>
      <c r="I387" t="str">
        <f t="shared" ref="I387:I450" si="34">"https://raw.githubusercontent.com/epz0/bridgespace/main/img/"&amp;H387</f>
        <v>https://raw.githubusercontent.com/epz0/bridgespace/main/img/P_002-Pre-03.png</v>
      </c>
    </row>
    <row r="388" spans="1:9" x14ac:dyDescent="0.3">
      <c r="A388" t="s">
        <v>44</v>
      </c>
      <c r="B388" t="s">
        <v>14</v>
      </c>
      <c r="C388" t="s">
        <v>12</v>
      </c>
      <c r="D388" t="s">
        <v>1090</v>
      </c>
      <c r="E388" t="str">
        <f t="shared" si="30"/>
        <v>P_002</v>
      </c>
      <c r="F388" t="str">
        <f t="shared" si="31"/>
        <v>Pre</v>
      </c>
      <c r="G388" t="str">
        <f t="shared" si="32"/>
        <v>02</v>
      </c>
      <c r="H388" t="str">
        <f t="shared" si="33"/>
        <v>P_002-Pre-02.png</v>
      </c>
      <c r="I388" t="str">
        <f t="shared" si="34"/>
        <v>https://raw.githubusercontent.com/epz0/bridgespace/main/img/P_002-Pre-02.png</v>
      </c>
    </row>
    <row r="389" spans="1:9" x14ac:dyDescent="0.3">
      <c r="A389" t="s">
        <v>44</v>
      </c>
      <c r="B389" t="s">
        <v>11</v>
      </c>
      <c r="C389" t="s">
        <v>12</v>
      </c>
      <c r="D389" t="s">
        <v>1091</v>
      </c>
      <c r="E389" t="str">
        <f t="shared" si="30"/>
        <v>P_002</v>
      </c>
      <c r="F389" t="str">
        <f t="shared" si="31"/>
        <v>Pre</v>
      </c>
      <c r="G389" t="str">
        <f t="shared" si="32"/>
        <v>01</v>
      </c>
      <c r="H389" t="str">
        <f t="shared" si="33"/>
        <v>P_002-Pre-01.png</v>
      </c>
      <c r="I389" t="str">
        <f t="shared" si="34"/>
        <v>https://raw.githubusercontent.com/epz0/bridgespace/main/img/P_002-Pre-01.png</v>
      </c>
    </row>
    <row r="390" spans="1:9" x14ac:dyDescent="0.3">
      <c r="A390" t="s">
        <v>44</v>
      </c>
      <c r="B390" t="s">
        <v>19</v>
      </c>
      <c r="C390" t="s">
        <v>12</v>
      </c>
      <c r="D390" t="s">
        <v>1092</v>
      </c>
      <c r="E390" t="str">
        <f t="shared" si="30"/>
        <v>P_002</v>
      </c>
      <c r="F390" t="str">
        <f t="shared" si="31"/>
        <v>Pre</v>
      </c>
      <c r="G390" t="str">
        <f t="shared" si="32"/>
        <v>06</v>
      </c>
      <c r="H390" t="str">
        <f t="shared" si="33"/>
        <v>P_002-Pre-06.png</v>
      </c>
      <c r="I390" t="str">
        <f t="shared" si="34"/>
        <v>https://raw.githubusercontent.com/epz0/bridgespace/main/img/P_002-Pre-06.png</v>
      </c>
    </row>
    <row r="391" spans="1:9" x14ac:dyDescent="0.3">
      <c r="A391" t="s">
        <v>44</v>
      </c>
      <c r="B391" t="s">
        <v>17</v>
      </c>
      <c r="C391" t="s">
        <v>12</v>
      </c>
      <c r="D391" t="s">
        <v>1093</v>
      </c>
      <c r="E391" t="str">
        <f t="shared" si="30"/>
        <v>P_002</v>
      </c>
      <c r="F391" t="str">
        <f t="shared" si="31"/>
        <v>Pre</v>
      </c>
      <c r="G391" t="str">
        <f t="shared" si="32"/>
        <v>05</v>
      </c>
      <c r="H391" t="str">
        <f t="shared" si="33"/>
        <v>P_002-Pre-05.png</v>
      </c>
      <c r="I391" t="str">
        <f t="shared" si="34"/>
        <v>https://raw.githubusercontent.com/epz0/bridgespace/main/img/P_002-Pre-05.png</v>
      </c>
    </row>
    <row r="392" spans="1:9" x14ac:dyDescent="0.3">
      <c r="A392" t="s">
        <v>44</v>
      </c>
      <c r="B392" t="s">
        <v>16</v>
      </c>
      <c r="C392" t="s">
        <v>12</v>
      </c>
      <c r="D392" t="s">
        <v>1094</v>
      </c>
      <c r="E392" t="str">
        <f t="shared" si="30"/>
        <v>P_002</v>
      </c>
      <c r="F392" t="str">
        <f t="shared" si="31"/>
        <v>Pre</v>
      </c>
      <c r="G392" t="str">
        <f t="shared" si="32"/>
        <v>04</v>
      </c>
      <c r="H392" t="str">
        <f t="shared" si="33"/>
        <v>P_002-Pre-04.png</v>
      </c>
      <c r="I392" t="str">
        <f t="shared" si="34"/>
        <v>https://raw.githubusercontent.com/epz0/bridgespace/main/img/P_002-Pre-04.png</v>
      </c>
    </row>
    <row r="393" spans="1:9" x14ac:dyDescent="0.3">
      <c r="A393" t="s">
        <v>44</v>
      </c>
      <c r="B393" t="s">
        <v>20</v>
      </c>
      <c r="C393" t="s">
        <v>12</v>
      </c>
      <c r="D393" t="s">
        <v>1095</v>
      </c>
      <c r="E393" t="str">
        <f t="shared" si="30"/>
        <v>P_002</v>
      </c>
      <c r="F393" t="str">
        <f t="shared" si="31"/>
        <v>Pre</v>
      </c>
      <c r="G393" t="str">
        <f t="shared" si="32"/>
        <v>07</v>
      </c>
      <c r="H393" t="str">
        <f t="shared" si="33"/>
        <v>P_002-Pre-07.png</v>
      </c>
      <c r="I393" t="str">
        <f t="shared" si="34"/>
        <v>https://raw.githubusercontent.com/epz0/bridgespace/main/img/P_002-Pre-07.png</v>
      </c>
    </row>
    <row r="394" spans="1:9" x14ac:dyDescent="0.3">
      <c r="A394" t="s">
        <v>44</v>
      </c>
      <c r="B394" t="s">
        <v>23</v>
      </c>
      <c r="C394" t="s">
        <v>29</v>
      </c>
      <c r="D394" t="s">
        <v>1096</v>
      </c>
      <c r="E394" t="str">
        <f t="shared" si="30"/>
        <v>P_002</v>
      </c>
      <c r="F394" t="str">
        <f t="shared" si="31"/>
        <v>Pst</v>
      </c>
      <c r="G394" t="str">
        <f t="shared" si="32"/>
        <v>10</v>
      </c>
      <c r="H394" t="str">
        <f t="shared" si="33"/>
        <v>P_002-Pst-10.png</v>
      </c>
      <c r="I394" t="str">
        <f t="shared" si="34"/>
        <v>https://raw.githubusercontent.com/epz0/bridgespace/main/img/P_002-Pst-10.png</v>
      </c>
    </row>
    <row r="395" spans="1:9" x14ac:dyDescent="0.3">
      <c r="A395" t="s">
        <v>44</v>
      </c>
      <c r="B395" t="s">
        <v>25</v>
      </c>
      <c r="C395" t="s">
        <v>29</v>
      </c>
      <c r="D395" t="s">
        <v>1097</v>
      </c>
      <c r="E395" t="str">
        <f t="shared" si="30"/>
        <v>P_002</v>
      </c>
      <c r="F395" t="str">
        <f t="shared" si="31"/>
        <v>Pst</v>
      </c>
      <c r="G395" t="str">
        <f t="shared" si="32"/>
        <v>12</v>
      </c>
      <c r="H395" t="str">
        <f t="shared" si="33"/>
        <v>P_002-Pst-12.png</v>
      </c>
      <c r="I395" t="str">
        <f t="shared" si="34"/>
        <v>https://raw.githubusercontent.com/epz0/bridgespace/main/img/P_002-Pst-12.png</v>
      </c>
    </row>
    <row r="396" spans="1:9" x14ac:dyDescent="0.3">
      <c r="A396" t="s">
        <v>44</v>
      </c>
      <c r="B396" t="s">
        <v>24</v>
      </c>
      <c r="C396" t="s">
        <v>29</v>
      </c>
      <c r="D396" t="s">
        <v>1098</v>
      </c>
      <c r="E396" t="str">
        <f t="shared" si="30"/>
        <v>P_002</v>
      </c>
      <c r="F396" t="str">
        <f t="shared" si="31"/>
        <v>Pst</v>
      </c>
      <c r="G396" t="str">
        <f t="shared" si="32"/>
        <v>11</v>
      </c>
      <c r="H396" t="str">
        <f t="shared" si="33"/>
        <v>P_002-Pst-11.png</v>
      </c>
      <c r="I396" t="str">
        <f t="shared" si="34"/>
        <v>https://raw.githubusercontent.com/epz0/bridgespace/main/img/P_002-Pst-11.png</v>
      </c>
    </row>
    <row r="397" spans="1:9" x14ac:dyDescent="0.3">
      <c r="A397" t="s">
        <v>44</v>
      </c>
      <c r="B397" t="s">
        <v>21</v>
      </c>
      <c r="C397" t="s">
        <v>29</v>
      </c>
      <c r="D397" t="s">
        <v>1099</v>
      </c>
      <c r="E397" t="str">
        <f t="shared" si="30"/>
        <v>P_002</v>
      </c>
      <c r="F397" t="str">
        <f t="shared" si="31"/>
        <v>Pst</v>
      </c>
      <c r="G397" t="str">
        <f t="shared" si="32"/>
        <v>08</v>
      </c>
      <c r="H397" t="str">
        <f t="shared" si="33"/>
        <v>P_002-Pst-08.png</v>
      </c>
      <c r="I397" t="str">
        <f t="shared" si="34"/>
        <v>https://raw.githubusercontent.com/epz0/bridgespace/main/img/P_002-Pst-08.png</v>
      </c>
    </row>
    <row r="398" spans="1:9" x14ac:dyDescent="0.3">
      <c r="A398" t="s">
        <v>44</v>
      </c>
      <c r="B398" t="s">
        <v>22</v>
      </c>
      <c r="C398" t="s">
        <v>29</v>
      </c>
      <c r="D398" t="s">
        <v>1100</v>
      </c>
      <c r="E398" t="str">
        <f t="shared" si="30"/>
        <v>P_002</v>
      </c>
      <c r="F398" t="str">
        <f t="shared" si="31"/>
        <v>Pst</v>
      </c>
      <c r="G398" t="str">
        <f t="shared" si="32"/>
        <v>09</v>
      </c>
      <c r="H398" t="str">
        <f t="shared" si="33"/>
        <v>P_002-Pst-09.png</v>
      </c>
      <c r="I398" t="str">
        <f t="shared" si="34"/>
        <v>https://raw.githubusercontent.com/epz0/bridgespace/main/img/P_002-Pst-09.png</v>
      </c>
    </row>
    <row r="399" spans="1:9" x14ac:dyDescent="0.3">
      <c r="A399" t="s">
        <v>75</v>
      </c>
      <c r="B399" t="s">
        <v>15</v>
      </c>
      <c r="C399" t="s">
        <v>12</v>
      </c>
      <c r="D399" t="s">
        <v>1101</v>
      </c>
      <c r="E399" t="str">
        <f t="shared" si="30"/>
        <v>P_029</v>
      </c>
      <c r="F399" t="str">
        <f t="shared" si="31"/>
        <v>Pre</v>
      </c>
      <c r="G399" t="str">
        <f t="shared" si="32"/>
        <v>03</v>
      </c>
      <c r="H399" t="str">
        <f t="shared" si="33"/>
        <v>P_029-Pre-03.png</v>
      </c>
      <c r="I399" t="str">
        <f t="shared" si="34"/>
        <v>https://raw.githubusercontent.com/epz0/bridgespace/main/img/P_029-Pre-03.png</v>
      </c>
    </row>
    <row r="400" spans="1:9" x14ac:dyDescent="0.3">
      <c r="A400" t="s">
        <v>75</v>
      </c>
      <c r="B400" t="s">
        <v>14</v>
      </c>
      <c r="C400" t="s">
        <v>12</v>
      </c>
      <c r="D400" t="s">
        <v>1102</v>
      </c>
      <c r="E400" t="str">
        <f t="shared" si="30"/>
        <v>P_029</v>
      </c>
      <c r="F400" t="str">
        <f t="shared" si="31"/>
        <v>Pre</v>
      </c>
      <c r="G400" t="str">
        <f t="shared" si="32"/>
        <v>02</v>
      </c>
      <c r="H400" t="str">
        <f t="shared" si="33"/>
        <v>P_029-Pre-02.png</v>
      </c>
      <c r="I400" t="str">
        <f t="shared" si="34"/>
        <v>https://raw.githubusercontent.com/epz0/bridgespace/main/img/P_029-Pre-02.png</v>
      </c>
    </row>
    <row r="401" spans="1:9" x14ac:dyDescent="0.3">
      <c r="A401" t="s">
        <v>75</v>
      </c>
      <c r="B401" t="s">
        <v>11</v>
      </c>
      <c r="C401" t="s">
        <v>12</v>
      </c>
      <c r="D401" t="s">
        <v>1103</v>
      </c>
      <c r="E401" t="str">
        <f t="shared" si="30"/>
        <v>P_029</v>
      </c>
      <c r="F401" t="str">
        <f t="shared" si="31"/>
        <v>Pre</v>
      </c>
      <c r="G401" t="str">
        <f t="shared" si="32"/>
        <v>01</v>
      </c>
      <c r="H401" t="str">
        <f t="shared" si="33"/>
        <v>P_029-Pre-01.png</v>
      </c>
      <c r="I401" t="str">
        <f t="shared" si="34"/>
        <v>https://raw.githubusercontent.com/epz0/bridgespace/main/img/P_029-Pre-01.png</v>
      </c>
    </row>
    <row r="402" spans="1:9" x14ac:dyDescent="0.3">
      <c r="A402" t="s">
        <v>75</v>
      </c>
      <c r="B402" t="s">
        <v>19</v>
      </c>
      <c r="C402" t="s">
        <v>12</v>
      </c>
      <c r="D402" t="s">
        <v>1104</v>
      </c>
      <c r="E402" t="str">
        <f t="shared" si="30"/>
        <v>P_029</v>
      </c>
      <c r="F402" t="str">
        <f t="shared" si="31"/>
        <v>Pre</v>
      </c>
      <c r="G402" t="str">
        <f t="shared" si="32"/>
        <v>06</v>
      </c>
      <c r="H402" t="str">
        <f t="shared" si="33"/>
        <v>P_029-Pre-06.png</v>
      </c>
      <c r="I402" t="str">
        <f t="shared" si="34"/>
        <v>https://raw.githubusercontent.com/epz0/bridgespace/main/img/P_029-Pre-06.png</v>
      </c>
    </row>
    <row r="403" spans="1:9" x14ac:dyDescent="0.3">
      <c r="A403" t="s">
        <v>75</v>
      </c>
      <c r="B403" t="s">
        <v>17</v>
      </c>
      <c r="C403" t="s">
        <v>12</v>
      </c>
      <c r="D403" t="s">
        <v>1105</v>
      </c>
      <c r="E403" t="str">
        <f t="shared" si="30"/>
        <v>P_029</v>
      </c>
      <c r="F403" t="str">
        <f t="shared" si="31"/>
        <v>Pre</v>
      </c>
      <c r="G403" t="str">
        <f t="shared" si="32"/>
        <v>05</v>
      </c>
      <c r="H403" t="str">
        <f t="shared" si="33"/>
        <v>P_029-Pre-05.png</v>
      </c>
      <c r="I403" t="str">
        <f t="shared" si="34"/>
        <v>https://raw.githubusercontent.com/epz0/bridgespace/main/img/P_029-Pre-05.png</v>
      </c>
    </row>
    <row r="404" spans="1:9" x14ac:dyDescent="0.3">
      <c r="A404" t="s">
        <v>75</v>
      </c>
      <c r="B404" t="s">
        <v>16</v>
      </c>
      <c r="C404" t="s">
        <v>12</v>
      </c>
      <c r="D404" t="s">
        <v>1106</v>
      </c>
      <c r="E404" t="str">
        <f t="shared" si="30"/>
        <v>P_029</v>
      </c>
      <c r="F404" t="str">
        <f t="shared" si="31"/>
        <v>Pre</v>
      </c>
      <c r="G404" t="str">
        <f t="shared" si="32"/>
        <v>04</v>
      </c>
      <c r="H404" t="str">
        <f t="shared" si="33"/>
        <v>P_029-Pre-04.png</v>
      </c>
      <c r="I404" t="str">
        <f t="shared" si="34"/>
        <v>https://raw.githubusercontent.com/epz0/bridgespace/main/img/P_029-Pre-04.png</v>
      </c>
    </row>
    <row r="405" spans="1:9" x14ac:dyDescent="0.3">
      <c r="A405" t="s">
        <v>75</v>
      </c>
      <c r="B405" t="s">
        <v>20</v>
      </c>
      <c r="C405" t="s">
        <v>12</v>
      </c>
      <c r="D405" t="s">
        <v>1107</v>
      </c>
      <c r="E405" t="str">
        <f t="shared" si="30"/>
        <v>P_029</v>
      </c>
      <c r="F405" t="str">
        <f t="shared" si="31"/>
        <v>Pre</v>
      </c>
      <c r="G405" t="str">
        <f t="shared" si="32"/>
        <v>07</v>
      </c>
      <c r="H405" t="str">
        <f t="shared" si="33"/>
        <v>P_029-Pre-07.png</v>
      </c>
      <c r="I405" t="str">
        <f t="shared" si="34"/>
        <v>https://raw.githubusercontent.com/epz0/bridgespace/main/img/P_029-Pre-07.png</v>
      </c>
    </row>
    <row r="406" spans="1:9" x14ac:dyDescent="0.3">
      <c r="A406" t="s">
        <v>75</v>
      </c>
      <c r="B406" t="s">
        <v>23</v>
      </c>
      <c r="C406" t="s">
        <v>29</v>
      </c>
      <c r="D406" t="s">
        <v>1108</v>
      </c>
      <c r="E406" t="str">
        <f t="shared" si="30"/>
        <v>P_029</v>
      </c>
      <c r="F406" t="str">
        <f t="shared" si="31"/>
        <v>Pst</v>
      </c>
      <c r="G406" t="str">
        <f t="shared" si="32"/>
        <v>10</v>
      </c>
      <c r="H406" t="str">
        <f t="shared" si="33"/>
        <v>P_029-Pst-10.png</v>
      </c>
      <c r="I406" t="str">
        <f t="shared" si="34"/>
        <v>https://raw.githubusercontent.com/epz0/bridgespace/main/img/P_029-Pst-10.png</v>
      </c>
    </row>
    <row r="407" spans="1:9" x14ac:dyDescent="0.3">
      <c r="A407" t="s">
        <v>75</v>
      </c>
      <c r="B407" t="s">
        <v>25</v>
      </c>
      <c r="C407" t="s">
        <v>29</v>
      </c>
      <c r="D407" t="s">
        <v>1109</v>
      </c>
      <c r="E407" t="str">
        <f t="shared" si="30"/>
        <v>P_029</v>
      </c>
      <c r="F407" t="str">
        <f t="shared" si="31"/>
        <v>Pst</v>
      </c>
      <c r="G407" t="str">
        <f t="shared" si="32"/>
        <v>12</v>
      </c>
      <c r="H407" t="str">
        <f t="shared" si="33"/>
        <v>P_029-Pst-12.png</v>
      </c>
      <c r="I407" t="str">
        <f t="shared" si="34"/>
        <v>https://raw.githubusercontent.com/epz0/bridgespace/main/img/P_029-Pst-12.png</v>
      </c>
    </row>
    <row r="408" spans="1:9" x14ac:dyDescent="0.3">
      <c r="A408" t="s">
        <v>75</v>
      </c>
      <c r="B408" t="s">
        <v>24</v>
      </c>
      <c r="C408" t="s">
        <v>29</v>
      </c>
      <c r="D408" t="s">
        <v>1110</v>
      </c>
      <c r="E408" t="str">
        <f t="shared" si="30"/>
        <v>P_029</v>
      </c>
      <c r="F408" t="str">
        <f t="shared" si="31"/>
        <v>Pst</v>
      </c>
      <c r="G408" t="str">
        <f t="shared" si="32"/>
        <v>11</v>
      </c>
      <c r="H408" t="str">
        <f t="shared" si="33"/>
        <v>P_029-Pst-11.png</v>
      </c>
      <c r="I408" t="str">
        <f t="shared" si="34"/>
        <v>https://raw.githubusercontent.com/epz0/bridgespace/main/img/P_029-Pst-11.png</v>
      </c>
    </row>
    <row r="409" spans="1:9" x14ac:dyDescent="0.3">
      <c r="A409" t="s">
        <v>75</v>
      </c>
      <c r="B409" t="s">
        <v>21</v>
      </c>
      <c r="C409" t="s">
        <v>29</v>
      </c>
      <c r="D409" t="s">
        <v>1111</v>
      </c>
      <c r="E409" t="str">
        <f t="shared" si="30"/>
        <v>P_029</v>
      </c>
      <c r="F409" t="str">
        <f t="shared" si="31"/>
        <v>Pst</v>
      </c>
      <c r="G409" t="str">
        <f t="shared" si="32"/>
        <v>08</v>
      </c>
      <c r="H409" t="str">
        <f t="shared" si="33"/>
        <v>P_029-Pst-08.png</v>
      </c>
      <c r="I409" t="str">
        <f t="shared" si="34"/>
        <v>https://raw.githubusercontent.com/epz0/bridgespace/main/img/P_029-Pst-08.png</v>
      </c>
    </row>
    <row r="410" spans="1:9" x14ac:dyDescent="0.3">
      <c r="A410" t="s">
        <v>75</v>
      </c>
      <c r="B410" t="s">
        <v>30</v>
      </c>
      <c r="C410" t="s">
        <v>29</v>
      </c>
      <c r="D410" t="s">
        <v>1112</v>
      </c>
      <c r="E410" t="str">
        <f t="shared" si="30"/>
        <v>P_029</v>
      </c>
      <c r="F410" t="str">
        <f t="shared" si="31"/>
        <v>Pst</v>
      </c>
      <c r="G410" t="str">
        <f t="shared" si="32"/>
        <v>16</v>
      </c>
      <c r="H410" t="str">
        <f t="shared" si="33"/>
        <v>P_029-Pst-16.png</v>
      </c>
      <c r="I410" t="str">
        <f t="shared" si="34"/>
        <v>https://raw.githubusercontent.com/epz0/bridgespace/main/img/P_029-Pst-16.png</v>
      </c>
    </row>
    <row r="411" spans="1:9" x14ac:dyDescent="0.3">
      <c r="A411" t="s">
        <v>75</v>
      </c>
      <c r="B411" t="s">
        <v>26</v>
      </c>
      <c r="C411" t="s">
        <v>29</v>
      </c>
      <c r="D411" t="s">
        <v>1113</v>
      </c>
      <c r="E411" t="str">
        <f t="shared" si="30"/>
        <v>P_029</v>
      </c>
      <c r="F411" t="str">
        <f t="shared" si="31"/>
        <v>Pst</v>
      </c>
      <c r="G411" t="str">
        <f t="shared" si="32"/>
        <v>13</v>
      </c>
      <c r="H411" t="str">
        <f t="shared" si="33"/>
        <v>P_029-Pst-13.png</v>
      </c>
      <c r="I411" t="str">
        <f t="shared" si="34"/>
        <v>https://raw.githubusercontent.com/epz0/bridgespace/main/img/P_029-Pst-13.png</v>
      </c>
    </row>
    <row r="412" spans="1:9" x14ac:dyDescent="0.3">
      <c r="A412" t="s">
        <v>75</v>
      </c>
      <c r="B412" t="s">
        <v>22</v>
      </c>
      <c r="C412" t="s">
        <v>29</v>
      </c>
      <c r="D412" t="s">
        <v>1114</v>
      </c>
      <c r="E412" t="str">
        <f t="shared" si="30"/>
        <v>P_029</v>
      </c>
      <c r="F412" t="str">
        <f t="shared" si="31"/>
        <v>Pst</v>
      </c>
      <c r="G412" t="str">
        <f t="shared" si="32"/>
        <v>09</v>
      </c>
      <c r="H412" t="str">
        <f t="shared" si="33"/>
        <v>P_029-Pst-09.png</v>
      </c>
      <c r="I412" t="str">
        <f t="shared" si="34"/>
        <v>https://raw.githubusercontent.com/epz0/bridgespace/main/img/P_029-Pst-09.png</v>
      </c>
    </row>
    <row r="413" spans="1:9" x14ac:dyDescent="0.3">
      <c r="A413" t="s">
        <v>75</v>
      </c>
      <c r="B413" t="s">
        <v>27</v>
      </c>
      <c r="C413" t="s">
        <v>29</v>
      </c>
      <c r="D413" t="s">
        <v>1115</v>
      </c>
      <c r="E413" t="str">
        <f t="shared" si="30"/>
        <v>P_029</v>
      </c>
      <c r="F413" t="str">
        <f t="shared" si="31"/>
        <v>Pst</v>
      </c>
      <c r="G413" t="str">
        <f t="shared" si="32"/>
        <v>14</v>
      </c>
      <c r="H413" t="str">
        <f t="shared" si="33"/>
        <v>P_029-Pst-14.png</v>
      </c>
      <c r="I413" t="str">
        <f t="shared" si="34"/>
        <v>https://raw.githubusercontent.com/epz0/bridgespace/main/img/P_029-Pst-14.png</v>
      </c>
    </row>
    <row r="414" spans="1:9" x14ac:dyDescent="0.3">
      <c r="A414" t="s">
        <v>75</v>
      </c>
      <c r="B414" t="s">
        <v>28</v>
      </c>
      <c r="C414" t="s">
        <v>29</v>
      </c>
      <c r="D414" t="s">
        <v>1116</v>
      </c>
      <c r="E414" t="str">
        <f t="shared" si="30"/>
        <v>P_029</v>
      </c>
      <c r="F414" t="str">
        <f t="shared" si="31"/>
        <v>Pst</v>
      </c>
      <c r="G414" t="str">
        <f t="shared" si="32"/>
        <v>15</v>
      </c>
      <c r="H414" t="str">
        <f t="shared" si="33"/>
        <v>P_029-Pst-15.png</v>
      </c>
      <c r="I414" t="str">
        <f t="shared" si="34"/>
        <v>https://raw.githubusercontent.com/epz0/bridgespace/main/img/P_029-Pst-15.png</v>
      </c>
    </row>
    <row r="415" spans="1:9" x14ac:dyDescent="0.3">
      <c r="A415" t="s">
        <v>71</v>
      </c>
      <c r="B415" t="s">
        <v>14</v>
      </c>
      <c r="C415" t="s">
        <v>12</v>
      </c>
      <c r="D415" t="s">
        <v>1117</v>
      </c>
      <c r="E415" t="str">
        <f t="shared" si="30"/>
        <v>P_025</v>
      </c>
      <c r="F415" t="str">
        <f t="shared" si="31"/>
        <v>Pre</v>
      </c>
      <c r="G415" t="str">
        <f t="shared" si="32"/>
        <v>02</v>
      </c>
      <c r="H415" t="str">
        <f t="shared" si="33"/>
        <v>P_025-Pre-02.png</v>
      </c>
      <c r="I415" t="str">
        <f t="shared" si="34"/>
        <v>https://raw.githubusercontent.com/epz0/bridgespace/main/img/P_025-Pre-02.png</v>
      </c>
    </row>
    <row r="416" spans="1:9" x14ac:dyDescent="0.3">
      <c r="A416" t="s">
        <v>71</v>
      </c>
      <c r="B416" t="s">
        <v>11</v>
      </c>
      <c r="C416" t="s">
        <v>12</v>
      </c>
      <c r="D416" t="s">
        <v>1118</v>
      </c>
      <c r="E416" t="str">
        <f t="shared" si="30"/>
        <v>P_025</v>
      </c>
      <c r="F416" t="str">
        <f t="shared" si="31"/>
        <v>Pre</v>
      </c>
      <c r="G416" t="str">
        <f t="shared" si="32"/>
        <v>01</v>
      </c>
      <c r="H416" t="str">
        <f t="shared" si="33"/>
        <v>P_025-Pre-01.png</v>
      </c>
      <c r="I416" t="str">
        <f t="shared" si="34"/>
        <v>https://raw.githubusercontent.com/epz0/bridgespace/main/img/P_025-Pre-01.png</v>
      </c>
    </row>
    <row r="417" spans="1:9" x14ac:dyDescent="0.3">
      <c r="A417" t="s">
        <v>71</v>
      </c>
      <c r="B417" t="s">
        <v>15</v>
      </c>
      <c r="C417" t="s">
        <v>29</v>
      </c>
      <c r="D417" t="s">
        <v>1119</v>
      </c>
      <c r="E417" t="str">
        <f t="shared" si="30"/>
        <v>P_025</v>
      </c>
      <c r="F417" t="str">
        <f t="shared" si="31"/>
        <v>Pst</v>
      </c>
      <c r="G417" t="str">
        <f t="shared" si="32"/>
        <v>03</v>
      </c>
      <c r="H417" t="str">
        <f t="shared" si="33"/>
        <v>P_025-Pst-03.png</v>
      </c>
      <c r="I417" t="str">
        <f t="shared" si="34"/>
        <v>https://raw.githubusercontent.com/epz0/bridgespace/main/img/P_025-Pst-03.png</v>
      </c>
    </row>
    <row r="418" spans="1:9" x14ac:dyDescent="0.3">
      <c r="A418" t="s">
        <v>71</v>
      </c>
      <c r="B418" t="s">
        <v>19</v>
      </c>
      <c r="C418" t="s">
        <v>29</v>
      </c>
      <c r="D418" t="s">
        <v>1120</v>
      </c>
      <c r="E418" t="str">
        <f t="shared" si="30"/>
        <v>P_025</v>
      </c>
      <c r="F418" t="str">
        <f t="shared" si="31"/>
        <v>Pst</v>
      </c>
      <c r="G418" t="str">
        <f t="shared" si="32"/>
        <v>06</v>
      </c>
      <c r="H418" t="str">
        <f t="shared" si="33"/>
        <v>P_025-Pst-06.png</v>
      </c>
      <c r="I418" t="str">
        <f t="shared" si="34"/>
        <v>https://raw.githubusercontent.com/epz0/bridgespace/main/img/P_025-Pst-06.png</v>
      </c>
    </row>
    <row r="419" spans="1:9" x14ac:dyDescent="0.3">
      <c r="A419" t="s">
        <v>71</v>
      </c>
      <c r="B419" t="s">
        <v>17</v>
      </c>
      <c r="C419" t="s">
        <v>29</v>
      </c>
      <c r="D419" t="s">
        <v>1121</v>
      </c>
      <c r="E419" t="str">
        <f t="shared" si="30"/>
        <v>P_025</v>
      </c>
      <c r="F419" t="str">
        <f t="shared" si="31"/>
        <v>Pst</v>
      </c>
      <c r="G419" t="str">
        <f t="shared" si="32"/>
        <v>05</v>
      </c>
      <c r="H419" t="str">
        <f t="shared" si="33"/>
        <v>P_025-Pst-05.png</v>
      </c>
      <c r="I419" t="str">
        <f t="shared" si="34"/>
        <v>https://raw.githubusercontent.com/epz0/bridgespace/main/img/P_025-Pst-05.png</v>
      </c>
    </row>
    <row r="420" spans="1:9" x14ac:dyDescent="0.3">
      <c r="A420" t="s">
        <v>71</v>
      </c>
      <c r="B420" t="s">
        <v>16</v>
      </c>
      <c r="C420" t="s">
        <v>29</v>
      </c>
      <c r="D420" t="s">
        <v>1122</v>
      </c>
      <c r="E420" t="str">
        <f t="shared" si="30"/>
        <v>P_025</v>
      </c>
      <c r="F420" t="str">
        <f t="shared" si="31"/>
        <v>Pst</v>
      </c>
      <c r="G420" t="str">
        <f t="shared" si="32"/>
        <v>04</v>
      </c>
      <c r="H420" t="str">
        <f t="shared" si="33"/>
        <v>P_025-Pst-04.png</v>
      </c>
      <c r="I420" t="str">
        <f t="shared" si="34"/>
        <v>https://raw.githubusercontent.com/epz0/bridgespace/main/img/P_025-Pst-04.png</v>
      </c>
    </row>
    <row r="421" spans="1:9" x14ac:dyDescent="0.3">
      <c r="A421" t="s">
        <v>71</v>
      </c>
      <c r="B421" t="s">
        <v>20</v>
      </c>
      <c r="C421" t="s">
        <v>29</v>
      </c>
      <c r="D421" t="s">
        <v>1123</v>
      </c>
      <c r="E421" t="str">
        <f t="shared" si="30"/>
        <v>P_025</v>
      </c>
      <c r="F421" t="str">
        <f t="shared" si="31"/>
        <v>Pst</v>
      </c>
      <c r="G421" t="str">
        <f t="shared" si="32"/>
        <v>07</v>
      </c>
      <c r="H421" t="str">
        <f t="shared" si="33"/>
        <v>P_025-Pst-07.png</v>
      </c>
      <c r="I421" t="str">
        <f t="shared" si="34"/>
        <v>https://raw.githubusercontent.com/epz0/bridgespace/main/img/P_025-Pst-07.png</v>
      </c>
    </row>
    <row r="422" spans="1:9" x14ac:dyDescent="0.3">
      <c r="A422" t="s">
        <v>74</v>
      </c>
      <c r="B422" t="s">
        <v>15</v>
      </c>
      <c r="C422" t="s">
        <v>12</v>
      </c>
      <c r="D422" t="s">
        <v>1124</v>
      </c>
      <c r="E422" t="str">
        <f t="shared" si="30"/>
        <v>P_028</v>
      </c>
      <c r="F422" t="str">
        <f t="shared" si="31"/>
        <v>Pre</v>
      </c>
      <c r="G422" t="str">
        <f t="shared" si="32"/>
        <v>03</v>
      </c>
      <c r="H422" t="str">
        <f t="shared" si="33"/>
        <v>P_028-Pre-03.png</v>
      </c>
      <c r="I422" t="str">
        <f t="shared" si="34"/>
        <v>https://raw.githubusercontent.com/epz0/bridgespace/main/img/P_028-Pre-03.png</v>
      </c>
    </row>
    <row r="423" spans="1:9" x14ac:dyDescent="0.3">
      <c r="A423" t="s">
        <v>74</v>
      </c>
      <c r="B423" t="s">
        <v>14</v>
      </c>
      <c r="C423" t="s">
        <v>12</v>
      </c>
      <c r="D423" t="s">
        <v>1125</v>
      </c>
      <c r="E423" t="str">
        <f t="shared" si="30"/>
        <v>P_028</v>
      </c>
      <c r="F423" t="str">
        <f t="shared" si="31"/>
        <v>Pre</v>
      </c>
      <c r="G423" t="str">
        <f t="shared" si="32"/>
        <v>02</v>
      </c>
      <c r="H423" t="str">
        <f t="shared" si="33"/>
        <v>P_028-Pre-02.png</v>
      </c>
      <c r="I423" t="str">
        <f t="shared" si="34"/>
        <v>https://raw.githubusercontent.com/epz0/bridgespace/main/img/P_028-Pre-02.png</v>
      </c>
    </row>
    <row r="424" spans="1:9" x14ac:dyDescent="0.3">
      <c r="A424" t="s">
        <v>74</v>
      </c>
      <c r="B424" t="s">
        <v>11</v>
      </c>
      <c r="C424" t="s">
        <v>12</v>
      </c>
      <c r="D424" t="s">
        <v>1126</v>
      </c>
      <c r="E424" t="str">
        <f t="shared" si="30"/>
        <v>P_028</v>
      </c>
      <c r="F424" t="str">
        <f t="shared" si="31"/>
        <v>Pre</v>
      </c>
      <c r="G424" t="str">
        <f t="shared" si="32"/>
        <v>01</v>
      </c>
      <c r="H424" t="str">
        <f t="shared" si="33"/>
        <v>P_028-Pre-01.png</v>
      </c>
      <c r="I424" t="str">
        <f t="shared" si="34"/>
        <v>https://raw.githubusercontent.com/epz0/bridgespace/main/img/P_028-Pre-01.png</v>
      </c>
    </row>
    <row r="425" spans="1:9" x14ac:dyDescent="0.3">
      <c r="A425" t="s">
        <v>74</v>
      </c>
      <c r="B425" t="s">
        <v>17</v>
      </c>
      <c r="C425" t="s">
        <v>12</v>
      </c>
      <c r="D425" t="s">
        <v>1127</v>
      </c>
      <c r="E425" t="str">
        <f t="shared" si="30"/>
        <v>P_028</v>
      </c>
      <c r="F425" t="str">
        <f t="shared" si="31"/>
        <v>Pre</v>
      </c>
      <c r="G425" t="str">
        <f t="shared" si="32"/>
        <v>05</v>
      </c>
      <c r="H425" t="str">
        <f t="shared" si="33"/>
        <v>P_028-Pre-05.png</v>
      </c>
      <c r="I425" t="str">
        <f t="shared" si="34"/>
        <v>https://raw.githubusercontent.com/epz0/bridgespace/main/img/P_028-Pre-05.png</v>
      </c>
    </row>
    <row r="426" spans="1:9" x14ac:dyDescent="0.3">
      <c r="A426" t="s">
        <v>74</v>
      </c>
      <c r="B426" t="s">
        <v>16</v>
      </c>
      <c r="C426" t="s">
        <v>12</v>
      </c>
      <c r="D426" t="s">
        <v>1128</v>
      </c>
      <c r="E426" t="str">
        <f t="shared" si="30"/>
        <v>P_028</v>
      </c>
      <c r="F426" t="str">
        <f t="shared" si="31"/>
        <v>Pre</v>
      </c>
      <c r="G426" t="str">
        <f t="shared" si="32"/>
        <v>04</v>
      </c>
      <c r="H426" t="str">
        <f t="shared" si="33"/>
        <v>P_028-Pre-04.png</v>
      </c>
      <c r="I426" t="str">
        <f t="shared" si="34"/>
        <v>https://raw.githubusercontent.com/epz0/bridgespace/main/img/P_028-Pre-04.png</v>
      </c>
    </row>
    <row r="427" spans="1:9" x14ac:dyDescent="0.3">
      <c r="A427" t="s">
        <v>74</v>
      </c>
      <c r="B427" t="s">
        <v>23</v>
      </c>
      <c r="C427" t="s">
        <v>29</v>
      </c>
      <c r="D427" t="s">
        <v>1129</v>
      </c>
      <c r="E427" t="str">
        <f t="shared" si="30"/>
        <v>P_028</v>
      </c>
      <c r="F427" t="str">
        <f t="shared" si="31"/>
        <v>Pst</v>
      </c>
      <c r="G427" t="str">
        <f t="shared" si="32"/>
        <v>10</v>
      </c>
      <c r="H427" t="str">
        <f t="shared" si="33"/>
        <v>P_028-Pst-10.png</v>
      </c>
      <c r="I427" t="str">
        <f t="shared" si="34"/>
        <v>https://raw.githubusercontent.com/epz0/bridgespace/main/img/P_028-Pst-10.png</v>
      </c>
    </row>
    <row r="428" spans="1:9" x14ac:dyDescent="0.3">
      <c r="A428" t="s">
        <v>74</v>
      </c>
      <c r="B428" t="s">
        <v>24</v>
      </c>
      <c r="C428" t="s">
        <v>29</v>
      </c>
      <c r="D428" t="s">
        <v>1130</v>
      </c>
      <c r="E428" t="str">
        <f t="shared" si="30"/>
        <v>P_028</v>
      </c>
      <c r="F428" t="str">
        <f t="shared" si="31"/>
        <v>Pst</v>
      </c>
      <c r="G428" t="str">
        <f t="shared" si="32"/>
        <v>11</v>
      </c>
      <c r="H428" t="str">
        <f t="shared" si="33"/>
        <v>P_028-Pst-11.png</v>
      </c>
      <c r="I428" t="str">
        <f t="shared" si="34"/>
        <v>https://raw.githubusercontent.com/epz0/bridgespace/main/img/P_028-Pst-11.png</v>
      </c>
    </row>
    <row r="429" spans="1:9" x14ac:dyDescent="0.3">
      <c r="A429" t="s">
        <v>74</v>
      </c>
      <c r="B429" t="s">
        <v>21</v>
      </c>
      <c r="C429" t="s">
        <v>29</v>
      </c>
      <c r="D429" t="s">
        <v>1131</v>
      </c>
      <c r="E429" t="str">
        <f t="shared" si="30"/>
        <v>P_028</v>
      </c>
      <c r="F429" t="str">
        <f t="shared" si="31"/>
        <v>Pst</v>
      </c>
      <c r="G429" t="str">
        <f t="shared" si="32"/>
        <v>08</v>
      </c>
      <c r="H429" t="str">
        <f t="shared" si="33"/>
        <v>P_028-Pst-08.png</v>
      </c>
      <c r="I429" t="str">
        <f t="shared" si="34"/>
        <v>https://raw.githubusercontent.com/epz0/bridgespace/main/img/P_028-Pst-08.png</v>
      </c>
    </row>
    <row r="430" spans="1:9" x14ac:dyDescent="0.3">
      <c r="A430" t="s">
        <v>74</v>
      </c>
      <c r="B430" t="s">
        <v>19</v>
      </c>
      <c r="C430" t="s">
        <v>29</v>
      </c>
      <c r="D430" t="s">
        <v>1132</v>
      </c>
      <c r="E430" t="str">
        <f t="shared" si="30"/>
        <v>P_028</v>
      </c>
      <c r="F430" t="str">
        <f t="shared" si="31"/>
        <v>Pst</v>
      </c>
      <c r="G430" t="str">
        <f t="shared" si="32"/>
        <v>06</v>
      </c>
      <c r="H430" t="str">
        <f t="shared" si="33"/>
        <v>P_028-Pst-06.png</v>
      </c>
      <c r="I430" t="str">
        <f t="shared" si="34"/>
        <v>https://raw.githubusercontent.com/epz0/bridgespace/main/img/P_028-Pst-06.png</v>
      </c>
    </row>
    <row r="431" spans="1:9" x14ac:dyDescent="0.3">
      <c r="A431" t="s">
        <v>74</v>
      </c>
      <c r="B431" t="s">
        <v>20</v>
      </c>
      <c r="C431" t="s">
        <v>29</v>
      </c>
      <c r="D431" t="s">
        <v>1133</v>
      </c>
      <c r="E431" t="str">
        <f t="shared" si="30"/>
        <v>P_028</v>
      </c>
      <c r="F431" t="str">
        <f t="shared" si="31"/>
        <v>Pst</v>
      </c>
      <c r="G431" t="str">
        <f t="shared" si="32"/>
        <v>07</v>
      </c>
      <c r="H431" t="str">
        <f t="shared" si="33"/>
        <v>P_028-Pst-07.png</v>
      </c>
      <c r="I431" t="str">
        <f t="shared" si="34"/>
        <v>https://raw.githubusercontent.com/epz0/bridgespace/main/img/P_028-Pst-07.png</v>
      </c>
    </row>
    <row r="432" spans="1:9" x14ac:dyDescent="0.3">
      <c r="A432" t="s">
        <v>74</v>
      </c>
      <c r="B432" t="s">
        <v>22</v>
      </c>
      <c r="C432" t="s">
        <v>29</v>
      </c>
      <c r="D432" t="s">
        <v>1134</v>
      </c>
      <c r="E432" t="str">
        <f t="shared" si="30"/>
        <v>P_028</v>
      </c>
      <c r="F432" t="str">
        <f t="shared" si="31"/>
        <v>Pst</v>
      </c>
      <c r="G432" t="str">
        <f t="shared" si="32"/>
        <v>09</v>
      </c>
      <c r="H432" t="str">
        <f t="shared" si="33"/>
        <v>P_028-Pst-09.png</v>
      </c>
      <c r="I432" t="str">
        <f t="shared" si="34"/>
        <v>https://raw.githubusercontent.com/epz0/bridgespace/main/img/P_028-Pst-09.png</v>
      </c>
    </row>
    <row r="433" spans="1:9" x14ac:dyDescent="0.3">
      <c r="A433" t="s">
        <v>51</v>
      </c>
      <c r="B433" t="s">
        <v>15</v>
      </c>
      <c r="C433" t="s">
        <v>12</v>
      </c>
      <c r="D433" t="s">
        <v>1135</v>
      </c>
      <c r="E433" t="str">
        <f t="shared" si="30"/>
        <v>P_008</v>
      </c>
      <c r="F433" t="str">
        <f t="shared" si="31"/>
        <v>Pre</v>
      </c>
      <c r="G433" t="str">
        <f t="shared" si="32"/>
        <v>03</v>
      </c>
      <c r="H433" t="str">
        <f t="shared" si="33"/>
        <v>P_008-Pre-03.png</v>
      </c>
      <c r="I433" t="str">
        <f t="shared" si="34"/>
        <v>https://raw.githubusercontent.com/epz0/bridgespace/main/img/P_008-Pre-03.png</v>
      </c>
    </row>
    <row r="434" spans="1:9" x14ac:dyDescent="0.3">
      <c r="A434" t="s">
        <v>51</v>
      </c>
      <c r="B434" t="s">
        <v>14</v>
      </c>
      <c r="C434" t="s">
        <v>12</v>
      </c>
      <c r="D434" t="s">
        <v>1136</v>
      </c>
      <c r="E434" t="str">
        <f t="shared" si="30"/>
        <v>P_008</v>
      </c>
      <c r="F434" t="str">
        <f t="shared" si="31"/>
        <v>Pre</v>
      </c>
      <c r="G434" t="str">
        <f t="shared" si="32"/>
        <v>02</v>
      </c>
      <c r="H434" t="str">
        <f t="shared" si="33"/>
        <v>P_008-Pre-02.png</v>
      </c>
      <c r="I434" t="str">
        <f t="shared" si="34"/>
        <v>https://raw.githubusercontent.com/epz0/bridgespace/main/img/P_008-Pre-02.png</v>
      </c>
    </row>
    <row r="435" spans="1:9" x14ac:dyDescent="0.3">
      <c r="A435" t="s">
        <v>51</v>
      </c>
      <c r="B435" t="s">
        <v>11</v>
      </c>
      <c r="C435" t="s">
        <v>12</v>
      </c>
      <c r="D435" t="s">
        <v>1137</v>
      </c>
      <c r="E435" t="str">
        <f t="shared" si="30"/>
        <v>P_008</v>
      </c>
      <c r="F435" t="str">
        <f t="shared" si="31"/>
        <v>Pre</v>
      </c>
      <c r="G435" t="str">
        <f t="shared" si="32"/>
        <v>01</v>
      </c>
      <c r="H435" t="str">
        <f t="shared" si="33"/>
        <v>P_008-Pre-01.png</v>
      </c>
      <c r="I435" t="str">
        <f t="shared" si="34"/>
        <v>https://raw.githubusercontent.com/epz0/bridgespace/main/img/P_008-Pre-01.png</v>
      </c>
    </row>
    <row r="436" spans="1:9" x14ac:dyDescent="0.3">
      <c r="A436" t="s">
        <v>51</v>
      </c>
      <c r="B436" t="s">
        <v>21</v>
      </c>
      <c r="C436" t="s">
        <v>12</v>
      </c>
      <c r="D436" t="s">
        <v>1138</v>
      </c>
      <c r="E436" t="str">
        <f t="shared" si="30"/>
        <v>P_008</v>
      </c>
      <c r="F436" t="str">
        <f t="shared" si="31"/>
        <v>Pre</v>
      </c>
      <c r="G436" t="str">
        <f t="shared" si="32"/>
        <v>08</v>
      </c>
      <c r="H436" t="str">
        <f t="shared" si="33"/>
        <v>P_008-Pre-08.png</v>
      </c>
      <c r="I436" t="str">
        <f t="shared" si="34"/>
        <v>https://raw.githubusercontent.com/epz0/bridgespace/main/img/P_008-Pre-08.png</v>
      </c>
    </row>
    <row r="437" spans="1:9" x14ac:dyDescent="0.3">
      <c r="A437" t="s">
        <v>51</v>
      </c>
      <c r="B437" t="s">
        <v>19</v>
      </c>
      <c r="C437" t="s">
        <v>12</v>
      </c>
      <c r="D437" t="s">
        <v>1139</v>
      </c>
      <c r="E437" t="str">
        <f t="shared" si="30"/>
        <v>P_008</v>
      </c>
      <c r="F437" t="str">
        <f t="shared" si="31"/>
        <v>Pre</v>
      </c>
      <c r="G437" t="str">
        <f t="shared" si="32"/>
        <v>06</v>
      </c>
      <c r="H437" t="str">
        <f t="shared" si="33"/>
        <v>P_008-Pre-06.png</v>
      </c>
      <c r="I437" t="str">
        <f t="shared" si="34"/>
        <v>https://raw.githubusercontent.com/epz0/bridgespace/main/img/P_008-Pre-06.png</v>
      </c>
    </row>
    <row r="438" spans="1:9" x14ac:dyDescent="0.3">
      <c r="A438" t="s">
        <v>51</v>
      </c>
      <c r="B438" t="s">
        <v>17</v>
      </c>
      <c r="C438" t="s">
        <v>12</v>
      </c>
      <c r="D438" t="s">
        <v>1140</v>
      </c>
      <c r="E438" t="str">
        <f t="shared" si="30"/>
        <v>P_008</v>
      </c>
      <c r="F438" t="str">
        <f t="shared" si="31"/>
        <v>Pre</v>
      </c>
      <c r="G438" t="str">
        <f t="shared" si="32"/>
        <v>05</v>
      </c>
      <c r="H438" t="str">
        <f t="shared" si="33"/>
        <v>P_008-Pre-05.png</v>
      </c>
      <c r="I438" t="str">
        <f t="shared" si="34"/>
        <v>https://raw.githubusercontent.com/epz0/bridgespace/main/img/P_008-Pre-05.png</v>
      </c>
    </row>
    <row r="439" spans="1:9" x14ac:dyDescent="0.3">
      <c r="A439" t="s">
        <v>51</v>
      </c>
      <c r="B439" t="s">
        <v>16</v>
      </c>
      <c r="C439" t="s">
        <v>12</v>
      </c>
      <c r="D439" t="s">
        <v>1141</v>
      </c>
      <c r="E439" t="str">
        <f t="shared" si="30"/>
        <v>P_008</v>
      </c>
      <c r="F439" t="str">
        <f t="shared" si="31"/>
        <v>Pre</v>
      </c>
      <c r="G439" t="str">
        <f t="shared" si="32"/>
        <v>04</v>
      </c>
      <c r="H439" t="str">
        <f t="shared" si="33"/>
        <v>P_008-Pre-04.png</v>
      </c>
      <c r="I439" t="str">
        <f t="shared" si="34"/>
        <v>https://raw.githubusercontent.com/epz0/bridgespace/main/img/P_008-Pre-04.png</v>
      </c>
    </row>
    <row r="440" spans="1:9" x14ac:dyDescent="0.3">
      <c r="A440" t="s">
        <v>51</v>
      </c>
      <c r="B440" t="s">
        <v>20</v>
      </c>
      <c r="C440" t="s">
        <v>12</v>
      </c>
      <c r="D440" t="s">
        <v>1142</v>
      </c>
      <c r="E440" t="str">
        <f t="shared" si="30"/>
        <v>P_008</v>
      </c>
      <c r="F440" t="str">
        <f t="shared" si="31"/>
        <v>Pre</v>
      </c>
      <c r="G440" t="str">
        <f t="shared" si="32"/>
        <v>07</v>
      </c>
      <c r="H440" t="str">
        <f t="shared" si="33"/>
        <v>P_008-Pre-07.png</v>
      </c>
      <c r="I440" t="str">
        <f t="shared" si="34"/>
        <v>https://raw.githubusercontent.com/epz0/bridgespace/main/img/P_008-Pre-07.png</v>
      </c>
    </row>
    <row r="441" spans="1:9" x14ac:dyDescent="0.3">
      <c r="A441" t="s">
        <v>51</v>
      </c>
      <c r="B441" t="s">
        <v>22</v>
      </c>
      <c r="C441" t="s">
        <v>12</v>
      </c>
      <c r="D441" t="s">
        <v>1143</v>
      </c>
      <c r="E441" t="str">
        <f t="shared" si="30"/>
        <v>P_008</v>
      </c>
      <c r="F441" t="str">
        <f t="shared" si="31"/>
        <v>Pre</v>
      </c>
      <c r="G441" t="str">
        <f t="shared" si="32"/>
        <v>09</v>
      </c>
      <c r="H441" t="str">
        <f t="shared" si="33"/>
        <v>P_008-Pre-09.png</v>
      </c>
      <c r="I441" t="str">
        <f t="shared" si="34"/>
        <v>https://raw.githubusercontent.com/epz0/bridgespace/main/img/P_008-Pre-09.png</v>
      </c>
    </row>
    <row r="442" spans="1:9" x14ac:dyDescent="0.3">
      <c r="A442" t="s">
        <v>51</v>
      </c>
      <c r="B442" t="s">
        <v>23</v>
      </c>
      <c r="C442" t="s">
        <v>29</v>
      </c>
      <c r="D442" t="s">
        <v>1144</v>
      </c>
      <c r="E442" t="str">
        <f t="shared" si="30"/>
        <v>P_008</v>
      </c>
      <c r="F442" t="str">
        <f t="shared" si="31"/>
        <v>Pst</v>
      </c>
      <c r="G442" t="str">
        <f t="shared" si="32"/>
        <v>10</v>
      </c>
      <c r="H442" t="str">
        <f t="shared" si="33"/>
        <v>P_008-Pst-10.png</v>
      </c>
      <c r="I442" t="str">
        <f t="shared" si="34"/>
        <v>https://raw.githubusercontent.com/epz0/bridgespace/main/img/P_008-Pst-10.png</v>
      </c>
    </row>
    <row r="443" spans="1:9" x14ac:dyDescent="0.3">
      <c r="A443" t="s">
        <v>51</v>
      </c>
      <c r="B443" t="s">
        <v>25</v>
      </c>
      <c r="C443" t="s">
        <v>29</v>
      </c>
      <c r="D443" t="s">
        <v>1145</v>
      </c>
      <c r="E443" t="str">
        <f t="shared" si="30"/>
        <v>P_008</v>
      </c>
      <c r="F443" t="str">
        <f t="shared" si="31"/>
        <v>Pst</v>
      </c>
      <c r="G443" t="str">
        <f t="shared" si="32"/>
        <v>12</v>
      </c>
      <c r="H443" t="str">
        <f t="shared" si="33"/>
        <v>P_008-Pst-12.png</v>
      </c>
      <c r="I443" t="str">
        <f t="shared" si="34"/>
        <v>https://raw.githubusercontent.com/epz0/bridgespace/main/img/P_008-Pst-12.png</v>
      </c>
    </row>
    <row r="444" spans="1:9" x14ac:dyDescent="0.3">
      <c r="A444" t="s">
        <v>51</v>
      </c>
      <c r="B444" t="s">
        <v>24</v>
      </c>
      <c r="C444" t="s">
        <v>29</v>
      </c>
      <c r="D444" t="s">
        <v>1146</v>
      </c>
      <c r="E444" t="str">
        <f t="shared" si="30"/>
        <v>P_008</v>
      </c>
      <c r="F444" t="str">
        <f t="shared" si="31"/>
        <v>Pst</v>
      </c>
      <c r="G444" t="str">
        <f t="shared" si="32"/>
        <v>11</v>
      </c>
      <c r="H444" t="str">
        <f t="shared" si="33"/>
        <v>P_008-Pst-11.png</v>
      </c>
      <c r="I444" t="str">
        <f t="shared" si="34"/>
        <v>https://raw.githubusercontent.com/epz0/bridgespace/main/img/P_008-Pst-11.png</v>
      </c>
    </row>
    <row r="445" spans="1:9" x14ac:dyDescent="0.3">
      <c r="A445" t="s">
        <v>51</v>
      </c>
      <c r="B445" t="s">
        <v>32</v>
      </c>
      <c r="C445" t="s">
        <v>29</v>
      </c>
      <c r="D445" t="s">
        <v>1147</v>
      </c>
      <c r="E445" t="str">
        <f t="shared" si="30"/>
        <v>P_008</v>
      </c>
      <c r="F445" t="str">
        <f t="shared" si="31"/>
        <v>Pst</v>
      </c>
      <c r="G445" t="str">
        <f t="shared" si="32"/>
        <v>18</v>
      </c>
      <c r="H445" t="str">
        <f t="shared" si="33"/>
        <v>P_008-Pst-18.png</v>
      </c>
      <c r="I445" t="str">
        <f t="shared" si="34"/>
        <v>https://raw.githubusercontent.com/epz0/bridgespace/main/img/P_008-Pst-18.png</v>
      </c>
    </row>
    <row r="446" spans="1:9" x14ac:dyDescent="0.3">
      <c r="A446" t="s">
        <v>51</v>
      </c>
      <c r="B446" t="s">
        <v>30</v>
      </c>
      <c r="C446" t="s">
        <v>29</v>
      </c>
      <c r="D446" t="s">
        <v>1148</v>
      </c>
      <c r="E446" t="str">
        <f t="shared" si="30"/>
        <v>P_008</v>
      </c>
      <c r="F446" t="str">
        <f t="shared" si="31"/>
        <v>Pst</v>
      </c>
      <c r="G446" t="str">
        <f t="shared" si="32"/>
        <v>16</v>
      </c>
      <c r="H446" t="str">
        <f t="shared" si="33"/>
        <v>P_008-Pst-16.png</v>
      </c>
      <c r="I446" t="str">
        <f t="shared" si="34"/>
        <v>https://raw.githubusercontent.com/epz0/bridgespace/main/img/P_008-Pst-16.png</v>
      </c>
    </row>
    <row r="447" spans="1:9" x14ac:dyDescent="0.3">
      <c r="A447" t="s">
        <v>51</v>
      </c>
      <c r="B447" t="s">
        <v>33</v>
      </c>
      <c r="C447" t="s">
        <v>29</v>
      </c>
      <c r="D447" t="s">
        <v>1149</v>
      </c>
      <c r="E447" t="str">
        <f t="shared" si="30"/>
        <v>P_008</v>
      </c>
      <c r="F447" t="str">
        <f t="shared" si="31"/>
        <v>Pst</v>
      </c>
      <c r="G447" t="str">
        <f t="shared" si="32"/>
        <v>19</v>
      </c>
      <c r="H447" t="str">
        <f t="shared" si="33"/>
        <v>P_008-Pst-19.png</v>
      </c>
      <c r="I447" t="str">
        <f t="shared" si="34"/>
        <v>https://raw.githubusercontent.com/epz0/bridgespace/main/img/P_008-Pst-19.png</v>
      </c>
    </row>
    <row r="448" spans="1:9" x14ac:dyDescent="0.3">
      <c r="A448" t="s">
        <v>51</v>
      </c>
      <c r="B448" t="s">
        <v>26</v>
      </c>
      <c r="C448" t="s">
        <v>29</v>
      </c>
      <c r="D448" t="s">
        <v>1150</v>
      </c>
      <c r="E448" t="str">
        <f t="shared" si="30"/>
        <v>P_008</v>
      </c>
      <c r="F448" t="str">
        <f t="shared" si="31"/>
        <v>Pst</v>
      </c>
      <c r="G448" t="str">
        <f t="shared" si="32"/>
        <v>13</v>
      </c>
      <c r="H448" t="str">
        <f t="shared" si="33"/>
        <v>P_008-Pst-13.png</v>
      </c>
      <c r="I448" t="str">
        <f t="shared" si="34"/>
        <v>https://raw.githubusercontent.com/epz0/bridgespace/main/img/P_008-Pst-13.png</v>
      </c>
    </row>
    <row r="449" spans="1:9" x14ac:dyDescent="0.3">
      <c r="A449" t="s">
        <v>51</v>
      </c>
      <c r="B449" t="s">
        <v>31</v>
      </c>
      <c r="C449" t="s">
        <v>29</v>
      </c>
      <c r="D449" t="s">
        <v>1151</v>
      </c>
      <c r="E449" t="str">
        <f t="shared" si="30"/>
        <v>P_008</v>
      </c>
      <c r="F449" t="str">
        <f t="shared" si="31"/>
        <v>Pst</v>
      </c>
      <c r="G449" t="str">
        <f t="shared" si="32"/>
        <v>17</v>
      </c>
      <c r="H449" t="str">
        <f t="shared" si="33"/>
        <v>P_008-Pst-17.png</v>
      </c>
      <c r="I449" t="str">
        <f t="shared" si="34"/>
        <v>https://raw.githubusercontent.com/epz0/bridgespace/main/img/P_008-Pst-17.png</v>
      </c>
    </row>
    <row r="450" spans="1:9" x14ac:dyDescent="0.3">
      <c r="A450" t="s">
        <v>51</v>
      </c>
      <c r="B450" t="s">
        <v>27</v>
      </c>
      <c r="C450" t="s">
        <v>29</v>
      </c>
      <c r="D450" t="s">
        <v>1152</v>
      </c>
      <c r="E450" t="str">
        <f t="shared" si="30"/>
        <v>P_008</v>
      </c>
      <c r="F450" t="str">
        <f t="shared" si="31"/>
        <v>Pst</v>
      </c>
      <c r="G450" t="str">
        <f t="shared" si="32"/>
        <v>14</v>
      </c>
      <c r="H450" t="str">
        <f t="shared" si="33"/>
        <v>P_008-Pst-14.png</v>
      </c>
      <c r="I450" t="str">
        <f t="shared" si="34"/>
        <v>https://raw.githubusercontent.com/epz0/bridgespace/main/img/P_008-Pst-14.png</v>
      </c>
    </row>
    <row r="451" spans="1:9" x14ac:dyDescent="0.3">
      <c r="A451" t="s">
        <v>51</v>
      </c>
      <c r="B451" t="s">
        <v>28</v>
      </c>
      <c r="C451" t="s">
        <v>29</v>
      </c>
      <c r="D451" t="s">
        <v>1153</v>
      </c>
      <c r="E451" t="str">
        <f t="shared" ref="E451:E514" si="35">VLOOKUP(A451,$N$3:$O$42,2,0)</f>
        <v>P_008</v>
      </c>
      <c r="F451" t="str">
        <f t="shared" ref="F451:F514" si="36">VLOOKUP(C451,$Q$2:$R$3,2,0)</f>
        <v>Pst</v>
      </c>
      <c r="G451" t="str">
        <f t="shared" ref="G451:G514" si="37">VLOOKUP(B451,$K$2:$L$33,2,0)</f>
        <v>15</v>
      </c>
      <c r="H451" t="str">
        <f t="shared" ref="H451:H514" si="38">E451&amp;"-"&amp;F451&amp;"-"&amp;G451&amp;".png"</f>
        <v>P_008-Pst-15.png</v>
      </c>
      <c r="I451" t="str">
        <f t="shared" ref="I451:I514" si="39">"https://raw.githubusercontent.com/epz0/bridgespace/main/img/"&amp;H451</f>
        <v>https://raw.githubusercontent.com/epz0/bridgespace/main/img/P_008-Pst-15.png</v>
      </c>
    </row>
    <row r="452" spans="1:9" x14ac:dyDescent="0.3">
      <c r="A452" t="s">
        <v>70</v>
      </c>
      <c r="B452" t="s">
        <v>14</v>
      </c>
      <c r="C452" t="s">
        <v>12</v>
      </c>
      <c r="D452" t="s">
        <v>1154</v>
      </c>
      <c r="E452" t="str">
        <f t="shared" si="35"/>
        <v>P_024</v>
      </c>
      <c r="F452" t="str">
        <f t="shared" si="36"/>
        <v>Pre</v>
      </c>
      <c r="G452" t="str">
        <f t="shared" si="37"/>
        <v>02</v>
      </c>
      <c r="H452" t="str">
        <f t="shared" si="38"/>
        <v>P_024-Pre-02.png</v>
      </c>
      <c r="I452" t="str">
        <f t="shared" si="39"/>
        <v>https://raw.githubusercontent.com/epz0/bridgespace/main/img/P_024-Pre-02.png</v>
      </c>
    </row>
    <row r="453" spans="1:9" x14ac:dyDescent="0.3">
      <c r="A453" t="s">
        <v>70</v>
      </c>
      <c r="B453" t="s">
        <v>11</v>
      </c>
      <c r="C453" t="s">
        <v>12</v>
      </c>
      <c r="D453" t="s">
        <v>1155</v>
      </c>
      <c r="E453" t="str">
        <f t="shared" si="35"/>
        <v>P_024</v>
      </c>
      <c r="F453" t="str">
        <f t="shared" si="36"/>
        <v>Pre</v>
      </c>
      <c r="G453" t="str">
        <f t="shared" si="37"/>
        <v>01</v>
      </c>
      <c r="H453" t="str">
        <f t="shared" si="38"/>
        <v>P_024-Pre-01.png</v>
      </c>
      <c r="I453" t="str">
        <f t="shared" si="39"/>
        <v>https://raw.githubusercontent.com/epz0/bridgespace/main/img/P_024-Pre-01.png</v>
      </c>
    </row>
    <row r="454" spans="1:9" x14ac:dyDescent="0.3">
      <c r="A454" t="s">
        <v>70</v>
      </c>
      <c r="B454" t="s">
        <v>15</v>
      </c>
      <c r="C454" t="s">
        <v>29</v>
      </c>
      <c r="D454" t="s">
        <v>1156</v>
      </c>
      <c r="E454" t="str">
        <f t="shared" si="35"/>
        <v>P_024</v>
      </c>
      <c r="F454" t="str">
        <f t="shared" si="36"/>
        <v>Pst</v>
      </c>
      <c r="G454" t="str">
        <f t="shared" si="37"/>
        <v>03</v>
      </c>
      <c r="H454" t="str">
        <f t="shared" si="38"/>
        <v>P_024-Pst-03.png</v>
      </c>
      <c r="I454" t="str">
        <f t="shared" si="39"/>
        <v>https://raw.githubusercontent.com/epz0/bridgespace/main/img/P_024-Pst-03.png</v>
      </c>
    </row>
    <row r="455" spans="1:9" x14ac:dyDescent="0.3">
      <c r="A455" t="s">
        <v>70</v>
      </c>
      <c r="B455" t="s">
        <v>21</v>
      </c>
      <c r="C455" t="s">
        <v>29</v>
      </c>
      <c r="D455" t="s">
        <v>1157</v>
      </c>
      <c r="E455" t="str">
        <f t="shared" si="35"/>
        <v>P_024</v>
      </c>
      <c r="F455" t="str">
        <f t="shared" si="36"/>
        <v>Pst</v>
      </c>
      <c r="G455" t="str">
        <f t="shared" si="37"/>
        <v>08</v>
      </c>
      <c r="H455" t="str">
        <f t="shared" si="38"/>
        <v>P_024-Pst-08.png</v>
      </c>
      <c r="I455" t="str">
        <f t="shared" si="39"/>
        <v>https://raw.githubusercontent.com/epz0/bridgespace/main/img/P_024-Pst-08.png</v>
      </c>
    </row>
    <row r="456" spans="1:9" x14ac:dyDescent="0.3">
      <c r="A456" t="s">
        <v>70</v>
      </c>
      <c r="B456" t="s">
        <v>19</v>
      </c>
      <c r="C456" t="s">
        <v>29</v>
      </c>
      <c r="D456" t="s">
        <v>1158</v>
      </c>
      <c r="E456" t="str">
        <f t="shared" si="35"/>
        <v>P_024</v>
      </c>
      <c r="F456" t="str">
        <f t="shared" si="36"/>
        <v>Pst</v>
      </c>
      <c r="G456" t="str">
        <f t="shared" si="37"/>
        <v>06</v>
      </c>
      <c r="H456" t="str">
        <f t="shared" si="38"/>
        <v>P_024-Pst-06.png</v>
      </c>
      <c r="I456" t="str">
        <f t="shared" si="39"/>
        <v>https://raw.githubusercontent.com/epz0/bridgespace/main/img/P_024-Pst-06.png</v>
      </c>
    </row>
    <row r="457" spans="1:9" x14ac:dyDescent="0.3">
      <c r="A457" t="s">
        <v>70</v>
      </c>
      <c r="B457" t="s">
        <v>17</v>
      </c>
      <c r="C457" t="s">
        <v>29</v>
      </c>
      <c r="D457" t="s">
        <v>1159</v>
      </c>
      <c r="E457" t="str">
        <f t="shared" si="35"/>
        <v>P_024</v>
      </c>
      <c r="F457" t="str">
        <f t="shared" si="36"/>
        <v>Pst</v>
      </c>
      <c r="G457" t="str">
        <f t="shared" si="37"/>
        <v>05</v>
      </c>
      <c r="H457" t="str">
        <f t="shared" si="38"/>
        <v>P_024-Pst-05.png</v>
      </c>
      <c r="I457" t="str">
        <f t="shared" si="39"/>
        <v>https://raw.githubusercontent.com/epz0/bridgespace/main/img/P_024-Pst-05.png</v>
      </c>
    </row>
    <row r="458" spans="1:9" x14ac:dyDescent="0.3">
      <c r="A458" t="s">
        <v>70</v>
      </c>
      <c r="B458" t="s">
        <v>16</v>
      </c>
      <c r="C458" t="s">
        <v>29</v>
      </c>
      <c r="D458" t="s">
        <v>1160</v>
      </c>
      <c r="E458" t="str">
        <f t="shared" si="35"/>
        <v>P_024</v>
      </c>
      <c r="F458" t="str">
        <f t="shared" si="36"/>
        <v>Pst</v>
      </c>
      <c r="G458" t="str">
        <f t="shared" si="37"/>
        <v>04</v>
      </c>
      <c r="H458" t="str">
        <f t="shared" si="38"/>
        <v>P_024-Pst-04.png</v>
      </c>
      <c r="I458" t="str">
        <f t="shared" si="39"/>
        <v>https://raw.githubusercontent.com/epz0/bridgespace/main/img/P_024-Pst-04.png</v>
      </c>
    </row>
    <row r="459" spans="1:9" x14ac:dyDescent="0.3">
      <c r="A459" t="s">
        <v>70</v>
      </c>
      <c r="B459" t="s">
        <v>20</v>
      </c>
      <c r="C459" t="s">
        <v>29</v>
      </c>
      <c r="D459" t="s">
        <v>1161</v>
      </c>
      <c r="E459" t="str">
        <f t="shared" si="35"/>
        <v>P_024</v>
      </c>
      <c r="F459" t="str">
        <f t="shared" si="36"/>
        <v>Pst</v>
      </c>
      <c r="G459" t="str">
        <f t="shared" si="37"/>
        <v>07</v>
      </c>
      <c r="H459" t="str">
        <f t="shared" si="38"/>
        <v>P_024-Pst-07.png</v>
      </c>
      <c r="I459" t="str">
        <f t="shared" si="39"/>
        <v>https://raw.githubusercontent.com/epz0/bridgespace/main/img/P_024-Pst-07.png</v>
      </c>
    </row>
    <row r="460" spans="1:9" x14ac:dyDescent="0.3">
      <c r="A460" t="s">
        <v>70</v>
      </c>
      <c r="B460" t="s">
        <v>22</v>
      </c>
      <c r="C460" t="s">
        <v>29</v>
      </c>
      <c r="D460" t="s">
        <v>1162</v>
      </c>
      <c r="E460" t="str">
        <f t="shared" si="35"/>
        <v>P_024</v>
      </c>
      <c r="F460" t="str">
        <f t="shared" si="36"/>
        <v>Pst</v>
      </c>
      <c r="G460" t="str">
        <f t="shared" si="37"/>
        <v>09</v>
      </c>
      <c r="H460" t="str">
        <f t="shared" si="38"/>
        <v>P_024-Pst-09.png</v>
      </c>
      <c r="I460" t="str">
        <f t="shared" si="39"/>
        <v>https://raw.githubusercontent.com/epz0/bridgespace/main/img/P_024-Pst-09.png</v>
      </c>
    </row>
    <row r="461" spans="1:9" x14ac:dyDescent="0.3">
      <c r="A461" t="s">
        <v>1344</v>
      </c>
      <c r="B461" t="s">
        <v>678</v>
      </c>
      <c r="C461" t="s">
        <v>1345</v>
      </c>
      <c r="D461" t="s">
        <v>678</v>
      </c>
      <c r="E461" t="e">
        <f t="shared" si="35"/>
        <v>#N/A</v>
      </c>
      <c r="F461" t="e">
        <f t="shared" si="36"/>
        <v>#N/A</v>
      </c>
      <c r="G461" t="e">
        <f t="shared" si="37"/>
        <v>#N/A</v>
      </c>
      <c r="H461" t="e">
        <f t="shared" si="38"/>
        <v>#N/A</v>
      </c>
      <c r="I461" t="e">
        <f t="shared" si="39"/>
        <v>#N/A</v>
      </c>
    </row>
    <row r="462" spans="1:9" x14ac:dyDescent="0.3">
      <c r="A462" t="s">
        <v>1344</v>
      </c>
      <c r="B462" t="s">
        <v>561</v>
      </c>
      <c r="C462" t="s">
        <v>1345</v>
      </c>
      <c r="D462" t="s">
        <v>561</v>
      </c>
      <c r="E462" t="e">
        <f t="shared" si="35"/>
        <v>#N/A</v>
      </c>
      <c r="F462" t="e">
        <f t="shared" si="36"/>
        <v>#N/A</v>
      </c>
      <c r="G462" t="e">
        <f t="shared" si="37"/>
        <v>#N/A</v>
      </c>
      <c r="H462" t="e">
        <f t="shared" si="38"/>
        <v>#N/A</v>
      </c>
      <c r="I462" t="e">
        <f t="shared" si="39"/>
        <v>#N/A</v>
      </c>
    </row>
    <row r="463" spans="1:9" x14ac:dyDescent="0.3">
      <c r="A463" t="s">
        <v>1344</v>
      </c>
      <c r="B463" t="s">
        <v>660</v>
      </c>
      <c r="C463" t="s">
        <v>1345</v>
      </c>
      <c r="D463" t="s">
        <v>660</v>
      </c>
      <c r="E463" t="e">
        <f t="shared" si="35"/>
        <v>#N/A</v>
      </c>
      <c r="F463" t="e">
        <f t="shared" si="36"/>
        <v>#N/A</v>
      </c>
      <c r="G463" t="e">
        <f t="shared" si="37"/>
        <v>#N/A</v>
      </c>
      <c r="H463" t="e">
        <f t="shared" si="38"/>
        <v>#N/A</v>
      </c>
      <c r="I463" t="e">
        <f t="shared" si="39"/>
        <v>#N/A</v>
      </c>
    </row>
    <row r="464" spans="1:9" x14ac:dyDescent="0.3">
      <c r="A464" t="s">
        <v>1344</v>
      </c>
      <c r="B464" t="s">
        <v>444</v>
      </c>
      <c r="C464" t="s">
        <v>1345</v>
      </c>
      <c r="D464" t="s">
        <v>444</v>
      </c>
      <c r="E464" t="e">
        <f t="shared" si="35"/>
        <v>#N/A</v>
      </c>
      <c r="F464" t="e">
        <f t="shared" si="36"/>
        <v>#N/A</v>
      </c>
      <c r="G464" t="e">
        <f t="shared" si="37"/>
        <v>#N/A</v>
      </c>
      <c r="H464" t="e">
        <f t="shared" si="38"/>
        <v>#N/A</v>
      </c>
      <c r="I464" t="e">
        <f t="shared" si="39"/>
        <v>#N/A</v>
      </c>
    </row>
    <row r="465" spans="1:9" x14ac:dyDescent="0.3">
      <c r="A465" t="s">
        <v>1344</v>
      </c>
      <c r="B465" t="s">
        <v>549</v>
      </c>
      <c r="C465" t="s">
        <v>1345</v>
      </c>
      <c r="D465" t="s">
        <v>549</v>
      </c>
      <c r="E465" t="e">
        <f t="shared" si="35"/>
        <v>#N/A</v>
      </c>
      <c r="F465" t="e">
        <f t="shared" si="36"/>
        <v>#N/A</v>
      </c>
      <c r="G465" t="e">
        <f t="shared" si="37"/>
        <v>#N/A</v>
      </c>
      <c r="H465" t="e">
        <f t="shared" si="38"/>
        <v>#N/A</v>
      </c>
      <c r="I465" t="e">
        <f t="shared" si="39"/>
        <v>#N/A</v>
      </c>
    </row>
    <row r="466" spans="1:9" x14ac:dyDescent="0.3">
      <c r="A466" t="s">
        <v>1344</v>
      </c>
      <c r="B466" t="s">
        <v>486</v>
      </c>
      <c r="C466" t="s">
        <v>1345</v>
      </c>
      <c r="D466" t="s">
        <v>486</v>
      </c>
      <c r="E466" t="e">
        <f t="shared" si="35"/>
        <v>#N/A</v>
      </c>
      <c r="F466" t="e">
        <f t="shared" si="36"/>
        <v>#N/A</v>
      </c>
      <c r="G466" t="e">
        <f t="shared" si="37"/>
        <v>#N/A</v>
      </c>
      <c r="H466" t="e">
        <f t="shared" si="38"/>
        <v>#N/A</v>
      </c>
      <c r="I466" t="e">
        <f t="shared" si="39"/>
        <v>#N/A</v>
      </c>
    </row>
    <row r="467" spans="1:9" x14ac:dyDescent="0.3">
      <c r="A467" t="s">
        <v>1344</v>
      </c>
      <c r="B467" t="s">
        <v>510</v>
      </c>
      <c r="C467" t="s">
        <v>1345</v>
      </c>
      <c r="D467" t="s">
        <v>510</v>
      </c>
      <c r="E467" t="e">
        <f t="shared" si="35"/>
        <v>#N/A</v>
      </c>
      <c r="F467" t="e">
        <f t="shared" si="36"/>
        <v>#N/A</v>
      </c>
      <c r="G467" t="e">
        <f t="shared" si="37"/>
        <v>#N/A</v>
      </c>
      <c r="H467" t="e">
        <f t="shared" si="38"/>
        <v>#N/A</v>
      </c>
      <c r="I467" t="e">
        <f t="shared" si="39"/>
        <v>#N/A</v>
      </c>
    </row>
    <row r="468" spans="1:9" x14ac:dyDescent="0.3">
      <c r="A468" t="s">
        <v>1344</v>
      </c>
      <c r="B468" t="s">
        <v>627</v>
      </c>
      <c r="C468" t="s">
        <v>1345</v>
      </c>
      <c r="D468" t="s">
        <v>627</v>
      </c>
      <c r="E468" t="e">
        <f t="shared" si="35"/>
        <v>#N/A</v>
      </c>
      <c r="F468" t="e">
        <f t="shared" si="36"/>
        <v>#N/A</v>
      </c>
      <c r="G468" t="e">
        <f t="shared" si="37"/>
        <v>#N/A</v>
      </c>
      <c r="H468" t="e">
        <f t="shared" si="38"/>
        <v>#N/A</v>
      </c>
      <c r="I468" t="e">
        <f t="shared" si="39"/>
        <v>#N/A</v>
      </c>
    </row>
    <row r="469" spans="1:9" x14ac:dyDescent="0.3">
      <c r="A469" t="s">
        <v>1344</v>
      </c>
      <c r="B469" t="s">
        <v>564</v>
      </c>
      <c r="C469" t="s">
        <v>1345</v>
      </c>
      <c r="D469" t="s">
        <v>564</v>
      </c>
      <c r="E469" t="e">
        <f t="shared" si="35"/>
        <v>#N/A</v>
      </c>
      <c r="F469" t="e">
        <f t="shared" si="36"/>
        <v>#N/A</v>
      </c>
      <c r="G469" t="e">
        <f t="shared" si="37"/>
        <v>#N/A</v>
      </c>
      <c r="H469" t="e">
        <f t="shared" si="38"/>
        <v>#N/A</v>
      </c>
      <c r="I469" t="e">
        <f t="shared" si="39"/>
        <v>#N/A</v>
      </c>
    </row>
    <row r="470" spans="1:9" x14ac:dyDescent="0.3">
      <c r="A470" t="s">
        <v>1344</v>
      </c>
      <c r="B470" t="s">
        <v>630</v>
      </c>
      <c r="C470" t="s">
        <v>1345</v>
      </c>
      <c r="D470" t="s">
        <v>630</v>
      </c>
      <c r="E470" t="e">
        <f t="shared" si="35"/>
        <v>#N/A</v>
      </c>
      <c r="F470" t="e">
        <f t="shared" si="36"/>
        <v>#N/A</v>
      </c>
      <c r="G470" t="e">
        <f t="shared" si="37"/>
        <v>#N/A</v>
      </c>
      <c r="H470" t="e">
        <f t="shared" si="38"/>
        <v>#N/A</v>
      </c>
      <c r="I470" t="e">
        <f t="shared" si="39"/>
        <v>#N/A</v>
      </c>
    </row>
    <row r="471" spans="1:9" x14ac:dyDescent="0.3">
      <c r="A471" t="s">
        <v>1344</v>
      </c>
      <c r="B471" t="s">
        <v>519</v>
      </c>
      <c r="C471" t="s">
        <v>1345</v>
      </c>
      <c r="D471" t="s">
        <v>519</v>
      </c>
      <c r="E471" t="e">
        <f t="shared" si="35"/>
        <v>#N/A</v>
      </c>
      <c r="F471" t="e">
        <f t="shared" si="36"/>
        <v>#N/A</v>
      </c>
      <c r="G471" t="e">
        <f t="shared" si="37"/>
        <v>#N/A</v>
      </c>
      <c r="H471" t="e">
        <f t="shared" si="38"/>
        <v>#N/A</v>
      </c>
      <c r="I471" t="e">
        <f t="shared" si="39"/>
        <v>#N/A</v>
      </c>
    </row>
    <row r="472" spans="1:9" x14ac:dyDescent="0.3">
      <c r="A472" t="s">
        <v>1344</v>
      </c>
      <c r="B472" t="s">
        <v>582</v>
      </c>
      <c r="C472" t="s">
        <v>1345</v>
      </c>
      <c r="D472" t="s">
        <v>582</v>
      </c>
      <c r="E472" t="e">
        <f t="shared" si="35"/>
        <v>#N/A</v>
      </c>
      <c r="F472" t="e">
        <f t="shared" si="36"/>
        <v>#N/A</v>
      </c>
      <c r="G472" t="e">
        <f t="shared" si="37"/>
        <v>#N/A</v>
      </c>
      <c r="H472" t="e">
        <f t="shared" si="38"/>
        <v>#N/A</v>
      </c>
      <c r="I472" t="e">
        <f t="shared" si="39"/>
        <v>#N/A</v>
      </c>
    </row>
    <row r="473" spans="1:9" x14ac:dyDescent="0.3">
      <c r="A473" t="s">
        <v>1344</v>
      </c>
      <c r="B473" t="s">
        <v>399</v>
      </c>
      <c r="C473" t="s">
        <v>1345</v>
      </c>
      <c r="D473" t="s">
        <v>399</v>
      </c>
      <c r="E473" t="e">
        <f t="shared" si="35"/>
        <v>#N/A</v>
      </c>
      <c r="F473" t="e">
        <f t="shared" si="36"/>
        <v>#N/A</v>
      </c>
      <c r="G473" t="e">
        <f t="shared" si="37"/>
        <v>#N/A</v>
      </c>
      <c r="H473" t="e">
        <f t="shared" si="38"/>
        <v>#N/A</v>
      </c>
      <c r="I473" t="e">
        <f t="shared" si="39"/>
        <v>#N/A</v>
      </c>
    </row>
    <row r="474" spans="1:9" x14ac:dyDescent="0.3">
      <c r="A474" t="s">
        <v>1344</v>
      </c>
      <c r="B474" t="s">
        <v>393</v>
      </c>
      <c r="C474" t="s">
        <v>1345</v>
      </c>
      <c r="D474" t="s">
        <v>393</v>
      </c>
      <c r="E474" t="e">
        <f t="shared" si="35"/>
        <v>#N/A</v>
      </c>
      <c r="F474" t="e">
        <f t="shared" si="36"/>
        <v>#N/A</v>
      </c>
      <c r="G474" t="e">
        <f t="shared" si="37"/>
        <v>#N/A</v>
      </c>
      <c r="H474" t="e">
        <f t="shared" si="38"/>
        <v>#N/A</v>
      </c>
      <c r="I474" t="e">
        <f t="shared" si="39"/>
        <v>#N/A</v>
      </c>
    </row>
    <row r="475" spans="1:9" x14ac:dyDescent="0.3">
      <c r="A475" t="s">
        <v>1344</v>
      </c>
      <c r="B475" t="s">
        <v>453</v>
      </c>
      <c r="C475" t="s">
        <v>1345</v>
      </c>
      <c r="D475" t="s">
        <v>453</v>
      </c>
      <c r="E475" t="e">
        <f t="shared" si="35"/>
        <v>#N/A</v>
      </c>
      <c r="F475" t="e">
        <f t="shared" si="36"/>
        <v>#N/A</v>
      </c>
      <c r="G475" t="e">
        <f t="shared" si="37"/>
        <v>#N/A</v>
      </c>
      <c r="H475" t="e">
        <f t="shared" si="38"/>
        <v>#N/A</v>
      </c>
      <c r="I475" t="e">
        <f t="shared" si="39"/>
        <v>#N/A</v>
      </c>
    </row>
    <row r="476" spans="1:9" x14ac:dyDescent="0.3">
      <c r="A476" t="s">
        <v>1344</v>
      </c>
      <c r="B476" t="s">
        <v>462</v>
      </c>
      <c r="C476" t="s">
        <v>1345</v>
      </c>
      <c r="D476" t="s">
        <v>462</v>
      </c>
      <c r="E476" t="e">
        <f t="shared" si="35"/>
        <v>#N/A</v>
      </c>
      <c r="F476" t="e">
        <f t="shared" si="36"/>
        <v>#N/A</v>
      </c>
      <c r="G476" t="e">
        <f t="shared" si="37"/>
        <v>#N/A</v>
      </c>
      <c r="H476" t="e">
        <f t="shared" si="38"/>
        <v>#N/A</v>
      </c>
      <c r="I476" t="e">
        <f t="shared" si="39"/>
        <v>#N/A</v>
      </c>
    </row>
    <row r="477" spans="1:9" x14ac:dyDescent="0.3">
      <c r="A477" t="s">
        <v>1344</v>
      </c>
      <c r="B477" t="s">
        <v>597</v>
      </c>
      <c r="C477" t="s">
        <v>1345</v>
      </c>
      <c r="D477" t="s">
        <v>597</v>
      </c>
      <c r="E477" t="e">
        <f t="shared" si="35"/>
        <v>#N/A</v>
      </c>
      <c r="F477" t="e">
        <f t="shared" si="36"/>
        <v>#N/A</v>
      </c>
      <c r="G477" t="e">
        <f t="shared" si="37"/>
        <v>#N/A</v>
      </c>
      <c r="H477" t="e">
        <f t="shared" si="38"/>
        <v>#N/A</v>
      </c>
      <c r="I477" t="e">
        <f t="shared" si="39"/>
        <v>#N/A</v>
      </c>
    </row>
    <row r="478" spans="1:9" x14ac:dyDescent="0.3">
      <c r="A478" t="s">
        <v>1344</v>
      </c>
      <c r="B478" t="s">
        <v>438</v>
      </c>
      <c r="C478" t="s">
        <v>1345</v>
      </c>
      <c r="D478" t="s">
        <v>438</v>
      </c>
      <c r="E478" t="e">
        <f t="shared" si="35"/>
        <v>#N/A</v>
      </c>
      <c r="F478" t="e">
        <f t="shared" si="36"/>
        <v>#N/A</v>
      </c>
      <c r="G478" t="e">
        <f t="shared" si="37"/>
        <v>#N/A</v>
      </c>
      <c r="H478" t="e">
        <f t="shared" si="38"/>
        <v>#N/A</v>
      </c>
      <c r="I478" t="e">
        <f t="shared" si="39"/>
        <v>#N/A</v>
      </c>
    </row>
    <row r="479" spans="1:9" x14ac:dyDescent="0.3">
      <c r="A479" t="s">
        <v>1344</v>
      </c>
      <c r="B479" t="s">
        <v>534</v>
      </c>
      <c r="C479" t="s">
        <v>1345</v>
      </c>
      <c r="D479" t="s">
        <v>534</v>
      </c>
      <c r="E479" t="e">
        <f t="shared" si="35"/>
        <v>#N/A</v>
      </c>
      <c r="F479" t="e">
        <f t="shared" si="36"/>
        <v>#N/A</v>
      </c>
      <c r="G479" t="e">
        <f t="shared" si="37"/>
        <v>#N/A</v>
      </c>
      <c r="H479" t="e">
        <f t="shared" si="38"/>
        <v>#N/A</v>
      </c>
      <c r="I479" t="e">
        <f t="shared" si="39"/>
        <v>#N/A</v>
      </c>
    </row>
    <row r="480" spans="1:9" x14ac:dyDescent="0.3">
      <c r="A480" t="s">
        <v>1344</v>
      </c>
      <c r="B480" t="s">
        <v>576</v>
      </c>
      <c r="C480" t="s">
        <v>1345</v>
      </c>
      <c r="D480" t="s">
        <v>576</v>
      </c>
      <c r="E480" t="e">
        <f t="shared" si="35"/>
        <v>#N/A</v>
      </c>
      <c r="F480" t="e">
        <f t="shared" si="36"/>
        <v>#N/A</v>
      </c>
      <c r="G480" t="e">
        <f t="shared" si="37"/>
        <v>#N/A</v>
      </c>
      <c r="H480" t="e">
        <f t="shared" si="38"/>
        <v>#N/A</v>
      </c>
      <c r="I480" t="e">
        <f t="shared" si="39"/>
        <v>#N/A</v>
      </c>
    </row>
    <row r="481" spans="1:9" x14ac:dyDescent="0.3">
      <c r="A481" t="s">
        <v>1344</v>
      </c>
      <c r="B481" t="s">
        <v>492</v>
      </c>
      <c r="C481" t="s">
        <v>1345</v>
      </c>
      <c r="D481" t="s">
        <v>492</v>
      </c>
      <c r="E481" t="e">
        <f t="shared" si="35"/>
        <v>#N/A</v>
      </c>
      <c r="F481" t="e">
        <f t="shared" si="36"/>
        <v>#N/A</v>
      </c>
      <c r="G481" t="e">
        <f t="shared" si="37"/>
        <v>#N/A</v>
      </c>
      <c r="H481" t="e">
        <f t="shared" si="38"/>
        <v>#N/A</v>
      </c>
      <c r="I481" t="e">
        <f t="shared" si="39"/>
        <v>#N/A</v>
      </c>
    </row>
    <row r="482" spans="1:9" x14ac:dyDescent="0.3">
      <c r="A482" t="s">
        <v>1344</v>
      </c>
      <c r="B482" t="s">
        <v>645</v>
      </c>
      <c r="C482" t="s">
        <v>1345</v>
      </c>
      <c r="D482" t="s">
        <v>645</v>
      </c>
      <c r="E482" t="e">
        <f t="shared" si="35"/>
        <v>#N/A</v>
      </c>
      <c r="F482" t="e">
        <f t="shared" si="36"/>
        <v>#N/A</v>
      </c>
      <c r="G482" t="e">
        <f t="shared" si="37"/>
        <v>#N/A</v>
      </c>
      <c r="H482" t="e">
        <f t="shared" si="38"/>
        <v>#N/A</v>
      </c>
      <c r="I482" t="e">
        <f t="shared" si="39"/>
        <v>#N/A</v>
      </c>
    </row>
    <row r="483" spans="1:9" x14ac:dyDescent="0.3">
      <c r="A483" t="s">
        <v>1344</v>
      </c>
      <c r="B483" t="s">
        <v>387</v>
      </c>
      <c r="C483" t="s">
        <v>1345</v>
      </c>
      <c r="D483" t="s">
        <v>387</v>
      </c>
      <c r="E483" t="e">
        <f t="shared" si="35"/>
        <v>#N/A</v>
      </c>
      <c r="F483" t="e">
        <f t="shared" si="36"/>
        <v>#N/A</v>
      </c>
      <c r="G483" t="e">
        <f t="shared" si="37"/>
        <v>#N/A</v>
      </c>
      <c r="H483" t="e">
        <f t="shared" si="38"/>
        <v>#N/A</v>
      </c>
      <c r="I483" t="e">
        <f t="shared" si="39"/>
        <v>#N/A</v>
      </c>
    </row>
    <row r="484" spans="1:9" x14ac:dyDescent="0.3">
      <c r="A484" t="s">
        <v>1344</v>
      </c>
      <c r="B484" t="s">
        <v>498</v>
      </c>
      <c r="C484" t="s">
        <v>1345</v>
      </c>
      <c r="D484" t="s">
        <v>498</v>
      </c>
      <c r="E484" t="e">
        <f t="shared" si="35"/>
        <v>#N/A</v>
      </c>
      <c r="F484" t="e">
        <f t="shared" si="36"/>
        <v>#N/A</v>
      </c>
      <c r="G484" t="e">
        <f t="shared" si="37"/>
        <v>#N/A</v>
      </c>
      <c r="H484" t="e">
        <f t="shared" si="38"/>
        <v>#N/A</v>
      </c>
      <c r="I484" t="e">
        <f t="shared" si="39"/>
        <v>#N/A</v>
      </c>
    </row>
    <row r="485" spans="1:9" x14ac:dyDescent="0.3">
      <c r="A485" t="s">
        <v>1344</v>
      </c>
      <c r="B485" t="s">
        <v>465</v>
      </c>
      <c r="C485" t="s">
        <v>1345</v>
      </c>
      <c r="D485" t="s">
        <v>465</v>
      </c>
      <c r="E485" t="e">
        <f t="shared" si="35"/>
        <v>#N/A</v>
      </c>
      <c r="F485" t="e">
        <f t="shared" si="36"/>
        <v>#N/A</v>
      </c>
      <c r="G485" t="e">
        <f t="shared" si="37"/>
        <v>#N/A</v>
      </c>
      <c r="H485" t="e">
        <f t="shared" si="38"/>
        <v>#N/A</v>
      </c>
      <c r="I485" t="e">
        <f t="shared" si="39"/>
        <v>#N/A</v>
      </c>
    </row>
    <row r="486" spans="1:9" x14ac:dyDescent="0.3">
      <c r="A486" t="s">
        <v>1344</v>
      </c>
      <c r="B486" t="s">
        <v>435</v>
      </c>
      <c r="C486" t="s">
        <v>1345</v>
      </c>
      <c r="D486" t="s">
        <v>435</v>
      </c>
      <c r="E486" t="e">
        <f t="shared" si="35"/>
        <v>#N/A</v>
      </c>
      <c r="F486" t="e">
        <f t="shared" si="36"/>
        <v>#N/A</v>
      </c>
      <c r="G486" t="e">
        <f t="shared" si="37"/>
        <v>#N/A</v>
      </c>
      <c r="H486" t="e">
        <f t="shared" si="38"/>
        <v>#N/A</v>
      </c>
      <c r="I486" t="e">
        <f t="shared" si="39"/>
        <v>#N/A</v>
      </c>
    </row>
    <row r="487" spans="1:9" x14ac:dyDescent="0.3">
      <c r="A487" t="s">
        <v>1344</v>
      </c>
      <c r="B487" t="s">
        <v>480</v>
      </c>
      <c r="C487" t="s">
        <v>1345</v>
      </c>
      <c r="D487" t="s">
        <v>480</v>
      </c>
      <c r="E487" t="e">
        <f t="shared" si="35"/>
        <v>#N/A</v>
      </c>
      <c r="F487" t="e">
        <f t="shared" si="36"/>
        <v>#N/A</v>
      </c>
      <c r="G487" t="e">
        <f t="shared" si="37"/>
        <v>#N/A</v>
      </c>
      <c r="H487" t="e">
        <f t="shared" si="38"/>
        <v>#N/A</v>
      </c>
      <c r="I487" t="e">
        <f t="shared" si="39"/>
        <v>#N/A</v>
      </c>
    </row>
    <row r="488" spans="1:9" x14ac:dyDescent="0.3">
      <c r="A488" t="s">
        <v>1344</v>
      </c>
      <c r="B488" t="s">
        <v>528</v>
      </c>
      <c r="C488" t="s">
        <v>1345</v>
      </c>
      <c r="D488" t="s">
        <v>528</v>
      </c>
      <c r="E488" t="e">
        <f t="shared" si="35"/>
        <v>#N/A</v>
      </c>
      <c r="F488" t="e">
        <f t="shared" si="36"/>
        <v>#N/A</v>
      </c>
      <c r="G488" t="e">
        <f t="shared" si="37"/>
        <v>#N/A</v>
      </c>
      <c r="H488" t="e">
        <f t="shared" si="38"/>
        <v>#N/A</v>
      </c>
      <c r="I488" t="e">
        <f t="shared" si="39"/>
        <v>#N/A</v>
      </c>
    </row>
    <row r="489" spans="1:9" x14ac:dyDescent="0.3">
      <c r="A489" t="s">
        <v>1344</v>
      </c>
      <c r="B489" t="s">
        <v>663</v>
      </c>
      <c r="C489" t="s">
        <v>1345</v>
      </c>
      <c r="D489" t="s">
        <v>663</v>
      </c>
      <c r="E489" t="e">
        <f t="shared" si="35"/>
        <v>#N/A</v>
      </c>
      <c r="F489" t="e">
        <f t="shared" si="36"/>
        <v>#N/A</v>
      </c>
      <c r="G489" t="e">
        <f t="shared" si="37"/>
        <v>#N/A</v>
      </c>
      <c r="H489" t="e">
        <f t="shared" si="38"/>
        <v>#N/A</v>
      </c>
      <c r="I489" t="e">
        <f t="shared" si="39"/>
        <v>#N/A</v>
      </c>
    </row>
    <row r="490" spans="1:9" x14ac:dyDescent="0.3">
      <c r="A490" t="s">
        <v>1344</v>
      </c>
      <c r="B490" t="s">
        <v>669</v>
      </c>
      <c r="C490" t="s">
        <v>1345</v>
      </c>
      <c r="D490" t="s">
        <v>669</v>
      </c>
      <c r="E490" t="e">
        <f t="shared" si="35"/>
        <v>#N/A</v>
      </c>
      <c r="F490" t="e">
        <f t="shared" si="36"/>
        <v>#N/A</v>
      </c>
      <c r="G490" t="e">
        <f t="shared" si="37"/>
        <v>#N/A</v>
      </c>
      <c r="H490" t="e">
        <f t="shared" si="38"/>
        <v>#N/A</v>
      </c>
      <c r="I490" t="e">
        <f t="shared" si="39"/>
        <v>#N/A</v>
      </c>
    </row>
    <row r="491" spans="1:9" x14ac:dyDescent="0.3">
      <c r="A491" t="s">
        <v>1344</v>
      </c>
      <c r="B491" t="s">
        <v>651</v>
      </c>
      <c r="C491" t="s">
        <v>1345</v>
      </c>
      <c r="D491" t="s">
        <v>651</v>
      </c>
      <c r="E491" t="e">
        <f t="shared" si="35"/>
        <v>#N/A</v>
      </c>
      <c r="F491" t="e">
        <f t="shared" si="36"/>
        <v>#N/A</v>
      </c>
      <c r="G491" t="e">
        <f t="shared" si="37"/>
        <v>#N/A</v>
      </c>
      <c r="H491" t="e">
        <f t="shared" si="38"/>
        <v>#N/A</v>
      </c>
      <c r="I491" t="e">
        <f t="shared" si="39"/>
        <v>#N/A</v>
      </c>
    </row>
    <row r="492" spans="1:9" x14ac:dyDescent="0.3">
      <c r="A492" t="s">
        <v>1344</v>
      </c>
      <c r="B492" t="s">
        <v>633</v>
      </c>
      <c r="C492" t="s">
        <v>1345</v>
      </c>
      <c r="D492" t="s">
        <v>633</v>
      </c>
      <c r="E492" t="e">
        <f t="shared" si="35"/>
        <v>#N/A</v>
      </c>
      <c r="F492" t="e">
        <f t="shared" si="36"/>
        <v>#N/A</v>
      </c>
      <c r="G492" t="e">
        <f t="shared" si="37"/>
        <v>#N/A</v>
      </c>
      <c r="H492" t="e">
        <f t="shared" si="38"/>
        <v>#N/A</v>
      </c>
      <c r="I492" t="e">
        <f t="shared" si="39"/>
        <v>#N/A</v>
      </c>
    </row>
    <row r="493" spans="1:9" x14ac:dyDescent="0.3">
      <c r="A493" t="s">
        <v>1344</v>
      </c>
      <c r="B493" t="s">
        <v>591</v>
      </c>
      <c r="C493" t="s">
        <v>1345</v>
      </c>
      <c r="D493" t="s">
        <v>591</v>
      </c>
      <c r="E493" t="e">
        <f t="shared" si="35"/>
        <v>#N/A</v>
      </c>
      <c r="F493" t="e">
        <f t="shared" si="36"/>
        <v>#N/A</v>
      </c>
      <c r="G493" t="e">
        <f t="shared" si="37"/>
        <v>#N/A</v>
      </c>
      <c r="H493" t="e">
        <f t="shared" si="38"/>
        <v>#N/A</v>
      </c>
      <c r="I493" t="e">
        <f t="shared" si="39"/>
        <v>#N/A</v>
      </c>
    </row>
    <row r="494" spans="1:9" x14ac:dyDescent="0.3">
      <c r="A494" t="s">
        <v>1344</v>
      </c>
      <c r="B494" t="s">
        <v>456</v>
      </c>
      <c r="C494" t="s">
        <v>1345</v>
      </c>
      <c r="D494" t="s">
        <v>456</v>
      </c>
      <c r="E494" t="e">
        <f t="shared" si="35"/>
        <v>#N/A</v>
      </c>
      <c r="F494" t="e">
        <f t="shared" si="36"/>
        <v>#N/A</v>
      </c>
      <c r="G494" t="e">
        <f t="shared" si="37"/>
        <v>#N/A</v>
      </c>
      <c r="H494" t="e">
        <f t="shared" si="38"/>
        <v>#N/A</v>
      </c>
      <c r="I494" t="e">
        <f t="shared" si="39"/>
        <v>#N/A</v>
      </c>
    </row>
    <row r="495" spans="1:9" x14ac:dyDescent="0.3">
      <c r="A495" t="s">
        <v>1344</v>
      </c>
      <c r="B495" t="s">
        <v>537</v>
      </c>
      <c r="C495" t="s">
        <v>1345</v>
      </c>
      <c r="D495" t="s">
        <v>537</v>
      </c>
      <c r="E495" t="e">
        <f t="shared" si="35"/>
        <v>#N/A</v>
      </c>
      <c r="F495" t="e">
        <f t="shared" si="36"/>
        <v>#N/A</v>
      </c>
      <c r="G495" t="e">
        <f t="shared" si="37"/>
        <v>#N/A</v>
      </c>
      <c r="H495" t="e">
        <f t="shared" si="38"/>
        <v>#N/A</v>
      </c>
      <c r="I495" t="e">
        <f t="shared" si="39"/>
        <v>#N/A</v>
      </c>
    </row>
    <row r="496" spans="1:9" x14ac:dyDescent="0.3">
      <c r="A496" t="s">
        <v>1344</v>
      </c>
      <c r="B496" t="s">
        <v>471</v>
      </c>
      <c r="C496" t="s">
        <v>1345</v>
      </c>
      <c r="D496" t="s">
        <v>471</v>
      </c>
      <c r="E496" t="e">
        <f t="shared" si="35"/>
        <v>#N/A</v>
      </c>
      <c r="F496" t="e">
        <f t="shared" si="36"/>
        <v>#N/A</v>
      </c>
      <c r="G496" t="e">
        <f t="shared" si="37"/>
        <v>#N/A</v>
      </c>
      <c r="H496" t="e">
        <f t="shared" si="38"/>
        <v>#N/A</v>
      </c>
      <c r="I496" t="e">
        <f t="shared" si="39"/>
        <v>#N/A</v>
      </c>
    </row>
    <row r="497" spans="1:9" x14ac:dyDescent="0.3">
      <c r="A497" t="s">
        <v>1344</v>
      </c>
      <c r="B497" t="s">
        <v>546</v>
      </c>
      <c r="C497" t="s">
        <v>1345</v>
      </c>
      <c r="D497" t="s">
        <v>546</v>
      </c>
      <c r="E497" t="e">
        <f t="shared" si="35"/>
        <v>#N/A</v>
      </c>
      <c r="F497" t="e">
        <f t="shared" si="36"/>
        <v>#N/A</v>
      </c>
      <c r="G497" t="e">
        <f t="shared" si="37"/>
        <v>#N/A</v>
      </c>
      <c r="H497" t="e">
        <f t="shared" si="38"/>
        <v>#N/A</v>
      </c>
      <c r="I497" t="e">
        <f t="shared" si="39"/>
        <v>#N/A</v>
      </c>
    </row>
    <row r="498" spans="1:9" x14ac:dyDescent="0.3">
      <c r="A498" t="s">
        <v>1344</v>
      </c>
      <c r="B498" t="s">
        <v>468</v>
      </c>
      <c r="C498" t="s">
        <v>1345</v>
      </c>
      <c r="D498" t="s">
        <v>468</v>
      </c>
      <c r="E498" t="e">
        <f t="shared" si="35"/>
        <v>#N/A</v>
      </c>
      <c r="F498" t="e">
        <f t="shared" si="36"/>
        <v>#N/A</v>
      </c>
      <c r="G498" t="e">
        <f t="shared" si="37"/>
        <v>#N/A</v>
      </c>
      <c r="H498" t="e">
        <f t="shared" si="38"/>
        <v>#N/A</v>
      </c>
      <c r="I498" t="e">
        <f t="shared" si="39"/>
        <v>#N/A</v>
      </c>
    </row>
    <row r="499" spans="1:9" x14ac:dyDescent="0.3">
      <c r="A499" t="s">
        <v>1344</v>
      </c>
      <c r="B499" t="s">
        <v>396</v>
      </c>
      <c r="C499" t="s">
        <v>1345</v>
      </c>
      <c r="D499" t="s">
        <v>396</v>
      </c>
      <c r="E499" t="e">
        <f t="shared" si="35"/>
        <v>#N/A</v>
      </c>
      <c r="F499" t="e">
        <f t="shared" si="36"/>
        <v>#N/A</v>
      </c>
      <c r="G499" t="e">
        <f t="shared" si="37"/>
        <v>#N/A</v>
      </c>
      <c r="H499" t="e">
        <f t="shared" si="38"/>
        <v>#N/A</v>
      </c>
      <c r="I499" t="e">
        <f t="shared" si="39"/>
        <v>#N/A</v>
      </c>
    </row>
    <row r="500" spans="1:9" x14ac:dyDescent="0.3">
      <c r="A500" t="s">
        <v>1344</v>
      </c>
      <c r="B500" t="s">
        <v>606</v>
      </c>
      <c r="C500" t="s">
        <v>1345</v>
      </c>
      <c r="D500" t="s">
        <v>606</v>
      </c>
      <c r="E500" t="e">
        <f t="shared" si="35"/>
        <v>#N/A</v>
      </c>
      <c r="F500" t="e">
        <f t="shared" si="36"/>
        <v>#N/A</v>
      </c>
      <c r="G500" t="e">
        <f t="shared" si="37"/>
        <v>#N/A</v>
      </c>
      <c r="H500" t="e">
        <f t="shared" si="38"/>
        <v>#N/A</v>
      </c>
      <c r="I500" t="e">
        <f t="shared" si="39"/>
        <v>#N/A</v>
      </c>
    </row>
    <row r="501" spans="1:9" x14ac:dyDescent="0.3">
      <c r="A501" t="s">
        <v>1344</v>
      </c>
      <c r="B501" t="s">
        <v>609</v>
      </c>
      <c r="C501" t="s">
        <v>1345</v>
      </c>
      <c r="D501" t="s">
        <v>609</v>
      </c>
      <c r="E501" t="e">
        <f t="shared" si="35"/>
        <v>#N/A</v>
      </c>
      <c r="F501" t="e">
        <f t="shared" si="36"/>
        <v>#N/A</v>
      </c>
      <c r="G501" t="e">
        <f t="shared" si="37"/>
        <v>#N/A</v>
      </c>
      <c r="H501" t="e">
        <f t="shared" si="38"/>
        <v>#N/A</v>
      </c>
      <c r="I501" t="e">
        <f t="shared" si="39"/>
        <v>#N/A</v>
      </c>
    </row>
    <row r="502" spans="1:9" x14ac:dyDescent="0.3">
      <c r="A502" t="s">
        <v>1344</v>
      </c>
      <c r="B502" t="s">
        <v>624</v>
      </c>
      <c r="C502" t="s">
        <v>1345</v>
      </c>
      <c r="D502" t="s">
        <v>624</v>
      </c>
      <c r="E502" t="e">
        <f t="shared" si="35"/>
        <v>#N/A</v>
      </c>
      <c r="F502" t="e">
        <f t="shared" si="36"/>
        <v>#N/A</v>
      </c>
      <c r="G502" t="e">
        <f t="shared" si="37"/>
        <v>#N/A</v>
      </c>
      <c r="H502" t="e">
        <f t="shared" si="38"/>
        <v>#N/A</v>
      </c>
      <c r="I502" t="e">
        <f t="shared" si="39"/>
        <v>#N/A</v>
      </c>
    </row>
    <row r="503" spans="1:9" x14ac:dyDescent="0.3">
      <c r="A503" t="s">
        <v>1344</v>
      </c>
      <c r="B503" t="s">
        <v>642</v>
      </c>
      <c r="C503" t="s">
        <v>1345</v>
      </c>
      <c r="D503" t="s">
        <v>642</v>
      </c>
      <c r="E503" t="e">
        <f t="shared" si="35"/>
        <v>#N/A</v>
      </c>
      <c r="F503" t="e">
        <f t="shared" si="36"/>
        <v>#N/A</v>
      </c>
      <c r="G503" t="e">
        <f t="shared" si="37"/>
        <v>#N/A</v>
      </c>
      <c r="H503" t="e">
        <f t="shared" si="38"/>
        <v>#N/A</v>
      </c>
      <c r="I503" t="e">
        <f t="shared" si="39"/>
        <v>#N/A</v>
      </c>
    </row>
    <row r="504" spans="1:9" x14ac:dyDescent="0.3">
      <c r="A504" t="s">
        <v>1344</v>
      </c>
      <c r="B504" t="s">
        <v>411</v>
      </c>
      <c r="C504" t="s">
        <v>1345</v>
      </c>
      <c r="D504" t="s">
        <v>411</v>
      </c>
      <c r="E504" t="e">
        <f t="shared" si="35"/>
        <v>#N/A</v>
      </c>
      <c r="F504" t="e">
        <f t="shared" si="36"/>
        <v>#N/A</v>
      </c>
      <c r="G504" t="e">
        <f t="shared" si="37"/>
        <v>#N/A</v>
      </c>
      <c r="H504" t="e">
        <f t="shared" si="38"/>
        <v>#N/A</v>
      </c>
      <c r="I504" t="e">
        <f t="shared" si="39"/>
        <v>#N/A</v>
      </c>
    </row>
    <row r="505" spans="1:9" x14ac:dyDescent="0.3">
      <c r="A505" t="s">
        <v>1344</v>
      </c>
      <c r="B505" t="s">
        <v>621</v>
      </c>
      <c r="C505" t="s">
        <v>1345</v>
      </c>
      <c r="D505" t="s">
        <v>621</v>
      </c>
      <c r="E505" t="e">
        <f t="shared" si="35"/>
        <v>#N/A</v>
      </c>
      <c r="F505" t="e">
        <f t="shared" si="36"/>
        <v>#N/A</v>
      </c>
      <c r="G505" t="e">
        <f t="shared" si="37"/>
        <v>#N/A</v>
      </c>
      <c r="H505" t="e">
        <f t="shared" si="38"/>
        <v>#N/A</v>
      </c>
      <c r="I505" t="e">
        <f t="shared" si="39"/>
        <v>#N/A</v>
      </c>
    </row>
    <row r="506" spans="1:9" x14ac:dyDescent="0.3">
      <c r="A506" t="s">
        <v>1344</v>
      </c>
      <c r="B506" t="s">
        <v>507</v>
      </c>
      <c r="C506" t="s">
        <v>1345</v>
      </c>
      <c r="D506" t="s">
        <v>507</v>
      </c>
      <c r="E506" t="e">
        <f t="shared" si="35"/>
        <v>#N/A</v>
      </c>
      <c r="F506" t="e">
        <f t="shared" si="36"/>
        <v>#N/A</v>
      </c>
      <c r="G506" t="e">
        <f t="shared" si="37"/>
        <v>#N/A</v>
      </c>
      <c r="H506" t="e">
        <f t="shared" si="38"/>
        <v>#N/A</v>
      </c>
      <c r="I506" t="e">
        <f t="shared" si="39"/>
        <v>#N/A</v>
      </c>
    </row>
    <row r="507" spans="1:9" x14ac:dyDescent="0.3">
      <c r="A507" t="s">
        <v>1344</v>
      </c>
      <c r="B507" t="s">
        <v>504</v>
      </c>
      <c r="C507" t="s">
        <v>1345</v>
      </c>
      <c r="D507" t="s">
        <v>504</v>
      </c>
      <c r="E507" t="e">
        <f t="shared" si="35"/>
        <v>#N/A</v>
      </c>
      <c r="F507" t="e">
        <f t="shared" si="36"/>
        <v>#N/A</v>
      </c>
      <c r="G507" t="e">
        <f t="shared" si="37"/>
        <v>#N/A</v>
      </c>
      <c r="H507" t="e">
        <f t="shared" si="38"/>
        <v>#N/A</v>
      </c>
      <c r="I507" t="e">
        <f t="shared" si="39"/>
        <v>#N/A</v>
      </c>
    </row>
    <row r="508" spans="1:9" x14ac:dyDescent="0.3">
      <c r="A508" t="s">
        <v>1344</v>
      </c>
      <c r="B508" t="s">
        <v>417</v>
      </c>
      <c r="C508" t="s">
        <v>1345</v>
      </c>
      <c r="D508" t="s">
        <v>417</v>
      </c>
      <c r="E508" t="e">
        <f t="shared" si="35"/>
        <v>#N/A</v>
      </c>
      <c r="F508" t="e">
        <f t="shared" si="36"/>
        <v>#N/A</v>
      </c>
      <c r="G508" t="e">
        <f t="shared" si="37"/>
        <v>#N/A</v>
      </c>
      <c r="H508" t="e">
        <f t="shared" si="38"/>
        <v>#N/A</v>
      </c>
      <c r="I508" t="e">
        <f t="shared" si="39"/>
        <v>#N/A</v>
      </c>
    </row>
    <row r="509" spans="1:9" x14ac:dyDescent="0.3">
      <c r="A509" t="s">
        <v>1344</v>
      </c>
      <c r="B509" t="s">
        <v>408</v>
      </c>
      <c r="C509" t="s">
        <v>1345</v>
      </c>
      <c r="D509" t="s">
        <v>408</v>
      </c>
      <c r="E509" t="e">
        <f t="shared" si="35"/>
        <v>#N/A</v>
      </c>
      <c r="F509" t="e">
        <f t="shared" si="36"/>
        <v>#N/A</v>
      </c>
      <c r="G509" t="e">
        <f t="shared" si="37"/>
        <v>#N/A</v>
      </c>
      <c r="H509" t="e">
        <f t="shared" si="38"/>
        <v>#N/A</v>
      </c>
      <c r="I509" t="e">
        <f t="shared" si="39"/>
        <v>#N/A</v>
      </c>
    </row>
    <row r="510" spans="1:9" x14ac:dyDescent="0.3">
      <c r="A510" t="s">
        <v>1344</v>
      </c>
      <c r="B510" t="s">
        <v>543</v>
      </c>
      <c r="C510" t="s">
        <v>1345</v>
      </c>
      <c r="D510" t="s">
        <v>543</v>
      </c>
      <c r="E510" t="e">
        <f t="shared" si="35"/>
        <v>#N/A</v>
      </c>
      <c r="F510" t="e">
        <f t="shared" si="36"/>
        <v>#N/A</v>
      </c>
      <c r="G510" t="e">
        <f t="shared" si="37"/>
        <v>#N/A</v>
      </c>
      <c r="H510" t="e">
        <f t="shared" si="38"/>
        <v>#N/A</v>
      </c>
      <c r="I510" t="e">
        <f t="shared" si="39"/>
        <v>#N/A</v>
      </c>
    </row>
    <row r="511" spans="1:9" x14ac:dyDescent="0.3">
      <c r="A511" t="s">
        <v>1344</v>
      </c>
      <c r="B511" t="s">
        <v>666</v>
      </c>
      <c r="C511" t="s">
        <v>1345</v>
      </c>
      <c r="D511" t="s">
        <v>666</v>
      </c>
      <c r="E511" t="e">
        <f t="shared" si="35"/>
        <v>#N/A</v>
      </c>
      <c r="F511" t="e">
        <f t="shared" si="36"/>
        <v>#N/A</v>
      </c>
      <c r="G511" t="e">
        <f t="shared" si="37"/>
        <v>#N/A</v>
      </c>
      <c r="H511" t="e">
        <f t="shared" si="38"/>
        <v>#N/A</v>
      </c>
      <c r="I511" t="e">
        <f t="shared" si="39"/>
        <v>#N/A</v>
      </c>
    </row>
    <row r="512" spans="1:9" x14ac:dyDescent="0.3">
      <c r="A512" t="s">
        <v>1344</v>
      </c>
      <c r="B512" t="s">
        <v>567</v>
      </c>
      <c r="C512" t="s">
        <v>1345</v>
      </c>
      <c r="D512" t="s">
        <v>567</v>
      </c>
      <c r="E512" t="e">
        <f t="shared" si="35"/>
        <v>#N/A</v>
      </c>
      <c r="F512" t="e">
        <f t="shared" si="36"/>
        <v>#N/A</v>
      </c>
      <c r="G512" t="e">
        <f t="shared" si="37"/>
        <v>#N/A</v>
      </c>
      <c r="H512" t="e">
        <f t="shared" si="38"/>
        <v>#N/A</v>
      </c>
      <c r="I512" t="e">
        <f t="shared" si="39"/>
        <v>#N/A</v>
      </c>
    </row>
    <row r="513" spans="1:9" x14ac:dyDescent="0.3">
      <c r="A513" t="s">
        <v>1344</v>
      </c>
      <c r="B513" t="s">
        <v>612</v>
      </c>
      <c r="C513" t="s">
        <v>1345</v>
      </c>
      <c r="D513" t="s">
        <v>612</v>
      </c>
      <c r="E513" t="e">
        <f t="shared" si="35"/>
        <v>#N/A</v>
      </c>
      <c r="F513" t="e">
        <f t="shared" si="36"/>
        <v>#N/A</v>
      </c>
      <c r="G513" t="e">
        <f t="shared" si="37"/>
        <v>#N/A</v>
      </c>
      <c r="H513" t="e">
        <f t="shared" si="38"/>
        <v>#N/A</v>
      </c>
      <c r="I513" t="e">
        <f t="shared" si="39"/>
        <v>#N/A</v>
      </c>
    </row>
    <row r="514" spans="1:9" x14ac:dyDescent="0.3">
      <c r="A514" t="s">
        <v>1344</v>
      </c>
      <c r="B514" t="s">
        <v>594</v>
      </c>
      <c r="C514" t="s">
        <v>1345</v>
      </c>
      <c r="D514" t="s">
        <v>594</v>
      </c>
      <c r="E514" t="e">
        <f t="shared" si="35"/>
        <v>#N/A</v>
      </c>
      <c r="F514" t="e">
        <f t="shared" si="36"/>
        <v>#N/A</v>
      </c>
      <c r="G514" t="e">
        <f t="shared" si="37"/>
        <v>#N/A</v>
      </c>
      <c r="H514" t="e">
        <f t="shared" si="38"/>
        <v>#N/A</v>
      </c>
      <c r="I514" t="e">
        <f t="shared" si="39"/>
        <v>#N/A</v>
      </c>
    </row>
    <row r="515" spans="1:9" x14ac:dyDescent="0.3">
      <c r="A515" t="s">
        <v>1344</v>
      </c>
      <c r="B515" t="s">
        <v>483</v>
      </c>
      <c r="C515" t="s">
        <v>1345</v>
      </c>
      <c r="D515" t="s">
        <v>483</v>
      </c>
      <c r="E515" t="e">
        <f t="shared" ref="E515:E560" si="40">VLOOKUP(A515,$N$3:$O$42,2,0)</f>
        <v>#N/A</v>
      </c>
      <c r="F515" t="e">
        <f t="shared" ref="F515:F560" si="41">VLOOKUP(C515,$Q$2:$R$3,2,0)</f>
        <v>#N/A</v>
      </c>
      <c r="G515" t="e">
        <f t="shared" ref="G515:G560" si="42">VLOOKUP(B515,$K$2:$L$33,2,0)</f>
        <v>#N/A</v>
      </c>
      <c r="H515" t="e">
        <f t="shared" ref="H515:H560" si="43">E515&amp;"-"&amp;F515&amp;"-"&amp;G515&amp;".png"</f>
        <v>#N/A</v>
      </c>
      <c r="I515" t="e">
        <f t="shared" ref="I515:I560" si="44">"https://raw.githubusercontent.com/epz0/bridgespace/main/img/"&amp;H515</f>
        <v>#N/A</v>
      </c>
    </row>
    <row r="516" spans="1:9" x14ac:dyDescent="0.3">
      <c r="A516" t="s">
        <v>1344</v>
      </c>
      <c r="B516" t="s">
        <v>429</v>
      </c>
      <c r="C516" t="s">
        <v>1345</v>
      </c>
      <c r="D516" t="s">
        <v>429</v>
      </c>
      <c r="E516" t="e">
        <f t="shared" si="40"/>
        <v>#N/A</v>
      </c>
      <c r="F516" t="e">
        <f t="shared" si="41"/>
        <v>#N/A</v>
      </c>
      <c r="G516" t="e">
        <f t="shared" si="42"/>
        <v>#N/A</v>
      </c>
      <c r="H516" t="e">
        <f t="shared" si="43"/>
        <v>#N/A</v>
      </c>
      <c r="I516" t="e">
        <f t="shared" si="44"/>
        <v>#N/A</v>
      </c>
    </row>
    <row r="517" spans="1:9" x14ac:dyDescent="0.3">
      <c r="A517" t="s">
        <v>1344</v>
      </c>
      <c r="B517" t="s">
        <v>573</v>
      </c>
      <c r="C517" t="s">
        <v>1345</v>
      </c>
      <c r="D517" t="s">
        <v>573</v>
      </c>
      <c r="E517" t="e">
        <f t="shared" si="40"/>
        <v>#N/A</v>
      </c>
      <c r="F517" t="e">
        <f t="shared" si="41"/>
        <v>#N/A</v>
      </c>
      <c r="G517" t="e">
        <f t="shared" si="42"/>
        <v>#N/A</v>
      </c>
      <c r="H517" t="e">
        <f t="shared" si="43"/>
        <v>#N/A</v>
      </c>
      <c r="I517" t="e">
        <f t="shared" si="44"/>
        <v>#N/A</v>
      </c>
    </row>
    <row r="518" spans="1:9" x14ac:dyDescent="0.3">
      <c r="A518" t="s">
        <v>1344</v>
      </c>
      <c r="B518" t="s">
        <v>681</v>
      </c>
      <c r="C518" t="s">
        <v>1345</v>
      </c>
      <c r="D518" t="s">
        <v>681</v>
      </c>
      <c r="E518" t="e">
        <f t="shared" si="40"/>
        <v>#N/A</v>
      </c>
      <c r="F518" t="e">
        <f t="shared" si="41"/>
        <v>#N/A</v>
      </c>
      <c r="G518" t="e">
        <f t="shared" si="42"/>
        <v>#N/A</v>
      </c>
      <c r="H518" t="e">
        <f t="shared" si="43"/>
        <v>#N/A</v>
      </c>
      <c r="I518" t="e">
        <f t="shared" si="44"/>
        <v>#N/A</v>
      </c>
    </row>
    <row r="519" spans="1:9" x14ac:dyDescent="0.3">
      <c r="A519" t="s">
        <v>1344</v>
      </c>
      <c r="B519" t="s">
        <v>432</v>
      </c>
      <c r="C519" t="s">
        <v>1345</v>
      </c>
      <c r="D519" t="s">
        <v>432</v>
      </c>
      <c r="E519" t="e">
        <f t="shared" si="40"/>
        <v>#N/A</v>
      </c>
      <c r="F519" t="e">
        <f t="shared" si="41"/>
        <v>#N/A</v>
      </c>
      <c r="G519" t="e">
        <f t="shared" si="42"/>
        <v>#N/A</v>
      </c>
      <c r="H519" t="e">
        <f t="shared" si="43"/>
        <v>#N/A</v>
      </c>
      <c r="I519" t="e">
        <f t="shared" si="44"/>
        <v>#N/A</v>
      </c>
    </row>
    <row r="520" spans="1:9" x14ac:dyDescent="0.3">
      <c r="A520" t="s">
        <v>1344</v>
      </c>
      <c r="B520" t="s">
        <v>402</v>
      </c>
      <c r="C520" t="s">
        <v>1345</v>
      </c>
      <c r="D520" t="s">
        <v>402</v>
      </c>
      <c r="E520" t="e">
        <f t="shared" si="40"/>
        <v>#N/A</v>
      </c>
      <c r="F520" t="e">
        <f t="shared" si="41"/>
        <v>#N/A</v>
      </c>
      <c r="G520" t="e">
        <f t="shared" si="42"/>
        <v>#N/A</v>
      </c>
      <c r="H520" t="e">
        <f t="shared" si="43"/>
        <v>#N/A</v>
      </c>
      <c r="I520" t="e">
        <f t="shared" si="44"/>
        <v>#N/A</v>
      </c>
    </row>
    <row r="521" spans="1:9" x14ac:dyDescent="0.3">
      <c r="A521" t="s">
        <v>1344</v>
      </c>
      <c r="B521" t="s">
        <v>426</v>
      </c>
      <c r="C521" t="s">
        <v>1345</v>
      </c>
      <c r="D521" t="s">
        <v>426</v>
      </c>
      <c r="E521" t="e">
        <f t="shared" si="40"/>
        <v>#N/A</v>
      </c>
      <c r="F521" t="e">
        <f t="shared" si="41"/>
        <v>#N/A</v>
      </c>
      <c r="G521" t="e">
        <f t="shared" si="42"/>
        <v>#N/A</v>
      </c>
      <c r="H521" t="e">
        <f t="shared" si="43"/>
        <v>#N/A</v>
      </c>
      <c r="I521" t="e">
        <f t="shared" si="44"/>
        <v>#N/A</v>
      </c>
    </row>
    <row r="522" spans="1:9" x14ac:dyDescent="0.3">
      <c r="A522" t="s">
        <v>1344</v>
      </c>
      <c r="B522" t="s">
        <v>420</v>
      </c>
      <c r="C522" t="s">
        <v>1345</v>
      </c>
      <c r="D522" t="s">
        <v>420</v>
      </c>
      <c r="E522" t="e">
        <f t="shared" si="40"/>
        <v>#N/A</v>
      </c>
      <c r="F522" t="e">
        <f t="shared" si="41"/>
        <v>#N/A</v>
      </c>
      <c r="G522" t="e">
        <f t="shared" si="42"/>
        <v>#N/A</v>
      </c>
      <c r="H522" t="e">
        <f t="shared" si="43"/>
        <v>#N/A</v>
      </c>
      <c r="I522" t="e">
        <f t="shared" si="44"/>
        <v>#N/A</v>
      </c>
    </row>
    <row r="523" spans="1:9" x14ac:dyDescent="0.3">
      <c r="A523" t="s">
        <v>1344</v>
      </c>
      <c r="B523" t="s">
        <v>636</v>
      </c>
      <c r="C523" t="s">
        <v>1345</v>
      </c>
      <c r="D523" t="s">
        <v>636</v>
      </c>
      <c r="E523" t="e">
        <f t="shared" si="40"/>
        <v>#N/A</v>
      </c>
      <c r="F523" t="e">
        <f t="shared" si="41"/>
        <v>#N/A</v>
      </c>
      <c r="G523" t="e">
        <f t="shared" si="42"/>
        <v>#N/A</v>
      </c>
      <c r="H523" t="e">
        <f t="shared" si="43"/>
        <v>#N/A</v>
      </c>
      <c r="I523" t="e">
        <f t="shared" si="44"/>
        <v>#N/A</v>
      </c>
    </row>
    <row r="524" spans="1:9" x14ac:dyDescent="0.3">
      <c r="A524" t="s">
        <v>1344</v>
      </c>
      <c r="B524" t="s">
        <v>588</v>
      </c>
      <c r="C524" t="s">
        <v>1345</v>
      </c>
      <c r="D524" t="s">
        <v>588</v>
      </c>
      <c r="E524" t="e">
        <f t="shared" si="40"/>
        <v>#N/A</v>
      </c>
      <c r="F524" t="e">
        <f t="shared" si="41"/>
        <v>#N/A</v>
      </c>
      <c r="G524" t="e">
        <f t="shared" si="42"/>
        <v>#N/A</v>
      </c>
      <c r="H524" t="e">
        <f t="shared" si="43"/>
        <v>#N/A</v>
      </c>
      <c r="I524" t="e">
        <f t="shared" si="44"/>
        <v>#N/A</v>
      </c>
    </row>
    <row r="525" spans="1:9" x14ac:dyDescent="0.3">
      <c r="A525" t="s">
        <v>1344</v>
      </c>
      <c r="B525" t="s">
        <v>405</v>
      </c>
      <c r="C525" t="s">
        <v>1345</v>
      </c>
      <c r="D525" t="s">
        <v>405</v>
      </c>
      <c r="E525" t="e">
        <f t="shared" si="40"/>
        <v>#N/A</v>
      </c>
      <c r="F525" t="e">
        <f t="shared" si="41"/>
        <v>#N/A</v>
      </c>
      <c r="G525" t="e">
        <f t="shared" si="42"/>
        <v>#N/A</v>
      </c>
      <c r="H525" t="e">
        <f t="shared" si="43"/>
        <v>#N/A</v>
      </c>
      <c r="I525" t="e">
        <f t="shared" si="44"/>
        <v>#N/A</v>
      </c>
    </row>
    <row r="526" spans="1:9" x14ac:dyDescent="0.3">
      <c r="A526" t="s">
        <v>1344</v>
      </c>
      <c r="B526" t="s">
        <v>495</v>
      </c>
      <c r="C526" t="s">
        <v>1345</v>
      </c>
      <c r="D526" t="s">
        <v>495</v>
      </c>
      <c r="E526" t="e">
        <f t="shared" si="40"/>
        <v>#N/A</v>
      </c>
      <c r="F526" t="e">
        <f t="shared" si="41"/>
        <v>#N/A</v>
      </c>
      <c r="G526" t="e">
        <f t="shared" si="42"/>
        <v>#N/A</v>
      </c>
      <c r="H526" t="e">
        <f t="shared" si="43"/>
        <v>#N/A</v>
      </c>
      <c r="I526" t="e">
        <f t="shared" si="44"/>
        <v>#N/A</v>
      </c>
    </row>
    <row r="527" spans="1:9" x14ac:dyDescent="0.3">
      <c r="A527" t="s">
        <v>1344</v>
      </c>
      <c r="B527" t="s">
        <v>423</v>
      </c>
      <c r="C527" t="s">
        <v>1345</v>
      </c>
      <c r="D527" t="s">
        <v>423</v>
      </c>
      <c r="E527" t="e">
        <f t="shared" si="40"/>
        <v>#N/A</v>
      </c>
      <c r="F527" t="e">
        <f t="shared" si="41"/>
        <v>#N/A</v>
      </c>
      <c r="G527" t="e">
        <f t="shared" si="42"/>
        <v>#N/A</v>
      </c>
      <c r="H527" t="e">
        <f t="shared" si="43"/>
        <v>#N/A</v>
      </c>
      <c r="I527" t="e">
        <f t="shared" si="44"/>
        <v>#N/A</v>
      </c>
    </row>
    <row r="528" spans="1:9" x14ac:dyDescent="0.3">
      <c r="A528" t="s">
        <v>1344</v>
      </c>
      <c r="B528" t="s">
        <v>384</v>
      </c>
      <c r="C528" t="s">
        <v>1345</v>
      </c>
      <c r="D528" t="s">
        <v>384</v>
      </c>
      <c r="E528" t="e">
        <f t="shared" si="40"/>
        <v>#N/A</v>
      </c>
      <c r="F528" t="e">
        <f t="shared" si="41"/>
        <v>#N/A</v>
      </c>
      <c r="G528" t="e">
        <f t="shared" si="42"/>
        <v>#N/A</v>
      </c>
      <c r="H528" t="e">
        <f t="shared" si="43"/>
        <v>#N/A</v>
      </c>
      <c r="I528" t="e">
        <f t="shared" si="44"/>
        <v>#N/A</v>
      </c>
    </row>
    <row r="529" spans="1:9" x14ac:dyDescent="0.3">
      <c r="A529" t="s">
        <v>1344</v>
      </c>
      <c r="B529" t="s">
        <v>600</v>
      </c>
      <c r="C529" t="s">
        <v>1345</v>
      </c>
      <c r="D529" t="s">
        <v>600</v>
      </c>
      <c r="E529" t="e">
        <f t="shared" si="40"/>
        <v>#N/A</v>
      </c>
      <c r="F529" t="e">
        <f t="shared" si="41"/>
        <v>#N/A</v>
      </c>
      <c r="G529" t="e">
        <f t="shared" si="42"/>
        <v>#N/A</v>
      </c>
      <c r="H529" t="e">
        <f t="shared" si="43"/>
        <v>#N/A</v>
      </c>
      <c r="I529" t="e">
        <f t="shared" si="44"/>
        <v>#N/A</v>
      </c>
    </row>
    <row r="530" spans="1:9" x14ac:dyDescent="0.3">
      <c r="A530" t="s">
        <v>1344</v>
      </c>
      <c r="B530" t="s">
        <v>513</v>
      </c>
      <c r="C530" t="s">
        <v>1345</v>
      </c>
      <c r="D530" t="s">
        <v>513</v>
      </c>
      <c r="E530" t="e">
        <f t="shared" si="40"/>
        <v>#N/A</v>
      </c>
      <c r="F530" t="e">
        <f t="shared" si="41"/>
        <v>#N/A</v>
      </c>
      <c r="G530" t="e">
        <f t="shared" si="42"/>
        <v>#N/A</v>
      </c>
      <c r="H530" t="e">
        <f t="shared" si="43"/>
        <v>#N/A</v>
      </c>
      <c r="I530" t="e">
        <f t="shared" si="44"/>
        <v>#N/A</v>
      </c>
    </row>
    <row r="531" spans="1:9" x14ac:dyDescent="0.3">
      <c r="A531" t="s">
        <v>1344</v>
      </c>
      <c r="B531" t="s">
        <v>441</v>
      </c>
      <c r="C531" t="s">
        <v>1345</v>
      </c>
      <c r="D531" t="s">
        <v>441</v>
      </c>
      <c r="E531" t="e">
        <f t="shared" si="40"/>
        <v>#N/A</v>
      </c>
      <c r="F531" t="e">
        <f t="shared" si="41"/>
        <v>#N/A</v>
      </c>
      <c r="G531" t="e">
        <f t="shared" si="42"/>
        <v>#N/A</v>
      </c>
      <c r="H531" t="e">
        <f t="shared" si="43"/>
        <v>#N/A</v>
      </c>
      <c r="I531" t="e">
        <f t="shared" si="44"/>
        <v>#N/A</v>
      </c>
    </row>
    <row r="532" spans="1:9" x14ac:dyDescent="0.3">
      <c r="A532" t="s">
        <v>1344</v>
      </c>
      <c r="B532" t="s">
        <v>525</v>
      </c>
      <c r="C532" t="s">
        <v>1345</v>
      </c>
      <c r="D532" t="s">
        <v>525</v>
      </c>
      <c r="E532" t="e">
        <f t="shared" si="40"/>
        <v>#N/A</v>
      </c>
      <c r="F532" t="e">
        <f t="shared" si="41"/>
        <v>#N/A</v>
      </c>
      <c r="G532" t="e">
        <f t="shared" si="42"/>
        <v>#N/A</v>
      </c>
      <c r="H532" t="e">
        <f t="shared" si="43"/>
        <v>#N/A</v>
      </c>
      <c r="I532" t="e">
        <f t="shared" si="44"/>
        <v>#N/A</v>
      </c>
    </row>
    <row r="533" spans="1:9" x14ac:dyDescent="0.3">
      <c r="A533" t="s">
        <v>1344</v>
      </c>
      <c r="B533" t="s">
        <v>555</v>
      </c>
      <c r="C533" t="s">
        <v>1345</v>
      </c>
      <c r="D533" t="s">
        <v>555</v>
      </c>
      <c r="E533" t="e">
        <f t="shared" si="40"/>
        <v>#N/A</v>
      </c>
      <c r="F533" t="e">
        <f t="shared" si="41"/>
        <v>#N/A</v>
      </c>
      <c r="G533" t="e">
        <f t="shared" si="42"/>
        <v>#N/A</v>
      </c>
      <c r="H533" t="e">
        <f t="shared" si="43"/>
        <v>#N/A</v>
      </c>
      <c r="I533" t="e">
        <f t="shared" si="44"/>
        <v>#N/A</v>
      </c>
    </row>
    <row r="534" spans="1:9" x14ac:dyDescent="0.3">
      <c r="A534" t="s">
        <v>1344</v>
      </c>
      <c r="B534" t="s">
        <v>414</v>
      </c>
      <c r="C534" t="s">
        <v>1345</v>
      </c>
      <c r="D534" t="s">
        <v>414</v>
      </c>
      <c r="E534" t="e">
        <f t="shared" si="40"/>
        <v>#N/A</v>
      </c>
      <c r="F534" t="e">
        <f t="shared" si="41"/>
        <v>#N/A</v>
      </c>
      <c r="G534" t="e">
        <f t="shared" si="42"/>
        <v>#N/A</v>
      </c>
      <c r="H534" t="e">
        <f t="shared" si="43"/>
        <v>#N/A</v>
      </c>
      <c r="I534" t="e">
        <f t="shared" si="44"/>
        <v>#N/A</v>
      </c>
    </row>
    <row r="535" spans="1:9" x14ac:dyDescent="0.3">
      <c r="A535" t="s">
        <v>1344</v>
      </c>
      <c r="B535" t="s">
        <v>516</v>
      </c>
      <c r="C535" t="s">
        <v>1345</v>
      </c>
      <c r="D535" t="s">
        <v>516</v>
      </c>
      <c r="E535" t="e">
        <f t="shared" si="40"/>
        <v>#N/A</v>
      </c>
      <c r="F535" t="e">
        <f t="shared" si="41"/>
        <v>#N/A</v>
      </c>
      <c r="G535" t="e">
        <f t="shared" si="42"/>
        <v>#N/A</v>
      </c>
      <c r="H535" t="e">
        <f t="shared" si="43"/>
        <v>#N/A</v>
      </c>
      <c r="I535" t="e">
        <f t="shared" si="44"/>
        <v>#N/A</v>
      </c>
    </row>
    <row r="536" spans="1:9" x14ac:dyDescent="0.3">
      <c r="A536" t="s">
        <v>1344</v>
      </c>
      <c r="B536" t="s">
        <v>531</v>
      </c>
      <c r="C536" t="s">
        <v>1345</v>
      </c>
      <c r="D536" t="s">
        <v>531</v>
      </c>
      <c r="E536" t="e">
        <f t="shared" si="40"/>
        <v>#N/A</v>
      </c>
      <c r="F536" t="e">
        <f t="shared" si="41"/>
        <v>#N/A</v>
      </c>
      <c r="G536" t="e">
        <f t="shared" si="42"/>
        <v>#N/A</v>
      </c>
      <c r="H536" t="e">
        <f t="shared" si="43"/>
        <v>#N/A</v>
      </c>
      <c r="I536" t="e">
        <f t="shared" si="44"/>
        <v>#N/A</v>
      </c>
    </row>
    <row r="537" spans="1:9" x14ac:dyDescent="0.3">
      <c r="A537" t="s">
        <v>1344</v>
      </c>
      <c r="B537" t="s">
        <v>558</v>
      </c>
      <c r="C537" t="s">
        <v>1345</v>
      </c>
      <c r="D537" t="s">
        <v>558</v>
      </c>
      <c r="E537" t="e">
        <f t="shared" si="40"/>
        <v>#N/A</v>
      </c>
      <c r="F537" t="e">
        <f t="shared" si="41"/>
        <v>#N/A</v>
      </c>
      <c r="G537" t="e">
        <f t="shared" si="42"/>
        <v>#N/A</v>
      </c>
      <c r="H537" t="e">
        <f t="shared" si="43"/>
        <v>#N/A</v>
      </c>
      <c r="I537" t="e">
        <f t="shared" si="44"/>
        <v>#N/A</v>
      </c>
    </row>
    <row r="538" spans="1:9" x14ac:dyDescent="0.3">
      <c r="A538" t="s">
        <v>1344</v>
      </c>
      <c r="B538" t="s">
        <v>501</v>
      </c>
      <c r="C538" t="s">
        <v>1345</v>
      </c>
      <c r="D538" t="s">
        <v>501</v>
      </c>
      <c r="E538" t="e">
        <f t="shared" si="40"/>
        <v>#N/A</v>
      </c>
      <c r="F538" t="e">
        <f t="shared" si="41"/>
        <v>#N/A</v>
      </c>
      <c r="G538" t="e">
        <f t="shared" si="42"/>
        <v>#N/A</v>
      </c>
      <c r="H538" t="e">
        <f t="shared" si="43"/>
        <v>#N/A</v>
      </c>
      <c r="I538" t="e">
        <f t="shared" si="44"/>
        <v>#N/A</v>
      </c>
    </row>
    <row r="539" spans="1:9" x14ac:dyDescent="0.3">
      <c r="A539" t="s">
        <v>1344</v>
      </c>
      <c r="B539" t="s">
        <v>474</v>
      </c>
      <c r="C539" t="s">
        <v>1345</v>
      </c>
      <c r="D539" t="s">
        <v>474</v>
      </c>
      <c r="E539" t="e">
        <f t="shared" si="40"/>
        <v>#N/A</v>
      </c>
      <c r="F539" t="e">
        <f t="shared" si="41"/>
        <v>#N/A</v>
      </c>
      <c r="G539" t="e">
        <f t="shared" si="42"/>
        <v>#N/A</v>
      </c>
      <c r="H539" t="e">
        <f t="shared" si="43"/>
        <v>#N/A</v>
      </c>
      <c r="I539" t="e">
        <f t="shared" si="44"/>
        <v>#N/A</v>
      </c>
    </row>
    <row r="540" spans="1:9" x14ac:dyDescent="0.3">
      <c r="A540" t="s">
        <v>1344</v>
      </c>
      <c r="B540" t="s">
        <v>522</v>
      </c>
      <c r="C540" t="s">
        <v>1345</v>
      </c>
      <c r="D540" t="s">
        <v>522</v>
      </c>
      <c r="E540" t="e">
        <f t="shared" si="40"/>
        <v>#N/A</v>
      </c>
      <c r="F540" t="e">
        <f t="shared" si="41"/>
        <v>#N/A</v>
      </c>
      <c r="G540" t="e">
        <f t="shared" si="42"/>
        <v>#N/A</v>
      </c>
      <c r="H540" t="e">
        <f t="shared" si="43"/>
        <v>#N/A</v>
      </c>
      <c r="I540" t="e">
        <f t="shared" si="44"/>
        <v>#N/A</v>
      </c>
    </row>
    <row r="541" spans="1:9" x14ac:dyDescent="0.3">
      <c r="A541" t="s">
        <v>1344</v>
      </c>
      <c r="B541" t="s">
        <v>450</v>
      </c>
      <c r="C541" t="s">
        <v>1345</v>
      </c>
      <c r="D541" t="s">
        <v>450</v>
      </c>
      <c r="E541" t="e">
        <f t="shared" si="40"/>
        <v>#N/A</v>
      </c>
      <c r="F541" t="e">
        <f t="shared" si="41"/>
        <v>#N/A</v>
      </c>
      <c r="G541" t="e">
        <f t="shared" si="42"/>
        <v>#N/A</v>
      </c>
      <c r="H541" t="e">
        <f t="shared" si="43"/>
        <v>#N/A</v>
      </c>
      <c r="I541" t="e">
        <f t="shared" si="44"/>
        <v>#N/A</v>
      </c>
    </row>
    <row r="542" spans="1:9" x14ac:dyDescent="0.3">
      <c r="A542" t="s">
        <v>1344</v>
      </c>
      <c r="B542" t="s">
        <v>477</v>
      </c>
      <c r="C542" t="s">
        <v>1345</v>
      </c>
      <c r="D542" t="s">
        <v>477</v>
      </c>
      <c r="E542" t="e">
        <f t="shared" si="40"/>
        <v>#N/A</v>
      </c>
      <c r="F542" t="e">
        <f t="shared" si="41"/>
        <v>#N/A</v>
      </c>
      <c r="G542" t="e">
        <f t="shared" si="42"/>
        <v>#N/A</v>
      </c>
      <c r="H542" t="e">
        <f t="shared" si="43"/>
        <v>#N/A</v>
      </c>
      <c r="I542" t="e">
        <f t="shared" si="44"/>
        <v>#N/A</v>
      </c>
    </row>
    <row r="543" spans="1:9" x14ac:dyDescent="0.3">
      <c r="A543" t="s">
        <v>1344</v>
      </c>
      <c r="B543" t="s">
        <v>540</v>
      </c>
      <c r="C543" t="s">
        <v>1345</v>
      </c>
      <c r="D543" t="s">
        <v>540</v>
      </c>
      <c r="E543" t="e">
        <f t="shared" si="40"/>
        <v>#N/A</v>
      </c>
      <c r="F543" t="e">
        <f t="shared" si="41"/>
        <v>#N/A</v>
      </c>
      <c r="G543" t="e">
        <f t="shared" si="42"/>
        <v>#N/A</v>
      </c>
      <c r="H543" t="e">
        <f t="shared" si="43"/>
        <v>#N/A</v>
      </c>
      <c r="I543" t="e">
        <f t="shared" si="44"/>
        <v>#N/A</v>
      </c>
    </row>
    <row r="544" spans="1:9" x14ac:dyDescent="0.3">
      <c r="A544" t="s">
        <v>1344</v>
      </c>
      <c r="B544" t="s">
        <v>672</v>
      </c>
      <c r="C544" t="s">
        <v>1345</v>
      </c>
      <c r="D544" t="s">
        <v>672</v>
      </c>
      <c r="E544" t="e">
        <f t="shared" si="40"/>
        <v>#N/A</v>
      </c>
      <c r="F544" t="e">
        <f t="shared" si="41"/>
        <v>#N/A</v>
      </c>
      <c r="G544" t="e">
        <f t="shared" si="42"/>
        <v>#N/A</v>
      </c>
      <c r="H544" t="e">
        <f t="shared" si="43"/>
        <v>#N/A</v>
      </c>
      <c r="I544" t="e">
        <f t="shared" si="44"/>
        <v>#N/A</v>
      </c>
    </row>
    <row r="545" spans="1:9" x14ac:dyDescent="0.3">
      <c r="A545" t="s">
        <v>1344</v>
      </c>
      <c r="B545" t="s">
        <v>390</v>
      </c>
      <c r="C545" t="s">
        <v>1345</v>
      </c>
      <c r="D545" t="s">
        <v>390</v>
      </c>
      <c r="E545" t="e">
        <f t="shared" si="40"/>
        <v>#N/A</v>
      </c>
      <c r="F545" t="e">
        <f t="shared" si="41"/>
        <v>#N/A</v>
      </c>
      <c r="G545" t="e">
        <f t="shared" si="42"/>
        <v>#N/A</v>
      </c>
      <c r="H545" t="e">
        <f t="shared" si="43"/>
        <v>#N/A</v>
      </c>
      <c r="I545" t="e">
        <f t="shared" si="44"/>
        <v>#N/A</v>
      </c>
    </row>
    <row r="546" spans="1:9" x14ac:dyDescent="0.3">
      <c r="A546" t="s">
        <v>1344</v>
      </c>
      <c r="B546" t="s">
        <v>570</v>
      </c>
      <c r="C546" t="s">
        <v>1345</v>
      </c>
      <c r="D546" t="s">
        <v>570</v>
      </c>
      <c r="E546" t="e">
        <f t="shared" si="40"/>
        <v>#N/A</v>
      </c>
      <c r="F546" t="e">
        <f t="shared" si="41"/>
        <v>#N/A</v>
      </c>
      <c r="G546" t="e">
        <f t="shared" si="42"/>
        <v>#N/A</v>
      </c>
      <c r="H546" t="e">
        <f t="shared" si="43"/>
        <v>#N/A</v>
      </c>
      <c r="I546" t="e">
        <f t="shared" si="44"/>
        <v>#N/A</v>
      </c>
    </row>
    <row r="547" spans="1:9" x14ac:dyDescent="0.3">
      <c r="A547" t="s">
        <v>1344</v>
      </c>
      <c r="B547" t="s">
        <v>675</v>
      </c>
      <c r="C547" t="s">
        <v>1345</v>
      </c>
      <c r="D547" t="s">
        <v>675</v>
      </c>
      <c r="E547" t="e">
        <f t="shared" si="40"/>
        <v>#N/A</v>
      </c>
      <c r="F547" t="e">
        <f t="shared" si="41"/>
        <v>#N/A</v>
      </c>
      <c r="G547" t="e">
        <f t="shared" si="42"/>
        <v>#N/A</v>
      </c>
      <c r="H547" t="e">
        <f t="shared" si="43"/>
        <v>#N/A</v>
      </c>
      <c r="I547" t="e">
        <f t="shared" si="44"/>
        <v>#N/A</v>
      </c>
    </row>
    <row r="548" spans="1:9" x14ac:dyDescent="0.3">
      <c r="A548" t="s">
        <v>1344</v>
      </c>
      <c r="B548" t="s">
        <v>579</v>
      </c>
      <c r="C548" t="s">
        <v>1345</v>
      </c>
      <c r="D548" t="s">
        <v>579</v>
      </c>
      <c r="E548" t="e">
        <f t="shared" si="40"/>
        <v>#N/A</v>
      </c>
      <c r="F548" t="e">
        <f t="shared" si="41"/>
        <v>#N/A</v>
      </c>
      <c r="G548" t="e">
        <f t="shared" si="42"/>
        <v>#N/A</v>
      </c>
      <c r="H548" t="e">
        <f t="shared" si="43"/>
        <v>#N/A</v>
      </c>
      <c r="I548" t="e">
        <f t="shared" si="44"/>
        <v>#N/A</v>
      </c>
    </row>
    <row r="549" spans="1:9" x14ac:dyDescent="0.3">
      <c r="A549" t="s">
        <v>1344</v>
      </c>
      <c r="B549" t="s">
        <v>639</v>
      </c>
      <c r="C549" t="s">
        <v>1345</v>
      </c>
      <c r="D549" t="s">
        <v>639</v>
      </c>
      <c r="E549" t="e">
        <f t="shared" si="40"/>
        <v>#N/A</v>
      </c>
      <c r="F549" t="e">
        <f t="shared" si="41"/>
        <v>#N/A</v>
      </c>
      <c r="G549" t="e">
        <f t="shared" si="42"/>
        <v>#N/A</v>
      </c>
      <c r="H549" t="e">
        <f t="shared" si="43"/>
        <v>#N/A</v>
      </c>
      <c r="I549" t="e">
        <f t="shared" si="44"/>
        <v>#N/A</v>
      </c>
    </row>
    <row r="550" spans="1:9" x14ac:dyDescent="0.3">
      <c r="A550" t="s">
        <v>1344</v>
      </c>
      <c r="B550" t="s">
        <v>618</v>
      </c>
      <c r="C550" t="s">
        <v>1345</v>
      </c>
      <c r="D550" t="s">
        <v>618</v>
      </c>
      <c r="E550" t="e">
        <f t="shared" si="40"/>
        <v>#N/A</v>
      </c>
      <c r="F550" t="e">
        <f t="shared" si="41"/>
        <v>#N/A</v>
      </c>
      <c r="G550" t="e">
        <f t="shared" si="42"/>
        <v>#N/A</v>
      </c>
      <c r="H550" t="e">
        <f t="shared" si="43"/>
        <v>#N/A</v>
      </c>
      <c r="I550" t="e">
        <f t="shared" si="44"/>
        <v>#N/A</v>
      </c>
    </row>
    <row r="551" spans="1:9" x14ac:dyDescent="0.3">
      <c r="A551" t="s">
        <v>1344</v>
      </c>
      <c r="B551" t="s">
        <v>585</v>
      </c>
      <c r="C551" t="s">
        <v>1345</v>
      </c>
      <c r="D551" t="s">
        <v>585</v>
      </c>
      <c r="E551" t="e">
        <f t="shared" si="40"/>
        <v>#N/A</v>
      </c>
      <c r="F551" t="e">
        <f t="shared" si="41"/>
        <v>#N/A</v>
      </c>
      <c r="G551" t="e">
        <f t="shared" si="42"/>
        <v>#N/A</v>
      </c>
      <c r="H551" t="e">
        <f t="shared" si="43"/>
        <v>#N/A</v>
      </c>
      <c r="I551" t="e">
        <f t="shared" si="44"/>
        <v>#N/A</v>
      </c>
    </row>
    <row r="552" spans="1:9" x14ac:dyDescent="0.3">
      <c r="A552" t="s">
        <v>1344</v>
      </c>
      <c r="B552" t="s">
        <v>615</v>
      </c>
      <c r="C552" t="s">
        <v>1345</v>
      </c>
      <c r="D552" t="s">
        <v>615</v>
      </c>
      <c r="E552" t="e">
        <f t="shared" si="40"/>
        <v>#N/A</v>
      </c>
      <c r="F552" t="e">
        <f t="shared" si="41"/>
        <v>#N/A</v>
      </c>
      <c r="G552" t="e">
        <f t="shared" si="42"/>
        <v>#N/A</v>
      </c>
      <c r="H552" t="e">
        <f t="shared" si="43"/>
        <v>#N/A</v>
      </c>
      <c r="I552" t="e">
        <f t="shared" si="44"/>
        <v>#N/A</v>
      </c>
    </row>
    <row r="553" spans="1:9" x14ac:dyDescent="0.3">
      <c r="A553" t="s">
        <v>1344</v>
      </c>
      <c r="B553" t="s">
        <v>447</v>
      </c>
      <c r="C553" t="s">
        <v>1345</v>
      </c>
      <c r="D553" t="s">
        <v>447</v>
      </c>
      <c r="E553" t="e">
        <f t="shared" si="40"/>
        <v>#N/A</v>
      </c>
      <c r="F553" t="e">
        <f t="shared" si="41"/>
        <v>#N/A</v>
      </c>
      <c r="G553" t="e">
        <f t="shared" si="42"/>
        <v>#N/A</v>
      </c>
      <c r="H553" t="e">
        <f t="shared" si="43"/>
        <v>#N/A</v>
      </c>
      <c r="I553" t="e">
        <f t="shared" si="44"/>
        <v>#N/A</v>
      </c>
    </row>
    <row r="554" spans="1:9" x14ac:dyDescent="0.3">
      <c r="A554" t="s">
        <v>1344</v>
      </c>
      <c r="B554" t="s">
        <v>459</v>
      </c>
      <c r="C554" t="s">
        <v>1345</v>
      </c>
      <c r="D554" t="s">
        <v>459</v>
      </c>
      <c r="E554" t="e">
        <f t="shared" si="40"/>
        <v>#N/A</v>
      </c>
      <c r="F554" t="e">
        <f t="shared" si="41"/>
        <v>#N/A</v>
      </c>
      <c r="G554" t="e">
        <f t="shared" si="42"/>
        <v>#N/A</v>
      </c>
      <c r="H554" t="e">
        <f t="shared" si="43"/>
        <v>#N/A</v>
      </c>
      <c r="I554" t="e">
        <f t="shared" si="44"/>
        <v>#N/A</v>
      </c>
    </row>
    <row r="555" spans="1:9" x14ac:dyDescent="0.3">
      <c r="A555" t="s">
        <v>1344</v>
      </c>
      <c r="B555" t="s">
        <v>657</v>
      </c>
      <c r="C555" t="s">
        <v>1345</v>
      </c>
      <c r="D555" t="s">
        <v>657</v>
      </c>
      <c r="E555" t="e">
        <f t="shared" si="40"/>
        <v>#N/A</v>
      </c>
      <c r="F555" t="e">
        <f t="shared" si="41"/>
        <v>#N/A</v>
      </c>
      <c r="G555" t="e">
        <f t="shared" si="42"/>
        <v>#N/A</v>
      </c>
      <c r="H555" t="e">
        <f t="shared" si="43"/>
        <v>#N/A</v>
      </c>
      <c r="I555" t="e">
        <f t="shared" si="44"/>
        <v>#N/A</v>
      </c>
    </row>
    <row r="556" spans="1:9" x14ac:dyDescent="0.3">
      <c r="A556" t="s">
        <v>1344</v>
      </c>
      <c r="B556" t="s">
        <v>654</v>
      </c>
      <c r="C556" t="s">
        <v>1345</v>
      </c>
      <c r="D556" t="s">
        <v>654</v>
      </c>
      <c r="E556" t="e">
        <f t="shared" si="40"/>
        <v>#N/A</v>
      </c>
      <c r="F556" t="e">
        <f t="shared" si="41"/>
        <v>#N/A</v>
      </c>
      <c r="G556" t="e">
        <f t="shared" si="42"/>
        <v>#N/A</v>
      </c>
      <c r="H556" t="e">
        <f t="shared" si="43"/>
        <v>#N/A</v>
      </c>
      <c r="I556" t="e">
        <f t="shared" si="44"/>
        <v>#N/A</v>
      </c>
    </row>
    <row r="557" spans="1:9" x14ac:dyDescent="0.3">
      <c r="A557" t="s">
        <v>1344</v>
      </c>
      <c r="B557" t="s">
        <v>603</v>
      </c>
      <c r="C557" t="s">
        <v>1345</v>
      </c>
      <c r="D557" t="s">
        <v>603</v>
      </c>
      <c r="E557" t="e">
        <f t="shared" si="40"/>
        <v>#N/A</v>
      </c>
      <c r="F557" t="e">
        <f t="shared" si="41"/>
        <v>#N/A</v>
      </c>
      <c r="G557" t="e">
        <f t="shared" si="42"/>
        <v>#N/A</v>
      </c>
      <c r="H557" t="e">
        <f t="shared" si="43"/>
        <v>#N/A</v>
      </c>
      <c r="I557" t="e">
        <f t="shared" si="44"/>
        <v>#N/A</v>
      </c>
    </row>
    <row r="558" spans="1:9" x14ac:dyDescent="0.3">
      <c r="A558" t="s">
        <v>1344</v>
      </c>
      <c r="B558" t="s">
        <v>552</v>
      </c>
      <c r="C558" t="s">
        <v>1345</v>
      </c>
      <c r="D558" t="s">
        <v>552</v>
      </c>
      <c r="E558" t="e">
        <f t="shared" si="40"/>
        <v>#N/A</v>
      </c>
      <c r="F558" t="e">
        <f t="shared" si="41"/>
        <v>#N/A</v>
      </c>
      <c r="G558" t="e">
        <f t="shared" si="42"/>
        <v>#N/A</v>
      </c>
      <c r="H558" t="e">
        <f t="shared" si="43"/>
        <v>#N/A</v>
      </c>
      <c r="I558" t="e">
        <f t="shared" si="44"/>
        <v>#N/A</v>
      </c>
    </row>
    <row r="559" spans="1:9" x14ac:dyDescent="0.3">
      <c r="A559" t="s">
        <v>1344</v>
      </c>
      <c r="B559" t="s">
        <v>648</v>
      </c>
      <c r="C559" t="s">
        <v>1345</v>
      </c>
      <c r="D559" t="s">
        <v>648</v>
      </c>
      <c r="E559" t="e">
        <f t="shared" si="40"/>
        <v>#N/A</v>
      </c>
      <c r="F559" t="e">
        <f t="shared" si="41"/>
        <v>#N/A</v>
      </c>
      <c r="G559" t="e">
        <f t="shared" si="42"/>
        <v>#N/A</v>
      </c>
      <c r="H559" t="e">
        <f t="shared" si="43"/>
        <v>#N/A</v>
      </c>
      <c r="I559" t="e">
        <f t="shared" si="44"/>
        <v>#N/A</v>
      </c>
    </row>
    <row r="560" spans="1:9" x14ac:dyDescent="0.3">
      <c r="A560" t="s">
        <v>1344</v>
      </c>
      <c r="B560" t="s">
        <v>489</v>
      </c>
      <c r="C560" t="s">
        <v>1345</v>
      </c>
      <c r="D560" t="s">
        <v>489</v>
      </c>
      <c r="E560" t="e">
        <f t="shared" si="40"/>
        <v>#N/A</v>
      </c>
      <c r="F560" t="e">
        <f t="shared" si="41"/>
        <v>#N/A</v>
      </c>
      <c r="G560" t="e">
        <f t="shared" si="42"/>
        <v>#N/A</v>
      </c>
      <c r="H560" t="e">
        <f t="shared" si="43"/>
        <v>#N/A</v>
      </c>
      <c r="I560" t="e">
        <f t="shared" si="44"/>
        <v>#N/A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1811-D5A6-4D2B-B4ED-431A933BDEFC}">
  <dimension ref="A1:J102"/>
  <sheetViews>
    <sheetView zoomScale="130" zoomScaleNormal="130" workbookViewId="0">
      <selection activeCell="L5" sqref="L5"/>
    </sheetView>
  </sheetViews>
  <sheetFormatPr defaultRowHeight="14.4" x14ac:dyDescent="0.3"/>
  <cols>
    <col min="8" max="8" width="12.6640625" bestFit="1" customWidth="1"/>
    <col min="9" max="9" width="12.6640625" customWidth="1"/>
  </cols>
  <sheetData>
    <row r="1" spans="1:10" x14ac:dyDescent="0.3">
      <c r="A1" t="s">
        <v>2</v>
      </c>
      <c r="B1" t="s">
        <v>382</v>
      </c>
      <c r="C1" t="s">
        <v>383</v>
      </c>
      <c r="D1" t="s">
        <v>5</v>
      </c>
      <c r="E1" t="s">
        <v>7</v>
      </c>
      <c r="F1" t="s">
        <v>8</v>
      </c>
      <c r="G1" t="s">
        <v>2903</v>
      </c>
      <c r="H1" t="s">
        <v>2904</v>
      </c>
      <c r="I1" t="s">
        <v>2906</v>
      </c>
      <c r="J1" t="s">
        <v>2905</v>
      </c>
    </row>
    <row r="2" spans="1:10" x14ac:dyDescent="0.3">
      <c r="A2" t="s">
        <v>678</v>
      </c>
      <c r="B2" t="s">
        <v>679</v>
      </c>
      <c r="C2" t="s">
        <v>680</v>
      </c>
      <c r="D2">
        <v>58.5</v>
      </c>
      <c r="E2">
        <v>11152</v>
      </c>
      <c r="F2" t="s">
        <v>13</v>
      </c>
      <c r="G2">
        <v>62.6</v>
      </c>
      <c r="H2">
        <v>11152</v>
      </c>
      <c r="I2" s="106">
        <f>G2/D2</f>
        <v>1.0700854700854701</v>
      </c>
      <c r="J2" s="106">
        <f t="shared" ref="J2:J42" si="0">H2/E2</f>
        <v>1</v>
      </c>
    </row>
    <row r="3" spans="1:10" x14ac:dyDescent="0.3">
      <c r="A3" t="s">
        <v>561</v>
      </c>
      <c r="B3" t="s">
        <v>562</v>
      </c>
      <c r="C3" t="s">
        <v>563</v>
      </c>
      <c r="D3">
        <v>56</v>
      </c>
      <c r="E3">
        <v>12663</v>
      </c>
      <c r="F3" t="s">
        <v>13</v>
      </c>
      <c r="G3">
        <v>80.5</v>
      </c>
      <c r="H3">
        <v>12663</v>
      </c>
      <c r="I3" s="106">
        <f t="shared" ref="I3:I66" si="1">G3/D3</f>
        <v>1.4375</v>
      </c>
      <c r="J3" s="106">
        <f t="shared" si="0"/>
        <v>1</v>
      </c>
    </row>
    <row r="4" spans="1:10" x14ac:dyDescent="0.3">
      <c r="A4" t="s">
        <v>660</v>
      </c>
      <c r="B4" t="s">
        <v>661</v>
      </c>
      <c r="C4" t="s">
        <v>662</v>
      </c>
      <c r="D4">
        <v>91.6</v>
      </c>
      <c r="E4">
        <v>11036</v>
      </c>
      <c r="F4" t="s">
        <v>13</v>
      </c>
      <c r="G4">
        <v>91.8</v>
      </c>
      <c r="H4">
        <v>11036</v>
      </c>
      <c r="I4" s="106">
        <f t="shared" si="1"/>
        <v>1.0021834061135371</v>
      </c>
      <c r="J4" s="106">
        <f t="shared" si="0"/>
        <v>1</v>
      </c>
    </row>
    <row r="5" spans="1:10" x14ac:dyDescent="0.3">
      <c r="A5" t="s">
        <v>444</v>
      </c>
      <c r="B5" t="s">
        <v>445</v>
      </c>
      <c r="C5" t="s">
        <v>446</v>
      </c>
      <c r="D5">
        <v>48.5</v>
      </c>
      <c r="E5">
        <v>12524</v>
      </c>
      <c r="F5" t="s">
        <v>13</v>
      </c>
      <c r="G5">
        <v>54</v>
      </c>
      <c r="H5">
        <v>12524</v>
      </c>
      <c r="I5" s="106">
        <f t="shared" si="1"/>
        <v>1.1134020618556701</v>
      </c>
      <c r="J5" s="106">
        <f t="shared" si="0"/>
        <v>1</v>
      </c>
    </row>
    <row r="6" spans="1:10" x14ac:dyDescent="0.3">
      <c r="A6" t="s">
        <v>549</v>
      </c>
      <c r="B6" t="s">
        <v>550</v>
      </c>
      <c r="C6" t="s">
        <v>551</v>
      </c>
      <c r="D6">
        <v>88.7</v>
      </c>
      <c r="E6">
        <v>9863</v>
      </c>
      <c r="F6" t="s">
        <v>13</v>
      </c>
      <c r="G6">
        <v>77</v>
      </c>
      <c r="H6">
        <v>9863</v>
      </c>
      <c r="I6" s="106">
        <f t="shared" si="1"/>
        <v>0.86809470124013521</v>
      </c>
      <c r="J6" s="106">
        <f t="shared" si="0"/>
        <v>1</v>
      </c>
    </row>
    <row r="7" spans="1:10" x14ac:dyDescent="0.3">
      <c r="A7" t="s">
        <v>486</v>
      </c>
      <c r="B7" t="s">
        <v>487</v>
      </c>
      <c r="C7" t="s">
        <v>488</v>
      </c>
      <c r="D7">
        <v>84.9</v>
      </c>
      <c r="E7">
        <v>8310</v>
      </c>
      <c r="F7" t="s">
        <v>13</v>
      </c>
      <c r="G7">
        <v>99.1</v>
      </c>
      <c r="H7">
        <v>8310</v>
      </c>
      <c r="I7" s="106">
        <f t="shared" si="1"/>
        <v>1.1672555948174321</v>
      </c>
      <c r="J7" s="106">
        <f t="shared" si="0"/>
        <v>1</v>
      </c>
    </row>
    <row r="8" spans="1:10" x14ac:dyDescent="0.3">
      <c r="A8" t="s">
        <v>510</v>
      </c>
      <c r="B8" t="s">
        <v>511</v>
      </c>
      <c r="C8" t="s">
        <v>512</v>
      </c>
      <c r="D8">
        <v>100</v>
      </c>
      <c r="E8">
        <v>15102</v>
      </c>
      <c r="F8" t="s">
        <v>18</v>
      </c>
      <c r="G8">
        <v>100</v>
      </c>
      <c r="H8">
        <v>15102</v>
      </c>
      <c r="I8" s="106">
        <f t="shared" si="1"/>
        <v>1</v>
      </c>
      <c r="J8" s="106">
        <f t="shared" si="0"/>
        <v>1</v>
      </c>
    </row>
    <row r="9" spans="1:10" x14ac:dyDescent="0.3">
      <c r="A9" t="s">
        <v>627</v>
      </c>
      <c r="B9" t="s">
        <v>628</v>
      </c>
      <c r="C9" t="s">
        <v>629</v>
      </c>
      <c r="D9">
        <v>60.4</v>
      </c>
      <c r="E9">
        <v>23683</v>
      </c>
      <c r="F9" t="s">
        <v>13</v>
      </c>
      <c r="G9">
        <v>59</v>
      </c>
      <c r="H9">
        <v>23683</v>
      </c>
      <c r="I9" s="106">
        <f t="shared" si="1"/>
        <v>0.97682119205298013</v>
      </c>
      <c r="J9" s="106">
        <f t="shared" si="0"/>
        <v>1</v>
      </c>
    </row>
    <row r="10" spans="1:10" x14ac:dyDescent="0.3">
      <c r="A10" t="s">
        <v>564</v>
      </c>
      <c r="B10" t="s">
        <v>565</v>
      </c>
      <c r="C10" t="s">
        <v>566</v>
      </c>
      <c r="D10">
        <v>99.6</v>
      </c>
      <c r="E10">
        <v>7781</v>
      </c>
      <c r="F10" t="s">
        <v>13</v>
      </c>
      <c r="G10">
        <v>96.2</v>
      </c>
      <c r="H10">
        <v>7781</v>
      </c>
      <c r="I10" s="106">
        <f t="shared" si="1"/>
        <v>0.96586345381526117</v>
      </c>
      <c r="J10" s="106">
        <f t="shared" si="0"/>
        <v>1</v>
      </c>
    </row>
    <row r="11" spans="1:10" x14ac:dyDescent="0.3">
      <c r="A11" t="s">
        <v>630</v>
      </c>
      <c r="B11" t="s">
        <v>631</v>
      </c>
      <c r="C11" t="s">
        <v>632</v>
      </c>
      <c r="D11">
        <v>100</v>
      </c>
      <c r="E11">
        <v>15843</v>
      </c>
      <c r="F11" t="s">
        <v>18</v>
      </c>
      <c r="G11">
        <v>100</v>
      </c>
      <c r="H11">
        <v>15843</v>
      </c>
      <c r="I11" s="106">
        <f t="shared" si="1"/>
        <v>1</v>
      </c>
      <c r="J11" s="106">
        <f t="shared" si="0"/>
        <v>1</v>
      </c>
    </row>
    <row r="12" spans="1:10" x14ac:dyDescent="0.3">
      <c r="A12" t="s">
        <v>519</v>
      </c>
      <c r="B12" t="s">
        <v>520</v>
      </c>
      <c r="C12" t="s">
        <v>521</v>
      </c>
      <c r="D12">
        <v>90.8</v>
      </c>
      <c r="E12">
        <v>7689</v>
      </c>
      <c r="F12" t="s">
        <v>13</v>
      </c>
      <c r="G12">
        <v>96.9</v>
      </c>
      <c r="H12">
        <v>7689</v>
      </c>
      <c r="I12" s="106">
        <f t="shared" si="1"/>
        <v>1.0671806167400881</v>
      </c>
      <c r="J12" s="106">
        <f t="shared" si="0"/>
        <v>1</v>
      </c>
    </row>
    <row r="13" spans="1:10" x14ac:dyDescent="0.3">
      <c r="A13" t="s">
        <v>582</v>
      </c>
      <c r="B13" t="s">
        <v>583</v>
      </c>
      <c r="C13" t="s">
        <v>584</v>
      </c>
      <c r="D13">
        <v>99.3</v>
      </c>
      <c r="E13">
        <v>8518</v>
      </c>
      <c r="F13" t="s">
        <v>13</v>
      </c>
      <c r="G13">
        <v>99.3</v>
      </c>
      <c r="H13">
        <v>8518</v>
      </c>
      <c r="I13" s="106">
        <f t="shared" si="1"/>
        <v>1</v>
      </c>
      <c r="J13" s="106">
        <f t="shared" si="0"/>
        <v>1</v>
      </c>
    </row>
    <row r="14" spans="1:10" x14ac:dyDescent="0.3">
      <c r="A14" t="s">
        <v>399</v>
      </c>
      <c r="B14" t="s">
        <v>400</v>
      </c>
      <c r="C14" t="s">
        <v>401</v>
      </c>
      <c r="D14">
        <v>60.8</v>
      </c>
      <c r="E14">
        <v>14246</v>
      </c>
      <c r="F14" t="s">
        <v>18</v>
      </c>
      <c r="G14">
        <v>70</v>
      </c>
      <c r="H14">
        <v>14246</v>
      </c>
      <c r="I14" s="106">
        <f t="shared" si="1"/>
        <v>1.1513157894736843</v>
      </c>
      <c r="J14" s="106">
        <f t="shared" si="0"/>
        <v>1</v>
      </c>
    </row>
    <row r="15" spans="1:10" x14ac:dyDescent="0.3">
      <c r="A15" t="s">
        <v>393</v>
      </c>
      <c r="B15" t="s">
        <v>394</v>
      </c>
      <c r="C15" t="s">
        <v>395</v>
      </c>
      <c r="D15">
        <v>84.7</v>
      </c>
      <c r="E15">
        <v>8253</v>
      </c>
      <c r="F15" t="s">
        <v>13</v>
      </c>
      <c r="G15">
        <v>99.3</v>
      </c>
      <c r="H15">
        <v>8253</v>
      </c>
      <c r="I15" s="106">
        <f t="shared" si="1"/>
        <v>1.1723730814639906</v>
      </c>
      <c r="J15" s="106">
        <f t="shared" si="0"/>
        <v>1</v>
      </c>
    </row>
    <row r="16" spans="1:10" x14ac:dyDescent="0.3">
      <c r="A16" t="s">
        <v>453</v>
      </c>
      <c r="B16" t="s">
        <v>454</v>
      </c>
      <c r="C16" t="s">
        <v>455</v>
      </c>
      <c r="D16">
        <v>100</v>
      </c>
      <c r="E16">
        <v>15137</v>
      </c>
      <c r="F16" t="s">
        <v>18</v>
      </c>
      <c r="G16">
        <v>100</v>
      </c>
      <c r="H16">
        <v>15137</v>
      </c>
      <c r="I16" s="106">
        <f t="shared" si="1"/>
        <v>1</v>
      </c>
      <c r="J16" s="106">
        <f t="shared" si="0"/>
        <v>1</v>
      </c>
    </row>
    <row r="17" spans="1:10" x14ac:dyDescent="0.3">
      <c r="A17" t="s">
        <v>462</v>
      </c>
      <c r="B17" t="s">
        <v>463</v>
      </c>
      <c r="C17" t="s">
        <v>464</v>
      </c>
      <c r="D17">
        <v>94.5</v>
      </c>
      <c r="E17">
        <v>10455</v>
      </c>
      <c r="F17" t="s">
        <v>13</v>
      </c>
      <c r="G17">
        <v>96.8</v>
      </c>
      <c r="H17">
        <v>10455</v>
      </c>
      <c r="I17" s="106">
        <f t="shared" si="1"/>
        <v>1.0243386243386243</v>
      </c>
      <c r="J17" s="106">
        <f t="shared" si="0"/>
        <v>1</v>
      </c>
    </row>
    <row r="18" spans="1:10" x14ac:dyDescent="0.3">
      <c r="A18" t="s">
        <v>597</v>
      </c>
      <c r="B18" t="s">
        <v>598</v>
      </c>
      <c r="C18" t="s">
        <v>599</v>
      </c>
      <c r="D18">
        <v>99.9</v>
      </c>
      <c r="E18">
        <v>9096</v>
      </c>
      <c r="F18" t="s">
        <v>13</v>
      </c>
      <c r="G18">
        <v>86.3</v>
      </c>
      <c r="H18">
        <v>9096</v>
      </c>
      <c r="I18" s="106">
        <f t="shared" si="1"/>
        <v>0.86386386386386382</v>
      </c>
      <c r="J18" s="106">
        <f t="shared" si="0"/>
        <v>1</v>
      </c>
    </row>
    <row r="19" spans="1:10" x14ac:dyDescent="0.3">
      <c r="A19" t="s">
        <v>438</v>
      </c>
      <c r="B19" t="s">
        <v>439</v>
      </c>
      <c r="C19" t="s">
        <v>440</v>
      </c>
      <c r="D19">
        <v>100</v>
      </c>
      <c r="E19">
        <v>14895</v>
      </c>
      <c r="F19" t="s">
        <v>18</v>
      </c>
      <c r="G19">
        <v>100</v>
      </c>
      <c r="H19">
        <v>14895</v>
      </c>
      <c r="I19" s="106">
        <f t="shared" si="1"/>
        <v>1</v>
      </c>
      <c r="J19" s="106">
        <f t="shared" si="0"/>
        <v>1</v>
      </c>
    </row>
    <row r="20" spans="1:10" x14ac:dyDescent="0.3">
      <c r="A20" t="s">
        <v>534</v>
      </c>
      <c r="B20" t="s">
        <v>535</v>
      </c>
      <c r="C20" t="s">
        <v>536</v>
      </c>
      <c r="D20">
        <v>98.3</v>
      </c>
      <c r="E20">
        <v>14613</v>
      </c>
      <c r="F20" t="s">
        <v>13</v>
      </c>
      <c r="G20">
        <v>98.2</v>
      </c>
      <c r="H20">
        <v>14613</v>
      </c>
      <c r="I20" s="106">
        <f t="shared" si="1"/>
        <v>0.99898270600203465</v>
      </c>
      <c r="J20" s="106">
        <f t="shared" si="0"/>
        <v>1</v>
      </c>
    </row>
    <row r="21" spans="1:10" x14ac:dyDescent="0.3">
      <c r="A21" t="s">
        <v>576</v>
      </c>
      <c r="B21" t="s">
        <v>577</v>
      </c>
      <c r="C21" t="s">
        <v>578</v>
      </c>
      <c r="D21">
        <v>100</v>
      </c>
      <c r="E21">
        <v>6800</v>
      </c>
      <c r="F21" t="s">
        <v>18</v>
      </c>
      <c r="G21">
        <v>100</v>
      </c>
      <c r="H21">
        <v>6800</v>
      </c>
      <c r="I21" s="106">
        <f t="shared" si="1"/>
        <v>1</v>
      </c>
      <c r="J21" s="106">
        <f t="shared" si="0"/>
        <v>1</v>
      </c>
    </row>
    <row r="22" spans="1:10" x14ac:dyDescent="0.3">
      <c r="A22" t="s">
        <v>492</v>
      </c>
      <c r="B22" t="s">
        <v>493</v>
      </c>
      <c r="C22" t="s">
        <v>494</v>
      </c>
      <c r="D22">
        <v>96.24</v>
      </c>
      <c r="E22">
        <v>21436</v>
      </c>
      <c r="F22" t="s">
        <v>13</v>
      </c>
      <c r="G22">
        <v>76.599999999999994</v>
      </c>
      <c r="H22">
        <v>21436</v>
      </c>
      <c r="I22" s="106">
        <f t="shared" si="1"/>
        <v>0.79592684954280968</v>
      </c>
      <c r="J22" s="106">
        <f t="shared" si="0"/>
        <v>1</v>
      </c>
    </row>
    <row r="23" spans="1:10" x14ac:dyDescent="0.3">
      <c r="A23" t="s">
        <v>645</v>
      </c>
      <c r="B23" t="s">
        <v>646</v>
      </c>
      <c r="C23" t="s">
        <v>647</v>
      </c>
      <c r="D23">
        <v>55.35</v>
      </c>
      <c r="E23">
        <v>12001</v>
      </c>
      <c r="F23" t="s">
        <v>13</v>
      </c>
      <c r="G23">
        <v>50.6</v>
      </c>
      <c r="H23">
        <v>12001</v>
      </c>
      <c r="I23" s="106">
        <f t="shared" si="1"/>
        <v>0.91418247515808493</v>
      </c>
      <c r="J23" s="106">
        <f t="shared" si="0"/>
        <v>1</v>
      </c>
    </row>
    <row r="24" spans="1:10" x14ac:dyDescent="0.3">
      <c r="A24" t="s">
        <v>387</v>
      </c>
      <c r="B24" t="s">
        <v>388</v>
      </c>
      <c r="C24" t="s">
        <v>389</v>
      </c>
      <c r="D24">
        <v>99.83</v>
      </c>
      <c r="E24">
        <v>8739</v>
      </c>
      <c r="F24" t="s">
        <v>13</v>
      </c>
      <c r="G24">
        <v>99.7</v>
      </c>
      <c r="H24">
        <v>8739</v>
      </c>
      <c r="I24" s="106">
        <f t="shared" si="1"/>
        <v>0.99869778623660221</v>
      </c>
      <c r="J24" s="106">
        <f t="shared" si="0"/>
        <v>1</v>
      </c>
    </row>
    <row r="25" spans="1:10" x14ac:dyDescent="0.3">
      <c r="A25" t="s">
        <v>498</v>
      </c>
      <c r="B25" t="s">
        <v>499</v>
      </c>
      <c r="C25" t="s">
        <v>500</v>
      </c>
      <c r="D25">
        <v>83.4</v>
      </c>
      <c r="E25">
        <v>26919</v>
      </c>
      <c r="F25" t="s">
        <v>13</v>
      </c>
      <c r="G25">
        <v>85.5</v>
      </c>
      <c r="H25">
        <v>26919</v>
      </c>
      <c r="I25" s="106">
        <f t="shared" si="1"/>
        <v>1.0251798561151078</v>
      </c>
      <c r="J25" s="106">
        <f t="shared" si="0"/>
        <v>1</v>
      </c>
    </row>
    <row r="26" spans="1:10" x14ac:dyDescent="0.3">
      <c r="A26" t="s">
        <v>465</v>
      </c>
      <c r="B26" t="s">
        <v>466</v>
      </c>
      <c r="C26" t="s">
        <v>467</v>
      </c>
      <c r="D26">
        <v>96.76</v>
      </c>
      <c r="E26">
        <v>6139</v>
      </c>
      <c r="F26" t="s">
        <v>13</v>
      </c>
      <c r="G26">
        <v>99.5</v>
      </c>
      <c r="H26">
        <v>6139</v>
      </c>
      <c r="I26" s="106">
        <f t="shared" si="1"/>
        <v>1.028317486564696</v>
      </c>
      <c r="J26" s="106">
        <f t="shared" si="0"/>
        <v>1</v>
      </c>
    </row>
    <row r="27" spans="1:10" x14ac:dyDescent="0.3">
      <c r="A27" t="s">
        <v>435</v>
      </c>
      <c r="B27" t="s">
        <v>436</v>
      </c>
      <c r="C27" t="s">
        <v>437</v>
      </c>
      <c r="D27">
        <v>97.5</v>
      </c>
      <c r="E27">
        <v>8416</v>
      </c>
      <c r="F27" t="s">
        <v>13</v>
      </c>
      <c r="G27">
        <v>89.1</v>
      </c>
      <c r="H27">
        <v>8416</v>
      </c>
      <c r="I27" s="106">
        <f t="shared" si="1"/>
        <v>0.91384615384615375</v>
      </c>
      <c r="J27" s="106">
        <f t="shared" si="0"/>
        <v>1</v>
      </c>
    </row>
    <row r="28" spans="1:10" x14ac:dyDescent="0.3">
      <c r="A28" t="s">
        <v>480</v>
      </c>
      <c r="B28" t="s">
        <v>481</v>
      </c>
      <c r="C28" t="s">
        <v>482</v>
      </c>
      <c r="D28">
        <v>99.15</v>
      </c>
      <c r="E28">
        <v>6592</v>
      </c>
      <c r="F28" t="s">
        <v>13</v>
      </c>
      <c r="G28">
        <v>94.5</v>
      </c>
      <c r="H28">
        <v>6592</v>
      </c>
      <c r="I28" s="106">
        <f t="shared" si="1"/>
        <v>0.95310136157337366</v>
      </c>
      <c r="J28" s="106">
        <f t="shared" si="0"/>
        <v>1</v>
      </c>
    </row>
    <row r="29" spans="1:10" x14ac:dyDescent="0.3">
      <c r="A29" t="s">
        <v>528</v>
      </c>
      <c r="B29" t="s">
        <v>529</v>
      </c>
      <c r="C29" t="s">
        <v>530</v>
      </c>
      <c r="D29">
        <v>100</v>
      </c>
      <c r="E29">
        <v>4580</v>
      </c>
      <c r="F29" t="s">
        <v>13</v>
      </c>
      <c r="G29">
        <v>100</v>
      </c>
      <c r="H29">
        <v>4612</v>
      </c>
      <c r="I29" s="106">
        <f t="shared" si="1"/>
        <v>1</v>
      </c>
      <c r="J29" s="106">
        <f t="shared" si="0"/>
        <v>1.0069868995633189</v>
      </c>
    </row>
    <row r="30" spans="1:10" x14ac:dyDescent="0.3">
      <c r="A30" t="s">
        <v>663</v>
      </c>
      <c r="B30" t="s">
        <v>664</v>
      </c>
      <c r="C30" t="s">
        <v>665</v>
      </c>
      <c r="D30">
        <v>97.6</v>
      </c>
      <c r="E30">
        <v>7300</v>
      </c>
      <c r="F30" t="s">
        <v>13</v>
      </c>
      <c r="G30">
        <v>98.3</v>
      </c>
      <c r="H30">
        <v>7309</v>
      </c>
      <c r="I30" s="106">
        <f t="shared" si="1"/>
        <v>1.007172131147541</v>
      </c>
      <c r="J30" s="106">
        <f t="shared" si="0"/>
        <v>1.0012328767123289</v>
      </c>
    </row>
    <row r="31" spans="1:10" x14ac:dyDescent="0.3">
      <c r="A31" t="s">
        <v>669</v>
      </c>
      <c r="B31" t="s">
        <v>670</v>
      </c>
      <c r="C31" t="s">
        <v>671</v>
      </c>
      <c r="D31">
        <v>92.79</v>
      </c>
      <c r="E31">
        <v>11269</v>
      </c>
      <c r="F31" t="s">
        <v>13</v>
      </c>
      <c r="G31">
        <v>99.3</v>
      </c>
      <c r="H31">
        <v>11269</v>
      </c>
      <c r="I31" s="106">
        <f t="shared" si="1"/>
        <v>1.0701584222437761</v>
      </c>
      <c r="J31" s="106">
        <f t="shared" si="0"/>
        <v>1</v>
      </c>
    </row>
    <row r="32" spans="1:10" x14ac:dyDescent="0.3">
      <c r="A32" t="s">
        <v>651</v>
      </c>
      <c r="B32" t="s">
        <v>652</v>
      </c>
      <c r="C32" t="s">
        <v>653</v>
      </c>
      <c r="D32">
        <v>99.87</v>
      </c>
      <c r="E32">
        <v>8646</v>
      </c>
      <c r="F32" t="s">
        <v>13</v>
      </c>
      <c r="G32">
        <v>84.3</v>
      </c>
      <c r="H32">
        <v>8646</v>
      </c>
      <c r="I32" s="106">
        <f t="shared" si="1"/>
        <v>0.84409732652448177</v>
      </c>
      <c r="J32" s="106">
        <f t="shared" si="0"/>
        <v>1</v>
      </c>
    </row>
    <row r="33" spans="1:10" x14ac:dyDescent="0.3">
      <c r="A33" t="s">
        <v>633</v>
      </c>
      <c r="B33" t="s">
        <v>634</v>
      </c>
      <c r="C33" t="s">
        <v>635</v>
      </c>
      <c r="D33">
        <v>100</v>
      </c>
      <c r="E33">
        <v>14534</v>
      </c>
      <c r="F33" t="s">
        <v>18</v>
      </c>
      <c r="G33">
        <v>100</v>
      </c>
      <c r="H33">
        <v>14539</v>
      </c>
      <c r="I33" s="106">
        <f t="shared" si="1"/>
        <v>1</v>
      </c>
      <c r="J33" s="106">
        <f t="shared" si="0"/>
        <v>1.0003440209164718</v>
      </c>
    </row>
    <row r="34" spans="1:10" x14ac:dyDescent="0.3">
      <c r="A34" t="s">
        <v>591</v>
      </c>
      <c r="B34" t="s">
        <v>592</v>
      </c>
      <c r="C34" t="s">
        <v>593</v>
      </c>
      <c r="D34">
        <v>57</v>
      </c>
      <c r="E34">
        <v>9673</v>
      </c>
      <c r="F34" t="s">
        <v>13</v>
      </c>
      <c r="G34">
        <v>68.2</v>
      </c>
      <c r="H34">
        <v>9673</v>
      </c>
      <c r="I34" s="106">
        <f t="shared" si="1"/>
        <v>1.1964912280701754</v>
      </c>
      <c r="J34" s="106">
        <f t="shared" si="0"/>
        <v>1</v>
      </c>
    </row>
    <row r="35" spans="1:10" ht="13.8" customHeight="1" x14ac:dyDescent="0.3">
      <c r="A35" t="s">
        <v>456</v>
      </c>
      <c r="B35" t="s">
        <v>457</v>
      </c>
      <c r="C35" t="s">
        <v>458</v>
      </c>
      <c r="D35">
        <v>99</v>
      </c>
      <c r="E35">
        <v>7729</v>
      </c>
      <c r="F35" t="s">
        <v>13</v>
      </c>
      <c r="G35">
        <v>91.1</v>
      </c>
      <c r="H35">
        <v>7729</v>
      </c>
      <c r="I35" s="106">
        <f t="shared" si="1"/>
        <v>0.92020202020202013</v>
      </c>
      <c r="J35" s="106">
        <f t="shared" si="0"/>
        <v>1</v>
      </c>
    </row>
    <row r="36" spans="1:10" x14ac:dyDescent="0.3">
      <c r="A36" t="s">
        <v>537</v>
      </c>
      <c r="B36" t="s">
        <v>538</v>
      </c>
      <c r="C36" t="s">
        <v>539</v>
      </c>
      <c r="D36">
        <v>65</v>
      </c>
      <c r="E36">
        <v>11871</v>
      </c>
      <c r="F36" t="s">
        <v>13</v>
      </c>
      <c r="G36">
        <v>92.9</v>
      </c>
      <c r="H36">
        <v>11872</v>
      </c>
      <c r="I36" s="106">
        <f t="shared" si="1"/>
        <v>1.4292307692307693</v>
      </c>
      <c r="J36" s="106">
        <f t="shared" si="0"/>
        <v>1.0000842389015248</v>
      </c>
    </row>
    <row r="37" spans="1:10" x14ac:dyDescent="0.3">
      <c r="A37" t="s">
        <v>471</v>
      </c>
      <c r="B37" t="s">
        <v>472</v>
      </c>
      <c r="C37" t="s">
        <v>473</v>
      </c>
      <c r="D37">
        <v>85.5</v>
      </c>
      <c r="E37">
        <v>14998</v>
      </c>
      <c r="F37" t="s">
        <v>13</v>
      </c>
      <c r="G37">
        <v>72.099999999999994</v>
      </c>
      <c r="H37">
        <v>14998</v>
      </c>
      <c r="I37" s="106">
        <f t="shared" si="1"/>
        <v>0.84327485380116951</v>
      </c>
      <c r="J37" s="106">
        <f t="shared" si="0"/>
        <v>1</v>
      </c>
    </row>
    <row r="38" spans="1:10" x14ac:dyDescent="0.3">
      <c r="A38" t="s">
        <v>546</v>
      </c>
      <c r="B38" t="s">
        <v>547</v>
      </c>
      <c r="C38" t="s">
        <v>548</v>
      </c>
      <c r="D38">
        <v>100</v>
      </c>
      <c r="E38">
        <v>14988</v>
      </c>
      <c r="F38" t="s">
        <v>18</v>
      </c>
      <c r="G38">
        <v>100</v>
      </c>
      <c r="H38">
        <v>14988</v>
      </c>
      <c r="I38" s="106">
        <f t="shared" si="1"/>
        <v>1</v>
      </c>
      <c r="J38" s="106">
        <f t="shared" si="0"/>
        <v>1</v>
      </c>
    </row>
    <row r="39" spans="1:10" x14ac:dyDescent="0.3">
      <c r="A39" t="s">
        <v>468</v>
      </c>
      <c r="B39" t="s">
        <v>469</v>
      </c>
      <c r="C39" t="s">
        <v>470</v>
      </c>
      <c r="D39">
        <v>82.3</v>
      </c>
      <c r="E39">
        <v>6759</v>
      </c>
      <c r="F39" t="s">
        <v>13</v>
      </c>
      <c r="G39">
        <v>75.2</v>
      </c>
      <c r="H39">
        <v>6758</v>
      </c>
      <c r="I39" s="106">
        <f t="shared" si="1"/>
        <v>0.91373025516403406</v>
      </c>
      <c r="J39" s="106">
        <f t="shared" si="0"/>
        <v>0.99985204911969228</v>
      </c>
    </row>
    <row r="40" spans="1:10" x14ac:dyDescent="0.3">
      <c r="A40" t="s">
        <v>396</v>
      </c>
      <c r="B40" t="s">
        <v>397</v>
      </c>
      <c r="C40" t="s">
        <v>398</v>
      </c>
      <c r="D40">
        <v>100</v>
      </c>
      <c r="E40">
        <v>12690</v>
      </c>
      <c r="F40" t="s">
        <v>18</v>
      </c>
      <c r="G40">
        <v>100</v>
      </c>
      <c r="H40">
        <v>12690</v>
      </c>
      <c r="I40" s="106">
        <f t="shared" si="1"/>
        <v>1</v>
      </c>
      <c r="J40" s="106">
        <f t="shared" si="0"/>
        <v>1</v>
      </c>
    </row>
    <row r="41" spans="1:10" x14ac:dyDescent="0.3">
      <c r="A41" t="s">
        <v>606</v>
      </c>
      <c r="B41" t="s">
        <v>607</v>
      </c>
      <c r="C41" t="s">
        <v>608</v>
      </c>
      <c r="D41">
        <v>98.7</v>
      </c>
      <c r="E41">
        <v>8241</v>
      </c>
      <c r="F41" t="s">
        <v>13</v>
      </c>
      <c r="G41">
        <v>99.8</v>
      </c>
      <c r="H41">
        <v>8242</v>
      </c>
      <c r="I41" s="106">
        <f t="shared" si="1"/>
        <v>1.011144883485309</v>
      </c>
      <c r="J41" s="106">
        <f t="shared" si="0"/>
        <v>1.0001213444970272</v>
      </c>
    </row>
    <row r="42" spans="1:10" x14ac:dyDescent="0.3">
      <c r="A42" t="s">
        <v>609</v>
      </c>
      <c r="B42" t="s">
        <v>610</v>
      </c>
      <c r="C42" t="s">
        <v>611</v>
      </c>
      <c r="D42">
        <v>100</v>
      </c>
      <c r="E42">
        <v>14773</v>
      </c>
      <c r="F42" t="s">
        <v>13</v>
      </c>
      <c r="G42">
        <v>100</v>
      </c>
      <c r="H42">
        <v>14774</v>
      </c>
      <c r="I42" s="106">
        <f t="shared" si="1"/>
        <v>1</v>
      </c>
      <c r="J42" s="106">
        <f t="shared" si="0"/>
        <v>1.0000676910580113</v>
      </c>
    </row>
    <row r="43" spans="1:10" x14ac:dyDescent="0.3">
      <c r="A43" t="s">
        <v>624</v>
      </c>
      <c r="B43" t="s">
        <v>625</v>
      </c>
      <c r="C43" t="s">
        <v>626</v>
      </c>
      <c r="D43">
        <v>99.6</v>
      </c>
      <c r="E43">
        <v>8149</v>
      </c>
      <c r="F43" t="s">
        <v>13</v>
      </c>
      <c r="G43">
        <v>99.8</v>
      </c>
      <c r="H43">
        <v>8297</v>
      </c>
      <c r="I43" s="106">
        <f t="shared" si="1"/>
        <v>1.0020080321285141</v>
      </c>
      <c r="J43" s="106">
        <f>H43/E43</f>
        <v>1.0181617376365197</v>
      </c>
    </row>
    <row r="44" spans="1:10" x14ac:dyDescent="0.3">
      <c r="A44" t="s">
        <v>642</v>
      </c>
      <c r="B44" t="s">
        <v>643</v>
      </c>
      <c r="C44" t="s">
        <v>644</v>
      </c>
      <c r="D44">
        <v>74.2</v>
      </c>
      <c r="E44">
        <v>12008</v>
      </c>
      <c r="F44" t="s">
        <v>13</v>
      </c>
      <c r="G44">
        <v>62.2</v>
      </c>
      <c r="H44">
        <v>12008</v>
      </c>
      <c r="I44" s="106">
        <f t="shared" si="1"/>
        <v>0.83827493261455521</v>
      </c>
      <c r="J44" s="106">
        <f t="shared" ref="J44:J101" si="2">H44/E44</f>
        <v>1</v>
      </c>
    </row>
    <row r="45" spans="1:10" x14ac:dyDescent="0.3">
      <c r="A45" t="s">
        <v>411</v>
      </c>
      <c r="B45" t="s">
        <v>412</v>
      </c>
      <c r="C45" t="s">
        <v>413</v>
      </c>
      <c r="D45">
        <v>100</v>
      </c>
      <c r="E45">
        <v>4143</v>
      </c>
      <c r="F45" t="s">
        <v>18</v>
      </c>
      <c r="G45">
        <v>100</v>
      </c>
      <c r="H45">
        <v>4187</v>
      </c>
      <c r="I45" s="106">
        <f t="shared" si="1"/>
        <v>1</v>
      </c>
      <c r="J45" s="106">
        <f t="shared" si="2"/>
        <v>1.0106203234371229</v>
      </c>
    </row>
    <row r="46" spans="1:10" x14ac:dyDescent="0.3">
      <c r="A46" t="s">
        <v>621</v>
      </c>
      <c r="B46" t="s">
        <v>622</v>
      </c>
      <c r="C46" t="s">
        <v>623</v>
      </c>
      <c r="D46">
        <v>99.4</v>
      </c>
      <c r="E46">
        <v>6727</v>
      </c>
      <c r="F46" t="s">
        <v>13</v>
      </c>
      <c r="G46">
        <v>99.9</v>
      </c>
      <c r="H46">
        <v>6860</v>
      </c>
      <c r="I46" s="106">
        <f t="shared" si="1"/>
        <v>1.0050301810865192</v>
      </c>
      <c r="J46" s="106">
        <f t="shared" si="2"/>
        <v>1.0197710718002082</v>
      </c>
    </row>
    <row r="47" spans="1:10" x14ac:dyDescent="0.3">
      <c r="A47" t="s">
        <v>507</v>
      </c>
      <c r="B47" t="s">
        <v>508</v>
      </c>
      <c r="C47" t="s">
        <v>509</v>
      </c>
      <c r="D47">
        <v>95.3</v>
      </c>
      <c r="E47">
        <v>7001</v>
      </c>
      <c r="F47" t="s">
        <v>13</v>
      </c>
      <c r="G47">
        <v>83</v>
      </c>
      <c r="H47">
        <v>7002</v>
      </c>
      <c r="I47" s="106">
        <f t="shared" si="1"/>
        <v>0.8709338929695698</v>
      </c>
      <c r="J47" s="106">
        <f t="shared" si="2"/>
        <v>1.0001428367376088</v>
      </c>
    </row>
    <row r="48" spans="1:10" x14ac:dyDescent="0.3">
      <c r="A48" t="s">
        <v>504</v>
      </c>
      <c r="B48" t="s">
        <v>505</v>
      </c>
      <c r="C48" t="s">
        <v>506</v>
      </c>
      <c r="D48">
        <v>89.9</v>
      </c>
      <c r="E48">
        <v>7418</v>
      </c>
      <c r="F48" t="s">
        <v>13</v>
      </c>
      <c r="G48">
        <v>90</v>
      </c>
      <c r="H48">
        <v>7417</v>
      </c>
      <c r="I48" s="106">
        <f t="shared" si="1"/>
        <v>1.0011123470522802</v>
      </c>
      <c r="J48" s="106">
        <f t="shared" si="2"/>
        <v>0.99986519277433272</v>
      </c>
    </row>
    <row r="49" spans="1:10" x14ac:dyDescent="0.3">
      <c r="A49" t="s">
        <v>417</v>
      </c>
      <c r="B49" t="s">
        <v>418</v>
      </c>
      <c r="C49" t="s">
        <v>419</v>
      </c>
      <c r="D49">
        <v>100</v>
      </c>
      <c r="E49">
        <v>15033</v>
      </c>
      <c r="F49" t="s">
        <v>18</v>
      </c>
      <c r="G49">
        <v>100</v>
      </c>
      <c r="H49">
        <v>15032</v>
      </c>
      <c r="I49" s="106">
        <f t="shared" si="1"/>
        <v>1</v>
      </c>
      <c r="J49" s="106">
        <f t="shared" si="2"/>
        <v>0.99993347967804169</v>
      </c>
    </row>
    <row r="50" spans="1:10" x14ac:dyDescent="0.3">
      <c r="A50" t="s">
        <v>408</v>
      </c>
      <c r="B50" t="s">
        <v>409</v>
      </c>
      <c r="C50" t="s">
        <v>410</v>
      </c>
      <c r="D50">
        <v>99.7</v>
      </c>
      <c r="E50">
        <v>7647</v>
      </c>
      <c r="F50" t="s">
        <v>13</v>
      </c>
      <c r="G50">
        <v>98.6</v>
      </c>
      <c r="H50">
        <v>7707</v>
      </c>
      <c r="I50" s="106">
        <f t="shared" si="1"/>
        <v>0.98896690070210624</v>
      </c>
      <c r="J50" s="106">
        <f t="shared" si="2"/>
        <v>1.0078462142016478</v>
      </c>
    </row>
    <row r="51" spans="1:10" x14ac:dyDescent="0.3">
      <c r="A51" t="s">
        <v>543</v>
      </c>
      <c r="B51" t="s">
        <v>544</v>
      </c>
      <c r="C51" t="s">
        <v>545</v>
      </c>
      <c r="D51">
        <v>66</v>
      </c>
      <c r="E51">
        <v>10948</v>
      </c>
      <c r="F51" t="s">
        <v>13</v>
      </c>
      <c r="G51">
        <v>64.5</v>
      </c>
      <c r="H51">
        <v>10947</v>
      </c>
      <c r="I51" s="106">
        <f t="shared" si="1"/>
        <v>0.97727272727272729</v>
      </c>
      <c r="J51" s="106">
        <f t="shared" si="2"/>
        <v>0.99990865911582028</v>
      </c>
    </row>
    <row r="52" spans="1:10" x14ac:dyDescent="0.3">
      <c r="A52" t="s">
        <v>666</v>
      </c>
      <c r="B52" t="s">
        <v>667</v>
      </c>
      <c r="C52" t="s">
        <v>668</v>
      </c>
      <c r="D52">
        <v>57.6</v>
      </c>
      <c r="E52">
        <v>11940</v>
      </c>
      <c r="F52" t="s">
        <v>13</v>
      </c>
      <c r="G52">
        <v>57.3</v>
      </c>
      <c r="H52">
        <v>11943</v>
      </c>
      <c r="I52" s="106">
        <f t="shared" si="1"/>
        <v>0.99479166666666663</v>
      </c>
      <c r="J52" s="106">
        <f t="shared" si="2"/>
        <v>1.000251256281407</v>
      </c>
    </row>
    <row r="53" spans="1:10" x14ac:dyDescent="0.3">
      <c r="A53" t="s">
        <v>567</v>
      </c>
      <c r="B53" t="s">
        <v>568</v>
      </c>
      <c r="C53" t="s">
        <v>569</v>
      </c>
      <c r="D53">
        <v>99</v>
      </c>
      <c r="E53">
        <v>7742</v>
      </c>
      <c r="F53" t="s">
        <v>13</v>
      </c>
      <c r="G53">
        <v>99.1</v>
      </c>
      <c r="H53">
        <v>7743</v>
      </c>
      <c r="I53" s="106">
        <f t="shared" si="1"/>
        <v>1.0010101010101009</v>
      </c>
      <c r="J53" s="106">
        <f t="shared" si="2"/>
        <v>1.0001291655902866</v>
      </c>
    </row>
    <row r="54" spans="1:10" x14ac:dyDescent="0.3">
      <c r="A54" t="s">
        <v>612</v>
      </c>
      <c r="B54" t="s">
        <v>613</v>
      </c>
      <c r="C54" t="s">
        <v>614</v>
      </c>
      <c r="D54">
        <v>86.1</v>
      </c>
      <c r="E54">
        <v>9627</v>
      </c>
      <c r="F54" t="s">
        <v>13</v>
      </c>
      <c r="G54">
        <v>92.1</v>
      </c>
      <c r="H54">
        <v>9627</v>
      </c>
      <c r="I54" s="106">
        <f t="shared" si="1"/>
        <v>1.0696864111498259</v>
      </c>
      <c r="J54" s="106">
        <f t="shared" si="2"/>
        <v>1</v>
      </c>
    </row>
    <row r="55" spans="1:10" x14ac:dyDescent="0.3">
      <c r="A55" t="s">
        <v>594</v>
      </c>
      <c r="B55" t="s">
        <v>595</v>
      </c>
      <c r="C55" t="s">
        <v>596</v>
      </c>
      <c r="D55">
        <v>65</v>
      </c>
      <c r="E55">
        <v>14325</v>
      </c>
      <c r="F55" t="s">
        <v>18</v>
      </c>
      <c r="G55">
        <v>61</v>
      </c>
      <c r="H55">
        <v>14328</v>
      </c>
      <c r="I55" s="106">
        <f t="shared" si="1"/>
        <v>0.93846153846153846</v>
      </c>
      <c r="J55" s="106">
        <f t="shared" si="2"/>
        <v>1.0002094240837696</v>
      </c>
    </row>
    <row r="56" spans="1:10" x14ac:dyDescent="0.3">
      <c r="A56" t="s">
        <v>483</v>
      </c>
      <c r="B56" t="s">
        <v>484</v>
      </c>
      <c r="C56" t="s">
        <v>485</v>
      </c>
      <c r="D56">
        <v>90.7</v>
      </c>
      <c r="E56">
        <v>9583</v>
      </c>
      <c r="F56" t="s">
        <v>13</v>
      </c>
      <c r="G56">
        <v>87.6</v>
      </c>
      <c r="H56">
        <v>9583</v>
      </c>
      <c r="I56" s="106">
        <f t="shared" si="1"/>
        <v>0.96582138919514871</v>
      </c>
      <c r="J56" s="106">
        <f t="shared" si="2"/>
        <v>1</v>
      </c>
    </row>
    <row r="57" spans="1:10" x14ac:dyDescent="0.3">
      <c r="A57" t="s">
        <v>429</v>
      </c>
      <c r="B57" t="s">
        <v>430</v>
      </c>
      <c r="C57" t="s">
        <v>431</v>
      </c>
      <c r="D57">
        <v>89</v>
      </c>
      <c r="E57">
        <v>9178</v>
      </c>
      <c r="F57" t="s">
        <v>13</v>
      </c>
      <c r="G57">
        <v>81.099999999999994</v>
      </c>
      <c r="H57">
        <v>9180</v>
      </c>
      <c r="I57" s="106">
        <f t="shared" si="1"/>
        <v>0.91123595505617971</v>
      </c>
      <c r="J57" s="106">
        <f t="shared" si="2"/>
        <v>1.0002179123992154</v>
      </c>
    </row>
    <row r="58" spans="1:10" x14ac:dyDescent="0.3">
      <c r="A58" t="s">
        <v>573</v>
      </c>
      <c r="B58" t="s">
        <v>574</v>
      </c>
      <c r="C58" t="s">
        <v>575</v>
      </c>
      <c r="D58">
        <v>97.8</v>
      </c>
      <c r="E58">
        <v>7690</v>
      </c>
      <c r="F58" t="s">
        <v>13</v>
      </c>
      <c r="G58">
        <v>93.3</v>
      </c>
      <c r="H58">
        <v>7687</v>
      </c>
      <c r="I58" s="106">
        <f t="shared" si="1"/>
        <v>0.95398773006134974</v>
      </c>
      <c r="J58" s="106">
        <f t="shared" si="2"/>
        <v>0.99960988296488951</v>
      </c>
    </row>
    <row r="59" spans="1:10" x14ac:dyDescent="0.3">
      <c r="A59" t="s">
        <v>681</v>
      </c>
      <c r="B59" t="s">
        <v>682</v>
      </c>
      <c r="C59" t="s">
        <v>683</v>
      </c>
      <c r="D59">
        <v>100</v>
      </c>
      <c r="E59">
        <v>17232</v>
      </c>
      <c r="F59" t="s">
        <v>13</v>
      </c>
      <c r="G59">
        <v>100</v>
      </c>
      <c r="H59">
        <v>17287</v>
      </c>
      <c r="I59" s="106">
        <f t="shared" si="1"/>
        <v>1</v>
      </c>
      <c r="J59" s="106">
        <f t="shared" si="2"/>
        <v>1.0031917363045497</v>
      </c>
    </row>
    <row r="60" spans="1:10" x14ac:dyDescent="0.3">
      <c r="A60" t="s">
        <v>432</v>
      </c>
      <c r="B60" t="s">
        <v>433</v>
      </c>
      <c r="C60" t="s">
        <v>434</v>
      </c>
      <c r="D60">
        <v>76.2</v>
      </c>
      <c r="E60">
        <v>14998</v>
      </c>
      <c r="F60" t="s">
        <v>13</v>
      </c>
      <c r="G60">
        <v>88.7</v>
      </c>
      <c r="H60">
        <v>14997</v>
      </c>
      <c r="I60" s="106">
        <f t="shared" si="1"/>
        <v>1.1640419947506562</v>
      </c>
      <c r="J60" s="106">
        <f t="shared" si="2"/>
        <v>0.99993332444325911</v>
      </c>
    </row>
    <row r="61" spans="1:10" x14ac:dyDescent="0.3">
      <c r="A61" t="s">
        <v>402</v>
      </c>
      <c r="B61" t="s">
        <v>403</v>
      </c>
      <c r="C61" t="s">
        <v>404</v>
      </c>
      <c r="D61">
        <v>99.5</v>
      </c>
      <c r="E61">
        <v>8082</v>
      </c>
      <c r="F61" t="s">
        <v>13</v>
      </c>
      <c r="G61">
        <v>96.1</v>
      </c>
      <c r="H61">
        <v>8077</v>
      </c>
      <c r="I61" s="106">
        <f t="shared" si="1"/>
        <v>0.9658291457286432</v>
      </c>
      <c r="J61" s="106">
        <f t="shared" si="2"/>
        <v>0.99938134125216527</v>
      </c>
    </row>
    <row r="62" spans="1:10" x14ac:dyDescent="0.3">
      <c r="A62" t="s">
        <v>426</v>
      </c>
      <c r="B62" t="s">
        <v>427</v>
      </c>
      <c r="C62" t="s">
        <v>428</v>
      </c>
      <c r="D62">
        <v>93</v>
      </c>
      <c r="E62">
        <v>8218</v>
      </c>
      <c r="F62" t="s">
        <v>13</v>
      </c>
      <c r="G62">
        <v>96.8</v>
      </c>
      <c r="H62">
        <v>8211</v>
      </c>
      <c r="I62" s="106">
        <f t="shared" si="1"/>
        <v>1.0408602150537634</v>
      </c>
      <c r="J62" s="106">
        <f t="shared" si="2"/>
        <v>0.99914821124361164</v>
      </c>
    </row>
    <row r="63" spans="1:10" x14ac:dyDescent="0.3">
      <c r="A63" t="s">
        <v>420</v>
      </c>
      <c r="B63" t="s">
        <v>421</v>
      </c>
      <c r="C63" t="s">
        <v>422</v>
      </c>
      <c r="D63">
        <v>71.900000000000006</v>
      </c>
      <c r="E63">
        <v>8889</v>
      </c>
      <c r="F63" t="s">
        <v>13</v>
      </c>
      <c r="G63">
        <v>71.900000000000006</v>
      </c>
      <c r="H63">
        <v>8889</v>
      </c>
      <c r="I63" s="106">
        <f t="shared" si="1"/>
        <v>1</v>
      </c>
      <c r="J63" s="106">
        <f t="shared" si="2"/>
        <v>1</v>
      </c>
    </row>
    <row r="64" spans="1:10" x14ac:dyDescent="0.3">
      <c r="A64" t="s">
        <v>636</v>
      </c>
      <c r="B64" t="s">
        <v>637</v>
      </c>
      <c r="C64" t="s">
        <v>638</v>
      </c>
      <c r="D64">
        <v>55.4</v>
      </c>
      <c r="E64">
        <v>14983</v>
      </c>
      <c r="F64" t="s">
        <v>13</v>
      </c>
      <c r="G64">
        <v>55.8</v>
      </c>
      <c r="H64">
        <v>14984</v>
      </c>
      <c r="I64" s="106">
        <f t="shared" si="1"/>
        <v>1.0072202166064981</v>
      </c>
      <c r="J64" s="106">
        <f t="shared" si="2"/>
        <v>1.000066742307949</v>
      </c>
    </row>
    <row r="65" spans="1:10" x14ac:dyDescent="0.3">
      <c r="A65" t="s">
        <v>588</v>
      </c>
      <c r="B65" t="s">
        <v>589</v>
      </c>
      <c r="C65" t="s">
        <v>590</v>
      </c>
      <c r="D65">
        <v>55.09</v>
      </c>
      <c r="E65">
        <v>14206</v>
      </c>
      <c r="F65" t="s">
        <v>13</v>
      </c>
      <c r="G65">
        <v>57.5</v>
      </c>
      <c r="H65">
        <v>14206</v>
      </c>
      <c r="I65" s="106">
        <f t="shared" si="1"/>
        <v>1.0437465964784898</v>
      </c>
      <c r="J65" s="106">
        <f t="shared" si="2"/>
        <v>1</v>
      </c>
    </row>
    <row r="66" spans="1:10" x14ac:dyDescent="0.3">
      <c r="A66" t="s">
        <v>405</v>
      </c>
      <c r="B66" t="s">
        <v>406</v>
      </c>
      <c r="C66" t="s">
        <v>407</v>
      </c>
      <c r="D66">
        <v>88.94</v>
      </c>
      <c r="E66">
        <v>8381</v>
      </c>
      <c r="F66" t="s">
        <v>13</v>
      </c>
      <c r="G66">
        <v>99.6</v>
      </c>
      <c r="H66">
        <v>8380</v>
      </c>
      <c r="I66" s="106">
        <f t="shared" si="1"/>
        <v>1.1198560827524173</v>
      </c>
      <c r="J66" s="106">
        <f t="shared" si="2"/>
        <v>0.99988068249612216</v>
      </c>
    </row>
    <row r="67" spans="1:10" x14ac:dyDescent="0.3">
      <c r="A67" t="s">
        <v>495</v>
      </c>
      <c r="B67" t="s">
        <v>496</v>
      </c>
      <c r="C67" t="s">
        <v>497</v>
      </c>
      <c r="D67">
        <v>91.7</v>
      </c>
      <c r="E67">
        <v>8734</v>
      </c>
      <c r="F67" t="s">
        <v>13</v>
      </c>
      <c r="G67">
        <v>87.4</v>
      </c>
      <c r="H67">
        <v>8734</v>
      </c>
      <c r="I67" s="106">
        <f t="shared" ref="I67:I101" si="3">G67/D67</f>
        <v>0.95310796074154858</v>
      </c>
      <c r="J67" s="106">
        <f t="shared" si="2"/>
        <v>1</v>
      </c>
    </row>
    <row r="68" spans="1:10" x14ac:dyDescent="0.3">
      <c r="A68" t="s">
        <v>423</v>
      </c>
      <c r="B68" t="s">
        <v>424</v>
      </c>
      <c r="C68" t="s">
        <v>425</v>
      </c>
      <c r="D68">
        <v>100</v>
      </c>
      <c r="E68">
        <v>14194</v>
      </c>
      <c r="F68" t="s">
        <v>13</v>
      </c>
      <c r="G68">
        <v>100</v>
      </c>
      <c r="H68">
        <v>14394</v>
      </c>
      <c r="I68" s="106">
        <f t="shared" si="3"/>
        <v>1</v>
      </c>
      <c r="J68" s="106">
        <f t="shared" si="2"/>
        <v>1.0140904607580667</v>
      </c>
    </row>
    <row r="69" spans="1:10" x14ac:dyDescent="0.3">
      <c r="A69" t="s">
        <v>384</v>
      </c>
      <c r="B69" t="s">
        <v>385</v>
      </c>
      <c r="C69" t="s">
        <v>386</v>
      </c>
      <c r="D69">
        <v>99.4</v>
      </c>
      <c r="E69">
        <v>6465</v>
      </c>
      <c r="F69" t="s">
        <v>13</v>
      </c>
      <c r="G69">
        <v>99.7</v>
      </c>
      <c r="H69">
        <v>6431</v>
      </c>
      <c r="I69" s="106">
        <f t="shared" si="3"/>
        <v>1.0030181086519114</v>
      </c>
      <c r="J69" s="106">
        <f t="shared" si="2"/>
        <v>0.99474091260634179</v>
      </c>
    </row>
    <row r="70" spans="1:10" x14ac:dyDescent="0.3">
      <c r="A70" t="s">
        <v>600</v>
      </c>
      <c r="B70" t="s">
        <v>601</v>
      </c>
      <c r="C70" t="s">
        <v>602</v>
      </c>
      <c r="D70">
        <v>69.5</v>
      </c>
      <c r="E70">
        <v>11299</v>
      </c>
      <c r="F70" t="s">
        <v>13</v>
      </c>
      <c r="G70">
        <v>77</v>
      </c>
      <c r="H70">
        <v>11300</v>
      </c>
      <c r="I70" s="106">
        <f t="shared" si="3"/>
        <v>1.1079136690647482</v>
      </c>
      <c r="J70" s="106">
        <f t="shared" si="2"/>
        <v>1.0000885034073812</v>
      </c>
    </row>
    <row r="71" spans="1:10" x14ac:dyDescent="0.3">
      <c r="A71" t="s">
        <v>513</v>
      </c>
      <c r="B71" t="s">
        <v>514</v>
      </c>
      <c r="C71" t="s">
        <v>515</v>
      </c>
      <c r="D71">
        <v>62.5</v>
      </c>
      <c r="E71">
        <v>18643</v>
      </c>
      <c r="F71" t="s">
        <v>13</v>
      </c>
      <c r="G71">
        <v>72.2</v>
      </c>
      <c r="H71">
        <v>18642</v>
      </c>
      <c r="I71" s="106">
        <f t="shared" si="3"/>
        <v>1.1552</v>
      </c>
      <c r="J71" s="106">
        <f t="shared" si="2"/>
        <v>0.99994636056428687</v>
      </c>
    </row>
    <row r="72" spans="1:10" x14ac:dyDescent="0.3">
      <c r="A72" t="s">
        <v>441</v>
      </c>
      <c r="B72" t="s">
        <v>442</v>
      </c>
      <c r="C72" t="s">
        <v>443</v>
      </c>
      <c r="D72">
        <v>97.1</v>
      </c>
      <c r="E72">
        <v>7230</v>
      </c>
      <c r="F72" t="s">
        <v>13</v>
      </c>
      <c r="G72">
        <v>99.5</v>
      </c>
      <c r="H72">
        <v>7271</v>
      </c>
      <c r="I72" s="106">
        <f t="shared" si="3"/>
        <v>1.0247167868177138</v>
      </c>
      <c r="J72" s="106">
        <f t="shared" si="2"/>
        <v>1.00567081604426</v>
      </c>
    </row>
    <row r="73" spans="1:10" x14ac:dyDescent="0.3">
      <c r="A73" t="s">
        <v>525</v>
      </c>
      <c r="B73" t="s">
        <v>526</v>
      </c>
      <c r="C73" t="s">
        <v>527</v>
      </c>
      <c r="D73">
        <v>98.4</v>
      </c>
      <c r="E73">
        <v>8820</v>
      </c>
      <c r="F73" t="s">
        <v>13</v>
      </c>
      <c r="G73">
        <v>94.9</v>
      </c>
      <c r="H73">
        <v>8747</v>
      </c>
      <c r="I73" s="106">
        <f t="shared" si="3"/>
        <v>0.96443089430894313</v>
      </c>
      <c r="J73" s="106">
        <f t="shared" si="2"/>
        <v>0.99172335600907024</v>
      </c>
    </row>
    <row r="74" spans="1:10" x14ac:dyDescent="0.3">
      <c r="A74" t="s">
        <v>555</v>
      </c>
      <c r="B74" t="s">
        <v>556</v>
      </c>
      <c r="C74" t="s">
        <v>557</v>
      </c>
      <c r="D74">
        <v>95.6</v>
      </c>
      <c r="E74">
        <v>9288</v>
      </c>
      <c r="F74" t="s">
        <v>13</v>
      </c>
      <c r="G74">
        <v>94.2</v>
      </c>
      <c r="H74">
        <v>9253</v>
      </c>
      <c r="I74" s="106">
        <f t="shared" si="3"/>
        <v>0.9853556485355649</v>
      </c>
      <c r="J74" s="106">
        <f t="shared" si="2"/>
        <v>0.9962316968130922</v>
      </c>
    </row>
    <row r="75" spans="1:10" x14ac:dyDescent="0.3">
      <c r="A75" t="s">
        <v>414</v>
      </c>
      <c r="B75" t="s">
        <v>415</v>
      </c>
      <c r="C75" t="s">
        <v>416</v>
      </c>
      <c r="D75">
        <v>99.8</v>
      </c>
      <c r="E75">
        <v>6949</v>
      </c>
      <c r="F75" t="s">
        <v>13</v>
      </c>
      <c r="G75">
        <v>98.8</v>
      </c>
      <c r="H75">
        <v>7049</v>
      </c>
      <c r="I75" s="106">
        <f t="shared" si="3"/>
        <v>0.98997995991983967</v>
      </c>
      <c r="J75" s="106">
        <f t="shared" si="2"/>
        <v>1.014390559792776</v>
      </c>
    </row>
    <row r="76" spans="1:10" x14ac:dyDescent="0.3">
      <c r="A76" t="s">
        <v>516</v>
      </c>
      <c r="B76" t="s">
        <v>517</v>
      </c>
      <c r="C76" t="s">
        <v>518</v>
      </c>
      <c r="D76">
        <v>96.7</v>
      </c>
      <c r="E76">
        <v>8445</v>
      </c>
      <c r="F76" t="s">
        <v>13</v>
      </c>
      <c r="G76">
        <v>88.4</v>
      </c>
      <c r="H76">
        <v>8451</v>
      </c>
      <c r="I76" s="106">
        <f t="shared" si="3"/>
        <v>0.91416752843846949</v>
      </c>
      <c r="J76" s="106">
        <f t="shared" si="2"/>
        <v>1.0007104795737123</v>
      </c>
    </row>
    <row r="77" spans="1:10" x14ac:dyDescent="0.3">
      <c r="A77" t="s">
        <v>531</v>
      </c>
      <c r="B77" t="s">
        <v>532</v>
      </c>
      <c r="C77" t="s">
        <v>533</v>
      </c>
      <c r="D77">
        <v>93.7</v>
      </c>
      <c r="E77">
        <v>7279</v>
      </c>
      <c r="F77" t="s">
        <v>13</v>
      </c>
      <c r="G77">
        <v>86.1</v>
      </c>
      <c r="H77">
        <v>7443</v>
      </c>
      <c r="I77" s="106">
        <f t="shared" si="3"/>
        <v>0.91889007470651007</v>
      </c>
      <c r="J77" s="106">
        <f t="shared" si="2"/>
        <v>1.02253056738563</v>
      </c>
    </row>
    <row r="78" spans="1:10" x14ac:dyDescent="0.3">
      <c r="A78" t="s">
        <v>558</v>
      </c>
      <c r="B78" t="s">
        <v>559</v>
      </c>
      <c r="C78" t="s">
        <v>560</v>
      </c>
      <c r="D78">
        <v>78.3</v>
      </c>
      <c r="E78">
        <v>14761</v>
      </c>
      <c r="F78" t="s">
        <v>13</v>
      </c>
      <c r="G78">
        <v>72.2</v>
      </c>
      <c r="H78">
        <v>14760</v>
      </c>
      <c r="I78" s="106">
        <f t="shared" si="3"/>
        <v>0.92209450830140494</v>
      </c>
      <c r="J78" s="106">
        <f t="shared" si="2"/>
        <v>0.99993225391233653</v>
      </c>
    </row>
    <row r="79" spans="1:10" x14ac:dyDescent="0.3">
      <c r="A79" t="s">
        <v>501</v>
      </c>
      <c r="B79" t="s">
        <v>502</v>
      </c>
      <c r="C79" t="s">
        <v>503</v>
      </c>
      <c r="D79">
        <v>100</v>
      </c>
      <c r="E79">
        <v>14716</v>
      </c>
      <c r="F79" t="s">
        <v>18</v>
      </c>
      <c r="G79">
        <v>100</v>
      </c>
      <c r="H79">
        <v>14754</v>
      </c>
      <c r="I79" s="106">
        <f t="shared" si="3"/>
        <v>1</v>
      </c>
      <c r="J79" s="106">
        <f t="shared" si="2"/>
        <v>1.0025822234302799</v>
      </c>
    </row>
    <row r="80" spans="1:10" x14ac:dyDescent="0.3">
      <c r="A80" t="s">
        <v>474</v>
      </c>
      <c r="B80" t="s">
        <v>475</v>
      </c>
      <c r="C80" t="s">
        <v>476</v>
      </c>
      <c r="D80">
        <v>93</v>
      </c>
      <c r="E80">
        <v>14246</v>
      </c>
      <c r="F80" t="s">
        <v>13</v>
      </c>
      <c r="G80">
        <v>95.3</v>
      </c>
      <c r="H80">
        <v>14234</v>
      </c>
      <c r="I80" s="106">
        <f t="shared" si="3"/>
        <v>1.0247311827956989</v>
      </c>
      <c r="J80" s="106">
        <f t="shared" si="2"/>
        <v>0.99915765829004632</v>
      </c>
    </row>
    <row r="81" spans="1:10" x14ac:dyDescent="0.3">
      <c r="A81" t="s">
        <v>522</v>
      </c>
      <c r="B81" t="s">
        <v>523</v>
      </c>
      <c r="C81" t="s">
        <v>524</v>
      </c>
      <c r="D81">
        <v>68.400000000000006</v>
      </c>
      <c r="E81">
        <v>11067</v>
      </c>
      <c r="F81" t="s">
        <v>13</v>
      </c>
      <c r="G81">
        <v>70.5</v>
      </c>
      <c r="H81">
        <v>11025</v>
      </c>
      <c r="I81" s="106">
        <f t="shared" si="3"/>
        <v>1.0307017543859649</v>
      </c>
      <c r="J81" s="106">
        <f t="shared" si="2"/>
        <v>0.99620493358633777</v>
      </c>
    </row>
    <row r="82" spans="1:10" x14ac:dyDescent="0.3">
      <c r="A82" t="s">
        <v>450</v>
      </c>
      <c r="B82" t="s">
        <v>451</v>
      </c>
      <c r="C82" t="s">
        <v>452</v>
      </c>
      <c r="D82">
        <v>99.6</v>
      </c>
      <c r="E82">
        <v>10000</v>
      </c>
      <c r="F82" t="s">
        <v>13</v>
      </c>
      <c r="G82">
        <v>88</v>
      </c>
      <c r="H82">
        <v>10002</v>
      </c>
      <c r="I82" s="106">
        <f t="shared" si="3"/>
        <v>0.88353413654618473</v>
      </c>
      <c r="J82" s="106">
        <f t="shared" si="2"/>
        <v>1.0002</v>
      </c>
    </row>
    <row r="83" spans="1:10" x14ac:dyDescent="0.3">
      <c r="A83" t="s">
        <v>477</v>
      </c>
      <c r="B83" t="s">
        <v>478</v>
      </c>
      <c r="C83" t="s">
        <v>479</v>
      </c>
      <c r="D83">
        <v>97.4</v>
      </c>
      <c r="E83">
        <v>9170</v>
      </c>
      <c r="F83" t="s">
        <v>13</v>
      </c>
      <c r="G83">
        <v>84.7</v>
      </c>
      <c r="H83">
        <v>9185</v>
      </c>
      <c r="I83" s="106">
        <f t="shared" si="3"/>
        <v>0.8696098562628336</v>
      </c>
      <c r="J83" s="106">
        <f t="shared" si="2"/>
        <v>1.0016357688113413</v>
      </c>
    </row>
    <row r="84" spans="1:10" x14ac:dyDescent="0.3">
      <c r="A84" t="s">
        <v>540</v>
      </c>
      <c r="B84" t="s">
        <v>541</v>
      </c>
      <c r="C84" t="s">
        <v>542</v>
      </c>
      <c r="D84">
        <v>92.7</v>
      </c>
      <c r="E84">
        <v>7320</v>
      </c>
      <c r="F84" t="s">
        <v>13</v>
      </c>
      <c r="G84">
        <v>93.8</v>
      </c>
      <c r="H84">
        <v>7348</v>
      </c>
      <c r="I84" s="106">
        <f t="shared" si="3"/>
        <v>1.0118662351672061</v>
      </c>
      <c r="J84" s="106">
        <f t="shared" si="2"/>
        <v>1.0038251366120219</v>
      </c>
    </row>
    <row r="85" spans="1:10" x14ac:dyDescent="0.3">
      <c r="A85" t="s">
        <v>672</v>
      </c>
      <c r="B85" t="s">
        <v>673</v>
      </c>
      <c r="C85" t="s">
        <v>674</v>
      </c>
      <c r="D85">
        <v>95.8</v>
      </c>
      <c r="E85">
        <v>8723</v>
      </c>
      <c r="F85" t="s">
        <v>13</v>
      </c>
      <c r="G85">
        <v>96.7</v>
      </c>
      <c r="H85">
        <v>9091</v>
      </c>
      <c r="I85" s="106">
        <f t="shared" si="3"/>
        <v>1.0093945720250523</v>
      </c>
      <c r="J85" s="106">
        <f t="shared" si="2"/>
        <v>1.0421873208758454</v>
      </c>
    </row>
    <row r="86" spans="1:10" x14ac:dyDescent="0.3">
      <c r="A86" t="s">
        <v>390</v>
      </c>
      <c r="B86" t="s">
        <v>391</v>
      </c>
      <c r="C86" t="s">
        <v>392</v>
      </c>
      <c r="D86">
        <v>90.4</v>
      </c>
      <c r="E86">
        <v>8807</v>
      </c>
      <c r="F86" t="s">
        <v>13</v>
      </c>
      <c r="G86">
        <v>98.9</v>
      </c>
      <c r="H86">
        <v>9118</v>
      </c>
      <c r="I86" s="106">
        <f t="shared" si="3"/>
        <v>1.0940265486725664</v>
      </c>
      <c r="J86" s="106">
        <f t="shared" si="2"/>
        <v>1.0353128193482457</v>
      </c>
    </row>
    <row r="87" spans="1:10" x14ac:dyDescent="0.3">
      <c r="A87" t="s">
        <v>570</v>
      </c>
      <c r="B87" t="s">
        <v>571</v>
      </c>
      <c r="C87" t="s">
        <v>572</v>
      </c>
      <c r="D87">
        <v>98.3</v>
      </c>
      <c r="E87">
        <v>7868</v>
      </c>
      <c r="F87" t="s">
        <v>13</v>
      </c>
      <c r="G87">
        <v>99.8</v>
      </c>
      <c r="H87">
        <v>7853</v>
      </c>
      <c r="I87" s="106">
        <f t="shared" si="3"/>
        <v>1.0152594099694812</v>
      </c>
      <c r="J87" s="106">
        <f t="shared" si="2"/>
        <v>0.99809354346720891</v>
      </c>
    </row>
    <row r="88" spans="1:10" x14ac:dyDescent="0.3">
      <c r="A88" t="s">
        <v>675</v>
      </c>
      <c r="B88" t="s">
        <v>676</v>
      </c>
      <c r="C88" t="s">
        <v>677</v>
      </c>
      <c r="D88">
        <v>97.12</v>
      </c>
      <c r="E88">
        <v>12670</v>
      </c>
      <c r="F88" t="s">
        <v>13</v>
      </c>
      <c r="G88">
        <v>97</v>
      </c>
      <c r="H88">
        <v>12508</v>
      </c>
      <c r="I88" s="106">
        <f t="shared" si="3"/>
        <v>0.99876441515650738</v>
      </c>
      <c r="J88" s="106">
        <f t="shared" si="2"/>
        <v>0.98721389108129443</v>
      </c>
    </row>
    <row r="89" spans="1:10" x14ac:dyDescent="0.3">
      <c r="A89" t="s">
        <v>579</v>
      </c>
      <c r="B89" t="s">
        <v>580</v>
      </c>
      <c r="C89" t="s">
        <v>581</v>
      </c>
      <c r="D89">
        <v>99.93</v>
      </c>
      <c r="E89">
        <v>8544</v>
      </c>
      <c r="F89" t="s">
        <v>13</v>
      </c>
      <c r="G89">
        <v>83.1</v>
      </c>
      <c r="H89">
        <v>8560</v>
      </c>
      <c r="I89" s="106">
        <f t="shared" si="3"/>
        <v>0.83158210747523253</v>
      </c>
      <c r="J89" s="106">
        <f t="shared" si="2"/>
        <v>1.0018726591760299</v>
      </c>
    </row>
    <row r="90" spans="1:10" x14ac:dyDescent="0.3">
      <c r="A90" t="s">
        <v>639</v>
      </c>
      <c r="B90" t="s">
        <v>640</v>
      </c>
      <c r="C90" t="s">
        <v>641</v>
      </c>
      <c r="D90">
        <v>100</v>
      </c>
      <c r="E90">
        <v>11385</v>
      </c>
      <c r="F90" t="s">
        <v>18</v>
      </c>
      <c r="G90">
        <v>100</v>
      </c>
      <c r="H90">
        <v>11375</v>
      </c>
      <c r="I90" s="106">
        <f t="shared" si="3"/>
        <v>1</v>
      </c>
      <c r="J90" s="106">
        <f t="shared" si="2"/>
        <v>0.99912165129556429</v>
      </c>
    </row>
    <row r="91" spans="1:10" x14ac:dyDescent="0.3">
      <c r="A91" t="s">
        <v>618</v>
      </c>
      <c r="B91" t="s">
        <v>619</v>
      </c>
      <c r="C91" t="s">
        <v>620</v>
      </c>
      <c r="D91">
        <v>94.15</v>
      </c>
      <c r="E91">
        <v>28376</v>
      </c>
      <c r="F91" t="s">
        <v>13</v>
      </c>
      <c r="G91">
        <v>86.5</v>
      </c>
      <c r="H91">
        <v>28347</v>
      </c>
      <c r="I91" s="106">
        <f t="shared" si="3"/>
        <v>0.91874668082846511</v>
      </c>
      <c r="J91" s="106">
        <f t="shared" si="2"/>
        <v>0.99897800958556526</v>
      </c>
    </row>
    <row r="92" spans="1:10" x14ac:dyDescent="0.3">
      <c r="A92" t="s">
        <v>585</v>
      </c>
      <c r="B92" t="s">
        <v>586</v>
      </c>
      <c r="C92" t="s">
        <v>587</v>
      </c>
      <c r="D92">
        <v>100</v>
      </c>
      <c r="E92">
        <v>8253</v>
      </c>
      <c r="F92" t="s">
        <v>13</v>
      </c>
      <c r="G92">
        <v>100</v>
      </c>
      <c r="H92">
        <v>8246</v>
      </c>
      <c r="I92" s="106">
        <f t="shared" si="3"/>
        <v>1</v>
      </c>
      <c r="J92" s="106">
        <f t="shared" si="2"/>
        <v>0.99915182357930454</v>
      </c>
    </row>
    <row r="93" spans="1:10" x14ac:dyDescent="0.3">
      <c r="A93" t="s">
        <v>615</v>
      </c>
      <c r="B93" t="s">
        <v>616</v>
      </c>
      <c r="C93" t="s">
        <v>617</v>
      </c>
      <c r="D93">
        <v>94.5</v>
      </c>
      <c r="E93">
        <v>6829</v>
      </c>
      <c r="F93" t="s">
        <v>13</v>
      </c>
      <c r="G93">
        <v>99.9</v>
      </c>
      <c r="H93">
        <v>6883</v>
      </c>
      <c r="I93" s="106">
        <f t="shared" si="3"/>
        <v>1.0571428571428572</v>
      </c>
      <c r="J93" s="106">
        <f t="shared" si="2"/>
        <v>1.007907453507102</v>
      </c>
    </row>
    <row r="94" spans="1:10" x14ac:dyDescent="0.3">
      <c r="A94" t="s">
        <v>447</v>
      </c>
      <c r="B94" t="s">
        <v>448</v>
      </c>
      <c r="C94" t="s">
        <v>449</v>
      </c>
      <c r="D94">
        <v>99.9</v>
      </c>
      <c r="E94">
        <v>13100</v>
      </c>
      <c r="F94" t="s">
        <v>13</v>
      </c>
      <c r="G94">
        <v>95.6</v>
      </c>
      <c r="H94">
        <v>13193</v>
      </c>
      <c r="I94" s="106">
        <f t="shared" si="3"/>
        <v>0.95695695695695682</v>
      </c>
      <c r="J94" s="106">
        <f t="shared" si="2"/>
        <v>1.0070992366412215</v>
      </c>
    </row>
    <row r="95" spans="1:10" x14ac:dyDescent="0.3">
      <c r="A95" t="s">
        <v>459</v>
      </c>
      <c r="B95" t="s">
        <v>460</v>
      </c>
      <c r="C95" s="117" t="s">
        <v>461</v>
      </c>
      <c r="D95">
        <v>95.8</v>
      </c>
      <c r="E95">
        <v>8533</v>
      </c>
      <c r="F95" t="s">
        <v>13</v>
      </c>
      <c r="G95">
        <v>98.5</v>
      </c>
      <c r="H95">
        <v>8586</v>
      </c>
      <c r="I95" s="106">
        <f t="shared" si="3"/>
        <v>1.0281837160751566</v>
      </c>
      <c r="J95" s="106">
        <f t="shared" si="2"/>
        <v>1.0062111801242235</v>
      </c>
    </row>
    <row r="96" spans="1:10" x14ac:dyDescent="0.3">
      <c r="A96" t="s">
        <v>657</v>
      </c>
      <c r="B96" t="s">
        <v>658</v>
      </c>
      <c r="C96" t="s">
        <v>659</v>
      </c>
      <c r="D96">
        <v>99.9</v>
      </c>
      <c r="E96">
        <v>13156</v>
      </c>
      <c r="F96" t="s">
        <v>13</v>
      </c>
      <c r="G96">
        <v>99.9</v>
      </c>
      <c r="H96">
        <v>13203</v>
      </c>
      <c r="I96" s="106">
        <f t="shared" si="3"/>
        <v>1</v>
      </c>
      <c r="J96" s="106">
        <f t="shared" si="2"/>
        <v>1.0035725144420797</v>
      </c>
    </row>
    <row r="97" spans="1:10" x14ac:dyDescent="0.3">
      <c r="A97" t="s">
        <v>654</v>
      </c>
      <c r="B97" t="s">
        <v>655</v>
      </c>
      <c r="C97" t="s">
        <v>656</v>
      </c>
      <c r="D97">
        <v>99.7</v>
      </c>
      <c r="E97">
        <v>8637</v>
      </c>
      <c r="F97" t="s">
        <v>13</v>
      </c>
      <c r="G97">
        <v>94.1</v>
      </c>
      <c r="H97">
        <v>8679</v>
      </c>
      <c r="I97" s="106">
        <f t="shared" si="3"/>
        <v>0.94383149448345027</v>
      </c>
      <c r="J97" s="106">
        <f t="shared" si="2"/>
        <v>1.0048627995831887</v>
      </c>
    </row>
    <row r="98" spans="1:10" x14ac:dyDescent="0.3">
      <c r="A98" t="s">
        <v>603</v>
      </c>
      <c r="B98" t="s">
        <v>604</v>
      </c>
      <c r="C98" t="s">
        <v>605</v>
      </c>
      <c r="D98">
        <v>100</v>
      </c>
      <c r="E98">
        <v>22880</v>
      </c>
      <c r="F98" t="s">
        <v>13</v>
      </c>
      <c r="G98">
        <v>100</v>
      </c>
      <c r="H98">
        <v>22816</v>
      </c>
      <c r="I98" s="106">
        <f t="shared" si="3"/>
        <v>1</v>
      </c>
      <c r="J98" s="106">
        <f t="shared" si="2"/>
        <v>0.99720279720279725</v>
      </c>
    </row>
    <row r="99" spans="1:10" x14ac:dyDescent="0.3">
      <c r="A99" t="s">
        <v>552</v>
      </c>
      <c r="B99" t="s">
        <v>553</v>
      </c>
      <c r="C99" t="s">
        <v>554</v>
      </c>
      <c r="D99">
        <v>99.6</v>
      </c>
      <c r="E99">
        <v>7923</v>
      </c>
      <c r="F99" t="s">
        <v>13</v>
      </c>
      <c r="G99">
        <v>96.6</v>
      </c>
      <c r="H99">
        <v>7921</v>
      </c>
      <c r="I99" s="106">
        <f t="shared" si="3"/>
        <v>0.96987951807228912</v>
      </c>
      <c r="J99" s="106">
        <f t="shared" si="2"/>
        <v>0.99974757036476081</v>
      </c>
    </row>
    <row r="100" spans="1:10" x14ac:dyDescent="0.3">
      <c r="A100" t="s">
        <v>648</v>
      </c>
      <c r="B100" t="s">
        <v>649</v>
      </c>
      <c r="C100" s="117" t="s">
        <v>650</v>
      </c>
      <c r="D100">
        <v>94.9</v>
      </c>
      <c r="E100">
        <v>11642</v>
      </c>
      <c r="F100" t="s">
        <v>13</v>
      </c>
      <c r="G100">
        <v>84.4</v>
      </c>
      <c r="H100">
        <v>11688</v>
      </c>
      <c r="I100" s="106">
        <f t="shared" si="3"/>
        <v>0.88935721812434143</v>
      </c>
      <c r="J100" s="106">
        <f t="shared" si="2"/>
        <v>1.0039512111321078</v>
      </c>
    </row>
    <row r="101" spans="1:10" x14ac:dyDescent="0.3">
      <c r="A101" t="s">
        <v>489</v>
      </c>
      <c r="B101" t="s">
        <v>490</v>
      </c>
      <c r="C101" t="s">
        <v>491</v>
      </c>
      <c r="D101">
        <v>80.8</v>
      </c>
      <c r="E101">
        <v>24589</v>
      </c>
      <c r="F101" t="s">
        <v>13</v>
      </c>
      <c r="G101">
        <v>89</v>
      </c>
      <c r="H101">
        <v>24935</v>
      </c>
      <c r="I101" s="106">
        <f t="shared" si="3"/>
        <v>1.1014851485148516</v>
      </c>
      <c r="J101" s="106">
        <f t="shared" si="2"/>
        <v>1.0140713327097484</v>
      </c>
    </row>
    <row r="102" spans="1:10" x14ac:dyDescent="0.3">
      <c r="H102" s="1" t="s">
        <v>2907</v>
      </c>
      <c r="I102" s="116">
        <f>AVERAGE(I2:I56)</f>
        <v>1.0072251734741531</v>
      </c>
      <c r="J102" s="116">
        <f>AVERAGE(J2:J55)</f>
        <v>1.0012134904093544</v>
      </c>
    </row>
  </sheetData>
  <hyperlinks>
    <hyperlink ref="C95" r:id="rId1" xr:uid="{10203322-D5B1-458C-BBA5-2A96EB3DB0CC}"/>
    <hyperlink ref="C100" r:id="rId2" xr:uid="{D34BFE85-2DE0-405F-A0C1-1F8A03BC46D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21EF-2F3C-42EA-B8FB-5456AD7161DB}">
  <dimension ref="D1:AN35"/>
  <sheetViews>
    <sheetView topLeftCell="V1" zoomScale="130" zoomScaleNormal="130" workbookViewId="0">
      <selection activeCell="AN2" sqref="AN2:AN30"/>
    </sheetView>
  </sheetViews>
  <sheetFormatPr defaultRowHeight="14.4" x14ac:dyDescent="0.3"/>
  <cols>
    <col min="4" max="4" width="13.109375" bestFit="1" customWidth="1"/>
    <col min="5" max="5" width="28" bestFit="1" customWidth="1"/>
    <col min="9" max="9" width="13.109375" bestFit="1" customWidth="1"/>
    <col min="17" max="17" width="13.109375" bestFit="1" customWidth="1"/>
    <col min="18" max="18" width="29.33203125" bestFit="1" customWidth="1"/>
    <col min="24" max="24" width="11" bestFit="1" customWidth="1"/>
    <col min="30" max="30" width="13.109375" bestFit="1" customWidth="1"/>
    <col min="31" max="31" width="29.33203125" bestFit="1" customWidth="1"/>
    <col min="37" max="37" width="11" bestFit="1" customWidth="1"/>
  </cols>
  <sheetData>
    <row r="1" spans="4:40" x14ac:dyDescent="0.3">
      <c r="D1" s="122" t="s">
        <v>1881</v>
      </c>
      <c r="E1" s="122"/>
      <c r="F1" s="122"/>
      <c r="G1" s="122"/>
      <c r="H1" s="122"/>
      <c r="I1" s="122"/>
      <c r="J1" s="122"/>
      <c r="Q1" s="122" t="s">
        <v>1881</v>
      </c>
      <c r="R1" s="122"/>
      <c r="S1" s="122"/>
      <c r="T1" s="122"/>
      <c r="U1" s="122"/>
      <c r="V1" s="122"/>
      <c r="W1" s="122"/>
      <c r="AD1" s="122" t="s">
        <v>1889</v>
      </c>
      <c r="AE1" s="122"/>
      <c r="AF1" s="122"/>
      <c r="AG1" s="122"/>
      <c r="AH1" s="122"/>
      <c r="AI1" s="122"/>
      <c r="AJ1" s="122"/>
    </row>
    <row r="2" spans="4:40" x14ac:dyDescent="0.3">
      <c r="D2" s="1" t="s">
        <v>1878</v>
      </c>
      <c r="E2" s="1" t="s">
        <v>235</v>
      </c>
      <c r="F2" s="1" t="s">
        <v>1880</v>
      </c>
      <c r="G2" s="1"/>
      <c r="I2" s="1" t="s">
        <v>1878</v>
      </c>
      <c r="J2" t="s">
        <v>1879</v>
      </c>
      <c r="M2" t="s">
        <v>1176</v>
      </c>
      <c r="N2">
        <f>VLOOKUP(M2,$E$3:$F$31,2,0)</f>
        <v>20</v>
      </c>
      <c r="Q2" s="1" t="s">
        <v>1878</v>
      </c>
      <c r="R2" s="1" t="s">
        <v>235</v>
      </c>
      <c r="S2" s="1" t="s">
        <v>1880</v>
      </c>
      <c r="T2" s="1"/>
      <c r="V2" s="1" t="s">
        <v>1878</v>
      </c>
      <c r="W2" t="s">
        <v>1879</v>
      </c>
      <c r="Z2" t="s">
        <v>1176</v>
      </c>
      <c r="AA2">
        <f>VLOOKUP(Z2,$R$3:$T$31,2,0)</f>
        <v>15</v>
      </c>
      <c r="AD2" s="1" t="s">
        <v>1878</v>
      </c>
      <c r="AE2" s="1" t="s">
        <v>235</v>
      </c>
      <c r="AF2" s="1" t="s">
        <v>1880</v>
      </c>
      <c r="AG2" s="1"/>
      <c r="AI2" s="1" t="s">
        <v>1878</v>
      </c>
      <c r="AJ2" t="s">
        <v>1879</v>
      </c>
      <c r="AM2" t="s">
        <v>1176</v>
      </c>
      <c r="AN2">
        <f>VLOOKUP(AM2,$AE$3:$AG$31,2,0)</f>
        <v>10</v>
      </c>
    </row>
    <row r="3" spans="4:40" x14ac:dyDescent="0.3">
      <c r="D3" s="1" t="s">
        <v>1874</v>
      </c>
      <c r="E3" t="s">
        <v>1872</v>
      </c>
      <c r="F3" s="86">
        <v>25</v>
      </c>
      <c r="G3" s="106">
        <f>F3/$F$32</f>
        <v>0.13812154696132597</v>
      </c>
      <c r="I3" s="1" t="s">
        <v>1874</v>
      </c>
      <c r="J3" s="97">
        <f>SUMIF($D$3:$D$31,I3,$F$3:$F$31)</f>
        <v>50</v>
      </c>
      <c r="K3">
        <f>J3/$J$10</f>
        <v>0.27624309392265195</v>
      </c>
      <c r="M3" t="s">
        <v>1854</v>
      </c>
      <c r="N3">
        <f t="shared" ref="N3:N30" si="0">VLOOKUP(M3,$E$3:$F$31,2,0)</f>
        <v>1</v>
      </c>
      <c r="Q3" s="1" t="s">
        <v>1874</v>
      </c>
      <c r="R3" t="s">
        <v>1872</v>
      </c>
      <c r="S3" s="86">
        <v>0</v>
      </c>
      <c r="T3" s="106">
        <f>S3/$S$32</f>
        <v>0</v>
      </c>
      <c r="V3" s="1" t="s">
        <v>1874</v>
      </c>
      <c r="W3" s="97">
        <f>SUMIF($Q$3:$Q$31,V3,$S$3:$S$31)</f>
        <v>5</v>
      </c>
      <c r="X3" s="106">
        <f>W3/$S$32</f>
        <v>0.05</v>
      </c>
      <c r="Z3" t="s">
        <v>1854</v>
      </c>
      <c r="AA3">
        <f t="shared" ref="AA3:AA30" si="1">VLOOKUP(Z3,$R$3:$T$31,2,0)</f>
        <v>1</v>
      </c>
      <c r="AD3" s="1" t="s">
        <v>1874</v>
      </c>
      <c r="AE3" t="s">
        <v>1872</v>
      </c>
      <c r="AF3" s="86">
        <v>0</v>
      </c>
      <c r="AG3" s="106">
        <f>AF3/$S$32</f>
        <v>0</v>
      </c>
      <c r="AI3" s="1" t="s">
        <v>1874</v>
      </c>
      <c r="AJ3" s="97">
        <f>SUMIF($Q$3:$Q$31,AI3,$S$3:$S$31)</f>
        <v>5</v>
      </c>
      <c r="AK3" s="106">
        <f>AJ3/$S$32</f>
        <v>0.05</v>
      </c>
      <c r="AM3" t="s">
        <v>1854</v>
      </c>
      <c r="AN3">
        <f t="shared" ref="AN3:AN30" si="2">VLOOKUP(AM3,$AE$3:$AG$31,2,0)</f>
        <v>1</v>
      </c>
    </row>
    <row r="4" spans="4:40" x14ac:dyDescent="0.3">
      <c r="D4" s="1" t="s">
        <v>1874</v>
      </c>
      <c r="E4" t="s">
        <v>1873</v>
      </c>
      <c r="F4" s="86">
        <v>25</v>
      </c>
      <c r="G4" s="106">
        <f t="shared" ref="G4:G31" si="3">F4/$F$32</f>
        <v>0.13812154696132597</v>
      </c>
      <c r="I4" s="1" t="s">
        <v>1885</v>
      </c>
      <c r="J4" s="97">
        <f t="shared" ref="J4:J9" si="4">SUMIF($D$3:$D$31,I4,$F$3:$F$31)</f>
        <v>45</v>
      </c>
      <c r="K4">
        <f t="shared" ref="K4:K10" si="5">J4/$J$10</f>
        <v>0.24861878453038674</v>
      </c>
      <c r="M4" t="s">
        <v>1178</v>
      </c>
      <c r="N4">
        <f t="shared" si="0"/>
        <v>1</v>
      </c>
      <c r="Q4" s="1" t="s">
        <v>1874</v>
      </c>
      <c r="R4" t="s">
        <v>1873</v>
      </c>
      <c r="S4" s="86">
        <v>5</v>
      </c>
      <c r="T4" s="106">
        <f t="shared" ref="T4:T31" si="6">S4/$S$32</f>
        <v>0.05</v>
      </c>
      <c r="V4" s="1" t="s">
        <v>1885</v>
      </c>
      <c r="W4" s="97">
        <f t="shared" ref="W4:W9" si="7">SUMIF($Q$3:$Q$31,V4,$S$3:$S$31)</f>
        <v>10</v>
      </c>
      <c r="X4" s="106">
        <f t="shared" ref="X4:X10" si="8">W4/$S$32</f>
        <v>0.1</v>
      </c>
      <c r="Z4" t="s">
        <v>1178</v>
      </c>
      <c r="AA4">
        <f t="shared" si="1"/>
        <v>10</v>
      </c>
      <c r="AD4" s="1" t="s">
        <v>1874</v>
      </c>
      <c r="AE4" t="s">
        <v>1873</v>
      </c>
      <c r="AF4" s="86">
        <v>1</v>
      </c>
      <c r="AG4" s="106">
        <f t="shared" ref="AG4:AG31" si="9">AF4/$S$32</f>
        <v>0.01</v>
      </c>
      <c r="AI4" s="1" t="s">
        <v>1885</v>
      </c>
      <c r="AJ4" s="97">
        <f t="shared" ref="AJ4:AJ9" si="10">SUMIF($Q$3:$Q$31,AI4,$S$3:$S$31)</f>
        <v>10</v>
      </c>
      <c r="AK4" s="106">
        <f t="shared" ref="AK4:AK10" si="11">AJ4/$S$32</f>
        <v>0.1</v>
      </c>
      <c r="AM4" t="s">
        <v>1178</v>
      </c>
      <c r="AN4">
        <f t="shared" si="2"/>
        <v>10</v>
      </c>
    </row>
    <row r="5" spans="4:40" x14ac:dyDescent="0.3">
      <c r="D5" s="1" t="s">
        <v>1853</v>
      </c>
      <c r="E5" t="s">
        <v>1176</v>
      </c>
      <c r="F5" s="86">
        <v>20</v>
      </c>
      <c r="G5" s="106">
        <f t="shared" si="3"/>
        <v>0.11049723756906077</v>
      </c>
      <c r="H5" s="1"/>
      <c r="I5" s="1" t="s">
        <v>1853</v>
      </c>
      <c r="J5" s="97">
        <f t="shared" si="4"/>
        <v>21</v>
      </c>
      <c r="K5">
        <f t="shared" si="5"/>
        <v>0.11602209944751381</v>
      </c>
      <c r="M5" t="s">
        <v>1855</v>
      </c>
      <c r="N5">
        <f t="shared" si="0"/>
        <v>8</v>
      </c>
      <c r="Q5" s="1" t="s">
        <v>1853</v>
      </c>
      <c r="R5" t="s">
        <v>1176</v>
      </c>
      <c r="S5" s="86">
        <v>15</v>
      </c>
      <c r="T5" s="106">
        <f t="shared" si="6"/>
        <v>0.15</v>
      </c>
      <c r="U5" s="1"/>
      <c r="V5" s="1" t="s">
        <v>1853</v>
      </c>
      <c r="W5" s="97">
        <f t="shared" si="7"/>
        <v>16</v>
      </c>
      <c r="X5" s="106">
        <f t="shared" si="8"/>
        <v>0.16</v>
      </c>
      <c r="Z5" t="s">
        <v>1855</v>
      </c>
      <c r="AA5">
        <f t="shared" si="1"/>
        <v>9</v>
      </c>
      <c r="AD5" s="1" t="s">
        <v>1853</v>
      </c>
      <c r="AE5" t="s">
        <v>1176</v>
      </c>
      <c r="AF5" s="86">
        <v>10</v>
      </c>
      <c r="AG5" s="106">
        <f t="shared" si="9"/>
        <v>0.1</v>
      </c>
      <c r="AH5" s="1"/>
      <c r="AI5" s="1" t="s">
        <v>1853</v>
      </c>
      <c r="AJ5" s="97">
        <f t="shared" si="10"/>
        <v>16</v>
      </c>
      <c r="AK5" s="106">
        <f t="shared" si="11"/>
        <v>0.16</v>
      </c>
      <c r="AM5" t="s">
        <v>1855</v>
      </c>
      <c r="AN5">
        <f t="shared" si="2"/>
        <v>5</v>
      </c>
    </row>
    <row r="6" spans="4:40" x14ac:dyDescent="0.3">
      <c r="D6" s="1" t="s">
        <v>1885</v>
      </c>
      <c r="E6" t="s">
        <v>1871</v>
      </c>
      <c r="F6" s="86">
        <v>23</v>
      </c>
      <c r="G6" s="106">
        <f t="shared" si="3"/>
        <v>0.1270718232044199</v>
      </c>
      <c r="H6" s="1"/>
      <c r="I6" s="1" t="s">
        <v>1576</v>
      </c>
      <c r="J6" s="97">
        <f t="shared" si="4"/>
        <v>10</v>
      </c>
      <c r="K6">
        <f t="shared" si="5"/>
        <v>5.5248618784530384E-2</v>
      </c>
      <c r="M6" t="s">
        <v>1856</v>
      </c>
      <c r="N6">
        <f t="shared" si="0"/>
        <v>10</v>
      </c>
      <c r="Q6" s="1" t="s">
        <v>1885</v>
      </c>
      <c r="R6" t="s">
        <v>1871</v>
      </c>
      <c r="S6" s="86">
        <v>5</v>
      </c>
      <c r="T6" s="106">
        <f t="shared" si="6"/>
        <v>0.05</v>
      </c>
      <c r="U6" s="1"/>
      <c r="V6" s="1" t="s">
        <v>1576</v>
      </c>
      <c r="W6" s="97">
        <f t="shared" si="7"/>
        <v>13</v>
      </c>
      <c r="X6" s="106">
        <f t="shared" si="8"/>
        <v>0.13</v>
      </c>
      <c r="Z6" t="s">
        <v>1856</v>
      </c>
      <c r="AA6">
        <f t="shared" si="1"/>
        <v>12</v>
      </c>
      <c r="AD6" s="1" t="s">
        <v>1885</v>
      </c>
      <c r="AE6" t="s">
        <v>1871</v>
      </c>
      <c r="AF6" s="86">
        <v>10</v>
      </c>
      <c r="AG6" s="106">
        <f t="shared" si="9"/>
        <v>0.1</v>
      </c>
      <c r="AH6" s="1"/>
      <c r="AI6" s="1" t="s">
        <v>1576</v>
      </c>
      <c r="AJ6" s="97">
        <f t="shared" si="10"/>
        <v>13</v>
      </c>
      <c r="AK6" s="106">
        <f t="shared" si="11"/>
        <v>0.13</v>
      </c>
      <c r="AM6" t="s">
        <v>1856</v>
      </c>
      <c r="AN6">
        <f t="shared" si="2"/>
        <v>10</v>
      </c>
    </row>
    <row r="7" spans="4:40" x14ac:dyDescent="0.3">
      <c r="D7" s="1" t="s">
        <v>1853</v>
      </c>
      <c r="E7" t="s">
        <v>1854</v>
      </c>
      <c r="F7" s="86">
        <v>1</v>
      </c>
      <c r="G7" s="106">
        <f t="shared" si="3"/>
        <v>5.5248618784530384E-3</v>
      </c>
      <c r="H7" s="1"/>
      <c r="I7" s="1" t="s">
        <v>1875</v>
      </c>
      <c r="J7" s="97">
        <f t="shared" si="4"/>
        <v>22</v>
      </c>
      <c r="K7">
        <f t="shared" si="5"/>
        <v>0.12154696132596685</v>
      </c>
      <c r="M7" t="s">
        <v>1181</v>
      </c>
      <c r="N7">
        <f t="shared" si="0"/>
        <v>6</v>
      </c>
      <c r="Q7" s="1" t="s">
        <v>1853</v>
      </c>
      <c r="R7" t="s">
        <v>1854</v>
      </c>
      <c r="S7" s="86">
        <v>1</v>
      </c>
      <c r="T7" s="106">
        <f t="shared" si="6"/>
        <v>0.01</v>
      </c>
      <c r="U7" s="1"/>
      <c r="V7" s="1" t="s">
        <v>1875</v>
      </c>
      <c r="W7" s="97">
        <f t="shared" si="7"/>
        <v>22</v>
      </c>
      <c r="X7" s="106">
        <f t="shared" si="8"/>
        <v>0.22</v>
      </c>
      <c r="Z7" t="s">
        <v>1181</v>
      </c>
      <c r="AA7">
        <f t="shared" si="1"/>
        <v>5</v>
      </c>
      <c r="AD7" s="1" t="s">
        <v>1853</v>
      </c>
      <c r="AE7" t="s">
        <v>1854</v>
      </c>
      <c r="AF7" s="86">
        <v>1</v>
      </c>
      <c r="AG7" s="106">
        <f t="shared" si="9"/>
        <v>0.01</v>
      </c>
      <c r="AH7" s="1"/>
      <c r="AI7" s="1" t="s">
        <v>1875</v>
      </c>
      <c r="AJ7" s="97">
        <f t="shared" si="10"/>
        <v>22</v>
      </c>
      <c r="AK7" s="106">
        <f t="shared" si="11"/>
        <v>0.22</v>
      </c>
      <c r="AM7" t="s">
        <v>1181</v>
      </c>
      <c r="AN7">
        <f t="shared" si="2"/>
        <v>5</v>
      </c>
    </row>
    <row r="8" spans="4:40" x14ac:dyDescent="0.3">
      <c r="D8" s="1" t="s">
        <v>1885</v>
      </c>
      <c r="E8" t="s">
        <v>1201</v>
      </c>
      <c r="F8" s="86">
        <v>22</v>
      </c>
      <c r="G8" s="106">
        <f t="shared" si="3"/>
        <v>0.12154696132596685</v>
      </c>
      <c r="H8" s="1"/>
      <c r="I8" s="1" t="s">
        <v>1876</v>
      </c>
      <c r="J8" s="97">
        <f t="shared" si="4"/>
        <v>22</v>
      </c>
      <c r="K8">
        <f t="shared" si="5"/>
        <v>0.12154696132596685</v>
      </c>
      <c r="M8" t="s">
        <v>1857</v>
      </c>
      <c r="N8">
        <f t="shared" si="0"/>
        <v>6</v>
      </c>
      <c r="Q8" s="1" t="s">
        <v>1885</v>
      </c>
      <c r="R8" t="s">
        <v>1201</v>
      </c>
      <c r="S8" s="86">
        <v>5</v>
      </c>
      <c r="T8" s="106">
        <f t="shared" si="6"/>
        <v>0.05</v>
      </c>
      <c r="U8" s="1"/>
      <c r="V8" s="1" t="s">
        <v>1876</v>
      </c>
      <c r="W8" s="97">
        <f t="shared" si="7"/>
        <v>21.5</v>
      </c>
      <c r="X8" s="106">
        <f t="shared" si="8"/>
        <v>0.215</v>
      </c>
      <c r="Z8" t="s">
        <v>1857</v>
      </c>
      <c r="AA8">
        <f t="shared" si="1"/>
        <v>5</v>
      </c>
      <c r="AD8" s="1" t="s">
        <v>1885</v>
      </c>
      <c r="AE8" t="s">
        <v>1201</v>
      </c>
      <c r="AF8" s="86">
        <v>5</v>
      </c>
      <c r="AG8" s="106">
        <f t="shared" si="9"/>
        <v>0.05</v>
      </c>
      <c r="AH8" s="1"/>
      <c r="AI8" s="1" t="s">
        <v>1876</v>
      </c>
      <c r="AJ8" s="97">
        <f t="shared" si="10"/>
        <v>21.5</v>
      </c>
      <c r="AK8" s="106">
        <f t="shared" si="11"/>
        <v>0.215</v>
      </c>
      <c r="AM8" t="s">
        <v>1857</v>
      </c>
      <c r="AN8">
        <f t="shared" si="2"/>
        <v>5</v>
      </c>
    </row>
    <row r="9" spans="4:40" x14ac:dyDescent="0.3">
      <c r="D9" s="1" t="s">
        <v>1576</v>
      </c>
      <c r="E9" t="s">
        <v>1178</v>
      </c>
      <c r="F9" s="86">
        <v>1</v>
      </c>
      <c r="G9" s="106">
        <f t="shared" si="3"/>
        <v>5.5248618784530384E-3</v>
      </c>
      <c r="H9" s="1"/>
      <c r="I9" s="1" t="s">
        <v>1877</v>
      </c>
      <c r="J9" s="97">
        <f t="shared" si="4"/>
        <v>11</v>
      </c>
      <c r="K9">
        <f t="shared" si="5"/>
        <v>6.0773480662983423E-2</v>
      </c>
      <c r="M9" t="s">
        <v>1183</v>
      </c>
      <c r="N9">
        <f t="shared" si="0"/>
        <v>6</v>
      </c>
      <c r="Q9" s="1" t="s">
        <v>1576</v>
      </c>
      <c r="R9" t="s">
        <v>1178</v>
      </c>
      <c r="S9" s="86">
        <v>10</v>
      </c>
      <c r="T9" s="106">
        <f t="shared" si="6"/>
        <v>0.1</v>
      </c>
      <c r="U9" s="1"/>
      <c r="V9" s="1" t="s">
        <v>1877</v>
      </c>
      <c r="W9" s="97">
        <f t="shared" si="7"/>
        <v>12.5</v>
      </c>
      <c r="X9" s="106">
        <f t="shared" si="8"/>
        <v>0.125</v>
      </c>
      <c r="Z9" t="s">
        <v>1183</v>
      </c>
      <c r="AA9">
        <f t="shared" si="1"/>
        <v>5</v>
      </c>
      <c r="AD9" s="1" t="s">
        <v>1576</v>
      </c>
      <c r="AE9" t="s">
        <v>1178</v>
      </c>
      <c r="AF9" s="86">
        <v>10</v>
      </c>
      <c r="AG9" s="106">
        <f t="shared" si="9"/>
        <v>0.1</v>
      </c>
      <c r="AH9" s="1"/>
      <c r="AI9" s="1" t="s">
        <v>1877</v>
      </c>
      <c r="AJ9" s="97">
        <f t="shared" si="10"/>
        <v>12.5</v>
      </c>
      <c r="AK9" s="106">
        <f t="shared" si="11"/>
        <v>0.125</v>
      </c>
      <c r="AM9" t="s">
        <v>1183</v>
      </c>
      <c r="AN9">
        <f t="shared" si="2"/>
        <v>5</v>
      </c>
    </row>
    <row r="10" spans="4:40" x14ac:dyDescent="0.3">
      <c r="D10" s="1" t="s">
        <v>1576</v>
      </c>
      <c r="E10" t="s">
        <v>1865</v>
      </c>
      <c r="F10" s="86">
        <v>3</v>
      </c>
      <c r="G10" s="106">
        <f t="shared" si="3"/>
        <v>1.6574585635359115E-2</v>
      </c>
      <c r="H10" s="1"/>
      <c r="J10" s="97">
        <f>SUM(J3:J9)</f>
        <v>181</v>
      </c>
      <c r="K10">
        <f t="shared" si="5"/>
        <v>1</v>
      </c>
      <c r="M10" t="s">
        <v>1858</v>
      </c>
      <c r="N10">
        <f t="shared" si="0"/>
        <v>0.5</v>
      </c>
      <c r="Q10" s="1" t="s">
        <v>1576</v>
      </c>
      <c r="R10" t="s">
        <v>1865</v>
      </c>
      <c r="S10" s="86">
        <v>1</v>
      </c>
      <c r="T10" s="106">
        <f t="shared" si="6"/>
        <v>0.01</v>
      </c>
      <c r="U10" s="1"/>
      <c r="W10" s="97">
        <f>SUM(W3:W9)</f>
        <v>100</v>
      </c>
      <c r="X10" s="106">
        <f t="shared" si="8"/>
        <v>1</v>
      </c>
      <c r="Z10" t="s">
        <v>1858</v>
      </c>
      <c r="AA10">
        <f t="shared" si="1"/>
        <v>1</v>
      </c>
      <c r="AD10" s="1" t="s">
        <v>1576</v>
      </c>
      <c r="AE10" t="s">
        <v>1865</v>
      </c>
      <c r="AF10" s="86">
        <v>0</v>
      </c>
      <c r="AG10" s="106">
        <f t="shared" si="9"/>
        <v>0</v>
      </c>
      <c r="AH10" s="1"/>
      <c r="AJ10" s="97">
        <f>SUM(AJ3:AJ9)</f>
        <v>100</v>
      </c>
      <c r="AK10" s="106">
        <f t="shared" si="11"/>
        <v>1</v>
      </c>
      <c r="AM10" t="s">
        <v>1858</v>
      </c>
      <c r="AN10">
        <f t="shared" si="2"/>
        <v>0</v>
      </c>
    </row>
    <row r="11" spans="4:40" x14ac:dyDescent="0.3">
      <c r="D11" s="1" t="s">
        <v>1576</v>
      </c>
      <c r="E11" t="s">
        <v>1866</v>
      </c>
      <c r="F11" s="86">
        <v>3</v>
      </c>
      <c r="G11" s="106">
        <f t="shared" si="3"/>
        <v>1.6574585635359115E-2</v>
      </c>
      <c r="H11" s="1"/>
      <c r="M11" t="s">
        <v>1859</v>
      </c>
      <c r="N11">
        <f t="shared" si="0"/>
        <v>0.5</v>
      </c>
      <c r="Q11" s="1" t="s">
        <v>1576</v>
      </c>
      <c r="R11" t="s">
        <v>1866</v>
      </c>
      <c r="S11" s="86">
        <v>1</v>
      </c>
      <c r="T11" s="106">
        <f t="shared" si="6"/>
        <v>0.01</v>
      </c>
      <c r="U11" s="1"/>
      <c r="Z11" t="s">
        <v>1859</v>
      </c>
      <c r="AA11">
        <f t="shared" si="1"/>
        <v>1</v>
      </c>
      <c r="AD11" s="1" t="s">
        <v>1576</v>
      </c>
      <c r="AE11" t="s">
        <v>1866</v>
      </c>
      <c r="AF11" s="86">
        <v>0</v>
      </c>
      <c r="AG11" s="106">
        <f t="shared" si="9"/>
        <v>0</v>
      </c>
      <c r="AH11" s="1"/>
      <c r="AM11" t="s">
        <v>1859</v>
      </c>
      <c r="AN11">
        <f t="shared" si="2"/>
        <v>0</v>
      </c>
    </row>
    <row r="12" spans="4:40" x14ac:dyDescent="0.3">
      <c r="D12" s="1" t="s">
        <v>1576</v>
      </c>
      <c r="E12" t="s">
        <v>1195</v>
      </c>
      <c r="F12" s="86">
        <v>3</v>
      </c>
      <c r="G12" s="106">
        <f t="shared" si="3"/>
        <v>1.6574585635359115E-2</v>
      </c>
      <c r="H12" s="1"/>
      <c r="M12" t="s">
        <v>1860</v>
      </c>
      <c r="N12">
        <f t="shared" si="0"/>
        <v>0.5</v>
      </c>
      <c r="Q12" s="1" t="s">
        <v>1576</v>
      </c>
      <c r="R12" t="s">
        <v>1195</v>
      </c>
      <c r="S12" s="86">
        <v>1</v>
      </c>
      <c r="T12" s="106">
        <f t="shared" si="6"/>
        <v>0.01</v>
      </c>
      <c r="U12" s="1"/>
      <c r="Z12" t="s">
        <v>1860</v>
      </c>
      <c r="AA12">
        <f t="shared" si="1"/>
        <v>0.5</v>
      </c>
      <c r="AD12" s="1" t="s">
        <v>1576</v>
      </c>
      <c r="AE12" t="s">
        <v>1195</v>
      </c>
      <c r="AF12" s="86">
        <v>0</v>
      </c>
      <c r="AG12" s="106">
        <f t="shared" si="9"/>
        <v>0</v>
      </c>
      <c r="AH12" s="1"/>
      <c r="AM12" t="s">
        <v>1860</v>
      </c>
      <c r="AN12">
        <f t="shared" si="2"/>
        <v>0</v>
      </c>
    </row>
    <row r="13" spans="4:40" x14ac:dyDescent="0.3">
      <c r="D13" s="1" t="s">
        <v>1875</v>
      </c>
      <c r="E13" t="s">
        <v>1855</v>
      </c>
      <c r="F13" s="86">
        <v>8</v>
      </c>
      <c r="G13" s="106">
        <f t="shared" si="3"/>
        <v>4.4198895027624308E-2</v>
      </c>
      <c r="H13" s="1"/>
      <c r="M13" t="s">
        <v>1187</v>
      </c>
      <c r="N13">
        <f t="shared" si="0"/>
        <v>2</v>
      </c>
      <c r="Q13" s="1" t="s">
        <v>1875</v>
      </c>
      <c r="R13" t="s">
        <v>1855</v>
      </c>
      <c r="S13" s="86">
        <v>9</v>
      </c>
      <c r="T13" s="106">
        <f t="shared" si="6"/>
        <v>0.09</v>
      </c>
      <c r="U13" s="1"/>
      <c r="Z13" t="s">
        <v>1187</v>
      </c>
      <c r="AA13">
        <f t="shared" si="1"/>
        <v>4</v>
      </c>
      <c r="AD13" s="1" t="s">
        <v>1875</v>
      </c>
      <c r="AE13" t="s">
        <v>1855</v>
      </c>
      <c r="AF13" s="86">
        <v>5</v>
      </c>
      <c r="AG13" s="106">
        <f t="shared" si="9"/>
        <v>0.05</v>
      </c>
      <c r="AH13" s="1"/>
      <c r="AM13" t="s">
        <v>1187</v>
      </c>
      <c r="AN13">
        <f t="shared" si="2"/>
        <v>5</v>
      </c>
    </row>
    <row r="14" spans="4:40" x14ac:dyDescent="0.3">
      <c r="D14" s="1" t="s">
        <v>1875</v>
      </c>
      <c r="E14" t="s">
        <v>1856</v>
      </c>
      <c r="F14" s="86">
        <v>10</v>
      </c>
      <c r="G14" s="106">
        <f t="shared" si="3"/>
        <v>5.5248618784530384E-2</v>
      </c>
      <c r="H14" s="1"/>
      <c r="M14" t="s">
        <v>1861</v>
      </c>
      <c r="N14">
        <f t="shared" si="0"/>
        <v>1.25</v>
      </c>
      <c r="Q14" s="1" t="s">
        <v>1875</v>
      </c>
      <c r="R14" t="s">
        <v>1856</v>
      </c>
      <c r="S14" s="86">
        <v>12</v>
      </c>
      <c r="T14" s="106">
        <f t="shared" si="6"/>
        <v>0.12</v>
      </c>
      <c r="U14" s="1"/>
      <c r="Z14" t="s">
        <v>1861</v>
      </c>
      <c r="AA14">
        <f t="shared" si="1"/>
        <v>0.5</v>
      </c>
      <c r="AD14" s="1" t="s">
        <v>1875</v>
      </c>
      <c r="AE14" t="s">
        <v>1856</v>
      </c>
      <c r="AF14" s="86">
        <v>10</v>
      </c>
      <c r="AG14" s="106">
        <f t="shared" si="9"/>
        <v>0.1</v>
      </c>
      <c r="AH14" s="1"/>
      <c r="AM14" t="s">
        <v>1861</v>
      </c>
      <c r="AN14">
        <f t="shared" si="2"/>
        <v>0</v>
      </c>
    </row>
    <row r="15" spans="4:40" x14ac:dyDescent="0.3">
      <c r="D15" s="1" t="s">
        <v>1875</v>
      </c>
      <c r="E15" t="s">
        <v>1867</v>
      </c>
      <c r="F15" s="86">
        <v>2</v>
      </c>
      <c r="G15" s="106">
        <f t="shared" si="3"/>
        <v>1.1049723756906077E-2</v>
      </c>
      <c r="H15" s="1"/>
      <c r="M15" t="s">
        <v>1862</v>
      </c>
      <c r="N15">
        <f t="shared" si="0"/>
        <v>1.25</v>
      </c>
      <c r="Q15" s="1" t="s">
        <v>1875</v>
      </c>
      <c r="R15" t="s">
        <v>1867</v>
      </c>
      <c r="S15" s="86">
        <v>0.5</v>
      </c>
      <c r="T15" s="106">
        <f t="shared" si="6"/>
        <v>5.0000000000000001E-3</v>
      </c>
      <c r="U15" s="1"/>
      <c r="Z15" t="s">
        <v>1862</v>
      </c>
      <c r="AA15">
        <f t="shared" si="1"/>
        <v>0.5</v>
      </c>
      <c r="AD15" s="1" t="s">
        <v>1875</v>
      </c>
      <c r="AE15" t="s">
        <v>1867</v>
      </c>
      <c r="AF15" s="86">
        <v>0</v>
      </c>
      <c r="AG15" s="106">
        <f t="shared" si="9"/>
        <v>0</v>
      </c>
      <c r="AH15" s="1"/>
      <c r="AM15" t="s">
        <v>1862</v>
      </c>
      <c r="AN15">
        <f t="shared" si="2"/>
        <v>0</v>
      </c>
    </row>
    <row r="16" spans="4:40" x14ac:dyDescent="0.3">
      <c r="D16" s="1" t="s">
        <v>1875</v>
      </c>
      <c r="E16" t="s">
        <v>1868</v>
      </c>
      <c r="F16" s="86">
        <v>2</v>
      </c>
      <c r="G16" s="106">
        <f t="shared" si="3"/>
        <v>1.1049723756906077E-2</v>
      </c>
      <c r="H16" s="1"/>
      <c r="M16" t="s">
        <v>1863</v>
      </c>
      <c r="N16">
        <f t="shared" si="0"/>
        <v>1.25</v>
      </c>
      <c r="Q16" s="1" t="s">
        <v>1875</v>
      </c>
      <c r="R16" t="s">
        <v>1868</v>
      </c>
      <c r="S16" s="86">
        <v>0.5</v>
      </c>
      <c r="T16" s="106">
        <f t="shared" si="6"/>
        <v>5.0000000000000001E-3</v>
      </c>
      <c r="U16" s="1"/>
      <c r="Z16" t="s">
        <v>1863</v>
      </c>
      <c r="AA16">
        <f t="shared" si="1"/>
        <v>0.5</v>
      </c>
      <c r="AD16" s="1" t="s">
        <v>1875</v>
      </c>
      <c r="AE16" t="s">
        <v>1868</v>
      </c>
      <c r="AF16" s="86">
        <v>0</v>
      </c>
      <c r="AG16" s="106">
        <f t="shared" si="9"/>
        <v>0</v>
      </c>
      <c r="AH16" s="1"/>
      <c r="AM16" t="s">
        <v>1863</v>
      </c>
      <c r="AN16">
        <f t="shared" si="2"/>
        <v>0</v>
      </c>
    </row>
    <row r="17" spans="4:40" x14ac:dyDescent="0.3">
      <c r="D17" s="1" t="s">
        <v>1876</v>
      </c>
      <c r="E17" t="s">
        <v>1181</v>
      </c>
      <c r="F17" s="86">
        <v>6</v>
      </c>
      <c r="G17" s="106">
        <f t="shared" si="3"/>
        <v>3.3149171270718231E-2</v>
      </c>
      <c r="H17" s="1"/>
      <c r="M17" t="s">
        <v>1191</v>
      </c>
      <c r="N17">
        <f t="shared" si="0"/>
        <v>1.25</v>
      </c>
      <c r="Q17" s="1" t="s">
        <v>1876</v>
      </c>
      <c r="R17" t="s">
        <v>1181</v>
      </c>
      <c r="S17" s="86">
        <v>5</v>
      </c>
      <c r="T17" s="106">
        <f t="shared" si="6"/>
        <v>0.05</v>
      </c>
      <c r="U17" s="1"/>
      <c r="Z17" t="s">
        <v>1191</v>
      </c>
      <c r="AA17">
        <f t="shared" si="1"/>
        <v>0.5</v>
      </c>
      <c r="AD17" s="1" t="s">
        <v>1876</v>
      </c>
      <c r="AE17" t="s">
        <v>1181</v>
      </c>
      <c r="AF17" s="86">
        <v>5</v>
      </c>
      <c r="AG17" s="106">
        <f t="shared" si="9"/>
        <v>0.05</v>
      </c>
      <c r="AH17" s="1"/>
      <c r="AM17" t="s">
        <v>1191</v>
      </c>
      <c r="AN17">
        <f t="shared" si="2"/>
        <v>0</v>
      </c>
    </row>
    <row r="18" spans="4:40" x14ac:dyDescent="0.3">
      <c r="D18" s="1" t="s">
        <v>1876</v>
      </c>
      <c r="E18" t="s">
        <v>1857</v>
      </c>
      <c r="F18" s="86">
        <v>6</v>
      </c>
      <c r="G18" s="106">
        <f t="shared" si="3"/>
        <v>3.3149171270718231E-2</v>
      </c>
      <c r="H18" s="1"/>
      <c r="M18" t="s">
        <v>1864</v>
      </c>
      <c r="N18">
        <f t="shared" si="0"/>
        <v>0</v>
      </c>
      <c r="Q18" s="1" t="s">
        <v>1876</v>
      </c>
      <c r="R18" t="s">
        <v>1857</v>
      </c>
      <c r="S18" s="86">
        <v>5</v>
      </c>
      <c r="T18" s="106">
        <f t="shared" si="6"/>
        <v>0.05</v>
      </c>
      <c r="U18" s="1"/>
      <c r="Z18" t="s">
        <v>1864</v>
      </c>
      <c r="AA18">
        <f t="shared" si="1"/>
        <v>0.5</v>
      </c>
      <c r="AD18" s="1" t="s">
        <v>1876</v>
      </c>
      <c r="AE18" t="s">
        <v>1857</v>
      </c>
      <c r="AF18" s="86">
        <v>5</v>
      </c>
      <c r="AG18" s="106">
        <f t="shared" si="9"/>
        <v>0.05</v>
      </c>
      <c r="AH18" s="1"/>
      <c r="AM18" t="s">
        <v>1864</v>
      </c>
      <c r="AN18">
        <f t="shared" si="2"/>
        <v>0</v>
      </c>
    </row>
    <row r="19" spans="4:40" x14ac:dyDescent="0.3">
      <c r="D19" s="1" t="s">
        <v>1876</v>
      </c>
      <c r="E19" t="s">
        <v>1183</v>
      </c>
      <c r="F19" s="86">
        <v>6</v>
      </c>
      <c r="G19" s="106">
        <f t="shared" si="3"/>
        <v>3.3149171270718231E-2</v>
      </c>
      <c r="H19" s="1"/>
      <c r="M19" t="s">
        <v>1865</v>
      </c>
      <c r="N19">
        <f t="shared" si="0"/>
        <v>3</v>
      </c>
      <c r="Q19" s="1" t="s">
        <v>1876</v>
      </c>
      <c r="R19" t="s">
        <v>1183</v>
      </c>
      <c r="S19" s="86">
        <v>5</v>
      </c>
      <c r="T19" s="106">
        <f t="shared" si="6"/>
        <v>0.05</v>
      </c>
      <c r="U19" s="1"/>
      <c r="Z19" t="s">
        <v>1865</v>
      </c>
      <c r="AA19">
        <f t="shared" si="1"/>
        <v>1</v>
      </c>
      <c r="AD19" s="1" t="s">
        <v>1876</v>
      </c>
      <c r="AE19" t="s">
        <v>1183</v>
      </c>
      <c r="AF19" s="86">
        <v>5</v>
      </c>
      <c r="AG19" s="106">
        <f t="shared" si="9"/>
        <v>0.05</v>
      </c>
      <c r="AH19" s="1"/>
      <c r="AM19" t="s">
        <v>1865</v>
      </c>
      <c r="AN19">
        <f t="shared" si="2"/>
        <v>0</v>
      </c>
    </row>
    <row r="20" spans="4:40" x14ac:dyDescent="0.3">
      <c r="D20" s="1" t="s">
        <v>1876</v>
      </c>
      <c r="E20" t="s">
        <v>1858</v>
      </c>
      <c r="F20" s="86">
        <v>0.5</v>
      </c>
      <c r="G20" s="106">
        <f t="shared" si="3"/>
        <v>2.7624309392265192E-3</v>
      </c>
      <c r="H20" s="1"/>
      <c r="M20" t="s">
        <v>1866</v>
      </c>
      <c r="N20">
        <f t="shared" si="0"/>
        <v>3</v>
      </c>
      <c r="Q20" s="1" t="s">
        <v>1876</v>
      </c>
      <c r="R20" t="s">
        <v>1858</v>
      </c>
      <c r="S20" s="86">
        <v>1</v>
      </c>
      <c r="T20" s="106">
        <f t="shared" si="6"/>
        <v>0.01</v>
      </c>
      <c r="U20" s="1"/>
      <c r="Z20" t="s">
        <v>1866</v>
      </c>
      <c r="AA20">
        <f t="shared" si="1"/>
        <v>1</v>
      </c>
      <c r="AD20" s="1" t="s">
        <v>1876</v>
      </c>
      <c r="AE20" t="s">
        <v>1858</v>
      </c>
      <c r="AF20" s="86">
        <v>0</v>
      </c>
      <c r="AG20" s="106">
        <f t="shared" si="9"/>
        <v>0</v>
      </c>
      <c r="AH20" s="1"/>
      <c r="AM20" t="s">
        <v>1866</v>
      </c>
      <c r="AN20">
        <f t="shared" si="2"/>
        <v>0</v>
      </c>
    </row>
    <row r="21" spans="4:40" x14ac:dyDescent="0.3">
      <c r="D21" s="1" t="s">
        <v>1876</v>
      </c>
      <c r="E21" t="s">
        <v>1859</v>
      </c>
      <c r="F21" s="86">
        <v>0.5</v>
      </c>
      <c r="G21" s="106">
        <f t="shared" si="3"/>
        <v>2.7624309392265192E-3</v>
      </c>
      <c r="H21" s="1"/>
      <c r="M21" t="s">
        <v>1195</v>
      </c>
      <c r="N21">
        <f t="shared" si="0"/>
        <v>3</v>
      </c>
      <c r="Q21" s="1" t="s">
        <v>1876</v>
      </c>
      <c r="R21" t="s">
        <v>1859</v>
      </c>
      <c r="S21" s="86">
        <v>1</v>
      </c>
      <c r="T21" s="106">
        <f t="shared" si="6"/>
        <v>0.01</v>
      </c>
      <c r="U21" s="1"/>
      <c r="Z21" t="s">
        <v>1195</v>
      </c>
      <c r="AA21">
        <f t="shared" si="1"/>
        <v>1</v>
      </c>
      <c r="AD21" s="1" t="s">
        <v>1876</v>
      </c>
      <c r="AE21" t="s">
        <v>1859</v>
      </c>
      <c r="AF21" s="86">
        <v>0</v>
      </c>
      <c r="AG21" s="106">
        <f t="shared" si="9"/>
        <v>0</v>
      </c>
      <c r="AH21" s="1"/>
      <c r="AM21" t="s">
        <v>1195</v>
      </c>
      <c r="AN21">
        <f t="shared" si="2"/>
        <v>0</v>
      </c>
    </row>
    <row r="22" spans="4:40" x14ac:dyDescent="0.3">
      <c r="D22" s="1" t="s">
        <v>1876</v>
      </c>
      <c r="E22" t="s">
        <v>1860</v>
      </c>
      <c r="F22" s="86">
        <v>0.5</v>
      </c>
      <c r="G22" s="106">
        <f t="shared" si="3"/>
        <v>2.7624309392265192E-3</v>
      </c>
      <c r="H22" s="1"/>
      <c r="M22" t="s">
        <v>1867</v>
      </c>
      <c r="N22">
        <f t="shared" si="0"/>
        <v>2</v>
      </c>
      <c r="Q22" s="1" t="s">
        <v>1876</v>
      </c>
      <c r="R22" t="s">
        <v>1860</v>
      </c>
      <c r="S22" s="86">
        <v>0.5</v>
      </c>
      <c r="T22" s="106">
        <f t="shared" si="6"/>
        <v>5.0000000000000001E-3</v>
      </c>
      <c r="U22" s="1"/>
      <c r="Z22" t="s">
        <v>1867</v>
      </c>
      <c r="AA22">
        <f t="shared" si="1"/>
        <v>0.5</v>
      </c>
      <c r="AD22" s="1" t="s">
        <v>1876</v>
      </c>
      <c r="AE22" t="s">
        <v>1860</v>
      </c>
      <c r="AF22" s="86">
        <v>0</v>
      </c>
      <c r="AG22" s="106">
        <f t="shared" si="9"/>
        <v>0</v>
      </c>
      <c r="AH22" s="1"/>
      <c r="AM22" t="s">
        <v>1867</v>
      </c>
      <c r="AN22">
        <f t="shared" si="2"/>
        <v>0</v>
      </c>
    </row>
    <row r="23" spans="4:40" x14ac:dyDescent="0.3">
      <c r="D23" s="1" t="s">
        <v>1876</v>
      </c>
      <c r="E23" t="s">
        <v>1187</v>
      </c>
      <c r="F23" s="86">
        <v>2</v>
      </c>
      <c r="G23" s="106">
        <f t="shared" si="3"/>
        <v>1.1049723756906077E-2</v>
      </c>
      <c r="H23" s="1"/>
      <c r="M23" t="s">
        <v>1868</v>
      </c>
      <c r="N23">
        <f t="shared" si="0"/>
        <v>2</v>
      </c>
      <c r="Q23" s="1" t="s">
        <v>1876</v>
      </c>
      <c r="R23" t="s">
        <v>1187</v>
      </c>
      <c r="S23" s="86">
        <v>4</v>
      </c>
      <c r="T23" s="106">
        <f t="shared" si="6"/>
        <v>0.04</v>
      </c>
      <c r="U23" s="1"/>
      <c r="Z23" t="s">
        <v>1868</v>
      </c>
      <c r="AA23">
        <f t="shared" si="1"/>
        <v>0.5</v>
      </c>
      <c r="AD23" s="1" t="s">
        <v>1876</v>
      </c>
      <c r="AE23" t="s">
        <v>1187</v>
      </c>
      <c r="AF23" s="86">
        <v>5</v>
      </c>
      <c r="AG23" s="106">
        <f t="shared" si="9"/>
        <v>0.05</v>
      </c>
      <c r="AH23" s="1"/>
      <c r="AM23" t="s">
        <v>1868</v>
      </c>
      <c r="AN23">
        <f t="shared" si="2"/>
        <v>0</v>
      </c>
    </row>
    <row r="24" spans="4:40" x14ac:dyDescent="0.3">
      <c r="D24" s="1" t="s">
        <v>1876</v>
      </c>
      <c r="E24" t="s">
        <v>1870</v>
      </c>
      <c r="F24" s="86">
        <v>0.5</v>
      </c>
      <c r="G24" s="106">
        <f t="shared" si="3"/>
        <v>2.7624309392265192E-3</v>
      </c>
      <c r="H24" s="1"/>
      <c r="M24" t="s">
        <v>1198</v>
      </c>
      <c r="N24">
        <f t="shared" si="0"/>
        <v>3</v>
      </c>
      <c r="Q24" s="1" t="s">
        <v>1876</v>
      </c>
      <c r="R24" t="s">
        <v>1870</v>
      </c>
      <c r="S24" s="86">
        <v>0</v>
      </c>
      <c r="T24" s="106">
        <f t="shared" si="6"/>
        <v>0</v>
      </c>
      <c r="U24" s="1"/>
      <c r="Z24" t="s">
        <v>1198</v>
      </c>
      <c r="AA24">
        <f t="shared" si="1"/>
        <v>5</v>
      </c>
      <c r="AD24" s="1" t="s">
        <v>1876</v>
      </c>
      <c r="AE24" t="s">
        <v>1870</v>
      </c>
      <c r="AF24" s="86">
        <v>0</v>
      </c>
      <c r="AG24" s="106">
        <f t="shared" si="9"/>
        <v>0</v>
      </c>
      <c r="AH24" s="1"/>
      <c r="AM24" t="s">
        <v>1198</v>
      </c>
      <c r="AN24">
        <f t="shared" si="2"/>
        <v>5</v>
      </c>
    </row>
    <row r="25" spans="4:40" x14ac:dyDescent="0.3">
      <c r="D25" s="1" t="s">
        <v>1877</v>
      </c>
      <c r="E25" t="s">
        <v>1861</v>
      </c>
      <c r="F25" s="86">
        <v>1.25</v>
      </c>
      <c r="G25" s="106">
        <f t="shared" si="3"/>
        <v>6.9060773480662981E-3</v>
      </c>
      <c r="M25" t="s">
        <v>1869</v>
      </c>
      <c r="N25">
        <f t="shared" si="0"/>
        <v>3</v>
      </c>
      <c r="Q25" s="1" t="s">
        <v>1877</v>
      </c>
      <c r="R25" t="s">
        <v>1861</v>
      </c>
      <c r="S25" s="86">
        <v>0.5</v>
      </c>
      <c r="T25" s="106">
        <f t="shared" si="6"/>
        <v>5.0000000000000001E-3</v>
      </c>
      <c r="Z25" t="s">
        <v>1869</v>
      </c>
      <c r="AA25">
        <f t="shared" si="1"/>
        <v>5</v>
      </c>
      <c r="AD25" s="1" t="s">
        <v>1877</v>
      </c>
      <c r="AE25" t="s">
        <v>1861</v>
      </c>
      <c r="AF25" s="86">
        <v>0</v>
      </c>
      <c r="AG25" s="106">
        <f t="shared" si="9"/>
        <v>0</v>
      </c>
      <c r="AM25" t="s">
        <v>1869</v>
      </c>
      <c r="AN25">
        <f t="shared" si="2"/>
        <v>5</v>
      </c>
    </row>
    <row r="26" spans="4:40" x14ac:dyDescent="0.3">
      <c r="D26" s="1" t="s">
        <v>1877</v>
      </c>
      <c r="E26" t="s">
        <v>1862</v>
      </c>
      <c r="F26" s="86">
        <v>1.25</v>
      </c>
      <c r="G26" s="106">
        <f t="shared" si="3"/>
        <v>6.9060773480662981E-3</v>
      </c>
      <c r="M26" t="s">
        <v>1870</v>
      </c>
      <c r="N26">
        <f t="shared" si="0"/>
        <v>0.5</v>
      </c>
      <c r="Q26" s="1" t="s">
        <v>1877</v>
      </c>
      <c r="R26" t="s">
        <v>1862</v>
      </c>
      <c r="S26" s="86">
        <v>0.5</v>
      </c>
      <c r="T26" s="106">
        <f t="shared" si="6"/>
        <v>5.0000000000000001E-3</v>
      </c>
      <c r="Z26" t="s">
        <v>1870</v>
      </c>
      <c r="AA26">
        <f t="shared" si="1"/>
        <v>0</v>
      </c>
      <c r="AD26" s="1" t="s">
        <v>1877</v>
      </c>
      <c r="AE26" t="s">
        <v>1862</v>
      </c>
      <c r="AF26" s="86">
        <v>0</v>
      </c>
      <c r="AG26" s="106">
        <f t="shared" si="9"/>
        <v>0</v>
      </c>
      <c r="AM26" t="s">
        <v>1870</v>
      </c>
      <c r="AN26">
        <f t="shared" si="2"/>
        <v>0</v>
      </c>
    </row>
    <row r="27" spans="4:40" x14ac:dyDescent="0.3">
      <c r="D27" s="1" t="s">
        <v>1877</v>
      </c>
      <c r="E27" t="s">
        <v>1863</v>
      </c>
      <c r="F27" s="86">
        <v>1.25</v>
      </c>
      <c r="G27" s="106">
        <f t="shared" si="3"/>
        <v>6.9060773480662981E-3</v>
      </c>
      <c r="M27" t="s">
        <v>1201</v>
      </c>
      <c r="N27">
        <f t="shared" si="0"/>
        <v>22</v>
      </c>
      <c r="Q27" s="1" t="s">
        <v>1877</v>
      </c>
      <c r="R27" t="s">
        <v>1863</v>
      </c>
      <c r="S27" s="86">
        <v>0.5</v>
      </c>
      <c r="T27" s="106">
        <f t="shared" si="6"/>
        <v>5.0000000000000001E-3</v>
      </c>
      <c r="Z27" t="s">
        <v>1201</v>
      </c>
      <c r="AA27">
        <f t="shared" si="1"/>
        <v>5</v>
      </c>
      <c r="AD27" s="1" t="s">
        <v>1877</v>
      </c>
      <c r="AE27" t="s">
        <v>1863</v>
      </c>
      <c r="AF27" s="86">
        <v>0</v>
      </c>
      <c r="AG27" s="106">
        <f t="shared" si="9"/>
        <v>0</v>
      </c>
      <c r="AM27" t="s">
        <v>1201</v>
      </c>
      <c r="AN27">
        <f t="shared" si="2"/>
        <v>5</v>
      </c>
    </row>
    <row r="28" spans="4:40" x14ac:dyDescent="0.3">
      <c r="D28" s="1" t="s">
        <v>1877</v>
      </c>
      <c r="E28" t="s">
        <v>1191</v>
      </c>
      <c r="F28" s="86">
        <v>1.25</v>
      </c>
      <c r="G28" s="106">
        <f t="shared" si="3"/>
        <v>6.9060773480662981E-3</v>
      </c>
      <c r="M28" t="s">
        <v>1871</v>
      </c>
      <c r="N28">
        <f t="shared" si="0"/>
        <v>23</v>
      </c>
      <c r="Q28" s="1" t="s">
        <v>1877</v>
      </c>
      <c r="R28" t="s">
        <v>1191</v>
      </c>
      <c r="S28" s="86">
        <v>0.5</v>
      </c>
      <c r="T28" s="106">
        <f t="shared" si="6"/>
        <v>5.0000000000000001E-3</v>
      </c>
      <c r="Z28" t="s">
        <v>1871</v>
      </c>
      <c r="AA28">
        <f t="shared" si="1"/>
        <v>5</v>
      </c>
      <c r="AD28" s="1" t="s">
        <v>1877</v>
      </c>
      <c r="AE28" t="s">
        <v>1191</v>
      </c>
      <c r="AF28" s="86">
        <v>0</v>
      </c>
      <c r="AG28" s="106">
        <f t="shared" si="9"/>
        <v>0</v>
      </c>
      <c r="AM28" t="s">
        <v>1871</v>
      </c>
      <c r="AN28">
        <f t="shared" si="2"/>
        <v>10</v>
      </c>
    </row>
    <row r="29" spans="4:40" x14ac:dyDescent="0.3">
      <c r="D29" s="1" t="s">
        <v>1877</v>
      </c>
      <c r="E29" t="s">
        <v>1864</v>
      </c>
      <c r="F29" s="86">
        <v>0</v>
      </c>
      <c r="G29" s="106">
        <f t="shared" si="3"/>
        <v>0</v>
      </c>
      <c r="M29" t="s">
        <v>1872</v>
      </c>
      <c r="N29">
        <f t="shared" si="0"/>
        <v>25</v>
      </c>
      <c r="Q29" s="1" t="s">
        <v>1877</v>
      </c>
      <c r="R29" t="s">
        <v>1864</v>
      </c>
      <c r="S29" s="86">
        <v>0.5</v>
      </c>
      <c r="T29" s="106">
        <f t="shared" si="6"/>
        <v>5.0000000000000001E-3</v>
      </c>
      <c r="Z29" t="s">
        <v>1872</v>
      </c>
      <c r="AA29">
        <f t="shared" si="1"/>
        <v>0</v>
      </c>
      <c r="AD29" s="1" t="s">
        <v>1877</v>
      </c>
      <c r="AE29" t="s">
        <v>1864</v>
      </c>
      <c r="AF29" s="86">
        <v>0</v>
      </c>
      <c r="AG29" s="106">
        <f t="shared" si="9"/>
        <v>0</v>
      </c>
      <c r="AM29" t="s">
        <v>1872</v>
      </c>
      <c r="AN29">
        <f t="shared" si="2"/>
        <v>0</v>
      </c>
    </row>
    <row r="30" spans="4:40" x14ac:dyDescent="0.3">
      <c r="D30" s="1" t="s">
        <v>1877</v>
      </c>
      <c r="E30" t="s">
        <v>1198</v>
      </c>
      <c r="F30" s="86">
        <v>3</v>
      </c>
      <c r="G30" s="106">
        <f t="shared" si="3"/>
        <v>1.6574585635359115E-2</v>
      </c>
      <c r="M30" t="s">
        <v>1873</v>
      </c>
      <c r="N30">
        <f t="shared" si="0"/>
        <v>25</v>
      </c>
      <c r="Q30" s="1" t="s">
        <v>1877</v>
      </c>
      <c r="R30" t="s">
        <v>1198</v>
      </c>
      <c r="S30" s="86">
        <v>5</v>
      </c>
      <c r="T30" s="106">
        <f t="shared" si="6"/>
        <v>0.05</v>
      </c>
      <c r="Z30" t="s">
        <v>1873</v>
      </c>
      <c r="AA30">
        <f t="shared" si="1"/>
        <v>5</v>
      </c>
      <c r="AD30" s="1" t="s">
        <v>1877</v>
      </c>
      <c r="AE30" t="s">
        <v>1198</v>
      </c>
      <c r="AF30" s="86">
        <v>5</v>
      </c>
      <c r="AG30" s="106">
        <f t="shared" si="9"/>
        <v>0.05</v>
      </c>
      <c r="AM30" t="s">
        <v>1873</v>
      </c>
      <c r="AN30">
        <f t="shared" si="2"/>
        <v>1</v>
      </c>
    </row>
    <row r="31" spans="4:40" x14ac:dyDescent="0.3">
      <c r="D31" s="1" t="s">
        <v>1877</v>
      </c>
      <c r="E31" t="s">
        <v>1869</v>
      </c>
      <c r="F31" s="86">
        <v>3</v>
      </c>
      <c r="G31" s="106">
        <f t="shared" si="3"/>
        <v>1.6574585635359115E-2</v>
      </c>
      <c r="Q31" s="1" t="s">
        <v>1877</v>
      </c>
      <c r="R31" t="s">
        <v>1869</v>
      </c>
      <c r="S31" s="86">
        <v>5</v>
      </c>
      <c r="T31" s="106">
        <f t="shared" si="6"/>
        <v>0.05</v>
      </c>
      <c r="AD31" s="1" t="s">
        <v>1877</v>
      </c>
      <c r="AE31" t="s">
        <v>1869</v>
      </c>
      <c r="AF31" s="86">
        <v>5</v>
      </c>
      <c r="AG31" s="106">
        <f t="shared" si="9"/>
        <v>0.05</v>
      </c>
    </row>
    <row r="32" spans="4:40" x14ac:dyDescent="0.3">
      <c r="F32" s="86">
        <f>SUM(F3:F31)</f>
        <v>181</v>
      </c>
      <c r="S32" s="86">
        <f>SUM(S3:S31)</f>
        <v>100</v>
      </c>
      <c r="AF32" s="86">
        <f>SUM(AF3:AF31)</f>
        <v>82</v>
      </c>
    </row>
    <row r="34" spans="4:36" x14ac:dyDescent="0.3">
      <c r="D34" s="123" t="s">
        <v>1882</v>
      </c>
      <c r="E34" s="123"/>
      <c r="F34" s="123"/>
      <c r="G34" s="123"/>
      <c r="H34" s="123"/>
      <c r="I34" s="123"/>
      <c r="J34" s="123"/>
      <c r="Q34" s="123" t="s">
        <v>1882</v>
      </c>
      <c r="R34" s="123"/>
      <c r="S34" s="123"/>
      <c r="T34" s="123"/>
      <c r="U34" s="123"/>
      <c r="V34" s="123"/>
      <c r="W34" s="123"/>
      <c r="AD34" s="123" t="s">
        <v>1882</v>
      </c>
      <c r="AE34" s="123"/>
      <c r="AF34" s="123"/>
      <c r="AG34" s="123"/>
      <c r="AH34" s="123"/>
      <c r="AI34" s="123"/>
      <c r="AJ34" s="123"/>
    </row>
    <row r="35" spans="4:36" x14ac:dyDescent="0.3">
      <c r="D35">
        <v>22</v>
      </c>
      <c r="Q35">
        <v>15</v>
      </c>
      <c r="AD35">
        <v>15</v>
      </c>
    </row>
  </sheetData>
  <mergeCells count="6">
    <mergeCell ref="D1:J1"/>
    <mergeCell ref="D34:J34"/>
    <mergeCell ref="Q1:W1"/>
    <mergeCell ref="Q34:W34"/>
    <mergeCell ref="AD1:AJ1"/>
    <mergeCell ref="AD34:AJ3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5765-C8B2-459B-9ECD-335016950D6E}">
  <sheetPr>
    <tabColor theme="2" tint="-0.749992370372631"/>
  </sheetPr>
  <dimension ref="A1:AF12"/>
  <sheetViews>
    <sheetView topLeftCell="J6" workbookViewId="0">
      <selection activeCell="S44" sqref="S44"/>
    </sheetView>
  </sheetViews>
  <sheetFormatPr defaultRowHeight="14.4" x14ac:dyDescent="0.3"/>
  <cols>
    <col min="30" max="30" width="48.6640625" bestFit="1" customWidth="1"/>
  </cols>
  <sheetData>
    <row r="1" spans="1:32" x14ac:dyDescent="0.3">
      <c r="A1" s="1" t="s">
        <v>1176</v>
      </c>
      <c r="B1" s="1" t="s">
        <v>1177</v>
      </c>
      <c r="C1" s="1" t="s">
        <v>1178</v>
      </c>
      <c r="D1" s="1" t="s">
        <v>1179</v>
      </c>
      <c r="E1" s="1" t="s">
        <v>1180</v>
      </c>
      <c r="F1" s="1" t="s">
        <v>1181</v>
      </c>
      <c r="G1" s="1" t="s">
        <v>1182</v>
      </c>
      <c r="H1" s="1" t="s">
        <v>1183</v>
      </c>
      <c r="I1" s="1" t="s">
        <v>1184</v>
      </c>
      <c r="J1" s="1" t="s">
        <v>1185</v>
      </c>
      <c r="K1" s="1" t="s">
        <v>1186</v>
      </c>
      <c r="L1" s="1" t="s">
        <v>1187</v>
      </c>
      <c r="M1" s="1" t="s">
        <v>1188</v>
      </c>
      <c r="N1" s="1" t="s">
        <v>1189</v>
      </c>
      <c r="O1" s="1" t="s">
        <v>1190</v>
      </c>
      <c r="P1" s="1" t="s">
        <v>1191</v>
      </c>
      <c r="Q1" s="1" t="s">
        <v>1192</v>
      </c>
      <c r="R1" s="1" t="s">
        <v>1193</v>
      </c>
      <c r="S1" s="1" t="s">
        <v>1194</v>
      </c>
      <c r="T1" s="1" t="s">
        <v>1195</v>
      </c>
      <c r="U1" s="1" t="s">
        <v>1196</v>
      </c>
      <c r="V1" s="1" t="s">
        <v>1197</v>
      </c>
      <c r="W1" s="1" t="s">
        <v>1198</v>
      </c>
      <c r="X1" s="1" t="s">
        <v>1199</v>
      </c>
      <c r="Y1" s="1" t="s">
        <v>1200</v>
      </c>
      <c r="Z1" s="1" t="s">
        <v>1201</v>
      </c>
      <c r="AA1" s="1" t="s">
        <v>1202</v>
      </c>
      <c r="AB1" s="1" t="s">
        <v>1203</v>
      </c>
      <c r="AC1" s="1" t="s">
        <v>1204</v>
      </c>
      <c r="AD1" s="1" t="s">
        <v>1343</v>
      </c>
      <c r="AE1" s="1" t="s">
        <v>1817</v>
      </c>
      <c r="AF1" s="1" t="s">
        <v>1843</v>
      </c>
    </row>
    <row r="2" spans="1:32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t="str">
        <f t="shared" ref="AD2:AD10" si="0">"["&amp;A2&amp;","&amp;B2&amp;","&amp;C2&amp;","&amp;D2&amp;","&amp;E2&amp;","&amp;F2&amp;","&amp;G2&amp;","&amp;H2&amp;","&amp;I2&amp;","&amp;J2&amp;","&amp;K2&amp;","&amp;L2&amp;","&amp;M2&amp;","&amp;N2&amp;","&amp;O2&amp;","&amp;P2&amp;","&amp;Q2&amp;","&amp;R2&amp;","&amp;S2&amp;","&amp;T2&amp;","&amp;U2&amp;","&amp;V2&amp;","&amp;W2&amp;","&amp;X2&amp;","&amp;Y2&amp;","&amp;Z2&amp;","&amp;AA2&amp;","&amp;AB2&amp;","&amp;AC2&amp;"]"</f>
        <v>[1,1,1,1,1,1,1,1,1,1,1,1,1,1,1,1,1,1,1,1,1,1,1,1,1,1,1,1,1]</v>
      </c>
      <c r="AE2" s="1" t="s">
        <v>1825</v>
      </c>
      <c r="AF2" t="s">
        <v>1844</v>
      </c>
    </row>
    <row r="3" spans="1:32" x14ac:dyDescent="0.3">
      <c r="A3">
        <v>3</v>
      </c>
      <c r="B3">
        <v>1</v>
      </c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1</v>
      </c>
      <c r="J3">
        <v>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2</v>
      </c>
      <c r="X3">
        <v>2</v>
      </c>
      <c r="Y3">
        <v>1</v>
      </c>
      <c r="Z3">
        <v>1</v>
      </c>
      <c r="AA3">
        <v>2</v>
      </c>
      <c r="AB3">
        <v>1</v>
      </c>
      <c r="AC3">
        <v>3</v>
      </c>
      <c r="AD3" t="str">
        <f t="shared" si="0"/>
        <v>[3,1,2,2,3,3,3,3,1,2,1,1,1,1,1,1,1,1,1,1,1,1,2,2,1,1,2,1,3]</v>
      </c>
      <c r="AE3" s="1" t="s">
        <v>1826</v>
      </c>
      <c r="AF3" t="s">
        <v>1845</v>
      </c>
    </row>
    <row r="4" spans="1:32" x14ac:dyDescent="0.3">
      <c r="A4">
        <v>2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 t="str">
        <f t="shared" si="0"/>
        <v>[2,1,2,2,2,2,2,2,1,1,1,1,1,1,1,1,1,1,1,1,1,1,1,1,1,1,1,1,1]</v>
      </c>
      <c r="AE4" s="1" t="s">
        <v>1827</v>
      </c>
      <c r="AF4" t="s">
        <v>1847</v>
      </c>
    </row>
    <row r="5" spans="1:32" x14ac:dyDescent="0.3">
      <c r="A5">
        <v>5</v>
      </c>
      <c r="B5">
        <v>1</v>
      </c>
      <c r="C5">
        <v>5</v>
      </c>
      <c r="D5">
        <v>4</v>
      </c>
      <c r="E5">
        <v>4</v>
      </c>
      <c r="F5">
        <v>3</v>
      </c>
      <c r="G5">
        <v>3</v>
      </c>
      <c r="H5">
        <v>3</v>
      </c>
      <c r="I5">
        <v>1</v>
      </c>
      <c r="J5">
        <v>3</v>
      </c>
      <c r="K5">
        <v>3</v>
      </c>
      <c r="L5">
        <v>3</v>
      </c>
      <c r="M5">
        <v>2</v>
      </c>
      <c r="N5">
        <v>2</v>
      </c>
      <c r="O5">
        <v>2</v>
      </c>
      <c r="P5">
        <v>2</v>
      </c>
      <c r="Q5">
        <v>2</v>
      </c>
      <c r="R5">
        <v>3</v>
      </c>
      <c r="S5">
        <v>3</v>
      </c>
      <c r="T5">
        <v>3</v>
      </c>
      <c r="U5">
        <v>1</v>
      </c>
      <c r="V5">
        <v>1</v>
      </c>
      <c r="W5">
        <v>2</v>
      </c>
      <c r="X5">
        <v>2</v>
      </c>
      <c r="Y5">
        <v>1</v>
      </c>
      <c r="Z5">
        <v>1</v>
      </c>
      <c r="AA5">
        <v>3</v>
      </c>
      <c r="AB5">
        <v>1</v>
      </c>
      <c r="AC5">
        <v>5</v>
      </c>
      <c r="AD5" t="str">
        <f t="shared" si="0"/>
        <v>[5,1,5,4,4,3,3,3,1,3,3,3,2,2,2,2,2,3,3,3,1,1,2,2,1,1,3,1,5]</v>
      </c>
      <c r="AE5" t="s">
        <v>1828</v>
      </c>
      <c r="AF5" t="s">
        <v>1848</v>
      </c>
    </row>
    <row r="6" spans="1:32" x14ac:dyDescent="0.3">
      <c r="A6">
        <v>5</v>
      </c>
      <c r="B6">
        <v>1</v>
      </c>
      <c r="C6">
        <v>5</v>
      </c>
      <c r="D6">
        <v>3</v>
      </c>
      <c r="E6">
        <v>3</v>
      </c>
      <c r="F6">
        <v>4</v>
      </c>
      <c r="G6">
        <v>4</v>
      </c>
      <c r="H6">
        <v>4</v>
      </c>
      <c r="I6">
        <v>1</v>
      </c>
      <c r="J6">
        <v>4</v>
      </c>
      <c r="K6">
        <v>4</v>
      </c>
      <c r="L6">
        <v>4</v>
      </c>
      <c r="M6">
        <v>2</v>
      </c>
      <c r="N6">
        <v>2</v>
      </c>
      <c r="O6">
        <v>2</v>
      </c>
      <c r="P6">
        <v>2</v>
      </c>
      <c r="Q6">
        <v>2</v>
      </c>
      <c r="R6">
        <v>4</v>
      </c>
      <c r="S6">
        <v>4</v>
      </c>
      <c r="T6">
        <v>4</v>
      </c>
      <c r="U6">
        <v>1</v>
      </c>
      <c r="V6">
        <v>1</v>
      </c>
      <c r="W6">
        <v>2</v>
      </c>
      <c r="X6">
        <v>2</v>
      </c>
      <c r="Y6">
        <v>1</v>
      </c>
      <c r="Z6">
        <v>1</v>
      </c>
      <c r="AA6">
        <v>4</v>
      </c>
      <c r="AB6">
        <v>1</v>
      </c>
      <c r="AC6">
        <v>5</v>
      </c>
      <c r="AD6" t="str">
        <f t="shared" si="0"/>
        <v>[5,1,5,3,3,4,4,4,1,4,4,4,2,2,2,2,2,4,4,4,1,1,2,2,1,1,4,1,5]</v>
      </c>
      <c r="AE6" t="s">
        <v>1829</v>
      </c>
      <c r="AF6" t="s">
        <v>1846</v>
      </c>
    </row>
    <row r="7" spans="1:32" x14ac:dyDescent="0.3">
      <c r="A7">
        <v>5</v>
      </c>
      <c r="B7">
        <v>1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1</v>
      </c>
      <c r="J7">
        <v>3</v>
      </c>
      <c r="K7">
        <v>3</v>
      </c>
      <c r="L7">
        <v>3</v>
      </c>
      <c r="M7">
        <v>4</v>
      </c>
      <c r="N7">
        <v>4</v>
      </c>
      <c r="O7">
        <v>4</v>
      </c>
      <c r="P7">
        <v>4</v>
      </c>
      <c r="Q7">
        <v>4</v>
      </c>
      <c r="R7">
        <v>3</v>
      </c>
      <c r="S7">
        <v>3</v>
      </c>
      <c r="T7">
        <v>3</v>
      </c>
      <c r="U7">
        <v>1</v>
      </c>
      <c r="V7">
        <v>1</v>
      </c>
      <c r="W7">
        <v>3</v>
      </c>
      <c r="X7">
        <v>3</v>
      </c>
      <c r="Y7">
        <v>1</v>
      </c>
      <c r="Z7">
        <v>1</v>
      </c>
      <c r="AA7">
        <v>3</v>
      </c>
      <c r="AB7">
        <v>1</v>
      </c>
      <c r="AC7">
        <v>5</v>
      </c>
      <c r="AD7" t="str">
        <f t="shared" si="0"/>
        <v>[5,1,3,3,3,3,3,3,1,3,3,3,4,4,4,4,4,3,3,3,1,1,3,3,1,1,3,1,5]</v>
      </c>
      <c r="AE7" t="s">
        <v>1830</v>
      </c>
      <c r="AF7" t="s">
        <v>1849</v>
      </c>
    </row>
    <row r="8" spans="1:32" x14ac:dyDescent="0.3">
      <c r="A8">
        <v>3.67</v>
      </c>
      <c r="B8">
        <v>11</v>
      </c>
      <c r="C8">
        <v>2.75</v>
      </c>
      <c r="D8">
        <v>2.75</v>
      </c>
      <c r="E8">
        <v>2.75</v>
      </c>
      <c r="F8">
        <v>3.67</v>
      </c>
      <c r="G8">
        <v>3.67</v>
      </c>
      <c r="H8">
        <v>3.67</v>
      </c>
      <c r="I8">
        <v>3.67</v>
      </c>
      <c r="J8">
        <v>3.67</v>
      </c>
      <c r="K8">
        <v>3.67</v>
      </c>
      <c r="L8">
        <v>3.67</v>
      </c>
      <c r="M8">
        <v>2.2000000000000002</v>
      </c>
      <c r="N8">
        <v>2.2000000000000002</v>
      </c>
      <c r="O8">
        <v>2.2000000000000002</v>
      </c>
      <c r="P8">
        <v>2.2000000000000002</v>
      </c>
      <c r="Q8">
        <v>2.2000000000000002</v>
      </c>
      <c r="R8">
        <v>2.75</v>
      </c>
      <c r="S8">
        <v>2.75</v>
      </c>
      <c r="T8">
        <v>2.75</v>
      </c>
      <c r="U8">
        <v>2.75</v>
      </c>
      <c r="V8">
        <v>3.67</v>
      </c>
      <c r="W8">
        <v>3.67</v>
      </c>
      <c r="X8">
        <v>2.75</v>
      </c>
      <c r="Y8">
        <v>3.67</v>
      </c>
      <c r="Z8">
        <v>3.67</v>
      </c>
      <c r="AA8">
        <v>3.67</v>
      </c>
      <c r="AB8">
        <v>3.67</v>
      </c>
      <c r="AC8">
        <v>3.67</v>
      </c>
      <c r="AD8" t="str">
        <f t="shared" si="0"/>
        <v>[3.67,11,2.75,2.75,2.75,3.67,3.67,3.67,3.67,3.67,3.67,3.67,2.2,2.2,2.2,2.2,2.2,2.75,2.75,2.75,2.75,3.67,3.67,2.75,3.67,3.67,3.67,3.67,3.67]</v>
      </c>
      <c r="AE8" t="s">
        <v>1831</v>
      </c>
      <c r="AF8" t="s">
        <v>1850</v>
      </c>
    </row>
    <row r="9" spans="1:32" x14ac:dyDescent="0.3">
      <c r="A9">
        <v>11</v>
      </c>
      <c r="B9">
        <v>11</v>
      </c>
      <c r="C9">
        <v>5.5</v>
      </c>
      <c r="D9">
        <v>5.5</v>
      </c>
      <c r="E9">
        <v>8.25</v>
      </c>
      <c r="F9">
        <v>11</v>
      </c>
      <c r="G9">
        <v>11</v>
      </c>
      <c r="H9">
        <v>11</v>
      </c>
      <c r="I9">
        <v>3.67</v>
      </c>
      <c r="J9">
        <v>7.33</v>
      </c>
      <c r="K9">
        <v>3.67</v>
      </c>
      <c r="L9">
        <v>3.67</v>
      </c>
      <c r="M9">
        <v>4.4000000000000004</v>
      </c>
      <c r="N9">
        <v>4.4000000000000004</v>
      </c>
      <c r="O9">
        <v>4.4000000000000004</v>
      </c>
      <c r="P9">
        <v>4.4000000000000004</v>
      </c>
      <c r="Q9">
        <v>4.4000000000000004</v>
      </c>
      <c r="R9">
        <v>2.75</v>
      </c>
      <c r="S9">
        <v>2.75</v>
      </c>
      <c r="T9">
        <v>2.75</v>
      </c>
      <c r="U9">
        <v>2.75</v>
      </c>
      <c r="V9">
        <v>3.67</v>
      </c>
      <c r="W9">
        <v>7.33</v>
      </c>
      <c r="X9">
        <v>5.5</v>
      </c>
      <c r="Y9">
        <v>3.67</v>
      </c>
      <c r="Z9">
        <v>3.67</v>
      </c>
      <c r="AA9">
        <v>7.33</v>
      </c>
      <c r="AB9">
        <v>3.67</v>
      </c>
      <c r="AC9">
        <v>11</v>
      </c>
      <c r="AD9" t="str">
        <f t="shared" si="0"/>
        <v>[11,11,5.5,5.5,8.25,11,11,11,3.67,7.33,3.67,3.67,4.4,4.4,4.4,4.4,4.4,2.75,2.75,2.75,2.75,3.67,7.33,5.5,3.67,3.67,7.33,3.67,11]</v>
      </c>
      <c r="AE9" t="s">
        <v>1824</v>
      </c>
      <c r="AF9" t="s">
        <v>1851</v>
      </c>
    </row>
    <row r="10" spans="1:32" x14ac:dyDescent="0.3">
      <c r="A10">
        <v>20</v>
      </c>
      <c r="B10">
        <v>1</v>
      </c>
      <c r="C10">
        <v>1</v>
      </c>
      <c r="D10">
        <v>8</v>
      </c>
      <c r="E10">
        <v>10</v>
      </c>
      <c r="F10">
        <v>6</v>
      </c>
      <c r="G10">
        <v>6</v>
      </c>
      <c r="H10">
        <v>6</v>
      </c>
      <c r="I10">
        <v>0.5</v>
      </c>
      <c r="J10">
        <v>0.5</v>
      </c>
      <c r="K10">
        <v>0.5</v>
      </c>
      <c r="L10">
        <v>2</v>
      </c>
      <c r="M10">
        <v>1.25</v>
      </c>
      <c r="N10">
        <v>1.25</v>
      </c>
      <c r="O10">
        <v>1.25</v>
      </c>
      <c r="P10">
        <v>1.25</v>
      </c>
      <c r="Q10">
        <v>0</v>
      </c>
      <c r="R10">
        <v>3</v>
      </c>
      <c r="S10">
        <v>3</v>
      </c>
      <c r="T10">
        <v>3</v>
      </c>
      <c r="U10">
        <v>2</v>
      </c>
      <c r="V10">
        <v>2</v>
      </c>
      <c r="W10">
        <v>3</v>
      </c>
      <c r="X10">
        <v>3</v>
      </c>
      <c r="Y10">
        <v>0.5</v>
      </c>
      <c r="Z10">
        <v>22</v>
      </c>
      <c r="AA10">
        <v>23</v>
      </c>
      <c r="AB10">
        <v>25</v>
      </c>
      <c r="AC10">
        <v>25</v>
      </c>
      <c r="AD10" t="str">
        <f t="shared" si="0"/>
        <v>[20,1,1,8,10,6,6,6,0.5,0.5,0.5,2,1.25,1.25,1.25,1.25,0,3,3,3,2,2,3,3,0.5,22,23,25,25]</v>
      </c>
      <c r="AE10" t="s">
        <v>1883</v>
      </c>
      <c r="AF10" t="s">
        <v>1884</v>
      </c>
    </row>
    <row r="11" spans="1:32" x14ac:dyDescent="0.3">
      <c r="A11">
        <v>15</v>
      </c>
      <c r="B11">
        <v>1</v>
      </c>
      <c r="C11">
        <v>10</v>
      </c>
      <c r="D11">
        <v>9</v>
      </c>
      <c r="E11">
        <v>12</v>
      </c>
      <c r="F11">
        <v>5</v>
      </c>
      <c r="G11">
        <v>5</v>
      </c>
      <c r="H11">
        <v>5</v>
      </c>
      <c r="I11">
        <v>1</v>
      </c>
      <c r="J11">
        <v>1</v>
      </c>
      <c r="K11">
        <v>0.5</v>
      </c>
      <c r="L11">
        <v>4</v>
      </c>
      <c r="M11">
        <v>0.5</v>
      </c>
      <c r="N11">
        <v>0.5</v>
      </c>
      <c r="O11">
        <v>0.5</v>
      </c>
      <c r="P11">
        <v>0.5</v>
      </c>
      <c r="Q11">
        <v>0.5</v>
      </c>
      <c r="R11">
        <v>1</v>
      </c>
      <c r="S11">
        <v>1</v>
      </c>
      <c r="T11">
        <v>1</v>
      </c>
      <c r="U11">
        <v>0.5</v>
      </c>
      <c r="V11">
        <v>0.5</v>
      </c>
      <c r="W11">
        <v>5</v>
      </c>
      <c r="X11">
        <v>5</v>
      </c>
      <c r="Y11">
        <v>0</v>
      </c>
      <c r="Z11">
        <v>5</v>
      </c>
      <c r="AA11">
        <v>5</v>
      </c>
      <c r="AB11">
        <v>0</v>
      </c>
      <c r="AC11">
        <v>5</v>
      </c>
      <c r="AD11" t="str">
        <f t="shared" ref="AD11:AD12" si="1">"["&amp;A11&amp;","&amp;B11&amp;","&amp;C11&amp;","&amp;D11&amp;","&amp;E11&amp;","&amp;F11&amp;","&amp;G11&amp;","&amp;H11&amp;","&amp;I11&amp;","&amp;J11&amp;","&amp;K11&amp;","&amp;L11&amp;","&amp;M11&amp;","&amp;N11&amp;","&amp;O11&amp;","&amp;P11&amp;","&amp;Q11&amp;","&amp;R11&amp;","&amp;S11&amp;","&amp;T11&amp;","&amp;U11&amp;","&amp;V11&amp;","&amp;W11&amp;","&amp;X11&amp;","&amp;Y11&amp;","&amp;Z11&amp;","&amp;AA11&amp;","&amp;AB11&amp;","&amp;AC11&amp;"]"</f>
        <v>[15,1,10,9,12,5,5,5,1,1,0.5,4,0.5,0.5,0.5,0.5,0.5,1,1,1,0.5,0.5,5,5,0,5,5,0,5]</v>
      </c>
      <c r="AE11" t="s">
        <v>1888</v>
      </c>
      <c r="AF11" t="s">
        <v>1887</v>
      </c>
    </row>
    <row r="12" spans="1:32" x14ac:dyDescent="0.3">
      <c r="A12">
        <v>10</v>
      </c>
      <c r="B12">
        <v>1</v>
      </c>
      <c r="C12">
        <v>10</v>
      </c>
      <c r="D12">
        <v>5</v>
      </c>
      <c r="E12">
        <v>10</v>
      </c>
      <c r="F12">
        <v>5</v>
      </c>
      <c r="G12">
        <v>5</v>
      </c>
      <c r="H12">
        <v>5</v>
      </c>
      <c r="I12">
        <v>0</v>
      </c>
      <c r="J12">
        <v>0</v>
      </c>
      <c r="K12">
        <v>0</v>
      </c>
      <c r="L12">
        <v>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</v>
      </c>
      <c r="X12">
        <v>5</v>
      </c>
      <c r="Y12">
        <v>0</v>
      </c>
      <c r="Z12">
        <v>5</v>
      </c>
      <c r="AA12">
        <v>10</v>
      </c>
      <c r="AB12">
        <v>0</v>
      </c>
      <c r="AC12">
        <v>1</v>
      </c>
      <c r="AD12" t="str">
        <f t="shared" si="1"/>
        <v>[10,1,10,5,10,5,5,5,0,0,0,5,0,0,0,0,0,0,0,0,0,0,5,5,0,5,10,0,1]</v>
      </c>
      <c r="AE12" t="s">
        <v>1890</v>
      </c>
      <c r="AF12" t="s">
        <v>1891</v>
      </c>
    </row>
  </sheetData>
  <phoneticPr fontId="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96A9-5979-4B0D-B90C-35F9E3A48891}">
  <sheetPr>
    <tabColor theme="2" tint="-0.749992370372631"/>
  </sheetPr>
  <dimension ref="A1:C12"/>
  <sheetViews>
    <sheetView workbookViewId="0">
      <selection activeCell="C12" sqref="C12"/>
    </sheetView>
  </sheetViews>
  <sheetFormatPr defaultRowHeight="14.4" x14ac:dyDescent="0.3"/>
  <cols>
    <col min="2" max="2" width="13.33203125" customWidth="1"/>
  </cols>
  <sheetData>
    <row r="1" spans="1:3" x14ac:dyDescent="0.3">
      <c r="A1" t="s">
        <v>1832</v>
      </c>
      <c r="B1" t="s">
        <v>1833</v>
      </c>
      <c r="C1" t="s">
        <v>1834</v>
      </c>
    </row>
    <row r="2" spans="1:3" x14ac:dyDescent="0.3">
      <c r="A2">
        <v>1</v>
      </c>
      <c r="B2" s="1" t="s">
        <v>1825</v>
      </c>
      <c r="C2">
        <v>1</v>
      </c>
    </row>
    <row r="3" spans="1:3" x14ac:dyDescent="0.3">
      <c r="A3">
        <v>2</v>
      </c>
      <c r="B3" s="1" t="s">
        <v>1826</v>
      </c>
      <c r="C3">
        <v>3</v>
      </c>
    </row>
    <row r="4" spans="1:3" x14ac:dyDescent="0.3">
      <c r="A4">
        <v>3</v>
      </c>
      <c r="B4" s="1" t="s">
        <v>1827</v>
      </c>
      <c r="C4">
        <v>2</v>
      </c>
    </row>
    <row r="5" spans="1:3" x14ac:dyDescent="0.3">
      <c r="A5">
        <v>4</v>
      </c>
      <c r="B5" t="s">
        <v>1828</v>
      </c>
      <c r="C5">
        <v>3.5</v>
      </c>
    </row>
    <row r="6" spans="1:3" x14ac:dyDescent="0.3">
      <c r="A6">
        <v>5</v>
      </c>
      <c r="B6" t="s">
        <v>1829</v>
      </c>
      <c r="C6">
        <v>3.5</v>
      </c>
    </row>
    <row r="7" spans="1:3" x14ac:dyDescent="0.3">
      <c r="A7">
        <v>6</v>
      </c>
      <c r="B7" t="s">
        <v>1830</v>
      </c>
      <c r="C7">
        <v>2.5</v>
      </c>
    </row>
    <row r="8" spans="1:3" x14ac:dyDescent="0.3">
      <c r="A8">
        <v>7</v>
      </c>
      <c r="B8" t="s">
        <v>1831</v>
      </c>
      <c r="C8">
        <v>11</v>
      </c>
    </row>
    <row r="9" spans="1:3" x14ac:dyDescent="0.3">
      <c r="A9">
        <v>8</v>
      </c>
      <c r="B9" t="s">
        <v>1824</v>
      </c>
      <c r="C9">
        <v>3</v>
      </c>
    </row>
    <row r="10" spans="1:3" x14ac:dyDescent="0.3">
      <c r="A10">
        <v>9</v>
      </c>
      <c r="B10" t="s">
        <v>1883</v>
      </c>
      <c r="C10">
        <v>22</v>
      </c>
    </row>
    <row r="11" spans="1:3" x14ac:dyDescent="0.3">
      <c r="A11">
        <v>10</v>
      </c>
      <c r="B11" t="s">
        <v>1886</v>
      </c>
      <c r="C11">
        <v>15</v>
      </c>
    </row>
    <row r="12" spans="1:3" x14ac:dyDescent="0.3">
      <c r="A12">
        <v>11</v>
      </c>
      <c r="B12" t="s">
        <v>1890</v>
      </c>
      <c r="C12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BE89-6D18-495D-BFFD-DD3C931CFB81}">
  <dimension ref="A1:P49"/>
  <sheetViews>
    <sheetView workbookViewId="0">
      <selection activeCell="B5" sqref="B5:B31"/>
    </sheetView>
  </sheetViews>
  <sheetFormatPr defaultRowHeight="14.4" x14ac:dyDescent="0.3"/>
  <cols>
    <col min="2" max="2" width="28.33203125" bestFit="1" customWidth="1"/>
    <col min="3" max="3" width="9" bestFit="1" customWidth="1"/>
    <col min="4" max="4" width="11" bestFit="1" customWidth="1"/>
    <col min="5" max="5" width="13.5546875" hidden="1" customWidth="1"/>
    <col min="14" max="14" width="115.77734375" bestFit="1" customWidth="1"/>
  </cols>
  <sheetData>
    <row r="1" spans="1:16" x14ac:dyDescent="0.3">
      <c r="A1">
        <v>0</v>
      </c>
    </row>
    <row r="2" spans="1:16" x14ac:dyDescent="0.3">
      <c r="D2" t="s">
        <v>1823</v>
      </c>
      <c r="E2" t="s">
        <v>1824</v>
      </c>
      <c r="F2" t="s">
        <v>1852</v>
      </c>
      <c r="L2">
        <v>11</v>
      </c>
    </row>
    <row r="3" spans="1:16" x14ac:dyDescent="0.3">
      <c r="A3">
        <v>6</v>
      </c>
      <c r="B3" s="1" t="s">
        <v>1176</v>
      </c>
      <c r="C3" t="s">
        <v>196</v>
      </c>
      <c r="D3">
        <v>3.6666666666666701</v>
      </c>
      <c r="E3">
        <v>11</v>
      </c>
      <c r="L3" t="s">
        <v>1822</v>
      </c>
    </row>
    <row r="4" spans="1:16" x14ac:dyDescent="0.3">
      <c r="A4">
        <v>2</v>
      </c>
      <c r="B4" s="1" t="s">
        <v>1177</v>
      </c>
      <c r="C4" t="s">
        <v>1821</v>
      </c>
      <c r="D4">
        <v>11</v>
      </c>
      <c r="E4">
        <v>11</v>
      </c>
      <c r="J4" t="s">
        <v>196</v>
      </c>
      <c r="K4">
        <f t="shared" ref="K4:K10" si="0">COUNTIF($C$3:$C$31,J4)</f>
        <v>1</v>
      </c>
      <c r="L4">
        <f t="shared" ref="L4:L10" si="1">$L$2/K4</f>
        <v>11</v>
      </c>
      <c r="O4" s="1" t="s">
        <v>1817</v>
      </c>
    </row>
    <row r="5" spans="1:16" x14ac:dyDescent="0.3">
      <c r="A5">
        <v>3</v>
      </c>
      <c r="B5" s="1" t="s">
        <v>1178</v>
      </c>
      <c r="C5" t="s">
        <v>1820</v>
      </c>
      <c r="D5">
        <v>2.75</v>
      </c>
      <c r="E5">
        <v>5.5</v>
      </c>
      <c r="J5" t="s">
        <v>1821</v>
      </c>
      <c r="K5">
        <f t="shared" si="0"/>
        <v>1</v>
      </c>
      <c r="L5">
        <f t="shared" si="1"/>
        <v>11</v>
      </c>
      <c r="N5" t="s">
        <v>1835</v>
      </c>
      <c r="O5" s="1" t="s">
        <v>1825</v>
      </c>
    </row>
    <row r="6" spans="1:16" x14ac:dyDescent="0.3">
      <c r="A6">
        <v>4</v>
      </c>
      <c r="B6" s="1" t="s">
        <v>1179</v>
      </c>
      <c r="C6" t="s">
        <v>247</v>
      </c>
      <c r="D6">
        <v>2.75</v>
      </c>
      <c r="E6">
        <v>5.5</v>
      </c>
      <c r="J6" t="s">
        <v>1820</v>
      </c>
      <c r="K6">
        <f t="shared" si="0"/>
        <v>4</v>
      </c>
      <c r="L6">
        <f t="shared" si="1"/>
        <v>2.75</v>
      </c>
      <c r="N6" t="s">
        <v>1836</v>
      </c>
      <c r="O6" s="1" t="s">
        <v>1826</v>
      </c>
      <c r="P6" s="1" t="s">
        <v>1818</v>
      </c>
    </row>
    <row r="7" spans="1:16" x14ac:dyDescent="0.3">
      <c r="A7">
        <v>4</v>
      </c>
      <c r="B7" s="1" t="s">
        <v>1180</v>
      </c>
      <c r="C7" t="s">
        <v>247</v>
      </c>
      <c r="D7">
        <v>2.75</v>
      </c>
      <c r="E7">
        <v>8.25</v>
      </c>
      <c r="J7" t="s">
        <v>247</v>
      </c>
      <c r="K7">
        <f t="shared" si="0"/>
        <v>4</v>
      </c>
      <c r="L7">
        <f t="shared" si="1"/>
        <v>2.75</v>
      </c>
      <c r="N7" t="s">
        <v>1837</v>
      </c>
      <c r="O7" s="1" t="s">
        <v>1827</v>
      </c>
    </row>
    <row r="8" spans="1:16" x14ac:dyDescent="0.3">
      <c r="A8">
        <v>4</v>
      </c>
      <c r="B8" s="1" t="s">
        <v>1181</v>
      </c>
      <c r="C8" t="s">
        <v>248</v>
      </c>
      <c r="D8">
        <v>3.6666666666666665</v>
      </c>
      <c r="E8">
        <v>11</v>
      </c>
      <c r="J8" t="s">
        <v>248</v>
      </c>
      <c r="K8">
        <f t="shared" si="0"/>
        <v>11</v>
      </c>
      <c r="L8">
        <f t="shared" si="1"/>
        <v>1</v>
      </c>
      <c r="N8" t="s">
        <v>1838</v>
      </c>
      <c r="O8" t="s">
        <v>1828</v>
      </c>
    </row>
    <row r="9" spans="1:16" x14ac:dyDescent="0.3">
      <c r="A9">
        <v>4</v>
      </c>
      <c r="B9" s="1" t="s">
        <v>1182</v>
      </c>
      <c r="C9" t="s">
        <v>248</v>
      </c>
      <c r="D9">
        <v>3.6666666666666665</v>
      </c>
      <c r="E9">
        <v>11</v>
      </c>
      <c r="J9" t="s">
        <v>1819</v>
      </c>
      <c r="K9">
        <f t="shared" si="0"/>
        <v>5</v>
      </c>
      <c r="L9">
        <f t="shared" si="1"/>
        <v>2.2000000000000002</v>
      </c>
      <c r="N9" t="s">
        <v>1839</v>
      </c>
      <c r="O9" t="s">
        <v>1829</v>
      </c>
    </row>
    <row r="10" spans="1:16" x14ac:dyDescent="0.3">
      <c r="A10">
        <v>4</v>
      </c>
      <c r="B10" s="1" t="s">
        <v>1183</v>
      </c>
      <c r="C10" t="s">
        <v>248</v>
      </c>
      <c r="D10">
        <v>3.6666666666666665</v>
      </c>
      <c r="E10">
        <v>11</v>
      </c>
      <c r="J10" t="s">
        <v>246</v>
      </c>
      <c r="K10">
        <f t="shared" si="0"/>
        <v>3</v>
      </c>
      <c r="L10">
        <f t="shared" si="1"/>
        <v>3.6666666666666665</v>
      </c>
      <c r="N10" t="s">
        <v>1840</v>
      </c>
      <c r="O10" t="s">
        <v>1830</v>
      </c>
    </row>
    <row r="11" spans="1:16" x14ac:dyDescent="0.3">
      <c r="A11">
        <v>4</v>
      </c>
      <c r="B11" s="1" t="s">
        <v>1184</v>
      </c>
      <c r="C11" t="s">
        <v>248</v>
      </c>
      <c r="D11">
        <v>3.6666666666666665</v>
      </c>
      <c r="E11">
        <v>3.6666666666666665</v>
      </c>
      <c r="N11" t="s">
        <v>1841</v>
      </c>
      <c r="O11" t="s">
        <v>1831</v>
      </c>
    </row>
    <row r="12" spans="1:16" x14ac:dyDescent="0.3">
      <c r="A12">
        <v>4</v>
      </c>
      <c r="B12" s="1" t="s">
        <v>1185</v>
      </c>
      <c r="C12" t="s">
        <v>248</v>
      </c>
      <c r="D12">
        <v>3.6666666666666665</v>
      </c>
      <c r="E12">
        <v>7.333333333333333</v>
      </c>
      <c r="N12" t="s">
        <v>1842</v>
      </c>
      <c r="O12" t="s">
        <v>1824</v>
      </c>
    </row>
    <row r="13" spans="1:16" x14ac:dyDescent="0.3">
      <c r="A13">
        <v>2</v>
      </c>
      <c r="B13" s="1" t="s">
        <v>1186</v>
      </c>
      <c r="C13" t="s">
        <v>248</v>
      </c>
      <c r="D13">
        <v>3.6666666666666665</v>
      </c>
      <c r="E13">
        <v>3.6666666666666665</v>
      </c>
    </row>
    <row r="14" spans="1:16" x14ac:dyDescent="0.3">
      <c r="A14">
        <v>4</v>
      </c>
      <c r="B14" s="1" t="s">
        <v>1187</v>
      </c>
      <c r="C14" t="s">
        <v>248</v>
      </c>
      <c r="D14">
        <v>3.6666666666666665</v>
      </c>
      <c r="E14">
        <v>3.6666666666666665</v>
      </c>
    </row>
    <row r="15" spans="1:16" x14ac:dyDescent="0.3">
      <c r="A15">
        <v>2</v>
      </c>
      <c r="B15" s="1" t="s">
        <v>1188</v>
      </c>
      <c r="C15" t="s">
        <v>1819</v>
      </c>
      <c r="D15">
        <v>2.2000000000000002</v>
      </c>
      <c r="E15">
        <v>4.4000000000000004</v>
      </c>
    </row>
    <row r="16" spans="1:16" x14ac:dyDescent="0.3">
      <c r="A16">
        <v>2</v>
      </c>
      <c r="B16" s="1" t="s">
        <v>1189</v>
      </c>
      <c r="C16" t="s">
        <v>1819</v>
      </c>
      <c r="D16">
        <v>2.2000000000000002</v>
      </c>
      <c r="E16">
        <v>4.4000000000000004</v>
      </c>
    </row>
    <row r="17" spans="1:5" x14ac:dyDescent="0.3">
      <c r="A17">
        <v>2</v>
      </c>
      <c r="B17" s="1" t="s">
        <v>1190</v>
      </c>
      <c r="C17" t="s">
        <v>1819</v>
      </c>
      <c r="D17">
        <v>2.2000000000000002</v>
      </c>
      <c r="E17">
        <v>4.4000000000000004</v>
      </c>
    </row>
    <row r="18" spans="1:5" x14ac:dyDescent="0.3">
      <c r="A18">
        <v>2</v>
      </c>
      <c r="B18" s="1" t="s">
        <v>1191</v>
      </c>
      <c r="C18" t="s">
        <v>1819</v>
      </c>
      <c r="D18">
        <v>2.2000000000000002</v>
      </c>
      <c r="E18">
        <v>4.4000000000000004</v>
      </c>
    </row>
    <row r="19" spans="1:5" x14ac:dyDescent="0.3">
      <c r="A19">
        <v>2</v>
      </c>
      <c r="B19" s="1" t="s">
        <v>1192</v>
      </c>
      <c r="C19" t="s">
        <v>1819</v>
      </c>
      <c r="D19">
        <v>2.2000000000000002</v>
      </c>
      <c r="E19">
        <v>4.4000000000000004</v>
      </c>
    </row>
    <row r="20" spans="1:5" x14ac:dyDescent="0.3">
      <c r="A20">
        <v>3</v>
      </c>
      <c r="B20" s="1" t="s">
        <v>1193</v>
      </c>
      <c r="C20" t="s">
        <v>1820</v>
      </c>
      <c r="D20">
        <v>2.75</v>
      </c>
      <c r="E20">
        <v>2.75</v>
      </c>
    </row>
    <row r="21" spans="1:5" x14ac:dyDescent="0.3">
      <c r="A21">
        <v>3</v>
      </c>
      <c r="B21" s="1" t="s">
        <v>1194</v>
      </c>
      <c r="C21" t="s">
        <v>1820</v>
      </c>
      <c r="D21">
        <v>2.75</v>
      </c>
      <c r="E21">
        <v>2.75</v>
      </c>
    </row>
    <row r="22" spans="1:5" x14ac:dyDescent="0.3">
      <c r="A22">
        <v>3</v>
      </c>
      <c r="B22" s="1" t="s">
        <v>1195</v>
      </c>
      <c r="C22" t="s">
        <v>1820</v>
      </c>
      <c r="D22">
        <v>2.75</v>
      </c>
      <c r="E22">
        <v>2.75</v>
      </c>
    </row>
    <row r="23" spans="1:5" x14ac:dyDescent="0.3">
      <c r="A23">
        <v>1</v>
      </c>
      <c r="B23" s="1" t="s">
        <v>1196</v>
      </c>
      <c r="C23" t="s">
        <v>247</v>
      </c>
      <c r="D23">
        <v>2.75</v>
      </c>
      <c r="E23">
        <v>2.75</v>
      </c>
    </row>
    <row r="24" spans="1:5" x14ac:dyDescent="0.3">
      <c r="A24">
        <v>1</v>
      </c>
      <c r="B24" s="1" t="s">
        <v>1197</v>
      </c>
      <c r="C24" t="s">
        <v>248</v>
      </c>
      <c r="D24">
        <v>3.6666666666666665</v>
      </c>
      <c r="E24">
        <v>3.6666666666666665</v>
      </c>
    </row>
    <row r="25" spans="1:5" x14ac:dyDescent="0.3">
      <c r="A25">
        <v>2</v>
      </c>
      <c r="B25" s="1" t="s">
        <v>1198</v>
      </c>
      <c r="C25" t="s">
        <v>248</v>
      </c>
      <c r="D25">
        <v>3.6666666666666665</v>
      </c>
      <c r="E25">
        <v>7.333333333333333</v>
      </c>
    </row>
    <row r="26" spans="1:5" x14ac:dyDescent="0.3">
      <c r="A26">
        <v>2</v>
      </c>
      <c r="B26" s="1" t="s">
        <v>1199</v>
      </c>
      <c r="C26" t="s">
        <v>247</v>
      </c>
      <c r="D26">
        <v>2.75</v>
      </c>
      <c r="E26">
        <v>5.5</v>
      </c>
    </row>
    <row r="27" spans="1:5" x14ac:dyDescent="0.3">
      <c r="A27">
        <v>1</v>
      </c>
      <c r="B27" s="1" t="s">
        <v>1200</v>
      </c>
      <c r="C27" t="s">
        <v>248</v>
      </c>
      <c r="D27">
        <v>3.6666666666666665</v>
      </c>
      <c r="E27">
        <v>3.6666666666666665</v>
      </c>
    </row>
    <row r="28" spans="1:5" x14ac:dyDescent="0.3">
      <c r="A28">
        <v>1</v>
      </c>
      <c r="B28" s="1" t="s">
        <v>1201</v>
      </c>
      <c r="C28" t="s">
        <v>248</v>
      </c>
      <c r="D28">
        <v>3.6666666666666665</v>
      </c>
      <c r="E28">
        <v>3.6666666666666665</v>
      </c>
    </row>
    <row r="29" spans="1:5" x14ac:dyDescent="0.3">
      <c r="A29">
        <v>6</v>
      </c>
      <c r="B29" s="1" t="s">
        <v>1202</v>
      </c>
      <c r="C29" t="s">
        <v>246</v>
      </c>
      <c r="D29">
        <v>3.6666666666666665</v>
      </c>
      <c r="E29">
        <v>7.333333333333333</v>
      </c>
    </row>
    <row r="30" spans="1:5" x14ac:dyDescent="0.3">
      <c r="A30">
        <v>10</v>
      </c>
      <c r="B30" s="1" t="s">
        <v>1203</v>
      </c>
      <c r="C30" t="s">
        <v>246</v>
      </c>
      <c r="D30">
        <v>3.6666666666666665</v>
      </c>
      <c r="E30">
        <v>3.6666666666666665</v>
      </c>
    </row>
    <row r="31" spans="1:5" x14ac:dyDescent="0.3">
      <c r="A31">
        <v>10</v>
      </c>
      <c r="B31" s="1" t="s">
        <v>1204</v>
      </c>
      <c r="C31" t="s">
        <v>246</v>
      </c>
      <c r="D31">
        <v>3.6666666666666665</v>
      </c>
      <c r="E31">
        <v>11</v>
      </c>
    </row>
    <row r="40" spans="2:5" x14ac:dyDescent="0.3">
      <c r="B40" t="s">
        <v>692</v>
      </c>
      <c r="C40" t="s">
        <v>1163</v>
      </c>
    </row>
    <row r="41" spans="2:5" x14ac:dyDescent="0.3">
      <c r="B41" t="s">
        <v>693</v>
      </c>
      <c r="C41" t="s">
        <v>1164</v>
      </c>
    </row>
    <row r="42" spans="2:5" x14ac:dyDescent="0.3">
      <c r="B42" t="s">
        <v>694</v>
      </c>
      <c r="C42" t="s">
        <v>1165</v>
      </c>
    </row>
    <row r="43" spans="2:5" x14ac:dyDescent="0.3">
      <c r="B43" t="s">
        <v>695</v>
      </c>
      <c r="C43" t="s">
        <v>1166</v>
      </c>
    </row>
    <row r="44" spans="2:5" x14ac:dyDescent="0.3">
      <c r="B44" t="s">
        <v>696</v>
      </c>
      <c r="C44" t="s">
        <v>1167</v>
      </c>
    </row>
    <row r="45" spans="2:5" x14ac:dyDescent="0.3">
      <c r="B45" t="s">
        <v>697</v>
      </c>
      <c r="C45" t="s">
        <v>1168</v>
      </c>
    </row>
    <row r="46" spans="2:5" x14ac:dyDescent="0.3">
      <c r="B46" t="s">
        <v>698</v>
      </c>
      <c r="C46" t="s">
        <v>1169</v>
      </c>
    </row>
    <row r="47" spans="2:5" x14ac:dyDescent="0.3">
      <c r="B47" t="s">
        <v>699</v>
      </c>
      <c r="C47" t="s">
        <v>1170</v>
      </c>
    </row>
    <row r="48" spans="2:5" x14ac:dyDescent="0.3">
      <c r="B48" t="s">
        <v>700</v>
      </c>
      <c r="C48" t="s">
        <v>1174</v>
      </c>
      <c r="E48" t="s">
        <v>1172</v>
      </c>
    </row>
    <row r="49" spans="2:3" x14ac:dyDescent="0.3">
      <c r="B49" t="s">
        <v>701</v>
      </c>
      <c r="C49" t="s">
        <v>1175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2E1C-9199-4794-B990-1E9B2033F243}">
  <dimension ref="A1:B560"/>
  <sheetViews>
    <sheetView workbookViewId="0">
      <selection sqref="A1:B560"/>
    </sheetView>
  </sheetViews>
  <sheetFormatPr defaultRowHeight="14.4" x14ac:dyDescent="0.3"/>
  <cols>
    <col min="1" max="1" width="17.44140625" bestFit="1" customWidth="1"/>
  </cols>
  <sheetData>
    <row r="1" spans="1:2" x14ac:dyDescent="0.3">
      <c r="A1" s="1" t="s">
        <v>684</v>
      </c>
      <c r="B1" s="21" t="s">
        <v>383</v>
      </c>
    </row>
    <row r="2" spans="1:2" x14ac:dyDescent="0.3">
      <c r="A2" s="38" t="s">
        <v>703</v>
      </c>
      <c r="B2" t="s">
        <v>1892</v>
      </c>
    </row>
    <row r="3" spans="1:2" x14ac:dyDescent="0.3">
      <c r="A3" s="38" t="s">
        <v>705</v>
      </c>
      <c r="B3" t="s">
        <v>1893</v>
      </c>
    </row>
    <row r="4" spans="1:2" x14ac:dyDescent="0.3">
      <c r="A4" s="38" t="s">
        <v>706</v>
      </c>
      <c r="B4" t="s">
        <v>1894</v>
      </c>
    </row>
    <row r="5" spans="1:2" x14ac:dyDescent="0.3">
      <c r="A5" t="s">
        <v>707</v>
      </c>
      <c r="B5" t="s">
        <v>1895</v>
      </c>
    </row>
    <row r="6" spans="1:2" x14ac:dyDescent="0.3">
      <c r="A6" t="s">
        <v>708</v>
      </c>
      <c r="B6" t="s">
        <v>1896</v>
      </c>
    </row>
    <row r="7" spans="1:2" x14ac:dyDescent="0.3">
      <c r="A7" t="s">
        <v>709</v>
      </c>
      <c r="B7" t="s">
        <v>1897</v>
      </c>
    </row>
    <row r="8" spans="1:2" x14ac:dyDescent="0.3">
      <c r="A8" t="s">
        <v>710</v>
      </c>
      <c r="B8" t="s">
        <v>1898</v>
      </c>
    </row>
    <row r="9" spans="1:2" x14ac:dyDescent="0.3">
      <c r="A9" t="s">
        <v>711</v>
      </c>
      <c r="B9" t="s">
        <v>1899</v>
      </c>
    </row>
    <row r="10" spans="1:2" x14ac:dyDescent="0.3">
      <c r="A10" t="s">
        <v>712</v>
      </c>
      <c r="B10" t="s">
        <v>1900</v>
      </c>
    </row>
    <row r="11" spans="1:2" x14ac:dyDescent="0.3">
      <c r="A11" t="s">
        <v>713</v>
      </c>
      <c r="B11" t="s">
        <v>1901</v>
      </c>
    </row>
    <row r="12" spans="1:2" x14ac:dyDescent="0.3">
      <c r="A12" t="s">
        <v>714</v>
      </c>
      <c r="B12" t="s">
        <v>1902</v>
      </c>
    </row>
    <row r="13" spans="1:2" x14ac:dyDescent="0.3">
      <c r="A13" t="s">
        <v>715</v>
      </c>
      <c r="B13" t="s">
        <v>1903</v>
      </c>
    </row>
    <row r="14" spans="1:2" x14ac:dyDescent="0.3">
      <c r="A14" t="s">
        <v>716</v>
      </c>
      <c r="B14" t="s">
        <v>1904</v>
      </c>
    </row>
    <row r="15" spans="1:2" x14ac:dyDescent="0.3">
      <c r="A15" t="s">
        <v>717</v>
      </c>
      <c r="B15" t="s">
        <v>1905</v>
      </c>
    </row>
    <row r="16" spans="1:2" x14ac:dyDescent="0.3">
      <c r="A16" t="s">
        <v>718</v>
      </c>
      <c r="B16" t="s">
        <v>1906</v>
      </c>
    </row>
    <row r="17" spans="1:2" x14ac:dyDescent="0.3">
      <c r="A17" t="s">
        <v>719</v>
      </c>
      <c r="B17" t="s">
        <v>1907</v>
      </c>
    </row>
    <row r="18" spans="1:2" x14ac:dyDescent="0.3">
      <c r="A18" t="s">
        <v>720</v>
      </c>
      <c r="B18" t="s">
        <v>1908</v>
      </c>
    </row>
    <row r="19" spans="1:2" x14ac:dyDescent="0.3">
      <c r="A19" t="s">
        <v>721</v>
      </c>
      <c r="B19" t="s">
        <v>1909</v>
      </c>
    </row>
    <row r="20" spans="1:2" x14ac:dyDescent="0.3">
      <c r="A20" t="s">
        <v>722</v>
      </c>
      <c r="B20" t="s">
        <v>1910</v>
      </c>
    </row>
    <row r="21" spans="1:2" x14ac:dyDescent="0.3">
      <c r="A21" t="s">
        <v>723</v>
      </c>
      <c r="B21" t="s">
        <v>1911</v>
      </c>
    </row>
    <row r="22" spans="1:2" x14ac:dyDescent="0.3">
      <c r="A22" t="s">
        <v>724</v>
      </c>
      <c r="B22" t="s">
        <v>1912</v>
      </c>
    </row>
    <row r="23" spans="1:2" x14ac:dyDescent="0.3">
      <c r="A23" t="s">
        <v>725</v>
      </c>
      <c r="B23" t="s">
        <v>1913</v>
      </c>
    </row>
    <row r="24" spans="1:2" x14ac:dyDescent="0.3">
      <c r="A24" t="s">
        <v>726</v>
      </c>
      <c r="B24" t="s">
        <v>1914</v>
      </c>
    </row>
    <row r="25" spans="1:2" x14ac:dyDescent="0.3">
      <c r="A25" t="s">
        <v>727</v>
      </c>
      <c r="B25" t="s">
        <v>1915</v>
      </c>
    </row>
    <row r="26" spans="1:2" x14ac:dyDescent="0.3">
      <c r="A26" t="s">
        <v>728</v>
      </c>
      <c r="B26" t="s">
        <v>1916</v>
      </c>
    </row>
    <row r="27" spans="1:2" x14ac:dyDescent="0.3">
      <c r="A27" t="s">
        <v>729</v>
      </c>
      <c r="B27" t="s">
        <v>1917</v>
      </c>
    </row>
    <row r="28" spans="1:2" x14ac:dyDescent="0.3">
      <c r="A28" t="s">
        <v>730</v>
      </c>
      <c r="B28" t="s">
        <v>1918</v>
      </c>
    </row>
    <row r="29" spans="1:2" x14ac:dyDescent="0.3">
      <c r="A29" t="s">
        <v>731</v>
      </c>
      <c r="B29" t="s">
        <v>1919</v>
      </c>
    </row>
    <row r="30" spans="1:2" x14ac:dyDescent="0.3">
      <c r="A30" t="s">
        <v>732</v>
      </c>
      <c r="B30" t="s">
        <v>1920</v>
      </c>
    </row>
    <row r="31" spans="1:2" x14ac:dyDescent="0.3">
      <c r="A31" t="s">
        <v>733</v>
      </c>
      <c r="B31" t="s">
        <v>1921</v>
      </c>
    </row>
    <row r="32" spans="1:2" x14ac:dyDescent="0.3">
      <c r="A32" t="s">
        <v>734</v>
      </c>
      <c r="B32" t="s">
        <v>1922</v>
      </c>
    </row>
    <row r="33" spans="1:2" x14ac:dyDescent="0.3">
      <c r="A33" t="s">
        <v>735</v>
      </c>
      <c r="B33" t="s">
        <v>1923</v>
      </c>
    </row>
    <row r="34" spans="1:2" x14ac:dyDescent="0.3">
      <c r="A34" t="s">
        <v>736</v>
      </c>
      <c r="B34" t="s">
        <v>1924</v>
      </c>
    </row>
    <row r="35" spans="1:2" x14ac:dyDescent="0.3">
      <c r="A35" t="s">
        <v>737</v>
      </c>
      <c r="B35" t="s">
        <v>1925</v>
      </c>
    </row>
    <row r="36" spans="1:2" x14ac:dyDescent="0.3">
      <c r="A36" t="s">
        <v>738</v>
      </c>
      <c r="B36" t="s">
        <v>1926</v>
      </c>
    </row>
    <row r="37" spans="1:2" x14ac:dyDescent="0.3">
      <c r="A37" t="s">
        <v>739</v>
      </c>
      <c r="B37" t="s">
        <v>1927</v>
      </c>
    </row>
    <row r="38" spans="1:2" x14ac:dyDescent="0.3">
      <c r="A38" t="s">
        <v>740</v>
      </c>
      <c r="B38" t="s">
        <v>1928</v>
      </c>
    </row>
    <row r="39" spans="1:2" x14ac:dyDescent="0.3">
      <c r="A39" t="s">
        <v>741</v>
      </c>
      <c r="B39" t="s">
        <v>1929</v>
      </c>
    </row>
    <row r="40" spans="1:2" x14ac:dyDescent="0.3">
      <c r="A40" t="s">
        <v>742</v>
      </c>
      <c r="B40" t="s">
        <v>1930</v>
      </c>
    </row>
    <row r="41" spans="1:2" x14ac:dyDescent="0.3">
      <c r="A41" t="s">
        <v>743</v>
      </c>
      <c r="B41" t="s">
        <v>1931</v>
      </c>
    </row>
    <row r="42" spans="1:2" x14ac:dyDescent="0.3">
      <c r="A42" t="s">
        <v>744</v>
      </c>
      <c r="B42" t="s">
        <v>1932</v>
      </c>
    </row>
    <row r="43" spans="1:2" x14ac:dyDescent="0.3">
      <c r="A43" t="s">
        <v>745</v>
      </c>
      <c r="B43" t="s">
        <v>1933</v>
      </c>
    </row>
    <row r="44" spans="1:2" x14ac:dyDescent="0.3">
      <c r="A44" t="s">
        <v>746</v>
      </c>
      <c r="B44" t="s">
        <v>1934</v>
      </c>
    </row>
    <row r="45" spans="1:2" x14ac:dyDescent="0.3">
      <c r="A45" t="s">
        <v>747</v>
      </c>
      <c r="B45" t="s">
        <v>1935</v>
      </c>
    </row>
    <row r="46" spans="1:2" x14ac:dyDescent="0.3">
      <c r="A46" t="s">
        <v>748</v>
      </c>
      <c r="B46" t="s">
        <v>1936</v>
      </c>
    </row>
    <row r="47" spans="1:2" x14ac:dyDescent="0.3">
      <c r="A47" t="s">
        <v>749</v>
      </c>
      <c r="B47" t="s">
        <v>1937</v>
      </c>
    </row>
    <row r="48" spans="1:2" x14ac:dyDescent="0.3">
      <c r="A48" t="s">
        <v>750</v>
      </c>
      <c r="B48" t="s">
        <v>1938</v>
      </c>
    </row>
    <row r="49" spans="1:2" x14ac:dyDescent="0.3">
      <c r="A49" t="s">
        <v>751</v>
      </c>
      <c r="B49" t="s">
        <v>1939</v>
      </c>
    </row>
    <row r="50" spans="1:2" x14ac:dyDescent="0.3">
      <c r="A50" t="s">
        <v>752</v>
      </c>
      <c r="B50" t="s">
        <v>1940</v>
      </c>
    </row>
    <row r="51" spans="1:2" x14ac:dyDescent="0.3">
      <c r="A51" t="s">
        <v>753</v>
      </c>
      <c r="B51" t="s">
        <v>1941</v>
      </c>
    </row>
    <row r="52" spans="1:2" x14ac:dyDescent="0.3">
      <c r="A52" t="s">
        <v>754</v>
      </c>
      <c r="B52" t="s">
        <v>1942</v>
      </c>
    </row>
    <row r="53" spans="1:2" x14ac:dyDescent="0.3">
      <c r="A53" t="s">
        <v>755</v>
      </c>
      <c r="B53" t="s">
        <v>1943</v>
      </c>
    </row>
    <row r="54" spans="1:2" x14ac:dyDescent="0.3">
      <c r="A54" t="s">
        <v>756</v>
      </c>
      <c r="B54" t="s">
        <v>1944</v>
      </c>
    </row>
    <row r="55" spans="1:2" x14ac:dyDescent="0.3">
      <c r="A55" t="s">
        <v>757</v>
      </c>
      <c r="B55" t="s">
        <v>1945</v>
      </c>
    </row>
    <row r="56" spans="1:2" x14ac:dyDescent="0.3">
      <c r="A56" t="s">
        <v>758</v>
      </c>
      <c r="B56" t="s">
        <v>1946</v>
      </c>
    </row>
    <row r="57" spans="1:2" x14ac:dyDescent="0.3">
      <c r="A57" t="s">
        <v>759</v>
      </c>
      <c r="B57" t="s">
        <v>1947</v>
      </c>
    </row>
    <row r="58" spans="1:2" x14ac:dyDescent="0.3">
      <c r="A58" t="s">
        <v>760</v>
      </c>
      <c r="B58" t="s">
        <v>1948</v>
      </c>
    </row>
    <row r="59" spans="1:2" x14ac:dyDescent="0.3">
      <c r="A59" t="s">
        <v>761</v>
      </c>
      <c r="B59" t="s">
        <v>1949</v>
      </c>
    </row>
    <row r="60" spans="1:2" x14ac:dyDescent="0.3">
      <c r="A60" t="s">
        <v>762</v>
      </c>
      <c r="B60" t="s">
        <v>1950</v>
      </c>
    </row>
    <row r="61" spans="1:2" x14ac:dyDescent="0.3">
      <c r="A61" t="s">
        <v>763</v>
      </c>
      <c r="B61" t="s">
        <v>1951</v>
      </c>
    </row>
    <row r="62" spans="1:2" x14ac:dyDescent="0.3">
      <c r="A62" t="s">
        <v>764</v>
      </c>
      <c r="B62" t="s">
        <v>1952</v>
      </c>
    </row>
    <row r="63" spans="1:2" x14ac:dyDescent="0.3">
      <c r="A63" s="38" t="s">
        <v>765</v>
      </c>
      <c r="B63" t="s">
        <v>1953</v>
      </c>
    </row>
    <row r="64" spans="1:2" x14ac:dyDescent="0.3">
      <c r="A64" s="38" t="s">
        <v>766</v>
      </c>
      <c r="B64" t="s">
        <v>1954</v>
      </c>
    </row>
    <row r="65" spans="1:2" x14ac:dyDescent="0.3">
      <c r="A65" t="s">
        <v>767</v>
      </c>
      <c r="B65" t="s">
        <v>1955</v>
      </c>
    </row>
    <row r="66" spans="1:2" x14ac:dyDescent="0.3">
      <c r="A66" t="s">
        <v>768</v>
      </c>
      <c r="B66" t="s">
        <v>1956</v>
      </c>
    </row>
    <row r="67" spans="1:2" x14ac:dyDescent="0.3">
      <c r="A67" t="s">
        <v>769</v>
      </c>
      <c r="B67" t="s">
        <v>1957</v>
      </c>
    </row>
    <row r="68" spans="1:2" x14ac:dyDescent="0.3">
      <c r="A68" t="s">
        <v>770</v>
      </c>
      <c r="B68" t="s">
        <v>1958</v>
      </c>
    </row>
    <row r="69" spans="1:2" x14ac:dyDescent="0.3">
      <c r="A69" t="s">
        <v>771</v>
      </c>
      <c r="B69" t="s">
        <v>1959</v>
      </c>
    </row>
    <row r="70" spans="1:2" x14ac:dyDescent="0.3">
      <c r="A70" t="s">
        <v>772</v>
      </c>
      <c r="B70" t="s">
        <v>1960</v>
      </c>
    </row>
    <row r="71" spans="1:2" x14ac:dyDescent="0.3">
      <c r="A71" t="s">
        <v>773</v>
      </c>
      <c r="B71" t="s">
        <v>1961</v>
      </c>
    </row>
    <row r="72" spans="1:2" x14ac:dyDescent="0.3">
      <c r="A72" t="s">
        <v>774</v>
      </c>
      <c r="B72" t="s">
        <v>1962</v>
      </c>
    </row>
    <row r="73" spans="1:2" x14ac:dyDescent="0.3">
      <c r="A73" t="s">
        <v>775</v>
      </c>
      <c r="B73" t="s">
        <v>1963</v>
      </c>
    </row>
    <row r="74" spans="1:2" x14ac:dyDescent="0.3">
      <c r="A74" t="s">
        <v>776</v>
      </c>
      <c r="B74" t="s">
        <v>1964</v>
      </c>
    </row>
    <row r="75" spans="1:2" x14ac:dyDescent="0.3">
      <c r="A75" t="s">
        <v>777</v>
      </c>
      <c r="B75" t="s">
        <v>1965</v>
      </c>
    </row>
    <row r="76" spans="1:2" x14ac:dyDescent="0.3">
      <c r="A76" t="s">
        <v>778</v>
      </c>
      <c r="B76" t="s">
        <v>1966</v>
      </c>
    </row>
    <row r="77" spans="1:2" x14ac:dyDescent="0.3">
      <c r="A77" t="s">
        <v>779</v>
      </c>
      <c r="B77" t="s">
        <v>1967</v>
      </c>
    </row>
    <row r="78" spans="1:2" x14ac:dyDescent="0.3">
      <c r="A78" t="s">
        <v>780</v>
      </c>
      <c r="B78" t="s">
        <v>1968</v>
      </c>
    </row>
    <row r="79" spans="1:2" x14ac:dyDescent="0.3">
      <c r="A79" t="s">
        <v>781</v>
      </c>
      <c r="B79" t="s">
        <v>1969</v>
      </c>
    </row>
    <row r="80" spans="1:2" x14ac:dyDescent="0.3">
      <c r="A80" t="s">
        <v>782</v>
      </c>
      <c r="B80" t="s">
        <v>1970</v>
      </c>
    </row>
    <row r="81" spans="1:2" x14ac:dyDescent="0.3">
      <c r="A81" t="s">
        <v>783</v>
      </c>
      <c r="B81" t="s">
        <v>1971</v>
      </c>
    </row>
    <row r="82" spans="1:2" x14ac:dyDescent="0.3">
      <c r="A82" t="s">
        <v>784</v>
      </c>
      <c r="B82" t="s">
        <v>1972</v>
      </c>
    </row>
    <row r="83" spans="1:2" x14ac:dyDescent="0.3">
      <c r="A83" t="s">
        <v>785</v>
      </c>
      <c r="B83" t="s">
        <v>1973</v>
      </c>
    </row>
    <row r="84" spans="1:2" x14ac:dyDescent="0.3">
      <c r="A84" t="s">
        <v>786</v>
      </c>
      <c r="B84" t="s">
        <v>1974</v>
      </c>
    </row>
    <row r="85" spans="1:2" x14ac:dyDescent="0.3">
      <c r="A85" t="s">
        <v>787</v>
      </c>
      <c r="B85" t="s">
        <v>1975</v>
      </c>
    </row>
    <row r="86" spans="1:2" x14ac:dyDescent="0.3">
      <c r="A86" t="s">
        <v>788</v>
      </c>
      <c r="B86" t="s">
        <v>1976</v>
      </c>
    </row>
    <row r="87" spans="1:2" x14ac:dyDescent="0.3">
      <c r="A87" t="s">
        <v>789</v>
      </c>
      <c r="B87" t="s">
        <v>1977</v>
      </c>
    </row>
    <row r="88" spans="1:2" x14ac:dyDescent="0.3">
      <c r="A88" t="s">
        <v>790</v>
      </c>
      <c r="B88" t="s">
        <v>1978</v>
      </c>
    </row>
    <row r="89" spans="1:2" x14ac:dyDescent="0.3">
      <c r="A89" t="s">
        <v>791</v>
      </c>
      <c r="B89" t="s">
        <v>1979</v>
      </c>
    </row>
    <row r="90" spans="1:2" x14ac:dyDescent="0.3">
      <c r="A90" t="s">
        <v>792</v>
      </c>
      <c r="B90" t="s">
        <v>1980</v>
      </c>
    </row>
    <row r="91" spans="1:2" x14ac:dyDescent="0.3">
      <c r="A91" t="s">
        <v>793</v>
      </c>
      <c r="B91" t="s">
        <v>1981</v>
      </c>
    </row>
    <row r="92" spans="1:2" x14ac:dyDescent="0.3">
      <c r="A92" t="s">
        <v>794</v>
      </c>
      <c r="B92" t="s">
        <v>1982</v>
      </c>
    </row>
    <row r="93" spans="1:2" x14ac:dyDescent="0.3">
      <c r="A93" t="s">
        <v>795</v>
      </c>
      <c r="B93" t="s">
        <v>1983</v>
      </c>
    </row>
    <row r="94" spans="1:2" x14ac:dyDescent="0.3">
      <c r="A94" t="s">
        <v>796</v>
      </c>
      <c r="B94" t="s">
        <v>1984</v>
      </c>
    </row>
    <row r="95" spans="1:2" x14ac:dyDescent="0.3">
      <c r="A95" t="s">
        <v>797</v>
      </c>
      <c r="B95" t="s">
        <v>1985</v>
      </c>
    </row>
    <row r="96" spans="1:2" x14ac:dyDescent="0.3">
      <c r="A96" t="s">
        <v>798</v>
      </c>
      <c r="B96" t="s">
        <v>1986</v>
      </c>
    </row>
    <row r="97" spans="1:2" x14ac:dyDescent="0.3">
      <c r="A97" t="s">
        <v>799</v>
      </c>
      <c r="B97" t="s">
        <v>1987</v>
      </c>
    </row>
    <row r="98" spans="1:2" x14ac:dyDescent="0.3">
      <c r="A98" t="s">
        <v>800</v>
      </c>
      <c r="B98" t="s">
        <v>1988</v>
      </c>
    </row>
    <row r="99" spans="1:2" x14ac:dyDescent="0.3">
      <c r="A99" t="s">
        <v>801</v>
      </c>
      <c r="B99" t="s">
        <v>1989</v>
      </c>
    </row>
    <row r="100" spans="1:2" x14ac:dyDescent="0.3">
      <c r="A100" s="38" t="s">
        <v>802</v>
      </c>
      <c r="B100" t="s">
        <v>1990</v>
      </c>
    </row>
    <row r="101" spans="1:2" x14ac:dyDescent="0.3">
      <c r="A101" s="38" t="s">
        <v>803</v>
      </c>
      <c r="B101" t="s">
        <v>1991</v>
      </c>
    </row>
    <row r="102" spans="1:2" x14ac:dyDescent="0.3">
      <c r="A102" t="s">
        <v>804</v>
      </c>
      <c r="B102" t="s">
        <v>1992</v>
      </c>
    </row>
    <row r="103" spans="1:2" x14ac:dyDescent="0.3">
      <c r="A103" t="s">
        <v>805</v>
      </c>
      <c r="B103" t="s">
        <v>1993</v>
      </c>
    </row>
    <row r="104" spans="1:2" x14ac:dyDescent="0.3">
      <c r="A104" t="s">
        <v>806</v>
      </c>
      <c r="B104" t="s">
        <v>1994</v>
      </c>
    </row>
    <row r="105" spans="1:2" x14ac:dyDescent="0.3">
      <c r="A105" t="s">
        <v>807</v>
      </c>
      <c r="B105" t="s">
        <v>1995</v>
      </c>
    </row>
    <row r="106" spans="1:2" x14ac:dyDescent="0.3">
      <c r="A106" t="s">
        <v>808</v>
      </c>
      <c r="B106" t="s">
        <v>1996</v>
      </c>
    </row>
    <row r="107" spans="1:2" x14ac:dyDescent="0.3">
      <c r="A107" t="s">
        <v>809</v>
      </c>
      <c r="B107" t="s">
        <v>1997</v>
      </c>
    </row>
    <row r="108" spans="1:2" x14ac:dyDescent="0.3">
      <c r="A108" t="s">
        <v>810</v>
      </c>
      <c r="B108" t="s">
        <v>1998</v>
      </c>
    </row>
    <row r="109" spans="1:2" x14ac:dyDescent="0.3">
      <c r="A109" t="s">
        <v>811</v>
      </c>
      <c r="B109" t="s">
        <v>1999</v>
      </c>
    </row>
    <row r="110" spans="1:2" x14ac:dyDescent="0.3">
      <c r="A110" t="s">
        <v>812</v>
      </c>
      <c r="B110" t="s">
        <v>2000</v>
      </c>
    </row>
    <row r="111" spans="1:2" x14ac:dyDescent="0.3">
      <c r="A111" t="s">
        <v>813</v>
      </c>
      <c r="B111" t="s">
        <v>2001</v>
      </c>
    </row>
    <row r="112" spans="1:2" x14ac:dyDescent="0.3">
      <c r="A112" t="s">
        <v>814</v>
      </c>
      <c r="B112" t="s">
        <v>2002</v>
      </c>
    </row>
    <row r="113" spans="1:2" x14ac:dyDescent="0.3">
      <c r="A113" t="s">
        <v>815</v>
      </c>
      <c r="B113" t="s">
        <v>2003</v>
      </c>
    </row>
    <row r="114" spans="1:2" x14ac:dyDescent="0.3">
      <c r="A114" t="s">
        <v>816</v>
      </c>
      <c r="B114" t="s">
        <v>2004</v>
      </c>
    </row>
    <row r="115" spans="1:2" x14ac:dyDescent="0.3">
      <c r="A115" t="s">
        <v>817</v>
      </c>
      <c r="B115" t="s">
        <v>2005</v>
      </c>
    </row>
    <row r="116" spans="1:2" x14ac:dyDescent="0.3">
      <c r="A116" t="s">
        <v>818</v>
      </c>
      <c r="B116" t="s">
        <v>2006</v>
      </c>
    </row>
    <row r="117" spans="1:2" x14ac:dyDescent="0.3">
      <c r="A117" t="s">
        <v>819</v>
      </c>
      <c r="B117" t="s">
        <v>2007</v>
      </c>
    </row>
    <row r="118" spans="1:2" x14ac:dyDescent="0.3">
      <c r="A118" t="s">
        <v>820</v>
      </c>
      <c r="B118" t="s">
        <v>2008</v>
      </c>
    </row>
    <row r="119" spans="1:2" x14ac:dyDescent="0.3">
      <c r="A119" t="s">
        <v>821</v>
      </c>
      <c r="B119" t="s">
        <v>2009</v>
      </c>
    </row>
    <row r="120" spans="1:2" x14ac:dyDescent="0.3">
      <c r="A120" t="s">
        <v>822</v>
      </c>
      <c r="B120" t="s">
        <v>2010</v>
      </c>
    </row>
    <row r="121" spans="1:2" x14ac:dyDescent="0.3">
      <c r="A121" t="s">
        <v>823</v>
      </c>
      <c r="B121" t="s">
        <v>2011</v>
      </c>
    </row>
    <row r="122" spans="1:2" x14ac:dyDescent="0.3">
      <c r="A122" t="s">
        <v>824</v>
      </c>
      <c r="B122" t="s">
        <v>2012</v>
      </c>
    </row>
    <row r="123" spans="1:2" x14ac:dyDescent="0.3">
      <c r="A123" s="38" t="s">
        <v>825</v>
      </c>
      <c r="B123" t="s">
        <v>2013</v>
      </c>
    </row>
    <row r="124" spans="1:2" x14ac:dyDescent="0.3">
      <c r="A124" t="s">
        <v>826</v>
      </c>
      <c r="B124" t="s">
        <v>2014</v>
      </c>
    </row>
    <row r="125" spans="1:2" x14ac:dyDescent="0.3">
      <c r="A125" t="s">
        <v>827</v>
      </c>
      <c r="B125" t="s">
        <v>2015</v>
      </c>
    </row>
    <row r="126" spans="1:2" x14ac:dyDescent="0.3">
      <c r="A126" t="s">
        <v>828</v>
      </c>
      <c r="B126" t="s">
        <v>2016</v>
      </c>
    </row>
    <row r="127" spans="1:2" x14ac:dyDescent="0.3">
      <c r="A127" t="s">
        <v>829</v>
      </c>
      <c r="B127" t="s">
        <v>2017</v>
      </c>
    </row>
    <row r="128" spans="1:2" x14ac:dyDescent="0.3">
      <c r="A128" t="s">
        <v>830</v>
      </c>
      <c r="B128" t="s">
        <v>2018</v>
      </c>
    </row>
    <row r="129" spans="1:2" x14ac:dyDescent="0.3">
      <c r="A129" t="s">
        <v>831</v>
      </c>
      <c r="B129" t="s">
        <v>2019</v>
      </c>
    </row>
    <row r="130" spans="1:2" x14ac:dyDescent="0.3">
      <c r="A130" t="s">
        <v>832</v>
      </c>
      <c r="B130" t="s">
        <v>2020</v>
      </c>
    </row>
    <row r="131" spans="1:2" x14ac:dyDescent="0.3">
      <c r="A131" t="s">
        <v>833</v>
      </c>
      <c r="B131" t="s">
        <v>2021</v>
      </c>
    </row>
    <row r="132" spans="1:2" x14ac:dyDescent="0.3">
      <c r="A132" t="s">
        <v>834</v>
      </c>
      <c r="B132" t="s">
        <v>2022</v>
      </c>
    </row>
    <row r="133" spans="1:2" x14ac:dyDescent="0.3">
      <c r="A133" t="s">
        <v>835</v>
      </c>
      <c r="B133" t="s">
        <v>2023</v>
      </c>
    </row>
    <row r="134" spans="1:2" x14ac:dyDescent="0.3">
      <c r="A134" t="s">
        <v>836</v>
      </c>
      <c r="B134" t="s">
        <v>2024</v>
      </c>
    </row>
    <row r="135" spans="1:2" x14ac:dyDescent="0.3">
      <c r="A135" t="s">
        <v>837</v>
      </c>
      <c r="B135" t="s">
        <v>2025</v>
      </c>
    </row>
    <row r="136" spans="1:2" x14ac:dyDescent="0.3">
      <c r="A136" t="s">
        <v>838</v>
      </c>
      <c r="B136" t="s">
        <v>2026</v>
      </c>
    </row>
    <row r="137" spans="1:2" x14ac:dyDescent="0.3">
      <c r="A137" t="s">
        <v>839</v>
      </c>
      <c r="B137" t="s">
        <v>2027</v>
      </c>
    </row>
    <row r="138" spans="1:2" x14ac:dyDescent="0.3">
      <c r="A138" t="s">
        <v>840</v>
      </c>
      <c r="B138" t="s">
        <v>2028</v>
      </c>
    </row>
    <row r="139" spans="1:2" x14ac:dyDescent="0.3">
      <c r="A139" t="s">
        <v>841</v>
      </c>
      <c r="B139" t="s">
        <v>2029</v>
      </c>
    </row>
    <row r="140" spans="1:2" x14ac:dyDescent="0.3">
      <c r="A140" t="s">
        <v>842</v>
      </c>
      <c r="B140" t="s">
        <v>2030</v>
      </c>
    </row>
    <row r="141" spans="1:2" x14ac:dyDescent="0.3">
      <c r="A141" t="s">
        <v>843</v>
      </c>
      <c r="B141" t="s">
        <v>2031</v>
      </c>
    </row>
    <row r="142" spans="1:2" x14ac:dyDescent="0.3">
      <c r="A142" t="s">
        <v>844</v>
      </c>
      <c r="B142" t="s">
        <v>2032</v>
      </c>
    </row>
    <row r="143" spans="1:2" x14ac:dyDescent="0.3">
      <c r="A143" t="s">
        <v>845</v>
      </c>
      <c r="B143" t="s">
        <v>2033</v>
      </c>
    </row>
    <row r="144" spans="1:2" x14ac:dyDescent="0.3">
      <c r="A144" t="s">
        <v>846</v>
      </c>
      <c r="B144" t="s">
        <v>2034</v>
      </c>
    </row>
    <row r="145" spans="1:2" x14ac:dyDescent="0.3">
      <c r="A145" t="s">
        <v>847</v>
      </c>
      <c r="B145" t="s">
        <v>2035</v>
      </c>
    </row>
    <row r="146" spans="1:2" x14ac:dyDescent="0.3">
      <c r="A146" t="s">
        <v>848</v>
      </c>
      <c r="B146" t="s">
        <v>2036</v>
      </c>
    </row>
    <row r="147" spans="1:2" x14ac:dyDescent="0.3">
      <c r="A147" t="s">
        <v>849</v>
      </c>
      <c r="B147" t="s">
        <v>2037</v>
      </c>
    </row>
    <row r="148" spans="1:2" x14ac:dyDescent="0.3">
      <c r="A148" t="s">
        <v>850</v>
      </c>
      <c r="B148" t="s">
        <v>2038</v>
      </c>
    </row>
    <row r="149" spans="1:2" x14ac:dyDescent="0.3">
      <c r="A149" t="s">
        <v>851</v>
      </c>
      <c r="B149" t="s">
        <v>2039</v>
      </c>
    </row>
    <row r="150" spans="1:2" x14ac:dyDescent="0.3">
      <c r="A150" t="s">
        <v>852</v>
      </c>
      <c r="B150" t="s">
        <v>2040</v>
      </c>
    </row>
    <row r="151" spans="1:2" x14ac:dyDescent="0.3">
      <c r="A151" t="s">
        <v>853</v>
      </c>
      <c r="B151" t="s">
        <v>2041</v>
      </c>
    </row>
    <row r="152" spans="1:2" x14ac:dyDescent="0.3">
      <c r="A152" t="s">
        <v>854</v>
      </c>
      <c r="B152" t="s">
        <v>2042</v>
      </c>
    </row>
    <row r="153" spans="1:2" x14ac:dyDescent="0.3">
      <c r="A153" t="s">
        <v>855</v>
      </c>
      <c r="B153" t="s">
        <v>2043</v>
      </c>
    </row>
    <row r="154" spans="1:2" x14ac:dyDescent="0.3">
      <c r="A154" t="s">
        <v>856</v>
      </c>
      <c r="B154" t="s">
        <v>2044</v>
      </c>
    </row>
    <row r="155" spans="1:2" x14ac:dyDescent="0.3">
      <c r="A155" t="s">
        <v>857</v>
      </c>
      <c r="B155" t="s">
        <v>2045</v>
      </c>
    </row>
    <row r="156" spans="1:2" x14ac:dyDescent="0.3">
      <c r="A156" t="s">
        <v>858</v>
      </c>
      <c r="B156" t="s">
        <v>2046</v>
      </c>
    </row>
    <row r="157" spans="1:2" x14ac:dyDescent="0.3">
      <c r="A157" t="s">
        <v>859</v>
      </c>
      <c r="B157" t="s">
        <v>2047</v>
      </c>
    </row>
    <row r="158" spans="1:2" x14ac:dyDescent="0.3">
      <c r="A158" t="s">
        <v>860</v>
      </c>
      <c r="B158" t="s">
        <v>2048</v>
      </c>
    </row>
    <row r="159" spans="1:2" x14ac:dyDescent="0.3">
      <c r="A159" t="s">
        <v>861</v>
      </c>
      <c r="B159" t="s">
        <v>2049</v>
      </c>
    </row>
    <row r="160" spans="1:2" x14ac:dyDescent="0.3">
      <c r="A160" t="s">
        <v>862</v>
      </c>
      <c r="B160" t="s">
        <v>2050</v>
      </c>
    </row>
    <row r="161" spans="1:2" x14ac:dyDescent="0.3">
      <c r="A161" t="s">
        <v>863</v>
      </c>
      <c r="B161" t="s">
        <v>2051</v>
      </c>
    </row>
    <row r="162" spans="1:2" x14ac:dyDescent="0.3">
      <c r="A162" t="s">
        <v>864</v>
      </c>
      <c r="B162" t="s">
        <v>2052</v>
      </c>
    </row>
    <row r="163" spans="1:2" x14ac:dyDescent="0.3">
      <c r="A163" t="s">
        <v>865</v>
      </c>
      <c r="B163" t="s">
        <v>2053</v>
      </c>
    </row>
    <row r="164" spans="1:2" x14ac:dyDescent="0.3">
      <c r="A164" t="s">
        <v>866</v>
      </c>
      <c r="B164" t="s">
        <v>2054</v>
      </c>
    </row>
    <row r="165" spans="1:2" x14ac:dyDescent="0.3">
      <c r="A165" t="s">
        <v>867</v>
      </c>
      <c r="B165" t="s">
        <v>2055</v>
      </c>
    </row>
    <row r="166" spans="1:2" x14ac:dyDescent="0.3">
      <c r="A166" t="s">
        <v>868</v>
      </c>
      <c r="B166" t="s">
        <v>2056</v>
      </c>
    </row>
    <row r="167" spans="1:2" x14ac:dyDescent="0.3">
      <c r="A167" t="s">
        <v>869</v>
      </c>
      <c r="B167" t="s">
        <v>2057</v>
      </c>
    </row>
    <row r="168" spans="1:2" x14ac:dyDescent="0.3">
      <c r="A168" t="s">
        <v>870</v>
      </c>
      <c r="B168" t="s">
        <v>2058</v>
      </c>
    </row>
    <row r="169" spans="1:2" x14ac:dyDescent="0.3">
      <c r="A169" t="s">
        <v>871</v>
      </c>
      <c r="B169" t="s">
        <v>2059</v>
      </c>
    </row>
    <row r="170" spans="1:2" x14ac:dyDescent="0.3">
      <c r="A170" t="s">
        <v>872</v>
      </c>
      <c r="B170" t="s">
        <v>2060</v>
      </c>
    </row>
    <row r="171" spans="1:2" x14ac:dyDescent="0.3">
      <c r="A171" t="s">
        <v>873</v>
      </c>
      <c r="B171" t="s">
        <v>2061</v>
      </c>
    </row>
    <row r="172" spans="1:2" x14ac:dyDescent="0.3">
      <c r="A172" t="s">
        <v>874</v>
      </c>
      <c r="B172" t="s">
        <v>2062</v>
      </c>
    </row>
    <row r="173" spans="1:2" x14ac:dyDescent="0.3">
      <c r="A173" t="s">
        <v>875</v>
      </c>
      <c r="B173" t="s">
        <v>2063</v>
      </c>
    </row>
    <row r="174" spans="1:2" x14ac:dyDescent="0.3">
      <c r="A174" t="s">
        <v>876</v>
      </c>
      <c r="B174" t="s">
        <v>2064</v>
      </c>
    </row>
    <row r="175" spans="1:2" x14ac:dyDescent="0.3">
      <c r="A175" t="s">
        <v>877</v>
      </c>
      <c r="B175" t="s">
        <v>2065</v>
      </c>
    </row>
    <row r="176" spans="1:2" x14ac:dyDescent="0.3">
      <c r="A176" t="s">
        <v>878</v>
      </c>
      <c r="B176" t="s">
        <v>2066</v>
      </c>
    </row>
    <row r="177" spans="1:2" x14ac:dyDescent="0.3">
      <c r="A177" t="s">
        <v>879</v>
      </c>
      <c r="B177" t="s">
        <v>2067</v>
      </c>
    </row>
    <row r="178" spans="1:2" x14ac:dyDescent="0.3">
      <c r="A178" t="s">
        <v>880</v>
      </c>
      <c r="B178" t="s">
        <v>2068</v>
      </c>
    </row>
    <row r="179" spans="1:2" x14ac:dyDescent="0.3">
      <c r="A179" t="s">
        <v>881</v>
      </c>
      <c r="B179" t="s">
        <v>2069</v>
      </c>
    </row>
    <row r="180" spans="1:2" x14ac:dyDescent="0.3">
      <c r="A180" t="s">
        <v>882</v>
      </c>
      <c r="B180" t="s">
        <v>2070</v>
      </c>
    </row>
    <row r="181" spans="1:2" x14ac:dyDescent="0.3">
      <c r="A181" t="s">
        <v>883</v>
      </c>
      <c r="B181" t="s">
        <v>2071</v>
      </c>
    </row>
    <row r="182" spans="1:2" x14ac:dyDescent="0.3">
      <c r="A182" t="s">
        <v>884</v>
      </c>
      <c r="B182" t="s">
        <v>2072</v>
      </c>
    </row>
    <row r="183" spans="1:2" x14ac:dyDescent="0.3">
      <c r="A183" t="s">
        <v>885</v>
      </c>
      <c r="B183" t="s">
        <v>2073</v>
      </c>
    </row>
    <row r="184" spans="1:2" x14ac:dyDescent="0.3">
      <c r="A184" t="s">
        <v>886</v>
      </c>
      <c r="B184" t="s">
        <v>2074</v>
      </c>
    </row>
    <row r="185" spans="1:2" x14ac:dyDescent="0.3">
      <c r="A185" t="s">
        <v>887</v>
      </c>
      <c r="B185" t="s">
        <v>2075</v>
      </c>
    </row>
    <row r="186" spans="1:2" x14ac:dyDescent="0.3">
      <c r="A186" t="s">
        <v>888</v>
      </c>
      <c r="B186" t="s">
        <v>2076</v>
      </c>
    </row>
    <row r="187" spans="1:2" x14ac:dyDescent="0.3">
      <c r="A187" t="s">
        <v>889</v>
      </c>
      <c r="B187" t="s">
        <v>2077</v>
      </c>
    </row>
    <row r="188" spans="1:2" x14ac:dyDescent="0.3">
      <c r="A188" t="s">
        <v>890</v>
      </c>
      <c r="B188" t="s">
        <v>2078</v>
      </c>
    </row>
    <row r="189" spans="1:2" x14ac:dyDescent="0.3">
      <c r="A189" t="s">
        <v>891</v>
      </c>
      <c r="B189" t="s">
        <v>2079</v>
      </c>
    </row>
    <row r="190" spans="1:2" x14ac:dyDescent="0.3">
      <c r="A190" t="s">
        <v>892</v>
      </c>
      <c r="B190" t="s">
        <v>2080</v>
      </c>
    </row>
    <row r="191" spans="1:2" x14ac:dyDescent="0.3">
      <c r="A191" t="s">
        <v>893</v>
      </c>
      <c r="B191" t="s">
        <v>2081</v>
      </c>
    </row>
    <row r="192" spans="1:2" x14ac:dyDescent="0.3">
      <c r="A192" t="s">
        <v>894</v>
      </c>
      <c r="B192" t="s">
        <v>2082</v>
      </c>
    </row>
    <row r="193" spans="1:2" x14ac:dyDescent="0.3">
      <c r="A193" t="s">
        <v>895</v>
      </c>
      <c r="B193" t="s">
        <v>2083</v>
      </c>
    </row>
    <row r="194" spans="1:2" x14ac:dyDescent="0.3">
      <c r="A194" t="s">
        <v>896</v>
      </c>
      <c r="B194" t="s">
        <v>2084</v>
      </c>
    </row>
    <row r="195" spans="1:2" x14ac:dyDescent="0.3">
      <c r="A195" t="s">
        <v>897</v>
      </c>
      <c r="B195" t="s">
        <v>2085</v>
      </c>
    </row>
    <row r="196" spans="1:2" x14ac:dyDescent="0.3">
      <c r="A196" t="s">
        <v>898</v>
      </c>
      <c r="B196" t="s">
        <v>2086</v>
      </c>
    </row>
    <row r="197" spans="1:2" x14ac:dyDescent="0.3">
      <c r="A197" t="s">
        <v>899</v>
      </c>
      <c r="B197" t="s">
        <v>2087</v>
      </c>
    </row>
    <row r="198" spans="1:2" x14ac:dyDescent="0.3">
      <c r="A198" t="s">
        <v>900</v>
      </c>
      <c r="B198" t="s">
        <v>2088</v>
      </c>
    </row>
    <row r="199" spans="1:2" x14ac:dyDescent="0.3">
      <c r="A199" t="s">
        <v>901</v>
      </c>
      <c r="B199" t="s">
        <v>2089</v>
      </c>
    </row>
    <row r="200" spans="1:2" x14ac:dyDescent="0.3">
      <c r="A200" t="s">
        <v>902</v>
      </c>
      <c r="B200" t="s">
        <v>2090</v>
      </c>
    </row>
    <row r="201" spans="1:2" x14ac:dyDescent="0.3">
      <c r="A201" t="s">
        <v>903</v>
      </c>
      <c r="B201" t="s">
        <v>2091</v>
      </c>
    </row>
    <row r="202" spans="1:2" x14ac:dyDescent="0.3">
      <c r="A202" t="s">
        <v>904</v>
      </c>
      <c r="B202" t="s">
        <v>2092</v>
      </c>
    </row>
    <row r="203" spans="1:2" x14ac:dyDescent="0.3">
      <c r="A203" t="s">
        <v>905</v>
      </c>
      <c r="B203" t="s">
        <v>2093</v>
      </c>
    </row>
    <row r="204" spans="1:2" x14ac:dyDescent="0.3">
      <c r="A204" t="s">
        <v>906</v>
      </c>
      <c r="B204" t="s">
        <v>2094</v>
      </c>
    </row>
    <row r="205" spans="1:2" x14ac:dyDescent="0.3">
      <c r="A205" t="s">
        <v>907</v>
      </c>
      <c r="B205" t="s">
        <v>2095</v>
      </c>
    </row>
    <row r="206" spans="1:2" x14ac:dyDescent="0.3">
      <c r="A206" t="s">
        <v>908</v>
      </c>
      <c r="B206" t="s">
        <v>2096</v>
      </c>
    </row>
    <row r="207" spans="1:2" x14ac:dyDescent="0.3">
      <c r="A207" t="s">
        <v>909</v>
      </c>
      <c r="B207" t="s">
        <v>2097</v>
      </c>
    </row>
    <row r="208" spans="1:2" x14ac:dyDescent="0.3">
      <c r="A208" t="s">
        <v>910</v>
      </c>
      <c r="B208" t="s">
        <v>2098</v>
      </c>
    </row>
    <row r="209" spans="1:2" x14ac:dyDescent="0.3">
      <c r="A209" t="s">
        <v>911</v>
      </c>
      <c r="B209" t="s">
        <v>2099</v>
      </c>
    </row>
    <row r="210" spans="1:2" x14ac:dyDescent="0.3">
      <c r="A210" t="s">
        <v>912</v>
      </c>
      <c r="B210" t="s">
        <v>2100</v>
      </c>
    </row>
    <row r="211" spans="1:2" x14ac:dyDescent="0.3">
      <c r="A211" t="s">
        <v>913</v>
      </c>
      <c r="B211" t="s">
        <v>2101</v>
      </c>
    </row>
    <row r="212" spans="1:2" x14ac:dyDescent="0.3">
      <c r="A212" t="s">
        <v>914</v>
      </c>
      <c r="B212" t="s">
        <v>2102</v>
      </c>
    </row>
    <row r="213" spans="1:2" x14ac:dyDescent="0.3">
      <c r="A213" t="s">
        <v>915</v>
      </c>
      <c r="B213" t="s">
        <v>2103</v>
      </c>
    </row>
    <row r="214" spans="1:2" x14ac:dyDescent="0.3">
      <c r="A214" t="s">
        <v>916</v>
      </c>
      <c r="B214" t="s">
        <v>2104</v>
      </c>
    </row>
    <row r="215" spans="1:2" x14ac:dyDescent="0.3">
      <c r="A215" t="s">
        <v>917</v>
      </c>
      <c r="B215" t="s">
        <v>2105</v>
      </c>
    </row>
    <row r="216" spans="1:2" x14ac:dyDescent="0.3">
      <c r="A216" t="s">
        <v>918</v>
      </c>
      <c r="B216" t="s">
        <v>2106</v>
      </c>
    </row>
    <row r="217" spans="1:2" x14ac:dyDescent="0.3">
      <c r="A217" t="s">
        <v>919</v>
      </c>
      <c r="B217" t="s">
        <v>2107</v>
      </c>
    </row>
    <row r="218" spans="1:2" x14ac:dyDescent="0.3">
      <c r="A218" t="s">
        <v>920</v>
      </c>
      <c r="B218" t="s">
        <v>2108</v>
      </c>
    </row>
    <row r="219" spans="1:2" x14ac:dyDescent="0.3">
      <c r="A219" t="s">
        <v>921</v>
      </c>
      <c r="B219" t="s">
        <v>2109</v>
      </c>
    </row>
    <row r="220" spans="1:2" x14ac:dyDescent="0.3">
      <c r="A220" t="s">
        <v>922</v>
      </c>
      <c r="B220" t="s">
        <v>2110</v>
      </c>
    </row>
    <row r="221" spans="1:2" x14ac:dyDescent="0.3">
      <c r="A221" t="s">
        <v>923</v>
      </c>
      <c r="B221" t="s">
        <v>2111</v>
      </c>
    </row>
    <row r="222" spans="1:2" x14ac:dyDescent="0.3">
      <c r="A222" t="s">
        <v>924</v>
      </c>
      <c r="B222" t="s">
        <v>2112</v>
      </c>
    </row>
    <row r="223" spans="1:2" x14ac:dyDescent="0.3">
      <c r="A223" t="s">
        <v>925</v>
      </c>
      <c r="B223" t="s">
        <v>2113</v>
      </c>
    </row>
    <row r="224" spans="1:2" x14ac:dyDescent="0.3">
      <c r="A224" t="s">
        <v>926</v>
      </c>
      <c r="B224" t="s">
        <v>2114</v>
      </c>
    </row>
    <row r="225" spans="1:2" x14ac:dyDescent="0.3">
      <c r="A225" t="s">
        <v>927</v>
      </c>
      <c r="B225" t="s">
        <v>2115</v>
      </c>
    </row>
    <row r="226" spans="1:2" x14ac:dyDescent="0.3">
      <c r="A226" t="s">
        <v>928</v>
      </c>
      <c r="B226" t="s">
        <v>2116</v>
      </c>
    </row>
    <row r="227" spans="1:2" x14ac:dyDescent="0.3">
      <c r="A227" t="s">
        <v>929</v>
      </c>
      <c r="B227" t="s">
        <v>2117</v>
      </c>
    </row>
    <row r="228" spans="1:2" x14ac:dyDescent="0.3">
      <c r="A228" t="s">
        <v>930</v>
      </c>
      <c r="B228" t="s">
        <v>2118</v>
      </c>
    </row>
    <row r="229" spans="1:2" x14ac:dyDescent="0.3">
      <c r="A229" t="s">
        <v>931</v>
      </c>
      <c r="B229" t="s">
        <v>2119</v>
      </c>
    </row>
    <row r="230" spans="1:2" x14ac:dyDescent="0.3">
      <c r="A230" t="s">
        <v>932</v>
      </c>
      <c r="B230" t="s">
        <v>2120</v>
      </c>
    </row>
    <row r="231" spans="1:2" x14ac:dyDescent="0.3">
      <c r="A231" t="s">
        <v>933</v>
      </c>
      <c r="B231" t="s">
        <v>2121</v>
      </c>
    </row>
    <row r="232" spans="1:2" x14ac:dyDescent="0.3">
      <c r="A232" t="s">
        <v>934</v>
      </c>
      <c r="B232" t="s">
        <v>2122</v>
      </c>
    </row>
    <row r="233" spans="1:2" x14ac:dyDescent="0.3">
      <c r="A233" t="s">
        <v>935</v>
      </c>
      <c r="B233" t="s">
        <v>2123</v>
      </c>
    </row>
    <row r="234" spans="1:2" x14ac:dyDescent="0.3">
      <c r="A234" t="s">
        <v>936</v>
      </c>
      <c r="B234" t="s">
        <v>2124</v>
      </c>
    </row>
    <row r="235" spans="1:2" x14ac:dyDescent="0.3">
      <c r="A235" t="s">
        <v>937</v>
      </c>
      <c r="B235" t="s">
        <v>2125</v>
      </c>
    </row>
    <row r="236" spans="1:2" x14ac:dyDescent="0.3">
      <c r="A236" t="s">
        <v>938</v>
      </c>
      <c r="B236" t="s">
        <v>2126</v>
      </c>
    </row>
    <row r="237" spans="1:2" x14ac:dyDescent="0.3">
      <c r="A237" t="s">
        <v>939</v>
      </c>
      <c r="B237" t="s">
        <v>2127</v>
      </c>
    </row>
    <row r="238" spans="1:2" x14ac:dyDescent="0.3">
      <c r="A238" t="s">
        <v>940</v>
      </c>
      <c r="B238" t="s">
        <v>2128</v>
      </c>
    </row>
    <row r="239" spans="1:2" x14ac:dyDescent="0.3">
      <c r="A239" t="s">
        <v>941</v>
      </c>
      <c r="B239" t="s">
        <v>2129</v>
      </c>
    </row>
    <row r="240" spans="1:2" x14ac:dyDescent="0.3">
      <c r="A240" t="s">
        <v>942</v>
      </c>
      <c r="B240" t="s">
        <v>2130</v>
      </c>
    </row>
    <row r="241" spans="1:2" x14ac:dyDescent="0.3">
      <c r="A241" t="s">
        <v>943</v>
      </c>
      <c r="B241" t="s">
        <v>2131</v>
      </c>
    </row>
    <row r="242" spans="1:2" x14ac:dyDescent="0.3">
      <c r="A242" t="s">
        <v>944</v>
      </c>
      <c r="B242" t="s">
        <v>2132</v>
      </c>
    </row>
    <row r="243" spans="1:2" x14ac:dyDescent="0.3">
      <c r="A243" t="s">
        <v>945</v>
      </c>
      <c r="B243" t="s">
        <v>2133</v>
      </c>
    </row>
    <row r="244" spans="1:2" x14ac:dyDescent="0.3">
      <c r="A244" t="s">
        <v>946</v>
      </c>
      <c r="B244" t="s">
        <v>2134</v>
      </c>
    </row>
    <row r="245" spans="1:2" x14ac:dyDescent="0.3">
      <c r="A245" t="s">
        <v>947</v>
      </c>
      <c r="B245" t="s">
        <v>2135</v>
      </c>
    </row>
    <row r="246" spans="1:2" x14ac:dyDescent="0.3">
      <c r="A246" t="s">
        <v>948</v>
      </c>
      <c r="B246" t="s">
        <v>2136</v>
      </c>
    </row>
    <row r="247" spans="1:2" x14ac:dyDescent="0.3">
      <c r="A247" t="s">
        <v>949</v>
      </c>
      <c r="B247" t="s">
        <v>2137</v>
      </c>
    </row>
    <row r="248" spans="1:2" x14ac:dyDescent="0.3">
      <c r="A248" t="s">
        <v>950</v>
      </c>
      <c r="B248" t="s">
        <v>2138</v>
      </c>
    </row>
    <row r="249" spans="1:2" x14ac:dyDescent="0.3">
      <c r="A249" t="s">
        <v>951</v>
      </c>
      <c r="B249" t="s">
        <v>2139</v>
      </c>
    </row>
    <row r="250" spans="1:2" x14ac:dyDescent="0.3">
      <c r="A250" t="s">
        <v>952</v>
      </c>
      <c r="B250" t="s">
        <v>2140</v>
      </c>
    </row>
    <row r="251" spans="1:2" x14ac:dyDescent="0.3">
      <c r="A251" t="s">
        <v>953</v>
      </c>
      <c r="B251" t="s">
        <v>2141</v>
      </c>
    </row>
    <row r="252" spans="1:2" x14ac:dyDescent="0.3">
      <c r="A252" t="s">
        <v>954</v>
      </c>
      <c r="B252" t="s">
        <v>2142</v>
      </c>
    </row>
    <row r="253" spans="1:2" x14ac:dyDescent="0.3">
      <c r="A253" t="s">
        <v>955</v>
      </c>
      <c r="B253" t="s">
        <v>2143</v>
      </c>
    </row>
    <row r="254" spans="1:2" x14ac:dyDescent="0.3">
      <c r="A254" t="s">
        <v>956</v>
      </c>
      <c r="B254" t="s">
        <v>2144</v>
      </c>
    </row>
    <row r="255" spans="1:2" x14ac:dyDescent="0.3">
      <c r="A255" t="s">
        <v>957</v>
      </c>
      <c r="B255" t="s">
        <v>2145</v>
      </c>
    </row>
    <row r="256" spans="1:2" x14ac:dyDescent="0.3">
      <c r="A256" t="s">
        <v>958</v>
      </c>
      <c r="B256" t="s">
        <v>2146</v>
      </c>
    </row>
    <row r="257" spans="1:2" x14ac:dyDescent="0.3">
      <c r="A257" t="s">
        <v>959</v>
      </c>
      <c r="B257" t="s">
        <v>2147</v>
      </c>
    </row>
    <row r="258" spans="1:2" x14ac:dyDescent="0.3">
      <c r="A258" t="s">
        <v>960</v>
      </c>
      <c r="B258" t="s">
        <v>2148</v>
      </c>
    </row>
    <row r="259" spans="1:2" x14ac:dyDescent="0.3">
      <c r="A259" t="s">
        <v>961</v>
      </c>
      <c r="B259" t="s">
        <v>2149</v>
      </c>
    </row>
    <row r="260" spans="1:2" x14ac:dyDescent="0.3">
      <c r="A260" t="s">
        <v>962</v>
      </c>
      <c r="B260" t="s">
        <v>2150</v>
      </c>
    </row>
    <row r="261" spans="1:2" x14ac:dyDescent="0.3">
      <c r="A261" t="s">
        <v>963</v>
      </c>
      <c r="B261" t="s">
        <v>2151</v>
      </c>
    </row>
    <row r="262" spans="1:2" x14ac:dyDescent="0.3">
      <c r="A262" t="s">
        <v>964</v>
      </c>
      <c r="B262" t="s">
        <v>2152</v>
      </c>
    </row>
    <row r="263" spans="1:2" x14ac:dyDescent="0.3">
      <c r="A263" t="s">
        <v>965</v>
      </c>
      <c r="B263" t="s">
        <v>2153</v>
      </c>
    </row>
    <row r="264" spans="1:2" x14ac:dyDescent="0.3">
      <c r="A264" t="s">
        <v>966</v>
      </c>
      <c r="B264" t="s">
        <v>2154</v>
      </c>
    </row>
    <row r="265" spans="1:2" x14ac:dyDescent="0.3">
      <c r="A265" t="s">
        <v>967</v>
      </c>
      <c r="B265" t="s">
        <v>2155</v>
      </c>
    </row>
    <row r="266" spans="1:2" x14ac:dyDescent="0.3">
      <c r="A266" t="s">
        <v>968</v>
      </c>
      <c r="B266" t="s">
        <v>2156</v>
      </c>
    </row>
    <row r="267" spans="1:2" x14ac:dyDescent="0.3">
      <c r="A267" t="s">
        <v>969</v>
      </c>
      <c r="B267" t="s">
        <v>2157</v>
      </c>
    </row>
    <row r="268" spans="1:2" x14ac:dyDescent="0.3">
      <c r="A268" t="s">
        <v>970</v>
      </c>
      <c r="B268" t="s">
        <v>2158</v>
      </c>
    </row>
    <row r="269" spans="1:2" x14ac:dyDescent="0.3">
      <c r="A269" t="s">
        <v>971</v>
      </c>
      <c r="B269" t="s">
        <v>2159</v>
      </c>
    </row>
    <row r="270" spans="1:2" x14ac:dyDescent="0.3">
      <c r="A270" t="s">
        <v>972</v>
      </c>
      <c r="B270" t="s">
        <v>2160</v>
      </c>
    </row>
    <row r="271" spans="1:2" x14ac:dyDescent="0.3">
      <c r="A271" t="s">
        <v>973</v>
      </c>
      <c r="B271" t="s">
        <v>2161</v>
      </c>
    </row>
    <row r="272" spans="1:2" x14ac:dyDescent="0.3">
      <c r="A272" t="s">
        <v>974</v>
      </c>
      <c r="B272" t="s">
        <v>2162</v>
      </c>
    </row>
    <row r="273" spans="1:2" x14ac:dyDescent="0.3">
      <c r="A273" t="s">
        <v>975</v>
      </c>
      <c r="B273" t="s">
        <v>2163</v>
      </c>
    </row>
    <row r="274" spans="1:2" x14ac:dyDescent="0.3">
      <c r="A274" t="s">
        <v>976</v>
      </c>
      <c r="B274" t="s">
        <v>2164</v>
      </c>
    </row>
    <row r="275" spans="1:2" x14ac:dyDescent="0.3">
      <c r="A275" t="s">
        <v>977</v>
      </c>
      <c r="B275" t="s">
        <v>2165</v>
      </c>
    </row>
    <row r="276" spans="1:2" x14ac:dyDescent="0.3">
      <c r="A276" t="s">
        <v>978</v>
      </c>
      <c r="B276" t="s">
        <v>2166</v>
      </c>
    </row>
    <row r="277" spans="1:2" x14ac:dyDescent="0.3">
      <c r="A277" t="s">
        <v>979</v>
      </c>
      <c r="B277" t="s">
        <v>2167</v>
      </c>
    </row>
    <row r="278" spans="1:2" x14ac:dyDescent="0.3">
      <c r="A278" t="s">
        <v>980</v>
      </c>
      <c r="B278" t="s">
        <v>2168</v>
      </c>
    </row>
    <row r="279" spans="1:2" x14ac:dyDescent="0.3">
      <c r="A279" t="s">
        <v>981</v>
      </c>
      <c r="B279" t="s">
        <v>2169</v>
      </c>
    </row>
    <row r="280" spans="1:2" x14ac:dyDescent="0.3">
      <c r="A280" t="s">
        <v>982</v>
      </c>
      <c r="B280" t="s">
        <v>2170</v>
      </c>
    </row>
    <row r="281" spans="1:2" x14ac:dyDescent="0.3">
      <c r="A281" t="s">
        <v>983</v>
      </c>
      <c r="B281" t="s">
        <v>2171</v>
      </c>
    </row>
    <row r="282" spans="1:2" x14ac:dyDescent="0.3">
      <c r="A282" t="s">
        <v>984</v>
      </c>
      <c r="B282" t="s">
        <v>2172</v>
      </c>
    </row>
    <row r="283" spans="1:2" x14ac:dyDescent="0.3">
      <c r="A283" t="s">
        <v>985</v>
      </c>
      <c r="B283" t="s">
        <v>2173</v>
      </c>
    </row>
    <row r="284" spans="1:2" x14ac:dyDescent="0.3">
      <c r="A284" t="s">
        <v>986</v>
      </c>
      <c r="B284" t="s">
        <v>2174</v>
      </c>
    </row>
    <row r="285" spans="1:2" x14ac:dyDescent="0.3">
      <c r="A285" t="s">
        <v>987</v>
      </c>
      <c r="B285" t="s">
        <v>2175</v>
      </c>
    </row>
    <row r="286" spans="1:2" x14ac:dyDescent="0.3">
      <c r="A286" t="s">
        <v>988</v>
      </c>
      <c r="B286" t="s">
        <v>2176</v>
      </c>
    </row>
    <row r="287" spans="1:2" x14ac:dyDescent="0.3">
      <c r="A287" t="s">
        <v>989</v>
      </c>
      <c r="B287" t="s">
        <v>2177</v>
      </c>
    </row>
    <row r="288" spans="1:2" x14ac:dyDescent="0.3">
      <c r="A288" t="s">
        <v>990</v>
      </c>
      <c r="B288" t="s">
        <v>2178</v>
      </c>
    </row>
    <row r="289" spans="1:2" x14ac:dyDescent="0.3">
      <c r="A289" t="s">
        <v>991</v>
      </c>
      <c r="B289" t="s">
        <v>2179</v>
      </c>
    </row>
    <row r="290" spans="1:2" x14ac:dyDescent="0.3">
      <c r="A290" t="s">
        <v>992</v>
      </c>
      <c r="B290" t="s">
        <v>2180</v>
      </c>
    </row>
    <row r="291" spans="1:2" x14ac:dyDescent="0.3">
      <c r="A291" t="s">
        <v>993</v>
      </c>
      <c r="B291" t="s">
        <v>2181</v>
      </c>
    </row>
    <row r="292" spans="1:2" x14ac:dyDescent="0.3">
      <c r="A292" t="s">
        <v>994</v>
      </c>
      <c r="B292" t="s">
        <v>2182</v>
      </c>
    </row>
    <row r="293" spans="1:2" x14ac:dyDescent="0.3">
      <c r="A293" t="s">
        <v>995</v>
      </c>
      <c r="B293" t="s">
        <v>2183</v>
      </c>
    </row>
    <row r="294" spans="1:2" x14ac:dyDescent="0.3">
      <c r="A294" t="s">
        <v>996</v>
      </c>
      <c r="B294" t="s">
        <v>2184</v>
      </c>
    </row>
    <row r="295" spans="1:2" x14ac:dyDescent="0.3">
      <c r="A295" t="s">
        <v>997</v>
      </c>
      <c r="B295" t="s">
        <v>2185</v>
      </c>
    </row>
    <row r="296" spans="1:2" x14ac:dyDescent="0.3">
      <c r="A296" t="s">
        <v>998</v>
      </c>
      <c r="B296" t="s">
        <v>2186</v>
      </c>
    </row>
    <row r="297" spans="1:2" x14ac:dyDescent="0.3">
      <c r="A297" t="s">
        <v>999</v>
      </c>
      <c r="B297" t="s">
        <v>2187</v>
      </c>
    </row>
    <row r="298" spans="1:2" x14ac:dyDescent="0.3">
      <c r="A298" t="s">
        <v>1000</v>
      </c>
      <c r="B298" t="s">
        <v>2188</v>
      </c>
    </row>
    <row r="299" spans="1:2" x14ac:dyDescent="0.3">
      <c r="A299" t="s">
        <v>1001</v>
      </c>
      <c r="B299" t="s">
        <v>2189</v>
      </c>
    </row>
    <row r="300" spans="1:2" x14ac:dyDescent="0.3">
      <c r="A300" t="s">
        <v>1002</v>
      </c>
      <c r="B300" t="s">
        <v>2190</v>
      </c>
    </row>
    <row r="301" spans="1:2" x14ac:dyDescent="0.3">
      <c r="A301" t="s">
        <v>1003</v>
      </c>
      <c r="B301" t="s">
        <v>2191</v>
      </c>
    </row>
    <row r="302" spans="1:2" x14ac:dyDescent="0.3">
      <c r="A302" t="s">
        <v>1004</v>
      </c>
      <c r="B302" t="s">
        <v>2192</v>
      </c>
    </row>
    <row r="303" spans="1:2" x14ac:dyDescent="0.3">
      <c r="A303" t="s">
        <v>1005</v>
      </c>
      <c r="B303" t="s">
        <v>2193</v>
      </c>
    </row>
    <row r="304" spans="1:2" x14ac:dyDescent="0.3">
      <c r="A304" t="s">
        <v>1006</v>
      </c>
      <c r="B304" t="s">
        <v>2194</v>
      </c>
    </row>
    <row r="305" spans="1:2" x14ac:dyDescent="0.3">
      <c r="A305" t="s">
        <v>1007</v>
      </c>
      <c r="B305" t="s">
        <v>2195</v>
      </c>
    </row>
    <row r="306" spans="1:2" x14ac:dyDescent="0.3">
      <c r="A306" t="s">
        <v>1008</v>
      </c>
      <c r="B306" t="s">
        <v>2196</v>
      </c>
    </row>
    <row r="307" spans="1:2" x14ac:dyDescent="0.3">
      <c r="A307" t="s">
        <v>1009</v>
      </c>
      <c r="B307" t="s">
        <v>2197</v>
      </c>
    </row>
    <row r="308" spans="1:2" x14ac:dyDescent="0.3">
      <c r="A308" t="s">
        <v>1010</v>
      </c>
      <c r="B308" t="s">
        <v>2198</v>
      </c>
    </row>
    <row r="309" spans="1:2" x14ac:dyDescent="0.3">
      <c r="A309" s="38" t="s">
        <v>1011</v>
      </c>
      <c r="B309" t="s">
        <v>2199</v>
      </c>
    </row>
    <row r="310" spans="1:2" x14ac:dyDescent="0.3">
      <c r="A310" t="s">
        <v>1012</v>
      </c>
      <c r="B310" t="s">
        <v>2200</v>
      </c>
    </row>
    <row r="311" spans="1:2" x14ac:dyDescent="0.3">
      <c r="A311" t="s">
        <v>1013</v>
      </c>
      <c r="B311" t="s">
        <v>2201</v>
      </c>
    </row>
    <row r="312" spans="1:2" x14ac:dyDescent="0.3">
      <c r="A312" t="s">
        <v>1014</v>
      </c>
      <c r="B312" t="s">
        <v>2202</v>
      </c>
    </row>
    <row r="313" spans="1:2" x14ac:dyDescent="0.3">
      <c r="A313" t="s">
        <v>1015</v>
      </c>
      <c r="B313" t="s">
        <v>2203</v>
      </c>
    </row>
    <row r="314" spans="1:2" x14ac:dyDescent="0.3">
      <c r="A314" t="s">
        <v>1016</v>
      </c>
      <c r="B314" t="s">
        <v>2204</v>
      </c>
    </row>
    <row r="315" spans="1:2" x14ac:dyDescent="0.3">
      <c r="A315" t="s">
        <v>1017</v>
      </c>
      <c r="B315" t="s">
        <v>2205</v>
      </c>
    </row>
    <row r="316" spans="1:2" x14ac:dyDescent="0.3">
      <c r="A316" t="s">
        <v>1018</v>
      </c>
      <c r="B316" t="s">
        <v>2206</v>
      </c>
    </row>
    <row r="317" spans="1:2" x14ac:dyDescent="0.3">
      <c r="A317" t="s">
        <v>1019</v>
      </c>
      <c r="B317" t="s">
        <v>2207</v>
      </c>
    </row>
    <row r="318" spans="1:2" x14ac:dyDescent="0.3">
      <c r="A318" t="s">
        <v>1020</v>
      </c>
      <c r="B318" t="s">
        <v>2208</v>
      </c>
    </row>
    <row r="319" spans="1:2" x14ac:dyDescent="0.3">
      <c r="A319" t="s">
        <v>1021</v>
      </c>
      <c r="B319" t="s">
        <v>2209</v>
      </c>
    </row>
    <row r="320" spans="1:2" x14ac:dyDescent="0.3">
      <c r="A320" t="s">
        <v>1022</v>
      </c>
      <c r="B320" t="s">
        <v>2210</v>
      </c>
    </row>
    <row r="321" spans="1:2" x14ac:dyDescent="0.3">
      <c r="A321" t="s">
        <v>1023</v>
      </c>
      <c r="B321" t="s">
        <v>2211</v>
      </c>
    </row>
    <row r="322" spans="1:2" x14ac:dyDescent="0.3">
      <c r="A322" t="s">
        <v>1024</v>
      </c>
      <c r="B322" t="s">
        <v>2212</v>
      </c>
    </row>
    <row r="323" spans="1:2" x14ac:dyDescent="0.3">
      <c r="A323" t="s">
        <v>1025</v>
      </c>
      <c r="B323" t="s">
        <v>2213</v>
      </c>
    </row>
    <row r="324" spans="1:2" x14ac:dyDescent="0.3">
      <c r="A324" t="s">
        <v>1026</v>
      </c>
      <c r="B324" t="s">
        <v>2214</v>
      </c>
    </row>
    <row r="325" spans="1:2" x14ac:dyDescent="0.3">
      <c r="A325" t="s">
        <v>1027</v>
      </c>
      <c r="B325" t="s">
        <v>2215</v>
      </c>
    </row>
    <row r="326" spans="1:2" x14ac:dyDescent="0.3">
      <c r="A326" t="s">
        <v>1028</v>
      </c>
      <c r="B326" t="s">
        <v>2216</v>
      </c>
    </row>
    <row r="327" spans="1:2" x14ac:dyDescent="0.3">
      <c r="A327" t="s">
        <v>1029</v>
      </c>
      <c r="B327" t="s">
        <v>2217</v>
      </c>
    </row>
    <row r="328" spans="1:2" x14ac:dyDescent="0.3">
      <c r="A328" t="s">
        <v>1030</v>
      </c>
      <c r="B328" t="s">
        <v>2218</v>
      </c>
    </row>
    <row r="329" spans="1:2" x14ac:dyDescent="0.3">
      <c r="A329" t="s">
        <v>1031</v>
      </c>
      <c r="B329" t="s">
        <v>2219</v>
      </c>
    </row>
    <row r="330" spans="1:2" x14ac:dyDescent="0.3">
      <c r="A330" t="s">
        <v>1032</v>
      </c>
      <c r="B330" t="s">
        <v>2220</v>
      </c>
    </row>
    <row r="331" spans="1:2" x14ac:dyDescent="0.3">
      <c r="A331" t="s">
        <v>1033</v>
      </c>
      <c r="B331" t="s">
        <v>2221</v>
      </c>
    </row>
    <row r="332" spans="1:2" x14ac:dyDescent="0.3">
      <c r="A332" t="s">
        <v>1034</v>
      </c>
      <c r="B332" t="s">
        <v>2222</v>
      </c>
    </row>
    <row r="333" spans="1:2" x14ac:dyDescent="0.3">
      <c r="A333" t="s">
        <v>1035</v>
      </c>
      <c r="B333" t="s">
        <v>2223</v>
      </c>
    </row>
    <row r="334" spans="1:2" x14ac:dyDescent="0.3">
      <c r="A334" t="s">
        <v>1036</v>
      </c>
      <c r="B334" t="s">
        <v>2224</v>
      </c>
    </row>
    <row r="335" spans="1:2" x14ac:dyDescent="0.3">
      <c r="A335" t="s">
        <v>1037</v>
      </c>
      <c r="B335" t="s">
        <v>2225</v>
      </c>
    </row>
    <row r="336" spans="1:2" x14ac:dyDescent="0.3">
      <c r="A336" t="s">
        <v>1038</v>
      </c>
      <c r="B336" t="s">
        <v>2226</v>
      </c>
    </row>
    <row r="337" spans="1:2" x14ac:dyDescent="0.3">
      <c r="A337" t="s">
        <v>1039</v>
      </c>
      <c r="B337" t="s">
        <v>2227</v>
      </c>
    </row>
    <row r="338" spans="1:2" x14ac:dyDescent="0.3">
      <c r="A338" t="s">
        <v>1040</v>
      </c>
      <c r="B338" t="s">
        <v>2228</v>
      </c>
    </row>
    <row r="339" spans="1:2" x14ac:dyDescent="0.3">
      <c r="A339" t="s">
        <v>1041</v>
      </c>
      <c r="B339" t="s">
        <v>2229</v>
      </c>
    </row>
    <row r="340" spans="1:2" x14ac:dyDescent="0.3">
      <c r="A340" t="s">
        <v>1042</v>
      </c>
      <c r="B340" t="s">
        <v>2230</v>
      </c>
    </row>
    <row r="341" spans="1:2" x14ac:dyDescent="0.3">
      <c r="A341" t="s">
        <v>1043</v>
      </c>
      <c r="B341" t="s">
        <v>2231</v>
      </c>
    </row>
    <row r="342" spans="1:2" x14ac:dyDescent="0.3">
      <c r="A342" t="s">
        <v>1044</v>
      </c>
      <c r="B342" t="s">
        <v>2232</v>
      </c>
    </row>
    <row r="343" spans="1:2" x14ac:dyDescent="0.3">
      <c r="A343" t="s">
        <v>1045</v>
      </c>
      <c r="B343" t="s">
        <v>2233</v>
      </c>
    </row>
    <row r="344" spans="1:2" x14ac:dyDescent="0.3">
      <c r="A344" t="s">
        <v>1046</v>
      </c>
      <c r="B344" t="s">
        <v>2234</v>
      </c>
    </row>
    <row r="345" spans="1:2" x14ac:dyDescent="0.3">
      <c r="A345" t="s">
        <v>1047</v>
      </c>
      <c r="B345" t="s">
        <v>2235</v>
      </c>
    </row>
    <row r="346" spans="1:2" x14ac:dyDescent="0.3">
      <c r="A346" t="s">
        <v>1048</v>
      </c>
      <c r="B346" t="s">
        <v>2236</v>
      </c>
    </row>
    <row r="347" spans="1:2" x14ac:dyDescent="0.3">
      <c r="A347" t="s">
        <v>1049</v>
      </c>
      <c r="B347" t="s">
        <v>2237</v>
      </c>
    </row>
    <row r="348" spans="1:2" x14ac:dyDescent="0.3">
      <c r="A348" t="s">
        <v>1050</v>
      </c>
      <c r="B348" t="s">
        <v>2238</v>
      </c>
    </row>
    <row r="349" spans="1:2" x14ac:dyDescent="0.3">
      <c r="A349" t="s">
        <v>1051</v>
      </c>
      <c r="B349" t="s">
        <v>2239</v>
      </c>
    </row>
    <row r="350" spans="1:2" x14ac:dyDescent="0.3">
      <c r="A350" t="s">
        <v>1052</v>
      </c>
      <c r="B350" t="s">
        <v>2240</v>
      </c>
    </row>
    <row r="351" spans="1:2" x14ac:dyDescent="0.3">
      <c r="A351" t="s">
        <v>1053</v>
      </c>
      <c r="B351" t="s">
        <v>2241</v>
      </c>
    </row>
    <row r="352" spans="1:2" x14ac:dyDescent="0.3">
      <c r="A352" t="s">
        <v>1054</v>
      </c>
      <c r="B352" t="s">
        <v>2242</v>
      </c>
    </row>
    <row r="353" spans="1:2" x14ac:dyDescent="0.3">
      <c r="A353" t="s">
        <v>1055</v>
      </c>
      <c r="B353" t="s">
        <v>2243</v>
      </c>
    </row>
    <row r="354" spans="1:2" x14ac:dyDescent="0.3">
      <c r="A354" t="s">
        <v>1056</v>
      </c>
      <c r="B354" t="s">
        <v>2244</v>
      </c>
    </row>
    <row r="355" spans="1:2" x14ac:dyDescent="0.3">
      <c r="A355" t="s">
        <v>1057</v>
      </c>
      <c r="B355" t="s">
        <v>2245</v>
      </c>
    </row>
    <row r="356" spans="1:2" x14ac:dyDescent="0.3">
      <c r="A356" t="s">
        <v>1058</v>
      </c>
      <c r="B356" t="s">
        <v>2246</v>
      </c>
    </row>
    <row r="357" spans="1:2" x14ac:dyDescent="0.3">
      <c r="A357" t="s">
        <v>1059</v>
      </c>
      <c r="B357" t="s">
        <v>2247</v>
      </c>
    </row>
    <row r="358" spans="1:2" x14ac:dyDescent="0.3">
      <c r="A358" s="38" t="s">
        <v>1060</v>
      </c>
      <c r="B358" t="s">
        <v>2248</v>
      </c>
    </row>
    <row r="359" spans="1:2" x14ac:dyDescent="0.3">
      <c r="A359" t="s">
        <v>1061</v>
      </c>
      <c r="B359" t="s">
        <v>2249</v>
      </c>
    </row>
    <row r="360" spans="1:2" x14ac:dyDescent="0.3">
      <c r="A360" t="s">
        <v>1062</v>
      </c>
      <c r="B360" t="s">
        <v>2250</v>
      </c>
    </row>
    <row r="361" spans="1:2" x14ac:dyDescent="0.3">
      <c r="A361" t="s">
        <v>1063</v>
      </c>
      <c r="B361" t="s">
        <v>2251</v>
      </c>
    </row>
    <row r="362" spans="1:2" x14ac:dyDescent="0.3">
      <c r="A362" t="s">
        <v>1064</v>
      </c>
      <c r="B362" t="s">
        <v>2252</v>
      </c>
    </row>
    <row r="363" spans="1:2" x14ac:dyDescent="0.3">
      <c r="A363" t="s">
        <v>1065</v>
      </c>
      <c r="B363" t="s">
        <v>2253</v>
      </c>
    </row>
    <row r="364" spans="1:2" x14ac:dyDescent="0.3">
      <c r="A364" t="s">
        <v>1066</v>
      </c>
      <c r="B364" t="s">
        <v>2254</v>
      </c>
    </row>
    <row r="365" spans="1:2" x14ac:dyDescent="0.3">
      <c r="A365" t="s">
        <v>1067</v>
      </c>
      <c r="B365" t="s">
        <v>2255</v>
      </c>
    </row>
    <row r="366" spans="1:2" x14ac:dyDescent="0.3">
      <c r="A366" t="s">
        <v>1068</v>
      </c>
      <c r="B366" t="s">
        <v>2256</v>
      </c>
    </row>
    <row r="367" spans="1:2" x14ac:dyDescent="0.3">
      <c r="A367" t="s">
        <v>1069</v>
      </c>
      <c r="B367" t="s">
        <v>2257</v>
      </c>
    </row>
    <row r="368" spans="1:2" x14ac:dyDescent="0.3">
      <c r="A368" t="s">
        <v>1070</v>
      </c>
      <c r="B368" t="s">
        <v>2258</v>
      </c>
    </row>
    <row r="369" spans="1:2" x14ac:dyDescent="0.3">
      <c r="A369" t="s">
        <v>1071</v>
      </c>
      <c r="B369" t="s">
        <v>2259</v>
      </c>
    </row>
    <row r="370" spans="1:2" x14ac:dyDescent="0.3">
      <c r="A370" t="s">
        <v>1072</v>
      </c>
      <c r="B370" t="s">
        <v>2260</v>
      </c>
    </row>
    <row r="371" spans="1:2" x14ac:dyDescent="0.3">
      <c r="A371" t="s">
        <v>1073</v>
      </c>
      <c r="B371" t="s">
        <v>2261</v>
      </c>
    </row>
    <row r="372" spans="1:2" x14ac:dyDescent="0.3">
      <c r="A372" t="s">
        <v>1074</v>
      </c>
      <c r="B372" t="s">
        <v>2262</v>
      </c>
    </row>
    <row r="373" spans="1:2" x14ac:dyDescent="0.3">
      <c r="A373" t="s">
        <v>1075</v>
      </c>
      <c r="B373" t="s">
        <v>2263</v>
      </c>
    </row>
    <row r="374" spans="1:2" x14ac:dyDescent="0.3">
      <c r="A374" t="s">
        <v>1076</v>
      </c>
      <c r="B374" t="s">
        <v>2264</v>
      </c>
    </row>
    <row r="375" spans="1:2" x14ac:dyDescent="0.3">
      <c r="A375" t="s">
        <v>1077</v>
      </c>
      <c r="B375" t="s">
        <v>2265</v>
      </c>
    </row>
    <row r="376" spans="1:2" x14ac:dyDescent="0.3">
      <c r="A376" t="s">
        <v>1078</v>
      </c>
      <c r="B376" t="s">
        <v>2266</v>
      </c>
    </row>
    <row r="377" spans="1:2" x14ac:dyDescent="0.3">
      <c r="A377" t="s">
        <v>1079</v>
      </c>
      <c r="B377" t="s">
        <v>2267</v>
      </c>
    </row>
    <row r="378" spans="1:2" x14ac:dyDescent="0.3">
      <c r="A378" t="s">
        <v>1080</v>
      </c>
      <c r="B378" t="s">
        <v>2268</v>
      </c>
    </row>
    <row r="379" spans="1:2" x14ac:dyDescent="0.3">
      <c r="A379" t="s">
        <v>1081</v>
      </c>
      <c r="B379" t="s">
        <v>2269</v>
      </c>
    </row>
    <row r="380" spans="1:2" x14ac:dyDescent="0.3">
      <c r="A380" t="s">
        <v>1082</v>
      </c>
      <c r="B380" t="s">
        <v>2270</v>
      </c>
    </row>
    <row r="381" spans="1:2" x14ac:dyDescent="0.3">
      <c r="A381" t="s">
        <v>1083</v>
      </c>
      <c r="B381" t="s">
        <v>2271</v>
      </c>
    </row>
    <row r="382" spans="1:2" x14ac:dyDescent="0.3">
      <c r="A382" t="s">
        <v>1084</v>
      </c>
      <c r="B382" t="s">
        <v>2272</v>
      </c>
    </row>
    <row r="383" spans="1:2" x14ac:dyDescent="0.3">
      <c r="A383" t="s">
        <v>1085</v>
      </c>
      <c r="B383" t="s">
        <v>2273</v>
      </c>
    </row>
    <row r="384" spans="1:2" x14ac:dyDescent="0.3">
      <c r="A384" t="s">
        <v>1086</v>
      </c>
      <c r="B384" t="s">
        <v>2274</v>
      </c>
    </row>
    <row r="385" spans="1:2" x14ac:dyDescent="0.3">
      <c r="A385" t="s">
        <v>1087</v>
      </c>
      <c r="B385" t="s">
        <v>2275</v>
      </c>
    </row>
    <row r="386" spans="1:2" x14ac:dyDescent="0.3">
      <c r="A386" t="s">
        <v>1088</v>
      </c>
      <c r="B386" t="s">
        <v>2276</v>
      </c>
    </row>
    <row r="387" spans="1:2" x14ac:dyDescent="0.3">
      <c r="A387" t="s">
        <v>1089</v>
      </c>
      <c r="B387" t="s">
        <v>2277</v>
      </c>
    </row>
    <row r="388" spans="1:2" x14ac:dyDescent="0.3">
      <c r="A388" t="s">
        <v>1090</v>
      </c>
      <c r="B388" t="s">
        <v>2278</v>
      </c>
    </row>
    <row r="389" spans="1:2" x14ac:dyDescent="0.3">
      <c r="A389" t="s">
        <v>1091</v>
      </c>
      <c r="B389" t="s">
        <v>2279</v>
      </c>
    </row>
    <row r="390" spans="1:2" x14ac:dyDescent="0.3">
      <c r="A390" t="s">
        <v>1092</v>
      </c>
      <c r="B390" t="s">
        <v>2280</v>
      </c>
    </row>
    <row r="391" spans="1:2" x14ac:dyDescent="0.3">
      <c r="A391" t="s">
        <v>1093</v>
      </c>
      <c r="B391" t="s">
        <v>2281</v>
      </c>
    </row>
    <row r="392" spans="1:2" x14ac:dyDescent="0.3">
      <c r="A392" t="s">
        <v>1094</v>
      </c>
      <c r="B392" t="s">
        <v>2282</v>
      </c>
    </row>
    <row r="393" spans="1:2" x14ac:dyDescent="0.3">
      <c r="A393" t="s">
        <v>1095</v>
      </c>
      <c r="B393" t="s">
        <v>2283</v>
      </c>
    </row>
    <row r="394" spans="1:2" x14ac:dyDescent="0.3">
      <c r="A394" t="s">
        <v>1096</v>
      </c>
      <c r="B394" t="s">
        <v>2284</v>
      </c>
    </row>
    <row r="395" spans="1:2" x14ac:dyDescent="0.3">
      <c r="A395" t="s">
        <v>1097</v>
      </c>
      <c r="B395" t="s">
        <v>2285</v>
      </c>
    </row>
    <row r="396" spans="1:2" x14ac:dyDescent="0.3">
      <c r="A396" t="s">
        <v>1098</v>
      </c>
      <c r="B396" t="s">
        <v>2286</v>
      </c>
    </row>
    <row r="397" spans="1:2" x14ac:dyDescent="0.3">
      <c r="A397" t="s">
        <v>1099</v>
      </c>
      <c r="B397" t="s">
        <v>2287</v>
      </c>
    </row>
    <row r="398" spans="1:2" x14ac:dyDescent="0.3">
      <c r="A398" t="s">
        <v>1100</v>
      </c>
      <c r="B398" t="s">
        <v>2288</v>
      </c>
    </row>
    <row r="399" spans="1:2" x14ac:dyDescent="0.3">
      <c r="A399" t="s">
        <v>1101</v>
      </c>
      <c r="B399" t="s">
        <v>2289</v>
      </c>
    </row>
    <row r="400" spans="1:2" x14ac:dyDescent="0.3">
      <c r="A400" t="s">
        <v>1102</v>
      </c>
      <c r="B400" t="s">
        <v>2290</v>
      </c>
    </row>
    <row r="401" spans="1:2" x14ac:dyDescent="0.3">
      <c r="A401" t="s">
        <v>1103</v>
      </c>
      <c r="B401" t="s">
        <v>2291</v>
      </c>
    </row>
    <row r="402" spans="1:2" x14ac:dyDescent="0.3">
      <c r="A402" t="s">
        <v>1104</v>
      </c>
      <c r="B402" t="s">
        <v>2292</v>
      </c>
    </row>
    <row r="403" spans="1:2" x14ac:dyDescent="0.3">
      <c r="A403" t="s">
        <v>1105</v>
      </c>
      <c r="B403" t="s">
        <v>2293</v>
      </c>
    </row>
    <row r="404" spans="1:2" x14ac:dyDescent="0.3">
      <c r="A404" t="s">
        <v>1106</v>
      </c>
      <c r="B404" t="s">
        <v>2294</v>
      </c>
    </row>
    <row r="405" spans="1:2" x14ac:dyDescent="0.3">
      <c r="A405" t="s">
        <v>1107</v>
      </c>
      <c r="B405" t="s">
        <v>2295</v>
      </c>
    </row>
    <row r="406" spans="1:2" x14ac:dyDescent="0.3">
      <c r="A406" t="s">
        <v>1108</v>
      </c>
      <c r="B406" t="s">
        <v>2296</v>
      </c>
    </row>
    <row r="407" spans="1:2" x14ac:dyDescent="0.3">
      <c r="A407" t="s">
        <v>1109</v>
      </c>
      <c r="B407" t="s">
        <v>2297</v>
      </c>
    </row>
    <row r="408" spans="1:2" x14ac:dyDescent="0.3">
      <c r="A408" t="s">
        <v>1110</v>
      </c>
      <c r="B408" t="s">
        <v>2298</v>
      </c>
    </row>
    <row r="409" spans="1:2" x14ac:dyDescent="0.3">
      <c r="A409" t="s">
        <v>1111</v>
      </c>
      <c r="B409" t="s">
        <v>2299</v>
      </c>
    </row>
    <row r="410" spans="1:2" x14ac:dyDescent="0.3">
      <c r="A410" t="s">
        <v>1112</v>
      </c>
      <c r="B410" t="s">
        <v>2300</v>
      </c>
    </row>
    <row r="411" spans="1:2" x14ac:dyDescent="0.3">
      <c r="A411" t="s">
        <v>1113</v>
      </c>
      <c r="B411" t="s">
        <v>2301</v>
      </c>
    </row>
    <row r="412" spans="1:2" x14ac:dyDescent="0.3">
      <c r="A412" t="s">
        <v>1114</v>
      </c>
      <c r="B412" t="s">
        <v>2302</v>
      </c>
    </row>
    <row r="413" spans="1:2" x14ac:dyDescent="0.3">
      <c r="A413" t="s">
        <v>1115</v>
      </c>
      <c r="B413" t="s">
        <v>2303</v>
      </c>
    </row>
    <row r="414" spans="1:2" x14ac:dyDescent="0.3">
      <c r="A414" t="s">
        <v>1116</v>
      </c>
      <c r="B414" t="s">
        <v>2304</v>
      </c>
    </row>
    <row r="415" spans="1:2" x14ac:dyDescent="0.3">
      <c r="A415" t="s">
        <v>1117</v>
      </c>
      <c r="B415" t="s">
        <v>2305</v>
      </c>
    </row>
    <row r="416" spans="1:2" x14ac:dyDescent="0.3">
      <c r="A416" t="s">
        <v>1118</v>
      </c>
      <c r="B416" t="s">
        <v>2306</v>
      </c>
    </row>
    <row r="417" spans="1:2" x14ac:dyDescent="0.3">
      <c r="A417" t="s">
        <v>1119</v>
      </c>
      <c r="B417" t="s">
        <v>2307</v>
      </c>
    </row>
    <row r="418" spans="1:2" x14ac:dyDescent="0.3">
      <c r="A418" t="s">
        <v>1120</v>
      </c>
      <c r="B418" t="s">
        <v>2308</v>
      </c>
    </row>
    <row r="419" spans="1:2" x14ac:dyDescent="0.3">
      <c r="A419" t="s">
        <v>1121</v>
      </c>
      <c r="B419" t="s">
        <v>2309</v>
      </c>
    </row>
    <row r="420" spans="1:2" x14ac:dyDescent="0.3">
      <c r="A420" t="s">
        <v>1122</v>
      </c>
      <c r="B420" t="s">
        <v>2310</v>
      </c>
    </row>
    <row r="421" spans="1:2" x14ac:dyDescent="0.3">
      <c r="A421" t="s">
        <v>1123</v>
      </c>
      <c r="B421" t="s">
        <v>2311</v>
      </c>
    </row>
    <row r="422" spans="1:2" x14ac:dyDescent="0.3">
      <c r="A422" t="s">
        <v>1124</v>
      </c>
      <c r="B422" t="s">
        <v>2312</v>
      </c>
    </row>
    <row r="423" spans="1:2" x14ac:dyDescent="0.3">
      <c r="A423" t="s">
        <v>1125</v>
      </c>
      <c r="B423" t="s">
        <v>2313</v>
      </c>
    </row>
    <row r="424" spans="1:2" x14ac:dyDescent="0.3">
      <c r="A424" t="s">
        <v>1126</v>
      </c>
      <c r="B424" t="s">
        <v>2314</v>
      </c>
    </row>
    <row r="425" spans="1:2" x14ac:dyDescent="0.3">
      <c r="A425" t="s">
        <v>1127</v>
      </c>
      <c r="B425" t="s">
        <v>2315</v>
      </c>
    </row>
    <row r="426" spans="1:2" x14ac:dyDescent="0.3">
      <c r="A426" t="s">
        <v>1128</v>
      </c>
      <c r="B426" t="s">
        <v>2316</v>
      </c>
    </row>
    <row r="427" spans="1:2" x14ac:dyDescent="0.3">
      <c r="A427" t="s">
        <v>1129</v>
      </c>
      <c r="B427" t="s">
        <v>2317</v>
      </c>
    </row>
    <row r="428" spans="1:2" x14ac:dyDescent="0.3">
      <c r="A428" t="s">
        <v>1130</v>
      </c>
      <c r="B428" t="s">
        <v>2318</v>
      </c>
    </row>
    <row r="429" spans="1:2" x14ac:dyDescent="0.3">
      <c r="A429" t="s">
        <v>1131</v>
      </c>
      <c r="B429" t="s">
        <v>2319</v>
      </c>
    </row>
    <row r="430" spans="1:2" x14ac:dyDescent="0.3">
      <c r="A430" t="s">
        <v>1132</v>
      </c>
      <c r="B430" t="s">
        <v>2320</v>
      </c>
    </row>
    <row r="431" spans="1:2" x14ac:dyDescent="0.3">
      <c r="A431" t="s">
        <v>1133</v>
      </c>
      <c r="B431" t="s">
        <v>2321</v>
      </c>
    </row>
    <row r="432" spans="1:2" x14ac:dyDescent="0.3">
      <c r="A432" t="s">
        <v>1134</v>
      </c>
      <c r="B432" t="s">
        <v>2322</v>
      </c>
    </row>
    <row r="433" spans="1:2" x14ac:dyDescent="0.3">
      <c r="A433" t="s">
        <v>1135</v>
      </c>
      <c r="B433" t="s">
        <v>2323</v>
      </c>
    </row>
    <row r="434" spans="1:2" x14ac:dyDescent="0.3">
      <c r="A434" t="s">
        <v>1136</v>
      </c>
      <c r="B434" t="s">
        <v>2324</v>
      </c>
    </row>
    <row r="435" spans="1:2" x14ac:dyDescent="0.3">
      <c r="A435" t="s">
        <v>1137</v>
      </c>
      <c r="B435" t="s">
        <v>2325</v>
      </c>
    </row>
    <row r="436" spans="1:2" x14ac:dyDescent="0.3">
      <c r="A436" t="s">
        <v>1138</v>
      </c>
      <c r="B436" t="s">
        <v>2326</v>
      </c>
    </row>
    <row r="437" spans="1:2" x14ac:dyDescent="0.3">
      <c r="A437" t="s">
        <v>1139</v>
      </c>
      <c r="B437" t="s">
        <v>2327</v>
      </c>
    </row>
    <row r="438" spans="1:2" x14ac:dyDescent="0.3">
      <c r="A438" t="s">
        <v>1140</v>
      </c>
      <c r="B438" t="s">
        <v>2328</v>
      </c>
    </row>
    <row r="439" spans="1:2" x14ac:dyDescent="0.3">
      <c r="A439" t="s">
        <v>1141</v>
      </c>
      <c r="B439" t="s">
        <v>2329</v>
      </c>
    </row>
    <row r="440" spans="1:2" x14ac:dyDescent="0.3">
      <c r="A440" t="s">
        <v>1142</v>
      </c>
      <c r="B440" t="s">
        <v>2330</v>
      </c>
    </row>
    <row r="441" spans="1:2" x14ac:dyDescent="0.3">
      <c r="A441" t="s">
        <v>1143</v>
      </c>
      <c r="B441" t="s">
        <v>2331</v>
      </c>
    </row>
    <row r="442" spans="1:2" x14ac:dyDescent="0.3">
      <c r="A442" t="s">
        <v>1144</v>
      </c>
      <c r="B442" t="s">
        <v>2332</v>
      </c>
    </row>
    <row r="443" spans="1:2" x14ac:dyDescent="0.3">
      <c r="A443" t="s">
        <v>1145</v>
      </c>
      <c r="B443" t="s">
        <v>2333</v>
      </c>
    </row>
    <row r="444" spans="1:2" x14ac:dyDescent="0.3">
      <c r="A444" t="s">
        <v>1146</v>
      </c>
      <c r="B444" t="s">
        <v>2334</v>
      </c>
    </row>
    <row r="445" spans="1:2" x14ac:dyDescent="0.3">
      <c r="A445" t="s">
        <v>1147</v>
      </c>
      <c r="B445" t="s">
        <v>2335</v>
      </c>
    </row>
    <row r="446" spans="1:2" x14ac:dyDescent="0.3">
      <c r="A446" t="s">
        <v>1148</v>
      </c>
      <c r="B446" t="s">
        <v>2336</v>
      </c>
    </row>
    <row r="447" spans="1:2" x14ac:dyDescent="0.3">
      <c r="A447" t="s">
        <v>1149</v>
      </c>
      <c r="B447" t="s">
        <v>2337</v>
      </c>
    </row>
    <row r="448" spans="1:2" x14ac:dyDescent="0.3">
      <c r="A448" t="s">
        <v>1150</v>
      </c>
      <c r="B448" t="s">
        <v>2338</v>
      </c>
    </row>
    <row r="449" spans="1:2" x14ac:dyDescent="0.3">
      <c r="A449" t="s">
        <v>1151</v>
      </c>
      <c r="B449" t="s">
        <v>2339</v>
      </c>
    </row>
    <row r="450" spans="1:2" x14ac:dyDescent="0.3">
      <c r="A450" t="s">
        <v>1152</v>
      </c>
      <c r="B450" t="s">
        <v>2340</v>
      </c>
    </row>
    <row r="451" spans="1:2" x14ac:dyDescent="0.3">
      <c r="A451" t="s">
        <v>1153</v>
      </c>
      <c r="B451" t="s">
        <v>2341</v>
      </c>
    </row>
    <row r="452" spans="1:2" x14ac:dyDescent="0.3">
      <c r="A452" t="s">
        <v>1154</v>
      </c>
      <c r="B452" t="s">
        <v>2342</v>
      </c>
    </row>
    <row r="453" spans="1:2" x14ac:dyDescent="0.3">
      <c r="A453" t="s">
        <v>1155</v>
      </c>
      <c r="B453" t="s">
        <v>2343</v>
      </c>
    </row>
    <row r="454" spans="1:2" x14ac:dyDescent="0.3">
      <c r="A454" t="s">
        <v>1156</v>
      </c>
      <c r="B454" t="s">
        <v>2344</v>
      </c>
    </row>
    <row r="455" spans="1:2" x14ac:dyDescent="0.3">
      <c r="A455" t="s">
        <v>1157</v>
      </c>
      <c r="B455" t="s">
        <v>2345</v>
      </c>
    </row>
    <row r="456" spans="1:2" x14ac:dyDescent="0.3">
      <c r="A456" t="s">
        <v>1158</v>
      </c>
      <c r="B456" t="s">
        <v>2346</v>
      </c>
    </row>
    <row r="457" spans="1:2" x14ac:dyDescent="0.3">
      <c r="A457" t="s">
        <v>1159</v>
      </c>
      <c r="B457" t="s">
        <v>2347</v>
      </c>
    </row>
    <row r="458" spans="1:2" x14ac:dyDescent="0.3">
      <c r="A458" t="s">
        <v>1160</v>
      </c>
      <c r="B458" t="s">
        <v>2348</v>
      </c>
    </row>
    <row r="459" spans="1:2" x14ac:dyDescent="0.3">
      <c r="A459" t="s">
        <v>1161</v>
      </c>
      <c r="B459" t="s">
        <v>2345</v>
      </c>
    </row>
    <row r="460" spans="1:2" x14ac:dyDescent="0.3">
      <c r="A460" t="s">
        <v>1162</v>
      </c>
      <c r="B460" t="s">
        <v>2349</v>
      </c>
    </row>
    <row r="461" spans="1:2" x14ac:dyDescent="0.3">
      <c r="A461" t="s">
        <v>678</v>
      </c>
      <c r="B461" t="s">
        <v>680</v>
      </c>
    </row>
    <row r="462" spans="1:2" x14ac:dyDescent="0.3">
      <c r="A462" t="s">
        <v>561</v>
      </c>
      <c r="B462" t="s">
        <v>563</v>
      </c>
    </row>
    <row r="463" spans="1:2" x14ac:dyDescent="0.3">
      <c r="A463" t="s">
        <v>660</v>
      </c>
      <c r="B463" t="s">
        <v>662</v>
      </c>
    </row>
    <row r="464" spans="1:2" x14ac:dyDescent="0.3">
      <c r="A464" t="s">
        <v>444</v>
      </c>
      <c r="B464" t="s">
        <v>446</v>
      </c>
    </row>
    <row r="465" spans="1:2" x14ac:dyDescent="0.3">
      <c r="A465" t="s">
        <v>549</v>
      </c>
      <c r="B465" t="s">
        <v>551</v>
      </c>
    </row>
    <row r="466" spans="1:2" x14ac:dyDescent="0.3">
      <c r="A466" t="s">
        <v>486</v>
      </c>
      <c r="B466" t="s">
        <v>488</v>
      </c>
    </row>
    <row r="467" spans="1:2" x14ac:dyDescent="0.3">
      <c r="A467" t="s">
        <v>510</v>
      </c>
      <c r="B467" t="s">
        <v>512</v>
      </c>
    </row>
    <row r="468" spans="1:2" x14ac:dyDescent="0.3">
      <c r="A468" t="s">
        <v>627</v>
      </c>
      <c r="B468" t="s">
        <v>629</v>
      </c>
    </row>
    <row r="469" spans="1:2" x14ac:dyDescent="0.3">
      <c r="A469" t="s">
        <v>564</v>
      </c>
      <c r="B469" t="s">
        <v>566</v>
      </c>
    </row>
    <row r="470" spans="1:2" x14ac:dyDescent="0.3">
      <c r="A470" t="s">
        <v>630</v>
      </c>
      <c r="B470" t="s">
        <v>632</v>
      </c>
    </row>
    <row r="471" spans="1:2" x14ac:dyDescent="0.3">
      <c r="A471" t="s">
        <v>519</v>
      </c>
      <c r="B471" t="s">
        <v>521</v>
      </c>
    </row>
    <row r="472" spans="1:2" x14ac:dyDescent="0.3">
      <c r="A472" t="s">
        <v>582</v>
      </c>
      <c r="B472" t="s">
        <v>584</v>
      </c>
    </row>
    <row r="473" spans="1:2" x14ac:dyDescent="0.3">
      <c r="A473" t="s">
        <v>399</v>
      </c>
      <c r="B473" t="s">
        <v>401</v>
      </c>
    </row>
    <row r="474" spans="1:2" x14ac:dyDescent="0.3">
      <c r="A474" t="s">
        <v>393</v>
      </c>
      <c r="B474" t="s">
        <v>395</v>
      </c>
    </row>
    <row r="475" spans="1:2" x14ac:dyDescent="0.3">
      <c r="A475" t="s">
        <v>453</v>
      </c>
      <c r="B475" t="s">
        <v>455</v>
      </c>
    </row>
    <row r="476" spans="1:2" x14ac:dyDescent="0.3">
      <c r="A476" t="s">
        <v>462</v>
      </c>
      <c r="B476" t="s">
        <v>464</v>
      </c>
    </row>
    <row r="477" spans="1:2" x14ac:dyDescent="0.3">
      <c r="A477" t="s">
        <v>597</v>
      </c>
      <c r="B477" t="s">
        <v>599</v>
      </c>
    </row>
    <row r="478" spans="1:2" x14ac:dyDescent="0.3">
      <c r="A478" t="s">
        <v>438</v>
      </c>
      <c r="B478" t="s">
        <v>440</v>
      </c>
    </row>
    <row r="479" spans="1:2" x14ac:dyDescent="0.3">
      <c r="A479" t="s">
        <v>534</v>
      </c>
      <c r="B479" t="s">
        <v>536</v>
      </c>
    </row>
    <row r="480" spans="1:2" x14ac:dyDescent="0.3">
      <c r="A480" t="s">
        <v>576</v>
      </c>
      <c r="B480" t="s">
        <v>578</v>
      </c>
    </row>
    <row r="481" spans="1:2" x14ac:dyDescent="0.3">
      <c r="A481" t="s">
        <v>492</v>
      </c>
      <c r="B481" t="s">
        <v>494</v>
      </c>
    </row>
    <row r="482" spans="1:2" x14ac:dyDescent="0.3">
      <c r="A482" t="s">
        <v>645</v>
      </c>
      <c r="B482" t="s">
        <v>647</v>
      </c>
    </row>
    <row r="483" spans="1:2" x14ac:dyDescent="0.3">
      <c r="A483" t="s">
        <v>387</v>
      </c>
      <c r="B483" t="s">
        <v>389</v>
      </c>
    </row>
    <row r="484" spans="1:2" x14ac:dyDescent="0.3">
      <c r="A484" t="s">
        <v>498</v>
      </c>
      <c r="B484" t="s">
        <v>500</v>
      </c>
    </row>
    <row r="485" spans="1:2" x14ac:dyDescent="0.3">
      <c r="A485" t="s">
        <v>465</v>
      </c>
      <c r="B485" t="s">
        <v>467</v>
      </c>
    </row>
    <row r="486" spans="1:2" x14ac:dyDescent="0.3">
      <c r="A486" t="s">
        <v>435</v>
      </c>
      <c r="B486" t="s">
        <v>437</v>
      </c>
    </row>
    <row r="487" spans="1:2" x14ac:dyDescent="0.3">
      <c r="A487" t="s">
        <v>480</v>
      </c>
      <c r="B487" t="s">
        <v>482</v>
      </c>
    </row>
    <row r="488" spans="1:2" x14ac:dyDescent="0.3">
      <c r="A488" t="s">
        <v>528</v>
      </c>
      <c r="B488" t="s">
        <v>530</v>
      </c>
    </row>
    <row r="489" spans="1:2" x14ac:dyDescent="0.3">
      <c r="A489" t="s">
        <v>663</v>
      </c>
      <c r="B489" t="s">
        <v>665</v>
      </c>
    </row>
    <row r="490" spans="1:2" x14ac:dyDescent="0.3">
      <c r="A490" t="s">
        <v>669</v>
      </c>
      <c r="B490" t="s">
        <v>671</v>
      </c>
    </row>
    <row r="491" spans="1:2" x14ac:dyDescent="0.3">
      <c r="A491" t="s">
        <v>651</v>
      </c>
      <c r="B491" t="s">
        <v>653</v>
      </c>
    </row>
    <row r="492" spans="1:2" x14ac:dyDescent="0.3">
      <c r="A492" t="s">
        <v>633</v>
      </c>
      <c r="B492" t="s">
        <v>635</v>
      </c>
    </row>
    <row r="493" spans="1:2" x14ac:dyDescent="0.3">
      <c r="A493" t="s">
        <v>591</v>
      </c>
      <c r="B493" t="s">
        <v>593</v>
      </c>
    </row>
    <row r="494" spans="1:2" x14ac:dyDescent="0.3">
      <c r="A494" t="s">
        <v>456</v>
      </c>
      <c r="B494" t="s">
        <v>458</v>
      </c>
    </row>
    <row r="495" spans="1:2" x14ac:dyDescent="0.3">
      <c r="A495" t="s">
        <v>537</v>
      </c>
      <c r="B495" t="s">
        <v>539</v>
      </c>
    </row>
    <row r="496" spans="1:2" x14ac:dyDescent="0.3">
      <c r="A496" t="s">
        <v>471</v>
      </c>
      <c r="B496" t="s">
        <v>473</v>
      </c>
    </row>
    <row r="497" spans="1:2" x14ac:dyDescent="0.3">
      <c r="A497" t="s">
        <v>546</v>
      </c>
      <c r="B497" t="s">
        <v>548</v>
      </c>
    </row>
    <row r="498" spans="1:2" x14ac:dyDescent="0.3">
      <c r="A498" t="s">
        <v>468</v>
      </c>
      <c r="B498" t="s">
        <v>470</v>
      </c>
    </row>
    <row r="499" spans="1:2" x14ac:dyDescent="0.3">
      <c r="A499" t="s">
        <v>396</v>
      </c>
      <c r="B499" t="s">
        <v>398</v>
      </c>
    </row>
    <row r="500" spans="1:2" x14ac:dyDescent="0.3">
      <c r="A500" t="s">
        <v>606</v>
      </c>
      <c r="B500" t="s">
        <v>608</v>
      </c>
    </row>
    <row r="501" spans="1:2" x14ac:dyDescent="0.3">
      <c r="A501" t="s">
        <v>609</v>
      </c>
      <c r="B501" t="s">
        <v>611</v>
      </c>
    </row>
    <row r="502" spans="1:2" x14ac:dyDescent="0.3">
      <c r="A502" t="s">
        <v>624</v>
      </c>
      <c r="B502" t="s">
        <v>626</v>
      </c>
    </row>
    <row r="503" spans="1:2" x14ac:dyDescent="0.3">
      <c r="A503" t="s">
        <v>642</v>
      </c>
      <c r="B503" t="s">
        <v>644</v>
      </c>
    </row>
    <row r="504" spans="1:2" x14ac:dyDescent="0.3">
      <c r="A504" t="s">
        <v>411</v>
      </c>
      <c r="B504" t="s">
        <v>413</v>
      </c>
    </row>
    <row r="505" spans="1:2" x14ac:dyDescent="0.3">
      <c r="A505" t="s">
        <v>621</v>
      </c>
      <c r="B505" t="s">
        <v>623</v>
      </c>
    </row>
    <row r="506" spans="1:2" x14ac:dyDescent="0.3">
      <c r="A506" t="s">
        <v>507</v>
      </c>
      <c r="B506" t="s">
        <v>509</v>
      </c>
    </row>
    <row r="507" spans="1:2" x14ac:dyDescent="0.3">
      <c r="A507" t="s">
        <v>504</v>
      </c>
      <c r="B507" t="s">
        <v>506</v>
      </c>
    </row>
    <row r="508" spans="1:2" x14ac:dyDescent="0.3">
      <c r="A508" t="s">
        <v>417</v>
      </c>
      <c r="B508" t="s">
        <v>419</v>
      </c>
    </row>
    <row r="509" spans="1:2" x14ac:dyDescent="0.3">
      <c r="A509" t="s">
        <v>408</v>
      </c>
      <c r="B509" t="s">
        <v>410</v>
      </c>
    </row>
    <row r="510" spans="1:2" x14ac:dyDescent="0.3">
      <c r="A510" t="s">
        <v>543</v>
      </c>
      <c r="B510" t="s">
        <v>545</v>
      </c>
    </row>
    <row r="511" spans="1:2" x14ac:dyDescent="0.3">
      <c r="A511" t="s">
        <v>666</v>
      </c>
      <c r="B511" t="s">
        <v>668</v>
      </c>
    </row>
    <row r="512" spans="1:2" x14ac:dyDescent="0.3">
      <c r="A512" t="s">
        <v>567</v>
      </c>
      <c r="B512" t="s">
        <v>569</v>
      </c>
    </row>
    <row r="513" spans="1:2" x14ac:dyDescent="0.3">
      <c r="A513" t="s">
        <v>612</v>
      </c>
      <c r="B513" t="s">
        <v>614</v>
      </c>
    </row>
    <row r="514" spans="1:2" x14ac:dyDescent="0.3">
      <c r="A514" t="s">
        <v>594</v>
      </c>
      <c r="B514" t="s">
        <v>596</v>
      </c>
    </row>
    <row r="515" spans="1:2" x14ac:dyDescent="0.3">
      <c r="A515" t="s">
        <v>483</v>
      </c>
      <c r="B515" t="s">
        <v>485</v>
      </c>
    </row>
    <row r="516" spans="1:2" x14ac:dyDescent="0.3">
      <c r="A516" t="s">
        <v>429</v>
      </c>
      <c r="B516" t="s">
        <v>431</v>
      </c>
    </row>
    <row r="517" spans="1:2" x14ac:dyDescent="0.3">
      <c r="A517" t="s">
        <v>573</v>
      </c>
      <c r="B517" t="s">
        <v>575</v>
      </c>
    </row>
    <row r="518" spans="1:2" x14ac:dyDescent="0.3">
      <c r="A518" t="s">
        <v>681</v>
      </c>
      <c r="B518" t="s">
        <v>683</v>
      </c>
    </row>
    <row r="519" spans="1:2" x14ac:dyDescent="0.3">
      <c r="A519" t="s">
        <v>432</v>
      </c>
      <c r="B519" t="s">
        <v>434</v>
      </c>
    </row>
    <row r="520" spans="1:2" x14ac:dyDescent="0.3">
      <c r="A520" t="s">
        <v>402</v>
      </c>
      <c r="B520" t="s">
        <v>404</v>
      </c>
    </row>
    <row r="521" spans="1:2" x14ac:dyDescent="0.3">
      <c r="A521" t="s">
        <v>426</v>
      </c>
      <c r="B521" t="s">
        <v>428</v>
      </c>
    </row>
    <row r="522" spans="1:2" x14ac:dyDescent="0.3">
      <c r="A522" t="s">
        <v>420</v>
      </c>
      <c r="B522" t="s">
        <v>422</v>
      </c>
    </row>
    <row r="523" spans="1:2" x14ac:dyDescent="0.3">
      <c r="A523" t="s">
        <v>636</v>
      </c>
      <c r="B523" t="s">
        <v>638</v>
      </c>
    </row>
    <row r="524" spans="1:2" x14ac:dyDescent="0.3">
      <c r="A524" t="s">
        <v>588</v>
      </c>
      <c r="B524" t="s">
        <v>590</v>
      </c>
    </row>
    <row r="525" spans="1:2" x14ac:dyDescent="0.3">
      <c r="A525" t="s">
        <v>405</v>
      </c>
      <c r="B525" t="s">
        <v>407</v>
      </c>
    </row>
    <row r="526" spans="1:2" x14ac:dyDescent="0.3">
      <c r="A526" t="s">
        <v>495</v>
      </c>
      <c r="B526" t="s">
        <v>497</v>
      </c>
    </row>
    <row r="527" spans="1:2" x14ac:dyDescent="0.3">
      <c r="A527" t="s">
        <v>423</v>
      </c>
      <c r="B527" t="s">
        <v>425</v>
      </c>
    </row>
    <row r="528" spans="1:2" x14ac:dyDescent="0.3">
      <c r="A528" t="s">
        <v>384</v>
      </c>
      <c r="B528" t="s">
        <v>386</v>
      </c>
    </row>
    <row r="529" spans="1:2" x14ac:dyDescent="0.3">
      <c r="A529" t="s">
        <v>600</v>
      </c>
      <c r="B529" t="s">
        <v>602</v>
      </c>
    </row>
    <row r="530" spans="1:2" x14ac:dyDescent="0.3">
      <c r="A530" t="s">
        <v>513</v>
      </c>
      <c r="B530" t="s">
        <v>515</v>
      </c>
    </row>
    <row r="531" spans="1:2" x14ac:dyDescent="0.3">
      <c r="A531" t="s">
        <v>441</v>
      </c>
      <c r="B531" t="s">
        <v>443</v>
      </c>
    </row>
    <row r="532" spans="1:2" x14ac:dyDescent="0.3">
      <c r="A532" t="s">
        <v>525</v>
      </c>
      <c r="B532" t="s">
        <v>527</v>
      </c>
    </row>
    <row r="533" spans="1:2" x14ac:dyDescent="0.3">
      <c r="A533" t="s">
        <v>555</v>
      </c>
      <c r="B533" t="s">
        <v>557</v>
      </c>
    </row>
    <row r="534" spans="1:2" x14ac:dyDescent="0.3">
      <c r="A534" t="s">
        <v>414</v>
      </c>
      <c r="B534" t="s">
        <v>416</v>
      </c>
    </row>
    <row r="535" spans="1:2" x14ac:dyDescent="0.3">
      <c r="A535" t="s">
        <v>516</v>
      </c>
      <c r="B535" t="s">
        <v>518</v>
      </c>
    </row>
    <row r="536" spans="1:2" x14ac:dyDescent="0.3">
      <c r="A536" t="s">
        <v>531</v>
      </c>
      <c r="B536" t="s">
        <v>533</v>
      </c>
    </row>
    <row r="537" spans="1:2" x14ac:dyDescent="0.3">
      <c r="A537" t="s">
        <v>558</v>
      </c>
      <c r="B537" t="s">
        <v>560</v>
      </c>
    </row>
    <row r="538" spans="1:2" x14ac:dyDescent="0.3">
      <c r="A538" t="s">
        <v>501</v>
      </c>
      <c r="B538" t="s">
        <v>503</v>
      </c>
    </row>
    <row r="539" spans="1:2" x14ac:dyDescent="0.3">
      <c r="A539" t="s">
        <v>474</v>
      </c>
      <c r="B539" t="s">
        <v>476</v>
      </c>
    </row>
    <row r="540" spans="1:2" x14ac:dyDescent="0.3">
      <c r="A540" t="s">
        <v>522</v>
      </c>
      <c r="B540" t="s">
        <v>524</v>
      </c>
    </row>
    <row r="541" spans="1:2" x14ac:dyDescent="0.3">
      <c r="A541" t="s">
        <v>450</v>
      </c>
      <c r="B541" t="s">
        <v>452</v>
      </c>
    </row>
    <row r="542" spans="1:2" x14ac:dyDescent="0.3">
      <c r="A542" t="s">
        <v>477</v>
      </c>
      <c r="B542" t="s">
        <v>479</v>
      </c>
    </row>
    <row r="543" spans="1:2" x14ac:dyDescent="0.3">
      <c r="A543" t="s">
        <v>540</v>
      </c>
      <c r="B543" t="s">
        <v>542</v>
      </c>
    </row>
    <row r="544" spans="1:2" x14ac:dyDescent="0.3">
      <c r="A544" t="s">
        <v>672</v>
      </c>
      <c r="B544" t="s">
        <v>674</v>
      </c>
    </row>
    <row r="545" spans="1:2" x14ac:dyDescent="0.3">
      <c r="A545" t="s">
        <v>390</v>
      </c>
      <c r="B545" t="s">
        <v>392</v>
      </c>
    </row>
    <row r="546" spans="1:2" x14ac:dyDescent="0.3">
      <c r="A546" t="s">
        <v>570</v>
      </c>
      <c r="B546" t="s">
        <v>572</v>
      </c>
    </row>
    <row r="547" spans="1:2" x14ac:dyDescent="0.3">
      <c r="A547" t="s">
        <v>675</v>
      </c>
      <c r="B547" t="s">
        <v>677</v>
      </c>
    </row>
    <row r="548" spans="1:2" x14ac:dyDescent="0.3">
      <c r="A548" t="s">
        <v>579</v>
      </c>
      <c r="B548" t="s">
        <v>581</v>
      </c>
    </row>
    <row r="549" spans="1:2" x14ac:dyDescent="0.3">
      <c r="A549" t="s">
        <v>639</v>
      </c>
      <c r="B549" t="s">
        <v>641</v>
      </c>
    </row>
    <row r="550" spans="1:2" x14ac:dyDescent="0.3">
      <c r="A550" t="s">
        <v>618</v>
      </c>
      <c r="B550" t="s">
        <v>620</v>
      </c>
    </row>
    <row r="551" spans="1:2" x14ac:dyDescent="0.3">
      <c r="A551" t="s">
        <v>585</v>
      </c>
      <c r="B551" t="s">
        <v>587</v>
      </c>
    </row>
    <row r="552" spans="1:2" x14ac:dyDescent="0.3">
      <c r="A552" t="s">
        <v>615</v>
      </c>
      <c r="B552" t="s">
        <v>617</v>
      </c>
    </row>
    <row r="553" spans="1:2" x14ac:dyDescent="0.3">
      <c r="A553" t="s">
        <v>447</v>
      </c>
      <c r="B553" t="s">
        <v>449</v>
      </c>
    </row>
    <row r="554" spans="1:2" x14ac:dyDescent="0.3">
      <c r="A554" t="s">
        <v>459</v>
      </c>
      <c r="B554" t="s">
        <v>461</v>
      </c>
    </row>
    <row r="555" spans="1:2" x14ac:dyDescent="0.3">
      <c r="A555" t="s">
        <v>657</v>
      </c>
      <c r="B555" t="s">
        <v>659</v>
      </c>
    </row>
    <row r="556" spans="1:2" x14ac:dyDescent="0.3">
      <c r="A556" t="s">
        <v>654</v>
      </c>
      <c r="B556" t="s">
        <v>656</v>
      </c>
    </row>
    <row r="557" spans="1:2" x14ac:dyDescent="0.3">
      <c r="A557" t="s">
        <v>603</v>
      </c>
      <c r="B557" t="s">
        <v>605</v>
      </c>
    </row>
    <row r="558" spans="1:2" x14ac:dyDescent="0.3">
      <c r="A558" t="s">
        <v>552</v>
      </c>
      <c r="B558" t="s">
        <v>554</v>
      </c>
    </row>
    <row r="559" spans="1:2" x14ac:dyDescent="0.3">
      <c r="A559" t="s">
        <v>648</v>
      </c>
      <c r="B559" t="s">
        <v>650</v>
      </c>
    </row>
    <row r="560" spans="1:2" x14ac:dyDescent="0.3">
      <c r="A560" t="s">
        <v>489</v>
      </c>
      <c r="B560" t="s">
        <v>491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9DCD-3E89-443A-9469-09DF0613F7C8}">
  <dimension ref="A1:I32"/>
  <sheetViews>
    <sheetView workbookViewId="0">
      <selection activeCell="D2" sqref="D2"/>
    </sheetView>
  </sheetViews>
  <sheetFormatPr defaultRowHeight="14.4" x14ac:dyDescent="0.3"/>
  <cols>
    <col min="7" max="7" width="10" bestFit="1" customWidth="1"/>
  </cols>
  <sheetData>
    <row r="1" spans="1:9" x14ac:dyDescent="0.3">
      <c r="A1" s="1" t="s">
        <v>1346</v>
      </c>
      <c r="B1" s="1" t="s">
        <v>1347</v>
      </c>
      <c r="C1" s="1" t="s">
        <v>1348</v>
      </c>
      <c r="D1" s="1" t="s">
        <v>1508</v>
      </c>
      <c r="E1" s="1" t="s">
        <v>1509</v>
      </c>
      <c r="F1" s="1" t="s">
        <v>1510</v>
      </c>
      <c r="G1" s="1" t="s">
        <v>1380</v>
      </c>
      <c r="H1" s="1" t="s">
        <v>1444</v>
      </c>
      <c r="I1" s="1" t="s">
        <v>1381</v>
      </c>
    </row>
    <row r="2" spans="1:9" x14ac:dyDescent="0.3">
      <c r="A2" t="s">
        <v>50</v>
      </c>
      <c r="B2">
        <v>1</v>
      </c>
      <c r="C2" t="s">
        <v>1349</v>
      </c>
      <c r="D2" s="68" t="s">
        <v>1382</v>
      </c>
      <c r="E2" s="68" t="str">
        <f>D2&amp;"50"</f>
        <v>#7e1e9c50</v>
      </c>
      <c r="F2" s="68" t="str">
        <f>D2&amp;"25"</f>
        <v>#7e1e9c25</v>
      </c>
      <c r="G2" t="s">
        <v>1413</v>
      </c>
      <c r="H2" t="s">
        <v>1445</v>
      </c>
      <c r="I2" t="s">
        <v>1476</v>
      </c>
    </row>
    <row r="3" spans="1:9" x14ac:dyDescent="0.3">
      <c r="A3" t="s">
        <v>68</v>
      </c>
      <c r="B3">
        <v>2</v>
      </c>
      <c r="C3" t="s">
        <v>1350</v>
      </c>
      <c r="D3" s="68" t="s">
        <v>1383</v>
      </c>
      <c r="E3" s="68" t="str">
        <f t="shared" ref="E3:E32" si="0">D3&amp;"50"</f>
        <v>#15b01a50</v>
      </c>
      <c r="F3" s="68" t="str">
        <f t="shared" ref="F3:F32" si="1">D3&amp;"25"</f>
        <v>#15b01a25</v>
      </c>
      <c r="G3" t="s">
        <v>1414</v>
      </c>
      <c r="H3" t="s">
        <v>1446</v>
      </c>
      <c r="I3" t="s">
        <v>1477</v>
      </c>
    </row>
    <row r="4" spans="1:9" x14ac:dyDescent="0.3">
      <c r="A4" t="s">
        <v>60</v>
      </c>
      <c r="B4">
        <v>3</v>
      </c>
      <c r="C4" t="s">
        <v>1351</v>
      </c>
      <c r="D4" s="68" t="s">
        <v>1384</v>
      </c>
      <c r="E4" s="68" t="str">
        <f t="shared" si="0"/>
        <v>#0343df50</v>
      </c>
      <c r="F4" s="68" t="str">
        <f t="shared" si="1"/>
        <v>#0343df25</v>
      </c>
      <c r="G4" t="s">
        <v>1415</v>
      </c>
      <c r="H4" t="s">
        <v>1447</v>
      </c>
      <c r="I4" t="s">
        <v>1478</v>
      </c>
    </row>
    <row r="5" spans="1:9" x14ac:dyDescent="0.3">
      <c r="A5" t="s">
        <v>53</v>
      </c>
      <c r="B5">
        <v>4</v>
      </c>
      <c r="C5" t="s">
        <v>1352</v>
      </c>
      <c r="D5" s="68" t="s">
        <v>1385</v>
      </c>
      <c r="E5" s="68" t="str">
        <f t="shared" si="0"/>
        <v>#ff81c050</v>
      </c>
      <c r="F5" s="68" t="str">
        <f t="shared" si="1"/>
        <v>#ff81c025</v>
      </c>
      <c r="G5" t="s">
        <v>1416</v>
      </c>
      <c r="H5" t="s">
        <v>1448</v>
      </c>
      <c r="I5" t="s">
        <v>1479</v>
      </c>
    </row>
    <row r="6" spans="1:9" x14ac:dyDescent="0.3">
      <c r="A6" t="s">
        <v>76</v>
      </c>
      <c r="B6">
        <v>5</v>
      </c>
      <c r="C6" t="s">
        <v>1353</v>
      </c>
      <c r="D6" s="68" t="s">
        <v>1386</v>
      </c>
      <c r="E6" s="68" t="str">
        <f t="shared" si="0"/>
        <v>#65370050</v>
      </c>
      <c r="F6" s="68" t="str">
        <f t="shared" si="1"/>
        <v>#65370025</v>
      </c>
      <c r="G6" t="s">
        <v>1417</v>
      </c>
      <c r="H6" t="s">
        <v>1449</v>
      </c>
      <c r="I6" t="s">
        <v>1480</v>
      </c>
    </row>
    <row r="7" spans="1:9" x14ac:dyDescent="0.3">
      <c r="A7" t="s">
        <v>73</v>
      </c>
      <c r="B7">
        <v>6</v>
      </c>
      <c r="C7" t="s">
        <v>1354</v>
      </c>
      <c r="D7" s="68" t="s">
        <v>1387</v>
      </c>
      <c r="E7" s="68" t="str">
        <f t="shared" si="0"/>
        <v>#e5000050</v>
      </c>
      <c r="F7" s="68" t="str">
        <f t="shared" si="1"/>
        <v>#e5000025</v>
      </c>
      <c r="G7" t="s">
        <v>1418</v>
      </c>
      <c r="H7" t="s">
        <v>1450</v>
      </c>
      <c r="I7" t="s">
        <v>1481</v>
      </c>
    </row>
    <row r="8" spans="1:9" x14ac:dyDescent="0.3">
      <c r="A8" t="s">
        <v>46</v>
      </c>
      <c r="B8">
        <v>7</v>
      </c>
      <c r="C8" t="s">
        <v>1355</v>
      </c>
      <c r="D8" s="68" t="s">
        <v>1388</v>
      </c>
      <c r="E8" s="68" t="str">
        <f t="shared" si="0"/>
        <v>#02938650</v>
      </c>
      <c r="F8" s="68" t="str">
        <f t="shared" si="1"/>
        <v>#02938625</v>
      </c>
      <c r="G8" t="s">
        <v>1419</v>
      </c>
      <c r="H8" t="s">
        <v>1451</v>
      </c>
      <c r="I8" t="s">
        <v>1482</v>
      </c>
    </row>
    <row r="9" spans="1:9" x14ac:dyDescent="0.3">
      <c r="A9" t="s">
        <v>72</v>
      </c>
      <c r="B9">
        <v>8</v>
      </c>
      <c r="C9" t="s">
        <v>1356</v>
      </c>
      <c r="D9" s="68" t="s">
        <v>1389</v>
      </c>
      <c r="E9" s="68" t="str">
        <f t="shared" si="0"/>
        <v>#f9730650</v>
      </c>
      <c r="F9" s="68" t="str">
        <f t="shared" si="1"/>
        <v>#f9730625</v>
      </c>
      <c r="G9" t="s">
        <v>1420</v>
      </c>
      <c r="H9" t="s">
        <v>1452</v>
      </c>
      <c r="I9" t="s">
        <v>1483</v>
      </c>
    </row>
    <row r="10" spans="1:9" x14ac:dyDescent="0.3">
      <c r="A10" t="s">
        <v>10</v>
      </c>
      <c r="B10">
        <v>9</v>
      </c>
      <c r="C10" t="s">
        <v>1357</v>
      </c>
      <c r="D10" s="68" t="s">
        <v>1390</v>
      </c>
      <c r="E10" s="68" t="str">
        <f t="shared" si="0"/>
        <v>#c2007850</v>
      </c>
      <c r="F10" s="68" t="str">
        <f t="shared" si="1"/>
        <v>#c2007825</v>
      </c>
      <c r="G10" t="s">
        <v>1421</v>
      </c>
      <c r="H10" t="s">
        <v>1453</v>
      </c>
      <c r="I10" t="s">
        <v>1484</v>
      </c>
    </row>
    <row r="11" spans="1:9" x14ac:dyDescent="0.3">
      <c r="A11" t="s">
        <v>47</v>
      </c>
      <c r="B11">
        <v>10</v>
      </c>
      <c r="C11" t="s">
        <v>1358</v>
      </c>
      <c r="D11" s="68" t="s">
        <v>1391</v>
      </c>
      <c r="E11" s="68" t="str">
        <f t="shared" si="0"/>
        <v>#ffff1450</v>
      </c>
      <c r="F11" s="68" t="str">
        <f t="shared" si="1"/>
        <v>#ffff1425</v>
      </c>
      <c r="G11" t="s">
        <v>1422</v>
      </c>
      <c r="H11" t="s">
        <v>1454</v>
      </c>
      <c r="I11" t="s">
        <v>1485</v>
      </c>
    </row>
    <row r="12" spans="1:9" x14ac:dyDescent="0.3">
      <c r="A12" t="s">
        <v>57</v>
      </c>
      <c r="B12">
        <v>11</v>
      </c>
      <c r="C12" t="s">
        <v>1359</v>
      </c>
      <c r="D12" s="68" t="s">
        <v>1392</v>
      </c>
      <c r="E12" s="68" t="str">
        <f t="shared" si="0"/>
        <v>#75bbfd50</v>
      </c>
      <c r="F12" s="68" t="str">
        <f t="shared" si="1"/>
        <v>#75bbfd25</v>
      </c>
      <c r="G12" t="s">
        <v>1423</v>
      </c>
      <c r="H12" t="s">
        <v>1455</v>
      </c>
      <c r="I12" t="s">
        <v>1486</v>
      </c>
    </row>
    <row r="13" spans="1:9" x14ac:dyDescent="0.3">
      <c r="A13" t="s">
        <v>59</v>
      </c>
      <c r="B13">
        <v>12</v>
      </c>
      <c r="C13" t="s">
        <v>1360</v>
      </c>
      <c r="D13" s="68" t="s">
        <v>1393</v>
      </c>
      <c r="E13" s="68" t="str">
        <f t="shared" si="0"/>
        <v>#92959150</v>
      </c>
      <c r="F13" s="68" t="str">
        <f t="shared" si="1"/>
        <v>#92959125</v>
      </c>
      <c r="G13" t="s">
        <v>1424</v>
      </c>
      <c r="H13" t="s">
        <v>1456</v>
      </c>
      <c r="I13" t="s">
        <v>1487</v>
      </c>
    </row>
    <row r="14" spans="1:9" x14ac:dyDescent="0.3">
      <c r="A14" t="s">
        <v>49</v>
      </c>
      <c r="B14">
        <v>13</v>
      </c>
      <c r="C14" t="s">
        <v>1361</v>
      </c>
      <c r="D14" s="68" t="s">
        <v>1394</v>
      </c>
      <c r="E14" s="68" t="str">
        <f t="shared" si="0"/>
        <v>#89fe0550</v>
      </c>
      <c r="F14" s="68" t="str">
        <f t="shared" si="1"/>
        <v>#89fe0525</v>
      </c>
      <c r="G14" t="s">
        <v>1425</v>
      </c>
      <c r="H14" t="s">
        <v>1457</v>
      </c>
      <c r="I14" t="s">
        <v>1488</v>
      </c>
    </row>
    <row r="15" spans="1:9" x14ac:dyDescent="0.3">
      <c r="A15" t="s">
        <v>62</v>
      </c>
      <c r="B15">
        <v>14</v>
      </c>
      <c r="C15" t="s">
        <v>1362</v>
      </c>
      <c r="D15" s="68" t="s">
        <v>1395</v>
      </c>
      <c r="E15" s="68" t="str">
        <f t="shared" si="0"/>
        <v>#bf77f650</v>
      </c>
      <c r="F15" s="68" t="str">
        <f t="shared" si="1"/>
        <v>#bf77f625</v>
      </c>
      <c r="G15" t="s">
        <v>1426</v>
      </c>
      <c r="H15" t="s">
        <v>1458</v>
      </c>
      <c r="I15" t="s">
        <v>1489</v>
      </c>
    </row>
    <row r="16" spans="1:9" x14ac:dyDescent="0.3">
      <c r="A16" t="s">
        <v>58</v>
      </c>
      <c r="B16">
        <v>15</v>
      </c>
      <c r="C16" t="s">
        <v>1363</v>
      </c>
      <c r="D16" s="68" t="s">
        <v>1396</v>
      </c>
      <c r="E16" s="68" t="str">
        <f t="shared" si="0"/>
        <v>#d1b26f50</v>
      </c>
      <c r="F16" s="68" t="str">
        <f t="shared" si="1"/>
        <v>#d1b26f25</v>
      </c>
      <c r="G16" t="s">
        <v>1427</v>
      </c>
      <c r="H16" t="s">
        <v>1459</v>
      </c>
      <c r="I16" t="s">
        <v>1490</v>
      </c>
    </row>
    <row r="17" spans="1:9" x14ac:dyDescent="0.3">
      <c r="A17" t="s">
        <v>61</v>
      </c>
      <c r="B17">
        <v>16</v>
      </c>
      <c r="C17" t="s">
        <v>1364</v>
      </c>
      <c r="D17" s="68" t="s">
        <v>1397</v>
      </c>
      <c r="E17" s="68" t="str">
        <f t="shared" si="0"/>
        <v>#13eac950</v>
      </c>
      <c r="F17" s="68" t="str">
        <f t="shared" si="1"/>
        <v>#13eac925</v>
      </c>
      <c r="G17" t="s">
        <v>1428</v>
      </c>
      <c r="H17" t="s">
        <v>1460</v>
      </c>
      <c r="I17" t="s">
        <v>1491</v>
      </c>
    </row>
    <row r="18" spans="1:9" x14ac:dyDescent="0.3">
      <c r="A18" t="s">
        <v>66</v>
      </c>
      <c r="B18">
        <v>17</v>
      </c>
      <c r="C18" t="s">
        <v>1365</v>
      </c>
      <c r="D18" s="68" t="s">
        <v>1398</v>
      </c>
      <c r="E18" s="68" t="str">
        <f t="shared" si="0"/>
        <v>#ae718150</v>
      </c>
      <c r="F18" s="68" t="str">
        <f t="shared" si="1"/>
        <v>#ae718125</v>
      </c>
      <c r="G18" t="s">
        <v>1429</v>
      </c>
      <c r="H18" t="s">
        <v>1461</v>
      </c>
      <c r="I18" t="s">
        <v>1492</v>
      </c>
    </row>
    <row r="19" spans="1:9" x14ac:dyDescent="0.3">
      <c r="A19" t="s">
        <v>55</v>
      </c>
      <c r="B19">
        <v>18</v>
      </c>
      <c r="C19" t="s">
        <v>1366</v>
      </c>
      <c r="D19" s="68" t="s">
        <v>1399</v>
      </c>
      <c r="E19" s="68" t="str">
        <f t="shared" si="0"/>
        <v>#65002150</v>
      </c>
      <c r="F19" s="68" t="str">
        <f t="shared" si="1"/>
        <v>#65002125</v>
      </c>
      <c r="G19" t="s">
        <v>1430</v>
      </c>
      <c r="H19" t="s">
        <v>1462</v>
      </c>
      <c r="I19" t="s">
        <v>1493</v>
      </c>
    </row>
    <row r="20" spans="1:9" x14ac:dyDescent="0.3">
      <c r="A20" t="s">
        <v>54</v>
      </c>
      <c r="B20">
        <v>19</v>
      </c>
      <c r="C20" t="s">
        <v>1367</v>
      </c>
      <c r="D20" s="68" t="s">
        <v>1400</v>
      </c>
      <c r="E20" s="68" t="str">
        <f t="shared" si="0"/>
        <v>#6e750e50</v>
      </c>
      <c r="F20" s="68" t="str">
        <f t="shared" si="1"/>
        <v>#6e750e25</v>
      </c>
      <c r="G20" t="s">
        <v>1431</v>
      </c>
      <c r="H20" t="s">
        <v>1463</v>
      </c>
      <c r="I20" t="s">
        <v>1494</v>
      </c>
    </row>
    <row r="21" spans="1:9" x14ac:dyDescent="0.3">
      <c r="A21" t="s">
        <v>52</v>
      </c>
      <c r="B21">
        <v>20</v>
      </c>
      <c r="C21" t="s">
        <v>1368</v>
      </c>
      <c r="D21" s="68" t="s">
        <v>1401</v>
      </c>
      <c r="E21" s="68" t="str">
        <f t="shared" si="0"/>
        <v>#ff796c50</v>
      </c>
      <c r="F21" s="68" t="str">
        <f t="shared" si="1"/>
        <v>#ff796c25</v>
      </c>
      <c r="G21" t="s">
        <v>1432</v>
      </c>
      <c r="H21" t="s">
        <v>1464</v>
      </c>
      <c r="I21" t="s">
        <v>1495</v>
      </c>
    </row>
    <row r="22" spans="1:9" x14ac:dyDescent="0.3">
      <c r="A22" t="s">
        <v>69</v>
      </c>
      <c r="B22">
        <v>21</v>
      </c>
      <c r="C22" t="s">
        <v>1369</v>
      </c>
      <c r="D22" s="68" t="s">
        <v>1402</v>
      </c>
      <c r="E22" s="68" t="str">
        <f t="shared" si="0"/>
        <v>#e6daa650</v>
      </c>
      <c r="F22" s="68" t="str">
        <f t="shared" si="1"/>
        <v>#e6daa625</v>
      </c>
      <c r="G22" t="s">
        <v>1433</v>
      </c>
      <c r="H22" t="s">
        <v>1465</v>
      </c>
      <c r="I22" t="s">
        <v>1496</v>
      </c>
    </row>
    <row r="23" spans="1:9" x14ac:dyDescent="0.3">
      <c r="A23" t="s">
        <v>48</v>
      </c>
      <c r="B23">
        <v>22</v>
      </c>
      <c r="C23" t="s">
        <v>1370</v>
      </c>
      <c r="D23" s="68" t="s">
        <v>1403</v>
      </c>
      <c r="E23" s="68" t="str">
        <f t="shared" si="0"/>
        <v>#0504aa50</v>
      </c>
      <c r="F23" s="68" t="str">
        <f t="shared" si="1"/>
        <v>#0504aa25</v>
      </c>
      <c r="G23" t="s">
        <v>1434</v>
      </c>
      <c r="H23" t="s">
        <v>1466</v>
      </c>
      <c r="I23" t="s">
        <v>1497</v>
      </c>
    </row>
    <row r="24" spans="1:9" x14ac:dyDescent="0.3">
      <c r="A24" t="s">
        <v>56</v>
      </c>
      <c r="B24">
        <v>23</v>
      </c>
      <c r="C24" t="s">
        <v>1372</v>
      </c>
      <c r="D24" s="68" t="s">
        <v>1404</v>
      </c>
      <c r="E24" s="68" t="str">
        <f t="shared" si="0"/>
        <v>#ff028d50</v>
      </c>
      <c r="F24" s="68" t="str">
        <f t="shared" si="1"/>
        <v>#ff028d25</v>
      </c>
      <c r="G24" t="s">
        <v>1435</v>
      </c>
      <c r="H24" t="s">
        <v>1467</v>
      </c>
      <c r="I24" t="s">
        <v>1498</v>
      </c>
    </row>
    <row r="25" spans="1:9" x14ac:dyDescent="0.3">
      <c r="A25" t="s">
        <v>67</v>
      </c>
      <c r="B25">
        <v>24</v>
      </c>
      <c r="C25" t="s">
        <v>1373</v>
      </c>
      <c r="D25" s="68" t="s">
        <v>1405</v>
      </c>
      <c r="E25" s="68" t="str">
        <f t="shared" si="0"/>
        <v>#ffb07c50</v>
      </c>
      <c r="F25" s="68" t="str">
        <f t="shared" si="1"/>
        <v>#ffb07c25</v>
      </c>
      <c r="G25" t="s">
        <v>1436</v>
      </c>
      <c r="H25" t="s">
        <v>1468</v>
      </c>
      <c r="I25" t="s">
        <v>1499</v>
      </c>
    </row>
    <row r="26" spans="1:9" x14ac:dyDescent="0.3">
      <c r="A26" t="s">
        <v>44</v>
      </c>
      <c r="B26">
        <v>25</v>
      </c>
      <c r="C26" t="s">
        <v>1375</v>
      </c>
      <c r="D26" s="68" t="s">
        <v>1406</v>
      </c>
      <c r="E26" s="68" t="str">
        <f t="shared" si="0"/>
        <v>#ceb30150</v>
      </c>
      <c r="F26" s="68" t="str">
        <f t="shared" si="1"/>
        <v>#ceb30125</v>
      </c>
      <c r="G26" t="s">
        <v>1437</v>
      </c>
      <c r="H26" t="s">
        <v>1469</v>
      </c>
      <c r="I26" t="s">
        <v>1500</v>
      </c>
    </row>
    <row r="27" spans="1:9" x14ac:dyDescent="0.3">
      <c r="A27" t="s">
        <v>75</v>
      </c>
      <c r="B27">
        <v>26</v>
      </c>
      <c r="C27" t="s">
        <v>1376</v>
      </c>
      <c r="D27" s="68" t="s">
        <v>1407</v>
      </c>
      <c r="E27" s="68" t="str">
        <f t="shared" si="0"/>
        <v>#c04e0150</v>
      </c>
      <c r="F27" s="68" t="str">
        <f t="shared" si="1"/>
        <v>#c04e0125</v>
      </c>
      <c r="G27" t="s">
        <v>1438</v>
      </c>
      <c r="H27" t="s">
        <v>1470</v>
      </c>
      <c r="I27" t="s">
        <v>1501</v>
      </c>
    </row>
    <row r="28" spans="1:9" x14ac:dyDescent="0.3">
      <c r="A28" t="s">
        <v>71</v>
      </c>
      <c r="B28">
        <v>27</v>
      </c>
      <c r="C28" t="s">
        <v>1374</v>
      </c>
      <c r="D28" s="68" t="s">
        <v>1408</v>
      </c>
      <c r="E28" s="68" t="str">
        <f t="shared" si="0"/>
        <v>#38028250</v>
      </c>
      <c r="F28" s="68" t="str">
        <f t="shared" si="1"/>
        <v>#38028225</v>
      </c>
      <c r="G28" t="s">
        <v>1439</v>
      </c>
      <c r="H28" t="s">
        <v>1471</v>
      </c>
      <c r="I28" t="s">
        <v>1502</v>
      </c>
    </row>
    <row r="29" spans="1:9" x14ac:dyDescent="0.3">
      <c r="A29" t="s">
        <v>74</v>
      </c>
      <c r="B29">
        <v>28</v>
      </c>
      <c r="C29" t="s">
        <v>1378</v>
      </c>
      <c r="D29" s="69" t="s">
        <v>1409</v>
      </c>
      <c r="E29" s="68" t="str">
        <f t="shared" si="0"/>
        <v>#8eab1250</v>
      </c>
      <c r="F29" s="68" t="str">
        <f t="shared" si="1"/>
        <v>#8eab1225</v>
      </c>
      <c r="G29" t="s">
        <v>1440</v>
      </c>
      <c r="H29" t="s">
        <v>1472</v>
      </c>
      <c r="I29" t="s">
        <v>1503</v>
      </c>
    </row>
    <row r="30" spans="1:9" x14ac:dyDescent="0.3">
      <c r="A30" t="s">
        <v>51</v>
      </c>
      <c r="B30">
        <v>29</v>
      </c>
      <c r="C30" t="s">
        <v>1377</v>
      </c>
      <c r="D30" s="68" t="s">
        <v>1410</v>
      </c>
      <c r="E30" s="68" t="str">
        <f t="shared" si="0"/>
        <v>#3f9b0b50</v>
      </c>
      <c r="F30" s="68" t="str">
        <f t="shared" si="1"/>
        <v>#3f9b0b25</v>
      </c>
      <c r="G30" t="s">
        <v>1441</v>
      </c>
      <c r="H30" t="s">
        <v>1473</v>
      </c>
      <c r="I30" t="s">
        <v>1504</v>
      </c>
    </row>
    <row r="31" spans="1:9" x14ac:dyDescent="0.3">
      <c r="A31" t="s">
        <v>70</v>
      </c>
      <c r="B31">
        <v>30</v>
      </c>
      <c r="C31" t="s">
        <v>1379</v>
      </c>
      <c r="D31" s="69" t="s">
        <v>1411</v>
      </c>
      <c r="E31" s="68" t="str">
        <f t="shared" si="0"/>
        <v>#580f4150</v>
      </c>
      <c r="F31" s="68" t="str">
        <f t="shared" si="1"/>
        <v>#580f4125</v>
      </c>
      <c r="G31" t="s">
        <v>1442</v>
      </c>
      <c r="H31" t="s">
        <v>1474</v>
      </c>
      <c r="I31" t="s">
        <v>1505</v>
      </c>
    </row>
    <row r="32" spans="1:9" x14ac:dyDescent="0.3">
      <c r="A32" t="s">
        <v>1344</v>
      </c>
      <c r="B32">
        <v>31</v>
      </c>
      <c r="C32" t="s">
        <v>1371</v>
      </c>
      <c r="D32" s="68" t="s">
        <v>1412</v>
      </c>
      <c r="E32" s="68" t="str">
        <f t="shared" si="0"/>
        <v>#00000050</v>
      </c>
      <c r="F32" s="68" t="str">
        <f t="shared" si="1"/>
        <v>#00000025</v>
      </c>
      <c r="G32" t="s">
        <v>1443</v>
      </c>
      <c r="H32" t="s">
        <v>1475</v>
      </c>
      <c r="I32" t="s">
        <v>1506</v>
      </c>
    </row>
  </sheetData>
  <conditionalFormatting sqref="C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98E3-AD5C-4E3C-813F-DA899BF7DB96}">
  <sheetPr>
    <tabColor rgb="FF7030A0"/>
  </sheetPr>
  <dimension ref="A1:CJ102"/>
  <sheetViews>
    <sheetView zoomScale="85" zoomScaleNormal="85" workbookViewId="0">
      <selection activeCell="S3" sqref="S3"/>
    </sheetView>
  </sheetViews>
  <sheetFormatPr defaultRowHeight="14.4" x14ac:dyDescent="0.3"/>
  <cols>
    <col min="1" max="1" width="4" customWidth="1"/>
    <col min="2" max="2" width="14.6640625" bestFit="1" customWidth="1"/>
    <col min="10" max="10" width="9.109375" style="49"/>
    <col min="11" max="11" width="9.109375" style="77"/>
    <col min="12" max="12" width="16.88671875" style="77" bestFit="1" customWidth="1"/>
    <col min="13" max="14" width="11.44140625" style="77" bestFit="1" customWidth="1"/>
    <col min="15" max="15" width="12.5546875" style="77" bestFit="1" customWidth="1"/>
    <col min="16" max="18" width="12.5546875" style="77" customWidth="1"/>
    <col min="19" max="19" width="16.44140625" style="77" bestFit="1" customWidth="1"/>
    <col min="20" max="21" width="16.44140625" style="77" customWidth="1"/>
    <col min="22" max="27" width="9.109375" style="77"/>
    <col min="28" max="28" width="7" style="77" bestFit="1" customWidth="1"/>
    <col min="29" max="29" width="16.88671875" style="6" bestFit="1" customWidth="1"/>
    <col min="30" max="30" width="31.44140625" style="77" bestFit="1" customWidth="1"/>
    <col min="31" max="31" width="48.109375" bestFit="1" customWidth="1"/>
    <col min="32" max="32" width="44.6640625" bestFit="1" customWidth="1"/>
    <col min="33" max="33" width="26.88671875" style="29" bestFit="1" customWidth="1"/>
    <col min="34" max="39" width="6.88671875" style="29" bestFit="1" customWidth="1"/>
    <col min="40" max="40" width="6.6640625" style="77" customWidth="1"/>
    <col min="41" max="42" width="25.5546875" customWidth="1"/>
    <col min="44" max="44" width="14.109375" customWidth="1"/>
    <col min="45" max="46" width="4.6640625" style="6" customWidth="1"/>
    <col min="47" max="47" width="14.109375" customWidth="1"/>
    <col min="48" max="49" width="4.6640625" style="6" customWidth="1"/>
    <col min="50" max="50" width="14.109375" customWidth="1"/>
    <col min="51" max="52" width="4.6640625" customWidth="1"/>
    <col min="53" max="53" width="14.109375" customWidth="1"/>
    <col min="54" max="55" width="4.6640625" customWidth="1"/>
    <col min="56" max="56" width="14.109375" customWidth="1"/>
    <col min="57" max="58" width="4.6640625" customWidth="1"/>
    <col min="59" max="59" width="14.109375" customWidth="1"/>
    <col min="60" max="61" width="4.6640625" customWidth="1"/>
    <col min="71" max="71" width="7" bestFit="1" customWidth="1"/>
    <col min="72" max="73" width="4.6640625" customWidth="1"/>
    <col min="74" max="74" width="8.109375" bestFit="1" customWidth="1"/>
    <col min="75" max="76" width="4.6640625" customWidth="1"/>
    <col min="77" max="77" width="14.109375" customWidth="1"/>
    <col min="78" max="79" width="4.6640625" customWidth="1"/>
    <col min="80" max="80" width="14.109375" customWidth="1"/>
    <col min="81" max="82" width="4.6640625" customWidth="1"/>
    <col min="83" max="83" width="14.109375" customWidth="1"/>
    <col min="84" max="85" width="4.6640625" customWidth="1"/>
    <col min="86" max="86" width="14.109375" customWidth="1"/>
    <col min="87" max="88" width="4.6640625" customWidth="1"/>
  </cols>
  <sheetData>
    <row r="1" spans="1:88" x14ac:dyDescent="0.3">
      <c r="AR1" s="79" t="s">
        <v>1515</v>
      </c>
      <c r="AT1" s="86">
        <v>0.1</v>
      </c>
      <c r="AU1" s="86"/>
      <c r="AV1" s="87"/>
      <c r="AW1" s="86">
        <v>0.1</v>
      </c>
      <c r="AX1" s="86"/>
      <c r="AY1" s="86"/>
      <c r="AZ1" s="86">
        <v>0.25</v>
      </c>
      <c r="BA1" s="86"/>
      <c r="BB1" s="86"/>
      <c r="BC1">
        <v>0.05</v>
      </c>
      <c r="BD1" s="86"/>
      <c r="BE1" s="86"/>
      <c r="BF1">
        <v>0.25</v>
      </c>
      <c r="BG1" s="86"/>
      <c r="BH1" s="86"/>
      <c r="BI1">
        <v>0.25</v>
      </c>
    </row>
    <row r="2" spans="1:8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684</v>
      </c>
      <c r="F2" s="2" t="s">
        <v>4</v>
      </c>
      <c r="G2" s="3" t="s">
        <v>5</v>
      </c>
      <c r="H2" s="3" t="s">
        <v>6</v>
      </c>
      <c r="I2" s="3" t="s">
        <v>7</v>
      </c>
      <c r="J2" s="60" t="s">
        <v>8</v>
      </c>
      <c r="K2" s="71" t="s">
        <v>196</v>
      </c>
      <c r="L2" s="71" t="s">
        <v>197</v>
      </c>
      <c r="M2" s="71" t="s">
        <v>198</v>
      </c>
      <c r="N2" s="71" t="s">
        <v>199</v>
      </c>
      <c r="O2" s="72" t="s">
        <v>200</v>
      </c>
      <c r="P2" s="72" t="s">
        <v>202</v>
      </c>
      <c r="Q2" s="72" t="s">
        <v>203</v>
      </c>
      <c r="R2" s="72" t="s">
        <v>208</v>
      </c>
      <c r="S2" s="73" t="s">
        <v>204</v>
      </c>
      <c r="T2" s="74" t="s">
        <v>205</v>
      </c>
      <c r="U2" s="73" t="s">
        <v>206</v>
      </c>
      <c r="V2" s="75" t="s">
        <v>201</v>
      </c>
      <c r="W2" s="76" t="s">
        <v>207</v>
      </c>
      <c r="X2"/>
      <c r="Y2"/>
      <c r="Z2"/>
      <c r="AA2" s="79" t="s">
        <v>684</v>
      </c>
      <c r="AB2" s="79" t="s">
        <v>196</v>
      </c>
      <c r="AC2" s="84" t="s">
        <v>197</v>
      </c>
      <c r="AD2" s="79" t="s">
        <v>1523</v>
      </c>
      <c r="AE2" s="85" t="s">
        <v>1530</v>
      </c>
      <c r="AF2" s="85" t="s">
        <v>1565</v>
      </c>
      <c r="AG2" s="79" t="s">
        <v>1575</v>
      </c>
      <c r="AH2" s="83" t="s">
        <v>1613</v>
      </c>
      <c r="AI2" s="83" t="s">
        <v>1614</v>
      </c>
      <c r="AJ2" s="83" t="s">
        <v>1615</v>
      </c>
      <c r="AK2" s="83" t="s">
        <v>1616</v>
      </c>
      <c r="AL2" s="83" t="s">
        <v>1617</v>
      </c>
      <c r="AM2" s="83" t="s">
        <v>1618</v>
      </c>
      <c r="AN2" s="83" t="s">
        <v>1612</v>
      </c>
      <c r="AR2" s="79" t="s">
        <v>1577</v>
      </c>
      <c r="AS2" s="84" t="s">
        <v>1516</v>
      </c>
      <c r="AT2" s="84" t="s">
        <v>1517</v>
      </c>
      <c r="AU2" s="79" t="s">
        <v>1576</v>
      </c>
      <c r="AV2" s="84" t="s">
        <v>1516</v>
      </c>
      <c r="AW2" s="84" t="s">
        <v>1518</v>
      </c>
      <c r="AX2" s="79" t="s">
        <v>1578</v>
      </c>
      <c r="AY2" s="79" t="s">
        <v>1516</v>
      </c>
      <c r="AZ2" s="79" t="s">
        <v>1519</v>
      </c>
      <c r="BA2" s="81" t="s">
        <v>1579</v>
      </c>
      <c r="BB2" s="79" t="s">
        <v>1516</v>
      </c>
      <c r="BC2" s="79" t="s">
        <v>1521</v>
      </c>
      <c r="BD2" s="82" t="s">
        <v>1580</v>
      </c>
      <c r="BE2" s="79" t="s">
        <v>1516</v>
      </c>
      <c r="BF2" s="79" t="s">
        <v>1522</v>
      </c>
      <c r="BG2" s="80" t="s">
        <v>1581</v>
      </c>
      <c r="BH2" s="79" t="s">
        <v>1516</v>
      </c>
      <c r="BI2" s="79" t="s">
        <v>1520</v>
      </c>
      <c r="BN2" t="s">
        <v>1563</v>
      </c>
      <c r="BO2" t="s">
        <v>1564</v>
      </c>
      <c r="BS2" s="79" t="s">
        <v>1577</v>
      </c>
      <c r="BT2" s="84" t="s">
        <v>1516</v>
      </c>
      <c r="BU2" s="84" t="s">
        <v>1517</v>
      </c>
      <c r="BV2" s="79" t="s">
        <v>1576</v>
      </c>
      <c r="BW2" s="84" t="s">
        <v>1516</v>
      </c>
      <c r="BX2" s="84" t="s">
        <v>1518</v>
      </c>
      <c r="BY2" s="79" t="s">
        <v>1578</v>
      </c>
      <c r="BZ2" s="79" t="s">
        <v>1516</v>
      </c>
      <c r="CA2" s="79" t="s">
        <v>1519</v>
      </c>
      <c r="CB2" s="81" t="s">
        <v>1579</v>
      </c>
      <c r="CC2" s="79" t="s">
        <v>1516</v>
      </c>
      <c r="CD2" s="79" t="s">
        <v>1521</v>
      </c>
      <c r="CE2" s="82" t="s">
        <v>1580</v>
      </c>
      <c r="CF2" s="79" t="s">
        <v>1516</v>
      </c>
      <c r="CG2" s="79" t="s">
        <v>1522</v>
      </c>
      <c r="CH2" s="80" t="s">
        <v>1581</v>
      </c>
      <c r="CI2" s="79" t="s">
        <v>1516</v>
      </c>
      <c r="CJ2" s="79" t="s">
        <v>1520</v>
      </c>
    </row>
    <row r="3" spans="1:88" x14ac:dyDescent="0.3">
      <c r="A3" t="s">
        <v>381</v>
      </c>
      <c r="B3" t="s">
        <v>1344</v>
      </c>
      <c r="C3" t="s">
        <v>678</v>
      </c>
      <c r="D3" t="s">
        <v>1345</v>
      </c>
      <c r="E3" t="s">
        <v>678</v>
      </c>
      <c r="F3" t="b">
        <v>1</v>
      </c>
      <c r="G3">
        <v>58.5</v>
      </c>
      <c r="H3">
        <v>0</v>
      </c>
      <c r="I3">
        <v>11152</v>
      </c>
      <c r="J3" s="61" t="s">
        <v>13</v>
      </c>
      <c r="K3" s="77" t="s">
        <v>272</v>
      </c>
      <c r="L3" s="77">
        <v>3</v>
      </c>
      <c r="M3" s="77" t="s">
        <v>277</v>
      </c>
      <c r="N3" s="77" t="s">
        <v>335</v>
      </c>
      <c r="O3" s="77" t="s">
        <v>282</v>
      </c>
      <c r="P3" s="77" t="s">
        <v>281</v>
      </c>
      <c r="Q3" s="77" t="s">
        <v>371</v>
      </c>
      <c r="R3" s="77" t="s">
        <v>371</v>
      </c>
      <c r="S3" s="77" t="s">
        <v>341</v>
      </c>
      <c r="T3" s="77" t="s">
        <v>340</v>
      </c>
      <c r="U3" s="77" t="s">
        <v>343</v>
      </c>
      <c r="V3" s="77" t="s">
        <v>345</v>
      </c>
      <c r="W3" s="78" t="s">
        <v>371</v>
      </c>
      <c r="AA3" t="s">
        <v>678</v>
      </c>
      <c r="AB3" s="77" t="s">
        <v>272</v>
      </c>
      <c r="AC3" s="6">
        <v>3</v>
      </c>
      <c r="AD3" s="29" t="str">
        <f>M3&amp;"/"&amp;N3</f>
        <v>continuous/fully_connected</v>
      </c>
      <c r="AE3" t="s">
        <v>1537</v>
      </c>
      <c r="AF3" t="s">
        <v>1567</v>
      </c>
      <c r="AG3" s="29" t="s">
        <v>345</v>
      </c>
      <c r="AH3" s="29">
        <f>VLOOKUP(AB3,$AR$3:$AT$4,3,0)*AT$1</f>
        <v>0.06</v>
      </c>
      <c r="AI3" s="29">
        <f>VLOOKUP(AC3,$AU$3:$AW$5,3,0)*AW$1</f>
        <v>0.12</v>
      </c>
      <c r="AJ3" s="29">
        <f>VLOOKUP(AD3,$AX$3:$AZ$8,3,0)*AZ$1</f>
        <v>0.67500000000000004</v>
      </c>
      <c r="AK3" s="29">
        <f>VLOOKUP(AE3,$BG$3:$BI$31,3,0)*BI$1</f>
        <v>2.2250000000000001</v>
      </c>
      <c r="AL3" s="29">
        <f>VLOOKUP(AF3,$BA$3:$BC$8,3,0)*BC$1</f>
        <v>0.32000000000000006</v>
      </c>
      <c r="AM3" s="29">
        <f>VLOOKUP(AG3,$BD$3:$BF$14,3,0)*BF$1</f>
        <v>1.7749999999999999</v>
      </c>
      <c r="AN3" s="77">
        <f>SUM(AH3:AM3)</f>
        <v>5.1750000000000007</v>
      </c>
      <c r="AR3" t="s">
        <v>272</v>
      </c>
      <c r="AS3" s="6">
        <f>COUNTIF($K$3:$K$102,AR3)</f>
        <v>94</v>
      </c>
      <c r="AT3" s="6">
        <f>(100-AS3)*10/100</f>
        <v>0.6</v>
      </c>
      <c r="AU3" s="77">
        <v>3</v>
      </c>
      <c r="AV3" s="6">
        <f>COUNTIF($L$3:$L$102,AU3)</f>
        <v>88</v>
      </c>
      <c r="AW3" s="6">
        <f>(100-AV3)*10/100</f>
        <v>1.2</v>
      </c>
      <c r="AX3" s="29" t="s">
        <v>1524</v>
      </c>
      <c r="AY3">
        <f>COUNTIF($AD$3:$AD$102,AX3)</f>
        <v>73</v>
      </c>
      <c r="AZ3" s="6">
        <f>(100-AY3)*10/100</f>
        <v>2.7</v>
      </c>
      <c r="BA3" s="29" t="s">
        <v>1567</v>
      </c>
      <c r="BB3">
        <f t="shared" ref="BB3:BB8" si="0">COUNTIF($AF$3:$AF$102,BA3)</f>
        <v>36</v>
      </c>
      <c r="BC3" s="6">
        <f>(100-BB3)*10/100</f>
        <v>6.4</v>
      </c>
      <c r="BD3" s="29" t="s">
        <v>345</v>
      </c>
      <c r="BE3">
        <f t="shared" ref="BE3:BE14" si="1">COUNTIF($AG$3:$AG$102,BD3)</f>
        <v>29</v>
      </c>
      <c r="BF3" s="6">
        <f>(100-BE3)*10/100</f>
        <v>7.1</v>
      </c>
      <c r="BG3" s="29" t="s">
        <v>282</v>
      </c>
      <c r="BH3">
        <f>COUNTIF($AE$3:$AE$102,BG3)</f>
        <v>23</v>
      </c>
      <c r="BI3" s="6">
        <f>(100-BH3)*10/100</f>
        <v>7.7</v>
      </c>
      <c r="BN3" s="29" t="s">
        <v>1538</v>
      </c>
      <c r="BO3" s="29" t="s">
        <v>1534</v>
      </c>
      <c r="BS3" t="s">
        <v>272</v>
      </c>
      <c r="BT3" s="6">
        <f>COUNTIF($K$3:$K$102,BS3)</f>
        <v>94</v>
      </c>
      <c r="BU3" s="6">
        <f>(100-BT3)*10/100</f>
        <v>0.6</v>
      </c>
      <c r="BV3" s="77">
        <v>3</v>
      </c>
      <c r="BW3" s="6">
        <f>COUNTIF($L$3:$L$102,BV3)</f>
        <v>88</v>
      </c>
      <c r="BX3" s="6">
        <f>(100-BW3)*10/100</f>
        <v>1.2</v>
      </c>
      <c r="BY3" s="29" t="s">
        <v>1582</v>
      </c>
      <c r="BZ3">
        <v>73</v>
      </c>
      <c r="CA3" s="6">
        <v>2.7</v>
      </c>
      <c r="CB3" s="29" t="s">
        <v>1607</v>
      </c>
      <c r="CC3">
        <v>36</v>
      </c>
      <c r="CD3" s="6">
        <v>6.4</v>
      </c>
      <c r="CE3" s="29" t="s">
        <v>1588</v>
      </c>
      <c r="CF3">
        <v>29</v>
      </c>
      <c r="CG3" s="6">
        <v>7.1</v>
      </c>
      <c r="CH3" s="29" t="s">
        <v>282</v>
      </c>
      <c r="CI3">
        <v>23</v>
      </c>
      <c r="CJ3" s="6">
        <v>7.7</v>
      </c>
    </row>
    <row r="4" spans="1:88" x14ac:dyDescent="0.3">
      <c r="A4" t="s">
        <v>381</v>
      </c>
      <c r="B4" t="s">
        <v>1344</v>
      </c>
      <c r="C4" t="s">
        <v>561</v>
      </c>
      <c r="D4" t="s">
        <v>1345</v>
      </c>
      <c r="E4" t="s">
        <v>561</v>
      </c>
      <c r="F4" t="b">
        <v>1</v>
      </c>
      <c r="G4">
        <v>56</v>
      </c>
      <c r="H4">
        <v>0</v>
      </c>
      <c r="I4">
        <v>12663</v>
      </c>
      <c r="J4" s="61" t="s">
        <v>13</v>
      </c>
      <c r="K4" s="77" t="s">
        <v>272</v>
      </c>
      <c r="L4" s="77">
        <v>3</v>
      </c>
      <c r="M4" s="77" t="s">
        <v>277</v>
      </c>
      <c r="N4" s="77" t="s">
        <v>335</v>
      </c>
      <c r="O4" s="77" t="s">
        <v>281</v>
      </c>
      <c r="P4" s="77" t="s">
        <v>283</v>
      </c>
      <c r="Q4" s="77" t="s">
        <v>282</v>
      </c>
      <c r="R4" s="77" t="s">
        <v>371</v>
      </c>
      <c r="S4" s="77" t="s">
        <v>341</v>
      </c>
      <c r="T4" s="77" t="s">
        <v>340</v>
      </c>
      <c r="U4" s="77" t="s">
        <v>343</v>
      </c>
      <c r="V4" s="77" t="s">
        <v>345</v>
      </c>
      <c r="W4" s="78" t="s">
        <v>344</v>
      </c>
      <c r="AA4" t="s">
        <v>561</v>
      </c>
      <c r="AB4" s="77" t="s">
        <v>272</v>
      </c>
      <c r="AC4" s="6">
        <v>3</v>
      </c>
      <c r="AD4" s="29" t="str">
        <f t="shared" ref="AD4:AD67" si="2">M4&amp;"/"&amp;N4</f>
        <v>continuous/fully_connected</v>
      </c>
      <c r="AE4" t="s">
        <v>1557</v>
      </c>
      <c r="AF4" t="s">
        <v>1567</v>
      </c>
      <c r="AG4" s="29" t="s">
        <v>1574</v>
      </c>
      <c r="AH4" s="29">
        <f t="shared" ref="AH4:AH67" si="3">VLOOKUP(AB4,$AR$3:$AT$4,3,0)*AT$1</f>
        <v>0.06</v>
      </c>
      <c r="AI4" s="29">
        <f t="shared" ref="AI4:AI67" si="4">VLOOKUP(AC4,$AU$3:$AW$5,3,0)*AW$1</f>
        <v>0.12</v>
      </c>
      <c r="AJ4" s="29">
        <f t="shared" ref="AJ4:AJ67" si="5">VLOOKUP(AD4,$AX$3:$AZ$8,3,0)*AZ$1</f>
        <v>0.67500000000000004</v>
      </c>
      <c r="AK4" s="29">
        <f t="shared" ref="AK4:AK67" si="6">VLOOKUP(AE4,$BG$3:$BI$31,3,0)*BI$1</f>
        <v>2.4249999999999998</v>
      </c>
      <c r="AL4" s="29">
        <f t="shared" ref="AL4:AL67" si="7">VLOOKUP(AF4,$BA$3:$BC$8,3,0)*BC$1</f>
        <v>0.32000000000000006</v>
      </c>
      <c r="AM4" s="29">
        <f t="shared" ref="AM4:AM67" si="8">VLOOKUP(AG4,$BD$3:$BF$14,3,0)*BF$1</f>
        <v>2.375</v>
      </c>
      <c r="AN4" s="77">
        <f t="shared" ref="AN4:AN67" si="9">SUM(AH4:AM4)</f>
        <v>5.9749999999999996</v>
      </c>
      <c r="AR4" t="s">
        <v>273</v>
      </c>
      <c r="AS4" s="6">
        <f>COUNTIF($K$3:$K$102,AR4)</f>
        <v>6</v>
      </c>
      <c r="AT4" s="6">
        <f>(100-AS4)*10/100</f>
        <v>9.4</v>
      </c>
      <c r="AU4" s="77">
        <v>2</v>
      </c>
      <c r="AV4" s="6">
        <f t="shared" ref="AV4:AV5" si="10">COUNTIF($L$3:$L$102,AU4)</f>
        <v>11</v>
      </c>
      <c r="AW4" s="6">
        <f t="shared" ref="AW4:AW5" si="11">(100-AV4)*10/100</f>
        <v>8.9</v>
      </c>
      <c r="AX4" s="29" t="s">
        <v>1525</v>
      </c>
      <c r="AY4">
        <f t="shared" ref="AY4:AY8" si="12">COUNTIF($AD$3:$AD$102,AX4)</f>
        <v>17</v>
      </c>
      <c r="AZ4" s="6">
        <f t="shared" ref="AZ4:AZ8" si="13">(100-AY4)*10/100</f>
        <v>8.3000000000000007</v>
      </c>
      <c r="BA4" s="29" t="s">
        <v>1568</v>
      </c>
      <c r="BB4">
        <f t="shared" si="0"/>
        <v>11</v>
      </c>
      <c r="BC4" s="6">
        <f t="shared" ref="BC4:BC8" si="14">(100-BB4)*10/100</f>
        <v>8.9</v>
      </c>
      <c r="BD4" s="29" t="s">
        <v>1572</v>
      </c>
      <c r="BE4">
        <f t="shared" si="1"/>
        <v>2</v>
      </c>
      <c r="BF4" s="6">
        <f t="shared" ref="BF4:BF14" si="15">(100-BE4)*10/100</f>
        <v>9.8000000000000007</v>
      </c>
      <c r="BG4" s="29" t="s">
        <v>1534</v>
      </c>
      <c r="BH4">
        <f t="shared" ref="BH4:BH31" si="16">COUNTIF($AE$3:$AE$102,BG4)</f>
        <v>2</v>
      </c>
      <c r="BI4" s="6">
        <f t="shared" ref="BI4:BI31" si="17">(100-BH4)*10/100</f>
        <v>9.8000000000000007</v>
      </c>
      <c r="BN4" t="s">
        <v>1539</v>
      </c>
      <c r="BO4" s="29" t="s">
        <v>1535</v>
      </c>
      <c r="BS4" t="s">
        <v>273</v>
      </c>
      <c r="BT4" s="6">
        <f>COUNTIF($K$3:$K$102,BS4)</f>
        <v>6</v>
      </c>
      <c r="BU4" s="6">
        <f>(100-BT4)*10/100</f>
        <v>9.4</v>
      </c>
      <c r="BV4" s="77">
        <v>2</v>
      </c>
      <c r="BW4" s="6">
        <f t="shared" ref="BW4:BW5" si="18">COUNTIF($L$3:$L$102,BV4)</f>
        <v>11</v>
      </c>
      <c r="BX4" s="6">
        <f t="shared" ref="BX4:BX5" si="19">(100-BW4)*10/100</f>
        <v>8.9</v>
      </c>
      <c r="BY4" s="29" t="s">
        <v>1583</v>
      </c>
      <c r="BZ4">
        <v>17</v>
      </c>
      <c r="CA4" s="6">
        <v>8.3000000000000007</v>
      </c>
      <c r="CB4" s="29" t="s">
        <v>1608</v>
      </c>
      <c r="CC4">
        <v>11</v>
      </c>
      <c r="CD4" s="6">
        <v>8.9</v>
      </c>
      <c r="CE4" s="29" t="s">
        <v>1589</v>
      </c>
      <c r="CF4">
        <v>2</v>
      </c>
      <c r="CG4" s="6">
        <v>9.8000000000000007</v>
      </c>
      <c r="CH4" s="29" t="s">
        <v>1534</v>
      </c>
      <c r="CI4">
        <v>2</v>
      </c>
      <c r="CJ4" s="6">
        <v>9.8000000000000007</v>
      </c>
    </row>
    <row r="5" spans="1:88" x14ac:dyDescent="0.3">
      <c r="A5" t="s">
        <v>381</v>
      </c>
      <c r="B5" t="s">
        <v>1344</v>
      </c>
      <c r="C5" t="s">
        <v>660</v>
      </c>
      <c r="D5" t="s">
        <v>1345</v>
      </c>
      <c r="E5" t="s">
        <v>660</v>
      </c>
      <c r="F5" t="b">
        <v>1</v>
      </c>
      <c r="G5">
        <v>91.6</v>
      </c>
      <c r="H5">
        <v>0</v>
      </c>
      <c r="I5">
        <v>11036</v>
      </c>
      <c r="J5" s="61" t="s">
        <v>13</v>
      </c>
      <c r="K5" s="77" t="s">
        <v>272</v>
      </c>
      <c r="L5" s="77">
        <v>3</v>
      </c>
      <c r="M5" s="77" t="s">
        <v>277</v>
      </c>
      <c r="N5" s="77" t="s">
        <v>335</v>
      </c>
      <c r="O5" s="77" t="s">
        <v>282</v>
      </c>
      <c r="P5" s="77" t="s">
        <v>371</v>
      </c>
      <c r="Q5" s="77" t="s">
        <v>371</v>
      </c>
      <c r="R5" s="77" t="s">
        <v>371</v>
      </c>
      <c r="S5" s="77" t="s">
        <v>340</v>
      </c>
      <c r="T5" s="77" t="s">
        <v>342</v>
      </c>
      <c r="U5" s="77" t="s">
        <v>343</v>
      </c>
      <c r="V5" s="77" t="s">
        <v>344</v>
      </c>
      <c r="W5" s="78" t="s">
        <v>371</v>
      </c>
      <c r="AA5" t="s">
        <v>660</v>
      </c>
      <c r="AB5" s="77" t="s">
        <v>272</v>
      </c>
      <c r="AC5" s="6">
        <v>3</v>
      </c>
      <c r="AD5" s="29" t="str">
        <f t="shared" si="2"/>
        <v>continuous/fully_connected</v>
      </c>
      <c r="AE5" t="s">
        <v>282</v>
      </c>
      <c r="AF5" t="s">
        <v>1568</v>
      </c>
      <c r="AG5" s="29" t="s">
        <v>344</v>
      </c>
      <c r="AH5" s="29">
        <f t="shared" si="3"/>
        <v>0.06</v>
      </c>
      <c r="AI5" s="29">
        <f t="shared" si="4"/>
        <v>0.12</v>
      </c>
      <c r="AJ5" s="29">
        <f t="shared" si="5"/>
        <v>0.67500000000000004</v>
      </c>
      <c r="AK5" s="29">
        <f t="shared" si="6"/>
        <v>1.925</v>
      </c>
      <c r="AL5" s="29">
        <f t="shared" si="7"/>
        <v>0.44500000000000006</v>
      </c>
      <c r="AM5" s="29">
        <f t="shared" si="8"/>
        <v>1.825</v>
      </c>
      <c r="AN5" s="77">
        <f t="shared" si="9"/>
        <v>5.0500000000000007</v>
      </c>
      <c r="AU5" s="77">
        <v>1</v>
      </c>
      <c r="AV5" s="6">
        <f t="shared" si="10"/>
        <v>1</v>
      </c>
      <c r="AW5" s="6">
        <f t="shared" si="11"/>
        <v>9.9</v>
      </c>
      <c r="AX5" s="29" t="s">
        <v>1526</v>
      </c>
      <c r="AY5">
        <f t="shared" si="12"/>
        <v>5</v>
      </c>
      <c r="AZ5" s="6">
        <f t="shared" si="13"/>
        <v>9.5</v>
      </c>
      <c r="BA5" s="29" t="s">
        <v>1566</v>
      </c>
      <c r="BB5">
        <f t="shared" si="0"/>
        <v>46</v>
      </c>
      <c r="BC5" s="6">
        <f t="shared" si="14"/>
        <v>5.4</v>
      </c>
      <c r="BD5" s="29" t="s">
        <v>1573</v>
      </c>
      <c r="BE5">
        <f t="shared" si="1"/>
        <v>3</v>
      </c>
      <c r="BF5" s="6">
        <f t="shared" si="15"/>
        <v>9.6999999999999993</v>
      </c>
      <c r="BG5" s="29" t="s">
        <v>1535</v>
      </c>
      <c r="BH5">
        <f t="shared" si="16"/>
        <v>5</v>
      </c>
      <c r="BI5" s="6">
        <f t="shared" si="17"/>
        <v>9.5</v>
      </c>
      <c r="BN5" t="s">
        <v>1541</v>
      </c>
      <c r="BO5" s="29" t="s">
        <v>1535</v>
      </c>
      <c r="BT5" s="6"/>
      <c r="BU5" s="6"/>
      <c r="BV5" s="77">
        <v>1</v>
      </c>
      <c r="BW5" s="6">
        <f t="shared" si="18"/>
        <v>1</v>
      </c>
      <c r="BX5" s="6">
        <f t="shared" si="19"/>
        <v>9.9</v>
      </c>
      <c r="BY5" s="29" t="s">
        <v>1584</v>
      </c>
      <c r="BZ5">
        <v>5</v>
      </c>
      <c r="CA5" s="6">
        <v>9.5</v>
      </c>
      <c r="CB5" s="29" t="s">
        <v>1609</v>
      </c>
      <c r="CC5">
        <v>46</v>
      </c>
      <c r="CD5" s="6">
        <v>5.4</v>
      </c>
      <c r="CE5" s="29" t="s">
        <v>1590</v>
      </c>
      <c r="CF5">
        <v>3</v>
      </c>
      <c r="CG5" s="6">
        <v>9.6999999999999993</v>
      </c>
      <c r="CH5" s="29" t="s">
        <v>1535</v>
      </c>
      <c r="CI5">
        <v>5</v>
      </c>
      <c r="CJ5" s="6">
        <v>9.5</v>
      </c>
    </row>
    <row r="6" spans="1:88" x14ac:dyDescent="0.3">
      <c r="A6" t="s">
        <v>381</v>
      </c>
      <c r="B6" t="s">
        <v>1344</v>
      </c>
      <c r="C6" t="s">
        <v>444</v>
      </c>
      <c r="D6" t="s">
        <v>1345</v>
      </c>
      <c r="E6" t="s">
        <v>444</v>
      </c>
      <c r="F6" t="b">
        <v>1</v>
      </c>
      <c r="G6">
        <v>48.5</v>
      </c>
      <c r="H6">
        <v>0</v>
      </c>
      <c r="I6">
        <v>12524</v>
      </c>
      <c r="J6" s="61" t="s">
        <v>13</v>
      </c>
      <c r="K6" s="77" t="s">
        <v>272</v>
      </c>
      <c r="L6" s="77">
        <v>3</v>
      </c>
      <c r="M6" s="77" t="s">
        <v>277</v>
      </c>
      <c r="N6" s="77" t="s">
        <v>335</v>
      </c>
      <c r="O6" s="77" t="s">
        <v>282</v>
      </c>
      <c r="P6" s="77" t="s">
        <v>371</v>
      </c>
      <c r="Q6" s="77" t="s">
        <v>371</v>
      </c>
      <c r="R6" s="77" t="s">
        <v>371</v>
      </c>
      <c r="S6" s="77" t="s">
        <v>341</v>
      </c>
      <c r="T6" s="77" t="s">
        <v>340</v>
      </c>
      <c r="U6" s="77" t="s">
        <v>343</v>
      </c>
      <c r="V6" s="77" t="s">
        <v>344</v>
      </c>
      <c r="W6" s="78" t="s">
        <v>371</v>
      </c>
      <c r="AA6" t="s">
        <v>444</v>
      </c>
      <c r="AB6" s="77" t="s">
        <v>272</v>
      </c>
      <c r="AC6" s="6">
        <v>3</v>
      </c>
      <c r="AD6" s="29" t="str">
        <f t="shared" si="2"/>
        <v>continuous/fully_connected</v>
      </c>
      <c r="AE6" t="s">
        <v>282</v>
      </c>
      <c r="AF6" t="s">
        <v>1567</v>
      </c>
      <c r="AG6" s="29" t="s">
        <v>344</v>
      </c>
      <c r="AH6" s="29">
        <f t="shared" si="3"/>
        <v>0.06</v>
      </c>
      <c r="AI6" s="29">
        <f t="shared" si="4"/>
        <v>0.12</v>
      </c>
      <c r="AJ6" s="29">
        <f t="shared" si="5"/>
        <v>0.67500000000000004</v>
      </c>
      <c r="AK6" s="29">
        <f t="shared" si="6"/>
        <v>1.925</v>
      </c>
      <c r="AL6" s="29">
        <f t="shared" si="7"/>
        <v>0.32000000000000006</v>
      </c>
      <c r="AM6" s="29">
        <f t="shared" si="8"/>
        <v>1.825</v>
      </c>
      <c r="AN6" s="77">
        <f t="shared" si="9"/>
        <v>4.9250000000000007</v>
      </c>
      <c r="AX6" s="29" t="s">
        <v>1527</v>
      </c>
      <c r="AY6">
        <f t="shared" si="12"/>
        <v>2</v>
      </c>
      <c r="AZ6" s="6">
        <f t="shared" si="13"/>
        <v>9.8000000000000007</v>
      </c>
      <c r="BA6" s="29" t="s">
        <v>341</v>
      </c>
      <c r="BB6">
        <f t="shared" si="0"/>
        <v>4</v>
      </c>
      <c r="BC6" s="6">
        <f t="shared" si="14"/>
        <v>9.6</v>
      </c>
      <c r="BD6" s="29" t="s">
        <v>377</v>
      </c>
      <c r="BE6">
        <f t="shared" si="1"/>
        <v>3</v>
      </c>
      <c r="BF6" s="6">
        <f t="shared" si="15"/>
        <v>9.6999999999999993</v>
      </c>
      <c r="BG6" s="29" t="s">
        <v>1536</v>
      </c>
      <c r="BH6">
        <f t="shared" si="16"/>
        <v>1</v>
      </c>
      <c r="BI6" s="6">
        <f t="shared" si="17"/>
        <v>9.9</v>
      </c>
      <c r="BN6" t="s">
        <v>1543</v>
      </c>
      <c r="BO6" s="29" t="s">
        <v>1535</v>
      </c>
      <c r="BT6" s="6"/>
      <c r="BU6" s="6"/>
      <c r="BW6" s="6"/>
      <c r="BX6" s="6"/>
      <c r="BY6" s="29" t="s">
        <v>1585</v>
      </c>
      <c r="BZ6">
        <v>2</v>
      </c>
      <c r="CA6" s="6">
        <v>9.8000000000000007</v>
      </c>
      <c r="CB6" s="29" t="s">
        <v>1610</v>
      </c>
      <c r="CC6">
        <v>4</v>
      </c>
      <c r="CD6" s="6">
        <v>9.6</v>
      </c>
      <c r="CE6" s="29" t="s">
        <v>377</v>
      </c>
      <c r="CF6">
        <v>3</v>
      </c>
      <c r="CG6" s="6">
        <v>9.6999999999999993</v>
      </c>
      <c r="CH6" s="29" t="s">
        <v>1591</v>
      </c>
      <c r="CI6">
        <v>1</v>
      </c>
      <c r="CJ6" s="6">
        <v>9.9</v>
      </c>
    </row>
    <row r="7" spans="1:88" x14ac:dyDescent="0.3">
      <c r="A7" t="s">
        <v>381</v>
      </c>
      <c r="B7" t="s">
        <v>1344</v>
      </c>
      <c r="C7" t="s">
        <v>549</v>
      </c>
      <c r="D7" t="s">
        <v>1345</v>
      </c>
      <c r="E7" t="s">
        <v>549</v>
      </c>
      <c r="F7" t="b">
        <v>1</v>
      </c>
      <c r="G7">
        <v>88.7</v>
      </c>
      <c r="H7">
        <v>0</v>
      </c>
      <c r="I7">
        <v>9863</v>
      </c>
      <c r="J7" s="61" t="s">
        <v>13</v>
      </c>
      <c r="K7" s="77" t="s">
        <v>272</v>
      </c>
      <c r="L7" s="77">
        <v>3</v>
      </c>
      <c r="M7" s="77" t="s">
        <v>277</v>
      </c>
      <c r="N7" s="77" t="s">
        <v>335</v>
      </c>
      <c r="O7" s="77" t="s">
        <v>282</v>
      </c>
      <c r="P7" s="77" t="s">
        <v>371</v>
      </c>
      <c r="Q7" s="77" t="s">
        <v>371</v>
      </c>
      <c r="R7" s="77" t="s">
        <v>371</v>
      </c>
      <c r="S7" s="77" t="s">
        <v>341</v>
      </c>
      <c r="T7" s="77" t="s">
        <v>342</v>
      </c>
      <c r="U7" s="77" t="s">
        <v>343</v>
      </c>
      <c r="V7" s="77" t="s">
        <v>345</v>
      </c>
      <c r="W7" s="78" t="s">
        <v>371</v>
      </c>
      <c r="AA7" t="s">
        <v>549</v>
      </c>
      <c r="AB7" s="77" t="s">
        <v>272</v>
      </c>
      <c r="AC7" s="6">
        <v>3</v>
      </c>
      <c r="AD7" s="29" t="str">
        <f t="shared" si="2"/>
        <v>continuous/fully_connected</v>
      </c>
      <c r="AE7" t="s">
        <v>282</v>
      </c>
      <c r="AF7" t="s">
        <v>1566</v>
      </c>
      <c r="AG7" s="29" t="s">
        <v>345</v>
      </c>
      <c r="AH7" s="29">
        <f t="shared" si="3"/>
        <v>0.06</v>
      </c>
      <c r="AI7" s="29">
        <f t="shared" si="4"/>
        <v>0.12</v>
      </c>
      <c r="AJ7" s="29">
        <f t="shared" si="5"/>
        <v>0.67500000000000004</v>
      </c>
      <c r="AK7" s="29">
        <f t="shared" si="6"/>
        <v>1.925</v>
      </c>
      <c r="AL7" s="29">
        <f t="shared" si="7"/>
        <v>0.27</v>
      </c>
      <c r="AM7" s="29">
        <f t="shared" si="8"/>
        <v>1.7749999999999999</v>
      </c>
      <c r="AN7" s="77">
        <f t="shared" si="9"/>
        <v>4.8250000000000002</v>
      </c>
      <c r="AX7" s="29" t="s">
        <v>1528</v>
      </c>
      <c r="AY7">
        <f t="shared" si="12"/>
        <v>1</v>
      </c>
      <c r="AZ7" s="6">
        <f t="shared" si="13"/>
        <v>9.9</v>
      </c>
      <c r="BA7" s="29" t="s">
        <v>340</v>
      </c>
      <c r="BB7">
        <f t="shared" si="0"/>
        <v>1</v>
      </c>
      <c r="BC7" s="6">
        <f t="shared" si="14"/>
        <v>9.9</v>
      </c>
      <c r="BD7" s="29" t="s">
        <v>348</v>
      </c>
      <c r="BE7">
        <f t="shared" si="1"/>
        <v>1</v>
      </c>
      <c r="BF7" s="6">
        <f t="shared" si="15"/>
        <v>9.9</v>
      </c>
      <c r="BG7" s="29" t="s">
        <v>1537</v>
      </c>
      <c r="BH7">
        <f t="shared" si="16"/>
        <v>11</v>
      </c>
      <c r="BI7" s="6">
        <f t="shared" si="17"/>
        <v>8.9</v>
      </c>
      <c r="BN7" s="29" t="s">
        <v>1554</v>
      </c>
      <c r="BO7" s="29" t="s">
        <v>1537</v>
      </c>
      <c r="BT7" s="6"/>
      <c r="BU7" s="6"/>
      <c r="BW7" s="6"/>
      <c r="BX7" s="6"/>
      <c r="BY7" s="29" t="s">
        <v>1586</v>
      </c>
      <c r="BZ7">
        <v>1</v>
      </c>
      <c r="CA7" s="6">
        <v>9.9</v>
      </c>
      <c r="CB7" s="29" t="s">
        <v>1606</v>
      </c>
      <c r="CC7">
        <v>1</v>
      </c>
      <c r="CD7" s="6">
        <v>9.9</v>
      </c>
      <c r="CE7" s="29" t="s">
        <v>1592</v>
      </c>
      <c r="CF7">
        <v>1</v>
      </c>
      <c r="CG7" s="6">
        <v>9.9</v>
      </c>
      <c r="CH7" s="29" t="s">
        <v>1537</v>
      </c>
      <c r="CI7">
        <v>11</v>
      </c>
      <c r="CJ7" s="6">
        <v>8.9</v>
      </c>
    </row>
    <row r="8" spans="1:88" x14ac:dyDescent="0.3">
      <c r="A8" t="s">
        <v>381</v>
      </c>
      <c r="B8" t="s">
        <v>1344</v>
      </c>
      <c r="C8" t="s">
        <v>486</v>
      </c>
      <c r="D8" t="s">
        <v>1345</v>
      </c>
      <c r="E8" t="s">
        <v>486</v>
      </c>
      <c r="F8" t="b">
        <v>1</v>
      </c>
      <c r="G8">
        <v>84.9</v>
      </c>
      <c r="H8">
        <v>0</v>
      </c>
      <c r="I8">
        <v>8310</v>
      </c>
      <c r="J8" s="61" t="s">
        <v>13</v>
      </c>
      <c r="K8" s="77" t="s">
        <v>272</v>
      </c>
      <c r="L8" s="77">
        <v>3</v>
      </c>
      <c r="M8" s="77" t="s">
        <v>277</v>
      </c>
      <c r="N8" s="77" t="s">
        <v>335</v>
      </c>
      <c r="O8" s="77" t="s">
        <v>285</v>
      </c>
      <c r="P8" s="77" t="s">
        <v>282</v>
      </c>
      <c r="Q8" s="77" t="s">
        <v>371</v>
      </c>
      <c r="R8" s="77" t="s">
        <v>371</v>
      </c>
      <c r="S8" s="77" t="s">
        <v>341</v>
      </c>
      <c r="T8" s="77" t="s">
        <v>342</v>
      </c>
      <c r="U8" s="77" t="s">
        <v>343</v>
      </c>
      <c r="V8" s="77" t="s">
        <v>345</v>
      </c>
      <c r="W8" s="78" t="s">
        <v>371</v>
      </c>
      <c r="AA8" t="s">
        <v>486</v>
      </c>
      <c r="AB8" s="77" t="s">
        <v>272</v>
      </c>
      <c r="AC8" s="6">
        <v>3</v>
      </c>
      <c r="AD8" s="29" t="str">
        <f t="shared" si="2"/>
        <v>continuous/fully_connected</v>
      </c>
      <c r="AE8" t="s">
        <v>1553</v>
      </c>
      <c r="AF8" t="s">
        <v>1566</v>
      </c>
      <c r="AG8" s="29" t="s">
        <v>345</v>
      </c>
      <c r="AH8" s="29">
        <f t="shared" si="3"/>
        <v>0.06</v>
      </c>
      <c r="AI8" s="29">
        <f t="shared" si="4"/>
        <v>0.12</v>
      </c>
      <c r="AJ8" s="29">
        <f t="shared" si="5"/>
        <v>0.67500000000000004</v>
      </c>
      <c r="AK8" s="29">
        <f t="shared" si="6"/>
        <v>2.4750000000000001</v>
      </c>
      <c r="AL8" s="29">
        <f t="shared" si="7"/>
        <v>0.27</v>
      </c>
      <c r="AM8" s="29">
        <f t="shared" si="8"/>
        <v>1.7749999999999999</v>
      </c>
      <c r="AN8" s="77">
        <f t="shared" si="9"/>
        <v>5.375</v>
      </c>
      <c r="AX8" s="29" t="s">
        <v>1529</v>
      </c>
      <c r="AY8">
        <f t="shared" si="12"/>
        <v>2</v>
      </c>
      <c r="AZ8" s="6">
        <f t="shared" si="13"/>
        <v>9.8000000000000007</v>
      </c>
      <c r="BA8" s="29" t="s">
        <v>342</v>
      </c>
      <c r="BB8">
        <f t="shared" si="0"/>
        <v>2</v>
      </c>
      <c r="BC8" s="6">
        <f t="shared" si="14"/>
        <v>9.8000000000000007</v>
      </c>
      <c r="BD8" s="29" t="s">
        <v>291</v>
      </c>
      <c r="BE8">
        <f t="shared" si="1"/>
        <v>15</v>
      </c>
      <c r="BF8" s="6">
        <f t="shared" si="15"/>
        <v>8.5</v>
      </c>
      <c r="BG8" s="29" t="s">
        <v>1531</v>
      </c>
      <c r="BH8">
        <f t="shared" si="16"/>
        <v>1</v>
      </c>
      <c r="BI8" s="6">
        <f t="shared" si="17"/>
        <v>9.9</v>
      </c>
      <c r="BN8" s="29" t="s">
        <v>1556</v>
      </c>
      <c r="BO8" t="s">
        <v>1546</v>
      </c>
      <c r="BT8" s="6"/>
      <c r="BU8" s="6"/>
      <c r="BW8" s="6"/>
      <c r="BX8" s="6"/>
      <c r="BY8" s="29" t="s">
        <v>1587</v>
      </c>
      <c r="BZ8">
        <v>2</v>
      </c>
      <c r="CA8" s="6">
        <v>9.8000000000000007</v>
      </c>
      <c r="CB8" s="29" t="s">
        <v>1611</v>
      </c>
      <c r="CC8">
        <v>2</v>
      </c>
      <c r="CD8" s="6">
        <v>9.8000000000000007</v>
      </c>
      <c r="CE8" s="29" t="s">
        <v>291</v>
      </c>
      <c r="CF8">
        <v>15</v>
      </c>
      <c r="CG8" s="6">
        <v>8.5</v>
      </c>
      <c r="CH8" s="29" t="s">
        <v>1593</v>
      </c>
      <c r="CI8">
        <v>1</v>
      </c>
      <c r="CJ8" s="6">
        <v>9.9</v>
      </c>
    </row>
    <row r="9" spans="1:88" x14ac:dyDescent="0.3">
      <c r="A9" t="s">
        <v>381</v>
      </c>
      <c r="B9" t="s">
        <v>1344</v>
      </c>
      <c r="C9" t="s">
        <v>510</v>
      </c>
      <c r="D9" t="s">
        <v>1345</v>
      </c>
      <c r="E9" t="s">
        <v>510</v>
      </c>
      <c r="F9" t="b">
        <v>1</v>
      </c>
      <c r="G9">
        <v>100</v>
      </c>
      <c r="H9">
        <v>1</v>
      </c>
      <c r="I9">
        <v>15102</v>
      </c>
      <c r="J9" s="61" t="s">
        <v>18</v>
      </c>
      <c r="K9" s="77" t="s">
        <v>272</v>
      </c>
      <c r="L9" s="77">
        <v>2</v>
      </c>
      <c r="M9" s="77" t="s">
        <v>277</v>
      </c>
      <c r="N9" s="77" t="s">
        <v>335</v>
      </c>
      <c r="O9" s="77" t="s">
        <v>283</v>
      </c>
      <c r="P9" s="77" t="s">
        <v>284</v>
      </c>
      <c r="Q9" s="77" t="s">
        <v>371</v>
      </c>
      <c r="R9" s="77" t="s">
        <v>371</v>
      </c>
      <c r="S9" s="77" t="s">
        <v>341</v>
      </c>
      <c r="T9" s="77" t="s">
        <v>340</v>
      </c>
      <c r="U9" s="77" t="s">
        <v>340</v>
      </c>
      <c r="V9" s="77" t="s">
        <v>291</v>
      </c>
      <c r="W9" s="78" t="s">
        <v>371</v>
      </c>
      <c r="AA9" t="s">
        <v>510</v>
      </c>
      <c r="AB9" s="77" t="s">
        <v>272</v>
      </c>
      <c r="AC9" s="6">
        <v>2</v>
      </c>
      <c r="AD9" s="29" t="str">
        <f t="shared" si="2"/>
        <v>continuous/fully_connected</v>
      </c>
      <c r="AE9" t="s">
        <v>1542</v>
      </c>
      <c r="AF9" t="s">
        <v>341</v>
      </c>
      <c r="AG9" s="29" t="s">
        <v>291</v>
      </c>
      <c r="AH9" s="29">
        <f t="shared" si="3"/>
        <v>0.06</v>
      </c>
      <c r="AI9" s="29">
        <f t="shared" si="4"/>
        <v>0.89000000000000012</v>
      </c>
      <c r="AJ9" s="29">
        <f t="shared" si="5"/>
        <v>0.67500000000000004</v>
      </c>
      <c r="AK9" s="29">
        <f t="shared" si="6"/>
        <v>2.35</v>
      </c>
      <c r="AL9" s="29">
        <f t="shared" si="7"/>
        <v>0.48</v>
      </c>
      <c r="AM9" s="29">
        <f t="shared" si="8"/>
        <v>2.125</v>
      </c>
      <c r="AN9" s="77">
        <f t="shared" si="9"/>
        <v>6.58</v>
      </c>
      <c r="BC9" s="6"/>
      <c r="BD9" s="29" t="s">
        <v>347</v>
      </c>
      <c r="BE9">
        <f t="shared" si="1"/>
        <v>3</v>
      </c>
      <c r="BF9" s="6">
        <f t="shared" si="15"/>
        <v>9.6999999999999993</v>
      </c>
      <c r="BG9" t="s">
        <v>1533</v>
      </c>
      <c r="BH9">
        <f t="shared" si="16"/>
        <v>1</v>
      </c>
      <c r="BI9" s="6">
        <f t="shared" si="17"/>
        <v>9.9</v>
      </c>
      <c r="BN9" t="s">
        <v>1558</v>
      </c>
      <c r="BO9" s="29" t="s">
        <v>1547</v>
      </c>
      <c r="BT9" s="6"/>
      <c r="BU9" s="6"/>
      <c r="BW9" s="6"/>
      <c r="BX9" s="6"/>
      <c r="CD9" s="6"/>
      <c r="CE9" s="29" t="s">
        <v>1594</v>
      </c>
      <c r="CF9">
        <v>3</v>
      </c>
      <c r="CG9" s="6">
        <v>9.6999999999999993</v>
      </c>
      <c r="CH9" t="s">
        <v>1533</v>
      </c>
      <c r="CI9">
        <v>1</v>
      </c>
      <c r="CJ9" s="6">
        <v>9.9</v>
      </c>
    </row>
    <row r="10" spans="1:88" x14ac:dyDescent="0.3">
      <c r="A10" t="s">
        <v>381</v>
      </c>
      <c r="B10" t="s">
        <v>1344</v>
      </c>
      <c r="C10" t="s">
        <v>627</v>
      </c>
      <c r="D10" t="s">
        <v>1345</v>
      </c>
      <c r="E10" t="s">
        <v>627</v>
      </c>
      <c r="F10" t="b">
        <v>1</v>
      </c>
      <c r="G10">
        <v>60.4</v>
      </c>
      <c r="H10">
        <v>0</v>
      </c>
      <c r="I10">
        <v>23683</v>
      </c>
      <c r="J10" s="61" t="s">
        <v>13</v>
      </c>
      <c r="K10" s="77" t="s">
        <v>272</v>
      </c>
      <c r="L10" s="77">
        <v>2</v>
      </c>
      <c r="M10" s="77" t="s">
        <v>277</v>
      </c>
      <c r="N10" s="77" t="s">
        <v>335</v>
      </c>
      <c r="O10" s="77" t="s">
        <v>282</v>
      </c>
      <c r="P10" s="77" t="s">
        <v>371</v>
      </c>
      <c r="Q10" s="77" t="s">
        <v>371</v>
      </c>
      <c r="R10" s="77" t="s">
        <v>371</v>
      </c>
      <c r="S10" s="77" t="s">
        <v>341</v>
      </c>
      <c r="T10" s="77" t="s">
        <v>340</v>
      </c>
      <c r="U10" s="77" t="s">
        <v>340</v>
      </c>
      <c r="V10" s="77" t="s">
        <v>377</v>
      </c>
      <c r="W10" s="78" t="s">
        <v>371</v>
      </c>
      <c r="AA10" t="s">
        <v>627</v>
      </c>
      <c r="AB10" s="77" t="s">
        <v>272</v>
      </c>
      <c r="AC10" s="6">
        <v>2</v>
      </c>
      <c r="AD10" s="29" t="str">
        <f t="shared" si="2"/>
        <v>continuous/fully_connected</v>
      </c>
      <c r="AE10" t="s">
        <v>282</v>
      </c>
      <c r="AF10" t="s">
        <v>341</v>
      </c>
      <c r="AG10" s="29" t="s">
        <v>377</v>
      </c>
      <c r="AH10" s="29">
        <f t="shared" si="3"/>
        <v>0.06</v>
      </c>
      <c r="AI10" s="29">
        <f t="shared" si="4"/>
        <v>0.89000000000000012</v>
      </c>
      <c r="AJ10" s="29">
        <f t="shared" si="5"/>
        <v>0.67500000000000004</v>
      </c>
      <c r="AK10" s="29">
        <f t="shared" si="6"/>
        <v>1.925</v>
      </c>
      <c r="AL10" s="29">
        <f t="shared" si="7"/>
        <v>0.48</v>
      </c>
      <c r="AM10" s="29">
        <f t="shared" si="8"/>
        <v>2.4249999999999998</v>
      </c>
      <c r="AN10" s="77">
        <f t="shared" si="9"/>
        <v>6.4550000000000001</v>
      </c>
      <c r="BC10" s="6"/>
      <c r="BD10" s="29" t="s">
        <v>346</v>
      </c>
      <c r="BE10">
        <f t="shared" si="1"/>
        <v>1</v>
      </c>
      <c r="BF10" s="6">
        <f t="shared" si="15"/>
        <v>9.9</v>
      </c>
      <c r="BG10" s="29" t="s">
        <v>283</v>
      </c>
      <c r="BH10">
        <f t="shared" si="16"/>
        <v>6</v>
      </c>
      <c r="BI10" s="6">
        <f t="shared" si="17"/>
        <v>9.4</v>
      </c>
      <c r="BT10" s="6"/>
      <c r="BU10" s="6"/>
      <c r="BW10" s="6"/>
      <c r="BX10" s="6"/>
      <c r="CD10" s="6"/>
      <c r="CE10" s="29" t="s">
        <v>1595</v>
      </c>
      <c r="CF10">
        <v>1</v>
      </c>
      <c r="CG10" s="6">
        <v>9.9</v>
      </c>
      <c r="CH10" s="29" t="s">
        <v>283</v>
      </c>
      <c r="CI10">
        <v>6</v>
      </c>
      <c r="CJ10" s="6">
        <v>9.4</v>
      </c>
    </row>
    <row r="11" spans="1:88" x14ac:dyDescent="0.3">
      <c r="A11" t="s">
        <v>381</v>
      </c>
      <c r="B11" t="s">
        <v>1344</v>
      </c>
      <c r="C11" t="s">
        <v>564</v>
      </c>
      <c r="D11" t="s">
        <v>1345</v>
      </c>
      <c r="E11" t="s">
        <v>564</v>
      </c>
      <c r="F11" t="b">
        <v>1</v>
      </c>
      <c r="G11">
        <v>99.6</v>
      </c>
      <c r="H11">
        <v>0</v>
      </c>
      <c r="I11">
        <v>7781</v>
      </c>
      <c r="J11" s="61" t="s">
        <v>13</v>
      </c>
      <c r="K11" s="77" t="s">
        <v>272</v>
      </c>
      <c r="L11" s="77">
        <v>3</v>
      </c>
      <c r="M11" s="77" t="s">
        <v>277</v>
      </c>
      <c r="N11" s="77" t="s">
        <v>335</v>
      </c>
      <c r="O11" s="77" t="s">
        <v>282</v>
      </c>
      <c r="P11" s="77" t="s">
        <v>371</v>
      </c>
      <c r="Q11" s="77" t="s">
        <v>371</v>
      </c>
      <c r="R11" s="77" t="s">
        <v>371</v>
      </c>
      <c r="S11" s="77" t="s">
        <v>341</v>
      </c>
      <c r="T11" s="77" t="s">
        <v>342</v>
      </c>
      <c r="U11" s="77" t="s">
        <v>343</v>
      </c>
      <c r="V11" s="77" t="s">
        <v>345</v>
      </c>
      <c r="W11" s="78" t="s">
        <v>371</v>
      </c>
      <c r="AA11" t="s">
        <v>564</v>
      </c>
      <c r="AB11" s="77" t="s">
        <v>272</v>
      </c>
      <c r="AC11" s="6">
        <v>3</v>
      </c>
      <c r="AD11" s="29" t="str">
        <f t="shared" si="2"/>
        <v>continuous/fully_connected</v>
      </c>
      <c r="AE11" t="s">
        <v>282</v>
      </c>
      <c r="AF11" t="s">
        <v>1566</v>
      </c>
      <c r="AG11" s="29" t="s">
        <v>345</v>
      </c>
      <c r="AH11" s="29">
        <f t="shared" si="3"/>
        <v>0.06</v>
      </c>
      <c r="AI11" s="29">
        <f t="shared" si="4"/>
        <v>0.12</v>
      </c>
      <c r="AJ11" s="29">
        <f t="shared" si="5"/>
        <v>0.67500000000000004</v>
      </c>
      <c r="AK11" s="29">
        <f t="shared" si="6"/>
        <v>1.925</v>
      </c>
      <c r="AL11" s="29">
        <f t="shared" si="7"/>
        <v>0.27</v>
      </c>
      <c r="AM11" s="29">
        <f t="shared" si="8"/>
        <v>1.7749999999999999</v>
      </c>
      <c r="AN11" s="77">
        <f t="shared" si="9"/>
        <v>4.8250000000000002</v>
      </c>
      <c r="BC11" s="6"/>
      <c r="BD11" s="29" t="s">
        <v>344</v>
      </c>
      <c r="BE11">
        <f t="shared" si="1"/>
        <v>27</v>
      </c>
      <c r="BF11" s="6">
        <f t="shared" si="15"/>
        <v>7.3</v>
      </c>
      <c r="BG11" s="29" t="s">
        <v>1540</v>
      </c>
      <c r="BH11">
        <f t="shared" si="16"/>
        <v>5</v>
      </c>
      <c r="BI11" s="6">
        <f t="shared" si="17"/>
        <v>9.5</v>
      </c>
      <c r="BT11" s="6"/>
      <c r="BU11" s="6"/>
      <c r="BW11" s="6"/>
      <c r="BX11" s="6"/>
      <c r="CD11" s="6"/>
      <c r="CE11" s="29" t="s">
        <v>1596</v>
      </c>
      <c r="CF11">
        <v>27</v>
      </c>
      <c r="CG11" s="6">
        <v>7.3</v>
      </c>
      <c r="CH11" s="29" t="s">
        <v>1540</v>
      </c>
      <c r="CI11">
        <v>5</v>
      </c>
      <c r="CJ11" s="6">
        <v>9.5</v>
      </c>
    </row>
    <row r="12" spans="1:88" x14ac:dyDescent="0.3">
      <c r="A12" t="s">
        <v>381</v>
      </c>
      <c r="B12" t="s">
        <v>1344</v>
      </c>
      <c r="C12" t="s">
        <v>630</v>
      </c>
      <c r="D12" t="s">
        <v>1345</v>
      </c>
      <c r="E12" t="s">
        <v>630</v>
      </c>
      <c r="F12" t="b">
        <v>1</v>
      </c>
      <c r="G12">
        <v>100</v>
      </c>
      <c r="H12">
        <v>1</v>
      </c>
      <c r="I12">
        <v>15843</v>
      </c>
      <c r="J12" s="61" t="s">
        <v>18</v>
      </c>
      <c r="K12" s="77" t="s">
        <v>272</v>
      </c>
      <c r="L12" s="77">
        <v>3</v>
      </c>
      <c r="M12" s="77" t="s">
        <v>277</v>
      </c>
      <c r="N12" s="77" t="s">
        <v>335</v>
      </c>
      <c r="O12" s="77" t="s">
        <v>284</v>
      </c>
      <c r="P12" s="77" t="s">
        <v>282</v>
      </c>
      <c r="Q12" s="77" t="s">
        <v>371</v>
      </c>
      <c r="R12" s="77" t="s">
        <v>371</v>
      </c>
      <c r="S12" s="77" t="s">
        <v>341</v>
      </c>
      <c r="T12" s="77" t="s">
        <v>340</v>
      </c>
      <c r="U12" s="77" t="s">
        <v>340</v>
      </c>
      <c r="V12" s="77" t="s">
        <v>344</v>
      </c>
      <c r="W12" s="78" t="s">
        <v>291</v>
      </c>
      <c r="AA12" t="s">
        <v>630</v>
      </c>
      <c r="AB12" s="77" t="s">
        <v>272</v>
      </c>
      <c r="AC12" s="6">
        <v>3</v>
      </c>
      <c r="AD12" s="29" t="str">
        <f t="shared" si="2"/>
        <v>continuous/fully_connected</v>
      </c>
      <c r="AE12" t="s">
        <v>1534</v>
      </c>
      <c r="AF12" t="s">
        <v>341</v>
      </c>
      <c r="AG12" s="29" t="s">
        <v>1570</v>
      </c>
      <c r="AH12" s="29">
        <f t="shared" si="3"/>
        <v>0.06</v>
      </c>
      <c r="AI12" s="29">
        <f t="shared" si="4"/>
        <v>0.12</v>
      </c>
      <c r="AJ12" s="29">
        <f t="shared" si="5"/>
        <v>0.67500000000000004</v>
      </c>
      <c r="AK12" s="29">
        <f t="shared" si="6"/>
        <v>2.4500000000000002</v>
      </c>
      <c r="AL12" s="29">
        <f t="shared" si="7"/>
        <v>0.48</v>
      </c>
      <c r="AM12" s="29">
        <f t="shared" si="8"/>
        <v>2.35</v>
      </c>
      <c r="AN12" s="77">
        <f t="shared" si="9"/>
        <v>6.1349999999999998</v>
      </c>
      <c r="AT12"/>
      <c r="AV12"/>
      <c r="AW12"/>
      <c r="BC12" s="6"/>
      <c r="BD12" s="29" t="s">
        <v>1574</v>
      </c>
      <c r="BE12">
        <f t="shared" si="1"/>
        <v>5</v>
      </c>
      <c r="BF12" s="6">
        <f t="shared" si="15"/>
        <v>9.5</v>
      </c>
      <c r="BG12" s="29" t="s">
        <v>1542</v>
      </c>
      <c r="BH12">
        <f t="shared" si="16"/>
        <v>6</v>
      </c>
      <c r="BI12" s="6">
        <f t="shared" si="17"/>
        <v>9.4</v>
      </c>
      <c r="BT12" s="6"/>
      <c r="BU12" s="6"/>
      <c r="BW12" s="6"/>
      <c r="BX12" s="6"/>
      <c r="CD12" s="6"/>
      <c r="CE12" s="29" t="s">
        <v>1597</v>
      </c>
      <c r="CF12">
        <v>5</v>
      </c>
      <c r="CG12" s="6">
        <v>9.5</v>
      </c>
      <c r="CH12" s="29" t="s">
        <v>1542</v>
      </c>
      <c r="CI12">
        <v>6</v>
      </c>
      <c r="CJ12" s="6">
        <v>9.4</v>
      </c>
    </row>
    <row r="13" spans="1:88" x14ac:dyDescent="0.3">
      <c r="A13" t="s">
        <v>381</v>
      </c>
      <c r="B13" t="s">
        <v>1344</v>
      </c>
      <c r="C13" t="s">
        <v>519</v>
      </c>
      <c r="D13" t="s">
        <v>1345</v>
      </c>
      <c r="E13" t="s">
        <v>519</v>
      </c>
      <c r="F13" t="b">
        <v>1</v>
      </c>
      <c r="G13">
        <v>90.8</v>
      </c>
      <c r="H13">
        <v>0</v>
      </c>
      <c r="I13">
        <v>7689</v>
      </c>
      <c r="J13" s="61" t="s">
        <v>13</v>
      </c>
      <c r="K13" s="77" t="s">
        <v>272</v>
      </c>
      <c r="L13" s="77">
        <v>3</v>
      </c>
      <c r="M13" s="77" t="s">
        <v>277</v>
      </c>
      <c r="N13" s="77" t="s">
        <v>335</v>
      </c>
      <c r="O13" s="77" t="s">
        <v>282</v>
      </c>
      <c r="P13" s="77" t="s">
        <v>371</v>
      </c>
      <c r="Q13" s="77" t="s">
        <v>371</v>
      </c>
      <c r="R13" s="77" t="s">
        <v>371</v>
      </c>
      <c r="S13" s="77" t="s">
        <v>341</v>
      </c>
      <c r="T13" s="77" t="s">
        <v>342</v>
      </c>
      <c r="U13" s="77" t="s">
        <v>343</v>
      </c>
      <c r="V13" s="77" t="s">
        <v>345</v>
      </c>
      <c r="W13" s="78" t="s">
        <v>371</v>
      </c>
      <c r="AA13" t="s">
        <v>519</v>
      </c>
      <c r="AB13" s="77" t="s">
        <v>272</v>
      </c>
      <c r="AC13" s="6">
        <v>3</v>
      </c>
      <c r="AD13" s="29" t="str">
        <f t="shared" si="2"/>
        <v>continuous/fully_connected</v>
      </c>
      <c r="AE13" t="s">
        <v>282</v>
      </c>
      <c r="AF13" t="s">
        <v>1566</v>
      </c>
      <c r="AG13" s="29" t="s">
        <v>345</v>
      </c>
      <c r="AH13" s="29">
        <f t="shared" si="3"/>
        <v>0.06</v>
      </c>
      <c r="AI13" s="29">
        <f t="shared" si="4"/>
        <v>0.12</v>
      </c>
      <c r="AJ13" s="29">
        <f t="shared" si="5"/>
        <v>0.67500000000000004</v>
      </c>
      <c r="AK13" s="29">
        <f t="shared" si="6"/>
        <v>1.925</v>
      </c>
      <c r="AL13" s="29">
        <f t="shared" si="7"/>
        <v>0.27</v>
      </c>
      <c r="AM13" s="29">
        <f t="shared" si="8"/>
        <v>1.7749999999999999</v>
      </c>
      <c r="AN13" s="77">
        <f t="shared" si="9"/>
        <v>4.8250000000000002</v>
      </c>
      <c r="AT13"/>
      <c r="AV13"/>
      <c r="AW13"/>
      <c r="BC13" s="6"/>
      <c r="BD13" s="29" t="s">
        <v>1570</v>
      </c>
      <c r="BE13">
        <f t="shared" si="1"/>
        <v>6</v>
      </c>
      <c r="BF13" s="6">
        <f t="shared" si="15"/>
        <v>9.4</v>
      </c>
      <c r="BG13" s="29" t="s">
        <v>1544</v>
      </c>
      <c r="BH13">
        <f t="shared" si="16"/>
        <v>1</v>
      </c>
      <c r="BI13" s="6">
        <f t="shared" si="17"/>
        <v>9.9</v>
      </c>
      <c r="BT13" s="6"/>
      <c r="BU13" s="6"/>
      <c r="BW13" s="6"/>
      <c r="BX13" s="6"/>
      <c r="CD13" s="6"/>
      <c r="CE13" s="29" t="s">
        <v>1598</v>
      </c>
      <c r="CF13">
        <v>6</v>
      </c>
      <c r="CG13" s="6">
        <v>9.4</v>
      </c>
      <c r="CH13" s="29" t="s">
        <v>1544</v>
      </c>
      <c r="CI13">
        <v>1</v>
      </c>
      <c r="CJ13" s="6">
        <v>9.9</v>
      </c>
    </row>
    <row r="14" spans="1:88" x14ac:dyDescent="0.3">
      <c r="A14" t="s">
        <v>381</v>
      </c>
      <c r="B14" t="s">
        <v>1344</v>
      </c>
      <c r="C14" t="s">
        <v>582</v>
      </c>
      <c r="D14" t="s">
        <v>1345</v>
      </c>
      <c r="E14" t="s">
        <v>582</v>
      </c>
      <c r="F14" t="b">
        <v>1</v>
      </c>
      <c r="G14">
        <v>99.3</v>
      </c>
      <c r="H14">
        <v>0</v>
      </c>
      <c r="I14">
        <v>8518</v>
      </c>
      <c r="J14" s="61" t="s">
        <v>13</v>
      </c>
      <c r="K14" s="77" t="s">
        <v>272</v>
      </c>
      <c r="L14" s="77">
        <v>3</v>
      </c>
      <c r="M14" s="77" t="s">
        <v>277</v>
      </c>
      <c r="N14" s="77" t="s">
        <v>335</v>
      </c>
      <c r="O14" s="77" t="s">
        <v>282</v>
      </c>
      <c r="P14" s="77" t="s">
        <v>339</v>
      </c>
      <c r="Q14" s="77" t="s">
        <v>371</v>
      </c>
      <c r="R14" s="77" t="s">
        <v>371</v>
      </c>
      <c r="S14" s="77" t="s">
        <v>341</v>
      </c>
      <c r="T14" s="77" t="s">
        <v>340</v>
      </c>
      <c r="U14" s="77" t="s">
        <v>343</v>
      </c>
      <c r="V14" s="77" t="s">
        <v>345</v>
      </c>
      <c r="W14" s="78" t="s">
        <v>371</v>
      </c>
      <c r="AA14" t="s">
        <v>582</v>
      </c>
      <c r="AB14" s="77" t="s">
        <v>272</v>
      </c>
      <c r="AC14" s="6">
        <v>3</v>
      </c>
      <c r="AD14" s="29" t="str">
        <f t="shared" si="2"/>
        <v>continuous/fully_connected</v>
      </c>
      <c r="AE14" t="s">
        <v>1536</v>
      </c>
      <c r="AF14" t="s">
        <v>1567</v>
      </c>
      <c r="AG14" s="29" t="s">
        <v>345</v>
      </c>
      <c r="AH14" s="29">
        <f t="shared" si="3"/>
        <v>0.06</v>
      </c>
      <c r="AI14" s="29">
        <f t="shared" si="4"/>
        <v>0.12</v>
      </c>
      <c r="AJ14" s="29">
        <f t="shared" si="5"/>
        <v>0.67500000000000004</v>
      </c>
      <c r="AK14" s="29">
        <f t="shared" si="6"/>
        <v>2.4750000000000001</v>
      </c>
      <c r="AL14" s="29">
        <f t="shared" si="7"/>
        <v>0.32000000000000006</v>
      </c>
      <c r="AM14" s="29">
        <f t="shared" si="8"/>
        <v>1.7749999999999999</v>
      </c>
      <c r="AN14" s="77">
        <f t="shared" si="9"/>
        <v>5.4250000000000007</v>
      </c>
      <c r="BC14" s="6"/>
      <c r="BD14" s="29" t="s">
        <v>1571</v>
      </c>
      <c r="BE14">
        <f t="shared" si="1"/>
        <v>5</v>
      </c>
      <c r="BF14" s="6">
        <f t="shared" si="15"/>
        <v>9.5</v>
      </c>
      <c r="BG14" t="s">
        <v>1545</v>
      </c>
      <c r="BH14">
        <f t="shared" si="16"/>
        <v>1</v>
      </c>
      <c r="BI14" s="6">
        <f t="shared" si="17"/>
        <v>9.9</v>
      </c>
      <c r="BT14" s="6"/>
      <c r="BU14" s="6"/>
      <c r="BW14" s="6"/>
      <c r="BX14" s="6"/>
      <c r="CD14" s="6"/>
      <c r="CE14" s="29" t="s">
        <v>1599</v>
      </c>
      <c r="CF14">
        <v>5</v>
      </c>
      <c r="CG14" s="6">
        <v>9.5</v>
      </c>
      <c r="CH14" t="s">
        <v>1545</v>
      </c>
      <c r="CI14">
        <v>1</v>
      </c>
      <c r="CJ14" s="6">
        <v>9.9</v>
      </c>
    </row>
    <row r="15" spans="1:88" x14ac:dyDescent="0.3">
      <c r="A15" t="s">
        <v>381</v>
      </c>
      <c r="B15" t="s">
        <v>1344</v>
      </c>
      <c r="C15" t="s">
        <v>399</v>
      </c>
      <c r="D15" t="s">
        <v>1345</v>
      </c>
      <c r="E15" t="s">
        <v>399</v>
      </c>
      <c r="F15" t="b">
        <v>1</v>
      </c>
      <c r="G15">
        <v>60.8</v>
      </c>
      <c r="H15">
        <v>0</v>
      </c>
      <c r="I15">
        <v>14246</v>
      </c>
      <c r="J15" s="61" t="s">
        <v>18</v>
      </c>
      <c r="K15" s="77" t="s">
        <v>273</v>
      </c>
      <c r="L15" s="77">
        <v>2</v>
      </c>
      <c r="M15" s="77" t="s">
        <v>333</v>
      </c>
      <c r="N15" s="77" t="s">
        <v>278</v>
      </c>
      <c r="O15" s="77" t="s">
        <v>281</v>
      </c>
      <c r="P15" s="77" t="s">
        <v>283</v>
      </c>
      <c r="Q15" s="77" t="s">
        <v>371</v>
      </c>
      <c r="R15" s="77" t="s">
        <v>371</v>
      </c>
      <c r="S15" s="77" t="s">
        <v>341</v>
      </c>
      <c r="T15" s="77" t="s">
        <v>340</v>
      </c>
      <c r="U15" s="77" t="s">
        <v>343</v>
      </c>
      <c r="V15" s="77" t="s">
        <v>344</v>
      </c>
      <c r="W15" s="78" t="s">
        <v>347</v>
      </c>
      <c r="AA15" t="s">
        <v>399</v>
      </c>
      <c r="AB15" s="77" t="s">
        <v>273</v>
      </c>
      <c r="AC15" s="6">
        <v>2</v>
      </c>
      <c r="AD15" s="29" t="str">
        <f t="shared" si="2"/>
        <v>missing_section/right</v>
      </c>
      <c r="AE15" t="s">
        <v>1546</v>
      </c>
      <c r="AF15" t="s">
        <v>1567</v>
      </c>
      <c r="AG15" s="29" t="s">
        <v>1571</v>
      </c>
      <c r="AH15" s="29">
        <f t="shared" si="3"/>
        <v>0.94000000000000006</v>
      </c>
      <c r="AI15" s="29">
        <f t="shared" si="4"/>
        <v>0.89000000000000012</v>
      </c>
      <c r="AJ15" s="29">
        <f t="shared" si="5"/>
        <v>2.0750000000000002</v>
      </c>
      <c r="AK15" s="29">
        <f t="shared" si="6"/>
        <v>2.2999999999999998</v>
      </c>
      <c r="AL15" s="29">
        <f t="shared" si="7"/>
        <v>0.32000000000000006</v>
      </c>
      <c r="AM15" s="29">
        <f t="shared" si="8"/>
        <v>2.375</v>
      </c>
      <c r="AN15" s="77">
        <f t="shared" si="9"/>
        <v>8.9</v>
      </c>
      <c r="BC15" s="6"/>
      <c r="BF15" s="6"/>
      <c r="BG15" t="s">
        <v>1546</v>
      </c>
      <c r="BH15">
        <f t="shared" si="16"/>
        <v>8</v>
      </c>
      <c r="BI15" s="6">
        <f t="shared" si="17"/>
        <v>9.1999999999999993</v>
      </c>
      <c r="BT15" s="6"/>
      <c r="BU15" s="6"/>
      <c r="BW15" s="6"/>
      <c r="BX15" s="6"/>
      <c r="CD15" s="6"/>
      <c r="CG15" s="6"/>
      <c r="CH15" t="s">
        <v>1546</v>
      </c>
      <c r="CI15">
        <v>8</v>
      </c>
      <c r="CJ15" s="6">
        <v>9.1999999999999993</v>
      </c>
    </row>
    <row r="16" spans="1:88" x14ac:dyDescent="0.3">
      <c r="A16" t="s">
        <v>381</v>
      </c>
      <c r="B16" t="s">
        <v>1344</v>
      </c>
      <c r="C16" t="s">
        <v>393</v>
      </c>
      <c r="D16" t="s">
        <v>1345</v>
      </c>
      <c r="E16" t="s">
        <v>393</v>
      </c>
      <c r="F16" t="b">
        <v>1</v>
      </c>
      <c r="G16">
        <v>84.7</v>
      </c>
      <c r="H16">
        <v>0</v>
      </c>
      <c r="I16">
        <v>8253</v>
      </c>
      <c r="J16" s="61" t="s">
        <v>13</v>
      </c>
      <c r="K16" s="77" t="s">
        <v>272</v>
      </c>
      <c r="L16" s="77">
        <v>3</v>
      </c>
      <c r="M16" s="77" t="s">
        <v>277</v>
      </c>
      <c r="N16" s="77" t="s">
        <v>335</v>
      </c>
      <c r="O16" s="77" t="s">
        <v>282</v>
      </c>
      <c r="P16" s="77" t="s">
        <v>371</v>
      </c>
      <c r="Q16" s="77" t="s">
        <v>371</v>
      </c>
      <c r="R16" s="77" t="s">
        <v>371</v>
      </c>
      <c r="S16" s="77" t="s">
        <v>341</v>
      </c>
      <c r="T16" s="77" t="s">
        <v>342</v>
      </c>
      <c r="U16" s="77" t="s">
        <v>343</v>
      </c>
      <c r="V16" s="77" t="s">
        <v>345</v>
      </c>
      <c r="W16" s="78" t="s">
        <v>344</v>
      </c>
      <c r="AA16" t="s">
        <v>393</v>
      </c>
      <c r="AB16" s="77" t="s">
        <v>272</v>
      </c>
      <c r="AC16" s="6">
        <v>3</v>
      </c>
      <c r="AD16" s="29" t="str">
        <f t="shared" si="2"/>
        <v>continuous/fully_connected</v>
      </c>
      <c r="AE16" t="s">
        <v>282</v>
      </c>
      <c r="AF16" t="s">
        <v>1566</v>
      </c>
      <c r="AG16" s="29" t="s">
        <v>1574</v>
      </c>
      <c r="AH16" s="29">
        <f t="shared" si="3"/>
        <v>0.06</v>
      </c>
      <c r="AI16" s="29">
        <f t="shared" si="4"/>
        <v>0.12</v>
      </c>
      <c r="AJ16" s="29">
        <f t="shared" si="5"/>
        <v>0.67500000000000004</v>
      </c>
      <c r="AK16" s="29">
        <f t="shared" si="6"/>
        <v>1.925</v>
      </c>
      <c r="AL16" s="29">
        <f t="shared" si="7"/>
        <v>0.27</v>
      </c>
      <c r="AM16" s="29">
        <f t="shared" si="8"/>
        <v>2.375</v>
      </c>
      <c r="AN16" s="77">
        <f t="shared" si="9"/>
        <v>5.4250000000000007</v>
      </c>
      <c r="BC16" s="6"/>
      <c r="BF16" s="6"/>
      <c r="BG16" s="29" t="s">
        <v>1547</v>
      </c>
      <c r="BH16">
        <f t="shared" si="16"/>
        <v>6</v>
      </c>
      <c r="BI16" s="6">
        <f t="shared" si="17"/>
        <v>9.4</v>
      </c>
      <c r="BT16" s="6"/>
      <c r="BU16" s="6"/>
      <c r="BW16" s="6"/>
      <c r="BX16" s="6"/>
      <c r="CD16" s="6"/>
      <c r="CG16" s="6"/>
      <c r="CH16" s="29" t="s">
        <v>1547</v>
      </c>
      <c r="CI16">
        <v>6</v>
      </c>
      <c r="CJ16" s="6">
        <v>9.4</v>
      </c>
    </row>
    <row r="17" spans="1:88" x14ac:dyDescent="0.3">
      <c r="A17" t="s">
        <v>381</v>
      </c>
      <c r="B17" t="s">
        <v>1344</v>
      </c>
      <c r="C17" t="s">
        <v>453</v>
      </c>
      <c r="D17" t="s">
        <v>1345</v>
      </c>
      <c r="E17" t="s">
        <v>453</v>
      </c>
      <c r="F17" t="b">
        <v>1</v>
      </c>
      <c r="G17">
        <v>100</v>
      </c>
      <c r="H17">
        <v>1</v>
      </c>
      <c r="I17">
        <v>15137</v>
      </c>
      <c r="J17" s="61" t="s">
        <v>18</v>
      </c>
      <c r="K17" s="77" t="s">
        <v>273</v>
      </c>
      <c r="L17" s="77">
        <v>2</v>
      </c>
      <c r="M17" s="77" t="s">
        <v>333</v>
      </c>
      <c r="N17" s="77" t="s">
        <v>278</v>
      </c>
      <c r="O17" s="77" t="s">
        <v>283</v>
      </c>
      <c r="P17" s="77" t="s">
        <v>284</v>
      </c>
      <c r="Q17" s="77" t="s">
        <v>371</v>
      </c>
      <c r="R17" s="77" t="s">
        <v>371</v>
      </c>
      <c r="S17" s="77" t="s">
        <v>341</v>
      </c>
      <c r="T17" s="77" t="s">
        <v>342</v>
      </c>
      <c r="U17" s="77" t="s">
        <v>343</v>
      </c>
      <c r="V17" s="77" t="s">
        <v>291</v>
      </c>
      <c r="W17" s="78" t="s">
        <v>371</v>
      </c>
      <c r="AA17" t="s">
        <v>453</v>
      </c>
      <c r="AB17" s="77" t="s">
        <v>273</v>
      </c>
      <c r="AC17" s="6">
        <v>2</v>
      </c>
      <c r="AD17" s="29" t="str">
        <f t="shared" si="2"/>
        <v>missing_section/right</v>
      </c>
      <c r="AE17" t="s">
        <v>1542</v>
      </c>
      <c r="AF17" t="s">
        <v>1566</v>
      </c>
      <c r="AG17" s="29" t="s">
        <v>291</v>
      </c>
      <c r="AH17" s="29">
        <f t="shared" si="3"/>
        <v>0.94000000000000006</v>
      </c>
      <c r="AI17" s="29">
        <f t="shared" si="4"/>
        <v>0.89000000000000012</v>
      </c>
      <c r="AJ17" s="29">
        <f t="shared" si="5"/>
        <v>2.0750000000000002</v>
      </c>
      <c r="AK17" s="29">
        <f t="shared" si="6"/>
        <v>2.35</v>
      </c>
      <c r="AL17" s="29">
        <f t="shared" si="7"/>
        <v>0.27</v>
      </c>
      <c r="AM17" s="29">
        <f t="shared" si="8"/>
        <v>2.125</v>
      </c>
      <c r="AN17" s="77">
        <f t="shared" si="9"/>
        <v>8.65</v>
      </c>
      <c r="BC17" s="6"/>
      <c r="BF17" s="6"/>
      <c r="BG17" t="s">
        <v>1532</v>
      </c>
      <c r="BH17">
        <f t="shared" si="16"/>
        <v>1</v>
      </c>
      <c r="BI17" s="6">
        <f t="shared" si="17"/>
        <v>9.9</v>
      </c>
      <c r="BT17" s="6"/>
      <c r="BU17" s="6"/>
      <c r="BW17" s="6"/>
      <c r="BX17" s="6"/>
      <c r="CD17" s="6"/>
      <c r="CG17" s="6"/>
      <c r="CH17" t="s">
        <v>1600</v>
      </c>
      <c r="CI17">
        <v>1</v>
      </c>
      <c r="CJ17" s="6">
        <v>9.9</v>
      </c>
    </row>
    <row r="18" spans="1:88" x14ac:dyDescent="0.3">
      <c r="A18" t="s">
        <v>381</v>
      </c>
      <c r="B18" t="s">
        <v>1344</v>
      </c>
      <c r="C18" t="s">
        <v>462</v>
      </c>
      <c r="D18" t="s">
        <v>1345</v>
      </c>
      <c r="E18" t="s">
        <v>462</v>
      </c>
      <c r="F18" t="b">
        <v>1</v>
      </c>
      <c r="G18">
        <v>94.5</v>
      </c>
      <c r="H18">
        <v>0</v>
      </c>
      <c r="I18">
        <v>10455</v>
      </c>
      <c r="J18" s="61" t="s">
        <v>13</v>
      </c>
      <c r="K18" s="77" t="s">
        <v>272</v>
      </c>
      <c r="L18" s="77">
        <v>2</v>
      </c>
      <c r="M18" s="77" t="s">
        <v>277</v>
      </c>
      <c r="N18" s="77" t="s">
        <v>335</v>
      </c>
      <c r="O18" s="77" t="s">
        <v>283</v>
      </c>
      <c r="P18" s="77" t="s">
        <v>281</v>
      </c>
      <c r="Q18" s="77" t="s">
        <v>284</v>
      </c>
      <c r="R18" s="77" t="s">
        <v>371</v>
      </c>
      <c r="S18" s="77" t="s">
        <v>341</v>
      </c>
      <c r="T18" s="77" t="s">
        <v>340</v>
      </c>
      <c r="U18" s="77" t="s">
        <v>340</v>
      </c>
      <c r="V18" s="77" t="s">
        <v>345</v>
      </c>
      <c r="W18" s="78" t="s">
        <v>371</v>
      </c>
      <c r="AA18" t="s">
        <v>462</v>
      </c>
      <c r="AB18" s="77" t="s">
        <v>272</v>
      </c>
      <c r="AC18" s="6">
        <v>2</v>
      </c>
      <c r="AD18" s="29" t="str">
        <f t="shared" si="2"/>
        <v>continuous/fully_connected</v>
      </c>
      <c r="AE18" t="s">
        <v>1547</v>
      </c>
      <c r="AF18" t="s">
        <v>341</v>
      </c>
      <c r="AG18" s="29" t="s">
        <v>345</v>
      </c>
      <c r="AH18" s="29">
        <f t="shared" si="3"/>
        <v>0.06</v>
      </c>
      <c r="AI18" s="29">
        <f t="shared" si="4"/>
        <v>0.89000000000000012</v>
      </c>
      <c r="AJ18" s="29">
        <f t="shared" si="5"/>
        <v>0.67500000000000004</v>
      </c>
      <c r="AK18" s="29">
        <f t="shared" si="6"/>
        <v>2.35</v>
      </c>
      <c r="AL18" s="29">
        <f t="shared" si="7"/>
        <v>0.48</v>
      </c>
      <c r="AM18" s="29">
        <f t="shared" si="8"/>
        <v>1.7749999999999999</v>
      </c>
      <c r="AN18" s="77">
        <f t="shared" si="9"/>
        <v>6.23</v>
      </c>
      <c r="BC18" s="6"/>
      <c r="BF18" s="6"/>
      <c r="BG18" t="s">
        <v>1548</v>
      </c>
      <c r="BH18">
        <f t="shared" si="16"/>
        <v>1</v>
      </c>
      <c r="BI18" s="6">
        <f t="shared" si="17"/>
        <v>9.9</v>
      </c>
      <c r="BT18" s="6"/>
      <c r="BU18" s="6"/>
      <c r="BW18" s="6"/>
      <c r="BX18" s="6"/>
      <c r="CD18" s="6"/>
      <c r="CG18" s="6"/>
      <c r="CH18" t="s">
        <v>1601</v>
      </c>
      <c r="CI18">
        <v>1</v>
      </c>
      <c r="CJ18" s="6">
        <v>9.9</v>
      </c>
    </row>
    <row r="19" spans="1:88" x14ac:dyDescent="0.3">
      <c r="A19" t="s">
        <v>381</v>
      </c>
      <c r="B19" t="s">
        <v>1344</v>
      </c>
      <c r="C19" t="s">
        <v>597</v>
      </c>
      <c r="D19" t="s">
        <v>1345</v>
      </c>
      <c r="E19" t="s">
        <v>597</v>
      </c>
      <c r="F19" t="b">
        <v>1</v>
      </c>
      <c r="G19">
        <v>99.9</v>
      </c>
      <c r="H19">
        <v>0</v>
      </c>
      <c r="I19">
        <v>9096</v>
      </c>
      <c r="J19" s="61" t="s">
        <v>13</v>
      </c>
      <c r="K19" s="77" t="s">
        <v>272</v>
      </c>
      <c r="L19" s="77">
        <v>3</v>
      </c>
      <c r="M19" s="77" t="s">
        <v>277</v>
      </c>
      <c r="N19" s="77" t="s">
        <v>335</v>
      </c>
      <c r="O19" s="77" t="s">
        <v>282</v>
      </c>
      <c r="P19" s="77" t="s">
        <v>371</v>
      </c>
      <c r="Q19" s="77" t="s">
        <v>371</v>
      </c>
      <c r="R19" s="77" t="s">
        <v>371</v>
      </c>
      <c r="S19" s="77" t="s">
        <v>341</v>
      </c>
      <c r="T19" s="77" t="s">
        <v>342</v>
      </c>
      <c r="U19" s="77" t="s">
        <v>343</v>
      </c>
      <c r="V19" s="77" t="s">
        <v>345</v>
      </c>
      <c r="W19" s="78" t="s">
        <v>291</v>
      </c>
      <c r="AA19" t="s">
        <v>597</v>
      </c>
      <c r="AB19" s="77" t="s">
        <v>272</v>
      </c>
      <c r="AC19" s="6">
        <v>3</v>
      </c>
      <c r="AD19" s="29" t="str">
        <f t="shared" si="2"/>
        <v>continuous/fully_connected</v>
      </c>
      <c r="AE19" t="s">
        <v>282</v>
      </c>
      <c r="AF19" t="s">
        <v>1566</v>
      </c>
      <c r="AG19" s="29" t="s">
        <v>1572</v>
      </c>
      <c r="AH19" s="29">
        <f t="shared" si="3"/>
        <v>0.06</v>
      </c>
      <c r="AI19" s="29">
        <f t="shared" si="4"/>
        <v>0.12</v>
      </c>
      <c r="AJ19" s="29">
        <f t="shared" si="5"/>
        <v>0.67500000000000004</v>
      </c>
      <c r="AK19" s="29">
        <f t="shared" si="6"/>
        <v>1.925</v>
      </c>
      <c r="AL19" s="29">
        <f t="shared" si="7"/>
        <v>0.27</v>
      </c>
      <c r="AM19" s="29">
        <f t="shared" si="8"/>
        <v>2.4500000000000002</v>
      </c>
      <c r="AN19" s="77">
        <f t="shared" si="9"/>
        <v>5.5</v>
      </c>
      <c r="BC19" s="6"/>
      <c r="BF19" s="6"/>
      <c r="BG19" t="s">
        <v>1549</v>
      </c>
      <c r="BH19">
        <f t="shared" si="16"/>
        <v>1</v>
      </c>
      <c r="BI19" s="6">
        <f t="shared" si="17"/>
        <v>9.9</v>
      </c>
      <c r="BT19" s="6"/>
      <c r="BU19" s="6"/>
      <c r="BW19" s="6"/>
      <c r="BX19" s="6"/>
      <c r="CD19" s="6"/>
      <c r="CG19" s="6"/>
      <c r="CH19" t="s">
        <v>1602</v>
      </c>
      <c r="CI19">
        <v>1</v>
      </c>
      <c r="CJ19" s="6">
        <v>9.9</v>
      </c>
    </row>
    <row r="20" spans="1:88" x14ac:dyDescent="0.3">
      <c r="A20" t="s">
        <v>381</v>
      </c>
      <c r="B20" t="s">
        <v>1344</v>
      </c>
      <c r="C20" t="s">
        <v>438</v>
      </c>
      <c r="D20" t="s">
        <v>1345</v>
      </c>
      <c r="E20" t="s">
        <v>438</v>
      </c>
      <c r="F20" t="b">
        <v>1</v>
      </c>
      <c r="G20">
        <v>100</v>
      </c>
      <c r="H20">
        <v>1</v>
      </c>
      <c r="I20">
        <v>14895</v>
      </c>
      <c r="J20" s="61" t="s">
        <v>18</v>
      </c>
      <c r="K20" s="77" t="s">
        <v>272</v>
      </c>
      <c r="L20" s="77">
        <v>3</v>
      </c>
      <c r="M20" s="77" t="s">
        <v>277</v>
      </c>
      <c r="N20" s="77" t="s">
        <v>335</v>
      </c>
      <c r="O20" s="77" t="s">
        <v>282</v>
      </c>
      <c r="P20" s="77" t="s">
        <v>284</v>
      </c>
      <c r="Q20" s="77" t="s">
        <v>371</v>
      </c>
      <c r="R20" s="77" t="s">
        <v>371</v>
      </c>
      <c r="S20" s="77" t="s">
        <v>341</v>
      </c>
      <c r="T20" s="77" t="s">
        <v>340</v>
      </c>
      <c r="U20" s="77" t="s">
        <v>343</v>
      </c>
      <c r="V20" s="77" t="s">
        <v>344</v>
      </c>
      <c r="W20" s="78" t="s">
        <v>371</v>
      </c>
      <c r="AA20" t="s">
        <v>438</v>
      </c>
      <c r="AB20" s="77" t="s">
        <v>272</v>
      </c>
      <c r="AC20" s="6">
        <v>3</v>
      </c>
      <c r="AD20" s="29" t="str">
        <f t="shared" si="2"/>
        <v>continuous/fully_connected</v>
      </c>
      <c r="AE20" t="s">
        <v>1534</v>
      </c>
      <c r="AF20" t="s">
        <v>1567</v>
      </c>
      <c r="AG20" s="29" t="s">
        <v>344</v>
      </c>
      <c r="AH20" s="29">
        <f t="shared" si="3"/>
        <v>0.06</v>
      </c>
      <c r="AI20" s="29">
        <f t="shared" si="4"/>
        <v>0.12</v>
      </c>
      <c r="AJ20" s="29">
        <f t="shared" si="5"/>
        <v>0.67500000000000004</v>
      </c>
      <c r="AK20" s="29">
        <f t="shared" si="6"/>
        <v>2.4500000000000002</v>
      </c>
      <c r="AL20" s="29">
        <f t="shared" si="7"/>
        <v>0.32000000000000006</v>
      </c>
      <c r="AM20" s="29">
        <f t="shared" si="8"/>
        <v>1.825</v>
      </c>
      <c r="AN20" s="77">
        <f t="shared" si="9"/>
        <v>5.45</v>
      </c>
      <c r="BC20" s="6"/>
      <c r="BF20" s="6"/>
      <c r="BG20" t="s">
        <v>1550</v>
      </c>
      <c r="BH20">
        <f t="shared" si="16"/>
        <v>1</v>
      </c>
      <c r="BI20" s="6">
        <f t="shared" si="17"/>
        <v>9.9</v>
      </c>
      <c r="BT20" s="6"/>
      <c r="BU20" s="6"/>
      <c r="BW20" s="6"/>
      <c r="BX20" s="6"/>
      <c r="CD20" s="6"/>
      <c r="CG20" s="6"/>
      <c r="CH20" t="s">
        <v>1603</v>
      </c>
      <c r="CI20">
        <v>1</v>
      </c>
      <c r="CJ20" s="6">
        <v>9.9</v>
      </c>
    </row>
    <row r="21" spans="1:88" x14ac:dyDescent="0.3">
      <c r="A21" t="s">
        <v>381</v>
      </c>
      <c r="B21" t="s">
        <v>1344</v>
      </c>
      <c r="C21" t="s">
        <v>534</v>
      </c>
      <c r="D21" t="s">
        <v>1345</v>
      </c>
      <c r="E21" t="s">
        <v>534</v>
      </c>
      <c r="F21" t="b">
        <v>1</v>
      </c>
      <c r="G21">
        <v>98.3</v>
      </c>
      <c r="H21">
        <v>0</v>
      </c>
      <c r="I21">
        <v>14613</v>
      </c>
      <c r="J21" s="61" t="s">
        <v>13</v>
      </c>
      <c r="K21" s="77" t="s">
        <v>272</v>
      </c>
      <c r="L21" s="77">
        <v>3</v>
      </c>
      <c r="M21" s="77" t="s">
        <v>333</v>
      </c>
      <c r="N21" s="77" t="s">
        <v>278</v>
      </c>
      <c r="O21" s="77" t="s">
        <v>281</v>
      </c>
      <c r="P21" s="77" t="s">
        <v>283</v>
      </c>
      <c r="Q21" s="77" t="s">
        <v>371</v>
      </c>
      <c r="R21" s="77" t="s">
        <v>371</v>
      </c>
      <c r="S21" s="77" t="s">
        <v>341</v>
      </c>
      <c r="T21" s="77" t="s">
        <v>340</v>
      </c>
      <c r="U21" s="77" t="s">
        <v>343</v>
      </c>
      <c r="V21" s="77" t="s">
        <v>344</v>
      </c>
      <c r="W21" s="78" t="s">
        <v>291</v>
      </c>
      <c r="AA21" t="s">
        <v>534</v>
      </c>
      <c r="AB21" s="77" t="s">
        <v>272</v>
      </c>
      <c r="AC21" s="6">
        <v>3</v>
      </c>
      <c r="AD21" s="29" t="str">
        <f t="shared" si="2"/>
        <v>missing_section/right</v>
      </c>
      <c r="AE21" t="s">
        <v>1546</v>
      </c>
      <c r="AF21" t="s">
        <v>1567</v>
      </c>
      <c r="AG21" s="29" t="s">
        <v>1570</v>
      </c>
      <c r="AH21" s="29">
        <f t="shared" si="3"/>
        <v>0.06</v>
      </c>
      <c r="AI21" s="29">
        <f t="shared" si="4"/>
        <v>0.12</v>
      </c>
      <c r="AJ21" s="29">
        <f t="shared" si="5"/>
        <v>2.0750000000000002</v>
      </c>
      <c r="AK21" s="29">
        <f t="shared" si="6"/>
        <v>2.2999999999999998</v>
      </c>
      <c r="AL21" s="29">
        <f t="shared" si="7"/>
        <v>0.32000000000000006</v>
      </c>
      <c r="AM21" s="29">
        <f t="shared" si="8"/>
        <v>2.35</v>
      </c>
      <c r="AN21" s="77">
        <f t="shared" si="9"/>
        <v>7.2249999999999996</v>
      </c>
      <c r="BC21" s="6"/>
      <c r="BF21" s="6"/>
      <c r="BG21" t="s">
        <v>1551</v>
      </c>
      <c r="BH21">
        <f t="shared" si="16"/>
        <v>2</v>
      </c>
      <c r="BI21" s="6">
        <f t="shared" si="17"/>
        <v>9.8000000000000007</v>
      </c>
      <c r="BT21" s="6"/>
      <c r="BU21" s="6"/>
      <c r="BW21" s="6"/>
      <c r="BX21" s="6"/>
      <c r="CD21" s="6"/>
      <c r="CG21" s="6"/>
      <c r="CH21" t="s">
        <v>1604</v>
      </c>
      <c r="CI21">
        <v>2</v>
      </c>
      <c r="CJ21" s="6">
        <v>9.8000000000000007</v>
      </c>
    </row>
    <row r="22" spans="1:88" x14ac:dyDescent="0.3">
      <c r="A22" t="s">
        <v>381</v>
      </c>
      <c r="B22" t="s">
        <v>1344</v>
      </c>
      <c r="C22" t="s">
        <v>576</v>
      </c>
      <c r="D22" t="s">
        <v>1345</v>
      </c>
      <c r="E22" t="s">
        <v>576</v>
      </c>
      <c r="F22" t="b">
        <v>1</v>
      </c>
      <c r="G22">
        <v>100</v>
      </c>
      <c r="H22">
        <v>1</v>
      </c>
      <c r="I22">
        <v>6800</v>
      </c>
      <c r="J22" s="61" t="s">
        <v>18</v>
      </c>
      <c r="K22" s="77" t="s">
        <v>272</v>
      </c>
      <c r="L22" s="77">
        <v>1</v>
      </c>
      <c r="M22" s="77" t="s">
        <v>277</v>
      </c>
      <c r="N22" s="77" t="s">
        <v>336</v>
      </c>
      <c r="O22" s="77" t="s">
        <v>283</v>
      </c>
      <c r="P22" s="77" t="s">
        <v>284</v>
      </c>
      <c r="Q22" s="77" t="s">
        <v>371</v>
      </c>
      <c r="R22" s="77" t="s">
        <v>371</v>
      </c>
      <c r="S22" s="77" t="s">
        <v>340</v>
      </c>
      <c r="T22" s="77" t="s">
        <v>340</v>
      </c>
      <c r="U22" s="77" t="s">
        <v>340</v>
      </c>
      <c r="V22" s="77" t="s">
        <v>348</v>
      </c>
      <c r="W22" s="78" t="s">
        <v>371</v>
      </c>
      <c r="AA22" t="s">
        <v>576</v>
      </c>
      <c r="AB22" s="77" t="s">
        <v>272</v>
      </c>
      <c r="AC22" s="6">
        <v>1</v>
      </c>
      <c r="AD22" s="29" t="str">
        <f t="shared" si="2"/>
        <v>continuous/right_overhang</v>
      </c>
      <c r="AE22" t="s">
        <v>1542</v>
      </c>
      <c r="AF22" t="s">
        <v>340</v>
      </c>
      <c r="AG22" s="29" t="s">
        <v>348</v>
      </c>
      <c r="AH22" s="29">
        <f t="shared" si="3"/>
        <v>0.06</v>
      </c>
      <c r="AI22" s="29">
        <f t="shared" si="4"/>
        <v>0.9900000000000001</v>
      </c>
      <c r="AJ22" s="29">
        <f t="shared" si="5"/>
        <v>2.375</v>
      </c>
      <c r="AK22" s="29">
        <f t="shared" si="6"/>
        <v>2.35</v>
      </c>
      <c r="AL22" s="29">
        <f t="shared" si="7"/>
        <v>0.49500000000000005</v>
      </c>
      <c r="AM22" s="29">
        <f t="shared" si="8"/>
        <v>2.4750000000000001</v>
      </c>
      <c r="AN22" s="77">
        <f t="shared" si="9"/>
        <v>8.745000000000001</v>
      </c>
      <c r="BC22" s="6"/>
      <c r="BF22" s="6"/>
      <c r="BG22" s="29" t="s">
        <v>287</v>
      </c>
      <c r="BH22">
        <f t="shared" si="16"/>
        <v>1</v>
      </c>
      <c r="BI22" s="6">
        <f t="shared" si="17"/>
        <v>9.9</v>
      </c>
      <c r="BT22" s="6"/>
      <c r="BU22" s="6"/>
      <c r="BW22" s="6"/>
      <c r="BX22" s="6"/>
      <c r="CD22" s="6"/>
      <c r="CG22" s="6"/>
      <c r="CH22" s="29" t="s">
        <v>287</v>
      </c>
      <c r="CI22">
        <v>1</v>
      </c>
      <c r="CJ22" s="6">
        <v>9.9</v>
      </c>
    </row>
    <row r="23" spans="1:88" x14ac:dyDescent="0.3">
      <c r="A23" t="s">
        <v>381</v>
      </c>
      <c r="B23" t="s">
        <v>1344</v>
      </c>
      <c r="C23" t="s">
        <v>492</v>
      </c>
      <c r="D23" t="s">
        <v>1345</v>
      </c>
      <c r="E23" t="s">
        <v>492</v>
      </c>
      <c r="F23" t="b">
        <v>1</v>
      </c>
      <c r="G23">
        <v>96.24</v>
      </c>
      <c r="H23">
        <v>0</v>
      </c>
      <c r="I23">
        <v>21436</v>
      </c>
      <c r="J23" s="61" t="s">
        <v>13</v>
      </c>
      <c r="K23" s="77" t="s">
        <v>272</v>
      </c>
      <c r="L23" s="77">
        <v>3</v>
      </c>
      <c r="M23" s="77" t="s">
        <v>277</v>
      </c>
      <c r="N23" s="77" t="s">
        <v>335</v>
      </c>
      <c r="O23" s="77" t="s">
        <v>283</v>
      </c>
      <c r="P23" s="77" t="s">
        <v>286</v>
      </c>
      <c r="Q23" s="77" t="s">
        <v>282</v>
      </c>
      <c r="R23" s="77" t="s">
        <v>371</v>
      </c>
      <c r="S23" s="77" t="s">
        <v>341</v>
      </c>
      <c r="T23" s="77" t="s">
        <v>340</v>
      </c>
      <c r="U23" s="77" t="s">
        <v>343</v>
      </c>
      <c r="V23" s="77" t="s">
        <v>344</v>
      </c>
      <c r="W23" s="78" t="s">
        <v>347</v>
      </c>
      <c r="AA23" t="s">
        <v>492</v>
      </c>
      <c r="AB23" s="77" t="s">
        <v>272</v>
      </c>
      <c r="AC23" s="6">
        <v>3</v>
      </c>
      <c r="AD23" s="29" t="str">
        <f t="shared" si="2"/>
        <v>continuous/fully_connected</v>
      </c>
      <c r="AE23" t="s">
        <v>1544</v>
      </c>
      <c r="AF23" t="s">
        <v>1567</v>
      </c>
      <c r="AG23" s="29" t="s">
        <v>1571</v>
      </c>
      <c r="AH23" s="29">
        <f t="shared" si="3"/>
        <v>0.06</v>
      </c>
      <c r="AI23" s="29">
        <f t="shared" si="4"/>
        <v>0.12</v>
      </c>
      <c r="AJ23" s="29">
        <f t="shared" si="5"/>
        <v>0.67500000000000004</v>
      </c>
      <c r="AK23" s="29">
        <f t="shared" si="6"/>
        <v>2.4750000000000001</v>
      </c>
      <c r="AL23" s="29">
        <f t="shared" si="7"/>
        <v>0.32000000000000006</v>
      </c>
      <c r="AM23" s="29">
        <f t="shared" si="8"/>
        <v>2.375</v>
      </c>
      <c r="AN23" s="77">
        <f t="shared" si="9"/>
        <v>6.0250000000000004</v>
      </c>
      <c r="BC23" s="6"/>
      <c r="BF23" s="6"/>
      <c r="BG23" s="29" t="s">
        <v>273</v>
      </c>
      <c r="BH23">
        <f t="shared" si="16"/>
        <v>3</v>
      </c>
      <c r="BI23" s="6">
        <f t="shared" si="17"/>
        <v>9.6999999999999993</v>
      </c>
      <c r="BT23" s="6"/>
      <c r="BU23" s="6"/>
      <c r="BW23" s="6"/>
      <c r="BX23" s="6"/>
      <c r="CD23" s="6"/>
      <c r="CG23" s="6"/>
      <c r="CH23" s="29" t="s">
        <v>273</v>
      </c>
      <c r="CI23">
        <v>3</v>
      </c>
      <c r="CJ23" s="6">
        <v>9.6999999999999993</v>
      </c>
    </row>
    <row r="24" spans="1:88" x14ac:dyDescent="0.3">
      <c r="A24" t="s">
        <v>381</v>
      </c>
      <c r="B24" t="s">
        <v>1344</v>
      </c>
      <c r="C24" t="s">
        <v>645</v>
      </c>
      <c r="D24" t="s">
        <v>1345</v>
      </c>
      <c r="E24" t="s">
        <v>645</v>
      </c>
      <c r="F24" t="b">
        <v>1</v>
      </c>
      <c r="G24">
        <v>55.35</v>
      </c>
      <c r="H24">
        <v>0</v>
      </c>
      <c r="I24">
        <v>12001</v>
      </c>
      <c r="J24" s="61" t="s">
        <v>13</v>
      </c>
      <c r="K24" s="77" t="s">
        <v>272</v>
      </c>
      <c r="L24" s="77">
        <v>3</v>
      </c>
      <c r="M24" s="77" t="s">
        <v>277</v>
      </c>
      <c r="N24" s="77" t="s">
        <v>335</v>
      </c>
      <c r="O24" s="77" t="s">
        <v>282</v>
      </c>
      <c r="P24" s="77" t="s">
        <v>371</v>
      </c>
      <c r="Q24" s="77" t="s">
        <v>371</v>
      </c>
      <c r="R24" s="77" t="s">
        <v>371</v>
      </c>
      <c r="S24" s="77" t="s">
        <v>341</v>
      </c>
      <c r="T24" s="77" t="s">
        <v>340</v>
      </c>
      <c r="U24" s="77" t="s">
        <v>343</v>
      </c>
      <c r="V24" s="77" t="s">
        <v>344</v>
      </c>
      <c r="W24" s="78" t="s">
        <v>371</v>
      </c>
      <c r="AA24" t="s">
        <v>645</v>
      </c>
      <c r="AB24" s="77" t="s">
        <v>272</v>
      </c>
      <c r="AC24" s="6">
        <v>3</v>
      </c>
      <c r="AD24" s="29" t="str">
        <f t="shared" si="2"/>
        <v>continuous/fully_connected</v>
      </c>
      <c r="AE24" t="s">
        <v>282</v>
      </c>
      <c r="AF24" t="s">
        <v>1567</v>
      </c>
      <c r="AG24" s="29" t="s">
        <v>344</v>
      </c>
      <c r="AH24" s="29">
        <f t="shared" si="3"/>
        <v>0.06</v>
      </c>
      <c r="AI24" s="29">
        <f t="shared" si="4"/>
        <v>0.12</v>
      </c>
      <c r="AJ24" s="29">
        <f t="shared" si="5"/>
        <v>0.67500000000000004</v>
      </c>
      <c r="AK24" s="29">
        <f t="shared" si="6"/>
        <v>1.925</v>
      </c>
      <c r="AL24" s="29">
        <f t="shared" si="7"/>
        <v>0.32000000000000006</v>
      </c>
      <c r="AM24" s="29">
        <f t="shared" si="8"/>
        <v>1.825</v>
      </c>
      <c r="AN24" s="77">
        <f t="shared" si="9"/>
        <v>4.9250000000000007</v>
      </c>
      <c r="BC24" s="6"/>
      <c r="BF24" s="6"/>
      <c r="BG24" t="s">
        <v>1552</v>
      </c>
      <c r="BH24">
        <f t="shared" si="16"/>
        <v>3</v>
      </c>
      <c r="BI24" s="6">
        <f t="shared" si="17"/>
        <v>9.6999999999999993</v>
      </c>
      <c r="BT24" s="6"/>
      <c r="BU24" s="6"/>
      <c r="BW24" s="6"/>
      <c r="BX24" s="6"/>
      <c r="CD24" s="6"/>
      <c r="CG24" s="6"/>
      <c r="CH24" t="s">
        <v>1552</v>
      </c>
      <c r="CI24">
        <v>3</v>
      </c>
      <c r="CJ24" s="6">
        <v>9.6999999999999993</v>
      </c>
    </row>
    <row r="25" spans="1:88" x14ac:dyDescent="0.3">
      <c r="A25" t="s">
        <v>381</v>
      </c>
      <c r="B25" t="s">
        <v>1344</v>
      </c>
      <c r="C25" t="s">
        <v>387</v>
      </c>
      <c r="D25" t="s">
        <v>1345</v>
      </c>
      <c r="E25" t="s">
        <v>387</v>
      </c>
      <c r="F25" t="b">
        <v>1</v>
      </c>
      <c r="G25">
        <v>99.83</v>
      </c>
      <c r="H25">
        <v>0</v>
      </c>
      <c r="I25">
        <v>8739</v>
      </c>
      <c r="J25" s="61" t="s">
        <v>13</v>
      </c>
      <c r="K25" s="77" t="s">
        <v>272</v>
      </c>
      <c r="L25" s="77">
        <v>3</v>
      </c>
      <c r="M25" s="77" t="s">
        <v>277</v>
      </c>
      <c r="N25" s="77" t="s">
        <v>335</v>
      </c>
      <c r="O25" s="77" t="s">
        <v>282</v>
      </c>
      <c r="P25" s="77" t="s">
        <v>281</v>
      </c>
      <c r="Q25" s="77" t="s">
        <v>371</v>
      </c>
      <c r="R25" s="77" t="s">
        <v>371</v>
      </c>
      <c r="S25" s="77" t="s">
        <v>341</v>
      </c>
      <c r="T25" s="77" t="s">
        <v>340</v>
      </c>
      <c r="U25" s="77" t="s">
        <v>343</v>
      </c>
      <c r="V25" s="77" t="s">
        <v>345</v>
      </c>
      <c r="W25" s="78" t="s">
        <v>371</v>
      </c>
      <c r="AA25" t="s">
        <v>387</v>
      </c>
      <c r="AB25" s="77" t="s">
        <v>272</v>
      </c>
      <c r="AC25" s="6">
        <v>3</v>
      </c>
      <c r="AD25" s="29" t="str">
        <f t="shared" si="2"/>
        <v>continuous/fully_connected</v>
      </c>
      <c r="AE25" t="s">
        <v>1537</v>
      </c>
      <c r="AF25" t="s">
        <v>1567</v>
      </c>
      <c r="AG25" s="29" t="s">
        <v>345</v>
      </c>
      <c r="AH25" s="29">
        <f t="shared" si="3"/>
        <v>0.06</v>
      </c>
      <c r="AI25" s="29">
        <f t="shared" si="4"/>
        <v>0.12</v>
      </c>
      <c r="AJ25" s="29">
        <f t="shared" si="5"/>
        <v>0.67500000000000004</v>
      </c>
      <c r="AK25" s="29">
        <f t="shared" si="6"/>
        <v>2.2250000000000001</v>
      </c>
      <c r="AL25" s="29">
        <f t="shared" si="7"/>
        <v>0.32000000000000006</v>
      </c>
      <c r="AM25" s="29">
        <f t="shared" si="8"/>
        <v>1.7749999999999999</v>
      </c>
      <c r="AN25" s="77">
        <f t="shared" si="9"/>
        <v>5.1750000000000007</v>
      </c>
      <c r="BC25" s="6"/>
      <c r="BF25" s="6"/>
      <c r="BG25" s="29" t="s">
        <v>1553</v>
      </c>
      <c r="BH25">
        <f t="shared" si="16"/>
        <v>1</v>
      </c>
      <c r="BI25" s="6">
        <f t="shared" si="17"/>
        <v>9.9</v>
      </c>
      <c r="BT25" s="6"/>
      <c r="BU25" s="6"/>
      <c r="BW25" s="6"/>
      <c r="BX25" s="6"/>
      <c r="CD25" s="6"/>
      <c r="CG25" s="6"/>
      <c r="CH25" s="29" t="s">
        <v>1553</v>
      </c>
      <c r="CI25">
        <v>1</v>
      </c>
      <c r="CJ25" s="6">
        <v>9.9</v>
      </c>
    </row>
    <row r="26" spans="1:88" x14ac:dyDescent="0.3">
      <c r="A26" t="s">
        <v>381</v>
      </c>
      <c r="B26" t="s">
        <v>1344</v>
      </c>
      <c r="C26" t="s">
        <v>498</v>
      </c>
      <c r="D26" t="s">
        <v>1345</v>
      </c>
      <c r="E26" t="s">
        <v>498</v>
      </c>
      <c r="F26" t="b">
        <v>1</v>
      </c>
      <c r="G26">
        <v>83.4</v>
      </c>
      <c r="H26">
        <v>0</v>
      </c>
      <c r="I26">
        <v>26919</v>
      </c>
      <c r="J26" s="61" t="s">
        <v>13</v>
      </c>
      <c r="K26" s="77" t="s">
        <v>272</v>
      </c>
      <c r="L26" s="77">
        <v>3</v>
      </c>
      <c r="M26" s="77" t="s">
        <v>277</v>
      </c>
      <c r="N26" s="77" t="s">
        <v>336</v>
      </c>
      <c r="O26" s="77" t="s">
        <v>283</v>
      </c>
      <c r="P26" s="77" t="s">
        <v>371</v>
      </c>
      <c r="Q26" s="77" t="s">
        <v>371</v>
      </c>
      <c r="R26" s="77" t="s">
        <v>371</v>
      </c>
      <c r="S26" s="77" t="s">
        <v>341</v>
      </c>
      <c r="T26" s="77" t="s">
        <v>342</v>
      </c>
      <c r="U26" s="77" t="s">
        <v>343</v>
      </c>
      <c r="V26" s="77" t="s">
        <v>291</v>
      </c>
      <c r="W26" s="78" t="s">
        <v>371</v>
      </c>
      <c r="AA26" t="s">
        <v>498</v>
      </c>
      <c r="AB26" s="77" t="s">
        <v>272</v>
      </c>
      <c r="AC26" s="6">
        <v>3</v>
      </c>
      <c r="AD26" s="29" t="str">
        <f t="shared" si="2"/>
        <v>continuous/right_overhang</v>
      </c>
      <c r="AE26" t="s">
        <v>283</v>
      </c>
      <c r="AF26" t="s">
        <v>1566</v>
      </c>
      <c r="AG26" s="29" t="s">
        <v>291</v>
      </c>
      <c r="AH26" s="29">
        <f t="shared" si="3"/>
        <v>0.06</v>
      </c>
      <c r="AI26" s="29">
        <f t="shared" si="4"/>
        <v>0.12</v>
      </c>
      <c r="AJ26" s="29">
        <f t="shared" si="5"/>
        <v>2.375</v>
      </c>
      <c r="AK26" s="29">
        <f t="shared" si="6"/>
        <v>2.35</v>
      </c>
      <c r="AL26" s="29">
        <f t="shared" si="7"/>
        <v>0.27</v>
      </c>
      <c r="AM26" s="29">
        <f t="shared" si="8"/>
        <v>2.125</v>
      </c>
      <c r="AN26" s="77">
        <f t="shared" si="9"/>
        <v>7.3000000000000007</v>
      </c>
      <c r="BC26" s="6"/>
      <c r="BF26" s="6"/>
      <c r="BG26" t="s">
        <v>1555</v>
      </c>
      <c r="BH26">
        <f t="shared" si="16"/>
        <v>1</v>
      </c>
      <c r="BI26" s="6">
        <f t="shared" si="17"/>
        <v>9.9</v>
      </c>
      <c r="BT26" s="6"/>
      <c r="BU26" s="6"/>
      <c r="BW26" s="6"/>
      <c r="BX26" s="6"/>
      <c r="CD26" s="6"/>
      <c r="CG26" s="6"/>
      <c r="CH26" t="s">
        <v>1555</v>
      </c>
      <c r="CI26">
        <v>1</v>
      </c>
      <c r="CJ26" s="6">
        <v>9.9</v>
      </c>
    </row>
    <row r="27" spans="1:88" x14ac:dyDescent="0.3">
      <c r="A27" t="s">
        <v>381</v>
      </c>
      <c r="B27" t="s">
        <v>1344</v>
      </c>
      <c r="C27" t="s">
        <v>465</v>
      </c>
      <c r="D27" t="s">
        <v>1345</v>
      </c>
      <c r="E27" t="s">
        <v>465</v>
      </c>
      <c r="F27" t="b">
        <v>1</v>
      </c>
      <c r="G27">
        <v>96.76</v>
      </c>
      <c r="H27">
        <v>0</v>
      </c>
      <c r="I27">
        <v>6139</v>
      </c>
      <c r="J27" s="61" t="s">
        <v>13</v>
      </c>
      <c r="K27" s="77" t="s">
        <v>272</v>
      </c>
      <c r="L27" s="77">
        <v>3</v>
      </c>
      <c r="M27" s="77" t="s">
        <v>277</v>
      </c>
      <c r="N27" s="77" t="s">
        <v>335</v>
      </c>
      <c r="O27" s="77" t="s">
        <v>282</v>
      </c>
      <c r="P27" s="77" t="s">
        <v>283</v>
      </c>
      <c r="Q27" s="77" t="s">
        <v>284</v>
      </c>
      <c r="R27" s="77" t="s">
        <v>371</v>
      </c>
      <c r="S27" s="77" t="s">
        <v>340</v>
      </c>
      <c r="T27" s="77" t="s">
        <v>342</v>
      </c>
      <c r="U27" s="77" t="s">
        <v>343</v>
      </c>
      <c r="V27" s="77" t="s">
        <v>344</v>
      </c>
      <c r="W27" s="78" t="s">
        <v>371</v>
      </c>
      <c r="AA27" t="s">
        <v>465</v>
      </c>
      <c r="AB27" s="77" t="s">
        <v>272</v>
      </c>
      <c r="AC27" s="6">
        <v>3</v>
      </c>
      <c r="AD27" s="29" t="str">
        <f t="shared" si="2"/>
        <v>continuous/fully_connected</v>
      </c>
      <c r="AE27" t="s">
        <v>1535</v>
      </c>
      <c r="AF27" t="s">
        <v>1568</v>
      </c>
      <c r="AG27" s="29" t="s">
        <v>344</v>
      </c>
      <c r="AH27" s="29">
        <f t="shared" si="3"/>
        <v>0.06</v>
      </c>
      <c r="AI27" s="29">
        <f t="shared" si="4"/>
        <v>0.12</v>
      </c>
      <c r="AJ27" s="29">
        <f t="shared" si="5"/>
        <v>0.67500000000000004</v>
      </c>
      <c r="AK27" s="29">
        <f t="shared" si="6"/>
        <v>2.375</v>
      </c>
      <c r="AL27" s="29">
        <f t="shared" si="7"/>
        <v>0.44500000000000006</v>
      </c>
      <c r="AM27" s="29">
        <f t="shared" si="8"/>
        <v>1.825</v>
      </c>
      <c r="AN27" s="77">
        <f t="shared" si="9"/>
        <v>5.5</v>
      </c>
      <c r="BC27" s="6"/>
      <c r="BF27" s="6"/>
      <c r="BG27" s="29" t="s">
        <v>1557</v>
      </c>
      <c r="BH27">
        <f t="shared" si="16"/>
        <v>3</v>
      </c>
      <c r="BI27" s="6">
        <f t="shared" si="17"/>
        <v>9.6999999999999993</v>
      </c>
      <c r="BT27" s="6"/>
      <c r="BU27" s="6"/>
      <c r="BW27" s="6"/>
      <c r="BX27" s="6"/>
      <c r="CD27" s="6"/>
      <c r="CG27" s="6"/>
      <c r="CH27" s="29" t="s">
        <v>1557</v>
      </c>
      <c r="CI27">
        <v>3</v>
      </c>
      <c r="CJ27" s="6">
        <v>9.6999999999999993</v>
      </c>
    </row>
    <row r="28" spans="1:88" x14ac:dyDescent="0.3">
      <c r="A28" t="s">
        <v>381</v>
      </c>
      <c r="B28" t="s">
        <v>1344</v>
      </c>
      <c r="C28" t="s">
        <v>435</v>
      </c>
      <c r="D28" t="s">
        <v>1345</v>
      </c>
      <c r="E28" t="s">
        <v>435</v>
      </c>
      <c r="F28" t="b">
        <v>1</v>
      </c>
      <c r="G28">
        <v>97.5</v>
      </c>
      <c r="H28">
        <v>0</v>
      </c>
      <c r="I28">
        <v>8416</v>
      </c>
      <c r="J28" s="61" t="s">
        <v>13</v>
      </c>
      <c r="K28" s="77" t="s">
        <v>272</v>
      </c>
      <c r="L28" s="77">
        <v>3</v>
      </c>
      <c r="M28" s="77" t="s">
        <v>277</v>
      </c>
      <c r="N28" s="77" t="s">
        <v>335</v>
      </c>
      <c r="O28" s="77" t="s">
        <v>282</v>
      </c>
      <c r="P28" s="77" t="s">
        <v>371</v>
      </c>
      <c r="Q28" s="77" t="s">
        <v>371</v>
      </c>
      <c r="R28" s="77" t="s">
        <v>371</v>
      </c>
      <c r="S28" s="77" t="s">
        <v>341</v>
      </c>
      <c r="T28" s="77" t="s">
        <v>342</v>
      </c>
      <c r="U28" s="77" t="s">
        <v>343</v>
      </c>
      <c r="V28" s="77" t="s">
        <v>345</v>
      </c>
      <c r="W28" s="78" t="s">
        <v>371</v>
      </c>
      <c r="AA28" t="s">
        <v>435</v>
      </c>
      <c r="AB28" s="77" t="s">
        <v>272</v>
      </c>
      <c r="AC28" s="6">
        <v>3</v>
      </c>
      <c r="AD28" s="29" t="str">
        <f t="shared" si="2"/>
        <v>continuous/fully_connected</v>
      </c>
      <c r="AE28" t="s">
        <v>282</v>
      </c>
      <c r="AF28" t="s">
        <v>1566</v>
      </c>
      <c r="AG28" s="29" t="s">
        <v>345</v>
      </c>
      <c r="AH28" s="29">
        <f t="shared" si="3"/>
        <v>0.06</v>
      </c>
      <c r="AI28" s="29">
        <f t="shared" si="4"/>
        <v>0.12</v>
      </c>
      <c r="AJ28" s="29">
        <f t="shared" si="5"/>
        <v>0.67500000000000004</v>
      </c>
      <c r="AK28" s="29">
        <f t="shared" si="6"/>
        <v>1.925</v>
      </c>
      <c r="AL28" s="29">
        <f t="shared" si="7"/>
        <v>0.27</v>
      </c>
      <c r="AM28" s="29">
        <f t="shared" si="8"/>
        <v>1.7749999999999999</v>
      </c>
      <c r="AN28" s="77">
        <f t="shared" si="9"/>
        <v>4.8250000000000002</v>
      </c>
      <c r="BC28" s="6"/>
      <c r="BF28" s="6"/>
      <c r="BG28" t="s">
        <v>1559</v>
      </c>
      <c r="BH28">
        <f t="shared" si="16"/>
        <v>1</v>
      </c>
      <c r="BI28" s="6">
        <f t="shared" si="17"/>
        <v>9.9</v>
      </c>
      <c r="BT28" s="6"/>
      <c r="BU28" s="6"/>
      <c r="BW28" s="6"/>
      <c r="BX28" s="6"/>
      <c r="CD28" s="6"/>
      <c r="CG28" s="6"/>
      <c r="CH28" t="s">
        <v>1605</v>
      </c>
      <c r="CI28">
        <v>1</v>
      </c>
      <c r="CJ28" s="6">
        <v>9.9</v>
      </c>
    </row>
    <row r="29" spans="1:88" x14ac:dyDescent="0.3">
      <c r="A29" t="s">
        <v>381</v>
      </c>
      <c r="B29" t="s">
        <v>1344</v>
      </c>
      <c r="C29" t="s">
        <v>480</v>
      </c>
      <c r="D29" t="s">
        <v>1345</v>
      </c>
      <c r="E29" t="s">
        <v>480</v>
      </c>
      <c r="F29" t="b">
        <v>1</v>
      </c>
      <c r="G29">
        <v>99.15</v>
      </c>
      <c r="H29">
        <v>0</v>
      </c>
      <c r="I29">
        <v>6592</v>
      </c>
      <c r="J29" s="61" t="s">
        <v>13</v>
      </c>
      <c r="K29" s="77" t="s">
        <v>272</v>
      </c>
      <c r="L29" s="77">
        <v>3</v>
      </c>
      <c r="M29" s="77" t="s">
        <v>333</v>
      </c>
      <c r="N29" s="77" t="s">
        <v>278</v>
      </c>
      <c r="O29" s="77" t="s">
        <v>273</v>
      </c>
      <c r="P29" s="77" t="s">
        <v>371</v>
      </c>
      <c r="Q29" s="77" t="s">
        <v>371</v>
      </c>
      <c r="R29" s="77" t="s">
        <v>371</v>
      </c>
      <c r="S29" s="77" t="s">
        <v>341</v>
      </c>
      <c r="T29" s="77" t="s">
        <v>340</v>
      </c>
      <c r="U29" s="77" t="s">
        <v>343</v>
      </c>
      <c r="V29" s="77" t="s">
        <v>345</v>
      </c>
      <c r="W29" s="78" t="s">
        <v>291</v>
      </c>
      <c r="AA29" t="s">
        <v>480</v>
      </c>
      <c r="AB29" s="77" t="s">
        <v>272</v>
      </c>
      <c r="AC29" s="6">
        <v>3</v>
      </c>
      <c r="AD29" s="29" t="str">
        <f t="shared" si="2"/>
        <v>missing_section/right</v>
      </c>
      <c r="AE29" t="s">
        <v>273</v>
      </c>
      <c r="AF29" t="s">
        <v>1567</v>
      </c>
      <c r="AG29" s="29" t="s">
        <v>1572</v>
      </c>
      <c r="AH29" s="29">
        <f t="shared" si="3"/>
        <v>0.06</v>
      </c>
      <c r="AI29" s="29">
        <f t="shared" si="4"/>
        <v>0.12</v>
      </c>
      <c r="AJ29" s="29">
        <f t="shared" si="5"/>
        <v>2.0750000000000002</v>
      </c>
      <c r="AK29" s="29">
        <f t="shared" si="6"/>
        <v>2.4249999999999998</v>
      </c>
      <c r="AL29" s="29">
        <f t="shared" si="7"/>
        <v>0.32000000000000006</v>
      </c>
      <c r="AM29" s="29">
        <f t="shared" si="8"/>
        <v>2.4500000000000002</v>
      </c>
      <c r="AN29" s="77">
        <f t="shared" si="9"/>
        <v>7.45</v>
      </c>
      <c r="BC29" s="6"/>
      <c r="BF29" s="6"/>
      <c r="BG29" t="s">
        <v>1560</v>
      </c>
      <c r="BH29">
        <f t="shared" si="16"/>
        <v>1</v>
      </c>
      <c r="BI29" s="6">
        <f t="shared" si="17"/>
        <v>9.9</v>
      </c>
      <c r="BT29" s="6"/>
      <c r="BU29" s="6"/>
      <c r="BW29" s="6"/>
      <c r="BX29" s="6"/>
      <c r="CD29" s="6"/>
      <c r="CG29" s="6"/>
      <c r="CH29" t="s">
        <v>1560</v>
      </c>
      <c r="CI29">
        <v>1</v>
      </c>
      <c r="CJ29" s="6">
        <v>9.9</v>
      </c>
    </row>
    <row r="30" spans="1:88" x14ac:dyDescent="0.3">
      <c r="A30" t="s">
        <v>381</v>
      </c>
      <c r="B30" t="s">
        <v>1344</v>
      </c>
      <c r="C30" t="s">
        <v>528</v>
      </c>
      <c r="D30" t="s">
        <v>1345</v>
      </c>
      <c r="E30" t="s">
        <v>528</v>
      </c>
      <c r="F30" t="b">
        <v>1</v>
      </c>
      <c r="G30">
        <v>100</v>
      </c>
      <c r="H30">
        <v>1</v>
      </c>
      <c r="I30">
        <v>4580</v>
      </c>
      <c r="J30" s="61" t="s">
        <v>13</v>
      </c>
      <c r="K30" s="77" t="s">
        <v>272</v>
      </c>
      <c r="L30" s="77">
        <v>3</v>
      </c>
      <c r="M30" s="77" t="s">
        <v>333</v>
      </c>
      <c r="N30" s="77" t="s">
        <v>280</v>
      </c>
      <c r="O30" s="77" t="s">
        <v>284</v>
      </c>
      <c r="P30" s="77" t="s">
        <v>283</v>
      </c>
      <c r="Q30" s="77" t="s">
        <v>282</v>
      </c>
      <c r="R30" s="77" t="s">
        <v>338</v>
      </c>
      <c r="S30" s="77" t="s">
        <v>340</v>
      </c>
      <c r="T30" s="77" t="s">
        <v>342</v>
      </c>
      <c r="U30" s="77" t="s">
        <v>343</v>
      </c>
      <c r="V30" s="77" t="s">
        <v>291</v>
      </c>
      <c r="W30" s="78" t="s">
        <v>371</v>
      </c>
      <c r="AA30" t="s">
        <v>528</v>
      </c>
      <c r="AB30" s="77" t="s">
        <v>272</v>
      </c>
      <c r="AC30" s="6">
        <v>3</v>
      </c>
      <c r="AD30" s="29" t="str">
        <f t="shared" si="2"/>
        <v>missing_section/multiple</v>
      </c>
      <c r="AE30" t="s">
        <v>1531</v>
      </c>
      <c r="AF30" t="s">
        <v>1568</v>
      </c>
      <c r="AG30" s="29" t="s">
        <v>291</v>
      </c>
      <c r="AH30" s="29">
        <f t="shared" si="3"/>
        <v>0.06</v>
      </c>
      <c r="AI30" s="29">
        <f t="shared" si="4"/>
        <v>0.12</v>
      </c>
      <c r="AJ30" s="29">
        <f t="shared" si="5"/>
        <v>2.4500000000000002</v>
      </c>
      <c r="AK30" s="29">
        <f t="shared" si="6"/>
        <v>2.4750000000000001</v>
      </c>
      <c r="AL30" s="29">
        <f t="shared" si="7"/>
        <v>0.44500000000000006</v>
      </c>
      <c r="AM30" s="29">
        <f t="shared" si="8"/>
        <v>2.125</v>
      </c>
      <c r="AN30" s="77">
        <f t="shared" si="9"/>
        <v>7.6750000000000007</v>
      </c>
      <c r="BC30" s="6"/>
      <c r="BF30" s="6"/>
      <c r="BG30" t="s">
        <v>1561</v>
      </c>
      <c r="BH30">
        <f t="shared" si="16"/>
        <v>1</v>
      </c>
      <c r="BI30" s="6">
        <f t="shared" si="17"/>
        <v>9.9</v>
      </c>
      <c r="BT30" s="6"/>
      <c r="BU30" s="6"/>
      <c r="BW30" s="6"/>
      <c r="BX30" s="6"/>
      <c r="CD30" s="6"/>
      <c r="CG30" s="6"/>
      <c r="CH30" t="s">
        <v>1561</v>
      </c>
      <c r="CI30">
        <v>1</v>
      </c>
      <c r="CJ30" s="6">
        <v>9.9</v>
      </c>
    </row>
    <row r="31" spans="1:88" x14ac:dyDescent="0.3">
      <c r="A31" t="s">
        <v>381</v>
      </c>
      <c r="B31" t="s">
        <v>1344</v>
      </c>
      <c r="C31" t="s">
        <v>663</v>
      </c>
      <c r="D31" t="s">
        <v>1345</v>
      </c>
      <c r="E31" t="s">
        <v>663</v>
      </c>
      <c r="F31" t="b">
        <v>1</v>
      </c>
      <c r="G31">
        <v>97.6</v>
      </c>
      <c r="H31">
        <v>0</v>
      </c>
      <c r="I31">
        <v>7300</v>
      </c>
      <c r="J31" s="61" t="s">
        <v>13</v>
      </c>
      <c r="K31" s="77" t="s">
        <v>272</v>
      </c>
      <c r="L31" s="77">
        <v>3</v>
      </c>
      <c r="M31" s="77" t="s">
        <v>333</v>
      </c>
      <c r="N31" s="77" t="s">
        <v>278</v>
      </c>
      <c r="O31" s="77" t="s">
        <v>283</v>
      </c>
      <c r="P31" s="77" t="s">
        <v>371</v>
      </c>
      <c r="Q31" s="77" t="s">
        <v>371</v>
      </c>
      <c r="R31" s="77" t="s">
        <v>371</v>
      </c>
      <c r="S31" s="77" t="s">
        <v>341</v>
      </c>
      <c r="T31" s="77" t="s">
        <v>342</v>
      </c>
      <c r="U31" s="77" t="s">
        <v>343</v>
      </c>
      <c r="V31" s="77" t="s">
        <v>345</v>
      </c>
      <c r="W31" s="78" t="s">
        <v>347</v>
      </c>
      <c r="AA31" t="s">
        <v>663</v>
      </c>
      <c r="AB31" s="77" t="s">
        <v>272</v>
      </c>
      <c r="AC31" s="6">
        <v>3</v>
      </c>
      <c r="AD31" s="29" t="str">
        <f t="shared" si="2"/>
        <v>missing_section/right</v>
      </c>
      <c r="AE31" t="s">
        <v>283</v>
      </c>
      <c r="AF31" t="s">
        <v>1566</v>
      </c>
      <c r="AG31" s="29" t="s">
        <v>1573</v>
      </c>
      <c r="AH31" s="29">
        <f t="shared" si="3"/>
        <v>0.06</v>
      </c>
      <c r="AI31" s="29">
        <f t="shared" si="4"/>
        <v>0.12</v>
      </c>
      <c r="AJ31" s="29">
        <f t="shared" si="5"/>
        <v>2.0750000000000002</v>
      </c>
      <c r="AK31" s="29">
        <f t="shared" si="6"/>
        <v>2.35</v>
      </c>
      <c r="AL31" s="29">
        <f t="shared" si="7"/>
        <v>0.27</v>
      </c>
      <c r="AM31" s="29">
        <f t="shared" si="8"/>
        <v>2.4249999999999998</v>
      </c>
      <c r="AN31" s="77">
        <f t="shared" si="9"/>
        <v>7.3</v>
      </c>
      <c r="BC31" s="6"/>
      <c r="BF31" s="6"/>
      <c r="BG31" s="29" t="s">
        <v>1562</v>
      </c>
      <c r="BH31">
        <f t="shared" si="16"/>
        <v>2</v>
      </c>
      <c r="BI31" s="6">
        <f t="shared" si="17"/>
        <v>9.8000000000000007</v>
      </c>
      <c r="BT31" s="6"/>
      <c r="BU31" s="6"/>
      <c r="BW31" s="6"/>
      <c r="BX31" s="6"/>
      <c r="CD31" s="6"/>
      <c r="CG31" s="6"/>
      <c r="CH31" s="29" t="s">
        <v>1562</v>
      </c>
      <c r="CI31">
        <v>2</v>
      </c>
      <c r="CJ31" s="6">
        <v>9.8000000000000007</v>
      </c>
    </row>
    <row r="32" spans="1:88" x14ac:dyDescent="0.3">
      <c r="A32" t="s">
        <v>381</v>
      </c>
      <c r="B32" t="s">
        <v>1344</v>
      </c>
      <c r="C32" t="s">
        <v>669</v>
      </c>
      <c r="D32" t="s">
        <v>1345</v>
      </c>
      <c r="E32" t="s">
        <v>669</v>
      </c>
      <c r="F32" t="b">
        <v>1</v>
      </c>
      <c r="G32">
        <v>92.79</v>
      </c>
      <c r="H32">
        <v>0</v>
      </c>
      <c r="I32">
        <v>11269</v>
      </c>
      <c r="J32" s="61" t="s">
        <v>13</v>
      </c>
      <c r="K32" s="77" t="s">
        <v>272</v>
      </c>
      <c r="L32" s="77">
        <v>3</v>
      </c>
      <c r="M32" s="77" t="s">
        <v>277</v>
      </c>
      <c r="N32" s="77" t="s">
        <v>335</v>
      </c>
      <c r="O32" s="77" t="s">
        <v>281</v>
      </c>
      <c r="P32" s="77" t="s">
        <v>282</v>
      </c>
      <c r="Q32" s="77" t="s">
        <v>371</v>
      </c>
      <c r="R32" s="77" t="s">
        <v>371</v>
      </c>
      <c r="S32" s="77" t="s">
        <v>341</v>
      </c>
      <c r="T32" s="77" t="s">
        <v>342</v>
      </c>
      <c r="U32" s="77" t="s">
        <v>343</v>
      </c>
      <c r="V32" s="77" t="s">
        <v>345</v>
      </c>
      <c r="W32" s="78" t="s">
        <v>371</v>
      </c>
      <c r="AA32" t="s">
        <v>669</v>
      </c>
      <c r="AB32" s="77" t="s">
        <v>272</v>
      </c>
      <c r="AC32" s="6">
        <v>3</v>
      </c>
      <c r="AD32" s="29" t="str">
        <f t="shared" si="2"/>
        <v>continuous/fully_connected</v>
      </c>
      <c r="AE32" t="s">
        <v>1537</v>
      </c>
      <c r="AF32" t="s">
        <v>1566</v>
      </c>
      <c r="AG32" s="29" t="s">
        <v>345</v>
      </c>
      <c r="AH32" s="29">
        <f t="shared" si="3"/>
        <v>0.06</v>
      </c>
      <c r="AI32" s="29">
        <f t="shared" si="4"/>
        <v>0.12</v>
      </c>
      <c r="AJ32" s="29">
        <f t="shared" si="5"/>
        <v>0.67500000000000004</v>
      </c>
      <c r="AK32" s="29">
        <f t="shared" si="6"/>
        <v>2.2250000000000001</v>
      </c>
      <c r="AL32" s="29">
        <f t="shared" si="7"/>
        <v>0.27</v>
      </c>
      <c r="AM32" s="29">
        <f t="shared" si="8"/>
        <v>1.7749999999999999</v>
      </c>
      <c r="AN32" s="77">
        <f t="shared" si="9"/>
        <v>5.125</v>
      </c>
    </row>
    <row r="33" spans="1:40" x14ac:dyDescent="0.3">
      <c r="A33" t="s">
        <v>381</v>
      </c>
      <c r="B33" t="s">
        <v>1344</v>
      </c>
      <c r="C33" t="s">
        <v>651</v>
      </c>
      <c r="D33" t="s">
        <v>1345</v>
      </c>
      <c r="E33" t="s">
        <v>651</v>
      </c>
      <c r="F33" t="b">
        <v>1</v>
      </c>
      <c r="G33">
        <v>99.87</v>
      </c>
      <c r="H33">
        <v>0</v>
      </c>
      <c r="I33">
        <v>8646</v>
      </c>
      <c r="J33" s="61" t="s">
        <v>13</v>
      </c>
      <c r="K33" s="77" t="s">
        <v>272</v>
      </c>
      <c r="L33" s="77">
        <v>3</v>
      </c>
      <c r="M33" s="77" t="s">
        <v>333</v>
      </c>
      <c r="N33" s="77" t="s">
        <v>278</v>
      </c>
      <c r="O33" s="77" t="s">
        <v>281</v>
      </c>
      <c r="P33" s="77" t="s">
        <v>282</v>
      </c>
      <c r="Q33" s="77" t="s">
        <v>371</v>
      </c>
      <c r="R33" s="77" t="s">
        <v>371</v>
      </c>
      <c r="S33" s="77" t="s">
        <v>341</v>
      </c>
      <c r="T33" s="77" t="s">
        <v>342</v>
      </c>
      <c r="U33" s="77" t="s">
        <v>343</v>
      </c>
      <c r="V33" s="77" t="s">
        <v>345</v>
      </c>
      <c r="W33" s="78" t="s">
        <v>371</v>
      </c>
      <c r="AA33" t="s">
        <v>651</v>
      </c>
      <c r="AB33" s="77" t="s">
        <v>272</v>
      </c>
      <c r="AC33" s="6">
        <v>3</v>
      </c>
      <c r="AD33" s="29" t="str">
        <f t="shared" si="2"/>
        <v>missing_section/right</v>
      </c>
      <c r="AE33" t="s">
        <v>1537</v>
      </c>
      <c r="AF33" t="s">
        <v>1566</v>
      </c>
      <c r="AG33" s="29" t="s">
        <v>345</v>
      </c>
      <c r="AH33" s="29">
        <f t="shared" si="3"/>
        <v>0.06</v>
      </c>
      <c r="AI33" s="29">
        <f t="shared" si="4"/>
        <v>0.12</v>
      </c>
      <c r="AJ33" s="29">
        <f t="shared" si="5"/>
        <v>2.0750000000000002</v>
      </c>
      <c r="AK33" s="29">
        <f t="shared" si="6"/>
        <v>2.2250000000000001</v>
      </c>
      <c r="AL33" s="29">
        <f t="shared" si="7"/>
        <v>0.27</v>
      </c>
      <c r="AM33" s="29">
        <f t="shared" si="8"/>
        <v>1.7749999999999999</v>
      </c>
      <c r="AN33" s="77">
        <f t="shared" si="9"/>
        <v>6.5250000000000004</v>
      </c>
    </row>
    <row r="34" spans="1:40" x14ac:dyDescent="0.3">
      <c r="A34" t="s">
        <v>381</v>
      </c>
      <c r="B34" t="s">
        <v>1344</v>
      </c>
      <c r="C34" t="s">
        <v>633</v>
      </c>
      <c r="D34" t="s">
        <v>1345</v>
      </c>
      <c r="E34" t="s">
        <v>633</v>
      </c>
      <c r="F34" t="b">
        <v>1</v>
      </c>
      <c r="G34">
        <v>100</v>
      </c>
      <c r="H34">
        <v>1</v>
      </c>
      <c r="I34">
        <v>14534</v>
      </c>
      <c r="J34" s="61" t="s">
        <v>18</v>
      </c>
      <c r="K34" s="77" t="s">
        <v>272</v>
      </c>
      <c r="L34" s="77">
        <v>2</v>
      </c>
      <c r="M34" s="77" t="s">
        <v>333</v>
      </c>
      <c r="N34" s="77" t="s">
        <v>278</v>
      </c>
      <c r="O34" s="77" t="s">
        <v>287</v>
      </c>
      <c r="P34" s="77" t="s">
        <v>371</v>
      </c>
      <c r="Q34" s="77" t="s">
        <v>371</v>
      </c>
      <c r="R34" s="77" t="s">
        <v>371</v>
      </c>
      <c r="S34" s="77" t="s">
        <v>340</v>
      </c>
      <c r="T34" s="77" t="s">
        <v>342</v>
      </c>
      <c r="U34" s="77" t="s">
        <v>343</v>
      </c>
      <c r="V34" s="77" t="s">
        <v>291</v>
      </c>
      <c r="W34" s="78" t="s">
        <v>371</v>
      </c>
      <c r="AA34" t="s">
        <v>633</v>
      </c>
      <c r="AB34" s="77" t="s">
        <v>272</v>
      </c>
      <c r="AC34" s="6">
        <v>2</v>
      </c>
      <c r="AD34" s="29" t="str">
        <f t="shared" si="2"/>
        <v>missing_section/right</v>
      </c>
      <c r="AE34" t="s">
        <v>287</v>
      </c>
      <c r="AF34" t="s">
        <v>1568</v>
      </c>
      <c r="AG34" s="29" t="s">
        <v>291</v>
      </c>
      <c r="AH34" s="29">
        <f t="shared" si="3"/>
        <v>0.06</v>
      </c>
      <c r="AI34" s="29">
        <f t="shared" si="4"/>
        <v>0.89000000000000012</v>
      </c>
      <c r="AJ34" s="29">
        <f t="shared" si="5"/>
        <v>2.0750000000000002</v>
      </c>
      <c r="AK34" s="29">
        <f t="shared" si="6"/>
        <v>2.4750000000000001</v>
      </c>
      <c r="AL34" s="29">
        <f t="shared" si="7"/>
        <v>0.44500000000000006</v>
      </c>
      <c r="AM34" s="29">
        <f t="shared" si="8"/>
        <v>2.125</v>
      </c>
      <c r="AN34" s="77">
        <f t="shared" si="9"/>
        <v>8.07</v>
      </c>
    </row>
    <row r="35" spans="1:40" x14ac:dyDescent="0.3">
      <c r="A35" t="s">
        <v>381</v>
      </c>
      <c r="B35" t="s">
        <v>1344</v>
      </c>
      <c r="C35" t="s">
        <v>591</v>
      </c>
      <c r="D35" t="s">
        <v>1345</v>
      </c>
      <c r="E35" t="s">
        <v>591</v>
      </c>
      <c r="F35" t="b">
        <v>1</v>
      </c>
      <c r="G35">
        <v>57</v>
      </c>
      <c r="H35">
        <v>0</v>
      </c>
      <c r="I35">
        <v>9673</v>
      </c>
      <c r="J35" s="61" t="s">
        <v>13</v>
      </c>
      <c r="K35" s="77" t="s">
        <v>272</v>
      </c>
      <c r="L35" s="77">
        <v>3</v>
      </c>
      <c r="M35" s="77" t="s">
        <v>277</v>
      </c>
      <c r="N35" s="77" t="s">
        <v>335</v>
      </c>
      <c r="O35" s="77" t="s">
        <v>282</v>
      </c>
      <c r="P35" s="77" t="s">
        <v>371</v>
      </c>
      <c r="Q35" s="77" t="s">
        <v>371</v>
      </c>
      <c r="R35" s="77" t="s">
        <v>371</v>
      </c>
      <c r="S35" s="77" t="s">
        <v>341</v>
      </c>
      <c r="T35" s="77" t="s">
        <v>342</v>
      </c>
      <c r="U35" s="77" t="s">
        <v>343</v>
      </c>
      <c r="V35" s="77" t="s">
        <v>345</v>
      </c>
      <c r="W35" s="78" t="s">
        <v>344</v>
      </c>
      <c r="AA35" t="s">
        <v>591</v>
      </c>
      <c r="AB35" s="77" t="s">
        <v>272</v>
      </c>
      <c r="AC35" s="6">
        <v>3</v>
      </c>
      <c r="AD35" s="29" t="str">
        <f t="shared" si="2"/>
        <v>continuous/fully_connected</v>
      </c>
      <c r="AE35" t="s">
        <v>282</v>
      </c>
      <c r="AF35" t="s">
        <v>1566</v>
      </c>
      <c r="AG35" s="29" t="s">
        <v>1574</v>
      </c>
      <c r="AH35" s="29">
        <f t="shared" si="3"/>
        <v>0.06</v>
      </c>
      <c r="AI35" s="29">
        <f t="shared" si="4"/>
        <v>0.12</v>
      </c>
      <c r="AJ35" s="29">
        <f t="shared" si="5"/>
        <v>0.67500000000000004</v>
      </c>
      <c r="AK35" s="29">
        <f t="shared" si="6"/>
        <v>1.925</v>
      </c>
      <c r="AL35" s="29">
        <f t="shared" si="7"/>
        <v>0.27</v>
      </c>
      <c r="AM35" s="29">
        <f t="shared" si="8"/>
        <v>2.375</v>
      </c>
      <c r="AN35" s="77">
        <f t="shared" si="9"/>
        <v>5.4250000000000007</v>
      </c>
    </row>
    <row r="36" spans="1:40" x14ac:dyDescent="0.3">
      <c r="A36" t="s">
        <v>381</v>
      </c>
      <c r="B36" t="s">
        <v>1344</v>
      </c>
      <c r="C36" t="s">
        <v>456</v>
      </c>
      <c r="D36" t="s">
        <v>1345</v>
      </c>
      <c r="E36" t="s">
        <v>456</v>
      </c>
      <c r="F36" t="b">
        <v>1</v>
      </c>
      <c r="G36">
        <v>99</v>
      </c>
      <c r="H36">
        <v>0</v>
      </c>
      <c r="I36">
        <v>7729</v>
      </c>
      <c r="J36" s="61" t="s">
        <v>13</v>
      </c>
      <c r="K36" s="77" t="s">
        <v>272</v>
      </c>
      <c r="L36" s="77">
        <v>3</v>
      </c>
      <c r="M36" s="77" t="s">
        <v>277</v>
      </c>
      <c r="N36" s="77" t="s">
        <v>335</v>
      </c>
      <c r="O36" s="77" t="s">
        <v>281</v>
      </c>
      <c r="P36" s="77" t="s">
        <v>282</v>
      </c>
      <c r="Q36" s="77" t="s">
        <v>371</v>
      </c>
      <c r="R36" s="77" t="s">
        <v>371</v>
      </c>
      <c r="S36" s="77" t="s">
        <v>341</v>
      </c>
      <c r="T36" s="77" t="s">
        <v>340</v>
      </c>
      <c r="U36" s="77" t="s">
        <v>343</v>
      </c>
      <c r="V36" s="77" t="s">
        <v>345</v>
      </c>
      <c r="W36" s="78" t="s">
        <v>371</v>
      </c>
      <c r="AA36" t="s">
        <v>456</v>
      </c>
      <c r="AB36" s="77" t="s">
        <v>272</v>
      </c>
      <c r="AC36" s="6">
        <v>3</v>
      </c>
      <c r="AD36" s="29" t="str">
        <f t="shared" si="2"/>
        <v>continuous/fully_connected</v>
      </c>
      <c r="AE36" t="s">
        <v>1537</v>
      </c>
      <c r="AF36" t="s">
        <v>1567</v>
      </c>
      <c r="AG36" s="29" t="s">
        <v>345</v>
      </c>
      <c r="AH36" s="29">
        <f t="shared" si="3"/>
        <v>0.06</v>
      </c>
      <c r="AI36" s="29">
        <f t="shared" si="4"/>
        <v>0.12</v>
      </c>
      <c r="AJ36" s="29">
        <f t="shared" si="5"/>
        <v>0.67500000000000004</v>
      </c>
      <c r="AK36" s="29">
        <f t="shared" si="6"/>
        <v>2.2250000000000001</v>
      </c>
      <c r="AL36" s="29">
        <f t="shared" si="7"/>
        <v>0.32000000000000006</v>
      </c>
      <c r="AM36" s="29">
        <f t="shared" si="8"/>
        <v>1.7749999999999999</v>
      </c>
      <c r="AN36" s="77">
        <f t="shared" si="9"/>
        <v>5.1750000000000007</v>
      </c>
    </row>
    <row r="37" spans="1:40" x14ac:dyDescent="0.3">
      <c r="A37" t="s">
        <v>381</v>
      </c>
      <c r="B37" t="s">
        <v>1344</v>
      </c>
      <c r="C37" t="s">
        <v>537</v>
      </c>
      <c r="D37" t="s">
        <v>1345</v>
      </c>
      <c r="E37" t="s">
        <v>537</v>
      </c>
      <c r="F37" t="b">
        <v>1</v>
      </c>
      <c r="G37">
        <v>65</v>
      </c>
      <c r="H37">
        <v>0</v>
      </c>
      <c r="I37">
        <v>11871</v>
      </c>
      <c r="J37" s="61" t="s">
        <v>13</v>
      </c>
      <c r="K37" s="77" t="s">
        <v>272</v>
      </c>
      <c r="L37" s="77">
        <v>3</v>
      </c>
      <c r="M37" s="77" t="s">
        <v>277</v>
      </c>
      <c r="N37" s="77" t="s">
        <v>335</v>
      </c>
      <c r="O37" s="77" t="s">
        <v>283</v>
      </c>
      <c r="P37" s="77" t="s">
        <v>282</v>
      </c>
      <c r="Q37" s="77" t="s">
        <v>371</v>
      </c>
      <c r="R37" s="77" t="s">
        <v>371</v>
      </c>
      <c r="S37" s="77" t="s">
        <v>341</v>
      </c>
      <c r="T37" s="77" t="s">
        <v>342</v>
      </c>
      <c r="U37" s="77" t="s">
        <v>343</v>
      </c>
      <c r="V37" s="77" t="s">
        <v>344</v>
      </c>
      <c r="W37" s="78" t="s">
        <v>371</v>
      </c>
      <c r="AA37" t="s">
        <v>537</v>
      </c>
      <c r="AB37" s="77" t="s">
        <v>272</v>
      </c>
      <c r="AC37" s="6">
        <v>3</v>
      </c>
      <c r="AD37" s="29" t="str">
        <f t="shared" si="2"/>
        <v>continuous/fully_connected</v>
      </c>
      <c r="AE37" t="s">
        <v>1540</v>
      </c>
      <c r="AF37" t="s">
        <v>1566</v>
      </c>
      <c r="AG37" s="29" t="s">
        <v>344</v>
      </c>
      <c r="AH37" s="29">
        <f t="shared" si="3"/>
        <v>0.06</v>
      </c>
      <c r="AI37" s="29">
        <f t="shared" si="4"/>
        <v>0.12</v>
      </c>
      <c r="AJ37" s="29">
        <f t="shared" si="5"/>
        <v>0.67500000000000004</v>
      </c>
      <c r="AK37" s="29">
        <f t="shared" si="6"/>
        <v>2.375</v>
      </c>
      <c r="AL37" s="29">
        <f t="shared" si="7"/>
        <v>0.27</v>
      </c>
      <c r="AM37" s="29">
        <f t="shared" si="8"/>
        <v>1.825</v>
      </c>
      <c r="AN37" s="77">
        <f t="shared" si="9"/>
        <v>5.3250000000000002</v>
      </c>
    </row>
    <row r="38" spans="1:40" x14ac:dyDescent="0.3">
      <c r="A38" t="s">
        <v>381</v>
      </c>
      <c r="B38" t="s">
        <v>1344</v>
      </c>
      <c r="C38" t="s">
        <v>471</v>
      </c>
      <c r="D38" t="s">
        <v>1345</v>
      </c>
      <c r="E38" t="s">
        <v>471</v>
      </c>
      <c r="F38" t="b">
        <v>1</v>
      </c>
      <c r="G38">
        <v>85.5</v>
      </c>
      <c r="H38">
        <v>0</v>
      </c>
      <c r="I38">
        <v>14998</v>
      </c>
      <c r="J38" s="61" t="s">
        <v>13</v>
      </c>
      <c r="K38" s="77" t="s">
        <v>272</v>
      </c>
      <c r="L38" s="77">
        <v>3</v>
      </c>
      <c r="M38" s="77" t="s">
        <v>277</v>
      </c>
      <c r="N38" s="77" t="s">
        <v>335</v>
      </c>
      <c r="O38" s="77" t="s">
        <v>281</v>
      </c>
      <c r="P38" s="77" t="s">
        <v>285</v>
      </c>
      <c r="Q38" s="77" t="s">
        <v>282</v>
      </c>
      <c r="R38" s="77" t="s">
        <v>371</v>
      </c>
      <c r="S38" s="77" t="s">
        <v>341</v>
      </c>
      <c r="T38" s="77" t="s">
        <v>342</v>
      </c>
      <c r="U38" s="77" t="s">
        <v>343</v>
      </c>
      <c r="V38" s="77" t="s">
        <v>344</v>
      </c>
      <c r="W38" s="78" t="s">
        <v>371</v>
      </c>
      <c r="AA38" t="s">
        <v>471</v>
      </c>
      <c r="AB38" s="77" t="s">
        <v>272</v>
      </c>
      <c r="AC38" s="6">
        <v>3</v>
      </c>
      <c r="AD38" s="29" t="str">
        <f t="shared" si="2"/>
        <v>continuous/fully_connected</v>
      </c>
      <c r="AE38" t="s">
        <v>1562</v>
      </c>
      <c r="AF38" t="s">
        <v>1566</v>
      </c>
      <c r="AG38" s="29" t="s">
        <v>344</v>
      </c>
      <c r="AH38" s="29">
        <f t="shared" si="3"/>
        <v>0.06</v>
      </c>
      <c r="AI38" s="29">
        <f t="shared" si="4"/>
        <v>0.12</v>
      </c>
      <c r="AJ38" s="29">
        <f t="shared" si="5"/>
        <v>0.67500000000000004</v>
      </c>
      <c r="AK38" s="29">
        <f t="shared" si="6"/>
        <v>2.4500000000000002</v>
      </c>
      <c r="AL38" s="29">
        <f t="shared" si="7"/>
        <v>0.27</v>
      </c>
      <c r="AM38" s="29">
        <f t="shared" si="8"/>
        <v>1.825</v>
      </c>
      <c r="AN38" s="77">
        <f t="shared" si="9"/>
        <v>5.4</v>
      </c>
    </row>
    <row r="39" spans="1:40" x14ac:dyDescent="0.3">
      <c r="A39" t="s">
        <v>381</v>
      </c>
      <c r="B39" t="s">
        <v>1344</v>
      </c>
      <c r="C39" t="s">
        <v>546</v>
      </c>
      <c r="D39" t="s">
        <v>1345</v>
      </c>
      <c r="E39" t="s">
        <v>546</v>
      </c>
      <c r="F39" t="b">
        <v>1</v>
      </c>
      <c r="G39">
        <v>100</v>
      </c>
      <c r="H39">
        <v>1</v>
      </c>
      <c r="I39">
        <v>14988</v>
      </c>
      <c r="J39" s="61" t="s">
        <v>18</v>
      </c>
      <c r="K39" s="77" t="s">
        <v>272</v>
      </c>
      <c r="L39" s="77">
        <v>3</v>
      </c>
      <c r="M39" s="77" t="s">
        <v>277</v>
      </c>
      <c r="N39" s="77" t="s">
        <v>335</v>
      </c>
      <c r="O39" s="77" t="s">
        <v>282</v>
      </c>
      <c r="P39" s="77" t="s">
        <v>371</v>
      </c>
      <c r="Q39" s="77" t="s">
        <v>371</v>
      </c>
      <c r="R39" s="77" t="s">
        <v>371</v>
      </c>
      <c r="S39" s="77" t="s">
        <v>341</v>
      </c>
      <c r="T39" s="77" t="s">
        <v>342</v>
      </c>
      <c r="U39" s="77" t="s">
        <v>343</v>
      </c>
      <c r="V39" s="77" t="s">
        <v>291</v>
      </c>
      <c r="W39" s="78" t="s">
        <v>371</v>
      </c>
      <c r="AA39" t="s">
        <v>546</v>
      </c>
      <c r="AB39" s="77" t="s">
        <v>272</v>
      </c>
      <c r="AC39" s="6">
        <v>3</v>
      </c>
      <c r="AD39" s="29" t="str">
        <f t="shared" si="2"/>
        <v>continuous/fully_connected</v>
      </c>
      <c r="AE39" t="s">
        <v>282</v>
      </c>
      <c r="AF39" t="s">
        <v>1566</v>
      </c>
      <c r="AG39" s="29" t="s">
        <v>291</v>
      </c>
      <c r="AH39" s="29">
        <f t="shared" si="3"/>
        <v>0.06</v>
      </c>
      <c r="AI39" s="29">
        <f t="shared" si="4"/>
        <v>0.12</v>
      </c>
      <c r="AJ39" s="29">
        <f t="shared" si="5"/>
        <v>0.67500000000000004</v>
      </c>
      <c r="AK39" s="29">
        <f t="shared" si="6"/>
        <v>1.925</v>
      </c>
      <c r="AL39" s="29">
        <f t="shared" si="7"/>
        <v>0.27</v>
      </c>
      <c r="AM39" s="29">
        <f t="shared" si="8"/>
        <v>2.125</v>
      </c>
      <c r="AN39" s="77">
        <f t="shared" si="9"/>
        <v>5.1750000000000007</v>
      </c>
    </row>
    <row r="40" spans="1:40" x14ac:dyDescent="0.3">
      <c r="A40" t="s">
        <v>381</v>
      </c>
      <c r="B40" t="s">
        <v>1344</v>
      </c>
      <c r="C40" t="s">
        <v>468</v>
      </c>
      <c r="D40" t="s">
        <v>1345</v>
      </c>
      <c r="E40" t="s">
        <v>468</v>
      </c>
      <c r="F40" t="b">
        <v>1</v>
      </c>
      <c r="G40">
        <v>82.3</v>
      </c>
      <c r="H40">
        <v>0</v>
      </c>
      <c r="I40">
        <v>6759</v>
      </c>
      <c r="J40" s="61" t="s">
        <v>13</v>
      </c>
      <c r="K40" s="77" t="s">
        <v>272</v>
      </c>
      <c r="L40" s="77">
        <v>3</v>
      </c>
      <c r="M40" s="77" t="s">
        <v>277</v>
      </c>
      <c r="N40" s="77" t="s">
        <v>335</v>
      </c>
      <c r="O40" s="77" t="s">
        <v>281</v>
      </c>
      <c r="P40" s="77" t="s">
        <v>282</v>
      </c>
      <c r="Q40" s="77" t="s">
        <v>284</v>
      </c>
      <c r="R40" s="77" t="s">
        <v>371</v>
      </c>
      <c r="S40" s="77" t="s">
        <v>341</v>
      </c>
      <c r="T40" s="77" t="s">
        <v>342</v>
      </c>
      <c r="U40" s="77" t="s">
        <v>343</v>
      </c>
      <c r="V40" s="77" t="s">
        <v>344</v>
      </c>
      <c r="W40" s="78" t="s">
        <v>371</v>
      </c>
      <c r="AA40" t="s">
        <v>468</v>
      </c>
      <c r="AB40" s="77" t="s">
        <v>272</v>
      </c>
      <c r="AC40" s="6">
        <v>3</v>
      </c>
      <c r="AD40" s="29" t="str">
        <f t="shared" si="2"/>
        <v>continuous/fully_connected</v>
      </c>
      <c r="AE40" t="s">
        <v>1555</v>
      </c>
      <c r="AF40" t="s">
        <v>1566</v>
      </c>
      <c r="AG40" s="29" t="s">
        <v>344</v>
      </c>
      <c r="AH40" s="29">
        <f t="shared" si="3"/>
        <v>0.06</v>
      </c>
      <c r="AI40" s="29">
        <f t="shared" si="4"/>
        <v>0.12</v>
      </c>
      <c r="AJ40" s="29">
        <f t="shared" si="5"/>
        <v>0.67500000000000004</v>
      </c>
      <c r="AK40" s="29">
        <f t="shared" si="6"/>
        <v>2.4750000000000001</v>
      </c>
      <c r="AL40" s="29">
        <f t="shared" si="7"/>
        <v>0.27</v>
      </c>
      <c r="AM40" s="29">
        <f t="shared" si="8"/>
        <v>1.825</v>
      </c>
      <c r="AN40" s="77">
        <f t="shared" si="9"/>
        <v>5.4249999999999998</v>
      </c>
    </row>
    <row r="41" spans="1:40" x14ac:dyDescent="0.3">
      <c r="A41" t="s">
        <v>381</v>
      </c>
      <c r="B41" t="s">
        <v>1344</v>
      </c>
      <c r="C41" t="s">
        <v>396</v>
      </c>
      <c r="D41" t="s">
        <v>1345</v>
      </c>
      <c r="E41" t="s">
        <v>396</v>
      </c>
      <c r="F41" t="b">
        <v>1</v>
      </c>
      <c r="G41">
        <v>100</v>
      </c>
      <c r="H41">
        <v>1</v>
      </c>
      <c r="I41">
        <v>12690</v>
      </c>
      <c r="J41" s="61" t="s">
        <v>18</v>
      </c>
      <c r="K41" s="77" t="s">
        <v>273</v>
      </c>
      <c r="L41" s="77">
        <v>2</v>
      </c>
      <c r="M41" s="77" t="s">
        <v>333</v>
      </c>
      <c r="N41" s="77" t="s">
        <v>278</v>
      </c>
      <c r="O41" s="77" t="s">
        <v>283</v>
      </c>
      <c r="P41" s="77" t="s">
        <v>371</v>
      </c>
      <c r="Q41" s="77" t="s">
        <v>371</v>
      </c>
      <c r="R41" s="77" t="s">
        <v>371</v>
      </c>
      <c r="S41" s="77" t="s">
        <v>341</v>
      </c>
      <c r="T41" s="77" t="s">
        <v>340</v>
      </c>
      <c r="U41" s="77" t="s">
        <v>343</v>
      </c>
      <c r="V41" s="77" t="s">
        <v>345</v>
      </c>
      <c r="W41" s="78" t="s">
        <v>371</v>
      </c>
      <c r="AA41" t="s">
        <v>396</v>
      </c>
      <c r="AB41" s="77" t="s">
        <v>273</v>
      </c>
      <c r="AC41" s="6">
        <v>2</v>
      </c>
      <c r="AD41" s="29" t="str">
        <f t="shared" si="2"/>
        <v>missing_section/right</v>
      </c>
      <c r="AE41" t="s">
        <v>283</v>
      </c>
      <c r="AF41" t="s">
        <v>1567</v>
      </c>
      <c r="AG41" s="29" t="s">
        <v>345</v>
      </c>
      <c r="AH41" s="29">
        <f t="shared" si="3"/>
        <v>0.94000000000000006</v>
      </c>
      <c r="AI41" s="29">
        <f t="shared" si="4"/>
        <v>0.89000000000000012</v>
      </c>
      <c r="AJ41" s="29">
        <f t="shared" si="5"/>
        <v>2.0750000000000002</v>
      </c>
      <c r="AK41" s="29">
        <f t="shared" si="6"/>
        <v>2.35</v>
      </c>
      <c r="AL41" s="29">
        <f t="shared" si="7"/>
        <v>0.32000000000000006</v>
      </c>
      <c r="AM41" s="29">
        <f t="shared" si="8"/>
        <v>1.7749999999999999</v>
      </c>
      <c r="AN41" s="77">
        <f t="shared" si="9"/>
        <v>8.3500000000000014</v>
      </c>
    </row>
    <row r="42" spans="1:40" x14ac:dyDescent="0.3">
      <c r="A42" t="s">
        <v>381</v>
      </c>
      <c r="B42" t="s">
        <v>1344</v>
      </c>
      <c r="C42" t="s">
        <v>606</v>
      </c>
      <c r="D42" t="s">
        <v>1345</v>
      </c>
      <c r="E42" t="s">
        <v>606</v>
      </c>
      <c r="F42" t="b">
        <v>1</v>
      </c>
      <c r="G42">
        <v>98.7</v>
      </c>
      <c r="H42">
        <v>0</v>
      </c>
      <c r="I42">
        <v>8241</v>
      </c>
      <c r="J42" s="61" t="s">
        <v>13</v>
      </c>
      <c r="K42" s="77" t="s">
        <v>272</v>
      </c>
      <c r="L42" s="77">
        <v>3</v>
      </c>
      <c r="M42" s="77" t="s">
        <v>333</v>
      </c>
      <c r="N42" s="77" t="s">
        <v>278</v>
      </c>
      <c r="O42" s="77" t="s">
        <v>283</v>
      </c>
      <c r="P42" s="77" t="s">
        <v>371</v>
      </c>
      <c r="Q42" s="77" t="s">
        <v>371</v>
      </c>
      <c r="R42" s="77" t="s">
        <v>371</v>
      </c>
      <c r="S42" s="77" t="s">
        <v>341</v>
      </c>
      <c r="T42" s="77" t="s">
        <v>340</v>
      </c>
      <c r="U42" s="77" t="s">
        <v>343</v>
      </c>
      <c r="V42" s="77" t="s">
        <v>344</v>
      </c>
      <c r="W42" s="78" t="s">
        <v>371</v>
      </c>
      <c r="AA42" t="s">
        <v>606</v>
      </c>
      <c r="AB42" s="77" t="s">
        <v>272</v>
      </c>
      <c r="AC42" s="6">
        <v>3</v>
      </c>
      <c r="AD42" s="29" t="str">
        <f t="shared" si="2"/>
        <v>missing_section/right</v>
      </c>
      <c r="AE42" t="s">
        <v>283</v>
      </c>
      <c r="AF42" t="s">
        <v>1567</v>
      </c>
      <c r="AG42" s="29" t="s">
        <v>344</v>
      </c>
      <c r="AH42" s="29">
        <f t="shared" si="3"/>
        <v>0.06</v>
      </c>
      <c r="AI42" s="29">
        <f t="shared" si="4"/>
        <v>0.12</v>
      </c>
      <c r="AJ42" s="29">
        <f t="shared" si="5"/>
        <v>2.0750000000000002</v>
      </c>
      <c r="AK42" s="29">
        <f t="shared" si="6"/>
        <v>2.35</v>
      </c>
      <c r="AL42" s="29">
        <f t="shared" si="7"/>
        <v>0.32000000000000006</v>
      </c>
      <c r="AM42" s="29">
        <f t="shared" si="8"/>
        <v>1.825</v>
      </c>
      <c r="AN42" s="77">
        <f t="shared" si="9"/>
        <v>6.7500000000000009</v>
      </c>
    </row>
    <row r="43" spans="1:40" x14ac:dyDescent="0.3">
      <c r="A43" t="s">
        <v>381</v>
      </c>
      <c r="B43" t="s">
        <v>1344</v>
      </c>
      <c r="C43" t="s">
        <v>609</v>
      </c>
      <c r="D43" t="s">
        <v>1345</v>
      </c>
      <c r="E43" t="s">
        <v>609</v>
      </c>
      <c r="F43" t="b">
        <v>1</v>
      </c>
      <c r="G43">
        <v>100</v>
      </c>
      <c r="H43">
        <v>1</v>
      </c>
      <c r="I43">
        <v>14773</v>
      </c>
      <c r="J43" s="61" t="s">
        <v>13</v>
      </c>
      <c r="K43" s="77" t="s">
        <v>272</v>
      </c>
      <c r="L43" s="77">
        <v>3</v>
      </c>
      <c r="M43" s="77" t="s">
        <v>277</v>
      </c>
      <c r="N43" s="77" t="s">
        <v>335</v>
      </c>
      <c r="O43" s="77" t="s">
        <v>282</v>
      </c>
      <c r="P43" s="77" t="s">
        <v>371</v>
      </c>
      <c r="Q43" s="77" t="s">
        <v>371</v>
      </c>
      <c r="R43" s="77" t="s">
        <v>371</v>
      </c>
      <c r="S43" s="77" t="s">
        <v>340</v>
      </c>
      <c r="T43" s="77" t="s">
        <v>342</v>
      </c>
      <c r="U43" s="77" t="s">
        <v>343</v>
      </c>
      <c r="V43" s="77" t="s">
        <v>344</v>
      </c>
      <c r="W43" s="78" t="s">
        <v>371</v>
      </c>
      <c r="AA43" t="s">
        <v>609</v>
      </c>
      <c r="AB43" s="77" t="s">
        <v>272</v>
      </c>
      <c r="AC43" s="6">
        <v>3</v>
      </c>
      <c r="AD43" s="29" t="str">
        <f t="shared" si="2"/>
        <v>continuous/fully_connected</v>
      </c>
      <c r="AE43" t="s">
        <v>282</v>
      </c>
      <c r="AF43" t="s">
        <v>1568</v>
      </c>
      <c r="AG43" s="29" t="s">
        <v>344</v>
      </c>
      <c r="AH43" s="29">
        <f t="shared" si="3"/>
        <v>0.06</v>
      </c>
      <c r="AI43" s="29">
        <f t="shared" si="4"/>
        <v>0.12</v>
      </c>
      <c r="AJ43" s="29">
        <f t="shared" si="5"/>
        <v>0.67500000000000004</v>
      </c>
      <c r="AK43" s="29">
        <f t="shared" si="6"/>
        <v>1.925</v>
      </c>
      <c r="AL43" s="29">
        <f t="shared" si="7"/>
        <v>0.44500000000000006</v>
      </c>
      <c r="AM43" s="29">
        <f t="shared" si="8"/>
        <v>1.825</v>
      </c>
      <c r="AN43" s="77">
        <f t="shared" si="9"/>
        <v>5.0500000000000007</v>
      </c>
    </row>
    <row r="44" spans="1:40" x14ac:dyDescent="0.3">
      <c r="A44" t="s">
        <v>381</v>
      </c>
      <c r="B44" t="s">
        <v>1344</v>
      </c>
      <c r="C44" t="s">
        <v>624</v>
      </c>
      <c r="D44" t="s">
        <v>1345</v>
      </c>
      <c r="E44" t="s">
        <v>624</v>
      </c>
      <c r="F44" t="b">
        <v>1</v>
      </c>
      <c r="G44">
        <v>99.6</v>
      </c>
      <c r="H44">
        <v>0</v>
      </c>
      <c r="I44">
        <v>8149</v>
      </c>
      <c r="J44" s="61" t="s">
        <v>13</v>
      </c>
      <c r="K44" s="77" t="s">
        <v>272</v>
      </c>
      <c r="L44" s="77">
        <v>3</v>
      </c>
      <c r="M44" s="77" t="s">
        <v>277</v>
      </c>
      <c r="N44" s="77" t="s">
        <v>335</v>
      </c>
      <c r="O44" s="77" t="s">
        <v>339</v>
      </c>
      <c r="P44" s="77" t="s">
        <v>285</v>
      </c>
      <c r="Q44" s="77" t="s">
        <v>282</v>
      </c>
      <c r="R44" s="77" t="s">
        <v>371</v>
      </c>
      <c r="S44" s="77" t="s">
        <v>341</v>
      </c>
      <c r="T44" s="77" t="s">
        <v>340</v>
      </c>
      <c r="U44" s="77" t="s">
        <v>343</v>
      </c>
      <c r="V44" s="77" t="s">
        <v>345</v>
      </c>
      <c r="W44" s="78" t="s">
        <v>371</v>
      </c>
      <c r="AA44" t="s">
        <v>624</v>
      </c>
      <c r="AB44" s="77" t="s">
        <v>272</v>
      </c>
      <c r="AC44" s="6">
        <v>3</v>
      </c>
      <c r="AD44" s="29" t="str">
        <f t="shared" si="2"/>
        <v>continuous/fully_connected</v>
      </c>
      <c r="AE44" t="s">
        <v>1551</v>
      </c>
      <c r="AF44" t="s">
        <v>1567</v>
      </c>
      <c r="AG44" s="29" t="s">
        <v>345</v>
      </c>
      <c r="AH44" s="29">
        <f t="shared" si="3"/>
        <v>0.06</v>
      </c>
      <c r="AI44" s="29">
        <f t="shared" si="4"/>
        <v>0.12</v>
      </c>
      <c r="AJ44" s="29">
        <f t="shared" si="5"/>
        <v>0.67500000000000004</v>
      </c>
      <c r="AK44" s="29">
        <f t="shared" si="6"/>
        <v>2.4500000000000002</v>
      </c>
      <c r="AL44" s="29">
        <f t="shared" si="7"/>
        <v>0.32000000000000006</v>
      </c>
      <c r="AM44" s="29">
        <f t="shared" si="8"/>
        <v>1.7749999999999999</v>
      </c>
      <c r="AN44" s="77">
        <f t="shared" si="9"/>
        <v>5.4</v>
      </c>
    </row>
    <row r="45" spans="1:40" x14ac:dyDescent="0.3">
      <c r="A45" t="s">
        <v>381</v>
      </c>
      <c r="B45" t="s">
        <v>1344</v>
      </c>
      <c r="C45" t="s">
        <v>642</v>
      </c>
      <c r="D45" t="s">
        <v>1345</v>
      </c>
      <c r="E45" t="s">
        <v>642</v>
      </c>
      <c r="F45" t="b">
        <v>1</v>
      </c>
      <c r="G45">
        <v>74.2</v>
      </c>
      <c r="H45">
        <v>0</v>
      </c>
      <c r="I45">
        <v>12008</v>
      </c>
      <c r="J45" s="61" t="s">
        <v>13</v>
      </c>
      <c r="K45" s="77" t="s">
        <v>272</v>
      </c>
      <c r="L45" s="77">
        <v>3</v>
      </c>
      <c r="M45" s="77" t="s">
        <v>277</v>
      </c>
      <c r="N45" s="77" t="s">
        <v>335</v>
      </c>
      <c r="O45" s="77" t="s">
        <v>283</v>
      </c>
      <c r="P45" s="77" t="s">
        <v>281</v>
      </c>
      <c r="Q45" s="77" t="s">
        <v>284</v>
      </c>
      <c r="R45" s="77" t="s">
        <v>371</v>
      </c>
      <c r="S45" s="77" t="s">
        <v>341</v>
      </c>
      <c r="T45" s="77" t="s">
        <v>340</v>
      </c>
      <c r="U45" s="77" t="s">
        <v>343</v>
      </c>
      <c r="V45" s="77" t="s">
        <v>344</v>
      </c>
      <c r="W45" s="78" t="s">
        <v>371</v>
      </c>
      <c r="AA45" t="s">
        <v>642</v>
      </c>
      <c r="AB45" s="77" t="s">
        <v>272</v>
      </c>
      <c r="AC45" s="6">
        <v>3</v>
      </c>
      <c r="AD45" s="29" t="str">
        <f t="shared" si="2"/>
        <v>continuous/fully_connected</v>
      </c>
      <c r="AE45" t="s">
        <v>1547</v>
      </c>
      <c r="AF45" t="s">
        <v>1567</v>
      </c>
      <c r="AG45" s="29" t="s">
        <v>344</v>
      </c>
      <c r="AH45" s="29">
        <f t="shared" si="3"/>
        <v>0.06</v>
      </c>
      <c r="AI45" s="29">
        <f t="shared" si="4"/>
        <v>0.12</v>
      </c>
      <c r="AJ45" s="29">
        <f t="shared" si="5"/>
        <v>0.67500000000000004</v>
      </c>
      <c r="AK45" s="29">
        <f t="shared" si="6"/>
        <v>2.35</v>
      </c>
      <c r="AL45" s="29">
        <f t="shared" si="7"/>
        <v>0.32000000000000006</v>
      </c>
      <c r="AM45" s="29">
        <f t="shared" si="8"/>
        <v>1.825</v>
      </c>
      <c r="AN45" s="77">
        <f t="shared" si="9"/>
        <v>5.3500000000000005</v>
      </c>
    </row>
    <row r="46" spans="1:40" x14ac:dyDescent="0.3">
      <c r="A46" t="s">
        <v>381</v>
      </c>
      <c r="B46" t="s">
        <v>1344</v>
      </c>
      <c r="C46" t="s">
        <v>411</v>
      </c>
      <c r="D46" t="s">
        <v>1345</v>
      </c>
      <c r="E46" t="s">
        <v>411</v>
      </c>
      <c r="F46" t="b">
        <v>1</v>
      </c>
      <c r="G46">
        <v>100</v>
      </c>
      <c r="H46">
        <v>1</v>
      </c>
      <c r="I46">
        <v>4143</v>
      </c>
      <c r="J46" s="61" t="s">
        <v>18</v>
      </c>
      <c r="K46" s="77" t="s">
        <v>272</v>
      </c>
      <c r="L46" s="77">
        <v>3</v>
      </c>
      <c r="M46" s="77" t="s">
        <v>277</v>
      </c>
      <c r="N46" s="77" t="s">
        <v>335</v>
      </c>
      <c r="O46" s="77" t="s">
        <v>339</v>
      </c>
      <c r="P46" s="77" t="s">
        <v>283</v>
      </c>
      <c r="Q46" s="77" t="s">
        <v>281</v>
      </c>
      <c r="R46" s="77" t="s">
        <v>338</v>
      </c>
      <c r="S46" s="77" t="s">
        <v>340</v>
      </c>
      <c r="T46" s="77" t="s">
        <v>342</v>
      </c>
      <c r="U46" s="77" t="s">
        <v>340</v>
      </c>
      <c r="V46" s="77" t="s">
        <v>291</v>
      </c>
      <c r="W46" s="78" t="s">
        <v>371</v>
      </c>
      <c r="AA46" t="s">
        <v>411</v>
      </c>
      <c r="AB46" s="77" t="s">
        <v>272</v>
      </c>
      <c r="AC46" s="6">
        <v>3</v>
      </c>
      <c r="AD46" s="29" t="str">
        <f t="shared" si="2"/>
        <v>continuous/fully_connected</v>
      </c>
      <c r="AE46" t="s">
        <v>1532</v>
      </c>
      <c r="AF46" t="s">
        <v>342</v>
      </c>
      <c r="AG46" s="29" t="s">
        <v>291</v>
      </c>
      <c r="AH46" s="29">
        <f t="shared" si="3"/>
        <v>0.06</v>
      </c>
      <c r="AI46" s="29">
        <f t="shared" si="4"/>
        <v>0.12</v>
      </c>
      <c r="AJ46" s="29">
        <f t="shared" si="5"/>
        <v>0.67500000000000004</v>
      </c>
      <c r="AK46" s="29">
        <f t="shared" si="6"/>
        <v>2.4750000000000001</v>
      </c>
      <c r="AL46" s="29">
        <f t="shared" si="7"/>
        <v>0.49000000000000005</v>
      </c>
      <c r="AM46" s="29">
        <f t="shared" si="8"/>
        <v>2.125</v>
      </c>
      <c r="AN46" s="77">
        <f t="shared" si="9"/>
        <v>5.9450000000000003</v>
      </c>
    </row>
    <row r="47" spans="1:40" x14ac:dyDescent="0.3">
      <c r="A47" t="s">
        <v>381</v>
      </c>
      <c r="B47" t="s">
        <v>1344</v>
      </c>
      <c r="C47" t="s">
        <v>621</v>
      </c>
      <c r="D47" t="s">
        <v>1345</v>
      </c>
      <c r="E47" t="s">
        <v>621</v>
      </c>
      <c r="F47" t="b">
        <v>1</v>
      </c>
      <c r="G47">
        <v>99.4</v>
      </c>
      <c r="H47">
        <v>0</v>
      </c>
      <c r="I47">
        <v>6727</v>
      </c>
      <c r="J47" s="61" t="s">
        <v>13</v>
      </c>
      <c r="K47" s="77" t="s">
        <v>272</v>
      </c>
      <c r="L47" s="77">
        <v>3</v>
      </c>
      <c r="M47" s="77" t="s">
        <v>277</v>
      </c>
      <c r="N47" s="77" t="s">
        <v>335</v>
      </c>
      <c r="O47" s="77" t="s">
        <v>339</v>
      </c>
      <c r="P47" s="77" t="s">
        <v>285</v>
      </c>
      <c r="Q47" s="77" t="s">
        <v>282</v>
      </c>
      <c r="R47" s="77" t="s">
        <v>371</v>
      </c>
      <c r="S47" s="77" t="s">
        <v>341</v>
      </c>
      <c r="T47" s="77" t="s">
        <v>342</v>
      </c>
      <c r="U47" s="77" t="s">
        <v>343</v>
      </c>
      <c r="V47" s="77" t="s">
        <v>291</v>
      </c>
      <c r="W47" s="78" t="s">
        <v>371</v>
      </c>
      <c r="AA47" t="s">
        <v>621</v>
      </c>
      <c r="AB47" s="77" t="s">
        <v>272</v>
      </c>
      <c r="AC47" s="6">
        <v>3</v>
      </c>
      <c r="AD47" s="29" t="str">
        <f t="shared" si="2"/>
        <v>continuous/fully_connected</v>
      </c>
      <c r="AE47" t="s">
        <v>1551</v>
      </c>
      <c r="AF47" t="s">
        <v>1566</v>
      </c>
      <c r="AG47" s="29" t="s">
        <v>291</v>
      </c>
      <c r="AH47" s="29">
        <f t="shared" si="3"/>
        <v>0.06</v>
      </c>
      <c r="AI47" s="29">
        <f t="shared" si="4"/>
        <v>0.12</v>
      </c>
      <c r="AJ47" s="29">
        <f t="shared" si="5"/>
        <v>0.67500000000000004</v>
      </c>
      <c r="AK47" s="29">
        <f t="shared" si="6"/>
        <v>2.4500000000000002</v>
      </c>
      <c r="AL47" s="29">
        <f t="shared" si="7"/>
        <v>0.27</v>
      </c>
      <c r="AM47" s="29">
        <f t="shared" si="8"/>
        <v>2.125</v>
      </c>
      <c r="AN47" s="77">
        <f t="shared" si="9"/>
        <v>5.7</v>
      </c>
    </row>
    <row r="48" spans="1:40" x14ac:dyDescent="0.3">
      <c r="A48" t="s">
        <v>381</v>
      </c>
      <c r="B48" t="s">
        <v>1344</v>
      </c>
      <c r="C48" t="s">
        <v>507</v>
      </c>
      <c r="D48" t="s">
        <v>1345</v>
      </c>
      <c r="E48" t="s">
        <v>507</v>
      </c>
      <c r="F48" t="b">
        <v>1</v>
      </c>
      <c r="G48">
        <v>95.3</v>
      </c>
      <c r="H48">
        <v>0</v>
      </c>
      <c r="I48">
        <v>7001</v>
      </c>
      <c r="J48" s="61" t="s">
        <v>13</v>
      </c>
      <c r="K48" s="77" t="s">
        <v>272</v>
      </c>
      <c r="L48" s="77">
        <v>3</v>
      </c>
      <c r="M48" s="77" t="s">
        <v>277</v>
      </c>
      <c r="N48" s="77" t="s">
        <v>335</v>
      </c>
      <c r="O48" s="77" t="s">
        <v>282</v>
      </c>
      <c r="P48" s="77" t="s">
        <v>371</v>
      </c>
      <c r="Q48" s="77" t="s">
        <v>371</v>
      </c>
      <c r="R48" s="77" t="s">
        <v>371</v>
      </c>
      <c r="S48" s="77" t="s">
        <v>341</v>
      </c>
      <c r="T48" s="77" t="s">
        <v>342</v>
      </c>
      <c r="U48" s="77" t="s">
        <v>343</v>
      </c>
      <c r="V48" s="77" t="s">
        <v>291</v>
      </c>
      <c r="W48" s="78" t="s">
        <v>371</v>
      </c>
      <c r="AA48" t="s">
        <v>507</v>
      </c>
      <c r="AB48" s="77" t="s">
        <v>272</v>
      </c>
      <c r="AC48" s="6">
        <v>3</v>
      </c>
      <c r="AD48" s="29" t="str">
        <f t="shared" si="2"/>
        <v>continuous/fully_connected</v>
      </c>
      <c r="AE48" t="s">
        <v>282</v>
      </c>
      <c r="AF48" t="s">
        <v>1566</v>
      </c>
      <c r="AG48" s="29" t="s">
        <v>291</v>
      </c>
      <c r="AH48" s="29">
        <f t="shared" si="3"/>
        <v>0.06</v>
      </c>
      <c r="AI48" s="29">
        <f t="shared" si="4"/>
        <v>0.12</v>
      </c>
      <c r="AJ48" s="29">
        <f t="shared" si="5"/>
        <v>0.67500000000000004</v>
      </c>
      <c r="AK48" s="29">
        <f t="shared" si="6"/>
        <v>1.925</v>
      </c>
      <c r="AL48" s="29">
        <f t="shared" si="7"/>
        <v>0.27</v>
      </c>
      <c r="AM48" s="29">
        <f t="shared" si="8"/>
        <v>2.125</v>
      </c>
      <c r="AN48" s="77">
        <f t="shared" si="9"/>
        <v>5.1750000000000007</v>
      </c>
    </row>
    <row r="49" spans="1:40" x14ac:dyDescent="0.3">
      <c r="A49" t="s">
        <v>381</v>
      </c>
      <c r="B49" t="s">
        <v>1344</v>
      </c>
      <c r="C49" t="s">
        <v>504</v>
      </c>
      <c r="D49" t="s">
        <v>1345</v>
      </c>
      <c r="E49" t="s">
        <v>504</v>
      </c>
      <c r="F49" t="b">
        <v>1</v>
      </c>
      <c r="G49">
        <v>89.9</v>
      </c>
      <c r="H49">
        <v>0</v>
      </c>
      <c r="I49">
        <v>7418</v>
      </c>
      <c r="J49" s="61" t="s">
        <v>13</v>
      </c>
      <c r="K49" s="77" t="s">
        <v>272</v>
      </c>
      <c r="L49" s="77">
        <v>3</v>
      </c>
      <c r="M49" s="77" t="s">
        <v>277</v>
      </c>
      <c r="N49" s="77" t="s">
        <v>335</v>
      </c>
      <c r="O49" s="77" t="s">
        <v>282</v>
      </c>
      <c r="P49" s="77" t="s">
        <v>371</v>
      </c>
      <c r="Q49" s="77" t="s">
        <v>371</v>
      </c>
      <c r="R49" s="77" t="s">
        <v>371</v>
      </c>
      <c r="S49" s="77" t="s">
        <v>341</v>
      </c>
      <c r="T49" s="77" t="s">
        <v>342</v>
      </c>
      <c r="U49" s="77" t="s">
        <v>343</v>
      </c>
      <c r="V49" s="77" t="s">
        <v>344</v>
      </c>
      <c r="W49" s="78" t="s">
        <v>371</v>
      </c>
      <c r="AA49" t="s">
        <v>504</v>
      </c>
      <c r="AB49" s="77" t="s">
        <v>272</v>
      </c>
      <c r="AC49" s="6">
        <v>3</v>
      </c>
      <c r="AD49" s="29" t="str">
        <f t="shared" si="2"/>
        <v>continuous/fully_connected</v>
      </c>
      <c r="AE49" t="s">
        <v>282</v>
      </c>
      <c r="AF49" t="s">
        <v>1566</v>
      </c>
      <c r="AG49" s="29" t="s">
        <v>344</v>
      </c>
      <c r="AH49" s="29">
        <f t="shared" si="3"/>
        <v>0.06</v>
      </c>
      <c r="AI49" s="29">
        <f t="shared" si="4"/>
        <v>0.12</v>
      </c>
      <c r="AJ49" s="29">
        <f t="shared" si="5"/>
        <v>0.67500000000000004</v>
      </c>
      <c r="AK49" s="29">
        <f t="shared" si="6"/>
        <v>1.925</v>
      </c>
      <c r="AL49" s="29">
        <f t="shared" si="7"/>
        <v>0.27</v>
      </c>
      <c r="AM49" s="29">
        <f t="shared" si="8"/>
        <v>1.825</v>
      </c>
      <c r="AN49" s="77">
        <f t="shared" si="9"/>
        <v>4.875</v>
      </c>
    </row>
    <row r="50" spans="1:40" x14ac:dyDescent="0.3">
      <c r="A50" t="s">
        <v>381</v>
      </c>
      <c r="B50" t="s">
        <v>1344</v>
      </c>
      <c r="C50" t="s">
        <v>417</v>
      </c>
      <c r="D50" t="s">
        <v>1345</v>
      </c>
      <c r="E50" t="s">
        <v>417</v>
      </c>
      <c r="F50" t="b">
        <v>1</v>
      </c>
      <c r="G50">
        <v>100</v>
      </c>
      <c r="H50">
        <v>1</v>
      </c>
      <c r="I50">
        <v>15033</v>
      </c>
      <c r="J50" s="61" t="s">
        <v>18</v>
      </c>
      <c r="K50" s="77" t="s">
        <v>272</v>
      </c>
      <c r="L50" s="77">
        <v>3</v>
      </c>
      <c r="M50" s="77" t="s">
        <v>277</v>
      </c>
      <c r="N50" s="77" t="s">
        <v>335</v>
      </c>
      <c r="O50" s="77" t="s">
        <v>283</v>
      </c>
      <c r="P50" s="77" t="s">
        <v>284</v>
      </c>
      <c r="Q50" s="77" t="s">
        <v>371</v>
      </c>
      <c r="R50" s="77" t="s">
        <v>371</v>
      </c>
      <c r="S50" s="77" t="s">
        <v>341</v>
      </c>
      <c r="T50" s="77" t="s">
        <v>342</v>
      </c>
      <c r="U50" s="77" t="s">
        <v>343</v>
      </c>
      <c r="V50" s="77" t="s">
        <v>291</v>
      </c>
      <c r="W50" s="78" t="s">
        <v>371</v>
      </c>
      <c r="AA50" t="s">
        <v>417</v>
      </c>
      <c r="AB50" s="77" t="s">
        <v>272</v>
      </c>
      <c r="AC50" s="6">
        <v>3</v>
      </c>
      <c r="AD50" s="29" t="str">
        <f t="shared" si="2"/>
        <v>continuous/fully_connected</v>
      </c>
      <c r="AE50" t="s">
        <v>1542</v>
      </c>
      <c r="AF50" t="s">
        <v>1566</v>
      </c>
      <c r="AG50" s="29" t="s">
        <v>291</v>
      </c>
      <c r="AH50" s="29">
        <f t="shared" si="3"/>
        <v>0.06</v>
      </c>
      <c r="AI50" s="29">
        <f t="shared" si="4"/>
        <v>0.12</v>
      </c>
      <c r="AJ50" s="29">
        <f t="shared" si="5"/>
        <v>0.67500000000000004</v>
      </c>
      <c r="AK50" s="29">
        <f t="shared" si="6"/>
        <v>2.35</v>
      </c>
      <c r="AL50" s="29">
        <f t="shared" si="7"/>
        <v>0.27</v>
      </c>
      <c r="AM50" s="29">
        <f t="shared" si="8"/>
        <v>2.125</v>
      </c>
      <c r="AN50" s="77">
        <f t="shared" si="9"/>
        <v>5.6</v>
      </c>
    </row>
    <row r="51" spans="1:40" x14ac:dyDescent="0.3">
      <c r="A51" t="s">
        <v>381</v>
      </c>
      <c r="B51" t="s">
        <v>1344</v>
      </c>
      <c r="C51" t="s">
        <v>408</v>
      </c>
      <c r="D51" t="s">
        <v>1345</v>
      </c>
      <c r="E51" t="s">
        <v>408</v>
      </c>
      <c r="F51" t="b">
        <v>1</v>
      </c>
      <c r="G51">
        <v>99.7</v>
      </c>
      <c r="H51">
        <v>0</v>
      </c>
      <c r="I51">
        <v>7647</v>
      </c>
      <c r="J51" s="61" t="s">
        <v>13</v>
      </c>
      <c r="K51" s="77" t="s">
        <v>272</v>
      </c>
      <c r="L51" s="77">
        <v>3</v>
      </c>
      <c r="M51" s="77" t="s">
        <v>277</v>
      </c>
      <c r="N51" s="77" t="s">
        <v>335</v>
      </c>
      <c r="O51" s="77" t="s">
        <v>281</v>
      </c>
      <c r="P51" s="77" t="s">
        <v>283</v>
      </c>
      <c r="Q51" s="77" t="s">
        <v>284</v>
      </c>
      <c r="R51" s="77" t="s">
        <v>371</v>
      </c>
      <c r="S51" s="77" t="s">
        <v>341</v>
      </c>
      <c r="T51" s="77" t="s">
        <v>342</v>
      </c>
      <c r="U51" s="77" t="s">
        <v>343</v>
      </c>
      <c r="V51" s="77" t="s">
        <v>344</v>
      </c>
      <c r="W51" s="78" t="s">
        <v>291</v>
      </c>
      <c r="AA51" t="s">
        <v>408</v>
      </c>
      <c r="AB51" s="77" t="s">
        <v>272</v>
      </c>
      <c r="AC51" s="6">
        <v>3</v>
      </c>
      <c r="AD51" s="29" t="str">
        <f t="shared" si="2"/>
        <v>continuous/fully_connected</v>
      </c>
      <c r="AE51" t="s">
        <v>1547</v>
      </c>
      <c r="AF51" t="s">
        <v>1566</v>
      </c>
      <c r="AG51" s="29" t="s">
        <v>1570</v>
      </c>
      <c r="AH51" s="29">
        <f t="shared" si="3"/>
        <v>0.06</v>
      </c>
      <c r="AI51" s="29">
        <f t="shared" si="4"/>
        <v>0.12</v>
      </c>
      <c r="AJ51" s="29">
        <f t="shared" si="5"/>
        <v>0.67500000000000004</v>
      </c>
      <c r="AK51" s="29">
        <f t="shared" si="6"/>
        <v>2.35</v>
      </c>
      <c r="AL51" s="29">
        <f t="shared" si="7"/>
        <v>0.27</v>
      </c>
      <c r="AM51" s="29">
        <f t="shared" si="8"/>
        <v>2.35</v>
      </c>
      <c r="AN51" s="77">
        <f t="shared" si="9"/>
        <v>5.8250000000000002</v>
      </c>
    </row>
    <row r="52" spans="1:40" x14ac:dyDescent="0.3">
      <c r="A52" t="s">
        <v>381</v>
      </c>
      <c r="B52" t="s">
        <v>1344</v>
      </c>
      <c r="C52" t="s">
        <v>543</v>
      </c>
      <c r="D52" t="s">
        <v>1345</v>
      </c>
      <c r="E52" t="s">
        <v>543</v>
      </c>
      <c r="F52" t="b">
        <v>1</v>
      </c>
      <c r="G52">
        <v>66</v>
      </c>
      <c r="H52">
        <v>0</v>
      </c>
      <c r="I52">
        <v>10948</v>
      </c>
      <c r="J52" s="61" t="s">
        <v>13</v>
      </c>
      <c r="K52" s="77" t="s">
        <v>272</v>
      </c>
      <c r="L52" s="77">
        <v>3</v>
      </c>
      <c r="M52" s="77" t="s">
        <v>277</v>
      </c>
      <c r="N52" s="77" t="s">
        <v>335</v>
      </c>
      <c r="O52" s="77" t="s">
        <v>283</v>
      </c>
      <c r="P52" s="77" t="s">
        <v>282</v>
      </c>
      <c r="Q52" s="77" t="s">
        <v>284</v>
      </c>
      <c r="R52" s="77" t="s">
        <v>371</v>
      </c>
      <c r="S52" s="77" t="s">
        <v>341</v>
      </c>
      <c r="T52" s="77" t="s">
        <v>342</v>
      </c>
      <c r="U52" s="77" t="s">
        <v>343</v>
      </c>
      <c r="V52" s="77" t="s">
        <v>345</v>
      </c>
      <c r="W52" s="78" t="s">
        <v>371</v>
      </c>
      <c r="AA52" t="s">
        <v>543</v>
      </c>
      <c r="AB52" s="77" t="s">
        <v>272</v>
      </c>
      <c r="AC52" s="6">
        <v>3</v>
      </c>
      <c r="AD52" s="29" t="str">
        <f t="shared" si="2"/>
        <v>continuous/fully_connected</v>
      </c>
      <c r="AE52" t="s">
        <v>1535</v>
      </c>
      <c r="AF52" t="s">
        <v>1566</v>
      </c>
      <c r="AG52" s="29" t="s">
        <v>345</v>
      </c>
      <c r="AH52" s="29">
        <f t="shared" si="3"/>
        <v>0.06</v>
      </c>
      <c r="AI52" s="29">
        <f t="shared" si="4"/>
        <v>0.12</v>
      </c>
      <c r="AJ52" s="29">
        <f t="shared" si="5"/>
        <v>0.67500000000000004</v>
      </c>
      <c r="AK52" s="29">
        <f t="shared" si="6"/>
        <v>2.375</v>
      </c>
      <c r="AL52" s="29">
        <f t="shared" si="7"/>
        <v>0.27</v>
      </c>
      <c r="AM52" s="29">
        <f t="shared" si="8"/>
        <v>1.7749999999999999</v>
      </c>
      <c r="AN52" s="77">
        <f t="shared" si="9"/>
        <v>5.2750000000000004</v>
      </c>
    </row>
    <row r="53" spans="1:40" x14ac:dyDescent="0.3">
      <c r="A53" t="s">
        <v>381</v>
      </c>
      <c r="B53" t="s">
        <v>1344</v>
      </c>
      <c r="C53" t="s">
        <v>666</v>
      </c>
      <c r="D53" t="s">
        <v>1345</v>
      </c>
      <c r="E53" t="s">
        <v>666</v>
      </c>
      <c r="F53" t="b">
        <v>1</v>
      </c>
      <c r="G53">
        <v>57.6</v>
      </c>
      <c r="H53">
        <v>0</v>
      </c>
      <c r="I53">
        <v>11940</v>
      </c>
      <c r="J53" s="61" t="s">
        <v>13</v>
      </c>
      <c r="K53" s="77" t="s">
        <v>272</v>
      </c>
      <c r="L53" s="77">
        <v>3</v>
      </c>
      <c r="M53" s="77" t="s">
        <v>333</v>
      </c>
      <c r="N53" s="77" t="s">
        <v>278</v>
      </c>
      <c r="O53" s="77" t="s">
        <v>283</v>
      </c>
      <c r="P53" s="77" t="s">
        <v>281</v>
      </c>
      <c r="Q53" s="77" t="s">
        <v>371</v>
      </c>
      <c r="R53" s="77" t="s">
        <v>371</v>
      </c>
      <c r="S53" s="77" t="s">
        <v>341</v>
      </c>
      <c r="T53" s="77" t="s">
        <v>340</v>
      </c>
      <c r="U53" s="77" t="s">
        <v>343</v>
      </c>
      <c r="V53" s="77" t="s">
        <v>344</v>
      </c>
      <c r="W53" s="78" t="s">
        <v>371</v>
      </c>
      <c r="AA53" t="s">
        <v>666</v>
      </c>
      <c r="AB53" s="77" t="s">
        <v>272</v>
      </c>
      <c r="AC53" s="6">
        <v>3</v>
      </c>
      <c r="AD53" s="29" t="str">
        <f t="shared" si="2"/>
        <v>missing_section/right</v>
      </c>
      <c r="AE53" t="s">
        <v>1546</v>
      </c>
      <c r="AF53" t="s">
        <v>1567</v>
      </c>
      <c r="AG53" s="29" t="s">
        <v>344</v>
      </c>
      <c r="AH53" s="29">
        <f t="shared" si="3"/>
        <v>0.06</v>
      </c>
      <c r="AI53" s="29">
        <f t="shared" si="4"/>
        <v>0.12</v>
      </c>
      <c r="AJ53" s="29">
        <f t="shared" si="5"/>
        <v>2.0750000000000002</v>
      </c>
      <c r="AK53" s="29">
        <f t="shared" si="6"/>
        <v>2.2999999999999998</v>
      </c>
      <c r="AL53" s="29">
        <f t="shared" si="7"/>
        <v>0.32000000000000006</v>
      </c>
      <c r="AM53" s="29">
        <f t="shared" si="8"/>
        <v>1.825</v>
      </c>
      <c r="AN53" s="77">
        <f t="shared" si="9"/>
        <v>6.7</v>
      </c>
    </row>
    <row r="54" spans="1:40" x14ac:dyDescent="0.3">
      <c r="A54" t="s">
        <v>381</v>
      </c>
      <c r="B54" t="s">
        <v>1344</v>
      </c>
      <c r="C54" t="s">
        <v>567</v>
      </c>
      <c r="D54" t="s">
        <v>1345</v>
      </c>
      <c r="E54" t="s">
        <v>567</v>
      </c>
      <c r="F54" t="b">
        <v>1</v>
      </c>
      <c r="G54">
        <v>99</v>
      </c>
      <c r="H54">
        <v>0</v>
      </c>
      <c r="I54">
        <v>7742</v>
      </c>
      <c r="J54" s="61" t="s">
        <v>13</v>
      </c>
      <c r="K54" s="77" t="s">
        <v>272</v>
      </c>
      <c r="L54" s="77">
        <v>3</v>
      </c>
      <c r="M54" s="77" t="s">
        <v>277</v>
      </c>
      <c r="N54" s="77" t="s">
        <v>335</v>
      </c>
      <c r="O54" s="77" t="s">
        <v>281</v>
      </c>
      <c r="P54" s="77" t="s">
        <v>286</v>
      </c>
      <c r="Q54" s="77" t="s">
        <v>371</v>
      </c>
      <c r="R54" s="77" t="s">
        <v>371</v>
      </c>
      <c r="S54" s="77" t="s">
        <v>341</v>
      </c>
      <c r="T54" s="77" t="s">
        <v>340</v>
      </c>
      <c r="U54" s="77" t="s">
        <v>343</v>
      </c>
      <c r="V54" s="77" t="s">
        <v>345</v>
      </c>
      <c r="W54" s="78" t="s">
        <v>371</v>
      </c>
      <c r="AA54" t="s">
        <v>567</v>
      </c>
      <c r="AB54" s="77" t="s">
        <v>272</v>
      </c>
      <c r="AC54" s="6">
        <v>3</v>
      </c>
      <c r="AD54" s="29" t="str">
        <f t="shared" si="2"/>
        <v>continuous/fully_connected</v>
      </c>
      <c r="AE54" t="s">
        <v>1560</v>
      </c>
      <c r="AF54" t="s">
        <v>1567</v>
      </c>
      <c r="AG54" s="29" t="s">
        <v>345</v>
      </c>
      <c r="AH54" s="29">
        <f t="shared" si="3"/>
        <v>0.06</v>
      </c>
      <c r="AI54" s="29">
        <f t="shared" si="4"/>
        <v>0.12</v>
      </c>
      <c r="AJ54" s="29">
        <f t="shared" si="5"/>
        <v>0.67500000000000004</v>
      </c>
      <c r="AK54" s="29">
        <f t="shared" si="6"/>
        <v>2.4750000000000001</v>
      </c>
      <c r="AL54" s="29">
        <f t="shared" si="7"/>
        <v>0.32000000000000006</v>
      </c>
      <c r="AM54" s="29">
        <f t="shared" si="8"/>
        <v>1.7749999999999999</v>
      </c>
      <c r="AN54" s="77">
        <f t="shared" si="9"/>
        <v>5.4250000000000007</v>
      </c>
    </row>
    <row r="55" spans="1:40" x14ac:dyDescent="0.3">
      <c r="A55" t="s">
        <v>381</v>
      </c>
      <c r="B55" t="s">
        <v>1344</v>
      </c>
      <c r="C55" t="s">
        <v>612</v>
      </c>
      <c r="D55" t="s">
        <v>1345</v>
      </c>
      <c r="E55" t="s">
        <v>612</v>
      </c>
      <c r="F55" t="b">
        <v>1</v>
      </c>
      <c r="G55">
        <v>86.1</v>
      </c>
      <c r="H55">
        <v>0</v>
      </c>
      <c r="I55">
        <v>9627</v>
      </c>
      <c r="J55" s="61" t="s">
        <v>13</v>
      </c>
      <c r="K55" s="77" t="s">
        <v>272</v>
      </c>
      <c r="L55" s="77">
        <v>3</v>
      </c>
      <c r="M55" s="77" t="s">
        <v>333</v>
      </c>
      <c r="N55" s="77" t="s">
        <v>336</v>
      </c>
      <c r="O55" s="77" t="s">
        <v>283</v>
      </c>
      <c r="P55" s="77" t="s">
        <v>281</v>
      </c>
      <c r="Q55" s="77" t="s">
        <v>371</v>
      </c>
      <c r="R55" s="77" t="s">
        <v>371</v>
      </c>
      <c r="S55" s="77" t="s">
        <v>341</v>
      </c>
      <c r="T55" s="77" t="s">
        <v>340</v>
      </c>
      <c r="U55" s="77" t="s">
        <v>343</v>
      </c>
      <c r="V55" s="77" t="s">
        <v>345</v>
      </c>
      <c r="W55" s="78" t="s">
        <v>371</v>
      </c>
      <c r="AA55" t="s">
        <v>612</v>
      </c>
      <c r="AB55" s="77" t="s">
        <v>272</v>
      </c>
      <c r="AC55" s="6">
        <v>3</v>
      </c>
      <c r="AD55" s="29" t="str">
        <f t="shared" si="2"/>
        <v>missing_section/right_overhang</v>
      </c>
      <c r="AE55" t="s">
        <v>1546</v>
      </c>
      <c r="AF55" t="s">
        <v>1567</v>
      </c>
      <c r="AG55" s="29" t="s">
        <v>345</v>
      </c>
      <c r="AH55" s="29">
        <f t="shared" si="3"/>
        <v>0.06</v>
      </c>
      <c r="AI55" s="29">
        <f t="shared" si="4"/>
        <v>0.12</v>
      </c>
      <c r="AJ55" s="29">
        <f t="shared" si="5"/>
        <v>2.4750000000000001</v>
      </c>
      <c r="AK55" s="29">
        <f t="shared" si="6"/>
        <v>2.2999999999999998</v>
      </c>
      <c r="AL55" s="29">
        <f t="shared" si="7"/>
        <v>0.32000000000000006</v>
      </c>
      <c r="AM55" s="29">
        <f t="shared" si="8"/>
        <v>1.7749999999999999</v>
      </c>
      <c r="AN55" s="77">
        <f t="shared" si="9"/>
        <v>7.0500000000000007</v>
      </c>
    </row>
    <row r="56" spans="1:40" x14ac:dyDescent="0.3">
      <c r="A56" t="s">
        <v>381</v>
      </c>
      <c r="B56" t="s">
        <v>1344</v>
      </c>
      <c r="C56" t="s">
        <v>594</v>
      </c>
      <c r="D56" t="s">
        <v>1345</v>
      </c>
      <c r="E56" t="s">
        <v>594</v>
      </c>
      <c r="F56" t="b">
        <v>1</v>
      </c>
      <c r="G56">
        <v>65</v>
      </c>
      <c r="H56">
        <v>0</v>
      </c>
      <c r="I56">
        <v>14325</v>
      </c>
      <c r="J56" s="61" t="s">
        <v>18</v>
      </c>
      <c r="K56" s="77" t="s">
        <v>273</v>
      </c>
      <c r="L56" s="77">
        <v>2</v>
      </c>
      <c r="M56" s="77" t="s">
        <v>277</v>
      </c>
      <c r="N56" s="77" t="s">
        <v>335</v>
      </c>
      <c r="O56" s="77" t="s">
        <v>283</v>
      </c>
      <c r="P56" s="77" t="s">
        <v>371</v>
      </c>
      <c r="Q56" s="77" t="s">
        <v>371</v>
      </c>
      <c r="R56" s="77" t="s">
        <v>371</v>
      </c>
      <c r="S56" s="77" t="s">
        <v>340</v>
      </c>
      <c r="T56" s="77" t="s">
        <v>342</v>
      </c>
      <c r="U56" s="77" t="s">
        <v>343</v>
      </c>
      <c r="V56" s="77" t="s">
        <v>347</v>
      </c>
      <c r="W56" s="78" t="s">
        <v>371</v>
      </c>
      <c r="AA56" t="s">
        <v>594</v>
      </c>
      <c r="AB56" s="77" t="s">
        <v>273</v>
      </c>
      <c r="AC56" s="6">
        <v>2</v>
      </c>
      <c r="AD56" s="29" t="str">
        <f t="shared" si="2"/>
        <v>continuous/fully_connected</v>
      </c>
      <c r="AE56" t="s">
        <v>283</v>
      </c>
      <c r="AF56" t="s">
        <v>1568</v>
      </c>
      <c r="AG56" s="29" t="s">
        <v>347</v>
      </c>
      <c r="AH56" s="29">
        <f t="shared" si="3"/>
        <v>0.94000000000000006</v>
      </c>
      <c r="AI56" s="29">
        <f t="shared" si="4"/>
        <v>0.89000000000000012</v>
      </c>
      <c r="AJ56" s="29">
        <f t="shared" si="5"/>
        <v>0.67500000000000004</v>
      </c>
      <c r="AK56" s="29">
        <f t="shared" si="6"/>
        <v>2.35</v>
      </c>
      <c r="AL56" s="29">
        <f t="shared" si="7"/>
        <v>0.44500000000000006</v>
      </c>
      <c r="AM56" s="29">
        <f t="shared" si="8"/>
        <v>2.4249999999999998</v>
      </c>
      <c r="AN56" s="77">
        <f t="shared" si="9"/>
        <v>7.7250000000000005</v>
      </c>
    </row>
    <row r="57" spans="1:40" x14ac:dyDescent="0.3">
      <c r="A57" t="s">
        <v>381</v>
      </c>
      <c r="B57" t="s">
        <v>1344</v>
      </c>
      <c r="C57" t="s">
        <v>483</v>
      </c>
      <c r="D57" t="s">
        <v>1345</v>
      </c>
      <c r="E57" t="s">
        <v>483</v>
      </c>
      <c r="F57" t="b">
        <v>1</v>
      </c>
      <c r="G57">
        <v>90.7</v>
      </c>
      <c r="H57">
        <v>0</v>
      </c>
      <c r="I57">
        <v>9583</v>
      </c>
      <c r="J57" s="61" t="s">
        <v>13</v>
      </c>
      <c r="K57" s="77" t="s">
        <v>272</v>
      </c>
      <c r="L57" s="77">
        <v>3</v>
      </c>
      <c r="M57" s="77" t="s">
        <v>277</v>
      </c>
      <c r="N57" s="77" t="s">
        <v>335</v>
      </c>
      <c r="O57" s="77" t="s">
        <v>283</v>
      </c>
      <c r="P57" s="77" t="s">
        <v>282</v>
      </c>
      <c r="Q57" s="77" t="s">
        <v>371</v>
      </c>
      <c r="R57" s="77" t="s">
        <v>371</v>
      </c>
      <c r="S57" s="77" t="s">
        <v>341</v>
      </c>
      <c r="T57" s="77" t="s">
        <v>340</v>
      </c>
      <c r="U57" s="77" t="s">
        <v>343</v>
      </c>
      <c r="V57" s="77" t="s">
        <v>345</v>
      </c>
      <c r="W57" s="78" t="s">
        <v>371</v>
      </c>
      <c r="AA57" t="s">
        <v>483</v>
      </c>
      <c r="AB57" s="77" t="s">
        <v>272</v>
      </c>
      <c r="AC57" s="6">
        <v>3</v>
      </c>
      <c r="AD57" s="29" t="str">
        <f t="shared" si="2"/>
        <v>continuous/fully_connected</v>
      </c>
      <c r="AE57" t="s">
        <v>1540</v>
      </c>
      <c r="AF57" t="s">
        <v>1567</v>
      </c>
      <c r="AG57" s="29" t="s">
        <v>345</v>
      </c>
      <c r="AH57" s="29">
        <f t="shared" si="3"/>
        <v>0.06</v>
      </c>
      <c r="AI57" s="29">
        <f t="shared" si="4"/>
        <v>0.12</v>
      </c>
      <c r="AJ57" s="29">
        <f t="shared" si="5"/>
        <v>0.67500000000000004</v>
      </c>
      <c r="AK57" s="29">
        <f t="shared" si="6"/>
        <v>2.375</v>
      </c>
      <c r="AL57" s="29">
        <f t="shared" si="7"/>
        <v>0.32000000000000006</v>
      </c>
      <c r="AM57" s="29">
        <f t="shared" si="8"/>
        <v>1.7749999999999999</v>
      </c>
      <c r="AN57" s="77">
        <f t="shared" si="9"/>
        <v>5.3249999999999993</v>
      </c>
    </row>
    <row r="58" spans="1:40" x14ac:dyDescent="0.3">
      <c r="A58" t="s">
        <v>381</v>
      </c>
      <c r="B58" t="s">
        <v>1344</v>
      </c>
      <c r="C58" t="s">
        <v>429</v>
      </c>
      <c r="D58" t="s">
        <v>1345</v>
      </c>
      <c r="E58" t="s">
        <v>429</v>
      </c>
      <c r="F58" t="b">
        <v>1</v>
      </c>
      <c r="G58">
        <v>89</v>
      </c>
      <c r="H58">
        <v>0</v>
      </c>
      <c r="I58">
        <v>9178</v>
      </c>
      <c r="J58" s="61" t="s">
        <v>13</v>
      </c>
      <c r="K58" s="77" t="s">
        <v>272</v>
      </c>
      <c r="L58" s="77">
        <v>3</v>
      </c>
      <c r="M58" s="77" t="s">
        <v>277</v>
      </c>
      <c r="N58" s="77" t="s">
        <v>335</v>
      </c>
      <c r="O58" s="77" t="s">
        <v>282</v>
      </c>
      <c r="P58" s="77" t="s">
        <v>371</v>
      </c>
      <c r="Q58" s="77" t="s">
        <v>371</v>
      </c>
      <c r="R58" s="77" t="s">
        <v>371</v>
      </c>
      <c r="S58" s="77" t="s">
        <v>341</v>
      </c>
      <c r="T58" s="77" t="s">
        <v>342</v>
      </c>
      <c r="U58" s="77" t="s">
        <v>343</v>
      </c>
      <c r="V58" s="77" t="s">
        <v>345</v>
      </c>
      <c r="W58" s="78" t="s">
        <v>347</v>
      </c>
      <c r="AA58" t="s">
        <v>429</v>
      </c>
      <c r="AB58" s="77" t="s">
        <v>272</v>
      </c>
      <c r="AC58" s="6">
        <v>3</v>
      </c>
      <c r="AD58" s="29" t="str">
        <f t="shared" si="2"/>
        <v>continuous/fully_connected</v>
      </c>
      <c r="AE58" t="s">
        <v>282</v>
      </c>
      <c r="AF58" t="s">
        <v>1566</v>
      </c>
      <c r="AG58" s="29" t="s">
        <v>1573</v>
      </c>
      <c r="AH58" s="29">
        <f t="shared" si="3"/>
        <v>0.06</v>
      </c>
      <c r="AI58" s="29">
        <f t="shared" si="4"/>
        <v>0.12</v>
      </c>
      <c r="AJ58" s="29">
        <f t="shared" si="5"/>
        <v>0.67500000000000004</v>
      </c>
      <c r="AK58" s="29">
        <f t="shared" si="6"/>
        <v>1.925</v>
      </c>
      <c r="AL58" s="29">
        <f t="shared" si="7"/>
        <v>0.27</v>
      </c>
      <c r="AM58" s="29">
        <f t="shared" si="8"/>
        <v>2.4249999999999998</v>
      </c>
      <c r="AN58" s="77">
        <f t="shared" si="9"/>
        <v>5.4749999999999996</v>
      </c>
    </row>
    <row r="59" spans="1:40" x14ac:dyDescent="0.3">
      <c r="A59" t="s">
        <v>381</v>
      </c>
      <c r="B59" t="s">
        <v>1344</v>
      </c>
      <c r="C59" t="s">
        <v>573</v>
      </c>
      <c r="D59" t="s">
        <v>1345</v>
      </c>
      <c r="E59" t="s">
        <v>573</v>
      </c>
      <c r="F59" t="b">
        <v>1</v>
      </c>
      <c r="G59">
        <v>97.8</v>
      </c>
      <c r="H59">
        <v>0</v>
      </c>
      <c r="I59">
        <v>7690</v>
      </c>
      <c r="J59" s="61" t="s">
        <v>13</v>
      </c>
      <c r="K59" s="77" t="s">
        <v>272</v>
      </c>
      <c r="L59" s="77">
        <v>3</v>
      </c>
      <c r="M59" s="77" t="s">
        <v>277</v>
      </c>
      <c r="N59" s="77" t="s">
        <v>335</v>
      </c>
      <c r="O59" s="77" t="s">
        <v>283</v>
      </c>
      <c r="P59" s="77" t="s">
        <v>282</v>
      </c>
      <c r="Q59" s="77" t="s">
        <v>284</v>
      </c>
      <c r="R59" s="77" t="s">
        <v>371</v>
      </c>
      <c r="S59" s="77" t="s">
        <v>341</v>
      </c>
      <c r="T59" s="77" t="s">
        <v>342</v>
      </c>
      <c r="U59" s="77" t="s">
        <v>343</v>
      </c>
      <c r="V59" s="77" t="s">
        <v>344</v>
      </c>
      <c r="W59" s="78" t="s">
        <v>371</v>
      </c>
      <c r="AA59" t="s">
        <v>573</v>
      </c>
      <c r="AB59" s="77" t="s">
        <v>272</v>
      </c>
      <c r="AC59" s="6">
        <v>3</v>
      </c>
      <c r="AD59" s="29" t="str">
        <f t="shared" si="2"/>
        <v>continuous/fully_connected</v>
      </c>
      <c r="AE59" t="s">
        <v>1535</v>
      </c>
      <c r="AF59" t="s">
        <v>1566</v>
      </c>
      <c r="AG59" s="29" t="s">
        <v>344</v>
      </c>
      <c r="AH59" s="29">
        <f t="shared" si="3"/>
        <v>0.06</v>
      </c>
      <c r="AI59" s="29">
        <f t="shared" si="4"/>
        <v>0.12</v>
      </c>
      <c r="AJ59" s="29">
        <f t="shared" si="5"/>
        <v>0.67500000000000004</v>
      </c>
      <c r="AK59" s="29">
        <f t="shared" si="6"/>
        <v>2.375</v>
      </c>
      <c r="AL59" s="29">
        <f t="shared" si="7"/>
        <v>0.27</v>
      </c>
      <c r="AM59" s="29">
        <f t="shared" si="8"/>
        <v>1.825</v>
      </c>
      <c r="AN59" s="77">
        <f t="shared" si="9"/>
        <v>5.3250000000000002</v>
      </c>
    </row>
    <row r="60" spans="1:40" x14ac:dyDescent="0.3">
      <c r="A60" t="s">
        <v>381</v>
      </c>
      <c r="B60" t="s">
        <v>1344</v>
      </c>
      <c r="C60" t="s">
        <v>681</v>
      </c>
      <c r="D60" t="s">
        <v>1345</v>
      </c>
      <c r="E60" t="s">
        <v>681</v>
      </c>
      <c r="F60" t="b">
        <v>1</v>
      </c>
      <c r="G60">
        <v>100</v>
      </c>
      <c r="H60">
        <v>1</v>
      </c>
      <c r="I60">
        <v>17232</v>
      </c>
      <c r="J60" s="61" t="s">
        <v>13</v>
      </c>
      <c r="K60" s="77" t="s">
        <v>272</v>
      </c>
      <c r="L60" s="77">
        <v>3</v>
      </c>
      <c r="M60" s="77" t="s">
        <v>277</v>
      </c>
      <c r="N60" s="77" t="s">
        <v>336</v>
      </c>
      <c r="O60" s="77" t="s">
        <v>281</v>
      </c>
      <c r="P60" s="77" t="s">
        <v>283</v>
      </c>
      <c r="Q60" s="77" t="s">
        <v>371</v>
      </c>
      <c r="R60" s="77" t="s">
        <v>371</v>
      </c>
      <c r="S60" s="77" t="s">
        <v>341</v>
      </c>
      <c r="T60" s="77" t="s">
        <v>340</v>
      </c>
      <c r="U60" s="77" t="s">
        <v>343</v>
      </c>
      <c r="V60" s="77" t="s">
        <v>346</v>
      </c>
      <c r="W60" s="78" t="s">
        <v>371</v>
      </c>
      <c r="AA60" t="s">
        <v>681</v>
      </c>
      <c r="AB60" s="77" t="s">
        <v>272</v>
      </c>
      <c r="AC60" s="6">
        <v>3</v>
      </c>
      <c r="AD60" s="29" t="str">
        <f t="shared" si="2"/>
        <v>continuous/right_overhang</v>
      </c>
      <c r="AE60" t="s">
        <v>1546</v>
      </c>
      <c r="AF60" t="s">
        <v>1567</v>
      </c>
      <c r="AG60" s="29" t="s">
        <v>346</v>
      </c>
      <c r="AH60" s="29">
        <f t="shared" si="3"/>
        <v>0.06</v>
      </c>
      <c r="AI60" s="29">
        <f t="shared" si="4"/>
        <v>0.12</v>
      </c>
      <c r="AJ60" s="29">
        <f t="shared" si="5"/>
        <v>2.375</v>
      </c>
      <c r="AK60" s="29">
        <f t="shared" si="6"/>
        <v>2.2999999999999998</v>
      </c>
      <c r="AL60" s="29">
        <f t="shared" si="7"/>
        <v>0.32000000000000006</v>
      </c>
      <c r="AM60" s="29">
        <f t="shared" si="8"/>
        <v>2.4750000000000001</v>
      </c>
      <c r="AN60" s="77">
        <f t="shared" si="9"/>
        <v>7.65</v>
      </c>
    </row>
    <row r="61" spans="1:40" x14ac:dyDescent="0.3">
      <c r="A61" t="s">
        <v>381</v>
      </c>
      <c r="B61" t="s">
        <v>1344</v>
      </c>
      <c r="C61" t="s">
        <v>432</v>
      </c>
      <c r="D61" t="s">
        <v>1345</v>
      </c>
      <c r="E61" t="s">
        <v>432</v>
      </c>
      <c r="F61" t="b">
        <v>1</v>
      </c>
      <c r="G61">
        <v>76.2</v>
      </c>
      <c r="H61">
        <v>0</v>
      </c>
      <c r="I61">
        <v>14998</v>
      </c>
      <c r="J61" s="61" t="s">
        <v>13</v>
      </c>
      <c r="K61" s="77" t="s">
        <v>272</v>
      </c>
      <c r="L61" s="77">
        <v>3</v>
      </c>
      <c r="M61" s="77" t="s">
        <v>277</v>
      </c>
      <c r="N61" s="77" t="s">
        <v>336</v>
      </c>
      <c r="O61" s="77" t="s">
        <v>284</v>
      </c>
      <c r="P61" s="77" t="s">
        <v>283</v>
      </c>
      <c r="Q61" s="77" t="s">
        <v>282</v>
      </c>
      <c r="R61" s="77" t="s">
        <v>281</v>
      </c>
      <c r="S61" s="77" t="s">
        <v>341</v>
      </c>
      <c r="T61" s="77" t="s">
        <v>342</v>
      </c>
      <c r="U61" s="77" t="s">
        <v>343</v>
      </c>
      <c r="V61" s="77" t="s">
        <v>344</v>
      </c>
      <c r="W61" s="78" t="s">
        <v>371</v>
      </c>
      <c r="AA61" t="s">
        <v>432</v>
      </c>
      <c r="AB61" s="77" t="s">
        <v>272</v>
      </c>
      <c r="AC61" s="6">
        <v>3</v>
      </c>
      <c r="AD61" s="29" t="str">
        <f t="shared" si="2"/>
        <v>continuous/right_overhang</v>
      </c>
      <c r="AE61" t="s">
        <v>1533</v>
      </c>
      <c r="AF61" t="s">
        <v>1566</v>
      </c>
      <c r="AG61" s="29" t="s">
        <v>344</v>
      </c>
      <c r="AH61" s="29">
        <f t="shared" si="3"/>
        <v>0.06</v>
      </c>
      <c r="AI61" s="29">
        <f t="shared" si="4"/>
        <v>0.12</v>
      </c>
      <c r="AJ61" s="29">
        <f t="shared" si="5"/>
        <v>2.375</v>
      </c>
      <c r="AK61" s="29">
        <f t="shared" si="6"/>
        <v>2.4750000000000001</v>
      </c>
      <c r="AL61" s="29">
        <f t="shared" si="7"/>
        <v>0.27</v>
      </c>
      <c r="AM61" s="29">
        <f t="shared" si="8"/>
        <v>1.825</v>
      </c>
      <c r="AN61" s="77">
        <f t="shared" si="9"/>
        <v>7.1250000000000009</v>
      </c>
    </row>
    <row r="62" spans="1:40" x14ac:dyDescent="0.3">
      <c r="A62" t="s">
        <v>381</v>
      </c>
      <c r="B62" t="s">
        <v>1344</v>
      </c>
      <c r="C62" t="s">
        <v>402</v>
      </c>
      <c r="D62" t="s">
        <v>1345</v>
      </c>
      <c r="E62" t="s">
        <v>402</v>
      </c>
      <c r="F62" t="b">
        <v>1</v>
      </c>
      <c r="G62">
        <v>99.5</v>
      </c>
      <c r="H62">
        <v>0</v>
      </c>
      <c r="I62">
        <v>8082</v>
      </c>
      <c r="J62" s="61" t="s">
        <v>13</v>
      </c>
      <c r="K62" s="77" t="s">
        <v>272</v>
      </c>
      <c r="L62" s="77">
        <v>3</v>
      </c>
      <c r="M62" s="77" t="s">
        <v>277</v>
      </c>
      <c r="N62" s="77" t="s">
        <v>335</v>
      </c>
      <c r="O62" s="77" t="s">
        <v>283</v>
      </c>
      <c r="P62" s="77" t="s">
        <v>284</v>
      </c>
      <c r="Q62" s="77" t="s">
        <v>371</v>
      </c>
      <c r="R62" s="77" t="s">
        <v>371</v>
      </c>
      <c r="S62" s="77" t="s">
        <v>341</v>
      </c>
      <c r="T62" s="77" t="s">
        <v>340</v>
      </c>
      <c r="U62" s="77" t="s">
        <v>343</v>
      </c>
      <c r="V62" s="77" t="s">
        <v>345</v>
      </c>
      <c r="W62" s="78" t="s">
        <v>371</v>
      </c>
      <c r="AA62" t="s">
        <v>402</v>
      </c>
      <c r="AB62" s="77" t="s">
        <v>272</v>
      </c>
      <c r="AC62" s="6">
        <v>3</v>
      </c>
      <c r="AD62" s="29" t="str">
        <f t="shared" si="2"/>
        <v>continuous/fully_connected</v>
      </c>
      <c r="AE62" t="s">
        <v>1542</v>
      </c>
      <c r="AF62" t="s">
        <v>1567</v>
      </c>
      <c r="AG62" s="29" t="s">
        <v>345</v>
      </c>
      <c r="AH62" s="29">
        <f t="shared" si="3"/>
        <v>0.06</v>
      </c>
      <c r="AI62" s="29">
        <f t="shared" si="4"/>
        <v>0.12</v>
      </c>
      <c r="AJ62" s="29">
        <f t="shared" si="5"/>
        <v>0.67500000000000004</v>
      </c>
      <c r="AK62" s="29">
        <f t="shared" si="6"/>
        <v>2.35</v>
      </c>
      <c r="AL62" s="29">
        <f t="shared" si="7"/>
        <v>0.32000000000000006</v>
      </c>
      <c r="AM62" s="29">
        <f t="shared" si="8"/>
        <v>1.7749999999999999</v>
      </c>
      <c r="AN62" s="77">
        <f t="shared" si="9"/>
        <v>5.3000000000000007</v>
      </c>
    </row>
    <row r="63" spans="1:40" x14ac:dyDescent="0.3">
      <c r="A63" t="s">
        <v>381</v>
      </c>
      <c r="B63" t="s">
        <v>1344</v>
      </c>
      <c r="C63" t="s">
        <v>426</v>
      </c>
      <c r="D63" t="s">
        <v>1345</v>
      </c>
      <c r="E63" t="s">
        <v>426</v>
      </c>
      <c r="F63" t="b">
        <v>1</v>
      </c>
      <c r="G63">
        <v>93</v>
      </c>
      <c r="H63">
        <v>0</v>
      </c>
      <c r="I63">
        <v>8218</v>
      </c>
      <c r="J63" s="61" t="s">
        <v>13</v>
      </c>
      <c r="K63" s="77" t="s">
        <v>272</v>
      </c>
      <c r="L63" s="77">
        <v>3</v>
      </c>
      <c r="M63" s="77" t="s">
        <v>277</v>
      </c>
      <c r="N63" s="77" t="s">
        <v>335</v>
      </c>
      <c r="O63" s="77" t="s">
        <v>283</v>
      </c>
      <c r="P63" s="77" t="s">
        <v>286</v>
      </c>
      <c r="Q63" s="77" t="s">
        <v>284</v>
      </c>
      <c r="R63" s="77" t="s">
        <v>371</v>
      </c>
      <c r="S63" s="77" t="s">
        <v>341</v>
      </c>
      <c r="T63" s="77" t="s">
        <v>342</v>
      </c>
      <c r="U63" s="77" t="s">
        <v>343</v>
      </c>
      <c r="V63" s="77" t="s">
        <v>344</v>
      </c>
      <c r="W63" s="78" t="s">
        <v>371</v>
      </c>
      <c r="AA63" t="s">
        <v>426</v>
      </c>
      <c r="AB63" s="77" t="s">
        <v>272</v>
      </c>
      <c r="AC63" s="6">
        <v>3</v>
      </c>
      <c r="AD63" s="29" t="str">
        <f t="shared" si="2"/>
        <v>continuous/fully_connected</v>
      </c>
      <c r="AE63" t="s">
        <v>1545</v>
      </c>
      <c r="AF63" t="s">
        <v>1566</v>
      </c>
      <c r="AG63" s="29" t="s">
        <v>344</v>
      </c>
      <c r="AH63" s="29">
        <f t="shared" si="3"/>
        <v>0.06</v>
      </c>
      <c r="AI63" s="29">
        <f t="shared" si="4"/>
        <v>0.12</v>
      </c>
      <c r="AJ63" s="29">
        <f t="shared" si="5"/>
        <v>0.67500000000000004</v>
      </c>
      <c r="AK63" s="29">
        <f t="shared" si="6"/>
        <v>2.4750000000000001</v>
      </c>
      <c r="AL63" s="29">
        <f t="shared" si="7"/>
        <v>0.27</v>
      </c>
      <c r="AM63" s="29">
        <f t="shared" si="8"/>
        <v>1.825</v>
      </c>
      <c r="AN63" s="77">
        <f t="shared" si="9"/>
        <v>5.4249999999999998</v>
      </c>
    </row>
    <row r="64" spans="1:40" x14ac:dyDescent="0.3">
      <c r="A64" t="s">
        <v>381</v>
      </c>
      <c r="B64" t="s">
        <v>1344</v>
      </c>
      <c r="C64" t="s">
        <v>420</v>
      </c>
      <c r="D64" t="s">
        <v>1345</v>
      </c>
      <c r="E64" t="s">
        <v>420</v>
      </c>
      <c r="F64" t="b">
        <v>1</v>
      </c>
      <c r="G64">
        <v>71.900000000000006</v>
      </c>
      <c r="H64">
        <v>0</v>
      </c>
      <c r="I64">
        <v>8889</v>
      </c>
      <c r="J64" s="61" t="s">
        <v>13</v>
      </c>
      <c r="K64" s="77" t="s">
        <v>272</v>
      </c>
      <c r="L64" s="77">
        <v>3</v>
      </c>
      <c r="M64" s="77" t="s">
        <v>277</v>
      </c>
      <c r="N64" s="77" t="s">
        <v>335</v>
      </c>
      <c r="O64" s="77" t="s">
        <v>281</v>
      </c>
      <c r="P64" s="77" t="s">
        <v>282</v>
      </c>
      <c r="Q64" s="77" t="s">
        <v>371</v>
      </c>
      <c r="R64" s="77" t="s">
        <v>371</v>
      </c>
      <c r="S64" s="77" t="s">
        <v>341</v>
      </c>
      <c r="T64" s="77" t="s">
        <v>340</v>
      </c>
      <c r="U64" s="77" t="s">
        <v>343</v>
      </c>
      <c r="V64" s="77" t="s">
        <v>344</v>
      </c>
      <c r="W64" s="78" t="s">
        <v>345</v>
      </c>
      <c r="AA64" t="s">
        <v>420</v>
      </c>
      <c r="AB64" s="77" t="s">
        <v>272</v>
      </c>
      <c r="AC64" s="6">
        <v>3</v>
      </c>
      <c r="AD64" s="29" t="str">
        <f t="shared" si="2"/>
        <v>continuous/fully_connected</v>
      </c>
      <c r="AE64" t="s">
        <v>1537</v>
      </c>
      <c r="AF64" t="s">
        <v>1567</v>
      </c>
      <c r="AG64" s="29" t="s">
        <v>1574</v>
      </c>
      <c r="AH64" s="29">
        <f t="shared" si="3"/>
        <v>0.06</v>
      </c>
      <c r="AI64" s="29">
        <f t="shared" si="4"/>
        <v>0.12</v>
      </c>
      <c r="AJ64" s="29">
        <f t="shared" si="5"/>
        <v>0.67500000000000004</v>
      </c>
      <c r="AK64" s="29">
        <f t="shared" si="6"/>
        <v>2.2250000000000001</v>
      </c>
      <c r="AL64" s="29">
        <f t="shared" si="7"/>
        <v>0.32000000000000006</v>
      </c>
      <c r="AM64" s="29">
        <f t="shared" si="8"/>
        <v>2.375</v>
      </c>
      <c r="AN64" s="77">
        <f t="shared" si="9"/>
        <v>5.7750000000000004</v>
      </c>
    </row>
    <row r="65" spans="1:40" x14ac:dyDescent="0.3">
      <c r="A65" t="s">
        <v>381</v>
      </c>
      <c r="B65" t="s">
        <v>1344</v>
      </c>
      <c r="C65" t="s">
        <v>636</v>
      </c>
      <c r="D65" t="s">
        <v>1345</v>
      </c>
      <c r="E65" t="s">
        <v>636</v>
      </c>
      <c r="F65" t="b">
        <v>1</v>
      </c>
      <c r="G65">
        <v>55.4</v>
      </c>
      <c r="H65">
        <v>0</v>
      </c>
      <c r="I65">
        <v>14983</v>
      </c>
      <c r="J65" s="61" t="s">
        <v>13</v>
      </c>
      <c r="K65" s="77" t="s">
        <v>272</v>
      </c>
      <c r="L65" s="77">
        <v>3</v>
      </c>
      <c r="M65" s="77" t="s">
        <v>277</v>
      </c>
      <c r="N65" s="77" t="s">
        <v>336</v>
      </c>
      <c r="O65" s="77" t="s">
        <v>283</v>
      </c>
      <c r="P65" s="77" t="s">
        <v>281</v>
      </c>
      <c r="Q65" s="77" t="s">
        <v>371</v>
      </c>
      <c r="R65" s="77" t="s">
        <v>371</v>
      </c>
      <c r="S65" s="77" t="s">
        <v>341</v>
      </c>
      <c r="T65" s="77" t="s">
        <v>340</v>
      </c>
      <c r="U65" s="77" t="s">
        <v>343</v>
      </c>
      <c r="V65" s="77" t="s">
        <v>344</v>
      </c>
      <c r="W65" s="78" t="s">
        <v>371</v>
      </c>
      <c r="AA65" t="s">
        <v>636</v>
      </c>
      <c r="AB65" s="77" t="s">
        <v>272</v>
      </c>
      <c r="AC65" s="6">
        <v>3</v>
      </c>
      <c r="AD65" s="29" t="str">
        <f t="shared" si="2"/>
        <v>continuous/right_overhang</v>
      </c>
      <c r="AE65" t="s">
        <v>1546</v>
      </c>
      <c r="AF65" t="s">
        <v>1567</v>
      </c>
      <c r="AG65" s="29" t="s">
        <v>344</v>
      </c>
      <c r="AH65" s="29">
        <f t="shared" si="3"/>
        <v>0.06</v>
      </c>
      <c r="AI65" s="29">
        <f t="shared" si="4"/>
        <v>0.12</v>
      </c>
      <c r="AJ65" s="29">
        <f t="shared" si="5"/>
        <v>2.375</v>
      </c>
      <c r="AK65" s="29">
        <f t="shared" si="6"/>
        <v>2.2999999999999998</v>
      </c>
      <c r="AL65" s="29">
        <f t="shared" si="7"/>
        <v>0.32000000000000006</v>
      </c>
      <c r="AM65" s="29">
        <f t="shared" si="8"/>
        <v>1.825</v>
      </c>
      <c r="AN65" s="77">
        <f t="shared" si="9"/>
        <v>7.0000000000000009</v>
      </c>
    </row>
    <row r="66" spans="1:40" x14ac:dyDescent="0.3">
      <c r="A66" t="s">
        <v>381</v>
      </c>
      <c r="B66" t="s">
        <v>1344</v>
      </c>
      <c r="C66" t="s">
        <v>588</v>
      </c>
      <c r="D66" t="s">
        <v>1345</v>
      </c>
      <c r="E66" t="s">
        <v>588</v>
      </c>
      <c r="F66" t="b">
        <v>1</v>
      </c>
      <c r="G66">
        <v>55.09</v>
      </c>
      <c r="H66">
        <v>0</v>
      </c>
      <c r="I66">
        <v>14206</v>
      </c>
      <c r="J66" s="61" t="s">
        <v>13</v>
      </c>
      <c r="K66" s="77" t="s">
        <v>272</v>
      </c>
      <c r="L66" s="77">
        <v>3</v>
      </c>
      <c r="M66" s="77" t="s">
        <v>277</v>
      </c>
      <c r="N66" s="77" t="s">
        <v>335</v>
      </c>
      <c r="O66" s="77" t="s">
        <v>282</v>
      </c>
      <c r="P66" s="77" t="s">
        <v>371</v>
      </c>
      <c r="Q66" s="77" t="s">
        <v>371</v>
      </c>
      <c r="R66" s="77" t="s">
        <v>371</v>
      </c>
      <c r="S66" s="77" t="s">
        <v>341</v>
      </c>
      <c r="T66" s="77" t="s">
        <v>340</v>
      </c>
      <c r="U66" s="77" t="s">
        <v>343</v>
      </c>
      <c r="V66" s="77" t="s">
        <v>344</v>
      </c>
      <c r="W66" s="78" t="s">
        <v>371</v>
      </c>
      <c r="AA66" t="s">
        <v>588</v>
      </c>
      <c r="AB66" s="77" t="s">
        <v>272</v>
      </c>
      <c r="AC66" s="6">
        <v>3</v>
      </c>
      <c r="AD66" s="29" t="str">
        <f t="shared" si="2"/>
        <v>continuous/fully_connected</v>
      </c>
      <c r="AE66" t="s">
        <v>282</v>
      </c>
      <c r="AF66" t="s">
        <v>1567</v>
      </c>
      <c r="AG66" s="29" t="s">
        <v>344</v>
      </c>
      <c r="AH66" s="29">
        <f t="shared" si="3"/>
        <v>0.06</v>
      </c>
      <c r="AI66" s="29">
        <f t="shared" si="4"/>
        <v>0.12</v>
      </c>
      <c r="AJ66" s="29">
        <f t="shared" si="5"/>
        <v>0.67500000000000004</v>
      </c>
      <c r="AK66" s="29">
        <f t="shared" si="6"/>
        <v>1.925</v>
      </c>
      <c r="AL66" s="29">
        <f t="shared" si="7"/>
        <v>0.32000000000000006</v>
      </c>
      <c r="AM66" s="29">
        <f t="shared" si="8"/>
        <v>1.825</v>
      </c>
      <c r="AN66" s="77">
        <f t="shared" si="9"/>
        <v>4.9250000000000007</v>
      </c>
    </row>
    <row r="67" spans="1:40" x14ac:dyDescent="0.3">
      <c r="A67" t="s">
        <v>381</v>
      </c>
      <c r="B67" t="s">
        <v>1344</v>
      </c>
      <c r="C67" t="s">
        <v>405</v>
      </c>
      <c r="D67" t="s">
        <v>1345</v>
      </c>
      <c r="E67" t="s">
        <v>405</v>
      </c>
      <c r="F67" t="b">
        <v>1</v>
      </c>
      <c r="G67">
        <v>88.94</v>
      </c>
      <c r="H67">
        <v>0</v>
      </c>
      <c r="I67">
        <v>8381</v>
      </c>
      <c r="J67" s="61" t="s">
        <v>13</v>
      </c>
      <c r="K67" s="77" t="s">
        <v>272</v>
      </c>
      <c r="L67" s="77">
        <v>3</v>
      </c>
      <c r="M67" s="77" t="s">
        <v>333</v>
      </c>
      <c r="N67" s="77" t="s">
        <v>278</v>
      </c>
      <c r="O67" s="77" t="s">
        <v>281</v>
      </c>
      <c r="P67" s="77" t="s">
        <v>283</v>
      </c>
      <c r="Q67" s="77" t="s">
        <v>371</v>
      </c>
      <c r="R67" s="77" t="s">
        <v>371</v>
      </c>
      <c r="S67" s="77" t="s">
        <v>341</v>
      </c>
      <c r="T67" s="77" t="s">
        <v>340</v>
      </c>
      <c r="U67" s="77" t="s">
        <v>343</v>
      </c>
      <c r="V67" s="77" t="s">
        <v>345</v>
      </c>
      <c r="W67" s="78" t="s">
        <v>371</v>
      </c>
      <c r="AA67" t="s">
        <v>405</v>
      </c>
      <c r="AB67" s="77" t="s">
        <v>272</v>
      </c>
      <c r="AC67" s="6">
        <v>3</v>
      </c>
      <c r="AD67" s="29" t="str">
        <f t="shared" si="2"/>
        <v>missing_section/right</v>
      </c>
      <c r="AE67" t="s">
        <v>1546</v>
      </c>
      <c r="AF67" t="s">
        <v>1567</v>
      </c>
      <c r="AG67" s="29" t="s">
        <v>345</v>
      </c>
      <c r="AH67" s="29">
        <f t="shared" si="3"/>
        <v>0.06</v>
      </c>
      <c r="AI67" s="29">
        <f t="shared" si="4"/>
        <v>0.12</v>
      </c>
      <c r="AJ67" s="29">
        <f t="shared" si="5"/>
        <v>2.0750000000000002</v>
      </c>
      <c r="AK67" s="29">
        <f t="shared" si="6"/>
        <v>2.2999999999999998</v>
      </c>
      <c r="AL67" s="29">
        <f t="shared" si="7"/>
        <v>0.32000000000000006</v>
      </c>
      <c r="AM67" s="29">
        <f t="shared" si="8"/>
        <v>1.7749999999999999</v>
      </c>
      <c r="AN67" s="77">
        <f t="shared" si="9"/>
        <v>6.65</v>
      </c>
    </row>
    <row r="68" spans="1:40" x14ac:dyDescent="0.3">
      <c r="A68" t="s">
        <v>381</v>
      </c>
      <c r="B68" t="s">
        <v>1344</v>
      </c>
      <c r="C68" t="s">
        <v>495</v>
      </c>
      <c r="D68" t="s">
        <v>1345</v>
      </c>
      <c r="E68" t="s">
        <v>495</v>
      </c>
      <c r="F68" t="b">
        <v>1</v>
      </c>
      <c r="G68">
        <v>91.7</v>
      </c>
      <c r="H68">
        <v>0</v>
      </c>
      <c r="I68">
        <v>8734</v>
      </c>
      <c r="J68" s="61" t="s">
        <v>13</v>
      </c>
      <c r="K68" s="77" t="s">
        <v>272</v>
      </c>
      <c r="L68" s="77">
        <v>3</v>
      </c>
      <c r="M68" s="77" t="s">
        <v>277</v>
      </c>
      <c r="N68" s="77" t="s">
        <v>335</v>
      </c>
      <c r="O68" s="77" t="s">
        <v>282</v>
      </c>
      <c r="P68" s="77" t="s">
        <v>281</v>
      </c>
      <c r="Q68" s="77" t="s">
        <v>371</v>
      </c>
      <c r="R68" s="77" t="s">
        <v>371</v>
      </c>
      <c r="S68" s="77" t="s">
        <v>341</v>
      </c>
      <c r="T68" s="77" t="s">
        <v>342</v>
      </c>
      <c r="U68" s="77" t="s">
        <v>343</v>
      </c>
      <c r="V68" s="77" t="s">
        <v>344</v>
      </c>
      <c r="W68" s="78" t="s">
        <v>347</v>
      </c>
      <c r="AA68" t="s">
        <v>495</v>
      </c>
      <c r="AB68" s="77" t="s">
        <v>272</v>
      </c>
      <c r="AC68" s="6">
        <v>3</v>
      </c>
      <c r="AD68" s="29" t="str">
        <f t="shared" ref="AD68:AD102" si="20">M68&amp;"/"&amp;N68</f>
        <v>continuous/fully_connected</v>
      </c>
      <c r="AE68" t="s">
        <v>1537</v>
      </c>
      <c r="AF68" t="s">
        <v>1566</v>
      </c>
      <c r="AG68" s="29" t="s">
        <v>1571</v>
      </c>
      <c r="AH68" s="29">
        <f t="shared" ref="AH68:AH102" si="21">VLOOKUP(AB68,$AR$3:$AT$4,3,0)*AT$1</f>
        <v>0.06</v>
      </c>
      <c r="AI68" s="29">
        <f t="shared" ref="AI68:AI102" si="22">VLOOKUP(AC68,$AU$3:$AW$5,3,0)*AW$1</f>
        <v>0.12</v>
      </c>
      <c r="AJ68" s="29">
        <f t="shared" ref="AJ68:AJ102" si="23">VLOOKUP(AD68,$AX$3:$AZ$8,3,0)*AZ$1</f>
        <v>0.67500000000000004</v>
      </c>
      <c r="AK68" s="29">
        <f t="shared" ref="AK68:AK102" si="24">VLOOKUP(AE68,$BG$3:$BI$31,3,0)*BI$1</f>
        <v>2.2250000000000001</v>
      </c>
      <c r="AL68" s="29">
        <f t="shared" ref="AL68:AL102" si="25">VLOOKUP(AF68,$BA$3:$BC$8,3,0)*BC$1</f>
        <v>0.27</v>
      </c>
      <c r="AM68" s="29">
        <f t="shared" ref="AM68:AM102" si="26">VLOOKUP(AG68,$BD$3:$BF$14,3,0)*BF$1</f>
        <v>2.375</v>
      </c>
      <c r="AN68" s="77">
        <f t="shared" ref="AN68:AN102" si="27">SUM(AH68:AM68)</f>
        <v>5.7249999999999996</v>
      </c>
    </row>
    <row r="69" spans="1:40" x14ac:dyDescent="0.3">
      <c r="A69" t="s">
        <v>381</v>
      </c>
      <c r="B69" t="s">
        <v>1344</v>
      </c>
      <c r="C69" t="s">
        <v>423</v>
      </c>
      <c r="D69" t="s">
        <v>1345</v>
      </c>
      <c r="E69" t="s">
        <v>423</v>
      </c>
      <c r="F69" t="b">
        <v>1</v>
      </c>
      <c r="G69">
        <v>100</v>
      </c>
      <c r="H69">
        <v>1</v>
      </c>
      <c r="I69">
        <v>14194</v>
      </c>
      <c r="J69" s="61" t="s">
        <v>13</v>
      </c>
      <c r="K69" s="77" t="s">
        <v>272</v>
      </c>
      <c r="L69" s="77">
        <v>3</v>
      </c>
      <c r="M69" s="77" t="s">
        <v>277</v>
      </c>
      <c r="N69" s="77" t="s">
        <v>335</v>
      </c>
      <c r="O69" s="77" t="s">
        <v>339</v>
      </c>
      <c r="P69" s="77" t="s">
        <v>273</v>
      </c>
      <c r="Q69" s="77" t="s">
        <v>282</v>
      </c>
      <c r="R69" s="77" t="s">
        <v>371</v>
      </c>
      <c r="S69" s="77" t="s">
        <v>341</v>
      </c>
      <c r="T69" s="77" t="s">
        <v>342</v>
      </c>
      <c r="U69" s="77" t="s">
        <v>343</v>
      </c>
      <c r="V69" s="77" t="s">
        <v>344</v>
      </c>
      <c r="W69" s="78" t="s">
        <v>291</v>
      </c>
      <c r="AA69" t="s">
        <v>423</v>
      </c>
      <c r="AB69" s="77" t="s">
        <v>272</v>
      </c>
      <c r="AC69" s="6">
        <v>3</v>
      </c>
      <c r="AD69" s="29" t="str">
        <f t="shared" si="20"/>
        <v>continuous/fully_connected</v>
      </c>
      <c r="AE69" t="s">
        <v>1549</v>
      </c>
      <c r="AF69" t="s">
        <v>1566</v>
      </c>
      <c r="AG69" s="29" t="s">
        <v>1570</v>
      </c>
      <c r="AH69" s="29">
        <f t="shared" si="21"/>
        <v>0.06</v>
      </c>
      <c r="AI69" s="29">
        <f t="shared" si="22"/>
        <v>0.12</v>
      </c>
      <c r="AJ69" s="29">
        <f t="shared" si="23"/>
        <v>0.67500000000000004</v>
      </c>
      <c r="AK69" s="29">
        <f t="shared" si="24"/>
        <v>2.4750000000000001</v>
      </c>
      <c r="AL69" s="29">
        <f t="shared" si="25"/>
        <v>0.27</v>
      </c>
      <c r="AM69" s="29">
        <f t="shared" si="26"/>
        <v>2.35</v>
      </c>
      <c r="AN69" s="77">
        <f t="shared" si="27"/>
        <v>5.95</v>
      </c>
    </row>
    <row r="70" spans="1:40" x14ac:dyDescent="0.3">
      <c r="A70" t="s">
        <v>381</v>
      </c>
      <c r="B70" t="s">
        <v>1344</v>
      </c>
      <c r="C70" t="s">
        <v>384</v>
      </c>
      <c r="D70" t="s">
        <v>1345</v>
      </c>
      <c r="E70" t="s">
        <v>384</v>
      </c>
      <c r="F70" t="b">
        <v>1</v>
      </c>
      <c r="G70">
        <v>99.4</v>
      </c>
      <c r="H70">
        <v>0</v>
      </c>
      <c r="I70">
        <v>6465</v>
      </c>
      <c r="J70" s="61" t="s">
        <v>13</v>
      </c>
      <c r="K70" s="77" t="s">
        <v>272</v>
      </c>
      <c r="L70" s="77">
        <v>3</v>
      </c>
      <c r="M70" s="77" t="s">
        <v>277</v>
      </c>
      <c r="N70" s="77" t="s">
        <v>335</v>
      </c>
      <c r="O70" s="77" t="s">
        <v>283</v>
      </c>
      <c r="P70" s="77" t="s">
        <v>284</v>
      </c>
      <c r="Q70" s="77" t="s">
        <v>282</v>
      </c>
      <c r="R70" s="77" t="s">
        <v>371</v>
      </c>
      <c r="S70" s="77" t="s">
        <v>341</v>
      </c>
      <c r="T70" s="77" t="s">
        <v>340</v>
      </c>
      <c r="U70" s="77" t="s">
        <v>343</v>
      </c>
      <c r="V70" s="77" t="s">
        <v>344</v>
      </c>
      <c r="W70" s="78" t="s">
        <v>371</v>
      </c>
      <c r="AA70" t="s">
        <v>384</v>
      </c>
      <c r="AB70" s="77" t="s">
        <v>272</v>
      </c>
      <c r="AC70" s="6">
        <v>3</v>
      </c>
      <c r="AD70" s="29" t="str">
        <f t="shared" si="20"/>
        <v>continuous/fully_connected</v>
      </c>
      <c r="AE70" t="s">
        <v>1535</v>
      </c>
      <c r="AF70" t="s">
        <v>1567</v>
      </c>
      <c r="AG70" s="29" t="s">
        <v>344</v>
      </c>
      <c r="AH70" s="29">
        <f t="shared" si="21"/>
        <v>0.06</v>
      </c>
      <c r="AI70" s="29">
        <f t="shared" si="22"/>
        <v>0.12</v>
      </c>
      <c r="AJ70" s="29">
        <f t="shared" si="23"/>
        <v>0.67500000000000004</v>
      </c>
      <c r="AK70" s="29">
        <f t="shared" si="24"/>
        <v>2.375</v>
      </c>
      <c r="AL70" s="29">
        <f t="shared" si="25"/>
        <v>0.32000000000000006</v>
      </c>
      <c r="AM70" s="29">
        <f t="shared" si="26"/>
        <v>1.825</v>
      </c>
      <c r="AN70" s="77">
        <f t="shared" si="27"/>
        <v>5.375</v>
      </c>
    </row>
    <row r="71" spans="1:40" x14ac:dyDescent="0.3">
      <c r="A71" t="s">
        <v>381</v>
      </c>
      <c r="B71" t="s">
        <v>1344</v>
      </c>
      <c r="C71" t="s">
        <v>600</v>
      </c>
      <c r="D71" t="s">
        <v>1345</v>
      </c>
      <c r="E71" t="s">
        <v>600</v>
      </c>
      <c r="F71" t="b">
        <v>1</v>
      </c>
      <c r="G71">
        <v>69.5</v>
      </c>
      <c r="H71">
        <v>0</v>
      </c>
      <c r="I71">
        <v>11299</v>
      </c>
      <c r="J71" s="61" t="s">
        <v>13</v>
      </c>
      <c r="K71" s="77" t="s">
        <v>272</v>
      </c>
      <c r="L71" s="77">
        <v>3</v>
      </c>
      <c r="M71" s="77" t="s">
        <v>277</v>
      </c>
      <c r="N71" s="77" t="s">
        <v>335</v>
      </c>
      <c r="O71" s="77" t="s">
        <v>283</v>
      </c>
      <c r="P71" s="77" t="s">
        <v>282</v>
      </c>
      <c r="Q71" s="77" t="s">
        <v>371</v>
      </c>
      <c r="R71" s="77" t="s">
        <v>371</v>
      </c>
      <c r="S71" s="77" t="s">
        <v>341</v>
      </c>
      <c r="T71" s="77" t="s">
        <v>340</v>
      </c>
      <c r="U71" s="77" t="s">
        <v>343</v>
      </c>
      <c r="V71" s="77" t="s">
        <v>344</v>
      </c>
      <c r="W71" s="78" t="s">
        <v>371</v>
      </c>
      <c r="AA71" t="s">
        <v>600</v>
      </c>
      <c r="AB71" s="77" t="s">
        <v>272</v>
      </c>
      <c r="AC71" s="6">
        <v>3</v>
      </c>
      <c r="AD71" s="29" t="str">
        <f t="shared" si="20"/>
        <v>continuous/fully_connected</v>
      </c>
      <c r="AE71" t="s">
        <v>1540</v>
      </c>
      <c r="AF71" t="s">
        <v>1567</v>
      </c>
      <c r="AG71" s="29" t="s">
        <v>344</v>
      </c>
      <c r="AH71" s="29">
        <f t="shared" si="21"/>
        <v>0.06</v>
      </c>
      <c r="AI71" s="29">
        <f t="shared" si="22"/>
        <v>0.12</v>
      </c>
      <c r="AJ71" s="29">
        <f t="shared" si="23"/>
        <v>0.67500000000000004</v>
      </c>
      <c r="AK71" s="29">
        <f t="shared" si="24"/>
        <v>2.375</v>
      </c>
      <c r="AL71" s="29">
        <f t="shared" si="25"/>
        <v>0.32000000000000006</v>
      </c>
      <c r="AM71" s="29">
        <f t="shared" si="26"/>
        <v>1.825</v>
      </c>
      <c r="AN71" s="77">
        <f t="shared" si="27"/>
        <v>5.375</v>
      </c>
    </row>
    <row r="72" spans="1:40" x14ac:dyDescent="0.3">
      <c r="A72" t="s">
        <v>381</v>
      </c>
      <c r="B72" t="s">
        <v>1344</v>
      </c>
      <c r="C72" t="s">
        <v>513</v>
      </c>
      <c r="D72" t="s">
        <v>1345</v>
      </c>
      <c r="E72" t="s">
        <v>513</v>
      </c>
      <c r="F72" t="b">
        <v>1</v>
      </c>
      <c r="G72">
        <v>62.5</v>
      </c>
      <c r="H72">
        <v>0</v>
      </c>
      <c r="I72">
        <v>18643</v>
      </c>
      <c r="J72" s="61" t="s">
        <v>13</v>
      </c>
      <c r="K72" s="77" t="s">
        <v>272</v>
      </c>
      <c r="L72" s="77">
        <v>3</v>
      </c>
      <c r="M72" s="77" t="s">
        <v>277</v>
      </c>
      <c r="N72" s="77" t="s">
        <v>335</v>
      </c>
      <c r="O72" s="77" t="s">
        <v>281</v>
      </c>
      <c r="P72" s="77" t="s">
        <v>282</v>
      </c>
      <c r="Q72" s="77" t="s">
        <v>371</v>
      </c>
      <c r="R72" s="77" t="s">
        <v>371</v>
      </c>
      <c r="S72" s="77" t="s">
        <v>340</v>
      </c>
      <c r="T72" s="77" t="s">
        <v>342</v>
      </c>
      <c r="U72" s="77" t="s">
        <v>343</v>
      </c>
      <c r="V72" s="77" t="s">
        <v>344</v>
      </c>
      <c r="W72" s="78" t="s">
        <v>371</v>
      </c>
      <c r="AA72" t="s">
        <v>513</v>
      </c>
      <c r="AB72" s="77" t="s">
        <v>272</v>
      </c>
      <c r="AC72" s="6">
        <v>3</v>
      </c>
      <c r="AD72" s="29" t="str">
        <f t="shared" si="20"/>
        <v>continuous/fully_connected</v>
      </c>
      <c r="AE72" t="s">
        <v>1537</v>
      </c>
      <c r="AF72" t="s">
        <v>1568</v>
      </c>
      <c r="AG72" s="29" t="s">
        <v>344</v>
      </c>
      <c r="AH72" s="29">
        <f t="shared" si="21"/>
        <v>0.06</v>
      </c>
      <c r="AI72" s="29">
        <f t="shared" si="22"/>
        <v>0.12</v>
      </c>
      <c r="AJ72" s="29">
        <f t="shared" si="23"/>
        <v>0.67500000000000004</v>
      </c>
      <c r="AK72" s="29">
        <f t="shared" si="24"/>
        <v>2.2250000000000001</v>
      </c>
      <c r="AL72" s="29">
        <f t="shared" si="25"/>
        <v>0.44500000000000006</v>
      </c>
      <c r="AM72" s="29">
        <f t="shared" si="26"/>
        <v>1.825</v>
      </c>
      <c r="AN72" s="77">
        <f t="shared" si="27"/>
        <v>5.3500000000000005</v>
      </c>
    </row>
    <row r="73" spans="1:40" x14ac:dyDescent="0.3">
      <c r="A73" t="s">
        <v>381</v>
      </c>
      <c r="B73" t="s">
        <v>1344</v>
      </c>
      <c r="C73" t="s">
        <v>441</v>
      </c>
      <c r="D73" t="s">
        <v>1345</v>
      </c>
      <c r="E73" t="s">
        <v>441</v>
      </c>
      <c r="F73" t="b">
        <v>1</v>
      </c>
      <c r="G73">
        <v>97.1</v>
      </c>
      <c r="H73">
        <v>0</v>
      </c>
      <c r="I73">
        <v>7230</v>
      </c>
      <c r="J73" s="61" t="s">
        <v>13</v>
      </c>
      <c r="K73" s="77" t="s">
        <v>272</v>
      </c>
      <c r="L73" s="77">
        <v>3</v>
      </c>
      <c r="M73" s="77" t="s">
        <v>277</v>
      </c>
      <c r="N73" s="77" t="s">
        <v>335</v>
      </c>
      <c r="O73" s="77" t="s">
        <v>281</v>
      </c>
      <c r="P73" s="77" t="s">
        <v>283</v>
      </c>
      <c r="Q73" s="77" t="s">
        <v>282</v>
      </c>
      <c r="R73" s="77" t="s">
        <v>371</v>
      </c>
      <c r="S73" s="77" t="s">
        <v>341</v>
      </c>
      <c r="T73" s="77" t="s">
        <v>342</v>
      </c>
      <c r="U73" s="77" t="s">
        <v>343</v>
      </c>
      <c r="V73" s="77" t="s">
        <v>345</v>
      </c>
      <c r="W73" s="78" t="s">
        <v>371</v>
      </c>
      <c r="AA73" t="s">
        <v>441</v>
      </c>
      <c r="AB73" s="77" t="s">
        <v>272</v>
      </c>
      <c r="AC73" s="6">
        <v>3</v>
      </c>
      <c r="AD73" s="29" t="str">
        <f t="shared" si="20"/>
        <v>continuous/fully_connected</v>
      </c>
      <c r="AE73" t="s">
        <v>1557</v>
      </c>
      <c r="AF73" t="s">
        <v>1566</v>
      </c>
      <c r="AG73" s="29" t="s">
        <v>345</v>
      </c>
      <c r="AH73" s="29">
        <f t="shared" si="21"/>
        <v>0.06</v>
      </c>
      <c r="AI73" s="29">
        <f t="shared" si="22"/>
        <v>0.12</v>
      </c>
      <c r="AJ73" s="29">
        <f t="shared" si="23"/>
        <v>0.67500000000000004</v>
      </c>
      <c r="AK73" s="29">
        <f t="shared" si="24"/>
        <v>2.4249999999999998</v>
      </c>
      <c r="AL73" s="29">
        <f t="shared" si="25"/>
        <v>0.27</v>
      </c>
      <c r="AM73" s="29">
        <f t="shared" si="26"/>
        <v>1.7749999999999999</v>
      </c>
      <c r="AN73" s="77">
        <f t="shared" si="27"/>
        <v>5.3249999999999993</v>
      </c>
    </row>
    <row r="74" spans="1:40" x14ac:dyDescent="0.3">
      <c r="A74" t="s">
        <v>381</v>
      </c>
      <c r="B74" t="s">
        <v>1344</v>
      </c>
      <c r="C74" t="s">
        <v>525</v>
      </c>
      <c r="D74" t="s">
        <v>1345</v>
      </c>
      <c r="E74" t="s">
        <v>525</v>
      </c>
      <c r="F74" t="b">
        <v>1</v>
      </c>
      <c r="G74">
        <v>98.4</v>
      </c>
      <c r="H74">
        <v>0</v>
      </c>
      <c r="I74">
        <v>8820</v>
      </c>
      <c r="J74" s="61" t="s">
        <v>13</v>
      </c>
      <c r="K74" s="77" t="s">
        <v>272</v>
      </c>
      <c r="L74" s="77">
        <v>3</v>
      </c>
      <c r="M74" s="77" t="s">
        <v>277</v>
      </c>
      <c r="N74" s="77" t="s">
        <v>335</v>
      </c>
      <c r="O74" s="77" t="s">
        <v>281</v>
      </c>
      <c r="P74" s="77" t="s">
        <v>282</v>
      </c>
      <c r="Q74" s="77" t="s">
        <v>371</v>
      </c>
      <c r="R74" s="77" t="s">
        <v>371</v>
      </c>
      <c r="S74" s="77" t="s">
        <v>341</v>
      </c>
      <c r="T74" s="77" t="s">
        <v>342</v>
      </c>
      <c r="U74" s="77" t="s">
        <v>343</v>
      </c>
      <c r="V74" s="77" t="s">
        <v>344</v>
      </c>
      <c r="W74" s="78" t="s">
        <v>291</v>
      </c>
      <c r="AA74" t="s">
        <v>525</v>
      </c>
      <c r="AB74" s="77" t="s">
        <v>272</v>
      </c>
      <c r="AC74" s="6">
        <v>3</v>
      </c>
      <c r="AD74" s="29" t="str">
        <f t="shared" si="20"/>
        <v>continuous/fully_connected</v>
      </c>
      <c r="AE74" t="s">
        <v>1537</v>
      </c>
      <c r="AF74" t="s">
        <v>1566</v>
      </c>
      <c r="AG74" s="29" t="s">
        <v>1570</v>
      </c>
      <c r="AH74" s="29">
        <f t="shared" si="21"/>
        <v>0.06</v>
      </c>
      <c r="AI74" s="29">
        <f t="shared" si="22"/>
        <v>0.12</v>
      </c>
      <c r="AJ74" s="29">
        <f t="shared" si="23"/>
        <v>0.67500000000000004</v>
      </c>
      <c r="AK74" s="29">
        <f t="shared" si="24"/>
        <v>2.2250000000000001</v>
      </c>
      <c r="AL74" s="29">
        <f t="shared" si="25"/>
        <v>0.27</v>
      </c>
      <c r="AM74" s="29">
        <f t="shared" si="26"/>
        <v>2.35</v>
      </c>
      <c r="AN74" s="77">
        <f t="shared" si="27"/>
        <v>5.7</v>
      </c>
    </row>
    <row r="75" spans="1:40" x14ac:dyDescent="0.3">
      <c r="A75" t="s">
        <v>381</v>
      </c>
      <c r="B75" t="s">
        <v>1344</v>
      </c>
      <c r="C75" t="s">
        <v>555</v>
      </c>
      <c r="D75" t="s">
        <v>1345</v>
      </c>
      <c r="E75" t="s">
        <v>555</v>
      </c>
      <c r="F75" t="b">
        <v>1</v>
      </c>
      <c r="G75">
        <v>95.6</v>
      </c>
      <c r="H75">
        <v>0</v>
      </c>
      <c r="I75">
        <v>9288</v>
      </c>
      <c r="J75" s="61" t="s">
        <v>13</v>
      </c>
      <c r="K75" s="77" t="s">
        <v>272</v>
      </c>
      <c r="L75" s="77">
        <v>3</v>
      </c>
      <c r="M75" s="77" t="s">
        <v>277</v>
      </c>
      <c r="N75" s="77" t="s">
        <v>335</v>
      </c>
      <c r="O75" s="77" t="s">
        <v>281</v>
      </c>
      <c r="P75" s="77" t="s">
        <v>285</v>
      </c>
      <c r="Q75" s="77" t="s">
        <v>282</v>
      </c>
      <c r="R75" s="77" t="s">
        <v>371</v>
      </c>
      <c r="S75" s="77" t="s">
        <v>341</v>
      </c>
      <c r="T75" s="77" t="s">
        <v>340</v>
      </c>
      <c r="U75" s="77" t="s">
        <v>343</v>
      </c>
      <c r="V75" s="77" t="s">
        <v>345</v>
      </c>
      <c r="W75" s="78" t="s">
        <v>371</v>
      </c>
      <c r="AA75" t="s">
        <v>555</v>
      </c>
      <c r="AB75" s="77" t="s">
        <v>272</v>
      </c>
      <c r="AC75" s="6">
        <v>3</v>
      </c>
      <c r="AD75" s="29" t="str">
        <f t="shared" si="20"/>
        <v>continuous/fully_connected</v>
      </c>
      <c r="AE75" t="s">
        <v>1562</v>
      </c>
      <c r="AF75" t="s">
        <v>1567</v>
      </c>
      <c r="AG75" s="29" t="s">
        <v>345</v>
      </c>
      <c r="AH75" s="29">
        <f t="shared" si="21"/>
        <v>0.06</v>
      </c>
      <c r="AI75" s="29">
        <f t="shared" si="22"/>
        <v>0.12</v>
      </c>
      <c r="AJ75" s="29">
        <f t="shared" si="23"/>
        <v>0.67500000000000004</v>
      </c>
      <c r="AK75" s="29">
        <f t="shared" si="24"/>
        <v>2.4500000000000002</v>
      </c>
      <c r="AL75" s="29">
        <f t="shared" si="25"/>
        <v>0.32000000000000006</v>
      </c>
      <c r="AM75" s="29">
        <f t="shared" si="26"/>
        <v>1.7749999999999999</v>
      </c>
      <c r="AN75" s="77">
        <f t="shared" si="27"/>
        <v>5.4</v>
      </c>
    </row>
    <row r="76" spans="1:40" x14ac:dyDescent="0.3">
      <c r="A76" t="s">
        <v>381</v>
      </c>
      <c r="B76" t="s">
        <v>1344</v>
      </c>
      <c r="C76" t="s">
        <v>414</v>
      </c>
      <c r="D76" t="s">
        <v>1345</v>
      </c>
      <c r="E76" t="s">
        <v>414</v>
      </c>
      <c r="F76" t="b">
        <v>1</v>
      </c>
      <c r="G76">
        <v>99.8</v>
      </c>
      <c r="H76">
        <v>0</v>
      </c>
      <c r="I76">
        <v>6949</v>
      </c>
      <c r="J76" s="61" t="s">
        <v>13</v>
      </c>
      <c r="K76" s="77" t="s">
        <v>272</v>
      </c>
      <c r="L76" s="77">
        <v>3</v>
      </c>
      <c r="M76" s="77" t="s">
        <v>277</v>
      </c>
      <c r="N76" s="77" t="s">
        <v>335</v>
      </c>
      <c r="O76" s="77" t="s">
        <v>283</v>
      </c>
      <c r="P76" s="77" t="s">
        <v>284</v>
      </c>
      <c r="Q76" s="77" t="s">
        <v>371</v>
      </c>
      <c r="R76" s="77" t="s">
        <v>371</v>
      </c>
      <c r="S76" s="77" t="s">
        <v>341</v>
      </c>
      <c r="T76" s="77" t="s">
        <v>342</v>
      </c>
      <c r="U76" s="77" t="s">
        <v>343</v>
      </c>
      <c r="V76" s="77" t="s">
        <v>291</v>
      </c>
      <c r="W76" s="78" t="s">
        <v>371</v>
      </c>
      <c r="AA76" t="s">
        <v>414</v>
      </c>
      <c r="AB76" s="77" t="s">
        <v>272</v>
      </c>
      <c r="AC76" s="6">
        <v>3</v>
      </c>
      <c r="AD76" s="29" t="str">
        <f t="shared" si="20"/>
        <v>continuous/fully_connected</v>
      </c>
      <c r="AE76" t="s">
        <v>1542</v>
      </c>
      <c r="AF76" t="s">
        <v>1566</v>
      </c>
      <c r="AG76" s="29" t="s">
        <v>291</v>
      </c>
      <c r="AH76" s="29">
        <f t="shared" si="21"/>
        <v>0.06</v>
      </c>
      <c r="AI76" s="29">
        <f t="shared" si="22"/>
        <v>0.12</v>
      </c>
      <c r="AJ76" s="29">
        <f t="shared" si="23"/>
        <v>0.67500000000000004</v>
      </c>
      <c r="AK76" s="29">
        <f t="shared" si="24"/>
        <v>2.35</v>
      </c>
      <c r="AL76" s="29">
        <f t="shared" si="25"/>
        <v>0.27</v>
      </c>
      <c r="AM76" s="29">
        <f t="shared" si="26"/>
        <v>2.125</v>
      </c>
      <c r="AN76" s="77">
        <f t="shared" si="27"/>
        <v>5.6</v>
      </c>
    </row>
    <row r="77" spans="1:40" x14ac:dyDescent="0.3">
      <c r="A77" t="s">
        <v>381</v>
      </c>
      <c r="B77" t="s">
        <v>1344</v>
      </c>
      <c r="C77" t="s">
        <v>516</v>
      </c>
      <c r="D77" t="s">
        <v>1345</v>
      </c>
      <c r="E77" t="s">
        <v>516</v>
      </c>
      <c r="F77" t="b">
        <v>1</v>
      </c>
      <c r="G77">
        <v>96.7</v>
      </c>
      <c r="H77">
        <v>0</v>
      </c>
      <c r="I77">
        <v>8445</v>
      </c>
      <c r="J77" s="61" t="s">
        <v>13</v>
      </c>
      <c r="K77" s="77" t="s">
        <v>272</v>
      </c>
      <c r="L77" s="77">
        <v>3</v>
      </c>
      <c r="M77" s="77" t="s">
        <v>277</v>
      </c>
      <c r="N77" s="77" t="s">
        <v>335</v>
      </c>
      <c r="O77" s="77" t="s">
        <v>281</v>
      </c>
      <c r="P77" s="77" t="s">
        <v>282</v>
      </c>
      <c r="Q77" s="77" t="s">
        <v>371</v>
      </c>
      <c r="R77" s="77" t="s">
        <v>371</v>
      </c>
      <c r="S77" s="77" t="s">
        <v>341</v>
      </c>
      <c r="T77" s="77" t="s">
        <v>342</v>
      </c>
      <c r="U77" s="77" t="s">
        <v>343</v>
      </c>
      <c r="V77" s="77" t="s">
        <v>345</v>
      </c>
      <c r="W77" s="78" t="s">
        <v>371</v>
      </c>
      <c r="AA77" t="s">
        <v>516</v>
      </c>
      <c r="AB77" s="77" t="s">
        <v>272</v>
      </c>
      <c r="AC77" s="6">
        <v>3</v>
      </c>
      <c r="AD77" s="29" t="str">
        <f t="shared" si="20"/>
        <v>continuous/fully_connected</v>
      </c>
      <c r="AE77" t="s">
        <v>1537</v>
      </c>
      <c r="AF77" t="s">
        <v>1566</v>
      </c>
      <c r="AG77" s="29" t="s">
        <v>345</v>
      </c>
      <c r="AH77" s="29">
        <f t="shared" si="21"/>
        <v>0.06</v>
      </c>
      <c r="AI77" s="29">
        <f t="shared" si="22"/>
        <v>0.12</v>
      </c>
      <c r="AJ77" s="29">
        <f t="shared" si="23"/>
        <v>0.67500000000000004</v>
      </c>
      <c r="AK77" s="29">
        <f t="shared" si="24"/>
        <v>2.2250000000000001</v>
      </c>
      <c r="AL77" s="29">
        <f t="shared" si="25"/>
        <v>0.27</v>
      </c>
      <c r="AM77" s="29">
        <f t="shared" si="26"/>
        <v>1.7749999999999999</v>
      </c>
      <c r="AN77" s="77">
        <f t="shared" si="27"/>
        <v>5.125</v>
      </c>
    </row>
    <row r="78" spans="1:40" x14ac:dyDescent="0.3">
      <c r="A78" t="s">
        <v>381</v>
      </c>
      <c r="B78" t="s">
        <v>1344</v>
      </c>
      <c r="C78" t="s">
        <v>531</v>
      </c>
      <c r="D78" t="s">
        <v>1345</v>
      </c>
      <c r="E78" t="s">
        <v>531</v>
      </c>
      <c r="F78" t="b">
        <v>1</v>
      </c>
      <c r="G78">
        <v>93.7</v>
      </c>
      <c r="H78">
        <v>0</v>
      </c>
      <c r="I78">
        <v>7279</v>
      </c>
      <c r="J78" s="61" t="s">
        <v>13</v>
      </c>
      <c r="K78" s="77" t="s">
        <v>272</v>
      </c>
      <c r="L78" s="77">
        <v>3</v>
      </c>
      <c r="M78" s="77" t="s">
        <v>333</v>
      </c>
      <c r="N78" s="77" t="s">
        <v>278</v>
      </c>
      <c r="O78" s="77" t="s">
        <v>283</v>
      </c>
      <c r="P78" s="77" t="s">
        <v>371</v>
      </c>
      <c r="Q78" s="77" t="s">
        <v>371</v>
      </c>
      <c r="R78" s="77" t="s">
        <v>371</v>
      </c>
      <c r="S78" s="77" t="s">
        <v>340</v>
      </c>
      <c r="T78" s="77" t="s">
        <v>342</v>
      </c>
      <c r="U78" s="77" t="s">
        <v>343</v>
      </c>
      <c r="V78" s="77" t="s">
        <v>347</v>
      </c>
      <c r="W78" s="78" t="s">
        <v>371</v>
      </c>
      <c r="AA78" t="s">
        <v>531</v>
      </c>
      <c r="AB78" s="77" t="s">
        <v>272</v>
      </c>
      <c r="AC78" s="6">
        <v>3</v>
      </c>
      <c r="AD78" s="29" t="str">
        <f t="shared" si="20"/>
        <v>missing_section/right</v>
      </c>
      <c r="AE78" t="s">
        <v>283</v>
      </c>
      <c r="AF78" t="s">
        <v>1568</v>
      </c>
      <c r="AG78" s="29" t="s">
        <v>347</v>
      </c>
      <c r="AH78" s="29">
        <f t="shared" si="21"/>
        <v>0.06</v>
      </c>
      <c r="AI78" s="29">
        <f t="shared" si="22"/>
        <v>0.12</v>
      </c>
      <c r="AJ78" s="29">
        <f t="shared" si="23"/>
        <v>2.0750000000000002</v>
      </c>
      <c r="AK78" s="29">
        <f t="shared" si="24"/>
        <v>2.35</v>
      </c>
      <c r="AL78" s="29">
        <f t="shared" si="25"/>
        <v>0.44500000000000006</v>
      </c>
      <c r="AM78" s="29">
        <f t="shared" si="26"/>
        <v>2.4249999999999998</v>
      </c>
      <c r="AN78" s="77">
        <f t="shared" si="27"/>
        <v>7.4750000000000005</v>
      </c>
    </row>
    <row r="79" spans="1:40" x14ac:dyDescent="0.3">
      <c r="A79" t="s">
        <v>381</v>
      </c>
      <c r="B79" t="s">
        <v>1344</v>
      </c>
      <c r="C79" t="s">
        <v>558</v>
      </c>
      <c r="D79" t="s">
        <v>1345</v>
      </c>
      <c r="E79" t="s">
        <v>558</v>
      </c>
      <c r="F79" t="b">
        <v>1</v>
      </c>
      <c r="G79">
        <v>78.3</v>
      </c>
      <c r="H79">
        <v>0</v>
      </c>
      <c r="I79">
        <v>14761</v>
      </c>
      <c r="J79" s="61" t="s">
        <v>13</v>
      </c>
      <c r="K79" s="77" t="s">
        <v>272</v>
      </c>
      <c r="L79" s="77">
        <v>3</v>
      </c>
      <c r="M79" s="77" t="s">
        <v>277</v>
      </c>
      <c r="N79" s="77" t="s">
        <v>335</v>
      </c>
      <c r="O79" s="77" t="s">
        <v>284</v>
      </c>
      <c r="P79" s="77" t="s">
        <v>283</v>
      </c>
      <c r="Q79" s="77" t="s">
        <v>282</v>
      </c>
      <c r="R79" s="77" t="s">
        <v>371</v>
      </c>
      <c r="S79" s="77" t="s">
        <v>341</v>
      </c>
      <c r="T79" s="77" t="s">
        <v>342</v>
      </c>
      <c r="U79" s="77" t="s">
        <v>343</v>
      </c>
      <c r="V79" s="77" t="s">
        <v>344</v>
      </c>
      <c r="W79" s="78" t="s">
        <v>371</v>
      </c>
      <c r="AA79" t="s">
        <v>558</v>
      </c>
      <c r="AB79" s="77" t="s">
        <v>272</v>
      </c>
      <c r="AC79" s="6">
        <v>3</v>
      </c>
      <c r="AD79" s="29" t="str">
        <f t="shared" si="20"/>
        <v>continuous/fully_connected</v>
      </c>
      <c r="AE79" t="s">
        <v>1535</v>
      </c>
      <c r="AF79" t="s">
        <v>1566</v>
      </c>
      <c r="AG79" s="29" t="s">
        <v>344</v>
      </c>
      <c r="AH79" s="29">
        <f t="shared" si="21"/>
        <v>0.06</v>
      </c>
      <c r="AI79" s="29">
        <f t="shared" si="22"/>
        <v>0.12</v>
      </c>
      <c r="AJ79" s="29">
        <f t="shared" si="23"/>
        <v>0.67500000000000004</v>
      </c>
      <c r="AK79" s="29">
        <f t="shared" si="24"/>
        <v>2.375</v>
      </c>
      <c r="AL79" s="29">
        <f t="shared" si="25"/>
        <v>0.27</v>
      </c>
      <c r="AM79" s="29">
        <f t="shared" si="26"/>
        <v>1.825</v>
      </c>
      <c r="AN79" s="77">
        <f t="shared" si="27"/>
        <v>5.3250000000000002</v>
      </c>
    </row>
    <row r="80" spans="1:40" x14ac:dyDescent="0.3">
      <c r="A80" t="s">
        <v>381</v>
      </c>
      <c r="B80" t="s">
        <v>1344</v>
      </c>
      <c r="C80" t="s">
        <v>501</v>
      </c>
      <c r="D80" t="s">
        <v>1345</v>
      </c>
      <c r="E80" t="s">
        <v>501</v>
      </c>
      <c r="F80" t="b">
        <v>1</v>
      </c>
      <c r="G80">
        <v>100</v>
      </c>
      <c r="H80">
        <v>1</v>
      </c>
      <c r="I80">
        <v>14716</v>
      </c>
      <c r="J80" s="61" t="s">
        <v>18</v>
      </c>
      <c r="K80" s="77" t="s">
        <v>272</v>
      </c>
      <c r="L80" s="77">
        <v>3</v>
      </c>
      <c r="M80" s="77" t="s">
        <v>333</v>
      </c>
      <c r="N80" s="77" t="s">
        <v>278</v>
      </c>
      <c r="O80" s="77" t="s">
        <v>339</v>
      </c>
      <c r="P80" s="77" t="s">
        <v>273</v>
      </c>
      <c r="Q80" s="77" t="s">
        <v>281</v>
      </c>
      <c r="R80" s="77" t="s">
        <v>371</v>
      </c>
      <c r="S80" s="77" t="s">
        <v>341</v>
      </c>
      <c r="T80" s="77" t="s">
        <v>342</v>
      </c>
      <c r="U80" s="77" t="s">
        <v>343</v>
      </c>
      <c r="V80" s="77" t="s">
        <v>291</v>
      </c>
      <c r="W80" s="78" t="s">
        <v>371</v>
      </c>
      <c r="AA80" t="s">
        <v>501</v>
      </c>
      <c r="AB80" s="77" t="s">
        <v>272</v>
      </c>
      <c r="AC80" s="6">
        <v>3</v>
      </c>
      <c r="AD80" s="29" t="str">
        <f t="shared" si="20"/>
        <v>missing_section/right</v>
      </c>
      <c r="AE80" t="s">
        <v>1550</v>
      </c>
      <c r="AF80" t="s">
        <v>1566</v>
      </c>
      <c r="AG80" s="29" t="s">
        <v>291</v>
      </c>
      <c r="AH80" s="29">
        <f t="shared" si="21"/>
        <v>0.06</v>
      </c>
      <c r="AI80" s="29">
        <f t="shared" si="22"/>
        <v>0.12</v>
      </c>
      <c r="AJ80" s="29">
        <f t="shared" si="23"/>
        <v>2.0750000000000002</v>
      </c>
      <c r="AK80" s="29">
        <f t="shared" si="24"/>
        <v>2.4750000000000001</v>
      </c>
      <c r="AL80" s="29">
        <f t="shared" si="25"/>
        <v>0.27</v>
      </c>
      <c r="AM80" s="29">
        <f t="shared" si="26"/>
        <v>2.125</v>
      </c>
      <c r="AN80" s="77">
        <f t="shared" si="27"/>
        <v>7.125</v>
      </c>
    </row>
    <row r="81" spans="1:40" x14ac:dyDescent="0.3">
      <c r="A81" t="s">
        <v>381</v>
      </c>
      <c r="B81" t="s">
        <v>1344</v>
      </c>
      <c r="C81" t="s">
        <v>474</v>
      </c>
      <c r="D81" t="s">
        <v>1345</v>
      </c>
      <c r="E81" t="s">
        <v>474</v>
      </c>
      <c r="F81" t="b">
        <v>1</v>
      </c>
      <c r="G81">
        <v>93</v>
      </c>
      <c r="H81">
        <v>0</v>
      </c>
      <c r="I81">
        <v>14246</v>
      </c>
      <c r="J81" s="61" t="s">
        <v>13</v>
      </c>
      <c r="K81" s="77" t="s">
        <v>272</v>
      </c>
      <c r="L81" s="77">
        <v>3</v>
      </c>
      <c r="M81" s="77" t="s">
        <v>333</v>
      </c>
      <c r="N81" s="77" t="s">
        <v>280</v>
      </c>
      <c r="O81" s="77" t="s">
        <v>281</v>
      </c>
      <c r="P81" s="77" t="s">
        <v>285</v>
      </c>
      <c r="Q81" s="77" t="s">
        <v>371</v>
      </c>
      <c r="R81" s="77" t="s">
        <v>371</v>
      </c>
      <c r="S81" s="77" t="s">
        <v>341</v>
      </c>
      <c r="T81" s="77" t="s">
        <v>340</v>
      </c>
      <c r="U81" s="77" t="s">
        <v>343</v>
      </c>
      <c r="V81" s="77" t="s">
        <v>377</v>
      </c>
      <c r="W81" s="78" t="s">
        <v>371</v>
      </c>
      <c r="AA81" t="s">
        <v>474</v>
      </c>
      <c r="AB81" s="77" t="s">
        <v>272</v>
      </c>
      <c r="AC81" s="6">
        <v>3</v>
      </c>
      <c r="AD81" s="29" t="str">
        <f t="shared" si="20"/>
        <v>missing_section/multiple</v>
      </c>
      <c r="AE81" t="s">
        <v>1561</v>
      </c>
      <c r="AF81" t="s">
        <v>1567</v>
      </c>
      <c r="AG81" s="29" t="s">
        <v>377</v>
      </c>
      <c r="AH81" s="29">
        <f t="shared" si="21"/>
        <v>0.06</v>
      </c>
      <c r="AI81" s="29">
        <f t="shared" si="22"/>
        <v>0.12</v>
      </c>
      <c r="AJ81" s="29">
        <f t="shared" si="23"/>
        <v>2.4500000000000002</v>
      </c>
      <c r="AK81" s="29">
        <f t="shared" si="24"/>
        <v>2.4750000000000001</v>
      </c>
      <c r="AL81" s="29">
        <f t="shared" si="25"/>
        <v>0.32000000000000006</v>
      </c>
      <c r="AM81" s="29">
        <f t="shared" si="26"/>
        <v>2.4249999999999998</v>
      </c>
      <c r="AN81" s="77">
        <f t="shared" si="27"/>
        <v>7.8500000000000005</v>
      </c>
    </row>
    <row r="82" spans="1:40" x14ac:dyDescent="0.3">
      <c r="A82" t="s">
        <v>381</v>
      </c>
      <c r="B82" t="s">
        <v>1344</v>
      </c>
      <c r="C82" t="s">
        <v>522</v>
      </c>
      <c r="D82" t="s">
        <v>1345</v>
      </c>
      <c r="E82" t="s">
        <v>522</v>
      </c>
      <c r="F82" t="b">
        <v>1</v>
      </c>
      <c r="G82">
        <v>68.400000000000006</v>
      </c>
      <c r="H82">
        <v>0</v>
      </c>
      <c r="I82">
        <v>11067</v>
      </c>
      <c r="J82" s="61" t="s">
        <v>13</v>
      </c>
      <c r="K82" s="77" t="s">
        <v>272</v>
      </c>
      <c r="L82" s="77">
        <v>3</v>
      </c>
      <c r="M82" s="77" t="s">
        <v>277</v>
      </c>
      <c r="N82" s="77" t="s">
        <v>335</v>
      </c>
      <c r="O82" s="77" t="s">
        <v>281</v>
      </c>
      <c r="P82" s="77" t="s">
        <v>283</v>
      </c>
      <c r="Q82" s="77" t="s">
        <v>284</v>
      </c>
      <c r="R82" s="77" t="s">
        <v>371</v>
      </c>
      <c r="S82" s="77" t="s">
        <v>341</v>
      </c>
      <c r="T82" s="77" t="s">
        <v>340</v>
      </c>
      <c r="U82" s="77" t="s">
        <v>343</v>
      </c>
      <c r="V82" s="77" t="s">
        <v>344</v>
      </c>
      <c r="W82" s="78" t="s">
        <v>371</v>
      </c>
      <c r="AA82" t="s">
        <v>522</v>
      </c>
      <c r="AB82" s="77" t="s">
        <v>272</v>
      </c>
      <c r="AC82" s="6">
        <v>3</v>
      </c>
      <c r="AD82" s="29" t="str">
        <f t="shared" si="20"/>
        <v>continuous/fully_connected</v>
      </c>
      <c r="AE82" t="s">
        <v>1547</v>
      </c>
      <c r="AF82" t="s">
        <v>1567</v>
      </c>
      <c r="AG82" s="29" t="s">
        <v>344</v>
      </c>
      <c r="AH82" s="29">
        <f t="shared" si="21"/>
        <v>0.06</v>
      </c>
      <c r="AI82" s="29">
        <f t="shared" si="22"/>
        <v>0.12</v>
      </c>
      <c r="AJ82" s="29">
        <f t="shared" si="23"/>
        <v>0.67500000000000004</v>
      </c>
      <c r="AK82" s="29">
        <f t="shared" si="24"/>
        <v>2.35</v>
      </c>
      <c r="AL82" s="29">
        <f t="shared" si="25"/>
        <v>0.32000000000000006</v>
      </c>
      <c r="AM82" s="29">
        <f t="shared" si="26"/>
        <v>1.825</v>
      </c>
      <c r="AN82" s="77">
        <f t="shared" si="27"/>
        <v>5.3500000000000005</v>
      </c>
    </row>
    <row r="83" spans="1:40" x14ac:dyDescent="0.3">
      <c r="A83" t="s">
        <v>381</v>
      </c>
      <c r="B83" t="s">
        <v>1344</v>
      </c>
      <c r="C83" t="s">
        <v>450</v>
      </c>
      <c r="D83" t="s">
        <v>1345</v>
      </c>
      <c r="E83" t="s">
        <v>450</v>
      </c>
      <c r="F83" t="b">
        <v>1</v>
      </c>
      <c r="G83">
        <v>99.6</v>
      </c>
      <c r="H83">
        <v>0</v>
      </c>
      <c r="I83">
        <v>10000</v>
      </c>
      <c r="J83" s="61" t="s">
        <v>13</v>
      </c>
      <c r="K83" s="77" t="s">
        <v>272</v>
      </c>
      <c r="L83" s="77">
        <v>3</v>
      </c>
      <c r="M83" s="77" t="s">
        <v>277</v>
      </c>
      <c r="N83" s="77" t="s">
        <v>335</v>
      </c>
      <c r="O83" s="77" t="s">
        <v>282</v>
      </c>
      <c r="P83" s="77" t="s">
        <v>371</v>
      </c>
      <c r="Q83" s="77" t="s">
        <v>371</v>
      </c>
      <c r="R83" s="77" t="s">
        <v>371</v>
      </c>
      <c r="S83" s="77" t="s">
        <v>341</v>
      </c>
      <c r="T83" s="77" t="s">
        <v>342</v>
      </c>
      <c r="U83" s="77" t="s">
        <v>343</v>
      </c>
      <c r="V83" s="77" t="s">
        <v>345</v>
      </c>
      <c r="W83" s="78" t="s">
        <v>371</v>
      </c>
      <c r="AA83" t="s">
        <v>450</v>
      </c>
      <c r="AB83" s="77" t="s">
        <v>272</v>
      </c>
      <c r="AC83" s="6">
        <v>3</v>
      </c>
      <c r="AD83" s="29" t="str">
        <f t="shared" si="20"/>
        <v>continuous/fully_connected</v>
      </c>
      <c r="AE83" t="s">
        <v>282</v>
      </c>
      <c r="AF83" t="s">
        <v>1566</v>
      </c>
      <c r="AG83" s="29" t="s">
        <v>345</v>
      </c>
      <c r="AH83" s="29">
        <f t="shared" si="21"/>
        <v>0.06</v>
      </c>
      <c r="AI83" s="29">
        <f t="shared" si="22"/>
        <v>0.12</v>
      </c>
      <c r="AJ83" s="29">
        <f t="shared" si="23"/>
        <v>0.67500000000000004</v>
      </c>
      <c r="AK83" s="29">
        <f t="shared" si="24"/>
        <v>1.925</v>
      </c>
      <c r="AL83" s="29">
        <f t="shared" si="25"/>
        <v>0.27</v>
      </c>
      <c r="AM83" s="29">
        <f t="shared" si="26"/>
        <v>1.7749999999999999</v>
      </c>
      <c r="AN83" s="77">
        <f t="shared" si="27"/>
        <v>4.8250000000000002</v>
      </c>
    </row>
    <row r="84" spans="1:40" x14ac:dyDescent="0.3">
      <c r="A84" t="s">
        <v>381</v>
      </c>
      <c r="B84" t="s">
        <v>1344</v>
      </c>
      <c r="C84" t="s">
        <v>477</v>
      </c>
      <c r="D84" t="s">
        <v>1345</v>
      </c>
      <c r="E84" t="s">
        <v>477</v>
      </c>
      <c r="F84" t="b">
        <v>1</v>
      </c>
      <c r="G84">
        <v>97.4</v>
      </c>
      <c r="H84">
        <v>0</v>
      </c>
      <c r="I84">
        <v>9170</v>
      </c>
      <c r="J84" s="61" t="s">
        <v>13</v>
      </c>
      <c r="K84" s="77" t="s">
        <v>272</v>
      </c>
      <c r="L84" s="77">
        <v>3</v>
      </c>
      <c r="M84" s="77" t="s">
        <v>277</v>
      </c>
      <c r="N84" s="77" t="s">
        <v>335</v>
      </c>
      <c r="O84" s="77" t="s">
        <v>282</v>
      </c>
      <c r="P84" s="77" t="s">
        <v>371</v>
      </c>
      <c r="Q84" s="77" t="s">
        <v>371</v>
      </c>
      <c r="R84" s="77" t="s">
        <v>371</v>
      </c>
      <c r="S84" s="77" t="s">
        <v>341</v>
      </c>
      <c r="T84" s="77" t="s">
        <v>342</v>
      </c>
      <c r="U84" s="77" t="s">
        <v>343</v>
      </c>
      <c r="V84" s="77" t="s">
        <v>344</v>
      </c>
      <c r="W84" s="78" t="s">
        <v>347</v>
      </c>
      <c r="AA84" t="s">
        <v>477</v>
      </c>
      <c r="AB84" s="77" t="s">
        <v>272</v>
      </c>
      <c r="AC84" s="6">
        <v>3</v>
      </c>
      <c r="AD84" s="29" t="str">
        <f t="shared" si="20"/>
        <v>continuous/fully_connected</v>
      </c>
      <c r="AE84" t="s">
        <v>282</v>
      </c>
      <c r="AF84" t="s">
        <v>1566</v>
      </c>
      <c r="AG84" s="29" t="s">
        <v>1571</v>
      </c>
      <c r="AH84" s="29">
        <f t="shared" si="21"/>
        <v>0.06</v>
      </c>
      <c r="AI84" s="29">
        <f t="shared" si="22"/>
        <v>0.12</v>
      </c>
      <c r="AJ84" s="29">
        <f t="shared" si="23"/>
        <v>0.67500000000000004</v>
      </c>
      <c r="AK84" s="29">
        <f t="shared" si="24"/>
        <v>1.925</v>
      </c>
      <c r="AL84" s="29">
        <f t="shared" si="25"/>
        <v>0.27</v>
      </c>
      <c r="AM84" s="29">
        <f t="shared" si="26"/>
        <v>2.375</v>
      </c>
      <c r="AN84" s="77">
        <f t="shared" si="27"/>
        <v>5.4250000000000007</v>
      </c>
    </row>
    <row r="85" spans="1:40" x14ac:dyDescent="0.3">
      <c r="A85" t="s">
        <v>381</v>
      </c>
      <c r="B85" t="s">
        <v>1344</v>
      </c>
      <c r="C85" t="s">
        <v>540</v>
      </c>
      <c r="D85" t="s">
        <v>1345</v>
      </c>
      <c r="E85" t="s">
        <v>540</v>
      </c>
      <c r="F85" t="b">
        <v>1</v>
      </c>
      <c r="G85">
        <v>92.7</v>
      </c>
      <c r="H85">
        <v>0</v>
      </c>
      <c r="I85">
        <v>7320</v>
      </c>
      <c r="J85" s="61" t="s">
        <v>13</v>
      </c>
      <c r="K85" s="77" t="s">
        <v>272</v>
      </c>
      <c r="L85" s="77">
        <v>3</v>
      </c>
      <c r="M85" s="77" t="s">
        <v>277</v>
      </c>
      <c r="N85" s="77" t="s">
        <v>335</v>
      </c>
      <c r="O85" s="77" t="s">
        <v>273</v>
      </c>
      <c r="P85" s="77" t="s">
        <v>282</v>
      </c>
      <c r="Q85" s="77" t="s">
        <v>371</v>
      </c>
      <c r="R85" s="77" t="s">
        <v>371</v>
      </c>
      <c r="S85" s="77" t="s">
        <v>341</v>
      </c>
      <c r="T85" s="77" t="s">
        <v>340</v>
      </c>
      <c r="U85" s="77" t="s">
        <v>343</v>
      </c>
      <c r="V85" s="77" t="s">
        <v>291</v>
      </c>
      <c r="W85" s="78" t="s">
        <v>371</v>
      </c>
      <c r="AA85" t="s">
        <v>540</v>
      </c>
      <c r="AB85" s="77" t="s">
        <v>272</v>
      </c>
      <c r="AC85" s="6">
        <v>3</v>
      </c>
      <c r="AD85" s="29" t="str">
        <f t="shared" si="20"/>
        <v>continuous/fully_connected</v>
      </c>
      <c r="AE85" t="s">
        <v>1552</v>
      </c>
      <c r="AF85" t="s">
        <v>1567</v>
      </c>
      <c r="AG85" s="29" t="s">
        <v>291</v>
      </c>
      <c r="AH85" s="29">
        <f t="shared" si="21"/>
        <v>0.06</v>
      </c>
      <c r="AI85" s="29">
        <f t="shared" si="22"/>
        <v>0.12</v>
      </c>
      <c r="AJ85" s="29">
        <f t="shared" si="23"/>
        <v>0.67500000000000004</v>
      </c>
      <c r="AK85" s="29">
        <f t="shared" si="24"/>
        <v>2.4249999999999998</v>
      </c>
      <c r="AL85" s="29">
        <f t="shared" si="25"/>
        <v>0.32000000000000006</v>
      </c>
      <c r="AM85" s="29">
        <f t="shared" si="26"/>
        <v>2.125</v>
      </c>
      <c r="AN85" s="77">
        <f t="shared" si="27"/>
        <v>5.7249999999999996</v>
      </c>
    </row>
    <row r="86" spans="1:40" x14ac:dyDescent="0.3">
      <c r="A86" t="s">
        <v>381</v>
      </c>
      <c r="B86" t="s">
        <v>1344</v>
      </c>
      <c r="C86" t="s">
        <v>672</v>
      </c>
      <c r="D86" t="s">
        <v>1345</v>
      </c>
      <c r="E86" t="s">
        <v>672</v>
      </c>
      <c r="F86" t="b">
        <v>1</v>
      </c>
      <c r="G86">
        <v>95.8</v>
      </c>
      <c r="H86">
        <v>0</v>
      </c>
      <c r="I86">
        <v>8723</v>
      </c>
      <c r="J86" s="61" t="s">
        <v>13</v>
      </c>
      <c r="K86" s="77" t="s">
        <v>272</v>
      </c>
      <c r="L86" s="77">
        <v>3</v>
      </c>
      <c r="M86" s="77" t="s">
        <v>277</v>
      </c>
      <c r="N86" s="77" t="s">
        <v>335</v>
      </c>
      <c r="O86" s="77" t="s">
        <v>283</v>
      </c>
      <c r="P86" s="77" t="s">
        <v>281</v>
      </c>
      <c r="Q86" s="77" t="s">
        <v>284</v>
      </c>
      <c r="R86" s="77" t="s">
        <v>371</v>
      </c>
      <c r="S86" s="77" t="s">
        <v>341</v>
      </c>
      <c r="T86" s="77" t="s">
        <v>342</v>
      </c>
      <c r="U86" s="77" t="s">
        <v>343</v>
      </c>
      <c r="V86" s="77" t="s">
        <v>344</v>
      </c>
      <c r="W86" s="78" t="s">
        <v>371</v>
      </c>
      <c r="AA86" t="s">
        <v>672</v>
      </c>
      <c r="AB86" s="77" t="s">
        <v>272</v>
      </c>
      <c r="AC86" s="6">
        <v>3</v>
      </c>
      <c r="AD86" s="29" t="str">
        <f t="shared" si="20"/>
        <v>continuous/fully_connected</v>
      </c>
      <c r="AE86" t="s">
        <v>1547</v>
      </c>
      <c r="AF86" t="s">
        <v>1566</v>
      </c>
      <c r="AG86" s="29" t="s">
        <v>344</v>
      </c>
      <c r="AH86" s="29">
        <f t="shared" si="21"/>
        <v>0.06</v>
      </c>
      <c r="AI86" s="29">
        <f t="shared" si="22"/>
        <v>0.12</v>
      </c>
      <c r="AJ86" s="29">
        <f t="shared" si="23"/>
        <v>0.67500000000000004</v>
      </c>
      <c r="AK86" s="29">
        <f t="shared" si="24"/>
        <v>2.35</v>
      </c>
      <c r="AL86" s="29">
        <f t="shared" si="25"/>
        <v>0.27</v>
      </c>
      <c r="AM86" s="29">
        <f t="shared" si="26"/>
        <v>1.825</v>
      </c>
      <c r="AN86" s="77">
        <f t="shared" si="27"/>
        <v>5.3</v>
      </c>
    </row>
    <row r="87" spans="1:40" x14ac:dyDescent="0.3">
      <c r="A87" t="s">
        <v>381</v>
      </c>
      <c r="B87" t="s">
        <v>1344</v>
      </c>
      <c r="C87" t="s">
        <v>390</v>
      </c>
      <c r="D87" t="s">
        <v>1345</v>
      </c>
      <c r="E87" t="s">
        <v>390</v>
      </c>
      <c r="F87" t="b">
        <v>1</v>
      </c>
      <c r="G87">
        <v>90.4</v>
      </c>
      <c r="H87">
        <v>0</v>
      </c>
      <c r="I87">
        <v>8807</v>
      </c>
      <c r="J87" s="61" t="s">
        <v>13</v>
      </c>
      <c r="K87" s="77" t="s">
        <v>272</v>
      </c>
      <c r="L87" s="77">
        <v>3</v>
      </c>
      <c r="M87" s="77" t="s">
        <v>277</v>
      </c>
      <c r="N87" s="77" t="s">
        <v>335</v>
      </c>
      <c r="O87" s="77" t="s">
        <v>283</v>
      </c>
      <c r="P87" s="77" t="s">
        <v>282</v>
      </c>
      <c r="Q87" s="77" t="s">
        <v>371</v>
      </c>
      <c r="R87" s="77" t="s">
        <v>371</v>
      </c>
      <c r="S87" s="77" t="s">
        <v>341</v>
      </c>
      <c r="T87" s="77" t="s">
        <v>342</v>
      </c>
      <c r="U87" s="77" t="s">
        <v>343</v>
      </c>
      <c r="V87" s="77" t="s">
        <v>344</v>
      </c>
      <c r="W87" s="78" t="s">
        <v>347</v>
      </c>
      <c r="AA87" t="s">
        <v>390</v>
      </c>
      <c r="AB87" s="77" t="s">
        <v>272</v>
      </c>
      <c r="AC87" s="6">
        <v>3</v>
      </c>
      <c r="AD87" s="29" t="str">
        <f t="shared" si="20"/>
        <v>continuous/fully_connected</v>
      </c>
      <c r="AE87" t="s">
        <v>1540</v>
      </c>
      <c r="AF87" t="s">
        <v>1566</v>
      </c>
      <c r="AG87" s="29" t="s">
        <v>1571</v>
      </c>
      <c r="AH87" s="29">
        <f t="shared" si="21"/>
        <v>0.06</v>
      </c>
      <c r="AI87" s="29">
        <f t="shared" si="22"/>
        <v>0.12</v>
      </c>
      <c r="AJ87" s="29">
        <f t="shared" si="23"/>
        <v>0.67500000000000004</v>
      </c>
      <c r="AK87" s="29">
        <f t="shared" si="24"/>
        <v>2.375</v>
      </c>
      <c r="AL87" s="29">
        <f t="shared" si="25"/>
        <v>0.27</v>
      </c>
      <c r="AM87" s="29">
        <f t="shared" si="26"/>
        <v>2.375</v>
      </c>
      <c r="AN87" s="77">
        <f t="shared" si="27"/>
        <v>5.875</v>
      </c>
    </row>
    <row r="88" spans="1:40" x14ac:dyDescent="0.3">
      <c r="A88" t="s">
        <v>381</v>
      </c>
      <c r="B88" t="s">
        <v>1344</v>
      </c>
      <c r="C88" t="s">
        <v>570</v>
      </c>
      <c r="D88" t="s">
        <v>1345</v>
      </c>
      <c r="E88" t="s">
        <v>570</v>
      </c>
      <c r="F88" t="b">
        <v>1</v>
      </c>
      <c r="G88">
        <v>98.3</v>
      </c>
      <c r="H88">
        <v>0</v>
      </c>
      <c r="I88">
        <v>7868</v>
      </c>
      <c r="J88" s="61" t="s">
        <v>13</v>
      </c>
      <c r="K88" s="77" t="s">
        <v>272</v>
      </c>
      <c r="L88" s="77">
        <v>3</v>
      </c>
      <c r="M88" s="77" t="s">
        <v>277</v>
      </c>
      <c r="N88" s="77" t="s">
        <v>335</v>
      </c>
      <c r="O88" s="77" t="s">
        <v>283</v>
      </c>
      <c r="P88" s="77" t="s">
        <v>282</v>
      </c>
      <c r="Q88" s="77" t="s">
        <v>371</v>
      </c>
      <c r="R88" s="77" t="s">
        <v>371</v>
      </c>
      <c r="S88" s="77" t="s">
        <v>341</v>
      </c>
      <c r="T88" s="77" t="s">
        <v>342</v>
      </c>
      <c r="U88" s="77" t="s">
        <v>343</v>
      </c>
      <c r="V88" s="77" t="s">
        <v>345</v>
      </c>
      <c r="W88" s="78" t="s">
        <v>347</v>
      </c>
      <c r="AA88" t="s">
        <v>570</v>
      </c>
      <c r="AB88" s="77" t="s">
        <v>272</v>
      </c>
      <c r="AC88" s="6">
        <v>3</v>
      </c>
      <c r="AD88" s="29" t="str">
        <f t="shared" si="20"/>
        <v>continuous/fully_connected</v>
      </c>
      <c r="AE88" t="s">
        <v>1540</v>
      </c>
      <c r="AF88" t="s">
        <v>1566</v>
      </c>
      <c r="AG88" s="29" t="s">
        <v>1573</v>
      </c>
      <c r="AH88" s="29">
        <f t="shared" si="21"/>
        <v>0.06</v>
      </c>
      <c r="AI88" s="29">
        <f t="shared" si="22"/>
        <v>0.12</v>
      </c>
      <c r="AJ88" s="29">
        <f t="shared" si="23"/>
        <v>0.67500000000000004</v>
      </c>
      <c r="AK88" s="29">
        <f t="shared" si="24"/>
        <v>2.375</v>
      </c>
      <c r="AL88" s="29">
        <f t="shared" si="25"/>
        <v>0.27</v>
      </c>
      <c r="AM88" s="29">
        <f t="shared" si="26"/>
        <v>2.4249999999999998</v>
      </c>
      <c r="AN88" s="77">
        <f t="shared" si="27"/>
        <v>5.9249999999999998</v>
      </c>
    </row>
    <row r="89" spans="1:40" x14ac:dyDescent="0.3">
      <c r="A89" t="s">
        <v>381</v>
      </c>
      <c r="B89" t="s">
        <v>1344</v>
      </c>
      <c r="C89" t="s">
        <v>675</v>
      </c>
      <c r="D89" t="s">
        <v>1345</v>
      </c>
      <c r="E89" t="s">
        <v>675</v>
      </c>
      <c r="F89" t="b">
        <v>1</v>
      </c>
      <c r="G89">
        <v>97.12</v>
      </c>
      <c r="H89">
        <v>0</v>
      </c>
      <c r="I89">
        <v>12670</v>
      </c>
      <c r="J89" s="61" t="s">
        <v>13</v>
      </c>
      <c r="K89" s="77" t="s">
        <v>272</v>
      </c>
      <c r="L89" s="77">
        <v>3</v>
      </c>
      <c r="M89" s="77" t="s">
        <v>277</v>
      </c>
      <c r="N89" s="77" t="s">
        <v>335</v>
      </c>
      <c r="O89" s="77" t="s">
        <v>283</v>
      </c>
      <c r="P89" s="77" t="s">
        <v>281</v>
      </c>
      <c r="Q89" s="77" t="s">
        <v>284</v>
      </c>
      <c r="R89" s="77" t="s">
        <v>371</v>
      </c>
      <c r="S89" s="77" t="s">
        <v>341</v>
      </c>
      <c r="T89" s="77" t="s">
        <v>342</v>
      </c>
      <c r="U89" s="77" t="s">
        <v>343</v>
      </c>
      <c r="V89" s="77" t="s">
        <v>344</v>
      </c>
      <c r="W89" s="78" t="s">
        <v>371</v>
      </c>
      <c r="AA89" t="s">
        <v>675</v>
      </c>
      <c r="AB89" s="77" t="s">
        <v>272</v>
      </c>
      <c r="AC89" s="6">
        <v>3</v>
      </c>
      <c r="AD89" s="29" t="str">
        <f t="shared" si="20"/>
        <v>continuous/fully_connected</v>
      </c>
      <c r="AE89" t="s">
        <v>1547</v>
      </c>
      <c r="AF89" t="s">
        <v>1566</v>
      </c>
      <c r="AG89" s="29" t="s">
        <v>344</v>
      </c>
      <c r="AH89" s="29">
        <f t="shared" si="21"/>
        <v>0.06</v>
      </c>
      <c r="AI89" s="29">
        <f t="shared" si="22"/>
        <v>0.12</v>
      </c>
      <c r="AJ89" s="29">
        <f t="shared" si="23"/>
        <v>0.67500000000000004</v>
      </c>
      <c r="AK89" s="29">
        <f t="shared" si="24"/>
        <v>2.35</v>
      </c>
      <c r="AL89" s="29">
        <f t="shared" si="25"/>
        <v>0.27</v>
      </c>
      <c r="AM89" s="29">
        <f t="shared" si="26"/>
        <v>1.825</v>
      </c>
      <c r="AN89" s="77">
        <f t="shared" si="27"/>
        <v>5.3</v>
      </c>
    </row>
    <row r="90" spans="1:40" x14ac:dyDescent="0.3">
      <c r="A90" t="s">
        <v>381</v>
      </c>
      <c r="B90" t="s">
        <v>1344</v>
      </c>
      <c r="C90" t="s">
        <v>579</v>
      </c>
      <c r="D90" t="s">
        <v>1345</v>
      </c>
      <c r="E90" t="s">
        <v>579</v>
      </c>
      <c r="F90" t="b">
        <v>1</v>
      </c>
      <c r="G90">
        <v>99.93</v>
      </c>
      <c r="H90">
        <v>0</v>
      </c>
      <c r="I90">
        <v>8544</v>
      </c>
      <c r="J90" s="61" t="s">
        <v>13</v>
      </c>
      <c r="K90" s="77" t="s">
        <v>272</v>
      </c>
      <c r="L90" s="77">
        <v>3</v>
      </c>
      <c r="M90" s="77" t="s">
        <v>333</v>
      </c>
      <c r="N90" s="77" t="s">
        <v>278</v>
      </c>
      <c r="O90" s="77" t="s">
        <v>273</v>
      </c>
      <c r="P90" s="77" t="s">
        <v>371</v>
      </c>
      <c r="Q90" s="77" t="s">
        <v>371</v>
      </c>
      <c r="R90" s="77" t="s">
        <v>371</v>
      </c>
      <c r="S90" s="77" t="s">
        <v>340</v>
      </c>
      <c r="T90" s="77" t="s">
        <v>342</v>
      </c>
      <c r="U90" s="77" t="s">
        <v>343</v>
      </c>
      <c r="V90" s="77" t="s">
        <v>347</v>
      </c>
      <c r="W90" s="78" t="s">
        <v>371</v>
      </c>
      <c r="AA90" t="s">
        <v>579</v>
      </c>
      <c r="AB90" s="77" t="s">
        <v>272</v>
      </c>
      <c r="AC90" s="6">
        <v>3</v>
      </c>
      <c r="AD90" s="29" t="str">
        <f t="shared" si="20"/>
        <v>missing_section/right</v>
      </c>
      <c r="AE90" t="s">
        <v>273</v>
      </c>
      <c r="AF90" t="s">
        <v>1568</v>
      </c>
      <c r="AG90" s="29" t="s">
        <v>347</v>
      </c>
      <c r="AH90" s="29">
        <f t="shared" si="21"/>
        <v>0.06</v>
      </c>
      <c r="AI90" s="29">
        <f t="shared" si="22"/>
        <v>0.12</v>
      </c>
      <c r="AJ90" s="29">
        <f t="shared" si="23"/>
        <v>2.0750000000000002</v>
      </c>
      <c r="AK90" s="29">
        <f t="shared" si="24"/>
        <v>2.4249999999999998</v>
      </c>
      <c r="AL90" s="29">
        <f t="shared" si="25"/>
        <v>0.44500000000000006</v>
      </c>
      <c r="AM90" s="29">
        <f t="shared" si="26"/>
        <v>2.4249999999999998</v>
      </c>
      <c r="AN90" s="77">
        <f t="shared" si="27"/>
        <v>7.55</v>
      </c>
    </row>
    <row r="91" spans="1:40" x14ac:dyDescent="0.3">
      <c r="A91" t="s">
        <v>381</v>
      </c>
      <c r="B91" t="s">
        <v>1344</v>
      </c>
      <c r="C91" t="s">
        <v>639</v>
      </c>
      <c r="D91" t="s">
        <v>1345</v>
      </c>
      <c r="E91" t="s">
        <v>639</v>
      </c>
      <c r="F91" t="b">
        <v>1</v>
      </c>
      <c r="G91">
        <v>100</v>
      </c>
      <c r="H91">
        <v>1</v>
      </c>
      <c r="I91">
        <v>11385</v>
      </c>
      <c r="J91" s="61" t="s">
        <v>18</v>
      </c>
      <c r="K91" s="77" t="s">
        <v>273</v>
      </c>
      <c r="L91" s="77">
        <v>2</v>
      </c>
      <c r="M91" s="77" t="s">
        <v>333</v>
      </c>
      <c r="N91" s="77" t="s">
        <v>278</v>
      </c>
      <c r="O91" s="77" t="s">
        <v>273</v>
      </c>
      <c r="P91" s="77" t="s">
        <v>371</v>
      </c>
      <c r="Q91" s="77" t="s">
        <v>371</v>
      </c>
      <c r="R91" s="77" t="s">
        <v>371</v>
      </c>
      <c r="S91" s="77" t="s">
        <v>340</v>
      </c>
      <c r="T91" s="77" t="s">
        <v>342</v>
      </c>
      <c r="U91" s="77" t="s">
        <v>343</v>
      </c>
      <c r="V91" s="77" t="s">
        <v>291</v>
      </c>
      <c r="W91" s="78" t="s">
        <v>371</v>
      </c>
      <c r="AA91" t="s">
        <v>639</v>
      </c>
      <c r="AB91" s="77" t="s">
        <v>273</v>
      </c>
      <c r="AC91" s="6">
        <v>2</v>
      </c>
      <c r="AD91" s="29" t="str">
        <f t="shared" si="20"/>
        <v>missing_section/right</v>
      </c>
      <c r="AE91" t="s">
        <v>273</v>
      </c>
      <c r="AF91" t="s">
        <v>1568</v>
      </c>
      <c r="AG91" s="29" t="s">
        <v>291</v>
      </c>
      <c r="AH91" s="29">
        <f t="shared" si="21"/>
        <v>0.94000000000000006</v>
      </c>
      <c r="AI91" s="29">
        <f t="shared" si="22"/>
        <v>0.89000000000000012</v>
      </c>
      <c r="AJ91" s="29">
        <f t="shared" si="23"/>
        <v>2.0750000000000002</v>
      </c>
      <c r="AK91" s="29">
        <f t="shared" si="24"/>
        <v>2.4249999999999998</v>
      </c>
      <c r="AL91" s="29">
        <f t="shared" si="25"/>
        <v>0.44500000000000006</v>
      </c>
      <c r="AM91" s="29">
        <f t="shared" si="26"/>
        <v>2.125</v>
      </c>
      <c r="AN91" s="77">
        <f t="shared" si="27"/>
        <v>8.9</v>
      </c>
    </row>
    <row r="92" spans="1:40" x14ac:dyDescent="0.3">
      <c r="A92" t="s">
        <v>381</v>
      </c>
      <c r="B92" t="s">
        <v>1344</v>
      </c>
      <c r="C92" t="s">
        <v>618</v>
      </c>
      <c r="D92" t="s">
        <v>1345</v>
      </c>
      <c r="E92" t="s">
        <v>618</v>
      </c>
      <c r="F92" t="b">
        <v>1</v>
      </c>
      <c r="G92">
        <v>94.15</v>
      </c>
      <c r="H92">
        <v>0</v>
      </c>
      <c r="I92">
        <v>28376</v>
      </c>
      <c r="J92" s="61" t="s">
        <v>13</v>
      </c>
      <c r="K92" s="77" t="s">
        <v>273</v>
      </c>
      <c r="L92" s="77">
        <v>2</v>
      </c>
      <c r="M92" s="77" t="s">
        <v>333</v>
      </c>
      <c r="N92" s="77" t="s">
        <v>278</v>
      </c>
      <c r="O92" s="77" t="s">
        <v>339</v>
      </c>
      <c r="P92" s="77" t="s">
        <v>273</v>
      </c>
      <c r="Q92" s="77" t="s">
        <v>371</v>
      </c>
      <c r="R92" s="77" t="s">
        <v>371</v>
      </c>
      <c r="S92" s="77" t="s">
        <v>341</v>
      </c>
      <c r="T92" s="77" t="s">
        <v>340</v>
      </c>
      <c r="U92" s="77" t="s">
        <v>343</v>
      </c>
      <c r="V92" s="77" t="s">
        <v>344</v>
      </c>
      <c r="W92" s="78" t="s">
        <v>291</v>
      </c>
      <c r="AA92" t="s">
        <v>618</v>
      </c>
      <c r="AB92" s="77" t="s">
        <v>273</v>
      </c>
      <c r="AC92" s="6">
        <v>2</v>
      </c>
      <c r="AD92" s="29" t="str">
        <f t="shared" si="20"/>
        <v>missing_section/right</v>
      </c>
      <c r="AE92" t="s">
        <v>1548</v>
      </c>
      <c r="AF92" t="s">
        <v>1567</v>
      </c>
      <c r="AG92" s="29" t="s">
        <v>1570</v>
      </c>
      <c r="AH92" s="29">
        <f t="shared" si="21"/>
        <v>0.94000000000000006</v>
      </c>
      <c r="AI92" s="29">
        <f t="shared" si="22"/>
        <v>0.89000000000000012</v>
      </c>
      <c r="AJ92" s="29">
        <f t="shared" si="23"/>
        <v>2.0750000000000002</v>
      </c>
      <c r="AK92" s="29">
        <f t="shared" si="24"/>
        <v>2.4750000000000001</v>
      </c>
      <c r="AL92" s="29">
        <f t="shared" si="25"/>
        <v>0.32000000000000006</v>
      </c>
      <c r="AM92" s="29">
        <f t="shared" si="26"/>
        <v>2.35</v>
      </c>
      <c r="AN92" s="77">
        <f t="shared" si="27"/>
        <v>9.0500000000000007</v>
      </c>
    </row>
    <row r="93" spans="1:40" x14ac:dyDescent="0.3">
      <c r="A93" t="s">
        <v>381</v>
      </c>
      <c r="B93" t="s">
        <v>1344</v>
      </c>
      <c r="C93" t="s">
        <v>585</v>
      </c>
      <c r="D93" t="s">
        <v>1345</v>
      </c>
      <c r="E93" t="s">
        <v>585</v>
      </c>
      <c r="F93" t="b">
        <v>1</v>
      </c>
      <c r="G93">
        <v>100</v>
      </c>
      <c r="H93">
        <v>1</v>
      </c>
      <c r="I93">
        <v>8253</v>
      </c>
      <c r="J93" s="61" t="s">
        <v>13</v>
      </c>
      <c r="K93" s="77" t="s">
        <v>272</v>
      </c>
      <c r="L93" s="77">
        <v>3</v>
      </c>
      <c r="M93" s="77" t="s">
        <v>333</v>
      </c>
      <c r="N93" s="77" t="s">
        <v>279</v>
      </c>
      <c r="O93" s="77" t="s">
        <v>281</v>
      </c>
      <c r="P93" s="77" t="s">
        <v>283</v>
      </c>
      <c r="Q93" s="77" t="s">
        <v>338</v>
      </c>
      <c r="R93" s="77" t="s">
        <v>371</v>
      </c>
      <c r="S93" s="77" t="s">
        <v>341</v>
      </c>
      <c r="T93" s="77" t="s">
        <v>342</v>
      </c>
      <c r="U93" s="77" t="s">
        <v>343</v>
      </c>
      <c r="V93" s="77" t="s">
        <v>344</v>
      </c>
      <c r="W93" s="78" t="s">
        <v>371</v>
      </c>
      <c r="AA93" t="s">
        <v>585</v>
      </c>
      <c r="AB93" s="77" t="s">
        <v>272</v>
      </c>
      <c r="AC93" s="6">
        <v>3</v>
      </c>
      <c r="AD93" s="29" t="str">
        <f t="shared" si="20"/>
        <v>missing_section/middle</v>
      </c>
      <c r="AE93" t="s">
        <v>1559</v>
      </c>
      <c r="AF93" t="s">
        <v>1566</v>
      </c>
      <c r="AG93" s="29" t="s">
        <v>344</v>
      </c>
      <c r="AH93" s="29">
        <f t="shared" si="21"/>
        <v>0.06</v>
      </c>
      <c r="AI93" s="29">
        <f t="shared" si="22"/>
        <v>0.12</v>
      </c>
      <c r="AJ93" s="29">
        <f t="shared" si="23"/>
        <v>2.4500000000000002</v>
      </c>
      <c r="AK93" s="29">
        <f t="shared" si="24"/>
        <v>2.4750000000000001</v>
      </c>
      <c r="AL93" s="29">
        <f t="shared" si="25"/>
        <v>0.27</v>
      </c>
      <c r="AM93" s="29">
        <f t="shared" si="26"/>
        <v>1.825</v>
      </c>
      <c r="AN93" s="77">
        <f t="shared" si="27"/>
        <v>7.2</v>
      </c>
    </row>
    <row r="94" spans="1:40" x14ac:dyDescent="0.3">
      <c r="A94" t="s">
        <v>381</v>
      </c>
      <c r="B94" t="s">
        <v>1344</v>
      </c>
      <c r="C94" t="s">
        <v>615</v>
      </c>
      <c r="D94" t="s">
        <v>1345</v>
      </c>
      <c r="E94" t="s">
        <v>615</v>
      </c>
      <c r="F94" t="b">
        <v>1</v>
      </c>
      <c r="G94">
        <v>94.5</v>
      </c>
      <c r="H94">
        <v>0</v>
      </c>
      <c r="I94">
        <v>6829</v>
      </c>
      <c r="J94" s="61" t="s">
        <v>13</v>
      </c>
      <c r="K94" s="77" t="s">
        <v>272</v>
      </c>
      <c r="L94" s="77">
        <v>3</v>
      </c>
      <c r="M94" s="77" t="s">
        <v>333</v>
      </c>
      <c r="N94" s="77" t="s">
        <v>279</v>
      </c>
      <c r="O94" s="77" t="s">
        <v>281</v>
      </c>
      <c r="P94" s="77" t="s">
        <v>282</v>
      </c>
      <c r="Q94" s="77" t="s">
        <v>371</v>
      </c>
      <c r="R94" s="77" t="s">
        <v>371</v>
      </c>
      <c r="S94" s="77" t="s">
        <v>341</v>
      </c>
      <c r="T94" s="77" t="s">
        <v>340</v>
      </c>
      <c r="U94" s="77" t="s">
        <v>343</v>
      </c>
      <c r="V94" s="77" t="s">
        <v>345</v>
      </c>
      <c r="W94" s="78" t="s">
        <v>371</v>
      </c>
      <c r="AA94" t="s">
        <v>615</v>
      </c>
      <c r="AB94" s="77" t="s">
        <v>272</v>
      </c>
      <c r="AC94" s="6">
        <v>3</v>
      </c>
      <c r="AD94" s="29" t="str">
        <f t="shared" si="20"/>
        <v>missing_section/middle</v>
      </c>
      <c r="AE94" t="s">
        <v>1537</v>
      </c>
      <c r="AF94" t="s">
        <v>1567</v>
      </c>
      <c r="AG94" s="29" t="s">
        <v>345</v>
      </c>
      <c r="AH94" s="29">
        <f t="shared" si="21"/>
        <v>0.06</v>
      </c>
      <c r="AI94" s="29">
        <f t="shared" si="22"/>
        <v>0.12</v>
      </c>
      <c r="AJ94" s="29">
        <f t="shared" si="23"/>
        <v>2.4500000000000002</v>
      </c>
      <c r="AK94" s="29">
        <f t="shared" si="24"/>
        <v>2.2250000000000001</v>
      </c>
      <c r="AL94" s="29">
        <f t="shared" si="25"/>
        <v>0.32000000000000006</v>
      </c>
      <c r="AM94" s="29">
        <f t="shared" si="26"/>
        <v>1.7749999999999999</v>
      </c>
      <c r="AN94" s="77">
        <f t="shared" si="27"/>
        <v>6.9500000000000011</v>
      </c>
    </row>
    <row r="95" spans="1:40" x14ac:dyDescent="0.3">
      <c r="A95" t="s">
        <v>381</v>
      </c>
      <c r="B95" t="s">
        <v>1344</v>
      </c>
      <c r="C95" t="s">
        <v>447</v>
      </c>
      <c r="D95" t="s">
        <v>1345</v>
      </c>
      <c r="E95" t="s">
        <v>447</v>
      </c>
      <c r="F95" t="b">
        <v>1</v>
      </c>
      <c r="G95">
        <v>99.9</v>
      </c>
      <c r="H95">
        <v>0</v>
      </c>
      <c r="I95">
        <v>13100</v>
      </c>
      <c r="J95" s="61" t="s">
        <v>13</v>
      </c>
      <c r="K95" s="77" t="s">
        <v>272</v>
      </c>
      <c r="L95" s="77">
        <v>3</v>
      </c>
      <c r="M95" s="77" t="s">
        <v>277</v>
      </c>
      <c r="N95" s="77" t="s">
        <v>335</v>
      </c>
      <c r="O95" s="77" t="s">
        <v>282</v>
      </c>
      <c r="P95" s="77" t="s">
        <v>371</v>
      </c>
      <c r="Q95" s="77" t="s">
        <v>371</v>
      </c>
      <c r="R95" s="77" t="s">
        <v>371</v>
      </c>
      <c r="S95" s="77" t="s">
        <v>341</v>
      </c>
      <c r="T95" s="77" t="s">
        <v>342</v>
      </c>
      <c r="U95" s="77" t="s">
        <v>343</v>
      </c>
      <c r="V95" s="77" t="s">
        <v>345</v>
      </c>
      <c r="W95" s="78" t="s">
        <v>371</v>
      </c>
      <c r="AA95" t="s">
        <v>447</v>
      </c>
      <c r="AB95" s="77" t="s">
        <v>272</v>
      </c>
      <c r="AC95" s="6">
        <v>3</v>
      </c>
      <c r="AD95" s="29" t="str">
        <f t="shared" si="20"/>
        <v>continuous/fully_connected</v>
      </c>
      <c r="AE95" t="s">
        <v>282</v>
      </c>
      <c r="AF95" t="s">
        <v>1566</v>
      </c>
      <c r="AG95" s="29" t="s">
        <v>345</v>
      </c>
      <c r="AH95" s="29">
        <f t="shared" si="21"/>
        <v>0.06</v>
      </c>
      <c r="AI95" s="29">
        <f t="shared" si="22"/>
        <v>0.12</v>
      </c>
      <c r="AJ95" s="29">
        <f t="shared" si="23"/>
        <v>0.67500000000000004</v>
      </c>
      <c r="AK95" s="29">
        <f t="shared" si="24"/>
        <v>1.925</v>
      </c>
      <c r="AL95" s="29">
        <f t="shared" si="25"/>
        <v>0.27</v>
      </c>
      <c r="AM95" s="29">
        <f t="shared" si="26"/>
        <v>1.7749999999999999</v>
      </c>
      <c r="AN95" s="77">
        <f t="shared" si="27"/>
        <v>4.8250000000000002</v>
      </c>
    </row>
    <row r="96" spans="1:40" x14ac:dyDescent="0.3">
      <c r="A96" t="s">
        <v>381</v>
      </c>
      <c r="B96" t="s">
        <v>1344</v>
      </c>
      <c r="C96" t="s">
        <v>459</v>
      </c>
      <c r="D96" t="s">
        <v>1345</v>
      </c>
      <c r="E96" t="s">
        <v>459</v>
      </c>
      <c r="F96" t="b">
        <v>1</v>
      </c>
      <c r="G96">
        <v>95.8</v>
      </c>
      <c r="H96">
        <v>0</v>
      </c>
      <c r="I96">
        <v>8533</v>
      </c>
      <c r="J96" s="61" t="s">
        <v>13</v>
      </c>
      <c r="K96" s="77" t="s">
        <v>272</v>
      </c>
      <c r="L96" s="77">
        <v>3</v>
      </c>
      <c r="M96" s="77" t="s">
        <v>277</v>
      </c>
      <c r="N96" s="77" t="s">
        <v>335</v>
      </c>
      <c r="O96" s="77" t="s">
        <v>282</v>
      </c>
      <c r="P96" s="77" t="s">
        <v>371</v>
      </c>
      <c r="Q96" s="77" t="s">
        <v>371</v>
      </c>
      <c r="R96" s="77" t="s">
        <v>371</v>
      </c>
      <c r="S96" s="77" t="s">
        <v>341</v>
      </c>
      <c r="T96" s="77" t="s">
        <v>342</v>
      </c>
      <c r="U96" s="77" t="s">
        <v>343</v>
      </c>
      <c r="V96" s="77" t="s">
        <v>345</v>
      </c>
      <c r="W96" s="78" t="s">
        <v>371</v>
      </c>
      <c r="AA96" t="s">
        <v>459</v>
      </c>
      <c r="AB96" s="77" t="s">
        <v>272</v>
      </c>
      <c r="AC96" s="6">
        <v>3</v>
      </c>
      <c r="AD96" s="29" t="str">
        <f t="shared" si="20"/>
        <v>continuous/fully_connected</v>
      </c>
      <c r="AE96" t="s">
        <v>282</v>
      </c>
      <c r="AF96" t="s">
        <v>1566</v>
      </c>
      <c r="AG96" s="29" t="s">
        <v>345</v>
      </c>
      <c r="AH96" s="29">
        <f t="shared" si="21"/>
        <v>0.06</v>
      </c>
      <c r="AI96" s="29">
        <f t="shared" si="22"/>
        <v>0.12</v>
      </c>
      <c r="AJ96" s="29">
        <f t="shared" si="23"/>
        <v>0.67500000000000004</v>
      </c>
      <c r="AK96" s="29">
        <f t="shared" si="24"/>
        <v>1.925</v>
      </c>
      <c r="AL96" s="29">
        <f t="shared" si="25"/>
        <v>0.27</v>
      </c>
      <c r="AM96" s="29">
        <f t="shared" si="26"/>
        <v>1.7749999999999999</v>
      </c>
      <c r="AN96" s="77">
        <f t="shared" si="27"/>
        <v>4.8250000000000002</v>
      </c>
    </row>
    <row r="97" spans="1:40" x14ac:dyDescent="0.3">
      <c r="A97" t="s">
        <v>381</v>
      </c>
      <c r="B97" t="s">
        <v>1344</v>
      </c>
      <c r="C97" t="s">
        <v>657</v>
      </c>
      <c r="D97" t="s">
        <v>1345</v>
      </c>
      <c r="E97" t="s">
        <v>657</v>
      </c>
      <c r="F97" t="b">
        <v>1</v>
      </c>
      <c r="G97">
        <v>99.9</v>
      </c>
      <c r="H97">
        <v>0</v>
      </c>
      <c r="I97">
        <v>13156</v>
      </c>
      <c r="J97" s="61" t="s">
        <v>13</v>
      </c>
      <c r="K97" s="77" t="s">
        <v>272</v>
      </c>
      <c r="L97" s="77">
        <v>3</v>
      </c>
      <c r="M97" s="77" t="s">
        <v>333</v>
      </c>
      <c r="N97" s="77" t="s">
        <v>278</v>
      </c>
      <c r="O97" s="77" t="s">
        <v>281</v>
      </c>
      <c r="P97" s="77" t="s">
        <v>283</v>
      </c>
      <c r="Q97" s="77" t="s">
        <v>371</v>
      </c>
      <c r="R97" s="77" t="s">
        <v>371</v>
      </c>
      <c r="S97" s="77" t="s">
        <v>341</v>
      </c>
      <c r="T97" s="77" t="s">
        <v>340</v>
      </c>
      <c r="U97" s="77" t="s">
        <v>343</v>
      </c>
      <c r="V97" s="77" t="s">
        <v>377</v>
      </c>
      <c r="W97" s="78" t="s">
        <v>371</v>
      </c>
      <c r="AA97" t="s">
        <v>657</v>
      </c>
      <c r="AB97" s="77" t="s">
        <v>272</v>
      </c>
      <c r="AC97" s="6">
        <v>3</v>
      </c>
      <c r="AD97" s="29" t="str">
        <f t="shared" si="20"/>
        <v>missing_section/right</v>
      </c>
      <c r="AE97" t="s">
        <v>1546</v>
      </c>
      <c r="AF97" t="s">
        <v>1567</v>
      </c>
      <c r="AG97" s="29" t="s">
        <v>377</v>
      </c>
      <c r="AH97" s="29">
        <f t="shared" si="21"/>
        <v>0.06</v>
      </c>
      <c r="AI97" s="29">
        <f t="shared" si="22"/>
        <v>0.12</v>
      </c>
      <c r="AJ97" s="29">
        <f t="shared" si="23"/>
        <v>2.0750000000000002</v>
      </c>
      <c r="AK97" s="29">
        <f t="shared" si="24"/>
        <v>2.2999999999999998</v>
      </c>
      <c r="AL97" s="29">
        <f t="shared" si="25"/>
        <v>0.32000000000000006</v>
      </c>
      <c r="AM97" s="29">
        <f t="shared" si="26"/>
        <v>2.4249999999999998</v>
      </c>
      <c r="AN97" s="77">
        <f t="shared" si="27"/>
        <v>7.3</v>
      </c>
    </row>
    <row r="98" spans="1:40" x14ac:dyDescent="0.3">
      <c r="A98" t="s">
        <v>381</v>
      </c>
      <c r="B98" t="s">
        <v>1344</v>
      </c>
      <c r="C98" t="s">
        <v>654</v>
      </c>
      <c r="D98" t="s">
        <v>1345</v>
      </c>
      <c r="E98" t="s">
        <v>654</v>
      </c>
      <c r="F98" t="b">
        <v>1</v>
      </c>
      <c r="G98">
        <v>99.7</v>
      </c>
      <c r="H98">
        <v>0</v>
      </c>
      <c r="I98">
        <v>8637</v>
      </c>
      <c r="J98" s="61" t="s">
        <v>13</v>
      </c>
      <c r="K98" s="77" t="s">
        <v>272</v>
      </c>
      <c r="L98" s="77">
        <v>3</v>
      </c>
      <c r="M98" s="77" t="s">
        <v>277</v>
      </c>
      <c r="N98" s="77" t="s">
        <v>335</v>
      </c>
      <c r="O98" s="77" t="s">
        <v>282</v>
      </c>
      <c r="P98" s="77" t="s">
        <v>371</v>
      </c>
      <c r="Q98" s="77" t="s">
        <v>371</v>
      </c>
      <c r="R98" s="77" t="s">
        <v>371</v>
      </c>
      <c r="S98" s="77" t="s">
        <v>341</v>
      </c>
      <c r="T98" s="77" t="s">
        <v>342</v>
      </c>
      <c r="U98" s="77" t="s">
        <v>343</v>
      </c>
      <c r="V98" s="77" t="s">
        <v>345</v>
      </c>
      <c r="W98" s="78" t="s">
        <v>371</v>
      </c>
      <c r="AA98" t="s">
        <v>654</v>
      </c>
      <c r="AB98" s="77" t="s">
        <v>272</v>
      </c>
      <c r="AC98" s="6">
        <v>3</v>
      </c>
      <c r="AD98" s="29" t="str">
        <f t="shared" si="20"/>
        <v>continuous/fully_connected</v>
      </c>
      <c r="AE98" t="s">
        <v>282</v>
      </c>
      <c r="AF98" t="s">
        <v>1566</v>
      </c>
      <c r="AG98" s="29" t="s">
        <v>345</v>
      </c>
      <c r="AH98" s="29">
        <f t="shared" si="21"/>
        <v>0.06</v>
      </c>
      <c r="AI98" s="29">
        <f t="shared" si="22"/>
        <v>0.12</v>
      </c>
      <c r="AJ98" s="29">
        <f t="shared" si="23"/>
        <v>0.67500000000000004</v>
      </c>
      <c r="AK98" s="29">
        <f t="shared" si="24"/>
        <v>1.925</v>
      </c>
      <c r="AL98" s="29">
        <f t="shared" si="25"/>
        <v>0.27</v>
      </c>
      <c r="AM98" s="29">
        <f t="shared" si="26"/>
        <v>1.7749999999999999</v>
      </c>
      <c r="AN98" s="77">
        <f t="shared" si="27"/>
        <v>4.8250000000000002</v>
      </c>
    </row>
    <row r="99" spans="1:40" x14ac:dyDescent="0.3">
      <c r="A99" t="s">
        <v>381</v>
      </c>
      <c r="B99" t="s">
        <v>1344</v>
      </c>
      <c r="C99" t="s">
        <v>603</v>
      </c>
      <c r="D99" t="s">
        <v>1345</v>
      </c>
      <c r="E99" t="s">
        <v>603</v>
      </c>
      <c r="F99" t="b">
        <v>1</v>
      </c>
      <c r="G99">
        <v>100</v>
      </c>
      <c r="H99">
        <v>1</v>
      </c>
      <c r="I99">
        <v>22880</v>
      </c>
      <c r="J99" s="61" t="s">
        <v>13</v>
      </c>
      <c r="K99" s="77" t="s">
        <v>272</v>
      </c>
      <c r="L99" s="77">
        <v>3</v>
      </c>
      <c r="M99" s="77" t="s">
        <v>277</v>
      </c>
      <c r="N99" s="77" t="s">
        <v>335</v>
      </c>
      <c r="O99" s="77" t="s">
        <v>273</v>
      </c>
      <c r="P99" s="77" t="s">
        <v>282</v>
      </c>
      <c r="Q99" s="77" t="s">
        <v>371</v>
      </c>
      <c r="R99" s="77" t="s">
        <v>371</v>
      </c>
      <c r="S99" s="77" t="s">
        <v>340</v>
      </c>
      <c r="T99" s="77" t="s">
        <v>342</v>
      </c>
      <c r="U99" s="77" t="s">
        <v>343</v>
      </c>
      <c r="V99" s="77" t="s">
        <v>291</v>
      </c>
      <c r="W99" s="78" t="s">
        <v>371</v>
      </c>
      <c r="AA99" t="s">
        <v>603</v>
      </c>
      <c r="AB99" s="77" t="s">
        <v>272</v>
      </c>
      <c r="AC99" s="6">
        <v>3</v>
      </c>
      <c r="AD99" s="29" t="str">
        <f t="shared" si="20"/>
        <v>continuous/fully_connected</v>
      </c>
      <c r="AE99" t="s">
        <v>1552</v>
      </c>
      <c r="AF99" t="s">
        <v>1568</v>
      </c>
      <c r="AG99" s="29" t="s">
        <v>291</v>
      </c>
      <c r="AH99" s="29">
        <f t="shared" si="21"/>
        <v>0.06</v>
      </c>
      <c r="AI99" s="29">
        <f t="shared" si="22"/>
        <v>0.12</v>
      </c>
      <c r="AJ99" s="29">
        <f t="shared" si="23"/>
        <v>0.67500000000000004</v>
      </c>
      <c r="AK99" s="29">
        <f t="shared" si="24"/>
        <v>2.4249999999999998</v>
      </c>
      <c r="AL99" s="29">
        <f t="shared" si="25"/>
        <v>0.44500000000000006</v>
      </c>
      <c r="AM99" s="29">
        <f t="shared" si="26"/>
        <v>2.125</v>
      </c>
      <c r="AN99" s="77">
        <f t="shared" si="27"/>
        <v>5.85</v>
      </c>
    </row>
    <row r="100" spans="1:40" x14ac:dyDescent="0.3">
      <c r="A100" t="s">
        <v>381</v>
      </c>
      <c r="B100" t="s">
        <v>1344</v>
      </c>
      <c r="C100" t="s">
        <v>552</v>
      </c>
      <c r="D100" t="s">
        <v>1345</v>
      </c>
      <c r="E100" t="s">
        <v>552</v>
      </c>
      <c r="F100" t="b">
        <v>1</v>
      </c>
      <c r="G100">
        <v>99.6</v>
      </c>
      <c r="H100">
        <v>0</v>
      </c>
      <c r="I100">
        <v>7923</v>
      </c>
      <c r="J100" s="61" t="s">
        <v>13</v>
      </c>
      <c r="K100" s="77" t="s">
        <v>272</v>
      </c>
      <c r="L100" s="77">
        <v>3</v>
      </c>
      <c r="M100" s="77" t="s">
        <v>277</v>
      </c>
      <c r="N100" s="77" t="s">
        <v>335</v>
      </c>
      <c r="O100" s="77" t="s">
        <v>281</v>
      </c>
      <c r="P100" s="77" t="s">
        <v>283</v>
      </c>
      <c r="Q100" s="77" t="s">
        <v>282</v>
      </c>
      <c r="R100" s="77" t="s">
        <v>371</v>
      </c>
      <c r="S100" s="77" t="s">
        <v>341</v>
      </c>
      <c r="T100" s="77" t="s">
        <v>340</v>
      </c>
      <c r="U100" s="77" t="s">
        <v>343</v>
      </c>
      <c r="V100" s="77" t="s">
        <v>345</v>
      </c>
      <c r="W100" s="78" t="s">
        <v>371</v>
      </c>
      <c r="AA100" t="s">
        <v>552</v>
      </c>
      <c r="AB100" s="77" t="s">
        <v>272</v>
      </c>
      <c r="AC100" s="6">
        <v>3</v>
      </c>
      <c r="AD100" s="29" t="str">
        <f t="shared" si="20"/>
        <v>continuous/fully_connected</v>
      </c>
      <c r="AE100" t="s">
        <v>1557</v>
      </c>
      <c r="AF100" t="s">
        <v>1567</v>
      </c>
      <c r="AG100" s="29" t="s">
        <v>345</v>
      </c>
      <c r="AH100" s="29">
        <f t="shared" si="21"/>
        <v>0.06</v>
      </c>
      <c r="AI100" s="29">
        <f t="shared" si="22"/>
        <v>0.12</v>
      </c>
      <c r="AJ100" s="29">
        <f t="shared" si="23"/>
        <v>0.67500000000000004</v>
      </c>
      <c r="AK100" s="29">
        <f t="shared" si="24"/>
        <v>2.4249999999999998</v>
      </c>
      <c r="AL100" s="29">
        <f t="shared" si="25"/>
        <v>0.32000000000000006</v>
      </c>
      <c r="AM100" s="29">
        <f t="shared" si="26"/>
        <v>1.7749999999999999</v>
      </c>
      <c r="AN100" s="77">
        <f t="shared" si="27"/>
        <v>5.375</v>
      </c>
    </row>
    <row r="101" spans="1:40" x14ac:dyDescent="0.3">
      <c r="A101" t="s">
        <v>381</v>
      </c>
      <c r="B101" t="s">
        <v>1344</v>
      </c>
      <c r="C101" t="s">
        <v>648</v>
      </c>
      <c r="D101" t="s">
        <v>1345</v>
      </c>
      <c r="E101" t="s">
        <v>648</v>
      </c>
      <c r="F101" t="b">
        <v>1</v>
      </c>
      <c r="G101">
        <v>94.9</v>
      </c>
      <c r="H101">
        <v>0</v>
      </c>
      <c r="I101">
        <v>11642</v>
      </c>
      <c r="J101" s="61" t="s">
        <v>13</v>
      </c>
      <c r="K101" s="77" t="s">
        <v>272</v>
      </c>
      <c r="L101" s="77">
        <v>3</v>
      </c>
      <c r="M101" s="77" t="s">
        <v>277</v>
      </c>
      <c r="N101" s="77" t="s">
        <v>335</v>
      </c>
      <c r="O101" s="77" t="s">
        <v>273</v>
      </c>
      <c r="P101" s="77" t="s">
        <v>282</v>
      </c>
      <c r="Q101" s="77" t="s">
        <v>371</v>
      </c>
      <c r="R101" s="77" t="s">
        <v>371</v>
      </c>
      <c r="S101" s="77" t="s">
        <v>341</v>
      </c>
      <c r="T101" s="77" t="s">
        <v>342</v>
      </c>
      <c r="U101" s="77" t="s">
        <v>343</v>
      </c>
      <c r="V101" s="77" t="s">
        <v>344</v>
      </c>
      <c r="W101" s="78" t="s">
        <v>345</v>
      </c>
      <c r="AA101" t="s">
        <v>648</v>
      </c>
      <c r="AB101" s="77" t="s">
        <v>272</v>
      </c>
      <c r="AC101" s="6">
        <v>3</v>
      </c>
      <c r="AD101" s="29" t="str">
        <f t="shared" si="20"/>
        <v>continuous/fully_connected</v>
      </c>
      <c r="AE101" t="s">
        <v>1552</v>
      </c>
      <c r="AF101" t="s">
        <v>1566</v>
      </c>
      <c r="AG101" s="29" t="s">
        <v>1574</v>
      </c>
      <c r="AH101" s="29">
        <f t="shared" si="21"/>
        <v>0.06</v>
      </c>
      <c r="AI101" s="29">
        <f t="shared" si="22"/>
        <v>0.12</v>
      </c>
      <c r="AJ101" s="29">
        <f t="shared" si="23"/>
        <v>0.67500000000000004</v>
      </c>
      <c r="AK101" s="29">
        <f t="shared" si="24"/>
        <v>2.4249999999999998</v>
      </c>
      <c r="AL101" s="29">
        <f t="shared" si="25"/>
        <v>0.27</v>
      </c>
      <c r="AM101" s="29">
        <f t="shared" si="26"/>
        <v>2.375</v>
      </c>
      <c r="AN101" s="77">
        <f t="shared" si="27"/>
        <v>5.9249999999999998</v>
      </c>
    </row>
    <row r="102" spans="1:40" x14ac:dyDescent="0.3">
      <c r="A102" t="s">
        <v>381</v>
      </c>
      <c r="B102" t="s">
        <v>1344</v>
      </c>
      <c r="C102" t="s">
        <v>489</v>
      </c>
      <c r="D102" t="s">
        <v>1345</v>
      </c>
      <c r="E102" t="s">
        <v>489</v>
      </c>
      <c r="F102" t="b">
        <v>1</v>
      </c>
      <c r="G102">
        <v>80.8</v>
      </c>
      <c r="H102">
        <v>0</v>
      </c>
      <c r="I102">
        <v>24589</v>
      </c>
      <c r="J102" s="61" t="s">
        <v>13</v>
      </c>
      <c r="K102" s="77" t="s">
        <v>272</v>
      </c>
      <c r="L102" s="77">
        <v>2</v>
      </c>
      <c r="M102" s="77" t="s">
        <v>277</v>
      </c>
      <c r="N102" s="77" t="s">
        <v>335</v>
      </c>
      <c r="O102" s="77" t="s">
        <v>282</v>
      </c>
      <c r="P102" s="77" t="s">
        <v>371</v>
      </c>
      <c r="Q102" s="77" t="s">
        <v>371</v>
      </c>
      <c r="R102" s="77" t="s">
        <v>371</v>
      </c>
      <c r="S102" s="77" t="s">
        <v>340</v>
      </c>
      <c r="T102" s="77" t="s">
        <v>342</v>
      </c>
      <c r="U102" s="77" t="s">
        <v>340</v>
      </c>
      <c r="V102" s="77" t="s">
        <v>344</v>
      </c>
      <c r="W102" s="78" t="s">
        <v>371</v>
      </c>
      <c r="AA102" t="s">
        <v>489</v>
      </c>
      <c r="AB102" s="77" t="s">
        <v>272</v>
      </c>
      <c r="AC102" s="6">
        <v>2</v>
      </c>
      <c r="AD102" s="29" t="str">
        <f t="shared" si="20"/>
        <v>continuous/fully_connected</v>
      </c>
      <c r="AE102" t="s">
        <v>282</v>
      </c>
      <c r="AF102" t="s">
        <v>342</v>
      </c>
      <c r="AG102" s="29" t="s">
        <v>344</v>
      </c>
      <c r="AH102" s="29">
        <f t="shared" si="21"/>
        <v>0.06</v>
      </c>
      <c r="AI102" s="29">
        <f t="shared" si="22"/>
        <v>0.89000000000000012</v>
      </c>
      <c r="AJ102" s="29">
        <f t="shared" si="23"/>
        <v>0.67500000000000004</v>
      </c>
      <c r="AK102" s="29">
        <f t="shared" si="24"/>
        <v>1.925</v>
      </c>
      <c r="AL102" s="29">
        <f t="shared" si="25"/>
        <v>0.49000000000000005</v>
      </c>
      <c r="AM102" s="29">
        <f t="shared" si="26"/>
        <v>1.825</v>
      </c>
      <c r="AN102" s="77">
        <f t="shared" si="27"/>
        <v>5.8650000000000002</v>
      </c>
    </row>
  </sheetData>
  <phoneticPr fontId="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17886DF5-C635-47BC-A87F-7FB24B4C68D2}">
          <x14:formula1>
            <xm:f>DimensionsEval!$H$13:$P$13</xm:f>
          </x14:formula1>
          <xm:sqref>CE4:CE6 BG3:BG31 BN3:BO9 BD9:BD14 BD4:BD6 CH3:CH31 CE9:CE14 W3:Z102</xm:sqref>
        </x14:dataValidation>
        <x14:dataValidation type="list" allowBlank="1" showInputMessage="1" showErrorMessage="1" xr:uid="{AD156F99-8860-4233-9FC3-C834F5BE92EA}">
          <x14:formula1>
            <xm:f>DimensionsEval!$H$13:$O$13</xm:f>
          </x14:formula1>
          <xm:sqref>V3:V102</xm:sqref>
        </x14:dataValidation>
        <x14:dataValidation type="list" allowBlank="1" showInputMessage="1" showErrorMessage="1" xr:uid="{6C334429-D1D9-4ECD-9161-61D5ADCD86F5}">
          <x14:formula1>
            <xm:f>DimensionsEval!$H$12:$J$12</xm:f>
          </x14:formula1>
          <xm:sqref>U3:U102</xm:sqref>
        </x14:dataValidation>
        <x14:dataValidation type="list" allowBlank="1" showInputMessage="1" showErrorMessage="1" xr:uid="{7C42A319-58FA-40D4-9B29-A68A969803BA}">
          <x14:formula1>
            <xm:f>DimensionsEval!$H$11:$J$11</xm:f>
          </x14:formula1>
          <xm:sqref>T3:T102</xm:sqref>
        </x14:dataValidation>
        <x14:dataValidation type="list" allowBlank="1" showInputMessage="1" showErrorMessage="1" xr:uid="{FF5E2C0B-15A1-4649-81C7-237BFB9D5D02}">
          <x14:formula1>
            <xm:f>DimensionsEval!$H$10:$J$10</xm:f>
          </x14:formula1>
          <xm:sqref>S3:S102</xm:sqref>
        </x14:dataValidation>
        <x14:dataValidation type="list" allowBlank="1" showInputMessage="1" showErrorMessage="1" xr:uid="{7404D467-26E5-4FDE-A5F6-B2AFB7FB99DB}">
          <x14:formula1>
            <xm:f>DimensionsEval!$H$6:$R$6</xm:f>
          </x14:formula1>
          <xm:sqref>O3:R102</xm:sqref>
        </x14:dataValidation>
        <x14:dataValidation type="list" allowBlank="1" showInputMessage="1" showErrorMessage="1" xr:uid="{3E4D586F-0DE0-49F5-8767-845647582B4A}">
          <x14:formula1>
            <xm:f>DimensionsEval!$H$5:$N$5</xm:f>
          </x14:formula1>
          <xm:sqref>N3:N102</xm:sqref>
        </x14:dataValidation>
        <x14:dataValidation type="list" allowBlank="1" showInputMessage="1" showErrorMessage="1" xr:uid="{6B1949EF-110C-4B16-80E5-CAF8A5FA0F8E}">
          <x14:formula1>
            <xm:f>DimensionsEval!$H$4:$J$4</xm:f>
          </x14:formula1>
          <xm:sqref>M3:M102</xm:sqref>
        </x14:dataValidation>
        <x14:dataValidation type="list" allowBlank="1" showInputMessage="1" showErrorMessage="1" xr:uid="{85D23D33-3585-4F25-B067-86CAD4482465}">
          <x14:formula1>
            <xm:f>DimensionsEval!$H$3:$K$3</xm:f>
          </x14:formula1>
          <xm:sqref>L3:L102 AU3:AU5 BV3:BV5 AC3:AC102</xm:sqref>
        </x14:dataValidation>
        <x14:dataValidation type="list" allowBlank="1" showInputMessage="1" showErrorMessage="1" xr:uid="{848229D8-97A5-42B5-9643-98A05129DB5D}">
          <x14:formula1>
            <xm:f>DimensionsEval!$H$2:$L$2</xm:f>
          </x14:formula1>
          <xm:sqref>K3:K102 AB3:AB102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3DEA-A518-4550-9575-2798C710F892}">
  <sheetPr>
    <tabColor rgb="FF7030A0"/>
  </sheetPr>
  <dimension ref="A1:BN461"/>
  <sheetViews>
    <sheetView topLeftCell="A425" zoomScale="110" zoomScaleNormal="110" workbookViewId="0">
      <selection activeCell="D139" sqref="D139"/>
    </sheetView>
  </sheetViews>
  <sheetFormatPr defaultRowHeight="14.4" x14ac:dyDescent="0.3"/>
  <cols>
    <col min="1" max="1" width="8.44140625" bestFit="1" customWidth="1"/>
    <col min="2" max="2" width="18.109375" bestFit="1" customWidth="1"/>
    <col min="3" max="3" width="7" bestFit="1" customWidth="1"/>
    <col min="4" max="4" width="16.88671875" bestFit="1" customWidth="1"/>
    <col min="5" max="5" width="27.44140625" bestFit="1" customWidth="1"/>
    <col min="6" max="6" width="31" bestFit="1" customWidth="1"/>
    <col min="7" max="7" width="44.6640625" bestFit="1" customWidth="1"/>
    <col min="8" max="8" width="26.88671875" bestFit="1" customWidth="1"/>
    <col min="9" max="14" width="6.88671875" bestFit="1" customWidth="1"/>
    <col min="15" max="15" width="4.6640625" bestFit="1" customWidth="1"/>
    <col min="16" max="16" width="15" customWidth="1"/>
    <col min="18" max="18" width="14.109375" customWidth="1"/>
    <col min="19" max="20" width="4.6640625" style="6" customWidth="1"/>
    <col min="21" max="21" width="14.109375" customWidth="1"/>
    <col min="22" max="23" width="4.6640625" style="6" customWidth="1"/>
    <col min="24" max="24" width="14.109375" customWidth="1"/>
    <col min="25" max="26" width="4.6640625" customWidth="1"/>
    <col min="27" max="27" width="14.109375" customWidth="1"/>
    <col min="28" max="29" width="4.6640625" customWidth="1"/>
    <col min="30" max="30" width="14.109375" customWidth="1"/>
    <col min="31" max="32" width="4.6640625" customWidth="1"/>
    <col min="33" max="33" width="14.109375" customWidth="1"/>
    <col min="34" max="35" width="4.6640625" customWidth="1"/>
    <col min="52" max="52" width="17.88671875" bestFit="1" customWidth="1"/>
    <col min="61" max="61" width="5.109375" bestFit="1" customWidth="1"/>
    <col min="62" max="62" width="16.88671875" bestFit="1" customWidth="1"/>
    <col min="63" max="63" width="11.44140625" bestFit="1" customWidth="1"/>
    <col min="64" max="64" width="12.5546875" bestFit="1" customWidth="1"/>
    <col min="65" max="65" width="20.88671875" bestFit="1" customWidth="1"/>
    <col min="66" max="66" width="16.5546875" bestFit="1" customWidth="1"/>
  </cols>
  <sheetData>
    <row r="1" spans="1:66" x14ac:dyDescent="0.3">
      <c r="A1" s="124" t="s">
        <v>1655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R1" s="79" t="s">
        <v>1515</v>
      </c>
      <c r="T1" s="86">
        <v>0.1</v>
      </c>
      <c r="U1" s="86"/>
      <c r="V1" s="87"/>
      <c r="W1" s="86">
        <v>0.1</v>
      </c>
      <c r="X1" s="86"/>
      <c r="Y1" s="86"/>
      <c r="Z1" s="86">
        <v>0.25</v>
      </c>
      <c r="AA1" s="86"/>
      <c r="AB1" s="86"/>
      <c r="AC1">
        <v>0.25</v>
      </c>
      <c r="AD1" s="86"/>
      <c r="AE1" s="86"/>
      <c r="AF1">
        <v>0.05</v>
      </c>
      <c r="AG1" s="86"/>
      <c r="AH1" s="86"/>
      <c r="AI1">
        <v>0.25</v>
      </c>
    </row>
    <row r="2" spans="1:66" x14ac:dyDescent="0.3">
      <c r="A2" s="79" t="s">
        <v>0</v>
      </c>
      <c r="B2" s="79" t="s">
        <v>684</v>
      </c>
      <c r="C2" s="79" t="s">
        <v>196</v>
      </c>
      <c r="D2" s="84" t="s">
        <v>197</v>
      </c>
      <c r="E2" s="79" t="s">
        <v>1523</v>
      </c>
      <c r="F2" s="85" t="s">
        <v>1530</v>
      </c>
      <c r="G2" s="85" t="s">
        <v>1565</v>
      </c>
      <c r="H2" s="79" t="s">
        <v>1575</v>
      </c>
      <c r="I2" s="83" t="s">
        <v>1613</v>
      </c>
      <c r="J2" s="83" t="s">
        <v>1614</v>
      </c>
      <c r="K2" s="83" t="s">
        <v>1615</v>
      </c>
      <c r="L2" s="83" t="s">
        <v>1616</v>
      </c>
      <c r="M2" s="83" t="s">
        <v>1617</v>
      </c>
      <c r="N2" s="83" t="s">
        <v>1618</v>
      </c>
      <c r="O2" s="83" t="s">
        <v>1612</v>
      </c>
      <c r="R2" s="79" t="s">
        <v>1577</v>
      </c>
      <c r="S2" s="84" t="s">
        <v>1516</v>
      </c>
      <c r="T2" s="84" t="s">
        <v>1517</v>
      </c>
      <c r="U2" s="79" t="s">
        <v>1576</v>
      </c>
      <c r="V2" s="84" t="s">
        <v>1516</v>
      </c>
      <c r="W2" s="84" t="s">
        <v>1518</v>
      </c>
      <c r="X2" s="79" t="s">
        <v>1578</v>
      </c>
      <c r="Y2" s="79" t="s">
        <v>1516</v>
      </c>
      <c r="Z2" s="79" t="s">
        <v>1519</v>
      </c>
      <c r="AA2" s="80" t="s">
        <v>1581</v>
      </c>
      <c r="AB2" s="79" t="s">
        <v>1516</v>
      </c>
      <c r="AC2" s="79" t="s">
        <v>1520</v>
      </c>
      <c r="AD2" s="81" t="s">
        <v>1579</v>
      </c>
      <c r="AE2" s="79" t="s">
        <v>1516</v>
      </c>
      <c r="AF2" s="79" t="s">
        <v>1521</v>
      </c>
      <c r="AG2" s="82" t="s">
        <v>1580</v>
      </c>
      <c r="AH2" s="79" t="s">
        <v>1516</v>
      </c>
      <c r="AI2" s="79" t="s">
        <v>1522</v>
      </c>
      <c r="AO2" t="s">
        <v>1563</v>
      </c>
      <c r="AP2" t="s">
        <v>1564</v>
      </c>
      <c r="BF2">
        <v>0.1</v>
      </c>
      <c r="BH2" t="s">
        <v>1515</v>
      </c>
      <c r="BI2" s="13" t="s">
        <v>196</v>
      </c>
      <c r="BJ2" s="13" t="s">
        <v>197</v>
      </c>
      <c r="BK2" s="13" t="s">
        <v>198</v>
      </c>
      <c r="BL2" s="34" t="s">
        <v>200</v>
      </c>
      <c r="BM2" s="31" t="s">
        <v>204</v>
      </c>
      <c r="BN2" s="24" t="s">
        <v>201</v>
      </c>
    </row>
    <row r="3" spans="1:66" x14ac:dyDescent="0.3">
      <c r="A3" t="s">
        <v>43</v>
      </c>
      <c r="B3" t="s">
        <v>703</v>
      </c>
      <c r="C3" s="88" t="s">
        <v>272</v>
      </c>
      <c r="D3" s="88">
        <v>3</v>
      </c>
      <c r="E3" t="s">
        <v>1529</v>
      </c>
      <c r="F3" t="s">
        <v>1658</v>
      </c>
      <c r="G3" t="s">
        <v>1567</v>
      </c>
      <c r="H3" t="s">
        <v>1570</v>
      </c>
      <c r="I3" s="87">
        <f>VLOOKUP(C3,$R$3:$T$4,3,0)*T$1</f>
        <v>0.06</v>
      </c>
      <c r="J3" s="87">
        <f>VLOOKUP(D3,$U$3:$W$5,3,0)*W$1</f>
        <v>0.12</v>
      </c>
      <c r="K3" s="87">
        <f>VLOOKUP(E3,$X$3:$Z$9,3,0)*Z$1</f>
        <v>2.4500000000000002</v>
      </c>
      <c r="L3" s="87">
        <f>VLOOKUP(F3,$AA$3:$AC$32,3,0)*AC$1</f>
        <v>2.5</v>
      </c>
      <c r="M3" s="87">
        <f>VLOOKUP(G3,$AD$3:$AF$9,3,0)*AF$1</f>
        <v>0.32000000000000006</v>
      </c>
      <c r="N3" s="87">
        <f>VLOOKUP(H3,$AG$3:$AI$15,3,0)*AI$1</f>
        <v>2.35</v>
      </c>
      <c r="O3" s="87">
        <f>SUM(I3:N3)</f>
        <v>7.8000000000000007</v>
      </c>
      <c r="R3" t="s">
        <v>272</v>
      </c>
      <c r="S3" s="6">
        <v>94</v>
      </c>
      <c r="T3" s="6">
        <v>0.6</v>
      </c>
      <c r="U3" s="77">
        <v>3</v>
      </c>
      <c r="V3" s="6">
        <v>88</v>
      </c>
      <c r="W3" s="6">
        <v>1.2</v>
      </c>
      <c r="X3" s="29" t="s">
        <v>1524</v>
      </c>
      <c r="Y3">
        <v>73</v>
      </c>
      <c r="Z3" s="6">
        <v>2.7</v>
      </c>
      <c r="AA3" s="29" t="s">
        <v>282</v>
      </c>
      <c r="AB3">
        <v>23</v>
      </c>
      <c r="AC3" s="6">
        <v>7.7</v>
      </c>
      <c r="AD3" s="29" t="s">
        <v>1567</v>
      </c>
      <c r="AE3">
        <v>36</v>
      </c>
      <c r="AF3" s="6">
        <v>6.4</v>
      </c>
      <c r="AG3" s="29" t="s">
        <v>345</v>
      </c>
      <c r="AH3">
        <v>29</v>
      </c>
      <c r="AI3" s="6">
        <v>7.1</v>
      </c>
      <c r="AO3" s="29" t="s">
        <v>1538</v>
      </c>
      <c r="AP3" s="29" t="s">
        <v>1534</v>
      </c>
      <c r="AZ3" s="1" t="s">
        <v>1512</v>
      </c>
      <c r="BA3" s="1" t="s">
        <v>1511</v>
      </c>
      <c r="BF3">
        <v>0.1</v>
      </c>
      <c r="BI3">
        <v>0.1</v>
      </c>
      <c r="BJ3">
        <v>0.1</v>
      </c>
      <c r="BK3">
        <v>0.25</v>
      </c>
      <c r="BL3">
        <v>0.25</v>
      </c>
      <c r="BM3">
        <v>0.05</v>
      </c>
      <c r="BN3">
        <v>0.25</v>
      </c>
    </row>
    <row r="4" spans="1:66" x14ac:dyDescent="0.3">
      <c r="A4" t="s">
        <v>43</v>
      </c>
      <c r="B4" t="s">
        <v>705</v>
      </c>
      <c r="C4" s="16" t="s">
        <v>272</v>
      </c>
      <c r="D4" s="16">
        <v>3</v>
      </c>
      <c r="E4" t="s">
        <v>1524</v>
      </c>
      <c r="F4" t="s">
        <v>1540</v>
      </c>
      <c r="G4" t="s">
        <v>1566</v>
      </c>
      <c r="H4" t="s">
        <v>344</v>
      </c>
      <c r="I4" s="87">
        <f t="shared" ref="I4:I67" si="0">VLOOKUP(C4,$R$3:$T$4,3,0)*T$1</f>
        <v>0.06</v>
      </c>
      <c r="J4" s="87">
        <f t="shared" ref="J4:J67" si="1">VLOOKUP(D4,$U$3:$W$5,3,0)*W$1</f>
        <v>0.12</v>
      </c>
      <c r="K4" s="87">
        <f t="shared" ref="K4:K67" si="2">VLOOKUP(E4,$X$3:$Z$9,3,0)*Z$1</f>
        <v>0.67500000000000004</v>
      </c>
      <c r="L4" s="87">
        <f t="shared" ref="L4:L67" si="3">VLOOKUP(F4,$AA$3:$AC$32,3,0)*AC$1</f>
        <v>2.375</v>
      </c>
      <c r="M4" s="87">
        <f t="shared" ref="M4:M67" si="4">VLOOKUP(G4,$AD$3:$AF$9,3,0)*AF$1</f>
        <v>0.27</v>
      </c>
      <c r="N4" s="87">
        <f t="shared" ref="N4:N67" si="5">VLOOKUP(H4,$AG$3:$AI$15,3,0)*AI$1</f>
        <v>1.825</v>
      </c>
      <c r="O4" s="87">
        <f t="shared" ref="O4:O67" si="6">SUM(I4:N4)</f>
        <v>5.3250000000000002</v>
      </c>
      <c r="R4" t="s">
        <v>273</v>
      </c>
      <c r="S4" s="6">
        <v>6</v>
      </c>
      <c r="T4" s="6">
        <v>9.4</v>
      </c>
      <c r="U4" s="77">
        <v>2</v>
      </c>
      <c r="V4" s="6">
        <v>11</v>
      </c>
      <c r="W4" s="6">
        <v>8.9</v>
      </c>
      <c r="X4" s="29" t="s">
        <v>1525</v>
      </c>
      <c r="Y4">
        <v>17</v>
      </c>
      <c r="Z4" s="6">
        <v>8.3000000000000007</v>
      </c>
      <c r="AA4" s="29" t="s">
        <v>1534</v>
      </c>
      <c r="AB4">
        <v>2</v>
      </c>
      <c r="AC4" s="6">
        <v>9.8000000000000007</v>
      </c>
      <c r="AD4" s="29" t="s">
        <v>1568</v>
      </c>
      <c r="AE4">
        <v>11</v>
      </c>
      <c r="AF4" s="6">
        <v>8.9</v>
      </c>
      <c r="AG4" s="29" t="s">
        <v>1572</v>
      </c>
      <c r="AH4">
        <v>2</v>
      </c>
      <c r="AI4" s="6">
        <v>9.8000000000000007</v>
      </c>
      <c r="AO4" t="s">
        <v>1539</v>
      </c>
      <c r="AP4" s="29" t="s">
        <v>1535</v>
      </c>
      <c r="AY4" s="13" t="s">
        <v>196</v>
      </c>
      <c r="AZ4" s="7" t="str">
        <f>AY4</f>
        <v>type</v>
      </c>
      <c r="BA4" s="1">
        <v>0.1</v>
      </c>
      <c r="BF4">
        <v>0.25</v>
      </c>
    </row>
    <row r="5" spans="1:66" x14ac:dyDescent="0.3">
      <c r="A5" t="s">
        <v>43</v>
      </c>
      <c r="B5" t="s">
        <v>706</v>
      </c>
      <c r="C5" s="16" t="s">
        <v>272</v>
      </c>
      <c r="D5" s="16">
        <v>2</v>
      </c>
      <c r="E5" t="s">
        <v>1527</v>
      </c>
      <c r="F5" t="s">
        <v>282</v>
      </c>
      <c r="G5" t="s">
        <v>342</v>
      </c>
      <c r="H5" t="s">
        <v>344</v>
      </c>
      <c r="I5" s="87">
        <f t="shared" si="0"/>
        <v>0.06</v>
      </c>
      <c r="J5" s="87">
        <f t="shared" si="1"/>
        <v>0.89000000000000012</v>
      </c>
      <c r="K5" s="87">
        <f t="shared" si="2"/>
        <v>2.4500000000000002</v>
      </c>
      <c r="L5" s="87">
        <f t="shared" si="3"/>
        <v>1.925</v>
      </c>
      <c r="M5" s="87">
        <f t="shared" si="4"/>
        <v>0.49000000000000005</v>
      </c>
      <c r="N5" s="87">
        <f t="shared" si="5"/>
        <v>1.825</v>
      </c>
      <c r="O5" s="87">
        <f t="shared" si="6"/>
        <v>7.6400000000000006</v>
      </c>
      <c r="U5" s="77">
        <v>1</v>
      </c>
      <c r="V5" s="6">
        <v>1</v>
      </c>
      <c r="W5" s="6">
        <v>9.9</v>
      </c>
      <c r="X5" s="29" t="s">
        <v>1526</v>
      </c>
      <c r="Y5">
        <v>5</v>
      </c>
      <c r="Z5" s="6">
        <v>9.5</v>
      </c>
      <c r="AA5" s="29" t="s">
        <v>1535</v>
      </c>
      <c r="AB5">
        <v>5</v>
      </c>
      <c r="AC5" s="6">
        <v>9.5</v>
      </c>
      <c r="AD5" s="29" t="s">
        <v>1566</v>
      </c>
      <c r="AE5">
        <v>46</v>
      </c>
      <c r="AF5" s="6">
        <v>5.4</v>
      </c>
      <c r="AG5" s="29" t="s">
        <v>1573</v>
      </c>
      <c r="AH5">
        <v>3</v>
      </c>
      <c r="AI5" s="6">
        <v>9.6999999999999993</v>
      </c>
      <c r="AO5" t="s">
        <v>1541</v>
      </c>
      <c r="AP5" s="29" t="s">
        <v>1535</v>
      </c>
      <c r="AY5" s="13" t="s">
        <v>197</v>
      </c>
      <c r="AZ5" s="7" t="s">
        <v>239</v>
      </c>
      <c r="BA5" s="1">
        <v>0.1</v>
      </c>
      <c r="BF5">
        <v>0.25</v>
      </c>
    </row>
    <row r="6" spans="1:66" x14ac:dyDescent="0.3">
      <c r="A6" t="s">
        <v>43</v>
      </c>
      <c r="B6" t="s">
        <v>707</v>
      </c>
      <c r="C6" s="16" t="s">
        <v>272</v>
      </c>
      <c r="D6" s="16">
        <v>3</v>
      </c>
      <c r="E6" t="s">
        <v>1524</v>
      </c>
      <c r="F6" t="s">
        <v>1658</v>
      </c>
      <c r="G6" t="s">
        <v>1567</v>
      </c>
      <c r="H6" t="s">
        <v>344</v>
      </c>
      <c r="I6" s="87">
        <f t="shared" si="0"/>
        <v>0.06</v>
      </c>
      <c r="J6" s="87">
        <f t="shared" si="1"/>
        <v>0.12</v>
      </c>
      <c r="K6" s="87">
        <f t="shared" si="2"/>
        <v>0.67500000000000004</v>
      </c>
      <c r="L6" s="87">
        <f t="shared" si="3"/>
        <v>2.5</v>
      </c>
      <c r="M6" s="87">
        <f t="shared" si="4"/>
        <v>0.32000000000000006</v>
      </c>
      <c r="N6" s="87">
        <f t="shared" si="5"/>
        <v>1.825</v>
      </c>
      <c r="O6" s="87">
        <f t="shared" si="6"/>
        <v>5.5</v>
      </c>
      <c r="X6" s="29" t="s">
        <v>1527</v>
      </c>
      <c r="Y6">
        <v>2</v>
      </c>
      <c r="Z6" s="6">
        <v>9.8000000000000007</v>
      </c>
      <c r="AA6" s="29" t="s">
        <v>1536</v>
      </c>
      <c r="AB6">
        <v>1</v>
      </c>
      <c r="AC6" s="6">
        <v>9.9</v>
      </c>
      <c r="AD6" s="29" t="s">
        <v>341</v>
      </c>
      <c r="AE6">
        <v>4</v>
      </c>
      <c r="AF6" s="6">
        <v>9.6</v>
      </c>
      <c r="AG6" s="29" t="s">
        <v>377</v>
      </c>
      <c r="AH6">
        <v>3</v>
      </c>
      <c r="AI6" s="6">
        <v>9.6999999999999993</v>
      </c>
      <c r="AO6" t="s">
        <v>1543</v>
      </c>
      <c r="AP6" s="29" t="s">
        <v>1535</v>
      </c>
      <c r="AY6" s="13" t="s">
        <v>198</v>
      </c>
      <c r="AZ6" s="70" t="s">
        <v>1513</v>
      </c>
      <c r="BA6" s="70">
        <v>0.25</v>
      </c>
      <c r="BF6">
        <v>0.05</v>
      </c>
    </row>
    <row r="7" spans="1:66" x14ac:dyDescent="0.3">
      <c r="A7" t="s">
        <v>43</v>
      </c>
      <c r="B7" t="s">
        <v>708</v>
      </c>
      <c r="C7" s="16" t="s">
        <v>272</v>
      </c>
      <c r="D7" s="16">
        <v>3</v>
      </c>
      <c r="E7" t="s">
        <v>1524</v>
      </c>
      <c r="F7" t="s">
        <v>1658</v>
      </c>
      <c r="G7" t="s">
        <v>1567</v>
      </c>
      <c r="H7" t="s">
        <v>344</v>
      </c>
      <c r="I7" s="87">
        <f t="shared" si="0"/>
        <v>0.06</v>
      </c>
      <c r="J7" s="87">
        <f t="shared" si="1"/>
        <v>0.12</v>
      </c>
      <c r="K7" s="87">
        <f t="shared" si="2"/>
        <v>0.67500000000000004</v>
      </c>
      <c r="L7" s="87">
        <f t="shared" si="3"/>
        <v>2.5</v>
      </c>
      <c r="M7" s="87">
        <f t="shared" si="4"/>
        <v>0.32000000000000006</v>
      </c>
      <c r="N7" s="87">
        <f t="shared" si="5"/>
        <v>1.825</v>
      </c>
      <c r="O7" s="87">
        <f t="shared" si="6"/>
        <v>5.5</v>
      </c>
      <c r="X7" s="29" t="s">
        <v>1528</v>
      </c>
      <c r="Y7">
        <v>1</v>
      </c>
      <c r="Z7" s="6">
        <v>9.9</v>
      </c>
      <c r="AA7" s="29" t="s">
        <v>1537</v>
      </c>
      <c r="AB7">
        <v>11</v>
      </c>
      <c r="AC7" s="6">
        <v>8.9</v>
      </c>
      <c r="AD7" s="29" t="s">
        <v>340</v>
      </c>
      <c r="AE7">
        <v>1</v>
      </c>
      <c r="AF7" s="6">
        <v>9.9</v>
      </c>
      <c r="AG7" s="29" t="s">
        <v>348</v>
      </c>
      <c r="AH7">
        <v>1</v>
      </c>
      <c r="AI7" s="6">
        <v>9.9</v>
      </c>
      <c r="AO7" s="29" t="s">
        <v>1554</v>
      </c>
      <c r="AP7" s="29" t="s">
        <v>1537</v>
      </c>
      <c r="AY7" s="30" t="s">
        <v>199</v>
      </c>
      <c r="AZ7" s="70" t="s">
        <v>1514</v>
      </c>
      <c r="BA7" s="70"/>
      <c r="BF7">
        <v>0.25</v>
      </c>
    </row>
    <row r="8" spans="1:66" x14ac:dyDescent="0.3">
      <c r="A8" t="s">
        <v>43</v>
      </c>
      <c r="B8" t="s">
        <v>709</v>
      </c>
      <c r="C8" s="16" t="s">
        <v>272</v>
      </c>
      <c r="D8" s="16">
        <v>3</v>
      </c>
      <c r="E8" t="s">
        <v>1524</v>
      </c>
      <c r="F8" t="s">
        <v>1658</v>
      </c>
      <c r="G8" t="s">
        <v>1567</v>
      </c>
      <c r="H8" t="s">
        <v>344</v>
      </c>
      <c r="I8" s="87">
        <f t="shared" si="0"/>
        <v>0.06</v>
      </c>
      <c r="J8" s="87">
        <f t="shared" si="1"/>
        <v>0.12</v>
      </c>
      <c r="K8" s="87">
        <f t="shared" si="2"/>
        <v>0.67500000000000004</v>
      </c>
      <c r="L8" s="87">
        <f t="shared" si="3"/>
        <v>2.5</v>
      </c>
      <c r="M8" s="87">
        <f t="shared" si="4"/>
        <v>0.32000000000000006</v>
      </c>
      <c r="N8" s="87">
        <f t="shared" si="5"/>
        <v>1.825</v>
      </c>
      <c r="O8" s="87">
        <f t="shared" si="6"/>
        <v>5.5</v>
      </c>
      <c r="X8" s="29" t="s">
        <v>1529</v>
      </c>
      <c r="Y8">
        <v>2</v>
      </c>
      <c r="Z8" s="6">
        <v>9.8000000000000007</v>
      </c>
      <c r="AA8" s="29" t="s">
        <v>1531</v>
      </c>
      <c r="AB8">
        <v>1</v>
      </c>
      <c r="AC8" s="6">
        <v>9.9</v>
      </c>
      <c r="AD8" s="29" t="s">
        <v>342</v>
      </c>
      <c r="AE8">
        <v>2</v>
      </c>
      <c r="AF8" s="6">
        <v>9.8000000000000007</v>
      </c>
      <c r="AG8" s="29" t="s">
        <v>291</v>
      </c>
      <c r="AH8">
        <v>15</v>
      </c>
      <c r="AI8" s="6">
        <v>8.5</v>
      </c>
      <c r="AO8" s="29" t="s">
        <v>1556</v>
      </c>
      <c r="AP8" t="s">
        <v>1546</v>
      </c>
      <c r="AY8" s="34" t="s">
        <v>200</v>
      </c>
      <c r="AZ8" s="119" t="s">
        <v>241</v>
      </c>
      <c r="BA8" s="125">
        <v>0.25</v>
      </c>
      <c r="BF8">
        <v>1</v>
      </c>
    </row>
    <row r="9" spans="1:66" x14ac:dyDescent="0.3">
      <c r="A9" t="s">
        <v>43</v>
      </c>
      <c r="B9" t="s">
        <v>710</v>
      </c>
      <c r="C9" s="16" t="s">
        <v>272</v>
      </c>
      <c r="D9" s="16">
        <v>3</v>
      </c>
      <c r="E9" t="s">
        <v>1524</v>
      </c>
      <c r="F9" t="s">
        <v>1658</v>
      </c>
      <c r="G9" t="s">
        <v>1567</v>
      </c>
      <c r="H9" t="s">
        <v>344</v>
      </c>
      <c r="I9" s="87">
        <f t="shared" si="0"/>
        <v>0.06</v>
      </c>
      <c r="J9" s="87">
        <f t="shared" si="1"/>
        <v>0.12</v>
      </c>
      <c r="K9" s="87">
        <f t="shared" si="2"/>
        <v>0.67500000000000004</v>
      </c>
      <c r="L9" s="87">
        <f t="shared" si="3"/>
        <v>2.5</v>
      </c>
      <c r="M9" s="87">
        <f t="shared" si="4"/>
        <v>0.32000000000000006</v>
      </c>
      <c r="N9" s="87">
        <f t="shared" si="5"/>
        <v>1.825</v>
      </c>
      <c r="O9" s="87">
        <f t="shared" si="6"/>
        <v>5.5</v>
      </c>
      <c r="X9" s="29" t="s">
        <v>1657</v>
      </c>
      <c r="Y9">
        <v>0</v>
      </c>
      <c r="Z9" s="6">
        <v>10</v>
      </c>
      <c r="AA9" t="s">
        <v>1533</v>
      </c>
      <c r="AB9">
        <v>1</v>
      </c>
      <c r="AC9" s="6">
        <v>9.9</v>
      </c>
      <c r="AD9" s="29" t="s">
        <v>1656</v>
      </c>
      <c r="AE9">
        <v>0</v>
      </c>
      <c r="AF9" s="6">
        <v>10</v>
      </c>
      <c r="AG9" s="29" t="s">
        <v>347</v>
      </c>
      <c r="AH9">
        <v>3</v>
      </c>
      <c r="AI9" s="6">
        <v>9.6999999999999993</v>
      </c>
      <c r="AO9" t="s">
        <v>1558</v>
      </c>
      <c r="AP9" s="29" t="s">
        <v>1547</v>
      </c>
      <c r="AY9" s="33" t="s">
        <v>202</v>
      </c>
      <c r="AZ9" s="119"/>
      <c r="BA9" s="125"/>
    </row>
    <row r="10" spans="1:66" x14ac:dyDescent="0.3">
      <c r="A10" t="s">
        <v>43</v>
      </c>
      <c r="B10" t="s">
        <v>711</v>
      </c>
      <c r="C10" s="16" t="s">
        <v>272</v>
      </c>
      <c r="D10" s="16">
        <v>3</v>
      </c>
      <c r="E10" t="s">
        <v>1524</v>
      </c>
      <c r="F10" t="s">
        <v>1658</v>
      </c>
      <c r="G10" t="s">
        <v>1567</v>
      </c>
      <c r="H10" t="s">
        <v>1570</v>
      </c>
      <c r="I10" s="87">
        <f t="shared" si="0"/>
        <v>0.06</v>
      </c>
      <c r="J10" s="87">
        <f t="shared" si="1"/>
        <v>0.12</v>
      </c>
      <c r="K10" s="87">
        <f t="shared" si="2"/>
        <v>0.67500000000000004</v>
      </c>
      <c r="L10" s="87">
        <f t="shared" si="3"/>
        <v>2.5</v>
      </c>
      <c r="M10" s="87">
        <f t="shared" si="4"/>
        <v>0.32000000000000006</v>
      </c>
      <c r="N10" s="87">
        <f t="shared" si="5"/>
        <v>2.35</v>
      </c>
      <c r="O10" s="87">
        <f t="shared" si="6"/>
        <v>6.0250000000000004</v>
      </c>
      <c r="AA10" s="29" t="s">
        <v>283</v>
      </c>
      <c r="AB10">
        <v>6</v>
      </c>
      <c r="AC10" s="6">
        <v>9.4</v>
      </c>
      <c r="AF10" s="6"/>
      <c r="AG10" s="29" t="s">
        <v>346</v>
      </c>
      <c r="AH10">
        <v>1</v>
      </c>
      <c r="AI10" s="6">
        <v>9.9</v>
      </c>
      <c r="AO10" t="s">
        <v>1654</v>
      </c>
      <c r="AP10" s="29" t="s">
        <v>1656</v>
      </c>
      <c r="AY10" s="33" t="s">
        <v>203</v>
      </c>
      <c r="AZ10" s="119"/>
      <c r="BA10" s="125"/>
    </row>
    <row r="11" spans="1:66" x14ac:dyDescent="0.3">
      <c r="A11" t="s">
        <v>43</v>
      </c>
      <c r="B11" t="s">
        <v>712</v>
      </c>
      <c r="C11" s="16" t="s">
        <v>272</v>
      </c>
      <c r="D11" s="16">
        <v>2</v>
      </c>
      <c r="E11" t="s">
        <v>1524</v>
      </c>
      <c r="F11" t="s">
        <v>282</v>
      </c>
      <c r="G11" t="s">
        <v>342</v>
      </c>
      <c r="H11" t="s">
        <v>344</v>
      </c>
      <c r="I11" s="87">
        <f t="shared" si="0"/>
        <v>0.06</v>
      </c>
      <c r="J11" s="87">
        <f t="shared" si="1"/>
        <v>0.89000000000000012</v>
      </c>
      <c r="K11" s="87">
        <f t="shared" si="2"/>
        <v>0.67500000000000004</v>
      </c>
      <c r="L11" s="87">
        <f t="shared" si="3"/>
        <v>1.925</v>
      </c>
      <c r="M11" s="87">
        <f t="shared" si="4"/>
        <v>0.49000000000000005</v>
      </c>
      <c r="N11" s="87">
        <f t="shared" si="5"/>
        <v>1.825</v>
      </c>
      <c r="O11" s="87">
        <f t="shared" si="6"/>
        <v>5.8650000000000002</v>
      </c>
      <c r="AA11" s="29" t="s">
        <v>1540</v>
      </c>
      <c r="AB11">
        <v>5</v>
      </c>
      <c r="AC11" s="6">
        <v>9.5</v>
      </c>
      <c r="AF11" s="6"/>
      <c r="AG11" s="29" t="s">
        <v>344</v>
      </c>
      <c r="AH11">
        <v>27</v>
      </c>
      <c r="AI11" s="6">
        <v>7.3</v>
      </c>
      <c r="AO11" t="s">
        <v>343</v>
      </c>
      <c r="AP11" s="29" t="s">
        <v>1656</v>
      </c>
      <c r="AY11" s="35" t="s">
        <v>208</v>
      </c>
      <c r="AZ11" s="119"/>
      <c r="BA11" s="125"/>
    </row>
    <row r="12" spans="1:66" x14ac:dyDescent="0.3">
      <c r="A12" t="s">
        <v>43</v>
      </c>
      <c r="B12" t="s">
        <v>713</v>
      </c>
      <c r="C12" s="16" t="s">
        <v>272</v>
      </c>
      <c r="D12" s="16">
        <v>2</v>
      </c>
      <c r="E12" t="s">
        <v>1524</v>
      </c>
      <c r="F12" t="s">
        <v>282</v>
      </c>
      <c r="G12" t="s">
        <v>1656</v>
      </c>
      <c r="H12" t="s">
        <v>344</v>
      </c>
      <c r="I12" s="87">
        <f t="shared" si="0"/>
        <v>0.06</v>
      </c>
      <c r="J12" s="87">
        <f t="shared" si="1"/>
        <v>0.89000000000000012</v>
      </c>
      <c r="K12" s="87">
        <f t="shared" si="2"/>
        <v>0.67500000000000004</v>
      </c>
      <c r="L12" s="87">
        <f t="shared" si="3"/>
        <v>1.925</v>
      </c>
      <c r="M12" s="87">
        <f t="shared" si="4"/>
        <v>0.5</v>
      </c>
      <c r="N12" s="87">
        <f t="shared" si="5"/>
        <v>1.825</v>
      </c>
      <c r="O12" s="87">
        <f t="shared" si="6"/>
        <v>5.8750000000000009</v>
      </c>
      <c r="T12"/>
      <c r="V12"/>
      <c r="W12"/>
      <c r="AA12" s="29" t="s">
        <v>1542</v>
      </c>
      <c r="AB12">
        <v>6</v>
      </c>
      <c r="AC12" s="6">
        <v>9.4</v>
      </c>
      <c r="AF12" s="6"/>
      <c r="AG12" s="29" t="s">
        <v>1574</v>
      </c>
      <c r="AH12">
        <v>5</v>
      </c>
      <c r="AI12" s="6">
        <v>9.5</v>
      </c>
      <c r="AO12" t="s">
        <v>334</v>
      </c>
      <c r="AP12" t="s">
        <v>1657</v>
      </c>
      <c r="AY12" s="31" t="s">
        <v>204</v>
      </c>
      <c r="AZ12" s="119" t="s">
        <v>245</v>
      </c>
      <c r="BA12" s="125">
        <v>0.05</v>
      </c>
    </row>
    <row r="13" spans="1:66" x14ac:dyDescent="0.3">
      <c r="A13" t="s">
        <v>43</v>
      </c>
      <c r="B13" t="s">
        <v>714</v>
      </c>
      <c r="C13" s="16" t="s">
        <v>272</v>
      </c>
      <c r="D13" s="16">
        <v>2</v>
      </c>
      <c r="E13" t="s">
        <v>1524</v>
      </c>
      <c r="F13" t="s">
        <v>282</v>
      </c>
      <c r="G13" t="s">
        <v>1656</v>
      </c>
      <c r="H13" t="s">
        <v>344</v>
      </c>
      <c r="I13" s="87">
        <f t="shared" si="0"/>
        <v>0.06</v>
      </c>
      <c r="J13" s="87">
        <f t="shared" si="1"/>
        <v>0.89000000000000012</v>
      </c>
      <c r="K13" s="87">
        <f t="shared" si="2"/>
        <v>0.67500000000000004</v>
      </c>
      <c r="L13" s="87">
        <f t="shared" si="3"/>
        <v>1.925</v>
      </c>
      <c r="M13" s="87">
        <f t="shared" si="4"/>
        <v>0.5</v>
      </c>
      <c r="N13" s="87">
        <f t="shared" si="5"/>
        <v>1.825</v>
      </c>
      <c r="O13" s="87">
        <f t="shared" si="6"/>
        <v>5.8750000000000009</v>
      </c>
      <c r="T13"/>
      <c r="V13"/>
      <c r="W13"/>
      <c r="AA13" s="29" t="s">
        <v>1544</v>
      </c>
      <c r="AB13">
        <v>1</v>
      </c>
      <c r="AC13" s="6">
        <v>9.9</v>
      </c>
      <c r="AF13" s="6"/>
      <c r="AG13" s="29" t="s">
        <v>1570</v>
      </c>
      <c r="AH13">
        <v>6</v>
      </c>
      <c r="AI13" s="6">
        <v>9.4</v>
      </c>
      <c r="AO13" t="s">
        <v>1638</v>
      </c>
      <c r="AP13" s="29" t="s">
        <v>1540</v>
      </c>
      <c r="AY13" s="31" t="s">
        <v>205</v>
      </c>
      <c r="AZ13" s="119"/>
      <c r="BA13" s="125"/>
    </row>
    <row r="14" spans="1:66" x14ac:dyDescent="0.3">
      <c r="A14" t="s">
        <v>43</v>
      </c>
      <c r="B14" t="s">
        <v>715</v>
      </c>
      <c r="C14" s="16" t="s">
        <v>272</v>
      </c>
      <c r="D14" s="16">
        <v>3</v>
      </c>
      <c r="E14" t="s">
        <v>1524</v>
      </c>
      <c r="F14" t="s">
        <v>1540</v>
      </c>
      <c r="G14" t="s">
        <v>1566</v>
      </c>
      <c r="H14" t="s">
        <v>344</v>
      </c>
      <c r="I14" s="87">
        <f t="shared" si="0"/>
        <v>0.06</v>
      </c>
      <c r="J14" s="87">
        <f t="shared" si="1"/>
        <v>0.12</v>
      </c>
      <c r="K14" s="87">
        <f t="shared" si="2"/>
        <v>0.67500000000000004</v>
      </c>
      <c r="L14" s="87">
        <f t="shared" si="3"/>
        <v>2.375</v>
      </c>
      <c r="M14" s="87">
        <f t="shared" si="4"/>
        <v>0.27</v>
      </c>
      <c r="N14" s="87">
        <f t="shared" si="5"/>
        <v>1.825</v>
      </c>
      <c r="O14" s="87">
        <f t="shared" si="6"/>
        <v>5.3250000000000002</v>
      </c>
      <c r="AA14" t="s">
        <v>1545</v>
      </c>
      <c r="AB14">
        <v>1</v>
      </c>
      <c r="AC14" s="6">
        <v>9.9</v>
      </c>
      <c r="AF14" s="6"/>
      <c r="AG14" s="29" t="s">
        <v>1571</v>
      </c>
      <c r="AH14">
        <v>5</v>
      </c>
      <c r="AI14" s="6">
        <v>9.5</v>
      </c>
      <c r="AO14" t="s">
        <v>1648</v>
      </c>
      <c r="AP14" s="29" t="s">
        <v>1544</v>
      </c>
      <c r="AY14" s="32" t="s">
        <v>206</v>
      </c>
      <c r="AZ14" s="119"/>
      <c r="BA14" s="125"/>
    </row>
    <row r="15" spans="1:66" x14ac:dyDescent="0.3">
      <c r="A15" t="s">
        <v>43</v>
      </c>
      <c r="B15" t="s">
        <v>716</v>
      </c>
      <c r="C15" s="16" t="s">
        <v>272</v>
      </c>
      <c r="D15" s="16">
        <v>2</v>
      </c>
      <c r="E15" t="s">
        <v>1525</v>
      </c>
      <c r="F15" t="s">
        <v>282</v>
      </c>
      <c r="G15" t="s">
        <v>1656</v>
      </c>
      <c r="H15" t="s">
        <v>344</v>
      </c>
      <c r="I15" s="87">
        <f t="shared" si="0"/>
        <v>0.06</v>
      </c>
      <c r="J15" s="87">
        <f t="shared" si="1"/>
        <v>0.89000000000000012</v>
      </c>
      <c r="K15" s="87">
        <f t="shared" si="2"/>
        <v>2.0750000000000002</v>
      </c>
      <c r="L15" s="87">
        <f t="shared" si="3"/>
        <v>1.925</v>
      </c>
      <c r="M15" s="87">
        <f t="shared" si="4"/>
        <v>0.5</v>
      </c>
      <c r="N15" s="87">
        <f t="shared" si="5"/>
        <v>1.825</v>
      </c>
      <c r="O15" s="87">
        <f t="shared" si="6"/>
        <v>7.2750000000000004</v>
      </c>
      <c r="AA15" t="s">
        <v>1546</v>
      </c>
      <c r="AB15">
        <v>8</v>
      </c>
      <c r="AC15" s="6">
        <v>9.1999999999999993</v>
      </c>
      <c r="AF15" s="6"/>
      <c r="AG15" s="29" t="s">
        <v>1658</v>
      </c>
      <c r="AH15">
        <v>0</v>
      </c>
      <c r="AI15" s="6">
        <v>10</v>
      </c>
      <c r="AO15" t="s">
        <v>1640</v>
      </c>
      <c r="AP15" s="29" t="s">
        <v>1557</v>
      </c>
      <c r="AY15" s="24" t="s">
        <v>201</v>
      </c>
      <c r="AZ15" s="119" t="s">
        <v>242</v>
      </c>
      <c r="BA15" s="125">
        <v>0.25</v>
      </c>
    </row>
    <row r="16" spans="1:66" x14ac:dyDescent="0.3">
      <c r="A16" t="s">
        <v>43</v>
      </c>
      <c r="B16" t="s">
        <v>717</v>
      </c>
      <c r="C16" s="16" t="s">
        <v>272</v>
      </c>
      <c r="D16" s="16">
        <v>3</v>
      </c>
      <c r="E16" t="s">
        <v>1524</v>
      </c>
      <c r="F16" t="s">
        <v>1540</v>
      </c>
      <c r="G16" t="s">
        <v>1566</v>
      </c>
      <c r="H16" t="s">
        <v>1570</v>
      </c>
      <c r="I16" s="87">
        <f t="shared" si="0"/>
        <v>0.06</v>
      </c>
      <c r="J16" s="87">
        <f t="shared" si="1"/>
        <v>0.12</v>
      </c>
      <c r="K16" s="87">
        <f t="shared" si="2"/>
        <v>0.67500000000000004</v>
      </c>
      <c r="L16" s="87">
        <f t="shared" si="3"/>
        <v>2.375</v>
      </c>
      <c r="M16" s="87">
        <f t="shared" si="4"/>
        <v>0.27</v>
      </c>
      <c r="N16" s="87">
        <f t="shared" si="5"/>
        <v>2.35</v>
      </c>
      <c r="O16" s="87">
        <f t="shared" si="6"/>
        <v>5.85</v>
      </c>
      <c r="AA16" s="29" t="s">
        <v>1547</v>
      </c>
      <c r="AB16">
        <v>6</v>
      </c>
      <c r="AC16" s="6">
        <v>9.4</v>
      </c>
      <c r="AF16" s="6"/>
      <c r="AI16" s="6"/>
      <c r="AO16" t="s">
        <v>1651</v>
      </c>
      <c r="AP16" t="s">
        <v>1551</v>
      </c>
      <c r="AY16" s="25" t="s">
        <v>207</v>
      </c>
      <c r="AZ16" s="119"/>
      <c r="BA16" s="125"/>
    </row>
    <row r="17" spans="1:53" x14ac:dyDescent="0.3">
      <c r="A17" t="s">
        <v>43</v>
      </c>
      <c r="B17" t="s">
        <v>718</v>
      </c>
      <c r="C17" s="16" t="s">
        <v>272</v>
      </c>
      <c r="D17" s="16">
        <v>3</v>
      </c>
      <c r="E17" t="s">
        <v>1524</v>
      </c>
      <c r="F17" t="s">
        <v>1557</v>
      </c>
      <c r="G17" t="s">
        <v>1656</v>
      </c>
      <c r="H17" t="s">
        <v>344</v>
      </c>
      <c r="I17" s="87">
        <f t="shared" si="0"/>
        <v>0.06</v>
      </c>
      <c r="J17" s="87">
        <f t="shared" si="1"/>
        <v>0.12</v>
      </c>
      <c r="K17" s="87">
        <f t="shared" si="2"/>
        <v>0.67500000000000004</v>
      </c>
      <c r="L17" s="87">
        <f t="shared" si="3"/>
        <v>2.4249999999999998</v>
      </c>
      <c r="M17" s="87">
        <f t="shared" si="4"/>
        <v>0.5</v>
      </c>
      <c r="N17" s="87">
        <f t="shared" si="5"/>
        <v>1.825</v>
      </c>
      <c r="O17" s="87">
        <f t="shared" si="6"/>
        <v>5.6049999999999995</v>
      </c>
      <c r="AA17" t="s">
        <v>1532</v>
      </c>
      <c r="AB17">
        <v>1</v>
      </c>
      <c r="AC17" s="6">
        <v>9.9</v>
      </c>
      <c r="AF17" s="6"/>
      <c r="AI17" s="6"/>
      <c r="AO17" t="s">
        <v>1653</v>
      </c>
      <c r="AP17" s="29" t="s">
        <v>1553</v>
      </c>
      <c r="BA17">
        <f>SUM(BA4:BA16)</f>
        <v>1</v>
      </c>
    </row>
    <row r="18" spans="1:53" x14ac:dyDescent="0.3">
      <c r="A18" t="s">
        <v>45</v>
      </c>
      <c r="B18" t="s">
        <v>719</v>
      </c>
      <c r="C18" s="16" t="s">
        <v>272</v>
      </c>
      <c r="D18" s="16">
        <v>3</v>
      </c>
      <c r="E18" t="s">
        <v>1524</v>
      </c>
      <c r="F18" t="s">
        <v>282</v>
      </c>
      <c r="G18" t="s">
        <v>1568</v>
      </c>
      <c r="H18" t="s">
        <v>1570</v>
      </c>
      <c r="I18" s="87">
        <f t="shared" si="0"/>
        <v>0.06</v>
      </c>
      <c r="J18" s="87">
        <f t="shared" si="1"/>
        <v>0.12</v>
      </c>
      <c r="K18" s="87">
        <f t="shared" si="2"/>
        <v>0.67500000000000004</v>
      </c>
      <c r="L18" s="87">
        <f t="shared" si="3"/>
        <v>1.925</v>
      </c>
      <c r="M18" s="87">
        <f t="shared" si="4"/>
        <v>0.44500000000000006</v>
      </c>
      <c r="N18" s="87">
        <f t="shared" si="5"/>
        <v>2.35</v>
      </c>
      <c r="O18" s="87">
        <f t="shared" si="6"/>
        <v>5.5750000000000011</v>
      </c>
      <c r="AA18" t="s">
        <v>1548</v>
      </c>
      <c r="AB18">
        <v>1</v>
      </c>
      <c r="AC18" s="6">
        <v>9.9</v>
      </c>
      <c r="AF18" s="6"/>
      <c r="AI18" s="6"/>
      <c r="AO18" t="s">
        <v>371</v>
      </c>
      <c r="AP18" t="s">
        <v>1658</v>
      </c>
    </row>
    <row r="19" spans="1:53" x14ac:dyDescent="0.3">
      <c r="A19" t="s">
        <v>45</v>
      </c>
      <c r="B19" t="s">
        <v>720</v>
      </c>
      <c r="C19" s="16" t="s">
        <v>272</v>
      </c>
      <c r="D19" s="16">
        <v>3</v>
      </c>
      <c r="E19" t="s">
        <v>1524</v>
      </c>
      <c r="F19" t="s">
        <v>1537</v>
      </c>
      <c r="G19" t="s">
        <v>1567</v>
      </c>
      <c r="H19" t="s">
        <v>1658</v>
      </c>
      <c r="I19" s="87">
        <f t="shared" si="0"/>
        <v>0.06</v>
      </c>
      <c r="J19" s="87">
        <f t="shared" si="1"/>
        <v>0.12</v>
      </c>
      <c r="K19" s="87">
        <f t="shared" si="2"/>
        <v>0.67500000000000004</v>
      </c>
      <c r="L19" s="87">
        <f t="shared" si="3"/>
        <v>2.2250000000000001</v>
      </c>
      <c r="M19" s="87">
        <f t="shared" si="4"/>
        <v>0.32000000000000006</v>
      </c>
      <c r="N19" s="87">
        <f t="shared" si="5"/>
        <v>2.5</v>
      </c>
      <c r="O19" s="87">
        <f t="shared" si="6"/>
        <v>5.9</v>
      </c>
      <c r="AA19" t="s">
        <v>1549</v>
      </c>
      <c r="AB19">
        <v>1</v>
      </c>
      <c r="AC19" s="6">
        <v>9.9</v>
      </c>
      <c r="AF19" s="6"/>
      <c r="AI19" s="6"/>
      <c r="AO19" t="s">
        <v>1649</v>
      </c>
      <c r="AP19" t="s">
        <v>1658</v>
      </c>
    </row>
    <row r="20" spans="1:53" x14ac:dyDescent="0.3">
      <c r="A20" t="s">
        <v>45</v>
      </c>
      <c r="B20" t="s">
        <v>721</v>
      </c>
      <c r="C20" s="16" t="s">
        <v>272</v>
      </c>
      <c r="D20" s="16">
        <v>3</v>
      </c>
      <c r="E20" t="s">
        <v>1524</v>
      </c>
      <c r="F20" t="s">
        <v>1537</v>
      </c>
      <c r="G20" t="s">
        <v>1567</v>
      </c>
      <c r="H20" t="s">
        <v>1658</v>
      </c>
      <c r="I20" s="87">
        <f t="shared" si="0"/>
        <v>0.06</v>
      </c>
      <c r="J20" s="87">
        <f t="shared" si="1"/>
        <v>0.12</v>
      </c>
      <c r="K20" s="87">
        <f t="shared" si="2"/>
        <v>0.67500000000000004</v>
      </c>
      <c r="L20" s="87">
        <f t="shared" si="3"/>
        <v>2.2250000000000001</v>
      </c>
      <c r="M20" s="87">
        <f t="shared" si="4"/>
        <v>0.32000000000000006</v>
      </c>
      <c r="N20" s="87">
        <f t="shared" si="5"/>
        <v>2.5</v>
      </c>
      <c r="O20" s="87">
        <f t="shared" si="6"/>
        <v>5.9</v>
      </c>
      <c r="AA20" t="s">
        <v>1550</v>
      </c>
      <c r="AB20">
        <v>1</v>
      </c>
      <c r="AC20" s="6">
        <v>9.9</v>
      </c>
      <c r="AF20" s="6"/>
      <c r="AI20" s="6"/>
      <c r="AO20" t="s">
        <v>1645</v>
      </c>
      <c r="AP20" t="s">
        <v>1555</v>
      </c>
    </row>
    <row r="21" spans="1:53" x14ac:dyDescent="0.3">
      <c r="A21" t="s">
        <v>45</v>
      </c>
      <c r="B21" t="s">
        <v>722</v>
      </c>
      <c r="C21" s="16" t="s">
        <v>272</v>
      </c>
      <c r="D21" s="16">
        <v>3</v>
      </c>
      <c r="E21" t="s">
        <v>1524</v>
      </c>
      <c r="F21" t="s">
        <v>282</v>
      </c>
      <c r="G21" t="s">
        <v>1566</v>
      </c>
      <c r="H21" t="s">
        <v>1574</v>
      </c>
      <c r="I21" s="87">
        <f t="shared" si="0"/>
        <v>0.06</v>
      </c>
      <c r="J21" s="87">
        <f t="shared" si="1"/>
        <v>0.12</v>
      </c>
      <c r="K21" s="87">
        <f t="shared" si="2"/>
        <v>0.67500000000000004</v>
      </c>
      <c r="L21" s="87">
        <f t="shared" si="3"/>
        <v>1.925</v>
      </c>
      <c r="M21" s="87">
        <f t="shared" si="4"/>
        <v>0.27</v>
      </c>
      <c r="N21" s="87">
        <f t="shared" si="5"/>
        <v>2.375</v>
      </c>
      <c r="O21" s="87">
        <f t="shared" si="6"/>
        <v>5.4250000000000007</v>
      </c>
      <c r="AA21" t="s">
        <v>1551</v>
      </c>
      <c r="AB21">
        <v>2</v>
      </c>
      <c r="AC21" s="6">
        <v>9.8000000000000007</v>
      </c>
      <c r="AF21" s="6"/>
      <c r="AI21" s="6"/>
      <c r="AO21" t="s">
        <v>284</v>
      </c>
      <c r="AP21" t="s">
        <v>1658</v>
      </c>
    </row>
    <row r="22" spans="1:53" x14ac:dyDescent="0.3">
      <c r="A22" t="s">
        <v>45</v>
      </c>
      <c r="B22" t="s">
        <v>723</v>
      </c>
      <c r="C22" s="16" t="s">
        <v>272</v>
      </c>
      <c r="D22" s="16">
        <v>3</v>
      </c>
      <c r="E22" t="s">
        <v>1524</v>
      </c>
      <c r="F22" t="s">
        <v>282</v>
      </c>
      <c r="G22" t="s">
        <v>1566</v>
      </c>
      <c r="H22" t="s">
        <v>1574</v>
      </c>
      <c r="I22" s="87">
        <f t="shared" si="0"/>
        <v>0.06</v>
      </c>
      <c r="J22" s="87">
        <f t="shared" si="1"/>
        <v>0.12</v>
      </c>
      <c r="K22" s="87">
        <f t="shared" si="2"/>
        <v>0.67500000000000004</v>
      </c>
      <c r="L22" s="87">
        <f t="shared" si="3"/>
        <v>1.925</v>
      </c>
      <c r="M22" s="87">
        <f t="shared" si="4"/>
        <v>0.27</v>
      </c>
      <c r="N22" s="87">
        <f t="shared" si="5"/>
        <v>2.375</v>
      </c>
      <c r="O22" s="87">
        <f t="shared" si="6"/>
        <v>5.4250000000000007</v>
      </c>
      <c r="AA22" s="29" t="s">
        <v>287</v>
      </c>
      <c r="AB22">
        <v>1</v>
      </c>
      <c r="AC22" s="6">
        <v>9.9</v>
      </c>
      <c r="AF22" s="6"/>
      <c r="AI22" s="6"/>
      <c r="AO22" t="s">
        <v>1538</v>
      </c>
      <c r="AP22" s="29" t="s">
        <v>1534</v>
      </c>
    </row>
    <row r="23" spans="1:53" x14ac:dyDescent="0.3">
      <c r="A23" t="s">
        <v>45</v>
      </c>
      <c r="B23" t="s">
        <v>724</v>
      </c>
      <c r="C23" s="16" t="s">
        <v>272</v>
      </c>
      <c r="D23" s="16">
        <v>2</v>
      </c>
      <c r="E23" t="s">
        <v>1524</v>
      </c>
      <c r="F23" t="s">
        <v>282</v>
      </c>
      <c r="G23" t="s">
        <v>342</v>
      </c>
      <c r="H23" t="s">
        <v>344</v>
      </c>
      <c r="I23" s="87">
        <f t="shared" si="0"/>
        <v>0.06</v>
      </c>
      <c r="J23" s="87">
        <f t="shared" si="1"/>
        <v>0.89000000000000012</v>
      </c>
      <c r="K23" s="87">
        <f t="shared" si="2"/>
        <v>0.67500000000000004</v>
      </c>
      <c r="L23" s="87">
        <f t="shared" si="3"/>
        <v>1.925</v>
      </c>
      <c r="M23" s="87">
        <f t="shared" si="4"/>
        <v>0.49000000000000005</v>
      </c>
      <c r="N23" s="87">
        <f t="shared" si="5"/>
        <v>1.825</v>
      </c>
      <c r="O23" s="87">
        <f t="shared" si="6"/>
        <v>5.8650000000000002</v>
      </c>
      <c r="AA23" s="29" t="s">
        <v>273</v>
      </c>
      <c r="AB23">
        <v>3</v>
      </c>
      <c r="AC23" s="6">
        <v>9.6999999999999993</v>
      </c>
      <c r="AF23" s="6"/>
      <c r="AI23" s="6"/>
      <c r="AO23" t="s">
        <v>1641</v>
      </c>
      <c r="AP23" s="29" t="s">
        <v>1542</v>
      </c>
    </row>
    <row r="24" spans="1:53" x14ac:dyDescent="0.3">
      <c r="A24" t="s">
        <v>45</v>
      </c>
      <c r="B24" t="s">
        <v>725</v>
      </c>
      <c r="C24" s="16" t="s">
        <v>272</v>
      </c>
      <c r="D24" s="16">
        <v>3</v>
      </c>
      <c r="E24" t="s">
        <v>1524</v>
      </c>
      <c r="F24" t="s">
        <v>1540</v>
      </c>
      <c r="G24" t="s">
        <v>1567</v>
      </c>
      <c r="H24" t="s">
        <v>344</v>
      </c>
      <c r="I24" s="87">
        <f t="shared" si="0"/>
        <v>0.06</v>
      </c>
      <c r="J24" s="87">
        <f t="shared" si="1"/>
        <v>0.12</v>
      </c>
      <c r="K24" s="87">
        <f t="shared" si="2"/>
        <v>0.67500000000000004</v>
      </c>
      <c r="L24" s="87">
        <f t="shared" si="3"/>
        <v>2.375</v>
      </c>
      <c r="M24" s="87">
        <f t="shared" si="4"/>
        <v>0.32000000000000006</v>
      </c>
      <c r="N24" s="87">
        <f t="shared" si="5"/>
        <v>1.825</v>
      </c>
      <c r="O24" s="87">
        <f t="shared" si="6"/>
        <v>5.375</v>
      </c>
      <c r="AA24" t="s">
        <v>1552</v>
      </c>
      <c r="AB24">
        <v>3</v>
      </c>
      <c r="AC24" s="6">
        <v>9.6999999999999993</v>
      </c>
      <c r="AF24" s="6"/>
      <c r="AI24" s="6"/>
      <c r="AO24" t="s">
        <v>1539</v>
      </c>
      <c r="AP24" s="29" t="s">
        <v>1535</v>
      </c>
    </row>
    <row r="25" spans="1:53" x14ac:dyDescent="0.3">
      <c r="A25" t="s">
        <v>45</v>
      </c>
      <c r="B25" t="s">
        <v>726</v>
      </c>
      <c r="C25" s="16" t="s">
        <v>272</v>
      </c>
      <c r="D25" s="16">
        <v>2</v>
      </c>
      <c r="E25" t="s">
        <v>1524</v>
      </c>
      <c r="F25" t="s">
        <v>282</v>
      </c>
      <c r="G25" t="s">
        <v>342</v>
      </c>
      <c r="H25" t="s">
        <v>344</v>
      </c>
      <c r="I25" s="87">
        <f t="shared" si="0"/>
        <v>0.06</v>
      </c>
      <c r="J25" s="87">
        <f t="shared" si="1"/>
        <v>0.89000000000000012</v>
      </c>
      <c r="K25" s="87">
        <f t="shared" si="2"/>
        <v>0.67500000000000004</v>
      </c>
      <c r="L25" s="87">
        <f t="shared" si="3"/>
        <v>1.925</v>
      </c>
      <c r="M25" s="87">
        <f t="shared" si="4"/>
        <v>0.49000000000000005</v>
      </c>
      <c r="N25" s="87">
        <f t="shared" si="5"/>
        <v>1.825</v>
      </c>
      <c r="O25" s="87">
        <f t="shared" si="6"/>
        <v>5.8650000000000002</v>
      </c>
      <c r="AA25" s="29" t="s">
        <v>1553</v>
      </c>
      <c r="AB25">
        <v>1</v>
      </c>
      <c r="AC25" s="6">
        <v>9.9</v>
      </c>
      <c r="AF25" s="6"/>
      <c r="AI25" s="6"/>
      <c r="AO25" t="s">
        <v>1646</v>
      </c>
      <c r="AP25" t="s">
        <v>1658</v>
      </c>
    </row>
    <row r="26" spans="1:53" x14ac:dyDescent="0.3">
      <c r="A26" t="s">
        <v>45</v>
      </c>
      <c r="B26" t="s">
        <v>727</v>
      </c>
      <c r="C26" s="16" t="s">
        <v>272</v>
      </c>
      <c r="D26" s="16">
        <v>3</v>
      </c>
      <c r="E26" t="s">
        <v>1524</v>
      </c>
      <c r="F26" t="s">
        <v>1658</v>
      </c>
      <c r="G26" t="s">
        <v>1568</v>
      </c>
      <c r="H26" t="s">
        <v>344</v>
      </c>
      <c r="I26" s="87">
        <f t="shared" si="0"/>
        <v>0.06</v>
      </c>
      <c r="J26" s="87">
        <f t="shared" si="1"/>
        <v>0.12</v>
      </c>
      <c r="K26" s="87">
        <f t="shared" si="2"/>
        <v>0.67500000000000004</v>
      </c>
      <c r="L26" s="87">
        <f t="shared" si="3"/>
        <v>2.5</v>
      </c>
      <c r="M26" s="87">
        <f t="shared" si="4"/>
        <v>0.44500000000000006</v>
      </c>
      <c r="N26" s="87">
        <f t="shared" si="5"/>
        <v>1.825</v>
      </c>
      <c r="O26" s="87">
        <f t="shared" si="6"/>
        <v>5.625</v>
      </c>
      <c r="AA26" t="s">
        <v>1555</v>
      </c>
      <c r="AB26">
        <v>1</v>
      </c>
      <c r="AC26" s="6">
        <v>9.9</v>
      </c>
      <c r="AF26" s="6"/>
      <c r="AI26" s="6"/>
      <c r="AO26" t="s">
        <v>1639</v>
      </c>
      <c r="AP26" t="s">
        <v>1658</v>
      </c>
    </row>
    <row r="27" spans="1:53" x14ac:dyDescent="0.3">
      <c r="A27" t="s">
        <v>45</v>
      </c>
      <c r="B27" t="s">
        <v>728</v>
      </c>
      <c r="C27" s="16" t="s">
        <v>272</v>
      </c>
      <c r="D27" s="16">
        <v>3</v>
      </c>
      <c r="E27" t="s">
        <v>1524</v>
      </c>
      <c r="F27" t="s">
        <v>1557</v>
      </c>
      <c r="G27" t="s">
        <v>1566</v>
      </c>
      <c r="H27" t="s">
        <v>344</v>
      </c>
      <c r="I27" s="87">
        <f t="shared" si="0"/>
        <v>0.06</v>
      </c>
      <c r="J27" s="87">
        <f t="shared" si="1"/>
        <v>0.12</v>
      </c>
      <c r="K27" s="87">
        <f t="shared" si="2"/>
        <v>0.67500000000000004</v>
      </c>
      <c r="L27" s="87">
        <f t="shared" si="3"/>
        <v>2.4249999999999998</v>
      </c>
      <c r="M27" s="87">
        <f t="shared" si="4"/>
        <v>0.27</v>
      </c>
      <c r="N27" s="87">
        <f t="shared" si="5"/>
        <v>1.825</v>
      </c>
      <c r="O27" s="87">
        <f t="shared" si="6"/>
        <v>5.375</v>
      </c>
      <c r="AA27" s="29" t="s">
        <v>1557</v>
      </c>
      <c r="AB27">
        <v>3</v>
      </c>
      <c r="AC27" s="6">
        <v>9.6999999999999993</v>
      </c>
      <c r="AF27" s="6"/>
      <c r="AI27" s="6"/>
      <c r="AO27" t="s">
        <v>1541</v>
      </c>
      <c r="AP27" s="29" t="s">
        <v>1535</v>
      </c>
    </row>
    <row r="28" spans="1:53" x14ac:dyDescent="0.3">
      <c r="A28" t="s">
        <v>45</v>
      </c>
      <c r="B28" t="s">
        <v>729</v>
      </c>
      <c r="C28" s="16" t="s">
        <v>272</v>
      </c>
      <c r="D28" s="16">
        <v>3</v>
      </c>
      <c r="E28" t="s">
        <v>1524</v>
      </c>
      <c r="F28" t="s">
        <v>1658</v>
      </c>
      <c r="G28" t="s">
        <v>1568</v>
      </c>
      <c r="H28" t="s">
        <v>344</v>
      </c>
      <c r="I28" s="87">
        <f t="shared" si="0"/>
        <v>0.06</v>
      </c>
      <c r="J28" s="87">
        <f t="shared" si="1"/>
        <v>0.12</v>
      </c>
      <c r="K28" s="87">
        <f t="shared" si="2"/>
        <v>0.67500000000000004</v>
      </c>
      <c r="L28" s="87">
        <f t="shared" si="3"/>
        <v>2.5</v>
      </c>
      <c r="M28" s="87">
        <f t="shared" si="4"/>
        <v>0.44500000000000006</v>
      </c>
      <c r="N28" s="87">
        <f t="shared" si="5"/>
        <v>1.825</v>
      </c>
      <c r="O28" s="87">
        <f t="shared" si="6"/>
        <v>5.625</v>
      </c>
      <c r="AA28" t="s">
        <v>1559</v>
      </c>
      <c r="AB28">
        <v>1</v>
      </c>
      <c r="AC28" s="6">
        <v>9.9</v>
      </c>
      <c r="AF28" s="6"/>
      <c r="AI28" s="6"/>
      <c r="AO28" t="s">
        <v>1635</v>
      </c>
      <c r="AP28" t="s">
        <v>1658</v>
      </c>
    </row>
    <row r="29" spans="1:53" x14ac:dyDescent="0.3">
      <c r="A29" t="s">
        <v>45</v>
      </c>
      <c r="B29" t="s">
        <v>730</v>
      </c>
      <c r="C29" s="16" t="s">
        <v>272</v>
      </c>
      <c r="D29" s="16">
        <v>3</v>
      </c>
      <c r="E29" t="s">
        <v>1524</v>
      </c>
      <c r="F29" t="s">
        <v>1540</v>
      </c>
      <c r="G29" t="s">
        <v>1567</v>
      </c>
      <c r="H29" t="s">
        <v>344</v>
      </c>
      <c r="I29" s="87">
        <f t="shared" si="0"/>
        <v>0.06</v>
      </c>
      <c r="J29" s="87">
        <f t="shared" si="1"/>
        <v>0.12</v>
      </c>
      <c r="K29" s="87">
        <f t="shared" si="2"/>
        <v>0.67500000000000004</v>
      </c>
      <c r="L29" s="87">
        <f t="shared" si="3"/>
        <v>2.375</v>
      </c>
      <c r="M29" s="87">
        <f t="shared" si="4"/>
        <v>0.32000000000000006</v>
      </c>
      <c r="N29" s="87">
        <f t="shared" si="5"/>
        <v>1.825</v>
      </c>
      <c r="O29" s="87">
        <f t="shared" si="6"/>
        <v>5.375</v>
      </c>
      <c r="AA29" t="s">
        <v>1560</v>
      </c>
      <c r="AB29">
        <v>1</v>
      </c>
      <c r="AC29" s="6">
        <v>9.9</v>
      </c>
      <c r="AF29" s="6"/>
      <c r="AI29" s="6"/>
      <c r="AO29" t="s">
        <v>1630</v>
      </c>
      <c r="AP29" s="90" t="s">
        <v>1557</v>
      </c>
    </row>
    <row r="30" spans="1:53" x14ac:dyDescent="0.3">
      <c r="A30" t="s">
        <v>45</v>
      </c>
      <c r="B30" t="s">
        <v>731</v>
      </c>
      <c r="C30" s="16" t="s">
        <v>272</v>
      </c>
      <c r="D30" s="16">
        <v>2</v>
      </c>
      <c r="E30" t="s">
        <v>1524</v>
      </c>
      <c r="F30" t="s">
        <v>282</v>
      </c>
      <c r="G30" t="s">
        <v>341</v>
      </c>
      <c r="H30" t="s">
        <v>344</v>
      </c>
      <c r="I30" s="87">
        <f t="shared" si="0"/>
        <v>0.06</v>
      </c>
      <c r="J30" s="87">
        <f t="shared" si="1"/>
        <v>0.89000000000000012</v>
      </c>
      <c r="K30" s="87">
        <f t="shared" si="2"/>
        <v>0.67500000000000004</v>
      </c>
      <c r="L30" s="87">
        <f t="shared" si="3"/>
        <v>1.925</v>
      </c>
      <c r="M30" s="87">
        <f t="shared" si="4"/>
        <v>0.48</v>
      </c>
      <c r="N30" s="87">
        <f t="shared" si="5"/>
        <v>1.825</v>
      </c>
      <c r="O30" s="87">
        <f t="shared" si="6"/>
        <v>5.8550000000000004</v>
      </c>
      <c r="AA30" t="s">
        <v>1561</v>
      </c>
      <c r="AB30">
        <v>1</v>
      </c>
      <c r="AC30" s="6">
        <v>9.9</v>
      </c>
      <c r="AF30" s="6"/>
      <c r="AI30" s="6"/>
      <c r="AO30" t="s">
        <v>1637</v>
      </c>
      <c r="AP30" t="s">
        <v>1658</v>
      </c>
    </row>
    <row r="31" spans="1:53" x14ac:dyDescent="0.3">
      <c r="A31" t="s">
        <v>45</v>
      </c>
      <c r="B31" t="s">
        <v>732</v>
      </c>
      <c r="C31" s="16" t="s">
        <v>272</v>
      </c>
      <c r="D31" s="16">
        <v>3</v>
      </c>
      <c r="E31" t="s">
        <v>1524</v>
      </c>
      <c r="F31" t="s">
        <v>1540</v>
      </c>
      <c r="G31" t="s">
        <v>1567</v>
      </c>
      <c r="H31" t="s">
        <v>344</v>
      </c>
      <c r="I31" s="87">
        <f t="shared" si="0"/>
        <v>0.06</v>
      </c>
      <c r="J31" s="87">
        <f t="shared" si="1"/>
        <v>0.12</v>
      </c>
      <c r="K31" s="87">
        <f t="shared" si="2"/>
        <v>0.67500000000000004</v>
      </c>
      <c r="L31" s="87">
        <f t="shared" si="3"/>
        <v>2.375</v>
      </c>
      <c r="M31" s="87">
        <f t="shared" si="4"/>
        <v>0.32000000000000006</v>
      </c>
      <c r="N31" s="87">
        <f t="shared" si="5"/>
        <v>1.825</v>
      </c>
      <c r="O31" s="87">
        <f t="shared" si="6"/>
        <v>5.375</v>
      </c>
      <c r="AA31" s="29" t="s">
        <v>1562</v>
      </c>
      <c r="AB31">
        <v>2</v>
      </c>
      <c r="AC31" s="6">
        <v>9.8000000000000007</v>
      </c>
      <c r="AF31" s="6"/>
      <c r="AI31" s="6"/>
      <c r="AO31" t="s">
        <v>1650</v>
      </c>
      <c r="AP31" t="s">
        <v>1658</v>
      </c>
    </row>
    <row r="32" spans="1:53" x14ac:dyDescent="0.3">
      <c r="A32" t="s">
        <v>9</v>
      </c>
      <c r="B32" t="s">
        <v>733</v>
      </c>
      <c r="C32" s="16" t="s">
        <v>272</v>
      </c>
      <c r="D32" s="16">
        <v>3</v>
      </c>
      <c r="E32" t="s">
        <v>1524</v>
      </c>
      <c r="F32" t="s">
        <v>1560</v>
      </c>
      <c r="G32" t="s">
        <v>1567</v>
      </c>
      <c r="H32" t="s">
        <v>345</v>
      </c>
      <c r="I32" s="87">
        <f t="shared" si="0"/>
        <v>0.06</v>
      </c>
      <c r="J32" s="87">
        <f t="shared" si="1"/>
        <v>0.12</v>
      </c>
      <c r="K32" s="87">
        <f t="shared" si="2"/>
        <v>0.67500000000000004</v>
      </c>
      <c r="L32" s="87">
        <f t="shared" si="3"/>
        <v>2.4750000000000001</v>
      </c>
      <c r="M32" s="87">
        <f t="shared" si="4"/>
        <v>0.32000000000000006</v>
      </c>
      <c r="N32" s="87">
        <f t="shared" si="5"/>
        <v>1.7749999999999999</v>
      </c>
      <c r="O32" s="87">
        <f t="shared" si="6"/>
        <v>5.4250000000000007</v>
      </c>
      <c r="AA32" t="s">
        <v>1658</v>
      </c>
      <c r="AB32">
        <v>0</v>
      </c>
      <c r="AC32" s="6">
        <v>10</v>
      </c>
      <c r="AO32" t="s">
        <v>1634</v>
      </c>
      <c r="AP32" t="s">
        <v>1658</v>
      </c>
    </row>
    <row r="33" spans="1:42" x14ac:dyDescent="0.3">
      <c r="A33" t="s">
        <v>9</v>
      </c>
      <c r="B33" t="s">
        <v>734</v>
      </c>
      <c r="C33" s="16" t="s">
        <v>272</v>
      </c>
      <c r="D33" s="16">
        <v>3</v>
      </c>
      <c r="E33" t="s">
        <v>1524</v>
      </c>
      <c r="F33" t="s">
        <v>1537</v>
      </c>
      <c r="G33" t="s">
        <v>1567</v>
      </c>
      <c r="H33" t="s">
        <v>1574</v>
      </c>
      <c r="I33" s="87">
        <f t="shared" si="0"/>
        <v>0.06</v>
      </c>
      <c r="J33" s="87">
        <f t="shared" si="1"/>
        <v>0.12</v>
      </c>
      <c r="K33" s="87">
        <f t="shared" si="2"/>
        <v>0.67500000000000004</v>
      </c>
      <c r="L33" s="87">
        <f t="shared" si="3"/>
        <v>2.2250000000000001</v>
      </c>
      <c r="M33" s="87">
        <f t="shared" si="4"/>
        <v>0.32000000000000006</v>
      </c>
      <c r="N33" s="87">
        <f t="shared" si="5"/>
        <v>2.375</v>
      </c>
      <c r="O33" s="87">
        <f t="shared" si="6"/>
        <v>5.7750000000000004</v>
      </c>
      <c r="AO33" t="s">
        <v>1652</v>
      </c>
      <c r="AP33" t="s">
        <v>1658</v>
      </c>
    </row>
    <row r="34" spans="1:42" x14ac:dyDescent="0.3">
      <c r="A34" t="s">
        <v>9</v>
      </c>
      <c r="B34" t="s">
        <v>735</v>
      </c>
      <c r="C34" s="16" t="s">
        <v>272</v>
      </c>
      <c r="D34" s="16">
        <v>3</v>
      </c>
      <c r="E34" t="s">
        <v>1524</v>
      </c>
      <c r="F34" t="s">
        <v>1537</v>
      </c>
      <c r="G34" t="s">
        <v>1567</v>
      </c>
      <c r="H34" t="s">
        <v>345</v>
      </c>
      <c r="I34" s="87">
        <f t="shared" si="0"/>
        <v>0.06</v>
      </c>
      <c r="J34" s="87">
        <f t="shared" si="1"/>
        <v>0.12</v>
      </c>
      <c r="K34" s="87">
        <f t="shared" si="2"/>
        <v>0.67500000000000004</v>
      </c>
      <c r="L34" s="87">
        <f t="shared" si="3"/>
        <v>2.2250000000000001</v>
      </c>
      <c r="M34" s="87">
        <f t="shared" si="4"/>
        <v>0.32000000000000006</v>
      </c>
      <c r="N34" s="87">
        <f t="shared" si="5"/>
        <v>1.7749999999999999</v>
      </c>
      <c r="O34" s="87">
        <f t="shared" si="6"/>
        <v>5.1750000000000007</v>
      </c>
      <c r="AO34" t="s">
        <v>339</v>
      </c>
      <c r="AP34" t="s">
        <v>1658</v>
      </c>
    </row>
    <row r="35" spans="1:42" x14ac:dyDescent="0.3">
      <c r="A35" t="s">
        <v>9</v>
      </c>
      <c r="B35" t="s">
        <v>736</v>
      </c>
      <c r="C35" s="16" t="s">
        <v>272</v>
      </c>
      <c r="D35" s="16">
        <v>3</v>
      </c>
      <c r="E35" t="s">
        <v>1524</v>
      </c>
      <c r="F35" t="s">
        <v>1560</v>
      </c>
      <c r="G35" t="s">
        <v>1566</v>
      </c>
      <c r="H35" t="s">
        <v>1573</v>
      </c>
      <c r="I35" s="87">
        <f t="shared" si="0"/>
        <v>0.06</v>
      </c>
      <c r="J35" s="87">
        <f t="shared" si="1"/>
        <v>0.12</v>
      </c>
      <c r="K35" s="87">
        <f t="shared" si="2"/>
        <v>0.67500000000000004</v>
      </c>
      <c r="L35" s="87">
        <f t="shared" si="3"/>
        <v>2.4750000000000001</v>
      </c>
      <c r="M35" s="87">
        <f t="shared" si="4"/>
        <v>0.27</v>
      </c>
      <c r="N35" s="87">
        <f t="shared" si="5"/>
        <v>2.4249999999999998</v>
      </c>
      <c r="O35" s="87">
        <f t="shared" si="6"/>
        <v>6.0250000000000004</v>
      </c>
      <c r="AO35" t="s">
        <v>1644</v>
      </c>
      <c r="AP35" s="29" t="s">
        <v>1536</v>
      </c>
    </row>
    <row r="36" spans="1:42" x14ac:dyDescent="0.3">
      <c r="A36" t="s">
        <v>9</v>
      </c>
      <c r="B36" t="s">
        <v>737</v>
      </c>
      <c r="C36" s="16" t="s">
        <v>272</v>
      </c>
      <c r="D36" s="16">
        <v>2</v>
      </c>
      <c r="E36" t="s">
        <v>1524</v>
      </c>
      <c r="F36" t="s">
        <v>282</v>
      </c>
      <c r="G36" t="s">
        <v>342</v>
      </c>
      <c r="H36" t="s">
        <v>344</v>
      </c>
      <c r="I36" s="87">
        <f t="shared" si="0"/>
        <v>0.06</v>
      </c>
      <c r="J36" s="87">
        <f t="shared" si="1"/>
        <v>0.89000000000000012</v>
      </c>
      <c r="K36" s="87">
        <f t="shared" si="2"/>
        <v>0.67500000000000004</v>
      </c>
      <c r="L36" s="87">
        <f t="shared" si="3"/>
        <v>1.925</v>
      </c>
      <c r="M36" s="87">
        <f t="shared" si="4"/>
        <v>0.49000000000000005</v>
      </c>
      <c r="N36" s="87">
        <f t="shared" si="5"/>
        <v>1.825</v>
      </c>
      <c r="O36" s="87">
        <f t="shared" si="6"/>
        <v>5.8650000000000002</v>
      </c>
      <c r="AO36" t="s">
        <v>1643</v>
      </c>
      <c r="AP36" t="s">
        <v>1658</v>
      </c>
    </row>
    <row r="37" spans="1:42" x14ac:dyDescent="0.3">
      <c r="A37" t="s">
        <v>9</v>
      </c>
      <c r="B37" t="s">
        <v>738</v>
      </c>
      <c r="C37" s="16" t="s">
        <v>273</v>
      </c>
      <c r="D37" s="16">
        <v>2</v>
      </c>
      <c r="E37" t="s">
        <v>1525</v>
      </c>
      <c r="F37" t="s">
        <v>283</v>
      </c>
      <c r="G37" t="s">
        <v>1567</v>
      </c>
      <c r="H37" t="s">
        <v>344</v>
      </c>
      <c r="I37" s="87">
        <f t="shared" si="0"/>
        <v>0.94000000000000006</v>
      </c>
      <c r="J37" s="87">
        <f t="shared" si="1"/>
        <v>0.89000000000000012</v>
      </c>
      <c r="K37" s="87">
        <f t="shared" si="2"/>
        <v>2.0750000000000002</v>
      </c>
      <c r="L37" s="87">
        <f t="shared" si="3"/>
        <v>2.35</v>
      </c>
      <c r="M37" s="87">
        <f t="shared" si="4"/>
        <v>0.32000000000000006</v>
      </c>
      <c r="N37" s="87">
        <f t="shared" si="5"/>
        <v>1.825</v>
      </c>
      <c r="O37" s="87">
        <f t="shared" si="6"/>
        <v>8.4</v>
      </c>
      <c r="AO37" t="s">
        <v>1642</v>
      </c>
      <c r="AP37" t="s">
        <v>1658</v>
      </c>
    </row>
    <row r="38" spans="1:42" x14ac:dyDescent="0.3">
      <c r="A38" t="s">
        <v>9</v>
      </c>
      <c r="B38" t="s">
        <v>739</v>
      </c>
      <c r="C38" s="16" t="s">
        <v>272</v>
      </c>
      <c r="D38" s="16">
        <v>2</v>
      </c>
      <c r="E38" t="s">
        <v>1524</v>
      </c>
      <c r="F38" t="s">
        <v>282</v>
      </c>
      <c r="G38" t="s">
        <v>341</v>
      </c>
      <c r="H38" t="s">
        <v>344</v>
      </c>
      <c r="I38" s="87">
        <f t="shared" si="0"/>
        <v>0.06</v>
      </c>
      <c r="J38" s="87">
        <f t="shared" si="1"/>
        <v>0.89000000000000012</v>
      </c>
      <c r="K38" s="87">
        <f t="shared" si="2"/>
        <v>0.67500000000000004</v>
      </c>
      <c r="L38" s="87">
        <f t="shared" si="3"/>
        <v>1.925</v>
      </c>
      <c r="M38" s="87">
        <f t="shared" si="4"/>
        <v>0.48</v>
      </c>
      <c r="N38" s="87">
        <f t="shared" si="5"/>
        <v>1.825</v>
      </c>
      <c r="O38" s="87">
        <f t="shared" si="6"/>
        <v>5.8550000000000004</v>
      </c>
      <c r="AO38" t="s">
        <v>1632</v>
      </c>
      <c r="AP38" t="s">
        <v>1658</v>
      </c>
    </row>
    <row r="39" spans="1:42" x14ac:dyDescent="0.3">
      <c r="A39" t="s">
        <v>9</v>
      </c>
      <c r="B39" t="s">
        <v>740</v>
      </c>
      <c r="C39" s="16" t="s">
        <v>272</v>
      </c>
      <c r="D39" s="16">
        <v>2</v>
      </c>
      <c r="E39" t="s">
        <v>1524</v>
      </c>
      <c r="F39" t="s">
        <v>1542</v>
      </c>
      <c r="G39" t="s">
        <v>341</v>
      </c>
      <c r="H39" t="s">
        <v>344</v>
      </c>
      <c r="I39" s="87">
        <f t="shared" si="0"/>
        <v>0.06</v>
      </c>
      <c r="J39" s="87">
        <f t="shared" si="1"/>
        <v>0.89000000000000012</v>
      </c>
      <c r="K39" s="87">
        <f t="shared" si="2"/>
        <v>0.67500000000000004</v>
      </c>
      <c r="L39" s="87">
        <f t="shared" si="3"/>
        <v>2.35</v>
      </c>
      <c r="M39" s="87">
        <f t="shared" si="4"/>
        <v>0.48</v>
      </c>
      <c r="N39" s="87">
        <f t="shared" si="5"/>
        <v>1.825</v>
      </c>
      <c r="O39" s="87">
        <f t="shared" si="6"/>
        <v>6.28</v>
      </c>
      <c r="AO39" t="s">
        <v>1636</v>
      </c>
      <c r="AP39" t="s">
        <v>1658</v>
      </c>
    </row>
    <row r="40" spans="1:42" x14ac:dyDescent="0.3">
      <c r="A40" t="s">
        <v>9</v>
      </c>
      <c r="B40" t="s">
        <v>741</v>
      </c>
      <c r="C40" s="16" t="s">
        <v>272</v>
      </c>
      <c r="D40" s="16">
        <v>3</v>
      </c>
      <c r="E40" t="s">
        <v>1524</v>
      </c>
      <c r="F40" t="s">
        <v>282</v>
      </c>
      <c r="G40" t="s">
        <v>1567</v>
      </c>
      <c r="H40" t="s">
        <v>344</v>
      </c>
      <c r="I40" s="87">
        <f t="shared" si="0"/>
        <v>0.06</v>
      </c>
      <c r="J40" s="87">
        <f t="shared" si="1"/>
        <v>0.12</v>
      </c>
      <c r="K40" s="87">
        <f t="shared" si="2"/>
        <v>0.67500000000000004</v>
      </c>
      <c r="L40" s="87">
        <f t="shared" si="3"/>
        <v>1.925</v>
      </c>
      <c r="M40" s="87">
        <f t="shared" si="4"/>
        <v>0.32000000000000006</v>
      </c>
      <c r="N40" s="87">
        <f t="shared" si="5"/>
        <v>1.825</v>
      </c>
      <c r="O40" s="87">
        <f t="shared" si="6"/>
        <v>4.9250000000000007</v>
      </c>
      <c r="AO40" t="s">
        <v>281</v>
      </c>
      <c r="AP40" t="s">
        <v>1658</v>
      </c>
    </row>
    <row r="41" spans="1:42" x14ac:dyDescent="0.3">
      <c r="A41" t="s">
        <v>45</v>
      </c>
      <c r="B41" t="s">
        <v>742</v>
      </c>
      <c r="C41" s="16" t="s">
        <v>272</v>
      </c>
      <c r="D41" s="16">
        <v>3</v>
      </c>
      <c r="E41" t="s">
        <v>1524</v>
      </c>
      <c r="F41" t="s">
        <v>282</v>
      </c>
      <c r="G41" t="s">
        <v>1567</v>
      </c>
      <c r="H41" t="s">
        <v>344</v>
      </c>
      <c r="I41" s="87">
        <f t="shared" si="0"/>
        <v>0.06</v>
      </c>
      <c r="J41" s="87">
        <f t="shared" si="1"/>
        <v>0.12</v>
      </c>
      <c r="K41" s="87">
        <f t="shared" si="2"/>
        <v>0.67500000000000004</v>
      </c>
      <c r="L41" s="87">
        <f t="shared" si="3"/>
        <v>1.925</v>
      </c>
      <c r="M41" s="87">
        <f t="shared" si="4"/>
        <v>0.32000000000000006</v>
      </c>
      <c r="N41" s="87">
        <f t="shared" si="5"/>
        <v>1.825</v>
      </c>
      <c r="O41" s="87">
        <f t="shared" si="6"/>
        <v>4.9250000000000007</v>
      </c>
      <c r="AO41" t="s">
        <v>1554</v>
      </c>
      <c r="AP41" s="29" t="s">
        <v>1537</v>
      </c>
    </row>
    <row r="42" spans="1:42" x14ac:dyDescent="0.3">
      <c r="A42" t="s">
        <v>45</v>
      </c>
      <c r="B42" t="s">
        <v>743</v>
      </c>
      <c r="C42" s="16" t="s">
        <v>272</v>
      </c>
      <c r="D42" s="16">
        <v>3</v>
      </c>
      <c r="E42" t="s">
        <v>1524</v>
      </c>
      <c r="F42" t="s">
        <v>282</v>
      </c>
      <c r="G42" t="s">
        <v>1567</v>
      </c>
      <c r="H42" t="s">
        <v>344</v>
      </c>
      <c r="I42" s="87">
        <f t="shared" si="0"/>
        <v>0.06</v>
      </c>
      <c r="J42" s="87">
        <f t="shared" si="1"/>
        <v>0.12</v>
      </c>
      <c r="K42" s="87">
        <f t="shared" si="2"/>
        <v>0.67500000000000004</v>
      </c>
      <c r="L42" s="87">
        <f t="shared" si="3"/>
        <v>1.925</v>
      </c>
      <c r="M42" s="87">
        <f t="shared" si="4"/>
        <v>0.32000000000000006</v>
      </c>
      <c r="N42" s="87">
        <f t="shared" si="5"/>
        <v>1.825</v>
      </c>
      <c r="O42" s="87">
        <f t="shared" si="6"/>
        <v>4.9250000000000007</v>
      </c>
      <c r="AO42" t="s">
        <v>1627</v>
      </c>
      <c r="AP42" t="s">
        <v>1533</v>
      </c>
    </row>
    <row r="43" spans="1:42" x14ac:dyDescent="0.3">
      <c r="A43" t="s">
        <v>45</v>
      </c>
      <c r="B43" t="s">
        <v>744</v>
      </c>
      <c r="C43" s="16" t="s">
        <v>272</v>
      </c>
      <c r="D43" s="16">
        <v>3</v>
      </c>
      <c r="E43" t="s">
        <v>1524</v>
      </c>
      <c r="F43" t="s">
        <v>1540</v>
      </c>
      <c r="G43" t="s">
        <v>1567</v>
      </c>
      <c r="H43" t="s">
        <v>344</v>
      </c>
      <c r="I43" s="87">
        <f t="shared" si="0"/>
        <v>0.06</v>
      </c>
      <c r="J43" s="87">
        <f t="shared" si="1"/>
        <v>0.12</v>
      </c>
      <c r="K43" s="87">
        <f t="shared" si="2"/>
        <v>0.67500000000000004</v>
      </c>
      <c r="L43" s="87">
        <f t="shared" si="3"/>
        <v>2.375</v>
      </c>
      <c r="M43" s="87">
        <f t="shared" si="4"/>
        <v>0.32000000000000006</v>
      </c>
      <c r="N43" s="87">
        <f t="shared" si="5"/>
        <v>1.825</v>
      </c>
      <c r="O43" s="87">
        <f t="shared" si="6"/>
        <v>5.375</v>
      </c>
      <c r="AO43" t="s">
        <v>1558</v>
      </c>
      <c r="AP43" s="29" t="s">
        <v>1547</v>
      </c>
    </row>
    <row r="44" spans="1:42" x14ac:dyDescent="0.3">
      <c r="A44" t="s">
        <v>45</v>
      </c>
      <c r="B44" t="s">
        <v>745</v>
      </c>
      <c r="C44" s="16" t="s">
        <v>272</v>
      </c>
      <c r="D44" s="16">
        <v>3</v>
      </c>
      <c r="E44" t="s">
        <v>1524</v>
      </c>
      <c r="F44" t="s">
        <v>282</v>
      </c>
      <c r="G44" t="s">
        <v>1568</v>
      </c>
      <c r="H44" t="s">
        <v>291</v>
      </c>
      <c r="I44" s="87">
        <f t="shared" si="0"/>
        <v>0.06</v>
      </c>
      <c r="J44" s="87">
        <f t="shared" si="1"/>
        <v>0.12</v>
      </c>
      <c r="K44" s="87">
        <f t="shared" si="2"/>
        <v>0.67500000000000004</v>
      </c>
      <c r="L44" s="87">
        <f t="shared" si="3"/>
        <v>1.925</v>
      </c>
      <c r="M44" s="87">
        <f t="shared" si="4"/>
        <v>0.44500000000000006</v>
      </c>
      <c r="N44" s="87">
        <f t="shared" si="5"/>
        <v>2.125</v>
      </c>
      <c r="O44" s="87">
        <f t="shared" si="6"/>
        <v>5.3500000000000005</v>
      </c>
      <c r="AO44" t="s">
        <v>1633</v>
      </c>
      <c r="AP44" t="s">
        <v>1658</v>
      </c>
    </row>
    <row r="45" spans="1:42" x14ac:dyDescent="0.3">
      <c r="A45" t="s">
        <v>45</v>
      </c>
      <c r="B45" t="s">
        <v>746</v>
      </c>
      <c r="C45" s="16" t="s">
        <v>272</v>
      </c>
      <c r="D45" s="16">
        <v>3</v>
      </c>
      <c r="E45" t="s">
        <v>1524</v>
      </c>
      <c r="F45" t="s">
        <v>282</v>
      </c>
      <c r="G45" t="s">
        <v>1656</v>
      </c>
      <c r="H45" t="s">
        <v>291</v>
      </c>
      <c r="I45" s="87">
        <f t="shared" si="0"/>
        <v>0.06</v>
      </c>
      <c r="J45" s="87">
        <f t="shared" si="1"/>
        <v>0.12</v>
      </c>
      <c r="K45" s="87">
        <f t="shared" si="2"/>
        <v>0.67500000000000004</v>
      </c>
      <c r="L45" s="87">
        <f t="shared" si="3"/>
        <v>1.925</v>
      </c>
      <c r="M45" s="87">
        <f t="shared" si="4"/>
        <v>0.5</v>
      </c>
      <c r="N45" s="87">
        <f t="shared" si="5"/>
        <v>2.125</v>
      </c>
      <c r="O45" s="87">
        <f t="shared" si="6"/>
        <v>5.4050000000000002</v>
      </c>
      <c r="AO45" t="s">
        <v>1626</v>
      </c>
      <c r="AP45" t="s">
        <v>1658</v>
      </c>
    </row>
    <row r="46" spans="1:42" x14ac:dyDescent="0.3">
      <c r="A46" t="s">
        <v>45</v>
      </c>
      <c r="B46" t="s">
        <v>747</v>
      </c>
      <c r="C46" s="16" t="s">
        <v>272</v>
      </c>
      <c r="D46" s="16">
        <v>3</v>
      </c>
      <c r="E46" t="s">
        <v>1524</v>
      </c>
      <c r="F46" t="s">
        <v>1535</v>
      </c>
      <c r="G46" t="s">
        <v>1567</v>
      </c>
      <c r="H46" t="s">
        <v>344</v>
      </c>
      <c r="I46" s="87">
        <f t="shared" si="0"/>
        <v>0.06</v>
      </c>
      <c r="J46" s="87">
        <f t="shared" si="1"/>
        <v>0.12</v>
      </c>
      <c r="K46" s="87">
        <f t="shared" si="2"/>
        <v>0.67500000000000004</v>
      </c>
      <c r="L46" s="87">
        <f t="shared" si="3"/>
        <v>2.375</v>
      </c>
      <c r="M46" s="87">
        <f t="shared" si="4"/>
        <v>0.32000000000000006</v>
      </c>
      <c r="N46" s="87">
        <f t="shared" si="5"/>
        <v>1.825</v>
      </c>
      <c r="O46" s="87">
        <f t="shared" si="6"/>
        <v>5.375</v>
      </c>
      <c r="AO46" t="s">
        <v>1647</v>
      </c>
      <c r="AP46" t="s">
        <v>1658</v>
      </c>
    </row>
    <row r="47" spans="1:42" x14ac:dyDescent="0.3">
      <c r="A47" t="s">
        <v>9</v>
      </c>
      <c r="B47" t="s">
        <v>748</v>
      </c>
      <c r="C47" s="16" t="s">
        <v>272</v>
      </c>
      <c r="D47" s="16">
        <v>3</v>
      </c>
      <c r="E47" t="s">
        <v>1657</v>
      </c>
      <c r="F47" t="s">
        <v>1658</v>
      </c>
      <c r="G47" t="s">
        <v>1566</v>
      </c>
      <c r="H47" t="s">
        <v>291</v>
      </c>
      <c r="I47" s="87">
        <f t="shared" si="0"/>
        <v>0.06</v>
      </c>
      <c r="J47" s="87">
        <f t="shared" si="1"/>
        <v>0.12</v>
      </c>
      <c r="K47" s="87">
        <f t="shared" si="2"/>
        <v>2.5</v>
      </c>
      <c r="L47" s="87">
        <f t="shared" si="3"/>
        <v>2.5</v>
      </c>
      <c r="M47" s="87">
        <f t="shared" si="4"/>
        <v>0.27</v>
      </c>
      <c r="N47" s="87">
        <f t="shared" si="5"/>
        <v>2.125</v>
      </c>
      <c r="O47" s="87">
        <f t="shared" si="6"/>
        <v>7.5749999999999993</v>
      </c>
      <c r="AO47" t="s">
        <v>1629</v>
      </c>
      <c r="AP47" t="s">
        <v>1658</v>
      </c>
    </row>
    <row r="48" spans="1:42" x14ac:dyDescent="0.3">
      <c r="A48" t="s">
        <v>9</v>
      </c>
      <c r="B48" t="s">
        <v>749</v>
      </c>
      <c r="C48" s="16" t="s">
        <v>272</v>
      </c>
      <c r="D48" s="16">
        <v>3</v>
      </c>
      <c r="E48" t="s">
        <v>1524</v>
      </c>
      <c r="F48" t="s">
        <v>1537</v>
      </c>
      <c r="G48" t="s">
        <v>1567</v>
      </c>
      <c r="H48" t="s">
        <v>1570</v>
      </c>
      <c r="I48" s="87">
        <f t="shared" si="0"/>
        <v>0.06</v>
      </c>
      <c r="J48" s="87">
        <f t="shared" si="1"/>
        <v>0.12</v>
      </c>
      <c r="K48" s="87">
        <f t="shared" si="2"/>
        <v>0.67500000000000004</v>
      </c>
      <c r="L48" s="87">
        <f t="shared" si="3"/>
        <v>2.2250000000000001</v>
      </c>
      <c r="M48" s="87">
        <f t="shared" si="4"/>
        <v>0.32000000000000006</v>
      </c>
      <c r="N48" s="87">
        <f t="shared" si="5"/>
        <v>2.35</v>
      </c>
      <c r="O48" s="87">
        <f t="shared" si="6"/>
        <v>5.75</v>
      </c>
      <c r="AO48" t="s">
        <v>1628</v>
      </c>
      <c r="AP48" t="s">
        <v>1658</v>
      </c>
    </row>
    <row r="49" spans="1:42" x14ac:dyDescent="0.3">
      <c r="A49" t="s">
        <v>9</v>
      </c>
      <c r="B49" t="s">
        <v>750</v>
      </c>
      <c r="C49" s="16" t="s">
        <v>272</v>
      </c>
      <c r="D49" s="16">
        <v>3</v>
      </c>
      <c r="E49" t="s">
        <v>1524</v>
      </c>
      <c r="F49" t="s">
        <v>282</v>
      </c>
      <c r="G49" t="s">
        <v>1567</v>
      </c>
      <c r="H49" t="s">
        <v>344</v>
      </c>
      <c r="I49" s="87">
        <f t="shared" si="0"/>
        <v>0.06</v>
      </c>
      <c r="J49" s="87">
        <f t="shared" si="1"/>
        <v>0.12</v>
      </c>
      <c r="K49" s="87">
        <f t="shared" si="2"/>
        <v>0.67500000000000004</v>
      </c>
      <c r="L49" s="87">
        <f t="shared" si="3"/>
        <v>1.925</v>
      </c>
      <c r="M49" s="87">
        <f t="shared" si="4"/>
        <v>0.32000000000000006</v>
      </c>
      <c r="N49" s="87">
        <f t="shared" si="5"/>
        <v>1.825</v>
      </c>
      <c r="O49" s="87">
        <f t="shared" si="6"/>
        <v>4.9250000000000007</v>
      </c>
      <c r="AO49" t="s">
        <v>1631</v>
      </c>
      <c r="AP49" t="s">
        <v>1658</v>
      </c>
    </row>
    <row r="50" spans="1:42" x14ac:dyDescent="0.3">
      <c r="A50" t="s">
        <v>9</v>
      </c>
      <c r="B50" t="s">
        <v>751</v>
      </c>
      <c r="C50" s="16" t="s">
        <v>272</v>
      </c>
      <c r="D50" s="16">
        <v>3</v>
      </c>
      <c r="E50" t="s">
        <v>1524</v>
      </c>
      <c r="F50" t="s">
        <v>282</v>
      </c>
      <c r="G50" t="s">
        <v>1566</v>
      </c>
      <c r="H50" t="s">
        <v>1658</v>
      </c>
      <c r="I50" s="87">
        <f t="shared" si="0"/>
        <v>0.06</v>
      </c>
      <c r="J50" s="87">
        <f t="shared" si="1"/>
        <v>0.12</v>
      </c>
      <c r="K50" s="87">
        <f t="shared" si="2"/>
        <v>0.67500000000000004</v>
      </c>
      <c r="L50" s="87">
        <f t="shared" si="3"/>
        <v>1.925</v>
      </c>
      <c r="M50" s="87">
        <f t="shared" si="4"/>
        <v>0.27</v>
      </c>
      <c r="N50" s="87">
        <f t="shared" si="5"/>
        <v>2.5</v>
      </c>
      <c r="O50" s="87">
        <f t="shared" si="6"/>
        <v>5.5500000000000007</v>
      </c>
      <c r="AO50" t="s">
        <v>1619</v>
      </c>
      <c r="AP50" s="29" t="s">
        <v>1570</v>
      </c>
    </row>
    <row r="51" spans="1:42" x14ac:dyDescent="0.3">
      <c r="A51" t="s">
        <v>9</v>
      </c>
      <c r="B51" t="s">
        <v>752</v>
      </c>
      <c r="C51" s="16" t="s">
        <v>272</v>
      </c>
      <c r="D51" s="16">
        <v>3</v>
      </c>
      <c r="E51" t="s">
        <v>1524</v>
      </c>
      <c r="F51" t="s">
        <v>282</v>
      </c>
      <c r="G51" t="s">
        <v>1567</v>
      </c>
      <c r="H51" t="s">
        <v>347</v>
      </c>
      <c r="I51" s="87">
        <f t="shared" si="0"/>
        <v>0.06</v>
      </c>
      <c r="J51" s="87">
        <f t="shared" si="1"/>
        <v>0.12</v>
      </c>
      <c r="K51" s="87">
        <f t="shared" si="2"/>
        <v>0.67500000000000004</v>
      </c>
      <c r="L51" s="87">
        <f t="shared" si="3"/>
        <v>1.925</v>
      </c>
      <c r="M51" s="87">
        <f t="shared" si="4"/>
        <v>0.32000000000000006</v>
      </c>
      <c r="N51" s="87">
        <f t="shared" si="5"/>
        <v>2.4249999999999998</v>
      </c>
      <c r="O51" s="87">
        <f t="shared" si="6"/>
        <v>5.5250000000000004</v>
      </c>
      <c r="AO51" t="s">
        <v>1620</v>
      </c>
      <c r="AP51" t="s">
        <v>1658</v>
      </c>
    </row>
    <row r="52" spans="1:42" x14ac:dyDescent="0.3">
      <c r="A52" t="s">
        <v>9</v>
      </c>
      <c r="B52" t="s">
        <v>753</v>
      </c>
      <c r="C52" s="16" t="s">
        <v>272</v>
      </c>
      <c r="D52" s="16">
        <v>3</v>
      </c>
      <c r="E52" t="s">
        <v>1524</v>
      </c>
      <c r="F52" t="s">
        <v>282</v>
      </c>
      <c r="G52" t="s">
        <v>1567</v>
      </c>
      <c r="H52" t="s">
        <v>291</v>
      </c>
      <c r="I52" s="87">
        <f t="shared" si="0"/>
        <v>0.06</v>
      </c>
      <c r="J52" s="87">
        <f t="shared" si="1"/>
        <v>0.12</v>
      </c>
      <c r="K52" s="87">
        <f t="shared" si="2"/>
        <v>0.67500000000000004</v>
      </c>
      <c r="L52" s="87">
        <f t="shared" si="3"/>
        <v>1.925</v>
      </c>
      <c r="M52" s="87">
        <f t="shared" si="4"/>
        <v>0.32000000000000006</v>
      </c>
      <c r="N52" s="87">
        <f t="shared" si="5"/>
        <v>2.125</v>
      </c>
      <c r="O52" s="87">
        <f t="shared" si="6"/>
        <v>5.2250000000000005</v>
      </c>
      <c r="AO52" t="s">
        <v>1569</v>
      </c>
      <c r="AP52" s="29" t="s">
        <v>1574</v>
      </c>
    </row>
    <row r="53" spans="1:42" x14ac:dyDescent="0.3">
      <c r="A53" t="s">
        <v>9</v>
      </c>
      <c r="B53" t="s">
        <v>754</v>
      </c>
      <c r="C53" s="16" t="s">
        <v>272</v>
      </c>
      <c r="D53" s="16">
        <v>3</v>
      </c>
      <c r="E53" t="s">
        <v>1524</v>
      </c>
      <c r="F53" t="s">
        <v>1534</v>
      </c>
      <c r="G53" t="s">
        <v>341</v>
      </c>
      <c r="H53" t="s">
        <v>344</v>
      </c>
      <c r="I53" s="87">
        <f t="shared" si="0"/>
        <v>0.06</v>
      </c>
      <c r="J53" s="87">
        <f t="shared" si="1"/>
        <v>0.12</v>
      </c>
      <c r="K53" s="87">
        <f t="shared" si="2"/>
        <v>0.67500000000000004</v>
      </c>
      <c r="L53" s="87">
        <f t="shared" si="3"/>
        <v>2.4500000000000002</v>
      </c>
      <c r="M53" s="87">
        <f t="shared" si="4"/>
        <v>0.48</v>
      </c>
      <c r="N53" s="87">
        <f t="shared" si="5"/>
        <v>1.825</v>
      </c>
      <c r="O53" s="87">
        <f t="shared" si="6"/>
        <v>5.61</v>
      </c>
      <c r="AO53" t="s">
        <v>1621</v>
      </c>
      <c r="AP53" t="s">
        <v>1658</v>
      </c>
    </row>
    <row r="54" spans="1:42" x14ac:dyDescent="0.3">
      <c r="A54" t="s">
        <v>9</v>
      </c>
      <c r="B54" t="s">
        <v>755</v>
      </c>
      <c r="C54" s="16" t="s">
        <v>272</v>
      </c>
      <c r="D54" s="16">
        <v>3</v>
      </c>
      <c r="E54" t="s">
        <v>1524</v>
      </c>
      <c r="F54" t="s">
        <v>1540</v>
      </c>
      <c r="G54" t="s">
        <v>1568</v>
      </c>
      <c r="H54" t="s">
        <v>344</v>
      </c>
      <c r="I54" s="87">
        <f t="shared" si="0"/>
        <v>0.06</v>
      </c>
      <c r="J54" s="87">
        <f t="shared" si="1"/>
        <v>0.12</v>
      </c>
      <c r="K54" s="87">
        <f t="shared" si="2"/>
        <v>0.67500000000000004</v>
      </c>
      <c r="L54" s="87">
        <f t="shared" si="3"/>
        <v>2.375</v>
      </c>
      <c r="M54" s="87">
        <f t="shared" si="4"/>
        <v>0.44500000000000006</v>
      </c>
      <c r="N54" s="87">
        <f t="shared" si="5"/>
        <v>1.825</v>
      </c>
      <c r="O54" s="87">
        <f t="shared" si="6"/>
        <v>5.5</v>
      </c>
      <c r="AO54" t="s">
        <v>1622</v>
      </c>
      <c r="AP54" t="s">
        <v>1658</v>
      </c>
    </row>
    <row r="55" spans="1:42" x14ac:dyDescent="0.3">
      <c r="A55" t="s">
        <v>9</v>
      </c>
      <c r="B55" t="s">
        <v>756</v>
      </c>
      <c r="C55" s="16" t="s">
        <v>272</v>
      </c>
      <c r="D55" s="16">
        <v>3</v>
      </c>
      <c r="E55" t="s">
        <v>1524</v>
      </c>
      <c r="F55" t="s">
        <v>282</v>
      </c>
      <c r="G55" t="s">
        <v>1568</v>
      </c>
      <c r="H55" t="s">
        <v>344</v>
      </c>
      <c r="I55" s="87">
        <f t="shared" si="0"/>
        <v>0.06</v>
      </c>
      <c r="J55" s="87">
        <f t="shared" si="1"/>
        <v>0.12</v>
      </c>
      <c r="K55" s="87">
        <f t="shared" si="2"/>
        <v>0.67500000000000004</v>
      </c>
      <c r="L55" s="87">
        <f t="shared" si="3"/>
        <v>1.925</v>
      </c>
      <c r="M55" s="87">
        <f t="shared" si="4"/>
        <v>0.44500000000000006</v>
      </c>
      <c r="N55" s="87">
        <f t="shared" si="5"/>
        <v>1.825</v>
      </c>
      <c r="O55" s="87">
        <f t="shared" si="6"/>
        <v>5.0500000000000007</v>
      </c>
      <c r="AO55" t="s">
        <v>1623</v>
      </c>
      <c r="AP55" t="s">
        <v>1658</v>
      </c>
    </row>
    <row r="56" spans="1:42" x14ac:dyDescent="0.3">
      <c r="A56" t="s">
        <v>9</v>
      </c>
      <c r="B56" t="s">
        <v>757</v>
      </c>
      <c r="C56" s="16" t="s">
        <v>272</v>
      </c>
      <c r="D56" s="16">
        <v>3</v>
      </c>
      <c r="E56" t="s">
        <v>1524</v>
      </c>
      <c r="F56" t="s">
        <v>1542</v>
      </c>
      <c r="G56" t="s">
        <v>1568</v>
      </c>
      <c r="H56" t="s">
        <v>344</v>
      </c>
      <c r="I56" s="87">
        <f t="shared" si="0"/>
        <v>0.06</v>
      </c>
      <c r="J56" s="87">
        <f t="shared" si="1"/>
        <v>0.12</v>
      </c>
      <c r="K56" s="87">
        <f t="shared" si="2"/>
        <v>0.67500000000000004</v>
      </c>
      <c r="L56" s="87">
        <f t="shared" si="3"/>
        <v>2.35</v>
      </c>
      <c r="M56" s="87">
        <f t="shared" si="4"/>
        <v>0.44500000000000006</v>
      </c>
      <c r="N56" s="87">
        <f t="shared" si="5"/>
        <v>1.825</v>
      </c>
      <c r="O56" s="87">
        <f t="shared" si="6"/>
        <v>5.4750000000000005</v>
      </c>
      <c r="AO56" t="s">
        <v>1624</v>
      </c>
      <c r="AP56" t="s">
        <v>1658</v>
      </c>
    </row>
    <row r="57" spans="1:42" x14ac:dyDescent="0.3">
      <c r="A57" t="s">
        <v>9</v>
      </c>
      <c r="B57" t="s">
        <v>758</v>
      </c>
      <c r="C57" s="16" t="s">
        <v>272</v>
      </c>
      <c r="D57" s="16">
        <v>2</v>
      </c>
      <c r="E57" t="s">
        <v>1524</v>
      </c>
      <c r="F57" t="s">
        <v>282</v>
      </c>
      <c r="G57" t="s">
        <v>342</v>
      </c>
      <c r="H57" t="s">
        <v>344</v>
      </c>
      <c r="I57" s="87">
        <f t="shared" si="0"/>
        <v>0.06</v>
      </c>
      <c r="J57" s="87">
        <f t="shared" si="1"/>
        <v>0.89000000000000012</v>
      </c>
      <c r="K57" s="87">
        <f t="shared" si="2"/>
        <v>0.67500000000000004</v>
      </c>
      <c r="L57" s="87">
        <f t="shared" si="3"/>
        <v>1.925</v>
      </c>
      <c r="M57" s="87">
        <f t="shared" si="4"/>
        <v>0.49000000000000005</v>
      </c>
      <c r="N57" s="87">
        <f t="shared" si="5"/>
        <v>1.825</v>
      </c>
      <c r="O57" s="87">
        <f t="shared" si="6"/>
        <v>5.8650000000000002</v>
      </c>
      <c r="AO57" t="s">
        <v>1625</v>
      </c>
      <c r="AP57" t="s">
        <v>1658</v>
      </c>
    </row>
    <row r="58" spans="1:42" x14ac:dyDescent="0.3">
      <c r="A58" t="s">
        <v>9</v>
      </c>
      <c r="B58" t="s">
        <v>759</v>
      </c>
      <c r="C58" s="16" t="s">
        <v>272</v>
      </c>
      <c r="D58" s="16">
        <v>3</v>
      </c>
      <c r="E58" t="s">
        <v>1524</v>
      </c>
      <c r="F58" t="s">
        <v>1542</v>
      </c>
      <c r="G58" t="s">
        <v>1567</v>
      </c>
      <c r="H58" t="s">
        <v>1658</v>
      </c>
      <c r="I58" s="87">
        <f t="shared" si="0"/>
        <v>0.06</v>
      </c>
      <c r="J58" s="87">
        <f t="shared" si="1"/>
        <v>0.12</v>
      </c>
      <c r="K58" s="87">
        <f t="shared" si="2"/>
        <v>0.67500000000000004</v>
      </c>
      <c r="L58" s="87">
        <f t="shared" si="3"/>
        <v>2.35</v>
      </c>
      <c r="M58" s="87">
        <f t="shared" si="4"/>
        <v>0.32000000000000006</v>
      </c>
      <c r="N58" s="87">
        <f t="shared" si="5"/>
        <v>2.5</v>
      </c>
      <c r="O58" s="87">
        <f t="shared" si="6"/>
        <v>6.0250000000000004</v>
      </c>
    </row>
    <row r="59" spans="1:42" x14ac:dyDescent="0.3">
      <c r="A59" t="s">
        <v>9</v>
      </c>
      <c r="B59" t="s">
        <v>760</v>
      </c>
      <c r="C59" s="16" t="s">
        <v>272</v>
      </c>
      <c r="D59" s="16">
        <v>3</v>
      </c>
      <c r="E59" t="s">
        <v>1524</v>
      </c>
      <c r="F59" t="s">
        <v>282</v>
      </c>
      <c r="G59" t="s">
        <v>1568</v>
      </c>
      <c r="H59" t="s">
        <v>344</v>
      </c>
      <c r="I59" s="87">
        <f t="shared" si="0"/>
        <v>0.06</v>
      </c>
      <c r="J59" s="87">
        <f t="shared" si="1"/>
        <v>0.12</v>
      </c>
      <c r="K59" s="87">
        <f t="shared" si="2"/>
        <v>0.67500000000000004</v>
      </c>
      <c r="L59" s="87">
        <f t="shared" si="3"/>
        <v>1.925</v>
      </c>
      <c r="M59" s="87">
        <f t="shared" si="4"/>
        <v>0.44500000000000006</v>
      </c>
      <c r="N59" s="87">
        <f t="shared" si="5"/>
        <v>1.825</v>
      </c>
      <c r="O59" s="87">
        <f t="shared" si="6"/>
        <v>5.0500000000000007</v>
      </c>
    </row>
    <row r="60" spans="1:42" x14ac:dyDescent="0.3">
      <c r="A60" t="s">
        <v>9</v>
      </c>
      <c r="B60" t="s">
        <v>761</v>
      </c>
      <c r="C60" s="16" t="s">
        <v>272</v>
      </c>
      <c r="D60" s="16">
        <v>2</v>
      </c>
      <c r="E60" t="s">
        <v>1524</v>
      </c>
      <c r="F60" t="s">
        <v>282</v>
      </c>
      <c r="G60" t="s">
        <v>342</v>
      </c>
      <c r="H60" t="s">
        <v>344</v>
      </c>
      <c r="I60" s="87">
        <f t="shared" si="0"/>
        <v>0.06</v>
      </c>
      <c r="J60" s="87">
        <f t="shared" si="1"/>
        <v>0.89000000000000012</v>
      </c>
      <c r="K60" s="87">
        <f t="shared" si="2"/>
        <v>0.67500000000000004</v>
      </c>
      <c r="L60" s="87">
        <f t="shared" si="3"/>
        <v>1.925</v>
      </c>
      <c r="M60" s="87">
        <f t="shared" si="4"/>
        <v>0.49000000000000005</v>
      </c>
      <c r="N60" s="87">
        <f t="shared" si="5"/>
        <v>1.825</v>
      </c>
      <c r="O60" s="87">
        <f t="shared" si="6"/>
        <v>5.8650000000000002</v>
      </c>
    </row>
    <row r="61" spans="1:42" x14ac:dyDescent="0.3">
      <c r="A61" t="s">
        <v>9</v>
      </c>
      <c r="B61" t="s">
        <v>762</v>
      </c>
      <c r="C61" s="16" t="s">
        <v>272</v>
      </c>
      <c r="D61" s="16">
        <v>3</v>
      </c>
      <c r="E61" t="s">
        <v>1524</v>
      </c>
      <c r="F61" t="s">
        <v>1542</v>
      </c>
      <c r="G61" t="s">
        <v>1567</v>
      </c>
      <c r="H61" t="s">
        <v>345</v>
      </c>
      <c r="I61" s="87">
        <f t="shared" si="0"/>
        <v>0.06</v>
      </c>
      <c r="J61" s="87">
        <f t="shared" si="1"/>
        <v>0.12</v>
      </c>
      <c r="K61" s="87">
        <f t="shared" si="2"/>
        <v>0.67500000000000004</v>
      </c>
      <c r="L61" s="87">
        <f t="shared" si="3"/>
        <v>2.35</v>
      </c>
      <c r="M61" s="87">
        <f t="shared" si="4"/>
        <v>0.32000000000000006</v>
      </c>
      <c r="N61" s="87">
        <f t="shared" si="5"/>
        <v>1.7749999999999999</v>
      </c>
      <c r="O61" s="87">
        <f t="shared" si="6"/>
        <v>5.3000000000000007</v>
      </c>
    </row>
    <row r="62" spans="1:42" x14ac:dyDescent="0.3">
      <c r="A62" t="s">
        <v>9</v>
      </c>
      <c r="B62" t="s">
        <v>763</v>
      </c>
      <c r="C62" s="16" t="s">
        <v>272</v>
      </c>
      <c r="D62" s="16">
        <v>3</v>
      </c>
      <c r="E62" t="s">
        <v>1524</v>
      </c>
      <c r="F62" t="s">
        <v>282</v>
      </c>
      <c r="G62" t="s">
        <v>1567</v>
      </c>
      <c r="H62" t="s">
        <v>1658</v>
      </c>
      <c r="I62" s="87">
        <f t="shared" si="0"/>
        <v>0.06</v>
      </c>
      <c r="J62" s="87">
        <f t="shared" si="1"/>
        <v>0.12</v>
      </c>
      <c r="K62" s="87">
        <f t="shared" si="2"/>
        <v>0.67500000000000004</v>
      </c>
      <c r="L62" s="87">
        <f t="shared" si="3"/>
        <v>1.925</v>
      </c>
      <c r="M62" s="87">
        <f t="shared" si="4"/>
        <v>0.32000000000000006</v>
      </c>
      <c r="N62" s="87">
        <f t="shared" si="5"/>
        <v>2.5</v>
      </c>
      <c r="O62" s="87">
        <f t="shared" si="6"/>
        <v>5.6000000000000005</v>
      </c>
    </row>
    <row r="63" spans="1:42" x14ac:dyDescent="0.3">
      <c r="A63" t="s">
        <v>9</v>
      </c>
      <c r="B63" t="s">
        <v>764</v>
      </c>
      <c r="C63" s="16" t="s">
        <v>272</v>
      </c>
      <c r="D63" s="16">
        <v>3</v>
      </c>
      <c r="E63" t="s">
        <v>1524</v>
      </c>
      <c r="F63" t="s">
        <v>282</v>
      </c>
      <c r="G63" t="s">
        <v>1567</v>
      </c>
      <c r="H63" t="s">
        <v>345</v>
      </c>
      <c r="I63" s="87">
        <f t="shared" si="0"/>
        <v>0.06</v>
      </c>
      <c r="J63" s="87">
        <f t="shared" si="1"/>
        <v>0.12</v>
      </c>
      <c r="K63" s="87">
        <f t="shared" si="2"/>
        <v>0.67500000000000004</v>
      </c>
      <c r="L63" s="87">
        <f t="shared" si="3"/>
        <v>1.925</v>
      </c>
      <c r="M63" s="87">
        <f t="shared" si="4"/>
        <v>0.32000000000000006</v>
      </c>
      <c r="N63" s="87">
        <f t="shared" si="5"/>
        <v>1.7749999999999999</v>
      </c>
      <c r="O63" s="87">
        <f t="shared" si="6"/>
        <v>4.875</v>
      </c>
    </row>
    <row r="64" spans="1:42" x14ac:dyDescent="0.3">
      <c r="A64" t="s">
        <v>43</v>
      </c>
      <c r="B64" t="s">
        <v>765</v>
      </c>
      <c r="C64" s="16" t="s">
        <v>273</v>
      </c>
      <c r="D64" s="16">
        <v>2</v>
      </c>
      <c r="E64" t="s">
        <v>1525</v>
      </c>
      <c r="F64" t="s">
        <v>283</v>
      </c>
      <c r="G64" t="s">
        <v>1568</v>
      </c>
      <c r="H64" t="s">
        <v>291</v>
      </c>
      <c r="I64" s="87">
        <f t="shared" si="0"/>
        <v>0.94000000000000006</v>
      </c>
      <c r="J64" s="87">
        <f t="shared" si="1"/>
        <v>0.89000000000000012</v>
      </c>
      <c r="K64" s="87">
        <f t="shared" si="2"/>
        <v>2.0750000000000002</v>
      </c>
      <c r="L64" s="87">
        <f t="shared" si="3"/>
        <v>2.35</v>
      </c>
      <c r="M64" s="87">
        <f t="shared" si="4"/>
        <v>0.44500000000000006</v>
      </c>
      <c r="N64" s="87">
        <f t="shared" si="5"/>
        <v>2.125</v>
      </c>
      <c r="O64" s="87">
        <f t="shared" si="6"/>
        <v>8.8250000000000011</v>
      </c>
    </row>
    <row r="65" spans="1:15" x14ac:dyDescent="0.3">
      <c r="A65" t="s">
        <v>43</v>
      </c>
      <c r="B65" t="s">
        <v>766</v>
      </c>
      <c r="C65" s="16" t="s">
        <v>272</v>
      </c>
      <c r="D65" s="16">
        <v>2</v>
      </c>
      <c r="E65" t="s">
        <v>1525</v>
      </c>
      <c r="F65" t="s">
        <v>273</v>
      </c>
      <c r="G65" t="s">
        <v>1567</v>
      </c>
      <c r="H65" t="s">
        <v>347</v>
      </c>
      <c r="I65" s="87">
        <f t="shared" si="0"/>
        <v>0.06</v>
      </c>
      <c r="J65" s="87">
        <f t="shared" si="1"/>
        <v>0.89000000000000012</v>
      </c>
      <c r="K65" s="87">
        <f t="shared" si="2"/>
        <v>2.0750000000000002</v>
      </c>
      <c r="L65" s="87">
        <f t="shared" si="3"/>
        <v>2.4249999999999998</v>
      </c>
      <c r="M65" s="87">
        <f t="shared" si="4"/>
        <v>0.32000000000000006</v>
      </c>
      <c r="N65" s="87">
        <f t="shared" si="5"/>
        <v>2.4249999999999998</v>
      </c>
      <c r="O65" s="87">
        <f t="shared" si="6"/>
        <v>8.1950000000000003</v>
      </c>
    </row>
    <row r="66" spans="1:15" x14ac:dyDescent="0.3">
      <c r="A66" t="s">
        <v>43</v>
      </c>
      <c r="B66" t="s">
        <v>767</v>
      </c>
      <c r="C66" s="16" t="s">
        <v>272</v>
      </c>
      <c r="D66" s="16">
        <v>3</v>
      </c>
      <c r="E66" t="s">
        <v>1524</v>
      </c>
      <c r="F66" t="s">
        <v>1658</v>
      </c>
      <c r="G66" t="s">
        <v>1567</v>
      </c>
      <c r="H66" t="s">
        <v>344</v>
      </c>
      <c r="I66" s="87">
        <f t="shared" si="0"/>
        <v>0.06</v>
      </c>
      <c r="J66" s="87">
        <f t="shared" si="1"/>
        <v>0.12</v>
      </c>
      <c r="K66" s="87">
        <f t="shared" si="2"/>
        <v>0.67500000000000004</v>
      </c>
      <c r="L66" s="87">
        <f t="shared" si="3"/>
        <v>2.5</v>
      </c>
      <c r="M66" s="87">
        <f t="shared" si="4"/>
        <v>0.32000000000000006</v>
      </c>
      <c r="N66" s="87">
        <f t="shared" si="5"/>
        <v>1.825</v>
      </c>
      <c r="O66" s="87">
        <f t="shared" si="6"/>
        <v>5.5</v>
      </c>
    </row>
    <row r="67" spans="1:15" x14ac:dyDescent="0.3">
      <c r="A67" t="s">
        <v>43</v>
      </c>
      <c r="B67" t="s">
        <v>768</v>
      </c>
      <c r="C67" s="16" t="s">
        <v>272</v>
      </c>
      <c r="D67" s="16">
        <v>3</v>
      </c>
      <c r="E67" t="s">
        <v>1524</v>
      </c>
      <c r="F67" t="s">
        <v>282</v>
      </c>
      <c r="G67" t="s">
        <v>1567</v>
      </c>
      <c r="H67" t="s">
        <v>1658</v>
      </c>
      <c r="I67" s="87">
        <f t="shared" si="0"/>
        <v>0.06</v>
      </c>
      <c r="J67" s="87">
        <f t="shared" si="1"/>
        <v>0.12</v>
      </c>
      <c r="K67" s="87">
        <f t="shared" si="2"/>
        <v>0.67500000000000004</v>
      </c>
      <c r="L67" s="87">
        <f t="shared" si="3"/>
        <v>1.925</v>
      </c>
      <c r="M67" s="87">
        <f t="shared" si="4"/>
        <v>0.32000000000000006</v>
      </c>
      <c r="N67" s="87">
        <f t="shared" si="5"/>
        <v>2.5</v>
      </c>
      <c r="O67" s="87">
        <f t="shared" si="6"/>
        <v>5.6000000000000005</v>
      </c>
    </row>
    <row r="68" spans="1:15" x14ac:dyDescent="0.3">
      <c r="A68" t="s">
        <v>43</v>
      </c>
      <c r="B68" t="s">
        <v>769</v>
      </c>
      <c r="C68" s="16" t="s">
        <v>272</v>
      </c>
      <c r="D68" s="16">
        <v>3</v>
      </c>
      <c r="E68" t="s">
        <v>1524</v>
      </c>
      <c r="F68" t="s">
        <v>1540</v>
      </c>
      <c r="G68" t="s">
        <v>1567</v>
      </c>
      <c r="H68" t="s">
        <v>345</v>
      </c>
      <c r="I68" s="87">
        <f t="shared" ref="I68:I131" si="7">VLOOKUP(C68,$R$3:$T$4,3,0)*T$1</f>
        <v>0.06</v>
      </c>
      <c r="J68" s="87">
        <f t="shared" ref="J68:J131" si="8">VLOOKUP(D68,$U$3:$W$5,3,0)*W$1</f>
        <v>0.12</v>
      </c>
      <c r="K68" s="87">
        <f t="shared" ref="K68:K131" si="9">VLOOKUP(E68,$X$3:$Z$9,3,0)*Z$1</f>
        <v>0.67500000000000004</v>
      </c>
      <c r="L68" s="87">
        <f t="shared" ref="L68:L131" si="10">VLOOKUP(F68,$AA$3:$AC$32,3,0)*AC$1</f>
        <v>2.375</v>
      </c>
      <c r="M68" s="87">
        <f t="shared" ref="M68:M131" si="11">VLOOKUP(G68,$AD$3:$AF$9,3,0)*AF$1</f>
        <v>0.32000000000000006</v>
      </c>
      <c r="N68" s="87">
        <f t="shared" ref="N68:N131" si="12">VLOOKUP(H68,$AG$3:$AI$15,3,0)*AI$1</f>
        <v>1.7749999999999999</v>
      </c>
      <c r="O68" s="87">
        <f t="shared" ref="O68:O131" si="13">SUM(I68:N68)</f>
        <v>5.3249999999999993</v>
      </c>
    </row>
    <row r="69" spans="1:15" x14ac:dyDescent="0.3">
      <c r="A69" t="s">
        <v>43</v>
      </c>
      <c r="B69" t="s">
        <v>770</v>
      </c>
      <c r="C69" s="16" t="s">
        <v>272</v>
      </c>
      <c r="D69" s="16">
        <v>3</v>
      </c>
      <c r="E69" t="s">
        <v>1524</v>
      </c>
      <c r="F69" t="s">
        <v>1540</v>
      </c>
      <c r="G69" t="s">
        <v>1567</v>
      </c>
      <c r="H69" t="s">
        <v>344</v>
      </c>
      <c r="I69" s="87">
        <f t="shared" si="7"/>
        <v>0.06</v>
      </c>
      <c r="J69" s="87">
        <f t="shared" si="8"/>
        <v>0.12</v>
      </c>
      <c r="K69" s="87">
        <f t="shared" si="9"/>
        <v>0.67500000000000004</v>
      </c>
      <c r="L69" s="87">
        <f t="shared" si="10"/>
        <v>2.375</v>
      </c>
      <c r="M69" s="87">
        <f t="shared" si="11"/>
        <v>0.32000000000000006</v>
      </c>
      <c r="N69" s="87">
        <f t="shared" si="12"/>
        <v>1.825</v>
      </c>
      <c r="O69" s="87">
        <f t="shared" si="13"/>
        <v>5.375</v>
      </c>
    </row>
    <row r="70" spans="1:15" x14ac:dyDescent="0.3">
      <c r="A70" t="s">
        <v>43</v>
      </c>
      <c r="B70" t="s">
        <v>771</v>
      </c>
      <c r="C70" s="16" t="s">
        <v>272</v>
      </c>
      <c r="D70" s="16">
        <v>3</v>
      </c>
      <c r="E70" t="s">
        <v>1524</v>
      </c>
      <c r="F70" t="s">
        <v>282</v>
      </c>
      <c r="G70" t="s">
        <v>1566</v>
      </c>
      <c r="H70" t="s">
        <v>1658</v>
      </c>
      <c r="I70" s="87">
        <f t="shared" si="7"/>
        <v>0.06</v>
      </c>
      <c r="J70" s="87">
        <f t="shared" si="8"/>
        <v>0.12</v>
      </c>
      <c r="K70" s="87">
        <f t="shared" si="9"/>
        <v>0.67500000000000004</v>
      </c>
      <c r="L70" s="87">
        <f t="shared" si="10"/>
        <v>1.925</v>
      </c>
      <c r="M70" s="87">
        <f t="shared" si="11"/>
        <v>0.27</v>
      </c>
      <c r="N70" s="87">
        <f t="shared" si="12"/>
        <v>2.5</v>
      </c>
      <c r="O70" s="87">
        <f t="shared" si="13"/>
        <v>5.5500000000000007</v>
      </c>
    </row>
    <row r="71" spans="1:15" x14ac:dyDescent="0.3">
      <c r="A71" t="s">
        <v>43</v>
      </c>
      <c r="B71" t="s">
        <v>772</v>
      </c>
      <c r="C71" s="16" t="s">
        <v>272</v>
      </c>
      <c r="D71" s="16">
        <v>3</v>
      </c>
      <c r="E71" t="s">
        <v>1524</v>
      </c>
      <c r="F71" t="s">
        <v>1658</v>
      </c>
      <c r="G71" t="s">
        <v>1567</v>
      </c>
      <c r="H71" t="s">
        <v>344</v>
      </c>
      <c r="I71" s="87">
        <f t="shared" si="7"/>
        <v>0.06</v>
      </c>
      <c r="J71" s="87">
        <f t="shared" si="8"/>
        <v>0.12</v>
      </c>
      <c r="K71" s="87">
        <f t="shared" si="9"/>
        <v>0.67500000000000004</v>
      </c>
      <c r="L71" s="87">
        <f t="shared" si="10"/>
        <v>2.5</v>
      </c>
      <c r="M71" s="87">
        <f t="shared" si="11"/>
        <v>0.32000000000000006</v>
      </c>
      <c r="N71" s="87">
        <f t="shared" si="12"/>
        <v>1.825</v>
      </c>
      <c r="O71" s="87">
        <f t="shared" si="13"/>
        <v>5.5</v>
      </c>
    </row>
    <row r="72" spans="1:15" x14ac:dyDescent="0.3">
      <c r="A72" t="s">
        <v>43</v>
      </c>
      <c r="B72" t="s">
        <v>773</v>
      </c>
      <c r="C72" s="16" t="s">
        <v>272</v>
      </c>
      <c r="D72" s="16">
        <v>3</v>
      </c>
      <c r="E72" t="s">
        <v>1524</v>
      </c>
      <c r="F72" t="s">
        <v>1658</v>
      </c>
      <c r="G72" t="s">
        <v>1567</v>
      </c>
      <c r="H72" t="s">
        <v>344</v>
      </c>
      <c r="I72" s="87">
        <f t="shared" si="7"/>
        <v>0.06</v>
      </c>
      <c r="J72" s="87">
        <f t="shared" si="8"/>
        <v>0.12</v>
      </c>
      <c r="K72" s="87">
        <f t="shared" si="9"/>
        <v>0.67500000000000004</v>
      </c>
      <c r="L72" s="87">
        <f t="shared" si="10"/>
        <v>2.5</v>
      </c>
      <c r="M72" s="87">
        <f t="shared" si="11"/>
        <v>0.32000000000000006</v>
      </c>
      <c r="N72" s="87">
        <f t="shared" si="12"/>
        <v>1.825</v>
      </c>
      <c r="O72" s="87">
        <f t="shared" si="13"/>
        <v>5.5</v>
      </c>
    </row>
    <row r="73" spans="1:15" x14ac:dyDescent="0.3">
      <c r="A73" t="s">
        <v>43</v>
      </c>
      <c r="B73" t="s">
        <v>774</v>
      </c>
      <c r="C73" s="16" t="s">
        <v>272</v>
      </c>
      <c r="D73" s="16">
        <v>2</v>
      </c>
      <c r="E73" t="s">
        <v>1524</v>
      </c>
      <c r="F73" t="s">
        <v>282</v>
      </c>
      <c r="G73" t="s">
        <v>341</v>
      </c>
      <c r="H73" t="s">
        <v>345</v>
      </c>
      <c r="I73" s="87">
        <f t="shared" si="7"/>
        <v>0.06</v>
      </c>
      <c r="J73" s="87">
        <f t="shared" si="8"/>
        <v>0.89000000000000012</v>
      </c>
      <c r="K73" s="87">
        <f t="shared" si="9"/>
        <v>0.67500000000000004</v>
      </c>
      <c r="L73" s="87">
        <f t="shared" si="10"/>
        <v>1.925</v>
      </c>
      <c r="M73" s="87">
        <f t="shared" si="11"/>
        <v>0.48</v>
      </c>
      <c r="N73" s="87">
        <f t="shared" si="12"/>
        <v>1.7749999999999999</v>
      </c>
      <c r="O73" s="87">
        <f t="shared" si="13"/>
        <v>5.8049999999999997</v>
      </c>
    </row>
    <row r="74" spans="1:15" x14ac:dyDescent="0.3">
      <c r="A74" t="s">
        <v>43</v>
      </c>
      <c r="B74" t="s">
        <v>775</v>
      </c>
      <c r="C74" s="16" t="s">
        <v>272</v>
      </c>
      <c r="D74" s="16">
        <v>3</v>
      </c>
      <c r="E74" t="s">
        <v>1524</v>
      </c>
      <c r="F74" t="s">
        <v>282</v>
      </c>
      <c r="G74" t="s">
        <v>1566</v>
      </c>
      <c r="H74" t="s">
        <v>1658</v>
      </c>
      <c r="I74" s="87">
        <f t="shared" si="7"/>
        <v>0.06</v>
      </c>
      <c r="J74" s="87">
        <f t="shared" si="8"/>
        <v>0.12</v>
      </c>
      <c r="K74" s="87">
        <f t="shared" si="9"/>
        <v>0.67500000000000004</v>
      </c>
      <c r="L74" s="87">
        <f t="shared" si="10"/>
        <v>1.925</v>
      </c>
      <c r="M74" s="87">
        <f t="shared" si="11"/>
        <v>0.27</v>
      </c>
      <c r="N74" s="87">
        <f t="shared" si="12"/>
        <v>2.5</v>
      </c>
      <c r="O74" s="87">
        <f t="shared" si="13"/>
        <v>5.5500000000000007</v>
      </c>
    </row>
    <row r="75" spans="1:15" x14ac:dyDescent="0.3">
      <c r="A75" t="s">
        <v>43</v>
      </c>
      <c r="B75" t="s">
        <v>776</v>
      </c>
      <c r="C75" s="16" t="s">
        <v>272</v>
      </c>
      <c r="D75" s="16">
        <v>2</v>
      </c>
      <c r="E75" t="s">
        <v>1524</v>
      </c>
      <c r="F75" t="s">
        <v>282</v>
      </c>
      <c r="G75" t="s">
        <v>342</v>
      </c>
      <c r="H75" t="s">
        <v>344</v>
      </c>
      <c r="I75" s="87">
        <f t="shared" si="7"/>
        <v>0.06</v>
      </c>
      <c r="J75" s="87">
        <f t="shared" si="8"/>
        <v>0.89000000000000012</v>
      </c>
      <c r="K75" s="87">
        <f t="shared" si="9"/>
        <v>0.67500000000000004</v>
      </c>
      <c r="L75" s="87">
        <f t="shared" si="10"/>
        <v>1.925</v>
      </c>
      <c r="M75" s="87">
        <f t="shared" si="11"/>
        <v>0.49000000000000005</v>
      </c>
      <c r="N75" s="87">
        <f t="shared" si="12"/>
        <v>1.825</v>
      </c>
      <c r="O75" s="87">
        <f t="shared" si="13"/>
        <v>5.8650000000000002</v>
      </c>
    </row>
    <row r="76" spans="1:15" x14ac:dyDescent="0.3">
      <c r="A76" t="s">
        <v>43</v>
      </c>
      <c r="B76" t="s">
        <v>777</v>
      </c>
      <c r="C76" s="16" t="s">
        <v>272</v>
      </c>
      <c r="D76" s="16">
        <v>2</v>
      </c>
      <c r="E76" t="s">
        <v>1524</v>
      </c>
      <c r="F76" t="s">
        <v>282</v>
      </c>
      <c r="G76" t="s">
        <v>342</v>
      </c>
      <c r="H76" t="s">
        <v>344</v>
      </c>
      <c r="I76" s="87">
        <f t="shared" si="7"/>
        <v>0.06</v>
      </c>
      <c r="J76" s="87">
        <f t="shared" si="8"/>
        <v>0.89000000000000012</v>
      </c>
      <c r="K76" s="87">
        <f t="shared" si="9"/>
        <v>0.67500000000000004</v>
      </c>
      <c r="L76" s="87">
        <f t="shared" si="10"/>
        <v>1.925</v>
      </c>
      <c r="M76" s="87">
        <f t="shared" si="11"/>
        <v>0.49000000000000005</v>
      </c>
      <c r="N76" s="87">
        <f t="shared" si="12"/>
        <v>1.825</v>
      </c>
      <c r="O76" s="87">
        <f t="shared" si="13"/>
        <v>5.8650000000000002</v>
      </c>
    </row>
    <row r="77" spans="1:15" x14ac:dyDescent="0.3">
      <c r="A77" t="s">
        <v>43</v>
      </c>
      <c r="B77" t="s">
        <v>778</v>
      </c>
      <c r="C77" s="16" t="s">
        <v>273</v>
      </c>
      <c r="D77" s="16">
        <v>2</v>
      </c>
      <c r="E77" t="s">
        <v>1525</v>
      </c>
      <c r="F77" t="s">
        <v>273</v>
      </c>
      <c r="G77" t="s">
        <v>1567</v>
      </c>
      <c r="H77" t="s">
        <v>291</v>
      </c>
      <c r="I77" s="87">
        <f t="shared" si="7"/>
        <v>0.94000000000000006</v>
      </c>
      <c r="J77" s="87">
        <f t="shared" si="8"/>
        <v>0.89000000000000012</v>
      </c>
      <c r="K77" s="87">
        <f t="shared" si="9"/>
        <v>2.0750000000000002</v>
      </c>
      <c r="L77" s="87">
        <f t="shared" si="10"/>
        <v>2.4249999999999998</v>
      </c>
      <c r="M77" s="87">
        <f t="shared" si="11"/>
        <v>0.32000000000000006</v>
      </c>
      <c r="N77" s="87">
        <f t="shared" si="12"/>
        <v>2.125</v>
      </c>
      <c r="O77" s="87">
        <f t="shared" si="13"/>
        <v>8.7750000000000004</v>
      </c>
    </row>
    <row r="78" spans="1:15" x14ac:dyDescent="0.3">
      <c r="A78" t="s">
        <v>43</v>
      </c>
      <c r="B78" t="s">
        <v>779</v>
      </c>
      <c r="C78" s="16" t="s">
        <v>272</v>
      </c>
      <c r="D78" s="16">
        <v>2</v>
      </c>
      <c r="E78" t="s">
        <v>1524</v>
      </c>
      <c r="F78" t="s">
        <v>282</v>
      </c>
      <c r="G78" t="s">
        <v>342</v>
      </c>
      <c r="H78" t="s">
        <v>344</v>
      </c>
      <c r="I78" s="87">
        <f t="shared" si="7"/>
        <v>0.06</v>
      </c>
      <c r="J78" s="87">
        <f t="shared" si="8"/>
        <v>0.89000000000000012</v>
      </c>
      <c r="K78" s="87">
        <f t="shared" si="9"/>
        <v>0.67500000000000004</v>
      </c>
      <c r="L78" s="87">
        <f t="shared" si="10"/>
        <v>1.925</v>
      </c>
      <c r="M78" s="87">
        <f t="shared" si="11"/>
        <v>0.49000000000000005</v>
      </c>
      <c r="N78" s="87">
        <f t="shared" si="12"/>
        <v>1.825</v>
      </c>
      <c r="O78" s="87">
        <f t="shared" si="13"/>
        <v>5.8650000000000002</v>
      </c>
    </row>
    <row r="79" spans="1:15" x14ac:dyDescent="0.3">
      <c r="A79" t="s">
        <v>43</v>
      </c>
      <c r="B79" t="s">
        <v>780</v>
      </c>
      <c r="C79" s="16" t="s">
        <v>273</v>
      </c>
      <c r="D79" s="16">
        <v>3</v>
      </c>
      <c r="E79" t="s">
        <v>1529</v>
      </c>
      <c r="F79" t="s">
        <v>1658</v>
      </c>
      <c r="G79" t="s">
        <v>1567</v>
      </c>
      <c r="H79" t="s">
        <v>347</v>
      </c>
      <c r="I79" s="87">
        <f t="shared" si="7"/>
        <v>0.94000000000000006</v>
      </c>
      <c r="J79" s="87">
        <f t="shared" si="8"/>
        <v>0.12</v>
      </c>
      <c r="K79" s="87">
        <f t="shared" si="9"/>
        <v>2.4500000000000002</v>
      </c>
      <c r="L79" s="87">
        <f t="shared" si="10"/>
        <v>2.5</v>
      </c>
      <c r="M79" s="87">
        <f t="shared" si="11"/>
        <v>0.32000000000000006</v>
      </c>
      <c r="N79" s="87">
        <f t="shared" si="12"/>
        <v>2.4249999999999998</v>
      </c>
      <c r="O79" s="87">
        <f t="shared" si="13"/>
        <v>8.754999999999999</v>
      </c>
    </row>
    <row r="80" spans="1:15" x14ac:dyDescent="0.3">
      <c r="A80" t="s">
        <v>43</v>
      </c>
      <c r="B80" t="s">
        <v>781</v>
      </c>
      <c r="C80" s="16" t="s">
        <v>272</v>
      </c>
      <c r="D80" s="16">
        <v>3</v>
      </c>
      <c r="E80" t="s">
        <v>1524</v>
      </c>
      <c r="F80" t="s">
        <v>282</v>
      </c>
      <c r="G80" t="s">
        <v>1568</v>
      </c>
      <c r="H80" t="s">
        <v>1570</v>
      </c>
      <c r="I80" s="87">
        <f t="shared" si="7"/>
        <v>0.06</v>
      </c>
      <c r="J80" s="87">
        <f t="shared" si="8"/>
        <v>0.12</v>
      </c>
      <c r="K80" s="87">
        <f t="shared" si="9"/>
        <v>0.67500000000000004</v>
      </c>
      <c r="L80" s="87">
        <f t="shared" si="10"/>
        <v>1.925</v>
      </c>
      <c r="M80" s="87">
        <f t="shared" si="11"/>
        <v>0.44500000000000006</v>
      </c>
      <c r="N80" s="87">
        <f t="shared" si="12"/>
        <v>2.35</v>
      </c>
      <c r="O80" s="87">
        <f t="shared" si="13"/>
        <v>5.5750000000000011</v>
      </c>
    </row>
    <row r="81" spans="1:15" x14ac:dyDescent="0.3">
      <c r="A81" t="s">
        <v>43</v>
      </c>
      <c r="B81" t="s">
        <v>782</v>
      </c>
      <c r="C81" s="16" t="s">
        <v>272</v>
      </c>
      <c r="D81" s="16">
        <v>3</v>
      </c>
      <c r="E81" t="s">
        <v>1524</v>
      </c>
      <c r="F81" t="s">
        <v>282</v>
      </c>
      <c r="G81" t="s">
        <v>1567</v>
      </c>
      <c r="H81" t="s">
        <v>1658</v>
      </c>
      <c r="I81" s="87">
        <f t="shared" si="7"/>
        <v>0.06</v>
      </c>
      <c r="J81" s="87">
        <f t="shared" si="8"/>
        <v>0.12</v>
      </c>
      <c r="K81" s="87">
        <f t="shared" si="9"/>
        <v>0.67500000000000004</v>
      </c>
      <c r="L81" s="87">
        <f t="shared" si="10"/>
        <v>1.925</v>
      </c>
      <c r="M81" s="87">
        <f t="shared" si="11"/>
        <v>0.32000000000000006</v>
      </c>
      <c r="N81" s="87">
        <f t="shared" si="12"/>
        <v>2.5</v>
      </c>
      <c r="O81" s="87">
        <f t="shared" si="13"/>
        <v>5.6000000000000005</v>
      </c>
    </row>
    <row r="82" spans="1:15" x14ac:dyDescent="0.3">
      <c r="A82" t="s">
        <v>43</v>
      </c>
      <c r="B82" t="s">
        <v>783</v>
      </c>
      <c r="C82" s="16" t="s">
        <v>272</v>
      </c>
      <c r="D82" s="16">
        <v>3</v>
      </c>
      <c r="E82" t="s">
        <v>1526</v>
      </c>
      <c r="F82" t="s">
        <v>283</v>
      </c>
      <c r="G82" t="s">
        <v>1567</v>
      </c>
      <c r="H82" t="s">
        <v>345</v>
      </c>
      <c r="I82" s="87">
        <f t="shared" si="7"/>
        <v>0.06</v>
      </c>
      <c r="J82" s="87">
        <f t="shared" si="8"/>
        <v>0.12</v>
      </c>
      <c r="K82" s="87">
        <f t="shared" si="9"/>
        <v>2.375</v>
      </c>
      <c r="L82" s="87">
        <f t="shared" si="10"/>
        <v>2.35</v>
      </c>
      <c r="M82" s="87">
        <f t="shared" si="11"/>
        <v>0.32000000000000006</v>
      </c>
      <c r="N82" s="87">
        <f t="shared" si="12"/>
        <v>1.7749999999999999</v>
      </c>
      <c r="O82" s="87">
        <f t="shared" si="13"/>
        <v>7</v>
      </c>
    </row>
    <row r="83" spans="1:15" x14ac:dyDescent="0.3">
      <c r="A83" t="s">
        <v>43</v>
      </c>
      <c r="B83" t="s">
        <v>784</v>
      </c>
      <c r="C83" s="16" t="s">
        <v>272</v>
      </c>
      <c r="D83" s="16">
        <v>2</v>
      </c>
      <c r="E83" t="s">
        <v>1524</v>
      </c>
      <c r="F83" t="s">
        <v>282</v>
      </c>
      <c r="G83" t="s">
        <v>342</v>
      </c>
      <c r="H83" t="s">
        <v>344</v>
      </c>
      <c r="I83" s="87">
        <f t="shared" si="7"/>
        <v>0.06</v>
      </c>
      <c r="J83" s="87">
        <f t="shared" si="8"/>
        <v>0.89000000000000012</v>
      </c>
      <c r="K83" s="87">
        <f t="shared" si="9"/>
        <v>0.67500000000000004</v>
      </c>
      <c r="L83" s="87">
        <f t="shared" si="10"/>
        <v>1.925</v>
      </c>
      <c r="M83" s="87">
        <f t="shared" si="11"/>
        <v>0.49000000000000005</v>
      </c>
      <c r="N83" s="87">
        <f t="shared" si="12"/>
        <v>1.825</v>
      </c>
      <c r="O83" s="87">
        <f t="shared" si="13"/>
        <v>5.8650000000000002</v>
      </c>
    </row>
    <row r="84" spans="1:15" x14ac:dyDescent="0.3">
      <c r="A84" t="s">
        <v>43</v>
      </c>
      <c r="B84" t="s">
        <v>785</v>
      </c>
      <c r="C84" s="16" t="s">
        <v>273</v>
      </c>
      <c r="D84" s="16">
        <v>3</v>
      </c>
      <c r="E84" t="s">
        <v>1529</v>
      </c>
      <c r="F84" t="s">
        <v>1658</v>
      </c>
      <c r="G84" t="s">
        <v>1566</v>
      </c>
      <c r="H84" t="s">
        <v>1571</v>
      </c>
      <c r="I84" s="87">
        <f t="shared" si="7"/>
        <v>0.94000000000000006</v>
      </c>
      <c r="J84" s="87">
        <f t="shared" si="8"/>
        <v>0.12</v>
      </c>
      <c r="K84" s="87">
        <f t="shared" si="9"/>
        <v>2.4500000000000002</v>
      </c>
      <c r="L84" s="87">
        <f t="shared" si="10"/>
        <v>2.5</v>
      </c>
      <c r="M84" s="87">
        <f t="shared" si="11"/>
        <v>0.27</v>
      </c>
      <c r="N84" s="87">
        <f t="shared" si="12"/>
        <v>2.375</v>
      </c>
      <c r="O84" s="87">
        <f t="shared" si="13"/>
        <v>8.6549999999999994</v>
      </c>
    </row>
    <row r="85" spans="1:15" x14ac:dyDescent="0.3">
      <c r="A85" t="s">
        <v>45</v>
      </c>
      <c r="B85" t="s">
        <v>786</v>
      </c>
      <c r="C85" s="16" t="s">
        <v>272</v>
      </c>
      <c r="D85" s="16">
        <v>3</v>
      </c>
      <c r="E85" t="s">
        <v>1526</v>
      </c>
      <c r="F85" t="s">
        <v>1546</v>
      </c>
      <c r="G85" t="s">
        <v>1567</v>
      </c>
      <c r="H85" t="s">
        <v>345</v>
      </c>
      <c r="I85" s="87">
        <f t="shared" si="7"/>
        <v>0.06</v>
      </c>
      <c r="J85" s="87">
        <f t="shared" si="8"/>
        <v>0.12</v>
      </c>
      <c r="K85" s="87">
        <f t="shared" si="9"/>
        <v>2.375</v>
      </c>
      <c r="L85" s="87">
        <f t="shared" si="10"/>
        <v>2.2999999999999998</v>
      </c>
      <c r="M85" s="87">
        <f t="shared" si="11"/>
        <v>0.32000000000000006</v>
      </c>
      <c r="N85" s="87">
        <f t="shared" si="12"/>
        <v>1.7749999999999999</v>
      </c>
      <c r="O85" s="87">
        <f t="shared" si="13"/>
        <v>6.9500000000000011</v>
      </c>
    </row>
    <row r="86" spans="1:15" x14ac:dyDescent="0.3">
      <c r="A86" t="s">
        <v>45</v>
      </c>
      <c r="B86" t="s">
        <v>787</v>
      </c>
      <c r="C86" s="16" t="s">
        <v>272</v>
      </c>
      <c r="D86" s="16">
        <v>3</v>
      </c>
      <c r="E86" t="s">
        <v>1526</v>
      </c>
      <c r="F86" t="s">
        <v>1546</v>
      </c>
      <c r="G86" t="s">
        <v>1567</v>
      </c>
      <c r="H86" t="s">
        <v>345</v>
      </c>
      <c r="I86" s="87">
        <f t="shared" si="7"/>
        <v>0.06</v>
      </c>
      <c r="J86" s="87">
        <f t="shared" si="8"/>
        <v>0.12</v>
      </c>
      <c r="K86" s="87">
        <f t="shared" si="9"/>
        <v>2.375</v>
      </c>
      <c r="L86" s="87">
        <f t="shared" si="10"/>
        <v>2.2999999999999998</v>
      </c>
      <c r="M86" s="87">
        <f t="shared" si="11"/>
        <v>0.32000000000000006</v>
      </c>
      <c r="N86" s="87">
        <f t="shared" si="12"/>
        <v>1.7749999999999999</v>
      </c>
      <c r="O86" s="87">
        <f t="shared" si="13"/>
        <v>6.9500000000000011</v>
      </c>
    </row>
    <row r="87" spans="1:15" x14ac:dyDescent="0.3">
      <c r="A87" t="s">
        <v>45</v>
      </c>
      <c r="B87" t="s">
        <v>788</v>
      </c>
      <c r="C87" s="16" t="s">
        <v>272</v>
      </c>
      <c r="D87" s="16">
        <v>3</v>
      </c>
      <c r="E87" t="s">
        <v>1526</v>
      </c>
      <c r="F87" t="s">
        <v>1546</v>
      </c>
      <c r="G87" t="s">
        <v>1567</v>
      </c>
      <c r="H87" t="s">
        <v>345</v>
      </c>
      <c r="I87" s="87">
        <f t="shared" si="7"/>
        <v>0.06</v>
      </c>
      <c r="J87" s="87">
        <f t="shared" si="8"/>
        <v>0.12</v>
      </c>
      <c r="K87" s="87">
        <f t="shared" si="9"/>
        <v>2.375</v>
      </c>
      <c r="L87" s="87">
        <f t="shared" si="10"/>
        <v>2.2999999999999998</v>
      </c>
      <c r="M87" s="87">
        <f t="shared" si="11"/>
        <v>0.32000000000000006</v>
      </c>
      <c r="N87" s="87">
        <f t="shared" si="12"/>
        <v>1.7749999999999999</v>
      </c>
      <c r="O87" s="87">
        <f t="shared" si="13"/>
        <v>6.9500000000000011</v>
      </c>
    </row>
    <row r="88" spans="1:15" x14ac:dyDescent="0.3">
      <c r="A88" t="s">
        <v>45</v>
      </c>
      <c r="B88" t="s">
        <v>789</v>
      </c>
      <c r="C88" s="16" t="s">
        <v>272</v>
      </c>
      <c r="D88" s="16">
        <v>3</v>
      </c>
      <c r="E88" t="s">
        <v>1526</v>
      </c>
      <c r="F88" t="s">
        <v>1546</v>
      </c>
      <c r="G88" t="s">
        <v>1567</v>
      </c>
      <c r="H88" t="s">
        <v>1574</v>
      </c>
      <c r="I88" s="87">
        <f t="shared" si="7"/>
        <v>0.06</v>
      </c>
      <c r="J88" s="87">
        <f t="shared" si="8"/>
        <v>0.12</v>
      </c>
      <c r="K88" s="87">
        <f t="shared" si="9"/>
        <v>2.375</v>
      </c>
      <c r="L88" s="87">
        <f t="shared" si="10"/>
        <v>2.2999999999999998</v>
      </c>
      <c r="M88" s="87">
        <f t="shared" si="11"/>
        <v>0.32000000000000006</v>
      </c>
      <c r="N88" s="87">
        <f t="shared" si="12"/>
        <v>2.375</v>
      </c>
      <c r="O88" s="87">
        <f t="shared" si="13"/>
        <v>7.5500000000000007</v>
      </c>
    </row>
    <row r="89" spans="1:15" x14ac:dyDescent="0.3">
      <c r="A89" t="s">
        <v>45</v>
      </c>
      <c r="B89" t="s">
        <v>790</v>
      </c>
      <c r="C89" s="16" t="s">
        <v>272</v>
      </c>
      <c r="D89" s="16">
        <v>3</v>
      </c>
      <c r="E89" t="s">
        <v>1526</v>
      </c>
      <c r="F89" t="s">
        <v>1546</v>
      </c>
      <c r="G89" t="s">
        <v>1567</v>
      </c>
      <c r="H89" t="s">
        <v>345</v>
      </c>
      <c r="I89" s="87">
        <f t="shared" si="7"/>
        <v>0.06</v>
      </c>
      <c r="J89" s="87">
        <f t="shared" si="8"/>
        <v>0.12</v>
      </c>
      <c r="K89" s="87">
        <f t="shared" si="9"/>
        <v>2.375</v>
      </c>
      <c r="L89" s="87">
        <f t="shared" si="10"/>
        <v>2.2999999999999998</v>
      </c>
      <c r="M89" s="87">
        <f t="shared" si="11"/>
        <v>0.32000000000000006</v>
      </c>
      <c r="N89" s="87">
        <f t="shared" si="12"/>
        <v>1.7749999999999999</v>
      </c>
      <c r="O89" s="87">
        <f t="shared" si="13"/>
        <v>6.9500000000000011</v>
      </c>
    </row>
    <row r="90" spans="1:15" x14ac:dyDescent="0.3">
      <c r="A90" t="s">
        <v>45</v>
      </c>
      <c r="B90" t="s">
        <v>791</v>
      </c>
      <c r="C90" s="16" t="s">
        <v>272</v>
      </c>
      <c r="D90" s="16">
        <v>3</v>
      </c>
      <c r="E90" t="s">
        <v>1526</v>
      </c>
      <c r="F90" t="s">
        <v>1546</v>
      </c>
      <c r="G90" t="s">
        <v>1567</v>
      </c>
      <c r="H90" t="s">
        <v>1658</v>
      </c>
      <c r="I90" s="87">
        <f t="shared" si="7"/>
        <v>0.06</v>
      </c>
      <c r="J90" s="87">
        <f t="shared" si="8"/>
        <v>0.12</v>
      </c>
      <c r="K90" s="87">
        <f t="shared" si="9"/>
        <v>2.375</v>
      </c>
      <c r="L90" s="87">
        <f t="shared" si="10"/>
        <v>2.2999999999999998</v>
      </c>
      <c r="M90" s="87">
        <f t="shared" si="11"/>
        <v>0.32000000000000006</v>
      </c>
      <c r="N90" s="87">
        <f t="shared" si="12"/>
        <v>2.5</v>
      </c>
      <c r="O90" s="87">
        <f t="shared" si="13"/>
        <v>7.6750000000000007</v>
      </c>
    </row>
    <row r="91" spans="1:15" x14ac:dyDescent="0.3">
      <c r="A91" t="s">
        <v>45</v>
      </c>
      <c r="B91" t="s">
        <v>792</v>
      </c>
      <c r="C91" s="16" t="s">
        <v>272</v>
      </c>
      <c r="D91" s="16">
        <v>3</v>
      </c>
      <c r="E91" t="s">
        <v>1526</v>
      </c>
      <c r="F91" t="s">
        <v>1546</v>
      </c>
      <c r="G91" t="s">
        <v>1567</v>
      </c>
      <c r="H91" t="s">
        <v>345</v>
      </c>
      <c r="I91" s="87">
        <f t="shared" si="7"/>
        <v>0.06</v>
      </c>
      <c r="J91" s="87">
        <f t="shared" si="8"/>
        <v>0.12</v>
      </c>
      <c r="K91" s="87">
        <f t="shared" si="9"/>
        <v>2.375</v>
      </c>
      <c r="L91" s="87">
        <f t="shared" si="10"/>
        <v>2.2999999999999998</v>
      </c>
      <c r="M91" s="87">
        <f t="shared" si="11"/>
        <v>0.32000000000000006</v>
      </c>
      <c r="N91" s="87">
        <f t="shared" si="12"/>
        <v>1.7749999999999999</v>
      </c>
      <c r="O91" s="87">
        <f t="shared" si="13"/>
        <v>6.9500000000000011</v>
      </c>
    </row>
    <row r="92" spans="1:15" x14ac:dyDescent="0.3">
      <c r="A92" t="s">
        <v>45</v>
      </c>
      <c r="B92" t="s">
        <v>793</v>
      </c>
      <c r="C92" s="16" t="s">
        <v>272</v>
      </c>
      <c r="D92" s="16">
        <v>3</v>
      </c>
      <c r="E92" t="s">
        <v>1526</v>
      </c>
      <c r="F92" t="s">
        <v>1546</v>
      </c>
      <c r="G92" t="s">
        <v>1567</v>
      </c>
      <c r="H92" t="s">
        <v>345</v>
      </c>
      <c r="I92" s="87">
        <f t="shared" si="7"/>
        <v>0.06</v>
      </c>
      <c r="J92" s="87">
        <f t="shared" si="8"/>
        <v>0.12</v>
      </c>
      <c r="K92" s="87">
        <f t="shared" si="9"/>
        <v>2.375</v>
      </c>
      <c r="L92" s="87">
        <f t="shared" si="10"/>
        <v>2.2999999999999998</v>
      </c>
      <c r="M92" s="87">
        <f t="shared" si="11"/>
        <v>0.32000000000000006</v>
      </c>
      <c r="N92" s="87">
        <f t="shared" si="12"/>
        <v>1.7749999999999999</v>
      </c>
      <c r="O92" s="87">
        <f t="shared" si="13"/>
        <v>6.9500000000000011</v>
      </c>
    </row>
    <row r="93" spans="1:15" x14ac:dyDescent="0.3">
      <c r="A93" t="s">
        <v>45</v>
      </c>
      <c r="B93" t="s">
        <v>794</v>
      </c>
      <c r="C93" s="16" t="s">
        <v>272</v>
      </c>
      <c r="D93" s="16">
        <v>3</v>
      </c>
      <c r="E93" t="s">
        <v>1526</v>
      </c>
      <c r="F93" t="s">
        <v>1546</v>
      </c>
      <c r="G93" t="s">
        <v>1567</v>
      </c>
      <c r="H93" t="s">
        <v>345</v>
      </c>
      <c r="I93" s="87">
        <f t="shared" si="7"/>
        <v>0.06</v>
      </c>
      <c r="J93" s="87">
        <f t="shared" si="8"/>
        <v>0.12</v>
      </c>
      <c r="K93" s="87">
        <f t="shared" si="9"/>
        <v>2.375</v>
      </c>
      <c r="L93" s="87">
        <f t="shared" si="10"/>
        <v>2.2999999999999998</v>
      </c>
      <c r="M93" s="87">
        <f t="shared" si="11"/>
        <v>0.32000000000000006</v>
      </c>
      <c r="N93" s="87">
        <f t="shared" si="12"/>
        <v>1.7749999999999999</v>
      </c>
      <c r="O93" s="87">
        <f t="shared" si="13"/>
        <v>6.9500000000000011</v>
      </c>
    </row>
    <row r="94" spans="1:15" x14ac:dyDescent="0.3">
      <c r="A94" t="s">
        <v>45</v>
      </c>
      <c r="B94" t="s">
        <v>795</v>
      </c>
      <c r="C94" s="16" t="s">
        <v>272</v>
      </c>
      <c r="D94" s="16">
        <v>3</v>
      </c>
      <c r="E94" t="s">
        <v>1526</v>
      </c>
      <c r="F94" t="s">
        <v>1546</v>
      </c>
      <c r="G94" t="s">
        <v>1567</v>
      </c>
      <c r="H94" t="s">
        <v>345</v>
      </c>
      <c r="I94" s="87">
        <f t="shared" si="7"/>
        <v>0.06</v>
      </c>
      <c r="J94" s="87">
        <f t="shared" si="8"/>
        <v>0.12</v>
      </c>
      <c r="K94" s="87">
        <f t="shared" si="9"/>
        <v>2.375</v>
      </c>
      <c r="L94" s="87">
        <f t="shared" si="10"/>
        <v>2.2999999999999998</v>
      </c>
      <c r="M94" s="87">
        <f t="shared" si="11"/>
        <v>0.32000000000000006</v>
      </c>
      <c r="N94" s="87">
        <f t="shared" si="12"/>
        <v>1.7749999999999999</v>
      </c>
      <c r="O94" s="87">
        <f t="shared" si="13"/>
        <v>6.9500000000000011</v>
      </c>
    </row>
    <row r="95" spans="1:15" x14ac:dyDescent="0.3">
      <c r="A95" t="s">
        <v>45</v>
      </c>
      <c r="B95" t="s">
        <v>796</v>
      </c>
      <c r="C95" s="16" t="s">
        <v>272</v>
      </c>
      <c r="D95" s="16">
        <v>3</v>
      </c>
      <c r="E95" t="s">
        <v>1526</v>
      </c>
      <c r="F95" t="s">
        <v>1546</v>
      </c>
      <c r="G95" t="s">
        <v>1567</v>
      </c>
      <c r="H95" t="s">
        <v>345</v>
      </c>
      <c r="I95" s="87">
        <f t="shared" si="7"/>
        <v>0.06</v>
      </c>
      <c r="J95" s="87">
        <f t="shared" si="8"/>
        <v>0.12</v>
      </c>
      <c r="K95" s="87">
        <f t="shared" si="9"/>
        <v>2.375</v>
      </c>
      <c r="L95" s="87">
        <f t="shared" si="10"/>
        <v>2.2999999999999998</v>
      </c>
      <c r="M95" s="87">
        <f t="shared" si="11"/>
        <v>0.32000000000000006</v>
      </c>
      <c r="N95" s="87">
        <f t="shared" si="12"/>
        <v>1.7749999999999999</v>
      </c>
      <c r="O95" s="87">
        <f t="shared" si="13"/>
        <v>6.9500000000000011</v>
      </c>
    </row>
    <row r="96" spans="1:15" x14ac:dyDescent="0.3">
      <c r="A96" t="s">
        <v>45</v>
      </c>
      <c r="B96" t="s">
        <v>797</v>
      </c>
      <c r="C96" s="16" t="s">
        <v>272</v>
      </c>
      <c r="D96" s="16">
        <v>3</v>
      </c>
      <c r="E96" t="s">
        <v>1526</v>
      </c>
      <c r="F96" t="s">
        <v>1546</v>
      </c>
      <c r="G96" t="s">
        <v>1567</v>
      </c>
      <c r="H96" t="s">
        <v>345</v>
      </c>
      <c r="I96" s="87">
        <f t="shared" si="7"/>
        <v>0.06</v>
      </c>
      <c r="J96" s="87">
        <f t="shared" si="8"/>
        <v>0.12</v>
      </c>
      <c r="K96" s="87">
        <f t="shared" si="9"/>
        <v>2.375</v>
      </c>
      <c r="L96" s="87">
        <f t="shared" si="10"/>
        <v>2.2999999999999998</v>
      </c>
      <c r="M96" s="87">
        <f t="shared" si="11"/>
        <v>0.32000000000000006</v>
      </c>
      <c r="N96" s="87">
        <f t="shared" si="12"/>
        <v>1.7749999999999999</v>
      </c>
      <c r="O96" s="87">
        <f t="shared" si="13"/>
        <v>6.9500000000000011</v>
      </c>
    </row>
    <row r="97" spans="1:15" x14ac:dyDescent="0.3">
      <c r="A97" t="s">
        <v>45</v>
      </c>
      <c r="B97" t="s">
        <v>798</v>
      </c>
      <c r="C97" s="16" t="s">
        <v>272</v>
      </c>
      <c r="D97" s="16">
        <v>3</v>
      </c>
      <c r="E97" t="s">
        <v>1526</v>
      </c>
      <c r="F97" t="s">
        <v>1658</v>
      </c>
      <c r="G97" t="s">
        <v>1567</v>
      </c>
      <c r="H97" t="s">
        <v>345</v>
      </c>
      <c r="I97" s="87">
        <f t="shared" si="7"/>
        <v>0.06</v>
      </c>
      <c r="J97" s="87">
        <f t="shared" si="8"/>
        <v>0.12</v>
      </c>
      <c r="K97" s="87">
        <f t="shared" si="9"/>
        <v>2.375</v>
      </c>
      <c r="L97" s="87">
        <f t="shared" si="10"/>
        <v>2.5</v>
      </c>
      <c r="M97" s="87">
        <f t="shared" si="11"/>
        <v>0.32000000000000006</v>
      </c>
      <c r="N97" s="87">
        <f t="shared" si="12"/>
        <v>1.7749999999999999</v>
      </c>
      <c r="O97" s="87">
        <f t="shared" si="13"/>
        <v>7.15</v>
      </c>
    </row>
    <row r="98" spans="1:15" x14ac:dyDescent="0.3">
      <c r="A98" t="s">
        <v>45</v>
      </c>
      <c r="B98" t="s">
        <v>799</v>
      </c>
      <c r="C98" s="16" t="s">
        <v>272</v>
      </c>
      <c r="D98" s="16">
        <v>3</v>
      </c>
      <c r="E98" t="s">
        <v>1526</v>
      </c>
      <c r="F98" t="s">
        <v>1546</v>
      </c>
      <c r="G98" t="s">
        <v>1567</v>
      </c>
      <c r="H98" t="s">
        <v>345</v>
      </c>
      <c r="I98" s="87">
        <f t="shared" si="7"/>
        <v>0.06</v>
      </c>
      <c r="J98" s="87">
        <f t="shared" si="8"/>
        <v>0.12</v>
      </c>
      <c r="K98" s="87">
        <f t="shared" si="9"/>
        <v>2.375</v>
      </c>
      <c r="L98" s="87">
        <f t="shared" si="10"/>
        <v>2.2999999999999998</v>
      </c>
      <c r="M98" s="87">
        <f t="shared" si="11"/>
        <v>0.32000000000000006</v>
      </c>
      <c r="N98" s="87">
        <f t="shared" si="12"/>
        <v>1.7749999999999999</v>
      </c>
      <c r="O98" s="87">
        <f t="shared" si="13"/>
        <v>6.9500000000000011</v>
      </c>
    </row>
    <row r="99" spans="1:15" x14ac:dyDescent="0.3">
      <c r="A99" t="s">
        <v>45</v>
      </c>
      <c r="B99" t="s">
        <v>800</v>
      </c>
      <c r="C99" s="16" t="s">
        <v>272</v>
      </c>
      <c r="D99" s="16">
        <v>3</v>
      </c>
      <c r="E99" t="s">
        <v>1526</v>
      </c>
      <c r="F99" t="s">
        <v>1546</v>
      </c>
      <c r="G99" t="s">
        <v>1567</v>
      </c>
      <c r="H99" t="s">
        <v>345</v>
      </c>
      <c r="I99" s="87">
        <f t="shared" si="7"/>
        <v>0.06</v>
      </c>
      <c r="J99" s="87">
        <f t="shared" si="8"/>
        <v>0.12</v>
      </c>
      <c r="K99" s="87">
        <f t="shared" si="9"/>
        <v>2.375</v>
      </c>
      <c r="L99" s="87">
        <f t="shared" si="10"/>
        <v>2.2999999999999998</v>
      </c>
      <c r="M99" s="87">
        <f t="shared" si="11"/>
        <v>0.32000000000000006</v>
      </c>
      <c r="N99" s="87">
        <f t="shared" si="12"/>
        <v>1.7749999999999999</v>
      </c>
      <c r="O99" s="87">
        <f t="shared" si="13"/>
        <v>6.9500000000000011</v>
      </c>
    </row>
    <row r="100" spans="1:15" x14ac:dyDescent="0.3">
      <c r="A100" t="s">
        <v>45</v>
      </c>
      <c r="B100" t="s">
        <v>801</v>
      </c>
      <c r="C100" s="16" t="s">
        <v>272</v>
      </c>
      <c r="D100" s="16">
        <v>3</v>
      </c>
      <c r="E100" t="s">
        <v>1526</v>
      </c>
      <c r="F100" t="s">
        <v>1546</v>
      </c>
      <c r="G100" t="s">
        <v>1567</v>
      </c>
      <c r="H100" t="s">
        <v>345</v>
      </c>
      <c r="I100" s="87">
        <f t="shared" si="7"/>
        <v>0.06</v>
      </c>
      <c r="J100" s="87">
        <f t="shared" si="8"/>
        <v>0.12</v>
      </c>
      <c r="K100" s="87">
        <f t="shared" si="9"/>
        <v>2.375</v>
      </c>
      <c r="L100" s="87">
        <f t="shared" si="10"/>
        <v>2.2999999999999998</v>
      </c>
      <c r="M100" s="87">
        <f t="shared" si="11"/>
        <v>0.32000000000000006</v>
      </c>
      <c r="N100" s="87">
        <f t="shared" si="12"/>
        <v>1.7749999999999999</v>
      </c>
      <c r="O100" s="87">
        <f t="shared" si="13"/>
        <v>6.9500000000000011</v>
      </c>
    </row>
    <row r="101" spans="1:15" x14ac:dyDescent="0.3">
      <c r="A101" t="s">
        <v>45</v>
      </c>
      <c r="B101" t="s">
        <v>802</v>
      </c>
      <c r="C101" s="16" t="s">
        <v>273</v>
      </c>
      <c r="D101" s="16">
        <v>2</v>
      </c>
      <c r="E101" t="s">
        <v>1525</v>
      </c>
      <c r="F101" t="s">
        <v>273</v>
      </c>
      <c r="G101" t="s">
        <v>1567</v>
      </c>
      <c r="H101" t="s">
        <v>344</v>
      </c>
      <c r="I101" s="87">
        <f t="shared" si="7"/>
        <v>0.94000000000000006</v>
      </c>
      <c r="J101" s="87">
        <f t="shared" si="8"/>
        <v>0.89000000000000012</v>
      </c>
      <c r="K101" s="87">
        <f t="shared" si="9"/>
        <v>2.0750000000000002</v>
      </c>
      <c r="L101" s="87">
        <f t="shared" si="10"/>
        <v>2.4249999999999998</v>
      </c>
      <c r="M101" s="87">
        <f t="shared" si="11"/>
        <v>0.32000000000000006</v>
      </c>
      <c r="N101" s="87">
        <f t="shared" si="12"/>
        <v>1.825</v>
      </c>
      <c r="O101" s="87">
        <f t="shared" si="13"/>
        <v>8.4749999999999996</v>
      </c>
    </row>
    <row r="102" spans="1:15" x14ac:dyDescent="0.3">
      <c r="A102" t="s">
        <v>45</v>
      </c>
      <c r="B102" t="s">
        <v>803</v>
      </c>
      <c r="C102" s="16" t="s">
        <v>273</v>
      </c>
      <c r="D102" s="16">
        <v>2</v>
      </c>
      <c r="E102" t="s">
        <v>1525</v>
      </c>
      <c r="F102" t="s">
        <v>273</v>
      </c>
      <c r="G102" t="s">
        <v>1567</v>
      </c>
      <c r="H102" t="s">
        <v>344</v>
      </c>
      <c r="I102" s="87">
        <f t="shared" si="7"/>
        <v>0.94000000000000006</v>
      </c>
      <c r="J102" s="87">
        <f t="shared" si="8"/>
        <v>0.89000000000000012</v>
      </c>
      <c r="K102" s="87">
        <f t="shared" si="9"/>
        <v>2.0750000000000002</v>
      </c>
      <c r="L102" s="87">
        <f t="shared" si="10"/>
        <v>2.4249999999999998</v>
      </c>
      <c r="M102" s="87">
        <f t="shared" si="11"/>
        <v>0.32000000000000006</v>
      </c>
      <c r="N102" s="87">
        <f t="shared" si="12"/>
        <v>1.825</v>
      </c>
      <c r="O102" s="87">
        <f t="shared" si="13"/>
        <v>8.4749999999999996</v>
      </c>
    </row>
    <row r="103" spans="1:15" x14ac:dyDescent="0.3">
      <c r="A103" t="s">
        <v>45</v>
      </c>
      <c r="B103" t="s">
        <v>804</v>
      </c>
      <c r="C103" s="16" t="s">
        <v>272</v>
      </c>
      <c r="D103" s="16">
        <v>3</v>
      </c>
      <c r="E103" t="s">
        <v>1524</v>
      </c>
      <c r="F103" t="s">
        <v>282</v>
      </c>
      <c r="G103" t="s">
        <v>1567</v>
      </c>
      <c r="H103" t="s">
        <v>344</v>
      </c>
      <c r="I103" s="87">
        <f t="shared" si="7"/>
        <v>0.06</v>
      </c>
      <c r="J103" s="87">
        <f t="shared" si="8"/>
        <v>0.12</v>
      </c>
      <c r="K103" s="87">
        <f t="shared" si="9"/>
        <v>0.67500000000000004</v>
      </c>
      <c r="L103" s="87">
        <f t="shared" si="10"/>
        <v>1.925</v>
      </c>
      <c r="M103" s="87">
        <f t="shared" si="11"/>
        <v>0.32000000000000006</v>
      </c>
      <c r="N103" s="87">
        <f t="shared" si="12"/>
        <v>1.825</v>
      </c>
      <c r="O103" s="87">
        <f t="shared" si="13"/>
        <v>4.9250000000000007</v>
      </c>
    </row>
    <row r="104" spans="1:15" x14ac:dyDescent="0.3">
      <c r="A104" t="s">
        <v>45</v>
      </c>
      <c r="B104" t="s">
        <v>805</v>
      </c>
      <c r="C104" s="16" t="s">
        <v>272</v>
      </c>
      <c r="D104" s="16">
        <v>2</v>
      </c>
      <c r="E104" t="s">
        <v>1524</v>
      </c>
      <c r="F104" t="s">
        <v>282</v>
      </c>
      <c r="G104" t="s">
        <v>341</v>
      </c>
      <c r="H104" t="s">
        <v>344</v>
      </c>
      <c r="I104" s="87">
        <f t="shared" si="7"/>
        <v>0.06</v>
      </c>
      <c r="J104" s="87">
        <f t="shared" si="8"/>
        <v>0.89000000000000012</v>
      </c>
      <c r="K104" s="87">
        <f t="shared" si="9"/>
        <v>0.67500000000000004</v>
      </c>
      <c r="L104" s="87">
        <f t="shared" si="10"/>
        <v>1.925</v>
      </c>
      <c r="M104" s="87">
        <f t="shared" si="11"/>
        <v>0.48</v>
      </c>
      <c r="N104" s="87">
        <f t="shared" si="12"/>
        <v>1.825</v>
      </c>
      <c r="O104" s="87">
        <f t="shared" si="13"/>
        <v>5.8550000000000004</v>
      </c>
    </row>
    <row r="105" spans="1:15" x14ac:dyDescent="0.3">
      <c r="A105" t="s">
        <v>45</v>
      </c>
      <c r="B105" t="s">
        <v>806</v>
      </c>
      <c r="C105" s="16" t="s">
        <v>272</v>
      </c>
      <c r="D105" s="16">
        <v>2</v>
      </c>
      <c r="E105" t="s">
        <v>1524</v>
      </c>
      <c r="F105" t="s">
        <v>282</v>
      </c>
      <c r="G105" t="s">
        <v>341</v>
      </c>
      <c r="H105" t="s">
        <v>344</v>
      </c>
      <c r="I105" s="87">
        <f t="shared" si="7"/>
        <v>0.06</v>
      </c>
      <c r="J105" s="87">
        <f t="shared" si="8"/>
        <v>0.89000000000000012</v>
      </c>
      <c r="K105" s="87">
        <f t="shared" si="9"/>
        <v>0.67500000000000004</v>
      </c>
      <c r="L105" s="87">
        <f t="shared" si="10"/>
        <v>1.925</v>
      </c>
      <c r="M105" s="87">
        <f t="shared" si="11"/>
        <v>0.48</v>
      </c>
      <c r="N105" s="87">
        <f t="shared" si="12"/>
        <v>1.825</v>
      </c>
      <c r="O105" s="87">
        <f t="shared" si="13"/>
        <v>5.8550000000000004</v>
      </c>
    </row>
    <row r="106" spans="1:15" x14ac:dyDescent="0.3">
      <c r="A106" t="s">
        <v>45</v>
      </c>
      <c r="B106" t="s">
        <v>807</v>
      </c>
      <c r="C106" s="16" t="s">
        <v>272</v>
      </c>
      <c r="D106" s="16">
        <v>2</v>
      </c>
      <c r="E106" t="s">
        <v>1524</v>
      </c>
      <c r="F106" t="s">
        <v>282</v>
      </c>
      <c r="G106" t="s">
        <v>341</v>
      </c>
      <c r="H106" t="s">
        <v>344</v>
      </c>
      <c r="I106" s="87">
        <f t="shared" si="7"/>
        <v>0.06</v>
      </c>
      <c r="J106" s="87">
        <f t="shared" si="8"/>
        <v>0.89000000000000012</v>
      </c>
      <c r="K106" s="87">
        <f t="shared" si="9"/>
        <v>0.67500000000000004</v>
      </c>
      <c r="L106" s="87">
        <f t="shared" si="10"/>
        <v>1.925</v>
      </c>
      <c r="M106" s="87">
        <f t="shared" si="11"/>
        <v>0.48</v>
      </c>
      <c r="N106" s="87">
        <f t="shared" si="12"/>
        <v>1.825</v>
      </c>
      <c r="O106" s="87">
        <f t="shared" si="13"/>
        <v>5.8550000000000004</v>
      </c>
    </row>
    <row r="107" spans="1:15" x14ac:dyDescent="0.3">
      <c r="A107" t="s">
        <v>45</v>
      </c>
      <c r="B107" t="s">
        <v>808</v>
      </c>
      <c r="C107" s="16" t="s">
        <v>273</v>
      </c>
      <c r="D107" s="16">
        <v>2</v>
      </c>
      <c r="E107" t="s">
        <v>1525</v>
      </c>
      <c r="F107" t="s">
        <v>273</v>
      </c>
      <c r="G107" t="s">
        <v>1567</v>
      </c>
      <c r="H107" t="s">
        <v>344</v>
      </c>
      <c r="I107" s="87">
        <f t="shared" si="7"/>
        <v>0.94000000000000006</v>
      </c>
      <c r="J107" s="87">
        <f t="shared" si="8"/>
        <v>0.89000000000000012</v>
      </c>
      <c r="K107" s="87">
        <f t="shared" si="9"/>
        <v>2.0750000000000002</v>
      </c>
      <c r="L107" s="87">
        <f t="shared" si="10"/>
        <v>2.4249999999999998</v>
      </c>
      <c r="M107" s="87">
        <f t="shared" si="11"/>
        <v>0.32000000000000006</v>
      </c>
      <c r="N107" s="87">
        <f t="shared" si="12"/>
        <v>1.825</v>
      </c>
      <c r="O107" s="87">
        <f t="shared" si="13"/>
        <v>8.4749999999999996</v>
      </c>
    </row>
    <row r="108" spans="1:15" x14ac:dyDescent="0.3">
      <c r="A108" t="s">
        <v>45</v>
      </c>
      <c r="B108" t="s">
        <v>809</v>
      </c>
      <c r="C108" s="16" t="s">
        <v>273</v>
      </c>
      <c r="D108" s="16">
        <v>2</v>
      </c>
      <c r="E108" t="s">
        <v>1525</v>
      </c>
      <c r="F108" t="s">
        <v>273</v>
      </c>
      <c r="G108" t="s">
        <v>1567</v>
      </c>
      <c r="H108" t="s">
        <v>344</v>
      </c>
      <c r="I108" s="87">
        <f t="shared" si="7"/>
        <v>0.94000000000000006</v>
      </c>
      <c r="J108" s="87">
        <f t="shared" si="8"/>
        <v>0.89000000000000012</v>
      </c>
      <c r="K108" s="87">
        <f t="shared" si="9"/>
        <v>2.0750000000000002</v>
      </c>
      <c r="L108" s="87">
        <f t="shared" si="10"/>
        <v>2.4249999999999998</v>
      </c>
      <c r="M108" s="87">
        <f t="shared" si="11"/>
        <v>0.32000000000000006</v>
      </c>
      <c r="N108" s="87">
        <f t="shared" si="12"/>
        <v>1.825</v>
      </c>
      <c r="O108" s="87">
        <f t="shared" si="13"/>
        <v>8.4749999999999996</v>
      </c>
    </row>
    <row r="109" spans="1:15" x14ac:dyDescent="0.3">
      <c r="A109" t="s">
        <v>45</v>
      </c>
      <c r="B109" t="s">
        <v>810</v>
      </c>
      <c r="C109" s="16" t="s">
        <v>272</v>
      </c>
      <c r="D109" s="16">
        <v>3</v>
      </c>
      <c r="E109" t="s">
        <v>1524</v>
      </c>
      <c r="F109" t="s">
        <v>282</v>
      </c>
      <c r="G109" t="s">
        <v>1568</v>
      </c>
      <c r="H109" t="s">
        <v>291</v>
      </c>
      <c r="I109" s="87">
        <f t="shared" si="7"/>
        <v>0.06</v>
      </c>
      <c r="J109" s="87">
        <f t="shared" si="8"/>
        <v>0.12</v>
      </c>
      <c r="K109" s="87">
        <f t="shared" si="9"/>
        <v>0.67500000000000004</v>
      </c>
      <c r="L109" s="87">
        <f t="shared" si="10"/>
        <v>1.925</v>
      </c>
      <c r="M109" s="87">
        <f t="shared" si="11"/>
        <v>0.44500000000000006</v>
      </c>
      <c r="N109" s="87">
        <f t="shared" si="12"/>
        <v>2.125</v>
      </c>
      <c r="O109" s="87">
        <f t="shared" si="13"/>
        <v>5.3500000000000005</v>
      </c>
    </row>
    <row r="110" spans="1:15" x14ac:dyDescent="0.3">
      <c r="A110" t="s">
        <v>45</v>
      </c>
      <c r="B110" t="s">
        <v>811</v>
      </c>
      <c r="C110" s="16" t="s">
        <v>272</v>
      </c>
      <c r="D110" s="16">
        <v>3</v>
      </c>
      <c r="E110" t="s">
        <v>1524</v>
      </c>
      <c r="F110" t="s">
        <v>282</v>
      </c>
      <c r="G110" t="s">
        <v>1567</v>
      </c>
      <c r="H110" t="s">
        <v>345</v>
      </c>
      <c r="I110" s="87">
        <f t="shared" si="7"/>
        <v>0.06</v>
      </c>
      <c r="J110" s="87">
        <f t="shared" si="8"/>
        <v>0.12</v>
      </c>
      <c r="K110" s="87">
        <f t="shared" si="9"/>
        <v>0.67500000000000004</v>
      </c>
      <c r="L110" s="87">
        <f t="shared" si="10"/>
        <v>1.925</v>
      </c>
      <c r="M110" s="87">
        <f t="shared" si="11"/>
        <v>0.32000000000000006</v>
      </c>
      <c r="N110" s="87">
        <f t="shared" si="12"/>
        <v>1.7749999999999999</v>
      </c>
      <c r="O110" s="87">
        <f t="shared" si="13"/>
        <v>4.875</v>
      </c>
    </row>
    <row r="111" spans="1:15" x14ac:dyDescent="0.3">
      <c r="A111" t="s">
        <v>45</v>
      </c>
      <c r="B111" t="s">
        <v>812</v>
      </c>
      <c r="C111" s="16" t="s">
        <v>272</v>
      </c>
      <c r="D111" s="16">
        <v>2</v>
      </c>
      <c r="E111" t="s">
        <v>1524</v>
      </c>
      <c r="F111" t="s">
        <v>282</v>
      </c>
      <c r="G111" t="s">
        <v>341</v>
      </c>
      <c r="H111" t="s">
        <v>345</v>
      </c>
      <c r="I111" s="87">
        <f t="shared" si="7"/>
        <v>0.06</v>
      </c>
      <c r="J111" s="87">
        <f t="shared" si="8"/>
        <v>0.89000000000000012</v>
      </c>
      <c r="K111" s="87">
        <f t="shared" si="9"/>
        <v>0.67500000000000004</v>
      </c>
      <c r="L111" s="87">
        <f t="shared" si="10"/>
        <v>1.925</v>
      </c>
      <c r="M111" s="87">
        <f t="shared" si="11"/>
        <v>0.48</v>
      </c>
      <c r="N111" s="87">
        <f t="shared" si="12"/>
        <v>1.7749999999999999</v>
      </c>
      <c r="O111" s="87">
        <f t="shared" si="13"/>
        <v>5.8049999999999997</v>
      </c>
    </row>
    <row r="112" spans="1:15" x14ac:dyDescent="0.3">
      <c r="A112" t="s">
        <v>45</v>
      </c>
      <c r="B112" t="s">
        <v>813</v>
      </c>
      <c r="C112" s="16" t="s">
        <v>272</v>
      </c>
      <c r="D112" s="16">
        <v>2</v>
      </c>
      <c r="E112" t="s">
        <v>1525</v>
      </c>
      <c r="F112" t="s">
        <v>273</v>
      </c>
      <c r="G112" t="s">
        <v>1567</v>
      </c>
      <c r="H112" t="s">
        <v>344</v>
      </c>
      <c r="I112" s="87">
        <f t="shared" si="7"/>
        <v>0.06</v>
      </c>
      <c r="J112" s="87">
        <f t="shared" si="8"/>
        <v>0.89000000000000012</v>
      </c>
      <c r="K112" s="87">
        <f t="shared" si="9"/>
        <v>2.0750000000000002</v>
      </c>
      <c r="L112" s="87">
        <f t="shared" si="10"/>
        <v>2.4249999999999998</v>
      </c>
      <c r="M112" s="87">
        <f t="shared" si="11"/>
        <v>0.32000000000000006</v>
      </c>
      <c r="N112" s="87">
        <f t="shared" si="12"/>
        <v>1.825</v>
      </c>
      <c r="O112" s="87">
        <f t="shared" si="13"/>
        <v>7.5950000000000006</v>
      </c>
    </row>
    <row r="113" spans="1:15" x14ac:dyDescent="0.3">
      <c r="A113" t="s">
        <v>45</v>
      </c>
      <c r="B113" t="s">
        <v>814</v>
      </c>
      <c r="C113" s="16" t="s">
        <v>272</v>
      </c>
      <c r="D113" s="16">
        <v>3</v>
      </c>
      <c r="E113" t="s">
        <v>1524</v>
      </c>
      <c r="F113" t="s">
        <v>282</v>
      </c>
      <c r="G113" t="s">
        <v>1567</v>
      </c>
      <c r="H113" t="s">
        <v>345</v>
      </c>
      <c r="I113" s="87">
        <f t="shared" si="7"/>
        <v>0.06</v>
      </c>
      <c r="J113" s="87">
        <f t="shared" si="8"/>
        <v>0.12</v>
      </c>
      <c r="K113" s="87">
        <f t="shared" si="9"/>
        <v>0.67500000000000004</v>
      </c>
      <c r="L113" s="87">
        <f t="shared" si="10"/>
        <v>1.925</v>
      </c>
      <c r="M113" s="87">
        <f t="shared" si="11"/>
        <v>0.32000000000000006</v>
      </c>
      <c r="N113" s="87">
        <f t="shared" si="12"/>
        <v>1.7749999999999999</v>
      </c>
      <c r="O113" s="87">
        <f t="shared" si="13"/>
        <v>4.875</v>
      </c>
    </row>
    <row r="114" spans="1:15" x14ac:dyDescent="0.3">
      <c r="A114" t="s">
        <v>45</v>
      </c>
      <c r="B114" t="s">
        <v>815</v>
      </c>
      <c r="C114" s="16" t="s">
        <v>272</v>
      </c>
      <c r="D114" s="16">
        <v>3</v>
      </c>
      <c r="E114" t="s">
        <v>1524</v>
      </c>
      <c r="F114" t="s">
        <v>1658</v>
      </c>
      <c r="G114" t="s">
        <v>1567</v>
      </c>
      <c r="H114" t="s">
        <v>1570</v>
      </c>
      <c r="I114" s="87">
        <f t="shared" si="7"/>
        <v>0.06</v>
      </c>
      <c r="J114" s="87">
        <f t="shared" si="8"/>
        <v>0.12</v>
      </c>
      <c r="K114" s="87">
        <f t="shared" si="9"/>
        <v>0.67500000000000004</v>
      </c>
      <c r="L114" s="87">
        <f t="shared" si="10"/>
        <v>2.5</v>
      </c>
      <c r="M114" s="87">
        <f t="shared" si="11"/>
        <v>0.32000000000000006</v>
      </c>
      <c r="N114" s="87">
        <f t="shared" si="12"/>
        <v>2.35</v>
      </c>
      <c r="O114" s="87">
        <f t="shared" si="13"/>
        <v>6.0250000000000004</v>
      </c>
    </row>
    <row r="115" spans="1:15" x14ac:dyDescent="0.3">
      <c r="A115" t="s">
        <v>45</v>
      </c>
      <c r="B115" t="s">
        <v>816</v>
      </c>
      <c r="C115" s="16" t="s">
        <v>272</v>
      </c>
      <c r="D115" s="16">
        <v>3</v>
      </c>
      <c r="E115" t="s">
        <v>1524</v>
      </c>
      <c r="F115" t="s">
        <v>1658</v>
      </c>
      <c r="G115" t="s">
        <v>1567</v>
      </c>
      <c r="H115" t="s">
        <v>1570</v>
      </c>
      <c r="I115" s="87">
        <f t="shared" si="7"/>
        <v>0.06</v>
      </c>
      <c r="J115" s="87">
        <f t="shared" si="8"/>
        <v>0.12</v>
      </c>
      <c r="K115" s="87">
        <f t="shared" si="9"/>
        <v>0.67500000000000004</v>
      </c>
      <c r="L115" s="87">
        <f t="shared" si="10"/>
        <v>2.5</v>
      </c>
      <c r="M115" s="87">
        <f t="shared" si="11"/>
        <v>0.32000000000000006</v>
      </c>
      <c r="N115" s="87">
        <f t="shared" si="12"/>
        <v>2.35</v>
      </c>
      <c r="O115" s="87">
        <f t="shared" si="13"/>
        <v>6.0250000000000004</v>
      </c>
    </row>
    <row r="116" spans="1:15" x14ac:dyDescent="0.3">
      <c r="A116" t="s">
        <v>45</v>
      </c>
      <c r="B116" t="s">
        <v>817</v>
      </c>
      <c r="C116" s="16" t="s">
        <v>272</v>
      </c>
      <c r="D116" s="16">
        <v>2</v>
      </c>
      <c r="E116" t="s">
        <v>1524</v>
      </c>
      <c r="F116" t="s">
        <v>282</v>
      </c>
      <c r="G116" t="s">
        <v>341</v>
      </c>
      <c r="H116" t="s">
        <v>1658</v>
      </c>
      <c r="I116" s="87">
        <f t="shared" si="7"/>
        <v>0.06</v>
      </c>
      <c r="J116" s="87">
        <f t="shared" si="8"/>
        <v>0.89000000000000012</v>
      </c>
      <c r="K116" s="87">
        <f t="shared" si="9"/>
        <v>0.67500000000000004</v>
      </c>
      <c r="L116" s="87">
        <f t="shared" si="10"/>
        <v>1.925</v>
      </c>
      <c r="M116" s="87">
        <f t="shared" si="11"/>
        <v>0.48</v>
      </c>
      <c r="N116" s="87">
        <f t="shared" si="12"/>
        <v>2.5</v>
      </c>
      <c r="O116" s="87">
        <f t="shared" si="13"/>
        <v>6.53</v>
      </c>
    </row>
    <row r="117" spans="1:15" x14ac:dyDescent="0.3">
      <c r="A117" t="s">
        <v>45</v>
      </c>
      <c r="B117" t="s">
        <v>818</v>
      </c>
      <c r="C117" s="16" t="s">
        <v>272</v>
      </c>
      <c r="D117" s="16">
        <v>2</v>
      </c>
      <c r="E117" t="s">
        <v>1524</v>
      </c>
      <c r="F117" t="s">
        <v>282</v>
      </c>
      <c r="G117" t="s">
        <v>341</v>
      </c>
      <c r="H117" t="s">
        <v>1658</v>
      </c>
      <c r="I117" s="87">
        <f t="shared" si="7"/>
        <v>0.06</v>
      </c>
      <c r="J117" s="87">
        <f t="shared" si="8"/>
        <v>0.89000000000000012</v>
      </c>
      <c r="K117" s="87">
        <f t="shared" si="9"/>
        <v>0.67500000000000004</v>
      </c>
      <c r="L117" s="87">
        <f t="shared" si="10"/>
        <v>1.925</v>
      </c>
      <c r="M117" s="87">
        <f t="shared" si="11"/>
        <v>0.48</v>
      </c>
      <c r="N117" s="87">
        <f t="shared" si="12"/>
        <v>2.5</v>
      </c>
      <c r="O117" s="87">
        <f t="shared" si="13"/>
        <v>6.53</v>
      </c>
    </row>
    <row r="118" spans="1:15" x14ac:dyDescent="0.3">
      <c r="A118" t="s">
        <v>45</v>
      </c>
      <c r="B118" t="s">
        <v>819</v>
      </c>
      <c r="C118" s="16" t="s">
        <v>272</v>
      </c>
      <c r="D118" s="16">
        <v>3</v>
      </c>
      <c r="E118" t="s">
        <v>1524</v>
      </c>
      <c r="F118" t="s">
        <v>1658</v>
      </c>
      <c r="G118" t="s">
        <v>341</v>
      </c>
      <c r="H118" t="s">
        <v>344</v>
      </c>
      <c r="I118" s="87">
        <f t="shared" si="7"/>
        <v>0.06</v>
      </c>
      <c r="J118" s="87">
        <f t="shared" si="8"/>
        <v>0.12</v>
      </c>
      <c r="K118" s="87">
        <f t="shared" si="9"/>
        <v>0.67500000000000004</v>
      </c>
      <c r="L118" s="87">
        <f t="shared" si="10"/>
        <v>2.5</v>
      </c>
      <c r="M118" s="87">
        <f t="shared" si="11"/>
        <v>0.48</v>
      </c>
      <c r="N118" s="87">
        <f t="shared" si="12"/>
        <v>1.825</v>
      </c>
      <c r="O118" s="87">
        <f t="shared" si="13"/>
        <v>5.66</v>
      </c>
    </row>
    <row r="119" spans="1:15" x14ac:dyDescent="0.3">
      <c r="A119" t="s">
        <v>45</v>
      </c>
      <c r="B119" t="s">
        <v>820</v>
      </c>
      <c r="C119" s="16" t="s">
        <v>272</v>
      </c>
      <c r="D119" s="16">
        <v>3</v>
      </c>
      <c r="E119" t="s">
        <v>1526</v>
      </c>
      <c r="F119" t="s">
        <v>283</v>
      </c>
      <c r="G119" t="s">
        <v>1566</v>
      </c>
      <c r="H119" t="s">
        <v>1571</v>
      </c>
      <c r="I119" s="87">
        <f t="shared" si="7"/>
        <v>0.06</v>
      </c>
      <c r="J119" s="87">
        <f t="shared" si="8"/>
        <v>0.12</v>
      </c>
      <c r="K119" s="87">
        <f t="shared" si="9"/>
        <v>2.375</v>
      </c>
      <c r="L119" s="87">
        <f t="shared" si="10"/>
        <v>2.35</v>
      </c>
      <c r="M119" s="87">
        <f t="shared" si="11"/>
        <v>0.27</v>
      </c>
      <c r="N119" s="87">
        <f t="shared" si="12"/>
        <v>2.375</v>
      </c>
      <c r="O119" s="87">
        <f t="shared" si="13"/>
        <v>7.5500000000000007</v>
      </c>
    </row>
    <row r="120" spans="1:15" x14ac:dyDescent="0.3">
      <c r="A120" t="s">
        <v>45</v>
      </c>
      <c r="B120" t="s">
        <v>821</v>
      </c>
      <c r="C120" s="16" t="s">
        <v>272</v>
      </c>
      <c r="D120" s="16">
        <v>3</v>
      </c>
      <c r="E120" t="s">
        <v>1524</v>
      </c>
      <c r="F120" t="s">
        <v>1658</v>
      </c>
      <c r="G120" t="s">
        <v>1567</v>
      </c>
      <c r="H120" t="s">
        <v>1570</v>
      </c>
      <c r="I120" s="87">
        <f t="shared" si="7"/>
        <v>0.06</v>
      </c>
      <c r="J120" s="87">
        <f t="shared" si="8"/>
        <v>0.12</v>
      </c>
      <c r="K120" s="87">
        <f t="shared" si="9"/>
        <v>0.67500000000000004</v>
      </c>
      <c r="L120" s="87">
        <f t="shared" si="10"/>
        <v>2.5</v>
      </c>
      <c r="M120" s="87">
        <f t="shared" si="11"/>
        <v>0.32000000000000006</v>
      </c>
      <c r="N120" s="87">
        <f t="shared" si="12"/>
        <v>2.35</v>
      </c>
      <c r="O120" s="87">
        <f t="shared" si="13"/>
        <v>6.0250000000000004</v>
      </c>
    </row>
    <row r="121" spans="1:15" x14ac:dyDescent="0.3">
      <c r="A121" t="s">
        <v>45</v>
      </c>
      <c r="B121" t="s">
        <v>822</v>
      </c>
      <c r="C121" s="16" t="s">
        <v>272</v>
      </c>
      <c r="D121" s="16">
        <v>3</v>
      </c>
      <c r="E121" t="s">
        <v>1526</v>
      </c>
      <c r="F121" t="s">
        <v>283</v>
      </c>
      <c r="G121" t="s">
        <v>1566</v>
      </c>
      <c r="H121" t="s">
        <v>1571</v>
      </c>
      <c r="I121" s="87">
        <f t="shared" si="7"/>
        <v>0.06</v>
      </c>
      <c r="J121" s="87">
        <f t="shared" si="8"/>
        <v>0.12</v>
      </c>
      <c r="K121" s="87">
        <f t="shared" si="9"/>
        <v>2.375</v>
      </c>
      <c r="L121" s="87">
        <f t="shared" si="10"/>
        <v>2.35</v>
      </c>
      <c r="M121" s="87">
        <f t="shared" si="11"/>
        <v>0.27</v>
      </c>
      <c r="N121" s="87">
        <f t="shared" si="12"/>
        <v>2.375</v>
      </c>
      <c r="O121" s="87">
        <f t="shared" si="13"/>
        <v>7.5500000000000007</v>
      </c>
    </row>
    <row r="122" spans="1:15" x14ac:dyDescent="0.3">
      <c r="A122" t="s">
        <v>45</v>
      </c>
      <c r="B122" t="s">
        <v>823</v>
      </c>
      <c r="C122" s="16" t="s">
        <v>272</v>
      </c>
      <c r="D122" s="16">
        <v>3</v>
      </c>
      <c r="E122" t="s">
        <v>1524</v>
      </c>
      <c r="F122" t="s">
        <v>1658</v>
      </c>
      <c r="G122" t="s">
        <v>1567</v>
      </c>
      <c r="H122" t="s">
        <v>344</v>
      </c>
      <c r="I122" s="87">
        <f t="shared" si="7"/>
        <v>0.06</v>
      </c>
      <c r="J122" s="87">
        <f t="shared" si="8"/>
        <v>0.12</v>
      </c>
      <c r="K122" s="87">
        <f t="shared" si="9"/>
        <v>0.67500000000000004</v>
      </c>
      <c r="L122" s="87">
        <f t="shared" si="10"/>
        <v>2.5</v>
      </c>
      <c r="M122" s="87">
        <f t="shared" si="11"/>
        <v>0.32000000000000006</v>
      </c>
      <c r="N122" s="87">
        <f t="shared" si="12"/>
        <v>1.825</v>
      </c>
      <c r="O122" s="87">
        <f t="shared" si="13"/>
        <v>5.5</v>
      </c>
    </row>
    <row r="123" spans="1:15" x14ac:dyDescent="0.3">
      <c r="A123" t="s">
        <v>45</v>
      </c>
      <c r="B123" t="s">
        <v>824</v>
      </c>
      <c r="C123" s="16" t="s">
        <v>272</v>
      </c>
      <c r="D123" s="16">
        <v>2</v>
      </c>
      <c r="E123" t="s">
        <v>1524</v>
      </c>
      <c r="F123" t="s">
        <v>282</v>
      </c>
      <c r="G123" t="s">
        <v>341</v>
      </c>
      <c r="H123" t="s">
        <v>345</v>
      </c>
      <c r="I123" s="87">
        <f t="shared" si="7"/>
        <v>0.06</v>
      </c>
      <c r="J123" s="87">
        <f t="shared" si="8"/>
        <v>0.89000000000000012</v>
      </c>
      <c r="K123" s="87">
        <f t="shared" si="9"/>
        <v>0.67500000000000004</v>
      </c>
      <c r="L123" s="87">
        <f t="shared" si="10"/>
        <v>1.925</v>
      </c>
      <c r="M123" s="87">
        <f t="shared" si="11"/>
        <v>0.48</v>
      </c>
      <c r="N123" s="87">
        <f t="shared" si="12"/>
        <v>1.7749999999999999</v>
      </c>
      <c r="O123" s="87">
        <f t="shared" si="13"/>
        <v>5.8049999999999997</v>
      </c>
    </row>
    <row r="124" spans="1:15" x14ac:dyDescent="0.3">
      <c r="A124" t="s">
        <v>9</v>
      </c>
      <c r="B124" t="s">
        <v>825</v>
      </c>
      <c r="C124" s="16" t="s">
        <v>272</v>
      </c>
      <c r="D124" s="16">
        <v>3</v>
      </c>
      <c r="E124" t="s">
        <v>1524</v>
      </c>
      <c r="F124" t="s">
        <v>1658</v>
      </c>
      <c r="G124" t="s">
        <v>1567</v>
      </c>
      <c r="H124" t="s">
        <v>344</v>
      </c>
      <c r="I124" s="87">
        <f t="shared" si="7"/>
        <v>0.06</v>
      </c>
      <c r="J124" s="87">
        <f t="shared" si="8"/>
        <v>0.12</v>
      </c>
      <c r="K124" s="87">
        <f t="shared" si="9"/>
        <v>0.67500000000000004</v>
      </c>
      <c r="L124" s="87">
        <f t="shared" si="10"/>
        <v>2.5</v>
      </c>
      <c r="M124" s="87">
        <f t="shared" si="11"/>
        <v>0.32000000000000006</v>
      </c>
      <c r="N124" s="87">
        <f t="shared" si="12"/>
        <v>1.825</v>
      </c>
      <c r="O124" s="87">
        <f t="shared" si="13"/>
        <v>5.5</v>
      </c>
    </row>
    <row r="125" spans="1:15" x14ac:dyDescent="0.3">
      <c r="A125" t="s">
        <v>9</v>
      </c>
      <c r="B125" t="s">
        <v>826</v>
      </c>
      <c r="C125" s="16" t="s">
        <v>272</v>
      </c>
      <c r="D125" s="16">
        <v>3</v>
      </c>
      <c r="E125" t="s">
        <v>1524</v>
      </c>
      <c r="F125" t="s">
        <v>1658</v>
      </c>
      <c r="G125" t="s">
        <v>1567</v>
      </c>
      <c r="H125" t="s">
        <v>344</v>
      </c>
      <c r="I125" s="87">
        <f t="shared" si="7"/>
        <v>0.06</v>
      </c>
      <c r="J125" s="87">
        <f t="shared" si="8"/>
        <v>0.12</v>
      </c>
      <c r="K125" s="87">
        <f t="shared" si="9"/>
        <v>0.67500000000000004</v>
      </c>
      <c r="L125" s="87">
        <f t="shared" si="10"/>
        <v>2.5</v>
      </c>
      <c r="M125" s="87">
        <f t="shared" si="11"/>
        <v>0.32000000000000006</v>
      </c>
      <c r="N125" s="87">
        <f t="shared" si="12"/>
        <v>1.825</v>
      </c>
      <c r="O125" s="87">
        <f t="shared" si="13"/>
        <v>5.5</v>
      </c>
    </row>
    <row r="126" spans="1:15" x14ac:dyDescent="0.3">
      <c r="A126" t="s">
        <v>9</v>
      </c>
      <c r="B126" t="s">
        <v>827</v>
      </c>
      <c r="C126" s="16" t="s">
        <v>272</v>
      </c>
      <c r="D126" s="16">
        <v>3</v>
      </c>
      <c r="E126" t="s">
        <v>1524</v>
      </c>
      <c r="F126" t="s">
        <v>1658</v>
      </c>
      <c r="G126" t="s">
        <v>1567</v>
      </c>
      <c r="H126" t="s">
        <v>344</v>
      </c>
      <c r="I126" s="87">
        <f t="shared" si="7"/>
        <v>0.06</v>
      </c>
      <c r="J126" s="87">
        <f t="shared" si="8"/>
        <v>0.12</v>
      </c>
      <c r="K126" s="87">
        <f t="shared" si="9"/>
        <v>0.67500000000000004</v>
      </c>
      <c r="L126" s="87">
        <f t="shared" si="10"/>
        <v>2.5</v>
      </c>
      <c r="M126" s="87">
        <f t="shared" si="11"/>
        <v>0.32000000000000006</v>
      </c>
      <c r="N126" s="87">
        <f t="shared" si="12"/>
        <v>1.825</v>
      </c>
      <c r="O126" s="87">
        <f t="shared" si="13"/>
        <v>5.5</v>
      </c>
    </row>
    <row r="127" spans="1:15" x14ac:dyDescent="0.3">
      <c r="A127" t="s">
        <v>9</v>
      </c>
      <c r="B127" t="s">
        <v>828</v>
      </c>
      <c r="C127" s="16" t="s">
        <v>272</v>
      </c>
      <c r="D127" s="16">
        <v>3</v>
      </c>
      <c r="E127" t="s">
        <v>1524</v>
      </c>
      <c r="F127" t="s">
        <v>1658</v>
      </c>
      <c r="G127" t="s">
        <v>1567</v>
      </c>
      <c r="H127" t="s">
        <v>344</v>
      </c>
      <c r="I127" s="87">
        <f t="shared" si="7"/>
        <v>0.06</v>
      </c>
      <c r="J127" s="87">
        <f t="shared" si="8"/>
        <v>0.12</v>
      </c>
      <c r="K127" s="87">
        <f t="shared" si="9"/>
        <v>0.67500000000000004</v>
      </c>
      <c r="L127" s="87">
        <f t="shared" si="10"/>
        <v>2.5</v>
      </c>
      <c r="M127" s="87">
        <f t="shared" si="11"/>
        <v>0.32000000000000006</v>
      </c>
      <c r="N127" s="87">
        <f t="shared" si="12"/>
        <v>1.825</v>
      </c>
      <c r="O127" s="87">
        <f t="shared" si="13"/>
        <v>5.5</v>
      </c>
    </row>
    <row r="128" spans="1:15" x14ac:dyDescent="0.3">
      <c r="A128" t="s">
        <v>9</v>
      </c>
      <c r="B128" t="s">
        <v>829</v>
      </c>
      <c r="C128" s="16" t="s">
        <v>272</v>
      </c>
      <c r="D128" s="16">
        <v>3</v>
      </c>
      <c r="E128" t="s">
        <v>1524</v>
      </c>
      <c r="F128" t="s">
        <v>1658</v>
      </c>
      <c r="G128" t="s">
        <v>1567</v>
      </c>
      <c r="H128" t="s">
        <v>344</v>
      </c>
      <c r="I128" s="87">
        <f t="shared" si="7"/>
        <v>0.06</v>
      </c>
      <c r="J128" s="87">
        <f t="shared" si="8"/>
        <v>0.12</v>
      </c>
      <c r="K128" s="87">
        <f t="shared" si="9"/>
        <v>0.67500000000000004</v>
      </c>
      <c r="L128" s="87">
        <f t="shared" si="10"/>
        <v>2.5</v>
      </c>
      <c r="M128" s="87">
        <f t="shared" si="11"/>
        <v>0.32000000000000006</v>
      </c>
      <c r="N128" s="87">
        <f t="shared" si="12"/>
        <v>1.825</v>
      </c>
      <c r="O128" s="87">
        <f t="shared" si="13"/>
        <v>5.5</v>
      </c>
    </row>
    <row r="129" spans="1:15" x14ac:dyDescent="0.3">
      <c r="A129" t="s">
        <v>9</v>
      </c>
      <c r="B129" t="s">
        <v>830</v>
      </c>
      <c r="C129" s="16" t="s">
        <v>272</v>
      </c>
      <c r="D129" s="16">
        <v>3</v>
      </c>
      <c r="E129" t="s">
        <v>1524</v>
      </c>
      <c r="F129" t="s">
        <v>1658</v>
      </c>
      <c r="G129" t="s">
        <v>1567</v>
      </c>
      <c r="H129" t="s">
        <v>344</v>
      </c>
      <c r="I129" s="87">
        <f t="shared" si="7"/>
        <v>0.06</v>
      </c>
      <c r="J129" s="87">
        <f t="shared" si="8"/>
        <v>0.12</v>
      </c>
      <c r="K129" s="87">
        <f t="shared" si="9"/>
        <v>0.67500000000000004</v>
      </c>
      <c r="L129" s="87">
        <f t="shared" si="10"/>
        <v>2.5</v>
      </c>
      <c r="M129" s="87">
        <f t="shared" si="11"/>
        <v>0.32000000000000006</v>
      </c>
      <c r="N129" s="87">
        <f t="shared" si="12"/>
        <v>1.825</v>
      </c>
      <c r="O129" s="87">
        <f t="shared" si="13"/>
        <v>5.5</v>
      </c>
    </row>
    <row r="130" spans="1:15" x14ac:dyDescent="0.3">
      <c r="A130" t="s">
        <v>9</v>
      </c>
      <c r="B130" t="s">
        <v>831</v>
      </c>
      <c r="C130" s="16" t="s">
        <v>272</v>
      </c>
      <c r="D130" s="16">
        <v>3</v>
      </c>
      <c r="E130" t="s">
        <v>1524</v>
      </c>
      <c r="F130" t="s">
        <v>1658</v>
      </c>
      <c r="G130" t="s">
        <v>1567</v>
      </c>
      <c r="H130" t="s">
        <v>344</v>
      </c>
      <c r="I130" s="87">
        <f t="shared" si="7"/>
        <v>0.06</v>
      </c>
      <c r="J130" s="87">
        <f t="shared" si="8"/>
        <v>0.12</v>
      </c>
      <c r="K130" s="87">
        <f t="shared" si="9"/>
        <v>0.67500000000000004</v>
      </c>
      <c r="L130" s="87">
        <f t="shared" si="10"/>
        <v>2.5</v>
      </c>
      <c r="M130" s="87">
        <f t="shared" si="11"/>
        <v>0.32000000000000006</v>
      </c>
      <c r="N130" s="87">
        <f t="shared" si="12"/>
        <v>1.825</v>
      </c>
      <c r="O130" s="87">
        <f t="shared" si="13"/>
        <v>5.5</v>
      </c>
    </row>
    <row r="131" spans="1:15" x14ac:dyDescent="0.3">
      <c r="A131" t="s">
        <v>9</v>
      </c>
      <c r="B131" t="s">
        <v>832</v>
      </c>
      <c r="C131" s="16" t="s">
        <v>272</v>
      </c>
      <c r="D131" s="16">
        <v>3</v>
      </c>
      <c r="E131" t="s">
        <v>1524</v>
      </c>
      <c r="F131" t="s">
        <v>1658</v>
      </c>
      <c r="G131" t="s">
        <v>1567</v>
      </c>
      <c r="H131" t="s">
        <v>1571</v>
      </c>
      <c r="I131" s="87">
        <f t="shared" si="7"/>
        <v>0.06</v>
      </c>
      <c r="J131" s="87">
        <f t="shared" si="8"/>
        <v>0.12</v>
      </c>
      <c r="K131" s="87">
        <f t="shared" si="9"/>
        <v>0.67500000000000004</v>
      </c>
      <c r="L131" s="87">
        <f t="shared" si="10"/>
        <v>2.5</v>
      </c>
      <c r="M131" s="87">
        <f t="shared" si="11"/>
        <v>0.32000000000000006</v>
      </c>
      <c r="N131" s="87">
        <f t="shared" si="12"/>
        <v>2.375</v>
      </c>
      <c r="O131" s="87">
        <f t="shared" si="13"/>
        <v>6.05</v>
      </c>
    </row>
    <row r="132" spans="1:15" x14ac:dyDescent="0.3">
      <c r="A132" t="s">
        <v>9</v>
      </c>
      <c r="B132" t="s">
        <v>833</v>
      </c>
      <c r="C132" s="16" t="s">
        <v>272</v>
      </c>
      <c r="D132" s="16">
        <v>3</v>
      </c>
      <c r="E132" t="s">
        <v>1524</v>
      </c>
      <c r="F132" t="s">
        <v>1658</v>
      </c>
      <c r="G132" t="s">
        <v>1567</v>
      </c>
      <c r="H132" t="s">
        <v>344</v>
      </c>
      <c r="I132" s="87">
        <f t="shared" ref="I132:I195" si="14">VLOOKUP(C132,$R$3:$T$4,3,0)*T$1</f>
        <v>0.06</v>
      </c>
      <c r="J132" s="87">
        <f t="shared" ref="J132:J195" si="15">VLOOKUP(D132,$U$3:$W$5,3,0)*W$1</f>
        <v>0.12</v>
      </c>
      <c r="K132" s="87">
        <f t="shared" ref="K132:K195" si="16">VLOOKUP(E132,$X$3:$Z$9,3,0)*Z$1</f>
        <v>0.67500000000000004</v>
      </c>
      <c r="L132" s="87">
        <f t="shared" ref="L132:L195" si="17">VLOOKUP(F132,$AA$3:$AC$32,3,0)*AC$1</f>
        <v>2.5</v>
      </c>
      <c r="M132" s="87">
        <f t="shared" ref="M132:M195" si="18">VLOOKUP(G132,$AD$3:$AF$9,3,0)*AF$1</f>
        <v>0.32000000000000006</v>
      </c>
      <c r="N132" s="87">
        <f t="shared" ref="N132:N195" si="19">VLOOKUP(H132,$AG$3:$AI$15,3,0)*AI$1</f>
        <v>1.825</v>
      </c>
      <c r="O132" s="87">
        <f t="shared" ref="O132:O195" si="20">SUM(I132:N132)</f>
        <v>5.5</v>
      </c>
    </row>
    <row r="133" spans="1:15" x14ac:dyDescent="0.3">
      <c r="A133" t="s">
        <v>9</v>
      </c>
      <c r="B133" t="s">
        <v>834</v>
      </c>
      <c r="C133" s="16" t="s">
        <v>272</v>
      </c>
      <c r="D133" s="16">
        <v>3</v>
      </c>
      <c r="E133" t="s">
        <v>1524</v>
      </c>
      <c r="F133" t="s">
        <v>1658</v>
      </c>
      <c r="G133" t="s">
        <v>1567</v>
      </c>
      <c r="H133" t="s">
        <v>344</v>
      </c>
      <c r="I133" s="87">
        <f t="shared" si="14"/>
        <v>0.06</v>
      </c>
      <c r="J133" s="87">
        <f t="shared" si="15"/>
        <v>0.12</v>
      </c>
      <c r="K133" s="87">
        <f t="shared" si="16"/>
        <v>0.67500000000000004</v>
      </c>
      <c r="L133" s="87">
        <f t="shared" si="17"/>
        <v>2.5</v>
      </c>
      <c r="M133" s="87">
        <f t="shared" si="18"/>
        <v>0.32000000000000006</v>
      </c>
      <c r="N133" s="87">
        <f t="shared" si="19"/>
        <v>1.825</v>
      </c>
      <c r="O133" s="87">
        <f t="shared" si="20"/>
        <v>5.5</v>
      </c>
    </row>
    <row r="134" spans="1:15" x14ac:dyDescent="0.3">
      <c r="A134" t="s">
        <v>9</v>
      </c>
      <c r="B134" t="s">
        <v>835</v>
      </c>
      <c r="C134" s="16" t="s">
        <v>272</v>
      </c>
      <c r="D134" s="16">
        <v>3</v>
      </c>
      <c r="E134" t="s">
        <v>1524</v>
      </c>
      <c r="F134" t="s">
        <v>1658</v>
      </c>
      <c r="G134" t="s">
        <v>1567</v>
      </c>
      <c r="H134" t="s">
        <v>344</v>
      </c>
      <c r="I134" s="87">
        <f t="shared" si="14"/>
        <v>0.06</v>
      </c>
      <c r="J134" s="87">
        <f t="shared" si="15"/>
        <v>0.12</v>
      </c>
      <c r="K134" s="87">
        <f t="shared" si="16"/>
        <v>0.67500000000000004</v>
      </c>
      <c r="L134" s="87">
        <f t="shared" si="17"/>
        <v>2.5</v>
      </c>
      <c r="M134" s="87">
        <f t="shared" si="18"/>
        <v>0.32000000000000006</v>
      </c>
      <c r="N134" s="87">
        <f t="shared" si="19"/>
        <v>1.825</v>
      </c>
      <c r="O134" s="87">
        <f t="shared" si="20"/>
        <v>5.5</v>
      </c>
    </row>
    <row r="135" spans="1:15" x14ac:dyDescent="0.3">
      <c r="A135" t="s">
        <v>9</v>
      </c>
      <c r="B135" t="s">
        <v>836</v>
      </c>
      <c r="C135" s="16" t="s">
        <v>272</v>
      </c>
      <c r="D135" s="16">
        <v>3</v>
      </c>
      <c r="E135" t="s">
        <v>1524</v>
      </c>
      <c r="F135" t="s">
        <v>1658</v>
      </c>
      <c r="G135" t="s">
        <v>1567</v>
      </c>
      <c r="H135" t="s">
        <v>344</v>
      </c>
      <c r="I135" s="87">
        <f t="shared" si="14"/>
        <v>0.06</v>
      </c>
      <c r="J135" s="87">
        <f t="shared" si="15"/>
        <v>0.12</v>
      </c>
      <c r="K135" s="87">
        <f t="shared" si="16"/>
        <v>0.67500000000000004</v>
      </c>
      <c r="L135" s="87">
        <f t="shared" si="17"/>
        <v>2.5</v>
      </c>
      <c r="M135" s="87">
        <f t="shared" si="18"/>
        <v>0.32000000000000006</v>
      </c>
      <c r="N135" s="87">
        <f t="shared" si="19"/>
        <v>1.825</v>
      </c>
      <c r="O135" s="87">
        <f t="shared" si="20"/>
        <v>5.5</v>
      </c>
    </row>
    <row r="136" spans="1:15" x14ac:dyDescent="0.3">
      <c r="A136" t="s">
        <v>9</v>
      </c>
      <c r="B136" t="s">
        <v>837</v>
      </c>
      <c r="C136" s="16" t="s">
        <v>272</v>
      </c>
      <c r="D136" s="16">
        <v>3</v>
      </c>
      <c r="E136" t="s">
        <v>1524</v>
      </c>
      <c r="F136" t="s">
        <v>1658</v>
      </c>
      <c r="G136" t="s">
        <v>1567</v>
      </c>
      <c r="H136" t="s">
        <v>344</v>
      </c>
      <c r="I136" s="87">
        <f t="shared" si="14"/>
        <v>0.06</v>
      </c>
      <c r="J136" s="87">
        <f t="shared" si="15"/>
        <v>0.12</v>
      </c>
      <c r="K136" s="87">
        <f t="shared" si="16"/>
        <v>0.67500000000000004</v>
      </c>
      <c r="L136" s="87">
        <f t="shared" si="17"/>
        <v>2.5</v>
      </c>
      <c r="M136" s="87">
        <f t="shared" si="18"/>
        <v>0.32000000000000006</v>
      </c>
      <c r="N136" s="87">
        <f t="shared" si="19"/>
        <v>1.825</v>
      </c>
      <c r="O136" s="87">
        <f t="shared" si="20"/>
        <v>5.5</v>
      </c>
    </row>
    <row r="137" spans="1:15" x14ac:dyDescent="0.3">
      <c r="A137" t="s">
        <v>9</v>
      </c>
      <c r="B137" t="s">
        <v>838</v>
      </c>
      <c r="C137" s="16" t="s">
        <v>272</v>
      </c>
      <c r="D137" s="16">
        <v>3</v>
      </c>
      <c r="E137" t="s">
        <v>1524</v>
      </c>
      <c r="F137" t="s">
        <v>1658</v>
      </c>
      <c r="G137" t="s">
        <v>1567</v>
      </c>
      <c r="H137" t="s">
        <v>344</v>
      </c>
      <c r="I137" s="87">
        <f t="shared" si="14"/>
        <v>0.06</v>
      </c>
      <c r="J137" s="87">
        <f t="shared" si="15"/>
        <v>0.12</v>
      </c>
      <c r="K137" s="87">
        <f t="shared" si="16"/>
        <v>0.67500000000000004</v>
      </c>
      <c r="L137" s="87">
        <f t="shared" si="17"/>
        <v>2.5</v>
      </c>
      <c r="M137" s="87">
        <f t="shared" si="18"/>
        <v>0.32000000000000006</v>
      </c>
      <c r="N137" s="87">
        <f t="shared" si="19"/>
        <v>1.825</v>
      </c>
      <c r="O137" s="87">
        <f t="shared" si="20"/>
        <v>5.5</v>
      </c>
    </row>
    <row r="138" spans="1:15" x14ac:dyDescent="0.3">
      <c r="A138" t="s">
        <v>9</v>
      </c>
      <c r="B138" t="s">
        <v>839</v>
      </c>
      <c r="C138" s="16" t="s">
        <v>272</v>
      </c>
      <c r="D138" s="16">
        <v>3</v>
      </c>
      <c r="E138" t="s">
        <v>1529</v>
      </c>
      <c r="F138" t="s">
        <v>1658</v>
      </c>
      <c r="G138" t="s">
        <v>1567</v>
      </c>
      <c r="H138" t="s">
        <v>344</v>
      </c>
      <c r="I138" s="87">
        <f t="shared" si="14"/>
        <v>0.06</v>
      </c>
      <c r="J138" s="87">
        <f t="shared" si="15"/>
        <v>0.12</v>
      </c>
      <c r="K138" s="87">
        <f t="shared" si="16"/>
        <v>2.4500000000000002</v>
      </c>
      <c r="L138" s="87">
        <f t="shared" si="17"/>
        <v>2.5</v>
      </c>
      <c r="M138" s="87">
        <f t="shared" si="18"/>
        <v>0.32000000000000006</v>
      </c>
      <c r="N138" s="87">
        <f t="shared" si="19"/>
        <v>1.825</v>
      </c>
      <c r="O138" s="87">
        <f t="shared" si="20"/>
        <v>7.2750000000000012</v>
      </c>
    </row>
    <row r="139" spans="1:15" x14ac:dyDescent="0.3">
      <c r="A139" t="s">
        <v>9</v>
      </c>
      <c r="B139" t="s">
        <v>840</v>
      </c>
      <c r="C139" s="16" t="s">
        <v>272</v>
      </c>
      <c r="D139" s="16">
        <v>3</v>
      </c>
      <c r="E139" t="s">
        <v>1524</v>
      </c>
      <c r="F139" t="s">
        <v>1658</v>
      </c>
      <c r="G139" t="s">
        <v>1567</v>
      </c>
      <c r="H139" t="s">
        <v>344</v>
      </c>
      <c r="I139" s="87">
        <f t="shared" si="14"/>
        <v>0.06</v>
      </c>
      <c r="J139" s="87">
        <f t="shared" si="15"/>
        <v>0.12</v>
      </c>
      <c r="K139" s="87">
        <f t="shared" si="16"/>
        <v>0.67500000000000004</v>
      </c>
      <c r="L139" s="87">
        <f t="shared" si="17"/>
        <v>2.5</v>
      </c>
      <c r="M139" s="87">
        <f t="shared" si="18"/>
        <v>0.32000000000000006</v>
      </c>
      <c r="N139" s="87">
        <f t="shared" si="19"/>
        <v>1.825</v>
      </c>
      <c r="O139" s="87">
        <f t="shared" si="20"/>
        <v>5.5</v>
      </c>
    </row>
    <row r="140" spans="1:15" x14ac:dyDescent="0.3">
      <c r="A140" t="s">
        <v>9</v>
      </c>
      <c r="B140" t="s">
        <v>841</v>
      </c>
      <c r="C140" s="16" t="s">
        <v>273</v>
      </c>
      <c r="D140" s="16">
        <v>2</v>
      </c>
      <c r="E140" t="s">
        <v>1525</v>
      </c>
      <c r="F140" t="s">
        <v>1546</v>
      </c>
      <c r="G140" t="s">
        <v>1566</v>
      </c>
      <c r="H140" t="s">
        <v>1570</v>
      </c>
      <c r="I140" s="87">
        <f t="shared" si="14"/>
        <v>0.94000000000000006</v>
      </c>
      <c r="J140" s="87">
        <f t="shared" si="15"/>
        <v>0.89000000000000012</v>
      </c>
      <c r="K140" s="87">
        <f t="shared" si="16"/>
        <v>2.0750000000000002</v>
      </c>
      <c r="L140" s="87">
        <f t="shared" si="17"/>
        <v>2.2999999999999998</v>
      </c>
      <c r="M140" s="87">
        <f t="shared" si="18"/>
        <v>0.27</v>
      </c>
      <c r="N140" s="87">
        <f t="shared" si="19"/>
        <v>2.35</v>
      </c>
      <c r="O140" s="87">
        <f t="shared" si="20"/>
        <v>8.8249999999999993</v>
      </c>
    </row>
    <row r="141" spans="1:15" x14ac:dyDescent="0.3">
      <c r="A141" t="s">
        <v>9</v>
      </c>
      <c r="B141" t="s">
        <v>842</v>
      </c>
      <c r="C141" s="16" t="s">
        <v>273</v>
      </c>
      <c r="D141" s="16">
        <v>2</v>
      </c>
      <c r="E141" t="s">
        <v>1525</v>
      </c>
      <c r="F141" t="s">
        <v>1542</v>
      </c>
      <c r="G141" t="s">
        <v>1566</v>
      </c>
      <c r="H141" t="s">
        <v>1570</v>
      </c>
      <c r="I141" s="87">
        <f t="shared" si="14"/>
        <v>0.94000000000000006</v>
      </c>
      <c r="J141" s="87">
        <f t="shared" si="15"/>
        <v>0.89000000000000012</v>
      </c>
      <c r="K141" s="87">
        <f t="shared" si="16"/>
        <v>2.0750000000000002</v>
      </c>
      <c r="L141" s="87">
        <f t="shared" si="17"/>
        <v>2.35</v>
      </c>
      <c r="M141" s="87">
        <f t="shared" si="18"/>
        <v>0.27</v>
      </c>
      <c r="N141" s="87">
        <f t="shared" si="19"/>
        <v>2.35</v>
      </c>
      <c r="O141" s="87">
        <f t="shared" si="20"/>
        <v>8.875</v>
      </c>
    </row>
    <row r="142" spans="1:15" x14ac:dyDescent="0.3">
      <c r="A142" t="s">
        <v>9</v>
      </c>
      <c r="B142" t="s">
        <v>843</v>
      </c>
      <c r="C142" s="16" t="s">
        <v>272</v>
      </c>
      <c r="D142" s="16">
        <v>3</v>
      </c>
      <c r="E142" t="s">
        <v>1529</v>
      </c>
      <c r="F142" t="s">
        <v>1658</v>
      </c>
      <c r="G142" t="s">
        <v>1567</v>
      </c>
      <c r="H142" t="s">
        <v>344</v>
      </c>
      <c r="I142" s="87">
        <f t="shared" si="14"/>
        <v>0.06</v>
      </c>
      <c r="J142" s="87">
        <f t="shared" si="15"/>
        <v>0.12</v>
      </c>
      <c r="K142" s="87">
        <f t="shared" si="16"/>
        <v>2.4500000000000002</v>
      </c>
      <c r="L142" s="87">
        <f t="shared" si="17"/>
        <v>2.5</v>
      </c>
      <c r="M142" s="87">
        <f t="shared" si="18"/>
        <v>0.32000000000000006</v>
      </c>
      <c r="N142" s="87">
        <f t="shared" si="19"/>
        <v>1.825</v>
      </c>
      <c r="O142" s="87">
        <f t="shared" si="20"/>
        <v>7.2750000000000012</v>
      </c>
    </row>
    <row r="143" spans="1:15" x14ac:dyDescent="0.3">
      <c r="A143" t="s">
        <v>9</v>
      </c>
      <c r="B143" t="s">
        <v>844</v>
      </c>
      <c r="C143" s="16" t="s">
        <v>272</v>
      </c>
      <c r="D143" s="16">
        <v>3</v>
      </c>
      <c r="E143" t="s">
        <v>1529</v>
      </c>
      <c r="F143" t="s">
        <v>1658</v>
      </c>
      <c r="G143" t="s">
        <v>1567</v>
      </c>
      <c r="H143" t="s">
        <v>344</v>
      </c>
      <c r="I143" s="87">
        <f t="shared" si="14"/>
        <v>0.06</v>
      </c>
      <c r="J143" s="87">
        <f t="shared" si="15"/>
        <v>0.12</v>
      </c>
      <c r="K143" s="87">
        <f t="shared" si="16"/>
        <v>2.4500000000000002</v>
      </c>
      <c r="L143" s="87">
        <f t="shared" si="17"/>
        <v>2.5</v>
      </c>
      <c r="M143" s="87">
        <f t="shared" si="18"/>
        <v>0.32000000000000006</v>
      </c>
      <c r="N143" s="87">
        <f t="shared" si="19"/>
        <v>1.825</v>
      </c>
      <c r="O143" s="87">
        <f t="shared" si="20"/>
        <v>7.2750000000000012</v>
      </c>
    </row>
    <row r="144" spans="1:15" x14ac:dyDescent="0.3">
      <c r="A144" t="s">
        <v>9</v>
      </c>
      <c r="B144" t="s">
        <v>845</v>
      </c>
      <c r="C144" s="16" t="s">
        <v>272</v>
      </c>
      <c r="D144" s="16">
        <v>3</v>
      </c>
      <c r="E144" t="s">
        <v>1524</v>
      </c>
      <c r="F144" t="s">
        <v>1658</v>
      </c>
      <c r="G144" t="s">
        <v>1567</v>
      </c>
      <c r="H144" t="s">
        <v>344</v>
      </c>
      <c r="I144" s="87">
        <f t="shared" si="14"/>
        <v>0.06</v>
      </c>
      <c r="J144" s="87">
        <f t="shared" si="15"/>
        <v>0.12</v>
      </c>
      <c r="K144" s="87">
        <f t="shared" si="16"/>
        <v>0.67500000000000004</v>
      </c>
      <c r="L144" s="87">
        <f t="shared" si="17"/>
        <v>2.5</v>
      </c>
      <c r="M144" s="87">
        <f t="shared" si="18"/>
        <v>0.32000000000000006</v>
      </c>
      <c r="N144" s="87">
        <f t="shared" si="19"/>
        <v>1.825</v>
      </c>
      <c r="O144" s="87">
        <f t="shared" si="20"/>
        <v>5.5</v>
      </c>
    </row>
    <row r="145" spans="1:15" x14ac:dyDescent="0.3">
      <c r="A145" t="s">
        <v>9</v>
      </c>
      <c r="B145" t="s">
        <v>846</v>
      </c>
      <c r="C145" s="16" t="s">
        <v>273</v>
      </c>
      <c r="D145" s="16">
        <v>2</v>
      </c>
      <c r="E145" t="s">
        <v>1525</v>
      </c>
      <c r="F145" t="s">
        <v>1546</v>
      </c>
      <c r="G145" t="s">
        <v>1566</v>
      </c>
      <c r="H145" t="s">
        <v>344</v>
      </c>
      <c r="I145" s="87">
        <f t="shared" si="14"/>
        <v>0.94000000000000006</v>
      </c>
      <c r="J145" s="87">
        <f t="shared" si="15"/>
        <v>0.89000000000000012</v>
      </c>
      <c r="K145" s="87">
        <f t="shared" si="16"/>
        <v>2.0750000000000002</v>
      </c>
      <c r="L145" s="87">
        <f t="shared" si="17"/>
        <v>2.2999999999999998</v>
      </c>
      <c r="M145" s="87">
        <f t="shared" si="18"/>
        <v>0.27</v>
      </c>
      <c r="N145" s="87">
        <f t="shared" si="19"/>
        <v>1.825</v>
      </c>
      <c r="O145" s="87">
        <f t="shared" si="20"/>
        <v>8.2999999999999989</v>
      </c>
    </row>
    <row r="146" spans="1:15" x14ac:dyDescent="0.3">
      <c r="A146" t="s">
        <v>9</v>
      </c>
      <c r="B146" t="s">
        <v>847</v>
      </c>
      <c r="C146" s="16" t="s">
        <v>272</v>
      </c>
      <c r="D146" s="16">
        <v>3</v>
      </c>
      <c r="E146" t="s">
        <v>1529</v>
      </c>
      <c r="F146" t="s">
        <v>1658</v>
      </c>
      <c r="G146" t="s">
        <v>1567</v>
      </c>
      <c r="H146" t="s">
        <v>344</v>
      </c>
      <c r="I146" s="87">
        <f t="shared" si="14"/>
        <v>0.06</v>
      </c>
      <c r="J146" s="87">
        <f t="shared" si="15"/>
        <v>0.12</v>
      </c>
      <c r="K146" s="87">
        <f t="shared" si="16"/>
        <v>2.4500000000000002</v>
      </c>
      <c r="L146" s="87">
        <f t="shared" si="17"/>
        <v>2.5</v>
      </c>
      <c r="M146" s="87">
        <f t="shared" si="18"/>
        <v>0.32000000000000006</v>
      </c>
      <c r="N146" s="87">
        <f t="shared" si="19"/>
        <v>1.825</v>
      </c>
      <c r="O146" s="87">
        <f t="shared" si="20"/>
        <v>7.2750000000000012</v>
      </c>
    </row>
    <row r="147" spans="1:15" x14ac:dyDescent="0.3">
      <c r="A147" t="s">
        <v>9</v>
      </c>
      <c r="B147" t="s">
        <v>848</v>
      </c>
      <c r="C147" s="16" t="s">
        <v>272</v>
      </c>
      <c r="D147" s="16">
        <v>3</v>
      </c>
      <c r="E147" t="s">
        <v>1524</v>
      </c>
      <c r="F147" t="s">
        <v>1658</v>
      </c>
      <c r="G147" t="s">
        <v>1567</v>
      </c>
      <c r="H147" t="s">
        <v>344</v>
      </c>
      <c r="I147" s="87">
        <f t="shared" si="14"/>
        <v>0.06</v>
      </c>
      <c r="J147" s="87">
        <f t="shared" si="15"/>
        <v>0.12</v>
      </c>
      <c r="K147" s="87">
        <f t="shared" si="16"/>
        <v>0.67500000000000004</v>
      </c>
      <c r="L147" s="87">
        <f t="shared" si="17"/>
        <v>2.5</v>
      </c>
      <c r="M147" s="87">
        <f t="shared" si="18"/>
        <v>0.32000000000000006</v>
      </c>
      <c r="N147" s="87">
        <f t="shared" si="19"/>
        <v>1.825</v>
      </c>
      <c r="O147" s="87">
        <f t="shared" si="20"/>
        <v>5.5</v>
      </c>
    </row>
    <row r="148" spans="1:15" x14ac:dyDescent="0.3">
      <c r="A148" t="s">
        <v>9</v>
      </c>
      <c r="B148" t="s">
        <v>849</v>
      </c>
      <c r="C148" s="16" t="s">
        <v>273</v>
      </c>
      <c r="D148" s="16">
        <v>2</v>
      </c>
      <c r="E148" t="s">
        <v>1525</v>
      </c>
      <c r="F148" t="s">
        <v>1546</v>
      </c>
      <c r="G148" t="s">
        <v>1566</v>
      </c>
      <c r="H148" t="s">
        <v>344</v>
      </c>
      <c r="I148" s="87">
        <f t="shared" si="14"/>
        <v>0.94000000000000006</v>
      </c>
      <c r="J148" s="87">
        <f t="shared" si="15"/>
        <v>0.89000000000000012</v>
      </c>
      <c r="K148" s="87">
        <f t="shared" si="16"/>
        <v>2.0750000000000002</v>
      </c>
      <c r="L148" s="87">
        <f t="shared" si="17"/>
        <v>2.2999999999999998</v>
      </c>
      <c r="M148" s="87">
        <f t="shared" si="18"/>
        <v>0.27</v>
      </c>
      <c r="N148" s="87">
        <f t="shared" si="19"/>
        <v>1.825</v>
      </c>
      <c r="O148" s="87">
        <f t="shared" si="20"/>
        <v>8.2999999999999989</v>
      </c>
    </row>
    <row r="149" spans="1:15" x14ac:dyDescent="0.3">
      <c r="A149" t="s">
        <v>9</v>
      </c>
      <c r="B149" t="s">
        <v>850</v>
      </c>
      <c r="C149" s="16" t="s">
        <v>273</v>
      </c>
      <c r="D149" s="16">
        <v>2</v>
      </c>
      <c r="E149" t="s">
        <v>1525</v>
      </c>
      <c r="F149" t="s">
        <v>1546</v>
      </c>
      <c r="G149" t="s">
        <v>1566</v>
      </c>
      <c r="H149" t="s">
        <v>344</v>
      </c>
      <c r="I149" s="87">
        <f t="shared" si="14"/>
        <v>0.94000000000000006</v>
      </c>
      <c r="J149" s="87">
        <f t="shared" si="15"/>
        <v>0.89000000000000012</v>
      </c>
      <c r="K149" s="87">
        <f t="shared" si="16"/>
        <v>2.0750000000000002</v>
      </c>
      <c r="L149" s="87">
        <f t="shared" si="17"/>
        <v>2.2999999999999998</v>
      </c>
      <c r="M149" s="87">
        <f t="shared" si="18"/>
        <v>0.27</v>
      </c>
      <c r="N149" s="87">
        <f t="shared" si="19"/>
        <v>1.825</v>
      </c>
      <c r="O149" s="87">
        <f t="shared" si="20"/>
        <v>8.2999999999999989</v>
      </c>
    </row>
    <row r="150" spans="1:15" x14ac:dyDescent="0.3">
      <c r="A150" t="s">
        <v>9</v>
      </c>
      <c r="B150" t="s">
        <v>851</v>
      </c>
      <c r="C150" s="16" t="s">
        <v>273</v>
      </c>
      <c r="D150" s="16">
        <v>2</v>
      </c>
      <c r="E150" t="s">
        <v>1525</v>
      </c>
      <c r="F150" t="s">
        <v>1546</v>
      </c>
      <c r="G150" t="s">
        <v>1567</v>
      </c>
      <c r="H150" t="s">
        <v>344</v>
      </c>
      <c r="I150" s="87">
        <f t="shared" si="14"/>
        <v>0.94000000000000006</v>
      </c>
      <c r="J150" s="87">
        <f t="shared" si="15"/>
        <v>0.89000000000000012</v>
      </c>
      <c r="K150" s="87">
        <f t="shared" si="16"/>
        <v>2.0750000000000002</v>
      </c>
      <c r="L150" s="87">
        <f t="shared" si="17"/>
        <v>2.2999999999999998</v>
      </c>
      <c r="M150" s="87">
        <f t="shared" si="18"/>
        <v>0.32000000000000006</v>
      </c>
      <c r="N150" s="87">
        <f t="shared" si="19"/>
        <v>1.825</v>
      </c>
      <c r="O150" s="87">
        <f t="shared" si="20"/>
        <v>8.35</v>
      </c>
    </row>
    <row r="151" spans="1:15" x14ac:dyDescent="0.3">
      <c r="A151" t="s">
        <v>9</v>
      </c>
      <c r="B151" t="s">
        <v>852</v>
      </c>
      <c r="C151" s="16" t="s">
        <v>272</v>
      </c>
      <c r="D151" s="16">
        <v>2</v>
      </c>
      <c r="E151" t="s">
        <v>1525</v>
      </c>
      <c r="F151" t="s">
        <v>1546</v>
      </c>
      <c r="G151" t="s">
        <v>1566</v>
      </c>
      <c r="H151" t="s">
        <v>344</v>
      </c>
      <c r="I151" s="87">
        <f t="shared" si="14"/>
        <v>0.06</v>
      </c>
      <c r="J151" s="87">
        <f t="shared" si="15"/>
        <v>0.89000000000000012</v>
      </c>
      <c r="K151" s="87">
        <f t="shared" si="16"/>
        <v>2.0750000000000002</v>
      </c>
      <c r="L151" s="87">
        <f t="shared" si="17"/>
        <v>2.2999999999999998</v>
      </c>
      <c r="M151" s="87">
        <f t="shared" si="18"/>
        <v>0.27</v>
      </c>
      <c r="N151" s="87">
        <f t="shared" si="19"/>
        <v>1.825</v>
      </c>
      <c r="O151" s="87">
        <f t="shared" si="20"/>
        <v>7.4200000000000008</v>
      </c>
    </row>
    <row r="152" spans="1:15" x14ac:dyDescent="0.3">
      <c r="A152" t="s">
        <v>9</v>
      </c>
      <c r="B152" t="s">
        <v>853</v>
      </c>
      <c r="C152" s="16" t="s">
        <v>272</v>
      </c>
      <c r="D152" s="16">
        <v>2</v>
      </c>
      <c r="E152" t="s">
        <v>1524</v>
      </c>
      <c r="F152" t="s">
        <v>282</v>
      </c>
      <c r="G152" t="s">
        <v>341</v>
      </c>
      <c r="H152" t="s">
        <v>344</v>
      </c>
      <c r="I152" s="87">
        <f t="shared" si="14"/>
        <v>0.06</v>
      </c>
      <c r="J152" s="87">
        <f t="shared" si="15"/>
        <v>0.89000000000000012</v>
      </c>
      <c r="K152" s="87">
        <f t="shared" si="16"/>
        <v>0.67500000000000004</v>
      </c>
      <c r="L152" s="87">
        <f t="shared" si="17"/>
        <v>1.925</v>
      </c>
      <c r="M152" s="87">
        <f t="shared" si="18"/>
        <v>0.48</v>
      </c>
      <c r="N152" s="87">
        <f t="shared" si="19"/>
        <v>1.825</v>
      </c>
      <c r="O152" s="87">
        <f t="shared" si="20"/>
        <v>5.8550000000000004</v>
      </c>
    </row>
    <row r="153" spans="1:15" x14ac:dyDescent="0.3">
      <c r="A153" t="s">
        <v>9</v>
      </c>
      <c r="B153" t="s">
        <v>854</v>
      </c>
      <c r="C153" s="16" t="s">
        <v>272</v>
      </c>
      <c r="D153" s="16">
        <v>2</v>
      </c>
      <c r="E153" t="s">
        <v>1524</v>
      </c>
      <c r="F153" t="s">
        <v>282</v>
      </c>
      <c r="G153" t="s">
        <v>1656</v>
      </c>
      <c r="H153" t="s">
        <v>344</v>
      </c>
      <c r="I153" s="87">
        <f t="shared" si="14"/>
        <v>0.06</v>
      </c>
      <c r="J153" s="87">
        <f t="shared" si="15"/>
        <v>0.89000000000000012</v>
      </c>
      <c r="K153" s="87">
        <f t="shared" si="16"/>
        <v>0.67500000000000004</v>
      </c>
      <c r="L153" s="87">
        <f t="shared" si="17"/>
        <v>1.925</v>
      </c>
      <c r="M153" s="87">
        <f t="shared" si="18"/>
        <v>0.5</v>
      </c>
      <c r="N153" s="87">
        <f t="shared" si="19"/>
        <v>1.825</v>
      </c>
      <c r="O153" s="87">
        <f t="shared" si="20"/>
        <v>5.8750000000000009</v>
      </c>
    </row>
    <row r="154" spans="1:15" x14ac:dyDescent="0.3">
      <c r="A154" t="s">
        <v>9</v>
      </c>
      <c r="B154" t="s">
        <v>855</v>
      </c>
      <c r="C154" s="16" t="s">
        <v>272</v>
      </c>
      <c r="D154" s="16">
        <v>3</v>
      </c>
      <c r="E154" t="s">
        <v>1524</v>
      </c>
      <c r="F154" t="s">
        <v>1553</v>
      </c>
      <c r="G154" t="s">
        <v>1566</v>
      </c>
      <c r="H154" t="s">
        <v>344</v>
      </c>
      <c r="I154" s="87">
        <f t="shared" si="14"/>
        <v>0.06</v>
      </c>
      <c r="J154" s="87">
        <f t="shared" si="15"/>
        <v>0.12</v>
      </c>
      <c r="K154" s="87">
        <f t="shared" si="16"/>
        <v>0.67500000000000004</v>
      </c>
      <c r="L154" s="87">
        <f t="shared" si="17"/>
        <v>2.4750000000000001</v>
      </c>
      <c r="M154" s="87">
        <f t="shared" si="18"/>
        <v>0.27</v>
      </c>
      <c r="N154" s="87">
        <f t="shared" si="19"/>
        <v>1.825</v>
      </c>
      <c r="O154" s="87">
        <f t="shared" si="20"/>
        <v>5.4249999999999998</v>
      </c>
    </row>
    <row r="155" spans="1:15" x14ac:dyDescent="0.3">
      <c r="A155" t="s">
        <v>9</v>
      </c>
      <c r="B155" t="s">
        <v>856</v>
      </c>
      <c r="C155" s="16" t="s">
        <v>272</v>
      </c>
      <c r="D155" s="16">
        <v>3</v>
      </c>
      <c r="E155" t="s">
        <v>1524</v>
      </c>
      <c r="F155" t="s">
        <v>282</v>
      </c>
      <c r="G155" t="s">
        <v>1567</v>
      </c>
      <c r="H155" t="s">
        <v>345</v>
      </c>
      <c r="I155" s="87">
        <f t="shared" si="14"/>
        <v>0.06</v>
      </c>
      <c r="J155" s="87">
        <f t="shared" si="15"/>
        <v>0.12</v>
      </c>
      <c r="K155" s="87">
        <f t="shared" si="16"/>
        <v>0.67500000000000004</v>
      </c>
      <c r="L155" s="87">
        <f t="shared" si="17"/>
        <v>1.925</v>
      </c>
      <c r="M155" s="87">
        <f t="shared" si="18"/>
        <v>0.32000000000000006</v>
      </c>
      <c r="N155" s="87">
        <f t="shared" si="19"/>
        <v>1.7749999999999999</v>
      </c>
      <c r="O155" s="87">
        <f t="shared" si="20"/>
        <v>4.875</v>
      </c>
    </row>
    <row r="156" spans="1:15" x14ac:dyDescent="0.3">
      <c r="A156" t="s">
        <v>9</v>
      </c>
      <c r="B156" t="s">
        <v>857</v>
      </c>
      <c r="C156" s="16" t="s">
        <v>272</v>
      </c>
      <c r="D156" s="16">
        <v>3</v>
      </c>
      <c r="E156" t="s">
        <v>1524</v>
      </c>
      <c r="F156" t="s">
        <v>282</v>
      </c>
      <c r="G156" t="s">
        <v>1567</v>
      </c>
      <c r="H156" t="s">
        <v>344</v>
      </c>
      <c r="I156" s="87">
        <f t="shared" si="14"/>
        <v>0.06</v>
      </c>
      <c r="J156" s="87">
        <f t="shared" si="15"/>
        <v>0.12</v>
      </c>
      <c r="K156" s="87">
        <f t="shared" si="16"/>
        <v>0.67500000000000004</v>
      </c>
      <c r="L156" s="87">
        <f t="shared" si="17"/>
        <v>1.925</v>
      </c>
      <c r="M156" s="87">
        <f t="shared" si="18"/>
        <v>0.32000000000000006</v>
      </c>
      <c r="N156" s="87">
        <f t="shared" si="19"/>
        <v>1.825</v>
      </c>
      <c r="O156" s="87">
        <f t="shared" si="20"/>
        <v>4.9250000000000007</v>
      </c>
    </row>
    <row r="157" spans="1:15" x14ac:dyDescent="0.3">
      <c r="A157" t="s">
        <v>9</v>
      </c>
      <c r="B157" t="s">
        <v>858</v>
      </c>
      <c r="C157" s="16" t="s">
        <v>272</v>
      </c>
      <c r="D157" s="16">
        <v>2</v>
      </c>
      <c r="E157" t="s">
        <v>1524</v>
      </c>
      <c r="F157" t="s">
        <v>282</v>
      </c>
      <c r="G157" t="s">
        <v>1656</v>
      </c>
      <c r="H157" t="s">
        <v>345</v>
      </c>
      <c r="I157" s="87">
        <f t="shared" si="14"/>
        <v>0.06</v>
      </c>
      <c r="J157" s="87">
        <f t="shared" si="15"/>
        <v>0.89000000000000012</v>
      </c>
      <c r="K157" s="87">
        <f t="shared" si="16"/>
        <v>0.67500000000000004</v>
      </c>
      <c r="L157" s="87">
        <f t="shared" si="17"/>
        <v>1.925</v>
      </c>
      <c r="M157" s="87">
        <f t="shared" si="18"/>
        <v>0.5</v>
      </c>
      <c r="N157" s="87">
        <f t="shared" si="19"/>
        <v>1.7749999999999999</v>
      </c>
      <c r="O157" s="87">
        <f t="shared" si="20"/>
        <v>5.8250000000000011</v>
      </c>
    </row>
    <row r="158" spans="1:15" x14ac:dyDescent="0.3">
      <c r="A158" t="s">
        <v>9</v>
      </c>
      <c r="B158" t="s">
        <v>859</v>
      </c>
      <c r="C158" s="16" t="s">
        <v>272</v>
      </c>
      <c r="D158" s="16">
        <v>2</v>
      </c>
      <c r="E158" t="s">
        <v>1524</v>
      </c>
      <c r="F158" t="s">
        <v>282</v>
      </c>
      <c r="G158" t="s">
        <v>341</v>
      </c>
      <c r="H158" t="s">
        <v>345</v>
      </c>
      <c r="I158" s="87">
        <f t="shared" si="14"/>
        <v>0.06</v>
      </c>
      <c r="J158" s="87">
        <f t="shared" si="15"/>
        <v>0.89000000000000012</v>
      </c>
      <c r="K158" s="87">
        <f t="shared" si="16"/>
        <v>0.67500000000000004</v>
      </c>
      <c r="L158" s="87">
        <f t="shared" si="17"/>
        <v>1.925</v>
      </c>
      <c r="M158" s="87">
        <f t="shared" si="18"/>
        <v>0.48</v>
      </c>
      <c r="N158" s="87">
        <f t="shared" si="19"/>
        <v>1.7749999999999999</v>
      </c>
      <c r="O158" s="87">
        <f t="shared" si="20"/>
        <v>5.8049999999999997</v>
      </c>
    </row>
    <row r="159" spans="1:15" x14ac:dyDescent="0.3">
      <c r="A159" t="s">
        <v>9</v>
      </c>
      <c r="B159" t="s">
        <v>860</v>
      </c>
      <c r="C159" s="16" t="s">
        <v>272</v>
      </c>
      <c r="D159" s="16">
        <v>2</v>
      </c>
      <c r="E159" t="s">
        <v>1524</v>
      </c>
      <c r="F159" t="s">
        <v>282</v>
      </c>
      <c r="G159" t="s">
        <v>341</v>
      </c>
      <c r="H159" t="s">
        <v>345</v>
      </c>
      <c r="I159" s="87">
        <f t="shared" si="14"/>
        <v>0.06</v>
      </c>
      <c r="J159" s="87">
        <f t="shared" si="15"/>
        <v>0.89000000000000012</v>
      </c>
      <c r="K159" s="87">
        <f t="shared" si="16"/>
        <v>0.67500000000000004</v>
      </c>
      <c r="L159" s="87">
        <f t="shared" si="17"/>
        <v>1.925</v>
      </c>
      <c r="M159" s="87">
        <f t="shared" si="18"/>
        <v>0.48</v>
      </c>
      <c r="N159" s="87">
        <f t="shared" si="19"/>
        <v>1.7749999999999999</v>
      </c>
      <c r="O159" s="87">
        <f t="shared" si="20"/>
        <v>5.8049999999999997</v>
      </c>
    </row>
    <row r="160" spans="1:15" x14ac:dyDescent="0.3">
      <c r="A160" t="s">
        <v>9</v>
      </c>
      <c r="B160" t="s">
        <v>861</v>
      </c>
      <c r="C160" s="16" t="s">
        <v>272</v>
      </c>
      <c r="D160" s="16">
        <v>2</v>
      </c>
      <c r="E160" t="s">
        <v>1524</v>
      </c>
      <c r="F160" t="s">
        <v>282</v>
      </c>
      <c r="G160" t="s">
        <v>341</v>
      </c>
      <c r="H160" t="s">
        <v>345</v>
      </c>
      <c r="I160" s="87">
        <f t="shared" si="14"/>
        <v>0.06</v>
      </c>
      <c r="J160" s="87">
        <f t="shared" si="15"/>
        <v>0.89000000000000012</v>
      </c>
      <c r="K160" s="87">
        <f t="shared" si="16"/>
        <v>0.67500000000000004</v>
      </c>
      <c r="L160" s="87">
        <f t="shared" si="17"/>
        <v>1.925</v>
      </c>
      <c r="M160" s="87">
        <f t="shared" si="18"/>
        <v>0.48</v>
      </c>
      <c r="N160" s="87">
        <f t="shared" si="19"/>
        <v>1.7749999999999999</v>
      </c>
      <c r="O160" s="87">
        <f t="shared" si="20"/>
        <v>5.8049999999999997</v>
      </c>
    </row>
    <row r="161" spans="1:15" x14ac:dyDescent="0.3">
      <c r="A161" t="s">
        <v>9</v>
      </c>
      <c r="B161" t="s">
        <v>862</v>
      </c>
      <c r="C161" s="16" t="s">
        <v>272</v>
      </c>
      <c r="D161" s="16">
        <v>2</v>
      </c>
      <c r="E161" t="s">
        <v>1524</v>
      </c>
      <c r="F161" t="s">
        <v>282</v>
      </c>
      <c r="G161" t="s">
        <v>341</v>
      </c>
      <c r="H161" t="s">
        <v>1658</v>
      </c>
      <c r="I161" s="87">
        <f t="shared" si="14"/>
        <v>0.06</v>
      </c>
      <c r="J161" s="87">
        <f t="shared" si="15"/>
        <v>0.89000000000000012</v>
      </c>
      <c r="K161" s="87">
        <f t="shared" si="16"/>
        <v>0.67500000000000004</v>
      </c>
      <c r="L161" s="87">
        <f t="shared" si="17"/>
        <v>1.925</v>
      </c>
      <c r="M161" s="87">
        <f t="shared" si="18"/>
        <v>0.48</v>
      </c>
      <c r="N161" s="87">
        <f t="shared" si="19"/>
        <v>2.5</v>
      </c>
      <c r="O161" s="87">
        <f t="shared" si="20"/>
        <v>6.53</v>
      </c>
    </row>
    <row r="162" spans="1:15" x14ac:dyDescent="0.3">
      <c r="A162" t="s">
        <v>9</v>
      </c>
      <c r="B162" t="s">
        <v>863</v>
      </c>
      <c r="C162" s="16" t="s">
        <v>272</v>
      </c>
      <c r="D162" s="16">
        <v>2</v>
      </c>
      <c r="E162" t="s">
        <v>1524</v>
      </c>
      <c r="F162" t="s">
        <v>282</v>
      </c>
      <c r="G162" t="s">
        <v>341</v>
      </c>
      <c r="H162" t="s">
        <v>1658</v>
      </c>
      <c r="I162" s="87">
        <f t="shared" si="14"/>
        <v>0.06</v>
      </c>
      <c r="J162" s="87">
        <f t="shared" si="15"/>
        <v>0.89000000000000012</v>
      </c>
      <c r="K162" s="87">
        <f t="shared" si="16"/>
        <v>0.67500000000000004</v>
      </c>
      <c r="L162" s="87">
        <f t="shared" si="17"/>
        <v>1.925</v>
      </c>
      <c r="M162" s="87">
        <f t="shared" si="18"/>
        <v>0.48</v>
      </c>
      <c r="N162" s="87">
        <f t="shared" si="19"/>
        <v>2.5</v>
      </c>
      <c r="O162" s="87">
        <f t="shared" si="20"/>
        <v>6.53</v>
      </c>
    </row>
    <row r="163" spans="1:15" x14ac:dyDescent="0.3">
      <c r="A163" t="s">
        <v>9</v>
      </c>
      <c r="B163" t="s">
        <v>864</v>
      </c>
      <c r="C163" s="16" t="s">
        <v>272</v>
      </c>
      <c r="D163" s="16">
        <v>2</v>
      </c>
      <c r="E163" t="s">
        <v>1524</v>
      </c>
      <c r="F163" t="s">
        <v>282</v>
      </c>
      <c r="G163" t="s">
        <v>341</v>
      </c>
      <c r="H163" t="s">
        <v>345</v>
      </c>
      <c r="I163" s="87">
        <f t="shared" si="14"/>
        <v>0.06</v>
      </c>
      <c r="J163" s="87">
        <f t="shared" si="15"/>
        <v>0.89000000000000012</v>
      </c>
      <c r="K163" s="87">
        <f t="shared" si="16"/>
        <v>0.67500000000000004</v>
      </c>
      <c r="L163" s="87">
        <f t="shared" si="17"/>
        <v>1.925</v>
      </c>
      <c r="M163" s="87">
        <f t="shared" si="18"/>
        <v>0.48</v>
      </c>
      <c r="N163" s="87">
        <f t="shared" si="19"/>
        <v>1.7749999999999999</v>
      </c>
      <c r="O163" s="87">
        <f t="shared" si="20"/>
        <v>5.8049999999999997</v>
      </c>
    </row>
    <row r="164" spans="1:15" x14ac:dyDescent="0.3">
      <c r="A164" t="s">
        <v>9</v>
      </c>
      <c r="B164" t="s">
        <v>865</v>
      </c>
      <c r="C164" s="16" t="s">
        <v>272</v>
      </c>
      <c r="D164" s="16">
        <v>2</v>
      </c>
      <c r="E164" t="s">
        <v>1524</v>
      </c>
      <c r="F164" t="s">
        <v>282</v>
      </c>
      <c r="G164" t="s">
        <v>1656</v>
      </c>
      <c r="H164" t="s">
        <v>345</v>
      </c>
      <c r="I164" s="87">
        <f t="shared" si="14"/>
        <v>0.06</v>
      </c>
      <c r="J164" s="87">
        <f t="shared" si="15"/>
        <v>0.89000000000000012</v>
      </c>
      <c r="K164" s="87">
        <f t="shared" si="16"/>
        <v>0.67500000000000004</v>
      </c>
      <c r="L164" s="87">
        <f t="shared" si="17"/>
        <v>1.925</v>
      </c>
      <c r="M164" s="87">
        <f t="shared" si="18"/>
        <v>0.5</v>
      </c>
      <c r="N164" s="87">
        <f t="shared" si="19"/>
        <v>1.7749999999999999</v>
      </c>
      <c r="O164" s="87">
        <f t="shared" si="20"/>
        <v>5.8250000000000011</v>
      </c>
    </row>
    <row r="165" spans="1:15" x14ac:dyDescent="0.3">
      <c r="A165" t="s">
        <v>9</v>
      </c>
      <c r="B165" t="s">
        <v>866</v>
      </c>
      <c r="C165" s="16" t="s">
        <v>272</v>
      </c>
      <c r="D165" s="16">
        <v>2</v>
      </c>
      <c r="E165" t="s">
        <v>1524</v>
      </c>
      <c r="F165" t="s">
        <v>282</v>
      </c>
      <c r="G165" t="s">
        <v>341</v>
      </c>
      <c r="H165" t="s">
        <v>1572</v>
      </c>
      <c r="I165" s="87">
        <f t="shared" si="14"/>
        <v>0.06</v>
      </c>
      <c r="J165" s="87">
        <f t="shared" si="15"/>
        <v>0.89000000000000012</v>
      </c>
      <c r="K165" s="87">
        <f t="shared" si="16"/>
        <v>0.67500000000000004</v>
      </c>
      <c r="L165" s="87">
        <f t="shared" si="17"/>
        <v>1.925</v>
      </c>
      <c r="M165" s="87">
        <f t="shared" si="18"/>
        <v>0.48</v>
      </c>
      <c r="N165" s="87">
        <f t="shared" si="19"/>
        <v>2.4500000000000002</v>
      </c>
      <c r="O165" s="87">
        <f t="shared" si="20"/>
        <v>6.48</v>
      </c>
    </row>
    <row r="166" spans="1:15" x14ac:dyDescent="0.3">
      <c r="A166" t="s">
        <v>9</v>
      </c>
      <c r="B166" t="s">
        <v>867</v>
      </c>
      <c r="C166" s="16" t="s">
        <v>272</v>
      </c>
      <c r="D166" s="16">
        <v>2</v>
      </c>
      <c r="E166" t="s">
        <v>1524</v>
      </c>
      <c r="F166" t="s">
        <v>282</v>
      </c>
      <c r="G166" t="s">
        <v>1567</v>
      </c>
      <c r="H166" t="s">
        <v>1572</v>
      </c>
      <c r="I166" s="87">
        <f t="shared" si="14"/>
        <v>0.06</v>
      </c>
      <c r="J166" s="87">
        <f t="shared" si="15"/>
        <v>0.89000000000000012</v>
      </c>
      <c r="K166" s="87">
        <f t="shared" si="16"/>
        <v>0.67500000000000004</v>
      </c>
      <c r="L166" s="87">
        <f t="shared" si="17"/>
        <v>1.925</v>
      </c>
      <c r="M166" s="87">
        <f t="shared" si="18"/>
        <v>0.32000000000000006</v>
      </c>
      <c r="N166" s="87">
        <f t="shared" si="19"/>
        <v>2.4500000000000002</v>
      </c>
      <c r="O166" s="87">
        <f t="shared" si="20"/>
        <v>6.32</v>
      </c>
    </row>
    <row r="167" spans="1:15" x14ac:dyDescent="0.3">
      <c r="A167" t="s">
        <v>45</v>
      </c>
      <c r="B167" t="s">
        <v>868</v>
      </c>
      <c r="C167" s="16" t="s">
        <v>272</v>
      </c>
      <c r="D167" s="16">
        <v>3</v>
      </c>
      <c r="E167" t="s">
        <v>1524</v>
      </c>
      <c r="F167" t="s">
        <v>282</v>
      </c>
      <c r="G167" t="s">
        <v>1567</v>
      </c>
      <c r="H167" t="s">
        <v>344</v>
      </c>
      <c r="I167" s="87">
        <f t="shared" si="14"/>
        <v>0.06</v>
      </c>
      <c r="J167" s="87">
        <f t="shared" si="15"/>
        <v>0.12</v>
      </c>
      <c r="K167" s="87">
        <f t="shared" si="16"/>
        <v>0.67500000000000004</v>
      </c>
      <c r="L167" s="87">
        <f t="shared" si="17"/>
        <v>1.925</v>
      </c>
      <c r="M167" s="87">
        <f t="shared" si="18"/>
        <v>0.32000000000000006</v>
      </c>
      <c r="N167" s="87">
        <f t="shared" si="19"/>
        <v>1.825</v>
      </c>
      <c r="O167" s="87">
        <f t="shared" si="20"/>
        <v>4.9250000000000007</v>
      </c>
    </row>
    <row r="168" spans="1:15" x14ac:dyDescent="0.3">
      <c r="A168" t="s">
        <v>45</v>
      </c>
      <c r="B168" t="s">
        <v>869</v>
      </c>
      <c r="C168" s="16" t="s">
        <v>272</v>
      </c>
      <c r="D168" s="16">
        <v>3</v>
      </c>
      <c r="E168" t="s">
        <v>1524</v>
      </c>
      <c r="F168" t="s">
        <v>1658</v>
      </c>
      <c r="G168" t="s">
        <v>1566</v>
      </c>
      <c r="H168" t="s">
        <v>1573</v>
      </c>
      <c r="I168" s="87">
        <f t="shared" si="14"/>
        <v>0.06</v>
      </c>
      <c r="J168" s="87">
        <f t="shared" si="15"/>
        <v>0.12</v>
      </c>
      <c r="K168" s="87">
        <f t="shared" si="16"/>
        <v>0.67500000000000004</v>
      </c>
      <c r="L168" s="87">
        <f t="shared" si="17"/>
        <v>2.5</v>
      </c>
      <c r="M168" s="87">
        <f t="shared" si="18"/>
        <v>0.27</v>
      </c>
      <c r="N168" s="87">
        <f t="shared" si="19"/>
        <v>2.4249999999999998</v>
      </c>
      <c r="O168" s="87">
        <f t="shared" si="20"/>
        <v>6.05</v>
      </c>
    </row>
    <row r="169" spans="1:15" x14ac:dyDescent="0.3">
      <c r="A169" t="s">
        <v>45</v>
      </c>
      <c r="B169" t="s">
        <v>870</v>
      </c>
      <c r="C169" s="16" t="s">
        <v>272</v>
      </c>
      <c r="D169" s="16">
        <v>3</v>
      </c>
      <c r="E169" t="s">
        <v>1524</v>
      </c>
      <c r="F169" t="s">
        <v>282</v>
      </c>
      <c r="G169" t="s">
        <v>1566</v>
      </c>
      <c r="H169" t="s">
        <v>1571</v>
      </c>
      <c r="I169" s="87">
        <f t="shared" si="14"/>
        <v>0.06</v>
      </c>
      <c r="J169" s="87">
        <f t="shared" si="15"/>
        <v>0.12</v>
      </c>
      <c r="K169" s="87">
        <f t="shared" si="16"/>
        <v>0.67500000000000004</v>
      </c>
      <c r="L169" s="87">
        <f t="shared" si="17"/>
        <v>1.925</v>
      </c>
      <c r="M169" s="87">
        <f t="shared" si="18"/>
        <v>0.27</v>
      </c>
      <c r="N169" s="87">
        <f t="shared" si="19"/>
        <v>2.375</v>
      </c>
      <c r="O169" s="87">
        <f t="shared" si="20"/>
        <v>5.4250000000000007</v>
      </c>
    </row>
    <row r="170" spans="1:15" x14ac:dyDescent="0.3">
      <c r="A170" t="s">
        <v>45</v>
      </c>
      <c r="B170" t="s">
        <v>871</v>
      </c>
      <c r="C170" s="16" t="s">
        <v>272</v>
      </c>
      <c r="D170" s="16">
        <v>3</v>
      </c>
      <c r="E170" t="s">
        <v>1524</v>
      </c>
      <c r="F170" t="s">
        <v>282</v>
      </c>
      <c r="G170" t="s">
        <v>1566</v>
      </c>
      <c r="H170" t="s">
        <v>1571</v>
      </c>
      <c r="I170" s="87">
        <f t="shared" si="14"/>
        <v>0.06</v>
      </c>
      <c r="J170" s="87">
        <f t="shared" si="15"/>
        <v>0.12</v>
      </c>
      <c r="K170" s="87">
        <f t="shared" si="16"/>
        <v>0.67500000000000004</v>
      </c>
      <c r="L170" s="87">
        <f t="shared" si="17"/>
        <v>1.925</v>
      </c>
      <c r="M170" s="87">
        <f t="shared" si="18"/>
        <v>0.27</v>
      </c>
      <c r="N170" s="87">
        <f t="shared" si="19"/>
        <v>2.375</v>
      </c>
      <c r="O170" s="87">
        <f t="shared" si="20"/>
        <v>5.4250000000000007</v>
      </c>
    </row>
    <row r="171" spans="1:15" x14ac:dyDescent="0.3">
      <c r="A171" t="s">
        <v>45</v>
      </c>
      <c r="B171" t="s">
        <v>872</v>
      </c>
      <c r="C171" s="16" t="s">
        <v>272</v>
      </c>
      <c r="D171" s="16">
        <v>3</v>
      </c>
      <c r="E171" t="s">
        <v>1524</v>
      </c>
      <c r="F171" t="s">
        <v>1658</v>
      </c>
      <c r="G171" t="s">
        <v>1566</v>
      </c>
      <c r="H171" t="s">
        <v>1573</v>
      </c>
      <c r="I171" s="87">
        <f t="shared" si="14"/>
        <v>0.06</v>
      </c>
      <c r="J171" s="87">
        <f t="shared" si="15"/>
        <v>0.12</v>
      </c>
      <c r="K171" s="87">
        <f t="shared" si="16"/>
        <v>0.67500000000000004</v>
      </c>
      <c r="L171" s="87">
        <f t="shared" si="17"/>
        <v>2.5</v>
      </c>
      <c r="M171" s="87">
        <f t="shared" si="18"/>
        <v>0.27</v>
      </c>
      <c r="N171" s="87">
        <f t="shared" si="19"/>
        <v>2.4249999999999998</v>
      </c>
      <c r="O171" s="87">
        <f t="shared" si="20"/>
        <v>6.05</v>
      </c>
    </row>
    <row r="172" spans="1:15" x14ac:dyDescent="0.3">
      <c r="A172" t="s">
        <v>45</v>
      </c>
      <c r="B172" t="s">
        <v>873</v>
      </c>
      <c r="C172" s="16" t="s">
        <v>272</v>
      </c>
      <c r="D172" s="16">
        <v>3</v>
      </c>
      <c r="E172" t="s">
        <v>1524</v>
      </c>
      <c r="F172" t="s">
        <v>1658</v>
      </c>
      <c r="G172" t="s">
        <v>1566</v>
      </c>
      <c r="H172" t="s">
        <v>1573</v>
      </c>
      <c r="I172" s="87">
        <f t="shared" si="14"/>
        <v>0.06</v>
      </c>
      <c r="J172" s="87">
        <f t="shared" si="15"/>
        <v>0.12</v>
      </c>
      <c r="K172" s="87">
        <f t="shared" si="16"/>
        <v>0.67500000000000004</v>
      </c>
      <c r="L172" s="87">
        <f t="shared" si="17"/>
        <v>2.5</v>
      </c>
      <c r="M172" s="87">
        <f t="shared" si="18"/>
        <v>0.27</v>
      </c>
      <c r="N172" s="87">
        <f t="shared" si="19"/>
        <v>2.4249999999999998</v>
      </c>
      <c r="O172" s="87">
        <f t="shared" si="20"/>
        <v>6.05</v>
      </c>
    </row>
    <row r="173" spans="1:15" x14ac:dyDescent="0.3">
      <c r="A173" t="s">
        <v>45</v>
      </c>
      <c r="B173" t="s">
        <v>874</v>
      </c>
      <c r="C173" s="16" t="s">
        <v>272</v>
      </c>
      <c r="D173" s="16">
        <v>3</v>
      </c>
      <c r="E173" t="s">
        <v>1524</v>
      </c>
      <c r="F173" t="s">
        <v>282</v>
      </c>
      <c r="G173" t="s">
        <v>1566</v>
      </c>
      <c r="H173" t="s">
        <v>344</v>
      </c>
      <c r="I173" s="87">
        <f t="shared" si="14"/>
        <v>0.06</v>
      </c>
      <c r="J173" s="87">
        <f t="shared" si="15"/>
        <v>0.12</v>
      </c>
      <c r="K173" s="87">
        <f t="shared" si="16"/>
        <v>0.67500000000000004</v>
      </c>
      <c r="L173" s="87">
        <f t="shared" si="17"/>
        <v>1.925</v>
      </c>
      <c r="M173" s="87">
        <f t="shared" si="18"/>
        <v>0.27</v>
      </c>
      <c r="N173" s="87">
        <f t="shared" si="19"/>
        <v>1.825</v>
      </c>
      <c r="O173" s="87">
        <f t="shared" si="20"/>
        <v>4.875</v>
      </c>
    </row>
    <row r="174" spans="1:15" x14ac:dyDescent="0.3">
      <c r="A174" t="s">
        <v>45</v>
      </c>
      <c r="B174" t="s">
        <v>875</v>
      </c>
      <c r="C174" s="16" t="s">
        <v>272</v>
      </c>
      <c r="D174" s="16">
        <v>2</v>
      </c>
      <c r="E174" t="s">
        <v>1524</v>
      </c>
      <c r="F174" t="s">
        <v>282</v>
      </c>
      <c r="G174" t="s">
        <v>1566</v>
      </c>
      <c r="H174" t="s">
        <v>344</v>
      </c>
      <c r="I174" s="87">
        <f t="shared" si="14"/>
        <v>0.06</v>
      </c>
      <c r="J174" s="87">
        <f t="shared" si="15"/>
        <v>0.89000000000000012</v>
      </c>
      <c r="K174" s="87">
        <f t="shared" si="16"/>
        <v>0.67500000000000004</v>
      </c>
      <c r="L174" s="87">
        <f t="shared" si="17"/>
        <v>1.925</v>
      </c>
      <c r="M174" s="87">
        <f t="shared" si="18"/>
        <v>0.27</v>
      </c>
      <c r="N174" s="87">
        <f t="shared" si="19"/>
        <v>1.825</v>
      </c>
      <c r="O174" s="87">
        <f t="shared" si="20"/>
        <v>5.6450000000000005</v>
      </c>
    </row>
    <row r="175" spans="1:15" x14ac:dyDescent="0.3">
      <c r="A175" t="s">
        <v>45</v>
      </c>
      <c r="B175" t="s">
        <v>876</v>
      </c>
      <c r="C175" s="16" t="s">
        <v>272</v>
      </c>
      <c r="D175" s="16">
        <v>2</v>
      </c>
      <c r="E175" t="s">
        <v>1524</v>
      </c>
      <c r="F175" t="s">
        <v>282</v>
      </c>
      <c r="G175" t="s">
        <v>1566</v>
      </c>
      <c r="H175" t="s">
        <v>344</v>
      </c>
      <c r="I175" s="87">
        <f t="shared" si="14"/>
        <v>0.06</v>
      </c>
      <c r="J175" s="87">
        <f t="shared" si="15"/>
        <v>0.89000000000000012</v>
      </c>
      <c r="K175" s="87">
        <f t="shared" si="16"/>
        <v>0.67500000000000004</v>
      </c>
      <c r="L175" s="87">
        <f t="shared" si="17"/>
        <v>1.925</v>
      </c>
      <c r="M175" s="87">
        <f t="shared" si="18"/>
        <v>0.27</v>
      </c>
      <c r="N175" s="87">
        <f t="shared" si="19"/>
        <v>1.825</v>
      </c>
      <c r="O175" s="87">
        <f t="shared" si="20"/>
        <v>5.6450000000000005</v>
      </c>
    </row>
    <row r="176" spans="1:15" x14ac:dyDescent="0.3">
      <c r="A176" t="s">
        <v>45</v>
      </c>
      <c r="B176" t="s">
        <v>877</v>
      </c>
      <c r="C176" s="16" t="s">
        <v>272</v>
      </c>
      <c r="D176" s="16">
        <v>3</v>
      </c>
      <c r="E176" t="s">
        <v>1524</v>
      </c>
      <c r="F176" t="s">
        <v>282</v>
      </c>
      <c r="G176" t="s">
        <v>1566</v>
      </c>
      <c r="H176" t="s">
        <v>1573</v>
      </c>
      <c r="I176" s="87">
        <f t="shared" si="14"/>
        <v>0.06</v>
      </c>
      <c r="J176" s="87">
        <f t="shared" si="15"/>
        <v>0.12</v>
      </c>
      <c r="K176" s="87">
        <f t="shared" si="16"/>
        <v>0.67500000000000004</v>
      </c>
      <c r="L176" s="87">
        <f t="shared" si="17"/>
        <v>1.925</v>
      </c>
      <c r="M176" s="87">
        <f t="shared" si="18"/>
        <v>0.27</v>
      </c>
      <c r="N176" s="87">
        <f t="shared" si="19"/>
        <v>2.4249999999999998</v>
      </c>
      <c r="O176" s="87">
        <f t="shared" si="20"/>
        <v>5.4749999999999996</v>
      </c>
    </row>
    <row r="177" spans="1:15" x14ac:dyDescent="0.3">
      <c r="A177" t="s">
        <v>45</v>
      </c>
      <c r="B177" t="s">
        <v>878</v>
      </c>
      <c r="C177" s="16" t="s">
        <v>272</v>
      </c>
      <c r="D177" s="16">
        <v>3</v>
      </c>
      <c r="E177" t="s">
        <v>1524</v>
      </c>
      <c r="F177" t="s">
        <v>1658</v>
      </c>
      <c r="G177" t="s">
        <v>1566</v>
      </c>
      <c r="H177" t="s">
        <v>1573</v>
      </c>
      <c r="I177" s="87">
        <f t="shared" si="14"/>
        <v>0.06</v>
      </c>
      <c r="J177" s="87">
        <f t="shared" si="15"/>
        <v>0.12</v>
      </c>
      <c r="K177" s="87">
        <f t="shared" si="16"/>
        <v>0.67500000000000004</v>
      </c>
      <c r="L177" s="87">
        <f t="shared" si="17"/>
        <v>2.5</v>
      </c>
      <c r="M177" s="87">
        <f t="shared" si="18"/>
        <v>0.27</v>
      </c>
      <c r="N177" s="87">
        <f t="shared" si="19"/>
        <v>2.4249999999999998</v>
      </c>
      <c r="O177" s="87">
        <f t="shared" si="20"/>
        <v>6.05</v>
      </c>
    </row>
    <row r="178" spans="1:15" x14ac:dyDescent="0.3">
      <c r="A178" t="s">
        <v>45</v>
      </c>
      <c r="B178" t="s">
        <v>879</v>
      </c>
      <c r="C178" s="16" t="s">
        <v>272</v>
      </c>
      <c r="D178" s="16">
        <v>3</v>
      </c>
      <c r="E178" t="s">
        <v>1524</v>
      </c>
      <c r="F178" t="s">
        <v>1658</v>
      </c>
      <c r="G178" t="s">
        <v>1566</v>
      </c>
      <c r="H178" t="s">
        <v>1573</v>
      </c>
      <c r="I178" s="87">
        <f t="shared" si="14"/>
        <v>0.06</v>
      </c>
      <c r="J178" s="87">
        <f t="shared" si="15"/>
        <v>0.12</v>
      </c>
      <c r="K178" s="87">
        <f t="shared" si="16"/>
        <v>0.67500000000000004</v>
      </c>
      <c r="L178" s="87">
        <f t="shared" si="17"/>
        <v>2.5</v>
      </c>
      <c r="M178" s="87">
        <f t="shared" si="18"/>
        <v>0.27</v>
      </c>
      <c r="N178" s="87">
        <f t="shared" si="19"/>
        <v>2.4249999999999998</v>
      </c>
      <c r="O178" s="87">
        <f t="shared" si="20"/>
        <v>6.05</v>
      </c>
    </row>
    <row r="179" spans="1:15" x14ac:dyDescent="0.3">
      <c r="A179" t="s">
        <v>45</v>
      </c>
      <c r="B179" t="s">
        <v>880</v>
      </c>
      <c r="C179" s="16" t="s">
        <v>272</v>
      </c>
      <c r="D179" s="16">
        <v>3</v>
      </c>
      <c r="E179" t="s">
        <v>1524</v>
      </c>
      <c r="F179" t="s">
        <v>1534</v>
      </c>
      <c r="G179" t="s">
        <v>1566</v>
      </c>
      <c r="H179" t="s">
        <v>344</v>
      </c>
      <c r="I179" s="87">
        <f t="shared" si="14"/>
        <v>0.06</v>
      </c>
      <c r="J179" s="87">
        <f t="shared" si="15"/>
        <v>0.12</v>
      </c>
      <c r="K179" s="87">
        <f t="shared" si="16"/>
        <v>0.67500000000000004</v>
      </c>
      <c r="L179" s="87">
        <f t="shared" si="17"/>
        <v>2.4500000000000002</v>
      </c>
      <c r="M179" s="87">
        <f t="shared" si="18"/>
        <v>0.27</v>
      </c>
      <c r="N179" s="87">
        <f t="shared" si="19"/>
        <v>1.825</v>
      </c>
      <c r="O179" s="87">
        <f t="shared" si="20"/>
        <v>5.4</v>
      </c>
    </row>
    <row r="180" spans="1:15" x14ac:dyDescent="0.3">
      <c r="A180" t="s">
        <v>45</v>
      </c>
      <c r="B180" t="s">
        <v>881</v>
      </c>
      <c r="C180" s="16" t="s">
        <v>272</v>
      </c>
      <c r="D180" s="16">
        <v>3</v>
      </c>
      <c r="E180" t="s">
        <v>1524</v>
      </c>
      <c r="F180" t="s">
        <v>1534</v>
      </c>
      <c r="G180" t="s">
        <v>1567</v>
      </c>
      <c r="H180" t="s">
        <v>344</v>
      </c>
      <c r="I180" s="87">
        <f t="shared" si="14"/>
        <v>0.06</v>
      </c>
      <c r="J180" s="87">
        <f t="shared" si="15"/>
        <v>0.12</v>
      </c>
      <c r="K180" s="87">
        <f t="shared" si="16"/>
        <v>0.67500000000000004</v>
      </c>
      <c r="L180" s="87">
        <f t="shared" si="17"/>
        <v>2.4500000000000002</v>
      </c>
      <c r="M180" s="87">
        <f t="shared" si="18"/>
        <v>0.32000000000000006</v>
      </c>
      <c r="N180" s="87">
        <f t="shared" si="19"/>
        <v>1.825</v>
      </c>
      <c r="O180" s="87">
        <f t="shared" si="20"/>
        <v>5.45</v>
      </c>
    </row>
    <row r="181" spans="1:15" x14ac:dyDescent="0.3">
      <c r="A181" t="s">
        <v>45</v>
      </c>
      <c r="B181" t="s">
        <v>882</v>
      </c>
      <c r="C181" s="16" t="s">
        <v>272</v>
      </c>
      <c r="D181" s="16">
        <v>3</v>
      </c>
      <c r="E181" t="s">
        <v>1524</v>
      </c>
      <c r="F181" t="s">
        <v>1536</v>
      </c>
      <c r="G181" t="s">
        <v>1566</v>
      </c>
      <c r="H181" t="s">
        <v>1573</v>
      </c>
      <c r="I181" s="87">
        <f t="shared" si="14"/>
        <v>0.06</v>
      </c>
      <c r="J181" s="87">
        <f t="shared" si="15"/>
        <v>0.12</v>
      </c>
      <c r="K181" s="87">
        <f t="shared" si="16"/>
        <v>0.67500000000000004</v>
      </c>
      <c r="L181" s="87">
        <f t="shared" si="17"/>
        <v>2.4750000000000001</v>
      </c>
      <c r="M181" s="87">
        <f t="shared" si="18"/>
        <v>0.27</v>
      </c>
      <c r="N181" s="87">
        <f t="shared" si="19"/>
        <v>2.4249999999999998</v>
      </c>
      <c r="O181" s="87">
        <f t="shared" si="20"/>
        <v>6.0250000000000004</v>
      </c>
    </row>
    <row r="182" spans="1:15" x14ac:dyDescent="0.3">
      <c r="A182" t="s">
        <v>45</v>
      </c>
      <c r="B182" t="s">
        <v>883</v>
      </c>
      <c r="C182" s="16" t="s">
        <v>272</v>
      </c>
      <c r="D182" s="16">
        <v>3</v>
      </c>
      <c r="E182" t="s">
        <v>1524</v>
      </c>
      <c r="F182" t="s">
        <v>1540</v>
      </c>
      <c r="G182" t="s">
        <v>1566</v>
      </c>
      <c r="H182" t="s">
        <v>1574</v>
      </c>
      <c r="I182" s="87">
        <f t="shared" si="14"/>
        <v>0.06</v>
      </c>
      <c r="J182" s="87">
        <f t="shared" si="15"/>
        <v>0.12</v>
      </c>
      <c r="K182" s="87">
        <f t="shared" si="16"/>
        <v>0.67500000000000004</v>
      </c>
      <c r="L182" s="87">
        <f t="shared" si="17"/>
        <v>2.375</v>
      </c>
      <c r="M182" s="87">
        <f t="shared" si="18"/>
        <v>0.27</v>
      </c>
      <c r="N182" s="87">
        <f t="shared" si="19"/>
        <v>2.375</v>
      </c>
      <c r="O182" s="87">
        <f t="shared" si="20"/>
        <v>5.875</v>
      </c>
    </row>
    <row r="183" spans="1:15" x14ac:dyDescent="0.3">
      <c r="A183" t="s">
        <v>45</v>
      </c>
      <c r="B183" t="s">
        <v>884</v>
      </c>
      <c r="C183" s="16" t="s">
        <v>272</v>
      </c>
      <c r="D183" s="16">
        <v>3</v>
      </c>
      <c r="E183" t="s">
        <v>1524</v>
      </c>
      <c r="F183" t="s">
        <v>1536</v>
      </c>
      <c r="G183" t="s">
        <v>1566</v>
      </c>
      <c r="H183" t="s">
        <v>1574</v>
      </c>
      <c r="I183" s="87">
        <f t="shared" si="14"/>
        <v>0.06</v>
      </c>
      <c r="J183" s="87">
        <f t="shared" si="15"/>
        <v>0.12</v>
      </c>
      <c r="K183" s="87">
        <f t="shared" si="16"/>
        <v>0.67500000000000004</v>
      </c>
      <c r="L183" s="87">
        <f t="shared" si="17"/>
        <v>2.4750000000000001</v>
      </c>
      <c r="M183" s="87">
        <f t="shared" si="18"/>
        <v>0.27</v>
      </c>
      <c r="N183" s="87">
        <f t="shared" si="19"/>
        <v>2.375</v>
      </c>
      <c r="O183" s="87">
        <f t="shared" si="20"/>
        <v>5.9749999999999996</v>
      </c>
    </row>
    <row r="184" spans="1:15" x14ac:dyDescent="0.3">
      <c r="A184" t="s">
        <v>45</v>
      </c>
      <c r="B184" t="s">
        <v>885</v>
      </c>
      <c r="C184" s="16" t="s">
        <v>272</v>
      </c>
      <c r="D184" s="16">
        <v>3</v>
      </c>
      <c r="E184" t="s">
        <v>1524</v>
      </c>
      <c r="F184" t="s">
        <v>1534</v>
      </c>
      <c r="G184" t="s">
        <v>341</v>
      </c>
      <c r="H184" t="s">
        <v>344</v>
      </c>
      <c r="I184" s="87">
        <f t="shared" si="14"/>
        <v>0.06</v>
      </c>
      <c r="J184" s="87">
        <f t="shared" si="15"/>
        <v>0.12</v>
      </c>
      <c r="K184" s="87">
        <f t="shared" si="16"/>
        <v>0.67500000000000004</v>
      </c>
      <c r="L184" s="87">
        <f t="shared" si="17"/>
        <v>2.4500000000000002</v>
      </c>
      <c r="M184" s="87">
        <f t="shared" si="18"/>
        <v>0.48</v>
      </c>
      <c r="N184" s="87">
        <f t="shared" si="19"/>
        <v>1.825</v>
      </c>
      <c r="O184" s="87">
        <f t="shared" si="20"/>
        <v>5.61</v>
      </c>
    </row>
    <row r="185" spans="1:15" x14ac:dyDescent="0.3">
      <c r="A185" t="s">
        <v>45</v>
      </c>
      <c r="B185" t="s">
        <v>886</v>
      </c>
      <c r="C185" s="16" t="s">
        <v>272</v>
      </c>
      <c r="D185" s="16">
        <v>3</v>
      </c>
      <c r="E185" t="s">
        <v>1524</v>
      </c>
      <c r="F185" t="s">
        <v>1534</v>
      </c>
      <c r="G185" t="s">
        <v>1567</v>
      </c>
      <c r="H185" t="s">
        <v>344</v>
      </c>
      <c r="I185" s="87">
        <f t="shared" si="14"/>
        <v>0.06</v>
      </c>
      <c r="J185" s="87">
        <f t="shared" si="15"/>
        <v>0.12</v>
      </c>
      <c r="K185" s="87">
        <f t="shared" si="16"/>
        <v>0.67500000000000004</v>
      </c>
      <c r="L185" s="87">
        <f t="shared" si="17"/>
        <v>2.4500000000000002</v>
      </c>
      <c r="M185" s="87">
        <f t="shared" si="18"/>
        <v>0.32000000000000006</v>
      </c>
      <c r="N185" s="87">
        <f t="shared" si="19"/>
        <v>1.825</v>
      </c>
      <c r="O185" s="87">
        <f t="shared" si="20"/>
        <v>5.45</v>
      </c>
    </row>
    <row r="186" spans="1:15" x14ac:dyDescent="0.3">
      <c r="A186" t="s">
        <v>45</v>
      </c>
      <c r="B186" t="s">
        <v>887</v>
      </c>
      <c r="C186" s="16" t="s">
        <v>272</v>
      </c>
      <c r="D186" s="16">
        <v>3</v>
      </c>
      <c r="E186" t="s">
        <v>1524</v>
      </c>
      <c r="F186" t="s">
        <v>1658</v>
      </c>
      <c r="G186" t="s">
        <v>341</v>
      </c>
      <c r="H186" t="s">
        <v>344</v>
      </c>
      <c r="I186" s="87">
        <f t="shared" si="14"/>
        <v>0.06</v>
      </c>
      <c r="J186" s="87">
        <f t="shared" si="15"/>
        <v>0.12</v>
      </c>
      <c r="K186" s="87">
        <f t="shared" si="16"/>
        <v>0.67500000000000004</v>
      </c>
      <c r="L186" s="87">
        <f t="shared" si="17"/>
        <v>2.5</v>
      </c>
      <c r="M186" s="87">
        <f t="shared" si="18"/>
        <v>0.48</v>
      </c>
      <c r="N186" s="87">
        <f t="shared" si="19"/>
        <v>1.825</v>
      </c>
      <c r="O186" s="87">
        <f t="shared" si="20"/>
        <v>5.66</v>
      </c>
    </row>
    <row r="187" spans="1:15" x14ac:dyDescent="0.3">
      <c r="A187" t="s">
        <v>45</v>
      </c>
      <c r="B187" t="s">
        <v>888</v>
      </c>
      <c r="C187" s="16" t="s">
        <v>272</v>
      </c>
      <c r="D187" s="16">
        <v>3</v>
      </c>
      <c r="E187" t="s">
        <v>1524</v>
      </c>
      <c r="F187" t="s">
        <v>1534</v>
      </c>
      <c r="G187" t="s">
        <v>1567</v>
      </c>
      <c r="H187" t="s">
        <v>344</v>
      </c>
      <c r="I187" s="87">
        <f t="shared" si="14"/>
        <v>0.06</v>
      </c>
      <c r="J187" s="87">
        <f t="shared" si="15"/>
        <v>0.12</v>
      </c>
      <c r="K187" s="87">
        <f t="shared" si="16"/>
        <v>0.67500000000000004</v>
      </c>
      <c r="L187" s="87">
        <f t="shared" si="17"/>
        <v>2.4500000000000002</v>
      </c>
      <c r="M187" s="87">
        <f t="shared" si="18"/>
        <v>0.32000000000000006</v>
      </c>
      <c r="N187" s="87">
        <f t="shared" si="19"/>
        <v>1.825</v>
      </c>
      <c r="O187" s="87">
        <f t="shared" si="20"/>
        <v>5.45</v>
      </c>
    </row>
    <row r="188" spans="1:15" x14ac:dyDescent="0.3">
      <c r="A188" t="s">
        <v>45</v>
      </c>
      <c r="B188" t="s">
        <v>889</v>
      </c>
      <c r="C188" s="16" t="s">
        <v>272</v>
      </c>
      <c r="D188" s="16">
        <v>3</v>
      </c>
      <c r="E188" t="s">
        <v>1524</v>
      </c>
      <c r="F188" t="s">
        <v>1536</v>
      </c>
      <c r="G188" t="s">
        <v>1566</v>
      </c>
      <c r="H188" t="s">
        <v>1573</v>
      </c>
      <c r="I188" s="87">
        <f t="shared" si="14"/>
        <v>0.06</v>
      </c>
      <c r="J188" s="87">
        <f t="shared" si="15"/>
        <v>0.12</v>
      </c>
      <c r="K188" s="87">
        <f t="shared" si="16"/>
        <v>0.67500000000000004</v>
      </c>
      <c r="L188" s="87">
        <f t="shared" si="17"/>
        <v>2.4750000000000001</v>
      </c>
      <c r="M188" s="87">
        <f t="shared" si="18"/>
        <v>0.27</v>
      </c>
      <c r="N188" s="87">
        <f t="shared" si="19"/>
        <v>2.4249999999999998</v>
      </c>
      <c r="O188" s="87">
        <f t="shared" si="20"/>
        <v>6.0250000000000004</v>
      </c>
    </row>
    <row r="189" spans="1:15" x14ac:dyDescent="0.3">
      <c r="A189" t="s">
        <v>43</v>
      </c>
      <c r="B189" t="s">
        <v>890</v>
      </c>
      <c r="C189" s="16" t="s">
        <v>272</v>
      </c>
      <c r="D189" s="16">
        <v>3</v>
      </c>
      <c r="E189" t="s">
        <v>1524</v>
      </c>
      <c r="F189" t="s">
        <v>282</v>
      </c>
      <c r="G189" t="s">
        <v>1567</v>
      </c>
      <c r="H189" t="s">
        <v>344</v>
      </c>
      <c r="I189" s="87">
        <f t="shared" si="14"/>
        <v>0.06</v>
      </c>
      <c r="J189" s="87">
        <f t="shared" si="15"/>
        <v>0.12</v>
      </c>
      <c r="K189" s="87">
        <f t="shared" si="16"/>
        <v>0.67500000000000004</v>
      </c>
      <c r="L189" s="87">
        <f t="shared" si="17"/>
        <v>1.925</v>
      </c>
      <c r="M189" s="87">
        <f t="shared" si="18"/>
        <v>0.32000000000000006</v>
      </c>
      <c r="N189" s="87">
        <f t="shared" si="19"/>
        <v>1.825</v>
      </c>
      <c r="O189" s="87">
        <f t="shared" si="20"/>
        <v>4.9250000000000007</v>
      </c>
    </row>
    <row r="190" spans="1:15" x14ac:dyDescent="0.3">
      <c r="A190" t="s">
        <v>43</v>
      </c>
      <c r="B190" t="s">
        <v>891</v>
      </c>
      <c r="C190" s="16" t="s">
        <v>273</v>
      </c>
      <c r="D190" s="16">
        <v>2</v>
      </c>
      <c r="E190" t="s">
        <v>1525</v>
      </c>
      <c r="F190" t="s">
        <v>282</v>
      </c>
      <c r="G190" t="s">
        <v>1568</v>
      </c>
      <c r="H190" t="s">
        <v>344</v>
      </c>
      <c r="I190" s="87">
        <f t="shared" si="14"/>
        <v>0.94000000000000006</v>
      </c>
      <c r="J190" s="87">
        <f t="shared" si="15"/>
        <v>0.89000000000000012</v>
      </c>
      <c r="K190" s="87">
        <f t="shared" si="16"/>
        <v>2.0750000000000002</v>
      </c>
      <c r="L190" s="87">
        <f t="shared" si="17"/>
        <v>1.925</v>
      </c>
      <c r="M190" s="87">
        <f t="shared" si="18"/>
        <v>0.44500000000000006</v>
      </c>
      <c r="N190" s="87">
        <f t="shared" si="19"/>
        <v>1.825</v>
      </c>
      <c r="O190" s="87">
        <f t="shared" si="20"/>
        <v>8.1</v>
      </c>
    </row>
    <row r="191" spans="1:15" x14ac:dyDescent="0.3">
      <c r="A191" t="s">
        <v>43</v>
      </c>
      <c r="B191" t="s">
        <v>892</v>
      </c>
      <c r="C191" s="16" t="s">
        <v>272</v>
      </c>
      <c r="D191" s="16">
        <v>3</v>
      </c>
      <c r="E191" t="s">
        <v>1524</v>
      </c>
      <c r="F191" t="s">
        <v>282</v>
      </c>
      <c r="G191" t="s">
        <v>1567</v>
      </c>
      <c r="H191" t="s">
        <v>344</v>
      </c>
      <c r="I191" s="87">
        <f t="shared" si="14"/>
        <v>0.06</v>
      </c>
      <c r="J191" s="87">
        <f t="shared" si="15"/>
        <v>0.12</v>
      </c>
      <c r="K191" s="87">
        <f t="shared" si="16"/>
        <v>0.67500000000000004</v>
      </c>
      <c r="L191" s="87">
        <f t="shared" si="17"/>
        <v>1.925</v>
      </c>
      <c r="M191" s="87">
        <f t="shared" si="18"/>
        <v>0.32000000000000006</v>
      </c>
      <c r="N191" s="87">
        <f t="shared" si="19"/>
        <v>1.825</v>
      </c>
      <c r="O191" s="87">
        <f t="shared" si="20"/>
        <v>4.9250000000000007</v>
      </c>
    </row>
    <row r="192" spans="1:15" x14ac:dyDescent="0.3">
      <c r="A192" t="s">
        <v>43</v>
      </c>
      <c r="B192" t="s">
        <v>893</v>
      </c>
      <c r="C192" s="16" t="s">
        <v>272</v>
      </c>
      <c r="D192" s="16">
        <v>3</v>
      </c>
      <c r="E192" t="s">
        <v>1524</v>
      </c>
      <c r="F192" t="s">
        <v>282</v>
      </c>
      <c r="G192" t="s">
        <v>1567</v>
      </c>
      <c r="H192" t="s">
        <v>377</v>
      </c>
      <c r="I192" s="87">
        <f t="shared" si="14"/>
        <v>0.06</v>
      </c>
      <c r="J192" s="87">
        <f t="shared" si="15"/>
        <v>0.12</v>
      </c>
      <c r="K192" s="87">
        <f t="shared" si="16"/>
        <v>0.67500000000000004</v>
      </c>
      <c r="L192" s="87">
        <f t="shared" si="17"/>
        <v>1.925</v>
      </c>
      <c r="M192" s="87">
        <f t="shared" si="18"/>
        <v>0.32000000000000006</v>
      </c>
      <c r="N192" s="87">
        <f t="shared" si="19"/>
        <v>2.4249999999999998</v>
      </c>
      <c r="O192" s="87">
        <f t="shared" si="20"/>
        <v>5.5250000000000004</v>
      </c>
    </row>
    <row r="193" spans="1:15" x14ac:dyDescent="0.3">
      <c r="A193" t="s">
        <v>43</v>
      </c>
      <c r="B193" t="s">
        <v>894</v>
      </c>
      <c r="C193" s="16" t="s">
        <v>272</v>
      </c>
      <c r="D193" s="16">
        <v>3</v>
      </c>
      <c r="E193" t="s">
        <v>1524</v>
      </c>
      <c r="F193" t="s">
        <v>282</v>
      </c>
      <c r="G193" t="s">
        <v>1566</v>
      </c>
      <c r="H193" t="s">
        <v>291</v>
      </c>
      <c r="I193" s="87">
        <f t="shared" si="14"/>
        <v>0.06</v>
      </c>
      <c r="J193" s="87">
        <f t="shared" si="15"/>
        <v>0.12</v>
      </c>
      <c r="K193" s="87">
        <f t="shared" si="16"/>
        <v>0.67500000000000004</v>
      </c>
      <c r="L193" s="87">
        <f t="shared" si="17"/>
        <v>1.925</v>
      </c>
      <c r="M193" s="87">
        <f t="shared" si="18"/>
        <v>0.27</v>
      </c>
      <c r="N193" s="87">
        <f t="shared" si="19"/>
        <v>2.125</v>
      </c>
      <c r="O193" s="87">
        <f t="shared" si="20"/>
        <v>5.1750000000000007</v>
      </c>
    </row>
    <row r="194" spans="1:15" x14ac:dyDescent="0.3">
      <c r="A194" t="s">
        <v>43</v>
      </c>
      <c r="B194" t="s">
        <v>895</v>
      </c>
      <c r="C194" s="16" t="s">
        <v>272</v>
      </c>
      <c r="D194" s="16">
        <v>2</v>
      </c>
      <c r="E194" t="s">
        <v>1524</v>
      </c>
      <c r="F194" t="s">
        <v>282</v>
      </c>
      <c r="G194" t="s">
        <v>341</v>
      </c>
      <c r="H194" t="s">
        <v>377</v>
      </c>
      <c r="I194" s="87">
        <f t="shared" si="14"/>
        <v>0.06</v>
      </c>
      <c r="J194" s="87">
        <f t="shared" si="15"/>
        <v>0.89000000000000012</v>
      </c>
      <c r="K194" s="87">
        <f t="shared" si="16"/>
        <v>0.67500000000000004</v>
      </c>
      <c r="L194" s="87">
        <f t="shared" si="17"/>
        <v>1.925</v>
      </c>
      <c r="M194" s="87">
        <f t="shared" si="18"/>
        <v>0.48</v>
      </c>
      <c r="N194" s="87">
        <f t="shared" si="19"/>
        <v>2.4249999999999998</v>
      </c>
      <c r="O194" s="87">
        <f t="shared" si="20"/>
        <v>6.4550000000000001</v>
      </c>
    </row>
    <row r="195" spans="1:15" x14ac:dyDescent="0.3">
      <c r="A195" t="s">
        <v>43</v>
      </c>
      <c r="B195" t="s">
        <v>896</v>
      </c>
      <c r="C195" s="16" t="s">
        <v>273</v>
      </c>
      <c r="D195" s="16">
        <v>2</v>
      </c>
      <c r="E195" t="s">
        <v>1525</v>
      </c>
      <c r="F195" t="s">
        <v>282</v>
      </c>
      <c r="G195" t="s">
        <v>1568</v>
      </c>
      <c r="H195" t="s">
        <v>344</v>
      </c>
      <c r="I195" s="87">
        <f t="shared" si="14"/>
        <v>0.94000000000000006</v>
      </c>
      <c r="J195" s="87">
        <f t="shared" si="15"/>
        <v>0.89000000000000012</v>
      </c>
      <c r="K195" s="87">
        <f t="shared" si="16"/>
        <v>2.0750000000000002</v>
      </c>
      <c r="L195" s="87">
        <f t="shared" si="17"/>
        <v>1.925</v>
      </c>
      <c r="M195" s="87">
        <f t="shared" si="18"/>
        <v>0.44500000000000006</v>
      </c>
      <c r="N195" s="87">
        <f t="shared" si="19"/>
        <v>1.825</v>
      </c>
      <c r="O195" s="87">
        <f t="shared" si="20"/>
        <v>8.1</v>
      </c>
    </row>
    <row r="196" spans="1:15" x14ac:dyDescent="0.3">
      <c r="A196" t="s">
        <v>43</v>
      </c>
      <c r="B196" t="s">
        <v>897</v>
      </c>
      <c r="C196" s="16" t="s">
        <v>272</v>
      </c>
      <c r="D196" s="16">
        <v>3</v>
      </c>
      <c r="E196" t="s">
        <v>1524</v>
      </c>
      <c r="F196" t="s">
        <v>282</v>
      </c>
      <c r="G196" t="s">
        <v>1567</v>
      </c>
      <c r="H196" t="s">
        <v>377</v>
      </c>
      <c r="I196" s="87">
        <f t="shared" ref="I196:I259" si="21">VLOOKUP(C196,$R$3:$T$4,3,0)*T$1</f>
        <v>0.06</v>
      </c>
      <c r="J196" s="87">
        <f t="shared" ref="J196:J259" si="22">VLOOKUP(D196,$U$3:$W$5,3,0)*W$1</f>
        <v>0.12</v>
      </c>
      <c r="K196" s="87">
        <f t="shared" ref="K196:K259" si="23">VLOOKUP(E196,$X$3:$Z$9,3,0)*Z$1</f>
        <v>0.67500000000000004</v>
      </c>
      <c r="L196" s="87">
        <f t="shared" ref="L196:L259" si="24">VLOOKUP(F196,$AA$3:$AC$32,3,0)*AC$1</f>
        <v>1.925</v>
      </c>
      <c r="M196" s="87">
        <f t="shared" ref="M196:M259" si="25">VLOOKUP(G196,$AD$3:$AF$9,3,0)*AF$1</f>
        <v>0.32000000000000006</v>
      </c>
      <c r="N196" s="87">
        <f t="shared" ref="N196:N259" si="26">VLOOKUP(H196,$AG$3:$AI$15,3,0)*AI$1</f>
        <v>2.4249999999999998</v>
      </c>
      <c r="O196" s="87">
        <f t="shared" ref="O196:O259" si="27">SUM(I196:N196)</f>
        <v>5.5250000000000004</v>
      </c>
    </row>
    <row r="197" spans="1:15" x14ac:dyDescent="0.3">
      <c r="A197" t="s">
        <v>43</v>
      </c>
      <c r="B197" t="s">
        <v>898</v>
      </c>
      <c r="C197" s="16" t="s">
        <v>272</v>
      </c>
      <c r="D197" s="16">
        <v>3</v>
      </c>
      <c r="E197" t="s">
        <v>1524</v>
      </c>
      <c r="F197" t="s">
        <v>282</v>
      </c>
      <c r="G197" t="s">
        <v>1567</v>
      </c>
      <c r="H197" t="s">
        <v>377</v>
      </c>
      <c r="I197" s="87">
        <f t="shared" si="21"/>
        <v>0.06</v>
      </c>
      <c r="J197" s="87">
        <f t="shared" si="22"/>
        <v>0.12</v>
      </c>
      <c r="K197" s="87">
        <f t="shared" si="23"/>
        <v>0.67500000000000004</v>
      </c>
      <c r="L197" s="87">
        <f t="shared" si="24"/>
        <v>1.925</v>
      </c>
      <c r="M197" s="87">
        <f t="shared" si="25"/>
        <v>0.32000000000000006</v>
      </c>
      <c r="N197" s="87">
        <f t="shared" si="26"/>
        <v>2.4249999999999998</v>
      </c>
      <c r="O197" s="87">
        <f t="shared" si="27"/>
        <v>5.5250000000000004</v>
      </c>
    </row>
    <row r="198" spans="1:15" x14ac:dyDescent="0.3">
      <c r="A198" t="s">
        <v>43</v>
      </c>
      <c r="B198" t="s">
        <v>899</v>
      </c>
      <c r="C198" s="16" t="s">
        <v>272</v>
      </c>
      <c r="D198" s="16">
        <v>3</v>
      </c>
      <c r="E198" t="s">
        <v>1524</v>
      </c>
      <c r="F198" t="s">
        <v>282</v>
      </c>
      <c r="G198" t="s">
        <v>1567</v>
      </c>
      <c r="H198" t="s">
        <v>344</v>
      </c>
      <c r="I198" s="87">
        <f t="shared" si="21"/>
        <v>0.06</v>
      </c>
      <c r="J198" s="87">
        <f t="shared" si="22"/>
        <v>0.12</v>
      </c>
      <c r="K198" s="87">
        <f t="shared" si="23"/>
        <v>0.67500000000000004</v>
      </c>
      <c r="L198" s="87">
        <f t="shared" si="24"/>
        <v>1.925</v>
      </c>
      <c r="M198" s="87">
        <f t="shared" si="25"/>
        <v>0.32000000000000006</v>
      </c>
      <c r="N198" s="87">
        <f t="shared" si="26"/>
        <v>1.825</v>
      </c>
      <c r="O198" s="87">
        <f t="shared" si="27"/>
        <v>4.9250000000000007</v>
      </c>
    </row>
    <row r="199" spans="1:15" x14ac:dyDescent="0.3">
      <c r="A199" t="s">
        <v>43</v>
      </c>
      <c r="B199" t="s">
        <v>900</v>
      </c>
      <c r="C199" s="16" t="s">
        <v>272</v>
      </c>
      <c r="D199" s="16">
        <v>3</v>
      </c>
      <c r="E199" t="s">
        <v>1524</v>
      </c>
      <c r="F199" t="s">
        <v>282</v>
      </c>
      <c r="G199" t="s">
        <v>1567</v>
      </c>
      <c r="H199" t="s">
        <v>377</v>
      </c>
      <c r="I199" s="87">
        <f t="shared" si="21"/>
        <v>0.06</v>
      </c>
      <c r="J199" s="87">
        <f t="shared" si="22"/>
        <v>0.12</v>
      </c>
      <c r="K199" s="87">
        <f t="shared" si="23"/>
        <v>0.67500000000000004</v>
      </c>
      <c r="L199" s="87">
        <f t="shared" si="24"/>
        <v>1.925</v>
      </c>
      <c r="M199" s="87">
        <f t="shared" si="25"/>
        <v>0.32000000000000006</v>
      </c>
      <c r="N199" s="87">
        <f t="shared" si="26"/>
        <v>2.4249999999999998</v>
      </c>
      <c r="O199" s="87">
        <f t="shared" si="27"/>
        <v>5.5250000000000004</v>
      </c>
    </row>
    <row r="200" spans="1:15" x14ac:dyDescent="0.3">
      <c r="A200" t="s">
        <v>43</v>
      </c>
      <c r="B200" t="s">
        <v>901</v>
      </c>
      <c r="C200" s="16" t="s">
        <v>273</v>
      </c>
      <c r="D200" s="16">
        <v>2</v>
      </c>
      <c r="E200" t="s">
        <v>1525</v>
      </c>
      <c r="F200" t="s">
        <v>282</v>
      </c>
      <c r="G200" t="s">
        <v>1568</v>
      </c>
      <c r="H200" t="s">
        <v>344</v>
      </c>
      <c r="I200" s="87">
        <f t="shared" si="21"/>
        <v>0.94000000000000006</v>
      </c>
      <c r="J200" s="87">
        <f t="shared" si="22"/>
        <v>0.89000000000000012</v>
      </c>
      <c r="K200" s="87">
        <f t="shared" si="23"/>
        <v>2.0750000000000002</v>
      </c>
      <c r="L200" s="87">
        <f t="shared" si="24"/>
        <v>1.925</v>
      </c>
      <c r="M200" s="87">
        <f t="shared" si="25"/>
        <v>0.44500000000000006</v>
      </c>
      <c r="N200" s="87">
        <f t="shared" si="26"/>
        <v>1.825</v>
      </c>
      <c r="O200" s="87">
        <f t="shared" si="27"/>
        <v>8.1</v>
      </c>
    </row>
    <row r="201" spans="1:15" x14ac:dyDescent="0.3">
      <c r="A201" t="s">
        <v>43</v>
      </c>
      <c r="B201" t="s">
        <v>902</v>
      </c>
      <c r="C201" s="16" t="s">
        <v>273</v>
      </c>
      <c r="D201" s="16">
        <v>2</v>
      </c>
      <c r="E201" t="s">
        <v>1525</v>
      </c>
      <c r="F201" t="s">
        <v>283</v>
      </c>
      <c r="G201" t="s">
        <v>1566</v>
      </c>
      <c r="H201" t="s">
        <v>1571</v>
      </c>
      <c r="I201" s="87">
        <f t="shared" si="21"/>
        <v>0.94000000000000006</v>
      </c>
      <c r="J201" s="87">
        <f t="shared" si="22"/>
        <v>0.89000000000000012</v>
      </c>
      <c r="K201" s="87">
        <f t="shared" si="23"/>
        <v>2.0750000000000002</v>
      </c>
      <c r="L201" s="87">
        <f t="shared" si="24"/>
        <v>2.35</v>
      </c>
      <c r="M201" s="87">
        <f t="shared" si="25"/>
        <v>0.27</v>
      </c>
      <c r="N201" s="87">
        <f t="shared" si="26"/>
        <v>2.375</v>
      </c>
      <c r="O201" s="87">
        <f t="shared" si="27"/>
        <v>8.9</v>
      </c>
    </row>
    <row r="202" spans="1:15" x14ac:dyDescent="0.3">
      <c r="A202" t="s">
        <v>43</v>
      </c>
      <c r="B202" t="s">
        <v>903</v>
      </c>
      <c r="C202" s="16" t="s">
        <v>273</v>
      </c>
      <c r="D202" s="16">
        <v>2</v>
      </c>
      <c r="E202" t="s">
        <v>1525</v>
      </c>
      <c r="F202" t="s">
        <v>283</v>
      </c>
      <c r="G202" t="s">
        <v>1566</v>
      </c>
      <c r="H202" t="s">
        <v>1571</v>
      </c>
      <c r="I202" s="87">
        <f t="shared" si="21"/>
        <v>0.94000000000000006</v>
      </c>
      <c r="J202" s="87">
        <f t="shared" si="22"/>
        <v>0.89000000000000012</v>
      </c>
      <c r="K202" s="87">
        <f t="shared" si="23"/>
        <v>2.0750000000000002</v>
      </c>
      <c r="L202" s="87">
        <f t="shared" si="24"/>
        <v>2.35</v>
      </c>
      <c r="M202" s="87">
        <f t="shared" si="25"/>
        <v>0.27</v>
      </c>
      <c r="N202" s="87">
        <f t="shared" si="26"/>
        <v>2.375</v>
      </c>
      <c r="O202" s="87">
        <f t="shared" si="27"/>
        <v>8.9</v>
      </c>
    </row>
    <row r="203" spans="1:15" x14ac:dyDescent="0.3">
      <c r="A203" t="s">
        <v>43</v>
      </c>
      <c r="B203" t="s">
        <v>904</v>
      </c>
      <c r="C203" s="16" t="s">
        <v>273</v>
      </c>
      <c r="D203" s="16">
        <v>2</v>
      </c>
      <c r="E203" t="s">
        <v>1525</v>
      </c>
      <c r="F203" t="s">
        <v>282</v>
      </c>
      <c r="G203" t="s">
        <v>1566</v>
      </c>
      <c r="H203" t="s">
        <v>344</v>
      </c>
      <c r="I203" s="87">
        <f t="shared" si="21"/>
        <v>0.94000000000000006</v>
      </c>
      <c r="J203" s="87">
        <f t="shared" si="22"/>
        <v>0.89000000000000012</v>
      </c>
      <c r="K203" s="87">
        <f t="shared" si="23"/>
        <v>2.0750000000000002</v>
      </c>
      <c r="L203" s="87">
        <f t="shared" si="24"/>
        <v>1.925</v>
      </c>
      <c r="M203" s="87">
        <f t="shared" si="25"/>
        <v>0.27</v>
      </c>
      <c r="N203" s="87">
        <f t="shared" si="26"/>
        <v>1.825</v>
      </c>
      <c r="O203" s="87">
        <f t="shared" si="27"/>
        <v>7.9249999999999998</v>
      </c>
    </row>
    <row r="204" spans="1:15" x14ac:dyDescent="0.3">
      <c r="A204" t="s">
        <v>43</v>
      </c>
      <c r="B204" t="s">
        <v>905</v>
      </c>
      <c r="C204" s="16" t="s">
        <v>273</v>
      </c>
      <c r="D204" s="16">
        <v>2</v>
      </c>
      <c r="E204" t="s">
        <v>1525</v>
      </c>
      <c r="F204" t="s">
        <v>282</v>
      </c>
      <c r="G204" t="s">
        <v>1566</v>
      </c>
      <c r="H204" t="s">
        <v>344</v>
      </c>
      <c r="I204" s="87">
        <f t="shared" si="21"/>
        <v>0.94000000000000006</v>
      </c>
      <c r="J204" s="87">
        <f t="shared" si="22"/>
        <v>0.89000000000000012</v>
      </c>
      <c r="K204" s="87">
        <f t="shared" si="23"/>
        <v>2.0750000000000002</v>
      </c>
      <c r="L204" s="87">
        <f t="shared" si="24"/>
        <v>1.925</v>
      </c>
      <c r="M204" s="87">
        <f t="shared" si="25"/>
        <v>0.27</v>
      </c>
      <c r="N204" s="87">
        <f t="shared" si="26"/>
        <v>1.825</v>
      </c>
      <c r="O204" s="87">
        <f t="shared" si="27"/>
        <v>7.9249999999999998</v>
      </c>
    </row>
    <row r="205" spans="1:15" x14ac:dyDescent="0.3">
      <c r="A205" t="s">
        <v>43</v>
      </c>
      <c r="B205" t="s">
        <v>906</v>
      </c>
      <c r="C205" s="16" t="s">
        <v>273</v>
      </c>
      <c r="D205" s="16">
        <v>2</v>
      </c>
      <c r="E205" t="s">
        <v>1525</v>
      </c>
      <c r="F205" t="s">
        <v>283</v>
      </c>
      <c r="G205" t="s">
        <v>1568</v>
      </c>
      <c r="H205" t="s">
        <v>347</v>
      </c>
      <c r="I205" s="87">
        <f t="shared" si="21"/>
        <v>0.94000000000000006</v>
      </c>
      <c r="J205" s="87">
        <f t="shared" si="22"/>
        <v>0.89000000000000012</v>
      </c>
      <c r="K205" s="87">
        <f t="shared" si="23"/>
        <v>2.0750000000000002</v>
      </c>
      <c r="L205" s="87">
        <f t="shared" si="24"/>
        <v>2.35</v>
      </c>
      <c r="M205" s="87">
        <f t="shared" si="25"/>
        <v>0.44500000000000006</v>
      </c>
      <c r="N205" s="87">
        <f t="shared" si="26"/>
        <v>2.4249999999999998</v>
      </c>
      <c r="O205" s="87">
        <f t="shared" si="27"/>
        <v>9.125</v>
      </c>
    </row>
    <row r="206" spans="1:15" x14ac:dyDescent="0.3">
      <c r="A206" t="s">
        <v>43</v>
      </c>
      <c r="B206" t="s">
        <v>907</v>
      </c>
      <c r="C206" s="16" t="s">
        <v>273</v>
      </c>
      <c r="D206" s="16">
        <v>2</v>
      </c>
      <c r="E206" t="s">
        <v>1525</v>
      </c>
      <c r="F206" t="s">
        <v>283</v>
      </c>
      <c r="G206" t="s">
        <v>1566</v>
      </c>
      <c r="H206" t="s">
        <v>1571</v>
      </c>
      <c r="I206" s="87">
        <f t="shared" si="21"/>
        <v>0.94000000000000006</v>
      </c>
      <c r="J206" s="87">
        <f t="shared" si="22"/>
        <v>0.89000000000000012</v>
      </c>
      <c r="K206" s="87">
        <f t="shared" si="23"/>
        <v>2.0750000000000002</v>
      </c>
      <c r="L206" s="87">
        <f t="shared" si="24"/>
        <v>2.35</v>
      </c>
      <c r="M206" s="87">
        <f t="shared" si="25"/>
        <v>0.27</v>
      </c>
      <c r="N206" s="87">
        <f t="shared" si="26"/>
        <v>2.375</v>
      </c>
      <c r="O206" s="87">
        <f t="shared" si="27"/>
        <v>8.9</v>
      </c>
    </row>
    <row r="207" spans="1:15" x14ac:dyDescent="0.3">
      <c r="A207" t="s">
        <v>43</v>
      </c>
      <c r="B207" t="s">
        <v>908</v>
      </c>
      <c r="C207" s="16" t="s">
        <v>273</v>
      </c>
      <c r="D207" s="16">
        <v>2</v>
      </c>
      <c r="E207" t="s">
        <v>1525</v>
      </c>
      <c r="F207" t="s">
        <v>273</v>
      </c>
      <c r="G207" t="s">
        <v>1568</v>
      </c>
      <c r="H207" t="s">
        <v>347</v>
      </c>
      <c r="I207" s="87">
        <f t="shared" si="21"/>
        <v>0.94000000000000006</v>
      </c>
      <c r="J207" s="87">
        <f t="shared" si="22"/>
        <v>0.89000000000000012</v>
      </c>
      <c r="K207" s="87">
        <f t="shared" si="23"/>
        <v>2.0750000000000002</v>
      </c>
      <c r="L207" s="87">
        <f t="shared" si="24"/>
        <v>2.4249999999999998</v>
      </c>
      <c r="M207" s="87">
        <f t="shared" si="25"/>
        <v>0.44500000000000006</v>
      </c>
      <c r="N207" s="87">
        <f t="shared" si="26"/>
        <v>2.4249999999999998</v>
      </c>
      <c r="O207" s="87">
        <f t="shared" si="27"/>
        <v>9.1999999999999993</v>
      </c>
    </row>
    <row r="208" spans="1:15" x14ac:dyDescent="0.3">
      <c r="A208" t="s">
        <v>43</v>
      </c>
      <c r="B208" t="s">
        <v>909</v>
      </c>
      <c r="C208" s="16" t="s">
        <v>273</v>
      </c>
      <c r="D208" s="16">
        <v>2</v>
      </c>
      <c r="E208" t="s">
        <v>1525</v>
      </c>
      <c r="F208" t="s">
        <v>273</v>
      </c>
      <c r="G208" t="s">
        <v>1568</v>
      </c>
      <c r="H208" t="s">
        <v>347</v>
      </c>
      <c r="I208" s="87">
        <f t="shared" si="21"/>
        <v>0.94000000000000006</v>
      </c>
      <c r="J208" s="87">
        <f t="shared" si="22"/>
        <v>0.89000000000000012</v>
      </c>
      <c r="K208" s="87">
        <f t="shared" si="23"/>
        <v>2.0750000000000002</v>
      </c>
      <c r="L208" s="87">
        <f t="shared" si="24"/>
        <v>2.4249999999999998</v>
      </c>
      <c r="M208" s="87">
        <f t="shared" si="25"/>
        <v>0.44500000000000006</v>
      </c>
      <c r="N208" s="87">
        <f t="shared" si="26"/>
        <v>2.4249999999999998</v>
      </c>
      <c r="O208" s="87">
        <f t="shared" si="27"/>
        <v>9.1999999999999993</v>
      </c>
    </row>
    <row r="209" spans="1:15" x14ac:dyDescent="0.3">
      <c r="A209" t="s">
        <v>43</v>
      </c>
      <c r="B209" t="s">
        <v>910</v>
      </c>
      <c r="C209" s="16" t="s">
        <v>273</v>
      </c>
      <c r="D209" s="16">
        <v>2</v>
      </c>
      <c r="E209" t="s">
        <v>1525</v>
      </c>
      <c r="F209" t="s">
        <v>282</v>
      </c>
      <c r="G209" t="s">
        <v>1568</v>
      </c>
      <c r="H209" t="s">
        <v>347</v>
      </c>
      <c r="I209" s="87">
        <f t="shared" si="21"/>
        <v>0.94000000000000006</v>
      </c>
      <c r="J209" s="87">
        <f t="shared" si="22"/>
        <v>0.89000000000000012</v>
      </c>
      <c r="K209" s="87">
        <f t="shared" si="23"/>
        <v>2.0750000000000002</v>
      </c>
      <c r="L209" s="87">
        <f t="shared" si="24"/>
        <v>1.925</v>
      </c>
      <c r="M209" s="87">
        <f t="shared" si="25"/>
        <v>0.44500000000000006</v>
      </c>
      <c r="N209" s="87">
        <f t="shared" si="26"/>
        <v>2.4249999999999998</v>
      </c>
      <c r="O209" s="87">
        <f t="shared" si="27"/>
        <v>8.6999999999999993</v>
      </c>
    </row>
    <row r="210" spans="1:15" x14ac:dyDescent="0.3">
      <c r="A210" t="s">
        <v>43</v>
      </c>
      <c r="B210" t="s">
        <v>911</v>
      </c>
      <c r="C210" s="16" t="s">
        <v>272</v>
      </c>
      <c r="D210" s="16">
        <v>2</v>
      </c>
      <c r="E210" t="s">
        <v>1524</v>
      </c>
      <c r="F210" t="s">
        <v>282</v>
      </c>
      <c r="G210" t="s">
        <v>1656</v>
      </c>
      <c r="H210" t="s">
        <v>291</v>
      </c>
      <c r="I210" s="87">
        <f t="shared" si="21"/>
        <v>0.06</v>
      </c>
      <c r="J210" s="87">
        <f t="shared" si="22"/>
        <v>0.89000000000000012</v>
      </c>
      <c r="K210" s="87">
        <f t="shared" si="23"/>
        <v>0.67500000000000004</v>
      </c>
      <c r="L210" s="87">
        <f t="shared" si="24"/>
        <v>1.925</v>
      </c>
      <c r="M210" s="87">
        <f t="shared" si="25"/>
        <v>0.5</v>
      </c>
      <c r="N210" s="87">
        <f t="shared" si="26"/>
        <v>2.125</v>
      </c>
      <c r="O210" s="87">
        <f t="shared" si="27"/>
        <v>6.1750000000000007</v>
      </c>
    </row>
    <row r="211" spans="1:15" x14ac:dyDescent="0.3">
      <c r="A211" t="s">
        <v>43</v>
      </c>
      <c r="B211" t="s">
        <v>912</v>
      </c>
      <c r="C211" s="16" t="s">
        <v>273</v>
      </c>
      <c r="D211" s="16">
        <v>2</v>
      </c>
      <c r="E211" t="s">
        <v>1525</v>
      </c>
      <c r="F211" t="s">
        <v>282</v>
      </c>
      <c r="G211" t="s">
        <v>1566</v>
      </c>
      <c r="H211" t="s">
        <v>344</v>
      </c>
      <c r="I211" s="87">
        <f t="shared" si="21"/>
        <v>0.94000000000000006</v>
      </c>
      <c r="J211" s="87">
        <f t="shared" si="22"/>
        <v>0.89000000000000012</v>
      </c>
      <c r="K211" s="87">
        <f t="shared" si="23"/>
        <v>2.0750000000000002</v>
      </c>
      <c r="L211" s="87">
        <f t="shared" si="24"/>
        <v>1.925</v>
      </c>
      <c r="M211" s="87">
        <f t="shared" si="25"/>
        <v>0.27</v>
      </c>
      <c r="N211" s="87">
        <f t="shared" si="26"/>
        <v>1.825</v>
      </c>
      <c r="O211" s="87">
        <f t="shared" si="27"/>
        <v>7.9249999999999998</v>
      </c>
    </row>
    <row r="212" spans="1:15" x14ac:dyDescent="0.3">
      <c r="A212" t="s">
        <v>43</v>
      </c>
      <c r="B212" t="s">
        <v>913</v>
      </c>
      <c r="C212" s="16" t="s">
        <v>272</v>
      </c>
      <c r="D212" s="16">
        <v>2</v>
      </c>
      <c r="E212" t="s">
        <v>1524</v>
      </c>
      <c r="F212" t="s">
        <v>282</v>
      </c>
      <c r="G212" t="s">
        <v>1656</v>
      </c>
      <c r="H212" t="s">
        <v>291</v>
      </c>
      <c r="I212" s="87">
        <f t="shared" si="21"/>
        <v>0.06</v>
      </c>
      <c r="J212" s="87">
        <f t="shared" si="22"/>
        <v>0.89000000000000012</v>
      </c>
      <c r="K212" s="87">
        <f t="shared" si="23"/>
        <v>0.67500000000000004</v>
      </c>
      <c r="L212" s="87">
        <f t="shared" si="24"/>
        <v>1.925</v>
      </c>
      <c r="M212" s="87">
        <f t="shared" si="25"/>
        <v>0.5</v>
      </c>
      <c r="N212" s="87">
        <f t="shared" si="26"/>
        <v>2.125</v>
      </c>
      <c r="O212" s="87">
        <f t="shared" si="27"/>
        <v>6.1750000000000007</v>
      </c>
    </row>
    <row r="213" spans="1:15" x14ac:dyDescent="0.3">
      <c r="A213" t="s">
        <v>43</v>
      </c>
      <c r="B213" t="s">
        <v>914</v>
      </c>
      <c r="C213" s="16" t="s">
        <v>272</v>
      </c>
      <c r="D213" s="16">
        <v>2</v>
      </c>
      <c r="E213" t="s">
        <v>1524</v>
      </c>
      <c r="F213" t="s">
        <v>282</v>
      </c>
      <c r="G213" t="s">
        <v>1656</v>
      </c>
      <c r="H213" t="s">
        <v>1570</v>
      </c>
      <c r="I213" s="87">
        <f t="shared" si="21"/>
        <v>0.06</v>
      </c>
      <c r="J213" s="87">
        <f t="shared" si="22"/>
        <v>0.89000000000000012</v>
      </c>
      <c r="K213" s="87">
        <f t="shared" si="23"/>
        <v>0.67500000000000004</v>
      </c>
      <c r="L213" s="87">
        <f t="shared" si="24"/>
        <v>1.925</v>
      </c>
      <c r="M213" s="87">
        <f t="shared" si="25"/>
        <v>0.5</v>
      </c>
      <c r="N213" s="87">
        <f t="shared" si="26"/>
        <v>2.35</v>
      </c>
      <c r="O213" s="87">
        <f t="shared" si="27"/>
        <v>6.4</v>
      </c>
    </row>
    <row r="214" spans="1:15" x14ac:dyDescent="0.3">
      <c r="A214" t="s">
        <v>43</v>
      </c>
      <c r="B214" t="s">
        <v>915</v>
      </c>
      <c r="C214" s="16" t="s">
        <v>273</v>
      </c>
      <c r="D214" s="16">
        <v>2</v>
      </c>
      <c r="E214" t="s">
        <v>1525</v>
      </c>
      <c r="F214" t="s">
        <v>283</v>
      </c>
      <c r="G214" t="s">
        <v>1568</v>
      </c>
      <c r="H214" t="s">
        <v>347</v>
      </c>
      <c r="I214" s="87">
        <f t="shared" si="21"/>
        <v>0.94000000000000006</v>
      </c>
      <c r="J214" s="87">
        <f t="shared" si="22"/>
        <v>0.89000000000000012</v>
      </c>
      <c r="K214" s="87">
        <f t="shared" si="23"/>
        <v>2.0750000000000002</v>
      </c>
      <c r="L214" s="87">
        <f t="shared" si="24"/>
        <v>2.35</v>
      </c>
      <c r="M214" s="87">
        <f t="shared" si="25"/>
        <v>0.44500000000000006</v>
      </c>
      <c r="N214" s="87">
        <f t="shared" si="26"/>
        <v>2.4249999999999998</v>
      </c>
      <c r="O214" s="87">
        <f t="shared" si="27"/>
        <v>9.125</v>
      </c>
    </row>
    <row r="215" spans="1:15" x14ac:dyDescent="0.3">
      <c r="A215" t="s">
        <v>43</v>
      </c>
      <c r="B215" t="s">
        <v>916</v>
      </c>
      <c r="C215" s="16" t="s">
        <v>272</v>
      </c>
      <c r="D215" s="16">
        <v>3</v>
      </c>
      <c r="E215" t="s">
        <v>1524</v>
      </c>
      <c r="F215" t="s">
        <v>1546</v>
      </c>
      <c r="G215" t="s">
        <v>1567</v>
      </c>
      <c r="H215" t="s">
        <v>291</v>
      </c>
      <c r="I215" s="87">
        <f t="shared" si="21"/>
        <v>0.06</v>
      </c>
      <c r="J215" s="87">
        <f t="shared" si="22"/>
        <v>0.12</v>
      </c>
      <c r="K215" s="87">
        <f t="shared" si="23"/>
        <v>0.67500000000000004</v>
      </c>
      <c r="L215" s="87">
        <f t="shared" si="24"/>
        <v>2.2999999999999998</v>
      </c>
      <c r="M215" s="87">
        <f t="shared" si="25"/>
        <v>0.32000000000000006</v>
      </c>
      <c r="N215" s="87">
        <f t="shared" si="26"/>
        <v>2.125</v>
      </c>
      <c r="O215" s="87">
        <f t="shared" si="27"/>
        <v>5.6</v>
      </c>
    </row>
    <row r="216" spans="1:15" x14ac:dyDescent="0.3">
      <c r="A216" t="s">
        <v>43</v>
      </c>
      <c r="B216" t="s">
        <v>917</v>
      </c>
      <c r="C216" s="16" t="s">
        <v>272</v>
      </c>
      <c r="D216" s="16">
        <v>3</v>
      </c>
      <c r="E216" t="s">
        <v>1524</v>
      </c>
      <c r="F216" t="s">
        <v>1547</v>
      </c>
      <c r="G216" t="s">
        <v>1656</v>
      </c>
      <c r="H216" t="s">
        <v>291</v>
      </c>
      <c r="I216" s="87">
        <f t="shared" si="21"/>
        <v>0.06</v>
      </c>
      <c r="J216" s="87">
        <f t="shared" si="22"/>
        <v>0.12</v>
      </c>
      <c r="K216" s="87">
        <f t="shared" si="23"/>
        <v>0.67500000000000004</v>
      </c>
      <c r="L216" s="87">
        <f t="shared" si="24"/>
        <v>2.35</v>
      </c>
      <c r="M216" s="87">
        <f t="shared" si="25"/>
        <v>0.5</v>
      </c>
      <c r="N216" s="87">
        <f t="shared" si="26"/>
        <v>2.125</v>
      </c>
      <c r="O216" s="87">
        <f t="shared" si="27"/>
        <v>5.83</v>
      </c>
    </row>
    <row r="217" spans="1:15" x14ac:dyDescent="0.3">
      <c r="A217" t="s">
        <v>43</v>
      </c>
      <c r="B217" t="s">
        <v>918</v>
      </c>
      <c r="C217" s="16" t="s">
        <v>272</v>
      </c>
      <c r="D217" s="16">
        <v>3</v>
      </c>
      <c r="E217" t="s">
        <v>1524</v>
      </c>
      <c r="F217" t="s">
        <v>282</v>
      </c>
      <c r="G217" t="s">
        <v>1656</v>
      </c>
      <c r="H217" t="s">
        <v>291</v>
      </c>
      <c r="I217" s="87">
        <f t="shared" si="21"/>
        <v>0.06</v>
      </c>
      <c r="J217" s="87">
        <f t="shared" si="22"/>
        <v>0.12</v>
      </c>
      <c r="K217" s="87">
        <f t="shared" si="23"/>
        <v>0.67500000000000004</v>
      </c>
      <c r="L217" s="87">
        <f t="shared" si="24"/>
        <v>1.925</v>
      </c>
      <c r="M217" s="87">
        <f t="shared" si="25"/>
        <v>0.5</v>
      </c>
      <c r="N217" s="87">
        <f t="shared" si="26"/>
        <v>2.125</v>
      </c>
      <c r="O217" s="87">
        <f t="shared" si="27"/>
        <v>5.4050000000000002</v>
      </c>
    </row>
    <row r="218" spans="1:15" x14ac:dyDescent="0.3">
      <c r="A218" t="s">
        <v>43</v>
      </c>
      <c r="B218" t="s">
        <v>919</v>
      </c>
      <c r="C218" s="16" t="s">
        <v>272</v>
      </c>
      <c r="D218" s="16">
        <v>3</v>
      </c>
      <c r="E218" t="s">
        <v>1524</v>
      </c>
      <c r="F218" t="s">
        <v>1547</v>
      </c>
      <c r="G218" t="s">
        <v>1567</v>
      </c>
      <c r="H218" t="s">
        <v>1572</v>
      </c>
      <c r="I218" s="87">
        <f t="shared" si="21"/>
        <v>0.06</v>
      </c>
      <c r="J218" s="87">
        <f t="shared" si="22"/>
        <v>0.12</v>
      </c>
      <c r="K218" s="87">
        <f t="shared" si="23"/>
        <v>0.67500000000000004</v>
      </c>
      <c r="L218" s="87">
        <f t="shared" si="24"/>
        <v>2.35</v>
      </c>
      <c r="M218" s="87">
        <f t="shared" si="25"/>
        <v>0.32000000000000006</v>
      </c>
      <c r="N218" s="87">
        <f t="shared" si="26"/>
        <v>2.4500000000000002</v>
      </c>
      <c r="O218" s="87">
        <f t="shared" si="27"/>
        <v>5.9750000000000005</v>
      </c>
    </row>
    <row r="219" spans="1:15" x14ac:dyDescent="0.3">
      <c r="A219" t="s">
        <v>43</v>
      </c>
      <c r="B219" t="s">
        <v>920</v>
      </c>
      <c r="C219" s="16" t="s">
        <v>272</v>
      </c>
      <c r="D219" s="16">
        <v>3</v>
      </c>
      <c r="E219" t="s">
        <v>1524</v>
      </c>
      <c r="F219" t="s">
        <v>1547</v>
      </c>
      <c r="G219" t="s">
        <v>1567</v>
      </c>
      <c r="H219" t="s">
        <v>1572</v>
      </c>
      <c r="I219" s="87">
        <f t="shared" si="21"/>
        <v>0.06</v>
      </c>
      <c r="J219" s="87">
        <f t="shared" si="22"/>
        <v>0.12</v>
      </c>
      <c r="K219" s="87">
        <f t="shared" si="23"/>
        <v>0.67500000000000004</v>
      </c>
      <c r="L219" s="87">
        <f t="shared" si="24"/>
        <v>2.35</v>
      </c>
      <c r="M219" s="87">
        <f t="shared" si="25"/>
        <v>0.32000000000000006</v>
      </c>
      <c r="N219" s="87">
        <f t="shared" si="26"/>
        <v>2.4500000000000002</v>
      </c>
      <c r="O219" s="87">
        <f t="shared" si="27"/>
        <v>5.9750000000000005</v>
      </c>
    </row>
    <row r="220" spans="1:15" x14ac:dyDescent="0.3">
      <c r="A220" t="s">
        <v>43</v>
      </c>
      <c r="B220" t="s">
        <v>921</v>
      </c>
      <c r="C220" s="16" t="s">
        <v>272</v>
      </c>
      <c r="D220" s="16">
        <v>2</v>
      </c>
      <c r="E220" t="s">
        <v>1525</v>
      </c>
      <c r="F220" t="s">
        <v>1547</v>
      </c>
      <c r="G220" t="s">
        <v>1567</v>
      </c>
      <c r="H220" t="s">
        <v>1572</v>
      </c>
      <c r="I220" s="87">
        <f t="shared" si="21"/>
        <v>0.06</v>
      </c>
      <c r="J220" s="87">
        <f t="shared" si="22"/>
        <v>0.89000000000000012</v>
      </c>
      <c r="K220" s="87">
        <f t="shared" si="23"/>
        <v>2.0750000000000002</v>
      </c>
      <c r="L220" s="87">
        <f t="shared" si="24"/>
        <v>2.35</v>
      </c>
      <c r="M220" s="87">
        <f t="shared" si="25"/>
        <v>0.32000000000000006</v>
      </c>
      <c r="N220" s="87">
        <f t="shared" si="26"/>
        <v>2.4500000000000002</v>
      </c>
      <c r="O220" s="87">
        <f t="shared" si="27"/>
        <v>8.1449999999999996</v>
      </c>
    </row>
    <row r="221" spans="1:15" x14ac:dyDescent="0.3">
      <c r="A221" t="s">
        <v>43</v>
      </c>
      <c r="B221" t="s">
        <v>922</v>
      </c>
      <c r="C221" s="16" t="s">
        <v>272</v>
      </c>
      <c r="D221" s="16">
        <v>3</v>
      </c>
      <c r="E221" t="s">
        <v>1524</v>
      </c>
      <c r="F221" t="s">
        <v>1547</v>
      </c>
      <c r="G221" t="s">
        <v>1567</v>
      </c>
      <c r="H221" t="s">
        <v>1572</v>
      </c>
      <c r="I221" s="87">
        <f t="shared" si="21"/>
        <v>0.06</v>
      </c>
      <c r="J221" s="87">
        <f t="shared" si="22"/>
        <v>0.12</v>
      </c>
      <c r="K221" s="87">
        <f t="shared" si="23"/>
        <v>0.67500000000000004</v>
      </c>
      <c r="L221" s="87">
        <f t="shared" si="24"/>
        <v>2.35</v>
      </c>
      <c r="M221" s="87">
        <f t="shared" si="25"/>
        <v>0.32000000000000006</v>
      </c>
      <c r="N221" s="87">
        <f t="shared" si="26"/>
        <v>2.4500000000000002</v>
      </c>
      <c r="O221" s="87">
        <f t="shared" si="27"/>
        <v>5.9750000000000005</v>
      </c>
    </row>
    <row r="222" spans="1:15" x14ac:dyDescent="0.3">
      <c r="A222" t="s">
        <v>43</v>
      </c>
      <c r="B222" t="s">
        <v>923</v>
      </c>
      <c r="C222" s="16" t="s">
        <v>272</v>
      </c>
      <c r="D222" s="16">
        <v>3</v>
      </c>
      <c r="E222" t="s">
        <v>1524</v>
      </c>
      <c r="F222" t="s">
        <v>1547</v>
      </c>
      <c r="G222" t="s">
        <v>1567</v>
      </c>
      <c r="H222" t="s">
        <v>344</v>
      </c>
      <c r="I222" s="87">
        <f t="shared" si="21"/>
        <v>0.06</v>
      </c>
      <c r="J222" s="87">
        <f t="shared" si="22"/>
        <v>0.12</v>
      </c>
      <c r="K222" s="87">
        <f t="shared" si="23"/>
        <v>0.67500000000000004</v>
      </c>
      <c r="L222" s="87">
        <f t="shared" si="24"/>
        <v>2.35</v>
      </c>
      <c r="M222" s="87">
        <f t="shared" si="25"/>
        <v>0.32000000000000006</v>
      </c>
      <c r="N222" s="87">
        <f t="shared" si="26"/>
        <v>1.825</v>
      </c>
      <c r="O222" s="87">
        <f t="shared" si="27"/>
        <v>5.3500000000000005</v>
      </c>
    </row>
    <row r="223" spans="1:15" x14ac:dyDescent="0.3">
      <c r="A223" t="s">
        <v>43</v>
      </c>
      <c r="B223" t="s">
        <v>924</v>
      </c>
      <c r="C223" s="16" t="s">
        <v>272</v>
      </c>
      <c r="D223" s="16">
        <v>3</v>
      </c>
      <c r="E223" t="s">
        <v>1524</v>
      </c>
      <c r="F223" t="s">
        <v>1547</v>
      </c>
      <c r="G223" t="s">
        <v>1567</v>
      </c>
      <c r="H223" t="s">
        <v>344</v>
      </c>
      <c r="I223" s="87">
        <f t="shared" si="21"/>
        <v>0.06</v>
      </c>
      <c r="J223" s="87">
        <f t="shared" si="22"/>
        <v>0.12</v>
      </c>
      <c r="K223" s="87">
        <f t="shared" si="23"/>
        <v>0.67500000000000004</v>
      </c>
      <c r="L223" s="87">
        <f t="shared" si="24"/>
        <v>2.35</v>
      </c>
      <c r="M223" s="87">
        <f t="shared" si="25"/>
        <v>0.32000000000000006</v>
      </c>
      <c r="N223" s="87">
        <f t="shared" si="26"/>
        <v>1.825</v>
      </c>
      <c r="O223" s="87">
        <f t="shared" si="27"/>
        <v>5.3500000000000005</v>
      </c>
    </row>
    <row r="224" spans="1:15" x14ac:dyDescent="0.3">
      <c r="A224" t="s">
        <v>43</v>
      </c>
      <c r="B224" t="s">
        <v>925</v>
      </c>
      <c r="C224" s="16" t="s">
        <v>272</v>
      </c>
      <c r="D224" s="16">
        <v>3</v>
      </c>
      <c r="E224" t="s">
        <v>1524</v>
      </c>
      <c r="F224" t="s">
        <v>1547</v>
      </c>
      <c r="G224" t="s">
        <v>1567</v>
      </c>
      <c r="H224" t="s">
        <v>344</v>
      </c>
      <c r="I224" s="87">
        <f t="shared" si="21"/>
        <v>0.06</v>
      </c>
      <c r="J224" s="87">
        <f t="shared" si="22"/>
        <v>0.12</v>
      </c>
      <c r="K224" s="87">
        <f t="shared" si="23"/>
        <v>0.67500000000000004</v>
      </c>
      <c r="L224" s="87">
        <f t="shared" si="24"/>
        <v>2.35</v>
      </c>
      <c r="M224" s="87">
        <f t="shared" si="25"/>
        <v>0.32000000000000006</v>
      </c>
      <c r="N224" s="87">
        <f t="shared" si="26"/>
        <v>1.825</v>
      </c>
      <c r="O224" s="87">
        <f t="shared" si="27"/>
        <v>5.3500000000000005</v>
      </c>
    </row>
    <row r="225" spans="1:15" x14ac:dyDescent="0.3">
      <c r="A225" t="s">
        <v>43</v>
      </c>
      <c r="B225" t="s">
        <v>926</v>
      </c>
      <c r="C225" s="16" t="s">
        <v>272</v>
      </c>
      <c r="D225" s="16">
        <v>2</v>
      </c>
      <c r="E225" t="s">
        <v>1524</v>
      </c>
      <c r="F225" t="s">
        <v>1547</v>
      </c>
      <c r="G225" t="s">
        <v>1567</v>
      </c>
      <c r="H225" t="s">
        <v>344</v>
      </c>
      <c r="I225" s="87">
        <f t="shared" si="21"/>
        <v>0.06</v>
      </c>
      <c r="J225" s="87">
        <f t="shared" si="22"/>
        <v>0.89000000000000012</v>
      </c>
      <c r="K225" s="87">
        <f t="shared" si="23"/>
        <v>0.67500000000000004</v>
      </c>
      <c r="L225" s="87">
        <f t="shared" si="24"/>
        <v>2.35</v>
      </c>
      <c r="M225" s="87">
        <f t="shared" si="25"/>
        <v>0.32000000000000006</v>
      </c>
      <c r="N225" s="87">
        <f t="shared" si="26"/>
        <v>1.825</v>
      </c>
      <c r="O225" s="87">
        <f t="shared" si="27"/>
        <v>6.120000000000001</v>
      </c>
    </row>
    <row r="226" spans="1:15" x14ac:dyDescent="0.3">
      <c r="A226" t="s">
        <v>43</v>
      </c>
      <c r="B226" t="s">
        <v>927</v>
      </c>
      <c r="C226" s="16" t="s">
        <v>272</v>
      </c>
      <c r="D226" s="16">
        <v>3</v>
      </c>
      <c r="E226" t="s">
        <v>1524</v>
      </c>
      <c r="F226" t="s">
        <v>1547</v>
      </c>
      <c r="G226" t="s">
        <v>1567</v>
      </c>
      <c r="H226" t="s">
        <v>344</v>
      </c>
      <c r="I226" s="87">
        <f t="shared" si="21"/>
        <v>0.06</v>
      </c>
      <c r="J226" s="87">
        <f t="shared" si="22"/>
        <v>0.12</v>
      </c>
      <c r="K226" s="87">
        <f t="shared" si="23"/>
        <v>0.67500000000000004</v>
      </c>
      <c r="L226" s="87">
        <f t="shared" si="24"/>
        <v>2.35</v>
      </c>
      <c r="M226" s="87">
        <f t="shared" si="25"/>
        <v>0.32000000000000006</v>
      </c>
      <c r="N226" s="87">
        <f t="shared" si="26"/>
        <v>1.825</v>
      </c>
      <c r="O226" s="87">
        <f t="shared" si="27"/>
        <v>5.3500000000000005</v>
      </c>
    </row>
    <row r="227" spans="1:15" x14ac:dyDescent="0.3">
      <c r="A227" t="s">
        <v>43</v>
      </c>
      <c r="B227" t="s">
        <v>928</v>
      </c>
      <c r="C227" s="16" t="s">
        <v>272</v>
      </c>
      <c r="D227" s="16">
        <v>3</v>
      </c>
      <c r="E227" t="s">
        <v>1524</v>
      </c>
      <c r="F227" t="s">
        <v>1547</v>
      </c>
      <c r="G227" t="s">
        <v>1567</v>
      </c>
      <c r="H227" t="s">
        <v>344</v>
      </c>
      <c r="I227" s="87">
        <f t="shared" si="21"/>
        <v>0.06</v>
      </c>
      <c r="J227" s="87">
        <f t="shared" si="22"/>
        <v>0.12</v>
      </c>
      <c r="K227" s="87">
        <f t="shared" si="23"/>
        <v>0.67500000000000004</v>
      </c>
      <c r="L227" s="87">
        <f t="shared" si="24"/>
        <v>2.35</v>
      </c>
      <c r="M227" s="87">
        <f t="shared" si="25"/>
        <v>0.32000000000000006</v>
      </c>
      <c r="N227" s="87">
        <f t="shared" si="26"/>
        <v>1.825</v>
      </c>
      <c r="O227" s="87">
        <f t="shared" si="27"/>
        <v>5.3500000000000005</v>
      </c>
    </row>
    <row r="228" spans="1:15" x14ac:dyDescent="0.3">
      <c r="A228" t="s">
        <v>43</v>
      </c>
      <c r="B228" t="s">
        <v>929</v>
      </c>
      <c r="C228" s="16" t="s">
        <v>272</v>
      </c>
      <c r="D228" s="16">
        <v>2</v>
      </c>
      <c r="E228" t="s">
        <v>1524</v>
      </c>
      <c r="F228" t="s">
        <v>1547</v>
      </c>
      <c r="G228" t="s">
        <v>341</v>
      </c>
      <c r="H228" t="s">
        <v>344</v>
      </c>
      <c r="I228" s="87">
        <f t="shared" si="21"/>
        <v>0.06</v>
      </c>
      <c r="J228" s="87">
        <f t="shared" si="22"/>
        <v>0.89000000000000012</v>
      </c>
      <c r="K228" s="87">
        <f t="shared" si="23"/>
        <v>0.67500000000000004</v>
      </c>
      <c r="L228" s="87">
        <f t="shared" si="24"/>
        <v>2.35</v>
      </c>
      <c r="M228" s="87">
        <f t="shared" si="25"/>
        <v>0.48</v>
      </c>
      <c r="N228" s="87">
        <f t="shared" si="26"/>
        <v>1.825</v>
      </c>
      <c r="O228" s="87">
        <f t="shared" si="27"/>
        <v>6.28</v>
      </c>
    </row>
    <row r="229" spans="1:15" x14ac:dyDescent="0.3">
      <c r="A229" t="s">
        <v>43</v>
      </c>
      <c r="B229" t="s">
        <v>930</v>
      </c>
      <c r="C229" s="16" t="s">
        <v>272</v>
      </c>
      <c r="D229" s="16">
        <v>2</v>
      </c>
      <c r="E229" t="s">
        <v>1524</v>
      </c>
      <c r="F229" t="s">
        <v>1547</v>
      </c>
      <c r="G229" t="s">
        <v>341</v>
      </c>
      <c r="H229" t="s">
        <v>344</v>
      </c>
      <c r="I229" s="87">
        <f t="shared" si="21"/>
        <v>0.06</v>
      </c>
      <c r="J229" s="87">
        <f t="shared" si="22"/>
        <v>0.89000000000000012</v>
      </c>
      <c r="K229" s="87">
        <f t="shared" si="23"/>
        <v>0.67500000000000004</v>
      </c>
      <c r="L229" s="87">
        <f t="shared" si="24"/>
        <v>2.35</v>
      </c>
      <c r="M229" s="87">
        <f t="shared" si="25"/>
        <v>0.48</v>
      </c>
      <c r="N229" s="87">
        <f t="shared" si="26"/>
        <v>1.825</v>
      </c>
      <c r="O229" s="87">
        <f t="shared" si="27"/>
        <v>6.28</v>
      </c>
    </row>
    <row r="230" spans="1:15" x14ac:dyDescent="0.3">
      <c r="A230" t="s">
        <v>43</v>
      </c>
      <c r="B230" t="s">
        <v>931</v>
      </c>
      <c r="C230" s="16" t="s">
        <v>272</v>
      </c>
      <c r="D230" s="16">
        <v>3</v>
      </c>
      <c r="E230" t="s">
        <v>1524</v>
      </c>
      <c r="F230" t="s">
        <v>282</v>
      </c>
      <c r="G230" t="s">
        <v>1566</v>
      </c>
      <c r="H230" t="s">
        <v>344</v>
      </c>
      <c r="I230" s="87">
        <f t="shared" si="21"/>
        <v>0.06</v>
      </c>
      <c r="J230" s="87">
        <f t="shared" si="22"/>
        <v>0.12</v>
      </c>
      <c r="K230" s="87">
        <f t="shared" si="23"/>
        <v>0.67500000000000004</v>
      </c>
      <c r="L230" s="87">
        <f t="shared" si="24"/>
        <v>1.925</v>
      </c>
      <c r="M230" s="87">
        <f t="shared" si="25"/>
        <v>0.27</v>
      </c>
      <c r="N230" s="87">
        <f t="shared" si="26"/>
        <v>1.825</v>
      </c>
      <c r="O230" s="87">
        <f t="shared" si="27"/>
        <v>4.875</v>
      </c>
    </row>
    <row r="231" spans="1:15" x14ac:dyDescent="0.3">
      <c r="A231" t="s">
        <v>43</v>
      </c>
      <c r="B231" t="s">
        <v>932</v>
      </c>
      <c r="C231" s="16" t="s">
        <v>272</v>
      </c>
      <c r="D231" s="16">
        <v>3</v>
      </c>
      <c r="E231" t="s">
        <v>1524</v>
      </c>
      <c r="F231" t="s">
        <v>1542</v>
      </c>
      <c r="G231" t="s">
        <v>1567</v>
      </c>
      <c r="H231" t="s">
        <v>344</v>
      </c>
      <c r="I231" s="87">
        <f t="shared" si="21"/>
        <v>0.06</v>
      </c>
      <c r="J231" s="87">
        <f t="shared" si="22"/>
        <v>0.12</v>
      </c>
      <c r="K231" s="87">
        <f t="shared" si="23"/>
        <v>0.67500000000000004</v>
      </c>
      <c r="L231" s="87">
        <f t="shared" si="24"/>
        <v>2.35</v>
      </c>
      <c r="M231" s="87">
        <f t="shared" si="25"/>
        <v>0.32000000000000006</v>
      </c>
      <c r="N231" s="87">
        <f t="shared" si="26"/>
        <v>1.825</v>
      </c>
      <c r="O231" s="87">
        <f t="shared" si="27"/>
        <v>5.3500000000000005</v>
      </c>
    </row>
    <row r="232" spans="1:15" x14ac:dyDescent="0.3">
      <c r="A232" t="s">
        <v>43</v>
      </c>
      <c r="B232" t="s">
        <v>933</v>
      </c>
      <c r="C232" s="16" t="s">
        <v>272</v>
      </c>
      <c r="D232" s="16">
        <v>3</v>
      </c>
      <c r="E232" t="s">
        <v>1524</v>
      </c>
      <c r="F232" t="s">
        <v>282</v>
      </c>
      <c r="G232" t="s">
        <v>1566</v>
      </c>
      <c r="H232" t="s">
        <v>344</v>
      </c>
      <c r="I232" s="87">
        <f t="shared" si="21"/>
        <v>0.06</v>
      </c>
      <c r="J232" s="87">
        <f t="shared" si="22"/>
        <v>0.12</v>
      </c>
      <c r="K232" s="87">
        <f t="shared" si="23"/>
        <v>0.67500000000000004</v>
      </c>
      <c r="L232" s="87">
        <f t="shared" si="24"/>
        <v>1.925</v>
      </c>
      <c r="M232" s="87">
        <f t="shared" si="25"/>
        <v>0.27</v>
      </c>
      <c r="N232" s="87">
        <f t="shared" si="26"/>
        <v>1.825</v>
      </c>
      <c r="O232" s="87">
        <f t="shared" si="27"/>
        <v>4.875</v>
      </c>
    </row>
    <row r="233" spans="1:15" x14ac:dyDescent="0.3">
      <c r="A233" t="s">
        <v>43</v>
      </c>
      <c r="B233" t="s">
        <v>934</v>
      </c>
      <c r="C233" s="16" t="s">
        <v>272</v>
      </c>
      <c r="D233" s="16">
        <v>3</v>
      </c>
      <c r="E233" t="s">
        <v>1524</v>
      </c>
      <c r="F233" t="s">
        <v>1542</v>
      </c>
      <c r="G233" t="s">
        <v>1567</v>
      </c>
      <c r="H233" t="s">
        <v>344</v>
      </c>
      <c r="I233" s="87">
        <f t="shared" si="21"/>
        <v>0.06</v>
      </c>
      <c r="J233" s="87">
        <f t="shared" si="22"/>
        <v>0.12</v>
      </c>
      <c r="K233" s="87">
        <f t="shared" si="23"/>
        <v>0.67500000000000004</v>
      </c>
      <c r="L233" s="87">
        <f t="shared" si="24"/>
        <v>2.35</v>
      </c>
      <c r="M233" s="87">
        <f t="shared" si="25"/>
        <v>0.32000000000000006</v>
      </c>
      <c r="N233" s="87">
        <f t="shared" si="26"/>
        <v>1.825</v>
      </c>
      <c r="O233" s="87">
        <f t="shared" si="27"/>
        <v>5.3500000000000005</v>
      </c>
    </row>
    <row r="234" spans="1:15" x14ac:dyDescent="0.3">
      <c r="A234" t="s">
        <v>43</v>
      </c>
      <c r="B234" t="s">
        <v>935</v>
      </c>
      <c r="C234" s="16" t="s">
        <v>272</v>
      </c>
      <c r="D234" s="16">
        <v>2</v>
      </c>
      <c r="E234" t="s">
        <v>1524</v>
      </c>
      <c r="F234" t="s">
        <v>282</v>
      </c>
      <c r="G234" t="s">
        <v>341</v>
      </c>
      <c r="H234" t="s">
        <v>344</v>
      </c>
      <c r="I234" s="87">
        <f t="shared" si="21"/>
        <v>0.06</v>
      </c>
      <c r="J234" s="87">
        <f t="shared" si="22"/>
        <v>0.89000000000000012</v>
      </c>
      <c r="K234" s="87">
        <f t="shared" si="23"/>
        <v>0.67500000000000004</v>
      </c>
      <c r="L234" s="87">
        <f t="shared" si="24"/>
        <v>1.925</v>
      </c>
      <c r="M234" s="87">
        <f t="shared" si="25"/>
        <v>0.48</v>
      </c>
      <c r="N234" s="87">
        <f t="shared" si="26"/>
        <v>1.825</v>
      </c>
      <c r="O234" s="87">
        <f t="shared" si="27"/>
        <v>5.8550000000000004</v>
      </c>
    </row>
    <row r="235" spans="1:15" x14ac:dyDescent="0.3">
      <c r="A235" t="s">
        <v>43</v>
      </c>
      <c r="B235" t="s">
        <v>936</v>
      </c>
      <c r="C235" s="16" t="s">
        <v>272</v>
      </c>
      <c r="D235" s="16">
        <v>3</v>
      </c>
      <c r="E235" t="s">
        <v>1524</v>
      </c>
      <c r="F235" t="s">
        <v>1542</v>
      </c>
      <c r="G235" t="s">
        <v>1567</v>
      </c>
      <c r="H235" t="s">
        <v>1574</v>
      </c>
      <c r="I235" s="87">
        <f t="shared" si="21"/>
        <v>0.06</v>
      </c>
      <c r="J235" s="87">
        <f t="shared" si="22"/>
        <v>0.12</v>
      </c>
      <c r="K235" s="87">
        <f t="shared" si="23"/>
        <v>0.67500000000000004</v>
      </c>
      <c r="L235" s="87">
        <f t="shared" si="24"/>
        <v>2.35</v>
      </c>
      <c r="M235" s="87">
        <f t="shared" si="25"/>
        <v>0.32000000000000006</v>
      </c>
      <c r="N235" s="87">
        <f t="shared" si="26"/>
        <v>2.375</v>
      </c>
      <c r="O235" s="87">
        <f t="shared" si="27"/>
        <v>5.9</v>
      </c>
    </row>
    <row r="236" spans="1:15" x14ac:dyDescent="0.3">
      <c r="A236" t="s">
        <v>43</v>
      </c>
      <c r="B236" t="s">
        <v>937</v>
      </c>
      <c r="C236" s="16" t="s">
        <v>272</v>
      </c>
      <c r="D236" s="16">
        <v>3</v>
      </c>
      <c r="E236" t="s">
        <v>1524</v>
      </c>
      <c r="F236" t="s">
        <v>282</v>
      </c>
      <c r="G236" t="s">
        <v>1566</v>
      </c>
      <c r="H236" t="s">
        <v>344</v>
      </c>
      <c r="I236" s="87">
        <f t="shared" si="21"/>
        <v>0.06</v>
      </c>
      <c r="J236" s="87">
        <f t="shared" si="22"/>
        <v>0.12</v>
      </c>
      <c r="K236" s="87">
        <f t="shared" si="23"/>
        <v>0.67500000000000004</v>
      </c>
      <c r="L236" s="87">
        <f t="shared" si="24"/>
        <v>1.925</v>
      </c>
      <c r="M236" s="87">
        <f t="shared" si="25"/>
        <v>0.27</v>
      </c>
      <c r="N236" s="87">
        <f t="shared" si="26"/>
        <v>1.825</v>
      </c>
      <c r="O236" s="87">
        <f t="shared" si="27"/>
        <v>4.875</v>
      </c>
    </row>
    <row r="237" spans="1:15" x14ac:dyDescent="0.3">
      <c r="A237" t="s">
        <v>43</v>
      </c>
      <c r="B237" t="s">
        <v>938</v>
      </c>
      <c r="C237" s="16" t="s">
        <v>272</v>
      </c>
      <c r="D237" s="16">
        <v>3</v>
      </c>
      <c r="E237" t="s">
        <v>1524</v>
      </c>
      <c r="F237" t="s">
        <v>1542</v>
      </c>
      <c r="G237" t="s">
        <v>1567</v>
      </c>
      <c r="H237" t="s">
        <v>344</v>
      </c>
      <c r="I237" s="87">
        <f t="shared" si="21"/>
        <v>0.06</v>
      </c>
      <c r="J237" s="87">
        <f t="shared" si="22"/>
        <v>0.12</v>
      </c>
      <c r="K237" s="87">
        <f t="shared" si="23"/>
        <v>0.67500000000000004</v>
      </c>
      <c r="L237" s="87">
        <f t="shared" si="24"/>
        <v>2.35</v>
      </c>
      <c r="M237" s="87">
        <f t="shared" si="25"/>
        <v>0.32000000000000006</v>
      </c>
      <c r="N237" s="87">
        <f t="shared" si="26"/>
        <v>1.825</v>
      </c>
      <c r="O237" s="87">
        <f t="shared" si="27"/>
        <v>5.3500000000000005</v>
      </c>
    </row>
    <row r="238" spans="1:15" x14ac:dyDescent="0.3">
      <c r="A238" t="s">
        <v>43</v>
      </c>
      <c r="B238" t="s">
        <v>939</v>
      </c>
      <c r="C238" s="16" t="s">
        <v>272</v>
      </c>
      <c r="D238" s="16">
        <v>3</v>
      </c>
      <c r="E238" t="s">
        <v>1524</v>
      </c>
      <c r="F238" t="s">
        <v>282</v>
      </c>
      <c r="G238" t="s">
        <v>1566</v>
      </c>
      <c r="H238" t="s">
        <v>344</v>
      </c>
      <c r="I238" s="87">
        <f t="shared" si="21"/>
        <v>0.06</v>
      </c>
      <c r="J238" s="87">
        <f t="shared" si="22"/>
        <v>0.12</v>
      </c>
      <c r="K238" s="87">
        <f t="shared" si="23"/>
        <v>0.67500000000000004</v>
      </c>
      <c r="L238" s="87">
        <f t="shared" si="24"/>
        <v>1.925</v>
      </c>
      <c r="M238" s="87">
        <f t="shared" si="25"/>
        <v>0.27</v>
      </c>
      <c r="N238" s="87">
        <f t="shared" si="26"/>
        <v>1.825</v>
      </c>
      <c r="O238" s="87">
        <f t="shared" si="27"/>
        <v>4.875</v>
      </c>
    </row>
    <row r="239" spans="1:15" x14ac:dyDescent="0.3">
      <c r="A239" t="s">
        <v>43</v>
      </c>
      <c r="B239" t="s">
        <v>940</v>
      </c>
      <c r="C239" s="16" t="s">
        <v>272</v>
      </c>
      <c r="D239" s="16">
        <v>3</v>
      </c>
      <c r="E239" t="s">
        <v>1524</v>
      </c>
      <c r="F239" t="s">
        <v>282</v>
      </c>
      <c r="G239" t="s">
        <v>1566</v>
      </c>
      <c r="H239" t="s">
        <v>344</v>
      </c>
      <c r="I239" s="87">
        <f t="shared" si="21"/>
        <v>0.06</v>
      </c>
      <c r="J239" s="87">
        <f t="shared" si="22"/>
        <v>0.12</v>
      </c>
      <c r="K239" s="87">
        <f t="shared" si="23"/>
        <v>0.67500000000000004</v>
      </c>
      <c r="L239" s="87">
        <f t="shared" si="24"/>
        <v>1.925</v>
      </c>
      <c r="M239" s="87">
        <f t="shared" si="25"/>
        <v>0.27</v>
      </c>
      <c r="N239" s="87">
        <f t="shared" si="26"/>
        <v>1.825</v>
      </c>
      <c r="O239" s="87">
        <f t="shared" si="27"/>
        <v>4.875</v>
      </c>
    </row>
    <row r="240" spans="1:15" x14ac:dyDescent="0.3">
      <c r="A240" t="s">
        <v>43</v>
      </c>
      <c r="B240" t="s">
        <v>941</v>
      </c>
      <c r="C240" s="16" t="s">
        <v>272</v>
      </c>
      <c r="D240" s="16">
        <v>3</v>
      </c>
      <c r="E240" t="s">
        <v>1524</v>
      </c>
      <c r="F240" t="s">
        <v>282</v>
      </c>
      <c r="G240" t="s">
        <v>1566</v>
      </c>
      <c r="H240" t="s">
        <v>344</v>
      </c>
      <c r="I240" s="87">
        <f t="shared" si="21"/>
        <v>0.06</v>
      </c>
      <c r="J240" s="87">
        <f t="shared" si="22"/>
        <v>0.12</v>
      </c>
      <c r="K240" s="87">
        <f t="shared" si="23"/>
        <v>0.67500000000000004</v>
      </c>
      <c r="L240" s="87">
        <f t="shared" si="24"/>
        <v>1.925</v>
      </c>
      <c r="M240" s="87">
        <f t="shared" si="25"/>
        <v>0.27</v>
      </c>
      <c r="N240" s="87">
        <f t="shared" si="26"/>
        <v>1.825</v>
      </c>
      <c r="O240" s="87">
        <f t="shared" si="27"/>
        <v>4.875</v>
      </c>
    </row>
    <row r="241" spans="1:15" x14ac:dyDescent="0.3">
      <c r="A241" t="s">
        <v>43</v>
      </c>
      <c r="B241" t="s">
        <v>942</v>
      </c>
      <c r="C241" s="16" t="s">
        <v>272</v>
      </c>
      <c r="D241" s="16">
        <v>3</v>
      </c>
      <c r="E241" t="s">
        <v>1524</v>
      </c>
      <c r="F241" t="s">
        <v>282</v>
      </c>
      <c r="G241" t="s">
        <v>1566</v>
      </c>
      <c r="H241" t="s">
        <v>345</v>
      </c>
      <c r="I241" s="87">
        <f t="shared" si="21"/>
        <v>0.06</v>
      </c>
      <c r="J241" s="87">
        <f t="shared" si="22"/>
        <v>0.12</v>
      </c>
      <c r="K241" s="87">
        <f t="shared" si="23"/>
        <v>0.67500000000000004</v>
      </c>
      <c r="L241" s="87">
        <f t="shared" si="24"/>
        <v>1.925</v>
      </c>
      <c r="M241" s="87">
        <f t="shared" si="25"/>
        <v>0.27</v>
      </c>
      <c r="N241" s="87">
        <f t="shared" si="26"/>
        <v>1.7749999999999999</v>
      </c>
      <c r="O241" s="87">
        <f t="shared" si="27"/>
        <v>4.8250000000000002</v>
      </c>
    </row>
    <row r="242" spans="1:15" x14ac:dyDescent="0.3">
      <c r="A242" t="s">
        <v>43</v>
      </c>
      <c r="B242" t="s">
        <v>943</v>
      </c>
      <c r="C242" s="16" t="s">
        <v>272</v>
      </c>
      <c r="D242" s="16">
        <v>3</v>
      </c>
      <c r="E242" t="s">
        <v>1524</v>
      </c>
      <c r="F242" t="s">
        <v>1542</v>
      </c>
      <c r="G242" t="s">
        <v>1567</v>
      </c>
      <c r="H242" t="s">
        <v>345</v>
      </c>
      <c r="I242" s="87">
        <f t="shared" si="21"/>
        <v>0.06</v>
      </c>
      <c r="J242" s="87">
        <f t="shared" si="22"/>
        <v>0.12</v>
      </c>
      <c r="K242" s="87">
        <f t="shared" si="23"/>
        <v>0.67500000000000004</v>
      </c>
      <c r="L242" s="87">
        <f t="shared" si="24"/>
        <v>2.35</v>
      </c>
      <c r="M242" s="87">
        <f t="shared" si="25"/>
        <v>0.32000000000000006</v>
      </c>
      <c r="N242" s="87">
        <f t="shared" si="26"/>
        <v>1.7749999999999999</v>
      </c>
      <c r="O242" s="87">
        <f t="shared" si="27"/>
        <v>5.3000000000000007</v>
      </c>
    </row>
    <row r="243" spans="1:15" x14ac:dyDescent="0.3">
      <c r="A243" t="s">
        <v>43</v>
      </c>
      <c r="B243" t="s">
        <v>944</v>
      </c>
      <c r="C243" s="16" t="s">
        <v>272</v>
      </c>
      <c r="D243" s="16">
        <v>2</v>
      </c>
      <c r="E243" t="s">
        <v>1524</v>
      </c>
      <c r="F243" t="s">
        <v>1542</v>
      </c>
      <c r="G243" t="s">
        <v>341</v>
      </c>
      <c r="H243" t="s">
        <v>344</v>
      </c>
      <c r="I243" s="87">
        <f t="shared" si="21"/>
        <v>0.06</v>
      </c>
      <c r="J243" s="87">
        <f t="shared" si="22"/>
        <v>0.89000000000000012</v>
      </c>
      <c r="K243" s="87">
        <f t="shared" si="23"/>
        <v>0.67500000000000004</v>
      </c>
      <c r="L243" s="87">
        <f t="shared" si="24"/>
        <v>2.35</v>
      </c>
      <c r="M243" s="87">
        <f t="shared" si="25"/>
        <v>0.48</v>
      </c>
      <c r="N243" s="87">
        <f t="shared" si="26"/>
        <v>1.825</v>
      </c>
      <c r="O243" s="87">
        <f t="shared" si="27"/>
        <v>6.28</v>
      </c>
    </row>
    <row r="244" spans="1:15" x14ac:dyDescent="0.3">
      <c r="A244" t="s">
        <v>43</v>
      </c>
      <c r="B244" t="s">
        <v>945</v>
      </c>
      <c r="C244" s="16" t="s">
        <v>272</v>
      </c>
      <c r="D244" s="16">
        <v>3</v>
      </c>
      <c r="E244" t="s">
        <v>1524</v>
      </c>
      <c r="F244" t="s">
        <v>1542</v>
      </c>
      <c r="G244" t="s">
        <v>1567</v>
      </c>
      <c r="H244" t="s">
        <v>344</v>
      </c>
      <c r="I244" s="87">
        <f t="shared" si="21"/>
        <v>0.06</v>
      </c>
      <c r="J244" s="87">
        <f t="shared" si="22"/>
        <v>0.12</v>
      </c>
      <c r="K244" s="87">
        <f t="shared" si="23"/>
        <v>0.67500000000000004</v>
      </c>
      <c r="L244" s="87">
        <f t="shared" si="24"/>
        <v>2.35</v>
      </c>
      <c r="M244" s="87">
        <f t="shared" si="25"/>
        <v>0.32000000000000006</v>
      </c>
      <c r="N244" s="87">
        <f t="shared" si="26"/>
        <v>1.825</v>
      </c>
      <c r="O244" s="87">
        <f t="shared" si="27"/>
        <v>5.3500000000000005</v>
      </c>
    </row>
    <row r="245" spans="1:15" x14ac:dyDescent="0.3">
      <c r="A245" t="s">
        <v>43</v>
      </c>
      <c r="B245" t="s">
        <v>946</v>
      </c>
      <c r="C245" s="16" t="s">
        <v>272</v>
      </c>
      <c r="D245" s="16">
        <v>3</v>
      </c>
      <c r="E245" t="s">
        <v>1524</v>
      </c>
      <c r="F245" t="s">
        <v>1542</v>
      </c>
      <c r="G245" t="s">
        <v>1567</v>
      </c>
      <c r="H245" t="s">
        <v>344</v>
      </c>
      <c r="I245" s="87">
        <f t="shared" si="21"/>
        <v>0.06</v>
      </c>
      <c r="J245" s="87">
        <f t="shared" si="22"/>
        <v>0.12</v>
      </c>
      <c r="K245" s="87">
        <f t="shared" si="23"/>
        <v>0.67500000000000004</v>
      </c>
      <c r="L245" s="87">
        <f t="shared" si="24"/>
        <v>2.35</v>
      </c>
      <c r="M245" s="87">
        <f t="shared" si="25"/>
        <v>0.32000000000000006</v>
      </c>
      <c r="N245" s="87">
        <f t="shared" si="26"/>
        <v>1.825</v>
      </c>
      <c r="O245" s="87">
        <f t="shared" si="27"/>
        <v>5.3500000000000005</v>
      </c>
    </row>
    <row r="246" spans="1:15" x14ac:dyDescent="0.3">
      <c r="A246" t="s">
        <v>43</v>
      </c>
      <c r="B246" t="s">
        <v>947</v>
      </c>
      <c r="C246" s="16" t="s">
        <v>272</v>
      </c>
      <c r="D246" s="16">
        <v>3</v>
      </c>
      <c r="E246" t="s">
        <v>1524</v>
      </c>
      <c r="F246" t="s">
        <v>1542</v>
      </c>
      <c r="G246" t="s">
        <v>1567</v>
      </c>
      <c r="H246" t="s">
        <v>344</v>
      </c>
      <c r="I246" s="87">
        <f t="shared" si="21"/>
        <v>0.06</v>
      </c>
      <c r="J246" s="87">
        <f t="shared" si="22"/>
        <v>0.12</v>
      </c>
      <c r="K246" s="87">
        <f t="shared" si="23"/>
        <v>0.67500000000000004</v>
      </c>
      <c r="L246" s="87">
        <f t="shared" si="24"/>
        <v>2.35</v>
      </c>
      <c r="M246" s="87">
        <f t="shared" si="25"/>
        <v>0.32000000000000006</v>
      </c>
      <c r="N246" s="87">
        <f t="shared" si="26"/>
        <v>1.825</v>
      </c>
      <c r="O246" s="87">
        <f t="shared" si="27"/>
        <v>5.3500000000000005</v>
      </c>
    </row>
    <row r="247" spans="1:15" x14ac:dyDescent="0.3">
      <c r="A247" t="s">
        <v>43</v>
      </c>
      <c r="B247" t="s">
        <v>948</v>
      </c>
      <c r="C247" s="16" t="s">
        <v>272</v>
      </c>
      <c r="D247" s="16">
        <v>3</v>
      </c>
      <c r="E247" t="s">
        <v>1524</v>
      </c>
      <c r="F247" t="s">
        <v>282</v>
      </c>
      <c r="G247" t="s">
        <v>1567</v>
      </c>
      <c r="H247" t="s">
        <v>344</v>
      </c>
      <c r="I247" s="87">
        <f t="shared" si="21"/>
        <v>0.06</v>
      </c>
      <c r="J247" s="87">
        <f t="shared" si="22"/>
        <v>0.12</v>
      </c>
      <c r="K247" s="87">
        <f t="shared" si="23"/>
        <v>0.67500000000000004</v>
      </c>
      <c r="L247" s="87">
        <f t="shared" si="24"/>
        <v>1.925</v>
      </c>
      <c r="M247" s="87">
        <f t="shared" si="25"/>
        <v>0.32000000000000006</v>
      </c>
      <c r="N247" s="87">
        <f t="shared" si="26"/>
        <v>1.825</v>
      </c>
      <c r="O247" s="87">
        <f t="shared" si="27"/>
        <v>4.9250000000000007</v>
      </c>
    </row>
    <row r="248" spans="1:15" x14ac:dyDescent="0.3">
      <c r="A248" t="s">
        <v>43</v>
      </c>
      <c r="B248" t="s">
        <v>949</v>
      </c>
      <c r="C248" s="16" t="s">
        <v>272</v>
      </c>
      <c r="D248" s="16">
        <v>2</v>
      </c>
      <c r="E248" t="s">
        <v>1524</v>
      </c>
      <c r="F248" t="s">
        <v>282</v>
      </c>
      <c r="G248" t="s">
        <v>341</v>
      </c>
      <c r="H248" t="s">
        <v>345</v>
      </c>
      <c r="I248" s="87">
        <f t="shared" si="21"/>
        <v>0.06</v>
      </c>
      <c r="J248" s="87">
        <f t="shared" si="22"/>
        <v>0.89000000000000012</v>
      </c>
      <c r="K248" s="87">
        <f t="shared" si="23"/>
        <v>0.67500000000000004</v>
      </c>
      <c r="L248" s="87">
        <f t="shared" si="24"/>
        <v>1.925</v>
      </c>
      <c r="M248" s="87">
        <f t="shared" si="25"/>
        <v>0.48</v>
      </c>
      <c r="N248" s="87">
        <f t="shared" si="26"/>
        <v>1.7749999999999999</v>
      </c>
      <c r="O248" s="87">
        <f t="shared" si="27"/>
        <v>5.8049999999999997</v>
      </c>
    </row>
    <row r="249" spans="1:15" x14ac:dyDescent="0.3">
      <c r="A249" t="s">
        <v>43</v>
      </c>
      <c r="B249" t="s">
        <v>950</v>
      </c>
      <c r="C249" s="16" t="s">
        <v>272</v>
      </c>
      <c r="D249" s="16">
        <v>2</v>
      </c>
      <c r="E249" t="s">
        <v>1524</v>
      </c>
      <c r="F249" t="s">
        <v>282</v>
      </c>
      <c r="G249" t="s">
        <v>341</v>
      </c>
      <c r="H249" t="s">
        <v>344</v>
      </c>
      <c r="I249" s="87">
        <f t="shared" si="21"/>
        <v>0.06</v>
      </c>
      <c r="J249" s="87">
        <f t="shared" si="22"/>
        <v>0.89000000000000012</v>
      </c>
      <c r="K249" s="87">
        <f t="shared" si="23"/>
        <v>0.67500000000000004</v>
      </c>
      <c r="L249" s="87">
        <f t="shared" si="24"/>
        <v>1.925</v>
      </c>
      <c r="M249" s="87">
        <f t="shared" si="25"/>
        <v>0.48</v>
      </c>
      <c r="N249" s="87">
        <f t="shared" si="26"/>
        <v>1.825</v>
      </c>
      <c r="O249" s="87">
        <f t="shared" si="27"/>
        <v>5.8550000000000004</v>
      </c>
    </row>
    <row r="250" spans="1:15" x14ac:dyDescent="0.3">
      <c r="A250" t="s">
        <v>43</v>
      </c>
      <c r="B250" t="s">
        <v>951</v>
      </c>
      <c r="C250" s="16" t="s">
        <v>272</v>
      </c>
      <c r="D250" s="16">
        <v>3</v>
      </c>
      <c r="E250" t="s">
        <v>1525</v>
      </c>
      <c r="F250" t="s">
        <v>283</v>
      </c>
      <c r="G250" t="s">
        <v>1567</v>
      </c>
      <c r="H250" t="s">
        <v>344</v>
      </c>
      <c r="I250" s="87">
        <f t="shared" si="21"/>
        <v>0.06</v>
      </c>
      <c r="J250" s="87">
        <f t="shared" si="22"/>
        <v>0.12</v>
      </c>
      <c r="K250" s="87">
        <f t="shared" si="23"/>
        <v>2.0750000000000002</v>
      </c>
      <c r="L250" s="87">
        <f t="shared" si="24"/>
        <v>2.35</v>
      </c>
      <c r="M250" s="87">
        <f t="shared" si="25"/>
        <v>0.32000000000000006</v>
      </c>
      <c r="N250" s="87">
        <f t="shared" si="26"/>
        <v>1.825</v>
      </c>
      <c r="O250" s="87">
        <f t="shared" si="27"/>
        <v>6.7500000000000009</v>
      </c>
    </row>
    <row r="251" spans="1:15" x14ac:dyDescent="0.3">
      <c r="A251" t="s">
        <v>43</v>
      </c>
      <c r="B251" t="s">
        <v>952</v>
      </c>
      <c r="C251" s="16" t="s">
        <v>272</v>
      </c>
      <c r="D251" s="16">
        <v>2</v>
      </c>
      <c r="E251" t="s">
        <v>1524</v>
      </c>
      <c r="F251" t="s">
        <v>282</v>
      </c>
      <c r="G251" t="s">
        <v>341</v>
      </c>
      <c r="H251" t="s">
        <v>345</v>
      </c>
      <c r="I251" s="87">
        <f t="shared" si="21"/>
        <v>0.06</v>
      </c>
      <c r="J251" s="87">
        <f t="shared" si="22"/>
        <v>0.89000000000000012</v>
      </c>
      <c r="K251" s="87">
        <f t="shared" si="23"/>
        <v>0.67500000000000004</v>
      </c>
      <c r="L251" s="87">
        <f t="shared" si="24"/>
        <v>1.925</v>
      </c>
      <c r="M251" s="87">
        <f t="shared" si="25"/>
        <v>0.48</v>
      </c>
      <c r="N251" s="87">
        <f t="shared" si="26"/>
        <v>1.7749999999999999</v>
      </c>
      <c r="O251" s="87">
        <f t="shared" si="27"/>
        <v>5.8049999999999997</v>
      </c>
    </row>
    <row r="252" spans="1:15" x14ac:dyDescent="0.3">
      <c r="A252" t="s">
        <v>43</v>
      </c>
      <c r="B252" t="s">
        <v>953</v>
      </c>
      <c r="C252" s="16" t="s">
        <v>272</v>
      </c>
      <c r="D252" s="16">
        <v>2</v>
      </c>
      <c r="E252" t="s">
        <v>1524</v>
      </c>
      <c r="F252" t="s">
        <v>282</v>
      </c>
      <c r="G252" t="s">
        <v>341</v>
      </c>
      <c r="H252" t="s">
        <v>345</v>
      </c>
      <c r="I252" s="87">
        <f t="shared" si="21"/>
        <v>0.06</v>
      </c>
      <c r="J252" s="87">
        <f t="shared" si="22"/>
        <v>0.89000000000000012</v>
      </c>
      <c r="K252" s="87">
        <f t="shared" si="23"/>
        <v>0.67500000000000004</v>
      </c>
      <c r="L252" s="87">
        <f t="shared" si="24"/>
        <v>1.925</v>
      </c>
      <c r="M252" s="87">
        <f t="shared" si="25"/>
        <v>0.48</v>
      </c>
      <c r="N252" s="87">
        <f t="shared" si="26"/>
        <v>1.7749999999999999</v>
      </c>
      <c r="O252" s="87">
        <f t="shared" si="27"/>
        <v>5.8049999999999997</v>
      </c>
    </row>
    <row r="253" spans="1:15" x14ac:dyDescent="0.3">
      <c r="A253" t="s">
        <v>43</v>
      </c>
      <c r="B253" t="s">
        <v>954</v>
      </c>
      <c r="C253" s="16" t="s">
        <v>272</v>
      </c>
      <c r="D253" s="16">
        <v>2</v>
      </c>
      <c r="E253" t="s">
        <v>1524</v>
      </c>
      <c r="F253" t="s">
        <v>282</v>
      </c>
      <c r="G253" t="s">
        <v>341</v>
      </c>
      <c r="H253" t="s">
        <v>345</v>
      </c>
      <c r="I253" s="87">
        <f t="shared" si="21"/>
        <v>0.06</v>
      </c>
      <c r="J253" s="87">
        <f t="shared" si="22"/>
        <v>0.89000000000000012</v>
      </c>
      <c r="K253" s="87">
        <f t="shared" si="23"/>
        <v>0.67500000000000004</v>
      </c>
      <c r="L253" s="87">
        <f t="shared" si="24"/>
        <v>1.925</v>
      </c>
      <c r="M253" s="87">
        <f t="shared" si="25"/>
        <v>0.48</v>
      </c>
      <c r="N253" s="87">
        <f t="shared" si="26"/>
        <v>1.7749999999999999</v>
      </c>
      <c r="O253" s="87">
        <f t="shared" si="27"/>
        <v>5.8049999999999997</v>
      </c>
    </row>
    <row r="254" spans="1:15" x14ac:dyDescent="0.3">
      <c r="A254" t="s">
        <v>43</v>
      </c>
      <c r="B254" t="s">
        <v>955</v>
      </c>
      <c r="C254" s="16" t="s">
        <v>272</v>
      </c>
      <c r="D254" s="16">
        <v>2</v>
      </c>
      <c r="E254" t="s">
        <v>1524</v>
      </c>
      <c r="F254" t="s">
        <v>282</v>
      </c>
      <c r="G254" t="s">
        <v>341</v>
      </c>
      <c r="H254" t="s">
        <v>345</v>
      </c>
      <c r="I254" s="87">
        <f t="shared" si="21"/>
        <v>0.06</v>
      </c>
      <c r="J254" s="87">
        <f t="shared" si="22"/>
        <v>0.89000000000000012</v>
      </c>
      <c r="K254" s="87">
        <f t="shared" si="23"/>
        <v>0.67500000000000004</v>
      </c>
      <c r="L254" s="87">
        <f t="shared" si="24"/>
        <v>1.925</v>
      </c>
      <c r="M254" s="87">
        <f t="shared" si="25"/>
        <v>0.48</v>
      </c>
      <c r="N254" s="87">
        <f t="shared" si="26"/>
        <v>1.7749999999999999</v>
      </c>
      <c r="O254" s="87">
        <f t="shared" si="27"/>
        <v>5.8049999999999997</v>
      </c>
    </row>
    <row r="255" spans="1:15" x14ac:dyDescent="0.3">
      <c r="A255" t="s">
        <v>43</v>
      </c>
      <c r="B255" t="s">
        <v>956</v>
      </c>
      <c r="C255" s="16" t="s">
        <v>272</v>
      </c>
      <c r="D255" s="16">
        <v>3</v>
      </c>
      <c r="E255" t="s">
        <v>1524</v>
      </c>
      <c r="F255" t="s">
        <v>282</v>
      </c>
      <c r="G255" t="s">
        <v>1567</v>
      </c>
      <c r="H255" t="s">
        <v>345</v>
      </c>
      <c r="I255" s="87">
        <f t="shared" si="21"/>
        <v>0.06</v>
      </c>
      <c r="J255" s="87">
        <f t="shared" si="22"/>
        <v>0.12</v>
      </c>
      <c r="K255" s="87">
        <f t="shared" si="23"/>
        <v>0.67500000000000004</v>
      </c>
      <c r="L255" s="87">
        <f t="shared" si="24"/>
        <v>1.925</v>
      </c>
      <c r="M255" s="87">
        <f t="shared" si="25"/>
        <v>0.32000000000000006</v>
      </c>
      <c r="N255" s="87">
        <f t="shared" si="26"/>
        <v>1.7749999999999999</v>
      </c>
      <c r="O255" s="87">
        <f t="shared" si="27"/>
        <v>4.875</v>
      </c>
    </row>
    <row r="256" spans="1:15" x14ac:dyDescent="0.3">
      <c r="A256" t="s">
        <v>43</v>
      </c>
      <c r="B256" t="s">
        <v>957</v>
      </c>
      <c r="C256" s="16" t="s">
        <v>272</v>
      </c>
      <c r="D256" s="16">
        <v>3</v>
      </c>
      <c r="E256" t="s">
        <v>1525</v>
      </c>
      <c r="F256" t="s">
        <v>283</v>
      </c>
      <c r="G256" t="s">
        <v>1567</v>
      </c>
      <c r="H256" t="s">
        <v>344</v>
      </c>
      <c r="I256" s="87">
        <f t="shared" si="21"/>
        <v>0.06</v>
      </c>
      <c r="J256" s="87">
        <f t="shared" si="22"/>
        <v>0.12</v>
      </c>
      <c r="K256" s="87">
        <f t="shared" si="23"/>
        <v>2.0750000000000002</v>
      </c>
      <c r="L256" s="87">
        <f t="shared" si="24"/>
        <v>2.35</v>
      </c>
      <c r="M256" s="87">
        <f t="shared" si="25"/>
        <v>0.32000000000000006</v>
      </c>
      <c r="N256" s="87">
        <f t="shared" si="26"/>
        <v>1.825</v>
      </c>
      <c r="O256" s="87">
        <f t="shared" si="27"/>
        <v>6.7500000000000009</v>
      </c>
    </row>
    <row r="257" spans="1:15" x14ac:dyDescent="0.3">
      <c r="A257" t="s">
        <v>43</v>
      </c>
      <c r="B257" t="s">
        <v>958</v>
      </c>
      <c r="C257" s="16" t="s">
        <v>272</v>
      </c>
      <c r="D257" s="16">
        <v>3</v>
      </c>
      <c r="E257" t="s">
        <v>1524</v>
      </c>
      <c r="F257" t="s">
        <v>282</v>
      </c>
      <c r="G257" t="s">
        <v>341</v>
      </c>
      <c r="H257" t="s">
        <v>345</v>
      </c>
      <c r="I257" s="87">
        <f t="shared" si="21"/>
        <v>0.06</v>
      </c>
      <c r="J257" s="87">
        <f t="shared" si="22"/>
        <v>0.12</v>
      </c>
      <c r="K257" s="87">
        <f t="shared" si="23"/>
        <v>0.67500000000000004</v>
      </c>
      <c r="L257" s="87">
        <f t="shared" si="24"/>
        <v>1.925</v>
      </c>
      <c r="M257" s="87">
        <f t="shared" si="25"/>
        <v>0.48</v>
      </c>
      <c r="N257" s="87">
        <f t="shared" si="26"/>
        <v>1.7749999999999999</v>
      </c>
      <c r="O257" s="87">
        <f t="shared" si="27"/>
        <v>5.0350000000000001</v>
      </c>
    </row>
    <row r="258" spans="1:15" x14ac:dyDescent="0.3">
      <c r="A258" t="s">
        <v>43</v>
      </c>
      <c r="B258" t="s">
        <v>959</v>
      </c>
      <c r="C258" s="16" t="s">
        <v>272</v>
      </c>
      <c r="D258" s="16">
        <v>3</v>
      </c>
      <c r="E258" t="s">
        <v>1525</v>
      </c>
      <c r="F258" t="s">
        <v>283</v>
      </c>
      <c r="G258" t="s">
        <v>1567</v>
      </c>
      <c r="H258" t="s">
        <v>345</v>
      </c>
      <c r="I258" s="87">
        <f t="shared" si="21"/>
        <v>0.06</v>
      </c>
      <c r="J258" s="87">
        <f t="shared" si="22"/>
        <v>0.12</v>
      </c>
      <c r="K258" s="87">
        <f t="shared" si="23"/>
        <v>2.0750000000000002</v>
      </c>
      <c r="L258" s="87">
        <f t="shared" si="24"/>
        <v>2.35</v>
      </c>
      <c r="M258" s="87">
        <f t="shared" si="25"/>
        <v>0.32000000000000006</v>
      </c>
      <c r="N258" s="87">
        <f t="shared" si="26"/>
        <v>1.7749999999999999</v>
      </c>
      <c r="O258" s="87">
        <f t="shared" si="27"/>
        <v>6.7000000000000011</v>
      </c>
    </row>
    <row r="259" spans="1:15" x14ac:dyDescent="0.3">
      <c r="A259" t="s">
        <v>43</v>
      </c>
      <c r="B259" t="s">
        <v>960</v>
      </c>
      <c r="C259" s="16" t="s">
        <v>272</v>
      </c>
      <c r="D259" s="16">
        <v>3</v>
      </c>
      <c r="E259" t="s">
        <v>1525</v>
      </c>
      <c r="F259" t="s">
        <v>283</v>
      </c>
      <c r="G259" t="s">
        <v>1567</v>
      </c>
      <c r="H259" t="s">
        <v>344</v>
      </c>
      <c r="I259" s="87">
        <f t="shared" si="21"/>
        <v>0.06</v>
      </c>
      <c r="J259" s="87">
        <f t="shared" si="22"/>
        <v>0.12</v>
      </c>
      <c r="K259" s="87">
        <f t="shared" si="23"/>
        <v>2.0750000000000002</v>
      </c>
      <c r="L259" s="87">
        <f t="shared" si="24"/>
        <v>2.35</v>
      </c>
      <c r="M259" s="87">
        <f t="shared" si="25"/>
        <v>0.32000000000000006</v>
      </c>
      <c r="N259" s="87">
        <f t="shared" si="26"/>
        <v>1.825</v>
      </c>
      <c r="O259" s="87">
        <f t="shared" si="27"/>
        <v>6.7500000000000009</v>
      </c>
    </row>
    <row r="260" spans="1:15" x14ac:dyDescent="0.3">
      <c r="A260" t="s">
        <v>43</v>
      </c>
      <c r="B260" t="s">
        <v>961</v>
      </c>
      <c r="C260" s="16" t="s">
        <v>272</v>
      </c>
      <c r="D260" s="16">
        <v>3</v>
      </c>
      <c r="E260" t="s">
        <v>1525</v>
      </c>
      <c r="F260" t="s">
        <v>283</v>
      </c>
      <c r="G260" t="s">
        <v>1567</v>
      </c>
      <c r="H260" t="s">
        <v>344</v>
      </c>
      <c r="I260" s="87">
        <f t="shared" ref="I260:I323" si="28">VLOOKUP(C260,$R$3:$T$4,3,0)*T$1</f>
        <v>0.06</v>
      </c>
      <c r="J260" s="87">
        <f t="shared" ref="J260:J323" si="29">VLOOKUP(D260,$U$3:$W$5,3,0)*W$1</f>
        <v>0.12</v>
      </c>
      <c r="K260" s="87">
        <f t="shared" ref="K260:K323" si="30">VLOOKUP(E260,$X$3:$Z$9,3,0)*Z$1</f>
        <v>2.0750000000000002</v>
      </c>
      <c r="L260" s="87">
        <f t="shared" ref="L260:L323" si="31">VLOOKUP(F260,$AA$3:$AC$32,3,0)*AC$1</f>
        <v>2.35</v>
      </c>
      <c r="M260" s="87">
        <f t="shared" ref="M260:M323" si="32">VLOOKUP(G260,$AD$3:$AF$9,3,0)*AF$1</f>
        <v>0.32000000000000006</v>
      </c>
      <c r="N260" s="87">
        <f t="shared" ref="N260:N323" si="33">VLOOKUP(H260,$AG$3:$AI$15,3,0)*AI$1</f>
        <v>1.825</v>
      </c>
      <c r="O260" s="87">
        <f t="shared" ref="O260:O323" si="34">SUM(I260:N260)</f>
        <v>6.7500000000000009</v>
      </c>
    </row>
    <row r="261" spans="1:15" x14ac:dyDescent="0.3">
      <c r="A261" t="s">
        <v>43</v>
      </c>
      <c r="B261" t="s">
        <v>962</v>
      </c>
      <c r="C261" s="16" t="s">
        <v>272</v>
      </c>
      <c r="D261" s="16">
        <v>3</v>
      </c>
      <c r="E261" t="s">
        <v>1524</v>
      </c>
      <c r="F261" t="s">
        <v>1537</v>
      </c>
      <c r="G261" t="s">
        <v>1566</v>
      </c>
      <c r="H261" t="s">
        <v>1572</v>
      </c>
      <c r="I261" s="87">
        <f t="shared" si="28"/>
        <v>0.06</v>
      </c>
      <c r="J261" s="87">
        <f t="shared" si="29"/>
        <v>0.12</v>
      </c>
      <c r="K261" s="87">
        <f t="shared" si="30"/>
        <v>0.67500000000000004</v>
      </c>
      <c r="L261" s="87">
        <f t="shared" si="31"/>
        <v>2.2250000000000001</v>
      </c>
      <c r="M261" s="87">
        <f t="shared" si="32"/>
        <v>0.27</v>
      </c>
      <c r="N261" s="87">
        <f t="shared" si="33"/>
        <v>2.4500000000000002</v>
      </c>
      <c r="O261" s="87">
        <f t="shared" si="34"/>
        <v>5.8000000000000007</v>
      </c>
    </row>
    <row r="262" spans="1:15" x14ac:dyDescent="0.3">
      <c r="A262" t="s">
        <v>43</v>
      </c>
      <c r="B262" t="s">
        <v>963</v>
      </c>
      <c r="C262" s="16" t="s">
        <v>272</v>
      </c>
      <c r="D262" s="16">
        <v>3</v>
      </c>
      <c r="E262" t="s">
        <v>1524</v>
      </c>
      <c r="F262" t="s">
        <v>1557</v>
      </c>
      <c r="G262" t="s">
        <v>1566</v>
      </c>
      <c r="H262" t="s">
        <v>1573</v>
      </c>
      <c r="I262" s="87">
        <f t="shared" si="28"/>
        <v>0.06</v>
      </c>
      <c r="J262" s="87">
        <f t="shared" si="29"/>
        <v>0.12</v>
      </c>
      <c r="K262" s="87">
        <f t="shared" si="30"/>
        <v>0.67500000000000004</v>
      </c>
      <c r="L262" s="87">
        <f t="shared" si="31"/>
        <v>2.4249999999999998</v>
      </c>
      <c r="M262" s="87">
        <f t="shared" si="32"/>
        <v>0.27</v>
      </c>
      <c r="N262" s="87">
        <f t="shared" si="33"/>
        <v>2.4249999999999998</v>
      </c>
      <c r="O262" s="87">
        <f t="shared" si="34"/>
        <v>5.9749999999999996</v>
      </c>
    </row>
    <row r="263" spans="1:15" x14ac:dyDescent="0.3">
      <c r="A263" t="s">
        <v>43</v>
      </c>
      <c r="B263" t="s">
        <v>964</v>
      </c>
      <c r="C263" s="16" t="s">
        <v>272</v>
      </c>
      <c r="D263" s="16">
        <v>3</v>
      </c>
      <c r="E263" t="s">
        <v>1524</v>
      </c>
      <c r="F263" t="s">
        <v>1557</v>
      </c>
      <c r="G263" t="s">
        <v>1566</v>
      </c>
      <c r="H263" t="s">
        <v>344</v>
      </c>
      <c r="I263" s="87">
        <f t="shared" si="28"/>
        <v>0.06</v>
      </c>
      <c r="J263" s="87">
        <f t="shared" si="29"/>
        <v>0.12</v>
      </c>
      <c r="K263" s="87">
        <f t="shared" si="30"/>
        <v>0.67500000000000004</v>
      </c>
      <c r="L263" s="87">
        <f t="shared" si="31"/>
        <v>2.4249999999999998</v>
      </c>
      <c r="M263" s="87">
        <f t="shared" si="32"/>
        <v>0.27</v>
      </c>
      <c r="N263" s="87">
        <f t="shared" si="33"/>
        <v>1.825</v>
      </c>
      <c r="O263" s="87">
        <f t="shared" si="34"/>
        <v>5.375</v>
      </c>
    </row>
    <row r="264" spans="1:15" x14ac:dyDescent="0.3">
      <c r="A264" t="s">
        <v>43</v>
      </c>
      <c r="B264" t="s">
        <v>965</v>
      </c>
      <c r="C264" s="16" t="s">
        <v>272</v>
      </c>
      <c r="D264" s="16">
        <v>3</v>
      </c>
      <c r="E264" t="s">
        <v>1524</v>
      </c>
      <c r="F264" t="s">
        <v>1557</v>
      </c>
      <c r="G264" t="s">
        <v>1566</v>
      </c>
      <c r="H264" t="s">
        <v>345</v>
      </c>
      <c r="I264" s="87">
        <f t="shared" si="28"/>
        <v>0.06</v>
      </c>
      <c r="J264" s="87">
        <f t="shared" si="29"/>
        <v>0.12</v>
      </c>
      <c r="K264" s="87">
        <f t="shared" si="30"/>
        <v>0.67500000000000004</v>
      </c>
      <c r="L264" s="87">
        <f t="shared" si="31"/>
        <v>2.4249999999999998</v>
      </c>
      <c r="M264" s="87">
        <f t="shared" si="32"/>
        <v>0.27</v>
      </c>
      <c r="N264" s="87">
        <f t="shared" si="33"/>
        <v>1.7749999999999999</v>
      </c>
      <c r="O264" s="87">
        <f t="shared" si="34"/>
        <v>5.3249999999999993</v>
      </c>
    </row>
    <row r="265" spans="1:15" x14ac:dyDescent="0.3">
      <c r="A265" t="s">
        <v>43</v>
      </c>
      <c r="B265" t="s">
        <v>966</v>
      </c>
      <c r="C265" s="16" t="s">
        <v>272</v>
      </c>
      <c r="D265" s="16">
        <v>2</v>
      </c>
      <c r="E265" t="s">
        <v>1524</v>
      </c>
      <c r="F265" t="s">
        <v>1537</v>
      </c>
      <c r="G265" t="s">
        <v>341</v>
      </c>
      <c r="H265" t="s">
        <v>1571</v>
      </c>
      <c r="I265" s="87">
        <f t="shared" si="28"/>
        <v>0.06</v>
      </c>
      <c r="J265" s="87">
        <f t="shared" si="29"/>
        <v>0.89000000000000012</v>
      </c>
      <c r="K265" s="87">
        <f t="shared" si="30"/>
        <v>0.67500000000000004</v>
      </c>
      <c r="L265" s="87">
        <f t="shared" si="31"/>
        <v>2.2250000000000001</v>
      </c>
      <c r="M265" s="87">
        <f t="shared" si="32"/>
        <v>0.48</v>
      </c>
      <c r="N265" s="87">
        <f t="shared" si="33"/>
        <v>2.375</v>
      </c>
      <c r="O265" s="87">
        <f t="shared" si="34"/>
        <v>6.7050000000000001</v>
      </c>
    </row>
    <row r="266" spans="1:15" x14ac:dyDescent="0.3">
      <c r="A266" t="s">
        <v>43</v>
      </c>
      <c r="B266" t="s">
        <v>967</v>
      </c>
      <c r="C266" s="16" t="s">
        <v>272</v>
      </c>
      <c r="D266" s="16">
        <v>2</v>
      </c>
      <c r="E266" t="s">
        <v>1524</v>
      </c>
      <c r="F266" t="s">
        <v>1537</v>
      </c>
      <c r="G266" t="s">
        <v>341</v>
      </c>
      <c r="H266" t="s">
        <v>1571</v>
      </c>
      <c r="I266" s="87">
        <f t="shared" si="28"/>
        <v>0.06</v>
      </c>
      <c r="J266" s="87">
        <f t="shared" si="29"/>
        <v>0.89000000000000012</v>
      </c>
      <c r="K266" s="87">
        <f t="shared" si="30"/>
        <v>0.67500000000000004</v>
      </c>
      <c r="L266" s="87">
        <f t="shared" si="31"/>
        <v>2.2250000000000001</v>
      </c>
      <c r="M266" s="87">
        <f t="shared" si="32"/>
        <v>0.48</v>
      </c>
      <c r="N266" s="87">
        <f t="shared" si="33"/>
        <v>2.375</v>
      </c>
      <c r="O266" s="87">
        <f t="shared" si="34"/>
        <v>6.7050000000000001</v>
      </c>
    </row>
    <row r="267" spans="1:15" x14ac:dyDescent="0.3">
      <c r="A267" t="s">
        <v>45</v>
      </c>
      <c r="B267" t="s">
        <v>968</v>
      </c>
      <c r="C267" s="16" t="s">
        <v>272</v>
      </c>
      <c r="D267" s="16">
        <v>3</v>
      </c>
      <c r="E267" t="s">
        <v>1524</v>
      </c>
      <c r="F267" t="s">
        <v>1542</v>
      </c>
      <c r="G267" t="s">
        <v>1567</v>
      </c>
      <c r="H267" t="s">
        <v>344</v>
      </c>
      <c r="I267" s="87">
        <f t="shared" si="28"/>
        <v>0.06</v>
      </c>
      <c r="J267" s="87">
        <f t="shared" si="29"/>
        <v>0.12</v>
      </c>
      <c r="K267" s="87">
        <f t="shared" si="30"/>
        <v>0.67500000000000004</v>
      </c>
      <c r="L267" s="87">
        <f t="shared" si="31"/>
        <v>2.35</v>
      </c>
      <c r="M267" s="87">
        <f t="shared" si="32"/>
        <v>0.32000000000000006</v>
      </c>
      <c r="N267" s="87">
        <f t="shared" si="33"/>
        <v>1.825</v>
      </c>
      <c r="O267" s="87">
        <f t="shared" si="34"/>
        <v>5.3500000000000005</v>
      </c>
    </row>
    <row r="268" spans="1:15" x14ac:dyDescent="0.3">
      <c r="A268" t="s">
        <v>45</v>
      </c>
      <c r="B268" t="s">
        <v>969</v>
      </c>
      <c r="C268" s="16" t="s">
        <v>272</v>
      </c>
      <c r="D268" s="16">
        <v>2</v>
      </c>
      <c r="E268" t="s">
        <v>1525</v>
      </c>
      <c r="F268" t="s">
        <v>1658</v>
      </c>
      <c r="G268" t="s">
        <v>1567</v>
      </c>
      <c r="H268" t="s">
        <v>344</v>
      </c>
      <c r="I268" s="87">
        <f t="shared" si="28"/>
        <v>0.06</v>
      </c>
      <c r="J268" s="87">
        <f t="shared" si="29"/>
        <v>0.89000000000000012</v>
      </c>
      <c r="K268" s="87">
        <f t="shared" si="30"/>
        <v>2.0750000000000002</v>
      </c>
      <c r="L268" s="87">
        <f t="shared" si="31"/>
        <v>2.5</v>
      </c>
      <c r="M268" s="87">
        <f t="shared" si="32"/>
        <v>0.32000000000000006</v>
      </c>
      <c r="N268" s="87">
        <f t="shared" si="33"/>
        <v>1.825</v>
      </c>
      <c r="O268" s="87">
        <f t="shared" si="34"/>
        <v>7.6700000000000008</v>
      </c>
    </row>
    <row r="269" spans="1:15" x14ac:dyDescent="0.3">
      <c r="A269" t="s">
        <v>45</v>
      </c>
      <c r="B269" t="s">
        <v>970</v>
      </c>
      <c r="C269" s="16" t="s">
        <v>272</v>
      </c>
      <c r="D269" s="16">
        <v>2</v>
      </c>
      <c r="E269" t="s">
        <v>1525</v>
      </c>
      <c r="F269" t="s">
        <v>1658</v>
      </c>
      <c r="G269" t="s">
        <v>1656</v>
      </c>
      <c r="H269" t="s">
        <v>291</v>
      </c>
      <c r="I269" s="87">
        <f t="shared" si="28"/>
        <v>0.06</v>
      </c>
      <c r="J269" s="87">
        <f t="shared" si="29"/>
        <v>0.89000000000000012</v>
      </c>
      <c r="K269" s="87">
        <f t="shared" si="30"/>
        <v>2.0750000000000002</v>
      </c>
      <c r="L269" s="87">
        <f t="shared" si="31"/>
        <v>2.5</v>
      </c>
      <c r="M269" s="87">
        <f t="shared" si="32"/>
        <v>0.5</v>
      </c>
      <c r="N269" s="87">
        <f t="shared" si="33"/>
        <v>2.125</v>
      </c>
      <c r="O269" s="87">
        <f t="shared" si="34"/>
        <v>8.15</v>
      </c>
    </row>
    <row r="270" spans="1:15" x14ac:dyDescent="0.3">
      <c r="A270" t="s">
        <v>45</v>
      </c>
      <c r="B270" t="s">
        <v>971</v>
      </c>
      <c r="C270" s="16" t="s">
        <v>272</v>
      </c>
      <c r="D270" s="16">
        <v>3</v>
      </c>
      <c r="E270" t="s">
        <v>1524</v>
      </c>
      <c r="F270" t="s">
        <v>1537</v>
      </c>
      <c r="G270" t="s">
        <v>1567</v>
      </c>
      <c r="H270" t="s">
        <v>1570</v>
      </c>
      <c r="I270" s="87">
        <f t="shared" si="28"/>
        <v>0.06</v>
      </c>
      <c r="J270" s="87">
        <f t="shared" si="29"/>
        <v>0.12</v>
      </c>
      <c r="K270" s="87">
        <f t="shared" si="30"/>
        <v>0.67500000000000004</v>
      </c>
      <c r="L270" s="87">
        <f t="shared" si="31"/>
        <v>2.2250000000000001</v>
      </c>
      <c r="M270" s="87">
        <f t="shared" si="32"/>
        <v>0.32000000000000006</v>
      </c>
      <c r="N270" s="87">
        <f t="shared" si="33"/>
        <v>2.35</v>
      </c>
      <c r="O270" s="87">
        <f t="shared" si="34"/>
        <v>5.75</v>
      </c>
    </row>
    <row r="271" spans="1:15" x14ac:dyDescent="0.3">
      <c r="A271" t="s">
        <v>45</v>
      </c>
      <c r="B271" t="s">
        <v>972</v>
      </c>
      <c r="C271" s="16" t="s">
        <v>272</v>
      </c>
      <c r="D271" s="16">
        <v>3</v>
      </c>
      <c r="E271" t="s">
        <v>1524</v>
      </c>
      <c r="F271" t="s">
        <v>1537</v>
      </c>
      <c r="G271" t="s">
        <v>1567</v>
      </c>
      <c r="H271" t="s">
        <v>344</v>
      </c>
      <c r="I271" s="87">
        <f t="shared" si="28"/>
        <v>0.06</v>
      </c>
      <c r="J271" s="87">
        <f t="shared" si="29"/>
        <v>0.12</v>
      </c>
      <c r="K271" s="87">
        <f t="shared" si="30"/>
        <v>0.67500000000000004</v>
      </c>
      <c r="L271" s="87">
        <f t="shared" si="31"/>
        <v>2.2250000000000001</v>
      </c>
      <c r="M271" s="87">
        <f t="shared" si="32"/>
        <v>0.32000000000000006</v>
      </c>
      <c r="N271" s="87">
        <f t="shared" si="33"/>
        <v>1.825</v>
      </c>
      <c r="O271" s="87">
        <f t="shared" si="34"/>
        <v>5.2250000000000005</v>
      </c>
    </row>
    <row r="272" spans="1:15" x14ac:dyDescent="0.3">
      <c r="A272" t="s">
        <v>45</v>
      </c>
      <c r="B272" t="s">
        <v>973</v>
      </c>
      <c r="C272" s="16" t="s">
        <v>272</v>
      </c>
      <c r="D272" s="16">
        <v>3</v>
      </c>
      <c r="E272" t="s">
        <v>1524</v>
      </c>
      <c r="F272" t="s">
        <v>1537</v>
      </c>
      <c r="G272" t="s">
        <v>1567</v>
      </c>
      <c r="H272" t="s">
        <v>344</v>
      </c>
      <c r="I272" s="87">
        <f t="shared" si="28"/>
        <v>0.06</v>
      </c>
      <c r="J272" s="87">
        <f t="shared" si="29"/>
        <v>0.12</v>
      </c>
      <c r="K272" s="87">
        <f t="shared" si="30"/>
        <v>0.67500000000000004</v>
      </c>
      <c r="L272" s="87">
        <f t="shared" si="31"/>
        <v>2.2250000000000001</v>
      </c>
      <c r="M272" s="87">
        <f t="shared" si="32"/>
        <v>0.32000000000000006</v>
      </c>
      <c r="N272" s="87">
        <f t="shared" si="33"/>
        <v>1.825</v>
      </c>
      <c r="O272" s="87">
        <f t="shared" si="34"/>
        <v>5.2250000000000005</v>
      </c>
    </row>
    <row r="273" spans="1:15" x14ac:dyDescent="0.3">
      <c r="A273" t="s">
        <v>45</v>
      </c>
      <c r="B273" t="s">
        <v>974</v>
      </c>
      <c r="C273" s="16" t="s">
        <v>272</v>
      </c>
      <c r="D273" s="16">
        <v>3</v>
      </c>
      <c r="E273" t="s">
        <v>1524</v>
      </c>
      <c r="F273" t="s">
        <v>282</v>
      </c>
      <c r="G273" t="s">
        <v>1656</v>
      </c>
      <c r="H273" t="s">
        <v>291</v>
      </c>
      <c r="I273" s="87">
        <f t="shared" si="28"/>
        <v>0.06</v>
      </c>
      <c r="J273" s="87">
        <f t="shared" si="29"/>
        <v>0.12</v>
      </c>
      <c r="K273" s="87">
        <f t="shared" si="30"/>
        <v>0.67500000000000004</v>
      </c>
      <c r="L273" s="87">
        <f t="shared" si="31"/>
        <v>1.925</v>
      </c>
      <c r="M273" s="87">
        <f t="shared" si="32"/>
        <v>0.5</v>
      </c>
      <c r="N273" s="87">
        <f t="shared" si="33"/>
        <v>2.125</v>
      </c>
      <c r="O273" s="87">
        <f t="shared" si="34"/>
        <v>5.4050000000000002</v>
      </c>
    </row>
    <row r="274" spans="1:15" x14ac:dyDescent="0.3">
      <c r="A274" t="s">
        <v>45</v>
      </c>
      <c r="B274" t="s">
        <v>975</v>
      </c>
      <c r="C274" s="16" t="s">
        <v>272</v>
      </c>
      <c r="D274" s="16">
        <v>3</v>
      </c>
      <c r="E274" t="s">
        <v>1524</v>
      </c>
      <c r="F274" t="s">
        <v>1537</v>
      </c>
      <c r="G274" t="s">
        <v>1567</v>
      </c>
      <c r="H274" t="s">
        <v>344</v>
      </c>
      <c r="I274" s="87">
        <f t="shared" si="28"/>
        <v>0.06</v>
      </c>
      <c r="J274" s="87">
        <f t="shared" si="29"/>
        <v>0.12</v>
      </c>
      <c r="K274" s="87">
        <f t="shared" si="30"/>
        <v>0.67500000000000004</v>
      </c>
      <c r="L274" s="87">
        <f t="shared" si="31"/>
        <v>2.2250000000000001</v>
      </c>
      <c r="M274" s="87">
        <f t="shared" si="32"/>
        <v>0.32000000000000006</v>
      </c>
      <c r="N274" s="87">
        <f t="shared" si="33"/>
        <v>1.825</v>
      </c>
      <c r="O274" s="87">
        <f t="shared" si="34"/>
        <v>5.2250000000000005</v>
      </c>
    </row>
    <row r="275" spans="1:15" x14ac:dyDescent="0.3">
      <c r="A275" t="s">
        <v>45</v>
      </c>
      <c r="B275" t="s">
        <v>976</v>
      </c>
      <c r="C275" s="16" t="s">
        <v>272</v>
      </c>
      <c r="D275" s="16">
        <v>3</v>
      </c>
      <c r="E275" t="s">
        <v>1524</v>
      </c>
      <c r="F275" t="s">
        <v>1537</v>
      </c>
      <c r="G275" t="s">
        <v>1567</v>
      </c>
      <c r="H275" t="s">
        <v>344</v>
      </c>
      <c r="I275" s="87">
        <f t="shared" si="28"/>
        <v>0.06</v>
      </c>
      <c r="J275" s="87">
        <f t="shared" si="29"/>
        <v>0.12</v>
      </c>
      <c r="K275" s="87">
        <f t="shared" si="30"/>
        <v>0.67500000000000004</v>
      </c>
      <c r="L275" s="87">
        <f t="shared" si="31"/>
        <v>2.2250000000000001</v>
      </c>
      <c r="M275" s="87">
        <f t="shared" si="32"/>
        <v>0.32000000000000006</v>
      </c>
      <c r="N275" s="87">
        <f t="shared" si="33"/>
        <v>1.825</v>
      </c>
      <c r="O275" s="87">
        <f t="shared" si="34"/>
        <v>5.2250000000000005</v>
      </c>
    </row>
    <row r="276" spans="1:15" x14ac:dyDescent="0.3">
      <c r="A276" t="s">
        <v>45</v>
      </c>
      <c r="B276" t="s">
        <v>977</v>
      </c>
      <c r="C276" s="16" t="s">
        <v>272</v>
      </c>
      <c r="D276" s="16">
        <v>3</v>
      </c>
      <c r="E276" t="s">
        <v>1524</v>
      </c>
      <c r="F276" t="s">
        <v>1537</v>
      </c>
      <c r="G276" t="s">
        <v>1567</v>
      </c>
      <c r="H276" t="s">
        <v>344</v>
      </c>
      <c r="I276" s="87">
        <f t="shared" si="28"/>
        <v>0.06</v>
      </c>
      <c r="J276" s="87">
        <f t="shared" si="29"/>
        <v>0.12</v>
      </c>
      <c r="K276" s="87">
        <f t="shared" si="30"/>
        <v>0.67500000000000004</v>
      </c>
      <c r="L276" s="87">
        <f t="shared" si="31"/>
        <v>2.2250000000000001</v>
      </c>
      <c r="M276" s="87">
        <f t="shared" si="32"/>
        <v>0.32000000000000006</v>
      </c>
      <c r="N276" s="87">
        <f t="shared" si="33"/>
        <v>1.825</v>
      </c>
      <c r="O276" s="87">
        <f t="shared" si="34"/>
        <v>5.2250000000000005</v>
      </c>
    </row>
    <row r="277" spans="1:15" x14ac:dyDescent="0.3">
      <c r="A277" t="s">
        <v>45</v>
      </c>
      <c r="B277" t="s">
        <v>978</v>
      </c>
      <c r="C277" s="16" t="s">
        <v>272</v>
      </c>
      <c r="D277" s="16">
        <v>3</v>
      </c>
      <c r="E277" t="s">
        <v>1524</v>
      </c>
      <c r="F277" t="s">
        <v>1535</v>
      </c>
      <c r="G277" t="s">
        <v>1567</v>
      </c>
      <c r="H277" t="s">
        <v>344</v>
      </c>
      <c r="I277" s="87">
        <f t="shared" si="28"/>
        <v>0.06</v>
      </c>
      <c r="J277" s="87">
        <f t="shared" si="29"/>
        <v>0.12</v>
      </c>
      <c r="K277" s="87">
        <f t="shared" si="30"/>
        <v>0.67500000000000004</v>
      </c>
      <c r="L277" s="87">
        <f t="shared" si="31"/>
        <v>2.375</v>
      </c>
      <c r="M277" s="87">
        <f t="shared" si="32"/>
        <v>0.32000000000000006</v>
      </c>
      <c r="N277" s="87">
        <f t="shared" si="33"/>
        <v>1.825</v>
      </c>
      <c r="O277" s="87">
        <f t="shared" si="34"/>
        <v>5.375</v>
      </c>
    </row>
    <row r="278" spans="1:15" x14ac:dyDescent="0.3">
      <c r="A278" t="s">
        <v>45</v>
      </c>
      <c r="B278" t="s">
        <v>979</v>
      </c>
      <c r="C278" s="16" t="s">
        <v>272</v>
      </c>
      <c r="D278" s="16">
        <v>3</v>
      </c>
      <c r="E278" t="s">
        <v>1524</v>
      </c>
      <c r="F278" t="s">
        <v>1542</v>
      </c>
      <c r="G278" t="s">
        <v>1567</v>
      </c>
      <c r="H278" t="s">
        <v>344</v>
      </c>
      <c r="I278" s="87">
        <f t="shared" si="28"/>
        <v>0.06</v>
      </c>
      <c r="J278" s="87">
        <f t="shared" si="29"/>
        <v>0.12</v>
      </c>
      <c r="K278" s="87">
        <f t="shared" si="30"/>
        <v>0.67500000000000004</v>
      </c>
      <c r="L278" s="87">
        <f t="shared" si="31"/>
        <v>2.35</v>
      </c>
      <c r="M278" s="87">
        <f t="shared" si="32"/>
        <v>0.32000000000000006</v>
      </c>
      <c r="N278" s="87">
        <f t="shared" si="33"/>
        <v>1.825</v>
      </c>
      <c r="O278" s="87">
        <f t="shared" si="34"/>
        <v>5.3500000000000005</v>
      </c>
    </row>
    <row r="279" spans="1:15" x14ac:dyDescent="0.3">
      <c r="A279" t="s">
        <v>45</v>
      </c>
      <c r="B279" t="s">
        <v>980</v>
      </c>
      <c r="C279" s="16" t="s">
        <v>272</v>
      </c>
      <c r="D279" s="16">
        <v>3</v>
      </c>
      <c r="E279" t="s">
        <v>1524</v>
      </c>
      <c r="F279" t="s">
        <v>1535</v>
      </c>
      <c r="G279" t="s">
        <v>1567</v>
      </c>
      <c r="H279" t="s">
        <v>344</v>
      </c>
      <c r="I279" s="87">
        <f t="shared" si="28"/>
        <v>0.06</v>
      </c>
      <c r="J279" s="87">
        <f t="shared" si="29"/>
        <v>0.12</v>
      </c>
      <c r="K279" s="87">
        <f t="shared" si="30"/>
        <v>0.67500000000000004</v>
      </c>
      <c r="L279" s="87">
        <f t="shared" si="31"/>
        <v>2.375</v>
      </c>
      <c r="M279" s="87">
        <f t="shared" si="32"/>
        <v>0.32000000000000006</v>
      </c>
      <c r="N279" s="87">
        <f t="shared" si="33"/>
        <v>1.825</v>
      </c>
      <c r="O279" s="87">
        <f t="shared" si="34"/>
        <v>5.375</v>
      </c>
    </row>
    <row r="280" spans="1:15" x14ac:dyDescent="0.3">
      <c r="A280" t="s">
        <v>45</v>
      </c>
      <c r="B280" t="s">
        <v>981</v>
      </c>
      <c r="C280" s="16" t="s">
        <v>272</v>
      </c>
      <c r="D280" s="16">
        <v>3</v>
      </c>
      <c r="E280" t="s">
        <v>1524</v>
      </c>
      <c r="F280" t="s">
        <v>1534</v>
      </c>
      <c r="G280" t="s">
        <v>1567</v>
      </c>
      <c r="H280" t="s">
        <v>344</v>
      </c>
      <c r="I280" s="87">
        <f t="shared" si="28"/>
        <v>0.06</v>
      </c>
      <c r="J280" s="87">
        <f t="shared" si="29"/>
        <v>0.12</v>
      </c>
      <c r="K280" s="87">
        <f t="shared" si="30"/>
        <v>0.67500000000000004</v>
      </c>
      <c r="L280" s="87">
        <f t="shared" si="31"/>
        <v>2.4500000000000002</v>
      </c>
      <c r="M280" s="87">
        <f t="shared" si="32"/>
        <v>0.32000000000000006</v>
      </c>
      <c r="N280" s="87">
        <f t="shared" si="33"/>
        <v>1.825</v>
      </c>
      <c r="O280" s="87">
        <f t="shared" si="34"/>
        <v>5.45</v>
      </c>
    </row>
    <row r="281" spans="1:15" x14ac:dyDescent="0.3">
      <c r="A281" t="s">
        <v>45</v>
      </c>
      <c r="B281" t="s">
        <v>982</v>
      </c>
      <c r="C281" s="16" t="s">
        <v>272</v>
      </c>
      <c r="D281" s="16">
        <v>3</v>
      </c>
      <c r="E281" t="s">
        <v>1524</v>
      </c>
      <c r="F281" t="s">
        <v>1534</v>
      </c>
      <c r="G281" t="s">
        <v>1567</v>
      </c>
      <c r="H281" t="s">
        <v>1570</v>
      </c>
      <c r="I281" s="87">
        <f t="shared" si="28"/>
        <v>0.06</v>
      </c>
      <c r="J281" s="87">
        <f t="shared" si="29"/>
        <v>0.12</v>
      </c>
      <c r="K281" s="87">
        <f t="shared" si="30"/>
        <v>0.67500000000000004</v>
      </c>
      <c r="L281" s="87">
        <f t="shared" si="31"/>
        <v>2.4500000000000002</v>
      </c>
      <c r="M281" s="87">
        <f t="shared" si="32"/>
        <v>0.32000000000000006</v>
      </c>
      <c r="N281" s="87">
        <f t="shared" si="33"/>
        <v>2.35</v>
      </c>
      <c r="O281" s="87">
        <f t="shared" si="34"/>
        <v>5.9749999999999996</v>
      </c>
    </row>
    <row r="282" spans="1:15" x14ac:dyDescent="0.3">
      <c r="A282" t="s">
        <v>45</v>
      </c>
      <c r="B282" t="s">
        <v>983</v>
      </c>
      <c r="C282" s="16" t="s">
        <v>272</v>
      </c>
      <c r="D282" s="16">
        <v>3</v>
      </c>
      <c r="E282" t="s">
        <v>1524</v>
      </c>
      <c r="F282" t="s">
        <v>1542</v>
      </c>
      <c r="G282" t="s">
        <v>1567</v>
      </c>
      <c r="H282" t="s">
        <v>344</v>
      </c>
      <c r="I282" s="87">
        <f t="shared" si="28"/>
        <v>0.06</v>
      </c>
      <c r="J282" s="87">
        <f t="shared" si="29"/>
        <v>0.12</v>
      </c>
      <c r="K282" s="87">
        <f t="shared" si="30"/>
        <v>0.67500000000000004</v>
      </c>
      <c r="L282" s="87">
        <f t="shared" si="31"/>
        <v>2.35</v>
      </c>
      <c r="M282" s="87">
        <f t="shared" si="32"/>
        <v>0.32000000000000006</v>
      </c>
      <c r="N282" s="87">
        <f t="shared" si="33"/>
        <v>1.825</v>
      </c>
      <c r="O282" s="87">
        <f t="shared" si="34"/>
        <v>5.3500000000000005</v>
      </c>
    </row>
    <row r="283" spans="1:15" x14ac:dyDescent="0.3">
      <c r="A283" t="s">
        <v>45</v>
      </c>
      <c r="B283" t="s">
        <v>984</v>
      </c>
      <c r="C283" s="16" t="s">
        <v>272</v>
      </c>
      <c r="D283" s="16">
        <v>3</v>
      </c>
      <c r="E283" t="s">
        <v>1524</v>
      </c>
      <c r="F283" t="s">
        <v>1535</v>
      </c>
      <c r="G283" t="s">
        <v>1567</v>
      </c>
      <c r="H283" t="s">
        <v>344</v>
      </c>
      <c r="I283" s="87">
        <f t="shared" si="28"/>
        <v>0.06</v>
      </c>
      <c r="J283" s="87">
        <f t="shared" si="29"/>
        <v>0.12</v>
      </c>
      <c r="K283" s="87">
        <f t="shared" si="30"/>
        <v>0.67500000000000004</v>
      </c>
      <c r="L283" s="87">
        <f t="shared" si="31"/>
        <v>2.375</v>
      </c>
      <c r="M283" s="87">
        <f t="shared" si="32"/>
        <v>0.32000000000000006</v>
      </c>
      <c r="N283" s="87">
        <f t="shared" si="33"/>
        <v>1.825</v>
      </c>
      <c r="O283" s="87">
        <f t="shared" si="34"/>
        <v>5.375</v>
      </c>
    </row>
    <row r="284" spans="1:15" x14ac:dyDescent="0.3">
      <c r="A284" t="s">
        <v>45</v>
      </c>
      <c r="B284" t="s">
        <v>985</v>
      </c>
      <c r="C284" s="16" t="s">
        <v>272</v>
      </c>
      <c r="D284" s="16">
        <v>3</v>
      </c>
      <c r="E284" t="s">
        <v>1524</v>
      </c>
      <c r="F284" t="s">
        <v>1535</v>
      </c>
      <c r="G284" t="s">
        <v>1567</v>
      </c>
      <c r="H284" t="s">
        <v>344</v>
      </c>
      <c r="I284" s="87">
        <f t="shared" si="28"/>
        <v>0.06</v>
      </c>
      <c r="J284" s="87">
        <f t="shared" si="29"/>
        <v>0.12</v>
      </c>
      <c r="K284" s="87">
        <f t="shared" si="30"/>
        <v>0.67500000000000004</v>
      </c>
      <c r="L284" s="87">
        <f t="shared" si="31"/>
        <v>2.375</v>
      </c>
      <c r="M284" s="87">
        <f t="shared" si="32"/>
        <v>0.32000000000000006</v>
      </c>
      <c r="N284" s="87">
        <f t="shared" si="33"/>
        <v>1.825</v>
      </c>
      <c r="O284" s="87">
        <f t="shared" si="34"/>
        <v>5.375</v>
      </c>
    </row>
    <row r="285" spans="1:15" x14ac:dyDescent="0.3">
      <c r="A285" t="s">
        <v>9</v>
      </c>
      <c r="B285" t="s">
        <v>986</v>
      </c>
      <c r="C285" s="16" t="s">
        <v>272</v>
      </c>
      <c r="D285" s="16">
        <v>3</v>
      </c>
      <c r="E285" t="s">
        <v>1524</v>
      </c>
      <c r="F285" t="s">
        <v>1658</v>
      </c>
      <c r="G285" t="s">
        <v>1567</v>
      </c>
      <c r="H285" t="s">
        <v>347</v>
      </c>
      <c r="I285" s="87">
        <f t="shared" si="28"/>
        <v>0.06</v>
      </c>
      <c r="J285" s="87">
        <f t="shared" si="29"/>
        <v>0.12</v>
      </c>
      <c r="K285" s="87">
        <f t="shared" si="30"/>
        <v>0.67500000000000004</v>
      </c>
      <c r="L285" s="87">
        <f t="shared" si="31"/>
        <v>2.5</v>
      </c>
      <c r="M285" s="87">
        <f t="shared" si="32"/>
        <v>0.32000000000000006</v>
      </c>
      <c r="N285" s="87">
        <f t="shared" si="33"/>
        <v>2.4249999999999998</v>
      </c>
      <c r="O285" s="87">
        <f t="shared" si="34"/>
        <v>6.1</v>
      </c>
    </row>
    <row r="286" spans="1:15" x14ac:dyDescent="0.3">
      <c r="A286" t="s">
        <v>9</v>
      </c>
      <c r="B286" t="s">
        <v>987</v>
      </c>
      <c r="C286" s="16" t="s">
        <v>272</v>
      </c>
      <c r="D286" s="16">
        <v>3</v>
      </c>
      <c r="E286" t="s">
        <v>1524</v>
      </c>
      <c r="F286" t="s">
        <v>1658</v>
      </c>
      <c r="G286" t="s">
        <v>1567</v>
      </c>
      <c r="H286" t="s">
        <v>347</v>
      </c>
      <c r="I286" s="87">
        <f t="shared" si="28"/>
        <v>0.06</v>
      </c>
      <c r="J286" s="87">
        <f t="shared" si="29"/>
        <v>0.12</v>
      </c>
      <c r="K286" s="87">
        <f t="shared" si="30"/>
        <v>0.67500000000000004</v>
      </c>
      <c r="L286" s="87">
        <f t="shared" si="31"/>
        <v>2.5</v>
      </c>
      <c r="M286" s="87">
        <f t="shared" si="32"/>
        <v>0.32000000000000006</v>
      </c>
      <c r="N286" s="87">
        <f t="shared" si="33"/>
        <v>2.4249999999999998</v>
      </c>
      <c r="O286" s="87">
        <f t="shared" si="34"/>
        <v>6.1</v>
      </c>
    </row>
    <row r="287" spans="1:15" x14ac:dyDescent="0.3">
      <c r="A287" t="s">
        <v>9</v>
      </c>
      <c r="B287" t="s">
        <v>988</v>
      </c>
      <c r="C287" s="16" t="s">
        <v>272</v>
      </c>
      <c r="D287" s="16">
        <v>3</v>
      </c>
      <c r="E287" t="s">
        <v>1524</v>
      </c>
      <c r="F287" t="s">
        <v>1533</v>
      </c>
      <c r="G287" t="s">
        <v>1567</v>
      </c>
      <c r="H287" t="s">
        <v>347</v>
      </c>
      <c r="I287" s="87">
        <f t="shared" si="28"/>
        <v>0.06</v>
      </c>
      <c r="J287" s="87">
        <f t="shared" si="29"/>
        <v>0.12</v>
      </c>
      <c r="K287" s="87">
        <f t="shared" si="30"/>
        <v>0.67500000000000004</v>
      </c>
      <c r="L287" s="87">
        <f t="shared" si="31"/>
        <v>2.4750000000000001</v>
      </c>
      <c r="M287" s="87">
        <f t="shared" si="32"/>
        <v>0.32000000000000006</v>
      </c>
      <c r="N287" s="87">
        <f t="shared" si="33"/>
        <v>2.4249999999999998</v>
      </c>
      <c r="O287" s="87">
        <f t="shared" si="34"/>
        <v>6.0750000000000002</v>
      </c>
    </row>
    <row r="288" spans="1:15" x14ac:dyDescent="0.3">
      <c r="A288" t="s">
        <v>9</v>
      </c>
      <c r="B288" t="s">
        <v>989</v>
      </c>
      <c r="C288" s="16" t="s">
        <v>272</v>
      </c>
      <c r="D288" s="16">
        <v>3</v>
      </c>
      <c r="E288" t="s">
        <v>1524</v>
      </c>
      <c r="F288" t="s">
        <v>1658</v>
      </c>
      <c r="G288" t="s">
        <v>341</v>
      </c>
      <c r="H288" t="s">
        <v>1572</v>
      </c>
      <c r="I288" s="87">
        <f t="shared" si="28"/>
        <v>0.06</v>
      </c>
      <c r="J288" s="87">
        <f t="shared" si="29"/>
        <v>0.12</v>
      </c>
      <c r="K288" s="87">
        <f t="shared" si="30"/>
        <v>0.67500000000000004</v>
      </c>
      <c r="L288" s="87">
        <f t="shared" si="31"/>
        <v>2.5</v>
      </c>
      <c r="M288" s="87">
        <f t="shared" si="32"/>
        <v>0.48</v>
      </c>
      <c r="N288" s="87">
        <f t="shared" si="33"/>
        <v>2.4500000000000002</v>
      </c>
      <c r="O288" s="87">
        <f t="shared" si="34"/>
        <v>6.2850000000000001</v>
      </c>
    </row>
    <row r="289" spans="1:15" x14ac:dyDescent="0.3">
      <c r="A289" t="s">
        <v>9</v>
      </c>
      <c r="B289" t="s">
        <v>990</v>
      </c>
      <c r="C289" s="16" t="s">
        <v>272</v>
      </c>
      <c r="D289" s="16">
        <v>2</v>
      </c>
      <c r="E289" t="s">
        <v>1524</v>
      </c>
      <c r="F289" t="s">
        <v>1547</v>
      </c>
      <c r="G289" t="s">
        <v>341</v>
      </c>
      <c r="H289" t="s">
        <v>345</v>
      </c>
      <c r="I289" s="87">
        <f t="shared" si="28"/>
        <v>0.06</v>
      </c>
      <c r="J289" s="87">
        <f t="shared" si="29"/>
        <v>0.89000000000000012</v>
      </c>
      <c r="K289" s="87">
        <f t="shared" si="30"/>
        <v>0.67500000000000004</v>
      </c>
      <c r="L289" s="87">
        <f t="shared" si="31"/>
        <v>2.35</v>
      </c>
      <c r="M289" s="87">
        <f t="shared" si="32"/>
        <v>0.48</v>
      </c>
      <c r="N289" s="87">
        <f t="shared" si="33"/>
        <v>1.7749999999999999</v>
      </c>
      <c r="O289" s="87">
        <f t="shared" si="34"/>
        <v>6.23</v>
      </c>
    </row>
    <row r="290" spans="1:15" x14ac:dyDescent="0.3">
      <c r="A290" t="s">
        <v>9</v>
      </c>
      <c r="B290" t="s">
        <v>991</v>
      </c>
      <c r="C290" s="16" t="s">
        <v>272</v>
      </c>
      <c r="D290" s="16">
        <v>3</v>
      </c>
      <c r="E290" t="s">
        <v>1524</v>
      </c>
      <c r="F290" t="s">
        <v>1547</v>
      </c>
      <c r="G290" t="s">
        <v>341</v>
      </c>
      <c r="H290" t="s">
        <v>345</v>
      </c>
      <c r="I290" s="87">
        <f t="shared" si="28"/>
        <v>0.06</v>
      </c>
      <c r="J290" s="87">
        <f t="shared" si="29"/>
        <v>0.12</v>
      </c>
      <c r="K290" s="87">
        <f t="shared" si="30"/>
        <v>0.67500000000000004</v>
      </c>
      <c r="L290" s="87">
        <f t="shared" si="31"/>
        <v>2.35</v>
      </c>
      <c r="M290" s="87">
        <f t="shared" si="32"/>
        <v>0.48</v>
      </c>
      <c r="N290" s="87">
        <f t="shared" si="33"/>
        <v>1.7749999999999999</v>
      </c>
      <c r="O290" s="87">
        <f t="shared" si="34"/>
        <v>5.46</v>
      </c>
    </row>
    <row r="291" spans="1:15" x14ac:dyDescent="0.3">
      <c r="A291" t="s">
        <v>43</v>
      </c>
      <c r="B291" t="s">
        <v>992</v>
      </c>
      <c r="C291" s="16" t="s">
        <v>272</v>
      </c>
      <c r="D291" s="16">
        <v>3</v>
      </c>
      <c r="E291" t="s">
        <v>1524</v>
      </c>
      <c r="F291" t="s">
        <v>1562</v>
      </c>
      <c r="G291" t="s">
        <v>1567</v>
      </c>
      <c r="H291" t="s">
        <v>1574</v>
      </c>
      <c r="I291" s="87">
        <f t="shared" si="28"/>
        <v>0.06</v>
      </c>
      <c r="J291" s="87">
        <f t="shared" si="29"/>
        <v>0.12</v>
      </c>
      <c r="K291" s="87">
        <f t="shared" si="30"/>
        <v>0.67500000000000004</v>
      </c>
      <c r="L291" s="87">
        <f t="shared" si="31"/>
        <v>2.4500000000000002</v>
      </c>
      <c r="M291" s="87">
        <f t="shared" si="32"/>
        <v>0.32000000000000006</v>
      </c>
      <c r="N291" s="87">
        <f t="shared" si="33"/>
        <v>2.375</v>
      </c>
      <c r="O291" s="87">
        <f t="shared" si="34"/>
        <v>6</v>
      </c>
    </row>
    <row r="292" spans="1:15" x14ac:dyDescent="0.3">
      <c r="A292" t="s">
        <v>43</v>
      </c>
      <c r="B292" t="s">
        <v>993</v>
      </c>
      <c r="C292" s="16" t="s">
        <v>272</v>
      </c>
      <c r="D292" s="16">
        <v>3</v>
      </c>
      <c r="E292" t="s">
        <v>1524</v>
      </c>
      <c r="F292" t="s">
        <v>1562</v>
      </c>
      <c r="G292" t="s">
        <v>1567</v>
      </c>
      <c r="H292" t="s">
        <v>1574</v>
      </c>
      <c r="I292" s="87">
        <f t="shared" si="28"/>
        <v>0.06</v>
      </c>
      <c r="J292" s="87">
        <f t="shared" si="29"/>
        <v>0.12</v>
      </c>
      <c r="K292" s="87">
        <f t="shared" si="30"/>
        <v>0.67500000000000004</v>
      </c>
      <c r="L292" s="87">
        <f t="shared" si="31"/>
        <v>2.4500000000000002</v>
      </c>
      <c r="M292" s="87">
        <f t="shared" si="32"/>
        <v>0.32000000000000006</v>
      </c>
      <c r="N292" s="87">
        <f t="shared" si="33"/>
        <v>2.375</v>
      </c>
      <c r="O292" s="87">
        <f t="shared" si="34"/>
        <v>6</v>
      </c>
    </row>
    <row r="293" spans="1:15" x14ac:dyDescent="0.3">
      <c r="A293" t="s">
        <v>43</v>
      </c>
      <c r="B293" t="s">
        <v>994</v>
      </c>
      <c r="C293" s="16" t="s">
        <v>272</v>
      </c>
      <c r="D293" s="16">
        <v>3</v>
      </c>
      <c r="E293" t="s">
        <v>1524</v>
      </c>
      <c r="F293" t="s">
        <v>1562</v>
      </c>
      <c r="G293" t="s">
        <v>1567</v>
      </c>
      <c r="H293" t="s">
        <v>1574</v>
      </c>
      <c r="I293" s="87">
        <f t="shared" si="28"/>
        <v>0.06</v>
      </c>
      <c r="J293" s="87">
        <f t="shared" si="29"/>
        <v>0.12</v>
      </c>
      <c r="K293" s="87">
        <f t="shared" si="30"/>
        <v>0.67500000000000004</v>
      </c>
      <c r="L293" s="87">
        <f t="shared" si="31"/>
        <v>2.4500000000000002</v>
      </c>
      <c r="M293" s="87">
        <f t="shared" si="32"/>
        <v>0.32000000000000006</v>
      </c>
      <c r="N293" s="87">
        <f t="shared" si="33"/>
        <v>2.375</v>
      </c>
      <c r="O293" s="87">
        <f t="shared" si="34"/>
        <v>6</v>
      </c>
    </row>
    <row r="294" spans="1:15" x14ac:dyDescent="0.3">
      <c r="A294" t="s">
        <v>43</v>
      </c>
      <c r="B294" t="s">
        <v>995</v>
      </c>
      <c r="C294" s="16" t="s">
        <v>272</v>
      </c>
      <c r="D294" s="16">
        <v>3</v>
      </c>
      <c r="E294" t="s">
        <v>1524</v>
      </c>
      <c r="F294" t="s">
        <v>1562</v>
      </c>
      <c r="G294" t="s">
        <v>1567</v>
      </c>
      <c r="H294" t="s">
        <v>1574</v>
      </c>
      <c r="I294" s="87">
        <f t="shared" si="28"/>
        <v>0.06</v>
      </c>
      <c r="J294" s="87">
        <f t="shared" si="29"/>
        <v>0.12</v>
      </c>
      <c r="K294" s="87">
        <f t="shared" si="30"/>
        <v>0.67500000000000004</v>
      </c>
      <c r="L294" s="87">
        <f t="shared" si="31"/>
        <v>2.4500000000000002</v>
      </c>
      <c r="M294" s="87">
        <f t="shared" si="32"/>
        <v>0.32000000000000006</v>
      </c>
      <c r="N294" s="87">
        <f t="shared" si="33"/>
        <v>2.375</v>
      </c>
      <c r="O294" s="87">
        <f t="shared" si="34"/>
        <v>6</v>
      </c>
    </row>
    <row r="295" spans="1:15" x14ac:dyDescent="0.3">
      <c r="A295" t="s">
        <v>43</v>
      </c>
      <c r="B295" t="s">
        <v>996</v>
      </c>
      <c r="C295" s="16" t="s">
        <v>272</v>
      </c>
      <c r="D295" s="16">
        <v>3</v>
      </c>
      <c r="E295" t="s">
        <v>1524</v>
      </c>
      <c r="F295" t="s">
        <v>1562</v>
      </c>
      <c r="G295" t="s">
        <v>1567</v>
      </c>
      <c r="H295" t="s">
        <v>1574</v>
      </c>
      <c r="I295" s="87">
        <f t="shared" si="28"/>
        <v>0.06</v>
      </c>
      <c r="J295" s="87">
        <f t="shared" si="29"/>
        <v>0.12</v>
      </c>
      <c r="K295" s="87">
        <f t="shared" si="30"/>
        <v>0.67500000000000004</v>
      </c>
      <c r="L295" s="87">
        <f t="shared" si="31"/>
        <v>2.4500000000000002</v>
      </c>
      <c r="M295" s="87">
        <f t="shared" si="32"/>
        <v>0.32000000000000006</v>
      </c>
      <c r="N295" s="87">
        <f t="shared" si="33"/>
        <v>2.375</v>
      </c>
      <c r="O295" s="87">
        <f t="shared" si="34"/>
        <v>6</v>
      </c>
    </row>
    <row r="296" spans="1:15" x14ac:dyDescent="0.3">
      <c r="A296" t="s">
        <v>43</v>
      </c>
      <c r="B296" t="s">
        <v>997</v>
      </c>
      <c r="C296" s="16" t="s">
        <v>272</v>
      </c>
      <c r="D296" s="16">
        <v>3</v>
      </c>
      <c r="E296" t="s">
        <v>1524</v>
      </c>
      <c r="F296" t="s">
        <v>1562</v>
      </c>
      <c r="G296" t="s">
        <v>1567</v>
      </c>
      <c r="H296" t="s">
        <v>1574</v>
      </c>
      <c r="I296" s="87">
        <f t="shared" si="28"/>
        <v>0.06</v>
      </c>
      <c r="J296" s="87">
        <f t="shared" si="29"/>
        <v>0.12</v>
      </c>
      <c r="K296" s="87">
        <f t="shared" si="30"/>
        <v>0.67500000000000004</v>
      </c>
      <c r="L296" s="87">
        <f t="shared" si="31"/>
        <v>2.4500000000000002</v>
      </c>
      <c r="M296" s="87">
        <f t="shared" si="32"/>
        <v>0.32000000000000006</v>
      </c>
      <c r="N296" s="87">
        <f t="shared" si="33"/>
        <v>2.375</v>
      </c>
      <c r="O296" s="87">
        <f t="shared" si="34"/>
        <v>6</v>
      </c>
    </row>
    <row r="297" spans="1:15" x14ac:dyDescent="0.3">
      <c r="A297" t="s">
        <v>43</v>
      </c>
      <c r="B297" t="s">
        <v>998</v>
      </c>
      <c r="C297" s="16" t="s">
        <v>272</v>
      </c>
      <c r="D297" s="16">
        <v>3</v>
      </c>
      <c r="E297" t="s">
        <v>1524</v>
      </c>
      <c r="F297" t="s">
        <v>1562</v>
      </c>
      <c r="G297" t="s">
        <v>1568</v>
      </c>
      <c r="H297" t="s">
        <v>1571</v>
      </c>
      <c r="I297" s="87">
        <f t="shared" si="28"/>
        <v>0.06</v>
      </c>
      <c r="J297" s="87">
        <f t="shared" si="29"/>
        <v>0.12</v>
      </c>
      <c r="K297" s="87">
        <f t="shared" si="30"/>
        <v>0.67500000000000004</v>
      </c>
      <c r="L297" s="87">
        <f t="shared" si="31"/>
        <v>2.4500000000000002</v>
      </c>
      <c r="M297" s="87">
        <f t="shared" si="32"/>
        <v>0.44500000000000006</v>
      </c>
      <c r="N297" s="87">
        <f t="shared" si="33"/>
        <v>2.375</v>
      </c>
      <c r="O297" s="87">
        <f t="shared" si="34"/>
        <v>6.125</v>
      </c>
    </row>
    <row r="298" spans="1:15" x14ac:dyDescent="0.3">
      <c r="A298" t="s">
        <v>43</v>
      </c>
      <c r="B298" t="s">
        <v>999</v>
      </c>
      <c r="C298" s="16" t="s">
        <v>272</v>
      </c>
      <c r="D298" s="16">
        <v>3</v>
      </c>
      <c r="E298" t="s">
        <v>1524</v>
      </c>
      <c r="F298" t="s">
        <v>1562</v>
      </c>
      <c r="G298" t="s">
        <v>1568</v>
      </c>
      <c r="H298" t="s">
        <v>1571</v>
      </c>
      <c r="I298" s="87">
        <f t="shared" si="28"/>
        <v>0.06</v>
      </c>
      <c r="J298" s="87">
        <f t="shared" si="29"/>
        <v>0.12</v>
      </c>
      <c r="K298" s="87">
        <f t="shared" si="30"/>
        <v>0.67500000000000004</v>
      </c>
      <c r="L298" s="87">
        <f t="shared" si="31"/>
        <v>2.4500000000000002</v>
      </c>
      <c r="M298" s="87">
        <f t="shared" si="32"/>
        <v>0.44500000000000006</v>
      </c>
      <c r="N298" s="87">
        <f t="shared" si="33"/>
        <v>2.375</v>
      </c>
      <c r="O298" s="87">
        <f t="shared" si="34"/>
        <v>6.125</v>
      </c>
    </row>
    <row r="299" spans="1:15" x14ac:dyDescent="0.3">
      <c r="A299" t="s">
        <v>43</v>
      </c>
      <c r="B299" t="s">
        <v>1000</v>
      </c>
      <c r="C299" s="16" t="s">
        <v>272</v>
      </c>
      <c r="D299" s="16">
        <v>3</v>
      </c>
      <c r="E299" t="s">
        <v>1524</v>
      </c>
      <c r="F299" t="s">
        <v>1562</v>
      </c>
      <c r="G299" t="s">
        <v>1568</v>
      </c>
      <c r="H299" t="s">
        <v>1571</v>
      </c>
      <c r="I299" s="87">
        <f t="shared" si="28"/>
        <v>0.06</v>
      </c>
      <c r="J299" s="87">
        <f t="shared" si="29"/>
        <v>0.12</v>
      </c>
      <c r="K299" s="87">
        <f t="shared" si="30"/>
        <v>0.67500000000000004</v>
      </c>
      <c r="L299" s="87">
        <f t="shared" si="31"/>
        <v>2.4500000000000002</v>
      </c>
      <c r="M299" s="87">
        <f t="shared" si="32"/>
        <v>0.44500000000000006</v>
      </c>
      <c r="N299" s="87">
        <f t="shared" si="33"/>
        <v>2.375</v>
      </c>
      <c r="O299" s="87">
        <f t="shared" si="34"/>
        <v>6.125</v>
      </c>
    </row>
    <row r="300" spans="1:15" x14ac:dyDescent="0.3">
      <c r="A300" t="s">
        <v>43</v>
      </c>
      <c r="B300" t="s">
        <v>1001</v>
      </c>
      <c r="C300" s="16" t="s">
        <v>272</v>
      </c>
      <c r="D300" s="16">
        <v>3</v>
      </c>
      <c r="E300" t="s">
        <v>1524</v>
      </c>
      <c r="F300" t="s">
        <v>1562</v>
      </c>
      <c r="G300" t="s">
        <v>1568</v>
      </c>
      <c r="H300" t="s">
        <v>1571</v>
      </c>
      <c r="I300" s="87">
        <f t="shared" si="28"/>
        <v>0.06</v>
      </c>
      <c r="J300" s="87">
        <f t="shared" si="29"/>
        <v>0.12</v>
      </c>
      <c r="K300" s="87">
        <f t="shared" si="30"/>
        <v>0.67500000000000004</v>
      </c>
      <c r="L300" s="87">
        <f t="shared" si="31"/>
        <v>2.4500000000000002</v>
      </c>
      <c r="M300" s="87">
        <f t="shared" si="32"/>
        <v>0.44500000000000006</v>
      </c>
      <c r="N300" s="87">
        <f t="shared" si="33"/>
        <v>2.375</v>
      </c>
      <c r="O300" s="87">
        <f t="shared" si="34"/>
        <v>6.125</v>
      </c>
    </row>
    <row r="301" spans="1:15" x14ac:dyDescent="0.3">
      <c r="A301" t="s">
        <v>43</v>
      </c>
      <c r="B301" t="s">
        <v>1002</v>
      </c>
      <c r="C301" s="16" t="s">
        <v>272</v>
      </c>
      <c r="D301" s="16">
        <v>3</v>
      </c>
      <c r="E301" t="s">
        <v>1524</v>
      </c>
      <c r="F301" t="s">
        <v>1562</v>
      </c>
      <c r="G301" t="s">
        <v>1568</v>
      </c>
      <c r="H301" t="s">
        <v>1571</v>
      </c>
      <c r="I301" s="87">
        <f t="shared" si="28"/>
        <v>0.06</v>
      </c>
      <c r="J301" s="87">
        <f t="shared" si="29"/>
        <v>0.12</v>
      </c>
      <c r="K301" s="87">
        <f t="shared" si="30"/>
        <v>0.67500000000000004</v>
      </c>
      <c r="L301" s="87">
        <f t="shared" si="31"/>
        <v>2.4500000000000002</v>
      </c>
      <c r="M301" s="87">
        <f t="shared" si="32"/>
        <v>0.44500000000000006</v>
      </c>
      <c r="N301" s="87">
        <f t="shared" si="33"/>
        <v>2.375</v>
      </c>
      <c r="O301" s="87">
        <f t="shared" si="34"/>
        <v>6.125</v>
      </c>
    </row>
    <row r="302" spans="1:15" x14ac:dyDescent="0.3">
      <c r="A302" t="s">
        <v>43</v>
      </c>
      <c r="B302" t="s">
        <v>1003</v>
      </c>
      <c r="C302" s="16" t="s">
        <v>272</v>
      </c>
      <c r="D302" s="16">
        <v>3</v>
      </c>
      <c r="E302" t="s">
        <v>1524</v>
      </c>
      <c r="F302" t="s">
        <v>1562</v>
      </c>
      <c r="G302" t="s">
        <v>1568</v>
      </c>
      <c r="H302" t="s">
        <v>1571</v>
      </c>
      <c r="I302" s="87">
        <f t="shared" si="28"/>
        <v>0.06</v>
      </c>
      <c r="J302" s="87">
        <f t="shared" si="29"/>
        <v>0.12</v>
      </c>
      <c r="K302" s="87">
        <f t="shared" si="30"/>
        <v>0.67500000000000004</v>
      </c>
      <c r="L302" s="87">
        <f t="shared" si="31"/>
        <v>2.4500000000000002</v>
      </c>
      <c r="M302" s="87">
        <f t="shared" si="32"/>
        <v>0.44500000000000006</v>
      </c>
      <c r="N302" s="87">
        <f t="shared" si="33"/>
        <v>2.375</v>
      </c>
      <c r="O302" s="87">
        <f t="shared" si="34"/>
        <v>6.125</v>
      </c>
    </row>
    <row r="303" spans="1:15" x14ac:dyDescent="0.3">
      <c r="A303" t="s">
        <v>43</v>
      </c>
      <c r="B303" t="s">
        <v>1004</v>
      </c>
      <c r="C303" s="16" t="s">
        <v>272</v>
      </c>
      <c r="D303" s="16">
        <v>3</v>
      </c>
      <c r="E303" t="s">
        <v>1524</v>
      </c>
      <c r="F303" t="s">
        <v>1562</v>
      </c>
      <c r="G303" t="s">
        <v>1568</v>
      </c>
      <c r="H303" t="s">
        <v>1571</v>
      </c>
      <c r="I303" s="87">
        <f t="shared" si="28"/>
        <v>0.06</v>
      </c>
      <c r="J303" s="87">
        <f t="shared" si="29"/>
        <v>0.12</v>
      </c>
      <c r="K303" s="87">
        <f t="shared" si="30"/>
        <v>0.67500000000000004</v>
      </c>
      <c r="L303" s="87">
        <f t="shared" si="31"/>
        <v>2.4500000000000002</v>
      </c>
      <c r="M303" s="87">
        <f t="shared" si="32"/>
        <v>0.44500000000000006</v>
      </c>
      <c r="N303" s="87">
        <f t="shared" si="33"/>
        <v>2.375</v>
      </c>
      <c r="O303" s="87">
        <f t="shared" si="34"/>
        <v>6.125</v>
      </c>
    </row>
    <row r="304" spans="1:15" x14ac:dyDescent="0.3">
      <c r="A304" t="s">
        <v>43</v>
      </c>
      <c r="B304" t="s">
        <v>1005</v>
      </c>
      <c r="C304" s="16" t="s">
        <v>272</v>
      </c>
      <c r="D304" s="16">
        <v>3</v>
      </c>
      <c r="E304" t="s">
        <v>1524</v>
      </c>
      <c r="F304" t="s">
        <v>1562</v>
      </c>
      <c r="G304" t="s">
        <v>1568</v>
      </c>
      <c r="H304" t="s">
        <v>1571</v>
      </c>
      <c r="I304" s="87">
        <f t="shared" si="28"/>
        <v>0.06</v>
      </c>
      <c r="J304" s="87">
        <f t="shared" si="29"/>
        <v>0.12</v>
      </c>
      <c r="K304" s="87">
        <f t="shared" si="30"/>
        <v>0.67500000000000004</v>
      </c>
      <c r="L304" s="87">
        <f t="shared" si="31"/>
        <v>2.4500000000000002</v>
      </c>
      <c r="M304" s="87">
        <f t="shared" si="32"/>
        <v>0.44500000000000006</v>
      </c>
      <c r="N304" s="87">
        <f t="shared" si="33"/>
        <v>2.375</v>
      </c>
      <c r="O304" s="87">
        <f t="shared" si="34"/>
        <v>6.125</v>
      </c>
    </row>
    <row r="305" spans="1:15" x14ac:dyDescent="0.3">
      <c r="A305" t="s">
        <v>43</v>
      </c>
      <c r="B305" t="s">
        <v>1006</v>
      </c>
      <c r="C305" s="16" t="s">
        <v>272</v>
      </c>
      <c r="D305" s="16">
        <v>3</v>
      </c>
      <c r="E305" t="s">
        <v>1524</v>
      </c>
      <c r="F305" t="s">
        <v>1562</v>
      </c>
      <c r="G305" t="s">
        <v>1568</v>
      </c>
      <c r="H305" t="s">
        <v>1571</v>
      </c>
      <c r="I305" s="87">
        <f t="shared" si="28"/>
        <v>0.06</v>
      </c>
      <c r="J305" s="87">
        <f t="shared" si="29"/>
        <v>0.12</v>
      </c>
      <c r="K305" s="87">
        <f t="shared" si="30"/>
        <v>0.67500000000000004</v>
      </c>
      <c r="L305" s="87">
        <f t="shared" si="31"/>
        <v>2.4500000000000002</v>
      </c>
      <c r="M305" s="87">
        <f t="shared" si="32"/>
        <v>0.44500000000000006</v>
      </c>
      <c r="N305" s="87">
        <f t="shared" si="33"/>
        <v>2.375</v>
      </c>
      <c r="O305" s="87">
        <f t="shared" si="34"/>
        <v>6.125</v>
      </c>
    </row>
    <row r="306" spans="1:15" x14ac:dyDescent="0.3">
      <c r="A306" t="s">
        <v>43</v>
      </c>
      <c r="B306" t="s">
        <v>1007</v>
      </c>
      <c r="C306" s="16" t="s">
        <v>272</v>
      </c>
      <c r="D306" s="16">
        <v>3</v>
      </c>
      <c r="E306" t="s">
        <v>1524</v>
      </c>
      <c r="F306" t="s">
        <v>1562</v>
      </c>
      <c r="G306" t="s">
        <v>1568</v>
      </c>
      <c r="H306" t="s">
        <v>1571</v>
      </c>
      <c r="I306" s="87">
        <f t="shared" si="28"/>
        <v>0.06</v>
      </c>
      <c r="J306" s="87">
        <f t="shared" si="29"/>
        <v>0.12</v>
      </c>
      <c r="K306" s="87">
        <f t="shared" si="30"/>
        <v>0.67500000000000004</v>
      </c>
      <c r="L306" s="87">
        <f t="shared" si="31"/>
        <v>2.4500000000000002</v>
      </c>
      <c r="M306" s="87">
        <f t="shared" si="32"/>
        <v>0.44500000000000006</v>
      </c>
      <c r="N306" s="87">
        <f t="shared" si="33"/>
        <v>2.375</v>
      </c>
      <c r="O306" s="87">
        <f t="shared" si="34"/>
        <v>6.125</v>
      </c>
    </row>
    <row r="307" spans="1:15" x14ac:dyDescent="0.3">
      <c r="A307" t="s">
        <v>43</v>
      </c>
      <c r="B307" t="s">
        <v>1008</v>
      </c>
      <c r="C307" s="16" t="s">
        <v>272</v>
      </c>
      <c r="D307" s="16">
        <v>3</v>
      </c>
      <c r="E307" t="s">
        <v>1524</v>
      </c>
      <c r="F307" t="s">
        <v>1562</v>
      </c>
      <c r="G307" t="s">
        <v>1568</v>
      </c>
      <c r="H307" t="s">
        <v>1571</v>
      </c>
      <c r="I307" s="87">
        <f t="shared" si="28"/>
        <v>0.06</v>
      </c>
      <c r="J307" s="87">
        <f t="shared" si="29"/>
        <v>0.12</v>
      </c>
      <c r="K307" s="87">
        <f t="shared" si="30"/>
        <v>0.67500000000000004</v>
      </c>
      <c r="L307" s="87">
        <f t="shared" si="31"/>
        <v>2.4500000000000002</v>
      </c>
      <c r="M307" s="87">
        <f t="shared" si="32"/>
        <v>0.44500000000000006</v>
      </c>
      <c r="N307" s="87">
        <f t="shared" si="33"/>
        <v>2.375</v>
      </c>
      <c r="O307" s="87">
        <f t="shared" si="34"/>
        <v>6.125</v>
      </c>
    </row>
    <row r="308" spans="1:15" x14ac:dyDescent="0.3">
      <c r="A308" t="s">
        <v>43</v>
      </c>
      <c r="B308" t="s">
        <v>1009</v>
      </c>
      <c r="C308" s="16" t="s">
        <v>272</v>
      </c>
      <c r="D308" s="16">
        <v>3</v>
      </c>
      <c r="E308" t="s">
        <v>1524</v>
      </c>
      <c r="F308" t="s">
        <v>1562</v>
      </c>
      <c r="G308" t="s">
        <v>1568</v>
      </c>
      <c r="H308" t="s">
        <v>1571</v>
      </c>
      <c r="I308" s="87">
        <f t="shared" si="28"/>
        <v>0.06</v>
      </c>
      <c r="J308" s="87">
        <f t="shared" si="29"/>
        <v>0.12</v>
      </c>
      <c r="K308" s="87">
        <f t="shared" si="30"/>
        <v>0.67500000000000004</v>
      </c>
      <c r="L308" s="87">
        <f t="shared" si="31"/>
        <v>2.4500000000000002</v>
      </c>
      <c r="M308" s="87">
        <f t="shared" si="32"/>
        <v>0.44500000000000006</v>
      </c>
      <c r="N308" s="87">
        <f t="shared" si="33"/>
        <v>2.375</v>
      </c>
      <c r="O308" s="87">
        <f t="shared" si="34"/>
        <v>6.125</v>
      </c>
    </row>
    <row r="309" spans="1:15" x14ac:dyDescent="0.3">
      <c r="A309" t="s">
        <v>43</v>
      </c>
      <c r="B309" t="s">
        <v>1010</v>
      </c>
      <c r="C309" s="16" t="s">
        <v>272</v>
      </c>
      <c r="D309" s="16">
        <v>3</v>
      </c>
      <c r="E309" t="s">
        <v>1524</v>
      </c>
      <c r="F309" t="s">
        <v>1562</v>
      </c>
      <c r="G309" t="s">
        <v>1568</v>
      </c>
      <c r="H309" t="s">
        <v>1571</v>
      </c>
      <c r="I309" s="87">
        <f t="shared" si="28"/>
        <v>0.06</v>
      </c>
      <c r="J309" s="87">
        <f t="shared" si="29"/>
        <v>0.12</v>
      </c>
      <c r="K309" s="87">
        <f t="shared" si="30"/>
        <v>0.67500000000000004</v>
      </c>
      <c r="L309" s="87">
        <f t="shared" si="31"/>
        <v>2.4500000000000002</v>
      </c>
      <c r="M309" s="87">
        <f t="shared" si="32"/>
        <v>0.44500000000000006</v>
      </c>
      <c r="N309" s="87">
        <f t="shared" si="33"/>
        <v>2.375</v>
      </c>
      <c r="O309" s="87">
        <f t="shared" si="34"/>
        <v>6.125</v>
      </c>
    </row>
    <row r="310" spans="1:15" x14ac:dyDescent="0.3">
      <c r="A310" t="s">
        <v>9</v>
      </c>
      <c r="B310" t="s">
        <v>1011</v>
      </c>
      <c r="C310" s="16" t="s">
        <v>272</v>
      </c>
      <c r="D310" s="16">
        <v>2</v>
      </c>
      <c r="E310" t="s">
        <v>1525</v>
      </c>
      <c r="F310" t="s">
        <v>1658</v>
      </c>
      <c r="G310" t="s">
        <v>1567</v>
      </c>
      <c r="H310" t="s">
        <v>345</v>
      </c>
      <c r="I310" s="87">
        <f t="shared" si="28"/>
        <v>0.06</v>
      </c>
      <c r="J310" s="87">
        <f t="shared" si="29"/>
        <v>0.89000000000000012</v>
      </c>
      <c r="K310" s="87">
        <f t="shared" si="30"/>
        <v>2.0750000000000002</v>
      </c>
      <c r="L310" s="87">
        <f t="shared" si="31"/>
        <v>2.5</v>
      </c>
      <c r="M310" s="87">
        <f t="shared" si="32"/>
        <v>0.32000000000000006</v>
      </c>
      <c r="N310" s="87">
        <f t="shared" si="33"/>
        <v>1.7749999999999999</v>
      </c>
      <c r="O310" s="87">
        <f t="shared" si="34"/>
        <v>7.620000000000001</v>
      </c>
    </row>
    <row r="311" spans="1:15" x14ac:dyDescent="0.3">
      <c r="A311" t="s">
        <v>9</v>
      </c>
      <c r="B311" t="s">
        <v>1012</v>
      </c>
      <c r="C311" s="16" t="s">
        <v>272</v>
      </c>
      <c r="D311" s="16">
        <v>3</v>
      </c>
      <c r="E311" t="s">
        <v>1524</v>
      </c>
      <c r="F311" t="s">
        <v>1658</v>
      </c>
      <c r="G311" t="s">
        <v>1567</v>
      </c>
      <c r="H311" t="s">
        <v>345</v>
      </c>
      <c r="I311" s="87">
        <f t="shared" si="28"/>
        <v>0.06</v>
      </c>
      <c r="J311" s="87">
        <f t="shared" si="29"/>
        <v>0.12</v>
      </c>
      <c r="K311" s="87">
        <f t="shared" si="30"/>
        <v>0.67500000000000004</v>
      </c>
      <c r="L311" s="87">
        <f t="shared" si="31"/>
        <v>2.5</v>
      </c>
      <c r="M311" s="87">
        <f t="shared" si="32"/>
        <v>0.32000000000000006</v>
      </c>
      <c r="N311" s="87">
        <f t="shared" si="33"/>
        <v>1.7749999999999999</v>
      </c>
      <c r="O311" s="87">
        <f t="shared" si="34"/>
        <v>5.4499999999999993</v>
      </c>
    </row>
    <row r="312" spans="1:15" x14ac:dyDescent="0.3">
      <c r="A312" t="s">
        <v>9</v>
      </c>
      <c r="B312" t="s">
        <v>1013</v>
      </c>
      <c r="C312" s="16" t="s">
        <v>272</v>
      </c>
      <c r="D312" s="16">
        <v>3</v>
      </c>
      <c r="E312" t="s">
        <v>1524</v>
      </c>
      <c r="F312" t="s">
        <v>1534</v>
      </c>
      <c r="G312" t="s">
        <v>1566</v>
      </c>
      <c r="H312" t="s">
        <v>1574</v>
      </c>
      <c r="I312" s="87">
        <f t="shared" si="28"/>
        <v>0.06</v>
      </c>
      <c r="J312" s="87">
        <f t="shared" si="29"/>
        <v>0.12</v>
      </c>
      <c r="K312" s="87">
        <f t="shared" si="30"/>
        <v>0.67500000000000004</v>
      </c>
      <c r="L312" s="87">
        <f t="shared" si="31"/>
        <v>2.4500000000000002</v>
      </c>
      <c r="M312" s="87">
        <f t="shared" si="32"/>
        <v>0.27</v>
      </c>
      <c r="N312" s="87">
        <f t="shared" si="33"/>
        <v>2.375</v>
      </c>
      <c r="O312" s="87">
        <f t="shared" si="34"/>
        <v>5.95</v>
      </c>
    </row>
    <row r="313" spans="1:15" x14ac:dyDescent="0.3">
      <c r="A313" t="s">
        <v>9</v>
      </c>
      <c r="B313" t="s">
        <v>1014</v>
      </c>
      <c r="C313" s="16" t="s">
        <v>272</v>
      </c>
      <c r="D313" s="16">
        <v>3</v>
      </c>
      <c r="E313" t="s">
        <v>1524</v>
      </c>
      <c r="F313" t="s">
        <v>1658</v>
      </c>
      <c r="G313" t="s">
        <v>1567</v>
      </c>
      <c r="H313" t="s">
        <v>1658</v>
      </c>
      <c r="I313" s="87">
        <f t="shared" si="28"/>
        <v>0.06</v>
      </c>
      <c r="J313" s="87">
        <f t="shared" si="29"/>
        <v>0.12</v>
      </c>
      <c r="K313" s="87">
        <f t="shared" si="30"/>
        <v>0.67500000000000004</v>
      </c>
      <c r="L313" s="87">
        <f t="shared" si="31"/>
        <v>2.5</v>
      </c>
      <c r="M313" s="87">
        <f t="shared" si="32"/>
        <v>0.32000000000000006</v>
      </c>
      <c r="N313" s="87">
        <f t="shared" si="33"/>
        <v>2.5</v>
      </c>
      <c r="O313" s="87">
        <f t="shared" si="34"/>
        <v>6.1749999999999998</v>
      </c>
    </row>
    <row r="314" spans="1:15" x14ac:dyDescent="0.3">
      <c r="A314" t="s">
        <v>9</v>
      </c>
      <c r="B314" t="s">
        <v>1015</v>
      </c>
      <c r="C314" s="16" t="s">
        <v>272</v>
      </c>
      <c r="D314" s="16">
        <v>3</v>
      </c>
      <c r="E314" t="s">
        <v>1524</v>
      </c>
      <c r="F314" t="s">
        <v>1658</v>
      </c>
      <c r="G314" t="s">
        <v>1567</v>
      </c>
      <c r="H314" t="s">
        <v>1658</v>
      </c>
      <c r="I314" s="87">
        <f t="shared" si="28"/>
        <v>0.06</v>
      </c>
      <c r="J314" s="87">
        <f t="shared" si="29"/>
        <v>0.12</v>
      </c>
      <c r="K314" s="87">
        <f t="shared" si="30"/>
        <v>0.67500000000000004</v>
      </c>
      <c r="L314" s="87">
        <f t="shared" si="31"/>
        <v>2.5</v>
      </c>
      <c r="M314" s="87">
        <f t="shared" si="32"/>
        <v>0.32000000000000006</v>
      </c>
      <c r="N314" s="87">
        <f t="shared" si="33"/>
        <v>2.5</v>
      </c>
      <c r="O314" s="87">
        <f t="shared" si="34"/>
        <v>6.1749999999999998</v>
      </c>
    </row>
    <row r="315" spans="1:15" x14ac:dyDescent="0.3">
      <c r="A315" t="s">
        <v>9</v>
      </c>
      <c r="B315" t="s">
        <v>1016</v>
      </c>
      <c r="C315" s="16" t="s">
        <v>272</v>
      </c>
      <c r="D315" s="16">
        <v>3</v>
      </c>
      <c r="E315" t="s">
        <v>1524</v>
      </c>
      <c r="F315" t="s">
        <v>1658</v>
      </c>
      <c r="G315" t="s">
        <v>341</v>
      </c>
      <c r="H315" t="s">
        <v>345</v>
      </c>
      <c r="I315" s="87">
        <f t="shared" si="28"/>
        <v>0.06</v>
      </c>
      <c r="J315" s="87">
        <f t="shared" si="29"/>
        <v>0.12</v>
      </c>
      <c r="K315" s="87">
        <f t="shared" si="30"/>
        <v>0.67500000000000004</v>
      </c>
      <c r="L315" s="87">
        <f t="shared" si="31"/>
        <v>2.5</v>
      </c>
      <c r="M315" s="87">
        <f t="shared" si="32"/>
        <v>0.48</v>
      </c>
      <c r="N315" s="87">
        <f t="shared" si="33"/>
        <v>1.7749999999999999</v>
      </c>
      <c r="O315" s="87">
        <f t="shared" si="34"/>
        <v>5.6099999999999994</v>
      </c>
    </row>
    <row r="316" spans="1:15" x14ac:dyDescent="0.3">
      <c r="A316" t="s">
        <v>9</v>
      </c>
      <c r="B316" t="s">
        <v>1017</v>
      </c>
      <c r="C316" s="16" t="s">
        <v>272</v>
      </c>
      <c r="D316" s="16">
        <v>3</v>
      </c>
      <c r="E316" t="s">
        <v>1524</v>
      </c>
      <c r="F316" t="s">
        <v>1536</v>
      </c>
      <c r="G316" t="s">
        <v>1566</v>
      </c>
      <c r="H316" t="s">
        <v>345</v>
      </c>
      <c r="I316" s="87">
        <f t="shared" si="28"/>
        <v>0.06</v>
      </c>
      <c r="J316" s="87">
        <f t="shared" si="29"/>
        <v>0.12</v>
      </c>
      <c r="K316" s="87">
        <f t="shared" si="30"/>
        <v>0.67500000000000004</v>
      </c>
      <c r="L316" s="87">
        <f t="shared" si="31"/>
        <v>2.4750000000000001</v>
      </c>
      <c r="M316" s="87">
        <f t="shared" si="32"/>
        <v>0.27</v>
      </c>
      <c r="N316" s="87">
        <f t="shared" si="33"/>
        <v>1.7749999999999999</v>
      </c>
      <c r="O316" s="87">
        <f t="shared" si="34"/>
        <v>5.375</v>
      </c>
    </row>
    <row r="317" spans="1:15" x14ac:dyDescent="0.3">
      <c r="A317" t="s">
        <v>9</v>
      </c>
      <c r="B317" t="s">
        <v>1018</v>
      </c>
      <c r="C317" s="16" t="s">
        <v>272</v>
      </c>
      <c r="D317" s="16">
        <v>3</v>
      </c>
      <c r="E317" t="s">
        <v>1524</v>
      </c>
      <c r="F317" t="s">
        <v>1536</v>
      </c>
      <c r="G317" t="s">
        <v>1566</v>
      </c>
      <c r="H317" t="s">
        <v>1573</v>
      </c>
      <c r="I317" s="87">
        <f t="shared" si="28"/>
        <v>0.06</v>
      </c>
      <c r="J317" s="87">
        <f t="shared" si="29"/>
        <v>0.12</v>
      </c>
      <c r="K317" s="87">
        <f t="shared" si="30"/>
        <v>0.67500000000000004</v>
      </c>
      <c r="L317" s="87">
        <f t="shared" si="31"/>
        <v>2.4750000000000001</v>
      </c>
      <c r="M317" s="87">
        <f t="shared" si="32"/>
        <v>0.27</v>
      </c>
      <c r="N317" s="87">
        <f t="shared" si="33"/>
        <v>2.4249999999999998</v>
      </c>
      <c r="O317" s="87">
        <f t="shared" si="34"/>
        <v>6.0250000000000004</v>
      </c>
    </row>
    <row r="318" spans="1:15" x14ac:dyDescent="0.3">
      <c r="A318" t="s">
        <v>9</v>
      </c>
      <c r="B318" t="s">
        <v>1019</v>
      </c>
      <c r="C318" s="16" t="s">
        <v>272</v>
      </c>
      <c r="D318" s="16">
        <v>3</v>
      </c>
      <c r="E318" t="s">
        <v>1524</v>
      </c>
      <c r="F318" t="s">
        <v>1536</v>
      </c>
      <c r="G318" t="s">
        <v>1567</v>
      </c>
      <c r="H318" t="s">
        <v>1658</v>
      </c>
      <c r="I318" s="87">
        <f t="shared" si="28"/>
        <v>0.06</v>
      </c>
      <c r="J318" s="87">
        <f t="shared" si="29"/>
        <v>0.12</v>
      </c>
      <c r="K318" s="87">
        <f t="shared" si="30"/>
        <v>0.67500000000000004</v>
      </c>
      <c r="L318" s="87">
        <f t="shared" si="31"/>
        <v>2.4750000000000001</v>
      </c>
      <c r="M318" s="87">
        <f t="shared" si="32"/>
        <v>0.32000000000000006</v>
      </c>
      <c r="N318" s="87">
        <f t="shared" si="33"/>
        <v>2.5</v>
      </c>
      <c r="O318" s="87">
        <f t="shared" si="34"/>
        <v>6.15</v>
      </c>
    </row>
    <row r="319" spans="1:15" x14ac:dyDescent="0.3">
      <c r="A319" t="s">
        <v>9</v>
      </c>
      <c r="B319" t="s">
        <v>1020</v>
      </c>
      <c r="C319" s="16" t="s">
        <v>272</v>
      </c>
      <c r="D319" s="16">
        <v>3</v>
      </c>
      <c r="E319" t="s">
        <v>1524</v>
      </c>
      <c r="F319" t="s">
        <v>1658</v>
      </c>
      <c r="G319" t="s">
        <v>1567</v>
      </c>
      <c r="H319" t="s">
        <v>1658</v>
      </c>
      <c r="I319" s="87">
        <f t="shared" si="28"/>
        <v>0.06</v>
      </c>
      <c r="J319" s="87">
        <f t="shared" si="29"/>
        <v>0.12</v>
      </c>
      <c r="K319" s="87">
        <f t="shared" si="30"/>
        <v>0.67500000000000004</v>
      </c>
      <c r="L319" s="87">
        <f t="shared" si="31"/>
        <v>2.5</v>
      </c>
      <c r="M319" s="87">
        <f t="shared" si="32"/>
        <v>0.32000000000000006</v>
      </c>
      <c r="N319" s="87">
        <f t="shared" si="33"/>
        <v>2.5</v>
      </c>
      <c r="O319" s="87">
        <f t="shared" si="34"/>
        <v>6.1749999999999998</v>
      </c>
    </row>
    <row r="320" spans="1:15" x14ac:dyDescent="0.3">
      <c r="A320" t="s">
        <v>43</v>
      </c>
      <c r="B320" t="s">
        <v>1021</v>
      </c>
      <c r="C320" s="16" t="s">
        <v>272</v>
      </c>
      <c r="D320" s="16">
        <v>3</v>
      </c>
      <c r="E320" t="s">
        <v>1524</v>
      </c>
      <c r="F320" t="s">
        <v>1658</v>
      </c>
      <c r="G320" t="s">
        <v>1568</v>
      </c>
      <c r="H320" t="s">
        <v>344</v>
      </c>
      <c r="I320" s="87">
        <f t="shared" si="28"/>
        <v>0.06</v>
      </c>
      <c r="J320" s="87">
        <f t="shared" si="29"/>
        <v>0.12</v>
      </c>
      <c r="K320" s="87">
        <f t="shared" si="30"/>
        <v>0.67500000000000004</v>
      </c>
      <c r="L320" s="87">
        <f t="shared" si="31"/>
        <v>2.5</v>
      </c>
      <c r="M320" s="87">
        <f t="shared" si="32"/>
        <v>0.44500000000000006</v>
      </c>
      <c r="N320" s="87">
        <f t="shared" si="33"/>
        <v>1.825</v>
      </c>
      <c r="O320" s="87">
        <f t="shared" si="34"/>
        <v>5.625</v>
      </c>
    </row>
    <row r="321" spans="1:15" x14ac:dyDescent="0.3">
      <c r="A321" t="s">
        <v>43</v>
      </c>
      <c r="B321" t="s">
        <v>1022</v>
      </c>
      <c r="C321" s="16" t="s">
        <v>272</v>
      </c>
      <c r="D321" s="16">
        <v>3</v>
      </c>
      <c r="E321" t="s">
        <v>1524</v>
      </c>
      <c r="F321" t="s">
        <v>1540</v>
      </c>
      <c r="G321" t="s">
        <v>1567</v>
      </c>
      <c r="H321" t="s">
        <v>1570</v>
      </c>
      <c r="I321" s="87">
        <f t="shared" si="28"/>
        <v>0.06</v>
      </c>
      <c r="J321" s="87">
        <f t="shared" si="29"/>
        <v>0.12</v>
      </c>
      <c r="K321" s="87">
        <f t="shared" si="30"/>
        <v>0.67500000000000004</v>
      </c>
      <c r="L321" s="87">
        <f t="shared" si="31"/>
        <v>2.375</v>
      </c>
      <c r="M321" s="87">
        <f t="shared" si="32"/>
        <v>0.32000000000000006</v>
      </c>
      <c r="N321" s="87">
        <f t="shared" si="33"/>
        <v>2.35</v>
      </c>
      <c r="O321" s="87">
        <f t="shared" si="34"/>
        <v>5.9</v>
      </c>
    </row>
    <row r="322" spans="1:15" x14ac:dyDescent="0.3">
      <c r="A322" t="s">
        <v>43</v>
      </c>
      <c r="B322" t="s">
        <v>1023</v>
      </c>
      <c r="C322" s="16" t="s">
        <v>272</v>
      </c>
      <c r="D322" s="16">
        <v>3</v>
      </c>
      <c r="E322" t="s">
        <v>1524</v>
      </c>
      <c r="F322" t="s">
        <v>1555</v>
      </c>
      <c r="G322" t="s">
        <v>1567</v>
      </c>
      <c r="H322" t="s">
        <v>291</v>
      </c>
      <c r="I322" s="87">
        <f t="shared" si="28"/>
        <v>0.06</v>
      </c>
      <c r="J322" s="87">
        <f t="shared" si="29"/>
        <v>0.12</v>
      </c>
      <c r="K322" s="87">
        <f t="shared" si="30"/>
        <v>0.67500000000000004</v>
      </c>
      <c r="L322" s="87">
        <f t="shared" si="31"/>
        <v>2.4750000000000001</v>
      </c>
      <c r="M322" s="87">
        <f t="shared" si="32"/>
        <v>0.32000000000000006</v>
      </c>
      <c r="N322" s="87">
        <f t="shared" si="33"/>
        <v>2.125</v>
      </c>
      <c r="O322" s="87">
        <f t="shared" si="34"/>
        <v>5.7750000000000004</v>
      </c>
    </row>
    <row r="323" spans="1:15" x14ac:dyDescent="0.3">
      <c r="A323" t="s">
        <v>43</v>
      </c>
      <c r="B323" t="s">
        <v>1024</v>
      </c>
      <c r="C323" s="16" t="s">
        <v>272</v>
      </c>
      <c r="D323" s="16">
        <v>3</v>
      </c>
      <c r="E323" t="s">
        <v>1524</v>
      </c>
      <c r="F323" t="s">
        <v>282</v>
      </c>
      <c r="G323" t="s">
        <v>340</v>
      </c>
      <c r="H323" t="s">
        <v>348</v>
      </c>
      <c r="I323" s="87">
        <f t="shared" si="28"/>
        <v>0.06</v>
      </c>
      <c r="J323" s="87">
        <f t="shared" si="29"/>
        <v>0.12</v>
      </c>
      <c r="K323" s="87">
        <f t="shared" si="30"/>
        <v>0.67500000000000004</v>
      </c>
      <c r="L323" s="87">
        <f t="shared" si="31"/>
        <v>1.925</v>
      </c>
      <c r="M323" s="87">
        <f t="shared" si="32"/>
        <v>0.49500000000000005</v>
      </c>
      <c r="N323" s="87">
        <f t="shared" si="33"/>
        <v>2.4750000000000001</v>
      </c>
      <c r="O323" s="87">
        <f t="shared" si="34"/>
        <v>5.75</v>
      </c>
    </row>
    <row r="324" spans="1:15" x14ac:dyDescent="0.3">
      <c r="A324" t="s">
        <v>43</v>
      </c>
      <c r="B324" t="s">
        <v>1025</v>
      </c>
      <c r="C324" s="16" t="s">
        <v>272</v>
      </c>
      <c r="D324" s="16">
        <v>3</v>
      </c>
      <c r="E324" t="s">
        <v>1524</v>
      </c>
      <c r="F324" t="s">
        <v>282</v>
      </c>
      <c r="G324" t="s">
        <v>1567</v>
      </c>
      <c r="H324" t="s">
        <v>1570</v>
      </c>
      <c r="I324" s="87">
        <f t="shared" ref="I324:I387" si="35">VLOOKUP(C324,$R$3:$T$4,3,0)*T$1</f>
        <v>0.06</v>
      </c>
      <c r="J324" s="87">
        <f t="shared" ref="J324:J387" si="36">VLOOKUP(D324,$U$3:$W$5,3,0)*W$1</f>
        <v>0.12</v>
      </c>
      <c r="K324" s="87">
        <f t="shared" ref="K324:K387" si="37">VLOOKUP(E324,$X$3:$Z$9,3,0)*Z$1</f>
        <v>0.67500000000000004</v>
      </c>
      <c r="L324" s="87">
        <f t="shared" ref="L324:L387" si="38">VLOOKUP(F324,$AA$3:$AC$32,3,0)*AC$1</f>
        <v>1.925</v>
      </c>
      <c r="M324" s="87">
        <f t="shared" ref="M324:M387" si="39">VLOOKUP(G324,$AD$3:$AF$9,3,0)*AF$1</f>
        <v>0.32000000000000006</v>
      </c>
      <c r="N324" s="87">
        <f t="shared" ref="N324:N387" si="40">VLOOKUP(H324,$AG$3:$AI$15,3,0)*AI$1</f>
        <v>2.35</v>
      </c>
      <c r="O324" s="87">
        <f t="shared" ref="O324:O387" si="41">SUM(I324:N324)</f>
        <v>5.4500000000000011</v>
      </c>
    </row>
    <row r="325" spans="1:15" x14ac:dyDescent="0.3">
      <c r="A325" t="s">
        <v>43</v>
      </c>
      <c r="B325" t="s">
        <v>1026</v>
      </c>
      <c r="C325" s="16" t="s">
        <v>272</v>
      </c>
      <c r="D325" s="16">
        <v>3</v>
      </c>
      <c r="E325" t="s">
        <v>1524</v>
      </c>
      <c r="F325" t="s">
        <v>1547</v>
      </c>
      <c r="G325" t="s">
        <v>1566</v>
      </c>
      <c r="H325" t="s">
        <v>344</v>
      </c>
      <c r="I325" s="87">
        <f t="shared" si="35"/>
        <v>0.06</v>
      </c>
      <c r="J325" s="87">
        <f t="shared" si="36"/>
        <v>0.12</v>
      </c>
      <c r="K325" s="87">
        <f t="shared" si="37"/>
        <v>0.67500000000000004</v>
      </c>
      <c r="L325" s="87">
        <f t="shared" si="38"/>
        <v>2.35</v>
      </c>
      <c r="M325" s="87">
        <f t="shared" si="39"/>
        <v>0.27</v>
      </c>
      <c r="N325" s="87">
        <f t="shared" si="40"/>
        <v>1.825</v>
      </c>
      <c r="O325" s="87">
        <f t="shared" si="41"/>
        <v>5.3</v>
      </c>
    </row>
    <row r="326" spans="1:15" x14ac:dyDescent="0.3">
      <c r="A326" t="s">
        <v>43</v>
      </c>
      <c r="B326" t="s">
        <v>1027</v>
      </c>
      <c r="C326" s="16" t="s">
        <v>272</v>
      </c>
      <c r="D326" s="16">
        <v>3</v>
      </c>
      <c r="E326" t="s">
        <v>1524</v>
      </c>
      <c r="F326" t="s">
        <v>1547</v>
      </c>
      <c r="G326" t="s">
        <v>1566</v>
      </c>
      <c r="H326" t="s">
        <v>344</v>
      </c>
      <c r="I326" s="87">
        <f t="shared" si="35"/>
        <v>0.06</v>
      </c>
      <c r="J326" s="87">
        <f t="shared" si="36"/>
        <v>0.12</v>
      </c>
      <c r="K326" s="87">
        <f t="shared" si="37"/>
        <v>0.67500000000000004</v>
      </c>
      <c r="L326" s="87">
        <f t="shared" si="38"/>
        <v>2.35</v>
      </c>
      <c r="M326" s="87">
        <f t="shared" si="39"/>
        <v>0.27</v>
      </c>
      <c r="N326" s="87">
        <f t="shared" si="40"/>
        <v>1.825</v>
      </c>
      <c r="O326" s="87">
        <f t="shared" si="41"/>
        <v>5.3</v>
      </c>
    </row>
    <row r="327" spans="1:15" x14ac:dyDescent="0.3">
      <c r="A327" t="s">
        <v>43</v>
      </c>
      <c r="B327" t="s">
        <v>1028</v>
      </c>
      <c r="C327" s="16" t="s">
        <v>272</v>
      </c>
      <c r="D327" s="16">
        <v>3</v>
      </c>
      <c r="E327" t="s">
        <v>1524</v>
      </c>
      <c r="F327" t="s">
        <v>1547</v>
      </c>
      <c r="G327" t="s">
        <v>1566</v>
      </c>
      <c r="H327" t="s">
        <v>344</v>
      </c>
      <c r="I327" s="87">
        <f t="shared" si="35"/>
        <v>0.06</v>
      </c>
      <c r="J327" s="87">
        <f t="shared" si="36"/>
        <v>0.12</v>
      </c>
      <c r="K327" s="87">
        <f t="shared" si="37"/>
        <v>0.67500000000000004</v>
      </c>
      <c r="L327" s="87">
        <f t="shared" si="38"/>
        <v>2.35</v>
      </c>
      <c r="M327" s="87">
        <f t="shared" si="39"/>
        <v>0.27</v>
      </c>
      <c r="N327" s="87">
        <f t="shared" si="40"/>
        <v>1.825</v>
      </c>
      <c r="O327" s="87">
        <f t="shared" si="41"/>
        <v>5.3</v>
      </c>
    </row>
    <row r="328" spans="1:15" x14ac:dyDescent="0.3">
      <c r="A328" t="s">
        <v>43</v>
      </c>
      <c r="B328" t="s">
        <v>1029</v>
      </c>
      <c r="C328" s="16" t="s">
        <v>272</v>
      </c>
      <c r="D328" s="16">
        <v>2</v>
      </c>
      <c r="E328" t="s">
        <v>1524</v>
      </c>
      <c r="F328" t="s">
        <v>282</v>
      </c>
      <c r="G328" t="s">
        <v>341</v>
      </c>
      <c r="H328" t="s">
        <v>344</v>
      </c>
      <c r="I328" s="87">
        <f t="shared" si="35"/>
        <v>0.06</v>
      </c>
      <c r="J328" s="87">
        <f t="shared" si="36"/>
        <v>0.89000000000000012</v>
      </c>
      <c r="K328" s="87">
        <f t="shared" si="37"/>
        <v>0.67500000000000004</v>
      </c>
      <c r="L328" s="87">
        <f t="shared" si="38"/>
        <v>1.925</v>
      </c>
      <c r="M328" s="87">
        <f t="shared" si="39"/>
        <v>0.48</v>
      </c>
      <c r="N328" s="87">
        <f t="shared" si="40"/>
        <v>1.825</v>
      </c>
      <c r="O328" s="87">
        <f t="shared" si="41"/>
        <v>5.8550000000000004</v>
      </c>
    </row>
    <row r="329" spans="1:15" x14ac:dyDescent="0.3">
      <c r="A329" t="s">
        <v>43</v>
      </c>
      <c r="B329" t="s">
        <v>1030</v>
      </c>
      <c r="C329" s="16" t="s">
        <v>272</v>
      </c>
      <c r="D329" s="16">
        <v>3</v>
      </c>
      <c r="E329" t="s">
        <v>1524</v>
      </c>
      <c r="F329" t="s">
        <v>282</v>
      </c>
      <c r="G329" t="s">
        <v>1567</v>
      </c>
      <c r="H329" t="s">
        <v>1570</v>
      </c>
      <c r="I329" s="87">
        <f t="shared" si="35"/>
        <v>0.06</v>
      </c>
      <c r="J329" s="87">
        <f t="shared" si="36"/>
        <v>0.12</v>
      </c>
      <c r="K329" s="87">
        <f t="shared" si="37"/>
        <v>0.67500000000000004</v>
      </c>
      <c r="L329" s="87">
        <f t="shared" si="38"/>
        <v>1.925</v>
      </c>
      <c r="M329" s="87">
        <f t="shared" si="39"/>
        <v>0.32000000000000006</v>
      </c>
      <c r="N329" s="87">
        <f t="shared" si="40"/>
        <v>2.35</v>
      </c>
      <c r="O329" s="87">
        <f t="shared" si="41"/>
        <v>5.4500000000000011</v>
      </c>
    </row>
    <row r="330" spans="1:15" x14ac:dyDescent="0.3">
      <c r="A330" t="s">
        <v>43</v>
      </c>
      <c r="B330" t="s">
        <v>1031</v>
      </c>
      <c r="C330" s="16" t="s">
        <v>272</v>
      </c>
      <c r="D330" s="16">
        <v>2</v>
      </c>
      <c r="E330" t="s">
        <v>1525</v>
      </c>
      <c r="F330" t="s">
        <v>282</v>
      </c>
      <c r="G330" t="s">
        <v>342</v>
      </c>
      <c r="H330" t="s">
        <v>344</v>
      </c>
      <c r="I330" s="87">
        <f t="shared" si="35"/>
        <v>0.06</v>
      </c>
      <c r="J330" s="87">
        <f t="shared" si="36"/>
        <v>0.89000000000000012</v>
      </c>
      <c r="K330" s="87">
        <f t="shared" si="37"/>
        <v>2.0750000000000002</v>
      </c>
      <c r="L330" s="87">
        <f t="shared" si="38"/>
        <v>1.925</v>
      </c>
      <c r="M330" s="87">
        <f t="shared" si="39"/>
        <v>0.49000000000000005</v>
      </c>
      <c r="N330" s="87">
        <f t="shared" si="40"/>
        <v>1.825</v>
      </c>
      <c r="O330" s="87">
        <f t="shared" si="41"/>
        <v>7.2650000000000006</v>
      </c>
    </row>
    <row r="331" spans="1:15" x14ac:dyDescent="0.3">
      <c r="A331" t="s">
        <v>43</v>
      </c>
      <c r="B331" t="s">
        <v>1032</v>
      </c>
      <c r="C331" s="16" t="s">
        <v>272</v>
      </c>
      <c r="D331" s="16">
        <v>2</v>
      </c>
      <c r="E331" t="s">
        <v>1525</v>
      </c>
      <c r="F331" t="s">
        <v>282</v>
      </c>
      <c r="G331" t="s">
        <v>342</v>
      </c>
      <c r="H331" t="s">
        <v>344</v>
      </c>
      <c r="I331" s="87">
        <f t="shared" si="35"/>
        <v>0.06</v>
      </c>
      <c r="J331" s="87">
        <f t="shared" si="36"/>
        <v>0.89000000000000012</v>
      </c>
      <c r="K331" s="87">
        <f t="shared" si="37"/>
        <v>2.0750000000000002</v>
      </c>
      <c r="L331" s="87">
        <f t="shared" si="38"/>
        <v>1.925</v>
      </c>
      <c r="M331" s="87">
        <f t="shared" si="39"/>
        <v>0.49000000000000005</v>
      </c>
      <c r="N331" s="87">
        <f t="shared" si="40"/>
        <v>1.825</v>
      </c>
      <c r="O331" s="87">
        <f t="shared" si="41"/>
        <v>7.2650000000000006</v>
      </c>
    </row>
    <row r="332" spans="1:15" x14ac:dyDescent="0.3">
      <c r="A332" t="s">
        <v>43</v>
      </c>
      <c r="B332" t="s">
        <v>1033</v>
      </c>
      <c r="C332" s="16" t="s">
        <v>272</v>
      </c>
      <c r="D332" s="16">
        <v>3</v>
      </c>
      <c r="E332" t="s">
        <v>1524</v>
      </c>
      <c r="F332" t="s">
        <v>1658</v>
      </c>
      <c r="G332" t="s">
        <v>1566</v>
      </c>
      <c r="H332" t="s">
        <v>1574</v>
      </c>
      <c r="I332" s="87">
        <f t="shared" si="35"/>
        <v>0.06</v>
      </c>
      <c r="J332" s="87">
        <f t="shared" si="36"/>
        <v>0.12</v>
      </c>
      <c r="K332" s="87">
        <f t="shared" si="37"/>
        <v>0.67500000000000004</v>
      </c>
      <c r="L332" s="87">
        <f t="shared" si="38"/>
        <v>2.5</v>
      </c>
      <c r="M332" s="87">
        <f t="shared" si="39"/>
        <v>0.27</v>
      </c>
      <c r="N332" s="87">
        <f t="shared" si="40"/>
        <v>2.375</v>
      </c>
      <c r="O332" s="87">
        <f t="shared" si="41"/>
        <v>6</v>
      </c>
    </row>
    <row r="333" spans="1:15" x14ac:dyDescent="0.3">
      <c r="A333" t="s">
        <v>43</v>
      </c>
      <c r="B333" t="s">
        <v>1034</v>
      </c>
      <c r="C333" s="16" t="s">
        <v>272</v>
      </c>
      <c r="D333" s="16">
        <v>3</v>
      </c>
      <c r="E333" t="s">
        <v>1524</v>
      </c>
      <c r="F333" t="s">
        <v>1536</v>
      </c>
      <c r="G333" t="s">
        <v>1567</v>
      </c>
      <c r="H333" t="s">
        <v>344</v>
      </c>
      <c r="I333" s="87">
        <f t="shared" si="35"/>
        <v>0.06</v>
      </c>
      <c r="J333" s="87">
        <f t="shared" si="36"/>
        <v>0.12</v>
      </c>
      <c r="K333" s="87">
        <f t="shared" si="37"/>
        <v>0.67500000000000004</v>
      </c>
      <c r="L333" s="87">
        <f t="shared" si="38"/>
        <v>2.4750000000000001</v>
      </c>
      <c r="M333" s="87">
        <f t="shared" si="39"/>
        <v>0.32000000000000006</v>
      </c>
      <c r="N333" s="87">
        <f t="shared" si="40"/>
        <v>1.825</v>
      </c>
      <c r="O333" s="87">
        <f t="shared" si="41"/>
        <v>5.4750000000000005</v>
      </c>
    </row>
    <row r="334" spans="1:15" x14ac:dyDescent="0.3">
      <c r="A334" t="s">
        <v>43</v>
      </c>
      <c r="B334" t="s">
        <v>1035</v>
      </c>
      <c r="C334" s="16" t="s">
        <v>272</v>
      </c>
      <c r="D334" s="16">
        <v>3</v>
      </c>
      <c r="E334" t="s">
        <v>1524</v>
      </c>
      <c r="F334" t="s">
        <v>1551</v>
      </c>
      <c r="G334" t="s">
        <v>1566</v>
      </c>
      <c r="H334" t="s">
        <v>344</v>
      </c>
      <c r="I334" s="87">
        <f t="shared" si="35"/>
        <v>0.06</v>
      </c>
      <c r="J334" s="87">
        <f t="shared" si="36"/>
        <v>0.12</v>
      </c>
      <c r="K334" s="87">
        <f t="shared" si="37"/>
        <v>0.67500000000000004</v>
      </c>
      <c r="L334" s="87">
        <f t="shared" si="38"/>
        <v>2.4500000000000002</v>
      </c>
      <c r="M334" s="87">
        <f t="shared" si="39"/>
        <v>0.27</v>
      </c>
      <c r="N334" s="87">
        <f t="shared" si="40"/>
        <v>1.825</v>
      </c>
      <c r="O334" s="87">
        <f t="shared" si="41"/>
        <v>5.4</v>
      </c>
    </row>
    <row r="335" spans="1:15" x14ac:dyDescent="0.3">
      <c r="A335" t="s">
        <v>43</v>
      </c>
      <c r="B335" t="s">
        <v>1036</v>
      </c>
      <c r="C335" s="16" t="s">
        <v>272</v>
      </c>
      <c r="D335" s="16">
        <v>3</v>
      </c>
      <c r="E335" t="s">
        <v>1524</v>
      </c>
      <c r="F335" t="s">
        <v>283</v>
      </c>
      <c r="G335" t="s">
        <v>1568</v>
      </c>
      <c r="H335" t="s">
        <v>1570</v>
      </c>
      <c r="I335" s="87">
        <f t="shared" si="35"/>
        <v>0.06</v>
      </c>
      <c r="J335" s="87">
        <f t="shared" si="36"/>
        <v>0.12</v>
      </c>
      <c r="K335" s="87">
        <f t="shared" si="37"/>
        <v>0.67500000000000004</v>
      </c>
      <c r="L335" s="87">
        <f t="shared" si="38"/>
        <v>2.35</v>
      </c>
      <c r="M335" s="87">
        <f t="shared" si="39"/>
        <v>0.44500000000000006</v>
      </c>
      <c r="N335" s="87">
        <f t="shared" si="40"/>
        <v>2.35</v>
      </c>
      <c r="O335" s="87">
        <f t="shared" si="41"/>
        <v>6</v>
      </c>
    </row>
    <row r="336" spans="1:15" x14ac:dyDescent="0.3">
      <c r="A336" t="s">
        <v>43</v>
      </c>
      <c r="B336" t="s">
        <v>1037</v>
      </c>
      <c r="C336" s="16" t="s">
        <v>272</v>
      </c>
      <c r="D336" s="16">
        <v>3</v>
      </c>
      <c r="E336" t="s">
        <v>1524</v>
      </c>
      <c r="F336" t="s">
        <v>1658</v>
      </c>
      <c r="G336" t="s">
        <v>1566</v>
      </c>
      <c r="H336" t="s">
        <v>344</v>
      </c>
      <c r="I336" s="87">
        <f t="shared" si="35"/>
        <v>0.06</v>
      </c>
      <c r="J336" s="87">
        <f t="shared" si="36"/>
        <v>0.12</v>
      </c>
      <c r="K336" s="87">
        <f t="shared" si="37"/>
        <v>0.67500000000000004</v>
      </c>
      <c r="L336" s="87">
        <f t="shared" si="38"/>
        <v>2.5</v>
      </c>
      <c r="M336" s="87">
        <f t="shared" si="39"/>
        <v>0.27</v>
      </c>
      <c r="N336" s="87">
        <f t="shared" si="40"/>
        <v>1.825</v>
      </c>
      <c r="O336" s="87">
        <f t="shared" si="41"/>
        <v>5.45</v>
      </c>
    </row>
    <row r="337" spans="1:15" x14ac:dyDescent="0.3">
      <c r="A337" t="s">
        <v>43</v>
      </c>
      <c r="B337" t="s">
        <v>1038</v>
      </c>
      <c r="C337" s="16" t="s">
        <v>272</v>
      </c>
      <c r="D337" s="16">
        <v>2</v>
      </c>
      <c r="E337" t="s">
        <v>1525</v>
      </c>
      <c r="F337" t="s">
        <v>282</v>
      </c>
      <c r="G337" t="s">
        <v>342</v>
      </c>
      <c r="H337" t="s">
        <v>344</v>
      </c>
      <c r="I337" s="87">
        <f t="shared" si="35"/>
        <v>0.06</v>
      </c>
      <c r="J337" s="87">
        <f t="shared" si="36"/>
        <v>0.89000000000000012</v>
      </c>
      <c r="K337" s="87">
        <f t="shared" si="37"/>
        <v>2.0750000000000002</v>
      </c>
      <c r="L337" s="87">
        <f t="shared" si="38"/>
        <v>1.925</v>
      </c>
      <c r="M337" s="87">
        <f t="shared" si="39"/>
        <v>0.49000000000000005</v>
      </c>
      <c r="N337" s="87">
        <f t="shared" si="40"/>
        <v>1.825</v>
      </c>
      <c r="O337" s="87">
        <f t="shared" si="41"/>
        <v>7.2650000000000006</v>
      </c>
    </row>
    <row r="338" spans="1:15" x14ac:dyDescent="0.3">
      <c r="A338" t="s">
        <v>43</v>
      </c>
      <c r="B338" t="s">
        <v>1039</v>
      </c>
      <c r="C338" s="16" t="s">
        <v>272</v>
      </c>
      <c r="D338" s="16">
        <v>3</v>
      </c>
      <c r="E338" t="s">
        <v>1524</v>
      </c>
      <c r="F338" t="s">
        <v>1536</v>
      </c>
      <c r="G338" t="s">
        <v>1567</v>
      </c>
      <c r="H338" t="s">
        <v>344</v>
      </c>
      <c r="I338" s="87">
        <f t="shared" si="35"/>
        <v>0.06</v>
      </c>
      <c r="J338" s="87">
        <f t="shared" si="36"/>
        <v>0.12</v>
      </c>
      <c r="K338" s="87">
        <f t="shared" si="37"/>
        <v>0.67500000000000004</v>
      </c>
      <c r="L338" s="87">
        <f t="shared" si="38"/>
        <v>2.4750000000000001</v>
      </c>
      <c r="M338" s="87">
        <f t="shared" si="39"/>
        <v>0.32000000000000006</v>
      </c>
      <c r="N338" s="87">
        <f t="shared" si="40"/>
        <v>1.825</v>
      </c>
      <c r="O338" s="87">
        <f t="shared" si="41"/>
        <v>5.4750000000000005</v>
      </c>
    </row>
    <row r="339" spans="1:15" x14ac:dyDescent="0.3">
      <c r="A339" t="s">
        <v>43</v>
      </c>
      <c r="B339" t="s">
        <v>1040</v>
      </c>
      <c r="C339" s="16" t="s">
        <v>272</v>
      </c>
      <c r="D339" s="16">
        <v>2</v>
      </c>
      <c r="E339" t="s">
        <v>1525</v>
      </c>
      <c r="F339" t="s">
        <v>282</v>
      </c>
      <c r="G339" t="s">
        <v>1568</v>
      </c>
      <c r="H339" t="s">
        <v>344</v>
      </c>
      <c r="I339" s="87">
        <f t="shared" si="35"/>
        <v>0.06</v>
      </c>
      <c r="J339" s="87">
        <f t="shared" si="36"/>
        <v>0.89000000000000012</v>
      </c>
      <c r="K339" s="87">
        <f t="shared" si="37"/>
        <v>2.0750000000000002</v>
      </c>
      <c r="L339" s="87">
        <f t="shared" si="38"/>
        <v>1.925</v>
      </c>
      <c r="M339" s="87">
        <f t="shared" si="39"/>
        <v>0.44500000000000006</v>
      </c>
      <c r="N339" s="87">
        <f t="shared" si="40"/>
        <v>1.825</v>
      </c>
      <c r="O339" s="87">
        <f t="shared" si="41"/>
        <v>7.2200000000000006</v>
      </c>
    </row>
    <row r="340" spans="1:15" x14ac:dyDescent="0.3">
      <c r="A340" t="s">
        <v>43</v>
      </c>
      <c r="B340" t="s">
        <v>1041</v>
      </c>
      <c r="C340" s="16" t="s">
        <v>272</v>
      </c>
      <c r="D340" s="16">
        <v>3</v>
      </c>
      <c r="E340" t="s">
        <v>1524</v>
      </c>
      <c r="F340" t="s">
        <v>282</v>
      </c>
      <c r="G340" t="s">
        <v>1567</v>
      </c>
      <c r="H340" t="s">
        <v>344</v>
      </c>
      <c r="I340" s="87">
        <f t="shared" si="35"/>
        <v>0.06</v>
      </c>
      <c r="J340" s="87">
        <f t="shared" si="36"/>
        <v>0.12</v>
      </c>
      <c r="K340" s="87">
        <f t="shared" si="37"/>
        <v>0.67500000000000004</v>
      </c>
      <c r="L340" s="87">
        <f t="shared" si="38"/>
        <v>1.925</v>
      </c>
      <c r="M340" s="87">
        <f t="shared" si="39"/>
        <v>0.32000000000000006</v>
      </c>
      <c r="N340" s="87">
        <f t="shared" si="40"/>
        <v>1.825</v>
      </c>
      <c r="O340" s="87">
        <f t="shared" si="41"/>
        <v>4.9250000000000007</v>
      </c>
    </row>
    <row r="341" spans="1:15" x14ac:dyDescent="0.3">
      <c r="A341" t="s">
        <v>43</v>
      </c>
      <c r="B341" t="s">
        <v>1042</v>
      </c>
      <c r="C341" s="16" t="s">
        <v>272</v>
      </c>
      <c r="D341" s="16">
        <v>3</v>
      </c>
      <c r="E341" t="s">
        <v>1524</v>
      </c>
      <c r="F341" t="s">
        <v>1658</v>
      </c>
      <c r="G341" t="s">
        <v>1566</v>
      </c>
      <c r="H341" t="s">
        <v>344</v>
      </c>
      <c r="I341" s="87">
        <f t="shared" si="35"/>
        <v>0.06</v>
      </c>
      <c r="J341" s="87">
        <f t="shared" si="36"/>
        <v>0.12</v>
      </c>
      <c r="K341" s="87">
        <f t="shared" si="37"/>
        <v>0.67500000000000004</v>
      </c>
      <c r="L341" s="87">
        <f t="shared" si="38"/>
        <v>2.5</v>
      </c>
      <c r="M341" s="87">
        <f t="shared" si="39"/>
        <v>0.27</v>
      </c>
      <c r="N341" s="87">
        <f t="shared" si="40"/>
        <v>1.825</v>
      </c>
      <c r="O341" s="87">
        <f t="shared" si="41"/>
        <v>5.45</v>
      </c>
    </row>
    <row r="342" spans="1:15" x14ac:dyDescent="0.3">
      <c r="A342" t="s">
        <v>45</v>
      </c>
      <c r="B342" t="s">
        <v>1043</v>
      </c>
      <c r="C342" s="16" t="s">
        <v>272</v>
      </c>
      <c r="D342" s="16">
        <v>2</v>
      </c>
      <c r="E342" t="s">
        <v>1524</v>
      </c>
      <c r="F342" t="s">
        <v>282</v>
      </c>
      <c r="G342" t="s">
        <v>341</v>
      </c>
      <c r="H342" t="s">
        <v>344</v>
      </c>
      <c r="I342" s="87">
        <f t="shared" si="35"/>
        <v>0.06</v>
      </c>
      <c r="J342" s="87">
        <f t="shared" si="36"/>
        <v>0.89000000000000012</v>
      </c>
      <c r="K342" s="87">
        <f t="shared" si="37"/>
        <v>0.67500000000000004</v>
      </c>
      <c r="L342" s="87">
        <f t="shared" si="38"/>
        <v>1.925</v>
      </c>
      <c r="M342" s="87">
        <f t="shared" si="39"/>
        <v>0.48</v>
      </c>
      <c r="N342" s="87">
        <f t="shared" si="40"/>
        <v>1.825</v>
      </c>
      <c r="O342" s="87">
        <f t="shared" si="41"/>
        <v>5.8550000000000004</v>
      </c>
    </row>
    <row r="343" spans="1:15" x14ac:dyDescent="0.3">
      <c r="A343" t="s">
        <v>45</v>
      </c>
      <c r="B343" t="s">
        <v>1044</v>
      </c>
      <c r="C343" s="16" t="s">
        <v>272</v>
      </c>
      <c r="D343" s="16">
        <v>3</v>
      </c>
      <c r="E343" t="s">
        <v>1524</v>
      </c>
      <c r="F343" t="s">
        <v>1534</v>
      </c>
      <c r="G343" t="s">
        <v>1567</v>
      </c>
      <c r="H343" t="s">
        <v>344</v>
      </c>
      <c r="I343" s="87">
        <f t="shared" si="35"/>
        <v>0.06</v>
      </c>
      <c r="J343" s="87">
        <f t="shared" si="36"/>
        <v>0.12</v>
      </c>
      <c r="K343" s="87">
        <f t="shared" si="37"/>
        <v>0.67500000000000004</v>
      </c>
      <c r="L343" s="87">
        <f t="shared" si="38"/>
        <v>2.4500000000000002</v>
      </c>
      <c r="M343" s="87">
        <f t="shared" si="39"/>
        <v>0.32000000000000006</v>
      </c>
      <c r="N343" s="87">
        <f t="shared" si="40"/>
        <v>1.825</v>
      </c>
      <c r="O343" s="87">
        <f t="shared" si="41"/>
        <v>5.45</v>
      </c>
    </row>
    <row r="344" spans="1:15" x14ac:dyDescent="0.3">
      <c r="A344" t="s">
        <v>45</v>
      </c>
      <c r="B344" t="s">
        <v>1045</v>
      </c>
      <c r="C344" s="16" t="s">
        <v>272</v>
      </c>
      <c r="D344" s="16">
        <v>3</v>
      </c>
      <c r="E344" t="s">
        <v>1524</v>
      </c>
      <c r="F344" t="s">
        <v>1534</v>
      </c>
      <c r="G344" t="s">
        <v>1567</v>
      </c>
      <c r="H344" t="s">
        <v>344</v>
      </c>
      <c r="I344" s="87">
        <f t="shared" si="35"/>
        <v>0.06</v>
      </c>
      <c r="J344" s="87">
        <f t="shared" si="36"/>
        <v>0.12</v>
      </c>
      <c r="K344" s="87">
        <f t="shared" si="37"/>
        <v>0.67500000000000004</v>
      </c>
      <c r="L344" s="87">
        <f t="shared" si="38"/>
        <v>2.4500000000000002</v>
      </c>
      <c r="M344" s="87">
        <f t="shared" si="39"/>
        <v>0.32000000000000006</v>
      </c>
      <c r="N344" s="87">
        <f t="shared" si="40"/>
        <v>1.825</v>
      </c>
      <c r="O344" s="87">
        <f t="shared" si="41"/>
        <v>5.45</v>
      </c>
    </row>
    <row r="345" spans="1:15" x14ac:dyDescent="0.3">
      <c r="A345" t="s">
        <v>45</v>
      </c>
      <c r="B345" t="s">
        <v>1046</v>
      </c>
      <c r="C345" s="16" t="s">
        <v>272</v>
      </c>
      <c r="D345" s="16">
        <v>2</v>
      </c>
      <c r="E345" t="s">
        <v>1524</v>
      </c>
      <c r="F345" t="s">
        <v>282</v>
      </c>
      <c r="G345" t="s">
        <v>341</v>
      </c>
      <c r="H345" t="s">
        <v>344</v>
      </c>
      <c r="I345" s="87">
        <f t="shared" si="35"/>
        <v>0.06</v>
      </c>
      <c r="J345" s="87">
        <f t="shared" si="36"/>
        <v>0.89000000000000012</v>
      </c>
      <c r="K345" s="87">
        <f t="shared" si="37"/>
        <v>0.67500000000000004</v>
      </c>
      <c r="L345" s="87">
        <f t="shared" si="38"/>
        <v>1.925</v>
      </c>
      <c r="M345" s="87">
        <f t="shared" si="39"/>
        <v>0.48</v>
      </c>
      <c r="N345" s="87">
        <f t="shared" si="40"/>
        <v>1.825</v>
      </c>
      <c r="O345" s="87">
        <f t="shared" si="41"/>
        <v>5.8550000000000004</v>
      </c>
    </row>
    <row r="346" spans="1:15" x14ac:dyDescent="0.3">
      <c r="A346" t="s">
        <v>45</v>
      </c>
      <c r="B346" t="s">
        <v>1047</v>
      </c>
      <c r="C346" s="16" t="s">
        <v>272</v>
      </c>
      <c r="D346" s="16">
        <v>2</v>
      </c>
      <c r="E346" t="s">
        <v>1524</v>
      </c>
      <c r="F346" t="s">
        <v>282</v>
      </c>
      <c r="G346" t="s">
        <v>341</v>
      </c>
      <c r="H346" t="s">
        <v>344</v>
      </c>
      <c r="I346" s="87">
        <f t="shared" si="35"/>
        <v>0.06</v>
      </c>
      <c r="J346" s="87">
        <f t="shared" si="36"/>
        <v>0.89000000000000012</v>
      </c>
      <c r="K346" s="87">
        <f t="shared" si="37"/>
        <v>0.67500000000000004</v>
      </c>
      <c r="L346" s="87">
        <f t="shared" si="38"/>
        <v>1.925</v>
      </c>
      <c r="M346" s="87">
        <f t="shared" si="39"/>
        <v>0.48</v>
      </c>
      <c r="N346" s="87">
        <f t="shared" si="40"/>
        <v>1.825</v>
      </c>
      <c r="O346" s="87">
        <f t="shared" si="41"/>
        <v>5.8550000000000004</v>
      </c>
    </row>
    <row r="347" spans="1:15" x14ac:dyDescent="0.3">
      <c r="A347" t="s">
        <v>45</v>
      </c>
      <c r="B347" t="s">
        <v>1048</v>
      </c>
      <c r="C347" s="16" t="s">
        <v>272</v>
      </c>
      <c r="D347" s="16">
        <v>2</v>
      </c>
      <c r="E347" t="s">
        <v>1524</v>
      </c>
      <c r="F347" t="s">
        <v>282</v>
      </c>
      <c r="G347" t="s">
        <v>341</v>
      </c>
      <c r="H347" t="s">
        <v>344</v>
      </c>
      <c r="I347" s="87">
        <f t="shared" si="35"/>
        <v>0.06</v>
      </c>
      <c r="J347" s="87">
        <f t="shared" si="36"/>
        <v>0.89000000000000012</v>
      </c>
      <c r="K347" s="87">
        <f t="shared" si="37"/>
        <v>0.67500000000000004</v>
      </c>
      <c r="L347" s="87">
        <f t="shared" si="38"/>
        <v>1.925</v>
      </c>
      <c r="M347" s="87">
        <f t="shared" si="39"/>
        <v>0.48</v>
      </c>
      <c r="N347" s="87">
        <f t="shared" si="40"/>
        <v>1.825</v>
      </c>
      <c r="O347" s="87">
        <f t="shared" si="41"/>
        <v>5.8550000000000004</v>
      </c>
    </row>
    <row r="348" spans="1:15" x14ac:dyDescent="0.3">
      <c r="A348" t="s">
        <v>45</v>
      </c>
      <c r="B348" t="s">
        <v>1049</v>
      </c>
      <c r="C348" s="16" t="s">
        <v>272</v>
      </c>
      <c r="D348" s="16">
        <v>3</v>
      </c>
      <c r="E348" t="s">
        <v>1524</v>
      </c>
      <c r="F348" t="s">
        <v>1658</v>
      </c>
      <c r="G348" t="s">
        <v>1567</v>
      </c>
      <c r="H348" t="s">
        <v>344</v>
      </c>
      <c r="I348" s="87">
        <f t="shared" si="35"/>
        <v>0.06</v>
      </c>
      <c r="J348" s="87">
        <f t="shared" si="36"/>
        <v>0.12</v>
      </c>
      <c r="K348" s="87">
        <f t="shared" si="37"/>
        <v>0.67500000000000004</v>
      </c>
      <c r="L348" s="87">
        <f t="shared" si="38"/>
        <v>2.5</v>
      </c>
      <c r="M348" s="87">
        <f t="shared" si="39"/>
        <v>0.32000000000000006</v>
      </c>
      <c r="N348" s="87">
        <f t="shared" si="40"/>
        <v>1.825</v>
      </c>
      <c r="O348" s="87">
        <f t="shared" si="41"/>
        <v>5.5</v>
      </c>
    </row>
    <row r="349" spans="1:15" x14ac:dyDescent="0.3">
      <c r="A349" t="s">
        <v>45</v>
      </c>
      <c r="B349" t="s">
        <v>1050</v>
      </c>
      <c r="C349" s="16" t="s">
        <v>272</v>
      </c>
      <c r="D349" s="16">
        <v>3</v>
      </c>
      <c r="E349" t="s">
        <v>1524</v>
      </c>
      <c r="F349" t="s">
        <v>1557</v>
      </c>
      <c r="G349" t="s">
        <v>1656</v>
      </c>
      <c r="H349" t="s">
        <v>348</v>
      </c>
      <c r="I349" s="87">
        <f t="shared" si="35"/>
        <v>0.06</v>
      </c>
      <c r="J349" s="87">
        <f t="shared" si="36"/>
        <v>0.12</v>
      </c>
      <c r="K349" s="87">
        <f t="shared" si="37"/>
        <v>0.67500000000000004</v>
      </c>
      <c r="L349" s="87">
        <f t="shared" si="38"/>
        <v>2.4249999999999998</v>
      </c>
      <c r="M349" s="87">
        <f t="shared" si="39"/>
        <v>0.5</v>
      </c>
      <c r="N349" s="87">
        <f t="shared" si="40"/>
        <v>2.4750000000000001</v>
      </c>
      <c r="O349" s="87">
        <f t="shared" si="41"/>
        <v>6.2549999999999999</v>
      </c>
    </row>
    <row r="350" spans="1:15" x14ac:dyDescent="0.3">
      <c r="A350" t="s">
        <v>45</v>
      </c>
      <c r="B350" t="s">
        <v>1051</v>
      </c>
      <c r="C350" s="16" t="s">
        <v>272</v>
      </c>
      <c r="D350" s="16">
        <v>3</v>
      </c>
      <c r="E350" t="s">
        <v>1524</v>
      </c>
      <c r="F350" t="s">
        <v>1557</v>
      </c>
      <c r="G350" t="s">
        <v>1568</v>
      </c>
      <c r="H350" t="s">
        <v>1658</v>
      </c>
      <c r="I350" s="87">
        <f t="shared" si="35"/>
        <v>0.06</v>
      </c>
      <c r="J350" s="87">
        <f t="shared" si="36"/>
        <v>0.12</v>
      </c>
      <c r="K350" s="87">
        <f t="shared" si="37"/>
        <v>0.67500000000000004</v>
      </c>
      <c r="L350" s="87">
        <f t="shared" si="38"/>
        <v>2.4249999999999998</v>
      </c>
      <c r="M350" s="87">
        <f t="shared" si="39"/>
        <v>0.44500000000000006</v>
      </c>
      <c r="N350" s="87">
        <f t="shared" si="40"/>
        <v>2.5</v>
      </c>
      <c r="O350" s="87">
        <f t="shared" si="41"/>
        <v>6.2249999999999996</v>
      </c>
    </row>
    <row r="351" spans="1:15" x14ac:dyDescent="0.3">
      <c r="A351" t="s">
        <v>45</v>
      </c>
      <c r="B351" t="s">
        <v>1052</v>
      </c>
      <c r="C351" s="16" t="s">
        <v>272</v>
      </c>
      <c r="D351" s="16">
        <v>3</v>
      </c>
      <c r="E351" t="s">
        <v>1524</v>
      </c>
      <c r="F351" t="s">
        <v>1557</v>
      </c>
      <c r="G351" t="s">
        <v>1567</v>
      </c>
      <c r="H351" t="s">
        <v>1574</v>
      </c>
      <c r="I351" s="87">
        <f t="shared" si="35"/>
        <v>0.06</v>
      </c>
      <c r="J351" s="87">
        <f t="shared" si="36"/>
        <v>0.12</v>
      </c>
      <c r="K351" s="87">
        <f t="shared" si="37"/>
        <v>0.67500000000000004</v>
      </c>
      <c r="L351" s="87">
        <f t="shared" si="38"/>
        <v>2.4249999999999998</v>
      </c>
      <c r="M351" s="87">
        <f t="shared" si="39"/>
        <v>0.32000000000000006</v>
      </c>
      <c r="N351" s="87">
        <f t="shared" si="40"/>
        <v>2.375</v>
      </c>
      <c r="O351" s="87">
        <f t="shared" si="41"/>
        <v>5.9749999999999996</v>
      </c>
    </row>
    <row r="352" spans="1:15" x14ac:dyDescent="0.3">
      <c r="A352" t="s">
        <v>45</v>
      </c>
      <c r="B352" t="s">
        <v>1053</v>
      </c>
      <c r="C352" s="16" t="s">
        <v>272</v>
      </c>
      <c r="D352" s="16">
        <v>3</v>
      </c>
      <c r="E352" t="s">
        <v>1524</v>
      </c>
      <c r="F352" t="s">
        <v>1557</v>
      </c>
      <c r="G352" t="s">
        <v>1567</v>
      </c>
      <c r="H352" t="s">
        <v>344</v>
      </c>
      <c r="I352" s="87">
        <f t="shared" si="35"/>
        <v>0.06</v>
      </c>
      <c r="J352" s="87">
        <f t="shared" si="36"/>
        <v>0.12</v>
      </c>
      <c r="K352" s="87">
        <f t="shared" si="37"/>
        <v>0.67500000000000004</v>
      </c>
      <c r="L352" s="87">
        <f t="shared" si="38"/>
        <v>2.4249999999999998</v>
      </c>
      <c r="M352" s="87">
        <f t="shared" si="39"/>
        <v>0.32000000000000006</v>
      </c>
      <c r="N352" s="87">
        <f t="shared" si="40"/>
        <v>1.825</v>
      </c>
      <c r="O352" s="87">
        <f t="shared" si="41"/>
        <v>5.4249999999999998</v>
      </c>
    </row>
    <row r="353" spans="1:15" x14ac:dyDescent="0.3">
      <c r="A353" t="s">
        <v>45</v>
      </c>
      <c r="B353" t="s">
        <v>1054</v>
      </c>
      <c r="C353" s="16" t="s">
        <v>272</v>
      </c>
      <c r="D353" s="16">
        <v>3</v>
      </c>
      <c r="E353" t="s">
        <v>1525</v>
      </c>
      <c r="F353" t="s">
        <v>1658</v>
      </c>
      <c r="G353" t="s">
        <v>1567</v>
      </c>
      <c r="H353" t="s">
        <v>344</v>
      </c>
      <c r="I353" s="87">
        <f t="shared" si="35"/>
        <v>0.06</v>
      </c>
      <c r="J353" s="87">
        <f t="shared" si="36"/>
        <v>0.12</v>
      </c>
      <c r="K353" s="87">
        <f t="shared" si="37"/>
        <v>2.0750000000000002</v>
      </c>
      <c r="L353" s="87">
        <f t="shared" si="38"/>
        <v>2.5</v>
      </c>
      <c r="M353" s="87">
        <f t="shared" si="39"/>
        <v>0.32000000000000006</v>
      </c>
      <c r="N353" s="87">
        <f t="shared" si="40"/>
        <v>1.825</v>
      </c>
      <c r="O353" s="87">
        <f t="shared" si="41"/>
        <v>6.9000000000000012</v>
      </c>
    </row>
    <row r="354" spans="1:15" x14ac:dyDescent="0.3">
      <c r="A354" t="s">
        <v>45</v>
      </c>
      <c r="B354" t="s">
        <v>1055</v>
      </c>
      <c r="C354" s="16" t="s">
        <v>273</v>
      </c>
      <c r="D354" s="16">
        <v>2</v>
      </c>
      <c r="E354" t="s">
        <v>1525</v>
      </c>
      <c r="F354" t="s">
        <v>1658</v>
      </c>
      <c r="G354" t="s">
        <v>1567</v>
      </c>
      <c r="H354" t="s">
        <v>1570</v>
      </c>
      <c r="I354" s="87">
        <f t="shared" si="35"/>
        <v>0.94000000000000006</v>
      </c>
      <c r="J354" s="87">
        <f t="shared" si="36"/>
        <v>0.89000000000000012</v>
      </c>
      <c r="K354" s="87">
        <f t="shared" si="37"/>
        <v>2.0750000000000002</v>
      </c>
      <c r="L354" s="87">
        <f t="shared" si="38"/>
        <v>2.5</v>
      </c>
      <c r="M354" s="87">
        <f t="shared" si="39"/>
        <v>0.32000000000000006</v>
      </c>
      <c r="N354" s="87">
        <f t="shared" si="40"/>
        <v>2.35</v>
      </c>
      <c r="O354" s="87">
        <f t="shared" si="41"/>
        <v>9.0750000000000011</v>
      </c>
    </row>
    <row r="355" spans="1:15" x14ac:dyDescent="0.3">
      <c r="A355" t="s">
        <v>45</v>
      </c>
      <c r="B355" t="s">
        <v>1056</v>
      </c>
      <c r="C355" s="16" t="s">
        <v>272</v>
      </c>
      <c r="D355" s="16">
        <v>3</v>
      </c>
      <c r="E355" t="s">
        <v>1524</v>
      </c>
      <c r="F355" t="s">
        <v>1557</v>
      </c>
      <c r="G355" t="s">
        <v>1567</v>
      </c>
      <c r="H355" t="s">
        <v>1574</v>
      </c>
      <c r="I355" s="87">
        <f t="shared" si="35"/>
        <v>0.06</v>
      </c>
      <c r="J355" s="87">
        <f t="shared" si="36"/>
        <v>0.12</v>
      </c>
      <c r="K355" s="87">
        <f t="shared" si="37"/>
        <v>0.67500000000000004</v>
      </c>
      <c r="L355" s="87">
        <f t="shared" si="38"/>
        <v>2.4249999999999998</v>
      </c>
      <c r="M355" s="87">
        <f t="shared" si="39"/>
        <v>0.32000000000000006</v>
      </c>
      <c r="N355" s="87">
        <f t="shared" si="40"/>
        <v>2.375</v>
      </c>
      <c r="O355" s="87">
        <f t="shared" si="41"/>
        <v>5.9749999999999996</v>
      </c>
    </row>
    <row r="356" spans="1:15" x14ac:dyDescent="0.3">
      <c r="A356" t="s">
        <v>45</v>
      </c>
      <c r="B356" t="s">
        <v>1057</v>
      </c>
      <c r="C356" s="16" t="s">
        <v>272</v>
      </c>
      <c r="D356" s="16">
        <v>3</v>
      </c>
      <c r="E356" t="s">
        <v>1525</v>
      </c>
      <c r="F356" t="s">
        <v>1658</v>
      </c>
      <c r="G356" t="s">
        <v>1567</v>
      </c>
      <c r="H356" t="s">
        <v>344</v>
      </c>
      <c r="I356" s="87">
        <f t="shared" si="35"/>
        <v>0.06</v>
      </c>
      <c r="J356" s="87">
        <f t="shared" si="36"/>
        <v>0.12</v>
      </c>
      <c r="K356" s="87">
        <f t="shared" si="37"/>
        <v>2.0750000000000002</v>
      </c>
      <c r="L356" s="87">
        <f t="shared" si="38"/>
        <v>2.5</v>
      </c>
      <c r="M356" s="87">
        <f t="shared" si="39"/>
        <v>0.32000000000000006</v>
      </c>
      <c r="N356" s="87">
        <f t="shared" si="40"/>
        <v>1.825</v>
      </c>
      <c r="O356" s="87">
        <f t="shared" si="41"/>
        <v>6.9000000000000012</v>
      </c>
    </row>
    <row r="357" spans="1:15" x14ac:dyDescent="0.3">
      <c r="A357" t="s">
        <v>45</v>
      </c>
      <c r="B357" t="s">
        <v>1058</v>
      </c>
      <c r="C357" s="16" t="s">
        <v>273</v>
      </c>
      <c r="D357" s="16">
        <v>2</v>
      </c>
      <c r="E357" t="s">
        <v>1525</v>
      </c>
      <c r="F357" t="s">
        <v>1658</v>
      </c>
      <c r="G357" t="s">
        <v>1567</v>
      </c>
      <c r="H357" t="s">
        <v>344</v>
      </c>
      <c r="I357" s="87">
        <f t="shared" si="35"/>
        <v>0.94000000000000006</v>
      </c>
      <c r="J357" s="87">
        <f t="shared" si="36"/>
        <v>0.89000000000000012</v>
      </c>
      <c r="K357" s="87">
        <f t="shared" si="37"/>
        <v>2.0750000000000002</v>
      </c>
      <c r="L357" s="87">
        <f t="shared" si="38"/>
        <v>2.5</v>
      </c>
      <c r="M357" s="87">
        <f t="shared" si="39"/>
        <v>0.32000000000000006</v>
      </c>
      <c r="N357" s="87">
        <f t="shared" si="40"/>
        <v>1.825</v>
      </c>
      <c r="O357" s="87">
        <f t="shared" si="41"/>
        <v>8.5500000000000007</v>
      </c>
    </row>
    <row r="358" spans="1:15" x14ac:dyDescent="0.3">
      <c r="A358" t="s">
        <v>45</v>
      </c>
      <c r="B358" t="s">
        <v>1059</v>
      </c>
      <c r="C358" s="16" t="s">
        <v>272</v>
      </c>
      <c r="D358" s="16">
        <v>2</v>
      </c>
      <c r="E358" t="s">
        <v>1525</v>
      </c>
      <c r="F358" t="s">
        <v>1658</v>
      </c>
      <c r="G358" t="s">
        <v>1567</v>
      </c>
      <c r="H358" t="s">
        <v>344</v>
      </c>
      <c r="I358" s="87">
        <f t="shared" si="35"/>
        <v>0.06</v>
      </c>
      <c r="J358" s="87">
        <f t="shared" si="36"/>
        <v>0.89000000000000012</v>
      </c>
      <c r="K358" s="87">
        <f t="shared" si="37"/>
        <v>2.0750000000000002</v>
      </c>
      <c r="L358" s="87">
        <f t="shared" si="38"/>
        <v>2.5</v>
      </c>
      <c r="M358" s="87">
        <f t="shared" si="39"/>
        <v>0.32000000000000006</v>
      </c>
      <c r="N358" s="87">
        <f t="shared" si="40"/>
        <v>1.825</v>
      </c>
      <c r="O358" s="87">
        <f t="shared" si="41"/>
        <v>7.6700000000000008</v>
      </c>
    </row>
    <row r="359" spans="1:15" x14ac:dyDescent="0.3">
      <c r="A359" t="s">
        <v>9</v>
      </c>
      <c r="B359" t="s">
        <v>1060</v>
      </c>
      <c r="C359" s="16" t="s">
        <v>272</v>
      </c>
      <c r="D359" s="16">
        <v>2</v>
      </c>
      <c r="E359" t="s">
        <v>1525</v>
      </c>
      <c r="F359" t="s">
        <v>282</v>
      </c>
      <c r="G359" t="s">
        <v>1568</v>
      </c>
      <c r="H359" t="s">
        <v>344</v>
      </c>
      <c r="I359" s="87">
        <f t="shared" si="35"/>
        <v>0.06</v>
      </c>
      <c r="J359" s="87">
        <f t="shared" si="36"/>
        <v>0.89000000000000012</v>
      </c>
      <c r="K359" s="87">
        <f t="shared" si="37"/>
        <v>2.0750000000000002</v>
      </c>
      <c r="L359" s="87">
        <f t="shared" si="38"/>
        <v>1.925</v>
      </c>
      <c r="M359" s="87">
        <f t="shared" si="39"/>
        <v>0.44500000000000006</v>
      </c>
      <c r="N359" s="87">
        <f t="shared" si="40"/>
        <v>1.825</v>
      </c>
      <c r="O359" s="87">
        <f t="shared" si="41"/>
        <v>7.2200000000000006</v>
      </c>
    </row>
    <row r="360" spans="1:15" x14ac:dyDescent="0.3">
      <c r="A360" t="s">
        <v>9</v>
      </c>
      <c r="B360" t="s">
        <v>1061</v>
      </c>
      <c r="C360" s="16" t="s">
        <v>272</v>
      </c>
      <c r="D360" s="16">
        <v>3</v>
      </c>
      <c r="E360" t="s">
        <v>1524</v>
      </c>
      <c r="F360" t="s">
        <v>1544</v>
      </c>
      <c r="G360" t="s">
        <v>1566</v>
      </c>
      <c r="H360" t="s">
        <v>1658</v>
      </c>
      <c r="I360" s="87">
        <f t="shared" si="35"/>
        <v>0.06</v>
      </c>
      <c r="J360" s="87">
        <f t="shared" si="36"/>
        <v>0.12</v>
      </c>
      <c r="K360" s="87">
        <f t="shared" si="37"/>
        <v>0.67500000000000004</v>
      </c>
      <c r="L360" s="87">
        <f t="shared" si="38"/>
        <v>2.4750000000000001</v>
      </c>
      <c r="M360" s="87">
        <f t="shared" si="39"/>
        <v>0.27</v>
      </c>
      <c r="N360" s="87">
        <f t="shared" si="40"/>
        <v>2.5</v>
      </c>
      <c r="O360" s="87">
        <f t="shared" si="41"/>
        <v>6.1</v>
      </c>
    </row>
    <row r="361" spans="1:15" x14ac:dyDescent="0.3">
      <c r="A361" t="s">
        <v>9</v>
      </c>
      <c r="B361" t="s">
        <v>1062</v>
      </c>
      <c r="C361" s="16" t="s">
        <v>272</v>
      </c>
      <c r="D361" s="16">
        <v>2</v>
      </c>
      <c r="E361" t="s">
        <v>1525</v>
      </c>
      <c r="F361" t="s">
        <v>1658</v>
      </c>
      <c r="G361" t="s">
        <v>1567</v>
      </c>
      <c r="H361" t="s">
        <v>345</v>
      </c>
      <c r="I361" s="87">
        <f t="shared" si="35"/>
        <v>0.06</v>
      </c>
      <c r="J361" s="87">
        <f t="shared" si="36"/>
        <v>0.89000000000000012</v>
      </c>
      <c r="K361" s="87">
        <f t="shared" si="37"/>
        <v>2.0750000000000002</v>
      </c>
      <c r="L361" s="87">
        <f t="shared" si="38"/>
        <v>2.5</v>
      </c>
      <c r="M361" s="87">
        <f t="shared" si="39"/>
        <v>0.32000000000000006</v>
      </c>
      <c r="N361" s="87">
        <f t="shared" si="40"/>
        <v>1.7749999999999999</v>
      </c>
      <c r="O361" s="87">
        <f t="shared" si="41"/>
        <v>7.620000000000001</v>
      </c>
    </row>
    <row r="362" spans="1:15" x14ac:dyDescent="0.3">
      <c r="A362" t="s">
        <v>9</v>
      </c>
      <c r="B362" t="s">
        <v>1063</v>
      </c>
      <c r="C362" s="16" t="s">
        <v>272</v>
      </c>
      <c r="D362" s="16">
        <v>3</v>
      </c>
      <c r="E362" t="s">
        <v>1524</v>
      </c>
      <c r="F362" t="s">
        <v>1544</v>
      </c>
      <c r="G362" t="s">
        <v>1566</v>
      </c>
      <c r="H362" t="s">
        <v>344</v>
      </c>
      <c r="I362" s="87">
        <f t="shared" si="35"/>
        <v>0.06</v>
      </c>
      <c r="J362" s="87">
        <f t="shared" si="36"/>
        <v>0.12</v>
      </c>
      <c r="K362" s="87">
        <f t="shared" si="37"/>
        <v>0.67500000000000004</v>
      </c>
      <c r="L362" s="87">
        <f t="shared" si="38"/>
        <v>2.4750000000000001</v>
      </c>
      <c r="M362" s="87">
        <f t="shared" si="39"/>
        <v>0.27</v>
      </c>
      <c r="N362" s="87">
        <f t="shared" si="40"/>
        <v>1.825</v>
      </c>
      <c r="O362" s="87">
        <f t="shared" si="41"/>
        <v>5.4249999999999998</v>
      </c>
    </row>
    <row r="363" spans="1:15" x14ac:dyDescent="0.3">
      <c r="A363" t="s">
        <v>9</v>
      </c>
      <c r="B363" t="s">
        <v>1064</v>
      </c>
      <c r="C363" s="16" t="s">
        <v>272</v>
      </c>
      <c r="D363" s="16">
        <v>2</v>
      </c>
      <c r="E363" t="s">
        <v>1524</v>
      </c>
      <c r="F363" t="s">
        <v>282</v>
      </c>
      <c r="G363" t="s">
        <v>342</v>
      </c>
      <c r="H363" t="s">
        <v>347</v>
      </c>
      <c r="I363" s="87">
        <f t="shared" si="35"/>
        <v>0.06</v>
      </c>
      <c r="J363" s="87">
        <f t="shared" si="36"/>
        <v>0.89000000000000012</v>
      </c>
      <c r="K363" s="87">
        <f t="shared" si="37"/>
        <v>0.67500000000000004</v>
      </c>
      <c r="L363" s="87">
        <f t="shared" si="38"/>
        <v>1.925</v>
      </c>
      <c r="M363" s="87">
        <f t="shared" si="39"/>
        <v>0.49000000000000005</v>
      </c>
      <c r="N363" s="87">
        <f t="shared" si="40"/>
        <v>2.4249999999999998</v>
      </c>
      <c r="O363" s="87">
        <f t="shared" si="41"/>
        <v>6.4649999999999999</v>
      </c>
    </row>
    <row r="364" spans="1:15" x14ac:dyDescent="0.3">
      <c r="A364" t="s">
        <v>9</v>
      </c>
      <c r="B364" t="s">
        <v>1065</v>
      </c>
      <c r="C364" s="16" t="s">
        <v>272</v>
      </c>
      <c r="D364" s="16">
        <v>2</v>
      </c>
      <c r="E364" t="s">
        <v>1524</v>
      </c>
      <c r="F364" t="s">
        <v>282</v>
      </c>
      <c r="G364" t="s">
        <v>342</v>
      </c>
      <c r="H364" t="s">
        <v>347</v>
      </c>
      <c r="I364" s="87">
        <f t="shared" si="35"/>
        <v>0.06</v>
      </c>
      <c r="J364" s="87">
        <f t="shared" si="36"/>
        <v>0.89000000000000012</v>
      </c>
      <c r="K364" s="87">
        <f t="shared" si="37"/>
        <v>0.67500000000000004</v>
      </c>
      <c r="L364" s="87">
        <f t="shared" si="38"/>
        <v>1.925</v>
      </c>
      <c r="M364" s="87">
        <f t="shared" si="39"/>
        <v>0.49000000000000005</v>
      </c>
      <c r="N364" s="87">
        <f t="shared" si="40"/>
        <v>2.4249999999999998</v>
      </c>
      <c r="O364" s="87">
        <f t="shared" si="41"/>
        <v>6.4649999999999999</v>
      </c>
    </row>
    <row r="365" spans="1:15" x14ac:dyDescent="0.3">
      <c r="A365" t="s">
        <v>9</v>
      </c>
      <c r="B365" t="s">
        <v>1066</v>
      </c>
      <c r="C365" s="16" t="s">
        <v>272</v>
      </c>
      <c r="D365" s="16">
        <v>2</v>
      </c>
      <c r="E365" t="s">
        <v>1524</v>
      </c>
      <c r="F365" t="s">
        <v>282</v>
      </c>
      <c r="G365" t="s">
        <v>342</v>
      </c>
      <c r="H365" t="s">
        <v>347</v>
      </c>
      <c r="I365" s="87">
        <f t="shared" si="35"/>
        <v>0.06</v>
      </c>
      <c r="J365" s="87">
        <f t="shared" si="36"/>
        <v>0.89000000000000012</v>
      </c>
      <c r="K365" s="87">
        <f t="shared" si="37"/>
        <v>0.67500000000000004</v>
      </c>
      <c r="L365" s="87">
        <f t="shared" si="38"/>
        <v>1.925</v>
      </c>
      <c r="M365" s="87">
        <f t="shared" si="39"/>
        <v>0.49000000000000005</v>
      </c>
      <c r="N365" s="87">
        <f t="shared" si="40"/>
        <v>2.4249999999999998</v>
      </c>
      <c r="O365" s="87">
        <f t="shared" si="41"/>
        <v>6.4649999999999999</v>
      </c>
    </row>
    <row r="366" spans="1:15" x14ac:dyDescent="0.3">
      <c r="A366" t="s">
        <v>9</v>
      </c>
      <c r="B366" t="s">
        <v>1067</v>
      </c>
      <c r="C366" s="16" t="s">
        <v>272</v>
      </c>
      <c r="D366" s="16">
        <v>3</v>
      </c>
      <c r="E366" t="s">
        <v>1524</v>
      </c>
      <c r="F366" t="s">
        <v>1658</v>
      </c>
      <c r="G366" t="s">
        <v>1568</v>
      </c>
      <c r="H366" t="s">
        <v>1571</v>
      </c>
      <c r="I366" s="87">
        <f t="shared" si="35"/>
        <v>0.06</v>
      </c>
      <c r="J366" s="87">
        <f t="shared" si="36"/>
        <v>0.12</v>
      </c>
      <c r="K366" s="87">
        <f t="shared" si="37"/>
        <v>0.67500000000000004</v>
      </c>
      <c r="L366" s="87">
        <f t="shared" si="38"/>
        <v>2.5</v>
      </c>
      <c r="M366" s="87">
        <f t="shared" si="39"/>
        <v>0.44500000000000006</v>
      </c>
      <c r="N366" s="87">
        <f t="shared" si="40"/>
        <v>2.375</v>
      </c>
      <c r="O366" s="87">
        <f t="shared" si="41"/>
        <v>6.1749999999999998</v>
      </c>
    </row>
    <row r="367" spans="1:15" x14ac:dyDescent="0.3">
      <c r="A367" t="s">
        <v>9</v>
      </c>
      <c r="B367" t="s">
        <v>1068</v>
      </c>
      <c r="C367" s="16" t="s">
        <v>272</v>
      </c>
      <c r="D367" s="16">
        <v>3</v>
      </c>
      <c r="E367" t="s">
        <v>1524</v>
      </c>
      <c r="F367" t="s">
        <v>1658</v>
      </c>
      <c r="G367" t="s">
        <v>1568</v>
      </c>
      <c r="H367" t="s">
        <v>1571</v>
      </c>
      <c r="I367" s="87">
        <f t="shared" si="35"/>
        <v>0.06</v>
      </c>
      <c r="J367" s="87">
        <f t="shared" si="36"/>
        <v>0.12</v>
      </c>
      <c r="K367" s="87">
        <f t="shared" si="37"/>
        <v>0.67500000000000004</v>
      </c>
      <c r="L367" s="87">
        <f t="shared" si="38"/>
        <v>2.5</v>
      </c>
      <c r="M367" s="87">
        <f t="shared" si="39"/>
        <v>0.44500000000000006</v>
      </c>
      <c r="N367" s="87">
        <f t="shared" si="40"/>
        <v>2.375</v>
      </c>
      <c r="O367" s="87">
        <f t="shared" si="41"/>
        <v>6.1749999999999998</v>
      </c>
    </row>
    <row r="368" spans="1:15" x14ac:dyDescent="0.3">
      <c r="A368" t="s">
        <v>9</v>
      </c>
      <c r="B368" t="s">
        <v>1069</v>
      </c>
      <c r="C368" s="16" t="s">
        <v>272</v>
      </c>
      <c r="D368" s="16">
        <v>3</v>
      </c>
      <c r="E368" t="s">
        <v>1524</v>
      </c>
      <c r="F368" t="s">
        <v>1658</v>
      </c>
      <c r="G368" t="s">
        <v>1568</v>
      </c>
      <c r="H368" t="s">
        <v>1571</v>
      </c>
      <c r="I368" s="87">
        <f t="shared" si="35"/>
        <v>0.06</v>
      </c>
      <c r="J368" s="87">
        <f t="shared" si="36"/>
        <v>0.12</v>
      </c>
      <c r="K368" s="87">
        <f t="shared" si="37"/>
        <v>0.67500000000000004</v>
      </c>
      <c r="L368" s="87">
        <f t="shared" si="38"/>
        <v>2.5</v>
      </c>
      <c r="M368" s="87">
        <f t="shared" si="39"/>
        <v>0.44500000000000006</v>
      </c>
      <c r="N368" s="87">
        <f t="shared" si="40"/>
        <v>2.375</v>
      </c>
      <c r="O368" s="87">
        <f t="shared" si="41"/>
        <v>6.1749999999999998</v>
      </c>
    </row>
    <row r="369" spans="1:15" x14ac:dyDescent="0.3">
      <c r="A369" t="s">
        <v>9</v>
      </c>
      <c r="B369" t="s">
        <v>1070</v>
      </c>
      <c r="C369" s="16" t="s">
        <v>272</v>
      </c>
      <c r="D369" s="16">
        <v>3</v>
      </c>
      <c r="E369" t="s">
        <v>1524</v>
      </c>
      <c r="F369" t="s">
        <v>1658</v>
      </c>
      <c r="G369" t="s">
        <v>1568</v>
      </c>
      <c r="H369" t="s">
        <v>1571</v>
      </c>
      <c r="I369" s="87">
        <f t="shared" si="35"/>
        <v>0.06</v>
      </c>
      <c r="J369" s="87">
        <f t="shared" si="36"/>
        <v>0.12</v>
      </c>
      <c r="K369" s="87">
        <f t="shared" si="37"/>
        <v>0.67500000000000004</v>
      </c>
      <c r="L369" s="87">
        <f t="shared" si="38"/>
        <v>2.5</v>
      </c>
      <c r="M369" s="87">
        <f t="shared" si="39"/>
        <v>0.44500000000000006</v>
      </c>
      <c r="N369" s="87">
        <f t="shared" si="40"/>
        <v>2.375</v>
      </c>
      <c r="O369" s="87">
        <f t="shared" si="41"/>
        <v>6.1749999999999998</v>
      </c>
    </row>
    <row r="370" spans="1:15" x14ac:dyDescent="0.3">
      <c r="A370" t="s">
        <v>9</v>
      </c>
      <c r="B370" t="s">
        <v>1071</v>
      </c>
      <c r="C370" s="16" t="s">
        <v>272</v>
      </c>
      <c r="D370" s="16">
        <v>3</v>
      </c>
      <c r="E370" t="s">
        <v>1524</v>
      </c>
      <c r="F370" t="s">
        <v>1658</v>
      </c>
      <c r="G370" t="s">
        <v>1568</v>
      </c>
      <c r="H370" t="s">
        <v>1571</v>
      </c>
      <c r="I370" s="87">
        <f t="shared" si="35"/>
        <v>0.06</v>
      </c>
      <c r="J370" s="87">
        <f t="shared" si="36"/>
        <v>0.12</v>
      </c>
      <c r="K370" s="87">
        <f t="shared" si="37"/>
        <v>0.67500000000000004</v>
      </c>
      <c r="L370" s="87">
        <f t="shared" si="38"/>
        <v>2.5</v>
      </c>
      <c r="M370" s="87">
        <f t="shared" si="39"/>
        <v>0.44500000000000006</v>
      </c>
      <c r="N370" s="87">
        <f t="shared" si="40"/>
        <v>2.375</v>
      </c>
      <c r="O370" s="87">
        <f t="shared" si="41"/>
        <v>6.1749999999999998</v>
      </c>
    </row>
    <row r="371" spans="1:15" x14ac:dyDescent="0.3">
      <c r="A371" t="s">
        <v>9</v>
      </c>
      <c r="B371" t="s">
        <v>1072</v>
      </c>
      <c r="C371" s="16" t="s">
        <v>272</v>
      </c>
      <c r="D371" s="16">
        <v>3</v>
      </c>
      <c r="E371" t="s">
        <v>1524</v>
      </c>
      <c r="F371" t="s">
        <v>1540</v>
      </c>
      <c r="G371" t="s">
        <v>1566</v>
      </c>
      <c r="H371" t="s">
        <v>344</v>
      </c>
      <c r="I371" s="87">
        <f t="shared" si="35"/>
        <v>0.06</v>
      </c>
      <c r="J371" s="87">
        <f t="shared" si="36"/>
        <v>0.12</v>
      </c>
      <c r="K371" s="87">
        <f t="shared" si="37"/>
        <v>0.67500000000000004</v>
      </c>
      <c r="L371" s="87">
        <f t="shared" si="38"/>
        <v>2.375</v>
      </c>
      <c r="M371" s="87">
        <f t="shared" si="39"/>
        <v>0.27</v>
      </c>
      <c r="N371" s="87">
        <f t="shared" si="40"/>
        <v>1.825</v>
      </c>
      <c r="O371" s="87">
        <f t="shared" si="41"/>
        <v>5.3250000000000002</v>
      </c>
    </row>
    <row r="372" spans="1:15" x14ac:dyDescent="0.3">
      <c r="A372" t="s">
        <v>9</v>
      </c>
      <c r="B372" t="s">
        <v>1073</v>
      </c>
      <c r="C372" s="16" t="s">
        <v>272</v>
      </c>
      <c r="D372" s="16">
        <v>3</v>
      </c>
      <c r="E372" t="s">
        <v>1524</v>
      </c>
      <c r="F372" t="s">
        <v>1540</v>
      </c>
      <c r="G372" t="s">
        <v>1566</v>
      </c>
      <c r="H372" t="s">
        <v>1658</v>
      </c>
      <c r="I372" s="87">
        <f t="shared" si="35"/>
        <v>0.06</v>
      </c>
      <c r="J372" s="87">
        <f t="shared" si="36"/>
        <v>0.12</v>
      </c>
      <c r="K372" s="87">
        <f t="shared" si="37"/>
        <v>0.67500000000000004</v>
      </c>
      <c r="L372" s="87">
        <f t="shared" si="38"/>
        <v>2.375</v>
      </c>
      <c r="M372" s="87">
        <f t="shared" si="39"/>
        <v>0.27</v>
      </c>
      <c r="N372" s="87">
        <f t="shared" si="40"/>
        <v>2.5</v>
      </c>
      <c r="O372" s="87">
        <f t="shared" si="41"/>
        <v>6</v>
      </c>
    </row>
    <row r="373" spans="1:15" x14ac:dyDescent="0.3">
      <c r="A373" t="s">
        <v>9</v>
      </c>
      <c r="B373" t="s">
        <v>1074</v>
      </c>
      <c r="C373" s="16" t="s">
        <v>272</v>
      </c>
      <c r="D373" s="16">
        <v>3</v>
      </c>
      <c r="E373" t="s">
        <v>1524</v>
      </c>
      <c r="F373" t="s">
        <v>1540</v>
      </c>
      <c r="G373" t="s">
        <v>1566</v>
      </c>
      <c r="H373" t="s">
        <v>1658</v>
      </c>
      <c r="I373" s="87">
        <f t="shared" si="35"/>
        <v>0.06</v>
      </c>
      <c r="J373" s="87">
        <f t="shared" si="36"/>
        <v>0.12</v>
      </c>
      <c r="K373" s="87">
        <f t="shared" si="37"/>
        <v>0.67500000000000004</v>
      </c>
      <c r="L373" s="87">
        <f t="shared" si="38"/>
        <v>2.375</v>
      </c>
      <c r="M373" s="87">
        <f t="shared" si="39"/>
        <v>0.27</v>
      </c>
      <c r="N373" s="87">
        <f t="shared" si="40"/>
        <v>2.5</v>
      </c>
      <c r="O373" s="87">
        <f t="shared" si="41"/>
        <v>6</v>
      </c>
    </row>
    <row r="374" spans="1:15" x14ac:dyDescent="0.3">
      <c r="A374" t="s">
        <v>9</v>
      </c>
      <c r="B374" t="s">
        <v>1075</v>
      </c>
      <c r="C374" s="16" t="s">
        <v>272</v>
      </c>
      <c r="D374" s="16">
        <v>3</v>
      </c>
      <c r="E374" t="s">
        <v>1524</v>
      </c>
      <c r="F374" t="s">
        <v>1658</v>
      </c>
      <c r="G374" t="s">
        <v>1566</v>
      </c>
      <c r="H374" t="s">
        <v>1658</v>
      </c>
      <c r="I374" s="87">
        <f t="shared" si="35"/>
        <v>0.06</v>
      </c>
      <c r="J374" s="87">
        <f t="shared" si="36"/>
        <v>0.12</v>
      </c>
      <c r="K374" s="87">
        <f t="shared" si="37"/>
        <v>0.67500000000000004</v>
      </c>
      <c r="L374" s="87">
        <f t="shared" si="38"/>
        <v>2.5</v>
      </c>
      <c r="M374" s="87">
        <f t="shared" si="39"/>
        <v>0.27</v>
      </c>
      <c r="N374" s="87">
        <f t="shared" si="40"/>
        <v>2.5</v>
      </c>
      <c r="O374" s="87">
        <f t="shared" si="41"/>
        <v>6.125</v>
      </c>
    </row>
    <row r="375" spans="1:15" x14ac:dyDescent="0.3">
      <c r="A375" t="s">
        <v>9</v>
      </c>
      <c r="B375" t="s">
        <v>1076</v>
      </c>
      <c r="C375" s="16" t="s">
        <v>272</v>
      </c>
      <c r="D375" s="16">
        <v>3</v>
      </c>
      <c r="E375" t="s">
        <v>1524</v>
      </c>
      <c r="F375" t="s">
        <v>1540</v>
      </c>
      <c r="G375" t="s">
        <v>1566</v>
      </c>
      <c r="H375" t="s">
        <v>344</v>
      </c>
      <c r="I375" s="87">
        <f t="shared" si="35"/>
        <v>0.06</v>
      </c>
      <c r="J375" s="87">
        <f t="shared" si="36"/>
        <v>0.12</v>
      </c>
      <c r="K375" s="87">
        <f t="shared" si="37"/>
        <v>0.67500000000000004</v>
      </c>
      <c r="L375" s="87">
        <f t="shared" si="38"/>
        <v>2.375</v>
      </c>
      <c r="M375" s="87">
        <f t="shared" si="39"/>
        <v>0.27</v>
      </c>
      <c r="N375" s="87">
        <f t="shared" si="40"/>
        <v>1.825</v>
      </c>
      <c r="O375" s="87">
        <f t="shared" si="41"/>
        <v>5.3250000000000002</v>
      </c>
    </row>
    <row r="376" spans="1:15" x14ac:dyDescent="0.3">
      <c r="A376" t="s">
        <v>9</v>
      </c>
      <c r="B376" t="s">
        <v>1077</v>
      </c>
      <c r="C376" s="16" t="s">
        <v>272</v>
      </c>
      <c r="D376" s="16">
        <v>3</v>
      </c>
      <c r="E376" t="s">
        <v>1524</v>
      </c>
      <c r="F376" t="s">
        <v>1540</v>
      </c>
      <c r="G376" t="s">
        <v>1566</v>
      </c>
      <c r="H376" t="s">
        <v>344</v>
      </c>
      <c r="I376" s="87">
        <f t="shared" si="35"/>
        <v>0.06</v>
      </c>
      <c r="J376" s="87">
        <f t="shared" si="36"/>
        <v>0.12</v>
      </c>
      <c r="K376" s="87">
        <f t="shared" si="37"/>
        <v>0.67500000000000004</v>
      </c>
      <c r="L376" s="87">
        <f t="shared" si="38"/>
        <v>2.375</v>
      </c>
      <c r="M376" s="87">
        <f t="shared" si="39"/>
        <v>0.27</v>
      </c>
      <c r="N376" s="87">
        <f t="shared" si="40"/>
        <v>1.825</v>
      </c>
      <c r="O376" s="87">
        <f t="shared" si="41"/>
        <v>5.3250000000000002</v>
      </c>
    </row>
    <row r="377" spans="1:15" x14ac:dyDescent="0.3">
      <c r="A377" t="s">
        <v>9</v>
      </c>
      <c r="B377" t="s">
        <v>1078</v>
      </c>
      <c r="C377" s="16" t="s">
        <v>272</v>
      </c>
      <c r="D377" s="16">
        <v>3</v>
      </c>
      <c r="E377" t="s">
        <v>1524</v>
      </c>
      <c r="F377" t="s">
        <v>282</v>
      </c>
      <c r="G377" t="s">
        <v>1567</v>
      </c>
      <c r="H377" t="s">
        <v>345</v>
      </c>
      <c r="I377" s="87">
        <f t="shared" si="35"/>
        <v>0.06</v>
      </c>
      <c r="J377" s="87">
        <f t="shared" si="36"/>
        <v>0.12</v>
      </c>
      <c r="K377" s="87">
        <f t="shared" si="37"/>
        <v>0.67500000000000004</v>
      </c>
      <c r="L377" s="87">
        <f t="shared" si="38"/>
        <v>1.925</v>
      </c>
      <c r="M377" s="87">
        <f t="shared" si="39"/>
        <v>0.32000000000000006</v>
      </c>
      <c r="N377" s="87">
        <f t="shared" si="40"/>
        <v>1.7749999999999999</v>
      </c>
      <c r="O377" s="87">
        <f t="shared" si="41"/>
        <v>4.875</v>
      </c>
    </row>
    <row r="378" spans="1:15" x14ac:dyDescent="0.3">
      <c r="A378" t="s">
        <v>9</v>
      </c>
      <c r="B378" t="s">
        <v>1079</v>
      </c>
      <c r="C378" s="16" t="s">
        <v>272</v>
      </c>
      <c r="D378" s="16">
        <v>3</v>
      </c>
      <c r="E378" t="s">
        <v>1524</v>
      </c>
      <c r="F378" t="s">
        <v>282</v>
      </c>
      <c r="G378" t="s">
        <v>1567</v>
      </c>
      <c r="H378" t="s">
        <v>345</v>
      </c>
      <c r="I378" s="87">
        <f t="shared" si="35"/>
        <v>0.06</v>
      </c>
      <c r="J378" s="87">
        <f t="shared" si="36"/>
        <v>0.12</v>
      </c>
      <c r="K378" s="87">
        <f t="shared" si="37"/>
        <v>0.67500000000000004</v>
      </c>
      <c r="L378" s="87">
        <f t="shared" si="38"/>
        <v>1.925</v>
      </c>
      <c r="M378" s="87">
        <f t="shared" si="39"/>
        <v>0.32000000000000006</v>
      </c>
      <c r="N378" s="87">
        <f t="shared" si="40"/>
        <v>1.7749999999999999</v>
      </c>
      <c r="O378" s="87">
        <f t="shared" si="41"/>
        <v>4.875</v>
      </c>
    </row>
    <row r="379" spans="1:15" x14ac:dyDescent="0.3">
      <c r="A379" t="s">
        <v>9</v>
      </c>
      <c r="B379" t="s">
        <v>1080</v>
      </c>
      <c r="C379" s="16" t="s">
        <v>272</v>
      </c>
      <c r="D379" s="16">
        <v>3</v>
      </c>
      <c r="E379" t="s">
        <v>1524</v>
      </c>
      <c r="F379" t="s">
        <v>282</v>
      </c>
      <c r="G379" t="s">
        <v>1567</v>
      </c>
      <c r="H379" t="s">
        <v>345</v>
      </c>
      <c r="I379" s="87">
        <f t="shared" si="35"/>
        <v>0.06</v>
      </c>
      <c r="J379" s="87">
        <f t="shared" si="36"/>
        <v>0.12</v>
      </c>
      <c r="K379" s="87">
        <f t="shared" si="37"/>
        <v>0.67500000000000004</v>
      </c>
      <c r="L379" s="87">
        <f t="shared" si="38"/>
        <v>1.925</v>
      </c>
      <c r="M379" s="87">
        <f t="shared" si="39"/>
        <v>0.32000000000000006</v>
      </c>
      <c r="N379" s="87">
        <f t="shared" si="40"/>
        <v>1.7749999999999999</v>
      </c>
      <c r="O379" s="87">
        <f t="shared" si="41"/>
        <v>4.875</v>
      </c>
    </row>
    <row r="380" spans="1:15" x14ac:dyDescent="0.3">
      <c r="A380" t="s">
        <v>9</v>
      </c>
      <c r="B380" t="s">
        <v>1081</v>
      </c>
      <c r="C380" s="16" t="s">
        <v>272</v>
      </c>
      <c r="D380" s="16">
        <v>2</v>
      </c>
      <c r="E380" t="s">
        <v>1524</v>
      </c>
      <c r="F380" t="s">
        <v>282</v>
      </c>
      <c r="G380" t="s">
        <v>341</v>
      </c>
      <c r="H380" t="s">
        <v>345</v>
      </c>
      <c r="I380" s="87">
        <f t="shared" si="35"/>
        <v>0.06</v>
      </c>
      <c r="J380" s="87">
        <f t="shared" si="36"/>
        <v>0.89000000000000012</v>
      </c>
      <c r="K380" s="87">
        <f t="shared" si="37"/>
        <v>0.67500000000000004</v>
      </c>
      <c r="L380" s="87">
        <f t="shared" si="38"/>
        <v>1.925</v>
      </c>
      <c r="M380" s="87">
        <f t="shared" si="39"/>
        <v>0.48</v>
      </c>
      <c r="N380" s="87">
        <f t="shared" si="40"/>
        <v>1.7749999999999999</v>
      </c>
      <c r="O380" s="87">
        <f t="shared" si="41"/>
        <v>5.8049999999999997</v>
      </c>
    </row>
    <row r="381" spans="1:15" x14ac:dyDescent="0.3">
      <c r="A381" t="s">
        <v>9</v>
      </c>
      <c r="B381" t="s">
        <v>1082</v>
      </c>
      <c r="C381" s="16" t="s">
        <v>272</v>
      </c>
      <c r="D381" s="16">
        <v>3</v>
      </c>
      <c r="E381" t="s">
        <v>1524</v>
      </c>
      <c r="F381" t="s">
        <v>282</v>
      </c>
      <c r="G381" t="s">
        <v>1566</v>
      </c>
      <c r="H381" t="s">
        <v>344</v>
      </c>
      <c r="I381" s="87">
        <f t="shared" si="35"/>
        <v>0.06</v>
      </c>
      <c r="J381" s="87">
        <f t="shared" si="36"/>
        <v>0.12</v>
      </c>
      <c r="K381" s="87">
        <f t="shared" si="37"/>
        <v>0.67500000000000004</v>
      </c>
      <c r="L381" s="87">
        <f t="shared" si="38"/>
        <v>1.925</v>
      </c>
      <c r="M381" s="87">
        <f t="shared" si="39"/>
        <v>0.27</v>
      </c>
      <c r="N381" s="87">
        <f t="shared" si="40"/>
        <v>1.825</v>
      </c>
      <c r="O381" s="87">
        <f t="shared" si="41"/>
        <v>4.875</v>
      </c>
    </row>
    <row r="382" spans="1:15" x14ac:dyDescent="0.3">
      <c r="A382" t="s">
        <v>9</v>
      </c>
      <c r="B382" t="s">
        <v>1083</v>
      </c>
      <c r="C382" s="16" t="s">
        <v>272</v>
      </c>
      <c r="D382" s="16">
        <v>2</v>
      </c>
      <c r="E382" t="s">
        <v>1524</v>
      </c>
      <c r="F382" t="s">
        <v>282</v>
      </c>
      <c r="G382" t="s">
        <v>341</v>
      </c>
      <c r="H382" t="s">
        <v>345</v>
      </c>
      <c r="I382" s="87">
        <f t="shared" si="35"/>
        <v>0.06</v>
      </c>
      <c r="J382" s="87">
        <f t="shared" si="36"/>
        <v>0.89000000000000012</v>
      </c>
      <c r="K382" s="87">
        <f t="shared" si="37"/>
        <v>0.67500000000000004</v>
      </c>
      <c r="L382" s="87">
        <f t="shared" si="38"/>
        <v>1.925</v>
      </c>
      <c r="M382" s="87">
        <f t="shared" si="39"/>
        <v>0.48</v>
      </c>
      <c r="N382" s="87">
        <f t="shared" si="40"/>
        <v>1.7749999999999999</v>
      </c>
      <c r="O382" s="87">
        <f t="shared" si="41"/>
        <v>5.8049999999999997</v>
      </c>
    </row>
    <row r="383" spans="1:15" x14ac:dyDescent="0.3">
      <c r="A383" t="s">
        <v>9</v>
      </c>
      <c r="B383" t="s">
        <v>1084</v>
      </c>
      <c r="C383" s="16" t="s">
        <v>272</v>
      </c>
      <c r="D383" s="16">
        <v>3</v>
      </c>
      <c r="E383" t="s">
        <v>1524</v>
      </c>
      <c r="F383" t="s">
        <v>282</v>
      </c>
      <c r="G383" t="s">
        <v>1567</v>
      </c>
      <c r="H383" t="s">
        <v>344</v>
      </c>
      <c r="I383" s="87">
        <f t="shared" si="35"/>
        <v>0.06</v>
      </c>
      <c r="J383" s="87">
        <f t="shared" si="36"/>
        <v>0.12</v>
      </c>
      <c r="K383" s="87">
        <f t="shared" si="37"/>
        <v>0.67500000000000004</v>
      </c>
      <c r="L383" s="87">
        <f t="shared" si="38"/>
        <v>1.925</v>
      </c>
      <c r="M383" s="87">
        <f t="shared" si="39"/>
        <v>0.32000000000000006</v>
      </c>
      <c r="N383" s="87">
        <f t="shared" si="40"/>
        <v>1.825</v>
      </c>
      <c r="O383" s="87">
        <f t="shared" si="41"/>
        <v>4.9250000000000007</v>
      </c>
    </row>
    <row r="384" spans="1:15" x14ac:dyDescent="0.3">
      <c r="A384" t="s">
        <v>9</v>
      </c>
      <c r="B384" t="s">
        <v>1085</v>
      </c>
      <c r="C384" s="16" t="s">
        <v>272</v>
      </c>
      <c r="D384" s="16">
        <v>2</v>
      </c>
      <c r="E384" t="s">
        <v>1524</v>
      </c>
      <c r="F384" t="s">
        <v>282</v>
      </c>
      <c r="G384" t="s">
        <v>341</v>
      </c>
      <c r="H384" t="s">
        <v>345</v>
      </c>
      <c r="I384" s="87">
        <f t="shared" si="35"/>
        <v>0.06</v>
      </c>
      <c r="J384" s="87">
        <f t="shared" si="36"/>
        <v>0.89000000000000012</v>
      </c>
      <c r="K384" s="87">
        <f t="shared" si="37"/>
        <v>0.67500000000000004</v>
      </c>
      <c r="L384" s="87">
        <f t="shared" si="38"/>
        <v>1.925</v>
      </c>
      <c r="M384" s="87">
        <f t="shared" si="39"/>
        <v>0.48</v>
      </c>
      <c r="N384" s="87">
        <f t="shared" si="40"/>
        <v>1.7749999999999999</v>
      </c>
      <c r="O384" s="87">
        <f t="shared" si="41"/>
        <v>5.8049999999999997</v>
      </c>
    </row>
    <row r="385" spans="1:15" x14ac:dyDescent="0.3">
      <c r="A385" t="s">
        <v>9</v>
      </c>
      <c r="B385" t="s">
        <v>1086</v>
      </c>
      <c r="C385" s="16" t="s">
        <v>272</v>
      </c>
      <c r="D385" s="16">
        <v>3</v>
      </c>
      <c r="E385" t="s">
        <v>1524</v>
      </c>
      <c r="F385" t="s">
        <v>282</v>
      </c>
      <c r="G385" t="s">
        <v>1566</v>
      </c>
      <c r="H385" t="s">
        <v>344</v>
      </c>
      <c r="I385" s="87">
        <f t="shared" si="35"/>
        <v>0.06</v>
      </c>
      <c r="J385" s="87">
        <f t="shared" si="36"/>
        <v>0.12</v>
      </c>
      <c r="K385" s="87">
        <f t="shared" si="37"/>
        <v>0.67500000000000004</v>
      </c>
      <c r="L385" s="87">
        <f t="shared" si="38"/>
        <v>1.925</v>
      </c>
      <c r="M385" s="87">
        <f t="shared" si="39"/>
        <v>0.27</v>
      </c>
      <c r="N385" s="87">
        <f t="shared" si="40"/>
        <v>1.825</v>
      </c>
      <c r="O385" s="87">
        <f t="shared" si="41"/>
        <v>4.875</v>
      </c>
    </row>
    <row r="386" spans="1:15" x14ac:dyDescent="0.3">
      <c r="A386" t="s">
        <v>9</v>
      </c>
      <c r="B386" t="s">
        <v>1087</v>
      </c>
      <c r="C386" s="16" t="s">
        <v>272</v>
      </c>
      <c r="D386" s="16">
        <v>3</v>
      </c>
      <c r="E386" t="s">
        <v>1524</v>
      </c>
      <c r="F386" t="s">
        <v>282</v>
      </c>
      <c r="G386" t="s">
        <v>1566</v>
      </c>
      <c r="H386" t="s">
        <v>1570</v>
      </c>
      <c r="I386" s="87">
        <f t="shared" si="35"/>
        <v>0.06</v>
      </c>
      <c r="J386" s="87">
        <f t="shared" si="36"/>
        <v>0.12</v>
      </c>
      <c r="K386" s="87">
        <f t="shared" si="37"/>
        <v>0.67500000000000004</v>
      </c>
      <c r="L386" s="87">
        <f t="shared" si="38"/>
        <v>1.925</v>
      </c>
      <c r="M386" s="87">
        <f t="shared" si="39"/>
        <v>0.27</v>
      </c>
      <c r="N386" s="87">
        <f t="shared" si="40"/>
        <v>2.35</v>
      </c>
      <c r="O386" s="87">
        <f t="shared" si="41"/>
        <v>5.4</v>
      </c>
    </row>
    <row r="387" spans="1:15" x14ac:dyDescent="0.3">
      <c r="A387" t="s">
        <v>9</v>
      </c>
      <c r="B387" t="s">
        <v>1088</v>
      </c>
      <c r="C387" s="16" t="s">
        <v>272</v>
      </c>
      <c r="D387" s="16">
        <v>3</v>
      </c>
      <c r="E387" t="s">
        <v>1524</v>
      </c>
      <c r="F387" t="s">
        <v>282</v>
      </c>
      <c r="G387" t="s">
        <v>1566</v>
      </c>
      <c r="H387" t="s">
        <v>1570</v>
      </c>
      <c r="I387" s="87">
        <f t="shared" si="35"/>
        <v>0.06</v>
      </c>
      <c r="J387" s="87">
        <f t="shared" si="36"/>
        <v>0.12</v>
      </c>
      <c r="K387" s="87">
        <f t="shared" si="37"/>
        <v>0.67500000000000004</v>
      </c>
      <c r="L387" s="87">
        <f t="shared" si="38"/>
        <v>1.925</v>
      </c>
      <c r="M387" s="87">
        <f t="shared" si="39"/>
        <v>0.27</v>
      </c>
      <c r="N387" s="87">
        <f t="shared" si="40"/>
        <v>2.35</v>
      </c>
      <c r="O387" s="87">
        <f t="shared" si="41"/>
        <v>5.4</v>
      </c>
    </row>
    <row r="388" spans="1:15" x14ac:dyDescent="0.3">
      <c r="A388" t="s">
        <v>43</v>
      </c>
      <c r="B388" t="s">
        <v>1089</v>
      </c>
      <c r="C388" s="16" t="s">
        <v>272</v>
      </c>
      <c r="D388" s="16">
        <v>3</v>
      </c>
      <c r="E388" t="s">
        <v>1524</v>
      </c>
      <c r="F388" t="s">
        <v>1555</v>
      </c>
      <c r="G388" t="s">
        <v>1566</v>
      </c>
      <c r="H388" t="s">
        <v>1570</v>
      </c>
      <c r="I388" s="87">
        <f t="shared" ref="I388:I451" si="42">VLOOKUP(C388,$R$3:$T$4,3,0)*T$1</f>
        <v>0.06</v>
      </c>
      <c r="J388" s="87">
        <f t="shared" ref="J388:J451" si="43">VLOOKUP(D388,$U$3:$W$5,3,0)*W$1</f>
        <v>0.12</v>
      </c>
      <c r="K388" s="87">
        <f t="shared" ref="K388:K451" si="44">VLOOKUP(E388,$X$3:$Z$9,3,0)*Z$1</f>
        <v>0.67500000000000004</v>
      </c>
      <c r="L388" s="87">
        <f t="shared" ref="L388:L451" si="45">VLOOKUP(F388,$AA$3:$AC$32,3,0)*AC$1</f>
        <v>2.4750000000000001</v>
      </c>
      <c r="M388" s="87">
        <f t="shared" ref="M388:M451" si="46">VLOOKUP(G388,$AD$3:$AF$9,3,0)*AF$1</f>
        <v>0.27</v>
      </c>
      <c r="N388" s="87">
        <f t="shared" ref="N388:N451" si="47">VLOOKUP(H388,$AG$3:$AI$15,3,0)*AI$1</f>
        <v>2.35</v>
      </c>
      <c r="O388" s="87">
        <f t="shared" ref="O388:O451" si="48">SUM(I388:N388)</f>
        <v>5.95</v>
      </c>
    </row>
    <row r="389" spans="1:15" x14ac:dyDescent="0.3">
      <c r="A389" t="s">
        <v>43</v>
      </c>
      <c r="B389" t="s">
        <v>1090</v>
      </c>
      <c r="C389" s="16" t="s">
        <v>272</v>
      </c>
      <c r="D389" s="16">
        <v>3</v>
      </c>
      <c r="E389" t="s">
        <v>1524</v>
      </c>
      <c r="F389" t="s">
        <v>1555</v>
      </c>
      <c r="G389" t="s">
        <v>1566</v>
      </c>
      <c r="H389" t="s">
        <v>1570</v>
      </c>
      <c r="I389" s="87">
        <f t="shared" si="42"/>
        <v>0.06</v>
      </c>
      <c r="J389" s="87">
        <f t="shared" si="43"/>
        <v>0.12</v>
      </c>
      <c r="K389" s="87">
        <f t="shared" si="44"/>
        <v>0.67500000000000004</v>
      </c>
      <c r="L389" s="87">
        <f t="shared" si="45"/>
        <v>2.4750000000000001</v>
      </c>
      <c r="M389" s="87">
        <f t="shared" si="46"/>
        <v>0.27</v>
      </c>
      <c r="N389" s="87">
        <f t="shared" si="47"/>
        <v>2.35</v>
      </c>
      <c r="O389" s="87">
        <f t="shared" si="48"/>
        <v>5.95</v>
      </c>
    </row>
    <row r="390" spans="1:15" x14ac:dyDescent="0.3">
      <c r="A390" t="s">
        <v>43</v>
      </c>
      <c r="B390" t="s">
        <v>1091</v>
      </c>
      <c r="C390" s="16" t="s">
        <v>272</v>
      </c>
      <c r="D390" s="16">
        <v>3</v>
      </c>
      <c r="E390" t="s">
        <v>1524</v>
      </c>
      <c r="F390" t="s">
        <v>1555</v>
      </c>
      <c r="G390" t="s">
        <v>1656</v>
      </c>
      <c r="H390" t="s">
        <v>291</v>
      </c>
      <c r="I390" s="87">
        <f t="shared" si="42"/>
        <v>0.06</v>
      </c>
      <c r="J390" s="87">
        <f t="shared" si="43"/>
        <v>0.12</v>
      </c>
      <c r="K390" s="87">
        <f t="shared" si="44"/>
        <v>0.67500000000000004</v>
      </c>
      <c r="L390" s="87">
        <f t="shared" si="45"/>
        <v>2.4750000000000001</v>
      </c>
      <c r="M390" s="87">
        <f t="shared" si="46"/>
        <v>0.5</v>
      </c>
      <c r="N390" s="87">
        <f t="shared" si="47"/>
        <v>2.125</v>
      </c>
      <c r="O390" s="87">
        <f t="shared" si="48"/>
        <v>5.9550000000000001</v>
      </c>
    </row>
    <row r="391" spans="1:15" x14ac:dyDescent="0.3">
      <c r="A391" t="s">
        <v>43</v>
      </c>
      <c r="B391" t="s">
        <v>1092</v>
      </c>
      <c r="C391" s="16" t="s">
        <v>272</v>
      </c>
      <c r="D391" s="16">
        <v>3</v>
      </c>
      <c r="E391" t="s">
        <v>1524</v>
      </c>
      <c r="F391" t="s">
        <v>282</v>
      </c>
      <c r="G391" t="s">
        <v>1567</v>
      </c>
      <c r="H391" t="s">
        <v>345</v>
      </c>
      <c r="I391" s="87">
        <f t="shared" si="42"/>
        <v>0.06</v>
      </c>
      <c r="J391" s="87">
        <f t="shared" si="43"/>
        <v>0.12</v>
      </c>
      <c r="K391" s="87">
        <f t="shared" si="44"/>
        <v>0.67500000000000004</v>
      </c>
      <c r="L391" s="87">
        <f t="shared" si="45"/>
        <v>1.925</v>
      </c>
      <c r="M391" s="87">
        <f t="shared" si="46"/>
        <v>0.32000000000000006</v>
      </c>
      <c r="N391" s="87">
        <f t="shared" si="47"/>
        <v>1.7749999999999999</v>
      </c>
      <c r="O391" s="87">
        <f t="shared" si="48"/>
        <v>4.875</v>
      </c>
    </row>
    <row r="392" spans="1:15" x14ac:dyDescent="0.3">
      <c r="A392" t="s">
        <v>43</v>
      </c>
      <c r="B392" t="s">
        <v>1093</v>
      </c>
      <c r="C392" s="16" t="s">
        <v>272</v>
      </c>
      <c r="D392" s="16">
        <v>3</v>
      </c>
      <c r="E392" t="s">
        <v>1524</v>
      </c>
      <c r="F392" t="s">
        <v>282</v>
      </c>
      <c r="G392" t="s">
        <v>1656</v>
      </c>
      <c r="H392" t="s">
        <v>348</v>
      </c>
      <c r="I392" s="87">
        <f t="shared" si="42"/>
        <v>0.06</v>
      </c>
      <c r="J392" s="87">
        <f t="shared" si="43"/>
        <v>0.12</v>
      </c>
      <c r="K392" s="87">
        <f t="shared" si="44"/>
        <v>0.67500000000000004</v>
      </c>
      <c r="L392" s="87">
        <f t="shared" si="45"/>
        <v>1.925</v>
      </c>
      <c r="M392" s="87">
        <f t="shared" si="46"/>
        <v>0.5</v>
      </c>
      <c r="N392" s="87">
        <f t="shared" si="47"/>
        <v>2.4750000000000001</v>
      </c>
      <c r="O392" s="87">
        <f t="shared" si="48"/>
        <v>5.7550000000000008</v>
      </c>
    </row>
    <row r="393" spans="1:15" x14ac:dyDescent="0.3">
      <c r="A393" t="s">
        <v>43</v>
      </c>
      <c r="B393" t="s">
        <v>1094</v>
      </c>
      <c r="C393" s="16" t="s">
        <v>272</v>
      </c>
      <c r="D393" s="16">
        <v>3</v>
      </c>
      <c r="E393" t="s">
        <v>1524</v>
      </c>
      <c r="F393" t="s">
        <v>1555</v>
      </c>
      <c r="G393" t="s">
        <v>1567</v>
      </c>
      <c r="H393" t="s">
        <v>344</v>
      </c>
      <c r="I393" s="87">
        <f t="shared" si="42"/>
        <v>0.06</v>
      </c>
      <c r="J393" s="87">
        <f t="shared" si="43"/>
        <v>0.12</v>
      </c>
      <c r="K393" s="87">
        <f t="shared" si="44"/>
        <v>0.67500000000000004</v>
      </c>
      <c r="L393" s="87">
        <f t="shared" si="45"/>
        <v>2.4750000000000001</v>
      </c>
      <c r="M393" s="87">
        <f t="shared" si="46"/>
        <v>0.32000000000000006</v>
      </c>
      <c r="N393" s="87">
        <f t="shared" si="47"/>
        <v>1.825</v>
      </c>
      <c r="O393" s="87">
        <f t="shared" si="48"/>
        <v>5.4750000000000005</v>
      </c>
    </row>
    <row r="394" spans="1:15" x14ac:dyDescent="0.3">
      <c r="A394" t="s">
        <v>43</v>
      </c>
      <c r="B394" t="s">
        <v>1095</v>
      </c>
      <c r="C394" s="16" t="s">
        <v>272</v>
      </c>
      <c r="D394" s="16">
        <v>3</v>
      </c>
      <c r="E394" t="s">
        <v>1524</v>
      </c>
      <c r="F394" t="s">
        <v>282</v>
      </c>
      <c r="G394" t="s">
        <v>1567</v>
      </c>
      <c r="H394" t="s">
        <v>345</v>
      </c>
      <c r="I394" s="87">
        <f t="shared" si="42"/>
        <v>0.06</v>
      </c>
      <c r="J394" s="87">
        <f t="shared" si="43"/>
        <v>0.12</v>
      </c>
      <c r="K394" s="87">
        <f t="shared" si="44"/>
        <v>0.67500000000000004</v>
      </c>
      <c r="L394" s="87">
        <f t="shared" si="45"/>
        <v>1.925</v>
      </c>
      <c r="M394" s="87">
        <f t="shared" si="46"/>
        <v>0.32000000000000006</v>
      </c>
      <c r="N394" s="87">
        <f t="shared" si="47"/>
        <v>1.7749999999999999</v>
      </c>
      <c r="O394" s="87">
        <f t="shared" si="48"/>
        <v>4.875</v>
      </c>
    </row>
    <row r="395" spans="1:15" x14ac:dyDescent="0.3">
      <c r="A395" t="s">
        <v>43</v>
      </c>
      <c r="B395" t="s">
        <v>1096</v>
      </c>
      <c r="C395" s="16" t="s">
        <v>272</v>
      </c>
      <c r="D395" s="16">
        <v>3</v>
      </c>
      <c r="E395" t="s">
        <v>1524</v>
      </c>
      <c r="F395" t="s">
        <v>282</v>
      </c>
      <c r="G395" t="s">
        <v>1566</v>
      </c>
      <c r="H395" t="s">
        <v>1574</v>
      </c>
      <c r="I395" s="87">
        <f t="shared" si="42"/>
        <v>0.06</v>
      </c>
      <c r="J395" s="87">
        <f t="shared" si="43"/>
        <v>0.12</v>
      </c>
      <c r="K395" s="87">
        <f t="shared" si="44"/>
        <v>0.67500000000000004</v>
      </c>
      <c r="L395" s="87">
        <f t="shared" si="45"/>
        <v>1.925</v>
      </c>
      <c r="M395" s="87">
        <f t="shared" si="46"/>
        <v>0.27</v>
      </c>
      <c r="N395" s="87">
        <f t="shared" si="47"/>
        <v>2.375</v>
      </c>
      <c r="O395" s="87">
        <f t="shared" si="48"/>
        <v>5.4250000000000007</v>
      </c>
    </row>
    <row r="396" spans="1:15" x14ac:dyDescent="0.3">
      <c r="A396" t="s">
        <v>43</v>
      </c>
      <c r="B396" t="s">
        <v>1097</v>
      </c>
      <c r="C396" s="16" t="s">
        <v>272</v>
      </c>
      <c r="D396" s="16">
        <v>3</v>
      </c>
      <c r="E396" t="s">
        <v>1524</v>
      </c>
      <c r="F396" t="s">
        <v>282</v>
      </c>
      <c r="G396" t="s">
        <v>1566</v>
      </c>
      <c r="H396" t="s">
        <v>344</v>
      </c>
      <c r="I396" s="87">
        <f t="shared" si="42"/>
        <v>0.06</v>
      </c>
      <c r="J396" s="87">
        <f t="shared" si="43"/>
        <v>0.12</v>
      </c>
      <c r="K396" s="87">
        <f t="shared" si="44"/>
        <v>0.67500000000000004</v>
      </c>
      <c r="L396" s="87">
        <f t="shared" si="45"/>
        <v>1.925</v>
      </c>
      <c r="M396" s="87">
        <f t="shared" si="46"/>
        <v>0.27</v>
      </c>
      <c r="N396" s="87">
        <f t="shared" si="47"/>
        <v>1.825</v>
      </c>
      <c r="O396" s="87">
        <f t="shared" si="48"/>
        <v>4.875</v>
      </c>
    </row>
    <row r="397" spans="1:15" x14ac:dyDescent="0.3">
      <c r="A397" t="s">
        <v>43</v>
      </c>
      <c r="B397" t="s">
        <v>1098</v>
      </c>
      <c r="C397" s="16" t="s">
        <v>272</v>
      </c>
      <c r="D397" s="16">
        <v>3</v>
      </c>
      <c r="E397" t="s">
        <v>1524</v>
      </c>
      <c r="F397" t="s">
        <v>1551</v>
      </c>
      <c r="G397" t="s">
        <v>1567</v>
      </c>
      <c r="H397" t="s">
        <v>344</v>
      </c>
      <c r="I397" s="87">
        <f t="shared" si="42"/>
        <v>0.06</v>
      </c>
      <c r="J397" s="87">
        <f t="shared" si="43"/>
        <v>0.12</v>
      </c>
      <c r="K397" s="87">
        <f t="shared" si="44"/>
        <v>0.67500000000000004</v>
      </c>
      <c r="L397" s="87">
        <f t="shared" si="45"/>
        <v>2.4500000000000002</v>
      </c>
      <c r="M397" s="87">
        <f t="shared" si="46"/>
        <v>0.32000000000000006</v>
      </c>
      <c r="N397" s="87">
        <f t="shared" si="47"/>
        <v>1.825</v>
      </c>
      <c r="O397" s="87">
        <f t="shared" si="48"/>
        <v>5.45</v>
      </c>
    </row>
    <row r="398" spans="1:15" x14ac:dyDescent="0.3">
      <c r="A398" t="s">
        <v>43</v>
      </c>
      <c r="B398" t="s">
        <v>1099</v>
      </c>
      <c r="C398" s="16" t="s">
        <v>272</v>
      </c>
      <c r="D398" s="16">
        <v>2</v>
      </c>
      <c r="E398" t="s">
        <v>1524</v>
      </c>
      <c r="F398" t="s">
        <v>282</v>
      </c>
      <c r="G398" t="s">
        <v>341</v>
      </c>
      <c r="H398" t="s">
        <v>345</v>
      </c>
      <c r="I398" s="87">
        <f t="shared" si="42"/>
        <v>0.06</v>
      </c>
      <c r="J398" s="87">
        <f t="shared" si="43"/>
        <v>0.89000000000000012</v>
      </c>
      <c r="K398" s="87">
        <f t="shared" si="44"/>
        <v>0.67500000000000004</v>
      </c>
      <c r="L398" s="87">
        <f t="shared" si="45"/>
        <v>1.925</v>
      </c>
      <c r="M398" s="87">
        <f t="shared" si="46"/>
        <v>0.48</v>
      </c>
      <c r="N398" s="87">
        <f t="shared" si="47"/>
        <v>1.7749999999999999</v>
      </c>
      <c r="O398" s="87">
        <f t="shared" si="48"/>
        <v>5.8049999999999997</v>
      </c>
    </row>
    <row r="399" spans="1:15" x14ac:dyDescent="0.3">
      <c r="A399" t="s">
        <v>43</v>
      </c>
      <c r="B399" t="s">
        <v>1100</v>
      </c>
      <c r="C399" s="16" t="s">
        <v>272</v>
      </c>
      <c r="D399" s="16">
        <v>3</v>
      </c>
      <c r="E399" t="s">
        <v>1524</v>
      </c>
      <c r="F399" t="s">
        <v>282</v>
      </c>
      <c r="G399" t="s">
        <v>1567</v>
      </c>
      <c r="H399" t="s">
        <v>345</v>
      </c>
      <c r="I399" s="87">
        <f t="shared" si="42"/>
        <v>0.06</v>
      </c>
      <c r="J399" s="87">
        <f t="shared" si="43"/>
        <v>0.12</v>
      </c>
      <c r="K399" s="87">
        <f t="shared" si="44"/>
        <v>0.67500000000000004</v>
      </c>
      <c r="L399" s="87">
        <f t="shared" si="45"/>
        <v>1.925</v>
      </c>
      <c r="M399" s="87">
        <f t="shared" si="46"/>
        <v>0.32000000000000006</v>
      </c>
      <c r="N399" s="87">
        <f t="shared" si="47"/>
        <v>1.7749999999999999</v>
      </c>
      <c r="O399" s="87">
        <f t="shared" si="48"/>
        <v>4.875</v>
      </c>
    </row>
    <row r="400" spans="1:15" x14ac:dyDescent="0.3">
      <c r="A400" t="s">
        <v>45</v>
      </c>
      <c r="B400" t="s">
        <v>1101</v>
      </c>
      <c r="C400" s="16" t="s">
        <v>272</v>
      </c>
      <c r="D400" s="16">
        <v>2</v>
      </c>
      <c r="E400" t="s">
        <v>1524</v>
      </c>
      <c r="F400" t="s">
        <v>1547</v>
      </c>
      <c r="G400" t="s">
        <v>342</v>
      </c>
      <c r="H400" t="s">
        <v>344</v>
      </c>
      <c r="I400" s="87">
        <f t="shared" si="42"/>
        <v>0.06</v>
      </c>
      <c r="J400" s="87">
        <f t="shared" si="43"/>
        <v>0.89000000000000012</v>
      </c>
      <c r="K400" s="87">
        <f t="shared" si="44"/>
        <v>0.67500000000000004</v>
      </c>
      <c r="L400" s="87">
        <f t="shared" si="45"/>
        <v>2.35</v>
      </c>
      <c r="M400" s="87">
        <f t="shared" si="46"/>
        <v>0.49000000000000005</v>
      </c>
      <c r="N400" s="87">
        <f t="shared" si="47"/>
        <v>1.825</v>
      </c>
      <c r="O400" s="87">
        <f t="shared" si="48"/>
        <v>6.2900000000000009</v>
      </c>
    </row>
    <row r="401" spans="1:15" x14ac:dyDescent="0.3">
      <c r="A401" t="s">
        <v>45</v>
      </c>
      <c r="B401" t="s">
        <v>1102</v>
      </c>
      <c r="C401" s="16" t="s">
        <v>272</v>
      </c>
      <c r="D401" s="16">
        <v>3</v>
      </c>
      <c r="E401" t="s">
        <v>1524</v>
      </c>
      <c r="F401" t="s">
        <v>1555</v>
      </c>
      <c r="G401" t="s">
        <v>1568</v>
      </c>
      <c r="H401" t="s">
        <v>344</v>
      </c>
      <c r="I401" s="87">
        <f t="shared" si="42"/>
        <v>0.06</v>
      </c>
      <c r="J401" s="87">
        <f t="shared" si="43"/>
        <v>0.12</v>
      </c>
      <c r="K401" s="87">
        <f t="shared" si="44"/>
        <v>0.67500000000000004</v>
      </c>
      <c r="L401" s="87">
        <f t="shared" si="45"/>
        <v>2.4750000000000001</v>
      </c>
      <c r="M401" s="87">
        <f t="shared" si="46"/>
        <v>0.44500000000000006</v>
      </c>
      <c r="N401" s="87">
        <f t="shared" si="47"/>
        <v>1.825</v>
      </c>
      <c r="O401" s="87">
        <f t="shared" si="48"/>
        <v>5.6000000000000005</v>
      </c>
    </row>
    <row r="402" spans="1:15" x14ac:dyDescent="0.3">
      <c r="A402" t="s">
        <v>45</v>
      </c>
      <c r="B402" t="s">
        <v>1103</v>
      </c>
      <c r="C402" s="16" t="s">
        <v>272</v>
      </c>
      <c r="D402" s="16">
        <v>2</v>
      </c>
      <c r="E402" t="s">
        <v>1524</v>
      </c>
      <c r="F402" t="s">
        <v>1555</v>
      </c>
      <c r="G402" t="s">
        <v>342</v>
      </c>
      <c r="H402" t="s">
        <v>344</v>
      </c>
      <c r="I402" s="87">
        <f t="shared" si="42"/>
        <v>0.06</v>
      </c>
      <c r="J402" s="87">
        <f t="shared" si="43"/>
        <v>0.89000000000000012</v>
      </c>
      <c r="K402" s="87">
        <f t="shared" si="44"/>
        <v>0.67500000000000004</v>
      </c>
      <c r="L402" s="87">
        <f t="shared" si="45"/>
        <v>2.4750000000000001</v>
      </c>
      <c r="M402" s="87">
        <f t="shared" si="46"/>
        <v>0.49000000000000005</v>
      </c>
      <c r="N402" s="87">
        <f t="shared" si="47"/>
        <v>1.825</v>
      </c>
      <c r="O402" s="87">
        <f t="shared" si="48"/>
        <v>6.4150000000000009</v>
      </c>
    </row>
    <row r="403" spans="1:15" x14ac:dyDescent="0.3">
      <c r="A403" t="s">
        <v>45</v>
      </c>
      <c r="B403" t="s">
        <v>1104</v>
      </c>
      <c r="C403" s="16" t="s">
        <v>272</v>
      </c>
      <c r="D403" s="16">
        <v>2</v>
      </c>
      <c r="E403" t="s">
        <v>1524</v>
      </c>
      <c r="F403" t="s">
        <v>282</v>
      </c>
      <c r="G403" t="s">
        <v>342</v>
      </c>
      <c r="H403" t="s">
        <v>347</v>
      </c>
      <c r="I403" s="87">
        <f t="shared" si="42"/>
        <v>0.06</v>
      </c>
      <c r="J403" s="87">
        <f t="shared" si="43"/>
        <v>0.89000000000000012</v>
      </c>
      <c r="K403" s="87">
        <f t="shared" si="44"/>
        <v>0.67500000000000004</v>
      </c>
      <c r="L403" s="87">
        <f t="shared" si="45"/>
        <v>1.925</v>
      </c>
      <c r="M403" s="87">
        <f t="shared" si="46"/>
        <v>0.49000000000000005</v>
      </c>
      <c r="N403" s="87">
        <f t="shared" si="47"/>
        <v>2.4249999999999998</v>
      </c>
      <c r="O403" s="87">
        <f t="shared" si="48"/>
        <v>6.4649999999999999</v>
      </c>
    </row>
    <row r="404" spans="1:15" x14ac:dyDescent="0.3">
      <c r="A404" t="s">
        <v>45</v>
      </c>
      <c r="B404" t="s">
        <v>1105</v>
      </c>
      <c r="C404" s="16" t="s">
        <v>272</v>
      </c>
      <c r="D404" s="16">
        <v>2</v>
      </c>
      <c r="E404" t="s">
        <v>1524</v>
      </c>
      <c r="F404" t="s">
        <v>1555</v>
      </c>
      <c r="G404" t="s">
        <v>342</v>
      </c>
      <c r="H404" t="s">
        <v>344</v>
      </c>
      <c r="I404" s="87">
        <f t="shared" si="42"/>
        <v>0.06</v>
      </c>
      <c r="J404" s="87">
        <f t="shared" si="43"/>
        <v>0.89000000000000012</v>
      </c>
      <c r="K404" s="87">
        <f t="shared" si="44"/>
        <v>0.67500000000000004</v>
      </c>
      <c r="L404" s="87">
        <f t="shared" si="45"/>
        <v>2.4750000000000001</v>
      </c>
      <c r="M404" s="87">
        <f t="shared" si="46"/>
        <v>0.49000000000000005</v>
      </c>
      <c r="N404" s="87">
        <f t="shared" si="47"/>
        <v>1.825</v>
      </c>
      <c r="O404" s="87">
        <f t="shared" si="48"/>
        <v>6.4150000000000009</v>
      </c>
    </row>
    <row r="405" spans="1:15" x14ac:dyDescent="0.3">
      <c r="A405" t="s">
        <v>45</v>
      </c>
      <c r="B405" t="s">
        <v>1106</v>
      </c>
      <c r="C405" s="16" t="s">
        <v>272</v>
      </c>
      <c r="D405" s="16">
        <v>2</v>
      </c>
      <c r="E405" t="s">
        <v>1524</v>
      </c>
      <c r="F405" t="s">
        <v>282</v>
      </c>
      <c r="G405" t="s">
        <v>342</v>
      </c>
      <c r="H405" t="s">
        <v>347</v>
      </c>
      <c r="I405" s="87">
        <f t="shared" si="42"/>
        <v>0.06</v>
      </c>
      <c r="J405" s="87">
        <f t="shared" si="43"/>
        <v>0.89000000000000012</v>
      </c>
      <c r="K405" s="87">
        <f t="shared" si="44"/>
        <v>0.67500000000000004</v>
      </c>
      <c r="L405" s="87">
        <f t="shared" si="45"/>
        <v>1.925</v>
      </c>
      <c r="M405" s="87">
        <f t="shared" si="46"/>
        <v>0.49000000000000005</v>
      </c>
      <c r="N405" s="87">
        <f t="shared" si="47"/>
        <v>2.4249999999999998</v>
      </c>
      <c r="O405" s="87">
        <f t="shared" si="48"/>
        <v>6.4649999999999999</v>
      </c>
    </row>
    <row r="406" spans="1:15" x14ac:dyDescent="0.3">
      <c r="A406" t="s">
        <v>45</v>
      </c>
      <c r="B406" t="s">
        <v>1107</v>
      </c>
      <c r="C406" s="16" t="s">
        <v>272</v>
      </c>
      <c r="D406" s="16">
        <v>2</v>
      </c>
      <c r="E406" t="s">
        <v>1524</v>
      </c>
      <c r="F406" t="s">
        <v>1555</v>
      </c>
      <c r="G406" t="s">
        <v>342</v>
      </c>
      <c r="H406" t="s">
        <v>344</v>
      </c>
      <c r="I406" s="87">
        <f t="shared" si="42"/>
        <v>0.06</v>
      </c>
      <c r="J406" s="87">
        <f t="shared" si="43"/>
        <v>0.89000000000000012</v>
      </c>
      <c r="K406" s="87">
        <f t="shared" si="44"/>
        <v>0.67500000000000004</v>
      </c>
      <c r="L406" s="87">
        <f t="shared" si="45"/>
        <v>2.4750000000000001</v>
      </c>
      <c r="M406" s="87">
        <f t="shared" si="46"/>
        <v>0.49000000000000005</v>
      </c>
      <c r="N406" s="87">
        <f t="shared" si="47"/>
        <v>1.825</v>
      </c>
      <c r="O406" s="87">
        <f t="shared" si="48"/>
        <v>6.4150000000000009</v>
      </c>
    </row>
    <row r="407" spans="1:15" x14ac:dyDescent="0.3">
      <c r="A407" t="s">
        <v>45</v>
      </c>
      <c r="B407" t="s">
        <v>1108</v>
      </c>
      <c r="C407" s="16" t="s">
        <v>272</v>
      </c>
      <c r="D407" s="16">
        <v>2</v>
      </c>
      <c r="E407" t="s">
        <v>1524</v>
      </c>
      <c r="F407" t="s">
        <v>1555</v>
      </c>
      <c r="G407" t="s">
        <v>342</v>
      </c>
      <c r="H407" t="s">
        <v>344</v>
      </c>
      <c r="I407" s="87">
        <f t="shared" si="42"/>
        <v>0.06</v>
      </c>
      <c r="J407" s="87">
        <f t="shared" si="43"/>
        <v>0.89000000000000012</v>
      </c>
      <c r="K407" s="87">
        <f t="shared" si="44"/>
        <v>0.67500000000000004</v>
      </c>
      <c r="L407" s="87">
        <f t="shared" si="45"/>
        <v>2.4750000000000001</v>
      </c>
      <c r="M407" s="87">
        <f t="shared" si="46"/>
        <v>0.49000000000000005</v>
      </c>
      <c r="N407" s="87">
        <f t="shared" si="47"/>
        <v>1.825</v>
      </c>
      <c r="O407" s="87">
        <f t="shared" si="48"/>
        <v>6.4150000000000009</v>
      </c>
    </row>
    <row r="408" spans="1:15" x14ac:dyDescent="0.3">
      <c r="A408" t="s">
        <v>45</v>
      </c>
      <c r="B408" t="s">
        <v>1109</v>
      </c>
      <c r="C408" s="16" t="s">
        <v>272</v>
      </c>
      <c r="D408" s="16">
        <v>3</v>
      </c>
      <c r="E408" t="s">
        <v>1524</v>
      </c>
      <c r="F408" t="s">
        <v>1540</v>
      </c>
      <c r="G408" t="s">
        <v>1568</v>
      </c>
      <c r="H408" t="s">
        <v>347</v>
      </c>
      <c r="I408" s="87">
        <f t="shared" si="42"/>
        <v>0.06</v>
      </c>
      <c r="J408" s="87">
        <f t="shared" si="43"/>
        <v>0.12</v>
      </c>
      <c r="K408" s="87">
        <f t="shared" si="44"/>
        <v>0.67500000000000004</v>
      </c>
      <c r="L408" s="87">
        <f t="shared" si="45"/>
        <v>2.375</v>
      </c>
      <c r="M408" s="87">
        <f t="shared" si="46"/>
        <v>0.44500000000000006</v>
      </c>
      <c r="N408" s="87">
        <f t="shared" si="47"/>
        <v>2.4249999999999998</v>
      </c>
      <c r="O408" s="87">
        <f t="shared" si="48"/>
        <v>6.1</v>
      </c>
    </row>
    <row r="409" spans="1:15" x14ac:dyDescent="0.3">
      <c r="A409" t="s">
        <v>45</v>
      </c>
      <c r="B409" t="s">
        <v>1110</v>
      </c>
      <c r="C409" s="16" t="s">
        <v>272</v>
      </c>
      <c r="D409" s="16">
        <v>2</v>
      </c>
      <c r="E409" t="s">
        <v>1524</v>
      </c>
      <c r="F409" t="s">
        <v>282</v>
      </c>
      <c r="G409" t="s">
        <v>342</v>
      </c>
      <c r="H409" t="s">
        <v>347</v>
      </c>
      <c r="I409" s="87">
        <f t="shared" si="42"/>
        <v>0.06</v>
      </c>
      <c r="J409" s="87">
        <f t="shared" si="43"/>
        <v>0.89000000000000012</v>
      </c>
      <c r="K409" s="87">
        <f t="shared" si="44"/>
        <v>0.67500000000000004</v>
      </c>
      <c r="L409" s="87">
        <f t="shared" si="45"/>
        <v>1.925</v>
      </c>
      <c r="M409" s="87">
        <f t="shared" si="46"/>
        <v>0.49000000000000005</v>
      </c>
      <c r="N409" s="87">
        <f t="shared" si="47"/>
        <v>2.4249999999999998</v>
      </c>
      <c r="O409" s="87">
        <f t="shared" si="48"/>
        <v>6.4649999999999999</v>
      </c>
    </row>
    <row r="410" spans="1:15" x14ac:dyDescent="0.3">
      <c r="A410" t="s">
        <v>45</v>
      </c>
      <c r="B410" t="s">
        <v>1111</v>
      </c>
      <c r="C410" s="16" t="s">
        <v>272</v>
      </c>
      <c r="D410" s="16">
        <v>2</v>
      </c>
      <c r="E410" t="s">
        <v>1524</v>
      </c>
      <c r="F410" t="s">
        <v>1555</v>
      </c>
      <c r="G410" t="s">
        <v>342</v>
      </c>
      <c r="H410" t="s">
        <v>344</v>
      </c>
      <c r="I410" s="87">
        <f t="shared" si="42"/>
        <v>0.06</v>
      </c>
      <c r="J410" s="87">
        <f t="shared" si="43"/>
        <v>0.89000000000000012</v>
      </c>
      <c r="K410" s="87">
        <f t="shared" si="44"/>
        <v>0.67500000000000004</v>
      </c>
      <c r="L410" s="87">
        <f t="shared" si="45"/>
        <v>2.4750000000000001</v>
      </c>
      <c r="M410" s="87">
        <f t="shared" si="46"/>
        <v>0.49000000000000005</v>
      </c>
      <c r="N410" s="87">
        <f t="shared" si="47"/>
        <v>1.825</v>
      </c>
      <c r="O410" s="87">
        <f t="shared" si="48"/>
        <v>6.4150000000000009</v>
      </c>
    </row>
    <row r="411" spans="1:15" x14ac:dyDescent="0.3">
      <c r="A411" t="s">
        <v>45</v>
      </c>
      <c r="B411" t="s">
        <v>1112</v>
      </c>
      <c r="C411" s="16" t="s">
        <v>272</v>
      </c>
      <c r="D411" s="16">
        <v>2</v>
      </c>
      <c r="E411" t="s">
        <v>1524</v>
      </c>
      <c r="F411" t="s">
        <v>282</v>
      </c>
      <c r="G411" t="s">
        <v>342</v>
      </c>
      <c r="H411" t="s">
        <v>344</v>
      </c>
      <c r="I411" s="87">
        <f t="shared" si="42"/>
        <v>0.06</v>
      </c>
      <c r="J411" s="87">
        <f t="shared" si="43"/>
        <v>0.89000000000000012</v>
      </c>
      <c r="K411" s="87">
        <f t="shared" si="44"/>
        <v>0.67500000000000004</v>
      </c>
      <c r="L411" s="87">
        <f t="shared" si="45"/>
        <v>1.925</v>
      </c>
      <c r="M411" s="87">
        <f t="shared" si="46"/>
        <v>0.49000000000000005</v>
      </c>
      <c r="N411" s="87">
        <f t="shared" si="47"/>
        <v>1.825</v>
      </c>
      <c r="O411" s="87">
        <f t="shared" si="48"/>
        <v>5.8650000000000002</v>
      </c>
    </row>
    <row r="412" spans="1:15" x14ac:dyDescent="0.3">
      <c r="A412" t="s">
        <v>45</v>
      </c>
      <c r="B412" t="s">
        <v>1113</v>
      </c>
      <c r="C412" s="16" t="s">
        <v>272</v>
      </c>
      <c r="D412" s="16">
        <v>2</v>
      </c>
      <c r="E412" t="s">
        <v>1524</v>
      </c>
      <c r="F412" t="s">
        <v>1555</v>
      </c>
      <c r="G412" t="s">
        <v>342</v>
      </c>
      <c r="H412" t="s">
        <v>344</v>
      </c>
      <c r="I412" s="87">
        <f t="shared" si="42"/>
        <v>0.06</v>
      </c>
      <c r="J412" s="87">
        <f t="shared" si="43"/>
        <v>0.89000000000000012</v>
      </c>
      <c r="K412" s="87">
        <f t="shared" si="44"/>
        <v>0.67500000000000004</v>
      </c>
      <c r="L412" s="87">
        <f t="shared" si="45"/>
        <v>2.4750000000000001</v>
      </c>
      <c r="M412" s="87">
        <f t="shared" si="46"/>
        <v>0.49000000000000005</v>
      </c>
      <c r="N412" s="87">
        <f t="shared" si="47"/>
        <v>1.825</v>
      </c>
      <c r="O412" s="87">
        <f t="shared" si="48"/>
        <v>6.4150000000000009</v>
      </c>
    </row>
    <row r="413" spans="1:15" x14ac:dyDescent="0.3">
      <c r="A413" t="s">
        <v>45</v>
      </c>
      <c r="B413" t="s">
        <v>1114</v>
      </c>
      <c r="C413" s="16" t="s">
        <v>272</v>
      </c>
      <c r="D413" s="16">
        <v>3</v>
      </c>
      <c r="E413" t="s">
        <v>1524</v>
      </c>
      <c r="F413" t="s">
        <v>1555</v>
      </c>
      <c r="G413" t="s">
        <v>1568</v>
      </c>
      <c r="H413" t="s">
        <v>344</v>
      </c>
      <c r="I413" s="87">
        <f t="shared" si="42"/>
        <v>0.06</v>
      </c>
      <c r="J413" s="87">
        <f t="shared" si="43"/>
        <v>0.12</v>
      </c>
      <c r="K413" s="87">
        <f t="shared" si="44"/>
        <v>0.67500000000000004</v>
      </c>
      <c r="L413" s="87">
        <f t="shared" si="45"/>
        <v>2.4750000000000001</v>
      </c>
      <c r="M413" s="87">
        <f t="shared" si="46"/>
        <v>0.44500000000000006</v>
      </c>
      <c r="N413" s="87">
        <f t="shared" si="47"/>
        <v>1.825</v>
      </c>
      <c r="O413" s="87">
        <f t="shared" si="48"/>
        <v>5.6000000000000005</v>
      </c>
    </row>
    <row r="414" spans="1:15" x14ac:dyDescent="0.3">
      <c r="A414" t="s">
        <v>45</v>
      </c>
      <c r="B414" t="s">
        <v>1115</v>
      </c>
      <c r="C414" s="16" t="s">
        <v>272</v>
      </c>
      <c r="D414" s="16">
        <v>2</v>
      </c>
      <c r="E414" t="s">
        <v>1524</v>
      </c>
      <c r="F414" t="s">
        <v>282</v>
      </c>
      <c r="G414" t="s">
        <v>1568</v>
      </c>
      <c r="H414" t="s">
        <v>344</v>
      </c>
      <c r="I414" s="87">
        <f t="shared" si="42"/>
        <v>0.06</v>
      </c>
      <c r="J414" s="87">
        <f t="shared" si="43"/>
        <v>0.89000000000000012</v>
      </c>
      <c r="K414" s="87">
        <f t="shared" si="44"/>
        <v>0.67500000000000004</v>
      </c>
      <c r="L414" s="87">
        <f t="shared" si="45"/>
        <v>1.925</v>
      </c>
      <c r="M414" s="87">
        <f t="shared" si="46"/>
        <v>0.44500000000000006</v>
      </c>
      <c r="N414" s="87">
        <f t="shared" si="47"/>
        <v>1.825</v>
      </c>
      <c r="O414" s="87">
        <f t="shared" si="48"/>
        <v>5.82</v>
      </c>
    </row>
    <row r="415" spans="1:15" x14ac:dyDescent="0.3">
      <c r="A415" t="s">
        <v>45</v>
      </c>
      <c r="B415" t="s">
        <v>1116</v>
      </c>
      <c r="C415" s="16" t="s">
        <v>272</v>
      </c>
      <c r="D415" s="16">
        <v>2</v>
      </c>
      <c r="E415" t="s">
        <v>1524</v>
      </c>
      <c r="F415" t="s">
        <v>282</v>
      </c>
      <c r="G415" t="s">
        <v>1568</v>
      </c>
      <c r="H415" t="s">
        <v>344</v>
      </c>
      <c r="I415" s="87">
        <f t="shared" si="42"/>
        <v>0.06</v>
      </c>
      <c r="J415" s="87">
        <f t="shared" si="43"/>
        <v>0.89000000000000012</v>
      </c>
      <c r="K415" s="87">
        <f t="shared" si="44"/>
        <v>0.67500000000000004</v>
      </c>
      <c r="L415" s="87">
        <f t="shared" si="45"/>
        <v>1.925</v>
      </c>
      <c r="M415" s="87">
        <f t="shared" si="46"/>
        <v>0.44500000000000006</v>
      </c>
      <c r="N415" s="87">
        <f t="shared" si="47"/>
        <v>1.825</v>
      </c>
      <c r="O415" s="87">
        <f t="shared" si="48"/>
        <v>5.82</v>
      </c>
    </row>
    <row r="416" spans="1:15" x14ac:dyDescent="0.3">
      <c r="A416" t="s">
        <v>43</v>
      </c>
      <c r="B416" t="s">
        <v>1117</v>
      </c>
      <c r="C416" s="16" t="s">
        <v>272</v>
      </c>
      <c r="D416" s="16">
        <v>3</v>
      </c>
      <c r="E416" t="s">
        <v>1524</v>
      </c>
      <c r="F416" t="s">
        <v>282</v>
      </c>
      <c r="G416" t="s">
        <v>1567</v>
      </c>
      <c r="H416" t="s">
        <v>291</v>
      </c>
      <c r="I416" s="87">
        <f t="shared" si="42"/>
        <v>0.06</v>
      </c>
      <c r="J416" s="87">
        <f t="shared" si="43"/>
        <v>0.12</v>
      </c>
      <c r="K416" s="87">
        <f t="shared" si="44"/>
        <v>0.67500000000000004</v>
      </c>
      <c r="L416" s="87">
        <f t="shared" si="45"/>
        <v>1.925</v>
      </c>
      <c r="M416" s="87">
        <f t="shared" si="46"/>
        <v>0.32000000000000006</v>
      </c>
      <c r="N416" s="87">
        <f t="shared" si="47"/>
        <v>2.125</v>
      </c>
      <c r="O416" s="87">
        <f t="shared" si="48"/>
        <v>5.2250000000000005</v>
      </c>
    </row>
    <row r="417" spans="1:15" x14ac:dyDescent="0.3">
      <c r="A417" t="s">
        <v>43</v>
      </c>
      <c r="B417" t="s">
        <v>1118</v>
      </c>
      <c r="C417" s="16" t="s">
        <v>272</v>
      </c>
      <c r="D417" s="16">
        <v>3</v>
      </c>
      <c r="E417" t="s">
        <v>1524</v>
      </c>
      <c r="F417" t="s">
        <v>282</v>
      </c>
      <c r="G417" t="s">
        <v>1567</v>
      </c>
      <c r="H417" t="s">
        <v>291</v>
      </c>
      <c r="I417" s="87">
        <f t="shared" si="42"/>
        <v>0.06</v>
      </c>
      <c r="J417" s="87">
        <f t="shared" si="43"/>
        <v>0.12</v>
      </c>
      <c r="K417" s="87">
        <f t="shared" si="44"/>
        <v>0.67500000000000004</v>
      </c>
      <c r="L417" s="87">
        <f t="shared" si="45"/>
        <v>1.925</v>
      </c>
      <c r="M417" s="87">
        <f t="shared" si="46"/>
        <v>0.32000000000000006</v>
      </c>
      <c r="N417" s="87">
        <f t="shared" si="47"/>
        <v>2.125</v>
      </c>
      <c r="O417" s="87">
        <f t="shared" si="48"/>
        <v>5.2250000000000005</v>
      </c>
    </row>
    <row r="418" spans="1:15" x14ac:dyDescent="0.3">
      <c r="A418" t="s">
        <v>43</v>
      </c>
      <c r="B418" t="s">
        <v>1119</v>
      </c>
      <c r="C418" s="16" t="s">
        <v>272</v>
      </c>
      <c r="D418" s="16">
        <v>3</v>
      </c>
      <c r="E418" t="s">
        <v>1524</v>
      </c>
      <c r="F418" t="s">
        <v>282</v>
      </c>
      <c r="G418" t="s">
        <v>1567</v>
      </c>
      <c r="H418" t="s">
        <v>344</v>
      </c>
      <c r="I418" s="87">
        <f t="shared" si="42"/>
        <v>0.06</v>
      </c>
      <c r="J418" s="87">
        <f t="shared" si="43"/>
        <v>0.12</v>
      </c>
      <c r="K418" s="87">
        <f t="shared" si="44"/>
        <v>0.67500000000000004</v>
      </c>
      <c r="L418" s="87">
        <f t="shared" si="45"/>
        <v>1.925</v>
      </c>
      <c r="M418" s="87">
        <f t="shared" si="46"/>
        <v>0.32000000000000006</v>
      </c>
      <c r="N418" s="87">
        <f t="shared" si="47"/>
        <v>1.825</v>
      </c>
      <c r="O418" s="87">
        <f t="shared" si="48"/>
        <v>4.9250000000000007</v>
      </c>
    </row>
    <row r="419" spans="1:15" x14ac:dyDescent="0.3">
      <c r="A419" t="s">
        <v>43</v>
      </c>
      <c r="B419" t="s">
        <v>1120</v>
      </c>
      <c r="C419" s="16" t="s">
        <v>272</v>
      </c>
      <c r="D419" s="16">
        <v>3</v>
      </c>
      <c r="E419" t="s">
        <v>1524</v>
      </c>
      <c r="F419" t="s">
        <v>282</v>
      </c>
      <c r="G419" t="s">
        <v>1566</v>
      </c>
      <c r="H419" t="s">
        <v>1571</v>
      </c>
      <c r="I419" s="87">
        <f t="shared" si="42"/>
        <v>0.06</v>
      </c>
      <c r="J419" s="87">
        <f t="shared" si="43"/>
        <v>0.12</v>
      </c>
      <c r="K419" s="87">
        <f t="shared" si="44"/>
        <v>0.67500000000000004</v>
      </c>
      <c r="L419" s="87">
        <f t="shared" si="45"/>
        <v>1.925</v>
      </c>
      <c r="M419" s="87">
        <f t="shared" si="46"/>
        <v>0.27</v>
      </c>
      <c r="N419" s="87">
        <f t="shared" si="47"/>
        <v>2.375</v>
      </c>
      <c r="O419" s="87">
        <f t="shared" si="48"/>
        <v>5.4250000000000007</v>
      </c>
    </row>
    <row r="420" spans="1:15" x14ac:dyDescent="0.3">
      <c r="A420" t="s">
        <v>43</v>
      </c>
      <c r="B420" t="s">
        <v>1121</v>
      </c>
      <c r="C420" s="16" t="s">
        <v>272</v>
      </c>
      <c r="D420" s="16">
        <v>3</v>
      </c>
      <c r="E420" t="s">
        <v>1524</v>
      </c>
      <c r="F420" t="s">
        <v>282</v>
      </c>
      <c r="G420" t="s">
        <v>1566</v>
      </c>
      <c r="H420" t="s">
        <v>1571</v>
      </c>
      <c r="I420" s="87">
        <f t="shared" si="42"/>
        <v>0.06</v>
      </c>
      <c r="J420" s="87">
        <f t="shared" si="43"/>
        <v>0.12</v>
      </c>
      <c r="K420" s="87">
        <f t="shared" si="44"/>
        <v>0.67500000000000004</v>
      </c>
      <c r="L420" s="87">
        <f t="shared" si="45"/>
        <v>1.925</v>
      </c>
      <c r="M420" s="87">
        <f t="shared" si="46"/>
        <v>0.27</v>
      </c>
      <c r="N420" s="87">
        <f t="shared" si="47"/>
        <v>2.375</v>
      </c>
      <c r="O420" s="87">
        <f t="shared" si="48"/>
        <v>5.4250000000000007</v>
      </c>
    </row>
    <row r="421" spans="1:15" x14ac:dyDescent="0.3">
      <c r="A421" t="s">
        <v>43</v>
      </c>
      <c r="B421" t="s">
        <v>1122</v>
      </c>
      <c r="C421" s="16" t="s">
        <v>272</v>
      </c>
      <c r="D421" s="16">
        <v>3</v>
      </c>
      <c r="E421" t="s">
        <v>1524</v>
      </c>
      <c r="F421" t="s">
        <v>282</v>
      </c>
      <c r="G421" t="s">
        <v>1566</v>
      </c>
      <c r="H421" t="s">
        <v>1571</v>
      </c>
      <c r="I421" s="87">
        <f t="shared" si="42"/>
        <v>0.06</v>
      </c>
      <c r="J421" s="87">
        <f t="shared" si="43"/>
        <v>0.12</v>
      </c>
      <c r="K421" s="87">
        <f t="shared" si="44"/>
        <v>0.67500000000000004</v>
      </c>
      <c r="L421" s="87">
        <f t="shared" si="45"/>
        <v>1.925</v>
      </c>
      <c r="M421" s="87">
        <f t="shared" si="46"/>
        <v>0.27</v>
      </c>
      <c r="N421" s="87">
        <f t="shared" si="47"/>
        <v>2.375</v>
      </c>
      <c r="O421" s="87">
        <f t="shared" si="48"/>
        <v>5.4250000000000007</v>
      </c>
    </row>
    <row r="422" spans="1:15" x14ac:dyDescent="0.3">
      <c r="A422" t="s">
        <v>43</v>
      </c>
      <c r="B422" t="s">
        <v>1123</v>
      </c>
      <c r="C422" s="16" t="s">
        <v>272</v>
      </c>
      <c r="D422" s="16">
        <v>3</v>
      </c>
      <c r="E422" t="s">
        <v>1524</v>
      </c>
      <c r="F422" t="s">
        <v>282</v>
      </c>
      <c r="G422" t="s">
        <v>1566</v>
      </c>
      <c r="H422" t="s">
        <v>1571</v>
      </c>
      <c r="I422" s="87">
        <f t="shared" si="42"/>
        <v>0.06</v>
      </c>
      <c r="J422" s="87">
        <f t="shared" si="43"/>
        <v>0.12</v>
      </c>
      <c r="K422" s="87">
        <f t="shared" si="44"/>
        <v>0.67500000000000004</v>
      </c>
      <c r="L422" s="87">
        <f t="shared" si="45"/>
        <v>1.925</v>
      </c>
      <c r="M422" s="87">
        <f t="shared" si="46"/>
        <v>0.27</v>
      </c>
      <c r="N422" s="87">
        <f t="shared" si="47"/>
        <v>2.375</v>
      </c>
      <c r="O422" s="87">
        <f t="shared" si="48"/>
        <v>5.4250000000000007</v>
      </c>
    </row>
    <row r="423" spans="1:15" x14ac:dyDescent="0.3">
      <c r="A423" t="s">
        <v>9</v>
      </c>
      <c r="B423" t="s">
        <v>1124</v>
      </c>
      <c r="C423" s="16" t="s">
        <v>272</v>
      </c>
      <c r="D423" s="16">
        <v>3</v>
      </c>
      <c r="E423" t="s">
        <v>1524</v>
      </c>
      <c r="F423" t="s">
        <v>1658</v>
      </c>
      <c r="G423" t="s">
        <v>1566</v>
      </c>
      <c r="H423" t="s">
        <v>1570</v>
      </c>
      <c r="I423" s="87">
        <f t="shared" si="42"/>
        <v>0.06</v>
      </c>
      <c r="J423" s="87">
        <f t="shared" si="43"/>
        <v>0.12</v>
      </c>
      <c r="K423" s="87">
        <f t="shared" si="44"/>
        <v>0.67500000000000004</v>
      </c>
      <c r="L423" s="87">
        <f t="shared" si="45"/>
        <v>2.5</v>
      </c>
      <c r="M423" s="87">
        <f t="shared" si="46"/>
        <v>0.27</v>
      </c>
      <c r="N423" s="87">
        <f t="shared" si="47"/>
        <v>2.35</v>
      </c>
      <c r="O423" s="87">
        <f t="shared" si="48"/>
        <v>5.9749999999999996</v>
      </c>
    </row>
    <row r="424" spans="1:15" x14ac:dyDescent="0.3">
      <c r="A424" t="s">
        <v>9</v>
      </c>
      <c r="B424" t="s">
        <v>1125</v>
      </c>
      <c r="C424" s="16" t="s">
        <v>272</v>
      </c>
      <c r="D424" s="16">
        <v>3</v>
      </c>
      <c r="E424" t="s">
        <v>1524</v>
      </c>
      <c r="F424" t="s">
        <v>1553</v>
      </c>
      <c r="G424" t="s">
        <v>1566</v>
      </c>
      <c r="H424" t="s">
        <v>1570</v>
      </c>
      <c r="I424" s="87">
        <f t="shared" si="42"/>
        <v>0.06</v>
      </c>
      <c r="J424" s="87">
        <f t="shared" si="43"/>
        <v>0.12</v>
      </c>
      <c r="K424" s="87">
        <f t="shared" si="44"/>
        <v>0.67500000000000004</v>
      </c>
      <c r="L424" s="87">
        <f t="shared" si="45"/>
        <v>2.4750000000000001</v>
      </c>
      <c r="M424" s="87">
        <f t="shared" si="46"/>
        <v>0.27</v>
      </c>
      <c r="N424" s="87">
        <f t="shared" si="47"/>
        <v>2.35</v>
      </c>
      <c r="O424" s="87">
        <f t="shared" si="48"/>
        <v>5.95</v>
      </c>
    </row>
    <row r="425" spans="1:15" x14ac:dyDescent="0.3">
      <c r="A425" t="s">
        <v>9</v>
      </c>
      <c r="B425" t="s">
        <v>1126</v>
      </c>
      <c r="C425" s="16" t="s">
        <v>272</v>
      </c>
      <c r="D425" s="16">
        <v>3</v>
      </c>
      <c r="E425" t="s">
        <v>1524</v>
      </c>
      <c r="F425" t="s">
        <v>282</v>
      </c>
      <c r="G425" t="s">
        <v>1568</v>
      </c>
      <c r="H425" t="s">
        <v>347</v>
      </c>
      <c r="I425" s="87">
        <f t="shared" si="42"/>
        <v>0.06</v>
      </c>
      <c r="J425" s="87">
        <f t="shared" si="43"/>
        <v>0.12</v>
      </c>
      <c r="K425" s="87">
        <f t="shared" si="44"/>
        <v>0.67500000000000004</v>
      </c>
      <c r="L425" s="87">
        <f t="shared" si="45"/>
        <v>1.925</v>
      </c>
      <c r="M425" s="87">
        <f t="shared" si="46"/>
        <v>0.44500000000000006</v>
      </c>
      <c r="N425" s="87">
        <f t="shared" si="47"/>
        <v>2.4249999999999998</v>
      </c>
      <c r="O425" s="87">
        <f t="shared" si="48"/>
        <v>5.65</v>
      </c>
    </row>
    <row r="426" spans="1:15" x14ac:dyDescent="0.3">
      <c r="A426" t="s">
        <v>9</v>
      </c>
      <c r="B426" t="s">
        <v>1127</v>
      </c>
      <c r="C426" s="16" t="s">
        <v>272</v>
      </c>
      <c r="D426" s="16">
        <v>3</v>
      </c>
      <c r="E426" t="s">
        <v>1524</v>
      </c>
      <c r="F426" t="s">
        <v>1658</v>
      </c>
      <c r="G426" t="s">
        <v>1568</v>
      </c>
      <c r="H426" t="s">
        <v>344</v>
      </c>
      <c r="I426" s="87">
        <f t="shared" si="42"/>
        <v>0.06</v>
      </c>
      <c r="J426" s="87">
        <f t="shared" si="43"/>
        <v>0.12</v>
      </c>
      <c r="K426" s="87">
        <f t="shared" si="44"/>
        <v>0.67500000000000004</v>
      </c>
      <c r="L426" s="87">
        <f t="shared" si="45"/>
        <v>2.5</v>
      </c>
      <c r="M426" s="87">
        <f t="shared" si="46"/>
        <v>0.44500000000000006</v>
      </c>
      <c r="N426" s="87">
        <f t="shared" si="47"/>
        <v>1.825</v>
      </c>
      <c r="O426" s="87">
        <f t="shared" si="48"/>
        <v>5.625</v>
      </c>
    </row>
    <row r="427" spans="1:15" x14ac:dyDescent="0.3">
      <c r="A427" t="s">
        <v>9</v>
      </c>
      <c r="B427" t="s">
        <v>1128</v>
      </c>
      <c r="C427" s="16" t="s">
        <v>272</v>
      </c>
      <c r="D427" s="16">
        <v>3</v>
      </c>
      <c r="E427" t="s">
        <v>1524</v>
      </c>
      <c r="F427" t="s">
        <v>1658</v>
      </c>
      <c r="G427" t="s">
        <v>1568</v>
      </c>
      <c r="H427" t="s">
        <v>344</v>
      </c>
      <c r="I427" s="87">
        <f t="shared" si="42"/>
        <v>0.06</v>
      </c>
      <c r="J427" s="87">
        <f t="shared" si="43"/>
        <v>0.12</v>
      </c>
      <c r="K427" s="87">
        <f t="shared" si="44"/>
        <v>0.67500000000000004</v>
      </c>
      <c r="L427" s="87">
        <f t="shared" si="45"/>
        <v>2.5</v>
      </c>
      <c r="M427" s="87">
        <f t="shared" si="46"/>
        <v>0.44500000000000006</v>
      </c>
      <c r="N427" s="87">
        <f t="shared" si="47"/>
        <v>1.825</v>
      </c>
      <c r="O427" s="87">
        <f t="shared" si="48"/>
        <v>5.625</v>
      </c>
    </row>
    <row r="428" spans="1:15" x14ac:dyDescent="0.3">
      <c r="A428" t="s">
        <v>9</v>
      </c>
      <c r="B428" t="s">
        <v>1129</v>
      </c>
      <c r="C428" s="16" t="s">
        <v>272</v>
      </c>
      <c r="D428" s="16">
        <v>3</v>
      </c>
      <c r="E428" t="s">
        <v>1524</v>
      </c>
      <c r="F428" t="s">
        <v>1536</v>
      </c>
      <c r="G428" t="s">
        <v>1567</v>
      </c>
      <c r="H428" t="s">
        <v>344</v>
      </c>
      <c r="I428" s="87">
        <f t="shared" si="42"/>
        <v>0.06</v>
      </c>
      <c r="J428" s="87">
        <f t="shared" si="43"/>
        <v>0.12</v>
      </c>
      <c r="K428" s="87">
        <f t="shared" si="44"/>
        <v>0.67500000000000004</v>
      </c>
      <c r="L428" s="87">
        <f t="shared" si="45"/>
        <v>2.4750000000000001</v>
      </c>
      <c r="M428" s="87">
        <f t="shared" si="46"/>
        <v>0.32000000000000006</v>
      </c>
      <c r="N428" s="87">
        <f t="shared" si="47"/>
        <v>1.825</v>
      </c>
      <c r="O428" s="87">
        <f t="shared" si="48"/>
        <v>5.4750000000000005</v>
      </c>
    </row>
    <row r="429" spans="1:15" x14ac:dyDescent="0.3">
      <c r="A429" t="s">
        <v>9</v>
      </c>
      <c r="B429" t="s">
        <v>1130</v>
      </c>
      <c r="C429" s="16" t="s">
        <v>272</v>
      </c>
      <c r="D429" s="16">
        <v>3</v>
      </c>
      <c r="E429" t="s">
        <v>1524</v>
      </c>
      <c r="F429" t="s">
        <v>1536</v>
      </c>
      <c r="G429" t="s">
        <v>1567</v>
      </c>
      <c r="H429" t="s">
        <v>344</v>
      </c>
      <c r="I429" s="87">
        <f t="shared" si="42"/>
        <v>0.06</v>
      </c>
      <c r="J429" s="87">
        <f t="shared" si="43"/>
        <v>0.12</v>
      </c>
      <c r="K429" s="87">
        <f t="shared" si="44"/>
        <v>0.67500000000000004</v>
      </c>
      <c r="L429" s="87">
        <f t="shared" si="45"/>
        <v>2.4750000000000001</v>
      </c>
      <c r="M429" s="87">
        <f t="shared" si="46"/>
        <v>0.32000000000000006</v>
      </c>
      <c r="N429" s="87">
        <f t="shared" si="47"/>
        <v>1.825</v>
      </c>
      <c r="O429" s="87">
        <f t="shared" si="48"/>
        <v>5.4750000000000005</v>
      </c>
    </row>
    <row r="430" spans="1:15" x14ac:dyDescent="0.3">
      <c r="A430" t="s">
        <v>9</v>
      </c>
      <c r="B430" t="s">
        <v>1131</v>
      </c>
      <c r="C430" s="16" t="s">
        <v>272</v>
      </c>
      <c r="D430" s="16">
        <v>3</v>
      </c>
      <c r="E430" t="s">
        <v>1524</v>
      </c>
      <c r="F430" t="s">
        <v>282</v>
      </c>
      <c r="G430" t="s">
        <v>1568</v>
      </c>
      <c r="H430" t="s">
        <v>344</v>
      </c>
      <c r="I430" s="87">
        <f t="shared" si="42"/>
        <v>0.06</v>
      </c>
      <c r="J430" s="87">
        <f t="shared" si="43"/>
        <v>0.12</v>
      </c>
      <c r="K430" s="87">
        <f t="shared" si="44"/>
        <v>0.67500000000000004</v>
      </c>
      <c r="L430" s="87">
        <f t="shared" si="45"/>
        <v>1.925</v>
      </c>
      <c r="M430" s="87">
        <f t="shared" si="46"/>
        <v>0.44500000000000006</v>
      </c>
      <c r="N430" s="87">
        <f t="shared" si="47"/>
        <v>1.825</v>
      </c>
      <c r="O430" s="87">
        <f t="shared" si="48"/>
        <v>5.0500000000000007</v>
      </c>
    </row>
    <row r="431" spans="1:15" x14ac:dyDescent="0.3">
      <c r="A431" t="s">
        <v>9</v>
      </c>
      <c r="B431" t="s">
        <v>1132</v>
      </c>
      <c r="C431" s="16" t="s">
        <v>272</v>
      </c>
      <c r="D431" s="16">
        <v>3</v>
      </c>
      <c r="E431" t="s">
        <v>1524</v>
      </c>
      <c r="F431" t="s">
        <v>282</v>
      </c>
      <c r="G431" t="s">
        <v>1568</v>
      </c>
      <c r="H431" t="s">
        <v>344</v>
      </c>
      <c r="I431" s="87">
        <f t="shared" si="42"/>
        <v>0.06</v>
      </c>
      <c r="J431" s="87">
        <f t="shared" si="43"/>
        <v>0.12</v>
      </c>
      <c r="K431" s="87">
        <f t="shared" si="44"/>
        <v>0.67500000000000004</v>
      </c>
      <c r="L431" s="87">
        <f t="shared" si="45"/>
        <v>1.925</v>
      </c>
      <c r="M431" s="87">
        <f t="shared" si="46"/>
        <v>0.44500000000000006</v>
      </c>
      <c r="N431" s="87">
        <f t="shared" si="47"/>
        <v>1.825</v>
      </c>
      <c r="O431" s="87">
        <f t="shared" si="48"/>
        <v>5.0500000000000007</v>
      </c>
    </row>
    <row r="432" spans="1:15" x14ac:dyDescent="0.3">
      <c r="A432" t="s">
        <v>9</v>
      </c>
      <c r="B432" t="s">
        <v>1133</v>
      </c>
      <c r="C432" s="16" t="s">
        <v>272</v>
      </c>
      <c r="D432" s="16">
        <v>3</v>
      </c>
      <c r="E432" t="s">
        <v>1524</v>
      </c>
      <c r="F432" t="s">
        <v>282</v>
      </c>
      <c r="G432" t="s">
        <v>1568</v>
      </c>
      <c r="H432" t="s">
        <v>344</v>
      </c>
      <c r="I432" s="87">
        <f t="shared" si="42"/>
        <v>0.06</v>
      </c>
      <c r="J432" s="87">
        <f t="shared" si="43"/>
        <v>0.12</v>
      </c>
      <c r="K432" s="87">
        <f t="shared" si="44"/>
        <v>0.67500000000000004</v>
      </c>
      <c r="L432" s="87">
        <f t="shared" si="45"/>
        <v>1.925</v>
      </c>
      <c r="M432" s="87">
        <f t="shared" si="46"/>
        <v>0.44500000000000006</v>
      </c>
      <c r="N432" s="87">
        <f t="shared" si="47"/>
        <v>1.825</v>
      </c>
      <c r="O432" s="87">
        <f t="shared" si="48"/>
        <v>5.0500000000000007</v>
      </c>
    </row>
    <row r="433" spans="1:15" x14ac:dyDescent="0.3">
      <c r="A433" t="s">
        <v>9</v>
      </c>
      <c r="B433" t="s">
        <v>1134</v>
      </c>
      <c r="C433" s="16" t="s">
        <v>272</v>
      </c>
      <c r="D433" s="16">
        <v>3</v>
      </c>
      <c r="E433" t="s">
        <v>1524</v>
      </c>
      <c r="F433" t="s">
        <v>1536</v>
      </c>
      <c r="G433" t="s">
        <v>1567</v>
      </c>
      <c r="H433" t="s">
        <v>344</v>
      </c>
      <c r="I433" s="87">
        <f t="shared" si="42"/>
        <v>0.06</v>
      </c>
      <c r="J433" s="87">
        <f t="shared" si="43"/>
        <v>0.12</v>
      </c>
      <c r="K433" s="87">
        <f t="shared" si="44"/>
        <v>0.67500000000000004</v>
      </c>
      <c r="L433" s="87">
        <f t="shared" si="45"/>
        <v>2.4750000000000001</v>
      </c>
      <c r="M433" s="87">
        <f t="shared" si="46"/>
        <v>0.32000000000000006</v>
      </c>
      <c r="N433" s="87">
        <f t="shared" si="47"/>
        <v>1.825</v>
      </c>
      <c r="O433" s="87">
        <f t="shared" si="48"/>
        <v>5.4750000000000005</v>
      </c>
    </row>
    <row r="434" spans="1:15" x14ac:dyDescent="0.3">
      <c r="A434" t="s">
        <v>45</v>
      </c>
      <c r="B434" t="s">
        <v>1135</v>
      </c>
      <c r="C434" s="16" t="s">
        <v>272</v>
      </c>
      <c r="D434" s="16">
        <v>3</v>
      </c>
      <c r="E434" t="s">
        <v>1524</v>
      </c>
      <c r="F434" t="s">
        <v>282</v>
      </c>
      <c r="G434" t="s">
        <v>1567</v>
      </c>
      <c r="H434" t="s">
        <v>344</v>
      </c>
      <c r="I434" s="87">
        <f t="shared" si="42"/>
        <v>0.06</v>
      </c>
      <c r="J434" s="87">
        <f t="shared" si="43"/>
        <v>0.12</v>
      </c>
      <c r="K434" s="87">
        <f t="shared" si="44"/>
        <v>0.67500000000000004</v>
      </c>
      <c r="L434" s="87">
        <f t="shared" si="45"/>
        <v>1.925</v>
      </c>
      <c r="M434" s="87">
        <f t="shared" si="46"/>
        <v>0.32000000000000006</v>
      </c>
      <c r="N434" s="87">
        <f t="shared" si="47"/>
        <v>1.825</v>
      </c>
      <c r="O434" s="87">
        <f t="shared" si="48"/>
        <v>4.9250000000000007</v>
      </c>
    </row>
    <row r="435" spans="1:15" x14ac:dyDescent="0.3">
      <c r="A435" t="s">
        <v>45</v>
      </c>
      <c r="B435" t="s">
        <v>1136</v>
      </c>
      <c r="C435" s="16" t="s">
        <v>272</v>
      </c>
      <c r="D435" s="16">
        <v>3</v>
      </c>
      <c r="E435" t="s">
        <v>1524</v>
      </c>
      <c r="F435" t="s">
        <v>282</v>
      </c>
      <c r="G435" t="s">
        <v>1567</v>
      </c>
      <c r="H435" t="s">
        <v>344</v>
      </c>
      <c r="I435" s="87">
        <f t="shared" si="42"/>
        <v>0.06</v>
      </c>
      <c r="J435" s="87">
        <f t="shared" si="43"/>
        <v>0.12</v>
      </c>
      <c r="K435" s="87">
        <f t="shared" si="44"/>
        <v>0.67500000000000004</v>
      </c>
      <c r="L435" s="87">
        <f t="shared" si="45"/>
        <v>1.925</v>
      </c>
      <c r="M435" s="87">
        <f t="shared" si="46"/>
        <v>0.32000000000000006</v>
      </c>
      <c r="N435" s="87">
        <f t="shared" si="47"/>
        <v>1.825</v>
      </c>
      <c r="O435" s="87">
        <f t="shared" si="48"/>
        <v>4.9250000000000007</v>
      </c>
    </row>
    <row r="436" spans="1:15" x14ac:dyDescent="0.3">
      <c r="A436" t="s">
        <v>45</v>
      </c>
      <c r="B436" t="s">
        <v>1137</v>
      </c>
      <c r="C436" s="16" t="s">
        <v>272</v>
      </c>
      <c r="D436" s="16">
        <v>3</v>
      </c>
      <c r="E436" t="s">
        <v>1524</v>
      </c>
      <c r="F436" t="s">
        <v>282</v>
      </c>
      <c r="G436" t="s">
        <v>1567</v>
      </c>
      <c r="H436" t="s">
        <v>344</v>
      </c>
      <c r="I436" s="87">
        <f t="shared" si="42"/>
        <v>0.06</v>
      </c>
      <c r="J436" s="87">
        <f t="shared" si="43"/>
        <v>0.12</v>
      </c>
      <c r="K436" s="87">
        <f t="shared" si="44"/>
        <v>0.67500000000000004</v>
      </c>
      <c r="L436" s="87">
        <f t="shared" si="45"/>
        <v>1.925</v>
      </c>
      <c r="M436" s="87">
        <f t="shared" si="46"/>
        <v>0.32000000000000006</v>
      </c>
      <c r="N436" s="87">
        <f t="shared" si="47"/>
        <v>1.825</v>
      </c>
      <c r="O436" s="87">
        <f t="shared" si="48"/>
        <v>4.9250000000000007</v>
      </c>
    </row>
    <row r="437" spans="1:15" x14ac:dyDescent="0.3">
      <c r="A437" t="s">
        <v>45</v>
      </c>
      <c r="B437" t="s">
        <v>1138</v>
      </c>
      <c r="C437" s="16" t="s">
        <v>272</v>
      </c>
      <c r="D437" s="16">
        <v>3</v>
      </c>
      <c r="E437" t="s">
        <v>1524</v>
      </c>
      <c r="F437" t="s">
        <v>282</v>
      </c>
      <c r="G437" t="s">
        <v>1567</v>
      </c>
      <c r="H437" t="s">
        <v>344</v>
      </c>
      <c r="I437" s="87">
        <f t="shared" si="42"/>
        <v>0.06</v>
      </c>
      <c r="J437" s="87">
        <f t="shared" si="43"/>
        <v>0.12</v>
      </c>
      <c r="K437" s="87">
        <f t="shared" si="44"/>
        <v>0.67500000000000004</v>
      </c>
      <c r="L437" s="87">
        <f t="shared" si="45"/>
        <v>1.925</v>
      </c>
      <c r="M437" s="87">
        <f t="shared" si="46"/>
        <v>0.32000000000000006</v>
      </c>
      <c r="N437" s="87">
        <f t="shared" si="47"/>
        <v>1.825</v>
      </c>
      <c r="O437" s="87">
        <f t="shared" si="48"/>
        <v>4.9250000000000007</v>
      </c>
    </row>
    <row r="438" spans="1:15" x14ac:dyDescent="0.3">
      <c r="A438" t="s">
        <v>45</v>
      </c>
      <c r="B438" t="s">
        <v>1139</v>
      </c>
      <c r="C438" s="16" t="s">
        <v>272</v>
      </c>
      <c r="D438" s="16">
        <v>3</v>
      </c>
      <c r="E438" t="s">
        <v>1524</v>
      </c>
      <c r="F438" t="s">
        <v>282</v>
      </c>
      <c r="G438" t="s">
        <v>1567</v>
      </c>
      <c r="H438" t="s">
        <v>344</v>
      </c>
      <c r="I438" s="87">
        <f t="shared" si="42"/>
        <v>0.06</v>
      </c>
      <c r="J438" s="87">
        <f t="shared" si="43"/>
        <v>0.12</v>
      </c>
      <c r="K438" s="87">
        <f t="shared" si="44"/>
        <v>0.67500000000000004</v>
      </c>
      <c r="L438" s="87">
        <f t="shared" si="45"/>
        <v>1.925</v>
      </c>
      <c r="M438" s="87">
        <f t="shared" si="46"/>
        <v>0.32000000000000006</v>
      </c>
      <c r="N438" s="87">
        <f t="shared" si="47"/>
        <v>1.825</v>
      </c>
      <c r="O438" s="87">
        <f t="shared" si="48"/>
        <v>4.9250000000000007</v>
      </c>
    </row>
    <row r="439" spans="1:15" x14ac:dyDescent="0.3">
      <c r="A439" t="s">
        <v>45</v>
      </c>
      <c r="B439" t="s">
        <v>1140</v>
      </c>
      <c r="C439" s="16" t="s">
        <v>272</v>
      </c>
      <c r="D439" s="16">
        <v>3</v>
      </c>
      <c r="E439" t="s">
        <v>1524</v>
      </c>
      <c r="F439" t="s">
        <v>282</v>
      </c>
      <c r="G439" t="s">
        <v>1567</v>
      </c>
      <c r="H439" t="s">
        <v>344</v>
      </c>
      <c r="I439" s="87">
        <f t="shared" si="42"/>
        <v>0.06</v>
      </c>
      <c r="J439" s="87">
        <f t="shared" si="43"/>
        <v>0.12</v>
      </c>
      <c r="K439" s="87">
        <f t="shared" si="44"/>
        <v>0.67500000000000004</v>
      </c>
      <c r="L439" s="87">
        <f t="shared" si="45"/>
        <v>1.925</v>
      </c>
      <c r="M439" s="87">
        <f t="shared" si="46"/>
        <v>0.32000000000000006</v>
      </c>
      <c r="N439" s="87">
        <f t="shared" si="47"/>
        <v>1.825</v>
      </c>
      <c r="O439" s="87">
        <f t="shared" si="48"/>
        <v>4.9250000000000007</v>
      </c>
    </row>
    <row r="440" spans="1:15" x14ac:dyDescent="0.3">
      <c r="A440" t="s">
        <v>45</v>
      </c>
      <c r="B440" t="s">
        <v>1141</v>
      </c>
      <c r="C440" s="16" t="s">
        <v>272</v>
      </c>
      <c r="D440" s="16">
        <v>3</v>
      </c>
      <c r="E440" t="s">
        <v>1524</v>
      </c>
      <c r="F440" t="s">
        <v>282</v>
      </c>
      <c r="G440" t="s">
        <v>1567</v>
      </c>
      <c r="H440" t="s">
        <v>344</v>
      </c>
      <c r="I440" s="87">
        <f t="shared" si="42"/>
        <v>0.06</v>
      </c>
      <c r="J440" s="87">
        <f t="shared" si="43"/>
        <v>0.12</v>
      </c>
      <c r="K440" s="87">
        <f t="shared" si="44"/>
        <v>0.67500000000000004</v>
      </c>
      <c r="L440" s="87">
        <f t="shared" si="45"/>
        <v>1.925</v>
      </c>
      <c r="M440" s="87">
        <f t="shared" si="46"/>
        <v>0.32000000000000006</v>
      </c>
      <c r="N440" s="87">
        <f t="shared" si="47"/>
        <v>1.825</v>
      </c>
      <c r="O440" s="87">
        <f t="shared" si="48"/>
        <v>4.9250000000000007</v>
      </c>
    </row>
    <row r="441" spans="1:15" x14ac:dyDescent="0.3">
      <c r="A441" t="s">
        <v>45</v>
      </c>
      <c r="B441" t="s">
        <v>1142</v>
      </c>
      <c r="C441" s="16" t="s">
        <v>272</v>
      </c>
      <c r="D441" s="16">
        <v>2</v>
      </c>
      <c r="E441" t="s">
        <v>1524</v>
      </c>
      <c r="F441" t="s">
        <v>282</v>
      </c>
      <c r="G441" t="s">
        <v>341</v>
      </c>
      <c r="H441" t="s">
        <v>344</v>
      </c>
      <c r="I441" s="87">
        <f t="shared" si="42"/>
        <v>0.06</v>
      </c>
      <c r="J441" s="87">
        <f t="shared" si="43"/>
        <v>0.89000000000000012</v>
      </c>
      <c r="K441" s="87">
        <f t="shared" si="44"/>
        <v>0.67500000000000004</v>
      </c>
      <c r="L441" s="87">
        <f t="shared" si="45"/>
        <v>1.925</v>
      </c>
      <c r="M441" s="87">
        <f t="shared" si="46"/>
        <v>0.48</v>
      </c>
      <c r="N441" s="87">
        <f t="shared" si="47"/>
        <v>1.825</v>
      </c>
      <c r="O441" s="87">
        <f t="shared" si="48"/>
        <v>5.8550000000000004</v>
      </c>
    </row>
    <row r="442" spans="1:15" x14ac:dyDescent="0.3">
      <c r="A442" t="s">
        <v>45</v>
      </c>
      <c r="B442" t="s">
        <v>1143</v>
      </c>
      <c r="C442" s="16" t="s">
        <v>272</v>
      </c>
      <c r="D442" s="16">
        <v>3</v>
      </c>
      <c r="E442" t="s">
        <v>1524</v>
      </c>
      <c r="F442" t="s">
        <v>282</v>
      </c>
      <c r="G442" t="s">
        <v>1567</v>
      </c>
      <c r="H442" t="s">
        <v>344</v>
      </c>
      <c r="I442" s="87">
        <f t="shared" si="42"/>
        <v>0.06</v>
      </c>
      <c r="J442" s="87">
        <f t="shared" si="43"/>
        <v>0.12</v>
      </c>
      <c r="K442" s="87">
        <f t="shared" si="44"/>
        <v>0.67500000000000004</v>
      </c>
      <c r="L442" s="87">
        <f t="shared" si="45"/>
        <v>1.925</v>
      </c>
      <c r="M442" s="87">
        <f t="shared" si="46"/>
        <v>0.32000000000000006</v>
      </c>
      <c r="N442" s="87">
        <f t="shared" si="47"/>
        <v>1.825</v>
      </c>
      <c r="O442" s="87">
        <f t="shared" si="48"/>
        <v>4.9250000000000007</v>
      </c>
    </row>
    <row r="443" spans="1:15" x14ac:dyDescent="0.3">
      <c r="A443" t="s">
        <v>45</v>
      </c>
      <c r="B443" t="s">
        <v>1144</v>
      </c>
      <c r="C443" s="16" t="s">
        <v>272</v>
      </c>
      <c r="D443" s="16">
        <v>3</v>
      </c>
      <c r="E443" t="s">
        <v>1524</v>
      </c>
      <c r="F443" t="s">
        <v>282</v>
      </c>
      <c r="G443" t="s">
        <v>1567</v>
      </c>
      <c r="H443" t="s">
        <v>344</v>
      </c>
      <c r="I443" s="87">
        <f t="shared" si="42"/>
        <v>0.06</v>
      </c>
      <c r="J443" s="87">
        <f t="shared" si="43"/>
        <v>0.12</v>
      </c>
      <c r="K443" s="87">
        <f t="shared" si="44"/>
        <v>0.67500000000000004</v>
      </c>
      <c r="L443" s="87">
        <f t="shared" si="45"/>
        <v>1.925</v>
      </c>
      <c r="M443" s="87">
        <f t="shared" si="46"/>
        <v>0.32000000000000006</v>
      </c>
      <c r="N443" s="87">
        <f t="shared" si="47"/>
        <v>1.825</v>
      </c>
      <c r="O443" s="87">
        <f t="shared" si="48"/>
        <v>4.9250000000000007</v>
      </c>
    </row>
    <row r="444" spans="1:15" x14ac:dyDescent="0.3">
      <c r="A444" t="s">
        <v>45</v>
      </c>
      <c r="B444" t="s">
        <v>1145</v>
      </c>
      <c r="C444" s="16" t="s">
        <v>272</v>
      </c>
      <c r="D444" s="16">
        <v>3</v>
      </c>
      <c r="E444" t="s">
        <v>1524</v>
      </c>
      <c r="F444" t="s">
        <v>1540</v>
      </c>
      <c r="G444" t="s">
        <v>1567</v>
      </c>
      <c r="H444" t="s">
        <v>291</v>
      </c>
      <c r="I444" s="87">
        <f t="shared" si="42"/>
        <v>0.06</v>
      </c>
      <c r="J444" s="87">
        <f t="shared" si="43"/>
        <v>0.12</v>
      </c>
      <c r="K444" s="87">
        <f t="shared" si="44"/>
        <v>0.67500000000000004</v>
      </c>
      <c r="L444" s="87">
        <f t="shared" si="45"/>
        <v>2.375</v>
      </c>
      <c r="M444" s="87">
        <f t="shared" si="46"/>
        <v>0.32000000000000006</v>
      </c>
      <c r="N444" s="87">
        <f t="shared" si="47"/>
        <v>2.125</v>
      </c>
      <c r="O444" s="87">
        <f t="shared" si="48"/>
        <v>5.6749999999999998</v>
      </c>
    </row>
    <row r="445" spans="1:15" x14ac:dyDescent="0.3">
      <c r="A445" t="s">
        <v>45</v>
      </c>
      <c r="B445" t="s">
        <v>1146</v>
      </c>
      <c r="C445" s="16" t="s">
        <v>272</v>
      </c>
      <c r="D445" s="16">
        <v>3</v>
      </c>
      <c r="E445" t="s">
        <v>1524</v>
      </c>
      <c r="F445" t="s">
        <v>282</v>
      </c>
      <c r="G445" t="s">
        <v>1567</v>
      </c>
      <c r="H445" t="s">
        <v>344</v>
      </c>
      <c r="I445" s="87">
        <f t="shared" si="42"/>
        <v>0.06</v>
      </c>
      <c r="J445" s="87">
        <f t="shared" si="43"/>
        <v>0.12</v>
      </c>
      <c r="K445" s="87">
        <f t="shared" si="44"/>
        <v>0.67500000000000004</v>
      </c>
      <c r="L445" s="87">
        <f t="shared" si="45"/>
        <v>1.925</v>
      </c>
      <c r="M445" s="87">
        <f t="shared" si="46"/>
        <v>0.32000000000000006</v>
      </c>
      <c r="N445" s="87">
        <f t="shared" si="47"/>
        <v>1.825</v>
      </c>
      <c r="O445" s="87">
        <f t="shared" si="48"/>
        <v>4.9250000000000007</v>
      </c>
    </row>
    <row r="446" spans="1:15" x14ac:dyDescent="0.3">
      <c r="A446" t="s">
        <v>45</v>
      </c>
      <c r="B446" t="s">
        <v>1147</v>
      </c>
      <c r="C446" s="16" t="s">
        <v>272</v>
      </c>
      <c r="D446" s="16">
        <v>3</v>
      </c>
      <c r="E446" t="s">
        <v>1524</v>
      </c>
      <c r="F446" t="s">
        <v>282</v>
      </c>
      <c r="G446" t="s">
        <v>1567</v>
      </c>
      <c r="H446" t="s">
        <v>344</v>
      </c>
      <c r="I446" s="87">
        <f t="shared" si="42"/>
        <v>0.06</v>
      </c>
      <c r="J446" s="87">
        <f t="shared" si="43"/>
        <v>0.12</v>
      </c>
      <c r="K446" s="87">
        <f t="shared" si="44"/>
        <v>0.67500000000000004</v>
      </c>
      <c r="L446" s="87">
        <f t="shared" si="45"/>
        <v>1.925</v>
      </c>
      <c r="M446" s="87">
        <f t="shared" si="46"/>
        <v>0.32000000000000006</v>
      </c>
      <c r="N446" s="87">
        <f t="shared" si="47"/>
        <v>1.825</v>
      </c>
      <c r="O446" s="87">
        <f t="shared" si="48"/>
        <v>4.9250000000000007</v>
      </c>
    </row>
    <row r="447" spans="1:15" x14ac:dyDescent="0.3">
      <c r="A447" t="s">
        <v>45</v>
      </c>
      <c r="B447" t="s">
        <v>1148</v>
      </c>
      <c r="C447" s="16" t="s">
        <v>272</v>
      </c>
      <c r="D447" s="16">
        <v>3</v>
      </c>
      <c r="E447" t="s">
        <v>1524</v>
      </c>
      <c r="F447" t="s">
        <v>282</v>
      </c>
      <c r="G447" t="s">
        <v>1567</v>
      </c>
      <c r="H447" t="s">
        <v>344</v>
      </c>
      <c r="I447" s="87">
        <f t="shared" si="42"/>
        <v>0.06</v>
      </c>
      <c r="J447" s="87">
        <f t="shared" si="43"/>
        <v>0.12</v>
      </c>
      <c r="K447" s="87">
        <f t="shared" si="44"/>
        <v>0.67500000000000004</v>
      </c>
      <c r="L447" s="87">
        <f t="shared" si="45"/>
        <v>1.925</v>
      </c>
      <c r="M447" s="87">
        <f t="shared" si="46"/>
        <v>0.32000000000000006</v>
      </c>
      <c r="N447" s="87">
        <f t="shared" si="47"/>
        <v>1.825</v>
      </c>
      <c r="O447" s="87">
        <f t="shared" si="48"/>
        <v>4.9250000000000007</v>
      </c>
    </row>
    <row r="448" spans="1:15" x14ac:dyDescent="0.3">
      <c r="A448" t="s">
        <v>45</v>
      </c>
      <c r="B448" t="s">
        <v>1149</v>
      </c>
      <c r="C448" s="16" t="s">
        <v>272</v>
      </c>
      <c r="D448" s="16">
        <v>3</v>
      </c>
      <c r="E448" t="s">
        <v>1524</v>
      </c>
      <c r="F448" t="s">
        <v>282</v>
      </c>
      <c r="G448" t="s">
        <v>1567</v>
      </c>
      <c r="H448" t="s">
        <v>344</v>
      </c>
      <c r="I448" s="87">
        <f t="shared" si="42"/>
        <v>0.06</v>
      </c>
      <c r="J448" s="87">
        <f t="shared" si="43"/>
        <v>0.12</v>
      </c>
      <c r="K448" s="87">
        <f t="shared" si="44"/>
        <v>0.67500000000000004</v>
      </c>
      <c r="L448" s="87">
        <f t="shared" si="45"/>
        <v>1.925</v>
      </c>
      <c r="M448" s="87">
        <f t="shared" si="46"/>
        <v>0.32000000000000006</v>
      </c>
      <c r="N448" s="87">
        <f t="shared" si="47"/>
        <v>1.825</v>
      </c>
      <c r="O448" s="87">
        <f t="shared" si="48"/>
        <v>4.9250000000000007</v>
      </c>
    </row>
    <row r="449" spans="1:15" x14ac:dyDescent="0.3">
      <c r="A449" t="s">
        <v>45</v>
      </c>
      <c r="B449" t="s">
        <v>1150</v>
      </c>
      <c r="C449" s="16" t="s">
        <v>272</v>
      </c>
      <c r="D449" s="16">
        <v>3</v>
      </c>
      <c r="E449" t="s">
        <v>1524</v>
      </c>
      <c r="F449" t="s">
        <v>1540</v>
      </c>
      <c r="G449" t="s">
        <v>1567</v>
      </c>
      <c r="H449" t="s">
        <v>291</v>
      </c>
      <c r="I449" s="87">
        <f t="shared" si="42"/>
        <v>0.06</v>
      </c>
      <c r="J449" s="87">
        <f t="shared" si="43"/>
        <v>0.12</v>
      </c>
      <c r="K449" s="87">
        <f t="shared" si="44"/>
        <v>0.67500000000000004</v>
      </c>
      <c r="L449" s="87">
        <f t="shared" si="45"/>
        <v>2.375</v>
      </c>
      <c r="M449" s="87">
        <f t="shared" si="46"/>
        <v>0.32000000000000006</v>
      </c>
      <c r="N449" s="87">
        <f t="shared" si="47"/>
        <v>2.125</v>
      </c>
      <c r="O449" s="87">
        <f t="shared" si="48"/>
        <v>5.6749999999999998</v>
      </c>
    </row>
    <row r="450" spans="1:15" x14ac:dyDescent="0.3">
      <c r="A450" t="s">
        <v>45</v>
      </c>
      <c r="B450" t="s">
        <v>1151</v>
      </c>
      <c r="C450" s="16" t="s">
        <v>272</v>
      </c>
      <c r="D450" s="16">
        <v>3</v>
      </c>
      <c r="E450" t="s">
        <v>1524</v>
      </c>
      <c r="F450" t="s">
        <v>282</v>
      </c>
      <c r="G450" t="s">
        <v>1567</v>
      </c>
      <c r="H450" t="s">
        <v>344</v>
      </c>
      <c r="I450" s="87">
        <f t="shared" si="42"/>
        <v>0.06</v>
      </c>
      <c r="J450" s="87">
        <f t="shared" si="43"/>
        <v>0.12</v>
      </c>
      <c r="K450" s="87">
        <f t="shared" si="44"/>
        <v>0.67500000000000004</v>
      </c>
      <c r="L450" s="87">
        <f t="shared" si="45"/>
        <v>1.925</v>
      </c>
      <c r="M450" s="87">
        <f t="shared" si="46"/>
        <v>0.32000000000000006</v>
      </c>
      <c r="N450" s="87">
        <f t="shared" si="47"/>
        <v>1.825</v>
      </c>
      <c r="O450" s="87">
        <f t="shared" si="48"/>
        <v>4.9250000000000007</v>
      </c>
    </row>
    <row r="451" spans="1:15" x14ac:dyDescent="0.3">
      <c r="A451" t="s">
        <v>45</v>
      </c>
      <c r="B451" t="s">
        <v>1152</v>
      </c>
      <c r="C451" s="16" t="s">
        <v>272</v>
      </c>
      <c r="D451" s="16">
        <v>3</v>
      </c>
      <c r="E451" t="s">
        <v>1524</v>
      </c>
      <c r="F451" t="s">
        <v>1540</v>
      </c>
      <c r="G451" t="s">
        <v>1567</v>
      </c>
      <c r="H451" t="s">
        <v>1570</v>
      </c>
      <c r="I451" s="87">
        <f t="shared" si="42"/>
        <v>0.06</v>
      </c>
      <c r="J451" s="87">
        <f t="shared" si="43"/>
        <v>0.12</v>
      </c>
      <c r="K451" s="87">
        <f t="shared" si="44"/>
        <v>0.67500000000000004</v>
      </c>
      <c r="L451" s="87">
        <f t="shared" si="45"/>
        <v>2.375</v>
      </c>
      <c r="M451" s="87">
        <f t="shared" si="46"/>
        <v>0.32000000000000006</v>
      </c>
      <c r="N451" s="87">
        <f t="shared" si="47"/>
        <v>2.35</v>
      </c>
      <c r="O451" s="87">
        <f t="shared" si="48"/>
        <v>5.9</v>
      </c>
    </row>
    <row r="452" spans="1:15" x14ac:dyDescent="0.3">
      <c r="A452" t="s">
        <v>45</v>
      </c>
      <c r="B452" t="s">
        <v>1153</v>
      </c>
      <c r="C452" s="16" t="s">
        <v>272</v>
      </c>
      <c r="D452" s="16">
        <v>3</v>
      </c>
      <c r="E452" t="s">
        <v>1524</v>
      </c>
      <c r="F452" t="s">
        <v>1536</v>
      </c>
      <c r="G452" t="s">
        <v>340</v>
      </c>
      <c r="H452" t="s">
        <v>348</v>
      </c>
      <c r="I452" s="87">
        <f t="shared" ref="I452:I461" si="49">VLOOKUP(C452,$R$3:$T$4,3,0)*T$1</f>
        <v>0.06</v>
      </c>
      <c r="J452" s="87">
        <f t="shared" ref="J452:J461" si="50">VLOOKUP(D452,$U$3:$W$5,3,0)*W$1</f>
        <v>0.12</v>
      </c>
      <c r="K452" s="87">
        <f t="shared" ref="K452:K461" si="51">VLOOKUP(E452,$X$3:$Z$9,3,0)*Z$1</f>
        <v>0.67500000000000004</v>
      </c>
      <c r="L452" s="87">
        <f t="shared" ref="L452:L461" si="52">VLOOKUP(F452,$AA$3:$AC$32,3,0)*AC$1</f>
        <v>2.4750000000000001</v>
      </c>
      <c r="M452" s="87">
        <f t="shared" ref="M452:M461" si="53">VLOOKUP(G452,$AD$3:$AF$9,3,0)*AF$1</f>
        <v>0.49500000000000005</v>
      </c>
      <c r="N452" s="87">
        <f t="shared" ref="N452:N461" si="54">VLOOKUP(H452,$AG$3:$AI$15,3,0)*AI$1</f>
        <v>2.4750000000000001</v>
      </c>
      <c r="O452" s="87">
        <f t="shared" ref="O452:O461" si="55">SUM(I452:N452)</f>
        <v>6.3000000000000007</v>
      </c>
    </row>
    <row r="453" spans="1:15" x14ac:dyDescent="0.3">
      <c r="A453" t="s">
        <v>9</v>
      </c>
      <c r="B453" t="s">
        <v>1154</v>
      </c>
      <c r="C453" s="16" t="s">
        <v>272</v>
      </c>
      <c r="D453" s="16">
        <v>3</v>
      </c>
      <c r="E453" t="s">
        <v>1524</v>
      </c>
      <c r="F453" t="s">
        <v>282</v>
      </c>
      <c r="G453" t="s">
        <v>1567</v>
      </c>
      <c r="H453" t="s">
        <v>291</v>
      </c>
      <c r="I453" s="87">
        <f t="shared" si="49"/>
        <v>0.06</v>
      </c>
      <c r="J453" s="87">
        <f t="shared" si="50"/>
        <v>0.12</v>
      </c>
      <c r="K453" s="87">
        <f t="shared" si="51"/>
        <v>0.67500000000000004</v>
      </c>
      <c r="L453" s="87">
        <f t="shared" si="52"/>
        <v>1.925</v>
      </c>
      <c r="M453" s="87">
        <f t="shared" si="53"/>
        <v>0.32000000000000006</v>
      </c>
      <c r="N453" s="87">
        <f t="shared" si="54"/>
        <v>2.125</v>
      </c>
      <c r="O453" s="87">
        <f t="shared" si="55"/>
        <v>5.2250000000000005</v>
      </c>
    </row>
    <row r="454" spans="1:15" x14ac:dyDescent="0.3">
      <c r="A454" t="s">
        <v>9</v>
      </c>
      <c r="B454" t="s">
        <v>1155</v>
      </c>
      <c r="C454" s="16" t="s">
        <v>272</v>
      </c>
      <c r="D454" s="16">
        <v>3</v>
      </c>
      <c r="E454" t="s">
        <v>1524</v>
      </c>
      <c r="F454" t="s">
        <v>1551</v>
      </c>
      <c r="G454" t="s">
        <v>1567</v>
      </c>
      <c r="H454" t="s">
        <v>291</v>
      </c>
      <c r="I454" s="87">
        <f t="shared" si="49"/>
        <v>0.06</v>
      </c>
      <c r="J454" s="87">
        <f t="shared" si="50"/>
        <v>0.12</v>
      </c>
      <c r="K454" s="87">
        <f t="shared" si="51"/>
        <v>0.67500000000000004</v>
      </c>
      <c r="L454" s="87">
        <f t="shared" si="52"/>
        <v>2.4500000000000002</v>
      </c>
      <c r="M454" s="87">
        <f t="shared" si="53"/>
        <v>0.32000000000000006</v>
      </c>
      <c r="N454" s="87">
        <f t="shared" si="54"/>
        <v>2.125</v>
      </c>
      <c r="O454" s="87">
        <f t="shared" si="55"/>
        <v>5.75</v>
      </c>
    </row>
    <row r="455" spans="1:15" x14ac:dyDescent="0.3">
      <c r="A455" t="s">
        <v>9</v>
      </c>
      <c r="B455" t="s">
        <v>1156</v>
      </c>
      <c r="C455" s="16" t="s">
        <v>272</v>
      </c>
      <c r="D455" s="16">
        <v>3</v>
      </c>
      <c r="E455" t="s">
        <v>1524</v>
      </c>
      <c r="F455" t="s">
        <v>1551</v>
      </c>
      <c r="G455" t="s">
        <v>1567</v>
      </c>
      <c r="H455" t="s">
        <v>291</v>
      </c>
      <c r="I455" s="87">
        <f t="shared" si="49"/>
        <v>0.06</v>
      </c>
      <c r="J455" s="87">
        <f t="shared" si="50"/>
        <v>0.12</v>
      </c>
      <c r="K455" s="87">
        <f t="shared" si="51"/>
        <v>0.67500000000000004</v>
      </c>
      <c r="L455" s="87">
        <f t="shared" si="52"/>
        <v>2.4500000000000002</v>
      </c>
      <c r="M455" s="87">
        <f t="shared" si="53"/>
        <v>0.32000000000000006</v>
      </c>
      <c r="N455" s="87">
        <f t="shared" si="54"/>
        <v>2.125</v>
      </c>
      <c r="O455" s="87">
        <f t="shared" si="55"/>
        <v>5.75</v>
      </c>
    </row>
    <row r="456" spans="1:15" x14ac:dyDescent="0.3">
      <c r="A456" t="s">
        <v>9</v>
      </c>
      <c r="B456" t="s">
        <v>1157</v>
      </c>
      <c r="C456" s="16" t="s">
        <v>272</v>
      </c>
      <c r="D456" s="16">
        <v>3</v>
      </c>
      <c r="E456" t="s">
        <v>1524</v>
      </c>
      <c r="F456" t="s">
        <v>282</v>
      </c>
      <c r="G456" t="s">
        <v>1566</v>
      </c>
      <c r="H456" t="s">
        <v>1571</v>
      </c>
      <c r="I456" s="87">
        <f t="shared" si="49"/>
        <v>0.06</v>
      </c>
      <c r="J456" s="87">
        <f t="shared" si="50"/>
        <v>0.12</v>
      </c>
      <c r="K456" s="87">
        <f t="shared" si="51"/>
        <v>0.67500000000000004</v>
      </c>
      <c r="L456" s="87">
        <f t="shared" si="52"/>
        <v>1.925</v>
      </c>
      <c r="M456" s="87">
        <f t="shared" si="53"/>
        <v>0.27</v>
      </c>
      <c r="N456" s="87">
        <f t="shared" si="54"/>
        <v>2.375</v>
      </c>
      <c r="O456" s="87">
        <f t="shared" si="55"/>
        <v>5.4250000000000007</v>
      </c>
    </row>
    <row r="457" spans="1:15" x14ac:dyDescent="0.3">
      <c r="A457" t="s">
        <v>9</v>
      </c>
      <c r="B457" t="s">
        <v>1158</v>
      </c>
      <c r="C457" s="16" t="s">
        <v>272</v>
      </c>
      <c r="D457" s="16">
        <v>2</v>
      </c>
      <c r="E457" t="s">
        <v>1524</v>
      </c>
      <c r="F457" t="s">
        <v>282</v>
      </c>
      <c r="G457" t="s">
        <v>341</v>
      </c>
      <c r="H457" t="s">
        <v>344</v>
      </c>
      <c r="I457" s="87">
        <f t="shared" si="49"/>
        <v>0.06</v>
      </c>
      <c r="J457" s="87">
        <f t="shared" si="50"/>
        <v>0.89000000000000012</v>
      </c>
      <c r="K457" s="87">
        <f t="shared" si="51"/>
        <v>0.67500000000000004</v>
      </c>
      <c r="L457" s="87">
        <f t="shared" si="52"/>
        <v>1.925</v>
      </c>
      <c r="M457" s="87">
        <f t="shared" si="53"/>
        <v>0.48</v>
      </c>
      <c r="N457" s="87">
        <f t="shared" si="54"/>
        <v>1.825</v>
      </c>
      <c r="O457" s="87">
        <f t="shared" si="55"/>
        <v>5.8550000000000004</v>
      </c>
    </row>
    <row r="458" spans="1:15" x14ac:dyDescent="0.3">
      <c r="A458" t="s">
        <v>9</v>
      </c>
      <c r="B458" t="s">
        <v>1159</v>
      </c>
      <c r="C458" s="16" t="s">
        <v>272</v>
      </c>
      <c r="D458" s="16">
        <v>3</v>
      </c>
      <c r="E458" t="s">
        <v>1524</v>
      </c>
      <c r="F458" t="s">
        <v>282</v>
      </c>
      <c r="G458" t="s">
        <v>341</v>
      </c>
      <c r="H458" t="s">
        <v>344</v>
      </c>
      <c r="I458" s="87">
        <f t="shared" si="49"/>
        <v>0.06</v>
      </c>
      <c r="J458" s="87">
        <f t="shared" si="50"/>
        <v>0.12</v>
      </c>
      <c r="K458" s="87">
        <f t="shared" si="51"/>
        <v>0.67500000000000004</v>
      </c>
      <c r="L458" s="87">
        <f t="shared" si="52"/>
        <v>1.925</v>
      </c>
      <c r="M458" s="87">
        <f t="shared" si="53"/>
        <v>0.48</v>
      </c>
      <c r="N458" s="87">
        <f t="shared" si="54"/>
        <v>1.825</v>
      </c>
      <c r="O458" s="87">
        <f t="shared" si="55"/>
        <v>5.085</v>
      </c>
    </row>
    <row r="459" spans="1:15" x14ac:dyDescent="0.3">
      <c r="A459" t="s">
        <v>9</v>
      </c>
      <c r="B459" t="s">
        <v>1160</v>
      </c>
      <c r="C459" s="16" t="s">
        <v>272</v>
      </c>
      <c r="D459" s="16">
        <v>3</v>
      </c>
      <c r="E459" t="s">
        <v>1524</v>
      </c>
      <c r="F459" t="s">
        <v>282</v>
      </c>
      <c r="G459" t="s">
        <v>341</v>
      </c>
      <c r="H459" t="s">
        <v>344</v>
      </c>
      <c r="I459" s="87">
        <f t="shared" si="49"/>
        <v>0.06</v>
      </c>
      <c r="J459" s="87">
        <f t="shared" si="50"/>
        <v>0.12</v>
      </c>
      <c r="K459" s="87">
        <f t="shared" si="51"/>
        <v>0.67500000000000004</v>
      </c>
      <c r="L459" s="87">
        <f t="shared" si="52"/>
        <v>1.925</v>
      </c>
      <c r="M459" s="87">
        <f t="shared" si="53"/>
        <v>0.48</v>
      </c>
      <c r="N459" s="87">
        <f t="shared" si="54"/>
        <v>1.825</v>
      </c>
      <c r="O459" s="87">
        <f t="shared" si="55"/>
        <v>5.085</v>
      </c>
    </row>
    <row r="460" spans="1:15" x14ac:dyDescent="0.3">
      <c r="A460" t="s">
        <v>9</v>
      </c>
      <c r="B460" t="s">
        <v>1161</v>
      </c>
      <c r="C460" s="16" t="s">
        <v>272</v>
      </c>
      <c r="D460" s="16">
        <v>3</v>
      </c>
      <c r="E460" t="s">
        <v>1524</v>
      </c>
      <c r="F460" t="s">
        <v>282</v>
      </c>
      <c r="G460" t="s">
        <v>1566</v>
      </c>
      <c r="H460" t="s">
        <v>1570</v>
      </c>
      <c r="I460" s="87">
        <f t="shared" si="49"/>
        <v>0.06</v>
      </c>
      <c r="J460" s="87">
        <f t="shared" si="50"/>
        <v>0.12</v>
      </c>
      <c r="K460" s="87">
        <f t="shared" si="51"/>
        <v>0.67500000000000004</v>
      </c>
      <c r="L460" s="87">
        <f t="shared" si="52"/>
        <v>1.925</v>
      </c>
      <c r="M460" s="87">
        <f t="shared" si="53"/>
        <v>0.27</v>
      </c>
      <c r="N460" s="87">
        <f t="shared" si="54"/>
        <v>2.35</v>
      </c>
      <c r="O460" s="87">
        <f t="shared" si="55"/>
        <v>5.4</v>
      </c>
    </row>
    <row r="461" spans="1:15" x14ac:dyDescent="0.3">
      <c r="A461" t="s">
        <v>9</v>
      </c>
      <c r="B461" t="s">
        <v>1162</v>
      </c>
      <c r="C461" s="16" t="s">
        <v>272</v>
      </c>
      <c r="D461" s="16">
        <v>3</v>
      </c>
      <c r="E461" t="s">
        <v>1524</v>
      </c>
      <c r="F461" t="s">
        <v>282</v>
      </c>
      <c r="G461" t="s">
        <v>1567</v>
      </c>
      <c r="H461" t="s">
        <v>344</v>
      </c>
      <c r="I461" s="87">
        <f t="shared" si="49"/>
        <v>0.06</v>
      </c>
      <c r="J461" s="87">
        <f t="shared" si="50"/>
        <v>0.12</v>
      </c>
      <c r="K461" s="87">
        <f t="shared" si="51"/>
        <v>0.67500000000000004</v>
      </c>
      <c r="L461" s="87">
        <f t="shared" si="52"/>
        <v>1.925</v>
      </c>
      <c r="M461" s="87">
        <f t="shared" si="53"/>
        <v>0.32000000000000006</v>
      </c>
      <c r="N461" s="87">
        <f t="shared" si="54"/>
        <v>1.825</v>
      </c>
      <c r="O461" s="87">
        <f t="shared" si="55"/>
        <v>4.9250000000000007</v>
      </c>
    </row>
  </sheetData>
  <mergeCells count="7">
    <mergeCell ref="A1:O1"/>
    <mergeCell ref="AZ8:AZ11"/>
    <mergeCell ref="AZ12:AZ14"/>
    <mergeCell ref="AZ15:AZ16"/>
    <mergeCell ref="BA8:BA11"/>
    <mergeCell ref="BA12:BA14"/>
    <mergeCell ref="BA15:BA1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3220417-67F4-4C8E-884C-212D11F9077D}">
          <x14:formula1>
            <xm:f>DimensionsEval!$H$2:$L$2</xm:f>
          </x14:formula1>
          <xm:sqref>C3:C461</xm:sqref>
        </x14:dataValidation>
        <x14:dataValidation type="list" allowBlank="1" showInputMessage="1" showErrorMessage="1" xr:uid="{D48FC7B4-BFC2-4BF9-8B1B-888D2E210373}">
          <x14:formula1>
            <xm:f>DimensionsEval!$H$3:$K$3</xm:f>
          </x14:formula1>
          <xm:sqref>D3:D461 U3:U5</xm:sqref>
        </x14:dataValidation>
        <x14:dataValidation type="list" allowBlank="1" showInputMessage="1" showErrorMessage="1" xr:uid="{7983B748-1EBE-4147-A00B-D9C6942D7B79}">
          <x14:formula1>
            <xm:f>DimensionsEval!$H$13:$P$13</xm:f>
          </x14:formula1>
          <xm:sqref>AA3:AA31 AG9:AG14 AG4:AG6 AO3:AP9 AP41:AP43 AP13:AP17 AP20 AP22:AP24 AP27 AP29 AP35 AP50 AP52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D780-3A90-46F4-AAA0-24FC19140999}">
  <sheetPr>
    <tabColor rgb="FF7030A0"/>
  </sheetPr>
  <dimension ref="A1:AH460"/>
  <sheetViews>
    <sheetView topLeftCell="J1" zoomScale="85" zoomScaleNormal="85" workbookViewId="0">
      <selection activeCell="AA1" sqref="AA1:AH31"/>
    </sheetView>
  </sheetViews>
  <sheetFormatPr defaultRowHeight="14.4" x14ac:dyDescent="0.3"/>
  <cols>
    <col min="7" max="7" width="12.33203125" customWidth="1"/>
    <col min="8" max="8" width="26.6640625" bestFit="1" customWidth="1"/>
    <col min="9" max="9" width="10.109375" customWidth="1"/>
    <col min="10" max="10" width="15" customWidth="1"/>
    <col min="17" max="17" width="10.109375" customWidth="1"/>
    <col min="24" max="24" width="10.109375" customWidth="1"/>
  </cols>
  <sheetData>
    <row r="1" spans="1:34" x14ac:dyDescent="0.3">
      <c r="A1" s="79" t="s">
        <v>0</v>
      </c>
      <c r="B1" s="79" t="s">
        <v>684</v>
      </c>
      <c r="C1" s="79" t="s">
        <v>196</v>
      </c>
      <c r="D1" s="84" t="s">
        <v>197</v>
      </c>
      <c r="E1" s="79" t="s">
        <v>1523</v>
      </c>
      <c r="F1" s="85" t="s">
        <v>1530</v>
      </c>
      <c r="G1" s="85" t="s">
        <v>1565</v>
      </c>
      <c r="H1" s="79" t="s">
        <v>1575</v>
      </c>
      <c r="I1" s="83" t="s">
        <v>1612</v>
      </c>
      <c r="M1" s="79" t="s">
        <v>0</v>
      </c>
      <c r="N1" s="79" t="s">
        <v>684</v>
      </c>
      <c r="Q1" s="83" t="s">
        <v>1612</v>
      </c>
      <c r="T1" s="79" t="s">
        <v>0</v>
      </c>
      <c r="U1" s="79" t="s">
        <v>684</v>
      </c>
      <c r="X1" s="83" t="s">
        <v>1612</v>
      </c>
      <c r="Z1" s="91" t="s">
        <v>1</v>
      </c>
      <c r="AA1" s="79" t="s">
        <v>1664</v>
      </c>
      <c r="AB1" s="79" t="s">
        <v>1665</v>
      </c>
      <c r="AC1" s="79" t="s">
        <v>1672</v>
      </c>
      <c r="AD1" s="79" t="s">
        <v>1673</v>
      </c>
      <c r="AE1" s="79" t="s">
        <v>1674</v>
      </c>
      <c r="AF1" s="79" t="s">
        <v>1675</v>
      </c>
      <c r="AG1" s="79" t="s">
        <v>1676</v>
      </c>
      <c r="AH1" s="79" t="s">
        <v>1677</v>
      </c>
    </row>
    <row r="2" spans="1:34" x14ac:dyDescent="0.3">
      <c r="A2" t="s">
        <v>43</v>
      </c>
      <c r="B2" t="s">
        <v>703</v>
      </c>
      <c r="C2" s="88" t="s">
        <v>272</v>
      </c>
      <c r="D2" s="88">
        <v>3</v>
      </c>
      <c r="E2" t="s">
        <v>1529</v>
      </c>
      <c r="F2" t="s">
        <v>1658</v>
      </c>
      <c r="G2" t="s">
        <v>1567</v>
      </c>
      <c r="H2" t="s">
        <v>1570</v>
      </c>
      <c r="I2" s="87">
        <v>7.8000000000000007</v>
      </c>
      <c r="M2" t="s">
        <v>43</v>
      </c>
      <c r="N2" t="s">
        <v>50</v>
      </c>
      <c r="O2" t="s">
        <v>12</v>
      </c>
      <c r="P2" t="s">
        <v>11</v>
      </c>
      <c r="Q2" s="87">
        <v>7.8000000000000007</v>
      </c>
      <c r="T2" t="s">
        <v>43</v>
      </c>
      <c r="U2" t="s">
        <v>50</v>
      </c>
      <c r="V2" t="s">
        <v>29</v>
      </c>
      <c r="W2" t="s">
        <v>20</v>
      </c>
      <c r="X2" s="87">
        <v>5.3250000000000002</v>
      </c>
      <c r="Z2" t="s">
        <v>50</v>
      </c>
      <c r="AA2">
        <f>AVERAGEIF($N$2:$N$204,Z2,$Q$2:$Q$204)</f>
        <v>5.9708333333333341</v>
      </c>
      <c r="AB2">
        <f>AVERAGEIF($U$2:$U$257,Z2,$X$2:$X$257)</f>
        <v>6.070555555555555</v>
      </c>
      <c r="AC2">
        <f>_xlfn.MAXIFS($Q$2:$Q$204,$N$2:$N$204,$Z2)</f>
        <v>7.8000000000000007</v>
      </c>
      <c r="AD2">
        <f>_xlfn.MAXIFS($X$2:$X$257,$U$2:$U$257,$Z2)</f>
        <v>7.6400000000000006</v>
      </c>
      <c r="AE2">
        <f>_xlfn.MINIFS($Q$2:$Q$204,$N$2:$N$204,$Z2)</f>
        <v>5.5</v>
      </c>
      <c r="AF2">
        <f>_xlfn.MINIFS($X$2:$X$257,$U$2:$U$257,$Z2)</f>
        <v>5.3250000000000002</v>
      </c>
      <c r="AG2">
        <f t="array" ref="AG2">MEDIAN(IF($N$2:$N$204=$Z2,$Q$2:$Q$204))</f>
        <v>5.5</v>
      </c>
      <c r="AH2">
        <f t="array" ref="AH2">MEDIAN(IF($U$2:$U$257=$Z2,$X$2:$X$257))</f>
        <v>5.8650000000000002</v>
      </c>
    </row>
    <row r="3" spans="1:34" x14ac:dyDescent="0.3">
      <c r="A3" t="s">
        <v>43</v>
      </c>
      <c r="B3" t="s">
        <v>705</v>
      </c>
      <c r="C3" s="16" t="s">
        <v>272</v>
      </c>
      <c r="D3" s="16">
        <v>3</v>
      </c>
      <c r="E3" t="s">
        <v>1524</v>
      </c>
      <c r="F3" t="s">
        <v>1540</v>
      </c>
      <c r="G3" t="s">
        <v>1566</v>
      </c>
      <c r="H3" t="s">
        <v>344</v>
      </c>
      <c r="I3" s="87">
        <v>5.3250000000000002</v>
      </c>
      <c r="M3" t="s">
        <v>43</v>
      </c>
      <c r="N3" t="s">
        <v>50</v>
      </c>
      <c r="O3" t="s">
        <v>12</v>
      </c>
      <c r="P3" t="s">
        <v>15</v>
      </c>
      <c r="Q3" s="87">
        <v>5.5</v>
      </c>
      <c r="T3" t="s">
        <v>43</v>
      </c>
      <c r="U3" t="s">
        <v>50</v>
      </c>
      <c r="V3" t="s">
        <v>29</v>
      </c>
      <c r="W3" t="s">
        <v>27</v>
      </c>
      <c r="X3" s="87">
        <v>7.6400000000000006</v>
      </c>
      <c r="Z3" t="s">
        <v>68</v>
      </c>
      <c r="AA3">
        <f t="shared" ref="AA3:AA31" si="0">AVERAGEIF($N$2:$N$204,Z3,$Q$2:$Q$204)</f>
        <v>5.6450000000000005</v>
      </c>
      <c r="AB3">
        <f t="shared" ref="AB3:AB31" si="1">AVERAGEIF($U$2:$U$257,Z3,$X$2:$X$257)</f>
        <v>5.592777777777779</v>
      </c>
      <c r="AC3">
        <f t="shared" ref="AC3:AC31" si="2">_xlfn.MAXIFS($Q$2:$Q$204,$N$2:$N$204,$Z3)</f>
        <v>5.9</v>
      </c>
      <c r="AD3">
        <f t="shared" ref="AD3:AD31" si="3">_xlfn.MAXIFS($X$2:$X$257,$U$2:$U$257,$Z3)</f>
        <v>5.8650000000000002</v>
      </c>
      <c r="AE3">
        <f t="shared" ref="AE3:AE31" si="4">_xlfn.MINIFS($Q$2:$Q$204,$N$2:$N$204,$Z3)</f>
        <v>5.4250000000000007</v>
      </c>
      <c r="AF3">
        <f t="shared" ref="AF3:AF31" si="5">_xlfn.MINIFS($X$2:$X$257,$U$2:$U$257,$Z3)</f>
        <v>5.375</v>
      </c>
      <c r="AG3">
        <f t="array" ref="AG3">MEDIAN(IF($N$2:$N$204=$Z3,$Q$2:$Q$204))</f>
        <v>5.5750000000000011</v>
      </c>
      <c r="AH3">
        <f t="array" ref="AH3">MEDIAN(IF($U$2:$U$257=$Z3,$X$2:$X$257))</f>
        <v>5.625</v>
      </c>
    </row>
    <row r="4" spans="1:34" x14ac:dyDescent="0.3">
      <c r="A4" t="s">
        <v>43</v>
      </c>
      <c r="B4" t="s">
        <v>706</v>
      </c>
      <c r="C4" s="16" t="s">
        <v>272</v>
      </c>
      <c r="D4" s="16">
        <v>2</v>
      </c>
      <c r="E4" t="s">
        <v>1527</v>
      </c>
      <c r="F4" t="s">
        <v>282</v>
      </c>
      <c r="G4" t="s">
        <v>342</v>
      </c>
      <c r="H4" t="s">
        <v>344</v>
      </c>
      <c r="I4" s="87">
        <v>7.6400000000000006</v>
      </c>
      <c r="M4" t="s">
        <v>43</v>
      </c>
      <c r="N4" t="s">
        <v>50</v>
      </c>
      <c r="O4" t="s">
        <v>12</v>
      </c>
      <c r="P4" t="s">
        <v>14</v>
      </c>
      <c r="Q4" s="87">
        <v>5.5</v>
      </c>
      <c r="T4" t="s">
        <v>43</v>
      </c>
      <c r="U4" t="s">
        <v>50</v>
      </c>
      <c r="V4" t="s">
        <v>29</v>
      </c>
      <c r="W4" t="s">
        <v>23</v>
      </c>
      <c r="X4" s="87">
        <v>5.8650000000000002</v>
      </c>
      <c r="Z4" t="s">
        <v>60</v>
      </c>
      <c r="AA4">
        <f t="shared" si="0"/>
        <v>5.6</v>
      </c>
      <c r="AB4">
        <f t="shared" si="1"/>
        <v>6.2650000000000006</v>
      </c>
      <c r="AC4">
        <f t="shared" si="2"/>
        <v>6.0250000000000004</v>
      </c>
      <c r="AD4">
        <f t="shared" si="3"/>
        <v>8.4</v>
      </c>
      <c r="AE4">
        <f t="shared" si="4"/>
        <v>5.1750000000000007</v>
      </c>
      <c r="AF4">
        <f t="shared" si="5"/>
        <v>4.9250000000000007</v>
      </c>
      <c r="AG4">
        <f t="array" ref="AG4">MEDIAN(IF($N$2:$N$204=$Z4,$Q$2:$Q$204))</f>
        <v>5.6000000000000005</v>
      </c>
      <c r="AH4">
        <f t="array" ref="AH4">MEDIAN(IF($U$2:$U$257=$Z4,$X$2:$X$257))</f>
        <v>5.8650000000000002</v>
      </c>
    </row>
    <row r="5" spans="1:34" x14ac:dyDescent="0.3">
      <c r="A5" t="s">
        <v>43</v>
      </c>
      <c r="B5" t="s">
        <v>707</v>
      </c>
      <c r="C5" s="16" t="s">
        <v>272</v>
      </c>
      <c r="D5" s="16">
        <v>3</v>
      </c>
      <c r="E5" t="s">
        <v>1524</v>
      </c>
      <c r="F5" t="s">
        <v>1658</v>
      </c>
      <c r="G5" t="s">
        <v>1567</v>
      </c>
      <c r="H5" t="s">
        <v>344</v>
      </c>
      <c r="I5" s="87">
        <v>5.5</v>
      </c>
      <c r="M5" t="s">
        <v>43</v>
      </c>
      <c r="N5" t="s">
        <v>50</v>
      </c>
      <c r="O5" t="s">
        <v>12</v>
      </c>
      <c r="P5" t="s">
        <v>19</v>
      </c>
      <c r="Q5" s="87">
        <v>5.5</v>
      </c>
      <c r="T5" t="s">
        <v>43</v>
      </c>
      <c r="U5" t="s">
        <v>50</v>
      </c>
      <c r="V5" t="s">
        <v>29</v>
      </c>
      <c r="W5" t="s">
        <v>25</v>
      </c>
      <c r="X5" s="87">
        <v>5.8750000000000009</v>
      </c>
      <c r="Z5" t="s">
        <v>53</v>
      </c>
      <c r="AA5">
        <f t="shared" si="0"/>
        <v>5.1437500000000007</v>
      </c>
      <c r="AB5">
        <f t="shared" si="1"/>
        <v>5.3900000000000006</v>
      </c>
      <c r="AC5">
        <f t="shared" si="2"/>
        <v>5.375</v>
      </c>
      <c r="AD5">
        <f t="shared" si="3"/>
        <v>5.4050000000000002</v>
      </c>
      <c r="AE5">
        <f t="shared" si="4"/>
        <v>4.9250000000000007</v>
      </c>
      <c r="AF5">
        <f t="shared" si="5"/>
        <v>5.375</v>
      </c>
      <c r="AG5">
        <f t="array" ref="AG5">MEDIAN(IF($N$2:$N$204=$Z5,$Q$2:$Q$204))</f>
        <v>5.1375000000000011</v>
      </c>
      <c r="AH5">
        <f t="array" ref="AH5">MEDIAN(IF($U$2:$U$257=$Z5,$X$2:$X$257))</f>
        <v>5.3900000000000006</v>
      </c>
    </row>
    <row r="6" spans="1:34" x14ac:dyDescent="0.3">
      <c r="A6" t="s">
        <v>43</v>
      </c>
      <c r="B6" t="s">
        <v>708</v>
      </c>
      <c r="C6" s="16" t="s">
        <v>272</v>
      </c>
      <c r="D6" s="16">
        <v>3</v>
      </c>
      <c r="E6" t="s">
        <v>1524</v>
      </c>
      <c r="F6" t="s">
        <v>1658</v>
      </c>
      <c r="G6" t="s">
        <v>1567</v>
      </c>
      <c r="H6" t="s">
        <v>344</v>
      </c>
      <c r="I6" s="87">
        <v>5.5</v>
      </c>
      <c r="M6" t="s">
        <v>43</v>
      </c>
      <c r="N6" t="s">
        <v>50</v>
      </c>
      <c r="O6" t="s">
        <v>12</v>
      </c>
      <c r="P6" t="s">
        <v>17</v>
      </c>
      <c r="Q6" s="87">
        <v>5.5</v>
      </c>
      <c r="T6" t="s">
        <v>43</v>
      </c>
      <c r="U6" t="s">
        <v>50</v>
      </c>
      <c r="V6" t="s">
        <v>29</v>
      </c>
      <c r="W6" t="s">
        <v>24</v>
      </c>
      <c r="X6" s="87">
        <v>5.8750000000000009</v>
      </c>
      <c r="Z6" t="s">
        <v>76</v>
      </c>
      <c r="AA6">
        <f t="shared" si="0"/>
        <v>5.7371428571428575</v>
      </c>
      <c r="AB6">
        <f t="shared" si="1"/>
        <v>5.4605000000000015</v>
      </c>
      <c r="AC6">
        <f t="shared" si="2"/>
        <v>7.5749999999999993</v>
      </c>
      <c r="AD6">
        <f t="shared" si="3"/>
        <v>6.0250000000000004</v>
      </c>
      <c r="AE6">
        <f t="shared" si="4"/>
        <v>4.9250000000000007</v>
      </c>
      <c r="AF6">
        <f t="shared" si="5"/>
        <v>4.875</v>
      </c>
      <c r="AG6">
        <f t="array" ref="AG6">MEDIAN(IF($N$2:$N$204=$Z6,$Q$2:$Q$204))</f>
        <v>5.5500000000000007</v>
      </c>
      <c r="AH6">
        <f t="array" ref="AH6">MEDIAN(IF($U$2:$U$257=$Z6,$X$2:$X$257))</f>
        <v>5.4875000000000007</v>
      </c>
    </row>
    <row r="7" spans="1:34" x14ac:dyDescent="0.3">
      <c r="A7" t="s">
        <v>43</v>
      </c>
      <c r="B7" t="s">
        <v>709</v>
      </c>
      <c r="C7" s="16" t="s">
        <v>272</v>
      </c>
      <c r="D7" s="16">
        <v>3</v>
      </c>
      <c r="E7" t="s">
        <v>1524</v>
      </c>
      <c r="F7" t="s">
        <v>1658</v>
      </c>
      <c r="G7" t="s">
        <v>1567</v>
      </c>
      <c r="H7" t="s">
        <v>344</v>
      </c>
      <c r="I7" s="87">
        <v>5.5</v>
      </c>
      <c r="M7" t="s">
        <v>43</v>
      </c>
      <c r="N7" t="s">
        <v>50</v>
      </c>
      <c r="O7" t="s">
        <v>12</v>
      </c>
      <c r="P7" t="s">
        <v>16</v>
      </c>
      <c r="Q7" s="87">
        <v>6.0250000000000004</v>
      </c>
      <c r="T7" t="s">
        <v>43</v>
      </c>
      <c r="U7" t="s">
        <v>50</v>
      </c>
      <c r="V7" t="s">
        <v>29</v>
      </c>
      <c r="W7" t="s">
        <v>21</v>
      </c>
      <c r="X7" s="87">
        <v>5.3250000000000002</v>
      </c>
      <c r="Z7" t="s">
        <v>73</v>
      </c>
      <c r="AA7">
        <f t="shared" si="0"/>
        <v>5.8529999999999998</v>
      </c>
      <c r="AB7">
        <f t="shared" si="1"/>
        <v>6.910454545454547</v>
      </c>
      <c r="AC7">
        <f t="shared" si="2"/>
        <v>8.8250000000000011</v>
      </c>
      <c r="AD7">
        <f t="shared" si="3"/>
        <v>8.7750000000000004</v>
      </c>
      <c r="AE7">
        <f t="shared" si="4"/>
        <v>5.3249999999999993</v>
      </c>
      <c r="AF7">
        <f t="shared" si="5"/>
        <v>5.5750000000000011</v>
      </c>
      <c r="AG7">
        <f t="array" ref="AG7">MEDIAN(IF($N$2:$N$204=$Z7,$Q$2:$Q$204))</f>
        <v>5.5250000000000004</v>
      </c>
      <c r="AH7">
        <f t="array" ref="AH7">MEDIAN(IF($U$2:$U$257=$Z7,$X$2:$X$257))</f>
        <v>5.8650000000000002</v>
      </c>
    </row>
    <row r="8" spans="1:34" x14ac:dyDescent="0.3">
      <c r="A8" t="s">
        <v>43</v>
      </c>
      <c r="B8" t="s">
        <v>710</v>
      </c>
      <c r="C8" s="16" t="s">
        <v>272</v>
      </c>
      <c r="D8" s="16">
        <v>3</v>
      </c>
      <c r="E8" t="s">
        <v>1524</v>
      </c>
      <c r="F8" t="s">
        <v>1658</v>
      </c>
      <c r="G8" t="s">
        <v>1567</v>
      </c>
      <c r="H8" t="s">
        <v>344</v>
      </c>
      <c r="I8" s="87">
        <v>5.5</v>
      </c>
      <c r="M8" t="s">
        <v>45</v>
      </c>
      <c r="N8" t="s">
        <v>68</v>
      </c>
      <c r="O8" t="s">
        <v>12</v>
      </c>
      <c r="P8" t="s">
        <v>15</v>
      </c>
      <c r="Q8" s="87">
        <v>5.5750000000000011</v>
      </c>
      <c r="T8" t="s">
        <v>43</v>
      </c>
      <c r="U8" t="s">
        <v>50</v>
      </c>
      <c r="V8" t="s">
        <v>29</v>
      </c>
      <c r="W8" t="s">
        <v>26</v>
      </c>
      <c r="X8" s="87">
        <v>7.2750000000000004</v>
      </c>
      <c r="Z8" t="s">
        <v>46</v>
      </c>
      <c r="AA8">
        <f t="shared" si="0"/>
        <v>7.1392857142857151</v>
      </c>
      <c r="AB8">
        <f t="shared" si="1"/>
        <v>6.9722222222222241</v>
      </c>
      <c r="AC8">
        <f t="shared" si="2"/>
        <v>7.6750000000000007</v>
      </c>
      <c r="AD8">
        <f t="shared" si="3"/>
        <v>7.15</v>
      </c>
      <c r="AE8">
        <f t="shared" si="4"/>
        <v>6.9500000000000011</v>
      </c>
      <c r="AF8">
        <f t="shared" si="5"/>
        <v>6.9500000000000011</v>
      </c>
      <c r="AG8">
        <f t="array" ref="AG8">MEDIAN(IF($N$2:$N$204=$Z8,$Q$2:$Q$204))</f>
        <v>6.9500000000000011</v>
      </c>
      <c r="AH8">
        <f t="array" ref="AH8">MEDIAN(IF($U$2:$U$257=$Z8,$X$2:$X$257))</f>
        <v>6.9500000000000011</v>
      </c>
    </row>
    <row r="9" spans="1:34" x14ac:dyDescent="0.3">
      <c r="A9" t="s">
        <v>43</v>
      </c>
      <c r="B9" t="s">
        <v>711</v>
      </c>
      <c r="C9" s="16" t="s">
        <v>272</v>
      </c>
      <c r="D9" s="16">
        <v>3</v>
      </c>
      <c r="E9" t="s">
        <v>1524</v>
      </c>
      <c r="F9" t="s">
        <v>1658</v>
      </c>
      <c r="G9" t="s">
        <v>1567</v>
      </c>
      <c r="H9" t="s">
        <v>1570</v>
      </c>
      <c r="I9" s="87">
        <v>6.0250000000000004</v>
      </c>
      <c r="M9" t="s">
        <v>45</v>
      </c>
      <c r="N9" t="s">
        <v>68</v>
      </c>
      <c r="O9" t="s">
        <v>12</v>
      </c>
      <c r="P9" t="s">
        <v>14</v>
      </c>
      <c r="Q9" s="87">
        <v>5.9</v>
      </c>
      <c r="T9" t="s">
        <v>43</v>
      </c>
      <c r="U9" t="s">
        <v>50</v>
      </c>
      <c r="V9" t="s">
        <v>29</v>
      </c>
      <c r="W9" t="s">
        <v>22</v>
      </c>
      <c r="X9" s="87">
        <v>5.85</v>
      </c>
      <c r="Z9" t="s">
        <v>72</v>
      </c>
      <c r="AA9">
        <f t="shared" si="0"/>
        <v>6.163333333333334</v>
      </c>
      <c r="AB9">
        <f t="shared" si="1"/>
        <v>6.6157142857142857</v>
      </c>
      <c r="AC9">
        <f t="shared" si="2"/>
        <v>8.4749999999999996</v>
      </c>
      <c r="AD9">
        <f t="shared" si="3"/>
        <v>8.4749999999999996</v>
      </c>
      <c r="AE9">
        <f t="shared" si="4"/>
        <v>4.875</v>
      </c>
      <c r="AF9">
        <f t="shared" si="5"/>
        <v>4.875</v>
      </c>
      <c r="AG9">
        <f t="array" ref="AG9">MEDIAN(IF($N$2:$N$204=$Z9,$Q$2:$Q$204))</f>
        <v>5.8550000000000004</v>
      </c>
      <c r="AH9">
        <f t="array" ref="AH9">MEDIAN(IF($U$2:$U$257=$Z9,$X$2:$X$257))</f>
        <v>6.2774999999999999</v>
      </c>
    </row>
    <row r="10" spans="1:34" x14ac:dyDescent="0.3">
      <c r="A10" t="s">
        <v>43</v>
      </c>
      <c r="B10" t="s">
        <v>712</v>
      </c>
      <c r="C10" s="16" t="s">
        <v>272</v>
      </c>
      <c r="D10" s="16">
        <v>2</v>
      </c>
      <c r="E10" t="s">
        <v>1524</v>
      </c>
      <c r="F10" t="s">
        <v>282</v>
      </c>
      <c r="G10" t="s">
        <v>342</v>
      </c>
      <c r="H10" t="s">
        <v>344</v>
      </c>
      <c r="I10" s="87">
        <v>5.8650000000000002</v>
      </c>
      <c r="M10" t="s">
        <v>45</v>
      </c>
      <c r="N10" t="s">
        <v>68</v>
      </c>
      <c r="O10" t="s">
        <v>12</v>
      </c>
      <c r="P10" t="s">
        <v>11</v>
      </c>
      <c r="Q10" s="87">
        <v>5.9</v>
      </c>
      <c r="T10" t="s">
        <v>43</v>
      </c>
      <c r="U10" t="s">
        <v>50</v>
      </c>
      <c r="V10" t="s">
        <v>29</v>
      </c>
      <c r="W10" t="s">
        <v>28</v>
      </c>
      <c r="X10" s="87">
        <v>5.6049999999999995</v>
      </c>
      <c r="Z10" t="s">
        <v>10</v>
      </c>
      <c r="AA10">
        <f t="shared" si="0"/>
        <v>5.5392857142857137</v>
      </c>
      <c r="AB10">
        <f t="shared" si="1"/>
        <v>7.4264285714285707</v>
      </c>
      <c r="AC10">
        <f t="shared" si="2"/>
        <v>6.05</v>
      </c>
      <c r="AD10">
        <f t="shared" si="3"/>
        <v>8.875</v>
      </c>
      <c r="AE10">
        <f t="shared" si="4"/>
        <v>5.5</v>
      </c>
      <c r="AF10">
        <f t="shared" si="5"/>
        <v>5.5</v>
      </c>
      <c r="AG10">
        <f t="array" ref="AG10">MEDIAN(IF($N$2:$N$204=$Z10,$Q$2:$Q$204))</f>
        <v>5.5</v>
      </c>
      <c r="AH10">
        <f t="array" ref="AH10">MEDIAN(IF($U$2:$U$257=$Z10,$X$2:$X$257))</f>
        <v>7.347500000000001</v>
      </c>
    </row>
    <row r="11" spans="1:34" x14ac:dyDescent="0.3">
      <c r="A11" t="s">
        <v>43</v>
      </c>
      <c r="B11" t="s">
        <v>713</v>
      </c>
      <c r="C11" s="16" t="s">
        <v>272</v>
      </c>
      <c r="D11" s="16">
        <v>2</v>
      </c>
      <c r="E11" t="s">
        <v>1524</v>
      </c>
      <c r="F11" t="s">
        <v>282</v>
      </c>
      <c r="G11" t="s">
        <v>1656</v>
      </c>
      <c r="H11" t="s">
        <v>344</v>
      </c>
      <c r="I11" s="87">
        <v>5.8750000000000009</v>
      </c>
      <c r="M11" t="s">
        <v>45</v>
      </c>
      <c r="N11" t="s">
        <v>68</v>
      </c>
      <c r="O11" t="s">
        <v>12</v>
      </c>
      <c r="P11" t="s">
        <v>17</v>
      </c>
      <c r="Q11" s="87">
        <v>5.4250000000000007</v>
      </c>
      <c r="T11" t="s">
        <v>45</v>
      </c>
      <c r="U11" t="s">
        <v>68</v>
      </c>
      <c r="V11" t="s">
        <v>29</v>
      </c>
      <c r="W11" t="s">
        <v>23</v>
      </c>
      <c r="X11" s="87">
        <v>5.8650000000000002</v>
      </c>
      <c r="Z11" t="s">
        <v>47</v>
      </c>
      <c r="AA11">
        <f t="shared" si="0"/>
        <v>5.391</v>
      </c>
      <c r="AB11">
        <f t="shared" si="1"/>
        <v>6.0730000000000013</v>
      </c>
      <c r="AC11">
        <f t="shared" si="2"/>
        <v>5.8750000000000009</v>
      </c>
      <c r="AD11">
        <f t="shared" si="3"/>
        <v>6.53</v>
      </c>
      <c r="AE11">
        <f t="shared" si="4"/>
        <v>4.875</v>
      </c>
      <c r="AF11">
        <f t="shared" si="5"/>
        <v>5.8049999999999997</v>
      </c>
      <c r="AG11">
        <f t="array" ref="AG11">MEDIAN(IF($N$2:$N$204=$Z11,$Q$2:$Q$204))</f>
        <v>5.4249999999999998</v>
      </c>
      <c r="AH11">
        <f t="array" ref="AH11">MEDIAN(IF($U$2:$U$257=$Z11,$X$2:$X$257))</f>
        <v>5.8250000000000011</v>
      </c>
    </row>
    <row r="12" spans="1:34" x14ac:dyDescent="0.3">
      <c r="A12" t="s">
        <v>43</v>
      </c>
      <c r="B12" t="s">
        <v>714</v>
      </c>
      <c r="C12" s="16" t="s">
        <v>272</v>
      </c>
      <c r="D12" s="16">
        <v>2</v>
      </c>
      <c r="E12" t="s">
        <v>1524</v>
      </c>
      <c r="F12" t="s">
        <v>282</v>
      </c>
      <c r="G12" t="s">
        <v>1656</v>
      </c>
      <c r="H12" t="s">
        <v>344</v>
      </c>
      <c r="I12" s="87">
        <v>5.8750000000000009</v>
      </c>
      <c r="M12" t="s">
        <v>45</v>
      </c>
      <c r="N12" t="s">
        <v>68</v>
      </c>
      <c r="O12" t="s">
        <v>12</v>
      </c>
      <c r="P12" t="s">
        <v>16</v>
      </c>
      <c r="Q12" s="87">
        <v>5.4250000000000007</v>
      </c>
      <c r="T12" t="s">
        <v>45</v>
      </c>
      <c r="U12" t="s">
        <v>68</v>
      </c>
      <c r="V12" t="s">
        <v>29</v>
      </c>
      <c r="W12" t="s">
        <v>25</v>
      </c>
      <c r="X12" s="87">
        <v>5.375</v>
      </c>
      <c r="Z12" t="s">
        <v>57</v>
      </c>
      <c r="AA12">
        <f t="shared" si="0"/>
        <v>5.6013636363636374</v>
      </c>
      <c r="AB12">
        <f t="shared" si="1"/>
        <v>5.7245454545454555</v>
      </c>
      <c r="AC12">
        <f t="shared" si="2"/>
        <v>6.05</v>
      </c>
      <c r="AD12">
        <f t="shared" si="3"/>
        <v>6.05</v>
      </c>
      <c r="AE12">
        <f t="shared" si="4"/>
        <v>4.875</v>
      </c>
      <c r="AF12">
        <f t="shared" si="5"/>
        <v>5.4</v>
      </c>
      <c r="AG12">
        <f t="array" ref="AG12">MEDIAN(IF($N$2:$N$204=$Z12,$Q$2:$Q$204))</f>
        <v>5.6450000000000005</v>
      </c>
      <c r="AH12">
        <f t="array" ref="AH12">MEDIAN(IF($U$2:$U$257=$Z12,$X$2:$X$257))</f>
        <v>5.66</v>
      </c>
    </row>
    <row r="13" spans="1:34" x14ac:dyDescent="0.3">
      <c r="A13" t="s">
        <v>43</v>
      </c>
      <c r="B13" t="s">
        <v>715</v>
      </c>
      <c r="C13" s="16" t="s">
        <v>272</v>
      </c>
      <c r="D13" s="16">
        <v>3</v>
      </c>
      <c r="E13" t="s">
        <v>1524</v>
      </c>
      <c r="F13" t="s">
        <v>1540</v>
      </c>
      <c r="G13" t="s">
        <v>1566</v>
      </c>
      <c r="H13" t="s">
        <v>344</v>
      </c>
      <c r="I13" s="87">
        <v>5.3250000000000002</v>
      </c>
      <c r="M13" t="s">
        <v>9</v>
      </c>
      <c r="N13" t="s">
        <v>60</v>
      </c>
      <c r="O13" t="s">
        <v>12</v>
      </c>
      <c r="P13" t="s">
        <v>15</v>
      </c>
      <c r="Q13" s="87">
        <v>5.4250000000000007</v>
      </c>
      <c r="T13" t="s">
        <v>45</v>
      </c>
      <c r="U13" t="s">
        <v>68</v>
      </c>
      <c r="V13" t="s">
        <v>29</v>
      </c>
      <c r="W13" t="s">
        <v>24</v>
      </c>
      <c r="X13" s="87">
        <v>5.8650000000000002</v>
      </c>
      <c r="Z13" t="s">
        <v>59</v>
      </c>
      <c r="AA13">
        <f t="shared" si="0"/>
        <v>6.0670833333333336</v>
      </c>
      <c r="AB13">
        <f t="shared" si="1"/>
        <v>8.1839285714285719</v>
      </c>
      <c r="AC13">
        <f t="shared" si="2"/>
        <v>8.1</v>
      </c>
      <c r="AD13">
        <f t="shared" si="3"/>
        <v>9.1999999999999993</v>
      </c>
      <c r="AE13">
        <f t="shared" si="4"/>
        <v>4.9250000000000007</v>
      </c>
      <c r="AF13">
        <f t="shared" si="5"/>
        <v>6.1750000000000007</v>
      </c>
      <c r="AG13">
        <f t="array" ref="AG13">MEDIAN(IF($N$2:$N$204=$Z13,$Q$2:$Q$204))</f>
        <v>5.5250000000000004</v>
      </c>
      <c r="AH13">
        <f t="array" ref="AH13">MEDIAN(IF($U$2:$U$257=$Z13,$X$2:$X$257))</f>
        <v>8.8000000000000007</v>
      </c>
    </row>
    <row r="14" spans="1:34" x14ac:dyDescent="0.3">
      <c r="A14" t="s">
        <v>43</v>
      </c>
      <c r="B14" t="s">
        <v>716</v>
      </c>
      <c r="C14" s="16" t="s">
        <v>272</v>
      </c>
      <c r="D14" s="16">
        <v>2</v>
      </c>
      <c r="E14" t="s">
        <v>1525</v>
      </c>
      <c r="F14" t="s">
        <v>282</v>
      </c>
      <c r="G14" t="s">
        <v>1656</v>
      </c>
      <c r="H14" t="s">
        <v>344</v>
      </c>
      <c r="I14" s="87">
        <v>7.2750000000000004</v>
      </c>
      <c r="M14" t="s">
        <v>9</v>
      </c>
      <c r="N14" t="s">
        <v>60</v>
      </c>
      <c r="O14" t="s">
        <v>12</v>
      </c>
      <c r="P14" t="s">
        <v>14</v>
      </c>
      <c r="Q14" s="87">
        <v>5.7750000000000004</v>
      </c>
      <c r="T14" t="s">
        <v>45</v>
      </c>
      <c r="U14" t="s">
        <v>68</v>
      </c>
      <c r="V14" t="s">
        <v>29</v>
      </c>
      <c r="W14" t="s">
        <v>21</v>
      </c>
      <c r="X14" s="87">
        <v>5.625</v>
      </c>
      <c r="Z14" t="s">
        <v>49</v>
      </c>
      <c r="AA14">
        <f t="shared" si="0"/>
        <v>6.1292857142857153</v>
      </c>
      <c r="AB14">
        <f t="shared" si="1"/>
        <v>5.6787500000000009</v>
      </c>
      <c r="AC14">
        <f t="shared" si="2"/>
        <v>8.1449999999999996</v>
      </c>
      <c r="AD14">
        <f t="shared" si="3"/>
        <v>6.28</v>
      </c>
      <c r="AE14">
        <f t="shared" si="4"/>
        <v>5.4050000000000002</v>
      </c>
      <c r="AF14">
        <f t="shared" si="5"/>
        <v>5.3500000000000005</v>
      </c>
      <c r="AG14">
        <f t="array" ref="AG14">MEDIAN(IF($N$2:$N$204=$Z14,$Q$2:$Q$204))</f>
        <v>5.9750000000000005</v>
      </c>
      <c r="AH14">
        <f t="array" ref="AH14">MEDIAN(IF($U$2:$U$257=$Z14,$X$2:$X$257))</f>
        <v>5.3500000000000005</v>
      </c>
    </row>
    <row r="15" spans="1:34" x14ac:dyDescent="0.3">
      <c r="A15" t="s">
        <v>43</v>
      </c>
      <c r="B15" t="s">
        <v>717</v>
      </c>
      <c r="C15" s="16" t="s">
        <v>272</v>
      </c>
      <c r="D15" s="16">
        <v>3</v>
      </c>
      <c r="E15" t="s">
        <v>1524</v>
      </c>
      <c r="F15" t="s">
        <v>1540</v>
      </c>
      <c r="G15" t="s">
        <v>1566</v>
      </c>
      <c r="H15" t="s">
        <v>1570</v>
      </c>
      <c r="I15" s="87">
        <v>5.85</v>
      </c>
      <c r="M15" t="s">
        <v>9</v>
      </c>
      <c r="N15" t="s">
        <v>60</v>
      </c>
      <c r="O15" t="s">
        <v>12</v>
      </c>
      <c r="P15" t="s">
        <v>11</v>
      </c>
      <c r="Q15" s="87">
        <v>5.1750000000000007</v>
      </c>
      <c r="T15" t="s">
        <v>45</v>
      </c>
      <c r="U15" t="s">
        <v>68</v>
      </c>
      <c r="V15" t="s">
        <v>29</v>
      </c>
      <c r="W15" t="s">
        <v>19</v>
      </c>
      <c r="X15" s="87">
        <v>5.375</v>
      </c>
      <c r="Z15" t="s">
        <v>62</v>
      </c>
      <c r="AA15">
        <f t="shared" si="0"/>
        <v>5.2652941176470582</v>
      </c>
      <c r="AB15">
        <f t="shared" si="1"/>
        <v>5.9582142857142859</v>
      </c>
      <c r="AC15">
        <f t="shared" si="2"/>
        <v>6.28</v>
      </c>
      <c r="AD15">
        <f t="shared" si="3"/>
        <v>6.7500000000000009</v>
      </c>
      <c r="AE15">
        <f t="shared" si="4"/>
        <v>4.8250000000000002</v>
      </c>
      <c r="AF15">
        <f t="shared" si="5"/>
        <v>4.875</v>
      </c>
      <c r="AG15">
        <f t="array" ref="AG15">MEDIAN(IF($N$2:$N$204=$Z15,$Q$2:$Q$204))</f>
        <v>5.3500000000000005</v>
      </c>
      <c r="AH15">
        <f t="array" ref="AH15">MEDIAN(IF($U$2:$U$257=$Z15,$X$2:$X$257))</f>
        <v>5.8049999999999997</v>
      </c>
    </row>
    <row r="16" spans="1:34" x14ac:dyDescent="0.3">
      <c r="A16" t="s">
        <v>43</v>
      </c>
      <c r="B16" t="s">
        <v>718</v>
      </c>
      <c r="C16" s="16" t="s">
        <v>272</v>
      </c>
      <c r="D16" s="16">
        <v>3</v>
      </c>
      <c r="E16" t="s">
        <v>1524</v>
      </c>
      <c r="F16" t="s">
        <v>1557</v>
      </c>
      <c r="G16" t="s">
        <v>1656</v>
      </c>
      <c r="H16" t="s">
        <v>344</v>
      </c>
      <c r="I16" s="87">
        <v>5.6049999999999995</v>
      </c>
      <c r="M16" t="s">
        <v>9</v>
      </c>
      <c r="N16" t="s">
        <v>60</v>
      </c>
      <c r="O16" t="s">
        <v>12</v>
      </c>
      <c r="P16" t="s">
        <v>16</v>
      </c>
      <c r="Q16" s="87">
        <v>6.0250000000000004</v>
      </c>
      <c r="T16" t="s">
        <v>45</v>
      </c>
      <c r="U16" t="s">
        <v>68</v>
      </c>
      <c r="V16" t="s">
        <v>29</v>
      </c>
      <c r="W16" t="s">
        <v>20</v>
      </c>
      <c r="X16" s="87">
        <v>5.625</v>
      </c>
      <c r="Z16" t="s">
        <v>58</v>
      </c>
      <c r="AA16">
        <f t="shared" si="0"/>
        <v>5.6187499999999995</v>
      </c>
      <c r="AB16">
        <f t="shared" si="1"/>
        <v>6.7050000000000001</v>
      </c>
      <c r="AC16">
        <f t="shared" si="2"/>
        <v>5.9749999999999996</v>
      </c>
      <c r="AD16">
        <f t="shared" si="3"/>
        <v>6.7050000000000001</v>
      </c>
      <c r="AE16">
        <f t="shared" si="4"/>
        <v>5.3249999999999993</v>
      </c>
      <c r="AF16">
        <f t="shared" si="5"/>
        <v>6.7050000000000001</v>
      </c>
      <c r="AG16">
        <f t="array" ref="AG16">MEDIAN(IF($N$2:$N$204=$Z16,$Q$2:$Q$204))</f>
        <v>5.5875000000000004</v>
      </c>
      <c r="AH16">
        <f t="array" ref="AH16">MEDIAN(IF($U$2:$U$257=$Z16,$X$2:$X$257))</f>
        <v>6.7050000000000001</v>
      </c>
    </row>
    <row r="17" spans="1:34" x14ac:dyDescent="0.3">
      <c r="A17" t="s">
        <v>45</v>
      </c>
      <c r="B17" t="s">
        <v>719</v>
      </c>
      <c r="C17" s="16" t="s">
        <v>272</v>
      </c>
      <c r="D17" s="16">
        <v>3</v>
      </c>
      <c r="E17" t="s">
        <v>1524</v>
      </c>
      <c r="F17" t="s">
        <v>282</v>
      </c>
      <c r="G17" t="s">
        <v>1568</v>
      </c>
      <c r="H17" t="s">
        <v>1570</v>
      </c>
      <c r="I17" s="87">
        <v>5.5750000000000011</v>
      </c>
      <c r="M17" t="s">
        <v>45</v>
      </c>
      <c r="N17" t="s">
        <v>53</v>
      </c>
      <c r="O17" t="s">
        <v>12</v>
      </c>
      <c r="P17" t="s">
        <v>15</v>
      </c>
      <c r="Q17" s="87">
        <v>4.9250000000000007</v>
      </c>
      <c r="T17" t="s">
        <v>45</v>
      </c>
      <c r="U17" t="s">
        <v>68</v>
      </c>
      <c r="V17" t="s">
        <v>29</v>
      </c>
      <c r="W17" t="s">
        <v>26</v>
      </c>
      <c r="X17" s="87">
        <v>5.375</v>
      </c>
      <c r="Z17" t="s">
        <v>61</v>
      </c>
      <c r="AA17">
        <f t="shared" si="0"/>
        <v>7.0566666666666675</v>
      </c>
      <c r="AB17">
        <f t="shared" si="1"/>
        <v>5.75</v>
      </c>
      <c r="AC17">
        <f t="shared" si="2"/>
        <v>8.15</v>
      </c>
      <c r="AD17">
        <f t="shared" si="3"/>
        <v>5.75</v>
      </c>
      <c r="AE17">
        <f t="shared" si="4"/>
        <v>5.3500000000000005</v>
      </c>
      <c r="AF17">
        <f t="shared" si="5"/>
        <v>5.75</v>
      </c>
      <c r="AG17">
        <f t="array" ref="AG17">MEDIAN(IF($N$2:$N$204=$Z17,$Q$2:$Q$204))</f>
        <v>7.6700000000000008</v>
      </c>
      <c r="AH17">
        <f t="array" ref="AH17">MEDIAN(IF($U$2:$U$257=$Z17,$X$2:$X$257))</f>
        <v>5.75</v>
      </c>
    </row>
    <row r="18" spans="1:34" x14ac:dyDescent="0.3">
      <c r="A18" t="s">
        <v>45</v>
      </c>
      <c r="B18" t="s">
        <v>720</v>
      </c>
      <c r="C18" s="16" t="s">
        <v>272</v>
      </c>
      <c r="D18" s="16">
        <v>3</v>
      </c>
      <c r="E18" t="s">
        <v>1524</v>
      </c>
      <c r="F18" t="s">
        <v>1537</v>
      </c>
      <c r="G18" t="s">
        <v>1567</v>
      </c>
      <c r="H18" t="s">
        <v>1658</v>
      </c>
      <c r="I18" s="87">
        <v>5.9</v>
      </c>
      <c r="M18" t="s">
        <v>45</v>
      </c>
      <c r="N18" t="s">
        <v>53</v>
      </c>
      <c r="O18" t="s">
        <v>12</v>
      </c>
      <c r="P18" t="s">
        <v>14</v>
      </c>
      <c r="Q18" s="87">
        <v>4.9250000000000007</v>
      </c>
      <c r="T18" t="s">
        <v>45</v>
      </c>
      <c r="U18" t="s">
        <v>68</v>
      </c>
      <c r="V18" t="s">
        <v>29</v>
      </c>
      <c r="W18" t="s">
        <v>22</v>
      </c>
      <c r="X18" s="87">
        <v>5.8550000000000004</v>
      </c>
      <c r="Z18" t="s">
        <v>66</v>
      </c>
      <c r="AA18">
        <f t="shared" si="0"/>
        <v>5.2550000000000008</v>
      </c>
      <c r="AB18">
        <f t="shared" si="1"/>
        <v>5.453125</v>
      </c>
      <c r="AC18">
        <f t="shared" si="2"/>
        <v>5.4050000000000002</v>
      </c>
      <c r="AD18">
        <f t="shared" si="3"/>
        <v>5.9749999999999996</v>
      </c>
      <c r="AE18">
        <f t="shared" si="4"/>
        <v>5.2250000000000005</v>
      </c>
      <c r="AF18">
        <f t="shared" si="5"/>
        <v>5.3500000000000005</v>
      </c>
      <c r="AG18">
        <f t="array" ref="AG18">MEDIAN(IF($N$2:$N$204=$Z18,$Q$2:$Q$204))</f>
        <v>5.2250000000000005</v>
      </c>
      <c r="AH18">
        <f t="array" ref="AH18">MEDIAN(IF($U$2:$U$257=$Z18,$X$2:$X$257))</f>
        <v>5.375</v>
      </c>
    </row>
    <row r="19" spans="1:34" x14ac:dyDescent="0.3">
      <c r="A19" t="s">
        <v>45</v>
      </c>
      <c r="B19" t="s">
        <v>721</v>
      </c>
      <c r="C19" s="16" t="s">
        <v>272</v>
      </c>
      <c r="D19" s="16">
        <v>3</v>
      </c>
      <c r="E19" t="s">
        <v>1524</v>
      </c>
      <c r="F19" t="s">
        <v>1537</v>
      </c>
      <c r="G19" t="s">
        <v>1567</v>
      </c>
      <c r="H19" t="s">
        <v>1658</v>
      </c>
      <c r="I19" s="87">
        <v>5.9</v>
      </c>
      <c r="M19" t="s">
        <v>45</v>
      </c>
      <c r="N19" t="s">
        <v>53</v>
      </c>
      <c r="O19" t="s">
        <v>12</v>
      </c>
      <c r="P19" t="s">
        <v>11</v>
      </c>
      <c r="Q19" s="87">
        <v>5.375</v>
      </c>
      <c r="T19" t="s">
        <v>45</v>
      </c>
      <c r="U19" t="s">
        <v>68</v>
      </c>
      <c r="V19" t="s">
        <v>29</v>
      </c>
      <c r="W19" t="s">
        <v>27</v>
      </c>
      <c r="X19" s="87">
        <v>5.375</v>
      </c>
      <c r="Z19" t="s">
        <v>55</v>
      </c>
      <c r="AA19">
        <f t="shared" si="0"/>
        <v>6.0916666666666659</v>
      </c>
      <c r="AB19">
        <f t="shared" si="1"/>
        <v>5.9916666666666671</v>
      </c>
      <c r="AC19">
        <f t="shared" si="2"/>
        <v>6.1</v>
      </c>
      <c r="AD19">
        <f t="shared" si="3"/>
        <v>6.2850000000000001</v>
      </c>
      <c r="AE19">
        <f t="shared" si="4"/>
        <v>6.0750000000000002</v>
      </c>
      <c r="AF19">
        <f t="shared" si="5"/>
        <v>5.46</v>
      </c>
      <c r="AG19">
        <f t="array" ref="AG19">MEDIAN(IF($N$2:$N$204=$Z19,$Q$2:$Q$204))</f>
        <v>6.1</v>
      </c>
      <c r="AH19">
        <f t="array" ref="AH19">MEDIAN(IF($U$2:$U$257=$Z19,$X$2:$X$257))</f>
        <v>6.23</v>
      </c>
    </row>
    <row r="20" spans="1:34" x14ac:dyDescent="0.3">
      <c r="A20" t="s">
        <v>45</v>
      </c>
      <c r="B20" t="s">
        <v>722</v>
      </c>
      <c r="C20" s="16" t="s">
        <v>272</v>
      </c>
      <c r="D20" s="16">
        <v>3</v>
      </c>
      <c r="E20" t="s">
        <v>1524</v>
      </c>
      <c r="F20" t="s">
        <v>282</v>
      </c>
      <c r="G20" t="s">
        <v>1566</v>
      </c>
      <c r="H20" t="s">
        <v>1574</v>
      </c>
      <c r="I20" s="87">
        <v>5.4250000000000007</v>
      </c>
      <c r="M20" t="s">
        <v>45</v>
      </c>
      <c r="N20" t="s">
        <v>53</v>
      </c>
      <c r="O20" t="s">
        <v>12</v>
      </c>
      <c r="P20" t="s">
        <v>16</v>
      </c>
      <c r="Q20" s="87">
        <v>5.3500000000000005</v>
      </c>
      <c r="T20" t="s">
        <v>9</v>
      </c>
      <c r="U20" t="s">
        <v>60</v>
      </c>
      <c r="V20" t="s">
        <v>29</v>
      </c>
      <c r="W20" t="s">
        <v>21</v>
      </c>
      <c r="X20" s="87">
        <v>5.8650000000000002</v>
      </c>
      <c r="Z20" t="s">
        <v>54</v>
      </c>
      <c r="AA20">
        <f t="shared" si="0"/>
        <v>6</v>
      </c>
      <c r="AB20">
        <f t="shared" si="1"/>
        <v>6.125</v>
      </c>
      <c r="AC20">
        <f t="shared" si="2"/>
        <v>6</v>
      </c>
      <c r="AD20">
        <f t="shared" si="3"/>
        <v>6.125</v>
      </c>
      <c r="AE20">
        <f t="shared" si="4"/>
        <v>6</v>
      </c>
      <c r="AF20">
        <f t="shared" si="5"/>
        <v>6.125</v>
      </c>
      <c r="AG20">
        <f t="array" ref="AG20">MEDIAN(IF($N$2:$N$204=$Z20,$Q$2:$Q$204))</f>
        <v>6</v>
      </c>
      <c r="AH20">
        <f t="array" ref="AH20">MEDIAN(IF($U$2:$U$257=$Z20,$X$2:$X$257))</f>
        <v>6.125</v>
      </c>
    </row>
    <row r="21" spans="1:34" x14ac:dyDescent="0.3">
      <c r="A21" t="s">
        <v>45</v>
      </c>
      <c r="B21" t="s">
        <v>723</v>
      </c>
      <c r="C21" s="16" t="s">
        <v>272</v>
      </c>
      <c r="D21" s="16">
        <v>3</v>
      </c>
      <c r="E21" t="s">
        <v>1524</v>
      </c>
      <c r="F21" t="s">
        <v>282</v>
      </c>
      <c r="G21" t="s">
        <v>1566</v>
      </c>
      <c r="H21" t="s">
        <v>1574</v>
      </c>
      <c r="I21" s="87">
        <v>5.4250000000000007</v>
      </c>
      <c r="M21" t="s">
        <v>9</v>
      </c>
      <c r="N21" t="s">
        <v>76</v>
      </c>
      <c r="O21" t="s">
        <v>12</v>
      </c>
      <c r="P21" t="s">
        <v>15</v>
      </c>
      <c r="Q21" s="87">
        <v>7.5749999999999993</v>
      </c>
      <c r="T21" t="s">
        <v>9</v>
      </c>
      <c r="U21" t="s">
        <v>60</v>
      </c>
      <c r="V21" t="s">
        <v>29</v>
      </c>
      <c r="W21" t="s">
        <v>19</v>
      </c>
      <c r="X21" s="87">
        <v>8.4</v>
      </c>
      <c r="Z21" t="s">
        <v>52</v>
      </c>
      <c r="AA21">
        <f t="shared" si="0"/>
        <v>6.2987500000000001</v>
      </c>
      <c r="AB21">
        <f t="shared" si="1"/>
        <v>5.918333333333333</v>
      </c>
      <c r="AC21">
        <f t="shared" si="2"/>
        <v>7.620000000000001</v>
      </c>
      <c r="AD21">
        <f t="shared" si="3"/>
        <v>6.1749999999999998</v>
      </c>
      <c r="AE21">
        <f t="shared" si="4"/>
        <v>5.4499999999999993</v>
      </c>
      <c r="AF21">
        <f t="shared" si="5"/>
        <v>5.375</v>
      </c>
      <c r="AG21">
        <f t="array" ref="AG21">MEDIAN(IF($N$2:$N$204=$Z21,$Q$2:$Q$204))</f>
        <v>6.0625</v>
      </c>
      <c r="AH21">
        <f t="array" ref="AH21">MEDIAN(IF($U$2:$U$257=$Z21,$X$2:$X$257))</f>
        <v>6.0875000000000004</v>
      </c>
    </row>
    <row r="22" spans="1:34" x14ac:dyDescent="0.3">
      <c r="A22" t="s">
        <v>45</v>
      </c>
      <c r="B22" t="s">
        <v>724</v>
      </c>
      <c r="C22" s="16" t="s">
        <v>272</v>
      </c>
      <c r="D22" s="16">
        <v>2</v>
      </c>
      <c r="E22" t="s">
        <v>1524</v>
      </c>
      <c r="F22" t="s">
        <v>282</v>
      </c>
      <c r="G22" t="s">
        <v>342</v>
      </c>
      <c r="H22" t="s">
        <v>344</v>
      </c>
      <c r="I22" s="87">
        <v>5.8650000000000002</v>
      </c>
      <c r="M22" t="s">
        <v>9</v>
      </c>
      <c r="N22" t="s">
        <v>76</v>
      </c>
      <c r="O22" t="s">
        <v>12</v>
      </c>
      <c r="P22" t="s">
        <v>14</v>
      </c>
      <c r="Q22" s="87">
        <v>5.75</v>
      </c>
      <c r="T22" t="s">
        <v>9</v>
      </c>
      <c r="U22" t="s">
        <v>60</v>
      </c>
      <c r="V22" t="s">
        <v>29</v>
      </c>
      <c r="W22" t="s">
        <v>17</v>
      </c>
      <c r="X22" s="87">
        <v>5.8550000000000004</v>
      </c>
      <c r="Z22" t="s">
        <v>69</v>
      </c>
      <c r="AA22">
        <f t="shared" si="0"/>
        <v>5.5705</v>
      </c>
      <c r="AB22">
        <f t="shared" si="1"/>
        <v>6.099166666666668</v>
      </c>
      <c r="AC22">
        <f t="shared" si="2"/>
        <v>5.9</v>
      </c>
      <c r="AD22">
        <f t="shared" si="3"/>
        <v>7.2650000000000006</v>
      </c>
      <c r="AE22">
        <f t="shared" si="4"/>
        <v>5.3</v>
      </c>
      <c r="AF22">
        <f t="shared" si="5"/>
        <v>4.9250000000000007</v>
      </c>
      <c r="AG22">
        <f t="array" ref="AG22">MEDIAN(IF($N$2:$N$204=$Z22,$Q$2:$Q$204))</f>
        <v>5.5375000000000005</v>
      </c>
      <c r="AH22">
        <f t="array" ref="AH22">MEDIAN(IF($U$2:$U$257=$Z22,$X$2:$X$257))</f>
        <v>5.7375000000000007</v>
      </c>
    </row>
    <row r="23" spans="1:34" x14ac:dyDescent="0.3">
      <c r="A23" t="s">
        <v>45</v>
      </c>
      <c r="B23" t="s">
        <v>725</v>
      </c>
      <c r="C23" s="16" t="s">
        <v>272</v>
      </c>
      <c r="D23" s="16">
        <v>3</v>
      </c>
      <c r="E23" t="s">
        <v>1524</v>
      </c>
      <c r="F23" t="s">
        <v>1540</v>
      </c>
      <c r="G23" t="s">
        <v>1567</v>
      </c>
      <c r="H23" t="s">
        <v>344</v>
      </c>
      <c r="I23" s="87">
        <v>5.375</v>
      </c>
      <c r="M23" t="s">
        <v>9</v>
      </c>
      <c r="N23" t="s">
        <v>76</v>
      </c>
      <c r="O23" t="s">
        <v>12</v>
      </c>
      <c r="P23" t="s">
        <v>11</v>
      </c>
      <c r="Q23" s="87">
        <v>4.9250000000000007</v>
      </c>
      <c r="T23" t="s">
        <v>9</v>
      </c>
      <c r="U23" t="s">
        <v>60</v>
      </c>
      <c r="V23" t="s">
        <v>29</v>
      </c>
      <c r="W23" t="s">
        <v>20</v>
      </c>
      <c r="X23" s="87">
        <v>6.28</v>
      </c>
      <c r="Z23" t="s">
        <v>48</v>
      </c>
      <c r="AA23">
        <f t="shared" si="0"/>
        <v>5.6885714285714286</v>
      </c>
      <c r="AB23">
        <f t="shared" si="1"/>
        <v>6.8950000000000005</v>
      </c>
      <c r="AC23">
        <f t="shared" si="2"/>
        <v>5.8550000000000004</v>
      </c>
      <c r="AD23">
        <f t="shared" si="3"/>
        <v>9.0750000000000011</v>
      </c>
      <c r="AE23">
        <f t="shared" si="4"/>
        <v>5.45</v>
      </c>
      <c r="AF23">
        <f t="shared" si="5"/>
        <v>5.4249999999999998</v>
      </c>
      <c r="AG23">
        <f t="array" ref="AG23">MEDIAN(IF($N$2:$N$204=$Z23,$Q$2:$Q$204))</f>
        <v>5.8550000000000004</v>
      </c>
      <c r="AH23">
        <f t="array" ref="AH23">MEDIAN(IF($U$2:$U$257=$Z23,$X$2:$X$257))</f>
        <v>6.5775000000000006</v>
      </c>
    </row>
    <row r="24" spans="1:34" x14ac:dyDescent="0.3">
      <c r="A24" t="s">
        <v>45</v>
      </c>
      <c r="B24" t="s">
        <v>726</v>
      </c>
      <c r="C24" s="16" t="s">
        <v>272</v>
      </c>
      <c r="D24" s="16">
        <v>2</v>
      </c>
      <c r="E24" t="s">
        <v>1524</v>
      </c>
      <c r="F24" t="s">
        <v>282</v>
      </c>
      <c r="G24" t="s">
        <v>342</v>
      </c>
      <c r="H24" t="s">
        <v>344</v>
      </c>
      <c r="I24" s="87">
        <v>5.8650000000000002</v>
      </c>
      <c r="M24" t="s">
        <v>9</v>
      </c>
      <c r="N24" t="s">
        <v>76</v>
      </c>
      <c r="O24" t="s">
        <v>12</v>
      </c>
      <c r="P24" t="s">
        <v>19</v>
      </c>
      <c r="Q24" s="87">
        <v>5.5500000000000007</v>
      </c>
      <c r="T24" t="s">
        <v>9</v>
      </c>
      <c r="U24" t="s">
        <v>60</v>
      </c>
      <c r="V24" t="s">
        <v>29</v>
      </c>
      <c r="W24" t="s">
        <v>22</v>
      </c>
      <c r="X24" s="87">
        <v>4.9250000000000007</v>
      </c>
      <c r="Z24" t="s">
        <v>56</v>
      </c>
      <c r="AA24">
        <f t="shared" si="0"/>
        <v>6.5912500000000005</v>
      </c>
      <c r="AB24">
        <f t="shared" si="1"/>
        <v>6.2837499999999995</v>
      </c>
      <c r="AC24">
        <f t="shared" si="2"/>
        <v>7.620000000000001</v>
      </c>
      <c r="AD24">
        <f t="shared" si="3"/>
        <v>6.4649999999999999</v>
      </c>
      <c r="AE24">
        <f t="shared" si="4"/>
        <v>5.4249999999999998</v>
      </c>
      <c r="AF24">
        <f t="shared" si="5"/>
        <v>6.1749999999999998</v>
      </c>
      <c r="AG24">
        <f t="array" ref="AG24">MEDIAN(IF($N$2:$N$204=$Z24,$Q$2:$Q$204))</f>
        <v>6.66</v>
      </c>
      <c r="AH24">
        <f t="array" ref="AH24">MEDIAN(IF($U$2:$U$257=$Z24,$X$2:$X$257))</f>
        <v>6.1749999999999998</v>
      </c>
    </row>
    <row r="25" spans="1:34" x14ac:dyDescent="0.3">
      <c r="A25" t="s">
        <v>45</v>
      </c>
      <c r="B25" t="s">
        <v>727</v>
      </c>
      <c r="C25" s="16" t="s">
        <v>272</v>
      </c>
      <c r="D25" s="16">
        <v>3</v>
      </c>
      <c r="E25" t="s">
        <v>1524</v>
      </c>
      <c r="F25" t="s">
        <v>1658</v>
      </c>
      <c r="G25" t="s">
        <v>1568</v>
      </c>
      <c r="H25" t="s">
        <v>344</v>
      </c>
      <c r="I25" s="87">
        <v>5.625</v>
      </c>
      <c r="M25" t="s">
        <v>9</v>
      </c>
      <c r="N25" t="s">
        <v>76</v>
      </c>
      <c r="O25" t="s">
        <v>12</v>
      </c>
      <c r="P25" t="s">
        <v>17</v>
      </c>
      <c r="Q25" s="87">
        <v>5.5250000000000004</v>
      </c>
      <c r="T25" t="s">
        <v>45</v>
      </c>
      <c r="U25" t="s">
        <v>53</v>
      </c>
      <c r="V25" t="s">
        <v>29</v>
      </c>
      <c r="W25" t="s">
        <v>19</v>
      </c>
      <c r="X25" s="87">
        <v>5.4050000000000002</v>
      </c>
      <c r="Z25" t="s">
        <v>67</v>
      </c>
      <c r="AA25">
        <f t="shared" si="0"/>
        <v>5.6833333333333336</v>
      </c>
      <c r="AB25">
        <f t="shared" si="1"/>
        <v>5.2286363636363626</v>
      </c>
      <c r="AC25">
        <f t="shared" si="2"/>
        <v>6.125</v>
      </c>
      <c r="AD25">
        <f t="shared" si="3"/>
        <v>5.8049999999999997</v>
      </c>
      <c r="AE25">
        <f t="shared" si="4"/>
        <v>5.3250000000000002</v>
      </c>
      <c r="AF25">
        <f t="shared" si="5"/>
        <v>4.875</v>
      </c>
      <c r="AG25">
        <f t="array" ref="AG25">MEDIAN(IF($N$2:$N$204=$Z25,$Q$2:$Q$204))</f>
        <v>5.6624999999999996</v>
      </c>
      <c r="AH25">
        <f t="array" ref="AH25">MEDIAN(IF($U$2:$U$257=$Z25,$X$2:$X$257))</f>
        <v>4.9250000000000007</v>
      </c>
    </row>
    <row r="26" spans="1:34" x14ac:dyDescent="0.3">
      <c r="A26" t="s">
        <v>45</v>
      </c>
      <c r="B26" t="s">
        <v>728</v>
      </c>
      <c r="C26" s="16" t="s">
        <v>272</v>
      </c>
      <c r="D26" s="16">
        <v>3</v>
      </c>
      <c r="E26" t="s">
        <v>1524</v>
      </c>
      <c r="F26" t="s">
        <v>1557</v>
      </c>
      <c r="G26" t="s">
        <v>1566</v>
      </c>
      <c r="H26" t="s">
        <v>344</v>
      </c>
      <c r="I26" s="87">
        <v>5.375</v>
      </c>
      <c r="M26" t="s">
        <v>9</v>
      </c>
      <c r="N26" t="s">
        <v>76</v>
      </c>
      <c r="O26" t="s">
        <v>12</v>
      </c>
      <c r="P26" t="s">
        <v>16</v>
      </c>
      <c r="Q26" s="87">
        <v>5.2250000000000005</v>
      </c>
      <c r="T26" t="s">
        <v>45</v>
      </c>
      <c r="U26" t="s">
        <v>53</v>
      </c>
      <c r="V26" t="s">
        <v>29</v>
      </c>
      <c r="W26" t="s">
        <v>17</v>
      </c>
      <c r="X26" s="87">
        <v>5.375</v>
      </c>
      <c r="Z26" t="s">
        <v>44</v>
      </c>
      <c r="AA26">
        <f t="shared" si="0"/>
        <v>5.5478571428571426</v>
      </c>
      <c r="AB26">
        <f t="shared" si="1"/>
        <v>5.2859999999999996</v>
      </c>
      <c r="AC26">
        <f t="shared" si="2"/>
        <v>5.9550000000000001</v>
      </c>
      <c r="AD26">
        <f t="shared" si="3"/>
        <v>5.8049999999999997</v>
      </c>
      <c r="AE26">
        <f t="shared" si="4"/>
        <v>4.875</v>
      </c>
      <c r="AF26">
        <f t="shared" si="5"/>
        <v>4.875</v>
      </c>
      <c r="AG26">
        <f t="array" ref="AG26">MEDIAN(IF($N$2:$N$204=$Z26,$Q$2:$Q$204))</f>
        <v>5.7550000000000008</v>
      </c>
      <c r="AH26">
        <f t="array" ref="AH26">MEDIAN(IF($U$2:$U$257=$Z26,$X$2:$X$257))</f>
        <v>5.4250000000000007</v>
      </c>
    </row>
    <row r="27" spans="1:34" x14ac:dyDescent="0.3">
      <c r="A27" t="s">
        <v>45</v>
      </c>
      <c r="B27" t="s">
        <v>729</v>
      </c>
      <c r="C27" s="16" t="s">
        <v>272</v>
      </c>
      <c r="D27" s="16">
        <v>3</v>
      </c>
      <c r="E27" t="s">
        <v>1524</v>
      </c>
      <c r="F27" t="s">
        <v>1658</v>
      </c>
      <c r="G27" t="s">
        <v>1568</v>
      </c>
      <c r="H27" t="s">
        <v>344</v>
      </c>
      <c r="I27" s="87">
        <v>5.625</v>
      </c>
      <c r="M27" t="s">
        <v>9</v>
      </c>
      <c r="N27" t="s">
        <v>76</v>
      </c>
      <c r="O27" t="s">
        <v>12</v>
      </c>
      <c r="P27" t="s">
        <v>20</v>
      </c>
      <c r="Q27" s="87">
        <v>5.61</v>
      </c>
      <c r="T27" t="s">
        <v>9</v>
      </c>
      <c r="U27" t="s">
        <v>76</v>
      </c>
      <c r="V27" t="s">
        <v>29</v>
      </c>
      <c r="W27" t="s">
        <v>23</v>
      </c>
      <c r="X27" s="87">
        <v>5.5</v>
      </c>
      <c r="Z27" t="s">
        <v>75</v>
      </c>
      <c r="AA27">
        <f t="shared" si="0"/>
        <v>6.2950000000000008</v>
      </c>
      <c r="AB27">
        <f t="shared" si="1"/>
        <v>6.1016666666666675</v>
      </c>
      <c r="AC27">
        <f t="shared" si="2"/>
        <v>6.4649999999999999</v>
      </c>
      <c r="AD27">
        <f t="shared" si="3"/>
        <v>6.4649999999999999</v>
      </c>
      <c r="AE27">
        <f t="shared" si="4"/>
        <v>5.6000000000000005</v>
      </c>
      <c r="AF27">
        <f t="shared" si="5"/>
        <v>5.6000000000000005</v>
      </c>
      <c r="AG27">
        <f t="array" ref="AG27">MEDIAN(IF($N$2:$N$204=$Z27,$Q$2:$Q$204))</f>
        <v>6.4150000000000009</v>
      </c>
      <c r="AH27">
        <f t="array" ref="AH27">MEDIAN(IF($U$2:$U$257=$Z27,$X$2:$X$257))</f>
        <v>6.1</v>
      </c>
    </row>
    <row r="28" spans="1:34" x14ac:dyDescent="0.3">
      <c r="A28" t="s">
        <v>45</v>
      </c>
      <c r="B28" t="s">
        <v>730</v>
      </c>
      <c r="C28" s="16" t="s">
        <v>272</v>
      </c>
      <c r="D28" s="16">
        <v>3</v>
      </c>
      <c r="E28" t="s">
        <v>1524</v>
      </c>
      <c r="F28" t="s">
        <v>1540</v>
      </c>
      <c r="G28" t="s">
        <v>1567</v>
      </c>
      <c r="H28" t="s">
        <v>344</v>
      </c>
      <c r="I28" s="87">
        <v>5.375</v>
      </c>
      <c r="M28" t="s">
        <v>43</v>
      </c>
      <c r="N28" t="s">
        <v>73</v>
      </c>
      <c r="O28" t="s">
        <v>12</v>
      </c>
      <c r="P28" t="s">
        <v>19</v>
      </c>
      <c r="Q28" s="87">
        <v>8.8250000000000011</v>
      </c>
      <c r="T28" t="s">
        <v>9</v>
      </c>
      <c r="U28" t="s">
        <v>76</v>
      </c>
      <c r="V28" t="s">
        <v>29</v>
      </c>
      <c r="W28" t="s">
        <v>25</v>
      </c>
      <c r="X28" s="87">
        <v>5.0500000000000007</v>
      </c>
      <c r="Z28" t="s">
        <v>71</v>
      </c>
      <c r="AA28">
        <f t="shared" si="0"/>
        <v>5.2250000000000005</v>
      </c>
      <c r="AB28">
        <f t="shared" si="1"/>
        <v>5.3250000000000011</v>
      </c>
      <c r="AC28">
        <f t="shared" si="2"/>
        <v>5.2250000000000005</v>
      </c>
      <c r="AD28">
        <f t="shared" si="3"/>
        <v>5.4250000000000007</v>
      </c>
      <c r="AE28">
        <f t="shared" si="4"/>
        <v>5.2250000000000005</v>
      </c>
      <c r="AF28">
        <f t="shared" si="5"/>
        <v>4.9250000000000007</v>
      </c>
      <c r="AG28">
        <f t="array" ref="AG28">MEDIAN(IF($N$2:$N$204=$Z28,$Q$2:$Q$204))</f>
        <v>5.2250000000000005</v>
      </c>
      <c r="AH28">
        <f t="array" ref="AH28">MEDIAN(IF($U$2:$U$257=$Z28,$X$2:$X$257))</f>
        <v>5.4250000000000007</v>
      </c>
    </row>
    <row r="29" spans="1:34" x14ac:dyDescent="0.3">
      <c r="A29" t="s">
        <v>45</v>
      </c>
      <c r="B29" t="s">
        <v>731</v>
      </c>
      <c r="C29" s="16" t="s">
        <v>272</v>
      </c>
      <c r="D29" s="16">
        <v>2</v>
      </c>
      <c r="E29" t="s">
        <v>1524</v>
      </c>
      <c r="F29" t="s">
        <v>282</v>
      </c>
      <c r="G29" t="s">
        <v>341</v>
      </c>
      <c r="H29" t="s">
        <v>344</v>
      </c>
      <c r="I29" s="87">
        <v>5.8550000000000004</v>
      </c>
      <c r="M29" t="s">
        <v>43</v>
      </c>
      <c r="N29" t="s">
        <v>73</v>
      </c>
      <c r="O29" t="s">
        <v>12</v>
      </c>
      <c r="P29" t="s">
        <v>15</v>
      </c>
      <c r="Q29" s="87">
        <v>5.5</v>
      </c>
      <c r="T29" t="s">
        <v>9</v>
      </c>
      <c r="U29" t="s">
        <v>76</v>
      </c>
      <c r="V29" t="s">
        <v>29</v>
      </c>
      <c r="W29" t="s">
        <v>24</v>
      </c>
      <c r="X29" s="87">
        <v>5.4750000000000005</v>
      </c>
      <c r="Z29" t="s">
        <v>74</v>
      </c>
      <c r="AA29">
        <f t="shared" si="0"/>
        <v>5.7650000000000006</v>
      </c>
      <c r="AB29">
        <f t="shared" si="1"/>
        <v>5.2625000000000002</v>
      </c>
      <c r="AC29">
        <f t="shared" si="2"/>
        <v>5.9749999999999996</v>
      </c>
      <c r="AD29">
        <f t="shared" si="3"/>
        <v>5.4750000000000005</v>
      </c>
      <c r="AE29">
        <f t="shared" si="4"/>
        <v>5.625</v>
      </c>
      <c r="AF29">
        <f t="shared" si="5"/>
        <v>5.0500000000000007</v>
      </c>
      <c r="AG29">
        <f t="array" ref="AG29">MEDIAN(IF($N$2:$N$204=$Z29,$Q$2:$Q$204))</f>
        <v>5.65</v>
      </c>
      <c r="AH29">
        <f t="array" ref="AH29">MEDIAN(IF($U$2:$U$257=$Z29,$X$2:$X$257))</f>
        <v>5.2625000000000011</v>
      </c>
    </row>
    <row r="30" spans="1:34" x14ac:dyDescent="0.3">
      <c r="A30" t="s">
        <v>45</v>
      </c>
      <c r="B30" t="s">
        <v>732</v>
      </c>
      <c r="C30" s="16" t="s">
        <v>272</v>
      </c>
      <c r="D30" s="16">
        <v>3</v>
      </c>
      <c r="E30" t="s">
        <v>1524</v>
      </c>
      <c r="F30" t="s">
        <v>1540</v>
      </c>
      <c r="G30" t="s">
        <v>1567</v>
      </c>
      <c r="H30" t="s">
        <v>344</v>
      </c>
      <c r="I30" s="87">
        <v>5.375</v>
      </c>
      <c r="M30" t="s">
        <v>43</v>
      </c>
      <c r="N30" t="s">
        <v>73</v>
      </c>
      <c r="O30" t="s">
        <v>12</v>
      </c>
      <c r="P30" t="s">
        <v>23</v>
      </c>
      <c r="Q30" s="87">
        <v>5.6000000000000005</v>
      </c>
      <c r="T30" t="s">
        <v>9</v>
      </c>
      <c r="U30" t="s">
        <v>76</v>
      </c>
      <c r="V30" t="s">
        <v>29</v>
      </c>
      <c r="W30" t="s">
        <v>21</v>
      </c>
      <c r="X30" s="87">
        <v>5.8650000000000002</v>
      </c>
      <c r="Z30" t="s">
        <v>51</v>
      </c>
      <c r="AA30">
        <f t="shared" si="0"/>
        <v>5.0283333333333342</v>
      </c>
      <c r="AB30">
        <f t="shared" si="1"/>
        <v>5.3100000000000005</v>
      </c>
      <c r="AC30">
        <f t="shared" si="2"/>
        <v>5.8550000000000004</v>
      </c>
      <c r="AD30">
        <f t="shared" si="3"/>
        <v>6.3000000000000007</v>
      </c>
      <c r="AE30">
        <f t="shared" si="4"/>
        <v>4.9250000000000007</v>
      </c>
      <c r="AF30">
        <f t="shared" si="5"/>
        <v>4.9250000000000007</v>
      </c>
      <c r="AG30">
        <f t="array" ref="AG30">MEDIAN(IF($N$2:$N$204=$Z30,$Q$2:$Q$204))</f>
        <v>4.9250000000000007</v>
      </c>
      <c r="AH30">
        <f t="array" ref="AH30">MEDIAN(IF($U$2:$U$257=$Z30,$X$2:$X$257))</f>
        <v>4.9250000000000007</v>
      </c>
    </row>
    <row r="31" spans="1:34" x14ac:dyDescent="0.3">
      <c r="A31" t="s">
        <v>9</v>
      </c>
      <c r="B31" t="s">
        <v>733</v>
      </c>
      <c r="C31" s="16" t="s">
        <v>272</v>
      </c>
      <c r="D31" s="16">
        <v>3</v>
      </c>
      <c r="E31" t="s">
        <v>1524</v>
      </c>
      <c r="F31" t="s">
        <v>1560</v>
      </c>
      <c r="G31" t="s">
        <v>1567</v>
      </c>
      <c r="H31" t="s">
        <v>345</v>
      </c>
      <c r="I31" s="87">
        <v>5.4250000000000007</v>
      </c>
      <c r="M31" t="s">
        <v>43</v>
      </c>
      <c r="N31" t="s">
        <v>73</v>
      </c>
      <c r="O31" t="s">
        <v>12</v>
      </c>
      <c r="P31" t="s">
        <v>14</v>
      </c>
      <c r="Q31" s="87">
        <v>5.3249999999999993</v>
      </c>
      <c r="T31" t="s">
        <v>9</v>
      </c>
      <c r="U31" t="s">
        <v>76</v>
      </c>
      <c r="V31" t="s">
        <v>29</v>
      </c>
      <c r="W31" t="s">
        <v>30</v>
      </c>
      <c r="X31" s="87">
        <v>6.0250000000000004</v>
      </c>
      <c r="Z31" t="s">
        <v>70</v>
      </c>
      <c r="AA31">
        <f t="shared" si="0"/>
        <v>5.4875000000000007</v>
      </c>
      <c r="AB31">
        <f t="shared" si="1"/>
        <v>5.3607142857142867</v>
      </c>
      <c r="AC31">
        <f t="shared" si="2"/>
        <v>5.75</v>
      </c>
      <c r="AD31">
        <f t="shared" si="3"/>
        <v>5.8550000000000004</v>
      </c>
      <c r="AE31">
        <f t="shared" si="4"/>
        <v>5.2250000000000005</v>
      </c>
      <c r="AF31">
        <f t="shared" si="5"/>
        <v>4.9250000000000007</v>
      </c>
      <c r="AG31">
        <f t="array" ref="AG31">MEDIAN(IF($N$2:$N$204=$Z31,$Q$2:$Q$204))</f>
        <v>5.4875000000000007</v>
      </c>
      <c r="AH31">
        <f t="array" ref="AH31">MEDIAN(IF($U$2:$U$257=$Z31,$X$2:$X$257))</f>
        <v>5.4</v>
      </c>
    </row>
    <row r="32" spans="1:34" x14ac:dyDescent="0.3">
      <c r="A32" t="s">
        <v>9</v>
      </c>
      <c r="B32" t="s">
        <v>734</v>
      </c>
      <c r="C32" s="16" t="s">
        <v>272</v>
      </c>
      <c r="D32" s="16">
        <v>3</v>
      </c>
      <c r="E32" t="s">
        <v>1524</v>
      </c>
      <c r="F32" t="s">
        <v>1537</v>
      </c>
      <c r="G32" t="s">
        <v>1567</v>
      </c>
      <c r="H32" t="s">
        <v>1574</v>
      </c>
      <c r="I32" s="87">
        <v>5.7750000000000004</v>
      </c>
      <c r="M32" t="s">
        <v>43</v>
      </c>
      <c r="N32" t="s">
        <v>73</v>
      </c>
      <c r="O32" t="s">
        <v>12</v>
      </c>
      <c r="P32" t="s">
        <v>11</v>
      </c>
      <c r="Q32" s="87">
        <v>5.375</v>
      </c>
      <c r="T32" t="s">
        <v>9</v>
      </c>
      <c r="U32" t="s">
        <v>76</v>
      </c>
      <c r="V32" t="s">
        <v>29</v>
      </c>
      <c r="W32" t="s">
        <v>26</v>
      </c>
      <c r="X32" s="87">
        <v>5.0500000000000007</v>
      </c>
    </row>
    <row r="33" spans="1:24" x14ac:dyDescent="0.3">
      <c r="A33" t="s">
        <v>9</v>
      </c>
      <c r="B33" t="s">
        <v>735</v>
      </c>
      <c r="C33" s="16" t="s">
        <v>272</v>
      </c>
      <c r="D33" s="16">
        <v>3</v>
      </c>
      <c r="E33" t="s">
        <v>1524</v>
      </c>
      <c r="F33" t="s">
        <v>1537</v>
      </c>
      <c r="G33" t="s">
        <v>1567</v>
      </c>
      <c r="H33" t="s">
        <v>345</v>
      </c>
      <c r="I33" s="87">
        <v>5.1750000000000007</v>
      </c>
      <c r="M33" t="s">
        <v>43</v>
      </c>
      <c r="N33" t="s">
        <v>73</v>
      </c>
      <c r="O33" t="s">
        <v>12</v>
      </c>
      <c r="P33" t="s">
        <v>21</v>
      </c>
      <c r="Q33" s="87">
        <v>5.5500000000000007</v>
      </c>
      <c r="T33" t="s">
        <v>9</v>
      </c>
      <c r="U33" t="s">
        <v>76</v>
      </c>
      <c r="V33" t="s">
        <v>29</v>
      </c>
      <c r="W33" t="s">
        <v>22</v>
      </c>
      <c r="X33" s="87">
        <v>5.8650000000000002</v>
      </c>
    </row>
    <row r="34" spans="1:24" x14ac:dyDescent="0.3">
      <c r="A34" t="s">
        <v>9</v>
      </c>
      <c r="B34" t="s">
        <v>736</v>
      </c>
      <c r="C34" s="16" t="s">
        <v>272</v>
      </c>
      <c r="D34" s="16">
        <v>3</v>
      </c>
      <c r="E34" t="s">
        <v>1524</v>
      </c>
      <c r="F34" t="s">
        <v>1560</v>
      </c>
      <c r="G34" t="s">
        <v>1566</v>
      </c>
      <c r="H34" t="s">
        <v>1573</v>
      </c>
      <c r="I34" s="87">
        <v>6.0250000000000004</v>
      </c>
      <c r="M34" t="s">
        <v>43</v>
      </c>
      <c r="N34" t="s">
        <v>73</v>
      </c>
      <c r="O34" t="s">
        <v>12</v>
      </c>
      <c r="P34" t="s">
        <v>17</v>
      </c>
      <c r="Q34" s="87">
        <v>5.5</v>
      </c>
      <c r="T34" t="s">
        <v>9</v>
      </c>
      <c r="U34" t="s">
        <v>76</v>
      </c>
      <c r="V34" t="s">
        <v>29</v>
      </c>
      <c r="W34" t="s">
        <v>31</v>
      </c>
      <c r="X34" s="87">
        <v>5.3000000000000007</v>
      </c>
    </row>
    <row r="35" spans="1:24" x14ac:dyDescent="0.3">
      <c r="A35" t="s">
        <v>9</v>
      </c>
      <c r="B35" t="s">
        <v>737</v>
      </c>
      <c r="C35" s="16" t="s">
        <v>272</v>
      </c>
      <c r="D35" s="16">
        <v>2</v>
      </c>
      <c r="E35" t="s">
        <v>1524</v>
      </c>
      <c r="F35" t="s">
        <v>282</v>
      </c>
      <c r="G35" t="s">
        <v>342</v>
      </c>
      <c r="H35" t="s">
        <v>344</v>
      </c>
      <c r="I35" s="87">
        <v>5.8650000000000002</v>
      </c>
      <c r="M35" t="s">
        <v>43</v>
      </c>
      <c r="N35" t="s">
        <v>73</v>
      </c>
      <c r="O35" t="s">
        <v>12</v>
      </c>
      <c r="P35" t="s">
        <v>16</v>
      </c>
      <c r="Q35" s="87">
        <v>5.5</v>
      </c>
      <c r="T35" t="s">
        <v>9</v>
      </c>
      <c r="U35" t="s">
        <v>76</v>
      </c>
      <c r="V35" t="s">
        <v>29</v>
      </c>
      <c r="W35" t="s">
        <v>27</v>
      </c>
      <c r="X35" s="87">
        <v>5.6000000000000005</v>
      </c>
    </row>
    <row r="36" spans="1:24" x14ac:dyDescent="0.3">
      <c r="A36" t="s">
        <v>9</v>
      </c>
      <c r="B36" t="s">
        <v>738</v>
      </c>
      <c r="C36" s="16" t="s">
        <v>273</v>
      </c>
      <c r="D36" s="16">
        <v>2</v>
      </c>
      <c r="E36" t="s">
        <v>1525</v>
      </c>
      <c r="F36" t="s">
        <v>283</v>
      </c>
      <c r="G36" t="s">
        <v>1567</v>
      </c>
      <c r="H36" t="s">
        <v>344</v>
      </c>
      <c r="I36" s="87">
        <v>8.4</v>
      </c>
      <c r="M36" t="s">
        <v>43</v>
      </c>
      <c r="N36" t="s">
        <v>73</v>
      </c>
      <c r="O36" t="s">
        <v>12</v>
      </c>
      <c r="P36" t="s">
        <v>20</v>
      </c>
      <c r="Q36" s="87">
        <v>5.8049999999999997</v>
      </c>
      <c r="T36" t="s">
        <v>9</v>
      </c>
      <c r="U36" t="s">
        <v>76</v>
      </c>
      <c r="V36" t="s">
        <v>29</v>
      </c>
      <c r="W36" t="s">
        <v>28</v>
      </c>
      <c r="X36" s="87">
        <v>4.875</v>
      </c>
    </row>
    <row r="37" spans="1:24" x14ac:dyDescent="0.3">
      <c r="A37" t="s">
        <v>9</v>
      </c>
      <c r="B37" t="s">
        <v>739</v>
      </c>
      <c r="C37" s="16" t="s">
        <v>272</v>
      </c>
      <c r="D37" s="16">
        <v>2</v>
      </c>
      <c r="E37" t="s">
        <v>1524</v>
      </c>
      <c r="F37" t="s">
        <v>282</v>
      </c>
      <c r="G37" t="s">
        <v>341</v>
      </c>
      <c r="H37" t="s">
        <v>344</v>
      </c>
      <c r="I37" s="87">
        <v>5.8550000000000004</v>
      </c>
      <c r="M37" t="s">
        <v>43</v>
      </c>
      <c r="N37" t="s">
        <v>73</v>
      </c>
      <c r="O37" t="s">
        <v>12</v>
      </c>
      <c r="P37" t="s">
        <v>22</v>
      </c>
      <c r="Q37" s="87">
        <v>5.5500000000000007</v>
      </c>
      <c r="T37" t="s">
        <v>43</v>
      </c>
      <c r="U37" t="s">
        <v>73</v>
      </c>
      <c r="V37" t="s">
        <v>29</v>
      </c>
      <c r="W37" t="s">
        <v>33</v>
      </c>
      <c r="X37" s="87">
        <v>8.1950000000000003</v>
      </c>
    </row>
    <row r="38" spans="1:24" x14ac:dyDescent="0.3">
      <c r="A38" t="s">
        <v>9</v>
      </c>
      <c r="B38" t="s">
        <v>740</v>
      </c>
      <c r="C38" s="16" t="s">
        <v>272</v>
      </c>
      <c r="D38" s="16">
        <v>2</v>
      </c>
      <c r="E38" t="s">
        <v>1524</v>
      </c>
      <c r="F38" t="s">
        <v>1542</v>
      </c>
      <c r="G38" t="s">
        <v>341</v>
      </c>
      <c r="H38" t="s">
        <v>344</v>
      </c>
      <c r="I38" s="87">
        <v>6.28</v>
      </c>
      <c r="M38" t="s">
        <v>45</v>
      </c>
      <c r="N38" t="s">
        <v>46</v>
      </c>
      <c r="O38" t="s">
        <v>12</v>
      </c>
      <c r="P38" t="s">
        <v>15</v>
      </c>
      <c r="Q38" s="87">
        <v>6.9500000000000011</v>
      </c>
      <c r="T38" t="s">
        <v>43</v>
      </c>
      <c r="U38" t="s">
        <v>73</v>
      </c>
      <c r="V38" t="s">
        <v>29</v>
      </c>
      <c r="W38" t="s">
        <v>25</v>
      </c>
      <c r="X38" s="87">
        <v>5.8650000000000002</v>
      </c>
    </row>
    <row r="39" spans="1:24" x14ac:dyDescent="0.3">
      <c r="A39" t="s">
        <v>9</v>
      </c>
      <c r="B39" t="s">
        <v>741</v>
      </c>
      <c r="C39" s="16" t="s">
        <v>272</v>
      </c>
      <c r="D39" s="16">
        <v>3</v>
      </c>
      <c r="E39" t="s">
        <v>1524</v>
      </c>
      <c r="F39" t="s">
        <v>282</v>
      </c>
      <c r="G39" t="s">
        <v>1567</v>
      </c>
      <c r="H39" t="s">
        <v>344</v>
      </c>
      <c r="I39" s="87">
        <v>4.9250000000000007</v>
      </c>
      <c r="M39" t="s">
        <v>45</v>
      </c>
      <c r="N39" t="s">
        <v>46</v>
      </c>
      <c r="O39" t="s">
        <v>12</v>
      </c>
      <c r="P39" t="s">
        <v>14</v>
      </c>
      <c r="Q39" s="87">
        <v>6.9500000000000011</v>
      </c>
      <c r="T39" t="s">
        <v>43</v>
      </c>
      <c r="U39" t="s">
        <v>73</v>
      </c>
      <c r="V39" t="s">
        <v>29</v>
      </c>
      <c r="W39" t="s">
        <v>24</v>
      </c>
      <c r="X39" s="87">
        <v>5.8650000000000002</v>
      </c>
    </row>
    <row r="40" spans="1:24" x14ac:dyDescent="0.3">
      <c r="A40" t="s">
        <v>45</v>
      </c>
      <c r="B40" t="s">
        <v>742</v>
      </c>
      <c r="C40" s="16" t="s">
        <v>272</v>
      </c>
      <c r="D40" s="16">
        <v>3</v>
      </c>
      <c r="E40" t="s">
        <v>1524</v>
      </c>
      <c r="F40" t="s">
        <v>282</v>
      </c>
      <c r="G40" t="s">
        <v>1567</v>
      </c>
      <c r="H40" t="s">
        <v>344</v>
      </c>
      <c r="I40" s="87">
        <v>4.9250000000000007</v>
      </c>
      <c r="M40" t="s">
        <v>45</v>
      </c>
      <c r="N40" t="s">
        <v>46</v>
      </c>
      <c r="O40" t="s">
        <v>12</v>
      </c>
      <c r="P40" t="s">
        <v>11</v>
      </c>
      <c r="Q40" s="87">
        <v>6.9500000000000011</v>
      </c>
      <c r="T40" t="s">
        <v>43</v>
      </c>
      <c r="U40" t="s">
        <v>73</v>
      </c>
      <c r="V40" t="s">
        <v>29</v>
      </c>
      <c r="W40" t="s">
        <v>32</v>
      </c>
      <c r="X40" s="87">
        <v>8.7750000000000004</v>
      </c>
    </row>
    <row r="41" spans="1:24" x14ac:dyDescent="0.3">
      <c r="A41" t="s">
        <v>45</v>
      </c>
      <c r="B41" t="s">
        <v>743</v>
      </c>
      <c r="C41" s="16" t="s">
        <v>272</v>
      </c>
      <c r="D41" s="16">
        <v>3</v>
      </c>
      <c r="E41" t="s">
        <v>1524</v>
      </c>
      <c r="F41" t="s">
        <v>282</v>
      </c>
      <c r="G41" t="s">
        <v>1567</v>
      </c>
      <c r="H41" t="s">
        <v>344</v>
      </c>
      <c r="I41" s="87">
        <v>4.9250000000000007</v>
      </c>
      <c r="M41" t="s">
        <v>45</v>
      </c>
      <c r="N41" t="s">
        <v>46</v>
      </c>
      <c r="O41" t="s">
        <v>12</v>
      </c>
      <c r="P41" t="s">
        <v>19</v>
      </c>
      <c r="Q41" s="87">
        <v>7.5500000000000007</v>
      </c>
      <c r="T41" t="s">
        <v>43</v>
      </c>
      <c r="U41" t="s">
        <v>73</v>
      </c>
      <c r="V41" t="s">
        <v>29</v>
      </c>
      <c r="W41" t="s">
        <v>30</v>
      </c>
      <c r="X41" s="87">
        <v>5.8650000000000002</v>
      </c>
    </row>
    <row r="42" spans="1:24" x14ac:dyDescent="0.3">
      <c r="A42" t="s">
        <v>45</v>
      </c>
      <c r="B42" t="s">
        <v>744</v>
      </c>
      <c r="C42" s="16" t="s">
        <v>272</v>
      </c>
      <c r="D42" s="16">
        <v>3</v>
      </c>
      <c r="E42" t="s">
        <v>1524</v>
      </c>
      <c r="F42" t="s">
        <v>1540</v>
      </c>
      <c r="G42" t="s">
        <v>1567</v>
      </c>
      <c r="H42" t="s">
        <v>344</v>
      </c>
      <c r="I42" s="87">
        <v>5.375</v>
      </c>
      <c r="M42" t="s">
        <v>45</v>
      </c>
      <c r="N42" t="s">
        <v>46</v>
      </c>
      <c r="O42" t="s">
        <v>12</v>
      </c>
      <c r="P42" t="s">
        <v>17</v>
      </c>
      <c r="Q42" s="87">
        <v>6.9500000000000011</v>
      </c>
      <c r="T42" t="s">
        <v>43</v>
      </c>
      <c r="U42" t="s">
        <v>73</v>
      </c>
      <c r="V42" t="s">
        <v>29</v>
      </c>
      <c r="W42" t="s">
        <v>34</v>
      </c>
      <c r="X42" s="87">
        <v>8.754999999999999</v>
      </c>
    </row>
    <row r="43" spans="1:24" x14ac:dyDescent="0.3">
      <c r="A43" t="s">
        <v>45</v>
      </c>
      <c r="B43" t="s">
        <v>745</v>
      </c>
      <c r="C43" s="16" t="s">
        <v>272</v>
      </c>
      <c r="D43" s="16">
        <v>3</v>
      </c>
      <c r="E43" t="s">
        <v>1524</v>
      </c>
      <c r="F43" t="s">
        <v>282</v>
      </c>
      <c r="G43" t="s">
        <v>1568</v>
      </c>
      <c r="H43" t="s">
        <v>291</v>
      </c>
      <c r="I43" s="87">
        <v>5.3500000000000005</v>
      </c>
      <c r="M43" t="s">
        <v>45</v>
      </c>
      <c r="N43" t="s">
        <v>46</v>
      </c>
      <c r="O43" t="s">
        <v>12</v>
      </c>
      <c r="P43" t="s">
        <v>16</v>
      </c>
      <c r="Q43" s="87">
        <v>7.6750000000000007</v>
      </c>
      <c r="T43" t="s">
        <v>43</v>
      </c>
      <c r="U43" t="s">
        <v>73</v>
      </c>
      <c r="V43" t="s">
        <v>29</v>
      </c>
      <c r="W43" t="s">
        <v>26</v>
      </c>
      <c r="X43" s="87">
        <v>5.5750000000000011</v>
      </c>
    </row>
    <row r="44" spans="1:24" x14ac:dyDescent="0.3">
      <c r="A44" t="s">
        <v>45</v>
      </c>
      <c r="B44" t="s">
        <v>746</v>
      </c>
      <c r="C44" s="16" t="s">
        <v>272</v>
      </c>
      <c r="D44" s="16">
        <v>3</v>
      </c>
      <c r="E44" t="s">
        <v>1524</v>
      </c>
      <c r="F44" t="s">
        <v>282</v>
      </c>
      <c r="G44" t="s">
        <v>1656</v>
      </c>
      <c r="H44" t="s">
        <v>291</v>
      </c>
      <c r="I44" s="87">
        <v>5.4050000000000002</v>
      </c>
      <c r="M44" t="s">
        <v>45</v>
      </c>
      <c r="N44" t="s">
        <v>46</v>
      </c>
      <c r="O44" t="s">
        <v>12</v>
      </c>
      <c r="P44" t="s">
        <v>20</v>
      </c>
      <c r="Q44" s="87">
        <v>6.9500000000000011</v>
      </c>
      <c r="T44" t="s">
        <v>43</v>
      </c>
      <c r="U44" t="s">
        <v>73</v>
      </c>
      <c r="V44" t="s">
        <v>29</v>
      </c>
      <c r="W44" t="s">
        <v>31</v>
      </c>
      <c r="X44" s="87">
        <v>5.6000000000000005</v>
      </c>
    </row>
    <row r="45" spans="1:24" x14ac:dyDescent="0.3">
      <c r="A45" t="s">
        <v>45</v>
      </c>
      <c r="B45" t="s">
        <v>747</v>
      </c>
      <c r="C45" s="16" t="s">
        <v>272</v>
      </c>
      <c r="D45" s="16">
        <v>3</v>
      </c>
      <c r="E45" t="s">
        <v>1524</v>
      </c>
      <c r="F45" t="s">
        <v>1535</v>
      </c>
      <c r="G45" t="s">
        <v>1567</v>
      </c>
      <c r="H45" t="s">
        <v>344</v>
      </c>
      <c r="I45" s="87">
        <v>5.375</v>
      </c>
      <c r="M45" t="s">
        <v>45</v>
      </c>
      <c r="N45" t="s">
        <v>72</v>
      </c>
      <c r="O45" t="s">
        <v>12</v>
      </c>
      <c r="P45" t="s">
        <v>15</v>
      </c>
      <c r="Q45" s="87">
        <v>4.9250000000000007</v>
      </c>
      <c r="T45" t="s">
        <v>43</v>
      </c>
      <c r="U45" t="s">
        <v>73</v>
      </c>
      <c r="V45" t="s">
        <v>29</v>
      </c>
      <c r="W45" t="s">
        <v>27</v>
      </c>
      <c r="X45" s="87">
        <v>7</v>
      </c>
    </row>
    <row r="46" spans="1:24" x14ac:dyDescent="0.3">
      <c r="A46" t="s">
        <v>9</v>
      </c>
      <c r="B46" t="s">
        <v>748</v>
      </c>
      <c r="C46" s="16" t="s">
        <v>272</v>
      </c>
      <c r="D46" s="16">
        <v>3</v>
      </c>
      <c r="E46" t="s">
        <v>1657</v>
      </c>
      <c r="F46" t="s">
        <v>1658</v>
      </c>
      <c r="G46" t="s">
        <v>1566</v>
      </c>
      <c r="H46" t="s">
        <v>291</v>
      </c>
      <c r="I46" s="87">
        <v>7.5749999999999993</v>
      </c>
      <c r="M46" t="s">
        <v>45</v>
      </c>
      <c r="N46" t="s">
        <v>72</v>
      </c>
      <c r="O46" t="s">
        <v>12</v>
      </c>
      <c r="P46" t="s">
        <v>14</v>
      </c>
      <c r="Q46" s="87">
        <v>5.8550000000000004</v>
      </c>
      <c r="T46" t="s">
        <v>43</v>
      </c>
      <c r="U46" t="s">
        <v>73</v>
      </c>
      <c r="V46" t="s">
        <v>29</v>
      </c>
      <c r="W46" t="s">
        <v>28</v>
      </c>
      <c r="X46" s="87">
        <v>5.8650000000000002</v>
      </c>
    </row>
    <row r="47" spans="1:24" x14ac:dyDescent="0.3">
      <c r="A47" t="s">
        <v>9</v>
      </c>
      <c r="B47" t="s">
        <v>749</v>
      </c>
      <c r="C47" s="16" t="s">
        <v>272</v>
      </c>
      <c r="D47" s="16">
        <v>3</v>
      </c>
      <c r="E47" t="s">
        <v>1524</v>
      </c>
      <c r="F47" t="s">
        <v>1537</v>
      </c>
      <c r="G47" t="s">
        <v>1567</v>
      </c>
      <c r="H47" t="s">
        <v>1570</v>
      </c>
      <c r="I47" s="87">
        <v>5.75</v>
      </c>
      <c r="M47" t="s">
        <v>45</v>
      </c>
      <c r="N47" t="s">
        <v>72</v>
      </c>
      <c r="O47" t="s">
        <v>12</v>
      </c>
      <c r="P47" t="s">
        <v>11</v>
      </c>
      <c r="Q47" s="87">
        <v>5.8550000000000004</v>
      </c>
      <c r="T47" t="s">
        <v>43</v>
      </c>
      <c r="U47" t="s">
        <v>73</v>
      </c>
      <c r="V47" t="s">
        <v>29</v>
      </c>
      <c r="W47" t="s">
        <v>35</v>
      </c>
      <c r="X47" s="87">
        <v>8.6549999999999994</v>
      </c>
    </row>
    <row r="48" spans="1:24" x14ac:dyDescent="0.3">
      <c r="A48" t="s">
        <v>9</v>
      </c>
      <c r="B48" t="s">
        <v>750</v>
      </c>
      <c r="C48" s="16" t="s">
        <v>272</v>
      </c>
      <c r="D48" s="16">
        <v>3</v>
      </c>
      <c r="E48" t="s">
        <v>1524</v>
      </c>
      <c r="F48" t="s">
        <v>282</v>
      </c>
      <c r="G48" t="s">
        <v>1567</v>
      </c>
      <c r="H48" t="s">
        <v>344</v>
      </c>
      <c r="I48" s="87">
        <v>4.9250000000000007</v>
      </c>
      <c r="M48" t="s">
        <v>45</v>
      </c>
      <c r="N48" t="s">
        <v>72</v>
      </c>
      <c r="O48" t="s">
        <v>12</v>
      </c>
      <c r="P48" t="s">
        <v>21</v>
      </c>
      <c r="Q48" s="87">
        <v>5.8550000000000004</v>
      </c>
      <c r="T48" t="s">
        <v>45</v>
      </c>
      <c r="U48" t="s">
        <v>46</v>
      </c>
      <c r="V48" t="s">
        <v>29</v>
      </c>
      <c r="W48" t="s">
        <v>23</v>
      </c>
      <c r="X48" s="87">
        <v>6.9500000000000011</v>
      </c>
    </row>
    <row r="49" spans="1:24" x14ac:dyDescent="0.3">
      <c r="A49" t="s">
        <v>9</v>
      </c>
      <c r="B49" t="s">
        <v>751</v>
      </c>
      <c r="C49" s="16" t="s">
        <v>272</v>
      </c>
      <c r="D49" s="16">
        <v>3</v>
      </c>
      <c r="E49" t="s">
        <v>1524</v>
      </c>
      <c r="F49" t="s">
        <v>282</v>
      </c>
      <c r="G49" t="s">
        <v>1566</v>
      </c>
      <c r="H49" t="s">
        <v>1658</v>
      </c>
      <c r="I49" s="87">
        <v>5.5500000000000007</v>
      </c>
      <c r="M49" t="s">
        <v>45</v>
      </c>
      <c r="N49" t="s">
        <v>72</v>
      </c>
      <c r="O49" t="s">
        <v>12</v>
      </c>
      <c r="P49" t="s">
        <v>19</v>
      </c>
      <c r="Q49" s="87">
        <v>8.4749999999999996</v>
      </c>
      <c r="T49" t="s">
        <v>45</v>
      </c>
      <c r="U49" t="s">
        <v>46</v>
      </c>
      <c r="V49" t="s">
        <v>29</v>
      </c>
      <c r="W49" t="s">
        <v>25</v>
      </c>
      <c r="X49" s="87">
        <v>6.9500000000000011</v>
      </c>
    </row>
    <row r="50" spans="1:24" x14ac:dyDescent="0.3">
      <c r="A50" t="s">
        <v>9</v>
      </c>
      <c r="B50" t="s">
        <v>752</v>
      </c>
      <c r="C50" s="16" t="s">
        <v>272</v>
      </c>
      <c r="D50" s="16">
        <v>3</v>
      </c>
      <c r="E50" t="s">
        <v>1524</v>
      </c>
      <c r="F50" t="s">
        <v>282</v>
      </c>
      <c r="G50" t="s">
        <v>1567</v>
      </c>
      <c r="H50" t="s">
        <v>347</v>
      </c>
      <c r="I50" s="87">
        <v>5.5250000000000004</v>
      </c>
      <c r="M50" t="s">
        <v>45</v>
      </c>
      <c r="N50" t="s">
        <v>72</v>
      </c>
      <c r="O50" t="s">
        <v>12</v>
      </c>
      <c r="P50" t="s">
        <v>17</v>
      </c>
      <c r="Q50" s="87">
        <v>8.4749999999999996</v>
      </c>
      <c r="T50" t="s">
        <v>45</v>
      </c>
      <c r="U50" t="s">
        <v>46</v>
      </c>
      <c r="V50" t="s">
        <v>29</v>
      </c>
      <c r="W50" t="s">
        <v>24</v>
      </c>
      <c r="X50" s="87">
        <v>6.9500000000000011</v>
      </c>
    </row>
    <row r="51" spans="1:24" x14ac:dyDescent="0.3">
      <c r="A51" t="s">
        <v>9</v>
      </c>
      <c r="B51" t="s">
        <v>753</v>
      </c>
      <c r="C51" s="16" t="s">
        <v>272</v>
      </c>
      <c r="D51" s="16">
        <v>3</v>
      </c>
      <c r="E51" t="s">
        <v>1524</v>
      </c>
      <c r="F51" t="s">
        <v>282</v>
      </c>
      <c r="G51" t="s">
        <v>1567</v>
      </c>
      <c r="H51" t="s">
        <v>291</v>
      </c>
      <c r="I51" s="87">
        <v>5.2250000000000005</v>
      </c>
      <c r="M51" t="s">
        <v>45</v>
      </c>
      <c r="N51" t="s">
        <v>72</v>
      </c>
      <c r="O51" t="s">
        <v>12</v>
      </c>
      <c r="P51" t="s">
        <v>16</v>
      </c>
      <c r="Q51" s="87">
        <v>5.3500000000000005</v>
      </c>
      <c r="T51" t="s">
        <v>45</v>
      </c>
      <c r="U51" t="s">
        <v>46</v>
      </c>
      <c r="V51" t="s">
        <v>29</v>
      </c>
      <c r="W51" t="s">
        <v>21</v>
      </c>
      <c r="X51" s="87">
        <v>6.9500000000000011</v>
      </c>
    </row>
    <row r="52" spans="1:24" x14ac:dyDescent="0.3">
      <c r="A52" t="s">
        <v>9</v>
      </c>
      <c r="B52" t="s">
        <v>754</v>
      </c>
      <c r="C52" s="16" t="s">
        <v>272</v>
      </c>
      <c r="D52" s="16">
        <v>3</v>
      </c>
      <c r="E52" t="s">
        <v>1524</v>
      </c>
      <c r="F52" t="s">
        <v>1534</v>
      </c>
      <c r="G52" t="s">
        <v>341</v>
      </c>
      <c r="H52" t="s">
        <v>344</v>
      </c>
      <c r="I52" s="87">
        <v>5.61</v>
      </c>
      <c r="M52" t="s">
        <v>45</v>
      </c>
      <c r="N52" t="s">
        <v>72</v>
      </c>
      <c r="O52" t="s">
        <v>12</v>
      </c>
      <c r="P52" t="s">
        <v>20</v>
      </c>
      <c r="Q52" s="87">
        <v>4.875</v>
      </c>
      <c r="T52" t="s">
        <v>45</v>
      </c>
      <c r="U52" t="s">
        <v>46</v>
      </c>
      <c r="V52" t="s">
        <v>29</v>
      </c>
      <c r="W52" t="s">
        <v>30</v>
      </c>
      <c r="X52" s="87">
        <v>6.9500000000000011</v>
      </c>
    </row>
    <row r="53" spans="1:24" x14ac:dyDescent="0.3">
      <c r="A53" t="s">
        <v>9</v>
      </c>
      <c r="B53" t="s">
        <v>755</v>
      </c>
      <c r="C53" s="16" t="s">
        <v>272</v>
      </c>
      <c r="D53" s="16">
        <v>3</v>
      </c>
      <c r="E53" t="s">
        <v>1524</v>
      </c>
      <c r="F53" t="s">
        <v>1540</v>
      </c>
      <c r="G53" t="s">
        <v>1568</v>
      </c>
      <c r="H53" t="s">
        <v>344</v>
      </c>
      <c r="I53" s="87">
        <v>5.5</v>
      </c>
      <c r="M53" t="s">
        <v>45</v>
      </c>
      <c r="N53" t="s">
        <v>72</v>
      </c>
      <c r="O53" t="s">
        <v>12</v>
      </c>
      <c r="P53" t="s">
        <v>22</v>
      </c>
      <c r="Q53" s="87">
        <v>5.8049999999999997</v>
      </c>
      <c r="T53" t="s">
        <v>45</v>
      </c>
      <c r="U53" t="s">
        <v>46</v>
      </c>
      <c r="V53" t="s">
        <v>29</v>
      </c>
      <c r="W53" t="s">
        <v>26</v>
      </c>
      <c r="X53" s="87">
        <v>7.15</v>
      </c>
    </row>
    <row r="54" spans="1:24" x14ac:dyDescent="0.3">
      <c r="A54" t="s">
        <v>9</v>
      </c>
      <c r="B54" t="s">
        <v>756</v>
      </c>
      <c r="C54" s="16" t="s">
        <v>272</v>
      </c>
      <c r="D54" s="16">
        <v>3</v>
      </c>
      <c r="E54" t="s">
        <v>1524</v>
      </c>
      <c r="F54" t="s">
        <v>282</v>
      </c>
      <c r="G54" t="s">
        <v>1568</v>
      </c>
      <c r="H54" t="s">
        <v>344</v>
      </c>
      <c r="I54" s="87">
        <v>5.0500000000000007</v>
      </c>
      <c r="M54" t="s">
        <v>9</v>
      </c>
      <c r="N54" t="s">
        <v>10</v>
      </c>
      <c r="O54" t="s">
        <v>12</v>
      </c>
      <c r="P54" t="s">
        <v>27</v>
      </c>
      <c r="Q54" s="87">
        <v>5.5</v>
      </c>
      <c r="T54" t="s">
        <v>45</v>
      </c>
      <c r="U54" t="s">
        <v>46</v>
      </c>
      <c r="V54" t="s">
        <v>29</v>
      </c>
      <c r="W54" t="s">
        <v>22</v>
      </c>
      <c r="X54" s="87">
        <v>6.9500000000000011</v>
      </c>
    </row>
    <row r="55" spans="1:24" x14ac:dyDescent="0.3">
      <c r="A55" t="s">
        <v>9</v>
      </c>
      <c r="B55" t="s">
        <v>757</v>
      </c>
      <c r="C55" s="16" t="s">
        <v>272</v>
      </c>
      <c r="D55" s="16">
        <v>3</v>
      </c>
      <c r="E55" t="s">
        <v>1524</v>
      </c>
      <c r="F55" t="s">
        <v>1542</v>
      </c>
      <c r="G55" t="s">
        <v>1568</v>
      </c>
      <c r="H55" t="s">
        <v>344</v>
      </c>
      <c r="I55" s="87">
        <v>5.4750000000000005</v>
      </c>
      <c r="M55" t="s">
        <v>9</v>
      </c>
      <c r="N55" t="s">
        <v>10</v>
      </c>
      <c r="O55" t="s">
        <v>12</v>
      </c>
      <c r="P55" t="s">
        <v>15</v>
      </c>
      <c r="Q55" s="87">
        <v>5.5</v>
      </c>
      <c r="T55" t="s">
        <v>45</v>
      </c>
      <c r="U55" t="s">
        <v>46</v>
      </c>
      <c r="V55" t="s">
        <v>29</v>
      </c>
      <c r="W55" t="s">
        <v>27</v>
      </c>
      <c r="X55" s="87">
        <v>6.9500000000000011</v>
      </c>
    </row>
    <row r="56" spans="1:24" x14ac:dyDescent="0.3">
      <c r="A56" t="s">
        <v>9</v>
      </c>
      <c r="B56" t="s">
        <v>758</v>
      </c>
      <c r="C56" s="16" t="s">
        <v>272</v>
      </c>
      <c r="D56" s="16">
        <v>2</v>
      </c>
      <c r="E56" t="s">
        <v>1524</v>
      </c>
      <c r="F56" t="s">
        <v>282</v>
      </c>
      <c r="G56" t="s">
        <v>342</v>
      </c>
      <c r="H56" t="s">
        <v>344</v>
      </c>
      <c r="I56" s="87">
        <v>5.8650000000000002</v>
      </c>
      <c r="M56" t="s">
        <v>9</v>
      </c>
      <c r="N56" t="s">
        <v>10</v>
      </c>
      <c r="O56" t="s">
        <v>12</v>
      </c>
      <c r="P56" t="s">
        <v>23</v>
      </c>
      <c r="Q56" s="87">
        <v>5.5</v>
      </c>
      <c r="T56" t="s">
        <v>45</v>
      </c>
      <c r="U56" t="s">
        <v>46</v>
      </c>
      <c r="V56" t="s">
        <v>29</v>
      </c>
      <c r="W56" t="s">
        <v>28</v>
      </c>
      <c r="X56" s="87">
        <v>6.9500000000000011</v>
      </c>
    </row>
    <row r="57" spans="1:24" x14ac:dyDescent="0.3">
      <c r="A57" t="s">
        <v>9</v>
      </c>
      <c r="B57" t="s">
        <v>759</v>
      </c>
      <c r="C57" s="16" t="s">
        <v>272</v>
      </c>
      <c r="D57" s="16">
        <v>3</v>
      </c>
      <c r="E57" t="s">
        <v>1524</v>
      </c>
      <c r="F57" t="s">
        <v>1542</v>
      </c>
      <c r="G57" t="s">
        <v>1567</v>
      </c>
      <c r="H57" t="s">
        <v>1658</v>
      </c>
      <c r="I57" s="87">
        <v>6.0250000000000004</v>
      </c>
      <c r="M57" t="s">
        <v>9</v>
      </c>
      <c r="N57" t="s">
        <v>10</v>
      </c>
      <c r="O57" t="s">
        <v>12</v>
      </c>
      <c r="P57" t="s">
        <v>14</v>
      </c>
      <c r="Q57" s="87">
        <v>5.5</v>
      </c>
      <c r="T57" t="s">
        <v>45</v>
      </c>
      <c r="U57" t="s">
        <v>72</v>
      </c>
      <c r="V57" t="s">
        <v>29</v>
      </c>
      <c r="W57" t="s">
        <v>23</v>
      </c>
      <c r="X57" s="87">
        <v>8.4749999999999996</v>
      </c>
    </row>
    <row r="58" spans="1:24" x14ac:dyDescent="0.3">
      <c r="A58" t="s">
        <v>9</v>
      </c>
      <c r="B58" t="s">
        <v>760</v>
      </c>
      <c r="C58" s="16" t="s">
        <v>272</v>
      </c>
      <c r="D58" s="16">
        <v>3</v>
      </c>
      <c r="E58" t="s">
        <v>1524</v>
      </c>
      <c r="F58" t="s">
        <v>282</v>
      </c>
      <c r="G58" t="s">
        <v>1568</v>
      </c>
      <c r="H58" t="s">
        <v>344</v>
      </c>
      <c r="I58" s="87">
        <v>5.0500000000000007</v>
      </c>
      <c r="M58" t="s">
        <v>9</v>
      </c>
      <c r="N58" t="s">
        <v>10</v>
      </c>
      <c r="O58" t="s">
        <v>12</v>
      </c>
      <c r="P58" t="s">
        <v>25</v>
      </c>
      <c r="Q58" s="87">
        <v>5.5</v>
      </c>
      <c r="T58" t="s">
        <v>45</v>
      </c>
      <c r="U58" t="s">
        <v>72</v>
      </c>
      <c r="V58" t="s">
        <v>29</v>
      </c>
      <c r="W58" t="s">
        <v>25</v>
      </c>
      <c r="X58" s="87">
        <v>8.4749999999999996</v>
      </c>
    </row>
    <row r="59" spans="1:24" x14ac:dyDescent="0.3">
      <c r="A59" t="s">
        <v>9</v>
      </c>
      <c r="B59" t="s">
        <v>761</v>
      </c>
      <c r="C59" s="16" t="s">
        <v>272</v>
      </c>
      <c r="D59" s="16">
        <v>2</v>
      </c>
      <c r="E59" t="s">
        <v>1524</v>
      </c>
      <c r="F59" t="s">
        <v>282</v>
      </c>
      <c r="G59" t="s">
        <v>342</v>
      </c>
      <c r="H59" t="s">
        <v>344</v>
      </c>
      <c r="I59" s="87">
        <v>5.8650000000000002</v>
      </c>
      <c r="M59" t="s">
        <v>9</v>
      </c>
      <c r="N59" t="s">
        <v>10</v>
      </c>
      <c r="O59" t="s">
        <v>12</v>
      </c>
      <c r="P59" t="s">
        <v>11</v>
      </c>
      <c r="Q59" s="87">
        <v>5.5</v>
      </c>
      <c r="T59" t="s">
        <v>45</v>
      </c>
      <c r="U59" t="s">
        <v>72</v>
      </c>
      <c r="V59" t="s">
        <v>29</v>
      </c>
      <c r="W59" t="s">
        <v>24</v>
      </c>
      <c r="X59" s="87">
        <v>7.5950000000000006</v>
      </c>
    </row>
    <row r="60" spans="1:24" x14ac:dyDescent="0.3">
      <c r="A60" t="s">
        <v>9</v>
      </c>
      <c r="B60" t="s">
        <v>762</v>
      </c>
      <c r="C60" s="16" t="s">
        <v>272</v>
      </c>
      <c r="D60" s="16">
        <v>3</v>
      </c>
      <c r="E60" t="s">
        <v>1524</v>
      </c>
      <c r="F60" t="s">
        <v>1542</v>
      </c>
      <c r="G60" t="s">
        <v>1567</v>
      </c>
      <c r="H60" t="s">
        <v>345</v>
      </c>
      <c r="I60" s="87">
        <v>5.3000000000000007</v>
      </c>
      <c r="M60" t="s">
        <v>9</v>
      </c>
      <c r="N60" t="s">
        <v>10</v>
      </c>
      <c r="O60" t="s">
        <v>12</v>
      </c>
      <c r="P60" t="s">
        <v>24</v>
      </c>
      <c r="Q60" s="87">
        <v>5.5</v>
      </c>
      <c r="T60" t="s">
        <v>45</v>
      </c>
      <c r="U60" t="s">
        <v>72</v>
      </c>
      <c r="V60" t="s">
        <v>29</v>
      </c>
      <c r="W60" t="s">
        <v>37</v>
      </c>
      <c r="X60" s="87">
        <v>4.875</v>
      </c>
    </row>
    <row r="61" spans="1:24" x14ac:dyDescent="0.3">
      <c r="A61" t="s">
        <v>9</v>
      </c>
      <c r="B61" t="s">
        <v>763</v>
      </c>
      <c r="C61" s="16" t="s">
        <v>272</v>
      </c>
      <c r="D61" s="16">
        <v>3</v>
      </c>
      <c r="E61" t="s">
        <v>1524</v>
      </c>
      <c r="F61" t="s">
        <v>282</v>
      </c>
      <c r="G61" t="s">
        <v>1567</v>
      </c>
      <c r="H61" t="s">
        <v>1658</v>
      </c>
      <c r="I61" s="87">
        <v>5.6000000000000005</v>
      </c>
      <c r="M61" t="s">
        <v>9</v>
      </c>
      <c r="N61" t="s">
        <v>10</v>
      </c>
      <c r="O61" t="s">
        <v>12</v>
      </c>
      <c r="P61" t="s">
        <v>21</v>
      </c>
      <c r="Q61" s="87">
        <v>6.05</v>
      </c>
      <c r="T61" t="s">
        <v>45</v>
      </c>
      <c r="U61" t="s">
        <v>72</v>
      </c>
      <c r="V61" t="s">
        <v>29</v>
      </c>
      <c r="W61" t="s">
        <v>32</v>
      </c>
      <c r="X61" s="87">
        <v>6.0250000000000004</v>
      </c>
    </row>
    <row r="62" spans="1:24" x14ac:dyDescent="0.3">
      <c r="A62" t="s">
        <v>9</v>
      </c>
      <c r="B62" t="s">
        <v>764</v>
      </c>
      <c r="C62" s="16" t="s">
        <v>272</v>
      </c>
      <c r="D62" s="16">
        <v>3</v>
      </c>
      <c r="E62" t="s">
        <v>1524</v>
      </c>
      <c r="F62" t="s">
        <v>282</v>
      </c>
      <c r="G62" t="s">
        <v>1567</v>
      </c>
      <c r="H62" t="s">
        <v>345</v>
      </c>
      <c r="I62" s="87">
        <v>4.875</v>
      </c>
      <c r="M62" t="s">
        <v>9</v>
      </c>
      <c r="N62" t="s">
        <v>10</v>
      </c>
      <c r="O62" t="s">
        <v>12</v>
      </c>
      <c r="P62" t="s">
        <v>19</v>
      </c>
      <c r="Q62" s="87">
        <v>5.5</v>
      </c>
      <c r="T62" t="s">
        <v>45</v>
      </c>
      <c r="U62" t="s">
        <v>72</v>
      </c>
      <c r="V62" t="s">
        <v>29</v>
      </c>
      <c r="W62" t="s">
        <v>30</v>
      </c>
      <c r="X62" s="87">
        <v>6.0250000000000004</v>
      </c>
    </row>
    <row r="63" spans="1:24" x14ac:dyDescent="0.3">
      <c r="A63" t="s">
        <v>43</v>
      </c>
      <c r="B63" t="s">
        <v>765</v>
      </c>
      <c r="C63" s="16" t="s">
        <v>273</v>
      </c>
      <c r="D63" s="16">
        <v>2</v>
      </c>
      <c r="E63" t="s">
        <v>1525</v>
      </c>
      <c r="F63" t="s">
        <v>283</v>
      </c>
      <c r="G63" t="s">
        <v>1568</v>
      </c>
      <c r="H63" t="s">
        <v>291</v>
      </c>
      <c r="I63" s="87">
        <v>8.8250000000000011</v>
      </c>
      <c r="M63" t="s">
        <v>9</v>
      </c>
      <c r="N63" t="s">
        <v>10</v>
      </c>
      <c r="O63" t="s">
        <v>12</v>
      </c>
      <c r="P63" t="s">
        <v>17</v>
      </c>
      <c r="Q63" s="87">
        <v>5.5</v>
      </c>
      <c r="T63" t="s">
        <v>45</v>
      </c>
      <c r="U63" t="s">
        <v>72</v>
      </c>
      <c r="V63" t="s">
        <v>29</v>
      </c>
      <c r="W63" t="s">
        <v>34</v>
      </c>
      <c r="X63" s="87">
        <v>6.53</v>
      </c>
    </row>
    <row r="64" spans="1:24" x14ac:dyDescent="0.3">
      <c r="A64" t="s">
        <v>43</v>
      </c>
      <c r="B64" t="s">
        <v>766</v>
      </c>
      <c r="C64" s="16" t="s">
        <v>272</v>
      </c>
      <c r="D64" s="16">
        <v>2</v>
      </c>
      <c r="E64" t="s">
        <v>1525</v>
      </c>
      <c r="F64" t="s">
        <v>273</v>
      </c>
      <c r="G64" t="s">
        <v>1567</v>
      </c>
      <c r="H64" t="s">
        <v>347</v>
      </c>
      <c r="I64" s="87">
        <v>8.1950000000000003</v>
      </c>
      <c r="M64" t="s">
        <v>9</v>
      </c>
      <c r="N64" t="s">
        <v>10</v>
      </c>
      <c r="O64" t="s">
        <v>12</v>
      </c>
      <c r="P64" t="s">
        <v>16</v>
      </c>
      <c r="Q64" s="87">
        <v>5.5</v>
      </c>
      <c r="T64" t="s">
        <v>45</v>
      </c>
      <c r="U64" t="s">
        <v>72</v>
      </c>
      <c r="V64" t="s">
        <v>29</v>
      </c>
      <c r="W64" t="s">
        <v>36</v>
      </c>
      <c r="X64" s="87">
        <v>6.53</v>
      </c>
    </row>
    <row r="65" spans="1:24" x14ac:dyDescent="0.3">
      <c r="A65" t="s">
        <v>43</v>
      </c>
      <c r="B65" t="s">
        <v>767</v>
      </c>
      <c r="C65" s="16" t="s">
        <v>272</v>
      </c>
      <c r="D65" s="16">
        <v>3</v>
      </c>
      <c r="E65" t="s">
        <v>1524</v>
      </c>
      <c r="F65" t="s">
        <v>1658</v>
      </c>
      <c r="G65" t="s">
        <v>1567</v>
      </c>
      <c r="H65" t="s">
        <v>344</v>
      </c>
      <c r="I65" s="87">
        <v>5.5</v>
      </c>
      <c r="M65" t="s">
        <v>9</v>
      </c>
      <c r="N65" t="s">
        <v>10</v>
      </c>
      <c r="O65" t="s">
        <v>12</v>
      </c>
      <c r="P65" t="s">
        <v>20</v>
      </c>
      <c r="Q65" s="87">
        <v>5.5</v>
      </c>
      <c r="T65" t="s">
        <v>45</v>
      </c>
      <c r="U65" t="s">
        <v>72</v>
      </c>
      <c r="V65" t="s">
        <v>29</v>
      </c>
      <c r="W65" t="s">
        <v>33</v>
      </c>
      <c r="X65" s="87">
        <v>5.66</v>
      </c>
    </row>
    <row r="66" spans="1:24" x14ac:dyDescent="0.3">
      <c r="A66" t="s">
        <v>43</v>
      </c>
      <c r="B66" t="s">
        <v>768</v>
      </c>
      <c r="C66" s="16" t="s">
        <v>272</v>
      </c>
      <c r="D66" s="16">
        <v>3</v>
      </c>
      <c r="E66" t="s">
        <v>1524</v>
      </c>
      <c r="F66" t="s">
        <v>282</v>
      </c>
      <c r="G66" t="s">
        <v>1567</v>
      </c>
      <c r="H66" t="s">
        <v>1658</v>
      </c>
      <c r="I66" s="87">
        <v>5.6000000000000005</v>
      </c>
      <c r="M66" t="s">
        <v>9</v>
      </c>
      <c r="N66" t="s">
        <v>10</v>
      </c>
      <c r="O66" t="s">
        <v>12</v>
      </c>
      <c r="P66" t="s">
        <v>26</v>
      </c>
      <c r="Q66" s="87">
        <v>5.5</v>
      </c>
      <c r="T66" t="s">
        <v>45</v>
      </c>
      <c r="U66" t="s">
        <v>72</v>
      </c>
      <c r="V66" t="s">
        <v>29</v>
      </c>
      <c r="W66" t="s">
        <v>26</v>
      </c>
      <c r="X66" s="87">
        <v>7.5500000000000007</v>
      </c>
    </row>
    <row r="67" spans="1:24" x14ac:dyDescent="0.3">
      <c r="A67" t="s">
        <v>43</v>
      </c>
      <c r="B67" t="s">
        <v>769</v>
      </c>
      <c r="C67" s="16" t="s">
        <v>272</v>
      </c>
      <c r="D67" s="16">
        <v>3</v>
      </c>
      <c r="E67" t="s">
        <v>1524</v>
      </c>
      <c r="F67" t="s">
        <v>1540</v>
      </c>
      <c r="G67" t="s">
        <v>1567</v>
      </c>
      <c r="H67" t="s">
        <v>345</v>
      </c>
      <c r="I67" s="87">
        <v>5.3249999999999993</v>
      </c>
      <c r="M67" t="s">
        <v>9</v>
      </c>
      <c r="N67" t="s">
        <v>10</v>
      </c>
      <c r="O67" t="s">
        <v>12</v>
      </c>
      <c r="P67" t="s">
        <v>22</v>
      </c>
      <c r="Q67" s="87">
        <v>5.5</v>
      </c>
      <c r="T67" t="s">
        <v>45</v>
      </c>
      <c r="U67" t="s">
        <v>72</v>
      </c>
      <c r="V67" t="s">
        <v>29</v>
      </c>
      <c r="W67" t="s">
        <v>31</v>
      </c>
      <c r="X67" s="87">
        <v>6.0250000000000004</v>
      </c>
    </row>
    <row r="68" spans="1:24" x14ac:dyDescent="0.3">
      <c r="A68" t="s">
        <v>43</v>
      </c>
      <c r="B68" t="s">
        <v>770</v>
      </c>
      <c r="C68" s="16" t="s">
        <v>272</v>
      </c>
      <c r="D68" s="16">
        <v>3</v>
      </c>
      <c r="E68" t="s">
        <v>1524</v>
      </c>
      <c r="F68" t="s">
        <v>1540</v>
      </c>
      <c r="G68" t="s">
        <v>1567</v>
      </c>
      <c r="H68" t="s">
        <v>344</v>
      </c>
      <c r="I68" s="87">
        <v>5.375</v>
      </c>
      <c r="M68" t="s">
        <v>9</v>
      </c>
      <c r="N68" t="s">
        <v>47</v>
      </c>
      <c r="O68" t="s">
        <v>12</v>
      </c>
      <c r="P68" t="s">
        <v>15</v>
      </c>
      <c r="Q68" s="87">
        <v>5.8550000000000004</v>
      </c>
      <c r="T68" t="s">
        <v>45</v>
      </c>
      <c r="U68" t="s">
        <v>72</v>
      </c>
      <c r="V68" t="s">
        <v>29</v>
      </c>
      <c r="W68" t="s">
        <v>27</v>
      </c>
      <c r="X68" s="87">
        <v>7.5500000000000007</v>
      </c>
    </row>
    <row r="69" spans="1:24" x14ac:dyDescent="0.3">
      <c r="A69" t="s">
        <v>43</v>
      </c>
      <c r="B69" t="s">
        <v>771</v>
      </c>
      <c r="C69" s="16" t="s">
        <v>272</v>
      </c>
      <c r="D69" s="16">
        <v>3</v>
      </c>
      <c r="E69" t="s">
        <v>1524</v>
      </c>
      <c r="F69" t="s">
        <v>282</v>
      </c>
      <c r="G69" t="s">
        <v>1566</v>
      </c>
      <c r="H69" t="s">
        <v>1658</v>
      </c>
      <c r="I69" s="87">
        <v>5.5500000000000007</v>
      </c>
      <c r="M69" t="s">
        <v>9</v>
      </c>
      <c r="N69" t="s">
        <v>47</v>
      </c>
      <c r="O69" t="s">
        <v>12</v>
      </c>
      <c r="P69" t="s">
        <v>14</v>
      </c>
      <c r="Q69" s="87">
        <v>5.8750000000000009</v>
      </c>
      <c r="T69" t="s">
        <v>45</v>
      </c>
      <c r="U69" t="s">
        <v>72</v>
      </c>
      <c r="V69" t="s">
        <v>29</v>
      </c>
      <c r="W69" t="s">
        <v>28</v>
      </c>
      <c r="X69" s="87">
        <v>5.5</v>
      </c>
    </row>
    <row r="70" spans="1:24" x14ac:dyDescent="0.3">
      <c r="A70" t="s">
        <v>43</v>
      </c>
      <c r="B70" t="s">
        <v>772</v>
      </c>
      <c r="C70" s="16" t="s">
        <v>272</v>
      </c>
      <c r="D70" s="16">
        <v>3</v>
      </c>
      <c r="E70" t="s">
        <v>1524</v>
      </c>
      <c r="F70" t="s">
        <v>1658</v>
      </c>
      <c r="G70" t="s">
        <v>1567</v>
      </c>
      <c r="H70" t="s">
        <v>344</v>
      </c>
      <c r="I70" s="87">
        <v>5.5</v>
      </c>
      <c r="M70" t="s">
        <v>9</v>
      </c>
      <c r="N70" t="s">
        <v>47</v>
      </c>
      <c r="O70" t="s">
        <v>12</v>
      </c>
      <c r="P70" t="s">
        <v>11</v>
      </c>
      <c r="Q70" s="87">
        <v>5.4249999999999998</v>
      </c>
      <c r="T70" t="s">
        <v>45</v>
      </c>
      <c r="U70" t="s">
        <v>72</v>
      </c>
      <c r="V70" t="s">
        <v>29</v>
      </c>
      <c r="W70" t="s">
        <v>35</v>
      </c>
      <c r="X70" s="87">
        <v>5.8049999999999997</v>
      </c>
    </row>
    <row r="71" spans="1:24" x14ac:dyDescent="0.3">
      <c r="A71" t="s">
        <v>43</v>
      </c>
      <c r="B71" t="s">
        <v>773</v>
      </c>
      <c r="C71" s="16" t="s">
        <v>272</v>
      </c>
      <c r="D71" s="16">
        <v>3</v>
      </c>
      <c r="E71" t="s">
        <v>1524</v>
      </c>
      <c r="F71" t="s">
        <v>1658</v>
      </c>
      <c r="G71" t="s">
        <v>1567</v>
      </c>
      <c r="H71" t="s">
        <v>344</v>
      </c>
      <c r="I71" s="87">
        <v>5.5</v>
      </c>
      <c r="M71" t="s">
        <v>9</v>
      </c>
      <c r="N71" t="s">
        <v>47</v>
      </c>
      <c r="O71" t="s">
        <v>12</v>
      </c>
      <c r="P71" t="s">
        <v>17</v>
      </c>
      <c r="Q71" s="87">
        <v>4.875</v>
      </c>
      <c r="T71" t="s">
        <v>9</v>
      </c>
      <c r="U71" t="s">
        <v>10</v>
      </c>
      <c r="V71" t="s">
        <v>29</v>
      </c>
      <c r="W71" t="s">
        <v>39</v>
      </c>
      <c r="X71" s="87">
        <v>7.2750000000000012</v>
      </c>
    </row>
    <row r="72" spans="1:24" x14ac:dyDescent="0.3">
      <c r="A72" t="s">
        <v>43</v>
      </c>
      <c r="B72" t="s">
        <v>774</v>
      </c>
      <c r="C72" s="16" t="s">
        <v>272</v>
      </c>
      <c r="D72" s="16">
        <v>2</v>
      </c>
      <c r="E72" t="s">
        <v>1524</v>
      </c>
      <c r="F72" t="s">
        <v>282</v>
      </c>
      <c r="G72" t="s">
        <v>341</v>
      </c>
      <c r="H72" t="s">
        <v>345</v>
      </c>
      <c r="I72" s="87">
        <v>5.8049999999999997</v>
      </c>
      <c r="M72" t="s">
        <v>9</v>
      </c>
      <c r="N72" t="s">
        <v>47</v>
      </c>
      <c r="O72" t="s">
        <v>12</v>
      </c>
      <c r="P72" t="s">
        <v>16</v>
      </c>
      <c r="Q72" s="87">
        <v>4.9250000000000007</v>
      </c>
      <c r="T72" t="s">
        <v>9</v>
      </c>
      <c r="U72" t="s">
        <v>10</v>
      </c>
      <c r="V72" t="s">
        <v>29</v>
      </c>
      <c r="W72" t="s">
        <v>37</v>
      </c>
      <c r="X72" s="87">
        <v>5.5</v>
      </c>
    </row>
    <row r="73" spans="1:24" x14ac:dyDescent="0.3">
      <c r="A73" t="s">
        <v>43</v>
      </c>
      <c r="B73" t="s">
        <v>775</v>
      </c>
      <c r="C73" s="16" t="s">
        <v>272</v>
      </c>
      <c r="D73" s="16">
        <v>3</v>
      </c>
      <c r="E73" t="s">
        <v>1524</v>
      </c>
      <c r="F73" t="s">
        <v>282</v>
      </c>
      <c r="G73" t="s">
        <v>1566</v>
      </c>
      <c r="H73" t="s">
        <v>1658</v>
      </c>
      <c r="I73" s="87">
        <v>5.5500000000000007</v>
      </c>
      <c r="M73" t="s">
        <v>45</v>
      </c>
      <c r="N73" t="s">
        <v>57</v>
      </c>
      <c r="O73" t="s">
        <v>12</v>
      </c>
      <c r="P73" t="s">
        <v>15</v>
      </c>
      <c r="Q73" s="87">
        <v>4.9250000000000007</v>
      </c>
      <c r="T73" t="s">
        <v>9</v>
      </c>
      <c r="U73" t="s">
        <v>10</v>
      </c>
      <c r="V73" t="s">
        <v>29</v>
      </c>
      <c r="W73" t="s">
        <v>32</v>
      </c>
      <c r="X73" s="87">
        <v>8.8249999999999993</v>
      </c>
    </row>
    <row r="74" spans="1:24" x14ac:dyDescent="0.3">
      <c r="A74" t="s">
        <v>43</v>
      </c>
      <c r="B74" t="s">
        <v>776</v>
      </c>
      <c r="C74" s="16" t="s">
        <v>272</v>
      </c>
      <c r="D74" s="16">
        <v>2</v>
      </c>
      <c r="E74" t="s">
        <v>1524</v>
      </c>
      <c r="F74" t="s">
        <v>282</v>
      </c>
      <c r="G74" t="s">
        <v>342</v>
      </c>
      <c r="H74" t="s">
        <v>344</v>
      </c>
      <c r="I74" s="87">
        <v>5.8650000000000002</v>
      </c>
      <c r="M74" t="s">
        <v>45</v>
      </c>
      <c r="N74" t="s">
        <v>57</v>
      </c>
      <c r="O74" t="s">
        <v>12</v>
      </c>
      <c r="P74" t="s">
        <v>23</v>
      </c>
      <c r="Q74" s="87">
        <v>6.05</v>
      </c>
      <c r="T74" t="s">
        <v>9</v>
      </c>
      <c r="U74" t="s">
        <v>10</v>
      </c>
      <c r="V74" t="s">
        <v>29</v>
      </c>
      <c r="W74" t="s">
        <v>30</v>
      </c>
      <c r="X74" s="87">
        <v>8.875</v>
      </c>
    </row>
    <row r="75" spans="1:24" x14ac:dyDescent="0.3">
      <c r="A75" t="s">
        <v>43</v>
      </c>
      <c r="B75" t="s">
        <v>777</v>
      </c>
      <c r="C75" s="16" t="s">
        <v>272</v>
      </c>
      <c r="D75" s="16">
        <v>2</v>
      </c>
      <c r="E75" t="s">
        <v>1524</v>
      </c>
      <c r="F75" t="s">
        <v>282</v>
      </c>
      <c r="G75" t="s">
        <v>342</v>
      </c>
      <c r="H75" t="s">
        <v>344</v>
      </c>
      <c r="I75" s="87">
        <v>5.8650000000000002</v>
      </c>
      <c r="M75" t="s">
        <v>45</v>
      </c>
      <c r="N75" t="s">
        <v>57</v>
      </c>
      <c r="O75" t="s">
        <v>12</v>
      </c>
      <c r="P75" t="s">
        <v>14</v>
      </c>
      <c r="Q75" s="87">
        <v>5.4250000000000007</v>
      </c>
      <c r="T75" t="s">
        <v>9</v>
      </c>
      <c r="U75" t="s">
        <v>10</v>
      </c>
      <c r="V75" t="s">
        <v>29</v>
      </c>
      <c r="W75" t="s">
        <v>41</v>
      </c>
      <c r="X75" s="87">
        <v>7.2750000000000012</v>
      </c>
    </row>
    <row r="76" spans="1:24" x14ac:dyDescent="0.3">
      <c r="A76" t="s">
        <v>43</v>
      </c>
      <c r="B76" t="s">
        <v>778</v>
      </c>
      <c r="C76" s="16" t="s">
        <v>273</v>
      </c>
      <c r="D76" s="16">
        <v>2</v>
      </c>
      <c r="E76" t="s">
        <v>1525</v>
      </c>
      <c r="F76" t="s">
        <v>273</v>
      </c>
      <c r="G76" t="s">
        <v>1567</v>
      </c>
      <c r="H76" t="s">
        <v>291</v>
      </c>
      <c r="I76" s="87">
        <v>8.7750000000000004</v>
      </c>
      <c r="M76" t="s">
        <v>45</v>
      </c>
      <c r="N76" t="s">
        <v>57</v>
      </c>
      <c r="O76" t="s">
        <v>12</v>
      </c>
      <c r="P76" t="s">
        <v>11</v>
      </c>
      <c r="Q76" s="87">
        <v>5.4250000000000007</v>
      </c>
      <c r="T76" t="s">
        <v>9</v>
      </c>
      <c r="U76" t="s">
        <v>10</v>
      </c>
      <c r="V76" t="s">
        <v>29</v>
      </c>
      <c r="W76" t="s">
        <v>40</v>
      </c>
      <c r="X76" s="87">
        <v>7.2750000000000012</v>
      </c>
    </row>
    <row r="77" spans="1:24" x14ac:dyDescent="0.3">
      <c r="A77" t="s">
        <v>43</v>
      </c>
      <c r="B77" t="s">
        <v>779</v>
      </c>
      <c r="C77" s="16" t="s">
        <v>272</v>
      </c>
      <c r="D77" s="16">
        <v>2</v>
      </c>
      <c r="E77" t="s">
        <v>1524</v>
      </c>
      <c r="F77" t="s">
        <v>282</v>
      </c>
      <c r="G77" t="s">
        <v>342</v>
      </c>
      <c r="H77" t="s">
        <v>344</v>
      </c>
      <c r="I77" s="87">
        <v>5.8650000000000002</v>
      </c>
      <c r="M77" t="s">
        <v>45</v>
      </c>
      <c r="N77" t="s">
        <v>57</v>
      </c>
      <c r="O77" t="s">
        <v>12</v>
      </c>
      <c r="P77" t="s">
        <v>24</v>
      </c>
      <c r="Q77" s="87">
        <v>6.05</v>
      </c>
      <c r="T77" t="s">
        <v>9</v>
      </c>
      <c r="U77" t="s">
        <v>10</v>
      </c>
      <c r="V77" t="s">
        <v>29</v>
      </c>
      <c r="W77" t="s">
        <v>38</v>
      </c>
      <c r="X77" s="87">
        <v>5.5</v>
      </c>
    </row>
    <row r="78" spans="1:24" x14ac:dyDescent="0.3">
      <c r="A78" t="s">
        <v>43</v>
      </c>
      <c r="B78" t="s">
        <v>780</v>
      </c>
      <c r="C78" s="16" t="s">
        <v>273</v>
      </c>
      <c r="D78" s="16">
        <v>3</v>
      </c>
      <c r="E78" t="s">
        <v>1529</v>
      </c>
      <c r="F78" t="s">
        <v>1658</v>
      </c>
      <c r="G78" t="s">
        <v>1567</v>
      </c>
      <c r="H78" t="s">
        <v>347</v>
      </c>
      <c r="I78" s="87">
        <v>8.754999999999999</v>
      </c>
      <c r="M78" t="s">
        <v>45</v>
      </c>
      <c r="N78" t="s">
        <v>57</v>
      </c>
      <c r="O78" t="s">
        <v>12</v>
      </c>
      <c r="P78" t="s">
        <v>21</v>
      </c>
      <c r="Q78" s="87">
        <v>6.05</v>
      </c>
      <c r="T78" t="s">
        <v>9</v>
      </c>
      <c r="U78" t="s">
        <v>10</v>
      </c>
      <c r="V78" t="s">
        <v>29</v>
      </c>
      <c r="W78" t="s">
        <v>34</v>
      </c>
      <c r="X78" s="87">
        <v>8.2999999999999989</v>
      </c>
    </row>
    <row r="79" spans="1:24" x14ac:dyDescent="0.3">
      <c r="A79" t="s">
        <v>43</v>
      </c>
      <c r="B79" t="s">
        <v>781</v>
      </c>
      <c r="C79" s="16" t="s">
        <v>272</v>
      </c>
      <c r="D79" s="16">
        <v>3</v>
      </c>
      <c r="E79" t="s">
        <v>1524</v>
      </c>
      <c r="F79" t="s">
        <v>282</v>
      </c>
      <c r="G79" t="s">
        <v>1568</v>
      </c>
      <c r="H79" t="s">
        <v>1570</v>
      </c>
      <c r="I79" s="87">
        <v>5.5750000000000011</v>
      </c>
      <c r="M79" t="s">
        <v>45</v>
      </c>
      <c r="N79" t="s">
        <v>57</v>
      </c>
      <c r="O79" t="s">
        <v>12</v>
      </c>
      <c r="P79" t="s">
        <v>19</v>
      </c>
      <c r="Q79" s="87">
        <v>4.875</v>
      </c>
      <c r="T79" t="s">
        <v>9</v>
      </c>
      <c r="U79" t="s">
        <v>10</v>
      </c>
      <c r="V79" t="s">
        <v>29</v>
      </c>
      <c r="W79" t="s">
        <v>42</v>
      </c>
      <c r="X79" s="87">
        <v>7.2750000000000012</v>
      </c>
    </row>
    <row r="80" spans="1:24" x14ac:dyDescent="0.3">
      <c r="A80" t="s">
        <v>43</v>
      </c>
      <c r="B80" t="s">
        <v>782</v>
      </c>
      <c r="C80" s="16" t="s">
        <v>272</v>
      </c>
      <c r="D80" s="16">
        <v>3</v>
      </c>
      <c r="E80" t="s">
        <v>1524</v>
      </c>
      <c r="F80" t="s">
        <v>282</v>
      </c>
      <c r="G80" t="s">
        <v>1567</v>
      </c>
      <c r="H80" t="s">
        <v>1658</v>
      </c>
      <c r="I80" s="87">
        <v>5.6000000000000005</v>
      </c>
      <c r="M80" t="s">
        <v>45</v>
      </c>
      <c r="N80" t="s">
        <v>57</v>
      </c>
      <c r="O80" t="s">
        <v>12</v>
      </c>
      <c r="P80" t="s">
        <v>17</v>
      </c>
      <c r="Q80" s="87">
        <v>5.6450000000000005</v>
      </c>
      <c r="T80" t="s">
        <v>9</v>
      </c>
      <c r="U80" t="s">
        <v>10</v>
      </c>
      <c r="V80" t="s">
        <v>29</v>
      </c>
      <c r="W80" t="s">
        <v>36</v>
      </c>
      <c r="X80" s="87">
        <v>5.5</v>
      </c>
    </row>
    <row r="81" spans="1:24" x14ac:dyDescent="0.3">
      <c r="A81" t="s">
        <v>43</v>
      </c>
      <c r="B81" t="s">
        <v>783</v>
      </c>
      <c r="C81" s="16" t="s">
        <v>272</v>
      </c>
      <c r="D81" s="16">
        <v>3</v>
      </c>
      <c r="E81" t="s">
        <v>1526</v>
      </c>
      <c r="F81" t="s">
        <v>283</v>
      </c>
      <c r="G81" t="s">
        <v>1567</v>
      </c>
      <c r="H81" t="s">
        <v>345</v>
      </c>
      <c r="I81" s="87">
        <v>7</v>
      </c>
      <c r="M81" t="s">
        <v>45</v>
      </c>
      <c r="N81" t="s">
        <v>57</v>
      </c>
      <c r="O81" t="s">
        <v>12</v>
      </c>
      <c r="P81" t="s">
        <v>16</v>
      </c>
      <c r="Q81" s="87">
        <v>5.6450000000000005</v>
      </c>
      <c r="T81" t="s">
        <v>9</v>
      </c>
      <c r="U81" t="s">
        <v>10</v>
      </c>
      <c r="V81" t="s">
        <v>29</v>
      </c>
      <c r="W81" t="s">
        <v>33</v>
      </c>
      <c r="X81" s="87">
        <v>8.2999999999999989</v>
      </c>
    </row>
    <row r="82" spans="1:24" x14ac:dyDescent="0.3">
      <c r="A82" t="s">
        <v>43</v>
      </c>
      <c r="B82" t="s">
        <v>784</v>
      </c>
      <c r="C82" s="16" t="s">
        <v>272</v>
      </c>
      <c r="D82" s="16">
        <v>2</v>
      </c>
      <c r="E82" t="s">
        <v>1524</v>
      </c>
      <c r="F82" t="s">
        <v>282</v>
      </c>
      <c r="G82" t="s">
        <v>342</v>
      </c>
      <c r="H82" t="s">
        <v>344</v>
      </c>
      <c r="I82" s="87">
        <v>5.8650000000000002</v>
      </c>
      <c r="M82" t="s">
        <v>45</v>
      </c>
      <c r="N82" t="s">
        <v>57</v>
      </c>
      <c r="O82" t="s">
        <v>12</v>
      </c>
      <c r="P82" t="s">
        <v>20</v>
      </c>
      <c r="Q82" s="87">
        <v>5.4749999999999996</v>
      </c>
      <c r="T82" t="s">
        <v>9</v>
      </c>
      <c r="U82" t="s">
        <v>10</v>
      </c>
      <c r="V82" t="s">
        <v>29</v>
      </c>
      <c r="W82" t="s">
        <v>31</v>
      </c>
      <c r="X82" s="87">
        <v>8.2999999999999989</v>
      </c>
    </row>
    <row r="83" spans="1:24" x14ac:dyDescent="0.3">
      <c r="A83" t="s">
        <v>43</v>
      </c>
      <c r="B83" t="s">
        <v>785</v>
      </c>
      <c r="C83" s="16" t="s">
        <v>273</v>
      </c>
      <c r="D83" s="16">
        <v>3</v>
      </c>
      <c r="E83" t="s">
        <v>1529</v>
      </c>
      <c r="F83" t="s">
        <v>1658</v>
      </c>
      <c r="G83" t="s">
        <v>1566</v>
      </c>
      <c r="H83" t="s">
        <v>1571</v>
      </c>
      <c r="I83" s="87">
        <v>8.6549999999999994</v>
      </c>
      <c r="M83" t="s">
        <v>45</v>
      </c>
      <c r="N83" t="s">
        <v>57</v>
      </c>
      <c r="O83" t="s">
        <v>12</v>
      </c>
      <c r="P83" t="s">
        <v>22</v>
      </c>
      <c r="Q83" s="87">
        <v>6.05</v>
      </c>
      <c r="T83" t="s">
        <v>9</v>
      </c>
      <c r="U83" t="s">
        <v>10</v>
      </c>
      <c r="V83" t="s">
        <v>29</v>
      </c>
      <c r="W83" t="s">
        <v>28</v>
      </c>
      <c r="X83" s="87">
        <v>8.35</v>
      </c>
    </row>
    <row r="84" spans="1:24" x14ac:dyDescent="0.3">
      <c r="A84" t="s">
        <v>45</v>
      </c>
      <c r="B84" t="s">
        <v>786</v>
      </c>
      <c r="C84" s="16" t="s">
        <v>272</v>
      </c>
      <c r="D84" s="16">
        <v>3</v>
      </c>
      <c r="E84" t="s">
        <v>1526</v>
      </c>
      <c r="F84" t="s">
        <v>1546</v>
      </c>
      <c r="G84" t="s">
        <v>1567</v>
      </c>
      <c r="H84" t="s">
        <v>345</v>
      </c>
      <c r="I84" s="87">
        <v>6.9500000000000011</v>
      </c>
      <c r="M84" t="s">
        <v>43</v>
      </c>
      <c r="N84" t="s">
        <v>59</v>
      </c>
      <c r="O84" t="s">
        <v>12</v>
      </c>
      <c r="P84" t="s">
        <v>15</v>
      </c>
      <c r="Q84" s="87">
        <v>4.9250000000000007</v>
      </c>
      <c r="T84" t="s">
        <v>9</v>
      </c>
      <c r="U84" t="s">
        <v>10</v>
      </c>
      <c r="V84" t="s">
        <v>29</v>
      </c>
      <c r="W84" t="s">
        <v>35</v>
      </c>
      <c r="X84" s="87">
        <v>7.4200000000000008</v>
      </c>
    </row>
    <row r="85" spans="1:24" x14ac:dyDescent="0.3">
      <c r="A85" t="s">
        <v>45</v>
      </c>
      <c r="B85" t="s">
        <v>787</v>
      </c>
      <c r="C85" s="16" t="s">
        <v>272</v>
      </c>
      <c r="D85" s="16">
        <v>3</v>
      </c>
      <c r="E85" t="s">
        <v>1526</v>
      </c>
      <c r="F85" t="s">
        <v>1546</v>
      </c>
      <c r="G85" t="s">
        <v>1567</v>
      </c>
      <c r="H85" t="s">
        <v>345</v>
      </c>
      <c r="I85" s="87">
        <v>6.9500000000000011</v>
      </c>
      <c r="M85" t="s">
        <v>43</v>
      </c>
      <c r="N85" t="s">
        <v>59</v>
      </c>
      <c r="O85" t="s">
        <v>12</v>
      </c>
      <c r="P85" t="s">
        <v>23</v>
      </c>
      <c r="Q85" s="87">
        <v>8.1</v>
      </c>
      <c r="T85" t="s">
        <v>9</v>
      </c>
      <c r="U85" t="s">
        <v>47</v>
      </c>
      <c r="V85" t="s">
        <v>29</v>
      </c>
      <c r="W85" t="s">
        <v>23</v>
      </c>
      <c r="X85" s="87">
        <v>5.8250000000000011</v>
      </c>
    </row>
    <row r="86" spans="1:24" x14ac:dyDescent="0.3">
      <c r="A86" t="s">
        <v>45</v>
      </c>
      <c r="B86" t="s">
        <v>788</v>
      </c>
      <c r="C86" s="16" t="s">
        <v>272</v>
      </c>
      <c r="D86" s="16">
        <v>3</v>
      </c>
      <c r="E86" t="s">
        <v>1526</v>
      </c>
      <c r="F86" t="s">
        <v>1546</v>
      </c>
      <c r="G86" t="s">
        <v>1567</v>
      </c>
      <c r="H86" t="s">
        <v>345</v>
      </c>
      <c r="I86" s="87">
        <v>6.9500000000000011</v>
      </c>
      <c r="M86" t="s">
        <v>43</v>
      </c>
      <c r="N86" t="s">
        <v>59</v>
      </c>
      <c r="O86" t="s">
        <v>12</v>
      </c>
      <c r="P86" t="s">
        <v>14</v>
      </c>
      <c r="Q86" s="87">
        <v>4.9250000000000007</v>
      </c>
      <c r="T86" t="s">
        <v>9</v>
      </c>
      <c r="U86" t="s">
        <v>47</v>
      </c>
      <c r="V86" t="s">
        <v>29</v>
      </c>
      <c r="W86" t="s">
        <v>25</v>
      </c>
      <c r="X86" s="87">
        <v>5.8049999999999997</v>
      </c>
    </row>
    <row r="87" spans="1:24" x14ac:dyDescent="0.3">
      <c r="A87" t="s">
        <v>45</v>
      </c>
      <c r="B87" t="s">
        <v>789</v>
      </c>
      <c r="C87" s="16" t="s">
        <v>272</v>
      </c>
      <c r="D87" s="16">
        <v>3</v>
      </c>
      <c r="E87" t="s">
        <v>1526</v>
      </c>
      <c r="F87" t="s">
        <v>1546</v>
      </c>
      <c r="G87" t="s">
        <v>1567</v>
      </c>
      <c r="H87" t="s">
        <v>1574</v>
      </c>
      <c r="I87" s="87">
        <v>7.5500000000000007</v>
      </c>
      <c r="M87" t="s">
        <v>43</v>
      </c>
      <c r="N87" t="s">
        <v>59</v>
      </c>
      <c r="O87" t="s">
        <v>12</v>
      </c>
      <c r="P87" t="s">
        <v>25</v>
      </c>
      <c r="Q87" s="87">
        <v>5.5250000000000004</v>
      </c>
      <c r="T87" t="s">
        <v>9</v>
      </c>
      <c r="U87" t="s">
        <v>47</v>
      </c>
      <c r="V87" t="s">
        <v>29</v>
      </c>
      <c r="W87" t="s">
        <v>24</v>
      </c>
      <c r="X87" s="87">
        <v>5.8049999999999997</v>
      </c>
    </row>
    <row r="88" spans="1:24" x14ac:dyDescent="0.3">
      <c r="A88" t="s">
        <v>45</v>
      </c>
      <c r="B88" t="s">
        <v>790</v>
      </c>
      <c r="C88" s="16" t="s">
        <v>272</v>
      </c>
      <c r="D88" s="16">
        <v>3</v>
      </c>
      <c r="E88" t="s">
        <v>1526</v>
      </c>
      <c r="F88" t="s">
        <v>1546</v>
      </c>
      <c r="G88" t="s">
        <v>1567</v>
      </c>
      <c r="H88" t="s">
        <v>345</v>
      </c>
      <c r="I88" s="87">
        <v>6.9500000000000011</v>
      </c>
      <c r="M88" t="s">
        <v>43</v>
      </c>
      <c r="N88" t="s">
        <v>59</v>
      </c>
      <c r="O88" t="s">
        <v>12</v>
      </c>
      <c r="P88" t="s">
        <v>11</v>
      </c>
      <c r="Q88" s="87">
        <v>5.1750000000000007</v>
      </c>
      <c r="T88" t="s">
        <v>9</v>
      </c>
      <c r="U88" t="s">
        <v>47</v>
      </c>
      <c r="V88" t="s">
        <v>29</v>
      </c>
      <c r="W88" t="s">
        <v>21</v>
      </c>
      <c r="X88" s="87">
        <v>5.8049999999999997</v>
      </c>
    </row>
    <row r="89" spans="1:24" x14ac:dyDescent="0.3">
      <c r="A89" t="s">
        <v>45</v>
      </c>
      <c r="B89" t="s">
        <v>791</v>
      </c>
      <c r="C89" s="16" t="s">
        <v>272</v>
      </c>
      <c r="D89" s="16">
        <v>3</v>
      </c>
      <c r="E89" t="s">
        <v>1526</v>
      </c>
      <c r="F89" t="s">
        <v>1546</v>
      </c>
      <c r="G89" t="s">
        <v>1567</v>
      </c>
      <c r="H89" t="s">
        <v>1658</v>
      </c>
      <c r="I89" s="87">
        <v>7.6750000000000007</v>
      </c>
      <c r="M89" t="s">
        <v>43</v>
      </c>
      <c r="N89" t="s">
        <v>59</v>
      </c>
      <c r="O89" t="s">
        <v>12</v>
      </c>
      <c r="P89" t="s">
        <v>24</v>
      </c>
      <c r="Q89" s="87">
        <v>6.4550000000000001</v>
      </c>
      <c r="T89" t="s">
        <v>9</v>
      </c>
      <c r="U89" t="s">
        <v>47</v>
      </c>
      <c r="V89" t="s">
        <v>29</v>
      </c>
      <c r="W89" t="s">
        <v>19</v>
      </c>
      <c r="X89" s="87">
        <v>6.53</v>
      </c>
    </row>
    <row r="90" spans="1:24" x14ac:dyDescent="0.3">
      <c r="A90" t="s">
        <v>45</v>
      </c>
      <c r="B90" t="s">
        <v>792</v>
      </c>
      <c r="C90" s="16" t="s">
        <v>272</v>
      </c>
      <c r="D90" s="16">
        <v>3</v>
      </c>
      <c r="E90" t="s">
        <v>1526</v>
      </c>
      <c r="F90" t="s">
        <v>1546</v>
      </c>
      <c r="G90" t="s">
        <v>1567</v>
      </c>
      <c r="H90" t="s">
        <v>345</v>
      </c>
      <c r="I90" s="87">
        <v>6.9500000000000011</v>
      </c>
      <c r="M90" t="s">
        <v>43</v>
      </c>
      <c r="N90" t="s">
        <v>59</v>
      </c>
      <c r="O90" t="s">
        <v>12</v>
      </c>
      <c r="P90" t="s">
        <v>21</v>
      </c>
      <c r="Q90" s="87">
        <v>8.1</v>
      </c>
      <c r="T90" t="s">
        <v>9</v>
      </c>
      <c r="U90" t="s">
        <v>47</v>
      </c>
      <c r="V90" t="s">
        <v>29</v>
      </c>
      <c r="W90" t="s">
        <v>20</v>
      </c>
      <c r="X90" s="87">
        <v>6.53</v>
      </c>
    </row>
    <row r="91" spans="1:24" x14ac:dyDescent="0.3">
      <c r="A91" t="s">
        <v>45</v>
      </c>
      <c r="B91" t="s">
        <v>793</v>
      </c>
      <c r="C91" s="16" t="s">
        <v>272</v>
      </c>
      <c r="D91" s="16">
        <v>3</v>
      </c>
      <c r="E91" t="s">
        <v>1526</v>
      </c>
      <c r="F91" t="s">
        <v>1546</v>
      </c>
      <c r="G91" t="s">
        <v>1567</v>
      </c>
      <c r="H91" t="s">
        <v>345</v>
      </c>
      <c r="I91" s="87">
        <v>6.9500000000000011</v>
      </c>
      <c r="M91" t="s">
        <v>43</v>
      </c>
      <c r="N91" t="s">
        <v>59</v>
      </c>
      <c r="O91" t="s">
        <v>12</v>
      </c>
      <c r="P91" t="s">
        <v>19</v>
      </c>
      <c r="Q91" s="87">
        <v>5.5250000000000004</v>
      </c>
      <c r="T91" t="s">
        <v>9</v>
      </c>
      <c r="U91" t="s">
        <v>47</v>
      </c>
      <c r="V91" t="s">
        <v>29</v>
      </c>
      <c r="W91" t="s">
        <v>26</v>
      </c>
      <c r="X91" s="87">
        <v>5.8049999999999997</v>
      </c>
    </row>
    <row r="92" spans="1:24" x14ac:dyDescent="0.3">
      <c r="A92" t="s">
        <v>45</v>
      </c>
      <c r="B92" t="s">
        <v>794</v>
      </c>
      <c r="C92" s="16" t="s">
        <v>272</v>
      </c>
      <c r="D92" s="16">
        <v>3</v>
      </c>
      <c r="E92" t="s">
        <v>1526</v>
      </c>
      <c r="F92" t="s">
        <v>1546</v>
      </c>
      <c r="G92" t="s">
        <v>1567</v>
      </c>
      <c r="H92" t="s">
        <v>345</v>
      </c>
      <c r="I92" s="87">
        <v>6.9500000000000011</v>
      </c>
      <c r="M92" t="s">
        <v>43</v>
      </c>
      <c r="N92" t="s">
        <v>59</v>
      </c>
      <c r="O92" t="s">
        <v>12</v>
      </c>
      <c r="P92" t="s">
        <v>17</v>
      </c>
      <c r="Q92" s="87">
        <v>5.5250000000000004</v>
      </c>
      <c r="T92" t="s">
        <v>9</v>
      </c>
      <c r="U92" t="s">
        <v>47</v>
      </c>
      <c r="V92" t="s">
        <v>29</v>
      </c>
      <c r="W92" t="s">
        <v>22</v>
      </c>
      <c r="X92" s="87">
        <v>5.8250000000000011</v>
      </c>
    </row>
    <row r="93" spans="1:24" x14ac:dyDescent="0.3">
      <c r="A93" t="s">
        <v>45</v>
      </c>
      <c r="B93" t="s">
        <v>795</v>
      </c>
      <c r="C93" s="16" t="s">
        <v>272</v>
      </c>
      <c r="D93" s="16">
        <v>3</v>
      </c>
      <c r="E93" t="s">
        <v>1526</v>
      </c>
      <c r="F93" t="s">
        <v>1546</v>
      </c>
      <c r="G93" t="s">
        <v>1567</v>
      </c>
      <c r="H93" t="s">
        <v>345</v>
      </c>
      <c r="I93" s="87">
        <v>6.9500000000000011</v>
      </c>
      <c r="M93" t="s">
        <v>43</v>
      </c>
      <c r="N93" t="s">
        <v>59</v>
      </c>
      <c r="O93" t="s">
        <v>12</v>
      </c>
      <c r="P93" t="s">
        <v>16</v>
      </c>
      <c r="Q93" s="87">
        <v>4.9250000000000007</v>
      </c>
      <c r="T93" t="s">
        <v>9</v>
      </c>
      <c r="U93" t="s">
        <v>47</v>
      </c>
      <c r="V93" t="s">
        <v>29</v>
      </c>
      <c r="W93" t="s">
        <v>27</v>
      </c>
      <c r="X93" s="87">
        <v>6.48</v>
      </c>
    </row>
    <row r="94" spans="1:24" x14ac:dyDescent="0.3">
      <c r="A94" t="s">
        <v>45</v>
      </c>
      <c r="B94" t="s">
        <v>796</v>
      </c>
      <c r="C94" s="16" t="s">
        <v>272</v>
      </c>
      <c r="D94" s="16">
        <v>3</v>
      </c>
      <c r="E94" t="s">
        <v>1526</v>
      </c>
      <c r="F94" t="s">
        <v>1546</v>
      </c>
      <c r="G94" t="s">
        <v>1567</v>
      </c>
      <c r="H94" t="s">
        <v>345</v>
      </c>
      <c r="I94" s="87">
        <v>6.9500000000000011</v>
      </c>
      <c r="M94" t="s">
        <v>43</v>
      </c>
      <c r="N94" t="s">
        <v>59</v>
      </c>
      <c r="O94" t="s">
        <v>12</v>
      </c>
      <c r="P94" t="s">
        <v>20</v>
      </c>
      <c r="Q94" s="87">
        <v>5.5250000000000004</v>
      </c>
      <c r="T94" t="s">
        <v>9</v>
      </c>
      <c r="U94" t="s">
        <v>47</v>
      </c>
      <c r="V94" t="s">
        <v>29</v>
      </c>
      <c r="W94" t="s">
        <v>28</v>
      </c>
      <c r="X94" s="87">
        <v>6.32</v>
      </c>
    </row>
    <row r="95" spans="1:24" x14ac:dyDescent="0.3">
      <c r="A95" t="s">
        <v>45</v>
      </c>
      <c r="B95" t="s">
        <v>797</v>
      </c>
      <c r="C95" s="16" t="s">
        <v>272</v>
      </c>
      <c r="D95" s="16">
        <v>3</v>
      </c>
      <c r="E95" t="s">
        <v>1526</v>
      </c>
      <c r="F95" t="s">
        <v>1546</v>
      </c>
      <c r="G95" t="s">
        <v>1567</v>
      </c>
      <c r="H95" t="s">
        <v>345</v>
      </c>
      <c r="I95" s="87">
        <v>6.9500000000000011</v>
      </c>
      <c r="M95" t="s">
        <v>43</v>
      </c>
      <c r="N95" t="s">
        <v>59</v>
      </c>
      <c r="O95" t="s">
        <v>12</v>
      </c>
      <c r="P95" t="s">
        <v>22</v>
      </c>
      <c r="Q95" s="87">
        <v>8.1</v>
      </c>
      <c r="T95" t="s">
        <v>45</v>
      </c>
      <c r="U95" t="s">
        <v>57</v>
      </c>
      <c r="V95" t="s">
        <v>29</v>
      </c>
      <c r="W95" t="s">
        <v>25</v>
      </c>
      <c r="X95" s="87">
        <v>6.05</v>
      </c>
    </row>
    <row r="96" spans="1:24" x14ac:dyDescent="0.3">
      <c r="A96" t="s">
        <v>45</v>
      </c>
      <c r="B96" t="s">
        <v>798</v>
      </c>
      <c r="C96" s="16" t="s">
        <v>272</v>
      </c>
      <c r="D96" s="16">
        <v>3</v>
      </c>
      <c r="E96" t="s">
        <v>1526</v>
      </c>
      <c r="F96" t="s">
        <v>1658</v>
      </c>
      <c r="G96" t="s">
        <v>1567</v>
      </c>
      <c r="H96" t="s">
        <v>345</v>
      </c>
      <c r="I96" s="87">
        <v>7.15</v>
      </c>
      <c r="M96" t="s">
        <v>43</v>
      </c>
      <c r="N96" t="s">
        <v>49</v>
      </c>
      <c r="O96" t="s">
        <v>12</v>
      </c>
      <c r="P96" t="s">
        <v>15</v>
      </c>
      <c r="Q96" s="87">
        <v>5.6</v>
      </c>
      <c r="T96" t="s">
        <v>45</v>
      </c>
      <c r="U96" t="s">
        <v>57</v>
      </c>
      <c r="V96" t="s">
        <v>29</v>
      </c>
      <c r="W96" t="s">
        <v>32</v>
      </c>
      <c r="X96" s="87">
        <v>5.4</v>
      </c>
    </row>
    <row r="97" spans="1:24" x14ac:dyDescent="0.3">
      <c r="A97" t="s">
        <v>45</v>
      </c>
      <c r="B97" t="s">
        <v>799</v>
      </c>
      <c r="C97" s="16" t="s">
        <v>272</v>
      </c>
      <c r="D97" s="16">
        <v>3</v>
      </c>
      <c r="E97" t="s">
        <v>1526</v>
      </c>
      <c r="F97" t="s">
        <v>1546</v>
      </c>
      <c r="G97" t="s">
        <v>1567</v>
      </c>
      <c r="H97" t="s">
        <v>345</v>
      </c>
      <c r="I97" s="87">
        <v>6.9500000000000011</v>
      </c>
      <c r="M97" t="s">
        <v>43</v>
      </c>
      <c r="N97" t="s">
        <v>49</v>
      </c>
      <c r="O97" t="s">
        <v>12</v>
      </c>
      <c r="P97" t="s">
        <v>14</v>
      </c>
      <c r="Q97" s="87">
        <v>5.83</v>
      </c>
      <c r="T97" t="s">
        <v>45</v>
      </c>
      <c r="U97" t="s">
        <v>57</v>
      </c>
      <c r="V97" t="s">
        <v>29</v>
      </c>
      <c r="W97" t="s">
        <v>30</v>
      </c>
      <c r="X97" s="87">
        <v>5.45</v>
      </c>
    </row>
    <row r="98" spans="1:24" x14ac:dyDescent="0.3">
      <c r="A98" t="s">
        <v>45</v>
      </c>
      <c r="B98" t="s">
        <v>800</v>
      </c>
      <c r="C98" s="16" t="s">
        <v>272</v>
      </c>
      <c r="D98" s="16">
        <v>3</v>
      </c>
      <c r="E98" t="s">
        <v>1526</v>
      </c>
      <c r="F98" t="s">
        <v>1546</v>
      </c>
      <c r="G98" t="s">
        <v>1567</v>
      </c>
      <c r="H98" t="s">
        <v>345</v>
      </c>
      <c r="I98" s="87">
        <v>6.9500000000000011</v>
      </c>
      <c r="M98" t="s">
        <v>43</v>
      </c>
      <c r="N98" t="s">
        <v>49</v>
      </c>
      <c r="O98" t="s">
        <v>12</v>
      </c>
      <c r="P98" t="s">
        <v>11</v>
      </c>
      <c r="Q98" s="87">
        <v>5.4050000000000002</v>
      </c>
      <c r="T98" t="s">
        <v>45</v>
      </c>
      <c r="U98" t="s">
        <v>57</v>
      </c>
      <c r="V98" t="s">
        <v>29</v>
      </c>
      <c r="W98" t="s">
        <v>34</v>
      </c>
      <c r="X98" s="87">
        <v>6.0250000000000004</v>
      </c>
    </row>
    <row r="99" spans="1:24" x14ac:dyDescent="0.3">
      <c r="A99" t="s">
        <v>45</v>
      </c>
      <c r="B99" t="s">
        <v>801</v>
      </c>
      <c r="C99" s="16" t="s">
        <v>272</v>
      </c>
      <c r="D99" s="16">
        <v>3</v>
      </c>
      <c r="E99" t="s">
        <v>1526</v>
      </c>
      <c r="F99" t="s">
        <v>1546</v>
      </c>
      <c r="G99" t="s">
        <v>1567</v>
      </c>
      <c r="H99" t="s">
        <v>345</v>
      </c>
      <c r="I99" s="87">
        <v>6.9500000000000011</v>
      </c>
      <c r="M99" t="s">
        <v>43</v>
      </c>
      <c r="N99" t="s">
        <v>49</v>
      </c>
      <c r="O99" t="s">
        <v>12</v>
      </c>
      <c r="P99" t="s">
        <v>19</v>
      </c>
      <c r="Q99" s="87">
        <v>5.9750000000000005</v>
      </c>
      <c r="T99" t="s">
        <v>45</v>
      </c>
      <c r="U99" t="s">
        <v>57</v>
      </c>
      <c r="V99" t="s">
        <v>29</v>
      </c>
      <c r="W99" t="s">
        <v>36</v>
      </c>
      <c r="X99" s="87">
        <v>5.875</v>
      </c>
    </row>
    <row r="100" spans="1:24" x14ac:dyDescent="0.3">
      <c r="A100" t="s">
        <v>45</v>
      </c>
      <c r="B100" t="s">
        <v>802</v>
      </c>
      <c r="C100" s="16" t="s">
        <v>273</v>
      </c>
      <c r="D100" s="16">
        <v>2</v>
      </c>
      <c r="E100" t="s">
        <v>1525</v>
      </c>
      <c r="F100" t="s">
        <v>273</v>
      </c>
      <c r="G100" t="s">
        <v>1567</v>
      </c>
      <c r="H100" t="s">
        <v>344</v>
      </c>
      <c r="I100" s="87">
        <v>8.4749999999999996</v>
      </c>
      <c r="M100" t="s">
        <v>43</v>
      </c>
      <c r="N100" t="s">
        <v>49</v>
      </c>
      <c r="O100" t="s">
        <v>12</v>
      </c>
      <c r="P100" t="s">
        <v>17</v>
      </c>
      <c r="Q100" s="87">
        <v>5.9750000000000005</v>
      </c>
      <c r="T100" t="s">
        <v>45</v>
      </c>
      <c r="U100" t="s">
        <v>57</v>
      </c>
      <c r="V100" t="s">
        <v>29</v>
      </c>
      <c r="W100" t="s">
        <v>33</v>
      </c>
      <c r="X100" s="87">
        <v>5.9749999999999996</v>
      </c>
    </row>
    <row r="101" spans="1:24" x14ac:dyDescent="0.3">
      <c r="A101" t="s">
        <v>45</v>
      </c>
      <c r="B101" t="s">
        <v>803</v>
      </c>
      <c r="C101" s="16" t="s">
        <v>273</v>
      </c>
      <c r="D101" s="16">
        <v>2</v>
      </c>
      <c r="E101" t="s">
        <v>1525</v>
      </c>
      <c r="F101" t="s">
        <v>273</v>
      </c>
      <c r="G101" t="s">
        <v>1567</v>
      </c>
      <c r="H101" t="s">
        <v>344</v>
      </c>
      <c r="I101" s="87">
        <v>8.4749999999999996</v>
      </c>
      <c r="M101" t="s">
        <v>43</v>
      </c>
      <c r="N101" t="s">
        <v>49</v>
      </c>
      <c r="O101" t="s">
        <v>12</v>
      </c>
      <c r="P101" t="s">
        <v>16</v>
      </c>
      <c r="Q101" s="87">
        <v>8.1449999999999996</v>
      </c>
      <c r="T101" t="s">
        <v>45</v>
      </c>
      <c r="U101" t="s">
        <v>57</v>
      </c>
      <c r="V101" t="s">
        <v>29</v>
      </c>
      <c r="W101" t="s">
        <v>26</v>
      </c>
      <c r="X101" s="87">
        <v>5.61</v>
      </c>
    </row>
    <row r="102" spans="1:24" x14ac:dyDescent="0.3">
      <c r="A102" t="s">
        <v>45</v>
      </c>
      <c r="B102" t="s">
        <v>804</v>
      </c>
      <c r="C102" s="16" t="s">
        <v>272</v>
      </c>
      <c r="D102" s="16">
        <v>3</v>
      </c>
      <c r="E102" t="s">
        <v>1524</v>
      </c>
      <c r="F102" t="s">
        <v>282</v>
      </c>
      <c r="G102" t="s">
        <v>1567</v>
      </c>
      <c r="H102" t="s">
        <v>344</v>
      </c>
      <c r="I102" s="87">
        <v>4.9250000000000007</v>
      </c>
      <c r="M102" t="s">
        <v>43</v>
      </c>
      <c r="N102" t="s">
        <v>49</v>
      </c>
      <c r="O102" t="s">
        <v>12</v>
      </c>
      <c r="P102" t="s">
        <v>20</v>
      </c>
      <c r="Q102" s="87">
        <v>5.9750000000000005</v>
      </c>
      <c r="T102" t="s">
        <v>45</v>
      </c>
      <c r="U102" t="s">
        <v>57</v>
      </c>
      <c r="V102" t="s">
        <v>29</v>
      </c>
      <c r="W102" t="s">
        <v>31</v>
      </c>
      <c r="X102" s="87">
        <v>5.45</v>
      </c>
    </row>
    <row r="103" spans="1:24" x14ac:dyDescent="0.3">
      <c r="A103" t="s">
        <v>45</v>
      </c>
      <c r="B103" t="s">
        <v>805</v>
      </c>
      <c r="C103" s="16" t="s">
        <v>272</v>
      </c>
      <c r="D103" s="16">
        <v>2</v>
      </c>
      <c r="E103" t="s">
        <v>1524</v>
      </c>
      <c r="F103" t="s">
        <v>282</v>
      </c>
      <c r="G103" t="s">
        <v>341</v>
      </c>
      <c r="H103" t="s">
        <v>344</v>
      </c>
      <c r="I103" s="87">
        <v>5.8550000000000004</v>
      </c>
      <c r="M103" t="s">
        <v>43</v>
      </c>
      <c r="N103" t="s">
        <v>62</v>
      </c>
      <c r="O103" t="s">
        <v>12</v>
      </c>
      <c r="P103" t="s">
        <v>15</v>
      </c>
      <c r="Q103" s="87">
        <v>4.875</v>
      </c>
      <c r="T103" t="s">
        <v>45</v>
      </c>
      <c r="U103" t="s">
        <v>57</v>
      </c>
      <c r="V103" t="s">
        <v>29</v>
      </c>
      <c r="W103" t="s">
        <v>27</v>
      </c>
      <c r="X103" s="87">
        <v>5.66</v>
      </c>
    </row>
    <row r="104" spans="1:24" x14ac:dyDescent="0.3">
      <c r="A104" t="s">
        <v>45</v>
      </c>
      <c r="B104" t="s">
        <v>806</v>
      </c>
      <c r="C104" s="16" t="s">
        <v>272</v>
      </c>
      <c r="D104" s="16">
        <v>2</v>
      </c>
      <c r="E104" t="s">
        <v>1524</v>
      </c>
      <c r="F104" t="s">
        <v>282</v>
      </c>
      <c r="G104" t="s">
        <v>341</v>
      </c>
      <c r="H104" t="s">
        <v>344</v>
      </c>
      <c r="I104" s="87">
        <v>5.8550000000000004</v>
      </c>
      <c r="M104" t="s">
        <v>43</v>
      </c>
      <c r="N104" t="s">
        <v>62</v>
      </c>
      <c r="O104" t="s">
        <v>12</v>
      </c>
      <c r="P104" t="s">
        <v>23</v>
      </c>
      <c r="Q104" s="87">
        <v>5.3500000000000005</v>
      </c>
      <c r="T104" t="s">
        <v>45</v>
      </c>
      <c r="U104" t="s">
        <v>57</v>
      </c>
      <c r="V104" t="s">
        <v>29</v>
      </c>
      <c r="W104" t="s">
        <v>28</v>
      </c>
      <c r="X104" s="87">
        <v>5.45</v>
      </c>
    </row>
    <row r="105" spans="1:24" x14ac:dyDescent="0.3">
      <c r="A105" t="s">
        <v>45</v>
      </c>
      <c r="B105" t="s">
        <v>807</v>
      </c>
      <c r="C105" s="16" t="s">
        <v>272</v>
      </c>
      <c r="D105" s="16">
        <v>2</v>
      </c>
      <c r="E105" t="s">
        <v>1524</v>
      </c>
      <c r="F105" t="s">
        <v>282</v>
      </c>
      <c r="G105" t="s">
        <v>341</v>
      </c>
      <c r="H105" t="s">
        <v>344</v>
      </c>
      <c r="I105" s="87">
        <v>5.8550000000000004</v>
      </c>
      <c r="M105" t="s">
        <v>43</v>
      </c>
      <c r="N105" t="s">
        <v>62</v>
      </c>
      <c r="O105" t="s">
        <v>12</v>
      </c>
      <c r="P105" t="s">
        <v>14</v>
      </c>
      <c r="Q105" s="87">
        <v>4.875</v>
      </c>
      <c r="T105" t="s">
        <v>45</v>
      </c>
      <c r="U105" t="s">
        <v>57</v>
      </c>
      <c r="V105" t="s">
        <v>29</v>
      </c>
      <c r="W105" t="s">
        <v>35</v>
      </c>
      <c r="X105" s="87">
        <v>6.0250000000000004</v>
      </c>
    </row>
    <row r="106" spans="1:24" x14ac:dyDescent="0.3">
      <c r="A106" t="s">
        <v>45</v>
      </c>
      <c r="B106" t="s">
        <v>808</v>
      </c>
      <c r="C106" s="16" t="s">
        <v>273</v>
      </c>
      <c r="D106" s="16">
        <v>2</v>
      </c>
      <c r="E106" t="s">
        <v>1525</v>
      </c>
      <c r="F106" t="s">
        <v>273</v>
      </c>
      <c r="G106" t="s">
        <v>1567</v>
      </c>
      <c r="H106" t="s">
        <v>344</v>
      </c>
      <c r="I106" s="87">
        <v>8.4749999999999996</v>
      </c>
      <c r="M106" t="s">
        <v>43</v>
      </c>
      <c r="N106" t="s">
        <v>62</v>
      </c>
      <c r="O106" t="s">
        <v>12</v>
      </c>
      <c r="P106" t="s">
        <v>25</v>
      </c>
      <c r="Q106" s="87">
        <v>5.3500000000000005</v>
      </c>
      <c r="T106" t="s">
        <v>43</v>
      </c>
      <c r="U106" t="s">
        <v>59</v>
      </c>
      <c r="V106" t="s">
        <v>29</v>
      </c>
      <c r="W106" t="s">
        <v>39</v>
      </c>
      <c r="X106" s="87">
        <v>8.9</v>
      </c>
    </row>
    <row r="107" spans="1:24" x14ac:dyDescent="0.3">
      <c r="A107" t="s">
        <v>45</v>
      </c>
      <c r="B107" t="s">
        <v>809</v>
      </c>
      <c r="C107" s="16" t="s">
        <v>273</v>
      </c>
      <c r="D107" s="16">
        <v>2</v>
      </c>
      <c r="E107" t="s">
        <v>1525</v>
      </c>
      <c r="F107" t="s">
        <v>273</v>
      </c>
      <c r="G107" t="s">
        <v>1567</v>
      </c>
      <c r="H107" t="s">
        <v>344</v>
      </c>
      <c r="I107" s="87">
        <v>8.4749999999999996</v>
      </c>
      <c r="M107" t="s">
        <v>43</v>
      </c>
      <c r="N107" t="s">
        <v>62</v>
      </c>
      <c r="O107" t="s">
        <v>12</v>
      </c>
      <c r="P107" t="s">
        <v>11</v>
      </c>
      <c r="Q107" s="87">
        <v>5.8550000000000004</v>
      </c>
      <c r="T107" t="s">
        <v>43</v>
      </c>
      <c r="U107" t="s">
        <v>59</v>
      </c>
      <c r="V107" t="s">
        <v>29</v>
      </c>
      <c r="W107" t="s">
        <v>37</v>
      </c>
      <c r="X107" s="87">
        <v>8.9</v>
      </c>
    </row>
    <row r="108" spans="1:24" x14ac:dyDescent="0.3">
      <c r="A108" t="s">
        <v>45</v>
      </c>
      <c r="B108" t="s">
        <v>810</v>
      </c>
      <c r="C108" s="16" t="s">
        <v>272</v>
      </c>
      <c r="D108" s="16">
        <v>3</v>
      </c>
      <c r="E108" t="s">
        <v>1524</v>
      </c>
      <c r="F108" t="s">
        <v>282</v>
      </c>
      <c r="G108" t="s">
        <v>1568</v>
      </c>
      <c r="H108" t="s">
        <v>291</v>
      </c>
      <c r="I108" s="87">
        <v>5.3500000000000005</v>
      </c>
      <c r="M108" t="s">
        <v>43</v>
      </c>
      <c r="N108" t="s">
        <v>62</v>
      </c>
      <c r="O108" t="s">
        <v>12</v>
      </c>
      <c r="P108" t="s">
        <v>24</v>
      </c>
      <c r="Q108" s="87">
        <v>5.9</v>
      </c>
      <c r="T108" t="s">
        <v>43</v>
      </c>
      <c r="U108" t="s">
        <v>59</v>
      </c>
      <c r="V108" t="s">
        <v>29</v>
      </c>
      <c r="W108" t="s">
        <v>32</v>
      </c>
      <c r="X108" s="87">
        <v>7.9249999999999998</v>
      </c>
    </row>
    <row r="109" spans="1:24" x14ac:dyDescent="0.3">
      <c r="A109" t="s">
        <v>45</v>
      </c>
      <c r="B109" t="s">
        <v>811</v>
      </c>
      <c r="C109" s="16" t="s">
        <v>272</v>
      </c>
      <c r="D109" s="16">
        <v>3</v>
      </c>
      <c r="E109" t="s">
        <v>1524</v>
      </c>
      <c r="F109" t="s">
        <v>282</v>
      </c>
      <c r="G109" t="s">
        <v>1567</v>
      </c>
      <c r="H109" t="s">
        <v>345</v>
      </c>
      <c r="I109" s="87">
        <v>4.875</v>
      </c>
      <c r="M109" t="s">
        <v>43</v>
      </c>
      <c r="N109" t="s">
        <v>62</v>
      </c>
      <c r="O109" t="s">
        <v>12</v>
      </c>
      <c r="P109" t="s">
        <v>21</v>
      </c>
      <c r="Q109" s="87">
        <v>4.875</v>
      </c>
      <c r="T109" t="s">
        <v>43</v>
      </c>
      <c r="U109" t="s">
        <v>59</v>
      </c>
      <c r="V109" t="s">
        <v>29</v>
      </c>
      <c r="W109" t="s">
        <v>30</v>
      </c>
      <c r="X109" s="87">
        <v>7.9249999999999998</v>
      </c>
    </row>
    <row r="110" spans="1:24" x14ac:dyDescent="0.3">
      <c r="A110" t="s">
        <v>45</v>
      </c>
      <c r="B110" t="s">
        <v>812</v>
      </c>
      <c r="C110" s="16" t="s">
        <v>272</v>
      </c>
      <c r="D110" s="16">
        <v>2</v>
      </c>
      <c r="E110" t="s">
        <v>1524</v>
      </c>
      <c r="F110" t="s">
        <v>282</v>
      </c>
      <c r="G110" t="s">
        <v>341</v>
      </c>
      <c r="H110" t="s">
        <v>345</v>
      </c>
      <c r="I110" s="87">
        <v>5.8049999999999997</v>
      </c>
      <c r="M110" t="s">
        <v>43</v>
      </c>
      <c r="N110" t="s">
        <v>62</v>
      </c>
      <c r="O110" t="s">
        <v>12</v>
      </c>
      <c r="P110" t="s">
        <v>30</v>
      </c>
      <c r="Q110" s="87">
        <v>5.3500000000000005</v>
      </c>
      <c r="T110" t="s">
        <v>43</v>
      </c>
      <c r="U110" t="s">
        <v>59</v>
      </c>
      <c r="V110" t="s">
        <v>29</v>
      </c>
      <c r="W110" t="s">
        <v>40</v>
      </c>
      <c r="X110" s="87">
        <v>9.125</v>
      </c>
    </row>
    <row r="111" spans="1:24" x14ac:dyDescent="0.3">
      <c r="A111" t="s">
        <v>45</v>
      </c>
      <c r="B111" t="s">
        <v>813</v>
      </c>
      <c r="C111" s="16" t="s">
        <v>272</v>
      </c>
      <c r="D111" s="16">
        <v>2</v>
      </c>
      <c r="E111" t="s">
        <v>1525</v>
      </c>
      <c r="F111" t="s">
        <v>273</v>
      </c>
      <c r="G111" t="s">
        <v>1567</v>
      </c>
      <c r="H111" t="s">
        <v>344</v>
      </c>
      <c r="I111" s="87">
        <v>7.5950000000000006</v>
      </c>
      <c r="M111" t="s">
        <v>43</v>
      </c>
      <c r="N111" t="s">
        <v>62</v>
      </c>
      <c r="O111" t="s">
        <v>12</v>
      </c>
      <c r="P111" t="s">
        <v>19</v>
      </c>
      <c r="Q111" s="87">
        <v>4.875</v>
      </c>
      <c r="T111" t="s">
        <v>43</v>
      </c>
      <c r="U111" t="s">
        <v>59</v>
      </c>
      <c r="V111" t="s">
        <v>29</v>
      </c>
      <c r="W111" t="s">
        <v>38</v>
      </c>
      <c r="X111" s="87">
        <v>8.9</v>
      </c>
    </row>
    <row r="112" spans="1:24" x14ac:dyDescent="0.3">
      <c r="A112" t="s">
        <v>45</v>
      </c>
      <c r="B112" t="s">
        <v>814</v>
      </c>
      <c r="C112" s="16" t="s">
        <v>272</v>
      </c>
      <c r="D112" s="16">
        <v>3</v>
      </c>
      <c r="E112" t="s">
        <v>1524</v>
      </c>
      <c r="F112" t="s">
        <v>282</v>
      </c>
      <c r="G112" t="s">
        <v>1567</v>
      </c>
      <c r="H112" t="s">
        <v>345</v>
      </c>
      <c r="I112" s="87">
        <v>4.875</v>
      </c>
      <c r="M112" t="s">
        <v>43</v>
      </c>
      <c r="N112" t="s">
        <v>62</v>
      </c>
      <c r="O112" t="s">
        <v>12</v>
      </c>
      <c r="P112" t="s">
        <v>17</v>
      </c>
      <c r="Q112" s="87">
        <v>4.875</v>
      </c>
      <c r="T112" t="s">
        <v>43</v>
      </c>
      <c r="U112" t="s">
        <v>59</v>
      </c>
      <c r="V112" t="s">
        <v>29</v>
      </c>
      <c r="W112" t="s">
        <v>34</v>
      </c>
      <c r="X112" s="87">
        <v>9.1999999999999993</v>
      </c>
    </row>
    <row r="113" spans="1:24" x14ac:dyDescent="0.3">
      <c r="A113" t="s">
        <v>45</v>
      </c>
      <c r="B113" t="s">
        <v>815</v>
      </c>
      <c r="C113" s="16" t="s">
        <v>272</v>
      </c>
      <c r="D113" s="16">
        <v>3</v>
      </c>
      <c r="E113" t="s">
        <v>1524</v>
      </c>
      <c r="F113" t="s">
        <v>1658</v>
      </c>
      <c r="G113" t="s">
        <v>1567</v>
      </c>
      <c r="H113" t="s">
        <v>1570</v>
      </c>
      <c r="I113" s="87">
        <v>6.0250000000000004</v>
      </c>
      <c r="M113" t="s">
        <v>43</v>
      </c>
      <c r="N113" t="s">
        <v>62</v>
      </c>
      <c r="O113" t="s">
        <v>12</v>
      </c>
      <c r="P113" t="s">
        <v>16</v>
      </c>
      <c r="Q113" s="87">
        <v>4.875</v>
      </c>
      <c r="T113" t="s">
        <v>43</v>
      </c>
      <c r="U113" t="s">
        <v>59</v>
      </c>
      <c r="V113" t="s">
        <v>29</v>
      </c>
      <c r="W113" t="s">
        <v>36</v>
      </c>
      <c r="X113" s="87">
        <v>9.1999999999999993</v>
      </c>
    </row>
    <row r="114" spans="1:24" x14ac:dyDescent="0.3">
      <c r="A114" t="s">
        <v>45</v>
      </c>
      <c r="B114" t="s">
        <v>816</v>
      </c>
      <c r="C114" s="16" t="s">
        <v>272</v>
      </c>
      <c r="D114" s="16">
        <v>3</v>
      </c>
      <c r="E114" t="s">
        <v>1524</v>
      </c>
      <c r="F114" t="s">
        <v>1658</v>
      </c>
      <c r="G114" t="s">
        <v>1567</v>
      </c>
      <c r="H114" t="s">
        <v>1570</v>
      </c>
      <c r="I114" s="87">
        <v>6.0250000000000004</v>
      </c>
      <c r="M114" t="s">
        <v>43</v>
      </c>
      <c r="N114" t="s">
        <v>62</v>
      </c>
      <c r="O114" t="s">
        <v>12</v>
      </c>
      <c r="P114" t="s">
        <v>20</v>
      </c>
      <c r="Q114" s="87">
        <v>4.8250000000000002</v>
      </c>
      <c r="T114" t="s">
        <v>43</v>
      </c>
      <c r="U114" t="s">
        <v>59</v>
      </c>
      <c r="V114" t="s">
        <v>29</v>
      </c>
      <c r="W114" t="s">
        <v>33</v>
      </c>
      <c r="X114" s="87">
        <v>8.6999999999999993</v>
      </c>
    </row>
    <row r="115" spans="1:24" x14ac:dyDescent="0.3">
      <c r="A115" t="s">
        <v>45</v>
      </c>
      <c r="B115" t="s">
        <v>817</v>
      </c>
      <c r="C115" s="16" t="s">
        <v>272</v>
      </c>
      <c r="D115" s="16">
        <v>2</v>
      </c>
      <c r="E115" t="s">
        <v>1524</v>
      </c>
      <c r="F115" t="s">
        <v>282</v>
      </c>
      <c r="G115" t="s">
        <v>341</v>
      </c>
      <c r="H115" t="s">
        <v>1658</v>
      </c>
      <c r="I115" s="87">
        <v>6.53</v>
      </c>
      <c r="M115" t="s">
        <v>43</v>
      </c>
      <c r="N115" t="s">
        <v>62</v>
      </c>
      <c r="O115" t="s">
        <v>12</v>
      </c>
      <c r="P115" t="s">
        <v>26</v>
      </c>
      <c r="Q115" s="87">
        <v>5.3000000000000007</v>
      </c>
      <c r="T115" t="s">
        <v>43</v>
      </c>
      <c r="U115" t="s">
        <v>59</v>
      </c>
      <c r="V115" t="s">
        <v>29</v>
      </c>
      <c r="W115" t="s">
        <v>26</v>
      </c>
      <c r="X115" s="87">
        <v>6.1750000000000007</v>
      </c>
    </row>
    <row r="116" spans="1:24" x14ac:dyDescent="0.3">
      <c r="A116" t="s">
        <v>45</v>
      </c>
      <c r="B116" t="s">
        <v>818</v>
      </c>
      <c r="C116" s="16" t="s">
        <v>272</v>
      </c>
      <c r="D116" s="16">
        <v>2</v>
      </c>
      <c r="E116" t="s">
        <v>1524</v>
      </c>
      <c r="F116" t="s">
        <v>282</v>
      </c>
      <c r="G116" t="s">
        <v>341</v>
      </c>
      <c r="H116" t="s">
        <v>1658</v>
      </c>
      <c r="I116" s="87">
        <v>6.53</v>
      </c>
      <c r="M116" t="s">
        <v>43</v>
      </c>
      <c r="N116" t="s">
        <v>62</v>
      </c>
      <c r="O116" t="s">
        <v>12</v>
      </c>
      <c r="P116" t="s">
        <v>22</v>
      </c>
      <c r="Q116" s="87">
        <v>6.28</v>
      </c>
      <c r="T116" t="s">
        <v>43</v>
      </c>
      <c r="U116" t="s">
        <v>59</v>
      </c>
      <c r="V116" t="s">
        <v>29</v>
      </c>
      <c r="W116" t="s">
        <v>31</v>
      </c>
      <c r="X116" s="87">
        <v>7.9249999999999998</v>
      </c>
    </row>
    <row r="117" spans="1:24" x14ac:dyDescent="0.3">
      <c r="A117" t="s">
        <v>45</v>
      </c>
      <c r="B117" t="s">
        <v>819</v>
      </c>
      <c r="C117" s="16" t="s">
        <v>272</v>
      </c>
      <c r="D117" s="16">
        <v>3</v>
      </c>
      <c r="E117" t="s">
        <v>1524</v>
      </c>
      <c r="F117" t="s">
        <v>1658</v>
      </c>
      <c r="G117" t="s">
        <v>341</v>
      </c>
      <c r="H117" t="s">
        <v>344</v>
      </c>
      <c r="I117" s="87">
        <v>5.66</v>
      </c>
      <c r="M117" t="s">
        <v>43</v>
      </c>
      <c r="N117" t="s">
        <v>62</v>
      </c>
      <c r="O117" t="s">
        <v>12</v>
      </c>
      <c r="P117" t="s">
        <v>31</v>
      </c>
      <c r="Q117" s="87">
        <v>5.3500000000000005</v>
      </c>
      <c r="T117" t="s">
        <v>43</v>
      </c>
      <c r="U117" t="s">
        <v>59</v>
      </c>
      <c r="V117" t="s">
        <v>29</v>
      </c>
      <c r="W117" t="s">
        <v>27</v>
      </c>
      <c r="X117" s="87">
        <v>6.1750000000000007</v>
      </c>
    </row>
    <row r="118" spans="1:24" x14ac:dyDescent="0.3">
      <c r="A118" t="s">
        <v>45</v>
      </c>
      <c r="B118" t="s">
        <v>820</v>
      </c>
      <c r="C118" s="16" t="s">
        <v>272</v>
      </c>
      <c r="D118" s="16">
        <v>3</v>
      </c>
      <c r="E118" t="s">
        <v>1526</v>
      </c>
      <c r="F118" t="s">
        <v>283</v>
      </c>
      <c r="G118" t="s">
        <v>1566</v>
      </c>
      <c r="H118" t="s">
        <v>1571</v>
      </c>
      <c r="I118" s="87">
        <v>7.5500000000000007</v>
      </c>
      <c r="M118" t="s">
        <v>43</v>
      </c>
      <c r="N118" t="s">
        <v>62</v>
      </c>
      <c r="O118" t="s">
        <v>12</v>
      </c>
      <c r="P118" t="s">
        <v>27</v>
      </c>
      <c r="Q118" s="87">
        <v>5.3500000000000005</v>
      </c>
      <c r="T118" t="s">
        <v>43</v>
      </c>
      <c r="U118" t="s">
        <v>59</v>
      </c>
      <c r="V118" t="s">
        <v>29</v>
      </c>
      <c r="W118" t="s">
        <v>28</v>
      </c>
      <c r="X118" s="87">
        <v>6.4</v>
      </c>
    </row>
    <row r="119" spans="1:24" x14ac:dyDescent="0.3">
      <c r="A119" t="s">
        <v>45</v>
      </c>
      <c r="B119" t="s">
        <v>821</v>
      </c>
      <c r="C119" s="16" t="s">
        <v>272</v>
      </c>
      <c r="D119" s="16">
        <v>3</v>
      </c>
      <c r="E119" t="s">
        <v>1524</v>
      </c>
      <c r="F119" t="s">
        <v>1658</v>
      </c>
      <c r="G119" t="s">
        <v>1567</v>
      </c>
      <c r="H119" t="s">
        <v>1570</v>
      </c>
      <c r="I119" s="87">
        <v>6.0250000000000004</v>
      </c>
      <c r="M119" t="s">
        <v>43</v>
      </c>
      <c r="N119" t="s">
        <v>62</v>
      </c>
      <c r="O119" t="s">
        <v>12</v>
      </c>
      <c r="P119" t="s">
        <v>28</v>
      </c>
      <c r="Q119" s="87">
        <v>5.3500000000000005</v>
      </c>
      <c r="T119" t="s">
        <v>43</v>
      </c>
      <c r="U119" t="s">
        <v>59</v>
      </c>
      <c r="V119" t="s">
        <v>29</v>
      </c>
      <c r="W119" t="s">
        <v>35</v>
      </c>
      <c r="X119" s="87">
        <v>9.125</v>
      </c>
    </row>
    <row r="120" spans="1:24" x14ac:dyDescent="0.3">
      <c r="A120" t="s">
        <v>45</v>
      </c>
      <c r="B120" t="s">
        <v>822</v>
      </c>
      <c r="C120" s="16" t="s">
        <v>272</v>
      </c>
      <c r="D120" s="16">
        <v>3</v>
      </c>
      <c r="E120" t="s">
        <v>1526</v>
      </c>
      <c r="F120" t="s">
        <v>283</v>
      </c>
      <c r="G120" t="s">
        <v>1566</v>
      </c>
      <c r="H120" t="s">
        <v>1571</v>
      </c>
      <c r="I120" s="87">
        <v>7.5500000000000007</v>
      </c>
      <c r="M120" t="s">
        <v>43</v>
      </c>
      <c r="N120" t="s">
        <v>58</v>
      </c>
      <c r="O120" t="s">
        <v>12</v>
      </c>
      <c r="P120" t="s">
        <v>15</v>
      </c>
      <c r="Q120" s="87">
        <v>5.8000000000000007</v>
      </c>
      <c r="T120" t="s">
        <v>43</v>
      </c>
      <c r="U120" t="s">
        <v>49</v>
      </c>
      <c r="V120" t="s">
        <v>29</v>
      </c>
      <c r="W120" t="s">
        <v>23</v>
      </c>
      <c r="X120" s="87">
        <v>5.3500000000000005</v>
      </c>
    </row>
    <row r="121" spans="1:24" x14ac:dyDescent="0.3">
      <c r="A121" t="s">
        <v>45</v>
      </c>
      <c r="B121" t="s">
        <v>823</v>
      </c>
      <c r="C121" s="16" t="s">
        <v>272</v>
      </c>
      <c r="D121" s="16">
        <v>3</v>
      </c>
      <c r="E121" t="s">
        <v>1524</v>
      </c>
      <c r="F121" t="s">
        <v>1658</v>
      </c>
      <c r="G121" t="s">
        <v>1567</v>
      </c>
      <c r="H121" t="s">
        <v>344</v>
      </c>
      <c r="I121" s="87">
        <v>5.5</v>
      </c>
      <c r="M121" t="s">
        <v>43</v>
      </c>
      <c r="N121" t="s">
        <v>58</v>
      </c>
      <c r="O121" t="s">
        <v>12</v>
      </c>
      <c r="P121" t="s">
        <v>14</v>
      </c>
      <c r="Q121" s="87">
        <v>5.9749999999999996</v>
      </c>
      <c r="T121" t="s">
        <v>43</v>
      </c>
      <c r="U121" t="s">
        <v>49</v>
      </c>
      <c r="V121" t="s">
        <v>29</v>
      </c>
      <c r="W121" t="s">
        <v>25</v>
      </c>
      <c r="X121" s="87">
        <v>5.3500000000000005</v>
      </c>
    </row>
    <row r="122" spans="1:24" x14ac:dyDescent="0.3">
      <c r="A122" t="s">
        <v>45</v>
      </c>
      <c r="B122" t="s">
        <v>824</v>
      </c>
      <c r="C122" s="16" t="s">
        <v>272</v>
      </c>
      <c r="D122" s="16">
        <v>2</v>
      </c>
      <c r="E122" t="s">
        <v>1524</v>
      </c>
      <c r="F122" t="s">
        <v>282</v>
      </c>
      <c r="G122" t="s">
        <v>341</v>
      </c>
      <c r="H122" t="s">
        <v>345</v>
      </c>
      <c r="I122" s="87">
        <v>5.8049999999999997</v>
      </c>
      <c r="M122" t="s">
        <v>43</v>
      </c>
      <c r="N122" t="s">
        <v>58</v>
      </c>
      <c r="O122" t="s">
        <v>12</v>
      </c>
      <c r="P122" t="s">
        <v>11</v>
      </c>
      <c r="Q122" s="87">
        <v>5.375</v>
      </c>
      <c r="T122" t="s">
        <v>43</v>
      </c>
      <c r="U122" t="s">
        <v>49</v>
      </c>
      <c r="V122" t="s">
        <v>29</v>
      </c>
      <c r="W122" t="s">
        <v>24</v>
      </c>
      <c r="X122" s="87">
        <v>5.3500000000000005</v>
      </c>
    </row>
    <row r="123" spans="1:24" x14ac:dyDescent="0.3">
      <c r="A123" t="s">
        <v>9</v>
      </c>
      <c r="B123" t="s">
        <v>825</v>
      </c>
      <c r="C123" s="16" t="s">
        <v>272</v>
      </c>
      <c r="D123" s="16">
        <v>3</v>
      </c>
      <c r="E123" t="s">
        <v>1524</v>
      </c>
      <c r="F123" t="s">
        <v>1658</v>
      </c>
      <c r="G123" t="s">
        <v>1567</v>
      </c>
      <c r="H123" t="s">
        <v>344</v>
      </c>
      <c r="I123" s="87">
        <v>5.5</v>
      </c>
      <c r="M123" t="s">
        <v>43</v>
      </c>
      <c r="N123" t="s">
        <v>58</v>
      </c>
      <c r="O123" t="s">
        <v>12</v>
      </c>
      <c r="P123" t="s">
        <v>16</v>
      </c>
      <c r="Q123" s="87">
        <v>5.3249999999999993</v>
      </c>
      <c r="T123" t="s">
        <v>43</v>
      </c>
      <c r="U123" t="s">
        <v>49</v>
      </c>
      <c r="V123" t="s">
        <v>29</v>
      </c>
      <c r="W123" t="s">
        <v>21</v>
      </c>
      <c r="X123" s="87">
        <v>6.120000000000001</v>
      </c>
    </row>
    <row r="124" spans="1:24" x14ac:dyDescent="0.3">
      <c r="A124" t="s">
        <v>9</v>
      </c>
      <c r="B124" t="s">
        <v>826</v>
      </c>
      <c r="C124" s="16" t="s">
        <v>272</v>
      </c>
      <c r="D124" s="16">
        <v>3</v>
      </c>
      <c r="E124" t="s">
        <v>1524</v>
      </c>
      <c r="F124" t="s">
        <v>1658</v>
      </c>
      <c r="G124" t="s">
        <v>1567</v>
      </c>
      <c r="H124" t="s">
        <v>344</v>
      </c>
      <c r="I124" s="87">
        <v>5.5</v>
      </c>
      <c r="M124" t="s">
        <v>45</v>
      </c>
      <c r="N124" t="s">
        <v>61</v>
      </c>
      <c r="O124" t="s">
        <v>12</v>
      </c>
      <c r="P124" t="s">
        <v>15</v>
      </c>
      <c r="Q124" s="87">
        <v>5.3500000000000005</v>
      </c>
      <c r="T124" t="s">
        <v>43</v>
      </c>
      <c r="U124" t="s">
        <v>49</v>
      </c>
      <c r="V124" t="s">
        <v>29</v>
      </c>
      <c r="W124" t="s">
        <v>26</v>
      </c>
      <c r="X124" s="87">
        <v>5.3500000000000005</v>
      </c>
    </row>
    <row r="125" spans="1:24" x14ac:dyDescent="0.3">
      <c r="A125" t="s">
        <v>9</v>
      </c>
      <c r="B125" t="s">
        <v>827</v>
      </c>
      <c r="C125" s="16" t="s">
        <v>272</v>
      </c>
      <c r="D125" s="16">
        <v>3</v>
      </c>
      <c r="E125" t="s">
        <v>1524</v>
      </c>
      <c r="F125" t="s">
        <v>1658</v>
      </c>
      <c r="G125" t="s">
        <v>1567</v>
      </c>
      <c r="H125" t="s">
        <v>344</v>
      </c>
      <c r="I125" s="87">
        <v>5.5</v>
      </c>
      <c r="M125" t="s">
        <v>45</v>
      </c>
      <c r="N125" t="s">
        <v>61</v>
      </c>
      <c r="O125" t="s">
        <v>12</v>
      </c>
      <c r="P125" t="s">
        <v>14</v>
      </c>
      <c r="Q125" s="87">
        <v>7.6700000000000008</v>
      </c>
      <c r="T125" t="s">
        <v>43</v>
      </c>
      <c r="U125" t="s">
        <v>49</v>
      </c>
      <c r="V125" t="s">
        <v>29</v>
      </c>
      <c r="W125" t="s">
        <v>22</v>
      </c>
      <c r="X125" s="87">
        <v>5.3500000000000005</v>
      </c>
    </row>
    <row r="126" spans="1:24" x14ac:dyDescent="0.3">
      <c r="A126" t="s">
        <v>9</v>
      </c>
      <c r="B126" t="s">
        <v>828</v>
      </c>
      <c r="C126" s="16" t="s">
        <v>272</v>
      </c>
      <c r="D126" s="16">
        <v>3</v>
      </c>
      <c r="E126" t="s">
        <v>1524</v>
      </c>
      <c r="F126" t="s">
        <v>1658</v>
      </c>
      <c r="G126" t="s">
        <v>1567</v>
      </c>
      <c r="H126" t="s">
        <v>344</v>
      </c>
      <c r="I126" s="87">
        <v>5.5</v>
      </c>
      <c r="M126" t="s">
        <v>45</v>
      </c>
      <c r="N126" t="s">
        <v>61</v>
      </c>
      <c r="O126" t="s">
        <v>12</v>
      </c>
      <c r="P126" t="s">
        <v>11</v>
      </c>
      <c r="Q126" s="87">
        <v>8.15</v>
      </c>
      <c r="T126" t="s">
        <v>43</v>
      </c>
      <c r="U126" t="s">
        <v>49</v>
      </c>
      <c r="V126" t="s">
        <v>29</v>
      </c>
      <c r="W126" t="s">
        <v>27</v>
      </c>
      <c r="X126" s="87">
        <v>6.28</v>
      </c>
    </row>
    <row r="127" spans="1:24" x14ac:dyDescent="0.3">
      <c r="A127" t="s">
        <v>9</v>
      </c>
      <c r="B127" t="s">
        <v>829</v>
      </c>
      <c r="C127" s="16" t="s">
        <v>272</v>
      </c>
      <c r="D127" s="16">
        <v>3</v>
      </c>
      <c r="E127" t="s">
        <v>1524</v>
      </c>
      <c r="F127" t="s">
        <v>1658</v>
      </c>
      <c r="G127" t="s">
        <v>1567</v>
      </c>
      <c r="H127" t="s">
        <v>344</v>
      </c>
      <c r="I127" s="87">
        <v>5.5</v>
      </c>
      <c r="M127" t="s">
        <v>45</v>
      </c>
      <c r="N127" t="s">
        <v>66</v>
      </c>
      <c r="O127" t="s">
        <v>12</v>
      </c>
      <c r="P127" t="s">
        <v>15</v>
      </c>
      <c r="Q127" s="87">
        <v>5.2250000000000005</v>
      </c>
      <c r="T127" t="s">
        <v>43</v>
      </c>
      <c r="U127" t="s">
        <v>49</v>
      </c>
      <c r="V127" t="s">
        <v>29</v>
      </c>
      <c r="W127" t="s">
        <v>28</v>
      </c>
      <c r="X127" s="87">
        <v>6.28</v>
      </c>
    </row>
    <row r="128" spans="1:24" x14ac:dyDescent="0.3">
      <c r="A128" t="s">
        <v>9</v>
      </c>
      <c r="B128" t="s">
        <v>830</v>
      </c>
      <c r="C128" s="16" t="s">
        <v>272</v>
      </c>
      <c r="D128" s="16">
        <v>3</v>
      </c>
      <c r="E128" t="s">
        <v>1524</v>
      </c>
      <c r="F128" t="s">
        <v>1658</v>
      </c>
      <c r="G128" t="s">
        <v>1567</v>
      </c>
      <c r="H128" t="s">
        <v>344</v>
      </c>
      <c r="I128" s="87">
        <v>5.5</v>
      </c>
      <c r="M128" t="s">
        <v>45</v>
      </c>
      <c r="N128" t="s">
        <v>66</v>
      </c>
      <c r="O128" t="s">
        <v>12</v>
      </c>
      <c r="P128" t="s">
        <v>14</v>
      </c>
      <c r="Q128" s="87">
        <v>5.2250000000000005</v>
      </c>
      <c r="T128" t="s">
        <v>43</v>
      </c>
      <c r="U128" t="s">
        <v>62</v>
      </c>
      <c r="V128" t="s">
        <v>29</v>
      </c>
      <c r="W128" t="s">
        <v>64</v>
      </c>
      <c r="X128" s="87">
        <v>4.9250000000000007</v>
      </c>
    </row>
    <row r="129" spans="1:24" x14ac:dyDescent="0.3">
      <c r="A129" t="s">
        <v>9</v>
      </c>
      <c r="B129" t="s">
        <v>831</v>
      </c>
      <c r="C129" s="16" t="s">
        <v>272</v>
      </c>
      <c r="D129" s="16">
        <v>3</v>
      </c>
      <c r="E129" t="s">
        <v>1524</v>
      </c>
      <c r="F129" t="s">
        <v>1658</v>
      </c>
      <c r="G129" t="s">
        <v>1567</v>
      </c>
      <c r="H129" t="s">
        <v>344</v>
      </c>
      <c r="I129" s="87">
        <v>5.5</v>
      </c>
      <c r="M129" t="s">
        <v>45</v>
      </c>
      <c r="N129" t="s">
        <v>66</v>
      </c>
      <c r="O129" t="s">
        <v>12</v>
      </c>
      <c r="P129" t="s">
        <v>11</v>
      </c>
      <c r="Q129" s="87">
        <v>5.4050000000000002</v>
      </c>
      <c r="T129" t="s">
        <v>43</v>
      </c>
      <c r="U129" t="s">
        <v>62</v>
      </c>
      <c r="V129" t="s">
        <v>29</v>
      </c>
      <c r="W129" t="s">
        <v>39</v>
      </c>
      <c r="X129" s="87">
        <v>5.8049999999999997</v>
      </c>
    </row>
    <row r="130" spans="1:24" x14ac:dyDescent="0.3">
      <c r="A130" t="s">
        <v>9</v>
      </c>
      <c r="B130" t="s">
        <v>832</v>
      </c>
      <c r="C130" s="16" t="s">
        <v>272</v>
      </c>
      <c r="D130" s="16">
        <v>3</v>
      </c>
      <c r="E130" t="s">
        <v>1524</v>
      </c>
      <c r="F130" t="s">
        <v>1658</v>
      </c>
      <c r="G130" t="s">
        <v>1567</v>
      </c>
      <c r="H130" t="s">
        <v>1571</v>
      </c>
      <c r="I130" s="87">
        <v>6.05</v>
      </c>
      <c r="M130" t="s">
        <v>45</v>
      </c>
      <c r="N130" t="s">
        <v>66</v>
      </c>
      <c r="O130" t="s">
        <v>12</v>
      </c>
      <c r="P130" t="s">
        <v>19</v>
      </c>
      <c r="Q130" s="87">
        <v>5.2250000000000005</v>
      </c>
      <c r="T130" t="s">
        <v>43</v>
      </c>
      <c r="U130" t="s">
        <v>62</v>
      </c>
      <c r="V130" t="s">
        <v>29</v>
      </c>
      <c r="W130" t="s">
        <v>37</v>
      </c>
      <c r="X130" s="87">
        <v>5.8550000000000004</v>
      </c>
    </row>
    <row r="131" spans="1:24" x14ac:dyDescent="0.3">
      <c r="A131" t="s">
        <v>9</v>
      </c>
      <c r="B131" t="s">
        <v>833</v>
      </c>
      <c r="C131" s="16" t="s">
        <v>272</v>
      </c>
      <c r="D131" s="16">
        <v>3</v>
      </c>
      <c r="E131" t="s">
        <v>1524</v>
      </c>
      <c r="F131" t="s">
        <v>1658</v>
      </c>
      <c r="G131" t="s">
        <v>1567</v>
      </c>
      <c r="H131" t="s">
        <v>344</v>
      </c>
      <c r="I131" s="87">
        <v>5.5</v>
      </c>
      <c r="M131" t="s">
        <v>45</v>
      </c>
      <c r="N131" t="s">
        <v>66</v>
      </c>
      <c r="O131" t="s">
        <v>12</v>
      </c>
      <c r="P131" t="s">
        <v>17</v>
      </c>
      <c r="Q131" s="87">
        <v>5.2250000000000005</v>
      </c>
      <c r="T131" t="s">
        <v>43</v>
      </c>
      <c r="U131" t="s">
        <v>62</v>
      </c>
      <c r="V131" t="s">
        <v>29</v>
      </c>
      <c r="W131" t="s">
        <v>32</v>
      </c>
      <c r="X131" s="87">
        <v>6.7500000000000009</v>
      </c>
    </row>
    <row r="132" spans="1:24" x14ac:dyDescent="0.3">
      <c r="A132" t="s">
        <v>9</v>
      </c>
      <c r="B132" t="s">
        <v>834</v>
      </c>
      <c r="C132" s="16" t="s">
        <v>272</v>
      </c>
      <c r="D132" s="16">
        <v>3</v>
      </c>
      <c r="E132" t="s">
        <v>1524</v>
      </c>
      <c r="F132" t="s">
        <v>1658</v>
      </c>
      <c r="G132" t="s">
        <v>1567</v>
      </c>
      <c r="H132" t="s">
        <v>344</v>
      </c>
      <c r="I132" s="87">
        <v>5.5</v>
      </c>
      <c r="M132" t="s">
        <v>45</v>
      </c>
      <c r="N132" t="s">
        <v>66</v>
      </c>
      <c r="O132" t="s">
        <v>12</v>
      </c>
      <c r="P132" t="s">
        <v>16</v>
      </c>
      <c r="Q132" s="87">
        <v>5.2250000000000005</v>
      </c>
      <c r="T132" t="s">
        <v>43</v>
      </c>
      <c r="U132" t="s">
        <v>62</v>
      </c>
      <c r="V132" t="s">
        <v>29</v>
      </c>
      <c r="W132" t="s">
        <v>41</v>
      </c>
      <c r="X132" s="87">
        <v>5.8049999999999997</v>
      </c>
    </row>
    <row r="133" spans="1:24" x14ac:dyDescent="0.3">
      <c r="A133" t="s">
        <v>9</v>
      </c>
      <c r="B133" t="s">
        <v>835</v>
      </c>
      <c r="C133" s="16" t="s">
        <v>272</v>
      </c>
      <c r="D133" s="16">
        <v>3</v>
      </c>
      <c r="E133" t="s">
        <v>1524</v>
      </c>
      <c r="F133" t="s">
        <v>1658</v>
      </c>
      <c r="G133" t="s">
        <v>1567</v>
      </c>
      <c r="H133" t="s">
        <v>344</v>
      </c>
      <c r="I133" s="87">
        <v>5.5</v>
      </c>
      <c r="M133" t="s">
        <v>9</v>
      </c>
      <c r="N133" t="s">
        <v>55</v>
      </c>
      <c r="O133" t="s">
        <v>12</v>
      </c>
      <c r="P133" t="s">
        <v>15</v>
      </c>
      <c r="Q133" s="87">
        <v>6.1</v>
      </c>
      <c r="T133" t="s">
        <v>43</v>
      </c>
      <c r="U133" t="s">
        <v>62</v>
      </c>
      <c r="V133" t="s">
        <v>29</v>
      </c>
      <c r="W133" t="s">
        <v>40</v>
      </c>
      <c r="X133" s="87">
        <v>5.8049999999999997</v>
      </c>
    </row>
    <row r="134" spans="1:24" x14ac:dyDescent="0.3">
      <c r="A134" t="s">
        <v>9</v>
      </c>
      <c r="B134" t="s">
        <v>836</v>
      </c>
      <c r="C134" s="16" t="s">
        <v>272</v>
      </c>
      <c r="D134" s="16">
        <v>3</v>
      </c>
      <c r="E134" t="s">
        <v>1524</v>
      </c>
      <c r="F134" t="s">
        <v>1658</v>
      </c>
      <c r="G134" t="s">
        <v>1567</v>
      </c>
      <c r="H134" t="s">
        <v>344</v>
      </c>
      <c r="I134" s="87">
        <v>5.5</v>
      </c>
      <c r="M134" t="s">
        <v>9</v>
      </c>
      <c r="N134" t="s">
        <v>55</v>
      </c>
      <c r="O134" t="s">
        <v>12</v>
      </c>
      <c r="P134" t="s">
        <v>14</v>
      </c>
      <c r="Q134" s="87">
        <v>6.1</v>
      </c>
      <c r="T134" t="s">
        <v>43</v>
      </c>
      <c r="U134" t="s">
        <v>62</v>
      </c>
      <c r="V134" t="s">
        <v>29</v>
      </c>
      <c r="W134" t="s">
        <v>63</v>
      </c>
      <c r="X134" s="87">
        <v>5.8049999999999997</v>
      </c>
    </row>
    <row r="135" spans="1:24" x14ac:dyDescent="0.3">
      <c r="A135" t="s">
        <v>9</v>
      </c>
      <c r="B135" t="s">
        <v>837</v>
      </c>
      <c r="C135" s="16" t="s">
        <v>272</v>
      </c>
      <c r="D135" s="16">
        <v>3</v>
      </c>
      <c r="E135" t="s">
        <v>1524</v>
      </c>
      <c r="F135" t="s">
        <v>1658</v>
      </c>
      <c r="G135" t="s">
        <v>1567</v>
      </c>
      <c r="H135" t="s">
        <v>344</v>
      </c>
      <c r="I135" s="87">
        <v>5.5</v>
      </c>
      <c r="M135" t="s">
        <v>9</v>
      </c>
      <c r="N135" t="s">
        <v>55</v>
      </c>
      <c r="O135" t="s">
        <v>12</v>
      </c>
      <c r="P135" t="s">
        <v>11</v>
      </c>
      <c r="Q135" s="87">
        <v>6.0750000000000002</v>
      </c>
      <c r="T135" t="s">
        <v>43</v>
      </c>
      <c r="U135" t="s">
        <v>62</v>
      </c>
      <c r="V135" t="s">
        <v>29</v>
      </c>
      <c r="W135" t="s">
        <v>38</v>
      </c>
      <c r="X135" s="87">
        <v>5.8049999999999997</v>
      </c>
    </row>
    <row r="136" spans="1:24" x14ac:dyDescent="0.3">
      <c r="A136" t="s">
        <v>9</v>
      </c>
      <c r="B136" t="s">
        <v>838</v>
      </c>
      <c r="C136" s="16" t="s">
        <v>272</v>
      </c>
      <c r="D136" s="16">
        <v>3</v>
      </c>
      <c r="E136" t="s">
        <v>1524</v>
      </c>
      <c r="F136" t="s">
        <v>1658</v>
      </c>
      <c r="G136" t="s">
        <v>1567</v>
      </c>
      <c r="H136" t="s">
        <v>344</v>
      </c>
      <c r="I136" s="87">
        <v>5.5</v>
      </c>
      <c r="M136" t="s">
        <v>43</v>
      </c>
      <c r="N136" t="s">
        <v>54</v>
      </c>
      <c r="O136" t="s">
        <v>12</v>
      </c>
      <c r="P136" t="s">
        <v>15</v>
      </c>
      <c r="Q136" s="87">
        <v>6</v>
      </c>
      <c r="T136" t="s">
        <v>43</v>
      </c>
      <c r="U136" t="s">
        <v>62</v>
      </c>
      <c r="V136" t="s">
        <v>29</v>
      </c>
      <c r="W136" t="s">
        <v>65</v>
      </c>
      <c r="X136" s="87">
        <v>4.875</v>
      </c>
    </row>
    <row r="137" spans="1:24" x14ac:dyDescent="0.3">
      <c r="A137" t="s">
        <v>9</v>
      </c>
      <c r="B137" t="s">
        <v>839</v>
      </c>
      <c r="C137" s="16" t="s">
        <v>272</v>
      </c>
      <c r="D137" s="16">
        <v>3</v>
      </c>
      <c r="E137" t="s">
        <v>1529</v>
      </c>
      <c r="F137" t="s">
        <v>1658</v>
      </c>
      <c r="G137" t="s">
        <v>1567</v>
      </c>
      <c r="H137" t="s">
        <v>344</v>
      </c>
      <c r="I137" s="87">
        <v>7.2750000000000012</v>
      </c>
      <c r="M137" t="s">
        <v>43</v>
      </c>
      <c r="N137" t="s">
        <v>54</v>
      </c>
      <c r="O137" t="s">
        <v>12</v>
      </c>
      <c r="P137" t="s">
        <v>14</v>
      </c>
      <c r="Q137" s="87">
        <v>6</v>
      </c>
      <c r="T137" t="s">
        <v>43</v>
      </c>
      <c r="U137" t="s">
        <v>62</v>
      </c>
      <c r="V137" t="s">
        <v>29</v>
      </c>
      <c r="W137" t="s">
        <v>34</v>
      </c>
      <c r="X137" s="87">
        <v>6.7500000000000009</v>
      </c>
    </row>
    <row r="138" spans="1:24" x14ac:dyDescent="0.3">
      <c r="A138" t="s">
        <v>9</v>
      </c>
      <c r="B138" t="s">
        <v>840</v>
      </c>
      <c r="C138" s="16" t="s">
        <v>272</v>
      </c>
      <c r="D138" s="16">
        <v>3</v>
      </c>
      <c r="E138" t="s">
        <v>1524</v>
      </c>
      <c r="F138" t="s">
        <v>1658</v>
      </c>
      <c r="G138" t="s">
        <v>1567</v>
      </c>
      <c r="H138" t="s">
        <v>344</v>
      </c>
      <c r="I138" s="87">
        <v>5.5</v>
      </c>
      <c r="M138" t="s">
        <v>43</v>
      </c>
      <c r="N138" t="s">
        <v>54</v>
      </c>
      <c r="O138" t="s">
        <v>12</v>
      </c>
      <c r="P138" t="s">
        <v>11</v>
      </c>
      <c r="Q138" s="87">
        <v>6</v>
      </c>
      <c r="T138" t="s">
        <v>43</v>
      </c>
      <c r="U138" t="s">
        <v>62</v>
      </c>
      <c r="V138" t="s">
        <v>29</v>
      </c>
      <c r="W138" t="s">
        <v>42</v>
      </c>
      <c r="X138" s="87">
        <v>5.0350000000000001</v>
      </c>
    </row>
    <row r="139" spans="1:24" x14ac:dyDescent="0.3">
      <c r="A139" t="s">
        <v>9</v>
      </c>
      <c r="B139" t="s">
        <v>841</v>
      </c>
      <c r="C139" s="16" t="s">
        <v>273</v>
      </c>
      <c r="D139" s="16">
        <v>2</v>
      </c>
      <c r="E139" t="s">
        <v>1525</v>
      </c>
      <c r="F139" t="s">
        <v>1546</v>
      </c>
      <c r="G139" t="s">
        <v>1566</v>
      </c>
      <c r="H139" t="s">
        <v>1570</v>
      </c>
      <c r="I139" s="87">
        <v>8.8249999999999993</v>
      </c>
      <c r="M139" t="s">
        <v>43</v>
      </c>
      <c r="N139" t="s">
        <v>54</v>
      </c>
      <c r="O139" t="s">
        <v>12</v>
      </c>
      <c r="P139" t="s">
        <v>19</v>
      </c>
      <c r="Q139" s="87">
        <v>6</v>
      </c>
      <c r="T139" t="s">
        <v>43</v>
      </c>
      <c r="U139" t="s">
        <v>62</v>
      </c>
      <c r="V139" t="s">
        <v>29</v>
      </c>
      <c r="W139" t="s">
        <v>36</v>
      </c>
      <c r="X139" s="87">
        <v>6.7000000000000011</v>
      </c>
    </row>
    <row r="140" spans="1:24" x14ac:dyDescent="0.3">
      <c r="A140" t="s">
        <v>9</v>
      </c>
      <c r="B140" t="s">
        <v>842</v>
      </c>
      <c r="C140" s="16" t="s">
        <v>273</v>
      </c>
      <c r="D140" s="16">
        <v>2</v>
      </c>
      <c r="E140" t="s">
        <v>1525</v>
      </c>
      <c r="F140" t="s">
        <v>1542</v>
      </c>
      <c r="G140" t="s">
        <v>1566</v>
      </c>
      <c r="H140" t="s">
        <v>1570</v>
      </c>
      <c r="I140" s="87">
        <v>8.875</v>
      </c>
      <c r="M140" t="s">
        <v>43</v>
      </c>
      <c r="N140" t="s">
        <v>54</v>
      </c>
      <c r="O140" t="s">
        <v>12</v>
      </c>
      <c r="P140" t="s">
        <v>17</v>
      </c>
      <c r="Q140" s="87">
        <v>6</v>
      </c>
      <c r="T140" t="s">
        <v>43</v>
      </c>
      <c r="U140" t="s">
        <v>62</v>
      </c>
      <c r="V140" t="s">
        <v>29</v>
      </c>
      <c r="W140" t="s">
        <v>33</v>
      </c>
      <c r="X140" s="87">
        <v>6.7500000000000009</v>
      </c>
    </row>
    <row r="141" spans="1:24" x14ac:dyDescent="0.3">
      <c r="A141" t="s">
        <v>9</v>
      </c>
      <c r="B141" t="s">
        <v>843</v>
      </c>
      <c r="C141" s="16" t="s">
        <v>272</v>
      </c>
      <c r="D141" s="16">
        <v>3</v>
      </c>
      <c r="E141" t="s">
        <v>1529</v>
      </c>
      <c r="F141" t="s">
        <v>1658</v>
      </c>
      <c r="G141" t="s">
        <v>1567</v>
      </c>
      <c r="H141" t="s">
        <v>344</v>
      </c>
      <c r="I141" s="87">
        <v>7.2750000000000012</v>
      </c>
      <c r="M141" t="s">
        <v>43</v>
      </c>
      <c r="N141" t="s">
        <v>54</v>
      </c>
      <c r="O141" t="s">
        <v>12</v>
      </c>
      <c r="P141" t="s">
        <v>16</v>
      </c>
      <c r="Q141" s="87">
        <v>6</v>
      </c>
      <c r="T141" t="s">
        <v>43</v>
      </c>
      <c r="U141" t="s">
        <v>62</v>
      </c>
      <c r="V141" t="s">
        <v>29</v>
      </c>
      <c r="W141" t="s">
        <v>35</v>
      </c>
      <c r="X141" s="87">
        <v>6.7500000000000009</v>
      </c>
    </row>
    <row r="142" spans="1:24" x14ac:dyDescent="0.3">
      <c r="A142" t="s">
        <v>9</v>
      </c>
      <c r="B142" t="s">
        <v>844</v>
      </c>
      <c r="C142" s="16" t="s">
        <v>272</v>
      </c>
      <c r="D142" s="16">
        <v>3</v>
      </c>
      <c r="E142" t="s">
        <v>1529</v>
      </c>
      <c r="F142" t="s">
        <v>1658</v>
      </c>
      <c r="G142" t="s">
        <v>1567</v>
      </c>
      <c r="H142" t="s">
        <v>344</v>
      </c>
      <c r="I142" s="87">
        <v>7.2750000000000012</v>
      </c>
      <c r="M142" t="s">
        <v>9</v>
      </c>
      <c r="N142" t="s">
        <v>52</v>
      </c>
      <c r="O142" t="s">
        <v>12</v>
      </c>
      <c r="P142" t="s">
        <v>15</v>
      </c>
      <c r="Q142" s="87">
        <v>7.620000000000001</v>
      </c>
      <c r="T142" t="s">
        <v>43</v>
      </c>
      <c r="U142" t="s">
        <v>58</v>
      </c>
      <c r="V142" t="s">
        <v>29</v>
      </c>
      <c r="W142" t="s">
        <v>19</v>
      </c>
      <c r="X142" s="87">
        <v>6.7050000000000001</v>
      </c>
    </row>
    <row r="143" spans="1:24" x14ac:dyDescent="0.3">
      <c r="A143" t="s">
        <v>9</v>
      </c>
      <c r="B143" t="s">
        <v>845</v>
      </c>
      <c r="C143" s="16" t="s">
        <v>272</v>
      </c>
      <c r="D143" s="16">
        <v>3</v>
      </c>
      <c r="E143" t="s">
        <v>1524</v>
      </c>
      <c r="F143" t="s">
        <v>1658</v>
      </c>
      <c r="G143" t="s">
        <v>1567</v>
      </c>
      <c r="H143" t="s">
        <v>344</v>
      </c>
      <c r="I143" s="87">
        <v>5.5</v>
      </c>
      <c r="M143" t="s">
        <v>9</v>
      </c>
      <c r="N143" t="s">
        <v>52</v>
      </c>
      <c r="O143" t="s">
        <v>12</v>
      </c>
      <c r="P143" t="s">
        <v>14</v>
      </c>
      <c r="Q143" s="87">
        <v>5.4499999999999993</v>
      </c>
      <c r="T143" t="s">
        <v>43</v>
      </c>
      <c r="U143" t="s">
        <v>58</v>
      </c>
      <c r="V143" t="s">
        <v>29</v>
      </c>
      <c r="W143" t="s">
        <v>17</v>
      </c>
      <c r="X143" s="87">
        <v>6.7050000000000001</v>
      </c>
    </row>
    <row r="144" spans="1:24" x14ac:dyDescent="0.3">
      <c r="A144" t="s">
        <v>9</v>
      </c>
      <c r="B144" t="s">
        <v>846</v>
      </c>
      <c r="C144" s="16" t="s">
        <v>273</v>
      </c>
      <c r="D144" s="16">
        <v>2</v>
      </c>
      <c r="E144" t="s">
        <v>1525</v>
      </c>
      <c r="F144" t="s">
        <v>1546</v>
      </c>
      <c r="G144" t="s">
        <v>1566</v>
      </c>
      <c r="H144" t="s">
        <v>344</v>
      </c>
      <c r="I144" s="87">
        <v>8.2999999999999989</v>
      </c>
      <c r="M144" t="s">
        <v>9</v>
      </c>
      <c r="N144" t="s">
        <v>52</v>
      </c>
      <c r="O144" t="s">
        <v>12</v>
      </c>
      <c r="P144" t="s">
        <v>11</v>
      </c>
      <c r="Q144" s="87">
        <v>5.95</v>
      </c>
      <c r="T144" t="s">
        <v>45</v>
      </c>
      <c r="U144" t="s">
        <v>61</v>
      </c>
      <c r="V144" t="s">
        <v>29</v>
      </c>
      <c r="W144" t="s">
        <v>16</v>
      </c>
      <c r="X144" s="87">
        <v>5.75</v>
      </c>
    </row>
    <row r="145" spans="1:24" x14ac:dyDescent="0.3">
      <c r="A145" t="s">
        <v>9</v>
      </c>
      <c r="B145" t="s">
        <v>847</v>
      </c>
      <c r="C145" s="16" t="s">
        <v>272</v>
      </c>
      <c r="D145" s="16">
        <v>3</v>
      </c>
      <c r="E145" t="s">
        <v>1529</v>
      </c>
      <c r="F145" t="s">
        <v>1658</v>
      </c>
      <c r="G145" t="s">
        <v>1567</v>
      </c>
      <c r="H145" t="s">
        <v>344</v>
      </c>
      <c r="I145" s="87">
        <v>7.2750000000000012</v>
      </c>
      <c r="M145" t="s">
        <v>9</v>
      </c>
      <c r="N145" t="s">
        <v>52</v>
      </c>
      <c r="O145" t="s">
        <v>12</v>
      </c>
      <c r="P145" t="s">
        <v>16</v>
      </c>
      <c r="Q145" s="87">
        <v>6.1749999999999998</v>
      </c>
      <c r="T145" t="s">
        <v>45</v>
      </c>
      <c r="U145" t="s">
        <v>66</v>
      </c>
      <c r="V145" t="s">
        <v>29</v>
      </c>
      <c r="W145" t="s">
        <v>23</v>
      </c>
      <c r="X145" s="87">
        <v>5.375</v>
      </c>
    </row>
    <row r="146" spans="1:24" x14ac:dyDescent="0.3">
      <c r="A146" t="s">
        <v>9</v>
      </c>
      <c r="B146" t="s">
        <v>848</v>
      </c>
      <c r="C146" s="16" t="s">
        <v>272</v>
      </c>
      <c r="D146" s="16">
        <v>3</v>
      </c>
      <c r="E146" t="s">
        <v>1524</v>
      </c>
      <c r="F146" t="s">
        <v>1658</v>
      </c>
      <c r="G146" t="s">
        <v>1567</v>
      </c>
      <c r="H146" t="s">
        <v>344</v>
      </c>
      <c r="I146" s="87">
        <v>5.5</v>
      </c>
      <c r="M146" t="s">
        <v>43</v>
      </c>
      <c r="N146" t="s">
        <v>69</v>
      </c>
      <c r="O146" t="s">
        <v>12</v>
      </c>
      <c r="P146" t="s">
        <v>15</v>
      </c>
      <c r="Q146" s="87">
        <v>5.625</v>
      </c>
      <c r="T146" t="s">
        <v>45</v>
      </c>
      <c r="U146" t="s">
        <v>66</v>
      </c>
      <c r="V146" t="s">
        <v>29</v>
      </c>
      <c r="W146" t="s">
        <v>25</v>
      </c>
      <c r="X146" s="87">
        <v>5.3500000000000005</v>
      </c>
    </row>
    <row r="147" spans="1:24" x14ac:dyDescent="0.3">
      <c r="A147" t="s">
        <v>9</v>
      </c>
      <c r="B147" t="s">
        <v>849</v>
      </c>
      <c r="C147" s="16" t="s">
        <v>273</v>
      </c>
      <c r="D147" s="16">
        <v>2</v>
      </c>
      <c r="E147" t="s">
        <v>1525</v>
      </c>
      <c r="F147" t="s">
        <v>1546</v>
      </c>
      <c r="G147" t="s">
        <v>1566</v>
      </c>
      <c r="H147" t="s">
        <v>344</v>
      </c>
      <c r="I147" s="87">
        <v>8.2999999999999989</v>
      </c>
      <c r="M147" t="s">
        <v>43</v>
      </c>
      <c r="N147" t="s">
        <v>69</v>
      </c>
      <c r="O147" t="s">
        <v>12</v>
      </c>
      <c r="P147" t="s">
        <v>23</v>
      </c>
      <c r="Q147" s="87">
        <v>5.9</v>
      </c>
      <c r="T147" t="s">
        <v>45</v>
      </c>
      <c r="U147" t="s">
        <v>66</v>
      </c>
      <c r="V147" t="s">
        <v>29</v>
      </c>
      <c r="W147" t="s">
        <v>24</v>
      </c>
      <c r="X147" s="87">
        <v>5.375</v>
      </c>
    </row>
    <row r="148" spans="1:24" x14ac:dyDescent="0.3">
      <c r="A148" t="s">
        <v>9</v>
      </c>
      <c r="B148" t="s">
        <v>850</v>
      </c>
      <c r="C148" s="16" t="s">
        <v>273</v>
      </c>
      <c r="D148" s="16">
        <v>2</v>
      </c>
      <c r="E148" t="s">
        <v>1525</v>
      </c>
      <c r="F148" t="s">
        <v>1546</v>
      </c>
      <c r="G148" t="s">
        <v>1566</v>
      </c>
      <c r="H148" t="s">
        <v>344</v>
      </c>
      <c r="I148" s="87">
        <v>8.2999999999999989</v>
      </c>
      <c r="M148" t="s">
        <v>43</v>
      </c>
      <c r="N148" t="s">
        <v>69</v>
      </c>
      <c r="O148" t="s">
        <v>12</v>
      </c>
      <c r="P148" t="s">
        <v>14</v>
      </c>
      <c r="Q148" s="87">
        <v>5.7750000000000004</v>
      </c>
      <c r="T148" t="s">
        <v>45</v>
      </c>
      <c r="U148" t="s">
        <v>66</v>
      </c>
      <c r="V148" t="s">
        <v>29</v>
      </c>
      <c r="W148" t="s">
        <v>21</v>
      </c>
      <c r="X148" s="87">
        <v>5.45</v>
      </c>
    </row>
    <row r="149" spans="1:24" x14ac:dyDescent="0.3">
      <c r="A149" t="s">
        <v>9</v>
      </c>
      <c r="B149" t="s">
        <v>851</v>
      </c>
      <c r="C149" s="16" t="s">
        <v>273</v>
      </c>
      <c r="D149" s="16">
        <v>2</v>
      </c>
      <c r="E149" t="s">
        <v>1525</v>
      </c>
      <c r="F149" t="s">
        <v>1546</v>
      </c>
      <c r="G149" t="s">
        <v>1567</v>
      </c>
      <c r="H149" t="s">
        <v>344</v>
      </c>
      <c r="I149" s="87">
        <v>8.35</v>
      </c>
      <c r="M149" t="s">
        <v>43</v>
      </c>
      <c r="N149" t="s">
        <v>69</v>
      </c>
      <c r="O149" t="s">
        <v>12</v>
      </c>
      <c r="P149" t="s">
        <v>11</v>
      </c>
      <c r="Q149" s="87">
        <v>5.75</v>
      </c>
      <c r="T149" t="s">
        <v>45</v>
      </c>
      <c r="U149" t="s">
        <v>66</v>
      </c>
      <c r="V149" t="s">
        <v>29</v>
      </c>
      <c r="W149" t="s">
        <v>20</v>
      </c>
      <c r="X149" s="87">
        <v>5.9749999999999996</v>
      </c>
    </row>
    <row r="150" spans="1:24" x14ac:dyDescent="0.3">
      <c r="A150" t="s">
        <v>9</v>
      </c>
      <c r="B150" t="s">
        <v>852</v>
      </c>
      <c r="C150" s="16" t="s">
        <v>272</v>
      </c>
      <c r="D150" s="16">
        <v>2</v>
      </c>
      <c r="E150" t="s">
        <v>1525</v>
      </c>
      <c r="F150" t="s">
        <v>1546</v>
      </c>
      <c r="G150" t="s">
        <v>1566</v>
      </c>
      <c r="H150" t="s">
        <v>344</v>
      </c>
      <c r="I150" s="87">
        <v>7.4200000000000008</v>
      </c>
      <c r="M150" t="s">
        <v>43</v>
      </c>
      <c r="N150" t="s">
        <v>69</v>
      </c>
      <c r="O150" t="s">
        <v>12</v>
      </c>
      <c r="P150" t="s">
        <v>21</v>
      </c>
      <c r="Q150" s="87">
        <v>5.4500000000000011</v>
      </c>
      <c r="T150" t="s">
        <v>45</v>
      </c>
      <c r="U150" t="s">
        <v>66</v>
      </c>
      <c r="V150" t="s">
        <v>29</v>
      </c>
      <c r="W150" t="s">
        <v>26</v>
      </c>
      <c r="X150" s="87">
        <v>5.3500000000000005</v>
      </c>
    </row>
    <row r="151" spans="1:24" x14ac:dyDescent="0.3">
      <c r="A151" t="s">
        <v>9</v>
      </c>
      <c r="B151" t="s">
        <v>853</v>
      </c>
      <c r="C151" s="16" t="s">
        <v>272</v>
      </c>
      <c r="D151" s="16">
        <v>2</v>
      </c>
      <c r="E151" t="s">
        <v>1524</v>
      </c>
      <c r="F151" t="s">
        <v>282</v>
      </c>
      <c r="G151" t="s">
        <v>341</v>
      </c>
      <c r="H151" t="s">
        <v>344</v>
      </c>
      <c r="I151" s="87">
        <v>5.8550000000000004</v>
      </c>
      <c r="M151" t="s">
        <v>43</v>
      </c>
      <c r="N151" t="s">
        <v>69</v>
      </c>
      <c r="O151" t="s">
        <v>12</v>
      </c>
      <c r="P151" t="s">
        <v>19</v>
      </c>
      <c r="Q151" s="87">
        <v>5.3</v>
      </c>
      <c r="T151" t="s">
        <v>45</v>
      </c>
      <c r="U151" t="s">
        <v>66</v>
      </c>
      <c r="V151" t="s">
        <v>29</v>
      </c>
      <c r="W151" t="s">
        <v>22</v>
      </c>
      <c r="X151" s="87">
        <v>5.375</v>
      </c>
    </row>
    <row r="152" spans="1:24" x14ac:dyDescent="0.3">
      <c r="A152" t="s">
        <v>9</v>
      </c>
      <c r="B152" t="s">
        <v>854</v>
      </c>
      <c r="C152" s="16" t="s">
        <v>272</v>
      </c>
      <c r="D152" s="16">
        <v>2</v>
      </c>
      <c r="E152" t="s">
        <v>1524</v>
      </c>
      <c r="F152" t="s">
        <v>282</v>
      </c>
      <c r="G152" t="s">
        <v>1656</v>
      </c>
      <c r="H152" t="s">
        <v>344</v>
      </c>
      <c r="I152" s="87">
        <v>5.8750000000000009</v>
      </c>
      <c r="M152" t="s">
        <v>43</v>
      </c>
      <c r="N152" t="s">
        <v>69</v>
      </c>
      <c r="O152" t="s">
        <v>12</v>
      </c>
      <c r="P152" t="s">
        <v>17</v>
      </c>
      <c r="Q152" s="87">
        <v>5.3</v>
      </c>
      <c r="T152" t="s">
        <v>45</v>
      </c>
      <c r="U152" t="s">
        <v>66</v>
      </c>
      <c r="V152" t="s">
        <v>29</v>
      </c>
      <c r="W152" t="s">
        <v>27</v>
      </c>
      <c r="X152" s="87">
        <v>5.375</v>
      </c>
    </row>
    <row r="153" spans="1:24" x14ac:dyDescent="0.3">
      <c r="A153" t="s">
        <v>9</v>
      </c>
      <c r="B153" t="s">
        <v>855</v>
      </c>
      <c r="C153" s="16" t="s">
        <v>272</v>
      </c>
      <c r="D153" s="16">
        <v>3</v>
      </c>
      <c r="E153" t="s">
        <v>1524</v>
      </c>
      <c r="F153" t="s">
        <v>1553</v>
      </c>
      <c r="G153" t="s">
        <v>1566</v>
      </c>
      <c r="H153" t="s">
        <v>344</v>
      </c>
      <c r="I153" s="87">
        <v>5.4249999999999998</v>
      </c>
      <c r="M153" t="s">
        <v>43</v>
      </c>
      <c r="N153" t="s">
        <v>69</v>
      </c>
      <c r="O153" t="s">
        <v>12</v>
      </c>
      <c r="P153" t="s">
        <v>16</v>
      </c>
      <c r="Q153" s="87">
        <v>5.3</v>
      </c>
      <c r="T153" t="s">
        <v>9</v>
      </c>
      <c r="U153" t="s">
        <v>55</v>
      </c>
      <c r="V153" t="s">
        <v>29</v>
      </c>
      <c r="W153" t="s">
        <v>19</v>
      </c>
      <c r="X153" s="87">
        <v>6.2850000000000001</v>
      </c>
    </row>
    <row r="154" spans="1:24" x14ac:dyDescent="0.3">
      <c r="A154" t="s">
        <v>9</v>
      </c>
      <c r="B154" t="s">
        <v>856</v>
      </c>
      <c r="C154" s="16" t="s">
        <v>272</v>
      </c>
      <c r="D154" s="16">
        <v>3</v>
      </c>
      <c r="E154" t="s">
        <v>1524</v>
      </c>
      <c r="F154" t="s">
        <v>282</v>
      </c>
      <c r="G154" t="s">
        <v>1567</v>
      </c>
      <c r="H154" t="s">
        <v>345</v>
      </c>
      <c r="I154" s="87">
        <v>4.875</v>
      </c>
      <c r="M154" t="s">
        <v>43</v>
      </c>
      <c r="N154" t="s">
        <v>69</v>
      </c>
      <c r="O154" t="s">
        <v>12</v>
      </c>
      <c r="P154" t="s">
        <v>20</v>
      </c>
      <c r="Q154" s="87">
        <v>5.8550000000000004</v>
      </c>
      <c r="T154" t="s">
        <v>9</v>
      </c>
      <c r="U154" t="s">
        <v>55</v>
      </c>
      <c r="V154" t="s">
        <v>29</v>
      </c>
      <c r="W154" t="s">
        <v>17</v>
      </c>
      <c r="X154" s="87">
        <v>6.23</v>
      </c>
    </row>
    <row r="155" spans="1:24" x14ac:dyDescent="0.3">
      <c r="A155" t="s">
        <v>9</v>
      </c>
      <c r="B155" t="s">
        <v>857</v>
      </c>
      <c r="C155" s="16" t="s">
        <v>272</v>
      </c>
      <c r="D155" s="16">
        <v>3</v>
      </c>
      <c r="E155" t="s">
        <v>1524</v>
      </c>
      <c r="F155" t="s">
        <v>282</v>
      </c>
      <c r="G155" t="s">
        <v>1567</v>
      </c>
      <c r="H155" t="s">
        <v>344</v>
      </c>
      <c r="I155" s="87">
        <v>4.9250000000000007</v>
      </c>
      <c r="M155" t="s">
        <v>43</v>
      </c>
      <c r="N155" t="s">
        <v>69</v>
      </c>
      <c r="O155" t="s">
        <v>12</v>
      </c>
      <c r="P155" t="s">
        <v>22</v>
      </c>
      <c r="Q155" s="87">
        <v>5.4500000000000011</v>
      </c>
      <c r="T155" t="s">
        <v>9</v>
      </c>
      <c r="U155" t="s">
        <v>55</v>
      </c>
      <c r="V155" t="s">
        <v>29</v>
      </c>
      <c r="W155" t="s">
        <v>16</v>
      </c>
      <c r="X155" s="87">
        <v>5.46</v>
      </c>
    </row>
    <row r="156" spans="1:24" x14ac:dyDescent="0.3">
      <c r="A156" t="s">
        <v>9</v>
      </c>
      <c r="B156" t="s">
        <v>858</v>
      </c>
      <c r="C156" s="16" t="s">
        <v>272</v>
      </c>
      <c r="D156" s="16">
        <v>2</v>
      </c>
      <c r="E156" t="s">
        <v>1524</v>
      </c>
      <c r="F156" t="s">
        <v>282</v>
      </c>
      <c r="G156" t="s">
        <v>1656</v>
      </c>
      <c r="H156" t="s">
        <v>345</v>
      </c>
      <c r="I156" s="87">
        <v>5.8250000000000011</v>
      </c>
      <c r="M156" t="s">
        <v>45</v>
      </c>
      <c r="N156" t="s">
        <v>48</v>
      </c>
      <c r="O156" t="s">
        <v>12</v>
      </c>
      <c r="P156" t="s">
        <v>15</v>
      </c>
      <c r="Q156" s="87">
        <v>5.8550000000000004</v>
      </c>
      <c r="T156" t="s">
        <v>43</v>
      </c>
      <c r="U156" t="s">
        <v>54</v>
      </c>
      <c r="V156" t="s">
        <v>29</v>
      </c>
      <c r="W156" t="s">
        <v>23</v>
      </c>
      <c r="X156" s="87">
        <v>6.125</v>
      </c>
    </row>
    <row r="157" spans="1:24" x14ac:dyDescent="0.3">
      <c r="A157" t="s">
        <v>9</v>
      </c>
      <c r="B157" t="s">
        <v>859</v>
      </c>
      <c r="C157" s="16" t="s">
        <v>272</v>
      </c>
      <c r="D157" s="16">
        <v>2</v>
      </c>
      <c r="E157" t="s">
        <v>1524</v>
      </c>
      <c r="F157" t="s">
        <v>282</v>
      </c>
      <c r="G157" t="s">
        <v>341</v>
      </c>
      <c r="H157" t="s">
        <v>345</v>
      </c>
      <c r="I157" s="87">
        <v>5.8049999999999997</v>
      </c>
      <c r="M157" t="s">
        <v>45</v>
      </c>
      <c r="N157" t="s">
        <v>48</v>
      </c>
      <c r="O157" t="s">
        <v>12</v>
      </c>
      <c r="P157" t="s">
        <v>14</v>
      </c>
      <c r="Q157" s="87">
        <v>5.45</v>
      </c>
      <c r="T157" t="s">
        <v>43</v>
      </c>
      <c r="U157" t="s">
        <v>54</v>
      </c>
      <c r="V157" t="s">
        <v>29</v>
      </c>
      <c r="W157" t="s">
        <v>25</v>
      </c>
      <c r="X157" s="87">
        <v>6.125</v>
      </c>
    </row>
    <row r="158" spans="1:24" x14ac:dyDescent="0.3">
      <c r="A158" t="s">
        <v>9</v>
      </c>
      <c r="B158" t="s">
        <v>860</v>
      </c>
      <c r="C158" s="16" t="s">
        <v>272</v>
      </c>
      <c r="D158" s="16">
        <v>2</v>
      </c>
      <c r="E158" t="s">
        <v>1524</v>
      </c>
      <c r="F158" t="s">
        <v>282</v>
      </c>
      <c r="G158" t="s">
        <v>341</v>
      </c>
      <c r="H158" t="s">
        <v>345</v>
      </c>
      <c r="I158" s="87">
        <v>5.8049999999999997</v>
      </c>
      <c r="M158" t="s">
        <v>45</v>
      </c>
      <c r="N158" t="s">
        <v>48</v>
      </c>
      <c r="O158" t="s">
        <v>12</v>
      </c>
      <c r="P158" t="s">
        <v>11</v>
      </c>
      <c r="Q158" s="87">
        <v>5.45</v>
      </c>
      <c r="T158" t="s">
        <v>43</v>
      </c>
      <c r="U158" t="s">
        <v>54</v>
      </c>
      <c r="V158" t="s">
        <v>29</v>
      </c>
      <c r="W158" t="s">
        <v>24</v>
      </c>
      <c r="X158" s="87">
        <v>6.125</v>
      </c>
    </row>
    <row r="159" spans="1:24" x14ac:dyDescent="0.3">
      <c r="A159" t="s">
        <v>9</v>
      </c>
      <c r="B159" t="s">
        <v>861</v>
      </c>
      <c r="C159" s="16" t="s">
        <v>272</v>
      </c>
      <c r="D159" s="16">
        <v>2</v>
      </c>
      <c r="E159" t="s">
        <v>1524</v>
      </c>
      <c r="F159" t="s">
        <v>282</v>
      </c>
      <c r="G159" t="s">
        <v>341</v>
      </c>
      <c r="H159" t="s">
        <v>345</v>
      </c>
      <c r="I159" s="87">
        <v>5.8049999999999997</v>
      </c>
      <c r="M159" t="s">
        <v>45</v>
      </c>
      <c r="N159" t="s">
        <v>48</v>
      </c>
      <c r="O159" t="s">
        <v>12</v>
      </c>
      <c r="P159" t="s">
        <v>19</v>
      </c>
      <c r="Q159" s="87">
        <v>5.8550000000000004</v>
      </c>
      <c r="T159" t="s">
        <v>43</v>
      </c>
      <c r="U159" t="s">
        <v>54</v>
      </c>
      <c r="V159" t="s">
        <v>29</v>
      </c>
      <c r="W159" t="s">
        <v>32</v>
      </c>
      <c r="X159" s="87">
        <v>6.125</v>
      </c>
    </row>
    <row r="160" spans="1:24" x14ac:dyDescent="0.3">
      <c r="A160" t="s">
        <v>9</v>
      </c>
      <c r="B160" t="s">
        <v>862</v>
      </c>
      <c r="C160" s="16" t="s">
        <v>272</v>
      </c>
      <c r="D160" s="16">
        <v>2</v>
      </c>
      <c r="E160" t="s">
        <v>1524</v>
      </c>
      <c r="F160" t="s">
        <v>282</v>
      </c>
      <c r="G160" t="s">
        <v>341</v>
      </c>
      <c r="H160" t="s">
        <v>1658</v>
      </c>
      <c r="I160" s="87">
        <v>6.53</v>
      </c>
      <c r="M160" t="s">
        <v>45</v>
      </c>
      <c r="N160" t="s">
        <v>48</v>
      </c>
      <c r="O160" t="s">
        <v>12</v>
      </c>
      <c r="P160" t="s">
        <v>17</v>
      </c>
      <c r="Q160" s="87">
        <v>5.8550000000000004</v>
      </c>
      <c r="T160" t="s">
        <v>43</v>
      </c>
      <c r="U160" t="s">
        <v>54</v>
      </c>
      <c r="V160" t="s">
        <v>29</v>
      </c>
      <c r="W160" t="s">
        <v>21</v>
      </c>
      <c r="X160" s="87">
        <v>6.125</v>
      </c>
    </row>
    <row r="161" spans="1:24" x14ac:dyDescent="0.3">
      <c r="A161" t="s">
        <v>9</v>
      </c>
      <c r="B161" t="s">
        <v>863</v>
      </c>
      <c r="C161" s="16" t="s">
        <v>272</v>
      </c>
      <c r="D161" s="16">
        <v>2</v>
      </c>
      <c r="E161" t="s">
        <v>1524</v>
      </c>
      <c r="F161" t="s">
        <v>282</v>
      </c>
      <c r="G161" t="s">
        <v>341</v>
      </c>
      <c r="H161" t="s">
        <v>1658</v>
      </c>
      <c r="I161" s="87">
        <v>6.53</v>
      </c>
      <c r="M161" t="s">
        <v>45</v>
      </c>
      <c r="N161" t="s">
        <v>48</v>
      </c>
      <c r="O161" t="s">
        <v>12</v>
      </c>
      <c r="P161" t="s">
        <v>16</v>
      </c>
      <c r="Q161" s="87">
        <v>5.8550000000000004</v>
      </c>
      <c r="T161" t="s">
        <v>43</v>
      </c>
      <c r="U161" t="s">
        <v>54</v>
      </c>
      <c r="V161" t="s">
        <v>29</v>
      </c>
      <c r="W161" t="s">
        <v>30</v>
      </c>
      <c r="X161" s="87">
        <v>6.125</v>
      </c>
    </row>
    <row r="162" spans="1:24" x14ac:dyDescent="0.3">
      <c r="A162" t="s">
        <v>9</v>
      </c>
      <c r="B162" t="s">
        <v>864</v>
      </c>
      <c r="C162" s="16" t="s">
        <v>272</v>
      </c>
      <c r="D162" s="16">
        <v>2</v>
      </c>
      <c r="E162" t="s">
        <v>1524</v>
      </c>
      <c r="F162" t="s">
        <v>282</v>
      </c>
      <c r="G162" t="s">
        <v>341</v>
      </c>
      <c r="H162" t="s">
        <v>345</v>
      </c>
      <c r="I162" s="87">
        <v>5.8049999999999997</v>
      </c>
      <c r="M162" t="s">
        <v>45</v>
      </c>
      <c r="N162" t="s">
        <v>48</v>
      </c>
      <c r="O162" t="s">
        <v>12</v>
      </c>
      <c r="P162" t="s">
        <v>20</v>
      </c>
      <c r="Q162" s="87">
        <v>5.5</v>
      </c>
      <c r="T162" t="s">
        <v>43</v>
      </c>
      <c r="U162" t="s">
        <v>54</v>
      </c>
      <c r="V162" t="s">
        <v>29</v>
      </c>
      <c r="W162" t="s">
        <v>20</v>
      </c>
      <c r="X162" s="87">
        <v>6.125</v>
      </c>
    </row>
    <row r="163" spans="1:24" x14ac:dyDescent="0.3">
      <c r="A163" t="s">
        <v>9</v>
      </c>
      <c r="B163" t="s">
        <v>865</v>
      </c>
      <c r="C163" s="16" t="s">
        <v>272</v>
      </c>
      <c r="D163" s="16">
        <v>2</v>
      </c>
      <c r="E163" t="s">
        <v>1524</v>
      </c>
      <c r="F163" t="s">
        <v>282</v>
      </c>
      <c r="G163" t="s">
        <v>1656</v>
      </c>
      <c r="H163" t="s">
        <v>345</v>
      </c>
      <c r="I163" s="87">
        <v>5.8250000000000011</v>
      </c>
      <c r="M163" t="s">
        <v>9</v>
      </c>
      <c r="N163" t="s">
        <v>56</v>
      </c>
      <c r="O163" t="s">
        <v>12</v>
      </c>
      <c r="P163" t="s">
        <v>14</v>
      </c>
      <c r="Q163" s="87">
        <v>7.2200000000000006</v>
      </c>
      <c r="T163" t="s">
        <v>43</v>
      </c>
      <c r="U163" t="s">
        <v>54</v>
      </c>
      <c r="V163" t="s">
        <v>29</v>
      </c>
      <c r="W163" t="s">
        <v>33</v>
      </c>
      <c r="X163" s="87">
        <v>6.125</v>
      </c>
    </row>
    <row r="164" spans="1:24" x14ac:dyDescent="0.3">
      <c r="A164" t="s">
        <v>9</v>
      </c>
      <c r="B164" t="s">
        <v>866</v>
      </c>
      <c r="C164" s="16" t="s">
        <v>272</v>
      </c>
      <c r="D164" s="16">
        <v>2</v>
      </c>
      <c r="E164" t="s">
        <v>1524</v>
      </c>
      <c r="F164" t="s">
        <v>282</v>
      </c>
      <c r="G164" t="s">
        <v>341</v>
      </c>
      <c r="H164" t="s">
        <v>1572</v>
      </c>
      <c r="I164" s="87">
        <v>6.48</v>
      </c>
      <c r="M164" t="s">
        <v>9</v>
      </c>
      <c r="N164" t="s">
        <v>56</v>
      </c>
      <c r="O164" t="s">
        <v>12</v>
      </c>
      <c r="P164" t="s">
        <v>15</v>
      </c>
      <c r="Q164" s="87">
        <v>6.1</v>
      </c>
      <c r="T164" t="s">
        <v>43</v>
      </c>
      <c r="U164" t="s">
        <v>54</v>
      </c>
      <c r="V164" t="s">
        <v>29</v>
      </c>
      <c r="W164" t="s">
        <v>26</v>
      </c>
      <c r="X164" s="87">
        <v>6.125</v>
      </c>
    </row>
    <row r="165" spans="1:24" x14ac:dyDescent="0.3">
      <c r="A165" t="s">
        <v>9</v>
      </c>
      <c r="B165" t="s">
        <v>867</v>
      </c>
      <c r="C165" s="16" t="s">
        <v>272</v>
      </c>
      <c r="D165" s="16">
        <v>2</v>
      </c>
      <c r="E165" t="s">
        <v>1524</v>
      </c>
      <c r="F165" t="s">
        <v>282</v>
      </c>
      <c r="G165" t="s">
        <v>1567</v>
      </c>
      <c r="H165" t="s">
        <v>1572</v>
      </c>
      <c r="I165" s="87">
        <v>6.32</v>
      </c>
      <c r="M165" t="s">
        <v>9</v>
      </c>
      <c r="N165" t="s">
        <v>56</v>
      </c>
      <c r="O165" t="s">
        <v>12</v>
      </c>
      <c r="P165" t="s">
        <v>11</v>
      </c>
      <c r="Q165" s="87">
        <v>7.620000000000001</v>
      </c>
      <c r="T165" t="s">
        <v>43</v>
      </c>
      <c r="U165" t="s">
        <v>54</v>
      </c>
      <c r="V165" t="s">
        <v>29</v>
      </c>
      <c r="W165" t="s">
        <v>22</v>
      </c>
      <c r="X165" s="87">
        <v>6.125</v>
      </c>
    </row>
    <row r="166" spans="1:24" x14ac:dyDescent="0.3">
      <c r="A166" t="s">
        <v>45</v>
      </c>
      <c r="B166" t="s">
        <v>868</v>
      </c>
      <c r="C166" s="16" t="s">
        <v>272</v>
      </c>
      <c r="D166" s="16">
        <v>3</v>
      </c>
      <c r="E166" t="s">
        <v>1524</v>
      </c>
      <c r="F166" t="s">
        <v>282</v>
      </c>
      <c r="G166" t="s">
        <v>1567</v>
      </c>
      <c r="H166" t="s">
        <v>344</v>
      </c>
      <c r="I166" s="87">
        <v>4.9250000000000007</v>
      </c>
      <c r="M166" t="s">
        <v>9</v>
      </c>
      <c r="N166" t="s">
        <v>56</v>
      </c>
      <c r="O166" t="s">
        <v>12</v>
      </c>
      <c r="P166" t="s">
        <v>16</v>
      </c>
      <c r="Q166" s="87">
        <v>5.4249999999999998</v>
      </c>
      <c r="T166" t="s">
        <v>43</v>
      </c>
      <c r="U166" t="s">
        <v>54</v>
      </c>
      <c r="V166" t="s">
        <v>29</v>
      </c>
      <c r="W166" t="s">
        <v>31</v>
      </c>
      <c r="X166" s="87">
        <v>6.125</v>
      </c>
    </row>
    <row r="167" spans="1:24" x14ac:dyDescent="0.3">
      <c r="A167" t="s">
        <v>45</v>
      </c>
      <c r="B167" t="s">
        <v>869</v>
      </c>
      <c r="C167" s="16" t="s">
        <v>272</v>
      </c>
      <c r="D167" s="16">
        <v>3</v>
      </c>
      <c r="E167" t="s">
        <v>1524</v>
      </c>
      <c r="F167" t="s">
        <v>1658</v>
      </c>
      <c r="G167" t="s">
        <v>1566</v>
      </c>
      <c r="H167" t="s">
        <v>1573</v>
      </c>
      <c r="I167" s="87">
        <v>6.05</v>
      </c>
      <c r="M167" t="s">
        <v>9</v>
      </c>
      <c r="N167" t="s">
        <v>67</v>
      </c>
      <c r="O167" t="s">
        <v>12</v>
      </c>
      <c r="P167" t="s">
        <v>15</v>
      </c>
      <c r="Q167" s="87">
        <v>5.3250000000000002</v>
      </c>
      <c r="T167" t="s">
        <v>43</v>
      </c>
      <c r="U167" t="s">
        <v>54</v>
      </c>
      <c r="V167" t="s">
        <v>29</v>
      </c>
      <c r="W167" t="s">
        <v>27</v>
      </c>
      <c r="X167" s="87">
        <v>6.125</v>
      </c>
    </row>
    <row r="168" spans="1:24" x14ac:dyDescent="0.3">
      <c r="A168" t="s">
        <v>45</v>
      </c>
      <c r="B168" t="s">
        <v>870</v>
      </c>
      <c r="C168" s="16" t="s">
        <v>272</v>
      </c>
      <c r="D168" s="16">
        <v>3</v>
      </c>
      <c r="E168" t="s">
        <v>1524</v>
      </c>
      <c r="F168" t="s">
        <v>282</v>
      </c>
      <c r="G168" t="s">
        <v>1566</v>
      </c>
      <c r="H168" t="s">
        <v>1571</v>
      </c>
      <c r="I168" s="87">
        <v>5.4250000000000007</v>
      </c>
      <c r="M168" t="s">
        <v>9</v>
      </c>
      <c r="N168" t="s">
        <v>67</v>
      </c>
      <c r="O168" t="s">
        <v>12</v>
      </c>
      <c r="P168" t="s">
        <v>14</v>
      </c>
      <c r="Q168" s="87">
        <v>6</v>
      </c>
      <c r="T168" t="s">
        <v>43</v>
      </c>
      <c r="U168" t="s">
        <v>54</v>
      </c>
      <c r="V168" t="s">
        <v>29</v>
      </c>
      <c r="W168" t="s">
        <v>28</v>
      </c>
      <c r="X168" s="87">
        <v>6.125</v>
      </c>
    </row>
    <row r="169" spans="1:24" x14ac:dyDescent="0.3">
      <c r="A169" t="s">
        <v>45</v>
      </c>
      <c r="B169" t="s">
        <v>871</v>
      </c>
      <c r="C169" s="16" t="s">
        <v>272</v>
      </c>
      <c r="D169" s="16">
        <v>3</v>
      </c>
      <c r="E169" t="s">
        <v>1524</v>
      </c>
      <c r="F169" t="s">
        <v>282</v>
      </c>
      <c r="G169" t="s">
        <v>1566</v>
      </c>
      <c r="H169" t="s">
        <v>1571</v>
      </c>
      <c r="I169" s="87">
        <v>5.4250000000000007</v>
      </c>
      <c r="M169" t="s">
        <v>9</v>
      </c>
      <c r="N169" t="s">
        <v>67</v>
      </c>
      <c r="O169" t="s">
        <v>12</v>
      </c>
      <c r="P169" t="s">
        <v>11</v>
      </c>
      <c r="Q169" s="87">
        <v>6</v>
      </c>
      <c r="T169" t="s">
        <v>9</v>
      </c>
      <c r="U169" t="s">
        <v>52</v>
      </c>
      <c r="V169" t="s">
        <v>29</v>
      </c>
      <c r="W169" t="s">
        <v>23</v>
      </c>
      <c r="X169" s="87">
        <v>6.1749999999999998</v>
      </c>
    </row>
    <row r="170" spans="1:24" x14ac:dyDescent="0.3">
      <c r="A170" t="s">
        <v>45</v>
      </c>
      <c r="B170" t="s">
        <v>872</v>
      </c>
      <c r="C170" s="16" t="s">
        <v>272</v>
      </c>
      <c r="D170" s="16">
        <v>3</v>
      </c>
      <c r="E170" t="s">
        <v>1524</v>
      </c>
      <c r="F170" t="s">
        <v>1658</v>
      </c>
      <c r="G170" t="s">
        <v>1566</v>
      </c>
      <c r="H170" t="s">
        <v>1573</v>
      </c>
      <c r="I170" s="87">
        <v>6.05</v>
      </c>
      <c r="M170" t="s">
        <v>9</v>
      </c>
      <c r="N170" t="s">
        <v>67</v>
      </c>
      <c r="O170" t="s">
        <v>12</v>
      </c>
      <c r="P170" t="s">
        <v>19</v>
      </c>
      <c r="Q170" s="87">
        <v>6.125</v>
      </c>
      <c r="T170" t="s">
        <v>9</v>
      </c>
      <c r="U170" t="s">
        <v>52</v>
      </c>
      <c r="V170" t="s">
        <v>29</v>
      </c>
      <c r="W170" t="s">
        <v>21</v>
      </c>
      <c r="X170" s="87">
        <v>5.6099999999999994</v>
      </c>
    </row>
    <row r="171" spans="1:24" x14ac:dyDescent="0.3">
      <c r="A171" t="s">
        <v>45</v>
      </c>
      <c r="B171" t="s">
        <v>873</v>
      </c>
      <c r="C171" s="16" t="s">
        <v>272</v>
      </c>
      <c r="D171" s="16">
        <v>3</v>
      </c>
      <c r="E171" t="s">
        <v>1524</v>
      </c>
      <c r="F171" t="s">
        <v>1658</v>
      </c>
      <c r="G171" t="s">
        <v>1566</v>
      </c>
      <c r="H171" t="s">
        <v>1573</v>
      </c>
      <c r="I171" s="87">
        <v>6.05</v>
      </c>
      <c r="M171" t="s">
        <v>9</v>
      </c>
      <c r="N171" t="s">
        <v>67</v>
      </c>
      <c r="O171" t="s">
        <v>12</v>
      </c>
      <c r="P171" t="s">
        <v>17</v>
      </c>
      <c r="Q171" s="87">
        <v>5.3250000000000002</v>
      </c>
      <c r="T171" t="s">
        <v>9</v>
      </c>
      <c r="U171" t="s">
        <v>52</v>
      </c>
      <c r="V171" t="s">
        <v>29</v>
      </c>
      <c r="W171" t="s">
        <v>19</v>
      </c>
      <c r="X171" s="87">
        <v>5.375</v>
      </c>
    </row>
    <row r="172" spans="1:24" x14ac:dyDescent="0.3">
      <c r="A172" t="s">
        <v>45</v>
      </c>
      <c r="B172" t="s">
        <v>874</v>
      </c>
      <c r="C172" s="16" t="s">
        <v>272</v>
      </c>
      <c r="D172" s="16">
        <v>3</v>
      </c>
      <c r="E172" t="s">
        <v>1524</v>
      </c>
      <c r="F172" t="s">
        <v>282</v>
      </c>
      <c r="G172" t="s">
        <v>1566</v>
      </c>
      <c r="H172" t="s">
        <v>344</v>
      </c>
      <c r="I172" s="87">
        <v>4.875</v>
      </c>
      <c r="M172" t="s">
        <v>9</v>
      </c>
      <c r="N172" t="s">
        <v>67</v>
      </c>
      <c r="O172" t="s">
        <v>12</v>
      </c>
      <c r="P172" t="s">
        <v>16</v>
      </c>
      <c r="Q172" s="87">
        <v>5.3250000000000002</v>
      </c>
      <c r="T172" t="s">
        <v>9</v>
      </c>
      <c r="U172" t="s">
        <v>52</v>
      </c>
      <c r="V172" t="s">
        <v>29</v>
      </c>
      <c r="W172" t="s">
        <v>17</v>
      </c>
      <c r="X172" s="87">
        <v>6.0250000000000004</v>
      </c>
    </row>
    <row r="173" spans="1:24" x14ac:dyDescent="0.3">
      <c r="A173" t="s">
        <v>45</v>
      </c>
      <c r="B173" t="s">
        <v>875</v>
      </c>
      <c r="C173" s="16" t="s">
        <v>272</v>
      </c>
      <c r="D173" s="16">
        <v>2</v>
      </c>
      <c r="E173" t="s">
        <v>1524</v>
      </c>
      <c r="F173" t="s">
        <v>282</v>
      </c>
      <c r="G173" t="s">
        <v>1566</v>
      </c>
      <c r="H173" t="s">
        <v>344</v>
      </c>
      <c r="I173" s="87">
        <v>5.6450000000000005</v>
      </c>
      <c r="M173" t="s">
        <v>43</v>
      </c>
      <c r="N173" t="s">
        <v>44</v>
      </c>
      <c r="O173" t="s">
        <v>12</v>
      </c>
      <c r="P173" t="s">
        <v>15</v>
      </c>
      <c r="Q173" s="87">
        <v>5.95</v>
      </c>
      <c r="T173" t="s">
        <v>9</v>
      </c>
      <c r="U173" t="s">
        <v>52</v>
      </c>
      <c r="V173" t="s">
        <v>29</v>
      </c>
      <c r="W173" t="s">
        <v>20</v>
      </c>
      <c r="X173" s="87">
        <v>6.15</v>
      </c>
    </row>
    <row r="174" spans="1:24" x14ac:dyDescent="0.3">
      <c r="A174" t="s">
        <v>45</v>
      </c>
      <c r="B174" t="s">
        <v>876</v>
      </c>
      <c r="C174" s="16" t="s">
        <v>272</v>
      </c>
      <c r="D174" s="16">
        <v>2</v>
      </c>
      <c r="E174" t="s">
        <v>1524</v>
      </c>
      <c r="F174" t="s">
        <v>282</v>
      </c>
      <c r="G174" t="s">
        <v>1566</v>
      </c>
      <c r="H174" t="s">
        <v>344</v>
      </c>
      <c r="I174" s="87">
        <v>5.6450000000000005</v>
      </c>
      <c r="M174" t="s">
        <v>43</v>
      </c>
      <c r="N174" t="s">
        <v>44</v>
      </c>
      <c r="O174" t="s">
        <v>12</v>
      </c>
      <c r="P174" t="s">
        <v>14</v>
      </c>
      <c r="Q174" s="87">
        <v>5.95</v>
      </c>
      <c r="T174" t="s">
        <v>9</v>
      </c>
      <c r="U174" t="s">
        <v>52</v>
      </c>
      <c r="V174" t="s">
        <v>29</v>
      </c>
      <c r="W174" t="s">
        <v>22</v>
      </c>
      <c r="X174" s="87">
        <v>6.1749999999999998</v>
      </c>
    </row>
    <row r="175" spans="1:24" x14ac:dyDescent="0.3">
      <c r="A175" t="s">
        <v>45</v>
      </c>
      <c r="B175" t="s">
        <v>877</v>
      </c>
      <c r="C175" s="16" t="s">
        <v>272</v>
      </c>
      <c r="D175" s="16">
        <v>3</v>
      </c>
      <c r="E175" t="s">
        <v>1524</v>
      </c>
      <c r="F175" t="s">
        <v>282</v>
      </c>
      <c r="G175" t="s">
        <v>1566</v>
      </c>
      <c r="H175" t="s">
        <v>1573</v>
      </c>
      <c r="I175" s="87">
        <v>5.4749999999999996</v>
      </c>
      <c r="M175" t="s">
        <v>43</v>
      </c>
      <c r="N175" t="s">
        <v>44</v>
      </c>
      <c r="O175" t="s">
        <v>12</v>
      </c>
      <c r="P175" t="s">
        <v>11</v>
      </c>
      <c r="Q175" s="87">
        <v>5.9550000000000001</v>
      </c>
      <c r="T175" t="s">
        <v>43</v>
      </c>
      <c r="U175" t="s">
        <v>69</v>
      </c>
      <c r="V175" t="s">
        <v>29</v>
      </c>
      <c r="W175" t="s">
        <v>25</v>
      </c>
      <c r="X175" s="87">
        <v>7.2650000000000006</v>
      </c>
    </row>
    <row r="176" spans="1:24" x14ac:dyDescent="0.3">
      <c r="A176" t="s">
        <v>45</v>
      </c>
      <c r="B176" t="s">
        <v>878</v>
      </c>
      <c r="C176" s="16" t="s">
        <v>272</v>
      </c>
      <c r="D176" s="16">
        <v>3</v>
      </c>
      <c r="E176" t="s">
        <v>1524</v>
      </c>
      <c r="F176" t="s">
        <v>1658</v>
      </c>
      <c r="G176" t="s">
        <v>1566</v>
      </c>
      <c r="H176" t="s">
        <v>1573</v>
      </c>
      <c r="I176" s="87">
        <v>6.05</v>
      </c>
      <c r="M176" t="s">
        <v>43</v>
      </c>
      <c r="N176" t="s">
        <v>44</v>
      </c>
      <c r="O176" t="s">
        <v>12</v>
      </c>
      <c r="P176" t="s">
        <v>19</v>
      </c>
      <c r="Q176" s="87">
        <v>4.875</v>
      </c>
      <c r="T176" t="s">
        <v>43</v>
      </c>
      <c r="U176" t="s">
        <v>69</v>
      </c>
      <c r="V176" t="s">
        <v>29</v>
      </c>
      <c r="W176" t="s">
        <v>24</v>
      </c>
      <c r="X176" s="87">
        <v>7.2650000000000006</v>
      </c>
    </row>
    <row r="177" spans="1:24" x14ac:dyDescent="0.3">
      <c r="A177" t="s">
        <v>45</v>
      </c>
      <c r="B177" t="s">
        <v>879</v>
      </c>
      <c r="C177" s="16" t="s">
        <v>272</v>
      </c>
      <c r="D177" s="16">
        <v>3</v>
      </c>
      <c r="E177" t="s">
        <v>1524</v>
      </c>
      <c r="F177" t="s">
        <v>1658</v>
      </c>
      <c r="G177" t="s">
        <v>1566</v>
      </c>
      <c r="H177" t="s">
        <v>1573</v>
      </c>
      <c r="I177" s="87">
        <v>6.05</v>
      </c>
      <c r="M177" t="s">
        <v>43</v>
      </c>
      <c r="N177" t="s">
        <v>44</v>
      </c>
      <c r="O177" t="s">
        <v>12</v>
      </c>
      <c r="P177" t="s">
        <v>17</v>
      </c>
      <c r="Q177" s="87">
        <v>5.7550000000000008</v>
      </c>
      <c r="T177" t="s">
        <v>43</v>
      </c>
      <c r="U177" t="s">
        <v>69</v>
      </c>
      <c r="V177" t="s">
        <v>29</v>
      </c>
      <c r="W177" t="s">
        <v>32</v>
      </c>
      <c r="X177" s="87">
        <v>6</v>
      </c>
    </row>
    <row r="178" spans="1:24" x14ac:dyDescent="0.3">
      <c r="A178" t="s">
        <v>45</v>
      </c>
      <c r="B178" t="s">
        <v>880</v>
      </c>
      <c r="C178" s="16" t="s">
        <v>272</v>
      </c>
      <c r="D178" s="16">
        <v>3</v>
      </c>
      <c r="E178" t="s">
        <v>1524</v>
      </c>
      <c r="F178" t="s">
        <v>1534</v>
      </c>
      <c r="G178" t="s">
        <v>1566</v>
      </c>
      <c r="H178" t="s">
        <v>344</v>
      </c>
      <c r="I178" s="87">
        <v>5.4</v>
      </c>
      <c r="M178" t="s">
        <v>43</v>
      </c>
      <c r="N178" t="s">
        <v>44</v>
      </c>
      <c r="O178" t="s">
        <v>12</v>
      </c>
      <c r="P178" t="s">
        <v>16</v>
      </c>
      <c r="Q178" s="87">
        <v>5.4750000000000005</v>
      </c>
      <c r="T178" t="s">
        <v>43</v>
      </c>
      <c r="U178" t="s">
        <v>69</v>
      </c>
      <c r="V178" t="s">
        <v>29</v>
      </c>
      <c r="W178" t="s">
        <v>30</v>
      </c>
      <c r="X178" s="87">
        <v>5.4750000000000005</v>
      </c>
    </row>
    <row r="179" spans="1:24" x14ac:dyDescent="0.3">
      <c r="A179" t="s">
        <v>45</v>
      </c>
      <c r="B179" t="s">
        <v>881</v>
      </c>
      <c r="C179" s="16" t="s">
        <v>272</v>
      </c>
      <c r="D179" s="16">
        <v>3</v>
      </c>
      <c r="E179" t="s">
        <v>1524</v>
      </c>
      <c r="F179" t="s">
        <v>1534</v>
      </c>
      <c r="G179" t="s">
        <v>1567</v>
      </c>
      <c r="H179" t="s">
        <v>344</v>
      </c>
      <c r="I179" s="87">
        <v>5.45</v>
      </c>
      <c r="M179" t="s">
        <v>43</v>
      </c>
      <c r="N179" t="s">
        <v>44</v>
      </c>
      <c r="O179" t="s">
        <v>12</v>
      </c>
      <c r="P179" t="s">
        <v>20</v>
      </c>
      <c r="Q179" s="87">
        <v>4.875</v>
      </c>
      <c r="T179" t="s">
        <v>43</v>
      </c>
      <c r="U179" t="s">
        <v>69</v>
      </c>
      <c r="V179" t="s">
        <v>29</v>
      </c>
      <c r="W179" t="s">
        <v>34</v>
      </c>
      <c r="X179" s="87">
        <v>5.4</v>
      </c>
    </row>
    <row r="180" spans="1:24" x14ac:dyDescent="0.3">
      <c r="A180" t="s">
        <v>45</v>
      </c>
      <c r="B180" t="s">
        <v>882</v>
      </c>
      <c r="C180" s="16" t="s">
        <v>272</v>
      </c>
      <c r="D180" s="16">
        <v>3</v>
      </c>
      <c r="E180" t="s">
        <v>1524</v>
      </c>
      <c r="F180" t="s">
        <v>1536</v>
      </c>
      <c r="G180" t="s">
        <v>1566</v>
      </c>
      <c r="H180" t="s">
        <v>1573</v>
      </c>
      <c r="I180" s="87">
        <v>6.0250000000000004</v>
      </c>
      <c r="M180" t="s">
        <v>45</v>
      </c>
      <c r="N180" t="s">
        <v>75</v>
      </c>
      <c r="O180" t="s">
        <v>12</v>
      </c>
      <c r="P180" t="s">
        <v>15</v>
      </c>
      <c r="Q180" s="87">
        <v>6.2900000000000009</v>
      </c>
      <c r="T180" t="s">
        <v>43</v>
      </c>
      <c r="U180" t="s">
        <v>69</v>
      </c>
      <c r="V180" t="s">
        <v>29</v>
      </c>
      <c r="W180" t="s">
        <v>36</v>
      </c>
      <c r="X180" s="87">
        <v>6</v>
      </c>
    </row>
    <row r="181" spans="1:24" x14ac:dyDescent="0.3">
      <c r="A181" t="s">
        <v>45</v>
      </c>
      <c r="B181" t="s">
        <v>883</v>
      </c>
      <c r="C181" s="16" t="s">
        <v>272</v>
      </c>
      <c r="D181" s="16">
        <v>3</v>
      </c>
      <c r="E181" t="s">
        <v>1524</v>
      </c>
      <c r="F181" t="s">
        <v>1540</v>
      </c>
      <c r="G181" t="s">
        <v>1566</v>
      </c>
      <c r="H181" t="s">
        <v>1574</v>
      </c>
      <c r="I181" s="87">
        <v>5.875</v>
      </c>
      <c r="M181" t="s">
        <v>45</v>
      </c>
      <c r="N181" t="s">
        <v>75</v>
      </c>
      <c r="O181" t="s">
        <v>12</v>
      </c>
      <c r="P181" t="s">
        <v>14</v>
      </c>
      <c r="Q181" s="87">
        <v>5.6000000000000005</v>
      </c>
      <c r="T181" t="s">
        <v>43</v>
      </c>
      <c r="U181" t="s">
        <v>69</v>
      </c>
      <c r="V181" t="s">
        <v>29</v>
      </c>
      <c r="W181" t="s">
        <v>33</v>
      </c>
      <c r="X181" s="87">
        <v>5.45</v>
      </c>
    </row>
    <row r="182" spans="1:24" x14ac:dyDescent="0.3">
      <c r="A182" t="s">
        <v>45</v>
      </c>
      <c r="B182" t="s">
        <v>884</v>
      </c>
      <c r="C182" s="16" t="s">
        <v>272</v>
      </c>
      <c r="D182" s="16">
        <v>3</v>
      </c>
      <c r="E182" t="s">
        <v>1524</v>
      </c>
      <c r="F182" t="s">
        <v>1536</v>
      </c>
      <c r="G182" t="s">
        <v>1566</v>
      </c>
      <c r="H182" t="s">
        <v>1574</v>
      </c>
      <c r="I182" s="87">
        <v>5.9749999999999996</v>
      </c>
      <c r="M182" t="s">
        <v>45</v>
      </c>
      <c r="N182" t="s">
        <v>75</v>
      </c>
      <c r="O182" t="s">
        <v>12</v>
      </c>
      <c r="P182" t="s">
        <v>11</v>
      </c>
      <c r="Q182" s="87">
        <v>6.4150000000000009</v>
      </c>
      <c r="T182" t="s">
        <v>43</v>
      </c>
      <c r="U182" t="s">
        <v>69</v>
      </c>
      <c r="V182" t="s">
        <v>29</v>
      </c>
      <c r="W182" t="s">
        <v>26</v>
      </c>
      <c r="X182" s="87">
        <v>7.2650000000000006</v>
      </c>
    </row>
    <row r="183" spans="1:24" x14ac:dyDescent="0.3">
      <c r="A183" t="s">
        <v>45</v>
      </c>
      <c r="B183" t="s">
        <v>885</v>
      </c>
      <c r="C183" s="16" t="s">
        <v>272</v>
      </c>
      <c r="D183" s="16">
        <v>3</v>
      </c>
      <c r="E183" t="s">
        <v>1524</v>
      </c>
      <c r="F183" t="s">
        <v>1534</v>
      </c>
      <c r="G183" t="s">
        <v>341</v>
      </c>
      <c r="H183" t="s">
        <v>344</v>
      </c>
      <c r="I183" s="87">
        <v>5.61</v>
      </c>
      <c r="M183" t="s">
        <v>45</v>
      </c>
      <c r="N183" t="s">
        <v>75</v>
      </c>
      <c r="O183" t="s">
        <v>12</v>
      </c>
      <c r="P183" t="s">
        <v>19</v>
      </c>
      <c r="Q183" s="87">
        <v>6.4649999999999999</v>
      </c>
      <c r="T183" t="s">
        <v>43</v>
      </c>
      <c r="U183" t="s">
        <v>69</v>
      </c>
      <c r="V183" t="s">
        <v>29</v>
      </c>
      <c r="W183" t="s">
        <v>31</v>
      </c>
      <c r="X183" s="87">
        <v>5.4750000000000005</v>
      </c>
    </row>
    <row r="184" spans="1:24" x14ac:dyDescent="0.3">
      <c r="A184" t="s">
        <v>45</v>
      </c>
      <c r="B184" t="s">
        <v>886</v>
      </c>
      <c r="C184" s="16" t="s">
        <v>272</v>
      </c>
      <c r="D184" s="16">
        <v>3</v>
      </c>
      <c r="E184" t="s">
        <v>1524</v>
      </c>
      <c r="F184" t="s">
        <v>1534</v>
      </c>
      <c r="G184" t="s">
        <v>1567</v>
      </c>
      <c r="H184" t="s">
        <v>344</v>
      </c>
      <c r="I184" s="87">
        <v>5.45</v>
      </c>
      <c r="M184" t="s">
        <v>45</v>
      </c>
      <c r="N184" t="s">
        <v>75</v>
      </c>
      <c r="O184" t="s">
        <v>12</v>
      </c>
      <c r="P184" t="s">
        <v>17</v>
      </c>
      <c r="Q184" s="87">
        <v>6.4150000000000009</v>
      </c>
      <c r="T184" t="s">
        <v>43</v>
      </c>
      <c r="U184" t="s">
        <v>69</v>
      </c>
      <c r="V184" t="s">
        <v>29</v>
      </c>
      <c r="W184" t="s">
        <v>27</v>
      </c>
      <c r="X184" s="87">
        <v>7.2200000000000006</v>
      </c>
    </row>
    <row r="185" spans="1:24" x14ac:dyDescent="0.3">
      <c r="A185" t="s">
        <v>45</v>
      </c>
      <c r="B185" t="s">
        <v>887</v>
      </c>
      <c r="C185" s="16" t="s">
        <v>272</v>
      </c>
      <c r="D185" s="16">
        <v>3</v>
      </c>
      <c r="E185" t="s">
        <v>1524</v>
      </c>
      <c r="F185" t="s">
        <v>1658</v>
      </c>
      <c r="G185" t="s">
        <v>341</v>
      </c>
      <c r="H185" t="s">
        <v>344</v>
      </c>
      <c r="I185" s="87">
        <v>5.66</v>
      </c>
      <c r="M185" t="s">
        <v>45</v>
      </c>
      <c r="N185" t="s">
        <v>75</v>
      </c>
      <c r="O185" t="s">
        <v>12</v>
      </c>
      <c r="P185" t="s">
        <v>16</v>
      </c>
      <c r="Q185" s="87">
        <v>6.4649999999999999</v>
      </c>
      <c r="T185" t="s">
        <v>43</v>
      </c>
      <c r="U185" t="s">
        <v>69</v>
      </c>
      <c r="V185" t="s">
        <v>29</v>
      </c>
      <c r="W185" t="s">
        <v>28</v>
      </c>
      <c r="X185" s="87">
        <v>4.9250000000000007</v>
      </c>
    </row>
    <row r="186" spans="1:24" x14ac:dyDescent="0.3">
      <c r="A186" t="s">
        <v>45</v>
      </c>
      <c r="B186" t="s">
        <v>888</v>
      </c>
      <c r="C186" s="16" t="s">
        <v>272</v>
      </c>
      <c r="D186" s="16">
        <v>3</v>
      </c>
      <c r="E186" t="s">
        <v>1524</v>
      </c>
      <c r="F186" t="s">
        <v>1534</v>
      </c>
      <c r="G186" t="s">
        <v>1567</v>
      </c>
      <c r="H186" t="s">
        <v>344</v>
      </c>
      <c r="I186" s="87">
        <v>5.45</v>
      </c>
      <c r="M186" t="s">
        <v>45</v>
      </c>
      <c r="N186" t="s">
        <v>75</v>
      </c>
      <c r="O186" t="s">
        <v>12</v>
      </c>
      <c r="P186" t="s">
        <v>20</v>
      </c>
      <c r="Q186" s="87">
        <v>6.4150000000000009</v>
      </c>
      <c r="T186" t="s">
        <v>43</v>
      </c>
      <c r="U186" t="s">
        <v>69</v>
      </c>
      <c r="V186" t="s">
        <v>29</v>
      </c>
      <c r="W186" t="s">
        <v>35</v>
      </c>
      <c r="X186" s="87">
        <v>5.45</v>
      </c>
    </row>
    <row r="187" spans="1:24" x14ac:dyDescent="0.3">
      <c r="A187" t="s">
        <v>45</v>
      </c>
      <c r="B187" t="s">
        <v>889</v>
      </c>
      <c r="C187" s="16" t="s">
        <v>272</v>
      </c>
      <c r="D187" s="16">
        <v>3</v>
      </c>
      <c r="E187" t="s">
        <v>1524</v>
      </c>
      <c r="F187" t="s">
        <v>1536</v>
      </c>
      <c r="G187" t="s">
        <v>1566</v>
      </c>
      <c r="H187" t="s">
        <v>1573</v>
      </c>
      <c r="I187" s="87">
        <v>6.0250000000000004</v>
      </c>
      <c r="M187" t="s">
        <v>43</v>
      </c>
      <c r="N187" t="s">
        <v>71</v>
      </c>
      <c r="O187" t="s">
        <v>12</v>
      </c>
      <c r="P187" t="s">
        <v>14</v>
      </c>
      <c r="Q187" s="87">
        <v>5.2250000000000005</v>
      </c>
      <c r="T187" t="s">
        <v>45</v>
      </c>
      <c r="U187" t="s">
        <v>48</v>
      </c>
      <c r="V187" t="s">
        <v>29</v>
      </c>
      <c r="W187" t="s">
        <v>23</v>
      </c>
      <c r="X187" s="87">
        <v>6.2549999999999999</v>
      </c>
    </row>
    <row r="188" spans="1:24" x14ac:dyDescent="0.3">
      <c r="A188" t="s">
        <v>43</v>
      </c>
      <c r="B188" t="s">
        <v>890</v>
      </c>
      <c r="C188" s="16" t="s">
        <v>272</v>
      </c>
      <c r="D188" s="16">
        <v>3</v>
      </c>
      <c r="E188" t="s">
        <v>1524</v>
      </c>
      <c r="F188" t="s">
        <v>282</v>
      </c>
      <c r="G188" t="s">
        <v>1567</v>
      </c>
      <c r="H188" t="s">
        <v>344</v>
      </c>
      <c r="I188" s="87">
        <v>4.9250000000000007</v>
      </c>
      <c r="M188" t="s">
        <v>43</v>
      </c>
      <c r="N188" t="s">
        <v>71</v>
      </c>
      <c r="O188" t="s">
        <v>12</v>
      </c>
      <c r="P188" t="s">
        <v>11</v>
      </c>
      <c r="Q188" s="87">
        <v>5.2250000000000005</v>
      </c>
      <c r="T188" t="s">
        <v>45</v>
      </c>
      <c r="U188" t="s">
        <v>48</v>
      </c>
      <c r="V188" t="s">
        <v>29</v>
      </c>
      <c r="W188" t="s">
        <v>25</v>
      </c>
      <c r="X188" s="87">
        <v>6.2249999999999996</v>
      </c>
    </row>
    <row r="189" spans="1:24" x14ac:dyDescent="0.3">
      <c r="A189" t="s">
        <v>43</v>
      </c>
      <c r="B189" t="s">
        <v>891</v>
      </c>
      <c r="C189" s="16" t="s">
        <v>273</v>
      </c>
      <c r="D189" s="16">
        <v>2</v>
      </c>
      <c r="E189" t="s">
        <v>1525</v>
      </c>
      <c r="F189" t="s">
        <v>282</v>
      </c>
      <c r="G189" t="s">
        <v>1568</v>
      </c>
      <c r="H189" t="s">
        <v>344</v>
      </c>
      <c r="I189" s="87">
        <v>8.1</v>
      </c>
      <c r="M189" t="s">
        <v>9</v>
      </c>
      <c r="N189" t="s">
        <v>74</v>
      </c>
      <c r="O189" t="s">
        <v>12</v>
      </c>
      <c r="P189" t="s">
        <v>15</v>
      </c>
      <c r="Q189" s="87">
        <v>5.9749999999999996</v>
      </c>
      <c r="T189" t="s">
        <v>45</v>
      </c>
      <c r="U189" t="s">
        <v>48</v>
      </c>
      <c r="V189" t="s">
        <v>29</v>
      </c>
      <c r="W189" t="s">
        <v>24</v>
      </c>
      <c r="X189" s="87">
        <v>5.9749999999999996</v>
      </c>
    </row>
    <row r="190" spans="1:24" x14ac:dyDescent="0.3">
      <c r="A190" t="s">
        <v>43</v>
      </c>
      <c r="B190" t="s">
        <v>892</v>
      </c>
      <c r="C190" s="16" t="s">
        <v>272</v>
      </c>
      <c r="D190" s="16">
        <v>3</v>
      </c>
      <c r="E190" t="s">
        <v>1524</v>
      </c>
      <c r="F190" t="s">
        <v>282</v>
      </c>
      <c r="G190" t="s">
        <v>1567</v>
      </c>
      <c r="H190" t="s">
        <v>344</v>
      </c>
      <c r="I190" s="87">
        <v>4.9250000000000007</v>
      </c>
      <c r="M190" t="s">
        <v>9</v>
      </c>
      <c r="N190" t="s">
        <v>74</v>
      </c>
      <c r="O190" t="s">
        <v>12</v>
      </c>
      <c r="P190" t="s">
        <v>14</v>
      </c>
      <c r="Q190" s="87">
        <v>5.95</v>
      </c>
      <c r="T190" t="s">
        <v>45</v>
      </c>
      <c r="U190" t="s">
        <v>48</v>
      </c>
      <c r="V190" t="s">
        <v>29</v>
      </c>
      <c r="W190" t="s">
        <v>21</v>
      </c>
      <c r="X190" s="87">
        <v>5.4249999999999998</v>
      </c>
    </row>
    <row r="191" spans="1:24" x14ac:dyDescent="0.3">
      <c r="A191" t="s">
        <v>43</v>
      </c>
      <c r="B191" t="s">
        <v>893</v>
      </c>
      <c r="C191" s="16" t="s">
        <v>272</v>
      </c>
      <c r="D191" s="16">
        <v>3</v>
      </c>
      <c r="E191" t="s">
        <v>1524</v>
      </c>
      <c r="F191" t="s">
        <v>282</v>
      </c>
      <c r="G191" t="s">
        <v>1567</v>
      </c>
      <c r="H191" t="s">
        <v>377</v>
      </c>
      <c r="I191" s="87">
        <v>5.5250000000000004</v>
      </c>
      <c r="M191" t="s">
        <v>9</v>
      </c>
      <c r="N191" t="s">
        <v>74</v>
      </c>
      <c r="O191" t="s">
        <v>12</v>
      </c>
      <c r="P191" t="s">
        <v>11</v>
      </c>
      <c r="Q191" s="87">
        <v>5.65</v>
      </c>
      <c r="T191" t="s">
        <v>45</v>
      </c>
      <c r="U191" t="s">
        <v>48</v>
      </c>
      <c r="V191" t="s">
        <v>29</v>
      </c>
      <c r="W191" t="s">
        <v>30</v>
      </c>
      <c r="X191" s="87">
        <v>6.9000000000000012</v>
      </c>
    </row>
    <row r="192" spans="1:24" x14ac:dyDescent="0.3">
      <c r="A192" t="s">
        <v>43</v>
      </c>
      <c r="B192" t="s">
        <v>894</v>
      </c>
      <c r="C192" s="16" t="s">
        <v>272</v>
      </c>
      <c r="D192" s="16">
        <v>3</v>
      </c>
      <c r="E192" t="s">
        <v>1524</v>
      </c>
      <c r="F192" t="s">
        <v>282</v>
      </c>
      <c r="G192" t="s">
        <v>1566</v>
      </c>
      <c r="H192" t="s">
        <v>291</v>
      </c>
      <c r="I192" s="87">
        <v>5.1750000000000007</v>
      </c>
      <c r="M192" t="s">
        <v>9</v>
      </c>
      <c r="N192" t="s">
        <v>74</v>
      </c>
      <c r="O192" t="s">
        <v>12</v>
      </c>
      <c r="P192" t="s">
        <v>17</v>
      </c>
      <c r="Q192" s="87">
        <v>5.625</v>
      </c>
      <c r="T192" t="s">
        <v>45</v>
      </c>
      <c r="U192" t="s">
        <v>48</v>
      </c>
      <c r="V192" t="s">
        <v>29</v>
      </c>
      <c r="W192" t="s">
        <v>26</v>
      </c>
      <c r="X192" s="87">
        <v>9.0750000000000011</v>
      </c>
    </row>
    <row r="193" spans="1:24" x14ac:dyDescent="0.3">
      <c r="A193" t="s">
        <v>43</v>
      </c>
      <c r="B193" t="s">
        <v>895</v>
      </c>
      <c r="C193" s="16" t="s">
        <v>272</v>
      </c>
      <c r="D193" s="16">
        <v>2</v>
      </c>
      <c r="E193" t="s">
        <v>1524</v>
      </c>
      <c r="F193" t="s">
        <v>282</v>
      </c>
      <c r="G193" t="s">
        <v>341</v>
      </c>
      <c r="H193" t="s">
        <v>377</v>
      </c>
      <c r="I193" s="87">
        <v>6.4550000000000001</v>
      </c>
      <c r="M193" t="s">
        <v>9</v>
      </c>
      <c r="N193" t="s">
        <v>74</v>
      </c>
      <c r="O193" t="s">
        <v>12</v>
      </c>
      <c r="P193" t="s">
        <v>16</v>
      </c>
      <c r="Q193" s="87">
        <v>5.625</v>
      </c>
      <c r="T193" t="s">
        <v>45</v>
      </c>
      <c r="U193" t="s">
        <v>48</v>
      </c>
      <c r="V193" t="s">
        <v>29</v>
      </c>
      <c r="W193" t="s">
        <v>22</v>
      </c>
      <c r="X193" s="87">
        <v>5.9749999999999996</v>
      </c>
    </row>
    <row r="194" spans="1:24" x14ac:dyDescent="0.3">
      <c r="A194" t="s">
        <v>43</v>
      </c>
      <c r="B194" t="s">
        <v>896</v>
      </c>
      <c r="C194" s="16" t="s">
        <v>273</v>
      </c>
      <c r="D194" s="16">
        <v>2</v>
      </c>
      <c r="E194" t="s">
        <v>1525</v>
      </c>
      <c r="F194" t="s">
        <v>282</v>
      </c>
      <c r="G194" t="s">
        <v>1568</v>
      </c>
      <c r="H194" t="s">
        <v>344</v>
      </c>
      <c r="I194" s="87">
        <v>8.1</v>
      </c>
      <c r="M194" t="s">
        <v>45</v>
      </c>
      <c r="N194" t="s">
        <v>51</v>
      </c>
      <c r="O194" t="s">
        <v>12</v>
      </c>
      <c r="P194" t="s">
        <v>15</v>
      </c>
      <c r="Q194" s="87">
        <v>4.9250000000000007</v>
      </c>
      <c r="T194" t="s">
        <v>45</v>
      </c>
      <c r="U194" t="s">
        <v>48</v>
      </c>
      <c r="V194" t="s">
        <v>29</v>
      </c>
      <c r="W194" t="s">
        <v>31</v>
      </c>
      <c r="X194" s="87">
        <v>6.9000000000000012</v>
      </c>
    </row>
    <row r="195" spans="1:24" x14ac:dyDescent="0.3">
      <c r="A195" t="s">
        <v>43</v>
      </c>
      <c r="B195" t="s">
        <v>897</v>
      </c>
      <c r="C195" s="16" t="s">
        <v>272</v>
      </c>
      <c r="D195" s="16">
        <v>3</v>
      </c>
      <c r="E195" t="s">
        <v>1524</v>
      </c>
      <c r="F195" t="s">
        <v>282</v>
      </c>
      <c r="G195" t="s">
        <v>1567</v>
      </c>
      <c r="H195" t="s">
        <v>377</v>
      </c>
      <c r="I195" s="87">
        <v>5.5250000000000004</v>
      </c>
      <c r="M195" t="s">
        <v>45</v>
      </c>
      <c r="N195" t="s">
        <v>51</v>
      </c>
      <c r="O195" t="s">
        <v>12</v>
      </c>
      <c r="P195" t="s">
        <v>14</v>
      </c>
      <c r="Q195" s="87">
        <v>4.9250000000000007</v>
      </c>
      <c r="T195" t="s">
        <v>45</v>
      </c>
      <c r="U195" t="s">
        <v>48</v>
      </c>
      <c r="V195" t="s">
        <v>29</v>
      </c>
      <c r="W195" t="s">
        <v>27</v>
      </c>
      <c r="X195" s="87">
        <v>8.5500000000000007</v>
      </c>
    </row>
    <row r="196" spans="1:24" x14ac:dyDescent="0.3">
      <c r="A196" t="s">
        <v>43</v>
      </c>
      <c r="B196" t="s">
        <v>898</v>
      </c>
      <c r="C196" s="16" t="s">
        <v>272</v>
      </c>
      <c r="D196" s="16">
        <v>3</v>
      </c>
      <c r="E196" t="s">
        <v>1524</v>
      </c>
      <c r="F196" t="s">
        <v>282</v>
      </c>
      <c r="G196" t="s">
        <v>1567</v>
      </c>
      <c r="H196" t="s">
        <v>377</v>
      </c>
      <c r="I196" s="87">
        <v>5.5250000000000004</v>
      </c>
      <c r="M196" t="s">
        <v>45</v>
      </c>
      <c r="N196" t="s">
        <v>51</v>
      </c>
      <c r="O196" t="s">
        <v>12</v>
      </c>
      <c r="P196" t="s">
        <v>11</v>
      </c>
      <c r="Q196" s="87">
        <v>4.9250000000000007</v>
      </c>
      <c r="T196" t="s">
        <v>45</v>
      </c>
      <c r="U196" t="s">
        <v>48</v>
      </c>
      <c r="V196" t="s">
        <v>29</v>
      </c>
      <c r="W196" t="s">
        <v>28</v>
      </c>
      <c r="X196" s="87">
        <v>7.6700000000000008</v>
      </c>
    </row>
    <row r="197" spans="1:24" x14ac:dyDescent="0.3">
      <c r="A197" t="s">
        <v>43</v>
      </c>
      <c r="B197" t="s">
        <v>899</v>
      </c>
      <c r="C197" s="16" t="s">
        <v>272</v>
      </c>
      <c r="D197" s="16">
        <v>3</v>
      </c>
      <c r="E197" t="s">
        <v>1524</v>
      </c>
      <c r="F197" t="s">
        <v>282</v>
      </c>
      <c r="G197" t="s">
        <v>1567</v>
      </c>
      <c r="H197" t="s">
        <v>344</v>
      </c>
      <c r="I197" s="87">
        <v>4.9250000000000007</v>
      </c>
      <c r="M197" t="s">
        <v>45</v>
      </c>
      <c r="N197" t="s">
        <v>51</v>
      </c>
      <c r="O197" t="s">
        <v>12</v>
      </c>
      <c r="P197" t="s">
        <v>21</v>
      </c>
      <c r="Q197" s="87">
        <v>4.9250000000000007</v>
      </c>
      <c r="T197" t="s">
        <v>9</v>
      </c>
      <c r="U197" t="s">
        <v>56</v>
      </c>
      <c r="V197" t="s">
        <v>29</v>
      </c>
      <c r="W197" t="s">
        <v>23</v>
      </c>
      <c r="X197" s="87">
        <v>6.4649999999999999</v>
      </c>
    </row>
    <row r="198" spans="1:24" x14ac:dyDescent="0.3">
      <c r="A198" t="s">
        <v>43</v>
      </c>
      <c r="B198" t="s">
        <v>900</v>
      </c>
      <c r="C198" s="16" t="s">
        <v>272</v>
      </c>
      <c r="D198" s="16">
        <v>3</v>
      </c>
      <c r="E198" t="s">
        <v>1524</v>
      </c>
      <c r="F198" t="s">
        <v>282</v>
      </c>
      <c r="G198" t="s">
        <v>1567</v>
      </c>
      <c r="H198" t="s">
        <v>377</v>
      </c>
      <c r="I198" s="87">
        <v>5.5250000000000004</v>
      </c>
      <c r="M198" t="s">
        <v>45</v>
      </c>
      <c r="N198" t="s">
        <v>51</v>
      </c>
      <c r="O198" t="s">
        <v>12</v>
      </c>
      <c r="P198" t="s">
        <v>19</v>
      </c>
      <c r="Q198" s="87">
        <v>4.9250000000000007</v>
      </c>
      <c r="T198" t="s">
        <v>9</v>
      </c>
      <c r="U198" t="s">
        <v>56</v>
      </c>
      <c r="V198" t="s">
        <v>29</v>
      </c>
      <c r="W198" t="s">
        <v>25</v>
      </c>
      <c r="X198" s="87">
        <v>6.4649999999999999</v>
      </c>
    </row>
    <row r="199" spans="1:24" x14ac:dyDescent="0.3">
      <c r="A199" t="s">
        <v>43</v>
      </c>
      <c r="B199" t="s">
        <v>901</v>
      </c>
      <c r="C199" s="16" t="s">
        <v>273</v>
      </c>
      <c r="D199" s="16">
        <v>2</v>
      </c>
      <c r="E199" t="s">
        <v>1525</v>
      </c>
      <c r="F199" t="s">
        <v>282</v>
      </c>
      <c r="G199" t="s">
        <v>1568</v>
      </c>
      <c r="H199" t="s">
        <v>344</v>
      </c>
      <c r="I199" s="87">
        <v>8.1</v>
      </c>
      <c r="M199" t="s">
        <v>45</v>
      </c>
      <c r="N199" t="s">
        <v>51</v>
      </c>
      <c r="O199" t="s">
        <v>12</v>
      </c>
      <c r="P199" t="s">
        <v>17</v>
      </c>
      <c r="Q199" s="87">
        <v>4.9250000000000007</v>
      </c>
      <c r="T199" t="s">
        <v>9</v>
      </c>
      <c r="U199" t="s">
        <v>56</v>
      </c>
      <c r="V199" t="s">
        <v>29</v>
      </c>
      <c r="W199" t="s">
        <v>24</v>
      </c>
      <c r="X199" s="87">
        <v>6.4649999999999999</v>
      </c>
    </row>
    <row r="200" spans="1:24" x14ac:dyDescent="0.3">
      <c r="A200" t="s">
        <v>43</v>
      </c>
      <c r="B200" t="s">
        <v>902</v>
      </c>
      <c r="C200" s="16" t="s">
        <v>273</v>
      </c>
      <c r="D200" s="16">
        <v>2</v>
      </c>
      <c r="E200" t="s">
        <v>1525</v>
      </c>
      <c r="F200" t="s">
        <v>283</v>
      </c>
      <c r="G200" t="s">
        <v>1566</v>
      </c>
      <c r="H200" t="s">
        <v>1571</v>
      </c>
      <c r="I200" s="87">
        <v>8.9</v>
      </c>
      <c r="M200" t="s">
        <v>45</v>
      </c>
      <c r="N200" t="s">
        <v>51</v>
      </c>
      <c r="O200" t="s">
        <v>12</v>
      </c>
      <c r="P200" t="s">
        <v>16</v>
      </c>
      <c r="Q200" s="87">
        <v>4.9250000000000007</v>
      </c>
      <c r="T200" t="s">
        <v>9</v>
      </c>
      <c r="U200" t="s">
        <v>56</v>
      </c>
      <c r="V200" t="s">
        <v>29</v>
      </c>
      <c r="W200" t="s">
        <v>21</v>
      </c>
      <c r="X200" s="87">
        <v>6.1749999999999998</v>
      </c>
    </row>
    <row r="201" spans="1:24" x14ac:dyDescent="0.3">
      <c r="A201" t="s">
        <v>43</v>
      </c>
      <c r="B201" t="s">
        <v>903</v>
      </c>
      <c r="C201" s="16" t="s">
        <v>273</v>
      </c>
      <c r="D201" s="16">
        <v>2</v>
      </c>
      <c r="E201" t="s">
        <v>1525</v>
      </c>
      <c r="F201" t="s">
        <v>283</v>
      </c>
      <c r="G201" t="s">
        <v>1566</v>
      </c>
      <c r="H201" t="s">
        <v>1571</v>
      </c>
      <c r="I201" s="87">
        <v>8.9</v>
      </c>
      <c r="M201" t="s">
        <v>45</v>
      </c>
      <c r="N201" t="s">
        <v>51</v>
      </c>
      <c r="O201" t="s">
        <v>12</v>
      </c>
      <c r="P201" t="s">
        <v>20</v>
      </c>
      <c r="Q201" s="87">
        <v>5.8550000000000004</v>
      </c>
      <c r="T201" t="s">
        <v>9</v>
      </c>
      <c r="U201" t="s">
        <v>56</v>
      </c>
      <c r="V201" t="s">
        <v>29</v>
      </c>
      <c r="W201" t="s">
        <v>19</v>
      </c>
      <c r="X201" s="87">
        <v>6.1749999999999998</v>
      </c>
    </row>
    <row r="202" spans="1:24" x14ac:dyDescent="0.3">
      <c r="A202" t="s">
        <v>43</v>
      </c>
      <c r="B202" t="s">
        <v>904</v>
      </c>
      <c r="C202" s="16" t="s">
        <v>273</v>
      </c>
      <c r="D202" s="16">
        <v>2</v>
      </c>
      <c r="E202" t="s">
        <v>1525</v>
      </c>
      <c r="F202" t="s">
        <v>282</v>
      </c>
      <c r="G202" t="s">
        <v>1566</v>
      </c>
      <c r="H202" t="s">
        <v>344</v>
      </c>
      <c r="I202" s="87">
        <v>7.9249999999999998</v>
      </c>
      <c r="M202" t="s">
        <v>45</v>
      </c>
      <c r="N202" t="s">
        <v>51</v>
      </c>
      <c r="O202" t="s">
        <v>12</v>
      </c>
      <c r="P202" t="s">
        <v>22</v>
      </c>
      <c r="Q202" s="87">
        <v>4.9250000000000007</v>
      </c>
      <c r="T202" t="s">
        <v>9</v>
      </c>
      <c r="U202" t="s">
        <v>56</v>
      </c>
      <c r="V202" t="s">
        <v>29</v>
      </c>
      <c r="W202" t="s">
        <v>17</v>
      </c>
      <c r="X202" s="87">
        <v>6.1749999999999998</v>
      </c>
    </row>
    <row r="203" spans="1:24" x14ac:dyDescent="0.3">
      <c r="A203" t="s">
        <v>43</v>
      </c>
      <c r="B203" t="s">
        <v>905</v>
      </c>
      <c r="C203" s="16" t="s">
        <v>273</v>
      </c>
      <c r="D203" s="16">
        <v>2</v>
      </c>
      <c r="E203" t="s">
        <v>1525</v>
      </c>
      <c r="F203" t="s">
        <v>282</v>
      </c>
      <c r="G203" t="s">
        <v>1566</v>
      </c>
      <c r="H203" t="s">
        <v>344</v>
      </c>
      <c r="I203" s="87">
        <v>7.9249999999999998</v>
      </c>
      <c r="M203" t="s">
        <v>9</v>
      </c>
      <c r="N203" t="s">
        <v>70</v>
      </c>
      <c r="O203" t="s">
        <v>12</v>
      </c>
      <c r="P203" t="s">
        <v>14</v>
      </c>
      <c r="Q203" s="87">
        <v>5.2250000000000005</v>
      </c>
      <c r="T203" t="s">
        <v>9</v>
      </c>
      <c r="U203" t="s">
        <v>56</v>
      </c>
      <c r="V203" t="s">
        <v>29</v>
      </c>
      <c r="W203" t="s">
        <v>20</v>
      </c>
      <c r="X203" s="87">
        <v>6.1749999999999998</v>
      </c>
    </row>
    <row r="204" spans="1:24" x14ac:dyDescent="0.3">
      <c r="A204" t="s">
        <v>43</v>
      </c>
      <c r="B204" t="s">
        <v>906</v>
      </c>
      <c r="C204" s="16" t="s">
        <v>273</v>
      </c>
      <c r="D204" s="16">
        <v>2</v>
      </c>
      <c r="E204" t="s">
        <v>1525</v>
      </c>
      <c r="F204" t="s">
        <v>283</v>
      </c>
      <c r="G204" t="s">
        <v>1568</v>
      </c>
      <c r="H204" t="s">
        <v>347</v>
      </c>
      <c r="I204" s="87">
        <v>9.125</v>
      </c>
      <c r="M204" t="s">
        <v>9</v>
      </c>
      <c r="N204" t="s">
        <v>70</v>
      </c>
      <c r="O204" t="s">
        <v>12</v>
      </c>
      <c r="P204" t="s">
        <v>11</v>
      </c>
      <c r="Q204" s="87">
        <v>5.75</v>
      </c>
      <c r="T204" t="s">
        <v>9</v>
      </c>
      <c r="U204" t="s">
        <v>56</v>
      </c>
      <c r="V204" t="s">
        <v>29</v>
      </c>
      <c r="W204" t="s">
        <v>22</v>
      </c>
      <c r="X204" s="87">
        <v>6.1749999999999998</v>
      </c>
    </row>
    <row r="205" spans="1:24" x14ac:dyDescent="0.3">
      <c r="A205" t="s">
        <v>43</v>
      </c>
      <c r="B205" t="s">
        <v>907</v>
      </c>
      <c r="C205" s="16" t="s">
        <v>273</v>
      </c>
      <c r="D205" s="16">
        <v>2</v>
      </c>
      <c r="E205" t="s">
        <v>1525</v>
      </c>
      <c r="F205" t="s">
        <v>283</v>
      </c>
      <c r="G205" t="s">
        <v>1566</v>
      </c>
      <c r="H205" t="s">
        <v>1571</v>
      </c>
      <c r="I205" s="87">
        <v>8.9</v>
      </c>
      <c r="Q205" s="87"/>
      <c r="T205" t="s">
        <v>9</v>
      </c>
      <c r="U205" t="s">
        <v>67</v>
      </c>
      <c r="V205" t="s">
        <v>29</v>
      </c>
      <c r="W205" t="s">
        <v>23</v>
      </c>
      <c r="X205" s="87">
        <v>4.875</v>
      </c>
    </row>
    <row r="206" spans="1:24" x14ac:dyDescent="0.3">
      <c r="A206" t="s">
        <v>43</v>
      </c>
      <c r="B206" t="s">
        <v>908</v>
      </c>
      <c r="C206" s="16" t="s">
        <v>273</v>
      </c>
      <c r="D206" s="16">
        <v>2</v>
      </c>
      <c r="E206" t="s">
        <v>1525</v>
      </c>
      <c r="F206" t="s">
        <v>273</v>
      </c>
      <c r="G206" t="s">
        <v>1568</v>
      </c>
      <c r="H206" t="s">
        <v>347</v>
      </c>
      <c r="I206" s="87">
        <v>9.1999999999999993</v>
      </c>
      <c r="Q206" s="87"/>
      <c r="T206" t="s">
        <v>9</v>
      </c>
      <c r="U206" t="s">
        <v>67</v>
      </c>
      <c r="V206" t="s">
        <v>29</v>
      </c>
      <c r="W206" t="s">
        <v>25</v>
      </c>
      <c r="X206" s="87">
        <v>4.875</v>
      </c>
    </row>
    <row r="207" spans="1:24" x14ac:dyDescent="0.3">
      <c r="A207" t="s">
        <v>43</v>
      </c>
      <c r="B207" t="s">
        <v>909</v>
      </c>
      <c r="C207" s="16" t="s">
        <v>273</v>
      </c>
      <c r="D207" s="16">
        <v>2</v>
      </c>
      <c r="E207" t="s">
        <v>1525</v>
      </c>
      <c r="F207" t="s">
        <v>273</v>
      </c>
      <c r="G207" t="s">
        <v>1568</v>
      </c>
      <c r="H207" t="s">
        <v>347</v>
      </c>
      <c r="I207" s="87">
        <v>9.1999999999999993</v>
      </c>
      <c r="Q207" s="87"/>
      <c r="T207" t="s">
        <v>9</v>
      </c>
      <c r="U207" t="s">
        <v>67</v>
      </c>
      <c r="V207" t="s">
        <v>29</v>
      </c>
      <c r="W207" t="s">
        <v>24</v>
      </c>
      <c r="X207" s="87">
        <v>4.875</v>
      </c>
    </row>
    <row r="208" spans="1:24" x14ac:dyDescent="0.3">
      <c r="A208" t="s">
        <v>43</v>
      </c>
      <c r="B208" t="s">
        <v>910</v>
      </c>
      <c r="C208" s="16" t="s">
        <v>273</v>
      </c>
      <c r="D208" s="16">
        <v>2</v>
      </c>
      <c r="E208" t="s">
        <v>1525</v>
      </c>
      <c r="F208" t="s">
        <v>282</v>
      </c>
      <c r="G208" t="s">
        <v>1568</v>
      </c>
      <c r="H208" t="s">
        <v>347</v>
      </c>
      <c r="I208" s="87">
        <v>8.6999999999999993</v>
      </c>
      <c r="Q208" s="87"/>
      <c r="T208" t="s">
        <v>9</v>
      </c>
      <c r="U208" t="s">
        <v>67</v>
      </c>
      <c r="V208" t="s">
        <v>29</v>
      </c>
      <c r="W208" t="s">
        <v>21</v>
      </c>
      <c r="X208" s="87">
        <v>5.8049999999999997</v>
      </c>
    </row>
    <row r="209" spans="1:24" x14ac:dyDescent="0.3">
      <c r="A209" t="s">
        <v>43</v>
      </c>
      <c r="B209" t="s">
        <v>911</v>
      </c>
      <c r="C209" s="16" t="s">
        <v>272</v>
      </c>
      <c r="D209" s="16">
        <v>2</v>
      </c>
      <c r="E209" t="s">
        <v>1524</v>
      </c>
      <c r="F209" t="s">
        <v>282</v>
      </c>
      <c r="G209" t="s">
        <v>1656</v>
      </c>
      <c r="H209" t="s">
        <v>291</v>
      </c>
      <c r="I209" s="87">
        <v>6.1750000000000007</v>
      </c>
      <c r="Q209" s="87"/>
      <c r="T209" t="s">
        <v>9</v>
      </c>
      <c r="U209" t="s">
        <v>67</v>
      </c>
      <c r="V209" t="s">
        <v>29</v>
      </c>
      <c r="W209" t="s">
        <v>30</v>
      </c>
      <c r="X209" s="87">
        <v>4.875</v>
      </c>
    </row>
    <row r="210" spans="1:24" x14ac:dyDescent="0.3">
      <c r="A210" t="s">
        <v>43</v>
      </c>
      <c r="B210" t="s">
        <v>912</v>
      </c>
      <c r="C210" s="16" t="s">
        <v>273</v>
      </c>
      <c r="D210" s="16">
        <v>2</v>
      </c>
      <c r="E210" t="s">
        <v>1525</v>
      </c>
      <c r="F210" t="s">
        <v>282</v>
      </c>
      <c r="G210" t="s">
        <v>1566</v>
      </c>
      <c r="H210" t="s">
        <v>344</v>
      </c>
      <c r="I210" s="87">
        <v>7.9249999999999998</v>
      </c>
      <c r="Q210" s="87"/>
      <c r="T210" t="s">
        <v>9</v>
      </c>
      <c r="U210" t="s">
        <v>67</v>
      </c>
      <c r="V210" t="s">
        <v>29</v>
      </c>
      <c r="W210" t="s">
        <v>20</v>
      </c>
      <c r="X210" s="87">
        <v>5.8049999999999997</v>
      </c>
    </row>
    <row r="211" spans="1:24" x14ac:dyDescent="0.3">
      <c r="A211" t="s">
        <v>43</v>
      </c>
      <c r="B211" t="s">
        <v>913</v>
      </c>
      <c r="C211" s="16" t="s">
        <v>272</v>
      </c>
      <c r="D211" s="16">
        <v>2</v>
      </c>
      <c r="E211" t="s">
        <v>1524</v>
      </c>
      <c r="F211" t="s">
        <v>282</v>
      </c>
      <c r="G211" t="s">
        <v>1656</v>
      </c>
      <c r="H211" t="s">
        <v>291</v>
      </c>
      <c r="I211" s="87">
        <v>6.1750000000000007</v>
      </c>
      <c r="Q211" s="87"/>
      <c r="T211" t="s">
        <v>9</v>
      </c>
      <c r="U211" t="s">
        <v>67</v>
      </c>
      <c r="V211" t="s">
        <v>29</v>
      </c>
      <c r="W211" t="s">
        <v>26</v>
      </c>
      <c r="X211" s="87">
        <v>4.9250000000000007</v>
      </c>
    </row>
    <row r="212" spans="1:24" x14ac:dyDescent="0.3">
      <c r="A212" t="s">
        <v>43</v>
      </c>
      <c r="B212" t="s">
        <v>914</v>
      </c>
      <c r="C212" s="16" t="s">
        <v>272</v>
      </c>
      <c r="D212" s="16">
        <v>2</v>
      </c>
      <c r="E212" t="s">
        <v>1524</v>
      </c>
      <c r="F212" t="s">
        <v>282</v>
      </c>
      <c r="G212" t="s">
        <v>1656</v>
      </c>
      <c r="H212" t="s">
        <v>1570</v>
      </c>
      <c r="I212" s="87">
        <v>6.4</v>
      </c>
      <c r="T212" t="s">
        <v>9</v>
      </c>
      <c r="U212" t="s">
        <v>67</v>
      </c>
      <c r="V212" t="s">
        <v>29</v>
      </c>
      <c r="W212" t="s">
        <v>22</v>
      </c>
      <c r="X212" s="87">
        <v>5.8049999999999997</v>
      </c>
    </row>
    <row r="213" spans="1:24" x14ac:dyDescent="0.3">
      <c r="A213" t="s">
        <v>43</v>
      </c>
      <c r="B213" t="s">
        <v>915</v>
      </c>
      <c r="C213" s="16" t="s">
        <v>273</v>
      </c>
      <c r="D213" s="16">
        <v>2</v>
      </c>
      <c r="E213" t="s">
        <v>1525</v>
      </c>
      <c r="F213" t="s">
        <v>283</v>
      </c>
      <c r="G213" t="s">
        <v>1568</v>
      </c>
      <c r="H213" t="s">
        <v>347</v>
      </c>
      <c r="I213" s="87">
        <v>9.125</v>
      </c>
      <c r="T213" t="s">
        <v>9</v>
      </c>
      <c r="U213" t="s">
        <v>67</v>
      </c>
      <c r="V213" t="s">
        <v>29</v>
      </c>
      <c r="W213" t="s">
        <v>31</v>
      </c>
      <c r="X213" s="87">
        <v>4.875</v>
      </c>
    </row>
    <row r="214" spans="1:24" x14ac:dyDescent="0.3">
      <c r="A214" t="s">
        <v>43</v>
      </c>
      <c r="B214" t="s">
        <v>916</v>
      </c>
      <c r="C214" s="16" t="s">
        <v>272</v>
      </c>
      <c r="D214" s="16">
        <v>3</v>
      </c>
      <c r="E214" t="s">
        <v>1524</v>
      </c>
      <c r="F214" t="s">
        <v>1546</v>
      </c>
      <c r="G214" t="s">
        <v>1567</v>
      </c>
      <c r="H214" t="s">
        <v>291</v>
      </c>
      <c r="I214" s="87">
        <v>5.6</v>
      </c>
      <c r="T214" t="s">
        <v>9</v>
      </c>
      <c r="U214" t="s">
        <v>67</v>
      </c>
      <c r="V214" t="s">
        <v>29</v>
      </c>
      <c r="W214" t="s">
        <v>27</v>
      </c>
      <c r="X214" s="87">
        <v>5.4</v>
      </c>
    </row>
    <row r="215" spans="1:24" x14ac:dyDescent="0.3">
      <c r="A215" t="s">
        <v>43</v>
      </c>
      <c r="B215" t="s">
        <v>917</v>
      </c>
      <c r="C215" s="16" t="s">
        <v>272</v>
      </c>
      <c r="D215" s="16">
        <v>3</v>
      </c>
      <c r="E215" t="s">
        <v>1524</v>
      </c>
      <c r="F215" t="s">
        <v>1547</v>
      </c>
      <c r="G215" t="s">
        <v>1656</v>
      </c>
      <c r="H215" t="s">
        <v>291</v>
      </c>
      <c r="I215" s="87">
        <v>5.83</v>
      </c>
      <c r="T215" t="s">
        <v>9</v>
      </c>
      <c r="U215" t="s">
        <v>67</v>
      </c>
      <c r="V215" t="s">
        <v>29</v>
      </c>
      <c r="W215" t="s">
        <v>28</v>
      </c>
      <c r="X215" s="87">
        <v>5.4</v>
      </c>
    </row>
    <row r="216" spans="1:24" x14ac:dyDescent="0.3">
      <c r="A216" t="s">
        <v>43</v>
      </c>
      <c r="B216" t="s">
        <v>918</v>
      </c>
      <c r="C216" s="16" t="s">
        <v>272</v>
      </c>
      <c r="D216" s="16">
        <v>3</v>
      </c>
      <c r="E216" t="s">
        <v>1524</v>
      </c>
      <c r="F216" t="s">
        <v>282</v>
      </c>
      <c r="G216" t="s">
        <v>1656</v>
      </c>
      <c r="H216" t="s">
        <v>291</v>
      </c>
      <c r="I216" s="87">
        <v>5.4050000000000002</v>
      </c>
      <c r="T216" t="s">
        <v>43</v>
      </c>
      <c r="U216" t="s">
        <v>44</v>
      </c>
      <c r="V216" t="s">
        <v>29</v>
      </c>
      <c r="W216" t="s">
        <v>23</v>
      </c>
      <c r="X216" s="87">
        <v>5.4250000000000007</v>
      </c>
    </row>
    <row r="217" spans="1:24" x14ac:dyDescent="0.3">
      <c r="A217" t="s">
        <v>43</v>
      </c>
      <c r="B217" t="s">
        <v>919</v>
      </c>
      <c r="C217" s="16" t="s">
        <v>272</v>
      </c>
      <c r="D217" s="16">
        <v>3</v>
      </c>
      <c r="E217" t="s">
        <v>1524</v>
      </c>
      <c r="F217" t="s">
        <v>1547</v>
      </c>
      <c r="G217" t="s">
        <v>1567</v>
      </c>
      <c r="H217" t="s">
        <v>1572</v>
      </c>
      <c r="I217" s="87">
        <v>5.9750000000000005</v>
      </c>
      <c r="T217" t="s">
        <v>43</v>
      </c>
      <c r="U217" t="s">
        <v>44</v>
      </c>
      <c r="V217" t="s">
        <v>29</v>
      </c>
      <c r="W217" t="s">
        <v>25</v>
      </c>
      <c r="X217" s="87">
        <v>4.875</v>
      </c>
    </row>
    <row r="218" spans="1:24" x14ac:dyDescent="0.3">
      <c r="A218" t="s">
        <v>43</v>
      </c>
      <c r="B218" t="s">
        <v>920</v>
      </c>
      <c r="C218" s="16" t="s">
        <v>272</v>
      </c>
      <c r="D218" s="16">
        <v>3</v>
      </c>
      <c r="E218" t="s">
        <v>1524</v>
      </c>
      <c r="F218" t="s">
        <v>1547</v>
      </c>
      <c r="G218" t="s">
        <v>1567</v>
      </c>
      <c r="H218" t="s">
        <v>1572</v>
      </c>
      <c r="I218" s="87">
        <v>5.9750000000000005</v>
      </c>
      <c r="T218" t="s">
        <v>43</v>
      </c>
      <c r="U218" t="s">
        <v>44</v>
      </c>
      <c r="V218" t="s">
        <v>29</v>
      </c>
      <c r="W218" t="s">
        <v>24</v>
      </c>
      <c r="X218" s="87">
        <v>5.45</v>
      </c>
    </row>
    <row r="219" spans="1:24" x14ac:dyDescent="0.3">
      <c r="A219" t="s">
        <v>43</v>
      </c>
      <c r="B219" t="s">
        <v>921</v>
      </c>
      <c r="C219" s="16" t="s">
        <v>272</v>
      </c>
      <c r="D219" s="16">
        <v>2</v>
      </c>
      <c r="E219" t="s">
        <v>1525</v>
      </c>
      <c r="F219" t="s">
        <v>1547</v>
      </c>
      <c r="G219" t="s">
        <v>1567</v>
      </c>
      <c r="H219" t="s">
        <v>1572</v>
      </c>
      <c r="I219" s="87">
        <v>8.1449999999999996</v>
      </c>
      <c r="T219" t="s">
        <v>43</v>
      </c>
      <c r="U219" t="s">
        <v>44</v>
      </c>
      <c r="V219" t="s">
        <v>29</v>
      </c>
      <c r="W219" t="s">
        <v>21</v>
      </c>
      <c r="X219" s="87">
        <v>5.8049999999999997</v>
      </c>
    </row>
    <row r="220" spans="1:24" x14ac:dyDescent="0.3">
      <c r="A220" t="s">
        <v>43</v>
      </c>
      <c r="B220" t="s">
        <v>922</v>
      </c>
      <c r="C220" s="16" t="s">
        <v>272</v>
      </c>
      <c r="D220" s="16">
        <v>3</v>
      </c>
      <c r="E220" t="s">
        <v>1524</v>
      </c>
      <c r="F220" t="s">
        <v>1547</v>
      </c>
      <c r="G220" t="s">
        <v>1567</v>
      </c>
      <c r="H220" t="s">
        <v>1572</v>
      </c>
      <c r="I220" s="87">
        <v>5.9750000000000005</v>
      </c>
      <c r="T220" t="s">
        <v>43</v>
      </c>
      <c r="U220" t="s">
        <v>44</v>
      </c>
      <c r="V220" t="s">
        <v>29</v>
      </c>
      <c r="W220" t="s">
        <v>22</v>
      </c>
      <c r="X220" s="87">
        <v>4.875</v>
      </c>
    </row>
    <row r="221" spans="1:24" x14ac:dyDescent="0.3">
      <c r="A221" t="s">
        <v>43</v>
      </c>
      <c r="B221" t="s">
        <v>923</v>
      </c>
      <c r="C221" s="16" t="s">
        <v>272</v>
      </c>
      <c r="D221" s="16">
        <v>3</v>
      </c>
      <c r="E221" t="s">
        <v>1524</v>
      </c>
      <c r="F221" t="s">
        <v>1547</v>
      </c>
      <c r="G221" t="s">
        <v>1567</v>
      </c>
      <c r="H221" t="s">
        <v>344</v>
      </c>
      <c r="I221" s="87">
        <v>5.3500000000000005</v>
      </c>
      <c r="T221" t="s">
        <v>45</v>
      </c>
      <c r="U221" t="s">
        <v>75</v>
      </c>
      <c r="V221" t="s">
        <v>29</v>
      </c>
      <c r="W221" t="s">
        <v>23</v>
      </c>
      <c r="X221" s="87">
        <v>6.4150000000000009</v>
      </c>
    </row>
    <row r="222" spans="1:24" x14ac:dyDescent="0.3">
      <c r="A222" t="s">
        <v>43</v>
      </c>
      <c r="B222" t="s">
        <v>924</v>
      </c>
      <c r="C222" s="16" t="s">
        <v>272</v>
      </c>
      <c r="D222" s="16">
        <v>3</v>
      </c>
      <c r="E222" t="s">
        <v>1524</v>
      </c>
      <c r="F222" t="s">
        <v>1547</v>
      </c>
      <c r="G222" t="s">
        <v>1567</v>
      </c>
      <c r="H222" t="s">
        <v>344</v>
      </c>
      <c r="I222" s="87">
        <v>5.3500000000000005</v>
      </c>
      <c r="T222" t="s">
        <v>45</v>
      </c>
      <c r="U222" t="s">
        <v>75</v>
      </c>
      <c r="V222" t="s">
        <v>29</v>
      </c>
      <c r="W222" t="s">
        <v>25</v>
      </c>
      <c r="X222" s="87">
        <v>6.1</v>
      </c>
    </row>
    <row r="223" spans="1:24" x14ac:dyDescent="0.3">
      <c r="A223" t="s">
        <v>43</v>
      </c>
      <c r="B223" t="s">
        <v>925</v>
      </c>
      <c r="C223" s="16" t="s">
        <v>272</v>
      </c>
      <c r="D223" s="16">
        <v>3</v>
      </c>
      <c r="E223" t="s">
        <v>1524</v>
      </c>
      <c r="F223" t="s">
        <v>1547</v>
      </c>
      <c r="G223" t="s">
        <v>1567</v>
      </c>
      <c r="H223" t="s">
        <v>344</v>
      </c>
      <c r="I223" s="87">
        <v>5.3500000000000005</v>
      </c>
      <c r="T223" t="s">
        <v>45</v>
      </c>
      <c r="U223" t="s">
        <v>75</v>
      </c>
      <c r="V223" t="s">
        <v>29</v>
      </c>
      <c r="W223" t="s">
        <v>24</v>
      </c>
      <c r="X223" s="87">
        <v>6.4649999999999999</v>
      </c>
    </row>
    <row r="224" spans="1:24" x14ac:dyDescent="0.3">
      <c r="A224" t="s">
        <v>43</v>
      </c>
      <c r="B224" t="s">
        <v>926</v>
      </c>
      <c r="C224" s="16" t="s">
        <v>272</v>
      </c>
      <c r="D224" s="16">
        <v>2</v>
      </c>
      <c r="E224" t="s">
        <v>1524</v>
      </c>
      <c r="F224" t="s">
        <v>1547</v>
      </c>
      <c r="G224" t="s">
        <v>1567</v>
      </c>
      <c r="H224" t="s">
        <v>344</v>
      </c>
      <c r="I224" s="87">
        <v>6.120000000000001</v>
      </c>
      <c r="T224" t="s">
        <v>45</v>
      </c>
      <c r="U224" t="s">
        <v>75</v>
      </c>
      <c r="V224" t="s">
        <v>29</v>
      </c>
      <c r="W224" t="s">
        <v>21</v>
      </c>
      <c r="X224" s="87">
        <v>6.4150000000000009</v>
      </c>
    </row>
    <row r="225" spans="1:24" x14ac:dyDescent="0.3">
      <c r="A225" t="s">
        <v>43</v>
      </c>
      <c r="B225" t="s">
        <v>927</v>
      </c>
      <c r="C225" s="16" t="s">
        <v>272</v>
      </c>
      <c r="D225" s="16">
        <v>3</v>
      </c>
      <c r="E225" t="s">
        <v>1524</v>
      </c>
      <c r="F225" t="s">
        <v>1547</v>
      </c>
      <c r="G225" t="s">
        <v>1567</v>
      </c>
      <c r="H225" t="s">
        <v>344</v>
      </c>
      <c r="I225" s="87">
        <v>5.3500000000000005</v>
      </c>
      <c r="T225" t="s">
        <v>45</v>
      </c>
      <c r="U225" t="s">
        <v>75</v>
      </c>
      <c r="V225" t="s">
        <v>29</v>
      </c>
      <c r="W225" t="s">
        <v>30</v>
      </c>
      <c r="X225" s="87">
        <v>5.8650000000000002</v>
      </c>
    </row>
    <row r="226" spans="1:24" x14ac:dyDescent="0.3">
      <c r="A226" t="s">
        <v>43</v>
      </c>
      <c r="B226" t="s">
        <v>928</v>
      </c>
      <c r="C226" s="16" t="s">
        <v>272</v>
      </c>
      <c r="D226" s="16">
        <v>3</v>
      </c>
      <c r="E226" t="s">
        <v>1524</v>
      </c>
      <c r="F226" t="s">
        <v>1547</v>
      </c>
      <c r="G226" t="s">
        <v>1567</v>
      </c>
      <c r="H226" t="s">
        <v>344</v>
      </c>
      <c r="I226" s="87">
        <v>5.3500000000000005</v>
      </c>
      <c r="T226" t="s">
        <v>45</v>
      </c>
      <c r="U226" t="s">
        <v>75</v>
      </c>
      <c r="V226" t="s">
        <v>29</v>
      </c>
      <c r="W226" t="s">
        <v>26</v>
      </c>
      <c r="X226" s="87">
        <v>6.4150000000000009</v>
      </c>
    </row>
    <row r="227" spans="1:24" x14ac:dyDescent="0.3">
      <c r="A227" t="s">
        <v>43</v>
      </c>
      <c r="B227" t="s">
        <v>929</v>
      </c>
      <c r="C227" s="16" t="s">
        <v>272</v>
      </c>
      <c r="D227" s="16">
        <v>2</v>
      </c>
      <c r="E227" t="s">
        <v>1524</v>
      </c>
      <c r="F227" t="s">
        <v>1547</v>
      </c>
      <c r="G227" t="s">
        <v>341</v>
      </c>
      <c r="H227" t="s">
        <v>344</v>
      </c>
      <c r="I227" s="87">
        <v>6.28</v>
      </c>
      <c r="T227" t="s">
        <v>45</v>
      </c>
      <c r="U227" t="s">
        <v>75</v>
      </c>
      <c r="V227" t="s">
        <v>29</v>
      </c>
      <c r="W227" t="s">
        <v>22</v>
      </c>
      <c r="X227" s="87">
        <v>5.6000000000000005</v>
      </c>
    </row>
    <row r="228" spans="1:24" x14ac:dyDescent="0.3">
      <c r="A228" t="s">
        <v>43</v>
      </c>
      <c r="B228" t="s">
        <v>930</v>
      </c>
      <c r="C228" s="16" t="s">
        <v>272</v>
      </c>
      <c r="D228" s="16">
        <v>2</v>
      </c>
      <c r="E228" t="s">
        <v>1524</v>
      </c>
      <c r="F228" t="s">
        <v>1547</v>
      </c>
      <c r="G228" t="s">
        <v>341</v>
      </c>
      <c r="H228" t="s">
        <v>344</v>
      </c>
      <c r="I228" s="87">
        <v>6.28</v>
      </c>
      <c r="T228" t="s">
        <v>45</v>
      </c>
      <c r="U228" t="s">
        <v>75</v>
      </c>
      <c r="V228" t="s">
        <v>29</v>
      </c>
      <c r="W228" t="s">
        <v>27</v>
      </c>
      <c r="X228" s="87">
        <v>5.82</v>
      </c>
    </row>
    <row r="229" spans="1:24" x14ac:dyDescent="0.3">
      <c r="A229" t="s">
        <v>43</v>
      </c>
      <c r="B229" t="s">
        <v>931</v>
      </c>
      <c r="C229" s="16" t="s">
        <v>272</v>
      </c>
      <c r="D229" s="16">
        <v>3</v>
      </c>
      <c r="E229" t="s">
        <v>1524</v>
      </c>
      <c r="F229" t="s">
        <v>282</v>
      </c>
      <c r="G229" t="s">
        <v>1566</v>
      </c>
      <c r="H229" t="s">
        <v>344</v>
      </c>
      <c r="I229" s="87">
        <v>4.875</v>
      </c>
      <c r="T229" t="s">
        <v>45</v>
      </c>
      <c r="U229" t="s">
        <v>75</v>
      </c>
      <c r="V229" t="s">
        <v>29</v>
      </c>
      <c r="W229" t="s">
        <v>28</v>
      </c>
      <c r="X229" s="87">
        <v>5.82</v>
      </c>
    </row>
    <row r="230" spans="1:24" x14ac:dyDescent="0.3">
      <c r="A230" t="s">
        <v>43</v>
      </c>
      <c r="B230" t="s">
        <v>932</v>
      </c>
      <c r="C230" s="16" t="s">
        <v>272</v>
      </c>
      <c r="D230" s="16">
        <v>3</v>
      </c>
      <c r="E230" t="s">
        <v>1524</v>
      </c>
      <c r="F230" t="s">
        <v>1542</v>
      </c>
      <c r="G230" t="s">
        <v>1567</v>
      </c>
      <c r="H230" t="s">
        <v>344</v>
      </c>
      <c r="I230" s="87">
        <v>5.3500000000000005</v>
      </c>
      <c r="T230" t="s">
        <v>43</v>
      </c>
      <c r="U230" t="s">
        <v>71</v>
      </c>
      <c r="V230" t="s">
        <v>29</v>
      </c>
      <c r="W230" t="s">
        <v>15</v>
      </c>
      <c r="X230" s="87">
        <v>4.9250000000000007</v>
      </c>
    </row>
    <row r="231" spans="1:24" x14ac:dyDescent="0.3">
      <c r="A231" t="s">
        <v>43</v>
      </c>
      <c r="B231" t="s">
        <v>933</v>
      </c>
      <c r="C231" s="16" t="s">
        <v>272</v>
      </c>
      <c r="D231" s="16">
        <v>3</v>
      </c>
      <c r="E231" t="s">
        <v>1524</v>
      </c>
      <c r="F231" t="s">
        <v>282</v>
      </c>
      <c r="G231" t="s">
        <v>1566</v>
      </c>
      <c r="H231" t="s">
        <v>344</v>
      </c>
      <c r="I231" s="87">
        <v>4.875</v>
      </c>
      <c r="T231" t="s">
        <v>43</v>
      </c>
      <c r="U231" t="s">
        <v>71</v>
      </c>
      <c r="V231" t="s">
        <v>29</v>
      </c>
      <c r="W231" t="s">
        <v>19</v>
      </c>
      <c r="X231" s="87">
        <v>5.4250000000000007</v>
      </c>
    </row>
    <row r="232" spans="1:24" x14ac:dyDescent="0.3">
      <c r="A232" t="s">
        <v>43</v>
      </c>
      <c r="B232" t="s">
        <v>934</v>
      </c>
      <c r="C232" s="16" t="s">
        <v>272</v>
      </c>
      <c r="D232" s="16">
        <v>3</v>
      </c>
      <c r="E232" t="s">
        <v>1524</v>
      </c>
      <c r="F232" t="s">
        <v>1542</v>
      </c>
      <c r="G232" t="s">
        <v>1567</v>
      </c>
      <c r="H232" t="s">
        <v>344</v>
      </c>
      <c r="I232" s="87">
        <v>5.3500000000000005</v>
      </c>
      <c r="T232" t="s">
        <v>43</v>
      </c>
      <c r="U232" t="s">
        <v>71</v>
      </c>
      <c r="V232" t="s">
        <v>29</v>
      </c>
      <c r="W232" t="s">
        <v>17</v>
      </c>
      <c r="X232" s="87">
        <v>5.4250000000000007</v>
      </c>
    </row>
    <row r="233" spans="1:24" x14ac:dyDescent="0.3">
      <c r="A233" t="s">
        <v>43</v>
      </c>
      <c r="B233" t="s">
        <v>935</v>
      </c>
      <c r="C233" s="16" t="s">
        <v>272</v>
      </c>
      <c r="D233" s="16">
        <v>2</v>
      </c>
      <c r="E233" t="s">
        <v>1524</v>
      </c>
      <c r="F233" t="s">
        <v>282</v>
      </c>
      <c r="G233" t="s">
        <v>341</v>
      </c>
      <c r="H233" t="s">
        <v>344</v>
      </c>
      <c r="I233" s="87">
        <v>5.8550000000000004</v>
      </c>
      <c r="T233" t="s">
        <v>43</v>
      </c>
      <c r="U233" t="s">
        <v>71</v>
      </c>
      <c r="V233" t="s">
        <v>29</v>
      </c>
      <c r="W233" t="s">
        <v>16</v>
      </c>
      <c r="X233" s="87">
        <v>5.4250000000000007</v>
      </c>
    </row>
    <row r="234" spans="1:24" x14ac:dyDescent="0.3">
      <c r="A234" t="s">
        <v>43</v>
      </c>
      <c r="B234" t="s">
        <v>936</v>
      </c>
      <c r="C234" s="16" t="s">
        <v>272</v>
      </c>
      <c r="D234" s="16">
        <v>3</v>
      </c>
      <c r="E234" t="s">
        <v>1524</v>
      </c>
      <c r="F234" t="s">
        <v>1542</v>
      </c>
      <c r="G234" t="s">
        <v>1567</v>
      </c>
      <c r="H234" t="s">
        <v>1574</v>
      </c>
      <c r="I234" s="87">
        <v>5.9</v>
      </c>
      <c r="T234" t="s">
        <v>43</v>
      </c>
      <c r="U234" t="s">
        <v>71</v>
      </c>
      <c r="V234" t="s">
        <v>29</v>
      </c>
      <c r="W234" t="s">
        <v>20</v>
      </c>
      <c r="X234" s="87">
        <v>5.4250000000000007</v>
      </c>
    </row>
    <row r="235" spans="1:24" x14ac:dyDescent="0.3">
      <c r="A235" t="s">
        <v>43</v>
      </c>
      <c r="B235" t="s">
        <v>937</v>
      </c>
      <c r="C235" s="16" t="s">
        <v>272</v>
      </c>
      <c r="D235" s="16">
        <v>3</v>
      </c>
      <c r="E235" t="s">
        <v>1524</v>
      </c>
      <c r="F235" t="s">
        <v>282</v>
      </c>
      <c r="G235" t="s">
        <v>1566</v>
      </c>
      <c r="H235" t="s">
        <v>344</v>
      </c>
      <c r="I235" s="87">
        <v>4.875</v>
      </c>
      <c r="T235" t="s">
        <v>9</v>
      </c>
      <c r="U235" t="s">
        <v>74</v>
      </c>
      <c r="V235" t="s">
        <v>29</v>
      </c>
      <c r="W235" t="s">
        <v>23</v>
      </c>
      <c r="X235" s="87">
        <v>5.4750000000000005</v>
      </c>
    </row>
    <row r="236" spans="1:24" x14ac:dyDescent="0.3">
      <c r="A236" t="s">
        <v>43</v>
      </c>
      <c r="B236" t="s">
        <v>938</v>
      </c>
      <c r="C236" s="16" t="s">
        <v>272</v>
      </c>
      <c r="D236" s="16">
        <v>3</v>
      </c>
      <c r="E236" t="s">
        <v>1524</v>
      </c>
      <c r="F236" t="s">
        <v>1542</v>
      </c>
      <c r="G236" t="s">
        <v>1567</v>
      </c>
      <c r="H236" t="s">
        <v>344</v>
      </c>
      <c r="I236" s="87">
        <v>5.3500000000000005</v>
      </c>
      <c r="T236" t="s">
        <v>9</v>
      </c>
      <c r="U236" t="s">
        <v>74</v>
      </c>
      <c r="V236" t="s">
        <v>29</v>
      </c>
      <c r="W236" t="s">
        <v>24</v>
      </c>
      <c r="X236" s="87">
        <v>5.4750000000000005</v>
      </c>
    </row>
    <row r="237" spans="1:24" x14ac:dyDescent="0.3">
      <c r="A237" t="s">
        <v>43</v>
      </c>
      <c r="B237" t="s">
        <v>939</v>
      </c>
      <c r="C237" s="16" t="s">
        <v>272</v>
      </c>
      <c r="D237" s="16">
        <v>3</v>
      </c>
      <c r="E237" t="s">
        <v>1524</v>
      </c>
      <c r="F237" t="s">
        <v>282</v>
      </c>
      <c r="G237" t="s">
        <v>1566</v>
      </c>
      <c r="H237" t="s">
        <v>344</v>
      </c>
      <c r="I237" s="87">
        <v>4.875</v>
      </c>
      <c r="T237" t="s">
        <v>9</v>
      </c>
      <c r="U237" t="s">
        <v>74</v>
      </c>
      <c r="V237" t="s">
        <v>29</v>
      </c>
      <c r="W237" t="s">
        <v>21</v>
      </c>
      <c r="X237" s="87">
        <v>5.0500000000000007</v>
      </c>
    </row>
    <row r="238" spans="1:24" x14ac:dyDescent="0.3">
      <c r="A238" t="s">
        <v>43</v>
      </c>
      <c r="B238" t="s">
        <v>940</v>
      </c>
      <c r="C238" s="16" t="s">
        <v>272</v>
      </c>
      <c r="D238" s="16">
        <v>3</v>
      </c>
      <c r="E238" t="s">
        <v>1524</v>
      </c>
      <c r="F238" t="s">
        <v>282</v>
      </c>
      <c r="G238" t="s">
        <v>1566</v>
      </c>
      <c r="H238" t="s">
        <v>344</v>
      </c>
      <c r="I238" s="87">
        <v>4.875</v>
      </c>
      <c r="T238" t="s">
        <v>9</v>
      </c>
      <c r="U238" t="s">
        <v>74</v>
      </c>
      <c r="V238" t="s">
        <v>29</v>
      </c>
      <c r="W238" t="s">
        <v>19</v>
      </c>
      <c r="X238" s="87">
        <v>5.0500000000000007</v>
      </c>
    </row>
    <row r="239" spans="1:24" x14ac:dyDescent="0.3">
      <c r="A239" t="s">
        <v>43</v>
      </c>
      <c r="B239" t="s">
        <v>941</v>
      </c>
      <c r="C239" s="16" t="s">
        <v>272</v>
      </c>
      <c r="D239" s="16">
        <v>3</v>
      </c>
      <c r="E239" t="s">
        <v>1524</v>
      </c>
      <c r="F239" t="s">
        <v>282</v>
      </c>
      <c r="G239" t="s">
        <v>1566</v>
      </c>
      <c r="H239" t="s">
        <v>344</v>
      </c>
      <c r="I239" s="87">
        <v>4.875</v>
      </c>
      <c r="T239" t="s">
        <v>9</v>
      </c>
      <c r="U239" t="s">
        <v>74</v>
      </c>
      <c r="V239" t="s">
        <v>29</v>
      </c>
      <c r="W239" t="s">
        <v>20</v>
      </c>
      <c r="X239" s="87">
        <v>5.0500000000000007</v>
      </c>
    </row>
    <row r="240" spans="1:24" x14ac:dyDescent="0.3">
      <c r="A240" t="s">
        <v>43</v>
      </c>
      <c r="B240" t="s">
        <v>942</v>
      </c>
      <c r="C240" s="16" t="s">
        <v>272</v>
      </c>
      <c r="D240" s="16">
        <v>3</v>
      </c>
      <c r="E240" t="s">
        <v>1524</v>
      </c>
      <c r="F240" t="s">
        <v>282</v>
      </c>
      <c r="G240" t="s">
        <v>1566</v>
      </c>
      <c r="H240" t="s">
        <v>345</v>
      </c>
      <c r="I240" s="87">
        <v>4.8250000000000002</v>
      </c>
      <c r="T240" t="s">
        <v>9</v>
      </c>
      <c r="U240" t="s">
        <v>74</v>
      </c>
      <c r="V240" t="s">
        <v>29</v>
      </c>
      <c r="W240" t="s">
        <v>22</v>
      </c>
      <c r="X240" s="87">
        <v>5.4750000000000005</v>
      </c>
    </row>
    <row r="241" spans="1:24" x14ac:dyDescent="0.3">
      <c r="A241" t="s">
        <v>43</v>
      </c>
      <c r="B241" t="s">
        <v>943</v>
      </c>
      <c r="C241" s="16" t="s">
        <v>272</v>
      </c>
      <c r="D241" s="16">
        <v>3</v>
      </c>
      <c r="E241" t="s">
        <v>1524</v>
      </c>
      <c r="F241" t="s">
        <v>1542</v>
      </c>
      <c r="G241" t="s">
        <v>1567</v>
      </c>
      <c r="H241" t="s">
        <v>345</v>
      </c>
      <c r="I241" s="87">
        <v>5.3000000000000007</v>
      </c>
      <c r="T241" t="s">
        <v>45</v>
      </c>
      <c r="U241" t="s">
        <v>51</v>
      </c>
      <c r="V241" t="s">
        <v>29</v>
      </c>
      <c r="W241" t="s">
        <v>23</v>
      </c>
      <c r="X241" s="87">
        <v>4.9250000000000007</v>
      </c>
    </row>
    <row r="242" spans="1:24" x14ac:dyDescent="0.3">
      <c r="A242" t="s">
        <v>43</v>
      </c>
      <c r="B242" t="s">
        <v>944</v>
      </c>
      <c r="C242" s="16" t="s">
        <v>272</v>
      </c>
      <c r="D242" s="16">
        <v>2</v>
      </c>
      <c r="E242" t="s">
        <v>1524</v>
      </c>
      <c r="F242" t="s">
        <v>1542</v>
      </c>
      <c r="G242" t="s">
        <v>341</v>
      </c>
      <c r="H242" t="s">
        <v>344</v>
      </c>
      <c r="I242" s="87">
        <v>6.28</v>
      </c>
      <c r="T242" t="s">
        <v>45</v>
      </c>
      <c r="U242" t="s">
        <v>51</v>
      </c>
      <c r="V242" t="s">
        <v>29</v>
      </c>
      <c r="W242" t="s">
        <v>25</v>
      </c>
      <c r="X242" s="87">
        <v>5.6749999999999998</v>
      </c>
    </row>
    <row r="243" spans="1:24" x14ac:dyDescent="0.3">
      <c r="A243" t="s">
        <v>43</v>
      </c>
      <c r="B243" t="s">
        <v>945</v>
      </c>
      <c r="C243" s="16" t="s">
        <v>272</v>
      </c>
      <c r="D243" s="16">
        <v>3</v>
      </c>
      <c r="E243" t="s">
        <v>1524</v>
      </c>
      <c r="F243" t="s">
        <v>1542</v>
      </c>
      <c r="G243" t="s">
        <v>1567</v>
      </c>
      <c r="H243" t="s">
        <v>344</v>
      </c>
      <c r="I243" s="87">
        <v>5.3500000000000005</v>
      </c>
      <c r="T243" t="s">
        <v>45</v>
      </c>
      <c r="U243" t="s">
        <v>51</v>
      </c>
      <c r="V243" t="s">
        <v>29</v>
      </c>
      <c r="W243" t="s">
        <v>24</v>
      </c>
      <c r="X243" s="87">
        <v>4.9250000000000007</v>
      </c>
    </row>
    <row r="244" spans="1:24" x14ac:dyDescent="0.3">
      <c r="A244" t="s">
        <v>43</v>
      </c>
      <c r="B244" t="s">
        <v>946</v>
      </c>
      <c r="C244" s="16" t="s">
        <v>272</v>
      </c>
      <c r="D244" s="16">
        <v>3</v>
      </c>
      <c r="E244" t="s">
        <v>1524</v>
      </c>
      <c r="F244" t="s">
        <v>1542</v>
      </c>
      <c r="G244" t="s">
        <v>1567</v>
      </c>
      <c r="H244" t="s">
        <v>344</v>
      </c>
      <c r="I244" s="87">
        <v>5.3500000000000005</v>
      </c>
      <c r="T244" t="s">
        <v>45</v>
      </c>
      <c r="U244" t="s">
        <v>51</v>
      </c>
      <c r="V244" t="s">
        <v>29</v>
      </c>
      <c r="W244" t="s">
        <v>32</v>
      </c>
      <c r="X244" s="87">
        <v>4.9250000000000007</v>
      </c>
    </row>
    <row r="245" spans="1:24" x14ac:dyDescent="0.3">
      <c r="A245" t="s">
        <v>43</v>
      </c>
      <c r="B245" t="s">
        <v>947</v>
      </c>
      <c r="C245" s="16" t="s">
        <v>272</v>
      </c>
      <c r="D245" s="16">
        <v>3</v>
      </c>
      <c r="E245" t="s">
        <v>1524</v>
      </c>
      <c r="F245" t="s">
        <v>1542</v>
      </c>
      <c r="G245" t="s">
        <v>1567</v>
      </c>
      <c r="H245" t="s">
        <v>344</v>
      </c>
      <c r="I245" s="87">
        <v>5.3500000000000005</v>
      </c>
      <c r="T245" t="s">
        <v>45</v>
      </c>
      <c r="U245" t="s">
        <v>51</v>
      </c>
      <c r="V245" t="s">
        <v>29</v>
      </c>
      <c r="W245" t="s">
        <v>30</v>
      </c>
      <c r="X245" s="87">
        <v>4.9250000000000007</v>
      </c>
    </row>
    <row r="246" spans="1:24" x14ac:dyDescent="0.3">
      <c r="A246" t="s">
        <v>43</v>
      </c>
      <c r="B246" t="s">
        <v>948</v>
      </c>
      <c r="C246" s="16" t="s">
        <v>272</v>
      </c>
      <c r="D246" s="16">
        <v>3</v>
      </c>
      <c r="E246" t="s">
        <v>1524</v>
      </c>
      <c r="F246" t="s">
        <v>282</v>
      </c>
      <c r="G246" t="s">
        <v>1567</v>
      </c>
      <c r="H246" t="s">
        <v>344</v>
      </c>
      <c r="I246" s="87">
        <v>4.9250000000000007</v>
      </c>
      <c r="T246" t="s">
        <v>45</v>
      </c>
      <c r="U246" t="s">
        <v>51</v>
      </c>
      <c r="V246" t="s">
        <v>29</v>
      </c>
      <c r="W246" t="s">
        <v>33</v>
      </c>
      <c r="X246" s="87">
        <v>4.9250000000000007</v>
      </c>
    </row>
    <row r="247" spans="1:24" x14ac:dyDescent="0.3">
      <c r="A247" t="s">
        <v>43</v>
      </c>
      <c r="B247" t="s">
        <v>949</v>
      </c>
      <c r="C247" s="16" t="s">
        <v>272</v>
      </c>
      <c r="D247" s="16">
        <v>2</v>
      </c>
      <c r="E247" t="s">
        <v>1524</v>
      </c>
      <c r="F247" t="s">
        <v>282</v>
      </c>
      <c r="G247" t="s">
        <v>341</v>
      </c>
      <c r="H247" t="s">
        <v>345</v>
      </c>
      <c r="I247" s="87">
        <v>5.8049999999999997</v>
      </c>
      <c r="T247" t="s">
        <v>45</v>
      </c>
      <c r="U247" t="s">
        <v>51</v>
      </c>
      <c r="V247" t="s">
        <v>29</v>
      </c>
      <c r="W247" t="s">
        <v>26</v>
      </c>
      <c r="X247" s="87">
        <v>5.6749999999999998</v>
      </c>
    </row>
    <row r="248" spans="1:24" x14ac:dyDescent="0.3">
      <c r="A248" t="s">
        <v>43</v>
      </c>
      <c r="B248" t="s">
        <v>950</v>
      </c>
      <c r="C248" s="16" t="s">
        <v>272</v>
      </c>
      <c r="D248" s="16">
        <v>2</v>
      </c>
      <c r="E248" t="s">
        <v>1524</v>
      </c>
      <c r="F248" t="s">
        <v>282</v>
      </c>
      <c r="G248" t="s">
        <v>341</v>
      </c>
      <c r="H248" t="s">
        <v>344</v>
      </c>
      <c r="I248" s="87">
        <v>5.8550000000000004</v>
      </c>
      <c r="T248" t="s">
        <v>45</v>
      </c>
      <c r="U248" t="s">
        <v>51</v>
      </c>
      <c r="V248" t="s">
        <v>29</v>
      </c>
      <c r="W248" t="s">
        <v>31</v>
      </c>
      <c r="X248" s="87">
        <v>4.9250000000000007</v>
      </c>
    </row>
    <row r="249" spans="1:24" x14ac:dyDescent="0.3">
      <c r="A249" t="s">
        <v>43</v>
      </c>
      <c r="B249" t="s">
        <v>951</v>
      </c>
      <c r="C249" s="16" t="s">
        <v>272</v>
      </c>
      <c r="D249" s="16">
        <v>3</v>
      </c>
      <c r="E249" t="s">
        <v>1525</v>
      </c>
      <c r="F249" t="s">
        <v>283</v>
      </c>
      <c r="G249" t="s">
        <v>1567</v>
      </c>
      <c r="H249" t="s">
        <v>344</v>
      </c>
      <c r="I249" s="87">
        <v>6.7500000000000009</v>
      </c>
      <c r="T249" t="s">
        <v>45</v>
      </c>
      <c r="U249" t="s">
        <v>51</v>
      </c>
      <c r="V249" t="s">
        <v>29</v>
      </c>
      <c r="W249" t="s">
        <v>27</v>
      </c>
      <c r="X249" s="87">
        <v>5.9</v>
      </c>
    </row>
    <row r="250" spans="1:24" x14ac:dyDescent="0.3">
      <c r="A250" t="s">
        <v>43</v>
      </c>
      <c r="B250" t="s">
        <v>952</v>
      </c>
      <c r="C250" s="16" t="s">
        <v>272</v>
      </c>
      <c r="D250" s="16">
        <v>2</v>
      </c>
      <c r="E250" t="s">
        <v>1524</v>
      </c>
      <c r="F250" t="s">
        <v>282</v>
      </c>
      <c r="G250" t="s">
        <v>341</v>
      </c>
      <c r="H250" t="s">
        <v>345</v>
      </c>
      <c r="I250" s="87">
        <v>5.8049999999999997</v>
      </c>
      <c r="T250" t="s">
        <v>45</v>
      </c>
      <c r="U250" t="s">
        <v>51</v>
      </c>
      <c r="V250" t="s">
        <v>29</v>
      </c>
      <c r="W250" t="s">
        <v>28</v>
      </c>
      <c r="X250" s="87">
        <v>6.3000000000000007</v>
      </c>
    </row>
    <row r="251" spans="1:24" x14ac:dyDescent="0.3">
      <c r="A251" t="s">
        <v>43</v>
      </c>
      <c r="B251" t="s">
        <v>953</v>
      </c>
      <c r="C251" s="16" t="s">
        <v>272</v>
      </c>
      <c r="D251" s="16">
        <v>2</v>
      </c>
      <c r="E251" t="s">
        <v>1524</v>
      </c>
      <c r="F251" t="s">
        <v>282</v>
      </c>
      <c r="G251" t="s">
        <v>341</v>
      </c>
      <c r="H251" t="s">
        <v>345</v>
      </c>
      <c r="I251" s="87">
        <v>5.8049999999999997</v>
      </c>
      <c r="T251" t="s">
        <v>9</v>
      </c>
      <c r="U251" t="s">
        <v>70</v>
      </c>
      <c r="V251" t="s">
        <v>29</v>
      </c>
      <c r="W251" t="s">
        <v>15</v>
      </c>
      <c r="X251" s="87">
        <v>5.75</v>
      </c>
    </row>
    <row r="252" spans="1:24" x14ac:dyDescent="0.3">
      <c r="A252" t="s">
        <v>43</v>
      </c>
      <c r="B252" t="s">
        <v>954</v>
      </c>
      <c r="C252" s="16" t="s">
        <v>272</v>
      </c>
      <c r="D252" s="16">
        <v>2</v>
      </c>
      <c r="E252" t="s">
        <v>1524</v>
      </c>
      <c r="F252" t="s">
        <v>282</v>
      </c>
      <c r="G252" t="s">
        <v>341</v>
      </c>
      <c r="H252" t="s">
        <v>345</v>
      </c>
      <c r="I252" s="87">
        <v>5.8049999999999997</v>
      </c>
      <c r="T252" t="s">
        <v>9</v>
      </c>
      <c r="U252" t="s">
        <v>70</v>
      </c>
      <c r="V252" t="s">
        <v>29</v>
      </c>
      <c r="W252" t="s">
        <v>21</v>
      </c>
      <c r="X252" s="87">
        <v>5.4250000000000007</v>
      </c>
    </row>
    <row r="253" spans="1:24" x14ac:dyDescent="0.3">
      <c r="A253" t="s">
        <v>43</v>
      </c>
      <c r="B253" t="s">
        <v>955</v>
      </c>
      <c r="C253" s="16" t="s">
        <v>272</v>
      </c>
      <c r="D253" s="16">
        <v>2</v>
      </c>
      <c r="E253" t="s">
        <v>1524</v>
      </c>
      <c r="F253" t="s">
        <v>282</v>
      </c>
      <c r="G253" t="s">
        <v>341</v>
      </c>
      <c r="H253" t="s">
        <v>345</v>
      </c>
      <c r="I253" s="87">
        <v>5.8049999999999997</v>
      </c>
      <c r="T253" t="s">
        <v>9</v>
      </c>
      <c r="U253" t="s">
        <v>70</v>
      </c>
      <c r="V253" t="s">
        <v>29</v>
      </c>
      <c r="W253" t="s">
        <v>19</v>
      </c>
      <c r="X253" s="87">
        <v>5.8550000000000004</v>
      </c>
    </row>
    <row r="254" spans="1:24" x14ac:dyDescent="0.3">
      <c r="A254" t="s">
        <v>43</v>
      </c>
      <c r="B254" t="s">
        <v>956</v>
      </c>
      <c r="C254" s="16" t="s">
        <v>272</v>
      </c>
      <c r="D254" s="16">
        <v>3</v>
      </c>
      <c r="E254" t="s">
        <v>1524</v>
      </c>
      <c r="F254" t="s">
        <v>282</v>
      </c>
      <c r="G254" t="s">
        <v>1567</v>
      </c>
      <c r="H254" t="s">
        <v>345</v>
      </c>
      <c r="I254" s="87">
        <v>4.875</v>
      </c>
      <c r="T254" t="s">
        <v>9</v>
      </c>
      <c r="U254" t="s">
        <v>70</v>
      </c>
      <c r="V254" t="s">
        <v>29</v>
      </c>
      <c r="W254" t="s">
        <v>17</v>
      </c>
      <c r="X254" s="87">
        <v>5.085</v>
      </c>
    </row>
    <row r="255" spans="1:24" x14ac:dyDescent="0.3">
      <c r="A255" t="s">
        <v>43</v>
      </c>
      <c r="B255" t="s">
        <v>957</v>
      </c>
      <c r="C255" s="16" t="s">
        <v>272</v>
      </c>
      <c r="D255" s="16">
        <v>3</v>
      </c>
      <c r="E255" t="s">
        <v>1525</v>
      </c>
      <c r="F255" t="s">
        <v>283</v>
      </c>
      <c r="G255" t="s">
        <v>1567</v>
      </c>
      <c r="H255" t="s">
        <v>344</v>
      </c>
      <c r="I255" s="87">
        <v>6.7500000000000009</v>
      </c>
      <c r="T255" t="s">
        <v>9</v>
      </c>
      <c r="U255" t="s">
        <v>70</v>
      </c>
      <c r="V255" t="s">
        <v>29</v>
      </c>
      <c r="W255" t="s">
        <v>16</v>
      </c>
      <c r="X255" s="87">
        <v>5.085</v>
      </c>
    </row>
    <row r="256" spans="1:24" x14ac:dyDescent="0.3">
      <c r="A256" t="s">
        <v>43</v>
      </c>
      <c r="B256" t="s">
        <v>958</v>
      </c>
      <c r="C256" s="16" t="s">
        <v>272</v>
      </c>
      <c r="D256" s="16">
        <v>3</v>
      </c>
      <c r="E256" t="s">
        <v>1524</v>
      </c>
      <c r="F256" t="s">
        <v>282</v>
      </c>
      <c r="G256" t="s">
        <v>341</v>
      </c>
      <c r="H256" t="s">
        <v>345</v>
      </c>
      <c r="I256" s="87">
        <v>5.0350000000000001</v>
      </c>
      <c r="T256" t="s">
        <v>9</v>
      </c>
      <c r="U256" t="s">
        <v>70</v>
      </c>
      <c r="V256" t="s">
        <v>29</v>
      </c>
      <c r="W256" t="s">
        <v>20</v>
      </c>
      <c r="X256" s="87">
        <v>5.4</v>
      </c>
    </row>
    <row r="257" spans="1:24" x14ac:dyDescent="0.3">
      <c r="A257" t="s">
        <v>43</v>
      </c>
      <c r="B257" t="s">
        <v>959</v>
      </c>
      <c r="C257" s="16" t="s">
        <v>272</v>
      </c>
      <c r="D257" s="16">
        <v>3</v>
      </c>
      <c r="E257" t="s">
        <v>1525</v>
      </c>
      <c r="F257" t="s">
        <v>283</v>
      </c>
      <c r="G257" t="s">
        <v>1567</v>
      </c>
      <c r="H257" t="s">
        <v>345</v>
      </c>
      <c r="I257" s="87">
        <v>6.7000000000000011</v>
      </c>
      <c r="T257" t="s">
        <v>9</v>
      </c>
      <c r="U257" t="s">
        <v>70</v>
      </c>
      <c r="V257" t="s">
        <v>29</v>
      </c>
      <c r="W257" t="s">
        <v>22</v>
      </c>
      <c r="X257" s="87">
        <v>4.9250000000000007</v>
      </c>
    </row>
    <row r="258" spans="1:24" x14ac:dyDescent="0.3">
      <c r="A258" t="s">
        <v>43</v>
      </c>
      <c r="B258" t="s">
        <v>960</v>
      </c>
      <c r="C258" s="16" t="s">
        <v>272</v>
      </c>
      <c r="D258" s="16">
        <v>3</v>
      </c>
      <c r="E258" t="s">
        <v>1525</v>
      </c>
      <c r="F258" t="s">
        <v>283</v>
      </c>
      <c r="G258" t="s">
        <v>1567</v>
      </c>
      <c r="H258" t="s">
        <v>344</v>
      </c>
      <c r="I258" s="87">
        <v>6.7500000000000009</v>
      </c>
    </row>
    <row r="259" spans="1:24" x14ac:dyDescent="0.3">
      <c r="A259" t="s">
        <v>43</v>
      </c>
      <c r="B259" t="s">
        <v>961</v>
      </c>
      <c r="C259" s="16" t="s">
        <v>272</v>
      </c>
      <c r="D259" s="16">
        <v>3</v>
      </c>
      <c r="E259" t="s">
        <v>1525</v>
      </c>
      <c r="F259" t="s">
        <v>283</v>
      </c>
      <c r="G259" t="s">
        <v>1567</v>
      </c>
      <c r="H259" t="s">
        <v>344</v>
      </c>
      <c r="I259" s="87">
        <v>6.7500000000000009</v>
      </c>
    </row>
    <row r="260" spans="1:24" x14ac:dyDescent="0.3">
      <c r="A260" t="s">
        <v>43</v>
      </c>
      <c r="B260" t="s">
        <v>962</v>
      </c>
      <c r="C260" s="16" t="s">
        <v>272</v>
      </c>
      <c r="D260" s="16">
        <v>3</v>
      </c>
      <c r="E260" t="s">
        <v>1524</v>
      </c>
      <c r="F260" t="s">
        <v>1537</v>
      </c>
      <c r="G260" t="s">
        <v>1566</v>
      </c>
      <c r="H260" t="s">
        <v>1572</v>
      </c>
      <c r="I260" s="87">
        <v>5.8000000000000007</v>
      </c>
    </row>
    <row r="261" spans="1:24" x14ac:dyDescent="0.3">
      <c r="A261" t="s">
        <v>43</v>
      </c>
      <c r="B261" t="s">
        <v>963</v>
      </c>
      <c r="C261" s="16" t="s">
        <v>272</v>
      </c>
      <c r="D261" s="16">
        <v>3</v>
      </c>
      <c r="E261" t="s">
        <v>1524</v>
      </c>
      <c r="F261" t="s">
        <v>1557</v>
      </c>
      <c r="G261" t="s">
        <v>1566</v>
      </c>
      <c r="H261" t="s">
        <v>1573</v>
      </c>
      <c r="I261" s="87">
        <v>5.9749999999999996</v>
      </c>
    </row>
    <row r="262" spans="1:24" x14ac:dyDescent="0.3">
      <c r="A262" t="s">
        <v>43</v>
      </c>
      <c r="B262" t="s">
        <v>964</v>
      </c>
      <c r="C262" s="16" t="s">
        <v>272</v>
      </c>
      <c r="D262" s="16">
        <v>3</v>
      </c>
      <c r="E262" t="s">
        <v>1524</v>
      </c>
      <c r="F262" t="s">
        <v>1557</v>
      </c>
      <c r="G262" t="s">
        <v>1566</v>
      </c>
      <c r="H262" t="s">
        <v>344</v>
      </c>
      <c r="I262" s="87">
        <v>5.375</v>
      </c>
    </row>
    <row r="263" spans="1:24" x14ac:dyDescent="0.3">
      <c r="A263" t="s">
        <v>43</v>
      </c>
      <c r="B263" t="s">
        <v>965</v>
      </c>
      <c r="C263" s="16" t="s">
        <v>272</v>
      </c>
      <c r="D263" s="16">
        <v>3</v>
      </c>
      <c r="E263" t="s">
        <v>1524</v>
      </c>
      <c r="F263" t="s">
        <v>1557</v>
      </c>
      <c r="G263" t="s">
        <v>1566</v>
      </c>
      <c r="H263" t="s">
        <v>345</v>
      </c>
      <c r="I263" s="87">
        <v>5.3249999999999993</v>
      </c>
    </row>
    <row r="264" spans="1:24" x14ac:dyDescent="0.3">
      <c r="A264" t="s">
        <v>43</v>
      </c>
      <c r="B264" t="s">
        <v>966</v>
      </c>
      <c r="C264" s="16" t="s">
        <v>272</v>
      </c>
      <c r="D264" s="16">
        <v>2</v>
      </c>
      <c r="E264" t="s">
        <v>1524</v>
      </c>
      <c r="F264" t="s">
        <v>1537</v>
      </c>
      <c r="G264" t="s">
        <v>341</v>
      </c>
      <c r="H264" t="s">
        <v>1571</v>
      </c>
      <c r="I264" s="87">
        <v>6.7050000000000001</v>
      </c>
    </row>
    <row r="265" spans="1:24" x14ac:dyDescent="0.3">
      <c r="A265" t="s">
        <v>43</v>
      </c>
      <c r="B265" t="s">
        <v>967</v>
      </c>
      <c r="C265" s="16" t="s">
        <v>272</v>
      </c>
      <c r="D265" s="16">
        <v>2</v>
      </c>
      <c r="E265" t="s">
        <v>1524</v>
      </c>
      <c r="F265" t="s">
        <v>1537</v>
      </c>
      <c r="G265" t="s">
        <v>341</v>
      </c>
      <c r="H265" t="s">
        <v>1571</v>
      </c>
      <c r="I265" s="87">
        <v>6.7050000000000001</v>
      </c>
    </row>
    <row r="266" spans="1:24" x14ac:dyDescent="0.3">
      <c r="A266" t="s">
        <v>45</v>
      </c>
      <c r="B266" t="s">
        <v>968</v>
      </c>
      <c r="C266" s="16" t="s">
        <v>272</v>
      </c>
      <c r="D266" s="16">
        <v>3</v>
      </c>
      <c r="E266" t="s">
        <v>1524</v>
      </c>
      <c r="F266" t="s">
        <v>1542</v>
      </c>
      <c r="G266" t="s">
        <v>1567</v>
      </c>
      <c r="H266" t="s">
        <v>344</v>
      </c>
      <c r="I266" s="87">
        <v>5.3500000000000005</v>
      </c>
    </row>
    <row r="267" spans="1:24" x14ac:dyDescent="0.3">
      <c r="A267" t="s">
        <v>45</v>
      </c>
      <c r="B267" t="s">
        <v>969</v>
      </c>
      <c r="C267" s="16" t="s">
        <v>272</v>
      </c>
      <c r="D267" s="16">
        <v>2</v>
      </c>
      <c r="E267" t="s">
        <v>1525</v>
      </c>
      <c r="F267" t="s">
        <v>1658</v>
      </c>
      <c r="G267" t="s">
        <v>1567</v>
      </c>
      <c r="H267" t="s">
        <v>344</v>
      </c>
      <c r="I267" s="87">
        <v>7.6700000000000008</v>
      </c>
    </row>
    <row r="268" spans="1:24" x14ac:dyDescent="0.3">
      <c r="A268" t="s">
        <v>45</v>
      </c>
      <c r="B268" t="s">
        <v>970</v>
      </c>
      <c r="C268" s="16" t="s">
        <v>272</v>
      </c>
      <c r="D268" s="16">
        <v>2</v>
      </c>
      <c r="E268" t="s">
        <v>1525</v>
      </c>
      <c r="F268" t="s">
        <v>1658</v>
      </c>
      <c r="G268" t="s">
        <v>1656</v>
      </c>
      <c r="H268" t="s">
        <v>291</v>
      </c>
      <c r="I268" s="87">
        <v>8.15</v>
      </c>
    </row>
    <row r="269" spans="1:24" x14ac:dyDescent="0.3">
      <c r="A269" t="s">
        <v>45</v>
      </c>
      <c r="B269" t="s">
        <v>971</v>
      </c>
      <c r="C269" s="16" t="s">
        <v>272</v>
      </c>
      <c r="D269" s="16">
        <v>3</v>
      </c>
      <c r="E269" t="s">
        <v>1524</v>
      </c>
      <c r="F269" t="s">
        <v>1537</v>
      </c>
      <c r="G269" t="s">
        <v>1567</v>
      </c>
      <c r="H269" t="s">
        <v>1570</v>
      </c>
      <c r="I269" s="87">
        <v>5.75</v>
      </c>
    </row>
    <row r="270" spans="1:24" x14ac:dyDescent="0.3">
      <c r="A270" t="s">
        <v>45</v>
      </c>
      <c r="B270" t="s">
        <v>972</v>
      </c>
      <c r="C270" s="16" t="s">
        <v>272</v>
      </c>
      <c r="D270" s="16">
        <v>3</v>
      </c>
      <c r="E270" t="s">
        <v>1524</v>
      </c>
      <c r="F270" t="s">
        <v>1537</v>
      </c>
      <c r="G270" t="s">
        <v>1567</v>
      </c>
      <c r="H270" t="s">
        <v>344</v>
      </c>
      <c r="I270" s="87">
        <v>5.2250000000000005</v>
      </c>
    </row>
    <row r="271" spans="1:24" x14ac:dyDescent="0.3">
      <c r="A271" t="s">
        <v>45</v>
      </c>
      <c r="B271" t="s">
        <v>973</v>
      </c>
      <c r="C271" s="16" t="s">
        <v>272</v>
      </c>
      <c r="D271" s="16">
        <v>3</v>
      </c>
      <c r="E271" t="s">
        <v>1524</v>
      </c>
      <c r="F271" t="s">
        <v>1537</v>
      </c>
      <c r="G271" t="s">
        <v>1567</v>
      </c>
      <c r="H271" t="s">
        <v>344</v>
      </c>
      <c r="I271" s="87">
        <v>5.2250000000000005</v>
      </c>
    </row>
    <row r="272" spans="1:24" x14ac:dyDescent="0.3">
      <c r="A272" t="s">
        <v>45</v>
      </c>
      <c r="B272" t="s">
        <v>974</v>
      </c>
      <c r="C272" s="16" t="s">
        <v>272</v>
      </c>
      <c r="D272" s="16">
        <v>3</v>
      </c>
      <c r="E272" t="s">
        <v>1524</v>
      </c>
      <c r="F272" t="s">
        <v>282</v>
      </c>
      <c r="G272" t="s">
        <v>1656</v>
      </c>
      <c r="H272" t="s">
        <v>291</v>
      </c>
      <c r="I272" s="87">
        <v>5.4050000000000002</v>
      </c>
    </row>
    <row r="273" spans="1:9" x14ac:dyDescent="0.3">
      <c r="A273" t="s">
        <v>45</v>
      </c>
      <c r="B273" t="s">
        <v>975</v>
      </c>
      <c r="C273" s="16" t="s">
        <v>272</v>
      </c>
      <c r="D273" s="16">
        <v>3</v>
      </c>
      <c r="E273" t="s">
        <v>1524</v>
      </c>
      <c r="F273" t="s">
        <v>1537</v>
      </c>
      <c r="G273" t="s">
        <v>1567</v>
      </c>
      <c r="H273" t="s">
        <v>344</v>
      </c>
      <c r="I273" s="87">
        <v>5.2250000000000005</v>
      </c>
    </row>
    <row r="274" spans="1:9" x14ac:dyDescent="0.3">
      <c r="A274" t="s">
        <v>45</v>
      </c>
      <c r="B274" t="s">
        <v>976</v>
      </c>
      <c r="C274" s="16" t="s">
        <v>272</v>
      </c>
      <c r="D274" s="16">
        <v>3</v>
      </c>
      <c r="E274" t="s">
        <v>1524</v>
      </c>
      <c r="F274" t="s">
        <v>1537</v>
      </c>
      <c r="G274" t="s">
        <v>1567</v>
      </c>
      <c r="H274" t="s">
        <v>344</v>
      </c>
      <c r="I274" s="87">
        <v>5.2250000000000005</v>
      </c>
    </row>
    <row r="275" spans="1:9" x14ac:dyDescent="0.3">
      <c r="A275" t="s">
        <v>45</v>
      </c>
      <c r="B275" t="s">
        <v>977</v>
      </c>
      <c r="C275" s="16" t="s">
        <v>272</v>
      </c>
      <c r="D275" s="16">
        <v>3</v>
      </c>
      <c r="E275" t="s">
        <v>1524</v>
      </c>
      <c r="F275" t="s">
        <v>1537</v>
      </c>
      <c r="G275" t="s">
        <v>1567</v>
      </c>
      <c r="H275" t="s">
        <v>344</v>
      </c>
      <c r="I275" s="87">
        <v>5.2250000000000005</v>
      </c>
    </row>
    <row r="276" spans="1:9" x14ac:dyDescent="0.3">
      <c r="A276" t="s">
        <v>45</v>
      </c>
      <c r="B276" t="s">
        <v>978</v>
      </c>
      <c r="C276" s="16" t="s">
        <v>272</v>
      </c>
      <c r="D276" s="16">
        <v>3</v>
      </c>
      <c r="E276" t="s">
        <v>1524</v>
      </c>
      <c r="F276" t="s">
        <v>1535</v>
      </c>
      <c r="G276" t="s">
        <v>1567</v>
      </c>
      <c r="H276" t="s">
        <v>344</v>
      </c>
      <c r="I276" s="87">
        <v>5.375</v>
      </c>
    </row>
    <row r="277" spans="1:9" x14ac:dyDescent="0.3">
      <c r="A277" t="s">
        <v>45</v>
      </c>
      <c r="B277" t="s">
        <v>979</v>
      </c>
      <c r="C277" s="16" t="s">
        <v>272</v>
      </c>
      <c r="D277" s="16">
        <v>3</v>
      </c>
      <c r="E277" t="s">
        <v>1524</v>
      </c>
      <c r="F277" t="s">
        <v>1542</v>
      </c>
      <c r="G277" t="s">
        <v>1567</v>
      </c>
      <c r="H277" t="s">
        <v>344</v>
      </c>
      <c r="I277" s="87">
        <v>5.3500000000000005</v>
      </c>
    </row>
    <row r="278" spans="1:9" x14ac:dyDescent="0.3">
      <c r="A278" t="s">
        <v>45</v>
      </c>
      <c r="B278" t="s">
        <v>980</v>
      </c>
      <c r="C278" s="16" t="s">
        <v>272</v>
      </c>
      <c r="D278" s="16">
        <v>3</v>
      </c>
      <c r="E278" t="s">
        <v>1524</v>
      </c>
      <c r="F278" t="s">
        <v>1535</v>
      </c>
      <c r="G278" t="s">
        <v>1567</v>
      </c>
      <c r="H278" t="s">
        <v>344</v>
      </c>
      <c r="I278" s="87">
        <v>5.375</v>
      </c>
    </row>
    <row r="279" spans="1:9" x14ac:dyDescent="0.3">
      <c r="A279" t="s">
        <v>45</v>
      </c>
      <c r="B279" t="s">
        <v>981</v>
      </c>
      <c r="C279" s="16" t="s">
        <v>272</v>
      </c>
      <c r="D279" s="16">
        <v>3</v>
      </c>
      <c r="E279" t="s">
        <v>1524</v>
      </c>
      <c r="F279" t="s">
        <v>1534</v>
      </c>
      <c r="G279" t="s">
        <v>1567</v>
      </c>
      <c r="H279" t="s">
        <v>344</v>
      </c>
      <c r="I279" s="87">
        <v>5.45</v>
      </c>
    </row>
    <row r="280" spans="1:9" x14ac:dyDescent="0.3">
      <c r="A280" t="s">
        <v>45</v>
      </c>
      <c r="B280" t="s">
        <v>982</v>
      </c>
      <c r="C280" s="16" t="s">
        <v>272</v>
      </c>
      <c r="D280" s="16">
        <v>3</v>
      </c>
      <c r="E280" t="s">
        <v>1524</v>
      </c>
      <c r="F280" t="s">
        <v>1534</v>
      </c>
      <c r="G280" t="s">
        <v>1567</v>
      </c>
      <c r="H280" t="s">
        <v>1570</v>
      </c>
      <c r="I280" s="87">
        <v>5.9749999999999996</v>
      </c>
    </row>
    <row r="281" spans="1:9" x14ac:dyDescent="0.3">
      <c r="A281" t="s">
        <v>45</v>
      </c>
      <c r="B281" t="s">
        <v>983</v>
      </c>
      <c r="C281" s="16" t="s">
        <v>272</v>
      </c>
      <c r="D281" s="16">
        <v>3</v>
      </c>
      <c r="E281" t="s">
        <v>1524</v>
      </c>
      <c r="F281" t="s">
        <v>1542</v>
      </c>
      <c r="G281" t="s">
        <v>1567</v>
      </c>
      <c r="H281" t="s">
        <v>344</v>
      </c>
      <c r="I281" s="87">
        <v>5.3500000000000005</v>
      </c>
    </row>
    <row r="282" spans="1:9" x14ac:dyDescent="0.3">
      <c r="A282" t="s">
        <v>45</v>
      </c>
      <c r="B282" t="s">
        <v>984</v>
      </c>
      <c r="C282" s="16" t="s">
        <v>272</v>
      </c>
      <c r="D282" s="16">
        <v>3</v>
      </c>
      <c r="E282" t="s">
        <v>1524</v>
      </c>
      <c r="F282" t="s">
        <v>1535</v>
      </c>
      <c r="G282" t="s">
        <v>1567</v>
      </c>
      <c r="H282" t="s">
        <v>344</v>
      </c>
      <c r="I282" s="87">
        <v>5.375</v>
      </c>
    </row>
    <row r="283" spans="1:9" x14ac:dyDescent="0.3">
      <c r="A283" t="s">
        <v>45</v>
      </c>
      <c r="B283" t="s">
        <v>985</v>
      </c>
      <c r="C283" s="16" t="s">
        <v>272</v>
      </c>
      <c r="D283" s="16">
        <v>3</v>
      </c>
      <c r="E283" t="s">
        <v>1524</v>
      </c>
      <c r="F283" t="s">
        <v>1535</v>
      </c>
      <c r="G283" t="s">
        <v>1567</v>
      </c>
      <c r="H283" t="s">
        <v>344</v>
      </c>
      <c r="I283" s="87">
        <v>5.375</v>
      </c>
    </row>
    <row r="284" spans="1:9" x14ac:dyDescent="0.3">
      <c r="A284" t="s">
        <v>9</v>
      </c>
      <c r="B284" t="s">
        <v>986</v>
      </c>
      <c r="C284" s="16" t="s">
        <v>272</v>
      </c>
      <c r="D284" s="16">
        <v>3</v>
      </c>
      <c r="E284" t="s">
        <v>1524</v>
      </c>
      <c r="F284" t="s">
        <v>1658</v>
      </c>
      <c r="G284" t="s">
        <v>1567</v>
      </c>
      <c r="H284" t="s">
        <v>347</v>
      </c>
      <c r="I284" s="87">
        <v>6.1</v>
      </c>
    </row>
    <row r="285" spans="1:9" x14ac:dyDescent="0.3">
      <c r="A285" t="s">
        <v>9</v>
      </c>
      <c r="B285" t="s">
        <v>987</v>
      </c>
      <c r="C285" s="16" t="s">
        <v>272</v>
      </c>
      <c r="D285" s="16">
        <v>3</v>
      </c>
      <c r="E285" t="s">
        <v>1524</v>
      </c>
      <c r="F285" t="s">
        <v>1658</v>
      </c>
      <c r="G285" t="s">
        <v>1567</v>
      </c>
      <c r="H285" t="s">
        <v>347</v>
      </c>
      <c r="I285" s="87">
        <v>6.1</v>
      </c>
    </row>
    <row r="286" spans="1:9" x14ac:dyDescent="0.3">
      <c r="A286" t="s">
        <v>9</v>
      </c>
      <c r="B286" t="s">
        <v>988</v>
      </c>
      <c r="C286" s="16" t="s">
        <v>272</v>
      </c>
      <c r="D286" s="16">
        <v>3</v>
      </c>
      <c r="E286" t="s">
        <v>1524</v>
      </c>
      <c r="F286" t="s">
        <v>1533</v>
      </c>
      <c r="G286" t="s">
        <v>1567</v>
      </c>
      <c r="H286" t="s">
        <v>347</v>
      </c>
      <c r="I286" s="87">
        <v>6.0750000000000002</v>
      </c>
    </row>
    <row r="287" spans="1:9" x14ac:dyDescent="0.3">
      <c r="A287" t="s">
        <v>9</v>
      </c>
      <c r="B287" t="s">
        <v>989</v>
      </c>
      <c r="C287" s="16" t="s">
        <v>272</v>
      </c>
      <c r="D287" s="16">
        <v>3</v>
      </c>
      <c r="E287" t="s">
        <v>1524</v>
      </c>
      <c r="F287" t="s">
        <v>1658</v>
      </c>
      <c r="G287" t="s">
        <v>341</v>
      </c>
      <c r="H287" t="s">
        <v>1572</v>
      </c>
      <c r="I287" s="87">
        <v>6.2850000000000001</v>
      </c>
    </row>
    <row r="288" spans="1:9" x14ac:dyDescent="0.3">
      <c r="A288" t="s">
        <v>9</v>
      </c>
      <c r="B288" t="s">
        <v>990</v>
      </c>
      <c r="C288" s="16" t="s">
        <v>272</v>
      </c>
      <c r="D288" s="16">
        <v>2</v>
      </c>
      <c r="E288" t="s">
        <v>1524</v>
      </c>
      <c r="F288" t="s">
        <v>1547</v>
      </c>
      <c r="G288" t="s">
        <v>341</v>
      </c>
      <c r="H288" t="s">
        <v>345</v>
      </c>
      <c r="I288" s="87">
        <v>6.23</v>
      </c>
    </row>
    <row r="289" spans="1:9" x14ac:dyDescent="0.3">
      <c r="A289" t="s">
        <v>9</v>
      </c>
      <c r="B289" t="s">
        <v>991</v>
      </c>
      <c r="C289" s="16" t="s">
        <v>272</v>
      </c>
      <c r="D289" s="16">
        <v>3</v>
      </c>
      <c r="E289" t="s">
        <v>1524</v>
      </c>
      <c r="F289" t="s">
        <v>1547</v>
      </c>
      <c r="G289" t="s">
        <v>341</v>
      </c>
      <c r="H289" t="s">
        <v>345</v>
      </c>
      <c r="I289" s="87">
        <v>5.46</v>
      </c>
    </row>
    <row r="290" spans="1:9" x14ac:dyDescent="0.3">
      <c r="A290" t="s">
        <v>43</v>
      </c>
      <c r="B290" t="s">
        <v>992</v>
      </c>
      <c r="C290" s="16" t="s">
        <v>272</v>
      </c>
      <c r="D290" s="16">
        <v>3</v>
      </c>
      <c r="E290" t="s">
        <v>1524</v>
      </c>
      <c r="F290" t="s">
        <v>1562</v>
      </c>
      <c r="G290" t="s">
        <v>1567</v>
      </c>
      <c r="H290" t="s">
        <v>1574</v>
      </c>
      <c r="I290" s="87">
        <v>6</v>
      </c>
    </row>
    <row r="291" spans="1:9" x14ac:dyDescent="0.3">
      <c r="A291" t="s">
        <v>43</v>
      </c>
      <c r="B291" t="s">
        <v>993</v>
      </c>
      <c r="C291" s="16" t="s">
        <v>272</v>
      </c>
      <c r="D291" s="16">
        <v>3</v>
      </c>
      <c r="E291" t="s">
        <v>1524</v>
      </c>
      <c r="F291" t="s">
        <v>1562</v>
      </c>
      <c r="G291" t="s">
        <v>1567</v>
      </c>
      <c r="H291" t="s">
        <v>1574</v>
      </c>
      <c r="I291" s="87">
        <v>6</v>
      </c>
    </row>
    <row r="292" spans="1:9" x14ac:dyDescent="0.3">
      <c r="A292" t="s">
        <v>43</v>
      </c>
      <c r="B292" t="s">
        <v>994</v>
      </c>
      <c r="C292" s="16" t="s">
        <v>272</v>
      </c>
      <c r="D292" s="16">
        <v>3</v>
      </c>
      <c r="E292" t="s">
        <v>1524</v>
      </c>
      <c r="F292" t="s">
        <v>1562</v>
      </c>
      <c r="G292" t="s">
        <v>1567</v>
      </c>
      <c r="H292" t="s">
        <v>1574</v>
      </c>
      <c r="I292" s="87">
        <v>6</v>
      </c>
    </row>
    <row r="293" spans="1:9" x14ac:dyDescent="0.3">
      <c r="A293" t="s">
        <v>43</v>
      </c>
      <c r="B293" t="s">
        <v>995</v>
      </c>
      <c r="C293" s="16" t="s">
        <v>272</v>
      </c>
      <c r="D293" s="16">
        <v>3</v>
      </c>
      <c r="E293" t="s">
        <v>1524</v>
      </c>
      <c r="F293" t="s">
        <v>1562</v>
      </c>
      <c r="G293" t="s">
        <v>1567</v>
      </c>
      <c r="H293" t="s">
        <v>1574</v>
      </c>
      <c r="I293" s="87">
        <v>6</v>
      </c>
    </row>
    <row r="294" spans="1:9" x14ac:dyDescent="0.3">
      <c r="A294" t="s">
        <v>43</v>
      </c>
      <c r="B294" t="s">
        <v>996</v>
      </c>
      <c r="C294" s="16" t="s">
        <v>272</v>
      </c>
      <c r="D294" s="16">
        <v>3</v>
      </c>
      <c r="E294" t="s">
        <v>1524</v>
      </c>
      <c r="F294" t="s">
        <v>1562</v>
      </c>
      <c r="G294" t="s">
        <v>1567</v>
      </c>
      <c r="H294" t="s">
        <v>1574</v>
      </c>
      <c r="I294" s="87">
        <v>6</v>
      </c>
    </row>
    <row r="295" spans="1:9" x14ac:dyDescent="0.3">
      <c r="A295" t="s">
        <v>43</v>
      </c>
      <c r="B295" t="s">
        <v>997</v>
      </c>
      <c r="C295" s="16" t="s">
        <v>272</v>
      </c>
      <c r="D295" s="16">
        <v>3</v>
      </c>
      <c r="E295" t="s">
        <v>1524</v>
      </c>
      <c r="F295" t="s">
        <v>1562</v>
      </c>
      <c r="G295" t="s">
        <v>1567</v>
      </c>
      <c r="H295" t="s">
        <v>1574</v>
      </c>
      <c r="I295" s="87">
        <v>6</v>
      </c>
    </row>
    <row r="296" spans="1:9" x14ac:dyDescent="0.3">
      <c r="A296" t="s">
        <v>43</v>
      </c>
      <c r="B296" t="s">
        <v>998</v>
      </c>
      <c r="C296" s="16" t="s">
        <v>272</v>
      </c>
      <c r="D296" s="16">
        <v>3</v>
      </c>
      <c r="E296" t="s">
        <v>1524</v>
      </c>
      <c r="F296" t="s">
        <v>1562</v>
      </c>
      <c r="G296" t="s">
        <v>1568</v>
      </c>
      <c r="H296" t="s">
        <v>1571</v>
      </c>
      <c r="I296" s="87">
        <v>6.125</v>
      </c>
    </row>
    <row r="297" spans="1:9" x14ac:dyDescent="0.3">
      <c r="A297" t="s">
        <v>43</v>
      </c>
      <c r="B297" t="s">
        <v>999</v>
      </c>
      <c r="C297" s="16" t="s">
        <v>272</v>
      </c>
      <c r="D297" s="16">
        <v>3</v>
      </c>
      <c r="E297" t="s">
        <v>1524</v>
      </c>
      <c r="F297" t="s">
        <v>1562</v>
      </c>
      <c r="G297" t="s">
        <v>1568</v>
      </c>
      <c r="H297" t="s">
        <v>1571</v>
      </c>
      <c r="I297" s="87">
        <v>6.125</v>
      </c>
    </row>
    <row r="298" spans="1:9" x14ac:dyDescent="0.3">
      <c r="A298" t="s">
        <v>43</v>
      </c>
      <c r="B298" t="s">
        <v>1000</v>
      </c>
      <c r="C298" s="16" t="s">
        <v>272</v>
      </c>
      <c r="D298" s="16">
        <v>3</v>
      </c>
      <c r="E298" t="s">
        <v>1524</v>
      </c>
      <c r="F298" t="s">
        <v>1562</v>
      </c>
      <c r="G298" t="s">
        <v>1568</v>
      </c>
      <c r="H298" t="s">
        <v>1571</v>
      </c>
      <c r="I298" s="87">
        <v>6.125</v>
      </c>
    </row>
    <row r="299" spans="1:9" x14ac:dyDescent="0.3">
      <c r="A299" t="s">
        <v>43</v>
      </c>
      <c r="B299" t="s">
        <v>1001</v>
      </c>
      <c r="C299" s="16" t="s">
        <v>272</v>
      </c>
      <c r="D299" s="16">
        <v>3</v>
      </c>
      <c r="E299" t="s">
        <v>1524</v>
      </c>
      <c r="F299" t="s">
        <v>1562</v>
      </c>
      <c r="G299" t="s">
        <v>1568</v>
      </c>
      <c r="H299" t="s">
        <v>1571</v>
      </c>
      <c r="I299" s="87">
        <v>6.125</v>
      </c>
    </row>
    <row r="300" spans="1:9" x14ac:dyDescent="0.3">
      <c r="A300" t="s">
        <v>43</v>
      </c>
      <c r="B300" t="s">
        <v>1002</v>
      </c>
      <c r="C300" s="16" t="s">
        <v>272</v>
      </c>
      <c r="D300" s="16">
        <v>3</v>
      </c>
      <c r="E300" t="s">
        <v>1524</v>
      </c>
      <c r="F300" t="s">
        <v>1562</v>
      </c>
      <c r="G300" t="s">
        <v>1568</v>
      </c>
      <c r="H300" t="s">
        <v>1571</v>
      </c>
      <c r="I300" s="87">
        <v>6.125</v>
      </c>
    </row>
    <row r="301" spans="1:9" x14ac:dyDescent="0.3">
      <c r="A301" t="s">
        <v>43</v>
      </c>
      <c r="B301" t="s">
        <v>1003</v>
      </c>
      <c r="C301" s="16" t="s">
        <v>272</v>
      </c>
      <c r="D301" s="16">
        <v>3</v>
      </c>
      <c r="E301" t="s">
        <v>1524</v>
      </c>
      <c r="F301" t="s">
        <v>1562</v>
      </c>
      <c r="G301" t="s">
        <v>1568</v>
      </c>
      <c r="H301" t="s">
        <v>1571</v>
      </c>
      <c r="I301" s="87">
        <v>6.125</v>
      </c>
    </row>
    <row r="302" spans="1:9" x14ac:dyDescent="0.3">
      <c r="A302" t="s">
        <v>43</v>
      </c>
      <c r="B302" t="s">
        <v>1004</v>
      </c>
      <c r="C302" s="16" t="s">
        <v>272</v>
      </c>
      <c r="D302" s="16">
        <v>3</v>
      </c>
      <c r="E302" t="s">
        <v>1524</v>
      </c>
      <c r="F302" t="s">
        <v>1562</v>
      </c>
      <c r="G302" t="s">
        <v>1568</v>
      </c>
      <c r="H302" t="s">
        <v>1571</v>
      </c>
      <c r="I302" s="87">
        <v>6.125</v>
      </c>
    </row>
    <row r="303" spans="1:9" x14ac:dyDescent="0.3">
      <c r="A303" t="s">
        <v>43</v>
      </c>
      <c r="B303" t="s">
        <v>1005</v>
      </c>
      <c r="C303" s="16" t="s">
        <v>272</v>
      </c>
      <c r="D303" s="16">
        <v>3</v>
      </c>
      <c r="E303" t="s">
        <v>1524</v>
      </c>
      <c r="F303" t="s">
        <v>1562</v>
      </c>
      <c r="G303" t="s">
        <v>1568</v>
      </c>
      <c r="H303" t="s">
        <v>1571</v>
      </c>
      <c r="I303" s="87">
        <v>6.125</v>
      </c>
    </row>
    <row r="304" spans="1:9" x14ac:dyDescent="0.3">
      <c r="A304" t="s">
        <v>43</v>
      </c>
      <c r="B304" t="s">
        <v>1006</v>
      </c>
      <c r="C304" s="16" t="s">
        <v>272</v>
      </c>
      <c r="D304" s="16">
        <v>3</v>
      </c>
      <c r="E304" t="s">
        <v>1524</v>
      </c>
      <c r="F304" t="s">
        <v>1562</v>
      </c>
      <c r="G304" t="s">
        <v>1568</v>
      </c>
      <c r="H304" t="s">
        <v>1571</v>
      </c>
      <c r="I304" s="87">
        <v>6.125</v>
      </c>
    </row>
    <row r="305" spans="1:9" x14ac:dyDescent="0.3">
      <c r="A305" t="s">
        <v>43</v>
      </c>
      <c r="B305" t="s">
        <v>1007</v>
      </c>
      <c r="C305" s="16" t="s">
        <v>272</v>
      </c>
      <c r="D305" s="16">
        <v>3</v>
      </c>
      <c r="E305" t="s">
        <v>1524</v>
      </c>
      <c r="F305" t="s">
        <v>1562</v>
      </c>
      <c r="G305" t="s">
        <v>1568</v>
      </c>
      <c r="H305" t="s">
        <v>1571</v>
      </c>
      <c r="I305" s="87">
        <v>6.125</v>
      </c>
    </row>
    <row r="306" spans="1:9" x14ac:dyDescent="0.3">
      <c r="A306" t="s">
        <v>43</v>
      </c>
      <c r="B306" t="s">
        <v>1008</v>
      </c>
      <c r="C306" s="16" t="s">
        <v>272</v>
      </c>
      <c r="D306" s="16">
        <v>3</v>
      </c>
      <c r="E306" t="s">
        <v>1524</v>
      </c>
      <c r="F306" t="s">
        <v>1562</v>
      </c>
      <c r="G306" t="s">
        <v>1568</v>
      </c>
      <c r="H306" t="s">
        <v>1571</v>
      </c>
      <c r="I306" s="87">
        <v>6.125</v>
      </c>
    </row>
    <row r="307" spans="1:9" x14ac:dyDescent="0.3">
      <c r="A307" t="s">
        <v>43</v>
      </c>
      <c r="B307" t="s">
        <v>1009</v>
      </c>
      <c r="C307" s="16" t="s">
        <v>272</v>
      </c>
      <c r="D307" s="16">
        <v>3</v>
      </c>
      <c r="E307" t="s">
        <v>1524</v>
      </c>
      <c r="F307" t="s">
        <v>1562</v>
      </c>
      <c r="G307" t="s">
        <v>1568</v>
      </c>
      <c r="H307" t="s">
        <v>1571</v>
      </c>
      <c r="I307" s="87">
        <v>6.125</v>
      </c>
    </row>
    <row r="308" spans="1:9" x14ac:dyDescent="0.3">
      <c r="A308" t="s">
        <v>43</v>
      </c>
      <c r="B308" t="s">
        <v>1010</v>
      </c>
      <c r="C308" s="16" t="s">
        <v>272</v>
      </c>
      <c r="D308" s="16">
        <v>3</v>
      </c>
      <c r="E308" t="s">
        <v>1524</v>
      </c>
      <c r="F308" t="s">
        <v>1562</v>
      </c>
      <c r="G308" t="s">
        <v>1568</v>
      </c>
      <c r="H308" t="s">
        <v>1571</v>
      </c>
      <c r="I308" s="87">
        <v>6.125</v>
      </c>
    </row>
    <row r="309" spans="1:9" x14ac:dyDescent="0.3">
      <c r="A309" t="s">
        <v>9</v>
      </c>
      <c r="B309" t="s">
        <v>1011</v>
      </c>
      <c r="C309" s="16" t="s">
        <v>272</v>
      </c>
      <c r="D309" s="16">
        <v>2</v>
      </c>
      <c r="E309" t="s">
        <v>1525</v>
      </c>
      <c r="F309" t="s">
        <v>1658</v>
      </c>
      <c r="G309" t="s">
        <v>1567</v>
      </c>
      <c r="H309" t="s">
        <v>345</v>
      </c>
      <c r="I309" s="87">
        <v>7.620000000000001</v>
      </c>
    </row>
    <row r="310" spans="1:9" x14ac:dyDescent="0.3">
      <c r="A310" t="s">
        <v>9</v>
      </c>
      <c r="B310" t="s">
        <v>1012</v>
      </c>
      <c r="C310" s="16" t="s">
        <v>272</v>
      </c>
      <c r="D310" s="16">
        <v>3</v>
      </c>
      <c r="E310" t="s">
        <v>1524</v>
      </c>
      <c r="F310" t="s">
        <v>1658</v>
      </c>
      <c r="G310" t="s">
        <v>1567</v>
      </c>
      <c r="H310" t="s">
        <v>345</v>
      </c>
      <c r="I310" s="87">
        <v>5.4499999999999993</v>
      </c>
    </row>
    <row r="311" spans="1:9" x14ac:dyDescent="0.3">
      <c r="A311" t="s">
        <v>9</v>
      </c>
      <c r="B311" t="s">
        <v>1013</v>
      </c>
      <c r="C311" s="16" t="s">
        <v>272</v>
      </c>
      <c r="D311" s="16">
        <v>3</v>
      </c>
      <c r="E311" t="s">
        <v>1524</v>
      </c>
      <c r="F311" t="s">
        <v>1534</v>
      </c>
      <c r="G311" t="s">
        <v>1566</v>
      </c>
      <c r="H311" t="s">
        <v>1574</v>
      </c>
      <c r="I311" s="87">
        <v>5.95</v>
      </c>
    </row>
    <row r="312" spans="1:9" x14ac:dyDescent="0.3">
      <c r="A312" t="s">
        <v>9</v>
      </c>
      <c r="B312" t="s">
        <v>1014</v>
      </c>
      <c r="C312" s="16" t="s">
        <v>272</v>
      </c>
      <c r="D312" s="16">
        <v>3</v>
      </c>
      <c r="E312" t="s">
        <v>1524</v>
      </c>
      <c r="F312" t="s">
        <v>1658</v>
      </c>
      <c r="G312" t="s">
        <v>1567</v>
      </c>
      <c r="H312" t="s">
        <v>1658</v>
      </c>
      <c r="I312" s="87">
        <v>6.1749999999999998</v>
      </c>
    </row>
    <row r="313" spans="1:9" x14ac:dyDescent="0.3">
      <c r="A313" t="s">
        <v>9</v>
      </c>
      <c r="B313" t="s">
        <v>1015</v>
      </c>
      <c r="C313" s="16" t="s">
        <v>272</v>
      </c>
      <c r="D313" s="16">
        <v>3</v>
      </c>
      <c r="E313" t="s">
        <v>1524</v>
      </c>
      <c r="F313" t="s">
        <v>1658</v>
      </c>
      <c r="G313" t="s">
        <v>1567</v>
      </c>
      <c r="H313" t="s">
        <v>1658</v>
      </c>
      <c r="I313" s="87">
        <v>6.1749999999999998</v>
      </c>
    </row>
    <row r="314" spans="1:9" x14ac:dyDescent="0.3">
      <c r="A314" t="s">
        <v>9</v>
      </c>
      <c r="B314" t="s">
        <v>1016</v>
      </c>
      <c r="C314" s="16" t="s">
        <v>272</v>
      </c>
      <c r="D314" s="16">
        <v>3</v>
      </c>
      <c r="E314" t="s">
        <v>1524</v>
      </c>
      <c r="F314" t="s">
        <v>1658</v>
      </c>
      <c r="G314" t="s">
        <v>341</v>
      </c>
      <c r="H314" t="s">
        <v>345</v>
      </c>
      <c r="I314" s="87">
        <v>5.6099999999999994</v>
      </c>
    </row>
    <row r="315" spans="1:9" x14ac:dyDescent="0.3">
      <c r="A315" t="s">
        <v>9</v>
      </c>
      <c r="B315" t="s">
        <v>1017</v>
      </c>
      <c r="C315" s="16" t="s">
        <v>272</v>
      </c>
      <c r="D315" s="16">
        <v>3</v>
      </c>
      <c r="E315" t="s">
        <v>1524</v>
      </c>
      <c r="F315" t="s">
        <v>1536</v>
      </c>
      <c r="G315" t="s">
        <v>1566</v>
      </c>
      <c r="H315" t="s">
        <v>345</v>
      </c>
      <c r="I315" s="87">
        <v>5.375</v>
      </c>
    </row>
    <row r="316" spans="1:9" x14ac:dyDescent="0.3">
      <c r="A316" t="s">
        <v>9</v>
      </c>
      <c r="B316" t="s">
        <v>1018</v>
      </c>
      <c r="C316" s="16" t="s">
        <v>272</v>
      </c>
      <c r="D316" s="16">
        <v>3</v>
      </c>
      <c r="E316" t="s">
        <v>1524</v>
      </c>
      <c r="F316" t="s">
        <v>1536</v>
      </c>
      <c r="G316" t="s">
        <v>1566</v>
      </c>
      <c r="H316" t="s">
        <v>1573</v>
      </c>
      <c r="I316" s="87">
        <v>6.0250000000000004</v>
      </c>
    </row>
    <row r="317" spans="1:9" x14ac:dyDescent="0.3">
      <c r="A317" t="s">
        <v>9</v>
      </c>
      <c r="B317" t="s">
        <v>1019</v>
      </c>
      <c r="C317" s="16" t="s">
        <v>272</v>
      </c>
      <c r="D317" s="16">
        <v>3</v>
      </c>
      <c r="E317" t="s">
        <v>1524</v>
      </c>
      <c r="F317" t="s">
        <v>1536</v>
      </c>
      <c r="G317" t="s">
        <v>1567</v>
      </c>
      <c r="H317" t="s">
        <v>1658</v>
      </c>
      <c r="I317" s="87">
        <v>6.15</v>
      </c>
    </row>
    <row r="318" spans="1:9" x14ac:dyDescent="0.3">
      <c r="A318" t="s">
        <v>9</v>
      </c>
      <c r="B318" t="s">
        <v>1020</v>
      </c>
      <c r="C318" s="16" t="s">
        <v>272</v>
      </c>
      <c r="D318" s="16">
        <v>3</v>
      </c>
      <c r="E318" t="s">
        <v>1524</v>
      </c>
      <c r="F318" t="s">
        <v>1658</v>
      </c>
      <c r="G318" t="s">
        <v>1567</v>
      </c>
      <c r="H318" t="s">
        <v>1658</v>
      </c>
      <c r="I318" s="87">
        <v>6.1749999999999998</v>
      </c>
    </row>
    <row r="319" spans="1:9" x14ac:dyDescent="0.3">
      <c r="A319" t="s">
        <v>43</v>
      </c>
      <c r="B319" t="s">
        <v>1021</v>
      </c>
      <c r="C319" s="16" t="s">
        <v>272</v>
      </c>
      <c r="D319" s="16">
        <v>3</v>
      </c>
      <c r="E319" t="s">
        <v>1524</v>
      </c>
      <c r="F319" t="s">
        <v>1658</v>
      </c>
      <c r="G319" t="s">
        <v>1568</v>
      </c>
      <c r="H319" t="s">
        <v>344</v>
      </c>
      <c r="I319" s="87">
        <v>5.625</v>
      </c>
    </row>
    <row r="320" spans="1:9" x14ac:dyDescent="0.3">
      <c r="A320" t="s">
        <v>43</v>
      </c>
      <c r="B320" t="s">
        <v>1022</v>
      </c>
      <c r="C320" s="16" t="s">
        <v>272</v>
      </c>
      <c r="D320" s="16">
        <v>3</v>
      </c>
      <c r="E320" t="s">
        <v>1524</v>
      </c>
      <c r="F320" t="s">
        <v>1540</v>
      </c>
      <c r="G320" t="s">
        <v>1567</v>
      </c>
      <c r="H320" t="s">
        <v>1570</v>
      </c>
      <c r="I320" s="87">
        <v>5.9</v>
      </c>
    </row>
    <row r="321" spans="1:9" x14ac:dyDescent="0.3">
      <c r="A321" t="s">
        <v>43</v>
      </c>
      <c r="B321" t="s">
        <v>1023</v>
      </c>
      <c r="C321" s="16" t="s">
        <v>272</v>
      </c>
      <c r="D321" s="16">
        <v>3</v>
      </c>
      <c r="E321" t="s">
        <v>1524</v>
      </c>
      <c r="F321" t="s">
        <v>1555</v>
      </c>
      <c r="G321" t="s">
        <v>1567</v>
      </c>
      <c r="H321" t="s">
        <v>291</v>
      </c>
      <c r="I321" s="87">
        <v>5.7750000000000004</v>
      </c>
    </row>
    <row r="322" spans="1:9" x14ac:dyDescent="0.3">
      <c r="A322" t="s">
        <v>43</v>
      </c>
      <c r="B322" t="s">
        <v>1024</v>
      </c>
      <c r="C322" s="16" t="s">
        <v>272</v>
      </c>
      <c r="D322" s="16">
        <v>3</v>
      </c>
      <c r="E322" t="s">
        <v>1524</v>
      </c>
      <c r="F322" t="s">
        <v>282</v>
      </c>
      <c r="G322" t="s">
        <v>340</v>
      </c>
      <c r="H322" t="s">
        <v>348</v>
      </c>
      <c r="I322" s="87">
        <v>5.75</v>
      </c>
    </row>
    <row r="323" spans="1:9" x14ac:dyDescent="0.3">
      <c r="A323" t="s">
        <v>43</v>
      </c>
      <c r="B323" t="s">
        <v>1025</v>
      </c>
      <c r="C323" s="16" t="s">
        <v>272</v>
      </c>
      <c r="D323" s="16">
        <v>3</v>
      </c>
      <c r="E323" t="s">
        <v>1524</v>
      </c>
      <c r="F323" t="s">
        <v>282</v>
      </c>
      <c r="G323" t="s">
        <v>1567</v>
      </c>
      <c r="H323" t="s">
        <v>1570</v>
      </c>
      <c r="I323" s="87">
        <v>5.4500000000000011</v>
      </c>
    </row>
    <row r="324" spans="1:9" x14ac:dyDescent="0.3">
      <c r="A324" t="s">
        <v>43</v>
      </c>
      <c r="B324" t="s">
        <v>1026</v>
      </c>
      <c r="C324" s="16" t="s">
        <v>272</v>
      </c>
      <c r="D324" s="16">
        <v>3</v>
      </c>
      <c r="E324" t="s">
        <v>1524</v>
      </c>
      <c r="F324" t="s">
        <v>1547</v>
      </c>
      <c r="G324" t="s">
        <v>1566</v>
      </c>
      <c r="H324" t="s">
        <v>344</v>
      </c>
      <c r="I324" s="87">
        <v>5.3</v>
      </c>
    </row>
    <row r="325" spans="1:9" x14ac:dyDescent="0.3">
      <c r="A325" t="s">
        <v>43</v>
      </c>
      <c r="B325" t="s">
        <v>1027</v>
      </c>
      <c r="C325" s="16" t="s">
        <v>272</v>
      </c>
      <c r="D325" s="16">
        <v>3</v>
      </c>
      <c r="E325" t="s">
        <v>1524</v>
      </c>
      <c r="F325" t="s">
        <v>1547</v>
      </c>
      <c r="G325" t="s">
        <v>1566</v>
      </c>
      <c r="H325" t="s">
        <v>344</v>
      </c>
      <c r="I325" s="87">
        <v>5.3</v>
      </c>
    </row>
    <row r="326" spans="1:9" x14ac:dyDescent="0.3">
      <c r="A326" t="s">
        <v>43</v>
      </c>
      <c r="B326" t="s">
        <v>1028</v>
      </c>
      <c r="C326" s="16" t="s">
        <v>272</v>
      </c>
      <c r="D326" s="16">
        <v>3</v>
      </c>
      <c r="E326" t="s">
        <v>1524</v>
      </c>
      <c r="F326" t="s">
        <v>1547</v>
      </c>
      <c r="G326" t="s">
        <v>1566</v>
      </c>
      <c r="H326" t="s">
        <v>344</v>
      </c>
      <c r="I326" s="87">
        <v>5.3</v>
      </c>
    </row>
    <row r="327" spans="1:9" x14ac:dyDescent="0.3">
      <c r="A327" t="s">
        <v>43</v>
      </c>
      <c r="B327" t="s">
        <v>1029</v>
      </c>
      <c r="C327" s="16" t="s">
        <v>272</v>
      </c>
      <c r="D327" s="16">
        <v>2</v>
      </c>
      <c r="E327" t="s">
        <v>1524</v>
      </c>
      <c r="F327" t="s">
        <v>282</v>
      </c>
      <c r="G327" t="s">
        <v>341</v>
      </c>
      <c r="H327" t="s">
        <v>344</v>
      </c>
      <c r="I327" s="87">
        <v>5.8550000000000004</v>
      </c>
    </row>
    <row r="328" spans="1:9" x14ac:dyDescent="0.3">
      <c r="A328" t="s">
        <v>43</v>
      </c>
      <c r="B328" t="s">
        <v>1030</v>
      </c>
      <c r="C328" s="16" t="s">
        <v>272</v>
      </c>
      <c r="D328" s="16">
        <v>3</v>
      </c>
      <c r="E328" t="s">
        <v>1524</v>
      </c>
      <c r="F328" t="s">
        <v>282</v>
      </c>
      <c r="G328" t="s">
        <v>1567</v>
      </c>
      <c r="H328" t="s">
        <v>1570</v>
      </c>
      <c r="I328" s="87">
        <v>5.4500000000000011</v>
      </c>
    </row>
    <row r="329" spans="1:9" x14ac:dyDescent="0.3">
      <c r="A329" t="s">
        <v>43</v>
      </c>
      <c r="B329" t="s">
        <v>1031</v>
      </c>
      <c r="C329" s="16" t="s">
        <v>272</v>
      </c>
      <c r="D329" s="16">
        <v>2</v>
      </c>
      <c r="E329" t="s">
        <v>1525</v>
      </c>
      <c r="F329" t="s">
        <v>282</v>
      </c>
      <c r="G329" t="s">
        <v>342</v>
      </c>
      <c r="H329" t="s">
        <v>344</v>
      </c>
      <c r="I329" s="87">
        <v>7.2650000000000006</v>
      </c>
    </row>
    <row r="330" spans="1:9" x14ac:dyDescent="0.3">
      <c r="A330" t="s">
        <v>43</v>
      </c>
      <c r="B330" t="s">
        <v>1032</v>
      </c>
      <c r="C330" s="16" t="s">
        <v>272</v>
      </c>
      <c r="D330" s="16">
        <v>2</v>
      </c>
      <c r="E330" t="s">
        <v>1525</v>
      </c>
      <c r="F330" t="s">
        <v>282</v>
      </c>
      <c r="G330" t="s">
        <v>342</v>
      </c>
      <c r="H330" t="s">
        <v>344</v>
      </c>
      <c r="I330" s="87">
        <v>7.2650000000000006</v>
      </c>
    </row>
    <row r="331" spans="1:9" x14ac:dyDescent="0.3">
      <c r="A331" t="s">
        <v>43</v>
      </c>
      <c r="B331" t="s">
        <v>1033</v>
      </c>
      <c r="C331" s="16" t="s">
        <v>272</v>
      </c>
      <c r="D331" s="16">
        <v>3</v>
      </c>
      <c r="E331" t="s">
        <v>1524</v>
      </c>
      <c r="F331" t="s">
        <v>1658</v>
      </c>
      <c r="G331" t="s">
        <v>1566</v>
      </c>
      <c r="H331" t="s">
        <v>1574</v>
      </c>
      <c r="I331" s="87">
        <v>6</v>
      </c>
    </row>
    <row r="332" spans="1:9" x14ac:dyDescent="0.3">
      <c r="A332" t="s">
        <v>43</v>
      </c>
      <c r="B332" t="s">
        <v>1034</v>
      </c>
      <c r="C332" s="16" t="s">
        <v>272</v>
      </c>
      <c r="D332" s="16">
        <v>3</v>
      </c>
      <c r="E332" t="s">
        <v>1524</v>
      </c>
      <c r="F332" t="s">
        <v>1536</v>
      </c>
      <c r="G332" t="s">
        <v>1567</v>
      </c>
      <c r="H332" t="s">
        <v>344</v>
      </c>
      <c r="I332" s="87">
        <v>5.4750000000000005</v>
      </c>
    </row>
    <row r="333" spans="1:9" x14ac:dyDescent="0.3">
      <c r="A333" t="s">
        <v>43</v>
      </c>
      <c r="B333" t="s">
        <v>1035</v>
      </c>
      <c r="C333" s="16" t="s">
        <v>272</v>
      </c>
      <c r="D333" s="16">
        <v>3</v>
      </c>
      <c r="E333" t="s">
        <v>1524</v>
      </c>
      <c r="F333" t="s">
        <v>1551</v>
      </c>
      <c r="G333" t="s">
        <v>1566</v>
      </c>
      <c r="H333" t="s">
        <v>344</v>
      </c>
      <c r="I333" s="87">
        <v>5.4</v>
      </c>
    </row>
    <row r="334" spans="1:9" x14ac:dyDescent="0.3">
      <c r="A334" t="s">
        <v>43</v>
      </c>
      <c r="B334" t="s">
        <v>1036</v>
      </c>
      <c r="C334" s="16" t="s">
        <v>272</v>
      </c>
      <c r="D334" s="16">
        <v>3</v>
      </c>
      <c r="E334" t="s">
        <v>1524</v>
      </c>
      <c r="F334" t="s">
        <v>283</v>
      </c>
      <c r="G334" t="s">
        <v>1568</v>
      </c>
      <c r="H334" t="s">
        <v>1570</v>
      </c>
      <c r="I334" s="87">
        <v>6</v>
      </c>
    </row>
    <row r="335" spans="1:9" x14ac:dyDescent="0.3">
      <c r="A335" t="s">
        <v>43</v>
      </c>
      <c r="B335" t="s">
        <v>1037</v>
      </c>
      <c r="C335" s="16" t="s">
        <v>272</v>
      </c>
      <c r="D335" s="16">
        <v>3</v>
      </c>
      <c r="E335" t="s">
        <v>1524</v>
      </c>
      <c r="F335" t="s">
        <v>1658</v>
      </c>
      <c r="G335" t="s">
        <v>1566</v>
      </c>
      <c r="H335" t="s">
        <v>344</v>
      </c>
      <c r="I335" s="87">
        <v>5.45</v>
      </c>
    </row>
    <row r="336" spans="1:9" x14ac:dyDescent="0.3">
      <c r="A336" t="s">
        <v>43</v>
      </c>
      <c r="B336" t="s">
        <v>1038</v>
      </c>
      <c r="C336" s="16" t="s">
        <v>272</v>
      </c>
      <c r="D336" s="16">
        <v>2</v>
      </c>
      <c r="E336" t="s">
        <v>1525</v>
      </c>
      <c r="F336" t="s">
        <v>282</v>
      </c>
      <c r="G336" t="s">
        <v>342</v>
      </c>
      <c r="H336" t="s">
        <v>344</v>
      </c>
      <c r="I336" s="87">
        <v>7.2650000000000006</v>
      </c>
    </row>
    <row r="337" spans="1:9" x14ac:dyDescent="0.3">
      <c r="A337" t="s">
        <v>43</v>
      </c>
      <c r="B337" t="s">
        <v>1039</v>
      </c>
      <c r="C337" s="16" t="s">
        <v>272</v>
      </c>
      <c r="D337" s="16">
        <v>3</v>
      </c>
      <c r="E337" t="s">
        <v>1524</v>
      </c>
      <c r="F337" t="s">
        <v>1536</v>
      </c>
      <c r="G337" t="s">
        <v>1567</v>
      </c>
      <c r="H337" t="s">
        <v>344</v>
      </c>
      <c r="I337" s="87">
        <v>5.4750000000000005</v>
      </c>
    </row>
    <row r="338" spans="1:9" x14ac:dyDescent="0.3">
      <c r="A338" t="s">
        <v>43</v>
      </c>
      <c r="B338" t="s">
        <v>1040</v>
      </c>
      <c r="C338" s="16" t="s">
        <v>272</v>
      </c>
      <c r="D338" s="16">
        <v>2</v>
      </c>
      <c r="E338" t="s">
        <v>1525</v>
      </c>
      <c r="F338" t="s">
        <v>282</v>
      </c>
      <c r="G338" t="s">
        <v>1568</v>
      </c>
      <c r="H338" t="s">
        <v>344</v>
      </c>
      <c r="I338" s="87">
        <v>7.2200000000000006</v>
      </c>
    </row>
    <row r="339" spans="1:9" x14ac:dyDescent="0.3">
      <c r="A339" t="s">
        <v>43</v>
      </c>
      <c r="B339" t="s">
        <v>1041</v>
      </c>
      <c r="C339" s="16" t="s">
        <v>272</v>
      </c>
      <c r="D339" s="16">
        <v>3</v>
      </c>
      <c r="E339" t="s">
        <v>1524</v>
      </c>
      <c r="F339" t="s">
        <v>282</v>
      </c>
      <c r="G339" t="s">
        <v>1567</v>
      </c>
      <c r="H339" t="s">
        <v>344</v>
      </c>
      <c r="I339" s="87">
        <v>4.9250000000000007</v>
      </c>
    </row>
    <row r="340" spans="1:9" x14ac:dyDescent="0.3">
      <c r="A340" t="s">
        <v>43</v>
      </c>
      <c r="B340" t="s">
        <v>1042</v>
      </c>
      <c r="C340" s="16" t="s">
        <v>272</v>
      </c>
      <c r="D340" s="16">
        <v>3</v>
      </c>
      <c r="E340" t="s">
        <v>1524</v>
      </c>
      <c r="F340" t="s">
        <v>1658</v>
      </c>
      <c r="G340" t="s">
        <v>1566</v>
      </c>
      <c r="H340" t="s">
        <v>344</v>
      </c>
      <c r="I340" s="87">
        <v>5.45</v>
      </c>
    </row>
    <row r="341" spans="1:9" x14ac:dyDescent="0.3">
      <c r="A341" t="s">
        <v>45</v>
      </c>
      <c r="B341" t="s">
        <v>1043</v>
      </c>
      <c r="C341" s="16" t="s">
        <v>272</v>
      </c>
      <c r="D341" s="16">
        <v>2</v>
      </c>
      <c r="E341" t="s">
        <v>1524</v>
      </c>
      <c r="F341" t="s">
        <v>282</v>
      </c>
      <c r="G341" t="s">
        <v>341</v>
      </c>
      <c r="H341" t="s">
        <v>344</v>
      </c>
      <c r="I341" s="87">
        <v>5.8550000000000004</v>
      </c>
    </row>
    <row r="342" spans="1:9" x14ac:dyDescent="0.3">
      <c r="A342" t="s">
        <v>45</v>
      </c>
      <c r="B342" t="s">
        <v>1044</v>
      </c>
      <c r="C342" s="16" t="s">
        <v>272</v>
      </c>
      <c r="D342" s="16">
        <v>3</v>
      </c>
      <c r="E342" t="s">
        <v>1524</v>
      </c>
      <c r="F342" t="s">
        <v>1534</v>
      </c>
      <c r="G342" t="s">
        <v>1567</v>
      </c>
      <c r="H342" t="s">
        <v>344</v>
      </c>
      <c r="I342" s="87">
        <v>5.45</v>
      </c>
    </row>
    <row r="343" spans="1:9" x14ac:dyDescent="0.3">
      <c r="A343" t="s">
        <v>45</v>
      </c>
      <c r="B343" t="s">
        <v>1045</v>
      </c>
      <c r="C343" s="16" t="s">
        <v>272</v>
      </c>
      <c r="D343" s="16">
        <v>3</v>
      </c>
      <c r="E343" t="s">
        <v>1524</v>
      </c>
      <c r="F343" t="s">
        <v>1534</v>
      </c>
      <c r="G343" t="s">
        <v>1567</v>
      </c>
      <c r="H343" t="s">
        <v>344</v>
      </c>
      <c r="I343" s="87">
        <v>5.45</v>
      </c>
    </row>
    <row r="344" spans="1:9" x14ac:dyDescent="0.3">
      <c r="A344" t="s">
        <v>45</v>
      </c>
      <c r="B344" t="s">
        <v>1046</v>
      </c>
      <c r="C344" s="16" t="s">
        <v>272</v>
      </c>
      <c r="D344" s="16">
        <v>2</v>
      </c>
      <c r="E344" t="s">
        <v>1524</v>
      </c>
      <c r="F344" t="s">
        <v>282</v>
      </c>
      <c r="G344" t="s">
        <v>341</v>
      </c>
      <c r="H344" t="s">
        <v>344</v>
      </c>
      <c r="I344" s="87">
        <v>5.8550000000000004</v>
      </c>
    </row>
    <row r="345" spans="1:9" x14ac:dyDescent="0.3">
      <c r="A345" t="s">
        <v>45</v>
      </c>
      <c r="B345" t="s">
        <v>1047</v>
      </c>
      <c r="C345" s="16" t="s">
        <v>272</v>
      </c>
      <c r="D345" s="16">
        <v>2</v>
      </c>
      <c r="E345" t="s">
        <v>1524</v>
      </c>
      <c r="F345" t="s">
        <v>282</v>
      </c>
      <c r="G345" t="s">
        <v>341</v>
      </c>
      <c r="H345" t="s">
        <v>344</v>
      </c>
      <c r="I345" s="87">
        <v>5.8550000000000004</v>
      </c>
    </row>
    <row r="346" spans="1:9" x14ac:dyDescent="0.3">
      <c r="A346" t="s">
        <v>45</v>
      </c>
      <c r="B346" t="s">
        <v>1048</v>
      </c>
      <c r="C346" s="16" t="s">
        <v>272</v>
      </c>
      <c r="D346" s="16">
        <v>2</v>
      </c>
      <c r="E346" t="s">
        <v>1524</v>
      </c>
      <c r="F346" t="s">
        <v>282</v>
      </c>
      <c r="G346" t="s">
        <v>341</v>
      </c>
      <c r="H346" t="s">
        <v>344</v>
      </c>
      <c r="I346" s="87">
        <v>5.8550000000000004</v>
      </c>
    </row>
    <row r="347" spans="1:9" x14ac:dyDescent="0.3">
      <c r="A347" t="s">
        <v>45</v>
      </c>
      <c r="B347" t="s">
        <v>1049</v>
      </c>
      <c r="C347" s="16" t="s">
        <v>272</v>
      </c>
      <c r="D347" s="16">
        <v>3</v>
      </c>
      <c r="E347" t="s">
        <v>1524</v>
      </c>
      <c r="F347" t="s">
        <v>1658</v>
      </c>
      <c r="G347" t="s">
        <v>1567</v>
      </c>
      <c r="H347" t="s">
        <v>344</v>
      </c>
      <c r="I347" s="87">
        <v>5.5</v>
      </c>
    </row>
    <row r="348" spans="1:9" x14ac:dyDescent="0.3">
      <c r="A348" t="s">
        <v>45</v>
      </c>
      <c r="B348" t="s">
        <v>1050</v>
      </c>
      <c r="C348" s="16" t="s">
        <v>272</v>
      </c>
      <c r="D348" s="16">
        <v>3</v>
      </c>
      <c r="E348" t="s">
        <v>1524</v>
      </c>
      <c r="F348" t="s">
        <v>1557</v>
      </c>
      <c r="G348" t="s">
        <v>1656</v>
      </c>
      <c r="H348" t="s">
        <v>348</v>
      </c>
      <c r="I348" s="87">
        <v>6.2549999999999999</v>
      </c>
    </row>
    <row r="349" spans="1:9" x14ac:dyDescent="0.3">
      <c r="A349" t="s">
        <v>45</v>
      </c>
      <c r="B349" t="s">
        <v>1051</v>
      </c>
      <c r="C349" s="16" t="s">
        <v>272</v>
      </c>
      <c r="D349" s="16">
        <v>3</v>
      </c>
      <c r="E349" t="s">
        <v>1524</v>
      </c>
      <c r="F349" t="s">
        <v>1557</v>
      </c>
      <c r="G349" t="s">
        <v>1568</v>
      </c>
      <c r="H349" t="s">
        <v>1658</v>
      </c>
      <c r="I349" s="87">
        <v>6.2249999999999996</v>
      </c>
    </row>
    <row r="350" spans="1:9" x14ac:dyDescent="0.3">
      <c r="A350" t="s">
        <v>45</v>
      </c>
      <c r="B350" t="s">
        <v>1052</v>
      </c>
      <c r="C350" s="16" t="s">
        <v>272</v>
      </c>
      <c r="D350" s="16">
        <v>3</v>
      </c>
      <c r="E350" t="s">
        <v>1524</v>
      </c>
      <c r="F350" t="s">
        <v>1557</v>
      </c>
      <c r="G350" t="s">
        <v>1567</v>
      </c>
      <c r="H350" t="s">
        <v>1574</v>
      </c>
      <c r="I350" s="87">
        <v>5.9749999999999996</v>
      </c>
    </row>
    <row r="351" spans="1:9" x14ac:dyDescent="0.3">
      <c r="A351" t="s">
        <v>45</v>
      </c>
      <c r="B351" t="s">
        <v>1053</v>
      </c>
      <c r="C351" s="16" t="s">
        <v>272</v>
      </c>
      <c r="D351" s="16">
        <v>3</v>
      </c>
      <c r="E351" t="s">
        <v>1524</v>
      </c>
      <c r="F351" t="s">
        <v>1557</v>
      </c>
      <c r="G351" t="s">
        <v>1567</v>
      </c>
      <c r="H351" t="s">
        <v>344</v>
      </c>
      <c r="I351" s="87">
        <v>5.4249999999999998</v>
      </c>
    </row>
    <row r="352" spans="1:9" x14ac:dyDescent="0.3">
      <c r="A352" t="s">
        <v>45</v>
      </c>
      <c r="B352" t="s">
        <v>1054</v>
      </c>
      <c r="C352" s="16" t="s">
        <v>272</v>
      </c>
      <c r="D352" s="16">
        <v>3</v>
      </c>
      <c r="E352" t="s">
        <v>1525</v>
      </c>
      <c r="F352" t="s">
        <v>1658</v>
      </c>
      <c r="G352" t="s">
        <v>1567</v>
      </c>
      <c r="H352" t="s">
        <v>344</v>
      </c>
      <c r="I352" s="87">
        <v>6.9000000000000012</v>
      </c>
    </row>
    <row r="353" spans="1:9" x14ac:dyDescent="0.3">
      <c r="A353" t="s">
        <v>45</v>
      </c>
      <c r="B353" t="s">
        <v>1055</v>
      </c>
      <c r="C353" s="16" t="s">
        <v>273</v>
      </c>
      <c r="D353" s="16">
        <v>2</v>
      </c>
      <c r="E353" t="s">
        <v>1525</v>
      </c>
      <c r="F353" t="s">
        <v>1658</v>
      </c>
      <c r="G353" t="s">
        <v>1567</v>
      </c>
      <c r="H353" t="s">
        <v>1570</v>
      </c>
      <c r="I353" s="87">
        <v>9.0750000000000011</v>
      </c>
    </row>
    <row r="354" spans="1:9" x14ac:dyDescent="0.3">
      <c r="A354" t="s">
        <v>45</v>
      </c>
      <c r="B354" t="s">
        <v>1056</v>
      </c>
      <c r="C354" s="16" t="s">
        <v>272</v>
      </c>
      <c r="D354" s="16">
        <v>3</v>
      </c>
      <c r="E354" t="s">
        <v>1524</v>
      </c>
      <c r="F354" t="s">
        <v>1557</v>
      </c>
      <c r="G354" t="s">
        <v>1567</v>
      </c>
      <c r="H354" t="s">
        <v>1574</v>
      </c>
      <c r="I354" s="87">
        <v>5.9749999999999996</v>
      </c>
    </row>
    <row r="355" spans="1:9" x14ac:dyDescent="0.3">
      <c r="A355" t="s">
        <v>45</v>
      </c>
      <c r="B355" t="s">
        <v>1057</v>
      </c>
      <c r="C355" s="16" t="s">
        <v>272</v>
      </c>
      <c r="D355" s="16">
        <v>3</v>
      </c>
      <c r="E355" t="s">
        <v>1525</v>
      </c>
      <c r="F355" t="s">
        <v>1658</v>
      </c>
      <c r="G355" t="s">
        <v>1567</v>
      </c>
      <c r="H355" t="s">
        <v>344</v>
      </c>
      <c r="I355" s="87">
        <v>6.9000000000000012</v>
      </c>
    </row>
    <row r="356" spans="1:9" x14ac:dyDescent="0.3">
      <c r="A356" t="s">
        <v>45</v>
      </c>
      <c r="B356" t="s">
        <v>1058</v>
      </c>
      <c r="C356" s="16" t="s">
        <v>273</v>
      </c>
      <c r="D356" s="16">
        <v>2</v>
      </c>
      <c r="E356" t="s">
        <v>1525</v>
      </c>
      <c r="F356" t="s">
        <v>1658</v>
      </c>
      <c r="G356" t="s">
        <v>1567</v>
      </c>
      <c r="H356" t="s">
        <v>344</v>
      </c>
      <c r="I356" s="87">
        <v>8.5500000000000007</v>
      </c>
    </row>
    <row r="357" spans="1:9" x14ac:dyDescent="0.3">
      <c r="A357" t="s">
        <v>45</v>
      </c>
      <c r="B357" t="s">
        <v>1059</v>
      </c>
      <c r="C357" s="16" t="s">
        <v>272</v>
      </c>
      <c r="D357" s="16">
        <v>2</v>
      </c>
      <c r="E357" t="s">
        <v>1525</v>
      </c>
      <c r="F357" t="s">
        <v>1658</v>
      </c>
      <c r="G357" t="s">
        <v>1567</v>
      </c>
      <c r="H357" t="s">
        <v>344</v>
      </c>
      <c r="I357" s="87">
        <v>7.6700000000000008</v>
      </c>
    </row>
    <row r="358" spans="1:9" x14ac:dyDescent="0.3">
      <c r="A358" t="s">
        <v>9</v>
      </c>
      <c r="B358" t="s">
        <v>1060</v>
      </c>
      <c r="C358" s="16" t="s">
        <v>272</v>
      </c>
      <c r="D358" s="16">
        <v>2</v>
      </c>
      <c r="E358" t="s">
        <v>1525</v>
      </c>
      <c r="F358" t="s">
        <v>282</v>
      </c>
      <c r="G358" t="s">
        <v>1568</v>
      </c>
      <c r="H358" t="s">
        <v>344</v>
      </c>
      <c r="I358" s="87">
        <v>7.2200000000000006</v>
      </c>
    </row>
    <row r="359" spans="1:9" x14ac:dyDescent="0.3">
      <c r="A359" t="s">
        <v>9</v>
      </c>
      <c r="B359" t="s">
        <v>1061</v>
      </c>
      <c r="C359" s="16" t="s">
        <v>272</v>
      </c>
      <c r="D359" s="16">
        <v>3</v>
      </c>
      <c r="E359" t="s">
        <v>1524</v>
      </c>
      <c r="F359" t="s">
        <v>1544</v>
      </c>
      <c r="G359" t="s">
        <v>1566</v>
      </c>
      <c r="H359" t="s">
        <v>1658</v>
      </c>
      <c r="I359" s="87">
        <v>6.1</v>
      </c>
    </row>
    <row r="360" spans="1:9" x14ac:dyDescent="0.3">
      <c r="A360" t="s">
        <v>9</v>
      </c>
      <c r="B360" t="s">
        <v>1062</v>
      </c>
      <c r="C360" s="16" t="s">
        <v>272</v>
      </c>
      <c r="D360" s="16">
        <v>2</v>
      </c>
      <c r="E360" t="s">
        <v>1525</v>
      </c>
      <c r="F360" t="s">
        <v>1658</v>
      </c>
      <c r="G360" t="s">
        <v>1567</v>
      </c>
      <c r="H360" t="s">
        <v>345</v>
      </c>
      <c r="I360" s="87">
        <v>7.620000000000001</v>
      </c>
    </row>
    <row r="361" spans="1:9" x14ac:dyDescent="0.3">
      <c r="A361" t="s">
        <v>9</v>
      </c>
      <c r="B361" t="s">
        <v>1063</v>
      </c>
      <c r="C361" s="16" t="s">
        <v>272</v>
      </c>
      <c r="D361" s="16">
        <v>3</v>
      </c>
      <c r="E361" t="s">
        <v>1524</v>
      </c>
      <c r="F361" t="s">
        <v>1544</v>
      </c>
      <c r="G361" t="s">
        <v>1566</v>
      </c>
      <c r="H361" t="s">
        <v>344</v>
      </c>
      <c r="I361" s="87">
        <v>5.4249999999999998</v>
      </c>
    </row>
    <row r="362" spans="1:9" x14ac:dyDescent="0.3">
      <c r="A362" t="s">
        <v>9</v>
      </c>
      <c r="B362" t="s">
        <v>1064</v>
      </c>
      <c r="C362" s="16" t="s">
        <v>272</v>
      </c>
      <c r="D362" s="16">
        <v>2</v>
      </c>
      <c r="E362" t="s">
        <v>1524</v>
      </c>
      <c r="F362" t="s">
        <v>282</v>
      </c>
      <c r="G362" t="s">
        <v>342</v>
      </c>
      <c r="H362" t="s">
        <v>347</v>
      </c>
      <c r="I362" s="87">
        <v>6.4649999999999999</v>
      </c>
    </row>
    <row r="363" spans="1:9" x14ac:dyDescent="0.3">
      <c r="A363" t="s">
        <v>9</v>
      </c>
      <c r="B363" t="s">
        <v>1065</v>
      </c>
      <c r="C363" s="16" t="s">
        <v>272</v>
      </c>
      <c r="D363" s="16">
        <v>2</v>
      </c>
      <c r="E363" t="s">
        <v>1524</v>
      </c>
      <c r="F363" t="s">
        <v>282</v>
      </c>
      <c r="G363" t="s">
        <v>342</v>
      </c>
      <c r="H363" t="s">
        <v>347</v>
      </c>
      <c r="I363" s="87">
        <v>6.4649999999999999</v>
      </c>
    </row>
    <row r="364" spans="1:9" x14ac:dyDescent="0.3">
      <c r="A364" t="s">
        <v>9</v>
      </c>
      <c r="B364" t="s">
        <v>1066</v>
      </c>
      <c r="C364" s="16" t="s">
        <v>272</v>
      </c>
      <c r="D364" s="16">
        <v>2</v>
      </c>
      <c r="E364" t="s">
        <v>1524</v>
      </c>
      <c r="F364" t="s">
        <v>282</v>
      </c>
      <c r="G364" t="s">
        <v>342</v>
      </c>
      <c r="H364" t="s">
        <v>347</v>
      </c>
      <c r="I364" s="87">
        <v>6.4649999999999999</v>
      </c>
    </row>
    <row r="365" spans="1:9" x14ac:dyDescent="0.3">
      <c r="A365" t="s">
        <v>9</v>
      </c>
      <c r="B365" t="s">
        <v>1067</v>
      </c>
      <c r="C365" s="16" t="s">
        <v>272</v>
      </c>
      <c r="D365" s="16">
        <v>3</v>
      </c>
      <c r="E365" t="s">
        <v>1524</v>
      </c>
      <c r="F365" t="s">
        <v>1658</v>
      </c>
      <c r="G365" t="s">
        <v>1568</v>
      </c>
      <c r="H365" t="s">
        <v>1571</v>
      </c>
      <c r="I365" s="87">
        <v>6.1749999999999998</v>
      </c>
    </row>
    <row r="366" spans="1:9" x14ac:dyDescent="0.3">
      <c r="A366" t="s">
        <v>9</v>
      </c>
      <c r="B366" t="s">
        <v>1068</v>
      </c>
      <c r="C366" s="16" t="s">
        <v>272</v>
      </c>
      <c r="D366" s="16">
        <v>3</v>
      </c>
      <c r="E366" t="s">
        <v>1524</v>
      </c>
      <c r="F366" t="s">
        <v>1658</v>
      </c>
      <c r="G366" t="s">
        <v>1568</v>
      </c>
      <c r="H366" t="s">
        <v>1571</v>
      </c>
      <c r="I366" s="87">
        <v>6.1749999999999998</v>
      </c>
    </row>
    <row r="367" spans="1:9" x14ac:dyDescent="0.3">
      <c r="A367" t="s">
        <v>9</v>
      </c>
      <c r="B367" t="s">
        <v>1069</v>
      </c>
      <c r="C367" s="16" t="s">
        <v>272</v>
      </c>
      <c r="D367" s="16">
        <v>3</v>
      </c>
      <c r="E367" t="s">
        <v>1524</v>
      </c>
      <c r="F367" t="s">
        <v>1658</v>
      </c>
      <c r="G367" t="s">
        <v>1568</v>
      </c>
      <c r="H367" t="s">
        <v>1571</v>
      </c>
      <c r="I367" s="87">
        <v>6.1749999999999998</v>
      </c>
    </row>
    <row r="368" spans="1:9" x14ac:dyDescent="0.3">
      <c r="A368" t="s">
        <v>9</v>
      </c>
      <c r="B368" t="s">
        <v>1070</v>
      </c>
      <c r="C368" s="16" t="s">
        <v>272</v>
      </c>
      <c r="D368" s="16">
        <v>3</v>
      </c>
      <c r="E368" t="s">
        <v>1524</v>
      </c>
      <c r="F368" t="s">
        <v>1658</v>
      </c>
      <c r="G368" t="s">
        <v>1568</v>
      </c>
      <c r="H368" t="s">
        <v>1571</v>
      </c>
      <c r="I368" s="87">
        <v>6.1749999999999998</v>
      </c>
    </row>
    <row r="369" spans="1:9" x14ac:dyDescent="0.3">
      <c r="A369" t="s">
        <v>9</v>
      </c>
      <c r="B369" t="s">
        <v>1071</v>
      </c>
      <c r="C369" s="16" t="s">
        <v>272</v>
      </c>
      <c r="D369" s="16">
        <v>3</v>
      </c>
      <c r="E369" t="s">
        <v>1524</v>
      </c>
      <c r="F369" t="s">
        <v>1658</v>
      </c>
      <c r="G369" t="s">
        <v>1568</v>
      </c>
      <c r="H369" t="s">
        <v>1571</v>
      </c>
      <c r="I369" s="87">
        <v>6.1749999999999998</v>
      </c>
    </row>
    <row r="370" spans="1:9" x14ac:dyDescent="0.3">
      <c r="A370" t="s">
        <v>9</v>
      </c>
      <c r="B370" t="s">
        <v>1072</v>
      </c>
      <c r="C370" s="16" t="s">
        <v>272</v>
      </c>
      <c r="D370" s="16">
        <v>3</v>
      </c>
      <c r="E370" t="s">
        <v>1524</v>
      </c>
      <c r="F370" t="s">
        <v>1540</v>
      </c>
      <c r="G370" t="s">
        <v>1566</v>
      </c>
      <c r="H370" t="s">
        <v>344</v>
      </c>
      <c r="I370" s="87">
        <v>5.3250000000000002</v>
      </c>
    </row>
    <row r="371" spans="1:9" x14ac:dyDescent="0.3">
      <c r="A371" t="s">
        <v>9</v>
      </c>
      <c r="B371" t="s">
        <v>1073</v>
      </c>
      <c r="C371" s="16" t="s">
        <v>272</v>
      </c>
      <c r="D371" s="16">
        <v>3</v>
      </c>
      <c r="E371" t="s">
        <v>1524</v>
      </c>
      <c r="F371" t="s">
        <v>1540</v>
      </c>
      <c r="G371" t="s">
        <v>1566</v>
      </c>
      <c r="H371" t="s">
        <v>1658</v>
      </c>
      <c r="I371" s="87">
        <v>6</v>
      </c>
    </row>
    <row r="372" spans="1:9" x14ac:dyDescent="0.3">
      <c r="A372" t="s">
        <v>9</v>
      </c>
      <c r="B372" t="s">
        <v>1074</v>
      </c>
      <c r="C372" s="16" t="s">
        <v>272</v>
      </c>
      <c r="D372" s="16">
        <v>3</v>
      </c>
      <c r="E372" t="s">
        <v>1524</v>
      </c>
      <c r="F372" t="s">
        <v>1540</v>
      </c>
      <c r="G372" t="s">
        <v>1566</v>
      </c>
      <c r="H372" t="s">
        <v>1658</v>
      </c>
      <c r="I372" s="87">
        <v>6</v>
      </c>
    </row>
    <row r="373" spans="1:9" x14ac:dyDescent="0.3">
      <c r="A373" t="s">
        <v>9</v>
      </c>
      <c r="B373" t="s">
        <v>1075</v>
      </c>
      <c r="C373" s="16" t="s">
        <v>272</v>
      </c>
      <c r="D373" s="16">
        <v>3</v>
      </c>
      <c r="E373" t="s">
        <v>1524</v>
      </c>
      <c r="F373" t="s">
        <v>1658</v>
      </c>
      <c r="G373" t="s">
        <v>1566</v>
      </c>
      <c r="H373" t="s">
        <v>1658</v>
      </c>
      <c r="I373" s="87">
        <v>6.125</v>
      </c>
    </row>
    <row r="374" spans="1:9" x14ac:dyDescent="0.3">
      <c r="A374" t="s">
        <v>9</v>
      </c>
      <c r="B374" t="s">
        <v>1076</v>
      </c>
      <c r="C374" s="16" t="s">
        <v>272</v>
      </c>
      <c r="D374" s="16">
        <v>3</v>
      </c>
      <c r="E374" t="s">
        <v>1524</v>
      </c>
      <c r="F374" t="s">
        <v>1540</v>
      </c>
      <c r="G374" t="s">
        <v>1566</v>
      </c>
      <c r="H374" t="s">
        <v>344</v>
      </c>
      <c r="I374" s="87">
        <v>5.3250000000000002</v>
      </c>
    </row>
    <row r="375" spans="1:9" x14ac:dyDescent="0.3">
      <c r="A375" t="s">
        <v>9</v>
      </c>
      <c r="B375" t="s">
        <v>1077</v>
      </c>
      <c r="C375" s="16" t="s">
        <v>272</v>
      </c>
      <c r="D375" s="16">
        <v>3</v>
      </c>
      <c r="E375" t="s">
        <v>1524</v>
      </c>
      <c r="F375" t="s">
        <v>1540</v>
      </c>
      <c r="G375" t="s">
        <v>1566</v>
      </c>
      <c r="H375" t="s">
        <v>344</v>
      </c>
      <c r="I375" s="87">
        <v>5.3250000000000002</v>
      </c>
    </row>
    <row r="376" spans="1:9" x14ac:dyDescent="0.3">
      <c r="A376" t="s">
        <v>9</v>
      </c>
      <c r="B376" t="s">
        <v>1078</v>
      </c>
      <c r="C376" s="16" t="s">
        <v>272</v>
      </c>
      <c r="D376" s="16">
        <v>3</v>
      </c>
      <c r="E376" t="s">
        <v>1524</v>
      </c>
      <c r="F376" t="s">
        <v>282</v>
      </c>
      <c r="G376" t="s">
        <v>1567</v>
      </c>
      <c r="H376" t="s">
        <v>345</v>
      </c>
      <c r="I376" s="87">
        <v>4.875</v>
      </c>
    </row>
    <row r="377" spans="1:9" x14ac:dyDescent="0.3">
      <c r="A377" t="s">
        <v>9</v>
      </c>
      <c r="B377" t="s">
        <v>1079</v>
      </c>
      <c r="C377" s="16" t="s">
        <v>272</v>
      </c>
      <c r="D377" s="16">
        <v>3</v>
      </c>
      <c r="E377" t="s">
        <v>1524</v>
      </c>
      <c r="F377" t="s">
        <v>282</v>
      </c>
      <c r="G377" t="s">
        <v>1567</v>
      </c>
      <c r="H377" t="s">
        <v>345</v>
      </c>
      <c r="I377" s="87">
        <v>4.875</v>
      </c>
    </row>
    <row r="378" spans="1:9" x14ac:dyDescent="0.3">
      <c r="A378" t="s">
        <v>9</v>
      </c>
      <c r="B378" t="s">
        <v>1080</v>
      </c>
      <c r="C378" s="16" t="s">
        <v>272</v>
      </c>
      <c r="D378" s="16">
        <v>3</v>
      </c>
      <c r="E378" t="s">
        <v>1524</v>
      </c>
      <c r="F378" t="s">
        <v>282</v>
      </c>
      <c r="G378" t="s">
        <v>1567</v>
      </c>
      <c r="H378" t="s">
        <v>345</v>
      </c>
      <c r="I378" s="87">
        <v>4.875</v>
      </c>
    </row>
    <row r="379" spans="1:9" x14ac:dyDescent="0.3">
      <c r="A379" t="s">
        <v>9</v>
      </c>
      <c r="B379" t="s">
        <v>1081</v>
      </c>
      <c r="C379" s="16" t="s">
        <v>272</v>
      </c>
      <c r="D379" s="16">
        <v>2</v>
      </c>
      <c r="E379" t="s">
        <v>1524</v>
      </c>
      <c r="F379" t="s">
        <v>282</v>
      </c>
      <c r="G379" t="s">
        <v>341</v>
      </c>
      <c r="H379" t="s">
        <v>345</v>
      </c>
      <c r="I379" s="87">
        <v>5.8049999999999997</v>
      </c>
    </row>
    <row r="380" spans="1:9" x14ac:dyDescent="0.3">
      <c r="A380" t="s">
        <v>9</v>
      </c>
      <c r="B380" t="s">
        <v>1082</v>
      </c>
      <c r="C380" s="16" t="s">
        <v>272</v>
      </c>
      <c r="D380" s="16">
        <v>3</v>
      </c>
      <c r="E380" t="s">
        <v>1524</v>
      </c>
      <c r="F380" t="s">
        <v>282</v>
      </c>
      <c r="G380" t="s">
        <v>1566</v>
      </c>
      <c r="H380" t="s">
        <v>344</v>
      </c>
      <c r="I380" s="87">
        <v>4.875</v>
      </c>
    </row>
    <row r="381" spans="1:9" x14ac:dyDescent="0.3">
      <c r="A381" t="s">
        <v>9</v>
      </c>
      <c r="B381" t="s">
        <v>1083</v>
      </c>
      <c r="C381" s="16" t="s">
        <v>272</v>
      </c>
      <c r="D381" s="16">
        <v>2</v>
      </c>
      <c r="E381" t="s">
        <v>1524</v>
      </c>
      <c r="F381" t="s">
        <v>282</v>
      </c>
      <c r="G381" t="s">
        <v>341</v>
      </c>
      <c r="H381" t="s">
        <v>345</v>
      </c>
      <c r="I381" s="87">
        <v>5.8049999999999997</v>
      </c>
    </row>
    <row r="382" spans="1:9" x14ac:dyDescent="0.3">
      <c r="A382" t="s">
        <v>9</v>
      </c>
      <c r="B382" t="s">
        <v>1084</v>
      </c>
      <c r="C382" s="16" t="s">
        <v>272</v>
      </c>
      <c r="D382" s="16">
        <v>3</v>
      </c>
      <c r="E382" t="s">
        <v>1524</v>
      </c>
      <c r="F382" t="s">
        <v>282</v>
      </c>
      <c r="G382" t="s">
        <v>1567</v>
      </c>
      <c r="H382" t="s">
        <v>344</v>
      </c>
      <c r="I382" s="87">
        <v>4.9250000000000007</v>
      </c>
    </row>
    <row r="383" spans="1:9" x14ac:dyDescent="0.3">
      <c r="A383" t="s">
        <v>9</v>
      </c>
      <c r="B383" t="s">
        <v>1085</v>
      </c>
      <c r="C383" s="16" t="s">
        <v>272</v>
      </c>
      <c r="D383" s="16">
        <v>2</v>
      </c>
      <c r="E383" t="s">
        <v>1524</v>
      </c>
      <c r="F383" t="s">
        <v>282</v>
      </c>
      <c r="G383" t="s">
        <v>341</v>
      </c>
      <c r="H383" t="s">
        <v>345</v>
      </c>
      <c r="I383" s="87">
        <v>5.8049999999999997</v>
      </c>
    </row>
    <row r="384" spans="1:9" x14ac:dyDescent="0.3">
      <c r="A384" t="s">
        <v>9</v>
      </c>
      <c r="B384" t="s">
        <v>1086</v>
      </c>
      <c r="C384" s="16" t="s">
        <v>272</v>
      </c>
      <c r="D384" s="16">
        <v>3</v>
      </c>
      <c r="E384" t="s">
        <v>1524</v>
      </c>
      <c r="F384" t="s">
        <v>282</v>
      </c>
      <c r="G384" t="s">
        <v>1566</v>
      </c>
      <c r="H384" t="s">
        <v>344</v>
      </c>
      <c r="I384" s="87">
        <v>4.875</v>
      </c>
    </row>
    <row r="385" spans="1:9" x14ac:dyDescent="0.3">
      <c r="A385" t="s">
        <v>9</v>
      </c>
      <c r="B385" t="s">
        <v>1087</v>
      </c>
      <c r="C385" s="16" t="s">
        <v>272</v>
      </c>
      <c r="D385" s="16">
        <v>3</v>
      </c>
      <c r="E385" t="s">
        <v>1524</v>
      </c>
      <c r="F385" t="s">
        <v>282</v>
      </c>
      <c r="G385" t="s">
        <v>1566</v>
      </c>
      <c r="H385" t="s">
        <v>1570</v>
      </c>
      <c r="I385" s="87">
        <v>5.4</v>
      </c>
    </row>
    <row r="386" spans="1:9" x14ac:dyDescent="0.3">
      <c r="A386" t="s">
        <v>9</v>
      </c>
      <c r="B386" t="s">
        <v>1088</v>
      </c>
      <c r="C386" s="16" t="s">
        <v>272</v>
      </c>
      <c r="D386" s="16">
        <v>3</v>
      </c>
      <c r="E386" t="s">
        <v>1524</v>
      </c>
      <c r="F386" t="s">
        <v>282</v>
      </c>
      <c r="G386" t="s">
        <v>1566</v>
      </c>
      <c r="H386" t="s">
        <v>1570</v>
      </c>
      <c r="I386" s="87">
        <v>5.4</v>
      </c>
    </row>
    <row r="387" spans="1:9" x14ac:dyDescent="0.3">
      <c r="A387" t="s">
        <v>43</v>
      </c>
      <c r="B387" t="s">
        <v>1089</v>
      </c>
      <c r="C387" s="16" t="s">
        <v>272</v>
      </c>
      <c r="D387" s="16">
        <v>3</v>
      </c>
      <c r="E387" t="s">
        <v>1524</v>
      </c>
      <c r="F387" t="s">
        <v>1555</v>
      </c>
      <c r="G387" t="s">
        <v>1566</v>
      </c>
      <c r="H387" t="s">
        <v>1570</v>
      </c>
      <c r="I387" s="87">
        <v>5.95</v>
      </c>
    </row>
    <row r="388" spans="1:9" x14ac:dyDescent="0.3">
      <c r="A388" t="s">
        <v>43</v>
      </c>
      <c r="B388" t="s">
        <v>1090</v>
      </c>
      <c r="C388" s="16" t="s">
        <v>272</v>
      </c>
      <c r="D388" s="16">
        <v>3</v>
      </c>
      <c r="E388" t="s">
        <v>1524</v>
      </c>
      <c r="F388" t="s">
        <v>1555</v>
      </c>
      <c r="G388" t="s">
        <v>1566</v>
      </c>
      <c r="H388" t="s">
        <v>1570</v>
      </c>
      <c r="I388" s="87">
        <v>5.95</v>
      </c>
    </row>
    <row r="389" spans="1:9" x14ac:dyDescent="0.3">
      <c r="A389" t="s">
        <v>43</v>
      </c>
      <c r="B389" t="s">
        <v>1091</v>
      </c>
      <c r="C389" s="16" t="s">
        <v>272</v>
      </c>
      <c r="D389" s="16">
        <v>3</v>
      </c>
      <c r="E389" t="s">
        <v>1524</v>
      </c>
      <c r="F389" t="s">
        <v>1555</v>
      </c>
      <c r="G389" t="s">
        <v>1656</v>
      </c>
      <c r="H389" t="s">
        <v>291</v>
      </c>
      <c r="I389" s="87">
        <v>5.9550000000000001</v>
      </c>
    </row>
    <row r="390" spans="1:9" x14ac:dyDescent="0.3">
      <c r="A390" t="s">
        <v>43</v>
      </c>
      <c r="B390" t="s">
        <v>1092</v>
      </c>
      <c r="C390" s="16" t="s">
        <v>272</v>
      </c>
      <c r="D390" s="16">
        <v>3</v>
      </c>
      <c r="E390" t="s">
        <v>1524</v>
      </c>
      <c r="F390" t="s">
        <v>282</v>
      </c>
      <c r="G390" t="s">
        <v>1567</v>
      </c>
      <c r="H390" t="s">
        <v>345</v>
      </c>
      <c r="I390" s="87">
        <v>4.875</v>
      </c>
    </row>
    <row r="391" spans="1:9" x14ac:dyDescent="0.3">
      <c r="A391" t="s">
        <v>43</v>
      </c>
      <c r="B391" t="s">
        <v>1093</v>
      </c>
      <c r="C391" s="16" t="s">
        <v>272</v>
      </c>
      <c r="D391" s="16">
        <v>3</v>
      </c>
      <c r="E391" t="s">
        <v>1524</v>
      </c>
      <c r="F391" t="s">
        <v>282</v>
      </c>
      <c r="G391" t="s">
        <v>1656</v>
      </c>
      <c r="H391" t="s">
        <v>348</v>
      </c>
      <c r="I391" s="87">
        <v>5.7550000000000008</v>
      </c>
    </row>
    <row r="392" spans="1:9" x14ac:dyDescent="0.3">
      <c r="A392" t="s">
        <v>43</v>
      </c>
      <c r="B392" t="s">
        <v>1094</v>
      </c>
      <c r="C392" s="16" t="s">
        <v>272</v>
      </c>
      <c r="D392" s="16">
        <v>3</v>
      </c>
      <c r="E392" t="s">
        <v>1524</v>
      </c>
      <c r="F392" t="s">
        <v>1555</v>
      </c>
      <c r="G392" t="s">
        <v>1567</v>
      </c>
      <c r="H392" t="s">
        <v>344</v>
      </c>
      <c r="I392" s="87">
        <v>5.4750000000000005</v>
      </c>
    </row>
    <row r="393" spans="1:9" x14ac:dyDescent="0.3">
      <c r="A393" t="s">
        <v>43</v>
      </c>
      <c r="B393" t="s">
        <v>1095</v>
      </c>
      <c r="C393" s="16" t="s">
        <v>272</v>
      </c>
      <c r="D393" s="16">
        <v>3</v>
      </c>
      <c r="E393" t="s">
        <v>1524</v>
      </c>
      <c r="F393" t="s">
        <v>282</v>
      </c>
      <c r="G393" t="s">
        <v>1567</v>
      </c>
      <c r="H393" t="s">
        <v>345</v>
      </c>
      <c r="I393" s="87">
        <v>4.875</v>
      </c>
    </row>
    <row r="394" spans="1:9" x14ac:dyDescent="0.3">
      <c r="A394" t="s">
        <v>43</v>
      </c>
      <c r="B394" t="s">
        <v>1096</v>
      </c>
      <c r="C394" s="16" t="s">
        <v>272</v>
      </c>
      <c r="D394" s="16">
        <v>3</v>
      </c>
      <c r="E394" t="s">
        <v>1524</v>
      </c>
      <c r="F394" t="s">
        <v>282</v>
      </c>
      <c r="G394" t="s">
        <v>1566</v>
      </c>
      <c r="H394" t="s">
        <v>1574</v>
      </c>
      <c r="I394" s="87">
        <v>5.4250000000000007</v>
      </c>
    </row>
    <row r="395" spans="1:9" x14ac:dyDescent="0.3">
      <c r="A395" t="s">
        <v>43</v>
      </c>
      <c r="B395" t="s">
        <v>1097</v>
      </c>
      <c r="C395" s="16" t="s">
        <v>272</v>
      </c>
      <c r="D395" s="16">
        <v>3</v>
      </c>
      <c r="E395" t="s">
        <v>1524</v>
      </c>
      <c r="F395" t="s">
        <v>282</v>
      </c>
      <c r="G395" t="s">
        <v>1566</v>
      </c>
      <c r="H395" t="s">
        <v>344</v>
      </c>
      <c r="I395" s="87">
        <v>4.875</v>
      </c>
    </row>
    <row r="396" spans="1:9" x14ac:dyDescent="0.3">
      <c r="A396" t="s">
        <v>43</v>
      </c>
      <c r="B396" t="s">
        <v>1098</v>
      </c>
      <c r="C396" s="16" t="s">
        <v>272</v>
      </c>
      <c r="D396" s="16">
        <v>3</v>
      </c>
      <c r="E396" t="s">
        <v>1524</v>
      </c>
      <c r="F396" t="s">
        <v>1551</v>
      </c>
      <c r="G396" t="s">
        <v>1567</v>
      </c>
      <c r="H396" t="s">
        <v>344</v>
      </c>
      <c r="I396" s="87">
        <v>5.45</v>
      </c>
    </row>
    <row r="397" spans="1:9" x14ac:dyDescent="0.3">
      <c r="A397" t="s">
        <v>43</v>
      </c>
      <c r="B397" t="s">
        <v>1099</v>
      </c>
      <c r="C397" s="16" t="s">
        <v>272</v>
      </c>
      <c r="D397" s="16">
        <v>2</v>
      </c>
      <c r="E397" t="s">
        <v>1524</v>
      </c>
      <c r="F397" t="s">
        <v>282</v>
      </c>
      <c r="G397" t="s">
        <v>341</v>
      </c>
      <c r="H397" t="s">
        <v>345</v>
      </c>
      <c r="I397" s="87">
        <v>5.8049999999999997</v>
      </c>
    </row>
    <row r="398" spans="1:9" x14ac:dyDescent="0.3">
      <c r="A398" t="s">
        <v>43</v>
      </c>
      <c r="B398" t="s">
        <v>1100</v>
      </c>
      <c r="C398" s="16" t="s">
        <v>272</v>
      </c>
      <c r="D398" s="16">
        <v>3</v>
      </c>
      <c r="E398" t="s">
        <v>1524</v>
      </c>
      <c r="F398" t="s">
        <v>282</v>
      </c>
      <c r="G398" t="s">
        <v>1567</v>
      </c>
      <c r="H398" t="s">
        <v>345</v>
      </c>
      <c r="I398" s="87">
        <v>4.875</v>
      </c>
    </row>
    <row r="399" spans="1:9" x14ac:dyDescent="0.3">
      <c r="A399" t="s">
        <v>45</v>
      </c>
      <c r="B399" t="s">
        <v>1101</v>
      </c>
      <c r="C399" s="16" t="s">
        <v>272</v>
      </c>
      <c r="D399" s="16">
        <v>2</v>
      </c>
      <c r="E399" t="s">
        <v>1524</v>
      </c>
      <c r="F399" t="s">
        <v>1547</v>
      </c>
      <c r="G399" t="s">
        <v>342</v>
      </c>
      <c r="H399" t="s">
        <v>344</v>
      </c>
      <c r="I399" s="87">
        <v>6.2900000000000009</v>
      </c>
    </row>
    <row r="400" spans="1:9" x14ac:dyDescent="0.3">
      <c r="A400" t="s">
        <v>45</v>
      </c>
      <c r="B400" t="s">
        <v>1102</v>
      </c>
      <c r="C400" s="16" t="s">
        <v>272</v>
      </c>
      <c r="D400" s="16">
        <v>3</v>
      </c>
      <c r="E400" t="s">
        <v>1524</v>
      </c>
      <c r="F400" t="s">
        <v>1555</v>
      </c>
      <c r="G400" t="s">
        <v>1568</v>
      </c>
      <c r="H400" t="s">
        <v>344</v>
      </c>
      <c r="I400" s="87">
        <v>5.6000000000000005</v>
      </c>
    </row>
    <row r="401" spans="1:9" x14ac:dyDescent="0.3">
      <c r="A401" t="s">
        <v>45</v>
      </c>
      <c r="B401" t="s">
        <v>1103</v>
      </c>
      <c r="C401" s="16" t="s">
        <v>272</v>
      </c>
      <c r="D401" s="16">
        <v>2</v>
      </c>
      <c r="E401" t="s">
        <v>1524</v>
      </c>
      <c r="F401" t="s">
        <v>1555</v>
      </c>
      <c r="G401" t="s">
        <v>342</v>
      </c>
      <c r="H401" t="s">
        <v>344</v>
      </c>
      <c r="I401" s="87">
        <v>6.4150000000000009</v>
      </c>
    </row>
    <row r="402" spans="1:9" x14ac:dyDescent="0.3">
      <c r="A402" t="s">
        <v>45</v>
      </c>
      <c r="B402" t="s">
        <v>1104</v>
      </c>
      <c r="C402" s="16" t="s">
        <v>272</v>
      </c>
      <c r="D402" s="16">
        <v>2</v>
      </c>
      <c r="E402" t="s">
        <v>1524</v>
      </c>
      <c r="F402" t="s">
        <v>282</v>
      </c>
      <c r="G402" t="s">
        <v>342</v>
      </c>
      <c r="H402" t="s">
        <v>347</v>
      </c>
      <c r="I402" s="87">
        <v>6.4649999999999999</v>
      </c>
    </row>
    <row r="403" spans="1:9" x14ac:dyDescent="0.3">
      <c r="A403" t="s">
        <v>45</v>
      </c>
      <c r="B403" t="s">
        <v>1105</v>
      </c>
      <c r="C403" s="16" t="s">
        <v>272</v>
      </c>
      <c r="D403" s="16">
        <v>2</v>
      </c>
      <c r="E403" t="s">
        <v>1524</v>
      </c>
      <c r="F403" t="s">
        <v>1555</v>
      </c>
      <c r="G403" t="s">
        <v>342</v>
      </c>
      <c r="H403" t="s">
        <v>344</v>
      </c>
      <c r="I403" s="87">
        <v>6.4150000000000009</v>
      </c>
    </row>
    <row r="404" spans="1:9" x14ac:dyDescent="0.3">
      <c r="A404" t="s">
        <v>45</v>
      </c>
      <c r="B404" t="s">
        <v>1106</v>
      </c>
      <c r="C404" s="16" t="s">
        <v>272</v>
      </c>
      <c r="D404" s="16">
        <v>2</v>
      </c>
      <c r="E404" t="s">
        <v>1524</v>
      </c>
      <c r="F404" t="s">
        <v>282</v>
      </c>
      <c r="G404" t="s">
        <v>342</v>
      </c>
      <c r="H404" t="s">
        <v>347</v>
      </c>
      <c r="I404" s="87">
        <v>6.4649999999999999</v>
      </c>
    </row>
    <row r="405" spans="1:9" x14ac:dyDescent="0.3">
      <c r="A405" t="s">
        <v>45</v>
      </c>
      <c r="B405" t="s">
        <v>1107</v>
      </c>
      <c r="C405" s="16" t="s">
        <v>272</v>
      </c>
      <c r="D405" s="16">
        <v>2</v>
      </c>
      <c r="E405" t="s">
        <v>1524</v>
      </c>
      <c r="F405" t="s">
        <v>1555</v>
      </c>
      <c r="G405" t="s">
        <v>342</v>
      </c>
      <c r="H405" t="s">
        <v>344</v>
      </c>
      <c r="I405" s="87">
        <v>6.4150000000000009</v>
      </c>
    </row>
    <row r="406" spans="1:9" x14ac:dyDescent="0.3">
      <c r="A406" t="s">
        <v>45</v>
      </c>
      <c r="B406" t="s">
        <v>1108</v>
      </c>
      <c r="C406" s="16" t="s">
        <v>272</v>
      </c>
      <c r="D406" s="16">
        <v>2</v>
      </c>
      <c r="E406" t="s">
        <v>1524</v>
      </c>
      <c r="F406" t="s">
        <v>1555</v>
      </c>
      <c r="G406" t="s">
        <v>342</v>
      </c>
      <c r="H406" t="s">
        <v>344</v>
      </c>
      <c r="I406" s="87">
        <v>6.4150000000000009</v>
      </c>
    </row>
    <row r="407" spans="1:9" x14ac:dyDescent="0.3">
      <c r="A407" t="s">
        <v>45</v>
      </c>
      <c r="B407" t="s">
        <v>1109</v>
      </c>
      <c r="C407" s="16" t="s">
        <v>272</v>
      </c>
      <c r="D407" s="16">
        <v>3</v>
      </c>
      <c r="E407" t="s">
        <v>1524</v>
      </c>
      <c r="F407" t="s">
        <v>1540</v>
      </c>
      <c r="G407" t="s">
        <v>1568</v>
      </c>
      <c r="H407" t="s">
        <v>347</v>
      </c>
      <c r="I407" s="87">
        <v>6.1</v>
      </c>
    </row>
    <row r="408" spans="1:9" x14ac:dyDescent="0.3">
      <c r="A408" t="s">
        <v>45</v>
      </c>
      <c r="B408" t="s">
        <v>1110</v>
      </c>
      <c r="C408" s="16" t="s">
        <v>272</v>
      </c>
      <c r="D408" s="16">
        <v>2</v>
      </c>
      <c r="E408" t="s">
        <v>1524</v>
      </c>
      <c r="F408" t="s">
        <v>282</v>
      </c>
      <c r="G408" t="s">
        <v>342</v>
      </c>
      <c r="H408" t="s">
        <v>347</v>
      </c>
      <c r="I408" s="87">
        <v>6.4649999999999999</v>
      </c>
    </row>
    <row r="409" spans="1:9" x14ac:dyDescent="0.3">
      <c r="A409" t="s">
        <v>45</v>
      </c>
      <c r="B409" t="s">
        <v>1111</v>
      </c>
      <c r="C409" s="16" t="s">
        <v>272</v>
      </c>
      <c r="D409" s="16">
        <v>2</v>
      </c>
      <c r="E409" t="s">
        <v>1524</v>
      </c>
      <c r="F409" t="s">
        <v>1555</v>
      </c>
      <c r="G409" t="s">
        <v>342</v>
      </c>
      <c r="H409" t="s">
        <v>344</v>
      </c>
      <c r="I409" s="87">
        <v>6.4150000000000009</v>
      </c>
    </row>
    <row r="410" spans="1:9" x14ac:dyDescent="0.3">
      <c r="A410" t="s">
        <v>45</v>
      </c>
      <c r="B410" t="s">
        <v>1112</v>
      </c>
      <c r="C410" s="16" t="s">
        <v>272</v>
      </c>
      <c r="D410" s="16">
        <v>2</v>
      </c>
      <c r="E410" t="s">
        <v>1524</v>
      </c>
      <c r="F410" t="s">
        <v>282</v>
      </c>
      <c r="G410" t="s">
        <v>342</v>
      </c>
      <c r="H410" t="s">
        <v>344</v>
      </c>
      <c r="I410" s="87">
        <v>5.8650000000000002</v>
      </c>
    </row>
    <row r="411" spans="1:9" x14ac:dyDescent="0.3">
      <c r="A411" t="s">
        <v>45</v>
      </c>
      <c r="B411" t="s">
        <v>1113</v>
      </c>
      <c r="C411" s="16" t="s">
        <v>272</v>
      </c>
      <c r="D411" s="16">
        <v>2</v>
      </c>
      <c r="E411" t="s">
        <v>1524</v>
      </c>
      <c r="F411" t="s">
        <v>1555</v>
      </c>
      <c r="G411" t="s">
        <v>342</v>
      </c>
      <c r="H411" t="s">
        <v>344</v>
      </c>
      <c r="I411" s="87">
        <v>6.4150000000000009</v>
      </c>
    </row>
    <row r="412" spans="1:9" x14ac:dyDescent="0.3">
      <c r="A412" t="s">
        <v>45</v>
      </c>
      <c r="B412" t="s">
        <v>1114</v>
      </c>
      <c r="C412" s="16" t="s">
        <v>272</v>
      </c>
      <c r="D412" s="16">
        <v>3</v>
      </c>
      <c r="E412" t="s">
        <v>1524</v>
      </c>
      <c r="F412" t="s">
        <v>1555</v>
      </c>
      <c r="G412" t="s">
        <v>1568</v>
      </c>
      <c r="H412" t="s">
        <v>344</v>
      </c>
      <c r="I412" s="87">
        <v>5.6000000000000005</v>
      </c>
    </row>
    <row r="413" spans="1:9" x14ac:dyDescent="0.3">
      <c r="A413" t="s">
        <v>45</v>
      </c>
      <c r="B413" t="s">
        <v>1115</v>
      </c>
      <c r="C413" s="16" t="s">
        <v>272</v>
      </c>
      <c r="D413" s="16">
        <v>2</v>
      </c>
      <c r="E413" t="s">
        <v>1524</v>
      </c>
      <c r="F413" t="s">
        <v>282</v>
      </c>
      <c r="G413" t="s">
        <v>1568</v>
      </c>
      <c r="H413" t="s">
        <v>344</v>
      </c>
      <c r="I413" s="87">
        <v>5.82</v>
      </c>
    </row>
    <row r="414" spans="1:9" x14ac:dyDescent="0.3">
      <c r="A414" t="s">
        <v>45</v>
      </c>
      <c r="B414" t="s">
        <v>1116</v>
      </c>
      <c r="C414" s="16" t="s">
        <v>272</v>
      </c>
      <c r="D414" s="16">
        <v>2</v>
      </c>
      <c r="E414" t="s">
        <v>1524</v>
      </c>
      <c r="F414" t="s">
        <v>282</v>
      </c>
      <c r="G414" t="s">
        <v>1568</v>
      </c>
      <c r="H414" t="s">
        <v>344</v>
      </c>
      <c r="I414" s="87">
        <v>5.82</v>
      </c>
    </row>
    <row r="415" spans="1:9" x14ac:dyDescent="0.3">
      <c r="A415" t="s">
        <v>43</v>
      </c>
      <c r="B415" t="s">
        <v>1117</v>
      </c>
      <c r="C415" s="16" t="s">
        <v>272</v>
      </c>
      <c r="D415" s="16">
        <v>3</v>
      </c>
      <c r="E415" t="s">
        <v>1524</v>
      </c>
      <c r="F415" t="s">
        <v>282</v>
      </c>
      <c r="G415" t="s">
        <v>1567</v>
      </c>
      <c r="H415" t="s">
        <v>291</v>
      </c>
      <c r="I415" s="87">
        <v>5.2250000000000005</v>
      </c>
    </row>
    <row r="416" spans="1:9" x14ac:dyDescent="0.3">
      <c r="A416" t="s">
        <v>43</v>
      </c>
      <c r="B416" t="s">
        <v>1118</v>
      </c>
      <c r="C416" s="16" t="s">
        <v>272</v>
      </c>
      <c r="D416" s="16">
        <v>3</v>
      </c>
      <c r="E416" t="s">
        <v>1524</v>
      </c>
      <c r="F416" t="s">
        <v>282</v>
      </c>
      <c r="G416" t="s">
        <v>1567</v>
      </c>
      <c r="H416" t="s">
        <v>291</v>
      </c>
      <c r="I416" s="87">
        <v>5.2250000000000005</v>
      </c>
    </row>
    <row r="417" spans="1:9" x14ac:dyDescent="0.3">
      <c r="A417" t="s">
        <v>43</v>
      </c>
      <c r="B417" t="s">
        <v>1119</v>
      </c>
      <c r="C417" s="16" t="s">
        <v>272</v>
      </c>
      <c r="D417" s="16">
        <v>3</v>
      </c>
      <c r="E417" t="s">
        <v>1524</v>
      </c>
      <c r="F417" t="s">
        <v>282</v>
      </c>
      <c r="G417" t="s">
        <v>1567</v>
      </c>
      <c r="H417" t="s">
        <v>344</v>
      </c>
      <c r="I417" s="87">
        <v>4.9250000000000007</v>
      </c>
    </row>
    <row r="418" spans="1:9" x14ac:dyDescent="0.3">
      <c r="A418" t="s">
        <v>43</v>
      </c>
      <c r="B418" t="s">
        <v>1120</v>
      </c>
      <c r="C418" s="16" t="s">
        <v>272</v>
      </c>
      <c r="D418" s="16">
        <v>3</v>
      </c>
      <c r="E418" t="s">
        <v>1524</v>
      </c>
      <c r="F418" t="s">
        <v>282</v>
      </c>
      <c r="G418" t="s">
        <v>1566</v>
      </c>
      <c r="H418" t="s">
        <v>1571</v>
      </c>
      <c r="I418" s="87">
        <v>5.4250000000000007</v>
      </c>
    </row>
    <row r="419" spans="1:9" x14ac:dyDescent="0.3">
      <c r="A419" t="s">
        <v>43</v>
      </c>
      <c r="B419" t="s">
        <v>1121</v>
      </c>
      <c r="C419" s="16" t="s">
        <v>272</v>
      </c>
      <c r="D419" s="16">
        <v>3</v>
      </c>
      <c r="E419" t="s">
        <v>1524</v>
      </c>
      <c r="F419" t="s">
        <v>282</v>
      </c>
      <c r="G419" t="s">
        <v>1566</v>
      </c>
      <c r="H419" t="s">
        <v>1571</v>
      </c>
      <c r="I419" s="87">
        <v>5.4250000000000007</v>
      </c>
    </row>
    <row r="420" spans="1:9" x14ac:dyDescent="0.3">
      <c r="A420" t="s">
        <v>43</v>
      </c>
      <c r="B420" t="s">
        <v>1122</v>
      </c>
      <c r="C420" s="16" t="s">
        <v>272</v>
      </c>
      <c r="D420" s="16">
        <v>3</v>
      </c>
      <c r="E420" t="s">
        <v>1524</v>
      </c>
      <c r="F420" t="s">
        <v>282</v>
      </c>
      <c r="G420" t="s">
        <v>1566</v>
      </c>
      <c r="H420" t="s">
        <v>1571</v>
      </c>
      <c r="I420" s="87">
        <v>5.4250000000000007</v>
      </c>
    </row>
    <row r="421" spans="1:9" x14ac:dyDescent="0.3">
      <c r="A421" t="s">
        <v>43</v>
      </c>
      <c r="B421" t="s">
        <v>1123</v>
      </c>
      <c r="C421" s="16" t="s">
        <v>272</v>
      </c>
      <c r="D421" s="16">
        <v>3</v>
      </c>
      <c r="E421" t="s">
        <v>1524</v>
      </c>
      <c r="F421" t="s">
        <v>282</v>
      </c>
      <c r="G421" t="s">
        <v>1566</v>
      </c>
      <c r="H421" t="s">
        <v>1571</v>
      </c>
      <c r="I421" s="87">
        <v>5.4250000000000007</v>
      </c>
    </row>
    <row r="422" spans="1:9" x14ac:dyDescent="0.3">
      <c r="A422" t="s">
        <v>9</v>
      </c>
      <c r="B422" t="s">
        <v>1124</v>
      </c>
      <c r="C422" s="16" t="s">
        <v>272</v>
      </c>
      <c r="D422" s="16">
        <v>3</v>
      </c>
      <c r="E422" t="s">
        <v>1524</v>
      </c>
      <c r="F422" t="s">
        <v>1658</v>
      </c>
      <c r="G422" t="s">
        <v>1566</v>
      </c>
      <c r="H422" t="s">
        <v>1570</v>
      </c>
      <c r="I422" s="87">
        <v>5.9749999999999996</v>
      </c>
    </row>
    <row r="423" spans="1:9" x14ac:dyDescent="0.3">
      <c r="A423" t="s">
        <v>9</v>
      </c>
      <c r="B423" t="s">
        <v>1125</v>
      </c>
      <c r="C423" s="16" t="s">
        <v>272</v>
      </c>
      <c r="D423" s="16">
        <v>3</v>
      </c>
      <c r="E423" t="s">
        <v>1524</v>
      </c>
      <c r="F423" t="s">
        <v>1553</v>
      </c>
      <c r="G423" t="s">
        <v>1566</v>
      </c>
      <c r="H423" t="s">
        <v>1570</v>
      </c>
      <c r="I423" s="87">
        <v>5.95</v>
      </c>
    </row>
    <row r="424" spans="1:9" x14ac:dyDescent="0.3">
      <c r="A424" t="s">
        <v>9</v>
      </c>
      <c r="B424" t="s">
        <v>1126</v>
      </c>
      <c r="C424" s="16" t="s">
        <v>272</v>
      </c>
      <c r="D424" s="16">
        <v>3</v>
      </c>
      <c r="E424" t="s">
        <v>1524</v>
      </c>
      <c r="F424" t="s">
        <v>282</v>
      </c>
      <c r="G424" t="s">
        <v>1568</v>
      </c>
      <c r="H424" t="s">
        <v>347</v>
      </c>
      <c r="I424" s="87">
        <v>5.65</v>
      </c>
    </row>
    <row r="425" spans="1:9" x14ac:dyDescent="0.3">
      <c r="A425" t="s">
        <v>9</v>
      </c>
      <c r="B425" t="s">
        <v>1127</v>
      </c>
      <c r="C425" s="16" t="s">
        <v>272</v>
      </c>
      <c r="D425" s="16">
        <v>3</v>
      </c>
      <c r="E425" t="s">
        <v>1524</v>
      </c>
      <c r="F425" t="s">
        <v>1658</v>
      </c>
      <c r="G425" t="s">
        <v>1568</v>
      </c>
      <c r="H425" t="s">
        <v>344</v>
      </c>
      <c r="I425" s="87">
        <v>5.625</v>
      </c>
    </row>
    <row r="426" spans="1:9" x14ac:dyDescent="0.3">
      <c r="A426" t="s">
        <v>9</v>
      </c>
      <c r="B426" t="s">
        <v>1128</v>
      </c>
      <c r="C426" s="16" t="s">
        <v>272</v>
      </c>
      <c r="D426" s="16">
        <v>3</v>
      </c>
      <c r="E426" t="s">
        <v>1524</v>
      </c>
      <c r="F426" t="s">
        <v>1658</v>
      </c>
      <c r="G426" t="s">
        <v>1568</v>
      </c>
      <c r="H426" t="s">
        <v>344</v>
      </c>
      <c r="I426" s="87">
        <v>5.625</v>
      </c>
    </row>
    <row r="427" spans="1:9" x14ac:dyDescent="0.3">
      <c r="A427" t="s">
        <v>9</v>
      </c>
      <c r="B427" t="s">
        <v>1129</v>
      </c>
      <c r="C427" s="16" t="s">
        <v>272</v>
      </c>
      <c r="D427" s="16">
        <v>3</v>
      </c>
      <c r="E427" t="s">
        <v>1524</v>
      </c>
      <c r="F427" t="s">
        <v>1536</v>
      </c>
      <c r="G427" t="s">
        <v>1567</v>
      </c>
      <c r="H427" t="s">
        <v>344</v>
      </c>
      <c r="I427" s="87">
        <v>5.4750000000000005</v>
      </c>
    </row>
    <row r="428" spans="1:9" x14ac:dyDescent="0.3">
      <c r="A428" t="s">
        <v>9</v>
      </c>
      <c r="B428" t="s">
        <v>1130</v>
      </c>
      <c r="C428" s="16" t="s">
        <v>272</v>
      </c>
      <c r="D428" s="16">
        <v>3</v>
      </c>
      <c r="E428" t="s">
        <v>1524</v>
      </c>
      <c r="F428" t="s">
        <v>1536</v>
      </c>
      <c r="G428" t="s">
        <v>1567</v>
      </c>
      <c r="H428" t="s">
        <v>344</v>
      </c>
      <c r="I428" s="87">
        <v>5.4750000000000005</v>
      </c>
    </row>
    <row r="429" spans="1:9" x14ac:dyDescent="0.3">
      <c r="A429" t="s">
        <v>9</v>
      </c>
      <c r="B429" t="s">
        <v>1131</v>
      </c>
      <c r="C429" s="16" t="s">
        <v>272</v>
      </c>
      <c r="D429" s="16">
        <v>3</v>
      </c>
      <c r="E429" t="s">
        <v>1524</v>
      </c>
      <c r="F429" t="s">
        <v>282</v>
      </c>
      <c r="G429" t="s">
        <v>1568</v>
      </c>
      <c r="H429" t="s">
        <v>344</v>
      </c>
      <c r="I429" s="87">
        <v>5.0500000000000007</v>
      </c>
    </row>
    <row r="430" spans="1:9" x14ac:dyDescent="0.3">
      <c r="A430" t="s">
        <v>9</v>
      </c>
      <c r="B430" t="s">
        <v>1132</v>
      </c>
      <c r="C430" s="16" t="s">
        <v>272</v>
      </c>
      <c r="D430" s="16">
        <v>3</v>
      </c>
      <c r="E430" t="s">
        <v>1524</v>
      </c>
      <c r="F430" t="s">
        <v>282</v>
      </c>
      <c r="G430" t="s">
        <v>1568</v>
      </c>
      <c r="H430" t="s">
        <v>344</v>
      </c>
      <c r="I430" s="87">
        <v>5.0500000000000007</v>
      </c>
    </row>
    <row r="431" spans="1:9" x14ac:dyDescent="0.3">
      <c r="A431" t="s">
        <v>9</v>
      </c>
      <c r="B431" t="s">
        <v>1133</v>
      </c>
      <c r="C431" s="16" t="s">
        <v>272</v>
      </c>
      <c r="D431" s="16">
        <v>3</v>
      </c>
      <c r="E431" t="s">
        <v>1524</v>
      </c>
      <c r="F431" t="s">
        <v>282</v>
      </c>
      <c r="G431" t="s">
        <v>1568</v>
      </c>
      <c r="H431" t="s">
        <v>344</v>
      </c>
      <c r="I431" s="87">
        <v>5.0500000000000007</v>
      </c>
    </row>
    <row r="432" spans="1:9" x14ac:dyDescent="0.3">
      <c r="A432" t="s">
        <v>9</v>
      </c>
      <c r="B432" t="s">
        <v>1134</v>
      </c>
      <c r="C432" s="16" t="s">
        <v>272</v>
      </c>
      <c r="D432" s="16">
        <v>3</v>
      </c>
      <c r="E432" t="s">
        <v>1524</v>
      </c>
      <c r="F432" t="s">
        <v>1536</v>
      </c>
      <c r="G432" t="s">
        <v>1567</v>
      </c>
      <c r="H432" t="s">
        <v>344</v>
      </c>
      <c r="I432" s="87">
        <v>5.4750000000000005</v>
      </c>
    </row>
    <row r="433" spans="1:9" x14ac:dyDescent="0.3">
      <c r="A433" t="s">
        <v>45</v>
      </c>
      <c r="B433" t="s">
        <v>1135</v>
      </c>
      <c r="C433" s="16" t="s">
        <v>272</v>
      </c>
      <c r="D433" s="16">
        <v>3</v>
      </c>
      <c r="E433" t="s">
        <v>1524</v>
      </c>
      <c r="F433" t="s">
        <v>282</v>
      </c>
      <c r="G433" t="s">
        <v>1567</v>
      </c>
      <c r="H433" t="s">
        <v>344</v>
      </c>
      <c r="I433" s="87">
        <v>4.9250000000000007</v>
      </c>
    </row>
    <row r="434" spans="1:9" x14ac:dyDescent="0.3">
      <c r="A434" t="s">
        <v>45</v>
      </c>
      <c r="B434" t="s">
        <v>1136</v>
      </c>
      <c r="C434" s="16" t="s">
        <v>272</v>
      </c>
      <c r="D434" s="16">
        <v>3</v>
      </c>
      <c r="E434" t="s">
        <v>1524</v>
      </c>
      <c r="F434" t="s">
        <v>282</v>
      </c>
      <c r="G434" t="s">
        <v>1567</v>
      </c>
      <c r="H434" t="s">
        <v>344</v>
      </c>
      <c r="I434" s="87">
        <v>4.9250000000000007</v>
      </c>
    </row>
    <row r="435" spans="1:9" x14ac:dyDescent="0.3">
      <c r="A435" t="s">
        <v>45</v>
      </c>
      <c r="B435" t="s">
        <v>1137</v>
      </c>
      <c r="C435" s="16" t="s">
        <v>272</v>
      </c>
      <c r="D435" s="16">
        <v>3</v>
      </c>
      <c r="E435" t="s">
        <v>1524</v>
      </c>
      <c r="F435" t="s">
        <v>282</v>
      </c>
      <c r="G435" t="s">
        <v>1567</v>
      </c>
      <c r="H435" t="s">
        <v>344</v>
      </c>
      <c r="I435" s="87">
        <v>4.9250000000000007</v>
      </c>
    </row>
    <row r="436" spans="1:9" x14ac:dyDescent="0.3">
      <c r="A436" t="s">
        <v>45</v>
      </c>
      <c r="B436" t="s">
        <v>1138</v>
      </c>
      <c r="C436" s="16" t="s">
        <v>272</v>
      </c>
      <c r="D436" s="16">
        <v>3</v>
      </c>
      <c r="E436" t="s">
        <v>1524</v>
      </c>
      <c r="F436" t="s">
        <v>282</v>
      </c>
      <c r="G436" t="s">
        <v>1567</v>
      </c>
      <c r="H436" t="s">
        <v>344</v>
      </c>
      <c r="I436" s="87">
        <v>4.9250000000000007</v>
      </c>
    </row>
    <row r="437" spans="1:9" x14ac:dyDescent="0.3">
      <c r="A437" t="s">
        <v>45</v>
      </c>
      <c r="B437" t="s">
        <v>1139</v>
      </c>
      <c r="C437" s="16" t="s">
        <v>272</v>
      </c>
      <c r="D437" s="16">
        <v>3</v>
      </c>
      <c r="E437" t="s">
        <v>1524</v>
      </c>
      <c r="F437" t="s">
        <v>282</v>
      </c>
      <c r="G437" t="s">
        <v>1567</v>
      </c>
      <c r="H437" t="s">
        <v>344</v>
      </c>
      <c r="I437" s="87">
        <v>4.9250000000000007</v>
      </c>
    </row>
    <row r="438" spans="1:9" x14ac:dyDescent="0.3">
      <c r="A438" t="s">
        <v>45</v>
      </c>
      <c r="B438" t="s">
        <v>1140</v>
      </c>
      <c r="C438" s="16" t="s">
        <v>272</v>
      </c>
      <c r="D438" s="16">
        <v>3</v>
      </c>
      <c r="E438" t="s">
        <v>1524</v>
      </c>
      <c r="F438" t="s">
        <v>282</v>
      </c>
      <c r="G438" t="s">
        <v>1567</v>
      </c>
      <c r="H438" t="s">
        <v>344</v>
      </c>
      <c r="I438" s="87">
        <v>4.9250000000000007</v>
      </c>
    </row>
    <row r="439" spans="1:9" x14ac:dyDescent="0.3">
      <c r="A439" t="s">
        <v>45</v>
      </c>
      <c r="B439" t="s">
        <v>1141</v>
      </c>
      <c r="C439" s="16" t="s">
        <v>272</v>
      </c>
      <c r="D439" s="16">
        <v>3</v>
      </c>
      <c r="E439" t="s">
        <v>1524</v>
      </c>
      <c r="F439" t="s">
        <v>282</v>
      </c>
      <c r="G439" t="s">
        <v>1567</v>
      </c>
      <c r="H439" t="s">
        <v>344</v>
      </c>
      <c r="I439" s="87">
        <v>4.9250000000000007</v>
      </c>
    </row>
    <row r="440" spans="1:9" x14ac:dyDescent="0.3">
      <c r="A440" t="s">
        <v>45</v>
      </c>
      <c r="B440" t="s">
        <v>1142</v>
      </c>
      <c r="C440" s="16" t="s">
        <v>272</v>
      </c>
      <c r="D440" s="16">
        <v>2</v>
      </c>
      <c r="E440" t="s">
        <v>1524</v>
      </c>
      <c r="F440" t="s">
        <v>282</v>
      </c>
      <c r="G440" t="s">
        <v>341</v>
      </c>
      <c r="H440" t="s">
        <v>344</v>
      </c>
      <c r="I440" s="87">
        <v>5.8550000000000004</v>
      </c>
    </row>
    <row r="441" spans="1:9" x14ac:dyDescent="0.3">
      <c r="A441" t="s">
        <v>45</v>
      </c>
      <c r="B441" t="s">
        <v>1143</v>
      </c>
      <c r="C441" s="16" t="s">
        <v>272</v>
      </c>
      <c r="D441" s="16">
        <v>3</v>
      </c>
      <c r="E441" t="s">
        <v>1524</v>
      </c>
      <c r="F441" t="s">
        <v>282</v>
      </c>
      <c r="G441" t="s">
        <v>1567</v>
      </c>
      <c r="H441" t="s">
        <v>344</v>
      </c>
      <c r="I441" s="87">
        <v>4.9250000000000007</v>
      </c>
    </row>
    <row r="442" spans="1:9" x14ac:dyDescent="0.3">
      <c r="A442" t="s">
        <v>45</v>
      </c>
      <c r="B442" t="s">
        <v>1144</v>
      </c>
      <c r="C442" s="16" t="s">
        <v>272</v>
      </c>
      <c r="D442" s="16">
        <v>3</v>
      </c>
      <c r="E442" t="s">
        <v>1524</v>
      </c>
      <c r="F442" t="s">
        <v>282</v>
      </c>
      <c r="G442" t="s">
        <v>1567</v>
      </c>
      <c r="H442" t="s">
        <v>344</v>
      </c>
      <c r="I442" s="87">
        <v>4.9250000000000007</v>
      </c>
    </row>
    <row r="443" spans="1:9" x14ac:dyDescent="0.3">
      <c r="A443" t="s">
        <v>45</v>
      </c>
      <c r="B443" t="s">
        <v>1145</v>
      </c>
      <c r="C443" s="16" t="s">
        <v>272</v>
      </c>
      <c r="D443" s="16">
        <v>3</v>
      </c>
      <c r="E443" t="s">
        <v>1524</v>
      </c>
      <c r="F443" t="s">
        <v>1540</v>
      </c>
      <c r="G443" t="s">
        <v>1567</v>
      </c>
      <c r="H443" t="s">
        <v>291</v>
      </c>
      <c r="I443" s="87">
        <v>5.6749999999999998</v>
      </c>
    </row>
    <row r="444" spans="1:9" x14ac:dyDescent="0.3">
      <c r="A444" t="s">
        <v>45</v>
      </c>
      <c r="B444" t="s">
        <v>1146</v>
      </c>
      <c r="C444" s="16" t="s">
        <v>272</v>
      </c>
      <c r="D444" s="16">
        <v>3</v>
      </c>
      <c r="E444" t="s">
        <v>1524</v>
      </c>
      <c r="F444" t="s">
        <v>282</v>
      </c>
      <c r="G444" t="s">
        <v>1567</v>
      </c>
      <c r="H444" t="s">
        <v>344</v>
      </c>
      <c r="I444" s="87">
        <v>4.9250000000000007</v>
      </c>
    </row>
    <row r="445" spans="1:9" x14ac:dyDescent="0.3">
      <c r="A445" t="s">
        <v>45</v>
      </c>
      <c r="B445" t="s">
        <v>1147</v>
      </c>
      <c r="C445" s="16" t="s">
        <v>272</v>
      </c>
      <c r="D445" s="16">
        <v>3</v>
      </c>
      <c r="E445" t="s">
        <v>1524</v>
      </c>
      <c r="F445" t="s">
        <v>282</v>
      </c>
      <c r="G445" t="s">
        <v>1567</v>
      </c>
      <c r="H445" t="s">
        <v>344</v>
      </c>
      <c r="I445" s="87">
        <v>4.9250000000000007</v>
      </c>
    </row>
    <row r="446" spans="1:9" x14ac:dyDescent="0.3">
      <c r="A446" t="s">
        <v>45</v>
      </c>
      <c r="B446" t="s">
        <v>1148</v>
      </c>
      <c r="C446" s="16" t="s">
        <v>272</v>
      </c>
      <c r="D446" s="16">
        <v>3</v>
      </c>
      <c r="E446" t="s">
        <v>1524</v>
      </c>
      <c r="F446" t="s">
        <v>282</v>
      </c>
      <c r="G446" t="s">
        <v>1567</v>
      </c>
      <c r="H446" t="s">
        <v>344</v>
      </c>
      <c r="I446" s="87">
        <v>4.9250000000000007</v>
      </c>
    </row>
    <row r="447" spans="1:9" x14ac:dyDescent="0.3">
      <c r="A447" t="s">
        <v>45</v>
      </c>
      <c r="B447" t="s">
        <v>1149</v>
      </c>
      <c r="C447" s="16" t="s">
        <v>272</v>
      </c>
      <c r="D447" s="16">
        <v>3</v>
      </c>
      <c r="E447" t="s">
        <v>1524</v>
      </c>
      <c r="F447" t="s">
        <v>282</v>
      </c>
      <c r="G447" t="s">
        <v>1567</v>
      </c>
      <c r="H447" t="s">
        <v>344</v>
      </c>
      <c r="I447" s="87">
        <v>4.9250000000000007</v>
      </c>
    </row>
    <row r="448" spans="1:9" x14ac:dyDescent="0.3">
      <c r="A448" t="s">
        <v>45</v>
      </c>
      <c r="B448" t="s">
        <v>1150</v>
      </c>
      <c r="C448" s="16" t="s">
        <v>272</v>
      </c>
      <c r="D448" s="16">
        <v>3</v>
      </c>
      <c r="E448" t="s">
        <v>1524</v>
      </c>
      <c r="F448" t="s">
        <v>1540</v>
      </c>
      <c r="G448" t="s">
        <v>1567</v>
      </c>
      <c r="H448" t="s">
        <v>291</v>
      </c>
      <c r="I448" s="87">
        <v>5.6749999999999998</v>
      </c>
    </row>
    <row r="449" spans="1:9" x14ac:dyDescent="0.3">
      <c r="A449" t="s">
        <v>45</v>
      </c>
      <c r="B449" t="s">
        <v>1151</v>
      </c>
      <c r="C449" s="16" t="s">
        <v>272</v>
      </c>
      <c r="D449" s="16">
        <v>3</v>
      </c>
      <c r="E449" t="s">
        <v>1524</v>
      </c>
      <c r="F449" t="s">
        <v>282</v>
      </c>
      <c r="G449" t="s">
        <v>1567</v>
      </c>
      <c r="H449" t="s">
        <v>344</v>
      </c>
      <c r="I449" s="87">
        <v>4.9250000000000007</v>
      </c>
    </row>
    <row r="450" spans="1:9" x14ac:dyDescent="0.3">
      <c r="A450" t="s">
        <v>45</v>
      </c>
      <c r="B450" t="s">
        <v>1152</v>
      </c>
      <c r="C450" s="16" t="s">
        <v>272</v>
      </c>
      <c r="D450" s="16">
        <v>3</v>
      </c>
      <c r="E450" t="s">
        <v>1524</v>
      </c>
      <c r="F450" t="s">
        <v>1540</v>
      </c>
      <c r="G450" t="s">
        <v>1567</v>
      </c>
      <c r="H450" t="s">
        <v>1570</v>
      </c>
      <c r="I450" s="87">
        <v>5.9</v>
      </c>
    </row>
    <row r="451" spans="1:9" x14ac:dyDescent="0.3">
      <c r="A451" t="s">
        <v>45</v>
      </c>
      <c r="B451" t="s">
        <v>1153</v>
      </c>
      <c r="C451" s="16" t="s">
        <v>272</v>
      </c>
      <c r="D451" s="16">
        <v>3</v>
      </c>
      <c r="E451" t="s">
        <v>1524</v>
      </c>
      <c r="F451" t="s">
        <v>1536</v>
      </c>
      <c r="G451" t="s">
        <v>340</v>
      </c>
      <c r="H451" t="s">
        <v>348</v>
      </c>
      <c r="I451" s="87">
        <v>6.3000000000000007</v>
      </c>
    </row>
    <row r="452" spans="1:9" x14ac:dyDescent="0.3">
      <c r="A452" t="s">
        <v>9</v>
      </c>
      <c r="B452" t="s">
        <v>1154</v>
      </c>
      <c r="C452" s="16" t="s">
        <v>272</v>
      </c>
      <c r="D452" s="16">
        <v>3</v>
      </c>
      <c r="E452" t="s">
        <v>1524</v>
      </c>
      <c r="F452" t="s">
        <v>282</v>
      </c>
      <c r="G452" t="s">
        <v>1567</v>
      </c>
      <c r="H452" t="s">
        <v>291</v>
      </c>
      <c r="I452" s="87">
        <v>5.2250000000000005</v>
      </c>
    </row>
    <row r="453" spans="1:9" x14ac:dyDescent="0.3">
      <c r="A453" t="s">
        <v>9</v>
      </c>
      <c r="B453" t="s">
        <v>1155</v>
      </c>
      <c r="C453" s="16" t="s">
        <v>272</v>
      </c>
      <c r="D453" s="16">
        <v>3</v>
      </c>
      <c r="E453" t="s">
        <v>1524</v>
      </c>
      <c r="F453" t="s">
        <v>1551</v>
      </c>
      <c r="G453" t="s">
        <v>1567</v>
      </c>
      <c r="H453" t="s">
        <v>291</v>
      </c>
      <c r="I453" s="87">
        <v>5.75</v>
      </c>
    </row>
    <row r="454" spans="1:9" x14ac:dyDescent="0.3">
      <c r="A454" t="s">
        <v>9</v>
      </c>
      <c r="B454" t="s">
        <v>1156</v>
      </c>
      <c r="C454" s="16" t="s">
        <v>272</v>
      </c>
      <c r="D454" s="16">
        <v>3</v>
      </c>
      <c r="E454" t="s">
        <v>1524</v>
      </c>
      <c r="F454" t="s">
        <v>1551</v>
      </c>
      <c r="G454" t="s">
        <v>1567</v>
      </c>
      <c r="H454" t="s">
        <v>291</v>
      </c>
      <c r="I454" s="87">
        <v>5.75</v>
      </c>
    </row>
    <row r="455" spans="1:9" x14ac:dyDescent="0.3">
      <c r="A455" t="s">
        <v>9</v>
      </c>
      <c r="B455" t="s">
        <v>1157</v>
      </c>
      <c r="C455" s="16" t="s">
        <v>272</v>
      </c>
      <c r="D455" s="16">
        <v>3</v>
      </c>
      <c r="E455" t="s">
        <v>1524</v>
      </c>
      <c r="F455" t="s">
        <v>282</v>
      </c>
      <c r="G455" t="s">
        <v>1566</v>
      </c>
      <c r="H455" t="s">
        <v>1571</v>
      </c>
      <c r="I455" s="87">
        <v>5.4250000000000007</v>
      </c>
    </row>
    <row r="456" spans="1:9" x14ac:dyDescent="0.3">
      <c r="A456" t="s">
        <v>9</v>
      </c>
      <c r="B456" t="s">
        <v>1158</v>
      </c>
      <c r="C456" s="16" t="s">
        <v>272</v>
      </c>
      <c r="D456" s="16">
        <v>2</v>
      </c>
      <c r="E456" t="s">
        <v>1524</v>
      </c>
      <c r="F456" t="s">
        <v>282</v>
      </c>
      <c r="G456" t="s">
        <v>341</v>
      </c>
      <c r="H456" t="s">
        <v>344</v>
      </c>
      <c r="I456" s="87">
        <v>5.8550000000000004</v>
      </c>
    </row>
    <row r="457" spans="1:9" x14ac:dyDescent="0.3">
      <c r="A457" t="s">
        <v>9</v>
      </c>
      <c r="B457" t="s">
        <v>1159</v>
      </c>
      <c r="C457" s="16" t="s">
        <v>272</v>
      </c>
      <c r="D457" s="16">
        <v>3</v>
      </c>
      <c r="E457" t="s">
        <v>1524</v>
      </c>
      <c r="F457" t="s">
        <v>282</v>
      </c>
      <c r="G457" t="s">
        <v>341</v>
      </c>
      <c r="H457" t="s">
        <v>344</v>
      </c>
      <c r="I457" s="87">
        <v>5.085</v>
      </c>
    </row>
    <row r="458" spans="1:9" x14ac:dyDescent="0.3">
      <c r="A458" t="s">
        <v>9</v>
      </c>
      <c r="B458" t="s">
        <v>1160</v>
      </c>
      <c r="C458" s="16" t="s">
        <v>272</v>
      </c>
      <c r="D458" s="16">
        <v>3</v>
      </c>
      <c r="E458" t="s">
        <v>1524</v>
      </c>
      <c r="F458" t="s">
        <v>282</v>
      </c>
      <c r="G458" t="s">
        <v>341</v>
      </c>
      <c r="H458" t="s">
        <v>344</v>
      </c>
      <c r="I458" s="87">
        <v>5.085</v>
      </c>
    </row>
    <row r="459" spans="1:9" x14ac:dyDescent="0.3">
      <c r="A459" t="s">
        <v>9</v>
      </c>
      <c r="B459" t="s">
        <v>1161</v>
      </c>
      <c r="C459" s="16" t="s">
        <v>272</v>
      </c>
      <c r="D459" s="16">
        <v>3</v>
      </c>
      <c r="E459" t="s">
        <v>1524</v>
      </c>
      <c r="F459" t="s">
        <v>282</v>
      </c>
      <c r="G459" t="s">
        <v>1566</v>
      </c>
      <c r="H459" t="s">
        <v>1570</v>
      </c>
      <c r="I459" s="87">
        <v>5.4</v>
      </c>
    </row>
    <row r="460" spans="1:9" x14ac:dyDescent="0.3">
      <c r="A460" t="s">
        <v>9</v>
      </c>
      <c r="B460" t="s">
        <v>1162</v>
      </c>
      <c r="C460" s="16" t="s">
        <v>272</v>
      </c>
      <c r="D460" s="16">
        <v>3</v>
      </c>
      <c r="E460" t="s">
        <v>1524</v>
      </c>
      <c r="F460" t="s">
        <v>282</v>
      </c>
      <c r="G460" t="s">
        <v>1567</v>
      </c>
      <c r="H460" t="s">
        <v>344</v>
      </c>
      <c r="I460" s="87">
        <v>4.9250000000000007</v>
      </c>
    </row>
  </sheetData>
  <autoFilter ref="T1:X257" xr:uid="{93F3D780-3A90-46F4-AAA0-24FC19140999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912DA20-5B54-47CC-8D2A-CA4C78635162}">
          <x14:formula1>
            <xm:f>DimensionsEval!$H$3:$K$3</xm:f>
          </x14:formula1>
          <xm:sqref>D2:D460</xm:sqref>
        </x14:dataValidation>
        <x14:dataValidation type="list" allowBlank="1" showInputMessage="1" showErrorMessage="1" xr:uid="{51B36E12-1940-4BE8-AB13-3E2797CB06DE}">
          <x14:formula1>
            <xm:f>DimensionsEval!$H$2:$L$2</xm:f>
          </x14:formula1>
          <xm:sqref>C2:C460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5767-D79E-427A-9881-2829DB98A247}">
  <sheetPr>
    <tabColor rgb="FF006666"/>
  </sheetPr>
  <dimension ref="A1:BG205"/>
  <sheetViews>
    <sheetView zoomScale="93" zoomScaleNormal="93" workbookViewId="0">
      <selection activeCell="AS51" sqref="AS51"/>
    </sheetView>
  </sheetViews>
  <sheetFormatPr defaultRowHeight="14.4" x14ac:dyDescent="0.3"/>
  <cols>
    <col min="1" max="1" width="4" customWidth="1"/>
    <col min="2" max="2" width="14.6640625" bestFit="1" customWidth="1"/>
    <col min="10" max="10" width="9.109375" style="49"/>
    <col min="12" max="12" width="16.88671875" bestFit="1" customWidth="1"/>
    <col min="13" max="14" width="11.44140625" bestFit="1" customWidth="1"/>
    <col min="15" max="15" width="12.5546875" bestFit="1" customWidth="1"/>
    <col min="16" max="18" width="12.5546875" customWidth="1"/>
    <col min="19" max="19" width="16.44140625" bestFit="1" customWidth="1"/>
    <col min="20" max="21" width="16.44140625" customWidth="1"/>
    <col min="26" max="26" width="8.109375" customWidth="1"/>
    <col min="27" max="27" width="18.109375" bestFit="1" customWidth="1"/>
    <col min="28" max="28" width="7.5546875" bestFit="1" customWidth="1"/>
    <col min="29" max="29" width="21.44140625" bestFit="1" customWidth="1"/>
    <col min="30" max="30" width="27.44140625" bestFit="1" customWidth="1"/>
    <col min="31" max="31" width="35.5546875" bestFit="1" customWidth="1"/>
    <col min="32" max="32" width="44.6640625" bestFit="1" customWidth="1"/>
    <col min="33" max="33" width="28.44140625" bestFit="1" customWidth="1"/>
    <col min="36" max="36" width="9.6640625" bestFit="1" customWidth="1"/>
    <col min="37" max="38" width="5.44140625" customWidth="1"/>
    <col min="39" max="39" width="8.5546875" bestFit="1" customWidth="1"/>
    <col min="40" max="41" width="5.44140625" customWidth="1"/>
    <col min="42" max="42" width="26.5546875" bestFit="1" customWidth="1"/>
    <col min="43" max="44" width="5.44140625" customWidth="1"/>
    <col min="45" max="45" width="34.33203125" bestFit="1" customWidth="1"/>
    <col min="46" max="47" width="5.44140625" customWidth="1"/>
    <col min="48" max="48" width="44.109375" bestFit="1" customWidth="1"/>
    <col min="49" max="50" width="5.44140625" customWidth="1"/>
    <col min="51" max="51" width="26.6640625" bestFit="1" customWidth="1"/>
    <col min="52" max="53" width="5.44140625" customWidth="1"/>
  </cols>
  <sheetData>
    <row r="1" spans="1:59" x14ac:dyDescent="0.3">
      <c r="AJ1" s="91" t="s">
        <v>1515</v>
      </c>
      <c r="AK1" s="6"/>
      <c r="AL1" s="98">
        <v>0.1</v>
      </c>
      <c r="AM1" s="98"/>
      <c r="AN1" s="99"/>
      <c r="AO1" s="98">
        <v>0.1</v>
      </c>
      <c r="AP1" s="98"/>
      <c r="AQ1" s="98"/>
      <c r="AR1" s="98">
        <v>0.25</v>
      </c>
      <c r="AS1" s="98"/>
      <c r="AT1" s="98"/>
      <c r="AU1" s="1">
        <v>0.25</v>
      </c>
      <c r="AV1" s="98"/>
      <c r="AW1" s="98"/>
      <c r="AX1" s="1">
        <v>0.05</v>
      </c>
      <c r="AY1" s="98"/>
      <c r="AZ1" s="98"/>
      <c r="BA1" s="1">
        <v>0.25</v>
      </c>
    </row>
    <row r="2" spans="1:5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684</v>
      </c>
      <c r="F2" s="2" t="s">
        <v>4</v>
      </c>
      <c r="G2" s="3" t="s">
        <v>5</v>
      </c>
      <c r="H2" s="3" t="s">
        <v>6</v>
      </c>
      <c r="I2" s="3" t="s">
        <v>7</v>
      </c>
      <c r="J2" s="60" t="s">
        <v>8</v>
      </c>
      <c r="K2" s="12" t="s">
        <v>196</v>
      </c>
      <c r="L2" s="13" t="s">
        <v>197</v>
      </c>
      <c r="M2" s="12" t="s">
        <v>198</v>
      </c>
      <c r="N2" s="12" t="s">
        <v>199</v>
      </c>
      <c r="O2" s="62" t="s">
        <v>200</v>
      </c>
      <c r="P2" s="62" t="s">
        <v>202</v>
      </c>
      <c r="Q2" s="62" t="s">
        <v>203</v>
      </c>
      <c r="R2" s="62" t="s">
        <v>208</v>
      </c>
      <c r="S2" s="14" t="s">
        <v>204</v>
      </c>
      <c r="T2" s="20" t="s">
        <v>205</v>
      </c>
      <c r="U2" s="14" t="s">
        <v>206</v>
      </c>
      <c r="V2" s="64" t="s">
        <v>201</v>
      </c>
      <c r="W2" s="65" t="s">
        <v>207</v>
      </c>
      <c r="Z2" s="91" t="s">
        <v>0</v>
      </c>
      <c r="AA2" s="91" t="s">
        <v>684</v>
      </c>
      <c r="AB2" s="91" t="s">
        <v>196</v>
      </c>
      <c r="AC2" s="92" t="s">
        <v>197</v>
      </c>
      <c r="AD2" s="91" t="s">
        <v>1523</v>
      </c>
      <c r="AE2" s="93" t="s">
        <v>1530</v>
      </c>
      <c r="AF2" s="93" t="s">
        <v>1565</v>
      </c>
      <c r="AG2" s="91" t="s">
        <v>1575</v>
      </c>
      <c r="AJ2" s="91" t="s">
        <v>1577</v>
      </c>
      <c r="AK2" s="92" t="s">
        <v>1516</v>
      </c>
      <c r="AL2" s="92" t="s">
        <v>1517</v>
      </c>
      <c r="AM2" s="91" t="s">
        <v>1576</v>
      </c>
      <c r="AN2" s="92" t="s">
        <v>1516</v>
      </c>
      <c r="AO2" s="92" t="s">
        <v>1518</v>
      </c>
      <c r="AP2" s="91" t="s">
        <v>1578</v>
      </c>
      <c r="AQ2" s="91" t="s">
        <v>1516</v>
      </c>
      <c r="AR2" s="91" t="s">
        <v>1519</v>
      </c>
      <c r="AS2" s="94" t="s">
        <v>1581</v>
      </c>
      <c r="AT2" s="91" t="s">
        <v>1516</v>
      </c>
      <c r="AU2" s="91" t="s">
        <v>1520</v>
      </c>
      <c r="AV2" s="95" t="s">
        <v>1579</v>
      </c>
      <c r="AW2" s="91" t="s">
        <v>1516</v>
      </c>
      <c r="AX2" s="91" t="s">
        <v>1521</v>
      </c>
      <c r="AY2" s="96" t="s">
        <v>1580</v>
      </c>
      <c r="AZ2" s="91" t="s">
        <v>1516</v>
      </c>
      <c r="BA2" s="91" t="s">
        <v>1522</v>
      </c>
      <c r="BF2" t="s">
        <v>1563</v>
      </c>
      <c r="BG2" t="s">
        <v>1564</v>
      </c>
    </row>
    <row r="3" spans="1:59" x14ac:dyDescent="0.3">
      <c r="A3" s="38" t="s">
        <v>43</v>
      </c>
      <c r="B3" s="38" t="s">
        <v>50</v>
      </c>
      <c r="C3" s="38" t="s">
        <v>11</v>
      </c>
      <c r="D3" s="38" t="s">
        <v>12</v>
      </c>
      <c r="E3" s="38" t="s">
        <v>703</v>
      </c>
      <c r="F3" s="38" t="b">
        <v>1</v>
      </c>
      <c r="G3" s="38">
        <v>99.9</v>
      </c>
      <c r="H3" s="38">
        <v>0</v>
      </c>
      <c r="I3" s="38">
        <v>13397</v>
      </c>
      <c r="J3" s="61" t="s">
        <v>18</v>
      </c>
      <c r="K3" s="55" t="s">
        <v>272</v>
      </c>
      <c r="L3" s="55">
        <v>3</v>
      </c>
      <c r="M3" s="55" t="s">
        <v>333</v>
      </c>
      <c r="N3" s="55" t="s">
        <v>279</v>
      </c>
      <c r="O3" s="56" t="s">
        <v>281</v>
      </c>
      <c r="P3" s="57" t="s">
        <v>273</v>
      </c>
      <c r="Q3" s="57" t="s">
        <v>284</v>
      </c>
      <c r="R3" s="58" t="s">
        <v>371</v>
      </c>
      <c r="S3" s="55" t="s">
        <v>341</v>
      </c>
      <c r="T3" s="55" t="s">
        <v>340</v>
      </c>
      <c r="U3" s="56" t="s">
        <v>343</v>
      </c>
      <c r="V3" s="40" t="s">
        <v>344</v>
      </c>
      <c r="W3" s="41" t="s">
        <v>291</v>
      </c>
      <c r="Z3" t="s">
        <v>43</v>
      </c>
      <c r="AA3" t="s">
        <v>703</v>
      </c>
      <c r="AB3" s="88" t="s">
        <v>272</v>
      </c>
      <c r="AC3" s="88">
        <v>3</v>
      </c>
      <c r="AD3" t="s">
        <v>1529</v>
      </c>
      <c r="AE3" t="s">
        <v>1628</v>
      </c>
      <c r="AF3" t="s">
        <v>1567</v>
      </c>
      <c r="AG3" t="s">
        <v>1570</v>
      </c>
      <c r="AJ3" s="88" t="s">
        <v>272</v>
      </c>
      <c r="AK3">
        <f>COUNTIF($AB$3:$AB$205,AJ3)</f>
        <v>197</v>
      </c>
      <c r="AL3">
        <f>((COUNTA($AA$3:$AA$205)-AK3)*10)/COUNTA($AA$3:$AA$205)</f>
        <v>0.29556650246305421</v>
      </c>
      <c r="AM3" s="88">
        <v>3</v>
      </c>
      <c r="AN3">
        <f>COUNTIF($AC$3:$AC$205,AM3)</f>
        <v>167</v>
      </c>
      <c r="AO3">
        <f>((COUNTA($AA$3:$AA$205)-AN3)*10)/COUNTA($AA$3:$AA$205)</f>
        <v>1.7733990147783252</v>
      </c>
      <c r="AP3" t="s">
        <v>1529</v>
      </c>
      <c r="AQ3">
        <f>COUNTIF($AD$3:$AD$205,AP3)</f>
        <v>1</v>
      </c>
      <c r="AR3" s="97">
        <f>((COUNTA($AA$3:$AA$205)-AQ3)*10)/COUNTA($AA$3:$AA$205)</f>
        <v>9.9507389162561584</v>
      </c>
      <c r="AS3" t="s">
        <v>1628</v>
      </c>
      <c r="AT3">
        <f t="shared" ref="AT3:AT31" si="0">COUNTIF($AE$3:$AE$205,AS3)</f>
        <v>2</v>
      </c>
      <c r="AU3" s="97">
        <f t="shared" ref="AU3:AU31" si="1">((COUNTA($AA$3:$AA$205)-AT3)*10)/COUNTA($AA$3:$AA$205)</f>
        <v>9.9014778325123149</v>
      </c>
      <c r="AV3" t="s">
        <v>1567</v>
      </c>
      <c r="AW3">
        <f t="shared" ref="AW3:AW10" si="2">COUNTIF($AF$3:$AF$205,AV3)</f>
        <v>114</v>
      </c>
      <c r="AX3" s="97">
        <f t="shared" ref="AX3:AX10" si="3">((COUNTA($AA$3:$AA$205)-AW3)*10)/COUNTA($AA$3:$AA$205)</f>
        <v>4.3842364532019706</v>
      </c>
      <c r="AY3" t="s">
        <v>345</v>
      </c>
      <c r="AZ3">
        <f t="shared" ref="AZ3:AZ18" si="4">COUNTIF($AG$3:$AG$205,AY3)</f>
        <v>20</v>
      </c>
      <c r="BA3" s="97">
        <f t="shared" ref="BA3:BA18" si="5">((COUNTA($AA$3:$AA$205)-AZ3)*10)/COUNTA($AA$3:$AA$205)</f>
        <v>9.014778325123153</v>
      </c>
      <c r="BF3" s="29" t="s">
        <v>1538</v>
      </c>
      <c r="BG3" s="29" t="s">
        <v>1534</v>
      </c>
    </row>
    <row r="4" spans="1:59" x14ac:dyDescent="0.3">
      <c r="A4" t="s">
        <v>43</v>
      </c>
      <c r="B4" t="s">
        <v>50</v>
      </c>
      <c r="C4" t="s">
        <v>15</v>
      </c>
      <c r="D4" t="s">
        <v>12</v>
      </c>
      <c r="E4" t="s">
        <v>707</v>
      </c>
      <c r="F4" t="b">
        <v>1</v>
      </c>
      <c r="G4">
        <v>69.2</v>
      </c>
      <c r="H4">
        <v>0</v>
      </c>
      <c r="I4">
        <v>15028</v>
      </c>
      <c r="J4" s="61" t="s">
        <v>13</v>
      </c>
      <c r="K4" s="16" t="s">
        <v>272</v>
      </c>
      <c r="L4" s="16">
        <v>3</v>
      </c>
      <c r="M4" s="16" t="s">
        <v>277</v>
      </c>
      <c r="N4" s="16" t="s">
        <v>335</v>
      </c>
      <c r="O4" s="15" t="s">
        <v>281</v>
      </c>
      <c r="P4" s="15" t="s">
        <v>273</v>
      </c>
      <c r="Q4" s="15" t="s">
        <v>282</v>
      </c>
      <c r="R4" s="17" t="s">
        <v>371</v>
      </c>
      <c r="S4" s="16" t="s">
        <v>341</v>
      </c>
      <c r="T4" s="16" t="s">
        <v>340</v>
      </c>
      <c r="U4" s="15" t="s">
        <v>343</v>
      </c>
      <c r="V4" s="15" t="s">
        <v>344</v>
      </c>
      <c r="W4" s="17" t="s">
        <v>371</v>
      </c>
      <c r="Z4" t="s">
        <v>43</v>
      </c>
      <c r="AA4" t="s">
        <v>707</v>
      </c>
      <c r="AB4" s="16" t="s">
        <v>272</v>
      </c>
      <c r="AC4" s="16">
        <v>3</v>
      </c>
      <c r="AD4" t="s">
        <v>1524</v>
      </c>
      <c r="AE4" t="s">
        <v>1629</v>
      </c>
      <c r="AF4" t="s">
        <v>1567</v>
      </c>
      <c r="AG4" t="s">
        <v>344</v>
      </c>
      <c r="AJ4" s="16" t="s">
        <v>273</v>
      </c>
      <c r="AK4">
        <f>COUNTIF($AB$3:$AB$205,AJ4)</f>
        <v>6</v>
      </c>
      <c r="AL4">
        <f>((COUNTA($AA$3:$AA$205)-AK4)*10)/COUNTA($AA$3:$AA$205)</f>
        <v>9.7044334975369466</v>
      </c>
      <c r="AM4" s="16">
        <v>2</v>
      </c>
      <c r="AN4">
        <f>COUNTIF($AC$3:$AC$205,AM4)</f>
        <v>36</v>
      </c>
      <c r="AO4">
        <f>((COUNTA($AA$3:$AA$205)-AN4)*10)/COUNTA($AA$3:$AA$205)</f>
        <v>8.2266009852216744</v>
      </c>
      <c r="AP4" t="s">
        <v>1524</v>
      </c>
      <c r="AQ4">
        <f>COUNTIF($AD$3:$AD$205,AP4)</f>
        <v>182</v>
      </c>
      <c r="AR4" s="97">
        <f>((COUNTA($AA$3:$AA$205)-AQ4)*10)/COUNTA($AA$3:$AA$205)</f>
        <v>1.0344827586206897</v>
      </c>
      <c r="AS4" t="s">
        <v>1629</v>
      </c>
      <c r="AT4">
        <f t="shared" si="0"/>
        <v>5</v>
      </c>
      <c r="AU4" s="97">
        <f t="shared" si="1"/>
        <v>9.7536945812807883</v>
      </c>
      <c r="AV4" t="s">
        <v>1568</v>
      </c>
      <c r="AW4">
        <f t="shared" si="2"/>
        <v>13</v>
      </c>
      <c r="AX4" s="97">
        <f t="shared" si="3"/>
        <v>9.3596059113300498</v>
      </c>
      <c r="AY4" t="s">
        <v>1625</v>
      </c>
      <c r="AZ4">
        <f t="shared" si="4"/>
        <v>1</v>
      </c>
      <c r="BA4" s="97">
        <f t="shared" si="5"/>
        <v>9.9507389162561584</v>
      </c>
      <c r="BF4" t="s">
        <v>1539</v>
      </c>
      <c r="BG4" s="29" t="s">
        <v>1535</v>
      </c>
    </row>
    <row r="5" spans="1:59" x14ac:dyDescent="0.3">
      <c r="A5" t="s">
        <v>43</v>
      </c>
      <c r="B5" t="s">
        <v>50</v>
      </c>
      <c r="C5" t="s">
        <v>14</v>
      </c>
      <c r="D5" t="s">
        <v>12</v>
      </c>
      <c r="E5" t="s">
        <v>708</v>
      </c>
      <c r="F5" t="b">
        <v>1</v>
      </c>
      <c r="G5">
        <v>100</v>
      </c>
      <c r="H5">
        <v>1</v>
      </c>
      <c r="I5">
        <v>14512</v>
      </c>
      <c r="J5" s="61" t="s">
        <v>13</v>
      </c>
      <c r="K5" s="16" t="s">
        <v>272</v>
      </c>
      <c r="L5" s="16">
        <v>3</v>
      </c>
      <c r="M5" s="16" t="s">
        <v>277</v>
      </c>
      <c r="N5" s="16" t="s">
        <v>335</v>
      </c>
      <c r="O5" s="15" t="s">
        <v>281</v>
      </c>
      <c r="P5" s="15" t="s">
        <v>273</v>
      </c>
      <c r="Q5" s="15" t="s">
        <v>282</v>
      </c>
      <c r="R5" s="17" t="s">
        <v>371</v>
      </c>
      <c r="S5" s="16" t="s">
        <v>341</v>
      </c>
      <c r="T5" s="16" t="s">
        <v>340</v>
      </c>
      <c r="U5" s="15" t="s">
        <v>343</v>
      </c>
      <c r="V5" s="15" t="s">
        <v>344</v>
      </c>
      <c r="W5" s="17" t="s">
        <v>371</v>
      </c>
      <c r="Z5" t="s">
        <v>43</v>
      </c>
      <c r="AA5" t="s">
        <v>708</v>
      </c>
      <c r="AB5" s="16" t="s">
        <v>272</v>
      </c>
      <c r="AC5" s="16">
        <v>3</v>
      </c>
      <c r="AD5" t="s">
        <v>1524</v>
      </c>
      <c r="AE5" t="s">
        <v>1629</v>
      </c>
      <c r="AF5" t="s">
        <v>1567</v>
      </c>
      <c r="AG5" t="s">
        <v>344</v>
      </c>
      <c r="AP5" t="s">
        <v>334</v>
      </c>
      <c r="AQ5">
        <f>COUNTIF($AD$3:$AD$205,AP5)</f>
        <v>1</v>
      </c>
      <c r="AR5" s="97">
        <f>((COUNTA($AA$3:$AA$205)-AQ5)*10)/COUNTA($AA$3:$AA$205)</f>
        <v>9.9507389162561584</v>
      </c>
      <c r="AS5" t="s">
        <v>282</v>
      </c>
      <c r="AT5">
        <f t="shared" si="0"/>
        <v>81</v>
      </c>
      <c r="AU5" s="97">
        <f t="shared" si="1"/>
        <v>6.0098522167487687</v>
      </c>
      <c r="AV5" t="s">
        <v>1566</v>
      </c>
      <c r="AW5">
        <f t="shared" si="2"/>
        <v>46</v>
      </c>
      <c r="AX5" s="97">
        <f t="shared" si="3"/>
        <v>7.7339901477832509</v>
      </c>
      <c r="AY5" t="s">
        <v>1572</v>
      </c>
      <c r="AZ5">
        <f t="shared" si="4"/>
        <v>5</v>
      </c>
      <c r="BA5" s="97">
        <f t="shared" si="5"/>
        <v>9.7536945812807883</v>
      </c>
      <c r="BF5" t="s">
        <v>1541</v>
      </c>
      <c r="BG5" s="29" t="s">
        <v>1535</v>
      </c>
    </row>
    <row r="6" spans="1:59" x14ac:dyDescent="0.3">
      <c r="A6" t="s">
        <v>43</v>
      </c>
      <c r="B6" t="s">
        <v>50</v>
      </c>
      <c r="C6" t="s">
        <v>19</v>
      </c>
      <c r="D6" t="s">
        <v>12</v>
      </c>
      <c r="E6" t="s">
        <v>709</v>
      </c>
      <c r="F6" t="b">
        <v>1</v>
      </c>
      <c r="G6">
        <v>100</v>
      </c>
      <c r="H6">
        <v>1</v>
      </c>
      <c r="I6">
        <v>20421</v>
      </c>
      <c r="J6" s="61" t="s">
        <v>18</v>
      </c>
      <c r="K6" s="16" t="s">
        <v>272</v>
      </c>
      <c r="L6" s="16">
        <v>3</v>
      </c>
      <c r="M6" s="16" t="s">
        <v>277</v>
      </c>
      <c r="N6" s="16" t="s">
        <v>335</v>
      </c>
      <c r="O6" s="15" t="s">
        <v>281</v>
      </c>
      <c r="P6" s="15" t="s">
        <v>273</v>
      </c>
      <c r="Q6" s="15" t="s">
        <v>282</v>
      </c>
      <c r="R6" s="17" t="s">
        <v>371</v>
      </c>
      <c r="S6" s="16" t="s">
        <v>341</v>
      </c>
      <c r="T6" s="16" t="s">
        <v>340</v>
      </c>
      <c r="U6" s="15" t="s">
        <v>343</v>
      </c>
      <c r="V6" s="15" t="s">
        <v>344</v>
      </c>
      <c r="W6" s="17" t="s">
        <v>371</v>
      </c>
      <c r="Z6" t="s">
        <v>43</v>
      </c>
      <c r="AA6" t="s">
        <v>709</v>
      </c>
      <c r="AB6" s="16" t="s">
        <v>272</v>
      </c>
      <c r="AC6" s="16">
        <v>3</v>
      </c>
      <c r="AD6" t="s">
        <v>1524</v>
      </c>
      <c r="AE6" t="s">
        <v>1629</v>
      </c>
      <c r="AF6" t="s">
        <v>1567</v>
      </c>
      <c r="AG6" t="s">
        <v>344</v>
      </c>
      <c r="AP6" t="s">
        <v>1525</v>
      </c>
      <c r="AQ6">
        <f>COUNTIF($AD$3:$AD$205,AP6)</f>
        <v>12</v>
      </c>
      <c r="AR6" s="97">
        <f>((COUNTA($AA$3:$AA$205)-AQ6)*10)/COUNTA($AA$3:$AA$205)</f>
        <v>9.4088669950738915</v>
      </c>
      <c r="AS6" t="s">
        <v>1537</v>
      </c>
      <c r="AT6">
        <f t="shared" si="0"/>
        <v>11</v>
      </c>
      <c r="AU6" s="97">
        <f t="shared" si="1"/>
        <v>9.4581280788177349</v>
      </c>
      <c r="AV6" t="s">
        <v>341</v>
      </c>
      <c r="AW6">
        <f t="shared" si="2"/>
        <v>16</v>
      </c>
      <c r="AX6" s="97">
        <f t="shared" si="3"/>
        <v>9.2118226600985214</v>
      </c>
      <c r="AY6" t="s">
        <v>1573</v>
      </c>
      <c r="AZ6">
        <f t="shared" si="4"/>
        <v>7</v>
      </c>
      <c r="BA6" s="97">
        <f t="shared" si="5"/>
        <v>9.6551724137931032</v>
      </c>
      <c r="BF6" t="s">
        <v>1543</v>
      </c>
      <c r="BG6" s="29" t="s">
        <v>1535</v>
      </c>
    </row>
    <row r="7" spans="1:59" x14ac:dyDescent="0.3">
      <c r="A7" t="s">
        <v>43</v>
      </c>
      <c r="B7" t="s">
        <v>50</v>
      </c>
      <c r="C7" t="s">
        <v>17</v>
      </c>
      <c r="D7" t="s">
        <v>12</v>
      </c>
      <c r="E7" t="s">
        <v>710</v>
      </c>
      <c r="F7" t="b">
        <v>1</v>
      </c>
      <c r="G7">
        <v>100</v>
      </c>
      <c r="H7">
        <v>1</v>
      </c>
      <c r="I7">
        <v>18768</v>
      </c>
      <c r="J7" s="61" t="s">
        <v>18</v>
      </c>
      <c r="K7" s="16" t="s">
        <v>272</v>
      </c>
      <c r="L7" s="16">
        <v>3</v>
      </c>
      <c r="M7" s="16" t="s">
        <v>277</v>
      </c>
      <c r="N7" s="16" t="s">
        <v>335</v>
      </c>
      <c r="O7" s="15" t="s">
        <v>281</v>
      </c>
      <c r="P7" s="15" t="s">
        <v>273</v>
      </c>
      <c r="Q7" t="s">
        <v>282</v>
      </c>
      <c r="R7" s="17" t="s">
        <v>371</v>
      </c>
      <c r="S7" s="16" t="s">
        <v>341</v>
      </c>
      <c r="T7" s="16" t="s">
        <v>340</v>
      </c>
      <c r="U7" s="15" t="s">
        <v>343</v>
      </c>
      <c r="V7" s="15" t="s">
        <v>344</v>
      </c>
      <c r="W7" s="17" t="s">
        <v>371</v>
      </c>
      <c r="Z7" t="s">
        <v>43</v>
      </c>
      <c r="AA7" t="s">
        <v>710</v>
      </c>
      <c r="AB7" s="16" t="s">
        <v>272</v>
      </c>
      <c r="AC7" s="16">
        <v>3</v>
      </c>
      <c r="AD7" t="s">
        <v>1524</v>
      </c>
      <c r="AE7" t="s">
        <v>1629</v>
      </c>
      <c r="AF7" t="s">
        <v>1567</v>
      </c>
      <c r="AG7" t="s">
        <v>344</v>
      </c>
      <c r="AP7" t="s">
        <v>1526</v>
      </c>
      <c r="AQ7">
        <f>COUNTIF($AD$3:$AD$205,AP7)</f>
        <v>7</v>
      </c>
      <c r="AR7" s="97">
        <f>((COUNTA($AA$3:$AA$205)-AQ7)*10)/COUNTA($AA$3:$AA$205)</f>
        <v>9.6551724137931032</v>
      </c>
      <c r="AS7" t="s">
        <v>1560</v>
      </c>
      <c r="AT7">
        <f t="shared" si="0"/>
        <v>2</v>
      </c>
      <c r="AU7" s="97">
        <f t="shared" si="1"/>
        <v>9.9014778325123149</v>
      </c>
      <c r="AV7" t="s">
        <v>1654</v>
      </c>
      <c r="AW7">
        <f t="shared" si="2"/>
        <v>1</v>
      </c>
      <c r="AX7" s="97">
        <f t="shared" si="3"/>
        <v>9.9507389162561584</v>
      </c>
      <c r="AY7" t="s">
        <v>1622</v>
      </c>
      <c r="AZ7">
        <f t="shared" si="4"/>
        <v>4</v>
      </c>
      <c r="BA7" s="97">
        <f t="shared" si="5"/>
        <v>9.8029556650246299</v>
      </c>
      <c r="BF7" s="29" t="s">
        <v>1554</v>
      </c>
      <c r="BG7" s="29" t="s">
        <v>1537</v>
      </c>
    </row>
    <row r="8" spans="1:59" x14ac:dyDescent="0.3">
      <c r="A8" t="s">
        <v>43</v>
      </c>
      <c r="B8" t="s">
        <v>50</v>
      </c>
      <c r="C8" t="s">
        <v>16</v>
      </c>
      <c r="D8" t="s">
        <v>12</v>
      </c>
      <c r="E8" t="s">
        <v>711</v>
      </c>
      <c r="F8" t="b">
        <v>1</v>
      </c>
      <c r="G8">
        <v>100</v>
      </c>
      <c r="H8">
        <v>1</v>
      </c>
      <c r="I8">
        <v>17066</v>
      </c>
      <c r="J8" s="61" t="s">
        <v>18</v>
      </c>
      <c r="K8" s="16" t="s">
        <v>272</v>
      </c>
      <c r="L8" s="16">
        <v>3</v>
      </c>
      <c r="M8" s="16" t="s">
        <v>277</v>
      </c>
      <c r="N8" s="16" t="s">
        <v>335</v>
      </c>
      <c r="O8" s="15" t="s">
        <v>281</v>
      </c>
      <c r="P8" t="s">
        <v>273</v>
      </c>
      <c r="Q8" t="s">
        <v>282</v>
      </c>
      <c r="R8" s="17" t="s">
        <v>371</v>
      </c>
      <c r="S8" s="16" t="s">
        <v>341</v>
      </c>
      <c r="T8" s="16" t="s">
        <v>340</v>
      </c>
      <c r="U8" s="15" t="s">
        <v>343</v>
      </c>
      <c r="V8" s="15" t="s">
        <v>344</v>
      </c>
      <c r="W8" s="17" t="s">
        <v>291</v>
      </c>
      <c r="Z8" t="s">
        <v>43</v>
      </c>
      <c r="AA8" t="s">
        <v>711</v>
      </c>
      <c r="AB8" s="16" t="s">
        <v>272</v>
      </c>
      <c r="AC8" s="16">
        <v>3</v>
      </c>
      <c r="AD8" t="s">
        <v>1524</v>
      </c>
      <c r="AE8" t="s">
        <v>1629</v>
      </c>
      <c r="AF8" t="s">
        <v>1567</v>
      </c>
      <c r="AG8" t="s">
        <v>1570</v>
      </c>
      <c r="AS8" t="s">
        <v>1540</v>
      </c>
      <c r="AT8">
        <f t="shared" si="0"/>
        <v>9</v>
      </c>
      <c r="AU8" s="97">
        <f t="shared" si="1"/>
        <v>9.5566502463054182</v>
      </c>
      <c r="AV8" t="s">
        <v>343</v>
      </c>
      <c r="AW8">
        <f t="shared" si="2"/>
        <v>6</v>
      </c>
      <c r="AX8" s="97">
        <f t="shared" si="3"/>
        <v>9.7044334975369466</v>
      </c>
      <c r="AY8" t="s">
        <v>377</v>
      </c>
      <c r="AZ8">
        <f t="shared" si="4"/>
        <v>5</v>
      </c>
      <c r="BA8" s="97">
        <f t="shared" si="5"/>
        <v>9.7536945812807883</v>
      </c>
      <c r="BF8" s="29" t="s">
        <v>1556</v>
      </c>
      <c r="BG8" t="s">
        <v>1546</v>
      </c>
    </row>
    <row r="9" spans="1:59" x14ac:dyDescent="0.3">
      <c r="A9" t="s">
        <v>45</v>
      </c>
      <c r="B9" t="s">
        <v>68</v>
      </c>
      <c r="C9" t="s">
        <v>15</v>
      </c>
      <c r="D9" t="s">
        <v>12</v>
      </c>
      <c r="E9" t="s">
        <v>719</v>
      </c>
      <c r="F9" t="b">
        <v>1</v>
      </c>
      <c r="G9">
        <v>100</v>
      </c>
      <c r="H9">
        <v>1</v>
      </c>
      <c r="I9">
        <v>11618</v>
      </c>
      <c r="J9" s="61" t="s">
        <v>18</v>
      </c>
      <c r="K9" s="16" t="s">
        <v>272</v>
      </c>
      <c r="L9" s="16">
        <v>3</v>
      </c>
      <c r="M9" s="16" t="s">
        <v>277</v>
      </c>
      <c r="N9" s="16" t="s">
        <v>335</v>
      </c>
      <c r="O9" s="15" t="s">
        <v>282</v>
      </c>
      <c r="P9" t="s">
        <v>371</v>
      </c>
      <c r="Q9" t="s">
        <v>371</v>
      </c>
      <c r="R9" s="17" t="s">
        <v>371</v>
      </c>
      <c r="S9" s="16" t="s">
        <v>340</v>
      </c>
      <c r="T9" s="16" t="s">
        <v>342</v>
      </c>
      <c r="U9" s="15" t="s">
        <v>343</v>
      </c>
      <c r="V9" s="15" t="s">
        <v>344</v>
      </c>
      <c r="W9" s="17" t="s">
        <v>291</v>
      </c>
      <c r="Z9" t="s">
        <v>45</v>
      </c>
      <c r="AA9" t="s">
        <v>719</v>
      </c>
      <c r="AB9" s="16" t="s">
        <v>272</v>
      </c>
      <c r="AC9" s="16">
        <v>3</v>
      </c>
      <c r="AD9" t="s">
        <v>1524</v>
      </c>
      <c r="AE9" t="s">
        <v>282</v>
      </c>
      <c r="AF9" t="s">
        <v>1568</v>
      </c>
      <c r="AG9" t="s">
        <v>1570</v>
      </c>
      <c r="AS9" t="s">
        <v>334</v>
      </c>
      <c r="AT9">
        <f t="shared" si="0"/>
        <v>1</v>
      </c>
      <c r="AU9" s="97">
        <f t="shared" si="1"/>
        <v>9.9507389162561584</v>
      </c>
      <c r="AV9" t="s">
        <v>340</v>
      </c>
      <c r="AW9">
        <f t="shared" si="2"/>
        <v>1</v>
      </c>
      <c r="AX9" s="97">
        <f t="shared" si="3"/>
        <v>9.9507389162561584</v>
      </c>
      <c r="AY9" t="s">
        <v>348</v>
      </c>
      <c r="AZ9">
        <f t="shared" si="4"/>
        <v>2</v>
      </c>
      <c r="BA9" s="97">
        <f t="shared" si="5"/>
        <v>9.9014778325123149</v>
      </c>
      <c r="BF9" t="s">
        <v>1558</v>
      </c>
      <c r="BG9" s="29" t="s">
        <v>1547</v>
      </c>
    </row>
    <row r="10" spans="1:59" x14ac:dyDescent="0.3">
      <c r="A10" t="s">
        <v>45</v>
      </c>
      <c r="B10" t="s">
        <v>68</v>
      </c>
      <c r="C10" t="s">
        <v>14</v>
      </c>
      <c r="D10" t="s">
        <v>12</v>
      </c>
      <c r="E10" t="s">
        <v>720</v>
      </c>
      <c r="F10" t="b">
        <v>1</v>
      </c>
      <c r="G10">
        <v>91</v>
      </c>
      <c r="H10">
        <v>0</v>
      </c>
      <c r="I10">
        <v>14925</v>
      </c>
      <c r="J10" s="61" t="s">
        <v>13</v>
      </c>
      <c r="K10" s="16" t="s">
        <v>272</v>
      </c>
      <c r="L10" s="16">
        <v>3</v>
      </c>
      <c r="M10" s="16" t="s">
        <v>277</v>
      </c>
      <c r="N10" s="16" t="s">
        <v>335</v>
      </c>
      <c r="O10" s="15" t="s">
        <v>281</v>
      </c>
      <c r="P10" t="s">
        <v>282</v>
      </c>
      <c r="Q10" t="s">
        <v>371</v>
      </c>
      <c r="R10" s="17" t="s">
        <v>371</v>
      </c>
      <c r="S10" s="16" t="s">
        <v>341</v>
      </c>
      <c r="T10" s="16" t="s">
        <v>340</v>
      </c>
      <c r="U10" s="15" t="s">
        <v>343</v>
      </c>
      <c r="V10" s="15" t="s">
        <v>344</v>
      </c>
      <c r="W10" s="17" t="s">
        <v>346</v>
      </c>
      <c r="Z10" t="s">
        <v>45</v>
      </c>
      <c r="AA10" t="s">
        <v>720</v>
      </c>
      <c r="AB10" s="16" t="s">
        <v>272</v>
      </c>
      <c r="AC10" s="16">
        <v>3</v>
      </c>
      <c r="AD10" t="s">
        <v>1524</v>
      </c>
      <c r="AE10" t="s">
        <v>1537</v>
      </c>
      <c r="AF10" t="s">
        <v>1567</v>
      </c>
      <c r="AG10" t="s">
        <v>1620</v>
      </c>
      <c r="AS10" t="s">
        <v>1534</v>
      </c>
      <c r="AT10">
        <f t="shared" si="0"/>
        <v>4</v>
      </c>
      <c r="AU10" s="97">
        <f t="shared" si="1"/>
        <v>9.8029556650246299</v>
      </c>
      <c r="AV10" t="s">
        <v>342</v>
      </c>
      <c r="AW10">
        <f t="shared" si="2"/>
        <v>6</v>
      </c>
      <c r="AX10" s="97">
        <f t="shared" si="3"/>
        <v>9.7044334975369466</v>
      </c>
      <c r="AY10" t="s">
        <v>291</v>
      </c>
      <c r="AZ10">
        <f t="shared" si="4"/>
        <v>17</v>
      </c>
      <c r="BA10" s="97">
        <f t="shared" si="5"/>
        <v>9.1625615763546797</v>
      </c>
      <c r="BF10" t="s">
        <v>1638</v>
      </c>
      <c r="BG10" s="29" t="s">
        <v>1540</v>
      </c>
    </row>
    <row r="11" spans="1:59" x14ac:dyDescent="0.3">
      <c r="A11" t="s">
        <v>45</v>
      </c>
      <c r="B11" t="s">
        <v>68</v>
      </c>
      <c r="C11" t="s">
        <v>11</v>
      </c>
      <c r="D11" t="s">
        <v>12</v>
      </c>
      <c r="E11" t="s">
        <v>721</v>
      </c>
      <c r="F11" t="b">
        <v>1</v>
      </c>
      <c r="G11">
        <v>100</v>
      </c>
      <c r="H11">
        <v>1</v>
      </c>
      <c r="I11">
        <v>11946</v>
      </c>
      <c r="J11" s="61" t="s">
        <v>13</v>
      </c>
      <c r="K11" s="16" t="s">
        <v>272</v>
      </c>
      <c r="L11" s="16">
        <v>3</v>
      </c>
      <c r="M11" s="16" t="s">
        <v>277</v>
      </c>
      <c r="N11" s="16" t="s">
        <v>335</v>
      </c>
      <c r="O11" s="15" t="s">
        <v>281</v>
      </c>
      <c r="P11" t="s">
        <v>282</v>
      </c>
      <c r="Q11" t="s">
        <v>371</v>
      </c>
      <c r="R11" s="17" t="s">
        <v>371</v>
      </c>
      <c r="S11" s="16" t="s">
        <v>341</v>
      </c>
      <c r="T11" s="16" t="s">
        <v>340</v>
      </c>
      <c r="U11" s="15" t="s">
        <v>343</v>
      </c>
      <c r="V11" s="15" t="s">
        <v>344</v>
      </c>
      <c r="W11" s="17" t="s">
        <v>346</v>
      </c>
      <c r="Z11" t="s">
        <v>45</v>
      </c>
      <c r="AA11" t="s">
        <v>721</v>
      </c>
      <c r="AB11" s="16" t="s">
        <v>272</v>
      </c>
      <c r="AC11" s="16">
        <v>3</v>
      </c>
      <c r="AD11" t="s">
        <v>1524</v>
      </c>
      <c r="AE11" t="s">
        <v>1537</v>
      </c>
      <c r="AF11" t="s">
        <v>1567</v>
      </c>
      <c r="AG11" t="s">
        <v>1620</v>
      </c>
      <c r="AS11" t="s">
        <v>283</v>
      </c>
      <c r="AT11">
        <f t="shared" si="0"/>
        <v>1</v>
      </c>
      <c r="AU11" s="97">
        <f t="shared" si="1"/>
        <v>9.9507389162561584</v>
      </c>
      <c r="AX11" s="97"/>
      <c r="AY11" t="s">
        <v>347</v>
      </c>
      <c r="AZ11">
        <f t="shared" si="4"/>
        <v>7</v>
      </c>
      <c r="BA11" s="97">
        <f t="shared" si="5"/>
        <v>9.6551724137931032</v>
      </c>
      <c r="BF11" t="s">
        <v>1648</v>
      </c>
      <c r="BG11" s="29" t="s">
        <v>1544</v>
      </c>
    </row>
    <row r="12" spans="1:59" x14ac:dyDescent="0.3">
      <c r="A12" t="s">
        <v>45</v>
      </c>
      <c r="B12" t="s">
        <v>68</v>
      </c>
      <c r="C12" t="s">
        <v>17</v>
      </c>
      <c r="D12" t="s">
        <v>12</v>
      </c>
      <c r="E12" t="s">
        <v>722</v>
      </c>
      <c r="F12" t="b">
        <v>1</v>
      </c>
      <c r="G12">
        <v>83.3</v>
      </c>
      <c r="H12">
        <v>0</v>
      </c>
      <c r="I12">
        <v>14818</v>
      </c>
      <c r="J12" s="61" t="s">
        <v>13</v>
      </c>
      <c r="K12" s="16" t="s">
        <v>272</v>
      </c>
      <c r="L12" s="16">
        <v>3</v>
      </c>
      <c r="M12" s="16" t="s">
        <v>277</v>
      </c>
      <c r="N12" s="16" t="s">
        <v>335</v>
      </c>
      <c r="O12" s="15" t="s">
        <v>282</v>
      </c>
      <c r="P12" t="s">
        <v>371</v>
      </c>
      <c r="Q12" t="s">
        <v>371</v>
      </c>
      <c r="R12" s="17" t="s">
        <v>371</v>
      </c>
      <c r="S12" s="16" t="s">
        <v>341</v>
      </c>
      <c r="T12" s="16" t="s">
        <v>342</v>
      </c>
      <c r="U12" s="15" t="s">
        <v>343</v>
      </c>
      <c r="V12" s="15" t="s">
        <v>345</v>
      </c>
      <c r="W12" s="17" t="s">
        <v>344</v>
      </c>
      <c r="Z12" t="s">
        <v>45</v>
      </c>
      <c r="AA12" t="s">
        <v>722</v>
      </c>
      <c r="AB12" s="16" t="s">
        <v>272</v>
      </c>
      <c r="AC12" s="16">
        <v>3</v>
      </c>
      <c r="AD12" t="s">
        <v>1524</v>
      </c>
      <c r="AE12" t="s">
        <v>282</v>
      </c>
      <c r="AF12" t="s">
        <v>1566</v>
      </c>
      <c r="AG12" t="s">
        <v>1574</v>
      </c>
      <c r="AS12" t="s">
        <v>1631</v>
      </c>
      <c r="AT12">
        <f t="shared" si="0"/>
        <v>3</v>
      </c>
      <c r="AU12" s="97">
        <f t="shared" si="1"/>
        <v>9.8522167487684733</v>
      </c>
      <c r="AX12" s="97"/>
      <c r="AY12" t="s">
        <v>1621</v>
      </c>
      <c r="AZ12">
        <f t="shared" si="4"/>
        <v>1</v>
      </c>
      <c r="BA12" s="97">
        <f t="shared" si="5"/>
        <v>9.9507389162561584</v>
      </c>
      <c r="BF12" t="s">
        <v>1640</v>
      </c>
      <c r="BG12" s="29" t="s">
        <v>1557</v>
      </c>
    </row>
    <row r="13" spans="1:59" x14ac:dyDescent="0.3">
      <c r="A13" t="s">
        <v>45</v>
      </c>
      <c r="B13" t="s">
        <v>68</v>
      </c>
      <c r="C13" t="s">
        <v>16</v>
      </c>
      <c r="D13" t="s">
        <v>12</v>
      </c>
      <c r="E13" t="s">
        <v>723</v>
      </c>
      <c r="F13" t="b">
        <v>1</v>
      </c>
      <c r="G13">
        <v>100</v>
      </c>
      <c r="H13">
        <v>1</v>
      </c>
      <c r="I13">
        <v>15080</v>
      </c>
      <c r="J13" s="61" t="s">
        <v>18</v>
      </c>
      <c r="K13" s="16" t="s">
        <v>272</v>
      </c>
      <c r="L13" s="16">
        <v>3</v>
      </c>
      <c r="M13" s="16" t="s">
        <v>277</v>
      </c>
      <c r="N13" s="16" t="s">
        <v>335</v>
      </c>
      <c r="O13" s="15" t="s">
        <v>282</v>
      </c>
      <c r="P13" t="s">
        <v>371</v>
      </c>
      <c r="Q13" t="s">
        <v>371</v>
      </c>
      <c r="R13" s="17" t="s">
        <v>371</v>
      </c>
      <c r="S13" s="16" t="s">
        <v>341</v>
      </c>
      <c r="T13" s="16" t="s">
        <v>342</v>
      </c>
      <c r="U13" s="15" t="s">
        <v>343</v>
      </c>
      <c r="V13" s="15" t="s">
        <v>345</v>
      </c>
      <c r="W13" s="17" t="s">
        <v>344</v>
      </c>
      <c r="Z13" t="s">
        <v>45</v>
      </c>
      <c r="AA13" t="s">
        <v>723</v>
      </c>
      <c r="AB13" s="16" t="s">
        <v>272</v>
      </c>
      <c r="AC13" s="16">
        <v>3</v>
      </c>
      <c r="AD13" t="s">
        <v>1524</v>
      </c>
      <c r="AE13" t="s">
        <v>282</v>
      </c>
      <c r="AF13" t="s">
        <v>1566</v>
      </c>
      <c r="AG13" t="s">
        <v>1574</v>
      </c>
      <c r="AS13" t="s">
        <v>1546</v>
      </c>
      <c r="AT13">
        <f t="shared" si="0"/>
        <v>8</v>
      </c>
      <c r="AU13" s="97">
        <f t="shared" si="1"/>
        <v>9.6059113300492616</v>
      </c>
      <c r="AX13" s="97"/>
      <c r="AY13" t="s">
        <v>344</v>
      </c>
      <c r="AZ13">
        <f t="shared" si="4"/>
        <v>102</v>
      </c>
      <c r="BA13" s="97">
        <f t="shared" si="5"/>
        <v>4.9753694581280792</v>
      </c>
      <c r="BF13" t="s">
        <v>1651</v>
      </c>
      <c r="BG13" t="s">
        <v>1551</v>
      </c>
    </row>
    <row r="14" spans="1:59" x14ac:dyDescent="0.3">
      <c r="A14" t="s">
        <v>9</v>
      </c>
      <c r="B14" t="s">
        <v>60</v>
      </c>
      <c r="C14" t="s">
        <v>15</v>
      </c>
      <c r="D14" t="s">
        <v>12</v>
      </c>
      <c r="E14" t="s">
        <v>733</v>
      </c>
      <c r="F14" t="b">
        <v>1</v>
      </c>
      <c r="G14">
        <v>100</v>
      </c>
      <c r="H14">
        <v>1</v>
      </c>
      <c r="I14">
        <v>9375</v>
      </c>
      <c r="J14" s="61" t="s">
        <v>18</v>
      </c>
      <c r="K14" s="16" t="s">
        <v>272</v>
      </c>
      <c r="L14" s="16">
        <v>3</v>
      </c>
      <c r="M14" s="16" t="s">
        <v>277</v>
      </c>
      <c r="N14" s="16" t="s">
        <v>335</v>
      </c>
      <c r="O14" s="15" t="s">
        <v>281</v>
      </c>
      <c r="P14" t="s">
        <v>286</v>
      </c>
      <c r="Q14" t="s">
        <v>371</v>
      </c>
      <c r="R14" s="17" t="s">
        <v>371</v>
      </c>
      <c r="S14" s="16" t="s">
        <v>341</v>
      </c>
      <c r="T14" s="16" t="s">
        <v>340</v>
      </c>
      <c r="U14" s="15" t="s">
        <v>343</v>
      </c>
      <c r="V14" s="15" t="s">
        <v>345</v>
      </c>
      <c r="W14" s="17" t="s">
        <v>371</v>
      </c>
      <c r="Z14" t="s">
        <v>9</v>
      </c>
      <c r="AA14" t="s">
        <v>733</v>
      </c>
      <c r="AB14" s="16" t="s">
        <v>272</v>
      </c>
      <c r="AC14" s="16">
        <v>3</v>
      </c>
      <c r="AD14" t="s">
        <v>1524</v>
      </c>
      <c r="AE14" t="s">
        <v>1560</v>
      </c>
      <c r="AF14" t="s">
        <v>1567</v>
      </c>
      <c r="AG14" t="s">
        <v>345</v>
      </c>
      <c r="AS14" t="s">
        <v>273</v>
      </c>
      <c r="AT14">
        <f t="shared" si="0"/>
        <v>2</v>
      </c>
      <c r="AU14" s="97">
        <f t="shared" si="1"/>
        <v>9.9014778325123149</v>
      </c>
      <c r="AX14" s="97"/>
      <c r="AY14" t="s">
        <v>1574</v>
      </c>
      <c r="AZ14">
        <f t="shared" si="4"/>
        <v>12</v>
      </c>
      <c r="BA14" s="97">
        <f t="shared" si="5"/>
        <v>9.4088669950738915</v>
      </c>
      <c r="BF14" t="s">
        <v>1653</v>
      </c>
      <c r="BG14" s="29" t="s">
        <v>1553</v>
      </c>
    </row>
    <row r="15" spans="1:59" x14ac:dyDescent="0.3">
      <c r="A15" t="s">
        <v>9</v>
      </c>
      <c r="B15" t="s">
        <v>60</v>
      </c>
      <c r="C15" t="s">
        <v>14</v>
      </c>
      <c r="D15" t="s">
        <v>12</v>
      </c>
      <c r="E15" t="s">
        <v>734</v>
      </c>
      <c r="F15" t="b">
        <v>1</v>
      </c>
      <c r="G15">
        <v>100</v>
      </c>
      <c r="H15">
        <v>1</v>
      </c>
      <c r="I15">
        <v>13424</v>
      </c>
      <c r="J15" s="61" t="s">
        <v>18</v>
      </c>
      <c r="K15" s="16" t="s">
        <v>272</v>
      </c>
      <c r="L15" s="16">
        <v>3</v>
      </c>
      <c r="M15" s="16" t="s">
        <v>277</v>
      </c>
      <c r="N15" s="16" t="s">
        <v>335</v>
      </c>
      <c r="O15" s="15" t="s">
        <v>281</v>
      </c>
      <c r="P15" t="s">
        <v>282</v>
      </c>
      <c r="Q15" t="s">
        <v>371</v>
      </c>
      <c r="R15" s="17" t="s">
        <v>371</v>
      </c>
      <c r="S15" s="16" t="s">
        <v>341</v>
      </c>
      <c r="T15" s="16" t="s">
        <v>340</v>
      </c>
      <c r="U15" s="15" t="s">
        <v>343</v>
      </c>
      <c r="V15" s="15" t="s">
        <v>345</v>
      </c>
      <c r="W15" s="17" t="s">
        <v>344</v>
      </c>
      <c r="Z15" t="s">
        <v>9</v>
      </c>
      <c r="AA15" t="s">
        <v>734</v>
      </c>
      <c r="AB15" s="16" t="s">
        <v>272</v>
      </c>
      <c r="AC15" s="16">
        <v>3</v>
      </c>
      <c r="AD15" t="s">
        <v>1524</v>
      </c>
      <c r="AE15" t="s">
        <v>1537</v>
      </c>
      <c r="AF15" t="s">
        <v>1567</v>
      </c>
      <c r="AG15" t="s">
        <v>1574</v>
      </c>
      <c r="AS15" t="s">
        <v>1633</v>
      </c>
      <c r="AT15">
        <f t="shared" si="0"/>
        <v>3</v>
      </c>
      <c r="AU15" s="97">
        <f t="shared" si="1"/>
        <v>9.8522167487684733</v>
      </c>
      <c r="AX15" s="97"/>
      <c r="AY15" t="s">
        <v>1623</v>
      </c>
      <c r="AZ15">
        <f t="shared" si="4"/>
        <v>3</v>
      </c>
      <c r="BA15" s="97">
        <f t="shared" si="5"/>
        <v>9.8522167487684733</v>
      </c>
      <c r="BF15" t="s">
        <v>1645</v>
      </c>
      <c r="BG15" t="s">
        <v>1555</v>
      </c>
    </row>
    <row r="16" spans="1:59" x14ac:dyDescent="0.3">
      <c r="A16" t="s">
        <v>9</v>
      </c>
      <c r="B16" t="s">
        <v>60</v>
      </c>
      <c r="C16" t="s">
        <v>11</v>
      </c>
      <c r="D16" t="s">
        <v>12</v>
      </c>
      <c r="E16" t="s">
        <v>735</v>
      </c>
      <c r="F16" t="b">
        <v>1</v>
      </c>
      <c r="G16">
        <v>100</v>
      </c>
      <c r="H16">
        <v>1</v>
      </c>
      <c r="I16">
        <v>9662</v>
      </c>
      <c r="J16" s="61" t="s">
        <v>18</v>
      </c>
      <c r="K16" s="16" t="s">
        <v>272</v>
      </c>
      <c r="L16" s="16">
        <v>3</v>
      </c>
      <c r="M16" s="16" t="s">
        <v>277</v>
      </c>
      <c r="N16" s="16" t="s">
        <v>335</v>
      </c>
      <c r="O16" s="15" t="s">
        <v>281</v>
      </c>
      <c r="P16" t="s">
        <v>282</v>
      </c>
      <c r="Q16" t="s">
        <v>371</v>
      </c>
      <c r="R16" s="17" t="s">
        <v>371</v>
      </c>
      <c r="S16" s="16" t="s">
        <v>341</v>
      </c>
      <c r="T16" s="16" t="s">
        <v>340</v>
      </c>
      <c r="U16" s="15" t="s">
        <v>343</v>
      </c>
      <c r="V16" s="15" t="s">
        <v>345</v>
      </c>
      <c r="W16" s="17" t="s">
        <v>371</v>
      </c>
      <c r="Z16" t="s">
        <v>9</v>
      </c>
      <c r="AA16" t="s">
        <v>735</v>
      </c>
      <c r="AB16" s="16" t="s">
        <v>272</v>
      </c>
      <c r="AC16" s="16">
        <v>3</v>
      </c>
      <c r="AD16" t="s">
        <v>1524</v>
      </c>
      <c r="AE16" t="s">
        <v>1537</v>
      </c>
      <c r="AF16" t="s">
        <v>1567</v>
      </c>
      <c r="AG16" t="s">
        <v>345</v>
      </c>
      <c r="AS16" t="s">
        <v>1634</v>
      </c>
      <c r="AT16">
        <f t="shared" si="0"/>
        <v>11</v>
      </c>
      <c r="AU16" s="97">
        <f t="shared" si="1"/>
        <v>9.4581280788177349</v>
      </c>
      <c r="AX16" s="97"/>
      <c r="AY16" t="s">
        <v>1570</v>
      </c>
      <c r="AZ16">
        <f t="shared" si="4"/>
        <v>11</v>
      </c>
      <c r="BA16" s="97">
        <f t="shared" si="5"/>
        <v>9.4581280788177349</v>
      </c>
      <c r="BF16" t="s">
        <v>1538</v>
      </c>
      <c r="BG16" s="29" t="s">
        <v>1534</v>
      </c>
    </row>
    <row r="17" spans="1:59" x14ac:dyDescent="0.3">
      <c r="A17" t="s">
        <v>9</v>
      </c>
      <c r="B17" t="s">
        <v>60</v>
      </c>
      <c r="C17" t="s">
        <v>16</v>
      </c>
      <c r="D17" t="s">
        <v>12</v>
      </c>
      <c r="E17" t="s">
        <v>736</v>
      </c>
      <c r="F17" t="b">
        <v>1</v>
      </c>
      <c r="G17">
        <v>100</v>
      </c>
      <c r="H17">
        <v>1</v>
      </c>
      <c r="I17">
        <v>15476</v>
      </c>
      <c r="J17" s="61" t="s">
        <v>18</v>
      </c>
      <c r="K17" s="16" t="s">
        <v>272</v>
      </c>
      <c r="L17" s="16">
        <v>3</v>
      </c>
      <c r="M17" s="16" t="s">
        <v>277</v>
      </c>
      <c r="N17" s="16" t="s">
        <v>335</v>
      </c>
      <c r="O17" s="15" t="s">
        <v>281</v>
      </c>
      <c r="P17" t="s">
        <v>286</v>
      </c>
      <c r="Q17" t="s">
        <v>371</v>
      </c>
      <c r="R17" s="17" t="s">
        <v>371</v>
      </c>
      <c r="S17" s="16" t="s">
        <v>341</v>
      </c>
      <c r="T17" s="16" t="s">
        <v>342</v>
      </c>
      <c r="U17" s="15" t="s">
        <v>343</v>
      </c>
      <c r="V17" s="15" t="s">
        <v>345</v>
      </c>
      <c r="W17" s="17" t="s">
        <v>347</v>
      </c>
      <c r="Z17" t="s">
        <v>9</v>
      </c>
      <c r="AA17" t="s">
        <v>736</v>
      </c>
      <c r="AB17" s="16" t="s">
        <v>272</v>
      </c>
      <c r="AC17" s="16">
        <v>3</v>
      </c>
      <c r="AD17" t="s">
        <v>1524</v>
      </c>
      <c r="AE17" t="s">
        <v>1560</v>
      </c>
      <c r="AF17" t="s">
        <v>1566</v>
      </c>
      <c r="AG17" t="s">
        <v>1573</v>
      </c>
      <c r="AS17" t="s">
        <v>1553</v>
      </c>
      <c r="AT17">
        <f t="shared" si="0"/>
        <v>2</v>
      </c>
      <c r="AU17" s="97">
        <f t="shared" si="1"/>
        <v>9.9014778325123149</v>
      </c>
      <c r="AX17" s="97"/>
      <c r="AY17" t="s">
        <v>1571</v>
      </c>
      <c r="AZ17">
        <f t="shared" si="4"/>
        <v>3</v>
      </c>
      <c r="BA17" s="97">
        <f t="shared" si="5"/>
        <v>9.8522167487684733</v>
      </c>
      <c r="BF17" t="s">
        <v>1641</v>
      </c>
      <c r="BG17" s="29" t="s">
        <v>1542</v>
      </c>
    </row>
    <row r="18" spans="1:59" x14ac:dyDescent="0.3">
      <c r="A18" t="s">
        <v>45</v>
      </c>
      <c r="B18" t="s">
        <v>53</v>
      </c>
      <c r="C18" t="s">
        <v>15</v>
      </c>
      <c r="D18" t="s">
        <v>12</v>
      </c>
      <c r="E18" t="s">
        <v>742</v>
      </c>
      <c r="F18" t="b">
        <v>1</v>
      </c>
      <c r="G18">
        <v>76.2</v>
      </c>
      <c r="H18">
        <v>0</v>
      </c>
      <c r="I18">
        <v>11804</v>
      </c>
      <c r="J18" s="61" t="s">
        <v>13</v>
      </c>
      <c r="K18" s="16" t="s">
        <v>272</v>
      </c>
      <c r="L18" s="16">
        <v>3</v>
      </c>
      <c r="M18" s="16" t="s">
        <v>277</v>
      </c>
      <c r="N18" s="16" t="s">
        <v>335</v>
      </c>
      <c r="O18" s="15" t="s">
        <v>282</v>
      </c>
      <c r="P18" t="s">
        <v>371</v>
      </c>
      <c r="Q18" t="s">
        <v>371</v>
      </c>
      <c r="R18" s="17" t="s">
        <v>371</v>
      </c>
      <c r="S18" s="16" t="s">
        <v>341</v>
      </c>
      <c r="T18" s="16" t="s">
        <v>340</v>
      </c>
      <c r="U18" s="15" t="s">
        <v>343</v>
      </c>
      <c r="V18" s="15" t="s">
        <v>344</v>
      </c>
      <c r="W18" s="17" t="s">
        <v>371</v>
      </c>
      <c r="Z18" t="s">
        <v>45</v>
      </c>
      <c r="AA18" t="s">
        <v>742</v>
      </c>
      <c r="AB18" s="16" t="s">
        <v>272</v>
      </c>
      <c r="AC18" s="16">
        <v>3</v>
      </c>
      <c r="AD18" t="s">
        <v>1524</v>
      </c>
      <c r="AE18" t="s">
        <v>282</v>
      </c>
      <c r="AF18" t="s">
        <v>1567</v>
      </c>
      <c r="AG18" t="s">
        <v>344</v>
      </c>
      <c r="AS18" t="s">
        <v>1637</v>
      </c>
      <c r="AT18">
        <f t="shared" si="0"/>
        <v>4</v>
      </c>
      <c r="AU18" s="97">
        <f t="shared" si="1"/>
        <v>9.8029556650246299</v>
      </c>
      <c r="AX18" s="97"/>
      <c r="AY18" t="s">
        <v>1620</v>
      </c>
      <c r="AZ18">
        <f t="shared" si="4"/>
        <v>3</v>
      </c>
      <c r="BA18" s="97">
        <f t="shared" si="5"/>
        <v>9.8522167487684733</v>
      </c>
      <c r="BF18" t="s">
        <v>1539</v>
      </c>
      <c r="BG18" s="29" t="s">
        <v>1535</v>
      </c>
    </row>
    <row r="19" spans="1:59" x14ac:dyDescent="0.3">
      <c r="A19" t="s">
        <v>45</v>
      </c>
      <c r="B19" t="s">
        <v>53</v>
      </c>
      <c r="C19" t="s">
        <v>14</v>
      </c>
      <c r="D19" t="s">
        <v>12</v>
      </c>
      <c r="E19" t="s">
        <v>743</v>
      </c>
      <c r="F19" t="b">
        <v>1</v>
      </c>
      <c r="G19">
        <v>44.9</v>
      </c>
      <c r="H19">
        <v>0</v>
      </c>
      <c r="I19">
        <v>13413</v>
      </c>
      <c r="J19" s="61" t="s">
        <v>13</v>
      </c>
      <c r="K19" s="16" t="s">
        <v>272</v>
      </c>
      <c r="L19" s="16">
        <v>3</v>
      </c>
      <c r="M19" s="16" t="s">
        <v>277</v>
      </c>
      <c r="N19" s="16" t="s">
        <v>335</v>
      </c>
      <c r="O19" s="15" t="s">
        <v>282</v>
      </c>
      <c r="P19" t="s">
        <v>371</v>
      </c>
      <c r="Q19" t="s">
        <v>371</v>
      </c>
      <c r="R19" s="17" t="s">
        <v>371</v>
      </c>
      <c r="S19" s="16" t="s">
        <v>341</v>
      </c>
      <c r="T19" s="16" t="s">
        <v>340</v>
      </c>
      <c r="U19" s="15" t="s">
        <v>343</v>
      </c>
      <c r="V19" s="15" t="s">
        <v>344</v>
      </c>
      <c r="W19" s="17" t="s">
        <v>371</v>
      </c>
      <c r="Z19" t="s">
        <v>45</v>
      </c>
      <c r="AA19" t="s">
        <v>743</v>
      </c>
      <c r="AB19" s="16" t="s">
        <v>272</v>
      </c>
      <c r="AC19" s="16">
        <v>3</v>
      </c>
      <c r="AD19" t="s">
        <v>1524</v>
      </c>
      <c r="AE19" t="s">
        <v>282</v>
      </c>
      <c r="AF19" t="s">
        <v>1567</v>
      </c>
      <c r="AG19" t="s">
        <v>344</v>
      </c>
      <c r="AS19" t="s">
        <v>1547</v>
      </c>
      <c r="AT19">
        <f t="shared" si="0"/>
        <v>9</v>
      </c>
      <c r="AU19" s="97">
        <f t="shared" si="1"/>
        <v>9.5566502463054182</v>
      </c>
      <c r="AX19" s="97"/>
      <c r="BF19" t="s">
        <v>1541</v>
      </c>
      <c r="BG19" s="29" t="s">
        <v>1535</v>
      </c>
    </row>
    <row r="20" spans="1:59" x14ac:dyDescent="0.3">
      <c r="A20" t="s">
        <v>45</v>
      </c>
      <c r="B20" t="s">
        <v>53</v>
      </c>
      <c r="C20" t="s">
        <v>11</v>
      </c>
      <c r="D20" t="s">
        <v>12</v>
      </c>
      <c r="E20" t="s">
        <v>744</v>
      </c>
      <c r="F20" t="b">
        <v>1</v>
      </c>
      <c r="G20">
        <v>46.7</v>
      </c>
      <c r="H20">
        <v>0</v>
      </c>
      <c r="I20">
        <v>15420</v>
      </c>
      <c r="J20" s="61" t="s">
        <v>13</v>
      </c>
      <c r="K20" s="16" t="s">
        <v>272</v>
      </c>
      <c r="L20" s="16">
        <v>3</v>
      </c>
      <c r="M20" s="16" t="s">
        <v>277</v>
      </c>
      <c r="N20" s="16" t="s">
        <v>335</v>
      </c>
      <c r="O20" s="15" t="s">
        <v>283</v>
      </c>
      <c r="P20" t="s">
        <v>282</v>
      </c>
      <c r="Q20" t="s">
        <v>371</v>
      </c>
      <c r="R20" s="17" t="s">
        <v>371</v>
      </c>
      <c r="S20" s="16" t="s">
        <v>341</v>
      </c>
      <c r="T20" s="16" t="s">
        <v>340</v>
      </c>
      <c r="U20" s="15" t="s">
        <v>343</v>
      </c>
      <c r="V20" s="15" t="s">
        <v>344</v>
      </c>
      <c r="W20" s="17" t="s">
        <v>371</v>
      </c>
      <c r="Z20" t="s">
        <v>45</v>
      </c>
      <c r="AA20" t="s">
        <v>744</v>
      </c>
      <c r="AB20" s="16" t="s">
        <v>272</v>
      </c>
      <c r="AC20" s="16">
        <v>3</v>
      </c>
      <c r="AD20" t="s">
        <v>1524</v>
      </c>
      <c r="AE20" t="s">
        <v>1540</v>
      </c>
      <c r="AF20" t="s">
        <v>1567</v>
      </c>
      <c r="AG20" t="s">
        <v>344</v>
      </c>
      <c r="AS20" t="s">
        <v>1542</v>
      </c>
      <c r="AT20">
        <f t="shared" si="0"/>
        <v>10</v>
      </c>
      <c r="AU20" s="97">
        <f t="shared" si="1"/>
        <v>9.5073891625615765</v>
      </c>
      <c r="AX20" s="97"/>
      <c r="BF20" t="s">
        <v>1630</v>
      </c>
      <c r="BG20" s="90" t="s">
        <v>1557</v>
      </c>
    </row>
    <row r="21" spans="1:59" x14ac:dyDescent="0.3">
      <c r="A21" t="s">
        <v>45</v>
      </c>
      <c r="B21" t="s">
        <v>53</v>
      </c>
      <c r="C21" t="s">
        <v>16</v>
      </c>
      <c r="D21" t="s">
        <v>12</v>
      </c>
      <c r="E21" t="s">
        <v>745</v>
      </c>
      <c r="F21" t="b">
        <v>1</v>
      </c>
      <c r="G21">
        <v>100</v>
      </c>
      <c r="H21">
        <v>1</v>
      </c>
      <c r="I21">
        <v>10809</v>
      </c>
      <c r="J21" s="61" t="s">
        <v>18</v>
      </c>
      <c r="K21" s="16" t="s">
        <v>272</v>
      </c>
      <c r="L21" s="16">
        <v>3</v>
      </c>
      <c r="M21" s="16" t="s">
        <v>277</v>
      </c>
      <c r="N21" s="16" t="s">
        <v>335</v>
      </c>
      <c r="O21" s="15" t="s">
        <v>282</v>
      </c>
      <c r="P21" t="s">
        <v>371</v>
      </c>
      <c r="Q21" t="s">
        <v>371</v>
      </c>
      <c r="R21" s="17" t="s">
        <v>371</v>
      </c>
      <c r="S21" s="16" t="s">
        <v>340</v>
      </c>
      <c r="T21" s="16" t="s">
        <v>342</v>
      </c>
      <c r="U21" s="15" t="s">
        <v>343</v>
      </c>
      <c r="V21" s="15" t="s">
        <v>291</v>
      </c>
      <c r="W21" s="17" t="s">
        <v>371</v>
      </c>
      <c r="Z21" t="s">
        <v>45</v>
      </c>
      <c r="AA21" t="s">
        <v>745</v>
      </c>
      <c r="AB21" s="16" t="s">
        <v>272</v>
      </c>
      <c r="AC21" s="16">
        <v>3</v>
      </c>
      <c r="AD21" t="s">
        <v>1524</v>
      </c>
      <c r="AE21" t="s">
        <v>282</v>
      </c>
      <c r="AF21" t="s">
        <v>1568</v>
      </c>
      <c r="AG21" t="s">
        <v>291</v>
      </c>
      <c r="AS21" t="s">
        <v>1557</v>
      </c>
      <c r="AT21">
        <f t="shared" si="0"/>
        <v>3</v>
      </c>
      <c r="AU21" s="97">
        <f t="shared" si="1"/>
        <v>9.8522167487684733</v>
      </c>
      <c r="AX21" s="97"/>
      <c r="BF21" t="s">
        <v>1644</v>
      </c>
      <c r="BG21" s="29" t="s">
        <v>1536</v>
      </c>
    </row>
    <row r="22" spans="1:59" x14ac:dyDescent="0.3">
      <c r="A22" t="s">
        <v>9</v>
      </c>
      <c r="B22" t="s">
        <v>76</v>
      </c>
      <c r="C22" t="s">
        <v>15</v>
      </c>
      <c r="D22" t="s">
        <v>12</v>
      </c>
      <c r="E22" t="s">
        <v>748</v>
      </c>
      <c r="F22" t="b">
        <v>1</v>
      </c>
      <c r="G22">
        <v>100</v>
      </c>
      <c r="H22">
        <v>1</v>
      </c>
      <c r="I22">
        <v>13485</v>
      </c>
      <c r="J22" s="61" t="s">
        <v>18</v>
      </c>
      <c r="K22" s="16" t="s">
        <v>272</v>
      </c>
      <c r="L22" s="16">
        <v>3</v>
      </c>
      <c r="M22" s="16" t="s">
        <v>334</v>
      </c>
      <c r="N22" s="16" t="s">
        <v>334</v>
      </c>
      <c r="O22" s="15" t="s">
        <v>371</v>
      </c>
      <c r="P22" t="s">
        <v>371</v>
      </c>
      <c r="Q22" t="s">
        <v>371</v>
      </c>
      <c r="R22" s="17" t="s">
        <v>371</v>
      </c>
      <c r="S22" s="16" t="s">
        <v>341</v>
      </c>
      <c r="T22" s="16" t="s">
        <v>342</v>
      </c>
      <c r="U22" s="15" t="s">
        <v>343</v>
      </c>
      <c r="V22" s="15" t="s">
        <v>291</v>
      </c>
      <c r="W22" s="17" t="s">
        <v>371</v>
      </c>
      <c r="Z22" t="s">
        <v>9</v>
      </c>
      <c r="AA22" t="s">
        <v>748</v>
      </c>
      <c r="AB22" s="16" t="s">
        <v>272</v>
      </c>
      <c r="AC22" s="16">
        <v>3</v>
      </c>
      <c r="AD22" t="s">
        <v>334</v>
      </c>
      <c r="AE22" t="s">
        <v>334</v>
      </c>
      <c r="AF22" t="s">
        <v>1566</v>
      </c>
      <c r="AG22" t="s">
        <v>291</v>
      </c>
      <c r="AS22" t="s">
        <v>284</v>
      </c>
      <c r="AT22">
        <f t="shared" si="0"/>
        <v>4</v>
      </c>
      <c r="AU22" s="97">
        <f t="shared" si="1"/>
        <v>9.8029556650246299</v>
      </c>
      <c r="AX22" s="97"/>
      <c r="BF22" t="s">
        <v>1554</v>
      </c>
      <c r="BG22" s="29" t="s">
        <v>1537</v>
      </c>
    </row>
    <row r="23" spans="1:59" x14ac:dyDescent="0.3">
      <c r="A23" t="s">
        <v>9</v>
      </c>
      <c r="B23" t="s">
        <v>76</v>
      </c>
      <c r="C23" t="s">
        <v>14</v>
      </c>
      <c r="D23" t="s">
        <v>12</v>
      </c>
      <c r="E23" t="s">
        <v>749</v>
      </c>
      <c r="F23" t="b">
        <v>1</v>
      </c>
      <c r="G23">
        <v>81.8</v>
      </c>
      <c r="H23">
        <v>0</v>
      </c>
      <c r="I23">
        <v>13582</v>
      </c>
      <c r="J23" s="61" t="s">
        <v>13</v>
      </c>
      <c r="K23" s="16" t="s">
        <v>272</v>
      </c>
      <c r="L23" s="16">
        <v>3</v>
      </c>
      <c r="M23" s="16" t="s">
        <v>277</v>
      </c>
      <c r="N23" s="16" t="s">
        <v>335</v>
      </c>
      <c r="O23" s="15" t="s">
        <v>281</v>
      </c>
      <c r="P23" t="s">
        <v>282</v>
      </c>
      <c r="Q23" t="s">
        <v>371</v>
      </c>
      <c r="R23" s="17" t="s">
        <v>371</v>
      </c>
      <c r="S23" s="16" t="s">
        <v>341</v>
      </c>
      <c r="T23" s="16" t="s">
        <v>340</v>
      </c>
      <c r="U23" s="15" t="s">
        <v>343</v>
      </c>
      <c r="V23" s="15" t="s">
        <v>344</v>
      </c>
      <c r="W23" s="17" t="s">
        <v>291</v>
      </c>
      <c r="Z23" t="s">
        <v>9</v>
      </c>
      <c r="AA23" t="s">
        <v>749</v>
      </c>
      <c r="AB23" s="16" t="s">
        <v>272</v>
      </c>
      <c r="AC23" s="16">
        <v>3</v>
      </c>
      <c r="AD23" t="s">
        <v>1524</v>
      </c>
      <c r="AE23" t="s">
        <v>1537</v>
      </c>
      <c r="AF23" t="s">
        <v>1567</v>
      </c>
      <c r="AG23" t="s">
        <v>1570</v>
      </c>
      <c r="AS23" t="s">
        <v>1626</v>
      </c>
      <c r="AT23">
        <f t="shared" si="0"/>
        <v>2</v>
      </c>
      <c r="AU23" s="97">
        <f t="shared" si="1"/>
        <v>9.9014778325123149</v>
      </c>
      <c r="AX23" s="97"/>
      <c r="BF23" t="s">
        <v>1627</v>
      </c>
      <c r="BG23" t="s">
        <v>1533</v>
      </c>
    </row>
    <row r="24" spans="1:59" x14ac:dyDescent="0.3">
      <c r="A24" t="s">
        <v>9</v>
      </c>
      <c r="B24" t="s">
        <v>76</v>
      </c>
      <c r="C24" t="s">
        <v>11</v>
      </c>
      <c r="D24" t="s">
        <v>12</v>
      </c>
      <c r="E24" t="s">
        <v>750</v>
      </c>
      <c r="F24" t="b">
        <v>1</v>
      </c>
      <c r="G24">
        <v>68.599999999999994</v>
      </c>
      <c r="H24">
        <v>0</v>
      </c>
      <c r="I24">
        <v>11742</v>
      </c>
      <c r="J24" s="61" t="s">
        <v>13</v>
      </c>
      <c r="K24" s="16" t="s">
        <v>272</v>
      </c>
      <c r="L24" s="16">
        <v>3</v>
      </c>
      <c r="M24" s="16" t="s">
        <v>277</v>
      </c>
      <c r="N24" s="16" t="s">
        <v>335</v>
      </c>
      <c r="O24" s="15" t="s">
        <v>282</v>
      </c>
      <c r="P24" t="s">
        <v>371</v>
      </c>
      <c r="Q24" t="s">
        <v>371</v>
      </c>
      <c r="R24" s="17" t="s">
        <v>371</v>
      </c>
      <c r="S24" s="16" t="s">
        <v>341</v>
      </c>
      <c r="T24" s="16" t="s">
        <v>340</v>
      </c>
      <c r="U24" s="15" t="s">
        <v>343</v>
      </c>
      <c r="V24" s="15" t="s">
        <v>344</v>
      </c>
      <c r="W24" s="17" t="s">
        <v>371</v>
      </c>
      <c r="Z24" t="s">
        <v>9</v>
      </c>
      <c r="AA24" t="s">
        <v>750</v>
      </c>
      <c r="AB24" s="16" t="s">
        <v>272</v>
      </c>
      <c r="AC24" s="16">
        <v>3</v>
      </c>
      <c r="AD24" t="s">
        <v>1524</v>
      </c>
      <c r="AE24" t="s">
        <v>282</v>
      </c>
      <c r="AF24" t="s">
        <v>1567</v>
      </c>
      <c r="AG24" t="s">
        <v>344</v>
      </c>
      <c r="AS24" t="s">
        <v>1533</v>
      </c>
      <c r="AT24">
        <f t="shared" si="0"/>
        <v>1</v>
      </c>
      <c r="AU24" s="97">
        <f t="shared" si="1"/>
        <v>9.9507389162561584</v>
      </c>
      <c r="AX24" s="97"/>
      <c r="BF24" t="s">
        <v>1558</v>
      </c>
      <c r="BG24" s="29" t="s">
        <v>1547</v>
      </c>
    </row>
    <row r="25" spans="1:59" x14ac:dyDescent="0.3">
      <c r="A25" t="s">
        <v>9</v>
      </c>
      <c r="B25" t="s">
        <v>76</v>
      </c>
      <c r="C25" t="s">
        <v>19</v>
      </c>
      <c r="D25" t="s">
        <v>12</v>
      </c>
      <c r="E25" t="s">
        <v>751</v>
      </c>
      <c r="F25" t="b">
        <v>1</v>
      </c>
      <c r="G25">
        <v>100</v>
      </c>
      <c r="H25">
        <v>1</v>
      </c>
      <c r="I25">
        <v>22643</v>
      </c>
      <c r="J25" s="61" t="s">
        <v>18</v>
      </c>
      <c r="K25" s="16" t="s">
        <v>272</v>
      </c>
      <c r="L25" s="16">
        <v>3</v>
      </c>
      <c r="M25" s="16" t="s">
        <v>277</v>
      </c>
      <c r="N25" s="16" t="s">
        <v>335</v>
      </c>
      <c r="O25" s="15" t="s">
        <v>282</v>
      </c>
      <c r="P25" t="s">
        <v>371</v>
      </c>
      <c r="Q25" t="s">
        <v>371</v>
      </c>
      <c r="R25" s="17" t="s">
        <v>371</v>
      </c>
      <c r="S25" s="16" t="s">
        <v>341</v>
      </c>
      <c r="T25" s="16" t="s">
        <v>342</v>
      </c>
      <c r="U25" s="15" t="s">
        <v>343</v>
      </c>
      <c r="V25" s="15" t="s">
        <v>347</v>
      </c>
      <c r="W25" s="17" t="s">
        <v>291</v>
      </c>
      <c r="Z25" t="s">
        <v>9</v>
      </c>
      <c r="AA25" t="s">
        <v>751</v>
      </c>
      <c r="AB25" s="16" t="s">
        <v>272</v>
      </c>
      <c r="AC25" s="16">
        <v>3</v>
      </c>
      <c r="AD25" t="s">
        <v>1524</v>
      </c>
      <c r="AE25" t="s">
        <v>282</v>
      </c>
      <c r="AF25" t="s">
        <v>1566</v>
      </c>
      <c r="AG25" t="s">
        <v>1621</v>
      </c>
      <c r="AS25" t="s">
        <v>1562</v>
      </c>
      <c r="AT25">
        <f t="shared" si="0"/>
        <v>6</v>
      </c>
      <c r="AU25" s="97">
        <f t="shared" si="1"/>
        <v>9.7044334975369466</v>
      </c>
      <c r="AX25" s="97"/>
      <c r="BF25" t="s">
        <v>1619</v>
      </c>
      <c r="BG25" s="29" t="s">
        <v>1570</v>
      </c>
    </row>
    <row r="26" spans="1:59" x14ac:dyDescent="0.3">
      <c r="A26" t="s">
        <v>9</v>
      </c>
      <c r="B26" t="s">
        <v>76</v>
      </c>
      <c r="C26" t="s">
        <v>17</v>
      </c>
      <c r="D26" t="s">
        <v>12</v>
      </c>
      <c r="E26" t="s">
        <v>752</v>
      </c>
      <c r="F26" t="b">
        <v>1</v>
      </c>
      <c r="G26">
        <v>100</v>
      </c>
      <c r="H26">
        <v>1</v>
      </c>
      <c r="I26">
        <v>18290</v>
      </c>
      <c r="J26" s="61" t="s">
        <v>18</v>
      </c>
      <c r="K26" s="16" t="s">
        <v>272</v>
      </c>
      <c r="L26" s="16">
        <v>3</v>
      </c>
      <c r="M26" s="16" t="s">
        <v>277</v>
      </c>
      <c r="N26" s="16" t="s">
        <v>335</v>
      </c>
      <c r="O26" s="15" t="s">
        <v>282</v>
      </c>
      <c r="P26" t="s">
        <v>371</v>
      </c>
      <c r="Q26" t="s">
        <v>371</v>
      </c>
      <c r="R26" s="17" t="s">
        <v>371</v>
      </c>
      <c r="S26" s="16" t="s">
        <v>341</v>
      </c>
      <c r="T26" s="16" t="s">
        <v>340</v>
      </c>
      <c r="U26" s="15" t="s">
        <v>343</v>
      </c>
      <c r="V26" s="15" t="s">
        <v>347</v>
      </c>
      <c r="W26" s="17" t="s">
        <v>371</v>
      </c>
      <c r="Z26" t="s">
        <v>9</v>
      </c>
      <c r="AA26" t="s">
        <v>752</v>
      </c>
      <c r="AB26" s="16" t="s">
        <v>272</v>
      </c>
      <c r="AC26" s="16">
        <v>3</v>
      </c>
      <c r="AD26" t="s">
        <v>1524</v>
      </c>
      <c r="AE26" t="s">
        <v>282</v>
      </c>
      <c r="AF26" t="s">
        <v>1567</v>
      </c>
      <c r="AG26" t="s">
        <v>347</v>
      </c>
      <c r="AS26" t="s">
        <v>339</v>
      </c>
      <c r="AT26">
        <f t="shared" si="0"/>
        <v>2</v>
      </c>
      <c r="AU26" s="97">
        <f t="shared" si="1"/>
        <v>9.9014778325123149</v>
      </c>
      <c r="AX26" s="97"/>
      <c r="BF26" t="s">
        <v>1569</v>
      </c>
      <c r="BG26" s="29" t="s">
        <v>1574</v>
      </c>
    </row>
    <row r="27" spans="1:59" x14ac:dyDescent="0.3">
      <c r="A27" t="s">
        <v>9</v>
      </c>
      <c r="B27" t="s">
        <v>76</v>
      </c>
      <c r="C27" t="s">
        <v>16</v>
      </c>
      <c r="D27" t="s">
        <v>12</v>
      </c>
      <c r="E27" t="s">
        <v>753</v>
      </c>
      <c r="F27" t="b">
        <v>1</v>
      </c>
      <c r="G27">
        <v>100</v>
      </c>
      <c r="H27">
        <v>1</v>
      </c>
      <c r="I27">
        <v>12651</v>
      </c>
      <c r="J27" s="61" t="s">
        <v>18</v>
      </c>
      <c r="K27" s="16" t="s">
        <v>272</v>
      </c>
      <c r="L27" s="16">
        <v>3</v>
      </c>
      <c r="M27" s="16" t="s">
        <v>277</v>
      </c>
      <c r="N27" s="16" t="s">
        <v>335</v>
      </c>
      <c r="O27" s="15" t="s">
        <v>282</v>
      </c>
      <c r="P27" t="s">
        <v>371</v>
      </c>
      <c r="Q27" t="s">
        <v>371</v>
      </c>
      <c r="R27" s="17" t="s">
        <v>371</v>
      </c>
      <c r="S27" s="16" t="s">
        <v>341</v>
      </c>
      <c r="T27" s="16" t="s">
        <v>340</v>
      </c>
      <c r="U27" s="15" t="s">
        <v>343</v>
      </c>
      <c r="V27" s="15" t="s">
        <v>291</v>
      </c>
      <c r="W27" s="17" t="s">
        <v>371</v>
      </c>
      <c r="Z27" t="s">
        <v>9</v>
      </c>
      <c r="AA27" t="s">
        <v>753</v>
      </c>
      <c r="AB27" s="16" t="s">
        <v>272</v>
      </c>
      <c r="AC27" s="16">
        <v>3</v>
      </c>
      <c r="AD27" t="s">
        <v>1524</v>
      </c>
      <c r="AE27" t="s">
        <v>282</v>
      </c>
      <c r="AF27" t="s">
        <v>1567</v>
      </c>
      <c r="AG27" t="s">
        <v>291</v>
      </c>
      <c r="AS27" t="s">
        <v>1650</v>
      </c>
      <c r="AT27">
        <f t="shared" si="0"/>
        <v>2</v>
      </c>
      <c r="AU27" s="97">
        <f t="shared" si="1"/>
        <v>9.9014778325123149</v>
      </c>
      <c r="AX27" s="97"/>
      <c r="BF27" t="s">
        <v>371</v>
      </c>
      <c r="BG27" t="s">
        <v>334</v>
      </c>
    </row>
    <row r="28" spans="1:59" x14ac:dyDescent="0.3">
      <c r="A28" t="s">
        <v>9</v>
      </c>
      <c r="B28" t="s">
        <v>76</v>
      </c>
      <c r="C28" t="s">
        <v>20</v>
      </c>
      <c r="D28" t="s">
        <v>12</v>
      </c>
      <c r="E28" t="s">
        <v>754</v>
      </c>
      <c r="F28" t="b">
        <v>1</v>
      </c>
      <c r="G28">
        <v>100</v>
      </c>
      <c r="H28">
        <v>1</v>
      </c>
      <c r="I28">
        <v>10515</v>
      </c>
      <c r="J28" s="61" t="s">
        <v>18</v>
      </c>
      <c r="K28" s="16" t="s">
        <v>272</v>
      </c>
      <c r="L28" s="16">
        <v>3</v>
      </c>
      <c r="M28" s="16" t="s">
        <v>277</v>
      </c>
      <c r="N28" s="16" t="s">
        <v>335</v>
      </c>
      <c r="O28" s="15" t="s">
        <v>284</v>
      </c>
      <c r="P28" t="s">
        <v>282</v>
      </c>
      <c r="Q28" t="s">
        <v>371</v>
      </c>
      <c r="R28" s="17" t="s">
        <v>371</v>
      </c>
      <c r="S28" s="16" t="s">
        <v>341</v>
      </c>
      <c r="T28" s="16" t="s">
        <v>340</v>
      </c>
      <c r="U28" s="15" t="s">
        <v>340</v>
      </c>
      <c r="V28" s="15" t="s">
        <v>344</v>
      </c>
      <c r="W28" s="17" t="s">
        <v>371</v>
      </c>
      <c r="Z28" t="s">
        <v>9</v>
      </c>
      <c r="AA28" t="s">
        <v>754</v>
      </c>
      <c r="AB28" s="16" t="s">
        <v>272</v>
      </c>
      <c r="AC28" s="16">
        <v>3</v>
      </c>
      <c r="AD28" t="s">
        <v>1524</v>
      </c>
      <c r="AE28" t="s">
        <v>1534</v>
      </c>
      <c r="AF28" t="s">
        <v>341</v>
      </c>
      <c r="AG28" t="s">
        <v>344</v>
      </c>
      <c r="AS28" t="s">
        <v>1555</v>
      </c>
      <c r="AT28">
        <f t="shared" si="0"/>
        <v>9</v>
      </c>
      <c r="AU28" s="97">
        <f t="shared" si="1"/>
        <v>9.5566502463054182</v>
      </c>
      <c r="AX28" s="97"/>
      <c r="BF28" s="89" t="s">
        <v>1643</v>
      </c>
      <c r="BG28" s="89" t="s">
        <v>1650</v>
      </c>
    </row>
    <row r="29" spans="1:59" x14ac:dyDescent="0.3">
      <c r="A29" s="38" t="s">
        <v>43</v>
      </c>
      <c r="B29" s="38" t="s">
        <v>73</v>
      </c>
      <c r="C29" s="38" t="s">
        <v>19</v>
      </c>
      <c r="D29" s="38" t="s">
        <v>12</v>
      </c>
      <c r="E29" s="38" t="s">
        <v>765</v>
      </c>
      <c r="F29" s="38" t="b">
        <v>1</v>
      </c>
      <c r="G29" s="38">
        <v>99.9</v>
      </c>
      <c r="H29" s="38">
        <v>0</v>
      </c>
      <c r="I29" s="38">
        <v>8443</v>
      </c>
      <c r="J29" s="61" t="s">
        <v>18</v>
      </c>
      <c r="K29" s="39" t="s">
        <v>273</v>
      </c>
      <c r="L29" s="39">
        <v>2</v>
      </c>
      <c r="M29" s="39" t="s">
        <v>333</v>
      </c>
      <c r="N29" s="39" t="s">
        <v>278</v>
      </c>
      <c r="O29" s="40" t="s">
        <v>283</v>
      </c>
      <c r="P29" s="38" t="s">
        <v>371</v>
      </c>
      <c r="Q29" s="38" t="s">
        <v>371</v>
      </c>
      <c r="R29" s="41" t="s">
        <v>371</v>
      </c>
      <c r="S29" s="39" t="s">
        <v>340</v>
      </c>
      <c r="T29" s="39" t="s">
        <v>342</v>
      </c>
      <c r="U29" s="40" t="s">
        <v>343</v>
      </c>
      <c r="V29" s="40" t="s">
        <v>291</v>
      </c>
      <c r="W29" s="41" t="s">
        <v>371</v>
      </c>
      <c r="Z29" t="s">
        <v>43</v>
      </c>
      <c r="AA29" t="s">
        <v>765</v>
      </c>
      <c r="AB29" s="16" t="s">
        <v>273</v>
      </c>
      <c r="AC29" s="16">
        <v>2</v>
      </c>
      <c r="AD29" t="s">
        <v>1525</v>
      </c>
      <c r="AE29" t="s">
        <v>283</v>
      </c>
      <c r="AF29" t="s">
        <v>1568</v>
      </c>
      <c r="AG29" t="s">
        <v>291</v>
      </c>
      <c r="AS29" t="s">
        <v>1544</v>
      </c>
      <c r="AT29">
        <f t="shared" si="0"/>
        <v>2</v>
      </c>
      <c r="AU29" s="97">
        <f t="shared" si="1"/>
        <v>9.9014778325123149</v>
      </c>
      <c r="AX29" s="97"/>
    </row>
    <row r="30" spans="1:59" x14ac:dyDescent="0.3">
      <c r="A30" t="s">
        <v>43</v>
      </c>
      <c r="B30" t="s">
        <v>73</v>
      </c>
      <c r="C30" t="s">
        <v>15</v>
      </c>
      <c r="D30" t="s">
        <v>12</v>
      </c>
      <c r="E30" t="s">
        <v>767</v>
      </c>
      <c r="F30" t="b">
        <v>1</v>
      </c>
      <c r="G30">
        <v>100</v>
      </c>
      <c r="H30">
        <v>1</v>
      </c>
      <c r="I30">
        <v>9923</v>
      </c>
      <c r="J30" s="61" t="s">
        <v>18</v>
      </c>
      <c r="K30" s="16" t="s">
        <v>272</v>
      </c>
      <c r="L30" s="16">
        <v>3</v>
      </c>
      <c r="M30" s="16" t="s">
        <v>277</v>
      </c>
      <c r="N30" s="16" t="s">
        <v>335</v>
      </c>
      <c r="O30" s="15" t="s">
        <v>281</v>
      </c>
      <c r="P30" t="s">
        <v>285</v>
      </c>
      <c r="Q30" t="s">
        <v>286</v>
      </c>
      <c r="R30" s="17" t="s">
        <v>371</v>
      </c>
      <c r="S30" s="16" t="s">
        <v>341</v>
      </c>
      <c r="T30" s="16" t="s">
        <v>340</v>
      </c>
      <c r="U30" s="15" t="s">
        <v>343</v>
      </c>
      <c r="V30" s="15" t="s">
        <v>344</v>
      </c>
      <c r="W30" s="17" t="s">
        <v>371</v>
      </c>
      <c r="Z30" t="s">
        <v>43</v>
      </c>
      <c r="AA30" t="s">
        <v>767</v>
      </c>
      <c r="AB30" s="16" t="s">
        <v>272</v>
      </c>
      <c r="AC30" s="16">
        <v>3</v>
      </c>
      <c r="AD30" t="s">
        <v>1524</v>
      </c>
      <c r="AE30" t="s">
        <v>1631</v>
      </c>
      <c r="AF30" t="s">
        <v>1567</v>
      </c>
      <c r="AG30" t="s">
        <v>344</v>
      </c>
      <c r="AS30" t="s">
        <v>1652</v>
      </c>
      <c r="AT30">
        <f t="shared" si="0"/>
        <v>3</v>
      </c>
      <c r="AU30" s="97">
        <f t="shared" si="1"/>
        <v>9.8522167487684733</v>
      </c>
      <c r="AX30" s="97"/>
    </row>
    <row r="31" spans="1:59" x14ac:dyDescent="0.3">
      <c r="A31" t="s">
        <v>43</v>
      </c>
      <c r="B31" t="s">
        <v>73</v>
      </c>
      <c r="C31" t="s">
        <v>23</v>
      </c>
      <c r="D31" t="s">
        <v>12</v>
      </c>
      <c r="E31" t="s">
        <v>768</v>
      </c>
      <c r="F31" t="b">
        <v>1</v>
      </c>
      <c r="G31">
        <v>100</v>
      </c>
      <c r="H31">
        <v>1</v>
      </c>
      <c r="I31">
        <v>13351</v>
      </c>
      <c r="J31" s="61" t="s">
        <v>18</v>
      </c>
      <c r="K31" s="16" t="s">
        <v>272</v>
      </c>
      <c r="L31" s="16">
        <v>3</v>
      </c>
      <c r="M31" s="16" t="s">
        <v>277</v>
      </c>
      <c r="N31" s="16" t="s">
        <v>335</v>
      </c>
      <c r="O31" s="15" t="s">
        <v>282</v>
      </c>
      <c r="P31" t="s">
        <v>371</v>
      </c>
      <c r="Q31" t="s">
        <v>371</v>
      </c>
      <c r="R31" s="17" t="s">
        <v>371</v>
      </c>
      <c r="S31" s="16" t="s">
        <v>341</v>
      </c>
      <c r="T31" s="16" t="s">
        <v>340</v>
      </c>
      <c r="U31" s="15" t="s">
        <v>343</v>
      </c>
      <c r="V31" s="15" t="s">
        <v>345</v>
      </c>
      <c r="W31" s="17" t="s">
        <v>346</v>
      </c>
      <c r="Z31" t="s">
        <v>43</v>
      </c>
      <c r="AA31" t="s">
        <v>768</v>
      </c>
      <c r="AB31" s="16" t="s">
        <v>272</v>
      </c>
      <c r="AC31" s="16">
        <v>3</v>
      </c>
      <c r="AD31" t="s">
        <v>1524</v>
      </c>
      <c r="AE31" t="s">
        <v>282</v>
      </c>
      <c r="AF31" t="s">
        <v>1567</v>
      </c>
      <c r="AG31" t="s">
        <v>1622</v>
      </c>
      <c r="AS31" t="s">
        <v>1551</v>
      </c>
      <c r="AT31">
        <f t="shared" si="0"/>
        <v>1</v>
      </c>
      <c r="AU31" s="97">
        <f t="shared" si="1"/>
        <v>9.9507389162561584</v>
      </c>
      <c r="AX31" s="97"/>
    </row>
    <row r="32" spans="1:59" x14ac:dyDescent="0.3">
      <c r="A32" t="s">
        <v>43</v>
      </c>
      <c r="B32" t="s">
        <v>73</v>
      </c>
      <c r="C32" t="s">
        <v>14</v>
      </c>
      <c r="D32" t="s">
        <v>12</v>
      </c>
      <c r="E32" t="s">
        <v>769</v>
      </c>
      <c r="F32" t="b">
        <v>1</v>
      </c>
      <c r="G32">
        <v>100</v>
      </c>
      <c r="H32">
        <v>1</v>
      </c>
      <c r="I32">
        <v>7762</v>
      </c>
      <c r="J32" s="61" t="s">
        <v>18</v>
      </c>
      <c r="K32" s="16" t="s">
        <v>272</v>
      </c>
      <c r="L32" s="16">
        <v>3</v>
      </c>
      <c r="M32" s="16" t="s">
        <v>277</v>
      </c>
      <c r="N32" s="16" t="s">
        <v>335</v>
      </c>
      <c r="O32" s="15" t="s">
        <v>283</v>
      </c>
      <c r="P32" t="s">
        <v>282</v>
      </c>
      <c r="Q32" t="s">
        <v>371</v>
      </c>
      <c r="R32" s="17" t="s">
        <v>371</v>
      </c>
      <c r="S32" s="16" t="s">
        <v>341</v>
      </c>
      <c r="T32" s="16" t="s">
        <v>340</v>
      </c>
      <c r="U32" s="15" t="s">
        <v>343</v>
      </c>
      <c r="V32" s="15" t="s">
        <v>345</v>
      </c>
      <c r="W32" s="17" t="s">
        <v>371</v>
      </c>
      <c r="Z32" t="s">
        <v>43</v>
      </c>
      <c r="AA32" t="s">
        <v>769</v>
      </c>
      <c r="AB32" s="16" t="s">
        <v>272</v>
      </c>
      <c r="AC32" s="16">
        <v>3</v>
      </c>
      <c r="AD32" t="s">
        <v>1524</v>
      </c>
      <c r="AE32" t="s">
        <v>1540</v>
      </c>
      <c r="AF32" t="s">
        <v>1567</v>
      </c>
      <c r="AG32" t="s">
        <v>345</v>
      </c>
    </row>
    <row r="33" spans="1:33" x14ac:dyDescent="0.3">
      <c r="A33" t="s">
        <v>43</v>
      </c>
      <c r="B33" t="s">
        <v>73</v>
      </c>
      <c r="C33" t="s">
        <v>11</v>
      </c>
      <c r="D33" t="s">
        <v>12</v>
      </c>
      <c r="E33" t="s">
        <v>770</v>
      </c>
      <c r="F33" t="b">
        <v>1</v>
      </c>
      <c r="G33">
        <v>59</v>
      </c>
      <c r="H33">
        <v>0</v>
      </c>
      <c r="I33">
        <v>13004</v>
      </c>
      <c r="J33" s="61" t="s">
        <v>13</v>
      </c>
      <c r="K33" s="16" t="s">
        <v>272</v>
      </c>
      <c r="L33" s="16">
        <v>3</v>
      </c>
      <c r="M33" s="16" t="s">
        <v>277</v>
      </c>
      <c r="N33" s="16" t="s">
        <v>335</v>
      </c>
      <c r="O33" s="15" t="s">
        <v>283</v>
      </c>
      <c r="P33" t="s">
        <v>282</v>
      </c>
      <c r="Q33" t="s">
        <v>371</v>
      </c>
      <c r="R33" s="17" t="s">
        <v>371</v>
      </c>
      <c r="S33" s="16" t="s">
        <v>341</v>
      </c>
      <c r="T33" s="16" t="s">
        <v>340</v>
      </c>
      <c r="U33" s="15" t="s">
        <v>343</v>
      </c>
      <c r="V33" s="15" t="s">
        <v>344</v>
      </c>
      <c r="W33" s="17" t="s">
        <v>371</v>
      </c>
      <c r="X33" s="38"/>
      <c r="Y33" s="38"/>
      <c r="Z33" t="s">
        <v>43</v>
      </c>
      <c r="AA33" t="s">
        <v>770</v>
      </c>
      <c r="AB33" s="16" t="s">
        <v>272</v>
      </c>
      <c r="AC33" s="16">
        <v>3</v>
      </c>
      <c r="AD33" t="s">
        <v>1524</v>
      </c>
      <c r="AE33" t="s">
        <v>1540</v>
      </c>
      <c r="AF33" t="s">
        <v>1567</v>
      </c>
      <c r="AG33" t="s">
        <v>344</v>
      </c>
    </row>
    <row r="34" spans="1:33" x14ac:dyDescent="0.3">
      <c r="A34" t="s">
        <v>43</v>
      </c>
      <c r="B34" t="s">
        <v>73</v>
      </c>
      <c r="C34" t="s">
        <v>21</v>
      </c>
      <c r="D34" t="s">
        <v>12</v>
      </c>
      <c r="E34" t="s">
        <v>771</v>
      </c>
      <c r="F34" t="b">
        <v>1</v>
      </c>
      <c r="G34">
        <v>100</v>
      </c>
      <c r="H34">
        <v>1</v>
      </c>
      <c r="I34">
        <v>12415</v>
      </c>
      <c r="J34" s="61" t="s">
        <v>18</v>
      </c>
      <c r="K34" s="16" t="s">
        <v>272</v>
      </c>
      <c r="L34" s="16">
        <v>3</v>
      </c>
      <c r="M34" s="16" t="s">
        <v>277</v>
      </c>
      <c r="N34" s="16" t="s">
        <v>335</v>
      </c>
      <c r="O34" s="15" t="s">
        <v>282</v>
      </c>
      <c r="P34" t="s">
        <v>371</v>
      </c>
      <c r="Q34" t="s">
        <v>371</v>
      </c>
      <c r="R34" s="17" t="s">
        <v>371</v>
      </c>
      <c r="S34" s="16" t="s">
        <v>341</v>
      </c>
      <c r="T34" s="16" t="s">
        <v>342</v>
      </c>
      <c r="U34" s="15" t="s">
        <v>343</v>
      </c>
      <c r="V34" s="15" t="s">
        <v>345</v>
      </c>
      <c r="W34" s="17" t="s">
        <v>346</v>
      </c>
      <c r="Z34" t="s">
        <v>43</v>
      </c>
      <c r="AA34" t="s">
        <v>771</v>
      </c>
      <c r="AB34" s="16" t="s">
        <v>272</v>
      </c>
      <c r="AC34" s="16">
        <v>3</v>
      </c>
      <c r="AD34" t="s">
        <v>1524</v>
      </c>
      <c r="AE34" t="s">
        <v>282</v>
      </c>
      <c r="AF34" t="s">
        <v>1566</v>
      </c>
      <c r="AG34" t="s">
        <v>1622</v>
      </c>
    </row>
    <row r="35" spans="1:33" x14ac:dyDescent="0.3">
      <c r="A35" t="s">
        <v>43</v>
      </c>
      <c r="B35" t="s">
        <v>73</v>
      </c>
      <c r="C35" t="s">
        <v>17</v>
      </c>
      <c r="D35" t="s">
        <v>12</v>
      </c>
      <c r="E35" t="s">
        <v>772</v>
      </c>
      <c r="F35" t="b">
        <v>1</v>
      </c>
      <c r="G35">
        <v>100</v>
      </c>
      <c r="H35">
        <v>1</v>
      </c>
      <c r="I35">
        <v>14874</v>
      </c>
      <c r="J35" s="61" t="s">
        <v>18</v>
      </c>
      <c r="K35" s="16" t="s">
        <v>272</v>
      </c>
      <c r="L35" s="16">
        <v>3</v>
      </c>
      <c r="M35" s="16" t="s">
        <v>277</v>
      </c>
      <c r="N35" s="16" t="s">
        <v>335</v>
      </c>
      <c r="O35" s="15" t="s">
        <v>281</v>
      </c>
      <c r="P35" t="s">
        <v>285</v>
      </c>
      <c r="Q35" t="s">
        <v>286</v>
      </c>
      <c r="R35" s="17" t="s">
        <v>371</v>
      </c>
      <c r="S35" s="16" t="s">
        <v>341</v>
      </c>
      <c r="T35" s="16" t="s">
        <v>340</v>
      </c>
      <c r="U35" s="15" t="s">
        <v>343</v>
      </c>
      <c r="V35" s="15" t="s">
        <v>344</v>
      </c>
      <c r="W35" s="17" t="s">
        <v>371</v>
      </c>
      <c r="Z35" t="s">
        <v>43</v>
      </c>
      <c r="AA35" t="s">
        <v>772</v>
      </c>
      <c r="AB35" s="16" t="s">
        <v>272</v>
      </c>
      <c r="AC35" s="16">
        <v>3</v>
      </c>
      <c r="AD35" t="s">
        <v>1524</v>
      </c>
      <c r="AE35" t="s">
        <v>1631</v>
      </c>
      <c r="AF35" t="s">
        <v>1567</v>
      </c>
      <c r="AG35" t="s">
        <v>344</v>
      </c>
    </row>
    <row r="36" spans="1:33" x14ac:dyDescent="0.3">
      <c r="A36" t="s">
        <v>43</v>
      </c>
      <c r="B36" t="s">
        <v>73</v>
      </c>
      <c r="C36" t="s">
        <v>16</v>
      </c>
      <c r="D36" t="s">
        <v>12</v>
      </c>
      <c r="E36" t="s">
        <v>773</v>
      </c>
      <c r="F36" t="b">
        <v>1</v>
      </c>
      <c r="G36">
        <v>100</v>
      </c>
      <c r="H36">
        <v>1</v>
      </c>
      <c r="I36">
        <v>12820</v>
      </c>
      <c r="J36" s="61" t="s">
        <v>18</v>
      </c>
      <c r="K36" s="16" t="s">
        <v>272</v>
      </c>
      <c r="L36" s="16">
        <v>3</v>
      </c>
      <c r="M36" s="16" t="s">
        <v>277</v>
      </c>
      <c r="N36" s="16" t="s">
        <v>335</v>
      </c>
      <c r="O36" s="15" t="s">
        <v>281</v>
      </c>
      <c r="P36" t="s">
        <v>285</v>
      </c>
      <c r="Q36" t="s">
        <v>286</v>
      </c>
      <c r="R36" s="17" t="s">
        <v>371</v>
      </c>
      <c r="S36" s="16" t="s">
        <v>341</v>
      </c>
      <c r="T36" s="16" t="s">
        <v>340</v>
      </c>
      <c r="U36" s="15" t="s">
        <v>343</v>
      </c>
      <c r="V36" s="15" t="s">
        <v>344</v>
      </c>
      <c r="W36" s="17" t="s">
        <v>371</v>
      </c>
      <c r="Z36" t="s">
        <v>43</v>
      </c>
      <c r="AA36" t="s">
        <v>773</v>
      </c>
      <c r="AB36" s="16" t="s">
        <v>272</v>
      </c>
      <c r="AC36" s="16">
        <v>3</v>
      </c>
      <c r="AD36" t="s">
        <v>1524</v>
      </c>
      <c r="AE36" t="s">
        <v>1631</v>
      </c>
      <c r="AF36" t="s">
        <v>1567</v>
      </c>
      <c r="AG36" t="s">
        <v>344</v>
      </c>
    </row>
    <row r="37" spans="1:33" x14ac:dyDescent="0.3">
      <c r="A37" t="s">
        <v>43</v>
      </c>
      <c r="B37" t="s">
        <v>73</v>
      </c>
      <c r="C37" t="s">
        <v>20</v>
      </c>
      <c r="D37" t="s">
        <v>12</v>
      </c>
      <c r="E37" t="s">
        <v>774</v>
      </c>
      <c r="F37" t="b">
        <v>1</v>
      </c>
      <c r="G37">
        <v>88.9</v>
      </c>
      <c r="H37">
        <v>0</v>
      </c>
      <c r="I37">
        <v>13880</v>
      </c>
      <c r="J37" s="61" t="s">
        <v>13</v>
      </c>
      <c r="K37" s="16" t="s">
        <v>272</v>
      </c>
      <c r="L37" s="16">
        <v>2</v>
      </c>
      <c r="M37" s="16" t="s">
        <v>277</v>
      </c>
      <c r="N37" s="16" t="s">
        <v>335</v>
      </c>
      <c r="O37" s="15" t="s">
        <v>282</v>
      </c>
      <c r="P37" t="s">
        <v>371</v>
      </c>
      <c r="Q37" t="s">
        <v>371</v>
      </c>
      <c r="R37" s="17" t="s">
        <v>371</v>
      </c>
      <c r="S37" s="16" t="s">
        <v>341</v>
      </c>
      <c r="T37" s="16" t="s">
        <v>340</v>
      </c>
      <c r="U37" s="15" t="s">
        <v>340</v>
      </c>
      <c r="V37" s="15" t="s">
        <v>345</v>
      </c>
      <c r="W37" s="17" t="s">
        <v>371</v>
      </c>
      <c r="Z37" t="s">
        <v>43</v>
      </c>
      <c r="AA37" t="s">
        <v>774</v>
      </c>
      <c r="AB37" s="16" t="s">
        <v>272</v>
      </c>
      <c r="AC37" s="16">
        <v>2</v>
      </c>
      <c r="AD37" t="s">
        <v>1524</v>
      </c>
      <c r="AE37" t="s">
        <v>282</v>
      </c>
      <c r="AF37" t="s">
        <v>341</v>
      </c>
      <c r="AG37" t="s">
        <v>345</v>
      </c>
    </row>
    <row r="38" spans="1:33" x14ac:dyDescent="0.3">
      <c r="A38" t="s">
        <v>43</v>
      </c>
      <c r="B38" t="s">
        <v>73</v>
      </c>
      <c r="C38" t="s">
        <v>22</v>
      </c>
      <c r="D38" t="s">
        <v>12</v>
      </c>
      <c r="E38" t="s">
        <v>775</v>
      </c>
      <c r="F38" t="b">
        <v>1</v>
      </c>
      <c r="G38">
        <v>100</v>
      </c>
      <c r="H38">
        <v>1</v>
      </c>
      <c r="I38">
        <v>12776</v>
      </c>
      <c r="J38" s="61" t="s">
        <v>18</v>
      </c>
      <c r="K38" s="16" t="s">
        <v>272</v>
      </c>
      <c r="L38" s="16">
        <v>3</v>
      </c>
      <c r="M38" s="16" t="s">
        <v>277</v>
      </c>
      <c r="N38" s="16" t="s">
        <v>335</v>
      </c>
      <c r="O38" s="15" t="s">
        <v>282</v>
      </c>
      <c r="P38" t="s">
        <v>371</v>
      </c>
      <c r="Q38" t="s">
        <v>371</v>
      </c>
      <c r="R38" s="17" t="s">
        <v>371</v>
      </c>
      <c r="S38" s="16" t="s">
        <v>341</v>
      </c>
      <c r="T38" s="16" t="s">
        <v>342</v>
      </c>
      <c r="U38" s="15" t="s">
        <v>343</v>
      </c>
      <c r="V38" s="15" t="s">
        <v>345</v>
      </c>
      <c r="W38" s="17" t="s">
        <v>346</v>
      </c>
      <c r="Z38" t="s">
        <v>43</v>
      </c>
      <c r="AA38" t="s">
        <v>775</v>
      </c>
      <c r="AB38" s="16" t="s">
        <v>272</v>
      </c>
      <c r="AC38" s="16">
        <v>3</v>
      </c>
      <c r="AD38" t="s">
        <v>1524</v>
      </c>
      <c r="AE38" t="s">
        <v>282</v>
      </c>
      <c r="AF38" t="s">
        <v>1566</v>
      </c>
      <c r="AG38" t="s">
        <v>1622</v>
      </c>
    </row>
    <row r="39" spans="1:33" x14ac:dyDescent="0.3">
      <c r="A39" t="s">
        <v>45</v>
      </c>
      <c r="B39" t="s">
        <v>46</v>
      </c>
      <c r="C39" t="s">
        <v>15</v>
      </c>
      <c r="D39" t="s">
        <v>12</v>
      </c>
      <c r="E39" t="s">
        <v>786</v>
      </c>
      <c r="F39" t="b">
        <v>1</v>
      </c>
      <c r="G39">
        <v>82.1</v>
      </c>
      <c r="H39">
        <v>0</v>
      </c>
      <c r="I39">
        <v>9768</v>
      </c>
      <c r="J39" s="61" t="s">
        <v>13</v>
      </c>
      <c r="K39" s="16" t="s">
        <v>272</v>
      </c>
      <c r="L39" s="16">
        <v>3</v>
      </c>
      <c r="M39" s="16" t="s">
        <v>277</v>
      </c>
      <c r="N39" s="16" t="s">
        <v>336</v>
      </c>
      <c r="O39" s="15" t="s">
        <v>283</v>
      </c>
      <c r="P39" t="s">
        <v>281</v>
      </c>
      <c r="Q39" t="s">
        <v>371</v>
      </c>
      <c r="R39" s="17" t="s">
        <v>371</v>
      </c>
      <c r="S39" s="16" t="s">
        <v>341</v>
      </c>
      <c r="T39" s="16" t="s">
        <v>340</v>
      </c>
      <c r="U39" s="15" t="s">
        <v>343</v>
      </c>
      <c r="V39" s="15" t="s">
        <v>345</v>
      </c>
      <c r="W39" s="17" t="s">
        <v>371</v>
      </c>
      <c r="Z39" t="s">
        <v>45</v>
      </c>
      <c r="AA39" t="s">
        <v>786</v>
      </c>
      <c r="AB39" s="16" t="s">
        <v>272</v>
      </c>
      <c r="AC39" s="16">
        <v>3</v>
      </c>
      <c r="AD39" t="s">
        <v>1526</v>
      </c>
      <c r="AE39" t="s">
        <v>1546</v>
      </c>
      <c r="AF39" t="s">
        <v>1567</v>
      </c>
      <c r="AG39" t="s">
        <v>345</v>
      </c>
    </row>
    <row r="40" spans="1:33" x14ac:dyDescent="0.3">
      <c r="A40" t="s">
        <v>45</v>
      </c>
      <c r="B40" t="s">
        <v>46</v>
      </c>
      <c r="C40" t="s">
        <v>14</v>
      </c>
      <c r="D40" t="s">
        <v>12</v>
      </c>
      <c r="E40" t="s">
        <v>787</v>
      </c>
      <c r="F40" t="b">
        <v>1</v>
      </c>
      <c r="G40">
        <v>86.6</v>
      </c>
      <c r="H40">
        <v>0</v>
      </c>
      <c r="I40">
        <v>12594</v>
      </c>
      <c r="J40" s="61" t="s">
        <v>13</v>
      </c>
      <c r="K40" s="16" t="s">
        <v>272</v>
      </c>
      <c r="L40" s="16">
        <v>3</v>
      </c>
      <c r="M40" s="16" t="s">
        <v>277</v>
      </c>
      <c r="N40" s="16" t="s">
        <v>336</v>
      </c>
      <c r="O40" s="15" t="s">
        <v>283</v>
      </c>
      <c r="P40" t="s">
        <v>281</v>
      </c>
      <c r="Q40" t="s">
        <v>371</v>
      </c>
      <c r="R40" s="17" t="s">
        <v>371</v>
      </c>
      <c r="S40" s="16" t="s">
        <v>341</v>
      </c>
      <c r="T40" s="16" t="s">
        <v>340</v>
      </c>
      <c r="U40" s="15" t="s">
        <v>343</v>
      </c>
      <c r="V40" s="15" t="s">
        <v>345</v>
      </c>
      <c r="W40" s="17" t="s">
        <v>371</v>
      </c>
      <c r="Z40" t="s">
        <v>45</v>
      </c>
      <c r="AA40" t="s">
        <v>787</v>
      </c>
      <c r="AB40" s="16" t="s">
        <v>272</v>
      </c>
      <c r="AC40" s="16">
        <v>3</v>
      </c>
      <c r="AD40" t="s">
        <v>1526</v>
      </c>
      <c r="AE40" t="s">
        <v>1546</v>
      </c>
      <c r="AF40" t="s">
        <v>1567</v>
      </c>
      <c r="AG40" t="s">
        <v>345</v>
      </c>
    </row>
    <row r="41" spans="1:33" x14ac:dyDescent="0.3">
      <c r="A41" t="s">
        <v>45</v>
      </c>
      <c r="B41" t="s">
        <v>46</v>
      </c>
      <c r="C41" t="s">
        <v>11</v>
      </c>
      <c r="D41" t="s">
        <v>12</v>
      </c>
      <c r="E41" t="s">
        <v>788</v>
      </c>
      <c r="F41" t="b">
        <v>1</v>
      </c>
      <c r="G41">
        <v>64.400000000000006</v>
      </c>
      <c r="H41">
        <v>0</v>
      </c>
      <c r="I41">
        <v>15051</v>
      </c>
      <c r="J41" s="61" t="s">
        <v>13</v>
      </c>
      <c r="K41" s="16" t="s">
        <v>272</v>
      </c>
      <c r="L41" s="16">
        <v>3</v>
      </c>
      <c r="M41" s="16" t="s">
        <v>277</v>
      </c>
      <c r="N41" s="16" t="s">
        <v>336</v>
      </c>
      <c r="O41" s="15" t="s">
        <v>283</v>
      </c>
      <c r="P41" t="s">
        <v>281</v>
      </c>
      <c r="Q41" t="s">
        <v>371</v>
      </c>
      <c r="R41" s="17" t="s">
        <v>371</v>
      </c>
      <c r="S41" s="16" t="s">
        <v>341</v>
      </c>
      <c r="T41" s="16" t="s">
        <v>340</v>
      </c>
      <c r="U41" s="15" t="s">
        <v>343</v>
      </c>
      <c r="V41" s="15" t="s">
        <v>345</v>
      </c>
      <c r="W41" s="17" t="s">
        <v>371</v>
      </c>
      <c r="Z41" t="s">
        <v>45</v>
      </c>
      <c r="AA41" t="s">
        <v>788</v>
      </c>
      <c r="AB41" s="16" t="s">
        <v>272</v>
      </c>
      <c r="AC41" s="16">
        <v>3</v>
      </c>
      <c r="AD41" t="s">
        <v>1526</v>
      </c>
      <c r="AE41" t="s">
        <v>1546</v>
      </c>
      <c r="AF41" t="s">
        <v>1567</v>
      </c>
      <c r="AG41" t="s">
        <v>345</v>
      </c>
    </row>
    <row r="42" spans="1:33" x14ac:dyDescent="0.3">
      <c r="A42" t="s">
        <v>45</v>
      </c>
      <c r="B42" t="s">
        <v>46</v>
      </c>
      <c r="C42" t="s">
        <v>19</v>
      </c>
      <c r="D42" t="s">
        <v>12</v>
      </c>
      <c r="E42" t="s">
        <v>789</v>
      </c>
      <c r="F42" t="b">
        <v>1</v>
      </c>
      <c r="G42">
        <v>82.1</v>
      </c>
      <c r="H42">
        <v>0</v>
      </c>
      <c r="I42">
        <v>9647</v>
      </c>
      <c r="J42" s="61" t="s">
        <v>13</v>
      </c>
      <c r="K42" s="16" t="s">
        <v>272</v>
      </c>
      <c r="L42" s="16">
        <v>3</v>
      </c>
      <c r="M42" s="16" t="s">
        <v>277</v>
      </c>
      <c r="N42" s="16" t="s">
        <v>336</v>
      </c>
      <c r="O42" s="15" t="s">
        <v>283</v>
      </c>
      <c r="P42" t="s">
        <v>281</v>
      </c>
      <c r="Q42" t="s">
        <v>371</v>
      </c>
      <c r="R42" s="17" t="s">
        <v>371</v>
      </c>
      <c r="S42" s="16" t="s">
        <v>341</v>
      </c>
      <c r="T42" s="16" t="s">
        <v>340</v>
      </c>
      <c r="U42" s="15" t="s">
        <v>343</v>
      </c>
      <c r="V42" s="15" t="s">
        <v>345</v>
      </c>
      <c r="W42" s="17" t="s">
        <v>344</v>
      </c>
      <c r="Z42" t="s">
        <v>45</v>
      </c>
      <c r="AA42" t="s">
        <v>789</v>
      </c>
      <c r="AB42" s="16" t="s">
        <v>272</v>
      </c>
      <c r="AC42" s="16">
        <v>3</v>
      </c>
      <c r="AD42" t="s">
        <v>1526</v>
      </c>
      <c r="AE42" t="s">
        <v>1546</v>
      </c>
      <c r="AF42" t="s">
        <v>1567</v>
      </c>
      <c r="AG42" t="s">
        <v>1574</v>
      </c>
    </row>
    <row r="43" spans="1:33" x14ac:dyDescent="0.3">
      <c r="A43" t="s">
        <v>45</v>
      </c>
      <c r="B43" t="s">
        <v>46</v>
      </c>
      <c r="C43" t="s">
        <v>17</v>
      </c>
      <c r="D43" t="s">
        <v>12</v>
      </c>
      <c r="E43" t="s">
        <v>790</v>
      </c>
      <c r="F43" t="b">
        <v>1</v>
      </c>
      <c r="G43">
        <v>82.1</v>
      </c>
      <c r="H43">
        <v>0</v>
      </c>
      <c r="I43">
        <v>9633</v>
      </c>
      <c r="J43" s="61" t="s">
        <v>13</v>
      </c>
      <c r="K43" s="16" t="s">
        <v>272</v>
      </c>
      <c r="L43" s="16">
        <v>3</v>
      </c>
      <c r="M43" s="16" t="s">
        <v>277</v>
      </c>
      <c r="N43" s="16" t="s">
        <v>336</v>
      </c>
      <c r="O43" s="15" t="s">
        <v>283</v>
      </c>
      <c r="P43" t="s">
        <v>281</v>
      </c>
      <c r="Q43" t="s">
        <v>371</v>
      </c>
      <c r="R43" s="17" t="s">
        <v>371</v>
      </c>
      <c r="S43" s="16" t="s">
        <v>341</v>
      </c>
      <c r="T43" s="16" t="s">
        <v>340</v>
      </c>
      <c r="U43" s="15" t="s">
        <v>343</v>
      </c>
      <c r="V43" s="15" t="s">
        <v>345</v>
      </c>
      <c r="W43" s="17" t="s">
        <v>371</v>
      </c>
      <c r="Z43" t="s">
        <v>45</v>
      </c>
      <c r="AA43" t="s">
        <v>790</v>
      </c>
      <c r="AB43" s="16" t="s">
        <v>272</v>
      </c>
      <c r="AC43" s="16">
        <v>3</v>
      </c>
      <c r="AD43" t="s">
        <v>1526</v>
      </c>
      <c r="AE43" t="s">
        <v>1546</v>
      </c>
      <c r="AF43" t="s">
        <v>1567</v>
      </c>
      <c r="AG43" t="s">
        <v>345</v>
      </c>
    </row>
    <row r="44" spans="1:33" x14ac:dyDescent="0.3">
      <c r="A44" t="s">
        <v>45</v>
      </c>
      <c r="B44" t="s">
        <v>46</v>
      </c>
      <c r="C44" t="s">
        <v>16</v>
      </c>
      <c r="D44" t="s">
        <v>12</v>
      </c>
      <c r="E44" t="s">
        <v>791</v>
      </c>
      <c r="F44" t="b">
        <v>1</v>
      </c>
      <c r="G44">
        <v>100</v>
      </c>
      <c r="H44">
        <v>1</v>
      </c>
      <c r="I44">
        <v>9078</v>
      </c>
      <c r="J44" s="61" t="s">
        <v>18</v>
      </c>
      <c r="K44" s="16" t="s">
        <v>272</v>
      </c>
      <c r="L44" s="16">
        <v>3</v>
      </c>
      <c r="M44" s="16" t="s">
        <v>277</v>
      </c>
      <c r="N44" s="16" t="s">
        <v>336</v>
      </c>
      <c r="O44" s="15" t="s">
        <v>283</v>
      </c>
      <c r="P44" t="s">
        <v>281</v>
      </c>
      <c r="Q44" t="s">
        <v>371</v>
      </c>
      <c r="R44" s="17" t="s">
        <v>371</v>
      </c>
      <c r="S44" s="16" t="s">
        <v>341</v>
      </c>
      <c r="T44" s="16" t="s">
        <v>340</v>
      </c>
      <c r="U44" s="15" t="s">
        <v>343</v>
      </c>
      <c r="V44" s="15" t="s">
        <v>345</v>
      </c>
      <c r="W44" s="17" t="s">
        <v>346</v>
      </c>
      <c r="Z44" t="s">
        <v>45</v>
      </c>
      <c r="AA44" t="s">
        <v>791</v>
      </c>
      <c r="AB44" s="16" t="s">
        <v>272</v>
      </c>
      <c r="AC44" s="16">
        <v>3</v>
      </c>
      <c r="AD44" t="s">
        <v>1526</v>
      </c>
      <c r="AE44" t="s">
        <v>1546</v>
      </c>
      <c r="AF44" t="s">
        <v>1567</v>
      </c>
      <c r="AG44" t="s">
        <v>1622</v>
      </c>
    </row>
    <row r="45" spans="1:33" x14ac:dyDescent="0.3">
      <c r="A45" t="s">
        <v>45</v>
      </c>
      <c r="B45" t="s">
        <v>46</v>
      </c>
      <c r="C45" t="s">
        <v>20</v>
      </c>
      <c r="D45" t="s">
        <v>12</v>
      </c>
      <c r="E45" t="s">
        <v>792</v>
      </c>
      <c r="F45" t="b">
        <v>1</v>
      </c>
      <c r="G45">
        <v>100</v>
      </c>
      <c r="H45">
        <v>1</v>
      </c>
      <c r="I45">
        <v>9026</v>
      </c>
      <c r="J45" s="61" t="s">
        <v>18</v>
      </c>
      <c r="K45" s="16" t="s">
        <v>272</v>
      </c>
      <c r="L45" s="16">
        <v>3</v>
      </c>
      <c r="M45" s="16" t="s">
        <v>277</v>
      </c>
      <c r="N45" s="16" t="s">
        <v>336</v>
      </c>
      <c r="O45" s="15" t="s">
        <v>283</v>
      </c>
      <c r="P45" t="s">
        <v>281</v>
      </c>
      <c r="Q45" t="s">
        <v>371</v>
      </c>
      <c r="R45" s="17" t="s">
        <v>371</v>
      </c>
      <c r="S45" s="16" t="s">
        <v>341</v>
      </c>
      <c r="T45" s="16" t="s">
        <v>340</v>
      </c>
      <c r="U45" s="15" t="s">
        <v>343</v>
      </c>
      <c r="V45" s="15" t="s">
        <v>345</v>
      </c>
      <c r="W45" s="17" t="s">
        <v>371</v>
      </c>
      <c r="Z45" t="s">
        <v>45</v>
      </c>
      <c r="AA45" t="s">
        <v>792</v>
      </c>
      <c r="AB45" s="16" t="s">
        <v>272</v>
      </c>
      <c r="AC45" s="16">
        <v>3</v>
      </c>
      <c r="AD45" t="s">
        <v>1526</v>
      </c>
      <c r="AE45" t="s">
        <v>1546</v>
      </c>
      <c r="AF45" t="s">
        <v>1567</v>
      </c>
      <c r="AG45" t="s">
        <v>345</v>
      </c>
    </row>
    <row r="46" spans="1:33" x14ac:dyDescent="0.3">
      <c r="A46" t="s">
        <v>45</v>
      </c>
      <c r="B46" t="s">
        <v>72</v>
      </c>
      <c r="C46" t="s">
        <v>15</v>
      </c>
      <c r="D46" t="s">
        <v>12</v>
      </c>
      <c r="E46" t="s">
        <v>804</v>
      </c>
      <c r="F46" t="b">
        <v>1</v>
      </c>
      <c r="G46">
        <v>40.4</v>
      </c>
      <c r="H46">
        <v>0</v>
      </c>
      <c r="I46">
        <v>13046</v>
      </c>
      <c r="J46" s="61" t="s">
        <v>13</v>
      </c>
      <c r="K46" s="16" t="s">
        <v>272</v>
      </c>
      <c r="L46" s="16">
        <v>3</v>
      </c>
      <c r="M46" s="16" t="s">
        <v>277</v>
      </c>
      <c r="N46" s="16" t="s">
        <v>335</v>
      </c>
      <c r="O46" s="15" t="s">
        <v>282</v>
      </c>
      <c r="P46" t="s">
        <v>371</v>
      </c>
      <c r="Q46" t="s">
        <v>371</v>
      </c>
      <c r="R46" s="17" t="s">
        <v>371</v>
      </c>
      <c r="S46" s="16" t="s">
        <v>341</v>
      </c>
      <c r="T46" s="16" t="s">
        <v>340</v>
      </c>
      <c r="U46" s="15" t="s">
        <v>343</v>
      </c>
      <c r="V46" s="15" t="s">
        <v>344</v>
      </c>
      <c r="W46" s="17" t="s">
        <v>371</v>
      </c>
      <c r="Z46" t="s">
        <v>45</v>
      </c>
      <c r="AA46" t="s">
        <v>804</v>
      </c>
      <c r="AB46" s="16" t="s">
        <v>272</v>
      </c>
      <c r="AC46" s="16">
        <v>3</v>
      </c>
      <c r="AD46" t="s">
        <v>1524</v>
      </c>
      <c r="AE46" t="s">
        <v>282</v>
      </c>
      <c r="AF46" t="s">
        <v>1567</v>
      </c>
      <c r="AG46" t="s">
        <v>344</v>
      </c>
    </row>
    <row r="47" spans="1:33" x14ac:dyDescent="0.3">
      <c r="A47" t="s">
        <v>45</v>
      </c>
      <c r="B47" t="s">
        <v>72</v>
      </c>
      <c r="C47" t="s">
        <v>14</v>
      </c>
      <c r="D47" t="s">
        <v>12</v>
      </c>
      <c r="E47" t="s">
        <v>805</v>
      </c>
      <c r="F47" t="b">
        <v>1</v>
      </c>
      <c r="G47">
        <v>98.3</v>
      </c>
      <c r="H47">
        <v>0</v>
      </c>
      <c r="I47">
        <v>11224</v>
      </c>
      <c r="J47" s="61" t="s">
        <v>13</v>
      </c>
      <c r="K47" s="16" t="s">
        <v>272</v>
      </c>
      <c r="L47" s="16">
        <v>2</v>
      </c>
      <c r="M47" s="16" t="s">
        <v>277</v>
      </c>
      <c r="N47" s="16" t="s">
        <v>335</v>
      </c>
      <c r="O47" s="15" t="s">
        <v>282</v>
      </c>
      <c r="P47" t="s">
        <v>371</v>
      </c>
      <c r="Q47" t="s">
        <v>371</v>
      </c>
      <c r="R47" s="17" t="s">
        <v>371</v>
      </c>
      <c r="S47" s="16" t="s">
        <v>341</v>
      </c>
      <c r="T47" s="16" t="s">
        <v>340</v>
      </c>
      <c r="U47" s="15" t="s">
        <v>340</v>
      </c>
      <c r="V47" s="15" t="s">
        <v>344</v>
      </c>
      <c r="W47" s="17" t="s">
        <v>371</v>
      </c>
      <c r="Z47" t="s">
        <v>45</v>
      </c>
      <c r="AA47" t="s">
        <v>805</v>
      </c>
      <c r="AB47" s="16" t="s">
        <v>272</v>
      </c>
      <c r="AC47" s="16">
        <v>2</v>
      </c>
      <c r="AD47" t="s">
        <v>1524</v>
      </c>
      <c r="AE47" t="s">
        <v>282</v>
      </c>
      <c r="AF47" t="s">
        <v>341</v>
      </c>
      <c r="AG47" t="s">
        <v>344</v>
      </c>
    </row>
    <row r="48" spans="1:33" x14ac:dyDescent="0.3">
      <c r="A48" t="s">
        <v>45</v>
      </c>
      <c r="B48" t="s">
        <v>72</v>
      </c>
      <c r="C48" t="s">
        <v>11</v>
      </c>
      <c r="D48" t="s">
        <v>12</v>
      </c>
      <c r="E48" t="s">
        <v>806</v>
      </c>
      <c r="F48" t="b">
        <v>1</v>
      </c>
      <c r="G48">
        <v>100</v>
      </c>
      <c r="H48">
        <v>1</v>
      </c>
      <c r="I48">
        <v>10629</v>
      </c>
      <c r="J48" s="61" t="s">
        <v>18</v>
      </c>
      <c r="K48" s="16" t="s">
        <v>272</v>
      </c>
      <c r="L48" s="16">
        <v>2</v>
      </c>
      <c r="M48" s="16" t="s">
        <v>277</v>
      </c>
      <c r="N48" s="16" t="s">
        <v>335</v>
      </c>
      <c r="O48" s="15" t="s">
        <v>282</v>
      </c>
      <c r="P48" t="s">
        <v>371</v>
      </c>
      <c r="Q48" t="s">
        <v>371</v>
      </c>
      <c r="R48" s="17" t="s">
        <v>371</v>
      </c>
      <c r="S48" s="16" t="s">
        <v>341</v>
      </c>
      <c r="T48" s="16" t="s">
        <v>340</v>
      </c>
      <c r="U48" s="15" t="s">
        <v>340</v>
      </c>
      <c r="V48" s="15" t="s">
        <v>344</v>
      </c>
      <c r="W48" s="17" t="s">
        <v>371</v>
      </c>
      <c r="Z48" t="s">
        <v>45</v>
      </c>
      <c r="AA48" t="s">
        <v>806</v>
      </c>
      <c r="AB48" s="16" t="s">
        <v>272</v>
      </c>
      <c r="AC48" s="16">
        <v>2</v>
      </c>
      <c r="AD48" t="s">
        <v>1524</v>
      </c>
      <c r="AE48" t="s">
        <v>282</v>
      </c>
      <c r="AF48" t="s">
        <v>341</v>
      </c>
      <c r="AG48" t="s">
        <v>344</v>
      </c>
    </row>
    <row r="49" spans="1:33" x14ac:dyDescent="0.3">
      <c r="A49" t="s">
        <v>45</v>
      </c>
      <c r="B49" t="s">
        <v>72</v>
      </c>
      <c r="C49" t="s">
        <v>21</v>
      </c>
      <c r="D49" t="s">
        <v>12</v>
      </c>
      <c r="E49" t="s">
        <v>807</v>
      </c>
      <c r="F49" t="b">
        <v>1</v>
      </c>
      <c r="G49">
        <v>100</v>
      </c>
      <c r="H49">
        <v>1</v>
      </c>
      <c r="I49">
        <v>10997</v>
      </c>
      <c r="J49" s="61" t="s">
        <v>18</v>
      </c>
      <c r="K49" s="16" t="s">
        <v>272</v>
      </c>
      <c r="L49" s="16">
        <v>2</v>
      </c>
      <c r="M49" s="16" t="s">
        <v>277</v>
      </c>
      <c r="N49" s="16" t="s">
        <v>335</v>
      </c>
      <c r="O49" s="15" t="s">
        <v>282</v>
      </c>
      <c r="P49" t="s">
        <v>371</v>
      </c>
      <c r="Q49" t="s">
        <v>371</v>
      </c>
      <c r="R49" s="17" t="s">
        <v>371</v>
      </c>
      <c r="S49" s="16" t="s">
        <v>341</v>
      </c>
      <c r="T49" s="16" t="s">
        <v>340</v>
      </c>
      <c r="U49" s="15" t="s">
        <v>340</v>
      </c>
      <c r="V49" s="15" t="s">
        <v>344</v>
      </c>
      <c r="W49" s="17" t="s">
        <v>371</v>
      </c>
      <c r="Z49" t="s">
        <v>45</v>
      </c>
      <c r="AA49" t="s">
        <v>807</v>
      </c>
      <c r="AB49" s="16" t="s">
        <v>272</v>
      </c>
      <c r="AC49" s="16">
        <v>2</v>
      </c>
      <c r="AD49" t="s">
        <v>1524</v>
      </c>
      <c r="AE49" t="s">
        <v>282</v>
      </c>
      <c r="AF49" t="s">
        <v>341</v>
      </c>
      <c r="AG49" t="s">
        <v>344</v>
      </c>
    </row>
    <row r="50" spans="1:33" x14ac:dyDescent="0.3">
      <c r="A50" t="s">
        <v>45</v>
      </c>
      <c r="B50" t="s">
        <v>72</v>
      </c>
      <c r="C50" t="s">
        <v>19</v>
      </c>
      <c r="D50" t="s">
        <v>12</v>
      </c>
      <c r="E50" t="s">
        <v>808</v>
      </c>
      <c r="F50" t="b">
        <v>1</v>
      </c>
      <c r="G50">
        <v>75.8</v>
      </c>
      <c r="H50">
        <v>0</v>
      </c>
      <c r="I50">
        <v>10738</v>
      </c>
      <c r="J50" s="61" t="s">
        <v>13</v>
      </c>
      <c r="K50" s="16" t="s">
        <v>273</v>
      </c>
      <c r="L50" s="16">
        <v>2</v>
      </c>
      <c r="M50" s="16" t="s">
        <v>333</v>
      </c>
      <c r="N50" s="16" t="s">
        <v>278</v>
      </c>
      <c r="O50" s="15" t="s">
        <v>273</v>
      </c>
      <c r="P50" t="s">
        <v>371</v>
      </c>
      <c r="Q50" t="s">
        <v>371</v>
      </c>
      <c r="R50" s="17" t="s">
        <v>371</v>
      </c>
      <c r="S50" s="16" t="s">
        <v>341</v>
      </c>
      <c r="T50" s="16" t="s">
        <v>340</v>
      </c>
      <c r="U50" s="15" t="s">
        <v>343</v>
      </c>
      <c r="V50" s="15" t="s">
        <v>344</v>
      </c>
      <c r="W50" s="17" t="s">
        <v>371</v>
      </c>
      <c r="Z50" t="s">
        <v>45</v>
      </c>
      <c r="AA50" t="s">
        <v>808</v>
      </c>
      <c r="AB50" s="16" t="s">
        <v>273</v>
      </c>
      <c r="AC50" s="16">
        <v>2</v>
      </c>
      <c r="AD50" t="s">
        <v>1525</v>
      </c>
      <c r="AE50" t="s">
        <v>273</v>
      </c>
      <c r="AF50" t="s">
        <v>1567</v>
      </c>
      <c r="AG50" t="s">
        <v>344</v>
      </c>
    </row>
    <row r="51" spans="1:33" x14ac:dyDescent="0.3">
      <c r="A51" t="s">
        <v>45</v>
      </c>
      <c r="B51" t="s">
        <v>72</v>
      </c>
      <c r="C51" t="s">
        <v>17</v>
      </c>
      <c r="D51" t="s">
        <v>12</v>
      </c>
      <c r="E51" t="s">
        <v>809</v>
      </c>
      <c r="F51" t="b">
        <v>1</v>
      </c>
      <c r="G51">
        <v>99.9</v>
      </c>
      <c r="H51">
        <v>0</v>
      </c>
      <c r="I51">
        <v>9469</v>
      </c>
      <c r="J51" s="61" t="s">
        <v>13</v>
      </c>
      <c r="K51" s="16" t="s">
        <v>273</v>
      </c>
      <c r="L51" s="16">
        <v>2</v>
      </c>
      <c r="M51" s="16" t="s">
        <v>333</v>
      </c>
      <c r="N51" s="16" t="s">
        <v>278</v>
      </c>
      <c r="O51" s="15" t="s">
        <v>273</v>
      </c>
      <c r="P51" t="s">
        <v>371</v>
      </c>
      <c r="Q51" t="s">
        <v>371</v>
      </c>
      <c r="R51" s="17" t="s">
        <v>371</v>
      </c>
      <c r="S51" s="16" t="s">
        <v>341</v>
      </c>
      <c r="T51" s="16" t="s">
        <v>340</v>
      </c>
      <c r="U51" s="15" t="s">
        <v>343</v>
      </c>
      <c r="V51" s="15" t="s">
        <v>344</v>
      </c>
      <c r="W51" s="17" t="s">
        <v>371</v>
      </c>
      <c r="Z51" t="s">
        <v>45</v>
      </c>
      <c r="AA51" t="s">
        <v>809</v>
      </c>
      <c r="AB51" s="16" t="s">
        <v>273</v>
      </c>
      <c r="AC51" s="16">
        <v>2</v>
      </c>
      <c r="AD51" t="s">
        <v>1525</v>
      </c>
      <c r="AE51" t="s">
        <v>273</v>
      </c>
      <c r="AF51" t="s">
        <v>1567</v>
      </c>
      <c r="AG51" t="s">
        <v>344</v>
      </c>
    </row>
    <row r="52" spans="1:33" x14ac:dyDescent="0.3">
      <c r="A52" t="s">
        <v>45</v>
      </c>
      <c r="B52" t="s">
        <v>72</v>
      </c>
      <c r="C52" t="s">
        <v>16</v>
      </c>
      <c r="D52" t="s">
        <v>12</v>
      </c>
      <c r="E52" t="s">
        <v>810</v>
      </c>
      <c r="F52" t="b">
        <v>1</v>
      </c>
      <c r="G52">
        <v>100</v>
      </c>
      <c r="H52">
        <v>1</v>
      </c>
      <c r="I52">
        <v>11463</v>
      </c>
      <c r="J52" s="61" t="s">
        <v>18</v>
      </c>
      <c r="K52" s="16" t="s">
        <v>272</v>
      </c>
      <c r="L52" s="16">
        <v>3</v>
      </c>
      <c r="M52" s="16" t="s">
        <v>277</v>
      </c>
      <c r="N52" s="16" t="s">
        <v>335</v>
      </c>
      <c r="O52" s="15" t="s">
        <v>282</v>
      </c>
      <c r="P52" t="s">
        <v>371</v>
      </c>
      <c r="Q52" t="s">
        <v>371</v>
      </c>
      <c r="R52" s="17" t="s">
        <v>371</v>
      </c>
      <c r="S52" s="16" t="s">
        <v>340</v>
      </c>
      <c r="T52" s="16" t="s">
        <v>342</v>
      </c>
      <c r="U52" s="15" t="s">
        <v>343</v>
      </c>
      <c r="V52" s="15" t="s">
        <v>291</v>
      </c>
      <c r="W52" s="17" t="s">
        <v>371</v>
      </c>
      <c r="Z52" t="s">
        <v>45</v>
      </c>
      <c r="AA52" t="s">
        <v>810</v>
      </c>
      <c r="AB52" s="16" t="s">
        <v>272</v>
      </c>
      <c r="AC52" s="16">
        <v>3</v>
      </c>
      <c r="AD52" t="s">
        <v>1524</v>
      </c>
      <c r="AE52" t="s">
        <v>282</v>
      </c>
      <c r="AF52" t="s">
        <v>1568</v>
      </c>
      <c r="AG52" t="s">
        <v>291</v>
      </c>
    </row>
    <row r="53" spans="1:33" x14ac:dyDescent="0.3">
      <c r="A53" t="s">
        <v>45</v>
      </c>
      <c r="B53" t="s">
        <v>72</v>
      </c>
      <c r="C53" t="s">
        <v>20</v>
      </c>
      <c r="D53" t="s">
        <v>12</v>
      </c>
      <c r="E53" t="s">
        <v>811</v>
      </c>
      <c r="F53" t="b">
        <v>1</v>
      </c>
      <c r="G53">
        <v>47</v>
      </c>
      <c r="H53">
        <v>0</v>
      </c>
      <c r="I53">
        <v>13771</v>
      </c>
      <c r="J53" s="61" t="s">
        <v>13</v>
      </c>
      <c r="K53" s="16" t="s">
        <v>272</v>
      </c>
      <c r="L53" s="16">
        <v>3</v>
      </c>
      <c r="M53" s="16" t="s">
        <v>277</v>
      </c>
      <c r="N53" s="16" t="s">
        <v>335</v>
      </c>
      <c r="O53" s="15" t="s">
        <v>282</v>
      </c>
      <c r="P53" t="s">
        <v>371</v>
      </c>
      <c r="Q53" t="s">
        <v>371</v>
      </c>
      <c r="R53" s="17" t="s">
        <v>371</v>
      </c>
      <c r="S53" s="16" t="s">
        <v>341</v>
      </c>
      <c r="T53" s="16" t="s">
        <v>340</v>
      </c>
      <c r="U53" s="15" t="s">
        <v>343</v>
      </c>
      <c r="V53" s="15" t="s">
        <v>345</v>
      </c>
      <c r="W53" s="17" t="s">
        <v>371</v>
      </c>
      <c r="X53" s="38"/>
      <c r="Y53" s="38"/>
      <c r="Z53" t="s">
        <v>45</v>
      </c>
      <c r="AA53" t="s">
        <v>811</v>
      </c>
      <c r="AB53" s="16" t="s">
        <v>272</v>
      </c>
      <c r="AC53" s="16">
        <v>3</v>
      </c>
      <c r="AD53" t="s">
        <v>1524</v>
      </c>
      <c r="AE53" t="s">
        <v>282</v>
      </c>
      <c r="AF53" t="s">
        <v>1567</v>
      </c>
      <c r="AG53" t="s">
        <v>345</v>
      </c>
    </row>
    <row r="54" spans="1:33" x14ac:dyDescent="0.3">
      <c r="A54" t="s">
        <v>45</v>
      </c>
      <c r="B54" t="s">
        <v>72</v>
      </c>
      <c r="C54" t="s">
        <v>22</v>
      </c>
      <c r="D54" t="s">
        <v>12</v>
      </c>
      <c r="E54" t="s">
        <v>812</v>
      </c>
      <c r="F54" t="b">
        <v>1</v>
      </c>
      <c r="G54">
        <v>94.9</v>
      </c>
      <c r="H54">
        <v>0</v>
      </c>
      <c r="I54">
        <v>11422</v>
      </c>
      <c r="J54" s="61" t="s">
        <v>13</v>
      </c>
      <c r="K54" s="16" t="s">
        <v>272</v>
      </c>
      <c r="L54" s="16">
        <v>2</v>
      </c>
      <c r="M54" s="16" t="s">
        <v>277</v>
      </c>
      <c r="N54" s="16" t="s">
        <v>335</v>
      </c>
      <c r="O54" s="15" t="s">
        <v>282</v>
      </c>
      <c r="P54" t="s">
        <v>371</v>
      </c>
      <c r="Q54" t="s">
        <v>371</v>
      </c>
      <c r="R54" s="17" t="s">
        <v>371</v>
      </c>
      <c r="S54" s="16" t="s">
        <v>341</v>
      </c>
      <c r="T54" s="16" t="s">
        <v>340</v>
      </c>
      <c r="U54" s="15" t="s">
        <v>340</v>
      </c>
      <c r="V54" s="15" t="s">
        <v>345</v>
      </c>
      <c r="W54" s="17" t="s">
        <v>371</v>
      </c>
      <c r="X54" s="38"/>
      <c r="Y54" s="38"/>
      <c r="Z54" t="s">
        <v>45</v>
      </c>
      <c r="AA54" t="s">
        <v>812</v>
      </c>
      <c r="AB54" s="16" t="s">
        <v>272</v>
      </c>
      <c r="AC54" s="16">
        <v>2</v>
      </c>
      <c r="AD54" t="s">
        <v>1524</v>
      </c>
      <c r="AE54" t="s">
        <v>282</v>
      </c>
      <c r="AF54" t="s">
        <v>341</v>
      </c>
      <c r="AG54" t="s">
        <v>345</v>
      </c>
    </row>
    <row r="55" spans="1:33" x14ac:dyDescent="0.3">
      <c r="A55" s="38" t="s">
        <v>9</v>
      </c>
      <c r="B55" s="38" t="s">
        <v>10</v>
      </c>
      <c r="C55" s="38" t="s">
        <v>27</v>
      </c>
      <c r="D55" s="38" t="s">
        <v>12</v>
      </c>
      <c r="E55" s="38" t="s">
        <v>825</v>
      </c>
      <c r="F55" s="38" t="b">
        <v>1</v>
      </c>
      <c r="G55" s="38">
        <v>67.5</v>
      </c>
      <c r="H55" s="38">
        <v>0</v>
      </c>
      <c r="I55" s="38">
        <v>12671</v>
      </c>
      <c r="J55" s="61" t="s">
        <v>13</v>
      </c>
      <c r="K55" s="39" t="s">
        <v>272</v>
      </c>
      <c r="L55" s="39">
        <v>3</v>
      </c>
      <c r="M55" s="39" t="s">
        <v>277</v>
      </c>
      <c r="N55" s="39" t="s">
        <v>335</v>
      </c>
      <c r="O55" s="40" t="s">
        <v>281</v>
      </c>
      <c r="P55" s="38" t="s">
        <v>283</v>
      </c>
      <c r="Q55" s="38" t="s">
        <v>286</v>
      </c>
      <c r="R55" s="41" t="s">
        <v>371</v>
      </c>
      <c r="S55" s="39" t="s">
        <v>341</v>
      </c>
      <c r="T55" s="39" t="s">
        <v>340</v>
      </c>
      <c r="U55" s="40" t="s">
        <v>343</v>
      </c>
      <c r="V55" s="40" t="s">
        <v>344</v>
      </c>
      <c r="W55" s="41" t="s">
        <v>371</v>
      </c>
      <c r="Z55" t="s">
        <v>9</v>
      </c>
      <c r="AA55" t="s">
        <v>825</v>
      </c>
      <c r="AB55" s="16" t="s">
        <v>272</v>
      </c>
      <c r="AC55" s="16">
        <v>3</v>
      </c>
      <c r="AD55" t="s">
        <v>1524</v>
      </c>
      <c r="AE55" t="s">
        <v>1633</v>
      </c>
      <c r="AF55" t="s">
        <v>1567</v>
      </c>
      <c r="AG55" t="s">
        <v>344</v>
      </c>
    </row>
    <row r="56" spans="1:33" x14ac:dyDescent="0.3">
      <c r="A56" t="s">
        <v>9</v>
      </c>
      <c r="B56" t="s">
        <v>10</v>
      </c>
      <c r="C56" t="s">
        <v>15</v>
      </c>
      <c r="D56" t="s">
        <v>12</v>
      </c>
      <c r="E56" t="s">
        <v>826</v>
      </c>
      <c r="F56" t="b">
        <v>1</v>
      </c>
      <c r="G56">
        <v>49.8</v>
      </c>
      <c r="H56">
        <v>0</v>
      </c>
      <c r="I56">
        <v>12988</v>
      </c>
      <c r="J56" s="61" t="s">
        <v>13</v>
      </c>
      <c r="K56" s="16" t="s">
        <v>272</v>
      </c>
      <c r="L56" s="16">
        <v>3</v>
      </c>
      <c r="M56" s="16" t="s">
        <v>277</v>
      </c>
      <c r="N56" s="16" t="s">
        <v>335</v>
      </c>
      <c r="O56" s="15" t="s">
        <v>283</v>
      </c>
      <c r="P56" t="s">
        <v>286</v>
      </c>
      <c r="Q56" t="s">
        <v>371</v>
      </c>
      <c r="R56" s="17" t="s">
        <v>371</v>
      </c>
      <c r="S56" s="16" t="s">
        <v>341</v>
      </c>
      <c r="T56" s="16" t="s">
        <v>340</v>
      </c>
      <c r="U56" s="15" t="s">
        <v>343</v>
      </c>
      <c r="V56" s="15" t="s">
        <v>344</v>
      </c>
      <c r="W56" s="17" t="s">
        <v>371</v>
      </c>
      <c r="Z56" t="s">
        <v>9</v>
      </c>
      <c r="AA56" t="s">
        <v>826</v>
      </c>
      <c r="AB56" s="16" t="s">
        <v>272</v>
      </c>
      <c r="AC56" s="16">
        <v>3</v>
      </c>
      <c r="AD56" t="s">
        <v>1524</v>
      </c>
      <c r="AE56" t="s">
        <v>1634</v>
      </c>
      <c r="AF56" t="s">
        <v>1567</v>
      </c>
      <c r="AG56" t="s">
        <v>344</v>
      </c>
    </row>
    <row r="57" spans="1:33" x14ac:dyDescent="0.3">
      <c r="A57" t="s">
        <v>9</v>
      </c>
      <c r="B57" t="s">
        <v>10</v>
      </c>
      <c r="C57" t="s">
        <v>23</v>
      </c>
      <c r="D57" t="s">
        <v>12</v>
      </c>
      <c r="E57" t="s">
        <v>827</v>
      </c>
      <c r="F57" t="b">
        <v>1</v>
      </c>
      <c r="G57">
        <v>100</v>
      </c>
      <c r="H57">
        <v>1</v>
      </c>
      <c r="I57">
        <v>10691</v>
      </c>
      <c r="J57" s="61" t="s">
        <v>18</v>
      </c>
      <c r="K57" s="16" t="s">
        <v>272</v>
      </c>
      <c r="L57" s="16">
        <v>3</v>
      </c>
      <c r="M57" s="16" t="s">
        <v>277</v>
      </c>
      <c r="N57" s="16" t="s">
        <v>335</v>
      </c>
      <c r="O57" s="15" t="s">
        <v>283</v>
      </c>
      <c r="P57" t="s">
        <v>286</v>
      </c>
      <c r="Q57" t="s">
        <v>371</v>
      </c>
      <c r="R57" s="17" t="s">
        <v>371</v>
      </c>
      <c r="S57" s="16" t="s">
        <v>341</v>
      </c>
      <c r="T57" s="16" t="s">
        <v>340</v>
      </c>
      <c r="U57" s="15" t="s">
        <v>343</v>
      </c>
      <c r="V57" s="15" t="s">
        <v>344</v>
      </c>
      <c r="W57" s="17" t="s">
        <v>371</v>
      </c>
      <c r="Z57" t="s">
        <v>9</v>
      </c>
      <c r="AA57" t="s">
        <v>827</v>
      </c>
      <c r="AB57" s="16" t="s">
        <v>272</v>
      </c>
      <c r="AC57" s="16">
        <v>3</v>
      </c>
      <c r="AD57" t="s">
        <v>1524</v>
      </c>
      <c r="AE57" t="s">
        <v>1634</v>
      </c>
      <c r="AF57" t="s">
        <v>1567</v>
      </c>
      <c r="AG57" t="s">
        <v>344</v>
      </c>
    </row>
    <row r="58" spans="1:33" x14ac:dyDescent="0.3">
      <c r="A58" t="s">
        <v>9</v>
      </c>
      <c r="B58" t="s">
        <v>10</v>
      </c>
      <c r="C58" t="s">
        <v>14</v>
      </c>
      <c r="D58" t="s">
        <v>12</v>
      </c>
      <c r="E58" t="s">
        <v>828</v>
      </c>
      <c r="F58" t="b">
        <v>1</v>
      </c>
      <c r="G58">
        <v>50.9</v>
      </c>
      <c r="H58">
        <v>0</v>
      </c>
      <c r="I58">
        <v>13845</v>
      </c>
      <c r="J58" s="61" t="s">
        <v>13</v>
      </c>
      <c r="K58" s="16" t="s">
        <v>272</v>
      </c>
      <c r="L58" s="16">
        <v>3</v>
      </c>
      <c r="M58" s="16" t="s">
        <v>277</v>
      </c>
      <c r="N58" s="16" t="s">
        <v>335</v>
      </c>
      <c r="O58" s="15" t="s">
        <v>283</v>
      </c>
      <c r="P58" t="s">
        <v>286</v>
      </c>
      <c r="Q58" t="s">
        <v>371</v>
      </c>
      <c r="R58" s="17" t="s">
        <v>371</v>
      </c>
      <c r="S58" s="16" t="s">
        <v>341</v>
      </c>
      <c r="T58" s="16" t="s">
        <v>340</v>
      </c>
      <c r="U58" s="15" t="s">
        <v>343</v>
      </c>
      <c r="V58" s="15" t="s">
        <v>344</v>
      </c>
      <c r="W58" s="17" t="s">
        <v>371</v>
      </c>
      <c r="Z58" t="s">
        <v>9</v>
      </c>
      <c r="AA58" t="s">
        <v>828</v>
      </c>
      <c r="AB58" s="16" t="s">
        <v>272</v>
      </c>
      <c r="AC58" s="16">
        <v>3</v>
      </c>
      <c r="AD58" t="s">
        <v>1524</v>
      </c>
      <c r="AE58" t="s">
        <v>1634</v>
      </c>
      <c r="AF58" t="s">
        <v>1567</v>
      </c>
      <c r="AG58" t="s">
        <v>344</v>
      </c>
    </row>
    <row r="59" spans="1:33" x14ac:dyDescent="0.3">
      <c r="A59" t="s">
        <v>9</v>
      </c>
      <c r="B59" t="s">
        <v>10</v>
      </c>
      <c r="C59" t="s">
        <v>25</v>
      </c>
      <c r="D59" t="s">
        <v>12</v>
      </c>
      <c r="E59" t="s">
        <v>829</v>
      </c>
      <c r="F59" t="b">
        <v>1</v>
      </c>
      <c r="G59">
        <v>100</v>
      </c>
      <c r="H59">
        <v>1</v>
      </c>
      <c r="I59">
        <v>11350</v>
      </c>
      <c r="J59" s="61" t="s">
        <v>18</v>
      </c>
      <c r="K59" s="16" t="s">
        <v>272</v>
      </c>
      <c r="L59" s="16">
        <v>3</v>
      </c>
      <c r="M59" s="16" t="s">
        <v>277</v>
      </c>
      <c r="N59" s="16" t="s">
        <v>335</v>
      </c>
      <c r="O59" s="15" t="s">
        <v>281</v>
      </c>
      <c r="P59" t="s">
        <v>283</v>
      </c>
      <c r="Q59" t="s">
        <v>286</v>
      </c>
      <c r="R59" s="17" t="s">
        <v>371</v>
      </c>
      <c r="S59" s="16" t="s">
        <v>341</v>
      </c>
      <c r="T59" s="16" t="s">
        <v>340</v>
      </c>
      <c r="U59" s="15" t="s">
        <v>343</v>
      </c>
      <c r="V59" s="15" t="s">
        <v>344</v>
      </c>
      <c r="W59" s="17" t="s">
        <v>371</v>
      </c>
      <c r="Z59" t="s">
        <v>9</v>
      </c>
      <c r="AA59" t="s">
        <v>829</v>
      </c>
      <c r="AB59" s="16" t="s">
        <v>272</v>
      </c>
      <c r="AC59" s="16">
        <v>3</v>
      </c>
      <c r="AD59" t="s">
        <v>1524</v>
      </c>
      <c r="AE59" t="s">
        <v>1633</v>
      </c>
      <c r="AF59" t="s">
        <v>1567</v>
      </c>
      <c r="AG59" t="s">
        <v>344</v>
      </c>
    </row>
    <row r="60" spans="1:33" x14ac:dyDescent="0.3">
      <c r="A60" t="s">
        <v>9</v>
      </c>
      <c r="B60" t="s">
        <v>10</v>
      </c>
      <c r="C60" t="s">
        <v>11</v>
      </c>
      <c r="D60" t="s">
        <v>12</v>
      </c>
      <c r="E60" t="s">
        <v>830</v>
      </c>
      <c r="F60" t="b">
        <v>1</v>
      </c>
      <c r="G60">
        <v>51.1</v>
      </c>
      <c r="H60">
        <v>0</v>
      </c>
      <c r="I60">
        <v>15157</v>
      </c>
      <c r="J60" s="61" t="s">
        <v>13</v>
      </c>
      <c r="K60" s="16" t="s">
        <v>272</v>
      </c>
      <c r="L60" s="16">
        <v>3</v>
      </c>
      <c r="M60" s="16" t="s">
        <v>277</v>
      </c>
      <c r="N60" s="16" t="s">
        <v>335</v>
      </c>
      <c r="O60" s="15" t="s">
        <v>283</v>
      </c>
      <c r="P60" t="s">
        <v>286</v>
      </c>
      <c r="Q60" t="s">
        <v>371</v>
      </c>
      <c r="R60" s="17" t="s">
        <v>371</v>
      </c>
      <c r="S60" s="16" t="s">
        <v>341</v>
      </c>
      <c r="T60" s="16" t="s">
        <v>340</v>
      </c>
      <c r="U60" s="15" t="s">
        <v>343</v>
      </c>
      <c r="V60" s="15" t="s">
        <v>344</v>
      </c>
      <c r="W60" s="17" t="s">
        <v>371</v>
      </c>
      <c r="Z60" t="s">
        <v>9</v>
      </c>
      <c r="AA60" t="s">
        <v>830</v>
      </c>
      <c r="AB60" s="16" t="s">
        <v>272</v>
      </c>
      <c r="AC60" s="16">
        <v>3</v>
      </c>
      <c r="AD60" t="s">
        <v>1524</v>
      </c>
      <c r="AE60" t="s">
        <v>1634</v>
      </c>
      <c r="AF60" t="s">
        <v>1567</v>
      </c>
      <c r="AG60" t="s">
        <v>344</v>
      </c>
    </row>
    <row r="61" spans="1:33" x14ac:dyDescent="0.3">
      <c r="A61" t="s">
        <v>9</v>
      </c>
      <c r="B61" t="s">
        <v>10</v>
      </c>
      <c r="C61" t="s">
        <v>24</v>
      </c>
      <c r="D61" t="s">
        <v>12</v>
      </c>
      <c r="E61" t="s">
        <v>831</v>
      </c>
      <c r="F61" t="b">
        <v>1</v>
      </c>
      <c r="G61">
        <v>71.599999999999994</v>
      </c>
      <c r="H61">
        <v>0</v>
      </c>
      <c r="I61">
        <v>11640</v>
      </c>
      <c r="J61" s="61" t="s">
        <v>13</v>
      </c>
      <c r="K61" s="16" t="s">
        <v>272</v>
      </c>
      <c r="L61" s="16">
        <v>3</v>
      </c>
      <c r="M61" s="16" t="s">
        <v>277</v>
      </c>
      <c r="N61" s="16" t="s">
        <v>335</v>
      </c>
      <c r="O61" s="15" t="s">
        <v>283</v>
      </c>
      <c r="P61" t="s">
        <v>286</v>
      </c>
      <c r="Q61" t="s">
        <v>371</v>
      </c>
      <c r="R61" s="17" t="s">
        <v>371</v>
      </c>
      <c r="S61" s="16" t="s">
        <v>341</v>
      </c>
      <c r="T61" s="16" t="s">
        <v>340</v>
      </c>
      <c r="U61" s="15" t="s">
        <v>343</v>
      </c>
      <c r="V61" s="15" t="s">
        <v>344</v>
      </c>
      <c r="W61" s="17" t="s">
        <v>371</v>
      </c>
      <c r="Z61" t="s">
        <v>9</v>
      </c>
      <c r="AA61" t="s">
        <v>831</v>
      </c>
      <c r="AB61" s="16" t="s">
        <v>272</v>
      </c>
      <c r="AC61" s="16">
        <v>3</v>
      </c>
      <c r="AD61" t="s">
        <v>1524</v>
      </c>
      <c r="AE61" t="s">
        <v>1634</v>
      </c>
      <c r="AF61" t="s">
        <v>1567</v>
      </c>
      <c r="AG61" t="s">
        <v>344</v>
      </c>
    </row>
    <row r="62" spans="1:33" x14ac:dyDescent="0.3">
      <c r="A62" t="s">
        <v>9</v>
      </c>
      <c r="B62" t="s">
        <v>10</v>
      </c>
      <c r="C62" t="s">
        <v>21</v>
      </c>
      <c r="D62" t="s">
        <v>12</v>
      </c>
      <c r="E62" t="s">
        <v>832</v>
      </c>
      <c r="F62" t="b">
        <v>1</v>
      </c>
      <c r="G62">
        <v>100</v>
      </c>
      <c r="H62">
        <v>1</v>
      </c>
      <c r="I62">
        <v>9959</v>
      </c>
      <c r="J62" s="61" t="s">
        <v>18</v>
      </c>
      <c r="K62" s="16" t="s">
        <v>272</v>
      </c>
      <c r="L62" s="16">
        <v>3</v>
      </c>
      <c r="M62" s="16" t="s">
        <v>277</v>
      </c>
      <c r="N62" s="16" t="s">
        <v>335</v>
      </c>
      <c r="O62" s="15" t="s">
        <v>283</v>
      </c>
      <c r="P62" t="s">
        <v>286</v>
      </c>
      <c r="Q62" t="s">
        <v>371</v>
      </c>
      <c r="R62" s="17" t="s">
        <v>371</v>
      </c>
      <c r="S62" s="16" t="s">
        <v>341</v>
      </c>
      <c r="T62" s="16" t="s">
        <v>340</v>
      </c>
      <c r="U62" s="15" t="s">
        <v>343</v>
      </c>
      <c r="V62" s="15" t="s">
        <v>344</v>
      </c>
      <c r="W62" s="17" t="s">
        <v>347</v>
      </c>
      <c r="Z62" t="s">
        <v>9</v>
      </c>
      <c r="AA62" t="s">
        <v>832</v>
      </c>
      <c r="AB62" s="16" t="s">
        <v>272</v>
      </c>
      <c r="AC62" s="16">
        <v>3</v>
      </c>
      <c r="AD62" t="s">
        <v>1524</v>
      </c>
      <c r="AE62" t="s">
        <v>1634</v>
      </c>
      <c r="AF62" t="s">
        <v>1567</v>
      </c>
      <c r="AG62" t="s">
        <v>1571</v>
      </c>
    </row>
    <row r="63" spans="1:33" x14ac:dyDescent="0.3">
      <c r="A63" t="s">
        <v>9</v>
      </c>
      <c r="B63" t="s">
        <v>10</v>
      </c>
      <c r="C63" t="s">
        <v>19</v>
      </c>
      <c r="D63" t="s">
        <v>12</v>
      </c>
      <c r="E63" t="s">
        <v>833</v>
      </c>
      <c r="F63" t="b">
        <v>1</v>
      </c>
      <c r="G63">
        <v>70</v>
      </c>
      <c r="H63">
        <v>0</v>
      </c>
      <c r="I63">
        <v>11664</v>
      </c>
      <c r="J63" s="61" t="s">
        <v>13</v>
      </c>
      <c r="K63" s="16" t="s">
        <v>272</v>
      </c>
      <c r="L63" s="16">
        <v>3</v>
      </c>
      <c r="M63" s="16" t="s">
        <v>277</v>
      </c>
      <c r="N63" s="16" t="s">
        <v>335</v>
      </c>
      <c r="O63" s="15" t="s">
        <v>283</v>
      </c>
      <c r="P63" t="s">
        <v>286</v>
      </c>
      <c r="Q63" t="s">
        <v>371</v>
      </c>
      <c r="R63" s="17" t="s">
        <v>371</v>
      </c>
      <c r="S63" s="16" t="s">
        <v>341</v>
      </c>
      <c r="T63" s="16" t="s">
        <v>340</v>
      </c>
      <c r="U63" s="15" t="s">
        <v>343</v>
      </c>
      <c r="V63" s="15" t="s">
        <v>344</v>
      </c>
      <c r="W63" s="17" t="s">
        <v>371</v>
      </c>
      <c r="Z63" t="s">
        <v>9</v>
      </c>
      <c r="AA63" t="s">
        <v>833</v>
      </c>
      <c r="AB63" s="16" t="s">
        <v>272</v>
      </c>
      <c r="AC63" s="16">
        <v>3</v>
      </c>
      <c r="AD63" t="s">
        <v>1524</v>
      </c>
      <c r="AE63" t="s">
        <v>1634</v>
      </c>
      <c r="AF63" t="s">
        <v>1567</v>
      </c>
      <c r="AG63" t="s">
        <v>344</v>
      </c>
    </row>
    <row r="64" spans="1:33" x14ac:dyDescent="0.3">
      <c r="A64" t="s">
        <v>9</v>
      </c>
      <c r="B64" t="s">
        <v>10</v>
      </c>
      <c r="C64" t="s">
        <v>17</v>
      </c>
      <c r="D64" t="s">
        <v>12</v>
      </c>
      <c r="E64" t="s">
        <v>834</v>
      </c>
      <c r="F64" t="b">
        <v>1</v>
      </c>
      <c r="G64">
        <v>100</v>
      </c>
      <c r="H64">
        <v>1</v>
      </c>
      <c r="I64">
        <v>10979</v>
      </c>
      <c r="J64" s="61" t="s">
        <v>18</v>
      </c>
      <c r="K64" s="16" t="s">
        <v>272</v>
      </c>
      <c r="L64" s="16">
        <v>3</v>
      </c>
      <c r="M64" s="16" t="s">
        <v>277</v>
      </c>
      <c r="N64" s="16" t="s">
        <v>335</v>
      </c>
      <c r="O64" s="15" t="s">
        <v>283</v>
      </c>
      <c r="P64" t="s">
        <v>286</v>
      </c>
      <c r="Q64" t="s">
        <v>371</v>
      </c>
      <c r="R64" s="17" t="s">
        <v>371</v>
      </c>
      <c r="S64" s="16" t="s">
        <v>341</v>
      </c>
      <c r="T64" s="16" t="s">
        <v>340</v>
      </c>
      <c r="U64" s="15" t="s">
        <v>343</v>
      </c>
      <c r="V64" s="15" t="s">
        <v>344</v>
      </c>
      <c r="W64" s="17" t="s">
        <v>371</v>
      </c>
      <c r="Z64" t="s">
        <v>9</v>
      </c>
      <c r="AA64" t="s">
        <v>834</v>
      </c>
      <c r="AB64" s="16" t="s">
        <v>272</v>
      </c>
      <c r="AC64" s="16">
        <v>3</v>
      </c>
      <c r="AD64" t="s">
        <v>1524</v>
      </c>
      <c r="AE64" t="s">
        <v>1634</v>
      </c>
      <c r="AF64" t="s">
        <v>1567</v>
      </c>
      <c r="AG64" t="s">
        <v>344</v>
      </c>
    </row>
    <row r="65" spans="1:33" x14ac:dyDescent="0.3">
      <c r="A65" t="s">
        <v>9</v>
      </c>
      <c r="B65" t="s">
        <v>10</v>
      </c>
      <c r="C65" t="s">
        <v>16</v>
      </c>
      <c r="D65" t="s">
        <v>12</v>
      </c>
      <c r="E65" t="s">
        <v>835</v>
      </c>
      <c r="F65" t="b">
        <v>1</v>
      </c>
      <c r="G65">
        <v>68.2</v>
      </c>
      <c r="H65">
        <v>0</v>
      </c>
      <c r="I65">
        <v>11982</v>
      </c>
      <c r="J65" s="61" t="s">
        <v>13</v>
      </c>
      <c r="K65" s="16" t="s">
        <v>272</v>
      </c>
      <c r="L65" s="16">
        <v>3</v>
      </c>
      <c r="M65" s="16" t="s">
        <v>277</v>
      </c>
      <c r="N65" s="16" t="s">
        <v>335</v>
      </c>
      <c r="O65" s="15" t="s">
        <v>283</v>
      </c>
      <c r="P65" t="s">
        <v>286</v>
      </c>
      <c r="Q65" t="s">
        <v>371</v>
      </c>
      <c r="R65" s="17" t="s">
        <v>371</v>
      </c>
      <c r="S65" s="16" t="s">
        <v>341</v>
      </c>
      <c r="T65" s="16" t="s">
        <v>340</v>
      </c>
      <c r="U65" s="15" t="s">
        <v>343</v>
      </c>
      <c r="V65" s="15" t="s">
        <v>344</v>
      </c>
      <c r="W65" s="17" t="s">
        <v>371</v>
      </c>
      <c r="Z65" t="s">
        <v>9</v>
      </c>
      <c r="AA65" t="s">
        <v>835</v>
      </c>
      <c r="AB65" s="16" t="s">
        <v>272</v>
      </c>
      <c r="AC65" s="16">
        <v>3</v>
      </c>
      <c r="AD65" t="s">
        <v>1524</v>
      </c>
      <c r="AE65" t="s">
        <v>1634</v>
      </c>
      <c r="AF65" t="s">
        <v>1567</v>
      </c>
      <c r="AG65" t="s">
        <v>344</v>
      </c>
    </row>
    <row r="66" spans="1:33" x14ac:dyDescent="0.3">
      <c r="A66" t="s">
        <v>9</v>
      </c>
      <c r="B66" t="s">
        <v>10</v>
      </c>
      <c r="C66" t="s">
        <v>20</v>
      </c>
      <c r="D66" t="s">
        <v>12</v>
      </c>
      <c r="E66" t="s">
        <v>836</v>
      </c>
      <c r="F66" t="b">
        <v>1</v>
      </c>
      <c r="G66">
        <v>100</v>
      </c>
      <c r="H66">
        <v>1</v>
      </c>
      <c r="I66">
        <v>11362</v>
      </c>
      <c r="J66" s="61" t="s">
        <v>18</v>
      </c>
      <c r="K66" s="16" t="s">
        <v>272</v>
      </c>
      <c r="L66" s="16">
        <v>3</v>
      </c>
      <c r="M66" s="16" t="s">
        <v>277</v>
      </c>
      <c r="N66" s="16" t="s">
        <v>335</v>
      </c>
      <c r="O66" s="15" t="s">
        <v>283</v>
      </c>
      <c r="P66" t="s">
        <v>286</v>
      </c>
      <c r="Q66" t="s">
        <v>371</v>
      </c>
      <c r="R66" s="17" t="s">
        <v>371</v>
      </c>
      <c r="S66" s="16" t="s">
        <v>341</v>
      </c>
      <c r="T66" s="16" t="s">
        <v>340</v>
      </c>
      <c r="U66" s="15" t="s">
        <v>343</v>
      </c>
      <c r="V66" s="15" t="s">
        <v>344</v>
      </c>
      <c r="W66" s="17" t="s">
        <v>371</v>
      </c>
      <c r="Z66" t="s">
        <v>9</v>
      </c>
      <c r="AA66" t="s">
        <v>836</v>
      </c>
      <c r="AB66" s="16" t="s">
        <v>272</v>
      </c>
      <c r="AC66" s="16">
        <v>3</v>
      </c>
      <c r="AD66" t="s">
        <v>1524</v>
      </c>
      <c r="AE66" t="s">
        <v>1634</v>
      </c>
      <c r="AF66" t="s">
        <v>1567</v>
      </c>
      <c r="AG66" t="s">
        <v>344</v>
      </c>
    </row>
    <row r="67" spans="1:33" x14ac:dyDescent="0.3">
      <c r="A67" t="s">
        <v>9</v>
      </c>
      <c r="B67" t="s">
        <v>10</v>
      </c>
      <c r="C67" t="s">
        <v>26</v>
      </c>
      <c r="D67" t="s">
        <v>12</v>
      </c>
      <c r="E67" t="s">
        <v>837</v>
      </c>
      <c r="F67" t="b">
        <v>1</v>
      </c>
      <c r="G67">
        <v>100</v>
      </c>
      <c r="H67">
        <v>1</v>
      </c>
      <c r="I67">
        <v>11665</v>
      </c>
      <c r="J67" s="61" t="s">
        <v>18</v>
      </c>
      <c r="K67" s="16" t="s">
        <v>272</v>
      </c>
      <c r="L67" s="16">
        <v>3</v>
      </c>
      <c r="M67" s="16" t="s">
        <v>277</v>
      </c>
      <c r="N67" s="16" t="s">
        <v>335</v>
      </c>
      <c r="O67" s="15" t="s">
        <v>281</v>
      </c>
      <c r="P67" t="s">
        <v>283</v>
      </c>
      <c r="Q67" t="s">
        <v>286</v>
      </c>
      <c r="R67" s="17" t="s">
        <v>371</v>
      </c>
      <c r="S67" s="16" t="s">
        <v>341</v>
      </c>
      <c r="T67" s="16" t="s">
        <v>340</v>
      </c>
      <c r="U67" s="15" t="s">
        <v>343</v>
      </c>
      <c r="V67" s="15" t="s">
        <v>344</v>
      </c>
      <c r="W67" s="17" t="s">
        <v>371</v>
      </c>
      <c r="Z67" t="s">
        <v>9</v>
      </c>
      <c r="AA67" t="s">
        <v>837</v>
      </c>
      <c r="AB67" s="16" t="s">
        <v>272</v>
      </c>
      <c r="AC67" s="16">
        <v>3</v>
      </c>
      <c r="AD67" t="s">
        <v>1524</v>
      </c>
      <c r="AE67" t="s">
        <v>1633</v>
      </c>
      <c r="AF67" t="s">
        <v>1567</v>
      </c>
      <c r="AG67" t="s">
        <v>344</v>
      </c>
    </row>
    <row r="68" spans="1:33" x14ac:dyDescent="0.3">
      <c r="A68" t="s">
        <v>9</v>
      </c>
      <c r="B68" t="s">
        <v>10</v>
      </c>
      <c r="C68" t="s">
        <v>22</v>
      </c>
      <c r="D68" t="s">
        <v>12</v>
      </c>
      <c r="E68" t="s">
        <v>838</v>
      </c>
      <c r="F68" t="b">
        <v>1</v>
      </c>
      <c r="G68">
        <v>100</v>
      </c>
      <c r="H68">
        <v>1</v>
      </c>
      <c r="I68">
        <v>11364</v>
      </c>
      <c r="J68" s="61" t="s">
        <v>18</v>
      </c>
      <c r="K68" s="16" t="s">
        <v>272</v>
      </c>
      <c r="L68" s="16">
        <v>3</v>
      </c>
      <c r="M68" s="16" t="s">
        <v>277</v>
      </c>
      <c r="N68" s="16" t="s">
        <v>335</v>
      </c>
      <c r="O68" s="15" t="s">
        <v>283</v>
      </c>
      <c r="P68" t="s">
        <v>286</v>
      </c>
      <c r="Q68" t="s">
        <v>371</v>
      </c>
      <c r="R68" s="17" t="s">
        <v>371</v>
      </c>
      <c r="S68" s="16" t="s">
        <v>341</v>
      </c>
      <c r="T68" s="16" t="s">
        <v>340</v>
      </c>
      <c r="U68" s="15" t="s">
        <v>343</v>
      </c>
      <c r="V68" s="15" t="s">
        <v>344</v>
      </c>
      <c r="W68" s="17" t="s">
        <v>371</v>
      </c>
      <c r="X68" s="38"/>
      <c r="Y68" s="38"/>
      <c r="Z68" t="s">
        <v>9</v>
      </c>
      <c r="AA68" t="s">
        <v>838</v>
      </c>
      <c r="AB68" s="16" t="s">
        <v>272</v>
      </c>
      <c r="AC68" s="16">
        <v>3</v>
      </c>
      <c r="AD68" t="s">
        <v>1524</v>
      </c>
      <c r="AE68" t="s">
        <v>1634</v>
      </c>
      <c r="AF68" t="s">
        <v>1567</v>
      </c>
      <c r="AG68" t="s">
        <v>344</v>
      </c>
    </row>
    <row r="69" spans="1:33" x14ac:dyDescent="0.3">
      <c r="A69" t="s">
        <v>9</v>
      </c>
      <c r="B69" t="s">
        <v>47</v>
      </c>
      <c r="C69" t="s">
        <v>15</v>
      </c>
      <c r="D69" t="s">
        <v>12</v>
      </c>
      <c r="E69" t="s">
        <v>853</v>
      </c>
      <c r="F69" t="b">
        <v>1</v>
      </c>
      <c r="G69">
        <v>100</v>
      </c>
      <c r="H69">
        <v>1</v>
      </c>
      <c r="I69">
        <v>9017</v>
      </c>
      <c r="J69" s="61" t="s">
        <v>18</v>
      </c>
      <c r="K69" s="16" t="s">
        <v>272</v>
      </c>
      <c r="L69" s="16">
        <v>2</v>
      </c>
      <c r="M69" s="16" t="s">
        <v>277</v>
      </c>
      <c r="N69" s="16" t="s">
        <v>335</v>
      </c>
      <c r="O69" s="15" t="s">
        <v>282</v>
      </c>
      <c r="P69" t="s">
        <v>371</v>
      </c>
      <c r="Q69" t="s">
        <v>371</v>
      </c>
      <c r="R69" s="17" t="s">
        <v>371</v>
      </c>
      <c r="S69" s="16" t="s">
        <v>341</v>
      </c>
      <c r="T69" s="16" t="s">
        <v>340</v>
      </c>
      <c r="U69" s="15" t="s">
        <v>340</v>
      </c>
      <c r="V69" s="15" t="s">
        <v>344</v>
      </c>
      <c r="W69" s="17" t="s">
        <v>371</v>
      </c>
      <c r="Z69" t="s">
        <v>9</v>
      </c>
      <c r="AA69" t="s">
        <v>853</v>
      </c>
      <c r="AB69" s="16" t="s">
        <v>272</v>
      </c>
      <c r="AC69" s="16">
        <v>2</v>
      </c>
      <c r="AD69" t="s">
        <v>1524</v>
      </c>
      <c r="AE69" t="s">
        <v>282</v>
      </c>
      <c r="AF69" t="s">
        <v>341</v>
      </c>
      <c r="AG69" t="s">
        <v>344</v>
      </c>
    </row>
    <row r="70" spans="1:33" x14ac:dyDescent="0.3">
      <c r="A70" t="s">
        <v>9</v>
      </c>
      <c r="B70" t="s">
        <v>47</v>
      </c>
      <c r="C70" t="s">
        <v>14</v>
      </c>
      <c r="D70" t="s">
        <v>12</v>
      </c>
      <c r="E70" t="s">
        <v>854</v>
      </c>
      <c r="F70" t="b">
        <v>1</v>
      </c>
      <c r="G70">
        <v>100</v>
      </c>
      <c r="H70">
        <v>1</v>
      </c>
      <c r="I70">
        <v>9041</v>
      </c>
      <c r="J70" s="61" t="s">
        <v>18</v>
      </c>
      <c r="K70" s="16" t="s">
        <v>272</v>
      </c>
      <c r="L70" s="16">
        <v>2</v>
      </c>
      <c r="M70" s="16" t="s">
        <v>277</v>
      </c>
      <c r="N70" s="16" t="s">
        <v>335</v>
      </c>
      <c r="O70" s="15" t="s">
        <v>282</v>
      </c>
      <c r="P70" t="s">
        <v>371</v>
      </c>
      <c r="Q70" t="s">
        <v>371</v>
      </c>
      <c r="R70" s="17" t="s">
        <v>371</v>
      </c>
      <c r="S70" s="16" t="s">
        <v>341</v>
      </c>
      <c r="T70" s="16" t="s">
        <v>342</v>
      </c>
      <c r="U70" s="15" t="s">
        <v>340</v>
      </c>
      <c r="V70" s="15" t="s">
        <v>344</v>
      </c>
      <c r="W70" s="17" t="s">
        <v>371</v>
      </c>
      <c r="Z70" t="s">
        <v>9</v>
      </c>
      <c r="AA70" t="s">
        <v>854</v>
      </c>
      <c r="AB70" s="16" t="s">
        <v>272</v>
      </c>
      <c r="AC70" s="16">
        <v>2</v>
      </c>
      <c r="AD70" t="s">
        <v>1524</v>
      </c>
      <c r="AE70" t="s">
        <v>282</v>
      </c>
      <c r="AF70" t="s">
        <v>1654</v>
      </c>
      <c r="AG70" t="s">
        <v>344</v>
      </c>
    </row>
    <row r="71" spans="1:33" x14ac:dyDescent="0.3">
      <c r="A71" t="s">
        <v>9</v>
      </c>
      <c r="B71" t="s">
        <v>47</v>
      </c>
      <c r="C71" t="s">
        <v>11</v>
      </c>
      <c r="D71" t="s">
        <v>12</v>
      </c>
      <c r="E71" t="s">
        <v>855</v>
      </c>
      <c r="F71" t="b">
        <v>1</v>
      </c>
      <c r="G71">
        <v>83.5</v>
      </c>
      <c r="H71">
        <v>0</v>
      </c>
      <c r="I71">
        <v>11630</v>
      </c>
      <c r="J71" s="61" t="s">
        <v>13</v>
      </c>
      <c r="K71" s="16" t="s">
        <v>272</v>
      </c>
      <c r="L71" s="16">
        <v>3</v>
      </c>
      <c r="M71" s="16" t="s">
        <v>277</v>
      </c>
      <c r="N71" s="16" t="s">
        <v>335</v>
      </c>
      <c r="O71" s="15" t="s">
        <v>285</v>
      </c>
      <c r="P71" t="s">
        <v>282</v>
      </c>
      <c r="Q71" t="s">
        <v>371</v>
      </c>
      <c r="R71" s="17" t="s">
        <v>371</v>
      </c>
      <c r="S71" s="16" t="s">
        <v>341</v>
      </c>
      <c r="T71" s="16" t="s">
        <v>342</v>
      </c>
      <c r="U71" s="15" t="s">
        <v>343</v>
      </c>
      <c r="V71" s="15" t="s">
        <v>344</v>
      </c>
      <c r="W71" s="17" t="s">
        <v>371</v>
      </c>
      <c r="Z71" t="s">
        <v>9</v>
      </c>
      <c r="AA71" t="s">
        <v>855</v>
      </c>
      <c r="AB71" s="16" t="s">
        <v>272</v>
      </c>
      <c r="AC71" s="16">
        <v>3</v>
      </c>
      <c r="AD71" t="s">
        <v>1524</v>
      </c>
      <c r="AE71" t="s">
        <v>1553</v>
      </c>
      <c r="AF71" t="s">
        <v>1566</v>
      </c>
      <c r="AG71" t="s">
        <v>344</v>
      </c>
    </row>
    <row r="72" spans="1:33" x14ac:dyDescent="0.3">
      <c r="A72" t="s">
        <v>9</v>
      </c>
      <c r="B72" t="s">
        <v>47</v>
      </c>
      <c r="C72" t="s">
        <v>17</v>
      </c>
      <c r="D72" t="s">
        <v>12</v>
      </c>
      <c r="E72" t="s">
        <v>856</v>
      </c>
      <c r="F72" t="b">
        <v>1</v>
      </c>
      <c r="G72">
        <v>45.4</v>
      </c>
      <c r="H72">
        <v>0</v>
      </c>
      <c r="I72">
        <v>26028</v>
      </c>
      <c r="J72" s="61" t="s">
        <v>18</v>
      </c>
      <c r="K72" s="16" t="s">
        <v>272</v>
      </c>
      <c r="L72" s="16">
        <v>3</v>
      </c>
      <c r="M72" s="16" t="s">
        <v>277</v>
      </c>
      <c r="N72" s="16" t="s">
        <v>335</v>
      </c>
      <c r="O72" s="15" t="s">
        <v>282</v>
      </c>
      <c r="P72" t="s">
        <v>371</v>
      </c>
      <c r="Q72" t="s">
        <v>371</v>
      </c>
      <c r="R72" s="17" t="s">
        <v>371</v>
      </c>
      <c r="S72" s="16" t="s">
        <v>341</v>
      </c>
      <c r="T72" s="16" t="s">
        <v>340</v>
      </c>
      <c r="U72" s="15" t="s">
        <v>343</v>
      </c>
      <c r="V72" s="15" t="s">
        <v>345</v>
      </c>
      <c r="W72" s="17" t="s">
        <v>371</v>
      </c>
      <c r="Z72" t="s">
        <v>9</v>
      </c>
      <c r="AA72" t="s">
        <v>856</v>
      </c>
      <c r="AB72" s="16" t="s">
        <v>272</v>
      </c>
      <c r="AC72" s="16">
        <v>3</v>
      </c>
      <c r="AD72" t="s">
        <v>1524</v>
      </c>
      <c r="AE72" t="s">
        <v>282</v>
      </c>
      <c r="AF72" t="s">
        <v>1567</v>
      </c>
      <c r="AG72" t="s">
        <v>345</v>
      </c>
    </row>
    <row r="73" spans="1:33" x14ac:dyDescent="0.3">
      <c r="A73" t="s">
        <v>9</v>
      </c>
      <c r="B73" t="s">
        <v>47</v>
      </c>
      <c r="C73" t="s">
        <v>16</v>
      </c>
      <c r="D73" t="s">
        <v>12</v>
      </c>
      <c r="E73" t="s">
        <v>857</v>
      </c>
      <c r="F73" t="b">
        <v>1</v>
      </c>
      <c r="G73">
        <v>47.1</v>
      </c>
      <c r="H73">
        <v>0</v>
      </c>
      <c r="I73">
        <v>14503</v>
      </c>
      <c r="J73" s="61" t="s">
        <v>13</v>
      </c>
      <c r="K73" s="16" t="s">
        <v>272</v>
      </c>
      <c r="L73" s="16">
        <v>3</v>
      </c>
      <c r="M73" s="16" t="s">
        <v>277</v>
      </c>
      <c r="N73" s="16" t="s">
        <v>335</v>
      </c>
      <c r="O73" s="15" t="s">
        <v>282</v>
      </c>
      <c r="P73" t="s">
        <v>371</v>
      </c>
      <c r="Q73" t="s">
        <v>371</v>
      </c>
      <c r="R73" s="17" t="s">
        <v>371</v>
      </c>
      <c r="S73" s="16" t="s">
        <v>341</v>
      </c>
      <c r="T73" s="16" t="s">
        <v>340</v>
      </c>
      <c r="U73" s="15" t="s">
        <v>343</v>
      </c>
      <c r="V73" s="15" t="s">
        <v>344</v>
      </c>
      <c r="W73" s="17" t="s">
        <v>371</v>
      </c>
      <c r="Z73" t="s">
        <v>9</v>
      </c>
      <c r="AA73" t="s">
        <v>857</v>
      </c>
      <c r="AB73" s="16" t="s">
        <v>272</v>
      </c>
      <c r="AC73" s="16">
        <v>3</v>
      </c>
      <c r="AD73" t="s">
        <v>1524</v>
      </c>
      <c r="AE73" t="s">
        <v>282</v>
      </c>
      <c r="AF73" t="s">
        <v>1567</v>
      </c>
      <c r="AG73" t="s">
        <v>344</v>
      </c>
    </row>
    <row r="74" spans="1:33" x14ac:dyDescent="0.3">
      <c r="A74" t="s">
        <v>45</v>
      </c>
      <c r="B74" t="s">
        <v>57</v>
      </c>
      <c r="C74" t="s">
        <v>15</v>
      </c>
      <c r="D74" t="s">
        <v>12</v>
      </c>
      <c r="E74" t="s">
        <v>868</v>
      </c>
      <c r="F74" t="b">
        <v>1</v>
      </c>
      <c r="G74">
        <v>81.400000000000006</v>
      </c>
      <c r="H74">
        <v>0</v>
      </c>
      <c r="I74">
        <v>11783</v>
      </c>
      <c r="J74" s="61" t="s">
        <v>13</v>
      </c>
      <c r="K74" s="16" t="s">
        <v>272</v>
      </c>
      <c r="L74" s="16">
        <v>3</v>
      </c>
      <c r="M74" s="16" t="s">
        <v>277</v>
      </c>
      <c r="N74" s="16" t="s">
        <v>335</v>
      </c>
      <c r="O74" s="15" t="s">
        <v>282</v>
      </c>
      <c r="P74" t="s">
        <v>371</v>
      </c>
      <c r="Q74" t="s">
        <v>371</v>
      </c>
      <c r="R74" s="17" t="s">
        <v>371</v>
      </c>
      <c r="S74" s="16" t="s">
        <v>341</v>
      </c>
      <c r="T74" s="16" t="s">
        <v>340</v>
      </c>
      <c r="U74" s="15" t="s">
        <v>343</v>
      </c>
      <c r="V74" s="15" t="s">
        <v>344</v>
      </c>
      <c r="W74" s="17" t="s">
        <v>371</v>
      </c>
      <c r="Z74" t="s">
        <v>45</v>
      </c>
      <c r="AA74" t="s">
        <v>868</v>
      </c>
      <c r="AB74" s="16" t="s">
        <v>272</v>
      </c>
      <c r="AC74" s="16">
        <v>3</v>
      </c>
      <c r="AD74" t="s">
        <v>1524</v>
      </c>
      <c r="AE74" t="s">
        <v>282</v>
      </c>
      <c r="AF74" t="s">
        <v>1567</v>
      </c>
      <c r="AG74" t="s">
        <v>344</v>
      </c>
    </row>
    <row r="75" spans="1:33" x14ac:dyDescent="0.3">
      <c r="A75" t="s">
        <v>45</v>
      </c>
      <c r="B75" t="s">
        <v>57</v>
      </c>
      <c r="C75" t="s">
        <v>23</v>
      </c>
      <c r="D75" t="s">
        <v>12</v>
      </c>
      <c r="E75" t="s">
        <v>869</v>
      </c>
      <c r="F75" t="b">
        <v>1</v>
      </c>
      <c r="G75">
        <v>100</v>
      </c>
      <c r="H75">
        <v>1</v>
      </c>
      <c r="I75">
        <v>8738</v>
      </c>
      <c r="J75" s="61" t="s">
        <v>18</v>
      </c>
      <c r="K75" s="16" t="s">
        <v>272</v>
      </c>
      <c r="L75" s="16">
        <v>3</v>
      </c>
      <c r="M75" s="16" t="s">
        <v>277</v>
      </c>
      <c r="N75" s="16" t="s">
        <v>335</v>
      </c>
      <c r="O75" s="15" t="s">
        <v>283</v>
      </c>
      <c r="P75" t="s">
        <v>339</v>
      </c>
      <c r="Q75" t="s">
        <v>371</v>
      </c>
      <c r="R75" s="17" t="s">
        <v>371</v>
      </c>
      <c r="S75" s="16" t="s">
        <v>341</v>
      </c>
      <c r="T75" s="16" t="s">
        <v>342</v>
      </c>
      <c r="U75" s="15" t="s">
        <v>343</v>
      </c>
      <c r="V75" s="15" t="s">
        <v>345</v>
      </c>
      <c r="W75" s="17" t="s">
        <v>347</v>
      </c>
      <c r="Z75" t="s">
        <v>45</v>
      </c>
      <c r="AA75" t="s">
        <v>869</v>
      </c>
      <c r="AB75" s="16" t="s">
        <v>272</v>
      </c>
      <c r="AC75" s="16">
        <v>3</v>
      </c>
      <c r="AD75" t="s">
        <v>1524</v>
      </c>
      <c r="AE75" t="s">
        <v>1637</v>
      </c>
      <c r="AF75" t="s">
        <v>1566</v>
      </c>
      <c r="AG75" t="s">
        <v>1573</v>
      </c>
    </row>
    <row r="76" spans="1:33" x14ac:dyDescent="0.3">
      <c r="A76" t="s">
        <v>45</v>
      </c>
      <c r="B76" t="s">
        <v>57</v>
      </c>
      <c r="C76" t="s">
        <v>14</v>
      </c>
      <c r="D76" t="s">
        <v>12</v>
      </c>
      <c r="E76" t="s">
        <v>870</v>
      </c>
      <c r="F76" t="b">
        <v>1</v>
      </c>
      <c r="G76">
        <v>92.3</v>
      </c>
      <c r="H76">
        <v>0</v>
      </c>
      <c r="I76">
        <v>10124</v>
      </c>
      <c r="J76" s="61" t="s">
        <v>13</v>
      </c>
      <c r="K76" s="16" t="s">
        <v>272</v>
      </c>
      <c r="L76" s="16">
        <v>3</v>
      </c>
      <c r="M76" s="16" t="s">
        <v>277</v>
      </c>
      <c r="N76" s="16" t="s">
        <v>335</v>
      </c>
      <c r="O76" s="15" t="s">
        <v>282</v>
      </c>
      <c r="P76" t="s">
        <v>371</v>
      </c>
      <c r="Q76" t="s">
        <v>371</v>
      </c>
      <c r="R76" s="17" t="s">
        <v>371</v>
      </c>
      <c r="S76" s="16" t="s">
        <v>341</v>
      </c>
      <c r="T76" s="16" t="s">
        <v>342</v>
      </c>
      <c r="U76" s="15" t="s">
        <v>343</v>
      </c>
      <c r="V76" s="15" t="s">
        <v>344</v>
      </c>
      <c r="W76" s="17" t="s">
        <v>347</v>
      </c>
      <c r="Z76" t="s">
        <v>45</v>
      </c>
      <c r="AA76" t="s">
        <v>870</v>
      </c>
      <c r="AB76" s="16" t="s">
        <v>272</v>
      </c>
      <c r="AC76" s="16">
        <v>3</v>
      </c>
      <c r="AD76" t="s">
        <v>1524</v>
      </c>
      <c r="AE76" t="s">
        <v>282</v>
      </c>
      <c r="AF76" t="s">
        <v>1566</v>
      </c>
      <c r="AG76" t="s">
        <v>1571</v>
      </c>
    </row>
    <row r="77" spans="1:33" x14ac:dyDescent="0.3">
      <c r="A77" t="s">
        <v>45</v>
      </c>
      <c r="B77" t="s">
        <v>57</v>
      </c>
      <c r="C77" t="s">
        <v>11</v>
      </c>
      <c r="D77" t="s">
        <v>12</v>
      </c>
      <c r="E77" t="s">
        <v>871</v>
      </c>
      <c r="F77" t="b">
        <v>1</v>
      </c>
      <c r="G77">
        <v>100</v>
      </c>
      <c r="H77">
        <v>1</v>
      </c>
      <c r="I77">
        <v>9297</v>
      </c>
      <c r="J77" s="61" t="s">
        <v>18</v>
      </c>
      <c r="K77" s="16" t="s">
        <v>272</v>
      </c>
      <c r="L77" s="16">
        <v>3</v>
      </c>
      <c r="M77" s="16" t="s">
        <v>277</v>
      </c>
      <c r="N77" s="16" t="s">
        <v>335</v>
      </c>
      <c r="O77" s="15" t="s">
        <v>282</v>
      </c>
      <c r="P77" t="s">
        <v>371</v>
      </c>
      <c r="Q77" t="s">
        <v>371</v>
      </c>
      <c r="R77" s="17" t="s">
        <v>371</v>
      </c>
      <c r="S77" s="16" t="s">
        <v>341</v>
      </c>
      <c r="T77" s="16" t="s">
        <v>342</v>
      </c>
      <c r="U77" s="15" t="s">
        <v>343</v>
      </c>
      <c r="V77" s="15" t="s">
        <v>344</v>
      </c>
      <c r="W77" s="17" t="s">
        <v>347</v>
      </c>
      <c r="Z77" t="s">
        <v>45</v>
      </c>
      <c r="AA77" t="s">
        <v>871</v>
      </c>
      <c r="AB77" s="16" t="s">
        <v>272</v>
      </c>
      <c r="AC77" s="16">
        <v>3</v>
      </c>
      <c r="AD77" t="s">
        <v>1524</v>
      </c>
      <c r="AE77" t="s">
        <v>282</v>
      </c>
      <c r="AF77" t="s">
        <v>1566</v>
      </c>
      <c r="AG77" t="s">
        <v>1571</v>
      </c>
    </row>
    <row r="78" spans="1:33" x14ac:dyDescent="0.3">
      <c r="A78" t="s">
        <v>45</v>
      </c>
      <c r="B78" t="s">
        <v>57</v>
      </c>
      <c r="C78" t="s">
        <v>24</v>
      </c>
      <c r="D78" t="s">
        <v>12</v>
      </c>
      <c r="E78" t="s">
        <v>872</v>
      </c>
      <c r="F78" t="b">
        <v>1</v>
      </c>
      <c r="G78">
        <v>100</v>
      </c>
      <c r="H78">
        <v>1</v>
      </c>
      <c r="I78">
        <v>8122</v>
      </c>
      <c r="J78" s="61" t="s">
        <v>13</v>
      </c>
      <c r="K78" s="16" t="s">
        <v>272</v>
      </c>
      <c r="L78" s="16">
        <v>3</v>
      </c>
      <c r="M78" s="16" t="s">
        <v>277</v>
      </c>
      <c r="N78" s="16" t="s">
        <v>335</v>
      </c>
      <c r="O78" s="15" t="s">
        <v>283</v>
      </c>
      <c r="P78" t="s">
        <v>339</v>
      </c>
      <c r="Q78" t="s">
        <v>371</v>
      </c>
      <c r="R78" s="17" t="s">
        <v>371</v>
      </c>
      <c r="S78" s="16" t="s">
        <v>341</v>
      </c>
      <c r="T78" s="16" t="s">
        <v>342</v>
      </c>
      <c r="U78" s="15" t="s">
        <v>343</v>
      </c>
      <c r="V78" s="15" t="s">
        <v>345</v>
      </c>
      <c r="W78" s="17" t="s">
        <v>347</v>
      </c>
      <c r="Z78" t="s">
        <v>45</v>
      </c>
      <c r="AA78" t="s">
        <v>872</v>
      </c>
      <c r="AB78" s="16" t="s">
        <v>272</v>
      </c>
      <c r="AC78" s="16">
        <v>3</v>
      </c>
      <c r="AD78" t="s">
        <v>1524</v>
      </c>
      <c r="AE78" t="s">
        <v>1637</v>
      </c>
      <c r="AF78" t="s">
        <v>1566</v>
      </c>
      <c r="AG78" t="s">
        <v>1573</v>
      </c>
    </row>
    <row r="79" spans="1:33" x14ac:dyDescent="0.3">
      <c r="A79" t="s">
        <v>45</v>
      </c>
      <c r="B79" t="s">
        <v>57</v>
      </c>
      <c r="C79" t="s">
        <v>21</v>
      </c>
      <c r="D79" t="s">
        <v>12</v>
      </c>
      <c r="E79" t="s">
        <v>873</v>
      </c>
      <c r="F79" t="b">
        <v>1</v>
      </c>
      <c r="G79">
        <v>100</v>
      </c>
      <c r="H79">
        <v>1</v>
      </c>
      <c r="I79">
        <v>7863</v>
      </c>
      <c r="J79" s="61" t="s">
        <v>18</v>
      </c>
      <c r="K79" s="16" t="s">
        <v>272</v>
      </c>
      <c r="L79" s="16">
        <v>3</v>
      </c>
      <c r="M79" s="16" t="s">
        <v>277</v>
      </c>
      <c r="N79" s="16" t="s">
        <v>335</v>
      </c>
      <c r="O79" s="15" t="s">
        <v>283</v>
      </c>
      <c r="P79" t="s">
        <v>339</v>
      </c>
      <c r="Q79" t="s">
        <v>371</v>
      </c>
      <c r="R79" s="17" t="s">
        <v>371</v>
      </c>
      <c r="S79" s="16" t="s">
        <v>341</v>
      </c>
      <c r="T79" s="16" t="s">
        <v>342</v>
      </c>
      <c r="U79" s="15" t="s">
        <v>343</v>
      </c>
      <c r="V79" s="15" t="s">
        <v>345</v>
      </c>
      <c r="W79" s="17" t="s">
        <v>347</v>
      </c>
      <c r="Z79" t="s">
        <v>45</v>
      </c>
      <c r="AA79" t="s">
        <v>873</v>
      </c>
      <c r="AB79" s="16" t="s">
        <v>272</v>
      </c>
      <c r="AC79" s="16">
        <v>3</v>
      </c>
      <c r="AD79" t="s">
        <v>1524</v>
      </c>
      <c r="AE79" t="s">
        <v>1637</v>
      </c>
      <c r="AF79" t="s">
        <v>1566</v>
      </c>
      <c r="AG79" t="s">
        <v>1573</v>
      </c>
    </row>
    <row r="80" spans="1:33" x14ac:dyDescent="0.3">
      <c r="A80" t="s">
        <v>45</v>
      </c>
      <c r="B80" t="s">
        <v>57</v>
      </c>
      <c r="C80" t="s">
        <v>19</v>
      </c>
      <c r="D80" t="s">
        <v>12</v>
      </c>
      <c r="E80" t="s">
        <v>874</v>
      </c>
      <c r="F80" t="b">
        <v>1</v>
      </c>
      <c r="G80">
        <v>62.3</v>
      </c>
      <c r="H80">
        <v>0</v>
      </c>
      <c r="I80">
        <v>10140</v>
      </c>
      <c r="J80" s="61" t="s">
        <v>13</v>
      </c>
      <c r="K80" s="16" t="s">
        <v>272</v>
      </c>
      <c r="L80" s="16">
        <v>3</v>
      </c>
      <c r="M80" s="16" t="s">
        <v>277</v>
      </c>
      <c r="N80" s="16" t="s">
        <v>335</v>
      </c>
      <c r="O80" s="15" t="s">
        <v>282</v>
      </c>
      <c r="P80" t="s">
        <v>371</v>
      </c>
      <c r="Q80" t="s">
        <v>371</v>
      </c>
      <c r="R80" s="17" t="s">
        <v>371</v>
      </c>
      <c r="S80" s="16" t="s">
        <v>341</v>
      </c>
      <c r="T80" s="16" t="s">
        <v>342</v>
      </c>
      <c r="U80" s="15" t="s">
        <v>343</v>
      </c>
      <c r="V80" s="15" t="s">
        <v>344</v>
      </c>
      <c r="W80" s="17" t="s">
        <v>371</v>
      </c>
      <c r="Z80" t="s">
        <v>45</v>
      </c>
      <c r="AA80" t="s">
        <v>874</v>
      </c>
      <c r="AB80" s="16" t="s">
        <v>272</v>
      </c>
      <c r="AC80" s="16">
        <v>3</v>
      </c>
      <c r="AD80" t="s">
        <v>1524</v>
      </c>
      <c r="AE80" t="s">
        <v>282</v>
      </c>
      <c r="AF80" t="s">
        <v>1566</v>
      </c>
      <c r="AG80" t="s">
        <v>344</v>
      </c>
    </row>
    <row r="81" spans="1:33" x14ac:dyDescent="0.3">
      <c r="A81" t="s">
        <v>45</v>
      </c>
      <c r="B81" t="s">
        <v>57</v>
      </c>
      <c r="C81" t="s">
        <v>17</v>
      </c>
      <c r="D81" t="s">
        <v>12</v>
      </c>
      <c r="E81" t="s">
        <v>875</v>
      </c>
      <c r="F81" t="b">
        <v>1</v>
      </c>
      <c r="G81">
        <v>100</v>
      </c>
      <c r="H81">
        <v>1</v>
      </c>
      <c r="I81">
        <v>9534</v>
      </c>
      <c r="J81" s="61" t="s">
        <v>18</v>
      </c>
      <c r="K81" s="16" t="s">
        <v>272</v>
      </c>
      <c r="L81" s="16">
        <v>2</v>
      </c>
      <c r="M81" s="16" t="s">
        <v>277</v>
      </c>
      <c r="N81" s="16" t="s">
        <v>335</v>
      </c>
      <c r="O81" s="15" t="s">
        <v>282</v>
      </c>
      <c r="P81" t="s">
        <v>371</v>
      </c>
      <c r="Q81" t="s">
        <v>371</v>
      </c>
      <c r="R81" s="17" t="s">
        <v>371</v>
      </c>
      <c r="S81" s="16" t="s">
        <v>341</v>
      </c>
      <c r="T81" s="16" t="s">
        <v>342</v>
      </c>
      <c r="U81" s="15" t="s">
        <v>343</v>
      </c>
      <c r="V81" s="15" t="s">
        <v>344</v>
      </c>
      <c r="W81" s="17" t="s">
        <v>371</v>
      </c>
      <c r="Z81" t="s">
        <v>45</v>
      </c>
      <c r="AA81" t="s">
        <v>875</v>
      </c>
      <c r="AB81" s="16" t="s">
        <v>272</v>
      </c>
      <c r="AC81" s="16">
        <v>2</v>
      </c>
      <c r="AD81" t="s">
        <v>1524</v>
      </c>
      <c r="AE81" t="s">
        <v>282</v>
      </c>
      <c r="AF81" t="s">
        <v>1566</v>
      </c>
      <c r="AG81" t="s">
        <v>344</v>
      </c>
    </row>
    <row r="82" spans="1:33" x14ac:dyDescent="0.3">
      <c r="A82" t="s">
        <v>45</v>
      </c>
      <c r="B82" t="s">
        <v>57</v>
      </c>
      <c r="C82" t="s">
        <v>16</v>
      </c>
      <c r="D82" t="s">
        <v>12</v>
      </c>
      <c r="E82" t="s">
        <v>876</v>
      </c>
      <c r="F82" t="b">
        <v>1</v>
      </c>
      <c r="G82">
        <v>100</v>
      </c>
      <c r="H82">
        <v>1</v>
      </c>
      <c r="I82">
        <v>8655</v>
      </c>
      <c r="J82" s="61" t="s">
        <v>18</v>
      </c>
      <c r="K82" s="16" t="s">
        <v>272</v>
      </c>
      <c r="L82" s="16">
        <v>2</v>
      </c>
      <c r="M82" s="16" t="s">
        <v>277</v>
      </c>
      <c r="N82" s="16" t="s">
        <v>335</v>
      </c>
      <c r="O82" s="15" t="s">
        <v>282</v>
      </c>
      <c r="P82" t="s">
        <v>371</v>
      </c>
      <c r="Q82" t="s">
        <v>371</v>
      </c>
      <c r="R82" s="17" t="s">
        <v>371</v>
      </c>
      <c r="S82" s="16" t="s">
        <v>341</v>
      </c>
      <c r="T82" s="16" t="s">
        <v>342</v>
      </c>
      <c r="U82" s="15" t="s">
        <v>343</v>
      </c>
      <c r="V82" s="15" t="s">
        <v>344</v>
      </c>
      <c r="W82" s="17" t="s">
        <v>371</v>
      </c>
      <c r="Z82" t="s">
        <v>45</v>
      </c>
      <c r="AA82" t="s">
        <v>876</v>
      </c>
      <c r="AB82" s="16" t="s">
        <v>272</v>
      </c>
      <c r="AC82" s="16">
        <v>2</v>
      </c>
      <c r="AD82" t="s">
        <v>1524</v>
      </c>
      <c r="AE82" t="s">
        <v>282</v>
      </c>
      <c r="AF82" t="s">
        <v>1566</v>
      </c>
      <c r="AG82" t="s">
        <v>344</v>
      </c>
    </row>
    <row r="83" spans="1:33" x14ac:dyDescent="0.3">
      <c r="A83" t="s">
        <v>45</v>
      </c>
      <c r="B83" t="s">
        <v>57</v>
      </c>
      <c r="C83" t="s">
        <v>20</v>
      </c>
      <c r="D83" t="s">
        <v>12</v>
      </c>
      <c r="E83" t="s">
        <v>877</v>
      </c>
      <c r="F83" t="b">
        <v>1</v>
      </c>
      <c r="G83">
        <v>99.2</v>
      </c>
      <c r="H83">
        <v>0</v>
      </c>
      <c r="I83">
        <v>8677</v>
      </c>
      <c r="J83" s="61" t="s">
        <v>13</v>
      </c>
      <c r="K83" s="16" t="s">
        <v>272</v>
      </c>
      <c r="L83" s="16">
        <v>3</v>
      </c>
      <c r="M83" s="16" t="s">
        <v>277</v>
      </c>
      <c r="N83" s="16" t="s">
        <v>335</v>
      </c>
      <c r="O83" s="15" t="s">
        <v>282</v>
      </c>
      <c r="P83" t="s">
        <v>371</v>
      </c>
      <c r="Q83" t="s">
        <v>371</v>
      </c>
      <c r="R83" s="17" t="s">
        <v>371</v>
      </c>
      <c r="S83" s="16" t="s">
        <v>341</v>
      </c>
      <c r="T83" s="16" t="s">
        <v>342</v>
      </c>
      <c r="U83" s="15" t="s">
        <v>343</v>
      </c>
      <c r="V83" s="15" t="s">
        <v>345</v>
      </c>
      <c r="W83" s="17" t="s">
        <v>347</v>
      </c>
      <c r="Z83" t="s">
        <v>45</v>
      </c>
      <c r="AA83" t="s">
        <v>877</v>
      </c>
      <c r="AB83" s="16" t="s">
        <v>272</v>
      </c>
      <c r="AC83" s="16">
        <v>3</v>
      </c>
      <c r="AD83" t="s">
        <v>1524</v>
      </c>
      <c r="AE83" t="s">
        <v>282</v>
      </c>
      <c r="AF83" t="s">
        <v>1566</v>
      </c>
      <c r="AG83" t="s">
        <v>1573</v>
      </c>
    </row>
    <row r="84" spans="1:33" x14ac:dyDescent="0.3">
      <c r="A84" t="s">
        <v>45</v>
      </c>
      <c r="B84" t="s">
        <v>57</v>
      </c>
      <c r="C84" t="s">
        <v>22</v>
      </c>
      <c r="D84" t="s">
        <v>12</v>
      </c>
      <c r="E84" t="s">
        <v>878</v>
      </c>
      <c r="F84" t="b">
        <v>1</v>
      </c>
      <c r="G84">
        <v>100</v>
      </c>
      <c r="H84">
        <v>1</v>
      </c>
      <c r="I84">
        <v>7998</v>
      </c>
      <c r="J84" s="61" t="s">
        <v>18</v>
      </c>
      <c r="K84" s="16" t="s">
        <v>272</v>
      </c>
      <c r="L84" s="16">
        <v>3</v>
      </c>
      <c r="M84" s="16" t="s">
        <v>277</v>
      </c>
      <c r="N84" s="16" t="s">
        <v>335</v>
      </c>
      <c r="O84" s="15" t="s">
        <v>283</v>
      </c>
      <c r="P84" t="s">
        <v>339</v>
      </c>
      <c r="Q84" t="s">
        <v>371</v>
      </c>
      <c r="R84" s="17" t="s">
        <v>371</v>
      </c>
      <c r="S84" s="16" t="s">
        <v>341</v>
      </c>
      <c r="T84" s="16" t="s">
        <v>342</v>
      </c>
      <c r="U84" s="15" t="s">
        <v>343</v>
      </c>
      <c r="V84" s="15" t="s">
        <v>345</v>
      </c>
      <c r="W84" s="17" t="s">
        <v>347</v>
      </c>
      <c r="Z84" t="s">
        <v>45</v>
      </c>
      <c r="AA84" t="s">
        <v>878</v>
      </c>
      <c r="AB84" s="16" t="s">
        <v>272</v>
      </c>
      <c r="AC84" s="16">
        <v>3</v>
      </c>
      <c r="AD84" t="s">
        <v>1524</v>
      </c>
      <c r="AE84" t="s">
        <v>1637</v>
      </c>
      <c r="AF84" t="s">
        <v>1566</v>
      </c>
      <c r="AG84" t="s">
        <v>1573</v>
      </c>
    </row>
    <row r="85" spans="1:33" x14ac:dyDescent="0.3">
      <c r="A85" t="s">
        <v>43</v>
      </c>
      <c r="B85" t="s">
        <v>59</v>
      </c>
      <c r="C85" t="s">
        <v>15</v>
      </c>
      <c r="D85" t="s">
        <v>12</v>
      </c>
      <c r="E85" t="s">
        <v>890</v>
      </c>
      <c r="F85" t="b">
        <v>1</v>
      </c>
      <c r="G85">
        <v>100</v>
      </c>
      <c r="H85">
        <v>1</v>
      </c>
      <c r="I85">
        <v>10911</v>
      </c>
      <c r="J85" s="61" t="s">
        <v>18</v>
      </c>
      <c r="K85" s="16" t="s">
        <v>272</v>
      </c>
      <c r="L85" s="16">
        <v>3</v>
      </c>
      <c r="M85" s="16" t="s">
        <v>277</v>
      </c>
      <c r="N85" s="16" t="s">
        <v>335</v>
      </c>
      <c r="O85" s="15" t="s">
        <v>282</v>
      </c>
      <c r="P85" t="s">
        <v>371</v>
      </c>
      <c r="Q85" t="s">
        <v>371</v>
      </c>
      <c r="R85" s="17" t="s">
        <v>371</v>
      </c>
      <c r="S85" s="16" t="s">
        <v>341</v>
      </c>
      <c r="T85" s="16" t="s">
        <v>340</v>
      </c>
      <c r="U85" s="15" t="s">
        <v>343</v>
      </c>
      <c r="V85" s="15" t="s">
        <v>344</v>
      </c>
      <c r="W85" s="17" t="s">
        <v>371</v>
      </c>
      <c r="Z85" t="s">
        <v>43</v>
      </c>
      <c r="AA85" t="s">
        <v>890</v>
      </c>
      <c r="AB85" s="16" t="s">
        <v>272</v>
      </c>
      <c r="AC85" s="16">
        <v>3</v>
      </c>
      <c r="AD85" t="s">
        <v>1524</v>
      </c>
      <c r="AE85" t="s">
        <v>282</v>
      </c>
      <c r="AF85" t="s">
        <v>1567</v>
      </c>
      <c r="AG85" t="s">
        <v>344</v>
      </c>
    </row>
    <row r="86" spans="1:33" x14ac:dyDescent="0.3">
      <c r="A86" t="s">
        <v>43</v>
      </c>
      <c r="B86" t="s">
        <v>59</v>
      </c>
      <c r="C86" t="s">
        <v>23</v>
      </c>
      <c r="D86" t="s">
        <v>12</v>
      </c>
      <c r="E86" t="s">
        <v>891</v>
      </c>
      <c r="F86" t="b">
        <v>1</v>
      </c>
      <c r="G86">
        <v>72.2</v>
      </c>
      <c r="H86">
        <v>0</v>
      </c>
      <c r="I86">
        <v>10019</v>
      </c>
      <c r="J86" s="61" t="s">
        <v>13</v>
      </c>
      <c r="K86" s="16" t="s">
        <v>273</v>
      </c>
      <c r="L86" s="16">
        <v>2</v>
      </c>
      <c r="M86" s="16" t="s">
        <v>333</v>
      </c>
      <c r="N86" s="16" t="s">
        <v>278</v>
      </c>
      <c r="O86" s="15" t="s">
        <v>282</v>
      </c>
      <c r="P86" t="s">
        <v>371</v>
      </c>
      <c r="Q86" t="s">
        <v>371</v>
      </c>
      <c r="R86" s="17" t="s">
        <v>371</v>
      </c>
      <c r="S86" s="16" t="s">
        <v>340</v>
      </c>
      <c r="T86" s="16" t="s">
        <v>342</v>
      </c>
      <c r="U86" s="15" t="s">
        <v>343</v>
      </c>
      <c r="V86" s="15" t="s">
        <v>344</v>
      </c>
      <c r="W86" s="17" t="s">
        <v>371</v>
      </c>
      <c r="Z86" t="s">
        <v>43</v>
      </c>
      <c r="AA86" t="s">
        <v>891</v>
      </c>
      <c r="AB86" s="16" t="s">
        <v>273</v>
      </c>
      <c r="AC86" s="16">
        <v>2</v>
      </c>
      <c r="AD86" t="s">
        <v>1525</v>
      </c>
      <c r="AE86" t="s">
        <v>282</v>
      </c>
      <c r="AF86" t="s">
        <v>1568</v>
      </c>
      <c r="AG86" t="s">
        <v>344</v>
      </c>
    </row>
    <row r="87" spans="1:33" x14ac:dyDescent="0.3">
      <c r="A87" t="s">
        <v>43</v>
      </c>
      <c r="B87" t="s">
        <v>59</v>
      </c>
      <c r="C87" t="s">
        <v>14</v>
      </c>
      <c r="D87" t="s">
        <v>12</v>
      </c>
      <c r="E87" t="s">
        <v>892</v>
      </c>
      <c r="F87" t="b">
        <v>1</v>
      </c>
      <c r="G87">
        <v>38.9</v>
      </c>
      <c r="H87">
        <v>0</v>
      </c>
      <c r="I87">
        <v>12454</v>
      </c>
      <c r="J87" s="61" t="s">
        <v>13</v>
      </c>
      <c r="K87" s="16" t="s">
        <v>272</v>
      </c>
      <c r="L87" s="16">
        <v>3</v>
      </c>
      <c r="M87" s="16" t="s">
        <v>277</v>
      </c>
      <c r="N87" s="16" t="s">
        <v>335</v>
      </c>
      <c r="O87" s="15" t="s">
        <v>282</v>
      </c>
      <c r="P87" t="s">
        <v>371</v>
      </c>
      <c r="Q87" t="s">
        <v>371</v>
      </c>
      <c r="R87" s="17" t="s">
        <v>371</v>
      </c>
      <c r="S87" s="16" t="s">
        <v>341</v>
      </c>
      <c r="T87" s="16" t="s">
        <v>340</v>
      </c>
      <c r="U87" s="15" t="s">
        <v>343</v>
      </c>
      <c r="V87" s="15" t="s">
        <v>344</v>
      </c>
      <c r="W87" s="17" t="s">
        <v>371</v>
      </c>
      <c r="Z87" t="s">
        <v>43</v>
      </c>
      <c r="AA87" t="s">
        <v>892</v>
      </c>
      <c r="AB87" s="16" t="s">
        <v>272</v>
      </c>
      <c r="AC87" s="16">
        <v>3</v>
      </c>
      <c r="AD87" t="s">
        <v>1524</v>
      </c>
      <c r="AE87" t="s">
        <v>282</v>
      </c>
      <c r="AF87" t="s">
        <v>1567</v>
      </c>
      <c r="AG87" t="s">
        <v>344</v>
      </c>
    </row>
    <row r="88" spans="1:33" x14ac:dyDescent="0.3">
      <c r="A88" t="s">
        <v>43</v>
      </c>
      <c r="B88" t="s">
        <v>59</v>
      </c>
      <c r="C88" t="s">
        <v>25</v>
      </c>
      <c r="D88" t="s">
        <v>12</v>
      </c>
      <c r="E88" t="s">
        <v>893</v>
      </c>
      <c r="F88" t="b">
        <v>1</v>
      </c>
      <c r="G88">
        <v>100</v>
      </c>
      <c r="H88">
        <v>1</v>
      </c>
      <c r="I88">
        <v>11942</v>
      </c>
      <c r="J88" s="61" t="s">
        <v>18</v>
      </c>
      <c r="K88" s="16" t="s">
        <v>272</v>
      </c>
      <c r="L88" s="16">
        <v>3</v>
      </c>
      <c r="M88" s="16" t="s">
        <v>277</v>
      </c>
      <c r="N88" s="16" t="s">
        <v>335</v>
      </c>
      <c r="O88" s="15" t="s">
        <v>282</v>
      </c>
      <c r="P88" t="s">
        <v>371</v>
      </c>
      <c r="Q88" t="s">
        <v>371</v>
      </c>
      <c r="R88" s="17" t="s">
        <v>371</v>
      </c>
      <c r="S88" s="16" t="s">
        <v>341</v>
      </c>
      <c r="T88" s="16" t="s">
        <v>340</v>
      </c>
      <c r="U88" s="15" t="s">
        <v>343</v>
      </c>
      <c r="V88" s="15" t="s">
        <v>377</v>
      </c>
      <c r="W88" s="17" t="s">
        <v>371</v>
      </c>
      <c r="Z88" t="s">
        <v>43</v>
      </c>
      <c r="AA88" t="s">
        <v>893</v>
      </c>
      <c r="AB88" s="16" t="s">
        <v>272</v>
      </c>
      <c r="AC88" s="16">
        <v>3</v>
      </c>
      <c r="AD88" t="s">
        <v>1524</v>
      </c>
      <c r="AE88" t="s">
        <v>282</v>
      </c>
      <c r="AF88" t="s">
        <v>1567</v>
      </c>
      <c r="AG88" t="s">
        <v>377</v>
      </c>
    </row>
    <row r="89" spans="1:33" x14ac:dyDescent="0.3">
      <c r="A89" t="s">
        <v>43</v>
      </c>
      <c r="B89" t="s">
        <v>59</v>
      </c>
      <c r="C89" t="s">
        <v>11</v>
      </c>
      <c r="D89" t="s">
        <v>12</v>
      </c>
      <c r="E89" t="s">
        <v>894</v>
      </c>
      <c r="F89" t="b">
        <v>1</v>
      </c>
      <c r="G89">
        <v>57.1</v>
      </c>
      <c r="H89">
        <v>0</v>
      </c>
      <c r="I89">
        <v>16614</v>
      </c>
      <c r="J89" s="61" t="s">
        <v>13</v>
      </c>
      <c r="K89" s="16" t="s">
        <v>272</v>
      </c>
      <c r="L89" s="16">
        <v>3</v>
      </c>
      <c r="M89" s="16" t="s">
        <v>277</v>
      </c>
      <c r="N89" s="16" t="s">
        <v>335</v>
      </c>
      <c r="O89" s="15" t="s">
        <v>282</v>
      </c>
      <c r="P89" t="s">
        <v>371</v>
      </c>
      <c r="Q89" t="s">
        <v>371</v>
      </c>
      <c r="R89" s="17" t="s">
        <v>371</v>
      </c>
      <c r="S89" s="16" t="s">
        <v>341</v>
      </c>
      <c r="T89" s="16" t="s">
        <v>342</v>
      </c>
      <c r="U89" s="15" t="s">
        <v>343</v>
      </c>
      <c r="V89" s="15" t="s">
        <v>291</v>
      </c>
      <c r="W89" s="17" t="s">
        <v>371</v>
      </c>
      <c r="Z89" t="s">
        <v>43</v>
      </c>
      <c r="AA89" t="s">
        <v>894</v>
      </c>
      <c r="AB89" s="16" t="s">
        <v>272</v>
      </c>
      <c r="AC89" s="16">
        <v>3</v>
      </c>
      <c r="AD89" t="s">
        <v>1524</v>
      </c>
      <c r="AE89" t="s">
        <v>282</v>
      </c>
      <c r="AF89" t="s">
        <v>1566</v>
      </c>
      <c r="AG89" t="s">
        <v>291</v>
      </c>
    </row>
    <row r="90" spans="1:33" x14ac:dyDescent="0.3">
      <c r="A90" t="s">
        <v>43</v>
      </c>
      <c r="B90" t="s">
        <v>59</v>
      </c>
      <c r="C90" t="s">
        <v>24</v>
      </c>
      <c r="D90" t="s">
        <v>12</v>
      </c>
      <c r="E90" t="s">
        <v>895</v>
      </c>
      <c r="F90" t="b">
        <v>1</v>
      </c>
      <c r="G90">
        <v>100</v>
      </c>
      <c r="H90">
        <v>1</v>
      </c>
      <c r="I90">
        <v>11236</v>
      </c>
      <c r="J90" s="61" t="s">
        <v>18</v>
      </c>
      <c r="K90" s="16" t="s">
        <v>272</v>
      </c>
      <c r="L90" s="16">
        <v>2</v>
      </c>
      <c r="M90" s="16" t="s">
        <v>277</v>
      </c>
      <c r="N90" s="16" t="s">
        <v>335</v>
      </c>
      <c r="O90" s="15" t="s">
        <v>282</v>
      </c>
      <c r="P90" t="s">
        <v>371</v>
      </c>
      <c r="Q90" t="s">
        <v>371</v>
      </c>
      <c r="R90" s="17" t="s">
        <v>371</v>
      </c>
      <c r="S90" s="16" t="s">
        <v>341</v>
      </c>
      <c r="T90" s="16" t="s">
        <v>340</v>
      </c>
      <c r="U90" s="15" t="s">
        <v>340</v>
      </c>
      <c r="V90" s="15" t="s">
        <v>377</v>
      </c>
      <c r="W90" s="17" t="s">
        <v>371</v>
      </c>
      <c r="Z90" t="s">
        <v>43</v>
      </c>
      <c r="AA90" t="s">
        <v>895</v>
      </c>
      <c r="AB90" s="16" t="s">
        <v>272</v>
      </c>
      <c r="AC90" s="16">
        <v>2</v>
      </c>
      <c r="AD90" t="s">
        <v>1524</v>
      </c>
      <c r="AE90" t="s">
        <v>282</v>
      </c>
      <c r="AF90" t="s">
        <v>341</v>
      </c>
      <c r="AG90" t="s">
        <v>377</v>
      </c>
    </row>
    <row r="91" spans="1:33" x14ac:dyDescent="0.3">
      <c r="A91" t="s">
        <v>43</v>
      </c>
      <c r="B91" t="s">
        <v>59</v>
      </c>
      <c r="C91" t="s">
        <v>21</v>
      </c>
      <c r="D91" t="s">
        <v>12</v>
      </c>
      <c r="E91" t="s">
        <v>896</v>
      </c>
      <c r="F91" t="b">
        <v>1</v>
      </c>
      <c r="G91">
        <v>60.1</v>
      </c>
      <c r="H91">
        <v>0</v>
      </c>
      <c r="I91">
        <v>11226</v>
      </c>
      <c r="J91" s="61" t="s">
        <v>13</v>
      </c>
      <c r="K91" s="16" t="s">
        <v>273</v>
      </c>
      <c r="L91" s="16">
        <v>2</v>
      </c>
      <c r="M91" s="16" t="s">
        <v>333</v>
      </c>
      <c r="N91" s="16" t="s">
        <v>278</v>
      </c>
      <c r="O91" s="15" t="s">
        <v>282</v>
      </c>
      <c r="P91" t="s">
        <v>371</v>
      </c>
      <c r="Q91" t="s">
        <v>371</v>
      </c>
      <c r="R91" s="17" t="s">
        <v>371</v>
      </c>
      <c r="S91" s="16" t="s">
        <v>340</v>
      </c>
      <c r="T91" s="16" t="s">
        <v>342</v>
      </c>
      <c r="U91" s="15" t="s">
        <v>343</v>
      </c>
      <c r="V91" s="15" t="s">
        <v>344</v>
      </c>
      <c r="W91" s="17" t="s">
        <v>371</v>
      </c>
      <c r="Z91" t="s">
        <v>43</v>
      </c>
      <c r="AA91" t="s">
        <v>896</v>
      </c>
      <c r="AB91" s="16" t="s">
        <v>273</v>
      </c>
      <c r="AC91" s="16">
        <v>2</v>
      </c>
      <c r="AD91" t="s">
        <v>1525</v>
      </c>
      <c r="AE91" t="s">
        <v>282</v>
      </c>
      <c r="AF91" t="s">
        <v>1568</v>
      </c>
      <c r="AG91" t="s">
        <v>344</v>
      </c>
    </row>
    <row r="92" spans="1:33" x14ac:dyDescent="0.3">
      <c r="A92" t="s">
        <v>43</v>
      </c>
      <c r="B92" t="s">
        <v>59</v>
      </c>
      <c r="C92" t="s">
        <v>19</v>
      </c>
      <c r="D92" t="s">
        <v>12</v>
      </c>
      <c r="E92" t="s">
        <v>897</v>
      </c>
      <c r="F92" t="b">
        <v>1</v>
      </c>
      <c r="G92">
        <v>32.5</v>
      </c>
      <c r="H92">
        <v>0</v>
      </c>
      <c r="I92">
        <v>23538</v>
      </c>
      <c r="J92" s="61" t="s">
        <v>13</v>
      </c>
      <c r="K92" s="16" t="s">
        <v>272</v>
      </c>
      <c r="L92" s="16">
        <v>3</v>
      </c>
      <c r="M92" s="16" t="s">
        <v>277</v>
      </c>
      <c r="N92" s="16" t="s">
        <v>335</v>
      </c>
      <c r="O92" s="15" t="s">
        <v>282</v>
      </c>
      <c r="P92" t="s">
        <v>371</v>
      </c>
      <c r="Q92" t="s">
        <v>371</v>
      </c>
      <c r="R92" s="17" t="s">
        <v>371</v>
      </c>
      <c r="S92" s="16" t="s">
        <v>341</v>
      </c>
      <c r="T92" s="16" t="s">
        <v>340</v>
      </c>
      <c r="U92" s="15" t="s">
        <v>343</v>
      </c>
      <c r="V92" s="15" t="s">
        <v>377</v>
      </c>
      <c r="W92" s="17" t="s">
        <v>371</v>
      </c>
      <c r="Z92" t="s">
        <v>43</v>
      </c>
      <c r="AA92" t="s">
        <v>897</v>
      </c>
      <c r="AB92" s="16" t="s">
        <v>272</v>
      </c>
      <c r="AC92" s="16">
        <v>3</v>
      </c>
      <c r="AD92" t="s">
        <v>1524</v>
      </c>
      <c r="AE92" t="s">
        <v>282</v>
      </c>
      <c r="AF92" t="s">
        <v>1567</v>
      </c>
      <c r="AG92" t="s">
        <v>377</v>
      </c>
    </row>
    <row r="93" spans="1:33" x14ac:dyDescent="0.3">
      <c r="A93" t="s">
        <v>43</v>
      </c>
      <c r="B93" t="s">
        <v>59</v>
      </c>
      <c r="C93" t="s">
        <v>17</v>
      </c>
      <c r="D93" t="s">
        <v>12</v>
      </c>
      <c r="E93" t="s">
        <v>898</v>
      </c>
      <c r="F93" t="b">
        <v>1</v>
      </c>
      <c r="G93">
        <v>27</v>
      </c>
      <c r="H93">
        <v>0</v>
      </c>
      <c r="I93">
        <v>23829</v>
      </c>
      <c r="J93" s="61" t="s">
        <v>13</v>
      </c>
      <c r="K93" s="16" t="s">
        <v>272</v>
      </c>
      <c r="L93" s="16">
        <v>3</v>
      </c>
      <c r="M93" s="16" t="s">
        <v>277</v>
      </c>
      <c r="N93" s="16" t="s">
        <v>335</v>
      </c>
      <c r="O93" s="15" t="s">
        <v>282</v>
      </c>
      <c r="P93" t="s">
        <v>371</v>
      </c>
      <c r="Q93" t="s">
        <v>371</v>
      </c>
      <c r="R93" s="17" t="s">
        <v>371</v>
      </c>
      <c r="S93" s="16" t="s">
        <v>341</v>
      </c>
      <c r="T93" s="16" t="s">
        <v>340</v>
      </c>
      <c r="U93" s="15" t="s">
        <v>343</v>
      </c>
      <c r="V93" s="15" t="s">
        <v>377</v>
      </c>
      <c r="W93" s="17" t="s">
        <v>371</v>
      </c>
      <c r="Z93" t="s">
        <v>43</v>
      </c>
      <c r="AA93" t="s">
        <v>898</v>
      </c>
      <c r="AB93" s="16" t="s">
        <v>272</v>
      </c>
      <c r="AC93" s="16">
        <v>3</v>
      </c>
      <c r="AD93" t="s">
        <v>1524</v>
      </c>
      <c r="AE93" t="s">
        <v>282</v>
      </c>
      <c r="AF93" t="s">
        <v>1567</v>
      </c>
      <c r="AG93" t="s">
        <v>377</v>
      </c>
    </row>
    <row r="94" spans="1:33" x14ac:dyDescent="0.3">
      <c r="A94" t="s">
        <v>43</v>
      </c>
      <c r="B94" t="s">
        <v>59</v>
      </c>
      <c r="C94" t="s">
        <v>16</v>
      </c>
      <c r="D94" t="s">
        <v>12</v>
      </c>
      <c r="E94" t="s">
        <v>899</v>
      </c>
      <c r="F94" t="b">
        <v>1</v>
      </c>
      <c r="G94">
        <v>64.7</v>
      </c>
      <c r="H94">
        <v>0</v>
      </c>
      <c r="I94">
        <v>12619</v>
      </c>
      <c r="J94" s="61" t="s">
        <v>13</v>
      </c>
      <c r="K94" s="16" t="s">
        <v>272</v>
      </c>
      <c r="L94" s="16">
        <v>3</v>
      </c>
      <c r="M94" s="16" t="s">
        <v>277</v>
      </c>
      <c r="N94" s="16" t="s">
        <v>335</v>
      </c>
      <c r="O94" s="15" t="s">
        <v>282</v>
      </c>
      <c r="P94" t="s">
        <v>371</v>
      </c>
      <c r="Q94" t="s">
        <v>371</v>
      </c>
      <c r="R94" s="17" t="s">
        <v>371</v>
      </c>
      <c r="S94" s="16" t="s">
        <v>341</v>
      </c>
      <c r="T94" s="16" t="s">
        <v>340</v>
      </c>
      <c r="U94" s="15" t="s">
        <v>343</v>
      </c>
      <c r="V94" s="15" t="s">
        <v>344</v>
      </c>
      <c r="W94" s="17" t="s">
        <v>371</v>
      </c>
      <c r="Z94" t="s">
        <v>43</v>
      </c>
      <c r="AA94" t="s">
        <v>899</v>
      </c>
      <c r="AB94" s="16" t="s">
        <v>272</v>
      </c>
      <c r="AC94" s="16">
        <v>3</v>
      </c>
      <c r="AD94" t="s">
        <v>1524</v>
      </c>
      <c r="AE94" t="s">
        <v>282</v>
      </c>
      <c r="AF94" t="s">
        <v>1567</v>
      </c>
      <c r="AG94" t="s">
        <v>344</v>
      </c>
    </row>
    <row r="95" spans="1:33" x14ac:dyDescent="0.3">
      <c r="A95" t="s">
        <v>43</v>
      </c>
      <c r="B95" t="s">
        <v>59</v>
      </c>
      <c r="C95" t="s">
        <v>20</v>
      </c>
      <c r="D95" t="s">
        <v>12</v>
      </c>
      <c r="E95" t="s">
        <v>900</v>
      </c>
      <c r="F95" t="b">
        <v>1</v>
      </c>
      <c r="G95">
        <v>23.2</v>
      </c>
      <c r="H95">
        <v>0</v>
      </c>
      <c r="I95">
        <v>28131</v>
      </c>
      <c r="J95" s="61" t="s">
        <v>13</v>
      </c>
      <c r="K95" s="16" t="s">
        <v>272</v>
      </c>
      <c r="L95" s="16">
        <v>3</v>
      </c>
      <c r="M95" s="16" t="s">
        <v>277</v>
      </c>
      <c r="N95" s="16" t="s">
        <v>335</v>
      </c>
      <c r="O95" s="15" t="s">
        <v>282</v>
      </c>
      <c r="P95" t="s">
        <v>371</v>
      </c>
      <c r="Q95" t="s">
        <v>371</v>
      </c>
      <c r="R95" s="17" t="s">
        <v>371</v>
      </c>
      <c r="S95" s="16" t="s">
        <v>341</v>
      </c>
      <c r="T95" s="16" t="s">
        <v>340</v>
      </c>
      <c r="U95" s="15" t="s">
        <v>343</v>
      </c>
      <c r="V95" s="15" t="s">
        <v>377</v>
      </c>
      <c r="W95" s="17" t="s">
        <v>371</v>
      </c>
      <c r="Z95" t="s">
        <v>43</v>
      </c>
      <c r="AA95" t="s">
        <v>900</v>
      </c>
      <c r="AB95" s="16" t="s">
        <v>272</v>
      </c>
      <c r="AC95" s="16">
        <v>3</v>
      </c>
      <c r="AD95" t="s">
        <v>1524</v>
      </c>
      <c r="AE95" t="s">
        <v>282</v>
      </c>
      <c r="AF95" t="s">
        <v>1567</v>
      </c>
      <c r="AG95" t="s">
        <v>377</v>
      </c>
    </row>
    <row r="96" spans="1:33" x14ac:dyDescent="0.3">
      <c r="A96" t="s">
        <v>43</v>
      </c>
      <c r="B96" t="s">
        <v>59</v>
      </c>
      <c r="C96" t="s">
        <v>22</v>
      </c>
      <c r="D96" t="s">
        <v>12</v>
      </c>
      <c r="E96" t="s">
        <v>901</v>
      </c>
      <c r="F96" t="b">
        <v>1</v>
      </c>
      <c r="G96">
        <v>76.5</v>
      </c>
      <c r="H96">
        <v>0</v>
      </c>
      <c r="I96">
        <v>10444</v>
      </c>
      <c r="J96" s="61" t="s">
        <v>13</v>
      </c>
      <c r="K96" s="16" t="s">
        <v>273</v>
      </c>
      <c r="L96" s="16">
        <v>2</v>
      </c>
      <c r="M96" s="16" t="s">
        <v>333</v>
      </c>
      <c r="N96" s="16" t="s">
        <v>278</v>
      </c>
      <c r="O96" s="15" t="s">
        <v>282</v>
      </c>
      <c r="P96" t="s">
        <v>371</v>
      </c>
      <c r="Q96" t="s">
        <v>371</v>
      </c>
      <c r="R96" s="17" t="s">
        <v>371</v>
      </c>
      <c r="S96" s="16" t="s">
        <v>340</v>
      </c>
      <c r="T96" s="16" t="s">
        <v>342</v>
      </c>
      <c r="U96" s="15" t="s">
        <v>343</v>
      </c>
      <c r="V96" s="15" t="s">
        <v>344</v>
      </c>
      <c r="W96" s="17" t="s">
        <v>371</v>
      </c>
      <c r="Z96" t="s">
        <v>43</v>
      </c>
      <c r="AA96" t="s">
        <v>901</v>
      </c>
      <c r="AB96" s="16" t="s">
        <v>273</v>
      </c>
      <c r="AC96" s="16">
        <v>2</v>
      </c>
      <c r="AD96" t="s">
        <v>1525</v>
      </c>
      <c r="AE96" t="s">
        <v>282</v>
      </c>
      <c r="AF96" t="s">
        <v>1568</v>
      </c>
      <c r="AG96" t="s">
        <v>344</v>
      </c>
    </row>
    <row r="97" spans="1:33" x14ac:dyDescent="0.3">
      <c r="A97" t="s">
        <v>43</v>
      </c>
      <c r="B97" t="s">
        <v>49</v>
      </c>
      <c r="C97" t="s">
        <v>15</v>
      </c>
      <c r="D97" t="s">
        <v>12</v>
      </c>
      <c r="E97" t="s">
        <v>916</v>
      </c>
      <c r="F97" t="b">
        <v>1</v>
      </c>
      <c r="G97">
        <v>100</v>
      </c>
      <c r="H97">
        <v>1</v>
      </c>
      <c r="I97">
        <v>16666</v>
      </c>
      <c r="J97" s="61" t="s">
        <v>18</v>
      </c>
      <c r="K97" s="16" t="s">
        <v>272</v>
      </c>
      <c r="L97" s="16">
        <v>3</v>
      </c>
      <c r="M97" s="16" t="s">
        <v>277</v>
      </c>
      <c r="N97" s="16" t="s">
        <v>335</v>
      </c>
      <c r="O97" s="15" t="s">
        <v>283</v>
      </c>
      <c r="P97" t="s">
        <v>281</v>
      </c>
      <c r="Q97" t="s">
        <v>371</v>
      </c>
      <c r="R97" s="17" t="s">
        <v>371</v>
      </c>
      <c r="S97" s="16" t="s">
        <v>341</v>
      </c>
      <c r="T97" s="16" t="s">
        <v>340</v>
      </c>
      <c r="U97" s="15" t="s">
        <v>343</v>
      </c>
      <c r="V97" s="15" t="s">
        <v>291</v>
      </c>
      <c r="W97" s="17" t="s">
        <v>371</v>
      </c>
      <c r="Z97" t="s">
        <v>43</v>
      </c>
      <c r="AA97" t="s">
        <v>916</v>
      </c>
      <c r="AB97" s="16" t="s">
        <v>272</v>
      </c>
      <c r="AC97" s="16">
        <v>3</v>
      </c>
      <c r="AD97" t="s">
        <v>1524</v>
      </c>
      <c r="AE97" t="s">
        <v>1546</v>
      </c>
      <c r="AF97" t="s">
        <v>1567</v>
      </c>
      <c r="AG97" t="s">
        <v>291</v>
      </c>
    </row>
    <row r="98" spans="1:33" x14ac:dyDescent="0.3">
      <c r="A98" t="s">
        <v>43</v>
      </c>
      <c r="B98" t="s">
        <v>49</v>
      </c>
      <c r="C98" t="s">
        <v>14</v>
      </c>
      <c r="D98" t="s">
        <v>12</v>
      </c>
      <c r="E98" t="s">
        <v>917</v>
      </c>
      <c r="F98" t="b">
        <v>1</v>
      </c>
      <c r="G98">
        <v>100</v>
      </c>
      <c r="H98">
        <v>1</v>
      </c>
      <c r="I98">
        <v>15914</v>
      </c>
      <c r="J98" s="61" t="s">
        <v>18</v>
      </c>
      <c r="K98" s="16" t="s">
        <v>272</v>
      </c>
      <c r="L98" s="16">
        <v>3</v>
      </c>
      <c r="M98" s="16" t="s">
        <v>277</v>
      </c>
      <c r="N98" s="16" t="s">
        <v>335</v>
      </c>
      <c r="O98" s="15" t="s">
        <v>283</v>
      </c>
      <c r="P98" t="s">
        <v>281</v>
      </c>
      <c r="Q98" t="s">
        <v>284</v>
      </c>
      <c r="R98" s="17" t="s">
        <v>371</v>
      </c>
      <c r="S98" s="16" t="s">
        <v>340</v>
      </c>
      <c r="T98" s="16" t="s">
        <v>340</v>
      </c>
      <c r="U98" s="15" t="s">
        <v>343</v>
      </c>
      <c r="V98" s="15" t="s">
        <v>291</v>
      </c>
      <c r="W98" s="17" t="s">
        <v>371</v>
      </c>
      <c r="Z98" t="s">
        <v>43</v>
      </c>
      <c r="AA98" t="s">
        <v>917</v>
      </c>
      <c r="AB98" s="16" t="s">
        <v>272</v>
      </c>
      <c r="AC98" s="16">
        <v>3</v>
      </c>
      <c r="AD98" t="s">
        <v>1524</v>
      </c>
      <c r="AE98" t="s">
        <v>1547</v>
      </c>
      <c r="AF98" t="s">
        <v>343</v>
      </c>
      <c r="AG98" t="s">
        <v>291</v>
      </c>
    </row>
    <row r="99" spans="1:33" x14ac:dyDescent="0.3">
      <c r="A99" t="s">
        <v>43</v>
      </c>
      <c r="B99" t="s">
        <v>49</v>
      </c>
      <c r="C99" t="s">
        <v>11</v>
      </c>
      <c r="D99" t="s">
        <v>12</v>
      </c>
      <c r="E99" t="s">
        <v>918</v>
      </c>
      <c r="F99" t="b">
        <v>1</v>
      </c>
      <c r="G99">
        <v>100</v>
      </c>
      <c r="H99">
        <v>1</v>
      </c>
      <c r="I99">
        <v>10277</v>
      </c>
      <c r="J99" s="61" t="s">
        <v>18</v>
      </c>
      <c r="K99" s="16" t="s">
        <v>272</v>
      </c>
      <c r="L99" s="16">
        <v>3</v>
      </c>
      <c r="M99" s="16" t="s">
        <v>277</v>
      </c>
      <c r="N99" s="16" t="s">
        <v>335</v>
      </c>
      <c r="O99" s="15" t="s">
        <v>282</v>
      </c>
      <c r="P99" t="s">
        <v>371</v>
      </c>
      <c r="Q99" t="s">
        <v>371</v>
      </c>
      <c r="R99" s="17" t="s">
        <v>371</v>
      </c>
      <c r="S99" s="16" t="s">
        <v>340</v>
      </c>
      <c r="T99" s="16" t="s">
        <v>340</v>
      </c>
      <c r="U99" s="15" t="s">
        <v>343</v>
      </c>
      <c r="V99" s="15" t="s">
        <v>291</v>
      </c>
      <c r="W99" s="17" t="s">
        <v>371</v>
      </c>
      <c r="Z99" t="s">
        <v>43</v>
      </c>
      <c r="AA99" t="s">
        <v>918</v>
      </c>
      <c r="AB99" s="16" t="s">
        <v>272</v>
      </c>
      <c r="AC99" s="16">
        <v>3</v>
      </c>
      <c r="AD99" t="s">
        <v>1524</v>
      </c>
      <c r="AE99" t="s">
        <v>282</v>
      </c>
      <c r="AF99" t="s">
        <v>343</v>
      </c>
      <c r="AG99" t="s">
        <v>291</v>
      </c>
    </row>
    <row r="100" spans="1:33" x14ac:dyDescent="0.3">
      <c r="A100" t="s">
        <v>43</v>
      </c>
      <c r="B100" t="s">
        <v>49</v>
      </c>
      <c r="C100" t="s">
        <v>19</v>
      </c>
      <c r="D100" t="s">
        <v>12</v>
      </c>
      <c r="E100" t="s">
        <v>919</v>
      </c>
      <c r="F100" t="b">
        <v>1</v>
      </c>
      <c r="G100">
        <v>51.7</v>
      </c>
      <c r="H100">
        <v>0</v>
      </c>
      <c r="I100">
        <v>18694</v>
      </c>
      <c r="J100" s="61" t="s">
        <v>13</v>
      </c>
      <c r="K100" s="16" t="s">
        <v>272</v>
      </c>
      <c r="L100" s="16">
        <v>3</v>
      </c>
      <c r="M100" s="16" t="s">
        <v>277</v>
      </c>
      <c r="N100" s="16" t="s">
        <v>335</v>
      </c>
      <c r="O100" s="15" t="s">
        <v>283</v>
      </c>
      <c r="P100" t="s">
        <v>281</v>
      </c>
      <c r="Q100" t="s">
        <v>284</v>
      </c>
      <c r="R100" s="17" t="s">
        <v>371</v>
      </c>
      <c r="S100" s="16" t="s">
        <v>341</v>
      </c>
      <c r="T100" s="16" t="s">
        <v>340</v>
      </c>
      <c r="U100" s="15" t="s">
        <v>343</v>
      </c>
      <c r="V100" s="15" t="s">
        <v>345</v>
      </c>
      <c r="W100" s="17" t="s">
        <v>291</v>
      </c>
      <c r="Z100" t="s">
        <v>43</v>
      </c>
      <c r="AA100" t="s">
        <v>919</v>
      </c>
      <c r="AB100" s="16" t="s">
        <v>272</v>
      </c>
      <c r="AC100" s="16">
        <v>3</v>
      </c>
      <c r="AD100" t="s">
        <v>1524</v>
      </c>
      <c r="AE100" t="s">
        <v>1547</v>
      </c>
      <c r="AF100" t="s">
        <v>1567</v>
      </c>
      <c r="AG100" t="s">
        <v>1572</v>
      </c>
    </row>
    <row r="101" spans="1:33" x14ac:dyDescent="0.3">
      <c r="A101" t="s">
        <v>43</v>
      </c>
      <c r="B101" t="s">
        <v>49</v>
      </c>
      <c r="C101" t="s">
        <v>17</v>
      </c>
      <c r="D101" t="s">
        <v>12</v>
      </c>
      <c r="E101" t="s">
        <v>920</v>
      </c>
      <c r="F101" t="b">
        <v>1</v>
      </c>
      <c r="G101">
        <v>100</v>
      </c>
      <c r="H101">
        <v>1</v>
      </c>
      <c r="I101">
        <v>18509</v>
      </c>
      <c r="J101" s="61" t="s">
        <v>18</v>
      </c>
      <c r="K101" s="16" t="s">
        <v>272</v>
      </c>
      <c r="L101" s="16">
        <v>3</v>
      </c>
      <c r="M101" s="16" t="s">
        <v>277</v>
      </c>
      <c r="N101" s="16" t="s">
        <v>335</v>
      </c>
      <c r="O101" s="15" t="s">
        <v>283</v>
      </c>
      <c r="P101" t="s">
        <v>281</v>
      </c>
      <c r="Q101" t="s">
        <v>284</v>
      </c>
      <c r="R101" s="17" t="s">
        <v>371</v>
      </c>
      <c r="S101" s="16" t="s">
        <v>341</v>
      </c>
      <c r="T101" s="16" t="s">
        <v>340</v>
      </c>
      <c r="U101" s="15" t="s">
        <v>343</v>
      </c>
      <c r="V101" s="15" t="s">
        <v>345</v>
      </c>
      <c r="W101" s="17" t="s">
        <v>291</v>
      </c>
      <c r="Z101" t="s">
        <v>43</v>
      </c>
      <c r="AA101" t="s">
        <v>920</v>
      </c>
      <c r="AB101" s="16" t="s">
        <v>272</v>
      </c>
      <c r="AC101" s="16">
        <v>3</v>
      </c>
      <c r="AD101" t="s">
        <v>1524</v>
      </c>
      <c r="AE101" t="s">
        <v>1547</v>
      </c>
      <c r="AF101" t="s">
        <v>1567</v>
      </c>
      <c r="AG101" t="s">
        <v>1572</v>
      </c>
    </row>
    <row r="102" spans="1:33" x14ac:dyDescent="0.3">
      <c r="A102" t="s">
        <v>43</v>
      </c>
      <c r="B102" t="s">
        <v>49</v>
      </c>
      <c r="C102" t="s">
        <v>16</v>
      </c>
      <c r="D102" t="s">
        <v>12</v>
      </c>
      <c r="E102" t="s">
        <v>921</v>
      </c>
      <c r="F102" t="b">
        <v>1</v>
      </c>
      <c r="G102">
        <v>100</v>
      </c>
      <c r="H102">
        <v>1</v>
      </c>
      <c r="I102">
        <v>17904</v>
      </c>
      <c r="J102" s="61" t="s">
        <v>18</v>
      </c>
      <c r="K102" s="16" t="s">
        <v>272</v>
      </c>
      <c r="L102" s="16">
        <v>2</v>
      </c>
      <c r="M102" s="16" t="s">
        <v>333</v>
      </c>
      <c r="N102" s="16" t="s">
        <v>278</v>
      </c>
      <c r="O102" s="15" t="s">
        <v>283</v>
      </c>
      <c r="P102" t="s">
        <v>281</v>
      </c>
      <c r="Q102" t="s">
        <v>284</v>
      </c>
      <c r="R102" s="17" t="s">
        <v>371</v>
      </c>
      <c r="S102" s="16" t="s">
        <v>341</v>
      </c>
      <c r="T102" s="16" t="s">
        <v>340</v>
      </c>
      <c r="U102" s="15" t="s">
        <v>343</v>
      </c>
      <c r="V102" s="15" t="s">
        <v>345</v>
      </c>
      <c r="W102" s="17" t="s">
        <v>291</v>
      </c>
      <c r="Z102" t="s">
        <v>43</v>
      </c>
      <c r="AA102" t="s">
        <v>921</v>
      </c>
      <c r="AB102" s="16" t="s">
        <v>272</v>
      </c>
      <c r="AC102" s="16">
        <v>2</v>
      </c>
      <c r="AD102" t="s">
        <v>1525</v>
      </c>
      <c r="AE102" t="s">
        <v>1547</v>
      </c>
      <c r="AF102" t="s">
        <v>1567</v>
      </c>
      <c r="AG102" t="s">
        <v>1572</v>
      </c>
    </row>
    <row r="103" spans="1:33" x14ac:dyDescent="0.3">
      <c r="A103" t="s">
        <v>43</v>
      </c>
      <c r="B103" t="s">
        <v>49</v>
      </c>
      <c r="C103" t="s">
        <v>20</v>
      </c>
      <c r="D103" t="s">
        <v>12</v>
      </c>
      <c r="E103" t="s">
        <v>922</v>
      </c>
      <c r="F103" t="b">
        <v>1</v>
      </c>
      <c r="G103">
        <v>71.8</v>
      </c>
      <c r="H103">
        <v>0</v>
      </c>
      <c r="I103">
        <v>17905</v>
      </c>
      <c r="J103" s="61" t="s">
        <v>13</v>
      </c>
      <c r="K103" s="16" t="s">
        <v>272</v>
      </c>
      <c r="L103" s="16">
        <v>3</v>
      </c>
      <c r="M103" s="16" t="s">
        <v>277</v>
      </c>
      <c r="N103" s="16" t="s">
        <v>335</v>
      </c>
      <c r="O103" s="15" t="s">
        <v>283</v>
      </c>
      <c r="P103" t="s">
        <v>281</v>
      </c>
      <c r="Q103" t="s">
        <v>284</v>
      </c>
      <c r="R103" s="17" t="s">
        <v>371</v>
      </c>
      <c r="S103" s="16" t="s">
        <v>341</v>
      </c>
      <c r="T103" s="16" t="s">
        <v>340</v>
      </c>
      <c r="U103" s="15" t="s">
        <v>343</v>
      </c>
      <c r="V103" s="15" t="s">
        <v>345</v>
      </c>
      <c r="W103" s="17" t="s">
        <v>291</v>
      </c>
      <c r="Z103" t="s">
        <v>43</v>
      </c>
      <c r="AA103" t="s">
        <v>922</v>
      </c>
      <c r="AB103" s="16" t="s">
        <v>272</v>
      </c>
      <c r="AC103" s="16">
        <v>3</v>
      </c>
      <c r="AD103" t="s">
        <v>1524</v>
      </c>
      <c r="AE103" t="s">
        <v>1547</v>
      </c>
      <c r="AF103" t="s">
        <v>1567</v>
      </c>
      <c r="AG103" t="s">
        <v>1572</v>
      </c>
    </row>
    <row r="104" spans="1:33" x14ac:dyDescent="0.3">
      <c r="A104" t="s">
        <v>43</v>
      </c>
      <c r="B104" t="s">
        <v>62</v>
      </c>
      <c r="C104" t="s">
        <v>15</v>
      </c>
      <c r="D104" t="s">
        <v>12</v>
      </c>
      <c r="E104" t="s">
        <v>931</v>
      </c>
      <c r="F104" t="b">
        <v>1</v>
      </c>
      <c r="G104">
        <v>49.9</v>
      </c>
      <c r="H104">
        <v>0</v>
      </c>
      <c r="I104">
        <v>11608</v>
      </c>
      <c r="J104" s="61" t="s">
        <v>13</v>
      </c>
      <c r="K104" s="16" t="s">
        <v>272</v>
      </c>
      <c r="L104" s="16">
        <v>3</v>
      </c>
      <c r="M104" s="16" t="s">
        <v>277</v>
      </c>
      <c r="N104" s="16" t="s">
        <v>335</v>
      </c>
      <c r="O104" s="15" t="s">
        <v>282</v>
      </c>
      <c r="P104" t="s">
        <v>371</v>
      </c>
      <c r="Q104" t="s">
        <v>371</v>
      </c>
      <c r="R104" s="17" t="s">
        <v>371</v>
      </c>
      <c r="S104" s="16" t="s">
        <v>341</v>
      </c>
      <c r="T104" s="16" t="s">
        <v>342</v>
      </c>
      <c r="U104" s="15" t="s">
        <v>343</v>
      </c>
      <c r="V104" s="15" t="s">
        <v>344</v>
      </c>
      <c r="W104" s="17" t="s">
        <v>371</v>
      </c>
      <c r="Z104" t="s">
        <v>43</v>
      </c>
      <c r="AA104" t="s">
        <v>931</v>
      </c>
      <c r="AB104" s="16" t="s">
        <v>272</v>
      </c>
      <c r="AC104" s="16">
        <v>3</v>
      </c>
      <c r="AD104" t="s">
        <v>1524</v>
      </c>
      <c r="AE104" t="s">
        <v>282</v>
      </c>
      <c r="AF104" t="s">
        <v>1566</v>
      </c>
      <c r="AG104" t="s">
        <v>344</v>
      </c>
    </row>
    <row r="105" spans="1:33" x14ac:dyDescent="0.3">
      <c r="A105" t="s">
        <v>43</v>
      </c>
      <c r="B105" t="s">
        <v>62</v>
      </c>
      <c r="C105" t="s">
        <v>23</v>
      </c>
      <c r="D105" t="s">
        <v>12</v>
      </c>
      <c r="E105" t="s">
        <v>932</v>
      </c>
      <c r="F105" t="b">
        <v>1</v>
      </c>
      <c r="G105">
        <v>72.8</v>
      </c>
      <c r="H105">
        <v>0</v>
      </c>
      <c r="I105">
        <v>10898</v>
      </c>
      <c r="J105" s="61" t="s">
        <v>13</v>
      </c>
      <c r="K105" s="16" t="s">
        <v>272</v>
      </c>
      <c r="L105" s="16">
        <v>3</v>
      </c>
      <c r="M105" s="16" t="s">
        <v>277</v>
      </c>
      <c r="N105" s="16" t="s">
        <v>335</v>
      </c>
      <c r="O105" s="15" t="s">
        <v>283</v>
      </c>
      <c r="P105" t="s">
        <v>284</v>
      </c>
      <c r="Q105" t="s">
        <v>371</v>
      </c>
      <c r="R105" s="17" t="s">
        <v>371</v>
      </c>
      <c r="S105" s="16" t="s">
        <v>341</v>
      </c>
      <c r="T105" s="16" t="s">
        <v>340</v>
      </c>
      <c r="U105" s="15" t="s">
        <v>343</v>
      </c>
      <c r="V105" s="15" t="s">
        <v>344</v>
      </c>
      <c r="W105" s="17" t="s">
        <v>371</v>
      </c>
      <c r="Z105" t="s">
        <v>43</v>
      </c>
      <c r="AA105" t="s">
        <v>932</v>
      </c>
      <c r="AB105" s="16" t="s">
        <v>272</v>
      </c>
      <c r="AC105" s="16">
        <v>3</v>
      </c>
      <c r="AD105" t="s">
        <v>1524</v>
      </c>
      <c r="AE105" t="s">
        <v>1542</v>
      </c>
      <c r="AF105" t="s">
        <v>1567</v>
      </c>
      <c r="AG105" t="s">
        <v>344</v>
      </c>
    </row>
    <row r="106" spans="1:33" x14ac:dyDescent="0.3">
      <c r="A106" t="s">
        <v>43</v>
      </c>
      <c r="B106" t="s">
        <v>62</v>
      </c>
      <c r="C106" t="s">
        <v>14</v>
      </c>
      <c r="D106" t="s">
        <v>12</v>
      </c>
      <c r="E106" t="s">
        <v>933</v>
      </c>
      <c r="F106" t="b">
        <v>1</v>
      </c>
      <c r="G106">
        <v>100</v>
      </c>
      <c r="H106">
        <v>1</v>
      </c>
      <c r="I106">
        <v>11266</v>
      </c>
      <c r="J106" s="61" t="s">
        <v>18</v>
      </c>
      <c r="K106" s="16" t="s">
        <v>272</v>
      </c>
      <c r="L106" s="16">
        <v>3</v>
      </c>
      <c r="M106" s="16" t="s">
        <v>277</v>
      </c>
      <c r="N106" s="16" t="s">
        <v>335</v>
      </c>
      <c r="O106" s="15" t="s">
        <v>282</v>
      </c>
      <c r="P106" t="s">
        <v>371</v>
      </c>
      <c r="Q106" t="s">
        <v>371</v>
      </c>
      <c r="R106" s="17" t="s">
        <v>371</v>
      </c>
      <c r="S106" s="16" t="s">
        <v>341</v>
      </c>
      <c r="T106" s="16" t="s">
        <v>342</v>
      </c>
      <c r="U106" s="15" t="s">
        <v>343</v>
      </c>
      <c r="V106" s="15" t="s">
        <v>344</v>
      </c>
      <c r="W106" s="17" t="s">
        <v>371</v>
      </c>
      <c r="Z106" t="s">
        <v>43</v>
      </c>
      <c r="AA106" t="s">
        <v>933</v>
      </c>
      <c r="AB106" s="16" t="s">
        <v>272</v>
      </c>
      <c r="AC106" s="16">
        <v>3</v>
      </c>
      <c r="AD106" t="s">
        <v>1524</v>
      </c>
      <c r="AE106" t="s">
        <v>282</v>
      </c>
      <c r="AF106" t="s">
        <v>1566</v>
      </c>
      <c r="AG106" t="s">
        <v>344</v>
      </c>
    </row>
    <row r="107" spans="1:33" x14ac:dyDescent="0.3">
      <c r="A107" t="s">
        <v>43</v>
      </c>
      <c r="B107" t="s">
        <v>62</v>
      </c>
      <c r="C107" t="s">
        <v>25</v>
      </c>
      <c r="D107" t="s">
        <v>12</v>
      </c>
      <c r="E107" t="s">
        <v>934</v>
      </c>
      <c r="F107" t="b">
        <v>1</v>
      </c>
      <c r="G107">
        <v>100</v>
      </c>
      <c r="H107">
        <v>1</v>
      </c>
      <c r="I107">
        <v>9089</v>
      </c>
      <c r="J107" s="61" t="s">
        <v>18</v>
      </c>
      <c r="K107" s="16" t="s">
        <v>272</v>
      </c>
      <c r="L107" s="16">
        <v>3</v>
      </c>
      <c r="M107" s="16" t="s">
        <v>277</v>
      </c>
      <c r="N107" s="16" t="s">
        <v>335</v>
      </c>
      <c r="O107" s="15" t="s">
        <v>283</v>
      </c>
      <c r="P107" t="s">
        <v>284</v>
      </c>
      <c r="Q107" t="s">
        <v>371</v>
      </c>
      <c r="R107" s="17" t="s">
        <v>371</v>
      </c>
      <c r="S107" s="16" t="s">
        <v>341</v>
      </c>
      <c r="T107" s="16" t="s">
        <v>340</v>
      </c>
      <c r="U107" s="15" t="s">
        <v>343</v>
      </c>
      <c r="V107" s="15" t="s">
        <v>344</v>
      </c>
      <c r="W107" s="17" t="s">
        <v>371</v>
      </c>
      <c r="Z107" t="s">
        <v>43</v>
      </c>
      <c r="AA107" t="s">
        <v>934</v>
      </c>
      <c r="AB107" s="16" t="s">
        <v>272</v>
      </c>
      <c r="AC107" s="16">
        <v>3</v>
      </c>
      <c r="AD107" t="s">
        <v>1524</v>
      </c>
      <c r="AE107" t="s">
        <v>1542</v>
      </c>
      <c r="AF107" t="s">
        <v>1567</v>
      </c>
      <c r="AG107" t="s">
        <v>344</v>
      </c>
    </row>
    <row r="108" spans="1:33" x14ac:dyDescent="0.3">
      <c r="A108" t="s">
        <v>43</v>
      </c>
      <c r="B108" t="s">
        <v>62</v>
      </c>
      <c r="C108" t="s">
        <v>11</v>
      </c>
      <c r="D108" t="s">
        <v>12</v>
      </c>
      <c r="E108" t="s">
        <v>935</v>
      </c>
      <c r="F108" t="b">
        <v>1</v>
      </c>
      <c r="G108">
        <v>100</v>
      </c>
      <c r="H108">
        <v>1</v>
      </c>
      <c r="I108">
        <v>10163</v>
      </c>
      <c r="J108" s="61" t="s">
        <v>18</v>
      </c>
      <c r="K108" s="16" t="s">
        <v>272</v>
      </c>
      <c r="L108" s="16">
        <v>2</v>
      </c>
      <c r="M108" s="16" t="s">
        <v>277</v>
      </c>
      <c r="N108" s="16" t="s">
        <v>335</v>
      </c>
      <c r="O108" s="15" t="s">
        <v>282</v>
      </c>
      <c r="P108" t="s">
        <v>371</v>
      </c>
      <c r="Q108" t="s">
        <v>371</v>
      </c>
      <c r="R108" s="17" t="s">
        <v>371</v>
      </c>
      <c r="S108" s="16" t="s">
        <v>341</v>
      </c>
      <c r="T108" s="16" t="s">
        <v>340</v>
      </c>
      <c r="U108" s="15" t="s">
        <v>340</v>
      </c>
      <c r="V108" s="15" t="s">
        <v>344</v>
      </c>
      <c r="W108" s="17" t="s">
        <v>371</v>
      </c>
      <c r="Z108" t="s">
        <v>43</v>
      </c>
      <c r="AA108" t="s">
        <v>935</v>
      </c>
      <c r="AB108" s="16" t="s">
        <v>272</v>
      </c>
      <c r="AC108" s="16">
        <v>2</v>
      </c>
      <c r="AD108" t="s">
        <v>1524</v>
      </c>
      <c r="AE108" t="s">
        <v>282</v>
      </c>
      <c r="AF108" t="s">
        <v>341</v>
      </c>
      <c r="AG108" t="s">
        <v>344</v>
      </c>
    </row>
    <row r="109" spans="1:33" x14ac:dyDescent="0.3">
      <c r="A109" t="s">
        <v>43</v>
      </c>
      <c r="B109" t="s">
        <v>62</v>
      </c>
      <c r="C109" t="s">
        <v>24</v>
      </c>
      <c r="D109" t="s">
        <v>12</v>
      </c>
      <c r="E109" t="s">
        <v>936</v>
      </c>
      <c r="F109" t="b">
        <v>1</v>
      </c>
      <c r="G109">
        <v>100</v>
      </c>
      <c r="H109">
        <v>1</v>
      </c>
      <c r="I109">
        <v>9273</v>
      </c>
      <c r="J109" s="61" t="s">
        <v>18</v>
      </c>
      <c r="K109" s="16" t="s">
        <v>272</v>
      </c>
      <c r="L109" s="16">
        <v>3</v>
      </c>
      <c r="M109" s="16" t="s">
        <v>277</v>
      </c>
      <c r="N109" s="16" t="s">
        <v>335</v>
      </c>
      <c r="O109" s="15" t="s">
        <v>283</v>
      </c>
      <c r="P109" t="s">
        <v>284</v>
      </c>
      <c r="Q109" t="s">
        <v>371</v>
      </c>
      <c r="R109" s="17" t="s">
        <v>371</v>
      </c>
      <c r="S109" s="16" t="s">
        <v>341</v>
      </c>
      <c r="T109" s="16" t="s">
        <v>340</v>
      </c>
      <c r="U109" s="15" t="s">
        <v>343</v>
      </c>
      <c r="V109" s="15" t="s">
        <v>344</v>
      </c>
      <c r="W109" s="17" t="s">
        <v>345</v>
      </c>
      <c r="Z109" t="s">
        <v>43</v>
      </c>
      <c r="AA109" t="s">
        <v>936</v>
      </c>
      <c r="AB109" s="16" t="s">
        <v>272</v>
      </c>
      <c r="AC109" s="16">
        <v>3</v>
      </c>
      <c r="AD109" t="s">
        <v>1524</v>
      </c>
      <c r="AE109" t="s">
        <v>1542</v>
      </c>
      <c r="AF109" t="s">
        <v>1567</v>
      </c>
      <c r="AG109" t="s">
        <v>1574</v>
      </c>
    </row>
    <row r="110" spans="1:33" x14ac:dyDescent="0.3">
      <c r="A110" t="s">
        <v>43</v>
      </c>
      <c r="B110" t="s">
        <v>62</v>
      </c>
      <c r="C110" t="s">
        <v>21</v>
      </c>
      <c r="D110" t="s">
        <v>12</v>
      </c>
      <c r="E110" t="s">
        <v>937</v>
      </c>
      <c r="F110" t="b">
        <v>1</v>
      </c>
      <c r="G110">
        <v>95</v>
      </c>
      <c r="H110">
        <v>0</v>
      </c>
      <c r="I110">
        <v>8461</v>
      </c>
      <c r="J110" s="61" t="s">
        <v>13</v>
      </c>
      <c r="K110" s="16" t="s">
        <v>272</v>
      </c>
      <c r="L110" s="16">
        <v>3</v>
      </c>
      <c r="M110" s="16" t="s">
        <v>277</v>
      </c>
      <c r="N110" s="16" t="s">
        <v>335</v>
      </c>
      <c r="O110" s="15" t="s">
        <v>282</v>
      </c>
      <c r="P110" t="s">
        <v>371</v>
      </c>
      <c r="Q110" t="s">
        <v>371</v>
      </c>
      <c r="R110" s="17" t="s">
        <v>371</v>
      </c>
      <c r="S110" s="16" t="s">
        <v>341</v>
      </c>
      <c r="T110" s="16" t="s">
        <v>342</v>
      </c>
      <c r="U110" s="15" t="s">
        <v>343</v>
      </c>
      <c r="V110" s="15" t="s">
        <v>344</v>
      </c>
      <c r="W110" s="17" t="s">
        <v>371</v>
      </c>
      <c r="Z110" t="s">
        <v>43</v>
      </c>
      <c r="AA110" t="s">
        <v>937</v>
      </c>
      <c r="AB110" s="16" t="s">
        <v>272</v>
      </c>
      <c r="AC110" s="16">
        <v>3</v>
      </c>
      <c r="AD110" t="s">
        <v>1524</v>
      </c>
      <c r="AE110" t="s">
        <v>282</v>
      </c>
      <c r="AF110" t="s">
        <v>1566</v>
      </c>
      <c r="AG110" t="s">
        <v>344</v>
      </c>
    </row>
    <row r="111" spans="1:33" x14ac:dyDescent="0.3">
      <c r="A111" t="s">
        <v>43</v>
      </c>
      <c r="B111" t="s">
        <v>62</v>
      </c>
      <c r="C111" t="s">
        <v>30</v>
      </c>
      <c r="D111" t="s">
        <v>12</v>
      </c>
      <c r="E111" t="s">
        <v>938</v>
      </c>
      <c r="F111" t="b">
        <v>1</v>
      </c>
      <c r="G111">
        <v>100</v>
      </c>
      <c r="H111">
        <v>1</v>
      </c>
      <c r="I111">
        <v>9373</v>
      </c>
      <c r="J111" s="61" t="s">
        <v>18</v>
      </c>
      <c r="K111" s="16" t="s">
        <v>272</v>
      </c>
      <c r="L111" s="16">
        <v>3</v>
      </c>
      <c r="M111" s="16" t="s">
        <v>277</v>
      </c>
      <c r="N111" s="16" t="s">
        <v>335</v>
      </c>
      <c r="O111" s="15" t="s">
        <v>283</v>
      </c>
      <c r="P111" t="s">
        <v>284</v>
      </c>
      <c r="Q111" t="s">
        <v>371</v>
      </c>
      <c r="R111" s="17" t="s">
        <v>371</v>
      </c>
      <c r="S111" s="16" t="s">
        <v>341</v>
      </c>
      <c r="T111" s="16" t="s">
        <v>340</v>
      </c>
      <c r="U111" s="15" t="s">
        <v>343</v>
      </c>
      <c r="V111" s="15" t="s">
        <v>344</v>
      </c>
      <c r="W111" s="17" t="s">
        <v>371</v>
      </c>
      <c r="Z111" t="s">
        <v>43</v>
      </c>
      <c r="AA111" t="s">
        <v>938</v>
      </c>
      <c r="AB111" s="16" t="s">
        <v>272</v>
      </c>
      <c r="AC111" s="16">
        <v>3</v>
      </c>
      <c r="AD111" t="s">
        <v>1524</v>
      </c>
      <c r="AE111" t="s">
        <v>1542</v>
      </c>
      <c r="AF111" t="s">
        <v>1567</v>
      </c>
      <c r="AG111" t="s">
        <v>344</v>
      </c>
    </row>
    <row r="112" spans="1:33" x14ac:dyDescent="0.3">
      <c r="A112" t="s">
        <v>43</v>
      </c>
      <c r="B112" t="s">
        <v>62</v>
      </c>
      <c r="C112" t="s">
        <v>19</v>
      </c>
      <c r="D112" t="s">
        <v>12</v>
      </c>
      <c r="E112" t="s">
        <v>939</v>
      </c>
      <c r="F112" t="b">
        <v>1</v>
      </c>
      <c r="G112">
        <v>95.7</v>
      </c>
      <c r="H112">
        <v>0</v>
      </c>
      <c r="I112">
        <v>8638</v>
      </c>
      <c r="J112" s="61" t="s">
        <v>13</v>
      </c>
      <c r="K112" s="16" t="s">
        <v>272</v>
      </c>
      <c r="L112" s="16">
        <v>3</v>
      </c>
      <c r="M112" s="16" t="s">
        <v>277</v>
      </c>
      <c r="N112" s="16" t="s">
        <v>335</v>
      </c>
      <c r="O112" s="15" t="s">
        <v>282</v>
      </c>
      <c r="P112" t="s">
        <v>371</v>
      </c>
      <c r="Q112" t="s">
        <v>371</v>
      </c>
      <c r="R112" s="17" t="s">
        <v>371</v>
      </c>
      <c r="S112" s="16" t="s">
        <v>341</v>
      </c>
      <c r="T112" s="16" t="s">
        <v>342</v>
      </c>
      <c r="U112" s="15" t="s">
        <v>343</v>
      </c>
      <c r="V112" s="15" t="s">
        <v>344</v>
      </c>
      <c r="W112" s="17" t="s">
        <v>371</v>
      </c>
      <c r="Z112" t="s">
        <v>43</v>
      </c>
      <c r="AA112" t="s">
        <v>939</v>
      </c>
      <c r="AB112" s="16" t="s">
        <v>272</v>
      </c>
      <c r="AC112" s="16">
        <v>3</v>
      </c>
      <c r="AD112" t="s">
        <v>1524</v>
      </c>
      <c r="AE112" t="s">
        <v>282</v>
      </c>
      <c r="AF112" t="s">
        <v>1566</v>
      </c>
      <c r="AG112" t="s">
        <v>344</v>
      </c>
    </row>
    <row r="113" spans="1:33" x14ac:dyDescent="0.3">
      <c r="A113" t="s">
        <v>43</v>
      </c>
      <c r="B113" t="s">
        <v>62</v>
      </c>
      <c r="C113" t="s">
        <v>17</v>
      </c>
      <c r="D113" t="s">
        <v>12</v>
      </c>
      <c r="E113" t="s">
        <v>940</v>
      </c>
      <c r="F113" t="b">
        <v>1</v>
      </c>
      <c r="G113">
        <v>95.6</v>
      </c>
      <c r="H113">
        <v>0</v>
      </c>
      <c r="I113">
        <v>8818</v>
      </c>
      <c r="J113" s="61" t="s">
        <v>13</v>
      </c>
      <c r="K113" s="16" t="s">
        <v>272</v>
      </c>
      <c r="L113" s="16">
        <v>3</v>
      </c>
      <c r="M113" s="16" t="s">
        <v>277</v>
      </c>
      <c r="N113" s="16" t="s">
        <v>335</v>
      </c>
      <c r="O113" s="15" t="s">
        <v>282</v>
      </c>
      <c r="P113" t="s">
        <v>371</v>
      </c>
      <c r="Q113" t="s">
        <v>371</v>
      </c>
      <c r="R113" s="17" t="s">
        <v>371</v>
      </c>
      <c r="S113" s="16" t="s">
        <v>341</v>
      </c>
      <c r="T113" s="16" t="s">
        <v>342</v>
      </c>
      <c r="U113" s="15" t="s">
        <v>343</v>
      </c>
      <c r="V113" s="15" t="s">
        <v>344</v>
      </c>
      <c r="W113" s="17" t="s">
        <v>371</v>
      </c>
      <c r="Z113" t="s">
        <v>43</v>
      </c>
      <c r="AA113" t="s">
        <v>940</v>
      </c>
      <c r="AB113" s="16" t="s">
        <v>272</v>
      </c>
      <c r="AC113" s="16">
        <v>3</v>
      </c>
      <c r="AD113" t="s">
        <v>1524</v>
      </c>
      <c r="AE113" t="s">
        <v>282</v>
      </c>
      <c r="AF113" t="s">
        <v>1566</v>
      </c>
      <c r="AG113" t="s">
        <v>344</v>
      </c>
    </row>
    <row r="114" spans="1:33" x14ac:dyDescent="0.3">
      <c r="A114" t="s">
        <v>43</v>
      </c>
      <c r="B114" t="s">
        <v>62</v>
      </c>
      <c r="C114" t="s">
        <v>16</v>
      </c>
      <c r="D114" t="s">
        <v>12</v>
      </c>
      <c r="E114" t="s">
        <v>941</v>
      </c>
      <c r="F114" t="b">
        <v>1</v>
      </c>
      <c r="G114">
        <v>60.2</v>
      </c>
      <c r="H114">
        <v>0</v>
      </c>
      <c r="I114">
        <v>10461</v>
      </c>
      <c r="J114" s="61" t="s">
        <v>13</v>
      </c>
      <c r="K114" s="16" t="s">
        <v>272</v>
      </c>
      <c r="L114" s="16">
        <v>3</v>
      </c>
      <c r="M114" s="16" t="s">
        <v>277</v>
      </c>
      <c r="N114" s="16" t="s">
        <v>335</v>
      </c>
      <c r="O114" s="15" t="s">
        <v>282</v>
      </c>
      <c r="P114" t="s">
        <v>371</v>
      </c>
      <c r="Q114" t="s">
        <v>371</v>
      </c>
      <c r="R114" s="17" t="s">
        <v>371</v>
      </c>
      <c r="S114" s="16" t="s">
        <v>341</v>
      </c>
      <c r="T114" s="16" t="s">
        <v>342</v>
      </c>
      <c r="U114" s="15" t="s">
        <v>343</v>
      </c>
      <c r="V114" s="15" t="s">
        <v>344</v>
      </c>
      <c r="W114" s="17" t="s">
        <v>371</v>
      </c>
      <c r="Z114" t="s">
        <v>43</v>
      </c>
      <c r="AA114" t="s">
        <v>941</v>
      </c>
      <c r="AB114" s="16" t="s">
        <v>272</v>
      </c>
      <c r="AC114" s="16">
        <v>3</v>
      </c>
      <c r="AD114" t="s">
        <v>1524</v>
      </c>
      <c r="AE114" t="s">
        <v>282</v>
      </c>
      <c r="AF114" t="s">
        <v>1566</v>
      </c>
      <c r="AG114" t="s">
        <v>344</v>
      </c>
    </row>
    <row r="115" spans="1:33" x14ac:dyDescent="0.3">
      <c r="A115" t="s">
        <v>43</v>
      </c>
      <c r="B115" t="s">
        <v>62</v>
      </c>
      <c r="C115" t="s">
        <v>20</v>
      </c>
      <c r="D115" t="s">
        <v>12</v>
      </c>
      <c r="E115" t="s">
        <v>942</v>
      </c>
      <c r="F115" t="b">
        <v>1</v>
      </c>
      <c r="G115">
        <v>100</v>
      </c>
      <c r="H115">
        <v>1</v>
      </c>
      <c r="I115">
        <v>8390</v>
      </c>
      <c r="J115" s="61" t="s">
        <v>18</v>
      </c>
      <c r="K115" s="16" t="s">
        <v>272</v>
      </c>
      <c r="L115" s="16">
        <v>3</v>
      </c>
      <c r="M115" s="16" t="s">
        <v>277</v>
      </c>
      <c r="N115" s="16" t="s">
        <v>335</v>
      </c>
      <c r="O115" s="15" t="s">
        <v>282</v>
      </c>
      <c r="P115" t="s">
        <v>371</v>
      </c>
      <c r="Q115" t="s">
        <v>371</v>
      </c>
      <c r="R115" s="17" t="s">
        <v>371</v>
      </c>
      <c r="S115" s="16" t="s">
        <v>341</v>
      </c>
      <c r="T115" s="16" t="s">
        <v>342</v>
      </c>
      <c r="U115" s="15" t="s">
        <v>343</v>
      </c>
      <c r="V115" s="15" t="s">
        <v>345</v>
      </c>
      <c r="W115" s="17" t="s">
        <v>371</v>
      </c>
      <c r="Z115" t="s">
        <v>43</v>
      </c>
      <c r="AA115" t="s">
        <v>942</v>
      </c>
      <c r="AB115" s="16" t="s">
        <v>272</v>
      </c>
      <c r="AC115" s="16">
        <v>3</v>
      </c>
      <c r="AD115" t="s">
        <v>1524</v>
      </c>
      <c r="AE115" t="s">
        <v>282</v>
      </c>
      <c r="AF115" t="s">
        <v>1566</v>
      </c>
      <c r="AG115" t="s">
        <v>345</v>
      </c>
    </row>
    <row r="116" spans="1:33" x14ac:dyDescent="0.3">
      <c r="A116" t="s">
        <v>43</v>
      </c>
      <c r="B116" t="s">
        <v>62</v>
      </c>
      <c r="C116" t="s">
        <v>26</v>
      </c>
      <c r="D116" t="s">
        <v>12</v>
      </c>
      <c r="E116" t="s">
        <v>943</v>
      </c>
      <c r="F116" t="b">
        <v>1</v>
      </c>
      <c r="G116">
        <v>100</v>
      </c>
      <c r="H116">
        <v>1</v>
      </c>
      <c r="I116">
        <v>9293</v>
      </c>
      <c r="J116" s="61" t="s">
        <v>18</v>
      </c>
      <c r="K116" s="16" t="s">
        <v>272</v>
      </c>
      <c r="L116" s="16">
        <v>3</v>
      </c>
      <c r="M116" s="16" t="s">
        <v>277</v>
      </c>
      <c r="N116" s="16" t="s">
        <v>335</v>
      </c>
      <c r="O116" s="15" t="s">
        <v>283</v>
      </c>
      <c r="P116" t="s">
        <v>284</v>
      </c>
      <c r="Q116" t="s">
        <v>371</v>
      </c>
      <c r="R116" s="17" t="s">
        <v>371</v>
      </c>
      <c r="S116" s="16" t="s">
        <v>341</v>
      </c>
      <c r="T116" s="16" t="s">
        <v>340</v>
      </c>
      <c r="U116" s="15" t="s">
        <v>343</v>
      </c>
      <c r="V116" s="15" t="s">
        <v>345</v>
      </c>
      <c r="W116" s="17" t="s">
        <v>371</v>
      </c>
      <c r="Z116" t="s">
        <v>43</v>
      </c>
      <c r="AA116" t="s">
        <v>943</v>
      </c>
      <c r="AB116" s="16" t="s">
        <v>272</v>
      </c>
      <c r="AC116" s="16">
        <v>3</v>
      </c>
      <c r="AD116" t="s">
        <v>1524</v>
      </c>
      <c r="AE116" t="s">
        <v>1542</v>
      </c>
      <c r="AF116" t="s">
        <v>1567</v>
      </c>
      <c r="AG116" t="s">
        <v>345</v>
      </c>
    </row>
    <row r="117" spans="1:33" x14ac:dyDescent="0.3">
      <c r="A117" t="s">
        <v>43</v>
      </c>
      <c r="B117" t="s">
        <v>62</v>
      </c>
      <c r="C117" t="s">
        <v>22</v>
      </c>
      <c r="D117" t="s">
        <v>12</v>
      </c>
      <c r="E117" t="s">
        <v>944</v>
      </c>
      <c r="F117" t="b">
        <v>1</v>
      </c>
      <c r="G117">
        <v>100</v>
      </c>
      <c r="H117">
        <v>1</v>
      </c>
      <c r="I117">
        <v>10552</v>
      </c>
      <c r="J117" s="61" t="s">
        <v>18</v>
      </c>
      <c r="K117" s="16" t="s">
        <v>272</v>
      </c>
      <c r="L117" s="16">
        <v>2</v>
      </c>
      <c r="M117" s="16" t="s">
        <v>277</v>
      </c>
      <c r="N117" s="16" t="s">
        <v>335</v>
      </c>
      <c r="O117" s="15" t="s">
        <v>283</v>
      </c>
      <c r="P117" t="s">
        <v>284</v>
      </c>
      <c r="Q117" t="s">
        <v>371</v>
      </c>
      <c r="R117" s="17" t="s">
        <v>371</v>
      </c>
      <c r="S117" s="16" t="s">
        <v>341</v>
      </c>
      <c r="T117" s="16" t="s">
        <v>340</v>
      </c>
      <c r="U117" s="15" t="s">
        <v>340</v>
      </c>
      <c r="V117" s="15" t="s">
        <v>344</v>
      </c>
      <c r="W117" s="17" t="s">
        <v>371</v>
      </c>
      <c r="Z117" t="s">
        <v>43</v>
      </c>
      <c r="AA117" t="s">
        <v>944</v>
      </c>
      <c r="AB117" s="16" t="s">
        <v>272</v>
      </c>
      <c r="AC117" s="16">
        <v>2</v>
      </c>
      <c r="AD117" t="s">
        <v>1524</v>
      </c>
      <c r="AE117" t="s">
        <v>1542</v>
      </c>
      <c r="AF117" t="s">
        <v>341</v>
      </c>
      <c r="AG117" t="s">
        <v>344</v>
      </c>
    </row>
    <row r="118" spans="1:33" x14ac:dyDescent="0.3">
      <c r="A118" t="s">
        <v>43</v>
      </c>
      <c r="B118" t="s">
        <v>62</v>
      </c>
      <c r="C118" t="s">
        <v>31</v>
      </c>
      <c r="D118" t="s">
        <v>12</v>
      </c>
      <c r="E118" t="s">
        <v>945</v>
      </c>
      <c r="F118" t="b">
        <v>1</v>
      </c>
      <c r="G118">
        <v>85.4</v>
      </c>
      <c r="H118">
        <v>0</v>
      </c>
      <c r="I118">
        <v>9437</v>
      </c>
      <c r="J118" s="61" t="s">
        <v>13</v>
      </c>
      <c r="K118" s="16" t="s">
        <v>272</v>
      </c>
      <c r="L118" s="16">
        <v>3</v>
      </c>
      <c r="M118" s="16" t="s">
        <v>277</v>
      </c>
      <c r="N118" s="16" t="s">
        <v>335</v>
      </c>
      <c r="O118" s="15" t="s">
        <v>283</v>
      </c>
      <c r="P118" t="s">
        <v>284</v>
      </c>
      <c r="Q118" t="s">
        <v>371</v>
      </c>
      <c r="R118" s="17" t="s">
        <v>371</v>
      </c>
      <c r="S118" s="16" t="s">
        <v>341</v>
      </c>
      <c r="T118" s="16" t="s">
        <v>340</v>
      </c>
      <c r="U118" s="15" t="s">
        <v>343</v>
      </c>
      <c r="V118" s="15" t="s">
        <v>344</v>
      </c>
      <c r="W118" s="17" t="s">
        <v>371</v>
      </c>
      <c r="Z118" t="s">
        <v>43</v>
      </c>
      <c r="AA118" t="s">
        <v>945</v>
      </c>
      <c r="AB118" s="16" t="s">
        <v>272</v>
      </c>
      <c r="AC118" s="16">
        <v>3</v>
      </c>
      <c r="AD118" t="s">
        <v>1524</v>
      </c>
      <c r="AE118" t="s">
        <v>1542</v>
      </c>
      <c r="AF118" t="s">
        <v>1567</v>
      </c>
      <c r="AG118" t="s">
        <v>344</v>
      </c>
    </row>
    <row r="119" spans="1:33" x14ac:dyDescent="0.3">
      <c r="A119" t="s">
        <v>43</v>
      </c>
      <c r="B119" t="s">
        <v>62</v>
      </c>
      <c r="C119" t="s">
        <v>27</v>
      </c>
      <c r="D119" t="s">
        <v>12</v>
      </c>
      <c r="E119" t="s">
        <v>946</v>
      </c>
      <c r="F119" t="b">
        <v>1</v>
      </c>
      <c r="G119">
        <v>100</v>
      </c>
      <c r="H119">
        <v>1</v>
      </c>
      <c r="I119">
        <v>9749</v>
      </c>
      <c r="J119" s="61" t="s">
        <v>18</v>
      </c>
      <c r="K119" s="16" t="s">
        <v>272</v>
      </c>
      <c r="L119" s="16">
        <v>3</v>
      </c>
      <c r="M119" s="16" t="s">
        <v>277</v>
      </c>
      <c r="N119" s="16" t="s">
        <v>335</v>
      </c>
      <c r="O119" s="15" t="s">
        <v>283</v>
      </c>
      <c r="P119" t="s">
        <v>284</v>
      </c>
      <c r="Q119" t="s">
        <v>371</v>
      </c>
      <c r="R119" s="17" t="s">
        <v>371</v>
      </c>
      <c r="S119" s="16" t="s">
        <v>341</v>
      </c>
      <c r="T119" s="16" t="s">
        <v>340</v>
      </c>
      <c r="U119" s="15" t="s">
        <v>343</v>
      </c>
      <c r="V119" s="15" t="s">
        <v>344</v>
      </c>
      <c r="W119" s="17" t="s">
        <v>371</v>
      </c>
      <c r="Z119" t="s">
        <v>43</v>
      </c>
      <c r="AA119" t="s">
        <v>946</v>
      </c>
      <c r="AB119" s="16" t="s">
        <v>272</v>
      </c>
      <c r="AC119" s="16">
        <v>3</v>
      </c>
      <c r="AD119" t="s">
        <v>1524</v>
      </c>
      <c r="AE119" t="s">
        <v>1542</v>
      </c>
      <c r="AF119" t="s">
        <v>1567</v>
      </c>
      <c r="AG119" t="s">
        <v>344</v>
      </c>
    </row>
    <row r="120" spans="1:33" x14ac:dyDescent="0.3">
      <c r="A120" t="s">
        <v>43</v>
      </c>
      <c r="B120" t="s">
        <v>62</v>
      </c>
      <c r="C120" t="s">
        <v>28</v>
      </c>
      <c r="D120" t="s">
        <v>12</v>
      </c>
      <c r="E120" t="s">
        <v>947</v>
      </c>
      <c r="F120" t="b">
        <v>1</v>
      </c>
      <c r="G120">
        <v>89.3</v>
      </c>
      <c r="H120">
        <v>0</v>
      </c>
      <c r="I120">
        <v>9757</v>
      </c>
      <c r="J120" s="61" t="s">
        <v>13</v>
      </c>
      <c r="K120" s="16" t="s">
        <v>272</v>
      </c>
      <c r="L120" s="16">
        <v>3</v>
      </c>
      <c r="M120" s="16" t="s">
        <v>277</v>
      </c>
      <c r="N120" s="16" t="s">
        <v>335</v>
      </c>
      <c r="O120" s="15" t="s">
        <v>283</v>
      </c>
      <c r="P120" t="s">
        <v>284</v>
      </c>
      <c r="Q120" t="s">
        <v>371</v>
      </c>
      <c r="R120" s="17" t="s">
        <v>371</v>
      </c>
      <c r="S120" s="16" t="s">
        <v>341</v>
      </c>
      <c r="T120" s="16" t="s">
        <v>340</v>
      </c>
      <c r="U120" s="15" t="s">
        <v>343</v>
      </c>
      <c r="V120" s="15" t="s">
        <v>344</v>
      </c>
      <c r="W120" s="17" t="s">
        <v>371</v>
      </c>
      <c r="Z120" t="s">
        <v>43</v>
      </c>
      <c r="AA120" t="s">
        <v>947</v>
      </c>
      <c r="AB120" s="16" t="s">
        <v>272</v>
      </c>
      <c r="AC120" s="16">
        <v>3</v>
      </c>
      <c r="AD120" t="s">
        <v>1524</v>
      </c>
      <c r="AE120" t="s">
        <v>1542</v>
      </c>
      <c r="AF120" t="s">
        <v>1567</v>
      </c>
      <c r="AG120" t="s">
        <v>344</v>
      </c>
    </row>
    <row r="121" spans="1:33" x14ac:dyDescent="0.3">
      <c r="A121" t="s">
        <v>43</v>
      </c>
      <c r="B121" t="s">
        <v>58</v>
      </c>
      <c r="C121" t="s">
        <v>15</v>
      </c>
      <c r="D121" t="s">
        <v>12</v>
      </c>
      <c r="E121" t="s">
        <v>962</v>
      </c>
      <c r="F121" t="b">
        <v>1</v>
      </c>
      <c r="G121">
        <v>100</v>
      </c>
      <c r="H121">
        <v>1</v>
      </c>
      <c r="I121">
        <v>9809</v>
      </c>
      <c r="J121" s="61" t="s">
        <v>18</v>
      </c>
      <c r="K121" s="16" t="s">
        <v>272</v>
      </c>
      <c r="L121" s="16">
        <v>3</v>
      </c>
      <c r="M121" s="16" t="s">
        <v>277</v>
      </c>
      <c r="N121" s="16" t="s">
        <v>335</v>
      </c>
      <c r="O121" s="15" t="s">
        <v>281</v>
      </c>
      <c r="P121" t="s">
        <v>282</v>
      </c>
      <c r="Q121" t="s">
        <v>371</v>
      </c>
      <c r="R121" s="17" t="s">
        <v>371</v>
      </c>
      <c r="S121" s="16" t="s">
        <v>341</v>
      </c>
      <c r="T121" s="16" t="s">
        <v>342</v>
      </c>
      <c r="U121" s="15" t="s">
        <v>343</v>
      </c>
      <c r="V121" s="15" t="s">
        <v>345</v>
      </c>
      <c r="W121" s="17" t="s">
        <v>291</v>
      </c>
      <c r="Z121" t="s">
        <v>43</v>
      </c>
      <c r="AA121" t="s">
        <v>962</v>
      </c>
      <c r="AB121" s="16" t="s">
        <v>272</v>
      </c>
      <c r="AC121" s="16">
        <v>3</v>
      </c>
      <c r="AD121" t="s">
        <v>1524</v>
      </c>
      <c r="AE121" t="s">
        <v>1537</v>
      </c>
      <c r="AF121" t="s">
        <v>1566</v>
      </c>
      <c r="AG121" t="s">
        <v>1572</v>
      </c>
    </row>
    <row r="122" spans="1:33" x14ac:dyDescent="0.3">
      <c r="A122" t="s">
        <v>43</v>
      </c>
      <c r="B122" t="s">
        <v>58</v>
      </c>
      <c r="C122" t="s">
        <v>14</v>
      </c>
      <c r="D122" t="s">
        <v>12</v>
      </c>
      <c r="E122" t="s">
        <v>963</v>
      </c>
      <c r="F122" t="b">
        <v>1</v>
      </c>
      <c r="G122">
        <v>79.900000000000006</v>
      </c>
      <c r="H122">
        <v>0</v>
      </c>
      <c r="I122">
        <v>10669</v>
      </c>
      <c r="J122" s="61" t="s">
        <v>13</v>
      </c>
      <c r="K122" s="16" t="s">
        <v>272</v>
      </c>
      <c r="L122" s="16">
        <v>3</v>
      </c>
      <c r="M122" s="16" t="s">
        <v>277</v>
      </c>
      <c r="N122" s="16" t="s">
        <v>335</v>
      </c>
      <c r="O122" s="15" t="s">
        <v>282</v>
      </c>
      <c r="P122" t="s">
        <v>283</v>
      </c>
      <c r="Q122" t="s">
        <v>281</v>
      </c>
      <c r="R122" s="17" t="s">
        <v>371</v>
      </c>
      <c r="S122" s="16" t="s">
        <v>341</v>
      </c>
      <c r="T122" s="16" t="s">
        <v>342</v>
      </c>
      <c r="U122" s="15" t="s">
        <v>343</v>
      </c>
      <c r="V122" s="15" t="s">
        <v>345</v>
      </c>
      <c r="W122" s="17" t="s">
        <v>347</v>
      </c>
      <c r="Z122" t="s">
        <v>43</v>
      </c>
      <c r="AA122" t="s">
        <v>963</v>
      </c>
      <c r="AB122" s="16" t="s">
        <v>272</v>
      </c>
      <c r="AC122" s="16">
        <v>3</v>
      </c>
      <c r="AD122" t="s">
        <v>1524</v>
      </c>
      <c r="AE122" t="s">
        <v>1557</v>
      </c>
      <c r="AF122" t="s">
        <v>1566</v>
      </c>
      <c r="AG122" t="s">
        <v>1573</v>
      </c>
    </row>
    <row r="123" spans="1:33" x14ac:dyDescent="0.3">
      <c r="A123" t="s">
        <v>43</v>
      </c>
      <c r="B123" t="s">
        <v>58</v>
      </c>
      <c r="C123" t="s">
        <v>11</v>
      </c>
      <c r="D123" t="s">
        <v>12</v>
      </c>
      <c r="E123" t="s">
        <v>964</v>
      </c>
      <c r="F123" t="b">
        <v>1</v>
      </c>
      <c r="G123">
        <v>100</v>
      </c>
      <c r="H123">
        <v>1</v>
      </c>
      <c r="I123">
        <v>9746</v>
      </c>
      <c r="J123" s="61" t="s">
        <v>13</v>
      </c>
      <c r="K123" s="16" t="s">
        <v>272</v>
      </c>
      <c r="L123" s="16">
        <v>3</v>
      </c>
      <c r="M123" s="16" t="s">
        <v>277</v>
      </c>
      <c r="N123" s="16" t="s">
        <v>335</v>
      </c>
      <c r="O123" s="15" t="s">
        <v>282</v>
      </c>
      <c r="P123" t="s">
        <v>283</v>
      </c>
      <c r="Q123" t="s">
        <v>281</v>
      </c>
      <c r="R123" s="17" t="s">
        <v>371</v>
      </c>
      <c r="S123" s="16" t="s">
        <v>341</v>
      </c>
      <c r="T123" s="16" t="s">
        <v>342</v>
      </c>
      <c r="U123" s="15" t="s">
        <v>343</v>
      </c>
      <c r="V123" s="15" t="s">
        <v>344</v>
      </c>
      <c r="W123" s="17" t="s">
        <v>371</v>
      </c>
      <c r="Z123" t="s">
        <v>43</v>
      </c>
      <c r="AA123" t="s">
        <v>964</v>
      </c>
      <c r="AB123" s="16" t="s">
        <v>272</v>
      </c>
      <c r="AC123" s="16">
        <v>3</v>
      </c>
      <c r="AD123" t="s">
        <v>1524</v>
      </c>
      <c r="AE123" t="s">
        <v>1557</v>
      </c>
      <c r="AF123" t="s">
        <v>1566</v>
      </c>
      <c r="AG123" t="s">
        <v>344</v>
      </c>
    </row>
    <row r="124" spans="1:33" x14ac:dyDescent="0.3">
      <c r="A124" t="s">
        <v>43</v>
      </c>
      <c r="B124" t="s">
        <v>58</v>
      </c>
      <c r="C124" t="s">
        <v>16</v>
      </c>
      <c r="D124" t="s">
        <v>12</v>
      </c>
      <c r="E124" t="s">
        <v>965</v>
      </c>
      <c r="F124" t="b">
        <v>1</v>
      </c>
      <c r="G124">
        <v>100</v>
      </c>
      <c r="H124">
        <v>1</v>
      </c>
      <c r="I124">
        <v>8981</v>
      </c>
      <c r="J124" s="61" t="s">
        <v>18</v>
      </c>
      <c r="K124" s="16" t="s">
        <v>272</v>
      </c>
      <c r="L124" s="16">
        <v>3</v>
      </c>
      <c r="M124" s="16" t="s">
        <v>277</v>
      </c>
      <c r="N124" s="16" t="s">
        <v>335</v>
      </c>
      <c r="O124" s="15" t="s">
        <v>281</v>
      </c>
      <c r="P124" t="s">
        <v>283</v>
      </c>
      <c r="Q124" t="s">
        <v>282</v>
      </c>
      <c r="R124" s="17" t="s">
        <v>371</v>
      </c>
      <c r="S124" s="16" t="s">
        <v>341</v>
      </c>
      <c r="T124" s="16" t="s">
        <v>342</v>
      </c>
      <c r="U124" s="15" t="s">
        <v>343</v>
      </c>
      <c r="V124" s="15" t="s">
        <v>345</v>
      </c>
      <c r="W124" s="17" t="s">
        <v>371</v>
      </c>
      <c r="Z124" t="s">
        <v>43</v>
      </c>
      <c r="AA124" t="s">
        <v>965</v>
      </c>
      <c r="AB124" s="16" t="s">
        <v>272</v>
      </c>
      <c r="AC124" s="16">
        <v>3</v>
      </c>
      <c r="AD124" t="s">
        <v>1524</v>
      </c>
      <c r="AE124" t="s">
        <v>1557</v>
      </c>
      <c r="AF124" t="s">
        <v>1566</v>
      </c>
      <c r="AG124" t="s">
        <v>345</v>
      </c>
    </row>
    <row r="125" spans="1:33" x14ac:dyDescent="0.3">
      <c r="A125" t="s">
        <v>45</v>
      </c>
      <c r="B125" t="s">
        <v>61</v>
      </c>
      <c r="C125" t="s">
        <v>15</v>
      </c>
      <c r="D125" t="s">
        <v>12</v>
      </c>
      <c r="E125" t="s">
        <v>968</v>
      </c>
      <c r="F125" t="b">
        <v>1</v>
      </c>
      <c r="G125">
        <v>100</v>
      </c>
      <c r="H125">
        <v>1</v>
      </c>
      <c r="I125">
        <v>19310</v>
      </c>
      <c r="J125" s="61" t="s">
        <v>18</v>
      </c>
      <c r="K125" s="16" t="s">
        <v>272</v>
      </c>
      <c r="L125" s="16">
        <v>3</v>
      </c>
      <c r="M125" s="16" t="s">
        <v>277</v>
      </c>
      <c r="N125" s="16" t="s">
        <v>335</v>
      </c>
      <c r="O125" s="15" t="s">
        <v>284</v>
      </c>
      <c r="P125" t="s">
        <v>283</v>
      </c>
      <c r="Q125" t="s">
        <v>371</v>
      </c>
      <c r="R125" s="17" t="s">
        <v>371</v>
      </c>
      <c r="S125" s="16" t="s">
        <v>341</v>
      </c>
      <c r="T125" s="16" t="s">
        <v>340</v>
      </c>
      <c r="U125" s="15" t="s">
        <v>343</v>
      </c>
      <c r="V125" s="15" t="s">
        <v>344</v>
      </c>
      <c r="W125" s="17" t="s">
        <v>371</v>
      </c>
      <c r="Z125" t="s">
        <v>45</v>
      </c>
      <c r="AA125" t="s">
        <v>968</v>
      </c>
      <c r="AB125" s="16" t="s">
        <v>272</v>
      </c>
      <c r="AC125" s="16">
        <v>3</v>
      </c>
      <c r="AD125" t="s">
        <v>1524</v>
      </c>
      <c r="AE125" t="s">
        <v>1542</v>
      </c>
      <c r="AF125" t="s">
        <v>1567</v>
      </c>
      <c r="AG125" t="s">
        <v>344</v>
      </c>
    </row>
    <row r="126" spans="1:33" x14ac:dyDescent="0.3">
      <c r="A126" t="s">
        <v>45</v>
      </c>
      <c r="B126" t="s">
        <v>61</v>
      </c>
      <c r="C126" t="s">
        <v>14</v>
      </c>
      <c r="D126" t="s">
        <v>12</v>
      </c>
      <c r="E126" t="s">
        <v>969</v>
      </c>
      <c r="F126" t="b">
        <v>1</v>
      </c>
      <c r="G126">
        <v>99.9</v>
      </c>
      <c r="H126">
        <v>0</v>
      </c>
      <c r="I126">
        <v>7128</v>
      </c>
      <c r="J126" s="61" t="s">
        <v>18</v>
      </c>
      <c r="K126" s="16" t="s">
        <v>272</v>
      </c>
      <c r="L126" s="16">
        <v>2</v>
      </c>
      <c r="M126" s="16" t="s">
        <v>333</v>
      </c>
      <c r="N126" s="16" t="s">
        <v>278</v>
      </c>
      <c r="O126" s="15" t="s">
        <v>284</v>
      </c>
      <c r="P126" t="s">
        <v>371</v>
      </c>
      <c r="Q126" t="s">
        <v>371</v>
      </c>
      <c r="R126" s="17" t="s">
        <v>371</v>
      </c>
      <c r="S126" s="16" t="s">
        <v>341</v>
      </c>
      <c r="T126" s="16" t="s">
        <v>340</v>
      </c>
      <c r="U126" s="15" t="s">
        <v>343</v>
      </c>
      <c r="V126" s="15" t="s">
        <v>344</v>
      </c>
      <c r="W126" s="17" t="s">
        <v>371</v>
      </c>
      <c r="Z126" t="s">
        <v>45</v>
      </c>
      <c r="AA126" t="s">
        <v>969</v>
      </c>
      <c r="AB126" s="16" t="s">
        <v>272</v>
      </c>
      <c r="AC126" s="16">
        <v>2</v>
      </c>
      <c r="AD126" t="s">
        <v>1525</v>
      </c>
      <c r="AE126" t="s">
        <v>284</v>
      </c>
      <c r="AF126" t="s">
        <v>1567</v>
      </c>
      <c r="AG126" t="s">
        <v>344</v>
      </c>
    </row>
    <row r="127" spans="1:33" x14ac:dyDescent="0.3">
      <c r="A127" t="s">
        <v>45</v>
      </c>
      <c r="B127" t="s">
        <v>61</v>
      </c>
      <c r="C127" t="s">
        <v>11</v>
      </c>
      <c r="D127" t="s">
        <v>12</v>
      </c>
      <c r="E127" t="s">
        <v>970</v>
      </c>
      <c r="F127" t="b">
        <v>1</v>
      </c>
      <c r="G127">
        <v>100</v>
      </c>
      <c r="H127">
        <v>1</v>
      </c>
      <c r="I127">
        <v>3954</v>
      </c>
      <c r="J127" s="61" t="s">
        <v>18</v>
      </c>
      <c r="K127" s="16" t="s">
        <v>272</v>
      </c>
      <c r="L127" s="16">
        <v>2</v>
      </c>
      <c r="M127" s="16" t="s">
        <v>333</v>
      </c>
      <c r="N127" s="16" t="s">
        <v>278</v>
      </c>
      <c r="O127" s="15" t="s">
        <v>284</v>
      </c>
      <c r="P127" t="s">
        <v>371</v>
      </c>
      <c r="Q127" t="s">
        <v>371</v>
      </c>
      <c r="R127" s="17" t="s">
        <v>371</v>
      </c>
      <c r="S127" s="16" t="s">
        <v>340</v>
      </c>
      <c r="T127" s="16" t="s">
        <v>340</v>
      </c>
      <c r="U127" s="15" t="s">
        <v>343</v>
      </c>
      <c r="V127" s="15" t="s">
        <v>291</v>
      </c>
      <c r="W127" s="17" t="s">
        <v>371</v>
      </c>
      <c r="Z127" t="s">
        <v>45</v>
      </c>
      <c r="AA127" t="s">
        <v>970</v>
      </c>
      <c r="AB127" s="16" t="s">
        <v>272</v>
      </c>
      <c r="AC127" s="16">
        <v>2</v>
      </c>
      <c r="AD127" t="s">
        <v>1525</v>
      </c>
      <c r="AE127" t="s">
        <v>284</v>
      </c>
      <c r="AF127" t="s">
        <v>343</v>
      </c>
      <c r="AG127" t="s">
        <v>291</v>
      </c>
    </row>
    <row r="128" spans="1:33" x14ac:dyDescent="0.3">
      <c r="A128" t="s">
        <v>45</v>
      </c>
      <c r="B128" t="s">
        <v>66</v>
      </c>
      <c r="C128" t="s">
        <v>15</v>
      </c>
      <c r="D128" t="s">
        <v>12</v>
      </c>
      <c r="E128" t="s">
        <v>972</v>
      </c>
      <c r="F128" t="b">
        <v>1</v>
      </c>
      <c r="G128">
        <v>100</v>
      </c>
      <c r="H128">
        <v>1</v>
      </c>
      <c r="I128">
        <v>14819</v>
      </c>
      <c r="J128" s="61" t="s">
        <v>18</v>
      </c>
      <c r="K128" s="16" t="s">
        <v>272</v>
      </c>
      <c r="L128" s="16">
        <v>3</v>
      </c>
      <c r="M128" s="16" t="s">
        <v>277</v>
      </c>
      <c r="N128" s="16" t="s">
        <v>335</v>
      </c>
      <c r="O128" s="15" t="s">
        <v>281</v>
      </c>
      <c r="P128" t="s">
        <v>282</v>
      </c>
      <c r="Q128" t="s">
        <v>371</v>
      </c>
      <c r="R128" s="17" t="s">
        <v>371</v>
      </c>
      <c r="S128" s="16" t="s">
        <v>341</v>
      </c>
      <c r="T128" s="16" t="s">
        <v>340</v>
      </c>
      <c r="U128" s="15" t="s">
        <v>343</v>
      </c>
      <c r="V128" s="15" t="s">
        <v>344</v>
      </c>
      <c r="W128" s="17" t="s">
        <v>371</v>
      </c>
      <c r="Z128" t="s">
        <v>45</v>
      </c>
      <c r="AA128" t="s">
        <v>972</v>
      </c>
      <c r="AB128" s="16" t="s">
        <v>272</v>
      </c>
      <c r="AC128" s="16">
        <v>3</v>
      </c>
      <c r="AD128" t="s">
        <v>1524</v>
      </c>
      <c r="AE128" t="s">
        <v>1537</v>
      </c>
      <c r="AF128" t="s">
        <v>1567</v>
      </c>
      <c r="AG128" t="s">
        <v>344</v>
      </c>
    </row>
    <row r="129" spans="1:33" x14ac:dyDescent="0.3">
      <c r="A129" t="s">
        <v>45</v>
      </c>
      <c r="B129" t="s">
        <v>66</v>
      </c>
      <c r="C129" t="s">
        <v>14</v>
      </c>
      <c r="D129" t="s">
        <v>12</v>
      </c>
      <c r="E129" t="s">
        <v>973</v>
      </c>
      <c r="F129" t="b">
        <v>1</v>
      </c>
      <c r="G129">
        <v>65.099999999999994</v>
      </c>
      <c r="H129">
        <v>0</v>
      </c>
      <c r="I129">
        <v>16990</v>
      </c>
      <c r="J129" s="61" t="s">
        <v>13</v>
      </c>
      <c r="K129" s="16" t="s">
        <v>272</v>
      </c>
      <c r="L129" s="16">
        <v>3</v>
      </c>
      <c r="M129" s="16" t="s">
        <v>277</v>
      </c>
      <c r="N129" s="16" t="s">
        <v>335</v>
      </c>
      <c r="O129" s="15" t="s">
        <v>281</v>
      </c>
      <c r="P129" t="s">
        <v>282</v>
      </c>
      <c r="Q129" t="s">
        <v>371</v>
      </c>
      <c r="R129" s="17" t="s">
        <v>371</v>
      </c>
      <c r="S129" s="16" t="s">
        <v>341</v>
      </c>
      <c r="T129" s="16" t="s">
        <v>340</v>
      </c>
      <c r="U129" s="15" t="s">
        <v>343</v>
      </c>
      <c r="V129" s="15" t="s">
        <v>344</v>
      </c>
      <c r="W129" s="17" t="s">
        <v>371</v>
      </c>
      <c r="Z129" t="s">
        <v>45</v>
      </c>
      <c r="AA129" t="s">
        <v>973</v>
      </c>
      <c r="AB129" s="16" t="s">
        <v>272</v>
      </c>
      <c r="AC129" s="16">
        <v>3</v>
      </c>
      <c r="AD129" t="s">
        <v>1524</v>
      </c>
      <c r="AE129" t="s">
        <v>1537</v>
      </c>
      <c r="AF129" t="s">
        <v>1567</v>
      </c>
      <c r="AG129" t="s">
        <v>344</v>
      </c>
    </row>
    <row r="130" spans="1:33" x14ac:dyDescent="0.3">
      <c r="A130" t="s">
        <v>45</v>
      </c>
      <c r="B130" t="s">
        <v>66</v>
      </c>
      <c r="C130" t="s">
        <v>11</v>
      </c>
      <c r="D130" t="s">
        <v>12</v>
      </c>
      <c r="E130" t="s">
        <v>974</v>
      </c>
      <c r="F130" t="b">
        <v>1</v>
      </c>
      <c r="G130">
        <v>100</v>
      </c>
      <c r="H130">
        <v>1</v>
      </c>
      <c r="I130">
        <v>11318</v>
      </c>
      <c r="J130" s="61" t="s">
        <v>18</v>
      </c>
      <c r="K130" s="16" t="s">
        <v>272</v>
      </c>
      <c r="L130" s="16">
        <v>3</v>
      </c>
      <c r="M130" s="16" t="s">
        <v>277</v>
      </c>
      <c r="N130" s="16" t="s">
        <v>335</v>
      </c>
      <c r="O130" s="15" t="s">
        <v>282</v>
      </c>
      <c r="P130" t="s">
        <v>371</v>
      </c>
      <c r="Q130" t="s">
        <v>371</v>
      </c>
      <c r="R130" s="17" t="s">
        <v>371</v>
      </c>
      <c r="S130" s="16" t="s">
        <v>340</v>
      </c>
      <c r="T130" s="16" t="s">
        <v>340</v>
      </c>
      <c r="U130" s="15" t="s">
        <v>343</v>
      </c>
      <c r="V130" s="15" t="s">
        <v>291</v>
      </c>
      <c r="W130" s="17" t="s">
        <v>371</v>
      </c>
      <c r="Z130" t="s">
        <v>45</v>
      </c>
      <c r="AA130" t="s">
        <v>974</v>
      </c>
      <c r="AB130" s="16" t="s">
        <v>272</v>
      </c>
      <c r="AC130" s="16">
        <v>3</v>
      </c>
      <c r="AD130" t="s">
        <v>1524</v>
      </c>
      <c r="AE130" t="s">
        <v>282</v>
      </c>
      <c r="AF130" t="s">
        <v>343</v>
      </c>
      <c r="AG130" t="s">
        <v>291</v>
      </c>
    </row>
    <row r="131" spans="1:33" x14ac:dyDescent="0.3">
      <c r="A131" t="s">
        <v>45</v>
      </c>
      <c r="B131" t="s">
        <v>66</v>
      </c>
      <c r="C131" t="s">
        <v>19</v>
      </c>
      <c r="D131" t="s">
        <v>12</v>
      </c>
      <c r="E131" t="s">
        <v>975</v>
      </c>
      <c r="F131" t="b">
        <v>1</v>
      </c>
      <c r="G131">
        <v>73.099999999999994</v>
      </c>
      <c r="H131">
        <v>0</v>
      </c>
      <c r="I131">
        <v>12000</v>
      </c>
      <c r="J131" s="61" t="s">
        <v>13</v>
      </c>
      <c r="K131" s="16" t="s">
        <v>272</v>
      </c>
      <c r="L131" s="16">
        <v>3</v>
      </c>
      <c r="M131" s="16" t="s">
        <v>277</v>
      </c>
      <c r="N131" s="16" t="s">
        <v>335</v>
      </c>
      <c r="O131" s="15" t="s">
        <v>281</v>
      </c>
      <c r="P131" t="s">
        <v>282</v>
      </c>
      <c r="Q131" t="s">
        <v>371</v>
      </c>
      <c r="R131" s="17" t="s">
        <v>371</v>
      </c>
      <c r="S131" s="16" t="s">
        <v>341</v>
      </c>
      <c r="T131" s="16" t="s">
        <v>340</v>
      </c>
      <c r="U131" s="15" t="s">
        <v>343</v>
      </c>
      <c r="V131" s="15" t="s">
        <v>344</v>
      </c>
      <c r="W131" s="17" t="s">
        <v>371</v>
      </c>
      <c r="Z131" t="s">
        <v>45</v>
      </c>
      <c r="AA131" t="s">
        <v>975</v>
      </c>
      <c r="AB131" s="16" t="s">
        <v>272</v>
      </c>
      <c r="AC131" s="16">
        <v>3</v>
      </c>
      <c r="AD131" t="s">
        <v>1524</v>
      </c>
      <c r="AE131" t="s">
        <v>1537</v>
      </c>
      <c r="AF131" t="s">
        <v>1567</v>
      </c>
      <c r="AG131" t="s">
        <v>344</v>
      </c>
    </row>
    <row r="132" spans="1:33" x14ac:dyDescent="0.3">
      <c r="A132" t="s">
        <v>45</v>
      </c>
      <c r="B132" t="s">
        <v>66</v>
      </c>
      <c r="C132" t="s">
        <v>17</v>
      </c>
      <c r="D132" t="s">
        <v>12</v>
      </c>
      <c r="E132" t="s">
        <v>976</v>
      </c>
      <c r="F132" t="b">
        <v>1</v>
      </c>
      <c r="G132">
        <v>61.2</v>
      </c>
      <c r="H132">
        <v>0</v>
      </c>
      <c r="I132">
        <v>13386</v>
      </c>
      <c r="J132" s="61" t="s">
        <v>13</v>
      </c>
      <c r="K132" s="16" t="s">
        <v>272</v>
      </c>
      <c r="L132" s="16">
        <v>3</v>
      </c>
      <c r="M132" s="16" t="s">
        <v>277</v>
      </c>
      <c r="N132" s="16" t="s">
        <v>335</v>
      </c>
      <c r="O132" s="15" t="s">
        <v>281</v>
      </c>
      <c r="P132" t="s">
        <v>282</v>
      </c>
      <c r="Q132" t="s">
        <v>371</v>
      </c>
      <c r="R132" s="17" t="s">
        <v>371</v>
      </c>
      <c r="S132" s="16" t="s">
        <v>341</v>
      </c>
      <c r="T132" s="16" t="s">
        <v>340</v>
      </c>
      <c r="U132" s="15" t="s">
        <v>343</v>
      </c>
      <c r="V132" s="15" t="s">
        <v>344</v>
      </c>
      <c r="W132" s="17" t="s">
        <v>371</v>
      </c>
      <c r="Z132" t="s">
        <v>45</v>
      </c>
      <c r="AA132" t="s">
        <v>976</v>
      </c>
      <c r="AB132" s="16" t="s">
        <v>272</v>
      </c>
      <c r="AC132" s="16">
        <v>3</v>
      </c>
      <c r="AD132" t="s">
        <v>1524</v>
      </c>
      <c r="AE132" t="s">
        <v>1537</v>
      </c>
      <c r="AF132" t="s">
        <v>1567</v>
      </c>
      <c r="AG132" t="s">
        <v>344</v>
      </c>
    </row>
    <row r="133" spans="1:33" x14ac:dyDescent="0.3">
      <c r="A133" t="s">
        <v>45</v>
      </c>
      <c r="B133" t="s">
        <v>66</v>
      </c>
      <c r="C133" t="s">
        <v>16</v>
      </c>
      <c r="D133" t="s">
        <v>12</v>
      </c>
      <c r="E133" t="s">
        <v>977</v>
      </c>
      <c r="F133" t="b">
        <v>1</v>
      </c>
      <c r="G133">
        <v>53.4</v>
      </c>
      <c r="H133">
        <v>0</v>
      </c>
      <c r="I133">
        <v>15116</v>
      </c>
      <c r="J133" s="61" t="s">
        <v>13</v>
      </c>
      <c r="K133" s="16" t="s">
        <v>272</v>
      </c>
      <c r="L133" s="16">
        <v>3</v>
      </c>
      <c r="M133" s="16" t="s">
        <v>277</v>
      </c>
      <c r="N133" s="16" t="s">
        <v>335</v>
      </c>
      <c r="O133" s="15" t="s">
        <v>281</v>
      </c>
      <c r="P133" t="s">
        <v>282</v>
      </c>
      <c r="Q133" t="s">
        <v>371</v>
      </c>
      <c r="R133" s="17" t="s">
        <v>371</v>
      </c>
      <c r="S133" s="16" t="s">
        <v>341</v>
      </c>
      <c r="T133" s="16" t="s">
        <v>340</v>
      </c>
      <c r="U133" s="15" t="s">
        <v>343</v>
      </c>
      <c r="V133" s="15" t="s">
        <v>344</v>
      </c>
      <c r="W133" s="17" t="s">
        <v>371</v>
      </c>
      <c r="Z133" t="s">
        <v>45</v>
      </c>
      <c r="AA133" t="s">
        <v>977</v>
      </c>
      <c r="AB133" s="16" t="s">
        <v>272</v>
      </c>
      <c r="AC133" s="16">
        <v>3</v>
      </c>
      <c r="AD133" t="s">
        <v>1524</v>
      </c>
      <c r="AE133" t="s">
        <v>1537</v>
      </c>
      <c r="AF133" t="s">
        <v>1567</v>
      </c>
      <c r="AG133" t="s">
        <v>344</v>
      </c>
    </row>
    <row r="134" spans="1:33" x14ac:dyDescent="0.3">
      <c r="A134" t="s">
        <v>9</v>
      </c>
      <c r="B134" t="s">
        <v>55</v>
      </c>
      <c r="C134" t="s">
        <v>15</v>
      </c>
      <c r="D134" t="s">
        <v>12</v>
      </c>
      <c r="E134" t="s">
        <v>986</v>
      </c>
      <c r="F134" t="b">
        <v>1</v>
      </c>
      <c r="G134">
        <v>99</v>
      </c>
      <c r="H134">
        <v>0</v>
      </c>
      <c r="I134">
        <v>12195</v>
      </c>
      <c r="J134" s="61" t="s">
        <v>13</v>
      </c>
      <c r="K134" s="16" t="s">
        <v>272</v>
      </c>
      <c r="L134" s="16">
        <v>3</v>
      </c>
      <c r="M134" s="16" t="s">
        <v>277</v>
      </c>
      <c r="N134" s="16" t="s">
        <v>335</v>
      </c>
      <c r="O134" s="15" t="s">
        <v>281</v>
      </c>
      <c r="P134" t="s">
        <v>339</v>
      </c>
      <c r="Q134" t="s">
        <v>283</v>
      </c>
      <c r="R134" s="17" t="s">
        <v>282</v>
      </c>
      <c r="S134" s="16" t="s">
        <v>341</v>
      </c>
      <c r="T134" s="16" t="s">
        <v>340</v>
      </c>
      <c r="U134" s="15" t="s">
        <v>343</v>
      </c>
      <c r="V134" s="15" t="s">
        <v>347</v>
      </c>
      <c r="W134" s="17" t="s">
        <v>371</v>
      </c>
      <c r="Z134" t="s">
        <v>9</v>
      </c>
      <c r="AA134" t="s">
        <v>986</v>
      </c>
      <c r="AB134" s="16" t="s">
        <v>272</v>
      </c>
      <c r="AC134" s="16">
        <v>3</v>
      </c>
      <c r="AD134" t="s">
        <v>1524</v>
      </c>
      <c r="AE134" t="s">
        <v>1626</v>
      </c>
      <c r="AF134" t="s">
        <v>1567</v>
      </c>
      <c r="AG134" t="s">
        <v>347</v>
      </c>
    </row>
    <row r="135" spans="1:33" x14ac:dyDescent="0.3">
      <c r="A135" t="s">
        <v>9</v>
      </c>
      <c r="B135" t="s">
        <v>55</v>
      </c>
      <c r="C135" t="s">
        <v>14</v>
      </c>
      <c r="D135" t="s">
        <v>12</v>
      </c>
      <c r="E135" t="s">
        <v>987</v>
      </c>
      <c r="F135" t="b">
        <v>1</v>
      </c>
      <c r="G135">
        <v>100</v>
      </c>
      <c r="H135">
        <v>1</v>
      </c>
      <c r="I135">
        <v>11712</v>
      </c>
      <c r="J135" s="61" t="s">
        <v>18</v>
      </c>
      <c r="K135" s="16" t="s">
        <v>272</v>
      </c>
      <c r="L135" s="16">
        <v>3</v>
      </c>
      <c r="M135" s="16" t="s">
        <v>277</v>
      </c>
      <c r="N135" s="16" t="s">
        <v>335</v>
      </c>
      <c r="O135" s="15" t="s">
        <v>281</v>
      </c>
      <c r="P135" t="s">
        <v>339</v>
      </c>
      <c r="Q135" t="s">
        <v>283</v>
      </c>
      <c r="R135" s="17" t="s">
        <v>282</v>
      </c>
      <c r="S135" s="16" t="s">
        <v>341</v>
      </c>
      <c r="T135" s="16" t="s">
        <v>340</v>
      </c>
      <c r="U135" s="15" t="s">
        <v>343</v>
      </c>
      <c r="V135" s="15" t="s">
        <v>347</v>
      </c>
      <c r="W135" s="17" t="s">
        <v>371</v>
      </c>
      <c r="Z135" t="s">
        <v>9</v>
      </c>
      <c r="AA135" t="s">
        <v>987</v>
      </c>
      <c r="AB135" s="16" t="s">
        <v>272</v>
      </c>
      <c r="AC135" s="16">
        <v>3</v>
      </c>
      <c r="AD135" t="s">
        <v>1524</v>
      </c>
      <c r="AE135" t="s">
        <v>1626</v>
      </c>
      <c r="AF135" t="s">
        <v>1567</v>
      </c>
      <c r="AG135" t="s">
        <v>347</v>
      </c>
    </row>
    <row r="136" spans="1:33" x14ac:dyDescent="0.3">
      <c r="A136" t="s">
        <v>9</v>
      </c>
      <c r="B136" t="s">
        <v>55</v>
      </c>
      <c r="C136" t="s">
        <v>11</v>
      </c>
      <c r="D136" t="s">
        <v>12</v>
      </c>
      <c r="E136" t="s">
        <v>988</v>
      </c>
      <c r="F136" t="b">
        <v>1</v>
      </c>
      <c r="G136">
        <v>100</v>
      </c>
      <c r="H136">
        <v>1</v>
      </c>
      <c r="I136">
        <v>10938</v>
      </c>
      <c r="J136" s="61" t="s">
        <v>18</v>
      </c>
      <c r="K136" s="16" t="s">
        <v>272</v>
      </c>
      <c r="L136" s="16">
        <v>3</v>
      </c>
      <c r="M136" s="16" t="s">
        <v>277</v>
      </c>
      <c r="N136" s="16" t="s">
        <v>335</v>
      </c>
      <c r="O136" s="15" t="s">
        <v>281</v>
      </c>
      <c r="P136" t="s">
        <v>284</v>
      </c>
      <c r="Q136" t="s">
        <v>283</v>
      </c>
      <c r="R136" s="17" t="s">
        <v>282</v>
      </c>
      <c r="S136" s="16" t="s">
        <v>341</v>
      </c>
      <c r="T136" s="16" t="s">
        <v>340</v>
      </c>
      <c r="U136" s="15" t="s">
        <v>343</v>
      </c>
      <c r="V136" s="15" t="s">
        <v>347</v>
      </c>
      <c r="W136" s="17" t="s">
        <v>371</v>
      </c>
      <c r="Z136" t="s">
        <v>9</v>
      </c>
      <c r="AA136" t="s">
        <v>988</v>
      </c>
      <c r="AB136" s="16" t="s">
        <v>272</v>
      </c>
      <c r="AC136" s="16">
        <v>3</v>
      </c>
      <c r="AD136" t="s">
        <v>1524</v>
      </c>
      <c r="AE136" t="s">
        <v>1533</v>
      </c>
      <c r="AF136" t="s">
        <v>1567</v>
      </c>
      <c r="AG136" t="s">
        <v>347</v>
      </c>
    </row>
    <row r="137" spans="1:33" x14ac:dyDescent="0.3">
      <c r="A137" t="s">
        <v>43</v>
      </c>
      <c r="B137" t="s">
        <v>54</v>
      </c>
      <c r="C137" t="s">
        <v>15</v>
      </c>
      <c r="D137" t="s">
        <v>12</v>
      </c>
      <c r="E137" t="s">
        <v>992</v>
      </c>
      <c r="F137" t="b">
        <v>1</v>
      </c>
      <c r="G137">
        <v>85.9</v>
      </c>
      <c r="H137">
        <v>0</v>
      </c>
      <c r="I137">
        <v>9624</v>
      </c>
      <c r="J137" s="61" t="s">
        <v>13</v>
      </c>
      <c r="K137" s="16" t="s">
        <v>272</v>
      </c>
      <c r="L137" s="16">
        <v>3</v>
      </c>
      <c r="M137" s="16" t="s">
        <v>277</v>
      </c>
      <c r="N137" s="16" t="s">
        <v>335</v>
      </c>
      <c r="O137" s="15" t="s">
        <v>281</v>
      </c>
      <c r="P137" t="s">
        <v>285</v>
      </c>
      <c r="Q137" t="s">
        <v>282</v>
      </c>
      <c r="R137" s="17" t="s">
        <v>371</v>
      </c>
      <c r="S137" s="16" t="s">
        <v>341</v>
      </c>
      <c r="T137" s="16" t="s">
        <v>340</v>
      </c>
      <c r="U137" s="15" t="s">
        <v>343</v>
      </c>
      <c r="V137" s="15" t="s">
        <v>344</v>
      </c>
      <c r="W137" s="17" t="s">
        <v>345</v>
      </c>
      <c r="Z137" t="s">
        <v>43</v>
      </c>
      <c r="AA137" t="s">
        <v>992</v>
      </c>
      <c r="AB137" s="16" t="s">
        <v>272</v>
      </c>
      <c r="AC137" s="16">
        <v>3</v>
      </c>
      <c r="AD137" t="s">
        <v>1524</v>
      </c>
      <c r="AE137" t="s">
        <v>1562</v>
      </c>
      <c r="AF137" t="s">
        <v>1567</v>
      </c>
      <c r="AG137" t="s">
        <v>1574</v>
      </c>
    </row>
    <row r="138" spans="1:33" x14ac:dyDescent="0.3">
      <c r="A138" t="s">
        <v>43</v>
      </c>
      <c r="B138" t="s">
        <v>54</v>
      </c>
      <c r="C138" t="s">
        <v>14</v>
      </c>
      <c r="D138" t="s">
        <v>12</v>
      </c>
      <c r="E138" t="s">
        <v>993</v>
      </c>
      <c r="F138" t="b">
        <v>1</v>
      </c>
      <c r="G138">
        <v>83.8</v>
      </c>
      <c r="H138">
        <v>0</v>
      </c>
      <c r="I138">
        <v>9985</v>
      </c>
      <c r="J138" s="61" t="s">
        <v>13</v>
      </c>
      <c r="K138" s="16" t="s">
        <v>272</v>
      </c>
      <c r="L138" s="16">
        <v>3</v>
      </c>
      <c r="M138" s="16" t="s">
        <v>277</v>
      </c>
      <c r="N138" s="16" t="s">
        <v>335</v>
      </c>
      <c r="O138" s="15" t="s">
        <v>281</v>
      </c>
      <c r="P138" t="s">
        <v>285</v>
      </c>
      <c r="Q138" t="s">
        <v>282</v>
      </c>
      <c r="R138" s="17" t="s">
        <v>371</v>
      </c>
      <c r="S138" s="16" t="s">
        <v>341</v>
      </c>
      <c r="T138" s="16" t="s">
        <v>340</v>
      </c>
      <c r="U138" s="15" t="s">
        <v>343</v>
      </c>
      <c r="V138" s="15" t="s">
        <v>344</v>
      </c>
      <c r="W138" s="17" t="s">
        <v>345</v>
      </c>
      <c r="Z138" t="s">
        <v>43</v>
      </c>
      <c r="AA138" t="s">
        <v>993</v>
      </c>
      <c r="AB138" s="16" t="s">
        <v>272</v>
      </c>
      <c r="AC138" s="16">
        <v>3</v>
      </c>
      <c r="AD138" t="s">
        <v>1524</v>
      </c>
      <c r="AE138" t="s">
        <v>1562</v>
      </c>
      <c r="AF138" t="s">
        <v>1567</v>
      </c>
      <c r="AG138" t="s">
        <v>1574</v>
      </c>
    </row>
    <row r="139" spans="1:33" x14ac:dyDescent="0.3">
      <c r="A139" t="s">
        <v>43</v>
      </c>
      <c r="B139" t="s">
        <v>54</v>
      </c>
      <c r="C139" t="s">
        <v>11</v>
      </c>
      <c r="D139" t="s">
        <v>12</v>
      </c>
      <c r="E139" t="s">
        <v>994</v>
      </c>
      <c r="F139" t="b">
        <v>1</v>
      </c>
      <c r="G139">
        <v>78.2</v>
      </c>
      <c r="H139">
        <v>0</v>
      </c>
      <c r="I139">
        <v>11824</v>
      </c>
      <c r="J139" s="61" t="s">
        <v>13</v>
      </c>
      <c r="K139" s="16" t="s">
        <v>272</v>
      </c>
      <c r="L139" s="16">
        <v>3</v>
      </c>
      <c r="M139" s="16" t="s">
        <v>277</v>
      </c>
      <c r="N139" s="16" t="s">
        <v>335</v>
      </c>
      <c r="O139" s="15" t="s">
        <v>281</v>
      </c>
      <c r="P139" t="s">
        <v>285</v>
      </c>
      <c r="Q139" t="s">
        <v>282</v>
      </c>
      <c r="R139" s="17" t="s">
        <v>371</v>
      </c>
      <c r="S139" s="16" t="s">
        <v>341</v>
      </c>
      <c r="T139" s="16" t="s">
        <v>340</v>
      </c>
      <c r="U139" s="15" t="s">
        <v>343</v>
      </c>
      <c r="V139" s="15" t="s">
        <v>344</v>
      </c>
      <c r="W139" s="17" t="s">
        <v>345</v>
      </c>
      <c r="Z139" t="s">
        <v>43</v>
      </c>
      <c r="AA139" t="s">
        <v>994</v>
      </c>
      <c r="AB139" s="16" t="s">
        <v>272</v>
      </c>
      <c r="AC139" s="16">
        <v>3</v>
      </c>
      <c r="AD139" t="s">
        <v>1524</v>
      </c>
      <c r="AE139" t="s">
        <v>1562</v>
      </c>
      <c r="AF139" t="s">
        <v>1567</v>
      </c>
      <c r="AG139" t="s">
        <v>1574</v>
      </c>
    </row>
    <row r="140" spans="1:33" x14ac:dyDescent="0.3">
      <c r="A140" t="s">
        <v>43</v>
      </c>
      <c r="B140" t="s">
        <v>54</v>
      </c>
      <c r="C140" t="s">
        <v>19</v>
      </c>
      <c r="D140" t="s">
        <v>12</v>
      </c>
      <c r="E140" t="s">
        <v>995</v>
      </c>
      <c r="F140" t="b">
        <v>1</v>
      </c>
      <c r="G140">
        <v>99.7</v>
      </c>
      <c r="H140">
        <v>0</v>
      </c>
      <c r="I140">
        <v>8565</v>
      </c>
      <c r="J140" s="61" t="s">
        <v>13</v>
      </c>
      <c r="K140" s="16" t="s">
        <v>272</v>
      </c>
      <c r="L140" s="16">
        <v>3</v>
      </c>
      <c r="M140" s="16" t="s">
        <v>277</v>
      </c>
      <c r="N140" s="16" t="s">
        <v>335</v>
      </c>
      <c r="O140" s="15" t="s">
        <v>281</v>
      </c>
      <c r="P140" t="s">
        <v>285</v>
      </c>
      <c r="Q140" t="s">
        <v>282</v>
      </c>
      <c r="R140" s="17" t="s">
        <v>371</v>
      </c>
      <c r="S140" s="16" t="s">
        <v>341</v>
      </c>
      <c r="T140" s="16" t="s">
        <v>340</v>
      </c>
      <c r="U140" s="15" t="s">
        <v>343</v>
      </c>
      <c r="V140" s="15" t="s">
        <v>344</v>
      </c>
      <c r="W140" s="17" t="s">
        <v>345</v>
      </c>
      <c r="Z140" t="s">
        <v>43</v>
      </c>
      <c r="AA140" t="s">
        <v>995</v>
      </c>
      <c r="AB140" s="16" t="s">
        <v>272</v>
      </c>
      <c r="AC140" s="16">
        <v>3</v>
      </c>
      <c r="AD140" t="s">
        <v>1524</v>
      </c>
      <c r="AE140" t="s">
        <v>1562</v>
      </c>
      <c r="AF140" t="s">
        <v>1567</v>
      </c>
      <c r="AG140" t="s">
        <v>1574</v>
      </c>
    </row>
    <row r="141" spans="1:33" x14ac:dyDescent="0.3">
      <c r="A141" t="s">
        <v>43</v>
      </c>
      <c r="B141" t="s">
        <v>54</v>
      </c>
      <c r="C141" t="s">
        <v>17</v>
      </c>
      <c r="D141" t="s">
        <v>12</v>
      </c>
      <c r="E141" t="s">
        <v>996</v>
      </c>
      <c r="F141" t="b">
        <v>1</v>
      </c>
      <c r="G141">
        <v>91.4</v>
      </c>
      <c r="H141">
        <v>0</v>
      </c>
      <c r="I141">
        <v>8948</v>
      </c>
      <c r="J141" s="61" t="s">
        <v>13</v>
      </c>
      <c r="K141" s="16" t="s">
        <v>272</v>
      </c>
      <c r="L141" s="16">
        <v>3</v>
      </c>
      <c r="M141" s="16" t="s">
        <v>277</v>
      </c>
      <c r="N141" s="16" t="s">
        <v>335</v>
      </c>
      <c r="O141" s="15" t="s">
        <v>281</v>
      </c>
      <c r="P141" t="s">
        <v>285</v>
      </c>
      <c r="Q141" t="s">
        <v>282</v>
      </c>
      <c r="R141" s="17" t="s">
        <v>371</v>
      </c>
      <c r="S141" s="16" t="s">
        <v>341</v>
      </c>
      <c r="T141" s="16" t="s">
        <v>340</v>
      </c>
      <c r="U141" s="15" t="s">
        <v>343</v>
      </c>
      <c r="V141" s="15" t="s">
        <v>344</v>
      </c>
      <c r="W141" s="17" t="s">
        <v>345</v>
      </c>
      <c r="Z141" t="s">
        <v>43</v>
      </c>
      <c r="AA141" t="s">
        <v>996</v>
      </c>
      <c r="AB141" s="16" t="s">
        <v>272</v>
      </c>
      <c r="AC141" s="16">
        <v>3</v>
      </c>
      <c r="AD141" t="s">
        <v>1524</v>
      </c>
      <c r="AE141" t="s">
        <v>1562</v>
      </c>
      <c r="AF141" t="s">
        <v>1567</v>
      </c>
      <c r="AG141" t="s">
        <v>1574</v>
      </c>
    </row>
    <row r="142" spans="1:33" x14ac:dyDescent="0.3">
      <c r="A142" t="s">
        <v>43</v>
      </c>
      <c r="B142" t="s">
        <v>54</v>
      </c>
      <c r="C142" t="s">
        <v>16</v>
      </c>
      <c r="D142" t="s">
        <v>12</v>
      </c>
      <c r="E142" t="s">
        <v>997</v>
      </c>
      <c r="F142" t="b">
        <v>1</v>
      </c>
      <c r="G142">
        <v>88.6</v>
      </c>
      <c r="H142">
        <v>0</v>
      </c>
      <c r="I142">
        <v>9426</v>
      </c>
      <c r="J142" s="61" t="s">
        <v>13</v>
      </c>
      <c r="K142" s="16" t="s">
        <v>272</v>
      </c>
      <c r="L142" s="16">
        <v>3</v>
      </c>
      <c r="M142" s="16" t="s">
        <v>277</v>
      </c>
      <c r="N142" s="16" t="s">
        <v>335</v>
      </c>
      <c r="O142" s="15" t="s">
        <v>281</v>
      </c>
      <c r="P142" t="s">
        <v>285</v>
      </c>
      <c r="Q142" t="s">
        <v>282</v>
      </c>
      <c r="R142" s="17" t="s">
        <v>371</v>
      </c>
      <c r="S142" s="16" t="s">
        <v>341</v>
      </c>
      <c r="T142" s="16" t="s">
        <v>340</v>
      </c>
      <c r="U142" s="15" t="s">
        <v>343</v>
      </c>
      <c r="V142" s="15" t="s">
        <v>344</v>
      </c>
      <c r="W142" s="17" t="s">
        <v>345</v>
      </c>
      <c r="Z142" t="s">
        <v>43</v>
      </c>
      <c r="AA142" t="s">
        <v>997</v>
      </c>
      <c r="AB142" s="16" t="s">
        <v>272</v>
      </c>
      <c r="AC142" s="16">
        <v>3</v>
      </c>
      <c r="AD142" t="s">
        <v>1524</v>
      </c>
      <c r="AE142" t="s">
        <v>1562</v>
      </c>
      <c r="AF142" t="s">
        <v>1567</v>
      </c>
      <c r="AG142" t="s">
        <v>1574</v>
      </c>
    </row>
    <row r="143" spans="1:33" x14ac:dyDescent="0.3">
      <c r="A143" s="38" t="s">
        <v>9</v>
      </c>
      <c r="B143" s="38" t="s">
        <v>52</v>
      </c>
      <c r="C143" s="38" t="s">
        <v>15</v>
      </c>
      <c r="D143" s="38" t="s">
        <v>12</v>
      </c>
      <c r="E143" s="38" t="s">
        <v>1011</v>
      </c>
      <c r="F143" s="38" t="b">
        <v>1</v>
      </c>
      <c r="G143" s="38">
        <v>99.9</v>
      </c>
      <c r="H143" s="38">
        <v>0</v>
      </c>
      <c r="I143" s="38">
        <v>5056</v>
      </c>
      <c r="J143" s="61" t="s">
        <v>18</v>
      </c>
      <c r="K143" s="39" t="s">
        <v>272</v>
      </c>
      <c r="L143" s="39">
        <v>2</v>
      </c>
      <c r="M143" s="39" t="s">
        <v>333</v>
      </c>
      <c r="N143" s="39" t="s">
        <v>278</v>
      </c>
      <c r="O143" s="40" t="s">
        <v>339</v>
      </c>
      <c r="P143" s="38" t="s">
        <v>371</v>
      </c>
      <c r="Q143" s="38" t="s">
        <v>371</v>
      </c>
      <c r="R143" s="41" t="s">
        <v>371</v>
      </c>
      <c r="S143" s="39" t="s">
        <v>341</v>
      </c>
      <c r="T143" s="39" t="s">
        <v>340</v>
      </c>
      <c r="U143" s="40" t="s">
        <v>343</v>
      </c>
      <c r="V143" s="40" t="s">
        <v>345</v>
      </c>
      <c r="W143" s="41" t="s">
        <v>371</v>
      </c>
      <c r="X143" s="38"/>
      <c r="Y143" s="38"/>
      <c r="Z143" t="s">
        <v>9</v>
      </c>
      <c r="AA143" t="s">
        <v>1011</v>
      </c>
      <c r="AB143" s="16" t="s">
        <v>272</v>
      </c>
      <c r="AC143" s="16">
        <v>2</v>
      </c>
      <c r="AD143" t="s">
        <v>1525</v>
      </c>
      <c r="AE143" t="s">
        <v>339</v>
      </c>
      <c r="AF143" t="s">
        <v>1567</v>
      </c>
      <c r="AG143" t="s">
        <v>345</v>
      </c>
    </row>
    <row r="144" spans="1:33" x14ac:dyDescent="0.3">
      <c r="A144" t="s">
        <v>9</v>
      </c>
      <c r="B144" t="s">
        <v>52</v>
      </c>
      <c r="C144" t="s">
        <v>14</v>
      </c>
      <c r="D144" t="s">
        <v>12</v>
      </c>
      <c r="E144" t="s">
        <v>1012</v>
      </c>
      <c r="F144" t="b">
        <v>1</v>
      </c>
      <c r="G144">
        <v>100</v>
      </c>
      <c r="H144">
        <v>1</v>
      </c>
      <c r="I144">
        <v>3639</v>
      </c>
      <c r="J144" s="61" t="s">
        <v>18</v>
      </c>
      <c r="K144" s="16" t="s">
        <v>272</v>
      </c>
      <c r="L144" s="16">
        <v>3</v>
      </c>
      <c r="M144" s="16" t="s">
        <v>277</v>
      </c>
      <c r="N144" s="16" t="s">
        <v>335</v>
      </c>
      <c r="O144" s="15" t="s">
        <v>284</v>
      </c>
      <c r="P144" t="s">
        <v>371</v>
      </c>
      <c r="Q144" t="s">
        <v>371</v>
      </c>
      <c r="R144" s="17" t="s">
        <v>371</v>
      </c>
      <c r="S144" s="16" t="s">
        <v>341</v>
      </c>
      <c r="T144" s="16" t="s">
        <v>340</v>
      </c>
      <c r="U144" s="15" t="s">
        <v>343</v>
      </c>
      <c r="V144" s="15" t="s">
        <v>345</v>
      </c>
      <c r="W144" s="17" t="s">
        <v>371</v>
      </c>
      <c r="Z144" t="s">
        <v>9</v>
      </c>
      <c r="AA144" t="s">
        <v>1012</v>
      </c>
      <c r="AB144" s="16" t="s">
        <v>272</v>
      </c>
      <c r="AC144" s="16">
        <v>3</v>
      </c>
      <c r="AD144" t="s">
        <v>1524</v>
      </c>
      <c r="AE144" t="s">
        <v>284</v>
      </c>
      <c r="AF144" t="s">
        <v>1567</v>
      </c>
      <c r="AG144" t="s">
        <v>345</v>
      </c>
    </row>
    <row r="145" spans="1:33" x14ac:dyDescent="0.3">
      <c r="A145" t="s">
        <v>9</v>
      </c>
      <c r="B145" t="s">
        <v>52</v>
      </c>
      <c r="C145" t="s">
        <v>11</v>
      </c>
      <c r="D145" t="s">
        <v>12</v>
      </c>
      <c r="E145" t="s">
        <v>1013</v>
      </c>
      <c r="F145" t="b">
        <v>1</v>
      </c>
      <c r="G145">
        <v>100</v>
      </c>
      <c r="H145">
        <v>1</v>
      </c>
      <c r="I145">
        <v>10586</v>
      </c>
      <c r="J145" s="61" t="s">
        <v>18</v>
      </c>
      <c r="K145" s="16" t="s">
        <v>272</v>
      </c>
      <c r="L145" s="16">
        <v>3</v>
      </c>
      <c r="M145" s="16" t="s">
        <v>277</v>
      </c>
      <c r="N145" s="16" t="s">
        <v>335</v>
      </c>
      <c r="O145" s="15" t="s">
        <v>284</v>
      </c>
      <c r="P145" t="s">
        <v>282</v>
      </c>
      <c r="Q145" t="s">
        <v>371</v>
      </c>
      <c r="R145" s="17" t="s">
        <v>371</v>
      </c>
      <c r="S145" s="16" t="s">
        <v>341</v>
      </c>
      <c r="T145" s="16" t="s">
        <v>342</v>
      </c>
      <c r="U145" s="15" t="s">
        <v>343</v>
      </c>
      <c r="V145" s="15" t="s">
        <v>345</v>
      </c>
      <c r="W145" s="17" t="s">
        <v>344</v>
      </c>
      <c r="Z145" t="s">
        <v>9</v>
      </c>
      <c r="AA145" t="s">
        <v>1013</v>
      </c>
      <c r="AB145" s="16" t="s">
        <v>272</v>
      </c>
      <c r="AC145" s="16">
        <v>3</v>
      </c>
      <c r="AD145" t="s">
        <v>1524</v>
      </c>
      <c r="AE145" t="s">
        <v>1534</v>
      </c>
      <c r="AF145" t="s">
        <v>1566</v>
      </c>
      <c r="AG145" t="s">
        <v>1574</v>
      </c>
    </row>
    <row r="146" spans="1:33" x14ac:dyDescent="0.3">
      <c r="A146" t="s">
        <v>9</v>
      </c>
      <c r="B146" t="s">
        <v>52</v>
      </c>
      <c r="C146" t="s">
        <v>16</v>
      </c>
      <c r="D146" t="s">
        <v>12</v>
      </c>
      <c r="E146" t="s">
        <v>1014</v>
      </c>
      <c r="F146" t="b">
        <v>1</v>
      </c>
      <c r="G146">
        <v>100</v>
      </c>
      <c r="H146">
        <v>1</v>
      </c>
      <c r="I146">
        <v>16027</v>
      </c>
      <c r="J146" s="61" t="s">
        <v>18</v>
      </c>
      <c r="K146" s="16" t="s">
        <v>272</v>
      </c>
      <c r="L146" s="16">
        <v>3</v>
      </c>
      <c r="M146" s="16" t="s">
        <v>277</v>
      </c>
      <c r="N146" s="16" t="s">
        <v>335</v>
      </c>
      <c r="O146" s="15" t="s">
        <v>339</v>
      </c>
      <c r="P146" t="s">
        <v>283</v>
      </c>
      <c r="Q146" t="s">
        <v>282</v>
      </c>
      <c r="R146" s="17" t="s">
        <v>371</v>
      </c>
      <c r="S146" s="16" t="s">
        <v>341</v>
      </c>
      <c r="T146" s="16" t="s">
        <v>340</v>
      </c>
      <c r="U146" s="15" t="s">
        <v>343</v>
      </c>
      <c r="V146" s="15" t="s">
        <v>345</v>
      </c>
      <c r="W146" s="17" t="s">
        <v>377</v>
      </c>
      <c r="Z146" t="s">
        <v>9</v>
      </c>
      <c r="AA146" t="s">
        <v>1014</v>
      </c>
      <c r="AB146" s="16" t="s">
        <v>272</v>
      </c>
      <c r="AC146" s="16">
        <v>3</v>
      </c>
      <c r="AD146" t="s">
        <v>1524</v>
      </c>
      <c r="AE146" t="s">
        <v>1650</v>
      </c>
      <c r="AF146" t="s">
        <v>1567</v>
      </c>
      <c r="AG146" t="s">
        <v>1625</v>
      </c>
    </row>
    <row r="147" spans="1:33" x14ac:dyDescent="0.3">
      <c r="A147" t="s">
        <v>43</v>
      </c>
      <c r="B147" t="s">
        <v>69</v>
      </c>
      <c r="C147" t="s">
        <v>15</v>
      </c>
      <c r="D147" t="s">
        <v>12</v>
      </c>
      <c r="E147" t="s">
        <v>1021</v>
      </c>
      <c r="F147" t="b">
        <v>1</v>
      </c>
      <c r="G147">
        <v>100</v>
      </c>
      <c r="H147">
        <v>1</v>
      </c>
      <c r="I147">
        <v>6605</v>
      </c>
      <c r="J147" s="61" t="s">
        <v>18</v>
      </c>
      <c r="K147" s="16" t="s">
        <v>272</v>
      </c>
      <c r="L147" s="16">
        <v>3</v>
      </c>
      <c r="M147" s="16" t="s">
        <v>277</v>
      </c>
      <c r="N147" s="16" t="s">
        <v>335</v>
      </c>
      <c r="O147" s="15" t="s">
        <v>281</v>
      </c>
      <c r="P147" t="s">
        <v>273</v>
      </c>
      <c r="Q147" t="s">
        <v>284</v>
      </c>
      <c r="R147" s="17" t="s">
        <v>371</v>
      </c>
      <c r="S147" s="16" t="s">
        <v>340</v>
      </c>
      <c r="T147" s="16" t="s">
        <v>342</v>
      </c>
      <c r="U147" s="15" t="s">
        <v>343</v>
      </c>
      <c r="V147" s="15" t="s">
        <v>344</v>
      </c>
      <c r="W147" s="17" t="s">
        <v>371</v>
      </c>
      <c r="Z147" t="s">
        <v>43</v>
      </c>
      <c r="AA147" t="s">
        <v>1021</v>
      </c>
      <c r="AB147" s="16" t="s">
        <v>272</v>
      </c>
      <c r="AC147" s="16">
        <v>3</v>
      </c>
      <c r="AD147" t="s">
        <v>1524</v>
      </c>
      <c r="AE147" t="s">
        <v>1628</v>
      </c>
      <c r="AF147" t="s">
        <v>1568</v>
      </c>
      <c r="AG147" t="s">
        <v>344</v>
      </c>
    </row>
    <row r="148" spans="1:33" x14ac:dyDescent="0.3">
      <c r="A148" t="s">
        <v>43</v>
      </c>
      <c r="B148" t="s">
        <v>69</v>
      </c>
      <c r="C148" t="s">
        <v>23</v>
      </c>
      <c r="D148" t="s">
        <v>12</v>
      </c>
      <c r="E148" t="s">
        <v>1022</v>
      </c>
      <c r="F148" t="b">
        <v>1</v>
      </c>
      <c r="G148">
        <v>56.4</v>
      </c>
      <c r="H148">
        <v>0</v>
      </c>
      <c r="I148">
        <v>18749</v>
      </c>
      <c r="J148" s="61" t="s">
        <v>13</v>
      </c>
      <c r="K148" s="16" t="s">
        <v>272</v>
      </c>
      <c r="L148" s="16">
        <v>3</v>
      </c>
      <c r="M148" s="16" t="s">
        <v>277</v>
      </c>
      <c r="N148" s="16" t="s">
        <v>335</v>
      </c>
      <c r="O148" s="15" t="s">
        <v>283</v>
      </c>
      <c r="P148" t="s">
        <v>282</v>
      </c>
      <c r="Q148" t="s">
        <v>371</v>
      </c>
      <c r="R148" s="17" t="s">
        <v>371</v>
      </c>
      <c r="S148" s="16" t="s">
        <v>341</v>
      </c>
      <c r="T148" s="16" t="s">
        <v>340</v>
      </c>
      <c r="U148" s="15" t="s">
        <v>343</v>
      </c>
      <c r="V148" s="15" t="s">
        <v>344</v>
      </c>
      <c r="W148" s="17" t="s">
        <v>291</v>
      </c>
      <c r="Z148" t="s">
        <v>43</v>
      </c>
      <c r="AA148" t="s">
        <v>1022</v>
      </c>
      <c r="AB148" s="16" t="s">
        <v>272</v>
      </c>
      <c r="AC148" s="16">
        <v>3</v>
      </c>
      <c r="AD148" t="s">
        <v>1524</v>
      </c>
      <c r="AE148" t="s">
        <v>1540</v>
      </c>
      <c r="AF148" t="s">
        <v>1567</v>
      </c>
      <c r="AG148" t="s">
        <v>1570</v>
      </c>
    </row>
    <row r="149" spans="1:33" x14ac:dyDescent="0.3">
      <c r="A149" t="s">
        <v>43</v>
      </c>
      <c r="B149" t="s">
        <v>69</v>
      </c>
      <c r="C149" t="s">
        <v>14</v>
      </c>
      <c r="D149" t="s">
        <v>12</v>
      </c>
      <c r="E149" t="s">
        <v>1023</v>
      </c>
      <c r="F149" t="b">
        <v>1</v>
      </c>
      <c r="G149">
        <v>100</v>
      </c>
      <c r="H149">
        <v>1</v>
      </c>
      <c r="I149">
        <v>9503</v>
      </c>
      <c r="J149" s="61" t="s">
        <v>18</v>
      </c>
      <c r="K149" s="16" t="s">
        <v>272</v>
      </c>
      <c r="L149" s="16">
        <v>3</v>
      </c>
      <c r="M149" s="16" t="s">
        <v>277</v>
      </c>
      <c r="N149" s="16" t="s">
        <v>335</v>
      </c>
      <c r="O149" s="15" t="s">
        <v>282</v>
      </c>
      <c r="P149" t="s">
        <v>281</v>
      </c>
      <c r="Q149" t="s">
        <v>284</v>
      </c>
      <c r="R149" s="17" t="s">
        <v>371</v>
      </c>
      <c r="S149" s="16" t="s">
        <v>341</v>
      </c>
      <c r="T149" s="16" t="s">
        <v>340</v>
      </c>
      <c r="U149" s="15" t="s">
        <v>343</v>
      </c>
      <c r="V149" s="15" t="s">
        <v>291</v>
      </c>
      <c r="W149" s="17" t="s">
        <v>371</v>
      </c>
      <c r="Z149" t="s">
        <v>43</v>
      </c>
      <c r="AA149" t="s">
        <v>1023</v>
      </c>
      <c r="AB149" s="16" t="s">
        <v>272</v>
      </c>
      <c r="AC149" s="16">
        <v>3</v>
      </c>
      <c r="AD149" t="s">
        <v>1524</v>
      </c>
      <c r="AE149" t="s">
        <v>1555</v>
      </c>
      <c r="AF149" t="s">
        <v>1567</v>
      </c>
      <c r="AG149" t="s">
        <v>291</v>
      </c>
    </row>
    <row r="150" spans="1:33" x14ac:dyDescent="0.3">
      <c r="A150" t="s">
        <v>43</v>
      </c>
      <c r="B150" t="s">
        <v>69</v>
      </c>
      <c r="C150" t="s">
        <v>11</v>
      </c>
      <c r="D150" t="s">
        <v>12</v>
      </c>
      <c r="E150" t="s">
        <v>1024</v>
      </c>
      <c r="F150" t="b">
        <v>1</v>
      </c>
      <c r="G150">
        <v>100</v>
      </c>
      <c r="H150">
        <v>1</v>
      </c>
      <c r="I150">
        <v>2977</v>
      </c>
      <c r="J150" s="61" t="s">
        <v>18</v>
      </c>
      <c r="K150" s="16" t="s">
        <v>272</v>
      </c>
      <c r="L150" s="16">
        <v>3</v>
      </c>
      <c r="M150" s="16" t="s">
        <v>277</v>
      </c>
      <c r="N150" s="16" t="s">
        <v>335</v>
      </c>
      <c r="O150" s="15" t="s">
        <v>282</v>
      </c>
      <c r="P150" t="s">
        <v>371</v>
      </c>
      <c r="Q150" t="s">
        <v>371</v>
      </c>
      <c r="R150" s="17" t="s">
        <v>371</v>
      </c>
      <c r="S150" s="16" t="s">
        <v>340</v>
      </c>
      <c r="T150" s="16" t="s">
        <v>340</v>
      </c>
      <c r="U150" s="15" t="s">
        <v>340</v>
      </c>
      <c r="V150" s="15" t="s">
        <v>348</v>
      </c>
      <c r="W150" s="17" t="s">
        <v>371</v>
      </c>
      <c r="Z150" t="s">
        <v>43</v>
      </c>
      <c r="AA150" t="s">
        <v>1024</v>
      </c>
      <c r="AB150" s="16" t="s">
        <v>272</v>
      </c>
      <c r="AC150" s="16">
        <v>3</v>
      </c>
      <c r="AD150" t="s">
        <v>1524</v>
      </c>
      <c r="AE150" t="s">
        <v>282</v>
      </c>
      <c r="AF150" t="s">
        <v>340</v>
      </c>
      <c r="AG150" t="s">
        <v>348</v>
      </c>
    </row>
    <row r="151" spans="1:33" x14ac:dyDescent="0.3">
      <c r="A151" t="s">
        <v>43</v>
      </c>
      <c r="B151" t="s">
        <v>69</v>
      </c>
      <c r="C151" t="s">
        <v>21</v>
      </c>
      <c r="D151" t="s">
        <v>12</v>
      </c>
      <c r="E151" t="s">
        <v>1025</v>
      </c>
      <c r="F151" t="b">
        <v>1</v>
      </c>
      <c r="G151">
        <v>100</v>
      </c>
      <c r="H151">
        <v>1</v>
      </c>
      <c r="I151">
        <v>15845</v>
      </c>
      <c r="J151" s="61" t="s">
        <v>18</v>
      </c>
      <c r="K151" s="16" t="s">
        <v>272</v>
      </c>
      <c r="L151" s="16">
        <v>3</v>
      </c>
      <c r="M151" s="16" t="s">
        <v>277</v>
      </c>
      <c r="N151" s="16" t="s">
        <v>335</v>
      </c>
      <c r="O151" s="15" t="s">
        <v>282</v>
      </c>
      <c r="P151" t="s">
        <v>371</v>
      </c>
      <c r="Q151" t="s">
        <v>371</v>
      </c>
      <c r="R151" s="17" t="s">
        <v>371</v>
      </c>
      <c r="S151" s="16" t="s">
        <v>341</v>
      </c>
      <c r="T151" s="16" t="s">
        <v>340</v>
      </c>
      <c r="U151" s="15" t="s">
        <v>343</v>
      </c>
      <c r="V151" s="15" t="s">
        <v>344</v>
      </c>
      <c r="W151" s="17" t="s">
        <v>291</v>
      </c>
      <c r="Z151" t="s">
        <v>43</v>
      </c>
      <c r="AA151" t="s">
        <v>1025</v>
      </c>
      <c r="AB151" s="16" t="s">
        <v>272</v>
      </c>
      <c r="AC151" s="16">
        <v>3</v>
      </c>
      <c r="AD151" t="s">
        <v>1524</v>
      </c>
      <c r="AE151" t="s">
        <v>282</v>
      </c>
      <c r="AF151" t="s">
        <v>1567</v>
      </c>
      <c r="AG151" t="s">
        <v>1570</v>
      </c>
    </row>
    <row r="152" spans="1:33" x14ac:dyDescent="0.3">
      <c r="A152" t="s">
        <v>43</v>
      </c>
      <c r="B152" t="s">
        <v>69</v>
      </c>
      <c r="C152" t="s">
        <v>19</v>
      </c>
      <c r="D152" t="s">
        <v>12</v>
      </c>
      <c r="E152" t="s">
        <v>1026</v>
      </c>
      <c r="F152" t="b">
        <v>1</v>
      </c>
      <c r="G152">
        <v>68.2</v>
      </c>
      <c r="H152">
        <v>0</v>
      </c>
      <c r="I152">
        <v>14259</v>
      </c>
      <c r="J152" s="61" t="s">
        <v>13</v>
      </c>
      <c r="K152" s="16" t="s">
        <v>272</v>
      </c>
      <c r="L152" s="16">
        <v>3</v>
      </c>
      <c r="M152" s="16" t="s">
        <v>277</v>
      </c>
      <c r="N152" s="16" t="s">
        <v>335</v>
      </c>
      <c r="O152" s="15" t="s">
        <v>281</v>
      </c>
      <c r="P152" t="s">
        <v>283</v>
      </c>
      <c r="Q152" t="s">
        <v>284</v>
      </c>
      <c r="R152" s="17" t="s">
        <v>371</v>
      </c>
      <c r="S152" s="16" t="s">
        <v>341</v>
      </c>
      <c r="T152" s="16" t="s">
        <v>342</v>
      </c>
      <c r="U152" s="15" t="s">
        <v>343</v>
      </c>
      <c r="V152" s="15" t="s">
        <v>344</v>
      </c>
      <c r="W152" s="17" t="s">
        <v>371</v>
      </c>
      <c r="Z152" t="s">
        <v>43</v>
      </c>
      <c r="AA152" t="s">
        <v>1026</v>
      </c>
      <c r="AB152" s="16" t="s">
        <v>272</v>
      </c>
      <c r="AC152" s="16">
        <v>3</v>
      </c>
      <c r="AD152" t="s">
        <v>1524</v>
      </c>
      <c r="AE152" t="s">
        <v>1547</v>
      </c>
      <c r="AF152" t="s">
        <v>1566</v>
      </c>
      <c r="AG152" t="s">
        <v>344</v>
      </c>
    </row>
    <row r="153" spans="1:33" x14ac:dyDescent="0.3">
      <c r="A153" t="s">
        <v>43</v>
      </c>
      <c r="B153" t="s">
        <v>69</v>
      </c>
      <c r="C153" t="s">
        <v>17</v>
      </c>
      <c r="D153" t="s">
        <v>12</v>
      </c>
      <c r="E153" t="s">
        <v>1027</v>
      </c>
      <c r="F153" t="b">
        <v>1</v>
      </c>
      <c r="G153">
        <v>100</v>
      </c>
      <c r="H153">
        <v>1</v>
      </c>
      <c r="I153">
        <v>13258</v>
      </c>
      <c r="J153" s="61" t="s">
        <v>18</v>
      </c>
      <c r="K153" s="16" t="s">
        <v>272</v>
      </c>
      <c r="L153" s="16">
        <v>3</v>
      </c>
      <c r="M153" s="16" t="s">
        <v>277</v>
      </c>
      <c r="N153" s="16" t="s">
        <v>335</v>
      </c>
      <c r="O153" s="15" t="s">
        <v>281</v>
      </c>
      <c r="P153" t="s">
        <v>283</v>
      </c>
      <c r="Q153" t="s">
        <v>284</v>
      </c>
      <c r="R153" s="17" t="s">
        <v>371</v>
      </c>
      <c r="S153" s="16" t="s">
        <v>341</v>
      </c>
      <c r="T153" s="16" t="s">
        <v>342</v>
      </c>
      <c r="U153" s="15" t="s">
        <v>343</v>
      </c>
      <c r="V153" s="15" t="s">
        <v>344</v>
      </c>
      <c r="W153" s="17" t="s">
        <v>371</v>
      </c>
      <c r="Z153" t="s">
        <v>43</v>
      </c>
      <c r="AA153" t="s">
        <v>1027</v>
      </c>
      <c r="AB153" s="16" t="s">
        <v>272</v>
      </c>
      <c r="AC153" s="16">
        <v>3</v>
      </c>
      <c r="AD153" t="s">
        <v>1524</v>
      </c>
      <c r="AE153" t="s">
        <v>1547</v>
      </c>
      <c r="AF153" t="s">
        <v>1566</v>
      </c>
      <c r="AG153" t="s">
        <v>344</v>
      </c>
    </row>
    <row r="154" spans="1:33" x14ac:dyDescent="0.3">
      <c r="A154" t="s">
        <v>43</v>
      </c>
      <c r="B154" t="s">
        <v>69</v>
      </c>
      <c r="C154" t="s">
        <v>16</v>
      </c>
      <c r="D154" t="s">
        <v>12</v>
      </c>
      <c r="E154" t="s">
        <v>1028</v>
      </c>
      <c r="F154" t="b">
        <v>1</v>
      </c>
      <c r="G154">
        <v>100</v>
      </c>
      <c r="H154">
        <v>1</v>
      </c>
      <c r="I154">
        <v>11196</v>
      </c>
      <c r="J154" s="61" t="s">
        <v>18</v>
      </c>
      <c r="K154" s="16" t="s">
        <v>272</v>
      </c>
      <c r="L154" s="16">
        <v>3</v>
      </c>
      <c r="M154" s="16" t="s">
        <v>277</v>
      </c>
      <c r="N154" s="16" t="s">
        <v>335</v>
      </c>
      <c r="O154" s="15" t="s">
        <v>281</v>
      </c>
      <c r="P154" t="s">
        <v>283</v>
      </c>
      <c r="Q154" t="s">
        <v>284</v>
      </c>
      <c r="R154" s="17" t="s">
        <v>371</v>
      </c>
      <c r="S154" s="16" t="s">
        <v>341</v>
      </c>
      <c r="T154" s="16" t="s">
        <v>342</v>
      </c>
      <c r="U154" s="15" t="s">
        <v>343</v>
      </c>
      <c r="V154" s="15" t="s">
        <v>344</v>
      </c>
      <c r="W154" s="17" t="s">
        <v>371</v>
      </c>
      <c r="Z154" t="s">
        <v>43</v>
      </c>
      <c r="AA154" t="s">
        <v>1028</v>
      </c>
      <c r="AB154" s="16" t="s">
        <v>272</v>
      </c>
      <c r="AC154" s="16">
        <v>3</v>
      </c>
      <c r="AD154" t="s">
        <v>1524</v>
      </c>
      <c r="AE154" t="s">
        <v>1547</v>
      </c>
      <c r="AF154" t="s">
        <v>1566</v>
      </c>
      <c r="AG154" t="s">
        <v>344</v>
      </c>
    </row>
    <row r="155" spans="1:33" x14ac:dyDescent="0.3">
      <c r="A155" t="s">
        <v>43</v>
      </c>
      <c r="B155" t="s">
        <v>69</v>
      </c>
      <c r="C155" t="s">
        <v>20</v>
      </c>
      <c r="D155" t="s">
        <v>12</v>
      </c>
      <c r="E155" t="s">
        <v>1029</v>
      </c>
      <c r="F155" t="b">
        <v>1</v>
      </c>
      <c r="G155">
        <v>90.9</v>
      </c>
      <c r="H155">
        <v>0</v>
      </c>
      <c r="I155">
        <v>12316</v>
      </c>
      <c r="J155" s="61" t="s">
        <v>13</v>
      </c>
      <c r="K155" s="16" t="s">
        <v>272</v>
      </c>
      <c r="L155" s="16">
        <v>2</v>
      </c>
      <c r="M155" s="16" t="s">
        <v>277</v>
      </c>
      <c r="N155" s="16" t="s">
        <v>335</v>
      </c>
      <c r="O155" s="15" t="s">
        <v>282</v>
      </c>
      <c r="P155" t="s">
        <v>371</v>
      </c>
      <c r="Q155" t="s">
        <v>371</v>
      </c>
      <c r="R155" s="17" t="s">
        <v>371</v>
      </c>
      <c r="S155" s="16" t="s">
        <v>341</v>
      </c>
      <c r="T155" s="16" t="s">
        <v>340</v>
      </c>
      <c r="U155" s="15" t="s">
        <v>340</v>
      </c>
      <c r="V155" s="15" t="s">
        <v>344</v>
      </c>
      <c r="W155" s="17" t="s">
        <v>371</v>
      </c>
      <c r="Z155" t="s">
        <v>43</v>
      </c>
      <c r="AA155" t="s">
        <v>1029</v>
      </c>
      <c r="AB155" s="16" t="s">
        <v>272</v>
      </c>
      <c r="AC155" s="16">
        <v>2</v>
      </c>
      <c r="AD155" t="s">
        <v>1524</v>
      </c>
      <c r="AE155" t="s">
        <v>282</v>
      </c>
      <c r="AF155" t="s">
        <v>341</v>
      </c>
      <c r="AG155" t="s">
        <v>344</v>
      </c>
    </row>
    <row r="156" spans="1:33" x14ac:dyDescent="0.3">
      <c r="A156" t="s">
        <v>43</v>
      </c>
      <c r="B156" t="s">
        <v>69</v>
      </c>
      <c r="C156" t="s">
        <v>22</v>
      </c>
      <c r="D156" t="s">
        <v>12</v>
      </c>
      <c r="E156" t="s">
        <v>1030</v>
      </c>
      <c r="F156" t="b">
        <v>1</v>
      </c>
      <c r="G156">
        <v>100</v>
      </c>
      <c r="H156">
        <v>1</v>
      </c>
      <c r="I156">
        <v>17857</v>
      </c>
      <c r="J156" s="61" t="s">
        <v>18</v>
      </c>
      <c r="K156" s="16" t="s">
        <v>272</v>
      </c>
      <c r="L156" s="16">
        <v>3</v>
      </c>
      <c r="M156" s="16" t="s">
        <v>277</v>
      </c>
      <c r="N156" s="16" t="s">
        <v>335</v>
      </c>
      <c r="O156" s="15" t="s">
        <v>282</v>
      </c>
      <c r="P156" t="s">
        <v>371</v>
      </c>
      <c r="Q156" t="s">
        <v>371</v>
      </c>
      <c r="R156" s="17" t="s">
        <v>371</v>
      </c>
      <c r="S156" s="16" t="s">
        <v>341</v>
      </c>
      <c r="T156" s="16" t="s">
        <v>340</v>
      </c>
      <c r="U156" s="15" t="s">
        <v>343</v>
      </c>
      <c r="V156" s="15" t="s">
        <v>344</v>
      </c>
      <c r="W156" s="17" t="s">
        <v>291</v>
      </c>
      <c r="Z156" t="s">
        <v>43</v>
      </c>
      <c r="AA156" t="s">
        <v>1030</v>
      </c>
      <c r="AB156" s="16" t="s">
        <v>272</v>
      </c>
      <c r="AC156" s="16">
        <v>3</v>
      </c>
      <c r="AD156" t="s">
        <v>1524</v>
      </c>
      <c r="AE156" t="s">
        <v>282</v>
      </c>
      <c r="AF156" t="s">
        <v>1567</v>
      </c>
      <c r="AG156" t="s">
        <v>1570</v>
      </c>
    </row>
    <row r="157" spans="1:33" x14ac:dyDescent="0.3">
      <c r="A157" t="s">
        <v>45</v>
      </c>
      <c r="B157" t="s">
        <v>48</v>
      </c>
      <c r="C157" t="s">
        <v>15</v>
      </c>
      <c r="D157" t="s">
        <v>12</v>
      </c>
      <c r="E157" t="s">
        <v>1043</v>
      </c>
      <c r="F157" t="b">
        <v>1</v>
      </c>
      <c r="G157">
        <v>100</v>
      </c>
      <c r="H157">
        <v>1</v>
      </c>
      <c r="I157">
        <v>9607</v>
      </c>
      <c r="J157" s="61" t="s">
        <v>18</v>
      </c>
      <c r="K157" s="16" t="s">
        <v>272</v>
      </c>
      <c r="L157" s="16">
        <v>2</v>
      </c>
      <c r="M157" s="16" t="s">
        <v>277</v>
      </c>
      <c r="N157" s="16" t="s">
        <v>335</v>
      </c>
      <c r="O157" s="15" t="s">
        <v>282</v>
      </c>
      <c r="P157" t="s">
        <v>371</v>
      </c>
      <c r="Q157" t="s">
        <v>371</v>
      </c>
      <c r="R157" s="17" t="s">
        <v>371</v>
      </c>
      <c r="S157" s="16" t="s">
        <v>341</v>
      </c>
      <c r="T157" s="16" t="s">
        <v>340</v>
      </c>
      <c r="U157" s="15" t="s">
        <v>340</v>
      </c>
      <c r="V157" s="15" t="s">
        <v>344</v>
      </c>
      <c r="W157" s="17" t="s">
        <v>371</v>
      </c>
      <c r="Z157" t="s">
        <v>45</v>
      </c>
      <c r="AA157" t="s">
        <v>1043</v>
      </c>
      <c r="AB157" s="16" t="s">
        <v>272</v>
      </c>
      <c r="AC157" s="16">
        <v>2</v>
      </c>
      <c r="AD157" t="s">
        <v>1524</v>
      </c>
      <c r="AE157" t="s">
        <v>282</v>
      </c>
      <c r="AF157" t="s">
        <v>341</v>
      </c>
      <c r="AG157" t="s">
        <v>344</v>
      </c>
    </row>
    <row r="158" spans="1:33" x14ac:dyDescent="0.3">
      <c r="A158" t="s">
        <v>45</v>
      </c>
      <c r="B158" t="s">
        <v>48</v>
      </c>
      <c r="C158" t="s">
        <v>14</v>
      </c>
      <c r="D158" t="s">
        <v>12</v>
      </c>
      <c r="E158" t="s">
        <v>1044</v>
      </c>
      <c r="F158" t="b">
        <v>1</v>
      </c>
      <c r="G158">
        <v>100</v>
      </c>
      <c r="H158">
        <v>1</v>
      </c>
      <c r="I158">
        <v>11173</v>
      </c>
      <c r="J158" s="61" t="s">
        <v>18</v>
      </c>
      <c r="K158" s="16" t="s">
        <v>272</v>
      </c>
      <c r="L158" s="16">
        <v>3</v>
      </c>
      <c r="M158" s="16" t="s">
        <v>277</v>
      </c>
      <c r="N158" s="16" t="s">
        <v>335</v>
      </c>
      <c r="O158" s="15" t="s">
        <v>284</v>
      </c>
      <c r="P158" t="s">
        <v>282</v>
      </c>
      <c r="Q158" t="s">
        <v>371</v>
      </c>
      <c r="R158" s="17" t="s">
        <v>371</v>
      </c>
      <c r="S158" s="16" t="s">
        <v>341</v>
      </c>
      <c r="T158" s="16" t="s">
        <v>340</v>
      </c>
      <c r="U158" s="15" t="s">
        <v>343</v>
      </c>
      <c r="V158" s="15" t="s">
        <v>344</v>
      </c>
      <c r="W158" s="17" t="s">
        <v>371</v>
      </c>
      <c r="Z158" t="s">
        <v>45</v>
      </c>
      <c r="AA158" t="s">
        <v>1044</v>
      </c>
      <c r="AB158" s="16" t="s">
        <v>272</v>
      </c>
      <c r="AC158" s="16">
        <v>3</v>
      </c>
      <c r="AD158" t="s">
        <v>1524</v>
      </c>
      <c r="AE158" t="s">
        <v>1534</v>
      </c>
      <c r="AF158" t="s">
        <v>1567</v>
      </c>
      <c r="AG158" t="s">
        <v>344</v>
      </c>
    </row>
    <row r="159" spans="1:33" x14ac:dyDescent="0.3">
      <c r="A159" t="s">
        <v>45</v>
      </c>
      <c r="B159" t="s">
        <v>48</v>
      </c>
      <c r="C159" t="s">
        <v>11</v>
      </c>
      <c r="D159" t="s">
        <v>12</v>
      </c>
      <c r="E159" t="s">
        <v>1045</v>
      </c>
      <c r="F159" t="b">
        <v>1</v>
      </c>
      <c r="G159">
        <v>100</v>
      </c>
      <c r="H159">
        <v>1</v>
      </c>
      <c r="I159">
        <v>9851</v>
      </c>
      <c r="J159" s="61" t="s">
        <v>18</v>
      </c>
      <c r="K159" s="16" t="s">
        <v>272</v>
      </c>
      <c r="L159" s="16">
        <v>3</v>
      </c>
      <c r="M159" s="16" t="s">
        <v>277</v>
      </c>
      <c r="N159" s="16" t="s">
        <v>335</v>
      </c>
      <c r="O159" s="15" t="s">
        <v>284</v>
      </c>
      <c r="P159" t="s">
        <v>282</v>
      </c>
      <c r="Q159" t="s">
        <v>371</v>
      </c>
      <c r="R159" s="17" t="s">
        <v>371</v>
      </c>
      <c r="S159" s="16" t="s">
        <v>341</v>
      </c>
      <c r="T159" s="16" t="s">
        <v>340</v>
      </c>
      <c r="U159" s="15" t="s">
        <v>343</v>
      </c>
      <c r="V159" s="15" t="s">
        <v>344</v>
      </c>
      <c r="W159" s="17" t="s">
        <v>371</v>
      </c>
      <c r="Z159" t="s">
        <v>45</v>
      </c>
      <c r="AA159" t="s">
        <v>1045</v>
      </c>
      <c r="AB159" s="16" t="s">
        <v>272</v>
      </c>
      <c r="AC159" s="16">
        <v>3</v>
      </c>
      <c r="AD159" t="s">
        <v>1524</v>
      </c>
      <c r="AE159" t="s">
        <v>1534</v>
      </c>
      <c r="AF159" t="s">
        <v>1567</v>
      </c>
      <c r="AG159" t="s">
        <v>344</v>
      </c>
    </row>
    <row r="160" spans="1:33" x14ac:dyDescent="0.3">
      <c r="A160" t="s">
        <v>45</v>
      </c>
      <c r="B160" t="s">
        <v>48</v>
      </c>
      <c r="C160" t="s">
        <v>19</v>
      </c>
      <c r="D160" t="s">
        <v>12</v>
      </c>
      <c r="E160" t="s">
        <v>1046</v>
      </c>
      <c r="F160" t="b">
        <v>1</v>
      </c>
      <c r="G160">
        <v>100</v>
      </c>
      <c r="H160">
        <v>1</v>
      </c>
      <c r="I160">
        <v>19958</v>
      </c>
      <c r="J160" s="61" t="s">
        <v>18</v>
      </c>
      <c r="K160" s="16" t="s">
        <v>272</v>
      </c>
      <c r="L160" s="16">
        <v>2</v>
      </c>
      <c r="M160" s="16" t="s">
        <v>277</v>
      </c>
      <c r="N160" s="16" t="s">
        <v>335</v>
      </c>
      <c r="O160" s="15" t="s">
        <v>282</v>
      </c>
      <c r="P160" t="s">
        <v>371</v>
      </c>
      <c r="Q160" t="s">
        <v>371</v>
      </c>
      <c r="R160" s="17" t="s">
        <v>371</v>
      </c>
      <c r="S160" s="16" t="s">
        <v>341</v>
      </c>
      <c r="T160" s="16" t="s">
        <v>340</v>
      </c>
      <c r="U160" s="15" t="s">
        <v>340</v>
      </c>
      <c r="V160" s="15" t="s">
        <v>344</v>
      </c>
      <c r="W160" s="17" t="s">
        <v>371</v>
      </c>
      <c r="Z160" t="s">
        <v>45</v>
      </c>
      <c r="AA160" t="s">
        <v>1046</v>
      </c>
      <c r="AB160" s="16" t="s">
        <v>272</v>
      </c>
      <c r="AC160" s="16">
        <v>2</v>
      </c>
      <c r="AD160" t="s">
        <v>1524</v>
      </c>
      <c r="AE160" t="s">
        <v>282</v>
      </c>
      <c r="AF160" t="s">
        <v>341</v>
      </c>
      <c r="AG160" t="s">
        <v>344</v>
      </c>
    </row>
    <row r="161" spans="1:33" x14ac:dyDescent="0.3">
      <c r="A161" t="s">
        <v>45</v>
      </c>
      <c r="B161" t="s">
        <v>48</v>
      </c>
      <c r="C161" t="s">
        <v>17</v>
      </c>
      <c r="D161" t="s">
        <v>12</v>
      </c>
      <c r="E161" t="s">
        <v>1047</v>
      </c>
      <c r="F161" t="b">
        <v>1</v>
      </c>
      <c r="G161">
        <v>86.1</v>
      </c>
      <c r="H161">
        <v>0</v>
      </c>
      <c r="I161">
        <v>22810</v>
      </c>
      <c r="J161" s="61" t="s">
        <v>13</v>
      </c>
      <c r="K161" s="16" t="s">
        <v>272</v>
      </c>
      <c r="L161" s="16">
        <v>2</v>
      </c>
      <c r="M161" s="16" t="s">
        <v>277</v>
      </c>
      <c r="N161" s="16" t="s">
        <v>335</v>
      </c>
      <c r="O161" s="15" t="s">
        <v>282</v>
      </c>
      <c r="P161" t="s">
        <v>371</v>
      </c>
      <c r="Q161" t="s">
        <v>371</v>
      </c>
      <c r="R161" s="17" t="s">
        <v>371</v>
      </c>
      <c r="S161" s="16" t="s">
        <v>341</v>
      </c>
      <c r="T161" s="16" t="s">
        <v>340</v>
      </c>
      <c r="U161" s="15" t="s">
        <v>340</v>
      </c>
      <c r="V161" s="15" t="s">
        <v>344</v>
      </c>
      <c r="W161" s="17" t="s">
        <v>371</v>
      </c>
      <c r="Z161" t="s">
        <v>45</v>
      </c>
      <c r="AA161" t="s">
        <v>1047</v>
      </c>
      <c r="AB161" s="16" t="s">
        <v>272</v>
      </c>
      <c r="AC161" s="16">
        <v>2</v>
      </c>
      <c r="AD161" t="s">
        <v>1524</v>
      </c>
      <c r="AE161" t="s">
        <v>282</v>
      </c>
      <c r="AF161" t="s">
        <v>341</v>
      </c>
      <c r="AG161" t="s">
        <v>344</v>
      </c>
    </row>
    <row r="162" spans="1:33" x14ac:dyDescent="0.3">
      <c r="A162" t="s">
        <v>45</v>
      </c>
      <c r="B162" t="s">
        <v>48</v>
      </c>
      <c r="C162" t="s">
        <v>16</v>
      </c>
      <c r="D162" t="s">
        <v>12</v>
      </c>
      <c r="E162" t="s">
        <v>1048</v>
      </c>
      <c r="F162" t="b">
        <v>1</v>
      </c>
      <c r="G162">
        <v>86.1</v>
      </c>
      <c r="H162">
        <v>0</v>
      </c>
      <c r="I162">
        <v>12546</v>
      </c>
      <c r="J162" s="61" t="s">
        <v>13</v>
      </c>
      <c r="K162" s="16" t="s">
        <v>272</v>
      </c>
      <c r="L162" s="16">
        <v>2</v>
      </c>
      <c r="M162" s="16" t="s">
        <v>277</v>
      </c>
      <c r="N162" s="16" t="s">
        <v>335</v>
      </c>
      <c r="O162" s="15" t="s">
        <v>282</v>
      </c>
      <c r="P162" t="s">
        <v>371</v>
      </c>
      <c r="Q162" t="s">
        <v>371</v>
      </c>
      <c r="R162" s="17" t="s">
        <v>371</v>
      </c>
      <c r="S162" s="16" t="s">
        <v>341</v>
      </c>
      <c r="T162" s="16" t="s">
        <v>340</v>
      </c>
      <c r="U162" s="15" t="s">
        <v>340</v>
      </c>
      <c r="V162" s="15" t="s">
        <v>344</v>
      </c>
      <c r="W162" s="17" t="s">
        <v>371</v>
      </c>
      <c r="Z162" t="s">
        <v>45</v>
      </c>
      <c r="AA162" t="s">
        <v>1048</v>
      </c>
      <c r="AB162" s="16" t="s">
        <v>272</v>
      </c>
      <c r="AC162" s="16">
        <v>2</v>
      </c>
      <c r="AD162" t="s">
        <v>1524</v>
      </c>
      <c r="AE162" t="s">
        <v>282</v>
      </c>
      <c r="AF162" t="s">
        <v>341</v>
      </c>
      <c r="AG162" t="s">
        <v>344</v>
      </c>
    </row>
    <row r="163" spans="1:33" x14ac:dyDescent="0.3">
      <c r="A163" t="s">
        <v>45</v>
      </c>
      <c r="B163" t="s">
        <v>48</v>
      </c>
      <c r="C163" t="s">
        <v>20</v>
      </c>
      <c r="D163" t="s">
        <v>12</v>
      </c>
      <c r="E163" t="s">
        <v>1049</v>
      </c>
      <c r="F163" t="b">
        <v>1</v>
      </c>
      <c r="G163">
        <v>100</v>
      </c>
      <c r="H163">
        <v>1</v>
      </c>
      <c r="I163">
        <v>9111</v>
      </c>
      <c r="J163" s="61" t="s">
        <v>18</v>
      </c>
      <c r="K163" s="16" t="s">
        <v>272</v>
      </c>
      <c r="L163" s="16">
        <v>3</v>
      </c>
      <c r="M163" s="16" t="s">
        <v>277</v>
      </c>
      <c r="N163" s="16" t="s">
        <v>335</v>
      </c>
      <c r="O163" s="15" t="s">
        <v>339</v>
      </c>
      <c r="P163" t="s">
        <v>371</v>
      </c>
      <c r="Q163" t="s">
        <v>371</v>
      </c>
      <c r="R163" s="17" t="s">
        <v>371</v>
      </c>
      <c r="S163" s="16" t="s">
        <v>341</v>
      </c>
      <c r="T163" s="16" t="s">
        <v>340</v>
      </c>
      <c r="U163" s="15" t="s">
        <v>343</v>
      </c>
      <c r="V163" s="15" t="s">
        <v>344</v>
      </c>
      <c r="W163" s="17" t="s">
        <v>371</v>
      </c>
      <c r="Z163" t="s">
        <v>45</v>
      </c>
      <c r="AA163" t="s">
        <v>1049</v>
      </c>
      <c r="AB163" s="16" t="s">
        <v>272</v>
      </c>
      <c r="AC163" s="16">
        <v>3</v>
      </c>
      <c r="AD163" t="s">
        <v>1524</v>
      </c>
      <c r="AE163" t="s">
        <v>339</v>
      </c>
      <c r="AF163" t="s">
        <v>1567</v>
      </c>
      <c r="AG163" t="s">
        <v>344</v>
      </c>
    </row>
    <row r="164" spans="1:33" x14ac:dyDescent="0.3">
      <c r="A164" s="38" t="s">
        <v>9</v>
      </c>
      <c r="B164" s="38" t="s">
        <v>56</v>
      </c>
      <c r="C164" s="38" t="s">
        <v>14</v>
      </c>
      <c r="D164" s="38" t="s">
        <v>12</v>
      </c>
      <c r="E164" s="38" t="s">
        <v>1060</v>
      </c>
      <c r="F164" s="38" t="b">
        <v>1</v>
      </c>
      <c r="G164" s="38">
        <v>99.9</v>
      </c>
      <c r="H164" s="38">
        <v>0</v>
      </c>
      <c r="I164" s="38">
        <v>4686</v>
      </c>
      <c r="J164" s="61" t="s">
        <v>18</v>
      </c>
      <c r="K164" s="39" t="s">
        <v>272</v>
      </c>
      <c r="L164" s="39">
        <v>2</v>
      </c>
      <c r="M164" s="39" t="s">
        <v>333</v>
      </c>
      <c r="N164" s="39" t="s">
        <v>278</v>
      </c>
      <c r="O164" s="40" t="s">
        <v>282</v>
      </c>
      <c r="P164" s="38" t="s">
        <v>371</v>
      </c>
      <c r="Q164" s="38" t="s">
        <v>371</v>
      </c>
      <c r="R164" s="41" t="s">
        <v>371</v>
      </c>
      <c r="S164" s="39" t="s">
        <v>340</v>
      </c>
      <c r="T164" s="39" t="s">
        <v>342</v>
      </c>
      <c r="U164" s="40" t="s">
        <v>343</v>
      </c>
      <c r="V164" s="40" t="s">
        <v>344</v>
      </c>
      <c r="W164" s="41" t="s">
        <v>371</v>
      </c>
      <c r="Z164" t="s">
        <v>9</v>
      </c>
      <c r="AA164" t="s">
        <v>1060</v>
      </c>
      <c r="AB164" s="16" t="s">
        <v>272</v>
      </c>
      <c r="AC164" s="16">
        <v>2</v>
      </c>
      <c r="AD164" t="s">
        <v>1525</v>
      </c>
      <c r="AE164" t="s">
        <v>282</v>
      </c>
      <c r="AF164" t="s">
        <v>1568</v>
      </c>
      <c r="AG164" t="s">
        <v>344</v>
      </c>
    </row>
    <row r="165" spans="1:33" x14ac:dyDescent="0.3">
      <c r="A165" t="s">
        <v>9</v>
      </c>
      <c r="B165" t="s">
        <v>56</v>
      </c>
      <c r="C165" t="s">
        <v>15</v>
      </c>
      <c r="D165" t="s">
        <v>12</v>
      </c>
      <c r="E165" t="s">
        <v>1061</v>
      </c>
      <c r="F165" t="b">
        <v>1</v>
      </c>
      <c r="G165">
        <v>100</v>
      </c>
      <c r="H165">
        <v>1</v>
      </c>
      <c r="I165">
        <v>11104</v>
      </c>
      <c r="J165" s="61" t="s">
        <v>18</v>
      </c>
      <c r="K165" s="16" t="s">
        <v>272</v>
      </c>
      <c r="L165" s="16">
        <v>3</v>
      </c>
      <c r="M165" s="16" t="s">
        <v>277</v>
      </c>
      <c r="N165" s="16" t="s">
        <v>335</v>
      </c>
      <c r="O165" s="15" t="s">
        <v>282</v>
      </c>
      <c r="P165" t="s">
        <v>283</v>
      </c>
      <c r="Q165" t="s">
        <v>286</v>
      </c>
      <c r="R165" s="17" t="s">
        <v>371</v>
      </c>
      <c r="S165" s="16" t="s">
        <v>341</v>
      </c>
      <c r="T165" s="16" t="s">
        <v>342</v>
      </c>
      <c r="U165" s="15" t="s">
        <v>343</v>
      </c>
      <c r="V165" s="15" t="s">
        <v>344</v>
      </c>
      <c r="W165" s="17" t="s">
        <v>346</v>
      </c>
      <c r="X165" s="38"/>
      <c r="Y165" s="38"/>
      <c r="Z165" t="s">
        <v>9</v>
      </c>
      <c r="AA165" t="s">
        <v>1061</v>
      </c>
      <c r="AB165" s="16" t="s">
        <v>272</v>
      </c>
      <c r="AC165" s="16">
        <v>3</v>
      </c>
      <c r="AD165" t="s">
        <v>1524</v>
      </c>
      <c r="AE165" t="s">
        <v>1544</v>
      </c>
      <c r="AF165" t="s">
        <v>1566</v>
      </c>
      <c r="AG165" t="s">
        <v>1620</v>
      </c>
    </row>
    <row r="166" spans="1:33" x14ac:dyDescent="0.3">
      <c r="A166" t="s">
        <v>9</v>
      </c>
      <c r="B166" t="s">
        <v>56</v>
      </c>
      <c r="C166" t="s">
        <v>11</v>
      </c>
      <c r="D166" t="s">
        <v>12</v>
      </c>
      <c r="E166" t="s">
        <v>1062</v>
      </c>
      <c r="F166" t="b">
        <v>1</v>
      </c>
      <c r="G166">
        <v>100</v>
      </c>
      <c r="H166">
        <v>1</v>
      </c>
      <c r="I166">
        <v>3733</v>
      </c>
      <c r="J166" s="61" t="s">
        <v>18</v>
      </c>
      <c r="K166" s="16" t="s">
        <v>272</v>
      </c>
      <c r="L166" s="16">
        <v>2</v>
      </c>
      <c r="M166" s="16" t="s">
        <v>333</v>
      </c>
      <c r="N166" s="16" t="s">
        <v>278</v>
      </c>
      <c r="O166" s="15" t="s">
        <v>284</v>
      </c>
      <c r="P166" t="s">
        <v>371</v>
      </c>
      <c r="Q166" t="s">
        <v>371</v>
      </c>
      <c r="R166" s="17" t="s">
        <v>371</v>
      </c>
      <c r="S166" s="16" t="s">
        <v>341</v>
      </c>
      <c r="T166" s="16" t="s">
        <v>340</v>
      </c>
      <c r="U166" s="15" t="s">
        <v>343</v>
      </c>
      <c r="V166" s="15" t="s">
        <v>345</v>
      </c>
      <c r="W166" s="17" t="s">
        <v>371</v>
      </c>
      <c r="Z166" t="s">
        <v>9</v>
      </c>
      <c r="AA166" t="s">
        <v>1062</v>
      </c>
      <c r="AB166" s="16" t="s">
        <v>272</v>
      </c>
      <c r="AC166" s="16">
        <v>2</v>
      </c>
      <c r="AD166" t="s">
        <v>1525</v>
      </c>
      <c r="AE166" t="s">
        <v>284</v>
      </c>
      <c r="AF166" t="s">
        <v>1567</v>
      </c>
      <c r="AG166" t="s">
        <v>345</v>
      </c>
    </row>
    <row r="167" spans="1:33" x14ac:dyDescent="0.3">
      <c r="A167" t="s">
        <v>9</v>
      </c>
      <c r="B167" t="s">
        <v>56</v>
      </c>
      <c r="C167" t="s">
        <v>16</v>
      </c>
      <c r="D167" t="s">
        <v>12</v>
      </c>
      <c r="E167" t="s">
        <v>1063</v>
      </c>
      <c r="F167" t="b">
        <v>1</v>
      </c>
      <c r="G167">
        <v>100</v>
      </c>
      <c r="H167">
        <v>1</v>
      </c>
      <c r="I167">
        <v>13365</v>
      </c>
      <c r="J167" s="61" t="s">
        <v>18</v>
      </c>
      <c r="K167" s="16" t="s">
        <v>272</v>
      </c>
      <c r="L167" s="16">
        <v>3</v>
      </c>
      <c r="M167" s="16" t="s">
        <v>277</v>
      </c>
      <c r="N167" s="16" t="s">
        <v>335</v>
      </c>
      <c r="O167" s="15" t="s">
        <v>282</v>
      </c>
      <c r="P167" t="s">
        <v>283</v>
      </c>
      <c r="Q167" t="s">
        <v>286</v>
      </c>
      <c r="R167" s="17" t="s">
        <v>371</v>
      </c>
      <c r="S167" s="16" t="s">
        <v>341</v>
      </c>
      <c r="T167" s="16" t="s">
        <v>342</v>
      </c>
      <c r="U167" s="15" t="s">
        <v>343</v>
      </c>
      <c r="V167" s="15" t="s">
        <v>344</v>
      </c>
      <c r="W167" s="17" t="s">
        <v>371</v>
      </c>
      <c r="Z167" t="s">
        <v>9</v>
      </c>
      <c r="AA167" t="s">
        <v>1063</v>
      </c>
      <c r="AB167" s="16" t="s">
        <v>272</v>
      </c>
      <c r="AC167" s="16">
        <v>3</v>
      </c>
      <c r="AD167" t="s">
        <v>1524</v>
      </c>
      <c r="AE167" t="s">
        <v>1544</v>
      </c>
      <c r="AF167" t="s">
        <v>1566</v>
      </c>
      <c r="AG167" t="s">
        <v>344</v>
      </c>
    </row>
    <row r="168" spans="1:33" x14ac:dyDescent="0.3">
      <c r="A168" t="s">
        <v>9</v>
      </c>
      <c r="B168" t="s">
        <v>67</v>
      </c>
      <c r="C168" t="s">
        <v>15</v>
      </c>
      <c r="D168" t="s">
        <v>12</v>
      </c>
      <c r="E168" t="s">
        <v>1072</v>
      </c>
      <c r="F168" t="b">
        <v>1</v>
      </c>
      <c r="G168">
        <v>43.8</v>
      </c>
      <c r="H168">
        <v>0</v>
      </c>
      <c r="I168">
        <v>17943</v>
      </c>
      <c r="J168" s="61" t="s">
        <v>13</v>
      </c>
      <c r="K168" s="16" t="s">
        <v>272</v>
      </c>
      <c r="L168" s="16">
        <v>3</v>
      </c>
      <c r="M168" s="16" t="s">
        <v>277</v>
      </c>
      <c r="N168" s="16" t="s">
        <v>335</v>
      </c>
      <c r="O168" s="15" t="s">
        <v>283</v>
      </c>
      <c r="P168" t="s">
        <v>282</v>
      </c>
      <c r="Q168" t="s">
        <v>371</v>
      </c>
      <c r="R168" s="17" t="s">
        <v>371</v>
      </c>
      <c r="S168" s="16" t="s">
        <v>341</v>
      </c>
      <c r="T168" s="16" t="s">
        <v>342</v>
      </c>
      <c r="U168" s="15" t="s">
        <v>343</v>
      </c>
      <c r="V168" s="15" t="s">
        <v>344</v>
      </c>
      <c r="W168" s="17" t="s">
        <v>371</v>
      </c>
      <c r="Z168" t="s">
        <v>9</v>
      </c>
      <c r="AA168" t="s">
        <v>1072</v>
      </c>
      <c r="AB168" s="16" t="s">
        <v>272</v>
      </c>
      <c r="AC168" s="16">
        <v>3</v>
      </c>
      <c r="AD168" t="s">
        <v>1524</v>
      </c>
      <c r="AE168" t="s">
        <v>1540</v>
      </c>
      <c r="AF168" t="s">
        <v>1566</v>
      </c>
      <c r="AG168" t="s">
        <v>344</v>
      </c>
    </row>
    <row r="169" spans="1:33" x14ac:dyDescent="0.3">
      <c r="A169" t="s">
        <v>9</v>
      </c>
      <c r="B169" t="s">
        <v>67</v>
      </c>
      <c r="C169" t="s">
        <v>14</v>
      </c>
      <c r="D169" t="s">
        <v>12</v>
      </c>
      <c r="E169" t="s">
        <v>1073</v>
      </c>
      <c r="F169" t="b">
        <v>1</v>
      </c>
      <c r="G169">
        <v>85.9</v>
      </c>
      <c r="H169">
        <v>0</v>
      </c>
      <c r="I169">
        <v>16911</v>
      </c>
      <c r="J169" s="61" t="s">
        <v>13</v>
      </c>
      <c r="K169" s="16" t="s">
        <v>272</v>
      </c>
      <c r="L169" s="16">
        <v>3</v>
      </c>
      <c r="M169" s="16" t="s">
        <v>277</v>
      </c>
      <c r="N169" s="16" t="s">
        <v>335</v>
      </c>
      <c r="O169" s="15" t="s">
        <v>283</v>
      </c>
      <c r="P169" t="s">
        <v>282</v>
      </c>
      <c r="Q169" t="s">
        <v>371</v>
      </c>
      <c r="R169" s="17" t="s">
        <v>371</v>
      </c>
      <c r="S169" s="16" t="s">
        <v>341</v>
      </c>
      <c r="T169" s="16" t="s">
        <v>342</v>
      </c>
      <c r="U169" s="15" t="s">
        <v>343</v>
      </c>
      <c r="V169" s="15" t="s">
        <v>344</v>
      </c>
      <c r="W169" s="17" t="s">
        <v>377</v>
      </c>
      <c r="Z169" t="s">
        <v>9</v>
      </c>
      <c r="AA169" t="s">
        <v>1073</v>
      </c>
      <c r="AB169" s="16" t="s">
        <v>272</v>
      </c>
      <c r="AC169" s="16">
        <v>3</v>
      </c>
      <c r="AD169" t="s">
        <v>1524</v>
      </c>
      <c r="AE169" t="s">
        <v>1540</v>
      </c>
      <c r="AF169" t="s">
        <v>1566</v>
      </c>
      <c r="AG169" t="s">
        <v>1623</v>
      </c>
    </row>
    <row r="170" spans="1:33" x14ac:dyDescent="0.3">
      <c r="A170" t="s">
        <v>9</v>
      </c>
      <c r="B170" t="s">
        <v>67</v>
      </c>
      <c r="C170" t="s">
        <v>11</v>
      </c>
      <c r="D170" t="s">
        <v>12</v>
      </c>
      <c r="E170" t="s">
        <v>1074</v>
      </c>
      <c r="F170" t="b">
        <v>1</v>
      </c>
      <c r="G170">
        <v>100</v>
      </c>
      <c r="H170">
        <v>1</v>
      </c>
      <c r="I170">
        <v>12934</v>
      </c>
      <c r="J170" s="61" t="s">
        <v>18</v>
      </c>
      <c r="K170" s="16" t="s">
        <v>272</v>
      </c>
      <c r="L170" s="16">
        <v>3</v>
      </c>
      <c r="M170" s="16" t="s">
        <v>277</v>
      </c>
      <c r="N170" s="16" t="s">
        <v>335</v>
      </c>
      <c r="O170" s="15" t="s">
        <v>283</v>
      </c>
      <c r="P170" t="s">
        <v>282</v>
      </c>
      <c r="Q170" t="s">
        <v>371</v>
      </c>
      <c r="R170" s="17" t="s">
        <v>371</v>
      </c>
      <c r="S170" s="16" t="s">
        <v>341</v>
      </c>
      <c r="T170" s="16" t="s">
        <v>342</v>
      </c>
      <c r="U170" s="15" t="s">
        <v>343</v>
      </c>
      <c r="V170" s="15" t="s">
        <v>344</v>
      </c>
      <c r="W170" s="17" t="s">
        <v>377</v>
      </c>
      <c r="Z170" t="s">
        <v>9</v>
      </c>
      <c r="AA170" t="s">
        <v>1074</v>
      </c>
      <c r="AB170" s="16" t="s">
        <v>272</v>
      </c>
      <c r="AC170" s="16">
        <v>3</v>
      </c>
      <c r="AD170" t="s">
        <v>1524</v>
      </c>
      <c r="AE170" t="s">
        <v>1540</v>
      </c>
      <c r="AF170" t="s">
        <v>1566</v>
      </c>
      <c r="AG170" t="s">
        <v>1623</v>
      </c>
    </row>
    <row r="171" spans="1:33" x14ac:dyDescent="0.3">
      <c r="A171" t="s">
        <v>9</v>
      </c>
      <c r="B171" t="s">
        <v>67</v>
      </c>
      <c r="C171" t="s">
        <v>19</v>
      </c>
      <c r="D171" t="s">
        <v>12</v>
      </c>
      <c r="E171" t="s">
        <v>1075</v>
      </c>
      <c r="F171" t="b">
        <v>1</v>
      </c>
      <c r="G171">
        <v>83.2</v>
      </c>
      <c r="H171">
        <v>0</v>
      </c>
      <c r="I171">
        <v>12045</v>
      </c>
      <c r="J171" s="61" t="s">
        <v>13</v>
      </c>
      <c r="K171" s="16" t="s">
        <v>272</v>
      </c>
      <c r="L171" s="16">
        <v>3</v>
      </c>
      <c r="M171" s="16" t="s">
        <v>277</v>
      </c>
      <c r="N171" s="16" t="s">
        <v>335</v>
      </c>
      <c r="O171" s="15" t="s">
        <v>283</v>
      </c>
      <c r="P171" t="s">
        <v>339</v>
      </c>
      <c r="Q171" t="s">
        <v>282</v>
      </c>
      <c r="R171" s="17" t="s">
        <v>371</v>
      </c>
      <c r="S171" s="16" t="s">
        <v>341</v>
      </c>
      <c r="T171" s="16" t="s">
        <v>342</v>
      </c>
      <c r="U171" s="15" t="s">
        <v>343</v>
      </c>
      <c r="V171" s="15" t="s">
        <v>344</v>
      </c>
      <c r="W171" s="17" t="s">
        <v>377</v>
      </c>
      <c r="Z171" t="s">
        <v>9</v>
      </c>
      <c r="AA171" t="s">
        <v>1075</v>
      </c>
      <c r="AB171" s="16" t="s">
        <v>272</v>
      </c>
      <c r="AC171" s="16">
        <v>3</v>
      </c>
      <c r="AD171" t="s">
        <v>1524</v>
      </c>
      <c r="AE171" t="s">
        <v>1650</v>
      </c>
      <c r="AF171" t="s">
        <v>1566</v>
      </c>
      <c r="AG171" t="s">
        <v>1623</v>
      </c>
    </row>
    <row r="172" spans="1:33" x14ac:dyDescent="0.3">
      <c r="A172" t="s">
        <v>9</v>
      </c>
      <c r="B172" t="s">
        <v>67</v>
      </c>
      <c r="C172" t="s">
        <v>17</v>
      </c>
      <c r="D172" t="s">
        <v>12</v>
      </c>
      <c r="E172" t="s">
        <v>1076</v>
      </c>
      <c r="F172" t="b">
        <v>1</v>
      </c>
      <c r="G172">
        <v>62.3</v>
      </c>
      <c r="H172">
        <v>0</v>
      </c>
      <c r="I172">
        <v>14810</v>
      </c>
      <c r="J172" s="61" t="s">
        <v>13</v>
      </c>
      <c r="K172" s="16" t="s">
        <v>272</v>
      </c>
      <c r="L172" s="16">
        <v>3</v>
      </c>
      <c r="M172" s="16" t="s">
        <v>277</v>
      </c>
      <c r="N172" s="16" t="s">
        <v>335</v>
      </c>
      <c r="O172" s="15" t="s">
        <v>283</v>
      </c>
      <c r="P172" t="s">
        <v>282</v>
      </c>
      <c r="Q172" t="s">
        <v>371</v>
      </c>
      <c r="R172" s="17" t="s">
        <v>371</v>
      </c>
      <c r="S172" s="16" t="s">
        <v>341</v>
      </c>
      <c r="T172" s="16" t="s">
        <v>342</v>
      </c>
      <c r="U172" s="15" t="s">
        <v>343</v>
      </c>
      <c r="V172" s="15" t="s">
        <v>344</v>
      </c>
      <c r="W172" s="17" t="s">
        <v>371</v>
      </c>
      <c r="Z172" t="s">
        <v>9</v>
      </c>
      <c r="AA172" t="s">
        <v>1076</v>
      </c>
      <c r="AB172" s="16" t="s">
        <v>272</v>
      </c>
      <c r="AC172" s="16">
        <v>3</v>
      </c>
      <c r="AD172" t="s">
        <v>1524</v>
      </c>
      <c r="AE172" t="s">
        <v>1540</v>
      </c>
      <c r="AF172" t="s">
        <v>1566</v>
      </c>
      <c r="AG172" t="s">
        <v>344</v>
      </c>
    </row>
    <row r="173" spans="1:33" x14ac:dyDescent="0.3">
      <c r="A173" t="s">
        <v>9</v>
      </c>
      <c r="B173" t="s">
        <v>67</v>
      </c>
      <c r="C173" t="s">
        <v>16</v>
      </c>
      <c r="D173" t="s">
        <v>12</v>
      </c>
      <c r="E173" t="s">
        <v>1077</v>
      </c>
      <c r="F173" t="b">
        <v>1</v>
      </c>
      <c r="G173">
        <v>44.5</v>
      </c>
      <c r="H173">
        <v>0</v>
      </c>
      <c r="I173">
        <v>16540</v>
      </c>
      <c r="J173" s="61" t="s">
        <v>13</v>
      </c>
      <c r="K173" s="16" t="s">
        <v>272</v>
      </c>
      <c r="L173" s="16">
        <v>3</v>
      </c>
      <c r="M173" s="16" t="s">
        <v>277</v>
      </c>
      <c r="N173" s="16" t="s">
        <v>335</v>
      </c>
      <c r="O173" s="15" t="s">
        <v>283</v>
      </c>
      <c r="P173" t="s">
        <v>282</v>
      </c>
      <c r="Q173" t="s">
        <v>371</v>
      </c>
      <c r="R173" s="17" t="s">
        <v>371</v>
      </c>
      <c r="S173" s="16" t="s">
        <v>341</v>
      </c>
      <c r="T173" s="16" t="s">
        <v>342</v>
      </c>
      <c r="U173" s="15" t="s">
        <v>343</v>
      </c>
      <c r="V173" s="15" t="s">
        <v>344</v>
      </c>
      <c r="W173" s="17" t="s">
        <v>371</v>
      </c>
      <c r="Z173" t="s">
        <v>9</v>
      </c>
      <c r="AA173" t="s">
        <v>1077</v>
      </c>
      <c r="AB173" s="16" t="s">
        <v>272</v>
      </c>
      <c r="AC173" s="16">
        <v>3</v>
      </c>
      <c r="AD173" t="s">
        <v>1524</v>
      </c>
      <c r="AE173" t="s">
        <v>1540</v>
      </c>
      <c r="AF173" t="s">
        <v>1566</v>
      </c>
      <c r="AG173" t="s">
        <v>344</v>
      </c>
    </row>
    <row r="174" spans="1:33" x14ac:dyDescent="0.3">
      <c r="A174" t="s">
        <v>43</v>
      </c>
      <c r="B174" t="s">
        <v>44</v>
      </c>
      <c r="C174" t="s">
        <v>15</v>
      </c>
      <c r="D174" t="s">
        <v>12</v>
      </c>
      <c r="E174" t="s">
        <v>1089</v>
      </c>
      <c r="F174" t="b">
        <v>1</v>
      </c>
      <c r="G174">
        <v>100</v>
      </c>
      <c r="H174">
        <v>1</v>
      </c>
      <c r="I174">
        <v>27807</v>
      </c>
      <c r="J174" s="61" t="s">
        <v>18</v>
      </c>
      <c r="K174" s="16" t="s">
        <v>272</v>
      </c>
      <c r="L174" s="16">
        <v>3</v>
      </c>
      <c r="M174" s="16" t="s">
        <v>277</v>
      </c>
      <c r="N174" s="16" t="s">
        <v>335</v>
      </c>
      <c r="O174" s="15" t="s">
        <v>282</v>
      </c>
      <c r="P174" t="s">
        <v>281</v>
      </c>
      <c r="Q174" t="s">
        <v>284</v>
      </c>
      <c r="R174" s="17" t="s">
        <v>371</v>
      </c>
      <c r="S174" s="16" t="s">
        <v>341</v>
      </c>
      <c r="T174" s="16" t="s">
        <v>342</v>
      </c>
      <c r="U174" s="15" t="s">
        <v>343</v>
      </c>
      <c r="V174" s="15" t="s">
        <v>344</v>
      </c>
      <c r="W174" s="17" t="s">
        <v>291</v>
      </c>
      <c r="Z174" t="s">
        <v>43</v>
      </c>
      <c r="AA174" t="s">
        <v>1089</v>
      </c>
      <c r="AB174" s="16" t="s">
        <v>272</v>
      </c>
      <c r="AC174" s="16">
        <v>3</v>
      </c>
      <c r="AD174" t="s">
        <v>1524</v>
      </c>
      <c r="AE174" t="s">
        <v>1555</v>
      </c>
      <c r="AF174" t="s">
        <v>1566</v>
      </c>
      <c r="AG174" t="s">
        <v>1570</v>
      </c>
    </row>
    <row r="175" spans="1:33" x14ac:dyDescent="0.3">
      <c r="A175" t="s">
        <v>43</v>
      </c>
      <c r="B175" t="s">
        <v>44</v>
      </c>
      <c r="C175" t="s">
        <v>14</v>
      </c>
      <c r="D175" t="s">
        <v>12</v>
      </c>
      <c r="E175" t="s">
        <v>1090</v>
      </c>
      <c r="F175" t="b">
        <v>1</v>
      </c>
      <c r="G175">
        <v>100</v>
      </c>
      <c r="H175">
        <v>1</v>
      </c>
      <c r="I175">
        <v>26505</v>
      </c>
      <c r="J175" s="61" t="s">
        <v>18</v>
      </c>
      <c r="K175" s="16" t="s">
        <v>272</v>
      </c>
      <c r="L175" s="16">
        <v>3</v>
      </c>
      <c r="M175" s="16" t="s">
        <v>277</v>
      </c>
      <c r="N175" s="16" t="s">
        <v>335</v>
      </c>
      <c r="O175" s="15" t="s">
        <v>282</v>
      </c>
      <c r="P175" t="s">
        <v>281</v>
      </c>
      <c r="Q175" t="s">
        <v>284</v>
      </c>
      <c r="R175" s="17" t="s">
        <v>371</v>
      </c>
      <c r="S175" s="16" t="s">
        <v>341</v>
      </c>
      <c r="T175" s="16" t="s">
        <v>342</v>
      </c>
      <c r="U175" s="15" t="s">
        <v>343</v>
      </c>
      <c r="V175" s="15" t="s">
        <v>344</v>
      </c>
      <c r="W175" s="17" t="s">
        <v>291</v>
      </c>
      <c r="Z175" t="s">
        <v>43</v>
      </c>
      <c r="AA175" t="s">
        <v>1090</v>
      </c>
      <c r="AB175" s="16" t="s">
        <v>272</v>
      </c>
      <c r="AC175" s="16">
        <v>3</v>
      </c>
      <c r="AD175" t="s">
        <v>1524</v>
      </c>
      <c r="AE175" t="s">
        <v>1555</v>
      </c>
      <c r="AF175" t="s">
        <v>1566</v>
      </c>
      <c r="AG175" t="s">
        <v>1570</v>
      </c>
    </row>
    <row r="176" spans="1:33" x14ac:dyDescent="0.3">
      <c r="A176" t="s">
        <v>43</v>
      </c>
      <c r="B176" t="s">
        <v>44</v>
      </c>
      <c r="C176" t="s">
        <v>11</v>
      </c>
      <c r="D176" t="s">
        <v>12</v>
      </c>
      <c r="E176" t="s">
        <v>1091</v>
      </c>
      <c r="F176" t="b">
        <v>1</v>
      </c>
      <c r="G176">
        <v>100</v>
      </c>
      <c r="H176">
        <v>1</v>
      </c>
      <c r="I176">
        <v>14115</v>
      </c>
      <c r="J176" s="61" t="s">
        <v>18</v>
      </c>
      <c r="K176" s="16" t="s">
        <v>272</v>
      </c>
      <c r="L176" s="16">
        <v>3</v>
      </c>
      <c r="M176" s="16" t="s">
        <v>277</v>
      </c>
      <c r="N176" s="16" t="s">
        <v>335</v>
      </c>
      <c r="O176" s="15" t="s">
        <v>282</v>
      </c>
      <c r="P176" t="s">
        <v>281</v>
      </c>
      <c r="Q176" t="s">
        <v>284</v>
      </c>
      <c r="R176" s="17" t="s">
        <v>371</v>
      </c>
      <c r="S176" s="16" t="s">
        <v>340</v>
      </c>
      <c r="T176" s="16" t="s">
        <v>340</v>
      </c>
      <c r="U176" s="15" t="s">
        <v>343</v>
      </c>
      <c r="V176" s="15" t="s">
        <v>291</v>
      </c>
      <c r="W176" s="17" t="s">
        <v>371</v>
      </c>
      <c r="Z176" t="s">
        <v>43</v>
      </c>
      <c r="AA176" t="s">
        <v>1091</v>
      </c>
      <c r="AB176" s="16" t="s">
        <v>272</v>
      </c>
      <c r="AC176" s="16">
        <v>3</v>
      </c>
      <c r="AD176" t="s">
        <v>1524</v>
      </c>
      <c r="AE176" t="s">
        <v>1555</v>
      </c>
      <c r="AF176" t="s">
        <v>343</v>
      </c>
      <c r="AG176" t="s">
        <v>291</v>
      </c>
    </row>
    <row r="177" spans="1:33" x14ac:dyDescent="0.3">
      <c r="A177" t="s">
        <v>43</v>
      </c>
      <c r="B177" t="s">
        <v>44</v>
      </c>
      <c r="C177" t="s">
        <v>19</v>
      </c>
      <c r="D177" t="s">
        <v>12</v>
      </c>
      <c r="E177" t="s">
        <v>1092</v>
      </c>
      <c r="F177" t="b">
        <v>1</v>
      </c>
      <c r="G177">
        <v>100</v>
      </c>
      <c r="H177">
        <v>1</v>
      </c>
      <c r="I177">
        <v>14465</v>
      </c>
      <c r="J177" s="61" t="s">
        <v>18</v>
      </c>
      <c r="K177" s="16" t="s">
        <v>272</v>
      </c>
      <c r="L177" s="16">
        <v>3</v>
      </c>
      <c r="M177" s="16" t="s">
        <v>277</v>
      </c>
      <c r="N177" s="16" t="s">
        <v>335</v>
      </c>
      <c r="O177" s="15" t="s">
        <v>282</v>
      </c>
      <c r="P177" t="s">
        <v>371</v>
      </c>
      <c r="Q177" t="s">
        <v>371</v>
      </c>
      <c r="R177" s="17" t="s">
        <v>371</v>
      </c>
      <c r="S177" s="16" t="s">
        <v>341</v>
      </c>
      <c r="T177" s="16" t="s">
        <v>340</v>
      </c>
      <c r="U177" s="15" t="s">
        <v>343</v>
      </c>
      <c r="V177" s="15" t="s">
        <v>345</v>
      </c>
      <c r="W177" s="17" t="s">
        <v>371</v>
      </c>
      <c r="Z177" t="s">
        <v>43</v>
      </c>
      <c r="AA177" t="s">
        <v>1092</v>
      </c>
      <c r="AB177" s="16" t="s">
        <v>272</v>
      </c>
      <c r="AC177" s="16">
        <v>3</v>
      </c>
      <c r="AD177" t="s">
        <v>1524</v>
      </c>
      <c r="AE177" t="s">
        <v>282</v>
      </c>
      <c r="AF177" t="s">
        <v>1567</v>
      </c>
      <c r="AG177" t="s">
        <v>345</v>
      </c>
    </row>
    <row r="178" spans="1:33" x14ac:dyDescent="0.3">
      <c r="A178" t="s">
        <v>43</v>
      </c>
      <c r="B178" t="s">
        <v>44</v>
      </c>
      <c r="C178" t="s">
        <v>17</v>
      </c>
      <c r="D178" t="s">
        <v>12</v>
      </c>
      <c r="E178" t="s">
        <v>1093</v>
      </c>
      <c r="F178" t="b">
        <v>1</v>
      </c>
      <c r="G178">
        <v>100</v>
      </c>
      <c r="H178">
        <v>1</v>
      </c>
      <c r="I178">
        <v>11516</v>
      </c>
      <c r="J178" s="61" t="s">
        <v>18</v>
      </c>
      <c r="K178" s="16" t="s">
        <v>272</v>
      </c>
      <c r="L178" s="16">
        <v>3</v>
      </c>
      <c r="M178" s="16" t="s">
        <v>277</v>
      </c>
      <c r="N178" s="16" t="s">
        <v>335</v>
      </c>
      <c r="O178" s="15" t="s">
        <v>282</v>
      </c>
      <c r="P178" t="s">
        <v>371</v>
      </c>
      <c r="Q178" t="s">
        <v>371</v>
      </c>
      <c r="R178" s="17" t="s">
        <v>371</v>
      </c>
      <c r="S178" s="16" t="s">
        <v>340</v>
      </c>
      <c r="T178" s="16" t="s">
        <v>340</v>
      </c>
      <c r="U178" s="15" t="s">
        <v>343</v>
      </c>
      <c r="V178" s="15" t="s">
        <v>348</v>
      </c>
      <c r="W178" s="17" t="s">
        <v>371</v>
      </c>
      <c r="Z178" t="s">
        <v>43</v>
      </c>
      <c r="AA178" t="s">
        <v>1093</v>
      </c>
      <c r="AB178" s="16" t="s">
        <v>272</v>
      </c>
      <c r="AC178" s="16">
        <v>3</v>
      </c>
      <c r="AD178" t="s">
        <v>1524</v>
      </c>
      <c r="AE178" t="s">
        <v>282</v>
      </c>
      <c r="AF178" t="s">
        <v>343</v>
      </c>
      <c r="AG178" t="s">
        <v>348</v>
      </c>
    </row>
    <row r="179" spans="1:33" x14ac:dyDescent="0.3">
      <c r="A179" t="s">
        <v>43</v>
      </c>
      <c r="B179" t="s">
        <v>44</v>
      </c>
      <c r="C179" t="s">
        <v>16</v>
      </c>
      <c r="D179" t="s">
        <v>12</v>
      </c>
      <c r="E179" t="s">
        <v>1094</v>
      </c>
      <c r="F179" t="b">
        <v>1</v>
      </c>
      <c r="G179">
        <v>100</v>
      </c>
      <c r="H179">
        <v>1</v>
      </c>
      <c r="I179">
        <v>19633</v>
      </c>
      <c r="J179" s="61" t="s">
        <v>18</v>
      </c>
      <c r="K179" s="16" t="s">
        <v>272</v>
      </c>
      <c r="L179" s="16">
        <v>3</v>
      </c>
      <c r="M179" s="16" t="s">
        <v>277</v>
      </c>
      <c r="N179" s="16" t="s">
        <v>335</v>
      </c>
      <c r="O179" s="15" t="s">
        <v>281</v>
      </c>
      <c r="P179" t="s">
        <v>282</v>
      </c>
      <c r="Q179" t="s">
        <v>284</v>
      </c>
      <c r="R179" s="17" t="s">
        <v>371</v>
      </c>
      <c r="S179" s="16" t="s">
        <v>341</v>
      </c>
      <c r="T179" s="16" t="s">
        <v>340</v>
      </c>
      <c r="U179" s="15" t="s">
        <v>343</v>
      </c>
      <c r="V179" s="15" t="s">
        <v>344</v>
      </c>
      <c r="W179" s="17" t="s">
        <v>371</v>
      </c>
      <c r="Z179" t="s">
        <v>43</v>
      </c>
      <c r="AA179" t="s">
        <v>1094</v>
      </c>
      <c r="AB179" s="16" t="s">
        <v>272</v>
      </c>
      <c r="AC179" s="16">
        <v>3</v>
      </c>
      <c r="AD179" t="s">
        <v>1524</v>
      </c>
      <c r="AE179" t="s">
        <v>1555</v>
      </c>
      <c r="AF179" t="s">
        <v>1567</v>
      </c>
      <c r="AG179" t="s">
        <v>344</v>
      </c>
    </row>
    <row r="180" spans="1:33" x14ac:dyDescent="0.3">
      <c r="A180" t="s">
        <v>43</v>
      </c>
      <c r="B180" t="s">
        <v>44</v>
      </c>
      <c r="C180" t="s">
        <v>20</v>
      </c>
      <c r="D180" t="s">
        <v>12</v>
      </c>
      <c r="E180" t="s">
        <v>1095</v>
      </c>
      <c r="F180" t="b">
        <v>1</v>
      </c>
      <c r="G180">
        <v>78.599999999999994</v>
      </c>
      <c r="H180">
        <v>0</v>
      </c>
      <c r="I180">
        <v>17218</v>
      </c>
      <c r="J180" s="61" t="s">
        <v>13</v>
      </c>
      <c r="K180" s="16" t="s">
        <v>272</v>
      </c>
      <c r="L180" s="16">
        <v>3</v>
      </c>
      <c r="M180" s="16" t="s">
        <v>277</v>
      </c>
      <c r="N180" s="16" t="s">
        <v>335</v>
      </c>
      <c r="O180" s="15" t="s">
        <v>282</v>
      </c>
      <c r="P180" t="s">
        <v>371</v>
      </c>
      <c r="Q180" t="s">
        <v>371</v>
      </c>
      <c r="R180" s="17" t="s">
        <v>371</v>
      </c>
      <c r="S180" s="16" t="s">
        <v>341</v>
      </c>
      <c r="T180" s="16" t="s">
        <v>340</v>
      </c>
      <c r="U180" s="15" t="s">
        <v>343</v>
      </c>
      <c r="V180" s="15" t="s">
        <v>345</v>
      </c>
      <c r="W180" s="17" t="s">
        <v>371</v>
      </c>
      <c r="Z180" t="s">
        <v>43</v>
      </c>
      <c r="AA180" t="s">
        <v>1095</v>
      </c>
      <c r="AB180" s="16" t="s">
        <v>272</v>
      </c>
      <c r="AC180" s="16">
        <v>3</v>
      </c>
      <c r="AD180" t="s">
        <v>1524</v>
      </c>
      <c r="AE180" t="s">
        <v>282</v>
      </c>
      <c r="AF180" t="s">
        <v>1567</v>
      </c>
      <c r="AG180" t="s">
        <v>345</v>
      </c>
    </row>
    <row r="181" spans="1:33" x14ac:dyDescent="0.3">
      <c r="A181" t="s">
        <v>45</v>
      </c>
      <c r="B181" t="s">
        <v>75</v>
      </c>
      <c r="C181" t="s">
        <v>15</v>
      </c>
      <c r="D181" t="s">
        <v>12</v>
      </c>
      <c r="E181" t="s">
        <v>1101</v>
      </c>
      <c r="F181" t="b">
        <v>1</v>
      </c>
      <c r="G181">
        <v>89.9</v>
      </c>
      <c r="H181">
        <v>0</v>
      </c>
      <c r="I181">
        <v>19855</v>
      </c>
      <c r="J181" s="61" t="s">
        <v>13</v>
      </c>
      <c r="K181" s="16" t="s">
        <v>272</v>
      </c>
      <c r="L181" s="16">
        <v>2</v>
      </c>
      <c r="M181" s="16" t="s">
        <v>277</v>
      </c>
      <c r="N181" s="16" t="s">
        <v>335</v>
      </c>
      <c r="O181" s="15" t="s">
        <v>283</v>
      </c>
      <c r="P181" t="s">
        <v>281</v>
      </c>
      <c r="Q181" t="s">
        <v>284</v>
      </c>
      <c r="R181" s="17" t="s">
        <v>371</v>
      </c>
      <c r="S181" s="16" t="s">
        <v>340</v>
      </c>
      <c r="T181" s="16" t="s">
        <v>342</v>
      </c>
      <c r="U181" s="15" t="s">
        <v>340</v>
      </c>
      <c r="V181" s="15" t="s">
        <v>344</v>
      </c>
      <c r="W181" s="17" t="s">
        <v>371</v>
      </c>
      <c r="Z181" t="s">
        <v>45</v>
      </c>
      <c r="AA181" t="s">
        <v>1101</v>
      </c>
      <c r="AB181" s="16" t="s">
        <v>272</v>
      </c>
      <c r="AC181" s="16">
        <v>2</v>
      </c>
      <c r="AD181" t="s">
        <v>1524</v>
      </c>
      <c r="AE181" t="s">
        <v>1547</v>
      </c>
      <c r="AF181" t="s">
        <v>342</v>
      </c>
      <c r="AG181" t="s">
        <v>344</v>
      </c>
    </row>
    <row r="182" spans="1:33" x14ac:dyDescent="0.3">
      <c r="A182" t="s">
        <v>45</v>
      </c>
      <c r="B182" t="s">
        <v>75</v>
      </c>
      <c r="C182" t="s">
        <v>14</v>
      </c>
      <c r="D182" t="s">
        <v>12</v>
      </c>
      <c r="E182" t="s">
        <v>1102</v>
      </c>
      <c r="F182" t="b">
        <v>1</v>
      </c>
      <c r="G182">
        <v>100</v>
      </c>
      <c r="H182">
        <v>1</v>
      </c>
      <c r="I182">
        <v>21851</v>
      </c>
      <c r="J182" s="61" t="s">
        <v>13</v>
      </c>
      <c r="K182" s="16" t="s">
        <v>272</v>
      </c>
      <c r="L182" s="16">
        <v>3</v>
      </c>
      <c r="M182" s="16" t="s">
        <v>277</v>
      </c>
      <c r="N182" s="16" t="s">
        <v>335</v>
      </c>
      <c r="O182" s="15" t="s">
        <v>282</v>
      </c>
      <c r="P182" t="s">
        <v>281</v>
      </c>
      <c r="Q182" t="s">
        <v>284</v>
      </c>
      <c r="R182" s="17" t="s">
        <v>371</v>
      </c>
      <c r="S182" s="16" t="s">
        <v>340</v>
      </c>
      <c r="T182" s="16" t="s">
        <v>342</v>
      </c>
      <c r="U182" s="15" t="s">
        <v>343</v>
      </c>
      <c r="V182" s="15" t="s">
        <v>344</v>
      </c>
      <c r="W182" s="17" t="s">
        <v>371</v>
      </c>
      <c r="Z182" t="s">
        <v>45</v>
      </c>
      <c r="AA182" t="s">
        <v>1102</v>
      </c>
      <c r="AB182" s="16" t="s">
        <v>272</v>
      </c>
      <c r="AC182" s="16">
        <v>3</v>
      </c>
      <c r="AD182" t="s">
        <v>1524</v>
      </c>
      <c r="AE182" t="s">
        <v>1555</v>
      </c>
      <c r="AF182" t="s">
        <v>1568</v>
      </c>
      <c r="AG182" t="s">
        <v>344</v>
      </c>
    </row>
    <row r="183" spans="1:33" x14ac:dyDescent="0.3">
      <c r="A183" t="s">
        <v>45</v>
      </c>
      <c r="B183" t="s">
        <v>75</v>
      </c>
      <c r="C183" t="s">
        <v>11</v>
      </c>
      <c r="D183" t="s">
        <v>12</v>
      </c>
      <c r="E183" t="s">
        <v>1103</v>
      </c>
      <c r="F183" t="b">
        <v>1</v>
      </c>
      <c r="G183">
        <v>99.9</v>
      </c>
      <c r="H183">
        <v>0</v>
      </c>
      <c r="I183">
        <v>22156</v>
      </c>
      <c r="J183" s="61" t="s">
        <v>18</v>
      </c>
      <c r="K183" s="16" t="s">
        <v>272</v>
      </c>
      <c r="L183" s="16">
        <v>2</v>
      </c>
      <c r="M183" s="16" t="s">
        <v>277</v>
      </c>
      <c r="N183" s="16" t="s">
        <v>335</v>
      </c>
      <c r="O183" s="15" t="s">
        <v>282</v>
      </c>
      <c r="P183" t="s">
        <v>281</v>
      </c>
      <c r="Q183" t="s">
        <v>284</v>
      </c>
      <c r="R183" s="17" t="s">
        <v>371</v>
      </c>
      <c r="S183" s="16" t="s">
        <v>340</v>
      </c>
      <c r="T183" s="16" t="s">
        <v>342</v>
      </c>
      <c r="U183" s="15" t="s">
        <v>340</v>
      </c>
      <c r="V183" s="15" t="s">
        <v>344</v>
      </c>
      <c r="W183" s="17" t="s">
        <v>371</v>
      </c>
      <c r="Z183" t="s">
        <v>45</v>
      </c>
      <c r="AA183" t="s">
        <v>1103</v>
      </c>
      <c r="AB183" s="16" t="s">
        <v>272</v>
      </c>
      <c r="AC183" s="16">
        <v>2</v>
      </c>
      <c r="AD183" t="s">
        <v>1524</v>
      </c>
      <c r="AE183" t="s">
        <v>1555</v>
      </c>
      <c r="AF183" t="s">
        <v>342</v>
      </c>
      <c r="AG183" t="s">
        <v>344</v>
      </c>
    </row>
    <row r="184" spans="1:33" x14ac:dyDescent="0.3">
      <c r="A184" t="s">
        <v>45</v>
      </c>
      <c r="B184" t="s">
        <v>75</v>
      </c>
      <c r="C184" t="s">
        <v>19</v>
      </c>
      <c r="D184" t="s">
        <v>12</v>
      </c>
      <c r="E184" t="s">
        <v>1104</v>
      </c>
      <c r="F184" t="b">
        <v>1</v>
      </c>
      <c r="G184">
        <v>100</v>
      </c>
      <c r="H184">
        <v>1</v>
      </c>
      <c r="I184">
        <v>14900</v>
      </c>
      <c r="J184" s="61" t="s">
        <v>18</v>
      </c>
      <c r="K184" s="16" t="s">
        <v>272</v>
      </c>
      <c r="L184" s="16">
        <v>2</v>
      </c>
      <c r="M184" s="16" t="s">
        <v>277</v>
      </c>
      <c r="N184" s="16" t="s">
        <v>335</v>
      </c>
      <c r="O184" s="15" t="s">
        <v>282</v>
      </c>
      <c r="P184" t="s">
        <v>371</v>
      </c>
      <c r="Q184" t="s">
        <v>371</v>
      </c>
      <c r="R184" s="17" t="s">
        <v>371</v>
      </c>
      <c r="S184" s="16" t="s">
        <v>340</v>
      </c>
      <c r="T184" s="16" t="s">
        <v>342</v>
      </c>
      <c r="U184" s="15" t="s">
        <v>340</v>
      </c>
      <c r="V184" s="15" t="s">
        <v>347</v>
      </c>
      <c r="W184" s="17" t="s">
        <v>371</v>
      </c>
      <c r="Z184" t="s">
        <v>45</v>
      </c>
      <c r="AA184" t="s">
        <v>1104</v>
      </c>
      <c r="AB184" s="16" t="s">
        <v>272</v>
      </c>
      <c r="AC184" s="16">
        <v>2</v>
      </c>
      <c r="AD184" t="s">
        <v>1524</v>
      </c>
      <c r="AE184" t="s">
        <v>282</v>
      </c>
      <c r="AF184" t="s">
        <v>342</v>
      </c>
      <c r="AG184" t="s">
        <v>347</v>
      </c>
    </row>
    <row r="185" spans="1:33" x14ac:dyDescent="0.3">
      <c r="A185" t="s">
        <v>45</v>
      </c>
      <c r="B185" t="s">
        <v>75</v>
      </c>
      <c r="C185" t="s">
        <v>17</v>
      </c>
      <c r="D185" t="s">
        <v>12</v>
      </c>
      <c r="E185" t="s">
        <v>1105</v>
      </c>
      <c r="F185" t="b">
        <v>1</v>
      </c>
      <c r="G185">
        <v>100</v>
      </c>
      <c r="H185">
        <v>1</v>
      </c>
      <c r="I185">
        <v>14657</v>
      </c>
      <c r="J185" s="61" t="s">
        <v>18</v>
      </c>
      <c r="K185" s="16" t="s">
        <v>272</v>
      </c>
      <c r="L185" s="16">
        <v>2</v>
      </c>
      <c r="M185" s="16" t="s">
        <v>277</v>
      </c>
      <c r="N185" s="16" t="s">
        <v>335</v>
      </c>
      <c r="O185" s="15" t="s">
        <v>282</v>
      </c>
      <c r="P185" t="s">
        <v>281</v>
      </c>
      <c r="Q185" t="s">
        <v>284</v>
      </c>
      <c r="R185" s="17" t="s">
        <v>371</v>
      </c>
      <c r="S185" s="16" t="s">
        <v>340</v>
      </c>
      <c r="T185" s="16" t="s">
        <v>342</v>
      </c>
      <c r="U185" s="15" t="s">
        <v>340</v>
      </c>
      <c r="V185" s="15" t="s">
        <v>344</v>
      </c>
      <c r="W185" s="17" t="s">
        <v>371</v>
      </c>
      <c r="Z185" t="s">
        <v>45</v>
      </c>
      <c r="AA185" t="s">
        <v>1105</v>
      </c>
      <c r="AB185" s="16" t="s">
        <v>272</v>
      </c>
      <c r="AC185" s="16">
        <v>2</v>
      </c>
      <c r="AD185" t="s">
        <v>1524</v>
      </c>
      <c r="AE185" t="s">
        <v>1555</v>
      </c>
      <c r="AF185" t="s">
        <v>342</v>
      </c>
      <c r="AG185" t="s">
        <v>344</v>
      </c>
    </row>
    <row r="186" spans="1:33" x14ac:dyDescent="0.3">
      <c r="A186" t="s">
        <v>45</v>
      </c>
      <c r="B186" t="s">
        <v>75</v>
      </c>
      <c r="C186" t="s">
        <v>16</v>
      </c>
      <c r="D186" t="s">
        <v>12</v>
      </c>
      <c r="E186" t="s">
        <v>1106</v>
      </c>
      <c r="F186" t="b">
        <v>1</v>
      </c>
      <c r="G186">
        <v>100</v>
      </c>
      <c r="H186">
        <v>1</v>
      </c>
      <c r="I186">
        <v>17386</v>
      </c>
      <c r="J186" s="61" t="s">
        <v>18</v>
      </c>
      <c r="K186" s="16" t="s">
        <v>272</v>
      </c>
      <c r="L186" s="16">
        <v>2</v>
      </c>
      <c r="M186" s="16" t="s">
        <v>277</v>
      </c>
      <c r="N186" s="16" t="s">
        <v>335</v>
      </c>
      <c r="O186" s="15" t="s">
        <v>282</v>
      </c>
      <c r="P186" t="s">
        <v>371</v>
      </c>
      <c r="Q186" t="s">
        <v>371</v>
      </c>
      <c r="R186" s="17" t="s">
        <v>371</v>
      </c>
      <c r="S186" s="16" t="s">
        <v>340</v>
      </c>
      <c r="T186" s="16" t="s">
        <v>342</v>
      </c>
      <c r="U186" s="15" t="s">
        <v>340</v>
      </c>
      <c r="V186" s="15" t="s">
        <v>347</v>
      </c>
      <c r="W186" s="17" t="s">
        <v>371</v>
      </c>
      <c r="Z186" t="s">
        <v>45</v>
      </c>
      <c r="AA186" t="s">
        <v>1106</v>
      </c>
      <c r="AB186" s="16" t="s">
        <v>272</v>
      </c>
      <c r="AC186" s="16">
        <v>2</v>
      </c>
      <c r="AD186" t="s">
        <v>1524</v>
      </c>
      <c r="AE186" t="s">
        <v>282</v>
      </c>
      <c r="AF186" t="s">
        <v>342</v>
      </c>
      <c r="AG186" t="s">
        <v>347</v>
      </c>
    </row>
    <row r="187" spans="1:33" x14ac:dyDescent="0.3">
      <c r="A187" t="s">
        <v>45</v>
      </c>
      <c r="B187" t="s">
        <v>75</v>
      </c>
      <c r="C187" t="s">
        <v>20</v>
      </c>
      <c r="D187" t="s">
        <v>12</v>
      </c>
      <c r="E187" t="s">
        <v>1107</v>
      </c>
      <c r="F187" t="b">
        <v>1</v>
      </c>
      <c r="G187">
        <v>100</v>
      </c>
      <c r="H187">
        <v>1</v>
      </c>
      <c r="I187">
        <v>14795</v>
      </c>
      <c r="J187" s="61" t="s">
        <v>18</v>
      </c>
      <c r="K187" s="16" t="s">
        <v>272</v>
      </c>
      <c r="L187" s="16">
        <v>2</v>
      </c>
      <c r="M187" s="16" t="s">
        <v>277</v>
      </c>
      <c r="N187" s="16" t="s">
        <v>335</v>
      </c>
      <c r="O187" s="15" t="s">
        <v>282</v>
      </c>
      <c r="P187" t="s">
        <v>281</v>
      </c>
      <c r="Q187" t="s">
        <v>284</v>
      </c>
      <c r="R187" s="17" t="s">
        <v>371</v>
      </c>
      <c r="S187" s="16" t="s">
        <v>340</v>
      </c>
      <c r="T187" s="16" t="s">
        <v>342</v>
      </c>
      <c r="U187" s="15" t="s">
        <v>340</v>
      </c>
      <c r="V187" s="15" t="s">
        <v>344</v>
      </c>
      <c r="W187" s="17" t="s">
        <v>371</v>
      </c>
      <c r="Z187" t="s">
        <v>45</v>
      </c>
      <c r="AA187" t="s">
        <v>1107</v>
      </c>
      <c r="AB187" s="16" t="s">
        <v>272</v>
      </c>
      <c r="AC187" s="16">
        <v>2</v>
      </c>
      <c r="AD187" t="s">
        <v>1524</v>
      </c>
      <c r="AE187" t="s">
        <v>1555</v>
      </c>
      <c r="AF187" t="s">
        <v>342</v>
      </c>
      <c r="AG187" t="s">
        <v>344</v>
      </c>
    </row>
    <row r="188" spans="1:33" x14ac:dyDescent="0.3">
      <c r="A188" t="s">
        <v>43</v>
      </c>
      <c r="B188" t="s">
        <v>71</v>
      </c>
      <c r="C188" t="s">
        <v>14</v>
      </c>
      <c r="D188" t="s">
        <v>12</v>
      </c>
      <c r="E188" t="s">
        <v>1117</v>
      </c>
      <c r="F188" t="b">
        <v>1</v>
      </c>
      <c r="G188">
        <v>100</v>
      </c>
      <c r="H188">
        <v>1</v>
      </c>
      <c r="I188">
        <v>13115</v>
      </c>
      <c r="J188" s="61" t="s">
        <v>18</v>
      </c>
      <c r="K188" s="16" t="s">
        <v>272</v>
      </c>
      <c r="L188" s="16">
        <v>3</v>
      </c>
      <c r="M188" s="16" t="s">
        <v>277</v>
      </c>
      <c r="N188" s="16" t="s">
        <v>335</v>
      </c>
      <c r="O188" s="15" t="s">
        <v>282</v>
      </c>
      <c r="P188" t="s">
        <v>371</v>
      </c>
      <c r="Q188" t="s">
        <v>371</v>
      </c>
      <c r="R188" s="17" t="s">
        <v>371</v>
      </c>
      <c r="S188" s="16" t="s">
        <v>341</v>
      </c>
      <c r="T188" s="16" t="s">
        <v>340</v>
      </c>
      <c r="U188" s="15" t="s">
        <v>343</v>
      </c>
      <c r="V188" s="15" t="s">
        <v>291</v>
      </c>
      <c r="W188" s="17" t="s">
        <v>371</v>
      </c>
      <c r="Z188" t="s">
        <v>43</v>
      </c>
      <c r="AA188" t="s">
        <v>1117</v>
      </c>
      <c r="AB188" s="16" t="s">
        <v>272</v>
      </c>
      <c r="AC188" s="16">
        <v>3</v>
      </c>
      <c r="AD188" t="s">
        <v>1524</v>
      </c>
      <c r="AE188" t="s">
        <v>282</v>
      </c>
      <c r="AF188" t="s">
        <v>1567</v>
      </c>
      <c r="AG188" t="s">
        <v>291</v>
      </c>
    </row>
    <row r="189" spans="1:33" x14ac:dyDescent="0.3">
      <c r="A189" t="s">
        <v>43</v>
      </c>
      <c r="B189" t="s">
        <v>71</v>
      </c>
      <c r="C189" t="s">
        <v>11</v>
      </c>
      <c r="D189" t="s">
        <v>12</v>
      </c>
      <c r="E189" t="s">
        <v>1118</v>
      </c>
      <c r="F189" t="b">
        <v>1</v>
      </c>
      <c r="G189">
        <v>100</v>
      </c>
      <c r="H189">
        <v>1</v>
      </c>
      <c r="I189">
        <v>13389</v>
      </c>
      <c r="J189" s="61" t="s">
        <v>18</v>
      </c>
      <c r="K189" s="16" t="s">
        <v>272</v>
      </c>
      <c r="L189" s="16">
        <v>3</v>
      </c>
      <c r="M189" s="16" t="s">
        <v>277</v>
      </c>
      <c r="N189" s="16" t="s">
        <v>335</v>
      </c>
      <c r="O189" s="15" t="s">
        <v>282</v>
      </c>
      <c r="P189" t="s">
        <v>371</v>
      </c>
      <c r="Q189" t="s">
        <v>371</v>
      </c>
      <c r="R189" s="17" t="s">
        <v>371</v>
      </c>
      <c r="S189" s="16" t="s">
        <v>341</v>
      </c>
      <c r="T189" s="16" t="s">
        <v>340</v>
      </c>
      <c r="U189" s="15" t="s">
        <v>343</v>
      </c>
      <c r="V189" s="15" t="s">
        <v>291</v>
      </c>
      <c r="W189" s="17" t="s">
        <v>371</v>
      </c>
      <c r="Z189" t="s">
        <v>43</v>
      </c>
      <c r="AA189" t="s">
        <v>1118</v>
      </c>
      <c r="AB189" s="16" t="s">
        <v>272</v>
      </c>
      <c r="AC189" s="16">
        <v>3</v>
      </c>
      <c r="AD189" t="s">
        <v>1524</v>
      </c>
      <c r="AE189" t="s">
        <v>282</v>
      </c>
      <c r="AF189" t="s">
        <v>1567</v>
      </c>
      <c r="AG189" t="s">
        <v>291</v>
      </c>
    </row>
    <row r="190" spans="1:33" x14ac:dyDescent="0.3">
      <c r="A190" t="s">
        <v>9</v>
      </c>
      <c r="B190" t="s">
        <v>74</v>
      </c>
      <c r="C190" t="s">
        <v>15</v>
      </c>
      <c r="D190" t="s">
        <v>12</v>
      </c>
      <c r="E190" t="s">
        <v>1124</v>
      </c>
      <c r="F190" t="b">
        <v>1</v>
      </c>
      <c r="G190">
        <v>39.799999999999997</v>
      </c>
      <c r="H190">
        <v>0</v>
      </c>
      <c r="I190">
        <v>29125</v>
      </c>
      <c r="J190" s="61" t="s">
        <v>13</v>
      </c>
      <c r="K190" s="16" t="s">
        <v>272</v>
      </c>
      <c r="L190" s="16">
        <v>3</v>
      </c>
      <c r="M190" s="16" t="s">
        <v>277</v>
      </c>
      <c r="N190" s="16" t="s">
        <v>335</v>
      </c>
      <c r="O190" s="15" t="s">
        <v>283</v>
      </c>
      <c r="P190" t="s">
        <v>273</v>
      </c>
      <c r="Q190" t="s">
        <v>282</v>
      </c>
      <c r="R190" s="17" t="s">
        <v>371</v>
      </c>
      <c r="S190" s="16" t="s">
        <v>341</v>
      </c>
      <c r="T190" s="16" t="s">
        <v>342</v>
      </c>
      <c r="U190" s="15" t="s">
        <v>343</v>
      </c>
      <c r="V190" s="15" t="s">
        <v>344</v>
      </c>
      <c r="W190" s="17" t="s">
        <v>291</v>
      </c>
      <c r="Z190" t="s">
        <v>9</v>
      </c>
      <c r="AA190" t="s">
        <v>1124</v>
      </c>
      <c r="AB190" s="16" t="s">
        <v>272</v>
      </c>
      <c r="AC190" s="16">
        <v>3</v>
      </c>
      <c r="AD190" t="s">
        <v>1524</v>
      </c>
      <c r="AE190" t="s">
        <v>1652</v>
      </c>
      <c r="AF190" t="s">
        <v>1566</v>
      </c>
      <c r="AG190" t="s">
        <v>1570</v>
      </c>
    </row>
    <row r="191" spans="1:33" x14ac:dyDescent="0.3">
      <c r="A191" t="s">
        <v>9</v>
      </c>
      <c r="B191" t="s">
        <v>74</v>
      </c>
      <c r="C191" t="s">
        <v>14</v>
      </c>
      <c r="D191" t="s">
        <v>12</v>
      </c>
      <c r="E191" t="s">
        <v>1125</v>
      </c>
      <c r="F191" t="b">
        <v>1</v>
      </c>
      <c r="G191">
        <v>100</v>
      </c>
      <c r="H191">
        <v>1</v>
      </c>
      <c r="I191">
        <v>28839</v>
      </c>
      <c r="J191" s="61" t="s">
        <v>18</v>
      </c>
      <c r="K191" s="16" t="s">
        <v>272</v>
      </c>
      <c r="L191" s="16">
        <v>3</v>
      </c>
      <c r="M191" s="16" t="s">
        <v>277</v>
      </c>
      <c r="N191" s="16" t="s">
        <v>335</v>
      </c>
      <c r="O191" s="15" t="s">
        <v>282</v>
      </c>
      <c r="P191" t="s">
        <v>285</v>
      </c>
      <c r="Q191" t="s">
        <v>371</v>
      </c>
      <c r="R191" s="17" t="s">
        <v>371</v>
      </c>
      <c r="S191" s="16" t="s">
        <v>341</v>
      </c>
      <c r="T191" s="16" t="s">
        <v>342</v>
      </c>
      <c r="U191" s="15" t="s">
        <v>343</v>
      </c>
      <c r="V191" s="15" t="s">
        <v>344</v>
      </c>
      <c r="W191" s="17" t="s">
        <v>291</v>
      </c>
      <c r="Z191" t="s">
        <v>9</v>
      </c>
      <c r="AA191" t="s">
        <v>1125</v>
      </c>
      <c r="AB191" s="16" t="s">
        <v>272</v>
      </c>
      <c r="AC191" s="16">
        <v>3</v>
      </c>
      <c r="AD191" t="s">
        <v>1524</v>
      </c>
      <c r="AE191" t="s">
        <v>1553</v>
      </c>
      <c r="AF191" t="s">
        <v>1566</v>
      </c>
      <c r="AG191" t="s">
        <v>1570</v>
      </c>
    </row>
    <row r="192" spans="1:33" x14ac:dyDescent="0.3">
      <c r="A192" t="s">
        <v>9</v>
      </c>
      <c r="B192" t="s">
        <v>74</v>
      </c>
      <c r="C192" t="s">
        <v>11</v>
      </c>
      <c r="D192" t="s">
        <v>12</v>
      </c>
      <c r="E192" t="s">
        <v>1126</v>
      </c>
      <c r="F192" t="b">
        <v>1</v>
      </c>
      <c r="G192">
        <v>42.4</v>
      </c>
      <c r="H192">
        <v>0</v>
      </c>
      <c r="I192">
        <v>27658</v>
      </c>
      <c r="J192" s="61" t="s">
        <v>13</v>
      </c>
      <c r="K192" s="16" t="s">
        <v>272</v>
      </c>
      <c r="L192" s="16">
        <v>3</v>
      </c>
      <c r="M192" s="16" t="s">
        <v>277</v>
      </c>
      <c r="N192" s="16" t="s">
        <v>335</v>
      </c>
      <c r="O192" s="15" t="s">
        <v>282</v>
      </c>
      <c r="P192" t="s">
        <v>371</v>
      </c>
      <c r="Q192" t="s">
        <v>371</v>
      </c>
      <c r="R192" s="17" t="s">
        <v>371</v>
      </c>
      <c r="S192" s="16" t="s">
        <v>340</v>
      </c>
      <c r="T192" s="16" t="s">
        <v>342</v>
      </c>
      <c r="U192" s="15" t="s">
        <v>343</v>
      </c>
      <c r="V192" s="15" t="s">
        <v>347</v>
      </c>
      <c r="W192" s="17" t="s">
        <v>371</v>
      </c>
      <c r="Z192" t="s">
        <v>9</v>
      </c>
      <c r="AA192" t="s">
        <v>1126</v>
      </c>
      <c r="AB192" s="16" t="s">
        <v>272</v>
      </c>
      <c r="AC192" s="16">
        <v>3</v>
      </c>
      <c r="AD192" t="s">
        <v>1524</v>
      </c>
      <c r="AE192" t="s">
        <v>282</v>
      </c>
      <c r="AF192" t="s">
        <v>1568</v>
      </c>
      <c r="AG192" t="s">
        <v>347</v>
      </c>
    </row>
    <row r="193" spans="1:33" x14ac:dyDescent="0.3">
      <c r="A193" t="s">
        <v>9</v>
      </c>
      <c r="B193" t="s">
        <v>74</v>
      </c>
      <c r="C193" t="s">
        <v>17</v>
      </c>
      <c r="D193" t="s">
        <v>12</v>
      </c>
      <c r="E193" t="s">
        <v>1127</v>
      </c>
      <c r="F193" t="b">
        <v>1</v>
      </c>
      <c r="G193">
        <v>54.7</v>
      </c>
      <c r="H193">
        <v>0</v>
      </c>
      <c r="I193">
        <v>17491</v>
      </c>
      <c r="J193" s="61" t="s">
        <v>13</v>
      </c>
      <c r="K193" s="16" t="s">
        <v>272</v>
      </c>
      <c r="L193" s="16">
        <v>3</v>
      </c>
      <c r="M193" s="16" t="s">
        <v>277</v>
      </c>
      <c r="N193" s="16" t="s">
        <v>335</v>
      </c>
      <c r="O193" s="15" t="s">
        <v>283</v>
      </c>
      <c r="P193" t="s">
        <v>273</v>
      </c>
      <c r="Q193" t="s">
        <v>282</v>
      </c>
      <c r="R193" s="17" t="s">
        <v>371</v>
      </c>
      <c r="S193" s="16" t="s">
        <v>340</v>
      </c>
      <c r="T193" s="16" t="s">
        <v>342</v>
      </c>
      <c r="U193" s="15" t="s">
        <v>343</v>
      </c>
      <c r="V193" s="15" t="s">
        <v>344</v>
      </c>
      <c r="W193" s="17" t="s">
        <v>371</v>
      </c>
      <c r="Z193" t="s">
        <v>9</v>
      </c>
      <c r="AA193" t="s">
        <v>1127</v>
      </c>
      <c r="AB193" s="16" t="s">
        <v>272</v>
      </c>
      <c r="AC193" s="16">
        <v>3</v>
      </c>
      <c r="AD193" t="s">
        <v>1524</v>
      </c>
      <c r="AE193" t="s">
        <v>1652</v>
      </c>
      <c r="AF193" t="s">
        <v>1568</v>
      </c>
      <c r="AG193" t="s">
        <v>344</v>
      </c>
    </row>
    <row r="194" spans="1:33" x14ac:dyDescent="0.3">
      <c r="A194" t="s">
        <v>9</v>
      </c>
      <c r="B194" t="s">
        <v>74</v>
      </c>
      <c r="C194" t="s">
        <v>16</v>
      </c>
      <c r="D194" t="s">
        <v>12</v>
      </c>
      <c r="E194" t="s">
        <v>1128</v>
      </c>
      <c r="F194" t="b">
        <v>1</v>
      </c>
      <c r="G194">
        <v>40.6</v>
      </c>
      <c r="H194">
        <v>0</v>
      </c>
      <c r="I194">
        <v>21240</v>
      </c>
      <c r="J194" s="61" t="s">
        <v>13</v>
      </c>
      <c r="K194" s="16" t="s">
        <v>272</v>
      </c>
      <c r="L194" s="16">
        <v>3</v>
      </c>
      <c r="M194" s="16" t="s">
        <v>277</v>
      </c>
      <c r="N194" s="16" t="s">
        <v>335</v>
      </c>
      <c r="O194" s="15" t="s">
        <v>283</v>
      </c>
      <c r="P194" t="s">
        <v>273</v>
      </c>
      <c r="Q194" t="s">
        <v>282</v>
      </c>
      <c r="R194" s="17" t="s">
        <v>371</v>
      </c>
      <c r="S194" s="16" t="s">
        <v>340</v>
      </c>
      <c r="T194" s="16" t="s">
        <v>342</v>
      </c>
      <c r="U194" s="15" t="s">
        <v>343</v>
      </c>
      <c r="V194" s="15" t="s">
        <v>344</v>
      </c>
      <c r="W194" s="17" t="s">
        <v>371</v>
      </c>
      <c r="Z194" t="s">
        <v>9</v>
      </c>
      <c r="AA194" t="s">
        <v>1128</v>
      </c>
      <c r="AB194" s="16" t="s">
        <v>272</v>
      </c>
      <c r="AC194" s="16">
        <v>3</v>
      </c>
      <c r="AD194" t="s">
        <v>1524</v>
      </c>
      <c r="AE194" t="s">
        <v>1652</v>
      </c>
      <c r="AF194" t="s">
        <v>1568</v>
      </c>
      <c r="AG194" t="s">
        <v>344</v>
      </c>
    </row>
    <row r="195" spans="1:33" x14ac:dyDescent="0.3">
      <c r="A195" t="s">
        <v>45</v>
      </c>
      <c r="B195" t="s">
        <v>51</v>
      </c>
      <c r="C195" t="s">
        <v>15</v>
      </c>
      <c r="D195" t="s">
        <v>12</v>
      </c>
      <c r="E195" t="s">
        <v>1135</v>
      </c>
      <c r="F195" t="b">
        <v>1</v>
      </c>
      <c r="G195">
        <v>100</v>
      </c>
      <c r="H195">
        <v>1</v>
      </c>
      <c r="I195">
        <v>11503</v>
      </c>
      <c r="J195" s="61" t="s">
        <v>18</v>
      </c>
      <c r="K195" s="16" t="s">
        <v>272</v>
      </c>
      <c r="L195" s="16">
        <v>3</v>
      </c>
      <c r="M195" s="16" t="s">
        <v>277</v>
      </c>
      <c r="N195" s="16" t="s">
        <v>335</v>
      </c>
      <c r="O195" t="s">
        <v>282</v>
      </c>
      <c r="P195" t="s">
        <v>371</v>
      </c>
      <c r="Q195" t="s">
        <v>371</v>
      </c>
      <c r="R195" s="17" t="s">
        <v>371</v>
      </c>
      <c r="S195" s="16" t="s">
        <v>341</v>
      </c>
      <c r="T195" s="16" t="s">
        <v>340</v>
      </c>
      <c r="U195" s="15" t="s">
        <v>343</v>
      </c>
      <c r="V195" s="15" t="s">
        <v>344</v>
      </c>
      <c r="W195" s="17" t="s">
        <v>371</v>
      </c>
      <c r="Z195" t="s">
        <v>45</v>
      </c>
      <c r="AA195" t="s">
        <v>1135</v>
      </c>
      <c r="AB195" s="16" t="s">
        <v>272</v>
      </c>
      <c r="AC195" s="16">
        <v>3</v>
      </c>
      <c r="AD195" t="s">
        <v>1524</v>
      </c>
      <c r="AE195" t="s">
        <v>282</v>
      </c>
      <c r="AF195" t="s">
        <v>1567</v>
      </c>
      <c r="AG195" t="s">
        <v>344</v>
      </c>
    </row>
    <row r="196" spans="1:33" x14ac:dyDescent="0.3">
      <c r="A196" t="s">
        <v>45</v>
      </c>
      <c r="B196" t="s">
        <v>51</v>
      </c>
      <c r="C196" t="s">
        <v>14</v>
      </c>
      <c r="D196" t="s">
        <v>12</v>
      </c>
      <c r="E196" t="s">
        <v>1136</v>
      </c>
      <c r="F196" t="b">
        <v>1</v>
      </c>
      <c r="G196">
        <v>45.6</v>
      </c>
      <c r="H196">
        <v>0</v>
      </c>
      <c r="I196">
        <v>13001</v>
      </c>
      <c r="J196" s="61" t="s">
        <v>13</v>
      </c>
      <c r="K196" s="16" t="s">
        <v>272</v>
      </c>
      <c r="L196" s="16">
        <v>3</v>
      </c>
      <c r="M196" s="16" t="s">
        <v>277</v>
      </c>
      <c r="N196" s="16" t="s">
        <v>335</v>
      </c>
      <c r="O196" t="s">
        <v>282</v>
      </c>
      <c r="P196" t="s">
        <v>371</v>
      </c>
      <c r="Q196" t="s">
        <v>371</v>
      </c>
      <c r="R196" s="17" t="s">
        <v>371</v>
      </c>
      <c r="S196" s="16" t="s">
        <v>341</v>
      </c>
      <c r="T196" s="16" t="s">
        <v>340</v>
      </c>
      <c r="U196" s="15" t="s">
        <v>343</v>
      </c>
      <c r="V196" s="15" t="s">
        <v>344</v>
      </c>
      <c r="W196" s="17" t="s">
        <v>371</v>
      </c>
      <c r="Z196" t="s">
        <v>45</v>
      </c>
      <c r="AA196" t="s">
        <v>1136</v>
      </c>
      <c r="AB196" s="16" t="s">
        <v>272</v>
      </c>
      <c r="AC196" s="16">
        <v>3</v>
      </c>
      <c r="AD196" t="s">
        <v>1524</v>
      </c>
      <c r="AE196" t="s">
        <v>282</v>
      </c>
      <c r="AF196" t="s">
        <v>1567</v>
      </c>
      <c r="AG196" t="s">
        <v>344</v>
      </c>
    </row>
    <row r="197" spans="1:33" x14ac:dyDescent="0.3">
      <c r="A197" t="s">
        <v>45</v>
      </c>
      <c r="B197" t="s">
        <v>51</v>
      </c>
      <c r="C197" t="s">
        <v>11</v>
      </c>
      <c r="D197" t="s">
        <v>12</v>
      </c>
      <c r="E197" t="s">
        <v>1137</v>
      </c>
      <c r="F197" t="b">
        <v>1</v>
      </c>
      <c r="G197">
        <v>46.9</v>
      </c>
      <c r="H197">
        <v>0</v>
      </c>
      <c r="I197">
        <v>14408</v>
      </c>
      <c r="J197" s="61" t="s">
        <v>13</v>
      </c>
      <c r="K197" s="16" t="s">
        <v>272</v>
      </c>
      <c r="L197" s="16">
        <v>3</v>
      </c>
      <c r="M197" s="16" t="s">
        <v>277</v>
      </c>
      <c r="N197" s="16" t="s">
        <v>335</v>
      </c>
      <c r="O197" t="s">
        <v>282</v>
      </c>
      <c r="P197" t="s">
        <v>371</v>
      </c>
      <c r="Q197" t="s">
        <v>371</v>
      </c>
      <c r="R197" s="17" t="s">
        <v>371</v>
      </c>
      <c r="S197" s="16" t="s">
        <v>341</v>
      </c>
      <c r="T197" s="16" t="s">
        <v>340</v>
      </c>
      <c r="U197" s="15" t="s">
        <v>343</v>
      </c>
      <c r="V197" s="15" t="s">
        <v>344</v>
      </c>
      <c r="W197" s="17" t="s">
        <v>371</v>
      </c>
      <c r="Z197" t="s">
        <v>45</v>
      </c>
      <c r="AA197" t="s">
        <v>1137</v>
      </c>
      <c r="AB197" s="16" t="s">
        <v>272</v>
      </c>
      <c r="AC197" s="16">
        <v>3</v>
      </c>
      <c r="AD197" t="s">
        <v>1524</v>
      </c>
      <c r="AE197" t="s">
        <v>282</v>
      </c>
      <c r="AF197" t="s">
        <v>1567</v>
      </c>
      <c r="AG197" t="s">
        <v>344</v>
      </c>
    </row>
    <row r="198" spans="1:33" x14ac:dyDescent="0.3">
      <c r="A198" t="s">
        <v>45</v>
      </c>
      <c r="B198" t="s">
        <v>51</v>
      </c>
      <c r="C198" t="s">
        <v>21</v>
      </c>
      <c r="D198" t="s">
        <v>12</v>
      </c>
      <c r="E198" t="s">
        <v>1138</v>
      </c>
      <c r="F198" t="b">
        <v>1</v>
      </c>
      <c r="G198">
        <v>52.6</v>
      </c>
      <c r="H198">
        <v>0</v>
      </c>
      <c r="I198">
        <v>13074</v>
      </c>
      <c r="J198" s="61" t="s">
        <v>13</v>
      </c>
      <c r="K198" s="16" t="s">
        <v>272</v>
      </c>
      <c r="L198" s="16">
        <v>3</v>
      </c>
      <c r="M198" s="16" t="s">
        <v>277</v>
      </c>
      <c r="N198" s="16" t="s">
        <v>335</v>
      </c>
      <c r="O198" t="s">
        <v>282</v>
      </c>
      <c r="P198" t="s">
        <v>371</v>
      </c>
      <c r="Q198" t="s">
        <v>371</v>
      </c>
      <c r="R198" s="17" t="s">
        <v>371</v>
      </c>
      <c r="S198" s="16" t="s">
        <v>341</v>
      </c>
      <c r="T198" s="16" t="s">
        <v>340</v>
      </c>
      <c r="U198" s="15" t="s">
        <v>343</v>
      </c>
      <c r="V198" s="15" t="s">
        <v>344</v>
      </c>
      <c r="W198" s="17" t="s">
        <v>371</v>
      </c>
      <c r="Z198" t="s">
        <v>45</v>
      </c>
      <c r="AA198" t="s">
        <v>1138</v>
      </c>
      <c r="AB198" s="16" t="s">
        <v>272</v>
      </c>
      <c r="AC198" s="16">
        <v>3</v>
      </c>
      <c r="AD198" t="s">
        <v>1524</v>
      </c>
      <c r="AE198" t="s">
        <v>282</v>
      </c>
      <c r="AF198" t="s">
        <v>1567</v>
      </c>
      <c r="AG198" t="s">
        <v>344</v>
      </c>
    </row>
    <row r="199" spans="1:33" x14ac:dyDescent="0.3">
      <c r="A199" t="s">
        <v>45</v>
      </c>
      <c r="B199" t="s">
        <v>51</v>
      </c>
      <c r="C199" t="s">
        <v>19</v>
      </c>
      <c r="D199" t="s">
        <v>12</v>
      </c>
      <c r="E199" t="s">
        <v>1139</v>
      </c>
      <c r="F199" t="b">
        <v>1</v>
      </c>
      <c r="G199">
        <v>91.9</v>
      </c>
      <c r="H199">
        <v>0</v>
      </c>
      <c r="I199">
        <v>12966</v>
      </c>
      <c r="J199" s="61" t="s">
        <v>13</v>
      </c>
      <c r="K199" s="16" t="s">
        <v>272</v>
      </c>
      <c r="L199" s="16">
        <v>3</v>
      </c>
      <c r="M199" s="16" t="s">
        <v>277</v>
      </c>
      <c r="N199" s="16" t="s">
        <v>335</v>
      </c>
      <c r="O199" t="s">
        <v>282</v>
      </c>
      <c r="P199" t="s">
        <v>371</v>
      </c>
      <c r="Q199" t="s">
        <v>371</v>
      </c>
      <c r="R199" s="17" t="s">
        <v>371</v>
      </c>
      <c r="S199" s="16" t="s">
        <v>341</v>
      </c>
      <c r="T199" s="16" t="s">
        <v>340</v>
      </c>
      <c r="U199" s="15" t="s">
        <v>343</v>
      </c>
      <c r="V199" s="15" t="s">
        <v>344</v>
      </c>
      <c r="W199" s="17" t="s">
        <v>371</v>
      </c>
      <c r="Z199" t="s">
        <v>45</v>
      </c>
      <c r="AA199" t="s">
        <v>1139</v>
      </c>
      <c r="AB199" s="16" t="s">
        <v>272</v>
      </c>
      <c r="AC199" s="16">
        <v>3</v>
      </c>
      <c r="AD199" t="s">
        <v>1524</v>
      </c>
      <c r="AE199" t="s">
        <v>282</v>
      </c>
      <c r="AF199" t="s">
        <v>1567</v>
      </c>
      <c r="AG199" t="s">
        <v>344</v>
      </c>
    </row>
    <row r="200" spans="1:33" x14ac:dyDescent="0.3">
      <c r="A200" t="s">
        <v>45</v>
      </c>
      <c r="B200" t="s">
        <v>51</v>
      </c>
      <c r="C200" t="s">
        <v>17</v>
      </c>
      <c r="D200" t="s">
        <v>12</v>
      </c>
      <c r="E200" t="s">
        <v>1140</v>
      </c>
      <c r="F200" t="b">
        <v>1</v>
      </c>
      <c r="G200">
        <v>100</v>
      </c>
      <c r="H200">
        <v>1</v>
      </c>
      <c r="I200">
        <v>12235</v>
      </c>
      <c r="J200" s="61" t="s">
        <v>18</v>
      </c>
      <c r="K200" s="16" t="s">
        <v>272</v>
      </c>
      <c r="L200" s="16">
        <v>3</v>
      </c>
      <c r="M200" s="16" t="s">
        <v>277</v>
      </c>
      <c r="N200" s="16" t="s">
        <v>335</v>
      </c>
      <c r="O200" t="s">
        <v>282</v>
      </c>
      <c r="P200" t="s">
        <v>371</v>
      </c>
      <c r="Q200" t="s">
        <v>371</v>
      </c>
      <c r="R200" s="17" t="s">
        <v>371</v>
      </c>
      <c r="S200" s="16" t="s">
        <v>341</v>
      </c>
      <c r="T200" s="16" t="s">
        <v>340</v>
      </c>
      <c r="U200" s="15" t="s">
        <v>343</v>
      </c>
      <c r="V200" s="15" t="s">
        <v>344</v>
      </c>
      <c r="W200" s="17" t="s">
        <v>371</v>
      </c>
      <c r="Z200" t="s">
        <v>45</v>
      </c>
      <c r="AA200" t="s">
        <v>1140</v>
      </c>
      <c r="AB200" s="16" t="s">
        <v>272</v>
      </c>
      <c r="AC200" s="16">
        <v>3</v>
      </c>
      <c r="AD200" t="s">
        <v>1524</v>
      </c>
      <c r="AE200" t="s">
        <v>282</v>
      </c>
      <c r="AF200" t="s">
        <v>1567</v>
      </c>
      <c r="AG200" t="s">
        <v>344</v>
      </c>
    </row>
    <row r="201" spans="1:33" x14ac:dyDescent="0.3">
      <c r="A201" t="s">
        <v>45</v>
      </c>
      <c r="B201" t="s">
        <v>51</v>
      </c>
      <c r="C201" t="s">
        <v>16</v>
      </c>
      <c r="D201" t="s">
        <v>12</v>
      </c>
      <c r="E201" t="s">
        <v>1141</v>
      </c>
      <c r="F201" t="b">
        <v>1</v>
      </c>
      <c r="G201">
        <v>45</v>
      </c>
      <c r="H201">
        <v>0</v>
      </c>
      <c r="I201">
        <v>13733</v>
      </c>
      <c r="J201" s="61" t="s">
        <v>13</v>
      </c>
      <c r="K201" s="16" t="s">
        <v>272</v>
      </c>
      <c r="L201" s="16">
        <v>3</v>
      </c>
      <c r="M201" s="16" t="s">
        <v>277</v>
      </c>
      <c r="N201" s="16" t="s">
        <v>335</v>
      </c>
      <c r="O201" t="s">
        <v>282</v>
      </c>
      <c r="P201" t="s">
        <v>371</v>
      </c>
      <c r="Q201" t="s">
        <v>371</v>
      </c>
      <c r="R201" s="17" t="s">
        <v>371</v>
      </c>
      <c r="S201" s="16" t="s">
        <v>341</v>
      </c>
      <c r="T201" s="16" t="s">
        <v>340</v>
      </c>
      <c r="U201" s="15" t="s">
        <v>343</v>
      </c>
      <c r="V201" s="15" t="s">
        <v>344</v>
      </c>
      <c r="W201" s="17" t="s">
        <v>371</v>
      </c>
      <c r="Z201" t="s">
        <v>45</v>
      </c>
      <c r="AA201" t="s">
        <v>1141</v>
      </c>
      <c r="AB201" s="16" t="s">
        <v>272</v>
      </c>
      <c r="AC201" s="16">
        <v>3</v>
      </c>
      <c r="AD201" t="s">
        <v>1524</v>
      </c>
      <c r="AE201" t="s">
        <v>282</v>
      </c>
      <c r="AF201" t="s">
        <v>1567</v>
      </c>
      <c r="AG201" t="s">
        <v>344</v>
      </c>
    </row>
    <row r="202" spans="1:33" x14ac:dyDescent="0.3">
      <c r="A202" t="s">
        <v>45</v>
      </c>
      <c r="B202" t="s">
        <v>51</v>
      </c>
      <c r="C202" t="s">
        <v>20</v>
      </c>
      <c r="D202" t="s">
        <v>12</v>
      </c>
      <c r="E202" t="s">
        <v>1142</v>
      </c>
      <c r="F202" t="b">
        <v>1</v>
      </c>
      <c r="G202">
        <v>100</v>
      </c>
      <c r="H202">
        <v>1</v>
      </c>
      <c r="I202">
        <v>11667</v>
      </c>
      <c r="J202" s="61" t="s">
        <v>18</v>
      </c>
      <c r="K202" s="16" t="s">
        <v>272</v>
      </c>
      <c r="L202" s="16">
        <v>2</v>
      </c>
      <c r="M202" s="16" t="s">
        <v>277</v>
      </c>
      <c r="N202" s="16" t="s">
        <v>335</v>
      </c>
      <c r="O202" s="15" t="s">
        <v>282</v>
      </c>
      <c r="P202" t="s">
        <v>371</v>
      </c>
      <c r="Q202" t="s">
        <v>371</v>
      </c>
      <c r="R202" s="17" t="s">
        <v>371</v>
      </c>
      <c r="S202" s="16" t="s">
        <v>341</v>
      </c>
      <c r="T202" s="16" t="s">
        <v>340</v>
      </c>
      <c r="U202" s="15" t="s">
        <v>340</v>
      </c>
      <c r="V202" s="15" t="s">
        <v>344</v>
      </c>
      <c r="W202" s="17" t="s">
        <v>371</v>
      </c>
      <c r="Z202" t="s">
        <v>45</v>
      </c>
      <c r="AA202" t="s">
        <v>1142</v>
      </c>
      <c r="AB202" s="16" t="s">
        <v>272</v>
      </c>
      <c r="AC202" s="16">
        <v>2</v>
      </c>
      <c r="AD202" t="s">
        <v>1524</v>
      </c>
      <c r="AE202" t="s">
        <v>282</v>
      </c>
      <c r="AF202" t="s">
        <v>341</v>
      </c>
      <c r="AG202" t="s">
        <v>344</v>
      </c>
    </row>
    <row r="203" spans="1:33" x14ac:dyDescent="0.3">
      <c r="A203" t="s">
        <v>45</v>
      </c>
      <c r="B203" t="s">
        <v>51</v>
      </c>
      <c r="C203" t="s">
        <v>22</v>
      </c>
      <c r="D203" t="s">
        <v>12</v>
      </c>
      <c r="E203" t="s">
        <v>1143</v>
      </c>
      <c r="F203" t="b">
        <v>1</v>
      </c>
      <c r="G203">
        <v>52</v>
      </c>
      <c r="H203">
        <v>0</v>
      </c>
      <c r="I203">
        <v>12708</v>
      </c>
      <c r="J203" s="61" t="s">
        <v>13</v>
      </c>
      <c r="K203" s="16" t="s">
        <v>272</v>
      </c>
      <c r="L203" s="16">
        <v>3</v>
      </c>
      <c r="M203" s="16" t="s">
        <v>277</v>
      </c>
      <c r="N203" s="16" t="s">
        <v>335</v>
      </c>
      <c r="O203" t="s">
        <v>282</v>
      </c>
      <c r="P203" t="s">
        <v>371</v>
      </c>
      <c r="Q203" t="s">
        <v>371</v>
      </c>
      <c r="R203" s="17" t="s">
        <v>371</v>
      </c>
      <c r="S203" s="16" t="s">
        <v>341</v>
      </c>
      <c r="T203" s="16" t="s">
        <v>340</v>
      </c>
      <c r="U203" s="15" t="s">
        <v>343</v>
      </c>
      <c r="V203" s="15" t="s">
        <v>344</v>
      </c>
      <c r="W203" s="17" t="s">
        <v>371</v>
      </c>
      <c r="Z203" t="s">
        <v>45</v>
      </c>
      <c r="AA203" t="s">
        <v>1143</v>
      </c>
      <c r="AB203" s="16" t="s">
        <v>272</v>
      </c>
      <c r="AC203" s="16">
        <v>3</v>
      </c>
      <c r="AD203" t="s">
        <v>1524</v>
      </c>
      <c r="AE203" t="s">
        <v>282</v>
      </c>
      <c r="AF203" t="s">
        <v>1567</v>
      </c>
      <c r="AG203" t="s">
        <v>344</v>
      </c>
    </row>
    <row r="204" spans="1:33" x14ac:dyDescent="0.3">
      <c r="A204" t="s">
        <v>9</v>
      </c>
      <c r="B204" t="s">
        <v>70</v>
      </c>
      <c r="C204" t="s">
        <v>14</v>
      </c>
      <c r="D204" t="s">
        <v>12</v>
      </c>
      <c r="E204" t="s">
        <v>1154</v>
      </c>
      <c r="F204" t="b">
        <v>1</v>
      </c>
      <c r="G204">
        <v>100</v>
      </c>
      <c r="H204">
        <v>1</v>
      </c>
      <c r="I204">
        <v>15052</v>
      </c>
      <c r="J204" s="61" t="s">
        <v>18</v>
      </c>
      <c r="K204" s="16" t="s">
        <v>272</v>
      </c>
      <c r="L204" s="16">
        <v>3</v>
      </c>
      <c r="M204" s="16" t="s">
        <v>277</v>
      </c>
      <c r="N204" s="16" t="s">
        <v>335</v>
      </c>
      <c r="O204" s="15" t="s">
        <v>282</v>
      </c>
      <c r="P204" t="s">
        <v>371</v>
      </c>
      <c r="Q204" t="s">
        <v>371</v>
      </c>
      <c r="R204" s="17" t="s">
        <v>371</v>
      </c>
      <c r="S204" s="16" t="s">
        <v>341</v>
      </c>
      <c r="T204" s="16" t="s">
        <v>340</v>
      </c>
      <c r="U204" s="15" t="s">
        <v>343</v>
      </c>
      <c r="V204" s="15" t="s">
        <v>291</v>
      </c>
      <c r="W204" s="17" t="s">
        <v>371</v>
      </c>
      <c r="Z204" t="s">
        <v>9</v>
      </c>
      <c r="AA204" t="s">
        <v>1154</v>
      </c>
      <c r="AB204" s="16" t="s">
        <v>272</v>
      </c>
      <c r="AC204" s="16">
        <v>3</v>
      </c>
      <c r="AD204" t="s">
        <v>1524</v>
      </c>
      <c r="AE204" t="s">
        <v>282</v>
      </c>
      <c r="AF204" t="s">
        <v>1567</v>
      </c>
      <c r="AG204" t="s">
        <v>291</v>
      </c>
    </row>
    <row r="205" spans="1:33" x14ac:dyDescent="0.3">
      <c r="A205" t="s">
        <v>9</v>
      </c>
      <c r="B205" t="s">
        <v>70</v>
      </c>
      <c r="C205" t="s">
        <v>11</v>
      </c>
      <c r="D205" t="s">
        <v>12</v>
      </c>
      <c r="E205" t="s">
        <v>1155</v>
      </c>
      <c r="F205" t="b">
        <v>1</v>
      </c>
      <c r="G205">
        <v>100</v>
      </c>
      <c r="H205">
        <v>1</v>
      </c>
      <c r="I205">
        <v>15694</v>
      </c>
      <c r="J205" s="61" t="s">
        <v>18</v>
      </c>
      <c r="K205" s="16" t="s">
        <v>272</v>
      </c>
      <c r="L205" s="16">
        <v>3</v>
      </c>
      <c r="M205" s="16" t="s">
        <v>277</v>
      </c>
      <c r="N205" s="16" t="s">
        <v>335</v>
      </c>
      <c r="O205" s="15" t="s">
        <v>339</v>
      </c>
      <c r="P205" t="s">
        <v>285</v>
      </c>
      <c r="Q205" t="s">
        <v>282</v>
      </c>
      <c r="R205" s="17" t="s">
        <v>371</v>
      </c>
      <c r="S205" s="16" t="s">
        <v>341</v>
      </c>
      <c r="T205" s="16" t="s">
        <v>340</v>
      </c>
      <c r="U205" s="15" t="s">
        <v>343</v>
      </c>
      <c r="V205" s="15" t="s">
        <v>291</v>
      </c>
      <c r="W205" s="17" t="s">
        <v>371</v>
      </c>
      <c r="Z205" t="s">
        <v>9</v>
      </c>
      <c r="AA205" t="s">
        <v>1155</v>
      </c>
      <c r="AB205" s="16" t="s">
        <v>272</v>
      </c>
      <c r="AC205" s="16">
        <v>3</v>
      </c>
      <c r="AD205" t="s">
        <v>1524</v>
      </c>
      <c r="AE205" t="s">
        <v>1551</v>
      </c>
      <c r="AF205" t="s">
        <v>1567</v>
      </c>
      <c r="AG205" t="s">
        <v>291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0">
        <x14:dataValidation type="list" allowBlank="1" showInputMessage="1" showErrorMessage="1" xr:uid="{FF3E532E-8CAF-43FB-BD7F-F19144B78333}">
          <x14:formula1>
            <xm:f>DimensionsEval!$H$13:$P$13</xm:f>
          </x14:formula1>
          <xm:sqref>W3:W205 BF3:BG9 BG10:BG26</xm:sqref>
        </x14:dataValidation>
        <x14:dataValidation type="list" allowBlank="1" showInputMessage="1" showErrorMessage="1" xr:uid="{D8CBF2E7-E58B-44F4-94EC-097F5D79C764}">
          <x14:formula1>
            <xm:f>DimensionsEval!$H$13:$O$13</xm:f>
          </x14:formula1>
          <xm:sqref>V3:V205</xm:sqref>
        </x14:dataValidation>
        <x14:dataValidation type="list" allowBlank="1" showInputMessage="1" showErrorMessage="1" xr:uid="{74FA0EBC-E9F4-456D-8939-E3607235E9A7}">
          <x14:formula1>
            <xm:f>DimensionsEval!$H$12:$J$12</xm:f>
          </x14:formula1>
          <xm:sqref>U3:U205</xm:sqref>
        </x14:dataValidation>
        <x14:dataValidation type="list" allowBlank="1" showInputMessage="1" showErrorMessage="1" xr:uid="{7D536E58-440F-478F-B92C-095989F3730A}">
          <x14:formula1>
            <xm:f>DimensionsEval!$H$11:$J$11</xm:f>
          </x14:formula1>
          <xm:sqref>T3:T205</xm:sqref>
        </x14:dataValidation>
        <x14:dataValidation type="list" allowBlank="1" showInputMessage="1" showErrorMessage="1" xr:uid="{8CA4F7A9-5F87-43FD-9EF8-89C79ECF21ED}">
          <x14:formula1>
            <xm:f>DimensionsEval!$H$10:$J$10</xm:f>
          </x14:formula1>
          <xm:sqref>S3:S205</xm:sqref>
        </x14:dataValidation>
        <x14:dataValidation type="list" allowBlank="1" showInputMessage="1" showErrorMessage="1" xr:uid="{F10AC46A-9B80-4D04-B4AD-A8B1876C7C34}">
          <x14:formula1>
            <xm:f>DimensionsEval!$H$6:$R$6</xm:f>
          </x14:formula1>
          <xm:sqref>O3:R205</xm:sqref>
        </x14:dataValidation>
        <x14:dataValidation type="list" allowBlank="1" showInputMessage="1" showErrorMessage="1" xr:uid="{8DE95170-070D-4D6D-945F-9585A78A107C}">
          <x14:formula1>
            <xm:f>DimensionsEval!$H$5:$N$5</xm:f>
          </x14:formula1>
          <xm:sqref>N3:N205</xm:sqref>
        </x14:dataValidation>
        <x14:dataValidation type="list" allowBlank="1" showInputMessage="1" showErrorMessage="1" xr:uid="{E37011FE-F1BA-4D91-BF67-A0032695924E}">
          <x14:formula1>
            <xm:f>DimensionsEval!$H$4:$J$4</xm:f>
          </x14:formula1>
          <xm:sqref>M3:M205</xm:sqref>
        </x14:dataValidation>
        <x14:dataValidation type="list" allowBlank="1" showInputMessage="1" showErrorMessage="1" xr:uid="{A7925D07-E389-4961-B21B-E8A05A3B7F44}">
          <x14:formula1>
            <xm:f>DimensionsEval!$H$3:$K$3</xm:f>
          </x14:formula1>
          <xm:sqref>AC3:AC205 L3:L205 AM3:AM4</xm:sqref>
        </x14:dataValidation>
        <x14:dataValidation type="list" allowBlank="1" showInputMessage="1" showErrorMessage="1" xr:uid="{D7F94528-B4A5-4C92-A23E-B1F13308932B}">
          <x14:formula1>
            <xm:f>DimensionsEval!$H$2:$L$2</xm:f>
          </x14:formula1>
          <xm:sqref>AB3:AB205 K3:K205 AJ3:AJ4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1186-5DAC-4851-9930-233872EFE37A}">
  <sheetPr>
    <tabColor rgb="FF006666"/>
  </sheetPr>
  <dimension ref="A1:AO461"/>
  <sheetViews>
    <sheetView zoomScale="85" zoomScaleNormal="85" workbookViewId="0">
      <selection activeCell="H2" sqref="A1:H1048576"/>
    </sheetView>
  </sheetViews>
  <sheetFormatPr defaultRowHeight="14.4" x14ac:dyDescent="0.3"/>
  <cols>
    <col min="1" max="1" width="8.44140625" bestFit="1" customWidth="1"/>
    <col min="2" max="2" width="18.109375" bestFit="1" customWidth="1"/>
    <col min="3" max="3" width="7" bestFit="1" customWidth="1"/>
    <col min="4" max="4" width="16.88671875" bestFit="1" customWidth="1"/>
    <col min="5" max="5" width="27.44140625" bestFit="1" customWidth="1"/>
    <col min="6" max="6" width="35.5546875" bestFit="1" customWidth="1"/>
    <col min="7" max="7" width="44.6640625" bestFit="1" customWidth="1"/>
    <col min="8" max="8" width="28.44140625" bestFit="1" customWidth="1"/>
    <col min="9" max="14" width="6.88671875" bestFit="1" customWidth="1"/>
    <col min="15" max="15" width="4.6640625" bestFit="1" customWidth="1"/>
    <col min="16" max="16" width="15" customWidth="1"/>
    <col min="18" max="18" width="14.109375" customWidth="1"/>
    <col min="19" max="20" width="4.6640625" style="6" customWidth="1"/>
    <col min="21" max="21" width="14.109375" customWidth="1"/>
    <col min="22" max="23" width="4.6640625" style="6" customWidth="1"/>
    <col min="24" max="24" width="14.109375" customWidth="1"/>
    <col min="25" max="26" width="4.6640625" customWidth="1"/>
    <col min="27" max="27" width="14.109375" customWidth="1"/>
    <col min="28" max="29" width="4.6640625" customWidth="1"/>
    <col min="30" max="30" width="14.109375" customWidth="1"/>
    <col min="31" max="32" width="4.6640625" customWidth="1"/>
    <col min="33" max="33" width="14.109375" customWidth="1"/>
    <col min="34" max="35" width="4.6640625" customWidth="1"/>
  </cols>
  <sheetData>
    <row r="1" spans="1:41" x14ac:dyDescent="0.3">
      <c r="A1" s="126" t="s">
        <v>1659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R1" s="91" t="s">
        <v>1515</v>
      </c>
      <c r="T1" s="98">
        <v>0.1</v>
      </c>
      <c r="U1" s="98"/>
      <c r="V1" s="99"/>
      <c r="W1" s="98">
        <v>0.1</v>
      </c>
      <c r="X1" s="98"/>
      <c r="Y1" s="98"/>
      <c r="Z1" s="98">
        <v>0.25</v>
      </c>
      <c r="AA1" s="98"/>
      <c r="AB1" s="98"/>
      <c r="AC1" s="1">
        <v>0.25</v>
      </c>
      <c r="AD1" s="98"/>
      <c r="AE1" s="98"/>
      <c r="AF1" s="1">
        <v>0.05</v>
      </c>
      <c r="AG1" s="98"/>
      <c r="AH1" s="98"/>
      <c r="AI1" s="1">
        <v>0.25</v>
      </c>
    </row>
    <row r="2" spans="1:41" x14ac:dyDescent="0.3">
      <c r="A2" s="91" t="s">
        <v>0</v>
      </c>
      <c r="B2" s="91" t="s">
        <v>684</v>
      </c>
      <c r="C2" s="91" t="s">
        <v>196</v>
      </c>
      <c r="D2" s="92" t="s">
        <v>197</v>
      </c>
      <c r="E2" s="91" t="s">
        <v>1523</v>
      </c>
      <c r="F2" s="93" t="s">
        <v>1530</v>
      </c>
      <c r="G2" s="93" t="s">
        <v>1565</v>
      </c>
      <c r="H2" s="91" t="s">
        <v>1575</v>
      </c>
      <c r="I2" s="100" t="s">
        <v>1613</v>
      </c>
      <c r="J2" s="100" t="s">
        <v>1614</v>
      </c>
      <c r="K2" s="100" t="s">
        <v>1615</v>
      </c>
      <c r="L2" s="100" t="s">
        <v>1616</v>
      </c>
      <c r="M2" s="100" t="s">
        <v>1617</v>
      </c>
      <c r="N2" s="100" t="s">
        <v>1618</v>
      </c>
      <c r="O2" s="100" t="s">
        <v>1612</v>
      </c>
      <c r="R2" s="91" t="s">
        <v>1577</v>
      </c>
      <c r="S2" s="92" t="s">
        <v>1516</v>
      </c>
      <c r="T2" s="92" t="s">
        <v>1517</v>
      </c>
      <c r="U2" s="91" t="s">
        <v>1576</v>
      </c>
      <c r="V2" s="92" t="s">
        <v>1516</v>
      </c>
      <c r="W2" s="92" t="s">
        <v>1518</v>
      </c>
      <c r="X2" s="91" t="s">
        <v>1578</v>
      </c>
      <c r="Y2" s="91" t="s">
        <v>1516</v>
      </c>
      <c r="Z2" s="91" t="s">
        <v>1519</v>
      </c>
      <c r="AA2" s="94" t="s">
        <v>1581</v>
      </c>
      <c r="AB2" s="91" t="s">
        <v>1516</v>
      </c>
      <c r="AC2" s="91" t="s">
        <v>1520</v>
      </c>
      <c r="AD2" s="95" t="s">
        <v>1579</v>
      </c>
      <c r="AE2" s="91" t="s">
        <v>1516</v>
      </c>
      <c r="AF2" s="91" t="s">
        <v>1521</v>
      </c>
      <c r="AG2" s="96" t="s">
        <v>1580</v>
      </c>
      <c r="AH2" s="91" t="s">
        <v>1516</v>
      </c>
      <c r="AI2" s="91" t="s">
        <v>1522</v>
      </c>
      <c r="AN2" t="s">
        <v>1563</v>
      </c>
      <c r="AO2" t="s">
        <v>1564</v>
      </c>
    </row>
    <row r="3" spans="1:41" x14ac:dyDescent="0.3">
      <c r="A3" t="s">
        <v>43</v>
      </c>
      <c r="B3" t="s">
        <v>703</v>
      </c>
      <c r="C3" s="88" t="s">
        <v>272</v>
      </c>
      <c r="D3" s="88">
        <v>3</v>
      </c>
      <c r="E3" t="s">
        <v>1529</v>
      </c>
      <c r="F3" t="s">
        <v>1628</v>
      </c>
      <c r="G3" t="s">
        <v>1567</v>
      </c>
      <c r="H3" t="s">
        <v>1570</v>
      </c>
      <c r="I3" s="87">
        <f>VLOOKUP(C3,$R$3:$T$4,3,0)*T$1</f>
        <v>2.9556650246305424E-2</v>
      </c>
      <c r="J3" s="87">
        <f>VLOOKUP(D3,$U$3:$W$4,3,0)*W$1</f>
        <v>0.17733990147783252</v>
      </c>
      <c r="K3" s="87">
        <f>VLOOKUP(E3,$X$3:$Z$8,3,0)*Z$1</f>
        <v>2.4876847290640396</v>
      </c>
      <c r="L3" s="87">
        <f>VLOOKUP(F3,$AA$3:$AC$32,3,0)*AC$1</f>
        <v>2.4753694581280787</v>
      </c>
      <c r="M3" s="87">
        <f>VLOOKUP(G3,$AD$3:$AF$10,3,0)*AF$1</f>
        <v>0.21921182266009853</v>
      </c>
      <c r="N3" s="87">
        <f>VLOOKUP(H3,$AG$3:$AI$19,3,0)*AI$1</f>
        <v>2.3645320197044337</v>
      </c>
      <c r="O3" s="87">
        <f>SUM(I3:N3)</f>
        <v>7.7536945812807883</v>
      </c>
      <c r="R3" s="88" t="s">
        <v>272</v>
      </c>
      <c r="S3">
        <v>197</v>
      </c>
      <c r="T3">
        <v>0.29556650246305421</v>
      </c>
      <c r="U3" s="88">
        <v>3</v>
      </c>
      <c r="V3">
        <v>167</v>
      </c>
      <c r="W3">
        <v>1.7733990147783252</v>
      </c>
      <c r="X3" t="s">
        <v>1529</v>
      </c>
      <c r="Y3">
        <v>1</v>
      </c>
      <c r="Z3" s="97">
        <v>9.9507389162561584</v>
      </c>
      <c r="AA3" t="s">
        <v>1628</v>
      </c>
      <c r="AB3">
        <v>2</v>
      </c>
      <c r="AC3" s="97">
        <v>9.9014778325123149</v>
      </c>
      <c r="AD3" t="s">
        <v>1567</v>
      </c>
      <c r="AE3">
        <v>114</v>
      </c>
      <c r="AF3" s="97">
        <v>4.3842364532019706</v>
      </c>
      <c r="AG3" t="s">
        <v>345</v>
      </c>
      <c r="AH3">
        <v>20</v>
      </c>
      <c r="AI3" s="97">
        <v>9.014778325123153</v>
      </c>
      <c r="AN3" s="29" t="s">
        <v>1538</v>
      </c>
      <c r="AO3" s="29" t="s">
        <v>1534</v>
      </c>
    </row>
    <row r="4" spans="1:41" x14ac:dyDescent="0.3">
      <c r="A4" t="s">
        <v>43</v>
      </c>
      <c r="B4" t="s">
        <v>705</v>
      </c>
      <c r="C4" s="16" t="s">
        <v>272</v>
      </c>
      <c r="D4" s="16">
        <v>3</v>
      </c>
      <c r="E4" t="s">
        <v>1524</v>
      </c>
      <c r="F4" t="s">
        <v>1540</v>
      </c>
      <c r="G4" t="s">
        <v>1566</v>
      </c>
      <c r="H4" t="s">
        <v>344</v>
      </c>
      <c r="I4" s="87">
        <f t="shared" ref="I4:I67" si="0">VLOOKUP(C4,$R$3:$T$4,3,0)*T$1</f>
        <v>2.9556650246305424E-2</v>
      </c>
      <c r="J4" s="87">
        <f t="shared" ref="J4:J67" si="1">VLOOKUP(D4,$U$3:$W$4,3,0)*W$1</f>
        <v>0.17733990147783252</v>
      </c>
      <c r="K4" s="87">
        <f t="shared" ref="K4:K67" si="2">VLOOKUP(E4,$X$3:$Z$8,3,0)*Z$1</f>
        <v>0.25862068965517243</v>
      </c>
      <c r="L4" s="87">
        <f t="shared" ref="L4:L67" si="3">VLOOKUP(F4,$AA$3:$AC$32,3,0)*AC$1</f>
        <v>2.3891625615763545</v>
      </c>
      <c r="M4" s="87">
        <f t="shared" ref="M4:M67" si="4">VLOOKUP(G4,$AD$3:$AF$10,3,0)*AF$1</f>
        <v>0.38669950738916259</v>
      </c>
      <c r="N4" s="87">
        <f t="shared" ref="N4:N67" si="5">VLOOKUP(H4,$AG$3:$AI$19,3,0)*AI$1</f>
        <v>1.2438423645320198</v>
      </c>
      <c r="O4" s="87">
        <f t="shared" ref="O4:O67" si="6">SUM(I4:N4)</f>
        <v>4.485221674876847</v>
      </c>
      <c r="R4" s="16" t="s">
        <v>273</v>
      </c>
      <c r="S4">
        <v>6</v>
      </c>
      <c r="T4">
        <v>9.7044334975369466</v>
      </c>
      <c r="U4" s="16">
        <v>2</v>
      </c>
      <c r="V4">
        <v>36</v>
      </c>
      <c r="W4">
        <v>8.2266009852216744</v>
      </c>
      <c r="X4" t="s">
        <v>1524</v>
      </c>
      <c r="Y4">
        <v>182</v>
      </c>
      <c r="Z4" s="97">
        <v>1.0344827586206897</v>
      </c>
      <c r="AA4" t="s">
        <v>1629</v>
      </c>
      <c r="AB4">
        <v>5</v>
      </c>
      <c r="AC4" s="97">
        <v>9.7536945812807883</v>
      </c>
      <c r="AD4" t="s">
        <v>1568</v>
      </c>
      <c r="AE4">
        <v>13</v>
      </c>
      <c r="AF4" s="97">
        <v>9.3596059113300498</v>
      </c>
      <c r="AG4" t="s">
        <v>1625</v>
      </c>
      <c r="AH4">
        <v>1</v>
      </c>
      <c r="AI4" s="97">
        <v>9.9507389162561584</v>
      </c>
      <c r="AN4" t="s">
        <v>1539</v>
      </c>
      <c r="AO4" s="29" t="s">
        <v>1535</v>
      </c>
    </row>
    <row r="5" spans="1:41" x14ac:dyDescent="0.3">
      <c r="A5" t="s">
        <v>43</v>
      </c>
      <c r="B5" t="s">
        <v>706</v>
      </c>
      <c r="C5" s="16" t="s">
        <v>272</v>
      </c>
      <c r="D5" s="16">
        <v>2</v>
      </c>
      <c r="E5" t="s">
        <v>1657</v>
      </c>
      <c r="F5" t="s">
        <v>282</v>
      </c>
      <c r="G5" t="s">
        <v>342</v>
      </c>
      <c r="H5" t="s">
        <v>344</v>
      </c>
      <c r="I5" s="87">
        <f t="shared" si="0"/>
        <v>2.9556650246305424E-2</v>
      </c>
      <c r="J5" s="87">
        <f t="shared" si="1"/>
        <v>0.82266009852216748</v>
      </c>
      <c r="K5" s="87">
        <f t="shared" si="2"/>
        <v>2.5</v>
      </c>
      <c r="L5" s="87">
        <f t="shared" si="3"/>
        <v>1.5024630541871922</v>
      </c>
      <c r="M5" s="87">
        <f t="shared" si="4"/>
        <v>0.48522167487684736</v>
      </c>
      <c r="N5" s="87">
        <f t="shared" si="5"/>
        <v>1.2438423645320198</v>
      </c>
      <c r="O5" s="87">
        <f t="shared" si="6"/>
        <v>6.583743842364532</v>
      </c>
      <c r="S5"/>
      <c r="T5"/>
      <c r="V5"/>
      <c r="W5"/>
      <c r="X5" t="s">
        <v>334</v>
      </c>
      <c r="Y5">
        <v>1</v>
      </c>
      <c r="Z5" s="97">
        <v>9.9507389162561584</v>
      </c>
      <c r="AA5" t="s">
        <v>282</v>
      </c>
      <c r="AB5">
        <v>81</v>
      </c>
      <c r="AC5" s="97">
        <v>6.0098522167487687</v>
      </c>
      <c r="AD5" t="s">
        <v>1566</v>
      </c>
      <c r="AE5">
        <v>46</v>
      </c>
      <c r="AF5" s="97">
        <v>7.7339901477832509</v>
      </c>
      <c r="AG5" t="s">
        <v>1572</v>
      </c>
      <c r="AH5">
        <v>5</v>
      </c>
      <c r="AI5" s="97">
        <v>9.7536945812807883</v>
      </c>
      <c r="AN5" t="s">
        <v>1541</v>
      </c>
      <c r="AO5" s="29" t="s">
        <v>1535</v>
      </c>
    </row>
    <row r="6" spans="1:41" x14ac:dyDescent="0.3">
      <c r="A6" t="s">
        <v>43</v>
      </c>
      <c r="B6" t="s">
        <v>707</v>
      </c>
      <c r="C6" s="16" t="s">
        <v>272</v>
      </c>
      <c r="D6" s="16">
        <v>3</v>
      </c>
      <c r="E6" t="s">
        <v>1524</v>
      </c>
      <c r="F6" t="s">
        <v>1629</v>
      </c>
      <c r="G6" t="s">
        <v>1567</v>
      </c>
      <c r="H6" t="s">
        <v>344</v>
      </c>
      <c r="I6" s="87">
        <f t="shared" si="0"/>
        <v>2.9556650246305424E-2</v>
      </c>
      <c r="J6" s="87">
        <f t="shared" si="1"/>
        <v>0.17733990147783252</v>
      </c>
      <c r="K6" s="87">
        <f t="shared" si="2"/>
        <v>0.25862068965517243</v>
      </c>
      <c r="L6" s="87">
        <f t="shared" si="3"/>
        <v>2.4384236453201971</v>
      </c>
      <c r="M6" s="87">
        <f t="shared" si="4"/>
        <v>0.21921182266009853</v>
      </c>
      <c r="N6" s="87">
        <f t="shared" si="5"/>
        <v>1.2438423645320198</v>
      </c>
      <c r="O6" s="87">
        <f t="shared" si="6"/>
        <v>4.3669950738916254</v>
      </c>
      <c r="S6"/>
      <c r="T6"/>
      <c r="V6"/>
      <c r="W6"/>
      <c r="X6" t="s">
        <v>1525</v>
      </c>
      <c r="Y6">
        <v>12</v>
      </c>
      <c r="Z6" s="97">
        <v>9.4088669950738915</v>
      </c>
      <c r="AA6" t="s">
        <v>1537</v>
      </c>
      <c r="AB6">
        <v>11</v>
      </c>
      <c r="AC6" s="97">
        <v>9.4581280788177349</v>
      </c>
      <c r="AD6" t="s">
        <v>341</v>
      </c>
      <c r="AE6">
        <v>16</v>
      </c>
      <c r="AF6" s="97">
        <v>9.2118226600985214</v>
      </c>
      <c r="AG6" t="s">
        <v>1573</v>
      </c>
      <c r="AH6">
        <v>7</v>
      </c>
      <c r="AI6" s="97">
        <v>9.6551724137931032</v>
      </c>
      <c r="AN6" t="s">
        <v>1543</v>
      </c>
      <c r="AO6" s="29" t="s">
        <v>1535</v>
      </c>
    </row>
    <row r="7" spans="1:41" x14ac:dyDescent="0.3">
      <c r="A7" t="s">
        <v>43</v>
      </c>
      <c r="B7" t="s">
        <v>708</v>
      </c>
      <c r="C7" s="16" t="s">
        <v>272</v>
      </c>
      <c r="D7" s="16">
        <v>3</v>
      </c>
      <c r="E7" t="s">
        <v>1524</v>
      </c>
      <c r="F7" t="s">
        <v>1629</v>
      </c>
      <c r="G7" t="s">
        <v>1567</v>
      </c>
      <c r="H7" t="s">
        <v>344</v>
      </c>
      <c r="I7" s="87">
        <f t="shared" si="0"/>
        <v>2.9556650246305424E-2</v>
      </c>
      <c r="J7" s="87">
        <f t="shared" si="1"/>
        <v>0.17733990147783252</v>
      </c>
      <c r="K7" s="87">
        <f t="shared" si="2"/>
        <v>0.25862068965517243</v>
      </c>
      <c r="L7" s="87">
        <f t="shared" si="3"/>
        <v>2.4384236453201971</v>
      </c>
      <c r="M7" s="87">
        <f t="shared" si="4"/>
        <v>0.21921182266009853</v>
      </c>
      <c r="N7" s="87">
        <f t="shared" si="5"/>
        <v>1.2438423645320198</v>
      </c>
      <c r="O7" s="87">
        <f t="shared" si="6"/>
        <v>4.3669950738916254</v>
      </c>
      <c r="S7"/>
      <c r="T7"/>
      <c r="V7"/>
      <c r="W7"/>
      <c r="X7" t="s">
        <v>1526</v>
      </c>
      <c r="Y7">
        <v>7</v>
      </c>
      <c r="Z7" s="97">
        <v>9.6551724137931032</v>
      </c>
      <c r="AA7" t="s">
        <v>1560</v>
      </c>
      <c r="AB7">
        <v>2</v>
      </c>
      <c r="AC7" s="97">
        <v>9.9014778325123149</v>
      </c>
      <c r="AD7" t="s">
        <v>1654</v>
      </c>
      <c r="AE7">
        <v>1</v>
      </c>
      <c r="AF7" s="97">
        <v>9.9507389162561584</v>
      </c>
      <c r="AG7" t="s">
        <v>1622</v>
      </c>
      <c r="AH7">
        <v>4</v>
      </c>
      <c r="AI7" s="97">
        <v>9.8029556650246299</v>
      </c>
      <c r="AN7" s="29" t="s">
        <v>1554</v>
      </c>
      <c r="AO7" s="29" t="s">
        <v>1537</v>
      </c>
    </row>
    <row r="8" spans="1:41" x14ac:dyDescent="0.3">
      <c r="A8" t="s">
        <v>43</v>
      </c>
      <c r="B8" t="s">
        <v>709</v>
      </c>
      <c r="C8" s="16" t="s">
        <v>272</v>
      </c>
      <c r="D8" s="16">
        <v>3</v>
      </c>
      <c r="E8" t="s">
        <v>1524</v>
      </c>
      <c r="F8" t="s">
        <v>1629</v>
      </c>
      <c r="G8" t="s">
        <v>1567</v>
      </c>
      <c r="H8" t="s">
        <v>344</v>
      </c>
      <c r="I8" s="87">
        <f t="shared" si="0"/>
        <v>2.9556650246305424E-2</v>
      </c>
      <c r="J8" s="87">
        <f t="shared" si="1"/>
        <v>0.17733990147783252</v>
      </c>
      <c r="K8" s="87">
        <f t="shared" si="2"/>
        <v>0.25862068965517243</v>
      </c>
      <c r="L8" s="87">
        <f t="shared" si="3"/>
        <v>2.4384236453201971</v>
      </c>
      <c r="M8" s="87">
        <f t="shared" si="4"/>
        <v>0.21921182266009853</v>
      </c>
      <c r="N8" s="87">
        <f t="shared" si="5"/>
        <v>1.2438423645320198</v>
      </c>
      <c r="O8" s="87">
        <f t="shared" si="6"/>
        <v>4.3669950738916254</v>
      </c>
      <c r="S8"/>
      <c r="T8"/>
      <c r="V8"/>
      <c r="W8"/>
      <c r="X8" t="s">
        <v>1657</v>
      </c>
      <c r="Y8">
        <v>0</v>
      </c>
      <c r="Z8" s="97">
        <v>10</v>
      </c>
      <c r="AA8" t="s">
        <v>1540</v>
      </c>
      <c r="AB8">
        <v>9</v>
      </c>
      <c r="AC8" s="97">
        <v>9.5566502463054182</v>
      </c>
      <c r="AD8" t="s">
        <v>343</v>
      </c>
      <c r="AE8">
        <v>6</v>
      </c>
      <c r="AF8" s="97">
        <v>9.7044334975369466</v>
      </c>
      <c r="AG8" t="s">
        <v>377</v>
      </c>
      <c r="AH8">
        <v>5</v>
      </c>
      <c r="AI8" s="97">
        <v>9.7536945812807883</v>
      </c>
      <c r="AN8" s="29" t="s">
        <v>1556</v>
      </c>
      <c r="AO8" t="s">
        <v>1546</v>
      </c>
    </row>
    <row r="9" spans="1:41" x14ac:dyDescent="0.3">
      <c r="A9" t="s">
        <v>43</v>
      </c>
      <c r="B9" t="s">
        <v>710</v>
      </c>
      <c r="C9" s="16" t="s">
        <v>272</v>
      </c>
      <c r="D9" s="16">
        <v>3</v>
      </c>
      <c r="E9" t="s">
        <v>1524</v>
      </c>
      <c r="F9" t="s">
        <v>1629</v>
      </c>
      <c r="G9" t="s">
        <v>1567</v>
      </c>
      <c r="H9" t="s">
        <v>344</v>
      </c>
      <c r="I9" s="87">
        <f t="shared" si="0"/>
        <v>2.9556650246305424E-2</v>
      </c>
      <c r="J9" s="87">
        <f t="shared" si="1"/>
        <v>0.17733990147783252</v>
      </c>
      <c r="K9" s="87">
        <f t="shared" si="2"/>
        <v>0.25862068965517243</v>
      </c>
      <c r="L9" s="87">
        <f t="shared" si="3"/>
        <v>2.4384236453201971</v>
      </c>
      <c r="M9" s="87">
        <f t="shared" si="4"/>
        <v>0.21921182266009853</v>
      </c>
      <c r="N9" s="87">
        <f t="shared" si="5"/>
        <v>1.2438423645320198</v>
      </c>
      <c r="O9" s="87">
        <f t="shared" si="6"/>
        <v>4.3669950738916254</v>
      </c>
      <c r="S9"/>
      <c r="T9"/>
      <c r="V9"/>
      <c r="W9"/>
      <c r="AA9" t="s">
        <v>334</v>
      </c>
      <c r="AB9">
        <v>1</v>
      </c>
      <c r="AC9" s="97">
        <v>9.9507389162561584</v>
      </c>
      <c r="AD9" t="s">
        <v>340</v>
      </c>
      <c r="AE9">
        <v>1</v>
      </c>
      <c r="AF9" s="97">
        <v>9.9507389162561584</v>
      </c>
      <c r="AG9" t="s">
        <v>348</v>
      </c>
      <c r="AH9">
        <v>2</v>
      </c>
      <c r="AI9" s="97">
        <v>9.9014778325123149</v>
      </c>
      <c r="AN9" t="s">
        <v>1558</v>
      </c>
      <c r="AO9" s="29" t="s">
        <v>1547</v>
      </c>
    </row>
    <row r="10" spans="1:41" x14ac:dyDescent="0.3">
      <c r="A10" t="s">
        <v>43</v>
      </c>
      <c r="B10" t="s">
        <v>711</v>
      </c>
      <c r="C10" s="16" t="s">
        <v>272</v>
      </c>
      <c r="D10" s="16">
        <v>3</v>
      </c>
      <c r="E10" t="s">
        <v>1524</v>
      </c>
      <c r="F10" t="s">
        <v>1629</v>
      </c>
      <c r="G10" t="s">
        <v>1567</v>
      </c>
      <c r="H10" t="s">
        <v>1570</v>
      </c>
      <c r="I10" s="87">
        <f t="shared" si="0"/>
        <v>2.9556650246305424E-2</v>
      </c>
      <c r="J10" s="87">
        <f t="shared" si="1"/>
        <v>0.17733990147783252</v>
      </c>
      <c r="K10" s="87">
        <f t="shared" si="2"/>
        <v>0.25862068965517243</v>
      </c>
      <c r="L10" s="87">
        <f t="shared" si="3"/>
        <v>2.4384236453201971</v>
      </c>
      <c r="M10" s="87">
        <f t="shared" si="4"/>
        <v>0.21921182266009853</v>
      </c>
      <c r="N10" s="87">
        <f t="shared" si="5"/>
        <v>2.3645320197044337</v>
      </c>
      <c r="O10" s="87">
        <f t="shared" si="6"/>
        <v>5.4876847290640391</v>
      </c>
      <c r="S10"/>
      <c r="T10"/>
      <c r="V10"/>
      <c r="W10"/>
      <c r="AA10" t="s">
        <v>1534</v>
      </c>
      <c r="AB10">
        <v>4</v>
      </c>
      <c r="AC10" s="97">
        <v>9.8029556650246299</v>
      </c>
      <c r="AD10" t="s">
        <v>342</v>
      </c>
      <c r="AE10">
        <v>6</v>
      </c>
      <c r="AF10" s="97">
        <v>9.7044334975369466</v>
      </c>
      <c r="AG10" t="s">
        <v>291</v>
      </c>
      <c r="AH10">
        <v>17</v>
      </c>
      <c r="AI10" s="97">
        <v>9.1625615763546797</v>
      </c>
      <c r="AN10" t="s">
        <v>1638</v>
      </c>
      <c r="AO10" s="29" t="s">
        <v>1540</v>
      </c>
    </row>
    <row r="11" spans="1:41" x14ac:dyDescent="0.3">
      <c r="A11" t="s">
        <v>43</v>
      </c>
      <c r="B11" t="s">
        <v>712</v>
      </c>
      <c r="C11" s="16" t="s">
        <v>272</v>
      </c>
      <c r="D11" s="16">
        <v>2</v>
      </c>
      <c r="E11" t="s">
        <v>1524</v>
      </c>
      <c r="F11" t="s">
        <v>282</v>
      </c>
      <c r="G11" t="s">
        <v>342</v>
      </c>
      <c r="H11" t="s">
        <v>344</v>
      </c>
      <c r="I11" s="87">
        <f t="shared" si="0"/>
        <v>2.9556650246305424E-2</v>
      </c>
      <c r="J11" s="87">
        <f t="shared" si="1"/>
        <v>0.82266009852216748</v>
      </c>
      <c r="K11" s="87">
        <f t="shared" si="2"/>
        <v>0.25862068965517243</v>
      </c>
      <c r="L11" s="87">
        <f t="shared" si="3"/>
        <v>1.5024630541871922</v>
      </c>
      <c r="M11" s="87">
        <f t="shared" si="4"/>
        <v>0.48522167487684736</v>
      </c>
      <c r="N11" s="87">
        <f t="shared" si="5"/>
        <v>1.2438423645320198</v>
      </c>
      <c r="O11" s="87">
        <f t="shared" si="6"/>
        <v>4.3423645320197046</v>
      </c>
      <c r="S11"/>
      <c r="T11"/>
      <c r="V11"/>
      <c r="W11"/>
      <c r="AA11" t="s">
        <v>283</v>
      </c>
      <c r="AB11">
        <v>1</v>
      </c>
      <c r="AC11" s="97">
        <v>9.9507389162561584</v>
      </c>
      <c r="AF11" s="97"/>
      <c r="AG11" t="s">
        <v>347</v>
      </c>
      <c r="AH11">
        <v>7</v>
      </c>
      <c r="AI11" s="97">
        <v>9.6551724137931032</v>
      </c>
      <c r="AN11" t="s">
        <v>1648</v>
      </c>
      <c r="AO11" s="29" t="s">
        <v>1544</v>
      </c>
    </row>
    <row r="12" spans="1:41" x14ac:dyDescent="0.3">
      <c r="A12" t="s">
        <v>43</v>
      </c>
      <c r="B12" t="s">
        <v>713</v>
      </c>
      <c r="C12" s="16" t="s">
        <v>272</v>
      </c>
      <c r="D12" s="16">
        <v>2</v>
      </c>
      <c r="E12" t="s">
        <v>1524</v>
      </c>
      <c r="F12" t="s">
        <v>282</v>
      </c>
      <c r="G12" t="s">
        <v>1654</v>
      </c>
      <c r="H12" t="s">
        <v>344</v>
      </c>
      <c r="I12" s="87">
        <f t="shared" si="0"/>
        <v>2.9556650246305424E-2</v>
      </c>
      <c r="J12" s="87">
        <f t="shared" si="1"/>
        <v>0.82266009852216748</v>
      </c>
      <c r="K12" s="87">
        <f t="shared" si="2"/>
        <v>0.25862068965517243</v>
      </c>
      <c r="L12" s="87">
        <f t="shared" si="3"/>
        <v>1.5024630541871922</v>
      </c>
      <c r="M12" s="87">
        <f t="shared" si="4"/>
        <v>0.49753694581280794</v>
      </c>
      <c r="N12" s="87">
        <f t="shared" si="5"/>
        <v>1.2438423645320198</v>
      </c>
      <c r="O12" s="87">
        <f t="shared" si="6"/>
        <v>4.3546798029556646</v>
      </c>
      <c r="S12"/>
      <c r="T12"/>
      <c r="V12"/>
      <c r="W12"/>
      <c r="AA12" t="s">
        <v>1631</v>
      </c>
      <c r="AB12">
        <v>3</v>
      </c>
      <c r="AC12" s="97">
        <v>9.8522167487684733</v>
      </c>
      <c r="AF12" s="97"/>
      <c r="AG12" t="s">
        <v>1621</v>
      </c>
      <c r="AH12">
        <v>1</v>
      </c>
      <c r="AI12" s="97">
        <v>9.9507389162561584</v>
      </c>
      <c r="AN12" t="s">
        <v>1640</v>
      </c>
      <c r="AO12" s="29" t="s">
        <v>1557</v>
      </c>
    </row>
    <row r="13" spans="1:41" x14ac:dyDescent="0.3">
      <c r="A13" t="s">
        <v>43</v>
      </c>
      <c r="B13" t="s">
        <v>714</v>
      </c>
      <c r="C13" s="16" t="s">
        <v>272</v>
      </c>
      <c r="D13" s="16">
        <v>2</v>
      </c>
      <c r="E13" t="s">
        <v>1524</v>
      </c>
      <c r="F13" t="s">
        <v>282</v>
      </c>
      <c r="G13" t="s">
        <v>1654</v>
      </c>
      <c r="H13" t="s">
        <v>344</v>
      </c>
      <c r="I13" s="87">
        <f t="shared" si="0"/>
        <v>2.9556650246305424E-2</v>
      </c>
      <c r="J13" s="87">
        <f t="shared" si="1"/>
        <v>0.82266009852216748</v>
      </c>
      <c r="K13" s="87">
        <f t="shared" si="2"/>
        <v>0.25862068965517243</v>
      </c>
      <c r="L13" s="87">
        <f t="shared" si="3"/>
        <v>1.5024630541871922</v>
      </c>
      <c r="M13" s="87">
        <f t="shared" si="4"/>
        <v>0.49753694581280794</v>
      </c>
      <c r="N13" s="87">
        <f t="shared" si="5"/>
        <v>1.2438423645320198</v>
      </c>
      <c r="O13" s="87">
        <f t="shared" si="6"/>
        <v>4.3546798029556646</v>
      </c>
      <c r="S13"/>
      <c r="T13"/>
      <c r="V13"/>
      <c r="W13"/>
      <c r="AA13" t="s">
        <v>1546</v>
      </c>
      <c r="AB13">
        <v>8</v>
      </c>
      <c r="AC13" s="97">
        <v>9.6059113300492616</v>
      </c>
      <c r="AF13" s="97"/>
      <c r="AG13" t="s">
        <v>344</v>
      </c>
      <c r="AH13">
        <v>102</v>
      </c>
      <c r="AI13" s="97">
        <v>4.9753694581280792</v>
      </c>
      <c r="AN13" t="s">
        <v>1651</v>
      </c>
      <c r="AO13" t="s">
        <v>1551</v>
      </c>
    </row>
    <row r="14" spans="1:41" x14ac:dyDescent="0.3">
      <c r="A14" t="s">
        <v>43</v>
      </c>
      <c r="B14" t="s">
        <v>715</v>
      </c>
      <c r="C14" s="16" t="s">
        <v>272</v>
      </c>
      <c r="D14" s="16">
        <v>3</v>
      </c>
      <c r="E14" t="s">
        <v>1524</v>
      </c>
      <c r="F14" t="s">
        <v>1540</v>
      </c>
      <c r="G14" t="s">
        <v>1566</v>
      </c>
      <c r="H14" t="s">
        <v>344</v>
      </c>
      <c r="I14" s="87">
        <f t="shared" si="0"/>
        <v>2.9556650246305424E-2</v>
      </c>
      <c r="J14" s="87">
        <f t="shared" si="1"/>
        <v>0.17733990147783252</v>
      </c>
      <c r="K14" s="87">
        <f t="shared" si="2"/>
        <v>0.25862068965517243</v>
      </c>
      <c r="L14" s="87">
        <f t="shared" si="3"/>
        <v>2.3891625615763545</v>
      </c>
      <c r="M14" s="87">
        <f t="shared" si="4"/>
        <v>0.38669950738916259</v>
      </c>
      <c r="N14" s="87">
        <f t="shared" si="5"/>
        <v>1.2438423645320198</v>
      </c>
      <c r="O14" s="87">
        <f t="shared" si="6"/>
        <v>4.485221674876847</v>
      </c>
      <c r="S14"/>
      <c r="T14"/>
      <c r="V14"/>
      <c r="W14"/>
      <c r="AA14" t="s">
        <v>273</v>
      </c>
      <c r="AB14">
        <v>2</v>
      </c>
      <c r="AC14" s="97">
        <v>9.9014778325123149</v>
      </c>
      <c r="AF14" s="97"/>
      <c r="AG14" t="s">
        <v>1574</v>
      </c>
      <c r="AH14">
        <v>12</v>
      </c>
      <c r="AI14" s="97">
        <v>9.4088669950738915</v>
      </c>
      <c r="AN14" t="s">
        <v>1653</v>
      </c>
      <c r="AO14" s="29" t="s">
        <v>1553</v>
      </c>
    </row>
    <row r="15" spans="1:41" x14ac:dyDescent="0.3">
      <c r="A15" t="s">
        <v>43</v>
      </c>
      <c r="B15" t="s">
        <v>716</v>
      </c>
      <c r="C15" s="16" t="s">
        <v>272</v>
      </c>
      <c r="D15" s="16">
        <v>2</v>
      </c>
      <c r="E15" t="s">
        <v>1525</v>
      </c>
      <c r="F15" t="s">
        <v>282</v>
      </c>
      <c r="G15" t="s">
        <v>1654</v>
      </c>
      <c r="H15" t="s">
        <v>344</v>
      </c>
      <c r="I15" s="87">
        <f t="shared" si="0"/>
        <v>2.9556650246305424E-2</v>
      </c>
      <c r="J15" s="87">
        <f t="shared" si="1"/>
        <v>0.82266009852216748</v>
      </c>
      <c r="K15" s="87">
        <f t="shared" si="2"/>
        <v>2.3522167487684729</v>
      </c>
      <c r="L15" s="87">
        <f t="shared" si="3"/>
        <v>1.5024630541871922</v>
      </c>
      <c r="M15" s="87">
        <f t="shared" si="4"/>
        <v>0.49753694581280794</v>
      </c>
      <c r="N15" s="87">
        <f t="shared" si="5"/>
        <v>1.2438423645320198</v>
      </c>
      <c r="O15" s="87">
        <f t="shared" si="6"/>
        <v>6.4482758620689653</v>
      </c>
      <c r="S15"/>
      <c r="T15"/>
      <c r="V15"/>
      <c r="W15"/>
      <c r="AA15" t="s">
        <v>1633</v>
      </c>
      <c r="AB15">
        <v>3</v>
      </c>
      <c r="AC15" s="97">
        <v>9.8522167487684733</v>
      </c>
      <c r="AF15" s="97"/>
      <c r="AG15" t="s">
        <v>1623</v>
      </c>
      <c r="AH15">
        <v>3</v>
      </c>
      <c r="AI15" s="97">
        <v>9.8522167487684733</v>
      </c>
      <c r="AN15" t="s">
        <v>1645</v>
      </c>
      <c r="AO15" t="s">
        <v>1555</v>
      </c>
    </row>
    <row r="16" spans="1:41" x14ac:dyDescent="0.3">
      <c r="A16" t="s">
        <v>43</v>
      </c>
      <c r="B16" t="s">
        <v>717</v>
      </c>
      <c r="C16" s="16" t="s">
        <v>272</v>
      </c>
      <c r="D16" s="16">
        <v>3</v>
      </c>
      <c r="E16" t="s">
        <v>1524</v>
      </c>
      <c r="F16" t="s">
        <v>1540</v>
      </c>
      <c r="G16" t="s">
        <v>1566</v>
      </c>
      <c r="H16" t="s">
        <v>1570</v>
      </c>
      <c r="I16" s="87">
        <f t="shared" si="0"/>
        <v>2.9556650246305424E-2</v>
      </c>
      <c r="J16" s="87">
        <f t="shared" si="1"/>
        <v>0.17733990147783252</v>
      </c>
      <c r="K16" s="87">
        <f t="shared" si="2"/>
        <v>0.25862068965517243</v>
      </c>
      <c r="L16" s="87">
        <f t="shared" si="3"/>
        <v>2.3891625615763545</v>
      </c>
      <c r="M16" s="87">
        <f t="shared" si="4"/>
        <v>0.38669950738916259</v>
      </c>
      <c r="N16" s="87">
        <f t="shared" si="5"/>
        <v>2.3645320197044337</v>
      </c>
      <c r="O16" s="87">
        <f t="shared" si="6"/>
        <v>5.6059113300492616</v>
      </c>
      <c r="S16"/>
      <c r="T16"/>
      <c r="V16"/>
      <c r="W16"/>
      <c r="AA16" t="s">
        <v>1634</v>
      </c>
      <c r="AB16">
        <v>11</v>
      </c>
      <c r="AC16" s="97">
        <v>9.4581280788177349</v>
      </c>
      <c r="AF16" s="97"/>
      <c r="AG16" t="s">
        <v>1570</v>
      </c>
      <c r="AH16">
        <v>11</v>
      </c>
      <c r="AI16" s="97">
        <v>9.4581280788177349</v>
      </c>
      <c r="AN16" t="s">
        <v>1538</v>
      </c>
      <c r="AO16" s="29" t="s">
        <v>1534</v>
      </c>
    </row>
    <row r="17" spans="1:41" x14ac:dyDescent="0.3">
      <c r="A17" t="s">
        <v>43</v>
      </c>
      <c r="B17" t="s">
        <v>718</v>
      </c>
      <c r="C17" s="16" t="s">
        <v>272</v>
      </c>
      <c r="D17" s="16">
        <v>3</v>
      </c>
      <c r="E17" t="s">
        <v>1524</v>
      </c>
      <c r="F17" t="s">
        <v>1557</v>
      </c>
      <c r="G17" t="s">
        <v>1654</v>
      </c>
      <c r="H17" t="s">
        <v>344</v>
      </c>
      <c r="I17" s="87">
        <f t="shared" si="0"/>
        <v>2.9556650246305424E-2</v>
      </c>
      <c r="J17" s="87">
        <f t="shared" si="1"/>
        <v>0.17733990147783252</v>
      </c>
      <c r="K17" s="87">
        <f t="shared" si="2"/>
        <v>0.25862068965517243</v>
      </c>
      <c r="L17" s="87">
        <f t="shared" si="3"/>
        <v>2.4630541871921183</v>
      </c>
      <c r="M17" s="87">
        <f t="shared" si="4"/>
        <v>0.49753694581280794</v>
      </c>
      <c r="N17" s="87">
        <f t="shared" si="5"/>
        <v>1.2438423645320198</v>
      </c>
      <c r="O17" s="87">
        <f t="shared" si="6"/>
        <v>4.6699507389162562</v>
      </c>
      <c r="S17"/>
      <c r="T17"/>
      <c r="V17"/>
      <c r="W17"/>
      <c r="AA17" t="s">
        <v>1553</v>
      </c>
      <c r="AB17">
        <v>2</v>
      </c>
      <c r="AC17" s="97">
        <v>9.9014778325123149</v>
      </c>
      <c r="AF17" s="97"/>
      <c r="AG17" t="s">
        <v>1571</v>
      </c>
      <c r="AH17">
        <v>3</v>
      </c>
      <c r="AI17" s="97">
        <v>9.8522167487684733</v>
      </c>
      <c r="AN17" t="s">
        <v>1641</v>
      </c>
      <c r="AO17" s="29" t="s">
        <v>1542</v>
      </c>
    </row>
    <row r="18" spans="1:41" x14ac:dyDescent="0.3">
      <c r="A18" t="s">
        <v>45</v>
      </c>
      <c r="B18" t="s">
        <v>719</v>
      </c>
      <c r="C18" s="16" t="s">
        <v>272</v>
      </c>
      <c r="D18" s="16">
        <v>3</v>
      </c>
      <c r="E18" t="s">
        <v>1524</v>
      </c>
      <c r="F18" t="s">
        <v>282</v>
      </c>
      <c r="G18" t="s">
        <v>1568</v>
      </c>
      <c r="H18" t="s">
        <v>1570</v>
      </c>
      <c r="I18" s="87">
        <f t="shared" si="0"/>
        <v>2.9556650246305424E-2</v>
      </c>
      <c r="J18" s="87">
        <f t="shared" si="1"/>
        <v>0.17733990147783252</v>
      </c>
      <c r="K18" s="87">
        <f t="shared" si="2"/>
        <v>0.25862068965517243</v>
      </c>
      <c r="L18" s="87">
        <f t="shared" si="3"/>
        <v>1.5024630541871922</v>
      </c>
      <c r="M18" s="87">
        <f t="shared" si="4"/>
        <v>0.4679802955665025</v>
      </c>
      <c r="N18" s="87">
        <f t="shared" si="5"/>
        <v>2.3645320197044337</v>
      </c>
      <c r="O18" s="87">
        <f t="shared" si="6"/>
        <v>4.8004926108374395</v>
      </c>
      <c r="S18"/>
      <c r="T18"/>
      <c r="V18"/>
      <c r="W18"/>
      <c r="AA18" t="s">
        <v>1637</v>
      </c>
      <c r="AB18">
        <v>4</v>
      </c>
      <c r="AC18" s="97">
        <v>9.8029556650246299</v>
      </c>
      <c r="AF18" s="97"/>
      <c r="AG18" t="s">
        <v>1620</v>
      </c>
      <c r="AH18">
        <v>3</v>
      </c>
      <c r="AI18" s="97">
        <v>9.8522167487684733</v>
      </c>
      <c r="AN18" t="s">
        <v>1539</v>
      </c>
      <c r="AO18" s="29" t="s">
        <v>1535</v>
      </c>
    </row>
    <row r="19" spans="1:41" x14ac:dyDescent="0.3">
      <c r="A19" t="s">
        <v>45</v>
      </c>
      <c r="B19" t="s">
        <v>720</v>
      </c>
      <c r="C19" s="16" t="s">
        <v>272</v>
      </c>
      <c r="D19" s="16">
        <v>3</v>
      </c>
      <c r="E19" t="s">
        <v>1524</v>
      </c>
      <c r="F19" t="s">
        <v>1537</v>
      </c>
      <c r="G19" t="s">
        <v>1567</v>
      </c>
      <c r="H19" t="s">
        <v>1620</v>
      </c>
      <c r="I19" s="87">
        <f t="shared" si="0"/>
        <v>2.9556650246305424E-2</v>
      </c>
      <c r="J19" s="87">
        <f t="shared" si="1"/>
        <v>0.17733990147783252</v>
      </c>
      <c r="K19" s="87">
        <f t="shared" si="2"/>
        <v>0.25862068965517243</v>
      </c>
      <c r="L19" s="87">
        <f t="shared" si="3"/>
        <v>2.3645320197044337</v>
      </c>
      <c r="M19" s="87">
        <f t="shared" si="4"/>
        <v>0.21921182266009853</v>
      </c>
      <c r="N19" s="87">
        <f t="shared" si="5"/>
        <v>2.4630541871921183</v>
      </c>
      <c r="O19" s="87">
        <f t="shared" si="6"/>
        <v>5.5123152709359609</v>
      </c>
      <c r="S19"/>
      <c r="T19"/>
      <c r="V19"/>
      <c r="W19"/>
      <c r="AA19" t="s">
        <v>1547</v>
      </c>
      <c r="AB19">
        <v>9</v>
      </c>
      <c r="AC19" s="97">
        <v>9.5566502463054182</v>
      </c>
      <c r="AF19" s="97"/>
      <c r="AG19" t="s">
        <v>1658</v>
      </c>
      <c r="AH19">
        <v>0</v>
      </c>
      <c r="AI19" s="6">
        <v>10</v>
      </c>
      <c r="AN19" t="s">
        <v>1541</v>
      </c>
      <c r="AO19" s="29" t="s">
        <v>1535</v>
      </c>
    </row>
    <row r="20" spans="1:41" x14ac:dyDescent="0.3">
      <c r="A20" t="s">
        <v>45</v>
      </c>
      <c r="B20" t="s">
        <v>721</v>
      </c>
      <c r="C20" s="16" t="s">
        <v>272</v>
      </c>
      <c r="D20" s="16">
        <v>3</v>
      </c>
      <c r="E20" t="s">
        <v>1524</v>
      </c>
      <c r="F20" t="s">
        <v>1537</v>
      </c>
      <c r="G20" t="s">
        <v>1567</v>
      </c>
      <c r="H20" t="s">
        <v>1620</v>
      </c>
      <c r="I20" s="87">
        <f t="shared" si="0"/>
        <v>2.9556650246305424E-2</v>
      </c>
      <c r="J20" s="87">
        <f t="shared" si="1"/>
        <v>0.17733990147783252</v>
      </c>
      <c r="K20" s="87">
        <f t="shared" si="2"/>
        <v>0.25862068965517243</v>
      </c>
      <c r="L20" s="87">
        <f t="shared" si="3"/>
        <v>2.3645320197044337</v>
      </c>
      <c r="M20" s="87">
        <f t="shared" si="4"/>
        <v>0.21921182266009853</v>
      </c>
      <c r="N20" s="87">
        <f t="shared" si="5"/>
        <v>2.4630541871921183</v>
      </c>
      <c r="O20" s="87">
        <f t="shared" si="6"/>
        <v>5.5123152709359609</v>
      </c>
      <c r="S20"/>
      <c r="T20"/>
      <c r="V20"/>
      <c r="W20"/>
      <c r="AA20" t="s">
        <v>1542</v>
      </c>
      <c r="AB20">
        <v>10</v>
      </c>
      <c r="AC20" s="97">
        <v>9.5073891625615765</v>
      </c>
      <c r="AF20" s="97"/>
      <c r="AN20" t="s">
        <v>1630</v>
      </c>
      <c r="AO20" s="90" t="s">
        <v>1557</v>
      </c>
    </row>
    <row r="21" spans="1:41" x14ac:dyDescent="0.3">
      <c r="A21" t="s">
        <v>45</v>
      </c>
      <c r="B21" t="s">
        <v>722</v>
      </c>
      <c r="C21" s="16" t="s">
        <v>272</v>
      </c>
      <c r="D21" s="16">
        <v>3</v>
      </c>
      <c r="E21" t="s">
        <v>1524</v>
      </c>
      <c r="F21" t="s">
        <v>282</v>
      </c>
      <c r="G21" t="s">
        <v>1566</v>
      </c>
      <c r="H21" t="s">
        <v>1574</v>
      </c>
      <c r="I21" s="87">
        <f t="shared" si="0"/>
        <v>2.9556650246305424E-2</v>
      </c>
      <c r="J21" s="87">
        <f t="shared" si="1"/>
        <v>0.17733990147783252</v>
      </c>
      <c r="K21" s="87">
        <f t="shared" si="2"/>
        <v>0.25862068965517243</v>
      </c>
      <c r="L21" s="87">
        <f t="shared" si="3"/>
        <v>1.5024630541871922</v>
      </c>
      <c r="M21" s="87">
        <f t="shared" si="4"/>
        <v>0.38669950738916259</v>
      </c>
      <c r="N21" s="87">
        <f t="shared" si="5"/>
        <v>2.3522167487684729</v>
      </c>
      <c r="O21" s="87">
        <f t="shared" si="6"/>
        <v>4.7068965517241388</v>
      </c>
      <c r="S21"/>
      <c r="T21"/>
      <c r="V21"/>
      <c r="W21"/>
      <c r="AA21" t="s">
        <v>1557</v>
      </c>
      <c r="AB21">
        <v>3</v>
      </c>
      <c r="AC21" s="97">
        <v>9.8522167487684733</v>
      </c>
      <c r="AF21" s="97"/>
      <c r="AN21" t="s">
        <v>1644</v>
      </c>
      <c r="AO21" s="29" t="s">
        <v>1536</v>
      </c>
    </row>
    <row r="22" spans="1:41" x14ac:dyDescent="0.3">
      <c r="A22" t="s">
        <v>45</v>
      </c>
      <c r="B22" t="s">
        <v>723</v>
      </c>
      <c r="C22" s="16" t="s">
        <v>272</v>
      </c>
      <c r="D22" s="16">
        <v>3</v>
      </c>
      <c r="E22" t="s">
        <v>1524</v>
      </c>
      <c r="F22" t="s">
        <v>282</v>
      </c>
      <c r="G22" t="s">
        <v>1566</v>
      </c>
      <c r="H22" t="s">
        <v>1574</v>
      </c>
      <c r="I22" s="87">
        <f t="shared" si="0"/>
        <v>2.9556650246305424E-2</v>
      </c>
      <c r="J22" s="87">
        <f t="shared" si="1"/>
        <v>0.17733990147783252</v>
      </c>
      <c r="K22" s="87">
        <f t="shared" si="2"/>
        <v>0.25862068965517243</v>
      </c>
      <c r="L22" s="87">
        <f t="shared" si="3"/>
        <v>1.5024630541871922</v>
      </c>
      <c r="M22" s="87">
        <f t="shared" si="4"/>
        <v>0.38669950738916259</v>
      </c>
      <c r="N22" s="87">
        <f t="shared" si="5"/>
        <v>2.3522167487684729</v>
      </c>
      <c r="O22" s="87">
        <f t="shared" si="6"/>
        <v>4.7068965517241388</v>
      </c>
      <c r="S22"/>
      <c r="T22"/>
      <c r="V22"/>
      <c r="W22"/>
      <c r="AA22" t="s">
        <v>284</v>
      </c>
      <c r="AB22">
        <v>4</v>
      </c>
      <c r="AC22" s="97">
        <v>9.8029556650246299</v>
      </c>
      <c r="AF22" s="97"/>
      <c r="AN22" t="s">
        <v>1554</v>
      </c>
      <c r="AO22" s="29" t="s">
        <v>1537</v>
      </c>
    </row>
    <row r="23" spans="1:41" x14ac:dyDescent="0.3">
      <c r="A23" t="s">
        <v>45</v>
      </c>
      <c r="B23" t="s">
        <v>724</v>
      </c>
      <c r="C23" s="16" t="s">
        <v>272</v>
      </c>
      <c r="D23" s="16">
        <v>2</v>
      </c>
      <c r="E23" t="s">
        <v>1524</v>
      </c>
      <c r="F23" t="s">
        <v>282</v>
      </c>
      <c r="G23" t="s">
        <v>342</v>
      </c>
      <c r="H23" t="s">
        <v>344</v>
      </c>
      <c r="I23" s="87">
        <f t="shared" si="0"/>
        <v>2.9556650246305424E-2</v>
      </c>
      <c r="J23" s="87">
        <f t="shared" si="1"/>
        <v>0.82266009852216748</v>
      </c>
      <c r="K23" s="87">
        <f t="shared" si="2"/>
        <v>0.25862068965517243</v>
      </c>
      <c r="L23" s="87">
        <f t="shared" si="3"/>
        <v>1.5024630541871922</v>
      </c>
      <c r="M23" s="87">
        <f t="shared" si="4"/>
        <v>0.48522167487684736</v>
      </c>
      <c r="N23" s="87">
        <f t="shared" si="5"/>
        <v>1.2438423645320198</v>
      </c>
      <c r="O23" s="87">
        <f t="shared" si="6"/>
        <v>4.3423645320197046</v>
      </c>
      <c r="S23"/>
      <c r="T23"/>
      <c r="V23"/>
      <c r="W23"/>
      <c r="AA23" t="s">
        <v>1626</v>
      </c>
      <c r="AB23">
        <v>2</v>
      </c>
      <c r="AC23" s="97">
        <v>9.9014778325123149</v>
      </c>
      <c r="AF23" s="97"/>
      <c r="AN23" t="s">
        <v>1627</v>
      </c>
      <c r="AO23" t="s">
        <v>1533</v>
      </c>
    </row>
    <row r="24" spans="1:41" x14ac:dyDescent="0.3">
      <c r="A24" t="s">
        <v>45</v>
      </c>
      <c r="B24" t="s">
        <v>725</v>
      </c>
      <c r="C24" s="16" t="s">
        <v>272</v>
      </c>
      <c r="D24" s="16">
        <v>3</v>
      </c>
      <c r="E24" t="s">
        <v>1524</v>
      </c>
      <c r="F24" t="s">
        <v>1540</v>
      </c>
      <c r="G24" t="s">
        <v>1567</v>
      </c>
      <c r="H24" t="s">
        <v>344</v>
      </c>
      <c r="I24" s="87">
        <f t="shared" si="0"/>
        <v>2.9556650246305424E-2</v>
      </c>
      <c r="J24" s="87">
        <f t="shared" si="1"/>
        <v>0.17733990147783252</v>
      </c>
      <c r="K24" s="87">
        <f t="shared" si="2"/>
        <v>0.25862068965517243</v>
      </c>
      <c r="L24" s="87">
        <f t="shared" si="3"/>
        <v>2.3891625615763545</v>
      </c>
      <c r="M24" s="87">
        <f t="shared" si="4"/>
        <v>0.21921182266009853</v>
      </c>
      <c r="N24" s="87">
        <f t="shared" si="5"/>
        <v>1.2438423645320198</v>
      </c>
      <c r="O24" s="87">
        <f t="shared" si="6"/>
        <v>4.3177339901477829</v>
      </c>
      <c r="S24"/>
      <c r="T24"/>
      <c r="V24"/>
      <c r="W24"/>
      <c r="AA24" t="s">
        <v>1533</v>
      </c>
      <c r="AB24">
        <v>1</v>
      </c>
      <c r="AC24" s="97">
        <v>9.9507389162561584</v>
      </c>
      <c r="AF24" s="97"/>
      <c r="AN24" t="s">
        <v>1558</v>
      </c>
      <c r="AO24" s="29" t="s">
        <v>1547</v>
      </c>
    </row>
    <row r="25" spans="1:41" x14ac:dyDescent="0.3">
      <c r="A25" t="s">
        <v>45</v>
      </c>
      <c r="B25" t="s">
        <v>726</v>
      </c>
      <c r="C25" s="16" t="s">
        <v>272</v>
      </c>
      <c r="D25" s="16">
        <v>2</v>
      </c>
      <c r="E25" t="s">
        <v>1524</v>
      </c>
      <c r="F25" t="s">
        <v>282</v>
      </c>
      <c r="G25" t="s">
        <v>342</v>
      </c>
      <c r="H25" t="s">
        <v>344</v>
      </c>
      <c r="I25" s="87">
        <f t="shared" si="0"/>
        <v>2.9556650246305424E-2</v>
      </c>
      <c r="J25" s="87">
        <f t="shared" si="1"/>
        <v>0.82266009852216748</v>
      </c>
      <c r="K25" s="87">
        <f t="shared" si="2"/>
        <v>0.25862068965517243</v>
      </c>
      <c r="L25" s="87">
        <f t="shared" si="3"/>
        <v>1.5024630541871922</v>
      </c>
      <c r="M25" s="87">
        <f t="shared" si="4"/>
        <v>0.48522167487684736</v>
      </c>
      <c r="N25" s="87">
        <f t="shared" si="5"/>
        <v>1.2438423645320198</v>
      </c>
      <c r="O25" s="87">
        <f t="shared" si="6"/>
        <v>4.3423645320197046</v>
      </c>
      <c r="S25"/>
      <c r="T25"/>
      <c r="V25"/>
      <c r="W25"/>
      <c r="AA25" t="s">
        <v>1562</v>
      </c>
      <c r="AB25">
        <v>6</v>
      </c>
      <c r="AC25" s="97">
        <v>9.7044334975369466</v>
      </c>
      <c r="AF25" s="97"/>
      <c r="AN25" t="s">
        <v>1619</v>
      </c>
      <c r="AO25" s="29" t="s">
        <v>1570</v>
      </c>
    </row>
    <row r="26" spans="1:41" x14ac:dyDescent="0.3">
      <c r="A26" t="s">
        <v>45</v>
      </c>
      <c r="B26" t="s">
        <v>727</v>
      </c>
      <c r="C26" s="16" t="s">
        <v>272</v>
      </c>
      <c r="D26" s="16">
        <v>3</v>
      </c>
      <c r="E26" t="s">
        <v>1524</v>
      </c>
      <c r="F26" t="s">
        <v>1629</v>
      </c>
      <c r="G26" t="s">
        <v>1568</v>
      </c>
      <c r="H26" t="s">
        <v>344</v>
      </c>
      <c r="I26" s="87">
        <f t="shared" si="0"/>
        <v>2.9556650246305424E-2</v>
      </c>
      <c r="J26" s="87">
        <f t="shared" si="1"/>
        <v>0.17733990147783252</v>
      </c>
      <c r="K26" s="87">
        <f t="shared" si="2"/>
        <v>0.25862068965517243</v>
      </c>
      <c r="L26" s="87">
        <f t="shared" si="3"/>
        <v>2.4384236453201971</v>
      </c>
      <c r="M26" s="87">
        <f t="shared" si="4"/>
        <v>0.4679802955665025</v>
      </c>
      <c r="N26" s="87">
        <f t="shared" si="5"/>
        <v>1.2438423645320198</v>
      </c>
      <c r="O26" s="87">
        <f t="shared" si="6"/>
        <v>4.6157635467980302</v>
      </c>
      <c r="S26"/>
      <c r="T26"/>
      <c r="V26"/>
      <c r="W26"/>
      <c r="AA26" t="s">
        <v>339</v>
      </c>
      <c r="AB26">
        <v>2</v>
      </c>
      <c r="AC26" s="97">
        <v>9.9014778325123149</v>
      </c>
      <c r="AF26" s="97"/>
      <c r="AN26" t="s">
        <v>1569</v>
      </c>
      <c r="AO26" s="29" t="s">
        <v>1574</v>
      </c>
    </row>
    <row r="27" spans="1:41" x14ac:dyDescent="0.3">
      <c r="A27" t="s">
        <v>45</v>
      </c>
      <c r="B27" t="s">
        <v>728</v>
      </c>
      <c r="C27" s="16" t="s">
        <v>272</v>
      </c>
      <c r="D27" s="16">
        <v>3</v>
      </c>
      <c r="E27" t="s">
        <v>1524</v>
      </c>
      <c r="F27" t="s">
        <v>1557</v>
      </c>
      <c r="G27" t="s">
        <v>1566</v>
      </c>
      <c r="H27" t="s">
        <v>344</v>
      </c>
      <c r="I27" s="87">
        <f t="shared" si="0"/>
        <v>2.9556650246305424E-2</v>
      </c>
      <c r="J27" s="87">
        <f t="shared" si="1"/>
        <v>0.17733990147783252</v>
      </c>
      <c r="K27" s="87">
        <f t="shared" si="2"/>
        <v>0.25862068965517243</v>
      </c>
      <c r="L27" s="87">
        <f t="shared" si="3"/>
        <v>2.4630541871921183</v>
      </c>
      <c r="M27" s="87">
        <f t="shared" si="4"/>
        <v>0.38669950738916259</v>
      </c>
      <c r="N27" s="87">
        <f t="shared" si="5"/>
        <v>1.2438423645320198</v>
      </c>
      <c r="O27" s="87">
        <f t="shared" si="6"/>
        <v>4.5591133004926112</v>
      </c>
      <c r="S27"/>
      <c r="T27"/>
      <c r="V27"/>
      <c r="W27"/>
      <c r="AA27" t="s">
        <v>1650</v>
      </c>
      <c r="AB27">
        <v>2</v>
      </c>
      <c r="AC27" s="97">
        <v>9.9014778325123149</v>
      </c>
      <c r="AF27" s="97"/>
      <c r="AN27" t="s">
        <v>371</v>
      </c>
      <c r="AO27" t="s">
        <v>334</v>
      </c>
    </row>
    <row r="28" spans="1:41" x14ac:dyDescent="0.3">
      <c r="A28" t="s">
        <v>45</v>
      </c>
      <c r="B28" t="s">
        <v>729</v>
      </c>
      <c r="C28" s="16" t="s">
        <v>272</v>
      </c>
      <c r="D28" s="16">
        <v>3</v>
      </c>
      <c r="E28" t="s">
        <v>1524</v>
      </c>
      <c r="F28" t="s">
        <v>1629</v>
      </c>
      <c r="G28" t="s">
        <v>1568</v>
      </c>
      <c r="H28" t="s">
        <v>344</v>
      </c>
      <c r="I28" s="87">
        <f t="shared" si="0"/>
        <v>2.9556650246305424E-2</v>
      </c>
      <c r="J28" s="87">
        <f t="shared" si="1"/>
        <v>0.17733990147783252</v>
      </c>
      <c r="K28" s="87">
        <f t="shared" si="2"/>
        <v>0.25862068965517243</v>
      </c>
      <c r="L28" s="87">
        <f t="shared" si="3"/>
        <v>2.4384236453201971</v>
      </c>
      <c r="M28" s="87">
        <f t="shared" si="4"/>
        <v>0.4679802955665025</v>
      </c>
      <c r="N28" s="87">
        <f t="shared" si="5"/>
        <v>1.2438423645320198</v>
      </c>
      <c r="O28" s="87">
        <f t="shared" si="6"/>
        <v>4.6157635467980302</v>
      </c>
      <c r="S28"/>
      <c r="T28"/>
      <c r="V28"/>
      <c r="W28"/>
      <c r="AA28" t="s">
        <v>1555</v>
      </c>
      <c r="AB28">
        <v>9</v>
      </c>
      <c r="AC28" s="97">
        <v>9.5566502463054182</v>
      </c>
      <c r="AF28" s="97"/>
      <c r="AN28" s="89" t="s">
        <v>1643</v>
      </c>
      <c r="AO28" s="89" t="s">
        <v>1650</v>
      </c>
    </row>
    <row r="29" spans="1:41" x14ac:dyDescent="0.3">
      <c r="A29" t="s">
        <v>45</v>
      </c>
      <c r="B29" t="s">
        <v>730</v>
      </c>
      <c r="C29" s="16" t="s">
        <v>272</v>
      </c>
      <c r="D29" s="16">
        <v>3</v>
      </c>
      <c r="E29" t="s">
        <v>1524</v>
      </c>
      <c r="F29" t="s">
        <v>1540</v>
      </c>
      <c r="G29" t="s">
        <v>1567</v>
      </c>
      <c r="H29" t="s">
        <v>344</v>
      </c>
      <c r="I29" s="87">
        <f t="shared" si="0"/>
        <v>2.9556650246305424E-2</v>
      </c>
      <c r="J29" s="87">
        <f t="shared" si="1"/>
        <v>0.17733990147783252</v>
      </c>
      <c r="K29" s="87">
        <f t="shared" si="2"/>
        <v>0.25862068965517243</v>
      </c>
      <c r="L29" s="87">
        <f t="shared" si="3"/>
        <v>2.3891625615763545</v>
      </c>
      <c r="M29" s="87">
        <f t="shared" si="4"/>
        <v>0.21921182266009853</v>
      </c>
      <c r="N29" s="87">
        <f t="shared" si="5"/>
        <v>1.2438423645320198</v>
      </c>
      <c r="O29" s="87">
        <f t="shared" si="6"/>
        <v>4.3177339901477829</v>
      </c>
      <c r="S29"/>
      <c r="T29"/>
      <c r="V29"/>
      <c r="W29"/>
      <c r="AA29" t="s">
        <v>1544</v>
      </c>
      <c r="AB29">
        <v>2</v>
      </c>
      <c r="AC29" s="97">
        <v>9.9014778325123149</v>
      </c>
      <c r="AF29" s="97"/>
      <c r="AN29" t="s">
        <v>1527</v>
      </c>
      <c r="AO29" t="s">
        <v>1657</v>
      </c>
    </row>
    <row r="30" spans="1:41" x14ac:dyDescent="0.3">
      <c r="A30" t="s">
        <v>45</v>
      </c>
      <c r="B30" t="s">
        <v>731</v>
      </c>
      <c r="C30" s="16" t="s">
        <v>272</v>
      </c>
      <c r="D30" s="16">
        <v>2</v>
      </c>
      <c r="E30" t="s">
        <v>1524</v>
      </c>
      <c r="F30" t="s">
        <v>282</v>
      </c>
      <c r="G30" t="s">
        <v>341</v>
      </c>
      <c r="H30" t="s">
        <v>344</v>
      </c>
      <c r="I30" s="87">
        <f t="shared" si="0"/>
        <v>2.9556650246305424E-2</v>
      </c>
      <c r="J30" s="87">
        <f t="shared" si="1"/>
        <v>0.82266009852216748</v>
      </c>
      <c r="K30" s="87">
        <f t="shared" si="2"/>
        <v>0.25862068965517243</v>
      </c>
      <c r="L30" s="87">
        <f t="shared" si="3"/>
        <v>1.5024630541871922</v>
      </c>
      <c r="M30" s="87">
        <f t="shared" si="4"/>
        <v>0.4605911330049261</v>
      </c>
      <c r="N30" s="87">
        <f t="shared" si="5"/>
        <v>1.2438423645320198</v>
      </c>
      <c r="O30" s="87">
        <f t="shared" si="6"/>
        <v>4.3177339901477829</v>
      </c>
      <c r="S30"/>
      <c r="T30"/>
      <c r="V30"/>
      <c r="W30"/>
      <c r="AA30" t="s">
        <v>1652</v>
      </c>
      <c r="AB30">
        <v>3</v>
      </c>
      <c r="AC30" s="97">
        <v>9.8522167487684733</v>
      </c>
      <c r="AF30" s="97"/>
      <c r="AN30" t="s">
        <v>1535</v>
      </c>
      <c r="AO30" t="s">
        <v>1658</v>
      </c>
    </row>
    <row r="31" spans="1:41" x14ac:dyDescent="0.3">
      <c r="A31" t="s">
        <v>45</v>
      </c>
      <c r="B31" t="s">
        <v>732</v>
      </c>
      <c r="C31" s="16" t="s">
        <v>272</v>
      </c>
      <c r="D31" s="16">
        <v>3</v>
      </c>
      <c r="E31" t="s">
        <v>1524</v>
      </c>
      <c r="F31" t="s">
        <v>1540</v>
      </c>
      <c r="G31" t="s">
        <v>1567</v>
      </c>
      <c r="H31" t="s">
        <v>344</v>
      </c>
      <c r="I31" s="87">
        <f t="shared" si="0"/>
        <v>2.9556650246305424E-2</v>
      </c>
      <c r="J31" s="87">
        <f t="shared" si="1"/>
        <v>0.17733990147783252</v>
      </c>
      <c r="K31" s="87">
        <f t="shared" si="2"/>
        <v>0.25862068965517243</v>
      </c>
      <c r="L31" s="87">
        <f t="shared" si="3"/>
        <v>2.3891625615763545</v>
      </c>
      <c r="M31" s="87">
        <f t="shared" si="4"/>
        <v>0.21921182266009853</v>
      </c>
      <c r="N31" s="87">
        <f t="shared" si="5"/>
        <v>1.2438423645320198</v>
      </c>
      <c r="O31" s="87">
        <f t="shared" si="6"/>
        <v>4.3177339901477829</v>
      </c>
      <c r="S31"/>
      <c r="T31"/>
      <c r="V31"/>
      <c r="W31"/>
      <c r="AA31" t="s">
        <v>1551</v>
      </c>
      <c r="AB31">
        <v>1</v>
      </c>
      <c r="AC31" s="97">
        <v>9.9507389162561584</v>
      </c>
      <c r="AF31" s="97"/>
      <c r="AN31" t="s">
        <v>1536</v>
      </c>
      <c r="AO31" t="s">
        <v>1658</v>
      </c>
    </row>
    <row r="32" spans="1:41" x14ac:dyDescent="0.3">
      <c r="A32" t="s">
        <v>9</v>
      </c>
      <c r="B32" t="s">
        <v>733</v>
      </c>
      <c r="C32" s="16" t="s">
        <v>272</v>
      </c>
      <c r="D32" s="16">
        <v>3</v>
      </c>
      <c r="E32" t="s">
        <v>1524</v>
      </c>
      <c r="F32" t="s">
        <v>1560</v>
      </c>
      <c r="G32" t="s">
        <v>1567</v>
      </c>
      <c r="H32" t="s">
        <v>345</v>
      </c>
      <c r="I32" s="87">
        <f t="shared" si="0"/>
        <v>2.9556650246305424E-2</v>
      </c>
      <c r="J32" s="87">
        <f t="shared" si="1"/>
        <v>0.17733990147783252</v>
      </c>
      <c r="K32" s="87">
        <f t="shared" si="2"/>
        <v>0.25862068965517243</v>
      </c>
      <c r="L32" s="87">
        <f t="shared" si="3"/>
        <v>2.4753694581280787</v>
      </c>
      <c r="M32" s="87">
        <f t="shared" si="4"/>
        <v>0.21921182266009853</v>
      </c>
      <c r="N32" s="87">
        <f t="shared" si="5"/>
        <v>2.2536945812807883</v>
      </c>
      <c r="O32" s="87">
        <f t="shared" si="6"/>
        <v>5.4137931034482758</v>
      </c>
      <c r="AA32" t="s">
        <v>1658</v>
      </c>
      <c r="AB32">
        <v>0</v>
      </c>
      <c r="AC32" s="6">
        <v>10</v>
      </c>
      <c r="AN32" t="s">
        <v>1649</v>
      </c>
      <c r="AO32" t="s">
        <v>1658</v>
      </c>
    </row>
    <row r="33" spans="1:41" x14ac:dyDescent="0.3">
      <c r="A33" t="s">
        <v>9</v>
      </c>
      <c r="B33" t="s">
        <v>734</v>
      </c>
      <c r="C33" s="16" t="s">
        <v>272</v>
      </c>
      <c r="D33" s="16">
        <v>3</v>
      </c>
      <c r="E33" t="s">
        <v>1524</v>
      </c>
      <c r="F33" t="s">
        <v>1537</v>
      </c>
      <c r="G33" t="s">
        <v>1567</v>
      </c>
      <c r="H33" t="s">
        <v>1574</v>
      </c>
      <c r="I33" s="87">
        <f t="shared" si="0"/>
        <v>2.9556650246305424E-2</v>
      </c>
      <c r="J33" s="87">
        <f t="shared" si="1"/>
        <v>0.17733990147783252</v>
      </c>
      <c r="K33" s="87">
        <f t="shared" si="2"/>
        <v>0.25862068965517243</v>
      </c>
      <c r="L33" s="87">
        <f t="shared" si="3"/>
        <v>2.3645320197044337</v>
      </c>
      <c r="M33" s="87">
        <f t="shared" si="4"/>
        <v>0.21921182266009853</v>
      </c>
      <c r="N33" s="87">
        <f t="shared" si="5"/>
        <v>2.3522167487684729</v>
      </c>
      <c r="O33" s="87">
        <f t="shared" si="6"/>
        <v>5.4014778325123149</v>
      </c>
      <c r="AN33" t="s">
        <v>1646</v>
      </c>
      <c r="AO33" t="s">
        <v>1658</v>
      </c>
    </row>
    <row r="34" spans="1:41" x14ac:dyDescent="0.3">
      <c r="A34" t="s">
        <v>9</v>
      </c>
      <c r="B34" t="s">
        <v>735</v>
      </c>
      <c r="C34" s="16" t="s">
        <v>272</v>
      </c>
      <c r="D34" s="16">
        <v>3</v>
      </c>
      <c r="E34" t="s">
        <v>1524</v>
      </c>
      <c r="F34" t="s">
        <v>1537</v>
      </c>
      <c r="G34" t="s">
        <v>1567</v>
      </c>
      <c r="H34" t="s">
        <v>345</v>
      </c>
      <c r="I34" s="87">
        <f t="shared" si="0"/>
        <v>2.9556650246305424E-2</v>
      </c>
      <c r="J34" s="87">
        <f t="shared" si="1"/>
        <v>0.17733990147783252</v>
      </c>
      <c r="K34" s="87">
        <f t="shared" si="2"/>
        <v>0.25862068965517243</v>
      </c>
      <c r="L34" s="87">
        <f t="shared" si="3"/>
        <v>2.3645320197044337</v>
      </c>
      <c r="M34" s="87">
        <f t="shared" si="4"/>
        <v>0.21921182266009853</v>
      </c>
      <c r="N34" s="87">
        <f t="shared" si="5"/>
        <v>2.2536945812807883</v>
      </c>
      <c r="O34" s="87">
        <f t="shared" si="6"/>
        <v>5.3029556650246308</v>
      </c>
      <c r="AN34" t="s">
        <v>1639</v>
      </c>
      <c r="AO34" t="s">
        <v>1658</v>
      </c>
    </row>
    <row r="35" spans="1:41" x14ac:dyDescent="0.3">
      <c r="A35" t="s">
        <v>9</v>
      </c>
      <c r="B35" t="s">
        <v>736</v>
      </c>
      <c r="C35" s="16" t="s">
        <v>272</v>
      </c>
      <c r="D35" s="16">
        <v>3</v>
      </c>
      <c r="E35" t="s">
        <v>1524</v>
      </c>
      <c r="F35" t="s">
        <v>1560</v>
      </c>
      <c r="G35" t="s">
        <v>1566</v>
      </c>
      <c r="H35" t="s">
        <v>1573</v>
      </c>
      <c r="I35" s="87">
        <f t="shared" si="0"/>
        <v>2.9556650246305424E-2</v>
      </c>
      <c r="J35" s="87">
        <f t="shared" si="1"/>
        <v>0.17733990147783252</v>
      </c>
      <c r="K35" s="87">
        <f t="shared" si="2"/>
        <v>0.25862068965517243</v>
      </c>
      <c r="L35" s="87">
        <f t="shared" si="3"/>
        <v>2.4753694581280787</v>
      </c>
      <c r="M35" s="87">
        <f t="shared" si="4"/>
        <v>0.38669950738916259</v>
      </c>
      <c r="N35" s="87">
        <f t="shared" si="5"/>
        <v>2.4137931034482758</v>
      </c>
      <c r="O35" s="87">
        <f t="shared" si="6"/>
        <v>5.7413793103448274</v>
      </c>
      <c r="AN35" t="s">
        <v>1635</v>
      </c>
      <c r="AO35" t="s">
        <v>1658</v>
      </c>
    </row>
    <row r="36" spans="1:41" x14ac:dyDescent="0.3">
      <c r="A36" t="s">
        <v>9</v>
      </c>
      <c r="B36" t="s">
        <v>737</v>
      </c>
      <c r="C36" s="16" t="s">
        <v>272</v>
      </c>
      <c r="D36" s="16">
        <v>2</v>
      </c>
      <c r="E36" t="s">
        <v>1524</v>
      </c>
      <c r="F36" t="s">
        <v>282</v>
      </c>
      <c r="G36" t="s">
        <v>342</v>
      </c>
      <c r="H36" t="s">
        <v>344</v>
      </c>
      <c r="I36" s="87">
        <f t="shared" si="0"/>
        <v>2.9556650246305424E-2</v>
      </c>
      <c r="J36" s="87">
        <f t="shared" si="1"/>
        <v>0.82266009852216748</v>
      </c>
      <c r="K36" s="87">
        <f t="shared" si="2"/>
        <v>0.25862068965517243</v>
      </c>
      <c r="L36" s="87">
        <f t="shared" si="3"/>
        <v>1.5024630541871922</v>
      </c>
      <c r="M36" s="87">
        <f t="shared" si="4"/>
        <v>0.48522167487684736</v>
      </c>
      <c r="N36" s="87">
        <f t="shared" si="5"/>
        <v>1.2438423645320198</v>
      </c>
      <c r="O36" s="87">
        <f t="shared" si="6"/>
        <v>4.3423645320197046</v>
      </c>
      <c r="AN36" t="s">
        <v>1642</v>
      </c>
      <c r="AO36" t="s">
        <v>1658</v>
      </c>
    </row>
    <row r="37" spans="1:41" x14ac:dyDescent="0.3">
      <c r="A37" t="s">
        <v>9</v>
      </c>
      <c r="B37" t="s">
        <v>738</v>
      </c>
      <c r="C37" s="16" t="s">
        <v>273</v>
      </c>
      <c r="D37" s="16">
        <v>2</v>
      </c>
      <c r="E37" t="s">
        <v>1525</v>
      </c>
      <c r="F37" t="s">
        <v>283</v>
      </c>
      <c r="G37" t="s">
        <v>1567</v>
      </c>
      <c r="H37" t="s">
        <v>344</v>
      </c>
      <c r="I37" s="87">
        <f t="shared" si="0"/>
        <v>0.97044334975369473</v>
      </c>
      <c r="J37" s="87">
        <f t="shared" si="1"/>
        <v>0.82266009852216748</v>
      </c>
      <c r="K37" s="87">
        <f t="shared" si="2"/>
        <v>2.3522167487684729</v>
      </c>
      <c r="L37" s="87">
        <f t="shared" si="3"/>
        <v>2.4876847290640396</v>
      </c>
      <c r="M37" s="87">
        <f t="shared" si="4"/>
        <v>0.21921182266009853</v>
      </c>
      <c r="N37" s="87">
        <f t="shared" si="5"/>
        <v>1.2438423645320198</v>
      </c>
      <c r="O37" s="87">
        <f t="shared" si="6"/>
        <v>8.0960591133004929</v>
      </c>
      <c r="AN37" t="s">
        <v>1632</v>
      </c>
      <c r="AO37" t="s">
        <v>1658</v>
      </c>
    </row>
    <row r="38" spans="1:41" x14ac:dyDescent="0.3">
      <c r="A38" t="s">
        <v>9</v>
      </c>
      <c r="B38" t="s">
        <v>739</v>
      </c>
      <c r="C38" s="16" t="s">
        <v>272</v>
      </c>
      <c r="D38" s="16">
        <v>2</v>
      </c>
      <c r="E38" t="s">
        <v>1524</v>
      </c>
      <c r="F38" t="s">
        <v>282</v>
      </c>
      <c r="G38" t="s">
        <v>341</v>
      </c>
      <c r="H38" t="s">
        <v>344</v>
      </c>
      <c r="I38" s="87">
        <f t="shared" si="0"/>
        <v>2.9556650246305424E-2</v>
      </c>
      <c r="J38" s="87">
        <f t="shared" si="1"/>
        <v>0.82266009852216748</v>
      </c>
      <c r="K38" s="87">
        <f t="shared" si="2"/>
        <v>0.25862068965517243</v>
      </c>
      <c r="L38" s="87">
        <f t="shared" si="3"/>
        <v>1.5024630541871922</v>
      </c>
      <c r="M38" s="87">
        <f t="shared" si="4"/>
        <v>0.4605911330049261</v>
      </c>
      <c r="N38" s="87">
        <f t="shared" si="5"/>
        <v>1.2438423645320198</v>
      </c>
      <c r="O38" s="87">
        <f t="shared" si="6"/>
        <v>4.3177339901477829</v>
      </c>
      <c r="AN38" t="s">
        <v>1636</v>
      </c>
      <c r="AO38" t="s">
        <v>1658</v>
      </c>
    </row>
    <row r="39" spans="1:41" x14ac:dyDescent="0.3">
      <c r="A39" t="s">
        <v>9</v>
      </c>
      <c r="B39" t="s">
        <v>740</v>
      </c>
      <c r="C39" s="16" t="s">
        <v>272</v>
      </c>
      <c r="D39" s="16">
        <v>2</v>
      </c>
      <c r="E39" t="s">
        <v>1524</v>
      </c>
      <c r="F39" t="s">
        <v>1542</v>
      </c>
      <c r="G39" t="s">
        <v>341</v>
      </c>
      <c r="H39" t="s">
        <v>344</v>
      </c>
      <c r="I39" s="87">
        <f t="shared" si="0"/>
        <v>2.9556650246305424E-2</v>
      </c>
      <c r="J39" s="87">
        <f t="shared" si="1"/>
        <v>0.82266009852216748</v>
      </c>
      <c r="K39" s="87">
        <f t="shared" si="2"/>
        <v>0.25862068965517243</v>
      </c>
      <c r="L39" s="87">
        <f t="shared" si="3"/>
        <v>2.3768472906403941</v>
      </c>
      <c r="M39" s="87">
        <f t="shared" si="4"/>
        <v>0.4605911330049261</v>
      </c>
      <c r="N39" s="87">
        <f t="shared" si="5"/>
        <v>1.2438423645320198</v>
      </c>
      <c r="O39" s="87">
        <f t="shared" si="6"/>
        <v>5.1921182266009849</v>
      </c>
      <c r="AN39" t="s">
        <v>281</v>
      </c>
      <c r="AO39" t="s">
        <v>1658</v>
      </c>
    </row>
    <row r="40" spans="1:41" x14ac:dyDescent="0.3">
      <c r="A40" t="s">
        <v>9</v>
      </c>
      <c r="B40" t="s">
        <v>741</v>
      </c>
      <c r="C40" s="16" t="s">
        <v>272</v>
      </c>
      <c r="D40" s="16">
        <v>3</v>
      </c>
      <c r="E40" t="s">
        <v>1524</v>
      </c>
      <c r="F40" t="s">
        <v>282</v>
      </c>
      <c r="G40" t="s">
        <v>1567</v>
      </c>
      <c r="H40" t="s">
        <v>344</v>
      </c>
      <c r="I40" s="87">
        <f t="shared" si="0"/>
        <v>2.9556650246305424E-2</v>
      </c>
      <c r="J40" s="87">
        <f t="shared" si="1"/>
        <v>0.17733990147783252</v>
      </c>
      <c r="K40" s="87">
        <f t="shared" si="2"/>
        <v>0.25862068965517243</v>
      </c>
      <c r="L40" s="87">
        <f t="shared" si="3"/>
        <v>1.5024630541871922</v>
      </c>
      <c r="M40" s="87">
        <f t="shared" si="4"/>
        <v>0.21921182266009853</v>
      </c>
      <c r="N40" s="87">
        <f t="shared" si="5"/>
        <v>1.2438423645320198</v>
      </c>
      <c r="O40" s="87">
        <f t="shared" si="6"/>
        <v>3.431034482758621</v>
      </c>
      <c r="AN40" t="s">
        <v>1647</v>
      </c>
      <c r="AO40" t="s">
        <v>1658</v>
      </c>
    </row>
    <row r="41" spans="1:41" x14ac:dyDescent="0.3">
      <c r="A41" t="s">
        <v>45</v>
      </c>
      <c r="B41" t="s">
        <v>742</v>
      </c>
      <c r="C41" s="16" t="s">
        <v>272</v>
      </c>
      <c r="D41" s="16">
        <v>3</v>
      </c>
      <c r="E41" t="s">
        <v>1524</v>
      </c>
      <c r="F41" t="s">
        <v>282</v>
      </c>
      <c r="G41" t="s">
        <v>1567</v>
      </c>
      <c r="H41" t="s">
        <v>344</v>
      </c>
      <c r="I41" s="87">
        <f t="shared" si="0"/>
        <v>2.9556650246305424E-2</v>
      </c>
      <c r="J41" s="87">
        <f t="shared" si="1"/>
        <v>0.17733990147783252</v>
      </c>
      <c r="K41" s="87">
        <f t="shared" si="2"/>
        <v>0.25862068965517243</v>
      </c>
      <c r="L41" s="87">
        <f t="shared" si="3"/>
        <v>1.5024630541871922</v>
      </c>
      <c r="M41" s="87">
        <f t="shared" si="4"/>
        <v>0.21921182266009853</v>
      </c>
      <c r="N41" s="87">
        <f t="shared" si="5"/>
        <v>1.2438423645320198</v>
      </c>
      <c r="O41" s="87">
        <f t="shared" si="6"/>
        <v>3.431034482758621</v>
      </c>
      <c r="AN41" t="s">
        <v>1624</v>
      </c>
      <c r="AO41" t="s">
        <v>1658</v>
      </c>
    </row>
    <row r="42" spans="1:41" x14ac:dyDescent="0.3">
      <c r="A42" t="s">
        <v>45</v>
      </c>
      <c r="B42" t="s">
        <v>743</v>
      </c>
      <c r="C42" s="16" t="s">
        <v>272</v>
      </c>
      <c r="D42" s="16">
        <v>3</v>
      </c>
      <c r="E42" t="s">
        <v>1524</v>
      </c>
      <c r="F42" t="s">
        <v>282</v>
      </c>
      <c r="G42" t="s">
        <v>1567</v>
      </c>
      <c r="H42" t="s">
        <v>344</v>
      </c>
      <c r="I42" s="87">
        <f t="shared" si="0"/>
        <v>2.9556650246305424E-2</v>
      </c>
      <c r="J42" s="87">
        <f t="shared" si="1"/>
        <v>0.17733990147783252</v>
      </c>
      <c r="K42" s="87">
        <f t="shared" si="2"/>
        <v>0.25862068965517243</v>
      </c>
      <c r="L42" s="87">
        <f t="shared" si="3"/>
        <v>1.5024630541871922</v>
      </c>
      <c r="M42" s="87">
        <f t="shared" si="4"/>
        <v>0.21921182266009853</v>
      </c>
      <c r="N42" s="87">
        <f t="shared" si="5"/>
        <v>1.2438423645320198</v>
      </c>
      <c r="O42" s="87">
        <f t="shared" si="6"/>
        <v>3.431034482758621</v>
      </c>
    </row>
    <row r="43" spans="1:41" x14ac:dyDescent="0.3">
      <c r="A43" t="s">
        <v>45</v>
      </c>
      <c r="B43" t="s">
        <v>744</v>
      </c>
      <c r="C43" s="16" t="s">
        <v>272</v>
      </c>
      <c r="D43" s="16">
        <v>3</v>
      </c>
      <c r="E43" t="s">
        <v>1524</v>
      </c>
      <c r="F43" t="s">
        <v>1540</v>
      </c>
      <c r="G43" t="s">
        <v>1567</v>
      </c>
      <c r="H43" t="s">
        <v>344</v>
      </c>
      <c r="I43" s="87">
        <f t="shared" si="0"/>
        <v>2.9556650246305424E-2</v>
      </c>
      <c r="J43" s="87">
        <f t="shared" si="1"/>
        <v>0.17733990147783252</v>
      </c>
      <c r="K43" s="87">
        <f t="shared" si="2"/>
        <v>0.25862068965517243</v>
      </c>
      <c r="L43" s="87">
        <f t="shared" si="3"/>
        <v>2.3891625615763545</v>
      </c>
      <c r="M43" s="87">
        <f t="shared" si="4"/>
        <v>0.21921182266009853</v>
      </c>
      <c r="N43" s="87">
        <f t="shared" si="5"/>
        <v>1.2438423645320198</v>
      </c>
      <c r="O43" s="87">
        <f t="shared" si="6"/>
        <v>4.3177339901477829</v>
      </c>
    </row>
    <row r="44" spans="1:41" x14ac:dyDescent="0.3">
      <c r="A44" t="s">
        <v>45</v>
      </c>
      <c r="B44" t="s">
        <v>745</v>
      </c>
      <c r="C44" s="16" t="s">
        <v>272</v>
      </c>
      <c r="D44" s="16">
        <v>3</v>
      </c>
      <c r="E44" t="s">
        <v>1524</v>
      </c>
      <c r="F44" t="s">
        <v>282</v>
      </c>
      <c r="G44" t="s">
        <v>1568</v>
      </c>
      <c r="H44" t="s">
        <v>291</v>
      </c>
      <c r="I44" s="87">
        <f t="shared" si="0"/>
        <v>2.9556650246305424E-2</v>
      </c>
      <c r="J44" s="87">
        <f t="shared" si="1"/>
        <v>0.17733990147783252</v>
      </c>
      <c r="K44" s="87">
        <f t="shared" si="2"/>
        <v>0.25862068965517243</v>
      </c>
      <c r="L44" s="87">
        <f t="shared" si="3"/>
        <v>1.5024630541871922</v>
      </c>
      <c r="M44" s="87">
        <f t="shared" si="4"/>
        <v>0.4679802955665025</v>
      </c>
      <c r="N44" s="87">
        <f t="shared" si="5"/>
        <v>2.2906403940886699</v>
      </c>
      <c r="O44" s="87">
        <f t="shared" si="6"/>
        <v>4.7266009852216753</v>
      </c>
    </row>
    <row r="45" spans="1:41" x14ac:dyDescent="0.3">
      <c r="A45" t="s">
        <v>45</v>
      </c>
      <c r="B45" t="s">
        <v>746</v>
      </c>
      <c r="C45" s="16" t="s">
        <v>272</v>
      </c>
      <c r="D45" s="16">
        <v>3</v>
      </c>
      <c r="E45" t="s">
        <v>1524</v>
      </c>
      <c r="F45" t="s">
        <v>282</v>
      </c>
      <c r="G45" t="s">
        <v>343</v>
      </c>
      <c r="H45" t="s">
        <v>291</v>
      </c>
      <c r="I45" s="87">
        <f t="shared" si="0"/>
        <v>2.9556650246305424E-2</v>
      </c>
      <c r="J45" s="87">
        <f t="shared" si="1"/>
        <v>0.17733990147783252</v>
      </c>
      <c r="K45" s="87">
        <f t="shared" si="2"/>
        <v>0.25862068965517243</v>
      </c>
      <c r="L45" s="87">
        <f t="shared" si="3"/>
        <v>1.5024630541871922</v>
      </c>
      <c r="M45" s="87">
        <f t="shared" si="4"/>
        <v>0.48522167487684736</v>
      </c>
      <c r="N45" s="87">
        <f t="shared" si="5"/>
        <v>2.2906403940886699</v>
      </c>
      <c r="O45" s="87">
        <f t="shared" si="6"/>
        <v>4.7438423645320196</v>
      </c>
    </row>
    <row r="46" spans="1:41" x14ac:dyDescent="0.3">
      <c r="A46" t="s">
        <v>45</v>
      </c>
      <c r="B46" t="s">
        <v>747</v>
      </c>
      <c r="C46" s="16" t="s">
        <v>272</v>
      </c>
      <c r="D46" s="16">
        <v>3</v>
      </c>
      <c r="E46" t="s">
        <v>1524</v>
      </c>
      <c r="F46" t="s">
        <v>1658</v>
      </c>
      <c r="G46" t="s">
        <v>1567</v>
      </c>
      <c r="H46" t="s">
        <v>344</v>
      </c>
      <c r="I46" s="87">
        <f t="shared" si="0"/>
        <v>2.9556650246305424E-2</v>
      </c>
      <c r="J46" s="87">
        <f t="shared" si="1"/>
        <v>0.17733990147783252</v>
      </c>
      <c r="K46" s="87">
        <f t="shared" si="2"/>
        <v>0.25862068965517243</v>
      </c>
      <c r="L46" s="87">
        <f t="shared" si="3"/>
        <v>2.5</v>
      </c>
      <c r="M46" s="87">
        <f t="shared" si="4"/>
        <v>0.21921182266009853</v>
      </c>
      <c r="N46" s="87">
        <f t="shared" si="5"/>
        <v>1.2438423645320198</v>
      </c>
      <c r="O46" s="87">
        <f t="shared" si="6"/>
        <v>4.4285714285714288</v>
      </c>
    </row>
    <row r="47" spans="1:41" x14ac:dyDescent="0.3">
      <c r="A47" t="s">
        <v>9</v>
      </c>
      <c r="B47" t="s">
        <v>748</v>
      </c>
      <c r="C47" s="16" t="s">
        <v>272</v>
      </c>
      <c r="D47" s="16">
        <v>3</v>
      </c>
      <c r="E47" t="s">
        <v>334</v>
      </c>
      <c r="F47" t="s">
        <v>334</v>
      </c>
      <c r="G47" t="s">
        <v>1566</v>
      </c>
      <c r="H47" t="s">
        <v>291</v>
      </c>
      <c r="I47" s="87">
        <f t="shared" si="0"/>
        <v>2.9556650246305424E-2</v>
      </c>
      <c r="J47" s="87">
        <f t="shared" si="1"/>
        <v>0.17733990147783252</v>
      </c>
      <c r="K47" s="87">
        <f t="shared" si="2"/>
        <v>2.4876847290640396</v>
      </c>
      <c r="L47" s="87">
        <f t="shared" si="3"/>
        <v>2.4876847290640396</v>
      </c>
      <c r="M47" s="87">
        <f t="shared" si="4"/>
        <v>0.38669950738916259</v>
      </c>
      <c r="N47" s="87">
        <f t="shared" si="5"/>
        <v>2.2906403940886699</v>
      </c>
      <c r="O47" s="87">
        <f t="shared" si="6"/>
        <v>7.8596059113300498</v>
      </c>
    </row>
    <row r="48" spans="1:41" x14ac:dyDescent="0.3">
      <c r="A48" t="s">
        <v>9</v>
      </c>
      <c r="B48" t="s">
        <v>749</v>
      </c>
      <c r="C48" s="16" t="s">
        <v>272</v>
      </c>
      <c r="D48" s="16">
        <v>3</v>
      </c>
      <c r="E48" t="s">
        <v>1524</v>
      </c>
      <c r="F48" t="s">
        <v>1537</v>
      </c>
      <c r="G48" t="s">
        <v>1567</v>
      </c>
      <c r="H48" t="s">
        <v>1570</v>
      </c>
      <c r="I48" s="87">
        <f t="shared" si="0"/>
        <v>2.9556650246305424E-2</v>
      </c>
      <c r="J48" s="87">
        <f t="shared" si="1"/>
        <v>0.17733990147783252</v>
      </c>
      <c r="K48" s="87">
        <f t="shared" si="2"/>
        <v>0.25862068965517243</v>
      </c>
      <c r="L48" s="87">
        <f t="shared" si="3"/>
        <v>2.3645320197044337</v>
      </c>
      <c r="M48" s="87">
        <f t="shared" si="4"/>
        <v>0.21921182266009853</v>
      </c>
      <c r="N48" s="87">
        <f t="shared" si="5"/>
        <v>2.3645320197044337</v>
      </c>
      <c r="O48" s="87">
        <f t="shared" si="6"/>
        <v>5.4137931034482758</v>
      </c>
    </row>
    <row r="49" spans="1:15" x14ac:dyDescent="0.3">
      <c r="A49" t="s">
        <v>9</v>
      </c>
      <c r="B49" t="s">
        <v>750</v>
      </c>
      <c r="C49" s="16" t="s">
        <v>272</v>
      </c>
      <c r="D49" s="16">
        <v>3</v>
      </c>
      <c r="E49" t="s">
        <v>1524</v>
      </c>
      <c r="F49" t="s">
        <v>282</v>
      </c>
      <c r="G49" t="s">
        <v>1567</v>
      </c>
      <c r="H49" t="s">
        <v>344</v>
      </c>
      <c r="I49" s="87">
        <f t="shared" si="0"/>
        <v>2.9556650246305424E-2</v>
      </c>
      <c r="J49" s="87">
        <f t="shared" si="1"/>
        <v>0.17733990147783252</v>
      </c>
      <c r="K49" s="87">
        <f t="shared" si="2"/>
        <v>0.25862068965517243</v>
      </c>
      <c r="L49" s="87">
        <f t="shared" si="3"/>
        <v>1.5024630541871922</v>
      </c>
      <c r="M49" s="87">
        <f t="shared" si="4"/>
        <v>0.21921182266009853</v>
      </c>
      <c r="N49" s="87">
        <f t="shared" si="5"/>
        <v>1.2438423645320198</v>
      </c>
      <c r="O49" s="87">
        <f t="shared" si="6"/>
        <v>3.431034482758621</v>
      </c>
    </row>
    <row r="50" spans="1:15" x14ac:dyDescent="0.3">
      <c r="A50" t="s">
        <v>9</v>
      </c>
      <c r="B50" t="s">
        <v>751</v>
      </c>
      <c r="C50" s="16" t="s">
        <v>272</v>
      </c>
      <c r="D50" s="16">
        <v>3</v>
      </c>
      <c r="E50" t="s">
        <v>1524</v>
      </c>
      <c r="F50" t="s">
        <v>282</v>
      </c>
      <c r="G50" t="s">
        <v>1566</v>
      </c>
      <c r="H50" t="s">
        <v>1621</v>
      </c>
      <c r="I50" s="87">
        <f t="shared" si="0"/>
        <v>2.9556650246305424E-2</v>
      </c>
      <c r="J50" s="87">
        <f t="shared" si="1"/>
        <v>0.17733990147783252</v>
      </c>
      <c r="K50" s="87">
        <f t="shared" si="2"/>
        <v>0.25862068965517243</v>
      </c>
      <c r="L50" s="87">
        <f t="shared" si="3"/>
        <v>1.5024630541871922</v>
      </c>
      <c r="M50" s="87">
        <f t="shared" si="4"/>
        <v>0.38669950738916259</v>
      </c>
      <c r="N50" s="87">
        <f t="shared" si="5"/>
        <v>2.4876847290640396</v>
      </c>
      <c r="O50" s="87">
        <f t="shared" si="6"/>
        <v>4.8423645320197046</v>
      </c>
    </row>
    <row r="51" spans="1:15" x14ac:dyDescent="0.3">
      <c r="A51" t="s">
        <v>9</v>
      </c>
      <c r="B51" t="s">
        <v>752</v>
      </c>
      <c r="C51" s="16" t="s">
        <v>272</v>
      </c>
      <c r="D51" s="16">
        <v>3</v>
      </c>
      <c r="E51" t="s">
        <v>1524</v>
      </c>
      <c r="F51" t="s">
        <v>282</v>
      </c>
      <c r="G51" t="s">
        <v>1567</v>
      </c>
      <c r="H51" t="s">
        <v>347</v>
      </c>
      <c r="I51" s="87">
        <f t="shared" si="0"/>
        <v>2.9556650246305424E-2</v>
      </c>
      <c r="J51" s="87">
        <f t="shared" si="1"/>
        <v>0.17733990147783252</v>
      </c>
      <c r="K51" s="87">
        <f t="shared" si="2"/>
        <v>0.25862068965517243</v>
      </c>
      <c r="L51" s="87">
        <f t="shared" si="3"/>
        <v>1.5024630541871922</v>
      </c>
      <c r="M51" s="87">
        <f t="shared" si="4"/>
        <v>0.21921182266009853</v>
      </c>
      <c r="N51" s="87">
        <f t="shared" si="5"/>
        <v>2.4137931034482758</v>
      </c>
      <c r="O51" s="87">
        <f t="shared" si="6"/>
        <v>4.6009852216748772</v>
      </c>
    </row>
    <row r="52" spans="1:15" x14ac:dyDescent="0.3">
      <c r="A52" t="s">
        <v>9</v>
      </c>
      <c r="B52" t="s">
        <v>753</v>
      </c>
      <c r="C52" s="16" t="s">
        <v>272</v>
      </c>
      <c r="D52" s="16">
        <v>3</v>
      </c>
      <c r="E52" t="s">
        <v>1524</v>
      </c>
      <c r="F52" t="s">
        <v>282</v>
      </c>
      <c r="G52" t="s">
        <v>1567</v>
      </c>
      <c r="H52" t="s">
        <v>291</v>
      </c>
      <c r="I52" s="87">
        <f t="shared" si="0"/>
        <v>2.9556650246305424E-2</v>
      </c>
      <c r="J52" s="87">
        <f t="shared" si="1"/>
        <v>0.17733990147783252</v>
      </c>
      <c r="K52" s="87">
        <f t="shared" si="2"/>
        <v>0.25862068965517243</v>
      </c>
      <c r="L52" s="87">
        <f t="shared" si="3"/>
        <v>1.5024630541871922</v>
      </c>
      <c r="M52" s="87">
        <f t="shared" si="4"/>
        <v>0.21921182266009853</v>
      </c>
      <c r="N52" s="87">
        <f t="shared" si="5"/>
        <v>2.2906403940886699</v>
      </c>
      <c r="O52" s="87">
        <f t="shared" si="6"/>
        <v>4.4778325123152714</v>
      </c>
    </row>
    <row r="53" spans="1:15" x14ac:dyDescent="0.3">
      <c r="A53" t="s">
        <v>9</v>
      </c>
      <c r="B53" t="s">
        <v>754</v>
      </c>
      <c r="C53" s="16" t="s">
        <v>272</v>
      </c>
      <c r="D53" s="16">
        <v>3</v>
      </c>
      <c r="E53" t="s">
        <v>1524</v>
      </c>
      <c r="F53" t="s">
        <v>1534</v>
      </c>
      <c r="G53" t="s">
        <v>341</v>
      </c>
      <c r="H53" t="s">
        <v>344</v>
      </c>
      <c r="I53" s="87">
        <f t="shared" si="0"/>
        <v>2.9556650246305424E-2</v>
      </c>
      <c r="J53" s="87">
        <f t="shared" si="1"/>
        <v>0.17733990147783252</v>
      </c>
      <c r="K53" s="87">
        <f t="shared" si="2"/>
        <v>0.25862068965517243</v>
      </c>
      <c r="L53" s="87">
        <f t="shared" si="3"/>
        <v>2.4507389162561575</v>
      </c>
      <c r="M53" s="87">
        <f t="shared" si="4"/>
        <v>0.4605911330049261</v>
      </c>
      <c r="N53" s="87">
        <f t="shared" si="5"/>
        <v>1.2438423645320198</v>
      </c>
      <c r="O53" s="87">
        <f t="shared" si="6"/>
        <v>4.6206896551724137</v>
      </c>
    </row>
    <row r="54" spans="1:15" x14ac:dyDescent="0.3">
      <c r="A54" t="s">
        <v>9</v>
      </c>
      <c r="B54" t="s">
        <v>755</v>
      </c>
      <c r="C54" s="16" t="s">
        <v>272</v>
      </c>
      <c r="D54" s="16">
        <v>3</v>
      </c>
      <c r="E54" t="s">
        <v>1524</v>
      </c>
      <c r="F54" t="s">
        <v>1540</v>
      </c>
      <c r="G54" t="s">
        <v>1568</v>
      </c>
      <c r="H54" t="s">
        <v>344</v>
      </c>
      <c r="I54" s="87">
        <f t="shared" si="0"/>
        <v>2.9556650246305424E-2</v>
      </c>
      <c r="J54" s="87">
        <f t="shared" si="1"/>
        <v>0.17733990147783252</v>
      </c>
      <c r="K54" s="87">
        <f t="shared" si="2"/>
        <v>0.25862068965517243</v>
      </c>
      <c r="L54" s="87">
        <f t="shared" si="3"/>
        <v>2.3891625615763545</v>
      </c>
      <c r="M54" s="87">
        <f t="shared" si="4"/>
        <v>0.4679802955665025</v>
      </c>
      <c r="N54" s="87">
        <f t="shared" si="5"/>
        <v>1.2438423645320198</v>
      </c>
      <c r="O54" s="87">
        <f t="shared" si="6"/>
        <v>4.5665024630541877</v>
      </c>
    </row>
    <row r="55" spans="1:15" x14ac:dyDescent="0.3">
      <c r="A55" t="s">
        <v>9</v>
      </c>
      <c r="B55" t="s">
        <v>756</v>
      </c>
      <c r="C55" s="16" t="s">
        <v>272</v>
      </c>
      <c r="D55" s="16">
        <v>3</v>
      </c>
      <c r="E55" t="s">
        <v>1524</v>
      </c>
      <c r="F55" t="s">
        <v>282</v>
      </c>
      <c r="G55" t="s">
        <v>1568</v>
      </c>
      <c r="H55" t="s">
        <v>344</v>
      </c>
      <c r="I55" s="87">
        <f t="shared" si="0"/>
        <v>2.9556650246305424E-2</v>
      </c>
      <c r="J55" s="87">
        <f t="shared" si="1"/>
        <v>0.17733990147783252</v>
      </c>
      <c r="K55" s="87">
        <f t="shared" si="2"/>
        <v>0.25862068965517243</v>
      </c>
      <c r="L55" s="87">
        <f t="shared" si="3"/>
        <v>1.5024630541871922</v>
      </c>
      <c r="M55" s="87">
        <f t="shared" si="4"/>
        <v>0.4679802955665025</v>
      </c>
      <c r="N55" s="87">
        <f t="shared" si="5"/>
        <v>1.2438423645320198</v>
      </c>
      <c r="O55" s="87">
        <f t="shared" si="6"/>
        <v>3.6798029556650249</v>
      </c>
    </row>
    <row r="56" spans="1:15" x14ac:dyDescent="0.3">
      <c r="A56" t="s">
        <v>9</v>
      </c>
      <c r="B56" t="s">
        <v>757</v>
      </c>
      <c r="C56" s="16" t="s">
        <v>272</v>
      </c>
      <c r="D56" s="16">
        <v>3</v>
      </c>
      <c r="E56" t="s">
        <v>1524</v>
      </c>
      <c r="F56" t="s">
        <v>1542</v>
      </c>
      <c r="G56" t="s">
        <v>1568</v>
      </c>
      <c r="H56" t="s">
        <v>344</v>
      </c>
      <c r="I56" s="87">
        <f t="shared" si="0"/>
        <v>2.9556650246305424E-2</v>
      </c>
      <c r="J56" s="87">
        <f t="shared" si="1"/>
        <v>0.17733990147783252</v>
      </c>
      <c r="K56" s="87">
        <f t="shared" si="2"/>
        <v>0.25862068965517243</v>
      </c>
      <c r="L56" s="87">
        <f t="shared" si="3"/>
        <v>2.3768472906403941</v>
      </c>
      <c r="M56" s="87">
        <f t="shared" si="4"/>
        <v>0.4679802955665025</v>
      </c>
      <c r="N56" s="87">
        <f t="shared" si="5"/>
        <v>1.2438423645320198</v>
      </c>
      <c r="O56" s="87">
        <f t="shared" si="6"/>
        <v>4.5541871921182269</v>
      </c>
    </row>
    <row r="57" spans="1:15" x14ac:dyDescent="0.3">
      <c r="A57" t="s">
        <v>9</v>
      </c>
      <c r="B57" t="s">
        <v>758</v>
      </c>
      <c r="C57" s="16" t="s">
        <v>272</v>
      </c>
      <c r="D57" s="16">
        <v>2</v>
      </c>
      <c r="E57" t="s">
        <v>1524</v>
      </c>
      <c r="F57" t="s">
        <v>282</v>
      </c>
      <c r="G57" t="s">
        <v>342</v>
      </c>
      <c r="H57" t="s">
        <v>344</v>
      </c>
      <c r="I57" s="87">
        <f t="shared" si="0"/>
        <v>2.9556650246305424E-2</v>
      </c>
      <c r="J57" s="87">
        <f t="shared" si="1"/>
        <v>0.82266009852216748</v>
      </c>
      <c r="K57" s="87">
        <f t="shared" si="2"/>
        <v>0.25862068965517243</v>
      </c>
      <c r="L57" s="87">
        <f t="shared" si="3"/>
        <v>1.5024630541871922</v>
      </c>
      <c r="M57" s="87">
        <f t="shared" si="4"/>
        <v>0.48522167487684736</v>
      </c>
      <c r="N57" s="87">
        <f t="shared" si="5"/>
        <v>1.2438423645320198</v>
      </c>
      <c r="O57" s="87">
        <f t="shared" si="6"/>
        <v>4.3423645320197046</v>
      </c>
    </row>
    <row r="58" spans="1:15" x14ac:dyDescent="0.3">
      <c r="A58" t="s">
        <v>9</v>
      </c>
      <c r="B58" t="s">
        <v>759</v>
      </c>
      <c r="C58" s="16" t="s">
        <v>272</v>
      </c>
      <c r="D58" s="16">
        <v>3</v>
      </c>
      <c r="E58" t="s">
        <v>1524</v>
      </c>
      <c r="F58" t="s">
        <v>1542</v>
      </c>
      <c r="G58" t="s">
        <v>1567</v>
      </c>
      <c r="H58" t="s">
        <v>1622</v>
      </c>
      <c r="I58" s="87">
        <f t="shared" si="0"/>
        <v>2.9556650246305424E-2</v>
      </c>
      <c r="J58" s="87">
        <f t="shared" si="1"/>
        <v>0.17733990147783252</v>
      </c>
      <c r="K58" s="87">
        <f t="shared" si="2"/>
        <v>0.25862068965517243</v>
      </c>
      <c r="L58" s="87">
        <f t="shared" si="3"/>
        <v>2.3768472906403941</v>
      </c>
      <c r="M58" s="87">
        <f t="shared" si="4"/>
        <v>0.21921182266009853</v>
      </c>
      <c r="N58" s="87">
        <f t="shared" si="5"/>
        <v>2.4507389162561575</v>
      </c>
      <c r="O58" s="87">
        <f t="shared" si="6"/>
        <v>5.5123152709359609</v>
      </c>
    </row>
    <row r="59" spans="1:15" x14ac:dyDescent="0.3">
      <c r="A59" t="s">
        <v>9</v>
      </c>
      <c r="B59" t="s">
        <v>760</v>
      </c>
      <c r="C59" s="16" t="s">
        <v>272</v>
      </c>
      <c r="D59" s="16">
        <v>3</v>
      </c>
      <c r="E59" t="s">
        <v>1524</v>
      </c>
      <c r="F59" t="s">
        <v>282</v>
      </c>
      <c r="G59" t="s">
        <v>1568</v>
      </c>
      <c r="H59" t="s">
        <v>344</v>
      </c>
      <c r="I59" s="87">
        <f t="shared" si="0"/>
        <v>2.9556650246305424E-2</v>
      </c>
      <c r="J59" s="87">
        <f t="shared" si="1"/>
        <v>0.17733990147783252</v>
      </c>
      <c r="K59" s="87">
        <f t="shared" si="2"/>
        <v>0.25862068965517243</v>
      </c>
      <c r="L59" s="87">
        <f t="shared" si="3"/>
        <v>1.5024630541871922</v>
      </c>
      <c r="M59" s="87">
        <f t="shared" si="4"/>
        <v>0.4679802955665025</v>
      </c>
      <c r="N59" s="87">
        <f t="shared" si="5"/>
        <v>1.2438423645320198</v>
      </c>
      <c r="O59" s="87">
        <f t="shared" si="6"/>
        <v>3.6798029556650249</v>
      </c>
    </row>
    <row r="60" spans="1:15" x14ac:dyDescent="0.3">
      <c r="A60" t="s">
        <v>9</v>
      </c>
      <c r="B60" t="s">
        <v>761</v>
      </c>
      <c r="C60" s="16" t="s">
        <v>272</v>
      </c>
      <c r="D60" s="16">
        <v>2</v>
      </c>
      <c r="E60" t="s">
        <v>1524</v>
      </c>
      <c r="F60" t="s">
        <v>282</v>
      </c>
      <c r="G60" t="s">
        <v>342</v>
      </c>
      <c r="H60" t="s">
        <v>344</v>
      </c>
      <c r="I60" s="87">
        <f t="shared" si="0"/>
        <v>2.9556650246305424E-2</v>
      </c>
      <c r="J60" s="87">
        <f t="shared" si="1"/>
        <v>0.82266009852216748</v>
      </c>
      <c r="K60" s="87">
        <f t="shared" si="2"/>
        <v>0.25862068965517243</v>
      </c>
      <c r="L60" s="87">
        <f t="shared" si="3"/>
        <v>1.5024630541871922</v>
      </c>
      <c r="M60" s="87">
        <f t="shared" si="4"/>
        <v>0.48522167487684736</v>
      </c>
      <c r="N60" s="87">
        <f t="shared" si="5"/>
        <v>1.2438423645320198</v>
      </c>
      <c r="O60" s="87">
        <f t="shared" si="6"/>
        <v>4.3423645320197046</v>
      </c>
    </row>
    <row r="61" spans="1:15" x14ac:dyDescent="0.3">
      <c r="A61" t="s">
        <v>9</v>
      </c>
      <c r="B61" t="s">
        <v>762</v>
      </c>
      <c r="C61" s="16" t="s">
        <v>272</v>
      </c>
      <c r="D61" s="16">
        <v>3</v>
      </c>
      <c r="E61" t="s">
        <v>1524</v>
      </c>
      <c r="F61" t="s">
        <v>1542</v>
      </c>
      <c r="G61" t="s">
        <v>1567</v>
      </c>
      <c r="H61" t="s">
        <v>345</v>
      </c>
      <c r="I61" s="87">
        <f t="shared" si="0"/>
        <v>2.9556650246305424E-2</v>
      </c>
      <c r="J61" s="87">
        <f t="shared" si="1"/>
        <v>0.17733990147783252</v>
      </c>
      <c r="K61" s="87">
        <f t="shared" si="2"/>
        <v>0.25862068965517243</v>
      </c>
      <c r="L61" s="87">
        <f t="shared" si="3"/>
        <v>2.3768472906403941</v>
      </c>
      <c r="M61" s="87">
        <f t="shared" si="4"/>
        <v>0.21921182266009853</v>
      </c>
      <c r="N61" s="87">
        <f t="shared" si="5"/>
        <v>2.2536945812807883</v>
      </c>
      <c r="O61" s="87">
        <f t="shared" si="6"/>
        <v>5.3152709359605916</v>
      </c>
    </row>
    <row r="62" spans="1:15" x14ac:dyDescent="0.3">
      <c r="A62" t="s">
        <v>9</v>
      </c>
      <c r="B62" t="s">
        <v>763</v>
      </c>
      <c r="C62" s="16" t="s">
        <v>272</v>
      </c>
      <c r="D62" s="16">
        <v>3</v>
      </c>
      <c r="E62" t="s">
        <v>1524</v>
      </c>
      <c r="F62" t="s">
        <v>282</v>
      </c>
      <c r="G62" t="s">
        <v>1567</v>
      </c>
      <c r="H62" t="s">
        <v>1623</v>
      </c>
      <c r="I62" s="87">
        <f t="shared" si="0"/>
        <v>2.9556650246305424E-2</v>
      </c>
      <c r="J62" s="87">
        <f t="shared" si="1"/>
        <v>0.17733990147783252</v>
      </c>
      <c r="K62" s="87">
        <f t="shared" si="2"/>
        <v>0.25862068965517243</v>
      </c>
      <c r="L62" s="87">
        <f t="shared" si="3"/>
        <v>1.5024630541871922</v>
      </c>
      <c r="M62" s="87">
        <f t="shared" si="4"/>
        <v>0.21921182266009853</v>
      </c>
      <c r="N62" s="87">
        <f t="shared" si="5"/>
        <v>2.4630541871921183</v>
      </c>
      <c r="O62" s="87">
        <f t="shared" si="6"/>
        <v>4.6502463054187197</v>
      </c>
    </row>
    <row r="63" spans="1:15" x14ac:dyDescent="0.3">
      <c r="A63" t="s">
        <v>9</v>
      </c>
      <c r="B63" t="s">
        <v>764</v>
      </c>
      <c r="C63" s="16" t="s">
        <v>272</v>
      </c>
      <c r="D63" s="16">
        <v>3</v>
      </c>
      <c r="E63" t="s">
        <v>1524</v>
      </c>
      <c r="F63" t="s">
        <v>282</v>
      </c>
      <c r="G63" t="s">
        <v>1567</v>
      </c>
      <c r="H63" t="s">
        <v>345</v>
      </c>
      <c r="I63" s="87">
        <f t="shared" si="0"/>
        <v>2.9556650246305424E-2</v>
      </c>
      <c r="J63" s="87">
        <f t="shared" si="1"/>
        <v>0.17733990147783252</v>
      </c>
      <c r="K63" s="87">
        <f t="shared" si="2"/>
        <v>0.25862068965517243</v>
      </c>
      <c r="L63" s="87">
        <f t="shared" si="3"/>
        <v>1.5024630541871922</v>
      </c>
      <c r="M63" s="87">
        <f t="shared" si="4"/>
        <v>0.21921182266009853</v>
      </c>
      <c r="N63" s="87">
        <f t="shared" si="5"/>
        <v>2.2536945812807883</v>
      </c>
      <c r="O63" s="87">
        <f t="shared" si="6"/>
        <v>4.4408866995073897</v>
      </c>
    </row>
    <row r="64" spans="1:15" x14ac:dyDescent="0.3">
      <c r="A64" t="s">
        <v>43</v>
      </c>
      <c r="B64" t="s">
        <v>765</v>
      </c>
      <c r="C64" s="16" t="s">
        <v>273</v>
      </c>
      <c r="D64" s="16">
        <v>2</v>
      </c>
      <c r="E64" t="s">
        <v>1525</v>
      </c>
      <c r="F64" t="s">
        <v>283</v>
      </c>
      <c r="G64" t="s">
        <v>1568</v>
      </c>
      <c r="H64" t="s">
        <v>291</v>
      </c>
      <c r="I64" s="87">
        <f t="shared" si="0"/>
        <v>0.97044334975369473</v>
      </c>
      <c r="J64" s="87">
        <f t="shared" si="1"/>
        <v>0.82266009852216748</v>
      </c>
      <c r="K64" s="87">
        <f t="shared" si="2"/>
        <v>2.3522167487684729</v>
      </c>
      <c r="L64" s="87">
        <f t="shared" si="3"/>
        <v>2.4876847290640396</v>
      </c>
      <c r="M64" s="87">
        <f t="shared" si="4"/>
        <v>0.4679802955665025</v>
      </c>
      <c r="N64" s="87">
        <f t="shared" si="5"/>
        <v>2.2906403940886699</v>
      </c>
      <c r="O64" s="87">
        <f t="shared" si="6"/>
        <v>9.3916256157635463</v>
      </c>
    </row>
    <row r="65" spans="1:15" x14ac:dyDescent="0.3">
      <c r="A65" t="s">
        <v>43</v>
      </c>
      <c r="B65" t="s">
        <v>766</v>
      </c>
      <c r="C65" s="16" t="s">
        <v>272</v>
      </c>
      <c r="D65" s="16">
        <v>2</v>
      </c>
      <c r="E65" t="s">
        <v>1525</v>
      </c>
      <c r="F65" t="s">
        <v>273</v>
      </c>
      <c r="G65" t="s">
        <v>1567</v>
      </c>
      <c r="H65" t="s">
        <v>347</v>
      </c>
      <c r="I65" s="87">
        <f t="shared" si="0"/>
        <v>2.9556650246305424E-2</v>
      </c>
      <c r="J65" s="87">
        <f t="shared" si="1"/>
        <v>0.82266009852216748</v>
      </c>
      <c r="K65" s="87">
        <f t="shared" si="2"/>
        <v>2.3522167487684729</v>
      </c>
      <c r="L65" s="87">
        <f t="shared" si="3"/>
        <v>2.4753694581280787</v>
      </c>
      <c r="M65" s="87">
        <f t="shared" si="4"/>
        <v>0.21921182266009853</v>
      </c>
      <c r="N65" s="87">
        <f t="shared" si="5"/>
        <v>2.4137931034482758</v>
      </c>
      <c r="O65" s="87">
        <f t="shared" si="6"/>
        <v>8.3128078817733986</v>
      </c>
    </row>
    <row r="66" spans="1:15" x14ac:dyDescent="0.3">
      <c r="A66" t="s">
        <v>43</v>
      </c>
      <c r="B66" t="s">
        <v>767</v>
      </c>
      <c r="C66" s="16" t="s">
        <v>272</v>
      </c>
      <c r="D66" s="16">
        <v>3</v>
      </c>
      <c r="E66" t="s">
        <v>1524</v>
      </c>
      <c r="F66" t="s">
        <v>1631</v>
      </c>
      <c r="G66" t="s">
        <v>1567</v>
      </c>
      <c r="H66" t="s">
        <v>344</v>
      </c>
      <c r="I66" s="87">
        <f t="shared" si="0"/>
        <v>2.9556650246305424E-2</v>
      </c>
      <c r="J66" s="87">
        <f t="shared" si="1"/>
        <v>0.17733990147783252</v>
      </c>
      <c r="K66" s="87">
        <f t="shared" si="2"/>
        <v>0.25862068965517243</v>
      </c>
      <c r="L66" s="87">
        <f t="shared" si="3"/>
        <v>2.4630541871921183</v>
      </c>
      <c r="M66" s="87">
        <f t="shared" si="4"/>
        <v>0.21921182266009853</v>
      </c>
      <c r="N66" s="87">
        <f t="shared" si="5"/>
        <v>1.2438423645320198</v>
      </c>
      <c r="O66" s="87">
        <f t="shared" si="6"/>
        <v>4.3916256157635472</v>
      </c>
    </row>
    <row r="67" spans="1:15" x14ac:dyDescent="0.3">
      <c r="A67" t="s">
        <v>43</v>
      </c>
      <c r="B67" t="s">
        <v>768</v>
      </c>
      <c r="C67" s="16" t="s">
        <v>272</v>
      </c>
      <c r="D67" s="16">
        <v>3</v>
      </c>
      <c r="E67" t="s">
        <v>1524</v>
      </c>
      <c r="F67" t="s">
        <v>282</v>
      </c>
      <c r="G67" t="s">
        <v>1567</v>
      </c>
      <c r="H67" t="s">
        <v>1622</v>
      </c>
      <c r="I67" s="87">
        <f t="shared" si="0"/>
        <v>2.9556650246305424E-2</v>
      </c>
      <c r="J67" s="87">
        <f t="shared" si="1"/>
        <v>0.17733990147783252</v>
      </c>
      <c r="K67" s="87">
        <f t="shared" si="2"/>
        <v>0.25862068965517243</v>
      </c>
      <c r="L67" s="87">
        <f t="shared" si="3"/>
        <v>1.5024630541871922</v>
      </c>
      <c r="M67" s="87">
        <f t="shared" si="4"/>
        <v>0.21921182266009853</v>
      </c>
      <c r="N67" s="87">
        <f t="shared" si="5"/>
        <v>2.4507389162561575</v>
      </c>
      <c r="O67" s="87">
        <f t="shared" si="6"/>
        <v>4.6379310344827589</v>
      </c>
    </row>
    <row r="68" spans="1:15" x14ac:dyDescent="0.3">
      <c r="A68" t="s">
        <v>43</v>
      </c>
      <c r="B68" t="s">
        <v>769</v>
      </c>
      <c r="C68" s="16" t="s">
        <v>272</v>
      </c>
      <c r="D68" s="16">
        <v>3</v>
      </c>
      <c r="E68" t="s">
        <v>1524</v>
      </c>
      <c r="F68" t="s">
        <v>1540</v>
      </c>
      <c r="G68" t="s">
        <v>1567</v>
      </c>
      <c r="H68" t="s">
        <v>345</v>
      </c>
      <c r="I68" s="87">
        <f t="shared" ref="I68:I131" si="7">VLOOKUP(C68,$R$3:$T$4,3,0)*T$1</f>
        <v>2.9556650246305424E-2</v>
      </c>
      <c r="J68" s="87">
        <f t="shared" ref="J68:J131" si="8">VLOOKUP(D68,$U$3:$W$4,3,0)*W$1</f>
        <v>0.17733990147783252</v>
      </c>
      <c r="K68" s="87">
        <f t="shared" ref="K68:K131" si="9">VLOOKUP(E68,$X$3:$Z$8,3,0)*Z$1</f>
        <v>0.25862068965517243</v>
      </c>
      <c r="L68" s="87">
        <f t="shared" ref="L68:L131" si="10">VLOOKUP(F68,$AA$3:$AC$32,3,0)*AC$1</f>
        <v>2.3891625615763545</v>
      </c>
      <c r="M68" s="87">
        <f t="shared" ref="M68:M131" si="11">VLOOKUP(G68,$AD$3:$AF$10,3,0)*AF$1</f>
        <v>0.21921182266009853</v>
      </c>
      <c r="N68" s="87">
        <f t="shared" ref="N68:N131" si="12">VLOOKUP(H68,$AG$3:$AI$19,3,0)*AI$1</f>
        <v>2.2536945812807883</v>
      </c>
      <c r="O68" s="87">
        <f t="shared" ref="O68:O131" si="13">SUM(I68:N68)</f>
        <v>5.3275862068965516</v>
      </c>
    </row>
    <row r="69" spans="1:15" x14ac:dyDescent="0.3">
      <c r="A69" t="s">
        <v>43</v>
      </c>
      <c r="B69" t="s">
        <v>770</v>
      </c>
      <c r="C69" s="16" t="s">
        <v>272</v>
      </c>
      <c r="D69" s="16">
        <v>3</v>
      </c>
      <c r="E69" t="s">
        <v>1524</v>
      </c>
      <c r="F69" t="s">
        <v>1540</v>
      </c>
      <c r="G69" t="s">
        <v>1567</v>
      </c>
      <c r="H69" t="s">
        <v>344</v>
      </c>
      <c r="I69" s="87">
        <f t="shared" si="7"/>
        <v>2.9556650246305424E-2</v>
      </c>
      <c r="J69" s="87">
        <f t="shared" si="8"/>
        <v>0.17733990147783252</v>
      </c>
      <c r="K69" s="87">
        <f t="shared" si="9"/>
        <v>0.25862068965517243</v>
      </c>
      <c r="L69" s="87">
        <f t="shared" si="10"/>
        <v>2.3891625615763545</v>
      </c>
      <c r="M69" s="87">
        <f t="shared" si="11"/>
        <v>0.21921182266009853</v>
      </c>
      <c r="N69" s="87">
        <f t="shared" si="12"/>
        <v>1.2438423645320198</v>
      </c>
      <c r="O69" s="87">
        <f t="shared" si="13"/>
        <v>4.3177339901477829</v>
      </c>
    </row>
    <row r="70" spans="1:15" x14ac:dyDescent="0.3">
      <c r="A70" t="s">
        <v>43</v>
      </c>
      <c r="B70" t="s">
        <v>771</v>
      </c>
      <c r="C70" s="16" t="s">
        <v>272</v>
      </c>
      <c r="D70" s="16">
        <v>3</v>
      </c>
      <c r="E70" t="s">
        <v>1524</v>
      </c>
      <c r="F70" t="s">
        <v>282</v>
      </c>
      <c r="G70" t="s">
        <v>1566</v>
      </c>
      <c r="H70" t="s">
        <v>1622</v>
      </c>
      <c r="I70" s="87">
        <f t="shared" si="7"/>
        <v>2.9556650246305424E-2</v>
      </c>
      <c r="J70" s="87">
        <f t="shared" si="8"/>
        <v>0.17733990147783252</v>
      </c>
      <c r="K70" s="87">
        <f t="shared" si="9"/>
        <v>0.25862068965517243</v>
      </c>
      <c r="L70" s="87">
        <f t="shared" si="10"/>
        <v>1.5024630541871922</v>
      </c>
      <c r="M70" s="87">
        <f t="shared" si="11"/>
        <v>0.38669950738916259</v>
      </c>
      <c r="N70" s="87">
        <f t="shared" si="12"/>
        <v>2.4507389162561575</v>
      </c>
      <c r="O70" s="87">
        <f t="shared" si="13"/>
        <v>4.805418719211823</v>
      </c>
    </row>
    <row r="71" spans="1:15" x14ac:dyDescent="0.3">
      <c r="A71" t="s">
        <v>43</v>
      </c>
      <c r="B71" t="s">
        <v>772</v>
      </c>
      <c r="C71" s="16" t="s">
        <v>272</v>
      </c>
      <c r="D71" s="16">
        <v>3</v>
      </c>
      <c r="E71" t="s">
        <v>1524</v>
      </c>
      <c r="F71" t="s">
        <v>1631</v>
      </c>
      <c r="G71" t="s">
        <v>1567</v>
      </c>
      <c r="H71" t="s">
        <v>344</v>
      </c>
      <c r="I71" s="87">
        <f t="shared" si="7"/>
        <v>2.9556650246305424E-2</v>
      </c>
      <c r="J71" s="87">
        <f t="shared" si="8"/>
        <v>0.17733990147783252</v>
      </c>
      <c r="K71" s="87">
        <f t="shared" si="9"/>
        <v>0.25862068965517243</v>
      </c>
      <c r="L71" s="87">
        <f t="shared" si="10"/>
        <v>2.4630541871921183</v>
      </c>
      <c r="M71" s="87">
        <f t="shared" si="11"/>
        <v>0.21921182266009853</v>
      </c>
      <c r="N71" s="87">
        <f t="shared" si="12"/>
        <v>1.2438423645320198</v>
      </c>
      <c r="O71" s="87">
        <f t="shared" si="13"/>
        <v>4.3916256157635472</v>
      </c>
    </row>
    <row r="72" spans="1:15" x14ac:dyDescent="0.3">
      <c r="A72" t="s">
        <v>43</v>
      </c>
      <c r="B72" t="s">
        <v>773</v>
      </c>
      <c r="C72" s="16" t="s">
        <v>272</v>
      </c>
      <c r="D72" s="16">
        <v>3</v>
      </c>
      <c r="E72" t="s">
        <v>1524</v>
      </c>
      <c r="F72" t="s">
        <v>1631</v>
      </c>
      <c r="G72" t="s">
        <v>1567</v>
      </c>
      <c r="H72" t="s">
        <v>344</v>
      </c>
      <c r="I72" s="87">
        <f t="shared" si="7"/>
        <v>2.9556650246305424E-2</v>
      </c>
      <c r="J72" s="87">
        <f t="shared" si="8"/>
        <v>0.17733990147783252</v>
      </c>
      <c r="K72" s="87">
        <f t="shared" si="9"/>
        <v>0.25862068965517243</v>
      </c>
      <c r="L72" s="87">
        <f t="shared" si="10"/>
        <v>2.4630541871921183</v>
      </c>
      <c r="M72" s="87">
        <f t="shared" si="11"/>
        <v>0.21921182266009853</v>
      </c>
      <c r="N72" s="87">
        <f t="shared" si="12"/>
        <v>1.2438423645320198</v>
      </c>
      <c r="O72" s="87">
        <f t="shared" si="13"/>
        <v>4.3916256157635472</v>
      </c>
    </row>
    <row r="73" spans="1:15" x14ac:dyDescent="0.3">
      <c r="A73" t="s">
        <v>43</v>
      </c>
      <c r="B73" t="s">
        <v>774</v>
      </c>
      <c r="C73" s="16" t="s">
        <v>272</v>
      </c>
      <c r="D73" s="16">
        <v>2</v>
      </c>
      <c r="E73" t="s">
        <v>1524</v>
      </c>
      <c r="F73" t="s">
        <v>282</v>
      </c>
      <c r="G73" t="s">
        <v>341</v>
      </c>
      <c r="H73" t="s">
        <v>345</v>
      </c>
      <c r="I73" s="87">
        <f t="shared" si="7"/>
        <v>2.9556650246305424E-2</v>
      </c>
      <c r="J73" s="87">
        <f t="shared" si="8"/>
        <v>0.82266009852216748</v>
      </c>
      <c r="K73" s="87">
        <f t="shared" si="9"/>
        <v>0.25862068965517243</v>
      </c>
      <c r="L73" s="87">
        <f t="shared" si="10"/>
        <v>1.5024630541871922</v>
      </c>
      <c r="M73" s="87">
        <f t="shared" si="11"/>
        <v>0.4605911330049261</v>
      </c>
      <c r="N73" s="87">
        <f t="shared" si="12"/>
        <v>2.2536945812807883</v>
      </c>
      <c r="O73" s="87">
        <f t="shared" si="13"/>
        <v>5.3275862068965516</v>
      </c>
    </row>
    <row r="74" spans="1:15" x14ac:dyDescent="0.3">
      <c r="A74" t="s">
        <v>43</v>
      </c>
      <c r="B74" t="s">
        <v>775</v>
      </c>
      <c r="C74" s="16" t="s">
        <v>272</v>
      </c>
      <c r="D74" s="16">
        <v>3</v>
      </c>
      <c r="E74" t="s">
        <v>1524</v>
      </c>
      <c r="F74" t="s">
        <v>282</v>
      </c>
      <c r="G74" t="s">
        <v>1566</v>
      </c>
      <c r="H74" t="s">
        <v>1622</v>
      </c>
      <c r="I74" s="87">
        <f t="shared" si="7"/>
        <v>2.9556650246305424E-2</v>
      </c>
      <c r="J74" s="87">
        <f t="shared" si="8"/>
        <v>0.17733990147783252</v>
      </c>
      <c r="K74" s="87">
        <f t="shared" si="9"/>
        <v>0.25862068965517243</v>
      </c>
      <c r="L74" s="87">
        <f t="shared" si="10"/>
        <v>1.5024630541871922</v>
      </c>
      <c r="M74" s="87">
        <f t="shared" si="11"/>
        <v>0.38669950738916259</v>
      </c>
      <c r="N74" s="87">
        <f t="shared" si="12"/>
        <v>2.4507389162561575</v>
      </c>
      <c r="O74" s="87">
        <f t="shared" si="13"/>
        <v>4.805418719211823</v>
      </c>
    </row>
    <row r="75" spans="1:15" x14ac:dyDescent="0.3">
      <c r="A75" t="s">
        <v>43</v>
      </c>
      <c r="B75" t="s">
        <v>776</v>
      </c>
      <c r="C75" s="16" t="s">
        <v>272</v>
      </c>
      <c r="D75" s="16">
        <v>2</v>
      </c>
      <c r="E75" t="s">
        <v>1524</v>
      </c>
      <c r="F75" t="s">
        <v>282</v>
      </c>
      <c r="G75" t="s">
        <v>342</v>
      </c>
      <c r="H75" t="s">
        <v>344</v>
      </c>
      <c r="I75" s="87">
        <f t="shared" si="7"/>
        <v>2.9556650246305424E-2</v>
      </c>
      <c r="J75" s="87">
        <f t="shared" si="8"/>
        <v>0.82266009852216748</v>
      </c>
      <c r="K75" s="87">
        <f t="shared" si="9"/>
        <v>0.25862068965517243</v>
      </c>
      <c r="L75" s="87">
        <f t="shared" si="10"/>
        <v>1.5024630541871922</v>
      </c>
      <c r="M75" s="87">
        <f t="shared" si="11"/>
        <v>0.48522167487684736</v>
      </c>
      <c r="N75" s="87">
        <f t="shared" si="12"/>
        <v>1.2438423645320198</v>
      </c>
      <c r="O75" s="87">
        <f t="shared" si="13"/>
        <v>4.3423645320197046</v>
      </c>
    </row>
    <row r="76" spans="1:15" x14ac:dyDescent="0.3">
      <c r="A76" t="s">
        <v>43</v>
      </c>
      <c r="B76" t="s">
        <v>777</v>
      </c>
      <c r="C76" s="16" t="s">
        <v>272</v>
      </c>
      <c r="D76" s="16">
        <v>2</v>
      </c>
      <c r="E76" t="s">
        <v>1524</v>
      </c>
      <c r="F76" t="s">
        <v>282</v>
      </c>
      <c r="G76" t="s">
        <v>342</v>
      </c>
      <c r="H76" t="s">
        <v>344</v>
      </c>
      <c r="I76" s="87">
        <f t="shared" si="7"/>
        <v>2.9556650246305424E-2</v>
      </c>
      <c r="J76" s="87">
        <f t="shared" si="8"/>
        <v>0.82266009852216748</v>
      </c>
      <c r="K76" s="87">
        <f t="shared" si="9"/>
        <v>0.25862068965517243</v>
      </c>
      <c r="L76" s="87">
        <f t="shared" si="10"/>
        <v>1.5024630541871922</v>
      </c>
      <c r="M76" s="87">
        <f t="shared" si="11"/>
        <v>0.48522167487684736</v>
      </c>
      <c r="N76" s="87">
        <f t="shared" si="12"/>
        <v>1.2438423645320198</v>
      </c>
      <c r="O76" s="87">
        <f t="shared" si="13"/>
        <v>4.3423645320197046</v>
      </c>
    </row>
    <row r="77" spans="1:15" x14ac:dyDescent="0.3">
      <c r="A77" t="s">
        <v>43</v>
      </c>
      <c r="B77" t="s">
        <v>778</v>
      </c>
      <c r="C77" s="16" t="s">
        <v>273</v>
      </c>
      <c r="D77" s="16">
        <v>2</v>
      </c>
      <c r="E77" t="s">
        <v>1525</v>
      </c>
      <c r="F77" t="s">
        <v>273</v>
      </c>
      <c r="G77" t="s">
        <v>1567</v>
      </c>
      <c r="H77" t="s">
        <v>291</v>
      </c>
      <c r="I77" s="87">
        <f t="shared" si="7"/>
        <v>0.97044334975369473</v>
      </c>
      <c r="J77" s="87">
        <f t="shared" si="8"/>
        <v>0.82266009852216748</v>
      </c>
      <c r="K77" s="87">
        <f t="shared" si="9"/>
        <v>2.3522167487684729</v>
      </c>
      <c r="L77" s="87">
        <f t="shared" si="10"/>
        <v>2.4753694581280787</v>
      </c>
      <c r="M77" s="87">
        <f t="shared" si="11"/>
        <v>0.21921182266009853</v>
      </c>
      <c r="N77" s="87">
        <f t="shared" si="12"/>
        <v>2.2906403940886699</v>
      </c>
      <c r="O77" s="87">
        <f t="shared" si="13"/>
        <v>9.1305418719211815</v>
      </c>
    </row>
    <row r="78" spans="1:15" x14ac:dyDescent="0.3">
      <c r="A78" t="s">
        <v>43</v>
      </c>
      <c r="B78" t="s">
        <v>779</v>
      </c>
      <c r="C78" s="16" t="s">
        <v>272</v>
      </c>
      <c r="D78" s="16">
        <v>2</v>
      </c>
      <c r="E78" t="s">
        <v>1524</v>
      </c>
      <c r="F78" t="s">
        <v>282</v>
      </c>
      <c r="G78" t="s">
        <v>342</v>
      </c>
      <c r="H78" t="s">
        <v>344</v>
      </c>
      <c r="I78" s="87">
        <f t="shared" si="7"/>
        <v>2.9556650246305424E-2</v>
      </c>
      <c r="J78" s="87">
        <f t="shared" si="8"/>
        <v>0.82266009852216748</v>
      </c>
      <c r="K78" s="87">
        <f t="shared" si="9"/>
        <v>0.25862068965517243</v>
      </c>
      <c r="L78" s="87">
        <f t="shared" si="10"/>
        <v>1.5024630541871922</v>
      </c>
      <c r="M78" s="87">
        <f t="shared" si="11"/>
        <v>0.48522167487684736</v>
      </c>
      <c r="N78" s="87">
        <f t="shared" si="12"/>
        <v>1.2438423645320198</v>
      </c>
      <c r="O78" s="87">
        <f t="shared" si="13"/>
        <v>4.3423645320197046</v>
      </c>
    </row>
    <row r="79" spans="1:15" x14ac:dyDescent="0.3">
      <c r="A79" t="s">
        <v>43</v>
      </c>
      <c r="B79" t="s">
        <v>780</v>
      </c>
      <c r="C79" s="16" t="s">
        <v>273</v>
      </c>
      <c r="D79" s="16">
        <v>3</v>
      </c>
      <c r="E79" t="s">
        <v>1529</v>
      </c>
      <c r="F79" t="s">
        <v>1658</v>
      </c>
      <c r="G79" t="s">
        <v>1567</v>
      </c>
      <c r="H79" t="s">
        <v>347</v>
      </c>
      <c r="I79" s="87">
        <f t="shared" si="7"/>
        <v>0.97044334975369473</v>
      </c>
      <c r="J79" s="87">
        <f t="shared" si="8"/>
        <v>0.17733990147783252</v>
      </c>
      <c r="K79" s="87">
        <f t="shared" si="9"/>
        <v>2.4876847290640396</v>
      </c>
      <c r="L79" s="87">
        <f t="shared" si="10"/>
        <v>2.5</v>
      </c>
      <c r="M79" s="87">
        <f t="shared" si="11"/>
        <v>0.21921182266009853</v>
      </c>
      <c r="N79" s="87">
        <f t="shared" si="12"/>
        <v>2.4137931034482758</v>
      </c>
      <c r="O79" s="87">
        <f t="shared" si="13"/>
        <v>8.7684729064039413</v>
      </c>
    </row>
    <row r="80" spans="1:15" x14ac:dyDescent="0.3">
      <c r="A80" t="s">
        <v>43</v>
      </c>
      <c r="B80" t="s">
        <v>781</v>
      </c>
      <c r="C80" s="16" t="s">
        <v>272</v>
      </c>
      <c r="D80" s="16">
        <v>3</v>
      </c>
      <c r="E80" t="s">
        <v>1524</v>
      </c>
      <c r="F80" t="s">
        <v>282</v>
      </c>
      <c r="G80" t="s">
        <v>1568</v>
      </c>
      <c r="H80" t="s">
        <v>1570</v>
      </c>
      <c r="I80" s="87">
        <f t="shared" si="7"/>
        <v>2.9556650246305424E-2</v>
      </c>
      <c r="J80" s="87">
        <f t="shared" si="8"/>
        <v>0.17733990147783252</v>
      </c>
      <c r="K80" s="87">
        <f t="shared" si="9"/>
        <v>0.25862068965517243</v>
      </c>
      <c r="L80" s="87">
        <f t="shared" si="10"/>
        <v>1.5024630541871922</v>
      </c>
      <c r="M80" s="87">
        <f t="shared" si="11"/>
        <v>0.4679802955665025</v>
      </c>
      <c r="N80" s="87">
        <f t="shared" si="12"/>
        <v>2.3645320197044337</v>
      </c>
      <c r="O80" s="87">
        <f t="shared" si="13"/>
        <v>4.8004926108374395</v>
      </c>
    </row>
    <row r="81" spans="1:15" x14ac:dyDescent="0.3">
      <c r="A81" t="s">
        <v>43</v>
      </c>
      <c r="B81" t="s">
        <v>782</v>
      </c>
      <c r="C81" s="16" t="s">
        <v>272</v>
      </c>
      <c r="D81" s="16">
        <v>3</v>
      </c>
      <c r="E81" t="s">
        <v>1524</v>
      </c>
      <c r="F81" t="s">
        <v>282</v>
      </c>
      <c r="G81" t="s">
        <v>1567</v>
      </c>
      <c r="H81" t="s">
        <v>1658</v>
      </c>
      <c r="I81" s="87">
        <f t="shared" si="7"/>
        <v>2.9556650246305424E-2</v>
      </c>
      <c r="J81" s="87">
        <f t="shared" si="8"/>
        <v>0.17733990147783252</v>
      </c>
      <c r="K81" s="87">
        <f t="shared" si="9"/>
        <v>0.25862068965517243</v>
      </c>
      <c r="L81" s="87">
        <f t="shared" si="10"/>
        <v>1.5024630541871922</v>
      </c>
      <c r="M81" s="87">
        <f t="shared" si="11"/>
        <v>0.21921182266009853</v>
      </c>
      <c r="N81" s="87">
        <f t="shared" si="12"/>
        <v>2.5</v>
      </c>
      <c r="O81" s="87">
        <f t="shared" si="13"/>
        <v>4.6871921182266014</v>
      </c>
    </row>
    <row r="82" spans="1:15" x14ac:dyDescent="0.3">
      <c r="A82" t="s">
        <v>43</v>
      </c>
      <c r="B82" t="s">
        <v>783</v>
      </c>
      <c r="C82" s="16" t="s">
        <v>272</v>
      </c>
      <c r="D82" s="16">
        <v>3</v>
      </c>
      <c r="E82" t="s">
        <v>1526</v>
      </c>
      <c r="F82" t="s">
        <v>283</v>
      </c>
      <c r="G82" t="s">
        <v>1567</v>
      </c>
      <c r="H82" t="s">
        <v>345</v>
      </c>
      <c r="I82" s="87">
        <f t="shared" si="7"/>
        <v>2.9556650246305424E-2</v>
      </c>
      <c r="J82" s="87">
        <f t="shared" si="8"/>
        <v>0.17733990147783252</v>
      </c>
      <c r="K82" s="87">
        <f t="shared" si="9"/>
        <v>2.4137931034482758</v>
      </c>
      <c r="L82" s="87">
        <f t="shared" si="10"/>
        <v>2.4876847290640396</v>
      </c>
      <c r="M82" s="87">
        <f t="shared" si="11"/>
        <v>0.21921182266009853</v>
      </c>
      <c r="N82" s="87">
        <f t="shared" si="12"/>
        <v>2.2536945812807883</v>
      </c>
      <c r="O82" s="87">
        <f t="shared" si="13"/>
        <v>7.5812807881773407</v>
      </c>
    </row>
    <row r="83" spans="1:15" x14ac:dyDescent="0.3">
      <c r="A83" t="s">
        <v>43</v>
      </c>
      <c r="B83" t="s">
        <v>784</v>
      </c>
      <c r="C83" s="16" t="s">
        <v>272</v>
      </c>
      <c r="D83" s="16">
        <v>2</v>
      </c>
      <c r="E83" t="s">
        <v>1524</v>
      </c>
      <c r="F83" t="s">
        <v>282</v>
      </c>
      <c r="G83" t="s">
        <v>342</v>
      </c>
      <c r="H83" t="s">
        <v>344</v>
      </c>
      <c r="I83" s="87">
        <f t="shared" si="7"/>
        <v>2.9556650246305424E-2</v>
      </c>
      <c r="J83" s="87">
        <f t="shared" si="8"/>
        <v>0.82266009852216748</v>
      </c>
      <c r="K83" s="87">
        <f t="shared" si="9"/>
        <v>0.25862068965517243</v>
      </c>
      <c r="L83" s="87">
        <f t="shared" si="10"/>
        <v>1.5024630541871922</v>
      </c>
      <c r="M83" s="87">
        <f t="shared" si="11"/>
        <v>0.48522167487684736</v>
      </c>
      <c r="N83" s="87">
        <f t="shared" si="12"/>
        <v>1.2438423645320198</v>
      </c>
      <c r="O83" s="87">
        <f t="shared" si="13"/>
        <v>4.3423645320197046</v>
      </c>
    </row>
    <row r="84" spans="1:15" x14ac:dyDescent="0.3">
      <c r="A84" t="s">
        <v>43</v>
      </c>
      <c r="B84" t="s">
        <v>785</v>
      </c>
      <c r="C84" s="16" t="s">
        <v>273</v>
      </c>
      <c r="D84" s="16">
        <v>3</v>
      </c>
      <c r="E84" t="s">
        <v>1529</v>
      </c>
      <c r="F84" t="s">
        <v>1658</v>
      </c>
      <c r="G84" t="s">
        <v>1566</v>
      </c>
      <c r="H84" t="s">
        <v>1571</v>
      </c>
      <c r="I84" s="87">
        <f t="shared" si="7"/>
        <v>0.97044334975369473</v>
      </c>
      <c r="J84" s="87">
        <f t="shared" si="8"/>
        <v>0.17733990147783252</v>
      </c>
      <c r="K84" s="87">
        <f t="shared" si="9"/>
        <v>2.4876847290640396</v>
      </c>
      <c r="L84" s="87">
        <f t="shared" si="10"/>
        <v>2.5</v>
      </c>
      <c r="M84" s="87">
        <f t="shared" si="11"/>
        <v>0.38669950738916259</v>
      </c>
      <c r="N84" s="87">
        <f t="shared" si="12"/>
        <v>2.4630541871921183</v>
      </c>
      <c r="O84" s="87">
        <f t="shared" si="13"/>
        <v>8.985221674876847</v>
      </c>
    </row>
    <row r="85" spans="1:15" x14ac:dyDescent="0.3">
      <c r="A85" t="s">
        <v>45</v>
      </c>
      <c r="B85" t="s">
        <v>786</v>
      </c>
      <c r="C85" s="16" t="s">
        <v>272</v>
      </c>
      <c r="D85" s="16">
        <v>3</v>
      </c>
      <c r="E85" t="s">
        <v>1526</v>
      </c>
      <c r="F85" t="s">
        <v>1546</v>
      </c>
      <c r="G85" t="s">
        <v>1567</v>
      </c>
      <c r="H85" t="s">
        <v>345</v>
      </c>
      <c r="I85" s="87">
        <f t="shared" si="7"/>
        <v>2.9556650246305424E-2</v>
      </c>
      <c r="J85" s="87">
        <f t="shared" si="8"/>
        <v>0.17733990147783252</v>
      </c>
      <c r="K85" s="87">
        <f t="shared" si="9"/>
        <v>2.4137931034482758</v>
      </c>
      <c r="L85" s="87">
        <f t="shared" si="10"/>
        <v>2.4014778325123154</v>
      </c>
      <c r="M85" s="87">
        <f t="shared" si="11"/>
        <v>0.21921182266009853</v>
      </c>
      <c r="N85" s="87">
        <f t="shared" si="12"/>
        <v>2.2536945812807883</v>
      </c>
      <c r="O85" s="87">
        <f t="shared" si="13"/>
        <v>7.4950738916256165</v>
      </c>
    </row>
    <row r="86" spans="1:15" x14ac:dyDescent="0.3">
      <c r="A86" t="s">
        <v>45</v>
      </c>
      <c r="B86" t="s">
        <v>787</v>
      </c>
      <c r="C86" s="16" t="s">
        <v>272</v>
      </c>
      <c r="D86" s="16">
        <v>3</v>
      </c>
      <c r="E86" t="s">
        <v>1526</v>
      </c>
      <c r="F86" t="s">
        <v>1546</v>
      </c>
      <c r="G86" t="s">
        <v>1567</v>
      </c>
      <c r="H86" t="s">
        <v>345</v>
      </c>
      <c r="I86" s="87">
        <f t="shared" si="7"/>
        <v>2.9556650246305424E-2</v>
      </c>
      <c r="J86" s="87">
        <f t="shared" si="8"/>
        <v>0.17733990147783252</v>
      </c>
      <c r="K86" s="87">
        <f t="shared" si="9"/>
        <v>2.4137931034482758</v>
      </c>
      <c r="L86" s="87">
        <f t="shared" si="10"/>
        <v>2.4014778325123154</v>
      </c>
      <c r="M86" s="87">
        <f t="shared" si="11"/>
        <v>0.21921182266009853</v>
      </c>
      <c r="N86" s="87">
        <f t="shared" si="12"/>
        <v>2.2536945812807883</v>
      </c>
      <c r="O86" s="87">
        <f t="shared" si="13"/>
        <v>7.4950738916256165</v>
      </c>
    </row>
    <row r="87" spans="1:15" x14ac:dyDescent="0.3">
      <c r="A87" t="s">
        <v>45</v>
      </c>
      <c r="B87" t="s">
        <v>788</v>
      </c>
      <c r="C87" s="16" t="s">
        <v>272</v>
      </c>
      <c r="D87" s="16">
        <v>3</v>
      </c>
      <c r="E87" t="s">
        <v>1526</v>
      </c>
      <c r="F87" t="s">
        <v>1546</v>
      </c>
      <c r="G87" t="s">
        <v>1567</v>
      </c>
      <c r="H87" t="s">
        <v>345</v>
      </c>
      <c r="I87" s="87">
        <f t="shared" si="7"/>
        <v>2.9556650246305424E-2</v>
      </c>
      <c r="J87" s="87">
        <f t="shared" si="8"/>
        <v>0.17733990147783252</v>
      </c>
      <c r="K87" s="87">
        <f t="shared" si="9"/>
        <v>2.4137931034482758</v>
      </c>
      <c r="L87" s="87">
        <f t="shared" si="10"/>
        <v>2.4014778325123154</v>
      </c>
      <c r="M87" s="87">
        <f t="shared" si="11"/>
        <v>0.21921182266009853</v>
      </c>
      <c r="N87" s="87">
        <f t="shared" si="12"/>
        <v>2.2536945812807883</v>
      </c>
      <c r="O87" s="87">
        <f t="shared" si="13"/>
        <v>7.4950738916256165</v>
      </c>
    </row>
    <row r="88" spans="1:15" x14ac:dyDescent="0.3">
      <c r="A88" t="s">
        <v>45</v>
      </c>
      <c r="B88" t="s">
        <v>789</v>
      </c>
      <c r="C88" s="16" t="s">
        <v>272</v>
      </c>
      <c r="D88" s="16">
        <v>3</v>
      </c>
      <c r="E88" t="s">
        <v>1526</v>
      </c>
      <c r="F88" t="s">
        <v>1546</v>
      </c>
      <c r="G88" t="s">
        <v>1567</v>
      </c>
      <c r="H88" t="s">
        <v>1574</v>
      </c>
      <c r="I88" s="87">
        <f t="shared" si="7"/>
        <v>2.9556650246305424E-2</v>
      </c>
      <c r="J88" s="87">
        <f t="shared" si="8"/>
        <v>0.17733990147783252</v>
      </c>
      <c r="K88" s="87">
        <f t="shared" si="9"/>
        <v>2.4137931034482758</v>
      </c>
      <c r="L88" s="87">
        <f t="shared" si="10"/>
        <v>2.4014778325123154</v>
      </c>
      <c r="M88" s="87">
        <f t="shared" si="11"/>
        <v>0.21921182266009853</v>
      </c>
      <c r="N88" s="87">
        <f t="shared" si="12"/>
        <v>2.3522167487684729</v>
      </c>
      <c r="O88" s="87">
        <f t="shared" si="13"/>
        <v>7.5935960591133007</v>
      </c>
    </row>
    <row r="89" spans="1:15" x14ac:dyDescent="0.3">
      <c r="A89" t="s">
        <v>45</v>
      </c>
      <c r="B89" t="s">
        <v>790</v>
      </c>
      <c r="C89" s="16" t="s">
        <v>272</v>
      </c>
      <c r="D89" s="16">
        <v>3</v>
      </c>
      <c r="E89" t="s">
        <v>1526</v>
      </c>
      <c r="F89" t="s">
        <v>1546</v>
      </c>
      <c r="G89" t="s">
        <v>1567</v>
      </c>
      <c r="H89" t="s">
        <v>345</v>
      </c>
      <c r="I89" s="87">
        <f t="shared" si="7"/>
        <v>2.9556650246305424E-2</v>
      </c>
      <c r="J89" s="87">
        <f t="shared" si="8"/>
        <v>0.17733990147783252</v>
      </c>
      <c r="K89" s="87">
        <f t="shared" si="9"/>
        <v>2.4137931034482758</v>
      </c>
      <c r="L89" s="87">
        <f t="shared" si="10"/>
        <v>2.4014778325123154</v>
      </c>
      <c r="M89" s="87">
        <f t="shared" si="11"/>
        <v>0.21921182266009853</v>
      </c>
      <c r="N89" s="87">
        <f t="shared" si="12"/>
        <v>2.2536945812807883</v>
      </c>
      <c r="O89" s="87">
        <f t="shared" si="13"/>
        <v>7.4950738916256165</v>
      </c>
    </row>
    <row r="90" spans="1:15" x14ac:dyDescent="0.3">
      <c r="A90" t="s">
        <v>45</v>
      </c>
      <c r="B90" t="s">
        <v>791</v>
      </c>
      <c r="C90" s="16" t="s">
        <v>272</v>
      </c>
      <c r="D90" s="16">
        <v>3</v>
      </c>
      <c r="E90" t="s">
        <v>1526</v>
      </c>
      <c r="F90" t="s">
        <v>1546</v>
      </c>
      <c r="G90" t="s">
        <v>1567</v>
      </c>
      <c r="H90" t="s">
        <v>1622</v>
      </c>
      <c r="I90" s="87">
        <f t="shared" si="7"/>
        <v>2.9556650246305424E-2</v>
      </c>
      <c r="J90" s="87">
        <f t="shared" si="8"/>
        <v>0.17733990147783252</v>
      </c>
      <c r="K90" s="87">
        <f t="shared" si="9"/>
        <v>2.4137931034482758</v>
      </c>
      <c r="L90" s="87">
        <f t="shared" si="10"/>
        <v>2.4014778325123154</v>
      </c>
      <c r="M90" s="87">
        <f t="shared" si="11"/>
        <v>0.21921182266009853</v>
      </c>
      <c r="N90" s="87">
        <f t="shared" si="12"/>
        <v>2.4507389162561575</v>
      </c>
      <c r="O90" s="87">
        <f t="shared" si="13"/>
        <v>7.6921182266009858</v>
      </c>
    </row>
    <row r="91" spans="1:15" x14ac:dyDescent="0.3">
      <c r="A91" t="s">
        <v>45</v>
      </c>
      <c r="B91" t="s">
        <v>792</v>
      </c>
      <c r="C91" s="16" t="s">
        <v>272</v>
      </c>
      <c r="D91" s="16">
        <v>3</v>
      </c>
      <c r="E91" t="s">
        <v>1526</v>
      </c>
      <c r="F91" t="s">
        <v>1546</v>
      </c>
      <c r="G91" t="s">
        <v>1567</v>
      </c>
      <c r="H91" t="s">
        <v>345</v>
      </c>
      <c r="I91" s="87">
        <f t="shared" si="7"/>
        <v>2.9556650246305424E-2</v>
      </c>
      <c r="J91" s="87">
        <f t="shared" si="8"/>
        <v>0.17733990147783252</v>
      </c>
      <c r="K91" s="87">
        <f t="shared" si="9"/>
        <v>2.4137931034482758</v>
      </c>
      <c r="L91" s="87">
        <f t="shared" si="10"/>
        <v>2.4014778325123154</v>
      </c>
      <c r="M91" s="87">
        <f t="shared" si="11"/>
        <v>0.21921182266009853</v>
      </c>
      <c r="N91" s="87">
        <f t="shared" si="12"/>
        <v>2.2536945812807883</v>
      </c>
      <c r="O91" s="87">
        <f t="shared" si="13"/>
        <v>7.4950738916256165</v>
      </c>
    </row>
    <row r="92" spans="1:15" x14ac:dyDescent="0.3">
      <c r="A92" t="s">
        <v>45</v>
      </c>
      <c r="B92" t="s">
        <v>793</v>
      </c>
      <c r="C92" s="16" t="s">
        <v>272</v>
      </c>
      <c r="D92" s="16">
        <v>3</v>
      </c>
      <c r="E92" t="s">
        <v>1526</v>
      </c>
      <c r="F92" t="s">
        <v>1546</v>
      </c>
      <c r="G92" t="s">
        <v>1567</v>
      </c>
      <c r="H92" t="s">
        <v>345</v>
      </c>
      <c r="I92" s="87">
        <f t="shared" si="7"/>
        <v>2.9556650246305424E-2</v>
      </c>
      <c r="J92" s="87">
        <f t="shared" si="8"/>
        <v>0.17733990147783252</v>
      </c>
      <c r="K92" s="87">
        <f t="shared" si="9"/>
        <v>2.4137931034482758</v>
      </c>
      <c r="L92" s="87">
        <f t="shared" si="10"/>
        <v>2.4014778325123154</v>
      </c>
      <c r="M92" s="87">
        <f t="shared" si="11"/>
        <v>0.21921182266009853</v>
      </c>
      <c r="N92" s="87">
        <f t="shared" si="12"/>
        <v>2.2536945812807883</v>
      </c>
      <c r="O92" s="87">
        <f t="shared" si="13"/>
        <v>7.4950738916256165</v>
      </c>
    </row>
    <row r="93" spans="1:15" x14ac:dyDescent="0.3">
      <c r="A93" t="s">
        <v>45</v>
      </c>
      <c r="B93" t="s">
        <v>794</v>
      </c>
      <c r="C93" s="16" t="s">
        <v>272</v>
      </c>
      <c r="D93" s="16">
        <v>3</v>
      </c>
      <c r="E93" t="s">
        <v>1526</v>
      </c>
      <c r="F93" t="s">
        <v>1546</v>
      </c>
      <c r="G93" t="s">
        <v>1567</v>
      </c>
      <c r="H93" t="s">
        <v>345</v>
      </c>
      <c r="I93" s="87">
        <f t="shared" si="7"/>
        <v>2.9556650246305424E-2</v>
      </c>
      <c r="J93" s="87">
        <f t="shared" si="8"/>
        <v>0.17733990147783252</v>
      </c>
      <c r="K93" s="87">
        <f t="shared" si="9"/>
        <v>2.4137931034482758</v>
      </c>
      <c r="L93" s="87">
        <f t="shared" si="10"/>
        <v>2.4014778325123154</v>
      </c>
      <c r="M93" s="87">
        <f t="shared" si="11"/>
        <v>0.21921182266009853</v>
      </c>
      <c r="N93" s="87">
        <f t="shared" si="12"/>
        <v>2.2536945812807883</v>
      </c>
      <c r="O93" s="87">
        <f t="shared" si="13"/>
        <v>7.4950738916256165</v>
      </c>
    </row>
    <row r="94" spans="1:15" x14ac:dyDescent="0.3">
      <c r="A94" t="s">
        <v>45</v>
      </c>
      <c r="B94" t="s">
        <v>795</v>
      </c>
      <c r="C94" s="16" t="s">
        <v>272</v>
      </c>
      <c r="D94" s="16">
        <v>3</v>
      </c>
      <c r="E94" t="s">
        <v>1526</v>
      </c>
      <c r="F94" t="s">
        <v>1546</v>
      </c>
      <c r="G94" t="s">
        <v>1567</v>
      </c>
      <c r="H94" t="s">
        <v>345</v>
      </c>
      <c r="I94" s="87">
        <f t="shared" si="7"/>
        <v>2.9556650246305424E-2</v>
      </c>
      <c r="J94" s="87">
        <f t="shared" si="8"/>
        <v>0.17733990147783252</v>
      </c>
      <c r="K94" s="87">
        <f t="shared" si="9"/>
        <v>2.4137931034482758</v>
      </c>
      <c r="L94" s="87">
        <f t="shared" si="10"/>
        <v>2.4014778325123154</v>
      </c>
      <c r="M94" s="87">
        <f t="shared" si="11"/>
        <v>0.21921182266009853</v>
      </c>
      <c r="N94" s="87">
        <f t="shared" si="12"/>
        <v>2.2536945812807883</v>
      </c>
      <c r="O94" s="87">
        <f t="shared" si="13"/>
        <v>7.4950738916256165</v>
      </c>
    </row>
    <row r="95" spans="1:15" x14ac:dyDescent="0.3">
      <c r="A95" t="s">
        <v>45</v>
      </c>
      <c r="B95" t="s">
        <v>796</v>
      </c>
      <c r="C95" s="16" t="s">
        <v>272</v>
      </c>
      <c r="D95" s="16">
        <v>3</v>
      </c>
      <c r="E95" t="s">
        <v>1526</v>
      </c>
      <c r="F95" t="s">
        <v>1546</v>
      </c>
      <c r="G95" t="s">
        <v>1567</v>
      </c>
      <c r="H95" t="s">
        <v>345</v>
      </c>
      <c r="I95" s="87">
        <f t="shared" si="7"/>
        <v>2.9556650246305424E-2</v>
      </c>
      <c r="J95" s="87">
        <f t="shared" si="8"/>
        <v>0.17733990147783252</v>
      </c>
      <c r="K95" s="87">
        <f t="shared" si="9"/>
        <v>2.4137931034482758</v>
      </c>
      <c r="L95" s="87">
        <f t="shared" si="10"/>
        <v>2.4014778325123154</v>
      </c>
      <c r="M95" s="87">
        <f t="shared" si="11"/>
        <v>0.21921182266009853</v>
      </c>
      <c r="N95" s="87">
        <f t="shared" si="12"/>
        <v>2.2536945812807883</v>
      </c>
      <c r="O95" s="87">
        <f t="shared" si="13"/>
        <v>7.4950738916256165</v>
      </c>
    </row>
    <row r="96" spans="1:15" x14ac:dyDescent="0.3">
      <c r="A96" t="s">
        <v>45</v>
      </c>
      <c r="B96" t="s">
        <v>797</v>
      </c>
      <c r="C96" s="16" t="s">
        <v>272</v>
      </c>
      <c r="D96" s="16">
        <v>3</v>
      </c>
      <c r="E96" t="s">
        <v>1526</v>
      </c>
      <c r="F96" t="s">
        <v>1546</v>
      </c>
      <c r="G96" t="s">
        <v>1567</v>
      </c>
      <c r="H96" t="s">
        <v>345</v>
      </c>
      <c r="I96" s="87">
        <f t="shared" si="7"/>
        <v>2.9556650246305424E-2</v>
      </c>
      <c r="J96" s="87">
        <f t="shared" si="8"/>
        <v>0.17733990147783252</v>
      </c>
      <c r="K96" s="87">
        <f t="shared" si="9"/>
        <v>2.4137931034482758</v>
      </c>
      <c r="L96" s="87">
        <f t="shared" si="10"/>
        <v>2.4014778325123154</v>
      </c>
      <c r="M96" s="87">
        <f t="shared" si="11"/>
        <v>0.21921182266009853</v>
      </c>
      <c r="N96" s="87">
        <f t="shared" si="12"/>
        <v>2.2536945812807883</v>
      </c>
      <c r="O96" s="87">
        <f t="shared" si="13"/>
        <v>7.4950738916256165</v>
      </c>
    </row>
    <row r="97" spans="1:15" x14ac:dyDescent="0.3">
      <c r="A97" t="s">
        <v>45</v>
      </c>
      <c r="B97" t="s">
        <v>798</v>
      </c>
      <c r="C97" s="16" t="s">
        <v>272</v>
      </c>
      <c r="D97" s="16">
        <v>3</v>
      </c>
      <c r="E97" t="s">
        <v>1526</v>
      </c>
      <c r="F97" t="s">
        <v>1658</v>
      </c>
      <c r="G97" t="s">
        <v>1567</v>
      </c>
      <c r="H97" t="s">
        <v>345</v>
      </c>
      <c r="I97" s="87">
        <f t="shared" si="7"/>
        <v>2.9556650246305424E-2</v>
      </c>
      <c r="J97" s="87">
        <f t="shared" si="8"/>
        <v>0.17733990147783252</v>
      </c>
      <c r="K97" s="87">
        <f t="shared" si="9"/>
        <v>2.4137931034482758</v>
      </c>
      <c r="L97" s="87">
        <f t="shared" si="10"/>
        <v>2.5</v>
      </c>
      <c r="M97" s="87">
        <f t="shared" si="11"/>
        <v>0.21921182266009853</v>
      </c>
      <c r="N97" s="87">
        <f t="shared" si="12"/>
        <v>2.2536945812807883</v>
      </c>
      <c r="O97" s="87">
        <f t="shared" si="13"/>
        <v>7.5935960591133007</v>
      </c>
    </row>
    <row r="98" spans="1:15" x14ac:dyDescent="0.3">
      <c r="A98" t="s">
        <v>45</v>
      </c>
      <c r="B98" t="s">
        <v>799</v>
      </c>
      <c r="C98" s="16" t="s">
        <v>272</v>
      </c>
      <c r="D98" s="16">
        <v>3</v>
      </c>
      <c r="E98" t="s">
        <v>1526</v>
      </c>
      <c r="F98" t="s">
        <v>1546</v>
      </c>
      <c r="G98" t="s">
        <v>1567</v>
      </c>
      <c r="H98" t="s">
        <v>345</v>
      </c>
      <c r="I98" s="87">
        <f t="shared" si="7"/>
        <v>2.9556650246305424E-2</v>
      </c>
      <c r="J98" s="87">
        <f t="shared" si="8"/>
        <v>0.17733990147783252</v>
      </c>
      <c r="K98" s="87">
        <f t="shared" si="9"/>
        <v>2.4137931034482758</v>
      </c>
      <c r="L98" s="87">
        <f t="shared" si="10"/>
        <v>2.4014778325123154</v>
      </c>
      <c r="M98" s="87">
        <f t="shared" si="11"/>
        <v>0.21921182266009853</v>
      </c>
      <c r="N98" s="87">
        <f t="shared" si="12"/>
        <v>2.2536945812807883</v>
      </c>
      <c r="O98" s="87">
        <f t="shared" si="13"/>
        <v>7.4950738916256165</v>
      </c>
    </row>
    <row r="99" spans="1:15" x14ac:dyDescent="0.3">
      <c r="A99" t="s">
        <v>45</v>
      </c>
      <c r="B99" t="s">
        <v>800</v>
      </c>
      <c r="C99" s="16" t="s">
        <v>272</v>
      </c>
      <c r="D99" s="16">
        <v>3</v>
      </c>
      <c r="E99" t="s">
        <v>1526</v>
      </c>
      <c r="F99" t="s">
        <v>1546</v>
      </c>
      <c r="G99" t="s">
        <v>1567</v>
      </c>
      <c r="H99" t="s">
        <v>345</v>
      </c>
      <c r="I99" s="87">
        <f t="shared" si="7"/>
        <v>2.9556650246305424E-2</v>
      </c>
      <c r="J99" s="87">
        <f t="shared" si="8"/>
        <v>0.17733990147783252</v>
      </c>
      <c r="K99" s="87">
        <f t="shared" si="9"/>
        <v>2.4137931034482758</v>
      </c>
      <c r="L99" s="87">
        <f t="shared" si="10"/>
        <v>2.4014778325123154</v>
      </c>
      <c r="M99" s="87">
        <f t="shared" si="11"/>
        <v>0.21921182266009853</v>
      </c>
      <c r="N99" s="87">
        <f t="shared" si="12"/>
        <v>2.2536945812807883</v>
      </c>
      <c r="O99" s="87">
        <f t="shared" si="13"/>
        <v>7.4950738916256165</v>
      </c>
    </row>
    <row r="100" spans="1:15" x14ac:dyDescent="0.3">
      <c r="A100" t="s">
        <v>45</v>
      </c>
      <c r="B100" t="s">
        <v>801</v>
      </c>
      <c r="C100" s="16" t="s">
        <v>272</v>
      </c>
      <c r="D100" s="16">
        <v>3</v>
      </c>
      <c r="E100" t="s">
        <v>1526</v>
      </c>
      <c r="F100" t="s">
        <v>1546</v>
      </c>
      <c r="G100" t="s">
        <v>1567</v>
      </c>
      <c r="H100" t="s">
        <v>345</v>
      </c>
      <c r="I100" s="87">
        <f t="shared" si="7"/>
        <v>2.9556650246305424E-2</v>
      </c>
      <c r="J100" s="87">
        <f t="shared" si="8"/>
        <v>0.17733990147783252</v>
      </c>
      <c r="K100" s="87">
        <f t="shared" si="9"/>
        <v>2.4137931034482758</v>
      </c>
      <c r="L100" s="87">
        <f t="shared" si="10"/>
        <v>2.4014778325123154</v>
      </c>
      <c r="M100" s="87">
        <f t="shared" si="11"/>
        <v>0.21921182266009853</v>
      </c>
      <c r="N100" s="87">
        <f t="shared" si="12"/>
        <v>2.2536945812807883</v>
      </c>
      <c r="O100" s="87">
        <f t="shared" si="13"/>
        <v>7.4950738916256165</v>
      </c>
    </row>
    <row r="101" spans="1:15" x14ac:dyDescent="0.3">
      <c r="A101" t="s">
        <v>45</v>
      </c>
      <c r="B101" t="s">
        <v>802</v>
      </c>
      <c r="C101" s="16" t="s">
        <v>273</v>
      </c>
      <c r="D101" s="16">
        <v>2</v>
      </c>
      <c r="E101" t="s">
        <v>1525</v>
      </c>
      <c r="F101" t="s">
        <v>273</v>
      </c>
      <c r="G101" t="s">
        <v>1567</v>
      </c>
      <c r="H101" t="s">
        <v>344</v>
      </c>
      <c r="I101" s="87">
        <f t="shared" si="7"/>
        <v>0.97044334975369473</v>
      </c>
      <c r="J101" s="87">
        <f t="shared" si="8"/>
        <v>0.82266009852216748</v>
      </c>
      <c r="K101" s="87">
        <f t="shared" si="9"/>
        <v>2.3522167487684729</v>
      </c>
      <c r="L101" s="87">
        <f t="shared" si="10"/>
        <v>2.4753694581280787</v>
      </c>
      <c r="M101" s="87">
        <f t="shared" si="11"/>
        <v>0.21921182266009853</v>
      </c>
      <c r="N101" s="87">
        <f t="shared" si="12"/>
        <v>1.2438423645320198</v>
      </c>
      <c r="O101" s="87">
        <f t="shared" si="13"/>
        <v>8.083743842364532</v>
      </c>
    </row>
    <row r="102" spans="1:15" x14ac:dyDescent="0.3">
      <c r="A102" t="s">
        <v>45</v>
      </c>
      <c r="B102" t="s">
        <v>803</v>
      </c>
      <c r="C102" s="16" t="s">
        <v>273</v>
      </c>
      <c r="D102" s="16">
        <v>2</v>
      </c>
      <c r="E102" t="s">
        <v>1525</v>
      </c>
      <c r="F102" t="s">
        <v>273</v>
      </c>
      <c r="G102" t="s">
        <v>1567</v>
      </c>
      <c r="H102" t="s">
        <v>344</v>
      </c>
      <c r="I102" s="87">
        <f t="shared" si="7"/>
        <v>0.97044334975369473</v>
      </c>
      <c r="J102" s="87">
        <f t="shared" si="8"/>
        <v>0.82266009852216748</v>
      </c>
      <c r="K102" s="87">
        <f t="shared" si="9"/>
        <v>2.3522167487684729</v>
      </c>
      <c r="L102" s="87">
        <f t="shared" si="10"/>
        <v>2.4753694581280787</v>
      </c>
      <c r="M102" s="87">
        <f t="shared" si="11"/>
        <v>0.21921182266009853</v>
      </c>
      <c r="N102" s="87">
        <f t="shared" si="12"/>
        <v>1.2438423645320198</v>
      </c>
      <c r="O102" s="87">
        <f t="shared" si="13"/>
        <v>8.083743842364532</v>
      </c>
    </row>
    <row r="103" spans="1:15" x14ac:dyDescent="0.3">
      <c r="A103" t="s">
        <v>45</v>
      </c>
      <c r="B103" t="s">
        <v>804</v>
      </c>
      <c r="C103" s="16" t="s">
        <v>272</v>
      </c>
      <c r="D103" s="16">
        <v>3</v>
      </c>
      <c r="E103" t="s">
        <v>1524</v>
      </c>
      <c r="F103" t="s">
        <v>282</v>
      </c>
      <c r="G103" t="s">
        <v>1567</v>
      </c>
      <c r="H103" t="s">
        <v>344</v>
      </c>
      <c r="I103" s="87">
        <f t="shared" si="7"/>
        <v>2.9556650246305424E-2</v>
      </c>
      <c r="J103" s="87">
        <f t="shared" si="8"/>
        <v>0.17733990147783252</v>
      </c>
      <c r="K103" s="87">
        <f t="shared" si="9"/>
        <v>0.25862068965517243</v>
      </c>
      <c r="L103" s="87">
        <f t="shared" si="10"/>
        <v>1.5024630541871922</v>
      </c>
      <c r="M103" s="87">
        <f t="shared" si="11"/>
        <v>0.21921182266009853</v>
      </c>
      <c r="N103" s="87">
        <f t="shared" si="12"/>
        <v>1.2438423645320198</v>
      </c>
      <c r="O103" s="87">
        <f t="shared" si="13"/>
        <v>3.431034482758621</v>
      </c>
    </row>
    <row r="104" spans="1:15" x14ac:dyDescent="0.3">
      <c r="A104" t="s">
        <v>45</v>
      </c>
      <c r="B104" t="s">
        <v>805</v>
      </c>
      <c r="C104" s="16" t="s">
        <v>272</v>
      </c>
      <c r="D104" s="16">
        <v>2</v>
      </c>
      <c r="E104" t="s">
        <v>1524</v>
      </c>
      <c r="F104" t="s">
        <v>282</v>
      </c>
      <c r="G104" t="s">
        <v>341</v>
      </c>
      <c r="H104" t="s">
        <v>344</v>
      </c>
      <c r="I104" s="87">
        <f t="shared" si="7"/>
        <v>2.9556650246305424E-2</v>
      </c>
      <c r="J104" s="87">
        <f t="shared" si="8"/>
        <v>0.82266009852216748</v>
      </c>
      <c r="K104" s="87">
        <f t="shared" si="9"/>
        <v>0.25862068965517243</v>
      </c>
      <c r="L104" s="87">
        <f t="shared" si="10"/>
        <v>1.5024630541871922</v>
      </c>
      <c r="M104" s="87">
        <f t="shared" si="11"/>
        <v>0.4605911330049261</v>
      </c>
      <c r="N104" s="87">
        <f t="shared" si="12"/>
        <v>1.2438423645320198</v>
      </c>
      <c r="O104" s="87">
        <f t="shared" si="13"/>
        <v>4.3177339901477829</v>
      </c>
    </row>
    <row r="105" spans="1:15" x14ac:dyDescent="0.3">
      <c r="A105" t="s">
        <v>45</v>
      </c>
      <c r="B105" t="s">
        <v>806</v>
      </c>
      <c r="C105" s="16" t="s">
        <v>272</v>
      </c>
      <c r="D105" s="16">
        <v>2</v>
      </c>
      <c r="E105" t="s">
        <v>1524</v>
      </c>
      <c r="F105" t="s">
        <v>282</v>
      </c>
      <c r="G105" t="s">
        <v>341</v>
      </c>
      <c r="H105" t="s">
        <v>344</v>
      </c>
      <c r="I105" s="87">
        <f t="shared" si="7"/>
        <v>2.9556650246305424E-2</v>
      </c>
      <c r="J105" s="87">
        <f t="shared" si="8"/>
        <v>0.82266009852216748</v>
      </c>
      <c r="K105" s="87">
        <f t="shared" si="9"/>
        <v>0.25862068965517243</v>
      </c>
      <c r="L105" s="87">
        <f t="shared" si="10"/>
        <v>1.5024630541871922</v>
      </c>
      <c r="M105" s="87">
        <f t="shared" si="11"/>
        <v>0.4605911330049261</v>
      </c>
      <c r="N105" s="87">
        <f t="shared" si="12"/>
        <v>1.2438423645320198</v>
      </c>
      <c r="O105" s="87">
        <f t="shared" si="13"/>
        <v>4.3177339901477829</v>
      </c>
    </row>
    <row r="106" spans="1:15" x14ac:dyDescent="0.3">
      <c r="A106" t="s">
        <v>45</v>
      </c>
      <c r="B106" t="s">
        <v>807</v>
      </c>
      <c r="C106" s="16" t="s">
        <v>272</v>
      </c>
      <c r="D106" s="16">
        <v>2</v>
      </c>
      <c r="E106" t="s">
        <v>1524</v>
      </c>
      <c r="F106" t="s">
        <v>282</v>
      </c>
      <c r="G106" t="s">
        <v>341</v>
      </c>
      <c r="H106" t="s">
        <v>344</v>
      </c>
      <c r="I106" s="87">
        <f t="shared" si="7"/>
        <v>2.9556650246305424E-2</v>
      </c>
      <c r="J106" s="87">
        <f t="shared" si="8"/>
        <v>0.82266009852216748</v>
      </c>
      <c r="K106" s="87">
        <f t="shared" si="9"/>
        <v>0.25862068965517243</v>
      </c>
      <c r="L106" s="87">
        <f t="shared" si="10"/>
        <v>1.5024630541871922</v>
      </c>
      <c r="M106" s="87">
        <f t="shared" si="11"/>
        <v>0.4605911330049261</v>
      </c>
      <c r="N106" s="87">
        <f t="shared" si="12"/>
        <v>1.2438423645320198</v>
      </c>
      <c r="O106" s="87">
        <f t="shared" si="13"/>
        <v>4.3177339901477829</v>
      </c>
    </row>
    <row r="107" spans="1:15" x14ac:dyDescent="0.3">
      <c r="A107" t="s">
        <v>45</v>
      </c>
      <c r="B107" t="s">
        <v>808</v>
      </c>
      <c r="C107" s="16" t="s">
        <v>273</v>
      </c>
      <c r="D107" s="16">
        <v>2</v>
      </c>
      <c r="E107" t="s">
        <v>1525</v>
      </c>
      <c r="F107" t="s">
        <v>273</v>
      </c>
      <c r="G107" t="s">
        <v>1567</v>
      </c>
      <c r="H107" t="s">
        <v>344</v>
      </c>
      <c r="I107" s="87">
        <f t="shared" si="7"/>
        <v>0.97044334975369473</v>
      </c>
      <c r="J107" s="87">
        <f t="shared" si="8"/>
        <v>0.82266009852216748</v>
      </c>
      <c r="K107" s="87">
        <f t="shared" si="9"/>
        <v>2.3522167487684729</v>
      </c>
      <c r="L107" s="87">
        <f t="shared" si="10"/>
        <v>2.4753694581280787</v>
      </c>
      <c r="M107" s="87">
        <f t="shared" si="11"/>
        <v>0.21921182266009853</v>
      </c>
      <c r="N107" s="87">
        <f t="shared" si="12"/>
        <v>1.2438423645320198</v>
      </c>
      <c r="O107" s="87">
        <f t="shared" si="13"/>
        <v>8.083743842364532</v>
      </c>
    </row>
    <row r="108" spans="1:15" x14ac:dyDescent="0.3">
      <c r="A108" t="s">
        <v>45</v>
      </c>
      <c r="B108" t="s">
        <v>809</v>
      </c>
      <c r="C108" s="16" t="s">
        <v>273</v>
      </c>
      <c r="D108" s="16">
        <v>2</v>
      </c>
      <c r="E108" t="s">
        <v>1525</v>
      </c>
      <c r="F108" t="s">
        <v>273</v>
      </c>
      <c r="G108" t="s">
        <v>1567</v>
      </c>
      <c r="H108" t="s">
        <v>344</v>
      </c>
      <c r="I108" s="87">
        <f t="shared" si="7"/>
        <v>0.97044334975369473</v>
      </c>
      <c r="J108" s="87">
        <f t="shared" si="8"/>
        <v>0.82266009852216748</v>
      </c>
      <c r="K108" s="87">
        <f t="shared" si="9"/>
        <v>2.3522167487684729</v>
      </c>
      <c r="L108" s="87">
        <f t="shared" si="10"/>
        <v>2.4753694581280787</v>
      </c>
      <c r="M108" s="87">
        <f t="shared" si="11"/>
        <v>0.21921182266009853</v>
      </c>
      <c r="N108" s="87">
        <f t="shared" si="12"/>
        <v>1.2438423645320198</v>
      </c>
      <c r="O108" s="87">
        <f t="shared" si="13"/>
        <v>8.083743842364532</v>
      </c>
    </row>
    <row r="109" spans="1:15" x14ac:dyDescent="0.3">
      <c r="A109" t="s">
        <v>45</v>
      </c>
      <c r="B109" t="s">
        <v>810</v>
      </c>
      <c r="C109" s="16" t="s">
        <v>272</v>
      </c>
      <c r="D109" s="16">
        <v>3</v>
      </c>
      <c r="E109" t="s">
        <v>1524</v>
      </c>
      <c r="F109" t="s">
        <v>282</v>
      </c>
      <c r="G109" t="s">
        <v>1568</v>
      </c>
      <c r="H109" t="s">
        <v>291</v>
      </c>
      <c r="I109" s="87">
        <f t="shared" si="7"/>
        <v>2.9556650246305424E-2</v>
      </c>
      <c r="J109" s="87">
        <f t="shared" si="8"/>
        <v>0.17733990147783252</v>
      </c>
      <c r="K109" s="87">
        <f t="shared" si="9"/>
        <v>0.25862068965517243</v>
      </c>
      <c r="L109" s="87">
        <f t="shared" si="10"/>
        <v>1.5024630541871922</v>
      </c>
      <c r="M109" s="87">
        <f t="shared" si="11"/>
        <v>0.4679802955665025</v>
      </c>
      <c r="N109" s="87">
        <f t="shared" si="12"/>
        <v>2.2906403940886699</v>
      </c>
      <c r="O109" s="87">
        <f t="shared" si="13"/>
        <v>4.7266009852216753</v>
      </c>
    </row>
    <row r="110" spans="1:15" x14ac:dyDescent="0.3">
      <c r="A110" t="s">
        <v>45</v>
      </c>
      <c r="B110" t="s">
        <v>811</v>
      </c>
      <c r="C110" s="16" t="s">
        <v>272</v>
      </c>
      <c r="D110" s="16">
        <v>3</v>
      </c>
      <c r="E110" t="s">
        <v>1524</v>
      </c>
      <c r="F110" t="s">
        <v>282</v>
      </c>
      <c r="G110" t="s">
        <v>1567</v>
      </c>
      <c r="H110" t="s">
        <v>345</v>
      </c>
      <c r="I110" s="87">
        <f t="shared" si="7"/>
        <v>2.9556650246305424E-2</v>
      </c>
      <c r="J110" s="87">
        <f t="shared" si="8"/>
        <v>0.17733990147783252</v>
      </c>
      <c r="K110" s="87">
        <f t="shared" si="9"/>
        <v>0.25862068965517243</v>
      </c>
      <c r="L110" s="87">
        <f t="shared" si="10"/>
        <v>1.5024630541871922</v>
      </c>
      <c r="M110" s="87">
        <f t="shared" si="11"/>
        <v>0.21921182266009853</v>
      </c>
      <c r="N110" s="87">
        <f t="shared" si="12"/>
        <v>2.2536945812807883</v>
      </c>
      <c r="O110" s="87">
        <f t="shared" si="13"/>
        <v>4.4408866995073897</v>
      </c>
    </row>
    <row r="111" spans="1:15" x14ac:dyDescent="0.3">
      <c r="A111" t="s">
        <v>45</v>
      </c>
      <c r="B111" t="s">
        <v>812</v>
      </c>
      <c r="C111" s="16" t="s">
        <v>272</v>
      </c>
      <c r="D111" s="16">
        <v>2</v>
      </c>
      <c r="E111" t="s">
        <v>1524</v>
      </c>
      <c r="F111" t="s">
        <v>282</v>
      </c>
      <c r="G111" t="s">
        <v>341</v>
      </c>
      <c r="H111" t="s">
        <v>345</v>
      </c>
      <c r="I111" s="87">
        <f t="shared" si="7"/>
        <v>2.9556650246305424E-2</v>
      </c>
      <c r="J111" s="87">
        <f t="shared" si="8"/>
        <v>0.82266009852216748</v>
      </c>
      <c r="K111" s="87">
        <f t="shared" si="9"/>
        <v>0.25862068965517243</v>
      </c>
      <c r="L111" s="87">
        <f t="shared" si="10"/>
        <v>1.5024630541871922</v>
      </c>
      <c r="M111" s="87">
        <f t="shared" si="11"/>
        <v>0.4605911330049261</v>
      </c>
      <c r="N111" s="87">
        <f t="shared" si="12"/>
        <v>2.2536945812807883</v>
      </c>
      <c r="O111" s="87">
        <f t="shared" si="13"/>
        <v>5.3275862068965516</v>
      </c>
    </row>
    <row r="112" spans="1:15" x14ac:dyDescent="0.3">
      <c r="A112" t="s">
        <v>45</v>
      </c>
      <c r="B112" t="s">
        <v>813</v>
      </c>
      <c r="C112" s="16" t="s">
        <v>272</v>
      </c>
      <c r="D112" s="16">
        <v>2</v>
      </c>
      <c r="E112" t="s">
        <v>1525</v>
      </c>
      <c r="F112" t="s">
        <v>273</v>
      </c>
      <c r="G112" t="s">
        <v>1567</v>
      </c>
      <c r="H112" t="s">
        <v>344</v>
      </c>
      <c r="I112" s="87">
        <f t="shared" si="7"/>
        <v>2.9556650246305424E-2</v>
      </c>
      <c r="J112" s="87">
        <f t="shared" si="8"/>
        <v>0.82266009852216748</v>
      </c>
      <c r="K112" s="87">
        <f t="shared" si="9"/>
        <v>2.3522167487684729</v>
      </c>
      <c r="L112" s="87">
        <f t="shared" si="10"/>
        <v>2.4753694581280787</v>
      </c>
      <c r="M112" s="87">
        <f t="shared" si="11"/>
        <v>0.21921182266009853</v>
      </c>
      <c r="N112" s="87">
        <f t="shared" si="12"/>
        <v>1.2438423645320198</v>
      </c>
      <c r="O112" s="87">
        <f t="shared" si="13"/>
        <v>7.1428571428571432</v>
      </c>
    </row>
    <row r="113" spans="1:15" x14ac:dyDescent="0.3">
      <c r="A113" t="s">
        <v>45</v>
      </c>
      <c r="B113" t="s">
        <v>814</v>
      </c>
      <c r="C113" s="16" t="s">
        <v>272</v>
      </c>
      <c r="D113" s="16">
        <v>3</v>
      </c>
      <c r="E113" t="s">
        <v>1524</v>
      </c>
      <c r="F113" t="s">
        <v>282</v>
      </c>
      <c r="G113" t="s">
        <v>1567</v>
      </c>
      <c r="H113" t="s">
        <v>345</v>
      </c>
      <c r="I113" s="87">
        <f t="shared" si="7"/>
        <v>2.9556650246305424E-2</v>
      </c>
      <c r="J113" s="87">
        <f t="shared" si="8"/>
        <v>0.17733990147783252</v>
      </c>
      <c r="K113" s="87">
        <f t="shared" si="9"/>
        <v>0.25862068965517243</v>
      </c>
      <c r="L113" s="87">
        <f t="shared" si="10"/>
        <v>1.5024630541871922</v>
      </c>
      <c r="M113" s="87">
        <f t="shared" si="11"/>
        <v>0.21921182266009853</v>
      </c>
      <c r="N113" s="87">
        <f t="shared" si="12"/>
        <v>2.2536945812807883</v>
      </c>
      <c r="O113" s="87">
        <f t="shared" si="13"/>
        <v>4.4408866995073897</v>
      </c>
    </row>
    <row r="114" spans="1:15" x14ac:dyDescent="0.3">
      <c r="A114" t="s">
        <v>45</v>
      </c>
      <c r="B114" t="s">
        <v>815</v>
      </c>
      <c r="C114" s="16" t="s">
        <v>272</v>
      </c>
      <c r="D114" s="16">
        <v>3</v>
      </c>
      <c r="E114" t="s">
        <v>1524</v>
      </c>
      <c r="F114" t="s">
        <v>1658</v>
      </c>
      <c r="G114" t="s">
        <v>1567</v>
      </c>
      <c r="H114" t="s">
        <v>1570</v>
      </c>
      <c r="I114" s="87">
        <f t="shared" si="7"/>
        <v>2.9556650246305424E-2</v>
      </c>
      <c r="J114" s="87">
        <f t="shared" si="8"/>
        <v>0.17733990147783252</v>
      </c>
      <c r="K114" s="87">
        <f t="shared" si="9"/>
        <v>0.25862068965517243</v>
      </c>
      <c r="L114" s="87">
        <f t="shared" si="10"/>
        <v>2.5</v>
      </c>
      <c r="M114" s="87">
        <f t="shared" si="11"/>
        <v>0.21921182266009853</v>
      </c>
      <c r="N114" s="87">
        <f t="shared" si="12"/>
        <v>2.3645320197044337</v>
      </c>
      <c r="O114" s="87">
        <f t="shared" si="13"/>
        <v>5.5492610837438434</v>
      </c>
    </row>
    <row r="115" spans="1:15" x14ac:dyDescent="0.3">
      <c r="A115" t="s">
        <v>45</v>
      </c>
      <c r="B115" t="s">
        <v>816</v>
      </c>
      <c r="C115" s="16" t="s">
        <v>272</v>
      </c>
      <c r="D115" s="16">
        <v>3</v>
      </c>
      <c r="E115" t="s">
        <v>1524</v>
      </c>
      <c r="F115" t="s">
        <v>1658</v>
      </c>
      <c r="G115" t="s">
        <v>1567</v>
      </c>
      <c r="H115" t="s">
        <v>1570</v>
      </c>
      <c r="I115" s="87">
        <f t="shared" si="7"/>
        <v>2.9556650246305424E-2</v>
      </c>
      <c r="J115" s="87">
        <f t="shared" si="8"/>
        <v>0.17733990147783252</v>
      </c>
      <c r="K115" s="87">
        <f t="shared" si="9"/>
        <v>0.25862068965517243</v>
      </c>
      <c r="L115" s="87">
        <f t="shared" si="10"/>
        <v>2.5</v>
      </c>
      <c r="M115" s="87">
        <f t="shared" si="11"/>
        <v>0.21921182266009853</v>
      </c>
      <c r="N115" s="87">
        <f t="shared" si="12"/>
        <v>2.3645320197044337</v>
      </c>
      <c r="O115" s="87">
        <f t="shared" si="13"/>
        <v>5.5492610837438434</v>
      </c>
    </row>
    <row r="116" spans="1:15" x14ac:dyDescent="0.3">
      <c r="A116" t="s">
        <v>45</v>
      </c>
      <c r="B116" t="s">
        <v>817</v>
      </c>
      <c r="C116" s="16" t="s">
        <v>272</v>
      </c>
      <c r="D116" s="16">
        <v>2</v>
      </c>
      <c r="E116" t="s">
        <v>1524</v>
      </c>
      <c r="F116" t="s">
        <v>282</v>
      </c>
      <c r="G116" t="s">
        <v>341</v>
      </c>
      <c r="H116" t="s">
        <v>1622</v>
      </c>
      <c r="I116" s="87">
        <f t="shared" si="7"/>
        <v>2.9556650246305424E-2</v>
      </c>
      <c r="J116" s="87">
        <f t="shared" si="8"/>
        <v>0.82266009852216748</v>
      </c>
      <c r="K116" s="87">
        <f t="shared" si="9"/>
        <v>0.25862068965517243</v>
      </c>
      <c r="L116" s="87">
        <f t="shared" si="10"/>
        <v>1.5024630541871922</v>
      </c>
      <c r="M116" s="87">
        <f t="shared" si="11"/>
        <v>0.4605911330049261</v>
      </c>
      <c r="N116" s="87">
        <f t="shared" si="12"/>
        <v>2.4507389162561575</v>
      </c>
      <c r="O116" s="87">
        <f t="shared" si="13"/>
        <v>5.5246305418719208</v>
      </c>
    </row>
    <row r="117" spans="1:15" x14ac:dyDescent="0.3">
      <c r="A117" t="s">
        <v>45</v>
      </c>
      <c r="B117" t="s">
        <v>818</v>
      </c>
      <c r="C117" s="16" t="s">
        <v>272</v>
      </c>
      <c r="D117" s="16">
        <v>2</v>
      </c>
      <c r="E117" t="s">
        <v>1524</v>
      </c>
      <c r="F117" t="s">
        <v>282</v>
      </c>
      <c r="G117" t="s">
        <v>341</v>
      </c>
      <c r="H117" t="s">
        <v>1622</v>
      </c>
      <c r="I117" s="87">
        <f t="shared" si="7"/>
        <v>2.9556650246305424E-2</v>
      </c>
      <c r="J117" s="87">
        <f t="shared" si="8"/>
        <v>0.82266009852216748</v>
      </c>
      <c r="K117" s="87">
        <f t="shared" si="9"/>
        <v>0.25862068965517243</v>
      </c>
      <c r="L117" s="87">
        <f t="shared" si="10"/>
        <v>1.5024630541871922</v>
      </c>
      <c r="M117" s="87">
        <f t="shared" si="11"/>
        <v>0.4605911330049261</v>
      </c>
      <c r="N117" s="87">
        <f t="shared" si="12"/>
        <v>2.4507389162561575</v>
      </c>
      <c r="O117" s="87">
        <f t="shared" si="13"/>
        <v>5.5246305418719208</v>
      </c>
    </row>
    <row r="118" spans="1:15" x14ac:dyDescent="0.3">
      <c r="A118" t="s">
        <v>45</v>
      </c>
      <c r="B118" t="s">
        <v>819</v>
      </c>
      <c r="C118" s="16" t="s">
        <v>272</v>
      </c>
      <c r="D118" s="16">
        <v>3</v>
      </c>
      <c r="E118" t="s">
        <v>1524</v>
      </c>
      <c r="F118" t="s">
        <v>1658</v>
      </c>
      <c r="G118" t="s">
        <v>341</v>
      </c>
      <c r="H118" t="s">
        <v>344</v>
      </c>
      <c r="I118" s="87">
        <f t="shared" si="7"/>
        <v>2.9556650246305424E-2</v>
      </c>
      <c r="J118" s="87">
        <f t="shared" si="8"/>
        <v>0.17733990147783252</v>
      </c>
      <c r="K118" s="87">
        <f t="shared" si="9"/>
        <v>0.25862068965517243</v>
      </c>
      <c r="L118" s="87">
        <f t="shared" si="10"/>
        <v>2.5</v>
      </c>
      <c r="M118" s="87">
        <f t="shared" si="11"/>
        <v>0.4605911330049261</v>
      </c>
      <c r="N118" s="87">
        <f t="shared" si="12"/>
        <v>1.2438423645320198</v>
      </c>
      <c r="O118" s="87">
        <f t="shared" si="13"/>
        <v>4.6699507389162562</v>
      </c>
    </row>
    <row r="119" spans="1:15" x14ac:dyDescent="0.3">
      <c r="A119" t="s">
        <v>45</v>
      </c>
      <c r="B119" t="s">
        <v>820</v>
      </c>
      <c r="C119" s="16" t="s">
        <v>272</v>
      </c>
      <c r="D119" s="16">
        <v>3</v>
      </c>
      <c r="E119" t="s">
        <v>1526</v>
      </c>
      <c r="F119" t="s">
        <v>283</v>
      </c>
      <c r="G119" t="s">
        <v>1566</v>
      </c>
      <c r="H119" t="s">
        <v>1571</v>
      </c>
      <c r="I119" s="87">
        <f t="shared" si="7"/>
        <v>2.9556650246305424E-2</v>
      </c>
      <c r="J119" s="87">
        <f t="shared" si="8"/>
        <v>0.17733990147783252</v>
      </c>
      <c r="K119" s="87">
        <f t="shared" si="9"/>
        <v>2.4137931034482758</v>
      </c>
      <c r="L119" s="87">
        <f t="shared" si="10"/>
        <v>2.4876847290640396</v>
      </c>
      <c r="M119" s="87">
        <f t="shared" si="11"/>
        <v>0.38669950738916259</v>
      </c>
      <c r="N119" s="87">
        <f t="shared" si="12"/>
        <v>2.4630541871921183</v>
      </c>
      <c r="O119" s="87">
        <f t="shared" si="13"/>
        <v>7.9581280788177349</v>
      </c>
    </row>
    <row r="120" spans="1:15" x14ac:dyDescent="0.3">
      <c r="A120" t="s">
        <v>45</v>
      </c>
      <c r="B120" t="s">
        <v>821</v>
      </c>
      <c r="C120" s="16" t="s">
        <v>272</v>
      </c>
      <c r="D120" s="16">
        <v>3</v>
      </c>
      <c r="E120" t="s">
        <v>1524</v>
      </c>
      <c r="F120" t="s">
        <v>1658</v>
      </c>
      <c r="G120" t="s">
        <v>1567</v>
      </c>
      <c r="H120" t="s">
        <v>1570</v>
      </c>
      <c r="I120" s="87">
        <f t="shared" si="7"/>
        <v>2.9556650246305424E-2</v>
      </c>
      <c r="J120" s="87">
        <f t="shared" si="8"/>
        <v>0.17733990147783252</v>
      </c>
      <c r="K120" s="87">
        <f t="shared" si="9"/>
        <v>0.25862068965517243</v>
      </c>
      <c r="L120" s="87">
        <f t="shared" si="10"/>
        <v>2.5</v>
      </c>
      <c r="M120" s="87">
        <f t="shared" si="11"/>
        <v>0.21921182266009853</v>
      </c>
      <c r="N120" s="87">
        <f t="shared" si="12"/>
        <v>2.3645320197044337</v>
      </c>
      <c r="O120" s="87">
        <f t="shared" si="13"/>
        <v>5.5492610837438434</v>
      </c>
    </row>
    <row r="121" spans="1:15" x14ac:dyDescent="0.3">
      <c r="A121" t="s">
        <v>45</v>
      </c>
      <c r="B121" t="s">
        <v>822</v>
      </c>
      <c r="C121" s="16" t="s">
        <v>272</v>
      </c>
      <c r="D121" s="16">
        <v>3</v>
      </c>
      <c r="E121" t="s">
        <v>1526</v>
      </c>
      <c r="F121" t="s">
        <v>283</v>
      </c>
      <c r="G121" t="s">
        <v>1566</v>
      </c>
      <c r="H121" t="s">
        <v>1571</v>
      </c>
      <c r="I121" s="87">
        <f t="shared" si="7"/>
        <v>2.9556650246305424E-2</v>
      </c>
      <c r="J121" s="87">
        <f t="shared" si="8"/>
        <v>0.17733990147783252</v>
      </c>
      <c r="K121" s="87">
        <f t="shared" si="9"/>
        <v>2.4137931034482758</v>
      </c>
      <c r="L121" s="87">
        <f t="shared" si="10"/>
        <v>2.4876847290640396</v>
      </c>
      <c r="M121" s="87">
        <f t="shared" si="11"/>
        <v>0.38669950738916259</v>
      </c>
      <c r="N121" s="87">
        <f t="shared" si="12"/>
        <v>2.4630541871921183</v>
      </c>
      <c r="O121" s="87">
        <f t="shared" si="13"/>
        <v>7.9581280788177349</v>
      </c>
    </row>
    <row r="122" spans="1:15" x14ac:dyDescent="0.3">
      <c r="A122" t="s">
        <v>45</v>
      </c>
      <c r="B122" t="s">
        <v>823</v>
      </c>
      <c r="C122" s="16" t="s">
        <v>272</v>
      </c>
      <c r="D122" s="16">
        <v>3</v>
      </c>
      <c r="E122" t="s">
        <v>1524</v>
      </c>
      <c r="F122" t="s">
        <v>1658</v>
      </c>
      <c r="G122" t="s">
        <v>1567</v>
      </c>
      <c r="H122" t="s">
        <v>344</v>
      </c>
      <c r="I122" s="87">
        <f t="shared" si="7"/>
        <v>2.9556650246305424E-2</v>
      </c>
      <c r="J122" s="87">
        <f t="shared" si="8"/>
        <v>0.17733990147783252</v>
      </c>
      <c r="K122" s="87">
        <f t="shared" si="9"/>
        <v>0.25862068965517243</v>
      </c>
      <c r="L122" s="87">
        <f t="shared" si="10"/>
        <v>2.5</v>
      </c>
      <c r="M122" s="87">
        <f t="shared" si="11"/>
        <v>0.21921182266009853</v>
      </c>
      <c r="N122" s="87">
        <f t="shared" si="12"/>
        <v>1.2438423645320198</v>
      </c>
      <c r="O122" s="87">
        <f t="shared" si="13"/>
        <v>4.4285714285714288</v>
      </c>
    </row>
    <row r="123" spans="1:15" x14ac:dyDescent="0.3">
      <c r="A123" t="s">
        <v>45</v>
      </c>
      <c r="B123" t="s">
        <v>824</v>
      </c>
      <c r="C123" s="16" t="s">
        <v>272</v>
      </c>
      <c r="D123" s="16">
        <v>2</v>
      </c>
      <c r="E123" t="s">
        <v>1524</v>
      </c>
      <c r="F123" t="s">
        <v>282</v>
      </c>
      <c r="G123" t="s">
        <v>341</v>
      </c>
      <c r="H123" t="s">
        <v>345</v>
      </c>
      <c r="I123" s="87">
        <f t="shared" si="7"/>
        <v>2.9556650246305424E-2</v>
      </c>
      <c r="J123" s="87">
        <f t="shared" si="8"/>
        <v>0.82266009852216748</v>
      </c>
      <c r="K123" s="87">
        <f t="shared" si="9"/>
        <v>0.25862068965517243</v>
      </c>
      <c r="L123" s="87">
        <f t="shared" si="10"/>
        <v>1.5024630541871922</v>
      </c>
      <c r="M123" s="87">
        <f t="shared" si="11"/>
        <v>0.4605911330049261</v>
      </c>
      <c r="N123" s="87">
        <f t="shared" si="12"/>
        <v>2.2536945812807883</v>
      </c>
      <c r="O123" s="87">
        <f t="shared" si="13"/>
        <v>5.3275862068965516</v>
      </c>
    </row>
    <row r="124" spans="1:15" x14ac:dyDescent="0.3">
      <c r="A124" t="s">
        <v>9</v>
      </c>
      <c r="B124" t="s">
        <v>825</v>
      </c>
      <c r="C124" s="16" t="s">
        <v>272</v>
      </c>
      <c r="D124" s="16">
        <v>3</v>
      </c>
      <c r="E124" t="s">
        <v>1524</v>
      </c>
      <c r="F124" t="s">
        <v>1633</v>
      </c>
      <c r="G124" t="s">
        <v>1567</v>
      </c>
      <c r="H124" t="s">
        <v>344</v>
      </c>
      <c r="I124" s="87">
        <f t="shared" si="7"/>
        <v>2.9556650246305424E-2</v>
      </c>
      <c r="J124" s="87">
        <f t="shared" si="8"/>
        <v>0.17733990147783252</v>
      </c>
      <c r="K124" s="87">
        <f t="shared" si="9"/>
        <v>0.25862068965517243</v>
      </c>
      <c r="L124" s="87">
        <f t="shared" si="10"/>
        <v>2.4630541871921183</v>
      </c>
      <c r="M124" s="87">
        <f t="shared" si="11"/>
        <v>0.21921182266009853</v>
      </c>
      <c r="N124" s="87">
        <f t="shared" si="12"/>
        <v>1.2438423645320198</v>
      </c>
      <c r="O124" s="87">
        <f t="shared" si="13"/>
        <v>4.3916256157635472</v>
      </c>
    </row>
    <row r="125" spans="1:15" x14ac:dyDescent="0.3">
      <c r="A125" t="s">
        <v>9</v>
      </c>
      <c r="B125" t="s">
        <v>826</v>
      </c>
      <c r="C125" s="16" t="s">
        <v>272</v>
      </c>
      <c r="D125" s="16">
        <v>3</v>
      </c>
      <c r="E125" t="s">
        <v>1524</v>
      </c>
      <c r="F125" t="s">
        <v>1634</v>
      </c>
      <c r="G125" t="s">
        <v>1567</v>
      </c>
      <c r="H125" t="s">
        <v>344</v>
      </c>
      <c r="I125" s="87">
        <f t="shared" si="7"/>
        <v>2.9556650246305424E-2</v>
      </c>
      <c r="J125" s="87">
        <f t="shared" si="8"/>
        <v>0.17733990147783252</v>
      </c>
      <c r="K125" s="87">
        <f t="shared" si="9"/>
        <v>0.25862068965517243</v>
      </c>
      <c r="L125" s="87">
        <f t="shared" si="10"/>
        <v>2.3645320197044337</v>
      </c>
      <c r="M125" s="87">
        <f t="shared" si="11"/>
        <v>0.21921182266009853</v>
      </c>
      <c r="N125" s="87">
        <f t="shared" si="12"/>
        <v>1.2438423645320198</v>
      </c>
      <c r="O125" s="87">
        <f t="shared" si="13"/>
        <v>4.2931034482758621</v>
      </c>
    </row>
    <row r="126" spans="1:15" x14ac:dyDescent="0.3">
      <c r="A126" t="s">
        <v>9</v>
      </c>
      <c r="B126" t="s">
        <v>827</v>
      </c>
      <c r="C126" s="16" t="s">
        <v>272</v>
      </c>
      <c r="D126" s="16">
        <v>3</v>
      </c>
      <c r="E126" t="s">
        <v>1524</v>
      </c>
      <c r="F126" t="s">
        <v>1634</v>
      </c>
      <c r="G126" t="s">
        <v>1567</v>
      </c>
      <c r="H126" t="s">
        <v>344</v>
      </c>
      <c r="I126" s="87">
        <f t="shared" si="7"/>
        <v>2.9556650246305424E-2</v>
      </c>
      <c r="J126" s="87">
        <f t="shared" si="8"/>
        <v>0.17733990147783252</v>
      </c>
      <c r="K126" s="87">
        <f t="shared" si="9"/>
        <v>0.25862068965517243</v>
      </c>
      <c r="L126" s="87">
        <f t="shared" si="10"/>
        <v>2.3645320197044337</v>
      </c>
      <c r="M126" s="87">
        <f t="shared" si="11"/>
        <v>0.21921182266009853</v>
      </c>
      <c r="N126" s="87">
        <f t="shared" si="12"/>
        <v>1.2438423645320198</v>
      </c>
      <c r="O126" s="87">
        <f t="shared" si="13"/>
        <v>4.2931034482758621</v>
      </c>
    </row>
    <row r="127" spans="1:15" x14ac:dyDescent="0.3">
      <c r="A127" t="s">
        <v>9</v>
      </c>
      <c r="B127" t="s">
        <v>828</v>
      </c>
      <c r="C127" s="16" t="s">
        <v>272</v>
      </c>
      <c r="D127" s="16">
        <v>3</v>
      </c>
      <c r="E127" t="s">
        <v>1524</v>
      </c>
      <c r="F127" t="s">
        <v>1634</v>
      </c>
      <c r="G127" t="s">
        <v>1567</v>
      </c>
      <c r="H127" t="s">
        <v>344</v>
      </c>
      <c r="I127" s="87">
        <f t="shared" si="7"/>
        <v>2.9556650246305424E-2</v>
      </c>
      <c r="J127" s="87">
        <f t="shared" si="8"/>
        <v>0.17733990147783252</v>
      </c>
      <c r="K127" s="87">
        <f t="shared" si="9"/>
        <v>0.25862068965517243</v>
      </c>
      <c r="L127" s="87">
        <f t="shared" si="10"/>
        <v>2.3645320197044337</v>
      </c>
      <c r="M127" s="87">
        <f t="shared" si="11"/>
        <v>0.21921182266009853</v>
      </c>
      <c r="N127" s="87">
        <f t="shared" si="12"/>
        <v>1.2438423645320198</v>
      </c>
      <c r="O127" s="87">
        <f t="shared" si="13"/>
        <v>4.2931034482758621</v>
      </c>
    </row>
    <row r="128" spans="1:15" x14ac:dyDescent="0.3">
      <c r="A128" t="s">
        <v>9</v>
      </c>
      <c r="B128" t="s">
        <v>829</v>
      </c>
      <c r="C128" s="16" t="s">
        <v>272</v>
      </c>
      <c r="D128" s="16">
        <v>3</v>
      </c>
      <c r="E128" t="s">
        <v>1524</v>
      </c>
      <c r="F128" t="s">
        <v>1633</v>
      </c>
      <c r="G128" t="s">
        <v>1567</v>
      </c>
      <c r="H128" t="s">
        <v>344</v>
      </c>
      <c r="I128" s="87">
        <f t="shared" si="7"/>
        <v>2.9556650246305424E-2</v>
      </c>
      <c r="J128" s="87">
        <f t="shared" si="8"/>
        <v>0.17733990147783252</v>
      </c>
      <c r="K128" s="87">
        <f t="shared" si="9"/>
        <v>0.25862068965517243</v>
      </c>
      <c r="L128" s="87">
        <f t="shared" si="10"/>
        <v>2.4630541871921183</v>
      </c>
      <c r="M128" s="87">
        <f t="shared" si="11"/>
        <v>0.21921182266009853</v>
      </c>
      <c r="N128" s="87">
        <f t="shared" si="12"/>
        <v>1.2438423645320198</v>
      </c>
      <c r="O128" s="87">
        <f t="shared" si="13"/>
        <v>4.3916256157635472</v>
      </c>
    </row>
    <row r="129" spans="1:15" x14ac:dyDescent="0.3">
      <c r="A129" t="s">
        <v>9</v>
      </c>
      <c r="B129" t="s">
        <v>830</v>
      </c>
      <c r="C129" s="16" t="s">
        <v>272</v>
      </c>
      <c r="D129" s="16">
        <v>3</v>
      </c>
      <c r="E129" t="s">
        <v>1524</v>
      </c>
      <c r="F129" t="s">
        <v>1634</v>
      </c>
      <c r="G129" t="s">
        <v>1567</v>
      </c>
      <c r="H129" t="s">
        <v>344</v>
      </c>
      <c r="I129" s="87">
        <f t="shared" si="7"/>
        <v>2.9556650246305424E-2</v>
      </c>
      <c r="J129" s="87">
        <f t="shared" si="8"/>
        <v>0.17733990147783252</v>
      </c>
      <c r="K129" s="87">
        <f t="shared" si="9"/>
        <v>0.25862068965517243</v>
      </c>
      <c r="L129" s="87">
        <f t="shared" si="10"/>
        <v>2.3645320197044337</v>
      </c>
      <c r="M129" s="87">
        <f t="shared" si="11"/>
        <v>0.21921182266009853</v>
      </c>
      <c r="N129" s="87">
        <f t="shared" si="12"/>
        <v>1.2438423645320198</v>
      </c>
      <c r="O129" s="87">
        <f t="shared" si="13"/>
        <v>4.2931034482758621</v>
      </c>
    </row>
    <row r="130" spans="1:15" x14ac:dyDescent="0.3">
      <c r="A130" t="s">
        <v>9</v>
      </c>
      <c r="B130" t="s">
        <v>831</v>
      </c>
      <c r="C130" s="16" t="s">
        <v>272</v>
      </c>
      <c r="D130" s="16">
        <v>3</v>
      </c>
      <c r="E130" t="s">
        <v>1524</v>
      </c>
      <c r="F130" t="s">
        <v>1634</v>
      </c>
      <c r="G130" t="s">
        <v>1567</v>
      </c>
      <c r="H130" t="s">
        <v>344</v>
      </c>
      <c r="I130" s="87">
        <f t="shared" si="7"/>
        <v>2.9556650246305424E-2</v>
      </c>
      <c r="J130" s="87">
        <f t="shared" si="8"/>
        <v>0.17733990147783252</v>
      </c>
      <c r="K130" s="87">
        <f t="shared" si="9"/>
        <v>0.25862068965517243</v>
      </c>
      <c r="L130" s="87">
        <f t="shared" si="10"/>
        <v>2.3645320197044337</v>
      </c>
      <c r="M130" s="87">
        <f t="shared" si="11"/>
        <v>0.21921182266009853</v>
      </c>
      <c r="N130" s="87">
        <f t="shared" si="12"/>
        <v>1.2438423645320198</v>
      </c>
      <c r="O130" s="87">
        <f t="shared" si="13"/>
        <v>4.2931034482758621</v>
      </c>
    </row>
    <row r="131" spans="1:15" x14ac:dyDescent="0.3">
      <c r="A131" t="s">
        <v>9</v>
      </c>
      <c r="B131" t="s">
        <v>832</v>
      </c>
      <c r="C131" s="16" t="s">
        <v>272</v>
      </c>
      <c r="D131" s="16">
        <v>3</v>
      </c>
      <c r="E131" t="s">
        <v>1524</v>
      </c>
      <c r="F131" t="s">
        <v>1634</v>
      </c>
      <c r="G131" t="s">
        <v>1567</v>
      </c>
      <c r="H131" t="s">
        <v>1571</v>
      </c>
      <c r="I131" s="87">
        <f t="shared" si="7"/>
        <v>2.9556650246305424E-2</v>
      </c>
      <c r="J131" s="87">
        <f t="shared" si="8"/>
        <v>0.17733990147783252</v>
      </c>
      <c r="K131" s="87">
        <f t="shared" si="9"/>
        <v>0.25862068965517243</v>
      </c>
      <c r="L131" s="87">
        <f t="shared" si="10"/>
        <v>2.3645320197044337</v>
      </c>
      <c r="M131" s="87">
        <f t="shared" si="11"/>
        <v>0.21921182266009853</v>
      </c>
      <c r="N131" s="87">
        <f t="shared" si="12"/>
        <v>2.4630541871921183</v>
      </c>
      <c r="O131" s="87">
        <f t="shared" si="13"/>
        <v>5.5123152709359609</v>
      </c>
    </row>
    <row r="132" spans="1:15" x14ac:dyDescent="0.3">
      <c r="A132" t="s">
        <v>9</v>
      </c>
      <c r="B132" t="s">
        <v>833</v>
      </c>
      <c r="C132" s="16" t="s">
        <v>272</v>
      </c>
      <c r="D132" s="16">
        <v>3</v>
      </c>
      <c r="E132" t="s">
        <v>1524</v>
      </c>
      <c r="F132" t="s">
        <v>1634</v>
      </c>
      <c r="G132" t="s">
        <v>1567</v>
      </c>
      <c r="H132" t="s">
        <v>344</v>
      </c>
      <c r="I132" s="87">
        <f t="shared" ref="I132:I195" si="14">VLOOKUP(C132,$R$3:$T$4,3,0)*T$1</f>
        <v>2.9556650246305424E-2</v>
      </c>
      <c r="J132" s="87">
        <f t="shared" ref="J132:J195" si="15">VLOOKUP(D132,$U$3:$W$4,3,0)*W$1</f>
        <v>0.17733990147783252</v>
      </c>
      <c r="K132" s="87">
        <f t="shared" ref="K132:K195" si="16">VLOOKUP(E132,$X$3:$Z$8,3,0)*Z$1</f>
        <v>0.25862068965517243</v>
      </c>
      <c r="L132" s="87">
        <f t="shared" ref="L132:L195" si="17">VLOOKUP(F132,$AA$3:$AC$32,3,0)*AC$1</f>
        <v>2.3645320197044337</v>
      </c>
      <c r="M132" s="87">
        <f t="shared" ref="M132:M195" si="18">VLOOKUP(G132,$AD$3:$AF$10,3,0)*AF$1</f>
        <v>0.21921182266009853</v>
      </c>
      <c r="N132" s="87">
        <f t="shared" ref="N132:N195" si="19">VLOOKUP(H132,$AG$3:$AI$19,3,0)*AI$1</f>
        <v>1.2438423645320198</v>
      </c>
      <c r="O132" s="87">
        <f t="shared" ref="O132:O195" si="20">SUM(I132:N132)</f>
        <v>4.2931034482758621</v>
      </c>
    </row>
    <row r="133" spans="1:15" x14ac:dyDescent="0.3">
      <c r="A133" t="s">
        <v>9</v>
      </c>
      <c r="B133" t="s">
        <v>834</v>
      </c>
      <c r="C133" s="16" t="s">
        <v>272</v>
      </c>
      <c r="D133" s="16">
        <v>3</v>
      </c>
      <c r="E133" t="s">
        <v>1524</v>
      </c>
      <c r="F133" t="s">
        <v>1634</v>
      </c>
      <c r="G133" t="s">
        <v>1567</v>
      </c>
      <c r="H133" t="s">
        <v>344</v>
      </c>
      <c r="I133" s="87">
        <f t="shared" si="14"/>
        <v>2.9556650246305424E-2</v>
      </c>
      <c r="J133" s="87">
        <f t="shared" si="15"/>
        <v>0.17733990147783252</v>
      </c>
      <c r="K133" s="87">
        <f t="shared" si="16"/>
        <v>0.25862068965517243</v>
      </c>
      <c r="L133" s="87">
        <f t="shared" si="17"/>
        <v>2.3645320197044337</v>
      </c>
      <c r="M133" s="87">
        <f t="shared" si="18"/>
        <v>0.21921182266009853</v>
      </c>
      <c r="N133" s="87">
        <f t="shared" si="19"/>
        <v>1.2438423645320198</v>
      </c>
      <c r="O133" s="87">
        <f t="shared" si="20"/>
        <v>4.2931034482758621</v>
      </c>
    </row>
    <row r="134" spans="1:15" x14ac:dyDescent="0.3">
      <c r="A134" t="s">
        <v>9</v>
      </c>
      <c r="B134" t="s">
        <v>835</v>
      </c>
      <c r="C134" s="16" t="s">
        <v>272</v>
      </c>
      <c r="D134" s="16">
        <v>3</v>
      </c>
      <c r="E134" t="s">
        <v>1524</v>
      </c>
      <c r="F134" t="s">
        <v>1634</v>
      </c>
      <c r="G134" t="s">
        <v>1567</v>
      </c>
      <c r="H134" t="s">
        <v>344</v>
      </c>
      <c r="I134" s="87">
        <f t="shared" si="14"/>
        <v>2.9556650246305424E-2</v>
      </c>
      <c r="J134" s="87">
        <f t="shared" si="15"/>
        <v>0.17733990147783252</v>
      </c>
      <c r="K134" s="87">
        <f t="shared" si="16"/>
        <v>0.25862068965517243</v>
      </c>
      <c r="L134" s="87">
        <f t="shared" si="17"/>
        <v>2.3645320197044337</v>
      </c>
      <c r="M134" s="87">
        <f t="shared" si="18"/>
        <v>0.21921182266009853</v>
      </c>
      <c r="N134" s="87">
        <f t="shared" si="19"/>
        <v>1.2438423645320198</v>
      </c>
      <c r="O134" s="87">
        <f t="shared" si="20"/>
        <v>4.2931034482758621</v>
      </c>
    </row>
    <row r="135" spans="1:15" x14ac:dyDescent="0.3">
      <c r="A135" t="s">
        <v>9</v>
      </c>
      <c r="B135" t="s">
        <v>836</v>
      </c>
      <c r="C135" s="16" t="s">
        <v>272</v>
      </c>
      <c r="D135" s="16">
        <v>3</v>
      </c>
      <c r="E135" t="s">
        <v>1524</v>
      </c>
      <c r="F135" t="s">
        <v>1634</v>
      </c>
      <c r="G135" t="s">
        <v>1567</v>
      </c>
      <c r="H135" t="s">
        <v>344</v>
      </c>
      <c r="I135" s="87">
        <f t="shared" si="14"/>
        <v>2.9556650246305424E-2</v>
      </c>
      <c r="J135" s="87">
        <f t="shared" si="15"/>
        <v>0.17733990147783252</v>
      </c>
      <c r="K135" s="87">
        <f t="shared" si="16"/>
        <v>0.25862068965517243</v>
      </c>
      <c r="L135" s="87">
        <f t="shared" si="17"/>
        <v>2.3645320197044337</v>
      </c>
      <c r="M135" s="87">
        <f t="shared" si="18"/>
        <v>0.21921182266009853</v>
      </c>
      <c r="N135" s="87">
        <f t="shared" si="19"/>
        <v>1.2438423645320198</v>
      </c>
      <c r="O135" s="87">
        <f t="shared" si="20"/>
        <v>4.2931034482758621</v>
      </c>
    </row>
    <row r="136" spans="1:15" x14ac:dyDescent="0.3">
      <c r="A136" t="s">
        <v>9</v>
      </c>
      <c r="B136" t="s">
        <v>837</v>
      </c>
      <c r="C136" s="16" t="s">
        <v>272</v>
      </c>
      <c r="D136" s="16">
        <v>3</v>
      </c>
      <c r="E136" t="s">
        <v>1524</v>
      </c>
      <c r="F136" t="s">
        <v>1633</v>
      </c>
      <c r="G136" t="s">
        <v>1567</v>
      </c>
      <c r="H136" t="s">
        <v>344</v>
      </c>
      <c r="I136" s="87">
        <f t="shared" si="14"/>
        <v>2.9556650246305424E-2</v>
      </c>
      <c r="J136" s="87">
        <f t="shared" si="15"/>
        <v>0.17733990147783252</v>
      </c>
      <c r="K136" s="87">
        <f t="shared" si="16"/>
        <v>0.25862068965517243</v>
      </c>
      <c r="L136" s="87">
        <f t="shared" si="17"/>
        <v>2.4630541871921183</v>
      </c>
      <c r="M136" s="87">
        <f t="shared" si="18"/>
        <v>0.21921182266009853</v>
      </c>
      <c r="N136" s="87">
        <f t="shared" si="19"/>
        <v>1.2438423645320198</v>
      </c>
      <c r="O136" s="87">
        <f t="shared" si="20"/>
        <v>4.3916256157635472</v>
      </c>
    </row>
    <row r="137" spans="1:15" x14ac:dyDescent="0.3">
      <c r="A137" t="s">
        <v>9</v>
      </c>
      <c r="B137" t="s">
        <v>838</v>
      </c>
      <c r="C137" s="16" t="s">
        <v>272</v>
      </c>
      <c r="D137" s="16">
        <v>3</v>
      </c>
      <c r="E137" t="s">
        <v>1524</v>
      </c>
      <c r="F137" t="s">
        <v>1634</v>
      </c>
      <c r="G137" t="s">
        <v>1567</v>
      </c>
      <c r="H137" t="s">
        <v>344</v>
      </c>
      <c r="I137" s="87">
        <f t="shared" si="14"/>
        <v>2.9556650246305424E-2</v>
      </c>
      <c r="J137" s="87">
        <f t="shared" si="15"/>
        <v>0.17733990147783252</v>
      </c>
      <c r="K137" s="87">
        <f t="shared" si="16"/>
        <v>0.25862068965517243</v>
      </c>
      <c r="L137" s="87">
        <f t="shared" si="17"/>
        <v>2.3645320197044337</v>
      </c>
      <c r="M137" s="87">
        <f t="shared" si="18"/>
        <v>0.21921182266009853</v>
      </c>
      <c r="N137" s="87">
        <f t="shared" si="19"/>
        <v>1.2438423645320198</v>
      </c>
      <c r="O137" s="87">
        <f t="shared" si="20"/>
        <v>4.2931034482758621</v>
      </c>
    </row>
    <row r="138" spans="1:15" x14ac:dyDescent="0.3">
      <c r="A138" t="s">
        <v>9</v>
      </c>
      <c r="B138" t="s">
        <v>839</v>
      </c>
      <c r="C138" s="16" t="s">
        <v>272</v>
      </c>
      <c r="D138" s="16">
        <v>3</v>
      </c>
      <c r="E138" t="s">
        <v>1529</v>
      </c>
      <c r="F138" t="s">
        <v>1658</v>
      </c>
      <c r="G138" t="s">
        <v>1567</v>
      </c>
      <c r="H138" t="s">
        <v>344</v>
      </c>
      <c r="I138" s="87">
        <f t="shared" si="14"/>
        <v>2.9556650246305424E-2</v>
      </c>
      <c r="J138" s="87">
        <f t="shared" si="15"/>
        <v>0.17733990147783252</v>
      </c>
      <c r="K138" s="87">
        <f t="shared" si="16"/>
        <v>2.4876847290640396</v>
      </c>
      <c r="L138" s="87">
        <f t="shared" si="17"/>
        <v>2.5</v>
      </c>
      <c r="M138" s="87">
        <f t="shared" si="18"/>
        <v>0.21921182266009853</v>
      </c>
      <c r="N138" s="87">
        <f t="shared" si="19"/>
        <v>1.2438423645320198</v>
      </c>
      <c r="O138" s="87">
        <f t="shared" si="20"/>
        <v>6.6576354679802963</v>
      </c>
    </row>
    <row r="139" spans="1:15" x14ac:dyDescent="0.3">
      <c r="A139" t="s">
        <v>9</v>
      </c>
      <c r="B139" t="s">
        <v>840</v>
      </c>
      <c r="C139" s="16" t="s">
        <v>272</v>
      </c>
      <c r="D139" s="16">
        <v>3</v>
      </c>
      <c r="E139" t="s">
        <v>1524</v>
      </c>
      <c r="F139" t="s">
        <v>1658</v>
      </c>
      <c r="G139" t="s">
        <v>1567</v>
      </c>
      <c r="H139" t="s">
        <v>344</v>
      </c>
      <c r="I139" s="87">
        <f t="shared" si="14"/>
        <v>2.9556650246305424E-2</v>
      </c>
      <c r="J139" s="87">
        <f t="shared" si="15"/>
        <v>0.17733990147783252</v>
      </c>
      <c r="K139" s="87">
        <f t="shared" si="16"/>
        <v>0.25862068965517243</v>
      </c>
      <c r="L139" s="87">
        <f t="shared" si="17"/>
        <v>2.5</v>
      </c>
      <c r="M139" s="87">
        <f t="shared" si="18"/>
        <v>0.21921182266009853</v>
      </c>
      <c r="N139" s="87">
        <f t="shared" si="19"/>
        <v>1.2438423645320198</v>
      </c>
      <c r="O139" s="87">
        <f t="shared" si="20"/>
        <v>4.4285714285714288</v>
      </c>
    </row>
    <row r="140" spans="1:15" x14ac:dyDescent="0.3">
      <c r="A140" t="s">
        <v>9</v>
      </c>
      <c r="B140" t="s">
        <v>841</v>
      </c>
      <c r="C140" s="16" t="s">
        <v>273</v>
      </c>
      <c r="D140" s="16">
        <v>2</v>
      </c>
      <c r="E140" t="s">
        <v>1525</v>
      </c>
      <c r="F140" t="s">
        <v>1546</v>
      </c>
      <c r="G140" t="s">
        <v>1566</v>
      </c>
      <c r="H140" t="s">
        <v>1570</v>
      </c>
      <c r="I140" s="87">
        <f t="shared" si="14"/>
        <v>0.97044334975369473</v>
      </c>
      <c r="J140" s="87">
        <f t="shared" si="15"/>
        <v>0.82266009852216748</v>
      </c>
      <c r="K140" s="87">
        <f t="shared" si="16"/>
        <v>2.3522167487684729</v>
      </c>
      <c r="L140" s="87">
        <f t="shared" si="17"/>
        <v>2.4014778325123154</v>
      </c>
      <c r="M140" s="87">
        <f t="shared" si="18"/>
        <v>0.38669950738916259</v>
      </c>
      <c r="N140" s="87">
        <f t="shared" si="19"/>
        <v>2.3645320197044337</v>
      </c>
      <c r="O140" s="87">
        <f t="shared" si="20"/>
        <v>9.2980295566502456</v>
      </c>
    </row>
    <row r="141" spans="1:15" x14ac:dyDescent="0.3">
      <c r="A141" t="s">
        <v>9</v>
      </c>
      <c r="B141" t="s">
        <v>842</v>
      </c>
      <c r="C141" s="16" t="s">
        <v>273</v>
      </c>
      <c r="D141" s="16">
        <v>2</v>
      </c>
      <c r="E141" t="s">
        <v>1525</v>
      </c>
      <c r="F141" t="s">
        <v>1542</v>
      </c>
      <c r="G141" t="s">
        <v>1566</v>
      </c>
      <c r="H141" t="s">
        <v>1570</v>
      </c>
      <c r="I141" s="87">
        <f t="shared" si="14"/>
        <v>0.97044334975369473</v>
      </c>
      <c r="J141" s="87">
        <f t="shared" si="15"/>
        <v>0.82266009852216748</v>
      </c>
      <c r="K141" s="87">
        <f t="shared" si="16"/>
        <v>2.3522167487684729</v>
      </c>
      <c r="L141" s="87">
        <f t="shared" si="17"/>
        <v>2.3768472906403941</v>
      </c>
      <c r="M141" s="87">
        <f t="shared" si="18"/>
        <v>0.38669950738916259</v>
      </c>
      <c r="N141" s="87">
        <f t="shared" si="19"/>
        <v>2.3645320197044337</v>
      </c>
      <c r="O141" s="87">
        <f t="shared" si="20"/>
        <v>9.2733990147783256</v>
      </c>
    </row>
    <row r="142" spans="1:15" x14ac:dyDescent="0.3">
      <c r="A142" t="s">
        <v>9</v>
      </c>
      <c r="B142" t="s">
        <v>843</v>
      </c>
      <c r="C142" s="16" t="s">
        <v>272</v>
      </c>
      <c r="D142" s="16">
        <v>3</v>
      </c>
      <c r="E142" t="s">
        <v>1529</v>
      </c>
      <c r="F142" t="s">
        <v>1658</v>
      </c>
      <c r="G142" t="s">
        <v>1567</v>
      </c>
      <c r="H142" t="s">
        <v>344</v>
      </c>
      <c r="I142" s="87">
        <f t="shared" si="14"/>
        <v>2.9556650246305424E-2</v>
      </c>
      <c r="J142" s="87">
        <f t="shared" si="15"/>
        <v>0.17733990147783252</v>
      </c>
      <c r="K142" s="87">
        <f t="shared" si="16"/>
        <v>2.4876847290640396</v>
      </c>
      <c r="L142" s="87">
        <f t="shared" si="17"/>
        <v>2.5</v>
      </c>
      <c r="M142" s="87">
        <f t="shared" si="18"/>
        <v>0.21921182266009853</v>
      </c>
      <c r="N142" s="87">
        <f t="shared" si="19"/>
        <v>1.2438423645320198</v>
      </c>
      <c r="O142" s="87">
        <f t="shared" si="20"/>
        <v>6.6576354679802963</v>
      </c>
    </row>
    <row r="143" spans="1:15" x14ac:dyDescent="0.3">
      <c r="A143" t="s">
        <v>9</v>
      </c>
      <c r="B143" t="s">
        <v>844</v>
      </c>
      <c r="C143" s="16" t="s">
        <v>272</v>
      </c>
      <c r="D143" s="16">
        <v>3</v>
      </c>
      <c r="E143" t="s">
        <v>1529</v>
      </c>
      <c r="F143" t="s">
        <v>1658</v>
      </c>
      <c r="G143" t="s">
        <v>1567</v>
      </c>
      <c r="H143" t="s">
        <v>344</v>
      </c>
      <c r="I143" s="87">
        <f t="shared" si="14"/>
        <v>2.9556650246305424E-2</v>
      </c>
      <c r="J143" s="87">
        <f t="shared" si="15"/>
        <v>0.17733990147783252</v>
      </c>
      <c r="K143" s="87">
        <f t="shared" si="16"/>
        <v>2.4876847290640396</v>
      </c>
      <c r="L143" s="87">
        <f t="shared" si="17"/>
        <v>2.5</v>
      </c>
      <c r="M143" s="87">
        <f t="shared" si="18"/>
        <v>0.21921182266009853</v>
      </c>
      <c r="N143" s="87">
        <f t="shared" si="19"/>
        <v>1.2438423645320198</v>
      </c>
      <c r="O143" s="87">
        <f t="shared" si="20"/>
        <v>6.6576354679802963</v>
      </c>
    </row>
    <row r="144" spans="1:15" x14ac:dyDescent="0.3">
      <c r="A144" t="s">
        <v>9</v>
      </c>
      <c r="B144" t="s">
        <v>845</v>
      </c>
      <c r="C144" s="16" t="s">
        <v>272</v>
      </c>
      <c r="D144" s="16">
        <v>3</v>
      </c>
      <c r="E144" t="s">
        <v>1524</v>
      </c>
      <c r="F144" t="s">
        <v>1658</v>
      </c>
      <c r="G144" t="s">
        <v>1567</v>
      </c>
      <c r="H144" t="s">
        <v>344</v>
      </c>
      <c r="I144" s="87">
        <f t="shared" si="14"/>
        <v>2.9556650246305424E-2</v>
      </c>
      <c r="J144" s="87">
        <f t="shared" si="15"/>
        <v>0.17733990147783252</v>
      </c>
      <c r="K144" s="87">
        <f t="shared" si="16"/>
        <v>0.25862068965517243</v>
      </c>
      <c r="L144" s="87">
        <f t="shared" si="17"/>
        <v>2.5</v>
      </c>
      <c r="M144" s="87">
        <f t="shared" si="18"/>
        <v>0.21921182266009853</v>
      </c>
      <c r="N144" s="87">
        <f t="shared" si="19"/>
        <v>1.2438423645320198</v>
      </c>
      <c r="O144" s="87">
        <f t="shared" si="20"/>
        <v>4.4285714285714288</v>
      </c>
    </row>
    <row r="145" spans="1:15" x14ac:dyDescent="0.3">
      <c r="A145" t="s">
        <v>9</v>
      </c>
      <c r="B145" t="s">
        <v>846</v>
      </c>
      <c r="C145" s="16" t="s">
        <v>273</v>
      </c>
      <c r="D145" s="16">
        <v>2</v>
      </c>
      <c r="E145" t="s">
        <v>1525</v>
      </c>
      <c r="F145" t="s">
        <v>1546</v>
      </c>
      <c r="G145" t="s">
        <v>1566</v>
      </c>
      <c r="H145" t="s">
        <v>344</v>
      </c>
      <c r="I145" s="87">
        <f t="shared" si="14"/>
        <v>0.97044334975369473</v>
      </c>
      <c r="J145" s="87">
        <f t="shared" si="15"/>
        <v>0.82266009852216748</v>
      </c>
      <c r="K145" s="87">
        <f t="shared" si="16"/>
        <v>2.3522167487684729</v>
      </c>
      <c r="L145" s="87">
        <f t="shared" si="17"/>
        <v>2.4014778325123154</v>
      </c>
      <c r="M145" s="87">
        <f t="shared" si="18"/>
        <v>0.38669950738916259</v>
      </c>
      <c r="N145" s="87">
        <f t="shared" si="19"/>
        <v>1.2438423645320198</v>
      </c>
      <c r="O145" s="87">
        <f t="shared" si="20"/>
        <v>8.1773399014778327</v>
      </c>
    </row>
    <row r="146" spans="1:15" x14ac:dyDescent="0.3">
      <c r="A146" t="s">
        <v>9</v>
      </c>
      <c r="B146" t="s">
        <v>847</v>
      </c>
      <c r="C146" s="16" t="s">
        <v>272</v>
      </c>
      <c r="D146" s="16">
        <v>3</v>
      </c>
      <c r="E146" t="s">
        <v>1529</v>
      </c>
      <c r="F146" t="s">
        <v>1658</v>
      </c>
      <c r="G146" t="s">
        <v>1567</v>
      </c>
      <c r="H146" t="s">
        <v>344</v>
      </c>
      <c r="I146" s="87">
        <f t="shared" si="14"/>
        <v>2.9556650246305424E-2</v>
      </c>
      <c r="J146" s="87">
        <f t="shared" si="15"/>
        <v>0.17733990147783252</v>
      </c>
      <c r="K146" s="87">
        <f t="shared" si="16"/>
        <v>2.4876847290640396</v>
      </c>
      <c r="L146" s="87">
        <f t="shared" si="17"/>
        <v>2.5</v>
      </c>
      <c r="M146" s="87">
        <f t="shared" si="18"/>
        <v>0.21921182266009853</v>
      </c>
      <c r="N146" s="87">
        <f t="shared" si="19"/>
        <v>1.2438423645320198</v>
      </c>
      <c r="O146" s="87">
        <f t="shared" si="20"/>
        <v>6.6576354679802963</v>
      </c>
    </row>
    <row r="147" spans="1:15" x14ac:dyDescent="0.3">
      <c r="A147" t="s">
        <v>9</v>
      </c>
      <c r="B147" t="s">
        <v>848</v>
      </c>
      <c r="C147" s="16" t="s">
        <v>272</v>
      </c>
      <c r="D147" s="16">
        <v>3</v>
      </c>
      <c r="E147" t="s">
        <v>1524</v>
      </c>
      <c r="F147" t="s">
        <v>1658</v>
      </c>
      <c r="G147" t="s">
        <v>1567</v>
      </c>
      <c r="H147" t="s">
        <v>344</v>
      </c>
      <c r="I147" s="87">
        <f t="shared" si="14"/>
        <v>2.9556650246305424E-2</v>
      </c>
      <c r="J147" s="87">
        <f t="shared" si="15"/>
        <v>0.17733990147783252</v>
      </c>
      <c r="K147" s="87">
        <f t="shared" si="16"/>
        <v>0.25862068965517243</v>
      </c>
      <c r="L147" s="87">
        <f t="shared" si="17"/>
        <v>2.5</v>
      </c>
      <c r="M147" s="87">
        <f t="shared" si="18"/>
        <v>0.21921182266009853</v>
      </c>
      <c r="N147" s="87">
        <f t="shared" si="19"/>
        <v>1.2438423645320198</v>
      </c>
      <c r="O147" s="87">
        <f t="shared" si="20"/>
        <v>4.4285714285714288</v>
      </c>
    </row>
    <row r="148" spans="1:15" x14ac:dyDescent="0.3">
      <c r="A148" t="s">
        <v>9</v>
      </c>
      <c r="B148" t="s">
        <v>849</v>
      </c>
      <c r="C148" s="16" t="s">
        <v>273</v>
      </c>
      <c r="D148" s="16">
        <v>2</v>
      </c>
      <c r="E148" t="s">
        <v>1525</v>
      </c>
      <c r="F148" t="s">
        <v>1546</v>
      </c>
      <c r="G148" t="s">
        <v>1566</v>
      </c>
      <c r="H148" t="s">
        <v>344</v>
      </c>
      <c r="I148" s="87">
        <f t="shared" si="14"/>
        <v>0.97044334975369473</v>
      </c>
      <c r="J148" s="87">
        <f t="shared" si="15"/>
        <v>0.82266009852216748</v>
      </c>
      <c r="K148" s="87">
        <f t="shared" si="16"/>
        <v>2.3522167487684729</v>
      </c>
      <c r="L148" s="87">
        <f t="shared" si="17"/>
        <v>2.4014778325123154</v>
      </c>
      <c r="M148" s="87">
        <f t="shared" si="18"/>
        <v>0.38669950738916259</v>
      </c>
      <c r="N148" s="87">
        <f t="shared" si="19"/>
        <v>1.2438423645320198</v>
      </c>
      <c r="O148" s="87">
        <f t="shared" si="20"/>
        <v>8.1773399014778327</v>
      </c>
    </row>
    <row r="149" spans="1:15" x14ac:dyDescent="0.3">
      <c r="A149" t="s">
        <v>9</v>
      </c>
      <c r="B149" t="s">
        <v>850</v>
      </c>
      <c r="C149" s="16" t="s">
        <v>273</v>
      </c>
      <c r="D149" s="16">
        <v>2</v>
      </c>
      <c r="E149" t="s">
        <v>1525</v>
      </c>
      <c r="F149" t="s">
        <v>1546</v>
      </c>
      <c r="G149" t="s">
        <v>1566</v>
      </c>
      <c r="H149" t="s">
        <v>344</v>
      </c>
      <c r="I149" s="87">
        <f t="shared" si="14"/>
        <v>0.97044334975369473</v>
      </c>
      <c r="J149" s="87">
        <f t="shared" si="15"/>
        <v>0.82266009852216748</v>
      </c>
      <c r="K149" s="87">
        <f t="shared" si="16"/>
        <v>2.3522167487684729</v>
      </c>
      <c r="L149" s="87">
        <f t="shared" si="17"/>
        <v>2.4014778325123154</v>
      </c>
      <c r="M149" s="87">
        <f t="shared" si="18"/>
        <v>0.38669950738916259</v>
      </c>
      <c r="N149" s="87">
        <f t="shared" si="19"/>
        <v>1.2438423645320198</v>
      </c>
      <c r="O149" s="87">
        <f t="shared" si="20"/>
        <v>8.1773399014778327</v>
      </c>
    </row>
    <row r="150" spans="1:15" x14ac:dyDescent="0.3">
      <c r="A150" t="s">
        <v>9</v>
      </c>
      <c r="B150" t="s">
        <v>851</v>
      </c>
      <c r="C150" s="16" t="s">
        <v>273</v>
      </c>
      <c r="D150" s="16">
        <v>2</v>
      </c>
      <c r="E150" t="s">
        <v>1525</v>
      </c>
      <c r="F150" t="s">
        <v>1546</v>
      </c>
      <c r="G150" t="s">
        <v>1567</v>
      </c>
      <c r="H150" t="s">
        <v>344</v>
      </c>
      <c r="I150" s="87">
        <f t="shared" si="14"/>
        <v>0.97044334975369473</v>
      </c>
      <c r="J150" s="87">
        <f t="shared" si="15"/>
        <v>0.82266009852216748</v>
      </c>
      <c r="K150" s="87">
        <f t="shared" si="16"/>
        <v>2.3522167487684729</v>
      </c>
      <c r="L150" s="87">
        <f t="shared" si="17"/>
        <v>2.4014778325123154</v>
      </c>
      <c r="M150" s="87">
        <f t="shared" si="18"/>
        <v>0.21921182266009853</v>
      </c>
      <c r="N150" s="87">
        <f t="shared" si="19"/>
        <v>1.2438423645320198</v>
      </c>
      <c r="O150" s="87">
        <f t="shared" si="20"/>
        <v>8.0098522167487687</v>
      </c>
    </row>
    <row r="151" spans="1:15" x14ac:dyDescent="0.3">
      <c r="A151" t="s">
        <v>9</v>
      </c>
      <c r="B151" t="s">
        <v>852</v>
      </c>
      <c r="C151" s="16" t="s">
        <v>272</v>
      </c>
      <c r="D151" s="16">
        <v>2</v>
      </c>
      <c r="E151" t="s">
        <v>1525</v>
      </c>
      <c r="F151" t="s">
        <v>1546</v>
      </c>
      <c r="G151" t="s">
        <v>1566</v>
      </c>
      <c r="H151" t="s">
        <v>344</v>
      </c>
      <c r="I151" s="87">
        <f t="shared" si="14"/>
        <v>2.9556650246305424E-2</v>
      </c>
      <c r="J151" s="87">
        <f t="shared" si="15"/>
        <v>0.82266009852216748</v>
      </c>
      <c r="K151" s="87">
        <f t="shared" si="16"/>
        <v>2.3522167487684729</v>
      </c>
      <c r="L151" s="87">
        <f t="shared" si="17"/>
        <v>2.4014778325123154</v>
      </c>
      <c r="M151" s="87">
        <f t="shared" si="18"/>
        <v>0.38669950738916259</v>
      </c>
      <c r="N151" s="87">
        <f t="shared" si="19"/>
        <v>1.2438423645320198</v>
      </c>
      <c r="O151" s="87">
        <f t="shared" si="20"/>
        <v>7.2364532019704439</v>
      </c>
    </row>
    <row r="152" spans="1:15" x14ac:dyDescent="0.3">
      <c r="A152" t="s">
        <v>9</v>
      </c>
      <c r="B152" t="s">
        <v>853</v>
      </c>
      <c r="C152" s="16" t="s">
        <v>272</v>
      </c>
      <c r="D152" s="16">
        <v>2</v>
      </c>
      <c r="E152" t="s">
        <v>1524</v>
      </c>
      <c r="F152" t="s">
        <v>282</v>
      </c>
      <c r="G152" t="s">
        <v>341</v>
      </c>
      <c r="H152" t="s">
        <v>344</v>
      </c>
      <c r="I152" s="87">
        <f t="shared" si="14"/>
        <v>2.9556650246305424E-2</v>
      </c>
      <c r="J152" s="87">
        <f t="shared" si="15"/>
        <v>0.82266009852216748</v>
      </c>
      <c r="K152" s="87">
        <f t="shared" si="16"/>
        <v>0.25862068965517243</v>
      </c>
      <c r="L152" s="87">
        <f t="shared" si="17"/>
        <v>1.5024630541871922</v>
      </c>
      <c r="M152" s="87">
        <f t="shared" si="18"/>
        <v>0.4605911330049261</v>
      </c>
      <c r="N152" s="87">
        <f t="shared" si="19"/>
        <v>1.2438423645320198</v>
      </c>
      <c r="O152" s="87">
        <f t="shared" si="20"/>
        <v>4.3177339901477829</v>
      </c>
    </row>
    <row r="153" spans="1:15" x14ac:dyDescent="0.3">
      <c r="A153" t="s">
        <v>9</v>
      </c>
      <c r="B153" t="s">
        <v>854</v>
      </c>
      <c r="C153" s="16" t="s">
        <v>272</v>
      </c>
      <c r="D153" s="16">
        <v>2</v>
      </c>
      <c r="E153" t="s">
        <v>1524</v>
      </c>
      <c r="F153" t="s">
        <v>282</v>
      </c>
      <c r="G153" t="s">
        <v>1654</v>
      </c>
      <c r="H153" t="s">
        <v>344</v>
      </c>
      <c r="I153" s="87">
        <f t="shared" si="14"/>
        <v>2.9556650246305424E-2</v>
      </c>
      <c r="J153" s="87">
        <f t="shared" si="15"/>
        <v>0.82266009852216748</v>
      </c>
      <c r="K153" s="87">
        <f t="shared" si="16"/>
        <v>0.25862068965517243</v>
      </c>
      <c r="L153" s="87">
        <f t="shared" si="17"/>
        <v>1.5024630541871922</v>
      </c>
      <c r="M153" s="87">
        <f t="shared" si="18"/>
        <v>0.49753694581280794</v>
      </c>
      <c r="N153" s="87">
        <f t="shared" si="19"/>
        <v>1.2438423645320198</v>
      </c>
      <c r="O153" s="87">
        <f t="shared" si="20"/>
        <v>4.3546798029556646</v>
      </c>
    </row>
    <row r="154" spans="1:15" x14ac:dyDescent="0.3">
      <c r="A154" t="s">
        <v>9</v>
      </c>
      <c r="B154" t="s">
        <v>855</v>
      </c>
      <c r="C154" s="16" t="s">
        <v>272</v>
      </c>
      <c r="D154" s="16">
        <v>3</v>
      </c>
      <c r="E154" t="s">
        <v>1524</v>
      </c>
      <c r="F154" t="s">
        <v>1553</v>
      </c>
      <c r="G154" t="s">
        <v>1566</v>
      </c>
      <c r="H154" t="s">
        <v>344</v>
      </c>
      <c r="I154" s="87">
        <f t="shared" si="14"/>
        <v>2.9556650246305424E-2</v>
      </c>
      <c r="J154" s="87">
        <f t="shared" si="15"/>
        <v>0.17733990147783252</v>
      </c>
      <c r="K154" s="87">
        <f t="shared" si="16"/>
        <v>0.25862068965517243</v>
      </c>
      <c r="L154" s="87">
        <f t="shared" si="17"/>
        <v>2.4753694581280787</v>
      </c>
      <c r="M154" s="87">
        <f t="shared" si="18"/>
        <v>0.38669950738916259</v>
      </c>
      <c r="N154" s="87">
        <f t="shared" si="19"/>
        <v>1.2438423645320198</v>
      </c>
      <c r="O154" s="87">
        <f t="shared" si="20"/>
        <v>4.5714285714285712</v>
      </c>
    </row>
    <row r="155" spans="1:15" x14ac:dyDescent="0.3">
      <c r="A155" t="s">
        <v>9</v>
      </c>
      <c r="B155" t="s">
        <v>856</v>
      </c>
      <c r="C155" s="16" t="s">
        <v>272</v>
      </c>
      <c r="D155" s="16">
        <v>3</v>
      </c>
      <c r="E155" t="s">
        <v>1524</v>
      </c>
      <c r="F155" t="s">
        <v>282</v>
      </c>
      <c r="G155" t="s">
        <v>1567</v>
      </c>
      <c r="H155" t="s">
        <v>345</v>
      </c>
      <c r="I155" s="87">
        <f t="shared" si="14"/>
        <v>2.9556650246305424E-2</v>
      </c>
      <c r="J155" s="87">
        <f t="shared" si="15"/>
        <v>0.17733990147783252</v>
      </c>
      <c r="K155" s="87">
        <f t="shared" si="16"/>
        <v>0.25862068965517243</v>
      </c>
      <c r="L155" s="87">
        <f t="shared" si="17"/>
        <v>1.5024630541871922</v>
      </c>
      <c r="M155" s="87">
        <f t="shared" si="18"/>
        <v>0.21921182266009853</v>
      </c>
      <c r="N155" s="87">
        <f t="shared" si="19"/>
        <v>2.2536945812807883</v>
      </c>
      <c r="O155" s="87">
        <f t="shared" si="20"/>
        <v>4.4408866995073897</v>
      </c>
    </row>
    <row r="156" spans="1:15" x14ac:dyDescent="0.3">
      <c r="A156" t="s">
        <v>9</v>
      </c>
      <c r="B156" t="s">
        <v>857</v>
      </c>
      <c r="C156" s="16" t="s">
        <v>272</v>
      </c>
      <c r="D156" s="16">
        <v>3</v>
      </c>
      <c r="E156" t="s">
        <v>1524</v>
      </c>
      <c r="F156" t="s">
        <v>282</v>
      </c>
      <c r="G156" t="s">
        <v>1567</v>
      </c>
      <c r="H156" t="s">
        <v>344</v>
      </c>
      <c r="I156" s="87">
        <f t="shared" si="14"/>
        <v>2.9556650246305424E-2</v>
      </c>
      <c r="J156" s="87">
        <f t="shared" si="15"/>
        <v>0.17733990147783252</v>
      </c>
      <c r="K156" s="87">
        <f t="shared" si="16"/>
        <v>0.25862068965517243</v>
      </c>
      <c r="L156" s="87">
        <f t="shared" si="17"/>
        <v>1.5024630541871922</v>
      </c>
      <c r="M156" s="87">
        <f t="shared" si="18"/>
        <v>0.21921182266009853</v>
      </c>
      <c r="N156" s="87">
        <f t="shared" si="19"/>
        <v>1.2438423645320198</v>
      </c>
      <c r="O156" s="87">
        <f t="shared" si="20"/>
        <v>3.431034482758621</v>
      </c>
    </row>
    <row r="157" spans="1:15" x14ac:dyDescent="0.3">
      <c r="A157" t="s">
        <v>9</v>
      </c>
      <c r="B157" t="s">
        <v>858</v>
      </c>
      <c r="C157" s="16" t="s">
        <v>272</v>
      </c>
      <c r="D157" s="16">
        <v>2</v>
      </c>
      <c r="E157" t="s">
        <v>1524</v>
      </c>
      <c r="F157" t="s">
        <v>282</v>
      </c>
      <c r="G157" t="s">
        <v>1654</v>
      </c>
      <c r="H157" t="s">
        <v>345</v>
      </c>
      <c r="I157" s="87">
        <f t="shared" si="14"/>
        <v>2.9556650246305424E-2</v>
      </c>
      <c r="J157" s="87">
        <f t="shared" si="15"/>
        <v>0.82266009852216748</v>
      </c>
      <c r="K157" s="87">
        <f t="shared" si="16"/>
        <v>0.25862068965517243</v>
      </c>
      <c r="L157" s="87">
        <f t="shared" si="17"/>
        <v>1.5024630541871922</v>
      </c>
      <c r="M157" s="87">
        <f t="shared" si="18"/>
        <v>0.49753694581280794</v>
      </c>
      <c r="N157" s="87">
        <f t="shared" si="19"/>
        <v>2.2536945812807883</v>
      </c>
      <c r="O157" s="87">
        <f t="shared" si="20"/>
        <v>5.3645320197044333</v>
      </c>
    </row>
    <row r="158" spans="1:15" x14ac:dyDescent="0.3">
      <c r="A158" t="s">
        <v>9</v>
      </c>
      <c r="B158" t="s">
        <v>859</v>
      </c>
      <c r="C158" s="16" t="s">
        <v>272</v>
      </c>
      <c r="D158" s="16">
        <v>2</v>
      </c>
      <c r="E158" t="s">
        <v>1524</v>
      </c>
      <c r="F158" t="s">
        <v>282</v>
      </c>
      <c r="G158" t="s">
        <v>341</v>
      </c>
      <c r="H158" t="s">
        <v>345</v>
      </c>
      <c r="I158" s="87">
        <f t="shared" si="14"/>
        <v>2.9556650246305424E-2</v>
      </c>
      <c r="J158" s="87">
        <f t="shared" si="15"/>
        <v>0.82266009852216748</v>
      </c>
      <c r="K158" s="87">
        <f t="shared" si="16"/>
        <v>0.25862068965517243</v>
      </c>
      <c r="L158" s="87">
        <f t="shared" si="17"/>
        <v>1.5024630541871922</v>
      </c>
      <c r="M158" s="87">
        <f t="shared" si="18"/>
        <v>0.4605911330049261</v>
      </c>
      <c r="N158" s="87">
        <f t="shared" si="19"/>
        <v>2.2536945812807883</v>
      </c>
      <c r="O158" s="87">
        <f t="shared" si="20"/>
        <v>5.3275862068965516</v>
      </c>
    </row>
    <row r="159" spans="1:15" x14ac:dyDescent="0.3">
      <c r="A159" t="s">
        <v>9</v>
      </c>
      <c r="B159" t="s">
        <v>860</v>
      </c>
      <c r="C159" s="16" t="s">
        <v>272</v>
      </c>
      <c r="D159" s="16">
        <v>2</v>
      </c>
      <c r="E159" t="s">
        <v>1524</v>
      </c>
      <c r="F159" t="s">
        <v>282</v>
      </c>
      <c r="G159" t="s">
        <v>341</v>
      </c>
      <c r="H159" t="s">
        <v>345</v>
      </c>
      <c r="I159" s="87">
        <f t="shared" si="14"/>
        <v>2.9556650246305424E-2</v>
      </c>
      <c r="J159" s="87">
        <f t="shared" si="15"/>
        <v>0.82266009852216748</v>
      </c>
      <c r="K159" s="87">
        <f t="shared" si="16"/>
        <v>0.25862068965517243</v>
      </c>
      <c r="L159" s="87">
        <f t="shared" si="17"/>
        <v>1.5024630541871922</v>
      </c>
      <c r="M159" s="87">
        <f t="shared" si="18"/>
        <v>0.4605911330049261</v>
      </c>
      <c r="N159" s="87">
        <f t="shared" si="19"/>
        <v>2.2536945812807883</v>
      </c>
      <c r="O159" s="87">
        <f t="shared" si="20"/>
        <v>5.3275862068965516</v>
      </c>
    </row>
    <row r="160" spans="1:15" x14ac:dyDescent="0.3">
      <c r="A160" t="s">
        <v>9</v>
      </c>
      <c r="B160" t="s">
        <v>861</v>
      </c>
      <c r="C160" s="16" t="s">
        <v>272</v>
      </c>
      <c r="D160" s="16">
        <v>2</v>
      </c>
      <c r="E160" t="s">
        <v>1524</v>
      </c>
      <c r="F160" t="s">
        <v>282</v>
      </c>
      <c r="G160" t="s">
        <v>341</v>
      </c>
      <c r="H160" t="s">
        <v>345</v>
      </c>
      <c r="I160" s="87">
        <f t="shared" si="14"/>
        <v>2.9556650246305424E-2</v>
      </c>
      <c r="J160" s="87">
        <f t="shared" si="15"/>
        <v>0.82266009852216748</v>
      </c>
      <c r="K160" s="87">
        <f t="shared" si="16"/>
        <v>0.25862068965517243</v>
      </c>
      <c r="L160" s="87">
        <f t="shared" si="17"/>
        <v>1.5024630541871922</v>
      </c>
      <c r="M160" s="87">
        <f t="shared" si="18"/>
        <v>0.4605911330049261</v>
      </c>
      <c r="N160" s="87">
        <f t="shared" si="19"/>
        <v>2.2536945812807883</v>
      </c>
      <c r="O160" s="87">
        <f t="shared" si="20"/>
        <v>5.3275862068965516</v>
      </c>
    </row>
    <row r="161" spans="1:15" x14ac:dyDescent="0.3">
      <c r="A161" t="s">
        <v>9</v>
      </c>
      <c r="B161" t="s">
        <v>862</v>
      </c>
      <c r="C161" s="16" t="s">
        <v>272</v>
      </c>
      <c r="D161" s="16">
        <v>2</v>
      </c>
      <c r="E161" t="s">
        <v>1524</v>
      </c>
      <c r="F161" t="s">
        <v>282</v>
      </c>
      <c r="G161" t="s">
        <v>341</v>
      </c>
      <c r="H161" t="s">
        <v>1625</v>
      </c>
      <c r="I161" s="87">
        <f t="shared" si="14"/>
        <v>2.9556650246305424E-2</v>
      </c>
      <c r="J161" s="87">
        <f t="shared" si="15"/>
        <v>0.82266009852216748</v>
      </c>
      <c r="K161" s="87">
        <f t="shared" si="16"/>
        <v>0.25862068965517243</v>
      </c>
      <c r="L161" s="87">
        <f t="shared" si="17"/>
        <v>1.5024630541871922</v>
      </c>
      <c r="M161" s="87">
        <f t="shared" si="18"/>
        <v>0.4605911330049261</v>
      </c>
      <c r="N161" s="87">
        <f t="shared" si="19"/>
        <v>2.4876847290640396</v>
      </c>
      <c r="O161" s="87">
        <f t="shared" si="20"/>
        <v>5.5615763546798025</v>
      </c>
    </row>
    <row r="162" spans="1:15" x14ac:dyDescent="0.3">
      <c r="A162" t="s">
        <v>9</v>
      </c>
      <c r="B162" t="s">
        <v>863</v>
      </c>
      <c r="C162" s="16" t="s">
        <v>272</v>
      </c>
      <c r="D162" s="16">
        <v>2</v>
      </c>
      <c r="E162" t="s">
        <v>1524</v>
      </c>
      <c r="F162" t="s">
        <v>282</v>
      </c>
      <c r="G162" t="s">
        <v>341</v>
      </c>
      <c r="H162" t="s">
        <v>1625</v>
      </c>
      <c r="I162" s="87">
        <f t="shared" si="14"/>
        <v>2.9556650246305424E-2</v>
      </c>
      <c r="J162" s="87">
        <f t="shared" si="15"/>
        <v>0.82266009852216748</v>
      </c>
      <c r="K162" s="87">
        <f t="shared" si="16"/>
        <v>0.25862068965517243</v>
      </c>
      <c r="L162" s="87">
        <f t="shared" si="17"/>
        <v>1.5024630541871922</v>
      </c>
      <c r="M162" s="87">
        <f t="shared" si="18"/>
        <v>0.4605911330049261</v>
      </c>
      <c r="N162" s="87">
        <f t="shared" si="19"/>
        <v>2.4876847290640396</v>
      </c>
      <c r="O162" s="87">
        <f t="shared" si="20"/>
        <v>5.5615763546798025</v>
      </c>
    </row>
    <row r="163" spans="1:15" x14ac:dyDescent="0.3">
      <c r="A163" t="s">
        <v>9</v>
      </c>
      <c r="B163" t="s">
        <v>864</v>
      </c>
      <c r="C163" s="16" t="s">
        <v>272</v>
      </c>
      <c r="D163" s="16">
        <v>2</v>
      </c>
      <c r="E163" t="s">
        <v>1524</v>
      </c>
      <c r="F163" t="s">
        <v>282</v>
      </c>
      <c r="G163" t="s">
        <v>341</v>
      </c>
      <c r="H163" t="s">
        <v>345</v>
      </c>
      <c r="I163" s="87">
        <f t="shared" si="14"/>
        <v>2.9556650246305424E-2</v>
      </c>
      <c r="J163" s="87">
        <f t="shared" si="15"/>
        <v>0.82266009852216748</v>
      </c>
      <c r="K163" s="87">
        <f t="shared" si="16"/>
        <v>0.25862068965517243</v>
      </c>
      <c r="L163" s="87">
        <f t="shared" si="17"/>
        <v>1.5024630541871922</v>
      </c>
      <c r="M163" s="87">
        <f t="shared" si="18"/>
        <v>0.4605911330049261</v>
      </c>
      <c r="N163" s="87">
        <f t="shared" si="19"/>
        <v>2.2536945812807883</v>
      </c>
      <c r="O163" s="87">
        <f t="shared" si="20"/>
        <v>5.3275862068965516</v>
      </c>
    </row>
    <row r="164" spans="1:15" x14ac:dyDescent="0.3">
      <c r="A164" t="s">
        <v>9</v>
      </c>
      <c r="B164" t="s">
        <v>865</v>
      </c>
      <c r="C164" s="16" t="s">
        <v>272</v>
      </c>
      <c r="D164" s="16">
        <v>2</v>
      </c>
      <c r="E164" t="s">
        <v>1524</v>
      </c>
      <c r="F164" t="s">
        <v>282</v>
      </c>
      <c r="G164" t="s">
        <v>1654</v>
      </c>
      <c r="H164" t="s">
        <v>345</v>
      </c>
      <c r="I164" s="87">
        <f t="shared" si="14"/>
        <v>2.9556650246305424E-2</v>
      </c>
      <c r="J164" s="87">
        <f t="shared" si="15"/>
        <v>0.82266009852216748</v>
      </c>
      <c r="K164" s="87">
        <f t="shared" si="16"/>
        <v>0.25862068965517243</v>
      </c>
      <c r="L164" s="87">
        <f t="shared" si="17"/>
        <v>1.5024630541871922</v>
      </c>
      <c r="M164" s="87">
        <f t="shared" si="18"/>
        <v>0.49753694581280794</v>
      </c>
      <c r="N164" s="87">
        <f t="shared" si="19"/>
        <v>2.2536945812807883</v>
      </c>
      <c r="O164" s="87">
        <f t="shared" si="20"/>
        <v>5.3645320197044333</v>
      </c>
    </row>
    <row r="165" spans="1:15" x14ac:dyDescent="0.3">
      <c r="A165" t="s">
        <v>9</v>
      </c>
      <c r="B165" t="s">
        <v>866</v>
      </c>
      <c r="C165" s="16" t="s">
        <v>272</v>
      </c>
      <c r="D165" s="16">
        <v>2</v>
      </c>
      <c r="E165" t="s">
        <v>1524</v>
      </c>
      <c r="F165" t="s">
        <v>282</v>
      </c>
      <c r="G165" t="s">
        <v>341</v>
      </c>
      <c r="H165" t="s">
        <v>1572</v>
      </c>
      <c r="I165" s="87">
        <f t="shared" si="14"/>
        <v>2.9556650246305424E-2</v>
      </c>
      <c r="J165" s="87">
        <f t="shared" si="15"/>
        <v>0.82266009852216748</v>
      </c>
      <c r="K165" s="87">
        <f t="shared" si="16"/>
        <v>0.25862068965517243</v>
      </c>
      <c r="L165" s="87">
        <f t="shared" si="17"/>
        <v>1.5024630541871922</v>
      </c>
      <c r="M165" s="87">
        <f t="shared" si="18"/>
        <v>0.4605911330049261</v>
      </c>
      <c r="N165" s="87">
        <f t="shared" si="19"/>
        <v>2.4384236453201971</v>
      </c>
      <c r="O165" s="87">
        <f t="shared" si="20"/>
        <v>5.5123152709359609</v>
      </c>
    </row>
    <row r="166" spans="1:15" x14ac:dyDescent="0.3">
      <c r="A166" t="s">
        <v>9</v>
      </c>
      <c r="B166" t="s">
        <v>867</v>
      </c>
      <c r="C166" s="16" t="s">
        <v>272</v>
      </c>
      <c r="D166" s="16">
        <v>2</v>
      </c>
      <c r="E166" t="s">
        <v>1524</v>
      </c>
      <c r="F166" t="s">
        <v>282</v>
      </c>
      <c r="G166" t="s">
        <v>1567</v>
      </c>
      <c r="H166" t="s">
        <v>1572</v>
      </c>
      <c r="I166" s="87">
        <f t="shared" si="14"/>
        <v>2.9556650246305424E-2</v>
      </c>
      <c r="J166" s="87">
        <f t="shared" si="15"/>
        <v>0.82266009852216748</v>
      </c>
      <c r="K166" s="87">
        <f t="shared" si="16"/>
        <v>0.25862068965517243</v>
      </c>
      <c r="L166" s="87">
        <f t="shared" si="17"/>
        <v>1.5024630541871922</v>
      </c>
      <c r="M166" s="87">
        <f t="shared" si="18"/>
        <v>0.21921182266009853</v>
      </c>
      <c r="N166" s="87">
        <f t="shared" si="19"/>
        <v>2.4384236453201971</v>
      </c>
      <c r="O166" s="87">
        <f t="shared" si="20"/>
        <v>5.2709359605911335</v>
      </c>
    </row>
    <row r="167" spans="1:15" x14ac:dyDescent="0.3">
      <c r="A167" t="s">
        <v>45</v>
      </c>
      <c r="B167" t="s">
        <v>868</v>
      </c>
      <c r="C167" s="16" t="s">
        <v>272</v>
      </c>
      <c r="D167" s="16">
        <v>3</v>
      </c>
      <c r="E167" t="s">
        <v>1524</v>
      </c>
      <c r="F167" t="s">
        <v>282</v>
      </c>
      <c r="G167" t="s">
        <v>1567</v>
      </c>
      <c r="H167" t="s">
        <v>344</v>
      </c>
      <c r="I167" s="87">
        <f t="shared" si="14"/>
        <v>2.9556650246305424E-2</v>
      </c>
      <c r="J167" s="87">
        <f t="shared" si="15"/>
        <v>0.17733990147783252</v>
      </c>
      <c r="K167" s="87">
        <f t="shared" si="16"/>
        <v>0.25862068965517243</v>
      </c>
      <c r="L167" s="87">
        <f t="shared" si="17"/>
        <v>1.5024630541871922</v>
      </c>
      <c r="M167" s="87">
        <f t="shared" si="18"/>
        <v>0.21921182266009853</v>
      </c>
      <c r="N167" s="87">
        <f t="shared" si="19"/>
        <v>1.2438423645320198</v>
      </c>
      <c r="O167" s="87">
        <f t="shared" si="20"/>
        <v>3.431034482758621</v>
      </c>
    </row>
    <row r="168" spans="1:15" x14ac:dyDescent="0.3">
      <c r="A168" t="s">
        <v>45</v>
      </c>
      <c r="B168" t="s">
        <v>869</v>
      </c>
      <c r="C168" s="16" t="s">
        <v>272</v>
      </c>
      <c r="D168" s="16">
        <v>3</v>
      </c>
      <c r="E168" t="s">
        <v>1524</v>
      </c>
      <c r="F168" t="s">
        <v>1637</v>
      </c>
      <c r="G168" t="s">
        <v>1566</v>
      </c>
      <c r="H168" t="s">
        <v>1573</v>
      </c>
      <c r="I168" s="87">
        <f t="shared" si="14"/>
        <v>2.9556650246305424E-2</v>
      </c>
      <c r="J168" s="87">
        <f t="shared" si="15"/>
        <v>0.17733990147783252</v>
      </c>
      <c r="K168" s="87">
        <f t="shared" si="16"/>
        <v>0.25862068965517243</v>
      </c>
      <c r="L168" s="87">
        <f t="shared" si="17"/>
        <v>2.4507389162561575</v>
      </c>
      <c r="M168" s="87">
        <f t="shared" si="18"/>
        <v>0.38669950738916259</v>
      </c>
      <c r="N168" s="87">
        <f t="shared" si="19"/>
        <v>2.4137931034482758</v>
      </c>
      <c r="O168" s="87">
        <f t="shared" si="20"/>
        <v>5.7167487684729066</v>
      </c>
    </row>
    <row r="169" spans="1:15" x14ac:dyDescent="0.3">
      <c r="A169" t="s">
        <v>45</v>
      </c>
      <c r="B169" t="s">
        <v>870</v>
      </c>
      <c r="C169" s="16" t="s">
        <v>272</v>
      </c>
      <c r="D169" s="16">
        <v>3</v>
      </c>
      <c r="E169" t="s">
        <v>1524</v>
      </c>
      <c r="F169" t="s">
        <v>282</v>
      </c>
      <c r="G169" t="s">
        <v>1566</v>
      </c>
      <c r="H169" t="s">
        <v>1571</v>
      </c>
      <c r="I169" s="87">
        <f t="shared" si="14"/>
        <v>2.9556650246305424E-2</v>
      </c>
      <c r="J169" s="87">
        <f t="shared" si="15"/>
        <v>0.17733990147783252</v>
      </c>
      <c r="K169" s="87">
        <f t="shared" si="16"/>
        <v>0.25862068965517243</v>
      </c>
      <c r="L169" s="87">
        <f t="shared" si="17"/>
        <v>1.5024630541871922</v>
      </c>
      <c r="M169" s="87">
        <f t="shared" si="18"/>
        <v>0.38669950738916259</v>
      </c>
      <c r="N169" s="87">
        <f t="shared" si="19"/>
        <v>2.4630541871921183</v>
      </c>
      <c r="O169" s="87">
        <f t="shared" si="20"/>
        <v>4.8177339901477838</v>
      </c>
    </row>
    <row r="170" spans="1:15" x14ac:dyDescent="0.3">
      <c r="A170" t="s">
        <v>45</v>
      </c>
      <c r="B170" t="s">
        <v>871</v>
      </c>
      <c r="C170" s="16" t="s">
        <v>272</v>
      </c>
      <c r="D170" s="16">
        <v>3</v>
      </c>
      <c r="E170" t="s">
        <v>1524</v>
      </c>
      <c r="F170" t="s">
        <v>282</v>
      </c>
      <c r="G170" t="s">
        <v>1566</v>
      </c>
      <c r="H170" t="s">
        <v>1571</v>
      </c>
      <c r="I170" s="87">
        <f t="shared" si="14"/>
        <v>2.9556650246305424E-2</v>
      </c>
      <c r="J170" s="87">
        <f t="shared" si="15"/>
        <v>0.17733990147783252</v>
      </c>
      <c r="K170" s="87">
        <f t="shared" si="16"/>
        <v>0.25862068965517243</v>
      </c>
      <c r="L170" s="87">
        <f t="shared" si="17"/>
        <v>1.5024630541871922</v>
      </c>
      <c r="M170" s="87">
        <f t="shared" si="18"/>
        <v>0.38669950738916259</v>
      </c>
      <c r="N170" s="87">
        <f t="shared" si="19"/>
        <v>2.4630541871921183</v>
      </c>
      <c r="O170" s="87">
        <f t="shared" si="20"/>
        <v>4.8177339901477838</v>
      </c>
    </row>
    <row r="171" spans="1:15" x14ac:dyDescent="0.3">
      <c r="A171" t="s">
        <v>45</v>
      </c>
      <c r="B171" t="s">
        <v>872</v>
      </c>
      <c r="C171" s="16" t="s">
        <v>272</v>
      </c>
      <c r="D171" s="16">
        <v>3</v>
      </c>
      <c r="E171" t="s">
        <v>1524</v>
      </c>
      <c r="F171" t="s">
        <v>1637</v>
      </c>
      <c r="G171" t="s">
        <v>1566</v>
      </c>
      <c r="H171" t="s">
        <v>1573</v>
      </c>
      <c r="I171" s="87">
        <f t="shared" si="14"/>
        <v>2.9556650246305424E-2</v>
      </c>
      <c r="J171" s="87">
        <f t="shared" si="15"/>
        <v>0.17733990147783252</v>
      </c>
      <c r="K171" s="87">
        <f t="shared" si="16"/>
        <v>0.25862068965517243</v>
      </c>
      <c r="L171" s="87">
        <f t="shared" si="17"/>
        <v>2.4507389162561575</v>
      </c>
      <c r="M171" s="87">
        <f t="shared" si="18"/>
        <v>0.38669950738916259</v>
      </c>
      <c r="N171" s="87">
        <f t="shared" si="19"/>
        <v>2.4137931034482758</v>
      </c>
      <c r="O171" s="87">
        <f t="shared" si="20"/>
        <v>5.7167487684729066</v>
      </c>
    </row>
    <row r="172" spans="1:15" x14ac:dyDescent="0.3">
      <c r="A172" t="s">
        <v>45</v>
      </c>
      <c r="B172" t="s">
        <v>873</v>
      </c>
      <c r="C172" s="16" t="s">
        <v>272</v>
      </c>
      <c r="D172" s="16">
        <v>3</v>
      </c>
      <c r="E172" t="s">
        <v>1524</v>
      </c>
      <c r="F172" t="s">
        <v>1637</v>
      </c>
      <c r="G172" t="s">
        <v>1566</v>
      </c>
      <c r="H172" t="s">
        <v>1573</v>
      </c>
      <c r="I172" s="87">
        <f t="shared" si="14"/>
        <v>2.9556650246305424E-2</v>
      </c>
      <c r="J172" s="87">
        <f t="shared" si="15"/>
        <v>0.17733990147783252</v>
      </c>
      <c r="K172" s="87">
        <f t="shared" si="16"/>
        <v>0.25862068965517243</v>
      </c>
      <c r="L172" s="87">
        <f t="shared" si="17"/>
        <v>2.4507389162561575</v>
      </c>
      <c r="M172" s="87">
        <f t="shared" si="18"/>
        <v>0.38669950738916259</v>
      </c>
      <c r="N172" s="87">
        <f t="shared" si="19"/>
        <v>2.4137931034482758</v>
      </c>
      <c r="O172" s="87">
        <f t="shared" si="20"/>
        <v>5.7167487684729066</v>
      </c>
    </row>
    <row r="173" spans="1:15" x14ac:dyDescent="0.3">
      <c r="A173" t="s">
        <v>45</v>
      </c>
      <c r="B173" t="s">
        <v>874</v>
      </c>
      <c r="C173" s="16" t="s">
        <v>272</v>
      </c>
      <c r="D173" s="16">
        <v>3</v>
      </c>
      <c r="E173" t="s">
        <v>1524</v>
      </c>
      <c r="F173" t="s">
        <v>282</v>
      </c>
      <c r="G173" t="s">
        <v>1566</v>
      </c>
      <c r="H173" t="s">
        <v>344</v>
      </c>
      <c r="I173" s="87">
        <f t="shared" si="14"/>
        <v>2.9556650246305424E-2</v>
      </c>
      <c r="J173" s="87">
        <f t="shared" si="15"/>
        <v>0.17733990147783252</v>
      </c>
      <c r="K173" s="87">
        <f t="shared" si="16"/>
        <v>0.25862068965517243</v>
      </c>
      <c r="L173" s="87">
        <f t="shared" si="17"/>
        <v>1.5024630541871922</v>
      </c>
      <c r="M173" s="87">
        <f t="shared" si="18"/>
        <v>0.38669950738916259</v>
      </c>
      <c r="N173" s="87">
        <f t="shared" si="19"/>
        <v>1.2438423645320198</v>
      </c>
      <c r="O173" s="87">
        <f t="shared" si="20"/>
        <v>3.5985221674876851</v>
      </c>
    </row>
    <row r="174" spans="1:15" x14ac:dyDescent="0.3">
      <c r="A174" t="s">
        <v>45</v>
      </c>
      <c r="B174" t="s">
        <v>875</v>
      </c>
      <c r="C174" s="16" t="s">
        <v>272</v>
      </c>
      <c r="D174" s="16">
        <v>2</v>
      </c>
      <c r="E174" t="s">
        <v>1524</v>
      </c>
      <c r="F174" t="s">
        <v>282</v>
      </c>
      <c r="G174" t="s">
        <v>1566</v>
      </c>
      <c r="H174" t="s">
        <v>344</v>
      </c>
      <c r="I174" s="87">
        <f t="shared" si="14"/>
        <v>2.9556650246305424E-2</v>
      </c>
      <c r="J174" s="87">
        <f t="shared" si="15"/>
        <v>0.82266009852216748</v>
      </c>
      <c r="K174" s="87">
        <f t="shared" si="16"/>
        <v>0.25862068965517243</v>
      </c>
      <c r="L174" s="87">
        <f t="shared" si="17"/>
        <v>1.5024630541871922</v>
      </c>
      <c r="M174" s="87">
        <f t="shared" si="18"/>
        <v>0.38669950738916259</v>
      </c>
      <c r="N174" s="87">
        <f t="shared" si="19"/>
        <v>1.2438423645320198</v>
      </c>
      <c r="O174" s="87">
        <f t="shared" si="20"/>
        <v>4.2438423645320196</v>
      </c>
    </row>
    <row r="175" spans="1:15" x14ac:dyDescent="0.3">
      <c r="A175" t="s">
        <v>45</v>
      </c>
      <c r="B175" t="s">
        <v>876</v>
      </c>
      <c r="C175" s="16" t="s">
        <v>272</v>
      </c>
      <c r="D175" s="16">
        <v>2</v>
      </c>
      <c r="E175" t="s">
        <v>1524</v>
      </c>
      <c r="F175" t="s">
        <v>282</v>
      </c>
      <c r="G175" t="s">
        <v>1566</v>
      </c>
      <c r="H175" t="s">
        <v>344</v>
      </c>
      <c r="I175" s="87">
        <f t="shared" si="14"/>
        <v>2.9556650246305424E-2</v>
      </c>
      <c r="J175" s="87">
        <f t="shared" si="15"/>
        <v>0.82266009852216748</v>
      </c>
      <c r="K175" s="87">
        <f t="shared" si="16"/>
        <v>0.25862068965517243</v>
      </c>
      <c r="L175" s="87">
        <f t="shared" si="17"/>
        <v>1.5024630541871922</v>
      </c>
      <c r="M175" s="87">
        <f t="shared" si="18"/>
        <v>0.38669950738916259</v>
      </c>
      <c r="N175" s="87">
        <f t="shared" si="19"/>
        <v>1.2438423645320198</v>
      </c>
      <c r="O175" s="87">
        <f t="shared" si="20"/>
        <v>4.2438423645320196</v>
      </c>
    </row>
    <row r="176" spans="1:15" x14ac:dyDescent="0.3">
      <c r="A176" t="s">
        <v>45</v>
      </c>
      <c r="B176" t="s">
        <v>877</v>
      </c>
      <c r="C176" s="16" t="s">
        <v>272</v>
      </c>
      <c r="D176" s="16">
        <v>3</v>
      </c>
      <c r="E176" t="s">
        <v>1524</v>
      </c>
      <c r="F176" t="s">
        <v>282</v>
      </c>
      <c r="G176" t="s">
        <v>1566</v>
      </c>
      <c r="H176" t="s">
        <v>1573</v>
      </c>
      <c r="I176" s="87">
        <f t="shared" si="14"/>
        <v>2.9556650246305424E-2</v>
      </c>
      <c r="J176" s="87">
        <f t="shared" si="15"/>
        <v>0.17733990147783252</v>
      </c>
      <c r="K176" s="87">
        <f t="shared" si="16"/>
        <v>0.25862068965517243</v>
      </c>
      <c r="L176" s="87">
        <f t="shared" si="17"/>
        <v>1.5024630541871922</v>
      </c>
      <c r="M176" s="87">
        <f t="shared" si="18"/>
        <v>0.38669950738916259</v>
      </c>
      <c r="N176" s="87">
        <f t="shared" si="19"/>
        <v>2.4137931034482758</v>
      </c>
      <c r="O176" s="87">
        <f t="shared" si="20"/>
        <v>4.7684729064039413</v>
      </c>
    </row>
    <row r="177" spans="1:15" x14ac:dyDescent="0.3">
      <c r="A177" t="s">
        <v>45</v>
      </c>
      <c r="B177" t="s">
        <v>878</v>
      </c>
      <c r="C177" s="16" t="s">
        <v>272</v>
      </c>
      <c r="D177" s="16">
        <v>3</v>
      </c>
      <c r="E177" t="s">
        <v>1524</v>
      </c>
      <c r="F177" t="s">
        <v>1637</v>
      </c>
      <c r="G177" t="s">
        <v>1566</v>
      </c>
      <c r="H177" t="s">
        <v>1573</v>
      </c>
      <c r="I177" s="87">
        <f t="shared" si="14"/>
        <v>2.9556650246305424E-2</v>
      </c>
      <c r="J177" s="87">
        <f t="shared" si="15"/>
        <v>0.17733990147783252</v>
      </c>
      <c r="K177" s="87">
        <f t="shared" si="16"/>
        <v>0.25862068965517243</v>
      </c>
      <c r="L177" s="87">
        <f t="shared" si="17"/>
        <v>2.4507389162561575</v>
      </c>
      <c r="M177" s="87">
        <f t="shared" si="18"/>
        <v>0.38669950738916259</v>
      </c>
      <c r="N177" s="87">
        <f t="shared" si="19"/>
        <v>2.4137931034482758</v>
      </c>
      <c r="O177" s="87">
        <f t="shared" si="20"/>
        <v>5.7167487684729066</v>
      </c>
    </row>
    <row r="178" spans="1:15" x14ac:dyDescent="0.3">
      <c r="A178" t="s">
        <v>45</v>
      </c>
      <c r="B178" t="s">
        <v>879</v>
      </c>
      <c r="C178" s="16" t="s">
        <v>272</v>
      </c>
      <c r="D178" s="16">
        <v>3</v>
      </c>
      <c r="E178" t="s">
        <v>1524</v>
      </c>
      <c r="F178" t="s">
        <v>1637</v>
      </c>
      <c r="G178" t="s">
        <v>1566</v>
      </c>
      <c r="H178" t="s">
        <v>1573</v>
      </c>
      <c r="I178" s="87">
        <f t="shared" si="14"/>
        <v>2.9556650246305424E-2</v>
      </c>
      <c r="J178" s="87">
        <f t="shared" si="15"/>
        <v>0.17733990147783252</v>
      </c>
      <c r="K178" s="87">
        <f t="shared" si="16"/>
        <v>0.25862068965517243</v>
      </c>
      <c r="L178" s="87">
        <f t="shared" si="17"/>
        <v>2.4507389162561575</v>
      </c>
      <c r="M178" s="87">
        <f t="shared" si="18"/>
        <v>0.38669950738916259</v>
      </c>
      <c r="N178" s="87">
        <f t="shared" si="19"/>
        <v>2.4137931034482758</v>
      </c>
      <c r="O178" s="87">
        <f t="shared" si="20"/>
        <v>5.7167487684729066</v>
      </c>
    </row>
    <row r="179" spans="1:15" x14ac:dyDescent="0.3">
      <c r="A179" t="s">
        <v>45</v>
      </c>
      <c r="B179" t="s">
        <v>880</v>
      </c>
      <c r="C179" s="16" t="s">
        <v>272</v>
      </c>
      <c r="D179" s="16">
        <v>3</v>
      </c>
      <c r="E179" t="s">
        <v>1524</v>
      </c>
      <c r="F179" t="s">
        <v>1534</v>
      </c>
      <c r="G179" t="s">
        <v>1566</v>
      </c>
      <c r="H179" t="s">
        <v>344</v>
      </c>
      <c r="I179" s="87">
        <f t="shared" si="14"/>
        <v>2.9556650246305424E-2</v>
      </c>
      <c r="J179" s="87">
        <f t="shared" si="15"/>
        <v>0.17733990147783252</v>
      </c>
      <c r="K179" s="87">
        <f t="shared" si="16"/>
        <v>0.25862068965517243</v>
      </c>
      <c r="L179" s="87">
        <f t="shared" si="17"/>
        <v>2.4507389162561575</v>
      </c>
      <c r="M179" s="87">
        <f t="shared" si="18"/>
        <v>0.38669950738916259</v>
      </c>
      <c r="N179" s="87">
        <f t="shared" si="19"/>
        <v>1.2438423645320198</v>
      </c>
      <c r="O179" s="87">
        <f t="shared" si="20"/>
        <v>4.5467980295566504</v>
      </c>
    </row>
    <row r="180" spans="1:15" x14ac:dyDescent="0.3">
      <c r="A180" t="s">
        <v>45</v>
      </c>
      <c r="B180" t="s">
        <v>881</v>
      </c>
      <c r="C180" s="16" t="s">
        <v>272</v>
      </c>
      <c r="D180" s="16">
        <v>3</v>
      </c>
      <c r="E180" t="s">
        <v>1524</v>
      </c>
      <c r="F180" t="s">
        <v>1534</v>
      </c>
      <c r="G180" t="s">
        <v>1567</v>
      </c>
      <c r="H180" t="s">
        <v>344</v>
      </c>
      <c r="I180" s="87">
        <f t="shared" si="14"/>
        <v>2.9556650246305424E-2</v>
      </c>
      <c r="J180" s="87">
        <f t="shared" si="15"/>
        <v>0.17733990147783252</v>
      </c>
      <c r="K180" s="87">
        <f t="shared" si="16"/>
        <v>0.25862068965517243</v>
      </c>
      <c r="L180" s="87">
        <f t="shared" si="17"/>
        <v>2.4507389162561575</v>
      </c>
      <c r="M180" s="87">
        <f t="shared" si="18"/>
        <v>0.21921182266009853</v>
      </c>
      <c r="N180" s="87">
        <f t="shared" si="19"/>
        <v>1.2438423645320198</v>
      </c>
      <c r="O180" s="87">
        <f t="shared" si="20"/>
        <v>4.3793103448275863</v>
      </c>
    </row>
    <row r="181" spans="1:15" x14ac:dyDescent="0.3">
      <c r="A181" t="s">
        <v>45</v>
      </c>
      <c r="B181" t="s">
        <v>882</v>
      </c>
      <c r="C181" s="16" t="s">
        <v>272</v>
      </c>
      <c r="D181" s="16">
        <v>3</v>
      </c>
      <c r="E181" t="s">
        <v>1524</v>
      </c>
      <c r="F181" t="s">
        <v>1658</v>
      </c>
      <c r="G181" t="s">
        <v>1566</v>
      </c>
      <c r="H181" t="s">
        <v>1573</v>
      </c>
      <c r="I181" s="87">
        <f t="shared" si="14"/>
        <v>2.9556650246305424E-2</v>
      </c>
      <c r="J181" s="87">
        <f t="shared" si="15"/>
        <v>0.17733990147783252</v>
      </c>
      <c r="K181" s="87">
        <f t="shared" si="16"/>
        <v>0.25862068965517243</v>
      </c>
      <c r="L181" s="87">
        <f t="shared" si="17"/>
        <v>2.5</v>
      </c>
      <c r="M181" s="87">
        <f t="shared" si="18"/>
        <v>0.38669950738916259</v>
      </c>
      <c r="N181" s="87">
        <f t="shared" si="19"/>
        <v>2.4137931034482758</v>
      </c>
      <c r="O181" s="87">
        <f t="shared" si="20"/>
        <v>5.7660098522167491</v>
      </c>
    </row>
    <row r="182" spans="1:15" x14ac:dyDescent="0.3">
      <c r="A182" t="s">
        <v>45</v>
      </c>
      <c r="B182" t="s">
        <v>883</v>
      </c>
      <c r="C182" s="16" t="s">
        <v>272</v>
      </c>
      <c r="D182" s="16">
        <v>3</v>
      </c>
      <c r="E182" t="s">
        <v>1524</v>
      </c>
      <c r="F182" t="s">
        <v>1540</v>
      </c>
      <c r="G182" t="s">
        <v>1566</v>
      </c>
      <c r="H182" t="s">
        <v>1574</v>
      </c>
      <c r="I182" s="87">
        <f t="shared" si="14"/>
        <v>2.9556650246305424E-2</v>
      </c>
      <c r="J182" s="87">
        <f t="shared" si="15"/>
        <v>0.17733990147783252</v>
      </c>
      <c r="K182" s="87">
        <f t="shared" si="16"/>
        <v>0.25862068965517243</v>
      </c>
      <c r="L182" s="87">
        <f t="shared" si="17"/>
        <v>2.3891625615763545</v>
      </c>
      <c r="M182" s="87">
        <f t="shared" si="18"/>
        <v>0.38669950738916259</v>
      </c>
      <c r="N182" s="87">
        <f t="shared" si="19"/>
        <v>2.3522167487684729</v>
      </c>
      <c r="O182" s="87">
        <f t="shared" si="20"/>
        <v>5.5935960591133007</v>
      </c>
    </row>
    <row r="183" spans="1:15" x14ac:dyDescent="0.3">
      <c r="A183" t="s">
        <v>45</v>
      </c>
      <c r="B183" t="s">
        <v>884</v>
      </c>
      <c r="C183" s="16" t="s">
        <v>272</v>
      </c>
      <c r="D183" s="16">
        <v>3</v>
      </c>
      <c r="E183" t="s">
        <v>1524</v>
      </c>
      <c r="F183" t="s">
        <v>1658</v>
      </c>
      <c r="G183" t="s">
        <v>1566</v>
      </c>
      <c r="H183" t="s">
        <v>1574</v>
      </c>
      <c r="I183" s="87">
        <f t="shared" si="14"/>
        <v>2.9556650246305424E-2</v>
      </c>
      <c r="J183" s="87">
        <f t="shared" si="15"/>
        <v>0.17733990147783252</v>
      </c>
      <c r="K183" s="87">
        <f t="shared" si="16"/>
        <v>0.25862068965517243</v>
      </c>
      <c r="L183" s="87">
        <f t="shared" si="17"/>
        <v>2.5</v>
      </c>
      <c r="M183" s="87">
        <f t="shared" si="18"/>
        <v>0.38669950738916259</v>
      </c>
      <c r="N183" s="87">
        <f t="shared" si="19"/>
        <v>2.3522167487684729</v>
      </c>
      <c r="O183" s="87">
        <f t="shared" si="20"/>
        <v>5.7044334975369466</v>
      </c>
    </row>
    <row r="184" spans="1:15" x14ac:dyDescent="0.3">
      <c r="A184" t="s">
        <v>45</v>
      </c>
      <c r="B184" t="s">
        <v>885</v>
      </c>
      <c r="C184" s="16" t="s">
        <v>272</v>
      </c>
      <c r="D184" s="16">
        <v>3</v>
      </c>
      <c r="E184" t="s">
        <v>1524</v>
      </c>
      <c r="F184" t="s">
        <v>1534</v>
      </c>
      <c r="G184" t="s">
        <v>341</v>
      </c>
      <c r="H184" t="s">
        <v>344</v>
      </c>
      <c r="I184" s="87">
        <f t="shared" si="14"/>
        <v>2.9556650246305424E-2</v>
      </c>
      <c r="J184" s="87">
        <f t="shared" si="15"/>
        <v>0.17733990147783252</v>
      </c>
      <c r="K184" s="87">
        <f t="shared" si="16"/>
        <v>0.25862068965517243</v>
      </c>
      <c r="L184" s="87">
        <f t="shared" si="17"/>
        <v>2.4507389162561575</v>
      </c>
      <c r="M184" s="87">
        <f t="shared" si="18"/>
        <v>0.4605911330049261</v>
      </c>
      <c r="N184" s="87">
        <f t="shared" si="19"/>
        <v>1.2438423645320198</v>
      </c>
      <c r="O184" s="87">
        <f t="shared" si="20"/>
        <v>4.6206896551724137</v>
      </c>
    </row>
    <row r="185" spans="1:15" x14ac:dyDescent="0.3">
      <c r="A185" t="s">
        <v>45</v>
      </c>
      <c r="B185" t="s">
        <v>886</v>
      </c>
      <c r="C185" s="16" t="s">
        <v>272</v>
      </c>
      <c r="D185" s="16">
        <v>3</v>
      </c>
      <c r="E185" t="s">
        <v>1524</v>
      </c>
      <c r="F185" t="s">
        <v>1534</v>
      </c>
      <c r="G185" t="s">
        <v>1567</v>
      </c>
      <c r="H185" t="s">
        <v>344</v>
      </c>
      <c r="I185" s="87">
        <f t="shared" si="14"/>
        <v>2.9556650246305424E-2</v>
      </c>
      <c r="J185" s="87">
        <f t="shared" si="15"/>
        <v>0.17733990147783252</v>
      </c>
      <c r="K185" s="87">
        <f t="shared" si="16"/>
        <v>0.25862068965517243</v>
      </c>
      <c r="L185" s="87">
        <f t="shared" si="17"/>
        <v>2.4507389162561575</v>
      </c>
      <c r="M185" s="87">
        <f t="shared" si="18"/>
        <v>0.21921182266009853</v>
      </c>
      <c r="N185" s="87">
        <f t="shared" si="19"/>
        <v>1.2438423645320198</v>
      </c>
      <c r="O185" s="87">
        <f t="shared" si="20"/>
        <v>4.3793103448275863</v>
      </c>
    </row>
    <row r="186" spans="1:15" x14ac:dyDescent="0.3">
      <c r="A186" t="s">
        <v>45</v>
      </c>
      <c r="B186" t="s">
        <v>887</v>
      </c>
      <c r="C186" s="16" t="s">
        <v>272</v>
      </c>
      <c r="D186" s="16">
        <v>3</v>
      </c>
      <c r="E186" t="s">
        <v>1524</v>
      </c>
      <c r="F186" t="s">
        <v>1658</v>
      </c>
      <c r="G186" t="s">
        <v>341</v>
      </c>
      <c r="H186" t="s">
        <v>344</v>
      </c>
      <c r="I186" s="87">
        <f t="shared" si="14"/>
        <v>2.9556650246305424E-2</v>
      </c>
      <c r="J186" s="87">
        <f t="shared" si="15"/>
        <v>0.17733990147783252</v>
      </c>
      <c r="K186" s="87">
        <f t="shared" si="16"/>
        <v>0.25862068965517243</v>
      </c>
      <c r="L186" s="87">
        <f t="shared" si="17"/>
        <v>2.5</v>
      </c>
      <c r="M186" s="87">
        <f t="shared" si="18"/>
        <v>0.4605911330049261</v>
      </c>
      <c r="N186" s="87">
        <f t="shared" si="19"/>
        <v>1.2438423645320198</v>
      </c>
      <c r="O186" s="87">
        <f t="shared" si="20"/>
        <v>4.6699507389162562</v>
      </c>
    </row>
    <row r="187" spans="1:15" x14ac:dyDescent="0.3">
      <c r="A187" t="s">
        <v>45</v>
      </c>
      <c r="B187" t="s">
        <v>888</v>
      </c>
      <c r="C187" s="16" t="s">
        <v>272</v>
      </c>
      <c r="D187" s="16">
        <v>3</v>
      </c>
      <c r="E187" t="s">
        <v>1524</v>
      </c>
      <c r="F187" t="s">
        <v>1534</v>
      </c>
      <c r="G187" t="s">
        <v>1567</v>
      </c>
      <c r="H187" t="s">
        <v>344</v>
      </c>
      <c r="I187" s="87">
        <f t="shared" si="14"/>
        <v>2.9556650246305424E-2</v>
      </c>
      <c r="J187" s="87">
        <f t="shared" si="15"/>
        <v>0.17733990147783252</v>
      </c>
      <c r="K187" s="87">
        <f t="shared" si="16"/>
        <v>0.25862068965517243</v>
      </c>
      <c r="L187" s="87">
        <f t="shared" si="17"/>
        <v>2.4507389162561575</v>
      </c>
      <c r="M187" s="87">
        <f t="shared" si="18"/>
        <v>0.21921182266009853</v>
      </c>
      <c r="N187" s="87">
        <f t="shared" si="19"/>
        <v>1.2438423645320198</v>
      </c>
      <c r="O187" s="87">
        <f t="shared" si="20"/>
        <v>4.3793103448275863</v>
      </c>
    </row>
    <row r="188" spans="1:15" x14ac:dyDescent="0.3">
      <c r="A188" t="s">
        <v>45</v>
      </c>
      <c r="B188" t="s">
        <v>889</v>
      </c>
      <c r="C188" s="16" t="s">
        <v>272</v>
      </c>
      <c r="D188" s="16">
        <v>3</v>
      </c>
      <c r="E188" t="s">
        <v>1524</v>
      </c>
      <c r="F188" t="s">
        <v>1658</v>
      </c>
      <c r="G188" t="s">
        <v>1566</v>
      </c>
      <c r="H188" t="s">
        <v>1573</v>
      </c>
      <c r="I188" s="87">
        <f t="shared" si="14"/>
        <v>2.9556650246305424E-2</v>
      </c>
      <c r="J188" s="87">
        <f t="shared" si="15"/>
        <v>0.17733990147783252</v>
      </c>
      <c r="K188" s="87">
        <f t="shared" si="16"/>
        <v>0.25862068965517243</v>
      </c>
      <c r="L188" s="87">
        <f t="shared" si="17"/>
        <v>2.5</v>
      </c>
      <c r="M188" s="87">
        <f t="shared" si="18"/>
        <v>0.38669950738916259</v>
      </c>
      <c r="N188" s="87">
        <f t="shared" si="19"/>
        <v>2.4137931034482758</v>
      </c>
      <c r="O188" s="87">
        <f t="shared" si="20"/>
        <v>5.7660098522167491</v>
      </c>
    </row>
    <row r="189" spans="1:15" x14ac:dyDescent="0.3">
      <c r="A189" t="s">
        <v>43</v>
      </c>
      <c r="B189" t="s">
        <v>890</v>
      </c>
      <c r="C189" s="16" t="s">
        <v>272</v>
      </c>
      <c r="D189" s="16">
        <v>3</v>
      </c>
      <c r="E189" t="s">
        <v>1524</v>
      </c>
      <c r="F189" t="s">
        <v>282</v>
      </c>
      <c r="G189" t="s">
        <v>1567</v>
      </c>
      <c r="H189" t="s">
        <v>344</v>
      </c>
      <c r="I189" s="87">
        <f t="shared" si="14"/>
        <v>2.9556650246305424E-2</v>
      </c>
      <c r="J189" s="87">
        <f t="shared" si="15"/>
        <v>0.17733990147783252</v>
      </c>
      <c r="K189" s="87">
        <f t="shared" si="16"/>
        <v>0.25862068965517243</v>
      </c>
      <c r="L189" s="87">
        <f t="shared" si="17"/>
        <v>1.5024630541871922</v>
      </c>
      <c r="M189" s="87">
        <f t="shared" si="18"/>
        <v>0.21921182266009853</v>
      </c>
      <c r="N189" s="87">
        <f t="shared" si="19"/>
        <v>1.2438423645320198</v>
      </c>
      <c r="O189" s="87">
        <f t="shared" si="20"/>
        <v>3.431034482758621</v>
      </c>
    </row>
    <row r="190" spans="1:15" x14ac:dyDescent="0.3">
      <c r="A190" t="s">
        <v>43</v>
      </c>
      <c r="B190" t="s">
        <v>891</v>
      </c>
      <c r="C190" s="16" t="s">
        <v>273</v>
      </c>
      <c r="D190" s="16">
        <v>2</v>
      </c>
      <c r="E190" t="s">
        <v>1525</v>
      </c>
      <c r="F190" t="s">
        <v>282</v>
      </c>
      <c r="G190" t="s">
        <v>1568</v>
      </c>
      <c r="H190" t="s">
        <v>344</v>
      </c>
      <c r="I190" s="87">
        <f t="shared" si="14"/>
        <v>0.97044334975369473</v>
      </c>
      <c r="J190" s="87">
        <f t="shared" si="15"/>
        <v>0.82266009852216748</v>
      </c>
      <c r="K190" s="87">
        <f t="shared" si="16"/>
        <v>2.3522167487684729</v>
      </c>
      <c r="L190" s="87">
        <f t="shared" si="17"/>
        <v>1.5024630541871922</v>
      </c>
      <c r="M190" s="87">
        <f t="shared" si="18"/>
        <v>0.4679802955665025</v>
      </c>
      <c r="N190" s="87">
        <f t="shared" si="19"/>
        <v>1.2438423645320198</v>
      </c>
      <c r="O190" s="87">
        <f t="shared" si="20"/>
        <v>7.3596059113300489</v>
      </c>
    </row>
    <row r="191" spans="1:15" x14ac:dyDescent="0.3">
      <c r="A191" t="s">
        <v>43</v>
      </c>
      <c r="B191" t="s">
        <v>892</v>
      </c>
      <c r="C191" s="16" t="s">
        <v>272</v>
      </c>
      <c r="D191" s="16">
        <v>3</v>
      </c>
      <c r="E191" t="s">
        <v>1524</v>
      </c>
      <c r="F191" t="s">
        <v>282</v>
      </c>
      <c r="G191" t="s">
        <v>1567</v>
      </c>
      <c r="H191" t="s">
        <v>344</v>
      </c>
      <c r="I191" s="87">
        <f t="shared" si="14"/>
        <v>2.9556650246305424E-2</v>
      </c>
      <c r="J191" s="87">
        <f t="shared" si="15"/>
        <v>0.17733990147783252</v>
      </c>
      <c r="K191" s="87">
        <f t="shared" si="16"/>
        <v>0.25862068965517243</v>
      </c>
      <c r="L191" s="87">
        <f t="shared" si="17"/>
        <v>1.5024630541871922</v>
      </c>
      <c r="M191" s="87">
        <f t="shared" si="18"/>
        <v>0.21921182266009853</v>
      </c>
      <c r="N191" s="87">
        <f t="shared" si="19"/>
        <v>1.2438423645320198</v>
      </c>
      <c r="O191" s="87">
        <f t="shared" si="20"/>
        <v>3.431034482758621</v>
      </c>
    </row>
    <row r="192" spans="1:15" x14ac:dyDescent="0.3">
      <c r="A192" t="s">
        <v>43</v>
      </c>
      <c r="B192" t="s">
        <v>893</v>
      </c>
      <c r="C192" s="16" t="s">
        <v>272</v>
      </c>
      <c r="D192" s="16">
        <v>3</v>
      </c>
      <c r="E192" t="s">
        <v>1524</v>
      </c>
      <c r="F192" t="s">
        <v>282</v>
      </c>
      <c r="G192" t="s">
        <v>1567</v>
      </c>
      <c r="H192" t="s">
        <v>377</v>
      </c>
      <c r="I192" s="87">
        <f t="shared" si="14"/>
        <v>2.9556650246305424E-2</v>
      </c>
      <c r="J192" s="87">
        <f t="shared" si="15"/>
        <v>0.17733990147783252</v>
      </c>
      <c r="K192" s="87">
        <f t="shared" si="16"/>
        <v>0.25862068965517243</v>
      </c>
      <c r="L192" s="87">
        <f t="shared" si="17"/>
        <v>1.5024630541871922</v>
      </c>
      <c r="M192" s="87">
        <f t="shared" si="18"/>
        <v>0.21921182266009853</v>
      </c>
      <c r="N192" s="87">
        <f t="shared" si="19"/>
        <v>2.4384236453201971</v>
      </c>
      <c r="O192" s="87">
        <f t="shared" si="20"/>
        <v>4.6256157635467989</v>
      </c>
    </row>
    <row r="193" spans="1:15" x14ac:dyDescent="0.3">
      <c r="A193" t="s">
        <v>43</v>
      </c>
      <c r="B193" t="s">
        <v>894</v>
      </c>
      <c r="C193" s="16" t="s">
        <v>272</v>
      </c>
      <c r="D193" s="16">
        <v>3</v>
      </c>
      <c r="E193" t="s">
        <v>1524</v>
      </c>
      <c r="F193" t="s">
        <v>282</v>
      </c>
      <c r="G193" t="s">
        <v>1566</v>
      </c>
      <c r="H193" t="s">
        <v>291</v>
      </c>
      <c r="I193" s="87">
        <f t="shared" si="14"/>
        <v>2.9556650246305424E-2</v>
      </c>
      <c r="J193" s="87">
        <f t="shared" si="15"/>
        <v>0.17733990147783252</v>
      </c>
      <c r="K193" s="87">
        <f t="shared" si="16"/>
        <v>0.25862068965517243</v>
      </c>
      <c r="L193" s="87">
        <f t="shared" si="17"/>
        <v>1.5024630541871922</v>
      </c>
      <c r="M193" s="87">
        <f t="shared" si="18"/>
        <v>0.38669950738916259</v>
      </c>
      <c r="N193" s="87">
        <f t="shared" si="19"/>
        <v>2.2906403940886699</v>
      </c>
      <c r="O193" s="87">
        <f t="shared" si="20"/>
        <v>4.6453201970443354</v>
      </c>
    </row>
    <row r="194" spans="1:15" x14ac:dyDescent="0.3">
      <c r="A194" t="s">
        <v>43</v>
      </c>
      <c r="B194" t="s">
        <v>895</v>
      </c>
      <c r="C194" s="16" t="s">
        <v>272</v>
      </c>
      <c r="D194" s="16">
        <v>2</v>
      </c>
      <c r="E194" t="s">
        <v>1524</v>
      </c>
      <c r="F194" t="s">
        <v>282</v>
      </c>
      <c r="G194" t="s">
        <v>341</v>
      </c>
      <c r="H194" t="s">
        <v>377</v>
      </c>
      <c r="I194" s="87">
        <f t="shared" si="14"/>
        <v>2.9556650246305424E-2</v>
      </c>
      <c r="J194" s="87">
        <f t="shared" si="15"/>
        <v>0.82266009852216748</v>
      </c>
      <c r="K194" s="87">
        <f t="shared" si="16"/>
        <v>0.25862068965517243</v>
      </c>
      <c r="L194" s="87">
        <f t="shared" si="17"/>
        <v>1.5024630541871922</v>
      </c>
      <c r="M194" s="87">
        <f t="shared" si="18"/>
        <v>0.4605911330049261</v>
      </c>
      <c r="N194" s="87">
        <f t="shared" si="19"/>
        <v>2.4384236453201971</v>
      </c>
      <c r="O194" s="87">
        <f t="shared" si="20"/>
        <v>5.5123152709359609</v>
      </c>
    </row>
    <row r="195" spans="1:15" x14ac:dyDescent="0.3">
      <c r="A195" t="s">
        <v>43</v>
      </c>
      <c r="B195" t="s">
        <v>896</v>
      </c>
      <c r="C195" s="16" t="s">
        <v>273</v>
      </c>
      <c r="D195" s="16">
        <v>2</v>
      </c>
      <c r="E195" t="s">
        <v>1525</v>
      </c>
      <c r="F195" t="s">
        <v>282</v>
      </c>
      <c r="G195" t="s">
        <v>1568</v>
      </c>
      <c r="H195" t="s">
        <v>344</v>
      </c>
      <c r="I195" s="87">
        <f t="shared" si="14"/>
        <v>0.97044334975369473</v>
      </c>
      <c r="J195" s="87">
        <f t="shared" si="15"/>
        <v>0.82266009852216748</v>
      </c>
      <c r="K195" s="87">
        <f t="shared" si="16"/>
        <v>2.3522167487684729</v>
      </c>
      <c r="L195" s="87">
        <f t="shared" si="17"/>
        <v>1.5024630541871922</v>
      </c>
      <c r="M195" s="87">
        <f t="shared" si="18"/>
        <v>0.4679802955665025</v>
      </c>
      <c r="N195" s="87">
        <f t="shared" si="19"/>
        <v>1.2438423645320198</v>
      </c>
      <c r="O195" s="87">
        <f t="shared" si="20"/>
        <v>7.3596059113300489</v>
      </c>
    </row>
    <row r="196" spans="1:15" x14ac:dyDescent="0.3">
      <c r="A196" t="s">
        <v>43</v>
      </c>
      <c r="B196" t="s">
        <v>897</v>
      </c>
      <c r="C196" s="16" t="s">
        <v>272</v>
      </c>
      <c r="D196" s="16">
        <v>3</v>
      </c>
      <c r="E196" t="s">
        <v>1524</v>
      </c>
      <c r="F196" t="s">
        <v>282</v>
      </c>
      <c r="G196" t="s">
        <v>1567</v>
      </c>
      <c r="H196" t="s">
        <v>377</v>
      </c>
      <c r="I196" s="87">
        <f t="shared" ref="I196:I259" si="21">VLOOKUP(C196,$R$3:$T$4,3,0)*T$1</f>
        <v>2.9556650246305424E-2</v>
      </c>
      <c r="J196" s="87">
        <f t="shared" ref="J196:J259" si="22">VLOOKUP(D196,$U$3:$W$4,3,0)*W$1</f>
        <v>0.17733990147783252</v>
      </c>
      <c r="K196" s="87">
        <f t="shared" ref="K196:K259" si="23">VLOOKUP(E196,$X$3:$Z$8,3,0)*Z$1</f>
        <v>0.25862068965517243</v>
      </c>
      <c r="L196" s="87">
        <f t="shared" ref="L196:L259" si="24">VLOOKUP(F196,$AA$3:$AC$32,3,0)*AC$1</f>
        <v>1.5024630541871922</v>
      </c>
      <c r="M196" s="87">
        <f t="shared" ref="M196:M259" si="25">VLOOKUP(G196,$AD$3:$AF$10,3,0)*AF$1</f>
        <v>0.21921182266009853</v>
      </c>
      <c r="N196" s="87">
        <f t="shared" ref="N196:N259" si="26">VLOOKUP(H196,$AG$3:$AI$19,3,0)*AI$1</f>
        <v>2.4384236453201971</v>
      </c>
      <c r="O196" s="87">
        <f t="shared" ref="O196:O259" si="27">SUM(I196:N196)</f>
        <v>4.6256157635467989</v>
      </c>
    </row>
    <row r="197" spans="1:15" x14ac:dyDescent="0.3">
      <c r="A197" t="s">
        <v>43</v>
      </c>
      <c r="B197" t="s">
        <v>898</v>
      </c>
      <c r="C197" s="16" t="s">
        <v>272</v>
      </c>
      <c r="D197" s="16">
        <v>3</v>
      </c>
      <c r="E197" t="s">
        <v>1524</v>
      </c>
      <c r="F197" t="s">
        <v>282</v>
      </c>
      <c r="G197" t="s">
        <v>1567</v>
      </c>
      <c r="H197" t="s">
        <v>377</v>
      </c>
      <c r="I197" s="87">
        <f t="shared" si="21"/>
        <v>2.9556650246305424E-2</v>
      </c>
      <c r="J197" s="87">
        <f t="shared" si="22"/>
        <v>0.17733990147783252</v>
      </c>
      <c r="K197" s="87">
        <f t="shared" si="23"/>
        <v>0.25862068965517243</v>
      </c>
      <c r="L197" s="87">
        <f t="shared" si="24"/>
        <v>1.5024630541871922</v>
      </c>
      <c r="M197" s="87">
        <f t="shared" si="25"/>
        <v>0.21921182266009853</v>
      </c>
      <c r="N197" s="87">
        <f t="shared" si="26"/>
        <v>2.4384236453201971</v>
      </c>
      <c r="O197" s="87">
        <f t="shared" si="27"/>
        <v>4.6256157635467989</v>
      </c>
    </row>
    <row r="198" spans="1:15" x14ac:dyDescent="0.3">
      <c r="A198" t="s">
        <v>43</v>
      </c>
      <c r="B198" t="s">
        <v>899</v>
      </c>
      <c r="C198" s="16" t="s">
        <v>272</v>
      </c>
      <c r="D198" s="16">
        <v>3</v>
      </c>
      <c r="E198" t="s">
        <v>1524</v>
      </c>
      <c r="F198" t="s">
        <v>282</v>
      </c>
      <c r="G198" t="s">
        <v>1567</v>
      </c>
      <c r="H198" t="s">
        <v>344</v>
      </c>
      <c r="I198" s="87">
        <f t="shared" si="21"/>
        <v>2.9556650246305424E-2</v>
      </c>
      <c r="J198" s="87">
        <f t="shared" si="22"/>
        <v>0.17733990147783252</v>
      </c>
      <c r="K198" s="87">
        <f t="shared" si="23"/>
        <v>0.25862068965517243</v>
      </c>
      <c r="L198" s="87">
        <f t="shared" si="24"/>
        <v>1.5024630541871922</v>
      </c>
      <c r="M198" s="87">
        <f t="shared" si="25"/>
        <v>0.21921182266009853</v>
      </c>
      <c r="N198" s="87">
        <f t="shared" si="26"/>
        <v>1.2438423645320198</v>
      </c>
      <c r="O198" s="87">
        <f t="shared" si="27"/>
        <v>3.431034482758621</v>
      </c>
    </row>
    <row r="199" spans="1:15" x14ac:dyDescent="0.3">
      <c r="A199" t="s">
        <v>43</v>
      </c>
      <c r="B199" t="s">
        <v>900</v>
      </c>
      <c r="C199" s="16" t="s">
        <v>272</v>
      </c>
      <c r="D199" s="16">
        <v>3</v>
      </c>
      <c r="E199" t="s">
        <v>1524</v>
      </c>
      <c r="F199" t="s">
        <v>282</v>
      </c>
      <c r="G199" t="s">
        <v>1567</v>
      </c>
      <c r="H199" t="s">
        <v>377</v>
      </c>
      <c r="I199" s="87">
        <f t="shared" si="21"/>
        <v>2.9556650246305424E-2</v>
      </c>
      <c r="J199" s="87">
        <f t="shared" si="22"/>
        <v>0.17733990147783252</v>
      </c>
      <c r="K199" s="87">
        <f t="shared" si="23"/>
        <v>0.25862068965517243</v>
      </c>
      <c r="L199" s="87">
        <f t="shared" si="24"/>
        <v>1.5024630541871922</v>
      </c>
      <c r="M199" s="87">
        <f t="shared" si="25"/>
        <v>0.21921182266009853</v>
      </c>
      <c r="N199" s="87">
        <f t="shared" si="26"/>
        <v>2.4384236453201971</v>
      </c>
      <c r="O199" s="87">
        <f t="shared" si="27"/>
        <v>4.6256157635467989</v>
      </c>
    </row>
    <row r="200" spans="1:15" x14ac:dyDescent="0.3">
      <c r="A200" t="s">
        <v>43</v>
      </c>
      <c r="B200" t="s">
        <v>901</v>
      </c>
      <c r="C200" s="16" t="s">
        <v>273</v>
      </c>
      <c r="D200" s="16">
        <v>2</v>
      </c>
      <c r="E200" t="s">
        <v>1525</v>
      </c>
      <c r="F200" t="s">
        <v>282</v>
      </c>
      <c r="G200" t="s">
        <v>1568</v>
      </c>
      <c r="H200" t="s">
        <v>344</v>
      </c>
      <c r="I200" s="87">
        <f t="shared" si="21"/>
        <v>0.97044334975369473</v>
      </c>
      <c r="J200" s="87">
        <f t="shared" si="22"/>
        <v>0.82266009852216748</v>
      </c>
      <c r="K200" s="87">
        <f t="shared" si="23"/>
        <v>2.3522167487684729</v>
      </c>
      <c r="L200" s="87">
        <f t="shared" si="24"/>
        <v>1.5024630541871922</v>
      </c>
      <c r="M200" s="87">
        <f t="shared" si="25"/>
        <v>0.4679802955665025</v>
      </c>
      <c r="N200" s="87">
        <f t="shared" si="26"/>
        <v>1.2438423645320198</v>
      </c>
      <c r="O200" s="87">
        <f t="shared" si="27"/>
        <v>7.3596059113300489</v>
      </c>
    </row>
    <row r="201" spans="1:15" x14ac:dyDescent="0.3">
      <c r="A201" t="s">
        <v>43</v>
      </c>
      <c r="B201" t="s">
        <v>902</v>
      </c>
      <c r="C201" s="16" t="s">
        <v>273</v>
      </c>
      <c r="D201" s="16">
        <v>2</v>
      </c>
      <c r="E201" t="s">
        <v>1525</v>
      </c>
      <c r="F201" t="s">
        <v>283</v>
      </c>
      <c r="G201" t="s">
        <v>1566</v>
      </c>
      <c r="H201" t="s">
        <v>1571</v>
      </c>
      <c r="I201" s="87">
        <f t="shared" si="21"/>
        <v>0.97044334975369473</v>
      </c>
      <c r="J201" s="87">
        <f t="shared" si="22"/>
        <v>0.82266009852216748</v>
      </c>
      <c r="K201" s="87">
        <f t="shared" si="23"/>
        <v>2.3522167487684729</v>
      </c>
      <c r="L201" s="87">
        <f t="shared" si="24"/>
        <v>2.4876847290640396</v>
      </c>
      <c r="M201" s="87">
        <f t="shared" si="25"/>
        <v>0.38669950738916259</v>
      </c>
      <c r="N201" s="87">
        <f t="shared" si="26"/>
        <v>2.4630541871921183</v>
      </c>
      <c r="O201" s="87">
        <f t="shared" si="27"/>
        <v>9.4827586206896548</v>
      </c>
    </row>
    <row r="202" spans="1:15" x14ac:dyDescent="0.3">
      <c r="A202" t="s">
        <v>43</v>
      </c>
      <c r="B202" t="s">
        <v>903</v>
      </c>
      <c r="C202" s="16" t="s">
        <v>273</v>
      </c>
      <c r="D202" s="16">
        <v>2</v>
      </c>
      <c r="E202" t="s">
        <v>1525</v>
      </c>
      <c r="F202" t="s">
        <v>283</v>
      </c>
      <c r="G202" t="s">
        <v>1566</v>
      </c>
      <c r="H202" t="s">
        <v>1571</v>
      </c>
      <c r="I202" s="87">
        <f t="shared" si="21"/>
        <v>0.97044334975369473</v>
      </c>
      <c r="J202" s="87">
        <f t="shared" si="22"/>
        <v>0.82266009852216748</v>
      </c>
      <c r="K202" s="87">
        <f t="shared" si="23"/>
        <v>2.3522167487684729</v>
      </c>
      <c r="L202" s="87">
        <f t="shared" si="24"/>
        <v>2.4876847290640396</v>
      </c>
      <c r="M202" s="87">
        <f t="shared" si="25"/>
        <v>0.38669950738916259</v>
      </c>
      <c r="N202" s="87">
        <f t="shared" si="26"/>
        <v>2.4630541871921183</v>
      </c>
      <c r="O202" s="87">
        <f t="shared" si="27"/>
        <v>9.4827586206896548</v>
      </c>
    </row>
    <row r="203" spans="1:15" x14ac:dyDescent="0.3">
      <c r="A203" t="s">
        <v>43</v>
      </c>
      <c r="B203" t="s">
        <v>904</v>
      </c>
      <c r="C203" s="16" t="s">
        <v>273</v>
      </c>
      <c r="D203" s="16">
        <v>2</v>
      </c>
      <c r="E203" t="s">
        <v>1525</v>
      </c>
      <c r="F203" t="s">
        <v>282</v>
      </c>
      <c r="G203" t="s">
        <v>1566</v>
      </c>
      <c r="H203" t="s">
        <v>344</v>
      </c>
      <c r="I203" s="87">
        <f t="shared" si="21"/>
        <v>0.97044334975369473</v>
      </c>
      <c r="J203" s="87">
        <f t="shared" si="22"/>
        <v>0.82266009852216748</v>
      </c>
      <c r="K203" s="87">
        <f t="shared" si="23"/>
        <v>2.3522167487684729</v>
      </c>
      <c r="L203" s="87">
        <f t="shared" si="24"/>
        <v>1.5024630541871922</v>
      </c>
      <c r="M203" s="87">
        <f t="shared" si="25"/>
        <v>0.38669950738916259</v>
      </c>
      <c r="N203" s="87">
        <f t="shared" si="26"/>
        <v>1.2438423645320198</v>
      </c>
      <c r="O203" s="87">
        <f t="shared" si="27"/>
        <v>7.2783251231527091</v>
      </c>
    </row>
    <row r="204" spans="1:15" x14ac:dyDescent="0.3">
      <c r="A204" t="s">
        <v>43</v>
      </c>
      <c r="B204" t="s">
        <v>905</v>
      </c>
      <c r="C204" s="16" t="s">
        <v>273</v>
      </c>
      <c r="D204" s="16">
        <v>2</v>
      </c>
      <c r="E204" t="s">
        <v>1525</v>
      </c>
      <c r="F204" t="s">
        <v>282</v>
      </c>
      <c r="G204" t="s">
        <v>1566</v>
      </c>
      <c r="H204" t="s">
        <v>344</v>
      </c>
      <c r="I204" s="87">
        <f t="shared" si="21"/>
        <v>0.97044334975369473</v>
      </c>
      <c r="J204" s="87">
        <f t="shared" si="22"/>
        <v>0.82266009852216748</v>
      </c>
      <c r="K204" s="87">
        <f t="shared" si="23"/>
        <v>2.3522167487684729</v>
      </c>
      <c r="L204" s="87">
        <f t="shared" si="24"/>
        <v>1.5024630541871922</v>
      </c>
      <c r="M204" s="87">
        <f t="shared" si="25"/>
        <v>0.38669950738916259</v>
      </c>
      <c r="N204" s="87">
        <f t="shared" si="26"/>
        <v>1.2438423645320198</v>
      </c>
      <c r="O204" s="87">
        <f t="shared" si="27"/>
        <v>7.2783251231527091</v>
      </c>
    </row>
    <row r="205" spans="1:15" x14ac:dyDescent="0.3">
      <c r="A205" t="s">
        <v>43</v>
      </c>
      <c r="B205" t="s">
        <v>906</v>
      </c>
      <c r="C205" s="16" t="s">
        <v>273</v>
      </c>
      <c r="D205" s="16">
        <v>2</v>
      </c>
      <c r="E205" t="s">
        <v>1525</v>
      </c>
      <c r="F205" t="s">
        <v>283</v>
      </c>
      <c r="G205" t="s">
        <v>1568</v>
      </c>
      <c r="H205" t="s">
        <v>347</v>
      </c>
      <c r="I205" s="87">
        <f t="shared" si="21"/>
        <v>0.97044334975369473</v>
      </c>
      <c r="J205" s="87">
        <f t="shared" si="22"/>
        <v>0.82266009852216748</v>
      </c>
      <c r="K205" s="87">
        <f t="shared" si="23"/>
        <v>2.3522167487684729</v>
      </c>
      <c r="L205" s="87">
        <f t="shared" si="24"/>
        <v>2.4876847290640396</v>
      </c>
      <c r="M205" s="87">
        <f t="shared" si="25"/>
        <v>0.4679802955665025</v>
      </c>
      <c r="N205" s="87">
        <f t="shared" si="26"/>
        <v>2.4137931034482758</v>
      </c>
      <c r="O205" s="87">
        <f t="shared" si="27"/>
        <v>9.514778325123153</v>
      </c>
    </row>
    <row r="206" spans="1:15" x14ac:dyDescent="0.3">
      <c r="A206" t="s">
        <v>43</v>
      </c>
      <c r="B206" t="s">
        <v>907</v>
      </c>
      <c r="C206" s="16" t="s">
        <v>273</v>
      </c>
      <c r="D206" s="16">
        <v>2</v>
      </c>
      <c r="E206" t="s">
        <v>1525</v>
      </c>
      <c r="F206" t="s">
        <v>283</v>
      </c>
      <c r="G206" t="s">
        <v>1566</v>
      </c>
      <c r="H206" t="s">
        <v>1571</v>
      </c>
      <c r="I206" s="87">
        <f t="shared" si="21"/>
        <v>0.97044334975369473</v>
      </c>
      <c r="J206" s="87">
        <f t="shared" si="22"/>
        <v>0.82266009852216748</v>
      </c>
      <c r="K206" s="87">
        <f t="shared" si="23"/>
        <v>2.3522167487684729</v>
      </c>
      <c r="L206" s="87">
        <f t="shared" si="24"/>
        <v>2.4876847290640396</v>
      </c>
      <c r="M206" s="87">
        <f t="shared" si="25"/>
        <v>0.38669950738916259</v>
      </c>
      <c r="N206" s="87">
        <f t="shared" si="26"/>
        <v>2.4630541871921183</v>
      </c>
      <c r="O206" s="87">
        <f t="shared" si="27"/>
        <v>9.4827586206896548</v>
      </c>
    </row>
    <row r="207" spans="1:15" x14ac:dyDescent="0.3">
      <c r="A207" t="s">
        <v>43</v>
      </c>
      <c r="B207" t="s">
        <v>908</v>
      </c>
      <c r="C207" s="16" t="s">
        <v>273</v>
      </c>
      <c r="D207" s="16">
        <v>2</v>
      </c>
      <c r="E207" t="s">
        <v>1525</v>
      </c>
      <c r="F207" t="s">
        <v>273</v>
      </c>
      <c r="G207" t="s">
        <v>1568</v>
      </c>
      <c r="H207" t="s">
        <v>347</v>
      </c>
      <c r="I207" s="87">
        <f t="shared" si="21"/>
        <v>0.97044334975369473</v>
      </c>
      <c r="J207" s="87">
        <f t="shared" si="22"/>
        <v>0.82266009852216748</v>
      </c>
      <c r="K207" s="87">
        <f t="shared" si="23"/>
        <v>2.3522167487684729</v>
      </c>
      <c r="L207" s="87">
        <f t="shared" si="24"/>
        <v>2.4753694581280787</v>
      </c>
      <c r="M207" s="87">
        <f t="shared" si="25"/>
        <v>0.4679802955665025</v>
      </c>
      <c r="N207" s="87">
        <f t="shared" si="26"/>
        <v>2.4137931034482758</v>
      </c>
      <c r="O207" s="87">
        <f t="shared" si="27"/>
        <v>9.5024630541871922</v>
      </c>
    </row>
    <row r="208" spans="1:15" x14ac:dyDescent="0.3">
      <c r="A208" t="s">
        <v>43</v>
      </c>
      <c r="B208" t="s">
        <v>909</v>
      </c>
      <c r="C208" s="16" t="s">
        <v>273</v>
      </c>
      <c r="D208" s="16">
        <v>2</v>
      </c>
      <c r="E208" t="s">
        <v>1525</v>
      </c>
      <c r="F208" t="s">
        <v>273</v>
      </c>
      <c r="G208" t="s">
        <v>1568</v>
      </c>
      <c r="H208" t="s">
        <v>347</v>
      </c>
      <c r="I208" s="87">
        <f t="shared" si="21"/>
        <v>0.97044334975369473</v>
      </c>
      <c r="J208" s="87">
        <f t="shared" si="22"/>
        <v>0.82266009852216748</v>
      </c>
      <c r="K208" s="87">
        <f t="shared" si="23"/>
        <v>2.3522167487684729</v>
      </c>
      <c r="L208" s="87">
        <f t="shared" si="24"/>
        <v>2.4753694581280787</v>
      </c>
      <c r="M208" s="87">
        <f t="shared" si="25"/>
        <v>0.4679802955665025</v>
      </c>
      <c r="N208" s="87">
        <f t="shared" si="26"/>
        <v>2.4137931034482758</v>
      </c>
      <c r="O208" s="87">
        <f t="shared" si="27"/>
        <v>9.5024630541871922</v>
      </c>
    </row>
    <row r="209" spans="1:15" x14ac:dyDescent="0.3">
      <c r="A209" t="s">
        <v>43</v>
      </c>
      <c r="B209" t="s">
        <v>910</v>
      </c>
      <c r="C209" s="16" t="s">
        <v>273</v>
      </c>
      <c r="D209" s="16">
        <v>2</v>
      </c>
      <c r="E209" t="s">
        <v>1525</v>
      </c>
      <c r="F209" t="s">
        <v>282</v>
      </c>
      <c r="G209" t="s">
        <v>1568</v>
      </c>
      <c r="H209" t="s">
        <v>347</v>
      </c>
      <c r="I209" s="87">
        <f t="shared" si="21"/>
        <v>0.97044334975369473</v>
      </c>
      <c r="J209" s="87">
        <f t="shared" si="22"/>
        <v>0.82266009852216748</v>
      </c>
      <c r="K209" s="87">
        <f t="shared" si="23"/>
        <v>2.3522167487684729</v>
      </c>
      <c r="L209" s="87">
        <f t="shared" si="24"/>
        <v>1.5024630541871922</v>
      </c>
      <c r="M209" s="87">
        <f t="shared" si="25"/>
        <v>0.4679802955665025</v>
      </c>
      <c r="N209" s="87">
        <f t="shared" si="26"/>
        <v>2.4137931034482758</v>
      </c>
      <c r="O209" s="87">
        <f t="shared" si="27"/>
        <v>8.529556650246306</v>
      </c>
    </row>
    <row r="210" spans="1:15" x14ac:dyDescent="0.3">
      <c r="A210" t="s">
        <v>43</v>
      </c>
      <c r="B210" t="s">
        <v>911</v>
      </c>
      <c r="C210" s="16" t="s">
        <v>272</v>
      </c>
      <c r="D210" s="16">
        <v>2</v>
      </c>
      <c r="E210" t="s">
        <v>1524</v>
      </c>
      <c r="F210" t="s">
        <v>282</v>
      </c>
      <c r="G210" t="s">
        <v>1654</v>
      </c>
      <c r="H210" t="s">
        <v>291</v>
      </c>
      <c r="I210" s="87">
        <f t="shared" si="21"/>
        <v>2.9556650246305424E-2</v>
      </c>
      <c r="J210" s="87">
        <f t="shared" si="22"/>
        <v>0.82266009852216748</v>
      </c>
      <c r="K210" s="87">
        <f t="shared" si="23"/>
        <v>0.25862068965517243</v>
      </c>
      <c r="L210" s="87">
        <f t="shared" si="24"/>
        <v>1.5024630541871922</v>
      </c>
      <c r="M210" s="87">
        <f t="shared" si="25"/>
        <v>0.49753694581280794</v>
      </c>
      <c r="N210" s="87">
        <f t="shared" si="26"/>
        <v>2.2906403940886699</v>
      </c>
      <c r="O210" s="87">
        <f t="shared" si="27"/>
        <v>5.4014778325123149</v>
      </c>
    </row>
    <row r="211" spans="1:15" x14ac:dyDescent="0.3">
      <c r="A211" t="s">
        <v>43</v>
      </c>
      <c r="B211" t="s">
        <v>912</v>
      </c>
      <c r="C211" s="16" t="s">
        <v>273</v>
      </c>
      <c r="D211" s="16">
        <v>2</v>
      </c>
      <c r="E211" t="s">
        <v>1525</v>
      </c>
      <c r="F211" t="s">
        <v>282</v>
      </c>
      <c r="G211" t="s">
        <v>1566</v>
      </c>
      <c r="H211" t="s">
        <v>344</v>
      </c>
      <c r="I211" s="87">
        <f t="shared" si="21"/>
        <v>0.97044334975369473</v>
      </c>
      <c r="J211" s="87">
        <f t="shared" si="22"/>
        <v>0.82266009852216748</v>
      </c>
      <c r="K211" s="87">
        <f t="shared" si="23"/>
        <v>2.3522167487684729</v>
      </c>
      <c r="L211" s="87">
        <f t="shared" si="24"/>
        <v>1.5024630541871922</v>
      </c>
      <c r="M211" s="87">
        <f t="shared" si="25"/>
        <v>0.38669950738916259</v>
      </c>
      <c r="N211" s="87">
        <f t="shared" si="26"/>
        <v>1.2438423645320198</v>
      </c>
      <c r="O211" s="87">
        <f t="shared" si="27"/>
        <v>7.2783251231527091</v>
      </c>
    </row>
    <row r="212" spans="1:15" x14ac:dyDescent="0.3">
      <c r="A212" t="s">
        <v>43</v>
      </c>
      <c r="B212" t="s">
        <v>913</v>
      </c>
      <c r="C212" s="16" t="s">
        <v>272</v>
      </c>
      <c r="D212" s="16">
        <v>2</v>
      </c>
      <c r="E212" t="s">
        <v>1524</v>
      </c>
      <c r="F212" t="s">
        <v>282</v>
      </c>
      <c r="G212" t="s">
        <v>1654</v>
      </c>
      <c r="H212" t="s">
        <v>291</v>
      </c>
      <c r="I212" s="87">
        <f t="shared" si="21"/>
        <v>2.9556650246305424E-2</v>
      </c>
      <c r="J212" s="87">
        <f t="shared" si="22"/>
        <v>0.82266009852216748</v>
      </c>
      <c r="K212" s="87">
        <f t="shared" si="23"/>
        <v>0.25862068965517243</v>
      </c>
      <c r="L212" s="87">
        <f t="shared" si="24"/>
        <v>1.5024630541871922</v>
      </c>
      <c r="M212" s="87">
        <f t="shared" si="25"/>
        <v>0.49753694581280794</v>
      </c>
      <c r="N212" s="87">
        <f t="shared" si="26"/>
        <v>2.2906403940886699</v>
      </c>
      <c r="O212" s="87">
        <f t="shared" si="27"/>
        <v>5.4014778325123149</v>
      </c>
    </row>
    <row r="213" spans="1:15" x14ac:dyDescent="0.3">
      <c r="A213" t="s">
        <v>43</v>
      </c>
      <c r="B213" t="s">
        <v>914</v>
      </c>
      <c r="C213" s="16" t="s">
        <v>272</v>
      </c>
      <c r="D213" s="16">
        <v>2</v>
      </c>
      <c r="E213" t="s">
        <v>1524</v>
      </c>
      <c r="F213" t="s">
        <v>282</v>
      </c>
      <c r="G213" t="s">
        <v>1654</v>
      </c>
      <c r="H213" t="s">
        <v>1570</v>
      </c>
      <c r="I213" s="87">
        <f t="shared" si="21"/>
        <v>2.9556650246305424E-2</v>
      </c>
      <c r="J213" s="87">
        <f t="shared" si="22"/>
        <v>0.82266009852216748</v>
      </c>
      <c r="K213" s="87">
        <f t="shared" si="23"/>
        <v>0.25862068965517243</v>
      </c>
      <c r="L213" s="87">
        <f t="shared" si="24"/>
        <v>1.5024630541871922</v>
      </c>
      <c r="M213" s="87">
        <f t="shared" si="25"/>
        <v>0.49753694581280794</v>
      </c>
      <c r="N213" s="87">
        <f t="shared" si="26"/>
        <v>2.3645320197044337</v>
      </c>
      <c r="O213" s="87">
        <f t="shared" si="27"/>
        <v>5.4753694581280783</v>
      </c>
    </row>
    <row r="214" spans="1:15" x14ac:dyDescent="0.3">
      <c r="A214" t="s">
        <v>43</v>
      </c>
      <c r="B214" t="s">
        <v>915</v>
      </c>
      <c r="C214" s="16" t="s">
        <v>273</v>
      </c>
      <c r="D214" s="16">
        <v>2</v>
      </c>
      <c r="E214" t="s">
        <v>1525</v>
      </c>
      <c r="F214" t="s">
        <v>283</v>
      </c>
      <c r="G214" t="s">
        <v>1568</v>
      </c>
      <c r="H214" t="s">
        <v>347</v>
      </c>
      <c r="I214" s="87">
        <f t="shared" si="21"/>
        <v>0.97044334975369473</v>
      </c>
      <c r="J214" s="87">
        <f t="shared" si="22"/>
        <v>0.82266009852216748</v>
      </c>
      <c r="K214" s="87">
        <f t="shared" si="23"/>
        <v>2.3522167487684729</v>
      </c>
      <c r="L214" s="87">
        <f t="shared" si="24"/>
        <v>2.4876847290640396</v>
      </c>
      <c r="M214" s="87">
        <f t="shared" si="25"/>
        <v>0.4679802955665025</v>
      </c>
      <c r="N214" s="87">
        <f t="shared" si="26"/>
        <v>2.4137931034482758</v>
      </c>
      <c r="O214" s="87">
        <f t="shared" si="27"/>
        <v>9.514778325123153</v>
      </c>
    </row>
    <row r="215" spans="1:15" x14ac:dyDescent="0.3">
      <c r="A215" t="s">
        <v>43</v>
      </c>
      <c r="B215" t="s">
        <v>916</v>
      </c>
      <c r="C215" s="16" t="s">
        <v>272</v>
      </c>
      <c r="D215" s="16">
        <v>3</v>
      </c>
      <c r="E215" t="s">
        <v>1524</v>
      </c>
      <c r="F215" t="s">
        <v>1546</v>
      </c>
      <c r="G215" t="s">
        <v>1567</v>
      </c>
      <c r="H215" t="s">
        <v>291</v>
      </c>
      <c r="I215" s="87">
        <f t="shared" si="21"/>
        <v>2.9556650246305424E-2</v>
      </c>
      <c r="J215" s="87">
        <f t="shared" si="22"/>
        <v>0.17733990147783252</v>
      </c>
      <c r="K215" s="87">
        <f t="shared" si="23"/>
        <v>0.25862068965517243</v>
      </c>
      <c r="L215" s="87">
        <f t="shared" si="24"/>
        <v>2.4014778325123154</v>
      </c>
      <c r="M215" s="87">
        <f t="shared" si="25"/>
        <v>0.21921182266009853</v>
      </c>
      <c r="N215" s="87">
        <f t="shared" si="26"/>
        <v>2.2906403940886699</v>
      </c>
      <c r="O215" s="87">
        <f t="shared" si="27"/>
        <v>5.3768472906403941</v>
      </c>
    </row>
    <row r="216" spans="1:15" x14ac:dyDescent="0.3">
      <c r="A216" t="s">
        <v>43</v>
      </c>
      <c r="B216" t="s">
        <v>917</v>
      </c>
      <c r="C216" s="16" t="s">
        <v>272</v>
      </c>
      <c r="D216" s="16">
        <v>3</v>
      </c>
      <c r="E216" t="s">
        <v>1524</v>
      </c>
      <c r="F216" t="s">
        <v>1547</v>
      </c>
      <c r="G216" t="s">
        <v>343</v>
      </c>
      <c r="H216" t="s">
        <v>291</v>
      </c>
      <c r="I216" s="87">
        <f t="shared" si="21"/>
        <v>2.9556650246305424E-2</v>
      </c>
      <c r="J216" s="87">
        <f t="shared" si="22"/>
        <v>0.17733990147783252</v>
      </c>
      <c r="K216" s="87">
        <f t="shared" si="23"/>
        <v>0.25862068965517243</v>
      </c>
      <c r="L216" s="87">
        <f t="shared" si="24"/>
        <v>2.3891625615763545</v>
      </c>
      <c r="M216" s="87">
        <f t="shared" si="25"/>
        <v>0.48522167487684736</v>
      </c>
      <c r="N216" s="87">
        <f t="shared" si="26"/>
        <v>2.2906403940886699</v>
      </c>
      <c r="O216" s="87">
        <f t="shared" si="27"/>
        <v>5.6305418719211824</v>
      </c>
    </row>
    <row r="217" spans="1:15" x14ac:dyDescent="0.3">
      <c r="A217" t="s">
        <v>43</v>
      </c>
      <c r="B217" t="s">
        <v>918</v>
      </c>
      <c r="C217" s="16" t="s">
        <v>272</v>
      </c>
      <c r="D217" s="16">
        <v>3</v>
      </c>
      <c r="E217" t="s">
        <v>1524</v>
      </c>
      <c r="F217" t="s">
        <v>282</v>
      </c>
      <c r="G217" t="s">
        <v>343</v>
      </c>
      <c r="H217" t="s">
        <v>291</v>
      </c>
      <c r="I217" s="87">
        <f t="shared" si="21"/>
        <v>2.9556650246305424E-2</v>
      </c>
      <c r="J217" s="87">
        <f t="shared" si="22"/>
        <v>0.17733990147783252</v>
      </c>
      <c r="K217" s="87">
        <f t="shared" si="23"/>
        <v>0.25862068965517243</v>
      </c>
      <c r="L217" s="87">
        <f t="shared" si="24"/>
        <v>1.5024630541871922</v>
      </c>
      <c r="M217" s="87">
        <f t="shared" si="25"/>
        <v>0.48522167487684736</v>
      </c>
      <c r="N217" s="87">
        <f t="shared" si="26"/>
        <v>2.2906403940886699</v>
      </c>
      <c r="O217" s="87">
        <f t="shared" si="27"/>
        <v>4.7438423645320196</v>
      </c>
    </row>
    <row r="218" spans="1:15" x14ac:dyDescent="0.3">
      <c r="A218" t="s">
        <v>43</v>
      </c>
      <c r="B218" t="s">
        <v>919</v>
      </c>
      <c r="C218" s="16" t="s">
        <v>272</v>
      </c>
      <c r="D218" s="16">
        <v>3</v>
      </c>
      <c r="E218" t="s">
        <v>1524</v>
      </c>
      <c r="F218" t="s">
        <v>1547</v>
      </c>
      <c r="G218" t="s">
        <v>1567</v>
      </c>
      <c r="H218" t="s">
        <v>1572</v>
      </c>
      <c r="I218" s="87">
        <f t="shared" si="21"/>
        <v>2.9556650246305424E-2</v>
      </c>
      <c r="J218" s="87">
        <f t="shared" si="22"/>
        <v>0.17733990147783252</v>
      </c>
      <c r="K218" s="87">
        <f t="shared" si="23"/>
        <v>0.25862068965517243</v>
      </c>
      <c r="L218" s="87">
        <f t="shared" si="24"/>
        <v>2.3891625615763545</v>
      </c>
      <c r="M218" s="87">
        <f t="shared" si="25"/>
        <v>0.21921182266009853</v>
      </c>
      <c r="N218" s="87">
        <f t="shared" si="26"/>
        <v>2.4384236453201971</v>
      </c>
      <c r="O218" s="87">
        <f t="shared" si="27"/>
        <v>5.5123152709359609</v>
      </c>
    </row>
    <row r="219" spans="1:15" x14ac:dyDescent="0.3">
      <c r="A219" t="s">
        <v>43</v>
      </c>
      <c r="B219" t="s">
        <v>920</v>
      </c>
      <c r="C219" s="16" t="s">
        <v>272</v>
      </c>
      <c r="D219" s="16">
        <v>3</v>
      </c>
      <c r="E219" t="s">
        <v>1524</v>
      </c>
      <c r="F219" t="s">
        <v>1547</v>
      </c>
      <c r="G219" t="s">
        <v>1567</v>
      </c>
      <c r="H219" t="s">
        <v>1572</v>
      </c>
      <c r="I219" s="87">
        <f t="shared" si="21"/>
        <v>2.9556650246305424E-2</v>
      </c>
      <c r="J219" s="87">
        <f t="shared" si="22"/>
        <v>0.17733990147783252</v>
      </c>
      <c r="K219" s="87">
        <f t="shared" si="23"/>
        <v>0.25862068965517243</v>
      </c>
      <c r="L219" s="87">
        <f t="shared" si="24"/>
        <v>2.3891625615763545</v>
      </c>
      <c r="M219" s="87">
        <f t="shared" si="25"/>
        <v>0.21921182266009853</v>
      </c>
      <c r="N219" s="87">
        <f t="shared" si="26"/>
        <v>2.4384236453201971</v>
      </c>
      <c r="O219" s="87">
        <f t="shared" si="27"/>
        <v>5.5123152709359609</v>
      </c>
    </row>
    <row r="220" spans="1:15" x14ac:dyDescent="0.3">
      <c r="A220" t="s">
        <v>43</v>
      </c>
      <c r="B220" t="s">
        <v>921</v>
      </c>
      <c r="C220" s="16" t="s">
        <v>272</v>
      </c>
      <c r="D220" s="16">
        <v>2</v>
      </c>
      <c r="E220" t="s">
        <v>1525</v>
      </c>
      <c r="F220" t="s">
        <v>1547</v>
      </c>
      <c r="G220" t="s">
        <v>1567</v>
      </c>
      <c r="H220" t="s">
        <v>1572</v>
      </c>
      <c r="I220" s="87">
        <f t="shared" si="21"/>
        <v>2.9556650246305424E-2</v>
      </c>
      <c r="J220" s="87">
        <f t="shared" si="22"/>
        <v>0.82266009852216748</v>
      </c>
      <c r="K220" s="87">
        <f t="shared" si="23"/>
        <v>2.3522167487684729</v>
      </c>
      <c r="L220" s="87">
        <f t="shared" si="24"/>
        <v>2.3891625615763545</v>
      </c>
      <c r="M220" s="87">
        <f t="shared" si="25"/>
        <v>0.21921182266009853</v>
      </c>
      <c r="N220" s="87">
        <f t="shared" si="26"/>
        <v>2.4384236453201971</v>
      </c>
      <c r="O220" s="87">
        <f t="shared" si="27"/>
        <v>8.2512315270935961</v>
      </c>
    </row>
    <row r="221" spans="1:15" x14ac:dyDescent="0.3">
      <c r="A221" t="s">
        <v>43</v>
      </c>
      <c r="B221" t="s">
        <v>922</v>
      </c>
      <c r="C221" s="16" t="s">
        <v>272</v>
      </c>
      <c r="D221" s="16">
        <v>3</v>
      </c>
      <c r="E221" t="s">
        <v>1524</v>
      </c>
      <c r="F221" t="s">
        <v>1547</v>
      </c>
      <c r="G221" t="s">
        <v>1567</v>
      </c>
      <c r="H221" t="s">
        <v>1572</v>
      </c>
      <c r="I221" s="87">
        <f t="shared" si="21"/>
        <v>2.9556650246305424E-2</v>
      </c>
      <c r="J221" s="87">
        <f t="shared" si="22"/>
        <v>0.17733990147783252</v>
      </c>
      <c r="K221" s="87">
        <f t="shared" si="23"/>
        <v>0.25862068965517243</v>
      </c>
      <c r="L221" s="87">
        <f t="shared" si="24"/>
        <v>2.3891625615763545</v>
      </c>
      <c r="M221" s="87">
        <f t="shared" si="25"/>
        <v>0.21921182266009853</v>
      </c>
      <c r="N221" s="87">
        <f t="shared" si="26"/>
        <v>2.4384236453201971</v>
      </c>
      <c r="O221" s="87">
        <f t="shared" si="27"/>
        <v>5.5123152709359609</v>
      </c>
    </row>
    <row r="222" spans="1:15" x14ac:dyDescent="0.3">
      <c r="A222" t="s">
        <v>43</v>
      </c>
      <c r="B222" t="s">
        <v>923</v>
      </c>
      <c r="C222" s="16" t="s">
        <v>272</v>
      </c>
      <c r="D222" s="16">
        <v>3</v>
      </c>
      <c r="E222" t="s">
        <v>1524</v>
      </c>
      <c r="F222" t="s">
        <v>1547</v>
      </c>
      <c r="G222" t="s">
        <v>1567</v>
      </c>
      <c r="H222" t="s">
        <v>344</v>
      </c>
      <c r="I222" s="87">
        <f t="shared" si="21"/>
        <v>2.9556650246305424E-2</v>
      </c>
      <c r="J222" s="87">
        <f t="shared" si="22"/>
        <v>0.17733990147783252</v>
      </c>
      <c r="K222" s="87">
        <f t="shared" si="23"/>
        <v>0.25862068965517243</v>
      </c>
      <c r="L222" s="87">
        <f t="shared" si="24"/>
        <v>2.3891625615763545</v>
      </c>
      <c r="M222" s="87">
        <f t="shared" si="25"/>
        <v>0.21921182266009853</v>
      </c>
      <c r="N222" s="87">
        <f t="shared" si="26"/>
        <v>1.2438423645320198</v>
      </c>
      <c r="O222" s="87">
        <f t="shared" si="27"/>
        <v>4.3177339901477829</v>
      </c>
    </row>
    <row r="223" spans="1:15" x14ac:dyDescent="0.3">
      <c r="A223" t="s">
        <v>43</v>
      </c>
      <c r="B223" t="s">
        <v>924</v>
      </c>
      <c r="C223" s="16" t="s">
        <v>272</v>
      </c>
      <c r="D223" s="16">
        <v>3</v>
      </c>
      <c r="E223" t="s">
        <v>1524</v>
      </c>
      <c r="F223" t="s">
        <v>1547</v>
      </c>
      <c r="G223" t="s">
        <v>1567</v>
      </c>
      <c r="H223" t="s">
        <v>344</v>
      </c>
      <c r="I223" s="87">
        <f t="shared" si="21"/>
        <v>2.9556650246305424E-2</v>
      </c>
      <c r="J223" s="87">
        <f t="shared" si="22"/>
        <v>0.17733990147783252</v>
      </c>
      <c r="K223" s="87">
        <f t="shared" si="23"/>
        <v>0.25862068965517243</v>
      </c>
      <c r="L223" s="87">
        <f t="shared" si="24"/>
        <v>2.3891625615763545</v>
      </c>
      <c r="M223" s="87">
        <f t="shared" si="25"/>
        <v>0.21921182266009853</v>
      </c>
      <c r="N223" s="87">
        <f t="shared" si="26"/>
        <v>1.2438423645320198</v>
      </c>
      <c r="O223" s="87">
        <f t="shared" si="27"/>
        <v>4.3177339901477829</v>
      </c>
    </row>
    <row r="224" spans="1:15" x14ac:dyDescent="0.3">
      <c r="A224" t="s">
        <v>43</v>
      </c>
      <c r="B224" t="s">
        <v>925</v>
      </c>
      <c r="C224" s="16" t="s">
        <v>272</v>
      </c>
      <c r="D224" s="16">
        <v>3</v>
      </c>
      <c r="E224" t="s">
        <v>1524</v>
      </c>
      <c r="F224" t="s">
        <v>1547</v>
      </c>
      <c r="G224" t="s">
        <v>1567</v>
      </c>
      <c r="H224" t="s">
        <v>344</v>
      </c>
      <c r="I224" s="87">
        <f t="shared" si="21"/>
        <v>2.9556650246305424E-2</v>
      </c>
      <c r="J224" s="87">
        <f t="shared" si="22"/>
        <v>0.17733990147783252</v>
      </c>
      <c r="K224" s="87">
        <f t="shared" si="23"/>
        <v>0.25862068965517243</v>
      </c>
      <c r="L224" s="87">
        <f t="shared" si="24"/>
        <v>2.3891625615763545</v>
      </c>
      <c r="M224" s="87">
        <f t="shared" si="25"/>
        <v>0.21921182266009853</v>
      </c>
      <c r="N224" s="87">
        <f t="shared" si="26"/>
        <v>1.2438423645320198</v>
      </c>
      <c r="O224" s="87">
        <f t="shared" si="27"/>
        <v>4.3177339901477829</v>
      </c>
    </row>
    <row r="225" spans="1:15" x14ac:dyDescent="0.3">
      <c r="A225" t="s">
        <v>43</v>
      </c>
      <c r="B225" t="s">
        <v>926</v>
      </c>
      <c r="C225" s="16" t="s">
        <v>272</v>
      </c>
      <c r="D225" s="16">
        <v>2</v>
      </c>
      <c r="E225" t="s">
        <v>1524</v>
      </c>
      <c r="F225" t="s">
        <v>1547</v>
      </c>
      <c r="G225" t="s">
        <v>1567</v>
      </c>
      <c r="H225" t="s">
        <v>344</v>
      </c>
      <c r="I225" s="87">
        <f t="shared" si="21"/>
        <v>2.9556650246305424E-2</v>
      </c>
      <c r="J225" s="87">
        <f t="shared" si="22"/>
        <v>0.82266009852216748</v>
      </c>
      <c r="K225" s="87">
        <f t="shared" si="23"/>
        <v>0.25862068965517243</v>
      </c>
      <c r="L225" s="87">
        <f t="shared" si="24"/>
        <v>2.3891625615763545</v>
      </c>
      <c r="M225" s="87">
        <f t="shared" si="25"/>
        <v>0.21921182266009853</v>
      </c>
      <c r="N225" s="87">
        <f t="shared" si="26"/>
        <v>1.2438423645320198</v>
      </c>
      <c r="O225" s="87">
        <f t="shared" si="27"/>
        <v>4.9630541871921183</v>
      </c>
    </row>
    <row r="226" spans="1:15" x14ac:dyDescent="0.3">
      <c r="A226" t="s">
        <v>43</v>
      </c>
      <c r="B226" t="s">
        <v>927</v>
      </c>
      <c r="C226" s="16" t="s">
        <v>272</v>
      </c>
      <c r="D226" s="16">
        <v>3</v>
      </c>
      <c r="E226" t="s">
        <v>1524</v>
      </c>
      <c r="F226" t="s">
        <v>1547</v>
      </c>
      <c r="G226" t="s">
        <v>1567</v>
      </c>
      <c r="H226" t="s">
        <v>344</v>
      </c>
      <c r="I226" s="87">
        <f t="shared" si="21"/>
        <v>2.9556650246305424E-2</v>
      </c>
      <c r="J226" s="87">
        <f t="shared" si="22"/>
        <v>0.17733990147783252</v>
      </c>
      <c r="K226" s="87">
        <f t="shared" si="23"/>
        <v>0.25862068965517243</v>
      </c>
      <c r="L226" s="87">
        <f t="shared" si="24"/>
        <v>2.3891625615763545</v>
      </c>
      <c r="M226" s="87">
        <f t="shared" si="25"/>
        <v>0.21921182266009853</v>
      </c>
      <c r="N226" s="87">
        <f t="shared" si="26"/>
        <v>1.2438423645320198</v>
      </c>
      <c r="O226" s="87">
        <f t="shared" si="27"/>
        <v>4.3177339901477829</v>
      </c>
    </row>
    <row r="227" spans="1:15" x14ac:dyDescent="0.3">
      <c r="A227" t="s">
        <v>43</v>
      </c>
      <c r="B227" t="s">
        <v>928</v>
      </c>
      <c r="C227" s="16" t="s">
        <v>272</v>
      </c>
      <c r="D227" s="16">
        <v>3</v>
      </c>
      <c r="E227" t="s">
        <v>1524</v>
      </c>
      <c r="F227" t="s">
        <v>1547</v>
      </c>
      <c r="G227" t="s">
        <v>1567</v>
      </c>
      <c r="H227" t="s">
        <v>344</v>
      </c>
      <c r="I227" s="87">
        <f t="shared" si="21"/>
        <v>2.9556650246305424E-2</v>
      </c>
      <c r="J227" s="87">
        <f t="shared" si="22"/>
        <v>0.17733990147783252</v>
      </c>
      <c r="K227" s="87">
        <f t="shared" si="23"/>
        <v>0.25862068965517243</v>
      </c>
      <c r="L227" s="87">
        <f t="shared" si="24"/>
        <v>2.3891625615763545</v>
      </c>
      <c r="M227" s="87">
        <f t="shared" si="25"/>
        <v>0.21921182266009853</v>
      </c>
      <c r="N227" s="87">
        <f t="shared" si="26"/>
        <v>1.2438423645320198</v>
      </c>
      <c r="O227" s="87">
        <f t="shared" si="27"/>
        <v>4.3177339901477829</v>
      </c>
    </row>
    <row r="228" spans="1:15" x14ac:dyDescent="0.3">
      <c r="A228" t="s">
        <v>43</v>
      </c>
      <c r="B228" t="s">
        <v>929</v>
      </c>
      <c r="C228" s="16" t="s">
        <v>272</v>
      </c>
      <c r="D228" s="16">
        <v>2</v>
      </c>
      <c r="E228" t="s">
        <v>1524</v>
      </c>
      <c r="F228" t="s">
        <v>1547</v>
      </c>
      <c r="G228" t="s">
        <v>341</v>
      </c>
      <c r="H228" t="s">
        <v>344</v>
      </c>
      <c r="I228" s="87">
        <f t="shared" si="21"/>
        <v>2.9556650246305424E-2</v>
      </c>
      <c r="J228" s="87">
        <f t="shared" si="22"/>
        <v>0.82266009852216748</v>
      </c>
      <c r="K228" s="87">
        <f t="shared" si="23"/>
        <v>0.25862068965517243</v>
      </c>
      <c r="L228" s="87">
        <f t="shared" si="24"/>
        <v>2.3891625615763545</v>
      </c>
      <c r="M228" s="87">
        <f t="shared" si="25"/>
        <v>0.4605911330049261</v>
      </c>
      <c r="N228" s="87">
        <f t="shared" si="26"/>
        <v>1.2438423645320198</v>
      </c>
      <c r="O228" s="87">
        <f t="shared" si="27"/>
        <v>5.2044334975369457</v>
      </c>
    </row>
    <row r="229" spans="1:15" x14ac:dyDescent="0.3">
      <c r="A229" t="s">
        <v>43</v>
      </c>
      <c r="B229" t="s">
        <v>930</v>
      </c>
      <c r="C229" s="16" t="s">
        <v>272</v>
      </c>
      <c r="D229" s="16">
        <v>2</v>
      </c>
      <c r="E229" t="s">
        <v>1524</v>
      </c>
      <c r="F229" t="s">
        <v>1547</v>
      </c>
      <c r="G229" t="s">
        <v>341</v>
      </c>
      <c r="H229" t="s">
        <v>344</v>
      </c>
      <c r="I229" s="87">
        <f t="shared" si="21"/>
        <v>2.9556650246305424E-2</v>
      </c>
      <c r="J229" s="87">
        <f t="shared" si="22"/>
        <v>0.82266009852216748</v>
      </c>
      <c r="K229" s="87">
        <f t="shared" si="23"/>
        <v>0.25862068965517243</v>
      </c>
      <c r="L229" s="87">
        <f t="shared" si="24"/>
        <v>2.3891625615763545</v>
      </c>
      <c r="M229" s="87">
        <f t="shared" si="25"/>
        <v>0.4605911330049261</v>
      </c>
      <c r="N229" s="87">
        <f t="shared" si="26"/>
        <v>1.2438423645320198</v>
      </c>
      <c r="O229" s="87">
        <f t="shared" si="27"/>
        <v>5.2044334975369457</v>
      </c>
    </row>
    <row r="230" spans="1:15" x14ac:dyDescent="0.3">
      <c r="A230" t="s">
        <v>43</v>
      </c>
      <c r="B230" t="s">
        <v>931</v>
      </c>
      <c r="C230" s="16" t="s">
        <v>272</v>
      </c>
      <c r="D230" s="16">
        <v>3</v>
      </c>
      <c r="E230" t="s">
        <v>1524</v>
      </c>
      <c r="F230" t="s">
        <v>282</v>
      </c>
      <c r="G230" t="s">
        <v>1566</v>
      </c>
      <c r="H230" t="s">
        <v>344</v>
      </c>
      <c r="I230" s="87">
        <f t="shared" si="21"/>
        <v>2.9556650246305424E-2</v>
      </c>
      <c r="J230" s="87">
        <f t="shared" si="22"/>
        <v>0.17733990147783252</v>
      </c>
      <c r="K230" s="87">
        <f t="shared" si="23"/>
        <v>0.25862068965517243</v>
      </c>
      <c r="L230" s="87">
        <f t="shared" si="24"/>
        <v>1.5024630541871922</v>
      </c>
      <c r="M230" s="87">
        <f t="shared" si="25"/>
        <v>0.38669950738916259</v>
      </c>
      <c r="N230" s="87">
        <f t="shared" si="26"/>
        <v>1.2438423645320198</v>
      </c>
      <c r="O230" s="87">
        <f t="shared" si="27"/>
        <v>3.5985221674876851</v>
      </c>
    </row>
    <row r="231" spans="1:15" x14ac:dyDescent="0.3">
      <c r="A231" t="s">
        <v>43</v>
      </c>
      <c r="B231" t="s">
        <v>932</v>
      </c>
      <c r="C231" s="16" t="s">
        <v>272</v>
      </c>
      <c r="D231" s="16">
        <v>3</v>
      </c>
      <c r="E231" t="s">
        <v>1524</v>
      </c>
      <c r="F231" t="s">
        <v>1542</v>
      </c>
      <c r="G231" t="s">
        <v>1567</v>
      </c>
      <c r="H231" t="s">
        <v>344</v>
      </c>
      <c r="I231" s="87">
        <f t="shared" si="21"/>
        <v>2.9556650246305424E-2</v>
      </c>
      <c r="J231" s="87">
        <f t="shared" si="22"/>
        <v>0.17733990147783252</v>
      </c>
      <c r="K231" s="87">
        <f t="shared" si="23"/>
        <v>0.25862068965517243</v>
      </c>
      <c r="L231" s="87">
        <f t="shared" si="24"/>
        <v>2.3768472906403941</v>
      </c>
      <c r="M231" s="87">
        <f t="shared" si="25"/>
        <v>0.21921182266009853</v>
      </c>
      <c r="N231" s="87">
        <f t="shared" si="26"/>
        <v>1.2438423645320198</v>
      </c>
      <c r="O231" s="87">
        <f t="shared" si="27"/>
        <v>4.305418719211823</v>
      </c>
    </row>
    <row r="232" spans="1:15" x14ac:dyDescent="0.3">
      <c r="A232" t="s">
        <v>43</v>
      </c>
      <c r="B232" t="s">
        <v>933</v>
      </c>
      <c r="C232" s="16" t="s">
        <v>272</v>
      </c>
      <c r="D232" s="16">
        <v>3</v>
      </c>
      <c r="E232" t="s">
        <v>1524</v>
      </c>
      <c r="F232" t="s">
        <v>282</v>
      </c>
      <c r="G232" t="s">
        <v>1566</v>
      </c>
      <c r="H232" t="s">
        <v>344</v>
      </c>
      <c r="I232" s="87">
        <f t="shared" si="21"/>
        <v>2.9556650246305424E-2</v>
      </c>
      <c r="J232" s="87">
        <f t="shared" si="22"/>
        <v>0.17733990147783252</v>
      </c>
      <c r="K232" s="87">
        <f t="shared" si="23"/>
        <v>0.25862068965517243</v>
      </c>
      <c r="L232" s="87">
        <f t="shared" si="24"/>
        <v>1.5024630541871922</v>
      </c>
      <c r="M232" s="87">
        <f t="shared" si="25"/>
        <v>0.38669950738916259</v>
      </c>
      <c r="N232" s="87">
        <f t="shared" si="26"/>
        <v>1.2438423645320198</v>
      </c>
      <c r="O232" s="87">
        <f t="shared" si="27"/>
        <v>3.5985221674876851</v>
      </c>
    </row>
    <row r="233" spans="1:15" x14ac:dyDescent="0.3">
      <c r="A233" t="s">
        <v>43</v>
      </c>
      <c r="B233" t="s">
        <v>934</v>
      </c>
      <c r="C233" s="16" t="s">
        <v>272</v>
      </c>
      <c r="D233" s="16">
        <v>3</v>
      </c>
      <c r="E233" t="s">
        <v>1524</v>
      </c>
      <c r="F233" t="s">
        <v>1542</v>
      </c>
      <c r="G233" t="s">
        <v>1567</v>
      </c>
      <c r="H233" t="s">
        <v>344</v>
      </c>
      <c r="I233" s="87">
        <f t="shared" si="21"/>
        <v>2.9556650246305424E-2</v>
      </c>
      <c r="J233" s="87">
        <f t="shared" si="22"/>
        <v>0.17733990147783252</v>
      </c>
      <c r="K233" s="87">
        <f t="shared" si="23"/>
        <v>0.25862068965517243</v>
      </c>
      <c r="L233" s="87">
        <f t="shared" si="24"/>
        <v>2.3768472906403941</v>
      </c>
      <c r="M233" s="87">
        <f t="shared" si="25"/>
        <v>0.21921182266009853</v>
      </c>
      <c r="N233" s="87">
        <f t="shared" si="26"/>
        <v>1.2438423645320198</v>
      </c>
      <c r="O233" s="87">
        <f t="shared" si="27"/>
        <v>4.305418719211823</v>
      </c>
    </row>
    <row r="234" spans="1:15" x14ac:dyDescent="0.3">
      <c r="A234" t="s">
        <v>43</v>
      </c>
      <c r="B234" t="s">
        <v>935</v>
      </c>
      <c r="C234" s="16" t="s">
        <v>272</v>
      </c>
      <c r="D234" s="16">
        <v>2</v>
      </c>
      <c r="E234" t="s">
        <v>1524</v>
      </c>
      <c r="F234" t="s">
        <v>282</v>
      </c>
      <c r="G234" t="s">
        <v>341</v>
      </c>
      <c r="H234" t="s">
        <v>344</v>
      </c>
      <c r="I234" s="87">
        <f t="shared" si="21"/>
        <v>2.9556650246305424E-2</v>
      </c>
      <c r="J234" s="87">
        <f t="shared" si="22"/>
        <v>0.82266009852216748</v>
      </c>
      <c r="K234" s="87">
        <f t="shared" si="23"/>
        <v>0.25862068965517243</v>
      </c>
      <c r="L234" s="87">
        <f t="shared" si="24"/>
        <v>1.5024630541871922</v>
      </c>
      <c r="M234" s="87">
        <f t="shared" si="25"/>
        <v>0.4605911330049261</v>
      </c>
      <c r="N234" s="87">
        <f t="shared" si="26"/>
        <v>1.2438423645320198</v>
      </c>
      <c r="O234" s="87">
        <f t="shared" si="27"/>
        <v>4.3177339901477829</v>
      </c>
    </row>
    <row r="235" spans="1:15" x14ac:dyDescent="0.3">
      <c r="A235" t="s">
        <v>43</v>
      </c>
      <c r="B235" t="s">
        <v>936</v>
      </c>
      <c r="C235" s="16" t="s">
        <v>272</v>
      </c>
      <c r="D235" s="16">
        <v>3</v>
      </c>
      <c r="E235" t="s">
        <v>1524</v>
      </c>
      <c r="F235" t="s">
        <v>1542</v>
      </c>
      <c r="G235" t="s">
        <v>1567</v>
      </c>
      <c r="H235" t="s">
        <v>1574</v>
      </c>
      <c r="I235" s="87">
        <f t="shared" si="21"/>
        <v>2.9556650246305424E-2</v>
      </c>
      <c r="J235" s="87">
        <f t="shared" si="22"/>
        <v>0.17733990147783252</v>
      </c>
      <c r="K235" s="87">
        <f t="shared" si="23"/>
        <v>0.25862068965517243</v>
      </c>
      <c r="L235" s="87">
        <f t="shared" si="24"/>
        <v>2.3768472906403941</v>
      </c>
      <c r="M235" s="87">
        <f t="shared" si="25"/>
        <v>0.21921182266009853</v>
      </c>
      <c r="N235" s="87">
        <f t="shared" si="26"/>
        <v>2.3522167487684729</v>
      </c>
      <c r="O235" s="87">
        <f t="shared" si="27"/>
        <v>5.4137931034482758</v>
      </c>
    </row>
    <row r="236" spans="1:15" x14ac:dyDescent="0.3">
      <c r="A236" t="s">
        <v>43</v>
      </c>
      <c r="B236" t="s">
        <v>937</v>
      </c>
      <c r="C236" s="16" t="s">
        <v>272</v>
      </c>
      <c r="D236" s="16">
        <v>3</v>
      </c>
      <c r="E236" t="s">
        <v>1524</v>
      </c>
      <c r="F236" t="s">
        <v>282</v>
      </c>
      <c r="G236" t="s">
        <v>1566</v>
      </c>
      <c r="H236" t="s">
        <v>344</v>
      </c>
      <c r="I236" s="87">
        <f t="shared" si="21"/>
        <v>2.9556650246305424E-2</v>
      </c>
      <c r="J236" s="87">
        <f t="shared" si="22"/>
        <v>0.17733990147783252</v>
      </c>
      <c r="K236" s="87">
        <f t="shared" si="23"/>
        <v>0.25862068965517243</v>
      </c>
      <c r="L236" s="87">
        <f t="shared" si="24"/>
        <v>1.5024630541871922</v>
      </c>
      <c r="M236" s="87">
        <f t="shared" si="25"/>
        <v>0.38669950738916259</v>
      </c>
      <c r="N236" s="87">
        <f t="shared" si="26"/>
        <v>1.2438423645320198</v>
      </c>
      <c r="O236" s="87">
        <f t="shared" si="27"/>
        <v>3.5985221674876851</v>
      </c>
    </row>
    <row r="237" spans="1:15" x14ac:dyDescent="0.3">
      <c r="A237" t="s">
        <v>43</v>
      </c>
      <c r="B237" t="s">
        <v>938</v>
      </c>
      <c r="C237" s="16" t="s">
        <v>272</v>
      </c>
      <c r="D237" s="16">
        <v>3</v>
      </c>
      <c r="E237" t="s">
        <v>1524</v>
      </c>
      <c r="F237" t="s">
        <v>1542</v>
      </c>
      <c r="G237" t="s">
        <v>1567</v>
      </c>
      <c r="H237" t="s">
        <v>344</v>
      </c>
      <c r="I237" s="87">
        <f t="shared" si="21"/>
        <v>2.9556650246305424E-2</v>
      </c>
      <c r="J237" s="87">
        <f t="shared" si="22"/>
        <v>0.17733990147783252</v>
      </c>
      <c r="K237" s="87">
        <f t="shared" si="23"/>
        <v>0.25862068965517243</v>
      </c>
      <c r="L237" s="87">
        <f t="shared" si="24"/>
        <v>2.3768472906403941</v>
      </c>
      <c r="M237" s="87">
        <f t="shared" si="25"/>
        <v>0.21921182266009853</v>
      </c>
      <c r="N237" s="87">
        <f t="shared" si="26"/>
        <v>1.2438423645320198</v>
      </c>
      <c r="O237" s="87">
        <f t="shared" si="27"/>
        <v>4.305418719211823</v>
      </c>
    </row>
    <row r="238" spans="1:15" x14ac:dyDescent="0.3">
      <c r="A238" t="s">
        <v>43</v>
      </c>
      <c r="B238" t="s">
        <v>939</v>
      </c>
      <c r="C238" s="16" t="s">
        <v>272</v>
      </c>
      <c r="D238" s="16">
        <v>3</v>
      </c>
      <c r="E238" t="s">
        <v>1524</v>
      </c>
      <c r="F238" t="s">
        <v>282</v>
      </c>
      <c r="G238" t="s">
        <v>1566</v>
      </c>
      <c r="H238" t="s">
        <v>344</v>
      </c>
      <c r="I238" s="87">
        <f t="shared" si="21"/>
        <v>2.9556650246305424E-2</v>
      </c>
      <c r="J238" s="87">
        <f t="shared" si="22"/>
        <v>0.17733990147783252</v>
      </c>
      <c r="K238" s="87">
        <f t="shared" si="23"/>
        <v>0.25862068965517243</v>
      </c>
      <c r="L238" s="87">
        <f t="shared" si="24"/>
        <v>1.5024630541871922</v>
      </c>
      <c r="M238" s="87">
        <f t="shared" si="25"/>
        <v>0.38669950738916259</v>
      </c>
      <c r="N238" s="87">
        <f t="shared" si="26"/>
        <v>1.2438423645320198</v>
      </c>
      <c r="O238" s="87">
        <f t="shared" si="27"/>
        <v>3.5985221674876851</v>
      </c>
    </row>
    <row r="239" spans="1:15" x14ac:dyDescent="0.3">
      <c r="A239" t="s">
        <v>43</v>
      </c>
      <c r="B239" t="s">
        <v>940</v>
      </c>
      <c r="C239" s="16" t="s">
        <v>272</v>
      </c>
      <c r="D239" s="16">
        <v>3</v>
      </c>
      <c r="E239" t="s">
        <v>1524</v>
      </c>
      <c r="F239" t="s">
        <v>282</v>
      </c>
      <c r="G239" t="s">
        <v>1566</v>
      </c>
      <c r="H239" t="s">
        <v>344</v>
      </c>
      <c r="I239" s="87">
        <f t="shared" si="21"/>
        <v>2.9556650246305424E-2</v>
      </c>
      <c r="J239" s="87">
        <f t="shared" si="22"/>
        <v>0.17733990147783252</v>
      </c>
      <c r="K239" s="87">
        <f t="shared" si="23"/>
        <v>0.25862068965517243</v>
      </c>
      <c r="L239" s="87">
        <f t="shared" si="24"/>
        <v>1.5024630541871922</v>
      </c>
      <c r="M239" s="87">
        <f t="shared" si="25"/>
        <v>0.38669950738916259</v>
      </c>
      <c r="N239" s="87">
        <f t="shared" si="26"/>
        <v>1.2438423645320198</v>
      </c>
      <c r="O239" s="87">
        <f t="shared" si="27"/>
        <v>3.5985221674876851</v>
      </c>
    </row>
    <row r="240" spans="1:15" x14ac:dyDescent="0.3">
      <c r="A240" t="s">
        <v>43</v>
      </c>
      <c r="B240" t="s">
        <v>941</v>
      </c>
      <c r="C240" s="16" t="s">
        <v>272</v>
      </c>
      <c r="D240" s="16">
        <v>3</v>
      </c>
      <c r="E240" t="s">
        <v>1524</v>
      </c>
      <c r="F240" t="s">
        <v>282</v>
      </c>
      <c r="G240" t="s">
        <v>1566</v>
      </c>
      <c r="H240" t="s">
        <v>344</v>
      </c>
      <c r="I240" s="87">
        <f t="shared" si="21"/>
        <v>2.9556650246305424E-2</v>
      </c>
      <c r="J240" s="87">
        <f t="shared" si="22"/>
        <v>0.17733990147783252</v>
      </c>
      <c r="K240" s="87">
        <f t="shared" si="23"/>
        <v>0.25862068965517243</v>
      </c>
      <c r="L240" s="87">
        <f t="shared" si="24"/>
        <v>1.5024630541871922</v>
      </c>
      <c r="M240" s="87">
        <f t="shared" si="25"/>
        <v>0.38669950738916259</v>
      </c>
      <c r="N240" s="87">
        <f t="shared" si="26"/>
        <v>1.2438423645320198</v>
      </c>
      <c r="O240" s="87">
        <f t="shared" si="27"/>
        <v>3.5985221674876851</v>
      </c>
    </row>
    <row r="241" spans="1:15" x14ac:dyDescent="0.3">
      <c r="A241" t="s">
        <v>43</v>
      </c>
      <c r="B241" t="s">
        <v>942</v>
      </c>
      <c r="C241" s="16" t="s">
        <v>272</v>
      </c>
      <c r="D241" s="16">
        <v>3</v>
      </c>
      <c r="E241" t="s">
        <v>1524</v>
      </c>
      <c r="F241" t="s">
        <v>282</v>
      </c>
      <c r="G241" t="s">
        <v>1566</v>
      </c>
      <c r="H241" t="s">
        <v>345</v>
      </c>
      <c r="I241" s="87">
        <f t="shared" si="21"/>
        <v>2.9556650246305424E-2</v>
      </c>
      <c r="J241" s="87">
        <f t="shared" si="22"/>
        <v>0.17733990147783252</v>
      </c>
      <c r="K241" s="87">
        <f t="shared" si="23"/>
        <v>0.25862068965517243</v>
      </c>
      <c r="L241" s="87">
        <f t="shared" si="24"/>
        <v>1.5024630541871922</v>
      </c>
      <c r="M241" s="87">
        <f t="shared" si="25"/>
        <v>0.38669950738916259</v>
      </c>
      <c r="N241" s="87">
        <f t="shared" si="26"/>
        <v>2.2536945812807883</v>
      </c>
      <c r="O241" s="87">
        <f t="shared" si="27"/>
        <v>4.6083743842364537</v>
      </c>
    </row>
    <row r="242" spans="1:15" x14ac:dyDescent="0.3">
      <c r="A242" t="s">
        <v>43</v>
      </c>
      <c r="B242" t="s">
        <v>943</v>
      </c>
      <c r="C242" s="16" t="s">
        <v>272</v>
      </c>
      <c r="D242" s="16">
        <v>3</v>
      </c>
      <c r="E242" t="s">
        <v>1524</v>
      </c>
      <c r="F242" t="s">
        <v>1542</v>
      </c>
      <c r="G242" t="s">
        <v>1567</v>
      </c>
      <c r="H242" t="s">
        <v>345</v>
      </c>
      <c r="I242" s="87">
        <f t="shared" si="21"/>
        <v>2.9556650246305424E-2</v>
      </c>
      <c r="J242" s="87">
        <f t="shared" si="22"/>
        <v>0.17733990147783252</v>
      </c>
      <c r="K242" s="87">
        <f t="shared" si="23"/>
        <v>0.25862068965517243</v>
      </c>
      <c r="L242" s="87">
        <f t="shared" si="24"/>
        <v>2.3768472906403941</v>
      </c>
      <c r="M242" s="87">
        <f t="shared" si="25"/>
        <v>0.21921182266009853</v>
      </c>
      <c r="N242" s="87">
        <f t="shared" si="26"/>
        <v>2.2536945812807883</v>
      </c>
      <c r="O242" s="87">
        <f t="shared" si="27"/>
        <v>5.3152709359605916</v>
      </c>
    </row>
    <row r="243" spans="1:15" x14ac:dyDescent="0.3">
      <c r="A243" t="s">
        <v>43</v>
      </c>
      <c r="B243" t="s">
        <v>944</v>
      </c>
      <c r="C243" s="16" t="s">
        <v>272</v>
      </c>
      <c r="D243" s="16">
        <v>2</v>
      </c>
      <c r="E243" t="s">
        <v>1524</v>
      </c>
      <c r="F243" t="s">
        <v>1542</v>
      </c>
      <c r="G243" t="s">
        <v>341</v>
      </c>
      <c r="H243" t="s">
        <v>344</v>
      </c>
      <c r="I243" s="87">
        <f t="shared" si="21"/>
        <v>2.9556650246305424E-2</v>
      </c>
      <c r="J243" s="87">
        <f t="shared" si="22"/>
        <v>0.82266009852216748</v>
      </c>
      <c r="K243" s="87">
        <f t="shared" si="23"/>
        <v>0.25862068965517243</v>
      </c>
      <c r="L243" s="87">
        <f t="shared" si="24"/>
        <v>2.3768472906403941</v>
      </c>
      <c r="M243" s="87">
        <f t="shared" si="25"/>
        <v>0.4605911330049261</v>
      </c>
      <c r="N243" s="87">
        <f t="shared" si="26"/>
        <v>1.2438423645320198</v>
      </c>
      <c r="O243" s="87">
        <f t="shared" si="27"/>
        <v>5.1921182266009849</v>
      </c>
    </row>
    <row r="244" spans="1:15" x14ac:dyDescent="0.3">
      <c r="A244" t="s">
        <v>43</v>
      </c>
      <c r="B244" t="s">
        <v>945</v>
      </c>
      <c r="C244" s="16" t="s">
        <v>272</v>
      </c>
      <c r="D244" s="16">
        <v>3</v>
      </c>
      <c r="E244" t="s">
        <v>1524</v>
      </c>
      <c r="F244" t="s">
        <v>1542</v>
      </c>
      <c r="G244" t="s">
        <v>1567</v>
      </c>
      <c r="H244" t="s">
        <v>344</v>
      </c>
      <c r="I244" s="87">
        <f t="shared" si="21"/>
        <v>2.9556650246305424E-2</v>
      </c>
      <c r="J244" s="87">
        <f t="shared" si="22"/>
        <v>0.17733990147783252</v>
      </c>
      <c r="K244" s="87">
        <f t="shared" si="23"/>
        <v>0.25862068965517243</v>
      </c>
      <c r="L244" s="87">
        <f t="shared" si="24"/>
        <v>2.3768472906403941</v>
      </c>
      <c r="M244" s="87">
        <f t="shared" si="25"/>
        <v>0.21921182266009853</v>
      </c>
      <c r="N244" s="87">
        <f t="shared" si="26"/>
        <v>1.2438423645320198</v>
      </c>
      <c r="O244" s="87">
        <f t="shared" si="27"/>
        <v>4.305418719211823</v>
      </c>
    </row>
    <row r="245" spans="1:15" x14ac:dyDescent="0.3">
      <c r="A245" t="s">
        <v>43</v>
      </c>
      <c r="B245" t="s">
        <v>946</v>
      </c>
      <c r="C245" s="16" t="s">
        <v>272</v>
      </c>
      <c r="D245" s="16">
        <v>3</v>
      </c>
      <c r="E245" t="s">
        <v>1524</v>
      </c>
      <c r="F245" t="s">
        <v>1542</v>
      </c>
      <c r="G245" t="s">
        <v>1567</v>
      </c>
      <c r="H245" t="s">
        <v>344</v>
      </c>
      <c r="I245" s="87">
        <f t="shared" si="21"/>
        <v>2.9556650246305424E-2</v>
      </c>
      <c r="J245" s="87">
        <f t="shared" si="22"/>
        <v>0.17733990147783252</v>
      </c>
      <c r="K245" s="87">
        <f t="shared" si="23"/>
        <v>0.25862068965517243</v>
      </c>
      <c r="L245" s="87">
        <f t="shared" si="24"/>
        <v>2.3768472906403941</v>
      </c>
      <c r="M245" s="87">
        <f t="shared" si="25"/>
        <v>0.21921182266009853</v>
      </c>
      <c r="N245" s="87">
        <f t="shared" si="26"/>
        <v>1.2438423645320198</v>
      </c>
      <c r="O245" s="87">
        <f t="shared" si="27"/>
        <v>4.305418719211823</v>
      </c>
    </row>
    <row r="246" spans="1:15" x14ac:dyDescent="0.3">
      <c r="A246" t="s">
        <v>43</v>
      </c>
      <c r="B246" t="s">
        <v>947</v>
      </c>
      <c r="C246" s="16" t="s">
        <v>272</v>
      </c>
      <c r="D246" s="16">
        <v>3</v>
      </c>
      <c r="E246" t="s">
        <v>1524</v>
      </c>
      <c r="F246" t="s">
        <v>1542</v>
      </c>
      <c r="G246" t="s">
        <v>1567</v>
      </c>
      <c r="H246" t="s">
        <v>344</v>
      </c>
      <c r="I246" s="87">
        <f t="shared" si="21"/>
        <v>2.9556650246305424E-2</v>
      </c>
      <c r="J246" s="87">
        <f t="shared" si="22"/>
        <v>0.17733990147783252</v>
      </c>
      <c r="K246" s="87">
        <f t="shared" si="23"/>
        <v>0.25862068965517243</v>
      </c>
      <c r="L246" s="87">
        <f t="shared" si="24"/>
        <v>2.3768472906403941</v>
      </c>
      <c r="M246" s="87">
        <f t="shared" si="25"/>
        <v>0.21921182266009853</v>
      </c>
      <c r="N246" s="87">
        <f t="shared" si="26"/>
        <v>1.2438423645320198</v>
      </c>
      <c r="O246" s="87">
        <f t="shared" si="27"/>
        <v>4.305418719211823</v>
      </c>
    </row>
    <row r="247" spans="1:15" x14ac:dyDescent="0.3">
      <c r="A247" t="s">
        <v>43</v>
      </c>
      <c r="B247" t="s">
        <v>948</v>
      </c>
      <c r="C247" s="16" t="s">
        <v>272</v>
      </c>
      <c r="D247" s="16">
        <v>3</v>
      </c>
      <c r="E247" t="s">
        <v>1524</v>
      </c>
      <c r="F247" t="s">
        <v>282</v>
      </c>
      <c r="G247" t="s">
        <v>1567</v>
      </c>
      <c r="H247" t="s">
        <v>344</v>
      </c>
      <c r="I247" s="87">
        <f t="shared" si="21"/>
        <v>2.9556650246305424E-2</v>
      </c>
      <c r="J247" s="87">
        <f t="shared" si="22"/>
        <v>0.17733990147783252</v>
      </c>
      <c r="K247" s="87">
        <f t="shared" si="23"/>
        <v>0.25862068965517243</v>
      </c>
      <c r="L247" s="87">
        <f t="shared" si="24"/>
        <v>1.5024630541871922</v>
      </c>
      <c r="M247" s="87">
        <f t="shared" si="25"/>
        <v>0.21921182266009853</v>
      </c>
      <c r="N247" s="87">
        <f t="shared" si="26"/>
        <v>1.2438423645320198</v>
      </c>
      <c r="O247" s="87">
        <f t="shared" si="27"/>
        <v>3.431034482758621</v>
      </c>
    </row>
    <row r="248" spans="1:15" x14ac:dyDescent="0.3">
      <c r="A248" t="s">
        <v>43</v>
      </c>
      <c r="B248" t="s">
        <v>949</v>
      </c>
      <c r="C248" s="16" t="s">
        <v>272</v>
      </c>
      <c r="D248" s="16">
        <v>2</v>
      </c>
      <c r="E248" t="s">
        <v>1524</v>
      </c>
      <c r="F248" t="s">
        <v>282</v>
      </c>
      <c r="G248" t="s">
        <v>341</v>
      </c>
      <c r="H248" t="s">
        <v>345</v>
      </c>
      <c r="I248" s="87">
        <f t="shared" si="21"/>
        <v>2.9556650246305424E-2</v>
      </c>
      <c r="J248" s="87">
        <f t="shared" si="22"/>
        <v>0.82266009852216748</v>
      </c>
      <c r="K248" s="87">
        <f t="shared" si="23"/>
        <v>0.25862068965517243</v>
      </c>
      <c r="L248" s="87">
        <f t="shared" si="24"/>
        <v>1.5024630541871922</v>
      </c>
      <c r="M248" s="87">
        <f t="shared" si="25"/>
        <v>0.4605911330049261</v>
      </c>
      <c r="N248" s="87">
        <f t="shared" si="26"/>
        <v>2.2536945812807883</v>
      </c>
      <c r="O248" s="87">
        <f t="shared" si="27"/>
        <v>5.3275862068965516</v>
      </c>
    </row>
    <row r="249" spans="1:15" x14ac:dyDescent="0.3">
      <c r="A249" t="s">
        <v>43</v>
      </c>
      <c r="B249" t="s">
        <v>950</v>
      </c>
      <c r="C249" s="16" t="s">
        <v>272</v>
      </c>
      <c r="D249" s="16">
        <v>2</v>
      </c>
      <c r="E249" t="s">
        <v>1524</v>
      </c>
      <c r="F249" t="s">
        <v>282</v>
      </c>
      <c r="G249" t="s">
        <v>341</v>
      </c>
      <c r="H249" t="s">
        <v>344</v>
      </c>
      <c r="I249" s="87">
        <f t="shared" si="21"/>
        <v>2.9556650246305424E-2</v>
      </c>
      <c r="J249" s="87">
        <f t="shared" si="22"/>
        <v>0.82266009852216748</v>
      </c>
      <c r="K249" s="87">
        <f t="shared" si="23"/>
        <v>0.25862068965517243</v>
      </c>
      <c r="L249" s="87">
        <f t="shared" si="24"/>
        <v>1.5024630541871922</v>
      </c>
      <c r="M249" s="87">
        <f t="shared" si="25"/>
        <v>0.4605911330049261</v>
      </c>
      <c r="N249" s="87">
        <f t="shared" si="26"/>
        <v>1.2438423645320198</v>
      </c>
      <c r="O249" s="87">
        <f t="shared" si="27"/>
        <v>4.3177339901477829</v>
      </c>
    </row>
    <row r="250" spans="1:15" x14ac:dyDescent="0.3">
      <c r="A250" t="s">
        <v>43</v>
      </c>
      <c r="B250" t="s">
        <v>951</v>
      </c>
      <c r="C250" s="16" t="s">
        <v>272</v>
      </c>
      <c r="D250" s="16">
        <v>3</v>
      </c>
      <c r="E250" t="s">
        <v>1525</v>
      </c>
      <c r="F250" t="s">
        <v>283</v>
      </c>
      <c r="G250" t="s">
        <v>1567</v>
      </c>
      <c r="H250" t="s">
        <v>344</v>
      </c>
      <c r="I250" s="87">
        <f t="shared" si="21"/>
        <v>2.9556650246305424E-2</v>
      </c>
      <c r="J250" s="87">
        <f t="shared" si="22"/>
        <v>0.17733990147783252</v>
      </c>
      <c r="K250" s="87">
        <f t="shared" si="23"/>
        <v>2.3522167487684729</v>
      </c>
      <c r="L250" s="87">
        <f t="shared" si="24"/>
        <v>2.4876847290640396</v>
      </c>
      <c r="M250" s="87">
        <f t="shared" si="25"/>
        <v>0.21921182266009853</v>
      </c>
      <c r="N250" s="87">
        <f t="shared" si="26"/>
        <v>1.2438423645320198</v>
      </c>
      <c r="O250" s="87">
        <f t="shared" si="27"/>
        <v>6.5098522167487687</v>
      </c>
    </row>
    <row r="251" spans="1:15" x14ac:dyDescent="0.3">
      <c r="A251" t="s">
        <v>43</v>
      </c>
      <c r="B251" t="s">
        <v>952</v>
      </c>
      <c r="C251" s="16" t="s">
        <v>272</v>
      </c>
      <c r="D251" s="16">
        <v>2</v>
      </c>
      <c r="E251" t="s">
        <v>1524</v>
      </c>
      <c r="F251" t="s">
        <v>282</v>
      </c>
      <c r="G251" t="s">
        <v>341</v>
      </c>
      <c r="H251" t="s">
        <v>345</v>
      </c>
      <c r="I251" s="87">
        <f t="shared" si="21"/>
        <v>2.9556650246305424E-2</v>
      </c>
      <c r="J251" s="87">
        <f t="shared" si="22"/>
        <v>0.82266009852216748</v>
      </c>
      <c r="K251" s="87">
        <f t="shared" si="23"/>
        <v>0.25862068965517243</v>
      </c>
      <c r="L251" s="87">
        <f t="shared" si="24"/>
        <v>1.5024630541871922</v>
      </c>
      <c r="M251" s="87">
        <f t="shared" si="25"/>
        <v>0.4605911330049261</v>
      </c>
      <c r="N251" s="87">
        <f t="shared" si="26"/>
        <v>2.2536945812807883</v>
      </c>
      <c r="O251" s="87">
        <f t="shared" si="27"/>
        <v>5.3275862068965516</v>
      </c>
    </row>
    <row r="252" spans="1:15" x14ac:dyDescent="0.3">
      <c r="A252" t="s">
        <v>43</v>
      </c>
      <c r="B252" t="s">
        <v>953</v>
      </c>
      <c r="C252" s="16" t="s">
        <v>272</v>
      </c>
      <c r="D252" s="16">
        <v>2</v>
      </c>
      <c r="E252" t="s">
        <v>1524</v>
      </c>
      <c r="F252" t="s">
        <v>282</v>
      </c>
      <c r="G252" t="s">
        <v>341</v>
      </c>
      <c r="H252" t="s">
        <v>345</v>
      </c>
      <c r="I252" s="87">
        <f t="shared" si="21"/>
        <v>2.9556650246305424E-2</v>
      </c>
      <c r="J252" s="87">
        <f t="shared" si="22"/>
        <v>0.82266009852216748</v>
      </c>
      <c r="K252" s="87">
        <f t="shared" si="23"/>
        <v>0.25862068965517243</v>
      </c>
      <c r="L252" s="87">
        <f t="shared" si="24"/>
        <v>1.5024630541871922</v>
      </c>
      <c r="M252" s="87">
        <f t="shared" si="25"/>
        <v>0.4605911330049261</v>
      </c>
      <c r="N252" s="87">
        <f t="shared" si="26"/>
        <v>2.2536945812807883</v>
      </c>
      <c r="O252" s="87">
        <f t="shared" si="27"/>
        <v>5.3275862068965516</v>
      </c>
    </row>
    <row r="253" spans="1:15" x14ac:dyDescent="0.3">
      <c r="A253" t="s">
        <v>43</v>
      </c>
      <c r="B253" t="s">
        <v>954</v>
      </c>
      <c r="C253" s="16" t="s">
        <v>272</v>
      </c>
      <c r="D253" s="16">
        <v>2</v>
      </c>
      <c r="E253" t="s">
        <v>1524</v>
      </c>
      <c r="F253" t="s">
        <v>282</v>
      </c>
      <c r="G253" t="s">
        <v>341</v>
      </c>
      <c r="H253" t="s">
        <v>345</v>
      </c>
      <c r="I253" s="87">
        <f t="shared" si="21"/>
        <v>2.9556650246305424E-2</v>
      </c>
      <c r="J253" s="87">
        <f t="shared" si="22"/>
        <v>0.82266009852216748</v>
      </c>
      <c r="K253" s="87">
        <f t="shared" si="23"/>
        <v>0.25862068965517243</v>
      </c>
      <c r="L253" s="87">
        <f t="shared" si="24"/>
        <v>1.5024630541871922</v>
      </c>
      <c r="M253" s="87">
        <f t="shared" si="25"/>
        <v>0.4605911330049261</v>
      </c>
      <c r="N253" s="87">
        <f t="shared" si="26"/>
        <v>2.2536945812807883</v>
      </c>
      <c r="O253" s="87">
        <f t="shared" si="27"/>
        <v>5.3275862068965516</v>
      </c>
    </row>
    <row r="254" spans="1:15" x14ac:dyDescent="0.3">
      <c r="A254" t="s">
        <v>43</v>
      </c>
      <c r="B254" t="s">
        <v>955</v>
      </c>
      <c r="C254" s="16" t="s">
        <v>272</v>
      </c>
      <c r="D254" s="16">
        <v>2</v>
      </c>
      <c r="E254" t="s">
        <v>1524</v>
      </c>
      <c r="F254" t="s">
        <v>282</v>
      </c>
      <c r="G254" t="s">
        <v>341</v>
      </c>
      <c r="H254" t="s">
        <v>345</v>
      </c>
      <c r="I254" s="87">
        <f t="shared" si="21"/>
        <v>2.9556650246305424E-2</v>
      </c>
      <c r="J254" s="87">
        <f t="shared" si="22"/>
        <v>0.82266009852216748</v>
      </c>
      <c r="K254" s="87">
        <f t="shared" si="23"/>
        <v>0.25862068965517243</v>
      </c>
      <c r="L254" s="87">
        <f t="shared" si="24"/>
        <v>1.5024630541871922</v>
      </c>
      <c r="M254" s="87">
        <f t="shared" si="25"/>
        <v>0.4605911330049261</v>
      </c>
      <c r="N254" s="87">
        <f t="shared" si="26"/>
        <v>2.2536945812807883</v>
      </c>
      <c r="O254" s="87">
        <f t="shared" si="27"/>
        <v>5.3275862068965516</v>
      </c>
    </row>
    <row r="255" spans="1:15" x14ac:dyDescent="0.3">
      <c r="A255" t="s">
        <v>43</v>
      </c>
      <c r="B255" t="s">
        <v>956</v>
      </c>
      <c r="C255" s="16" t="s">
        <v>272</v>
      </c>
      <c r="D255" s="16">
        <v>3</v>
      </c>
      <c r="E255" t="s">
        <v>1524</v>
      </c>
      <c r="F255" t="s">
        <v>282</v>
      </c>
      <c r="G255" t="s">
        <v>1567</v>
      </c>
      <c r="H255" t="s">
        <v>345</v>
      </c>
      <c r="I255" s="87">
        <f t="shared" si="21"/>
        <v>2.9556650246305424E-2</v>
      </c>
      <c r="J255" s="87">
        <f t="shared" si="22"/>
        <v>0.17733990147783252</v>
      </c>
      <c r="K255" s="87">
        <f t="shared" si="23"/>
        <v>0.25862068965517243</v>
      </c>
      <c r="L255" s="87">
        <f t="shared" si="24"/>
        <v>1.5024630541871922</v>
      </c>
      <c r="M255" s="87">
        <f t="shared" si="25"/>
        <v>0.21921182266009853</v>
      </c>
      <c r="N255" s="87">
        <f t="shared" si="26"/>
        <v>2.2536945812807883</v>
      </c>
      <c r="O255" s="87">
        <f t="shared" si="27"/>
        <v>4.4408866995073897</v>
      </c>
    </row>
    <row r="256" spans="1:15" x14ac:dyDescent="0.3">
      <c r="A256" t="s">
        <v>43</v>
      </c>
      <c r="B256" t="s">
        <v>957</v>
      </c>
      <c r="C256" s="16" t="s">
        <v>272</v>
      </c>
      <c r="D256" s="16">
        <v>3</v>
      </c>
      <c r="E256" t="s">
        <v>1525</v>
      </c>
      <c r="F256" t="s">
        <v>283</v>
      </c>
      <c r="G256" t="s">
        <v>1567</v>
      </c>
      <c r="H256" t="s">
        <v>344</v>
      </c>
      <c r="I256" s="87">
        <f t="shared" si="21"/>
        <v>2.9556650246305424E-2</v>
      </c>
      <c r="J256" s="87">
        <f t="shared" si="22"/>
        <v>0.17733990147783252</v>
      </c>
      <c r="K256" s="87">
        <f t="shared" si="23"/>
        <v>2.3522167487684729</v>
      </c>
      <c r="L256" s="87">
        <f t="shared" si="24"/>
        <v>2.4876847290640396</v>
      </c>
      <c r="M256" s="87">
        <f t="shared" si="25"/>
        <v>0.21921182266009853</v>
      </c>
      <c r="N256" s="87">
        <f t="shared" si="26"/>
        <v>1.2438423645320198</v>
      </c>
      <c r="O256" s="87">
        <f t="shared" si="27"/>
        <v>6.5098522167487687</v>
      </c>
    </row>
    <row r="257" spans="1:15" x14ac:dyDescent="0.3">
      <c r="A257" t="s">
        <v>43</v>
      </c>
      <c r="B257" t="s">
        <v>958</v>
      </c>
      <c r="C257" s="16" t="s">
        <v>272</v>
      </c>
      <c r="D257" s="16">
        <v>3</v>
      </c>
      <c r="E257" t="s">
        <v>1524</v>
      </c>
      <c r="F257" t="s">
        <v>282</v>
      </c>
      <c r="G257" t="s">
        <v>341</v>
      </c>
      <c r="H257" t="s">
        <v>345</v>
      </c>
      <c r="I257" s="87">
        <f t="shared" si="21"/>
        <v>2.9556650246305424E-2</v>
      </c>
      <c r="J257" s="87">
        <f t="shared" si="22"/>
        <v>0.17733990147783252</v>
      </c>
      <c r="K257" s="87">
        <f t="shared" si="23"/>
        <v>0.25862068965517243</v>
      </c>
      <c r="L257" s="87">
        <f t="shared" si="24"/>
        <v>1.5024630541871922</v>
      </c>
      <c r="M257" s="87">
        <f t="shared" si="25"/>
        <v>0.4605911330049261</v>
      </c>
      <c r="N257" s="87">
        <f t="shared" si="26"/>
        <v>2.2536945812807883</v>
      </c>
      <c r="O257" s="87">
        <f t="shared" si="27"/>
        <v>4.6822660098522171</v>
      </c>
    </row>
    <row r="258" spans="1:15" x14ac:dyDescent="0.3">
      <c r="A258" t="s">
        <v>43</v>
      </c>
      <c r="B258" t="s">
        <v>959</v>
      </c>
      <c r="C258" s="16" t="s">
        <v>272</v>
      </c>
      <c r="D258" s="16">
        <v>3</v>
      </c>
      <c r="E258" t="s">
        <v>1525</v>
      </c>
      <c r="F258" t="s">
        <v>283</v>
      </c>
      <c r="G258" t="s">
        <v>1567</v>
      </c>
      <c r="H258" t="s">
        <v>345</v>
      </c>
      <c r="I258" s="87">
        <f t="shared" si="21"/>
        <v>2.9556650246305424E-2</v>
      </c>
      <c r="J258" s="87">
        <f t="shared" si="22"/>
        <v>0.17733990147783252</v>
      </c>
      <c r="K258" s="87">
        <f t="shared" si="23"/>
        <v>2.3522167487684729</v>
      </c>
      <c r="L258" s="87">
        <f t="shared" si="24"/>
        <v>2.4876847290640396</v>
      </c>
      <c r="M258" s="87">
        <f t="shared" si="25"/>
        <v>0.21921182266009853</v>
      </c>
      <c r="N258" s="87">
        <f t="shared" si="26"/>
        <v>2.2536945812807883</v>
      </c>
      <c r="O258" s="87">
        <f t="shared" si="27"/>
        <v>7.5197044334975374</v>
      </c>
    </row>
    <row r="259" spans="1:15" x14ac:dyDescent="0.3">
      <c r="A259" t="s">
        <v>43</v>
      </c>
      <c r="B259" t="s">
        <v>960</v>
      </c>
      <c r="C259" s="16" t="s">
        <v>272</v>
      </c>
      <c r="D259" s="16">
        <v>3</v>
      </c>
      <c r="E259" t="s">
        <v>1525</v>
      </c>
      <c r="F259" t="s">
        <v>283</v>
      </c>
      <c r="G259" t="s">
        <v>1567</v>
      </c>
      <c r="H259" t="s">
        <v>344</v>
      </c>
      <c r="I259" s="87">
        <f t="shared" si="21"/>
        <v>2.9556650246305424E-2</v>
      </c>
      <c r="J259" s="87">
        <f t="shared" si="22"/>
        <v>0.17733990147783252</v>
      </c>
      <c r="K259" s="87">
        <f t="shared" si="23"/>
        <v>2.3522167487684729</v>
      </c>
      <c r="L259" s="87">
        <f t="shared" si="24"/>
        <v>2.4876847290640396</v>
      </c>
      <c r="M259" s="87">
        <f t="shared" si="25"/>
        <v>0.21921182266009853</v>
      </c>
      <c r="N259" s="87">
        <f t="shared" si="26"/>
        <v>1.2438423645320198</v>
      </c>
      <c r="O259" s="87">
        <f t="shared" si="27"/>
        <v>6.5098522167487687</v>
      </c>
    </row>
    <row r="260" spans="1:15" x14ac:dyDescent="0.3">
      <c r="A260" t="s">
        <v>43</v>
      </c>
      <c r="B260" t="s">
        <v>961</v>
      </c>
      <c r="C260" s="16" t="s">
        <v>272</v>
      </c>
      <c r="D260" s="16">
        <v>3</v>
      </c>
      <c r="E260" t="s">
        <v>1525</v>
      </c>
      <c r="F260" t="s">
        <v>283</v>
      </c>
      <c r="G260" t="s">
        <v>1567</v>
      </c>
      <c r="H260" t="s">
        <v>344</v>
      </c>
      <c r="I260" s="87">
        <f t="shared" ref="I260:I323" si="28">VLOOKUP(C260,$R$3:$T$4,3,0)*T$1</f>
        <v>2.9556650246305424E-2</v>
      </c>
      <c r="J260" s="87">
        <f t="shared" ref="J260:J323" si="29">VLOOKUP(D260,$U$3:$W$4,3,0)*W$1</f>
        <v>0.17733990147783252</v>
      </c>
      <c r="K260" s="87">
        <f t="shared" ref="K260:K323" si="30">VLOOKUP(E260,$X$3:$Z$8,3,0)*Z$1</f>
        <v>2.3522167487684729</v>
      </c>
      <c r="L260" s="87">
        <f t="shared" ref="L260:L323" si="31">VLOOKUP(F260,$AA$3:$AC$32,3,0)*AC$1</f>
        <v>2.4876847290640396</v>
      </c>
      <c r="M260" s="87">
        <f t="shared" ref="M260:M323" si="32">VLOOKUP(G260,$AD$3:$AF$10,3,0)*AF$1</f>
        <v>0.21921182266009853</v>
      </c>
      <c r="N260" s="87">
        <f t="shared" ref="N260:N323" si="33">VLOOKUP(H260,$AG$3:$AI$19,3,0)*AI$1</f>
        <v>1.2438423645320198</v>
      </c>
      <c r="O260" s="87">
        <f t="shared" ref="O260:O323" si="34">SUM(I260:N260)</f>
        <v>6.5098522167487687</v>
      </c>
    </row>
    <row r="261" spans="1:15" x14ac:dyDescent="0.3">
      <c r="A261" t="s">
        <v>43</v>
      </c>
      <c r="B261" t="s">
        <v>962</v>
      </c>
      <c r="C261" s="16" t="s">
        <v>272</v>
      </c>
      <c r="D261" s="16">
        <v>3</v>
      </c>
      <c r="E261" t="s">
        <v>1524</v>
      </c>
      <c r="F261" t="s">
        <v>1537</v>
      </c>
      <c r="G261" t="s">
        <v>1566</v>
      </c>
      <c r="H261" t="s">
        <v>1572</v>
      </c>
      <c r="I261" s="87">
        <f t="shared" si="28"/>
        <v>2.9556650246305424E-2</v>
      </c>
      <c r="J261" s="87">
        <f t="shared" si="29"/>
        <v>0.17733990147783252</v>
      </c>
      <c r="K261" s="87">
        <f t="shared" si="30"/>
        <v>0.25862068965517243</v>
      </c>
      <c r="L261" s="87">
        <f t="shared" si="31"/>
        <v>2.3645320197044337</v>
      </c>
      <c r="M261" s="87">
        <f t="shared" si="32"/>
        <v>0.38669950738916259</v>
      </c>
      <c r="N261" s="87">
        <f t="shared" si="33"/>
        <v>2.4384236453201971</v>
      </c>
      <c r="O261" s="87">
        <f t="shared" si="34"/>
        <v>5.6551724137931032</v>
      </c>
    </row>
    <row r="262" spans="1:15" x14ac:dyDescent="0.3">
      <c r="A262" t="s">
        <v>43</v>
      </c>
      <c r="B262" t="s">
        <v>963</v>
      </c>
      <c r="C262" s="16" t="s">
        <v>272</v>
      </c>
      <c r="D262" s="16">
        <v>3</v>
      </c>
      <c r="E262" t="s">
        <v>1524</v>
      </c>
      <c r="F262" t="s">
        <v>1557</v>
      </c>
      <c r="G262" t="s">
        <v>1566</v>
      </c>
      <c r="H262" t="s">
        <v>1573</v>
      </c>
      <c r="I262" s="87">
        <f t="shared" si="28"/>
        <v>2.9556650246305424E-2</v>
      </c>
      <c r="J262" s="87">
        <f t="shared" si="29"/>
        <v>0.17733990147783252</v>
      </c>
      <c r="K262" s="87">
        <f t="shared" si="30"/>
        <v>0.25862068965517243</v>
      </c>
      <c r="L262" s="87">
        <f t="shared" si="31"/>
        <v>2.4630541871921183</v>
      </c>
      <c r="M262" s="87">
        <f t="shared" si="32"/>
        <v>0.38669950738916259</v>
      </c>
      <c r="N262" s="87">
        <f t="shared" si="33"/>
        <v>2.4137931034482758</v>
      </c>
      <c r="O262" s="87">
        <f t="shared" si="34"/>
        <v>5.7290640394088674</v>
      </c>
    </row>
    <row r="263" spans="1:15" x14ac:dyDescent="0.3">
      <c r="A263" t="s">
        <v>43</v>
      </c>
      <c r="B263" t="s">
        <v>964</v>
      </c>
      <c r="C263" s="16" t="s">
        <v>272</v>
      </c>
      <c r="D263" s="16">
        <v>3</v>
      </c>
      <c r="E263" t="s">
        <v>1524</v>
      </c>
      <c r="F263" t="s">
        <v>1557</v>
      </c>
      <c r="G263" t="s">
        <v>1566</v>
      </c>
      <c r="H263" t="s">
        <v>344</v>
      </c>
      <c r="I263" s="87">
        <f t="shared" si="28"/>
        <v>2.9556650246305424E-2</v>
      </c>
      <c r="J263" s="87">
        <f t="shared" si="29"/>
        <v>0.17733990147783252</v>
      </c>
      <c r="K263" s="87">
        <f t="shared" si="30"/>
        <v>0.25862068965517243</v>
      </c>
      <c r="L263" s="87">
        <f t="shared" si="31"/>
        <v>2.4630541871921183</v>
      </c>
      <c r="M263" s="87">
        <f t="shared" si="32"/>
        <v>0.38669950738916259</v>
      </c>
      <c r="N263" s="87">
        <f t="shared" si="33"/>
        <v>1.2438423645320198</v>
      </c>
      <c r="O263" s="87">
        <f t="shared" si="34"/>
        <v>4.5591133004926112</v>
      </c>
    </row>
    <row r="264" spans="1:15" x14ac:dyDescent="0.3">
      <c r="A264" t="s">
        <v>43</v>
      </c>
      <c r="B264" t="s">
        <v>965</v>
      </c>
      <c r="C264" s="16" t="s">
        <v>272</v>
      </c>
      <c r="D264" s="16">
        <v>3</v>
      </c>
      <c r="E264" t="s">
        <v>1524</v>
      </c>
      <c r="F264" t="s">
        <v>1557</v>
      </c>
      <c r="G264" t="s">
        <v>1566</v>
      </c>
      <c r="H264" t="s">
        <v>345</v>
      </c>
      <c r="I264" s="87">
        <f t="shared" si="28"/>
        <v>2.9556650246305424E-2</v>
      </c>
      <c r="J264" s="87">
        <f t="shared" si="29"/>
        <v>0.17733990147783252</v>
      </c>
      <c r="K264" s="87">
        <f t="shared" si="30"/>
        <v>0.25862068965517243</v>
      </c>
      <c r="L264" s="87">
        <f t="shared" si="31"/>
        <v>2.4630541871921183</v>
      </c>
      <c r="M264" s="87">
        <f t="shared" si="32"/>
        <v>0.38669950738916259</v>
      </c>
      <c r="N264" s="87">
        <f t="shared" si="33"/>
        <v>2.2536945812807883</v>
      </c>
      <c r="O264" s="87">
        <f t="shared" si="34"/>
        <v>5.5689655172413799</v>
      </c>
    </row>
    <row r="265" spans="1:15" x14ac:dyDescent="0.3">
      <c r="A265" t="s">
        <v>43</v>
      </c>
      <c r="B265" t="s">
        <v>966</v>
      </c>
      <c r="C265" s="16" t="s">
        <v>272</v>
      </c>
      <c r="D265" s="16">
        <v>2</v>
      </c>
      <c r="E265" t="s">
        <v>1524</v>
      </c>
      <c r="F265" t="s">
        <v>1537</v>
      </c>
      <c r="G265" t="s">
        <v>341</v>
      </c>
      <c r="H265" t="s">
        <v>1571</v>
      </c>
      <c r="I265" s="87">
        <f t="shared" si="28"/>
        <v>2.9556650246305424E-2</v>
      </c>
      <c r="J265" s="87">
        <f t="shared" si="29"/>
        <v>0.82266009852216748</v>
      </c>
      <c r="K265" s="87">
        <f t="shared" si="30"/>
        <v>0.25862068965517243</v>
      </c>
      <c r="L265" s="87">
        <f t="shared" si="31"/>
        <v>2.3645320197044337</v>
      </c>
      <c r="M265" s="87">
        <f t="shared" si="32"/>
        <v>0.4605911330049261</v>
      </c>
      <c r="N265" s="87">
        <f t="shared" si="33"/>
        <v>2.4630541871921183</v>
      </c>
      <c r="O265" s="87">
        <f t="shared" si="34"/>
        <v>6.3990147783251237</v>
      </c>
    </row>
    <row r="266" spans="1:15" x14ac:dyDescent="0.3">
      <c r="A266" t="s">
        <v>43</v>
      </c>
      <c r="B266" t="s">
        <v>967</v>
      </c>
      <c r="C266" s="16" t="s">
        <v>272</v>
      </c>
      <c r="D266" s="16">
        <v>2</v>
      </c>
      <c r="E266" t="s">
        <v>1524</v>
      </c>
      <c r="F266" t="s">
        <v>1537</v>
      </c>
      <c r="G266" t="s">
        <v>341</v>
      </c>
      <c r="H266" t="s">
        <v>1571</v>
      </c>
      <c r="I266" s="87">
        <f t="shared" si="28"/>
        <v>2.9556650246305424E-2</v>
      </c>
      <c r="J266" s="87">
        <f t="shared" si="29"/>
        <v>0.82266009852216748</v>
      </c>
      <c r="K266" s="87">
        <f t="shared" si="30"/>
        <v>0.25862068965517243</v>
      </c>
      <c r="L266" s="87">
        <f t="shared" si="31"/>
        <v>2.3645320197044337</v>
      </c>
      <c r="M266" s="87">
        <f t="shared" si="32"/>
        <v>0.4605911330049261</v>
      </c>
      <c r="N266" s="87">
        <f t="shared" si="33"/>
        <v>2.4630541871921183</v>
      </c>
      <c r="O266" s="87">
        <f t="shared" si="34"/>
        <v>6.3990147783251237</v>
      </c>
    </row>
    <row r="267" spans="1:15" x14ac:dyDescent="0.3">
      <c r="A267" t="s">
        <v>45</v>
      </c>
      <c r="B267" t="s">
        <v>968</v>
      </c>
      <c r="C267" s="16" t="s">
        <v>272</v>
      </c>
      <c r="D267" s="16">
        <v>3</v>
      </c>
      <c r="E267" t="s">
        <v>1524</v>
      </c>
      <c r="F267" t="s">
        <v>1542</v>
      </c>
      <c r="G267" t="s">
        <v>1567</v>
      </c>
      <c r="H267" t="s">
        <v>344</v>
      </c>
      <c r="I267" s="87">
        <f t="shared" si="28"/>
        <v>2.9556650246305424E-2</v>
      </c>
      <c r="J267" s="87">
        <f t="shared" si="29"/>
        <v>0.17733990147783252</v>
      </c>
      <c r="K267" s="87">
        <f t="shared" si="30"/>
        <v>0.25862068965517243</v>
      </c>
      <c r="L267" s="87">
        <f t="shared" si="31"/>
        <v>2.3768472906403941</v>
      </c>
      <c r="M267" s="87">
        <f t="shared" si="32"/>
        <v>0.21921182266009853</v>
      </c>
      <c r="N267" s="87">
        <f t="shared" si="33"/>
        <v>1.2438423645320198</v>
      </c>
      <c r="O267" s="87">
        <f t="shared" si="34"/>
        <v>4.305418719211823</v>
      </c>
    </row>
    <row r="268" spans="1:15" x14ac:dyDescent="0.3">
      <c r="A268" t="s">
        <v>45</v>
      </c>
      <c r="B268" t="s">
        <v>969</v>
      </c>
      <c r="C268" s="16" t="s">
        <v>272</v>
      </c>
      <c r="D268" s="16">
        <v>2</v>
      </c>
      <c r="E268" t="s">
        <v>1525</v>
      </c>
      <c r="F268" t="s">
        <v>284</v>
      </c>
      <c r="G268" t="s">
        <v>1567</v>
      </c>
      <c r="H268" t="s">
        <v>344</v>
      </c>
      <c r="I268" s="87">
        <f t="shared" si="28"/>
        <v>2.9556650246305424E-2</v>
      </c>
      <c r="J268" s="87">
        <f t="shared" si="29"/>
        <v>0.82266009852216748</v>
      </c>
      <c r="K268" s="87">
        <f t="shared" si="30"/>
        <v>2.3522167487684729</v>
      </c>
      <c r="L268" s="87">
        <f t="shared" si="31"/>
        <v>2.4507389162561575</v>
      </c>
      <c r="M268" s="87">
        <f t="shared" si="32"/>
        <v>0.21921182266009853</v>
      </c>
      <c r="N268" s="87">
        <f t="shared" si="33"/>
        <v>1.2438423645320198</v>
      </c>
      <c r="O268" s="87">
        <f t="shared" si="34"/>
        <v>7.1182266009852215</v>
      </c>
    </row>
    <row r="269" spans="1:15" x14ac:dyDescent="0.3">
      <c r="A269" t="s">
        <v>45</v>
      </c>
      <c r="B269" t="s">
        <v>970</v>
      </c>
      <c r="C269" s="16" t="s">
        <v>272</v>
      </c>
      <c r="D269" s="16">
        <v>2</v>
      </c>
      <c r="E269" t="s">
        <v>1525</v>
      </c>
      <c r="F269" t="s">
        <v>284</v>
      </c>
      <c r="G269" t="s">
        <v>343</v>
      </c>
      <c r="H269" t="s">
        <v>291</v>
      </c>
      <c r="I269" s="87">
        <f t="shared" si="28"/>
        <v>2.9556650246305424E-2</v>
      </c>
      <c r="J269" s="87">
        <f t="shared" si="29"/>
        <v>0.82266009852216748</v>
      </c>
      <c r="K269" s="87">
        <f t="shared" si="30"/>
        <v>2.3522167487684729</v>
      </c>
      <c r="L269" s="87">
        <f t="shared" si="31"/>
        <v>2.4507389162561575</v>
      </c>
      <c r="M269" s="87">
        <f t="shared" si="32"/>
        <v>0.48522167487684736</v>
      </c>
      <c r="N269" s="87">
        <f t="shared" si="33"/>
        <v>2.2906403940886699</v>
      </c>
      <c r="O269" s="87">
        <f t="shared" si="34"/>
        <v>8.4310344827586192</v>
      </c>
    </row>
    <row r="270" spans="1:15" x14ac:dyDescent="0.3">
      <c r="A270" t="s">
        <v>45</v>
      </c>
      <c r="B270" t="s">
        <v>971</v>
      </c>
      <c r="C270" s="16" t="s">
        <v>272</v>
      </c>
      <c r="D270" s="16">
        <v>3</v>
      </c>
      <c r="E270" t="s">
        <v>1524</v>
      </c>
      <c r="F270" t="s">
        <v>1537</v>
      </c>
      <c r="G270" t="s">
        <v>1567</v>
      </c>
      <c r="H270" t="s">
        <v>1570</v>
      </c>
      <c r="I270" s="87">
        <f t="shared" si="28"/>
        <v>2.9556650246305424E-2</v>
      </c>
      <c r="J270" s="87">
        <f t="shared" si="29"/>
        <v>0.17733990147783252</v>
      </c>
      <c r="K270" s="87">
        <f t="shared" si="30"/>
        <v>0.25862068965517243</v>
      </c>
      <c r="L270" s="87">
        <f t="shared" si="31"/>
        <v>2.3645320197044337</v>
      </c>
      <c r="M270" s="87">
        <f t="shared" si="32"/>
        <v>0.21921182266009853</v>
      </c>
      <c r="N270" s="87">
        <f t="shared" si="33"/>
        <v>2.3645320197044337</v>
      </c>
      <c r="O270" s="87">
        <f t="shared" si="34"/>
        <v>5.4137931034482758</v>
      </c>
    </row>
    <row r="271" spans="1:15" x14ac:dyDescent="0.3">
      <c r="A271" t="s">
        <v>45</v>
      </c>
      <c r="B271" t="s">
        <v>972</v>
      </c>
      <c r="C271" s="16" t="s">
        <v>272</v>
      </c>
      <c r="D271" s="16">
        <v>3</v>
      </c>
      <c r="E271" t="s">
        <v>1524</v>
      </c>
      <c r="F271" t="s">
        <v>1537</v>
      </c>
      <c r="G271" t="s">
        <v>1567</v>
      </c>
      <c r="H271" t="s">
        <v>344</v>
      </c>
      <c r="I271" s="87">
        <f t="shared" si="28"/>
        <v>2.9556650246305424E-2</v>
      </c>
      <c r="J271" s="87">
        <f t="shared" si="29"/>
        <v>0.17733990147783252</v>
      </c>
      <c r="K271" s="87">
        <f t="shared" si="30"/>
        <v>0.25862068965517243</v>
      </c>
      <c r="L271" s="87">
        <f t="shared" si="31"/>
        <v>2.3645320197044337</v>
      </c>
      <c r="M271" s="87">
        <f t="shared" si="32"/>
        <v>0.21921182266009853</v>
      </c>
      <c r="N271" s="87">
        <f t="shared" si="33"/>
        <v>1.2438423645320198</v>
      </c>
      <c r="O271" s="87">
        <f t="shared" si="34"/>
        <v>4.2931034482758621</v>
      </c>
    </row>
    <row r="272" spans="1:15" x14ac:dyDescent="0.3">
      <c r="A272" t="s">
        <v>45</v>
      </c>
      <c r="B272" t="s">
        <v>973</v>
      </c>
      <c r="C272" s="16" t="s">
        <v>272</v>
      </c>
      <c r="D272" s="16">
        <v>3</v>
      </c>
      <c r="E272" t="s">
        <v>1524</v>
      </c>
      <c r="F272" t="s">
        <v>1537</v>
      </c>
      <c r="G272" t="s">
        <v>1567</v>
      </c>
      <c r="H272" t="s">
        <v>344</v>
      </c>
      <c r="I272" s="87">
        <f t="shared" si="28"/>
        <v>2.9556650246305424E-2</v>
      </c>
      <c r="J272" s="87">
        <f t="shared" si="29"/>
        <v>0.17733990147783252</v>
      </c>
      <c r="K272" s="87">
        <f t="shared" si="30"/>
        <v>0.25862068965517243</v>
      </c>
      <c r="L272" s="87">
        <f t="shared" si="31"/>
        <v>2.3645320197044337</v>
      </c>
      <c r="M272" s="87">
        <f t="shared" si="32"/>
        <v>0.21921182266009853</v>
      </c>
      <c r="N272" s="87">
        <f t="shared" si="33"/>
        <v>1.2438423645320198</v>
      </c>
      <c r="O272" s="87">
        <f t="shared" si="34"/>
        <v>4.2931034482758621</v>
      </c>
    </row>
    <row r="273" spans="1:15" x14ac:dyDescent="0.3">
      <c r="A273" t="s">
        <v>45</v>
      </c>
      <c r="B273" t="s">
        <v>974</v>
      </c>
      <c r="C273" s="16" t="s">
        <v>272</v>
      </c>
      <c r="D273" s="16">
        <v>3</v>
      </c>
      <c r="E273" t="s">
        <v>1524</v>
      </c>
      <c r="F273" t="s">
        <v>282</v>
      </c>
      <c r="G273" t="s">
        <v>343</v>
      </c>
      <c r="H273" t="s">
        <v>291</v>
      </c>
      <c r="I273" s="87">
        <f t="shared" si="28"/>
        <v>2.9556650246305424E-2</v>
      </c>
      <c r="J273" s="87">
        <f t="shared" si="29"/>
        <v>0.17733990147783252</v>
      </c>
      <c r="K273" s="87">
        <f t="shared" si="30"/>
        <v>0.25862068965517243</v>
      </c>
      <c r="L273" s="87">
        <f t="shared" si="31"/>
        <v>1.5024630541871922</v>
      </c>
      <c r="M273" s="87">
        <f t="shared" si="32"/>
        <v>0.48522167487684736</v>
      </c>
      <c r="N273" s="87">
        <f t="shared" si="33"/>
        <v>2.2906403940886699</v>
      </c>
      <c r="O273" s="87">
        <f t="shared" si="34"/>
        <v>4.7438423645320196</v>
      </c>
    </row>
    <row r="274" spans="1:15" x14ac:dyDescent="0.3">
      <c r="A274" t="s">
        <v>45</v>
      </c>
      <c r="B274" t="s">
        <v>975</v>
      </c>
      <c r="C274" s="16" t="s">
        <v>272</v>
      </c>
      <c r="D274" s="16">
        <v>3</v>
      </c>
      <c r="E274" t="s">
        <v>1524</v>
      </c>
      <c r="F274" t="s">
        <v>1537</v>
      </c>
      <c r="G274" t="s">
        <v>1567</v>
      </c>
      <c r="H274" t="s">
        <v>344</v>
      </c>
      <c r="I274" s="87">
        <f t="shared" si="28"/>
        <v>2.9556650246305424E-2</v>
      </c>
      <c r="J274" s="87">
        <f t="shared" si="29"/>
        <v>0.17733990147783252</v>
      </c>
      <c r="K274" s="87">
        <f t="shared" si="30"/>
        <v>0.25862068965517243</v>
      </c>
      <c r="L274" s="87">
        <f t="shared" si="31"/>
        <v>2.3645320197044337</v>
      </c>
      <c r="M274" s="87">
        <f t="shared" si="32"/>
        <v>0.21921182266009853</v>
      </c>
      <c r="N274" s="87">
        <f t="shared" si="33"/>
        <v>1.2438423645320198</v>
      </c>
      <c r="O274" s="87">
        <f t="shared" si="34"/>
        <v>4.2931034482758621</v>
      </c>
    </row>
    <row r="275" spans="1:15" x14ac:dyDescent="0.3">
      <c r="A275" t="s">
        <v>45</v>
      </c>
      <c r="B275" t="s">
        <v>976</v>
      </c>
      <c r="C275" s="16" t="s">
        <v>272</v>
      </c>
      <c r="D275" s="16">
        <v>3</v>
      </c>
      <c r="E275" t="s">
        <v>1524</v>
      </c>
      <c r="F275" t="s">
        <v>1537</v>
      </c>
      <c r="G275" t="s">
        <v>1567</v>
      </c>
      <c r="H275" t="s">
        <v>344</v>
      </c>
      <c r="I275" s="87">
        <f t="shared" si="28"/>
        <v>2.9556650246305424E-2</v>
      </c>
      <c r="J275" s="87">
        <f t="shared" si="29"/>
        <v>0.17733990147783252</v>
      </c>
      <c r="K275" s="87">
        <f t="shared" si="30"/>
        <v>0.25862068965517243</v>
      </c>
      <c r="L275" s="87">
        <f t="shared" si="31"/>
        <v>2.3645320197044337</v>
      </c>
      <c r="M275" s="87">
        <f t="shared" si="32"/>
        <v>0.21921182266009853</v>
      </c>
      <c r="N275" s="87">
        <f t="shared" si="33"/>
        <v>1.2438423645320198</v>
      </c>
      <c r="O275" s="87">
        <f t="shared" si="34"/>
        <v>4.2931034482758621</v>
      </c>
    </row>
    <row r="276" spans="1:15" x14ac:dyDescent="0.3">
      <c r="A276" t="s">
        <v>45</v>
      </c>
      <c r="B276" t="s">
        <v>977</v>
      </c>
      <c r="C276" s="16" t="s">
        <v>272</v>
      </c>
      <c r="D276" s="16">
        <v>3</v>
      </c>
      <c r="E276" t="s">
        <v>1524</v>
      </c>
      <c r="F276" t="s">
        <v>1537</v>
      </c>
      <c r="G276" t="s">
        <v>1567</v>
      </c>
      <c r="H276" t="s">
        <v>344</v>
      </c>
      <c r="I276" s="87">
        <f t="shared" si="28"/>
        <v>2.9556650246305424E-2</v>
      </c>
      <c r="J276" s="87">
        <f t="shared" si="29"/>
        <v>0.17733990147783252</v>
      </c>
      <c r="K276" s="87">
        <f t="shared" si="30"/>
        <v>0.25862068965517243</v>
      </c>
      <c r="L276" s="87">
        <f t="shared" si="31"/>
        <v>2.3645320197044337</v>
      </c>
      <c r="M276" s="87">
        <f t="shared" si="32"/>
        <v>0.21921182266009853</v>
      </c>
      <c r="N276" s="87">
        <f t="shared" si="33"/>
        <v>1.2438423645320198</v>
      </c>
      <c r="O276" s="87">
        <f t="shared" si="34"/>
        <v>4.2931034482758621</v>
      </c>
    </row>
    <row r="277" spans="1:15" x14ac:dyDescent="0.3">
      <c r="A277" t="s">
        <v>45</v>
      </c>
      <c r="B277" t="s">
        <v>978</v>
      </c>
      <c r="C277" s="16" t="s">
        <v>272</v>
      </c>
      <c r="D277" s="16">
        <v>3</v>
      </c>
      <c r="E277" t="s">
        <v>1524</v>
      </c>
      <c r="F277" t="s">
        <v>1658</v>
      </c>
      <c r="G277" t="s">
        <v>1567</v>
      </c>
      <c r="H277" t="s">
        <v>344</v>
      </c>
      <c r="I277" s="87">
        <f t="shared" si="28"/>
        <v>2.9556650246305424E-2</v>
      </c>
      <c r="J277" s="87">
        <f t="shared" si="29"/>
        <v>0.17733990147783252</v>
      </c>
      <c r="K277" s="87">
        <f t="shared" si="30"/>
        <v>0.25862068965517243</v>
      </c>
      <c r="L277" s="87">
        <f t="shared" si="31"/>
        <v>2.5</v>
      </c>
      <c r="M277" s="87">
        <f t="shared" si="32"/>
        <v>0.21921182266009853</v>
      </c>
      <c r="N277" s="87">
        <f t="shared" si="33"/>
        <v>1.2438423645320198</v>
      </c>
      <c r="O277" s="87">
        <f t="shared" si="34"/>
        <v>4.4285714285714288</v>
      </c>
    </row>
    <row r="278" spans="1:15" x14ac:dyDescent="0.3">
      <c r="A278" t="s">
        <v>45</v>
      </c>
      <c r="B278" t="s">
        <v>979</v>
      </c>
      <c r="C278" s="16" t="s">
        <v>272</v>
      </c>
      <c r="D278" s="16">
        <v>3</v>
      </c>
      <c r="E278" t="s">
        <v>1524</v>
      </c>
      <c r="F278" t="s">
        <v>1542</v>
      </c>
      <c r="G278" t="s">
        <v>1567</v>
      </c>
      <c r="H278" t="s">
        <v>344</v>
      </c>
      <c r="I278" s="87">
        <f t="shared" si="28"/>
        <v>2.9556650246305424E-2</v>
      </c>
      <c r="J278" s="87">
        <f t="shared" si="29"/>
        <v>0.17733990147783252</v>
      </c>
      <c r="K278" s="87">
        <f t="shared" si="30"/>
        <v>0.25862068965517243</v>
      </c>
      <c r="L278" s="87">
        <f t="shared" si="31"/>
        <v>2.3768472906403941</v>
      </c>
      <c r="M278" s="87">
        <f t="shared" si="32"/>
        <v>0.21921182266009853</v>
      </c>
      <c r="N278" s="87">
        <f t="shared" si="33"/>
        <v>1.2438423645320198</v>
      </c>
      <c r="O278" s="87">
        <f t="shared" si="34"/>
        <v>4.305418719211823</v>
      </c>
    </row>
    <row r="279" spans="1:15" x14ac:dyDescent="0.3">
      <c r="A279" t="s">
        <v>45</v>
      </c>
      <c r="B279" t="s">
        <v>980</v>
      </c>
      <c r="C279" s="16" t="s">
        <v>272</v>
      </c>
      <c r="D279" s="16">
        <v>3</v>
      </c>
      <c r="E279" t="s">
        <v>1524</v>
      </c>
      <c r="F279" t="s">
        <v>1658</v>
      </c>
      <c r="G279" t="s">
        <v>1567</v>
      </c>
      <c r="H279" t="s">
        <v>344</v>
      </c>
      <c r="I279" s="87">
        <f t="shared" si="28"/>
        <v>2.9556650246305424E-2</v>
      </c>
      <c r="J279" s="87">
        <f t="shared" si="29"/>
        <v>0.17733990147783252</v>
      </c>
      <c r="K279" s="87">
        <f t="shared" si="30"/>
        <v>0.25862068965517243</v>
      </c>
      <c r="L279" s="87">
        <f t="shared" si="31"/>
        <v>2.5</v>
      </c>
      <c r="M279" s="87">
        <f t="shared" si="32"/>
        <v>0.21921182266009853</v>
      </c>
      <c r="N279" s="87">
        <f t="shared" si="33"/>
        <v>1.2438423645320198</v>
      </c>
      <c r="O279" s="87">
        <f t="shared" si="34"/>
        <v>4.4285714285714288</v>
      </c>
    </row>
    <row r="280" spans="1:15" x14ac:dyDescent="0.3">
      <c r="A280" t="s">
        <v>45</v>
      </c>
      <c r="B280" t="s">
        <v>981</v>
      </c>
      <c r="C280" s="16" t="s">
        <v>272</v>
      </c>
      <c r="D280" s="16">
        <v>3</v>
      </c>
      <c r="E280" t="s">
        <v>1524</v>
      </c>
      <c r="F280" t="s">
        <v>1534</v>
      </c>
      <c r="G280" t="s">
        <v>1567</v>
      </c>
      <c r="H280" t="s">
        <v>344</v>
      </c>
      <c r="I280" s="87">
        <f t="shared" si="28"/>
        <v>2.9556650246305424E-2</v>
      </c>
      <c r="J280" s="87">
        <f t="shared" si="29"/>
        <v>0.17733990147783252</v>
      </c>
      <c r="K280" s="87">
        <f t="shared" si="30"/>
        <v>0.25862068965517243</v>
      </c>
      <c r="L280" s="87">
        <f t="shared" si="31"/>
        <v>2.4507389162561575</v>
      </c>
      <c r="M280" s="87">
        <f t="shared" si="32"/>
        <v>0.21921182266009853</v>
      </c>
      <c r="N280" s="87">
        <f t="shared" si="33"/>
        <v>1.2438423645320198</v>
      </c>
      <c r="O280" s="87">
        <f t="shared" si="34"/>
        <v>4.3793103448275863</v>
      </c>
    </row>
    <row r="281" spans="1:15" x14ac:dyDescent="0.3">
      <c r="A281" t="s">
        <v>45</v>
      </c>
      <c r="B281" t="s">
        <v>982</v>
      </c>
      <c r="C281" s="16" t="s">
        <v>272</v>
      </c>
      <c r="D281" s="16">
        <v>3</v>
      </c>
      <c r="E281" t="s">
        <v>1524</v>
      </c>
      <c r="F281" t="s">
        <v>1534</v>
      </c>
      <c r="G281" t="s">
        <v>1567</v>
      </c>
      <c r="H281" t="s">
        <v>1570</v>
      </c>
      <c r="I281" s="87">
        <f t="shared" si="28"/>
        <v>2.9556650246305424E-2</v>
      </c>
      <c r="J281" s="87">
        <f t="shared" si="29"/>
        <v>0.17733990147783252</v>
      </c>
      <c r="K281" s="87">
        <f t="shared" si="30"/>
        <v>0.25862068965517243</v>
      </c>
      <c r="L281" s="87">
        <f t="shared" si="31"/>
        <v>2.4507389162561575</v>
      </c>
      <c r="M281" s="87">
        <f t="shared" si="32"/>
        <v>0.21921182266009853</v>
      </c>
      <c r="N281" s="87">
        <f t="shared" si="33"/>
        <v>2.3645320197044337</v>
      </c>
      <c r="O281" s="87">
        <f t="shared" si="34"/>
        <v>5.5</v>
      </c>
    </row>
    <row r="282" spans="1:15" x14ac:dyDescent="0.3">
      <c r="A282" t="s">
        <v>45</v>
      </c>
      <c r="B282" t="s">
        <v>983</v>
      </c>
      <c r="C282" s="16" t="s">
        <v>272</v>
      </c>
      <c r="D282" s="16">
        <v>3</v>
      </c>
      <c r="E282" t="s">
        <v>1524</v>
      </c>
      <c r="F282" t="s">
        <v>1542</v>
      </c>
      <c r="G282" t="s">
        <v>1567</v>
      </c>
      <c r="H282" t="s">
        <v>344</v>
      </c>
      <c r="I282" s="87">
        <f t="shared" si="28"/>
        <v>2.9556650246305424E-2</v>
      </c>
      <c r="J282" s="87">
        <f t="shared" si="29"/>
        <v>0.17733990147783252</v>
      </c>
      <c r="K282" s="87">
        <f t="shared" si="30"/>
        <v>0.25862068965517243</v>
      </c>
      <c r="L282" s="87">
        <f t="shared" si="31"/>
        <v>2.3768472906403941</v>
      </c>
      <c r="M282" s="87">
        <f t="shared" si="32"/>
        <v>0.21921182266009853</v>
      </c>
      <c r="N282" s="87">
        <f t="shared" si="33"/>
        <v>1.2438423645320198</v>
      </c>
      <c r="O282" s="87">
        <f t="shared" si="34"/>
        <v>4.305418719211823</v>
      </c>
    </row>
    <row r="283" spans="1:15" x14ac:dyDescent="0.3">
      <c r="A283" t="s">
        <v>45</v>
      </c>
      <c r="B283" t="s">
        <v>984</v>
      </c>
      <c r="C283" s="16" t="s">
        <v>272</v>
      </c>
      <c r="D283" s="16">
        <v>3</v>
      </c>
      <c r="E283" t="s">
        <v>1524</v>
      </c>
      <c r="F283" t="s">
        <v>1658</v>
      </c>
      <c r="G283" t="s">
        <v>1567</v>
      </c>
      <c r="H283" t="s">
        <v>344</v>
      </c>
      <c r="I283" s="87">
        <f t="shared" si="28"/>
        <v>2.9556650246305424E-2</v>
      </c>
      <c r="J283" s="87">
        <f t="shared" si="29"/>
        <v>0.17733990147783252</v>
      </c>
      <c r="K283" s="87">
        <f t="shared" si="30"/>
        <v>0.25862068965517243</v>
      </c>
      <c r="L283" s="87">
        <f t="shared" si="31"/>
        <v>2.5</v>
      </c>
      <c r="M283" s="87">
        <f t="shared" si="32"/>
        <v>0.21921182266009853</v>
      </c>
      <c r="N283" s="87">
        <f t="shared" si="33"/>
        <v>1.2438423645320198</v>
      </c>
      <c r="O283" s="87">
        <f t="shared" si="34"/>
        <v>4.4285714285714288</v>
      </c>
    </row>
    <row r="284" spans="1:15" x14ac:dyDescent="0.3">
      <c r="A284" t="s">
        <v>45</v>
      </c>
      <c r="B284" t="s">
        <v>985</v>
      </c>
      <c r="C284" s="16" t="s">
        <v>272</v>
      </c>
      <c r="D284" s="16">
        <v>3</v>
      </c>
      <c r="E284" t="s">
        <v>1524</v>
      </c>
      <c r="F284" t="s">
        <v>1658</v>
      </c>
      <c r="G284" t="s">
        <v>1567</v>
      </c>
      <c r="H284" t="s">
        <v>344</v>
      </c>
      <c r="I284" s="87">
        <f t="shared" si="28"/>
        <v>2.9556650246305424E-2</v>
      </c>
      <c r="J284" s="87">
        <f t="shared" si="29"/>
        <v>0.17733990147783252</v>
      </c>
      <c r="K284" s="87">
        <f t="shared" si="30"/>
        <v>0.25862068965517243</v>
      </c>
      <c r="L284" s="87">
        <f t="shared" si="31"/>
        <v>2.5</v>
      </c>
      <c r="M284" s="87">
        <f t="shared" si="32"/>
        <v>0.21921182266009853</v>
      </c>
      <c r="N284" s="87">
        <f t="shared" si="33"/>
        <v>1.2438423645320198</v>
      </c>
      <c r="O284" s="87">
        <f t="shared" si="34"/>
        <v>4.4285714285714288</v>
      </c>
    </row>
    <row r="285" spans="1:15" x14ac:dyDescent="0.3">
      <c r="A285" t="s">
        <v>9</v>
      </c>
      <c r="B285" t="s">
        <v>986</v>
      </c>
      <c r="C285" s="16" t="s">
        <v>272</v>
      </c>
      <c r="D285" s="16">
        <v>3</v>
      </c>
      <c r="E285" t="s">
        <v>1524</v>
      </c>
      <c r="F285" t="s">
        <v>1626</v>
      </c>
      <c r="G285" t="s">
        <v>1567</v>
      </c>
      <c r="H285" t="s">
        <v>347</v>
      </c>
      <c r="I285" s="87">
        <f t="shared" si="28"/>
        <v>2.9556650246305424E-2</v>
      </c>
      <c r="J285" s="87">
        <f t="shared" si="29"/>
        <v>0.17733990147783252</v>
      </c>
      <c r="K285" s="87">
        <f t="shared" si="30"/>
        <v>0.25862068965517243</v>
      </c>
      <c r="L285" s="87">
        <f t="shared" si="31"/>
        <v>2.4753694581280787</v>
      </c>
      <c r="M285" s="87">
        <f t="shared" si="32"/>
        <v>0.21921182266009853</v>
      </c>
      <c r="N285" s="87">
        <f t="shared" si="33"/>
        <v>2.4137931034482758</v>
      </c>
      <c r="O285" s="87">
        <f t="shared" si="34"/>
        <v>5.5738916256157633</v>
      </c>
    </row>
    <row r="286" spans="1:15" x14ac:dyDescent="0.3">
      <c r="A286" t="s">
        <v>9</v>
      </c>
      <c r="B286" t="s">
        <v>987</v>
      </c>
      <c r="C286" s="16" t="s">
        <v>272</v>
      </c>
      <c r="D286" s="16">
        <v>3</v>
      </c>
      <c r="E286" t="s">
        <v>1524</v>
      </c>
      <c r="F286" t="s">
        <v>1626</v>
      </c>
      <c r="G286" t="s">
        <v>1567</v>
      </c>
      <c r="H286" t="s">
        <v>347</v>
      </c>
      <c r="I286" s="87">
        <f t="shared" si="28"/>
        <v>2.9556650246305424E-2</v>
      </c>
      <c r="J286" s="87">
        <f t="shared" si="29"/>
        <v>0.17733990147783252</v>
      </c>
      <c r="K286" s="87">
        <f t="shared" si="30"/>
        <v>0.25862068965517243</v>
      </c>
      <c r="L286" s="87">
        <f t="shared" si="31"/>
        <v>2.4753694581280787</v>
      </c>
      <c r="M286" s="87">
        <f t="shared" si="32"/>
        <v>0.21921182266009853</v>
      </c>
      <c r="N286" s="87">
        <f t="shared" si="33"/>
        <v>2.4137931034482758</v>
      </c>
      <c r="O286" s="87">
        <f t="shared" si="34"/>
        <v>5.5738916256157633</v>
      </c>
    </row>
    <row r="287" spans="1:15" x14ac:dyDescent="0.3">
      <c r="A287" t="s">
        <v>9</v>
      </c>
      <c r="B287" t="s">
        <v>988</v>
      </c>
      <c r="C287" s="16" t="s">
        <v>272</v>
      </c>
      <c r="D287" s="16">
        <v>3</v>
      </c>
      <c r="E287" t="s">
        <v>1524</v>
      </c>
      <c r="F287" t="s">
        <v>1533</v>
      </c>
      <c r="G287" t="s">
        <v>1567</v>
      </c>
      <c r="H287" t="s">
        <v>347</v>
      </c>
      <c r="I287" s="87">
        <f t="shared" si="28"/>
        <v>2.9556650246305424E-2</v>
      </c>
      <c r="J287" s="87">
        <f t="shared" si="29"/>
        <v>0.17733990147783252</v>
      </c>
      <c r="K287" s="87">
        <f t="shared" si="30"/>
        <v>0.25862068965517243</v>
      </c>
      <c r="L287" s="87">
        <f t="shared" si="31"/>
        <v>2.4876847290640396</v>
      </c>
      <c r="M287" s="87">
        <f t="shared" si="32"/>
        <v>0.21921182266009853</v>
      </c>
      <c r="N287" s="87">
        <f t="shared" si="33"/>
        <v>2.4137931034482758</v>
      </c>
      <c r="O287" s="87">
        <f t="shared" si="34"/>
        <v>5.5862068965517242</v>
      </c>
    </row>
    <row r="288" spans="1:15" x14ac:dyDescent="0.3">
      <c r="A288" t="s">
        <v>9</v>
      </c>
      <c r="B288" t="s">
        <v>989</v>
      </c>
      <c r="C288" s="16" t="s">
        <v>272</v>
      </c>
      <c r="D288" s="16">
        <v>3</v>
      </c>
      <c r="E288" t="s">
        <v>1524</v>
      </c>
      <c r="F288" t="s">
        <v>1658</v>
      </c>
      <c r="G288" t="s">
        <v>341</v>
      </c>
      <c r="H288" t="s">
        <v>1572</v>
      </c>
      <c r="I288" s="87">
        <f t="shared" si="28"/>
        <v>2.9556650246305424E-2</v>
      </c>
      <c r="J288" s="87">
        <f t="shared" si="29"/>
        <v>0.17733990147783252</v>
      </c>
      <c r="K288" s="87">
        <f t="shared" si="30"/>
        <v>0.25862068965517243</v>
      </c>
      <c r="L288" s="87">
        <f t="shared" si="31"/>
        <v>2.5</v>
      </c>
      <c r="M288" s="87">
        <f t="shared" si="32"/>
        <v>0.4605911330049261</v>
      </c>
      <c r="N288" s="87">
        <f t="shared" si="33"/>
        <v>2.4384236453201971</v>
      </c>
      <c r="O288" s="87">
        <f t="shared" si="34"/>
        <v>5.8645320197044342</v>
      </c>
    </row>
    <row r="289" spans="1:15" x14ac:dyDescent="0.3">
      <c r="A289" t="s">
        <v>9</v>
      </c>
      <c r="B289" t="s">
        <v>990</v>
      </c>
      <c r="C289" s="16" t="s">
        <v>272</v>
      </c>
      <c r="D289" s="16">
        <v>2</v>
      </c>
      <c r="E289" t="s">
        <v>1524</v>
      </c>
      <c r="F289" t="s">
        <v>1547</v>
      </c>
      <c r="G289" t="s">
        <v>341</v>
      </c>
      <c r="H289" t="s">
        <v>345</v>
      </c>
      <c r="I289" s="87">
        <f t="shared" si="28"/>
        <v>2.9556650246305424E-2</v>
      </c>
      <c r="J289" s="87">
        <f t="shared" si="29"/>
        <v>0.82266009852216748</v>
      </c>
      <c r="K289" s="87">
        <f t="shared" si="30"/>
        <v>0.25862068965517243</v>
      </c>
      <c r="L289" s="87">
        <f t="shared" si="31"/>
        <v>2.3891625615763545</v>
      </c>
      <c r="M289" s="87">
        <f t="shared" si="32"/>
        <v>0.4605911330049261</v>
      </c>
      <c r="N289" s="87">
        <f t="shared" si="33"/>
        <v>2.2536945812807883</v>
      </c>
      <c r="O289" s="87">
        <f t="shared" si="34"/>
        <v>6.2142857142857144</v>
      </c>
    </row>
    <row r="290" spans="1:15" x14ac:dyDescent="0.3">
      <c r="A290" t="s">
        <v>9</v>
      </c>
      <c r="B290" t="s">
        <v>991</v>
      </c>
      <c r="C290" s="16" t="s">
        <v>272</v>
      </c>
      <c r="D290" s="16">
        <v>3</v>
      </c>
      <c r="E290" t="s">
        <v>1524</v>
      </c>
      <c r="F290" t="s">
        <v>1547</v>
      </c>
      <c r="G290" t="s">
        <v>341</v>
      </c>
      <c r="H290" t="s">
        <v>345</v>
      </c>
      <c r="I290" s="87">
        <f t="shared" si="28"/>
        <v>2.9556650246305424E-2</v>
      </c>
      <c r="J290" s="87">
        <f t="shared" si="29"/>
        <v>0.17733990147783252</v>
      </c>
      <c r="K290" s="87">
        <f t="shared" si="30"/>
        <v>0.25862068965517243</v>
      </c>
      <c r="L290" s="87">
        <f t="shared" si="31"/>
        <v>2.3891625615763545</v>
      </c>
      <c r="M290" s="87">
        <f t="shared" si="32"/>
        <v>0.4605911330049261</v>
      </c>
      <c r="N290" s="87">
        <f t="shared" si="33"/>
        <v>2.2536945812807883</v>
      </c>
      <c r="O290" s="87">
        <f t="shared" si="34"/>
        <v>5.568965517241379</v>
      </c>
    </row>
    <row r="291" spans="1:15" x14ac:dyDescent="0.3">
      <c r="A291" t="s">
        <v>43</v>
      </c>
      <c r="B291" t="s">
        <v>992</v>
      </c>
      <c r="C291" s="16" t="s">
        <v>272</v>
      </c>
      <c r="D291" s="16">
        <v>3</v>
      </c>
      <c r="E291" t="s">
        <v>1524</v>
      </c>
      <c r="F291" t="s">
        <v>1562</v>
      </c>
      <c r="G291" t="s">
        <v>1567</v>
      </c>
      <c r="H291" t="s">
        <v>1574</v>
      </c>
      <c r="I291" s="87">
        <f t="shared" si="28"/>
        <v>2.9556650246305424E-2</v>
      </c>
      <c r="J291" s="87">
        <f t="shared" si="29"/>
        <v>0.17733990147783252</v>
      </c>
      <c r="K291" s="87">
        <f t="shared" si="30"/>
        <v>0.25862068965517243</v>
      </c>
      <c r="L291" s="87">
        <f t="shared" si="31"/>
        <v>2.4261083743842367</v>
      </c>
      <c r="M291" s="87">
        <f t="shared" si="32"/>
        <v>0.21921182266009853</v>
      </c>
      <c r="N291" s="87">
        <f t="shared" si="33"/>
        <v>2.3522167487684729</v>
      </c>
      <c r="O291" s="87">
        <f t="shared" si="34"/>
        <v>5.4630541871921192</v>
      </c>
    </row>
    <row r="292" spans="1:15" x14ac:dyDescent="0.3">
      <c r="A292" t="s">
        <v>43</v>
      </c>
      <c r="B292" t="s">
        <v>993</v>
      </c>
      <c r="C292" s="16" t="s">
        <v>272</v>
      </c>
      <c r="D292" s="16">
        <v>3</v>
      </c>
      <c r="E292" t="s">
        <v>1524</v>
      </c>
      <c r="F292" t="s">
        <v>1562</v>
      </c>
      <c r="G292" t="s">
        <v>1567</v>
      </c>
      <c r="H292" t="s">
        <v>1574</v>
      </c>
      <c r="I292" s="87">
        <f t="shared" si="28"/>
        <v>2.9556650246305424E-2</v>
      </c>
      <c r="J292" s="87">
        <f t="shared" si="29"/>
        <v>0.17733990147783252</v>
      </c>
      <c r="K292" s="87">
        <f t="shared" si="30"/>
        <v>0.25862068965517243</v>
      </c>
      <c r="L292" s="87">
        <f t="shared" si="31"/>
        <v>2.4261083743842367</v>
      </c>
      <c r="M292" s="87">
        <f t="shared" si="32"/>
        <v>0.21921182266009853</v>
      </c>
      <c r="N292" s="87">
        <f t="shared" si="33"/>
        <v>2.3522167487684729</v>
      </c>
      <c r="O292" s="87">
        <f t="shared" si="34"/>
        <v>5.4630541871921192</v>
      </c>
    </row>
    <row r="293" spans="1:15" x14ac:dyDescent="0.3">
      <c r="A293" t="s">
        <v>43</v>
      </c>
      <c r="B293" t="s">
        <v>994</v>
      </c>
      <c r="C293" s="16" t="s">
        <v>272</v>
      </c>
      <c r="D293" s="16">
        <v>3</v>
      </c>
      <c r="E293" t="s">
        <v>1524</v>
      </c>
      <c r="F293" t="s">
        <v>1562</v>
      </c>
      <c r="G293" t="s">
        <v>1567</v>
      </c>
      <c r="H293" t="s">
        <v>1574</v>
      </c>
      <c r="I293" s="87">
        <f t="shared" si="28"/>
        <v>2.9556650246305424E-2</v>
      </c>
      <c r="J293" s="87">
        <f t="shared" si="29"/>
        <v>0.17733990147783252</v>
      </c>
      <c r="K293" s="87">
        <f t="shared" si="30"/>
        <v>0.25862068965517243</v>
      </c>
      <c r="L293" s="87">
        <f t="shared" si="31"/>
        <v>2.4261083743842367</v>
      </c>
      <c r="M293" s="87">
        <f t="shared" si="32"/>
        <v>0.21921182266009853</v>
      </c>
      <c r="N293" s="87">
        <f t="shared" si="33"/>
        <v>2.3522167487684729</v>
      </c>
      <c r="O293" s="87">
        <f t="shared" si="34"/>
        <v>5.4630541871921192</v>
      </c>
    </row>
    <row r="294" spans="1:15" x14ac:dyDescent="0.3">
      <c r="A294" t="s">
        <v>43</v>
      </c>
      <c r="B294" t="s">
        <v>995</v>
      </c>
      <c r="C294" s="16" t="s">
        <v>272</v>
      </c>
      <c r="D294" s="16">
        <v>3</v>
      </c>
      <c r="E294" t="s">
        <v>1524</v>
      </c>
      <c r="F294" t="s">
        <v>1562</v>
      </c>
      <c r="G294" t="s">
        <v>1567</v>
      </c>
      <c r="H294" t="s">
        <v>1574</v>
      </c>
      <c r="I294" s="87">
        <f t="shared" si="28"/>
        <v>2.9556650246305424E-2</v>
      </c>
      <c r="J294" s="87">
        <f t="shared" si="29"/>
        <v>0.17733990147783252</v>
      </c>
      <c r="K294" s="87">
        <f t="shared" si="30"/>
        <v>0.25862068965517243</v>
      </c>
      <c r="L294" s="87">
        <f t="shared" si="31"/>
        <v>2.4261083743842367</v>
      </c>
      <c r="M294" s="87">
        <f t="shared" si="32"/>
        <v>0.21921182266009853</v>
      </c>
      <c r="N294" s="87">
        <f t="shared" si="33"/>
        <v>2.3522167487684729</v>
      </c>
      <c r="O294" s="87">
        <f t="shared" si="34"/>
        <v>5.4630541871921192</v>
      </c>
    </row>
    <row r="295" spans="1:15" x14ac:dyDescent="0.3">
      <c r="A295" t="s">
        <v>43</v>
      </c>
      <c r="B295" t="s">
        <v>996</v>
      </c>
      <c r="C295" s="16" t="s">
        <v>272</v>
      </c>
      <c r="D295" s="16">
        <v>3</v>
      </c>
      <c r="E295" t="s">
        <v>1524</v>
      </c>
      <c r="F295" t="s">
        <v>1562</v>
      </c>
      <c r="G295" t="s">
        <v>1567</v>
      </c>
      <c r="H295" t="s">
        <v>1574</v>
      </c>
      <c r="I295" s="87">
        <f t="shared" si="28"/>
        <v>2.9556650246305424E-2</v>
      </c>
      <c r="J295" s="87">
        <f t="shared" si="29"/>
        <v>0.17733990147783252</v>
      </c>
      <c r="K295" s="87">
        <f t="shared" si="30"/>
        <v>0.25862068965517243</v>
      </c>
      <c r="L295" s="87">
        <f t="shared" si="31"/>
        <v>2.4261083743842367</v>
      </c>
      <c r="M295" s="87">
        <f t="shared" si="32"/>
        <v>0.21921182266009853</v>
      </c>
      <c r="N295" s="87">
        <f t="shared" si="33"/>
        <v>2.3522167487684729</v>
      </c>
      <c r="O295" s="87">
        <f t="shared" si="34"/>
        <v>5.4630541871921192</v>
      </c>
    </row>
    <row r="296" spans="1:15" x14ac:dyDescent="0.3">
      <c r="A296" t="s">
        <v>43</v>
      </c>
      <c r="B296" t="s">
        <v>997</v>
      </c>
      <c r="C296" s="16" t="s">
        <v>272</v>
      </c>
      <c r="D296" s="16">
        <v>3</v>
      </c>
      <c r="E296" t="s">
        <v>1524</v>
      </c>
      <c r="F296" t="s">
        <v>1562</v>
      </c>
      <c r="G296" t="s">
        <v>1567</v>
      </c>
      <c r="H296" t="s">
        <v>1574</v>
      </c>
      <c r="I296" s="87">
        <f t="shared" si="28"/>
        <v>2.9556650246305424E-2</v>
      </c>
      <c r="J296" s="87">
        <f t="shared" si="29"/>
        <v>0.17733990147783252</v>
      </c>
      <c r="K296" s="87">
        <f t="shared" si="30"/>
        <v>0.25862068965517243</v>
      </c>
      <c r="L296" s="87">
        <f t="shared" si="31"/>
        <v>2.4261083743842367</v>
      </c>
      <c r="M296" s="87">
        <f t="shared" si="32"/>
        <v>0.21921182266009853</v>
      </c>
      <c r="N296" s="87">
        <f t="shared" si="33"/>
        <v>2.3522167487684729</v>
      </c>
      <c r="O296" s="87">
        <f t="shared" si="34"/>
        <v>5.4630541871921192</v>
      </c>
    </row>
    <row r="297" spans="1:15" x14ac:dyDescent="0.3">
      <c r="A297" t="s">
        <v>43</v>
      </c>
      <c r="B297" t="s">
        <v>998</v>
      </c>
      <c r="C297" s="16" t="s">
        <v>272</v>
      </c>
      <c r="D297" s="16">
        <v>3</v>
      </c>
      <c r="E297" t="s">
        <v>1524</v>
      </c>
      <c r="F297" t="s">
        <v>1562</v>
      </c>
      <c r="G297" t="s">
        <v>1568</v>
      </c>
      <c r="H297" t="s">
        <v>1571</v>
      </c>
      <c r="I297" s="87">
        <f t="shared" si="28"/>
        <v>2.9556650246305424E-2</v>
      </c>
      <c r="J297" s="87">
        <f t="shared" si="29"/>
        <v>0.17733990147783252</v>
      </c>
      <c r="K297" s="87">
        <f t="shared" si="30"/>
        <v>0.25862068965517243</v>
      </c>
      <c r="L297" s="87">
        <f t="shared" si="31"/>
        <v>2.4261083743842367</v>
      </c>
      <c r="M297" s="87">
        <f t="shared" si="32"/>
        <v>0.4679802955665025</v>
      </c>
      <c r="N297" s="87">
        <f t="shared" si="33"/>
        <v>2.4630541871921183</v>
      </c>
      <c r="O297" s="87">
        <f t="shared" si="34"/>
        <v>5.8226600985221681</v>
      </c>
    </row>
    <row r="298" spans="1:15" x14ac:dyDescent="0.3">
      <c r="A298" t="s">
        <v>43</v>
      </c>
      <c r="B298" t="s">
        <v>999</v>
      </c>
      <c r="C298" s="16" t="s">
        <v>272</v>
      </c>
      <c r="D298" s="16">
        <v>3</v>
      </c>
      <c r="E298" t="s">
        <v>1524</v>
      </c>
      <c r="F298" t="s">
        <v>1562</v>
      </c>
      <c r="G298" t="s">
        <v>1568</v>
      </c>
      <c r="H298" t="s">
        <v>1571</v>
      </c>
      <c r="I298" s="87">
        <f t="shared" si="28"/>
        <v>2.9556650246305424E-2</v>
      </c>
      <c r="J298" s="87">
        <f t="shared" si="29"/>
        <v>0.17733990147783252</v>
      </c>
      <c r="K298" s="87">
        <f t="shared" si="30"/>
        <v>0.25862068965517243</v>
      </c>
      <c r="L298" s="87">
        <f t="shared" si="31"/>
        <v>2.4261083743842367</v>
      </c>
      <c r="M298" s="87">
        <f t="shared" si="32"/>
        <v>0.4679802955665025</v>
      </c>
      <c r="N298" s="87">
        <f t="shared" si="33"/>
        <v>2.4630541871921183</v>
      </c>
      <c r="O298" s="87">
        <f t="shared" si="34"/>
        <v>5.8226600985221681</v>
      </c>
    </row>
    <row r="299" spans="1:15" x14ac:dyDescent="0.3">
      <c r="A299" t="s">
        <v>43</v>
      </c>
      <c r="B299" t="s">
        <v>1000</v>
      </c>
      <c r="C299" s="16" t="s">
        <v>272</v>
      </c>
      <c r="D299" s="16">
        <v>3</v>
      </c>
      <c r="E299" t="s">
        <v>1524</v>
      </c>
      <c r="F299" t="s">
        <v>1562</v>
      </c>
      <c r="G299" t="s">
        <v>1568</v>
      </c>
      <c r="H299" t="s">
        <v>1571</v>
      </c>
      <c r="I299" s="87">
        <f t="shared" si="28"/>
        <v>2.9556650246305424E-2</v>
      </c>
      <c r="J299" s="87">
        <f t="shared" si="29"/>
        <v>0.17733990147783252</v>
      </c>
      <c r="K299" s="87">
        <f t="shared" si="30"/>
        <v>0.25862068965517243</v>
      </c>
      <c r="L299" s="87">
        <f t="shared" si="31"/>
        <v>2.4261083743842367</v>
      </c>
      <c r="M299" s="87">
        <f t="shared" si="32"/>
        <v>0.4679802955665025</v>
      </c>
      <c r="N299" s="87">
        <f t="shared" si="33"/>
        <v>2.4630541871921183</v>
      </c>
      <c r="O299" s="87">
        <f t="shared" si="34"/>
        <v>5.8226600985221681</v>
      </c>
    </row>
    <row r="300" spans="1:15" x14ac:dyDescent="0.3">
      <c r="A300" t="s">
        <v>43</v>
      </c>
      <c r="B300" t="s">
        <v>1001</v>
      </c>
      <c r="C300" s="16" t="s">
        <v>272</v>
      </c>
      <c r="D300" s="16">
        <v>3</v>
      </c>
      <c r="E300" t="s">
        <v>1524</v>
      </c>
      <c r="F300" t="s">
        <v>1562</v>
      </c>
      <c r="G300" t="s">
        <v>1568</v>
      </c>
      <c r="H300" t="s">
        <v>1571</v>
      </c>
      <c r="I300" s="87">
        <f t="shared" si="28"/>
        <v>2.9556650246305424E-2</v>
      </c>
      <c r="J300" s="87">
        <f t="shared" si="29"/>
        <v>0.17733990147783252</v>
      </c>
      <c r="K300" s="87">
        <f t="shared" si="30"/>
        <v>0.25862068965517243</v>
      </c>
      <c r="L300" s="87">
        <f t="shared" si="31"/>
        <v>2.4261083743842367</v>
      </c>
      <c r="M300" s="87">
        <f t="shared" si="32"/>
        <v>0.4679802955665025</v>
      </c>
      <c r="N300" s="87">
        <f t="shared" si="33"/>
        <v>2.4630541871921183</v>
      </c>
      <c r="O300" s="87">
        <f t="shared" si="34"/>
        <v>5.8226600985221681</v>
      </c>
    </row>
    <row r="301" spans="1:15" x14ac:dyDescent="0.3">
      <c r="A301" t="s">
        <v>43</v>
      </c>
      <c r="B301" t="s">
        <v>1002</v>
      </c>
      <c r="C301" s="16" t="s">
        <v>272</v>
      </c>
      <c r="D301" s="16">
        <v>3</v>
      </c>
      <c r="E301" t="s">
        <v>1524</v>
      </c>
      <c r="F301" t="s">
        <v>1562</v>
      </c>
      <c r="G301" t="s">
        <v>1568</v>
      </c>
      <c r="H301" t="s">
        <v>1571</v>
      </c>
      <c r="I301" s="87">
        <f t="shared" si="28"/>
        <v>2.9556650246305424E-2</v>
      </c>
      <c r="J301" s="87">
        <f t="shared" si="29"/>
        <v>0.17733990147783252</v>
      </c>
      <c r="K301" s="87">
        <f t="shared" si="30"/>
        <v>0.25862068965517243</v>
      </c>
      <c r="L301" s="87">
        <f t="shared" si="31"/>
        <v>2.4261083743842367</v>
      </c>
      <c r="M301" s="87">
        <f t="shared" si="32"/>
        <v>0.4679802955665025</v>
      </c>
      <c r="N301" s="87">
        <f t="shared" si="33"/>
        <v>2.4630541871921183</v>
      </c>
      <c r="O301" s="87">
        <f t="shared" si="34"/>
        <v>5.8226600985221681</v>
      </c>
    </row>
    <row r="302" spans="1:15" x14ac:dyDescent="0.3">
      <c r="A302" t="s">
        <v>43</v>
      </c>
      <c r="B302" t="s">
        <v>1003</v>
      </c>
      <c r="C302" s="16" t="s">
        <v>272</v>
      </c>
      <c r="D302" s="16">
        <v>3</v>
      </c>
      <c r="E302" t="s">
        <v>1524</v>
      </c>
      <c r="F302" t="s">
        <v>1562</v>
      </c>
      <c r="G302" t="s">
        <v>1568</v>
      </c>
      <c r="H302" t="s">
        <v>1571</v>
      </c>
      <c r="I302" s="87">
        <f t="shared" si="28"/>
        <v>2.9556650246305424E-2</v>
      </c>
      <c r="J302" s="87">
        <f t="shared" si="29"/>
        <v>0.17733990147783252</v>
      </c>
      <c r="K302" s="87">
        <f t="shared" si="30"/>
        <v>0.25862068965517243</v>
      </c>
      <c r="L302" s="87">
        <f t="shared" si="31"/>
        <v>2.4261083743842367</v>
      </c>
      <c r="M302" s="87">
        <f t="shared" si="32"/>
        <v>0.4679802955665025</v>
      </c>
      <c r="N302" s="87">
        <f t="shared" si="33"/>
        <v>2.4630541871921183</v>
      </c>
      <c r="O302" s="87">
        <f t="shared" si="34"/>
        <v>5.8226600985221681</v>
      </c>
    </row>
    <row r="303" spans="1:15" x14ac:dyDescent="0.3">
      <c r="A303" t="s">
        <v>43</v>
      </c>
      <c r="B303" t="s">
        <v>1004</v>
      </c>
      <c r="C303" s="16" t="s">
        <v>272</v>
      </c>
      <c r="D303" s="16">
        <v>3</v>
      </c>
      <c r="E303" t="s">
        <v>1524</v>
      </c>
      <c r="F303" t="s">
        <v>1562</v>
      </c>
      <c r="G303" t="s">
        <v>1568</v>
      </c>
      <c r="H303" t="s">
        <v>1571</v>
      </c>
      <c r="I303" s="87">
        <f t="shared" si="28"/>
        <v>2.9556650246305424E-2</v>
      </c>
      <c r="J303" s="87">
        <f t="shared" si="29"/>
        <v>0.17733990147783252</v>
      </c>
      <c r="K303" s="87">
        <f t="shared" si="30"/>
        <v>0.25862068965517243</v>
      </c>
      <c r="L303" s="87">
        <f t="shared" si="31"/>
        <v>2.4261083743842367</v>
      </c>
      <c r="M303" s="87">
        <f t="shared" si="32"/>
        <v>0.4679802955665025</v>
      </c>
      <c r="N303" s="87">
        <f t="shared" si="33"/>
        <v>2.4630541871921183</v>
      </c>
      <c r="O303" s="87">
        <f t="shared" si="34"/>
        <v>5.8226600985221681</v>
      </c>
    </row>
    <row r="304" spans="1:15" x14ac:dyDescent="0.3">
      <c r="A304" t="s">
        <v>43</v>
      </c>
      <c r="B304" t="s">
        <v>1005</v>
      </c>
      <c r="C304" s="16" t="s">
        <v>272</v>
      </c>
      <c r="D304" s="16">
        <v>3</v>
      </c>
      <c r="E304" t="s">
        <v>1524</v>
      </c>
      <c r="F304" t="s">
        <v>1562</v>
      </c>
      <c r="G304" t="s">
        <v>1568</v>
      </c>
      <c r="H304" t="s">
        <v>1571</v>
      </c>
      <c r="I304" s="87">
        <f t="shared" si="28"/>
        <v>2.9556650246305424E-2</v>
      </c>
      <c r="J304" s="87">
        <f t="shared" si="29"/>
        <v>0.17733990147783252</v>
      </c>
      <c r="K304" s="87">
        <f t="shared" si="30"/>
        <v>0.25862068965517243</v>
      </c>
      <c r="L304" s="87">
        <f t="shared" si="31"/>
        <v>2.4261083743842367</v>
      </c>
      <c r="M304" s="87">
        <f t="shared" si="32"/>
        <v>0.4679802955665025</v>
      </c>
      <c r="N304" s="87">
        <f t="shared" si="33"/>
        <v>2.4630541871921183</v>
      </c>
      <c r="O304" s="87">
        <f t="shared" si="34"/>
        <v>5.8226600985221681</v>
      </c>
    </row>
    <row r="305" spans="1:15" x14ac:dyDescent="0.3">
      <c r="A305" t="s">
        <v>43</v>
      </c>
      <c r="B305" t="s">
        <v>1006</v>
      </c>
      <c r="C305" s="16" t="s">
        <v>272</v>
      </c>
      <c r="D305" s="16">
        <v>3</v>
      </c>
      <c r="E305" t="s">
        <v>1524</v>
      </c>
      <c r="F305" t="s">
        <v>1562</v>
      </c>
      <c r="G305" t="s">
        <v>1568</v>
      </c>
      <c r="H305" t="s">
        <v>1571</v>
      </c>
      <c r="I305" s="87">
        <f t="shared" si="28"/>
        <v>2.9556650246305424E-2</v>
      </c>
      <c r="J305" s="87">
        <f t="shared" si="29"/>
        <v>0.17733990147783252</v>
      </c>
      <c r="K305" s="87">
        <f t="shared" si="30"/>
        <v>0.25862068965517243</v>
      </c>
      <c r="L305" s="87">
        <f t="shared" si="31"/>
        <v>2.4261083743842367</v>
      </c>
      <c r="M305" s="87">
        <f t="shared" si="32"/>
        <v>0.4679802955665025</v>
      </c>
      <c r="N305" s="87">
        <f t="shared" si="33"/>
        <v>2.4630541871921183</v>
      </c>
      <c r="O305" s="87">
        <f t="shared" si="34"/>
        <v>5.8226600985221681</v>
      </c>
    </row>
    <row r="306" spans="1:15" x14ac:dyDescent="0.3">
      <c r="A306" t="s">
        <v>43</v>
      </c>
      <c r="B306" t="s">
        <v>1007</v>
      </c>
      <c r="C306" s="16" t="s">
        <v>272</v>
      </c>
      <c r="D306" s="16">
        <v>3</v>
      </c>
      <c r="E306" t="s">
        <v>1524</v>
      </c>
      <c r="F306" t="s">
        <v>1562</v>
      </c>
      <c r="G306" t="s">
        <v>1568</v>
      </c>
      <c r="H306" t="s">
        <v>1571</v>
      </c>
      <c r="I306" s="87">
        <f t="shared" si="28"/>
        <v>2.9556650246305424E-2</v>
      </c>
      <c r="J306" s="87">
        <f t="shared" si="29"/>
        <v>0.17733990147783252</v>
      </c>
      <c r="K306" s="87">
        <f t="shared" si="30"/>
        <v>0.25862068965517243</v>
      </c>
      <c r="L306" s="87">
        <f t="shared" si="31"/>
        <v>2.4261083743842367</v>
      </c>
      <c r="M306" s="87">
        <f t="shared" si="32"/>
        <v>0.4679802955665025</v>
      </c>
      <c r="N306" s="87">
        <f t="shared" si="33"/>
        <v>2.4630541871921183</v>
      </c>
      <c r="O306" s="87">
        <f t="shared" si="34"/>
        <v>5.8226600985221681</v>
      </c>
    </row>
    <row r="307" spans="1:15" x14ac:dyDescent="0.3">
      <c r="A307" t="s">
        <v>43</v>
      </c>
      <c r="B307" t="s">
        <v>1008</v>
      </c>
      <c r="C307" s="16" t="s">
        <v>272</v>
      </c>
      <c r="D307" s="16">
        <v>3</v>
      </c>
      <c r="E307" t="s">
        <v>1524</v>
      </c>
      <c r="F307" t="s">
        <v>1562</v>
      </c>
      <c r="G307" t="s">
        <v>1568</v>
      </c>
      <c r="H307" t="s">
        <v>1571</v>
      </c>
      <c r="I307" s="87">
        <f t="shared" si="28"/>
        <v>2.9556650246305424E-2</v>
      </c>
      <c r="J307" s="87">
        <f t="shared" si="29"/>
        <v>0.17733990147783252</v>
      </c>
      <c r="K307" s="87">
        <f t="shared" si="30"/>
        <v>0.25862068965517243</v>
      </c>
      <c r="L307" s="87">
        <f t="shared" si="31"/>
        <v>2.4261083743842367</v>
      </c>
      <c r="M307" s="87">
        <f t="shared" si="32"/>
        <v>0.4679802955665025</v>
      </c>
      <c r="N307" s="87">
        <f t="shared" si="33"/>
        <v>2.4630541871921183</v>
      </c>
      <c r="O307" s="87">
        <f t="shared" si="34"/>
        <v>5.8226600985221681</v>
      </c>
    </row>
    <row r="308" spans="1:15" x14ac:dyDescent="0.3">
      <c r="A308" t="s">
        <v>43</v>
      </c>
      <c r="B308" t="s">
        <v>1009</v>
      </c>
      <c r="C308" s="16" t="s">
        <v>272</v>
      </c>
      <c r="D308" s="16">
        <v>3</v>
      </c>
      <c r="E308" t="s">
        <v>1524</v>
      </c>
      <c r="F308" t="s">
        <v>1562</v>
      </c>
      <c r="G308" t="s">
        <v>1568</v>
      </c>
      <c r="H308" t="s">
        <v>1571</v>
      </c>
      <c r="I308" s="87">
        <f t="shared" si="28"/>
        <v>2.9556650246305424E-2</v>
      </c>
      <c r="J308" s="87">
        <f t="shared" si="29"/>
        <v>0.17733990147783252</v>
      </c>
      <c r="K308" s="87">
        <f t="shared" si="30"/>
        <v>0.25862068965517243</v>
      </c>
      <c r="L308" s="87">
        <f t="shared" si="31"/>
        <v>2.4261083743842367</v>
      </c>
      <c r="M308" s="87">
        <f t="shared" si="32"/>
        <v>0.4679802955665025</v>
      </c>
      <c r="N308" s="87">
        <f t="shared" si="33"/>
        <v>2.4630541871921183</v>
      </c>
      <c r="O308" s="87">
        <f t="shared" si="34"/>
        <v>5.8226600985221681</v>
      </c>
    </row>
    <row r="309" spans="1:15" x14ac:dyDescent="0.3">
      <c r="A309" t="s">
        <v>43</v>
      </c>
      <c r="B309" t="s">
        <v>1010</v>
      </c>
      <c r="C309" s="16" t="s">
        <v>272</v>
      </c>
      <c r="D309" s="16">
        <v>3</v>
      </c>
      <c r="E309" t="s">
        <v>1524</v>
      </c>
      <c r="F309" t="s">
        <v>1562</v>
      </c>
      <c r="G309" t="s">
        <v>1568</v>
      </c>
      <c r="H309" t="s">
        <v>1571</v>
      </c>
      <c r="I309" s="87">
        <f t="shared" si="28"/>
        <v>2.9556650246305424E-2</v>
      </c>
      <c r="J309" s="87">
        <f t="shared" si="29"/>
        <v>0.17733990147783252</v>
      </c>
      <c r="K309" s="87">
        <f t="shared" si="30"/>
        <v>0.25862068965517243</v>
      </c>
      <c r="L309" s="87">
        <f t="shared" si="31"/>
        <v>2.4261083743842367</v>
      </c>
      <c r="M309" s="87">
        <f t="shared" si="32"/>
        <v>0.4679802955665025</v>
      </c>
      <c r="N309" s="87">
        <f t="shared" si="33"/>
        <v>2.4630541871921183</v>
      </c>
      <c r="O309" s="87">
        <f t="shared" si="34"/>
        <v>5.8226600985221681</v>
      </c>
    </row>
    <row r="310" spans="1:15" x14ac:dyDescent="0.3">
      <c r="A310" t="s">
        <v>9</v>
      </c>
      <c r="B310" t="s">
        <v>1011</v>
      </c>
      <c r="C310" s="16" t="s">
        <v>272</v>
      </c>
      <c r="D310" s="16">
        <v>2</v>
      </c>
      <c r="E310" t="s">
        <v>1525</v>
      </c>
      <c r="F310" t="s">
        <v>339</v>
      </c>
      <c r="G310" t="s">
        <v>1567</v>
      </c>
      <c r="H310" t="s">
        <v>345</v>
      </c>
      <c r="I310" s="87">
        <f t="shared" si="28"/>
        <v>2.9556650246305424E-2</v>
      </c>
      <c r="J310" s="87">
        <f t="shared" si="29"/>
        <v>0.82266009852216748</v>
      </c>
      <c r="K310" s="87">
        <f t="shared" si="30"/>
        <v>2.3522167487684729</v>
      </c>
      <c r="L310" s="87">
        <f t="shared" si="31"/>
        <v>2.4753694581280787</v>
      </c>
      <c r="M310" s="87">
        <f t="shared" si="32"/>
        <v>0.21921182266009853</v>
      </c>
      <c r="N310" s="87">
        <f t="shared" si="33"/>
        <v>2.2536945812807883</v>
      </c>
      <c r="O310" s="87">
        <f t="shared" si="34"/>
        <v>8.152709359605911</v>
      </c>
    </row>
    <row r="311" spans="1:15" x14ac:dyDescent="0.3">
      <c r="A311" t="s">
        <v>9</v>
      </c>
      <c r="B311" t="s">
        <v>1012</v>
      </c>
      <c r="C311" s="16" t="s">
        <v>272</v>
      </c>
      <c r="D311" s="16">
        <v>3</v>
      </c>
      <c r="E311" t="s">
        <v>1524</v>
      </c>
      <c r="F311" t="s">
        <v>284</v>
      </c>
      <c r="G311" t="s">
        <v>1567</v>
      </c>
      <c r="H311" t="s">
        <v>345</v>
      </c>
      <c r="I311" s="87">
        <f t="shared" si="28"/>
        <v>2.9556650246305424E-2</v>
      </c>
      <c r="J311" s="87">
        <f t="shared" si="29"/>
        <v>0.17733990147783252</v>
      </c>
      <c r="K311" s="87">
        <f t="shared" si="30"/>
        <v>0.25862068965517243</v>
      </c>
      <c r="L311" s="87">
        <f t="shared" si="31"/>
        <v>2.4507389162561575</v>
      </c>
      <c r="M311" s="87">
        <f t="shared" si="32"/>
        <v>0.21921182266009853</v>
      </c>
      <c r="N311" s="87">
        <f t="shared" si="33"/>
        <v>2.2536945812807883</v>
      </c>
      <c r="O311" s="87">
        <f t="shared" si="34"/>
        <v>5.389162561576355</v>
      </c>
    </row>
    <row r="312" spans="1:15" x14ac:dyDescent="0.3">
      <c r="A312" t="s">
        <v>9</v>
      </c>
      <c r="B312" t="s">
        <v>1013</v>
      </c>
      <c r="C312" s="16" t="s">
        <v>272</v>
      </c>
      <c r="D312" s="16">
        <v>3</v>
      </c>
      <c r="E312" t="s">
        <v>1524</v>
      </c>
      <c r="F312" t="s">
        <v>1534</v>
      </c>
      <c r="G312" t="s">
        <v>1566</v>
      </c>
      <c r="H312" t="s">
        <v>1574</v>
      </c>
      <c r="I312" s="87">
        <f t="shared" si="28"/>
        <v>2.9556650246305424E-2</v>
      </c>
      <c r="J312" s="87">
        <f t="shared" si="29"/>
        <v>0.17733990147783252</v>
      </c>
      <c r="K312" s="87">
        <f t="shared" si="30"/>
        <v>0.25862068965517243</v>
      </c>
      <c r="L312" s="87">
        <f t="shared" si="31"/>
        <v>2.4507389162561575</v>
      </c>
      <c r="M312" s="87">
        <f t="shared" si="32"/>
        <v>0.38669950738916259</v>
      </c>
      <c r="N312" s="87">
        <f t="shared" si="33"/>
        <v>2.3522167487684729</v>
      </c>
      <c r="O312" s="87">
        <f t="shared" si="34"/>
        <v>5.6551724137931032</v>
      </c>
    </row>
    <row r="313" spans="1:15" x14ac:dyDescent="0.3">
      <c r="A313" t="s">
        <v>9</v>
      </c>
      <c r="B313" t="s">
        <v>1014</v>
      </c>
      <c r="C313" s="16" t="s">
        <v>272</v>
      </c>
      <c r="D313" s="16">
        <v>3</v>
      </c>
      <c r="E313" t="s">
        <v>1524</v>
      </c>
      <c r="F313" t="s">
        <v>1650</v>
      </c>
      <c r="G313" t="s">
        <v>1567</v>
      </c>
      <c r="H313" t="s">
        <v>1625</v>
      </c>
      <c r="I313" s="87">
        <f t="shared" si="28"/>
        <v>2.9556650246305424E-2</v>
      </c>
      <c r="J313" s="87">
        <f t="shared" si="29"/>
        <v>0.17733990147783252</v>
      </c>
      <c r="K313" s="87">
        <f t="shared" si="30"/>
        <v>0.25862068965517243</v>
      </c>
      <c r="L313" s="87">
        <f t="shared" si="31"/>
        <v>2.4753694581280787</v>
      </c>
      <c r="M313" s="87">
        <f t="shared" si="32"/>
        <v>0.21921182266009853</v>
      </c>
      <c r="N313" s="87">
        <f t="shared" si="33"/>
        <v>2.4876847290640396</v>
      </c>
      <c r="O313" s="87">
        <f t="shared" si="34"/>
        <v>5.6477832512315267</v>
      </c>
    </row>
    <row r="314" spans="1:15" x14ac:dyDescent="0.3">
      <c r="A314" t="s">
        <v>9</v>
      </c>
      <c r="B314" t="s">
        <v>1015</v>
      </c>
      <c r="C314" s="16" t="s">
        <v>272</v>
      </c>
      <c r="D314" s="16">
        <v>3</v>
      </c>
      <c r="E314" t="s">
        <v>1524</v>
      </c>
      <c r="F314" t="s">
        <v>1650</v>
      </c>
      <c r="G314" t="s">
        <v>1567</v>
      </c>
      <c r="H314" t="s">
        <v>1625</v>
      </c>
      <c r="I314" s="87">
        <f t="shared" si="28"/>
        <v>2.9556650246305424E-2</v>
      </c>
      <c r="J314" s="87">
        <f t="shared" si="29"/>
        <v>0.17733990147783252</v>
      </c>
      <c r="K314" s="87">
        <f t="shared" si="30"/>
        <v>0.25862068965517243</v>
      </c>
      <c r="L314" s="87">
        <f t="shared" si="31"/>
        <v>2.4753694581280787</v>
      </c>
      <c r="M314" s="87">
        <f t="shared" si="32"/>
        <v>0.21921182266009853</v>
      </c>
      <c r="N314" s="87">
        <f t="shared" si="33"/>
        <v>2.4876847290640396</v>
      </c>
      <c r="O314" s="87">
        <f t="shared" si="34"/>
        <v>5.6477832512315267</v>
      </c>
    </row>
    <row r="315" spans="1:15" x14ac:dyDescent="0.3">
      <c r="A315" t="s">
        <v>9</v>
      </c>
      <c r="B315" t="s">
        <v>1016</v>
      </c>
      <c r="C315" s="16" t="s">
        <v>272</v>
      </c>
      <c r="D315" s="16">
        <v>3</v>
      </c>
      <c r="E315" t="s">
        <v>1524</v>
      </c>
      <c r="F315" t="s">
        <v>1650</v>
      </c>
      <c r="G315" t="s">
        <v>341</v>
      </c>
      <c r="H315" t="s">
        <v>345</v>
      </c>
      <c r="I315" s="87">
        <f t="shared" si="28"/>
        <v>2.9556650246305424E-2</v>
      </c>
      <c r="J315" s="87">
        <f t="shared" si="29"/>
        <v>0.17733990147783252</v>
      </c>
      <c r="K315" s="87">
        <f t="shared" si="30"/>
        <v>0.25862068965517243</v>
      </c>
      <c r="L315" s="87">
        <f t="shared" si="31"/>
        <v>2.4753694581280787</v>
      </c>
      <c r="M315" s="87">
        <f t="shared" si="32"/>
        <v>0.4605911330049261</v>
      </c>
      <c r="N315" s="87">
        <f t="shared" si="33"/>
        <v>2.2536945812807883</v>
      </c>
      <c r="O315" s="87">
        <f t="shared" si="34"/>
        <v>5.6551724137931032</v>
      </c>
    </row>
    <row r="316" spans="1:15" x14ac:dyDescent="0.3">
      <c r="A316" t="s">
        <v>9</v>
      </c>
      <c r="B316" t="s">
        <v>1017</v>
      </c>
      <c r="C316" s="16" t="s">
        <v>272</v>
      </c>
      <c r="D316" s="16">
        <v>3</v>
      </c>
      <c r="E316" t="s">
        <v>1524</v>
      </c>
      <c r="F316" t="s">
        <v>1658</v>
      </c>
      <c r="G316" t="s">
        <v>1566</v>
      </c>
      <c r="H316" t="s">
        <v>345</v>
      </c>
      <c r="I316" s="87">
        <f t="shared" si="28"/>
        <v>2.9556650246305424E-2</v>
      </c>
      <c r="J316" s="87">
        <f t="shared" si="29"/>
        <v>0.17733990147783252</v>
      </c>
      <c r="K316" s="87">
        <f t="shared" si="30"/>
        <v>0.25862068965517243</v>
      </c>
      <c r="L316" s="87">
        <f t="shared" si="31"/>
        <v>2.5</v>
      </c>
      <c r="M316" s="87">
        <f t="shared" si="32"/>
        <v>0.38669950738916259</v>
      </c>
      <c r="N316" s="87">
        <f t="shared" si="33"/>
        <v>2.2536945812807883</v>
      </c>
      <c r="O316" s="87">
        <f t="shared" si="34"/>
        <v>5.6059113300492616</v>
      </c>
    </row>
    <row r="317" spans="1:15" x14ac:dyDescent="0.3">
      <c r="A317" t="s">
        <v>9</v>
      </c>
      <c r="B317" t="s">
        <v>1018</v>
      </c>
      <c r="C317" s="16" t="s">
        <v>272</v>
      </c>
      <c r="D317" s="16">
        <v>3</v>
      </c>
      <c r="E317" t="s">
        <v>1524</v>
      </c>
      <c r="F317" t="s">
        <v>1658</v>
      </c>
      <c r="G317" t="s">
        <v>1566</v>
      </c>
      <c r="H317" t="s">
        <v>1573</v>
      </c>
      <c r="I317" s="87">
        <f t="shared" si="28"/>
        <v>2.9556650246305424E-2</v>
      </c>
      <c r="J317" s="87">
        <f t="shared" si="29"/>
        <v>0.17733990147783252</v>
      </c>
      <c r="K317" s="87">
        <f t="shared" si="30"/>
        <v>0.25862068965517243</v>
      </c>
      <c r="L317" s="87">
        <f t="shared" si="31"/>
        <v>2.5</v>
      </c>
      <c r="M317" s="87">
        <f t="shared" si="32"/>
        <v>0.38669950738916259</v>
      </c>
      <c r="N317" s="87">
        <f t="shared" si="33"/>
        <v>2.4137931034482758</v>
      </c>
      <c r="O317" s="87">
        <f t="shared" si="34"/>
        <v>5.7660098522167491</v>
      </c>
    </row>
    <row r="318" spans="1:15" x14ac:dyDescent="0.3">
      <c r="A318" t="s">
        <v>9</v>
      </c>
      <c r="B318" t="s">
        <v>1019</v>
      </c>
      <c r="C318" s="16" t="s">
        <v>272</v>
      </c>
      <c r="D318" s="16">
        <v>3</v>
      </c>
      <c r="E318" t="s">
        <v>1524</v>
      </c>
      <c r="F318" t="s">
        <v>1658</v>
      </c>
      <c r="G318" t="s">
        <v>1567</v>
      </c>
      <c r="H318" t="s">
        <v>1625</v>
      </c>
      <c r="I318" s="87">
        <f t="shared" si="28"/>
        <v>2.9556650246305424E-2</v>
      </c>
      <c r="J318" s="87">
        <f t="shared" si="29"/>
        <v>0.17733990147783252</v>
      </c>
      <c r="K318" s="87">
        <f t="shared" si="30"/>
        <v>0.25862068965517243</v>
      </c>
      <c r="L318" s="87">
        <f t="shared" si="31"/>
        <v>2.5</v>
      </c>
      <c r="M318" s="87">
        <f t="shared" si="32"/>
        <v>0.21921182266009853</v>
      </c>
      <c r="N318" s="87">
        <f t="shared" si="33"/>
        <v>2.4876847290640396</v>
      </c>
      <c r="O318" s="87">
        <f t="shared" si="34"/>
        <v>5.6724137931034484</v>
      </c>
    </row>
    <row r="319" spans="1:15" x14ac:dyDescent="0.3">
      <c r="A319" t="s">
        <v>9</v>
      </c>
      <c r="B319" t="s">
        <v>1020</v>
      </c>
      <c r="C319" s="16" t="s">
        <v>272</v>
      </c>
      <c r="D319" s="16">
        <v>3</v>
      </c>
      <c r="E319" t="s">
        <v>1524</v>
      </c>
      <c r="F319" t="s">
        <v>1650</v>
      </c>
      <c r="G319" t="s">
        <v>1567</v>
      </c>
      <c r="H319" t="s">
        <v>1625</v>
      </c>
      <c r="I319" s="87">
        <f t="shared" si="28"/>
        <v>2.9556650246305424E-2</v>
      </c>
      <c r="J319" s="87">
        <f t="shared" si="29"/>
        <v>0.17733990147783252</v>
      </c>
      <c r="K319" s="87">
        <f t="shared" si="30"/>
        <v>0.25862068965517243</v>
      </c>
      <c r="L319" s="87">
        <f t="shared" si="31"/>
        <v>2.4753694581280787</v>
      </c>
      <c r="M319" s="87">
        <f t="shared" si="32"/>
        <v>0.21921182266009853</v>
      </c>
      <c r="N319" s="87">
        <f t="shared" si="33"/>
        <v>2.4876847290640396</v>
      </c>
      <c r="O319" s="87">
        <f t="shared" si="34"/>
        <v>5.6477832512315267</v>
      </c>
    </row>
    <row r="320" spans="1:15" x14ac:dyDescent="0.3">
      <c r="A320" t="s">
        <v>43</v>
      </c>
      <c r="B320" t="s">
        <v>1021</v>
      </c>
      <c r="C320" s="16" t="s">
        <v>272</v>
      </c>
      <c r="D320" s="16">
        <v>3</v>
      </c>
      <c r="E320" t="s">
        <v>1524</v>
      </c>
      <c r="F320" t="s">
        <v>1628</v>
      </c>
      <c r="G320" t="s">
        <v>1568</v>
      </c>
      <c r="H320" t="s">
        <v>344</v>
      </c>
      <c r="I320" s="87">
        <f t="shared" si="28"/>
        <v>2.9556650246305424E-2</v>
      </c>
      <c r="J320" s="87">
        <f t="shared" si="29"/>
        <v>0.17733990147783252</v>
      </c>
      <c r="K320" s="87">
        <f t="shared" si="30"/>
        <v>0.25862068965517243</v>
      </c>
      <c r="L320" s="87">
        <f t="shared" si="31"/>
        <v>2.4753694581280787</v>
      </c>
      <c r="M320" s="87">
        <f t="shared" si="32"/>
        <v>0.4679802955665025</v>
      </c>
      <c r="N320" s="87">
        <f t="shared" si="33"/>
        <v>1.2438423645320198</v>
      </c>
      <c r="O320" s="87">
        <f t="shared" si="34"/>
        <v>4.6527093596059119</v>
      </c>
    </row>
    <row r="321" spans="1:15" x14ac:dyDescent="0.3">
      <c r="A321" t="s">
        <v>43</v>
      </c>
      <c r="B321" t="s">
        <v>1022</v>
      </c>
      <c r="C321" s="16" t="s">
        <v>272</v>
      </c>
      <c r="D321" s="16">
        <v>3</v>
      </c>
      <c r="E321" t="s">
        <v>1524</v>
      </c>
      <c r="F321" t="s">
        <v>1540</v>
      </c>
      <c r="G321" t="s">
        <v>1567</v>
      </c>
      <c r="H321" t="s">
        <v>1570</v>
      </c>
      <c r="I321" s="87">
        <f t="shared" si="28"/>
        <v>2.9556650246305424E-2</v>
      </c>
      <c r="J321" s="87">
        <f t="shared" si="29"/>
        <v>0.17733990147783252</v>
      </c>
      <c r="K321" s="87">
        <f t="shared" si="30"/>
        <v>0.25862068965517243</v>
      </c>
      <c r="L321" s="87">
        <f t="shared" si="31"/>
        <v>2.3891625615763545</v>
      </c>
      <c r="M321" s="87">
        <f t="shared" si="32"/>
        <v>0.21921182266009853</v>
      </c>
      <c r="N321" s="87">
        <f t="shared" si="33"/>
        <v>2.3645320197044337</v>
      </c>
      <c r="O321" s="87">
        <f t="shared" si="34"/>
        <v>5.4384236453201975</v>
      </c>
    </row>
    <row r="322" spans="1:15" x14ac:dyDescent="0.3">
      <c r="A322" t="s">
        <v>43</v>
      </c>
      <c r="B322" t="s">
        <v>1023</v>
      </c>
      <c r="C322" s="16" t="s">
        <v>272</v>
      </c>
      <c r="D322" s="16">
        <v>3</v>
      </c>
      <c r="E322" t="s">
        <v>1524</v>
      </c>
      <c r="F322" t="s">
        <v>1555</v>
      </c>
      <c r="G322" t="s">
        <v>1567</v>
      </c>
      <c r="H322" t="s">
        <v>291</v>
      </c>
      <c r="I322" s="87">
        <f t="shared" si="28"/>
        <v>2.9556650246305424E-2</v>
      </c>
      <c r="J322" s="87">
        <f t="shared" si="29"/>
        <v>0.17733990147783252</v>
      </c>
      <c r="K322" s="87">
        <f t="shared" si="30"/>
        <v>0.25862068965517243</v>
      </c>
      <c r="L322" s="87">
        <f t="shared" si="31"/>
        <v>2.3891625615763545</v>
      </c>
      <c r="M322" s="87">
        <f t="shared" si="32"/>
        <v>0.21921182266009853</v>
      </c>
      <c r="N322" s="87">
        <f t="shared" si="33"/>
        <v>2.2906403940886699</v>
      </c>
      <c r="O322" s="87">
        <f t="shared" si="34"/>
        <v>5.3645320197044333</v>
      </c>
    </row>
    <row r="323" spans="1:15" x14ac:dyDescent="0.3">
      <c r="A323" t="s">
        <v>43</v>
      </c>
      <c r="B323" t="s">
        <v>1024</v>
      </c>
      <c r="C323" s="16" t="s">
        <v>272</v>
      </c>
      <c r="D323" s="16">
        <v>3</v>
      </c>
      <c r="E323" t="s">
        <v>1524</v>
      </c>
      <c r="F323" t="s">
        <v>282</v>
      </c>
      <c r="G323" t="s">
        <v>340</v>
      </c>
      <c r="H323" t="s">
        <v>348</v>
      </c>
      <c r="I323" s="87">
        <f t="shared" si="28"/>
        <v>2.9556650246305424E-2</v>
      </c>
      <c r="J323" s="87">
        <f t="shared" si="29"/>
        <v>0.17733990147783252</v>
      </c>
      <c r="K323" s="87">
        <f t="shared" si="30"/>
        <v>0.25862068965517243</v>
      </c>
      <c r="L323" s="87">
        <f t="shared" si="31"/>
        <v>1.5024630541871922</v>
      </c>
      <c r="M323" s="87">
        <f t="shared" si="32"/>
        <v>0.49753694581280794</v>
      </c>
      <c r="N323" s="87">
        <f t="shared" si="33"/>
        <v>2.4753694581280787</v>
      </c>
      <c r="O323" s="87">
        <f t="shared" si="34"/>
        <v>4.9408866995073897</v>
      </c>
    </row>
    <row r="324" spans="1:15" x14ac:dyDescent="0.3">
      <c r="A324" t="s">
        <v>43</v>
      </c>
      <c r="B324" t="s">
        <v>1025</v>
      </c>
      <c r="C324" s="16" t="s">
        <v>272</v>
      </c>
      <c r="D324" s="16">
        <v>3</v>
      </c>
      <c r="E324" t="s">
        <v>1524</v>
      </c>
      <c r="F324" t="s">
        <v>282</v>
      </c>
      <c r="G324" t="s">
        <v>1567</v>
      </c>
      <c r="H324" t="s">
        <v>1570</v>
      </c>
      <c r="I324" s="87">
        <f t="shared" ref="I324:I387" si="35">VLOOKUP(C324,$R$3:$T$4,3,0)*T$1</f>
        <v>2.9556650246305424E-2</v>
      </c>
      <c r="J324" s="87">
        <f t="shared" ref="J324:J387" si="36">VLOOKUP(D324,$U$3:$W$4,3,0)*W$1</f>
        <v>0.17733990147783252</v>
      </c>
      <c r="K324" s="87">
        <f t="shared" ref="K324:K387" si="37">VLOOKUP(E324,$X$3:$Z$8,3,0)*Z$1</f>
        <v>0.25862068965517243</v>
      </c>
      <c r="L324" s="87">
        <f t="shared" ref="L324:L387" si="38">VLOOKUP(F324,$AA$3:$AC$32,3,0)*AC$1</f>
        <v>1.5024630541871922</v>
      </c>
      <c r="M324" s="87">
        <f t="shared" ref="M324:M387" si="39">VLOOKUP(G324,$AD$3:$AF$10,3,0)*AF$1</f>
        <v>0.21921182266009853</v>
      </c>
      <c r="N324" s="87">
        <f t="shared" ref="N324:N387" si="40">VLOOKUP(H324,$AG$3:$AI$19,3,0)*AI$1</f>
        <v>2.3645320197044337</v>
      </c>
      <c r="O324" s="87">
        <f t="shared" ref="O324:O387" si="41">SUM(I324:N324)</f>
        <v>4.5517241379310356</v>
      </c>
    </row>
    <row r="325" spans="1:15" x14ac:dyDescent="0.3">
      <c r="A325" t="s">
        <v>43</v>
      </c>
      <c r="B325" t="s">
        <v>1026</v>
      </c>
      <c r="C325" s="16" t="s">
        <v>272</v>
      </c>
      <c r="D325" s="16">
        <v>3</v>
      </c>
      <c r="E325" t="s">
        <v>1524</v>
      </c>
      <c r="F325" t="s">
        <v>1547</v>
      </c>
      <c r="G325" t="s">
        <v>1566</v>
      </c>
      <c r="H325" t="s">
        <v>344</v>
      </c>
      <c r="I325" s="87">
        <f t="shared" si="35"/>
        <v>2.9556650246305424E-2</v>
      </c>
      <c r="J325" s="87">
        <f t="shared" si="36"/>
        <v>0.17733990147783252</v>
      </c>
      <c r="K325" s="87">
        <f t="shared" si="37"/>
        <v>0.25862068965517243</v>
      </c>
      <c r="L325" s="87">
        <f t="shared" si="38"/>
        <v>2.3891625615763545</v>
      </c>
      <c r="M325" s="87">
        <f t="shared" si="39"/>
        <v>0.38669950738916259</v>
      </c>
      <c r="N325" s="87">
        <f t="shared" si="40"/>
        <v>1.2438423645320198</v>
      </c>
      <c r="O325" s="87">
        <f t="shared" si="41"/>
        <v>4.485221674876847</v>
      </c>
    </row>
    <row r="326" spans="1:15" x14ac:dyDescent="0.3">
      <c r="A326" t="s">
        <v>43</v>
      </c>
      <c r="B326" t="s">
        <v>1027</v>
      </c>
      <c r="C326" s="16" t="s">
        <v>272</v>
      </c>
      <c r="D326" s="16">
        <v>3</v>
      </c>
      <c r="E326" t="s">
        <v>1524</v>
      </c>
      <c r="F326" t="s">
        <v>1547</v>
      </c>
      <c r="G326" t="s">
        <v>1566</v>
      </c>
      <c r="H326" t="s">
        <v>344</v>
      </c>
      <c r="I326" s="87">
        <f t="shared" si="35"/>
        <v>2.9556650246305424E-2</v>
      </c>
      <c r="J326" s="87">
        <f t="shared" si="36"/>
        <v>0.17733990147783252</v>
      </c>
      <c r="K326" s="87">
        <f t="shared" si="37"/>
        <v>0.25862068965517243</v>
      </c>
      <c r="L326" s="87">
        <f t="shared" si="38"/>
        <v>2.3891625615763545</v>
      </c>
      <c r="M326" s="87">
        <f t="shared" si="39"/>
        <v>0.38669950738916259</v>
      </c>
      <c r="N326" s="87">
        <f t="shared" si="40"/>
        <v>1.2438423645320198</v>
      </c>
      <c r="O326" s="87">
        <f t="shared" si="41"/>
        <v>4.485221674876847</v>
      </c>
    </row>
    <row r="327" spans="1:15" x14ac:dyDescent="0.3">
      <c r="A327" t="s">
        <v>43</v>
      </c>
      <c r="B327" t="s">
        <v>1028</v>
      </c>
      <c r="C327" s="16" t="s">
        <v>272</v>
      </c>
      <c r="D327" s="16">
        <v>3</v>
      </c>
      <c r="E327" t="s">
        <v>1524</v>
      </c>
      <c r="F327" t="s">
        <v>1547</v>
      </c>
      <c r="G327" t="s">
        <v>1566</v>
      </c>
      <c r="H327" t="s">
        <v>344</v>
      </c>
      <c r="I327" s="87">
        <f t="shared" si="35"/>
        <v>2.9556650246305424E-2</v>
      </c>
      <c r="J327" s="87">
        <f t="shared" si="36"/>
        <v>0.17733990147783252</v>
      </c>
      <c r="K327" s="87">
        <f t="shared" si="37"/>
        <v>0.25862068965517243</v>
      </c>
      <c r="L327" s="87">
        <f t="shared" si="38"/>
        <v>2.3891625615763545</v>
      </c>
      <c r="M327" s="87">
        <f t="shared" si="39"/>
        <v>0.38669950738916259</v>
      </c>
      <c r="N327" s="87">
        <f t="shared" si="40"/>
        <v>1.2438423645320198</v>
      </c>
      <c r="O327" s="87">
        <f t="shared" si="41"/>
        <v>4.485221674876847</v>
      </c>
    </row>
    <row r="328" spans="1:15" x14ac:dyDescent="0.3">
      <c r="A328" t="s">
        <v>43</v>
      </c>
      <c r="B328" t="s">
        <v>1029</v>
      </c>
      <c r="C328" s="16" t="s">
        <v>272</v>
      </c>
      <c r="D328" s="16">
        <v>2</v>
      </c>
      <c r="E328" t="s">
        <v>1524</v>
      </c>
      <c r="F328" t="s">
        <v>282</v>
      </c>
      <c r="G328" t="s">
        <v>341</v>
      </c>
      <c r="H328" t="s">
        <v>344</v>
      </c>
      <c r="I328" s="87">
        <f t="shared" si="35"/>
        <v>2.9556650246305424E-2</v>
      </c>
      <c r="J328" s="87">
        <f t="shared" si="36"/>
        <v>0.82266009852216748</v>
      </c>
      <c r="K328" s="87">
        <f t="shared" si="37"/>
        <v>0.25862068965517243</v>
      </c>
      <c r="L328" s="87">
        <f t="shared" si="38"/>
        <v>1.5024630541871922</v>
      </c>
      <c r="M328" s="87">
        <f t="shared" si="39"/>
        <v>0.4605911330049261</v>
      </c>
      <c r="N328" s="87">
        <f t="shared" si="40"/>
        <v>1.2438423645320198</v>
      </c>
      <c r="O328" s="87">
        <f t="shared" si="41"/>
        <v>4.3177339901477829</v>
      </c>
    </row>
    <row r="329" spans="1:15" x14ac:dyDescent="0.3">
      <c r="A329" t="s">
        <v>43</v>
      </c>
      <c r="B329" t="s">
        <v>1030</v>
      </c>
      <c r="C329" s="16" t="s">
        <v>272</v>
      </c>
      <c r="D329" s="16">
        <v>3</v>
      </c>
      <c r="E329" t="s">
        <v>1524</v>
      </c>
      <c r="F329" t="s">
        <v>282</v>
      </c>
      <c r="G329" t="s">
        <v>1567</v>
      </c>
      <c r="H329" t="s">
        <v>1570</v>
      </c>
      <c r="I329" s="87">
        <f t="shared" si="35"/>
        <v>2.9556650246305424E-2</v>
      </c>
      <c r="J329" s="87">
        <f t="shared" si="36"/>
        <v>0.17733990147783252</v>
      </c>
      <c r="K329" s="87">
        <f t="shared" si="37"/>
        <v>0.25862068965517243</v>
      </c>
      <c r="L329" s="87">
        <f t="shared" si="38"/>
        <v>1.5024630541871922</v>
      </c>
      <c r="M329" s="87">
        <f t="shared" si="39"/>
        <v>0.21921182266009853</v>
      </c>
      <c r="N329" s="87">
        <f t="shared" si="40"/>
        <v>2.3645320197044337</v>
      </c>
      <c r="O329" s="87">
        <f t="shared" si="41"/>
        <v>4.5517241379310356</v>
      </c>
    </row>
    <row r="330" spans="1:15" x14ac:dyDescent="0.3">
      <c r="A330" t="s">
        <v>43</v>
      </c>
      <c r="B330" t="s">
        <v>1031</v>
      </c>
      <c r="C330" s="16" t="s">
        <v>272</v>
      </c>
      <c r="D330" s="16">
        <v>2</v>
      </c>
      <c r="E330" t="s">
        <v>1525</v>
      </c>
      <c r="F330" t="s">
        <v>282</v>
      </c>
      <c r="G330" t="s">
        <v>342</v>
      </c>
      <c r="H330" t="s">
        <v>344</v>
      </c>
      <c r="I330" s="87">
        <f t="shared" si="35"/>
        <v>2.9556650246305424E-2</v>
      </c>
      <c r="J330" s="87">
        <f t="shared" si="36"/>
        <v>0.82266009852216748</v>
      </c>
      <c r="K330" s="87">
        <f t="shared" si="37"/>
        <v>2.3522167487684729</v>
      </c>
      <c r="L330" s="87">
        <f t="shared" si="38"/>
        <v>1.5024630541871922</v>
      </c>
      <c r="M330" s="87">
        <f t="shared" si="39"/>
        <v>0.48522167487684736</v>
      </c>
      <c r="N330" s="87">
        <f t="shared" si="40"/>
        <v>1.2438423645320198</v>
      </c>
      <c r="O330" s="87">
        <f t="shared" si="41"/>
        <v>6.4359605911330044</v>
      </c>
    </row>
    <row r="331" spans="1:15" x14ac:dyDescent="0.3">
      <c r="A331" t="s">
        <v>43</v>
      </c>
      <c r="B331" t="s">
        <v>1032</v>
      </c>
      <c r="C331" s="16" t="s">
        <v>272</v>
      </c>
      <c r="D331" s="16">
        <v>2</v>
      </c>
      <c r="E331" t="s">
        <v>1525</v>
      </c>
      <c r="F331" t="s">
        <v>282</v>
      </c>
      <c r="G331" t="s">
        <v>342</v>
      </c>
      <c r="H331" t="s">
        <v>344</v>
      </c>
      <c r="I331" s="87">
        <f t="shared" si="35"/>
        <v>2.9556650246305424E-2</v>
      </c>
      <c r="J331" s="87">
        <f t="shared" si="36"/>
        <v>0.82266009852216748</v>
      </c>
      <c r="K331" s="87">
        <f t="shared" si="37"/>
        <v>2.3522167487684729</v>
      </c>
      <c r="L331" s="87">
        <f t="shared" si="38"/>
        <v>1.5024630541871922</v>
      </c>
      <c r="M331" s="87">
        <f t="shared" si="39"/>
        <v>0.48522167487684736</v>
      </c>
      <c r="N331" s="87">
        <f t="shared" si="40"/>
        <v>1.2438423645320198</v>
      </c>
      <c r="O331" s="87">
        <f t="shared" si="41"/>
        <v>6.4359605911330044</v>
      </c>
    </row>
    <row r="332" spans="1:15" x14ac:dyDescent="0.3">
      <c r="A332" t="s">
        <v>43</v>
      </c>
      <c r="B332" t="s">
        <v>1033</v>
      </c>
      <c r="C332" s="16" t="s">
        <v>272</v>
      </c>
      <c r="D332" s="16">
        <v>3</v>
      </c>
      <c r="E332" t="s">
        <v>1524</v>
      </c>
      <c r="F332" t="s">
        <v>1658</v>
      </c>
      <c r="G332" t="s">
        <v>1566</v>
      </c>
      <c r="H332" t="s">
        <v>1574</v>
      </c>
      <c r="I332" s="87">
        <f t="shared" si="35"/>
        <v>2.9556650246305424E-2</v>
      </c>
      <c r="J332" s="87">
        <f t="shared" si="36"/>
        <v>0.17733990147783252</v>
      </c>
      <c r="K332" s="87">
        <f t="shared" si="37"/>
        <v>0.25862068965517243</v>
      </c>
      <c r="L332" s="87">
        <f t="shared" si="38"/>
        <v>2.5</v>
      </c>
      <c r="M332" s="87">
        <f t="shared" si="39"/>
        <v>0.38669950738916259</v>
      </c>
      <c r="N332" s="87">
        <f t="shared" si="40"/>
        <v>2.3522167487684729</v>
      </c>
      <c r="O332" s="87">
        <f t="shared" si="41"/>
        <v>5.7044334975369466</v>
      </c>
    </row>
    <row r="333" spans="1:15" x14ac:dyDescent="0.3">
      <c r="A333" t="s">
        <v>43</v>
      </c>
      <c r="B333" t="s">
        <v>1034</v>
      </c>
      <c r="C333" s="16" t="s">
        <v>272</v>
      </c>
      <c r="D333" s="16">
        <v>3</v>
      </c>
      <c r="E333" t="s">
        <v>1524</v>
      </c>
      <c r="F333" t="s">
        <v>1658</v>
      </c>
      <c r="G333" t="s">
        <v>1567</v>
      </c>
      <c r="H333" t="s">
        <v>344</v>
      </c>
      <c r="I333" s="87">
        <f t="shared" si="35"/>
        <v>2.9556650246305424E-2</v>
      </c>
      <c r="J333" s="87">
        <f t="shared" si="36"/>
        <v>0.17733990147783252</v>
      </c>
      <c r="K333" s="87">
        <f t="shared" si="37"/>
        <v>0.25862068965517243</v>
      </c>
      <c r="L333" s="87">
        <f t="shared" si="38"/>
        <v>2.5</v>
      </c>
      <c r="M333" s="87">
        <f t="shared" si="39"/>
        <v>0.21921182266009853</v>
      </c>
      <c r="N333" s="87">
        <f t="shared" si="40"/>
        <v>1.2438423645320198</v>
      </c>
      <c r="O333" s="87">
        <f t="shared" si="41"/>
        <v>4.4285714285714288</v>
      </c>
    </row>
    <row r="334" spans="1:15" x14ac:dyDescent="0.3">
      <c r="A334" t="s">
        <v>43</v>
      </c>
      <c r="B334" t="s">
        <v>1035</v>
      </c>
      <c r="C334" s="16" t="s">
        <v>272</v>
      </c>
      <c r="D334" s="16">
        <v>3</v>
      </c>
      <c r="E334" t="s">
        <v>1524</v>
      </c>
      <c r="F334" t="s">
        <v>1551</v>
      </c>
      <c r="G334" t="s">
        <v>1566</v>
      </c>
      <c r="H334" t="s">
        <v>344</v>
      </c>
      <c r="I334" s="87">
        <f t="shared" si="35"/>
        <v>2.9556650246305424E-2</v>
      </c>
      <c r="J334" s="87">
        <f t="shared" si="36"/>
        <v>0.17733990147783252</v>
      </c>
      <c r="K334" s="87">
        <f t="shared" si="37"/>
        <v>0.25862068965517243</v>
      </c>
      <c r="L334" s="87">
        <f t="shared" si="38"/>
        <v>2.4876847290640396</v>
      </c>
      <c r="M334" s="87">
        <f t="shared" si="39"/>
        <v>0.38669950738916259</v>
      </c>
      <c r="N334" s="87">
        <f t="shared" si="40"/>
        <v>1.2438423645320198</v>
      </c>
      <c r="O334" s="87">
        <f t="shared" si="41"/>
        <v>4.583743842364532</v>
      </c>
    </row>
    <row r="335" spans="1:15" x14ac:dyDescent="0.3">
      <c r="A335" t="s">
        <v>43</v>
      </c>
      <c r="B335" t="s">
        <v>1036</v>
      </c>
      <c r="C335" s="16" t="s">
        <v>272</v>
      </c>
      <c r="D335" s="16">
        <v>3</v>
      </c>
      <c r="E335" t="s">
        <v>1524</v>
      </c>
      <c r="F335" t="s">
        <v>283</v>
      </c>
      <c r="G335" t="s">
        <v>1568</v>
      </c>
      <c r="H335" t="s">
        <v>1570</v>
      </c>
      <c r="I335" s="87">
        <f t="shared" si="35"/>
        <v>2.9556650246305424E-2</v>
      </c>
      <c r="J335" s="87">
        <f t="shared" si="36"/>
        <v>0.17733990147783252</v>
      </c>
      <c r="K335" s="87">
        <f t="shared" si="37"/>
        <v>0.25862068965517243</v>
      </c>
      <c r="L335" s="87">
        <f t="shared" si="38"/>
        <v>2.4876847290640396</v>
      </c>
      <c r="M335" s="87">
        <f t="shared" si="39"/>
        <v>0.4679802955665025</v>
      </c>
      <c r="N335" s="87">
        <f t="shared" si="40"/>
        <v>2.3645320197044337</v>
      </c>
      <c r="O335" s="87">
        <f t="shared" si="41"/>
        <v>5.7857142857142865</v>
      </c>
    </row>
    <row r="336" spans="1:15" x14ac:dyDescent="0.3">
      <c r="A336" t="s">
        <v>43</v>
      </c>
      <c r="B336" t="s">
        <v>1037</v>
      </c>
      <c r="C336" s="16" t="s">
        <v>272</v>
      </c>
      <c r="D336" s="16">
        <v>3</v>
      </c>
      <c r="E336" t="s">
        <v>1524</v>
      </c>
      <c r="F336" t="s">
        <v>1658</v>
      </c>
      <c r="G336" t="s">
        <v>1566</v>
      </c>
      <c r="H336" t="s">
        <v>344</v>
      </c>
      <c r="I336" s="87">
        <f t="shared" si="35"/>
        <v>2.9556650246305424E-2</v>
      </c>
      <c r="J336" s="87">
        <f t="shared" si="36"/>
        <v>0.17733990147783252</v>
      </c>
      <c r="K336" s="87">
        <f t="shared" si="37"/>
        <v>0.25862068965517243</v>
      </c>
      <c r="L336" s="87">
        <f t="shared" si="38"/>
        <v>2.5</v>
      </c>
      <c r="M336" s="87">
        <f t="shared" si="39"/>
        <v>0.38669950738916259</v>
      </c>
      <c r="N336" s="87">
        <f t="shared" si="40"/>
        <v>1.2438423645320198</v>
      </c>
      <c r="O336" s="87">
        <f t="shared" si="41"/>
        <v>4.5960591133004929</v>
      </c>
    </row>
    <row r="337" spans="1:15" x14ac:dyDescent="0.3">
      <c r="A337" t="s">
        <v>43</v>
      </c>
      <c r="B337" t="s">
        <v>1038</v>
      </c>
      <c r="C337" s="16" t="s">
        <v>272</v>
      </c>
      <c r="D337" s="16">
        <v>2</v>
      </c>
      <c r="E337" t="s">
        <v>1525</v>
      </c>
      <c r="F337" t="s">
        <v>282</v>
      </c>
      <c r="G337" t="s">
        <v>342</v>
      </c>
      <c r="H337" t="s">
        <v>344</v>
      </c>
      <c r="I337" s="87">
        <f t="shared" si="35"/>
        <v>2.9556650246305424E-2</v>
      </c>
      <c r="J337" s="87">
        <f t="shared" si="36"/>
        <v>0.82266009852216748</v>
      </c>
      <c r="K337" s="87">
        <f t="shared" si="37"/>
        <v>2.3522167487684729</v>
      </c>
      <c r="L337" s="87">
        <f t="shared" si="38"/>
        <v>1.5024630541871922</v>
      </c>
      <c r="M337" s="87">
        <f t="shared" si="39"/>
        <v>0.48522167487684736</v>
      </c>
      <c r="N337" s="87">
        <f t="shared" si="40"/>
        <v>1.2438423645320198</v>
      </c>
      <c r="O337" s="87">
        <f t="shared" si="41"/>
        <v>6.4359605911330044</v>
      </c>
    </row>
    <row r="338" spans="1:15" x14ac:dyDescent="0.3">
      <c r="A338" t="s">
        <v>43</v>
      </c>
      <c r="B338" t="s">
        <v>1039</v>
      </c>
      <c r="C338" s="16" t="s">
        <v>272</v>
      </c>
      <c r="D338" s="16">
        <v>3</v>
      </c>
      <c r="E338" t="s">
        <v>1524</v>
      </c>
      <c r="F338" t="s">
        <v>1658</v>
      </c>
      <c r="G338" t="s">
        <v>1567</v>
      </c>
      <c r="H338" t="s">
        <v>344</v>
      </c>
      <c r="I338" s="87">
        <f t="shared" si="35"/>
        <v>2.9556650246305424E-2</v>
      </c>
      <c r="J338" s="87">
        <f t="shared" si="36"/>
        <v>0.17733990147783252</v>
      </c>
      <c r="K338" s="87">
        <f t="shared" si="37"/>
        <v>0.25862068965517243</v>
      </c>
      <c r="L338" s="87">
        <f t="shared" si="38"/>
        <v>2.5</v>
      </c>
      <c r="M338" s="87">
        <f t="shared" si="39"/>
        <v>0.21921182266009853</v>
      </c>
      <c r="N338" s="87">
        <f t="shared" si="40"/>
        <v>1.2438423645320198</v>
      </c>
      <c r="O338" s="87">
        <f t="shared" si="41"/>
        <v>4.4285714285714288</v>
      </c>
    </row>
    <row r="339" spans="1:15" x14ac:dyDescent="0.3">
      <c r="A339" t="s">
        <v>43</v>
      </c>
      <c r="B339" t="s">
        <v>1040</v>
      </c>
      <c r="C339" s="16" t="s">
        <v>272</v>
      </c>
      <c r="D339" s="16">
        <v>2</v>
      </c>
      <c r="E339" t="s">
        <v>1525</v>
      </c>
      <c r="F339" t="s">
        <v>282</v>
      </c>
      <c r="G339" t="s">
        <v>1568</v>
      </c>
      <c r="H339" t="s">
        <v>344</v>
      </c>
      <c r="I339" s="87">
        <f t="shared" si="35"/>
        <v>2.9556650246305424E-2</v>
      </c>
      <c r="J339" s="87">
        <f t="shared" si="36"/>
        <v>0.82266009852216748</v>
      </c>
      <c r="K339" s="87">
        <f t="shared" si="37"/>
        <v>2.3522167487684729</v>
      </c>
      <c r="L339" s="87">
        <f t="shared" si="38"/>
        <v>1.5024630541871922</v>
      </c>
      <c r="M339" s="87">
        <f t="shared" si="39"/>
        <v>0.4679802955665025</v>
      </c>
      <c r="N339" s="87">
        <f t="shared" si="40"/>
        <v>1.2438423645320198</v>
      </c>
      <c r="O339" s="87">
        <f t="shared" si="41"/>
        <v>6.4187192118226601</v>
      </c>
    </row>
    <row r="340" spans="1:15" x14ac:dyDescent="0.3">
      <c r="A340" t="s">
        <v>43</v>
      </c>
      <c r="B340" t="s">
        <v>1041</v>
      </c>
      <c r="C340" s="16" t="s">
        <v>272</v>
      </c>
      <c r="D340" s="16">
        <v>3</v>
      </c>
      <c r="E340" t="s">
        <v>1524</v>
      </c>
      <c r="F340" t="s">
        <v>282</v>
      </c>
      <c r="G340" t="s">
        <v>1567</v>
      </c>
      <c r="H340" t="s">
        <v>344</v>
      </c>
      <c r="I340" s="87">
        <f t="shared" si="35"/>
        <v>2.9556650246305424E-2</v>
      </c>
      <c r="J340" s="87">
        <f t="shared" si="36"/>
        <v>0.17733990147783252</v>
      </c>
      <c r="K340" s="87">
        <f t="shared" si="37"/>
        <v>0.25862068965517243</v>
      </c>
      <c r="L340" s="87">
        <f t="shared" si="38"/>
        <v>1.5024630541871922</v>
      </c>
      <c r="M340" s="87">
        <f t="shared" si="39"/>
        <v>0.21921182266009853</v>
      </c>
      <c r="N340" s="87">
        <f t="shared" si="40"/>
        <v>1.2438423645320198</v>
      </c>
      <c r="O340" s="87">
        <f t="shared" si="41"/>
        <v>3.431034482758621</v>
      </c>
    </row>
    <row r="341" spans="1:15" x14ac:dyDescent="0.3">
      <c r="A341" t="s">
        <v>43</v>
      </c>
      <c r="B341" t="s">
        <v>1042</v>
      </c>
      <c r="C341" s="16" t="s">
        <v>272</v>
      </c>
      <c r="D341" s="16">
        <v>3</v>
      </c>
      <c r="E341" t="s">
        <v>1524</v>
      </c>
      <c r="F341" t="s">
        <v>1650</v>
      </c>
      <c r="G341" t="s">
        <v>1566</v>
      </c>
      <c r="H341" t="s">
        <v>344</v>
      </c>
      <c r="I341" s="87">
        <f t="shared" si="35"/>
        <v>2.9556650246305424E-2</v>
      </c>
      <c r="J341" s="87">
        <f t="shared" si="36"/>
        <v>0.17733990147783252</v>
      </c>
      <c r="K341" s="87">
        <f t="shared" si="37"/>
        <v>0.25862068965517243</v>
      </c>
      <c r="L341" s="87">
        <f t="shared" si="38"/>
        <v>2.4753694581280787</v>
      </c>
      <c r="M341" s="87">
        <f t="shared" si="39"/>
        <v>0.38669950738916259</v>
      </c>
      <c r="N341" s="87">
        <f t="shared" si="40"/>
        <v>1.2438423645320198</v>
      </c>
      <c r="O341" s="87">
        <f t="shared" si="41"/>
        <v>4.5714285714285712</v>
      </c>
    </row>
    <row r="342" spans="1:15" x14ac:dyDescent="0.3">
      <c r="A342" t="s">
        <v>45</v>
      </c>
      <c r="B342" t="s">
        <v>1043</v>
      </c>
      <c r="C342" s="16" t="s">
        <v>272</v>
      </c>
      <c r="D342" s="16">
        <v>2</v>
      </c>
      <c r="E342" t="s">
        <v>1524</v>
      </c>
      <c r="F342" t="s">
        <v>282</v>
      </c>
      <c r="G342" t="s">
        <v>341</v>
      </c>
      <c r="H342" t="s">
        <v>344</v>
      </c>
      <c r="I342" s="87">
        <f t="shared" si="35"/>
        <v>2.9556650246305424E-2</v>
      </c>
      <c r="J342" s="87">
        <f t="shared" si="36"/>
        <v>0.82266009852216748</v>
      </c>
      <c r="K342" s="87">
        <f t="shared" si="37"/>
        <v>0.25862068965517243</v>
      </c>
      <c r="L342" s="87">
        <f t="shared" si="38"/>
        <v>1.5024630541871922</v>
      </c>
      <c r="M342" s="87">
        <f t="shared" si="39"/>
        <v>0.4605911330049261</v>
      </c>
      <c r="N342" s="87">
        <f t="shared" si="40"/>
        <v>1.2438423645320198</v>
      </c>
      <c r="O342" s="87">
        <f t="shared" si="41"/>
        <v>4.3177339901477829</v>
      </c>
    </row>
    <row r="343" spans="1:15" x14ac:dyDescent="0.3">
      <c r="A343" t="s">
        <v>45</v>
      </c>
      <c r="B343" t="s">
        <v>1044</v>
      </c>
      <c r="C343" s="16" t="s">
        <v>272</v>
      </c>
      <c r="D343" s="16">
        <v>3</v>
      </c>
      <c r="E343" t="s">
        <v>1524</v>
      </c>
      <c r="F343" t="s">
        <v>1534</v>
      </c>
      <c r="G343" t="s">
        <v>1567</v>
      </c>
      <c r="H343" t="s">
        <v>344</v>
      </c>
      <c r="I343" s="87">
        <f t="shared" si="35"/>
        <v>2.9556650246305424E-2</v>
      </c>
      <c r="J343" s="87">
        <f t="shared" si="36"/>
        <v>0.17733990147783252</v>
      </c>
      <c r="K343" s="87">
        <f t="shared" si="37"/>
        <v>0.25862068965517243</v>
      </c>
      <c r="L343" s="87">
        <f t="shared" si="38"/>
        <v>2.4507389162561575</v>
      </c>
      <c r="M343" s="87">
        <f t="shared" si="39"/>
        <v>0.21921182266009853</v>
      </c>
      <c r="N343" s="87">
        <f t="shared" si="40"/>
        <v>1.2438423645320198</v>
      </c>
      <c r="O343" s="87">
        <f t="shared" si="41"/>
        <v>4.3793103448275863</v>
      </c>
    </row>
    <row r="344" spans="1:15" x14ac:dyDescent="0.3">
      <c r="A344" t="s">
        <v>45</v>
      </c>
      <c r="B344" t="s">
        <v>1045</v>
      </c>
      <c r="C344" s="16" t="s">
        <v>272</v>
      </c>
      <c r="D344" s="16">
        <v>3</v>
      </c>
      <c r="E344" t="s">
        <v>1524</v>
      </c>
      <c r="F344" t="s">
        <v>1534</v>
      </c>
      <c r="G344" t="s">
        <v>1567</v>
      </c>
      <c r="H344" t="s">
        <v>344</v>
      </c>
      <c r="I344" s="87">
        <f t="shared" si="35"/>
        <v>2.9556650246305424E-2</v>
      </c>
      <c r="J344" s="87">
        <f t="shared" si="36"/>
        <v>0.17733990147783252</v>
      </c>
      <c r="K344" s="87">
        <f t="shared" si="37"/>
        <v>0.25862068965517243</v>
      </c>
      <c r="L344" s="87">
        <f t="shared" si="38"/>
        <v>2.4507389162561575</v>
      </c>
      <c r="M344" s="87">
        <f t="shared" si="39"/>
        <v>0.21921182266009853</v>
      </c>
      <c r="N344" s="87">
        <f t="shared" si="40"/>
        <v>1.2438423645320198</v>
      </c>
      <c r="O344" s="87">
        <f t="shared" si="41"/>
        <v>4.3793103448275863</v>
      </c>
    </row>
    <row r="345" spans="1:15" x14ac:dyDescent="0.3">
      <c r="A345" t="s">
        <v>45</v>
      </c>
      <c r="B345" t="s">
        <v>1046</v>
      </c>
      <c r="C345" s="16" t="s">
        <v>272</v>
      </c>
      <c r="D345" s="16">
        <v>2</v>
      </c>
      <c r="E345" t="s">
        <v>1524</v>
      </c>
      <c r="F345" t="s">
        <v>282</v>
      </c>
      <c r="G345" t="s">
        <v>341</v>
      </c>
      <c r="H345" t="s">
        <v>344</v>
      </c>
      <c r="I345" s="87">
        <f t="shared" si="35"/>
        <v>2.9556650246305424E-2</v>
      </c>
      <c r="J345" s="87">
        <f t="shared" si="36"/>
        <v>0.82266009852216748</v>
      </c>
      <c r="K345" s="87">
        <f t="shared" si="37"/>
        <v>0.25862068965517243</v>
      </c>
      <c r="L345" s="87">
        <f t="shared" si="38"/>
        <v>1.5024630541871922</v>
      </c>
      <c r="M345" s="87">
        <f t="shared" si="39"/>
        <v>0.4605911330049261</v>
      </c>
      <c r="N345" s="87">
        <f t="shared" si="40"/>
        <v>1.2438423645320198</v>
      </c>
      <c r="O345" s="87">
        <f t="shared" si="41"/>
        <v>4.3177339901477829</v>
      </c>
    </row>
    <row r="346" spans="1:15" x14ac:dyDescent="0.3">
      <c r="A346" t="s">
        <v>45</v>
      </c>
      <c r="B346" t="s">
        <v>1047</v>
      </c>
      <c r="C346" s="16" t="s">
        <v>272</v>
      </c>
      <c r="D346" s="16">
        <v>2</v>
      </c>
      <c r="E346" t="s">
        <v>1524</v>
      </c>
      <c r="F346" t="s">
        <v>282</v>
      </c>
      <c r="G346" t="s">
        <v>341</v>
      </c>
      <c r="H346" t="s">
        <v>344</v>
      </c>
      <c r="I346" s="87">
        <f t="shared" si="35"/>
        <v>2.9556650246305424E-2</v>
      </c>
      <c r="J346" s="87">
        <f t="shared" si="36"/>
        <v>0.82266009852216748</v>
      </c>
      <c r="K346" s="87">
        <f t="shared" si="37"/>
        <v>0.25862068965517243</v>
      </c>
      <c r="L346" s="87">
        <f t="shared" si="38"/>
        <v>1.5024630541871922</v>
      </c>
      <c r="M346" s="87">
        <f t="shared" si="39"/>
        <v>0.4605911330049261</v>
      </c>
      <c r="N346" s="87">
        <f t="shared" si="40"/>
        <v>1.2438423645320198</v>
      </c>
      <c r="O346" s="87">
        <f t="shared" si="41"/>
        <v>4.3177339901477829</v>
      </c>
    </row>
    <row r="347" spans="1:15" x14ac:dyDescent="0.3">
      <c r="A347" t="s">
        <v>45</v>
      </c>
      <c r="B347" t="s">
        <v>1048</v>
      </c>
      <c r="C347" s="16" t="s">
        <v>272</v>
      </c>
      <c r="D347" s="16">
        <v>2</v>
      </c>
      <c r="E347" t="s">
        <v>1524</v>
      </c>
      <c r="F347" t="s">
        <v>282</v>
      </c>
      <c r="G347" t="s">
        <v>341</v>
      </c>
      <c r="H347" t="s">
        <v>344</v>
      </c>
      <c r="I347" s="87">
        <f t="shared" si="35"/>
        <v>2.9556650246305424E-2</v>
      </c>
      <c r="J347" s="87">
        <f t="shared" si="36"/>
        <v>0.82266009852216748</v>
      </c>
      <c r="K347" s="87">
        <f t="shared" si="37"/>
        <v>0.25862068965517243</v>
      </c>
      <c r="L347" s="87">
        <f t="shared" si="38"/>
        <v>1.5024630541871922</v>
      </c>
      <c r="M347" s="87">
        <f t="shared" si="39"/>
        <v>0.4605911330049261</v>
      </c>
      <c r="N347" s="87">
        <f t="shared" si="40"/>
        <v>1.2438423645320198</v>
      </c>
      <c r="O347" s="87">
        <f t="shared" si="41"/>
        <v>4.3177339901477829</v>
      </c>
    </row>
    <row r="348" spans="1:15" x14ac:dyDescent="0.3">
      <c r="A348" t="s">
        <v>45</v>
      </c>
      <c r="B348" t="s">
        <v>1049</v>
      </c>
      <c r="C348" s="16" t="s">
        <v>272</v>
      </c>
      <c r="D348" s="16">
        <v>3</v>
      </c>
      <c r="E348" t="s">
        <v>1524</v>
      </c>
      <c r="F348" t="s">
        <v>339</v>
      </c>
      <c r="G348" t="s">
        <v>1567</v>
      </c>
      <c r="H348" t="s">
        <v>344</v>
      </c>
      <c r="I348" s="87">
        <f t="shared" si="35"/>
        <v>2.9556650246305424E-2</v>
      </c>
      <c r="J348" s="87">
        <f t="shared" si="36"/>
        <v>0.17733990147783252</v>
      </c>
      <c r="K348" s="87">
        <f t="shared" si="37"/>
        <v>0.25862068965517243</v>
      </c>
      <c r="L348" s="87">
        <f t="shared" si="38"/>
        <v>2.4753694581280787</v>
      </c>
      <c r="M348" s="87">
        <f t="shared" si="39"/>
        <v>0.21921182266009853</v>
      </c>
      <c r="N348" s="87">
        <f t="shared" si="40"/>
        <v>1.2438423645320198</v>
      </c>
      <c r="O348" s="87">
        <f t="shared" si="41"/>
        <v>4.4039408866995071</v>
      </c>
    </row>
    <row r="349" spans="1:15" x14ac:dyDescent="0.3">
      <c r="A349" t="s">
        <v>45</v>
      </c>
      <c r="B349" t="s">
        <v>1050</v>
      </c>
      <c r="C349" s="16" t="s">
        <v>272</v>
      </c>
      <c r="D349" s="16">
        <v>3</v>
      </c>
      <c r="E349" t="s">
        <v>1524</v>
      </c>
      <c r="F349" t="s">
        <v>1557</v>
      </c>
      <c r="G349" t="s">
        <v>343</v>
      </c>
      <c r="H349" t="s">
        <v>348</v>
      </c>
      <c r="I349" s="87">
        <f t="shared" si="35"/>
        <v>2.9556650246305424E-2</v>
      </c>
      <c r="J349" s="87">
        <f t="shared" si="36"/>
        <v>0.17733990147783252</v>
      </c>
      <c r="K349" s="87">
        <f t="shared" si="37"/>
        <v>0.25862068965517243</v>
      </c>
      <c r="L349" s="87">
        <f t="shared" si="38"/>
        <v>2.4630541871921183</v>
      </c>
      <c r="M349" s="87">
        <f t="shared" si="39"/>
        <v>0.48522167487684736</v>
      </c>
      <c r="N349" s="87">
        <f t="shared" si="40"/>
        <v>2.4753694581280787</v>
      </c>
      <c r="O349" s="87">
        <f t="shared" si="41"/>
        <v>5.889162561576355</v>
      </c>
    </row>
    <row r="350" spans="1:15" x14ac:dyDescent="0.3">
      <c r="A350" t="s">
        <v>45</v>
      </c>
      <c r="B350" t="s">
        <v>1051</v>
      </c>
      <c r="C350" s="16" t="s">
        <v>272</v>
      </c>
      <c r="D350" s="16">
        <v>3</v>
      </c>
      <c r="E350" t="s">
        <v>1524</v>
      </c>
      <c r="F350" t="s">
        <v>1557</v>
      </c>
      <c r="G350" t="s">
        <v>1568</v>
      </c>
      <c r="H350" t="s">
        <v>1620</v>
      </c>
      <c r="I350" s="87">
        <f t="shared" si="35"/>
        <v>2.9556650246305424E-2</v>
      </c>
      <c r="J350" s="87">
        <f t="shared" si="36"/>
        <v>0.17733990147783252</v>
      </c>
      <c r="K350" s="87">
        <f t="shared" si="37"/>
        <v>0.25862068965517243</v>
      </c>
      <c r="L350" s="87">
        <f t="shared" si="38"/>
        <v>2.4630541871921183</v>
      </c>
      <c r="M350" s="87">
        <f t="shared" si="39"/>
        <v>0.4679802955665025</v>
      </c>
      <c r="N350" s="87">
        <f t="shared" si="40"/>
        <v>2.4630541871921183</v>
      </c>
      <c r="O350" s="87">
        <f t="shared" si="41"/>
        <v>5.8596059113300498</v>
      </c>
    </row>
    <row r="351" spans="1:15" x14ac:dyDescent="0.3">
      <c r="A351" t="s">
        <v>45</v>
      </c>
      <c r="B351" t="s">
        <v>1052</v>
      </c>
      <c r="C351" s="16" t="s">
        <v>272</v>
      </c>
      <c r="D351" s="16">
        <v>3</v>
      </c>
      <c r="E351" t="s">
        <v>1524</v>
      </c>
      <c r="F351" t="s">
        <v>1557</v>
      </c>
      <c r="G351" t="s">
        <v>1567</v>
      </c>
      <c r="H351" t="s">
        <v>1574</v>
      </c>
      <c r="I351" s="87">
        <f t="shared" si="35"/>
        <v>2.9556650246305424E-2</v>
      </c>
      <c r="J351" s="87">
        <f t="shared" si="36"/>
        <v>0.17733990147783252</v>
      </c>
      <c r="K351" s="87">
        <f t="shared" si="37"/>
        <v>0.25862068965517243</v>
      </c>
      <c r="L351" s="87">
        <f t="shared" si="38"/>
        <v>2.4630541871921183</v>
      </c>
      <c r="M351" s="87">
        <f t="shared" si="39"/>
        <v>0.21921182266009853</v>
      </c>
      <c r="N351" s="87">
        <f t="shared" si="40"/>
        <v>2.3522167487684729</v>
      </c>
      <c r="O351" s="87">
        <f t="shared" si="41"/>
        <v>5.5</v>
      </c>
    </row>
    <row r="352" spans="1:15" x14ac:dyDescent="0.3">
      <c r="A352" t="s">
        <v>45</v>
      </c>
      <c r="B352" t="s">
        <v>1053</v>
      </c>
      <c r="C352" s="16" t="s">
        <v>272</v>
      </c>
      <c r="D352" s="16">
        <v>3</v>
      </c>
      <c r="E352" t="s">
        <v>1524</v>
      </c>
      <c r="F352" t="s">
        <v>1557</v>
      </c>
      <c r="G352" t="s">
        <v>1567</v>
      </c>
      <c r="H352" t="s">
        <v>344</v>
      </c>
      <c r="I352" s="87">
        <f t="shared" si="35"/>
        <v>2.9556650246305424E-2</v>
      </c>
      <c r="J352" s="87">
        <f t="shared" si="36"/>
        <v>0.17733990147783252</v>
      </c>
      <c r="K352" s="87">
        <f t="shared" si="37"/>
        <v>0.25862068965517243</v>
      </c>
      <c r="L352" s="87">
        <f t="shared" si="38"/>
        <v>2.4630541871921183</v>
      </c>
      <c r="M352" s="87">
        <f t="shared" si="39"/>
        <v>0.21921182266009853</v>
      </c>
      <c r="N352" s="87">
        <f t="shared" si="40"/>
        <v>1.2438423645320198</v>
      </c>
      <c r="O352" s="87">
        <f t="shared" si="41"/>
        <v>4.3916256157635472</v>
      </c>
    </row>
    <row r="353" spans="1:15" x14ac:dyDescent="0.3">
      <c r="A353" t="s">
        <v>45</v>
      </c>
      <c r="B353" t="s">
        <v>1054</v>
      </c>
      <c r="C353" s="16" t="s">
        <v>272</v>
      </c>
      <c r="D353" s="16">
        <v>3</v>
      </c>
      <c r="E353" t="s">
        <v>1525</v>
      </c>
      <c r="F353" t="s">
        <v>1658</v>
      </c>
      <c r="G353" t="s">
        <v>1567</v>
      </c>
      <c r="H353" t="s">
        <v>344</v>
      </c>
      <c r="I353" s="87">
        <f t="shared" si="35"/>
        <v>2.9556650246305424E-2</v>
      </c>
      <c r="J353" s="87">
        <f t="shared" si="36"/>
        <v>0.17733990147783252</v>
      </c>
      <c r="K353" s="87">
        <f t="shared" si="37"/>
        <v>2.3522167487684729</v>
      </c>
      <c r="L353" s="87">
        <f t="shared" si="38"/>
        <v>2.5</v>
      </c>
      <c r="M353" s="87">
        <f t="shared" si="39"/>
        <v>0.21921182266009853</v>
      </c>
      <c r="N353" s="87">
        <f t="shared" si="40"/>
        <v>1.2438423645320198</v>
      </c>
      <c r="O353" s="87">
        <f t="shared" si="41"/>
        <v>6.5221674876847286</v>
      </c>
    </row>
    <row r="354" spans="1:15" x14ac:dyDescent="0.3">
      <c r="A354" t="s">
        <v>45</v>
      </c>
      <c r="B354" t="s">
        <v>1055</v>
      </c>
      <c r="C354" s="16" t="s">
        <v>273</v>
      </c>
      <c r="D354" s="16">
        <v>2</v>
      </c>
      <c r="E354" t="s">
        <v>1525</v>
      </c>
      <c r="F354" t="s">
        <v>1658</v>
      </c>
      <c r="G354" t="s">
        <v>1567</v>
      </c>
      <c r="H354" t="s">
        <v>1570</v>
      </c>
      <c r="I354" s="87">
        <f t="shared" si="35"/>
        <v>0.97044334975369473</v>
      </c>
      <c r="J354" s="87">
        <f t="shared" si="36"/>
        <v>0.82266009852216748</v>
      </c>
      <c r="K354" s="87">
        <f t="shared" si="37"/>
        <v>2.3522167487684729</v>
      </c>
      <c r="L354" s="87">
        <f t="shared" si="38"/>
        <v>2.5</v>
      </c>
      <c r="M354" s="87">
        <f t="shared" si="39"/>
        <v>0.21921182266009853</v>
      </c>
      <c r="N354" s="87">
        <f t="shared" si="40"/>
        <v>2.3645320197044337</v>
      </c>
      <c r="O354" s="87">
        <f t="shared" si="41"/>
        <v>9.2290640394088665</v>
      </c>
    </row>
    <row r="355" spans="1:15" x14ac:dyDescent="0.3">
      <c r="A355" t="s">
        <v>45</v>
      </c>
      <c r="B355" t="s">
        <v>1056</v>
      </c>
      <c r="C355" s="16" t="s">
        <v>272</v>
      </c>
      <c r="D355" s="16">
        <v>3</v>
      </c>
      <c r="E355" t="s">
        <v>1524</v>
      </c>
      <c r="F355" t="s">
        <v>1557</v>
      </c>
      <c r="G355" t="s">
        <v>1567</v>
      </c>
      <c r="H355" t="s">
        <v>1574</v>
      </c>
      <c r="I355" s="87">
        <f t="shared" si="35"/>
        <v>2.9556650246305424E-2</v>
      </c>
      <c r="J355" s="87">
        <f t="shared" si="36"/>
        <v>0.17733990147783252</v>
      </c>
      <c r="K355" s="87">
        <f t="shared" si="37"/>
        <v>0.25862068965517243</v>
      </c>
      <c r="L355" s="87">
        <f t="shared" si="38"/>
        <v>2.4630541871921183</v>
      </c>
      <c r="M355" s="87">
        <f t="shared" si="39"/>
        <v>0.21921182266009853</v>
      </c>
      <c r="N355" s="87">
        <f t="shared" si="40"/>
        <v>2.3522167487684729</v>
      </c>
      <c r="O355" s="87">
        <f t="shared" si="41"/>
        <v>5.5</v>
      </c>
    </row>
    <row r="356" spans="1:15" x14ac:dyDescent="0.3">
      <c r="A356" t="s">
        <v>45</v>
      </c>
      <c r="B356" t="s">
        <v>1057</v>
      </c>
      <c r="C356" s="16" t="s">
        <v>272</v>
      </c>
      <c r="D356" s="16">
        <v>3</v>
      </c>
      <c r="E356" t="s">
        <v>1525</v>
      </c>
      <c r="F356" t="s">
        <v>1658</v>
      </c>
      <c r="G356" t="s">
        <v>1567</v>
      </c>
      <c r="H356" t="s">
        <v>344</v>
      </c>
      <c r="I356" s="87">
        <f t="shared" si="35"/>
        <v>2.9556650246305424E-2</v>
      </c>
      <c r="J356" s="87">
        <f t="shared" si="36"/>
        <v>0.17733990147783252</v>
      </c>
      <c r="K356" s="87">
        <f t="shared" si="37"/>
        <v>2.3522167487684729</v>
      </c>
      <c r="L356" s="87">
        <f t="shared" si="38"/>
        <v>2.5</v>
      </c>
      <c r="M356" s="87">
        <f t="shared" si="39"/>
        <v>0.21921182266009853</v>
      </c>
      <c r="N356" s="87">
        <f t="shared" si="40"/>
        <v>1.2438423645320198</v>
      </c>
      <c r="O356" s="87">
        <f t="shared" si="41"/>
        <v>6.5221674876847286</v>
      </c>
    </row>
    <row r="357" spans="1:15" x14ac:dyDescent="0.3">
      <c r="A357" t="s">
        <v>45</v>
      </c>
      <c r="B357" t="s">
        <v>1058</v>
      </c>
      <c r="C357" s="16" t="s">
        <v>273</v>
      </c>
      <c r="D357" s="16">
        <v>2</v>
      </c>
      <c r="E357" t="s">
        <v>1525</v>
      </c>
      <c r="F357" t="s">
        <v>1658</v>
      </c>
      <c r="G357" t="s">
        <v>1567</v>
      </c>
      <c r="H357" t="s">
        <v>344</v>
      </c>
      <c r="I357" s="87">
        <f t="shared" si="35"/>
        <v>0.97044334975369473</v>
      </c>
      <c r="J357" s="87">
        <f t="shared" si="36"/>
        <v>0.82266009852216748</v>
      </c>
      <c r="K357" s="87">
        <f t="shared" si="37"/>
        <v>2.3522167487684729</v>
      </c>
      <c r="L357" s="87">
        <f t="shared" si="38"/>
        <v>2.5</v>
      </c>
      <c r="M357" s="87">
        <f t="shared" si="39"/>
        <v>0.21921182266009853</v>
      </c>
      <c r="N357" s="87">
        <f t="shared" si="40"/>
        <v>1.2438423645320198</v>
      </c>
      <c r="O357" s="87">
        <f t="shared" si="41"/>
        <v>8.1083743842364537</v>
      </c>
    </row>
    <row r="358" spans="1:15" x14ac:dyDescent="0.3">
      <c r="A358" t="s">
        <v>45</v>
      </c>
      <c r="B358" t="s">
        <v>1059</v>
      </c>
      <c r="C358" s="16" t="s">
        <v>272</v>
      </c>
      <c r="D358" s="16">
        <v>2</v>
      </c>
      <c r="E358" t="s">
        <v>1525</v>
      </c>
      <c r="F358" t="s">
        <v>1658</v>
      </c>
      <c r="G358" t="s">
        <v>1567</v>
      </c>
      <c r="H358" t="s">
        <v>344</v>
      </c>
      <c r="I358" s="87">
        <f t="shared" si="35"/>
        <v>2.9556650246305424E-2</v>
      </c>
      <c r="J358" s="87">
        <f t="shared" si="36"/>
        <v>0.82266009852216748</v>
      </c>
      <c r="K358" s="87">
        <f t="shared" si="37"/>
        <v>2.3522167487684729</v>
      </c>
      <c r="L358" s="87">
        <f t="shared" si="38"/>
        <v>2.5</v>
      </c>
      <c r="M358" s="87">
        <f t="shared" si="39"/>
        <v>0.21921182266009853</v>
      </c>
      <c r="N358" s="87">
        <f t="shared" si="40"/>
        <v>1.2438423645320198</v>
      </c>
      <c r="O358" s="87">
        <f t="shared" si="41"/>
        <v>7.1674876847290641</v>
      </c>
    </row>
    <row r="359" spans="1:15" x14ac:dyDescent="0.3">
      <c r="A359" t="s">
        <v>9</v>
      </c>
      <c r="B359" t="s">
        <v>1060</v>
      </c>
      <c r="C359" s="16" t="s">
        <v>272</v>
      </c>
      <c r="D359" s="16">
        <v>2</v>
      </c>
      <c r="E359" t="s">
        <v>1525</v>
      </c>
      <c r="F359" t="s">
        <v>282</v>
      </c>
      <c r="G359" t="s">
        <v>1568</v>
      </c>
      <c r="H359" t="s">
        <v>344</v>
      </c>
      <c r="I359" s="87">
        <f t="shared" si="35"/>
        <v>2.9556650246305424E-2</v>
      </c>
      <c r="J359" s="87">
        <f t="shared" si="36"/>
        <v>0.82266009852216748</v>
      </c>
      <c r="K359" s="87">
        <f t="shared" si="37"/>
        <v>2.3522167487684729</v>
      </c>
      <c r="L359" s="87">
        <f t="shared" si="38"/>
        <v>1.5024630541871922</v>
      </c>
      <c r="M359" s="87">
        <f t="shared" si="39"/>
        <v>0.4679802955665025</v>
      </c>
      <c r="N359" s="87">
        <f t="shared" si="40"/>
        <v>1.2438423645320198</v>
      </c>
      <c r="O359" s="87">
        <f t="shared" si="41"/>
        <v>6.4187192118226601</v>
      </c>
    </row>
    <row r="360" spans="1:15" x14ac:dyDescent="0.3">
      <c r="A360" t="s">
        <v>9</v>
      </c>
      <c r="B360" t="s">
        <v>1061</v>
      </c>
      <c r="C360" s="16" t="s">
        <v>272</v>
      </c>
      <c r="D360" s="16">
        <v>3</v>
      </c>
      <c r="E360" t="s">
        <v>1524</v>
      </c>
      <c r="F360" t="s">
        <v>1544</v>
      </c>
      <c r="G360" t="s">
        <v>1566</v>
      </c>
      <c r="H360" t="s">
        <v>1620</v>
      </c>
      <c r="I360" s="87">
        <f t="shared" si="35"/>
        <v>2.9556650246305424E-2</v>
      </c>
      <c r="J360" s="87">
        <f t="shared" si="36"/>
        <v>0.17733990147783252</v>
      </c>
      <c r="K360" s="87">
        <f t="shared" si="37"/>
        <v>0.25862068965517243</v>
      </c>
      <c r="L360" s="87">
        <f t="shared" si="38"/>
        <v>2.4753694581280787</v>
      </c>
      <c r="M360" s="87">
        <f t="shared" si="39"/>
        <v>0.38669950738916259</v>
      </c>
      <c r="N360" s="87">
        <f t="shared" si="40"/>
        <v>2.4630541871921183</v>
      </c>
      <c r="O360" s="87">
        <f t="shared" si="41"/>
        <v>5.7906403940886699</v>
      </c>
    </row>
    <row r="361" spans="1:15" x14ac:dyDescent="0.3">
      <c r="A361" t="s">
        <v>9</v>
      </c>
      <c r="B361" t="s">
        <v>1062</v>
      </c>
      <c r="C361" s="16" t="s">
        <v>272</v>
      </c>
      <c r="D361" s="16">
        <v>2</v>
      </c>
      <c r="E361" t="s">
        <v>1525</v>
      </c>
      <c r="F361" t="s">
        <v>284</v>
      </c>
      <c r="G361" t="s">
        <v>1567</v>
      </c>
      <c r="H361" t="s">
        <v>345</v>
      </c>
      <c r="I361" s="87">
        <f t="shared" si="35"/>
        <v>2.9556650246305424E-2</v>
      </c>
      <c r="J361" s="87">
        <f t="shared" si="36"/>
        <v>0.82266009852216748</v>
      </c>
      <c r="K361" s="87">
        <f t="shared" si="37"/>
        <v>2.3522167487684729</v>
      </c>
      <c r="L361" s="87">
        <f t="shared" si="38"/>
        <v>2.4507389162561575</v>
      </c>
      <c r="M361" s="87">
        <f t="shared" si="39"/>
        <v>0.21921182266009853</v>
      </c>
      <c r="N361" s="87">
        <f t="shared" si="40"/>
        <v>2.2536945812807883</v>
      </c>
      <c r="O361" s="87">
        <f t="shared" si="41"/>
        <v>8.1280788177339893</v>
      </c>
    </row>
    <row r="362" spans="1:15" x14ac:dyDescent="0.3">
      <c r="A362" t="s">
        <v>9</v>
      </c>
      <c r="B362" t="s">
        <v>1063</v>
      </c>
      <c r="C362" s="16" t="s">
        <v>272</v>
      </c>
      <c r="D362" s="16">
        <v>3</v>
      </c>
      <c r="E362" t="s">
        <v>1524</v>
      </c>
      <c r="F362" t="s">
        <v>1544</v>
      </c>
      <c r="G362" t="s">
        <v>1566</v>
      </c>
      <c r="H362" t="s">
        <v>344</v>
      </c>
      <c r="I362" s="87">
        <f t="shared" si="35"/>
        <v>2.9556650246305424E-2</v>
      </c>
      <c r="J362" s="87">
        <f t="shared" si="36"/>
        <v>0.17733990147783252</v>
      </c>
      <c r="K362" s="87">
        <f t="shared" si="37"/>
        <v>0.25862068965517243</v>
      </c>
      <c r="L362" s="87">
        <f t="shared" si="38"/>
        <v>2.4753694581280787</v>
      </c>
      <c r="M362" s="87">
        <f t="shared" si="39"/>
        <v>0.38669950738916259</v>
      </c>
      <c r="N362" s="87">
        <f t="shared" si="40"/>
        <v>1.2438423645320198</v>
      </c>
      <c r="O362" s="87">
        <f t="shared" si="41"/>
        <v>4.5714285714285712</v>
      </c>
    </row>
    <row r="363" spans="1:15" x14ac:dyDescent="0.3">
      <c r="A363" t="s">
        <v>9</v>
      </c>
      <c r="B363" t="s">
        <v>1064</v>
      </c>
      <c r="C363" s="16" t="s">
        <v>272</v>
      </c>
      <c r="D363" s="16">
        <v>2</v>
      </c>
      <c r="E363" t="s">
        <v>1524</v>
      </c>
      <c r="F363" t="s">
        <v>282</v>
      </c>
      <c r="G363" t="s">
        <v>342</v>
      </c>
      <c r="H363" t="s">
        <v>347</v>
      </c>
      <c r="I363" s="87">
        <f t="shared" si="35"/>
        <v>2.9556650246305424E-2</v>
      </c>
      <c r="J363" s="87">
        <f t="shared" si="36"/>
        <v>0.82266009852216748</v>
      </c>
      <c r="K363" s="87">
        <f t="shared" si="37"/>
        <v>0.25862068965517243</v>
      </c>
      <c r="L363" s="87">
        <f t="shared" si="38"/>
        <v>1.5024630541871922</v>
      </c>
      <c r="M363" s="87">
        <f t="shared" si="39"/>
        <v>0.48522167487684736</v>
      </c>
      <c r="N363" s="87">
        <f t="shared" si="40"/>
        <v>2.4137931034482758</v>
      </c>
      <c r="O363" s="87">
        <f t="shared" si="41"/>
        <v>5.5123152709359609</v>
      </c>
    </row>
    <row r="364" spans="1:15" x14ac:dyDescent="0.3">
      <c r="A364" t="s">
        <v>9</v>
      </c>
      <c r="B364" t="s">
        <v>1065</v>
      </c>
      <c r="C364" s="16" t="s">
        <v>272</v>
      </c>
      <c r="D364" s="16">
        <v>2</v>
      </c>
      <c r="E364" t="s">
        <v>1524</v>
      </c>
      <c r="F364" t="s">
        <v>282</v>
      </c>
      <c r="G364" t="s">
        <v>342</v>
      </c>
      <c r="H364" t="s">
        <v>347</v>
      </c>
      <c r="I364" s="87">
        <f t="shared" si="35"/>
        <v>2.9556650246305424E-2</v>
      </c>
      <c r="J364" s="87">
        <f t="shared" si="36"/>
        <v>0.82266009852216748</v>
      </c>
      <c r="K364" s="87">
        <f t="shared" si="37"/>
        <v>0.25862068965517243</v>
      </c>
      <c r="L364" s="87">
        <f t="shared" si="38"/>
        <v>1.5024630541871922</v>
      </c>
      <c r="M364" s="87">
        <f t="shared" si="39"/>
        <v>0.48522167487684736</v>
      </c>
      <c r="N364" s="87">
        <f t="shared" si="40"/>
        <v>2.4137931034482758</v>
      </c>
      <c r="O364" s="87">
        <f t="shared" si="41"/>
        <v>5.5123152709359609</v>
      </c>
    </row>
    <row r="365" spans="1:15" x14ac:dyDescent="0.3">
      <c r="A365" t="s">
        <v>9</v>
      </c>
      <c r="B365" t="s">
        <v>1066</v>
      </c>
      <c r="C365" s="16" t="s">
        <v>272</v>
      </c>
      <c r="D365" s="16">
        <v>2</v>
      </c>
      <c r="E365" t="s">
        <v>1524</v>
      </c>
      <c r="F365" t="s">
        <v>282</v>
      </c>
      <c r="G365" t="s">
        <v>342</v>
      </c>
      <c r="H365" t="s">
        <v>347</v>
      </c>
      <c r="I365" s="87">
        <f t="shared" si="35"/>
        <v>2.9556650246305424E-2</v>
      </c>
      <c r="J365" s="87">
        <f t="shared" si="36"/>
        <v>0.82266009852216748</v>
      </c>
      <c r="K365" s="87">
        <f t="shared" si="37"/>
        <v>0.25862068965517243</v>
      </c>
      <c r="L365" s="87">
        <f t="shared" si="38"/>
        <v>1.5024630541871922</v>
      </c>
      <c r="M365" s="87">
        <f t="shared" si="39"/>
        <v>0.48522167487684736</v>
      </c>
      <c r="N365" s="87">
        <f t="shared" si="40"/>
        <v>2.4137931034482758</v>
      </c>
      <c r="O365" s="87">
        <f t="shared" si="41"/>
        <v>5.5123152709359609</v>
      </c>
    </row>
    <row r="366" spans="1:15" x14ac:dyDescent="0.3">
      <c r="A366" t="s">
        <v>9</v>
      </c>
      <c r="B366" t="s">
        <v>1067</v>
      </c>
      <c r="C366" s="16" t="s">
        <v>272</v>
      </c>
      <c r="D366" s="16">
        <v>3</v>
      </c>
      <c r="E366" t="s">
        <v>1524</v>
      </c>
      <c r="F366" t="s">
        <v>1658</v>
      </c>
      <c r="G366" t="s">
        <v>1568</v>
      </c>
      <c r="H366" t="s">
        <v>1571</v>
      </c>
      <c r="I366" s="87">
        <f t="shared" si="35"/>
        <v>2.9556650246305424E-2</v>
      </c>
      <c r="J366" s="87">
        <f t="shared" si="36"/>
        <v>0.17733990147783252</v>
      </c>
      <c r="K366" s="87">
        <f t="shared" si="37"/>
        <v>0.25862068965517243</v>
      </c>
      <c r="L366" s="87">
        <f t="shared" si="38"/>
        <v>2.5</v>
      </c>
      <c r="M366" s="87">
        <f t="shared" si="39"/>
        <v>0.4679802955665025</v>
      </c>
      <c r="N366" s="87">
        <f t="shared" si="40"/>
        <v>2.4630541871921183</v>
      </c>
      <c r="O366" s="87">
        <f t="shared" si="41"/>
        <v>5.8965517241379315</v>
      </c>
    </row>
    <row r="367" spans="1:15" x14ac:dyDescent="0.3">
      <c r="A367" t="s">
        <v>9</v>
      </c>
      <c r="B367" t="s">
        <v>1068</v>
      </c>
      <c r="C367" s="16" t="s">
        <v>272</v>
      </c>
      <c r="D367" s="16">
        <v>3</v>
      </c>
      <c r="E367" t="s">
        <v>1524</v>
      </c>
      <c r="F367" t="s">
        <v>1658</v>
      </c>
      <c r="G367" t="s">
        <v>1568</v>
      </c>
      <c r="H367" t="s">
        <v>1571</v>
      </c>
      <c r="I367" s="87">
        <f t="shared" si="35"/>
        <v>2.9556650246305424E-2</v>
      </c>
      <c r="J367" s="87">
        <f t="shared" si="36"/>
        <v>0.17733990147783252</v>
      </c>
      <c r="K367" s="87">
        <f t="shared" si="37"/>
        <v>0.25862068965517243</v>
      </c>
      <c r="L367" s="87">
        <f t="shared" si="38"/>
        <v>2.5</v>
      </c>
      <c r="M367" s="87">
        <f t="shared" si="39"/>
        <v>0.4679802955665025</v>
      </c>
      <c r="N367" s="87">
        <f t="shared" si="40"/>
        <v>2.4630541871921183</v>
      </c>
      <c r="O367" s="87">
        <f t="shared" si="41"/>
        <v>5.8965517241379315</v>
      </c>
    </row>
    <row r="368" spans="1:15" x14ac:dyDescent="0.3">
      <c r="A368" t="s">
        <v>9</v>
      </c>
      <c r="B368" t="s">
        <v>1069</v>
      </c>
      <c r="C368" s="16" t="s">
        <v>272</v>
      </c>
      <c r="D368" s="16">
        <v>3</v>
      </c>
      <c r="E368" t="s">
        <v>1524</v>
      </c>
      <c r="F368" t="s">
        <v>1658</v>
      </c>
      <c r="G368" t="s">
        <v>1568</v>
      </c>
      <c r="H368" t="s">
        <v>1571</v>
      </c>
      <c r="I368" s="87">
        <f t="shared" si="35"/>
        <v>2.9556650246305424E-2</v>
      </c>
      <c r="J368" s="87">
        <f t="shared" si="36"/>
        <v>0.17733990147783252</v>
      </c>
      <c r="K368" s="87">
        <f t="shared" si="37"/>
        <v>0.25862068965517243</v>
      </c>
      <c r="L368" s="87">
        <f t="shared" si="38"/>
        <v>2.5</v>
      </c>
      <c r="M368" s="87">
        <f t="shared" si="39"/>
        <v>0.4679802955665025</v>
      </c>
      <c r="N368" s="87">
        <f t="shared" si="40"/>
        <v>2.4630541871921183</v>
      </c>
      <c r="O368" s="87">
        <f t="shared" si="41"/>
        <v>5.8965517241379315</v>
      </c>
    </row>
    <row r="369" spans="1:15" x14ac:dyDescent="0.3">
      <c r="A369" t="s">
        <v>9</v>
      </c>
      <c r="B369" t="s">
        <v>1070</v>
      </c>
      <c r="C369" s="16" t="s">
        <v>272</v>
      </c>
      <c r="D369" s="16">
        <v>3</v>
      </c>
      <c r="E369" t="s">
        <v>1524</v>
      </c>
      <c r="F369" t="s">
        <v>1658</v>
      </c>
      <c r="G369" t="s">
        <v>1568</v>
      </c>
      <c r="H369" t="s">
        <v>1571</v>
      </c>
      <c r="I369" s="87">
        <f t="shared" si="35"/>
        <v>2.9556650246305424E-2</v>
      </c>
      <c r="J369" s="87">
        <f t="shared" si="36"/>
        <v>0.17733990147783252</v>
      </c>
      <c r="K369" s="87">
        <f t="shared" si="37"/>
        <v>0.25862068965517243</v>
      </c>
      <c r="L369" s="87">
        <f t="shared" si="38"/>
        <v>2.5</v>
      </c>
      <c r="M369" s="87">
        <f t="shared" si="39"/>
        <v>0.4679802955665025</v>
      </c>
      <c r="N369" s="87">
        <f t="shared" si="40"/>
        <v>2.4630541871921183</v>
      </c>
      <c r="O369" s="87">
        <f t="shared" si="41"/>
        <v>5.8965517241379315</v>
      </c>
    </row>
    <row r="370" spans="1:15" x14ac:dyDescent="0.3">
      <c r="A370" t="s">
        <v>9</v>
      </c>
      <c r="B370" t="s">
        <v>1071</v>
      </c>
      <c r="C370" s="16" t="s">
        <v>272</v>
      </c>
      <c r="D370" s="16">
        <v>3</v>
      </c>
      <c r="E370" t="s">
        <v>1524</v>
      </c>
      <c r="F370" t="s">
        <v>1658</v>
      </c>
      <c r="G370" t="s">
        <v>1568</v>
      </c>
      <c r="H370" t="s">
        <v>1571</v>
      </c>
      <c r="I370" s="87">
        <f t="shared" si="35"/>
        <v>2.9556650246305424E-2</v>
      </c>
      <c r="J370" s="87">
        <f t="shared" si="36"/>
        <v>0.17733990147783252</v>
      </c>
      <c r="K370" s="87">
        <f t="shared" si="37"/>
        <v>0.25862068965517243</v>
      </c>
      <c r="L370" s="87">
        <f t="shared" si="38"/>
        <v>2.5</v>
      </c>
      <c r="M370" s="87">
        <f t="shared" si="39"/>
        <v>0.4679802955665025</v>
      </c>
      <c r="N370" s="87">
        <f t="shared" si="40"/>
        <v>2.4630541871921183</v>
      </c>
      <c r="O370" s="87">
        <f t="shared" si="41"/>
        <v>5.8965517241379315</v>
      </c>
    </row>
    <row r="371" spans="1:15" x14ac:dyDescent="0.3">
      <c r="A371" t="s">
        <v>9</v>
      </c>
      <c r="B371" t="s">
        <v>1072</v>
      </c>
      <c r="C371" s="16" t="s">
        <v>272</v>
      </c>
      <c r="D371" s="16">
        <v>3</v>
      </c>
      <c r="E371" t="s">
        <v>1524</v>
      </c>
      <c r="F371" t="s">
        <v>1540</v>
      </c>
      <c r="G371" t="s">
        <v>1566</v>
      </c>
      <c r="H371" t="s">
        <v>344</v>
      </c>
      <c r="I371" s="87">
        <f t="shared" si="35"/>
        <v>2.9556650246305424E-2</v>
      </c>
      <c r="J371" s="87">
        <f t="shared" si="36"/>
        <v>0.17733990147783252</v>
      </c>
      <c r="K371" s="87">
        <f t="shared" si="37"/>
        <v>0.25862068965517243</v>
      </c>
      <c r="L371" s="87">
        <f t="shared" si="38"/>
        <v>2.3891625615763545</v>
      </c>
      <c r="M371" s="87">
        <f t="shared" si="39"/>
        <v>0.38669950738916259</v>
      </c>
      <c r="N371" s="87">
        <f t="shared" si="40"/>
        <v>1.2438423645320198</v>
      </c>
      <c r="O371" s="87">
        <f t="shared" si="41"/>
        <v>4.485221674876847</v>
      </c>
    </row>
    <row r="372" spans="1:15" x14ac:dyDescent="0.3">
      <c r="A372" t="s">
        <v>9</v>
      </c>
      <c r="B372" t="s">
        <v>1073</v>
      </c>
      <c r="C372" s="16" t="s">
        <v>272</v>
      </c>
      <c r="D372" s="16">
        <v>3</v>
      </c>
      <c r="E372" t="s">
        <v>1524</v>
      </c>
      <c r="F372" t="s">
        <v>1540</v>
      </c>
      <c r="G372" t="s">
        <v>1566</v>
      </c>
      <c r="H372" t="s">
        <v>1623</v>
      </c>
      <c r="I372" s="87">
        <f t="shared" si="35"/>
        <v>2.9556650246305424E-2</v>
      </c>
      <c r="J372" s="87">
        <f t="shared" si="36"/>
        <v>0.17733990147783252</v>
      </c>
      <c r="K372" s="87">
        <f t="shared" si="37"/>
        <v>0.25862068965517243</v>
      </c>
      <c r="L372" s="87">
        <f t="shared" si="38"/>
        <v>2.3891625615763545</v>
      </c>
      <c r="M372" s="87">
        <f t="shared" si="39"/>
        <v>0.38669950738916259</v>
      </c>
      <c r="N372" s="87">
        <f t="shared" si="40"/>
        <v>2.4630541871921183</v>
      </c>
      <c r="O372" s="87">
        <f t="shared" si="41"/>
        <v>5.7044334975369457</v>
      </c>
    </row>
    <row r="373" spans="1:15" x14ac:dyDescent="0.3">
      <c r="A373" t="s">
        <v>9</v>
      </c>
      <c r="B373" t="s">
        <v>1074</v>
      </c>
      <c r="C373" s="16" t="s">
        <v>272</v>
      </c>
      <c r="D373" s="16">
        <v>3</v>
      </c>
      <c r="E373" t="s">
        <v>1524</v>
      </c>
      <c r="F373" t="s">
        <v>1540</v>
      </c>
      <c r="G373" t="s">
        <v>1566</v>
      </c>
      <c r="H373" t="s">
        <v>1623</v>
      </c>
      <c r="I373" s="87">
        <f t="shared" si="35"/>
        <v>2.9556650246305424E-2</v>
      </c>
      <c r="J373" s="87">
        <f t="shared" si="36"/>
        <v>0.17733990147783252</v>
      </c>
      <c r="K373" s="87">
        <f t="shared" si="37"/>
        <v>0.25862068965517243</v>
      </c>
      <c r="L373" s="87">
        <f t="shared" si="38"/>
        <v>2.3891625615763545</v>
      </c>
      <c r="M373" s="87">
        <f t="shared" si="39"/>
        <v>0.38669950738916259</v>
      </c>
      <c r="N373" s="87">
        <f t="shared" si="40"/>
        <v>2.4630541871921183</v>
      </c>
      <c r="O373" s="87">
        <f t="shared" si="41"/>
        <v>5.7044334975369457</v>
      </c>
    </row>
    <row r="374" spans="1:15" x14ac:dyDescent="0.3">
      <c r="A374" t="s">
        <v>9</v>
      </c>
      <c r="B374" t="s">
        <v>1075</v>
      </c>
      <c r="C374" s="16" t="s">
        <v>272</v>
      </c>
      <c r="D374" s="16">
        <v>3</v>
      </c>
      <c r="E374" t="s">
        <v>1524</v>
      </c>
      <c r="F374" t="s">
        <v>1650</v>
      </c>
      <c r="G374" t="s">
        <v>1566</v>
      </c>
      <c r="H374" t="s">
        <v>1623</v>
      </c>
      <c r="I374" s="87">
        <f t="shared" si="35"/>
        <v>2.9556650246305424E-2</v>
      </c>
      <c r="J374" s="87">
        <f t="shared" si="36"/>
        <v>0.17733990147783252</v>
      </c>
      <c r="K374" s="87">
        <f t="shared" si="37"/>
        <v>0.25862068965517243</v>
      </c>
      <c r="L374" s="87">
        <f t="shared" si="38"/>
        <v>2.4753694581280787</v>
      </c>
      <c r="M374" s="87">
        <f t="shared" si="39"/>
        <v>0.38669950738916259</v>
      </c>
      <c r="N374" s="87">
        <f t="shared" si="40"/>
        <v>2.4630541871921183</v>
      </c>
      <c r="O374" s="87">
        <f t="shared" si="41"/>
        <v>5.7906403940886699</v>
      </c>
    </row>
    <row r="375" spans="1:15" x14ac:dyDescent="0.3">
      <c r="A375" t="s">
        <v>9</v>
      </c>
      <c r="B375" t="s">
        <v>1076</v>
      </c>
      <c r="C375" s="16" t="s">
        <v>272</v>
      </c>
      <c r="D375" s="16">
        <v>3</v>
      </c>
      <c r="E375" t="s">
        <v>1524</v>
      </c>
      <c r="F375" t="s">
        <v>1540</v>
      </c>
      <c r="G375" t="s">
        <v>1566</v>
      </c>
      <c r="H375" t="s">
        <v>344</v>
      </c>
      <c r="I375" s="87">
        <f t="shared" si="35"/>
        <v>2.9556650246305424E-2</v>
      </c>
      <c r="J375" s="87">
        <f t="shared" si="36"/>
        <v>0.17733990147783252</v>
      </c>
      <c r="K375" s="87">
        <f t="shared" si="37"/>
        <v>0.25862068965517243</v>
      </c>
      <c r="L375" s="87">
        <f t="shared" si="38"/>
        <v>2.3891625615763545</v>
      </c>
      <c r="M375" s="87">
        <f t="shared" si="39"/>
        <v>0.38669950738916259</v>
      </c>
      <c r="N375" s="87">
        <f t="shared" si="40"/>
        <v>1.2438423645320198</v>
      </c>
      <c r="O375" s="87">
        <f t="shared" si="41"/>
        <v>4.485221674876847</v>
      </c>
    </row>
    <row r="376" spans="1:15" x14ac:dyDescent="0.3">
      <c r="A376" t="s">
        <v>9</v>
      </c>
      <c r="B376" t="s">
        <v>1077</v>
      </c>
      <c r="C376" s="16" t="s">
        <v>272</v>
      </c>
      <c r="D376" s="16">
        <v>3</v>
      </c>
      <c r="E376" t="s">
        <v>1524</v>
      </c>
      <c r="F376" t="s">
        <v>1540</v>
      </c>
      <c r="G376" t="s">
        <v>1566</v>
      </c>
      <c r="H376" t="s">
        <v>344</v>
      </c>
      <c r="I376" s="87">
        <f t="shared" si="35"/>
        <v>2.9556650246305424E-2</v>
      </c>
      <c r="J376" s="87">
        <f t="shared" si="36"/>
        <v>0.17733990147783252</v>
      </c>
      <c r="K376" s="87">
        <f t="shared" si="37"/>
        <v>0.25862068965517243</v>
      </c>
      <c r="L376" s="87">
        <f t="shared" si="38"/>
        <v>2.3891625615763545</v>
      </c>
      <c r="M376" s="87">
        <f t="shared" si="39"/>
        <v>0.38669950738916259</v>
      </c>
      <c r="N376" s="87">
        <f t="shared" si="40"/>
        <v>1.2438423645320198</v>
      </c>
      <c r="O376" s="87">
        <f t="shared" si="41"/>
        <v>4.485221674876847</v>
      </c>
    </row>
    <row r="377" spans="1:15" x14ac:dyDescent="0.3">
      <c r="A377" t="s">
        <v>9</v>
      </c>
      <c r="B377" t="s">
        <v>1078</v>
      </c>
      <c r="C377" s="16" t="s">
        <v>272</v>
      </c>
      <c r="D377" s="16">
        <v>3</v>
      </c>
      <c r="E377" t="s">
        <v>1524</v>
      </c>
      <c r="F377" t="s">
        <v>282</v>
      </c>
      <c r="G377" t="s">
        <v>1567</v>
      </c>
      <c r="H377" t="s">
        <v>345</v>
      </c>
      <c r="I377" s="87">
        <f t="shared" si="35"/>
        <v>2.9556650246305424E-2</v>
      </c>
      <c r="J377" s="87">
        <f t="shared" si="36"/>
        <v>0.17733990147783252</v>
      </c>
      <c r="K377" s="87">
        <f t="shared" si="37"/>
        <v>0.25862068965517243</v>
      </c>
      <c r="L377" s="87">
        <f t="shared" si="38"/>
        <v>1.5024630541871922</v>
      </c>
      <c r="M377" s="87">
        <f t="shared" si="39"/>
        <v>0.21921182266009853</v>
      </c>
      <c r="N377" s="87">
        <f t="shared" si="40"/>
        <v>2.2536945812807883</v>
      </c>
      <c r="O377" s="87">
        <f t="shared" si="41"/>
        <v>4.4408866995073897</v>
      </c>
    </row>
    <row r="378" spans="1:15" x14ac:dyDescent="0.3">
      <c r="A378" t="s">
        <v>9</v>
      </c>
      <c r="B378" t="s">
        <v>1079</v>
      </c>
      <c r="C378" s="16" t="s">
        <v>272</v>
      </c>
      <c r="D378" s="16">
        <v>3</v>
      </c>
      <c r="E378" t="s">
        <v>1524</v>
      </c>
      <c r="F378" t="s">
        <v>282</v>
      </c>
      <c r="G378" t="s">
        <v>1567</v>
      </c>
      <c r="H378" t="s">
        <v>345</v>
      </c>
      <c r="I378" s="87">
        <f t="shared" si="35"/>
        <v>2.9556650246305424E-2</v>
      </c>
      <c r="J378" s="87">
        <f t="shared" si="36"/>
        <v>0.17733990147783252</v>
      </c>
      <c r="K378" s="87">
        <f t="shared" si="37"/>
        <v>0.25862068965517243</v>
      </c>
      <c r="L378" s="87">
        <f t="shared" si="38"/>
        <v>1.5024630541871922</v>
      </c>
      <c r="M378" s="87">
        <f t="shared" si="39"/>
        <v>0.21921182266009853</v>
      </c>
      <c r="N378" s="87">
        <f t="shared" si="40"/>
        <v>2.2536945812807883</v>
      </c>
      <c r="O378" s="87">
        <f t="shared" si="41"/>
        <v>4.4408866995073897</v>
      </c>
    </row>
    <row r="379" spans="1:15" x14ac:dyDescent="0.3">
      <c r="A379" t="s">
        <v>9</v>
      </c>
      <c r="B379" t="s">
        <v>1080</v>
      </c>
      <c r="C379" s="16" t="s">
        <v>272</v>
      </c>
      <c r="D379" s="16">
        <v>3</v>
      </c>
      <c r="E379" t="s">
        <v>1524</v>
      </c>
      <c r="F379" t="s">
        <v>282</v>
      </c>
      <c r="G379" t="s">
        <v>1567</v>
      </c>
      <c r="H379" t="s">
        <v>345</v>
      </c>
      <c r="I379" s="87">
        <f t="shared" si="35"/>
        <v>2.9556650246305424E-2</v>
      </c>
      <c r="J379" s="87">
        <f t="shared" si="36"/>
        <v>0.17733990147783252</v>
      </c>
      <c r="K379" s="87">
        <f t="shared" si="37"/>
        <v>0.25862068965517243</v>
      </c>
      <c r="L379" s="87">
        <f t="shared" si="38"/>
        <v>1.5024630541871922</v>
      </c>
      <c r="M379" s="87">
        <f t="shared" si="39"/>
        <v>0.21921182266009853</v>
      </c>
      <c r="N379" s="87">
        <f t="shared" si="40"/>
        <v>2.2536945812807883</v>
      </c>
      <c r="O379" s="87">
        <f t="shared" si="41"/>
        <v>4.4408866995073897</v>
      </c>
    </row>
    <row r="380" spans="1:15" x14ac:dyDescent="0.3">
      <c r="A380" t="s">
        <v>9</v>
      </c>
      <c r="B380" t="s">
        <v>1081</v>
      </c>
      <c r="C380" s="16" t="s">
        <v>272</v>
      </c>
      <c r="D380" s="16">
        <v>2</v>
      </c>
      <c r="E380" t="s">
        <v>1524</v>
      </c>
      <c r="F380" t="s">
        <v>282</v>
      </c>
      <c r="G380" t="s">
        <v>341</v>
      </c>
      <c r="H380" t="s">
        <v>345</v>
      </c>
      <c r="I380" s="87">
        <f t="shared" si="35"/>
        <v>2.9556650246305424E-2</v>
      </c>
      <c r="J380" s="87">
        <f t="shared" si="36"/>
        <v>0.82266009852216748</v>
      </c>
      <c r="K380" s="87">
        <f t="shared" si="37"/>
        <v>0.25862068965517243</v>
      </c>
      <c r="L380" s="87">
        <f t="shared" si="38"/>
        <v>1.5024630541871922</v>
      </c>
      <c r="M380" s="87">
        <f t="shared" si="39"/>
        <v>0.4605911330049261</v>
      </c>
      <c r="N380" s="87">
        <f t="shared" si="40"/>
        <v>2.2536945812807883</v>
      </c>
      <c r="O380" s="87">
        <f t="shared" si="41"/>
        <v>5.3275862068965516</v>
      </c>
    </row>
    <row r="381" spans="1:15" x14ac:dyDescent="0.3">
      <c r="A381" t="s">
        <v>9</v>
      </c>
      <c r="B381" t="s">
        <v>1082</v>
      </c>
      <c r="C381" s="16" t="s">
        <v>272</v>
      </c>
      <c r="D381" s="16">
        <v>3</v>
      </c>
      <c r="E381" t="s">
        <v>1524</v>
      </c>
      <c r="F381" t="s">
        <v>282</v>
      </c>
      <c r="G381" t="s">
        <v>1566</v>
      </c>
      <c r="H381" t="s">
        <v>344</v>
      </c>
      <c r="I381" s="87">
        <f t="shared" si="35"/>
        <v>2.9556650246305424E-2</v>
      </c>
      <c r="J381" s="87">
        <f t="shared" si="36"/>
        <v>0.17733990147783252</v>
      </c>
      <c r="K381" s="87">
        <f t="shared" si="37"/>
        <v>0.25862068965517243</v>
      </c>
      <c r="L381" s="87">
        <f t="shared" si="38"/>
        <v>1.5024630541871922</v>
      </c>
      <c r="M381" s="87">
        <f t="shared" si="39"/>
        <v>0.38669950738916259</v>
      </c>
      <c r="N381" s="87">
        <f t="shared" si="40"/>
        <v>1.2438423645320198</v>
      </c>
      <c r="O381" s="87">
        <f t="shared" si="41"/>
        <v>3.5985221674876851</v>
      </c>
    </row>
    <row r="382" spans="1:15" x14ac:dyDescent="0.3">
      <c r="A382" t="s">
        <v>9</v>
      </c>
      <c r="B382" t="s">
        <v>1083</v>
      </c>
      <c r="C382" s="16" t="s">
        <v>272</v>
      </c>
      <c r="D382" s="16">
        <v>2</v>
      </c>
      <c r="E382" t="s">
        <v>1524</v>
      </c>
      <c r="F382" t="s">
        <v>282</v>
      </c>
      <c r="G382" t="s">
        <v>341</v>
      </c>
      <c r="H382" t="s">
        <v>345</v>
      </c>
      <c r="I382" s="87">
        <f t="shared" si="35"/>
        <v>2.9556650246305424E-2</v>
      </c>
      <c r="J382" s="87">
        <f t="shared" si="36"/>
        <v>0.82266009852216748</v>
      </c>
      <c r="K382" s="87">
        <f t="shared" si="37"/>
        <v>0.25862068965517243</v>
      </c>
      <c r="L382" s="87">
        <f t="shared" si="38"/>
        <v>1.5024630541871922</v>
      </c>
      <c r="M382" s="87">
        <f t="shared" si="39"/>
        <v>0.4605911330049261</v>
      </c>
      <c r="N382" s="87">
        <f t="shared" si="40"/>
        <v>2.2536945812807883</v>
      </c>
      <c r="O382" s="87">
        <f t="shared" si="41"/>
        <v>5.3275862068965516</v>
      </c>
    </row>
    <row r="383" spans="1:15" x14ac:dyDescent="0.3">
      <c r="A383" t="s">
        <v>9</v>
      </c>
      <c r="B383" t="s">
        <v>1084</v>
      </c>
      <c r="C383" s="16" t="s">
        <v>272</v>
      </c>
      <c r="D383" s="16">
        <v>3</v>
      </c>
      <c r="E383" t="s">
        <v>1524</v>
      </c>
      <c r="F383" t="s">
        <v>282</v>
      </c>
      <c r="G383" t="s">
        <v>1567</v>
      </c>
      <c r="H383" t="s">
        <v>344</v>
      </c>
      <c r="I383" s="87">
        <f t="shared" si="35"/>
        <v>2.9556650246305424E-2</v>
      </c>
      <c r="J383" s="87">
        <f t="shared" si="36"/>
        <v>0.17733990147783252</v>
      </c>
      <c r="K383" s="87">
        <f t="shared" si="37"/>
        <v>0.25862068965517243</v>
      </c>
      <c r="L383" s="87">
        <f t="shared" si="38"/>
        <v>1.5024630541871922</v>
      </c>
      <c r="M383" s="87">
        <f t="shared" si="39"/>
        <v>0.21921182266009853</v>
      </c>
      <c r="N383" s="87">
        <f t="shared" si="40"/>
        <v>1.2438423645320198</v>
      </c>
      <c r="O383" s="87">
        <f t="shared" si="41"/>
        <v>3.431034482758621</v>
      </c>
    </row>
    <row r="384" spans="1:15" x14ac:dyDescent="0.3">
      <c r="A384" t="s">
        <v>9</v>
      </c>
      <c r="B384" t="s">
        <v>1085</v>
      </c>
      <c r="C384" s="16" t="s">
        <v>272</v>
      </c>
      <c r="D384" s="16">
        <v>2</v>
      </c>
      <c r="E384" t="s">
        <v>1524</v>
      </c>
      <c r="F384" t="s">
        <v>282</v>
      </c>
      <c r="G384" t="s">
        <v>341</v>
      </c>
      <c r="H384" t="s">
        <v>345</v>
      </c>
      <c r="I384" s="87">
        <f t="shared" si="35"/>
        <v>2.9556650246305424E-2</v>
      </c>
      <c r="J384" s="87">
        <f t="shared" si="36"/>
        <v>0.82266009852216748</v>
      </c>
      <c r="K384" s="87">
        <f t="shared" si="37"/>
        <v>0.25862068965517243</v>
      </c>
      <c r="L384" s="87">
        <f t="shared" si="38"/>
        <v>1.5024630541871922</v>
      </c>
      <c r="M384" s="87">
        <f t="shared" si="39"/>
        <v>0.4605911330049261</v>
      </c>
      <c r="N384" s="87">
        <f t="shared" si="40"/>
        <v>2.2536945812807883</v>
      </c>
      <c r="O384" s="87">
        <f t="shared" si="41"/>
        <v>5.3275862068965516</v>
      </c>
    </row>
    <row r="385" spans="1:15" x14ac:dyDescent="0.3">
      <c r="A385" t="s">
        <v>9</v>
      </c>
      <c r="B385" t="s">
        <v>1086</v>
      </c>
      <c r="C385" s="16" t="s">
        <v>272</v>
      </c>
      <c r="D385" s="16">
        <v>3</v>
      </c>
      <c r="E385" t="s">
        <v>1524</v>
      </c>
      <c r="F385" t="s">
        <v>282</v>
      </c>
      <c r="G385" t="s">
        <v>1566</v>
      </c>
      <c r="H385" t="s">
        <v>344</v>
      </c>
      <c r="I385" s="87">
        <f t="shared" si="35"/>
        <v>2.9556650246305424E-2</v>
      </c>
      <c r="J385" s="87">
        <f t="shared" si="36"/>
        <v>0.17733990147783252</v>
      </c>
      <c r="K385" s="87">
        <f t="shared" si="37"/>
        <v>0.25862068965517243</v>
      </c>
      <c r="L385" s="87">
        <f t="shared" si="38"/>
        <v>1.5024630541871922</v>
      </c>
      <c r="M385" s="87">
        <f t="shared" si="39"/>
        <v>0.38669950738916259</v>
      </c>
      <c r="N385" s="87">
        <f t="shared" si="40"/>
        <v>1.2438423645320198</v>
      </c>
      <c r="O385" s="87">
        <f t="shared" si="41"/>
        <v>3.5985221674876851</v>
      </c>
    </row>
    <row r="386" spans="1:15" x14ac:dyDescent="0.3">
      <c r="A386" t="s">
        <v>9</v>
      </c>
      <c r="B386" t="s">
        <v>1087</v>
      </c>
      <c r="C386" s="16" t="s">
        <v>272</v>
      </c>
      <c r="D386" s="16">
        <v>3</v>
      </c>
      <c r="E386" t="s">
        <v>1524</v>
      </c>
      <c r="F386" t="s">
        <v>282</v>
      </c>
      <c r="G386" t="s">
        <v>1566</v>
      </c>
      <c r="H386" t="s">
        <v>1570</v>
      </c>
      <c r="I386" s="87">
        <f t="shared" si="35"/>
        <v>2.9556650246305424E-2</v>
      </c>
      <c r="J386" s="87">
        <f t="shared" si="36"/>
        <v>0.17733990147783252</v>
      </c>
      <c r="K386" s="87">
        <f t="shared" si="37"/>
        <v>0.25862068965517243</v>
      </c>
      <c r="L386" s="87">
        <f t="shared" si="38"/>
        <v>1.5024630541871922</v>
      </c>
      <c r="M386" s="87">
        <f t="shared" si="39"/>
        <v>0.38669950738916259</v>
      </c>
      <c r="N386" s="87">
        <f t="shared" si="40"/>
        <v>2.3645320197044337</v>
      </c>
      <c r="O386" s="87">
        <f t="shared" si="41"/>
        <v>4.7192118226600996</v>
      </c>
    </row>
    <row r="387" spans="1:15" x14ac:dyDescent="0.3">
      <c r="A387" t="s">
        <v>9</v>
      </c>
      <c r="B387" t="s">
        <v>1088</v>
      </c>
      <c r="C387" s="16" t="s">
        <v>272</v>
      </c>
      <c r="D387" s="16">
        <v>3</v>
      </c>
      <c r="E387" t="s">
        <v>1524</v>
      </c>
      <c r="F387" t="s">
        <v>282</v>
      </c>
      <c r="G387" t="s">
        <v>1566</v>
      </c>
      <c r="H387" t="s">
        <v>1570</v>
      </c>
      <c r="I387" s="87">
        <f t="shared" si="35"/>
        <v>2.9556650246305424E-2</v>
      </c>
      <c r="J387" s="87">
        <f t="shared" si="36"/>
        <v>0.17733990147783252</v>
      </c>
      <c r="K387" s="87">
        <f t="shared" si="37"/>
        <v>0.25862068965517243</v>
      </c>
      <c r="L387" s="87">
        <f t="shared" si="38"/>
        <v>1.5024630541871922</v>
      </c>
      <c r="M387" s="87">
        <f t="shared" si="39"/>
        <v>0.38669950738916259</v>
      </c>
      <c r="N387" s="87">
        <f t="shared" si="40"/>
        <v>2.3645320197044337</v>
      </c>
      <c r="O387" s="87">
        <f t="shared" si="41"/>
        <v>4.7192118226600996</v>
      </c>
    </row>
    <row r="388" spans="1:15" x14ac:dyDescent="0.3">
      <c r="A388" t="s">
        <v>43</v>
      </c>
      <c r="B388" t="s">
        <v>1089</v>
      </c>
      <c r="C388" s="16" t="s">
        <v>272</v>
      </c>
      <c r="D388" s="16">
        <v>3</v>
      </c>
      <c r="E388" t="s">
        <v>1524</v>
      </c>
      <c r="F388" t="s">
        <v>1555</v>
      </c>
      <c r="G388" t="s">
        <v>1566</v>
      </c>
      <c r="H388" t="s">
        <v>1570</v>
      </c>
      <c r="I388" s="87">
        <f t="shared" ref="I388:I451" si="42">VLOOKUP(C388,$R$3:$T$4,3,0)*T$1</f>
        <v>2.9556650246305424E-2</v>
      </c>
      <c r="J388" s="87">
        <f t="shared" ref="J388:J451" si="43">VLOOKUP(D388,$U$3:$W$4,3,0)*W$1</f>
        <v>0.17733990147783252</v>
      </c>
      <c r="K388" s="87">
        <f t="shared" ref="K388:K451" si="44">VLOOKUP(E388,$X$3:$Z$8,3,0)*Z$1</f>
        <v>0.25862068965517243</v>
      </c>
      <c r="L388" s="87">
        <f t="shared" ref="L388:L451" si="45">VLOOKUP(F388,$AA$3:$AC$32,3,0)*AC$1</f>
        <v>2.3891625615763545</v>
      </c>
      <c r="M388" s="87">
        <f t="shared" ref="M388:M451" si="46">VLOOKUP(G388,$AD$3:$AF$10,3,0)*AF$1</f>
        <v>0.38669950738916259</v>
      </c>
      <c r="N388" s="87">
        <f t="shared" ref="N388:N451" si="47">VLOOKUP(H388,$AG$3:$AI$19,3,0)*AI$1</f>
        <v>2.3645320197044337</v>
      </c>
      <c r="O388" s="87">
        <f t="shared" ref="O388:O451" si="48">SUM(I388:N388)</f>
        <v>5.6059113300492616</v>
      </c>
    </row>
    <row r="389" spans="1:15" x14ac:dyDescent="0.3">
      <c r="A389" t="s">
        <v>43</v>
      </c>
      <c r="B389" t="s">
        <v>1090</v>
      </c>
      <c r="C389" s="16" t="s">
        <v>272</v>
      </c>
      <c r="D389" s="16">
        <v>3</v>
      </c>
      <c r="E389" t="s">
        <v>1524</v>
      </c>
      <c r="F389" t="s">
        <v>1555</v>
      </c>
      <c r="G389" t="s">
        <v>1566</v>
      </c>
      <c r="H389" t="s">
        <v>1570</v>
      </c>
      <c r="I389" s="87">
        <f t="shared" si="42"/>
        <v>2.9556650246305424E-2</v>
      </c>
      <c r="J389" s="87">
        <f t="shared" si="43"/>
        <v>0.17733990147783252</v>
      </c>
      <c r="K389" s="87">
        <f t="shared" si="44"/>
        <v>0.25862068965517243</v>
      </c>
      <c r="L389" s="87">
        <f t="shared" si="45"/>
        <v>2.3891625615763545</v>
      </c>
      <c r="M389" s="87">
        <f t="shared" si="46"/>
        <v>0.38669950738916259</v>
      </c>
      <c r="N389" s="87">
        <f t="shared" si="47"/>
        <v>2.3645320197044337</v>
      </c>
      <c r="O389" s="87">
        <f t="shared" si="48"/>
        <v>5.6059113300492616</v>
      </c>
    </row>
    <row r="390" spans="1:15" x14ac:dyDescent="0.3">
      <c r="A390" t="s">
        <v>43</v>
      </c>
      <c r="B390" t="s">
        <v>1091</v>
      </c>
      <c r="C390" s="16" t="s">
        <v>272</v>
      </c>
      <c r="D390" s="16">
        <v>3</v>
      </c>
      <c r="E390" t="s">
        <v>1524</v>
      </c>
      <c r="F390" t="s">
        <v>1555</v>
      </c>
      <c r="G390" t="s">
        <v>343</v>
      </c>
      <c r="H390" t="s">
        <v>291</v>
      </c>
      <c r="I390" s="87">
        <f t="shared" si="42"/>
        <v>2.9556650246305424E-2</v>
      </c>
      <c r="J390" s="87">
        <f t="shared" si="43"/>
        <v>0.17733990147783252</v>
      </c>
      <c r="K390" s="87">
        <f t="shared" si="44"/>
        <v>0.25862068965517243</v>
      </c>
      <c r="L390" s="87">
        <f t="shared" si="45"/>
        <v>2.3891625615763545</v>
      </c>
      <c r="M390" s="87">
        <f t="shared" si="46"/>
        <v>0.48522167487684736</v>
      </c>
      <c r="N390" s="87">
        <f t="shared" si="47"/>
        <v>2.2906403940886699</v>
      </c>
      <c r="O390" s="87">
        <f t="shared" si="48"/>
        <v>5.6305418719211824</v>
      </c>
    </row>
    <row r="391" spans="1:15" x14ac:dyDescent="0.3">
      <c r="A391" t="s">
        <v>43</v>
      </c>
      <c r="B391" t="s">
        <v>1092</v>
      </c>
      <c r="C391" s="16" t="s">
        <v>272</v>
      </c>
      <c r="D391" s="16">
        <v>3</v>
      </c>
      <c r="E391" t="s">
        <v>1524</v>
      </c>
      <c r="F391" t="s">
        <v>282</v>
      </c>
      <c r="G391" t="s">
        <v>1567</v>
      </c>
      <c r="H391" t="s">
        <v>345</v>
      </c>
      <c r="I391" s="87">
        <f t="shared" si="42"/>
        <v>2.9556650246305424E-2</v>
      </c>
      <c r="J391" s="87">
        <f t="shared" si="43"/>
        <v>0.17733990147783252</v>
      </c>
      <c r="K391" s="87">
        <f t="shared" si="44"/>
        <v>0.25862068965517243</v>
      </c>
      <c r="L391" s="87">
        <f t="shared" si="45"/>
        <v>1.5024630541871922</v>
      </c>
      <c r="M391" s="87">
        <f t="shared" si="46"/>
        <v>0.21921182266009853</v>
      </c>
      <c r="N391" s="87">
        <f t="shared" si="47"/>
        <v>2.2536945812807883</v>
      </c>
      <c r="O391" s="87">
        <f t="shared" si="48"/>
        <v>4.4408866995073897</v>
      </c>
    </row>
    <row r="392" spans="1:15" x14ac:dyDescent="0.3">
      <c r="A392" t="s">
        <v>43</v>
      </c>
      <c r="B392" t="s">
        <v>1093</v>
      </c>
      <c r="C392" s="16" t="s">
        <v>272</v>
      </c>
      <c r="D392" s="16">
        <v>3</v>
      </c>
      <c r="E392" t="s">
        <v>1524</v>
      </c>
      <c r="F392" t="s">
        <v>282</v>
      </c>
      <c r="G392" t="s">
        <v>343</v>
      </c>
      <c r="H392" t="s">
        <v>348</v>
      </c>
      <c r="I392" s="87">
        <f t="shared" si="42"/>
        <v>2.9556650246305424E-2</v>
      </c>
      <c r="J392" s="87">
        <f t="shared" si="43"/>
        <v>0.17733990147783252</v>
      </c>
      <c r="K392" s="87">
        <f t="shared" si="44"/>
        <v>0.25862068965517243</v>
      </c>
      <c r="L392" s="87">
        <f t="shared" si="45"/>
        <v>1.5024630541871922</v>
      </c>
      <c r="M392" s="87">
        <f t="shared" si="46"/>
        <v>0.48522167487684736</v>
      </c>
      <c r="N392" s="87">
        <f t="shared" si="47"/>
        <v>2.4753694581280787</v>
      </c>
      <c r="O392" s="87">
        <f t="shared" si="48"/>
        <v>4.9285714285714288</v>
      </c>
    </row>
    <row r="393" spans="1:15" x14ac:dyDescent="0.3">
      <c r="A393" t="s">
        <v>43</v>
      </c>
      <c r="B393" t="s">
        <v>1094</v>
      </c>
      <c r="C393" s="16" t="s">
        <v>272</v>
      </c>
      <c r="D393" s="16">
        <v>3</v>
      </c>
      <c r="E393" t="s">
        <v>1524</v>
      </c>
      <c r="F393" t="s">
        <v>1555</v>
      </c>
      <c r="G393" t="s">
        <v>1567</v>
      </c>
      <c r="H393" t="s">
        <v>344</v>
      </c>
      <c r="I393" s="87">
        <f t="shared" si="42"/>
        <v>2.9556650246305424E-2</v>
      </c>
      <c r="J393" s="87">
        <f t="shared" si="43"/>
        <v>0.17733990147783252</v>
      </c>
      <c r="K393" s="87">
        <f t="shared" si="44"/>
        <v>0.25862068965517243</v>
      </c>
      <c r="L393" s="87">
        <f t="shared" si="45"/>
        <v>2.3891625615763545</v>
      </c>
      <c r="M393" s="87">
        <f t="shared" si="46"/>
        <v>0.21921182266009853</v>
      </c>
      <c r="N393" s="87">
        <f t="shared" si="47"/>
        <v>1.2438423645320198</v>
      </c>
      <c r="O393" s="87">
        <f t="shared" si="48"/>
        <v>4.3177339901477829</v>
      </c>
    </row>
    <row r="394" spans="1:15" x14ac:dyDescent="0.3">
      <c r="A394" t="s">
        <v>43</v>
      </c>
      <c r="B394" t="s">
        <v>1095</v>
      </c>
      <c r="C394" s="16" t="s">
        <v>272</v>
      </c>
      <c r="D394" s="16">
        <v>3</v>
      </c>
      <c r="E394" t="s">
        <v>1524</v>
      </c>
      <c r="F394" t="s">
        <v>282</v>
      </c>
      <c r="G394" t="s">
        <v>1567</v>
      </c>
      <c r="H394" t="s">
        <v>345</v>
      </c>
      <c r="I394" s="87">
        <f t="shared" si="42"/>
        <v>2.9556650246305424E-2</v>
      </c>
      <c r="J394" s="87">
        <f t="shared" si="43"/>
        <v>0.17733990147783252</v>
      </c>
      <c r="K394" s="87">
        <f t="shared" si="44"/>
        <v>0.25862068965517243</v>
      </c>
      <c r="L394" s="87">
        <f t="shared" si="45"/>
        <v>1.5024630541871922</v>
      </c>
      <c r="M394" s="87">
        <f t="shared" si="46"/>
        <v>0.21921182266009853</v>
      </c>
      <c r="N394" s="87">
        <f t="shared" si="47"/>
        <v>2.2536945812807883</v>
      </c>
      <c r="O394" s="87">
        <f t="shared" si="48"/>
        <v>4.4408866995073897</v>
      </c>
    </row>
    <row r="395" spans="1:15" x14ac:dyDescent="0.3">
      <c r="A395" t="s">
        <v>43</v>
      </c>
      <c r="B395" t="s">
        <v>1096</v>
      </c>
      <c r="C395" s="16" t="s">
        <v>272</v>
      </c>
      <c r="D395" s="16">
        <v>3</v>
      </c>
      <c r="E395" t="s">
        <v>1524</v>
      </c>
      <c r="F395" t="s">
        <v>282</v>
      </c>
      <c r="G395" t="s">
        <v>1566</v>
      </c>
      <c r="H395" t="s">
        <v>1574</v>
      </c>
      <c r="I395" s="87">
        <f t="shared" si="42"/>
        <v>2.9556650246305424E-2</v>
      </c>
      <c r="J395" s="87">
        <f t="shared" si="43"/>
        <v>0.17733990147783252</v>
      </c>
      <c r="K395" s="87">
        <f t="shared" si="44"/>
        <v>0.25862068965517243</v>
      </c>
      <c r="L395" s="87">
        <f t="shared" si="45"/>
        <v>1.5024630541871922</v>
      </c>
      <c r="M395" s="87">
        <f t="shared" si="46"/>
        <v>0.38669950738916259</v>
      </c>
      <c r="N395" s="87">
        <f t="shared" si="47"/>
        <v>2.3522167487684729</v>
      </c>
      <c r="O395" s="87">
        <f t="shared" si="48"/>
        <v>4.7068965517241388</v>
      </c>
    </row>
    <row r="396" spans="1:15" x14ac:dyDescent="0.3">
      <c r="A396" t="s">
        <v>43</v>
      </c>
      <c r="B396" t="s">
        <v>1097</v>
      </c>
      <c r="C396" s="16" t="s">
        <v>272</v>
      </c>
      <c r="D396" s="16">
        <v>3</v>
      </c>
      <c r="E396" t="s">
        <v>1524</v>
      </c>
      <c r="F396" t="s">
        <v>282</v>
      </c>
      <c r="G396" t="s">
        <v>1566</v>
      </c>
      <c r="H396" t="s">
        <v>344</v>
      </c>
      <c r="I396" s="87">
        <f t="shared" si="42"/>
        <v>2.9556650246305424E-2</v>
      </c>
      <c r="J396" s="87">
        <f t="shared" si="43"/>
        <v>0.17733990147783252</v>
      </c>
      <c r="K396" s="87">
        <f t="shared" si="44"/>
        <v>0.25862068965517243</v>
      </c>
      <c r="L396" s="87">
        <f t="shared" si="45"/>
        <v>1.5024630541871922</v>
      </c>
      <c r="M396" s="87">
        <f t="shared" si="46"/>
        <v>0.38669950738916259</v>
      </c>
      <c r="N396" s="87">
        <f t="shared" si="47"/>
        <v>1.2438423645320198</v>
      </c>
      <c r="O396" s="87">
        <f t="shared" si="48"/>
        <v>3.5985221674876851</v>
      </c>
    </row>
    <row r="397" spans="1:15" x14ac:dyDescent="0.3">
      <c r="A397" t="s">
        <v>43</v>
      </c>
      <c r="B397" t="s">
        <v>1098</v>
      </c>
      <c r="C397" s="16" t="s">
        <v>272</v>
      </c>
      <c r="D397" s="16">
        <v>3</v>
      </c>
      <c r="E397" t="s">
        <v>1524</v>
      </c>
      <c r="F397" t="s">
        <v>1551</v>
      </c>
      <c r="G397" t="s">
        <v>1567</v>
      </c>
      <c r="H397" t="s">
        <v>344</v>
      </c>
      <c r="I397" s="87">
        <f t="shared" si="42"/>
        <v>2.9556650246305424E-2</v>
      </c>
      <c r="J397" s="87">
        <f t="shared" si="43"/>
        <v>0.17733990147783252</v>
      </c>
      <c r="K397" s="87">
        <f t="shared" si="44"/>
        <v>0.25862068965517243</v>
      </c>
      <c r="L397" s="87">
        <f t="shared" si="45"/>
        <v>2.4876847290640396</v>
      </c>
      <c r="M397" s="87">
        <f t="shared" si="46"/>
        <v>0.21921182266009853</v>
      </c>
      <c r="N397" s="87">
        <f t="shared" si="47"/>
        <v>1.2438423645320198</v>
      </c>
      <c r="O397" s="87">
        <f t="shared" si="48"/>
        <v>4.416256157635468</v>
      </c>
    </row>
    <row r="398" spans="1:15" x14ac:dyDescent="0.3">
      <c r="A398" t="s">
        <v>43</v>
      </c>
      <c r="B398" t="s">
        <v>1099</v>
      </c>
      <c r="C398" s="16" t="s">
        <v>272</v>
      </c>
      <c r="D398" s="16">
        <v>2</v>
      </c>
      <c r="E398" t="s">
        <v>1524</v>
      </c>
      <c r="F398" t="s">
        <v>282</v>
      </c>
      <c r="G398" t="s">
        <v>341</v>
      </c>
      <c r="H398" t="s">
        <v>345</v>
      </c>
      <c r="I398" s="87">
        <f t="shared" si="42"/>
        <v>2.9556650246305424E-2</v>
      </c>
      <c r="J398" s="87">
        <f t="shared" si="43"/>
        <v>0.82266009852216748</v>
      </c>
      <c r="K398" s="87">
        <f t="shared" si="44"/>
        <v>0.25862068965517243</v>
      </c>
      <c r="L398" s="87">
        <f t="shared" si="45"/>
        <v>1.5024630541871922</v>
      </c>
      <c r="M398" s="87">
        <f t="shared" si="46"/>
        <v>0.4605911330049261</v>
      </c>
      <c r="N398" s="87">
        <f t="shared" si="47"/>
        <v>2.2536945812807883</v>
      </c>
      <c r="O398" s="87">
        <f t="shared" si="48"/>
        <v>5.3275862068965516</v>
      </c>
    </row>
    <row r="399" spans="1:15" x14ac:dyDescent="0.3">
      <c r="A399" t="s">
        <v>43</v>
      </c>
      <c r="B399" t="s">
        <v>1100</v>
      </c>
      <c r="C399" s="16" t="s">
        <v>272</v>
      </c>
      <c r="D399" s="16">
        <v>3</v>
      </c>
      <c r="E399" t="s">
        <v>1524</v>
      </c>
      <c r="F399" t="s">
        <v>282</v>
      </c>
      <c r="G399" t="s">
        <v>1567</v>
      </c>
      <c r="H399" t="s">
        <v>345</v>
      </c>
      <c r="I399" s="87">
        <f t="shared" si="42"/>
        <v>2.9556650246305424E-2</v>
      </c>
      <c r="J399" s="87">
        <f t="shared" si="43"/>
        <v>0.17733990147783252</v>
      </c>
      <c r="K399" s="87">
        <f t="shared" si="44"/>
        <v>0.25862068965517243</v>
      </c>
      <c r="L399" s="87">
        <f t="shared" si="45"/>
        <v>1.5024630541871922</v>
      </c>
      <c r="M399" s="87">
        <f t="shared" si="46"/>
        <v>0.21921182266009853</v>
      </c>
      <c r="N399" s="87">
        <f t="shared" si="47"/>
        <v>2.2536945812807883</v>
      </c>
      <c r="O399" s="87">
        <f t="shared" si="48"/>
        <v>4.4408866995073897</v>
      </c>
    </row>
    <row r="400" spans="1:15" x14ac:dyDescent="0.3">
      <c r="A400" t="s">
        <v>45</v>
      </c>
      <c r="B400" t="s">
        <v>1101</v>
      </c>
      <c r="C400" s="16" t="s">
        <v>272</v>
      </c>
      <c r="D400" s="16">
        <v>2</v>
      </c>
      <c r="E400" t="s">
        <v>1524</v>
      </c>
      <c r="F400" t="s">
        <v>1547</v>
      </c>
      <c r="G400" t="s">
        <v>342</v>
      </c>
      <c r="H400" t="s">
        <v>344</v>
      </c>
      <c r="I400" s="87">
        <f t="shared" si="42"/>
        <v>2.9556650246305424E-2</v>
      </c>
      <c r="J400" s="87">
        <f t="shared" si="43"/>
        <v>0.82266009852216748</v>
      </c>
      <c r="K400" s="87">
        <f t="shared" si="44"/>
        <v>0.25862068965517243</v>
      </c>
      <c r="L400" s="87">
        <f t="shared" si="45"/>
        <v>2.3891625615763545</v>
      </c>
      <c r="M400" s="87">
        <f t="shared" si="46"/>
        <v>0.48522167487684736</v>
      </c>
      <c r="N400" s="87">
        <f t="shared" si="47"/>
        <v>1.2438423645320198</v>
      </c>
      <c r="O400" s="87">
        <f t="shared" si="48"/>
        <v>5.2290640394088674</v>
      </c>
    </row>
    <row r="401" spans="1:15" x14ac:dyDescent="0.3">
      <c r="A401" t="s">
        <v>45</v>
      </c>
      <c r="B401" t="s">
        <v>1102</v>
      </c>
      <c r="C401" s="16" t="s">
        <v>272</v>
      </c>
      <c r="D401" s="16">
        <v>3</v>
      </c>
      <c r="E401" t="s">
        <v>1524</v>
      </c>
      <c r="F401" t="s">
        <v>1555</v>
      </c>
      <c r="G401" t="s">
        <v>1568</v>
      </c>
      <c r="H401" t="s">
        <v>344</v>
      </c>
      <c r="I401" s="87">
        <f t="shared" si="42"/>
        <v>2.9556650246305424E-2</v>
      </c>
      <c r="J401" s="87">
        <f t="shared" si="43"/>
        <v>0.17733990147783252</v>
      </c>
      <c r="K401" s="87">
        <f t="shared" si="44"/>
        <v>0.25862068965517243</v>
      </c>
      <c r="L401" s="87">
        <f t="shared" si="45"/>
        <v>2.3891625615763545</v>
      </c>
      <c r="M401" s="87">
        <f t="shared" si="46"/>
        <v>0.4679802955665025</v>
      </c>
      <c r="N401" s="87">
        <f t="shared" si="47"/>
        <v>1.2438423645320198</v>
      </c>
      <c r="O401" s="87">
        <f t="shared" si="48"/>
        <v>4.5665024630541877</v>
      </c>
    </row>
    <row r="402" spans="1:15" x14ac:dyDescent="0.3">
      <c r="A402" t="s">
        <v>45</v>
      </c>
      <c r="B402" t="s">
        <v>1103</v>
      </c>
      <c r="C402" s="16" t="s">
        <v>272</v>
      </c>
      <c r="D402" s="16">
        <v>2</v>
      </c>
      <c r="E402" t="s">
        <v>1524</v>
      </c>
      <c r="F402" t="s">
        <v>1555</v>
      </c>
      <c r="G402" t="s">
        <v>342</v>
      </c>
      <c r="H402" t="s">
        <v>344</v>
      </c>
      <c r="I402" s="87">
        <f t="shared" si="42"/>
        <v>2.9556650246305424E-2</v>
      </c>
      <c r="J402" s="87">
        <f t="shared" si="43"/>
        <v>0.82266009852216748</v>
      </c>
      <c r="K402" s="87">
        <f t="shared" si="44"/>
        <v>0.25862068965517243</v>
      </c>
      <c r="L402" s="87">
        <f t="shared" si="45"/>
        <v>2.3891625615763545</v>
      </c>
      <c r="M402" s="87">
        <f t="shared" si="46"/>
        <v>0.48522167487684736</v>
      </c>
      <c r="N402" s="87">
        <f t="shared" si="47"/>
        <v>1.2438423645320198</v>
      </c>
      <c r="O402" s="87">
        <f t="shared" si="48"/>
        <v>5.2290640394088674</v>
      </c>
    </row>
    <row r="403" spans="1:15" x14ac:dyDescent="0.3">
      <c r="A403" t="s">
        <v>45</v>
      </c>
      <c r="B403" t="s">
        <v>1104</v>
      </c>
      <c r="C403" s="16" t="s">
        <v>272</v>
      </c>
      <c r="D403" s="16">
        <v>2</v>
      </c>
      <c r="E403" t="s">
        <v>1524</v>
      </c>
      <c r="F403" t="s">
        <v>282</v>
      </c>
      <c r="G403" t="s">
        <v>342</v>
      </c>
      <c r="H403" t="s">
        <v>347</v>
      </c>
      <c r="I403" s="87">
        <f t="shared" si="42"/>
        <v>2.9556650246305424E-2</v>
      </c>
      <c r="J403" s="87">
        <f t="shared" si="43"/>
        <v>0.82266009852216748</v>
      </c>
      <c r="K403" s="87">
        <f t="shared" si="44"/>
        <v>0.25862068965517243</v>
      </c>
      <c r="L403" s="87">
        <f t="shared" si="45"/>
        <v>1.5024630541871922</v>
      </c>
      <c r="M403" s="87">
        <f t="shared" si="46"/>
        <v>0.48522167487684736</v>
      </c>
      <c r="N403" s="87">
        <f t="shared" si="47"/>
        <v>2.4137931034482758</v>
      </c>
      <c r="O403" s="87">
        <f t="shared" si="48"/>
        <v>5.5123152709359609</v>
      </c>
    </row>
    <row r="404" spans="1:15" x14ac:dyDescent="0.3">
      <c r="A404" t="s">
        <v>45</v>
      </c>
      <c r="B404" t="s">
        <v>1105</v>
      </c>
      <c r="C404" s="16" t="s">
        <v>272</v>
      </c>
      <c r="D404" s="16">
        <v>2</v>
      </c>
      <c r="E404" t="s">
        <v>1524</v>
      </c>
      <c r="F404" t="s">
        <v>1555</v>
      </c>
      <c r="G404" t="s">
        <v>342</v>
      </c>
      <c r="H404" t="s">
        <v>344</v>
      </c>
      <c r="I404" s="87">
        <f t="shared" si="42"/>
        <v>2.9556650246305424E-2</v>
      </c>
      <c r="J404" s="87">
        <f t="shared" si="43"/>
        <v>0.82266009852216748</v>
      </c>
      <c r="K404" s="87">
        <f t="shared" si="44"/>
        <v>0.25862068965517243</v>
      </c>
      <c r="L404" s="87">
        <f t="shared" si="45"/>
        <v>2.3891625615763545</v>
      </c>
      <c r="M404" s="87">
        <f t="shared" si="46"/>
        <v>0.48522167487684736</v>
      </c>
      <c r="N404" s="87">
        <f t="shared" si="47"/>
        <v>1.2438423645320198</v>
      </c>
      <c r="O404" s="87">
        <f t="shared" si="48"/>
        <v>5.2290640394088674</v>
      </c>
    </row>
    <row r="405" spans="1:15" x14ac:dyDescent="0.3">
      <c r="A405" t="s">
        <v>45</v>
      </c>
      <c r="B405" t="s">
        <v>1106</v>
      </c>
      <c r="C405" s="16" t="s">
        <v>272</v>
      </c>
      <c r="D405" s="16">
        <v>2</v>
      </c>
      <c r="E405" t="s">
        <v>1524</v>
      </c>
      <c r="F405" t="s">
        <v>282</v>
      </c>
      <c r="G405" t="s">
        <v>342</v>
      </c>
      <c r="H405" t="s">
        <v>347</v>
      </c>
      <c r="I405" s="87">
        <f t="shared" si="42"/>
        <v>2.9556650246305424E-2</v>
      </c>
      <c r="J405" s="87">
        <f t="shared" si="43"/>
        <v>0.82266009852216748</v>
      </c>
      <c r="K405" s="87">
        <f t="shared" si="44"/>
        <v>0.25862068965517243</v>
      </c>
      <c r="L405" s="87">
        <f t="shared" si="45"/>
        <v>1.5024630541871922</v>
      </c>
      <c r="M405" s="87">
        <f t="shared" si="46"/>
        <v>0.48522167487684736</v>
      </c>
      <c r="N405" s="87">
        <f t="shared" si="47"/>
        <v>2.4137931034482758</v>
      </c>
      <c r="O405" s="87">
        <f t="shared" si="48"/>
        <v>5.5123152709359609</v>
      </c>
    </row>
    <row r="406" spans="1:15" x14ac:dyDescent="0.3">
      <c r="A406" t="s">
        <v>45</v>
      </c>
      <c r="B406" t="s">
        <v>1107</v>
      </c>
      <c r="C406" s="16" t="s">
        <v>272</v>
      </c>
      <c r="D406" s="16">
        <v>2</v>
      </c>
      <c r="E406" t="s">
        <v>1524</v>
      </c>
      <c r="F406" t="s">
        <v>1555</v>
      </c>
      <c r="G406" t="s">
        <v>342</v>
      </c>
      <c r="H406" t="s">
        <v>344</v>
      </c>
      <c r="I406" s="87">
        <f t="shared" si="42"/>
        <v>2.9556650246305424E-2</v>
      </c>
      <c r="J406" s="87">
        <f t="shared" si="43"/>
        <v>0.82266009852216748</v>
      </c>
      <c r="K406" s="87">
        <f t="shared" si="44"/>
        <v>0.25862068965517243</v>
      </c>
      <c r="L406" s="87">
        <f t="shared" si="45"/>
        <v>2.3891625615763545</v>
      </c>
      <c r="M406" s="87">
        <f t="shared" si="46"/>
        <v>0.48522167487684736</v>
      </c>
      <c r="N406" s="87">
        <f t="shared" si="47"/>
        <v>1.2438423645320198</v>
      </c>
      <c r="O406" s="87">
        <f t="shared" si="48"/>
        <v>5.2290640394088674</v>
      </c>
    </row>
    <row r="407" spans="1:15" x14ac:dyDescent="0.3">
      <c r="A407" t="s">
        <v>45</v>
      </c>
      <c r="B407" t="s">
        <v>1108</v>
      </c>
      <c r="C407" s="16" t="s">
        <v>272</v>
      </c>
      <c r="D407" s="16">
        <v>2</v>
      </c>
      <c r="E407" t="s">
        <v>1524</v>
      </c>
      <c r="F407" t="s">
        <v>1555</v>
      </c>
      <c r="G407" t="s">
        <v>342</v>
      </c>
      <c r="H407" t="s">
        <v>344</v>
      </c>
      <c r="I407" s="87">
        <f t="shared" si="42"/>
        <v>2.9556650246305424E-2</v>
      </c>
      <c r="J407" s="87">
        <f t="shared" si="43"/>
        <v>0.82266009852216748</v>
      </c>
      <c r="K407" s="87">
        <f t="shared" si="44"/>
        <v>0.25862068965517243</v>
      </c>
      <c r="L407" s="87">
        <f t="shared" si="45"/>
        <v>2.3891625615763545</v>
      </c>
      <c r="M407" s="87">
        <f t="shared" si="46"/>
        <v>0.48522167487684736</v>
      </c>
      <c r="N407" s="87">
        <f t="shared" si="47"/>
        <v>1.2438423645320198</v>
      </c>
      <c r="O407" s="87">
        <f t="shared" si="48"/>
        <v>5.2290640394088674</v>
      </c>
    </row>
    <row r="408" spans="1:15" x14ac:dyDescent="0.3">
      <c r="A408" t="s">
        <v>45</v>
      </c>
      <c r="B408" t="s">
        <v>1109</v>
      </c>
      <c r="C408" s="16" t="s">
        <v>272</v>
      </c>
      <c r="D408" s="16">
        <v>3</v>
      </c>
      <c r="E408" t="s">
        <v>1524</v>
      </c>
      <c r="F408" t="s">
        <v>1540</v>
      </c>
      <c r="G408" t="s">
        <v>1568</v>
      </c>
      <c r="H408" t="s">
        <v>347</v>
      </c>
      <c r="I408" s="87">
        <f t="shared" si="42"/>
        <v>2.9556650246305424E-2</v>
      </c>
      <c r="J408" s="87">
        <f t="shared" si="43"/>
        <v>0.17733990147783252</v>
      </c>
      <c r="K408" s="87">
        <f t="shared" si="44"/>
        <v>0.25862068965517243</v>
      </c>
      <c r="L408" s="87">
        <f t="shared" si="45"/>
        <v>2.3891625615763545</v>
      </c>
      <c r="M408" s="87">
        <f t="shared" si="46"/>
        <v>0.4679802955665025</v>
      </c>
      <c r="N408" s="87">
        <f t="shared" si="47"/>
        <v>2.4137931034482758</v>
      </c>
      <c r="O408" s="87">
        <f t="shared" si="48"/>
        <v>5.7364532019704431</v>
      </c>
    </row>
    <row r="409" spans="1:15" x14ac:dyDescent="0.3">
      <c r="A409" t="s">
        <v>45</v>
      </c>
      <c r="B409" t="s">
        <v>1110</v>
      </c>
      <c r="C409" s="16" t="s">
        <v>272</v>
      </c>
      <c r="D409" s="16">
        <v>2</v>
      </c>
      <c r="E409" t="s">
        <v>1524</v>
      </c>
      <c r="F409" t="s">
        <v>282</v>
      </c>
      <c r="G409" t="s">
        <v>342</v>
      </c>
      <c r="H409" t="s">
        <v>347</v>
      </c>
      <c r="I409" s="87">
        <f t="shared" si="42"/>
        <v>2.9556650246305424E-2</v>
      </c>
      <c r="J409" s="87">
        <f t="shared" si="43"/>
        <v>0.82266009852216748</v>
      </c>
      <c r="K409" s="87">
        <f t="shared" si="44"/>
        <v>0.25862068965517243</v>
      </c>
      <c r="L409" s="87">
        <f t="shared" si="45"/>
        <v>1.5024630541871922</v>
      </c>
      <c r="M409" s="87">
        <f t="shared" si="46"/>
        <v>0.48522167487684736</v>
      </c>
      <c r="N409" s="87">
        <f t="shared" si="47"/>
        <v>2.4137931034482758</v>
      </c>
      <c r="O409" s="87">
        <f t="shared" si="48"/>
        <v>5.5123152709359609</v>
      </c>
    </row>
    <row r="410" spans="1:15" x14ac:dyDescent="0.3">
      <c r="A410" t="s">
        <v>45</v>
      </c>
      <c r="B410" t="s">
        <v>1111</v>
      </c>
      <c r="C410" s="16" t="s">
        <v>272</v>
      </c>
      <c r="D410" s="16">
        <v>2</v>
      </c>
      <c r="E410" t="s">
        <v>1524</v>
      </c>
      <c r="F410" t="s">
        <v>1555</v>
      </c>
      <c r="G410" t="s">
        <v>342</v>
      </c>
      <c r="H410" t="s">
        <v>344</v>
      </c>
      <c r="I410" s="87">
        <f t="shared" si="42"/>
        <v>2.9556650246305424E-2</v>
      </c>
      <c r="J410" s="87">
        <f t="shared" si="43"/>
        <v>0.82266009852216748</v>
      </c>
      <c r="K410" s="87">
        <f t="shared" si="44"/>
        <v>0.25862068965517243</v>
      </c>
      <c r="L410" s="87">
        <f t="shared" si="45"/>
        <v>2.3891625615763545</v>
      </c>
      <c r="M410" s="87">
        <f t="shared" si="46"/>
        <v>0.48522167487684736</v>
      </c>
      <c r="N410" s="87">
        <f t="shared" si="47"/>
        <v>1.2438423645320198</v>
      </c>
      <c r="O410" s="87">
        <f t="shared" si="48"/>
        <v>5.2290640394088674</v>
      </c>
    </row>
    <row r="411" spans="1:15" x14ac:dyDescent="0.3">
      <c r="A411" t="s">
        <v>45</v>
      </c>
      <c r="B411" t="s">
        <v>1112</v>
      </c>
      <c r="C411" s="16" t="s">
        <v>272</v>
      </c>
      <c r="D411" s="16">
        <v>2</v>
      </c>
      <c r="E411" t="s">
        <v>1524</v>
      </c>
      <c r="F411" t="s">
        <v>282</v>
      </c>
      <c r="G411" t="s">
        <v>342</v>
      </c>
      <c r="H411" t="s">
        <v>344</v>
      </c>
      <c r="I411" s="87">
        <f t="shared" si="42"/>
        <v>2.9556650246305424E-2</v>
      </c>
      <c r="J411" s="87">
        <f t="shared" si="43"/>
        <v>0.82266009852216748</v>
      </c>
      <c r="K411" s="87">
        <f t="shared" si="44"/>
        <v>0.25862068965517243</v>
      </c>
      <c r="L411" s="87">
        <f t="shared" si="45"/>
        <v>1.5024630541871922</v>
      </c>
      <c r="M411" s="87">
        <f t="shared" si="46"/>
        <v>0.48522167487684736</v>
      </c>
      <c r="N411" s="87">
        <f t="shared" si="47"/>
        <v>1.2438423645320198</v>
      </c>
      <c r="O411" s="87">
        <f t="shared" si="48"/>
        <v>4.3423645320197046</v>
      </c>
    </row>
    <row r="412" spans="1:15" x14ac:dyDescent="0.3">
      <c r="A412" t="s">
        <v>45</v>
      </c>
      <c r="B412" t="s">
        <v>1113</v>
      </c>
      <c r="C412" s="16" t="s">
        <v>272</v>
      </c>
      <c r="D412" s="16">
        <v>2</v>
      </c>
      <c r="E412" t="s">
        <v>1524</v>
      </c>
      <c r="F412" t="s">
        <v>1555</v>
      </c>
      <c r="G412" t="s">
        <v>342</v>
      </c>
      <c r="H412" t="s">
        <v>344</v>
      </c>
      <c r="I412" s="87">
        <f t="shared" si="42"/>
        <v>2.9556650246305424E-2</v>
      </c>
      <c r="J412" s="87">
        <f t="shared" si="43"/>
        <v>0.82266009852216748</v>
      </c>
      <c r="K412" s="87">
        <f t="shared" si="44"/>
        <v>0.25862068965517243</v>
      </c>
      <c r="L412" s="87">
        <f t="shared" si="45"/>
        <v>2.3891625615763545</v>
      </c>
      <c r="M412" s="87">
        <f t="shared" si="46"/>
        <v>0.48522167487684736</v>
      </c>
      <c r="N412" s="87">
        <f t="shared" si="47"/>
        <v>1.2438423645320198</v>
      </c>
      <c r="O412" s="87">
        <f t="shared" si="48"/>
        <v>5.2290640394088674</v>
      </c>
    </row>
    <row r="413" spans="1:15" x14ac:dyDescent="0.3">
      <c r="A413" t="s">
        <v>45</v>
      </c>
      <c r="B413" t="s">
        <v>1114</v>
      </c>
      <c r="C413" s="16" t="s">
        <v>272</v>
      </c>
      <c r="D413" s="16">
        <v>3</v>
      </c>
      <c r="E413" t="s">
        <v>1524</v>
      </c>
      <c r="F413" t="s">
        <v>1555</v>
      </c>
      <c r="G413" t="s">
        <v>1568</v>
      </c>
      <c r="H413" t="s">
        <v>344</v>
      </c>
      <c r="I413" s="87">
        <f t="shared" si="42"/>
        <v>2.9556650246305424E-2</v>
      </c>
      <c r="J413" s="87">
        <f t="shared" si="43"/>
        <v>0.17733990147783252</v>
      </c>
      <c r="K413" s="87">
        <f t="shared" si="44"/>
        <v>0.25862068965517243</v>
      </c>
      <c r="L413" s="87">
        <f t="shared" si="45"/>
        <v>2.3891625615763545</v>
      </c>
      <c r="M413" s="87">
        <f t="shared" si="46"/>
        <v>0.4679802955665025</v>
      </c>
      <c r="N413" s="87">
        <f t="shared" si="47"/>
        <v>1.2438423645320198</v>
      </c>
      <c r="O413" s="87">
        <f t="shared" si="48"/>
        <v>4.5665024630541877</v>
      </c>
    </row>
    <row r="414" spans="1:15" x14ac:dyDescent="0.3">
      <c r="A414" t="s">
        <v>45</v>
      </c>
      <c r="B414" t="s">
        <v>1115</v>
      </c>
      <c r="C414" s="16" t="s">
        <v>272</v>
      </c>
      <c r="D414" s="16">
        <v>2</v>
      </c>
      <c r="E414" t="s">
        <v>1524</v>
      </c>
      <c r="F414" t="s">
        <v>282</v>
      </c>
      <c r="G414" t="s">
        <v>1568</v>
      </c>
      <c r="H414" t="s">
        <v>344</v>
      </c>
      <c r="I414" s="87">
        <f t="shared" si="42"/>
        <v>2.9556650246305424E-2</v>
      </c>
      <c r="J414" s="87">
        <f t="shared" si="43"/>
        <v>0.82266009852216748</v>
      </c>
      <c r="K414" s="87">
        <f t="shared" si="44"/>
        <v>0.25862068965517243</v>
      </c>
      <c r="L414" s="87">
        <f t="shared" si="45"/>
        <v>1.5024630541871922</v>
      </c>
      <c r="M414" s="87">
        <f t="shared" si="46"/>
        <v>0.4679802955665025</v>
      </c>
      <c r="N414" s="87">
        <f t="shared" si="47"/>
        <v>1.2438423645320198</v>
      </c>
      <c r="O414" s="87">
        <f t="shared" si="48"/>
        <v>4.3251231527093594</v>
      </c>
    </row>
    <row r="415" spans="1:15" x14ac:dyDescent="0.3">
      <c r="A415" t="s">
        <v>45</v>
      </c>
      <c r="B415" t="s">
        <v>1116</v>
      </c>
      <c r="C415" s="16" t="s">
        <v>272</v>
      </c>
      <c r="D415" s="16">
        <v>2</v>
      </c>
      <c r="E415" t="s">
        <v>1524</v>
      </c>
      <c r="F415" t="s">
        <v>282</v>
      </c>
      <c r="G415" t="s">
        <v>1568</v>
      </c>
      <c r="H415" t="s">
        <v>344</v>
      </c>
      <c r="I415" s="87">
        <f t="shared" si="42"/>
        <v>2.9556650246305424E-2</v>
      </c>
      <c r="J415" s="87">
        <f t="shared" si="43"/>
        <v>0.82266009852216748</v>
      </c>
      <c r="K415" s="87">
        <f t="shared" si="44"/>
        <v>0.25862068965517243</v>
      </c>
      <c r="L415" s="87">
        <f t="shared" si="45"/>
        <v>1.5024630541871922</v>
      </c>
      <c r="M415" s="87">
        <f t="shared" si="46"/>
        <v>0.4679802955665025</v>
      </c>
      <c r="N415" s="87">
        <f t="shared" si="47"/>
        <v>1.2438423645320198</v>
      </c>
      <c r="O415" s="87">
        <f t="shared" si="48"/>
        <v>4.3251231527093594</v>
      </c>
    </row>
    <row r="416" spans="1:15" x14ac:dyDescent="0.3">
      <c r="A416" t="s">
        <v>43</v>
      </c>
      <c r="B416" t="s">
        <v>1117</v>
      </c>
      <c r="C416" s="16" t="s">
        <v>272</v>
      </c>
      <c r="D416" s="16">
        <v>3</v>
      </c>
      <c r="E416" t="s">
        <v>1524</v>
      </c>
      <c r="F416" t="s">
        <v>282</v>
      </c>
      <c r="G416" t="s">
        <v>1567</v>
      </c>
      <c r="H416" t="s">
        <v>291</v>
      </c>
      <c r="I416" s="87">
        <f t="shared" si="42"/>
        <v>2.9556650246305424E-2</v>
      </c>
      <c r="J416" s="87">
        <f t="shared" si="43"/>
        <v>0.17733990147783252</v>
      </c>
      <c r="K416" s="87">
        <f t="shared" si="44"/>
        <v>0.25862068965517243</v>
      </c>
      <c r="L416" s="87">
        <f t="shared" si="45"/>
        <v>1.5024630541871922</v>
      </c>
      <c r="M416" s="87">
        <f t="shared" si="46"/>
        <v>0.21921182266009853</v>
      </c>
      <c r="N416" s="87">
        <f t="shared" si="47"/>
        <v>2.2906403940886699</v>
      </c>
      <c r="O416" s="87">
        <f t="shared" si="48"/>
        <v>4.4778325123152714</v>
      </c>
    </row>
    <row r="417" spans="1:15" x14ac:dyDescent="0.3">
      <c r="A417" t="s">
        <v>43</v>
      </c>
      <c r="B417" t="s">
        <v>1118</v>
      </c>
      <c r="C417" s="16" t="s">
        <v>272</v>
      </c>
      <c r="D417" s="16">
        <v>3</v>
      </c>
      <c r="E417" t="s">
        <v>1524</v>
      </c>
      <c r="F417" t="s">
        <v>282</v>
      </c>
      <c r="G417" t="s">
        <v>1567</v>
      </c>
      <c r="H417" t="s">
        <v>291</v>
      </c>
      <c r="I417" s="87">
        <f t="shared" si="42"/>
        <v>2.9556650246305424E-2</v>
      </c>
      <c r="J417" s="87">
        <f t="shared" si="43"/>
        <v>0.17733990147783252</v>
      </c>
      <c r="K417" s="87">
        <f t="shared" si="44"/>
        <v>0.25862068965517243</v>
      </c>
      <c r="L417" s="87">
        <f t="shared" si="45"/>
        <v>1.5024630541871922</v>
      </c>
      <c r="M417" s="87">
        <f t="shared" si="46"/>
        <v>0.21921182266009853</v>
      </c>
      <c r="N417" s="87">
        <f t="shared" si="47"/>
        <v>2.2906403940886699</v>
      </c>
      <c r="O417" s="87">
        <f t="shared" si="48"/>
        <v>4.4778325123152714</v>
      </c>
    </row>
    <row r="418" spans="1:15" x14ac:dyDescent="0.3">
      <c r="A418" t="s">
        <v>43</v>
      </c>
      <c r="B418" t="s">
        <v>1119</v>
      </c>
      <c r="C418" s="16" t="s">
        <v>272</v>
      </c>
      <c r="D418" s="16">
        <v>3</v>
      </c>
      <c r="E418" t="s">
        <v>1524</v>
      </c>
      <c r="F418" t="s">
        <v>282</v>
      </c>
      <c r="G418" t="s">
        <v>1567</v>
      </c>
      <c r="H418" t="s">
        <v>344</v>
      </c>
      <c r="I418" s="87">
        <f t="shared" si="42"/>
        <v>2.9556650246305424E-2</v>
      </c>
      <c r="J418" s="87">
        <f t="shared" si="43"/>
        <v>0.17733990147783252</v>
      </c>
      <c r="K418" s="87">
        <f t="shared" si="44"/>
        <v>0.25862068965517243</v>
      </c>
      <c r="L418" s="87">
        <f t="shared" si="45"/>
        <v>1.5024630541871922</v>
      </c>
      <c r="M418" s="87">
        <f t="shared" si="46"/>
        <v>0.21921182266009853</v>
      </c>
      <c r="N418" s="87">
        <f t="shared" si="47"/>
        <v>1.2438423645320198</v>
      </c>
      <c r="O418" s="87">
        <f t="shared" si="48"/>
        <v>3.431034482758621</v>
      </c>
    </row>
    <row r="419" spans="1:15" x14ac:dyDescent="0.3">
      <c r="A419" t="s">
        <v>43</v>
      </c>
      <c r="B419" t="s">
        <v>1120</v>
      </c>
      <c r="C419" s="16" t="s">
        <v>272</v>
      </c>
      <c r="D419" s="16">
        <v>3</v>
      </c>
      <c r="E419" t="s">
        <v>1524</v>
      </c>
      <c r="F419" t="s">
        <v>282</v>
      </c>
      <c r="G419" t="s">
        <v>1566</v>
      </c>
      <c r="H419" t="s">
        <v>1571</v>
      </c>
      <c r="I419" s="87">
        <f t="shared" si="42"/>
        <v>2.9556650246305424E-2</v>
      </c>
      <c r="J419" s="87">
        <f t="shared" si="43"/>
        <v>0.17733990147783252</v>
      </c>
      <c r="K419" s="87">
        <f t="shared" si="44"/>
        <v>0.25862068965517243</v>
      </c>
      <c r="L419" s="87">
        <f t="shared" si="45"/>
        <v>1.5024630541871922</v>
      </c>
      <c r="M419" s="87">
        <f t="shared" si="46"/>
        <v>0.38669950738916259</v>
      </c>
      <c r="N419" s="87">
        <f t="shared" si="47"/>
        <v>2.4630541871921183</v>
      </c>
      <c r="O419" s="87">
        <f t="shared" si="48"/>
        <v>4.8177339901477838</v>
      </c>
    </row>
    <row r="420" spans="1:15" x14ac:dyDescent="0.3">
      <c r="A420" t="s">
        <v>43</v>
      </c>
      <c r="B420" t="s">
        <v>1121</v>
      </c>
      <c r="C420" s="16" t="s">
        <v>272</v>
      </c>
      <c r="D420" s="16">
        <v>3</v>
      </c>
      <c r="E420" t="s">
        <v>1524</v>
      </c>
      <c r="F420" t="s">
        <v>282</v>
      </c>
      <c r="G420" t="s">
        <v>1566</v>
      </c>
      <c r="H420" t="s">
        <v>1571</v>
      </c>
      <c r="I420" s="87">
        <f t="shared" si="42"/>
        <v>2.9556650246305424E-2</v>
      </c>
      <c r="J420" s="87">
        <f t="shared" si="43"/>
        <v>0.17733990147783252</v>
      </c>
      <c r="K420" s="87">
        <f t="shared" si="44"/>
        <v>0.25862068965517243</v>
      </c>
      <c r="L420" s="87">
        <f t="shared" si="45"/>
        <v>1.5024630541871922</v>
      </c>
      <c r="M420" s="87">
        <f t="shared" si="46"/>
        <v>0.38669950738916259</v>
      </c>
      <c r="N420" s="87">
        <f t="shared" si="47"/>
        <v>2.4630541871921183</v>
      </c>
      <c r="O420" s="87">
        <f t="shared" si="48"/>
        <v>4.8177339901477838</v>
      </c>
    </row>
    <row r="421" spans="1:15" x14ac:dyDescent="0.3">
      <c r="A421" t="s">
        <v>43</v>
      </c>
      <c r="B421" t="s">
        <v>1122</v>
      </c>
      <c r="C421" s="16" t="s">
        <v>272</v>
      </c>
      <c r="D421" s="16">
        <v>3</v>
      </c>
      <c r="E421" t="s">
        <v>1524</v>
      </c>
      <c r="F421" t="s">
        <v>282</v>
      </c>
      <c r="G421" t="s">
        <v>1566</v>
      </c>
      <c r="H421" t="s">
        <v>1571</v>
      </c>
      <c r="I421" s="87">
        <f t="shared" si="42"/>
        <v>2.9556650246305424E-2</v>
      </c>
      <c r="J421" s="87">
        <f t="shared" si="43"/>
        <v>0.17733990147783252</v>
      </c>
      <c r="K421" s="87">
        <f t="shared" si="44"/>
        <v>0.25862068965517243</v>
      </c>
      <c r="L421" s="87">
        <f t="shared" si="45"/>
        <v>1.5024630541871922</v>
      </c>
      <c r="M421" s="87">
        <f t="shared" si="46"/>
        <v>0.38669950738916259</v>
      </c>
      <c r="N421" s="87">
        <f t="shared" si="47"/>
        <v>2.4630541871921183</v>
      </c>
      <c r="O421" s="87">
        <f t="shared" si="48"/>
        <v>4.8177339901477838</v>
      </c>
    </row>
    <row r="422" spans="1:15" x14ac:dyDescent="0.3">
      <c r="A422" t="s">
        <v>43</v>
      </c>
      <c r="B422" t="s">
        <v>1123</v>
      </c>
      <c r="C422" s="16" t="s">
        <v>272</v>
      </c>
      <c r="D422" s="16">
        <v>3</v>
      </c>
      <c r="E422" t="s">
        <v>1524</v>
      </c>
      <c r="F422" t="s">
        <v>282</v>
      </c>
      <c r="G422" t="s">
        <v>1566</v>
      </c>
      <c r="H422" t="s">
        <v>1571</v>
      </c>
      <c r="I422" s="87">
        <f t="shared" si="42"/>
        <v>2.9556650246305424E-2</v>
      </c>
      <c r="J422" s="87">
        <f t="shared" si="43"/>
        <v>0.17733990147783252</v>
      </c>
      <c r="K422" s="87">
        <f t="shared" si="44"/>
        <v>0.25862068965517243</v>
      </c>
      <c r="L422" s="87">
        <f t="shared" si="45"/>
        <v>1.5024630541871922</v>
      </c>
      <c r="M422" s="87">
        <f t="shared" si="46"/>
        <v>0.38669950738916259</v>
      </c>
      <c r="N422" s="87">
        <f t="shared" si="47"/>
        <v>2.4630541871921183</v>
      </c>
      <c r="O422" s="87">
        <f t="shared" si="48"/>
        <v>4.8177339901477838</v>
      </c>
    </row>
    <row r="423" spans="1:15" x14ac:dyDescent="0.3">
      <c r="A423" t="s">
        <v>9</v>
      </c>
      <c r="B423" t="s">
        <v>1124</v>
      </c>
      <c r="C423" s="16" t="s">
        <v>272</v>
      </c>
      <c r="D423" s="16">
        <v>3</v>
      </c>
      <c r="E423" t="s">
        <v>1524</v>
      </c>
      <c r="F423" t="s">
        <v>1652</v>
      </c>
      <c r="G423" t="s">
        <v>1566</v>
      </c>
      <c r="H423" t="s">
        <v>1570</v>
      </c>
      <c r="I423" s="87">
        <f t="shared" si="42"/>
        <v>2.9556650246305424E-2</v>
      </c>
      <c r="J423" s="87">
        <f t="shared" si="43"/>
        <v>0.17733990147783252</v>
      </c>
      <c r="K423" s="87">
        <f t="shared" si="44"/>
        <v>0.25862068965517243</v>
      </c>
      <c r="L423" s="87">
        <f t="shared" si="45"/>
        <v>2.4630541871921183</v>
      </c>
      <c r="M423" s="87">
        <f t="shared" si="46"/>
        <v>0.38669950738916259</v>
      </c>
      <c r="N423" s="87">
        <f t="shared" si="47"/>
        <v>2.3645320197044337</v>
      </c>
      <c r="O423" s="87">
        <f t="shared" si="48"/>
        <v>5.6798029556650249</v>
      </c>
    </row>
    <row r="424" spans="1:15" x14ac:dyDescent="0.3">
      <c r="A424" t="s">
        <v>9</v>
      </c>
      <c r="B424" t="s">
        <v>1125</v>
      </c>
      <c r="C424" s="16" t="s">
        <v>272</v>
      </c>
      <c r="D424" s="16">
        <v>3</v>
      </c>
      <c r="E424" t="s">
        <v>1524</v>
      </c>
      <c r="F424" t="s">
        <v>1553</v>
      </c>
      <c r="G424" t="s">
        <v>1566</v>
      </c>
      <c r="H424" t="s">
        <v>1570</v>
      </c>
      <c r="I424" s="87">
        <f t="shared" si="42"/>
        <v>2.9556650246305424E-2</v>
      </c>
      <c r="J424" s="87">
        <f t="shared" si="43"/>
        <v>0.17733990147783252</v>
      </c>
      <c r="K424" s="87">
        <f t="shared" si="44"/>
        <v>0.25862068965517243</v>
      </c>
      <c r="L424" s="87">
        <f t="shared" si="45"/>
        <v>2.4753694581280787</v>
      </c>
      <c r="M424" s="87">
        <f t="shared" si="46"/>
        <v>0.38669950738916259</v>
      </c>
      <c r="N424" s="87">
        <f t="shared" si="47"/>
        <v>2.3645320197044337</v>
      </c>
      <c r="O424" s="87">
        <f t="shared" si="48"/>
        <v>5.6921182266009858</v>
      </c>
    </row>
    <row r="425" spans="1:15" x14ac:dyDescent="0.3">
      <c r="A425" t="s">
        <v>9</v>
      </c>
      <c r="B425" t="s">
        <v>1126</v>
      </c>
      <c r="C425" s="16" t="s">
        <v>272</v>
      </c>
      <c r="D425" s="16">
        <v>3</v>
      </c>
      <c r="E425" t="s">
        <v>1524</v>
      </c>
      <c r="F425" t="s">
        <v>282</v>
      </c>
      <c r="G425" t="s">
        <v>1568</v>
      </c>
      <c r="H425" t="s">
        <v>347</v>
      </c>
      <c r="I425" s="87">
        <f t="shared" si="42"/>
        <v>2.9556650246305424E-2</v>
      </c>
      <c r="J425" s="87">
        <f t="shared" si="43"/>
        <v>0.17733990147783252</v>
      </c>
      <c r="K425" s="87">
        <f t="shared" si="44"/>
        <v>0.25862068965517243</v>
      </c>
      <c r="L425" s="87">
        <f t="shared" si="45"/>
        <v>1.5024630541871922</v>
      </c>
      <c r="M425" s="87">
        <f t="shared" si="46"/>
        <v>0.4679802955665025</v>
      </c>
      <c r="N425" s="87">
        <f t="shared" si="47"/>
        <v>2.4137931034482758</v>
      </c>
      <c r="O425" s="87">
        <f t="shared" si="48"/>
        <v>4.8497536945812811</v>
      </c>
    </row>
    <row r="426" spans="1:15" x14ac:dyDescent="0.3">
      <c r="A426" t="s">
        <v>9</v>
      </c>
      <c r="B426" t="s">
        <v>1127</v>
      </c>
      <c r="C426" s="16" t="s">
        <v>272</v>
      </c>
      <c r="D426" s="16">
        <v>3</v>
      </c>
      <c r="E426" t="s">
        <v>1524</v>
      </c>
      <c r="F426" t="s">
        <v>1652</v>
      </c>
      <c r="G426" t="s">
        <v>1568</v>
      </c>
      <c r="H426" t="s">
        <v>344</v>
      </c>
      <c r="I426" s="87">
        <f t="shared" si="42"/>
        <v>2.9556650246305424E-2</v>
      </c>
      <c r="J426" s="87">
        <f t="shared" si="43"/>
        <v>0.17733990147783252</v>
      </c>
      <c r="K426" s="87">
        <f t="shared" si="44"/>
        <v>0.25862068965517243</v>
      </c>
      <c r="L426" s="87">
        <f t="shared" si="45"/>
        <v>2.4630541871921183</v>
      </c>
      <c r="M426" s="87">
        <f t="shared" si="46"/>
        <v>0.4679802955665025</v>
      </c>
      <c r="N426" s="87">
        <f t="shared" si="47"/>
        <v>1.2438423645320198</v>
      </c>
      <c r="O426" s="87">
        <f t="shared" si="48"/>
        <v>4.6403940886699511</v>
      </c>
    </row>
    <row r="427" spans="1:15" x14ac:dyDescent="0.3">
      <c r="A427" t="s">
        <v>9</v>
      </c>
      <c r="B427" t="s">
        <v>1128</v>
      </c>
      <c r="C427" s="16" t="s">
        <v>272</v>
      </c>
      <c r="D427" s="16">
        <v>3</v>
      </c>
      <c r="E427" t="s">
        <v>1524</v>
      </c>
      <c r="F427" t="s">
        <v>1652</v>
      </c>
      <c r="G427" t="s">
        <v>1568</v>
      </c>
      <c r="H427" t="s">
        <v>344</v>
      </c>
      <c r="I427" s="87">
        <f t="shared" si="42"/>
        <v>2.9556650246305424E-2</v>
      </c>
      <c r="J427" s="87">
        <f t="shared" si="43"/>
        <v>0.17733990147783252</v>
      </c>
      <c r="K427" s="87">
        <f t="shared" si="44"/>
        <v>0.25862068965517243</v>
      </c>
      <c r="L427" s="87">
        <f t="shared" si="45"/>
        <v>2.4630541871921183</v>
      </c>
      <c r="M427" s="87">
        <f t="shared" si="46"/>
        <v>0.4679802955665025</v>
      </c>
      <c r="N427" s="87">
        <f t="shared" si="47"/>
        <v>1.2438423645320198</v>
      </c>
      <c r="O427" s="87">
        <f t="shared" si="48"/>
        <v>4.6403940886699511</v>
      </c>
    </row>
    <row r="428" spans="1:15" x14ac:dyDescent="0.3">
      <c r="A428" t="s">
        <v>9</v>
      </c>
      <c r="B428" t="s">
        <v>1129</v>
      </c>
      <c r="C428" s="16" t="s">
        <v>272</v>
      </c>
      <c r="D428" s="16">
        <v>3</v>
      </c>
      <c r="E428" t="s">
        <v>1524</v>
      </c>
      <c r="F428" t="s">
        <v>1658</v>
      </c>
      <c r="G428" t="s">
        <v>1567</v>
      </c>
      <c r="H428" t="s">
        <v>344</v>
      </c>
      <c r="I428" s="87">
        <f t="shared" si="42"/>
        <v>2.9556650246305424E-2</v>
      </c>
      <c r="J428" s="87">
        <f t="shared" si="43"/>
        <v>0.17733990147783252</v>
      </c>
      <c r="K428" s="87">
        <f t="shared" si="44"/>
        <v>0.25862068965517243</v>
      </c>
      <c r="L428" s="87">
        <f t="shared" si="45"/>
        <v>2.5</v>
      </c>
      <c r="M428" s="87">
        <f t="shared" si="46"/>
        <v>0.21921182266009853</v>
      </c>
      <c r="N428" s="87">
        <f t="shared" si="47"/>
        <v>1.2438423645320198</v>
      </c>
      <c r="O428" s="87">
        <f t="shared" si="48"/>
        <v>4.4285714285714288</v>
      </c>
    </row>
    <row r="429" spans="1:15" x14ac:dyDescent="0.3">
      <c r="A429" t="s">
        <v>9</v>
      </c>
      <c r="B429" t="s">
        <v>1130</v>
      </c>
      <c r="C429" s="16" t="s">
        <v>272</v>
      </c>
      <c r="D429" s="16">
        <v>3</v>
      </c>
      <c r="E429" t="s">
        <v>1524</v>
      </c>
      <c r="F429" t="s">
        <v>1658</v>
      </c>
      <c r="G429" t="s">
        <v>1567</v>
      </c>
      <c r="H429" t="s">
        <v>344</v>
      </c>
      <c r="I429" s="87">
        <f t="shared" si="42"/>
        <v>2.9556650246305424E-2</v>
      </c>
      <c r="J429" s="87">
        <f t="shared" si="43"/>
        <v>0.17733990147783252</v>
      </c>
      <c r="K429" s="87">
        <f t="shared" si="44"/>
        <v>0.25862068965517243</v>
      </c>
      <c r="L429" s="87">
        <f t="shared" si="45"/>
        <v>2.5</v>
      </c>
      <c r="M429" s="87">
        <f t="shared" si="46"/>
        <v>0.21921182266009853</v>
      </c>
      <c r="N429" s="87">
        <f t="shared" si="47"/>
        <v>1.2438423645320198</v>
      </c>
      <c r="O429" s="87">
        <f t="shared" si="48"/>
        <v>4.4285714285714288</v>
      </c>
    </row>
    <row r="430" spans="1:15" x14ac:dyDescent="0.3">
      <c r="A430" t="s">
        <v>9</v>
      </c>
      <c r="B430" t="s">
        <v>1131</v>
      </c>
      <c r="C430" s="16" t="s">
        <v>272</v>
      </c>
      <c r="D430" s="16">
        <v>3</v>
      </c>
      <c r="E430" t="s">
        <v>1524</v>
      </c>
      <c r="F430" t="s">
        <v>282</v>
      </c>
      <c r="G430" t="s">
        <v>1568</v>
      </c>
      <c r="H430" t="s">
        <v>344</v>
      </c>
      <c r="I430" s="87">
        <f t="shared" si="42"/>
        <v>2.9556650246305424E-2</v>
      </c>
      <c r="J430" s="87">
        <f t="shared" si="43"/>
        <v>0.17733990147783252</v>
      </c>
      <c r="K430" s="87">
        <f t="shared" si="44"/>
        <v>0.25862068965517243</v>
      </c>
      <c r="L430" s="87">
        <f t="shared" si="45"/>
        <v>1.5024630541871922</v>
      </c>
      <c r="M430" s="87">
        <f t="shared" si="46"/>
        <v>0.4679802955665025</v>
      </c>
      <c r="N430" s="87">
        <f t="shared" si="47"/>
        <v>1.2438423645320198</v>
      </c>
      <c r="O430" s="87">
        <f t="shared" si="48"/>
        <v>3.6798029556650249</v>
      </c>
    </row>
    <row r="431" spans="1:15" x14ac:dyDescent="0.3">
      <c r="A431" t="s">
        <v>9</v>
      </c>
      <c r="B431" t="s">
        <v>1132</v>
      </c>
      <c r="C431" s="16" t="s">
        <v>272</v>
      </c>
      <c r="D431" s="16">
        <v>3</v>
      </c>
      <c r="E431" t="s">
        <v>1524</v>
      </c>
      <c r="F431" t="s">
        <v>282</v>
      </c>
      <c r="G431" t="s">
        <v>1568</v>
      </c>
      <c r="H431" t="s">
        <v>344</v>
      </c>
      <c r="I431" s="87">
        <f t="shared" si="42"/>
        <v>2.9556650246305424E-2</v>
      </c>
      <c r="J431" s="87">
        <f t="shared" si="43"/>
        <v>0.17733990147783252</v>
      </c>
      <c r="K431" s="87">
        <f t="shared" si="44"/>
        <v>0.25862068965517243</v>
      </c>
      <c r="L431" s="87">
        <f t="shared" si="45"/>
        <v>1.5024630541871922</v>
      </c>
      <c r="M431" s="87">
        <f t="shared" si="46"/>
        <v>0.4679802955665025</v>
      </c>
      <c r="N431" s="87">
        <f t="shared" si="47"/>
        <v>1.2438423645320198</v>
      </c>
      <c r="O431" s="87">
        <f t="shared" si="48"/>
        <v>3.6798029556650249</v>
      </c>
    </row>
    <row r="432" spans="1:15" x14ac:dyDescent="0.3">
      <c r="A432" t="s">
        <v>9</v>
      </c>
      <c r="B432" t="s">
        <v>1133</v>
      </c>
      <c r="C432" s="16" t="s">
        <v>272</v>
      </c>
      <c r="D432" s="16">
        <v>3</v>
      </c>
      <c r="E432" t="s">
        <v>1524</v>
      </c>
      <c r="F432" t="s">
        <v>282</v>
      </c>
      <c r="G432" t="s">
        <v>1568</v>
      </c>
      <c r="H432" t="s">
        <v>344</v>
      </c>
      <c r="I432" s="87">
        <f t="shared" si="42"/>
        <v>2.9556650246305424E-2</v>
      </c>
      <c r="J432" s="87">
        <f t="shared" si="43"/>
        <v>0.17733990147783252</v>
      </c>
      <c r="K432" s="87">
        <f t="shared" si="44"/>
        <v>0.25862068965517243</v>
      </c>
      <c r="L432" s="87">
        <f t="shared" si="45"/>
        <v>1.5024630541871922</v>
      </c>
      <c r="M432" s="87">
        <f t="shared" si="46"/>
        <v>0.4679802955665025</v>
      </c>
      <c r="N432" s="87">
        <f t="shared" si="47"/>
        <v>1.2438423645320198</v>
      </c>
      <c r="O432" s="87">
        <f t="shared" si="48"/>
        <v>3.6798029556650249</v>
      </c>
    </row>
    <row r="433" spans="1:15" x14ac:dyDescent="0.3">
      <c r="A433" t="s">
        <v>9</v>
      </c>
      <c r="B433" t="s">
        <v>1134</v>
      </c>
      <c r="C433" s="16" t="s">
        <v>272</v>
      </c>
      <c r="D433" s="16">
        <v>3</v>
      </c>
      <c r="E433" t="s">
        <v>1524</v>
      </c>
      <c r="F433" t="s">
        <v>1658</v>
      </c>
      <c r="G433" t="s">
        <v>1567</v>
      </c>
      <c r="H433" t="s">
        <v>344</v>
      </c>
      <c r="I433" s="87">
        <f t="shared" si="42"/>
        <v>2.9556650246305424E-2</v>
      </c>
      <c r="J433" s="87">
        <f t="shared" si="43"/>
        <v>0.17733990147783252</v>
      </c>
      <c r="K433" s="87">
        <f t="shared" si="44"/>
        <v>0.25862068965517243</v>
      </c>
      <c r="L433" s="87">
        <f t="shared" si="45"/>
        <v>2.5</v>
      </c>
      <c r="M433" s="87">
        <f t="shared" si="46"/>
        <v>0.21921182266009853</v>
      </c>
      <c r="N433" s="87">
        <f t="shared" si="47"/>
        <v>1.2438423645320198</v>
      </c>
      <c r="O433" s="87">
        <f t="shared" si="48"/>
        <v>4.4285714285714288</v>
      </c>
    </row>
    <row r="434" spans="1:15" x14ac:dyDescent="0.3">
      <c r="A434" t="s">
        <v>45</v>
      </c>
      <c r="B434" t="s">
        <v>1135</v>
      </c>
      <c r="C434" s="16" t="s">
        <v>272</v>
      </c>
      <c r="D434" s="16">
        <v>3</v>
      </c>
      <c r="E434" t="s">
        <v>1524</v>
      </c>
      <c r="F434" t="s">
        <v>282</v>
      </c>
      <c r="G434" t="s">
        <v>1567</v>
      </c>
      <c r="H434" t="s">
        <v>344</v>
      </c>
      <c r="I434" s="87">
        <f t="shared" si="42"/>
        <v>2.9556650246305424E-2</v>
      </c>
      <c r="J434" s="87">
        <f t="shared" si="43"/>
        <v>0.17733990147783252</v>
      </c>
      <c r="K434" s="87">
        <f t="shared" si="44"/>
        <v>0.25862068965517243</v>
      </c>
      <c r="L434" s="87">
        <f t="shared" si="45"/>
        <v>1.5024630541871922</v>
      </c>
      <c r="M434" s="87">
        <f t="shared" si="46"/>
        <v>0.21921182266009853</v>
      </c>
      <c r="N434" s="87">
        <f t="shared" si="47"/>
        <v>1.2438423645320198</v>
      </c>
      <c r="O434" s="87">
        <f t="shared" si="48"/>
        <v>3.431034482758621</v>
      </c>
    </row>
    <row r="435" spans="1:15" x14ac:dyDescent="0.3">
      <c r="A435" t="s">
        <v>45</v>
      </c>
      <c r="B435" t="s">
        <v>1136</v>
      </c>
      <c r="C435" s="16" t="s">
        <v>272</v>
      </c>
      <c r="D435" s="16">
        <v>3</v>
      </c>
      <c r="E435" t="s">
        <v>1524</v>
      </c>
      <c r="F435" t="s">
        <v>282</v>
      </c>
      <c r="G435" t="s">
        <v>1567</v>
      </c>
      <c r="H435" t="s">
        <v>344</v>
      </c>
      <c r="I435" s="87">
        <f t="shared" si="42"/>
        <v>2.9556650246305424E-2</v>
      </c>
      <c r="J435" s="87">
        <f t="shared" si="43"/>
        <v>0.17733990147783252</v>
      </c>
      <c r="K435" s="87">
        <f t="shared" si="44"/>
        <v>0.25862068965517243</v>
      </c>
      <c r="L435" s="87">
        <f t="shared" si="45"/>
        <v>1.5024630541871922</v>
      </c>
      <c r="M435" s="87">
        <f t="shared" si="46"/>
        <v>0.21921182266009853</v>
      </c>
      <c r="N435" s="87">
        <f t="shared" si="47"/>
        <v>1.2438423645320198</v>
      </c>
      <c r="O435" s="87">
        <f t="shared" si="48"/>
        <v>3.431034482758621</v>
      </c>
    </row>
    <row r="436" spans="1:15" x14ac:dyDescent="0.3">
      <c r="A436" t="s">
        <v>45</v>
      </c>
      <c r="B436" t="s">
        <v>1137</v>
      </c>
      <c r="C436" s="16" t="s">
        <v>272</v>
      </c>
      <c r="D436" s="16">
        <v>3</v>
      </c>
      <c r="E436" t="s">
        <v>1524</v>
      </c>
      <c r="F436" t="s">
        <v>282</v>
      </c>
      <c r="G436" t="s">
        <v>1567</v>
      </c>
      <c r="H436" t="s">
        <v>344</v>
      </c>
      <c r="I436" s="87">
        <f t="shared" si="42"/>
        <v>2.9556650246305424E-2</v>
      </c>
      <c r="J436" s="87">
        <f t="shared" si="43"/>
        <v>0.17733990147783252</v>
      </c>
      <c r="K436" s="87">
        <f t="shared" si="44"/>
        <v>0.25862068965517243</v>
      </c>
      <c r="L436" s="87">
        <f t="shared" si="45"/>
        <v>1.5024630541871922</v>
      </c>
      <c r="M436" s="87">
        <f t="shared" si="46"/>
        <v>0.21921182266009853</v>
      </c>
      <c r="N436" s="87">
        <f t="shared" si="47"/>
        <v>1.2438423645320198</v>
      </c>
      <c r="O436" s="87">
        <f t="shared" si="48"/>
        <v>3.431034482758621</v>
      </c>
    </row>
    <row r="437" spans="1:15" x14ac:dyDescent="0.3">
      <c r="A437" t="s">
        <v>45</v>
      </c>
      <c r="B437" t="s">
        <v>1138</v>
      </c>
      <c r="C437" s="16" t="s">
        <v>272</v>
      </c>
      <c r="D437" s="16">
        <v>3</v>
      </c>
      <c r="E437" t="s">
        <v>1524</v>
      </c>
      <c r="F437" t="s">
        <v>282</v>
      </c>
      <c r="G437" t="s">
        <v>1567</v>
      </c>
      <c r="H437" t="s">
        <v>344</v>
      </c>
      <c r="I437" s="87">
        <f t="shared" si="42"/>
        <v>2.9556650246305424E-2</v>
      </c>
      <c r="J437" s="87">
        <f t="shared" si="43"/>
        <v>0.17733990147783252</v>
      </c>
      <c r="K437" s="87">
        <f t="shared" si="44"/>
        <v>0.25862068965517243</v>
      </c>
      <c r="L437" s="87">
        <f t="shared" si="45"/>
        <v>1.5024630541871922</v>
      </c>
      <c r="M437" s="87">
        <f t="shared" si="46"/>
        <v>0.21921182266009853</v>
      </c>
      <c r="N437" s="87">
        <f t="shared" si="47"/>
        <v>1.2438423645320198</v>
      </c>
      <c r="O437" s="87">
        <f t="shared" si="48"/>
        <v>3.431034482758621</v>
      </c>
    </row>
    <row r="438" spans="1:15" x14ac:dyDescent="0.3">
      <c r="A438" t="s">
        <v>45</v>
      </c>
      <c r="B438" t="s">
        <v>1139</v>
      </c>
      <c r="C438" s="16" t="s">
        <v>272</v>
      </c>
      <c r="D438" s="16">
        <v>3</v>
      </c>
      <c r="E438" t="s">
        <v>1524</v>
      </c>
      <c r="F438" t="s">
        <v>282</v>
      </c>
      <c r="G438" t="s">
        <v>1567</v>
      </c>
      <c r="H438" t="s">
        <v>344</v>
      </c>
      <c r="I438" s="87">
        <f t="shared" si="42"/>
        <v>2.9556650246305424E-2</v>
      </c>
      <c r="J438" s="87">
        <f t="shared" si="43"/>
        <v>0.17733990147783252</v>
      </c>
      <c r="K438" s="87">
        <f t="shared" si="44"/>
        <v>0.25862068965517243</v>
      </c>
      <c r="L438" s="87">
        <f t="shared" si="45"/>
        <v>1.5024630541871922</v>
      </c>
      <c r="M438" s="87">
        <f t="shared" si="46"/>
        <v>0.21921182266009853</v>
      </c>
      <c r="N438" s="87">
        <f t="shared" si="47"/>
        <v>1.2438423645320198</v>
      </c>
      <c r="O438" s="87">
        <f t="shared" si="48"/>
        <v>3.431034482758621</v>
      </c>
    </row>
    <row r="439" spans="1:15" x14ac:dyDescent="0.3">
      <c r="A439" t="s">
        <v>45</v>
      </c>
      <c r="B439" t="s">
        <v>1140</v>
      </c>
      <c r="C439" s="16" t="s">
        <v>272</v>
      </c>
      <c r="D439" s="16">
        <v>3</v>
      </c>
      <c r="E439" t="s">
        <v>1524</v>
      </c>
      <c r="F439" t="s">
        <v>282</v>
      </c>
      <c r="G439" t="s">
        <v>1567</v>
      </c>
      <c r="H439" t="s">
        <v>344</v>
      </c>
      <c r="I439" s="87">
        <f t="shared" si="42"/>
        <v>2.9556650246305424E-2</v>
      </c>
      <c r="J439" s="87">
        <f t="shared" si="43"/>
        <v>0.17733990147783252</v>
      </c>
      <c r="K439" s="87">
        <f t="shared" si="44"/>
        <v>0.25862068965517243</v>
      </c>
      <c r="L439" s="87">
        <f t="shared" si="45"/>
        <v>1.5024630541871922</v>
      </c>
      <c r="M439" s="87">
        <f t="shared" si="46"/>
        <v>0.21921182266009853</v>
      </c>
      <c r="N439" s="87">
        <f t="shared" si="47"/>
        <v>1.2438423645320198</v>
      </c>
      <c r="O439" s="87">
        <f t="shared" si="48"/>
        <v>3.431034482758621</v>
      </c>
    </row>
    <row r="440" spans="1:15" x14ac:dyDescent="0.3">
      <c r="A440" t="s">
        <v>45</v>
      </c>
      <c r="B440" t="s">
        <v>1141</v>
      </c>
      <c r="C440" s="16" t="s">
        <v>272</v>
      </c>
      <c r="D440" s="16">
        <v>3</v>
      </c>
      <c r="E440" t="s">
        <v>1524</v>
      </c>
      <c r="F440" t="s">
        <v>282</v>
      </c>
      <c r="G440" t="s">
        <v>1567</v>
      </c>
      <c r="H440" t="s">
        <v>344</v>
      </c>
      <c r="I440" s="87">
        <f t="shared" si="42"/>
        <v>2.9556650246305424E-2</v>
      </c>
      <c r="J440" s="87">
        <f t="shared" si="43"/>
        <v>0.17733990147783252</v>
      </c>
      <c r="K440" s="87">
        <f t="shared" si="44"/>
        <v>0.25862068965517243</v>
      </c>
      <c r="L440" s="87">
        <f t="shared" si="45"/>
        <v>1.5024630541871922</v>
      </c>
      <c r="M440" s="87">
        <f t="shared" si="46"/>
        <v>0.21921182266009853</v>
      </c>
      <c r="N440" s="87">
        <f t="shared" si="47"/>
        <v>1.2438423645320198</v>
      </c>
      <c r="O440" s="87">
        <f t="shared" si="48"/>
        <v>3.431034482758621</v>
      </c>
    </row>
    <row r="441" spans="1:15" x14ac:dyDescent="0.3">
      <c r="A441" t="s">
        <v>45</v>
      </c>
      <c r="B441" t="s">
        <v>1142</v>
      </c>
      <c r="C441" s="16" t="s">
        <v>272</v>
      </c>
      <c r="D441" s="16">
        <v>2</v>
      </c>
      <c r="E441" t="s">
        <v>1524</v>
      </c>
      <c r="F441" t="s">
        <v>282</v>
      </c>
      <c r="G441" t="s">
        <v>341</v>
      </c>
      <c r="H441" t="s">
        <v>344</v>
      </c>
      <c r="I441" s="87">
        <f t="shared" si="42"/>
        <v>2.9556650246305424E-2</v>
      </c>
      <c r="J441" s="87">
        <f t="shared" si="43"/>
        <v>0.82266009852216748</v>
      </c>
      <c r="K441" s="87">
        <f t="shared" si="44"/>
        <v>0.25862068965517243</v>
      </c>
      <c r="L441" s="87">
        <f t="shared" si="45"/>
        <v>1.5024630541871922</v>
      </c>
      <c r="M441" s="87">
        <f t="shared" si="46"/>
        <v>0.4605911330049261</v>
      </c>
      <c r="N441" s="87">
        <f t="shared" si="47"/>
        <v>1.2438423645320198</v>
      </c>
      <c r="O441" s="87">
        <f t="shared" si="48"/>
        <v>4.3177339901477829</v>
      </c>
    </row>
    <row r="442" spans="1:15" x14ac:dyDescent="0.3">
      <c r="A442" t="s">
        <v>45</v>
      </c>
      <c r="B442" t="s">
        <v>1143</v>
      </c>
      <c r="C442" s="16" t="s">
        <v>272</v>
      </c>
      <c r="D442" s="16">
        <v>3</v>
      </c>
      <c r="E442" t="s">
        <v>1524</v>
      </c>
      <c r="F442" t="s">
        <v>282</v>
      </c>
      <c r="G442" t="s">
        <v>1567</v>
      </c>
      <c r="H442" t="s">
        <v>344</v>
      </c>
      <c r="I442" s="87">
        <f t="shared" si="42"/>
        <v>2.9556650246305424E-2</v>
      </c>
      <c r="J442" s="87">
        <f t="shared" si="43"/>
        <v>0.17733990147783252</v>
      </c>
      <c r="K442" s="87">
        <f t="shared" si="44"/>
        <v>0.25862068965517243</v>
      </c>
      <c r="L442" s="87">
        <f t="shared" si="45"/>
        <v>1.5024630541871922</v>
      </c>
      <c r="M442" s="87">
        <f t="shared" si="46"/>
        <v>0.21921182266009853</v>
      </c>
      <c r="N442" s="87">
        <f t="shared" si="47"/>
        <v>1.2438423645320198</v>
      </c>
      <c r="O442" s="87">
        <f t="shared" si="48"/>
        <v>3.431034482758621</v>
      </c>
    </row>
    <row r="443" spans="1:15" x14ac:dyDescent="0.3">
      <c r="A443" t="s">
        <v>45</v>
      </c>
      <c r="B443" t="s">
        <v>1144</v>
      </c>
      <c r="C443" s="16" t="s">
        <v>272</v>
      </c>
      <c r="D443" s="16">
        <v>3</v>
      </c>
      <c r="E443" t="s">
        <v>1524</v>
      </c>
      <c r="F443" t="s">
        <v>282</v>
      </c>
      <c r="G443" t="s">
        <v>1567</v>
      </c>
      <c r="H443" t="s">
        <v>344</v>
      </c>
      <c r="I443" s="87">
        <f t="shared" si="42"/>
        <v>2.9556650246305424E-2</v>
      </c>
      <c r="J443" s="87">
        <f t="shared" si="43"/>
        <v>0.17733990147783252</v>
      </c>
      <c r="K443" s="87">
        <f t="shared" si="44"/>
        <v>0.25862068965517243</v>
      </c>
      <c r="L443" s="87">
        <f t="shared" si="45"/>
        <v>1.5024630541871922</v>
      </c>
      <c r="M443" s="87">
        <f t="shared" si="46"/>
        <v>0.21921182266009853</v>
      </c>
      <c r="N443" s="87">
        <f t="shared" si="47"/>
        <v>1.2438423645320198</v>
      </c>
      <c r="O443" s="87">
        <f t="shared" si="48"/>
        <v>3.431034482758621</v>
      </c>
    </row>
    <row r="444" spans="1:15" x14ac:dyDescent="0.3">
      <c r="A444" t="s">
        <v>45</v>
      </c>
      <c r="B444" t="s">
        <v>1145</v>
      </c>
      <c r="C444" s="16" t="s">
        <v>272</v>
      </c>
      <c r="D444" s="16">
        <v>3</v>
      </c>
      <c r="E444" t="s">
        <v>1524</v>
      </c>
      <c r="F444" t="s">
        <v>1540</v>
      </c>
      <c r="G444" t="s">
        <v>1567</v>
      </c>
      <c r="H444" t="s">
        <v>291</v>
      </c>
      <c r="I444" s="87">
        <f t="shared" si="42"/>
        <v>2.9556650246305424E-2</v>
      </c>
      <c r="J444" s="87">
        <f t="shared" si="43"/>
        <v>0.17733990147783252</v>
      </c>
      <c r="K444" s="87">
        <f t="shared" si="44"/>
        <v>0.25862068965517243</v>
      </c>
      <c r="L444" s="87">
        <f t="shared" si="45"/>
        <v>2.3891625615763545</v>
      </c>
      <c r="M444" s="87">
        <f t="shared" si="46"/>
        <v>0.21921182266009853</v>
      </c>
      <c r="N444" s="87">
        <f t="shared" si="47"/>
        <v>2.2906403940886699</v>
      </c>
      <c r="O444" s="87">
        <f t="shared" si="48"/>
        <v>5.3645320197044333</v>
      </c>
    </row>
    <row r="445" spans="1:15" x14ac:dyDescent="0.3">
      <c r="A445" t="s">
        <v>45</v>
      </c>
      <c r="B445" t="s">
        <v>1146</v>
      </c>
      <c r="C445" s="16" t="s">
        <v>272</v>
      </c>
      <c r="D445" s="16">
        <v>3</v>
      </c>
      <c r="E445" t="s">
        <v>1524</v>
      </c>
      <c r="F445" t="s">
        <v>282</v>
      </c>
      <c r="G445" t="s">
        <v>1567</v>
      </c>
      <c r="H445" t="s">
        <v>344</v>
      </c>
      <c r="I445" s="87">
        <f t="shared" si="42"/>
        <v>2.9556650246305424E-2</v>
      </c>
      <c r="J445" s="87">
        <f t="shared" si="43"/>
        <v>0.17733990147783252</v>
      </c>
      <c r="K445" s="87">
        <f t="shared" si="44"/>
        <v>0.25862068965517243</v>
      </c>
      <c r="L445" s="87">
        <f t="shared" si="45"/>
        <v>1.5024630541871922</v>
      </c>
      <c r="M445" s="87">
        <f t="shared" si="46"/>
        <v>0.21921182266009853</v>
      </c>
      <c r="N445" s="87">
        <f t="shared" si="47"/>
        <v>1.2438423645320198</v>
      </c>
      <c r="O445" s="87">
        <f t="shared" si="48"/>
        <v>3.431034482758621</v>
      </c>
    </row>
    <row r="446" spans="1:15" x14ac:dyDescent="0.3">
      <c r="A446" t="s">
        <v>45</v>
      </c>
      <c r="B446" t="s">
        <v>1147</v>
      </c>
      <c r="C446" s="16" t="s">
        <v>272</v>
      </c>
      <c r="D446" s="16">
        <v>3</v>
      </c>
      <c r="E446" t="s">
        <v>1524</v>
      </c>
      <c r="F446" t="s">
        <v>282</v>
      </c>
      <c r="G446" t="s">
        <v>1567</v>
      </c>
      <c r="H446" t="s">
        <v>344</v>
      </c>
      <c r="I446" s="87">
        <f t="shared" si="42"/>
        <v>2.9556650246305424E-2</v>
      </c>
      <c r="J446" s="87">
        <f t="shared" si="43"/>
        <v>0.17733990147783252</v>
      </c>
      <c r="K446" s="87">
        <f t="shared" si="44"/>
        <v>0.25862068965517243</v>
      </c>
      <c r="L446" s="87">
        <f t="shared" si="45"/>
        <v>1.5024630541871922</v>
      </c>
      <c r="M446" s="87">
        <f t="shared" si="46"/>
        <v>0.21921182266009853</v>
      </c>
      <c r="N446" s="87">
        <f t="shared" si="47"/>
        <v>1.2438423645320198</v>
      </c>
      <c r="O446" s="87">
        <f t="shared" si="48"/>
        <v>3.431034482758621</v>
      </c>
    </row>
    <row r="447" spans="1:15" x14ac:dyDescent="0.3">
      <c r="A447" t="s">
        <v>45</v>
      </c>
      <c r="B447" t="s">
        <v>1148</v>
      </c>
      <c r="C447" s="16" t="s">
        <v>272</v>
      </c>
      <c r="D447" s="16">
        <v>3</v>
      </c>
      <c r="E447" t="s">
        <v>1524</v>
      </c>
      <c r="F447" t="s">
        <v>282</v>
      </c>
      <c r="G447" t="s">
        <v>1567</v>
      </c>
      <c r="H447" t="s">
        <v>344</v>
      </c>
      <c r="I447" s="87">
        <f t="shared" si="42"/>
        <v>2.9556650246305424E-2</v>
      </c>
      <c r="J447" s="87">
        <f t="shared" si="43"/>
        <v>0.17733990147783252</v>
      </c>
      <c r="K447" s="87">
        <f t="shared" si="44"/>
        <v>0.25862068965517243</v>
      </c>
      <c r="L447" s="87">
        <f t="shared" si="45"/>
        <v>1.5024630541871922</v>
      </c>
      <c r="M447" s="87">
        <f t="shared" si="46"/>
        <v>0.21921182266009853</v>
      </c>
      <c r="N447" s="87">
        <f t="shared" si="47"/>
        <v>1.2438423645320198</v>
      </c>
      <c r="O447" s="87">
        <f t="shared" si="48"/>
        <v>3.431034482758621</v>
      </c>
    </row>
    <row r="448" spans="1:15" x14ac:dyDescent="0.3">
      <c r="A448" t="s">
        <v>45</v>
      </c>
      <c r="B448" t="s">
        <v>1149</v>
      </c>
      <c r="C448" s="16" t="s">
        <v>272</v>
      </c>
      <c r="D448" s="16">
        <v>3</v>
      </c>
      <c r="E448" t="s">
        <v>1524</v>
      </c>
      <c r="F448" t="s">
        <v>282</v>
      </c>
      <c r="G448" t="s">
        <v>1567</v>
      </c>
      <c r="H448" t="s">
        <v>344</v>
      </c>
      <c r="I448" s="87">
        <f t="shared" si="42"/>
        <v>2.9556650246305424E-2</v>
      </c>
      <c r="J448" s="87">
        <f t="shared" si="43"/>
        <v>0.17733990147783252</v>
      </c>
      <c r="K448" s="87">
        <f t="shared" si="44"/>
        <v>0.25862068965517243</v>
      </c>
      <c r="L448" s="87">
        <f t="shared" si="45"/>
        <v>1.5024630541871922</v>
      </c>
      <c r="M448" s="87">
        <f t="shared" si="46"/>
        <v>0.21921182266009853</v>
      </c>
      <c r="N448" s="87">
        <f t="shared" si="47"/>
        <v>1.2438423645320198</v>
      </c>
      <c r="O448" s="87">
        <f t="shared" si="48"/>
        <v>3.431034482758621</v>
      </c>
    </row>
    <row r="449" spans="1:15" x14ac:dyDescent="0.3">
      <c r="A449" t="s">
        <v>45</v>
      </c>
      <c r="B449" t="s">
        <v>1150</v>
      </c>
      <c r="C449" s="16" t="s">
        <v>272</v>
      </c>
      <c r="D449" s="16">
        <v>3</v>
      </c>
      <c r="E449" t="s">
        <v>1524</v>
      </c>
      <c r="F449" t="s">
        <v>1540</v>
      </c>
      <c r="G449" t="s">
        <v>1567</v>
      </c>
      <c r="H449" t="s">
        <v>291</v>
      </c>
      <c r="I449" s="87">
        <f t="shared" si="42"/>
        <v>2.9556650246305424E-2</v>
      </c>
      <c r="J449" s="87">
        <f t="shared" si="43"/>
        <v>0.17733990147783252</v>
      </c>
      <c r="K449" s="87">
        <f t="shared" si="44"/>
        <v>0.25862068965517243</v>
      </c>
      <c r="L449" s="87">
        <f t="shared" si="45"/>
        <v>2.3891625615763545</v>
      </c>
      <c r="M449" s="87">
        <f t="shared" si="46"/>
        <v>0.21921182266009853</v>
      </c>
      <c r="N449" s="87">
        <f t="shared" si="47"/>
        <v>2.2906403940886699</v>
      </c>
      <c r="O449" s="87">
        <f t="shared" si="48"/>
        <v>5.3645320197044333</v>
      </c>
    </row>
    <row r="450" spans="1:15" x14ac:dyDescent="0.3">
      <c r="A450" t="s">
        <v>45</v>
      </c>
      <c r="B450" t="s">
        <v>1151</v>
      </c>
      <c r="C450" s="16" t="s">
        <v>272</v>
      </c>
      <c r="D450" s="16">
        <v>3</v>
      </c>
      <c r="E450" t="s">
        <v>1524</v>
      </c>
      <c r="F450" t="s">
        <v>282</v>
      </c>
      <c r="G450" t="s">
        <v>1567</v>
      </c>
      <c r="H450" t="s">
        <v>344</v>
      </c>
      <c r="I450" s="87">
        <f t="shared" si="42"/>
        <v>2.9556650246305424E-2</v>
      </c>
      <c r="J450" s="87">
        <f t="shared" si="43"/>
        <v>0.17733990147783252</v>
      </c>
      <c r="K450" s="87">
        <f t="shared" si="44"/>
        <v>0.25862068965517243</v>
      </c>
      <c r="L450" s="87">
        <f t="shared" si="45"/>
        <v>1.5024630541871922</v>
      </c>
      <c r="M450" s="87">
        <f t="shared" si="46"/>
        <v>0.21921182266009853</v>
      </c>
      <c r="N450" s="87">
        <f t="shared" si="47"/>
        <v>1.2438423645320198</v>
      </c>
      <c r="O450" s="87">
        <f t="shared" si="48"/>
        <v>3.431034482758621</v>
      </c>
    </row>
    <row r="451" spans="1:15" x14ac:dyDescent="0.3">
      <c r="A451" t="s">
        <v>45</v>
      </c>
      <c r="B451" t="s">
        <v>1152</v>
      </c>
      <c r="C451" s="16" t="s">
        <v>272</v>
      </c>
      <c r="D451" s="16">
        <v>3</v>
      </c>
      <c r="E451" t="s">
        <v>1524</v>
      </c>
      <c r="F451" t="s">
        <v>1540</v>
      </c>
      <c r="G451" t="s">
        <v>1567</v>
      </c>
      <c r="H451" t="s">
        <v>1570</v>
      </c>
      <c r="I451" s="87">
        <f t="shared" si="42"/>
        <v>2.9556650246305424E-2</v>
      </c>
      <c r="J451" s="87">
        <f t="shared" si="43"/>
        <v>0.17733990147783252</v>
      </c>
      <c r="K451" s="87">
        <f t="shared" si="44"/>
        <v>0.25862068965517243</v>
      </c>
      <c r="L451" s="87">
        <f t="shared" si="45"/>
        <v>2.3891625615763545</v>
      </c>
      <c r="M451" s="87">
        <f t="shared" si="46"/>
        <v>0.21921182266009853</v>
      </c>
      <c r="N451" s="87">
        <f t="shared" si="47"/>
        <v>2.3645320197044337</v>
      </c>
      <c r="O451" s="87">
        <f t="shared" si="48"/>
        <v>5.4384236453201975</v>
      </c>
    </row>
    <row r="452" spans="1:15" x14ac:dyDescent="0.3">
      <c r="A452" t="s">
        <v>45</v>
      </c>
      <c r="B452" t="s">
        <v>1153</v>
      </c>
      <c r="C452" s="16" t="s">
        <v>272</v>
      </c>
      <c r="D452" s="16">
        <v>3</v>
      </c>
      <c r="E452" t="s">
        <v>1524</v>
      </c>
      <c r="F452" t="s">
        <v>1658</v>
      </c>
      <c r="G452" t="s">
        <v>340</v>
      </c>
      <c r="H452" t="s">
        <v>348</v>
      </c>
      <c r="I452" s="87">
        <f t="shared" ref="I452:I461" si="49">VLOOKUP(C452,$R$3:$T$4,3,0)*T$1</f>
        <v>2.9556650246305424E-2</v>
      </c>
      <c r="J452" s="87">
        <f t="shared" ref="J452:J461" si="50">VLOOKUP(D452,$U$3:$W$4,3,0)*W$1</f>
        <v>0.17733990147783252</v>
      </c>
      <c r="K452" s="87">
        <f t="shared" ref="K452:K461" si="51">VLOOKUP(E452,$X$3:$Z$8,3,0)*Z$1</f>
        <v>0.25862068965517243</v>
      </c>
      <c r="L452" s="87">
        <f t="shared" ref="L452:L461" si="52">VLOOKUP(F452,$AA$3:$AC$32,3,0)*AC$1</f>
        <v>2.5</v>
      </c>
      <c r="M452" s="87">
        <f t="shared" ref="M452:M461" si="53">VLOOKUP(G452,$AD$3:$AF$10,3,0)*AF$1</f>
        <v>0.49753694581280794</v>
      </c>
      <c r="N452" s="87">
        <f t="shared" ref="N452:N461" si="54">VLOOKUP(H452,$AG$3:$AI$19,3,0)*AI$1</f>
        <v>2.4753694581280787</v>
      </c>
      <c r="O452" s="87">
        <f t="shared" ref="O452:O461" si="55">SUM(I452:N452)</f>
        <v>5.9384236453201975</v>
      </c>
    </row>
    <row r="453" spans="1:15" x14ac:dyDescent="0.3">
      <c r="A453" t="s">
        <v>9</v>
      </c>
      <c r="B453" t="s">
        <v>1154</v>
      </c>
      <c r="C453" s="16" t="s">
        <v>272</v>
      </c>
      <c r="D453" s="16">
        <v>3</v>
      </c>
      <c r="E453" t="s">
        <v>1524</v>
      </c>
      <c r="F453" t="s">
        <v>282</v>
      </c>
      <c r="G453" t="s">
        <v>1567</v>
      </c>
      <c r="H453" t="s">
        <v>291</v>
      </c>
      <c r="I453" s="87">
        <f t="shared" si="49"/>
        <v>2.9556650246305424E-2</v>
      </c>
      <c r="J453" s="87">
        <f t="shared" si="50"/>
        <v>0.17733990147783252</v>
      </c>
      <c r="K453" s="87">
        <f t="shared" si="51"/>
        <v>0.25862068965517243</v>
      </c>
      <c r="L453" s="87">
        <f t="shared" si="52"/>
        <v>1.5024630541871922</v>
      </c>
      <c r="M453" s="87">
        <f t="shared" si="53"/>
        <v>0.21921182266009853</v>
      </c>
      <c r="N453" s="87">
        <f t="shared" si="54"/>
        <v>2.2906403940886699</v>
      </c>
      <c r="O453" s="87">
        <f t="shared" si="55"/>
        <v>4.4778325123152714</v>
      </c>
    </row>
    <row r="454" spans="1:15" x14ac:dyDescent="0.3">
      <c r="A454" t="s">
        <v>9</v>
      </c>
      <c r="B454" t="s">
        <v>1155</v>
      </c>
      <c r="C454" s="16" t="s">
        <v>272</v>
      </c>
      <c r="D454" s="16">
        <v>3</v>
      </c>
      <c r="E454" t="s">
        <v>1524</v>
      </c>
      <c r="F454" t="s">
        <v>1551</v>
      </c>
      <c r="G454" t="s">
        <v>1567</v>
      </c>
      <c r="H454" t="s">
        <v>291</v>
      </c>
      <c r="I454" s="87">
        <f t="shared" si="49"/>
        <v>2.9556650246305424E-2</v>
      </c>
      <c r="J454" s="87">
        <f t="shared" si="50"/>
        <v>0.17733990147783252</v>
      </c>
      <c r="K454" s="87">
        <f t="shared" si="51"/>
        <v>0.25862068965517243</v>
      </c>
      <c r="L454" s="87">
        <f t="shared" si="52"/>
        <v>2.4876847290640396</v>
      </c>
      <c r="M454" s="87">
        <f t="shared" si="53"/>
        <v>0.21921182266009853</v>
      </c>
      <c r="N454" s="87">
        <f t="shared" si="54"/>
        <v>2.2906403940886699</v>
      </c>
      <c r="O454" s="87">
        <f t="shared" si="55"/>
        <v>5.4630541871921183</v>
      </c>
    </row>
    <row r="455" spans="1:15" x14ac:dyDescent="0.3">
      <c r="A455" t="s">
        <v>9</v>
      </c>
      <c r="B455" t="s">
        <v>1156</v>
      </c>
      <c r="C455" s="16" t="s">
        <v>272</v>
      </c>
      <c r="D455" s="16">
        <v>3</v>
      </c>
      <c r="E455" t="s">
        <v>1524</v>
      </c>
      <c r="F455" t="s">
        <v>1551</v>
      </c>
      <c r="G455" t="s">
        <v>1567</v>
      </c>
      <c r="H455" t="s">
        <v>291</v>
      </c>
      <c r="I455" s="87">
        <f t="shared" si="49"/>
        <v>2.9556650246305424E-2</v>
      </c>
      <c r="J455" s="87">
        <f t="shared" si="50"/>
        <v>0.17733990147783252</v>
      </c>
      <c r="K455" s="87">
        <f t="shared" si="51"/>
        <v>0.25862068965517243</v>
      </c>
      <c r="L455" s="87">
        <f t="shared" si="52"/>
        <v>2.4876847290640396</v>
      </c>
      <c r="M455" s="87">
        <f t="shared" si="53"/>
        <v>0.21921182266009853</v>
      </c>
      <c r="N455" s="87">
        <f t="shared" si="54"/>
        <v>2.2906403940886699</v>
      </c>
      <c r="O455" s="87">
        <f t="shared" si="55"/>
        <v>5.4630541871921183</v>
      </c>
    </row>
    <row r="456" spans="1:15" x14ac:dyDescent="0.3">
      <c r="A456" t="s">
        <v>9</v>
      </c>
      <c r="B456" t="s">
        <v>1157</v>
      </c>
      <c r="C456" s="16" t="s">
        <v>272</v>
      </c>
      <c r="D456" s="16">
        <v>3</v>
      </c>
      <c r="E456" t="s">
        <v>1524</v>
      </c>
      <c r="F456" t="s">
        <v>282</v>
      </c>
      <c r="G456" t="s">
        <v>1566</v>
      </c>
      <c r="H456" t="s">
        <v>1571</v>
      </c>
      <c r="I456" s="87">
        <f t="shared" si="49"/>
        <v>2.9556650246305424E-2</v>
      </c>
      <c r="J456" s="87">
        <f t="shared" si="50"/>
        <v>0.17733990147783252</v>
      </c>
      <c r="K456" s="87">
        <f t="shared" si="51"/>
        <v>0.25862068965517243</v>
      </c>
      <c r="L456" s="87">
        <f t="shared" si="52"/>
        <v>1.5024630541871922</v>
      </c>
      <c r="M456" s="87">
        <f t="shared" si="53"/>
        <v>0.38669950738916259</v>
      </c>
      <c r="N456" s="87">
        <f t="shared" si="54"/>
        <v>2.4630541871921183</v>
      </c>
      <c r="O456" s="87">
        <f t="shared" si="55"/>
        <v>4.8177339901477838</v>
      </c>
    </row>
    <row r="457" spans="1:15" x14ac:dyDescent="0.3">
      <c r="A457" t="s">
        <v>9</v>
      </c>
      <c r="B457" t="s">
        <v>1158</v>
      </c>
      <c r="C457" s="16" t="s">
        <v>272</v>
      </c>
      <c r="D457" s="16">
        <v>2</v>
      </c>
      <c r="E457" t="s">
        <v>1524</v>
      </c>
      <c r="F457" t="s">
        <v>282</v>
      </c>
      <c r="G457" t="s">
        <v>341</v>
      </c>
      <c r="H457" t="s">
        <v>344</v>
      </c>
      <c r="I457" s="87">
        <f t="shared" si="49"/>
        <v>2.9556650246305424E-2</v>
      </c>
      <c r="J457" s="87">
        <f t="shared" si="50"/>
        <v>0.82266009852216748</v>
      </c>
      <c r="K457" s="87">
        <f t="shared" si="51"/>
        <v>0.25862068965517243</v>
      </c>
      <c r="L457" s="87">
        <f t="shared" si="52"/>
        <v>1.5024630541871922</v>
      </c>
      <c r="M457" s="87">
        <f t="shared" si="53"/>
        <v>0.4605911330049261</v>
      </c>
      <c r="N457" s="87">
        <f t="shared" si="54"/>
        <v>1.2438423645320198</v>
      </c>
      <c r="O457" s="87">
        <f t="shared" si="55"/>
        <v>4.3177339901477829</v>
      </c>
    </row>
    <row r="458" spans="1:15" x14ac:dyDescent="0.3">
      <c r="A458" t="s">
        <v>9</v>
      </c>
      <c r="B458" t="s">
        <v>1159</v>
      </c>
      <c r="C458" s="16" t="s">
        <v>272</v>
      </c>
      <c r="D458" s="16">
        <v>3</v>
      </c>
      <c r="E458" t="s">
        <v>1524</v>
      </c>
      <c r="F458" t="s">
        <v>282</v>
      </c>
      <c r="G458" t="s">
        <v>341</v>
      </c>
      <c r="H458" t="s">
        <v>344</v>
      </c>
      <c r="I458" s="87">
        <f t="shared" si="49"/>
        <v>2.9556650246305424E-2</v>
      </c>
      <c r="J458" s="87">
        <f t="shared" si="50"/>
        <v>0.17733990147783252</v>
      </c>
      <c r="K458" s="87">
        <f t="shared" si="51"/>
        <v>0.25862068965517243</v>
      </c>
      <c r="L458" s="87">
        <f t="shared" si="52"/>
        <v>1.5024630541871922</v>
      </c>
      <c r="M458" s="87">
        <f t="shared" si="53"/>
        <v>0.4605911330049261</v>
      </c>
      <c r="N458" s="87">
        <f t="shared" si="54"/>
        <v>1.2438423645320198</v>
      </c>
      <c r="O458" s="87">
        <f t="shared" si="55"/>
        <v>3.6724137931034484</v>
      </c>
    </row>
    <row r="459" spans="1:15" x14ac:dyDescent="0.3">
      <c r="A459" t="s">
        <v>9</v>
      </c>
      <c r="B459" t="s">
        <v>1160</v>
      </c>
      <c r="C459" s="16" t="s">
        <v>272</v>
      </c>
      <c r="D459" s="16">
        <v>3</v>
      </c>
      <c r="E459" t="s">
        <v>1524</v>
      </c>
      <c r="F459" t="s">
        <v>282</v>
      </c>
      <c r="G459" t="s">
        <v>341</v>
      </c>
      <c r="H459" t="s">
        <v>344</v>
      </c>
      <c r="I459" s="87">
        <f t="shared" si="49"/>
        <v>2.9556650246305424E-2</v>
      </c>
      <c r="J459" s="87">
        <f t="shared" si="50"/>
        <v>0.17733990147783252</v>
      </c>
      <c r="K459" s="87">
        <f t="shared" si="51"/>
        <v>0.25862068965517243</v>
      </c>
      <c r="L459" s="87">
        <f t="shared" si="52"/>
        <v>1.5024630541871922</v>
      </c>
      <c r="M459" s="87">
        <f t="shared" si="53"/>
        <v>0.4605911330049261</v>
      </c>
      <c r="N459" s="87">
        <f t="shared" si="54"/>
        <v>1.2438423645320198</v>
      </c>
      <c r="O459" s="87">
        <f t="shared" si="55"/>
        <v>3.6724137931034484</v>
      </c>
    </row>
    <row r="460" spans="1:15" x14ac:dyDescent="0.3">
      <c r="A460" t="s">
        <v>9</v>
      </c>
      <c r="B460" t="s">
        <v>1161</v>
      </c>
      <c r="C460" s="16" t="s">
        <v>272</v>
      </c>
      <c r="D460" s="16">
        <v>3</v>
      </c>
      <c r="E460" t="s">
        <v>1524</v>
      </c>
      <c r="F460" t="s">
        <v>282</v>
      </c>
      <c r="G460" t="s">
        <v>1566</v>
      </c>
      <c r="H460" t="s">
        <v>1570</v>
      </c>
      <c r="I460" s="87">
        <f t="shared" si="49"/>
        <v>2.9556650246305424E-2</v>
      </c>
      <c r="J460" s="87">
        <f t="shared" si="50"/>
        <v>0.17733990147783252</v>
      </c>
      <c r="K460" s="87">
        <f t="shared" si="51"/>
        <v>0.25862068965517243</v>
      </c>
      <c r="L460" s="87">
        <f t="shared" si="52"/>
        <v>1.5024630541871922</v>
      </c>
      <c r="M460" s="87">
        <f t="shared" si="53"/>
        <v>0.38669950738916259</v>
      </c>
      <c r="N460" s="87">
        <f t="shared" si="54"/>
        <v>2.3645320197044337</v>
      </c>
      <c r="O460" s="87">
        <f t="shared" si="55"/>
        <v>4.7192118226600996</v>
      </c>
    </row>
    <row r="461" spans="1:15" x14ac:dyDescent="0.3">
      <c r="A461" t="s">
        <v>9</v>
      </c>
      <c r="B461" t="s">
        <v>1162</v>
      </c>
      <c r="C461" s="16" t="s">
        <v>272</v>
      </c>
      <c r="D461" s="16">
        <v>3</v>
      </c>
      <c r="E461" t="s">
        <v>1524</v>
      </c>
      <c r="F461" t="s">
        <v>282</v>
      </c>
      <c r="G461" t="s">
        <v>1567</v>
      </c>
      <c r="H461" t="s">
        <v>344</v>
      </c>
      <c r="I461" s="87">
        <f t="shared" si="49"/>
        <v>2.9556650246305424E-2</v>
      </c>
      <c r="J461" s="87">
        <f t="shared" si="50"/>
        <v>0.17733990147783252</v>
      </c>
      <c r="K461" s="87">
        <f t="shared" si="51"/>
        <v>0.25862068965517243</v>
      </c>
      <c r="L461" s="87">
        <f t="shared" si="52"/>
        <v>1.5024630541871922</v>
      </c>
      <c r="M461" s="87">
        <f t="shared" si="53"/>
        <v>0.21921182266009853</v>
      </c>
      <c r="N461" s="87">
        <f t="shared" si="54"/>
        <v>1.2438423645320198</v>
      </c>
      <c r="O461" s="87">
        <f t="shared" si="55"/>
        <v>3.431034482758621</v>
      </c>
    </row>
  </sheetData>
  <mergeCells count="1">
    <mergeCell ref="A1:O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03859BC-6544-4EC4-AB14-5271ABD99772}">
          <x14:formula1>
            <xm:f>DimensionsEval!$H$13:$P$13</xm:f>
          </x14:formula1>
          <xm:sqref>AN3:AO9 AO10:AO26</xm:sqref>
        </x14:dataValidation>
        <x14:dataValidation type="list" allowBlank="1" showInputMessage="1" showErrorMessage="1" xr:uid="{0A531B9D-A64A-4E78-A0FB-3F1F73C1A0BB}">
          <x14:formula1>
            <xm:f>DimensionsEval!$H$3:$K$3</xm:f>
          </x14:formula1>
          <xm:sqref>D3:D461 U3:U4</xm:sqref>
        </x14:dataValidation>
        <x14:dataValidation type="list" allowBlank="1" showInputMessage="1" showErrorMessage="1" xr:uid="{F4FFA1EB-7FBD-4675-92EA-99FBA197E7F2}">
          <x14:formula1>
            <xm:f>DimensionsEval!$H$2:$L$2</xm:f>
          </x14:formula1>
          <xm:sqref>C3:C461 R3:R4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2508-A7A7-4047-864F-453CF0AAC398}">
  <sheetPr>
    <tabColor rgb="FF006666"/>
  </sheetPr>
  <dimension ref="A1:AJ460"/>
  <sheetViews>
    <sheetView topLeftCell="K1" zoomScale="85" zoomScaleNormal="85" workbookViewId="0">
      <selection activeCell="R13" sqref="R13"/>
    </sheetView>
  </sheetViews>
  <sheetFormatPr defaultRowHeight="14.4" x14ac:dyDescent="0.3"/>
  <cols>
    <col min="7" max="7" width="12.33203125" customWidth="1"/>
    <col min="8" max="8" width="26.6640625" bestFit="1" customWidth="1"/>
    <col min="9" max="9" width="10.109375" customWidth="1"/>
    <col min="15" max="15" width="10.109375" customWidth="1"/>
    <col min="24" max="24" width="12.44140625" bestFit="1" customWidth="1"/>
    <col min="27" max="27" width="18.88671875" bestFit="1" customWidth="1"/>
  </cols>
  <sheetData>
    <row r="1" spans="1:36" x14ac:dyDescent="0.3">
      <c r="A1" s="91" t="s">
        <v>0</v>
      </c>
      <c r="B1" s="91" t="s">
        <v>684</v>
      </c>
      <c r="C1" s="91" t="s">
        <v>196</v>
      </c>
      <c r="D1" s="92" t="s">
        <v>197</v>
      </c>
      <c r="E1" s="91" t="s">
        <v>1523</v>
      </c>
      <c r="F1" s="93" t="s">
        <v>1530</v>
      </c>
      <c r="G1" s="93" t="s">
        <v>1565</v>
      </c>
      <c r="H1" s="91" t="s">
        <v>1575</v>
      </c>
      <c r="I1" s="100" t="s">
        <v>1612</v>
      </c>
      <c r="K1" s="91" t="s">
        <v>0</v>
      </c>
      <c r="L1" s="91" t="s">
        <v>1</v>
      </c>
      <c r="M1" s="100" t="s">
        <v>2</v>
      </c>
      <c r="N1" s="100" t="s">
        <v>3</v>
      </c>
      <c r="O1" s="100" t="s">
        <v>1660</v>
      </c>
      <c r="Q1" s="91" t="s">
        <v>0</v>
      </c>
      <c r="R1" s="91" t="s">
        <v>1</v>
      </c>
      <c r="S1" s="100" t="s">
        <v>2</v>
      </c>
      <c r="T1" s="100" t="s">
        <v>3</v>
      </c>
      <c r="U1" s="100" t="s">
        <v>1661</v>
      </c>
      <c r="W1" s="91" t="s">
        <v>0</v>
      </c>
      <c r="X1" s="91" t="s">
        <v>1</v>
      </c>
      <c r="Y1" s="91" t="s">
        <v>1662</v>
      </c>
      <c r="Z1" s="91" t="s">
        <v>1663</v>
      </c>
      <c r="AA1" s="91" t="s">
        <v>1666</v>
      </c>
      <c r="AB1" s="91" t="s">
        <v>1667</v>
      </c>
      <c r="AC1" s="91" t="s">
        <v>1668</v>
      </c>
      <c r="AD1" s="91" t="s">
        <v>1669</v>
      </c>
      <c r="AE1" s="91" t="s">
        <v>1670</v>
      </c>
      <c r="AF1" s="91" t="s">
        <v>1671</v>
      </c>
    </row>
    <row r="2" spans="1:36" x14ac:dyDescent="0.3">
      <c r="A2" t="s">
        <v>43</v>
      </c>
      <c r="B2" t="s">
        <v>703</v>
      </c>
      <c r="C2" s="88" t="s">
        <v>272</v>
      </c>
      <c r="D2" s="88">
        <v>3</v>
      </c>
      <c r="E2" t="s">
        <v>1529</v>
      </c>
      <c r="F2" t="s">
        <v>1628</v>
      </c>
      <c r="G2" t="s">
        <v>1567</v>
      </c>
      <c r="H2" t="s">
        <v>1570</v>
      </c>
      <c r="I2" s="87">
        <v>7.7536945812807883</v>
      </c>
      <c r="K2" t="s">
        <v>43</v>
      </c>
      <c r="L2" t="s">
        <v>50</v>
      </c>
      <c r="M2" t="s">
        <v>11</v>
      </c>
      <c r="N2" t="s">
        <v>12</v>
      </c>
      <c r="O2" s="87">
        <v>7.7536945812807883</v>
      </c>
      <c r="Q2" t="s">
        <v>43</v>
      </c>
      <c r="R2" t="s">
        <v>50</v>
      </c>
      <c r="S2" t="s">
        <v>20</v>
      </c>
      <c r="T2" t="s">
        <v>29</v>
      </c>
      <c r="U2" s="87">
        <v>4.485221674876847</v>
      </c>
      <c r="W2" t="s">
        <v>43</v>
      </c>
      <c r="X2" t="s">
        <v>50</v>
      </c>
      <c r="Y2">
        <f>AVERAGEIF($L$2:$L$204,X2,$O$2:$O$204)</f>
        <v>5.1182266009852215</v>
      </c>
      <c r="Z2">
        <f>AVERAGEIF($R$2:$R$257,X2,$U$2:$U$257)</f>
        <v>5.036672140120416</v>
      </c>
      <c r="AA2">
        <f>_xlfn.MAXIFS($O$2:$O$204,$L$2:$L$204,$X2)</f>
        <v>7.7536945812807883</v>
      </c>
      <c r="AB2">
        <f>_xlfn.MAXIFS($U$2:$U$257,$R$2:$R$257,$X2)</f>
        <v>6.583743842364532</v>
      </c>
      <c r="AC2">
        <f>_xlfn.MINIFS($O$2:$O$204,$L$2:$L$204,$X2)</f>
        <v>4.3669950738916254</v>
      </c>
      <c r="AD2">
        <f>_xlfn.MINIFS($U$2:$U$257,$R$2:$R$257,$X2)</f>
        <v>4.3423645320197046</v>
      </c>
      <c r="AE2">
        <f t="array" ref="AE2">MEDIAN(IF($L$2:$L$204=$X2,$O$2:$O$204))</f>
        <v>4.3669950738916254</v>
      </c>
      <c r="AF2">
        <f t="array" ref="AF2">MEDIAN(IF($R$2:$R$257=$X2,$U$2:$U$257))</f>
        <v>4.485221674876847</v>
      </c>
      <c r="AJ2" s="86"/>
    </row>
    <row r="3" spans="1:36" x14ac:dyDescent="0.3">
      <c r="A3" t="s">
        <v>43</v>
      </c>
      <c r="B3" t="s">
        <v>705</v>
      </c>
      <c r="C3" s="16" t="s">
        <v>272</v>
      </c>
      <c r="D3" s="16">
        <v>3</v>
      </c>
      <c r="E3" t="s">
        <v>1524</v>
      </c>
      <c r="F3" t="s">
        <v>1540</v>
      </c>
      <c r="G3" t="s">
        <v>1566</v>
      </c>
      <c r="H3" t="s">
        <v>344</v>
      </c>
      <c r="I3" s="87">
        <v>4.485221674876847</v>
      </c>
      <c r="K3" t="s">
        <v>43</v>
      </c>
      <c r="L3" t="s">
        <v>50</v>
      </c>
      <c r="M3" t="s">
        <v>15</v>
      </c>
      <c r="N3" t="s">
        <v>12</v>
      </c>
      <c r="O3" s="87">
        <v>4.3669950738916254</v>
      </c>
      <c r="Q3" t="s">
        <v>43</v>
      </c>
      <c r="R3" t="s">
        <v>50</v>
      </c>
      <c r="S3" t="s">
        <v>27</v>
      </c>
      <c r="T3" t="s">
        <v>29</v>
      </c>
      <c r="U3" s="87">
        <v>6.583743842364532</v>
      </c>
      <c r="W3" t="s">
        <v>45</v>
      </c>
      <c r="X3" t="s">
        <v>68</v>
      </c>
      <c r="Y3">
        <f t="shared" ref="Y3:Y31" si="0">AVERAGEIF($L$2:$L$204,X3,$O$2:$O$204)</f>
        <v>5.0477832512315279</v>
      </c>
      <c r="Z3">
        <f t="shared" ref="Z3:Z31" si="1">AVERAGEIF($R$2:$R$257,X3,$U$2:$U$257)</f>
        <v>4.4162561576354689</v>
      </c>
      <c r="AA3">
        <f t="shared" ref="AA3:AA31" si="2">_xlfn.MAXIFS($O$2:$O$204,$L$2:$L$204,$X3)</f>
        <v>5.5123152709359609</v>
      </c>
      <c r="AB3">
        <f t="shared" ref="AB3:AB31" si="3">_xlfn.MAXIFS($U$2:$U$257,$R$2:$R$257,$X3)</f>
        <v>4.6157635467980302</v>
      </c>
      <c r="AC3">
        <f t="shared" ref="AC3:AC31" si="4">_xlfn.MINIFS($O$2:$O$204,$L$2:$L$204,$X3)</f>
        <v>4.7068965517241388</v>
      </c>
      <c r="AD3">
        <f t="shared" ref="AD3:AD31" si="5">_xlfn.MINIFS($U$2:$U$257,$R$2:$R$257,$X3)</f>
        <v>4.3177339901477829</v>
      </c>
      <c r="AE3">
        <f t="array" ref="AE3">MEDIAN(IF($L$2:$L$204=$X3,$O$2:$O$204))</f>
        <v>4.8004926108374395</v>
      </c>
      <c r="AF3">
        <f t="array" ref="AF3">MEDIAN(IF($R$2:$R$257=$X3,$U$2:$U$257))</f>
        <v>4.3423645320197046</v>
      </c>
    </row>
    <row r="4" spans="1:36" x14ac:dyDescent="0.3">
      <c r="A4" t="s">
        <v>43</v>
      </c>
      <c r="B4" t="s">
        <v>706</v>
      </c>
      <c r="C4" s="16" t="s">
        <v>272</v>
      </c>
      <c r="D4" s="16">
        <v>2</v>
      </c>
      <c r="E4" t="s">
        <v>1657</v>
      </c>
      <c r="F4" t="s">
        <v>282</v>
      </c>
      <c r="G4" t="s">
        <v>342</v>
      </c>
      <c r="H4" t="s">
        <v>344</v>
      </c>
      <c r="I4" s="87">
        <v>6.583743842364532</v>
      </c>
      <c r="K4" t="s">
        <v>43</v>
      </c>
      <c r="L4" t="s">
        <v>50</v>
      </c>
      <c r="M4" t="s">
        <v>14</v>
      </c>
      <c r="N4" t="s">
        <v>12</v>
      </c>
      <c r="O4" s="87">
        <v>4.3669950738916254</v>
      </c>
      <c r="Q4" t="s">
        <v>43</v>
      </c>
      <c r="R4" t="s">
        <v>50</v>
      </c>
      <c r="S4" t="s">
        <v>23</v>
      </c>
      <c r="T4" t="s">
        <v>29</v>
      </c>
      <c r="U4" s="87">
        <v>4.3423645320197046</v>
      </c>
      <c r="W4" t="s">
        <v>9</v>
      </c>
      <c r="X4" t="s">
        <v>60</v>
      </c>
      <c r="Y4">
        <f t="shared" si="0"/>
        <v>5.4649014778325125</v>
      </c>
      <c r="Z4">
        <f t="shared" si="1"/>
        <v>5.0758620689655176</v>
      </c>
      <c r="AA4">
        <f t="shared" si="2"/>
        <v>5.7413793103448274</v>
      </c>
      <c r="AB4">
        <f t="shared" si="3"/>
        <v>8.0960591133004929</v>
      </c>
      <c r="AC4">
        <f t="shared" si="4"/>
        <v>5.3029556650246308</v>
      </c>
      <c r="AD4">
        <f t="shared" si="5"/>
        <v>3.431034482758621</v>
      </c>
      <c r="AE4">
        <f t="array" ref="AE4">MEDIAN(IF($L$2:$L$204=$X4,$O$2:$O$204))</f>
        <v>5.4076354679802954</v>
      </c>
      <c r="AF4">
        <f t="array" ref="AF4">MEDIAN(IF($R$2:$R$257=$X4,$U$2:$U$257))</f>
        <v>4.3423645320197046</v>
      </c>
    </row>
    <row r="5" spans="1:36" x14ac:dyDescent="0.3">
      <c r="A5" t="s">
        <v>43</v>
      </c>
      <c r="B5" t="s">
        <v>707</v>
      </c>
      <c r="C5" s="16" t="s">
        <v>272</v>
      </c>
      <c r="D5" s="16">
        <v>3</v>
      </c>
      <c r="E5" t="s">
        <v>1524</v>
      </c>
      <c r="F5" t="s">
        <v>1629</v>
      </c>
      <c r="G5" t="s">
        <v>1567</v>
      </c>
      <c r="H5" t="s">
        <v>344</v>
      </c>
      <c r="I5" s="87">
        <v>4.3669950738916254</v>
      </c>
      <c r="K5" t="s">
        <v>43</v>
      </c>
      <c r="L5" t="s">
        <v>50</v>
      </c>
      <c r="M5" t="s">
        <v>19</v>
      </c>
      <c r="N5" t="s">
        <v>12</v>
      </c>
      <c r="O5" s="87">
        <v>4.3669950738916254</v>
      </c>
      <c r="Q5" t="s">
        <v>43</v>
      </c>
      <c r="R5" t="s">
        <v>50</v>
      </c>
      <c r="S5" t="s">
        <v>25</v>
      </c>
      <c r="T5" t="s">
        <v>29</v>
      </c>
      <c r="U5" s="87">
        <v>4.3546798029556646</v>
      </c>
      <c r="W5" t="s">
        <v>45</v>
      </c>
      <c r="X5" t="s">
        <v>53</v>
      </c>
      <c r="Y5">
        <f t="shared" si="0"/>
        <v>3.9766009852216753</v>
      </c>
      <c r="Z5">
        <f t="shared" si="1"/>
        <v>4.5862068965517242</v>
      </c>
      <c r="AA5">
        <f t="shared" si="2"/>
        <v>4.7266009852216753</v>
      </c>
      <c r="AB5">
        <f t="shared" si="3"/>
        <v>4.7438423645320196</v>
      </c>
      <c r="AC5">
        <f t="shared" si="4"/>
        <v>3.431034482758621</v>
      </c>
      <c r="AD5">
        <f t="shared" si="5"/>
        <v>4.4285714285714288</v>
      </c>
      <c r="AE5">
        <f t="array" ref="AE5">MEDIAN(IF($L$2:$L$204=$X5,$O$2:$O$204))</f>
        <v>3.874384236453202</v>
      </c>
      <c r="AF5">
        <f t="array" ref="AF5">MEDIAN(IF($R$2:$R$257=$X5,$U$2:$U$257))</f>
        <v>4.5862068965517242</v>
      </c>
    </row>
    <row r="6" spans="1:36" x14ac:dyDescent="0.3">
      <c r="A6" t="s">
        <v>43</v>
      </c>
      <c r="B6" t="s">
        <v>708</v>
      </c>
      <c r="C6" s="16" t="s">
        <v>272</v>
      </c>
      <c r="D6" s="16">
        <v>3</v>
      </c>
      <c r="E6" t="s">
        <v>1524</v>
      </c>
      <c r="F6" t="s">
        <v>1629</v>
      </c>
      <c r="G6" t="s">
        <v>1567</v>
      </c>
      <c r="H6" t="s">
        <v>344</v>
      </c>
      <c r="I6" s="87">
        <v>4.3669950738916254</v>
      </c>
      <c r="K6" t="s">
        <v>43</v>
      </c>
      <c r="L6" t="s">
        <v>50</v>
      </c>
      <c r="M6" t="s">
        <v>17</v>
      </c>
      <c r="N6" t="s">
        <v>12</v>
      </c>
      <c r="O6" s="87">
        <v>4.3669950738916254</v>
      </c>
      <c r="Q6" t="s">
        <v>43</v>
      </c>
      <c r="R6" t="s">
        <v>50</v>
      </c>
      <c r="S6" t="s">
        <v>24</v>
      </c>
      <c r="T6" t="s">
        <v>29</v>
      </c>
      <c r="U6" s="87">
        <v>4.3546798029556646</v>
      </c>
      <c r="W6" t="s">
        <v>9</v>
      </c>
      <c r="X6" t="s">
        <v>76</v>
      </c>
      <c r="Y6">
        <f t="shared" si="0"/>
        <v>5.0351864883884598</v>
      </c>
      <c r="Z6">
        <f t="shared" si="1"/>
        <v>4.5083743842364532</v>
      </c>
      <c r="AA6">
        <f t="shared" si="2"/>
        <v>7.8596059113300498</v>
      </c>
      <c r="AB6">
        <f t="shared" si="3"/>
        <v>5.5123152709359609</v>
      </c>
      <c r="AC6">
        <f t="shared" si="4"/>
        <v>3.431034482758621</v>
      </c>
      <c r="AD6">
        <f t="shared" si="5"/>
        <v>3.6798029556650249</v>
      </c>
      <c r="AE6">
        <f t="array" ref="AE6">MEDIAN(IF($L$2:$L$204=$X6,$O$2:$O$204))</f>
        <v>4.6206896551724137</v>
      </c>
      <c r="AF6">
        <f t="array" ref="AF6">MEDIAN(IF($R$2:$R$257=$X6,$U$2:$U$257))</f>
        <v>4.4975369458128078</v>
      </c>
    </row>
    <row r="7" spans="1:36" x14ac:dyDescent="0.3">
      <c r="A7" t="s">
        <v>43</v>
      </c>
      <c r="B7" t="s">
        <v>709</v>
      </c>
      <c r="C7" s="16" t="s">
        <v>272</v>
      </c>
      <c r="D7" s="16">
        <v>3</v>
      </c>
      <c r="E7" t="s">
        <v>1524</v>
      </c>
      <c r="F7" t="s">
        <v>1629</v>
      </c>
      <c r="G7" t="s">
        <v>1567</v>
      </c>
      <c r="H7" t="s">
        <v>344</v>
      </c>
      <c r="I7" s="87">
        <v>4.3669950738916254</v>
      </c>
      <c r="K7" t="s">
        <v>43</v>
      </c>
      <c r="L7" t="s">
        <v>50</v>
      </c>
      <c r="M7" t="s">
        <v>16</v>
      </c>
      <c r="N7" t="s">
        <v>12</v>
      </c>
      <c r="O7" s="87">
        <v>5.4876847290640391</v>
      </c>
      <c r="Q7" t="s">
        <v>43</v>
      </c>
      <c r="R7" t="s">
        <v>50</v>
      </c>
      <c r="S7" t="s">
        <v>21</v>
      </c>
      <c r="T7" t="s">
        <v>29</v>
      </c>
      <c r="U7" s="87">
        <v>4.485221674876847</v>
      </c>
      <c r="W7" t="s">
        <v>43</v>
      </c>
      <c r="X7" t="s">
        <v>73</v>
      </c>
      <c r="Y7">
        <f t="shared" si="0"/>
        <v>5.1788177339901473</v>
      </c>
      <c r="Z7">
        <f t="shared" si="1"/>
        <v>6.3304970891177792</v>
      </c>
      <c r="AA7">
        <f t="shared" si="2"/>
        <v>9.3916256157635463</v>
      </c>
      <c r="AB7">
        <f t="shared" si="3"/>
        <v>9.1305418719211815</v>
      </c>
      <c r="AC7">
        <f t="shared" si="4"/>
        <v>4.3177339901477829</v>
      </c>
      <c r="AD7">
        <f t="shared" si="5"/>
        <v>4.3423645320197046</v>
      </c>
      <c r="AE7">
        <f t="array" ref="AE7">MEDIAN(IF($L$2:$L$204=$X7,$O$2:$O$204))</f>
        <v>4.7216748768472909</v>
      </c>
      <c r="AF7">
        <f t="array" ref="AF7">MEDIAN(IF($R$2:$R$257=$X7,$U$2:$U$257))</f>
        <v>4.8004926108374395</v>
      </c>
    </row>
    <row r="8" spans="1:36" x14ac:dyDescent="0.3">
      <c r="A8" t="s">
        <v>43</v>
      </c>
      <c r="B8" t="s">
        <v>710</v>
      </c>
      <c r="C8" s="16" t="s">
        <v>272</v>
      </c>
      <c r="D8" s="16">
        <v>3</v>
      </c>
      <c r="E8" t="s">
        <v>1524</v>
      </c>
      <c r="F8" t="s">
        <v>1629</v>
      </c>
      <c r="G8" t="s">
        <v>1567</v>
      </c>
      <c r="H8" t="s">
        <v>344</v>
      </c>
      <c r="I8" s="87">
        <v>4.3669950738916254</v>
      </c>
      <c r="K8" t="s">
        <v>45</v>
      </c>
      <c r="L8" t="s">
        <v>68</v>
      </c>
      <c r="M8" t="s">
        <v>15</v>
      </c>
      <c r="N8" t="s">
        <v>12</v>
      </c>
      <c r="O8" s="87">
        <v>4.8004926108374395</v>
      </c>
      <c r="Q8" t="s">
        <v>43</v>
      </c>
      <c r="R8" t="s">
        <v>50</v>
      </c>
      <c r="S8" t="s">
        <v>26</v>
      </c>
      <c r="T8" t="s">
        <v>29</v>
      </c>
      <c r="U8" s="87">
        <v>6.4482758620689653</v>
      </c>
      <c r="W8" t="s">
        <v>45</v>
      </c>
      <c r="X8" t="s">
        <v>46</v>
      </c>
      <c r="Y8">
        <f t="shared" si="0"/>
        <v>7.5372976776917673</v>
      </c>
      <c r="Z8">
        <f t="shared" si="1"/>
        <v>7.506020799124248</v>
      </c>
      <c r="AA8">
        <f t="shared" si="2"/>
        <v>7.6921182266009858</v>
      </c>
      <c r="AB8">
        <f t="shared" si="3"/>
        <v>7.5935960591133007</v>
      </c>
      <c r="AC8">
        <f t="shared" si="4"/>
        <v>7.4950738916256165</v>
      </c>
      <c r="AD8">
        <f t="shared" si="5"/>
        <v>7.4950738916256165</v>
      </c>
      <c r="AE8">
        <f t="array" ref="AE8">MEDIAN(IF($L$2:$L$204=$X8,$O$2:$O$204))</f>
        <v>7.4950738916256165</v>
      </c>
      <c r="AF8">
        <f t="array" ref="AF8">MEDIAN(IF($R$2:$R$257=$X8,$U$2:$U$257))</f>
        <v>7.4950738916256165</v>
      </c>
    </row>
    <row r="9" spans="1:36" x14ac:dyDescent="0.3">
      <c r="A9" t="s">
        <v>43</v>
      </c>
      <c r="B9" t="s">
        <v>711</v>
      </c>
      <c r="C9" s="16" t="s">
        <v>272</v>
      </c>
      <c r="D9" s="16">
        <v>3</v>
      </c>
      <c r="E9" t="s">
        <v>1524</v>
      </c>
      <c r="F9" t="s">
        <v>1629</v>
      </c>
      <c r="G9" t="s">
        <v>1567</v>
      </c>
      <c r="H9" t="s">
        <v>1570</v>
      </c>
      <c r="I9" s="87">
        <v>5.4876847290640391</v>
      </c>
      <c r="K9" t="s">
        <v>45</v>
      </c>
      <c r="L9" t="s">
        <v>68</v>
      </c>
      <c r="M9" t="s">
        <v>14</v>
      </c>
      <c r="N9" t="s">
        <v>12</v>
      </c>
      <c r="O9" s="87">
        <v>5.5123152709359609</v>
      </c>
      <c r="Q9" t="s">
        <v>43</v>
      </c>
      <c r="R9" t="s">
        <v>50</v>
      </c>
      <c r="S9" t="s">
        <v>22</v>
      </c>
      <c r="T9" t="s">
        <v>29</v>
      </c>
      <c r="U9" s="87">
        <v>5.6059113300492616</v>
      </c>
      <c r="W9" t="s">
        <v>45</v>
      </c>
      <c r="X9" t="s">
        <v>72</v>
      </c>
      <c r="Y9">
        <f t="shared" si="0"/>
        <v>5.2274220032840724</v>
      </c>
      <c r="Z9">
        <f t="shared" si="1"/>
        <v>6.1279028852920492</v>
      </c>
      <c r="AA9">
        <f t="shared" si="2"/>
        <v>8.083743842364532</v>
      </c>
      <c r="AB9">
        <f t="shared" si="3"/>
        <v>8.083743842364532</v>
      </c>
      <c r="AC9">
        <f t="shared" si="4"/>
        <v>3.431034482758621</v>
      </c>
      <c r="AD9">
        <f t="shared" si="5"/>
        <v>4.4285714285714288</v>
      </c>
      <c r="AE9">
        <f t="array" ref="AE9">MEDIAN(IF($L$2:$L$204=$X9,$O$2:$O$204))</f>
        <v>4.4408866995073897</v>
      </c>
      <c r="AF9">
        <f t="array" ref="AF9">MEDIAN(IF($R$2:$R$257=$X9,$U$2:$U$257))</f>
        <v>5.5492610837438434</v>
      </c>
    </row>
    <row r="10" spans="1:36" x14ac:dyDescent="0.3">
      <c r="A10" t="s">
        <v>43</v>
      </c>
      <c r="B10" t="s">
        <v>712</v>
      </c>
      <c r="C10" s="16" t="s">
        <v>272</v>
      </c>
      <c r="D10" s="16">
        <v>2</v>
      </c>
      <c r="E10" t="s">
        <v>1524</v>
      </c>
      <c r="F10" t="s">
        <v>282</v>
      </c>
      <c r="G10" t="s">
        <v>342</v>
      </c>
      <c r="H10" t="s">
        <v>344</v>
      </c>
      <c r="I10" s="87">
        <v>4.3423645320197046</v>
      </c>
      <c r="K10" t="s">
        <v>45</v>
      </c>
      <c r="L10" t="s">
        <v>68</v>
      </c>
      <c r="M10" t="s">
        <v>11</v>
      </c>
      <c r="N10" t="s">
        <v>12</v>
      </c>
      <c r="O10" s="87">
        <v>5.5123152709359609</v>
      </c>
      <c r="Q10" t="s">
        <v>43</v>
      </c>
      <c r="R10" t="s">
        <v>50</v>
      </c>
      <c r="S10" t="s">
        <v>28</v>
      </c>
      <c r="T10" t="s">
        <v>29</v>
      </c>
      <c r="U10" s="87">
        <v>4.6699507389162562</v>
      </c>
      <c r="W10" t="s">
        <v>9</v>
      </c>
      <c r="X10" t="s">
        <v>10</v>
      </c>
      <c r="Y10">
        <f t="shared" si="0"/>
        <v>4.4013019000703739</v>
      </c>
      <c r="Z10">
        <f t="shared" si="1"/>
        <v>7.0190007037297706</v>
      </c>
      <c r="AA10">
        <f t="shared" si="2"/>
        <v>5.5123152709359609</v>
      </c>
      <c r="AB10">
        <f t="shared" si="3"/>
        <v>9.2980295566502456</v>
      </c>
      <c r="AC10">
        <f t="shared" si="4"/>
        <v>4.2931034482758621</v>
      </c>
      <c r="AD10">
        <f t="shared" si="5"/>
        <v>4.4285714285714288</v>
      </c>
      <c r="AE10">
        <f t="array" ref="AE10">MEDIAN(IF($L$2:$L$204=$X10,$O$2:$O$204))</f>
        <v>4.2931034482758621</v>
      </c>
      <c r="AF10">
        <f t="array" ref="AF10">MEDIAN(IF($R$2:$R$257=$X10,$U$2:$U$257))</f>
        <v>6.9470443349753701</v>
      </c>
    </row>
    <row r="11" spans="1:36" x14ac:dyDescent="0.3">
      <c r="A11" t="s">
        <v>43</v>
      </c>
      <c r="B11" t="s">
        <v>713</v>
      </c>
      <c r="C11" s="16" t="s">
        <v>272</v>
      </c>
      <c r="D11" s="16">
        <v>2</v>
      </c>
      <c r="E11" t="s">
        <v>1524</v>
      </c>
      <c r="F11" t="s">
        <v>282</v>
      </c>
      <c r="G11" t="s">
        <v>1654</v>
      </c>
      <c r="H11" t="s">
        <v>344</v>
      </c>
      <c r="I11" s="87">
        <v>4.3546798029556646</v>
      </c>
      <c r="K11" t="s">
        <v>45</v>
      </c>
      <c r="L11" t="s">
        <v>68</v>
      </c>
      <c r="M11" t="s">
        <v>17</v>
      </c>
      <c r="N11" t="s">
        <v>12</v>
      </c>
      <c r="O11" s="87">
        <v>4.7068965517241388</v>
      </c>
      <c r="Q11" t="s">
        <v>45</v>
      </c>
      <c r="R11" t="s">
        <v>68</v>
      </c>
      <c r="S11" t="s">
        <v>23</v>
      </c>
      <c r="T11" t="s">
        <v>29</v>
      </c>
      <c r="U11" s="87">
        <v>4.3423645320197046</v>
      </c>
      <c r="W11" t="s">
        <v>9</v>
      </c>
      <c r="X11" t="s">
        <v>47</v>
      </c>
      <c r="Y11">
        <f t="shared" si="0"/>
        <v>4.2231527093596055</v>
      </c>
      <c r="Z11">
        <f t="shared" si="1"/>
        <v>5.3945812807881781</v>
      </c>
      <c r="AA11">
        <f t="shared" si="2"/>
        <v>4.5714285714285712</v>
      </c>
      <c r="AB11">
        <f t="shared" si="3"/>
        <v>5.5615763546798025</v>
      </c>
      <c r="AC11">
        <f t="shared" si="4"/>
        <v>3.431034482758621</v>
      </c>
      <c r="AD11">
        <f t="shared" si="5"/>
        <v>5.2709359605911335</v>
      </c>
      <c r="AE11">
        <f t="array" ref="AE11">MEDIAN(IF($L$2:$L$204=$X11,$O$2:$O$204))</f>
        <v>4.3546798029556646</v>
      </c>
      <c r="AF11">
        <f t="array" ref="AF11">MEDIAN(IF($R$2:$R$257=$X11,$U$2:$U$257))</f>
        <v>5.3460591133004929</v>
      </c>
    </row>
    <row r="12" spans="1:36" x14ac:dyDescent="0.3">
      <c r="A12" t="s">
        <v>43</v>
      </c>
      <c r="B12" t="s">
        <v>714</v>
      </c>
      <c r="C12" s="16" t="s">
        <v>272</v>
      </c>
      <c r="D12" s="16">
        <v>2</v>
      </c>
      <c r="E12" t="s">
        <v>1524</v>
      </c>
      <c r="F12" t="s">
        <v>282</v>
      </c>
      <c r="G12" t="s">
        <v>1654</v>
      </c>
      <c r="H12" t="s">
        <v>344</v>
      </c>
      <c r="I12" s="87">
        <v>4.3546798029556646</v>
      </c>
      <c r="K12" t="s">
        <v>45</v>
      </c>
      <c r="L12" t="s">
        <v>68</v>
      </c>
      <c r="M12" t="s">
        <v>16</v>
      </c>
      <c r="N12" t="s">
        <v>12</v>
      </c>
      <c r="O12" s="87">
        <v>4.7068965517241388</v>
      </c>
      <c r="Q12" t="s">
        <v>45</v>
      </c>
      <c r="R12" t="s">
        <v>68</v>
      </c>
      <c r="S12" t="s">
        <v>25</v>
      </c>
      <c r="T12" t="s">
        <v>29</v>
      </c>
      <c r="U12" s="87">
        <v>4.3177339901477829</v>
      </c>
      <c r="W12" t="s">
        <v>45</v>
      </c>
      <c r="X12" t="s">
        <v>57</v>
      </c>
      <c r="Y12">
        <f t="shared" si="0"/>
        <v>4.7989252127183164</v>
      </c>
      <c r="Z12">
        <f t="shared" si="1"/>
        <v>5.0474697716077026</v>
      </c>
      <c r="AA12">
        <f t="shared" si="2"/>
        <v>5.7167487684729066</v>
      </c>
      <c r="AB12">
        <f t="shared" si="3"/>
        <v>5.7660098522167491</v>
      </c>
      <c r="AC12">
        <f t="shared" si="4"/>
        <v>3.431034482758621</v>
      </c>
      <c r="AD12">
        <f t="shared" si="5"/>
        <v>4.3793103448275863</v>
      </c>
      <c r="AE12">
        <f t="array" ref="AE12">MEDIAN(IF($L$2:$L$204=$X12,$O$2:$O$204))</f>
        <v>4.8177339901477838</v>
      </c>
      <c r="AF12">
        <f t="array" ref="AF12">MEDIAN(IF($R$2:$R$257=$X12,$U$2:$U$257))</f>
        <v>4.6699507389162562</v>
      </c>
    </row>
    <row r="13" spans="1:36" x14ac:dyDescent="0.3">
      <c r="A13" t="s">
        <v>43</v>
      </c>
      <c r="B13" t="s">
        <v>715</v>
      </c>
      <c r="C13" s="16" t="s">
        <v>272</v>
      </c>
      <c r="D13" s="16">
        <v>3</v>
      </c>
      <c r="E13" t="s">
        <v>1524</v>
      </c>
      <c r="F13" t="s">
        <v>1540</v>
      </c>
      <c r="G13" t="s">
        <v>1566</v>
      </c>
      <c r="H13" t="s">
        <v>344</v>
      </c>
      <c r="I13" s="87">
        <v>4.485221674876847</v>
      </c>
      <c r="K13" t="s">
        <v>9</v>
      </c>
      <c r="L13" t="s">
        <v>60</v>
      </c>
      <c r="M13" t="s">
        <v>15</v>
      </c>
      <c r="N13" t="s">
        <v>12</v>
      </c>
      <c r="O13" s="87">
        <v>5.4137931034482758</v>
      </c>
      <c r="Q13" t="s">
        <v>45</v>
      </c>
      <c r="R13" t="s">
        <v>68</v>
      </c>
      <c r="S13" t="s">
        <v>24</v>
      </c>
      <c r="T13" t="s">
        <v>29</v>
      </c>
      <c r="U13" s="87">
        <v>4.3423645320197046</v>
      </c>
      <c r="W13" t="s">
        <v>43</v>
      </c>
      <c r="X13" t="s">
        <v>59</v>
      </c>
      <c r="Y13">
        <f t="shared" si="0"/>
        <v>5.0860016420361243</v>
      </c>
      <c r="Z13">
        <f t="shared" si="1"/>
        <v>8.0804011259676276</v>
      </c>
      <c r="AA13">
        <f t="shared" si="2"/>
        <v>7.3596059113300489</v>
      </c>
      <c r="AB13">
        <f t="shared" si="3"/>
        <v>9.514778325123153</v>
      </c>
      <c r="AC13">
        <f t="shared" si="4"/>
        <v>3.431034482758621</v>
      </c>
      <c r="AD13">
        <f t="shared" si="5"/>
        <v>5.4014778325123149</v>
      </c>
      <c r="AE13">
        <f t="array" ref="AE13">MEDIAN(IF($L$2:$L$204=$X13,$O$2:$O$204))</f>
        <v>4.6256157635467989</v>
      </c>
      <c r="AF13">
        <f t="array" ref="AF13">MEDIAN(IF($R$2:$R$257=$X13,$U$2:$U$257))</f>
        <v>9.0061576354679804</v>
      </c>
    </row>
    <row r="14" spans="1:36" x14ac:dyDescent="0.3">
      <c r="A14" t="s">
        <v>43</v>
      </c>
      <c r="B14" t="s">
        <v>716</v>
      </c>
      <c r="C14" s="16" t="s">
        <v>272</v>
      </c>
      <c r="D14" s="16">
        <v>2</v>
      </c>
      <c r="E14" t="s">
        <v>1525</v>
      </c>
      <c r="F14" t="s">
        <v>282</v>
      </c>
      <c r="G14" t="s">
        <v>1654</v>
      </c>
      <c r="H14" t="s">
        <v>344</v>
      </c>
      <c r="I14" s="87">
        <v>6.4482758620689653</v>
      </c>
      <c r="K14" t="s">
        <v>9</v>
      </c>
      <c r="L14" t="s">
        <v>60</v>
      </c>
      <c r="M14" t="s">
        <v>14</v>
      </c>
      <c r="N14" t="s">
        <v>12</v>
      </c>
      <c r="O14" s="87">
        <v>5.4014778325123149</v>
      </c>
      <c r="Q14" t="s">
        <v>45</v>
      </c>
      <c r="R14" t="s">
        <v>68</v>
      </c>
      <c r="S14" t="s">
        <v>21</v>
      </c>
      <c r="T14" t="s">
        <v>29</v>
      </c>
      <c r="U14" s="87">
        <v>4.6157635467980302</v>
      </c>
      <c r="W14" t="s">
        <v>43</v>
      </c>
      <c r="X14" t="s">
        <v>49</v>
      </c>
      <c r="Y14">
        <f t="shared" si="0"/>
        <v>5.7913441238564394</v>
      </c>
      <c r="Z14">
        <f t="shared" si="1"/>
        <v>4.6200738916256157</v>
      </c>
      <c r="AA14">
        <f t="shared" si="2"/>
        <v>8.2512315270935961</v>
      </c>
      <c r="AB14">
        <f t="shared" si="3"/>
        <v>5.2044334975369457</v>
      </c>
      <c r="AC14">
        <f t="shared" si="4"/>
        <v>4.7438423645320196</v>
      </c>
      <c r="AD14">
        <f t="shared" si="5"/>
        <v>4.3177339901477829</v>
      </c>
      <c r="AE14">
        <f t="array" ref="AE14">MEDIAN(IF($L$2:$L$204=$X14,$O$2:$O$204))</f>
        <v>5.5123152709359609</v>
      </c>
      <c r="AF14">
        <f t="array" ref="AF14">MEDIAN(IF($R$2:$R$257=$X14,$U$2:$U$257))</f>
        <v>4.3177339901477829</v>
      </c>
    </row>
    <row r="15" spans="1:36" x14ac:dyDescent="0.3">
      <c r="A15" t="s">
        <v>43</v>
      </c>
      <c r="B15" t="s">
        <v>717</v>
      </c>
      <c r="C15" s="16" t="s">
        <v>272</v>
      </c>
      <c r="D15" s="16">
        <v>3</v>
      </c>
      <c r="E15" t="s">
        <v>1524</v>
      </c>
      <c r="F15" t="s">
        <v>1540</v>
      </c>
      <c r="G15" t="s">
        <v>1566</v>
      </c>
      <c r="H15" t="s">
        <v>1570</v>
      </c>
      <c r="I15" s="87">
        <v>5.6059113300492616</v>
      </c>
      <c r="K15" t="s">
        <v>9</v>
      </c>
      <c r="L15" t="s">
        <v>60</v>
      </c>
      <c r="M15" t="s">
        <v>11</v>
      </c>
      <c r="N15" t="s">
        <v>12</v>
      </c>
      <c r="O15" s="87">
        <v>5.3029556650246308</v>
      </c>
      <c r="Q15" t="s">
        <v>45</v>
      </c>
      <c r="R15" t="s">
        <v>68</v>
      </c>
      <c r="S15" t="s">
        <v>19</v>
      </c>
      <c r="T15" t="s">
        <v>29</v>
      </c>
      <c r="U15" s="87">
        <v>4.5591133004926112</v>
      </c>
      <c r="W15" t="s">
        <v>43</v>
      </c>
      <c r="X15" t="s">
        <v>62</v>
      </c>
      <c r="Y15">
        <f t="shared" si="0"/>
        <v>4.251231527093597</v>
      </c>
      <c r="Z15">
        <f t="shared" si="1"/>
        <v>5.5049261083743843</v>
      </c>
      <c r="AA15">
        <f t="shared" si="2"/>
        <v>5.4137931034482758</v>
      </c>
      <c r="AB15">
        <f t="shared" si="3"/>
        <v>7.5197044334975374</v>
      </c>
      <c r="AC15">
        <f t="shared" si="4"/>
        <v>3.5985221674876851</v>
      </c>
      <c r="AD15">
        <f t="shared" si="5"/>
        <v>3.431034482758621</v>
      </c>
      <c r="AE15">
        <f t="array" ref="AE15">MEDIAN(IF($L$2:$L$204=$X15,$O$2:$O$204))</f>
        <v>4.305418719211823</v>
      </c>
      <c r="AF15">
        <f t="array" ref="AF15">MEDIAN(IF($R$2:$R$257=$X15,$U$2:$U$257))</f>
        <v>5.3275862068965516</v>
      </c>
    </row>
    <row r="16" spans="1:36" x14ac:dyDescent="0.3">
      <c r="A16" t="s">
        <v>43</v>
      </c>
      <c r="B16" t="s">
        <v>718</v>
      </c>
      <c r="C16" s="16" t="s">
        <v>272</v>
      </c>
      <c r="D16" s="16">
        <v>3</v>
      </c>
      <c r="E16" t="s">
        <v>1524</v>
      </c>
      <c r="F16" t="s">
        <v>1557</v>
      </c>
      <c r="G16" t="s">
        <v>1654</v>
      </c>
      <c r="H16" t="s">
        <v>344</v>
      </c>
      <c r="I16" s="87">
        <v>4.6699507389162562</v>
      </c>
      <c r="K16" t="s">
        <v>9</v>
      </c>
      <c r="L16" t="s">
        <v>60</v>
      </c>
      <c r="M16" t="s">
        <v>16</v>
      </c>
      <c r="N16" t="s">
        <v>12</v>
      </c>
      <c r="O16" s="87">
        <v>5.7413793103448274</v>
      </c>
      <c r="Q16" t="s">
        <v>45</v>
      </c>
      <c r="R16" t="s">
        <v>68</v>
      </c>
      <c r="S16" t="s">
        <v>20</v>
      </c>
      <c r="T16" t="s">
        <v>29</v>
      </c>
      <c r="U16" s="87">
        <v>4.6157635467980302</v>
      </c>
      <c r="W16" t="s">
        <v>43</v>
      </c>
      <c r="X16" t="s">
        <v>58</v>
      </c>
      <c r="Y16">
        <f t="shared" si="0"/>
        <v>5.3780788177339911</v>
      </c>
      <c r="Z16">
        <f t="shared" si="1"/>
        <v>6.3990147783251237</v>
      </c>
      <c r="AA16">
        <f t="shared" si="2"/>
        <v>5.7290640394088674</v>
      </c>
      <c r="AB16">
        <f t="shared" si="3"/>
        <v>6.3990147783251237</v>
      </c>
      <c r="AC16">
        <f t="shared" si="4"/>
        <v>4.5591133004926112</v>
      </c>
      <c r="AD16">
        <f t="shared" si="5"/>
        <v>6.3990147783251237</v>
      </c>
      <c r="AE16">
        <f t="array" ref="AE16">MEDIAN(IF($L$2:$L$204=$X16,$O$2:$O$204))</f>
        <v>5.612068965517242</v>
      </c>
      <c r="AF16">
        <f t="array" ref="AF16">MEDIAN(IF($R$2:$R$257=$X16,$U$2:$U$257))</f>
        <v>6.3990147783251237</v>
      </c>
    </row>
    <row r="17" spans="1:32" x14ac:dyDescent="0.3">
      <c r="A17" t="s">
        <v>45</v>
      </c>
      <c r="B17" t="s">
        <v>719</v>
      </c>
      <c r="C17" s="16" t="s">
        <v>272</v>
      </c>
      <c r="D17" s="16">
        <v>3</v>
      </c>
      <c r="E17" t="s">
        <v>1524</v>
      </c>
      <c r="F17" t="s">
        <v>282</v>
      </c>
      <c r="G17" t="s">
        <v>1568</v>
      </c>
      <c r="H17" t="s">
        <v>1570</v>
      </c>
      <c r="I17" s="87">
        <v>4.8004926108374395</v>
      </c>
      <c r="K17" t="s">
        <v>45</v>
      </c>
      <c r="L17" t="s">
        <v>53</v>
      </c>
      <c r="M17" t="s">
        <v>15</v>
      </c>
      <c r="N17" t="s">
        <v>12</v>
      </c>
      <c r="O17" s="87">
        <v>3.431034482758621</v>
      </c>
      <c r="Q17" t="s">
        <v>45</v>
      </c>
      <c r="R17" t="s">
        <v>68</v>
      </c>
      <c r="S17" t="s">
        <v>26</v>
      </c>
      <c r="T17" t="s">
        <v>29</v>
      </c>
      <c r="U17" s="87">
        <v>4.3177339901477829</v>
      </c>
      <c r="W17" t="s">
        <v>45</v>
      </c>
      <c r="X17" t="s">
        <v>61</v>
      </c>
      <c r="Y17">
        <f t="shared" si="0"/>
        <v>6.6182266009852215</v>
      </c>
      <c r="Z17">
        <f t="shared" si="1"/>
        <v>5.4137931034482758</v>
      </c>
      <c r="AA17">
        <f t="shared" si="2"/>
        <v>8.4310344827586192</v>
      </c>
      <c r="AB17">
        <f t="shared" si="3"/>
        <v>5.4137931034482758</v>
      </c>
      <c r="AC17">
        <f t="shared" si="4"/>
        <v>4.305418719211823</v>
      </c>
      <c r="AD17">
        <f t="shared" si="5"/>
        <v>5.4137931034482758</v>
      </c>
      <c r="AE17">
        <f t="array" ref="AE17">MEDIAN(IF($L$2:$L$204=$X17,$O$2:$O$204))</f>
        <v>7.1182266009852215</v>
      </c>
      <c r="AF17">
        <f t="array" ref="AF17">MEDIAN(IF($R$2:$R$257=$X17,$U$2:$U$257))</f>
        <v>5.4137931034482758</v>
      </c>
    </row>
    <row r="18" spans="1:32" x14ac:dyDescent="0.3">
      <c r="A18" t="s">
        <v>45</v>
      </c>
      <c r="B18" t="s">
        <v>720</v>
      </c>
      <c r="C18" s="16" t="s">
        <v>272</v>
      </c>
      <c r="D18" s="16">
        <v>3</v>
      </c>
      <c r="E18" t="s">
        <v>1524</v>
      </c>
      <c r="F18" t="s">
        <v>1537</v>
      </c>
      <c r="G18" t="s">
        <v>1567</v>
      </c>
      <c r="H18" t="s">
        <v>1620</v>
      </c>
      <c r="I18" s="87">
        <v>5.5123152709359609</v>
      </c>
      <c r="K18" t="s">
        <v>45</v>
      </c>
      <c r="L18" t="s">
        <v>53</v>
      </c>
      <c r="M18" t="s">
        <v>14</v>
      </c>
      <c r="N18" t="s">
        <v>12</v>
      </c>
      <c r="O18" s="87">
        <v>3.431034482758621</v>
      </c>
      <c r="Q18" t="s">
        <v>45</v>
      </c>
      <c r="R18" t="s">
        <v>68</v>
      </c>
      <c r="S18" t="s">
        <v>22</v>
      </c>
      <c r="T18" t="s">
        <v>29</v>
      </c>
      <c r="U18" s="87">
        <v>4.3177339901477829</v>
      </c>
      <c r="W18" t="s">
        <v>45</v>
      </c>
      <c r="X18" t="s">
        <v>66</v>
      </c>
      <c r="Y18">
        <f t="shared" si="0"/>
        <v>4.3682266009852215</v>
      </c>
      <c r="Z18">
        <f t="shared" si="1"/>
        <v>4.5255541871921183</v>
      </c>
      <c r="AA18">
        <f t="shared" si="2"/>
        <v>4.7438423645320196</v>
      </c>
      <c r="AB18">
        <f t="shared" si="3"/>
        <v>5.5</v>
      </c>
      <c r="AC18">
        <f t="shared" si="4"/>
        <v>4.2931034482758621</v>
      </c>
      <c r="AD18">
        <f t="shared" si="5"/>
        <v>4.305418719211823</v>
      </c>
      <c r="AE18">
        <f t="array" ref="AE18">MEDIAN(IF($L$2:$L$204=$X18,$O$2:$O$204))</f>
        <v>4.2931034482758621</v>
      </c>
      <c r="AF18">
        <f t="array" ref="AF18">MEDIAN(IF($R$2:$R$257=$X18,$U$2:$U$257))</f>
        <v>4.4285714285714288</v>
      </c>
    </row>
    <row r="19" spans="1:32" x14ac:dyDescent="0.3">
      <c r="A19" t="s">
        <v>45</v>
      </c>
      <c r="B19" t="s">
        <v>721</v>
      </c>
      <c r="C19" s="16" t="s">
        <v>272</v>
      </c>
      <c r="D19" s="16">
        <v>3</v>
      </c>
      <c r="E19" t="s">
        <v>1524</v>
      </c>
      <c r="F19" t="s">
        <v>1537</v>
      </c>
      <c r="G19" t="s">
        <v>1567</v>
      </c>
      <c r="H19" t="s">
        <v>1620</v>
      </c>
      <c r="I19" s="87">
        <v>5.5123152709359609</v>
      </c>
      <c r="K19" t="s">
        <v>45</v>
      </c>
      <c r="L19" t="s">
        <v>53</v>
      </c>
      <c r="M19" t="s">
        <v>11</v>
      </c>
      <c r="N19" t="s">
        <v>12</v>
      </c>
      <c r="O19" s="87">
        <v>4.3177339901477829</v>
      </c>
      <c r="Q19" t="s">
        <v>45</v>
      </c>
      <c r="R19" t="s">
        <v>68</v>
      </c>
      <c r="S19" t="s">
        <v>27</v>
      </c>
      <c r="T19" t="s">
        <v>29</v>
      </c>
      <c r="U19" s="87">
        <v>4.3177339901477829</v>
      </c>
      <c r="W19" t="s">
        <v>9</v>
      </c>
      <c r="X19" t="s">
        <v>55</v>
      </c>
      <c r="Y19">
        <f t="shared" si="0"/>
        <v>5.5779967159277506</v>
      </c>
      <c r="Z19">
        <f t="shared" si="1"/>
        <v>5.8825944170771765</v>
      </c>
      <c r="AA19">
        <f t="shared" si="2"/>
        <v>5.5862068965517242</v>
      </c>
      <c r="AB19">
        <f t="shared" si="3"/>
        <v>6.2142857142857144</v>
      </c>
      <c r="AC19">
        <f t="shared" si="4"/>
        <v>5.5738916256157633</v>
      </c>
      <c r="AD19">
        <f t="shared" si="5"/>
        <v>5.568965517241379</v>
      </c>
      <c r="AE19">
        <f t="array" ref="AE19">MEDIAN(IF($L$2:$L$204=$X19,$O$2:$O$204))</f>
        <v>5.5738916256157633</v>
      </c>
      <c r="AF19">
        <f t="array" ref="AF19">MEDIAN(IF($R$2:$R$257=$X19,$U$2:$U$257))</f>
        <v>5.8645320197044342</v>
      </c>
    </row>
    <row r="20" spans="1:32" x14ac:dyDescent="0.3">
      <c r="A20" t="s">
        <v>45</v>
      </c>
      <c r="B20" t="s">
        <v>722</v>
      </c>
      <c r="C20" s="16" t="s">
        <v>272</v>
      </c>
      <c r="D20" s="16">
        <v>3</v>
      </c>
      <c r="E20" t="s">
        <v>1524</v>
      </c>
      <c r="F20" t="s">
        <v>282</v>
      </c>
      <c r="G20" t="s">
        <v>1566</v>
      </c>
      <c r="H20" t="s">
        <v>1574</v>
      </c>
      <c r="I20" s="87">
        <v>4.7068965517241388</v>
      </c>
      <c r="K20" t="s">
        <v>45</v>
      </c>
      <c r="L20" t="s">
        <v>53</v>
      </c>
      <c r="M20" t="s">
        <v>16</v>
      </c>
      <c r="N20" t="s">
        <v>12</v>
      </c>
      <c r="O20" s="87">
        <v>4.7266009852216753</v>
      </c>
      <c r="Q20" t="s">
        <v>9</v>
      </c>
      <c r="R20" t="s">
        <v>60</v>
      </c>
      <c r="S20" t="s">
        <v>21</v>
      </c>
      <c r="T20" t="s">
        <v>29</v>
      </c>
      <c r="U20" s="87">
        <v>4.3423645320197046</v>
      </c>
      <c r="W20" t="s">
        <v>43</v>
      </c>
      <c r="X20" t="s">
        <v>54</v>
      </c>
      <c r="Y20">
        <f t="shared" si="0"/>
        <v>5.4630541871921201</v>
      </c>
      <c r="Z20">
        <f t="shared" si="1"/>
        <v>5.8226600985221681</v>
      </c>
      <c r="AA20">
        <f t="shared" si="2"/>
        <v>5.4630541871921192</v>
      </c>
      <c r="AB20">
        <f t="shared" si="3"/>
        <v>5.8226600985221681</v>
      </c>
      <c r="AC20">
        <f t="shared" si="4"/>
        <v>5.4630541871921192</v>
      </c>
      <c r="AD20">
        <f t="shared" si="5"/>
        <v>5.8226600985221681</v>
      </c>
      <c r="AE20">
        <f t="array" ref="AE20">MEDIAN(IF($L$2:$L$204=$X20,$O$2:$O$204))</f>
        <v>5.4630541871921192</v>
      </c>
      <c r="AF20">
        <f t="array" ref="AF20">MEDIAN(IF($R$2:$R$257=$X20,$U$2:$U$257))</f>
        <v>5.8226600985221681</v>
      </c>
    </row>
    <row r="21" spans="1:32" x14ac:dyDescent="0.3">
      <c r="A21" t="s">
        <v>45</v>
      </c>
      <c r="B21" t="s">
        <v>723</v>
      </c>
      <c r="C21" s="16" t="s">
        <v>272</v>
      </c>
      <c r="D21" s="16">
        <v>3</v>
      </c>
      <c r="E21" t="s">
        <v>1524</v>
      </c>
      <c r="F21" t="s">
        <v>282</v>
      </c>
      <c r="G21" t="s">
        <v>1566</v>
      </c>
      <c r="H21" t="s">
        <v>1574</v>
      </c>
      <c r="I21" s="87">
        <v>4.7068965517241388</v>
      </c>
      <c r="K21" t="s">
        <v>9</v>
      </c>
      <c r="L21" t="s">
        <v>76</v>
      </c>
      <c r="M21" t="s">
        <v>15</v>
      </c>
      <c r="N21" t="s">
        <v>12</v>
      </c>
      <c r="O21" s="87">
        <v>7.8596059113300498</v>
      </c>
      <c r="Q21" t="s">
        <v>9</v>
      </c>
      <c r="R21" t="s">
        <v>60</v>
      </c>
      <c r="S21" t="s">
        <v>19</v>
      </c>
      <c r="T21" t="s">
        <v>29</v>
      </c>
      <c r="U21" s="87">
        <v>8.0960591133004929</v>
      </c>
      <c r="W21" t="s">
        <v>9</v>
      </c>
      <c r="X21" t="s">
        <v>52</v>
      </c>
      <c r="Y21">
        <f t="shared" si="0"/>
        <v>6.2112068965517242</v>
      </c>
      <c r="Z21">
        <f t="shared" si="1"/>
        <v>5.665845648604269</v>
      </c>
      <c r="AA21">
        <f t="shared" si="2"/>
        <v>8.152709359605911</v>
      </c>
      <c r="AB21">
        <f t="shared" si="3"/>
        <v>5.7660098522167491</v>
      </c>
      <c r="AC21">
        <f t="shared" si="4"/>
        <v>5.389162561576355</v>
      </c>
      <c r="AD21">
        <f t="shared" si="5"/>
        <v>5.6059113300492616</v>
      </c>
      <c r="AE21">
        <f t="array" ref="AE21">MEDIAN(IF($L$2:$L$204=$X21,$O$2:$O$204))</f>
        <v>5.6514778325123149</v>
      </c>
      <c r="AF21">
        <f t="array" ref="AF21">MEDIAN(IF($R$2:$R$257=$X21,$U$2:$U$257))</f>
        <v>5.6514778325123149</v>
      </c>
    </row>
    <row r="22" spans="1:32" x14ac:dyDescent="0.3">
      <c r="A22" t="s">
        <v>45</v>
      </c>
      <c r="B22" t="s">
        <v>724</v>
      </c>
      <c r="C22" s="16" t="s">
        <v>272</v>
      </c>
      <c r="D22" s="16">
        <v>2</v>
      </c>
      <c r="E22" t="s">
        <v>1524</v>
      </c>
      <c r="F22" t="s">
        <v>282</v>
      </c>
      <c r="G22" t="s">
        <v>342</v>
      </c>
      <c r="H22" t="s">
        <v>344</v>
      </c>
      <c r="I22" s="87">
        <v>4.3423645320197046</v>
      </c>
      <c r="K22" t="s">
        <v>9</v>
      </c>
      <c r="L22" t="s">
        <v>76</v>
      </c>
      <c r="M22" t="s">
        <v>14</v>
      </c>
      <c r="N22" t="s">
        <v>12</v>
      </c>
      <c r="O22" s="87">
        <v>5.4137931034482758</v>
      </c>
      <c r="Q22" t="s">
        <v>9</v>
      </c>
      <c r="R22" t="s">
        <v>60</v>
      </c>
      <c r="S22" t="s">
        <v>17</v>
      </c>
      <c r="T22" t="s">
        <v>29</v>
      </c>
      <c r="U22" s="87">
        <v>4.3177339901477829</v>
      </c>
      <c r="W22" t="s">
        <v>43</v>
      </c>
      <c r="X22" t="s">
        <v>69</v>
      </c>
      <c r="Y22">
        <f t="shared" si="0"/>
        <v>4.7273399014778317</v>
      </c>
      <c r="Z22">
        <f t="shared" si="1"/>
        <v>5.2713464696223316</v>
      </c>
      <c r="AA22">
        <f t="shared" si="2"/>
        <v>5.4384236453201975</v>
      </c>
      <c r="AB22">
        <f t="shared" si="3"/>
        <v>6.4359605911330044</v>
      </c>
      <c r="AC22">
        <f t="shared" si="4"/>
        <v>4.3177339901477829</v>
      </c>
      <c r="AD22">
        <f t="shared" si="5"/>
        <v>3.431034482758621</v>
      </c>
      <c r="AE22">
        <f t="array" ref="AE22">MEDIAN(IF($L$2:$L$204=$X22,$O$2:$O$204))</f>
        <v>4.5517241379310356</v>
      </c>
      <c r="AF22">
        <f t="array" ref="AF22">MEDIAN(IF($R$2:$R$257=$X22,$U$2:$U$257))</f>
        <v>5.1502463054187197</v>
      </c>
    </row>
    <row r="23" spans="1:32" x14ac:dyDescent="0.3">
      <c r="A23" t="s">
        <v>45</v>
      </c>
      <c r="B23" t="s">
        <v>725</v>
      </c>
      <c r="C23" s="16" t="s">
        <v>272</v>
      </c>
      <c r="D23" s="16">
        <v>3</v>
      </c>
      <c r="E23" t="s">
        <v>1524</v>
      </c>
      <c r="F23" t="s">
        <v>1540</v>
      </c>
      <c r="G23" t="s">
        <v>1567</v>
      </c>
      <c r="H23" t="s">
        <v>344</v>
      </c>
      <c r="I23" s="87">
        <v>4.3177339901477829</v>
      </c>
      <c r="K23" t="s">
        <v>9</v>
      </c>
      <c r="L23" t="s">
        <v>76</v>
      </c>
      <c r="M23" t="s">
        <v>11</v>
      </c>
      <c r="N23" t="s">
        <v>12</v>
      </c>
      <c r="O23" s="87">
        <v>3.431034482758621</v>
      </c>
      <c r="Q23" t="s">
        <v>9</v>
      </c>
      <c r="R23" t="s">
        <v>60</v>
      </c>
      <c r="S23" t="s">
        <v>20</v>
      </c>
      <c r="T23" t="s">
        <v>29</v>
      </c>
      <c r="U23" s="87">
        <v>5.1921182266009849</v>
      </c>
      <c r="W23" t="s">
        <v>45</v>
      </c>
      <c r="X23" t="s">
        <v>48</v>
      </c>
      <c r="Y23">
        <f t="shared" si="0"/>
        <v>4.3476425052779737</v>
      </c>
      <c r="Z23">
        <f t="shared" si="1"/>
        <v>6.4689655172413794</v>
      </c>
      <c r="AA23">
        <f t="shared" si="2"/>
        <v>4.4039408866995071</v>
      </c>
      <c r="AB23">
        <f t="shared" si="3"/>
        <v>9.2290640394088665</v>
      </c>
      <c r="AC23">
        <f t="shared" si="4"/>
        <v>4.3177339901477829</v>
      </c>
      <c r="AD23">
        <f t="shared" si="5"/>
        <v>4.3916256157635472</v>
      </c>
      <c r="AE23">
        <f t="array" ref="AE23">MEDIAN(IF($L$2:$L$204=$X23,$O$2:$O$204))</f>
        <v>4.3177339901477829</v>
      </c>
      <c r="AF23">
        <f t="array" ref="AF23">MEDIAN(IF($R$2:$R$257=$X23,$U$2:$U$257))</f>
        <v>6.2056650246305418</v>
      </c>
    </row>
    <row r="24" spans="1:32" x14ac:dyDescent="0.3">
      <c r="A24" t="s">
        <v>45</v>
      </c>
      <c r="B24" t="s">
        <v>726</v>
      </c>
      <c r="C24" s="16" t="s">
        <v>272</v>
      </c>
      <c r="D24" s="16">
        <v>2</v>
      </c>
      <c r="E24" t="s">
        <v>1524</v>
      </c>
      <c r="F24" t="s">
        <v>282</v>
      </c>
      <c r="G24" t="s">
        <v>342</v>
      </c>
      <c r="H24" t="s">
        <v>344</v>
      </c>
      <c r="I24" s="87">
        <v>4.3423645320197046</v>
      </c>
      <c r="K24" t="s">
        <v>9</v>
      </c>
      <c r="L24" t="s">
        <v>76</v>
      </c>
      <c r="M24" t="s">
        <v>19</v>
      </c>
      <c r="N24" t="s">
        <v>12</v>
      </c>
      <c r="O24" s="87">
        <v>4.8423645320197046</v>
      </c>
      <c r="Q24" t="s">
        <v>9</v>
      </c>
      <c r="R24" t="s">
        <v>60</v>
      </c>
      <c r="S24" t="s">
        <v>22</v>
      </c>
      <c r="T24" t="s">
        <v>29</v>
      </c>
      <c r="U24" s="87">
        <v>3.431034482758621</v>
      </c>
      <c r="W24" t="s">
        <v>9</v>
      </c>
      <c r="X24" t="s">
        <v>56</v>
      </c>
      <c r="Y24">
        <f t="shared" si="0"/>
        <v>6.2272167487684733</v>
      </c>
      <c r="Z24">
        <f t="shared" si="1"/>
        <v>5.7524630541871922</v>
      </c>
      <c r="AA24">
        <f t="shared" si="2"/>
        <v>8.1280788177339893</v>
      </c>
      <c r="AB24">
        <f t="shared" si="3"/>
        <v>5.8965517241379315</v>
      </c>
      <c r="AC24">
        <f t="shared" si="4"/>
        <v>4.5714285714285712</v>
      </c>
      <c r="AD24">
        <f t="shared" si="5"/>
        <v>5.5123152709359609</v>
      </c>
      <c r="AE24">
        <f t="array" ref="AE24">MEDIAN(IF($L$2:$L$204=$X24,$O$2:$O$204))</f>
        <v>6.1046798029556655</v>
      </c>
      <c r="AF24">
        <f t="array" ref="AF24">MEDIAN(IF($R$2:$R$257=$X24,$U$2:$U$257))</f>
        <v>5.8965517241379315</v>
      </c>
    </row>
    <row r="25" spans="1:32" x14ac:dyDescent="0.3">
      <c r="A25" t="s">
        <v>45</v>
      </c>
      <c r="B25" t="s">
        <v>727</v>
      </c>
      <c r="C25" s="16" t="s">
        <v>272</v>
      </c>
      <c r="D25" s="16">
        <v>3</v>
      </c>
      <c r="E25" t="s">
        <v>1524</v>
      </c>
      <c r="F25" t="s">
        <v>1629</v>
      </c>
      <c r="G25" t="s">
        <v>1568</v>
      </c>
      <c r="H25" t="s">
        <v>344</v>
      </c>
      <c r="I25" s="87">
        <v>4.6157635467980302</v>
      </c>
      <c r="K25" t="s">
        <v>9</v>
      </c>
      <c r="L25" t="s">
        <v>76</v>
      </c>
      <c r="M25" t="s">
        <v>17</v>
      </c>
      <c r="N25" t="s">
        <v>12</v>
      </c>
      <c r="O25" s="87">
        <v>4.6009852216748772</v>
      </c>
      <c r="Q25" t="s">
        <v>45</v>
      </c>
      <c r="R25" t="s">
        <v>53</v>
      </c>
      <c r="S25" t="s">
        <v>19</v>
      </c>
      <c r="T25" t="s">
        <v>29</v>
      </c>
      <c r="U25" s="87">
        <v>4.7438423645320196</v>
      </c>
      <c r="W25" t="s">
        <v>9</v>
      </c>
      <c r="X25" t="s">
        <v>67</v>
      </c>
      <c r="Y25">
        <f t="shared" si="0"/>
        <v>5.1091954022988508</v>
      </c>
      <c r="Z25">
        <f t="shared" si="1"/>
        <v>4.4883564711150932</v>
      </c>
      <c r="AA25">
        <f t="shared" si="2"/>
        <v>5.7906403940886699</v>
      </c>
      <c r="AB25">
        <f t="shared" si="3"/>
        <v>5.3275862068965516</v>
      </c>
      <c r="AC25">
        <f t="shared" si="4"/>
        <v>4.485221674876847</v>
      </c>
      <c r="AD25">
        <f t="shared" si="5"/>
        <v>3.431034482758621</v>
      </c>
      <c r="AE25">
        <f t="array" ref="AE25">MEDIAN(IF($L$2:$L$204=$X25,$O$2:$O$204))</f>
        <v>5.0948275862068968</v>
      </c>
      <c r="AF25">
        <f t="array" ref="AF25">MEDIAN(IF($R$2:$R$257=$X25,$U$2:$U$257))</f>
        <v>4.4408866995073897</v>
      </c>
    </row>
    <row r="26" spans="1:32" x14ac:dyDescent="0.3">
      <c r="A26" t="s">
        <v>45</v>
      </c>
      <c r="B26" t="s">
        <v>728</v>
      </c>
      <c r="C26" s="16" t="s">
        <v>272</v>
      </c>
      <c r="D26" s="16">
        <v>3</v>
      </c>
      <c r="E26" t="s">
        <v>1524</v>
      </c>
      <c r="F26" t="s">
        <v>1557</v>
      </c>
      <c r="G26" t="s">
        <v>1566</v>
      </c>
      <c r="H26" t="s">
        <v>344</v>
      </c>
      <c r="I26" s="87">
        <v>4.5591133004926112</v>
      </c>
      <c r="K26" t="s">
        <v>9</v>
      </c>
      <c r="L26" t="s">
        <v>76</v>
      </c>
      <c r="M26" t="s">
        <v>16</v>
      </c>
      <c r="N26" t="s">
        <v>12</v>
      </c>
      <c r="O26" s="87">
        <v>4.4778325123152714</v>
      </c>
      <c r="Q26" t="s">
        <v>45</v>
      </c>
      <c r="R26" t="s">
        <v>53</v>
      </c>
      <c r="S26" t="s">
        <v>17</v>
      </c>
      <c r="T26" t="s">
        <v>29</v>
      </c>
      <c r="U26" s="87">
        <v>4.4285714285714288</v>
      </c>
      <c r="W26" t="s">
        <v>43</v>
      </c>
      <c r="X26" t="s">
        <v>44</v>
      </c>
      <c r="Y26">
        <f t="shared" si="0"/>
        <v>4.995777621393386</v>
      </c>
      <c r="Z26">
        <f t="shared" si="1"/>
        <v>4.4980295566502466</v>
      </c>
      <c r="AA26">
        <f t="shared" si="2"/>
        <v>5.6305418719211824</v>
      </c>
      <c r="AB26">
        <f t="shared" si="3"/>
        <v>5.3275862068965516</v>
      </c>
      <c r="AC26">
        <f t="shared" si="4"/>
        <v>4.3177339901477829</v>
      </c>
      <c r="AD26">
        <f t="shared" si="5"/>
        <v>3.5985221674876851</v>
      </c>
      <c r="AE26">
        <f t="array" ref="AE26">MEDIAN(IF($L$2:$L$204=$X26,$O$2:$O$204))</f>
        <v>4.9285714285714288</v>
      </c>
      <c r="AF26">
        <f t="array" ref="AF26">MEDIAN(IF($R$2:$R$257=$X26,$U$2:$U$257))</f>
        <v>4.4408866995073897</v>
      </c>
    </row>
    <row r="27" spans="1:32" x14ac:dyDescent="0.3">
      <c r="A27" t="s">
        <v>45</v>
      </c>
      <c r="B27" t="s">
        <v>729</v>
      </c>
      <c r="C27" s="16" t="s">
        <v>272</v>
      </c>
      <c r="D27" s="16">
        <v>3</v>
      </c>
      <c r="E27" t="s">
        <v>1524</v>
      </c>
      <c r="F27" t="s">
        <v>1629</v>
      </c>
      <c r="G27" t="s">
        <v>1568</v>
      </c>
      <c r="H27" t="s">
        <v>344</v>
      </c>
      <c r="I27" s="87">
        <v>4.6157635467980302</v>
      </c>
      <c r="K27" t="s">
        <v>9</v>
      </c>
      <c r="L27" t="s">
        <v>76</v>
      </c>
      <c r="M27" t="s">
        <v>20</v>
      </c>
      <c r="N27" t="s">
        <v>12</v>
      </c>
      <c r="O27" s="87">
        <v>4.6206896551724137</v>
      </c>
      <c r="Q27" t="s">
        <v>9</v>
      </c>
      <c r="R27" t="s">
        <v>76</v>
      </c>
      <c r="S27" t="s">
        <v>23</v>
      </c>
      <c r="T27" t="s">
        <v>29</v>
      </c>
      <c r="U27" s="87">
        <v>4.5665024630541877</v>
      </c>
      <c r="W27" t="s">
        <v>45</v>
      </c>
      <c r="X27" t="s">
        <v>75</v>
      </c>
      <c r="Y27">
        <f t="shared" si="0"/>
        <v>5.2153413089373686</v>
      </c>
      <c r="Z27">
        <f t="shared" si="1"/>
        <v>4.9438970990695132</v>
      </c>
      <c r="AA27">
        <f t="shared" si="2"/>
        <v>5.5123152709359609</v>
      </c>
      <c r="AB27">
        <f t="shared" si="3"/>
        <v>5.7364532019704431</v>
      </c>
      <c r="AC27">
        <f t="shared" si="4"/>
        <v>4.5665024630541877</v>
      </c>
      <c r="AD27">
        <f t="shared" si="5"/>
        <v>4.3251231527093594</v>
      </c>
      <c r="AE27">
        <f t="array" ref="AE27">MEDIAN(IF($L$2:$L$204=$X27,$O$2:$O$204))</f>
        <v>5.2290640394088674</v>
      </c>
      <c r="AF27">
        <f t="array" ref="AF27">MEDIAN(IF($R$2:$R$257=$X27,$U$2:$U$257))</f>
        <v>5.2290640394088674</v>
      </c>
    </row>
    <row r="28" spans="1:32" x14ac:dyDescent="0.3">
      <c r="A28" t="s">
        <v>45</v>
      </c>
      <c r="B28" t="s">
        <v>730</v>
      </c>
      <c r="C28" s="16" t="s">
        <v>272</v>
      </c>
      <c r="D28" s="16">
        <v>3</v>
      </c>
      <c r="E28" t="s">
        <v>1524</v>
      </c>
      <c r="F28" t="s">
        <v>1540</v>
      </c>
      <c r="G28" t="s">
        <v>1567</v>
      </c>
      <c r="H28" t="s">
        <v>344</v>
      </c>
      <c r="I28" s="87">
        <v>4.3177339901477829</v>
      </c>
      <c r="K28" t="s">
        <v>43</v>
      </c>
      <c r="L28" t="s">
        <v>73</v>
      </c>
      <c r="M28" t="s">
        <v>19</v>
      </c>
      <c r="N28" t="s">
        <v>12</v>
      </c>
      <c r="O28" s="87">
        <v>9.3916256157635463</v>
      </c>
      <c r="Q28" t="s">
        <v>9</v>
      </c>
      <c r="R28" t="s">
        <v>76</v>
      </c>
      <c r="S28" t="s">
        <v>25</v>
      </c>
      <c r="T28" t="s">
        <v>29</v>
      </c>
      <c r="U28" s="87">
        <v>3.6798029556650249</v>
      </c>
      <c r="W28" t="s">
        <v>43</v>
      </c>
      <c r="X28" t="s">
        <v>71</v>
      </c>
      <c r="Y28">
        <f t="shared" si="0"/>
        <v>4.4778325123152714</v>
      </c>
      <c r="Z28">
        <f t="shared" si="1"/>
        <v>4.5403940886699505</v>
      </c>
      <c r="AA28">
        <f t="shared" si="2"/>
        <v>4.4778325123152714</v>
      </c>
      <c r="AB28">
        <f t="shared" si="3"/>
        <v>4.8177339901477838</v>
      </c>
      <c r="AC28">
        <f t="shared" si="4"/>
        <v>4.4778325123152714</v>
      </c>
      <c r="AD28">
        <f t="shared" si="5"/>
        <v>3.431034482758621</v>
      </c>
      <c r="AE28">
        <f t="array" ref="AE28">MEDIAN(IF($L$2:$L$204=$X28,$O$2:$O$204))</f>
        <v>4.4778325123152714</v>
      </c>
      <c r="AF28">
        <f t="array" ref="AF28">MEDIAN(IF($R$2:$R$257=$X28,$U$2:$U$257))</f>
        <v>4.8177339901477838</v>
      </c>
    </row>
    <row r="29" spans="1:32" x14ac:dyDescent="0.3">
      <c r="A29" t="s">
        <v>45</v>
      </c>
      <c r="B29" t="s">
        <v>731</v>
      </c>
      <c r="C29" s="16" t="s">
        <v>272</v>
      </c>
      <c r="D29" s="16">
        <v>2</v>
      </c>
      <c r="E29" t="s">
        <v>1524</v>
      </c>
      <c r="F29" t="s">
        <v>282</v>
      </c>
      <c r="G29" t="s">
        <v>341</v>
      </c>
      <c r="H29" t="s">
        <v>344</v>
      </c>
      <c r="I29" s="87">
        <v>4.3177339901477829</v>
      </c>
      <c r="K29" t="s">
        <v>43</v>
      </c>
      <c r="L29" t="s">
        <v>73</v>
      </c>
      <c r="M29" t="s">
        <v>15</v>
      </c>
      <c r="N29" t="s">
        <v>12</v>
      </c>
      <c r="O29" s="87">
        <v>4.3916256157635472</v>
      </c>
      <c r="Q29" t="s">
        <v>9</v>
      </c>
      <c r="R29" t="s">
        <v>76</v>
      </c>
      <c r="S29" t="s">
        <v>24</v>
      </c>
      <c r="T29" t="s">
        <v>29</v>
      </c>
      <c r="U29" s="87">
        <v>4.5541871921182269</v>
      </c>
      <c r="W29" t="s">
        <v>9</v>
      </c>
      <c r="X29" t="s">
        <v>74</v>
      </c>
      <c r="Y29">
        <f t="shared" si="0"/>
        <v>5.1004926108374384</v>
      </c>
      <c r="Z29">
        <f t="shared" si="1"/>
        <v>4.0541871921182269</v>
      </c>
      <c r="AA29">
        <f t="shared" si="2"/>
        <v>5.6921182266009858</v>
      </c>
      <c r="AB29">
        <f t="shared" si="3"/>
        <v>4.4285714285714288</v>
      </c>
      <c r="AC29">
        <f t="shared" si="4"/>
        <v>4.6403940886699511</v>
      </c>
      <c r="AD29">
        <f t="shared" si="5"/>
        <v>3.6798029556650249</v>
      </c>
      <c r="AE29">
        <f t="array" ref="AE29">MEDIAN(IF($L$2:$L$204=$X29,$O$2:$O$204))</f>
        <v>4.8497536945812811</v>
      </c>
      <c r="AF29">
        <f t="array" ref="AF29">MEDIAN(IF($R$2:$R$257=$X29,$U$2:$U$257))</f>
        <v>4.0541871921182269</v>
      </c>
    </row>
    <row r="30" spans="1:32" x14ac:dyDescent="0.3">
      <c r="A30" t="s">
        <v>45</v>
      </c>
      <c r="B30" t="s">
        <v>732</v>
      </c>
      <c r="C30" s="16" t="s">
        <v>272</v>
      </c>
      <c r="D30" s="16">
        <v>3</v>
      </c>
      <c r="E30" t="s">
        <v>1524</v>
      </c>
      <c r="F30" t="s">
        <v>1540</v>
      </c>
      <c r="G30" t="s">
        <v>1567</v>
      </c>
      <c r="H30" t="s">
        <v>344</v>
      </c>
      <c r="I30" s="87">
        <v>4.3177339901477829</v>
      </c>
      <c r="K30" t="s">
        <v>43</v>
      </c>
      <c r="L30" t="s">
        <v>73</v>
      </c>
      <c r="M30" t="s">
        <v>23</v>
      </c>
      <c r="N30" t="s">
        <v>12</v>
      </c>
      <c r="O30" s="87">
        <v>4.6379310344827589</v>
      </c>
      <c r="Q30" t="s">
        <v>9</v>
      </c>
      <c r="R30" t="s">
        <v>76</v>
      </c>
      <c r="S30" t="s">
        <v>21</v>
      </c>
      <c r="T30" t="s">
        <v>29</v>
      </c>
      <c r="U30" s="87">
        <v>4.3423645320197046</v>
      </c>
      <c r="W30" t="s">
        <v>45</v>
      </c>
      <c r="X30" t="s">
        <v>51</v>
      </c>
      <c r="Y30">
        <f t="shared" si="0"/>
        <v>3.5295566502463052</v>
      </c>
      <c r="Z30">
        <f t="shared" si="1"/>
        <v>4.2692118226600986</v>
      </c>
      <c r="AA30">
        <f t="shared" si="2"/>
        <v>4.3177339901477829</v>
      </c>
      <c r="AB30">
        <f t="shared" si="3"/>
        <v>5.9384236453201975</v>
      </c>
      <c r="AC30">
        <f t="shared" si="4"/>
        <v>3.431034482758621</v>
      </c>
      <c r="AD30">
        <f t="shared" si="5"/>
        <v>3.431034482758621</v>
      </c>
      <c r="AE30">
        <f t="array" ref="AE30">MEDIAN(IF($L$2:$L$204=$X30,$O$2:$O$204))</f>
        <v>3.431034482758621</v>
      </c>
      <c r="AF30">
        <f t="array" ref="AF30">MEDIAN(IF($R$2:$R$257=$X30,$U$2:$U$257))</f>
        <v>3.431034482758621</v>
      </c>
    </row>
    <row r="31" spans="1:32" x14ac:dyDescent="0.3">
      <c r="A31" t="s">
        <v>9</v>
      </c>
      <c r="B31" t="s">
        <v>733</v>
      </c>
      <c r="C31" s="16" t="s">
        <v>272</v>
      </c>
      <c r="D31" s="16">
        <v>3</v>
      </c>
      <c r="E31" t="s">
        <v>1524</v>
      </c>
      <c r="F31" t="s">
        <v>1560</v>
      </c>
      <c r="G31" t="s">
        <v>1567</v>
      </c>
      <c r="H31" t="s">
        <v>345</v>
      </c>
      <c r="I31" s="87">
        <v>5.4137931034482758</v>
      </c>
      <c r="K31" t="s">
        <v>43</v>
      </c>
      <c r="L31" t="s">
        <v>73</v>
      </c>
      <c r="M31" t="s">
        <v>14</v>
      </c>
      <c r="N31" t="s">
        <v>12</v>
      </c>
      <c r="O31" s="87">
        <v>5.3275862068965516</v>
      </c>
      <c r="Q31" t="s">
        <v>9</v>
      </c>
      <c r="R31" t="s">
        <v>76</v>
      </c>
      <c r="S31" t="s">
        <v>30</v>
      </c>
      <c r="T31" t="s">
        <v>29</v>
      </c>
      <c r="U31" s="87">
        <v>5.5123152709359609</v>
      </c>
      <c r="W31" t="s">
        <v>9</v>
      </c>
      <c r="X31" t="s">
        <v>70</v>
      </c>
      <c r="Y31">
        <f t="shared" si="0"/>
        <v>4.9704433497536948</v>
      </c>
      <c r="Z31">
        <f t="shared" si="1"/>
        <v>4.2990851513019006</v>
      </c>
      <c r="AA31">
        <f t="shared" si="2"/>
        <v>5.4630541871921183</v>
      </c>
      <c r="AB31">
        <f t="shared" si="3"/>
        <v>5.4630541871921183</v>
      </c>
      <c r="AC31">
        <f t="shared" si="4"/>
        <v>4.4778325123152714</v>
      </c>
      <c r="AD31">
        <f t="shared" si="5"/>
        <v>3.431034482758621</v>
      </c>
      <c r="AE31">
        <f t="array" ref="AE31">MEDIAN(IF($L$2:$L$204=$X31,$O$2:$O$204))</f>
        <v>4.9704433497536948</v>
      </c>
      <c r="AF31">
        <f t="array" ref="AF31">MEDIAN(IF($R$2:$R$257=$X31,$U$2:$U$257))</f>
        <v>4.3177339901477829</v>
      </c>
    </row>
    <row r="32" spans="1:32" x14ac:dyDescent="0.3">
      <c r="A32" t="s">
        <v>9</v>
      </c>
      <c r="B32" t="s">
        <v>734</v>
      </c>
      <c r="C32" s="16" t="s">
        <v>272</v>
      </c>
      <c r="D32" s="16">
        <v>3</v>
      </c>
      <c r="E32" t="s">
        <v>1524</v>
      </c>
      <c r="F32" t="s">
        <v>1537</v>
      </c>
      <c r="G32" t="s">
        <v>1567</v>
      </c>
      <c r="H32" t="s">
        <v>1574</v>
      </c>
      <c r="I32" s="87">
        <v>5.4014778325123149</v>
      </c>
      <c r="K32" t="s">
        <v>43</v>
      </c>
      <c r="L32" t="s">
        <v>73</v>
      </c>
      <c r="M32" t="s">
        <v>11</v>
      </c>
      <c r="N32" t="s">
        <v>12</v>
      </c>
      <c r="O32" s="87">
        <v>4.3177339901477829</v>
      </c>
      <c r="Q32" t="s">
        <v>9</v>
      </c>
      <c r="R32" t="s">
        <v>76</v>
      </c>
      <c r="S32" t="s">
        <v>26</v>
      </c>
      <c r="T32" t="s">
        <v>29</v>
      </c>
      <c r="U32" s="87">
        <v>3.6798029556650249</v>
      </c>
    </row>
    <row r="33" spans="1:21" x14ac:dyDescent="0.3">
      <c r="A33" t="s">
        <v>9</v>
      </c>
      <c r="B33" t="s">
        <v>735</v>
      </c>
      <c r="C33" s="16" t="s">
        <v>272</v>
      </c>
      <c r="D33" s="16">
        <v>3</v>
      </c>
      <c r="E33" t="s">
        <v>1524</v>
      </c>
      <c r="F33" t="s">
        <v>1537</v>
      </c>
      <c r="G33" t="s">
        <v>1567</v>
      </c>
      <c r="H33" t="s">
        <v>345</v>
      </c>
      <c r="I33" s="87">
        <v>5.3029556650246308</v>
      </c>
      <c r="K33" t="s">
        <v>43</v>
      </c>
      <c r="L33" t="s">
        <v>73</v>
      </c>
      <c r="M33" t="s">
        <v>21</v>
      </c>
      <c r="N33" t="s">
        <v>12</v>
      </c>
      <c r="O33" s="87">
        <v>4.805418719211823</v>
      </c>
      <c r="Q33" t="s">
        <v>9</v>
      </c>
      <c r="R33" t="s">
        <v>76</v>
      </c>
      <c r="S33" t="s">
        <v>22</v>
      </c>
      <c r="T33" t="s">
        <v>29</v>
      </c>
      <c r="U33" s="87">
        <v>4.3423645320197046</v>
      </c>
    </row>
    <row r="34" spans="1:21" x14ac:dyDescent="0.3">
      <c r="A34" t="s">
        <v>9</v>
      </c>
      <c r="B34" t="s">
        <v>736</v>
      </c>
      <c r="C34" s="16" t="s">
        <v>272</v>
      </c>
      <c r="D34" s="16">
        <v>3</v>
      </c>
      <c r="E34" t="s">
        <v>1524</v>
      </c>
      <c r="F34" t="s">
        <v>1560</v>
      </c>
      <c r="G34" t="s">
        <v>1566</v>
      </c>
      <c r="H34" t="s">
        <v>1573</v>
      </c>
      <c r="I34" s="87">
        <v>5.7413793103448274</v>
      </c>
      <c r="K34" t="s">
        <v>43</v>
      </c>
      <c r="L34" t="s">
        <v>73</v>
      </c>
      <c r="M34" t="s">
        <v>17</v>
      </c>
      <c r="N34" t="s">
        <v>12</v>
      </c>
      <c r="O34" s="87">
        <v>4.3916256157635472</v>
      </c>
      <c r="Q34" t="s">
        <v>9</v>
      </c>
      <c r="R34" t="s">
        <v>76</v>
      </c>
      <c r="S34" t="s">
        <v>31</v>
      </c>
      <c r="T34" t="s">
        <v>29</v>
      </c>
      <c r="U34" s="87">
        <v>5.3152709359605916</v>
      </c>
    </row>
    <row r="35" spans="1:21" x14ac:dyDescent="0.3">
      <c r="A35" t="s">
        <v>9</v>
      </c>
      <c r="B35" t="s">
        <v>737</v>
      </c>
      <c r="C35" s="16" t="s">
        <v>272</v>
      </c>
      <c r="D35" s="16">
        <v>2</v>
      </c>
      <c r="E35" t="s">
        <v>1524</v>
      </c>
      <c r="F35" t="s">
        <v>282</v>
      </c>
      <c r="G35" t="s">
        <v>342</v>
      </c>
      <c r="H35" t="s">
        <v>344</v>
      </c>
      <c r="I35" s="87">
        <v>4.3423645320197046</v>
      </c>
      <c r="K35" t="s">
        <v>43</v>
      </c>
      <c r="L35" t="s">
        <v>73</v>
      </c>
      <c r="M35" t="s">
        <v>16</v>
      </c>
      <c r="N35" t="s">
        <v>12</v>
      </c>
      <c r="O35" s="87">
        <v>4.3916256157635472</v>
      </c>
      <c r="Q35" t="s">
        <v>9</v>
      </c>
      <c r="R35" t="s">
        <v>76</v>
      </c>
      <c r="S35" t="s">
        <v>27</v>
      </c>
      <c r="T35" t="s">
        <v>29</v>
      </c>
      <c r="U35" s="87">
        <v>4.6502463054187197</v>
      </c>
    </row>
    <row r="36" spans="1:21" x14ac:dyDescent="0.3">
      <c r="A36" t="s">
        <v>9</v>
      </c>
      <c r="B36" t="s">
        <v>738</v>
      </c>
      <c r="C36" s="16" t="s">
        <v>273</v>
      </c>
      <c r="D36" s="16">
        <v>2</v>
      </c>
      <c r="E36" t="s">
        <v>1525</v>
      </c>
      <c r="F36" t="s">
        <v>283</v>
      </c>
      <c r="G36" t="s">
        <v>1567</v>
      </c>
      <c r="H36" t="s">
        <v>344</v>
      </c>
      <c r="I36" s="87">
        <v>8.0960591133004929</v>
      </c>
      <c r="K36" t="s">
        <v>43</v>
      </c>
      <c r="L36" t="s">
        <v>73</v>
      </c>
      <c r="M36" t="s">
        <v>20</v>
      </c>
      <c r="N36" t="s">
        <v>12</v>
      </c>
      <c r="O36" s="87">
        <v>5.3275862068965516</v>
      </c>
      <c r="Q36" t="s">
        <v>9</v>
      </c>
      <c r="R36" t="s">
        <v>76</v>
      </c>
      <c r="S36" t="s">
        <v>28</v>
      </c>
      <c r="T36" t="s">
        <v>29</v>
      </c>
      <c r="U36" s="87">
        <v>4.4408866995073897</v>
      </c>
    </row>
    <row r="37" spans="1:21" x14ac:dyDescent="0.3">
      <c r="A37" t="s">
        <v>9</v>
      </c>
      <c r="B37" t="s">
        <v>739</v>
      </c>
      <c r="C37" s="16" t="s">
        <v>272</v>
      </c>
      <c r="D37" s="16">
        <v>2</v>
      </c>
      <c r="E37" t="s">
        <v>1524</v>
      </c>
      <c r="F37" t="s">
        <v>282</v>
      </c>
      <c r="G37" t="s">
        <v>341</v>
      </c>
      <c r="H37" t="s">
        <v>344</v>
      </c>
      <c r="I37" s="87">
        <v>4.3177339901477829</v>
      </c>
      <c r="K37" t="s">
        <v>43</v>
      </c>
      <c r="L37" t="s">
        <v>73</v>
      </c>
      <c r="M37" t="s">
        <v>22</v>
      </c>
      <c r="N37" t="s">
        <v>12</v>
      </c>
      <c r="O37" s="87">
        <v>4.805418719211823</v>
      </c>
      <c r="Q37" t="s">
        <v>43</v>
      </c>
      <c r="R37" t="s">
        <v>73</v>
      </c>
      <c r="S37" t="s">
        <v>33</v>
      </c>
      <c r="T37" t="s">
        <v>29</v>
      </c>
      <c r="U37" s="87">
        <v>8.3128078817733986</v>
      </c>
    </row>
    <row r="38" spans="1:21" x14ac:dyDescent="0.3">
      <c r="A38" t="s">
        <v>9</v>
      </c>
      <c r="B38" t="s">
        <v>740</v>
      </c>
      <c r="C38" s="16" t="s">
        <v>272</v>
      </c>
      <c r="D38" s="16">
        <v>2</v>
      </c>
      <c r="E38" t="s">
        <v>1524</v>
      </c>
      <c r="F38" t="s">
        <v>1542</v>
      </c>
      <c r="G38" t="s">
        <v>341</v>
      </c>
      <c r="H38" t="s">
        <v>344</v>
      </c>
      <c r="I38" s="87">
        <v>5.1921182266009849</v>
      </c>
      <c r="K38" t="s">
        <v>45</v>
      </c>
      <c r="L38" t="s">
        <v>46</v>
      </c>
      <c r="M38" t="s">
        <v>15</v>
      </c>
      <c r="N38" t="s">
        <v>12</v>
      </c>
      <c r="O38" s="87">
        <v>7.4950738916256165</v>
      </c>
      <c r="Q38" t="s">
        <v>43</v>
      </c>
      <c r="R38" t="s">
        <v>73</v>
      </c>
      <c r="S38" t="s">
        <v>25</v>
      </c>
      <c r="T38" t="s">
        <v>29</v>
      </c>
      <c r="U38" s="87">
        <v>4.3423645320197046</v>
      </c>
    </row>
    <row r="39" spans="1:21" x14ac:dyDescent="0.3">
      <c r="A39" t="s">
        <v>9</v>
      </c>
      <c r="B39" t="s">
        <v>741</v>
      </c>
      <c r="C39" s="16" t="s">
        <v>272</v>
      </c>
      <c r="D39" s="16">
        <v>3</v>
      </c>
      <c r="E39" t="s">
        <v>1524</v>
      </c>
      <c r="F39" t="s">
        <v>282</v>
      </c>
      <c r="G39" t="s">
        <v>1567</v>
      </c>
      <c r="H39" t="s">
        <v>344</v>
      </c>
      <c r="I39" s="87">
        <v>3.431034482758621</v>
      </c>
      <c r="K39" t="s">
        <v>45</v>
      </c>
      <c r="L39" t="s">
        <v>46</v>
      </c>
      <c r="M39" t="s">
        <v>14</v>
      </c>
      <c r="N39" t="s">
        <v>12</v>
      </c>
      <c r="O39" s="87">
        <v>7.4950738916256165</v>
      </c>
      <c r="Q39" t="s">
        <v>43</v>
      </c>
      <c r="R39" t="s">
        <v>73</v>
      </c>
      <c r="S39" t="s">
        <v>24</v>
      </c>
      <c r="T39" t="s">
        <v>29</v>
      </c>
      <c r="U39" s="87">
        <v>4.3423645320197046</v>
      </c>
    </row>
    <row r="40" spans="1:21" x14ac:dyDescent="0.3">
      <c r="A40" t="s">
        <v>45</v>
      </c>
      <c r="B40" t="s">
        <v>742</v>
      </c>
      <c r="C40" s="16" t="s">
        <v>272</v>
      </c>
      <c r="D40" s="16">
        <v>3</v>
      </c>
      <c r="E40" t="s">
        <v>1524</v>
      </c>
      <c r="F40" t="s">
        <v>282</v>
      </c>
      <c r="G40" t="s">
        <v>1567</v>
      </c>
      <c r="H40" t="s">
        <v>344</v>
      </c>
      <c r="I40" s="87">
        <v>3.431034482758621</v>
      </c>
      <c r="K40" t="s">
        <v>45</v>
      </c>
      <c r="L40" t="s">
        <v>46</v>
      </c>
      <c r="M40" t="s">
        <v>11</v>
      </c>
      <c r="N40" t="s">
        <v>12</v>
      </c>
      <c r="O40" s="87">
        <v>7.4950738916256165</v>
      </c>
      <c r="Q40" t="s">
        <v>43</v>
      </c>
      <c r="R40" t="s">
        <v>73</v>
      </c>
      <c r="S40" t="s">
        <v>32</v>
      </c>
      <c r="T40" t="s">
        <v>29</v>
      </c>
      <c r="U40" s="87">
        <v>9.1305418719211815</v>
      </c>
    </row>
    <row r="41" spans="1:21" x14ac:dyDescent="0.3">
      <c r="A41" t="s">
        <v>45</v>
      </c>
      <c r="B41" t="s">
        <v>743</v>
      </c>
      <c r="C41" s="16" t="s">
        <v>272</v>
      </c>
      <c r="D41" s="16">
        <v>3</v>
      </c>
      <c r="E41" t="s">
        <v>1524</v>
      </c>
      <c r="F41" t="s">
        <v>282</v>
      </c>
      <c r="G41" t="s">
        <v>1567</v>
      </c>
      <c r="H41" t="s">
        <v>344</v>
      </c>
      <c r="I41" s="87">
        <v>3.431034482758621</v>
      </c>
      <c r="K41" t="s">
        <v>45</v>
      </c>
      <c r="L41" t="s">
        <v>46</v>
      </c>
      <c r="M41" t="s">
        <v>19</v>
      </c>
      <c r="N41" t="s">
        <v>12</v>
      </c>
      <c r="O41" s="87">
        <v>7.5935960591133007</v>
      </c>
      <c r="Q41" t="s">
        <v>43</v>
      </c>
      <c r="R41" t="s">
        <v>73</v>
      </c>
      <c r="S41" t="s">
        <v>30</v>
      </c>
      <c r="T41" t="s">
        <v>29</v>
      </c>
      <c r="U41" s="87">
        <v>4.3423645320197046</v>
      </c>
    </row>
    <row r="42" spans="1:21" x14ac:dyDescent="0.3">
      <c r="A42" t="s">
        <v>45</v>
      </c>
      <c r="B42" t="s">
        <v>744</v>
      </c>
      <c r="C42" s="16" t="s">
        <v>272</v>
      </c>
      <c r="D42" s="16">
        <v>3</v>
      </c>
      <c r="E42" t="s">
        <v>1524</v>
      </c>
      <c r="F42" t="s">
        <v>1540</v>
      </c>
      <c r="G42" t="s">
        <v>1567</v>
      </c>
      <c r="H42" t="s">
        <v>344</v>
      </c>
      <c r="I42" s="87">
        <v>4.3177339901477829</v>
      </c>
      <c r="K42" t="s">
        <v>45</v>
      </c>
      <c r="L42" t="s">
        <v>46</v>
      </c>
      <c r="M42" t="s">
        <v>17</v>
      </c>
      <c r="N42" t="s">
        <v>12</v>
      </c>
      <c r="O42" s="87">
        <v>7.4950738916256165</v>
      </c>
      <c r="Q42" t="s">
        <v>43</v>
      </c>
      <c r="R42" t="s">
        <v>73</v>
      </c>
      <c r="S42" t="s">
        <v>34</v>
      </c>
      <c r="T42" t="s">
        <v>29</v>
      </c>
      <c r="U42" s="87">
        <v>8.7684729064039413</v>
      </c>
    </row>
    <row r="43" spans="1:21" x14ac:dyDescent="0.3">
      <c r="A43" t="s">
        <v>45</v>
      </c>
      <c r="B43" t="s">
        <v>745</v>
      </c>
      <c r="C43" s="16" t="s">
        <v>272</v>
      </c>
      <c r="D43" s="16">
        <v>3</v>
      </c>
      <c r="E43" t="s">
        <v>1524</v>
      </c>
      <c r="F43" t="s">
        <v>282</v>
      </c>
      <c r="G43" t="s">
        <v>1568</v>
      </c>
      <c r="H43" t="s">
        <v>291</v>
      </c>
      <c r="I43" s="87">
        <v>4.7266009852216753</v>
      </c>
      <c r="K43" t="s">
        <v>45</v>
      </c>
      <c r="L43" t="s">
        <v>46</v>
      </c>
      <c r="M43" t="s">
        <v>16</v>
      </c>
      <c r="N43" t="s">
        <v>12</v>
      </c>
      <c r="O43" s="87">
        <v>7.6921182266009858</v>
      </c>
      <c r="Q43" t="s">
        <v>43</v>
      </c>
      <c r="R43" t="s">
        <v>73</v>
      </c>
      <c r="S43" t="s">
        <v>26</v>
      </c>
      <c r="T43" t="s">
        <v>29</v>
      </c>
      <c r="U43" s="87">
        <v>4.8004926108374395</v>
      </c>
    </row>
    <row r="44" spans="1:21" x14ac:dyDescent="0.3">
      <c r="A44" t="s">
        <v>45</v>
      </c>
      <c r="B44" t="s">
        <v>746</v>
      </c>
      <c r="C44" s="16" t="s">
        <v>272</v>
      </c>
      <c r="D44" s="16">
        <v>3</v>
      </c>
      <c r="E44" t="s">
        <v>1524</v>
      </c>
      <c r="F44" t="s">
        <v>282</v>
      </c>
      <c r="G44" t="s">
        <v>343</v>
      </c>
      <c r="H44" t="s">
        <v>291</v>
      </c>
      <c r="I44" s="87">
        <v>4.7438423645320196</v>
      </c>
      <c r="K44" t="s">
        <v>45</v>
      </c>
      <c r="L44" t="s">
        <v>46</v>
      </c>
      <c r="M44" t="s">
        <v>20</v>
      </c>
      <c r="N44" t="s">
        <v>12</v>
      </c>
      <c r="O44" s="87">
        <v>7.4950738916256165</v>
      </c>
      <c r="Q44" t="s">
        <v>43</v>
      </c>
      <c r="R44" t="s">
        <v>73</v>
      </c>
      <c r="S44" t="s">
        <v>31</v>
      </c>
      <c r="T44" t="s">
        <v>29</v>
      </c>
      <c r="U44" s="87">
        <v>4.6871921182266014</v>
      </c>
    </row>
    <row r="45" spans="1:21" x14ac:dyDescent="0.3">
      <c r="A45" t="s">
        <v>45</v>
      </c>
      <c r="B45" t="s">
        <v>747</v>
      </c>
      <c r="C45" s="16" t="s">
        <v>272</v>
      </c>
      <c r="D45" s="16">
        <v>3</v>
      </c>
      <c r="E45" t="s">
        <v>1524</v>
      </c>
      <c r="F45" t="s">
        <v>1658</v>
      </c>
      <c r="G45" t="s">
        <v>1567</v>
      </c>
      <c r="H45" t="s">
        <v>344</v>
      </c>
      <c r="I45" s="87">
        <v>4.4285714285714288</v>
      </c>
      <c r="K45" t="s">
        <v>45</v>
      </c>
      <c r="L45" t="s">
        <v>72</v>
      </c>
      <c r="M45" t="s">
        <v>15</v>
      </c>
      <c r="N45" t="s">
        <v>12</v>
      </c>
      <c r="O45" s="87">
        <v>3.431034482758621</v>
      </c>
      <c r="Q45" t="s">
        <v>43</v>
      </c>
      <c r="R45" t="s">
        <v>73</v>
      </c>
      <c r="S45" t="s">
        <v>27</v>
      </c>
      <c r="T45" t="s">
        <v>29</v>
      </c>
      <c r="U45" s="87">
        <v>7.5812807881773407</v>
      </c>
    </row>
    <row r="46" spans="1:21" x14ac:dyDescent="0.3">
      <c r="A46" t="s">
        <v>9</v>
      </c>
      <c r="B46" t="s">
        <v>748</v>
      </c>
      <c r="C46" s="16" t="s">
        <v>272</v>
      </c>
      <c r="D46" s="16">
        <v>3</v>
      </c>
      <c r="E46" t="s">
        <v>334</v>
      </c>
      <c r="F46" t="s">
        <v>334</v>
      </c>
      <c r="G46" t="s">
        <v>1566</v>
      </c>
      <c r="H46" t="s">
        <v>291</v>
      </c>
      <c r="I46" s="87">
        <v>7.8596059113300498</v>
      </c>
      <c r="K46" t="s">
        <v>45</v>
      </c>
      <c r="L46" t="s">
        <v>72</v>
      </c>
      <c r="M46" t="s">
        <v>14</v>
      </c>
      <c r="N46" t="s">
        <v>12</v>
      </c>
      <c r="O46" s="87">
        <v>4.3177339901477829</v>
      </c>
      <c r="Q46" t="s">
        <v>43</v>
      </c>
      <c r="R46" t="s">
        <v>73</v>
      </c>
      <c r="S46" t="s">
        <v>28</v>
      </c>
      <c r="T46" t="s">
        <v>29</v>
      </c>
      <c r="U46" s="87">
        <v>4.3423645320197046</v>
      </c>
    </row>
    <row r="47" spans="1:21" x14ac:dyDescent="0.3">
      <c r="A47" t="s">
        <v>9</v>
      </c>
      <c r="B47" t="s">
        <v>749</v>
      </c>
      <c r="C47" s="16" t="s">
        <v>272</v>
      </c>
      <c r="D47" s="16">
        <v>3</v>
      </c>
      <c r="E47" t="s">
        <v>1524</v>
      </c>
      <c r="F47" t="s">
        <v>1537</v>
      </c>
      <c r="G47" t="s">
        <v>1567</v>
      </c>
      <c r="H47" t="s">
        <v>1570</v>
      </c>
      <c r="I47" s="87">
        <v>5.4137931034482758</v>
      </c>
      <c r="K47" t="s">
        <v>45</v>
      </c>
      <c r="L47" t="s">
        <v>72</v>
      </c>
      <c r="M47" t="s">
        <v>11</v>
      </c>
      <c r="N47" t="s">
        <v>12</v>
      </c>
      <c r="O47" s="87">
        <v>4.3177339901477829</v>
      </c>
      <c r="Q47" t="s">
        <v>43</v>
      </c>
      <c r="R47" t="s">
        <v>73</v>
      </c>
      <c r="S47" t="s">
        <v>35</v>
      </c>
      <c r="T47" t="s">
        <v>29</v>
      </c>
      <c r="U47" s="87">
        <v>8.985221674876847</v>
      </c>
    </row>
    <row r="48" spans="1:21" x14ac:dyDescent="0.3">
      <c r="A48" t="s">
        <v>9</v>
      </c>
      <c r="B48" t="s">
        <v>750</v>
      </c>
      <c r="C48" s="16" t="s">
        <v>272</v>
      </c>
      <c r="D48" s="16">
        <v>3</v>
      </c>
      <c r="E48" t="s">
        <v>1524</v>
      </c>
      <c r="F48" t="s">
        <v>282</v>
      </c>
      <c r="G48" t="s">
        <v>1567</v>
      </c>
      <c r="H48" t="s">
        <v>344</v>
      </c>
      <c r="I48" s="87">
        <v>3.431034482758621</v>
      </c>
      <c r="K48" t="s">
        <v>45</v>
      </c>
      <c r="L48" t="s">
        <v>72</v>
      </c>
      <c r="M48" t="s">
        <v>21</v>
      </c>
      <c r="N48" t="s">
        <v>12</v>
      </c>
      <c r="O48" s="87">
        <v>4.3177339901477829</v>
      </c>
      <c r="Q48" t="s">
        <v>45</v>
      </c>
      <c r="R48" t="s">
        <v>46</v>
      </c>
      <c r="S48" t="s">
        <v>23</v>
      </c>
      <c r="T48" t="s">
        <v>29</v>
      </c>
      <c r="U48" s="87">
        <v>7.4950738916256165</v>
      </c>
    </row>
    <row r="49" spans="1:21" x14ac:dyDescent="0.3">
      <c r="A49" t="s">
        <v>9</v>
      </c>
      <c r="B49" t="s">
        <v>751</v>
      </c>
      <c r="C49" s="16" t="s">
        <v>272</v>
      </c>
      <c r="D49" s="16">
        <v>3</v>
      </c>
      <c r="E49" t="s">
        <v>1524</v>
      </c>
      <c r="F49" t="s">
        <v>282</v>
      </c>
      <c r="G49" t="s">
        <v>1566</v>
      </c>
      <c r="H49" t="s">
        <v>1621</v>
      </c>
      <c r="I49" s="87">
        <v>4.8423645320197046</v>
      </c>
      <c r="K49" t="s">
        <v>45</v>
      </c>
      <c r="L49" t="s">
        <v>72</v>
      </c>
      <c r="M49" t="s">
        <v>19</v>
      </c>
      <c r="N49" t="s">
        <v>12</v>
      </c>
      <c r="O49" s="87">
        <v>8.083743842364532</v>
      </c>
      <c r="Q49" t="s">
        <v>45</v>
      </c>
      <c r="R49" t="s">
        <v>46</v>
      </c>
      <c r="S49" t="s">
        <v>25</v>
      </c>
      <c r="T49" t="s">
        <v>29</v>
      </c>
      <c r="U49" s="87">
        <v>7.4950738916256165</v>
      </c>
    </row>
    <row r="50" spans="1:21" x14ac:dyDescent="0.3">
      <c r="A50" t="s">
        <v>9</v>
      </c>
      <c r="B50" t="s">
        <v>752</v>
      </c>
      <c r="C50" s="16" t="s">
        <v>272</v>
      </c>
      <c r="D50" s="16">
        <v>3</v>
      </c>
      <c r="E50" t="s">
        <v>1524</v>
      </c>
      <c r="F50" t="s">
        <v>282</v>
      </c>
      <c r="G50" t="s">
        <v>1567</v>
      </c>
      <c r="H50" t="s">
        <v>347</v>
      </c>
      <c r="I50" s="87">
        <v>4.6009852216748772</v>
      </c>
      <c r="K50" t="s">
        <v>45</v>
      </c>
      <c r="L50" t="s">
        <v>72</v>
      </c>
      <c r="M50" t="s">
        <v>17</v>
      </c>
      <c r="N50" t="s">
        <v>12</v>
      </c>
      <c r="O50" s="87">
        <v>8.083743842364532</v>
      </c>
      <c r="Q50" t="s">
        <v>45</v>
      </c>
      <c r="R50" t="s">
        <v>46</v>
      </c>
      <c r="S50" t="s">
        <v>24</v>
      </c>
      <c r="T50" t="s">
        <v>29</v>
      </c>
      <c r="U50" s="87">
        <v>7.4950738916256165</v>
      </c>
    </row>
    <row r="51" spans="1:21" x14ac:dyDescent="0.3">
      <c r="A51" t="s">
        <v>9</v>
      </c>
      <c r="B51" t="s">
        <v>753</v>
      </c>
      <c r="C51" s="16" t="s">
        <v>272</v>
      </c>
      <c r="D51" s="16">
        <v>3</v>
      </c>
      <c r="E51" t="s">
        <v>1524</v>
      </c>
      <c r="F51" t="s">
        <v>282</v>
      </c>
      <c r="G51" t="s">
        <v>1567</v>
      </c>
      <c r="H51" t="s">
        <v>291</v>
      </c>
      <c r="I51" s="87">
        <v>4.4778325123152714</v>
      </c>
      <c r="K51" t="s">
        <v>45</v>
      </c>
      <c r="L51" t="s">
        <v>72</v>
      </c>
      <c r="M51" t="s">
        <v>16</v>
      </c>
      <c r="N51" t="s">
        <v>12</v>
      </c>
      <c r="O51" s="87">
        <v>4.7266009852216753</v>
      </c>
      <c r="Q51" t="s">
        <v>45</v>
      </c>
      <c r="R51" t="s">
        <v>46</v>
      </c>
      <c r="S51" t="s">
        <v>21</v>
      </c>
      <c r="T51" t="s">
        <v>29</v>
      </c>
      <c r="U51" s="87">
        <v>7.4950738916256165</v>
      </c>
    </row>
    <row r="52" spans="1:21" x14ac:dyDescent="0.3">
      <c r="A52" t="s">
        <v>9</v>
      </c>
      <c r="B52" t="s">
        <v>754</v>
      </c>
      <c r="C52" s="16" t="s">
        <v>272</v>
      </c>
      <c r="D52" s="16">
        <v>3</v>
      </c>
      <c r="E52" t="s">
        <v>1524</v>
      </c>
      <c r="F52" t="s">
        <v>1534</v>
      </c>
      <c r="G52" t="s">
        <v>341</v>
      </c>
      <c r="H52" t="s">
        <v>344</v>
      </c>
      <c r="I52" s="87">
        <v>4.6206896551724137</v>
      </c>
      <c r="K52" t="s">
        <v>45</v>
      </c>
      <c r="L52" t="s">
        <v>72</v>
      </c>
      <c r="M52" t="s">
        <v>20</v>
      </c>
      <c r="N52" t="s">
        <v>12</v>
      </c>
      <c r="O52" s="87">
        <v>4.4408866995073897</v>
      </c>
      <c r="Q52" t="s">
        <v>45</v>
      </c>
      <c r="R52" t="s">
        <v>46</v>
      </c>
      <c r="S52" t="s">
        <v>30</v>
      </c>
      <c r="T52" t="s">
        <v>29</v>
      </c>
      <c r="U52" s="87">
        <v>7.4950738916256165</v>
      </c>
    </row>
    <row r="53" spans="1:21" x14ac:dyDescent="0.3">
      <c r="A53" t="s">
        <v>9</v>
      </c>
      <c r="B53" t="s">
        <v>755</v>
      </c>
      <c r="C53" s="16" t="s">
        <v>272</v>
      </c>
      <c r="D53" s="16">
        <v>3</v>
      </c>
      <c r="E53" t="s">
        <v>1524</v>
      </c>
      <c r="F53" t="s">
        <v>1540</v>
      </c>
      <c r="G53" t="s">
        <v>1568</v>
      </c>
      <c r="H53" t="s">
        <v>344</v>
      </c>
      <c r="I53" s="87">
        <v>4.5665024630541877</v>
      </c>
      <c r="K53" t="s">
        <v>45</v>
      </c>
      <c r="L53" t="s">
        <v>72</v>
      </c>
      <c r="M53" t="s">
        <v>22</v>
      </c>
      <c r="N53" t="s">
        <v>12</v>
      </c>
      <c r="O53" s="87">
        <v>5.3275862068965516</v>
      </c>
      <c r="Q53" t="s">
        <v>45</v>
      </c>
      <c r="R53" t="s">
        <v>46</v>
      </c>
      <c r="S53" t="s">
        <v>26</v>
      </c>
      <c r="T53" t="s">
        <v>29</v>
      </c>
      <c r="U53" s="87">
        <v>7.5935960591133007</v>
      </c>
    </row>
    <row r="54" spans="1:21" x14ac:dyDescent="0.3">
      <c r="A54" t="s">
        <v>9</v>
      </c>
      <c r="B54" t="s">
        <v>756</v>
      </c>
      <c r="C54" s="16" t="s">
        <v>272</v>
      </c>
      <c r="D54" s="16">
        <v>3</v>
      </c>
      <c r="E54" t="s">
        <v>1524</v>
      </c>
      <c r="F54" t="s">
        <v>282</v>
      </c>
      <c r="G54" t="s">
        <v>1568</v>
      </c>
      <c r="H54" t="s">
        <v>344</v>
      </c>
      <c r="I54" s="87">
        <v>3.6798029556650249</v>
      </c>
      <c r="K54" t="s">
        <v>9</v>
      </c>
      <c r="L54" t="s">
        <v>10</v>
      </c>
      <c r="M54" t="s">
        <v>27</v>
      </c>
      <c r="N54" t="s">
        <v>12</v>
      </c>
      <c r="O54" s="87">
        <v>4.3916256157635472</v>
      </c>
      <c r="Q54" t="s">
        <v>45</v>
      </c>
      <c r="R54" t="s">
        <v>46</v>
      </c>
      <c r="S54" t="s">
        <v>22</v>
      </c>
      <c r="T54" t="s">
        <v>29</v>
      </c>
      <c r="U54" s="87">
        <v>7.4950738916256165</v>
      </c>
    </row>
    <row r="55" spans="1:21" x14ac:dyDescent="0.3">
      <c r="A55" t="s">
        <v>9</v>
      </c>
      <c r="B55" t="s">
        <v>757</v>
      </c>
      <c r="C55" s="16" t="s">
        <v>272</v>
      </c>
      <c r="D55" s="16">
        <v>3</v>
      </c>
      <c r="E55" t="s">
        <v>1524</v>
      </c>
      <c r="F55" t="s">
        <v>1542</v>
      </c>
      <c r="G55" t="s">
        <v>1568</v>
      </c>
      <c r="H55" t="s">
        <v>344</v>
      </c>
      <c r="I55" s="87">
        <v>4.5541871921182269</v>
      </c>
      <c r="K55" t="s">
        <v>9</v>
      </c>
      <c r="L55" t="s">
        <v>10</v>
      </c>
      <c r="M55" t="s">
        <v>15</v>
      </c>
      <c r="N55" t="s">
        <v>12</v>
      </c>
      <c r="O55" s="87">
        <v>4.2931034482758621</v>
      </c>
      <c r="Q55" t="s">
        <v>45</v>
      </c>
      <c r="R55" t="s">
        <v>46</v>
      </c>
      <c r="S55" t="s">
        <v>27</v>
      </c>
      <c r="T55" t="s">
        <v>29</v>
      </c>
      <c r="U55" s="87">
        <v>7.4950738916256165</v>
      </c>
    </row>
    <row r="56" spans="1:21" x14ac:dyDescent="0.3">
      <c r="A56" t="s">
        <v>9</v>
      </c>
      <c r="B56" t="s">
        <v>758</v>
      </c>
      <c r="C56" s="16" t="s">
        <v>272</v>
      </c>
      <c r="D56" s="16">
        <v>2</v>
      </c>
      <c r="E56" t="s">
        <v>1524</v>
      </c>
      <c r="F56" t="s">
        <v>282</v>
      </c>
      <c r="G56" t="s">
        <v>342</v>
      </c>
      <c r="H56" t="s">
        <v>344</v>
      </c>
      <c r="I56" s="87">
        <v>4.3423645320197046</v>
      </c>
      <c r="K56" t="s">
        <v>9</v>
      </c>
      <c r="L56" t="s">
        <v>10</v>
      </c>
      <c r="M56" t="s">
        <v>23</v>
      </c>
      <c r="N56" t="s">
        <v>12</v>
      </c>
      <c r="O56" s="87">
        <v>4.2931034482758621</v>
      </c>
      <c r="Q56" t="s">
        <v>45</v>
      </c>
      <c r="R56" t="s">
        <v>46</v>
      </c>
      <c r="S56" t="s">
        <v>28</v>
      </c>
      <c r="T56" t="s">
        <v>29</v>
      </c>
      <c r="U56" s="87">
        <v>7.4950738916256165</v>
      </c>
    </row>
    <row r="57" spans="1:21" x14ac:dyDescent="0.3">
      <c r="A57" t="s">
        <v>9</v>
      </c>
      <c r="B57" t="s">
        <v>759</v>
      </c>
      <c r="C57" s="16" t="s">
        <v>272</v>
      </c>
      <c r="D57" s="16">
        <v>3</v>
      </c>
      <c r="E57" t="s">
        <v>1524</v>
      </c>
      <c r="F57" t="s">
        <v>1542</v>
      </c>
      <c r="G57" t="s">
        <v>1567</v>
      </c>
      <c r="H57" t="s">
        <v>1622</v>
      </c>
      <c r="I57" s="87">
        <v>5.5123152709359609</v>
      </c>
      <c r="K57" t="s">
        <v>9</v>
      </c>
      <c r="L57" t="s">
        <v>10</v>
      </c>
      <c r="M57" t="s">
        <v>14</v>
      </c>
      <c r="N57" t="s">
        <v>12</v>
      </c>
      <c r="O57" s="87">
        <v>4.2931034482758621</v>
      </c>
      <c r="Q57" t="s">
        <v>45</v>
      </c>
      <c r="R57" t="s">
        <v>72</v>
      </c>
      <c r="S57" t="s">
        <v>23</v>
      </c>
      <c r="T57" t="s">
        <v>29</v>
      </c>
      <c r="U57" s="87">
        <v>8.083743842364532</v>
      </c>
    </row>
    <row r="58" spans="1:21" x14ac:dyDescent="0.3">
      <c r="A58" t="s">
        <v>9</v>
      </c>
      <c r="B58" t="s">
        <v>760</v>
      </c>
      <c r="C58" s="16" t="s">
        <v>272</v>
      </c>
      <c r="D58" s="16">
        <v>3</v>
      </c>
      <c r="E58" t="s">
        <v>1524</v>
      </c>
      <c r="F58" t="s">
        <v>282</v>
      </c>
      <c r="G58" t="s">
        <v>1568</v>
      </c>
      <c r="H58" t="s">
        <v>344</v>
      </c>
      <c r="I58" s="87">
        <v>3.6798029556650249</v>
      </c>
      <c r="K58" t="s">
        <v>9</v>
      </c>
      <c r="L58" t="s">
        <v>10</v>
      </c>
      <c r="M58" t="s">
        <v>25</v>
      </c>
      <c r="N58" t="s">
        <v>12</v>
      </c>
      <c r="O58" s="87">
        <v>4.3916256157635472</v>
      </c>
      <c r="Q58" t="s">
        <v>45</v>
      </c>
      <c r="R58" t="s">
        <v>72</v>
      </c>
      <c r="S58" t="s">
        <v>25</v>
      </c>
      <c r="T58" t="s">
        <v>29</v>
      </c>
      <c r="U58" s="87">
        <v>8.083743842364532</v>
      </c>
    </row>
    <row r="59" spans="1:21" x14ac:dyDescent="0.3">
      <c r="A59" t="s">
        <v>9</v>
      </c>
      <c r="B59" t="s">
        <v>761</v>
      </c>
      <c r="C59" s="16" t="s">
        <v>272</v>
      </c>
      <c r="D59" s="16">
        <v>2</v>
      </c>
      <c r="E59" t="s">
        <v>1524</v>
      </c>
      <c r="F59" t="s">
        <v>282</v>
      </c>
      <c r="G59" t="s">
        <v>342</v>
      </c>
      <c r="H59" t="s">
        <v>344</v>
      </c>
      <c r="I59" s="87">
        <v>4.3423645320197046</v>
      </c>
      <c r="K59" t="s">
        <v>9</v>
      </c>
      <c r="L59" t="s">
        <v>10</v>
      </c>
      <c r="M59" t="s">
        <v>11</v>
      </c>
      <c r="N59" t="s">
        <v>12</v>
      </c>
      <c r="O59" s="87">
        <v>4.2931034482758621</v>
      </c>
      <c r="Q59" t="s">
        <v>45</v>
      </c>
      <c r="R59" t="s">
        <v>72</v>
      </c>
      <c r="S59" t="s">
        <v>24</v>
      </c>
      <c r="T59" t="s">
        <v>29</v>
      </c>
      <c r="U59" s="87">
        <v>7.1428571428571432</v>
      </c>
    </row>
    <row r="60" spans="1:21" x14ac:dyDescent="0.3">
      <c r="A60" t="s">
        <v>9</v>
      </c>
      <c r="B60" t="s">
        <v>762</v>
      </c>
      <c r="C60" s="16" t="s">
        <v>272</v>
      </c>
      <c r="D60" s="16">
        <v>3</v>
      </c>
      <c r="E60" t="s">
        <v>1524</v>
      </c>
      <c r="F60" t="s">
        <v>1542</v>
      </c>
      <c r="G60" t="s">
        <v>1567</v>
      </c>
      <c r="H60" t="s">
        <v>345</v>
      </c>
      <c r="I60" s="87">
        <v>5.3152709359605916</v>
      </c>
      <c r="K60" t="s">
        <v>9</v>
      </c>
      <c r="L60" t="s">
        <v>10</v>
      </c>
      <c r="M60" t="s">
        <v>24</v>
      </c>
      <c r="N60" t="s">
        <v>12</v>
      </c>
      <c r="O60" s="87">
        <v>4.2931034482758621</v>
      </c>
      <c r="Q60" t="s">
        <v>45</v>
      </c>
      <c r="R60" t="s">
        <v>72</v>
      </c>
      <c r="S60" t="s">
        <v>37</v>
      </c>
      <c r="T60" t="s">
        <v>29</v>
      </c>
      <c r="U60" s="87">
        <v>4.4408866995073897</v>
      </c>
    </row>
    <row r="61" spans="1:21" x14ac:dyDescent="0.3">
      <c r="A61" t="s">
        <v>9</v>
      </c>
      <c r="B61" t="s">
        <v>763</v>
      </c>
      <c r="C61" s="16" t="s">
        <v>272</v>
      </c>
      <c r="D61" s="16">
        <v>3</v>
      </c>
      <c r="E61" t="s">
        <v>1524</v>
      </c>
      <c r="F61" t="s">
        <v>282</v>
      </c>
      <c r="G61" t="s">
        <v>1567</v>
      </c>
      <c r="H61" t="s">
        <v>1623</v>
      </c>
      <c r="I61" s="87">
        <v>4.6502463054187197</v>
      </c>
      <c r="K61" t="s">
        <v>9</v>
      </c>
      <c r="L61" t="s">
        <v>10</v>
      </c>
      <c r="M61" t="s">
        <v>21</v>
      </c>
      <c r="N61" t="s">
        <v>12</v>
      </c>
      <c r="O61" s="87">
        <v>5.5123152709359609</v>
      </c>
      <c r="Q61" t="s">
        <v>45</v>
      </c>
      <c r="R61" t="s">
        <v>72</v>
      </c>
      <c r="S61" t="s">
        <v>32</v>
      </c>
      <c r="T61" t="s">
        <v>29</v>
      </c>
      <c r="U61" s="87">
        <v>5.5492610837438434</v>
      </c>
    </row>
    <row r="62" spans="1:21" x14ac:dyDescent="0.3">
      <c r="A62" t="s">
        <v>9</v>
      </c>
      <c r="B62" t="s">
        <v>764</v>
      </c>
      <c r="C62" s="16" t="s">
        <v>272</v>
      </c>
      <c r="D62" s="16">
        <v>3</v>
      </c>
      <c r="E62" t="s">
        <v>1524</v>
      </c>
      <c r="F62" t="s">
        <v>282</v>
      </c>
      <c r="G62" t="s">
        <v>1567</v>
      </c>
      <c r="H62" t="s">
        <v>345</v>
      </c>
      <c r="I62" s="87">
        <v>4.4408866995073897</v>
      </c>
      <c r="K62" t="s">
        <v>9</v>
      </c>
      <c r="L62" t="s">
        <v>10</v>
      </c>
      <c r="M62" t="s">
        <v>19</v>
      </c>
      <c r="N62" t="s">
        <v>12</v>
      </c>
      <c r="O62" s="87">
        <v>4.2931034482758621</v>
      </c>
      <c r="Q62" t="s">
        <v>45</v>
      </c>
      <c r="R62" t="s">
        <v>72</v>
      </c>
      <c r="S62" t="s">
        <v>30</v>
      </c>
      <c r="T62" t="s">
        <v>29</v>
      </c>
      <c r="U62" s="87">
        <v>5.5492610837438434</v>
      </c>
    </row>
    <row r="63" spans="1:21" x14ac:dyDescent="0.3">
      <c r="A63" t="s">
        <v>43</v>
      </c>
      <c r="B63" t="s">
        <v>765</v>
      </c>
      <c r="C63" s="16" t="s">
        <v>273</v>
      </c>
      <c r="D63" s="16">
        <v>2</v>
      </c>
      <c r="E63" t="s">
        <v>1525</v>
      </c>
      <c r="F63" t="s">
        <v>283</v>
      </c>
      <c r="G63" t="s">
        <v>1568</v>
      </c>
      <c r="H63" t="s">
        <v>291</v>
      </c>
      <c r="I63" s="87">
        <v>9.3916256157635463</v>
      </c>
      <c r="K63" t="s">
        <v>9</v>
      </c>
      <c r="L63" t="s">
        <v>10</v>
      </c>
      <c r="M63" t="s">
        <v>17</v>
      </c>
      <c r="N63" t="s">
        <v>12</v>
      </c>
      <c r="O63" s="87">
        <v>4.2931034482758621</v>
      </c>
      <c r="Q63" t="s">
        <v>45</v>
      </c>
      <c r="R63" t="s">
        <v>72</v>
      </c>
      <c r="S63" t="s">
        <v>34</v>
      </c>
      <c r="T63" t="s">
        <v>29</v>
      </c>
      <c r="U63" s="87">
        <v>5.5246305418719208</v>
      </c>
    </row>
    <row r="64" spans="1:21" x14ac:dyDescent="0.3">
      <c r="A64" t="s">
        <v>43</v>
      </c>
      <c r="B64" t="s">
        <v>766</v>
      </c>
      <c r="C64" s="16" t="s">
        <v>272</v>
      </c>
      <c r="D64" s="16">
        <v>2</v>
      </c>
      <c r="E64" t="s">
        <v>1525</v>
      </c>
      <c r="F64" t="s">
        <v>273</v>
      </c>
      <c r="G64" t="s">
        <v>1567</v>
      </c>
      <c r="H64" t="s">
        <v>347</v>
      </c>
      <c r="I64" s="87">
        <v>8.3128078817733986</v>
      </c>
      <c r="K64" t="s">
        <v>9</v>
      </c>
      <c r="L64" t="s">
        <v>10</v>
      </c>
      <c r="M64" t="s">
        <v>16</v>
      </c>
      <c r="N64" t="s">
        <v>12</v>
      </c>
      <c r="O64" s="87">
        <v>4.2931034482758621</v>
      </c>
      <c r="Q64" t="s">
        <v>45</v>
      </c>
      <c r="R64" t="s">
        <v>72</v>
      </c>
      <c r="S64" t="s">
        <v>36</v>
      </c>
      <c r="T64" t="s">
        <v>29</v>
      </c>
      <c r="U64" s="87">
        <v>5.5246305418719208</v>
      </c>
    </row>
    <row r="65" spans="1:21" x14ac:dyDescent="0.3">
      <c r="A65" t="s">
        <v>43</v>
      </c>
      <c r="B65" t="s">
        <v>767</v>
      </c>
      <c r="C65" s="16" t="s">
        <v>272</v>
      </c>
      <c r="D65" s="16">
        <v>3</v>
      </c>
      <c r="E65" t="s">
        <v>1524</v>
      </c>
      <c r="F65" t="s">
        <v>1631</v>
      </c>
      <c r="G65" t="s">
        <v>1567</v>
      </c>
      <c r="H65" t="s">
        <v>344</v>
      </c>
      <c r="I65" s="87">
        <v>4.3916256157635472</v>
      </c>
      <c r="K65" t="s">
        <v>9</v>
      </c>
      <c r="L65" t="s">
        <v>10</v>
      </c>
      <c r="M65" t="s">
        <v>20</v>
      </c>
      <c r="N65" t="s">
        <v>12</v>
      </c>
      <c r="O65" s="87">
        <v>4.2931034482758621</v>
      </c>
      <c r="Q65" t="s">
        <v>45</v>
      </c>
      <c r="R65" t="s">
        <v>72</v>
      </c>
      <c r="S65" t="s">
        <v>33</v>
      </c>
      <c r="T65" t="s">
        <v>29</v>
      </c>
      <c r="U65" s="87">
        <v>4.6699507389162562</v>
      </c>
    </row>
    <row r="66" spans="1:21" x14ac:dyDescent="0.3">
      <c r="A66" t="s">
        <v>43</v>
      </c>
      <c r="B66" t="s">
        <v>768</v>
      </c>
      <c r="C66" s="16" t="s">
        <v>272</v>
      </c>
      <c r="D66" s="16">
        <v>3</v>
      </c>
      <c r="E66" t="s">
        <v>1524</v>
      </c>
      <c r="F66" t="s">
        <v>282</v>
      </c>
      <c r="G66" t="s">
        <v>1567</v>
      </c>
      <c r="H66" t="s">
        <v>1622</v>
      </c>
      <c r="I66" s="87">
        <v>4.6379310344827589</v>
      </c>
      <c r="K66" t="s">
        <v>9</v>
      </c>
      <c r="L66" t="s">
        <v>10</v>
      </c>
      <c r="M66" t="s">
        <v>26</v>
      </c>
      <c r="N66" t="s">
        <v>12</v>
      </c>
      <c r="O66" s="87">
        <v>4.3916256157635472</v>
      </c>
      <c r="Q66" t="s">
        <v>45</v>
      </c>
      <c r="R66" t="s">
        <v>72</v>
      </c>
      <c r="S66" t="s">
        <v>26</v>
      </c>
      <c r="T66" t="s">
        <v>29</v>
      </c>
      <c r="U66" s="87">
        <v>7.9581280788177349</v>
      </c>
    </row>
    <row r="67" spans="1:21" x14ac:dyDescent="0.3">
      <c r="A67" t="s">
        <v>43</v>
      </c>
      <c r="B67" t="s">
        <v>769</v>
      </c>
      <c r="C67" s="16" t="s">
        <v>272</v>
      </c>
      <c r="D67" s="16">
        <v>3</v>
      </c>
      <c r="E67" t="s">
        <v>1524</v>
      </c>
      <c r="F67" t="s">
        <v>1540</v>
      </c>
      <c r="G67" t="s">
        <v>1567</v>
      </c>
      <c r="H67" t="s">
        <v>345</v>
      </c>
      <c r="I67" s="87">
        <v>5.3275862068965516</v>
      </c>
      <c r="K67" t="s">
        <v>9</v>
      </c>
      <c r="L67" t="s">
        <v>10</v>
      </c>
      <c r="M67" t="s">
        <v>22</v>
      </c>
      <c r="N67" t="s">
        <v>12</v>
      </c>
      <c r="O67" s="87">
        <v>4.2931034482758621</v>
      </c>
      <c r="Q67" t="s">
        <v>45</v>
      </c>
      <c r="R67" t="s">
        <v>72</v>
      </c>
      <c r="S67" t="s">
        <v>31</v>
      </c>
      <c r="T67" t="s">
        <v>29</v>
      </c>
      <c r="U67" s="87">
        <v>5.5492610837438434</v>
      </c>
    </row>
    <row r="68" spans="1:21" x14ac:dyDescent="0.3">
      <c r="A68" t="s">
        <v>43</v>
      </c>
      <c r="B68" t="s">
        <v>770</v>
      </c>
      <c r="C68" s="16" t="s">
        <v>272</v>
      </c>
      <c r="D68" s="16">
        <v>3</v>
      </c>
      <c r="E68" t="s">
        <v>1524</v>
      </c>
      <c r="F68" t="s">
        <v>1540</v>
      </c>
      <c r="G68" t="s">
        <v>1567</v>
      </c>
      <c r="H68" t="s">
        <v>344</v>
      </c>
      <c r="I68" s="87">
        <v>4.3177339901477829</v>
      </c>
      <c r="K68" t="s">
        <v>9</v>
      </c>
      <c r="L68" t="s">
        <v>47</v>
      </c>
      <c r="M68" t="s">
        <v>15</v>
      </c>
      <c r="N68" t="s">
        <v>12</v>
      </c>
      <c r="O68" s="87">
        <v>4.3177339901477829</v>
      </c>
      <c r="Q68" t="s">
        <v>45</v>
      </c>
      <c r="R68" t="s">
        <v>72</v>
      </c>
      <c r="S68" t="s">
        <v>27</v>
      </c>
      <c r="T68" t="s">
        <v>29</v>
      </c>
      <c r="U68" s="87">
        <v>7.9581280788177349</v>
      </c>
    </row>
    <row r="69" spans="1:21" x14ac:dyDescent="0.3">
      <c r="A69" t="s">
        <v>43</v>
      </c>
      <c r="B69" t="s">
        <v>771</v>
      </c>
      <c r="C69" s="16" t="s">
        <v>272</v>
      </c>
      <c r="D69" s="16">
        <v>3</v>
      </c>
      <c r="E69" t="s">
        <v>1524</v>
      </c>
      <c r="F69" t="s">
        <v>282</v>
      </c>
      <c r="G69" t="s">
        <v>1566</v>
      </c>
      <c r="H69" t="s">
        <v>1622</v>
      </c>
      <c r="I69" s="87">
        <v>4.805418719211823</v>
      </c>
      <c r="K69" t="s">
        <v>9</v>
      </c>
      <c r="L69" t="s">
        <v>47</v>
      </c>
      <c r="M69" t="s">
        <v>14</v>
      </c>
      <c r="N69" t="s">
        <v>12</v>
      </c>
      <c r="O69" s="87">
        <v>4.3546798029556646</v>
      </c>
      <c r="Q69" t="s">
        <v>45</v>
      </c>
      <c r="R69" t="s">
        <v>72</v>
      </c>
      <c r="S69" t="s">
        <v>28</v>
      </c>
      <c r="T69" t="s">
        <v>29</v>
      </c>
      <c r="U69" s="87">
        <v>4.4285714285714288</v>
      </c>
    </row>
    <row r="70" spans="1:21" x14ac:dyDescent="0.3">
      <c r="A70" t="s">
        <v>43</v>
      </c>
      <c r="B70" t="s">
        <v>772</v>
      </c>
      <c r="C70" s="16" t="s">
        <v>272</v>
      </c>
      <c r="D70" s="16">
        <v>3</v>
      </c>
      <c r="E70" t="s">
        <v>1524</v>
      </c>
      <c r="F70" t="s">
        <v>1631</v>
      </c>
      <c r="G70" t="s">
        <v>1567</v>
      </c>
      <c r="H70" t="s">
        <v>344</v>
      </c>
      <c r="I70" s="87">
        <v>4.3916256157635472</v>
      </c>
      <c r="K70" t="s">
        <v>9</v>
      </c>
      <c r="L70" t="s">
        <v>47</v>
      </c>
      <c r="M70" t="s">
        <v>11</v>
      </c>
      <c r="N70" t="s">
        <v>12</v>
      </c>
      <c r="O70" s="87">
        <v>4.5714285714285712</v>
      </c>
      <c r="Q70" t="s">
        <v>45</v>
      </c>
      <c r="R70" t="s">
        <v>72</v>
      </c>
      <c r="S70" t="s">
        <v>35</v>
      </c>
      <c r="T70" t="s">
        <v>29</v>
      </c>
      <c r="U70" s="87">
        <v>5.3275862068965516</v>
      </c>
    </row>
    <row r="71" spans="1:21" x14ac:dyDescent="0.3">
      <c r="A71" t="s">
        <v>43</v>
      </c>
      <c r="B71" t="s">
        <v>773</v>
      </c>
      <c r="C71" s="16" t="s">
        <v>272</v>
      </c>
      <c r="D71" s="16">
        <v>3</v>
      </c>
      <c r="E71" t="s">
        <v>1524</v>
      </c>
      <c r="F71" t="s">
        <v>1631</v>
      </c>
      <c r="G71" t="s">
        <v>1567</v>
      </c>
      <c r="H71" t="s">
        <v>344</v>
      </c>
      <c r="I71" s="87">
        <v>4.3916256157635472</v>
      </c>
      <c r="K71" t="s">
        <v>9</v>
      </c>
      <c r="L71" t="s">
        <v>47</v>
      </c>
      <c r="M71" t="s">
        <v>17</v>
      </c>
      <c r="N71" t="s">
        <v>12</v>
      </c>
      <c r="O71" s="87">
        <v>4.4408866995073897</v>
      </c>
      <c r="Q71" t="s">
        <v>9</v>
      </c>
      <c r="R71" t="s">
        <v>10</v>
      </c>
      <c r="S71" t="s">
        <v>39</v>
      </c>
      <c r="T71" t="s">
        <v>29</v>
      </c>
      <c r="U71" s="87">
        <v>6.6576354679802963</v>
      </c>
    </row>
    <row r="72" spans="1:21" x14ac:dyDescent="0.3">
      <c r="A72" t="s">
        <v>43</v>
      </c>
      <c r="B72" t="s">
        <v>774</v>
      </c>
      <c r="C72" s="16" t="s">
        <v>272</v>
      </c>
      <c r="D72" s="16">
        <v>2</v>
      </c>
      <c r="E72" t="s">
        <v>1524</v>
      </c>
      <c r="F72" t="s">
        <v>282</v>
      </c>
      <c r="G72" t="s">
        <v>341</v>
      </c>
      <c r="H72" t="s">
        <v>345</v>
      </c>
      <c r="I72" s="87">
        <v>5.3275862068965516</v>
      </c>
      <c r="K72" t="s">
        <v>9</v>
      </c>
      <c r="L72" t="s">
        <v>47</v>
      </c>
      <c r="M72" t="s">
        <v>16</v>
      </c>
      <c r="N72" t="s">
        <v>12</v>
      </c>
      <c r="O72" s="87">
        <v>3.431034482758621</v>
      </c>
      <c r="Q72" t="s">
        <v>9</v>
      </c>
      <c r="R72" t="s">
        <v>10</v>
      </c>
      <c r="S72" t="s">
        <v>37</v>
      </c>
      <c r="T72" t="s">
        <v>29</v>
      </c>
      <c r="U72" s="87">
        <v>4.4285714285714288</v>
      </c>
    </row>
    <row r="73" spans="1:21" x14ac:dyDescent="0.3">
      <c r="A73" t="s">
        <v>43</v>
      </c>
      <c r="B73" t="s">
        <v>775</v>
      </c>
      <c r="C73" s="16" t="s">
        <v>272</v>
      </c>
      <c r="D73" s="16">
        <v>3</v>
      </c>
      <c r="E73" t="s">
        <v>1524</v>
      </c>
      <c r="F73" t="s">
        <v>282</v>
      </c>
      <c r="G73" t="s">
        <v>1566</v>
      </c>
      <c r="H73" t="s">
        <v>1622</v>
      </c>
      <c r="I73" s="87">
        <v>4.805418719211823</v>
      </c>
      <c r="K73" t="s">
        <v>45</v>
      </c>
      <c r="L73" t="s">
        <v>57</v>
      </c>
      <c r="M73" t="s">
        <v>15</v>
      </c>
      <c r="N73" t="s">
        <v>12</v>
      </c>
      <c r="O73" s="87">
        <v>3.431034482758621</v>
      </c>
      <c r="Q73" t="s">
        <v>9</v>
      </c>
      <c r="R73" t="s">
        <v>10</v>
      </c>
      <c r="S73" t="s">
        <v>32</v>
      </c>
      <c r="T73" t="s">
        <v>29</v>
      </c>
      <c r="U73" s="87">
        <v>9.2980295566502456</v>
      </c>
    </row>
    <row r="74" spans="1:21" x14ac:dyDescent="0.3">
      <c r="A74" t="s">
        <v>43</v>
      </c>
      <c r="B74" t="s">
        <v>776</v>
      </c>
      <c r="C74" s="16" t="s">
        <v>272</v>
      </c>
      <c r="D74" s="16">
        <v>2</v>
      </c>
      <c r="E74" t="s">
        <v>1524</v>
      </c>
      <c r="F74" t="s">
        <v>282</v>
      </c>
      <c r="G74" t="s">
        <v>342</v>
      </c>
      <c r="H74" t="s">
        <v>344</v>
      </c>
      <c r="I74" s="87">
        <v>4.3423645320197046</v>
      </c>
      <c r="K74" t="s">
        <v>45</v>
      </c>
      <c r="L74" t="s">
        <v>57</v>
      </c>
      <c r="M74" t="s">
        <v>23</v>
      </c>
      <c r="N74" t="s">
        <v>12</v>
      </c>
      <c r="O74" s="87">
        <v>5.7167487684729066</v>
      </c>
      <c r="Q74" t="s">
        <v>9</v>
      </c>
      <c r="R74" t="s">
        <v>10</v>
      </c>
      <c r="S74" t="s">
        <v>30</v>
      </c>
      <c r="T74" t="s">
        <v>29</v>
      </c>
      <c r="U74" s="87">
        <v>9.2733990147783256</v>
      </c>
    </row>
    <row r="75" spans="1:21" x14ac:dyDescent="0.3">
      <c r="A75" t="s">
        <v>43</v>
      </c>
      <c r="B75" t="s">
        <v>777</v>
      </c>
      <c r="C75" s="16" t="s">
        <v>272</v>
      </c>
      <c r="D75" s="16">
        <v>2</v>
      </c>
      <c r="E75" t="s">
        <v>1524</v>
      </c>
      <c r="F75" t="s">
        <v>282</v>
      </c>
      <c r="G75" t="s">
        <v>342</v>
      </c>
      <c r="H75" t="s">
        <v>344</v>
      </c>
      <c r="I75" s="87">
        <v>4.3423645320197046</v>
      </c>
      <c r="K75" t="s">
        <v>45</v>
      </c>
      <c r="L75" t="s">
        <v>57</v>
      </c>
      <c r="M75" t="s">
        <v>14</v>
      </c>
      <c r="N75" t="s">
        <v>12</v>
      </c>
      <c r="O75" s="87">
        <v>4.8177339901477838</v>
      </c>
      <c r="Q75" t="s">
        <v>9</v>
      </c>
      <c r="R75" t="s">
        <v>10</v>
      </c>
      <c r="S75" t="s">
        <v>41</v>
      </c>
      <c r="T75" t="s">
        <v>29</v>
      </c>
      <c r="U75" s="87">
        <v>6.6576354679802963</v>
      </c>
    </row>
    <row r="76" spans="1:21" x14ac:dyDescent="0.3">
      <c r="A76" t="s">
        <v>43</v>
      </c>
      <c r="B76" t="s">
        <v>778</v>
      </c>
      <c r="C76" s="16" t="s">
        <v>273</v>
      </c>
      <c r="D76" s="16">
        <v>2</v>
      </c>
      <c r="E76" t="s">
        <v>1525</v>
      </c>
      <c r="F76" t="s">
        <v>273</v>
      </c>
      <c r="G76" t="s">
        <v>1567</v>
      </c>
      <c r="H76" t="s">
        <v>291</v>
      </c>
      <c r="I76" s="87">
        <v>9.1305418719211815</v>
      </c>
      <c r="K76" t="s">
        <v>45</v>
      </c>
      <c r="L76" t="s">
        <v>57</v>
      </c>
      <c r="M76" t="s">
        <v>11</v>
      </c>
      <c r="N76" t="s">
        <v>12</v>
      </c>
      <c r="O76" s="87">
        <v>4.8177339901477838</v>
      </c>
      <c r="Q76" t="s">
        <v>9</v>
      </c>
      <c r="R76" t="s">
        <v>10</v>
      </c>
      <c r="S76" t="s">
        <v>40</v>
      </c>
      <c r="T76" t="s">
        <v>29</v>
      </c>
      <c r="U76" s="87">
        <v>6.6576354679802963</v>
      </c>
    </row>
    <row r="77" spans="1:21" x14ac:dyDescent="0.3">
      <c r="A77" t="s">
        <v>43</v>
      </c>
      <c r="B77" t="s">
        <v>779</v>
      </c>
      <c r="C77" s="16" t="s">
        <v>272</v>
      </c>
      <c r="D77" s="16">
        <v>2</v>
      </c>
      <c r="E77" t="s">
        <v>1524</v>
      </c>
      <c r="F77" t="s">
        <v>282</v>
      </c>
      <c r="G77" t="s">
        <v>342</v>
      </c>
      <c r="H77" t="s">
        <v>344</v>
      </c>
      <c r="I77" s="87">
        <v>4.3423645320197046</v>
      </c>
      <c r="K77" t="s">
        <v>45</v>
      </c>
      <c r="L77" t="s">
        <v>57</v>
      </c>
      <c r="M77" t="s">
        <v>24</v>
      </c>
      <c r="N77" t="s">
        <v>12</v>
      </c>
      <c r="O77" s="87">
        <v>5.7167487684729066</v>
      </c>
      <c r="Q77" t="s">
        <v>9</v>
      </c>
      <c r="R77" t="s">
        <v>10</v>
      </c>
      <c r="S77" t="s">
        <v>38</v>
      </c>
      <c r="T77" t="s">
        <v>29</v>
      </c>
      <c r="U77" s="87">
        <v>4.4285714285714288</v>
      </c>
    </row>
    <row r="78" spans="1:21" x14ac:dyDescent="0.3">
      <c r="A78" t="s">
        <v>43</v>
      </c>
      <c r="B78" t="s">
        <v>780</v>
      </c>
      <c r="C78" s="16" t="s">
        <v>273</v>
      </c>
      <c r="D78" s="16">
        <v>3</v>
      </c>
      <c r="E78" t="s">
        <v>1529</v>
      </c>
      <c r="F78" t="s">
        <v>1658</v>
      </c>
      <c r="G78" t="s">
        <v>1567</v>
      </c>
      <c r="H78" t="s">
        <v>347</v>
      </c>
      <c r="I78" s="87">
        <v>8.7684729064039413</v>
      </c>
      <c r="K78" t="s">
        <v>45</v>
      </c>
      <c r="L78" t="s">
        <v>57</v>
      </c>
      <c r="M78" t="s">
        <v>21</v>
      </c>
      <c r="N78" t="s">
        <v>12</v>
      </c>
      <c r="O78" s="87">
        <v>5.7167487684729066</v>
      </c>
      <c r="Q78" t="s">
        <v>9</v>
      </c>
      <c r="R78" t="s">
        <v>10</v>
      </c>
      <c r="S78" t="s">
        <v>34</v>
      </c>
      <c r="T78" t="s">
        <v>29</v>
      </c>
      <c r="U78" s="87">
        <v>8.1773399014778327</v>
      </c>
    </row>
    <row r="79" spans="1:21" x14ac:dyDescent="0.3">
      <c r="A79" t="s">
        <v>43</v>
      </c>
      <c r="B79" t="s">
        <v>781</v>
      </c>
      <c r="C79" s="16" t="s">
        <v>272</v>
      </c>
      <c r="D79" s="16">
        <v>3</v>
      </c>
      <c r="E79" t="s">
        <v>1524</v>
      </c>
      <c r="F79" t="s">
        <v>282</v>
      </c>
      <c r="G79" t="s">
        <v>1568</v>
      </c>
      <c r="H79" t="s">
        <v>1570</v>
      </c>
      <c r="I79" s="87">
        <v>4.8004926108374395</v>
      </c>
      <c r="K79" t="s">
        <v>45</v>
      </c>
      <c r="L79" t="s">
        <v>57</v>
      </c>
      <c r="M79" t="s">
        <v>19</v>
      </c>
      <c r="N79" t="s">
        <v>12</v>
      </c>
      <c r="O79" s="87">
        <v>3.5985221674876851</v>
      </c>
      <c r="Q79" t="s">
        <v>9</v>
      </c>
      <c r="R79" t="s">
        <v>10</v>
      </c>
      <c r="S79" t="s">
        <v>42</v>
      </c>
      <c r="T79" t="s">
        <v>29</v>
      </c>
      <c r="U79" s="87">
        <v>6.6576354679802963</v>
      </c>
    </row>
    <row r="80" spans="1:21" x14ac:dyDescent="0.3">
      <c r="A80" t="s">
        <v>43</v>
      </c>
      <c r="B80" t="s">
        <v>782</v>
      </c>
      <c r="C80" s="16" t="s">
        <v>272</v>
      </c>
      <c r="D80" s="16">
        <v>3</v>
      </c>
      <c r="E80" t="s">
        <v>1524</v>
      </c>
      <c r="F80" t="s">
        <v>282</v>
      </c>
      <c r="G80" t="s">
        <v>1567</v>
      </c>
      <c r="H80" t="s">
        <v>1658</v>
      </c>
      <c r="I80" s="87">
        <v>4.6871921182266014</v>
      </c>
      <c r="K80" t="s">
        <v>45</v>
      </c>
      <c r="L80" t="s">
        <v>57</v>
      </c>
      <c r="M80" t="s">
        <v>17</v>
      </c>
      <c r="N80" t="s">
        <v>12</v>
      </c>
      <c r="O80" s="87">
        <v>4.2438423645320196</v>
      </c>
      <c r="Q80" t="s">
        <v>9</v>
      </c>
      <c r="R80" t="s">
        <v>10</v>
      </c>
      <c r="S80" t="s">
        <v>36</v>
      </c>
      <c r="T80" t="s">
        <v>29</v>
      </c>
      <c r="U80" s="87">
        <v>4.4285714285714288</v>
      </c>
    </row>
    <row r="81" spans="1:21" x14ac:dyDescent="0.3">
      <c r="A81" t="s">
        <v>43</v>
      </c>
      <c r="B81" t="s">
        <v>783</v>
      </c>
      <c r="C81" s="16" t="s">
        <v>272</v>
      </c>
      <c r="D81" s="16">
        <v>3</v>
      </c>
      <c r="E81" t="s">
        <v>1526</v>
      </c>
      <c r="F81" t="s">
        <v>283</v>
      </c>
      <c r="G81" t="s">
        <v>1567</v>
      </c>
      <c r="H81" t="s">
        <v>345</v>
      </c>
      <c r="I81" s="87">
        <v>7.5812807881773407</v>
      </c>
      <c r="K81" t="s">
        <v>45</v>
      </c>
      <c r="L81" t="s">
        <v>57</v>
      </c>
      <c r="M81" t="s">
        <v>16</v>
      </c>
      <c r="N81" t="s">
        <v>12</v>
      </c>
      <c r="O81" s="87">
        <v>4.2438423645320196</v>
      </c>
      <c r="Q81" t="s">
        <v>9</v>
      </c>
      <c r="R81" t="s">
        <v>10</v>
      </c>
      <c r="S81" t="s">
        <v>33</v>
      </c>
      <c r="T81" t="s">
        <v>29</v>
      </c>
      <c r="U81" s="87">
        <v>8.1773399014778327</v>
      </c>
    </row>
    <row r="82" spans="1:21" x14ac:dyDescent="0.3">
      <c r="A82" t="s">
        <v>43</v>
      </c>
      <c r="B82" t="s">
        <v>784</v>
      </c>
      <c r="C82" s="16" t="s">
        <v>272</v>
      </c>
      <c r="D82" s="16">
        <v>2</v>
      </c>
      <c r="E82" t="s">
        <v>1524</v>
      </c>
      <c r="F82" t="s">
        <v>282</v>
      </c>
      <c r="G82" t="s">
        <v>342</v>
      </c>
      <c r="H82" t="s">
        <v>344</v>
      </c>
      <c r="I82" s="87">
        <v>4.3423645320197046</v>
      </c>
      <c r="K82" t="s">
        <v>45</v>
      </c>
      <c r="L82" t="s">
        <v>57</v>
      </c>
      <c r="M82" t="s">
        <v>20</v>
      </c>
      <c r="N82" t="s">
        <v>12</v>
      </c>
      <c r="O82" s="87">
        <v>4.7684729064039413</v>
      </c>
      <c r="Q82" t="s">
        <v>9</v>
      </c>
      <c r="R82" t="s">
        <v>10</v>
      </c>
      <c r="S82" t="s">
        <v>31</v>
      </c>
      <c r="T82" t="s">
        <v>29</v>
      </c>
      <c r="U82" s="87">
        <v>8.1773399014778327</v>
      </c>
    </row>
    <row r="83" spans="1:21" x14ac:dyDescent="0.3">
      <c r="A83" t="s">
        <v>43</v>
      </c>
      <c r="B83" t="s">
        <v>785</v>
      </c>
      <c r="C83" s="16" t="s">
        <v>273</v>
      </c>
      <c r="D83" s="16">
        <v>3</v>
      </c>
      <c r="E83" t="s">
        <v>1529</v>
      </c>
      <c r="F83" t="s">
        <v>1658</v>
      </c>
      <c r="G83" t="s">
        <v>1566</v>
      </c>
      <c r="H83" t="s">
        <v>1571</v>
      </c>
      <c r="I83" s="87">
        <v>8.985221674876847</v>
      </c>
      <c r="K83" t="s">
        <v>45</v>
      </c>
      <c r="L83" t="s">
        <v>57</v>
      </c>
      <c r="M83" t="s">
        <v>22</v>
      </c>
      <c r="N83" t="s">
        <v>12</v>
      </c>
      <c r="O83" s="87">
        <v>5.7167487684729066</v>
      </c>
      <c r="Q83" t="s">
        <v>9</v>
      </c>
      <c r="R83" t="s">
        <v>10</v>
      </c>
      <c r="S83" t="s">
        <v>28</v>
      </c>
      <c r="T83" t="s">
        <v>29</v>
      </c>
      <c r="U83" s="87">
        <v>8.0098522167487687</v>
      </c>
    </row>
    <row r="84" spans="1:21" x14ac:dyDescent="0.3">
      <c r="A84" t="s">
        <v>45</v>
      </c>
      <c r="B84" t="s">
        <v>786</v>
      </c>
      <c r="C84" s="16" t="s">
        <v>272</v>
      </c>
      <c r="D84" s="16">
        <v>3</v>
      </c>
      <c r="E84" t="s">
        <v>1526</v>
      </c>
      <c r="F84" t="s">
        <v>1546</v>
      </c>
      <c r="G84" t="s">
        <v>1567</v>
      </c>
      <c r="H84" t="s">
        <v>345</v>
      </c>
      <c r="I84" s="87">
        <v>7.4950738916256165</v>
      </c>
      <c r="K84" t="s">
        <v>43</v>
      </c>
      <c r="L84" t="s">
        <v>59</v>
      </c>
      <c r="M84" t="s">
        <v>15</v>
      </c>
      <c r="N84" t="s">
        <v>12</v>
      </c>
      <c r="O84" s="87">
        <v>3.431034482758621</v>
      </c>
      <c r="Q84" t="s">
        <v>9</v>
      </c>
      <c r="R84" t="s">
        <v>10</v>
      </c>
      <c r="S84" t="s">
        <v>35</v>
      </c>
      <c r="T84" t="s">
        <v>29</v>
      </c>
      <c r="U84" s="87">
        <v>7.2364532019704439</v>
      </c>
    </row>
    <row r="85" spans="1:21" x14ac:dyDescent="0.3">
      <c r="A85" t="s">
        <v>45</v>
      </c>
      <c r="B85" t="s">
        <v>787</v>
      </c>
      <c r="C85" s="16" t="s">
        <v>272</v>
      </c>
      <c r="D85" s="16">
        <v>3</v>
      </c>
      <c r="E85" t="s">
        <v>1526</v>
      </c>
      <c r="F85" t="s">
        <v>1546</v>
      </c>
      <c r="G85" t="s">
        <v>1567</v>
      </c>
      <c r="H85" t="s">
        <v>345</v>
      </c>
      <c r="I85" s="87">
        <v>7.4950738916256165</v>
      </c>
      <c r="K85" t="s">
        <v>43</v>
      </c>
      <c r="L85" t="s">
        <v>59</v>
      </c>
      <c r="M85" t="s">
        <v>23</v>
      </c>
      <c r="N85" t="s">
        <v>12</v>
      </c>
      <c r="O85" s="87">
        <v>7.3596059113300489</v>
      </c>
      <c r="Q85" t="s">
        <v>9</v>
      </c>
      <c r="R85" t="s">
        <v>47</v>
      </c>
      <c r="S85" t="s">
        <v>23</v>
      </c>
      <c r="T85" t="s">
        <v>29</v>
      </c>
      <c r="U85" s="87">
        <v>5.3645320197044333</v>
      </c>
    </row>
    <row r="86" spans="1:21" x14ac:dyDescent="0.3">
      <c r="A86" t="s">
        <v>45</v>
      </c>
      <c r="B86" t="s">
        <v>788</v>
      </c>
      <c r="C86" s="16" t="s">
        <v>272</v>
      </c>
      <c r="D86" s="16">
        <v>3</v>
      </c>
      <c r="E86" t="s">
        <v>1526</v>
      </c>
      <c r="F86" t="s">
        <v>1546</v>
      </c>
      <c r="G86" t="s">
        <v>1567</v>
      </c>
      <c r="H86" t="s">
        <v>345</v>
      </c>
      <c r="I86" s="87">
        <v>7.4950738916256165</v>
      </c>
      <c r="K86" t="s">
        <v>43</v>
      </c>
      <c r="L86" t="s">
        <v>59</v>
      </c>
      <c r="M86" t="s">
        <v>14</v>
      </c>
      <c r="N86" t="s">
        <v>12</v>
      </c>
      <c r="O86" s="87">
        <v>3.431034482758621</v>
      </c>
      <c r="Q86" t="s">
        <v>9</v>
      </c>
      <c r="R86" t="s">
        <v>47</v>
      </c>
      <c r="S86" t="s">
        <v>25</v>
      </c>
      <c r="T86" t="s">
        <v>29</v>
      </c>
      <c r="U86" s="87">
        <v>5.3275862068965516</v>
      </c>
    </row>
    <row r="87" spans="1:21" x14ac:dyDescent="0.3">
      <c r="A87" t="s">
        <v>45</v>
      </c>
      <c r="B87" t="s">
        <v>789</v>
      </c>
      <c r="C87" s="16" t="s">
        <v>272</v>
      </c>
      <c r="D87" s="16">
        <v>3</v>
      </c>
      <c r="E87" t="s">
        <v>1526</v>
      </c>
      <c r="F87" t="s">
        <v>1546</v>
      </c>
      <c r="G87" t="s">
        <v>1567</v>
      </c>
      <c r="H87" t="s">
        <v>1574</v>
      </c>
      <c r="I87" s="87">
        <v>7.5935960591133007</v>
      </c>
      <c r="K87" t="s">
        <v>43</v>
      </c>
      <c r="L87" t="s">
        <v>59</v>
      </c>
      <c r="M87" t="s">
        <v>25</v>
      </c>
      <c r="N87" t="s">
        <v>12</v>
      </c>
      <c r="O87" s="87">
        <v>4.6256157635467989</v>
      </c>
      <c r="Q87" t="s">
        <v>9</v>
      </c>
      <c r="R87" t="s">
        <v>47</v>
      </c>
      <c r="S87" t="s">
        <v>24</v>
      </c>
      <c r="T87" t="s">
        <v>29</v>
      </c>
      <c r="U87" s="87">
        <v>5.3275862068965516</v>
      </c>
    </row>
    <row r="88" spans="1:21" x14ac:dyDescent="0.3">
      <c r="A88" t="s">
        <v>45</v>
      </c>
      <c r="B88" t="s">
        <v>790</v>
      </c>
      <c r="C88" s="16" t="s">
        <v>272</v>
      </c>
      <c r="D88" s="16">
        <v>3</v>
      </c>
      <c r="E88" t="s">
        <v>1526</v>
      </c>
      <c r="F88" t="s">
        <v>1546</v>
      </c>
      <c r="G88" t="s">
        <v>1567</v>
      </c>
      <c r="H88" t="s">
        <v>345</v>
      </c>
      <c r="I88" s="87">
        <v>7.4950738916256165</v>
      </c>
      <c r="K88" t="s">
        <v>43</v>
      </c>
      <c r="L88" t="s">
        <v>59</v>
      </c>
      <c r="M88" t="s">
        <v>11</v>
      </c>
      <c r="N88" t="s">
        <v>12</v>
      </c>
      <c r="O88" s="87">
        <v>4.6453201970443354</v>
      </c>
      <c r="Q88" t="s">
        <v>9</v>
      </c>
      <c r="R88" t="s">
        <v>47</v>
      </c>
      <c r="S88" t="s">
        <v>21</v>
      </c>
      <c r="T88" t="s">
        <v>29</v>
      </c>
      <c r="U88" s="87">
        <v>5.3275862068965516</v>
      </c>
    </row>
    <row r="89" spans="1:21" x14ac:dyDescent="0.3">
      <c r="A89" t="s">
        <v>45</v>
      </c>
      <c r="B89" t="s">
        <v>791</v>
      </c>
      <c r="C89" s="16" t="s">
        <v>272</v>
      </c>
      <c r="D89" s="16">
        <v>3</v>
      </c>
      <c r="E89" t="s">
        <v>1526</v>
      </c>
      <c r="F89" t="s">
        <v>1546</v>
      </c>
      <c r="G89" t="s">
        <v>1567</v>
      </c>
      <c r="H89" t="s">
        <v>1622</v>
      </c>
      <c r="I89" s="87">
        <v>7.6921182266009858</v>
      </c>
      <c r="K89" t="s">
        <v>43</v>
      </c>
      <c r="L89" t="s">
        <v>59</v>
      </c>
      <c r="M89" t="s">
        <v>24</v>
      </c>
      <c r="N89" t="s">
        <v>12</v>
      </c>
      <c r="O89" s="87">
        <v>5.5123152709359609</v>
      </c>
      <c r="Q89" t="s">
        <v>9</v>
      </c>
      <c r="R89" t="s">
        <v>47</v>
      </c>
      <c r="S89" t="s">
        <v>19</v>
      </c>
      <c r="T89" t="s">
        <v>29</v>
      </c>
      <c r="U89" s="87">
        <v>5.5615763546798025</v>
      </c>
    </row>
    <row r="90" spans="1:21" x14ac:dyDescent="0.3">
      <c r="A90" t="s">
        <v>45</v>
      </c>
      <c r="B90" t="s">
        <v>792</v>
      </c>
      <c r="C90" s="16" t="s">
        <v>272</v>
      </c>
      <c r="D90" s="16">
        <v>3</v>
      </c>
      <c r="E90" t="s">
        <v>1526</v>
      </c>
      <c r="F90" t="s">
        <v>1546</v>
      </c>
      <c r="G90" t="s">
        <v>1567</v>
      </c>
      <c r="H90" t="s">
        <v>345</v>
      </c>
      <c r="I90" s="87">
        <v>7.4950738916256165</v>
      </c>
      <c r="K90" t="s">
        <v>43</v>
      </c>
      <c r="L90" t="s">
        <v>59</v>
      </c>
      <c r="M90" t="s">
        <v>21</v>
      </c>
      <c r="N90" t="s">
        <v>12</v>
      </c>
      <c r="O90" s="87">
        <v>7.3596059113300489</v>
      </c>
      <c r="Q90" t="s">
        <v>9</v>
      </c>
      <c r="R90" t="s">
        <v>47</v>
      </c>
      <c r="S90" t="s">
        <v>20</v>
      </c>
      <c r="T90" t="s">
        <v>29</v>
      </c>
      <c r="U90" s="87">
        <v>5.5615763546798025</v>
      </c>
    </row>
    <row r="91" spans="1:21" x14ac:dyDescent="0.3">
      <c r="A91" t="s">
        <v>45</v>
      </c>
      <c r="B91" t="s">
        <v>793</v>
      </c>
      <c r="C91" s="16" t="s">
        <v>272</v>
      </c>
      <c r="D91" s="16">
        <v>3</v>
      </c>
      <c r="E91" t="s">
        <v>1526</v>
      </c>
      <c r="F91" t="s">
        <v>1546</v>
      </c>
      <c r="G91" t="s">
        <v>1567</v>
      </c>
      <c r="H91" t="s">
        <v>345</v>
      </c>
      <c r="I91" s="87">
        <v>7.4950738916256165</v>
      </c>
      <c r="K91" t="s">
        <v>43</v>
      </c>
      <c r="L91" t="s">
        <v>59</v>
      </c>
      <c r="M91" t="s">
        <v>19</v>
      </c>
      <c r="N91" t="s">
        <v>12</v>
      </c>
      <c r="O91" s="87">
        <v>4.6256157635467989</v>
      </c>
      <c r="Q91" t="s">
        <v>9</v>
      </c>
      <c r="R91" t="s">
        <v>47</v>
      </c>
      <c r="S91" t="s">
        <v>26</v>
      </c>
      <c r="T91" t="s">
        <v>29</v>
      </c>
      <c r="U91" s="87">
        <v>5.3275862068965516</v>
      </c>
    </row>
    <row r="92" spans="1:21" x14ac:dyDescent="0.3">
      <c r="A92" t="s">
        <v>45</v>
      </c>
      <c r="B92" t="s">
        <v>794</v>
      </c>
      <c r="C92" s="16" t="s">
        <v>272</v>
      </c>
      <c r="D92" s="16">
        <v>3</v>
      </c>
      <c r="E92" t="s">
        <v>1526</v>
      </c>
      <c r="F92" t="s">
        <v>1546</v>
      </c>
      <c r="G92" t="s">
        <v>1567</v>
      </c>
      <c r="H92" t="s">
        <v>345</v>
      </c>
      <c r="I92" s="87">
        <v>7.4950738916256165</v>
      </c>
      <c r="K92" t="s">
        <v>43</v>
      </c>
      <c r="L92" t="s">
        <v>59</v>
      </c>
      <c r="M92" t="s">
        <v>17</v>
      </c>
      <c r="N92" t="s">
        <v>12</v>
      </c>
      <c r="O92" s="87">
        <v>4.6256157635467989</v>
      </c>
      <c r="Q92" t="s">
        <v>9</v>
      </c>
      <c r="R92" t="s">
        <v>47</v>
      </c>
      <c r="S92" t="s">
        <v>22</v>
      </c>
      <c r="T92" t="s">
        <v>29</v>
      </c>
      <c r="U92" s="87">
        <v>5.3645320197044333</v>
      </c>
    </row>
    <row r="93" spans="1:21" x14ac:dyDescent="0.3">
      <c r="A93" t="s">
        <v>45</v>
      </c>
      <c r="B93" t="s">
        <v>795</v>
      </c>
      <c r="C93" s="16" t="s">
        <v>272</v>
      </c>
      <c r="D93" s="16">
        <v>3</v>
      </c>
      <c r="E93" t="s">
        <v>1526</v>
      </c>
      <c r="F93" t="s">
        <v>1546</v>
      </c>
      <c r="G93" t="s">
        <v>1567</v>
      </c>
      <c r="H93" t="s">
        <v>345</v>
      </c>
      <c r="I93" s="87">
        <v>7.4950738916256165</v>
      </c>
      <c r="K93" t="s">
        <v>43</v>
      </c>
      <c r="L93" t="s">
        <v>59</v>
      </c>
      <c r="M93" t="s">
        <v>16</v>
      </c>
      <c r="N93" t="s">
        <v>12</v>
      </c>
      <c r="O93" s="87">
        <v>3.431034482758621</v>
      </c>
      <c r="Q93" t="s">
        <v>9</v>
      </c>
      <c r="R93" t="s">
        <v>47</v>
      </c>
      <c r="S93" t="s">
        <v>27</v>
      </c>
      <c r="T93" t="s">
        <v>29</v>
      </c>
      <c r="U93" s="87">
        <v>5.5123152709359609</v>
      </c>
    </row>
    <row r="94" spans="1:21" x14ac:dyDescent="0.3">
      <c r="A94" t="s">
        <v>45</v>
      </c>
      <c r="B94" t="s">
        <v>796</v>
      </c>
      <c r="C94" s="16" t="s">
        <v>272</v>
      </c>
      <c r="D94" s="16">
        <v>3</v>
      </c>
      <c r="E94" t="s">
        <v>1526</v>
      </c>
      <c r="F94" t="s">
        <v>1546</v>
      </c>
      <c r="G94" t="s">
        <v>1567</v>
      </c>
      <c r="H94" t="s">
        <v>345</v>
      </c>
      <c r="I94" s="87">
        <v>7.4950738916256165</v>
      </c>
      <c r="K94" t="s">
        <v>43</v>
      </c>
      <c r="L94" t="s">
        <v>59</v>
      </c>
      <c r="M94" t="s">
        <v>20</v>
      </c>
      <c r="N94" t="s">
        <v>12</v>
      </c>
      <c r="O94" s="87">
        <v>4.6256157635467989</v>
      </c>
      <c r="Q94" t="s">
        <v>9</v>
      </c>
      <c r="R94" t="s">
        <v>47</v>
      </c>
      <c r="S94" t="s">
        <v>28</v>
      </c>
      <c r="T94" t="s">
        <v>29</v>
      </c>
      <c r="U94" s="87">
        <v>5.2709359605911335</v>
      </c>
    </row>
    <row r="95" spans="1:21" x14ac:dyDescent="0.3">
      <c r="A95" t="s">
        <v>45</v>
      </c>
      <c r="B95" t="s">
        <v>797</v>
      </c>
      <c r="C95" s="16" t="s">
        <v>272</v>
      </c>
      <c r="D95" s="16">
        <v>3</v>
      </c>
      <c r="E95" t="s">
        <v>1526</v>
      </c>
      <c r="F95" t="s">
        <v>1546</v>
      </c>
      <c r="G95" t="s">
        <v>1567</v>
      </c>
      <c r="H95" t="s">
        <v>345</v>
      </c>
      <c r="I95" s="87">
        <v>7.4950738916256165</v>
      </c>
      <c r="K95" t="s">
        <v>43</v>
      </c>
      <c r="L95" t="s">
        <v>59</v>
      </c>
      <c r="M95" t="s">
        <v>22</v>
      </c>
      <c r="N95" t="s">
        <v>12</v>
      </c>
      <c r="O95" s="87">
        <v>7.3596059113300489</v>
      </c>
      <c r="Q95" t="s">
        <v>45</v>
      </c>
      <c r="R95" t="s">
        <v>57</v>
      </c>
      <c r="S95" t="s">
        <v>25</v>
      </c>
      <c r="T95" t="s">
        <v>29</v>
      </c>
      <c r="U95" s="87">
        <v>5.7167487684729066</v>
      </c>
    </row>
    <row r="96" spans="1:21" x14ac:dyDescent="0.3">
      <c r="A96" t="s">
        <v>45</v>
      </c>
      <c r="B96" t="s">
        <v>798</v>
      </c>
      <c r="C96" s="16" t="s">
        <v>272</v>
      </c>
      <c r="D96" s="16">
        <v>3</v>
      </c>
      <c r="E96" t="s">
        <v>1526</v>
      </c>
      <c r="F96" t="s">
        <v>1658</v>
      </c>
      <c r="G96" t="s">
        <v>1567</v>
      </c>
      <c r="H96" t="s">
        <v>345</v>
      </c>
      <c r="I96" s="87">
        <v>7.5935960591133007</v>
      </c>
      <c r="K96" t="s">
        <v>43</v>
      </c>
      <c r="L96" t="s">
        <v>49</v>
      </c>
      <c r="M96" t="s">
        <v>15</v>
      </c>
      <c r="N96" t="s">
        <v>12</v>
      </c>
      <c r="O96" s="87">
        <v>5.3768472906403941</v>
      </c>
      <c r="Q96" t="s">
        <v>45</v>
      </c>
      <c r="R96" t="s">
        <v>57</v>
      </c>
      <c r="S96" t="s">
        <v>32</v>
      </c>
      <c r="T96" t="s">
        <v>29</v>
      </c>
      <c r="U96" s="87">
        <v>4.5467980295566504</v>
      </c>
    </row>
    <row r="97" spans="1:21" x14ac:dyDescent="0.3">
      <c r="A97" t="s">
        <v>45</v>
      </c>
      <c r="B97" t="s">
        <v>799</v>
      </c>
      <c r="C97" s="16" t="s">
        <v>272</v>
      </c>
      <c r="D97" s="16">
        <v>3</v>
      </c>
      <c r="E97" t="s">
        <v>1526</v>
      </c>
      <c r="F97" t="s">
        <v>1546</v>
      </c>
      <c r="G97" t="s">
        <v>1567</v>
      </c>
      <c r="H97" t="s">
        <v>345</v>
      </c>
      <c r="I97" s="87">
        <v>7.4950738916256165</v>
      </c>
      <c r="K97" t="s">
        <v>43</v>
      </c>
      <c r="L97" t="s">
        <v>49</v>
      </c>
      <c r="M97" t="s">
        <v>14</v>
      </c>
      <c r="N97" t="s">
        <v>12</v>
      </c>
      <c r="O97" s="87">
        <v>5.6305418719211824</v>
      </c>
      <c r="Q97" t="s">
        <v>45</v>
      </c>
      <c r="R97" t="s">
        <v>57</v>
      </c>
      <c r="S97" t="s">
        <v>30</v>
      </c>
      <c r="T97" t="s">
        <v>29</v>
      </c>
      <c r="U97" s="87">
        <v>4.3793103448275863</v>
      </c>
    </row>
    <row r="98" spans="1:21" x14ac:dyDescent="0.3">
      <c r="A98" t="s">
        <v>45</v>
      </c>
      <c r="B98" t="s">
        <v>800</v>
      </c>
      <c r="C98" s="16" t="s">
        <v>272</v>
      </c>
      <c r="D98" s="16">
        <v>3</v>
      </c>
      <c r="E98" t="s">
        <v>1526</v>
      </c>
      <c r="F98" t="s">
        <v>1546</v>
      </c>
      <c r="G98" t="s">
        <v>1567</v>
      </c>
      <c r="H98" t="s">
        <v>345</v>
      </c>
      <c r="I98" s="87">
        <v>7.4950738916256165</v>
      </c>
      <c r="K98" t="s">
        <v>43</v>
      </c>
      <c r="L98" t="s">
        <v>49</v>
      </c>
      <c r="M98" t="s">
        <v>11</v>
      </c>
      <c r="N98" t="s">
        <v>12</v>
      </c>
      <c r="O98" s="87">
        <v>4.7438423645320196</v>
      </c>
      <c r="Q98" t="s">
        <v>45</v>
      </c>
      <c r="R98" t="s">
        <v>57</v>
      </c>
      <c r="S98" t="s">
        <v>34</v>
      </c>
      <c r="T98" t="s">
        <v>29</v>
      </c>
      <c r="U98" s="87">
        <v>5.7660098522167491</v>
      </c>
    </row>
    <row r="99" spans="1:21" x14ac:dyDescent="0.3">
      <c r="A99" t="s">
        <v>45</v>
      </c>
      <c r="B99" t="s">
        <v>801</v>
      </c>
      <c r="C99" s="16" t="s">
        <v>272</v>
      </c>
      <c r="D99" s="16">
        <v>3</v>
      </c>
      <c r="E99" t="s">
        <v>1526</v>
      </c>
      <c r="F99" t="s">
        <v>1546</v>
      </c>
      <c r="G99" t="s">
        <v>1567</v>
      </c>
      <c r="H99" t="s">
        <v>345</v>
      </c>
      <c r="I99" s="87">
        <v>7.4950738916256165</v>
      </c>
      <c r="K99" t="s">
        <v>43</v>
      </c>
      <c r="L99" t="s">
        <v>49</v>
      </c>
      <c r="M99" t="s">
        <v>19</v>
      </c>
      <c r="N99" t="s">
        <v>12</v>
      </c>
      <c r="O99" s="87">
        <v>5.5123152709359609</v>
      </c>
      <c r="Q99" t="s">
        <v>45</v>
      </c>
      <c r="R99" t="s">
        <v>57</v>
      </c>
      <c r="S99" t="s">
        <v>36</v>
      </c>
      <c r="T99" t="s">
        <v>29</v>
      </c>
      <c r="U99" s="87">
        <v>5.5935960591133007</v>
      </c>
    </row>
    <row r="100" spans="1:21" x14ac:dyDescent="0.3">
      <c r="A100" t="s">
        <v>45</v>
      </c>
      <c r="B100" t="s">
        <v>802</v>
      </c>
      <c r="C100" s="16" t="s">
        <v>273</v>
      </c>
      <c r="D100" s="16">
        <v>2</v>
      </c>
      <c r="E100" t="s">
        <v>1525</v>
      </c>
      <c r="F100" t="s">
        <v>273</v>
      </c>
      <c r="G100" t="s">
        <v>1567</v>
      </c>
      <c r="H100" t="s">
        <v>344</v>
      </c>
      <c r="I100" s="87">
        <v>8.083743842364532</v>
      </c>
      <c r="K100" t="s">
        <v>43</v>
      </c>
      <c r="L100" t="s">
        <v>49</v>
      </c>
      <c r="M100" t="s">
        <v>17</v>
      </c>
      <c r="N100" t="s">
        <v>12</v>
      </c>
      <c r="O100" s="87">
        <v>5.5123152709359609</v>
      </c>
      <c r="Q100" t="s">
        <v>45</v>
      </c>
      <c r="R100" t="s">
        <v>57</v>
      </c>
      <c r="S100" t="s">
        <v>33</v>
      </c>
      <c r="T100" t="s">
        <v>29</v>
      </c>
      <c r="U100" s="87">
        <v>5.7044334975369466</v>
      </c>
    </row>
    <row r="101" spans="1:21" x14ac:dyDescent="0.3">
      <c r="A101" t="s">
        <v>45</v>
      </c>
      <c r="B101" t="s">
        <v>803</v>
      </c>
      <c r="C101" s="16" t="s">
        <v>273</v>
      </c>
      <c r="D101" s="16">
        <v>2</v>
      </c>
      <c r="E101" t="s">
        <v>1525</v>
      </c>
      <c r="F101" t="s">
        <v>273</v>
      </c>
      <c r="G101" t="s">
        <v>1567</v>
      </c>
      <c r="H101" t="s">
        <v>344</v>
      </c>
      <c r="I101" s="87">
        <v>8.083743842364532</v>
      </c>
      <c r="K101" t="s">
        <v>43</v>
      </c>
      <c r="L101" t="s">
        <v>49</v>
      </c>
      <c r="M101" t="s">
        <v>16</v>
      </c>
      <c r="N101" t="s">
        <v>12</v>
      </c>
      <c r="O101" s="87">
        <v>8.2512315270935961</v>
      </c>
      <c r="Q101" t="s">
        <v>45</v>
      </c>
      <c r="R101" t="s">
        <v>57</v>
      </c>
      <c r="S101" t="s">
        <v>26</v>
      </c>
      <c r="T101" t="s">
        <v>29</v>
      </c>
      <c r="U101" s="87">
        <v>4.6206896551724137</v>
      </c>
    </row>
    <row r="102" spans="1:21" x14ac:dyDescent="0.3">
      <c r="A102" t="s">
        <v>45</v>
      </c>
      <c r="B102" t="s">
        <v>804</v>
      </c>
      <c r="C102" s="16" t="s">
        <v>272</v>
      </c>
      <c r="D102" s="16">
        <v>3</v>
      </c>
      <c r="E102" t="s">
        <v>1524</v>
      </c>
      <c r="F102" t="s">
        <v>282</v>
      </c>
      <c r="G102" t="s">
        <v>1567</v>
      </c>
      <c r="H102" t="s">
        <v>344</v>
      </c>
      <c r="I102" s="87">
        <v>3.431034482758621</v>
      </c>
      <c r="K102" t="s">
        <v>43</v>
      </c>
      <c r="L102" t="s">
        <v>49</v>
      </c>
      <c r="M102" t="s">
        <v>20</v>
      </c>
      <c r="N102" t="s">
        <v>12</v>
      </c>
      <c r="O102" s="87">
        <v>5.5123152709359609</v>
      </c>
      <c r="Q102" t="s">
        <v>45</v>
      </c>
      <c r="R102" t="s">
        <v>57</v>
      </c>
      <c r="S102" t="s">
        <v>31</v>
      </c>
      <c r="T102" t="s">
        <v>29</v>
      </c>
      <c r="U102" s="87">
        <v>4.3793103448275863</v>
      </c>
    </row>
    <row r="103" spans="1:21" x14ac:dyDescent="0.3">
      <c r="A103" t="s">
        <v>45</v>
      </c>
      <c r="B103" t="s">
        <v>805</v>
      </c>
      <c r="C103" s="16" t="s">
        <v>272</v>
      </c>
      <c r="D103" s="16">
        <v>2</v>
      </c>
      <c r="E103" t="s">
        <v>1524</v>
      </c>
      <c r="F103" t="s">
        <v>282</v>
      </c>
      <c r="G103" t="s">
        <v>341</v>
      </c>
      <c r="H103" t="s">
        <v>344</v>
      </c>
      <c r="I103" s="87">
        <v>4.3177339901477829</v>
      </c>
      <c r="K103" t="s">
        <v>43</v>
      </c>
      <c r="L103" t="s">
        <v>62</v>
      </c>
      <c r="M103" t="s">
        <v>15</v>
      </c>
      <c r="N103" t="s">
        <v>12</v>
      </c>
      <c r="O103" s="87">
        <v>3.5985221674876851</v>
      </c>
      <c r="Q103" t="s">
        <v>45</v>
      </c>
      <c r="R103" t="s">
        <v>57</v>
      </c>
      <c r="S103" t="s">
        <v>27</v>
      </c>
      <c r="T103" t="s">
        <v>29</v>
      </c>
      <c r="U103" s="87">
        <v>4.6699507389162562</v>
      </c>
    </row>
    <row r="104" spans="1:21" x14ac:dyDescent="0.3">
      <c r="A104" t="s">
        <v>45</v>
      </c>
      <c r="B104" t="s">
        <v>806</v>
      </c>
      <c r="C104" s="16" t="s">
        <v>272</v>
      </c>
      <c r="D104" s="16">
        <v>2</v>
      </c>
      <c r="E104" t="s">
        <v>1524</v>
      </c>
      <c r="F104" t="s">
        <v>282</v>
      </c>
      <c r="G104" t="s">
        <v>341</v>
      </c>
      <c r="H104" t="s">
        <v>344</v>
      </c>
      <c r="I104" s="87">
        <v>4.3177339901477829</v>
      </c>
      <c r="K104" t="s">
        <v>43</v>
      </c>
      <c r="L104" t="s">
        <v>62</v>
      </c>
      <c r="M104" t="s">
        <v>23</v>
      </c>
      <c r="N104" t="s">
        <v>12</v>
      </c>
      <c r="O104" s="87">
        <v>4.305418719211823</v>
      </c>
      <c r="Q104" t="s">
        <v>45</v>
      </c>
      <c r="R104" t="s">
        <v>57</v>
      </c>
      <c r="S104" t="s">
        <v>28</v>
      </c>
      <c r="T104" t="s">
        <v>29</v>
      </c>
      <c r="U104" s="87">
        <v>4.3793103448275863</v>
      </c>
    </row>
    <row r="105" spans="1:21" x14ac:dyDescent="0.3">
      <c r="A105" t="s">
        <v>45</v>
      </c>
      <c r="B105" t="s">
        <v>807</v>
      </c>
      <c r="C105" s="16" t="s">
        <v>272</v>
      </c>
      <c r="D105" s="16">
        <v>2</v>
      </c>
      <c r="E105" t="s">
        <v>1524</v>
      </c>
      <c r="F105" t="s">
        <v>282</v>
      </c>
      <c r="G105" t="s">
        <v>341</v>
      </c>
      <c r="H105" t="s">
        <v>344</v>
      </c>
      <c r="I105" s="87">
        <v>4.3177339901477829</v>
      </c>
      <c r="K105" t="s">
        <v>43</v>
      </c>
      <c r="L105" t="s">
        <v>62</v>
      </c>
      <c r="M105" t="s">
        <v>14</v>
      </c>
      <c r="N105" t="s">
        <v>12</v>
      </c>
      <c r="O105" s="87">
        <v>3.5985221674876851</v>
      </c>
      <c r="Q105" t="s">
        <v>45</v>
      </c>
      <c r="R105" t="s">
        <v>57</v>
      </c>
      <c r="S105" t="s">
        <v>35</v>
      </c>
      <c r="T105" t="s">
        <v>29</v>
      </c>
      <c r="U105" s="87">
        <v>5.7660098522167491</v>
      </c>
    </row>
    <row r="106" spans="1:21" x14ac:dyDescent="0.3">
      <c r="A106" t="s">
        <v>45</v>
      </c>
      <c r="B106" t="s">
        <v>808</v>
      </c>
      <c r="C106" s="16" t="s">
        <v>273</v>
      </c>
      <c r="D106" s="16">
        <v>2</v>
      </c>
      <c r="E106" t="s">
        <v>1525</v>
      </c>
      <c r="F106" t="s">
        <v>273</v>
      </c>
      <c r="G106" t="s">
        <v>1567</v>
      </c>
      <c r="H106" t="s">
        <v>344</v>
      </c>
      <c r="I106" s="87">
        <v>8.083743842364532</v>
      </c>
      <c r="K106" t="s">
        <v>43</v>
      </c>
      <c r="L106" t="s">
        <v>62</v>
      </c>
      <c r="M106" t="s">
        <v>25</v>
      </c>
      <c r="N106" t="s">
        <v>12</v>
      </c>
      <c r="O106" s="87">
        <v>4.305418719211823</v>
      </c>
      <c r="Q106" t="s">
        <v>43</v>
      </c>
      <c r="R106" t="s">
        <v>59</v>
      </c>
      <c r="S106" t="s">
        <v>39</v>
      </c>
      <c r="T106" t="s">
        <v>29</v>
      </c>
      <c r="U106" s="87">
        <v>9.4827586206896548</v>
      </c>
    </row>
    <row r="107" spans="1:21" x14ac:dyDescent="0.3">
      <c r="A107" t="s">
        <v>45</v>
      </c>
      <c r="B107" t="s">
        <v>809</v>
      </c>
      <c r="C107" s="16" t="s">
        <v>273</v>
      </c>
      <c r="D107" s="16">
        <v>2</v>
      </c>
      <c r="E107" t="s">
        <v>1525</v>
      </c>
      <c r="F107" t="s">
        <v>273</v>
      </c>
      <c r="G107" t="s">
        <v>1567</v>
      </c>
      <c r="H107" t="s">
        <v>344</v>
      </c>
      <c r="I107" s="87">
        <v>8.083743842364532</v>
      </c>
      <c r="K107" t="s">
        <v>43</v>
      </c>
      <c r="L107" t="s">
        <v>62</v>
      </c>
      <c r="M107" t="s">
        <v>11</v>
      </c>
      <c r="N107" t="s">
        <v>12</v>
      </c>
      <c r="O107" s="87">
        <v>4.3177339901477829</v>
      </c>
      <c r="Q107" t="s">
        <v>43</v>
      </c>
      <c r="R107" t="s">
        <v>59</v>
      </c>
      <c r="S107" t="s">
        <v>37</v>
      </c>
      <c r="T107" t="s">
        <v>29</v>
      </c>
      <c r="U107" s="87">
        <v>9.4827586206896548</v>
      </c>
    </row>
    <row r="108" spans="1:21" x14ac:dyDescent="0.3">
      <c r="A108" t="s">
        <v>45</v>
      </c>
      <c r="B108" t="s">
        <v>810</v>
      </c>
      <c r="C108" s="16" t="s">
        <v>272</v>
      </c>
      <c r="D108" s="16">
        <v>3</v>
      </c>
      <c r="E108" t="s">
        <v>1524</v>
      </c>
      <c r="F108" t="s">
        <v>282</v>
      </c>
      <c r="G108" t="s">
        <v>1568</v>
      </c>
      <c r="H108" t="s">
        <v>291</v>
      </c>
      <c r="I108" s="87">
        <v>4.7266009852216753</v>
      </c>
      <c r="K108" t="s">
        <v>43</v>
      </c>
      <c r="L108" t="s">
        <v>62</v>
      </c>
      <c r="M108" t="s">
        <v>24</v>
      </c>
      <c r="N108" t="s">
        <v>12</v>
      </c>
      <c r="O108" s="87">
        <v>5.4137931034482758</v>
      </c>
      <c r="Q108" t="s">
        <v>43</v>
      </c>
      <c r="R108" t="s">
        <v>59</v>
      </c>
      <c r="S108" t="s">
        <v>32</v>
      </c>
      <c r="T108" t="s">
        <v>29</v>
      </c>
      <c r="U108" s="87">
        <v>7.2783251231527091</v>
      </c>
    </row>
    <row r="109" spans="1:21" x14ac:dyDescent="0.3">
      <c r="A109" t="s">
        <v>45</v>
      </c>
      <c r="B109" t="s">
        <v>811</v>
      </c>
      <c r="C109" s="16" t="s">
        <v>272</v>
      </c>
      <c r="D109" s="16">
        <v>3</v>
      </c>
      <c r="E109" t="s">
        <v>1524</v>
      </c>
      <c r="F109" t="s">
        <v>282</v>
      </c>
      <c r="G109" t="s">
        <v>1567</v>
      </c>
      <c r="H109" t="s">
        <v>345</v>
      </c>
      <c r="I109" s="87">
        <v>4.4408866995073897</v>
      </c>
      <c r="K109" t="s">
        <v>43</v>
      </c>
      <c r="L109" t="s">
        <v>62</v>
      </c>
      <c r="M109" t="s">
        <v>21</v>
      </c>
      <c r="N109" t="s">
        <v>12</v>
      </c>
      <c r="O109" s="87">
        <v>3.5985221674876851</v>
      </c>
      <c r="Q109" t="s">
        <v>43</v>
      </c>
      <c r="R109" t="s">
        <v>59</v>
      </c>
      <c r="S109" t="s">
        <v>30</v>
      </c>
      <c r="T109" t="s">
        <v>29</v>
      </c>
      <c r="U109" s="87">
        <v>7.2783251231527091</v>
      </c>
    </row>
    <row r="110" spans="1:21" x14ac:dyDescent="0.3">
      <c r="A110" t="s">
        <v>45</v>
      </c>
      <c r="B110" t="s">
        <v>812</v>
      </c>
      <c r="C110" s="16" t="s">
        <v>272</v>
      </c>
      <c r="D110" s="16">
        <v>2</v>
      </c>
      <c r="E110" t="s">
        <v>1524</v>
      </c>
      <c r="F110" t="s">
        <v>282</v>
      </c>
      <c r="G110" t="s">
        <v>341</v>
      </c>
      <c r="H110" t="s">
        <v>345</v>
      </c>
      <c r="I110" s="87">
        <v>5.3275862068965516</v>
      </c>
      <c r="K110" t="s">
        <v>43</v>
      </c>
      <c r="L110" t="s">
        <v>62</v>
      </c>
      <c r="M110" t="s">
        <v>30</v>
      </c>
      <c r="N110" t="s">
        <v>12</v>
      </c>
      <c r="O110" s="87">
        <v>4.305418719211823</v>
      </c>
      <c r="Q110" t="s">
        <v>43</v>
      </c>
      <c r="R110" t="s">
        <v>59</v>
      </c>
      <c r="S110" t="s">
        <v>40</v>
      </c>
      <c r="T110" t="s">
        <v>29</v>
      </c>
      <c r="U110" s="87">
        <v>9.514778325123153</v>
      </c>
    </row>
    <row r="111" spans="1:21" x14ac:dyDescent="0.3">
      <c r="A111" t="s">
        <v>45</v>
      </c>
      <c r="B111" t="s">
        <v>813</v>
      </c>
      <c r="C111" s="16" t="s">
        <v>272</v>
      </c>
      <c r="D111" s="16">
        <v>2</v>
      </c>
      <c r="E111" t="s">
        <v>1525</v>
      </c>
      <c r="F111" t="s">
        <v>273</v>
      </c>
      <c r="G111" t="s">
        <v>1567</v>
      </c>
      <c r="H111" t="s">
        <v>344</v>
      </c>
      <c r="I111" s="87">
        <v>7.1428571428571432</v>
      </c>
      <c r="K111" t="s">
        <v>43</v>
      </c>
      <c r="L111" t="s">
        <v>62</v>
      </c>
      <c r="M111" t="s">
        <v>19</v>
      </c>
      <c r="N111" t="s">
        <v>12</v>
      </c>
      <c r="O111" s="87">
        <v>3.5985221674876851</v>
      </c>
      <c r="Q111" t="s">
        <v>43</v>
      </c>
      <c r="R111" t="s">
        <v>59</v>
      </c>
      <c r="S111" t="s">
        <v>38</v>
      </c>
      <c r="T111" t="s">
        <v>29</v>
      </c>
      <c r="U111" s="87">
        <v>9.4827586206896548</v>
      </c>
    </row>
    <row r="112" spans="1:21" x14ac:dyDescent="0.3">
      <c r="A112" t="s">
        <v>45</v>
      </c>
      <c r="B112" t="s">
        <v>814</v>
      </c>
      <c r="C112" s="16" t="s">
        <v>272</v>
      </c>
      <c r="D112" s="16">
        <v>3</v>
      </c>
      <c r="E112" t="s">
        <v>1524</v>
      </c>
      <c r="F112" t="s">
        <v>282</v>
      </c>
      <c r="G112" t="s">
        <v>1567</v>
      </c>
      <c r="H112" t="s">
        <v>345</v>
      </c>
      <c r="I112" s="87">
        <v>4.4408866995073897</v>
      </c>
      <c r="K112" t="s">
        <v>43</v>
      </c>
      <c r="L112" t="s">
        <v>62</v>
      </c>
      <c r="M112" t="s">
        <v>17</v>
      </c>
      <c r="N112" t="s">
        <v>12</v>
      </c>
      <c r="O112" s="87">
        <v>3.5985221674876851</v>
      </c>
      <c r="Q112" t="s">
        <v>43</v>
      </c>
      <c r="R112" t="s">
        <v>59</v>
      </c>
      <c r="S112" t="s">
        <v>34</v>
      </c>
      <c r="T112" t="s">
        <v>29</v>
      </c>
      <c r="U112" s="87">
        <v>9.5024630541871922</v>
      </c>
    </row>
    <row r="113" spans="1:21" x14ac:dyDescent="0.3">
      <c r="A113" t="s">
        <v>45</v>
      </c>
      <c r="B113" t="s">
        <v>815</v>
      </c>
      <c r="C113" s="16" t="s">
        <v>272</v>
      </c>
      <c r="D113" s="16">
        <v>3</v>
      </c>
      <c r="E113" t="s">
        <v>1524</v>
      </c>
      <c r="F113" t="s">
        <v>1658</v>
      </c>
      <c r="G113" t="s">
        <v>1567</v>
      </c>
      <c r="H113" t="s">
        <v>1570</v>
      </c>
      <c r="I113" s="87">
        <v>5.5492610837438434</v>
      </c>
      <c r="K113" t="s">
        <v>43</v>
      </c>
      <c r="L113" t="s">
        <v>62</v>
      </c>
      <c r="M113" t="s">
        <v>16</v>
      </c>
      <c r="N113" t="s">
        <v>12</v>
      </c>
      <c r="O113" s="87">
        <v>3.5985221674876851</v>
      </c>
      <c r="Q113" t="s">
        <v>43</v>
      </c>
      <c r="R113" t="s">
        <v>59</v>
      </c>
      <c r="S113" t="s">
        <v>36</v>
      </c>
      <c r="T113" t="s">
        <v>29</v>
      </c>
      <c r="U113" s="87">
        <v>9.5024630541871922</v>
      </c>
    </row>
    <row r="114" spans="1:21" x14ac:dyDescent="0.3">
      <c r="A114" t="s">
        <v>45</v>
      </c>
      <c r="B114" t="s">
        <v>816</v>
      </c>
      <c r="C114" s="16" t="s">
        <v>272</v>
      </c>
      <c r="D114" s="16">
        <v>3</v>
      </c>
      <c r="E114" t="s">
        <v>1524</v>
      </c>
      <c r="F114" t="s">
        <v>1658</v>
      </c>
      <c r="G114" t="s">
        <v>1567</v>
      </c>
      <c r="H114" t="s">
        <v>1570</v>
      </c>
      <c r="I114" s="87">
        <v>5.5492610837438434</v>
      </c>
      <c r="K114" t="s">
        <v>43</v>
      </c>
      <c r="L114" t="s">
        <v>62</v>
      </c>
      <c r="M114" t="s">
        <v>20</v>
      </c>
      <c r="N114" t="s">
        <v>12</v>
      </c>
      <c r="O114" s="87">
        <v>4.6083743842364537</v>
      </c>
      <c r="Q114" t="s">
        <v>43</v>
      </c>
      <c r="R114" t="s">
        <v>59</v>
      </c>
      <c r="S114" t="s">
        <v>33</v>
      </c>
      <c r="T114" t="s">
        <v>29</v>
      </c>
      <c r="U114" s="87">
        <v>8.529556650246306</v>
      </c>
    </row>
    <row r="115" spans="1:21" x14ac:dyDescent="0.3">
      <c r="A115" t="s">
        <v>45</v>
      </c>
      <c r="B115" t="s">
        <v>817</v>
      </c>
      <c r="C115" s="16" t="s">
        <v>272</v>
      </c>
      <c r="D115" s="16">
        <v>2</v>
      </c>
      <c r="E115" t="s">
        <v>1524</v>
      </c>
      <c r="F115" t="s">
        <v>282</v>
      </c>
      <c r="G115" t="s">
        <v>341</v>
      </c>
      <c r="H115" t="s">
        <v>1622</v>
      </c>
      <c r="I115" s="87">
        <v>5.5246305418719208</v>
      </c>
      <c r="K115" t="s">
        <v>43</v>
      </c>
      <c r="L115" t="s">
        <v>62</v>
      </c>
      <c r="M115" t="s">
        <v>26</v>
      </c>
      <c r="N115" t="s">
        <v>12</v>
      </c>
      <c r="O115" s="87">
        <v>5.3152709359605916</v>
      </c>
      <c r="Q115" t="s">
        <v>43</v>
      </c>
      <c r="R115" t="s">
        <v>59</v>
      </c>
      <c r="S115" t="s">
        <v>26</v>
      </c>
      <c r="T115" t="s">
        <v>29</v>
      </c>
      <c r="U115" s="87">
        <v>5.4014778325123149</v>
      </c>
    </row>
    <row r="116" spans="1:21" x14ac:dyDescent="0.3">
      <c r="A116" t="s">
        <v>45</v>
      </c>
      <c r="B116" t="s">
        <v>818</v>
      </c>
      <c r="C116" s="16" t="s">
        <v>272</v>
      </c>
      <c r="D116" s="16">
        <v>2</v>
      </c>
      <c r="E116" t="s">
        <v>1524</v>
      </c>
      <c r="F116" t="s">
        <v>282</v>
      </c>
      <c r="G116" t="s">
        <v>341</v>
      </c>
      <c r="H116" t="s">
        <v>1622</v>
      </c>
      <c r="I116" s="87">
        <v>5.5246305418719208</v>
      </c>
      <c r="K116" t="s">
        <v>43</v>
      </c>
      <c r="L116" t="s">
        <v>62</v>
      </c>
      <c r="M116" t="s">
        <v>22</v>
      </c>
      <c r="N116" t="s">
        <v>12</v>
      </c>
      <c r="O116" s="87">
        <v>5.1921182266009849</v>
      </c>
      <c r="Q116" t="s">
        <v>43</v>
      </c>
      <c r="R116" t="s">
        <v>59</v>
      </c>
      <c r="S116" t="s">
        <v>31</v>
      </c>
      <c r="T116" t="s">
        <v>29</v>
      </c>
      <c r="U116" s="87">
        <v>7.2783251231527091</v>
      </c>
    </row>
    <row r="117" spans="1:21" x14ac:dyDescent="0.3">
      <c r="A117" t="s">
        <v>45</v>
      </c>
      <c r="B117" t="s">
        <v>819</v>
      </c>
      <c r="C117" s="16" t="s">
        <v>272</v>
      </c>
      <c r="D117" s="16">
        <v>3</v>
      </c>
      <c r="E117" t="s">
        <v>1524</v>
      </c>
      <c r="F117" t="s">
        <v>1658</v>
      </c>
      <c r="G117" t="s">
        <v>341</v>
      </c>
      <c r="H117" t="s">
        <v>344</v>
      </c>
      <c r="I117" s="87">
        <v>4.6699507389162562</v>
      </c>
      <c r="K117" t="s">
        <v>43</v>
      </c>
      <c r="L117" t="s">
        <v>62</v>
      </c>
      <c r="M117" t="s">
        <v>31</v>
      </c>
      <c r="N117" t="s">
        <v>12</v>
      </c>
      <c r="O117" s="87">
        <v>4.305418719211823</v>
      </c>
      <c r="Q117" t="s">
        <v>43</v>
      </c>
      <c r="R117" t="s">
        <v>59</v>
      </c>
      <c r="S117" t="s">
        <v>27</v>
      </c>
      <c r="T117" t="s">
        <v>29</v>
      </c>
      <c r="U117" s="87">
        <v>5.4014778325123149</v>
      </c>
    </row>
    <row r="118" spans="1:21" x14ac:dyDescent="0.3">
      <c r="A118" t="s">
        <v>45</v>
      </c>
      <c r="B118" t="s">
        <v>820</v>
      </c>
      <c r="C118" s="16" t="s">
        <v>272</v>
      </c>
      <c r="D118" s="16">
        <v>3</v>
      </c>
      <c r="E118" t="s">
        <v>1526</v>
      </c>
      <c r="F118" t="s">
        <v>283</v>
      </c>
      <c r="G118" t="s">
        <v>1566</v>
      </c>
      <c r="H118" t="s">
        <v>1571</v>
      </c>
      <c r="I118" s="87">
        <v>7.9581280788177349</v>
      </c>
      <c r="K118" t="s">
        <v>43</v>
      </c>
      <c r="L118" t="s">
        <v>62</v>
      </c>
      <c r="M118" t="s">
        <v>27</v>
      </c>
      <c r="N118" t="s">
        <v>12</v>
      </c>
      <c r="O118" s="87">
        <v>4.305418719211823</v>
      </c>
      <c r="Q118" t="s">
        <v>43</v>
      </c>
      <c r="R118" t="s">
        <v>59</v>
      </c>
      <c r="S118" t="s">
        <v>28</v>
      </c>
      <c r="T118" t="s">
        <v>29</v>
      </c>
      <c r="U118" s="87">
        <v>5.4753694581280783</v>
      </c>
    </row>
    <row r="119" spans="1:21" x14ac:dyDescent="0.3">
      <c r="A119" t="s">
        <v>45</v>
      </c>
      <c r="B119" t="s">
        <v>821</v>
      </c>
      <c r="C119" s="16" t="s">
        <v>272</v>
      </c>
      <c r="D119" s="16">
        <v>3</v>
      </c>
      <c r="E119" t="s">
        <v>1524</v>
      </c>
      <c r="F119" t="s">
        <v>1658</v>
      </c>
      <c r="G119" t="s">
        <v>1567</v>
      </c>
      <c r="H119" t="s">
        <v>1570</v>
      </c>
      <c r="I119" s="87">
        <v>5.5492610837438434</v>
      </c>
      <c r="K119" t="s">
        <v>43</v>
      </c>
      <c r="L119" t="s">
        <v>62</v>
      </c>
      <c r="M119" t="s">
        <v>28</v>
      </c>
      <c r="N119" t="s">
        <v>12</v>
      </c>
      <c r="O119" s="87">
        <v>4.305418719211823</v>
      </c>
      <c r="Q119" t="s">
        <v>43</v>
      </c>
      <c r="R119" t="s">
        <v>59</v>
      </c>
      <c r="S119" t="s">
        <v>35</v>
      </c>
      <c r="T119" t="s">
        <v>29</v>
      </c>
      <c r="U119" s="87">
        <v>9.514778325123153</v>
      </c>
    </row>
    <row r="120" spans="1:21" x14ac:dyDescent="0.3">
      <c r="A120" t="s">
        <v>45</v>
      </c>
      <c r="B120" t="s">
        <v>822</v>
      </c>
      <c r="C120" s="16" t="s">
        <v>272</v>
      </c>
      <c r="D120" s="16">
        <v>3</v>
      </c>
      <c r="E120" t="s">
        <v>1526</v>
      </c>
      <c r="F120" t="s">
        <v>283</v>
      </c>
      <c r="G120" t="s">
        <v>1566</v>
      </c>
      <c r="H120" t="s">
        <v>1571</v>
      </c>
      <c r="I120" s="87">
        <v>7.9581280788177349</v>
      </c>
      <c r="K120" t="s">
        <v>43</v>
      </c>
      <c r="L120" t="s">
        <v>58</v>
      </c>
      <c r="M120" t="s">
        <v>15</v>
      </c>
      <c r="N120" t="s">
        <v>12</v>
      </c>
      <c r="O120" s="87">
        <v>5.6551724137931032</v>
      </c>
      <c r="Q120" t="s">
        <v>43</v>
      </c>
      <c r="R120" t="s">
        <v>49</v>
      </c>
      <c r="S120" t="s">
        <v>23</v>
      </c>
      <c r="T120" t="s">
        <v>29</v>
      </c>
      <c r="U120" s="87">
        <v>4.3177339901477829</v>
      </c>
    </row>
    <row r="121" spans="1:21" x14ac:dyDescent="0.3">
      <c r="A121" t="s">
        <v>45</v>
      </c>
      <c r="B121" t="s">
        <v>823</v>
      </c>
      <c r="C121" s="16" t="s">
        <v>272</v>
      </c>
      <c r="D121" s="16">
        <v>3</v>
      </c>
      <c r="E121" t="s">
        <v>1524</v>
      </c>
      <c r="F121" t="s">
        <v>1658</v>
      </c>
      <c r="G121" t="s">
        <v>1567</v>
      </c>
      <c r="H121" t="s">
        <v>344</v>
      </c>
      <c r="I121" s="87">
        <v>4.4285714285714288</v>
      </c>
      <c r="K121" t="s">
        <v>43</v>
      </c>
      <c r="L121" t="s">
        <v>58</v>
      </c>
      <c r="M121" t="s">
        <v>14</v>
      </c>
      <c r="N121" t="s">
        <v>12</v>
      </c>
      <c r="O121" s="87">
        <v>5.7290640394088674</v>
      </c>
      <c r="Q121" t="s">
        <v>43</v>
      </c>
      <c r="R121" t="s">
        <v>49</v>
      </c>
      <c r="S121" t="s">
        <v>25</v>
      </c>
      <c r="T121" t="s">
        <v>29</v>
      </c>
      <c r="U121" s="87">
        <v>4.3177339901477829</v>
      </c>
    </row>
    <row r="122" spans="1:21" x14ac:dyDescent="0.3">
      <c r="A122" t="s">
        <v>45</v>
      </c>
      <c r="B122" t="s">
        <v>824</v>
      </c>
      <c r="C122" s="16" t="s">
        <v>272</v>
      </c>
      <c r="D122" s="16">
        <v>2</v>
      </c>
      <c r="E122" t="s">
        <v>1524</v>
      </c>
      <c r="F122" t="s">
        <v>282</v>
      </c>
      <c r="G122" t="s">
        <v>341</v>
      </c>
      <c r="H122" t="s">
        <v>345</v>
      </c>
      <c r="I122" s="87">
        <v>5.3275862068965516</v>
      </c>
      <c r="K122" t="s">
        <v>43</v>
      </c>
      <c r="L122" t="s">
        <v>58</v>
      </c>
      <c r="M122" t="s">
        <v>11</v>
      </c>
      <c r="N122" t="s">
        <v>12</v>
      </c>
      <c r="O122" s="87">
        <v>4.5591133004926112</v>
      </c>
      <c r="Q122" t="s">
        <v>43</v>
      </c>
      <c r="R122" t="s">
        <v>49</v>
      </c>
      <c r="S122" t="s">
        <v>24</v>
      </c>
      <c r="T122" t="s">
        <v>29</v>
      </c>
      <c r="U122" s="87">
        <v>4.3177339901477829</v>
      </c>
    </row>
    <row r="123" spans="1:21" x14ac:dyDescent="0.3">
      <c r="A123" t="s">
        <v>9</v>
      </c>
      <c r="B123" t="s">
        <v>825</v>
      </c>
      <c r="C123" s="16" t="s">
        <v>272</v>
      </c>
      <c r="D123" s="16">
        <v>3</v>
      </c>
      <c r="E123" t="s">
        <v>1524</v>
      </c>
      <c r="F123" t="s">
        <v>1633</v>
      </c>
      <c r="G123" t="s">
        <v>1567</v>
      </c>
      <c r="H123" t="s">
        <v>344</v>
      </c>
      <c r="I123" s="87">
        <v>4.3916256157635472</v>
      </c>
      <c r="K123" t="s">
        <v>43</v>
      </c>
      <c r="L123" t="s">
        <v>58</v>
      </c>
      <c r="M123" t="s">
        <v>16</v>
      </c>
      <c r="N123" t="s">
        <v>12</v>
      </c>
      <c r="O123" s="87">
        <v>5.5689655172413799</v>
      </c>
      <c r="Q123" t="s">
        <v>43</v>
      </c>
      <c r="R123" t="s">
        <v>49</v>
      </c>
      <c r="S123" t="s">
        <v>21</v>
      </c>
      <c r="T123" t="s">
        <v>29</v>
      </c>
      <c r="U123" s="87">
        <v>4.9630541871921183</v>
      </c>
    </row>
    <row r="124" spans="1:21" x14ac:dyDescent="0.3">
      <c r="A124" t="s">
        <v>9</v>
      </c>
      <c r="B124" t="s">
        <v>826</v>
      </c>
      <c r="C124" s="16" t="s">
        <v>272</v>
      </c>
      <c r="D124" s="16">
        <v>3</v>
      </c>
      <c r="E124" t="s">
        <v>1524</v>
      </c>
      <c r="F124" t="s">
        <v>1634</v>
      </c>
      <c r="G124" t="s">
        <v>1567</v>
      </c>
      <c r="H124" t="s">
        <v>344</v>
      </c>
      <c r="I124" s="87">
        <v>4.2931034482758621</v>
      </c>
      <c r="K124" t="s">
        <v>45</v>
      </c>
      <c r="L124" t="s">
        <v>61</v>
      </c>
      <c r="M124" t="s">
        <v>15</v>
      </c>
      <c r="N124" t="s">
        <v>12</v>
      </c>
      <c r="O124" s="87">
        <v>4.305418719211823</v>
      </c>
      <c r="Q124" t="s">
        <v>43</v>
      </c>
      <c r="R124" t="s">
        <v>49</v>
      </c>
      <c r="S124" t="s">
        <v>26</v>
      </c>
      <c r="T124" t="s">
        <v>29</v>
      </c>
      <c r="U124" s="87">
        <v>4.3177339901477829</v>
      </c>
    </row>
    <row r="125" spans="1:21" x14ac:dyDescent="0.3">
      <c r="A125" t="s">
        <v>9</v>
      </c>
      <c r="B125" t="s">
        <v>827</v>
      </c>
      <c r="C125" s="16" t="s">
        <v>272</v>
      </c>
      <c r="D125" s="16">
        <v>3</v>
      </c>
      <c r="E125" t="s">
        <v>1524</v>
      </c>
      <c r="F125" t="s">
        <v>1634</v>
      </c>
      <c r="G125" t="s">
        <v>1567</v>
      </c>
      <c r="H125" t="s">
        <v>344</v>
      </c>
      <c r="I125" s="87">
        <v>4.2931034482758621</v>
      </c>
      <c r="K125" t="s">
        <v>45</v>
      </c>
      <c r="L125" t="s">
        <v>61</v>
      </c>
      <c r="M125" t="s">
        <v>14</v>
      </c>
      <c r="N125" t="s">
        <v>12</v>
      </c>
      <c r="O125" s="87">
        <v>7.1182266009852215</v>
      </c>
      <c r="Q125" t="s">
        <v>43</v>
      </c>
      <c r="R125" t="s">
        <v>49</v>
      </c>
      <c r="S125" t="s">
        <v>22</v>
      </c>
      <c r="T125" t="s">
        <v>29</v>
      </c>
      <c r="U125" s="87">
        <v>4.3177339901477829</v>
      </c>
    </row>
    <row r="126" spans="1:21" x14ac:dyDescent="0.3">
      <c r="A126" t="s">
        <v>9</v>
      </c>
      <c r="B126" t="s">
        <v>828</v>
      </c>
      <c r="C126" s="16" t="s">
        <v>272</v>
      </c>
      <c r="D126" s="16">
        <v>3</v>
      </c>
      <c r="E126" t="s">
        <v>1524</v>
      </c>
      <c r="F126" t="s">
        <v>1634</v>
      </c>
      <c r="G126" t="s">
        <v>1567</v>
      </c>
      <c r="H126" t="s">
        <v>344</v>
      </c>
      <c r="I126" s="87">
        <v>4.2931034482758621</v>
      </c>
      <c r="K126" t="s">
        <v>45</v>
      </c>
      <c r="L126" t="s">
        <v>61</v>
      </c>
      <c r="M126" t="s">
        <v>11</v>
      </c>
      <c r="N126" t="s">
        <v>12</v>
      </c>
      <c r="O126" s="87">
        <v>8.4310344827586192</v>
      </c>
      <c r="Q126" t="s">
        <v>43</v>
      </c>
      <c r="R126" t="s">
        <v>49</v>
      </c>
      <c r="S126" t="s">
        <v>27</v>
      </c>
      <c r="T126" t="s">
        <v>29</v>
      </c>
      <c r="U126" s="87">
        <v>5.2044334975369457</v>
      </c>
    </row>
    <row r="127" spans="1:21" x14ac:dyDescent="0.3">
      <c r="A127" t="s">
        <v>9</v>
      </c>
      <c r="B127" t="s">
        <v>829</v>
      </c>
      <c r="C127" s="16" t="s">
        <v>272</v>
      </c>
      <c r="D127" s="16">
        <v>3</v>
      </c>
      <c r="E127" t="s">
        <v>1524</v>
      </c>
      <c r="F127" t="s">
        <v>1633</v>
      </c>
      <c r="G127" t="s">
        <v>1567</v>
      </c>
      <c r="H127" t="s">
        <v>344</v>
      </c>
      <c r="I127" s="87">
        <v>4.3916256157635472</v>
      </c>
      <c r="K127" t="s">
        <v>45</v>
      </c>
      <c r="L127" t="s">
        <v>66</v>
      </c>
      <c r="M127" t="s">
        <v>15</v>
      </c>
      <c r="N127" t="s">
        <v>12</v>
      </c>
      <c r="O127" s="87">
        <v>4.2931034482758621</v>
      </c>
      <c r="Q127" t="s">
        <v>43</v>
      </c>
      <c r="R127" t="s">
        <v>49</v>
      </c>
      <c r="S127" t="s">
        <v>28</v>
      </c>
      <c r="T127" t="s">
        <v>29</v>
      </c>
      <c r="U127" s="87">
        <v>5.2044334975369457</v>
      </c>
    </row>
    <row r="128" spans="1:21" x14ac:dyDescent="0.3">
      <c r="A128" t="s">
        <v>9</v>
      </c>
      <c r="B128" t="s">
        <v>830</v>
      </c>
      <c r="C128" s="16" t="s">
        <v>272</v>
      </c>
      <c r="D128" s="16">
        <v>3</v>
      </c>
      <c r="E128" t="s">
        <v>1524</v>
      </c>
      <c r="F128" t="s">
        <v>1634</v>
      </c>
      <c r="G128" t="s">
        <v>1567</v>
      </c>
      <c r="H128" t="s">
        <v>344</v>
      </c>
      <c r="I128" s="87">
        <v>4.2931034482758621</v>
      </c>
      <c r="K128" t="s">
        <v>45</v>
      </c>
      <c r="L128" t="s">
        <v>66</v>
      </c>
      <c r="M128" t="s">
        <v>14</v>
      </c>
      <c r="N128" t="s">
        <v>12</v>
      </c>
      <c r="O128" s="87">
        <v>4.2931034482758621</v>
      </c>
      <c r="Q128" t="s">
        <v>43</v>
      </c>
      <c r="R128" t="s">
        <v>62</v>
      </c>
      <c r="S128" t="s">
        <v>64</v>
      </c>
      <c r="T128" t="s">
        <v>29</v>
      </c>
      <c r="U128" s="87">
        <v>3.431034482758621</v>
      </c>
    </row>
    <row r="129" spans="1:21" x14ac:dyDescent="0.3">
      <c r="A129" t="s">
        <v>9</v>
      </c>
      <c r="B129" t="s">
        <v>831</v>
      </c>
      <c r="C129" s="16" t="s">
        <v>272</v>
      </c>
      <c r="D129" s="16">
        <v>3</v>
      </c>
      <c r="E129" t="s">
        <v>1524</v>
      </c>
      <c r="F129" t="s">
        <v>1634</v>
      </c>
      <c r="G129" t="s">
        <v>1567</v>
      </c>
      <c r="H129" t="s">
        <v>344</v>
      </c>
      <c r="I129" s="87">
        <v>4.2931034482758621</v>
      </c>
      <c r="K129" t="s">
        <v>45</v>
      </c>
      <c r="L129" t="s">
        <v>66</v>
      </c>
      <c r="M129" t="s">
        <v>11</v>
      </c>
      <c r="N129" t="s">
        <v>12</v>
      </c>
      <c r="O129" s="87">
        <v>4.7438423645320196</v>
      </c>
      <c r="Q129" t="s">
        <v>43</v>
      </c>
      <c r="R129" t="s">
        <v>62</v>
      </c>
      <c r="S129" t="s">
        <v>39</v>
      </c>
      <c r="T129" t="s">
        <v>29</v>
      </c>
      <c r="U129" s="87">
        <v>5.3275862068965516</v>
      </c>
    </row>
    <row r="130" spans="1:21" x14ac:dyDescent="0.3">
      <c r="A130" t="s">
        <v>9</v>
      </c>
      <c r="B130" t="s">
        <v>832</v>
      </c>
      <c r="C130" s="16" t="s">
        <v>272</v>
      </c>
      <c r="D130" s="16">
        <v>3</v>
      </c>
      <c r="E130" t="s">
        <v>1524</v>
      </c>
      <c r="F130" t="s">
        <v>1634</v>
      </c>
      <c r="G130" t="s">
        <v>1567</v>
      </c>
      <c r="H130" t="s">
        <v>1571</v>
      </c>
      <c r="I130" s="87">
        <v>5.5123152709359609</v>
      </c>
      <c r="K130" t="s">
        <v>45</v>
      </c>
      <c r="L130" t="s">
        <v>66</v>
      </c>
      <c r="M130" t="s">
        <v>19</v>
      </c>
      <c r="N130" t="s">
        <v>12</v>
      </c>
      <c r="O130" s="87">
        <v>4.2931034482758621</v>
      </c>
      <c r="Q130" t="s">
        <v>43</v>
      </c>
      <c r="R130" t="s">
        <v>62</v>
      </c>
      <c r="S130" t="s">
        <v>37</v>
      </c>
      <c r="T130" t="s">
        <v>29</v>
      </c>
      <c r="U130" s="87">
        <v>4.3177339901477829</v>
      </c>
    </row>
    <row r="131" spans="1:21" x14ac:dyDescent="0.3">
      <c r="A131" t="s">
        <v>9</v>
      </c>
      <c r="B131" t="s">
        <v>833</v>
      </c>
      <c r="C131" s="16" t="s">
        <v>272</v>
      </c>
      <c r="D131" s="16">
        <v>3</v>
      </c>
      <c r="E131" t="s">
        <v>1524</v>
      </c>
      <c r="F131" t="s">
        <v>1634</v>
      </c>
      <c r="G131" t="s">
        <v>1567</v>
      </c>
      <c r="H131" t="s">
        <v>344</v>
      </c>
      <c r="I131" s="87">
        <v>4.2931034482758621</v>
      </c>
      <c r="K131" t="s">
        <v>45</v>
      </c>
      <c r="L131" t="s">
        <v>66</v>
      </c>
      <c r="M131" t="s">
        <v>17</v>
      </c>
      <c r="N131" t="s">
        <v>12</v>
      </c>
      <c r="O131" s="87">
        <v>4.2931034482758621</v>
      </c>
      <c r="Q131" t="s">
        <v>43</v>
      </c>
      <c r="R131" t="s">
        <v>62</v>
      </c>
      <c r="S131" t="s">
        <v>32</v>
      </c>
      <c r="T131" t="s">
        <v>29</v>
      </c>
      <c r="U131" s="87">
        <v>6.5098522167487687</v>
      </c>
    </row>
    <row r="132" spans="1:21" x14ac:dyDescent="0.3">
      <c r="A132" t="s">
        <v>9</v>
      </c>
      <c r="B132" t="s">
        <v>834</v>
      </c>
      <c r="C132" s="16" t="s">
        <v>272</v>
      </c>
      <c r="D132" s="16">
        <v>3</v>
      </c>
      <c r="E132" t="s">
        <v>1524</v>
      </c>
      <c r="F132" t="s">
        <v>1634</v>
      </c>
      <c r="G132" t="s">
        <v>1567</v>
      </c>
      <c r="H132" t="s">
        <v>344</v>
      </c>
      <c r="I132" s="87">
        <v>4.2931034482758621</v>
      </c>
      <c r="K132" t="s">
        <v>45</v>
      </c>
      <c r="L132" t="s">
        <v>66</v>
      </c>
      <c r="M132" t="s">
        <v>16</v>
      </c>
      <c r="N132" t="s">
        <v>12</v>
      </c>
      <c r="O132" s="87">
        <v>4.2931034482758621</v>
      </c>
      <c r="Q132" t="s">
        <v>43</v>
      </c>
      <c r="R132" t="s">
        <v>62</v>
      </c>
      <c r="S132" t="s">
        <v>41</v>
      </c>
      <c r="T132" t="s">
        <v>29</v>
      </c>
      <c r="U132" s="87">
        <v>5.3275862068965516</v>
      </c>
    </row>
    <row r="133" spans="1:21" x14ac:dyDescent="0.3">
      <c r="A133" t="s">
        <v>9</v>
      </c>
      <c r="B133" t="s">
        <v>835</v>
      </c>
      <c r="C133" s="16" t="s">
        <v>272</v>
      </c>
      <c r="D133" s="16">
        <v>3</v>
      </c>
      <c r="E133" t="s">
        <v>1524</v>
      </c>
      <c r="F133" t="s">
        <v>1634</v>
      </c>
      <c r="G133" t="s">
        <v>1567</v>
      </c>
      <c r="H133" t="s">
        <v>344</v>
      </c>
      <c r="I133" s="87">
        <v>4.2931034482758621</v>
      </c>
      <c r="K133" t="s">
        <v>9</v>
      </c>
      <c r="L133" t="s">
        <v>55</v>
      </c>
      <c r="M133" t="s">
        <v>15</v>
      </c>
      <c r="N133" t="s">
        <v>12</v>
      </c>
      <c r="O133" s="87">
        <v>5.5738916256157633</v>
      </c>
      <c r="Q133" t="s">
        <v>43</v>
      </c>
      <c r="R133" t="s">
        <v>62</v>
      </c>
      <c r="S133" t="s">
        <v>40</v>
      </c>
      <c r="T133" t="s">
        <v>29</v>
      </c>
      <c r="U133" s="87">
        <v>5.3275862068965516</v>
      </c>
    </row>
    <row r="134" spans="1:21" x14ac:dyDescent="0.3">
      <c r="A134" t="s">
        <v>9</v>
      </c>
      <c r="B134" t="s">
        <v>836</v>
      </c>
      <c r="C134" s="16" t="s">
        <v>272</v>
      </c>
      <c r="D134" s="16">
        <v>3</v>
      </c>
      <c r="E134" t="s">
        <v>1524</v>
      </c>
      <c r="F134" t="s">
        <v>1634</v>
      </c>
      <c r="G134" t="s">
        <v>1567</v>
      </c>
      <c r="H134" t="s">
        <v>344</v>
      </c>
      <c r="I134" s="87">
        <v>4.2931034482758621</v>
      </c>
      <c r="K134" t="s">
        <v>9</v>
      </c>
      <c r="L134" t="s">
        <v>55</v>
      </c>
      <c r="M134" t="s">
        <v>14</v>
      </c>
      <c r="N134" t="s">
        <v>12</v>
      </c>
      <c r="O134" s="87">
        <v>5.5738916256157633</v>
      </c>
      <c r="Q134" t="s">
        <v>43</v>
      </c>
      <c r="R134" t="s">
        <v>62</v>
      </c>
      <c r="S134" t="s">
        <v>63</v>
      </c>
      <c r="T134" t="s">
        <v>29</v>
      </c>
      <c r="U134" s="87">
        <v>5.3275862068965516</v>
      </c>
    </row>
    <row r="135" spans="1:21" x14ac:dyDescent="0.3">
      <c r="A135" t="s">
        <v>9</v>
      </c>
      <c r="B135" t="s">
        <v>837</v>
      </c>
      <c r="C135" s="16" t="s">
        <v>272</v>
      </c>
      <c r="D135" s="16">
        <v>3</v>
      </c>
      <c r="E135" t="s">
        <v>1524</v>
      </c>
      <c r="F135" t="s">
        <v>1633</v>
      </c>
      <c r="G135" t="s">
        <v>1567</v>
      </c>
      <c r="H135" t="s">
        <v>344</v>
      </c>
      <c r="I135" s="87">
        <v>4.3916256157635472</v>
      </c>
      <c r="K135" t="s">
        <v>9</v>
      </c>
      <c r="L135" t="s">
        <v>55</v>
      </c>
      <c r="M135" t="s">
        <v>11</v>
      </c>
      <c r="N135" t="s">
        <v>12</v>
      </c>
      <c r="O135" s="87">
        <v>5.5862068965517242</v>
      </c>
      <c r="Q135" t="s">
        <v>43</v>
      </c>
      <c r="R135" t="s">
        <v>62</v>
      </c>
      <c r="S135" t="s">
        <v>38</v>
      </c>
      <c r="T135" t="s">
        <v>29</v>
      </c>
      <c r="U135" s="87">
        <v>5.3275862068965516</v>
      </c>
    </row>
    <row r="136" spans="1:21" x14ac:dyDescent="0.3">
      <c r="A136" t="s">
        <v>9</v>
      </c>
      <c r="B136" t="s">
        <v>838</v>
      </c>
      <c r="C136" s="16" t="s">
        <v>272</v>
      </c>
      <c r="D136" s="16">
        <v>3</v>
      </c>
      <c r="E136" t="s">
        <v>1524</v>
      </c>
      <c r="F136" t="s">
        <v>1634</v>
      </c>
      <c r="G136" t="s">
        <v>1567</v>
      </c>
      <c r="H136" t="s">
        <v>344</v>
      </c>
      <c r="I136" s="87">
        <v>4.2931034482758621</v>
      </c>
      <c r="K136" t="s">
        <v>43</v>
      </c>
      <c r="L136" t="s">
        <v>54</v>
      </c>
      <c r="M136" t="s">
        <v>15</v>
      </c>
      <c r="N136" t="s">
        <v>12</v>
      </c>
      <c r="O136" s="87">
        <v>5.4630541871921192</v>
      </c>
      <c r="Q136" t="s">
        <v>43</v>
      </c>
      <c r="R136" t="s">
        <v>62</v>
      </c>
      <c r="S136" t="s">
        <v>65</v>
      </c>
      <c r="T136" t="s">
        <v>29</v>
      </c>
      <c r="U136" s="87">
        <v>4.4408866995073897</v>
      </c>
    </row>
    <row r="137" spans="1:21" x14ac:dyDescent="0.3">
      <c r="A137" t="s">
        <v>9</v>
      </c>
      <c r="B137" t="s">
        <v>839</v>
      </c>
      <c r="C137" s="16" t="s">
        <v>272</v>
      </c>
      <c r="D137" s="16">
        <v>3</v>
      </c>
      <c r="E137" t="s">
        <v>1529</v>
      </c>
      <c r="F137" t="s">
        <v>1658</v>
      </c>
      <c r="G137" t="s">
        <v>1567</v>
      </c>
      <c r="H137" t="s">
        <v>344</v>
      </c>
      <c r="I137" s="87">
        <v>6.6576354679802963</v>
      </c>
      <c r="K137" t="s">
        <v>43</v>
      </c>
      <c r="L137" t="s">
        <v>54</v>
      </c>
      <c r="M137" t="s">
        <v>14</v>
      </c>
      <c r="N137" t="s">
        <v>12</v>
      </c>
      <c r="O137" s="87">
        <v>5.4630541871921192</v>
      </c>
      <c r="Q137" t="s">
        <v>43</v>
      </c>
      <c r="R137" t="s">
        <v>62</v>
      </c>
      <c r="S137" t="s">
        <v>34</v>
      </c>
      <c r="T137" t="s">
        <v>29</v>
      </c>
      <c r="U137" s="87">
        <v>6.5098522167487687</v>
      </c>
    </row>
    <row r="138" spans="1:21" x14ac:dyDescent="0.3">
      <c r="A138" t="s">
        <v>9</v>
      </c>
      <c r="B138" t="s">
        <v>840</v>
      </c>
      <c r="C138" s="16" t="s">
        <v>272</v>
      </c>
      <c r="D138" s="16">
        <v>3</v>
      </c>
      <c r="E138" t="s">
        <v>1524</v>
      </c>
      <c r="F138" t="s">
        <v>1658</v>
      </c>
      <c r="G138" t="s">
        <v>1567</v>
      </c>
      <c r="H138" t="s">
        <v>344</v>
      </c>
      <c r="I138" s="87">
        <v>4.4285714285714288</v>
      </c>
      <c r="K138" t="s">
        <v>43</v>
      </c>
      <c r="L138" t="s">
        <v>54</v>
      </c>
      <c r="M138" t="s">
        <v>11</v>
      </c>
      <c r="N138" t="s">
        <v>12</v>
      </c>
      <c r="O138" s="87">
        <v>5.4630541871921192</v>
      </c>
      <c r="Q138" t="s">
        <v>43</v>
      </c>
      <c r="R138" t="s">
        <v>62</v>
      </c>
      <c r="S138" t="s">
        <v>42</v>
      </c>
      <c r="T138" t="s">
        <v>29</v>
      </c>
      <c r="U138" s="87">
        <v>4.6822660098522171</v>
      </c>
    </row>
    <row r="139" spans="1:21" x14ac:dyDescent="0.3">
      <c r="A139" t="s">
        <v>9</v>
      </c>
      <c r="B139" t="s">
        <v>841</v>
      </c>
      <c r="C139" s="16" t="s">
        <v>273</v>
      </c>
      <c r="D139" s="16">
        <v>2</v>
      </c>
      <c r="E139" t="s">
        <v>1525</v>
      </c>
      <c r="F139" t="s">
        <v>1546</v>
      </c>
      <c r="G139" t="s">
        <v>1566</v>
      </c>
      <c r="H139" t="s">
        <v>1570</v>
      </c>
      <c r="I139" s="87">
        <v>9.2980295566502456</v>
      </c>
      <c r="K139" t="s">
        <v>43</v>
      </c>
      <c r="L139" t="s">
        <v>54</v>
      </c>
      <c r="M139" t="s">
        <v>19</v>
      </c>
      <c r="N139" t="s">
        <v>12</v>
      </c>
      <c r="O139" s="87">
        <v>5.4630541871921192</v>
      </c>
      <c r="Q139" t="s">
        <v>43</v>
      </c>
      <c r="R139" t="s">
        <v>62</v>
      </c>
      <c r="S139" t="s">
        <v>36</v>
      </c>
      <c r="T139" t="s">
        <v>29</v>
      </c>
      <c r="U139" s="87">
        <v>7.5197044334975374</v>
      </c>
    </row>
    <row r="140" spans="1:21" x14ac:dyDescent="0.3">
      <c r="A140" t="s">
        <v>9</v>
      </c>
      <c r="B140" t="s">
        <v>842</v>
      </c>
      <c r="C140" s="16" t="s">
        <v>273</v>
      </c>
      <c r="D140" s="16">
        <v>2</v>
      </c>
      <c r="E140" t="s">
        <v>1525</v>
      </c>
      <c r="F140" t="s">
        <v>1542</v>
      </c>
      <c r="G140" t="s">
        <v>1566</v>
      </c>
      <c r="H140" t="s">
        <v>1570</v>
      </c>
      <c r="I140" s="87">
        <v>9.2733990147783256</v>
      </c>
      <c r="K140" t="s">
        <v>43</v>
      </c>
      <c r="L140" t="s">
        <v>54</v>
      </c>
      <c r="M140" t="s">
        <v>17</v>
      </c>
      <c r="N140" t="s">
        <v>12</v>
      </c>
      <c r="O140" s="87">
        <v>5.4630541871921192</v>
      </c>
      <c r="Q140" t="s">
        <v>43</v>
      </c>
      <c r="R140" t="s">
        <v>62</v>
      </c>
      <c r="S140" t="s">
        <v>33</v>
      </c>
      <c r="T140" t="s">
        <v>29</v>
      </c>
      <c r="U140" s="87">
        <v>6.5098522167487687</v>
      </c>
    </row>
    <row r="141" spans="1:21" x14ac:dyDescent="0.3">
      <c r="A141" t="s">
        <v>9</v>
      </c>
      <c r="B141" t="s">
        <v>843</v>
      </c>
      <c r="C141" s="16" t="s">
        <v>272</v>
      </c>
      <c r="D141" s="16">
        <v>3</v>
      </c>
      <c r="E141" t="s">
        <v>1529</v>
      </c>
      <c r="F141" t="s">
        <v>1658</v>
      </c>
      <c r="G141" t="s">
        <v>1567</v>
      </c>
      <c r="H141" t="s">
        <v>344</v>
      </c>
      <c r="I141" s="87">
        <v>6.6576354679802963</v>
      </c>
      <c r="K141" t="s">
        <v>43</v>
      </c>
      <c r="L141" t="s">
        <v>54</v>
      </c>
      <c r="M141" t="s">
        <v>16</v>
      </c>
      <c r="N141" t="s">
        <v>12</v>
      </c>
      <c r="O141" s="87">
        <v>5.4630541871921192</v>
      </c>
      <c r="Q141" t="s">
        <v>43</v>
      </c>
      <c r="R141" t="s">
        <v>62</v>
      </c>
      <c r="S141" t="s">
        <v>35</v>
      </c>
      <c r="T141" t="s">
        <v>29</v>
      </c>
      <c r="U141" s="87">
        <v>6.5098522167487687</v>
      </c>
    </row>
    <row r="142" spans="1:21" x14ac:dyDescent="0.3">
      <c r="A142" t="s">
        <v>9</v>
      </c>
      <c r="B142" t="s">
        <v>844</v>
      </c>
      <c r="C142" s="16" t="s">
        <v>272</v>
      </c>
      <c r="D142" s="16">
        <v>3</v>
      </c>
      <c r="E142" t="s">
        <v>1529</v>
      </c>
      <c r="F142" t="s">
        <v>1658</v>
      </c>
      <c r="G142" t="s">
        <v>1567</v>
      </c>
      <c r="H142" t="s">
        <v>344</v>
      </c>
      <c r="I142" s="87">
        <v>6.6576354679802963</v>
      </c>
      <c r="K142" t="s">
        <v>9</v>
      </c>
      <c r="L142" t="s">
        <v>52</v>
      </c>
      <c r="M142" t="s">
        <v>15</v>
      </c>
      <c r="N142" t="s">
        <v>12</v>
      </c>
      <c r="O142" s="87">
        <v>8.152709359605911</v>
      </c>
      <c r="Q142" t="s">
        <v>43</v>
      </c>
      <c r="R142" t="s">
        <v>58</v>
      </c>
      <c r="S142" t="s">
        <v>19</v>
      </c>
      <c r="T142" t="s">
        <v>29</v>
      </c>
      <c r="U142" s="87">
        <v>6.3990147783251237</v>
      </c>
    </row>
    <row r="143" spans="1:21" x14ac:dyDescent="0.3">
      <c r="A143" t="s">
        <v>9</v>
      </c>
      <c r="B143" t="s">
        <v>845</v>
      </c>
      <c r="C143" s="16" t="s">
        <v>272</v>
      </c>
      <c r="D143" s="16">
        <v>3</v>
      </c>
      <c r="E143" t="s">
        <v>1524</v>
      </c>
      <c r="F143" t="s">
        <v>1658</v>
      </c>
      <c r="G143" t="s">
        <v>1567</v>
      </c>
      <c r="H143" t="s">
        <v>344</v>
      </c>
      <c r="I143" s="87">
        <v>4.4285714285714288</v>
      </c>
      <c r="K143" t="s">
        <v>9</v>
      </c>
      <c r="L143" t="s">
        <v>52</v>
      </c>
      <c r="M143" t="s">
        <v>14</v>
      </c>
      <c r="N143" t="s">
        <v>12</v>
      </c>
      <c r="O143" s="87">
        <v>5.389162561576355</v>
      </c>
      <c r="Q143" t="s">
        <v>43</v>
      </c>
      <c r="R143" t="s">
        <v>58</v>
      </c>
      <c r="S143" t="s">
        <v>17</v>
      </c>
      <c r="T143" t="s">
        <v>29</v>
      </c>
      <c r="U143" s="87">
        <v>6.3990147783251237</v>
      </c>
    </row>
    <row r="144" spans="1:21" x14ac:dyDescent="0.3">
      <c r="A144" t="s">
        <v>9</v>
      </c>
      <c r="B144" t="s">
        <v>846</v>
      </c>
      <c r="C144" s="16" t="s">
        <v>273</v>
      </c>
      <c r="D144" s="16">
        <v>2</v>
      </c>
      <c r="E144" t="s">
        <v>1525</v>
      </c>
      <c r="F144" t="s">
        <v>1546</v>
      </c>
      <c r="G144" t="s">
        <v>1566</v>
      </c>
      <c r="H144" t="s">
        <v>344</v>
      </c>
      <c r="I144" s="87">
        <v>8.1773399014778327</v>
      </c>
      <c r="K144" t="s">
        <v>9</v>
      </c>
      <c r="L144" t="s">
        <v>52</v>
      </c>
      <c r="M144" t="s">
        <v>11</v>
      </c>
      <c r="N144" t="s">
        <v>12</v>
      </c>
      <c r="O144" s="87">
        <v>5.6551724137931032</v>
      </c>
      <c r="Q144" t="s">
        <v>45</v>
      </c>
      <c r="R144" t="s">
        <v>61</v>
      </c>
      <c r="S144" t="s">
        <v>16</v>
      </c>
      <c r="T144" t="s">
        <v>29</v>
      </c>
      <c r="U144" s="87">
        <v>5.4137931034482758</v>
      </c>
    </row>
    <row r="145" spans="1:21" x14ac:dyDescent="0.3">
      <c r="A145" t="s">
        <v>9</v>
      </c>
      <c r="B145" t="s">
        <v>847</v>
      </c>
      <c r="C145" s="16" t="s">
        <v>272</v>
      </c>
      <c r="D145" s="16">
        <v>3</v>
      </c>
      <c r="E145" t="s">
        <v>1529</v>
      </c>
      <c r="F145" t="s">
        <v>1658</v>
      </c>
      <c r="G145" t="s">
        <v>1567</v>
      </c>
      <c r="H145" t="s">
        <v>344</v>
      </c>
      <c r="I145" s="87">
        <v>6.6576354679802963</v>
      </c>
      <c r="K145" t="s">
        <v>9</v>
      </c>
      <c r="L145" t="s">
        <v>52</v>
      </c>
      <c r="M145" t="s">
        <v>16</v>
      </c>
      <c r="N145" t="s">
        <v>12</v>
      </c>
      <c r="O145" s="87">
        <v>5.6477832512315267</v>
      </c>
      <c r="Q145" t="s">
        <v>45</v>
      </c>
      <c r="R145" t="s">
        <v>66</v>
      </c>
      <c r="S145" t="s">
        <v>23</v>
      </c>
      <c r="T145" t="s">
        <v>29</v>
      </c>
      <c r="U145" s="87">
        <v>4.4285714285714288</v>
      </c>
    </row>
    <row r="146" spans="1:21" x14ac:dyDescent="0.3">
      <c r="A146" t="s">
        <v>9</v>
      </c>
      <c r="B146" t="s">
        <v>848</v>
      </c>
      <c r="C146" s="16" t="s">
        <v>272</v>
      </c>
      <c r="D146" s="16">
        <v>3</v>
      </c>
      <c r="E146" t="s">
        <v>1524</v>
      </c>
      <c r="F146" t="s">
        <v>1658</v>
      </c>
      <c r="G146" t="s">
        <v>1567</v>
      </c>
      <c r="H146" t="s">
        <v>344</v>
      </c>
      <c r="I146" s="87">
        <v>4.4285714285714288</v>
      </c>
      <c r="K146" t="s">
        <v>43</v>
      </c>
      <c r="L146" t="s">
        <v>69</v>
      </c>
      <c r="M146" t="s">
        <v>15</v>
      </c>
      <c r="N146" t="s">
        <v>12</v>
      </c>
      <c r="O146" s="87">
        <v>4.6527093596059119</v>
      </c>
      <c r="Q146" t="s">
        <v>45</v>
      </c>
      <c r="R146" t="s">
        <v>66</v>
      </c>
      <c r="S146" t="s">
        <v>25</v>
      </c>
      <c r="T146" t="s">
        <v>29</v>
      </c>
      <c r="U146" s="87">
        <v>4.305418719211823</v>
      </c>
    </row>
    <row r="147" spans="1:21" x14ac:dyDescent="0.3">
      <c r="A147" t="s">
        <v>9</v>
      </c>
      <c r="B147" t="s">
        <v>849</v>
      </c>
      <c r="C147" s="16" t="s">
        <v>273</v>
      </c>
      <c r="D147" s="16">
        <v>2</v>
      </c>
      <c r="E147" t="s">
        <v>1525</v>
      </c>
      <c r="F147" t="s">
        <v>1546</v>
      </c>
      <c r="G147" t="s">
        <v>1566</v>
      </c>
      <c r="H147" t="s">
        <v>344</v>
      </c>
      <c r="I147" s="87">
        <v>8.1773399014778327</v>
      </c>
      <c r="K147" t="s">
        <v>43</v>
      </c>
      <c r="L147" t="s">
        <v>69</v>
      </c>
      <c r="M147" t="s">
        <v>23</v>
      </c>
      <c r="N147" t="s">
        <v>12</v>
      </c>
      <c r="O147" s="87">
        <v>5.4384236453201975</v>
      </c>
      <c r="Q147" t="s">
        <v>45</v>
      </c>
      <c r="R147" t="s">
        <v>66</v>
      </c>
      <c r="S147" t="s">
        <v>24</v>
      </c>
      <c r="T147" t="s">
        <v>29</v>
      </c>
      <c r="U147" s="87">
        <v>4.4285714285714288</v>
      </c>
    </row>
    <row r="148" spans="1:21" x14ac:dyDescent="0.3">
      <c r="A148" t="s">
        <v>9</v>
      </c>
      <c r="B148" t="s">
        <v>850</v>
      </c>
      <c r="C148" s="16" t="s">
        <v>273</v>
      </c>
      <c r="D148" s="16">
        <v>2</v>
      </c>
      <c r="E148" t="s">
        <v>1525</v>
      </c>
      <c r="F148" t="s">
        <v>1546</v>
      </c>
      <c r="G148" t="s">
        <v>1566</v>
      </c>
      <c r="H148" t="s">
        <v>344</v>
      </c>
      <c r="I148" s="87">
        <v>8.1773399014778327</v>
      </c>
      <c r="K148" t="s">
        <v>43</v>
      </c>
      <c r="L148" t="s">
        <v>69</v>
      </c>
      <c r="M148" t="s">
        <v>14</v>
      </c>
      <c r="N148" t="s">
        <v>12</v>
      </c>
      <c r="O148" s="87">
        <v>5.3645320197044333</v>
      </c>
      <c r="Q148" t="s">
        <v>45</v>
      </c>
      <c r="R148" t="s">
        <v>66</v>
      </c>
      <c r="S148" t="s">
        <v>21</v>
      </c>
      <c r="T148" t="s">
        <v>29</v>
      </c>
      <c r="U148" s="87">
        <v>4.3793103448275863</v>
      </c>
    </row>
    <row r="149" spans="1:21" x14ac:dyDescent="0.3">
      <c r="A149" t="s">
        <v>9</v>
      </c>
      <c r="B149" t="s">
        <v>851</v>
      </c>
      <c r="C149" s="16" t="s">
        <v>273</v>
      </c>
      <c r="D149" s="16">
        <v>2</v>
      </c>
      <c r="E149" t="s">
        <v>1525</v>
      </c>
      <c r="F149" t="s">
        <v>1546</v>
      </c>
      <c r="G149" t="s">
        <v>1567</v>
      </c>
      <c r="H149" t="s">
        <v>344</v>
      </c>
      <c r="I149" s="87">
        <v>8.0098522167487687</v>
      </c>
      <c r="K149" t="s">
        <v>43</v>
      </c>
      <c r="L149" t="s">
        <v>69</v>
      </c>
      <c r="M149" t="s">
        <v>11</v>
      </c>
      <c r="N149" t="s">
        <v>12</v>
      </c>
      <c r="O149" s="87">
        <v>4.9408866995073897</v>
      </c>
      <c r="Q149" t="s">
        <v>45</v>
      </c>
      <c r="R149" t="s">
        <v>66</v>
      </c>
      <c r="S149" t="s">
        <v>20</v>
      </c>
      <c r="T149" t="s">
        <v>29</v>
      </c>
      <c r="U149" s="87">
        <v>5.5</v>
      </c>
    </row>
    <row r="150" spans="1:21" x14ac:dyDescent="0.3">
      <c r="A150" t="s">
        <v>9</v>
      </c>
      <c r="B150" t="s">
        <v>852</v>
      </c>
      <c r="C150" s="16" t="s">
        <v>272</v>
      </c>
      <c r="D150" s="16">
        <v>2</v>
      </c>
      <c r="E150" t="s">
        <v>1525</v>
      </c>
      <c r="F150" t="s">
        <v>1546</v>
      </c>
      <c r="G150" t="s">
        <v>1566</v>
      </c>
      <c r="H150" t="s">
        <v>344</v>
      </c>
      <c r="I150" s="87">
        <v>7.2364532019704439</v>
      </c>
      <c r="K150" t="s">
        <v>43</v>
      </c>
      <c r="L150" t="s">
        <v>69</v>
      </c>
      <c r="M150" t="s">
        <v>21</v>
      </c>
      <c r="N150" t="s">
        <v>12</v>
      </c>
      <c r="O150" s="87">
        <v>4.5517241379310356</v>
      </c>
      <c r="Q150" t="s">
        <v>45</v>
      </c>
      <c r="R150" t="s">
        <v>66</v>
      </c>
      <c r="S150" t="s">
        <v>26</v>
      </c>
      <c r="T150" t="s">
        <v>29</v>
      </c>
      <c r="U150" s="87">
        <v>4.305418719211823</v>
      </c>
    </row>
    <row r="151" spans="1:21" x14ac:dyDescent="0.3">
      <c r="A151" t="s">
        <v>9</v>
      </c>
      <c r="B151" t="s">
        <v>853</v>
      </c>
      <c r="C151" s="16" t="s">
        <v>272</v>
      </c>
      <c r="D151" s="16">
        <v>2</v>
      </c>
      <c r="E151" t="s">
        <v>1524</v>
      </c>
      <c r="F151" t="s">
        <v>282</v>
      </c>
      <c r="G151" t="s">
        <v>341</v>
      </c>
      <c r="H151" t="s">
        <v>344</v>
      </c>
      <c r="I151" s="87">
        <v>4.3177339901477829</v>
      </c>
      <c r="K151" t="s">
        <v>43</v>
      </c>
      <c r="L151" t="s">
        <v>69</v>
      </c>
      <c r="M151" t="s">
        <v>19</v>
      </c>
      <c r="N151" t="s">
        <v>12</v>
      </c>
      <c r="O151" s="87">
        <v>4.485221674876847</v>
      </c>
      <c r="Q151" t="s">
        <v>45</v>
      </c>
      <c r="R151" t="s">
        <v>66</v>
      </c>
      <c r="S151" t="s">
        <v>22</v>
      </c>
      <c r="T151" t="s">
        <v>29</v>
      </c>
      <c r="U151" s="87">
        <v>4.4285714285714288</v>
      </c>
    </row>
    <row r="152" spans="1:21" x14ac:dyDescent="0.3">
      <c r="A152" t="s">
        <v>9</v>
      </c>
      <c r="B152" t="s">
        <v>854</v>
      </c>
      <c r="C152" s="16" t="s">
        <v>272</v>
      </c>
      <c r="D152" s="16">
        <v>2</v>
      </c>
      <c r="E152" t="s">
        <v>1524</v>
      </c>
      <c r="F152" t="s">
        <v>282</v>
      </c>
      <c r="G152" t="s">
        <v>1654</v>
      </c>
      <c r="H152" t="s">
        <v>344</v>
      </c>
      <c r="I152" s="87">
        <v>4.3546798029556646</v>
      </c>
      <c r="K152" t="s">
        <v>43</v>
      </c>
      <c r="L152" t="s">
        <v>69</v>
      </c>
      <c r="M152" t="s">
        <v>17</v>
      </c>
      <c r="N152" t="s">
        <v>12</v>
      </c>
      <c r="O152" s="87">
        <v>4.485221674876847</v>
      </c>
      <c r="Q152" t="s">
        <v>45</v>
      </c>
      <c r="R152" t="s">
        <v>66</v>
      </c>
      <c r="S152" t="s">
        <v>27</v>
      </c>
      <c r="T152" t="s">
        <v>29</v>
      </c>
      <c r="U152" s="87">
        <v>4.4285714285714288</v>
      </c>
    </row>
    <row r="153" spans="1:21" x14ac:dyDescent="0.3">
      <c r="A153" t="s">
        <v>9</v>
      </c>
      <c r="B153" t="s">
        <v>855</v>
      </c>
      <c r="C153" s="16" t="s">
        <v>272</v>
      </c>
      <c r="D153" s="16">
        <v>3</v>
      </c>
      <c r="E153" t="s">
        <v>1524</v>
      </c>
      <c r="F153" t="s">
        <v>1553</v>
      </c>
      <c r="G153" t="s">
        <v>1566</v>
      </c>
      <c r="H153" t="s">
        <v>344</v>
      </c>
      <c r="I153" s="87">
        <v>4.5714285714285712</v>
      </c>
      <c r="K153" t="s">
        <v>43</v>
      </c>
      <c r="L153" t="s">
        <v>69</v>
      </c>
      <c r="M153" t="s">
        <v>16</v>
      </c>
      <c r="N153" t="s">
        <v>12</v>
      </c>
      <c r="O153" s="87">
        <v>4.485221674876847</v>
      </c>
      <c r="Q153" t="s">
        <v>9</v>
      </c>
      <c r="R153" t="s">
        <v>55</v>
      </c>
      <c r="S153" t="s">
        <v>19</v>
      </c>
      <c r="T153" t="s">
        <v>29</v>
      </c>
      <c r="U153" s="87">
        <v>5.8645320197044342</v>
      </c>
    </row>
    <row r="154" spans="1:21" x14ac:dyDescent="0.3">
      <c r="A154" t="s">
        <v>9</v>
      </c>
      <c r="B154" t="s">
        <v>856</v>
      </c>
      <c r="C154" s="16" t="s">
        <v>272</v>
      </c>
      <c r="D154" s="16">
        <v>3</v>
      </c>
      <c r="E154" t="s">
        <v>1524</v>
      </c>
      <c r="F154" t="s">
        <v>282</v>
      </c>
      <c r="G154" t="s">
        <v>1567</v>
      </c>
      <c r="H154" t="s">
        <v>345</v>
      </c>
      <c r="I154" s="87">
        <v>4.4408866995073897</v>
      </c>
      <c r="K154" t="s">
        <v>43</v>
      </c>
      <c r="L154" t="s">
        <v>69</v>
      </c>
      <c r="M154" t="s">
        <v>20</v>
      </c>
      <c r="N154" t="s">
        <v>12</v>
      </c>
      <c r="O154" s="87">
        <v>4.3177339901477829</v>
      </c>
      <c r="Q154" t="s">
        <v>9</v>
      </c>
      <c r="R154" t="s">
        <v>55</v>
      </c>
      <c r="S154" t="s">
        <v>17</v>
      </c>
      <c r="T154" t="s">
        <v>29</v>
      </c>
      <c r="U154" s="87">
        <v>6.2142857142857144</v>
      </c>
    </row>
    <row r="155" spans="1:21" x14ac:dyDescent="0.3">
      <c r="A155" t="s">
        <v>9</v>
      </c>
      <c r="B155" t="s">
        <v>857</v>
      </c>
      <c r="C155" s="16" t="s">
        <v>272</v>
      </c>
      <c r="D155" s="16">
        <v>3</v>
      </c>
      <c r="E155" t="s">
        <v>1524</v>
      </c>
      <c r="F155" t="s">
        <v>282</v>
      </c>
      <c r="G155" t="s">
        <v>1567</v>
      </c>
      <c r="H155" t="s">
        <v>344</v>
      </c>
      <c r="I155" s="87">
        <v>3.431034482758621</v>
      </c>
      <c r="K155" t="s">
        <v>43</v>
      </c>
      <c r="L155" t="s">
        <v>69</v>
      </c>
      <c r="M155" t="s">
        <v>22</v>
      </c>
      <c r="N155" t="s">
        <v>12</v>
      </c>
      <c r="O155" s="87">
        <v>4.5517241379310356</v>
      </c>
      <c r="Q155" t="s">
        <v>9</v>
      </c>
      <c r="R155" t="s">
        <v>55</v>
      </c>
      <c r="S155" t="s">
        <v>16</v>
      </c>
      <c r="T155" t="s">
        <v>29</v>
      </c>
      <c r="U155" s="87">
        <v>5.568965517241379</v>
      </c>
    </row>
    <row r="156" spans="1:21" x14ac:dyDescent="0.3">
      <c r="A156" t="s">
        <v>9</v>
      </c>
      <c r="B156" t="s">
        <v>858</v>
      </c>
      <c r="C156" s="16" t="s">
        <v>272</v>
      </c>
      <c r="D156" s="16">
        <v>2</v>
      </c>
      <c r="E156" t="s">
        <v>1524</v>
      </c>
      <c r="F156" t="s">
        <v>282</v>
      </c>
      <c r="G156" t="s">
        <v>1654</v>
      </c>
      <c r="H156" t="s">
        <v>345</v>
      </c>
      <c r="I156" s="87">
        <v>5.3645320197044333</v>
      </c>
      <c r="K156" t="s">
        <v>45</v>
      </c>
      <c r="L156" t="s">
        <v>48</v>
      </c>
      <c r="M156" t="s">
        <v>15</v>
      </c>
      <c r="N156" t="s">
        <v>12</v>
      </c>
      <c r="O156" s="87">
        <v>4.3177339901477829</v>
      </c>
      <c r="Q156" t="s">
        <v>43</v>
      </c>
      <c r="R156" t="s">
        <v>54</v>
      </c>
      <c r="S156" t="s">
        <v>23</v>
      </c>
      <c r="T156" t="s">
        <v>29</v>
      </c>
      <c r="U156" s="87">
        <v>5.8226600985221681</v>
      </c>
    </row>
    <row r="157" spans="1:21" x14ac:dyDescent="0.3">
      <c r="A157" t="s">
        <v>9</v>
      </c>
      <c r="B157" t="s">
        <v>859</v>
      </c>
      <c r="C157" s="16" t="s">
        <v>272</v>
      </c>
      <c r="D157" s="16">
        <v>2</v>
      </c>
      <c r="E157" t="s">
        <v>1524</v>
      </c>
      <c r="F157" t="s">
        <v>282</v>
      </c>
      <c r="G157" t="s">
        <v>341</v>
      </c>
      <c r="H157" t="s">
        <v>345</v>
      </c>
      <c r="I157" s="87">
        <v>5.3275862068965516</v>
      </c>
      <c r="K157" t="s">
        <v>45</v>
      </c>
      <c r="L157" t="s">
        <v>48</v>
      </c>
      <c r="M157" t="s">
        <v>14</v>
      </c>
      <c r="N157" t="s">
        <v>12</v>
      </c>
      <c r="O157" s="87">
        <v>4.3793103448275863</v>
      </c>
      <c r="Q157" t="s">
        <v>43</v>
      </c>
      <c r="R157" t="s">
        <v>54</v>
      </c>
      <c r="S157" t="s">
        <v>25</v>
      </c>
      <c r="T157" t="s">
        <v>29</v>
      </c>
      <c r="U157" s="87">
        <v>5.8226600985221681</v>
      </c>
    </row>
    <row r="158" spans="1:21" x14ac:dyDescent="0.3">
      <c r="A158" t="s">
        <v>9</v>
      </c>
      <c r="B158" t="s">
        <v>860</v>
      </c>
      <c r="C158" s="16" t="s">
        <v>272</v>
      </c>
      <c r="D158" s="16">
        <v>2</v>
      </c>
      <c r="E158" t="s">
        <v>1524</v>
      </c>
      <c r="F158" t="s">
        <v>282</v>
      </c>
      <c r="G158" t="s">
        <v>341</v>
      </c>
      <c r="H158" t="s">
        <v>345</v>
      </c>
      <c r="I158" s="87">
        <v>5.3275862068965516</v>
      </c>
      <c r="K158" t="s">
        <v>45</v>
      </c>
      <c r="L158" t="s">
        <v>48</v>
      </c>
      <c r="M158" t="s">
        <v>11</v>
      </c>
      <c r="N158" t="s">
        <v>12</v>
      </c>
      <c r="O158" s="87">
        <v>4.3793103448275863</v>
      </c>
      <c r="Q158" t="s">
        <v>43</v>
      </c>
      <c r="R158" t="s">
        <v>54</v>
      </c>
      <c r="S158" t="s">
        <v>24</v>
      </c>
      <c r="T158" t="s">
        <v>29</v>
      </c>
      <c r="U158" s="87">
        <v>5.8226600985221681</v>
      </c>
    </row>
    <row r="159" spans="1:21" x14ac:dyDescent="0.3">
      <c r="A159" t="s">
        <v>9</v>
      </c>
      <c r="B159" t="s">
        <v>861</v>
      </c>
      <c r="C159" s="16" t="s">
        <v>272</v>
      </c>
      <c r="D159" s="16">
        <v>2</v>
      </c>
      <c r="E159" t="s">
        <v>1524</v>
      </c>
      <c r="F159" t="s">
        <v>282</v>
      </c>
      <c r="G159" t="s">
        <v>341</v>
      </c>
      <c r="H159" t="s">
        <v>345</v>
      </c>
      <c r="I159" s="87">
        <v>5.3275862068965516</v>
      </c>
      <c r="K159" t="s">
        <v>45</v>
      </c>
      <c r="L159" t="s">
        <v>48</v>
      </c>
      <c r="M159" t="s">
        <v>19</v>
      </c>
      <c r="N159" t="s">
        <v>12</v>
      </c>
      <c r="O159" s="87">
        <v>4.3177339901477829</v>
      </c>
      <c r="Q159" t="s">
        <v>43</v>
      </c>
      <c r="R159" t="s">
        <v>54</v>
      </c>
      <c r="S159" t="s">
        <v>32</v>
      </c>
      <c r="T159" t="s">
        <v>29</v>
      </c>
      <c r="U159" s="87">
        <v>5.8226600985221681</v>
      </c>
    </row>
    <row r="160" spans="1:21" x14ac:dyDescent="0.3">
      <c r="A160" t="s">
        <v>9</v>
      </c>
      <c r="B160" t="s">
        <v>862</v>
      </c>
      <c r="C160" s="16" t="s">
        <v>272</v>
      </c>
      <c r="D160" s="16">
        <v>2</v>
      </c>
      <c r="E160" t="s">
        <v>1524</v>
      </c>
      <c r="F160" t="s">
        <v>282</v>
      </c>
      <c r="G160" t="s">
        <v>341</v>
      </c>
      <c r="H160" t="s">
        <v>1625</v>
      </c>
      <c r="I160" s="87">
        <v>5.5615763546798025</v>
      </c>
      <c r="K160" t="s">
        <v>45</v>
      </c>
      <c r="L160" t="s">
        <v>48</v>
      </c>
      <c r="M160" t="s">
        <v>17</v>
      </c>
      <c r="N160" t="s">
        <v>12</v>
      </c>
      <c r="O160" s="87">
        <v>4.3177339901477829</v>
      </c>
      <c r="Q160" t="s">
        <v>43</v>
      </c>
      <c r="R160" t="s">
        <v>54</v>
      </c>
      <c r="S160" t="s">
        <v>21</v>
      </c>
      <c r="T160" t="s">
        <v>29</v>
      </c>
      <c r="U160" s="87">
        <v>5.8226600985221681</v>
      </c>
    </row>
    <row r="161" spans="1:21" x14ac:dyDescent="0.3">
      <c r="A161" t="s">
        <v>9</v>
      </c>
      <c r="B161" t="s">
        <v>863</v>
      </c>
      <c r="C161" s="16" t="s">
        <v>272</v>
      </c>
      <c r="D161" s="16">
        <v>2</v>
      </c>
      <c r="E161" t="s">
        <v>1524</v>
      </c>
      <c r="F161" t="s">
        <v>282</v>
      </c>
      <c r="G161" t="s">
        <v>341</v>
      </c>
      <c r="H161" t="s">
        <v>1625</v>
      </c>
      <c r="I161" s="87">
        <v>5.5615763546798025</v>
      </c>
      <c r="K161" t="s">
        <v>45</v>
      </c>
      <c r="L161" t="s">
        <v>48</v>
      </c>
      <c r="M161" t="s">
        <v>16</v>
      </c>
      <c r="N161" t="s">
        <v>12</v>
      </c>
      <c r="O161" s="87">
        <v>4.3177339901477829</v>
      </c>
      <c r="Q161" t="s">
        <v>43</v>
      </c>
      <c r="R161" t="s">
        <v>54</v>
      </c>
      <c r="S161" t="s">
        <v>30</v>
      </c>
      <c r="T161" t="s">
        <v>29</v>
      </c>
      <c r="U161" s="87">
        <v>5.8226600985221681</v>
      </c>
    </row>
    <row r="162" spans="1:21" x14ac:dyDescent="0.3">
      <c r="A162" t="s">
        <v>9</v>
      </c>
      <c r="B162" t="s">
        <v>864</v>
      </c>
      <c r="C162" s="16" t="s">
        <v>272</v>
      </c>
      <c r="D162" s="16">
        <v>2</v>
      </c>
      <c r="E162" t="s">
        <v>1524</v>
      </c>
      <c r="F162" t="s">
        <v>282</v>
      </c>
      <c r="G162" t="s">
        <v>341</v>
      </c>
      <c r="H162" t="s">
        <v>345</v>
      </c>
      <c r="I162" s="87">
        <v>5.3275862068965516</v>
      </c>
      <c r="K162" t="s">
        <v>45</v>
      </c>
      <c r="L162" t="s">
        <v>48</v>
      </c>
      <c r="M162" t="s">
        <v>20</v>
      </c>
      <c r="N162" t="s">
        <v>12</v>
      </c>
      <c r="O162" s="87">
        <v>4.4039408866995071</v>
      </c>
      <c r="Q162" t="s">
        <v>43</v>
      </c>
      <c r="R162" t="s">
        <v>54</v>
      </c>
      <c r="S162" t="s">
        <v>20</v>
      </c>
      <c r="T162" t="s">
        <v>29</v>
      </c>
      <c r="U162" s="87">
        <v>5.8226600985221681</v>
      </c>
    </row>
    <row r="163" spans="1:21" x14ac:dyDescent="0.3">
      <c r="A163" t="s">
        <v>9</v>
      </c>
      <c r="B163" t="s">
        <v>865</v>
      </c>
      <c r="C163" s="16" t="s">
        <v>272</v>
      </c>
      <c r="D163" s="16">
        <v>2</v>
      </c>
      <c r="E163" t="s">
        <v>1524</v>
      </c>
      <c r="F163" t="s">
        <v>282</v>
      </c>
      <c r="G163" t="s">
        <v>1654</v>
      </c>
      <c r="H163" t="s">
        <v>345</v>
      </c>
      <c r="I163" s="87">
        <v>5.3645320197044333</v>
      </c>
      <c r="K163" t="s">
        <v>9</v>
      </c>
      <c r="L163" t="s">
        <v>56</v>
      </c>
      <c r="M163" t="s">
        <v>14</v>
      </c>
      <c r="N163" t="s">
        <v>12</v>
      </c>
      <c r="O163" s="87">
        <v>6.4187192118226601</v>
      </c>
      <c r="Q163" t="s">
        <v>43</v>
      </c>
      <c r="R163" t="s">
        <v>54</v>
      </c>
      <c r="S163" t="s">
        <v>33</v>
      </c>
      <c r="T163" t="s">
        <v>29</v>
      </c>
      <c r="U163" s="87">
        <v>5.8226600985221681</v>
      </c>
    </row>
    <row r="164" spans="1:21" x14ac:dyDescent="0.3">
      <c r="A164" t="s">
        <v>9</v>
      </c>
      <c r="B164" t="s">
        <v>866</v>
      </c>
      <c r="C164" s="16" t="s">
        <v>272</v>
      </c>
      <c r="D164" s="16">
        <v>2</v>
      </c>
      <c r="E164" t="s">
        <v>1524</v>
      </c>
      <c r="F164" t="s">
        <v>282</v>
      </c>
      <c r="G164" t="s">
        <v>341</v>
      </c>
      <c r="H164" t="s">
        <v>1572</v>
      </c>
      <c r="I164" s="87">
        <v>5.5123152709359609</v>
      </c>
      <c r="K164" t="s">
        <v>9</v>
      </c>
      <c r="L164" t="s">
        <v>56</v>
      </c>
      <c r="M164" t="s">
        <v>15</v>
      </c>
      <c r="N164" t="s">
        <v>12</v>
      </c>
      <c r="O164" s="87">
        <v>5.7906403940886699</v>
      </c>
      <c r="Q164" t="s">
        <v>43</v>
      </c>
      <c r="R164" t="s">
        <v>54</v>
      </c>
      <c r="S164" t="s">
        <v>26</v>
      </c>
      <c r="T164" t="s">
        <v>29</v>
      </c>
      <c r="U164" s="87">
        <v>5.8226600985221681</v>
      </c>
    </row>
    <row r="165" spans="1:21" x14ac:dyDescent="0.3">
      <c r="A165" t="s">
        <v>9</v>
      </c>
      <c r="B165" t="s">
        <v>867</v>
      </c>
      <c r="C165" s="16" t="s">
        <v>272</v>
      </c>
      <c r="D165" s="16">
        <v>2</v>
      </c>
      <c r="E165" t="s">
        <v>1524</v>
      </c>
      <c r="F165" t="s">
        <v>282</v>
      </c>
      <c r="G165" t="s">
        <v>1567</v>
      </c>
      <c r="H165" t="s">
        <v>1572</v>
      </c>
      <c r="I165" s="87">
        <v>5.2709359605911335</v>
      </c>
      <c r="K165" t="s">
        <v>9</v>
      </c>
      <c r="L165" t="s">
        <v>56</v>
      </c>
      <c r="M165" t="s">
        <v>11</v>
      </c>
      <c r="N165" t="s">
        <v>12</v>
      </c>
      <c r="O165" s="87">
        <v>8.1280788177339893</v>
      </c>
      <c r="Q165" t="s">
        <v>43</v>
      </c>
      <c r="R165" t="s">
        <v>54</v>
      </c>
      <c r="S165" t="s">
        <v>22</v>
      </c>
      <c r="T165" t="s">
        <v>29</v>
      </c>
      <c r="U165" s="87">
        <v>5.8226600985221681</v>
      </c>
    </row>
    <row r="166" spans="1:21" x14ac:dyDescent="0.3">
      <c r="A166" t="s">
        <v>45</v>
      </c>
      <c r="B166" t="s">
        <v>868</v>
      </c>
      <c r="C166" s="16" t="s">
        <v>272</v>
      </c>
      <c r="D166" s="16">
        <v>3</v>
      </c>
      <c r="E166" t="s">
        <v>1524</v>
      </c>
      <c r="F166" t="s">
        <v>282</v>
      </c>
      <c r="G166" t="s">
        <v>1567</v>
      </c>
      <c r="H166" t="s">
        <v>344</v>
      </c>
      <c r="I166" s="87">
        <v>3.431034482758621</v>
      </c>
      <c r="K166" t="s">
        <v>9</v>
      </c>
      <c r="L166" t="s">
        <v>56</v>
      </c>
      <c r="M166" t="s">
        <v>16</v>
      </c>
      <c r="N166" t="s">
        <v>12</v>
      </c>
      <c r="O166" s="87">
        <v>4.5714285714285712</v>
      </c>
      <c r="Q166" t="s">
        <v>43</v>
      </c>
      <c r="R166" t="s">
        <v>54</v>
      </c>
      <c r="S166" t="s">
        <v>31</v>
      </c>
      <c r="T166" t="s">
        <v>29</v>
      </c>
      <c r="U166" s="87">
        <v>5.8226600985221681</v>
      </c>
    </row>
    <row r="167" spans="1:21" x14ac:dyDescent="0.3">
      <c r="A167" t="s">
        <v>45</v>
      </c>
      <c r="B167" t="s">
        <v>869</v>
      </c>
      <c r="C167" s="16" t="s">
        <v>272</v>
      </c>
      <c r="D167" s="16">
        <v>3</v>
      </c>
      <c r="E167" t="s">
        <v>1524</v>
      </c>
      <c r="F167" t="s">
        <v>1637</v>
      </c>
      <c r="G167" t="s">
        <v>1566</v>
      </c>
      <c r="H167" t="s">
        <v>1573</v>
      </c>
      <c r="I167" s="87">
        <v>5.7167487684729066</v>
      </c>
      <c r="K167" t="s">
        <v>9</v>
      </c>
      <c r="L167" t="s">
        <v>67</v>
      </c>
      <c r="M167" t="s">
        <v>15</v>
      </c>
      <c r="N167" t="s">
        <v>12</v>
      </c>
      <c r="O167" s="87">
        <v>4.485221674876847</v>
      </c>
      <c r="Q167" t="s">
        <v>43</v>
      </c>
      <c r="R167" t="s">
        <v>54</v>
      </c>
      <c r="S167" t="s">
        <v>27</v>
      </c>
      <c r="T167" t="s">
        <v>29</v>
      </c>
      <c r="U167" s="87">
        <v>5.8226600985221681</v>
      </c>
    </row>
    <row r="168" spans="1:21" x14ac:dyDescent="0.3">
      <c r="A168" t="s">
        <v>45</v>
      </c>
      <c r="B168" t="s">
        <v>870</v>
      </c>
      <c r="C168" s="16" t="s">
        <v>272</v>
      </c>
      <c r="D168" s="16">
        <v>3</v>
      </c>
      <c r="E168" t="s">
        <v>1524</v>
      </c>
      <c r="F168" t="s">
        <v>282</v>
      </c>
      <c r="G168" t="s">
        <v>1566</v>
      </c>
      <c r="H168" t="s">
        <v>1571</v>
      </c>
      <c r="I168" s="87">
        <v>4.8177339901477838</v>
      </c>
      <c r="K168" t="s">
        <v>9</v>
      </c>
      <c r="L168" t="s">
        <v>67</v>
      </c>
      <c r="M168" t="s">
        <v>14</v>
      </c>
      <c r="N168" t="s">
        <v>12</v>
      </c>
      <c r="O168" s="87">
        <v>5.7044334975369457</v>
      </c>
      <c r="Q168" t="s">
        <v>43</v>
      </c>
      <c r="R168" t="s">
        <v>54</v>
      </c>
      <c r="S168" t="s">
        <v>28</v>
      </c>
      <c r="T168" t="s">
        <v>29</v>
      </c>
      <c r="U168" s="87">
        <v>5.8226600985221681</v>
      </c>
    </row>
    <row r="169" spans="1:21" x14ac:dyDescent="0.3">
      <c r="A169" t="s">
        <v>45</v>
      </c>
      <c r="B169" t="s">
        <v>871</v>
      </c>
      <c r="C169" s="16" t="s">
        <v>272</v>
      </c>
      <c r="D169" s="16">
        <v>3</v>
      </c>
      <c r="E169" t="s">
        <v>1524</v>
      </c>
      <c r="F169" t="s">
        <v>282</v>
      </c>
      <c r="G169" t="s">
        <v>1566</v>
      </c>
      <c r="H169" t="s">
        <v>1571</v>
      </c>
      <c r="I169" s="87">
        <v>4.8177339901477838</v>
      </c>
      <c r="K169" t="s">
        <v>9</v>
      </c>
      <c r="L169" t="s">
        <v>67</v>
      </c>
      <c r="M169" t="s">
        <v>11</v>
      </c>
      <c r="N169" t="s">
        <v>12</v>
      </c>
      <c r="O169" s="87">
        <v>5.7044334975369457</v>
      </c>
      <c r="Q169" t="s">
        <v>9</v>
      </c>
      <c r="R169" t="s">
        <v>52</v>
      </c>
      <c r="S169" t="s">
        <v>23</v>
      </c>
      <c r="T169" t="s">
        <v>29</v>
      </c>
      <c r="U169" s="87">
        <v>5.6477832512315267</v>
      </c>
    </row>
    <row r="170" spans="1:21" x14ac:dyDescent="0.3">
      <c r="A170" t="s">
        <v>45</v>
      </c>
      <c r="B170" t="s">
        <v>872</v>
      </c>
      <c r="C170" s="16" t="s">
        <v>272</v>
      </c>
      <c r="D170" s="16">
        <v>3</v>
      </c>
      <c r="E170" t="s">
        <v>1524</v>
      </c>
      <c r="F170" t="s">
        <v>1637</v>
      </c>
      <c r="G170" t="s">
        <v>1566</v>
      </c>
      <c r="H170" t="s">
        <v>1573</v>
      </c>
      <c r="I170" s="87">
        <v>5.7167487684729066</v>
      </c>
      <c r="K170" t="s">
        <v>9</v>
      </c>
      <c r="L170" t="s">
        <v>67</v>
      </c>
      <c r="M170" t="s">
        <v>19</v>
      </c>
      <c r="N170" t="s">
        <v>12</v>
      </c>
      <c r="O170" s="87">
        <v>5.7906403940886699</v>
      </c>
      <c r="Q170" t="s">
        <v>9</v>
      </c>
      <c r="R170" t="s">
        <v>52</v>
      </c>
      <c r="S170" t="s">
        <v>21</v>
      </c>
      <c r="T170" t="s">
        <v>29</v>
      </c>
      <c r="U170" s="87">
        <v>5.6551724137931032</v>
      </c>
    </row>
    <row r="171" spans="1:21" x14ac:dyDescent="0.3">
      <c r="A171" t="s">
        <v>45</v>
      </c>
      <c r="B171" t="s">
        <v>873</v>
      </c>
      <c r="C171" s="16" t="s">
        <v>272</v>
      </c>
      <c r="D171" s="16">
        <v>3</v>
      </c>
      <c r="E171" t="s">
        <v>1524</v>
      </c>
      <c r="F171" t="s">
        <v>1637</v>
      </c>
      <c r="G171" t="s">
        <v>1566</v>
      </c>
      <c r="H171" t="s">
        <v>1573</v>
      </c>
      <c r="I171" s="87">
        <v>5.7167487684729066</v>
      </c>
      <c r="K171" t="s">
        <v>9</v>
      </c>
      <c r="L171" t="s">
        <v>67</v>
      </c>
      <c r="M171" t="s">
        <v>17</v>
      </c>
      <c r="N171" t="s">
        <v>12</v>
      </c>
      <c r="O171" s="87">
        <v>4.485221674876847</v>
      </c>
      <c r="Q171" t="s">
        <v>9</v>
      </c>
      <c r="R171" t="s">
        <v>52</v>
      </c>
      <c r="S171" t="s">
        <v>19</v>
      </c>
      <c r="T171" t="s">
        <v>29</v>
      </c>
      <c r="U171" s="87">
        <v>5.6059113300492616</v>
      </c>
    </row>
    <row r="172" spans="1:21" x14ac:dyDescent="0.3">
      <c r="A172" t="s">
        <v>45</v>
      </c>
      <c r="B172" t="s">
        <v>874</v>
      </c>
      <c r="C172" s="16" t="s">
        <v>272</v>
      </c>
      <c r="D172" s="16">
        <v>3</v>
      </c>
      <c r="E172" t="s">
        <v>1524</v>
      </c>
      <c r="F172" t="s">
        <v>282</v>
      </c>
      <c r="G172" t="s">
        <v>1566</v>
      </c>
      <c r="H172" t="s">
        <v>344</v>
      </c>
      <c r="I172" s="87">
        <v>3.5985221674876851</v>
      </c>
      <c r="K172" t="s">
        <v>9</v>
      </c>
      <c r="L172" t="s">
        <v>67</v>
      </c>
      <c r="M172" t="s">
        <v>16</v>
      </c>
      <c r="N172" t="s">
        <v>12</v>
      </c>
      <c r="O172" s="87">
        <v>4.485221674876847</v>
      </c>
      <c r="Q172" t="s">
        <v>9</v>
      </c>
      <c r="R172" t="s">
        <v>52</v>
      </c>
      <c r="S172" t="s">
        <v>17</v>
      </c>
      <c r="T172" t="s">
        <v>29</v>
      </c>
      <c r="U172" s="87">
        <v>5.7660098522167491</v>
      </c>
    </row>
    <row r="173" spans="1:21" x14ac:dyDescent="0.3">
      <c r="A173" t="s">
        <v>45</v>
      </c>
      <c r="B173" t="s">
        <v>875</v>
      </c>
      <c r="C173" s="16" t="s">
        <v>272</v>
      </c>
      <c r="D173" s="16">
        <v>2</v>
      </c>
      <c r="E173" t="s">
        <v>1524</v>
      </c>
      <c r="F173" t="s">
        <v>282</v>
      </c>
      <c r="G173" t="s">
        <v>1566</v>
      </c>
      <c r="H173" t="s">
        <v>344</v>
      </c>
      <c r="I173" s="87">
        <v>4.2438423645320196</v>
      </c>
      <c r="K173" t="s">
        <v>43</v>
      </c>
      <c r="L173" t="s">
        <v>44</v>
      </c>
      <c r="M173" t="s">
        <v>15</v>
      </c>
      <c r="N173" t="s">
        <v>12</v>
      </c>
      <c r="O173" s="87">
        <v>5.6059113300492616</v>
      </c>
      <c r="Q173" t="s">
        <v>9</v>
      </c>
      <c r="R173" t="s">
        <v>52</v>
      </c>
      <c r="S173" t="s">
        <v>20</v>
      </c>
      <c r="T173" t="s">
        <v>29</v>
      </c>
      <c r="U173" s="87">
        <v>5.6724137931034484</v>
      </c>
    </row>
    <row r="174" spans="1:21" x14ac:dyDescent="0.3">
      <c r="A174" t="s">
        <v>45</v>
      </c>
      <c r="B174" t="s">
        <v>876</v>
      </c>
      <c r="C174" s="16" t="s">
        <v>272</v>
      </c>
      <c r="D174" s="16">
        <v>2</v>
      </c>
      <c r="E174" t="s">
        <v>1524</v>
      </c>
      <c r="F174" t="s">
        <v>282</v>
      </c>
      <c r="G174" t="s">
        <v>1566</v>
      </c>
      <c r="H174" t="s">
        <v>344</v>
      </c>
      <c r="I174" s="87">
        <v>4.2438423645320196</v>
      </c>
      <c r="K174" t="s">
        <v>43</v>
      </c>
      <c r="L174" t="s">
        <v>44</v>
      </c>
      <c r="M174" t="s">
        <v>14</v>
      </c>
      <c r="N174" t="s">
        <v>12</v>
      </c>
      <c r="O174" s="87">
        <v>5.6059113300492616</v>
      </c>
      <c r="Q174" t="s">
        <v>9</v>
      </c>
      <c r="R174" t="s">
        <v>52</v>
      </c>
      <c r="S174" t="s">
        <v>22</v>
      </c>
      <c r="T174" t="s">
        <v>29</v>
      </c>
      <c r="U174" s="87">
        <v>5.6477832512315267</v>
      </c>
    </row>
    <row r="175" spans="1:21" x14ac:dyDescent="0.3">
      <c r="A175" t="s">
        <v>45</v>
      </c>
      <c r="B175" t="s">
        <v>877</v>
      </c>
      <c r="C175" s="16" t="s">
        <v>272</v>
      </c>
      <c r="D175" s="16">
        <v>3</v>
      </c>
      <c r="E175" t="s">
        <v>1524</v>
      </c>
      <c r="F175" t="s">
        <v>282</v>
      </c>
      <c r="G175" t="s">
        <v>1566</v>
      </c>
      <c r="H175" t="s">
        <v>1573</v>
      </c>
      <c r="I175" s="87">
        <v>4.7684729064039413</v>
      </c>
      <c r="K175" t="s">
        <v>43</v>
      </c>
      <c r="L175" t="s">
        <v>44</v>
      </c>
      <c r="M175" t="s">
        <v>11</v>
      </c>
      <c r="N175" t="s">
        <v>12</v>
      </c>
      <c r="O175" s="87">
        <v>5.6305418719211824</v>
      </c>
      <c r="Q175" t="s">
        <v>43</v>
      </c>
      <c r="R175" t="s">
        <v>69</v>
      </c>
      <c r="S175" t="s">
        <v>25</v>
      </c>
      <c r="T175" t="s">
        <v>29</v>
      </c>
      <c r="U175" s="87">
        <v>6.4359605911330044</v>
      </c>
    </row>
    <row r="176" spans="1:21" x14ac:dyDescent="0.3">
      <c r="A176" t="s">
        <v>45</v>
      </c>
      <c r="B176" t="s">
        <v>878</v>
      </c>
      <c r="C176" s="16" t="s">
        <v>272</v>
      </c>
      <c r="D176" s="16">
        <v>3</v>
      </c>
      <c r="E176" t="s">
        <v>1524</v>
      </c>
      <c r="F176" t="s">
        <v>1637</v>
      </c>
      <c r="G176" t="s">
        <v>1566</v>
      </c>
      <c r="H176" t="s">
        <v>1573</v>
      </c>
      <c r="I176" s="87">
        <v>5.7167487684729066</v>
      </c>
      <c r="K176" t="s">
        <v>43</v>
      </c>
      <c r="L176" t="s">
        <v>44</v>
      </c>
      <c r="M176" t="s">
        <v>19</v>
      </c>
      <c r="N176" t="s">
        <v>12</v>
      </c>
      <c r="O176" s="87">
        <v>4.4408866995073897</v>
      </c>
      <c r="Q176" t="s">
        <v>43</v>
      </c>
      <c r="R176" t="s">
        <v>69</v>
      </c>
      <c r="S176" t="s">
        <v>24</v>
      </c>
      <c r="T176" t="s">
        <v>29</v>
      </c>
      <c r="U176" s="87">
        <v>6.4359605911330044</v>
      </c>
    </row>
    <row r="177" spans="1:21" x14ac:dyDescent="0.3">
      <c r="A177" t="s">
        <v>45</v>
      </c>
      <c r="B177" t="s">
        <v>879</v>
      </c>
      <c r="C177" s="16" t="s">
        <v>272</v>
      </c>
      <c r="D177" s="16">
        <v>3</v>
      </c>
      <c r="E177" t="s">
        <v>1524</v>
      </c>
      <c r="F177" t="s">
        <v>1637</v>
      </c>
      <c r="G177" t="s">
        <v>1566</v>
      </c>
      <c r="H177" t="s">
        <v>1573</v>
      </c>
      <c r="I177" s="87">
        <v>5.7167487684729066</v>
      </c>
      <c r="K177" t="s">
        <v>43</v>
      </c>
      <c r="L177" t="s">
        <v>44</v>
      </c>
      <c r="M177" t="s">
        <v>17</v>
      </c>
      <c r="N177" t="s">
        <v>12</v>
      </c>
      <c r="O177" s="87">
        <v>4.9285714285714288</v>
      </c>
      <c r="Q177" t="s">
        <v>43</v>
      </c>
      <c r="R177" t="s">
        <v>69</v>
      </c>
      <c r="S177" t="s">
        <v>32</v>
      </c>
      <c r="T177" t="s">
        <v>29</v>
      </c>
      <c r="U177" s="87">
        <v>5.7044334975369466</v>
      </c>
    </row>
    <row r="178" spans="1:21" x14ac:dyDescent="0.3">
      <c r="A178" t="s">
        <v>45</v>
      </c>
      <c r="B178" t="s">
        <v>880</v>
      </c>
      <c r="C178" s="16" t="s">
        <v>272</v>
      </c>
      <c r="D178" s="16">
        <v>3</v>
      </c>
      <c r="E178" t="s">
        <v>1524</v>
      </c>
      <c r="F178" t="s">
        <v>1534</v>
      </c>
      <c r="G178" t="s">
        <v>1566</v>
      </c>
      <c r="H178" t="s">
        <v>344</v>
      </c>
      <c r="I178" s="87">
        <v>4.5467980295566504</v>
      </c>
      <c r="K178" t="s">
        <v>43</v>
      </c>
      <c r="L178" t="s">
        <v>44</v>
      </c>
      <c r="M178" t="s">
        <v>16</v>
      </c>
      <c r="N178" t="s">
        <v>12</v>
      </c>
      <c r="O178" s="87">
        <v>4.3177339901477829</v>
      </c>
      <c r="Q178" t="s">
        <v>43</v>
      </c>
      <c r="R178" t="s">
        <v>69</v>
      </c>
      <c r="S178" t="s">
        <v>30</v>
      </c>
      <c r="T178" t="s">
        <v>29</v>
      </c>
      <c r="U178" s="87">
        <v>4.4285714285714288</v>
      </c>
    </row>
    <row r="179" spans="1:21" x14ac:dyDescent="0.3">
      <c r="A179" t="s">
        <v>45</v>
      </c>
      <c r="B179" t="s">
        <v>881</v>
      </c>
      <c r="C179" s="16" t="s">
        <v>272</v>
      </c>
      <c r="D179" s="16">
        <v>3</v>
      </c>
      <c r="E179" t="s">
        <v>1524</v>
      </c>
      <c r="F179" t="s">
        <v>1534</v>
      </c>
      <c r="G179" t="s">
        <v>1567</v>
      </c>
      <c r="H179" t="s">
        <v>344</v>
      </c>
      <c r="I179" s="87">
        <v>4.3793103448275863</v>
      </c>
      <c r="K179" t="s">
        <v>43</v>
      </c>
      <c r="L179" t="s">
        <v>44</v>
      </c>
      <c r="M179" t="s">
        <v>20</v>
      </c>
      <c r="N179" t="s">
        <v>12</v>
      </c>
      <c r="O179" s="87">
        <v>4.4408866995073897</v>
      </c>
      <c r="Q179" t="s">
        <v>43</v>
      </c>
      <c r="R179" t="s">
        <v>69</v>
      </c>
      <c r="S179" t="s">
        <v>34</v>
      </c>
      <c r="T179" t="s">
        <v>29</v>
      </c>
      <c r="U179" s="87">
        <v>4.583743842364532</v>
      </c>
    </row>
    <row r="180" spans="1:21" x14ac:dyDescent="0.3">
      <c r="A180" t="s">
        <v>45</v>
      </c>
      <c r="B180" t="s">
        <v>882</v>
      </c>
      <c r="C180" s="16" t="s">
        <v>272</v>
      </c>
      <c r="D180" s="16">
        <v>3</v>
      </c>
      <c r="E180" t="s">
        <v>1524</v>
      </c>
      <c r="F180" t="s">
        <v>1658</v>
      </c>
      <c r="G180" t="s">
        <v>1566</v>
      </c>
      <c r="H180" t="s">
        <v>1573</v>
      </c>
      <c r="I180" s="87">
        <v>5.7660098522167491</v>
      </c>
      <c r="K180" t="s">
        <v>45</v>
      </c>
      <c r="L180" t="s">
        <v>75</v>
      </c>
      <c r="M180" t="s">
        <v>15</v>
      </c>
      <c r="N180" t="s">
        <v>12</v>
      </c>
      <c r="O180" s="87">
        <v>5.2290640394088674</v>
      </c>
      <c r="Q180" t="s">
        <v>43</v>
      </c>
      <c r="R180" t="s">
        <v>69</v>
      </c>
      <c r="S180" t="s">
        <v>36</v>
      </c>
      <c r="T180" t="s">
        <v>29</v>
      </c>
      <c r="U180" s="87">
        <v>5.7857142857142865</v>
      </c>
    </row>
    <row r="181" spans="1:21" x14ac:dyDescent="0.3">
      <c r="A181" t="s">
        <v>45</v>
      </c>
      <c r="B181" t="s">
        <v>883</v>
      </c>
      <c r="C181" s="16" t="s">
        <v>272</v>
      </c>
      <c r="D181" s="16">
        <v>3</v>
      </c>
      <c r="E181" t="s">
        <v>1524</v>
      </c>
      <c r="F181" t="s">
        <v>1540</v>
      </c>
      <c r="G181" t="s">
        <v>1566</v>
      </c>
      <c r="H181" t="s">
        <v>1574</v>
      </c>
      <c r="I181" s="87">
        <v>5.5935960591133007</v>
      </c>
      <c r="K181" t="s">
        <v>45</v>
      </c>
      <c r="L181" t="s">
        <v>75</v>
      </c>
      <c r="M181" t="s">
        <v>14</v>
      </c>
      <c r="N181" t="s">
        <v>12</v>
      </c>
      <c r="O181" s="87">
        <v>4.5665024630541877</v>
      </c>
      <c r="Q181" t="s">
        <v>43</v>
      </c>
      <c r="R181" t="s">
        <v>69</v>
      </c>
      <c r="S181" t="s">
        <v>33</v>
      </c>
      <c r="T181" t="s">
        <v>29</v>
      </c>
      <c r="U181" s="87">
        <v>4.5960591133004929</v>
      </c>
    </row>
    <row r="182" spans="1:21" x14ac:dyDescent="0.3">
      <c r="A182" t="s">
        <v>45</v>
      </c>
      <c r="B182" t="s">
        <v>884</v>
      </c>
      <c r="C182" s="16" t="s">
        <v>272</v>
      </c>
      <c r="D182" s="16">
        <v>3</v>
      </c>
      <c r="E182" t="s">
        <v>1524</v>
      </c>
      <c r="F182" t="s">
        <v>1658</v>
      </c>
      <c r="G182" t="s">
        <v>1566</v>
      </c>
      <c r="H182" t="s">
        <v>1574</v>
      </c>
      <c r="I182" s="87">
        <v>5.7044334975369466</v>
      </c>
      <c r="K182" t="s">
        <v>45</v>
      </c>
      <c r="L182" t="s">
        <v>75</v>
      </c>
      <c r="M182" t="s">
        <v>11</v>
      </c>
      <c r="N182" t="s">
        <v>12</v>
      </c>
      <c r="O182" s="87">
        <v>5.2290640394088674</v>
      </c>
      <c r="Q182" t="s">
        <v>43</v>
      </c>
      <c r="R182" t="s">
        <v>69</v>
      </c>
      <c r="S182" t="s">
        <v>26</v>
      </c>
      <c r="T182" t="s">
        <v>29</v>
      </c>
      <c r="U182" s="87">
        <v>6.4359605911330044</v>
      </c>
    </row>
    <row r="183" spans="1:21" x14ac:dyDescent="0.3">
      <c r="A183" t="s">
        <v>45</v>
      </c>
      <c r="B183" t="s">
        <v>885</v>
      </c>
      <c r="C183" s="16" t="s">
        <v>272</v>
      </c>
      <c r="D183" s="16">
        <v>3</v>
      </c>
      <c r="E183" t="s">
        <v>1524</v>
      </c>
      <c r="F183" t="s">
        <v>1534</v>
      </c>
      <c r="G183" t="s">
        <v>341</v>
      </c>
      <c r="H183" t="s">
        <v>344</v>
      </c>
      <c r="I183" s="87">
        <v>4.6206896551724137</v>
      </c>
      <c r="K183" t="s">
        <v>45</v>
      </c>
      <c r="L183" t="s">
        <v>75</v>
      </c>
      <c r="M183" t="s">
        <v>19</v>
      </c>
      <c r="N183" t="s">
        <v>12</v>
      </c>
      <c r="O183" s="87">
        <v>5.5123152709359609</v>
      </c>
      <c r="Q183" t="s">
        <v>43</v>
      </c>
      <c r="R183" t="s">
        <v>69</v>
      </c>
      <c r="S183" t="s">
        <v>31</v>
      </c>
      <c r="T183" t="s">
        <v>29</v>
      </c>
      <c r="U183" s="87">
        <v>4.4285714285714288</v>
      </c>
    </row>
    <row r="184" spans="1:21" x14ac:dyDescent="0.3">
      <c r="A184" t="s">
        <v>45</v>
      </c>
      <c r="B184" t="s">
        <v>886</v>
      </c>
      <c r="C184" s="16" t="s">
        <v>272</v>
      </c>
      <c r="D184" s="16">
        <v>3</v>
      </c>
      <c r="E184" t="s">
        <v>1524</v>
      </c>
      <c r="F184" t="s">
        <v>1534</v>
      </c>
      <c r="G184" t="s">
        <v>1567</v>
      </c>
      <c r="H184" t="s">
        <v>344</v>
      </c>
      <c r="I184" s="87">
        <v>4.3793103448275863</v>
      </c>
      <c r="K184" t="s">
        <v>45</v>
      </c>
      <c r="L184" t="s">
        <v>75</v>
      </c>
      <c r="M184" t="s">
        <v>17</v>
      </c>
      <c r="N184" t="s">
        <v>12</v>
      </c>
      <c r="O184" s="87">
        <v>5.2290640394088674</v>
      </c>
      <c r="Q184" t="s">
        <v>43</v>
      </c>
      <c r="R184" t="s">
        <v>69</v>
      </c>
      <c r="S184" t="s">
        <v>27</v>
      </c>
      <c r="T184" t="s">
        <v>29</v>
      </c>
      <c r="U184" s="87">
        <v>6.4187192118226601</v>
      </c>
    </row>
    <row r="185" spans="1:21" x14ac:dyDescent="0.3">
      <c r="A185" t="s">
        <v>45</v>
      </c>
      <c r="B185" t="s">
        <v>887</v>
      </c>
      <c r="C185" s="16" t="s">
        <v>272</v>
      </c>
      <c r="D185" s="16">
        <v>3</v>
      </c>
      <c r="E185" t="s">
        <v>1524</v>
      </c>
      <c r="F185" t="s">
        <v>1658</v>
      </c>
      <c r="G185" t="s">
        <v>341</v>
      </c>
      <c r="H185" t="s">
        <v>344</v>
      </c>
      <c r="I185" s="87">
        <v>4.6699507389162562</v>
      </c>
      <c r="K185" t="s">
        <v>45</v>
      </c>
      <c r="L185" t="s">
        <v>75</v>
      </c>
      <c r="M185" t="s">
        <v>16</v>
      </c>
      <c r="N185" t="s">
        <v>12</v>
      </c>
      <c r="O185" s="87">
        <v>5.5123152709359609</v>
      </c>
      <c r="Q185" t="s">
        <v>43</v>
      </c>
      <c r="R185" t="s">
        <v>69</v>
      </c>
      <c r="S185" t="s">
        <v>28</v>
      </c>
      <c r="T185" t="s">
        <v>29</v>
      </c>
      <c r="U185" s="87">
        <v>3.431034482758621</v>
      </c>
    </row>
    <row r="186" spans="1:21" x14ac:dyDescent="0.3">
      <c r="A186" t="s">
        <v>45</v>
      </c>
      <c r="B186" t="s">
        <v>888</v>
      </c>
      <c r="C186" s="16" t="s">
        <v>272</v>
      </c>
      <c r="D186" s="16">
        <v>3</v>
      </c>
      <c r="E186" t="s">
        <v>1524</v>
      </c>
      <c r="F186" t="s">
        <v>1534</v>
      </c>
      <c r="G186" t="s">
        <v>1567</v>
      </c>
      <c r="H186" t="s">
        <v>344</v>
      </c>
      <c r="I186" s="87">
        <v>4.3793103448275863</v>
      </c>
      <c r="K186" t="s">
        <v>45</v>
      </c>
      <c r="L186" t="s">
        <v>75</v>
      </c>
      <c r="M186" t="s">
        <v>20</v>
      </c>
      <c r="N186" t="s">
        <v>12</v>
      </c>
      <c r="O186" s="87">
        <v>5.2290640394088674</v>
      </c>
      <c r="Q186" t="s">
        <v>43</v>
      </c>
      <c r="R186" t="s">
        <v>69</v>
      </c>
      <c r="S186" t="s">
        <v>35</v>
      </c>
      <c r="T186" t="s">
        <v>29</v>
      </c>
      <c r="U186" s="87">
        <v>4.5714285714285712</v>
      </c>
    </row>
    <row r="187" spans="1:21" x14ac:dyDescent="0.3">
      <c r="A187" t="s">
        <v>45</v>
      </c>
      <c r="B187" t="s">
        <v>889</v>
      </c>
      <c r="C187" s="16" t="s">
        <v>272</v>
      </c>
      <c r="D187" s="16">
        <v>3</v>
      </c>
      <c r="E187" t="s">
        <v>1524</v>
      </c>
      <c r="F187" t="s">
        <v>1658</v>
      </c>
      <c r="G187" t="s">
        <v>1566</v>
      </c>
      <c r="H187" t="s">
        <v>1573</v>
      </c>
      <c r="I187" s="87">
        <v>5.7660098522167491</v>
      </c>
      <c r="K187" t="s">
        <v>43</v>
      </c>
      <c r="L187" t="s">
        <v>71</v>
      </c>
      <c r="M187" t="s">
        <v>14</v>
      </c>
      <c r="N187" t="s">
        <v>12</v>
      </c>
      <c r="O187" s="87">
        <v>4.4778325123152714</v>
      </c>
      <c r="Q187" t="s">
        <v>45</v>
      </c>
      <c r="R187" t="s">
        <v>48</v>
      </c>
      <c r="S187" t="s">
        <v>23</v>
      </c>
      <c r="T187" t="s">
        <v>29</v>
      </c>
      <c r="U187" s="87">
        <v>5.889162561576355</v>
      </c>
    </row>
    <row r="188" spans="1:21" x14ac:dyDescent="0.3">
      <c r="A188" t="s">
        <v>43</v>
      </c>
      <c r="B188" t="s">
        <v>890</v>
      </c>
      <c r="C188" s="16" t="s">
        <v>272</v>
      </c>
      <c r="D188" s="16">
        <v>3</v>
      </c>
      <c r="E188" t="s">
        <v>1524</v>
      </c>
      <c r="F188" t="s">
        <v>282</v>
      </c>
      <c r="G188" t="s">
        <v>1567</v>
      </c>
      <c r="H188" t="s">
        <v>344</v>
      </c>
      <c r="I188" s="87">
        <v>3.431034482758621</v>
      </c>
      <c r="K188" t="s">
        <v>43</v>
      </c>
      <c r="L188" t="s">
        <v>71</v>
      </c>
      <c r="M188" t="s">
        <v>11</v>
      </c>
      <c r="N188" t="s">
        <v>12</v>
      </c>
      <c r="O188" s="87">
        <v>4.4778325123152714</v>
      </c>
      <c r="Q188" t="s">
        <v>45</v>
      </c>
      <c r="R188" t="s">
        <v>48</v>
      </c>
      <c r="S188" t="s">
        <v>25</v>
      </c>
      <c r="T188" t="s">
        <v>29</v>
      </c>
      <c r="U188" s="87">
        <v>5.8596059113300498</v>
      </c>
    </row>
    <row r="189" spans="1:21" x14ac:dyDescent="0.3">
      <c r="A189" t="s">
        <v>43</v>
      </c>
      <c r="B189" t="s">
        <v>891</v>
      </c>
      <c r="C189" s="16" t="s">
        <v>273</v>
      </c>
      <c r="D189" s="16">
        <v>2</v>
      </c>
      <c r="E189" t="s">
        <v>1525</v>
      </c>
      <c r="F189" t="s">
        <v>282</v>
      </c>
      <c r="G189" t="s">
        <v>1568</v>
      </c>
      <c r="H189" t="s">
        <v>344</v>
      </c>
      <c r="I189" s="87">
        <v>7.3596059113300489</v>
      </c>
      <c r="K189" t="s">
        <v>9</v>
      </c>
      <c r="L189" t="s">
        <v>74</v>
      </c>
      <c r="M189" t="s">
        <v>15</v>
      </c>
      <c r="N189" t="s">
        <v>12</v>
      </c>
      <c r="O189" s="87">
        <v>5.6798029556650249</v>
      </c>
      <c r="Q189" t="s">
        <v>45</v>
      </c>
      <c r="R189" t="s">
        <v>48</v>
      </c>
      <c r="S189" t="s">
        <v>24</v>
      </c>
      <c r="T189" t="s">
        <v>29</v>
      </c>
      <c r="U189" s="87">
        <v>5.5</v>
      </c>
    </row>
    <row r="190" spans="1:21" x14ac:dyDescent="0.3">
      <c r="A190" t="s">
        <v>43</v>
      </c>
      <c r="B190" t="s">
        <v>892</v>
      </c>
      <c r="C190" s="16" t="s">
        <v>272</v>
      </c>
      <c r="D190" s="16">
        <v>3</v>
      </c>
      <c r="E190" t="s">
        <v>1524</v>
      </c>
      <c r="F190" t="s">
        <v>282</v>
      </c>
      <c r="G190" t="s">
        <v>1567</v>
      </c>
      <c r="H190" t="s">
        <v>344</v>
      </c>
      <c r="I190" s="87">
        <v>3.431034482758621</v>
      </c>
      <c r="K190" t="s">
        <v>9</v>
      </c>
      <c r="L190" t="s">
        <v>74</v>
      </c>
      <c r="M190" t="s">
        <v>14</v>
      </c>
      <c r="N190" t="s">
        <v>12</v>
      </c>
      <c r="O190" s="87">
        <v>5.6921182266009858</v>
      </c>
      <c r="Q190" t="s">
        <v>45</v>
      </c>
      <c r="R190" t="s">
        <v>48</v>
      </c>
      <c r="S190" t="s">
        <v>21</v>
      </c>
      <c r="T190" t="s">
        <v>29</v>
      </c>
      <c r="U190" s="87">
        <v>4.3916256157635472</v>
      </c>
    </row>
    <row r="191" spans="1:21" x14ac:dyDescent="0.3">
      <c r="A191" t="s">
        <v>43</v>
      </c>
      <c r="B191" t="s">
        <v>893</v>
      </c>
      <c r="C191" s="16" t="s">
        <v>272</v>
      </c>
      <c r="D191" s="16">
        <v>3</v>
      </c>
      <c r="E191" t="s">
        <v>1524</v>
      </c>
      <c r="F191" t="s">
        <v>282</v>
      </c>
      <c r="G191" t="s">
        <v>1567</v>
      </c>
      <c r="H191" t="s">
        <v>377</v>
      </c>
      <c r="I191" s="87">
        <v>4.6256157635467989</v>
      </c>
      <c r="K191" t="s">
        <v>9</v>
      </c>
      <c r="L191" t="s">
        <v>74</v>
      </c>
      <c r="M191" t="s">
        <v>11</v>
      </c>
      <c r="N191" t="s">
        <v>12</v>
      </c>
      <c r="O191" s="87">
        <v>4.8497536945812811</v>
      </c>
      <c r="Q191" t="s">
        <v>45</v>
      </c>
      <c r="R191" t="s">
        <v>48</v>
      </c>
      <c r="S191" t="s">
        <v>30</v>
      </c>
      <c r="T191" t="s">
        <v>29</v>
      </c>
      <c r="U191" s="87">
        <v>6.5221674876847286</v>
      </c>
    </row>
    <row r="192" spans="1:21" x14ac:dyDescent="0.3">
      <c r="A192" t="s">
        <v>43</v>
      </c>
      <c r="B192" t="s">
        <v>894</v>
      </c>
      <c r="C192" s="16" t="s">
        <v>272</v>
      </c>
      <c r="D192" s="16">
        <v>3</v>
      </c>
      <c r="E192" t="s">
        <v>1524</v>
      </c>
      <c r="F192" t="s">
        <v>282</v>
      </c>
      <c r="G192" t="s">
        <v>1566</v>
      </c>
      <c r="H192" t="s">
        <v>291</v>
      </c>
      <c r="I192" s="87">
        <v>4.6453201970443354</v>
      </c>
      <c r="K192" t="s">
        <v>9</v>
      </c>
      <c r="L192" t="s">
        <v>74</v>
      </c>
      <c r="M192" t="s">
        <v>17</v>
      </c>
      <c r="N192" t="s">
        <v>12</v>
      </c>
      <c r="O192" s="87">
        <v>4.6403940886699511</v>
      </c>
      <c r="Q192" t="s">
        <v>45</v>
      </c>
      <c r="R192" t="s">
        <v>48</v>
      </c>
      <c r="S192" t="s">
        <v>26</v>
      </c>
      <c r="T192" t="s">
        <v>29</v>
      </c>
      <c r="U192" s="87">
        <v>9.2290640394088665</v>
      </c>
    </row>
    <row r="193" spans="1:21" x14ac:dyDescent="0.3">
      <c r="A193" t="s">
        <v>43</v>
      </c>
      <c r="B193" t="s">
        <v>895</v>
      </c>
      <c r="C193" s="16" t="s">
        <v>272</v>
      </c>
      <c r="D193" s="16">
        <v>2</v>
      </c>
      <c r="E193" t="s">
        <v>1524</v>
      </c>
      <c r="F193" t="s">
        <v>282</v>
      </c>
      <c r="G193" t="s">
        <v>341</v>
      </c>
      <c r="H193" t="s">
        <v>377</v>
      </c>
      <c r="I193" s="87">
        <v>5.5123152709359609</v>
      </c>
      <c r="K193" t="s">
        <v>9</v>
      </c>
      <c r="L193" t="s">
        <v>74</v>
      </c>
      <c r="M193" t="s">
        <v>16</v>
      </c>
      <c r="N193" t="s">
        <v>12</v>
      </c>
      <c r="O193" s="87">
        <v>4.6403940886699511</v>
      </c>
      <c r="Q193" t="s">
        <v>45</v>
      </c>
      <c r="R193" t="s">
        <v>48</v>
      </c>
      <c r="S193" t="s">
        <v>22</v>
      </c>
      <c r="T193" t="s">
        <v>29</v>
      </c>
      <c r="U193" s="87">
        <v>5.5</v>
      </c>
    </row>
    <row r="194" spans="1:21" x14ac:dyDescent="0.3">
      <c r="A194" t="s">
        <v>43</v>
      </c>
      <c r="B194" t="s">
        <v>896</v>
      </c>
      <c r="C194" s="16" t="s">
        <v>273</v>
      </c>
      <c r="D194" s="16">
        <v>2</v>
      </c>
      <c r="E194" t="s">
        <v>1525</v>
      </c>
      <c r="F194" t="s">
        <v>282</v>
      </c>
      <c r="G194" t="s">
        <v>1568</v>
      </c>
      <c r="H194" t="s">
        <v>344</v>
      </c>
      <c r="I194" s="87">
        <v>7.3596059113300489</v>
      </c>
      <c r="K194" t="s">
        <v>45</v>
      </c>
      <c r="L194" t="s">
        <v>51</v>
      </c>
      <c r="M194" t="s">
        <v>15</v>
      </c>
      <c r="N194" t="s">
        <v>12</v>
      </c>
      <c r="O194" s="87">
        <v>3.431034482758621</v>
      </c>
      <c r="Q194" t="s">
        <v>45</v>
      </c>
      <c r="R194" t="s">
        <v>48</v>
      </c>
      <c r="S194" t="s">
        <v>31</v>
      </c>
      <c r="T194" t="s">
        <v>29</v>
      </c>
      <c r="U194" s="87">
        <v>6.5221674876847286</v>
      </c>
    </row>
    <row r="195" spans="1:21" x14ac:dyDescent="0.3">
      <c r="A195" t="s">
        <v>43</v>
      </c>
      <c r="B195" t="s">
        <v>897</v>
      </c>
      <c r="C195" s="16" t="s">
        <v>272</v>
      </c>
      <c r="D195" s="16">
        <v>3</v>
      </c>
      <c r="E195" t="s">
        <v>1524</v>
      </c>
      <c r="F195" t="s">
        <v>282</v>
      </c>
      <c r="G195" t="s">
        <v>1567</v>
      </c>
      <c r="H195" t="s">
        <v>377</v>
      </c>
      <c r="I195" s="87">
        <v>4.6256157635467989</v>
      </c>
      <c r="K195" t="s">
        <v>45</v>
      </c>
      <c r="L195" t="s">
        <v>51</v>
      </c>
      <c r="M195" t="s">
        <v>14</v>
      </c>
      <c r="N195" t="s">
        <v>12</v>
      </c>
      <c r="O195" s="87">
        <v>3.431034482758621</v>
      </c>
      <c r="Q195" t="s">
        <v>45</v>
      </c>
      <c r="R195" t="s">
        <v>48</v>
      </c>
      <c r="S195" t="s">
        <v>27</v>
      </c>
      <c r="T195" t="s">
        <v>29</v>
      </c>
      <c r="U195" s="87">
        <v>8.1083743842364537</v>
      </c>
    </row>
    <row r="196" spans="1:21" x14ac:dyDescent="0.3">
      <c r="A196" t="s">
        <v>43</v>
      </c>
      <c r="B196" t="s">
        <v>898</v>
      </c>
      <c r="C196" s="16" t="s">
        <v>272</v>
      </c>
      <c r="D196" s="16">
        <v>3</v>
      </c>
      <c r="E196" t="s">
        <v>1524</v>
      </c>
      <c r="F196" t="s">
        <v>282</v>
      </c>
      <c r="G196" t="s">
        <v>1567</v>
      </c>
      <c r="H196" t="s">
        <v>377</v>
      </c>
      <c r="I196" s="87">
        <v>4.6256157635467989</v>
      </c>
      <c r="K196" t="s">
        <v>45</v>
      </c>
      <c r="L196" t="s">
        <v>51</v>
      </c>
      <c r="M196" t="s">
        <v>11</v>
      </c>
      <c r="N196" t="s">
        <v>12</v>
      </c>
      <c r="O196" s="87">
        <v>3.431034482758621</v>
      </c>
      <c r="Q196" t="s">
        <v>45</v>
      </c>
      <c r="R196" t="s">
        <v>48</v>
      </c>
      <c r="S196" t="s">
        <v>28</v>
      </c>
      <c r="T196" t="s">
        <v>29</v>
      </c>
      <c r="U196" s="87">
        <v>7.1674876847290641</v>
      </c>
    </row>
    <row r="197" spans="1:21" x14ac:dyDescent="0.3">
      <c r="A197" t="s">
        <v>43</v>
      </c>
      <c r="B197" t="s">
        <v>899</v>
      </c>
      <c r="C197" s="16" t="s">
        <v>272</v>
      </c>
      <c r="D197" s="16">
        <v>3</v>
      </c>
      <c r="E197" t="s">
        <v>1524</v>
      </c>
      <c r="F197" t="s">
        <v>282</v>
      </c>
      <c r="G197" t="s">
        <v>1567</v>
      </c>
      <c r="H197" t="s">
        <v>344</v>
      </c>
      <c r="I197" s="87">
        <v>3.431034482758621</v>
      </c>
      <c r="K197" t="s">
        <v>45</v>
      </c>
      <c r="L197" t="s">
        <v>51</v>
      </c>
      <c r="M197" t="s">
        <v>21</v>
      </c>
      <c r="N197" t="s">
        <v>12</v>
      </c>
      <c r="O197" s="87">
        <v>3.431034482758621</v>
      </c>
      <c r="Q197" t="s">
        <v>9</v>
      </c>
      <c r="R197" t="s">
        <v>56</v>
      </c>
      <c r="S197" t="s">
        <v>23</v>
      </c>
      <c r="T197" t="s">
        <v>29</v>
      </c>
      <c r="U197" s="87">
        <v>5.5123152709359609</v>
      </c>
    </row>
    <row r="198" spans="1:21" x14ac:dyDescent="0.3">
      <c r="A198" t="s">
        <v>43</v>
      </c>
      <c r="B198" t="s">
        <v>900</v>
      </c>
      <c r="C198" s="16" t="s">
        <v>272</v>
      </c>
      <c r="D198" s="16">
        <v>3</v>
      </c>
      <c r="E198" t="s">
        <v>1524</v>
      </c>
      <c r="F198" t="s">
        <v>282</v>
      </c>
      <c r="G198" t="s">
        <v>1567</v>
      </c>
      <c r="H198" t="s">
        <v>377</v>
      </c>
      <c r="I198" s="87">
        <v>4.6256157635467989</v>
      </c>
      <c r="K198" t="s">
        <v>45</v>
      </c>
      <c r="L198" t="s">
        <v>51</v>
      </c>
      <c r="M198" t="s">
        <v>19</v>
      </c>
      <c r="N198" t="s">
        <v>12</v>
      </c>
      <c r="O198" s="87">
        <v>3.431034482758621</v>
      </c>
      <c r="Q198" t="s">
        <v>9</v>
      </c>
      <c r="R198" t="s">
        <v>56</v>
      </c>
      <c r="S198" t="s">
        <v>25</v>
      </c>
      <c r="T198" t="s">
        <v>29</v>
      </c>
      <c r="U198" s="87">
        <v>5.5123152709359609</v>
      </c>
    </row>
    <row r="199" spans="1:21" x14ac:dyDescent="0.3">
      <c r="A199" t="s">
        <v>43</v>
      </c>
      <c r="B199" t="s">
        <v>901</v>
      </c>
      <c r="C199" s="16" t="s">
        <v>273</v>
      </c>
      <c r="D199" s="16">
        <v>2</v>
      </c>
      <c r="E199" t="s">
        <v>1525</v>
      </c>
      <c r="F199" t="s">
        <v>282</v>
      </c>
      <c r="G199" t="s">
        <v>1568</v>
      </c>
      <c r="H199" t="s">
        <v>344</v>
      </c>
      <c r="I199" s="87">
        <v>7.3596059113300489</v>
      </c>
      <c r="K199" t="s">
        <v>45</v>
      </c>
      <c r="L199" t="s">
        <v>51</v>
      </c>
      <c r="M199" t="s">
        <v>17</v>
      </c>
      <c r="N199" t="s">
        <v>12</v>
      </c>
      <c r="O199" s="87">
        <v>3.431034482758621</v>
      </c>
      <c r="Q199" t="s">
        <v>9</v>
      </c>
      <c r="R199" t="s">
        <v>56</v>
      </c>
      <c r="S199" t="s">
        <v>24</v>
      </c>
      <c r="T199" t="s">
        <v>29</v>
      </c>
      <c r="U199" s="87">
        <v>5.5123152709359609</v>
      </c>
    </row>
    <row r="200" spans="1:21" x14ac:dyDescent="0.3">
      <c r="A200" t="s">
        <v>43</v>
      </c>
      <c r="B200" t="s">
        <v>902</v>
      </c>
      <c r="C200" s="16" t="s">
        <v>273</v>
      </c>
      <c r="D200" s="16">
        <v>2</v>
      </c>
      <c r="E200" t="s">
        <v>1525</v>
      </c>
      <c r="F200" t="s">
        <v>283</v>
      </c>
      <c r="G200" t="s">
        <v>1566</v>
      </c>
      <c r="H200" t="s">
        <v>1571</v>
      </c>
      <c r="I200" s="87">
        <v>9.4827586206896548</v>
      </c>
      <c r="K200" t="s">
        <v>45</v>
      </c>
      <c r="L200" t="s">
        <v>51</v>
      </c>
      <c r="M200" t="s">
        <v>16</v>
      </c>
      <c r="N200" t="s">
        <v>12</v>
      </c>
      <c r="O200" s="87">
        <v>3.431034482758621</v>
      </c>
      <c r="Q200" t="s">
        <v>9</v>
      </c>
      <c r="R200" t="s">
        <v>56</v>
      </c>
      <c r="S200" t="s">
        <v>21</v>
      </c>
      <c r="T200" t="s">
        <v>29</v>
      </c>
      <c r="U200" s="87">
        <v>5.8965517241379315</v>
      </c>
    </row>
    <row r="201" spans="1:21" x14ac:dyDescent="0.3">
      <c r="A201" t="s">
        <v>43</v>
      </c>
      <c r="B201" t="s">
        <v>903</v>
      </c>
      <c r="C201" s="16" t="s">
        <v>273</v>
      </c>
      <c r="D201" s="16">
        <v>2</v>
      </c>
      <c r="E201" t="s">
        <v>1525</v>
      </c>
      <c r="F201" t="s">
        <v>283</v>
      </c>
      <c r="G201" t="s">
        <v>1566</v>
      </c>
      <c r="H201" t="s">
        <v>1571</v>
      </c>
      <c r="I201" s="87">
        <v>9.4827586206896548</v>
      </c>
      <c r="K201" t="s">
        <v>45</v>
      </c>
      <c r="L201" t="s">
        <v>51</v>
      </c>
      <c r="M201" t="s">
        <v>20</v>
      </c>
      <c r="N201" t="s">
        <v>12</v>
      </c>
      <c r="O201" s="87">
        <v>4.3177339901477829</v>
      </c>
      <c r="Q201" t="s">
        <v>9</v>
      </c>
      <c r="R201" t="s">
        <v>56</v>
      </c>
      <c r="S201" t="s">
        <v>19</v>
      </c>
      <c r="T201" t="s">
        <v>29</v>
      </c>
      <c r="U201" s="87">
        <v>5.8965517241379315</v>
      </c>
    </row>
    <row r="202" spans="1:21" x14ac:dyDescent="0.3">
      <c r="A202" t="s">
        <v>43</v>
      </c>
      <c r="B202" t="s">
        <v>904</v>
      </c>
      <c r="C202" s="16" t="s">
        <v>273</v>
      </c>
      <c r="D202" s="16">
        <v>2</v>
      </c>
      <c r="E202" t="s">
        <v>1525</v>
      </c>
      <c r="F202" t="s">
        <v>282</v>
      </c>
      <c r="G202" t="s">
        <v>1566</v>
      </c>
      <c r="H202" t="s">
        <v>344</v>
      </c>
      <c r="I202" s="87">
        <v>7.2783251231527091</v>
      </c>
      <c r="K202" t="s">
        <v>45</v>
      </c>
      <c r="L202" t="s">
        <v>51</v>
      </c>
      <c r="M202" t="s">
        <v>22</v>
      </c>
      <c r="N202" t="s">
        <v>12</v>
      </c>
      <c r="O202" s="87">
        <v>3.431034482758621</v>
      </c>
      <c r="Q202" t="s">
        <v>9</v>
      </c>
      <c r="R202" t="s">
        <v>56</v>
      </c>
      <c r="S202" t="s">
        <v>17</v>
      </c>
      <c r="T202" t="s">
        <v>29</v>
      </c>
      <c r="U202" s="87">
        <v>5.8965517241379315</v>
      </c>
    </row>
    <row r="203" spans="1:21" x14ac:dyDescent="0.3">
      <c r="A203" t="s">
        <v>43</v>
      </c>
      <c r="B203" t="s">
        <v>905</v>
      </c>
      <c r="C203" s="16" t="s">
        <v>273</v>
      </c>
      <c r="D203" s="16">
        <v>2</v>
      </c>
      <c r="E203" t="s">
        <v>1525</v>
      </c>
      <c r="F203" t="s">
        <v>282</v>
      </c>
      <c r="G203" t="s">
        <v>1566</v>
      </c>
      <c r="H203" t="s">
        <v>344</v>
      </c>
      <c r="I203" s="87">
        <v>7.2783251231527091</v>
      </c>
      <c r="K203" t="s">
        <v>9</v>
      </c>
      <c r="L203" t="s">
        <v>70</v>
      </c>
      <c r="M203" t="s">
        <v>14</v>
      </c>
      <c r="N203" t="s">
        <v>12</v>
      </c>
      <c r="O203" s="87">
        <v>4.4778325123152714</v>
      </c>
      <c r="Q203" t="s">
        <v>9</v>
      </c>
      <c r="R203" t="s">
        <v>56</v>
      </c>
      <c r="S203" t="s">
        <v>20</v>
      </c>
      <c r="T203" t="s">
        <v>29</v>
      </c>
      <c r="U203" s="87">
        <v>5.8965517241379315</v>
      </c>
    </row>
    <row r="204" spans="1:21" x14ac:dyDescent="0.3">
      <c r="A204" t="s">
        <v>43</v>
      </c>
      <c r="B204" t="s">
        <v>906</v>
      </c>
      <c r="C204" s="16" t="s">
        <v>273</v>
      </c>
      <c r="D204" s="16">
        <v>2</v>
      </c>
      <c r="E204" t="s">
        <v>1525</v>
      </c>
      <c r="F204" t="s">
        <v>283</v>
      </c>
      <c r="G204" t="s">
        <v>1568</v>
      </c>
      <c r="H204" t="s">
        <v>347</v>
      </c>
      <c r="I204" s="87">
        <v>9.514778325123153</v>
      </c>
      <c r="K204" t="s">
        <v>9</v>
      </c>
      <c r="L204" t="s">
        <v>70</v>
      </c>
      <c r="M204" t="s">
        <v>11</v>
      </c>
      <c r="N204" t="s">
        <v>12</v>
      </c>
      <c r="O204" s="87">
        <v>5.4630541871921183</v>
      </c>
      <c r="Q204" t="s">
        <v>9</v>
      </c>
      <c r="R204" t="s">
        <v>56</v>
      </c>
      <c r="S204" t="s">
        <v>22</v>
      </c>
      <c r="T204" t="s">
        <v>29</v>
      </c>
      <c r="U204" s="87">
        <v>5.8965517241379315</v>
      </c>
    </row>
    <row r="205" spans="1:21" x14ac:dyDescent="0.3">
      <c r="A205" t="s">
        <v>43</v>
      </c>
      <c r="B205" t="s">
        <v>907</v>
      </c>
      <c r="C205" s="16" t="s">
        <v>273</v>
      </c>
      <c r="D205" s="16">
        <v>2</v>
      </c>
      <c r="E205" t="s">
        <v>1525</v>
      </c>
      <c r="F205" t="s">
        <v>283</v>
      </c>
      <c r="G205" t="s">
        <v>1566</v>
      </c>
      <c r="H205" t="s">
        <v>1571</v>
      </c>
      <c r="I205" s="87">
        <v>9.4827586206896548</v>
      </c>
      <c r="O205" s="87"/>
      <c r="Q205" t="s">
        <v>9</v>
      </c>
      <c r="R205" t="s">
        <v>67</v>
      </c>
      <c r="S205" t="s">
        <v>23</v>
      </c>
      <c r="T205" t="s">
        <v>29</v>
      </c>
      <c r="U205" s="87">
        <v>4.4408866995073897</v>
      </c>
    </row>
    <row r="206" spans="1:21" x14ac:dyDescent="0.3">
      <c r="A206" t="s">
        <v>43</v>
      </c>
      <c r="B206" t="s">
        <v>908</v>
      </c>
      <c r="C206" s="16" t="s">
        <v>273</v>
      </c>
      <c r="D206" s="16">
        <v>2</v>
      </c>
      <c r="E206" t="s">
        <v>1525</v>
      </c>
      <c r="F206" t="s">
        <v>273</v>
      </c>
      <c r="G206" t="s">
        <v>1568</v>
      </c>
      <c r="H206" t="s">
        <v>347</v>
      </c>
      <c r="I206" s="87">
        <v>9.5024630541871922</v>
      </c>
      <c r="O206" s="87"/>
      <c r="Q206" t="s">
        <v>9</v>
      </c>
      <c r="R206" t="s">
        <v>67</v>
      </c>
      <c r="S206" t="s">
        <v>25</v>
      </c>
      <c r="T206" t="s">
        <v>29</v>
      </c>
      <c r="U206" s="87">
        <v>4.4408866995073897</v>
      </c>
    </row>
    <row r="207" spans="1:21" x14ac:dyDescent="0.3">
      <c r="A207" t="s">
        <v>43</v>
      </c>
      <c r="B207" t="s">
        <v>909</v>
      </c>
      <c r="C207" s="16" t="s">
        <v>273</v>
      </c>
      <c r="D207" s="16">
        <v>2</v>
      </c>
      <c r="E207" t="s">
        <v>1525</v>
      </c>
      <c r="F207" t="s">
        <v>273</v>
      </c>
      <c r="G207" t="s">
        <v>1568</v>
      </c>
      <c r="H207" t="s">
        <v>347</v>
      </c>
      <c r="I207" s="87">
        <v>9.5024630541871922</v>
      </c>
      <c r="O207" s="87"/>
      <c r="Q207" t="s">
        <v>9</v>
      </c>
      <c r="R207" t="s">
        <v>67</v>
      </c>
      <c r="S207" t="s">
        <v>24</v>
      </c>
      <c r="T207" t="s">
        <v>29</v>
      </c>
      <c r="U207" s="87">
        <v>4.4408866995073897</v>
      </c>
    </row>
    <row r="208" spans="1:21" x14ac:dyDescent="0.3">
      <c r="A208" t="s">
        <v>43</v>
      </c>
      <c r="B208" t="s">
        <v>910</v>
      </c>
      <c r="C208" s="16" t="s">
        <v>273</v>
      </c>
      <c r="D208" s="16">
        <v>2</v>
      </c>
      <c r="E208" t="s">
        <v>1525</v>
      </c>
      <c r="F208" t="s">
        <v>282</v>
      </c>
      <c r="G208" t="s">
        <v>1568</v>
      </c>
      <c r="H208" t="s">
        <v>347</v>
      </c>
      <c r="I208" s="87">
        <v>8.529556650246306</v>
      </c>
      <c r="O208" s="87"/>
      <c r="Q208" t="s">
        <v>9</v>
      </c>
      <c r="R208" t="s">
        <v>67</v>
      </c>
      <c r="S208" t="s">
        <v>21</v>
      </c>
      <c r="T208" t="s">
        <v>29</v>
      </c>
      <c r="U208" s="87">
        <v>5.3275862068965516</v>
      </c>
    </row>
    <row r="209" spans="1:21" x14ac:dyDescent="0.3">
      <c r="A209" t="s">
        <v>43</v>
      </c>
      <c r="B209" t="s">
        <v>911</v>
      </c>
      <c r="C209" s="16" t="s">
        <v>272</v>
      </c>
      <c r="D209" s="16">
        <v>2</v>
      </c>
      <c r="E209" t="s">
        <v>1524</v>
      </c>
      <c r="F209" t="s">
        <v>282</v>
      </c>
      <c r="G209" t="s">
        <v>1654</v>
      </c>
      <c r="H209" t="s">
        <v>291</v>
      </c>
      <c r="I209" s="87">
        <v>5.4014778325123149</v>
      </c>
      <c r="O209" s="87"/>
      <c r="Q209" t="s">
        <v>9</v>
      </c>
      <c r="R209" t="s">
        <v>67</v>
      </c>
      <c r="S209" t="s">
        <v>30</v>
      </c>
      <c r="T209" t="s">
        <v>29</v>
      </c>
      <c r="U209" s="87">
        <v>3.5985221674876851</v>
      </c>
    </row>
    <row r="210" spans="1:21" x14ac:dyDescent="0.3">
      <c r="A210" t="s">
        <v>43</v>
      </c>
      <c r="B210" t="s">
        <v>912</v>
      </c>
      <c r="C210" s="16" t="s">
        <v>273</v>
      </c>
      <c r="D210" s="16">
        <v>2</v>
      </c>
      <c r="E210" t="s">
        <v>1525</v>
      </c>
      <c r="F210" t="s">
        <v>282</v>
      </c>
      <c r="G210" t="s">
        <v>1566</v>
      </c>
      <c r="H210" t="s">
        <v>344</v>
      </c>
      <c r="I210" s="87">
        <v>7.2783251231527091</v>
      </c>
      <c r="O210" s="87"/>
      <c r="Q210" t="s">
        <v>9</v>
      </c>
      <c r="R210" t="s">
        <v>67</v>
      </c>
      <c r="S210" t="s">
        <v>20</v>
      </c>
      <c r="T210" t="s">
        <v>29</v>
      </c>
      <c r="U210" s="87">
        <v>5.3275862068965516</v>
      </c>
    </row>
    <row r="211" spans="1:21" x14ac:dyDescent="0.3">
      <c r="A211" t="s">
        <v>43</v>
      </c>
      <c r="B211" t="s">
        <v>913</v>
      </c>
      <c r="C211" s="16" t="s">
        <v>272</v>
      </c>
      <c r="D211" s="16">
        <v>2</v>
      </c>
      <c r="E211" t="s">
        <v>1524</v>
      </c>
      <c r="F211" t="s">
        <v>282</v>
      </c>
      <c r="G211" t="s">
        <v>1654</v>
      </c>
      <c r="H211" t="s">
        <v>291</v>
      </c>
      <c r="I211" s="87">
        <v>5.4014778325123149</v>
      </c>
      <c r="O211" s="87"/>
      <c r="Q211" t="s">
        <v>9</v>
      </c>
      <c r="R211" t="s">
        <v>67</v>
      </c>
      <c r="S211" t="s">
        <v>26</v>
      </c>
      <c r="T211" t="s">
        <v>29</v>
      </c>
      <c r="U211" s="87">
        <v>3.431034482758621</v>
      </c>
    </row>
    <row r="212" spans="1:21" x14ac:dyDescent="0.3">
      <c r="A212" t="s">
        <v>43</v>
      </c>
      <c r="B212" t="s">
        <v>914</v>
      </c>
      <c r="C212" s="16" t="s">
        <v>272</v>
      </c>
      <c r="D212" s="16">
        <v>2</v>
      </c>
      <c r="E212" t="s">
        <v>1524</v>
      </c>
      <c r="F212" t="s">
        <v>282</v>
      </c>
      <c r="G212" t="s">
        <v>1654</v>
      </c>
      <c r="H212" t="s">
        <v>1570</v>
      </c>
      <c r="I212" s="87">
        <v>5.4753694581280783</v>
      </c>
      <c r="Q212" t="s">
        <v>9</v>
      </c>
      <c r="R212" t="s">
        <v>67</v>
      </c>
      <c r="S212" t="s">
        <v>22</v>
      </c>
      <c r="T212" t="s">
        <v>29</v>
      </c>
      <c r="U212" s="87">
        <v>5.3275862068965516</v>
      </c>
    </row>
    <row r="213" spans="1:21" x14ac:dyDescent="0.3">
      <c r="A213" t="s">
        <v>43</v>
      </c>
      <c r="B213" t="s">
        <v>915</v>
      </c>
      <c r="C213" s="16" t="s">
        <v>273</v>
      </c>
      <c r="D213" s="16">
        <v>2</v>
      </c>
      <c r="E213" t="s">
        <v>1525</v>
      </c>
      <c r="F213" t="s">
        <v>283</v>
      </c>
      <c r="G213" t="s">
        <v>1568</v>
      </c>
      <c r="H213" t="s">
        <v>347</v>
      </c>
      <c r="I213" s="87">
        <v>9.514778325123153</v>
      </c>
      <c r="Q213" t="s">
        <v>9</v>
      </c>
      <c r="R213" t="s">
        <v>67</v>
      </c>
      <c r="S213" t="s">
        <v>31</v>
      </c>
      <c r="T213" t="s">
        <v>29</v>
      </c>
      <c r="U213" s="87">
        <v>3.5985221674876851</v>
      </c>
    </row>
    <row r="214" spans="1:21" x14ac:dyDescent="0.3">
      <c r="A214" t="s">
        <v>43</v>
      </c>
      <c r="B214" t="s">
        <v>916</v>
      </c>
      <c r="C214" s="16" t="s">
        <v>272</v>
      </c>
      <c r="D214" s="16">
        <v>3</v>
      </c>
      <c r="E214" t="s">
        <v>1524</v>
      </c>
      <c r="F214" t="s">
        <v>1546</v>
      </c>
      <c r="G214" t="s">
        <v>1567</v>
      </c>
      <c r="H214" t="s">
        <v>291</v>
      </c>
      <c r="I214" s="87">
        <v>5.3768472906403941</v>
      </c>
      <c r="Q214" t="s">
        <v>9</v>
      </c>
      <c r="R214" t="s">
        <v>67</v>
      </c>
      <c r="S214" t="s">
        <v>27</v>
      </c>
      <c r="T214" t="s">
        <v>29</v>
      </c>
      <c r="U214" s="87">
        <v>4.7192118226600996</v>
      </c>
    </row>
    <row r="215" spans="1:21" x14ac:dyDescent="0.3">
      <c r="A215" t="s">
        <v>43</v>
      </c>
      <c r="B215" t="s">
        <v>917</v>
      </c>
      <c r="C215" s="16" t="s">
        <v>272</v>
      </c>
      <c r="D215" s="16">
        <v>3</v>
      </c>
      <c r="E215" t="s">
        <v>1524</v>
      </c>
      <c r="F215" t="s">
        <v>1547</v>
      </c>
      <c r="G215" t="s">
        <v>343</v>
      </c>
      <c r="H215" t="s">
        <v>291</v>
      </c>
      <c r="I215" s="87">
        <v>5.6305418719211824</v>
      </c>
      <c r="Q215" t="s">
        <v>9</v>
      </c>
      <c r="R215" t="s">
        <v>67</v>
      </c>
      <c r="S215" t="s">
        <v>28</v>
      </c>
      <c r="T215" t="s">
        <v>29</v>
      </c>
      <c r="U215" s="87">
        <v>4.7192118226600996</v>
      </c>
    </row>
    <row r="216" spans="1:21" x14ac:dyDescent="0.3">
      <c r="A216" t="s">
        <v>43</v>
      </c>
      <c r="B216" t="s">
        <v>918</v>
      </c>
      <c r="C216" s="16" t="s">
        <v>272</v>
      </c>
      <c r="D216" s="16">
        <v>3</v>
      </c>
      <c r="E216" t="s">
        <v>1524</v>
      </c>
      <c r="F216" t="s">
        <v>282</v>
      </c>
      <c r="G216" t="s">
        <v>343</v>
      </c>
      <c r="H216" t="s">
        <v>291</v>
      </c>
      <c r="I216" s="87">
        <v>4.7438423645320196</v>
      </c>
      <c r="Q216" t="s">
        <v>43</v>
      </c>
      <c r="R216" t="s">
        <v>44</v>
      </c>
      <c r="S216" t="s">
        <v>23</v>
      </c>
      <c r="T216" t="s">
        <v>29</v>
      </c>
      <c r="U216" s="87">
        <v>4.7068965517241388</v>
      </c>
    </row>
    <row r="217" spans="1:21" x14ac:dyDescent="0.3">
      <c r="A217" t="s">
        <v>43</v>
      </c>
      <c r="B217" t="s">
        <v>919</v>
      </c>
      <c r="C217" s="16" t="s">
        <v>272</v>
      </c>
      <c r="D217" s="16">
        <v>3</v>
      </c>
      <c r="E217" t="s">
        <v>1524</v>
      </c>
      <c r="F217" t="s">
        <v>1547</v>
      </c>
      <c r="G217" t="s">
        <v>1567</v>
      </c>
      <c r="H217" t="s">
        <v>1572</v>
      </c>
      <c r="I217" s="87">
        <v>5.5123152709359609</v>
      </c>
      <c r="Q217" t="s">
        <v>43</v>
      </c>
      <c r="R217" t="s">
        <v>44</v>
      </c>
      <c r="S217" t="s">
        <v>25</v>
      </c>
      <c r="T217" t="s">
        <v>29</v>
      </c>
      <c r="U217" s="87">
        <v>3.5985221674876851</v>
      </c>
    </row>
    <row r="218" spans="1:21" x14ac:dyDescent="0.3">
      <c r="A218" t="s">
        <v>43</v>
      </c>
      <c r="B218" t="s">
        <v>920</v>
      </c>
      <c r="C218" s="16" t="s">
        <v>272</v>
      </c>
      <c r="D218" s="16">
        <v>3</v>
      </c>
      <c r="E218" t="s">
        <v>1524</v>
      </c>
      <c r="F218" t="s">
        <v>1547</v>
      </c>
      <c r="G218" t="s">
        <v>1567</v>
      </c>
      <c r="H218" t="s">
        <v>1572</v>
      </c>
      <c r="I218" s="87">
        <v>5.5123152709359609</v>
      </c>
      <c r="Q218" t="s">
        <v>43</v>
      </c>
      <c r="R218" t="s">
        <v>44</v>
      </c>
      <c r="S218" t="s">
        <v>24</v>
      </c>
      <c r="T218" t="s">
        <v>29</v>
      </c>
      <c r="U218" s="87">
        <v>4.416256157635468</v>
      </c>
    </row>
    <row r="219" spans="1:21" x14ac:dyDescent="0.3">
      <c r="A219" t="s">
        <v>43</v>
      </c>
      <c r="B219" t="s">
        <v>921</v>
      </c>
      <c r="C219" s="16" t="s">
        <v>272</v>
      </c>
      <c r="D219" s="16">
        <v>2</v>
      </c>
      <c r="E219" t="s">
        <v>1525</v>
      </c>
      <c r="F219" t="s">
        <v>1547</v>
      </c>
      <c r="G219" t="s">
        <v>1567</v>
      </c>
      <c r="H219" t="s">
        <v>1572</v>
      </c>
      <c r="I219" s="87">
        <v>8.2512315270935961</v>
      </c>
      <c r="Q219" t="s">
        <v>43</v>
      </c>
      <c r="R219" t="s">
        <v>44</v>
      </c>
      <c r="S219" t="s">
        <v>21</v>
      </c>
      <c r="T219" t="s">
        <v>29</v>
      </c>
      <c r="U219" s="87">
        <v>5.3275862068965516</v>
      </c>
    </row>
    <row r="220" spans="1:21" x14ac:dyDescent="0.3">
      <c r="A220" t="s">
        <v>43</v>
      </c>
      <c r="B220" t="s">
        <v>922</v>
      </c>
      <c r="C220" s="16" t="s">
        <v>272</v>
      </c>
      <c r="D220" s="16">
        <v>3</v>
      </c>
      <c r="E220" t="s">
        <v>1524</v>
      </c>
      <c r="F220" t="s">
        <v>1547</v>
      </c>
      <c r="G220" t="s">
        <v>1567</v>
      </c>
      <c r="H220" t="s">
        <v>1572</v>
      </c>
      <c r="I220" s="87">
        <v>5.5123152709359609</v>
      </c>
      <c r="Q220" t="s">
        <v>43</v>
      </c>
      <c r="R220" t="s">
        <v>44</v>
      </c>
      <c r="S220" t="s">
        <v>22</v>
      </c>
      <c r="T220" t="s">
        <v>29</v>
      </c>
      <c r="U220" s="87">
        <v>4.4408866995073897</v>
      </c>
    </row>
    <row r="221" spans="1:21" x14ac:dyDescent="0.3">
      <c r="A221" t="s">
        <v>43</v>
      </c>
      <c r="B221" t="s">
        <v>923</v>
      </c>
      <c r="C221" s="16" t="s">
        <v>272</v>
      </c>
      <c r="D221" s="16">
        <v>3</v>
      </c>
      <c r="E221" t="s">
        <v>1524</v>
      </c>
      <c r="F221" t="s">
        <v>1547</v>
      </c>
      <c r="G221" t="s">
        <v>1567</v>
      </c>
      <c r="H221" t="s">
        <v>344</v>
      </c>
      <c r="I221" s="87">
        <v>4.3177339901477829</v>
      </c>
      <c r="Q221" t="s">
        <v>45</v>
      </c>
      <c r="R221" t="s">
        <v>75</v>
      </c>
      <c r="S221" t="s">
        <v>23</v>
      </c>
      <c r="T221" t="s">
        <v>29</v>
      </c>
      <c r="U221" s="87">
        <v>5.2290640394088674</v>
      </c>
    </row>
    <row r="222" spans="1:21" x14ac:dyDescent="0.3">
      <c r="A222" t="s">
        <v>43</v>
      </c>
      <c r="B222" t="s">
        <v>924</v>
      </c>
      <c r="C222" s="16" t="s">
        <v>272</v>
      </c>
      <c r="D222" s="16">
        <v>3</v>
      </c>
      <c r="E222" t="s">
        <v>1524</v>
      </c>
      <c r="F222" t="s">
        <v>1547</v>
      </c>
      <c r="G222" t="s">
        <v>1567</v>
      </c>
      <c r="H222" t="s">
        <v>344</v>
      </c>
      <c r="I222" s="87">
        <v>4.3177339901477829</v>
      </c>
      <c r="Q222" t="s">
        <v>45</v>
      </c>
      <c r="R222" t="s">
        <v>75</v>
      </c>
      <c r="S222" t="s">
        <v>25</v>
      </c>
      <c r="T222" t="s">
        <v>29</v>
      </c>
      <c r="U222" s="87">
        <v>5.7364532019704431</v>
      </c>
    </row>
    <row r="223" spans="1:21" x14ac:dyDescent="0.3">
      <c r="A223" t="s">
        <v>43</v>
      </c>
      <c r="B223" t="s">
        <v>925</v>
      </c>
      <c r="C223" s="16" t="s">
        <v>272</v>
      </c>
      <c r="D223" s="16">
        <v>3</v>
      </c>
      <c r="E223" t="s">
        <v>1524</v>
      </c>
      <c r="F223" t="s">
        <v>1547</v>
      </c>
      <c r="G223" t="s">
        <v>1567</v>
      </c>
      <c r="H223" t="s">
        <v>344</v>
      </c>
      <c r="I223" s="87">
        <v>4.3177339901477829</v>
      </c>
      <c r="Q223" t="s">
        <v>45</v>
      </c>
      <c r="R223" t="s">
        <v>75</v>
      </c>
      <c r="S223" t="s">
        <v>24</v>
      </c>
      <c r="T223" t="s">
        <v>29</v>
      </c>
      <c r="U223" s="87">
        <v>5.5123152709359609</v>
      </c>
    </row>
    <row r="224" spans="1:21" x14ac:dyDescent="0.3">
      <c r="A224" t="s">
        <v>43</v>
      </c>
      <c r="B224" t="s">
        <v>926</v>
      </c>
      <c r="C224" s="16" t="s">
        <v>272</v>
      </c>
      <c r="D224" s="16">
        <v>2</v>
      </c>
      <c r="E224" t="s">
        <v>1524</v>
      </c>
      <c r="F224" t="s">
        <v>1547</v>
      </c>
      <c r="G224" t="s">
        <v>1567</v>
      </c>
      <c r="H224" t="s">
        <v>344</v>
      </c>
      <c r="I224" s="87">
        <v>4.9630541871921183</v>
      </c>
      <c r="Q224" t="s">
        <v>45</v>
      </c>
      <c r="R224" t="s">
        <v>75</v>
      </c>
      <c r="S224" t="s">
        <v>21</v>
      </c>
      <c r="T224" t="s">
        <v>29</v>
      </c>
      <c r="U224" s="87">
        <v>5.2290640394088674</v>
      </c>
    </row>
    <row r="225" spans="1:21" x14ac:dyDescent="0.3">
      <c r="A225" t="s">
        <v>43</v>
      </c>
      <c r="B225" t="s">
        <v>927</v>
      </c>
      <c r="C225" s="16" t="s">
        <v>272</v>
      </c>
      <c r="D225" s="16">
        <v>3</v>
      </c>
      <c r="E225" t="s">
        <v>1524</v>
      </c>
      <c r="F225" t="s">
        <v>1547</v>
      </c>
      <c r="G225" t="s">
        <v>1567</v>
      </c>
      <c r="H225" t="s">
        <v>344</v>
      </c>
      <c r="I225" s="87">
        <v>4.3177339901477829</v>
      </c>
      <c r="Q225" t="s">
        <v>45</v>
      </c>
      <c r="R225" t="s">
        <v>75</v>
      </c>
      <c r="S225" t="s">
        <v>30</v>
      </c>
      <c r="T225" t="s">
        <v>29</v>
      </c>
      <c r="U225" s="87">
        <v>4.3423645320197046</v>
      </c>
    </row>
    <row r="226" spans="1:21" x14ac:dyDescent="0.3">
      <c r="A226" t="s">
        <v>43</v>
      </c>
      <c r="B226" t="s">
        <v>928</v>
      </c>
      <c r="C226" s="16" t="s">
        <v>272</v>
      </c>
      <c r="D226" s="16">
        <v>3</v>
      </c>
      <c r="E226" t="s">
        <v>1524</v>
      </c>
      <c r="F226" t="s">
        <v>1547</v>
      </c>
      <c r="G226" t="s">
        <v>1567</v>
      </c>
      <c r="H226" t="s">
        <v>344</v>
      </c>
      <c r="I226" s="87">
        <v>4.3177339901477829</v>
      </c>
      <c r="Q226" t="s">
        <v>45</v>
      </c>
      <c r="R226" t="s">
        <v>75</v>
      </c>
      <c r="S226" t="s">
        <v>26</v>
      </c>
      <c r="T226" t="s">
        <v>29</v>
      </c>
      <c r="U226" s="87">
        <v>5.2290640394088674</v>
      </c>
    </row>
    <row r="227" spans="1:21" x14ac:dyDescent="0.3">
      <c r="A227" t="s">
        <v>43</v>
      </c>
      <c r="B227" t="s">
        <v>929</v>
      </c>
      <c r="C227" s="16" t="s">
        <v>272</v>
      </c>
      <c r="D227" s="16">
        <v>2</v>
      </c>
      <c r="E227" t="s">
        <v>1524</v>
      </c>
      <c r="F227" t="s">
        <v>1547</v>
      </c>
      <c r="G227" t="s">
        <v>341</v>
      </c>
      <c r="H227" t="s">
        <v>344</v>
      </c>
      <c r="I227" s="87">
        <v>5.2044334975369457</v>
      </c>
      <c r="Q227" t="s">
        <v>45</v>
      </c>
      <c r="R227" t="s">
        <v>75</v>
      </c>
      <c r="S227" t="s">
        <v>22</v>
      </c>
      <c r="T227" t="s">
        <v>29</v>
      </c>
      <c r="U227" s="87">
        <v>4.5665024630541877</v>
      </c>
    </row>
    <row r="228" spans="1:21" x14ac:dyDescent="0.3">
      <c r="A228" t="s">
        <v>43</v>
      </c>
      <c r="B228" t="s">
        <v>930</v>
      </c>
      <c r="C228" s="16" t="s">
        <v>272</v>
      </c>
      <c r="D228" s="16">
        <v>2</v>
      </c>
      <c r="E228" t="s">
        <v>1524</v>
      </c>
      <c r="F228" t="s">
        <v>1547</v>
      </c>
      <c r="G228" t="s">
        <v>341</v>
      </c>
      <c r="H228" t="s">
        <v>344</v>
      </c>
      <c r="I228" s="87">
        <v>5.2044334975369457</v>
      </c>
      <c r="Q228" t="s">
        <v>45</v>
      </c>
      <c r="R228" t="s">
        <v>75</v>
      </c>
      <c r="S228" t="s">
        <v>27</v>
      </c>
      <c r="T228" t="s">
        <v>29</v>
      </c>
      <c r="U228" s="87">
        <v>4.3251231527093594</v>
      </c>
    </row>
    <row r="229" spans="1:21" x14ac:dyDescent="0.3">
      <c r="A229" t="s">
        <v>43</v>
      </c>
      <c r="B229" t="s">
        <v>931</v>
      </c>
      <c r="C229" s="16" t="s">
        <v>272</v>
      </c>
      <c r="D229" s="16">
        <v>3</v>
      </c>
      <c r="E229" t="s">
        <v>1524</v>
      </c>
      <c r="F229" t="s">
        <v>282</v>
      </c>
      <c r="G229" t="s">
        <v>1566</v>
      </c>
      <c r="H229" t="s">
        <v>344</v>
      </c>
      <c r="I229" s="87">
        <v>3.5985221674876851</v>
      </c>
      <c r="Q229" t="s">
        <v>45</v>
      </c>
      <c r="R229" t="s">
        <v>75</v>
      </c>
      <c r="S229" t="s">
        <v>28</v>
      </c>
      <c r="T229" t="s">
        <v>29</v>
      </c>
      <c r="U229" s="87">
        <v>4.3251231527093594</v>
      </c>
    </row>
    <row r="230" spans="1:21" x14ac:dyDescent="0.3">
      <c r="A230" t="s">
        <v>43</v>
      </c>
      <c r="B230" t="s">
        <v>932</v>
      </c>
      <c r="C230" s="16" t="s">
        <v>272</v>
      </c>
      <c r="D230" s="16">
        <v>3</v>
      </c>
      <c r="E230" t="s">
        <v>1524</v>
      </c>
      <c r="F230" t="s">
        <v>1542</v>
      </c>
      <c r="G230" t="s">
        <v>1567</v>
      </c>
      <c r="H230" t="s">
        <v>344</v>
      </c>
      <c r="I230" s="87">
        <v>4.305418719211823</v>
      </c>
      <c r="Q230" t="s">
        <v>43</v>
      </c>
      <c r="R230" t="s">
        <v>71</v>
      </c>
      <c r="S230" t="s">
        <v>15</v>
      </c>
      <c r="T230" t="s">
        <v>29</v>
      </c>
      <c r="U230" s="87">
        <v>3.431034482758621</v>
      </c>
    </row>
    <row r="231" spans="1:21" x14ac:dyDescent="0.3">
      <c r="A231" t="s">
        <v>43</v>
      </c>
      <c r="B231" t="s">
        <v>933</v>
      </c>
      <c r="C231" s="16" t="s">
        <v>272</v>
      </c>
      <c r="D231" s="16">
        <v>3</v>
      </c>
      <c r="E231" t="s">
        <v>1524</v>
      </c>
      <c r="F231" t="s">
        <v>282</v>
      </c>
      <c r="G231" t="s">
        <v>1566</v>
      </c>
      <c r="H231" t="s">
        <v>344</v>
      </c>
      <c r="I231" s="87">
        <v>3.5985221674876851</v>
      </c>
      <c r="Q231" t="s">
        <v>43</v>
      </c>
      <c r="R231" t="s">
        <v>71</v>
      </c>
      <c r="S231" t="s">
        <v>19</v>
      </c>
      <c r="T231" t="s">
        <v>29</v>
      </c>
      <c r="U231" s="87">
        <v>4.8177339901477838</v>
      </c>
    </row>
    <row r="232" spans="1:21" x14ac:dyDescent="0.3">
      <c r="A232" t="s">
        <v>43</v>
      </c>
      <c r="B232" t="s">
        <v>934</v>
      </c>
      <c r="C232" s="16" t="s">
        <v>272</v>
      </c>
      <c r="D232" s="16">
        <v>3</v>
      </c>
      <c r="E232" t="s">
        <v>1524</v>
      </c>
      <c r="F232" t="s">
        <v>1542</v>
      </c>
      <c r="G232" t="s">
        <v>1567</v>
      </c>
      <c r="H232" t="s">
        <v>344</v>
      </c>
      <c r="I232" s="87">
        <v>4.305418719211823</v>
      </c>
      <c r="Q232" t="s">
        <v>43</v>
      </c>
      <c r="R232" t="s">
        <v>71</v>
      </c>
      <c r="S232" t="s">
        <v>17</v>
      </c>
      <c r="T232" t="s">
        <v>29</v>
      </c>
      <c r="U232" s="87">
        <v>4.8177339901477838</v>
      </c>
    </row>
    <row r="233" spans="1:21" x14ac:dyDescent="0.3">
      <c r="A233" t="s">
        <v>43</v>
      </c>
      <c r="B233" t="s">
        <v>935</v>
      </c>
      <c r="C233" s="16" t="s">
        <v>272</v>
      </c>
      <c r="D233" s="16">
        <v>2</v>
      </c>
      <c r="E233" t="s">
        <v>1524</v>
      </c>
      <c r="F233" t="s">
        <v>282</v>
      </c>
      <c r="G233" t="s">
        <v>341</v>
      </c>
      <c r="H233" t="s">
        <v>344</v>
      </c>
      <c r="I233" s="87">
        <v>4.3177339901477829</v>
      </c>
      <c r="Q233" t="s">
        <v>43</v>
      </c>
      <c r="R233" t="s">
        <v>71</v>
      </c>
      <c r="S233" t="s">
        <v>16</v>
      </c>
      <c r="T233" t="s">
        <v>29</v>
      </c>
      <c r="U233" s="87">
        <v>4.8177339901477838</v>
      </c>
    </row>
    <row r="234" spans="1:21" x14ac:dyDescent="0.3">
      <c r="A234" t="s">
        <v>43</v>
      </c>
      <c r="B234" t="s">
        <v>936</v>
      </c>
      <c r="C234" s="16" t="s">
        <v>272</v>
      </c>
      <c r="D234" s="16">
        <v>3</v>
      </c>
      <c r="E234" t="s">
        <v>1524</v>
      </c>
      <c r="F234" t="s">
        <v>1542</v>
      </c>
      <c r="G234" t="s">
        <v>1567</v>
      </c>
      <c r="H234" t="s">
        <v>1574</v>
      </c>
      <c r="I234" s="87">
        <v>5.4137931034482758</v>
      </c>
      <c r="Q234" t="s">
        <v>43</v>
      </c>
      <c r="R234" t="s">
        <v>71</v>
      </c>
      <c r="S234" t="s">
        <v>20</v>
      </c>
      <c r="T234" t="s">
        <v>29</v>
      </c>
      <c r="U234" s="87">
        <v>4.8177339901477838</v>
      </c>
    </row>
    <row r="235" spans="1:21" x14ac:dyDescent="0.3">
      <c r="A235" t="s">
        <v>43</v>
      </c>
      <c r="B235" t="s">
        <v>937</v>
      </c>
      <c r="C235" s="16" t="s">
        <v>272</v>
      </c>
      <c r="D235" s="16">
        <v>3</v>
      </c>
      <c r="E235" t="s">
        <v>1524</v>
      </c>
      <c r="F235" t="s">
        <v>282</v>
      </c>
      <c r="G235" t="s">
        <v>1566</v>
      </c>
      <c r="H235" t="s">
        <v>344</v>
      </c>
      <c r="I235" s="87">
        <v>3.5985221674876851</v>
      </c>
      <c r="Q235" t="s">
        <v>9</v>
      </c>
      <c r="R235" t="s">
        <v>74</v>
      </c>
      <c r="S235" t="s">
        <v>23</v>
      </c>
      <c r="T235" t="s">
        <v>29</v>
      </c>
      <c r="U235" s="87">
        <v>4.4285714285714288</v>
      </c>
    </row>
    <row r="236" spans="1:21" x14ac:dyDescent="0.3">
      <c r="A236" t="s">
        <v>43</v>
      </c>
      <c r="B236" t="s">
        <v>938</v>
      </c>
      <c r="C236" s="16" t="s">
        <v>272</v>
      </c>
      <c r="D236" s="16">
        <v>3</v>
      </c>
      <c r="E236" t="s">
        <v>1524</v>
      </c>
      <c r="F236" t="s">
        <v>1542</v>
      </c>
      <c r="G236" t="s">
        <v>1567</v>
      </c>
      <c r="H236" t="s">
        <v>344</v>
      </c>
      <c r="I236" s="87">
        <v>4.305418719211823</v>
      </c>
      <c r="Q236" t="s">
        <v>9</v>
      </c>
      <c r="R236" t="s">
        <v>74</v>
      </c>
      <c r="S236" t="s">
        <v>24</v>
      </c>
      <c r="T236" t="s">
        <v>29</v>
      </c>
      <c r="U236" s="87">
        <v>4.4285714285714288</v>
      </c>
    </row>
    <row r="237" spans="1:21" x14ac:dyDescent="0.3">
      <c r="A237" t="s">
        <v>43</v>
      </c>
      <c r="B237" t="s">
        <v>939</v>
      </c>
      <c r="C237" s="16" t="s">
        <v>272</v>
      </c>
      <c r="D237" s="16">
        <v>3</v>
      </c>
      <c r="E237" t="s">
        <v>1524</v>
      </c>
      <c r="F237" t="s">
        <v>282</v>
      </c>
      <c r="G237" t="s">
        <v>1566</v>
      </c>
      <c r="H237" t="s">
        <v>344</v>
      </c>
      <c r="I237" s="87">
        <v>3.5985221674876851</v>
      </c>
      <c r="Q237" t="s">
        <v>9</v>
      </c>
      <c r="R237" t="s">
        <v>74</v>
      </c>
      <c r="S237" t="s">
        <v>21</v>
      </c>
      <c r="T237" t="s">
        <v>29</v>
      </c>
      <c r="U237" s="87">
        <v>3.6798029556650249</v>
      </c>
    </row>
    <row r="238" spans="1:21" x14ac:dyDescent="0.3">
      <c r="A238" t="s">
        <v>43</v>
      </c>
      <c r="B238" t="s">
        <v>940</v>
      </c>
      <c r="C238" s="16" t="s">
        <v>272</v>
      </c>
      <c r="D238" s="16">
        <v>3</v>
      </c>
      <c r="E238" t="s">
        <v>1524</v>
      </c>
      <c r="F238" t="s">
        <v>282</v>
      </c>
      <c r="G238" t="s">
        <v>1566</v>
      </c>
      <c r="H238" t="s">
        <v>344</v>
      </c>
      <c r="I238" s="87">
        <v>3.5985221674876851</v>
      </c>
      <c r="Q238" t="s">
        <v>9</v>
      </c>
      <c r="R238" t="s">
        <v>74</v>
      </c>
      <c r="S238" t="s">
        <v>19</v>
      </c>
      <c r="T238" t="s">
        <v>29</v>
      </c>
      <c r="U238" s="87">
        <v>3.6798029556650249</v>
      </c>
    </row>
    <row r="239" spans="1:21" x14ac:dyDescent="0.3">
      <c r="A239" t="s">
        <v>43</v>
      </c>
      <c r="B239" t="s">
        <v>941</v>
      </c>
      <c r="C239" s="16" t="s">
        <v>272</v>
      </c>
      <c r="D239" s="16">
        <v>3</v>
      </c>
      <c r="E239" t="s">
        <v>1524</v>
      </c>
      <c r="F239" t="s">
        <v>282</v>
      </c>
      <c r="G239" t="s">
        <v>1566</v>
      </c>
      <c r="H239" t="s">
        <v>344</v>
      </c>
      <c r="I239" s="87">
        <v>3.5985221674876851</v>
      </c>
      <c r="Q239" t="s">
        <v>9</v>
      </c>
      <c r="R239" t="s">
        <v>74</v>
      </c>
      <c r="S239" t="s">
        <v>20</v>
      </c>
      <c r="T239" t="s">
        <v>29</v>
      </c>
      <c r="U239" s="87">
        <v>3.6798029556650249</v>
      </c>
    </row>
    <row r="240" spans="1:21" x14ac:dyDescent="0.3">
      <c r="A240" t="s">
        <v>43</v>
      </c>
      <c r="B240" t="s">
        <v>942</v>
      </c>
      <c r="C240" s="16" t="s">
        <v>272</v>
      </c>
      <c r="D240" s="16">
        <v>3</v>
      </c>
      <c r="E240" t="s">
        <v>1524</v>
      </c>
      <c r="F240" t="s">
        <v>282</v>
      </c>
      <c r="G240" t="s">
        <v>1566</v>
      </c>
      <c r="H240" t="s">
        <v>345</v>
      </c>
      <c r="I240" s="87">
        <v>4.6083743842364537</v>
      </c>
      <c r="Q240" t="s">
        <v>9</v>
      </c>
      <c r="R240" t="s">
        <v>74</v>
      </c>
      <c r="S240" t="s">
        <v>22</v>
      </c>
      <c r="T240" t="s">
        <v>29</v>
      </c>
      <c r="U240" s="87">
        <v>4.4285714285714288</v>
      </c>
    </row>
    <row r="241" spans="1:21" x14ac:dyDescent="0.3">
      <c r="A241" t="s">
        <v>43</v>
      </c>
      <c r="B241" t="s">
        <v>943</v>
      </c>
      <c r="C241" s="16" t="s">
        <v>272</v>
      </c>
      <c r="D241" s="16">
        <v>3</v>
      </c>
      <c r="E241" t="s">
        <v>1524</v>
      </c>
      <c r="F241" t="s">
        <v>1542</v>
      </c>
      <c r="G241" t="s">
        <v>1567</v>
      </c>
      <c r="H241" t="s">
        <v>345</v>
      </c>
      <c r="I241" s="87">
        <v>5.3152709359605916</v>
      </c>
      <c r="Q241" t="s">
        <v>45</v>
      </c>
      <c r="R241" t="s">
        <v>51</v>
      </c>
      <c r="S241" t="s">
        <v>23</v>
      </c>
      <c r="T241" t="s">
        <v>29</v>
      </c>
      <c r="U241" s="87">
        <v>3.431034482758621</v>
      </c>
    </row>
    <row r="242" spans="1:21" x14ac:dyDescent="0.3">
      <c r="A242" t="s">
        <v>43</v>
      </c>
      <c r="B242" t="s">
        <v>944</v>
      </c>
      <c r="C242" s="16" t="s">
        <v>272</v>
      </c>
      <c r="D242" s="16">
        <v>2</v>
      </c>
      <c r="E242" t="s">
        <v>1524</v>
      </c>
      <c r="F242" t="s">
        <v>1542</v>
      </c>
      <c r="G242" t="s">
        <v>341</v>
      </c>
      <c r="H242" t="s">
        <v>344</v>
      </c>
      <c r="I242" s="87">
        <v>5.1921182266009849</v>
      </c>
      <c r="Q242" t="s">
        <v>45</v>
      </c>
      <c r="R242" t="s">
        <v>51</v>
      </c>
      <c r="S242" t="s">
        <v>25</v>
      </c>
      <c r="T242" t="s">
        <v>29</v>
      </c>
      <c r="U242" s="87">
        <v>5.3645320197044333</v>
      </c>
    </row>
    <row r="243" spans="1:21" x14ac:dyDescent="0.3">
      <c r="A243" t="s">
        <v>43</v>
      </c>
      <c r="B243" t="s">
        <v>945</v>
      </c>
      <c r="C243" s="16" t="s">
        <v>272</v>
      </c>
      <c r="D243" s="16">
        <v>3</v>
      </c>
      <c r="E243" t="s">
        <v>1524</v>
      </c>
      <c r="F243" t="s">
        <v>1542</v>
      </c>
      <c r="G243" t="s">
        <v>1567</v>
      </c>
      <c r="H243" t="s">
        <v>344</v>
      </c>
      <c r="I243" s="87">
        <v>4.305418719211823</v>
      </c>
      <c r="Q243" t="s">
        <v>45</v>
      </c>
      <c r="R243" t="s">
        <v>51</v>
      </c>
      <c r="S243" t="s">
        <v>24</v>
      </c>
      <c r="T243" t="s">
        <v>29</v>
      </c>
      <c r="U243" s="87">
        <v>3.431034482758621</v>
      </c>
    </row>
    <row r="244" spans="1:21" x14ac:dyDescent="0.3">
      <c r="A244" t="s">
        <v>43</v>
      </c>
      <c r="B244" t="s">
        <v>946</v>
      </c>
      <c r="C244" s="16" t="s">
        <v>272</v>
      </c>
      <c r="D244" s="16">
        <v>3</v>
      </c>
      <c r="E244" t="s">
        <v>1524</v>
      </c>
      <c r="F244" t="s">
        <v>1542</v>
      </c>
      <c r="G244" t="s">
        <v>1567</v>
      </c>
      <c r="H244" t="s">
        <v>344</v>
      </c>
      <c r="I244" s="87">
        <v>4.305418719211823</v>
      </c>
      <c r="Q244" t="s">
        <v>45</v>
      </c>
      <c r="R244" t="s">
        <v>51</v>
      </c>
      <c r="S244" t="s">
        <v>32</v>
      </c>
      <c r="T244" t="s">
        <v>29</v>
      </c>
      <c r="U244" s="87">
        <v>3.431034482758621</v>
      </c>
    </row>
    <row r="245" spans="1:21" x14ac:dyDescent="0.3">
      <c r="A245" t="s">
        <v>43</v>
      </c>
      <c r="B245" t="s">
        <v>947</v>
      </c>
      <c r="C245" s="16" t="s">
        <v>272</v>
      </c>
      <c r="D245" s="16">
        <v>3</v>
      </c>
      <c r="E245" t="s">
        <v>1524</v>
      </c>
      <c r="F245" t="s">
        <v>1542</v>
      </c>
      <c r="G245" t="s">
        <v>1567</v>
      </c>
      <c r="H245" t="s">
        <v>344</v>
      </c>
      <c r="I245" s="87">
        <v>4.305418719211823</v>
      </c>
      <c r="Q245" t="s">
        <v>45</v>
      </c>
      <c r="R245" t="s">
        <v>51</v>
      </c>
      <c r="S245" t="s">
        <v>30</v>
      </c>
      <c r="T245" t="s">
        <v>29</v>
      </c>
      <c r="U245" s="87">
        <v>3.431034482758621</v>
      </c>
    </row>
    <row r="246" spans="1:21" x14ac:dyDescent="0.3">
      <c r="A246" t="s">
        <v>43</v>
      </c>
      <c r="B246" t="s">
        <v>948</v>
      </c>
      <c r="C246" s="16" t="s">
        <v>272</v>
      </c>
      <c r="D246" s="16">
        <v>3</v>
      </c>
      <c r="E246" t="s">
        <v>1524</v>
      </c>
      <c r="F246" t="s">
        <v>282</v>
      </c>
      <c r="G246" t="s">
        <v>1567</v>
      </c>
      <c r="H246" t="s">
        <v>344</v>
      </c>
      <c r="I246" s="87">
        <v>3.431034482758621</v>
      </c>
      <c r="Q246" t="s">
        <v>45</v>
      </c>
      <c r="R246" t="s">
        <v>51</v>
      </c>
      <c r="S246" t="s">
        <v>33</v>
      </c>
      <c r="T246" t="s">
        <v>29</v>
      </c>
      <c r="U246" s="87">
        <v>3.431034482758621</v>
      </c>
    </row>
    <row r="247" spans="1:21" x14ac:dyDescent="0.3">
      <c r="A247" t="s">
        <v>43</v>
      </c>
      <c r="B247" t="s">
        <v>949</v>
      </c>
      <c r="C247" s="16" t="s">
        <v>272</v>
      </c>
      <c r="D247" s="16">
        <v>2</v>
      </c>
      <c r="E247" t="s">
        <v>1524</v>
      </c>
      <c r="F247" t="s">
        <v>282</v>
      </c>
      <c r="G247" t="s">
        <v>341</v>
      </c>
      <c r="H247" t="s">
        <v>345</v>
      </c>
      <c r="I247" s="87">
        <v>5.3275862068965516</v>
      </c>
      <c r="Q247" t="s">
        <v>45</v>
      </c>
      <c r="R247" t="s">
        <v>51</v>
      </c>
      <c r="S247" t="s">
        <v>26</v>
      </c>
      <c r="T247" t="s">
        <v>29</v>
      </c>
      <c r="U247" s="87">
        <v>5.3645320197044333</v>
      </c>
    </row>
    <row r="248" spans="1:21" x14ac:dyDescent="0.3">
      <c r="A248" t="s">
        <v>43</v>
      </c>
      <c r="B248" t="s">
        <v>950</v>
      </c>
      <c r="C248" s="16" t="s">
        <v>272</v>
      </c>
      <c r="D248" s="16">
        <v>2</v>
      </c>
      <c r="E248" t="s">
        <v>1524</v>
      </c>
      <c r="F248" t="s">
        <v>282</v>
      </c>
      <c r="G248" t="s">
        <v>341</v>
      </c>
      <c r="H248" t="s">
        <v>344</v>
      </c>
      <c r="I248" s="87">
        <v>4.3177339901477829</v>
      </c>
      <c r="Q248" t="s">
        <v>45</v>
      </c>
      <c r="R248" t="s">
        <v>51</v>
      </c>
      <c r="S248" t="s">
        <v>31</v>
      </c>
      <c r="T248" t="s">
        <v>29</v>
      </c>
      <c r="U248" s="87">
        <v>3.431034482758621</v>
      </c>
    </row>
    <row r="249" spans="1:21" x14ac:dyDescent="0.3">
      <c r="A249" t="s">
        <v>43</v>
      </c>
      <c r="B249" t="s">
        <v>951</v>
      </c>
      <c r="C249" s="16" t="s">
        <v>272</v>
      </c>
      <c r="D249" s="16">
        <v>3</v>
      </c>
      <c r="E249" t="s">
        <v>1525</v>
      </c>
      <c r="F249" t="s">
        <v>283</v>
      </c>
      <c r="G249" t="s">
        <v>1567</v>
      </c>
      <c r="H249" t="s">
        <v>344</v>
      </c>
      <c r="I249" s="87">
        <v>6.5098522167487687</v>
      </c>
      <c r="Q249" t="s">
        <v>45</v>
      </c>
      <c r="R249" t="s">
        <v>51</v>
      </c>
      <c r="S249" t="s">
        <v>27</v>
      </c>
      <c r="T249" t="s">
        <v>29</v>
      </c>
      <c r="U249" s="87">
        <v>5.4384236453201975</v>
      </c>
    </row>
    <row r="250" spans="1:21" x14ac:dyDescent="0.3">
      <c r="A250" t="s">
        <v>43</v>
      </c>
      <c r="B250" t="s">
        <v>952</v>
      </c>
      <c r="C250" s="16" t="s">
        <v>272</v>
      </c>
      <c r="D250" s="16">
        <v>2</v>
      </c>
      <c r="E250" t="s">
        <v>1524</v>
      </c>
      <c r="F250" t="s">
        <v>282</v>
      </c>
      <c r="G250" t="s">
        <v>341</v>
      </c>
      <c r="H250" t="s">
        <v>345</v>
      </c>
      <c r="I250" s="87">
        <v>5.3275862068965516</v>
      </c>
      <c r="Q250" t="s">
        <v>45</v>
      </c>
      <c r="R250" t="s">
        <v>51</v>
      </c>
      <c r="S250" t="s">
        <v>28</v>
      </c>
      <c r="T250" t="s">
        <v>29</v>
      </c>
      <c r="U250" s="87">
        <v>5.9384236453201975</v>
      </c>
    </row>
    <row r="251" spans="1:21" x14ac:dyDescent="0.3">
      <c r="A251" t="s">
        <v>43</v>
      </c>
      <c r="B251" t="s">
        <v>953</v>
      </c>
      <c r="C251" s="16" t="s">
        <v>272</v>
      </c>
      <c r="D251" s="16">
        <v>2</v>
      </c>
      <c r="E251" t="s">
        <v>1524</v>
      </c>
      <c r="F251" t="s">
        <v>282</v>
      </c>
      <c r="G251" t="s">
        <v>341</v>
      </c>
      <c r="H251" t="s">
        <v>345</v>
      </c>
      <c r="I251" s="87">
        <v>5.3275862068965516</v>
      </c>
      <c r="Q251" t="s">
        <v>9</v>
      </c>
      <c r="R251" t="s">
        <v>70</v>
      </c>
      <c r="S251" t="s">
        <v>15</v>
      </c>
      <c r="T251" t="s">
        <v>29</v>
      </c>
      <c r="U251" s="87">
        <v>5.4630541871921183</v>
      </c>
    </row>
    <row r="252" spans="1:21" x14ac:dyDescent="0.3">
      <c r="A252" t="s">
        <v>43</v>
      </c>
      <c r="B252" t="s">
        <v>954</v>
      </c>
      <c r="C252" s="16" t="s">
        <v>272</v>
      </c>
      <c r="D252" s="16">
        <v>2</v>
      </c>
      <c r="E252" t="s">
        <v>1524</v>
      </c>
      <c r="F252" t="s">
        <v>282</v>
      </c>
      <c r="G252" t="s">
        <v>341</v>
      </c>
      <c r="H252" t="s">
        <v>345</v>
      </c>
      <c r="I252" s="87">
        <v>5.3275862068965516</v>
      </c>
      <c r="Q252" t="s">
        <v>9</v>
      </c>
      <c r="R252" t="s">
        <v>70</v>
      </c>
      <c r="S252" t="s">
        <v>21</v>
      </c>
      <c r="T252" t="s">
        <v>29</v>
      </c>
      <c r="U252" s="87">
        <v>4.8177339901477838</v>
      </c>
    </row>
    <row r="253" spans="1:21" x14ac:dyDescent="0.3">
      <c r="A253" t="s">
        <v>43</v>
      </c>
      <c r="B253" t="s">
        <v>955</v>
      </c>
      <c r="C253" s="16" t="s">
        <v>272</v>
      </c>
      <c r="D253" s="16">
        <v>2</v>
      </c>
      <c r="E253" t="s">
        <v>1524</v>
      </c>
      <c r="F253" t="s">
        <v>282</v>
      </c>
      <c r="G253" t="s">
        <v>341</v>
      </c>
      <c r="H253" t="s">
        <v>345</v>
      </c>
      <c r="I253" s="87">
        <v>5.3275862068965516</v>
      </c>
      <c r="Q253" t="s">
        <v>9</v>
      </c>
      <c r="R253" t="s">
        <v>70</v>
      </c>
      <c r="S253" t="s">
        <v>19</v>
      </c>
      <c r="T253" t="s">
        <v>29</v>
      </c>
      <c r="U253" s="87">
        <v>4.3177339901477829</v>
      </c>
    </row>
    <row r="254" spans="1:21" x14ac:dyDescent="0.3">
      <c r="A254" t="s">
        <v>43</v>
      </c>
      <c r="B254" t="s">
        <v>956</v>
      </c>
      <c r="C254" s="16" t="s">
        <v>272</v>
      </c>
      <c r="D254" s="16">
        <v>3</v>
      </c>
      <c r="E254" t="s">
        <v>1524</v>
      </c>
      <c r="F254" t="s">
        <v>282</v>
      </c>
      <c r="G254" t="s">
        <v>1567</v>
      </c>
      <c r="H254" t="s">
        <v>345</v>
      </c>
      <c r="I254" s="87">
        <v>4.4408866995073897</v>
      </c>
      <c r="Q254" t="s">
        <v>9</v>
      </c>
      <c r="R254" t="s">
        <v>70</v>
      </c>
      <c r="S254" t="s">
        <v>17</v>
      </c>
      <c r="T254" t="s">
        <v>29</v>
      </c>
      <c r="U254" s="87">
        <v>3.6724137931034484</v>
      </c>
    </row>
    <row r="255" spans="1:21" x14ac:dyDescent="0.3">
      <c r="A255" t="s">
        <v>43</v>
      </c>
      <c r="B255" t="s">
        <v>957</v>
      </c>
      <c r="C255" s="16" t="s">
        <v>272</v>
      </c>
      <c r="D255" s="16">
        <v>3</v>
      </c>
      <c r="E255" t="s">
        <v>1525</v>
      </c>
      <c r="F255" t="s">
        <v>283</v>
      </c>
      <c r="G255" t="s">
        <v>1567</v>
      </c>
      <c r="H255" t="s">
        <v>344</v>
      </c>
      <c r="I255" s="87">
        <v>6.5098522167487687</v>
      </c>
      <c r="Q255" t="s">
        <v>9</v>
      </c>
      <c r="R255" t="s">
        <v>70</v>
      </c>
      <c r="S255" t="s">
        <v>16</v>
      </c>
      <c r="T255" t="s">
        <v>29</v>
      </c>
      <c r="U255" s="87">
        <v>3.6724137931034484</v>
      </c>
    </row>
    <row r="256" spans="1:21" x14ac:dyDescent="0.3">
      <c r="A256" t="s">
        <v>43</v>
      </c>
      <c r="B256" t="s">
        <v>958</v>
      </c>
      <c r="C256" s="16" t="s">
        <v>272</v>
      </c>
      <c r="D256" s="16">
        <v>3</v>
      </c>
      <c r="E256" t="s">
        <v>1524</v>
      </c>
      <c r="F256" t="s">
        <v>282</v>
      </c>
      <c r="G256" t="s">
        <v>341</v>
      </c>
      <c r="H256" t="s">
        <v>345</v>
      </c>
      <c r="I256" s="87">
        <v>4.6822660098522171</v>
      </c>
      <c r="Q256" t="s">
        <v>9</v>
      </c>
      <c r="R256" t="s">
        <v>70</v>
      </c>
      <c r="S256" t="s">
        <v>20</v>
      </c>
      <c r="T256" t="s">
        <v>29</v>
      </c>
      <c r="U256" s="87">
        <v>4.7192118226600996</v>
      </c>
    </row>
    <row r="257" spans="1:21" x14ac:dyDescent="0.3">
      <c r="A257" t="s">
        <v>43</v>
      </c>
      <c r="B257" t="s">
        <v>959</v>
      </c>
      <c r="C257" s="16" t="s">
        <v>272</v>
      </c>
      <c r="D257" s="16">
        <v>3</v>
      </c>
      <c r="E257" t="s">
        <v>1525</v>
      </c>
      <c r="F257" t="s">
        <v>283</v>
      </c>
      <c r="G257" t="s">
        <v>1567</v>
      </c>
      <c r="H257" t="s">
        <v>345</v>
      </c>
      <c r="I257" s="87">
        <v>7.5197044334975374</v>
      </c>
      <c r="Q257" t="s">
        <v>9</v>
      </c>
      <c r="R257" t="s">
        <v>70</v>
      </c>
      <c r="S257" t="s">
        <v>22</v>
      </c>
      <c r="T257" t="s">
        <v>29</v>
      </c>
      <c r="U257" s="87">
        <v>3.431034482758621</v>
      </c>
    </row>
    <row r="258" spans="1:21" x14ac:dyDescent="0.3">
      <c r="A258" t="s">
        <v>43</v>
      </c>
      <c r="B258" t="s">
        <v>960</v>
      </c>
      <c r="C258" s="16" t="s">
        <v>272</v>
      </c>
      <c r="D258" s="16">
        <v>3</v>
      </c>
      <c r="E258" t="s">
        <v>1525</v>
      </c>
      <c r="F258" t="s">
        <v>283</v>
      </c>
      <c r="G258" t="s">
        <v>1567</v>
      </c>
      <c r="H258" t="s">
        <v>344</v>
      </c>
      <c r="I258" s="87">
        <v>6.5098522167487687</v>
      </c>
    </row>
    <row r="259" spans="1:21" x14ac:dyDescent="0.3">
      <c r="A259" t="s">
        <v>43</v>
      </c>
      <c r="B259" t="s">
        <v>961</v>
      </c>
      <c r="C259" s="16" t="s">
        <v>272</v>
      </c>
      <c r="D259" s="16">
        <v>3</v>
      </c>
      <c r="E259" t="s">
        <v>1525</v>
      </c>
      <c r="F259" t="s">
        <v>283</v>
      </c>
      <c r="G259" t="s">
        <v>1567</v>
      </c>
      <c r="H259" t="s">
        <v>344</v>
      </c>
      <c r="I259" s="87">
        <v>6.5098522167487687</v>
      </c>
    </row>
    <row r="260" spans="1:21" x14ac:dyDescent="0.3">
      <c r="A260" t="s">
        <v>43</v>
      </c>
      <c r="B260" t="s">
        <v>962</v>
      </c>
      <c r="C260" s="16" t="s">
        <v>272</v>
      </c>
      <c r="D260" s="16">
        <v>3</v>
      </c>
      <c r="E260" t="s">
        <v>1524</v>
      </c>
      <c r="F260" t="s">
        <v>1537</v>
      </c>
      <c r="G260" t="s">
        <v>1566</v>
      </c>
      <c r="H260" t="s">
        <v>1572</v>
      </c>
      <c r="I260" s="87">
        <v>5.6551724137931032</v>
      </c>
    </row>
    <row r="261" spans="1:21" x14ac:dyDescent="0.3">
      <c r="A261" t="s">
        <v>43</v>
      </c>
      <c r="B261" t="s">
        <v>963</v>
      </c>
      <c r="C261" s="16" t="s">
        <v>272</v>
      </c>
      <c r="D261" s="16">
        <v>3</v>
      </c>
      <c r="E261" t="s">
        <v>1524</v>
      </c>
      <c r="F261" t="s">
        <v>1557</v>
      </c>
      <c r="G261" t="s">
        <v>1566</v>
      </c>
      <c r="H261" t="s">
        <v>1573</v>
      </c>
      <c r="I261" s="87">
        <v>5.7290640394088674</v>
      </c>
    </row>
    <row r="262" spans="1:21" x14ac:dyDescent="0.3">
      <c r="A262" t="s">
        <v>43</v>
      </c>
      <c r="B262" t="s">
        <v>964</v>
      </c>
      <c r="C262" s="16" t="s">
        <v>272</v>
      </c>
      <c r="D262" s="16">
        <v>3</v>
      </c>
      <c r="E262" t="s">
        <v>1524</v>
      </c>
      <c r="F262" t="s">
        <v>1557</v>
      </c>
      <c r="G262" t="s">
        <v>1566</v>
      </c>
      <c r="H262" t="s">
        <v>344</v>
      </c>
      <c r="I262" s="87">
        <v>4.5591133004926112</v>
      </c>
    </row>
    <row r="263" spans="1:21" x14ac:dyDescent="0.3">
      <c r="A263" t="s">
        <v>43</v>
      </c>
      <c r="B263" t="s">
        <v>965</v>
      </c>
      <c r="C263" s="16" t="s">
        <v>272</v>
      </c>
      <c r="D263" s="16">
        <v>3</v>
      </c>
      <c r="E263" t="s">
        <v>1524</v>
      </c>
      <c r="F263" t="s">
        <v>1557</v>
      </c>
      <c r="G263" t="s">
        <v>1566</v>
      </c>
      <c r="H263" t="s">
        <v>345</v>
      </c>
      <c r="I263" s="87">
        <v>5.5689655172413799</v>
      </c>
    </row>
    <row r="264" spans="1:21" x14ac:dyDescent="0.3">
      <c r="A264" t="s">
        <v>43</v>
      </c>
      <c r="B264" t="s">
        <v>966</v>
      </c>
      <c r="C264" s="16" t="s">
        <v>272</v>
      </c>
      <c r="D264" s="16">
        <v>2</v>
      </c>
      <c r="E264" t="s">
        <v>1524</v>
      </c>
      <c r="F264" t="s">
        <v>1537</v>
      </c>
      <c r="G264" t="s">
        <v>341</v>
      </c>
      <c r="H264" t="s">
        <v>1571</v>
      </c>
      <c r="I264" s="87">
        <v>6.3990147783251237</v>
      </c>
    </row>
    <row r="265" spans="1:21" x14ac:dyDescent="0.3">
      <c r="A265" t="s">
        <v>43</v>
      </c>
      <c r="B265" t="s">
        <v>967</v>
      </c>
      <c r="C265" s="16" t="s">
        <v>272</v>
      </c>
      <c r="D265" s="16">
        <v>2</v>
      </c>
      <c r="E265" t="s">
        <v>1524</v>
      </c>
      <c r="F265" t="s">
        <v>1537</v>
      </c>
      <c r="G265" t="s">
        <v>341</v>
      </c>
      <c r="H265" t="s">
        <v>1571</v>
      </c>
      <c r="I265" s="87">
        <v>6.3990147783251237</v>
      </c>
    </row>
    <row r="266" spans="1:21" x14ac:dyDescent="0.3">
      <c r="A266" t="s">
        <v>45</v>
      </c>
      <c r="B266" t="s">
        <v>968</v>
      </c>
      <c r="C266" s="16" t="s">
        <v>272</v>
      </c>
      <c r="D266" s="16">
        <v>3</v>
      </c>
      <c r="E266" t="s">
        <v>1524</v>
      </c>
      <c r="F266" t="s">
        <v>1542</v>
      </c>
      <c r="G266" t="s">
        <v>1567</v>
      </c>
      <c r="H266" t="s">
        <v>344</v>
      </c>
      <c r="I266" s="87">
        <v>4.305418719211823</v>
      </c>
    </row>
    <row r="267" spans="1:21" x14ac:dyDescent="0.3">
      <c r="A267" t="s">
        <v>45</v>
      </c>
      <c r="B267" t="s">
        <v>969</v>
      </c>
      <c r="C267" s="16" t="s">
        <v>272</v>
      </c>
      <c r="D267" s="16">
        <v>2</v>
      </c>
      <c r="E267" t="s">
        <v>1525</v>
      </c>
      <c r="F267" t="s">
        <v>284</v>
      </c>
      <c r="G267" t="s">
        <v>1567</v>
      </c>
      <c r="H267" t="s">
        <v>344</v>
      </c>
      <c r="I267" s="87">
        <v>7.1182266009852215</v>
      </c>
    </row>
    <row r="268" spans="1:21" x14ac:dyDescent="0.3">
      <c r="A268" t="s">
        <v>45</v>
      </c>
      <c r="B268" t="s">
        <v>970</v>
      </c>
      <c r="C268" s="16" t="s">
        <v>272</v>
      </c>
      <c r="D268" s="16">
        <v>2</v>
      </c>
      <c r="E268" t="s">
        <v>1525</v>
      </c>
      <c r="F268" t="s">
        <v>284</v>
      </c>
      <c r="G268" t="s">
        <v>343</v>
      </c>
      <c r="H268" t="s">
        <v>291</v>
      </c>
      <c r="I268" s="87">
        <v>8.4310344827586192</v>
      </c>
    </row>
    <row r="269" spans="1:21" x14ac:dyDescent="0.3">
      <c r="A269" t="s">
        <v>45</v>
      </c>
      <c r="B269" t="s">
        <v>971</v>
      </c>
      <c r="C269" s="16" t="s">
        <v>272</v>
      </c>
      <c r="D269" s="16">
        <v>3</v>
      </c>
      <c r="E269" t="s">
        <v>1524</v>
      </c>
      <c r="F269" t="s">
        <v>1537</v>
      </c>
      <c r="G269" t="s">
        <v>1567</v>
      </c>
      <c r="H269" t="s">
        <v>1570</v>
      </c>
      <c r="I269" s="87">
        <v>5.4137931034482758</v>
      </c>
    </row>
    <row r="270" spans="1:21" x14ac:dyDescent="0.3">
      <c r="A270" t="s">
        <v>45</v>
      </c>
      <c r="B270" t="s">
        <v>972</v>
      </c>
      <c r="C270" s="16" t="s">
        <v>272</v>
      </c>
      <c r="D270" s="16">
        <v>3</v>
      </c>
      <c r="E270" t="s">
        <v>1524</v>
      </c>
      <c r="F270" t="s">
        <v>1537</v>
      </c>
      <c r="G270" t="s">
        <v>1567</v>
      </c>
      <c r="H270" t="s">
        <v>344</v>
      </c>
      <c r="I270" s="87">
        <v>4.2931034482758621</v>
      </c>
    </row>
    <row r="271" spans="1:21" x14ac:dyDescent="0.3">
      <c r="A271" t="s">
        <v>45</v>
      </c>
      <c r="B271" t="s">
        <v>973</v>
      </c>
      <c r="C271" s="16" t="s">
        <v>272</v>
      </c>
      <c r="D271" s="16">
        <v>3</v>
      </c>
      <c r="E271" t="s">
        <v>1524</v>
      </c>
      <c r="F271" t="s">
        <v>1537</v>
      </c>
      <c r="G271" t="s">
        <v>1567</v>
      </c>
      <c r="H271" t="s">
        <v>344</v>
      </c>
      <c r="I271" s="87">
        <v>4.2931034482758621</v>
      </c>
    </row>
    <row r="272" spans="1:21" x14ac:dyDescent="0.3">
      <c r="A272" t="s">
        <v>45</v>
      </c>
      <c r="B272" t="s">
        <v>974</v>
      </c>
      <c r="C272" s="16" t="s">
        <v>272</v>
      </c>
      <c r="D272" s="16">
        <v>3</v>
      </c>
      <c r="E272" t="s">
        <v>1524</v>
      </c>
      <c r="F272" t="s">
        <v>282</v>
      </c>
      <c r="G272" t="s">
        <v>343</v>
      </c>
      <c r="H272" t="s">
        <v>291</v>
      </c>
      <c r="I272" s="87">
        <v>4.7438423645320196</v>
      </c>
    </row>
    <row r="273" spans="1:9" x14ac:dyDescent="0.3">
      <c r="A273" t="s">
        <v>45</v>
      </c>
      <c r="B273" t="s">
        <v>975</v>
      </c>
      <c r="C273" s="16" t="s">
        <v>272</v>
      </c>
      <c r="D273" s="16">
        <v>3</v>
      </c>
      <c r="E273" t="s">
        <v>1524</v>
      </c>
      <c r="F273" t="s">
        <v>1537</v>
      </c>
      <c r="G273" t="s">
        <v>1567</v>
      </c>
      <c r="H273" t="s">
        <v>344</v>
      </c>
      <c r="I273" s="87">
        <v>4.2931034482758621</v>
      </c>
    </row>
    <row r="274" spans="1:9" x14ac:dyDescent="0.3">
      <c r="A274" t="s">
        <v>45</v>
      </c>
      <c r="B274" t="s">
        <v>976</v>
      </c>
      <c r="C274" s="16" t="s">
        <v>272</v>
      </c>
      <c r="D274" s="16">
        <v>3</v>
      </c>
      <c r="E274" t="s">
        <v>1524</v>
      </c>
      <c r="F274" t="s">
        <v>1537</v>
      </c>
      <c r="G274" t="s">
        <v>1567</v>
      </c>
      <c r="H274" t="s">
        <v>344</v>
      </c>
      <c r="I274" s="87">
        <v>4.2931034482758621</v>
      </c>
    </row>
    <row r="275" spans="1:9" x14ac:dyDescent="0.3">
      <c r="A275" t="s">
        <v>45</v>
      </c>
      <c r="B275" t="s">
        <v>977</v>
      </c>
      <c r="C275" s="16" t="s">
        <v>272</v>
      </c>
      <c r="D275" s="16">
        <v>3</v>
      </c>
      <c r="E275" t="s">
        <v>1524</v>
      </c>
      <c r="F275" t="s">
        <v>1537</v>
      </c>
      <c r="G275" t="s">
        <v>1567</v>
      </c>
      <c r="H275" t="s">
        <v>344</v>
      </c>
      <c r="I275" s="87">
        <v>4.2931034482758621</v>
      </c>
    </row>
    <row r="276" spans="1:9" x14ac:dyDescent="0.3">
      <c r="A276" t="s">
        <v>45</v>
      </c>
      <c r="B276" t="s">
        <v>978</v>
      </c>
      <c r="C276" s="16" t="s">
        <v>272</v>
      </c>
      <c r="D276" s="16">
        <v>3</v>
      </c>
      <c r="E276" t="s">
        <v>1524</v>
      </c>
      <c r="F276" t="s">
        <v>1658</v>
      </c>
      <c r="G276" t="s">
        <v>1567</v>
      </c>
      <c r="H276" t="s">
        <v>344</v>
      </c>
      <c r="I276" s="87">
        <v>4.4285714285714288</v>
      </c>
    </row>
    <row r="277" spans="1:9" x14ac:dyDescent="0.3">
      <c r="A277" t="s">
        <v>45</v>
      </c>
      <c r="B277" t="s">
        <v>979</v>
      </c>
      <c r="C277" s="16" t="s">
        <v>272</v>
      </c>
      <c r="D277" s="16">
        <v>3</v>
      </c>
      <c r="E277" t="s">
        <v>1524</v>
      </c>
      <c r="F277" t="s">
        <v>1542</v>
      </c>
      <c r="G277" t="s">
        <v>1567</v>
      </c>
      <c r="H277" t="s">
        <v>344</v>
      </c>
      <c r="I277" s="87">
        <v>4.305418719211823</v>
      </c>
    </row>
    <row r="278" spans="1:9" x14ac:dyDescent="0.3">
      <c r="A278" t="s">
        <v>45</v>
      </c>
      <c r="B278" t="s">
        <v>980</v>
      </c>
      <c r="C278" s="16" t="s">
        <v>272</v>
      </c>
      <c r="D278" s="16">
        <v>3</v>
      </c>
      <c r="E278" t="s">
        <v>1524</v>
      </c>
      <c r="F278" t="s">
        <v>1658</v>
      </c>
      <c r="G278" t="s">
        <v>1567</v>
      </c>
      <c r="H278" t="s">
        <v>344</v>
      </c>
      <c r="I278" s="87">
        <v>4.4285714285714288</v>
      </c>
    </row>
    <row r="279" spans="1:9" x14ac:dyDescent="0.3">
      <c r="A279" t="s">
        <v>45</v>
      </c>
      <c r="B279" t="s">
        <v>981</v>
      </c>
      <c r="C279" s="16" t="s">
        <v>272</v>
      </c>
      <c r="D279" s="16">
        <v>3</v>
      </c>
      <c r="E279" t="s">
        <v>1524</v>
      </c>
      <c r="F279" t="s">
        <v>1534</v>
      </c>
      <c r="G279" t="s">
        <v>1567</v>
      </c>
      <c r="H279" t="s">
        <v>344</v>
      </c>
      <c r="I279" s="87">
        <v>4.3793103448275863</v>
      </c>
    </row>
    <row r="280" spans="1:9" x14ac:dyDescent="0.3">
      <c r="A280" t="s">
        <v>45</v>
      </c>
      <c r="B280" t="s">
        <v>982</v>
      </c>
      <c r="C280" s="16" t="s">
        <v>272</v>
      </c>
      <c r="D280" s="16">
        <v>3</v>
      </c>
      <c r="E280" t="s">
        <v>1524</v>
      </c>
      <c r="F280" t="s">
        <v>1534</v>
      </c>
      <c r="G280" t="s">
        <v>1567</v>
      </c>
      <c r="H280" t="s">
        <v>1570</v>
      </c>
      <c r="I280" s="87">
        <v>5.5</v>
      </c>
    </row>
    <row r="281" spans="1:9" x14ac:dyDescent="0.3">
      <c r="A281" t="s">
        <v>45</v>
      </c>
      <c r="B281" t="s">
        <v>983</v>
      </c>
      <c r="C281" s="16" t="s">
        <v>272</v>
      </c>
      <c r="D281" s="16">
        <v>3</v>
      </c>
      <c r="E281" t="s">
        <v>1524</v>
      </c>
      <c r="F281" t="s">
        <v>1542</v>
      </c>
      <c r="G281" t="s">
        <v>1567</v>
      </c>
      <c r="H281" t="s">
        <v>344</v>
      </c>
      <c r="I281" s="87">
        <v>4.305418719211823</v>
      </c>
    </row>
    <row r="282" spans="1:9" x14ac:dyDescent="0.3">
      <c r="A282" t="s">
        <v>45</v>
      </c>
      <c r="B282" t="s">
        <v>984</v>
      </c>
      <c r="C282" s="16" t="s">
        <v>272</v>
      </c>
      <c r="D282" s="16">
        <v>3</v>
      </c>
      <c r="E282" t="s">
        <v>1524</v>
      </c>
      <c r="F282" t="s">
        <v>1658</v>
      </c>
      <c r="G282" t="s">
        <v>1567</v>
      </c>
      <c r="H282" t="s">
        <v>344</v>
      </c>
      <c r="I282" s="87">
        <v>4.4285714285714288</v>
      </c>
    </row>
    <row r="283" spans="1:9" x14ac:dyDescent="0.3">
      <c r="A283" t="s">
        <v>45</v>
      </c>
      <c r="B283" t="s">
        <v>985</v>
      </c>
      <c r="C283" s="16" t="s">
        <v>272</v>
      </c>
      <c r="D283" s="16">
        <v>3</v>
      </c>
      <c r="E283" t="s">
        <v>1524</v>
      </c>
      <c r="F283" t="s">
        <v>1658</v>
      </c>
      <c r="G283" t="s">
        <v>1567</v>
      </c>
      <c r="H283" t="s">
        <v>344</v>
      </c>
      <c r="I283" s="87">
        <v>4.4285714285714288</v>
      </c>
    </row>
    <row r="284" spans="1:9" x14ac:dyDescent="0.3">
      <c r="A284" t="s">
        <v>9</v>
      </c>
      <c r="B284" t="s">
        <v>986</v>
      </c>
      <c r="C284" s="16" t="s">
        <v>272</v>
      </c>
      <c r="D284" s="16">
        <v>3</v>
      </c>
      <c r="E284" t="s">
        <v>1524</v>
      </c>
      <c r="F284" t="s">
        <v>1626</v>
      </c>
      <c r="G284" t="s">
        <v>1567</v>
      </c>
      <c r="H284" t="s">
        <v>347</v>
      </c>
      <c r="I284" s="87">
        <v>5.5738916256157633</v>
      </c>
    </row>
    <row r="285" spans="1:9" x14ac:dyDescent="0.3">
      <c r="A285" t="s">
        <v>9</v>
      </c>
      <c r="B285" t="s">
        <v>987</v>
      </c>
      <c r="C285" s="16" t="s">
        <v>272</v>
      </c>
      <c r="D285" s="16">
        <v>3</v>
      </c>
      <c r="E285" t="s">
        <v>1524</v>
      </c>
      <c r="F285" t="s">
        <v>1626</v>
      </c>
      <c r="G285" t="s">
        <v>1567</v>
      </c>
      <c r="H285" t="s">
        <v>347</v>
      </c>
      <c r="I285" s="87">
        <v>5.5738916256157633</v>
      </c>
    </row>
    <row r="286" spans="1:9" x14ac:dyDescent="0.3">
      <c r="A286" t="s">
        <v>9</v>
      </c>
      <c r="B286" t="s">
        <v>988</v>
      </c>
      <c r="C286" s="16" t="s">
        <v>272</v>
      </c>
      <c r="D286" s="16">
        <v>3</v>
      </c>
      <c r="E286" t="s">
        <v>1524</v>
      </c>
      <c r="F286" t="s">
        <v>1533</v>
      </c>
      <c r="G286" t="s">
        <v>1567</v>
      </c>
      <c r="H286" t="s">
        <v>347</v>
      </c>
      <c r="I286" s="87">
        <v>5.5862068965517242</v>
      </c>
    </row>
    <row r="287" spans="1:9" x14ac:dyDescent="0.3">
      <c r="A287" t="s">
        <v>9</v>
      </c>
      <c r="B287" t="s">
        <v>989</v>
      </c>
      <c r="C287" s="16" t="s">
        <v>272</v>
      </c>
      <c r="D287" s="16">
        <v>3</v>
      </c>
      <c r="E287" t="s">
        <v>1524</v>
      </c>
      <c r="F287" t="s">
        <v>1658</v>
      </c>
      <c r="G287" t="s">
        <v>341</v>
      </c>
      <c r="H287" t="s">
        <v>1572</v>
      </c>
      <c r="I287" s="87">
        <v>5.8645320197044342</v>
      </c>
    </row>
    <row r="288" spans="1:9" x14ac:dyDescent="0.3">
      <c r="A288" t="s">
        <v>9</v>
      </c>
      <c r="B288" t="s">
        <v>990</v>
      </c>
      <c r="C288" s="16" t="s">
        <v>272</v>
      </c>
      <c r="D288" s="16">
        <v>2</v>
      </c>
      <c r="E288" t="s">
        <v>1524</v>
      </c>
      <c r="F288" t="s">
        <v>1547</v>
      </c>
      <c r="G288" t="s">
        <v>341</v>
      </c>
      <c r="H288" t="s">
        <v>345</v>
      </c>
      <c r="I288" s="87">
        <v>6.2142857142857144</v>
      </c>
    </row>
    <row r="289" spans="1:9" x14ac:dyDescent="0.3">
      <c r="A289" t="s">
        <v>9</v>
      </c>
      <c r="B289" t="s">
        <v>991</v>
      </c>
      <c r="C289" s="16" t="s">
        <v>272</v>
      </c>
      <c r="D289" s="16">
        <v>3</v>
      </c>
      <c r="E289" t="s">
        <v>1524</v>
      </c>
      <c r="F289" t="s">
        <v>1547</v>
      </c>
      <c r="G289" t="s">
        <v>341</v>
      </c>
      <c r="H289" t="s">
        <v>345</v>
      </c>
      <c r="I289" s="87">
        <v>5.568965517241379</v>
      </c>
    </row>
    <row r="290" spans="1:9" x14ac:dyDescent="0.3">
      <c r="A290" t="s">
        <v>43</v>
      </c>
      <c r="B290" t="s">
        <v>992</v>
      </c>
      <c r="C290" s="16" t="s">
        <v>272</v>
      </c>
      <c r="D290" s="16">
        <v>3</v>
      </c>
      <c r="E290" t="s">
        <v>1524</v>
      </c>
      <c r="F290" t="s">
        <v>1562</v>
      </c>
      <c r="G290" t="s">
        <v>1567</v>
      </c>
      <c r="H290" t="s">
        <v>1574</v>
      </c>
      <c r="I290" s="87">
        <v>5.4630541871921192</v>
      </c>
    </row>
    <row r="291" spans="1:9" x14ac:dyDescent="0.3">
      <c r="A291" t="s">
        <v>43</v>
      </c>
      <c r="B291" t="s">
        <v>993</v>
      </c>
      <c r="C291" s="16" t="s">
        <v>272</v>
      </c>
      <c r="D291" s="16">
        <v>3</v>
      </c>
      <c r="E291" t="s">
        <v>1524</v>
      </c>
      <c r="F291" t="s">
        <v>1562</v>
      </c>
      <c r="G291" t="s">
        <v>1567</v>
      </c>
      <c r="H291" t="s">
        <v>1574</v>
      </c>
      <c r="I291" s="87">
        <v>5.4630541871921192</v>
      </c>
    </row>
    <row r="292" spans="1:9" x14ac:dyDescent="0.3">
      <c r="A292" t="s">
        <v>43</v>
      </c>
      <c r="B292" t="s">
        <v>994</v>
      </c>
      <c r="C292" s="16" t="s">
        <v>272</v>
      </c>
      <c r="D292" s="16">
        <v>3</v>
      </c>
      <c r="E292" t="s">
        <v>1524</v>
      </c>
      <c r="F292" t="s">
        <v>1562</v>
      </c>
      <c r="G292" t="s">
        <v>1567</v>
      </c>
      <c r="H292" t="s">
        <v>1574</v>
      </c>
      <c r="I292" s="87">
        <v>5.4630541871921192</v>
      </c>
    </row>
    <row r="293" spans="1:9" x14ac:dyDescent="0.3">
      <c r="A293" t="s">
        <v>43</v>
      </c>
      <c r="B293" t="s">
        <v>995</v>
      </c>
      <c r="C293" s="16" t="s">
        <v>272</v>
      </c>
      <c r="D293" s="16">
        <v>3</v>
      </c>
      <c r="E293" t="s">
        <v>1524</v>
      </c>
      <c r="F293" t="s">
        <v>1562</v>
      </c>
      <c r="G293" t="s">
        <v>1567</v>
      </c>
      <c r="H293" t="s">
        <v>1574</v>
      </c>
      <c r="I293" s="87">
        <v>5.4630541871921192</v>
      </c>
    </row>
    <row r="294" spans="1:9" x14ac:dyDescent="0.3">
      <c r="A294" t="s">
        <v>43</v>
      </c>
      <c r="B294" t="s">
        <v>996</v>
      </c>
      <c r="C294" s="16" t="s">
        <v>272</v>
      </c>
      <c r="D294" s="16">
        <v>3</v>
      </c>
      <c r="E294" t="s">
        <v>1524</v>
      </c>
      <c r="F294" t="s">
        <v>1562</v>
      </c>
      <c r="G294" t="s">
        <v>1567</v>
      </c>
      <c r="H294" t="s">
        <v>1574</v>
      </c>
      <c r="I294" s="87">
        <v>5.4630541871921192</v>
      </c>
    </row>
    <row r="295" spans="1:9" x14ac:dyDescent="0.3">
      <c r="A295" t="s">
        <v>43</v>
      </c>
      <c r="B295" t="s">
        <v>997</v>
      </c>
      <c r="C295" s="16" t="s">
        <v>272</v>
      </c>
      <c r="D295" s="16">
        <v>3</v>
      </c>
      <c r="E295" t="s">
        <v>1524</v>
      </c>
      <c r="F295" t="s">
        <v>1562</v>
      </c>
      <c r="G295" t="s">
        <v>1567</v>
      </c>
      <c r="H295" t="s">
        <v>1574</v>
      </c>
      <c r="I295" s="87">
        <v>5.4630541871921192</v>
      </c>
    </row>
    <row r="296" spans="1:9" x14ac:dyDescent="0.3">
      <c r="A296" t="s">
        <v>43</v>
      </c>
      <c r="B296" t="s">
        <v>998</v>
      </c>
      <c r="C296" s="16" t="s">
        <v>272</v>
      </c>
      <c r="D296" s="16">
        <v>3</v>
      </c>
      <c r="E296" t="s">
        <v>1524</v>
      </c>
      <c r="F296" t="s">
        <v>1562</v>
      </c>
      <c r="G296" t="s">
        <v>1568</v>
      </c>
      <c r="H296" t="s">
        <v>1571</v>
      </c>
      <c r="I296" s="87">
        <v>5.8226600985221681</v>
      </c>
    </row>
    <row r="297" spans="1:9" x14ac:dyDescent="0.3">
      <c r="A297" t="s">
        <v>43</v>
      </c>
      <c r="B297" t="s">
        <v>999</v>
      </c>
      <c r="C297" s="16" t="s">
        <v>272</v>
      </c>
      <c r="D297" s="16">
        <v>3</v>
      </c>
      <c r="E297" t="s">
        <v>1524</v>
      </c>
      <c r="F297" t="s">
        <v>1562</v>
      </c>
      <c r="G297" t="s">
        <v>1568</v>
      </c>
      <c r="H297" t="s">
        <v>1571</v>
      </c>
      <c r="I297" s="87">
        <v>5.8226600985221681</v>
      </c>
    </row>
    <row r="298" spans="1:9" x14ac:dyDescent="0.3">
      <c r="A298" t="s">
        <v>43</v>
      </c>
      <c r="B298" t="s">
        <v>1000</v>
      </c>
      <c r="C298" s="16" t="s">
        <v>272</v>
      </c>
      <c r="D298" s="16">
        <v>3</v>
      </c>
      <c r="E298" t="s">
        <v>1524</v>
      </c>
      <c r="F298" t="s">
        <v>1562</v>
      </c>
      <c r="G298" t="s">
        <v>1568</v>
      </c>
      <c r="H298" t="s">
        <v>1571</v>
      </c>
      <c r="I298" s="87">
        <v>5.8226600985221681</v>
      </c>
    </row>
    <row r="299" spans="1:9" x14ac:dyDescent="0.3">
      <c r="A299" t="s">
        <v>43</v>
      </c>
      <c r="B299" t="s">
        <v>1001</v>
      </c>
      <c r="C299" s="16" t="s">
        <v>272</v>
      </c>
      <c r="D299" s="16">
        <v>3</v>
      </c>
      <c r="E299" t="s">
        <v>1524</v>
      </c>
      <c r="F299" t="s">
        <v>1562</v>
      </c>
      <c r="G299" t="s">
        <v>1568</v>
      </c>
      <c r="H299" t="s">
        <v>1571</v>
      </c>
      <c r="I299" s="87">
        <v>5.8226600985221681</v>
      </c>
    </row>
    <row r="300" spans="1:9" x14ac:dyDescent="0.3">
      <c r="A300" t="s">
        <v>43</v>
      </c>
      <c r="B300" t="s">
        <v>1002</v>
      </c>
      <c r="C300" s="16" t="s">
        <v>272</v>
      </c>
      <c r="D300" s="16">
        <v>3</v>
      </c>
      <c r="E300" t="s">
        <v>1524</v>
      </c>
      <c r="F300" t="s">
        <v>1562</v>
      </c>
      <c r="G300" t="s">
        <v>1568</v>
      </c>
      <c r="H300" t="s">
        <v>1571</v>
      </c>
      <c r="I300" s="87">
        <v>5.8226600985221681</v>
      </c>
    </row>
    <row r="301" spans="1:9" x14ac:dyDescent="0.3">
      <c r="A301" t="s">
        <v>43</v>
      </c>
      <c r="B301" t="s">
        <v>1003</v>
      </c>
      <c r="C301" s="16" t="s">
        <v>272</v>
      </c>
      <c r="D301" s="16">
        <v>3</v>
      </c>
      <c r="E301" t="s">
        <v>1524</v>
      </c>
      <c r="F301" t="s">
        <v>1562</v>
      </c>
      <c r="G301" t="s">
        <v>1568</v>
      </c>
      <c r="H301" t="s">
        <v>1571</v>
      </c>
      <c r="I301" s="87">
        <v>5.8226600985221681</v>
      </c>
    </row>
    <row r="302" spans="1:9" x14ac:dyDescent="0.3">
      <c r="A302" t="s">
        <v>43</v>
      </c>
      <c r="B302" t="s">
        <v>1004</v>
      </c>
      <c r="C302" s="16" t="s">
        <v>272</v>
      </c>
      <c r="D302" s="16">
        <v>3</v>
      </c>
      <c r="E302" t="s">
        <v>1524</v>
      </c>
      <c r="F302" t="s">
        <v>1562</v>
      </c>
      <c r="G302" t="s">
        <v>1568</v>
      </c>
      <c r="H302" t="s">
        <v>1571</v>
      </c>
      <c r="I302" s="87">
        <v>5.8226600985221681</v>
      </c>
    </row>
    <row r="303" spans="1:9" x14ac:dyDescent="0.3">
      <c r="A303" t="s">
        <v>43</v>
      </c>
      <c r="B303" t="s">
        <v>1005</v>
      </c>
      <c r="C303" s="16" t="s">
        <v>272</v>
      </c>
      <c r="D303" s="16">
        <v>3</v>
      </c>
      <c r="E303" t="s">
        <v>1524</v>
      </c>
      <c r="F303" t="s">
        <v>1562</v>
      </c>
      <c r="G303" t="s">
        <v>1568</v>
      </c>
      <c r="H303" t="s">
        <v>1571</v>
      </c>
      <c r="I303" s="87">
        <v>5.8226600985221681</v>
      </c>
    </row>
    <row r="304" spans="1:9" x14ac:dyDescent="0.3">
      <c r="A304" t="s">
        <v>43</v>
      </c>
      <c r="B304" t="s">
        <v>1006</v>
      </c>
      <c r="C304" s="16" t="s">
        <v>272</v>
      </c>
      <c r="D304" s="16">
        <v>3</v>
      </c>
      <c r="E304" t="s">
        <v>1524</v>
      </c>
      <c r="F304" t="s">
        <v>1562</v>
      </c>
      <c r="G304" t="s">
        <v>1568</v>
      </c>
      <c r="H304" t="s">
        <v>1571</v>
      </c>
      <c r="I304" s="87">
        <v>5.8226600985221681</v>
      </c>
    </row>
    <row r="305" spans="1:9" x14ac:dyDescent="0.3">
      <c r="A305" t="s">
        <v>43</v>
      </c>
      <c r="B305" t="s">
        <v>1007</v>
      </c>
      <c r="C305" s="16" t="s">
        <v>272</v>
      </c>
      <c r="D305" s="16">
        <v>3</v>
      </c>
      <c r="E305" t="s">
        <v>1524</v>
      </c>
      <c r="F305" t="s">
        <v>1562</v>
      </c>
      <c r="G305" t="s">
        <v>1568</v>
      </c>
      <c r="H305" t="s">
        <v>1571</v>
      </c>
      <c r="I305" s="87">
        <v>5.8226600985221681</v>
      </c>
    </row>
    <row r="306" spans="1:9" x14ac:dyDescent="0.3">
      <c r="A306" t="s">
        <v>43</v>
      </c>
      <c r="B306" t="s">
        <v>1008</v>
      </c>
      <c r="C306" s="16" t="s">
        <v>272</v>
      </c>
      <c r="D306" s="16">
        <v>3</v>
      </c>
      <c r="E306" t="s">
        <v>1524</v>
      </c>
      <c r="F306" t="s">
        <v>1562</v>
      </c>
      <c r="G306" t="s">
        <v>1568</v>
      </c>
      <c r="H306" t="s">
        <v>1571</v>
      </c>
      <c r="I306" s="87">
        <v>5.8226600985221681</v>
      </c>
    </row>
    <row r="307" spans="1:9" x14ac:dyDescent="0.3">
      <c r="A307" t="s">
        <v>43</v>
      </c>
      <c r="B307" t="s">
        <v>1009</v>
      </c>
      <c r="C307" s="16" t="s">
        <v>272</v>
      </c>
      <c r="D307" s="16">
        <v>3</v>
      </c>
      <c r="E307" t="s">
        <v>1524</v>
      </c>
      <c r="F307" t="s">
        <v>1562</v>
      </c>
      <c r="G307" t="s">
        <v>1568</v>
      </c>
      <c r="H307" t="s">
        <v>1571</v>
      </c>
      <c r="I307" s="87">
        <v>5.8226600985221681</v>
      </c>
    </row>
    <row r="308" spans="1:9" x14ac:dyDescent="0.3">
      <c r="A308" t="s">
        <v>43</v>
      </c>
      <c r="B308" t="s">
        <v>1010</v>
      </c>
      <c r="C308" s="16" t="s">
        <v>272</v>
      </c>
      <c r="D308" s="16">
        <v>3</v>
      </c>
      <c r="E308" t="s">
        <v>1524</v>
      </c>
      <c r="F308" t="s">
        <v>1562</v>
      </c>
      <c r="G308" t="s">
        <v>1568</v>
      </c>
      <c r="H308" t="s">
        <v>1571</v>
      </c>
      <c r="I308" s="87">
        <v>5.8226600985221681</v>
      </c>
    </row>
    <row r="309" spans="1:9" x14ac:dyDescent="0.3">
      <c r="A309" t="s">
        <v>9</v>
      </c>
      <c r="B309" t="s">
        <v>1011</v>
      </c>
      <c r="C309" s="16" t="s">
        <v>272</v>
      </c>
      <c r="D309" s="16">
        <v>2</v>
      </c>
      <c r="E309" t="s">
        <v>1525</v>
      </c>
      <c r="F309" t="s">
        <v>339</v>
      </c>
      <c r="G309" t="s">
        <v>1567</v>
      </c>
      <c r="H309" t="s">
        <v>345</v>
      </c>
      <c r="I309" s="87">
        <v>8.152709359605911</v>
      </c>
    </row>
    <row r="310" spans="1:9" x14ac:dyDescent="0.3">
      <c r="A310" t="s">
        <v>9</v>
      </c>
      <c r="B310" t="s">
        <v>1012</v>
      </c>
      <c r="C310" s="16" t="s">
        <v>272</v>
      </c>
      <c r="D310" s="16">
        <v>3</v>
      </c>
      <c r="E310" t="s">
        <v>1524</v>
      </c>
      <c r="F310" t="s">
        <v>284</v>
      </c>
      <c r="G310" t="s">
        <v>1567</v>
      </c>
      <c r="H310" t="s">
        <v>345</v>
      </c>
      <c r="I310" s="87">
        <v>5.389162561576355</v>
      </c>
    </row>
    <row r="311" spans="1:9" x14ac:dyDescent="0.3">
      <c r="A311" t="s">
        <v>9</v>
      </c>
      <c r="B311" t="s">
        <v>1013</v>
      </c>
      <c r="C311" s="16" t="s">
        <v>272</v>
      </c>
      <c r="D311" s="16">
        <v>3</v>
      </c>
      <c r="E311" t="s">
        <v>1524</v>
      </c>
      <c r="F311" t="s">
        <v>1534</v>
      </c>
      <c r="G311" t="s">
        <v>1566</v>
      </c>
      <c r="H311" t="s">
        <v>1574</v>
      </c>
      <c r="I311" s="87">
        <v>5.6551724137931032</v>
      </c>
    </row>
    <row r="312" spans="1:9" x14ac:dyDescent="0.3">
      <c r="A312" t="s">
        <v>9</v>
      </c>
      <c r="B312" t="s">
        <v>1014</v>
      </c>
      <c r="C312" s="16" t="s">
        <v>272</v>
      </c>
      <c r="D312" s="16">
        <v>3</v>
      </c>
      <c r="E312" t="s">
        <v>1524</v>
      </c>
      <c r="F312" t="s">
        <v>1650</v>
      </c>
      <c r="G312" t="s">
        <v>1567</v>
      </c>
      <c r="H312" t="s">
        <v>1625</v>
      </c>
      <c r="I312" s="87">
        <v>5.6477832512315267</v>
      </c>
    </row>
    <row r="313" spans="1:9" x14ac:dyDescent="0.3">
      <c r="A313" t="s">
        <v>9</v>
      </c>
      <c r="B313" t="s">
        <v>1015</v>
      </c>
      <c r="C313" s="16" t="s">
        <v>272</v>
      </c>
      <c r="D313" s="16">
        <v>3</v>
      </c>
      <c r="E313" t="s">
        <v>1524</v>
      </c>
      <c r="F313" t="s">
        <v>1650</v>
      </c>
      <c r="G313" t="s">
        <v>1567</v>
      </c>
      <c r="H313" t="s">
        <v>1625</v>
      </c>
      <c r="I313" s="87">
        <v>5.6477832512315267</v>
      </c>
    </row>
    <row r="314" spans="1:9" x14ac:dyDescent="0.3">
      <c r="A314" t="s">
        <v>9</v>
      </c>
      <c r="B314" t="s">
        <v>1016</v>
      </c>
      <c r="C314" s="16" t="s">
        <v>272</v>
      </c>
      <c r="D314" s="16">
        <v>3</v>
      </c>
      <c r="E314" t="s">
        <v>1524</v>
      </c>
      <c r="F314" t="s">
        <v>1650</v>
      </c>
      <c r="G314" t="s">
        <v>341</v>
      </c>
      <c r="H314" t="s">
        <v>345</v>
      </c>
      <c r="I314" s="87">
        <v>5.6551724137931032</v>
      </c>
    </row>
    <row r="315" spans="1:9" x14ac:dyDescent="0.3">
      <c r="A315" t="s">
        <v>9</v>
      </c>
      <c r="B315" t="s">
        <v>1017</v>
      </c>
      <c r="C315" s="16" t="s">
        <v>272</v>
      </c>
      <c r="D315" s="16">
        <v>3</v>
      </c>
      <c r="E315" t="s">
        <v>1524</v>
      </c>
      <c r="F315" t="s">
        <v>1658</v>
      </c>
      <c r="G315" t="s">
        <v>1566</v>
      </c>
      <c r="H315" t="s">
        <v>345</v>
      </c>
      <c r="I315" s="87">
        <v>5.6059113300492616</v>
      </c>
    </row>
    <row r="316" spans="1:9" x14ac:dyDescent="0.3">
      <c r="A316" t="s">
        <v>9</v>
      </c>
      <c r="B316" t="s">
        <v>1018</v>
      </c>
      <c r="C316" s="16" t="s">
        <v>272</v>
      </c>
      <c r="D316" s="16">
        <v>3</v>
      </c>
      <c r="E316" t="s">
        <v>1524</v>
      </c>
      <c r="F316" t="s">
        <v>1658</v>
      </c>
      <c r="G316" t="s">
        <v>1566</v>
      </c>
      <c r="H316" t="s">
        <v>1573</v>
      </c>
      <c r="I316" s="87">
        <v>5.7660098522167491</v>
      </c>
    </row>
    <row r="317" spans="1:9" x14ac:dyDescent="0.3">
      <c r="A317" t="s">
        <v>9</v>
      </c>
      <c r="B317" t="s">
        <v>1019</v>
      </c>
      <c r="C317" s="16" t="s">
        <v>272</v>
      </c>
      <c r="D317" s="16">
        <v>3</v>
      </c>
      <c r="E317" t="s">
        <v>1524</v>
      </c>
      <c r="F317" t="s">
        <v>1658</v>
      </c>
      <c r="G317" t="s">
        <v>1567</v>
      </c>
      <c r="H317" t="s">
        <v>1625</v>
      </c>
      <c r="I317" s="87">
        <v>5.6724137931034484</v>
      </c>
    </row>
    <row r="318" spans="1:9" x14ac:dyDescent="0.3">
      <c r="A318" t="s">
        <v>9</v>
      </c>
      <c r="B318" t="s">
        <v>1020</v>
      </c>
      <c r="C318" s="16" t="s">
        <v>272</v>
      </c>
      <c r="D318" s="16">
        <v>3</v>
      </c>
      <c r="E318" t="s">
        <v>1524</v>
      </c>
      <c r="F318" t="s">
        <v>1650</v>
      </c>
      <c r="G318" t="s">
        <v>1567</v>
      </c>
      <c r="H318" t="s">
        <v>1625</v>
      </c>
      <c r="I318" s="87">
        <v>5.6477832512315267</v>
      </c>
    </row>
    <row r="319" spans="1:9" x14ac:dyDescent="0.3">
      <c r="A319" t="s">
        <v>43</v>
      </c>
      <c r="B319" t="s">
        <v>1021</v>
      </c>
      <c r="C319" s="16" t="s">
        <v>272</v>
      </c>
      <c r="D319" s="16">
        <v>3</v>
      </c>
      <c r="E319" t="s">
        <v>1524</v>
      </c>
      <c r="F319" t="s">
        <v>1628</v>
      </c>
      <c r="G319" t="s">
        <v>1568</v>
      </c>
      <c r="H319" t="s">
        <v>344</v>
      </c>
      <c r="I319" s="87">
        <v>4.6527093596059119</v>
      </c>
    </row>
    <row r="320" spans="1:9" x14ac:dyDescent="0.3">
      <c r="A320" t="s">
        <v>43</v>
      </c>
      <c r="B320" t="s">
        <v>1022</v>
      </c>
      <c r="C320" s="16" t="s">
        <v>272</v>
      </c>
      <c r="D320" s="16">
        <v>3</v>
      </c>
      <c r="E320" t="s">
        <v>1524</v>
      </c>
      <c r="F320" t="s">
        <v>1540</v>
      </c>
      <c r="G320" t="s">
        <v>1567</v>
      </c>
      <c r="H320" t="s">
        <v>1570</v>
      </c>
      <c r="I320" s="87">
        <v>5.4384236453201975</v>
      </c>
    </row>
    <row r="321" spans="1:9" x14ac:dyDescent="0.3">
      <c r="A321" t="s">
        <v>43</v>
      </c>
      <c r="B321" t="s">
        <v>1023</v>
      </c>
      <c r="C321" s="16" t="s">
        <v>272</v>
      </c>
      <c r="D321" s="16">
        <v>3</v>
      </c>
      <c r="E321" t="s">
        <v>1524</v>
      </c>
      <c r="F321" t="s">
        <v>1555</v>
      </c>
      <c r="G321" t="s">
        <v>1567</v>
      </c>
      <c r="H321" t="s">
        <v>291</v>
      </c>
      <c r="I321" s="87">
        <v>5.3645320197044333</v>
      </c>
    </row>
    <row r="322" spans="1:9" x14ac:dyDescent="0.3">
      <c r="A322" t="s">
        <v>43</v>
      </c>
      <c r="B322" t="s">
        <v>1024</v>
      </c>
      <c r="C322" s="16" t="s">
        <v>272</v>
      </c>
      <c r="D322" s="16">
        <v>3</v>
      </c>
      <c r="E322" t="s">
        <v>1524</v>
      </c>
      <c r="F322" t="s">
        <v>282</v>
      </c>
      <c r="G322" t="s">
        <v>340</v>
      </c>
      <c r="H322" t="s">
        <v>348</v>
      </c>
      <c r="I322" s="87">
        <v>4.9408866995073897</v>
      </c>
    </row>
    <row r="323" spans="1:9" x14ac:dyDescent="0.3">
      <c r="A323" t="s">
        <v>43</v>
      </c>
      <c r="B323" t="s">
        <v>1025</v>
      </c>
      <c r="C323" s="16" t="s">
        <v>272</v>
      </c>
      <c r="D323" s="16">
        <v>3</v>
      </c>
      <c r="E323" t="s">
        <v>1524</v>
      </c>
      <c r="F323" t="s">
        <v>282</v>
      </c>
      <c r="G323" t="s">
        <v>1567</v>
      </c>
      <c r="H323" t="s">
        <v>1570</v>
      </c>
      <c r="I323" s="87">
        <v>4.5517241379310356</v>
      </c>
    </row>
    <row r="324" spans="1:9" x14ac:dyDescent="0.3">
      <c r="A324" t="s">
        <v>43</v>
      </c>
      <c r="B324" t="s">
        <v>1026</v>
      </c>
      <c r="C324" s="16" t="s">
        <v>272</v>
      </c>
      <c r="D324" s="16">
        <v>3</v>
      </c>
      <c r="E324" t="s">
        <v>1524</v>
      </c>
      <c r="F324" t="s">
        <v>1547</v>
      </c>
      <c r="G324" t="s">
        <v>1566</v>
      </c>
      <c r="H324" t="s">
        <v>344</v>
      </c>
      <c r="I324" s="87">
        <v>4.485221674876847</v>
      </c>
    </row>
    <row r="325" spans="1:9" x14ac:dyDescent="0.3">
      <c r="A325" t="s">
        <v>43</v>
      </c>
      <c r="B325" t="s">
        <v>1027</v>
      </c>
      <c r="C325" s="16" t="s">
        <v>272</v>
      </c>
      <c r="D325" s="16">
        <v>3</v>
      </c>
      <c r="E325" t="s">
        <v>1524</v>
      </c>
      <c r="F325" t="s">
        <v>1547</v>
      </c>
      <c r="G325" t="s">
        <v>1566</v>
      </c>
      <c r="H325" t="s">
        <v>344</v>
      </c>
      <c r="I325" s="87">
        <v>4.485221674876847</v>
      </c>
    </row>
    <row r="326" spans="1:9" x14ac:dyDescent="0.3">
      <c r="A326" t="s">
        <v>43</v>
      </c>
      <c r="B326" t="s">
        <v>1028</v>
      </c>
      <c r="C326" s="16" t="s">
        <v>272</v>
      </c>
      <c r="D326" s="16">
        <v>3</v>
      </c>
      <c r="E326" t="s">
        <v>1524</v>
      </c>
      <c r="F326" t="s">
        <v>1547</v>
      </c>
      <c r="G326" t="s">
        <v>1566</v>
      </c>
      <c r="H326" t="s">
        <v>344</v>
      </c>
      <c r="I326" s="87">
        <v>4.485221674876847</v>
      </c>
    </row>
    <row r="327" spans="1:9" x14ac:dyDescent="0.3">
      <c r="A327" t="s">
        <v>43</v>
      </c>
      <c r="B327" t="s">
        <v>1029</v>
      </c>
      <c r="C327" s="16" t="s">
        <v>272</v>
      </c>
      <c r="D327" s="16">
        <v>2</v>
      </c>
      <c r="E327" t="s">
        <v>1524</v>
      </c>
      <c r="F327" t="s">
        <v>282</v>
      </c>
      <c r="G327" t="s">
        <v>341</v>
      </c>
      <c r="H327" t="s">
        <v>344</v>
      </c>
      <c r="I327" s="87">
        <v>4.3177339901477829</v>
      </c>
    </row>
    <row r="328" spans="1:9" x14ac:dyDescent="0.3">
      <c r="A328" t="s">
        <v>43</v>
      </c>
      <c r="B328" t="s">
        <v>1030</v>
      </c>
      <c r="C328" s="16" t="s">
        <v>272</v>
      </c>
      <c r="D328" s="16">
        <v>3</v>
      </c>
      <c r="E328" t="s">
        <v>1524</v>
      </c>
      <c r="F328" t="s">
        <v>282</v>
      </c>
      <c r="G328" t="s">
        <v>1567</v>
      </c>
      <c r="H328" t="s">
        <v>1570</v>
      </c>
      <c r="I328" s="87">
        <v>4.5517241379310356</v>
      </c>
    </row>
    <row r="329" spans="1:9" x14ac:dyDescent="0.3">
      <c r="A329" t="s">
        <v>43</v>
      </c>
      <c r="B329" t="s">
        <v>1031</v>
      </c>
      <c r="C329" s="16" t="s">
        <v>272</v>
      </c>
      <c r="D329" s="16">
        <v>2</v>
      </c>
      <c r="E329" t="s">
        <v>1525</v>
      </c>
      <c r="F329" t="s">
        <v>282</v>
      </c>
      <c r="G329" t="s">
        <v>342</v>
      </c>
      <c r="H329" t="s">
        <v>344</v>
      </c>
      <c r="I329" s="87">
        <v>6.4359605911330044</v>
      </c>
    </row>
    <row r="330" spans="1:9" x14ac:dyDescent="0.3">
      <c r="A330" t="s">
        <v>43</v>
      </c>
      <c r="B330" t="s">
        <v>1032</v>
      </c>
      <c r="C330" s="16" t="s">
        <v>272</v>
      </c>
      <c r="D330" s="16">
        <v>2</v>
      </c>
      <c r="E330" t="s">
        <v>1525</v>
      </c>
      <c r="F330" t="s">
        <v>282</v>
      </c>
      <c r="G330" t="s">
        <v>342</v>
      </c>
      <c r="H330" t="s">
        <v>344</v>
      </c>
      <c r="I330" s="87">
        <v>6.4359605911330044</v>
      </c>
    </row>
    <row r="331" spans="1:9" x14ac:dyDescent="0.3">
      <c r="A331" t="s">
        <v>43</v>
      </c>
      <c r="B331" t="s">
        <v>1033</v>
      </c>
      <c r="C331" s="16" t="s">
        <v>272</v>
      </c>
      <c r="D331" s="16">
        <v>3</v>
      </c>
      <c r="E331" t="s">
        <v>1524</v>
      </c>
      <c r="F331" t="s">
        <v>1658</v>
      </c>
      <c r="G331" t="s">
        <v>1566</v>
      </c>
      <c r="H331" t="s">
        <v>1574</v>
      </c>
      <c r="I331" s="87">
        <v>5.7044334975369466</v>
      </c>
    </row>
    <row r="332" spans="1:9" x14ac:dyDescent="0.3">
      <c r="A332" t="s">
        <v>43</v>
      </c>
      <c r="B332" t="s">
        <v>1034</v>
      </c>
      <c r="C332" s="16" t="s">
        <v>272</v>
      </c>
      <c r="D332" s="16">
        <v>3</v>
      </c>
      <c r="E332" t="s">
        <v>1524</v>
      </c>
      <c r="F332" t="s">
        <v>1658</v>
      </c>
      <c r="G332" t="s">
        <v>1567</v>
      </c>
      <c r="H332" t="s">
        <v>344</v>
      </c>
      <c r="I332" s="87">
        <v>4.4285714285714288</v>
      </c>
    </row>
    <row r="333" spans="1:9" x14ac:dyDescent="0.3">
      <c r="A333" t="s">
        <v>43</v>
      </c>
      <c r="B333" t="s">
        <v>1035</v>
      </c>
      <c r="C333" s="16" t="s">
        <v>272</v>
      </c>
      <c r="D333" s="16">
        <v>3</v>
      </c>
      <c r="E333" t="s">
        <v>1524</v>
      </c>
      <c r="F333" t="s">
        <v>1551</v>
      </c>
      <c r="G333" t="s">
        <v>1566</v>
      </c>
      <c r="H333" t="s">
        <v>344</v>
      </c>
      <c r="I333" s="87">
        <v>4.583743842364532</v>
      </c>
    </row>
    <row r="334" spans="1:9" x14ac:dyDescent="0.3">
      <c r="A334" t="s">
        <v>43</v>
      </c>
      <c r="B334" t="s">
        <v>1036</v>
      </c>
      <c r="C334" s="16" t="s">
        <v>272</v>
      </c>
      <c r="D334" s="16">
        <v>3</v>
      </c>
      <c r="E334" t="s">
        <v>1524</v>
      </c>
      <c r="F334" t="s">
        <v>283</v>
      </c>
      <c r="G334" t="s">
        <v>1568</v>
      </c>
      <c r="H334" t="s">
        <v>1570</v>
      </c>
      <c r="I334" s="87">
        <v>5.7857142857142865</v>
      </c>
    </row>
    <row r="335" spans="1:9" x14ac:dyDescent="0.3">
      <c r="A335" t="s">
        <v>43</v>
      </c>
      <c r="B335" t="s">
        <v>1037</v>
      </c>
      <c r="C335" s="16" t="s">
        <v>272</v>
      </c>
      <c r="D335" s="16">
        <v>3</v>
      </c>
      <c r="E335" t="s">
        <v>1524</v>
      </c>
      <c r="F335" t="s">
        <v>1658</v>
      </c>
      <c r="G335" t="s">
        <v>1566</v>
      </c>
      <c r="H335" t="s">
        <v>344</v>
      </c>
      <c r="I335" s="87">
        <v>4.5960591133004929</v>
      </c>
    </row>
    <row r="336" spans="1:9" x14ac:dyDescent="0.3">
      <c r="A336" t="s">
        <v>43</v>
      </c>
      <c r="B336" t="s">
        <v>1038</v>
      </c>
      <c r="C336" s="16" t="s">
        <v>272</v>
      </c>
      <c r="D336" s="16">
        <v>2</v>
      </c>
      <c r="E336" t="s">
        <v>1525</v>
      </c>
      <c r="F336" t="s">
        <v>282</v>
      </c>
      <c r="G336" t="s">
        <v>342</v>
      </c>
      <c r="H336" t="s">
        <v>344</v>
      </c>
      <c r="I336" s="87">
        <v>6.4359605911330044</v>
      </c>
    </row>
    <row r="337" spans="1:9" x14ac:dyDescent="0.3">
      <c r="A337" t="s">
        <v>43</v>
      </c>
      <c r="B337" t="s">
        <v>1039</v>
      </c>
      <c r="C337" s="16" t="s">
        <v>272</v>
      </c>
      <c r="D337" s="16">
        <v>3</v>
      </c>
      <c r="E337" t="s">
        <v>1524</v>
      </c>
      <c r="F337" t="s">
        <v>1658</v>
      </c>
      <c r="G337" t="s">
        <v>1567</v>
      </c>
      <c r="H337" t="s">
        <v>344</v>
      </c>
      <c r="I337" s="87">
        <v>4.4285714285714288</v>
      </c>
    </row>
    <row r="338" spans="1:9" x14ac:dyDescent="0.3">
      <c r="A338" t="s">
        <v>43</v>
      </c>
      <c r="B338" t="s">
        <v>1040</v>
      </c>
      <c r="C338" s="16" t="s">
        <v>272</v>
      </c>
      <c r="D338" s="16">
        <v>2</v>
      </c>
      <c r="E338" t="s">
        <v>1525</v>
      </c>
      <c r="F338" t="s">
        <v>282</v>
      </c>
      <c r="G338" t="s">
        <v>1568</v>
      </c>
      <c r="H338" t="s">
        <v>344</v>
      </c>
      <c r="I338" s="87">
        <v>6.4187192118226601</v>
      </c>
    </row>
    <row r="339" spans="1:9" x14ac:dyDescent="0.3">
      <c r="A339" t="s">
        <v>43</v>
      </c>
      <c r="B339" t="s">
        <v>1041</v>
      </c>
      <c r="C339" s="16" t="s">
        <v>272</v>
      </c>
      <c r="D339" s="16">
        <v>3</v>
      </c>
      <c r="E339" t="s">
        <v>1524</v>
      </c>
      <c r="F339" t="s">
        <v>282</v>
      </c>
      <c r="G339" t="s">
        <v>1567</v>
      </c>
      <c r="H339" t="s">
        <v>344</v>
      </c>
      <c r="I339" s="87">
        <v>3.431034482758621</v>
      </c>
    </row>
    <row r="340" spans="1:9" x14ac:dyDescent="0.3">
      <c r="A340" t="s">
        <v>43</v>
      </c>
      <c r="B340" t="s">
        <v>1042</v>
      </c>
      <c r="C340" s="16" t="s">
        <v>272</v>
      </c>
      <c r="D340" s="16">
        <v>3</v>
      </c>
      <c r="E340" t="s">
        <v>1524</v>
      </c>
      <c r="F340" t="s">
        <v>1650</v>
      </c>
      <c r="G340" t="s">
        <v>1566</v>
      </c>
      <c r="H340" t="s">
        <v>344</v>
      </c>
      <c r="I340" s="87">
        <v>4.5714285714285712</v>
      </c>
    </row>
    <row r="341" spans="1:9" x14ac:dyDescent="0.3">
      <c r="A341" t="s">
        <v>45</v>
      </c>
      <c r="B341" t="s">
        <v>1043</v>
      </c>
      <c r="C341" s="16" t="s">
        <v>272</v>
      </c>
      <c r="D341" s="16">
        <v>2</v>
      </c>
      <c r="E341" t="s">
        <v>1524</v>
      </c>
      <c r="F341" t="s">
        <v>282</v>
      </c>
      <c r="G341" t="s">
        <v>341</v>
      </c>
      <c r="H341" t="s">
        <v>344</v>
      </c>
      <c r="I341" s="87">
        <v>4.3177339901477829</v>
      </c>
    </row>
    <row r="342" spans="1:9" x14ac:dyDescent="0.3">
      <c r="A342" t="s">
        <v>45</v>
      </c>
      <c r="B342" t="s">
        <v>1044</v>
      </c>
      <c r="C342" s="16" t="s">
        <v>272</v>
      </c>
      <c r="D342" s="16">
        <v>3</v>
      </c>
      <c r="E342" t="s">
        <v>1524</v>
      </c>
      <c r="F342" t="s">
        <v>1534</v>
      </c>
      <c r="G342" t="s">
        <v>1567</v>
      </c>
      <c r="H342" t="s">
        <v>344</v>
      </c>
      <c r="I342" s="87">
        <v>4.3793103448275863</v>
      </c>
    </row>
    <row r="343" spans="1:9" x14ac:dyDescent="0.3">
      <c r="A343" t="s">
        <v>45</v>
      </c>
      <c r="B343" t="s">
        <v>1045</v>
      </c>
      <c r="C343" s="16" t="s">
        <v>272</v>
      </c>
      <c r="D343" s="16">
        <v>3</v>
      </c>
      <c r="E343" t="s">
        <v>1524</v>
      </c>
      <c r="F343" t="s">
        <v>1534</v>
      </c>
      <c r="G343" t="s">
        <v>1567</v>
      </c>
      <c r="H343" t="s">
        <v>344</v>
      </c>
      <c r="I343" s="87">
        <v>4.3793103448275863</v>
      </c>
    </row>
    <row r="344" spans="1:9" x14ac:dyDescent="0.3">
      <c r="A344" t="s">
        <v>45</v>
      </c>
      <c r="B344" t="s">
        <v>1046</v>
      </c>
      <c r="C344" s="16" t="s">
        <v>272</v>
      </c>
      <c r="D344" s="16">
        <v>2</v>
      </c>
      <c r="E344" t="s">
        <v>1524</v>
      </c>
      <c r="F344" t="s">
        <v>282</v>
      </c>
      <c r="G344" t="s">
        <v>341</v>
      </c>
      <c r="H344" t="s">
        <v>344</v>
      </c>
      <c r="I344" s="87">
        <v>4.3177339901477829</v>
      </c>
    </row>
    <row r="345" spans="1:9" x14ac:dyDescent="0.3">
      <c r="A345" t="s">
        <v>45</v>
      </c>
      <c r="B345" t="s">
        <v>1047</v>
      </c>
      <c r="C345" s="16" t="s">
        <v>272</v>
      </c>
      <c r="D345" s="16">
        <v>2</v>
      </c>
      <c r="E345" t="s">
        <v>1524</v>
      </c>
      <c r="F345" t="s">
        <v>282</v>
      </c>
      <c r="G345" t="s">
        <v>341</v>
      </c>
      <c r="H345" t="s">
        <v>344</v>
      </c>
      <c r="I345" s="87">
        <v>4.3177339901477829</v>
      </c>
    </row>
    <row r="346" spans="1:9" x14ac:dyDescent="0.3">
      <c r="A346" t="s">
        <v>45</v>
      </c>
      <c r="B346" t="s">
        <v>1048</v>
      </c>
      <c r="C346" s="16" t="s">
        <v>272</v>
      </c>
      <c r="D346" s="16">
        <v>2</v>
      </c>
      <c r="E346" t="s">
        <v>1524</v>
      </c>
      <c r="F346" t="s">
        <v>282</v>
      </c>
      <c r="G346" t="s">
        <v>341</v>
      </c>
      <c r="H346" t="s">
        <v>344</v>
      </c>
      <c r="I346" s="87">
        <v>4.3177339901477829</v>
      </c>
    </row>
    <row r="347" spans="1:9" x14ac:dyDescent="0.3">
      <c r="A347" t="s">
        <v>45</v>
      </c>
      <c r="B347" t="s">
        <v>1049</v>
      </c>
      <c r="C347" s="16" t="s">
        <v>272</v>
      </c>
      <c r="D347" s="16">
        <v>3</v>
      </c>
      <c r="E347" t="s">
        <v>1524</v>
      </c>
      <c r="F347" t="s">
        <v>339</v>
      </c>
      <c r="G347" t="s">
        <v>1567</v>
      </c>
      <c r="H347" t="s">
        <v>344</v>
      </c>
      <c r="I347" s="87">
        <v>4.4039408866995071</v>
      </c>
    </row>
    <row r="348" spans="1:9" x14ac:dyDescent="0.3">
      <c r="A348" t="s">
        <v>45</v>
      </c>
      <c r="B348" t="s">
        <v>1050</v>
      </c>
      <c r="C348" s="16" t="s">
        <v>272</v>
      </c>
      <c r="D348" s="16">
        <v>3</v>
      </c>
      <c r="E348" t="s">
        <v>1524</v>
      </c>
      <c r="F348" t="s">
        <v>1557</v>
      </c>
      <c r="G348" t="s">
        <v>343</v>
      </c>
      <c r="H348" t="s">
        <v>348</v>
      </c>
      <c r="I348" s="87">
        <v>5.889162561576355</v>
      </c>
    </row>
    <row r="349" spans="1:9" x14ac:dyDescent="0.3">
      <c r="A349" t="s">
        <v>45</v>
      </c>
      <c r="B349" t="s">
        <v>1051</v>
      </c>
      <c r="C349" s="16" t="s">
        <v>272</v>
      </c>
      <c r="D349" s="16">
        <v>3</v>
      </c>
      <c r="E349" t="s">
        <v>1524</v>
      </c>
      <c r="F349" t="s">
        <v>1557</v>
      </c>
      <c r="G349" t="s">
        <v>1568</v>
      </c>
      <c r="H349" t="s">
        <v>1620</v>
      </c>
      <c r="I349" s="87">
        <v>5.8596059113300498</v>
      </c>
    </row>
    <row r="350" spans="1:9" x14ac:dyDescent="0.3">
      <c r="A350" t="s">
        <v>45</v>
      </c>
      <c r="B350" t="s">
        <v>1052</v>
      </c>
      <c r="C350" s="16" t="s">
        <v>272</v>
      </c>
      <c r="D350" s="16">
        <v>3</v>
      </c>
      <c r="E350" t="s">
        <v>1524</v>
      </c>
      <c r="F350" t="s">
        <v>1557</v>
      </c>
      <c r="G350" t="s">
        <v>1567</v>
      </c>
      <c r="H350" t="s">
        <v>1574</v>
      </c>
      <c r="I350" s="87">
        <v>5.5</v>
      </c>
    </row>
    <row r="351" spans="1:9" x14ac:dyDescent="0.3">
      <c r="A351" t="s">
        <v>45</v>
      </c>
      <c r="B351" t="s">
        <v>1053</v>
      </c>
      <c r="C351" s="16" t="s">
        <v>272</v>
      </c>
      <c r="D351" s="16">
        <v>3</v>
      </c>
      <c r="E351" t="s">
        <v>1524</v>
      </c>
      <c r="F351" t="s">
        <v>1557</v>
      </c>
      <c r="G351" t="s">
        <v>1567</v>
      </c>
      <c r="H351" t="s">
        <v>344</v>
      </c>
      <c r="I351" s="87">
        <v>4.3916256157635472</v>
      </c>
    </row>
    <row r="352" spans="1:9" x14ac:dyDescent="0.3">
      <c r="A352" t="s">
        <v>45</v>
      </c>
      <c r="B352" t="s">
        <v>1054</v>
      </c>
      <c r="C352" s="16" t="s">
        <v>272</v>
      </c>
      <c r="D352" s="16">
        <v>3</v>
      </c>
      <c r="E352" t="s">
        <v>1525</v>
      </c>
      <c r="F352" t="s">
        <v>1658</v>
      </c>
      <c r="G352" t="s">
        <v>1567</v>
      </c>
      <c r="H352" t="s">
        <v>344</v>
      </c>
      <c r="I352" s="87">
        <v>6.5221674876847286</v>
      </c>
    </row>
    <row r="353" spans="1:9" x14ac:dyDescent="0.3">
      <c r="A353" t="s">
        <v>45</v>
      </c>
      <c r="B353" t="s">
        <v>1055</v>
      </c>
      <c r="C353" s="16" t="s">
        <v>273</v>
      </c>
      <c r="D353" s="16">
        <v>2</v>
      </c>
      <c r="E353" t="s">
        <v>1525</v>
      </c>
      <c r="F353" t="s">
        <v>1658</v>
      </c>
      <c r="G353" t="s">
        <v>1567</v>
      </c>
      <c r="H353" t="s">
        <v>1570</v>
      </c>
      <c r="I353" s="87">
        <v>9.2290640394088665</v>
      </c>
    </row>
    <row r="354" spans="1:9" x14ac:dyDescent="0.3">
      <c r="A354" t="s">
        <v>45</v>
      </c>
      <c r="B354" t="s">
        <v>1056</v>
      </c>
      <c r="C354" s="16" t="s">
        <v>272</v>
      </c>
      <c r="D354" s="16">
        <v>3</v>
      </c>
      <c r="E354" t="s">
        <v>1524</v>
      </c>
      <c r="F354" t="s">
        <v>1557</v>
      </c>
      <c r="G354" t="s">
        <v>1567</v>
      </c>
      <c r="H354" t="s">
        <v>1574</v>
      </c>
      <c r="I354" s="87">
        <v>5.5</v>
      </c>
    </row>
    <row r="355" spans="1:9" x14ac:dyDescent="0.3">
      <c r="A355" t="s">
        <v>45</v>
      </c>
      <c r="B355" t="s">
        <v>1057</v>
      </c>
      <c r="C355" s="16" t="s">
        <v>272</v>
      </c>
      <c r="D355" s="16">
        <v>3</v>
      </c>
      <c r="E355" t="s">
        <v>1525</v>
      </c>
      <c r="F355" t="s">
        <v>1658</v>
      </c>
      <c r="G355" t="s">
        <v>1567</v>
      </c>
      <c r="H355" t="s">
        <v>344</v>
      </c>
      <c r="I355" s="87">
        <v>6.5221674876847286</v>
      </c>
    </row>
    <row r="356" spans="1:9" x14ac:dyDescent="0.3">
      <c r="A356" t="s">
        <v>45</v>
      </c>
      <c r="B356" t="s">
        <v>1058</v>
      </c>
      <c r="C356" s="16" t="s">
        <v>273</v>
      </c>
      <c r="D356" s="16">
        <v>2</v>
      </c>
      <c r="E356" t="s">
        <v>1525</v>
      </c>
      <c r="F356" t="s">
        <v>1658</v>
      </c>
      <c r="G356" t="s">
        <v>1567</v>
      </c>
      <c r="H356" t="s">
        <v>344</v>
      </c>
      <c r="I356" s="87">
        <v>8.1083743842364537</v>
      </c>
    </row>
    <row r="357" spans="1:9" x14ac:dyDescent="0.3">
      <c r="A357" t="s">
        <v>45</v>
      </c>
      <c r="B357" t="s">
        <v>1059</v>
      </c>
      <c r="C357" s="16" t="s">
        <v>272</v>
      </c>
      <c r="D357" s="16">
        <v>2</v>
      </c>
      <c r="E357" t="s">
        <v>1525</v>
      </c>
      <c r="F357" t="s">
        <v>1658</v>
      </c>
      <c r="G357" t="s">
        <v>1567</v>
      </c>
      <c r="H357" t="s">
        <v>344</v>
      </c>
      <c r="I357" s="87">
        <v>7.1674876847290641</v>
      </c>
    </row>
    <row r="358" spans="1:9" x14ac:dyDescent="0.3">
      <c r="A358" t="s">
        <v>9</v>
      </c>
      <c r="B358" t="s">
        <v>1060</v>
      </c>
      <c r="C358" s="16" t="s">
        <v>272</v>
      </c>
      <c r="D358" s="16">
        <v>2</v>
      </c>
      <c r="E358" t="s">
        <v>1525</v>
      </c>
      <c r="F358" t="s">
        <v>282</v>
      </c>
      <c r="G358" t="s">
        <v>1568</v>
      </c>
      <c r="H358" t="s">
        <v>344</v>
      </c>
      <c r="I358" s="87">
        <v>6.4187192118226601</v>
      </c>
    </row>
    <row r="359" spans="1:9" x14ac:dyDescent="0.3">
      <c r="A359" t="s">
        <v>9</v>
      </c>
      <c r="B359" t="s">
        <v>1061</v>
      </c>
      <c r="C359" s="16" t="s">
        <v>272</v>
      </c>
      <c r="D359" s="16">
        <v>3</v>
      </c>
      <c r="E359" t="s">
        <v>1524</v>
      </c>
      <c r="F359" t="s">
        <v>1544</v>
      </c>
      <c r="G359" t="s">
        <v>1566</v>
      </c>
      <c r="H359" t="s">
        <v>1620</v>
      </c>
      <c r="I359" s="87">
        <v>5.7906403940886699</v>
      </c>
    </row>
    <row r="360" spans="1:9" x14ac:dyDescent="0.3">
      <c r="A360" t="s">
        <v>9</v>
      </c>
      <c r="B360" t="s">
        <v>1062</v>
      </c>
      <c r="C360" s="16" t="s">
        <v>272</v>
      </c>
      <c r="D360" s="16">
        <v>2</v>
      </c>
      <c r="E360" t="s">
        <v>1525</v>
      </c>
      <c r="F360" t="s">
        <v>284</v>
      </c>
      <c r="G360" t="s">
        <v>1567</v>
      </c>
      <c r="H360" t="s">
        <v>345</v>
      </c>
      <c r="I360" s="87">
        <v>8.1280788177339893</v>
      </c>
    </row>
    <row r="361" spans="1:9" x14ac:dyDescent="0.3">
      <c r="A361" t="s">
        <v>9</v>
      </c>
      <c r="B361" t="s">
        <v>1063</v>
      </c>
      <c r="C361" s="16" t="s">
        <v>272</v>
      </c>
      <c r="D361" s="16">
        <v>3</v>
      </c>
      <c r="E361" t="s">
        <v>1524</v>
      </c>
      <c r="F361" t="s">
        <v>1544</v>
      </c>
      <c r="G361" t="s">
        <v>1566</v>
      </c>
      <c r="H361" t="s">
        <v>344</v>
      </c>
      <c r="I361" s="87">
        <v>4.5714285714285712</v>
      </c>
    </row>
    <row r="362" spans="1:9" x14ac:dyDescent="0.3">
      <c r="A362" t="s">
        <v>9</v>
      </c>
      <c r="B362" t="s">
        <v>1064</v>
      </c>
      <c r="C362" s="16" t="s">
        <v>272</v>
      </c>
      <c r="D362" s="16">
        <v>2</v>
      </c>
      <c r="E362" t="s">
        <v>1524</v>
      </c>
      <c r="F362" t="s">
        <v>282</v>
      </c>
      <c r="G362" t="s">
        <v>342</v>
      </c>
      <c r="H362" t="s">
        <v>347</v>
      </c>
      <c r="I362" s="87">
        <v>5.5123152709359609</v>
      </c>
    </row>
    <row r="363" spans="1:9" x14ac:dyDescent="0.3">
      <c r="A363" t="s">
        <v>9</v>
      </c>
      <c r="B363" t="s">
        <v>1065</v>
      </c>
      <c r="C363" s="16" t="s">
        <v>272</v>
      </c>
      <c r="D363" s="16">
        <v>2</v>
      </c>
      <c r="E363" t="s">
        <v>1524</v>
      </c>
      <c r="F363" t="s">
        <v>282</v>
      </c>
      <c r="G363" t="s">
        <v>342</v>
      </c>
      <c r="H363" t="s">
        <v>347</v>
      </c>
      <c r="I363" s="87">
        <v>5.5123152709359609</v>
      </c>
    </row>
    <row r="364" spans="1:9" x14ac:dyDescent="0.3">
      <c r="A364" t="s">
        <v>9</v>
      </c>
      <c r="B364" t="s">
        <v>1066</v>
      </c>
      <c r="C364" s="16" t="s">
        <v>272</v>
      </c>
      <c r="D364" s="16">
        <v>2</v>
      </c>
      <c r="E364" t="s">
        <v>1524</v>
      </c>
      <c r="F364" t="s">
        <v>282</v>
      </c>
      <c r="G364" t="s">
        <v>342</v>
      </c>
      <c r="H364" t="s">
        <v>347</v>
      </c>
      <c r="I364" s="87">
        <v>5.5123152709359609</v>
      </c>
    </row>
    <row r="365" spans="1:9" x14ac:dyDescent="0.3">
      <c r="A365" t="s">
        <v>9</v>
      </c>
      <c r="B365" t="s">
        <v>1067</v>
      </c>
      <c r="C365" s="16" t="s">
        <v>272</v>
      </c>
      <c r="D365" s="16">
        <v>3</v>
      </c>
      <c r="E365" t="s">
        <v>1524</v>
      </c>
      <c r="F365" t="s">
        <v>1658</v>
      </c>
      <c r="G365" t="s">
        <v>1568</v>
      </c>
      <c r="H365" t="s">
        <v>1571</v>
      </c>
      <c r="I365" s="87">
        <v>5.8965517241379315</v>
      </c>
    </row>
    <row r="366" spans="1:9" x14ac:dyDescent="0.3">
      <c r="A366" t="s">
        <v>9</v>
      </c>
      <c r="B366" t="s">
        <v>1068</v>
      </c>
      <c r="C366" s="16" t="s">
        <v>272</v>
      </c>
      <c r="D366" s="16">
        <v>3</v>
      </c>
      <c r="E366" t="s">
        <v>1524</v>
      </c>
      <c r="F366" t="s">
        <v>1658</v>
      </c>
      <c r="G366" t="s">
        <v>1568</v>
      </c>
      <c r="H366" t="s">
        <v>1571</v>
      </c>
      <c r="I366" s="87">
        <v>5.8965517241379315</v>
      </c>
    </row>
    <row r="367" spans="1:9" x14ac:dyDescent="0.3">
      <c r="A367" t="s">
        <v>9</v>
      </c>
      <c r="B367" t="s">
        <v>1069</v>
      </c>
      <c r="C367" s="16" t="s">
        <v>272</v>
      </c>
      <c r="D367" s="16">
        <v>3</v>
      </c>
      <c r="E367" t="s">
        <v>1524</v>
      </c>
      <c r="F367" t="s">
        <v>1658</v>
      </c>
      <c r="G367" t="s">
        <v>1568</v>
      </c>
      <c r="H367" t="s">
        <v>1571</v>
      </c>
      <c r="I367" s="87">
        <v>5.8965517241379315</v>
      </c>
    </row>
    <row r="368" spans="1:9" x14ac:dyDescent="0.3">
      <c r="A368" t="s">
        <v>9</v>
      </c>
      <c r="B368" t="s">
        <v>1070</v>
      </c>
      <c r="C368" s="16" t="s">
        <v>272</v>
      </c>
      <c r="D368" s="16">
        <v>3</v>
      </c>
      <c r="E368" t="s">
        <v>1524</v>
      </c>
      <c r="F368" t="s">
        <v>1658</v>
      </c>
      <c r="G368" t="s">
        <v>1568</v>
      </c>
      <c r="H368" t="s">
        <v>1571</v>
      </c>
      <c r="I368" s="87">
        <v>5.8965517241379315</v>
      </c>
    </row>
    <row r="369" spans="1:9" x14ac:dyDescent="0.3">
      <c r="A369" t="s">
        <v>9</v>
      </c>
      <c r="B369" t="s">
        <v>1071</v>
      </c>
      <c r="C369" s="16" t="s">
        <v>272</v>
      </c>
      <c r="D369" s="16">
        <v>3</v>
      </c>
      <c r="E369" t="s">
        <v>1524</v>
      </c>
      <c r="F369" t="s">
        <v>1658</v>
      </c>
      <c r="G369" t="s">
        <v>1568</v>
      </c>
      <c r="H369" t="s">
        <v>1571</v>
      </c>
      <c r="I369" s="87">
        <v>5.8965517241379315</v>
      </c>
    </row>
    <row r="370" spans="1:9" x14ac:dyDescent="0.3">
      <c r="A370" t="s">
        <v>9</v>
      </c>
      <c r="B370" t="s">
        <v>1072</v>
      </c>
      <c r="C370" s="16" t="s">
        <v>272</v>
      </c>
      <c r="D370" s="16">
        <v>3</v>
      </c>
      <c r="E370" t="s">
        <v>1524</v>
      </c>
      <c r="F370" t="s">
        <v>1540</v>
      </c>
      <c r="G370" t="s">
        <v>1566</v>
      </c>
      <c r="H370" t="s">
        <v>344</v>
      </c>
      <c r="I370" s="87">
        <v>4.485221674876847</v>
      </c>
    </row>
    <row r="371" spans="1:9" x14ac:dyDescent="0.3">
      <c r="A371" t="s">
        <v>9</v>
      </c>
      <c r="B371" t="s">
        <v>1073</v>
      </c>
      <c r="C371" s="16" t="s">
        <v>272</v>
      </c>
      <c r="D371" s="16">
        <v>3</v>
      </c>
      <c r="E371" t="s">
        <v>1524</v>
      </c>
      <c r="F371" t="s">
        <v>1540</v>
      </c>
      <c r="G371" t="s">
        <v>1566</v>
      </c>
      <c r="H371" t="s">
        <v>1623</v>
      </c>
      <c r="I371" s="87">
        <v>5.7044334975369457</v>
      </c>
    </row>
    <row r="372" spans="1:9" x14ac:dyDescent="0.3">
      <c r="A372" t="s">
        <v>9</v>
      </c>
      <c r="B372" t="s">
        <v>1074</v>
      </c>
      <c r="C372" s="16" t="s">
        <v>272</v>
      </c>
      <c r="D372" s="16">
        <v>3</v>
      </c>
      <c r="E372" t="s">
        <v>1524</v>
      </c>
      <c r="F372" t="s">
        <v>1540</v>
      </c>
      <c r="G372" t="s">
        <v>1566</v>
      </c>
      <c r="H372" t="s">
        <v>1623</v>
      </c>
      <c r="I372" s="87">
        <v>5.7044334975369457</v>
      </c>
    </row>
    <row r="373" spans="1:9" x14ac:dyDescent="0.3">
      <c r="A373" t="s">
        <v>9</v>
      </c>
      <c r="B373" t="s">
        <v>1075</v>
      </c>
      <c r="C373" s="16" t="s">
        <v>272</v>
      </c>
      <c r="D373" s="16">
        <v>3</v>
      </c>
      <c r="E373" t="s">
        <v>1524</v>
      </c>
      <c r="F373" t="s">
        <v>1650</v>
      </c>
      <c r="G373" t="s">
        <v>1566</v>
      </c>
      <c r="H373" t="s">
        <v>1623</v>
      </c>
      <c r="I373" s="87">
        <v>5.7906403940886699</v>
      </c>
    </row>
    <row r="374" spans="1:9" x14ac:dyDescent="0.3">
      <c r="A374" t="s">
        <v>9</v>
      </c>
      <c r="B374" t="s">
        <v>1076</v>
      </c>
      <c r="C374" s="16" t="s">
        <v>272</v>
      </c>
      <c r="D374" s="16">
        <v>3</v>
      </c>
      <c r="E374" t="s">
        <v>1524</v>
      </c>
      <c r="F374" t="s">
        <v>1540</v>
      </c>
      <c r="G374" t="s">
        <v>1566</v>
      </c>
      <c r="H374" t="s">
        <v>344</v>
      </c>
      <c r="I374" s="87">
        <v>4.485221674876847</v>
      </c>
    </row>
    <row r="375" spans="1:9" x14ac:dyDescent="0.3">
      <c r="A375" t="s">
        <v>9</v>
      </c>
      <c r="B375" t="s">
        <v>1077</v>
      </c>
      <c r="C375" s="16" t="s">
        <v>272</v>
      </c>
      <c r="D375" s="16">
        <v>3</v>
      </c>
      <c r="E375" t="s">
        <v>1524</v>
      </c>
      <c r="F375" t="s">
        <v>1540</v>
      </c>
      <c r="G375" t="s">
        <v>1566</v>
      </c>
      <c r="H375" t="s">
        <v>344</v>
      </c>
      <c r="I375" s="87">
        <v>4.485221674876847</v>
      </c>
    </row>
    <row r="376" spans="1:9" x14ac:dyDescent="0.3">
      <c r="A376" t="s">
        <v>9</v>
      </c>
      <c r="B376" t="s">
        <v>1078</v>
      </c>
      <c r="C376" s="16" t="s">
        <v>272</v>
      </c>
      <c r="D376" s="16">
        <v>3</v>
      </c>
      <c r="E376" t="s">
        <v>1524</v>
      </c>
      <c r="F376" t="s">
        <v>282</v>
      </c>
      <c r="G376" t="s">
        <v>1567</v>
      </c>
      <c r="H376" t="s">
        <v>345</v>
      </c>
      <c r="I376" s="87">
        <v>4.4408866995073897</v>
      </c>
    </row>
    <row r="377" spans="1:9" x14ac:dyDescent="0.3">
      <c r="A377" t="s">
        <v>9</v>
      </c>
      <c r="B377" t="s">
        <v>1079</v>
      </c>
      <c r="C377" s="16" t="s">
        <v>272</v>
      </c>
      <c r="D377" s="16">
        <v>3</v>
      </c>
      <c r="E377" t="s">
        <v>1524</v>
      </c>
      <c r="F377" t="s">
        <v>282</v>
      </c>
      <c r="G377" t="s">
        <v>1567</v>
      </c>
      <c r="H377" t="s">
        <v>345</v>
      </c>
      <c r="I377" s="87">
        <v>4.4408866995073897</v>
      </c>
    </row>
    <row r="378" spans="1:9" x14ac:dyDescent="0.3">
      <c r="A378" t="s">
        <v>9</v>
      </c>
      <c r="B378" t="s">
        <v>1080</v>
      </c>
      <c r="C378" s="16" t="s">
        <v>272</v>
      </c>
      <c r="D378" s="16">
        <v>3</v>
      </c>
      <c r="E378" t="s">
        <v>1524</v>
      </c>
      <c r="F378" t="s">
        <v>282</v>
      </c>
      <c r="G378" t="s">
        <v>1567</v>
      </c>
      <c r="H378" t="s">
        <v>345</v>
      </c>
      <c r="I378" s="87">
        <v>4.4408866995073897</v>
      </c>
    </row>
    <row r="379" spans="1:9" x14ac:dyDescent="0.3">
      <c r="A379" t="s">
        <v>9</v>
      </c>
      <c r="B379" t="s">
        <v>1081</v>
      </c>
      <c r="C379" s="16" t="s">
        <v>272</v>
      </c>
      <c r="D379" s="16">
        <v>2</v>
      </c>
      <c r="E379" t="s">
        <v>1524</v>
      </c>
      <c r="F379" t="s">
        <v>282</v>
      </c>
      <c r="G379" t="s">
        <v>341</v>
      </c>
      <c r="H379" t="s">
        <v>345</v>
      </c>
      <c r="I379" s="87">
        <v>5.3275862068965516</v>
      </c>
    </row>
    <row r="380" spans="1:9" x14ac:dyDescent="0.3">
      <c r="A380" t="s">
        <v>9</v>
      </c>
      <c r="B380" t="s">
        <v>1082</v>
      </c>
      <c r="C380" s="16" t="s">
        <v>272</v>
      </c>
      <c r="D380" s="16">
        <v>3</v>
      </c>
      <c r="E380" t="s">
        <v>1524</v>
      </c>
      <c r="F380" t="s">
        <v>282</v>
      </c>
      <c r="G380" t="s">
        <v>1566</v>
      </c>
      <c r="H380" t="s">
        <v>344</v>
      </c>
      <c r="I380" s="87">
        <v>3.5985221674876851</v>
      </c>
    </row>
    <row r="381" spans="1:9" x14ac:dyDescent="0.3">
      <c r="A381" t="s">
        <v>9</v>
      </c>
      <c r="B381" t="s">
        <v>1083</v>
      </c>
      <c r="C381" s="16" t="s">
        <v>272</v>
      </c>
      <c r="D381" s="16">
        <v>2</v>
      </c>
      <c r="E381" t="s">
        <v>1524</v>
      </c>
      <c r="F381" t="s">
        <v>282</v>
      </c>
      <c r="G381" t="s">
        <v>341</v>
      </c>
      <c r="H381" t="s">
        <v>345</v>
      </c>
      <c r="I381" s="87">
        <v>5.3275862068965516</v>
      </c>
    </row>
    <row r="382" spans="1:9" x14ac:dyDescent="0.3">
      <c r="A382" t="s">
        <v>9</v>
      </c>
      <c r="B382" t="s">
        <v>1084</v>
      </c>
      <c r="C382" s="16" t="s">
        <v>272</v>
      </c>
      <c r="D382" s="16">
        <v>3</v>
      </c>
      <c r="E382" t="s">
        <v>1524</v>
      </c>
      <c r="F382" t="s">
        <v>282</v>
      </c>
      <c r="G382" t="s">
        <v>1567</v>
      </c>
      <c r="H382" t="s">
        <v>344</v>
      </c>
      <c r="I382" s="87">
        <v>3.431034482758621</v>
      </c>
    </row>
    <row r="383" spans="1:9" x14ac:dyDescent="0.3">
      <c r="A383" t="s">
        <v>9</v>
      </c>
      <c r="B383" t="s">
        <v>1085</v>
      </c>
      <c r="C383" s="16" t="s">
        <v>272</v>
      </c>
      <c r="D383" s="16">
        <v>2</v>
      </c>
      <c r="E383" t="s">
        <v>1524</v>
      </c>
      <c r="F383" t="s">
        <v>282</v>
      </c>
      <c r="G383" t="s">
        <v>341</v>
      </c>
      <c r="H383" t="s">
        <v>345</v>
      </c>
      <c r="I383" s="87">
        <v>5.3275862068965516</v>
      </c>
    </row>
    <row r="384" spans="1:9" x14ac:dyDescent="0.3">
      <c r="A384" t="s">
        <v>9</v>
      </c>
      <c r="B384" t="s">
        <v>1086</v>
      </c>
      <c r="C384" s="16" t="s">
        <v>272</v>
      </c>
      <c r="D384" s="16">
        <v>3</v>
      </c>
      <c r="E384" t="s">
        <v>1524</v>
      </c>
      <c r="F384" t="s">
        <v>282</v>
      </c>
      <c r="G384" t="s">
        <v>1566</v>
      </c>
      <c r="H384" t="s">
        <v>344</v>
      </c>
      <c r="I384" s="87">
        <v>3.5985221674876851</v>
      </c>
    </row>
    <row r="385" spans="1:9" x14ac:dyDescent="0.3">
      <c r="A385" t="s">
        <v>9</v>
      </c>
      <c r="B385" t="s">
        <v>1087</v>
      </c>
      <c r="C385" s="16" t="s">
        <v>272</v>
      </c>
      <c r="D385" s="16">
        <v>3</v>
      </c>
      <c r="E385" t="s">
        <v>1524</v>
      </c>
      <c r="F385" t="s">
        <v>282</v>
      </c>
      <c r="G385" t="s">
        <v>1566</v>
      </c>
      <c r="H385" t="s">
        <v>1570</v>
      </c>
      <c r="I385" s="87">
        <v>4.7192118226600996</v>
      </c>
    </row>
    <row r="386" spans="1:9" x14ac:dyDescent="0.3">
      <c r="A386" t="s">
        <v>9</v>
      </c>
      <c r="B386" t="s">
        <v>1088</v>
      </c>
      <c r="C386" s="16" t="s">
        <v>272</v>
      </c>
      <c r="D386" s="16">
        <v>3</v>
      </c>
      <c r="E386" t="s">
        <v>1524</v>
      </c>
      <c r="F386" t="s">
        <v>282</v>
      </c>
      <c r="G386" t="s">
        <v>1566</v>
      </c>
      <c r="H386" t="s">
        <v>1570</v>
      </c>
      <c r="I386" s="87">
        <v>4.7192118226600996</v>
      </c>
    </row>
    <row r="387" spans="1:9" x14ac:dyDescent="0.3">
      <c r="A387" t="s">
        <v>43</v>
      </c>
      <c r="B387" t="s">
        <v>1089</v>
      </c>
      <c r="C387" s="16" t="s">
        <v>272</v>
      </c>
      <c r="D387" s="16">
        <v>3</v>
      </c>
      <c r="E387" t="s">
        <v>1524</v>
      </c>
      <c r="F387" t="s">
        <v>1555</v>
      </c>
      <c r="G387" t="s">
        <v>1566</v>
      </c>
      <c r="H387" t="s">
        <v>1570</v>
      </c>
      <c r="I387" s="87">
        <v>5.6059113300492616</v>
      </c>
    </row>
    <row r="388" spans="1:9" x14ac:dyDescent="0.3">
      <c r="A388" t="s">
        <v>43</v>
      </c>
      <c r="B388" t="s">
        <v>1090</v>
      </c>
      <c r="C388" s="16" t="s">
        <v>272</v>
      </c>
      <c r="D388" s="16">
        <v>3</v>
      </c>
      <c r="E388" t="s">
        <v>1524</v>
      </c>
      <c r="F388" t="s">
        <v>1555</v>
      </c>
      <c r="G388" t="s">
        <v>1566</v>
      </c>
      <c r="H388" t="s">
        <v>1570</v>
      </c>
      <c r="I388" s="87">
        <v>5.6059113300492616</v>
      </c>
    </row>
    <row r="389" spans="1:9" x14ac:dyDescent="0.3">
      <c r="A389" t="s">
        <v>43</v>
      </c>
      <c r="B389" t="s">
        <v>1091</v>
      </c>
      <c r="C389" s="16" t="s">
        <v>272</v>
      </c>
      <c r="D389" s="16">
        <v>3</v>
      </c>
      <c r="E389" t="s">
        <v>1524</v>
      </c>
      <c r="F389" t="s">
        <v>1555</v>
      </c>
      <c r="G389" t="s">
        <v>343</v>
      </c>
      <c r="H389" t="s">
        <v>291</v>
      </c>
      <c r="I389" s="87">
        <v>5.6305418719211824</v>
      </c>
    </row>
    <row r="390" spans="1:9" x14ac:dyDescent="0.3">
      <c r="A390" t="s">
        <v>43</v>
      </c>
      <c r="B390" t="s">
        <v>1092</v>
      </c>
      <c r="C390" s="16" t="s">
        <v>272</v>
      </c>
      <c r="D390" s="16">
        <v>3</v>
      </c>
      <c r="E390" t="s">
        <v>1524</v>
      </c>
      <c r="F390" t="s">
        <v>282</v>
      </c>
      <c r="G390" t="s">
        <v>1567</v>
      </c>
      <c r="H390" t="s">
        <v>345</v>
      </c>
      <c r="I390" s="87">
        <v>4.4408866995073897</v>
      </c>
    </row>
    <row r="391" spans="1:9" x14ac:dyDescent="0.3">
      <c r="A391" t="s">
        <v>43</v>
      </c>
      <c r="B391" t="s">
        <v>1093</v>
      </c>
      <c r="C391" s="16" t="s">
        <v>272</v>
      </c>
      <c r="D391" s="16">
        <v>3</v>
      </c>
      <c r="E391" t="s">
        <v>1524</v>
      </c>
      <c r="F391" t="s">
        <v>282</v>
      </c>
      <c r="G391" t="s">
        <v>343</v>
      </c>
      <c r="H391" t="s">
        <v>348</v>
      </c>
      <c r="I391" s="87">
        <v>4.9285714285714288</v>
      </c>
    </row>
    <row r="392" spans="1:9" x14ac:dyDescent="0.3">
      <c r="A392" t="s">
        <v>43</v>
      </c>
      <c r="B392" t="s">
        <v>1094</v>
      </c>
      <c r="C392" s="16" t="s">
        <v>272</v>
      </c>
      <c r="D392" s="16">
        <v>3</v>
      </c>
      <c r="E392" t="s">
        <v>1524</v>
      </c>
      <c r="F392" t="s">
        <v>1555</v>
      </c>
      <c r="G392" t="s">
        <v>1567</v>
      </c>
      <c r="H392" t="s">
        <v>344</v>
      </c>
      <c r="I392" s="87">
        <v>4.3177339901477829</v>
      </c>
    </row>
    <row r="393" spans="1:9" x14ac:dyDescent="0.3">
      <c r="A393" t="s">
        <v>43</v>
      </c>
      <c r="B393" t="s">
        <v>1095</v>
      </c>
      <c r="C393" s="16" t="s">
        <v>272</v>
      </c>
      <c r="D393" s="16">
        <v>3</v>
      </c>
      <c r="E393" t="s">
        <v>1524</v>
      </c>
      <c r="F393" t="s">
        <v>282</v>
      </c>
      <c r="G393" t="s">
        <v>1567</v>
      </c>
      <c r="H393" t="s">
        <v>345</v>
      </c>
      <c r="I393" s="87">
        <v>4.4408866995073897</v>
      </c>
    </row>
    <row r="394" spans="1:9" x14ac:dyDescent="0.3">
      <c r="A394" t="s">
        <v>43</v>
      </c>
      <c r="B394" t="s">
        <v>1096</v>
      </c>
      <c r="C394" s="16" t="s">
        <v>272</v>
      </c>
      <c r="D394" s="16">
        <v>3</v>
      </c>
      <c r="E394" t="s">
        <v>1524</v>
      </c>
      <c r="F394" t="s">
        <v>282</v>
      </c>
      <c r="G394" t="s">
        <v>1566</v>
      </c>
      <c r="H394" t="s">
        <v>1574</v>
      </c>
      <c r="I394" s="87">
        <v>4.7068965517241388</v>
      </c>
    </row>
    <row r="395" spans="1:9" x14ac:dyDescent="0.3">
      <c r="A395" t="s">
        <v>43</v>
      </c>
      <c r="B395" t="s">
        <v>1097</v>
      </c>
      <c r="C395" s="16" t="s">
        <v>272</v>
      </c>
      <c r="D395" s="16">
        <v>3</v>
      </c>
      <c r="E395" t="s">
        <v>1524</v>
      </c>
      <c r="F395" t="s">
        <v>282</v>
      </c>
      <c r="G395" t="s">
        <v>1566</v>
      </c>
      <c r="H395" t="s">
        <v>344</v>
      </c>
      <c r="I395" s="87">
        <v>3.5985221674876851</v>
      </c>
    </row>
    <row r="396" spans="1:9" x14ac:dyDescent="0.3">
      <c r="A396" t="s">
        <v>43</v>
      </c>
      <c r="B396" t="s">
        <v>1098</v>
      </c>
      <c r="C396" s="16" t="s">
        <v>272</v>
      </c>
      <c r="D396" s="16">
        <v>3</v>
      </c>
      <c r="E396" t="s">
        <v>1524</v>
      </c>
      <c r="F396" t="s">
        <v>1551</v>
      </c>
      <c r="G396" t="s">
        <v>1567</v>
      </c>
      <c r="H396" t="s">
        <v>344</v>
      </c>
      <c r="I396" s="87">
        <v>4.416256157635468</v>
      </c>
    </row>
    <row r="397" spans="1:9" x14ac:dyDescent="0.3">
      <c r="A397" t="s">
        <v>43</v>
      </c>
      <c r="B397" t="s">
        <v>1099</v>
      </c>
      <c r="C397" s="16" t="s">
        <v>272</v>
      </c>
      <c r="D397" s="16">
        <v>2</v>
      </c>
      <c r="E397" t="s">
        <v>1524</v>
      </c>
      <c r="F397" t="s">
        <v>282</v>
      </c>
      <c r="G397" t="s">
        <v>341</v>
      </c>
      <c r="H397" t="s">
        <v>345</v>
      </c>
      <c r="I397" s="87">
        <v>5.3275862068965516</v>
      </c>
    </row>
    <row r="398" spans="1:9" x14ac:dyDescent="0.3">
      <c r="A398" t="s">
        <v>43</v>
      </c>
      <c r="B398" t="s">
        <v>1100</v>
      </c>
      <c r="C398" s="16" t="s">
        <v>272</v>
      </c>
      <c r="D398" s="16">
        <v>3</v>
      </c>
      <c r="E398" t="s">
        <v>1524</v>
      </c>
      <c r="F398" t="s">
        <v>282</v>
      </c>
      <c r="G398" t="s">
        <v>1567</v>
      </c>
      <c r="H398" t="s">
        <v>345</v>
      </c>
      <c r="I398" s="87">
        <v>4.4408866995073897</v>
      </c>
    </row>
    <row r="399" spans="1:9" x14ac:dyDescent="0.3">
      <c r="A399" t="s">
        <v>45</v>
      </c>
      <c r="B399" t="s">
        <v>1101</v>
      </c>
      <c r="C399" s="16" t="s">
        <v>272</v>
      </c>
      <c r="D399" s="16">
        <v>2</v>
      </c>
      <c r="E399" t="s">
        <v>1524</v>
      </c>
      <c r="F399" t="s">
        <v>1547</v>
      </c>
      <c r="G399" t="s">
        <v>342</v>
      </c>
      <c r="H399" t="s">
        <v>344</v>
      </c>
      <c r="I399" s="87">
        <v>5.2290640394088674</v>
      </c>
    </row>
    <row r="400" spans="1:9" x14ac:dyDescent="0.3">
      <c r="A400" t="s">
        <v>45</v>
      </c>
      <c r="B400" t="s">
        <v>1102</v>
      </c>
      <c r="C400" s="16" t="s">
        <v>272</v>
      </c>
      <c r="D400" s="16">
        <v>3</v>
      </c>
      <c r="E400" t="s">
        <v>1524</v>
      </c>
      <c r="F400" t="s">
        <v>1555</v>
      </c>
      <c r="G400" t="s">
        <v>1568</v>
      </c>
      <c r="H400" t="s">
        <v>344</v>
      </c>
      <c r="I400" s="87">
        <v>4.5665024630541877</v>
      </c>
    </row>
    <row r="401" spans="1:9" x14ac:dyDescent="0.3">
      <c r="A401" t="s">
        <v>45</v>
      </c>
      <c r="B401" t="s">
        <v>1103</v>
      </c>
      <c r="C401" s="16" t="s">
        <v>272</v>
      </c>
      <c r="D401" s="16">
        <v>2</v>
      </c>
      <c r="E401" t="s">
        <v>1524</v>
      </c>
      <c r="F401" t="s">
        <v>1555</v>
      </c>
      <c r="G401" t="s">
        <v>342</v>
      </c>
      <c r="H401" t="s">
        <v>344</v>
      </c>
      <c r="I401" s="87">
        <v>5.2290640394088674</v>
      </c>
    </row>
    <row r="402" spans="1:9" x14ac:dyDescent="0.3">
      <c r="A402" t="s">
        <v>45</v>
      </c>
      <c r="B402" t="s">
        <v>1104</v>
      </c>
      <c r="C402" s="16" t="s">
        <v>272</v>
      </c>
      <c r="D402" s="16">
        <v>2</v>
      </c>
      <c r="E402" t="s">
        <v>1524</v>
      </c>
      <c r="F402" t="s">
        <v>282</v>
      </c>
      <c r="G402" t="s">
        <v>342</v>
      </c>
      <c r="H402" t="s">
        <v>347</v>
      </c>
      <c r="I402" s="87">
        <v>5.5123152709359609</v>
      </c>
    </row>
    <row r="403" spans="1:9" x14ac:dyDescent="0.3">
      <c r="A403" t="s">
        <v>45</v>
      </c>
      <c r="B403" t="s">
        <v>1105</v>
      </c>
      <c r="C403" s="16" t="s">
        <v>272</v>
      </c>
      <c r="D403" s="16">
        <v>2</v>
      </c>
      <c r="E403" t="s">
        <v>1524</v>
      </c>
      <c r="F403" t="s">
        <v>1555</v>
      </c>
      <c r="G403" t="s">
        <v>342</v>
      </c>
      <c r="H403" t="s">
        <v>344</v>
      </c>
      <c r="I403" s="87">
        <v>5.2290640394088674</v>
      </c>
    </row>
    <row r="404" spans="1:9" x14ac:dyDescent="0.3">
      <c r="A404" t="s">
        <v>45</v>
      </c>
      <c r="B404" t="s">
        <v>1106</v>
      </c>
      <c r="C404" s="16" t="s">
        <v>272</v>
      </c>
      <c r="D404" s="16">
        <v>2</v>
      </c>
      <c r="E404" t="s">
        <v>1524</v>
      </c>
      <c r="F404" t="s">
        <v>282</v>
      </c>
      <c r="G404" t="s">
        <v>342</v>
      </c>
      <c r="H404" t="s">
        <v>347</v>
      </c>
      <c r="I404" s="87">
        <v>5.5123152709359609</v>
      </c>
    </row>
    <row r="405" spans="1:9" x14ac:dyDescent="0.3">
      <c r="A405" t="s">
        <v>45</v>
      </c>
      <c r="B405" t="s">
        <v>1107</v>
      </c>
      <c r="C405" s="16" t="s">
        <v>272</v>
      </c>
      <c r="D405" s="16">
        <v>2</v>
      </c>
      <c r="E405" t="s">
        <v>1524</v>
      </c>
      <c r="F405" t="s">
        <v>1555</v>
      </c>
      <c r="G405" t="s">
        <v>342</v>
      </c>
      <c r="H405" t="s">
        <v>344</v>
      </c>
      <c r="I405" s="87">
        <v>5.2290640394088674</v>
      </c>
    </row>
    <row r="406" spans="1:9" x14ac:dyDescent="0.3">
      <c r="A406" t="s">
        <v>45</v>
      </c>
      <c r="B406" t="s">
        <v>1108</v>
      </c>
      <c r="C406" s="16" t="s">
        <v>272</v>
      </c>
      <c r="D406" s="16">
        <v>2</v>
      </c>
      <c r="E406" t="s">
        <v>1524</v>
      </c>
      <c r="F406" t="s">
        <v>1555</v>
      </c>
      <c r="G406" t="s">
        <v>342</v>
      </c>
      <c r="H406" t="s">
        <v>344</v>
      </c>
      <c r="I406" s="87">
        <v>5.2290640394088674</v>
      </c>
    </row>
    <row r="407" spans="1:9" x14ac:dyDescent="0.3">
      <c r="A407" t="s">
        <v>45</v>
      </c>
      <c r="B407" t="s">
        <v>1109</v>
      </c>
      <c r="C407" s="16" t="s">
        <v>272</v>
      </c>
      <c r="D407" s="16">
        <v>3</v>
      </c>
      <c r="E407" t="s">
        <v>1524</v>
      </c>
      <c r="F407" t="s">
        <v>1540</v>
      </c>
      <c r="G407" t="s">
        <v>1568</v>
      </c>
      <c r="H407" t="s">
        <v>347</v>
      </c>
      <c r="I407" s="87">
        <v>5.7364532019704431</v>
      </c>
    </row>
    <row r="408" spans="1:9" x14ac:dyDescent="0.3">
      <c r="A408" t="s">
        <v>45</v>
      </c>
      <c r="B408" t="s">
        <v>1110</v>
      </c>
      <c r="C408" s="16" t="s">
        <v>272</v>
      </c>
      <c r="D408" s="16">
        <v>2</v>
      </c>
      <c r="E408" t="s">
        <v>1524</v>
      </c>
      <c r="F408" t="s">
        <v>282</v>
      </c>
      <c r="G408" t="s">
        <v>342</v>
      </c>
      <c r="H408" t="s">
        <v>347</v>
      </c>
      <c r="I408" s="87">
        <v>5.5123152709359609</v>
      </c>
    </row>
    <row r="409" spans="1:9" x14ac:dyDescent="0.3">
      <c r="A409" t="s">
        <v>45</v>
      </c>
      <c r="B409" t="s">
        <v>1111</v>
      </c>
      <c r="C409" s="16" t="s">
        <v>272</v>
      </c>
      <c r="D409" s="16">
        <v>2</v>
      </c>
      <c r="E409" t="s">
        <v>1524</v>
      </c>
      <c r="F409" t="s">
        <v>1555</v>
      </c>
      <c r="G409" t="s">
        <v>342</v>
      </c>
      <c r="H409" t="s">
        <v>344</v>
      </c>
      <c r="I409" s="87">
        <v>5.2290640394088674</v>
      </c>
    </row>
    <row r="410" spans="1:9" x14ac:dyDescent="0.3">
      <c r="A410" t="s">
        <v>45</v>
      </c>
      <c r="B410" t="s">
        <v>1112</v>
      </c>
      <c r="C410" s="16" t="s">
        <v>272</v>
      </c>
      <c r="D410" s="16">
        <v>2</v>
      </c>
      <c r="E410" t="s">
        <v>1524</v>
      </c>
      <c r="F410" t="s">
        <v>282</v>
      </c>
      <c r="G410" t="s">
        <v>342</v>
      </c>
      <c r="H410" t="s">
        <v>344</v>
      </c>
      <c r="I410" s="87">
        <v>4.3423645320197046</v>
      </c>
    </row>
    <row r="411" spans="1:9" x14ac:dyDescent="0.3">
      <c r="A411" t="s">
        <v>45</v>
      </c>
      <c r="B411" t="s">
        <v>1113</v>
      </c>
      <c r="C411" s="16" t="s">
        <v>272</v>
      </c>
      <c r="D411" s="16">
        <v>2</v>
      </c>
      <c r="E411" t="s">
        <v>1524</v>
      </c>
      <c r="F411" t="s">
        <v>1555</v>
      </c>
      <c r="G411" t="s">
        <v>342</v>
      </c>
      <c r="H411" t="s">
        <v>344</v>
      </c>
      <c r="I411" s="87">
        <v>5.2290640394088674</v>
      </c>
    </row>
    <row r="412" spans="1:9" x14ac:dyDescent="0.3">
      <c r="A412" t="s">
        <v>45</v>
      </c>
      <c r="B412" t="s">
        <v>1114</v>
      </c>
      <c r="C412" s="16" t="s">
        <v>272</v>
      </c>
      <c r="D412" s="16">
        <v>3</v>
      </c>
      <c r="E412" t="s">
        <v>1524</v>
      </c>
      <c r="F412" t="s">
        <v>1555</v>
      </c>
      <c r="G412" t="s">
        <v>1568</v>
      </c>
      <c r="H412" t="s">
        <v>344</v>
      </c>
      <c r="I412" s="87">
        <v>4.5665024630541877</v>
      </c>
    </row>
    <row r="413" spans="1:9" x14ac:dyDescent="0.3">
      <c r="A413" t="s">
        <v>45</v>
      </c>
      <c r="B413" t="s">
        <v>1115</v>
      </c>
      <c r="C413" s="16" t="s">
        <v>272</v>
      </c>
      <c r="D413" s="16">
        <v>2</v>
      </c>
      <c r="E413" t="s">
        <v>1524</v>
      </c>
      <c r="F413" t="s">
        <v>282</v>
      </c>
      <c r="G413" t="s">
        <v>1568</v>
      </c>
      <c r="H413" t="s">
        <v>344</v>
      </c>
      <c r="I413" s="87">
        <v>4.3251231527093594</v>
      </c>
    </row>
    <row r="414" spans="1:9" x14ac:dyDescent="0.3">
      <c r="A414" t="s">
        <v>45</v>
      </c>
      <c r="B414" t="s">
        <v>1116</v>
      </c>
      <c r="C414" s="16" t="s">
        <v>272</v>
      </c>
      <c r="D414" s="16">
        <v>2</v>
      </c>
      <c r="E414" t="s">
        <v>1524</v>
      </c>
      <c r="F414" t="s">
        <v>282</v>
      </c>
      <c r="G414" t="s">
        <v>1568</v>
      </c>
      <c r="H414" t="s">
        <v>344</v>
      </c>
      <c r="I414" s="87">
        <v>4.3251231527093594</v>
      </c>
    </row>
    <row r="415" spans="1:9" x14ac:dyDescent="0.3">
      <c r="A415" t="s">
        <v>43</v>
      </c>
      <c r="B415" t="s">
        <v>1117</v>
      </c>
      <c r="C415" s="16" t="s">
        <v>272</v>
      </c>
      <c r="D415" s="16">
        <v>3</v>
      </c>
      <c r="E415" t="s">
        <v>1524</v>
      </c>
      <c r="F415" t="s">
        <v>282</v>
      </c>
      <c r="G415" t="s">
        <v>1567</v>
      </c>
      <c r="H415" t="s">
        <v>291</v>
      </c>
      <c r="I415" s="87">
        <v>4.4778325123152714</v>
      </c>
    </row>
    <row r="416" spans="1:9" x14ac:dyDescent="0.3">
      <c r="A416" t="s">
        <v>43</v>
      </c>
      <c r="B416" t="s">
        <v>1118</v>
      </c>
      <c r="C416" s="16" t="s">
        <v>272</v>
      </c>
      <c r="D416" s="16">
        <v>3</v>
      </c>
      <c r="E416" t="s">
        <v>1524</v>
      </c>
      <c r="F416" t="s">
        <v>282</v>
      </c>
      <c r="G416" t="s">
        <v>1567</v>
      </c>
      <c r="H416" t="s">
        <v>291</v>
      </c>
      <c r="I416" s="87">
        <v>4.4778325123152714</v>
      </c>
    </row>
    <row r="417" spans="1:9" x14ac:dyDescent="0.3">
      <c r="A417" t="s">
        <v>43</v>
      </c>
      <c r="B417" t="s">
        <v>1119</v>
      </c>
      <c r="C417" s="16" t="s">
        <v>272</v>
      </c>
      <c r="D417" s="16">
        <v>3</v>
      </c>
      <c r="E417" t="s">
        <v>1524</v>
      </c>
      <c r="F417" t="s">
        <v>282</v>
      </c>
      <c r="G417" t="s">
        <v>1567</v>
      </c>
      <c r="H417" t="s">
        <v>344</v>
      </c>
      <c r="I417" s="87">
        <v>3.431034482758621</v>
      </c>
    </row>
    <row r="418" spans="1:9" x14ac:dyDescent="0.3">
      <c r="A418" t="s">
        <v>43</v>
      </c>
      <c r="B418" t="s">
        <v>1120</v>
      </c>
      <c r="C418" s="16" t="s">
        <v>272</v>
      </c>
      <c r="D418" s="16">
        <v>3</v>
      </c>
      <c r="E418" t="s">
        <v>1524</v>
      </c>
      <c r="F418" t="s">
        <v>282</v>
      </c>
      <c r="G418" t="s">
        <v>1566</v>
      </c>
      <c r="H418" t="s">
        <v>1571</v>
      </c>
      <c r="I418" s="87">
        <v>4.8177339901477838</v>
      </c>
    </row>
    <row r="419" spans="1:9" x14ac:dyDescent="0.3">
      <c r="A419" t="s">
        <v>43</v>
      </c>
      <c r="B419" t="s">
        <v>1121</v>
      </c>
      <c r="C419" s="16" t="s">
        <v>272</v>
      </c>
      <c r="D419" s="16">
        <v>3</v>
      </c>
      <c r="E419" t="s">
        <v>1524</v>
      </c>
      <c r="F419" t="s">
        <v>282</v>
      </c>
      <c r="G419" t="s">
        <v>1566</v>
      </c>
      <c r="H419" t="s">
        <v>1571</v>
      </c>
      <c r="I419" s="87">
        <v>4.8177339901477838</v>
      </c>
    </row>
    <row r="420" spans="1:9" x14ac:dyDescent="0.3">
      <c r="A420" t="s">
        <v>43</v>
      </c>
      <c r="B420" t="s">
        <v>1122</v>
      </c>
      <c r="C420" s="16" t="s">
        <v>272</v>
      </c>
      <c r="D420" s="16">
        <v>3</v>
      </c>
      <c r="E420" t="s">
        <v>1524</v>
      </c>
      <c r="F420" t="s">
        <v>282</v>
      </c>
      <c r="G420" t="s">
        <v>1566</v>
      </c>
      <c r="H420" t="s">
        <v>1571</v>
      </c>
      <c r="I420" s="87">
        <v>4.8177339901477838</v>
      </c>
    </row>
    <row r="421" spans="1:9" x14ac:dyDescent="0.3">
      <c r="A421" t="s">
        <v>43</v>
      </c>
      <c r="B421" t="s">
        <v>1123</v>
      </c>
      <c r="C421" s="16" t="s">
        <v>272</v>
      </c>
      <c r="D421" s="16">
        <v>3</v>
      </c>
      <c r="E421" t="s">
        <v>1524</v>
      </c>
      <c r="F421" t="s">
        <v>282</v>
      </c>
      <c r="G421" t="s">
        <v>1566</v>
      </c>
      <c r="H421" t="s">
        <v>1571</v>
      </c>
      <c r="I421" s="87">
        <v>4.8177339901477838</v>
      </c>
    </row>
    <row r="422" spans="1:9" x14ac:dyDescent="0.3">
      <c r="A422" t="s">
        <v>9</v>
      </c>
      <c r="B422" t="s">
        <v>1124</v>
      </c>
      <c r="C422" s="16" t="s">
        <v>272</v>
      </c>
      <c r="D422" s="16">
        <v>3</v>
      </c>
      <c r="E422" t="s">
        <v>1524</v>
      </c>
      <c r="F422" t="s">
        <v>1652</v>
      </c>
      <c r="G422" t="s">
        <v>1566</v>
      </c>
      <c r="H422" t="s">
        <v>1570</v>
      </c>
      <c r="I422" s="87">
        <v>5.6798029556650249</v>
      </c>
    </row>
    <row r="423" spans="1:9" x14ac:dyDescent="0.3">
      <c r="A423" t="s">
        <v>9</v>
      </c>
      <c r="B423" t="s">
        <v>1125</v>
      </c>
      <c r="C423" s="16" t="s">
        <v>272</v>
      </c>
      <c r="D423" s="16">
        <v>3</v>
      </c>
      <c r="E423" t="s">
        <v>1524</v>
      </c>
      <c r="F423" t="s">
        <v>1553</v>
      </c>
      <c r="G423" t="s">
        <v>1566</v>
      </c>
      <c r="H423" t="s">
        <v>1570</v>
      </c>
      <c r="I423" s="87">
        <v>5.6921182266009858</v>
      </c>
    </row>
    <row r="424" spans="1:9" x14ac:dyDescent="0.3">
      <c r="A424" t="s">
        <v>9</v>
      </c>
      <c r="B424" t="s">
        <v>1126</v>
      </c>
      <c r="C424" s="16" t="s">
        <v>272</v>
      </c>
      <c r="D424" s="16">
        <v>3</v>
      </c>
      <c r="E424" t="s">
        <v>1524</v>
      </c>
      <c r="F424" t="s">
        <v>282</v>
      </c>
      <c r="G424" t="s">
        <v>1568</v>
      </c>
      <c r="H424" t="s">
        <v>347</v>
      </c>
      <c r="I424" s="87">
        <v>4.8497536945812811</v>
      </c>
    </row>
    <row r="425" spans="1:9" x14ac:dyDescent="0.3">
      <c r="A425" t="s">
        <v>9</v>
      </c>
      <c r="B425" t="s">
        <v>1127</v>
      </c>
      <c r="C425" s="16" t="s">
        <v>272</v>
      </c>
      <c r="D425" s="16">
        <v>3</v>
      </c>
      <c r="E425" t="s">
        <v>1524</v>
      </c>
      <c r="F425" t="s">
        <v>1652</v>
      </c>
      <c r="G425" t="s">
        <v>1568</v>
      </c>
      <c r="H425" t="s">
        <v>344</v>
      </c>
      <c r="I425" s="87">
        <v>4.6403940886699511</v>
      </c>
    </row>
    <row r="426" spans="1:9" x14ac:dyDescent="0.3">
      <c r="A426" t="s">
        <v>9</v>
      </c>
      <c r="B426" t="s">
        <v>1128</v>
      </c>
      <c r="C426" s="16" t="s">
        <v>272</v>
      </c>
      <c r="D426" s="16">
        <v>3</v>
      </c>
      <c r="E426" t="s">
        <v>1524</v>
      </c>
      <c r="F426" t="s">
        <v>1652</v>
      </c>
      <c r="G426" t="s">
        <v>1568</v>
      </c>
      <c r="H426" t="s">
        <v>344</v>
      </c>
      <c r="I426" s="87">
        <v>4.6403940886699511</v>
      </c>
    </row>
    <row r="427" spans="1:9" x14ac:dyDescent="0.3">
      <c r="A427" t="s">
        <v>9</v>
      </c>
      <c r="B427" t="s">
        <v>1129</v>
      </c>
      <c r="C427" s="16" t="s">
        <v>272</v>
      </c>
      <c r="D427" s="16">
        <v>3</v>
      </c>
      <c r="E427" t="s">
        <v>1524</v>
      </c>
      <c r="F427" t="s">
        <v>1658</v>
      </c>
      <c r="G427" t="s">
        <v>1567</v>
      </c>
      <c r="H427" t="s">
        <v>344</v>
      </c>
      <c r="I427" s="87">
        <v>4.4285714285714288</v>
      </c>
    </row>
    <row r="428" spans="1:9" x14ac:dyDescent="0.3">
      <c r="A428" t="s">
        <v>9</v>
      </c>
      <c r="B428" t="s">
        <v>1130</v>
      </c>
      <c r="C428" s="16" t="s">
        <v>272</v>
      </c>
      <c r="D428" s="16">
        <v>3</v>
      </c>
      <c r="E428" t="s">
        <v>1524</v>
      </c>
      <c r="F428" t="s">
        <v>1658</v>
      </c>
      <c r="G428" t="s">
        <v>1567</v>
      </c>
      <c r="H428" t="s">
        <v>344</v>
      </c>
      <c r="I428" s="87">
        <v>4.4285714285714288</v>
      </c>
    </row>
    <row r="429" spans="1:9" x14ac:dyDescent="0.3">
      <c r="A429" t="s">
        <v>9</v>
      </c>
      <c r="B429" t="s">
        <v>1131</v>
      </c>
      <c r="C429" s="16" t="s">
        <v>272</v>
      </c>
      <c r="D429" s="16">
        <v>3</v>
      </c>
      <c r="E429" t="s">
        <v>1524</v>
      </c>
      <c r="F429" t="s">
        <v>282</v>
      </c>
      <c r="G429" t="s">
        <v>1568</v>
      </c>
      <c r="H429" t="s">
        <v>344</v>
      </c>
      <c r="I429" s="87">
        <v>3.6798029556650249</v>
      </c>
    </row>
    <row r="430" spans="1:9" x14ac:dyDescent="0.3">
      <c r="A430" t="s">
        <v>9</v>
      </c>
      <c r="B430" t="s">
        <v>1132</v>
      </c>
      <c r="C430" s="16" t="s">
        <v>272</v>
      </c>
      <c r="D430" s="16">
        <v>3</v>
      </c>
      <c r="E430" t="s">
        <v>1524</v>
      </c>
      <c r="F430" t="s">
        <v>282</v>
      </c>
      <c r="G430" t="s">
        <v>1568</v>
      </c>
      <c r="H430" t="s">
        <v>344</v>
      </c>
      <c r="I430" s="87">
        <v>3.6798029556650249</v>
      </c>
    </row>
    <row r="431" spans="1:9" x14ac:dyDescent="0.3">
      <c r="A431" t="s">
        <v>9</v>
      </c>
      <c r="B431" t="s">
        <v>1133</v>
      </c>
      <c r="C431" s="16" t="s">
        <v>272</v>
      </c>
      <c r="D431" s="16">
        <v>3</v>
      </c>
      <c r="E431" t="s">
        <v>1524</v>
      </c>
      <c r="F431" t="s">
        <v>282</v>
      </c>
      <c r="G431" t="s">
        <v>1568</v>
      </c>
      <c r="H431" t="s">
        <v>344</v>
      </c>
      <c r="I431" s="87">
        <v>3.6798029556650249</v>
      </c>
    </row>
    <row r="432" spans="1:9" x14ac:dyDescent="0.3">
      <c r="A432" t="s">
        <v>9</v>
      </c>
      <c r="B432" t="s">
        <v>1134</v>
      </c>
      <c r="C432" s="16" t="s">
        <v>272</v>
      </c>
      <c r="D432" s="16">
        <v>3</v>
      </c>
      <c r="E432" t="s">
        <v>1524</v>
      </c>
      <c r="F432" t="s">
        <v>1658</v>
      </c>
      <c r="G432" t="s">
        <v>1567</v>
      </c>
      <c r="H432" t="s">
        <v>344</v>
      </c>
      <c r="I432" s="87">
        <v>4.4285714285714288</v>
      </c>
    </row>
    <row r="433" spans="1:9" x14ac:dyDescent="0.3">
      <c r="A433" t="s">
        <v>45</v>
      </c>
      <c r="B433" t="s">
        <v>1135</v>
      </c>
      <c r="C433" s="16" t="s">
        <v>272</v>
      </c>
      <c r="D433" s="16">
        <v>3</v>
      </c>
      <c r="E433" t="s">
        <v>1524</v>
      </c>
      <c r="F433" t="s">
        <v>282</v>
      </c>
      <c r="G433" t="s">
        <v>1567</v>
      </c>
      <c r="H433" t="s">
        <v>344</v>
      </c>
      <c r="I433" s="87">
        <v>3.431034482758621</v>
      </c>
    </row>
    <row r="434" spans="1:9" x14ac:dyDescent="0.3">
      <c r="A434" t="s">
        <v>45</v>
      </c>
      <c r="B434" t="s">
        <v>1136</v>
      </c>
      <c r="C434" s="16" t="s">
        <v>272</v>
      </c>
      <c r="D434" s="16">
        <v>3</v>
      </c>
      <c r="E434" t="s">
        <v>1524</v>
      </c>
      <c r="F434" t="s">
        <v>282</v>
      </c>
      <c r="G434" t="s">
        <v>1567</v>
      </c>
      <c r="H434" t="s">
        <v>344</v>
      </c>
      <c r="I434" s="87">
        <v>3.431034482758621</v>
      </c>
    </row>
    <row r="435" spans="1:9" x14ac:dyDescent="0.3">
      <c r="A435" t="s">
        <v>45</v>
      </c>
      <c r="B435" t="s">
        <v>1137</v>
      </c>
      <c r="C435" s="16" t="s">
        <v>272</v>
      </c>
      <c r="D435" s="16">
        <v>3</v>
      </c>
      <c r="E435" t="s">
        <v>1524</v>
      </c>
      <c r="F435" t="s">
        <v>282</v>
      </c>
      <c r="G435" t="s">
        <v>1567</v>
      </c>
      <c r="H435" t="s">
        <v>344</v>
      </c>
      <c r="I435" s="87">
        <v>3.431034482758621</v>
      </c>
    </row>
    <row r="436" spans="1:9" x14ac:dyDescent="0.3">
      <c r="A436" t="s">
        <v>45</v>
      </c>
      <c r="B436" t="s">
        <v>1138</v>
      </c>
      <c r="C436" s="16" t="s">
        <v>272</v>
      </c>
      <c r="D436" s="16">
        <v>3</v>
      </c>
      <c r="E436" t="s">
        <v>1524</v>
      </c>
      <c r="F436" t="s">
        <v>282</v>
      </c>
      <c r="G436" t="s">
        <v>1567</v>
      </c>
      <c r="H436" t="s">
        <v>344</v>
      </c>
      <c r="I436" s="87">
        <v>3.431034482758621</v>
      </c>
    </row>
    <row r="437" spans="1:9" x14ac:dyDescent="0.3">
      <c r="A437" t="s">
        <v>45</v>
      </c>
      <c r="B437" t="s">
        <v>1139</v>
      </c>
      <c r="C437" s="16" t="s">
        <v>272</v>
      </c>
      <c r="D437" s="16">
        <v>3</v>
      </c>
      <c r="E437" t="s">
        <v>1524</v>
      </c>
      <c r="F437" t="s">
        <v>282</v>
      </c>
      <c r="G437" t="s">
        <v>1567</v>
      </c>
      <c r="H437" t="s">
        <v>344</v>
      </c>
      <c r="I437" s="87">
        <v>3.431034482758621</v>
      </c>
    </row>
    <row r="438" spans="1:9" x14ac:dyDescent="0.3">
      <c r="A438" t="s">
        <v>45</v>
      </c>
      <c r="B438" t="s">
        <v>1140</v>
      </c>
      <c r="C438" s="16" t="s">
        <v>272</v>
      </c>
      <c r="D438" s="16">
        <v>3</v>
      </c>
      <c r="E438" t="s">
        <v>1524</v>
      </c>
      <c r="F438" t="s">
        <v>282</v>
      </c>
      <c r="G438" t="s">
        <v>1567</v>
      </c>
      <c r="H438" t="s">
        <v>344</v>
      </c>
      <c r="I438" s="87">
        <v>3.431034482758621</v>
      </c>
    </row>
    <row r="439" spans="1:9" x14ac:dyDescent="0.3">
      <c r="A439" t="s">
        <v>45</v>
      </c>
      <c r="B439" t="s">
        <v>1141</v>
      </c>
      <c r="C439" s="16" t="s">
        <v>272</v>
      </c>
      <c r="D439" s="16">
        <v>3</v>
      </c>
      <c r="E439" t="s">
        <v>1524</v>
      </c>
      <c r="F439" t="s">
        <v>282</v>
      </c>
      <c r="G439" t="s">
        <v>1567</v>
      </c>
      <c r="H439" t="s">
        <v>344</v>
      </c>
      <c r="I439" s="87">
        <v>3.431034482758621</v>
      </c>
    </row>
    <row r="440" spans="1:9" x14ac:dyDescent="0.3">
      <c r="A440" t="s">
        <v>45</v>
      </c>
      <c r="B440" t="s">
        <v>1142</v>
      </c>
      <c r="C440" s="16" t="s">
        <v>272</v>
      </c>
      <c r="D440" s="16">
        <v>2</v>
      </c>
      <c r="E440" t="s">
        <v>1524</v>
      </c>
      <c r="F440" t="s">
        <v>282</v>
      </c>
      <c r="G440" t="s">
        <v>341</v>
      </c>
      <c r="H440" t="s">
        <v>344</v>
      </c>
      <c r="I440" s="87">
        <v>4.3177339901477829</v>
      </c>
    </row>
    <row r="441" spans="1:9" x14ac:dyDescent="0.3">
      <c r="A441" t="s">
        <v>45</v>
      </c>
      <c r="B441" t="s">
        <v>1143</v>
      </c>
      <c r="C441" s="16" t="s">
        <v>272</v>
      </c>
      <c r="D441" s="16">
        <v>3</v>
      </c>
      <c r="E441" t="s">
        <v>1524</v>
      </c>
      <c r="F441" t="s">
        <v>282</v>
      </c>
      <c r="G441" t="s">
        <v>1567</v>
      </c>
      <c r="H441" t="s">
        <v>344</v>
      </c>
      <c r="I441" s="87">
        <v>3.431034482758621</v>
      </c>
    </row>
    <row r="442" spans="1:9" x14ac:dyDescent="0.3">
      <c r="A442" t="s">
        <v>45</v>
      </c>
      <c r="B442" t="s">
        <v>1144</v>
      </c>
      <c r="C442" s="16" t="s">
        <v>272</v>
      </c>
      <c r="D442" s="16">
        <v>3</v>
      </c>
      <c r="E442" t="s">
        <v>1524</v>
      </c>
      <c r="F442" t="s">
        <v>282</v>
      </c>
      <c r="G442" t="s">
        <v>1567</v>
      </c>
      <c r="H442" t="s">
        <v>344</v>
      </c>
      <c r="I442" s="87">
        <v>3.431034482758621</v>
      </c>
    </row>
    <row r="443" spans="1:9" x14ac:dyDescent="0.3">
      <c r="A443" t="s">
        <v>45</v>
      </c>
      <c r="B443" t="s">
        <v>1145</v>
      </c>
      <c r="C443" s="16" t="s">
        <v>272</v>
      </c>
      <c r="D443" s="16">
        <v>3</v>
      </c>
      <c r="E443" t="s">
        <v>1524</v>
      </c>
      <c r="F443" t="s">
        <v>1540</v>
      </c>
      <c r="G443" t="s">
        <v>1567</v>
      </c>
      <c r="H443" t="s">
        <v>291</v>
      </c>
      <c r="I443" s="87">
        <v>5.3645320197044333</v>
      </c>
    </row>
    <row r="444" spans="1:9" x14ac:dyDescent="0.3">
      <c r="A444" t="s">
        <v>45</v>
      </c>
      <c r="B444" t="s">
        <v>1146</v>
      </c>
      <c r="C444" s="16" t="s">
        <v>272</v>
      </c>
      <c r="D444" s="16">
        <v>3</v>
      </c>
      <c r="E444" t="s">
        <v>1524</v>
      </c>
      <c r="F444" t="s">
        <v>282</v>
      </c>
      <c r="G444" t="s">
        <v>1567</v>
      </c>
      <c r="H444" t="s">
        <v>344</v>
      </c>
      <c r="I444" s="87">
        <v>3.431034482758621</v>
      </c>
    </row>
    <row r="445" spans="1:9" x14ac:dyDescent="0.3">
      <c r="A445" t="s">
        <v>45</v>
      </c>
      <c r="B445" t="s">
        <v>1147</v>
      </c>
      <c r="C445" s="16" t="s">
        <v>272</v>
      </c>
      <c r="D445" s="16">
        <v>3</v>
      </c>
      <c r="E445" t="s">
        <v>1524</v>
      </c>
      <c r="F445" t="s">
        <v>282</v>
      </c>
      <c r="G445" t="s">
        <v>1567</v>
      </c>
      <c r="H445" t="s">
        <v>344</v>
      </c>
      <c r="I445" s="87">
        <v>3.431034482758621</v>
      </c>
    </row>
    <row r="446" spans="1:9" x14ac:dyDescent="0.3">
      <c r="A446" t="s">
        <v>45</v>
      </c>
      <c r="B446" t="s">
        <v>1148</v>
      </c>
      <c r="C446" s="16" t="s">
        <v>272</v>
      </c>
      <c r="D446" s="16">
        <v>3</v>
      </c>
      <c r="E446" t="s">
        <v>1524</v>
      </c>
      <c r="F446" t="s">
        <v>282</v>
      </c>
      <c r="G446" t="s">
        <v>1567</v>
      </c>
      <c r="H446" t="s">
        <v>344</v>
      </c>
      <c r="I446" s="87">
        <v>3.431034482758621</v>
      </c>
    </row>
    <row r="447" spans="1:9" x14ac:dyDescent="0.3">
      <c r="A447" t="s">
        <v>45</v>
      </c>
      <c r="B447" t="s">
        <v>1149</v>
      </c>
      <c r="C447" s="16" t="s">
        <v>272</v>
      </c>
      <c r="D447" s="16">
        <v>3</v>
      </c>
      <c r="E447" t="s">
        <v>1524</v>
      </c>
      <c r="F447" t="s">
        <v>282</v>
      </c>
      <c r="G447" t="s">
        <v>1567</v>
      </c>
      <c r="H447" t="s">
        <v>344</v>
      </c>
      <c r="I447" s="87">
        <v>3.431034482758621</v>
      </c>
    </row>
    <row r="448" spans="1:9" x14ac:dyDescent="0.3">
      <c r="A448" t="s">
        <v>45</v>
      </c>
      <c r="B448" t="s">
        <v>1150</v>
      </c>
      <c r="C448" s="16" t="s">
        <v>272</v>
      </c>
      <c r="D448" s="16">
        <v>3</v>
      </c>
      <c r="E448" t="s">
        <v>1524</v>
      </c>
      <c r="F448" t="s">
        <v>1540</v>
      </c>
      <c r="G448" t="s">
        <v>1567</v>
      </c>
      <c r="H448" t="s">
        <v>291</v>
      </c>
      <c r="I448" s="87">
        <v>5.3645320197044333</v>
      </c>
    </row>
    <row r="449" spans="1:9" x14ac:dyDescent="0.3">
      <c r="A449" t="s">
        <v>45</v>
      </c>
      <c r="B449" t="s">
        <v>1151</v>
      </c>
      <c r="C449" s="16" t="s">
        <v>272</v>
      </c>
      <c r="D449" s="16">
        <v>3</v>
      </c>
      <c r="E449" t="s">
        <v>1524</v>
      </c>
      <c r="F449" t="s">
        <v>282</v>
      </c>
      <c r="G449" t="s">
        <v>1567</v>
      </c>
      <c r="H449" t="s">
        <v>344</v>
      </c>
      <c r="I449" s="87">
        <v>3.431034482758621</v>
      </c>
    </row>
    <row r="450" spans="1:9" x14ac:dyDescent="0.3">
      <c r="A450" t="s">
        <v>45</v>
      </c>
      <c r="B450" t="s">
        <v>1152</v>
      </c>
      <c r="C450" s="16" t="s">
        <v>272</v>
      </c>
      <c r="D450" s="16">
        <v>3</v>
      </c>
      <c r="E450" t="s">
        <v>1524</v>
      </c>
      <c r="F450" t="s">
        <v>1540</v>
      </c>
      <c r="G450" t="s">
        <v>1567</v>
      </c>
      <c r="H450" t="s">
        <v>1570</v>
      </c>
      <c r="I450" s="87">
        <v>5.4384236453201975</v>
      </c>
    </row>
    <row r="451" spans="1:9" x14ac:dyDescent="0.3">
      <c r="A451" t="s">
        <v>45</v>
      </c>
      <c r="B451" t="s">
        <v>1153</v>
      </c>
      <c r="C451" s="16" t="s">
        <v>272</v>
      </c>
      <c r="D451" s="16">
        <v>3</v>
      </c>
      <c r="E451" t="s">
        <v>1524</v>
      </c>
      <c r="F451" t="s">
        <v>1658</v>
      </c>
      <c r="G451" t="s">
        <v>340</v>
      </c>
      <c r="H451" t="s">
        <v>348</v>
      </c>
      <c r="I451" s="87">
        <v>5.9384236453201975</v>
      </c>
    </row>
    <row r="452" spans="1:9" x14ac:dyDescent="0.3">
      <c r="A452" t="s">
        <v>9</v>
      </c>
      <c r="B452" t="s">
        <v>1154</v>
      </c>
      <c r="C452" s="16" t="s">
        <v>272</v>
      </c>
      <c r="D452" s="16">
        <v>3</v>
      </c>
      <c r="E452" t="s">
        <v>1524</v>
      </c>
      <c r="F452" t="s">
        <v>282</v>
      </c>
      <c r="G452" t="s">
        <v>1567</v>
      </c>
      <c r="H452" t="s">
        <v>291</v>
      </c>
      <c r="I452" s="87">
        <v>4.4778325123152714</v>
      </c>
    </row>
    <row r="453" spans="1:9" x14ac:dyDescent="0.3">
      <c r="A453" t="s">
        <v>9</v>
      </c>
      <c r="B453" t="s">
        <v>1155</v>
      </c>
      <c r="C453" s="16" t="s">
        <v>272</v>
      </c>
      <c r="D453" s="16">
        <v>3</v>
      </c>
      <c r="E453" t="s">
        <v>1524</v>
      </c>
      <c r="F453" t="s">
        <v>1551</v>
      </c>
      <c r="G453" t="s">
        <v>1567</v>
      </c>
      <c r="H453" t="s">
        <v>291</v>
      </c>
      <c r="I453" s="87">
        <v>5.4630541871921183</v>
      </c>
    </row>
    <row r="454" spans="1:9" x14ac:dyDescent="0.3">
      <c r="A454" t="s">
        <v>9</v>
      </c>
      <c r="B454" t="s">
        <v>1156</v>
      </c>
      <c r="C454" s="16" t="s">
        <v>272</v>
      </c>
      <c r="D454" s="16">
        <v>3</v>
      </c>
      <c r="E454" t="s">
        <v>1524</v>
      </c>
      <c r="F454" t="s">
        <v>1551</v>
      </c>
      <c r="G454" t="s">
        <v>1567</v>
      </c>
      <c r="H454" t="s">
        <v>291</v>
      </c>
      <c r="I454" s="87">
        <v>5.4630541871921183</v>
      </c>
    </row>
    <row r="455" spans="1:9" x14ac:dyDescent="0.3">
      <c r="A455" t="s">
        <v>9</v>
      </c>
      <c r="B455" t="s">
        <v>1157</v>
      </c>
      <c r="C455" s="16" t="s">
        <v>272</v>
      </c>
      <c r="D455" s="16">
        <v>3</v>
      </c>
      <c r="E455" t="s">
        <v>1524</v>
      </c>
      <c r="F455" t="s">
        <v>282</v>
      </c>
      <c r="G455" t="s">
        <v>1566</v>
      </c>
      <c r="H455" t="s">
        <v>1571</v>
      </c>
      <c r="I455" s="87">
        <v>4.8177339901477838</v>
      </c>
    </row>
    <row r="456" spans="1:9" x14ac:dyDescent="0.3">
      <c r="A456" t="s">
        <v>9</v>
      </c>
      <c r="B456" t="s">
        <v>1158</v>
      </c>
      <c r="C456" s="16" t="s">
        <v>272</v>
      </c>
      <c r="D456" s="16">
        <v>2</v>
      </c>
      <c r="E456" t="s">
        <v>1524</v>
      </c>
      <c r="F456" t="s">
        <v>282</v>
      </c>
      <c r="G456" t="s">
        <v>341</v>
      </c>
      <c r="H456" t="s">
        <v>344</v>
      </c>
      <c r="I456" s="87">
        <v>4.3177339901477829</v>
      </c>
    </row>
    <row r="457" spans="1:9" x14ac:dyDescent="0.3">
      <c r="A457" t="s">
        <v>9</v>
      </c>
      <c r="B457" t="s">
        <v>1159</v>
      </c>
      <c r="C457" s="16" t="s">
        <v>272</v>
      </c>
      <c r="D457" s="16">
        <v>3</v>
      </c>
      <c r="E457" t="s">
        <v>1524</v>
      </c>
      <c r="F457" t="s">
        <v>282</v>
      </c>
      <c r="G457" t="s">
        <v>341</v>
      </c>
      <c r="H457" t="s">
        <v>344</v>
      </c>
      <c r="I457" s="87">
        <v>3.6724137931034484</v>
      </c>
    </row>
    <row r="458" spans="1:9" x14ac:dyDescent="0.3">
      <c r="A458" t="s">
        <v>9</v>
      </c>
      <c r="B458" t="s">
        <v>1160</v>
      </c>
      <c r="C458" s="16" t="s">
        <v>272</v>
      </c>
      <c r="D458" s="16">
        <v>3</v>
      </c>
      <c r="E458" t="s">
        <v>1524</v>
      </c>
      <c r="F458" t="s">
        <v>282</v>
      </c>
      <c r="G458" t="s">
        <v>341</v>
      </c>
      <c r="H458" t="s">
        <v>344</v>
      </c>
      <c r="I458" s="87">
        <v>3.6724137931034484</v>
      </c>
    </row>
    <row r="459" spans="1:9" x14ac:dyDescent="0.3">
      <c r="A459" t="s">
        <v>9</v>
      </c>
      <c r="B459" t="s">
        <v>1161</v>
      </c>
      <c r="C459" s="16" t="s">
        <v>272</v>
      </c>
      <c r="D459" s="16">
        <v>3</v>
      </c>
      <c r="E459" t="s">
        <v>1524</v>
      </c>
      <c r="F459" t="s">
        <v>282</v>
      </c>
      <c r="G459" t="s">
        <v>1566</v>
      </c>
      <c r="H459" t="s">
        <v>1570</v>
      </c>
      <c r="I459" s="87">
        <v>4.7192118226600996</v>
      </c>
    </row>
    <row r="460" spans="1:9" x14ac:dyDescent="0.3">
      <c r="A460" t="s">
        <v>9</v>
      </c>
      <c r="B460" t="s">
        <v>1162</v>
      </c>
      <c r="C460" s="16" t="s">
        <v>272</v>
      </c>
      <c r="D460" s="16">
        <v>3</v>
      </c>
      <c r="E460" t="s">
        <v>1524</v>
      </c>
      <c r="F460" t="s">
        <v>282</v>
      </c>
      <c r="G460" t="s">
        <v>1567</v>
      </c>
      <c r="H460" t="s">
        <v>344</v>
      </c>
      <c r="I460" s="87">
        <v>3.431034482758621</v>
      </c>
    </row>
  </sheetData>
  <autoFilter ref="K1:O211" xr:uid="{16142508-A7A7-4047-864F-453CF0AAC398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E587997A-62B0-45FB-A26C-2428DB6C72C8}">
          <x14:formula1>
            <xm:f>DimensionsEval!$H$2:$L$2</xm:f>
          </x14:formula1>
          <xm:sqref>C2:C460</xm:sqref>
        </x14:dataValidation>
        <x14:dataValidation type="list" allowBlank="1" showInputMessage="1" showErrorMessage="1" xr:uid="{E2CEF6CC-427B-4157-844E-C5B25737EA11}">
          <x14:formula1>
            <xm:f>DimensionsEval!$H$3:$K$3</xm:f>
          </x14:formula1>
          <xm:sqref>D2:D460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E25C-554C-4F02-8D04-15896235572F}">
  <dimension ref="A1:R31"/>
  <sheetViews>
    <sheetView workbookViewId="0">
      <selection activeCell="I37" sqref="I37"/>
    </sheetView>
  </sheetViews>
  <sheetFormatPr defaultRowHeight="14.4" x14ac:dyDescent="0.3"/>
  <cols>
    <col min="1" max="1" width="8.44140625" bestFit="1" customWidth="1"/>
    <col min="2" max="2" width="12.44140625" bestFit="1" customWidth="1"/>
    <col min="3" max="3" width="18.33203125" bestFit="1" customWidth="1"/>
    <col min="4" max="4" width="18" bestFit="1" customWidth="1"/>
    <col min="5" max="5" width="18.88671875" bestFit="1" customWidth="1"/>
    <col min="6" max="7" width="18.5546875" bestFit="1" customWidth="1"/>
    <col min="8" max="8" width="18.33203125" bestFit="1" customWidth="1"/>
    <col min="9" max="9" width="22" bestFit="1" customWidth="1"/>
    <col min="10" max="10" width="21.6640625" bestFit="1" customWidth="1"/>
    <col min="11" max="11" width="19.6640625" bestFit="1" customWidth="1"/>
    <col min="12" max="12" width="19.44140625" bestFit="1" customWidth="1"/>
    <col min="13" max="13" width="20.33203125" bestFit="1" customWidth="1"/>
    <col min="14" max="15" width="20" bestFit="1" customWidth="1"/>
    <col min="16" max="16" width="19.6640625" bestFit="1" customWidth="1"/>
    <col min="17" max="17" width="23.44140625" bestFit="1" customWidth="1"/>
    <col min="18" max="18" width="23.109375" bestFit="1" customWidth="1"/>
  </cols>
  <sheetData>
    <row r="1" spans="1:18" x14ac:dyDescent="0.3">
      <c r="A1" s="91" t="s">
        <v>0</v>
      </c>
      <c r="B1" s="91" t="s">
        <v>1</v>
      </c>
      <c r="C1" s="91" t="s">
        <v>1662</v>
      </c>
      <c r="D1" s="91" t="s">
        <v>1663</v>
      </c>
      <c r="E1" s="91" t="s">
        <v>1666</v>
      </c>
      <c r="F1" s="91" t="s">
        <v>1667</v>
      </c>
      <c r="G1" s="91" t="s">
        <v>1668</v>
      </c>
      <c r="H1" s="91" t="s">
        <v>1669</v>
      </c>
      <c r="I1" s="91" t="s">
        <v>1670</v>
      </c>
      <c r="J1" s="91" t="s">
        <v>1671</v>
      </c>
      <c r="K1" s="79" t="s">
        <v>1664</v>
      </c>
      <c r="L1" s="79" t="s">
        <v>1665</v>
      </c>
      <c r="M1" s="79" t="s">
        <v>1672</v>
      </c>
      <c r="N1" s="79" t="s">
        <v>1673</v>
      </c>
      <c r="O1" s="79" t="s">
        <v>1674</v>
      </c>
      <c r="P1" s="79" t="s">
        <v>1675</v>
      </c>
      <c r="Q1" s="79" t="s">
        <v>1676</v>
      </c>
      <c r="R1" s="79" t="s">
        <v>1677</v>
      </c>
    </row>
    <row r="2" spans="1:18" x14ac:dyDescent="0.3">
      <c r="A2" t="s">
        <v>43</v>
      </c>
      <c r="B2" t="s">
        <v>50</v>
      </c>
      <c r="C2">
        <v>5.1182266009852215</v>
      </c>
      <c r="D2">
        <v>5.036672140120416</v>
      </c>
      <c r="E2">
        <v>7.7536945812807883</v>
      </c>
      <c r="F2">
        <v>6.583743842364532</v>
      </c>
      <c r="G2">
        <v>4.3669950738916254</v>
      </c>
      <c r="H2">
        <v>4.3423645320197046</v>
      </c>
      <c r="I2">
        <v>4.3669950738916254</v>
      </c>
      <c r="J2">
        <v>4.485221674876847</v>
      </c>
      <c r="K2">
        <v>5.9708333333333341</v>
      </c>
      <c r="L2">
        <v>6.070555555555555</v>
      </c>
      <c r="M2">
        <v>7.8000000000000007</v>
      </c>
      <c r="N2">
        <v>7.6400000000000006</v>
      </c>
      <c r="O2">
        <v>5.5</v>
      </c>
      <c r="P2">
        <v>5.3250000000000002</v>
      </c>
      <c r="Q2">
        <v>5.5</v>
      </c>
      <c r="R2">
        <v>5.8650000000000002</v>
      </c>
    </row>
    <row r="3" spans="1:18" x14ac:dyDescent="0.3">
      <c r="A3" t="s">
        <v>45</v>
      </c>
      <c r="B3" t="s">
        <v>68</v>
      </c>
      <c r="C3">
        <v>5.0477832512315279</v>
      </c>
      <c r="D3">
        <v>4.4162561576354689</v>
      </c>
      <c r="E3">
        <v>5.5123152709359609</v>
      </c>
      <c r="F3">
        <v>4.6157635467980302</v>
      </c>
      <c r="G3">
        <v>4.7068965517241388</v>
      </c>
      <c r="H3">
        <v>4.3177339901477829</v>
      </c>
      <c r="I3">
        <v>4.8004926108374395</v>
      </c>
      <c r="J3">
        <v>4.3423645320197046</v>
      </c>
      <c r="K3">
        <v>5.6450000000000005</v>
      </c>
      <c r="L3">
        <v>5.592777777777779</v>
      </c>
      <c r="M3">
        <v>5.9</v>
      </c>
      <c r="N3">
        <v>5.8650000000000002</v>
      </c>
      <c r="O3">
        <v>5.4250000000000007</v>
      </c>
      <c r="P3">
        <v>5.375</v>
      </c>
      <c r="Q3">
        <v>5.5750000000000011</v>
      </c>
      <c r="R3">
        <v>5.625</v>
      </c>
    </row>
    <row r="4" spans="1:18" x14ac:dyDescent="0.3">
      <c r="A4" t="s">
        <v>9</v>
      </c>
      <c r="B4" t="s">
        <v>60</v>
      </c>
      <c r="C4">
        <v>5.4649014778325125</v>
      </c>
      <c r="D4">
        <v>5.0758620689655176</v>
      </c>
      <c r="E4">
        <v>5.7413793103448274</v>
      </c>
      <c r="F4">
        <v>8.0960591133004929</v>
      </c>
      <c r="G4">
        <v>5.3029556650246308</v>
      </c>
      <c r="H4">
        <v>3.431034482758621</v>
      </c>
      <c r="I4">
        <v>5.4076354679802954</v>
      </c>
      <c r="J4">
        <v>4.3423645320197046</v>
      </c>
      <c r="K4">
        <v>5.6</v>
      </c>
      <c r="L4">
        <v>6.2650000000000006</v>
      </c>
      <c r="M4">
        <v>6.0250000000000004</v>
      </c>
      <c r="N4">
        <v>8.4</v>
      </c>
      <c r="O4">
        <v>5.1750000000000007</v>
      </c>
      <c r="P4">
        <v>4.9250000000000007</v>
      </c>
      <c r="Q4">
        <v>5.6000000000000005</v>
      </c>
      <c r="R4">
        <v>5.8650000000000002</v>
      </c>
    </row>
    <row r="5" spans="1:18" x14ac:dyDescent="0.3">
      <c r="A5" t="s">
        <v>45</v>
      </c>
      <c r="B5" t="s">
        <v>53</v>
      </c>
      <c r="C5">
        <v>3.9766009852216753</v>
      </c>
      <c r="D5">
        <v>4.5862068965517242</v>
      </c>
      <c r="E5">
        <v>4.7266009852216753</v>
      </c>
      <c r="F5">
        <v>4.7438423645320196</v>
      </c>
      <c r="G5">
        <v>3.431034482758621</v>
      </c>
      <c r="H5">
        <v>4.4285714285714288</v>
      </c>
      <c r="I5">
        <v>3.874384236453202</v>
      </c>
      <c r="J5">
        <v>4.5862068965517242</v>
      </c>
      <c r="K5">
        <v>5.1437500000000007</v>
      </c>
      <c r="L5">
        <v>5.3900000000000006</v>
      </c>
      <c r="M5">
        <v>5.375</v>
      </c>
      <c r="N5">
        <v>5.4050000000000002</v>
      </c>
      <c r="O5">
        <v>4.9250000000000007</v>
      </c>
      <c r="P5">
        <v>5.375</v>
      </c>
      <c r="Q5">
        <v>5.1375000000000011</v>
      </c>
      <c r="R5">
        <v>5.3900000000000006</v>
      </c>
    </row>
    <row r="6" spans="1:18" x14ac:dyDescent="0.3">
      <c r="A6" t="s">
        <v>9</v>
      </c>
      <c r="B6" t="s">
        <v>76</v>
      </c>
      <c r="C6">
        <v>5.0351864883884598</v>
      </c>
      <c r="D6">
        <v>4.5083743842364532</v>
      </c>
      <c r="E6">
        <v>7.8596059113300498</v>
      </c>
      <c r="F6">
        <v>5.5123152709359609</v>
      </c>
      <c r="G6">
        <v>3.431034482758621</v>
      </c>
      <c r="H6">
        <v>3.6798029556650249</v>
      </c>
      <c r="I6">
        <v>4.6206896551724137</v>
      </c>
      <c r="J6">
        <v>4.4975369458128078</v>
      </c>
      <c r="K6">
        <v>5.7371428571428575</v>
      </c>
      <c r="L6">
        <v>5.4605000000000015</v>
      </c>
      <c r="M6">
        <v>7.5749999999999993</v>
      </c>
      <c r="N6">
        <v>6.0250000000000004</v>
      </c>
      <c r="O6">
        <v>4.9250000000000007</v>
      </c>
      <c r="P6">
        <v>4.875</v>
      </c>
      <c r="Q6">
        <v>5.5500000000000007</v>
      </c>
      <c r="R6">
        <v>5.4875000000000007</v>
      </c>
    </row>
    <row r="7" spans="1:18" x14ac:dyDescent="0.3">
      <c r="A7" t="s">
        <v>43</v>
      </c>
      <c r="B7" t="s">
        <v>73</v>
      </c>
      <c r="C7">
        <v>5.1788177339901473</v>
      </c>
      <c r="D7">
        <v>6.3304970891177792</v>
      </c>
      <c r="E7">
        <v>9.3916256157635463</v>
      </c>
      <c r="F7">
        <v>9.1305418719211815</v>
      </c>
      <c r="G7">
        <v>4.3177339901477829</v>
      </c>
      <c r="H7">
        <v>4.3423645320197046</v>
      </c>
      <c r="I7">
        <v>4.7216748768472909</v>
      </c>
      <c r="J7">
        <v>4.8004926108374395</v>
      </c>
      <c r="K7">
        <v>5.8529999999999998</v>
      </c>
      <c r="L7">
        <v>6.910454545454547</v>
      </c>
      <c r="M7">
        <v>8.8250000000000011</v>
      </c>
      <c r="N7">
        <v>8.7750000000000004</v>
      </c>
      <c r="O7">
        <v>5.3249999999999993</v>
      </c>
      <c r="P7">
        <v>5.5750000000000011</v>
      </c>
      <c r="Q7">
        <v>5.5250000000000004</v>
      </c>
      <c r="R7">
        <v>5.8650000000000002</v>
      </c>
    </row>
    <row r="8" spans="1:18" x14ac:dyDescent="0.3">
      <c r="A8" t="s">
        <v>45</v>
      </c>
      <c r="B8" t="s">
        <v>46</v>
      </c>
      <c r="C8">
        <v>7.5372976776917673</v>
      </c>
      <c r="D8">
        <v>7.506020799124248</v>
      </c>
      <c r="E8">
        <v>7.6921182266009858</v>
      </c>
      <c r="F8">
        <v>7.5935960591133007</v>
      </c>
      <c r="G8">
        <v>7.4950738916256165</v>
      </c>
      <c r="H8">
        <v>7.4950738916256165</v>
      </c>
      <c r="I8">
        <v>7.4950738916256165</v>
      </c>
      <c r="J8">
        <v>7.4950738916256165</v>
      </c>
      <c r="K8">
        <v>7.1392857142857151</v>
      </c>
      <c r="L8">
        <v>6.9722222222222241</v>
      </c>
      <c r="M8">
        <v>7.6750000000000007</v>
      </c>
      <c r="N8">
        <v>7.15</v>
      </c>
      <c r="O8">
        <v>6.9500000000000011</v>
      </c>
      <c r="P8">
        <v>6.9500000000000011</v>
      </c>
      <c r="Q8">
        <v>6.9500000000000011</v>
      </c>
      <c r="R8">
        <v>6.9500000000000011</v>
      </c>
    </row>
    <row r="9" spans="1:18" x14ac:dyDescent="0.3">
      <c r="A9" t="s">
        <v>45</v>
      </c>
      <c r="B9" t="s">
        <v>72</v>
      </c>
      <c r="C9">
        <v>5.2274220032840724</v>
      </c>
      <c r="D9">
        <v>6.1279028852920492</v>
      </c>
      <c r="E9">
        <v>8.083743842364532</v>
      </c>
      <c r="F9">
        <v>8.083743842364532</v>
      </c>
      <c r="G9">
        <v>3.431034482758621</v>
      </c>
      <c r="H9">
        <v>4.4285714285714288</v>
      </c>
      <c r="I9">
        <v>4.4408866995073897</v>
      </c>
      <c r="J9">
        <v>5.5492610837438434</v>
      </c>
      <c r="K9">
        <v>6.163333333333334</v>
      </c>
      <c r="L9">
        <v>6.6157142857142857</v>
      </c>
      <c r="M9">
        <v>8.4749999999999996</v>
      </c>
      <c r="N9">
        <v>8.4749999999999996</v>
      </c>
      <c r="O9">
        <v>4.875</v>
      </c>
      <c r="P9">
        <v>4.875</v>
      </c>
      <c r="Q9">
        <v>5.8550000000000004</v>
      </c>
      <c r="R9">
        <v>6.2774999999999999</v>
      </c>
    </row>
    <row r="10" spans="1:18" x14ac:dyDescent="0.3">
      <c r="A10" t="s">
        <v>9</v>
      </c>
      <c r="B10" t="s">
        <v>10</v>
      </c>
      <c r="C10">
        <v>4.4013019000703739</v>
      </c>
      <c r="D10">
        <v>7.0190007037297706</v>
      </c>
      <c r="E10">
        <v>5.5123152709359609</v>
      </c>
      <c r="F10">
        <v>9.2980295566502456</v>
      </c>
      <c r="G10">
        <v>4.2931034482758621</v>
      </c>
      <c r="H10">
        <v>4.4285714285714288</v>
      </c>
      <c r="I10">
        <v>4.2931034482758621</v>
      </c>
      <c r="J10">
        <v>6.9470443349753701</v>
      </c>
      <c r="K10">
        <v>5.5392857142857137</v>
      </c>
      <c r="L10">
        <v>7.4264285714285707</v>
      </c>
      <c r="M10">
        <v>6.05</v>
      </c>
      <c r="N10">
        <v>8.875</v>
      </c>
      <c r="O10">
        <v>5.5</v>
      </c>
      <c r="P10">
        <v>5.5</v>
      </c>
      <c r="Q10">
        <v>5.5</v>
      </c>
      <c r="R10">
        <v>7.347500000000001</v>
      </c>
    </row>
    <row r="11" spans="1:18" x14ac:dyDescent="0.3">
      <c r="A11" t="s">
        <v>9</v>
      </c>
      <c r="B11" t="s">
        <v>47</v>
      </c>
      <c r="C11">
        <v>4.2231527093596055</v>
      </c>
      <c r="D11">
        <v>5.3945812807881781</v>
      </c>
      <c r="E11">
        <v>4.5714285714285712</v>
      </c>
      <c r="F11">
        <v>5.5615763546798025</v>
      </c>
      <c r="G11">
        <v>3.431034482758621</v>
      </c>
      <c r="H11">
        <v>5.2709359605911335</v>
      </c>
      <c r="I11">
        <v>4.3546798029556646</v>
      </c>
      <c r="J11">
        <v>5.3460591133004929</v>
      </c>
      <c r="K11">
        <v>5.391</v>
      </c>
      <c r="L11">
        <v>6.0730000000000013</v>
      </c>
      <c r="M11">
        <v>5.8750000000000009</v>
      </c>
      <c r="N11">
        <v>6.53</v>
      </c>
      <c r="O11">
        <v>4.875</v>
      </c>
      <c r="P11">
        <v>5.8049999999999997</v>
      </c>
      <c r="Q11">
        <v>5.4249999999999998</v>
      </c>
      <c r="R11">
        <v>5.8250000000000011</v>
      </c>
    </row>
    <row r="12" spans="1:18" x14ac:dyDescent="0.3">
      <c r="A12" t="s">
        <v>45</v>
      </c>
      <c r="B12" t="s">
        <v>57</v>
      </c>
      <c r="C12">
        <v>4.7989252127183164</v>
      </c>
      <c r="D12">
        <v>5.0474697716077026</v>
      </c>
      <c r="E12">
        <v>5.7167487684729066</v>
      </c>
      <c r="F12">
        <v>5.7660098522167491</v>
      </c>
      <c r="G12">
        <v>3.431034482758621</v>
      </c>
      <c r="H12">
        <v>4.3793103448275863</v>
      </c>
      <c r="I12">
        <v>4.8177339901477838</v>
      </c>
      <c r="J12">
        <v>4.6699507389162562</v>
      </c>
      <c r="K12">
        <v>5.6013636363636374</v>
      </c>
      <c r="L12">
        <v>5.7245454545454555</v>
      </c>
      <c r="M12">
        <v>6.05</v>
      </c>
      <c r="N12">
        <v>6.05</v>
      </c>
      <c r="O12">
        <v>4.875</v>
      </c>
      <c r="P12">
        <v>5.4</v>
      </c>
      <c r="Q12">
        <v>5.6450000000000005</v>
      </c>
      <c r="R12">
        <v>5.66</v>
      </c>
    </row>
    <row r="13" spans="1:18" x14ac:dyDescent="0.3">
      <c r="A13" t="s">
        <v>43</v>
      </c>
      <c r="B13" t="s">
        <v>59</v>
      </c>
      <c r="C13">
        <v>5.0860016420361243</v>
      </c>
      <c r="D13">
        <v>8.0804011259676276</v>
      </c>
      <c r="E13">
        <v>7.3596059113300489</v>
      </c>
      <c r="F13">
        <v>9.514778325123153</v>
      </c>
      <c r="G13">
        <v>3.431034482758621</v>
      </c>
      <c r="H13">
        <v>5.4014778325123149</v>
      </c>
      <c r="I13">
        <v>4.6256157635467989</v>
      </c>
      <c r="J13">
        <v>9.0061576354679804</v>
      </c>
      <c r="K13">
        <v>6.0670833333333336</v>
      </c>
      <c r="L13">
        <v>8.1839285714285719</v>
      </c>
      <c r="M13">
        <v>8.1</v>
      </c>
      <c r="N13">
        <v>9.1999999999999993</v>
      </c>
      <c r="O13">
        <v>4.9250000000000007</v>
      </c>
      <c r="P13">
        <v>6.1750000000000007</v>
      </c>
      <c r="Q13">
        <v>5.5250000000000004</v>
      </c>
      <c r="R13">
        <v>8.8000000000000007</v>
      </c>
    </row>
    <row r="14" spans="1:18" x14ac:dyDescent="0.3">
      <c r="A14" t="s">
        <v>43</v>
      </c>
      <c r="B14" t="s">
        <v>49</v>
      </c>
      <c r="C14">
        <v>5.7913441238564394</v>
      </c>
      <c r="D14">
        <v>4.6200738916256157</v>
      </c>
      <c r="E14">
        <v>8.2512315270935961</v>
      </c>
      <c r="F14">
        <v>5.2044334975369457</v>
      </c>
      <c r="G14">
        <v>4.7438423645320196</v>
      </c>
      <c r="H14">
        <v>4.3177339901477829</v>
      </c>
      <c r="I14">
        <v>5.5123152709359609</v>
      </c>
      <c r="J14">
        <v>4.3177339901477829</v>
      </c>
      <c r="K14">
        <v>6.1292857142857153</v>
      </c>
      <c r="L14">
        <v>5.6787500000000009</v>
      </c>
      <c r="M14">
        <v>8.1449999999999996</v>
      </c>
      <c r="N14">
        <v>6.28</v>
      </c>
      <c r="O14">
        <v>5.4050000000000002</v>
      </c>
      <c r="P14">
        <v>5.3500000000000005</v>
      </c>
      <c r="Q14">
        <v>5.9750000000000005</v>
      </c>
      <c r="R14">
        <v>5.3500000000000005</v>
      </c>
    </row>
    <row r="15" spans="1:18" x14ac:dyDescent="0.3">
      <c r="A15" t="s">
        <v>43</v>
      </c>
      <c r="B15" t="s">
        <v>62</v>
      </c>
      <c r="C15">
        <v>4.251231527093597</v>
      </c>
      <c r="D15">
        <v>5.5049261083743843</v>
      </c>
      <c r="E15">
        <v>5.4137931034482758</v>
      </c>
      <c r="F15">
        <v>7.5197044334975374</v>
      </c>
      <c r="G15">
        <v>3.5985221674876851</v>
      </c>
      <c r="H15">
        <v>3.431034482758621</v>
      </c>
      <c r="I15">
        <v>4.305418719211823</v>
      </c>
      <c r="J15">
        <v>5.3275862068965516</v>
      </c>
      <c r="K15">
        <v>5.2652941176470582</v>
      </c>
      <c r="L15">
        <v>5.9582142857142859</v>
      </c>
      <c r="M15">
        <v>6.28</v>
      </c>
      <c r="N15">
        <v>6.7500000000000009</v>
      </c>
      <c r="O15">
        <v>4.8250000000000002</v>
      </c>
      <c r="P15">
        <v>4.875</v>
      </c>
      <c r="Q15">
        <v>5.3500000000000005</v>
      </c>
      <c r="R15">
        <v>5.8049999999999997</v>
      </c>
    </row>
    <row r="16" spans="1:18" x14ac:dyDescent="0.3">
      <c r="A16" t="s">
        <v>43</v>
      </c>
      <c r="B16" t="s">
        <v>58</v>
      </c>
      <c r="C16">
        <v>5.3780788177339911</v>
      </c>
      <c r="D16">
        <v>6.3990147783251237</v>
      </c>
      <c r="E16">
        <v>5.7290640394088674</v>
      </c>
      <c r="F16">
        <v>6.3990147783251237</v>
      </c>
      <c r="G16">
        <v>4.5591133004926112</v>
      </c>
      <c r="H16">
        <v>6.3990147783251237</v>
      </c>
      <c r="I16">
        <v>5.612068965517242</v>
      </c>
      <c r="J16">
        <v>6.3990147783251237</v>
      </c>
      <c r="K16">
        <v>5.6187499999999995</v>
      </c>
      <c r="L16">
        <v>6.7050000000000001</v>
      </c>
      <c r="M16">
        <v>5.9749999999999996</v>
      </c>
      <c r="N16">
        <v>6.7050000000000001</v>
      </c>
      <c r="O16">
        <v>5.3249999999999993</v>
      </c>
      <c r="P16">
        <v>6.7050000000000001</v>
      </c>
      <c r="Q16">
        <v>5.5875000000000004</v>
      </c>
      <c r="R16">
        <v>6.7050000000000001</v>
      </c>
    </row>
    <row r="17" spans="1:18" x14ac:dyDescent="0.3">
      <c r="A17" t="s">
        <v>45</v>
      </c>
      <c r="B17" t="s">
        <v>61</v>
      </c>
      <c r="C17">
        <v>6.6182266009852215</v>
      </c>
      <c r="D17">
        <v>5.4137931034482758</v>
      </c>
      <c r="E17">
        <v>8.4310344827586192</v>
      </c>
      <c r="F17">
        <v>5.4137931034482758</v>
      </c>
      <c r="G17">
        <v>4.305418719211823</v>
      </c>
      <c r="H17">
        <v>5.4137931034482758</v>
      </c>
      <c r="I17">
        <v>7.1182266009852215</v>
      </c>
      <c r="J17">
        <v>5.4137931034482758</v>
      </c>
      <c r="K17">
        <v>7.0566666666666675</v>
      </c>
      <c r="L17">
        <v>5.75</v>
      </c>
      <c r="M17">
        <v>8.15</v>
      </c>
      <c r="N17">
        <v>5.75</v>
      </c>
      <c r="O17">
        <v>5.3500000000000005</v>
      </c>
      <c r="P17">
        <v>5.75</v>
      </c>
      <c r="Q17">
        <v>7.6700000000000008</v>
      </c>
      <c r="R17">
        <v>5.75</v>
      </c>
    </row>
    <row r="18" spans="1:18" x14ac:dyDescent="0.3">
      <c r="A18" t="s">
        <v>45</v>
      </c>
      <c r="B18" t="s">
        <v>66</v>
      </c>
      <c r="C18">
        <v>4.3682266009852215</v>
      </c>
      <c r="D18">
        <v>4.5255541871921183</v>
      </c>
      <c r="E18">
        <v>4.7438423645320196</v>
      </c>
      <c r="F18">
        <v>5.5</v>
      </c>
      <c r="G18">
        <v>4.2931034482758621</v>
      </c>
      <c r="H18">
        <v>4.305418719211823</v>
      </c>
      <c r="I18">
        <v>4.2931034482758621</v>
      </c>
      <c r="J18">
        <v>4.4285714285714288</v>
      </c>
      <c r="K18">
        <v>5.2550000000000008</v>
      </c>
      <c r="L18">
        <v>5.453125</v>
      </c>
      <c r="M18">
        <v>5.4050000000000002</v>
      </c>
      <c r="N18">
        <v>5.9749999999999996</v>
      </c>
      <c r="O18">
        <v>5.2250000000000005</v>
      </c>
      <c r="P18">
        <v>5.3500000000000005</v>
      </c>
      <c r="Q18">
        <v>5.2250000000000005</v>
      </c>
      <c r="R18">
        <v>5.375</v>
      </c>
    </row>
    <row r="19" spans="1:18" x14ac:dyDescent="0.3">
      <c r="A19" t="s">
        <v>9</v>
      </c>
      <c r="B19" t="s">
        <v>55</v>
      </c>
      <c r="C19">
        <v>5.5779967159277506</v>
      </c>
      <c r="D19">
        <v>5.8825944170771765</v>
      </c>
      <c r="E19">
        <v>5.5862068965517242</v>
      </c>
      <c r="F19">
        <v>6.2142857142857144</v>
      </c>
      <c r="G19">
        <v>5.5738916256157633</v>
      </c>
      <c r="H19">
        <v>5.568965517241379</v>
      </c>
      <c r="I19">
        <v>5.5738916256157633</v>
      </c>
      <c r="J19">
        <v>5.8645320197044342</v>
      </c>
      <c r="K19">
        <v>6.0916666666666659</v>
      </c>
      <c r="L19">
        <v>5.9916666666666671</v>
      </c>
      <c r="M19">
        <v>6.1</v>
      </c>
      <c r="N19">
        <v>6.2850000000000001</v>
      </c>
      <c r="O19">
        <v>6.0750000000000002</v>
      </c>
      <c r="P19">
        <v>5.46</v>
      </c>
      <c r="Q19">
        <v>6.1</v>
      </c>
      <c r="R19">
        <v>6.23</v>
      </c>
    </row>
    <row r="20" spans="1:18" x14ac:dyDescent="0.3">
      <c r="A20" t="s">
        <v>43</v>
      </c>
      <c r="B20" t="s">
        <v>54</v>
      </c>
      <c r="C20">
        <v>5.4630541871921201</v>
      </c>
      <c r="D20">
        <v>5.8226600985221681</v>
      </c>
      <c r="E20">
        <v>5.4630541871921192</v>
      </c>
      <c r="F20">
        <v>5.8226600985221681</v>
      </c>
      <c r="G20">
        <v>5.4630541871921192</v>
      </c>
      <c r="H20">
        <v>5.8226600985221681</v>
      </c>
      <c r="I20">
        <v>5.4630541871921192</v>
      </c>
      <c r="J20">
        <v>5.8226600985221681</v>
      </c>
      <c r="K20">
        <v>6</v>
      </c>
      <c r="L20">
        <v>6.125</v>
      </c>
      <c r="M20">
        <v>6</v>
      </c>
      <c r="N20">
        <v>6.125</v>
      </c>
      <c r="O20">
        <v>6</v>
      </c>
      <c r="P20">
        <v>6.125</v>
      </c>
      <c r="Q20">
        <v>6</v>
      </c>
      <c r="R20">
        <v>6.125</v>
      </c>
    </row>
    <row r="21" spans="1:18" x14ac:dyDescent="0.3">
      <c r="A21" t="s">
        <v>9</v>
      </c>
      <c r="B21" t="s">
        <v>52</v>
      </c>
      <c r="C21">
        <v>6.2112068965517242</v>
      </c>
      <c r="D21">
        <v>5.665845648604269</v>
      </c>
      <c r="E21">
        <v>8.152709359605911</v>
      </c>
      <c r="F21">
        <v>5.7660098522167491</v>
      </c>
      <c r="G21">
        <v>5.389162561576355</v>
      </c>
      <c r="H21">
        <v>5.6059113300492616</v>
      </c>
      <c r="I21">
        <v>5.6514778325123149</v>
      </c>
      <c r="J21">
        <v>5.6514778325123149</v>
      </c>
      <c r="K21">
        <v>6.2987500000000001</v>
      </c>
      <c r="L21">
        <v>5.918333333333333</v>
      </c>
      <c r="M21">
        <v>7.620000000000001</v>
      </c>
      <c r="N21">
        <v>6.1749999999999998</v>
      </c>
      <c r="O21">
        <v>5.4499999999999993</v>
      </c>
      <c r="P21">
        <v>5.375</v>
      </c>
      <c r="Q21">
        <v>6.0625</v>
      </c>
      <c r="R21">
        <v>6.0875000000000004</v>
      </c>
    </row>
    <row r="22" spans="1:18" x14ac:dyDescent="0.3">
      <c r="A22" t="s">
        <v>43</v>
      </c>
      <c r="B22" t="s">
        <v>69</v>
      </c>
      <c r="C22">
        <v>4.7273399014778317</v>
      </c>
      <c r="D22">
        <v>5.2713464696223316</v>
      </c>
      <c r="E22">
        <v>5.4384236453201975</v>
      </c>
      <c r="F22">
        <v>6.4359605911330044</v>
      </c>
      <c r="G22">
        <v>4.3177339901477829</v>
      </c>
      <c r="H22">
        <v>3.431034482758621</v>
      </c>
      <c r="I22">
        <v>4.5517241379310356</v>
      </c>
      <c r="J22">
        <v>5.1502463054187197</v>
      </c>
      <c r="K22">
        <v>5.5705</v>
      </c>
      <c r="L22">
        <v>6.099166666666668</v>
      </c>
      <c r="M22">
        <v>5.9</v>
      </c>
      <c r="N22">
        <v>7.2650000000000006</v>
      </c>
      <c r="O22">
        <v>5.3</v>
      </c>
      <c r="P22">
        <v>4.9250000000000007</v>
      </c>
      <c r="Q22">
        <v>5.5375000000000005</v>
      </c>
      <c r="R22">
        <v>5.7375000000000007</v>
      </c>
    </row>
    <row r="23" spans="1:18" x14ac:dyDescent="0.3">
      <c r="A23" t="s">
        <v>45</v>
      </c>
      <c r="B23" t="s">
        <v>48</v>
      </c>
      <c r="C23">
        <v>4.3476425052779737</v>
      </c>
      <c r="D23">
        <v>6.4689655172413794</v>
      </c>
      <c r="E23">
        <v>4.4039408866995071</v>
      </c>
      <c r="F23">
        <v>9.2290640394088665</v>
      </c>
      <c r="G23">
        <v>4.3177339901477829</v>
      </c>
      <c r="H23">
        <v>4.3916256157635472</v>
      </c>
      <c r="I23">
        <v>4.3177339901477829</v>
      </c>
      <c r="J23">
        <v>6.2056650246305418</v>
      </c>
      <c r="K23">
        <v>5.6885714285714286</v>
      </c>
      <c r="L23">
        <v>6.8950000000000005</v>
      </c>
      <c r="M23">
        <v>5.8550000000000004</v>
      </c>
      <c r="N23">
        <v>9.0750000000000011</v>
      </c>
      <c r="O23">
        <v>5.45</v>
      </c>
      <c r="P23">
        <v>5.4249999999999998</v>
      </c>
      <c r="Q23">
        <v>5.8550000000000004</v>
      </c>
      <c r="R23">
        <v>6.5775000000000006</v>
      </c>
    </row>
    <row r="24" spans="1:18" x14ac:dyDescent="0.3">
      <c r="A24" t="s">
        <v>9</v>
      </c>
      <c r="B24" t="s">
        <v>56</v>
      </c>
      <c r="C24">
        <v>6.2272167487684733</v>
      </c>
      <c r="D24">
        <v>5.7524630541871922</v>
      </c>
      <c r="E24">
        <v>8.1280788177339893</v>
      </c>
      <c r="F24">
        <v>5.8965517241379315</v>
      </c>
      <c r="G24">
        <v>4.5714285714285712</v>
      </c>
      <c r="H24">
        <v>5.5123152709359609</v>
      </c>
      <c r="I24">
        <v>6.1046798029556655</v>
      </c>
      <c r="J24">
        <v>5.8965517241379315</v>
      </c>
      <c r="K24">
        <v>6.5912500000000005</v>
      </c>
      <c r="L24">
        <v>6.2837499999999995</v>
      </c>
      <c r="M24">
        <v>7.620000000000001</v>
      </c>
      <c r="N24">
        <v>6.4649999999999999</v>
      </c>
      <c r="O24">
        <v>5.4249999999999998</v>
      </c>
      <c r="P24">
        <v>6.1749999999999998</v>
      </c>
      <c r="Q24">
        <v>6.66</v>
      </c>
      <c r="R24">
        <v>6.1749999999999998</v>
      </c>
    </row>
    <row r="25" spans="1:18" x14ac:dyDescent="0.3">
      <c r="A25" t="s">
        <v>9</v>
      </c>
      <c r="B25" t="s">
        <v>67</v>
      </c>
      <c r="C25">
        <v>5.1091954022988508</v>
      </c>
      <c r="D25">
        <v>4.4883564711150932</v>
      </c>
      <c r="E25">
        <v>5.7906403940886699</v>
      </c>
      <c r="F25">
        <v>5.3275862068965516</v>
      </c>
      <c r="G25">
        <v>4.485221674876847</v>
      </c>
      <c r="H25">
        <v>3.431034482758621</v>
      </c>
      <c r="I25">
        <v>5.0948275862068968</v>
      </c>
      <c r="J25">
        <v>4.4408866995073897</v>
      </c>
      <c r="K25">
        <v>5.6833333333333336</v>
      </c>
      <c r="L25">
        <v>5.2286363636363626</v>
      </c>
      <c r="M25">
        <v>6.125</v>
      </c>
      <c r="N25">
        <v>5.8049999999999997</v>
      </c>
      <c r="O25">
        <v>5.3250000000000002</v>
      </c>
      <c r="P25">
        <v>4.875</v>
      </c>
      <c r="Q25">
        <v>5.6624999999999996</v>
      </c>
      <c r="R25">
        <v>4.9250000000000007</v>
      </c>
    </row>
    <row r="26" spans="1:18" x14ac:dyDescent="0.3">
      <c r="A26" t="s">
        <v>43</v>
      </c>
      <c r="B26" t="s">
        <v>44</v>
      </c>
      <c r="C26">
        <v>4.995777621393386</v>
      </c>
      <c r="D26">
        <v>4.4980295566502466</v>
      </c>
      <c r="E26">
        <v>5.6305418719211824</v>
      </c>
      <c r="F26">
        <v>5.3275862068965516</v>
      </c>
      <c r="G26">
        <v>4.3177339901477829</v>
      </c>
      <c r="H26">
        <v>3.5985221674876851</v>
      </c>
      <c r="I26">
        <v>4.9285714285714288</v>
      </c>
      <c r="J26">
        <v>4.4408866995073897</v>
      </c>
      <c r="K26">
        <v>5.5478571428571426</v>
      </c>
      <c r="L26">
        <v>5.2859999999999996</v>
      </c>
      <c r="M26">
        <v>5.9550000000000001</v>
      </c>
      <c r="N26">
        <v>5.8049999999999997</v>
      </c>
      <c r="O26">
        <v>4.875</v>
      </c>
      <c r="P26">
        <v>4.875</v>
      </c>
      <c r="Q26">
        <v>5.7550000000000008</v>
      </c>
      <c r="R26">
        <v>5.4250000000000007</v>
      </c>
    </row>
    <row r="27" spans="1:18" x14ac:dyDescent="0.3">
      <c r="A27" t="s">
        <v>45</v>
      </c>
      <c r="B27" t="s">
        <v>75</v>
      </c>
      <c r="C27">
        <v>5.2153413089373686</v>
      </c>
      <c r="D27">
        <v>4.9438970990695132</v>
      </c>
      <c r="E27">
        <v>5.5123152709359609</v>
      </c>
      <c r="F27">
        <v>5.7364532019704431</v>
      </c>
      <c r="G27">
        <v>4.5665024630541877</v>
      </c>
      <c r="H27">
        <v>4.3251231527093594</v>
      </c>
      <c r="I27">
        <v>5.2290640394088674</v>
      </c>
      <c r="J27">
        <v>5.2290640394088674</v>
      </c>
      <c r="K27">
        <v>6.2950000000000008</v>
      </c>
      <c r="L27">
        <v>6.1016666666666675</v>
      </c>
      <c r="M27">
        <v>6.4649999999999999</v>
      </c>
      <c r="N27">
        <v>6.4649999999999999</v>
      </c>
      <c r="O27">
        <v>5.6000000000000005</v>
      </c>
      <c r="P27">
        <v>5.6000000000000005</v>
      </c>
      <c r="Q27">
        <v>6.4150000000000009</v>
      </c>
      <c r="R27">
        <v>6.1</v>
      </c>
    </row>
    <row r="28" spans="1:18" x14ac:dyDescent="0.3">
      <c r="A28" t="s">
        <v>43</v>
      </c>
      <c r="B28" t="s">
        <v>71</v>
      </c>
      <c r="C28">
        <v>4.4778325123152714</v>
      </c>
      <c r="D28">
        <v>4.5403940886699505</v>
      </c>
      <c r="E28">
        <v>4.4778325123152714</v>
      </c>
      <c r="F28">
        <v>4.8177339901477838</v>
      </c>
      <c r="G28">
        <v>4.4778325123152714</v>
      </c>
      <c r="H28">
        <v>3.431034482758621</v>
      </c>
      <c r="I28">
        <v>4.4778325123152714</v>
      </c>
      <c r="J28">
        <v>4.8177339901477838</v>
      </c>
      <c r="K28">
        <v>5.2250000000000005</v>
      </c>
      <c r="L28">
        <v>5.3250000000000011</v>
      </c>
      <c r="M28">
        <v>5.2250000000000005</v>
      </c>
      <c r="N28">
        <v>5.4250000000000007</v>
      </c>
      <c r="O28">
        <v>5.2250000000000005</v>
      </c>
      <c r="P28">
        <v>4.9250000000000007</v>
      </c>
      <c r="Q28">
        <v>5.2250000000000005</v>
      </c>
      <c r="R28">
        <v>5.4250000000000007</v>
      </c>
    </row>
    <row r="29" spans="1:18" x14ac:dyDescent="0.3">
      <c r="A29" t="s">
        <v>9</v>
      </c>
      <c r="B29" t="s">
        <v>74</v>
      </c>
      <c r="C29">
        <v>5.1004926108374384</v>
      </c>
      <c r="D29">
        <v>4.0541871921182269</v>
      </c>
      <c r="E29">
        <v>5.6921182266009858</v>
      </c>
      <c r="F29">
        <v>4.4285714285714288</v>
      </c>
      <c r="G29">
        <v>4.6403940886699511</v>
      </c>
      <c r="H29">
        <v>3.6798029556650249</v>
      </c>
      <c r="I29">
        <v>4.8497536945812811</v>
      </c>
      <c r="J29">
        <v>4.0541871921182269</v>
      </c>
      <c r="K29">
        <v>5.7650000000000006</v>
      </c>
      <c r="L29">
        <v>5.2625000000000002</v>
      </c>
      <c r="M29">
        <v>5.9749999999999996</v>
      </c>
      <c r="N29">
        <v>5.4750000000000005</v>
      </c>
      <c r="O29">
        <v>5.625</v>
      </c>
      <c r="P29">
        <v>5.0500000000000007</v>
      </c>
      <c r="Q29">
        <v>5.65</v>
      </c>
      <c r="R29">
        <v>5.2625000000000011</v>
      </c>
    </row>
    <row r="30" spans="1:18" x14ac:dyDescent="0.3">
      <c r="A30" t="s">
        <v>45</v>
      </c>
      <c r="B30" t="s">
        <v>51</v>
      </c>
      <c r="C30">
        <v>3.5295566502463052</v>
      </c>
      <c r="D30">
        <v>4.2692118226600986</v>
      </c>
      <c r="E30">
        <v>4.3177339901477829</v>
      </c>
      <c r="F30">
        <v>5.9384236453201975</v>
      </c>
      <c r="G30">
        <v>3.431034482758621</v>
      </c>
      <c r="H30">
        <v>3.431034482758621</v>
      </c>
      <c r="I30">
        <v>3.431034482758621</v>
      </c>
      <c r="J30">
        <v>3.431034482758621</v>
      </c>
      <c r="K30">
        <v>5.0283333333333342</v>
      </c>
      <c r="L30">
        <v>5.3100000000000005</v>
      </c>
      <c r="M30">
        <v>5.8550000000000004</v>
      </c>
      <c r="N30">
        <v>6.3000000000000007</v>
      </c>
      <c r="O30">
        <v>4.9250000000000007</v>
      </c>
      <c r="P30">
        <v>4.9250000000000007</v>
      </c>
      <c r="Q30">
        <v>4.9250000000000007</v>
      </c>
      <c r="R30">
        <v>4.9250000000000007</v>
      </c>
    </row>
    <row r="31" spans="1:18" x14ac:dyDescent="0.3">
      <c r="A31" t="s">
        <v>9</v>
      </c>
      <c r="B31" t="s">
        <v>70</v>
      </c>
      <c r="C31">
        <v>4.9704433497536948</v>
      </c>
      <c r="D31">
        <v>4.2990851513019006</v>
      </c>
      <c r="E31">
        <v>5.4630541871921183</v>
      </c>
      <c r="F31">
        <v>5.4630541871921183</v>
      </c>
      <c r="G31">
        <v>4.4778325123152714</v>
      </c>
      <c r="H31">
        <v>3.431034482758621</v>
      </c>
      <c r="I31">
        <v>4.9704433497536948</v>
      </c>
      <c r="J31">
        <v>4.3177339901477829</v>
      </c>
      <c r="K31">
        <v>5.4875000000000007</v>
      </c>
      <c r="L31">
        <v>5.3607142857142867</v>
      </c>
      <c r="M31">
        <v>5.75</v>
      </c>
      <c r="N31">
        <v>5.8550000000000004</v>
      </c>
      <c r="O31">
        <v>5.2250000000000005</v>
      </c>
      <c r="P31">
        <v>4.9250000000000007</v>
      </c>
      <c r="Q31">
        <v>5.4875000000000007</v>
      </c>
      <c r="R31">
        <v>5.4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0C9C-60D5-441A-B07B-380431C48717}">
  <sheetPr>
    <tabColor rgb="FF669900"/>
  </sheetPr>
  <dimension ref="A1:AE460"/>
  <sheetViews>
    <sheetView topLeftCell="I1" workbookViewId="0">
      <selection activeCell="R1" sqref="R1:XFD1048576"/>
    </sheetView>
  </sheetViews>
  <sheetFormatPr defaultRowHeight="14.4" x14ac:dyDescent="0.3"/>
  <cols>
    <col min="1" max="1" width="8.44140625" bestFit="1" customWidth="1"/>
    <col min="2" max="2" width="12.44140625" bestFit="1" customWidth="1"/>
    <col min="5" max="5" width="7" bestFit="1" customWidth="1"/>
    <col min="6" max="6" width="16.88671875" bestFit="1" customWidth="1"/>
    <col min="7" max="7" width="27.44140625" bestFit="1" customWidth="1"/>
    <col min="8" max="8" width="35.5546875" bestFit="1" customWidth="1"/>
    <col min="9" max="9" width="44.6640625" bestFit="1" customWidth="1"/>
    <col min="10" max="10" width="28.44140625" bestFit="1" customWidth="1"/>
    <col min="19" max="19" width="13" bestFit="1" customWidth="1"/>
    <col min="20" max="20" width="17.88671875" bestFit="1" customWidth="1"/>
    <col min="21" max="21" width="14" bestFit="1" customWidth="1"/>
    <col min="22" max="22" width="13.109375" bestFit="1" customWidth="1"/>
    <col min="23" max="23" width="13.88671875" bestFit="1" customWidth="1"/>
  </cols>
  <sheetData>
    <row r="1" spans="1:31" x14ac:dyDescent="0.3">
      <c r="A1" s="101" t="s">
        <v>0</v>
      </c>
      <c r="B1" s="101" t="s">
        <v>1</v>
      </c>
      <c r="C1" s="104" t="s">
        <v>3</v>
      </c>
      <c r="D1" s="104" t="s">
        <v>2</v>
      </c>
      <c r="E1" s="101" t="s">
        <v>196</v>
      </c>
      <c r="F1" s="102" t="s">
        <v>197</v>
      </c>
      <c r="G1" s="101" t="s">
        <v>1523</v>
      </c>
      <c r="H1" s="103" t="s">
        <v>1530</v>
      </c>
      <c r="I1" s="103" t="s">
        <v>1565</v>
      </c>
      <c r="J1" s="101" t="s">
        <v>1575</v>
      </c>
      <c r="L1" s="101" t="s">
        <v>1680</v>
      </c>
      <c r="M1" s="101" t="s">
        <v>1681</v>
      </c>
      <c r="N1" s="105" t="s">
        <v>1682</v>
      </c>
      <c r="O1" s="105" t="s">
        <v>1683</v>
      </c>
      <c r="R1" s="1" t="s">
        <v>684</v>
      </c>
      <c r="S1" s="23" t="s">
        <v>215</v>
      </c>
      <c r="T1" s="23" t="s">
        <v>216</v>
      </c>
      <c r="U1" s="23" t="s">
        <v>217</v>
      </c>
      <c r="V1" s="23" t="s">
        <v>218</v>
      </c>
      <c r="W1" s="23" t="s">
        <v>219</v>
      </c>
    </row>
    <row r="2" spans="1:31" x14ac:dyDescent="0.3">
      <c r="A2" t="s">
        <v>43</v>
      </c>
      <c r="B2" t="s">
        <v>50</v>
      </c>
      <c r="C2" t="s">
        <v>12</v>
      </c>
      <c r="D2" t="s">
        <v>11</v>
      </c>
      <c r="E2" s="88" t="s">
        <v>272</v>
      </c>
      <c r="F2" s="88">
        <v>3</v>
      </c>
      <c r="G2" t="s">
        <v>1529</v>
      </c>
      <c r="H2" t="s">
        <v>1628</v>
      </c>
      <c r="I2" t="s">
        <v>1567</v>
      </c>
      <c r="J2" t="s">
        <v>1570</v>
      </c>
      <c r="L2" t="str">
        <f>G2</f>
        <v>missing_section/middle</v>
      </c>
      <c r="M2" t="str">
        <f>H2&amp;" + "&amp;J2</f>
        <v>straight/ramp/declined + standard_truss/other</v>
      </c>
      <c r="N2" t="str">
        <f t="shared" ref="N2:N65" si="0">I2&amp;" + "&amp;F2&amp;"anc"</f>
        <v>top_structure/rock_structure + 3anc</v>
      </c>
      <c r="O2" t="s">
        <v>1684</v>
      </c>
      <c r="R2" s="38" t="s">
        <v>703</v>
      </c>
      <c r="S2" s="38" t="s">
        <v>292</v>
      </c>
      <c r="T2" s="38" t="s">
        <v>293</v>
      </c>
      <c r="U2" s="38" t="s">
        <v>292</v>
      </c>
      <c r="V2" s="38" t="s">
        <v>292</v>
      </c>
      <c r="W2" s="38" t="s">
        <v>293</v>
      </c>
      <c r="X2" t="str">
        <f>IF(S2="yes","road-","")</f>
        <v>road-</v>
      </c>
      <c r="Y2" t="str">
        <f>IF(T2="yes","reinforced_road-","")</f>
        <v/>
      </c>
      <c r="Z2" t="str">
        <f>IF(U2="yes","wood-","")</f>
        <v>wood-</v>
      </c>
      <c r="AA2" t="str">
        <f>IF(V2="yes","steel","")</f>
        <v>steel</v>
      </c>
      <c r="AB2" t="str">
        <f>X2&amp;Y2&amp;Z2&amp;AA2</f>
        <v>road-wood-steel</v>
      </c>
      <c r="AE2" t="s">
        <v>1684</v>
      </c>
    </row>
    <row r="3" spans="1:31" x14ac:dyDescent="0.3">
      <c r="A3" t="s">
        <v>43</v>
      </c>
      <c r="B3" t="s">
        <v>50</v>
      </c>
      <c r="C3" t="s">
        <v>29</v>
      </c>
      <c r="D3" t="s">
        <v>20</v>
      </c>
      <c r="E3" s="16" t="s">
        <v>272</v>
      </c>
      <c r="F3" s="16">
        <v>3</v>
      </c>
      <c r="G3" t="s">
        <v>1524</v>
      </c>
      <c r="H3" t="s">
        <v>1540</v>
      </c>
      <c r="I3" t="s">
        <v>1566</v>
      </c>
      <c r="J3" t="s">
        <v>344</v>
      </c>
      <c r="L3" t="str">
        <f t="shared" ref="L3:L66" si="1">G3</f>
        <v>continuous/fully_connected</v>
      </c>
      <c r="M3" t="str">
        <f t="shared" ref="M3:M66" si="2">H3&amp;" + "&amp;J3</f>
        <v>inclined/arch + standard_truss</v>
      </c>
      <c r="N3" t="str">
        <f t="shared" si="0"/>
        <v>top_structure/bottom_structure/rock_structure + 3anc</v>
      </c>
      <c r="O3" t="s">
        <v>1692</v>
      </c>
      <c r="R3" s="38" t="s">
        <v>705</v>
      </c>
      <c r="S3" s="38" t="s">
        <v>292</v>
      </c>
      <c r="T3" s="38" t="s">
        <v>293</v>
      </c>
      <c r="U3" s="38" t="s">
        <v>292</v>
      </c>
      <c r="V3" s="38" t="s">
        <v>293</v>
      </c>
      <c r="W3" s="38" t="s">
        <v>293</v>
      </c>
      <c r="X3" t="str">
        <f t="shared" ref="X3:X66" si="3">IF(S3="yes","road-","")</f>
        <v>road-</v>
      </c>
      <c r="Y3" t="str">
        <f t="shared" ref="Y3:Y66" si="4">IF(T3="yes","reinforced_road-","")</f>
        <v/>
      </c>
      <c r="Z3" t="str">
        <f t="shared" ref="Z3:Z66" si="5">IF(U3="yes","wood-","")</f>
        <v>wood-</v>
      </c>
      <c r="AA3" t="str">
        <f t="shared" ref="AA3:AA66" si="6">IF(V3="yes","steel","")</f>
        <v/>
      </c>
      <c r="AB3" t="str">
        <f t="shared" ref="AB3:AB66" si="7">X3&amp;Y3&amp;Z3&amp;AA3</f>
        <v>road-wood-</v>
      </c>
      <c r="AE3" t="s">
        <v>1692</v>
      </c>
    </row>
    <row r="4" spans="1:31" x14ac:dyDescent="0.3">
      <c r="A4" t="s">
        <v>43</v>
      </c>
      <c r="B4" t="s">
        <v>50</v>
      </c>
      <c r="C4" t="s">
        <v>29</v>
      </c>
      <c r="D4" t="s">
        <v>27</v>
      </c>
      <c r="E4" s="16" t="s">
        <v>272</v>
      </c>
      <c r="F4" s="16">
        <v>2</v>
      </c>
      <c r="G4" t="s">
        <v>1657</v>
      </c>
      <c r="H4" t="s">
        <v>282</v>
      </c>
      <c r="I4" t="s">
        <v>342</v>
      </c>
      <c r="J4" t="s">
        <v>344</v>
      </c>
      <c r="L4" t="str">
        <f t="shared" si="1"/>
        <v>other_deck</v>
      </c>
      <c r="M4" t="str">
        <f t="shared" si="2"/>
        <v>arch + standard_truss</v>
      </c>
      <c r="N4" t="str">
        <f t="shared" si="0"/>
        <v>bottom_structure + 2anc</v>
      </c>
      <c r="O4" t="s">
        <v>1684</v>
      </c>
      <c r="R4" s="38" t="s">
        <v>706</v>
      </c>
      <c r="S4" s="38" t="s">
        <v>292</v>
      </c>
      <c r="T4" s="38" t="s">
        <v>293</v>
      </c>
      <c r="U4" s="38" t="s">
        <v>292</v>
      </c>
      <c r="V4" s="38" t="s">
        <v>292</v>
      </c>
      <c r="W4" s="38" t="s">
        <v>293</v>
      </c>
      <c r="X4" t="str">
        <f t="shared" si="3"/>
        <v>road-</v>
      </c>
      <c r="Y4" t="str">
        <f t="shared" si="4"/>
        <v/>
      </c>
      <c r="Z4" t="str">
        <f t="shared" si="5"/>
        <v>wood-</v>
      </c>
      <c r="AA4" t="str">
        <f t="shared" si="6"/>
        <v>steel</v>
      </c>
      <c r="AB4" t="str">
        <f t="shared" si="7"/>
        <v>road-wood-steel</v>
      </c>
      <c r="AE4" t="s">
        <v>1684</v>
      </c>
    </row>
    <row r="5" spans="1:31" x14ac:dyDescent="0.3">
      <c r="A5" t="s">
        <v>43</v>
      </c>
      <c r="B5" t="s">
        <v>50</v>
      </c>
      <c r="C5" t="s">
        <v>12</v>
      </c>
      <c r="D5" t="s">
        <v>15</v>
      </c>
      <c r="E5" s="16" t="s">
        <v>272</v>
      </c>
      <c r="F5" s="16">
        <v>3</v>
      </c>
      <c r="G5" t="s">
        <v>1524</v>
      </c>
      <c r="H5" t="s">
        <v>1629</v>
      </c>
      <c r="I5" t="s">
        <v>1567</v>
      </c>
      <c r="J5" t="s">
        <v>344</v>
      </c>
      <c r="L5" t="str">
        <f t="shared" si="1"/>
        <v>continuous/fully_connected</v>
      </c>
      <c r="M5" t="str">
        <f t="shared" si="2"/>
        <v>straight/ramp/arch + standard_truss</v>
      </c>
      <c r="N5" t="str">
        <f t="shared" si="0"/>
        <v>top_structure/rock_structure + 3anc</v>
      </c>
      <c r="O5" t="s">
        <v>1684</v>
      </c>
      <c r="R5" t="s">
        <v>707</v>
      </c>
      <c r="S5" t="s">
        <v>292</v>
      </c>
      <c r="T5" t="s">
        <v>293</v>
      </c>
      <c r="U5" t="s">
        <v>292</v>
      </c>
      <c r="V5" t="s">
        <v>292</v>
      </c>
      <c r="W5" t="s">
        <v>293</v>
      </c>
      <c r="X5" t="str">
        <f t="shared" si="3"/>
        <v>road-</v>
      </c>
      <c r="Y5" t="str">
        <f t="shared" si="4"/>
        <v/>
      </c>
      <c r="Z5" t="str">
        <f t="shared" si="5"/>
        <v>wood-</v>
      </c>
      <c r="AA5" t="str">
        <f t="shared" si="6"/>
        <v>steel</v>
      </c>
      <c r="AB5" t="str">
        <f t="shared" si="7"/>
        <v>road-wood-steel</v>
      </c>
      <c r="AE5" t="s">
        <v>1684</v>
      </c>
    </row>
    <row r="6" spans="1:31" x14ac:dyDescent="0.3">
      <c r="A6" t="s">
        <v>43</v>
      </c>
      <c r="B6" t="s">
        <v>50</v>
      </c>
      <c r="C6" t="s">
        <v>12</v>
      </c>
      <c r="D6" t="s">
        <v>14</v>
      </c>
      <c r="E6" s="16" t="s">
        <v>272</v>
      </c>
      <c r="F6" s="16">
        <v>3</v>
      </c>
      <c r="G6" t="s">
        <v>1524</v>
      </c>
      <c r="H6" t="s">
        <v>1629</v>
      </c>
      <c r="I6" t="s">
        <v>1567</v>
      </c>
      <c r="J6" t="s">
        <v>344</v>
      </c>
      <c r="L6" t="str">
        <f t="shared" si="1"/>
        <v>continuous/fully_connected</v>
      </c>
      <c r="M6" t="str">
        <f t="shared" si="2"/>
        <v>straight/ramp/arch + standard_truss</v>
      </c>
      <c r="N6" t="str">
        <f t="shared" si="0"/>
        <v>top_structure/rock_structure + 3anc</v>
      </c>
      <c r="O6" t="s">
        <v>1684</v>
      </c>
      <c r="R6" t="s">
        <v>708</v>
      </c>
      <c r="S6" t="s">
        <v>292</v>
      </c>
      <c r="T6" t="s">
        <v>293</v>
      </c>
      <c r="U6" t="s">
        <v>292</v>
      </c>
      <c r="V6" t="s">
        <v>292</v>
      </c>
      <c r="W6" t="s">
        <v>293</v>
      </c>
      <c r="X6" t="str">
        <f t="shared" si="3"/>
        <v>road-</v>
      </c>
      <c r="Y6" t="str">
        <f t="shared" si="4"/>
        <v/>
      </c>
      <c r="Z6" t="str">
        <f t="shared" si="5"/>
        <v>wood-</v>
      </c>
      <c r="AA6" t="str">
        <f t="shared" si="6"/>
        <v>steel</v>
      </c>
      <c r="AB6" t="str">
        <f t="shared" si="7"/>
        <v>road-wood-steel</v>
      </c>
      <c r="AE6" t="s">
        <v>1684</v>
      </c>
    </row>
    <row r="7" spans="1:31" x14ac:dyDescent="0.3">
      <c r="A7" t="s">
        <v>43</v>
      </c>
      <c r="B7" t="s">
        <v>50</v>
      </c>
      <c r="C7" t="s">
        <v>12</v>
      </c>
      <c r="D7" t="s">
        <v>19</v>
      </c>
      <c r="E7" s="16" t="s">
        <v>272</v>
      </c>
      <c r="F7" s="16">
        <v>3</v>
      </c>
      <c r="G7" t="s">
        <v>1524</v>
      </c>
      <c r="H7" t="s">
        <v>1629</v>
      </c>
      <c r="I7" t="s">
        <v>1567</v>
      </c>
      <c r="J7" t="s">
        <v>344</v>
      </c>
      <c r="L7" t="str">
        <f t="shared" si="1"/>
        <v>continuous/fully_connected</v>
      </c>
      <c r="M7" t="str">
        <f t="shared" si="2"/>
        <v>straight/ramp/arch + standard_truss</v>
      </c>
      <c r="N7" t="str">
        <f t="shared" si="0"/>
        <v>top_structure/rock_structure + 3anc</v>
      </c>
      <c r="O7" t="s">
        <v>1685</v>
      </c>
      <c r="R7" t="s">
        <v>709</v>
      </c>
      <c r="S7" t="s">
        <v>292</v>
      </c>
      <c r="T7" t="s">
        <v>292</v>
      </c>
      <c r="U7" t="s">
        <v>292</v>
      </c>
      <c r="V7" t="s">
        <v>292</v>
      </c>
      <c r="W7" t="s">
        <v>293</v>
      </c>
      <c r="X7" t="str">
        <f t="shared" si="3"/>
        <v>road-</v>
      </c>
      <c r="Y7" t="str">
        <f t="shared" si="4"/>
        <v>reinforced_road-</v>
      </c>
      <c r="Z7" t="str">
        <f t="shared" si="5"/>
        <v>wood-</v>
      </c>
      <c r="AA7" t="str">
        <f t="shared" si="6"/>
        <v>steel</v>
      </c>
      <c r="AB7" t="str">
        <f t="shared" si="7"/>
        <v>road-reinforced_road-wood-steel</v>
      </c>
      <c r="AE7" t="s">
        <v>1685</v>
      </c>
    </row>
    <row r="8" spans="1:31" x14ac:dyDescent="0.3">
      <c r="A8" t="s">
        <v>43</v>
      </c>
      <c r="B8" t="s">
        <v>50</v>
      </c>
      <c r="C8" t="s">
        <v>12</v>
      </c>
      <c r="D8" t="s">
        <v>17</v>
      </c>
      <c r="E8" s="16" t="s">
        <v>272</v>
      </c>
      <c r="F8" s="16">
        <v>3</v>
      </c>
      <c r="G8" t="s">
        <v>1524</v>
      </c>
      <c r="H8" t="s">
        <v>1629</v>
      </c>
      <c r="I8" t="s">
        <v>1567</v>
      </c>
      <c r="J8" t="s">
        <v>344</v>
      </c>
      <c r="L8" t="str">
        <f t="shared" si="1"/>
        <v>continuous/fully_connected</v>
      </c>
      <c r="M8" t="str">
        <f t="shared" si="2"/>
        <v>straight/ramp/arch + standard_truss</v>
      </c>
      <c r="N8" t="str">
        <f t="shared" si="0"/>
        <v>top_structure/rock_structure + 3anc</v>
      </c>
      <c r="O8" t="s">
        <v>1684</v>
      </c>
      <c r="R8" t="s">
        <v>710</v>
      </c>
      <c r="S8" t="s">
        <v>292</v>
      </c>
      <c r="T8" t="s">
        <v>293</v>
      </c>
      <c r="U8" t="s">
        <v>292</v>
      </c>
      <c r="V8" t="s">
        <v>292</v>
      </c>
      <c r="W8" t="s">
        <v>293</v>
      </c>
      <c r="X8" t="str">
        <f t="shared" si="3"/>
        <v>road-</v>
      </c>
      <c r="Y8" t="str">
        <f t="shared" si="4"/>
        <v/>
      </c>
      <c r="Z8" t="str">
        <f t="shared" si="5"/>
        <v>wood-</v>
      </c>
      <c r="AA8" t="str">
        <f t="shared" si="6"/>
        <v>steel</v>
      </c>
      <c r="AB8" t="str">
        <f t="shared" si="7"/>
        <v>road-wood-steel</v>
      </c>
      <c r="AE8" t="s">
        <v>1684</v>
      </c>
    </row>
    <row r="9" spans="1:31" x14ac:dyDescent="0.3">
      <c r="A9" t="s">
        <v>43</v>
      </c>
      <c r="B9" t="s">
        <v>50</v>
      </c>
      <c r="C9" t="s">
        <v>12</v>
      </c>
      <c r="D9" t="s">
        <v>16</v>
      </c>
      <c r="E9" s="16" t="s">
        <v>272</v>
      </c>
      <c r="F9" s="16">
        <v>3</v>
      </c>
      <c r="G9" t="s">
        <v>1524</v>
      </c>
      <c r="H9" t="s">
        <v>1629</v>
      </c>
      <c r="I9" t="s">
        <v>1567</v>
      </c>
      <c r="J9" t="s">
        <v>1570</v>
      </c>
      <c r="L9" t="str">
        <f t="shared" si="1"/>
        <v>continuous/fully_connected</v>
      </c>
      <c r="M9" t="str">
        <f t="shared" si="2"/>
        <v>straight/ramp/arch + standard_truss/other</v>
      </c>
      <c r="N9" t="str">
        <f t="shared" si="0"/>
        <v>top_structure/rock_structure + 3anc</v>
      </c>
      <c r="O9" t="s">
        <v>1684</v>
      </c>
      <c r="R9" t="s">
        <v>711</v>
      </c>
      <c r="S9" t="s">
        <v>292</v>
      </c>
      <c r="T9" t="s">
        <v>293</v>
      </c>
      <c r="U9" t="s">
        <v>292</v>
      </c>
      <c r="V9" t="s">
        <v>292</v>
      </c>
      <c r="W9" t="s">
        <v>293</v>
      </c>
      <c r="X9" t="str">
        <f t="shared" si="3"/>
        <v>road-</v>
      </c>
      <c r="Y9" t="str">
        <f t="shared" si="4"/>
        <v/>
      </c>
      <c r="Z9" t="str">
        <f t="shared" si="5"/>
        <v>wood-</v>
      </c>
      <c r="AA9" t="str">
        <f t="shared" si="6"/>
        <v>steel</v>
      </c>
      <c r="AB9" t="str">
        <f t="shared" si="7"/>
        <v>road-wood-steel</v>
      </c>
      <c r="AE9" t="s">
        <v>1684</v>
      </c>
    </row>
    <row r="10" spans="1:31" x14ac:dyDescent="0.3">
      <c r="A10" t="s">
        <v>43</v>
      </c>
      <c r="B10" t="s">
        <v>50</v>
      </c>
      <c r="C10" t="s">
        <v>29</v>
      </c>
      <c r="D10" t="s">
        <v>23</v>
      </c>
      <c r="E10" s="16" t="s">
        <v>272</v>
      </c>
      <c r="F10" s="16">
        <v>2</v>
      </c>
      <c r="G10" t="s">
        <v>1524</v>
      </c>
      <c r="H10" t="s">
        <v>282</v>
      </c>
      <c r="I10" t="s">
        <v>342</v>
      </c>
      <c r="J10" t="s">
        <v>344</v>
      </c>
      <c r="L10" t="str">
        <f t="shared" si="1"/>
        <v>continuous/fully_connected</v>
      </c>
      <c r="M10" t="str">
        <f t="shared" si="2"/>
        <v>arch + standard_truss</v>
      </c>
      <c r="N10" t="str">
        <f t="shared" si="0"/>
        <v>bottom_structure + 2anc</v>
      </c>
      <c r="O10" t="s">
        <v>1692</v>
      </c>
      <c r="R10" t="s">
        <v>712</v>
      </c>
      <c r="S10" t="s">
        <v>292</v>
      </c>
      <c r="T10" t="s">
        <v>293</v>
      </c>
      <c r="U10" t="s">
        <v>292</v>
      </c>
      <c r="V10" t="s">
        <v>293</v>
      </c>
      <c r="W10" t="s">
        <v>293</v>
      </c>
      <c r="X10" t="str">
        <f t="shared" si="3"/>
        <v>road-</v>
      </c>
      <c r="Y10" t="str">
        <f t="shared" si="4"/>
        <v/>
      </c>
      <c r="Z10" t="str">
        <f t="shared" si="5"/>
        <v>wood-</v>
      </c>
      <c r="AA10" t="str">
        <f t="shared" si="6"/>
        <v/>
      </c>
      <c r="AB10" t="str">
        <f t="shared" si="7"/>
        <v>road-wood-</v>
      </c>
      <c r="AE10" t="s">
        <v>1692</v>
      </c>
    </row>
    <row r="11" spans="1:31" x14ac:dyDescent="0.3">
      <c r="A11" t="s">
        <v>43</v>
      </c>
      <c r="B11" t="s">
        <v>50</v>
      </c>
      <c r="C11" t="s">
        <v>29</v>
      </c>
      <c r="D11" t="s">
        <v>25</v>
      </c>
      <c r="E11" s="16" t="s">
        <v>272</v>
      </c>
      <c r="F11" s="16">
        <v>2</v>
      </c>
      <c r="G11" t="s">
        <v>1524</v>
      </c>
      <c r="H11" t="s">
        <v>282</v>
      </c>
      <c r="I11" t="s">
        <v>1654</v>
      </c>
      <c r="J11" t="s">
        <v>344</v>
      </c>
      <c r="L11" t="str">
        <f t="shared" si="1"/>
        <v>continuous/fully_connected</v>
      </c>
      <c r="M11" t="str">
        <f t="shared" si="2"/>
        <v>arch + standard_truss</v>
      </c>
      <c r="N11" t="str">
        <f t="shared" si="0"/>
        <v>top_structure/bottom_structure + 2anc</v>
      </c>
      <c r="O11" t="s">
        <v>1692</v>
      </c>
      <c r="R11" t="s">
        <v>713</v>
      </c>
      <c r="S11" t="s">
        <v>292</v>
      </c>
      <c r="T11" t="s">
        <v>293</v>
      </c>
      <c r="U11" t="s">
        <v>292</v>
      </c>
      <c r="V11" t="s">
        <v>293</v>
      </c>
      <c r="W11" t="s">
        <v>293</v>
      </c>
      <c r="X11" t="str">
        <f t="shared" si="3"/>
        <v>road-</v>
      </c>
      <c r="Y11" t="str">
        <f t="shared" si="4"/>
        <v/>
      </c>
      <c r="Z11" t="str">
        <f t="shared" si="5"/>
        <v>wood-</v>
      </c>
      <c r="AA11" t="str">
        <f t="shared" si="6"/>
        <v/>
      </c>
      <c r="AB11" t="str">
        <f t="shared" si="7"/>
        <v>road-wood-</v>
      </c>
      <c r="AE11" t="s">
        <v>1692</v>
      </c>
    </row>
    <row r="12" spans="1:31" x14ac:dyDescent="0.3">
      <c r="A12" t="s">
        <v>43</v>
      </c>
      <c r="B12" t="s">
        <v>50</v>
      </c>
      <c r="C12" t="s">
        <v>29</v>
      </c>
      <c r="D12" t="s">
        <v>24</v>
      </c>
      <c r="E12" s="16" t="s">
        <v>272</v>
      </c>
      <c r="F12" s="16">
        <v>2</v>
      </c>
      <c r="G12" t="s">
        <v>1524</v>
      </c>
      <c r="H12" t="s">
        <v>282</v>
      </c>
      <c r="I12" t="s">
        <v>1654</v>
      </c>
      <c r="J12" t="s">
        <v>344</v>
      </c>
      <c r="L12" t="str">
        <f t="shared" si="1"/>
        <v>continuous/fully_connected</v>
      </c>
      <c r="M12" t="str">
        <f t="shared" si="2"/>
        <v>arch + standard_truss</v>
      </c>
      <c r="N12" t="str">
        <f t="shared" si="0"/>
        <v>top_structure/bottom_structure + 2anc</v>
      </c>
      <c r="O12" t="s">
        <v>1692</v>
      </c>
      <c r="R12" t="s">
        <v>714</v>
      </c>
      <c r="S12" t="s">
        <v>292</v>
      </c>
      <c r="T12" t="s">
        <v>293</v>
      </c>
      <c r="U12" t="s">
        <v>292</v>
      </c>
      <c r="V12" t="s">
        <v>293</v>
      </c>
      <c r="W12" t="s">
        <v>293</v>
      </c>
      <c r="X12" t="str">
        <f t="shared" si="3"/>
        <v>road-</v>
      </c>
      <c r="Y12" t="str">
        <f t="shared" si="4"/>
        <v/>
      </c>
      <c r="Z12" t="str">
        <f t="shared" si="5"/>
        <v>wood-</v>
      </c>
      <c r="AA12" t="str">
        <f t="shared" si="6"/>
        <v/>
      </c>
      <c r="AB12" t="str">
        <f t="shared" si="7"/>
        <v>road-wood-</v>
      </c>
      <c r="AE12" t="s">
        <v>1692</v>
      </c>
    </row>
    <row r="13" spans="1:31" x14ac:dyDescent="0.3">
      <c r="A13" t="s">
        <v>43</v>
      </c>
      <c r="B13" t="s">
        <v>50</v>
      </c>
      <c r="C13" t="s">
        <v>29</v>
      </c>
      <c r="D13" t="s">
        <v>21</v>
      </c>
      <c r="E13" s="16" t="s">
        <v>272</v>
      </c>
      <c r="F13" s="16">
        <v>3</v>
      </c>
      <c r="G13" t="s">
        <v>1524</v>
      </c>
      <c r="H13" t="s">
        <v>1540</v>
      </c>
      <c r="I13" t="s">
        <v>1566</v>
      </c>
      <c r="J13" t="s">
        <v>344</v>
      </c>
      <c r="L13" t="str">
        <f t="shared" si="1"/>
        <v>continuous/fully_connected</v>
      </c>
      <c r="M13" t="str">
        <f t="shared" si="2"/>
        <v>inclined/arch + standard_truss</v>
      </c>
      <c r="N13" t="str">
        <f t="shared" si="0"/>
        <v>top_structure/bottom_structure/rock_structure + 3anc</v>
      </c>
      <c r="O13" t="s">
        <v>1692</v>
      </c>
      <c r="R13" t="s">
        <v>715</v>
      </c>
      <c r="S13" t="s">
        <v>292</v>
      </c>
      <c r="T13" t="s">
        <v>293</v>
      </c>
      <c r="U13" t="s">
        <v>292</v>
      </c>
      <c r="V13" t="s">
        <v>293</v>
      </c>
      <c r="W13" t="s">
        <v>293</v>
      </c>
      <c r="X13" t="str">
        <f t="shared" si="3"/>
        <v>road-</v>
      </c>
      <c r="Y13" t="str">
        <f t="shared" si="4"/>
        <v/>
      </c>
      <c r="Z13" t="str">
        <f t="shared" si="5"/>
        <v>wood-</v>
      </c>
      <c r="AA13" t="str">
        <f t="shared" si="6"/>
        <v/>
      </c>
      <c r="AB13" t="str">
        <f t="shared" si="7"/>
        <v>road-wood-</v>
      </c>
      <c r="AE13" t="s">
        <v>1692</v>
      </c>
    </row>
    <row r="14" spans="1:31" x14ac:dyDescent="0.3">
      <c r="A14" t="s">
        <v>43</v>
      </c>
      <c r="B14" t="s">
        <v>50</v>
      </c>
      <c r="C14" t="s">
        <v>29</v>
      </c>
      <c r="D14" t="s">
        <v>26</v>
      </c>
      <c r="E14" s="16" t="s">
        <v>272</v>
      </c>
      <c r="F14" s="16">
        <v>2</v>
      </c>
      <c r="G14" t="s">
        <v>1525</v>
      </c>
      <c r="H14" t="s">
        <v>282</v>
      </c>
      <c r="I14" t="s">
        <v>1654</v>
      </c>
      <c r="J14" t="s">
        <v>344</v>
      </c>
      <c r="L14" t="str">
        <f t="shared" si="1"/>
        <v>missing_section/right</v>
      </c>
      <c r="M14" t="str">
        <f t="shared" si="2"/>
        <v>arch + standard_truss</v>
      </c>
      <c r="N14" t="str">
        <f t="shared" si="0"/>
        <v>top_structure/bottom_structure + 2anc</v>
      </c>
      <c r="O14" t="s">
        <v>1684</v>
      </c>
      <c r="R14" t="s">
        <v>716</v>
      </c>
      <c r="S14" t="s">
        <v>292</v>
      </c>
      <c r="T14" t="s">
        <v>293</v>
      </c>
      <c r="U14" t="s">
        <v>292</v>
      </c>
      <c r="V14" t="s">
        <v>292</v>
      </c>
      <c r="W14" t="s">
        <v>293</v>
      </c>
      <c r="X14" t="str">
        <f t="shared" si="3"/>
        <v>road-</v>
      </c>
      <c r="Y14" t="str">
        <f t="shared" si="4"/>
        <v/>
      </c>
      <c r="Z14" t="str">
        <f t="shared" si="5"/>
        <v>wood-</v>
      </c>
      <c r="AA14" t="str">
        <f t="shared" si="6"/>
        <v>steel</v>
      </c>
      <c r="AB14" t="str">
        <f t="shared" si="7"/>
        <v>road-wood-steel</v>
      </c>
      <c r="AE14" t="s">
        <v>1684</v>
      </c>
    </row>
    <row r="15" spans="1:31" x14ac:dyDescent="0.3">
      <c r="A15" t="s">
        <v>43</v>
      </c>
      <c r="B15" t="s">
        <v>50</v>
      </c>
      <c r="C15" t="s">
        <v>29</v>
      </c>
      <c r="D15" t="s">
        <v>22</v>
      </c>
      <c r="E15" s="16" t="s">
        <v>272</v>
      </c>
      <c r="F15" s="16">
        <v>3</v>
      </c>
      <c r="G15" t="s">
        <v>1524</v>
      </c>
      <c r="H15" t="s">
        <v>1540</v>
      </c>
      <c r="I15" t="s">
        <v>1566</v>
      </c>
      <c r="J15" t="s">
        <v>1570</v>
      </c>
      <c r="L15" t="str">
        <f t="shared" si="1"/>
        <v>continuous/fully_connected</v>
      </c>
      <c r="M15" t="str">
        <f t="shared" si="2"/>
        <v>inclined/arch + standard_truss/other</v>
      </c>
      <c r="N15" t="str">
        <f t="shared" si="0"/>
        <v>top_structure/bottom_structure/rock_structure + 3anc</v>
      </c>
      <c r="O15" t="s">
        <v>1684</v>
      </c>
      <c r="R15" t="s">
        <v>717</v>
      </c>
      <c r="S15" t="s">
        <v>292</v>
      </c>
      <c r="T15" t="s">
        <v>293</v>
      </c>
      <c r="U15" t="s">
        <v>292</v>
      </c>
      <c r="V15" t="s">
        <v>292</v>
      </c>
      <c r="W15" t="s">
        <v>293</v>
      </c>
      <c r="X15" t="str">
        <f t="shared" si="3"/>
        <v>road-</v>
      </c>
      <c r="Y15" t="str">
        <f t="shared" si="4"/>
        <v/>
      </c>
      <c r="Z15" t="str">
        <f t="shared" si="5"/>
        <v>wood-</v>
      </c>
      <c r="AA15" t="str">
        <f t="shared" si="6"/>
        <v>steel</v>
      </c>
      <c r="AB15" t="str">
        <f t="shared" si="7"/>
        <v>road-wood-steel</v>
      </c>
      <c r="AE15" t="s">
        <v>1684</v>
      </c>
    </row>
    <row r="16" spans="1:31" x14ac:dyDescent="0.3">
      <c r="A16" t="s">
        <v>43</v>
      </c>
      <c r="B16" t="s">
        <v>50</v>
      </c>
      <c r="C16" t="s">
        <v>29</v>
      </c>
      <c r="D16" t="s">
        <v>28</v>
      </c>
      <c r="E16" s="16" t="s">
        <v>272</v>
      </c>
      <c r="F16" s="16">
        <v>3</v>
      </c>
      <c r="G16" t="s">
        <v>1524</v>
      </c>
      <c r="H16" t="s">
        <v>1557</v>
      </c>
      <c r="I16" t="s">
        <v>1654</v>
      </c>
      <c r="J16" t="s">
        <v>344</v>
      </c>
      <c r="L16" t="str">
        <f t="shared" si="1"/>
        <v>continuous/fully_connected</v>
      </c>
      <c r="M16" t="str">
        <f t="shared" si="2"/>
        <v>straight/inclined/arch + standard_truss</v>
      </c>
      <c r="N16" t="str">
        <f t="shared" si="0"/>
        <v>top_structure/bottom_structure + 3anc</v>
      </c>
      <c r="O16" t="s">
        <v>1684</v>
      </c>
      <c r="R16" t="s">
        <v>718</v>
      </c>
      <c r="S16" t="s">
        <v>292</v>
      </c>
      <c r="T16" t="s">
        <v>293</v>
      </c>
      <c r="U16" t="s">
        <v>292</v>
      </c>
      <c r="V16" t="s">
        <v>292</v>
      </c>
      <c r="W16" t="s">
        <v>293</v>
      </c>
      <c r="X16" t="str">
        <f t="shared" si="3"/>
        <v>road-</v>
      </c>
      <c r="Y16" t="str">
        <f t="shared" si="4"/>
        <v/>
      </c>
      <c r="Z16" t="str">
        <f t="shared" si="5"/>
        <v>wood-</v>
      </c>
      <c r="AA16" t="str">
        <f t="shared" si="6"/>
        <v>steel</v>
      </c>
      <c r="AB16" t="str">
        <f t="shared" si="7"/>
        <v>road-wood-steel</v>
      </c>
      <c r="AE16" t="s">
        <v>1684</v>
      </c>
    </row>
    <row r="17" spans="1:31" x14ac:dyDescent="0.3">
      <c r="A17" t="s">
        <v>45</v>
      </c>
      <c r="B17" t="s">
        <v>68</v>
      </c>
      <c r="C17" t="s">
        <v>12</v>
      </c>
      <c r="D17" t="s">
        <v>15</v>
      </c>
      <c r="E17" s="16" t="s">
        <v>272</v>
      </c>
      <c r="F17" s="16">
        <v>3</v>
      </c>
      <c r="G17" t="s">
        <v>1524</v>
      </c>
      <c r="H17" t="s">
        <v>282</v>
      </c>
      <c r="I17" t="s">
        <v>1568</v>
      </c>
      <c r="J17" t="s">
        <v>1570</v>
      </c>
      <c r="L17" t="str">
        <f t="shared" si="1"/>
        <v>continuous/fully_connected</v>
      </c>
      <c r="M17" t="str">
        <f t="shared" si="2"/>
        <v>arch + standard_truss/other</v>
      </c>
      <c r="N17" t="str">
        <f t="shared" si="0"/>
        <v>bottom_structure/rock_structure + 3anc</v>
      </c>
      <c r="O17" t="s">
        <v>1684</v>
      </c>
      <c r="R17" t="s">
        <v>719</v>
      </c>
      <c r="S17" t="s">
        <v>292</v>
      </c>
      <c r="T17" t="s">
        <v>293</v>
      </c>
      <c r="U17" t="s">
        <v>292</v>
      </c>
      <c r="V17" t="s">
        <v>292</v>
      </c>
      <c r="W17" t="s">
        <v>293</v>
      </c>
      <c r="X17" t="str">
        <f t="shared" si="3"/>
        <v>road-</v>
      </c>
      <c r="Y17" t="str">
        <f t="shared" si="4"/>
        <v/>
      </c>
      <c r="Z17" t="str">
        <f t="shared" si="5"/>
        <v>wood-</v>
      </c>
      <c r="AA17" t="str">
        <f t="shared" si="6"/>
        <v>steel</v>
      </c>
      <c r="AB17" t="str">
        <f t="shared" si="7"/>
        <v>road-wood-steel</v>
      </c>
      <c r="AE17" t="s">
        <v>1684</v>
      </c>
    </row>
    <row r="18" spans="1:31" x14ac:dyDescent="0.3">
      <c r="A18" t="s">
        <v>45</v>
      </c>
      <c r="B18" t="s">
        <v>68</v>
      </c>
      <c r="C18" t="s">
        <v>12</v>
      </c>
      <c r="D18" t="s">
        <v>14</v>
      </c>
      <c r="E18" s="16" t="s">
        <v>272</v>
      </c>
      <c r="F18" s="16">
        <v>3</v>
      </c>
      <c r="G18" t="s">
        <v>1524</v>
      </c>
      <c r="H18" t="s">
        <v>1537</v>
      </c>
      <c r="I18" t="s">
        <v>1567</v>
      </c>
      <c r="J18" t="s">
        <v>1620</v>
      </c>
      <c r="L18" t="str">
        <f t="shared" si="1"/>
        <v>continuous/fully_connected</v>
      </c>
      <c r="M18" t="str">
        <f t="shared" si="2"/>
        <v>arch/straight + standard_truss/square_truss</v>
      </c>
      <c r="N18" t="str">
        <f t="shared" si="0"/>
        <v>top_structure/rock_structure + 3anc</v>
      </c>
      <c r="O18" t="s">
        <v>1686</v>
      </c>
      <c r="R18" t="s">
        <v>720</v>
      </c>
      <c r="S18" t="s">
        <v>293</v>
      </c>
      <c r="T18" t="s">
        <v>292</v>
      </c>
      <c r="U18" t="s">
        <v>292</v>
      </c>
      <c r="V18" t="s">
        <v>292</v>
      </c>
      <c r="W18" t="s">
        <v>293</v>
      </c>
      <c r="X18" t="str">
        <f t="shared" si="3"/>
        <v/>
      </c>
      <c r="Y18" t="str">
        <f t="shared" si="4"/>
        <v>reinforced_road-</v>
      </c>
      <c r="Z18" t="str">
        <f t="shared" si="5"/>
        <v>wood-</v>
      </c>
      <c r="AA18" t="str">
        <f t="shared" si="6"/>
        <v>steel</v>
      </c>
      <c r="AB18" t="str">
        <f t="shared" si="7"/>
        <v>reinforced_road-wood-steel</v>
      </c>
      <c r="AE18" t="s">
        <v>1686</v>
      </c>
    </row>
    <row r="19" spans="1:31" x14ac:dyDescent="0.3">
      <c r="A19" t="s">
        <v>45</v>
      </c>
      <c r="B19" t="s">
        <v>68</v>
      </c>
      <c r="C19" t="s">
        <v>12</v>
      </c>
      <c r="D19" t="s">
        <v>11</v>
      </c>
      <c r="E19" s="16" t="s">
        <v>272</v>
      </c>
      <c r="F19" s="16">
        <v>3</v>
      </c>
      <c r="G19" t="s">
        <v>1524</v>
      </c>
      <c r="H19" t="s">
        <v>1537</v>
      </c>
      <c r="I19" t="s">
        <v>1567</v>
      </c>
      <c r="J19" t="s">
        <v>1620</v>
      </c>
      <c r="L19" t="str">
        <f t="shared" si="1"/>
        <v>continuous/fully_connected</v>
      </c>
      <c r="M19" t="str">
        <f t="shared" si="2"/>
        <v>arch/straight + standard_truss/square_truss</v>
      </c>
      <c r="N19" t="str">
        <f t="shared" si="0"/>
        <v>top_structure/rock_structure + 3anc</v>
      </c>
      <c r="O19" t="s">
        <v>1684</v>
      </c>
      <c r="R19" t="s">
        <v>721</v>
      </c>
      <c r="S19" t="s">
        <v>292</v>
      </c>
      <c r="T19" t="s">
        <v>293</v>
      </c>
      <c r="U19" t="s">
        <v>292</v>
      </c>
      <c r="V19" t="s">
        <v>292</v>
      </c>
      <c r="W19" t="s">
        <v>293</v>
      </c>
      <c r="X19" t="str">
        <f t="shared" si="3"/>
        <v>road-</v>
      </c>
      <c r="Y19" t="str">
        <f t="shared" si="4"/>
        <v/>
      </c>
      <c r="Z19" t="str">
        <f t="shared" si="5"/>
        <v>wood-</v>
      </c>
      <c r="AA19" t="str">
        <f t="shared" si="6"/>
        <v>steel</v>
      </c>
      <c r="AB19" t="str">
        <f t="shared" si="7"/>
        <v>road-wood-steel</v>
      </c>
      <c r="AE19" t="s">
        <v>1684</v>
      </c>
    </row>
    <row r="20" spans="1:31" x14ac:dyDescent="0.3">
      <c r="A20" t="s">
        <v>45</v>
      </c>
      <c r="B20" t="s">
        <v>68</v>
      </c>
      <c r="C20" t="s">
        <v>12</v>
      </c>
      <c r="D20" t="s">
        <v>17</v>
      </c>
      <c r="E20" s="16" t="s">
        <v>272</v>
      </c>
      <c r="F20" s="16">
        <v>3</v>
      </c>
      <c r="G20" t="s">
        <v>1524</v>
      </c>
      <c r="H20" t="s">
        <v>282</v>
      </c>
      <c r="I20" t="s">
        <v>1566</v>
      </c>
      <c r="J20" t="s">
        <v>1574</v>
      </c>
      <c r="L20" t="str">
        <f t="shared" si="1"/>
        <v>continuous/fully_connected</v>
      </c>
      <c r="M20" t="str">
        <f t="shared" si="2"/>
        <v>arch + standard_truss/arch_truss</v>
      </c>
      <c r="N20" t="str">
        <f t="shared" si="0"/>
        <v>top_structure/bottom_structure/rock_structure + 3anc</v>
      </c>
      <c r="O20" t="s">
        <v>1685</v>
      </c>
      <c r="R20" t="s">
        <v>722</v>
      </c>
      <c r="S20" t="s">
        <v>292</v>
      </c>
      <c r="T20" t="s">
        <v>292</v>
      </c>
      <c r="U20" t="s">
        <v>292</v>
      </c>
      <c r="V20" t="s">
        <v>292</v>
      </c>
      <c r="W20" t="s">
        <v>293</v>
      </c>
      <c r="X20" t="str">
        <f t="shared" si="3"/>
        <v>road-</v>
      </c>
      <c r="Y20" t="str">
        <f t="shared" si="4"/>
        <v>reinforced_road-</v>
      </c>
      <c r="Z20" t="str">
        <f t="shared" si="5"/>
        <v>wood-</v>
      </c>
      <c r="AA20" t="str">
        <f t="shared" si="6"/>
        <v>steel</v>
      </c>
      <c r="AB20" t="str">
        <f t="shared" si="7"/>
        <v>road-reinforced_road-wood-steel</v>
      </c>
      <c r="AE20" t="s">
        <v>1685</v>
      </c>
    </row>
    <row r="21" spans="1:31" x14ac:dyDescent="0.3">
      <c r="A21" t="s">
        <v>45</v>
      </c>
      <c r="B21" t="s">
        <v>68</v>
      </c>
      <c r="C21" t="s">
        <v>12</v>
      </c>
      <c r="D21" t="s">
        <v>16</v>
      </c>
      <c r="E21" s="16" t="s">
        <v>272</v>
      </c>
      <c r="F21" s="16">
        <v>3</v>
      </c>
      <c r="G21" t="s">
        <v>1524</v>
      </c>
      <c r="H21" t="s">
        <v>282</v>
      </c>
      <c r="I21" t="s">
        <v>1566</v>
      </c>
      <c r="J21" t="s">
        <v>1574</v>
      </c>
      <c r="L21" t="str">
        <f t="shared" si="1"/>
        <v>continuous/fully_connected</v>
      </c>
      <c r="M21" t="str">
        <f t="shared" si="2"/>
        <v>arch + standard_truss/arch_truss</v>
      </c>
      <c r="N21" t="str">
        <f t="shared" si="0"/>
        <v>top_structure/bottom_structure/rock_structure + 3anc</v>
      </c>
      <c r="O21" t="s">
        <v>1684</v>
      </c>
      <c r="R21" t="s">
        <v>723</v>
      </c>
      <c r="S21" t="s">
        <v>292</v>
      </c>
      <c r="T21" t="s">
        <v>293</v>
      </c>
      <c r="U21" t="s">
        <v>292</v>
      </c>
      <c r="V21" t="s">
        <v>292</v>
      </c>
      <c r="W21" t="s">
        <v>293</v>
      </c>
      <c r="X21" t="str">
        <f t="shared" si="3"/>
        <v>road-</v>
      </c>
      <c r="Y21" t="str">
        <f t="shared" si="4"/>
        <v/>
      </c>
      <c r="Z21" t="str">
        <f t="shared" si="5"/>
        <v>wood-</v>
      </c>
      <c r="AA21" t="str">
        <f t="shared" si="6"/>
        <v>steel</v>
      </c>
      <c r="AB21" t="str">
        <f t="shared" si="7"/>
        <v>road-wood-steel</v>
      </c>
      <c r="AE21" t="s">
        <v>1684</v>
      </c>
    </row>
    <row r="22" spans="1:31" x14ac:dyDescent="0.3">
      <c r="A22" t="s">
        <v>45</v>
      </c>
      <c r="B22" t="s">
        <v>68</v>
      </c>
      <c r="C22" t="s">
        <v>29</v>
      </c>
      <c r="D22" t="s">
        <v>23</v>
      </c>
      <c r="E22" s="16" t="s">
        <v>272</v>
      </c>
      <c r="F22" s="16">
        <v>2</v>
      </c>
      <c r="G22" t="s">
        <v>1524</v>
      </c>
      <c r="H22" t="s">
        <v>282</v>
      </c>
      <c r="I22" t="s">
        <v>342</v>
      </c>
      <c r="J22" t="s">
        <v>344</v>
      </c>
      <c r="L22" t="str">
        <f t="shared" si="1"/>
        <v>continuous/fully_connected</v>
      </c>
      <c r="M22" t="str">
        <f t="shared" si="2"/>
        <v>arch + standard_truss</v>
      </c>
      <c r="N22" t="str">
        <f t="shared" si="0"/>
        <v>bottom_structure + 2anc</v>
      </c>
      <c r="O22" t="s">
        <v>1684</v>
      </c>
      <c r="R22" t="s">
        <v>724</v>
      </c>
      <c r="S22" t="s">
        <v>292</v>
      </c>
      <c r="T22" t="s">
        <v>293</v>
      </c>
      <c r="U22" t="s">
        <v>292</v>
      </c>
      <c r="V22" t="s">
        <v>292</v>
      </c>
      <c r="W22" t="s">
        <v>293</v>
      </c>
      <c r="X22" t="str">
        <f t="shared" si="3"/>
        <v>road-</v>
      </c>
      <c r="Y22" t="str">
        <f t="shared" si="4"/>
        <v/>
      </c>
      <c r="Z22" t="str">
        <f t="shared" si="5"/>
        <v>wood-</v>
      </c>
      <c r="AA22" t="str">
        <f t="shared" si="6"/>
        <v>steel</v>
      </c>
      <c r="AB22" t="str">
        <f t="shared" si="7"/>
        <v>road-wood-steel</v>
      </c>
      <c r="AE22" t="s">
        <v>1684</v>
      </c>
    </row>
    <row r="23" spans="1:31" x14ac:dyDescent="0.3">
      <c r="A23" t="s">
        <v>45</v>
      </c>
      <c r="B23" t="s">
        <v>68</v>
      </c>
      <c r="C23" t="s">
        <v>29</v>
      </c>
      <c r="D23" t="s">
        <v>25</v>
      </c>
      <c r="E23" s="16" t="s">
        <v>272</v>
      </c>
      <c r="F23" s="16">
        <v>3</v>
      </c>
      <c r="G23" t="s">
        <v>1524</v>
      </c>
      <c r="H23" t="s">
        <v>1540</v>
      </c>
      <c r="I23" t="s">
        <v>1567</v>
      </c>
      <c r="J23" t="s">
        <v>344</v>
      </c>
      <c r="L23" t="str">
        <f t="shared" si="1"/>
        <v>continuous/fully_connected</v>
      </c>
      <c r="M23" t="str">
        <f t="shared" si="2"/>
        <v>inclined/arch + standard_truss</v>
      </c>
      <c r="N23" t="str">
        <f t="shared" si="0"/>
        <v>top_structure/rock_structure + 3anc</v>
      </c>
      <c r="O23" t="s">
        <v>1684</v>
      </c>
      <c r="R23" t="s">
        <v>725</v>
      </c>
      <c r="S23" t="s">
        <v>292</v>
      </c>
      <c r="T23" t="s">
        <v>293</v>
      </c>
      <c r="U23" t="s">
        <v>292</v>
      </c>
      <c r="V23" t="s">
        <v>292</v>
      </c>
      <c r="W23" t="s">
        <v>293</v>
      </c>
      <c r="X23" t="str">
        <f t="shared" si="3"/>
        <v>road-</v>
      </c>
      <c r="Y23" t="str">
        <f t="shared" si="4"/>
        <v/>
      </c>
      <c r="Z23" t="str">
        <f t="shared" si="5"/>
        <v>wood-</v>
      </c>
      <c r="AA23" t="str">
        <f t="shared" si="6"/>
        <v>steel</v>
      </c>
      <c r="AB23" t="str">
        <f t="shared" si="7"/>
        <v>road-wood-steel</v>
      </c>
      <c r="AE23" t="s">
        <v>1684</v>
      </c>
    </row>
    <row r="24" spans="1:31" x14ac:dyDescent="0.3">
      <c r="A24" t="s">
        <v>45</v>
      </c>
      <c r="B24" t="s">
        <v>68</v>
      </c>
      <c r="C24" t="s">
        <v>29</v>
      </c>
      <c r="D24" t="s">
        <v>24</v>
      </c>
      <c r="E24" s="16" t="s">
        <v>272</v>
      </c>
      <c r="F24" s="16">
        <v>2</v>
      </c>
      <c r="G24" t="s">
        <v>1524</v>
      </c>
      <c r="H24" t="s">
        <v>282</v>
      </c>
      <c r="I24" t="s">
        <v>342</v>
      </c>
      <c r="J24" t="s">
        <v>344</v>
      </c>
      <c r="L24" t="str">
        <f t="shared" si="1"/>
        <v>continuous/fully_connected</v>
      </c>
      <c r="M24" t="str">
        <f t="shared" si="2"/>
        <v>arch + standard_truss</v>
      </c>
      <c r="N24" t="str">
        <f t="shared" si="0"/>
        <v>bottom_structure + 2anc</v>
      </c>
      <c r="O24" t="s">
        <v>1693</v>
      </c>
      <c r="R24" t="s">
        <v>726</v>
      </c>
      <c r="S24" t="s">
        <v>293</v>
      </c>
      <c r="T24" t="s">
        <v>292</v>
      </c>
      <c r="U24" t="s">
        <v>292</v>
      </c>
      <c r="V24" t="s">
        <v>293</v>
      </c>
      <c r="W24" t="s">
        <v>293</v>
      </c>
      <c r="X24" t="str">
        <f t="shared" si="3"/>
        <v/>
      </c>
      <c r="Y24" t="str">
        <f t="shared" si="4"/>
        <v>reinforced_road-</v>
      </c>
      <c r="Z24" t="str">
        <f t="shared" si="5"/>
        <v>wood-</v>
      </c>
      <c r="AA24" t="str">
        <f t="shared" si="6"/>
        <v/>
      </c>
      <c r="AB24" t="str">
        <f t="shared" si="7"/>
        <v>reinforced_road-wood-</v>
      </c>
      <c r="AE24" t="s">
        <v>1693</v>
      </c>
    </row>
    <row r="25" spans="1:31" x14ac:dyDescent="0.3">
      <c r="A25" t="s">
        <v>45</v>
      </c>
      <c r="B25" t="s">
        <v>68</v>
      </c>
      <c r="C25" t="s">
        <v>29</v>
      </c>
      <c r="D25" t="s">
        <v>21</v>
      </c>
      <c r="E25" s="16" t="s">
        <v>272</v>
      </c>
      <c r="F25" s="16">
        <v>3</v>
      </c>
      <c r="G25" t="s">
        <v>1524</v>
      </c>
      <c r="H25" t="s">
        <v>1629</v>
      </c>
      <c r="I25" t="s">
        <v>1568</v>
      </c>
      <c r="J25" t="s">
        <v>344</v>
      </c>
      <c r="L25" t="str">
        <f t="shared" si="1"/>
        <v>continuous/fully_connected</v>
      </c>
      <c r="M25" t="str">
        <f t="shared" si="2"/>
        <v>straight/ramp/arch + standard_truss</v>
      </c>
      <c r="N25" t="str">
        <f t="shared" si="0"/>
        <v>bottom_structure/rock_structure + 3anc</v>
      </c>
      <c r="O25" t="s">
        <v>1684</v>
      </c>
      <c r="R25" t="s">
        <v>727</v>
      </c>
      <c r="S25" t="s">
        <v>292</v>
      </c>
      <c r="T25" t="s">
        <v>293</v>
      </c>
      <c r="U25" t="s">
        <v>292</v>
      </c>
      <c r="V25" t="s">
        <v>292</v>
      </c>
      <c r="W25" t="s">
        <v>293</v>
      </c>
      <c r="X25" t="str">
        <f t="shared" si="3"/>
        <v>road-</v>
      </c>
      <c r="Y25" t="str">
        <f t="shared" si="4"/>
        <v/>
      </c>
      <c r="Z25" t="str">
        <f t="shared" si="5"/>
        <v>wood-</v>
      </c>
      <c r="AA25" t="str">
        <f t="shared" si="6"/>
        <v>steel</v>
      </c>
      <c r="AB25" t="str">
        <f t="shared" si="7"/>
        <v>road-wood-steel</v>
      </c>
      <c r="AE25" t="s">
        <v>1684</v>
      </c>
    </row>
    <row r="26" spans="1:31" x14ac:dyDescent="0.3">
      <c r="A26" t="s">
        <v>45</v>
      </c>
      <c r="B26" t="s">
        <v>68</v>
      </c>
      <c r="C26" t="s">
        <v>29</v>
      </c>
      <c r="D26" t="s">
        <v>19</v>
      </c>
      <c r="E26" s="16" t="s">
        <v>272</v>
      </c>
      <c r="F26" s="16">
        <v>3</v>
      </c>
      <c r="G26" t="s">
        <v>1524</v>
      </c>
      <c r="H26" t="s">
        <v>1557</v>
      </c>
      <c r="I26" t="s">
        <v>1566</v>
      </c>
      <c r="J26" t="s">
        <v>344</v>
      </c>
      <c r="L26" t="str">
        <f t="shared" si="1"/>
        <v>continuous/fully_connected</v>
      </c>
      <c r="M26" t="str">
        <f t="shared" si="2"/>
        <v>straight/inclined/arch + standard_truss</v>
      </c>
      <c r="N26" t="str">
        <f t="shared" si="0"/>
        <v>top_structure/bottom_structure/rock_structure + 3anc</v>
      </c>
      <c r="O26" t="s">
        <v>1685</v>
      </c>
      <c r="R26" t="s">
        <v>728</v>
      </c>
      <c r="S26" t="s">
        <v>292</v>
      </c>
      <c r="T26" t="s">
        <v>292</v>
      </c>
      <c r="U26" t="s">
        <v>292</v>
      </c>
      <c r="V26" t="s">
        <v>292</v>
      </c>
      <c r="W26" t="s">
        <v>293</v>
      </c>
      <c r="X26" t="str">
        <f t="shared" si="3"/>
        <v>road-</v>
      </c>
      <c r="Y26" t="str">
        <f t="shared" si="4"/>
        <v>reinforced_road-</v>
      </c>
      <c r="Z26" t="str">
        <f t="shared" si="5"/>
        <v>wood-</v>
      </c>
      <c r="AA26" t="str">
        <f t="shared" si="6"/>
        <v>steel</v>
      </c>
      <c r="AB26" t="str">
        <f t="shared" si="7"/>
        <v>road-reinforced_road-wood-steel</v>
      </c>
      <c r="AE26" t="s">
        <v>1685</v>
      </c>
    </row>
    <row r="27" spans="1:31" x14ac:dyDescent="0.3">
      <c r="A27" t="s">
        <v>45</v>
      </c>
      <c r="B27" t="s">
        <v>68</v>
      </c>
      <c r="C27" t="s">
        <v>29</v>
      </c>
      <c r="D27" t="s">
        <v>20</v>
      </c>
      <c r="E27" s="16" t="s">
        <v>272</v>
      </c>
      <c r="F27" s="16">
        <v>3</v>
      </c>
      <c r="G27" t="s">
        <v>1524</v>
      </c>
      <c r="H27" t="s">
        <v>1629</v>
      </c>
      <c r="I27" t="s">
        <v>1568</v>
      </c>
      <c r="J27" t="s">
        <v>344</v>
      </c>
      <c r="L27" t="str">
        <f t="shared" si="1"/>
        <v>continuous/fully_connected</v>
      </c>
      <c r="M27" t="str">
        <f t="shared" si="2"/>
        <v>straight/ramp/arch + standard_truss</v>
      </c>
      <c r="N27" t="str">
        <f t="shared" si="0"/>
        <v>bottom_structure/rock_structure + 3anc</v>
      </c>
      <c r="O27" t="s">
        <v>1692</v>
      </c>
      <c r="R27" t="s">
        <v>729</v>
      </c>
      <c r="S27" t="s">
        <v>292</v>
      </c>
      <c r="T27" t="s">
        <v>293</v>
      </c>
      <c r="U27" t="s">
        <v>292</v>
      </c>
      <c r="V27" t="s">
        <v>293</v>
      </c>
      <c r="W27" t="s">
        <v>293</v>
      </c>
      <c r="X27" t="str">
        <f t="shared" si="3"/>
        <v>road-</v>
      </c>
      <c r="Y27" t="str">
        <f t="shared" si="4"/>
        <v/>
      </c>
      <c r="Z27" t="str">
        <f t="shared" si="5"/>
        <v>wood-</v>
      </c>
      <c r="AA27" t="str">
        <f t="shared" si="6"/>
        <v/>
      </c>
      <c r="AB27" t="str">
        <f t="shared" si="7"/>
        <v>road-wood-</v>
      </c>
      <c r="AE27" t="s">
        <v>1692</v>
      </c>
    </row>
    <row r="28" spans="1:31" x14ac:dyDescent="0.3">
      <c r="A28" t="s">
        <v>45</v>
      </c>
      <c r="B28" t="s">
        <v>68</v>
      </c>
      <c r="C28" t="s">
        <v>29</v>
      </c>
      <c r="D28" t="s">
        <v>26</v>
      </c>
      <c r="E28" s="16" t="s">
        <v>272</v>
      </c>
      <c r="F28" s="16">
        <v>3</v>
      </c>
      <c r="G28" t="s">
        <v>1524</v>
      </c>
      <c r="H28" t="s">
        <v>1540</v>
      </c>
      <c r="I28" t="s">
        <v>1567</v>
      </c>
      <c r="J28" t="s">
        <v>344</v>
      </c>
      <c r="L28" t="str">
        <f t="shared" si="1"/>
        <v>continuous/fully_connected</v>
      </c>
      <c r="M28" t="str">
        <f t="shared" si="2"/>
        <v>inclined/arch + standard_truss</v>
      </c>
      <c r="N28" t="str">
        <f t="shared" si="0"/>
        <v>top_structure/rock_structure + 3anc</v>
      </c>
      <c r="O28" t="s">
        <v>1687</v>
      </c>
      <c r="R28" t="s">
        <v>730</v>
      </c>
      <c r="S28" t="s">
        <v>292</v>
      </c>
      <c r="T28" t="s">
        <v>293</v>
      </c>
      <c r="U28" t="s">
        <v>293</v>
      </c>
      <c r="V28" t="s">
        <v>292</v>
      </c>
      <c r="W28" t="s">
        <v>293</v>
      </c>
      <c r="X28" t="str">
        <f t="shared" si="3"/>
        <v>road-</v>
      </c>
      <c r="Y28" t="str">
        <f t="shared" si="4"/>
        <v/>
      </c>
      <c r="Z28" t="str">
        <f t="shared" si="5"/>
        <v/>
      </c>
      <c r="AA28" t="str">
        <f t="shared" si="6"/>
        <v>steel</v>
      </c>
      <c r="AB28" t="str">
        <f t="shared" si="7"/>
        <v>road-steel</v>
      </c>
      <c r="AE28" t="s">
        <v>1687</v>
      </c>
    </row>
    <row r="29" spans="1:31" x14ac:dyDescent="0.3">
      <c r="A29" t="s">
        <v>45</v>
      </c>
      <c r="B29" t="s">
        <v>68</v>
      </c>
      <c r="C29" t="s">
        <v>29</v>
      </c>
      <c r="D29" t="s">
        <v>22</v>
      </c>
      <c r="E29" s="16" t="s">
        <v>272</v>
      </c>
      <c r="F29" s="16">
        <v>2</v>
      </c>
      <c r="G29" t="s">
        <v>1524</v>
      </c>
      <c r="H29" t="s">
        <v>282</v>
      </c>
      <c r="I29" t="s">
        <v>341</v>
      </c>
      <c r="J29" t="s">
        <v>344</v>
      </c>
      <c r="L29" t="str">
        <f t="shared" si="1"/>
        <v>continuous/fully_connected</v>
      </c>
      <c r="M29" t="str">
        <f t="shared" si="2"/>
        <v>arch + standard_truss</v>
      </c>
      <c r="N29" t="str">
        <f t="shared" si="0"/>
        <v>top_structure + 2anc</v>
      </c>
      <c r="O29" t="s">
        <v>1692</v>
      </c>
      <c r="R29" t="s">
        <v>731</v>
      </c>
      <c r="S29" t="s">
        <v>292</v>
      </c>
      <c r="T29" t="s">
        <v>293</v>
      </c>
      <c r="U29" t="s">
        <v>292</v>
      </c>
      <c r="V29" t="s">
        <v>293</v>
      </c>
      <c r="W29" t="s">
        <v>293</v>
      </c>
      <c r="X29" t="str">
        <f t="shared" si="3"/>
        <v>road-</v>
      </c>
      <c r="Y29" t="str">
        <f t="shared" si="4"/>
        <v/>
      </c>
      <c r="Z29" t="str">
        <f t="shared" si="5"/>
        <v>wood-</v>
      </c>
      <c r="AA29" t="str">
        <f t="shared" si="6"/>
        <v/>
      </c>
      <c r="AB29" t="str">
        <f t="shared" si="7"/>
        <v>road-wood-</v>
      </c>
      <c r="AE29" t="s">
        <v>1692</v>
      </c>
    </row>
    <row r="30" spans="1:31" x14ac:dyDescent="0.3">
      <c r="A30" t="s">
        <v>45</v>
      </c>
      <c r="B30" t="s">
        <v>68</v>
      </c>
      <c r="C30" t="s">
        <v>29</v>
      </c>
      <c r="D30" t="s">
        <v>27</v>
      </c>
      <c r="E30" s="16" t="s">
        <v>272</v>
      </c>
      <c r="F30" s="16">
        <v>3</v>
      </c>
      <c r="G30" t="s">
        <v>1524</v>
      </c>
      <c r="H30" t="s">
        <v>1540</v>
      </c>
      <c r="I30" t="s">
        <v>1567</v>
      </c>
      <c r="J30" t="s">
        <v>344</v>
      </c>
      <c r="L30" t="str">
        <f t="shared" si="1"/>
        <v>continuous/fully_connected</v>
      </c>
      <c r="M30" t="str">
        <f t="shared" si="2"/>
        <v>inclined/arch + standard_truss</v>
      </c>
      <c r="N30" t="str">
        <f t="shared" si="0"/>
        <v>top_structure/rock_structure + 3anc</v>
      </c>
      <c r="O30" t="s">
        <v>1688</v>
      </c>
      <c r="R30" t="s">
        <v>732</v>
      </c>
      <c r="S30" t="s">
        <v>293</v>
      </c>
      <c r="T30" t="s">
        <v>292</v>
      </c>
      <c r="U30" t="s">
        <v>293</v>
      </c>
      <c r="V30" t="s">
        <v>292</v>
      </c>
      <c r="W30" t="s">
        <v>293</v>
      </c>
      <c r="X30" t="str">
        <f t="shared" si="3"/>
        <v/>
      </c>
      <c r="Y30" t="str">
        <f t="shared" si="4"/>
        <v>reinforced_road-</v>
      </c>
      <c r="Z30" t="str">
        <f t="shared" si="5"/>
        <v/>
      </c>
      <c r="AA30" t="str">
        <f t="shared" si="6"/>
        <v>steel</v>
      </c>
      <c r="AB30" t="str">
        <f t="shared" si="7"/>
        <v>reinforced_road-steel</v>
      </c>
      <c r="AE30" t="s">
        <v>1688</v>
      </c>
    </row>
    <row r="31" spans="1:31" x14ac:dyDescent="0.3">
      <c r="A31" t="s">
        <v>9</v>
      </c>
      <c r="B31" t="s">
        <v>60</v>
      </c>
      <c r="C31" t="s">
        <v>12</v>
      </c>
      <c r="D31" t="s">
        <v>15</v>
      </c>
      <c r="E31" s="16" t="s">
        <v>272</v>
      </c>
      <c r="F31" s="16">
        <v>3</v>
      </c>
      <c r="G31" t="s">
        <v>1524</v>
      </c>
      <c r="H31" t="s">
        <v>1560</v>
      </c>
      <c r="I31" t="s">
        <v>1567</v>
      </c>
      <c r="J31" t="s">
        <v>345</v>
      </c>
      <c r="L31" t="str">
        <f t="shared" si="1"/>
        <v>continuous/fully_connected</v>
      </c>
      <c r="M31" t="str">
        <f t="shared" si="2"/>
        <v>straight/platform + arch_truss</v>
      </c>
      <c r="N31" t="str">
        <f t="shared" si="0"/>
        <v>top_structure/rock_structure + 3anc</v>
      </c>
      <c r="O31" t="s">
        <v>1685</v>
      </c>
      <c r="R31" t="s">
        <v>733</v>
      </c>
      <c r="S31" t="s">
        <v>292</v>
      </c>
      <c r="T31" t="s">
        <v>292</v>
      </c>
      <c r="U31" t="s">
        <v>292</v>
      </c>
      <c r="V31" t="s">
        <v>292</v>
      </c>
      <c r="W31" t="s">
        <v>293</v>
      </c>
      <c r="X31" t="str">
        <f t="shared" si="3"/>
        <v>road-</v>
      </c>
      <c r="Y31" t="str">
        <f t="shared" si="4"/>
        <v>reinforced_road-</v>
      </c>
      <c r="Z31" t="str">
        <f t="shared" si="5"/>
        <v>wood-</v>
      </c>
      <c r="AA31" t="str">
        <f t="shared" si="6"/>
        <v>steel</v>
      </c>
      <c r="AB31" t="str">
        <f t="shared" si="7"/>
        <v>road-reinforced_road-wood-steel</v>
      </c>
      <c r="AE31" t="s">
        <v>1685</v>
      </c>
    </row>
    <row r="32" spans="1:31" x14ac:dyDescent="0.3">
      <c r="A32" t="s">
        <v>9</v>
      </c>
      <c r="B32" t="s">
        <v>60</v>
      </c>
      <c r="C32" t="s">
        <v>12</v>
      </c>
      <c r="D32" t="s">
        <v>14</v>
      </c>
      <c r="E32" s="16" t="s">
        <v>272</v>
      </c>
      <c r="F32" s="16">
        <v>3</v>
      </c>
      <c r="G32" t="s">
        <v>1524</v>
      </c>
      <c r="H32" t="s">
        <v>1537</v>
      </c>
      <c r="I32" t="s">
        <v>1567</v>
      </c>
      <c r="J32" t="s">
        <v>1574</v>
      </c>
      <c r="L32" t="str">
        <f t="shared" si="1"/>
        <v>continuous/fully_connected</v>
      </c>
      <c r="M32" t="str">
        <f t="shared" si="2"/>
        <v>arch/straight + standard_truss/arch_truss</v>
      </c>
      <c r="N32" t="str">
        <f t="shared" si="0"/>
        <v>top_structure/rock_structure + 3anc</v>
      </c>
      <c r="O32" t="s">
        <v>1684</v>
      </c>
      <c r="R32" t="s">
        <v>734</v>
      </c>
      <c r="S32" t="s">
        <v>292</v>
      </c>
      <c r="T32" t="s">
        <v>293</v>
      </c>
      <c r="U32" t="s">
        <v>292</v>
      </c>
      <c r="V32" t="s">
        <v>292</v>
      </c>
      <c r="W32" t="s">
        <v>293</v>
      </c>
      <c r="X32" t="str">
        <f t="shared" si="3"/>
        <v>road-</v>
      </c>
      <c r="Y32" t="str">
        <f t="shared" si="4"/>
        <v/>
      </c>
      <c r="Z32" t="str">
        <f t="shared" si="5"/>
        <v>wood-</v>
      </c>
      <c r="AA32" t="str">
        <f t="shared" si="6"/>
        <v>steel</v>
      </c>
      <c r="AB32" t="str">
        <f t="shared" si="7"/>
        <v>road-wood-steel</v>
      </c>
      <c r="AE32" t="s">
        <v>1684</v>
      </c>
    </row>
    <row r="33" spans="1:31" x14ac:dyDescent="0.3">
      <c r="A33" t="s">
        <v>9</v>
      </c>
      <c r="B33" t="s">
        <v>60</v>
      </c>
      <c r="C33" t="s">
        <v>12</v>
      </c>
      <c r="D33" t="s">
        <v>11</v>
      </c>
      <c r="E33" s="16" t="s">
        <v>272</v>
      </c>
      <c r="F33" s="16">
        <v>3</v>
      </c>
      <c r="G33" t="s">
        <v>1524</v>
      </c>
      <c r="H33" t="s">
        <v>1537</v>
      </c>
      <c r="I33" t="s">
        <v>1567</v>
      </c>
      <c r="J33" t="s">
        <v>345</v>
      </c>
      <c r="L33" t="str">
        <f t="shared" si="1"/>
        <v>continuous/fully_connected</v>
      </c>
      <c r="M33" t="str">
        <f t="shared" si="2"/>
        <v>arch/straight + arch_truss</v>
      </c>
      <c r="N33" t="str">
        <f t="shared" si="0"/>
        <v>top_structure/rock_structure + 3anc</v>
      </c>
      <c r="O33" t="s">
        <v>1684</v>
      </c>
      <c r="R33" t="s">
        <v>735</v>
      </c>
      <c r="S33" t="s">
        <v>292</v>
      </c>
      <c r="T33" t="s">
        <v>293</v>
      </c>
      <c r="U33" t="s">
        <v>292</v>
      </c>
      <c r="V33" t="s">
        <v>292</v>
      </c>
      <c r="W33" t="s">
        <v>293</v>
      </c>
      <c r="X33" t="str">
        <f t="shared" si="3"/>
        <v>road-</v>
      </c>
      <c r="Y33" t="str">
        <f t="shared" si="4"/>
        <v/>
      </c>
      <c r="Z33" t="str">
        <f t="shared" si="5"/>
        <v>wood-</v>
      </c>
      <c r="AA33" t="str">
        <f t="shared" si="6"/>
        <v>steel</v>
      </c>
      <c r="AB33" t="str">
        <f t="shared" si="7"/>
        <v>road-wood-steel</v>
      </c>
      <c r="AE33" t="s">
        <v>1684</v>
      </c>
    </row>
    <row r="34" spans="1:31" x14ac:dyDescent="0.3">
      <c r="A34" t="s">
        <v>9</v>
      </c>
      <c r="B34" t="s">
        <v>60</v>
      </c>
      <c r="C34" t="s">
        <v>12</v>
      </c>
      <c r="D34" t="s">
        <v>16</v>
      </c>
      <c r="E34" s="16" t="s">
        <v>272</v>
      </c>
      <c r="F34" s="16">
        <v>3</v>
      </c>
      <c r="G34" t="s">
        <v>1524</v>
      </c>
      <c r="H34" t="s">
        <v>1560</v>
      </c>
      <c r="I34" t="s">
        <v>1566</v>
      </c>
      <c r="J34" t="s">
        <v>1573</v>
      </c>
      <c r="L34" t="str">
        <f t="shared" si="1"/>
        <v>continuous/fully_connected</v>
      </c>
      <c r="M34" t="str">
        <f t="shared" si="2"/>
        <v>straight/platform + arch_truss/other_truss</v>
      </c>
      <c r="N34" t="str">
        <f t="shared" si="0"/>
        <v>top_structure/bottom_structure/rock_structure + 3anc</v>
      </c>
      <c r="O34" t="s">
        <v>1685</v>
      </c>
      <c r="R34" t="s">
        <v>736</v>
      </c>
      <c r="S34" t="s">
        <v>292</v>
      </c>
      <c r="T34" t="s">
        <v>292</v>
      </c>
      <c r="U34" t="s">
        <v>292</v>
      </c>
      <c r="V34" t="s">
        <v>292</v>
      </c>
      <c r="W34" t="s">
        <v>293</v>
      </c>
      <c r="X34" t="str">
        <f t="shared" si="3"/>
        <v>road-</v>
      </c>
      <c r="Y34" t="str">
        <f t="shared" si="4"/>
        <v>reinforced_road-</v>
      </c>
      <c r="Z34" t="str">
        <f t="shared" si="5"/>
        <v>wood-</v>
      </c>
      <c r="AA34" t="str">
        <f t="shared" si="6"/>
        <v>steel</v>
      </c>
      <c r="AB34" t="str">
        <f t="shared" si="7"/>
        <v>road-reinforced_road-wood-steel</v>
      </c>
      <c r="AE34" t="s">
        <v>1685</v>
      </c>
    </row>
    <row r="35" spans="1:31" x14ac:dyDescent="0.3">
      <c r="A35" t="s">
        <v>9</v>
      </c>
      <c r="B35" t="s">
        <v>60</v>
      </c>
      <c r="C35" t="s">
        <v>29</v>
      </c>
      <c r="D35" t="s">
        <v>21</v>
      </c>
      <c r="E35" s="16" t="s">
        <v>272</v>
      </c>
      <c r="F35" s="16">
        <v>2</v>
      </c>
      <c r="G35" t="s">
        <v>1524</v>
      </c>
      <c r="H35" t="s">
        <v>282</v>
      </c>
      <c r="I35" t="s">
        <v>342</v>
      </c>
      <c r="J35" t="s">
        <v>344</v>
      </c>
      <c r="L35" t="str">
        <f t="shared" si="1"/>
        <v>continuous/fully_connected</v>
      </c>
      <c r="M35" t="str">
        <f t="shared" si="2"/>
        <v>arch + standard_truss</v>
      </c>
      <c r="N35" t="str">
        <f t="shared" si="0"/>
        <v>bottom_structure + 2anc</v>
      </c>
      <c r="O35" t="s">
        <v>1684</v>
      </c>
      <c r="R35" t="s">
        <v>737</v>
      </c>
      <c r="S35" t="s">
        <v>292</v>
      </c>
      <c r="T35" t="s">
        <v>293</v>
      </c>
      <c r="U35" t="s">
        <v>292</v>
      </c>
      <c r="V35" t="s">
        <v>292</v>
      </c>
      <c r="W35" t="s">
        <v>293</v>
      </c>
      <c r="X35" t="str">
        <f t="shared" si="3"/>
        <v>road-</v>
      </c>
      <c r="Y35" t="str">
        <f t="shared" si="4"/>
        <v/>
      </c>
      <c r="Z35" t="str">
        <f t="shared" si="5"/>
        <v>wood-</v>
      </c>
      <c r="AA35" t="str">
        <f t="shared" si="6"/>
        <v>steel</v>
      </c>
      <c r="AB35" t="str">
        <f t="shared" si="7"/>
        <v>road-wood-steel</v>
      </c>
      <c r="AE35" t="s">
        <v>1684</v>
      </c>
    </row>
    <row r="36" spans="1:31" x14ac:dyDescent="0.3">
      <c r="A36" t="s">
        <v>9</v>
      </c>
      <c r="B36" t="s">
        <v>60</v>
      </c>
      <c r="C36" t="s">
        <v>29</v>
      </c>
      <c r="D36" t="s">
        <v>19</v>
      </c>
      <c r="E36" s="16" t="s">
        <v>273</v>
      </c>
      <c r="F36" s="16">
        <v>2</v>
      </c>
      <c r="G36" t="s">
        <v>1525</v>
      </c>
      <c r="H36" t="s">
        <v>283</v>
      </c>
      <c r="I36" t="s">
        <v>1567</v>
      </c>
      <c r="J36" t="s">
        <v>344</v>
      </c>
      <c r="L36" t="str">
        <f t="shared" si="1"/>
        <v>missing_section/right</v>
      </c>
      <c r="M36" t="str">
        <f t="shared" si="2"/>
        <v>inclined + standard_truss</v>
      </c>
      <c r="N36" t="str">
        <f t="shared" si="0"/>
        <v>top_structure/rock_structure + 2anc</v>
      </c>
      <c r="O36" t="s">
        <v>1686</v>
      </c>
      <c r="R36" t="s">
        <v>738</v>
      </c>
      <c r="S36" t="s">
        <v>293</v>
      </c>
      <c r="T36" t="s">
        <v>292</v>
      </c>
      <c r="U36" t="s">
        <v>292</v>
      </c>
      <c r="V36" t="s">
        <v>292</v>
      </c>
      <c r="W36" t="s">
        <v>293</v>
      </c>
      <c r="X36" t="str">
        <f t="shared" si="3"/>
        <v/>
      </c>
      <c r="Y36" t="str">
        <f t="shared" si="4"/>
        <v>reinforced_road-</v>
      </c>
      <c r="Z36" t="str">
        <f t="shared" si="5"/>
        <v>wood-</v>
      </c>
      <c r="AA36" t="str">
        <f t="shared" si="6"/>
        <v>steel</v>
      </c>
      <c r="AB36" t="str">
        <f t="shared" si="7"/>
        <v>reinforced_road-wood-steel</v>
      </c>
      <c r="AE36" t="s">
        <v>1686</v>
      </c>
    </row>
    <row r="37" spans="1:31" x14ac:dyDescent="0.3">
      <c r="A37" t="s">
        <v>9</v>
      </c>
      <c r="B37" t="s">
        <v>60</v>
      </c>
      <c r="C37" t="s">
        <v>29</v>
      </c>
      <c r="D37" t="s">
        <v>17</v>
      </c>
      <c r="E37" s="16" t="s">
        <v>272</v>
      </c>
      <c r="F37" s="16">
        <v>2</v>
      </c>
      <c r="G37" t="s">
        <v>1524</v>
      </c>
      <c r="H37" t="s">
        <v>282</v>
      </c>
      <c r="I37" t="s">
        <v>341</v>
      </c>
      <c r="J37" t="s">
        <v>344</v>
      </c>
      <c r="L37" t="str">
        <f t="shared" si="1"/>
        <v>continuous/fully_connected</v>
      </c>
      <c r="M37" t="str">
        <f t="shared" si="2"/>
        <v>arch + standard_truss</v>
      </c>
      <c r="N37" t="str">
        <f t="shared" si="0"/>
        <v>top_structure + 2anc</v>
      </c>
      <c r="O37" t="s">
        <v>1693</v>
      </c>
      <c r="R37" t="s">
        <v>739</v>
      </c>
      <c r="S37" t="s">
        <v>293</v>
      </c>
      <c r="T37" t="s">
        <v>292</v>
      </c>
      <c r="U37" t="s">
        <v>292</v>
      </c>
      <c r="V37" t="s">
        <v>293</v>
      </c>
      <c r="W37" t="s">
        <v>293</v>
      </c>
      <c r="X37" t="str">
        <f t="shared" si="3"/>
        <v/>
      </c>
      <c r="Y37" t="str">
        <f t="shared" si="4"/>
        <v>reinforced_road-</v>
      </c>
      <c r="Z37" t="str">
        <f t="shared" si="5"/>
        <v>wood-</v>
      </c>
      <c r="AA37" t="str">
        <f t="shared" si="6"/>
        <v/>
      </c>
      <c r="AB37" t="str">
        <f t="shared" si="7"/>
        <v>reinforced_road-wood-</v>
      </c>
      <c r="AE37" t="s">
        <v>1693</v>
      </c>
    </row>
    <row r="38" spans="1:31" x14ac:dyDescent="0.3">
      <c r="A38" t="s">
        <v>9</v>
      </c>
      <c r="B38" t="s">
        <v>60</v>
      </c>
      <c r="C38" t="s">
        <v>29</v>
      </c>
      <c r="D38" t="s">
        <v>20</v>
      </c>
      <c r="E38" s="16" t="s">
        <v>272</v>
      </c>
      <c r="F38" s="16">
        <v>2</v>
      </c>
      <c r="G38" t="s">
        <v>1524</v>
      </c>
      <c r="H38" t="s">
        <v>1542</v>
      </c>
      <c r="I38" t="s">
        <v>341</v>
      </c>
      <c r="J38" t="s">
        <v>344</v>
      </c>
      <c r="L38" t="str">
        <f t="shared" si="1"/>
        <v>continuous/fully_connected</v>
      </c>
      <c r="M38" t="str">
        <f t="shared" si="2"/>
        <v>inclined/declined + standard_truss</v>
      </c>
      <c r="N38" t="str">
        <f t="shared" si="0"/>
        <v>top_structure + 2anc</v>
      </c>
      <c r="O38" t="s">
        <v>1686</v>
      </c>
      <c r="R38" t="s">
        <v>740</v>
      </c>
      <c r="S38" t="s">
        <v>293</v>
      </c>
      <c r="T38" t="s">
        <v>292</v>
      </c>
      <c r="U38" t="s">
        <v>292</v>
      </c>
      <c r="V38" t="s">
        <v>292</v>
      </c>
      <c r="W38" t="s">
        <v>293</v>
      </c>
      <c r="X38" t="str">
        <f t="shared" si="3"/>
        <v/>
      </c>
      <c r="Y38" t="str">
        <f t="shared" si="4"/>
        <v>reinforced_road-</v>
      </c>
      <c r="Z38" t="str">
        <f t="shared" si="5"/>
        <v>wood-</v>
      </c>
      <c r="AA38" t="str">
        <f t="shared" si="6"/>
        <v>steel</v>
      </c>
      <c r="AB38" t="str">
        <f t="shared" si="7"/>
        <v>reinforced_road-wood-steel</v>
      </c>
      <c r="AE38" t="s">
        <v>1686</v>
      </c>
    </row>
    <row r="39" spans="1:31" x14ac:dyDescent="0.3">
      <c r="A39" t="s">
        <v>9</v>
      </c>
      <c r="B39" t="s">
        <v>60</v>
      </c>
      <c r="C39" t="s">
        <v>29</v>
      </c>
      <c r="D39" t="s">
        <v>22</v>
      </c>
      <c r="E39" s="16" t="s">
        <v>272</v>
      </c>
      <c r="F39" s="16">
        <v>3</v>
      </c>
      <c r="G39" t="s">
        <v>1524</v>
      </c>
      <c r="H39" t="s">
        <v>282</v>
      </c>
      <c r="I39" t="s">
        <v>1567</v>
      </c>
      <c r="J39" t="s">
        <v>344</v>
      </c>
      <c r="L39" t="str">
        <f t="shared" si="1"/>
        <v>continuous/fully_connected</v>
      </c>
      <c r="M39" t="str">
        <f t="shared" si="2"/>
        <v>arch + standard_truss</v>
      </c>
      <c r="N39" t="str">
        <f t="shared" si="0"/>
        <v>top_structure/rock_structure + 3anc</v>
      </c>
      <c r="O39" t="s">
        <v>1686</v>
      </c>
      <c r="R39" t="s">
        <v>741</v>
      </c>
      <c r="S39" t="s">
        <v>293</v>
      </c>
      <c r="T39" t="s">
        <v>292</v>
      </c>
      <c r="U39" t="s">
        <v>292</v>
      </c>
      <c r="V39" t="s">
        <v>292</v>
      </c>
      <c r="W39" t="s">
        <v>293</v>
      </c>
      <c r="X39" t="str">
        <f t="shared" si="3"/>
        <v/>
      </c>
      <c r="Y39" t="str">
        <f t="shared" si="4"/>
        <v>reinforced_road-</v>
      </c>
      <c r="Z39" t="str">
        <f t="shared" si="5"/>
        <v>wood-</v>
      </c>
      <c r="AA39" t="str">
        <f t="shared" si="6"/>
        <v>steel</v>
      </c>
      <c r="AB39" t="str">
        <f t="shared" si="7"/>
        <v>reinforced_road-wood-steel</v>
      </c>
      <c r="AE39" t="s">
        <v>1686</v>
      </c>
    </row>
    <row r="40" spans="1:31" x14ac:dyDescent="0.3">
      <c r="A40" t="s">
        <v>45</v>
      </c>
      <c r="B40" t="s">
        <v>53</v>
      </c>
      <c r="C40" t="s">
        <v>12</v>
      </c>
      <c r="D40" t="s">
        <v>15</v>
      </c>
      <c r="E40" s="16" t="s">
        <v>272</v>
      </c>
      <c r="F40" s="16">
        <v>3</v>
      </c>
      <c r="G40" t="s">
        <v>1524</v>
      </c>
      <c r="H40" t="s">
        <v>282</v>
      </c>
      <c r="I40" t="s">
        <v>1567</v>
      </c>
      <c r="J40" t="s">
        <v>344</v>
      </c>
      <c r="L40" t="str">
        <f t="shared" si="1"/>
        <v>continuous/fully_connected</v>
      </c>
      <c r="M40" t="str">
        <f t="shared" si="2"/>
        <v>arch + standard_truss</v>
      </c>
      <c r="N40" t="str">
        <f t="shared" si="0"/>
        <v>top_structure/rock_structure + 3anc</v>
      </c>
      <c r="O40" t="s">
        <v>1684</v>
      </c>
      <c r="R40" t="s">
        <v>742</v>
      </c>
      <c r="S40" t="s">
        <v>292</v>
      </c>
      <c r="T40" t="s">
        <v>293</v>
      </c>
      <c r="U40" t="s">
        <v>292</v>
      </c>
      <c r="V40" t="s">
        <v>292</v>
      </c>
      <c r="W40" t="s">
        <v>293</v>
      </c>
      <c r="X40" t="str">
        <f t="shared" si="3"/>
        <v>road-</v>
      </c>
      <c r="Y40" t="str">
        <f t="shared" si="4"/>
        <v/>
      </c>
      <c r="Z40" t="str">
        <f t="shared" si="5"/>
        <v>wood-</v>
      </c>
      <c r="AA40" t="str">
        <f t="shared" si="6"/>
        <v>steel</v>
      </c>
      <c r="AB40" t="str">
        <f t="shared" si="7"/>
        <v>road-wood-steel</v>
      </c>
      <c r="AE40" t="s">
        <v>1684</v>
      </c>
    </row>
    <row r="41" spans="1:31" x14ac:dyDescent="0.3">
      <c r="A41" t="s">
        <v>45</v>
      </c>
      <c r="B41" t="s">
        <v>53</v>
      </c>
      <c r="C41" t="s">
        <v>12</v>
      </c>
      <c r="D41" t="s">
        <v>14</v>
      </c>
      <c r="E41" s="16" t="s">
        <v>272</v>
      </c>
      <c r="F41" s="16">
        <v>3</v>
      </c>
      <c r="G41" t="s">
        <v>1524</v>
      </c>
      <c r="H41" t="s">
        <v>282</v>
      </c>
      <c r="I41" t="s">
        <v>1567</v>
      </c>
      <c r="J41" t="s">
        <v>344</v>
      </c>
      <c r="L41" t="str">
        <f t="shared" si="1"/>
        <v>continuous/fully_connected</v>
      </c>
      <c r="M41" t="str">
        <f t="shared" si="2"/>
        <v>arch + standard_truss</v>
      </c>
      <c r="N41" t="str">
        <f t="shared" si="0"/>
        <v>top_structure/rock_structure + 3anc</v>
      </c>
      <c r="O41" t="s">
        <v>1684</v>
      </c>
      <c r="R41" t="s">
        <v>743</v>
      </c>
      <c r="S41" t="s">
        <v>292</v>
      </c>
      <c r="T41" t="s">
        <v>293</v>
      </c>
      <c r="U41" t="s">
        <v>292</v>
      </c>
      <c r="V41" t="s">
        <v>292</v>
      </c>
      <c r="W41" t="s">
        <v>293</v>
      </c>
      <c r="X41" t="str">
        <f t="shared" si="3"/>
        <v>road-</v>
      </c>
      <c r="Y41" t="str">
        <f t="shared" si="4"/>
        <v/>
      </c>
      <c r="Z41" t="str">
        <f t="shared" si="5"/>
        <v>wood-</v>
      </c>
      <c r="AA41" t="str">
        <f t="shared" si="6"/>
        <v>steel</v>
      </c>
      <c r="AB41" t="str">
        <f t="shared" si="7"/>
        <v>road-wood-steel</v>
      </c>
      <c r="AE41" t="s">
        <v>1684</v>
      </c>
    </row>
    <row r="42" spans="1:31" x14ac:dyDescent="0.3">
      <c r="A42" t="s">
        <v>45</v>
      </c>
      <c r="B42" t="s">
        <v>53</v>
      </c>
      <c r="C42" t="s">
        <v>12</v>
      </c>
      <c r="D42" t="s">
        <v>11</v>
      </c>
      <c r="E42" s="16" t="s">
        <v>272</v>
      </c>
      <c r="F42" s="16">
        <v>3</v>
      </c>
      <c r="G42" t="s">
        <v>1524</v>
      </c>
      <c r="H42" t="s">
        <v>1540</v>
      </c>
      <c r="I42" t="s">
        <v>1567</v>
      </c>
      <c r="J42" t="s">
        <v>344</v>
      </c>
      <c r="L42" t="str">
        <f t="shared" si="1"/>
        <v>continuous/fully_connected</v>
      </c>
      <c r="M42" t="str">
        <f t="shared" si="2"/>
        <v>inclined/arch + standard_truss</v>
      </c>
      <c r="N42" t="str">
        <f t="shared" si="0"/>
        <v>top_structure/rock_structure + 3anc</v>
      </c>
      <c r="O42" t="s">
        <v>1684</v>
      </c>
      <c r="R42" t="s">
        <v>744</v>
      </c>
      <c r="S42" t="s">
        <v>292</v>
      </c>
      <c r="T42" t="s">
        <v>293</v>
      </c>
      <c r="U42" t="s">
        <v>292</v>
      </c>
      <c r="V42" t="s">
        <v>292</v>
      </c>
      <c r="W42" t="s">
        <v>293</v>
      </c>
      <c r="X42" t="str">
        <f t="shared" si="3"/>
        <v>road-</v>
      </c>
      <c r="Y42" t="str">
        <f t="shared" si="4"/>
        <v/>
      </c>
      <c r="Z42" t="str">
        <f t="shared" si="5"/>
        <v>wood-</v>
      </c>
      <c r="AA42" t="str">
        <f t="shared" si="6"/>
        <v>steel</v>
      </c>
      <c r="AB42" t="str">
        <f t="shared" si="7"/>
        <v>road-wood-steel</v>
      </c>
      <c r="AE42" t="s">
        <v>1684</v>
      </c>
    </row>
    <row r="43" spans="1:31" x14ac:dyDescent="0.3">
      <c r="A43" t="s">
        <v>45</v>
      </c>
      <c r="B43" t="s">
        <v>53</v>
      </c>
      <c r="C43" t="s">
        <v>12</v>
      </c>
      <c r="D43" t="s">
        <v>16</v>
      </c>
      <c r="E43" s="16" t="s">
        <v>272</v>
      </c>
      <c r="F43" s="16">
        <v>3</v>
      </c>
      <c r="G43" t="s">
        <v>1524</v>
      </c>
      <c r="H43" t="s">
        <v>282</v>
      </c>
      <c r="I43" t="s">
        <v>1568</v>
      </c>
      <c r="J43" t="s">
        <v>291</v>
      </c>
      <c r="L43" t="str">
        <f t="shared" si="1"/>
        <v>continuous/fully_connected</v>
      </c>
      <c r="M43" t="str">
        <f t="shared" si="2"/>
        <v>arch + other</v>
      </c>
      <c r="N43" t="str">
        <f t="shared" si="0"/>
        <v>bottom_structure/rock_structure + 3anc</v>
      </c>
      <c r="O43" t="s">
        <v>1684</v>
      </c>
      <c r="R43" t="s">
        <v>745</v>
      </c>
      <c r="S43" t="s">
        <v>292</v>
      </c>
      <c r="T43" t="s">
        <v>293</v>
      </c>
      <c r="U43" t="s">
        <v>292</v>
      </c>
      <c r="V43" t="s">
        <v>292</v>
      </c>
      <c r="W43" t="s">
        <v>293</v>
      </c>
      <c r="X43" t="str">
        <f t="shared" si="3"/>
        <v>road-</v>
      </c>
      <c r="Y43" t="str">
        <f t="shared" si="4"/>
        <v/>
      </c>
      <c r="Z43" t="str">
        <f t="shared" si="5"/>
        <v>wood-</v>
      </c>
      <c r="AA43" t="str">
        <f t="shared" si="6"/>
        <v>steel</v>
      </c>
      <c r="AB43" t="str">
        <f t="shared" si="7"/>
        <v>road-wood-steel</v>
      </c>
      <c r="AE43" t="s">
        <v>1684</v>
      </c>
    </row>
    <row r="44" spans="1:31" x14ac:dyDescent="0.3">
      <c r="A44" t="s">
        <v>45</v>
      </c>
      <c r="B44" t="s">
        <v>53</v>
      </c>
      <c r="C44" t="s">
        <v>29</v>
      </c>
      <c r="D44" t="s">
        <v>19</v>
      </c>
      <c r="E44" s="16" t="s">
        <v>272</v>
      </c>
      <c r="F44" s="16">
        <v>3</v>
      </c>
      <c r="G44" t="s">
        <v>1524</v>
      </c>
      <c r="H44" t="s">
        <v>282</v>
      </c>
      <c r="I44" t="s">
        <v>343</v>
      </c>
      <c r="J44" t="s">
        <v>291</v>
      </c>
      <c r="L44" t="str">
        <f t="shared" si="1"/>
        <v>continuous/fully_connected</v>
      </c>
      <c r="M44" t="str">
        <f t="shared" si="2"/>
        <v>arch + other</v>
      </c>
      <c r="N44" t="str">
        <f t="shared" si="0"/>
        <v>rock_structure + 3anc</v>
      </c>
      <c r="O44" t="s">
        <v>1687</v>
      </c>
      <c r="R44" t="s">
        <v>746</v>
      </c>
      <c r="S44" t="s">
        <v>292</v>
      </c>
      <c r="T44" t="s">
        <v>293</v>
      </c>
      <c r="U44" t="s">
        <v>293</v>
      </c>
      <c r="V44" t="s">
        <v>292</v>
      </c>
      <c r="W44" t="s">
        <v>293</v>
      </c>
      <c r="X44" t="str">
        <f t="shared" si="3"/>
        <v>road-</v>
      </c>
      <c r="Y44" t="str">
        <f t="shared" si="4"/>
        <v/>
      </c>
      <c r="Z44" t="str">
        <f t="shared" si="5"/>
        <v/>
      </c>
      <c r="AA44" t="str">
        <f t="shared" si="6"/>
        <v>steel</v>
      </c>
      <c r="AB44" t="str">
        <f t="shared" si="7"/>
        <v>road-steel</v>
      </c>
      <c r="AE44" t="s">
        <v>1687</v>
      </c>
    </row>
    <row r="45" spans="1:31" x14ac:dyDescent="0.3">
      <c r="A45" t="s">
        <v>45</v>
      </c>
      <c r="B45" t="s">
        <v>53</v>
      </c>
      <c r="C45" t="s">
        <v>29</v>
      </c>
      <c r="D45" t="s">
        <v>17</v>
      </c>
      <c r="E45" s="16" t="s">
        <v>272</v>
      </c>
      <c r="F45" s="16">
        <v>3</v>
      </c>
      <c r="G45" t="s">
        <v>1524</v>
      </c>
      <c r="H45" t="s">
        <v>1658</v>
      </c>
      <c r="I45" t="s">
        <v>1567</v>
      </c>
      <c r="J45" t="s">
        <v>344</v>
      </c>
      <c r="L45" t="str">
        <f t="shared" si="1"/>
        <v>continuous/fully_connected</v>
      </c>
      <c r="M45" t="str">
        <f t="shared" si="2"/>
        <v>other_shape + standard_truss</v>
      </c>
      <c r="N45" t="str">
        <f t="shared" si="0"/>
        <v>top_structure/rock_structure + 3anc</v>
      </c>
      <c r="O45" t="s">
        <v>1684</v>
      </c>
      <c r="R45" t="s">
        <v>747</v>
      </c>
      <c r="S45" t="s">
        <v>292</v>
      </c>
      <c r="T45" t="s">
        <v>293</v>
      </c>
      <c r="U45" t="s">
        <v>292</v>
      </c>
      <c r="V45" t="s">
        <v>292</v>
      </c>
      <c r="W45" t="s">
        <v>293</v>
      </c>
      <c r="X45" t="str">
        <f t="shared" si="3"/>
        <v>road-</v>
      </c>
      <c r="Y45" t="str">
        <f t="shared" si="4"/>
        <v/>
      </c>
      <c r="Z45" t="str">
        <f t="shared" si="5"/>
        <v>wood-</v>
      </c>
      <c r="AA45" t="str">
        <f t="shared" si="6"/>
        <v>steel</v>
      </c>
      <c r="AB45" t="str">
        <f t="shared" si="7"/>
        <v>road-wood-steel</v>
      </c>
      <c r="AE45" t="s">
        <v>1684</v>
      </c>
    </row>
    <row r="46" spans="1:31" x14ac:dyDescent="0.3">
      <c r="A46" t="s">
        <v>9</v>
      </c>
      <c r="B46" t="s">
        <v>76</v>
      </c>
      <c r="C46" t="s">
        <v>12</v>
      </c>
      <c r="D46" t="s">
        <v>15</v>
      </c>
      <c r="E46" s="16" t="s">
        <v>272</v>
      </c>
      <c r="F46" s="16">
        <v>3</v>
      </c>
      <c r="G46" t="s">
        <v>334</v>
      </c>
      <c r="H46" t="s">
        <v>334</v>
      </c>
      <c r="I46" t="s">
        <v>1566</v>
      </c>
      <c r="J46" t="s">
        <v>291</v>
      </c>
      <c r="L46" t="str">
        <f t="shared" si="1"/>
        <v>no_deck</v>
      </c>
      <c r="M46" t="str">
        <f t="shared" si="2"/>
        <v>no_deck + other</v>
      </c>
      <c r="N46" t="str">
        <f t="shared" si="0"/>
        <v>top_structure/bottom_structure/rock_structure + 3anc</v>
      </c>
      <c r="O46" t="s">
        <v>1689</v>
      </c>
      <c r="R46" t="s">
        <v>748</v>
      </c>
      <c r="S46" t="s">
        <v>293</v>
      </c>
      <c r="T46" t="s">
        <v>293</v>
      </c>
      <c r="U46" t="s">
        <v>292</v>
      </c>
      <c r="V46" t="s">
        <v>292</v>
      </c>
      <c r="W46" t="s">
        <v>293</v>
      </c>
      <c r="X46" t="str">
        <f t="shared" si="3"/>
        <v/>
      </c>
      <c r="Y46" t="str">
        <f t="shared" si="4"/>
        <v/>
      </c>
      <c r="Z46" t="str">
        <f t="shared" si="5"/>
        <v>wood-</v>
      </c>
      <c r="AA46" t="str">
        <f t="shared" si="6"/>
        <v>steel</v>
      </c>
      <c r="AB46" t="str">
        <f t="shared" si="7"/>
        <v>wood-steel</v>
      </c>
      <c r="AE46" t="s">
        <v>1689</v>
      </c>
    </row>
    <row r="47" spans="1:31" x14ac:dyDescent="0.3">
      <c r="A47" t="s">
        <v>9</v>
      </c>
      <c r="B47" t="s">
        <v>76</v>
      </c>
      <c r="C47" t="s">
        <v>12</v>
      </c>
      <c r="D47" t="s">
        <v>14</v>
      </c>
      <c r="E47" s="16" t="s">
        <v>272</v>
      </c>
      <c r="F47" s="16">
        <v>3</v>
      </c>
      <c r="G47" t="s">
        <v>1524</v>
      </c>
      <c r="H47" t="s">
        <v>1537</v>
      </c>
      <c r="I47" t="s">
        <v>1567</v>
      </c>
      <c r="J47" t="s">
        <v>1570</v>
      </c>
      <c r="L47" t="str">
        <f t="shared" si="1"/>
        <v>continuous/fully_connected</v>
      </c>
      <c r="M47" t="str">
        <f t="shared" si="2"/>
        <v>arch/straight + standard_truss/other</v>
      </c>
      <c r="N47" t="str">
        <f t="shared" si="0"/>
        <v>top_structure/rock_structure + 3anc</v>
      </c>
      <c r="O47" t="s">
        <v>1686</v>
      </c>
      <c r="R47" t="s">
        <v>749</v>
      </c>
      <c r="S47" t="s">
        <v>293</v>
      </c>
      <c r="T47" t="s">
        <v>292</v>
      </c>
      <c r="U47" t="s">
        <v>292</v>
      </c>
      <c r="V47" t="s">
        <v>292</v>
      </c>
      <c r="W47" t="s">
        <v>293</v>
      </c>
      <c r="X47" t="str">
        <f t="shared" si="3"/>
        <v/>
      </c>
      <c r="Y47" t="str">
        <f t="shared" si="4"/>
        <v>reinforced_road-</v>
      </c>
      <c r="Z47" t="str">
        <f t="shared" si="5"/>
        <v>wood-</v>
      </c>
      <c r="AA47" t="str">
        <f t="shared" si="6"/>
        <v>steel</v>
      </c>
      <c r="AB47" t="str">
        <f t="shared" si="7"/>
        <v>reinforced_road-wood-steel</v>
      </c>
      <c r="AE47" t="s">
        <v>1686</v>
      </c>
    </row>
    <row r="48" spans="1:31" x14ac:dyDescent="0.3">
      <c r="A48" t="s">
        <v>9</v>
      </c>
      <c r="B48" t="s">
        <v>76</v>
      </c>
      <c r="C48" t="s">
        <v>12</v>
      </c>
      <c r="D48" t="s">
        <v>11</v>
      </c>
      <c r="E48" s="16" t="s">
        <v>272</v>
      </c>
      <c r="F48" s="16">
        <v>3</v>
      </c>
      <c r="G48" t="s">
        <v>1524</v>
      </c>
      <c r="H48" t="s">
        <v>282</v>
      </c>
      <c r="I48" t="s">
        <v>1567</v>
      </c>
      <c r="J48" t="s">
        <v>344</v>
      </c>
      <c r="L48" t="str">
        <f t="shared" si="1"/>
        <v>continuous/fully_connected</v>
      </c>
      <c r="M48" t="str">
        <f t="shared" si="2"/>
        <v>arch + standard_truss</v>
      </c>
      <c r="N48" t="str">
        <f t="shared" si="0"/>
        <v>top_structure/rock_structure + 3anc</v>
      </c>
      <c r="O48" t="s">
        <v>1684</v>
      </c>
      <c r="R48" t="s">
        <v>750</v>
      </c>
      <c r="S48" t="s">
        <v>292</v>
      </c>
      <c r="T48" t="s">
        <v>293</v>
      </c>
      <c r="U48" t="s">
        <v>292</v>
      </c>
      <c r="V48" t="s">
        <v>292</v>
      </c>
      <c r="W48" t="s">
        <v>293</v>
      </c>
      <c r="X48" t="str">
        <f t="shared" si="3"/>
        <v>road-</v>
      </c>
      <c r="Y48" t="str">
        <f t="shared" si="4"/>
        <v/>
      </c>
      <c r="Z48" t="str">
        <f t="shared" si="5"/>
        <v>wood-</v>
      </c>
      <c r="AA48" t="str">
        <f t="shared" si="6"/>
        <v>steel</v>
      </c>
      <c r="AB48" t="str">
        <f t="shared" si="7"/>
        <v>road-wood-steel</v>
      </c>
      <c r="AE48" t="s">
        <v>1684</v>
      </c>
    </row>
    <row r="49" spans="1:31" x14ac:dyDescent="0.3">
      <c r="A49" t="s">
        <v>9</v>
      </c>
      <c r="B49" t="s">
        <v>76</v>
      </c>
      <c r="C49" t="s">
        <v>12</v>
      </c>
      <c r="D49" t="s">
        <v>19</v>
      </c>
      <c r="E49" s="16" t="s">
        <v>272</v>
      </c>
      <c r="F49" s="16">
        <v>3</v>
      </c>
      <c r="G49" t="s">
        <v>1524</v>
      </c>
      <c r="H49" t="s">
        <v>282</v>
      </c>
      <c r="I49" t="s">
        <v>1566</v>
      </c>
      <c r="J49" t="s">
        <v>1621</v>
      </c>
      <c r="L49" t="str">
        <f t="shared" si="1"/>
        <v>continuous/fully_connected</v>
      </c>
      <c r="M49" t="str">
        <f t="shared" si="2"/>
        <v>arch + other_truss/other</v>
      </c>
      <c r="N49" t="str">
        <f t="shared" si="0"/>
        <v>top_structure/bottom_structure/rock_structure + 3anc</v>
      </c>
      <c r="O49" t="s">
        <v>1684</v>
      </c>
      <c r="R49" t="s">
        <v>751</v>
      </c>
      <c r="S49" t="s">
        <v>292</v>
      </c>
      <c r="T49" t="s">
        <v>293</v>
      </c>
      <c r="U49" t="s">
        <v>292</v>
      </c>
      <c r="V49" t="s">
        <v>292</v>
      </c>
      <c r="W49" t="s">
        <v>293</v>
      </c>
      <c r="X49" t="str">
        <f t="shared" si="3"/>
        <v>road-</v>
      </c>
      <c r="Y49" t="str">
        <f t="shared" si="4"/>
        <v/>
      </c>
      <c r="Z49" t="str">
        <f t="shared" si="5"/>
        <v>wood-</v>
      </c>
      <c r="AA49" t="str">
        <f t="shared" si="6"/>
        <v>steel</v>
      </c>
      <c r="AB49" t="str">
        <f t="shared" si="7"/>
        <v>road-wood-steel</v>
      </c>
      <c r="AE49" t="s">
        <v>1684</v>
      </c>
    </row>
    <row r="50" spans="1:31" x14ac:dyDescent="0.3">
      <c r="A50" t="s">
        <v>9</v>
      </c>
      <c r="B50" t="s">
        <v>76</v>
      </c>
      <c r="C50" t="s">
        <v>12</v>
      </c>
      <c r="D50" t="s">
        <v>17</v>
      </c>
      <c r="E50" s="16" t="s">
        <v>272</v>
      </c>
      <c r="F50" s="16">
        <v>3</v>
      </c>
      <c r="G50" t="s">
        <v>1524</v>
      </c>
      <c r="H50" t="s">
        <v>282</v>
      </c>
      <c r="I50" t="s">
        <v>1567</v>
      </c>
      <c r="J50" t="s">
        <v>347</v>
      </c>
      <c r="L50" t="str">
        <f t="shared" si="1"/>
        <v>continuous/fully_connected</v>
      </c>
      <c r="M50" t="str">
        <f t="shared" si="2"/>
        <v>arch + other_truss</v>
      </c>
      <c r="N50" t="str">
        <f t="shared" si="0"/>
        <v>top_structure/rock_structure + 3anc</v>
      </c>
      <c r="O50" t="s">
        <v>1684</v>
      </c>
      <c r="R50" t="s">
        <v>752</v>
      </c>
      <c r="S50" t="s">
        <v>292</v>
      </c>
      <c r="T50" t="s">
        <v>293</v>
      </c>
      <c r="U50" t="s">
        <v>292</v>
      </c>
      <c r="V50" t="s">
        <v>292</v>
      </c>
      <c r="W50" t="s">
        <v>293</v>
      </c>
      <c r="X50" t="str">
        <f t="shared" si="3"/>
        <v>road-</v>
      </c>
      <c r="Y50" t="str">
        <f t="shared" si="4"/>
        <v/>
      </c>
      <c r="Z50" t="str">
        <f t="shared" si="5"/>
        <v>wood-</v>
      </c>
      <c r="AA50" t="str">
        <f t="shared" si="6"/>
        <v>steel</v>
      </c>
      <c r="AB50" t="str">
        <f t="shared" si="7"/>
        <v>road-wood-steel</v>
      </c>
      <c r="AE50" t="s">
        <v>1684</v>
      </c>
    </row>
    <row r="51" spans="1:31" x14ac:dyDescent="0.3">
      <c r="A51" t="s">
        <v>9</v>
      </c>
      <c r="B51" t="s">
        <v>76</v>
      </c>
      <c r="C51" t="s">
        <v>12</v>
      </c>
      <c r="D51" t="s">
        <v>16</v>
      </c>
      <c r="E51" s="16" t="s">
        <v>272</v>
      </c>
      <c r="F51" s="16">
        <v>3</v>
      </c>
      <c r="G51" t="s">
        <v>1524</v>
      </c>
      <c r="H51" t="s">
        <v>282</v>
      </c>
      <c r="I51" t="s">
        <v>1567</v>
      </c>
      <c r="J51" t="s">
        <v>291</v>
      </c>
      <c r="L51" t="str">
        <f t="shared" si="1"/>
        <v>continuous/fully_connected</v>
      </c>
      <c r="M51" t="str">
        <f t="shared" si="2"/>
        <v>arch + other</v>
      </c>
      <c r="N51" t="str">
        <f t="shared" si="0"/>
        <v>top_structure/rock_structure + 3anc</v>
      </c>
      <c r="O51" t="s">
        <v>1684</v>
      </c>
      <c r="R51" t="s">
        <v>753</v>
      </c>
      <c r="S51" t="s">
        <v>292</v>
      </c>
      <c r="T51" t="s">
        <v>293</v>
      </c>
      <c r="U51" t="s">
        <v>292</v>
      </c>
      <c r="V51" t="s">
        <v>292</v>
      </c>
      <c r="W51" t="s">
        <v>293</v>
      </c>
      <c r="X51" t="str">
        <f t="shared" si="3"/>
        <v>road-</v>
      </c>
      <c r="Y51" t="str">
        <f t="shared" si="4"/>
        <v/>
      </c>
      <c r="Z51" t="str">
        <f t="shared" si="5"/>
        <v>wood-</v>
      </c>
      <c r="AA51" t="str">
        <f t="shared" si="6"/>
        <v>steel</v>
      </c>
      <c r="AB51" t="str">
        <f t="shared" si="7"/>
        <v>road-wood-steel</v>
      </c>
      <c r="AE51" t="s">
        <v>1684</v>
      </c>
    </row>
    <row r="52" spans="1:31" x14ac:dyDescent="0.3">
      <c r="A52" t="s">
        <v>9</v>
      </c>
      <c r="B52" t="s">
        <v>76</v>
      </c>
      <c r="C52" t="s">
        <v>12</v>
      </c>
      <c r="D52" t="s">
        <v>20</v>
      </c>
      <c r="E52" s="16" t="s">
        <v>272</v>
      </c>
      <c r="F52" s="16">
        <v>3</v>
      </c>
      <c r="G52" t="s">
        <v>1524</v>
      </c>
      <c r="H52" t="s">
        <v>1534</v>
      </c>
      <c r="I52" t="s">
        <v>341</v>
      </c>
      <c r="J52" t="s">
        <v>344</v>
      </c>
      <c r="L52" t="str">
        <f t="shared" si="1"/>
        <v>continuous/fully_connected</v>
      </c>
      <c r="M52" t="str">
        <f t="shared" si="2"/>
        <v>arch/declined + standard_truss</v>
      </c>
      <c r="N52" t="str">
        <f t="shared" si="0"/>
        <v>top_structure + 3anc</v>
      </c>
      <c r="O52" t="s">
        <v>1692</v>
      </c>
      <c r="R52" t="s">
        <v>754</v>
      </c>
      <c r="S52" t="s">
        <v>292</v>
      </c>
      <c r="T52" t="s">
        <v>293</v>
      </c>
      <c r="U52" t="s">
        <v>292</v>
      </c>
      <c r="V52" t="s">
        <v>293</v>
      </c>
      <c r="W52" t="s">
        <v>293</v>
      </c>
      <c r="X52" t="str">
        <f t="shared" si="3"/>
        <v>road-</v>
      </c>
      <c r="Y52" t="str">
        <f t="shared" si="4"/>
        <v/>
      </c>
      <c r="Z52" t="str">
        <f t="shared" si="5"/>
        <v>wood-</v>
      </c>
      <c r="AA52" t="str">
        <f t="shared" si="6"/>
        <v/>
      </c>
      <c r="AB52" t="str">
        <f t="shared" si="7"/>
        <v>road-wood-</v>
      </c>
      <c r="AE52" t="s">
        <v>1692</v>
      </c>
    </row>
    <row r="53" spans="1:31" x14ac:dyDescent="0.3">
      <c r="A53" t="s">
        <v>9</v>
      </c>
      <c r="B53" t="s">
        <v>76</v>
      </c>
      <c r="C53" t="s">
        <v>29</v>
      </c>
      <c r="D53" t="s">
        <v>23</v>
      </c>
      <c r="E53" s="16" t="s">
        <v>272</v>
      </c>
      <c r="F53" s="16">
        <v>3</v>
      </c>
      <c r="G53" t="s">
        <v>1524</v>
      </c>
      <c r="H53" t="s">
        <v>1540</v>
      </c>
      <c r="I53" t="s">
        <v>1568</v>
      </c>
      <c r="J53" t="s">
        <v>344</v>
      </c>
      <c r="L53" t="str">
        <f t="shared" si="1"/>
        <v>continuous/fully_connected</v>
      </c>
      <c r="M53" t="str">
        <f t="shared" si="2"/>
        <v>inclined/arch + standard_truss</v>
      </c>
      <c r="N53" t="str">
        <f t="shared" si="0"/>
        <v>bottom_structure/rock_structure + 3anc</v>
      </c>
      <c r="O53" t="s">
        <v>1684</v>
      </c>
      <c r="R53" t="s">
        <v>755</v>
      </c>
      <c r="S53" t="s">
        <v>292</v>
      </c>
      <c r="T53" t="s">
        <v>293</v>
      </c>
      <c r="U53" t="s">
        <v>292</v>
      </c>
      <c r="V53" t="s">
        <v>292</v>
      </c>
      <c r="W53" t="s">
        <v>293</v>
      </c>
      <c r="X53" t="str">
        <f t="shared" si="3"/>
        <v>road-</v>
      </c>
      <c r="Y53" t="str">
        <f t="shared" si="4"/>
        <v/>
      </c>
      <c r="Z53" t="str">
        <f t="shared" si="5"/>
        <v>wood-</v>
      </c>
      <c r="AA53" t="str">
        <f t="shared" si="6"/>
        <v>steel</v>
      </c>
      <c r="AB53" t="str">
        <f t="shared" si="7"/>
        <v>road-wood-steel</v>
      </c>
      <c r="AE53" t="s">
        <v>1684</v>
      </c>
    </row>
    <row r="54" spans="1:31" x14ac:dyDescent="0.3">
      <c r="A54" t="s">
        <v>9</v>
      </c>
      <c r="B54" t="s">
        <v>76</v>
      </c>
      <c r="C54" t="s">
        <v>29</v>
      </c>
      <c r="D54" t="s">
        <v>25</v>
      </c>
      <c r="E54" s="16" t="s">
        <v>272</v>
      </c>
      <c r="F54" s="16">
        <v>3</v>
      </c>
      <c r="G54" t="s">
        <v>1524</v>
      </c>
      <c r="H54" t="s">
        <v>282</v>
      </c>
      <c r="I54" t="s">
        <v>1568</v>
      </c>
      <c r="J54" t="s">
        <v>344</v>
      </c>
      <c r="L54" t="str">
        <f t="shared" si="1"/>
        <v>continuous/fully_connected</v>
      </c>
      <c r="M54" t="str">
        <f t="shared" si="2"/>
        <v>arch + standard_truss</v>
      </c>
      <c r="N54" t="str">
        <f t="shared" si="0"/>
        <v>bottom_structure/rock_structure + 3anc</v>
      </c>
      <c r="O54" t="s">
        <v>1684</v>
      </c>
      <c r="R54" t="s">
        <v>756</v>
      </c>
      <c r="S54" t="s">
        <v>292</v>
      </c>
      <c r="T54" t="s">
        <v>293</v>
      </c>
      <c r="U54" t="s">
        <v>292</v>
      </c>
      <c r="V54" t="s">
        <v>292</v>
      </c>
      <c r="W54" t="s">
        <v>293</v>
      </c>
      <c r="X54" t="str">
        <f t="shared" si="3"/>
        <v>road-</v>
      </c>
      <c r="Y54" t="str">
        <f t="shared" si="4"/>
        <v/>
      </c>
      <c r="Z54" t="str">
        <f t="shared" si="5"/>
        <v>wood-</v>
      </c>
      <c r="AA54" t="str">
        <f t="shared" si="6"/>
        <v>steel</v>
      </c>
      <c r="AB54" t="str">
        <f t="shared" si="7"/>
        <v>road-wood-steel</v>
      </c>
      <c r="AE54" t="s">
        <v>1684</v>
      </c>
    </row>
    <row r="55" spans="1:31" x14ac:dyDescent="0.3">
      <c r="A55" t="s">
        <v>9</v>
      </c>
      <c r="B55" t="s">
        <v>76</v>
      </c>
      <c r="C55" t="s">
        <v>29</v>
      </c>
      <c r="D55" t="s">
        <v>24</v>
      </c>
      <c r="E55" s="16" t="s">
        <v>272</v>
      </c>
      <c r="F55" s="16">
        <v>3</v>
      </c>
      <c r="G55" t="s">
        <v>1524</v>
      </c>
      <c r="H55" t="s">
        <v>1542</v>
      </c>
      <c r="I55" t="s">
        <v>1568</v>
      </c>
      <c r="J55" t="s">
        <v>344</v>
      </c>
      <c r="L55" t="str">
        <f t="shared" si="1"/>
        <v>continuous/fully_connected</v>
      </c>
      <c r="M55" t="str">
        <f t="shared" si="2"/>
        <v>inclined/declined + standard_truss</v>
      </c>
      <c r="N55" t="str">
        <f t="shared" si="0"/>
        <v>bottom_structure/rock_structure + 3anc</v>
      </c>
      <c r="O55" t="s">
        <v>1684</v>
      </c>
      <c r="R55" t="s">
        <v>757</v>
      </c>
      <c r="S55" t="s">
        <v>292</v>
      </c>
      <c r="T55" t="s">
        <v>293</v>
      </c>
      <c r="U55" t="s">
        <v>292</v>
      </c>
      <c r="V55" t="s">
        <v>292</v>
      </c>
      <c r="W55" t="s">
        <v>293</v>
      </c>
      <c r="X55" t="str">
        <f t="shared" si="3"/>
        <v>road-</v>
      </c>
      <c r="Y55" t="str">
        <f t="shared" si="4"/>
        <v/>
      </c>
      <c r="Z55" t="str">
        <f t="shared" si="5"/>
        <v>wood-</v>
      </c>
      <c r="AA55" t="str">
        <f t="shared" si="6"/>
        <v>steel</v>
      </c>
      <c r="AB55" t="str">
        <f t="shared" si="7"/>
        <v>road-wood-steel</v>
      </c>
      <c r="AE55" t="s">
        <v>1684</v>
      </c>
    </row>
    <row r="56" spans="1:31" x14ac:dyDescent="0.3">
      <c r="A56" t="s">
        <v>9</v>
      </c>
      <c r="B56" t="s">
        <v>76</v>
      </c>
      <c r="C56" t="s">
        <v>29</v>
      </c>
      <c r="D56" t="s">
        <v>21</v>
      </c>
      <c r="E56" s="16" t="s">
        <v>272</v>
      </c>
      <c r="F56" s="16">
        <v>2</v>
      </c>
      <c r="G56" t="s">
        <v>1524</v>
      </c>
      <c r="H56" t="s">
        <v>282</v>
      </c>
      <c r="I56" t="s">
        <v>342</v>
      </c>
      <c r="J56" t="s">
        <v>344</v>
      </c>
      <c r="L56" t="str">
        <f t="shared" si="1"/>
        <v>continuous/fully_connected</v>
      </c>
      <c r="M56" t="str">
        <f t="shared" si="2"/>
        <v>arch + standard_truss</v>
      </c>
      <c r="N56" t="str">
        <f t="shared" si="0"/>
        <v>bottom_structure + 2anc</v>
      </c>
      <c r="O56" t="s">
        <v>1692</v>
      </c>
      <c r="R56" t="s">
        <v>758</v>
      </c>
      <c r="S56" t="s">
        <v>292</v>
      </c>
      <c r="T56" t="s">
        <v>293</v>
      </c>
      <c r="U56" t="s">
        <v>292</v>
      </c>
      <c r="V56" t="s">
        <v>293</v>
      </c>
      <c r="W56" t="s">
        <v>293</v>
      </c>
      <c r="X56" t="str">
        <f t="shared" si="3"/>
        <v>road-</v>
      </c>
      <c r="Y56" t="str">
        <f t="shared" si="4"/>
        <v/>
      </c>
      <c r="Z56" t="str">
        <f t="shared" si="5"/>
        <v>wood-</v>
      </c>
      <c r="AA56" t="str">
        <f t="shared" si="6"/>
        <v/>
      </c>
      <c r="AB56" t="str">
        <f t="shared" si="7"/>
        <v>road-wood-</v>
      </c>
      <c r="AE56" t="s">
        <v>1692</v>
      </c>
    </row>
    <row r="57" spans="1:31" x14ac:dyDescent="0.3">
      <c r="A57" t="s">
        <v>9</v>
      </c>
      <c r="B57" t="s">
        <v>76</v>
      </c>
      <c r="C57" t="s">
        <v>29</v>
      </c>
      <c r="D57" t="s">
        <v>30</v>
      </c>
      <c r="E57" s="16" t="s">
        <v>272</v>
      </c>
      <c r="F57" s="16">
        <v>3</v>
      </c>
      <c r="G57" t="s">
        <v>1524</v>
      </c>
      <c r="H57" t="s">
        <v>1542</v>
      </c>
      <c r="I57" t="s">
        <v>1567</v>
      </c>
      <c r="J57" t="s">
        <v>1622</v>
      </c>
      <c r="L57" t="str">
        <f t="shared" si="1"/>
        <v>continuous/fully_connected</v>
      </c>
      <c r="M57" t="str">
        <f t="shared" si="2"/>
        <v>inclined/declined + arch_truss/square_truss</v>
      </c>
      <c r="N57" t="str">
        <f t="shared" si="0"/>
        <v>top_structure/rock_structure + 3anc</v>
      </c>
      <c r="O57" t="s">
        <v>1686</v>
      </c>
      <c r="R57" t="s">
        <v>759</v>
      </c>
      <c r="S57" t="s">
        <v>293</v>
      </c>
      <c r="T57" t="s">
        <v>292</v>
      </c>
      <c r="U57" t="s">
        <v>292</v>
      </c>
      <c r="V57" t="s">
        <v>292</v>
      </c>
      <c r="W57" t="s">
        <v>293</v>
      </c>
      <c r="X57" t="str">
        <f t="shared" si="3"/>
        <v/>
      </c>
      <c r="Y57" t="str">
        <f t="shared" si="4"/>
        <v>reinforced_road-</v>
      </c>
      <c r="Z57" t="str">
        <f t="shared" si="5"/>
        <v>wood-</v>
      </c>
      <c r="AA57" t="str">
        <f t="shared" si="6"/>
        <v>steel</v>
      </c>
      <c r="AB57" t="str">
        <f t="shared" si="7"/>
        <v>reinforced_road-wood-steel</v>
      </c>
      <c r="AE57" t="s">
        <v>1686</v>
      </c>
    </row>
    <row r="58" spans="1:31" x14ac:dyDescent="0.3">
      <c r="A58" t="s">
        <v>9</v>
      </c>
      <c r="B58" t="s">
        <v>76</v>
      </c>
      <c r="C58" t="s">
        <v>29</v>
      </c>
      <c r="D58" t="s">
        <v>26</v>
      </c>
      <c r="E58" s="16" t="s">
        <v>272</v>
      </c>
      <c r="F58" s="16">
        <v>3</v>
      </c>
      <c r="G58" t="s">
        <v>1524</v>
      </c>
      <c r="H58" t="s">
        <v>282</v>
      </c>
      <c r="I58" t="s">
        <v>1568</v>
      </c>
      <c r="J58" t="s">
        <v>344</v>
      </c>
      <c r="L58" t="str">
        <f t="shared" si="1"/>
        <v>continuous/fully_connected</v>
      </c>
      <c r="M58" t="str">
        <f t="shared" si="2"/>
        <v>arch + standard_truss</v>
      </c>
      <c r="N58" t="str">
        <f t="shared" si="0"/>
        <v>bottom_structure/rock_structure + 3anc</v>
      </c>
      <c r="O58" t="s">
        <v>1686</v>
      </c>
      <c r="R58" t="s">
        <v>760</v>
      </c>
      <c r="S58" t="s">
        <v>293</v>
      </c>
      <c r="T58" t="s">
        <v>292</v>
      </c>
      <c r="U58" t="s">
        <v>292</v>
      </c>
      <c r="V58" t="s">
        <v>292</v>
      </c>
      <c r="W58" t="s">
        <v>293</v>
      </c>
      <c r="X58" t="str">
        <f t="shared" si="3"/>
        <v/>
      </c>
      <c r="Y58" t="str">
        <f t="shared" si="4"/>
        <v>reinforced_road-</v>
      </c>
      <c r="Z58" t="str">
        <f t="shared" si="5"/>
        <v>wood-</v>
      </c>
      <c r="AA58" t="str">
        <f t="shared" si="6"/>
        <v>steel</v>
      </c>
      <c r="AB58" t="str">
        <f t="shared" si="7"/>
        <v>reinforced_road-wood-steel</v>
      </c>
      <c r="AE58" t="s">
        <v>1686</v>
      </c>
    </row>
    <row r="59" spans="1:31" x14ac:dyDescent="0.3">
      <c r="A59" t="s">
        <v>9</v>
      </c>
      <c r="B59" t="s">
        <v>76</v>
      </c>
      <c r="C59" t="s">
        <v>29</v>
      </c>
      <c r="D59" t="s">
        <v>22</v>
      </c>
      <c r="E59" s="16" t="s">
        <v>272</v>
      </c>
      <c r="F59" s="16">
        <v>2</v>
      </c>
      <c r="G59" t="s">
        <v>1524</v>
      </c>
      <c r="H59" t="s">
        <v>282</v>
      </c>
      <c r="I59" t="s">
        <v>342</v>
      </c>
      <c r="J59" t="s">
        <v>344</v>
      </c>
      <c r="L59" t="str">
        <f t="shared" si="1"/>
        <v>continuous/fully_connected</v>
      </c>
      <c r="M59" t="str">
        <f t="shared" si="2"/>
        <v>arch + standard_truss</v>
      </c>
      <c r="N59" t="str">
        <f t="shared" si="0"/>
        <v>bottom_structure + 2anc</v>
      </c>
      <c r="O59" t="s">
        <v>1692</v>
      </c>
      <c r="R59" t="s">
        <v>761</v>
      </c>
      <c r="S59" t="s">
        <v>292</v>
      </c>
      <c r="T59" t="s">
        <v>293</v>
      </c>
      <c r="U59" t="s">
        <v>292</v>
      </c>
      <c r="V59" t="s">
        <v>293</v>
      </c>
      <c r="W59" t="s">
        <v>293</v>
      </c>
      <c r="X59" t="str">
        <f t="shared" si="3"/>
        <v>road-</v>
      </c>
      <c r="Y59" t="str">
        <f t="shared" si="4"/>
        <v/>
      </c>
      <c r="Z59" t="str">
        <f t="shared" si="5"/>
        <v>wood-</v>
      </c>
      <c r="AA59" t="str">
        <f t="shared" si="6"/>
        <v/>
      </c>
      <c r="AB59" t="str">
        <f t="shared" si="7"/>
        <v>road-wood-</v>
      </c>
      <c r="AE59" t="s">
        <v>1692</v>
      </c>
    </row>
    <row r="60" spans="1:31" x14ac:dyDescent="0.3">
      <c r="A60" t="s">
        <v>9</v>
      </c>
      <c r="B60" t="s">
        <v>76</v>
      </c>
      <c r="C60" t="s">
        <v>29</v>
      </c>
      <c r="D60" t="s">
        <v>31</v>
      </c>
      <c r="E60" s="16" t="s">
        <v>272</v>
      </c>
      <c r="F60" s="16">
        <v>3</v>
      </c>
      <c r="G60" t="s">
        <v>1524</v>
      </c>
      <c r="H60" t="s">
        <v>1542</v>
      </c>
      <c r="I60" t="s">
        <v>1567</v>
      </c>
      <c r="J60" t="s">
        <v>345</v>
      </c>
      <c r="L60" t="str">
        <f t="shared" si="1"/>
        <v>continuous/fully_connected</v>
      </c>
      <c r="M60" t="str">
        <f t="shared" si="2"/>
        <v>inclined/declined + arch_truss</v>
      </c>
      <c r="N60" t="str">
        <f t="shared" si="0"/>
        <v>top_structure/rock_structure + 3anc</v>
      </c>
      <c r="O60" t="s">
        <v>1686</v>
      </c>
      <c r="R60" t="s">
        <v>762</v>
      </c>
      <c r="S60" t="s">
        <v>293</v>
      </c>
      <c r="T60" t="s">
        <v>292</v>
      </c>
      <c r="U60" t="s">
        <v>292</v>
      </c>
      <c r="V60" t="s">
        <v>292</v>
      </c>
      <c r="W60" t="s">
        <v>293</v>
      </c>
      <c r="X60" t="str">
        <f t="shared" si="3"/>
        <v/>
      </c>
      <c r="Y60" t="str">
        <f t="shared" si="4"/>
        <v>reinforced_road-</v>
      </c>
      <c r="Z60" t="str">
        <f t="shared" si="5"/>
        <v>wood-</v>
      </c>
      <c r="AA60" t="str">
        <f t="shared" si="6"/>
        <v>steel</v>
      </c>
      <c r="AB60" t="str">
        <f t="shared" si="7"/>
        <v>reinforced_road-wood-steel</v>
      </c>
      <c r="AE60" t="s">
        <v>1686</v>
      </c>
    </row>
    <row r="61" spans="1:31" x14ac:dyDescent="0.3">
      <c r="A61" t="s">
        <v>9</v>
      </c>
      <c r="B61" t="s">
        <v>76</v>
      </c>
      <c r="C61" t="s">
        <v>29</v>
      </c>
      <c r="D61" t="s">
        <v>27</v>
      </c>
      <c r="E61" s="16" t="s">
        <v>272</v>
      </c>
      <c r="F61" s="16">
        <v>3</v>
      </c>
      <c r="G61" t="s">
        <v>1524</v>
      </c>
      <c r="H61" t="s">
        <v>282</v>
      </c>
      <c r="I61" t="s">
        <v>1567</v>
      </c>
      <c r="J61" t="s">
        <v>1623</v>
      </c>
      <c r="L61" t="str">
        <f t="shared" si="1"/>
        <v>continuous/fully_connected</v>
      </c>
      <c r="M61" t="str">
        <f t="shared" si="2"/>
        <v>arch + standard_truss/a-truss</v>
      </c>
      <c r="N61" t="str">
        <f t="shared" si="0"/>
        <v>top_structure/rock_structure + 3anc</v>
      </c>
      <c r="O61" t="s">
        <v>1686</v>
      </c>
      <c r="R61" t="s">
        <v>763</v>
      </c>
      <c r="S61" t="s">
        <v>293</v>
      </c>
      <c r="T61" t="s">
        <v>292</v>
      </c>
      <c r="U61" t="s">
        <v>292</v>
      </c>
      <c r="V61" t="s">
        <v>292</v>
      </c>
      <c r="W61" t="s">
        <v>293</v>
      </c>
      <c r="X61" t="str">
        <f t="shared" si="3"/>
        <v/>
      </c>
      <c r="Y61" t="str">
        <f t="shared" si="4"/>
        <v>reinforced_road-</v>
      </c>
      <c r="Z61" t="str">
        <f t="shared" si="5"/>
        <v>wood-</v>
      </c>
      <c r="AA61" t="str">
        <f t="shared" si="6"/>
        <v>steel</v>
      </c>
      <c r="AB61" t="str">
        <f t="shared" si="7"/>
        <v>reinforced_road-wood-steel</v>
      </c>
      <c r="AE61" t="s">
        <v>1686</v>
      </c>
    </row>
    <row r="62" spans="1:31" x14ac:dyDescent="0.3">
      <c r="A62" t="s">
        <v>9</v>
      </c>
      <c r="B62" t="s">
        <v>76</v>
      </c>
      <c r="C62" t="s">
        <v>29</v>
      </c>
      <c r="D62" t="s">
        <v>28</v>
      </c>
      <c r="E62" s="16" t="s">
        <v>272</v>
      </c>
      <c r="F62" s="16">
        <v>3</v>
      </c>
      <c r="G62" t="s">
        <v>1524</v>
      </c>
      <c r="H62" t="s">
        <v>282</v>
      </c>
      <c r="I62" t="s">
        <v>1567</v>
      </c>
      <c r="J62" t="s">
        <v>345</v>
      </c>
      <c r="L62" t="str">
        <f t="shared" si="1"/>
        <v>continuous/fully_connected</v>
      </c>
      <c r="M62" t="str">
        <f t="shared" si="2"/>
        <v>arch + arch_truss</v>
      </c>
      <c r="N62" t="str">
        <f t="shared" si="0"/>
        <v>top_structure/rock_structure + 3anc</v>
      </c>
      <c r="O62" t="s">
        <v>1686</v>
      </c>
      <c r="R62" t="s">
        <v>764</v>
      </c>
      <c r="S62" t="s">
        <v>293</v>
      </c>
      <c r="T62" t="s">
        <v>292</v>
      </c>
      <c r="U62" t="s">
        <v>292</v>
      </c>
      <c r="V62" t="s">
        <v>292</v>
      </c>
      <c r="W62" t="s">
        <v>293</v>
      </c>
      <c r="X62" t="str">
        <f t="shared" si="3"/>
        <v/>
      </c>
      <c r="Y62" t="str">
        <f t="shared" si="4"/>
        <v>reinforced_road-</v>
      </c>
      <c r="Z62" t="str">
        <f t="shared" si="5"/>
        <v>wood-</v>
      </c>
      <c r="AA62" t="str">
        <f t="shared" si="6"/>
        <v>steel</v>
      </c>
      <c r="AB62" t="str">
        <f t="shared" si="7"/>
        <v>reinforced_road-wood-steel</v>
      </c>
      <c r="AE62" t="s">
        <v>1686</v>
      </c>
    </row>
    <row r="63" spans="1:31" x14ac:dyDescent="0.3">
      <c r="A63" t="s">
        <v>43</v>
      </c>
      <c r="B63" t="s">
        <v>73</v>
      </c>
      <c r="C63" t="s">
        <v>12</v>
      </c>
      <c r="D63" t="s">
        <v>19</v>
      </c>
      <c r="E63" s="16" t="s">
        <v>273</v>
      </c>
      <c r="F63" s="16">
        <v>2</v>
      </c>
      <c r="G63" t="s">
        <v>1525</v>
      </c>
      <c r="H63" t="s">
        <v>283</v>
      </c>
      <c r="I63" t="s">
        <v>1568</v>
      </c>
      <c r="J63" t="s">
        <v>291</v>
      </c>
      <c r="L63" t="str">
        <f t="shared" si="1"/>
        <v>missing_section/right</v>
      </c>
      <c r="M63" t="str">
        <f t="shared" si="2"/>
        <v>inclined + other</v>
      </c>
      <c r="N63" t="str">
        <f t="shared" si="0"/>
        <v>bottom_structure/rock_structure + 2anc</v>
      </c>
      <c r="O63" t="s">
        <v>1684</v>
      </c>
      <c r="R63" s="38" t="s">
        <v>765</v>
      </c>
      <c r="S63" s="38" t="s">
        <v>292</v>
      </c>
      <c r="T63" s="38" t="s">
        <v>293</v>
      </c>
      <c r="U63" s="38" t="s">
        <v>292</v>
      </c>
      <c r="V63" s="38" t="s">
        <v>292</v>
      </c>
      <c r="W63" s="38" t="s">
        <v>293</v>
      </c>
      <c r="X63" t="str">
        <f t="shared" si="3"/>
        <v>road-</v>
      </c>
      <c r="Y63" t="str">
        <f t="shared" si="4"/>
        <v/>
      </c>
      <c r="Z63" t="str">
        <f t="shared" si="5"/>
        <v>wood-</v>
      </c>
      <c r="AA63" t="str">
        <f t="shared" si="6"/>
        <v>steel</v>
      </c>
      <c r="AB63" t="str">
        <f t="shared" si="7"/>
        <v>road-wood-steel</v>
      </c>
      <c r="AE63" t="s">
        <v>1684</v>
      </c>
    </row>
    <row r="64" spans="1:31" x14ac:dyDescent="0.3">
      <c r="A64" t="s">
        <v>43</v>
      </c>
      <c r="B64" t="s">
        <v>73</v>
      </c>
      <c r="C64" t="s">
        <v>29</v>
      </c>
      <c r="D64" t="s">
        <v>33</v>
      </c>
      <c r="E64" s="16" t="s">
        <v>272</v>
      </c>
      <c r="F64" s="16">
        <v>2</v>
      </c>
      <c r="G64" t="s">
        <v>1525</v>
      </c>
      <c r="H64" t="s">
        <v>273</v>
      </c>
      <c r="I64" t="s">
        <v>1567</v>
      </c>
      <c r="J64" t="s">
        <v>347</v>
      </c>
      <c r="L64" t="str">
        <f t="shared" si="1"/>
        <v>missing_section/right</v>
      </c>
      <c r="M64" t="str">
        <f t="shared" si="2"/>
        <v>ramp + other_truss</v>
      </c>
      <c r="N64" t="str">
        <f t="shared" si="0"/>
        <v>top_structure/rock_structure + 2anc</v>
      </c>
      <c r="O64" t="s">
        <v>1688</v>
      </c>
      <c r="R64" s="38" t="s">
        <v>766</v>
      </c>
      <c r="S64" s="38" t="s">
        <v>293</v>
      </c>
      <c r="T64" s="38" t="s">
        <v>292</v>
      </c>
      <c r="U64" s="38" t="s">
        <v>293</v>
      </c>
      <c r="V64" s="38" t="s">
        <v>292</v>
      </c>
      <c r="W64" s="38" t="s">
        <v>293</v>
      </c>
      <c r="X64" t="str">
        <f t="shared" si="3"/>
        <v/>
      </c>
      <c r="Y64" t="str">
        <f t="shared" si="4"/>
        <v>reinforced_road-</v>
      </c>
      <c r="Z64" t="str">
        <f t="shared" si="5"/>
        <v/>
      </c>
      <c r="AA64" t="str">
        <f t="shared" si="6"/>
        <v>steel</v>
      </c>
      <c r="AB64" t="str">
        <f t="shared" si="7"/>
        <v>reinforced_road-steel</v>
      </c>
      <c r="AE64" t="s">
        <v>1688</v>
      </c>
    </row>
    <row r="65" spans="1:31" x14ac:dyDescent="0.3">
      <c r="A65" t="s">
        <v>43</v>
      </c>
      <c r="B65" t="s">
        <v>73</v>
      </c>
      <c r="C65" t="s">
        <v>12</v>
      </c>
      <c r="D65" t="s">
        <v>15</v>
      </c>
      <c r="E65" s="16" t="s">
        <v>272</v>
      </c>
      <c r="F65" s="16">
        <v>3</v>
      </c>
      <c r="G65" t="s">
        <v>1524</v>
      </c>
      <c r="H65" t="s">
        <v>1631</v>
      </c>
      <c r="I65" t="s">
        <v>1567</v>
      </c>
      <c r="J65" t="s">
        <v>344</v>
      </c>
      <c r="L65" t="str">
        <f t="shared" si="1"/>
        <v>continuous/fully_connected</v>
      </c>
      <c r="M65" t="str">
        <f t="shared" si="2"/>
        <v>straight/s-shape/platform + standard_truss</v>
      </c>
      <c r="N65" t="str">
        <f t="shared" si="0"/>
        <v>top_structure/rock_structure + 3anc</v>
      </c>
      <c r="O65" t="s">
        <v>1684</v>
      </c>
      <c r="R65" t="s">
        <v>767</v>
      </c>
      <c r="S65" t="s">
        <v>292</v>
      </c>
      <c r="T65" t="s">
        <v>293</v>
      </c>
      <c r="U65" t="s">
        <v>292</v>
      </c>
      <c r="V65" t="s">
        <v>292</v>
      </c>
      <c r="W65" t="s">
        <v>293</v>
      </c>
      <c r="X65" t="str">
        <f t="shared" si="3"/>
        <v>road-</v>
      </c>
      <c r="Y65" t="str">
        <f t="shared" si="4"/>
        <v/>
      </c>
      <c r="Z65" t="str">
        <f t="shared" si="5"/>
        <v>wood-</v>
      </c>
      <c r="AA65" t="str">
        <f t="shared" si="6"/>
        <v>steel</v>
      </c>
      <c r="AB65" t="str">
        <f t="shared" si="7"/>
        <v>road-wood-steel</v>
      </c>
      <c r="AE65" t="s">
        <v>1684</v>
      </c>
    </row>
    <row r="66" spans="1:31" x14ac:dyDescent="0.3">
      <c r="A66" t="s">
        <v>43</v>
      </c>
      <c r="B66" t="s">
        <v>73</v>
      </c>
      <c r="C66" t="s">
        <v>12</v>
      </c>
      <c r="D66" t="s">
        <v>23</v>
      </c>
      <c r="E66" s="16" t="s">
        <v>272</v>
      </c>
      <c r="F66" s="16">
        <v>3</v>
      </c>
      <c r="G66" t="s">
        <v>1524</v>
      </c>
      <c r="H66" t="s">
        <v>282</v>
      </c>
      <c r="I66" t="s">
        <v>1567</v>
      </c>
      <c r="J66" t="s">
        <v>1622</v>
      </c>
      <c r="L66" t="str">
        <f t="shared" si="1"/>
        <v>continuous/fully_connected</v>
      </c>
      <c r="M66" t="str">
        <f t="shared" si="2"/>
        <v>arch + arch_truss/square_truss</v>
      </c>
      <c r="N66" t="str">
        <f t="shared" ref="N66:N129" si="8">I66&amp;" + "&amp;F66&amp;"anc"</f>
        <v>top_structure/rock_structure + 3anc</v>
      </c>
      <c r="O66" t="s">
        <v>1686</v>
      </c>
      <c r="R66" t="s">
        <v>768</v>
      </c>
      <c r="S66" t="s">
        <v>293</v>
      </c>
      <c r="T66" t="s">
        <v>292</v>
      </c>
      <c r="U66" t="s">
        <v>292</v>
      </c>
      <c r="V66" t="s">
        <v>292</v>
      </c>
      <c r="W66" t="s">
        <v>293</v>
      </c>
      <c r="X66" t="str">
        <f t="shared" si="3"/>
        <v/>
      </c>
      <c r="Y66" t="str">
        <f t="shared" si="4"/>
        <v>reinforced_road-</v>
      </c>
      <c r="Z66" t="str">
        <f t="shared" si="5"/>
        <v>wood-</v>
      </c>
      <c r="AA66" t="str">
        <f t="shared" si="6"/>
        <v>steel</v>
      </c>
      <c r="AB66" t="str">
        <f t="shared" si="7"/>
        <v>reinforced_road-wood-steel</v>
      </c>
      <c r="AE66" t="s">
        <v>1686</v>
      </c>
    </row>
    <row r="67" spans="1:31" x14ac:dyDescent="0.3">
      <c r="A67" t="s">
        <v>43</v>
      </c>
      <c r="B67" t="s">
        <v>73</v>
      </c>
      <c r="C67" t="s">
        <v>12</v>
      </c>
      <c r="D67" t="s">
        <v>14</v>
      </c>
      <c r="E67" s="16" t="s">
        <v>272</v>
      </c>
      <c r="F67" s="16">
        <v>3</v>
      </c>
      <c r="G67" t="s">
        <v>1524</v>
      </c>
      <c r="H67" t="s">
        <v>1540</v>
      </c>
      <c r="I67" t="s">
        <v>1567</v>
      </c>
      <c r="J67" t="s">
        <v>345</v>
      </c>
      <c r="L67" t="str">
        <f t="shared" ref="L67:L130" si="9">G67</f>
        <v>continuous/fully_connected</v>
      </c>
      <c r="M67" t="str">
        <f t="shared" ref="M67:M130" si="10">H67&amp;" + "&amp;J67</f>
        <v>inclined/arch + arch_truss</v>
      </c>
      <c r="N67" t="str">
        <f t="shared" si="8"/>
        <v>top_structure/rock_structure + 3anc</v>
      </c>
      <c r="O67" t="s">
        <v>1684</v>
      </c>
      <c r="R67" t="s">
        <v>769</v>
      </c>
      <c r="S67" t="s">
        <v>292</v>
      </c>
      <c r="T67" t="s">
        <v>293</v>
      </c>
      <c r="U67" t="s">
        <v>292</v>
      </c>
      <c r="V67" t="s">
        <v>292</v>
      </c>
      <c r="W67" t="s">
        <v>293</v>
      </c>
      <c r="X67" t="str">
        <f t="shared" ref="X67:X130" si="11">IF(S67="yes","road-","")</f>
        <v>road-</v>
      </c>
      <c r="Y67" t="str">
        <f t="shared" ref="Y67:Y130" si="12">IF(T67="yes","reinforced_road-","")</f>
        <v/>
      </c>
      <c r="Z67" t="str">
        <f t="shared" ref="Z67:Z130" si="13">IF(U67="yes","wood-","")</f>
        <v>wood-</v>
      </c>
      <c r="AA67" t="str">
        <f t="shared" ref="AA67:AA130" si="14">IF(V67="yes","steel","")</f>
        <v>steel</v>
      </c>
      <c r="AB67" t="str">
        <f t="shared" ref="AB67:AB130" si="15">X67&amp;Y67&amp;Z67&amp;AA67</f>
        <v>road-wood-steel</v>
      </c>
      <c r="AE67" t="s">
        <v>1684</v>
      </c>
    </row>
    <row r="68" spans="1:31" x14ac:dyDescent="0.3">
      <c r="A68" t="s">
        <v>43</v>
      </c>
      <c r="B68" t="s">
        <v>73</v>
      </c>
      <c r="C68" t="s">
        <v>12</v>
      </c>
      <c r="D68" t="s">
        <v>11</v>
      </c>
      <c r="E68" s="16" t="s">
        <v>272</v>
      </c>
      <c r="F68" s="16">
        <v>3</v>
      </c>
      <c r="G68" t="s">
        <v>1524</v>
      </c>
      <c r="H68" t="s">
        <v>1540</v>
      </c>
      <c r="I68" t="s">
        <v>1567</v>
      </c>
      <c r="J68" t="s">
        <v>344</v>
      </c>
      <c r="L68" t="str">
        <f t="shared" si="9"/>
        <v>continuous/fully_connected</v>
      </c>
      <c r="M68" t="str">
        <f t="shared" si="10"/>
        <v>inclined/arch + standard_truss</v>
      </c>
      <c r="N68" t="str">
        <f t="shared" si="8"/>
        <v>top_structure/rock_structure + 3anc</v>
      </c>
      <c r="O68" t="s">
        <v>1684</v>
      </c>
      <c r="R68" t="s">
        <v>770</v>
      </c>
      <c r="S68" t="s">
        <v>292</v>
      </c>
      <c r="T68" t="s">
        <v>293</v>
      </c>
      <c r="U68" t="s">
        <v>292</v>
      </c>
      <c r="V68" t="s">
        <v>292</v>
      </c>
      <c r="W68" t="s">
        <v>293</v>
      </c>
      <c r="X68" t="str">
        <f t="shared" si="11"/>
        <v>road-</v>
      </c>
      <c r="Y68" t="str">
        <f t="shared" si="12"/>
        <v/>
      </c>
      <c r="Z68" t="str">
        <f t="shared" si="13"/>
        <v>wood-</v>
      </c>
      <c r="AA68" t="str">
        <f t="shared" si="14"/>
        <v>steel</v>
      </c>
      <c r="AB68" t="str">
        <f t="shared" si="15"/>
        <v>road-wood-steel</v>
      </c>
      <c r="AE68" t="s">
        <v>1684</v>
      </c>
    </row>
    <row r="69" spans="1:31" x14ac:dyDescent="0.3">
      <c r="A69" t="s">
        <v>43</v>
      </c>
      <c r="B69" t="s">
        <v>73</v>
      </c>
      <c r="C69" t="s">
        <v>12</v>
      </c>
      <c r="D69" t="s">
        <v>21</v>
      </c>
      <c r="E69" s="16" t="s">
        <v>272</v>
      </c>
      <c r="F69" s="16">
        <v>3</v>
      </c>
      <c r="G69" t="s">
        <v>1524</v>
      </c>
      <c r="H69" t="s">
        <v>282</v>
      </c>
      <c r="I69" t="s">
        <v>1566</v>
      </c>
      <c r="J69" t="s">
        <v>1622</v>
      </c>
      <c r="L69" t="str">
        <f t="shared" si="9"/>
        <v>continuous/fully_connected</v>
      </c>
      <c r="M69" t="str">
        <f t="shared" si="10"/>
        <v>arch + arch_truss/square_truss</v>
      </c>
      <c r="N69" t="str">
        <f t="shared" si="8"/>
        <v>top_structure/bottom_structure/rock_structure + 3anc</v>
      </c>
      <c r="O69" t="s">
        <v>1684</v>
      </c>
      <c r="R69" t="s">
        <v>771</v>
      </c>
      <c r="S69" t="s">
        <v>292</v>
      </c>
      <c r="T69" t="s">
        <v>293</v>
      </c>
      <c r="U69" t="s">
        <v>292</v>
      </c>
      <c r="V69" t="s">
        <v>292</v>
      </c>
      <c r="W69" t="s">
        <v>293</v>
      </c>
      <c r="X69" t="str">
        <f t="shared" si="11"/>
        <v>road-</v>
      </c>
      <c r="Y69" t="str">
        <f t="shared" si="12"/>
        <v/>
      </c>
      <c r="Z69" t="str">
        <f t="shared" si="13"/>
        <v>wood-</v>
      </c>
      <c r="AA69" t="str">
        <f t="shared" si="14"/>
        <v>steel</v>
      </c>
      <c r="AB69" t="str">
        <f t="shared" si="15"/>
        <v>road-wood-steel</v>
      </c>
      <c r="AE69" t="s">
        <v>1684</v>
      </c>
    </row>
    <row r="70" spans="1:31" x14ac:dyDescent="0.3">
      <c r="A70" t="s">
        <v>43</v>
      </c>
      <c r="B70" t="s">
        <v>73</v>
      </c>
      <c r="C70" t="s">
        <v>12</v>
      </c>
      <c r="D70" t="s">
        <v>17</v>
      </c>
      <c r="E70" s="16" t="s">
        <v>272</v>
      </c>
      <c r="F70" s="16">
        <v>3</v>
      </c>
      <c r="G70" t="s">
        <v>1524</v>
      </c>
      <c r="H70" t="s">
        <v>1631</v>
      </c>
      <c r="I70" t="s">
        <v>1567</v>
      </c>
      <c r="J70" t="s">
        <v>344</v>
      </c>
      <c r="L70" t="str">
        <f t="shared" si="9"/>
        <v>continuous/fully_connected</v>
      </c>
      <c r="M70" t="str">
        <f t="shared" si="10"/>
        <v>straight/s-shape/platform + standard_truss</v>
      </c>
      <c r="N70" t="str">
        <f t="shared" si="8"/>
        <v>top_structure/rock_structure + 3anc</v>
      </c>
      <c r="O70" t="s">
        <v>1686</v>
      </c>
      <c r="R70" t="s">
        <v>772</v>
      </c>
      <c r="S70" t="s">
        <v>293</v>
      </c>
      <c r="T70" t="s">
        <v>292</v>
      </c>
      <c r="U70" t="s">
        <v>292</v>
      </c>
      <c r="V70" t="s">
        <v>292</v>
      </c>
      <c r="W70" t="s">
        <v>293</v>
      </c>
      <c r="X70" t="str">
        <f t="shared" si="11"/>
        <v/>
      </c>
      <c r="Y70" t="str">
        <f t="shared" si="12"/>
        <v>reinforced_road-</v>
      </c>
      <c r="Z70" t="str">
        <f t="shared" si="13"/>
        <v>wood-</v>
      </c>
      <c r="AA70" t="str">
        <f t="shared" si="14"/>
        <v>steel</v>
      </c>
      <c r="AB70" t="str">
        <f t="shared" si="15"/>
        <v>reinforced_road-wood-steel</v>
      </c>
      <c r="AE70" t="s">
        <v>1686</v>
      </c>
    </row>
    <row r="71" spans="1:31" x14ac:dyDescent="0.3">
      <c r="A71" t="s">
        <v>43</v>
      </c>
      <c r="B71" t="s">
        <v>73</v>
      </c>
      <c r="C71" t="s">
        <v>12</v>
      </c>
      <c r="D71" t="s">
        <v>16</v>
      </c>
      <c r="E71" s="16" t="s">
        <v>272</v>
      </c>
      <c r="F71" s="16">
        <v>3</v>
      </c>
      <c r="G71" t="s">
        <v>1524</v>
      </c>
      <c r="H71" t="s">
        <v>1631</v>
      </c>
      <c r="I71" t="s">
        <v>1567</v>
      </c>
      <c r="J71" t="s">
        <v>344</v>
      </c>
      <c r="L71" t="str">
        <f t="shared" si="9"/>
        <v>continuous/fully_connected</v>
      </c>
      <c r="M71" t="str">
        <f t="shared" si="10"/>
        <v>straight/s-shape/platform + standard_truss</v>
      </c>
      <c r="N71" t="str">
        <f t="shared" si="8"/>
        <v>top_structure/rock_structure + 3anc</v>
      </c>
      <c r="O71" t="s">
        <v>1686</v>
      </c>
      <c r="R71" t="s">
        <v>773</v>
      </c>
      <c r="S71" t="s">
        <v>293</v>
      </c>
      <c r="T71" t="s">
        <v>292</v>
      </c>
      <c r="U71" t="s">
        <v>292</v>
      </c>
      <c r="V71" t="s">
        <v>292</v>
      </c>
      <c r="W71" t="s">
        <v>293</v>
      </c>
      <c r="X71" t="str">
        <f t="shared" si="11"/>
        <v/>
      </c>
      <c r="Y71" t="str">
        <f t="shared" si="12"/>
        <v>reinforced_road-</v>
      </c>
      <c r="Z71" t="str">
        <f t="shared" si="13"/>
        <v>wood-</v>
      </c>
      <c r="AA71" t="str">
        <f t="shared" si="14"/>
        <v>steel</v>
      </c>
      <c r="AB71" t="str">
        <f t="shared" si="15"/>
        <v>reinforced_road-wood-steel</v>
      </c>
      <c r="AE71" t="s">
        <v>1686</v>
      </c>
    </row>
    <row r="72" spans="1:31" x14ac:dyDescent="0.3">
      <c r="A72" t="s">
        <v>43</v>
      </c>
      <c r="B72" t="s">
        <v>73</v>
      </c>
      <c r="C72" t="s">
        <v>12</v>
      </c>
      <c r="D72" t="s">
        <v>20</v>
      </c>
      <c r="E72" s="16" t="s">
        <v>272</v>
      </c>
      <c r="F72" s="16">
        <v>2</v>
      </c>
      <c r="G72" t="s">
        <v>1524</v>
      </c>
      <c r="H72" t="s">
        <v>282</v>
      </c>
      <c r="I72" t="s">
        <v>341</v>
      </c>
      <c r="J72" t="s">
        <v>345</v>
      </c>
      <c r="L72" t="str">
        <f t="shared" si="9"/>
        <v>continuous/fully_connected</v>
      </c>
      <c r="M72" t="str">
        <f t="shared" si="10"/>
        <v>arch + arch_truss</v>
      </c>
      <c r="N72" t="str">
        <f t="shared" si="8"/>
        <v>top_structure + 2anc</v>
      </c>
      <c r="O72" t="s">
        <v>1684</v>
      </c>
      <c r="R72" t="s">
        <v>774</v>
      </c>
      <c r="S72" t="s">
        <v>292</v>
      </c>
      <c r="T72" t="s">
        <v>293</v>
      </c>
      <c r="U72" t="s">
        <v>292</v>
      </c>
      <c r="V72" t="s">
        <v>292</v>
      </c>
      <c r="W72" t="s">
        <v>293</v>
      </c>
      <c r="X72" t="str">
        <f t="shared" si="11"/>
        <v>road-</v>
      </c>
      <c r="Y72" t="str">
        <f t="shared" si="12"/>
        <v/>
      </c>
      <c r="Z72" t="str">
        <f t="shared" si="13"/>
        <v>wood-</v>
      </c>
      <c r="AA72" t="str">
        <f t="shared" si="14"/>
        <v>steel</v>
      </c>
      <c r="AB72" t="str">
        <f t="shared" si="15"/>
        <v>road-wood-steel</v>
      </c>
      <c r="AE72" t="s">
        <v>1684</v>
      </c>
    </row>
    <row r="73" spans="1:31" x14ac:dyDescent="0.3">
      <c r="A73" t="s">
        <v>43</v>
      </c>
      <c r="B73" t="s">
        <v>73</v>
      </c>
      <c r="C73" t="s">
        <v>12</v>
      </c>
      <c r="D73" t="s">
        <v>22</v>
      </c>
      <c r="E73" s="16" t="s">
        <v>272</v>
      </c>
      <c r="F73" s="16">
        <v>3</v>
      </c>
      <c r="G73" t="s">
        <v>1524</v>
      </c>
      <c r="H73" t="s">
        <v>282</v>
      </c>
      <c r="I73" t="s">
        <v>1566</v>
      </c>
      <c r="J73" t="s">
        <v>1622</v>
      </c>
      <c r="L73" t="str">
        <f t="shared" si="9"/>
        <v>continuous/fully_connected</v>
      </c>
      <c r="M73" t="str">
        <f t="shared" si="10"/>
        <v>arch + arch_truss/square_truss</v>
      </c>
      <c r="N73" t="str">
        <f t="shared" si="8"/>
        <v>top_structure/bottom_structure/rock_structure + 3anc</v>
      </c>
      <c r="O73" t="s">
        <v>1685</v>
      </c>
      <c r="R73" t="s">
        <v>775</v>
      </c>
      <c r="S73" t="s">
        <v>292</v>
      </c>
      <c r="T73" t="s">
        <v>292</v>
      </c>
      <c r="U73" t="s">
        <v>292</v>
      </c>
      <c r="V73" t="s">
        <v>292</v>
      </c>
      <c r="W73" t="s">
        <v>293</v>
      </c>
      <c r="X73" t="str">
        <f t="shared" si="11"/>
        <v>road-</v>
      </c>
      <c r="Y73" t="str">
        <f t="shared" si="12"/>
        <v>reinforced_road-</v>
      </c>
      <c r="Z73" t="str">
        <f t="shared" si="13"/>
        <v>wood-</v>
      </c>
      <c r="AA73" t="str">
        <f t="shared" si="14"/>
        <v>steel</v>
      </c>
      <c r="AB73" t="str">
        <f t="shared" si="15"/>
        <v>road-reinforced_road-wood-steel</v>
      </c>
      <c r="AE73" t="s">
        <v>1685</v>
      </c>
    </row>
    <row r="74" spans="1:31" x14ac:dyDescent="0.3">
      <c r="A74" t="s">
        <v>43</v>
      </c>
      <c r="B74" t="s">
        <v>73</v>
      </c>
      <c r="C74" t="s">
        <v>29</v>
      </c>
      <c r="D74" t="s">
        <v>25</v>
      </c>
      <c r="E74" s="16" t="s">
        <v>272</v>
      </c>
      <c r="F74" s="16">
        <v>2</v>
      </c>
      <c r="G74" t="s">
        <v>1524</v>
      </c>
      <c r="H74" t="s">
        <v>282</v>
      </c>
      <c r="I74" t="s">
        <v>342</v>
      </c>
      <c r="J74" t="s">
        <v>344</v>
      </c>
      <c r="L74" t="str">
        <f t="shared" si="9"/>
        <v>continuous/fully_connected</v>
      </c>
      <c r="M74" t="str">
        <f t="shared" si="10"/>
        <v>arch + standard_truss</v>
      </c>
      <c r="N74" t="str">
        <f t="shared" si="8"/>
        <v>bottom_structure + 2anc</v>
      </c>
      <c r="O74" t="s">
        <v>1684</v>
      </c>
      <c r="R74" t="s">
        <v>776</v>
      </c>
      <c r="S74" t="s">
        <v>292</v>
      </c>
      <c r="T74" t="s">
        <v>293</v>
      </c>
      <c r="U74" t="s">
        <v>292</v>
      </c>
      <c r="V74" t="s">
        <v>292</v>
      </c>
      <c r="W74" t="s">
        <v>293</v>
      </c>
      <c r="X74" t="str">
        <f t="shared" si="11"/>
        <v>road-</v>
      </c>
      <c r="Y74" t="str">
        <f t="shared" si="12"/>
        <v/>
      </c>
      <c r="Z74" t="str">
        <f t="shared" si="13"/>
        <v>wood-</v>
      </c>
      <c r="AA74" t="str">
        <f t="shared" si="14"/>
        <v>steel</v>
      </c>
      <c r="AB74" t="str">
        <f t="shared" si="15"/>
        <v>road-wood-steel</v>
      </c>
      <c r="AE74" t="s">
        <v>1684</v>
      </c>
    </row>
    <row r="75" spans="1:31" x14ac:dyDescent="0.3">
      <c r="A75" t="s">
        <v>43</v>
      </c>
      <c r="B75" t="s">
        <v>73</v>
      </c>
      <c r="C75" t="s">
        <v>29</v>
      </c>
      <c r="D75" t="s">
        <v>24</v>
      </c>
      <c r="E75" s="16" t="s">
        <v>272</v>
      </c>
      <c r="F75" s="16">
        <v>2</v>
      </c>
      <c r="G75" t="s">
        <v>1524</v>
      </c>
      <c r="H75" t="s">
        <v>282</v>
      </c>
      <c r="I75" t="s">
        <v>342</v>
      </c>
      <c r="J75" t="s">
        <v>344</v>
      </c>
      <c r="L75" t="str">
        <f t="shared" si="9"/>
        <v>continuous/fully_connected</v>
      </c>
      <c r="M75" t="str">
        <f t="shared" si="10"/>
        <v>arch + standard_truss</v>
      </c>
      <c r="N75" t="str">
        <f t="shared" si="8"/>
        <v>bottom_structure + 2anc</v>
      </c>
      <c r="O75" t="s">
        <v>1684</v>
      </c>
      <c r="R75" t="s">
        <v>777</v>
      </c>
      <c r="S75" t="s">
        <v>292</v>
      </c>
      <c r="T75" t="s">
        <v>293</v>
      </c>
      <c r="U75" t="s">
        <v>292</v>
      </c>
      <c r="V75" t="s">
        <v>292</v>
      </c>
      <c r="W75" t="s">
        <v>293</v>
      </c>
      <c r="X75" t="str">
        <f t="shared" si="11"/>
        <v>road-</v>
      </c>
      <c r="Y75" t="str">
        <f t="shared" si="12"/>
        <v/>
      </c>
      <c r="Z75" t="str">
        <f t="shared" si="13"/>
        <v>wood-</v>
      </c>
      <c r="AA75" t="str">
        <f t="shared" si="14"/>
        <v>steel</v>
      </c>
      <c r="AB75" t="str">
        <f t="shared" si="15"/>
        <v>road-wood-steel</v>
      </c>
      <c r="AE75" t="s">
        <v>1684</v>
      </c>
    </row>
    <row r="76" spans="1:31" x14ac:dyDescent="0.3">
      <c r="A76" t="s">
        <v>43</v>
      </c>
      <c r="B76" t="s">
        <v>73</v>
      </c>
      <c r="C76" t="s">
        <v>29</v>
      </c>
      <c r="D76" t="s">
        <v>32</v>
      </c>
      <c r="E76" s="16" t="s">
        <v>273</v>
      </c>
      <c r="F76" s="16">
        <v>2</v>
      </c>
      <c r="G76" t="s">
        <v>1525</v>
      </c>
      <c r="H76" t="s">
        <v>273</v>
      </c>
      <c r="I76" t="s">
        <v>1567</v>
      </c>
      <c r="J76" t="s">
        <v>291</v>
      </c>
      <c r="L76" t="str">
        <f t="shared" si="9"/>
        <v>missing_section/right</v>
      </c>
      <c r="M76" t="str">
        <f t="shared" si="10"/>
        <v>ramp + other</v>
      </c>
      <c r="N76" t="str">
        <f t="shared" si="8"/>
        <v>top_structure/rock_structure + 2anc</v>
      </c>
      <c r="O76" t="s">
        <v>1688</v>
      </c>
      <c r="R76" t="s">
        <v>778</v>
      </c>
      <c r="S76" t="s">
        <v>293</v>
      </c>
      <c r="T76" t="s">
        <v>292</v>
      </c>
      <c r="U76" t="s">
        <v>293</v>
      </c>
      <c r="V76" t="s">
        <v>292</v>
      </c>
      <c r="W76" t="s">
        <v>293</v>
      </c>
      <c r="X76" t="str">
        <f t="shared" si="11"/>
        <v/>
      </c>
      <c r="Y76" t="str">
        <f t="shared" si="12"/>
        <v>reinforced_road-</v>
      </c>
      <c r="Z76" t="str">
        <f t="shared" si="13"/>
        <v/>
      </c>
      <c r="AA76" t="str">
        <f t="shared" si="14"/>
        <v>steel</v>
      </c>
      <c r="AB76" t="str">
        <f t="shared" si="15"/>
        <v>reinforced_road-steel</v>
      </c>
      <c r="AE76" t="s">
        <v>1688</v>
      </c>
    </row>
    <row r="77" spans="1:31" x14ac:dyDescent="0.3">
      <c r="A77" t="s">
        <v>43</v>
      </c>
      <c r="B77" t="s">
        <v>73</v>
      </c>
      <c r="C77" t="s">
        <v>29</v>
      </c>
      <c r="D77" t="s">
        <v>30</v>
      </c>
      <c r="E77" s="16" t="s">
        <v>272</v>
      </c>
      <c r="F77" s="16">
        <v>2</v>
      </c>
      <c r="G77" t="s">
        <v>1524</v>
      </c>
      <c r="H77" t="s">
        <v>282</v>
      </c>
      <c r="I77" t="s">
        <v>342</v>
      </c>
      <c r="J77" t="s">
        <v>344</v>
      </c>
      <c r="L77" t="str">
        <f t="shared" si="9"/>
        <v>continuous/fully_connected</v>
      </c>
      <c r="M77" t="str">
        <f t="shared" si="10"/>
        <v>arch + standard_truss</v>
      </c>
      <c r="N77" t="str">
        <f t="shared" si="8"/>
        <v>bottom_structure + 2anc</v>
      </c>
      <c r="O77" t="s">
        <v>1686</v>
      </c>
      <c r="R77" t="s">
        <v>779</v>
      </c>
      <c r="S77" t="s">
        <v>293</v>
      </c>
      <c r="T77" t="s">
        <v>292</v>
      </c>
      <c r="U77" t="s">
        <v>292</v>
      </c>
      <c r="V77" t="s">
        <v>292</v>
      </c>
      <c r="W77" t="s">
        <v>293</v>
      </c>
      <c r="X77" t="str">
        <f t="shared" si="11"/>
        <v/>
      </c>
      <c r="Y77" t="str">
        <f t="shared" si="12"/>
        <v>reinforced_road-</v>
      </c>
      <c r="Z77" t="str">
        <f t="shared" si="13"/>
        <v>wood-</v>
      </c>
      <c r="AA77" t="str">
        <f t="shared" si="14"/>
        <v>steel</v>
      </c>
      <c r="AB77" t="str">
        <f t="shared" si="15"/>
        <v>reinforced_road-wood-steel</v>
      </c>
      <c r="AE77" t="s">
        <v>1686</v>
      </c>
    </row>
    <row r="78" spans="1:31" x14ac:dyDescent="0.3">
      <c r="A78" t="s">
        <v>43</v>
      </c>
      <c r="B78" t="s">
        <v>73</v>
      </c>
      <c r="C78" t="s">
        <v>29</v>
      </c>
      <c r="D78" t="s">
        <v>34</v>
      </c>
      <c r="E78" s="16" t="s">
        <v>273</v>
      </c>
      <c r="F78" s="16">
        <v>3</v>
      </c>
      <c r="G78" t="s">
        <v>1529</v>
      </c>
      <c r="H78" t="s">
        <v>1658</v>
      </c>
      <c r="I78" t="s">
        <v>1567</v>
      </c>
      <c r="J78" t="s">
        <v>347</v>
      </c>
      <c r="L78" t="str">
        <f t="shared" si="9"/>
        <v>missing_section/middle</v>
      </c>
      <c r="M78" t="str">
        <f t="shared" si="10"/>
        <v>other_shape + other_truss</v>
      </c>
      <c r="N78" t="str">
        <f t="shared" si="8"/>
        <v>top_structure/rock_structure + 3anc</v>
      </c>
      <c r="O78" t="s">
        <v>1688</v>
      </c>
      <c r="R78" t="s">
        <v>780</v>
      </c>
      <c r="S78" t="s">
        <v>293</v>
      </c>
      <c r="T78" t="s">
        <v>292</v>
      </c>
      <c r="U78" t="s">
        <v>293</v>
      </c>
      <c r="V78" t="s">
        <v>292</v>
      </c>
      <c r="W78" t="s">
        <v>293</v>
      </c>
      <c r="X78" t="str">
        <f t="shared" si="11"/>
        <v/>
      </c>
      <c r="Y78" t="str">
        <f t="shared" si="12"/>
        <v>reinforced_road-</v>
      </c>
      <c r="Z78" t="str">
        <f t="shared" si="13"/>
        <v/>
      </c>
      <c r="AA78" t="str">
        <f t="shared" si="14"/>
        <v>steel</v>
      </c>
      <c r="AB78" t="str">
        <f t="shared" si="15"/>
        <v>reinforced_road-steel</v>
      </c>
      <c r="AE78" t="s">
        <v>1688</v>
      </c>
    </row>
    <row r="79" spans="1:31" x14ac:dyDescent="0.3">
      <c r="A79" t="s">
        <v>43</v>
      </c>
      <c r="B79" t="s">
        <v>73</v>
      </c>
      <c r="C79" t="s">
        <v>29</v>
      </c>
      <c r="D79" t="s">
        <v>26</v>
      </c>
      <c r="E79" s="16" t="s">
        <v>272</v>
      </c>
      <c r="F79" s="16">
        <v>3</v>
      </c>
      <c r="G79" t="s">
        <v>1524</v>
      </c>
      <c r="H79" t="s">
        <v>282</v>
      </c>
      <c r="I79" t="s">
        <v>1568</v>
      </c>
      <c r="J79" t="s">
        <v>1570</v>
      </c>
      <c r="L79" t="str">
        <f t="shared" si="9"/>
        <v>continuous/fully_connected</v>
      </c>
      <c r="M79" t="str">
        <f t="shared" si="10"/>
        <v>arch + standard_truss/other</v>
      </c>
      <c r="N79" t="str">
        <f t="shared" si="8"/>
        <v>bottom_structure/rock_structure + 3anc</v>
      </c>
      <c r="O79" t="s">
        <v>1684</v>
      </c>
      <c r="R79" t="s">
        <v>781</v>
      </c>
      <c r="S79" t="s">
        <v>292</v>
      </c>
      <c r="T79" t="s">
        <v>293</v>
      </c>
      <c r="U79" t="s">
        <v>292</v>
      </c>
      <c r="V79" t="s">
        <v>292</v>
      </c>
      <c r="W79" t="s">
        <v>293</v>
      </c>
      <c r="X79" t="str">
        <f t="shared" si="11"/>
        <v>road-</v>
      </c>
      <c r="Y79" t="str">
        <f t="shared" si="12"/>
        <v/>
      </c>
      <c r="Z79" t="str">
        <f t="shared" si="13"/>
        <v>wood-</v>
      </c>
      <c r="AA79" t="str">
        <f t="shared" si="14"/>
        <v>steel</v>
      </c>
      <c r="AB79" t="str">
        <f t="shared" si="15"/>
        <v>road-wood-steel</v>
      </c>
      <c r="AE79" t="s">
        <v>1684</v>
      </c>
    </row>
    <row r="80" spans="1:31" x14ac:dyDescent="0.3">
      <c r="A80" t="s">
        <v>43</v>
      </c>
      <c r="B80" t="s">
        <v>73</v>
      </c>
      <c r="C80" t="s">
        <v>29</v>
      </c>
      <c r="D80" t="s">
        <v>31</v>
      </c>
      <c r="E80" s="16" t="s">
        <v>272</v>
      </c>
      <c r="F80" s="16">
        <v>3</v>
      </c>
      <c r="G80" t="s">
        <v>1524</v>
      </c>
      <c r="H80" t="s">
        <v>282</v>
      </c>
      <c r="I80" t="s">
        <v>1567</v>
      </c>
      <c r="J80" t="s">
        <v>1658</v>
      </c>
      <c r="L80" t="str">
        <f t="shared" si="9"/>
        <v>continuous/fully_connected</v>
      </c>
      <c r="M80" t="str">
        <f t="shared" si="10"/>
        <v>arch + other_shape</v>
      </c>
      <c r="N80" t="str">
        <f t="shared" si="8"/>
        <v>top_structure/rock_structure + 3anc</v>
      </c>
      <c r="O80" t="s">
        <v>1686</v>
      </c>
      <c r="R80" t="s">
        <v>782</v>
      </c>
      <c r="S80" t="s">
        <v>293</v>
      </c>
      <c r="T80" t="s">
        <v>292</v>
      </c>
      <c r="U80" t="s">
        <v>292</v>
      </c>
      <c r="V80" t="s">
        <v>292</v>
      </c>
      <c r="W80" t="s">
        <v>293</v>
      </c>
      <c r="X80" t="str">
        <f t="shared" si="11"/>
        <v/>
      </c>
      <c r="Y80" t="str">
        <f t="shared" si="12"/>
        <v>reinforced_road-</v>
      </c>
      <c r="Z80" t="str">
        <f t="shared" si="13"/>
        <v>wood-</v>
      </c>
      <c r="AA80" t="str">
        <f t="shared" si="14"/>
        <v>steel</v>
      </c>
      <c r="AB80" t="str">
        <f t="shared" si="15"/>
        <v>reinforced_road-wood-steel</v>
      </c>
      <c r="AE80" t="s">
        <v>1686</v>
      </c>
    </row>
    <row r="81" spans="1:31" x14ac:dyDescent="0.3">
      <c r="A81" t="s">
        <v>43</v>
      </c>
      <c r="B81" t="s">
        <v>73</v>
      </c>
      <c r="C81" t="s">
        <v>29</v>
      </c>
      <c r="D81" t="s">
        <v>27</v>
      </c>
      <c r="E81" s="16" t="s">
        <v>272</v>
      </c>
      <c r="F81" s="16">
        <v>3</v>
      </c>
      <c r="G81" t="s">
        <v>1526</v>
      </c>
      <c r="H81" t="s">
        <v>283</v>
      </c>
      <c r="I81" t="s">
        <v>1567</v>
      </c>
      <c r="J81" t="s">
        <v>345</v>
      </c>
      <c r="L81" t="str">
        <f t="shared" si="9"/>
        <v>continuous/right_overhang</v>
      </c>
      <c r="M81" t="str">
        <f t="shared" si="10"/>
        <v>inclined + arch_truss</v>
      </c>
      <c r="N81" t="str">
        <f t="shared" si="8"/>
        <v>top_structure/rock_structure + 3anc</v>
      </c>
      <c r="O81" t="s">
        <v>1684</v>
      </c>
      <c r="R81" t="s">
        <v>783</v>
      </c>
      <c r="S81" t="s">
        <v>292</v>
      </c>
      <c r="T81" t="s">
        <v>293</v>
      </c>
      <c r="U81" t="s">
        <v>292</v>
      </c>
      <c r="V81" t="s">
        <v>292</v>
      </c>
      <c r="W81" t="s">
        <v>293</v>
      </c>
      <c r="X81" t="str">
        <f t="shared" si="11"/>
        <v>road-</v>
      </c>
      <c r="Y81" t="str">
        <f t="shared" si="12"/>
        <v/>
      </c>
      <c r="Z81" t="str">
        <f t="shared" si="13"/>
        <v>wood-</v>
      </c>
      <c r="AA81" t="str">
        <f t="shared" si="14"/>
        <v>steel</v>
      </c>
      <c r="AB81" t="str">
        <f t="shared" si="15"/>
        <v>road-wood-steel</v>
      </c>
      <c r="AE81" t="s">
        <v>1684</v>
      </c>
    </row>
    <row r="82" spans="1:31" x14ac:dyDescent="0.3">
      <c r="A82" t="s">
        <v>43</v>
      </c>
      <c r="B82" t="s">
        <v>73</v>
      </c>
      <c r="C82" t="s">
        <v>29</v>
      </c>
      <c r="D82" t="s">
        <v>28</v>
      </c>
      <c r="E82" s="16" t="s">
        <v>272</v>
      </c>
      <c r="F82" s="16">
        <v>2</v>
      </c>
      <c r="G82" t="s">
        <v>1524</v>
      </c>
      <c r="H82" t="s">
        <v>282</v>
      </c>
      <c r="I82" t="s">
        <v>342</v>
      </c>
      <c r="J82" t="s">
        <v>344</v>
      </c>
      <c r="L82" t="str">
        <f t="shared" si="9"/>
        <v>continuous/fully_connected</v>
      </c>
      <c r="M82" t="str">
        <f t="shared" si="10"/>
        <v>arch + standard_truss</v>
      </c>
      <c r="N82" t="str">
        <f t="shared" si="8"/>
        <v>bottom_structure + 2anc</v>
      </c>
      <c r="O82" t="s">
        <v>1686</v>
      </c>
      <c r="R82" t="s">
        <v>784</v>
      </c>
      <c r="S82" t="s">
        <v>293</v>
      </c>
      <c r="T82" t="s">
        <v>292</v>
      </c>
      <c r="U82" t="s">
        <v>292</v>
      </c>
      <c r="V82" t="s">
        <v>292</v>
      </c>
      <c r="W82" t="s">
        <v>293</v>
      </c>
      <c r="X82" t="str">
        <f t="shared" si="11"/>
        <v/>
      </c>
      <c r="Y82" t="str">
        <f t="shared" si="12"/>
        <v>reinforced_road-</v>
      </c>
      <c r="Z82" t="str">
        <f t="shared" si="13"/>
        <v>wood-</v>
      </c>
      <c r="AA82" t="str">
        <f t="shared" si="14"/>
        <v>steel</v>
      </c>
      <c r="AB82" t="str">
        <f t="shared" si="15"/>
        <v>reinforced_road-wood-steel</v>
      </c>
      <c r="AE82" t="s">
        <v>1686</v>
      </c>
    </row>
    <row r="83" spans="1:31" x14ac:dyDescent="0.3">
      <c r="A83" t="s">
        <v>43</v>
      </c>
      <c r="B83" t="s">
        <v>73</v>
      </c>
      <c r="C83" t="s">
        <v>29</v>
      </c>
      <c r="D83" t="s">
        <v>35</v>
      </c>
      <c r="E83" s="16" t="s">
        <v>273</v>
      </c>
      <c r="F83" s="16">
        <v>3</v>
      </c>
      <c r="G83" t="s">
        <v>1529</v>
      </c>
      <c r="H83" t="s">
        <v>1658</v>
      </c>
      <c r="I83" t="s">
        <v>1566</v>
      </c>
      <c r="J83" t="s">
        <v>1571</v>
      </c>
      <c r="L83" t="str">
        <f t="shared" si="9"/>
        <v>missing_section/middle</v>
      </c>
      <c r="M83" t="str">
        <f t="shared" si="10"/>
        <v>other_shape + standard_truss/other_truss</v>
      </c>
      <c r="N83" t="str">
        <f t="shared" si="8"/>
        <v>top_structure/bottom_structure/rock_structure + 3anc</v>
      </c>
      <c r="O83" t="s">
        <v>1688</v>
      </c>
      <c r="R83" t="s">
        <v>785</v>
      </c>
      <c r="S83" t="s">
        <v>293</v>
      </c>
      <c r="T83" t="s">
        <v>292</v>
      </c>
      <c r="U83" t="s">
        <v>293</v>
      </c>
      <c r="V83" t="s">
        <v>292</v>
      </c>
      <c r="W83" t="s">
        <v>293</v>
      </c>
      <c r="X83" t="str">
        <f t="shared" si="11"/>
        <v/>
      </c>
      <c r="Y83" t="str">
        <f t="shared" si="12"/>
        <v>reinforced_road-</v>
      </c>
      <c r="Z83" t="str">
        <f t="shared" si="13"/>
        <v/>
      </c>
      <c r="AA83" t="str">
        <f t="shared" si="14"/>
        <v>steel</v>
      </c>
      <c r="AB83" t="str">
        <f t="shared" si="15"/>
        <v>reinforced_road-steel</v>
      </c>
      <c r="AE83" t="s">
        <v>1688</v>
      </c>
    </row>
    <row r="84" spans="1:31" x14ac:dyDescent="0.3">
      <c r="A84" t="s">
        <v>45</v>
      </c>
      <c r="B84" t="s">
        <v>46</v>
      </c>
      <c r="C84" t="s">
        <v>12</v>
      </c>
      <c r="D84" t="s">
        <v>15</v>
      </c>
      <c r="E84" s="16" t="s">
        <v>272</v>
      </c>
      <c r="F84" s="16">
        <v>3</v>
      </c>
      <c r="G84" t="s">
        <v>1526</v>
      </c>
      <c r="H84" t="s">
        <v>1546</v>
      </c>
      <c r="I84" t="s">
        <v>1567</v>
      </c>
      <c r="J84" t="s">
        <v>345</v>
      </c>
      <c r="L84" t="str">
        <f t="shared" si="9"/>
        <v>continuous/right_overhang</v>
      </c>
      <c r="M84" t="str">
        <f t="shared" si="10"/>
        <v>inclined/straight + arch_truss</v>
      </c>
      <c r="N84" t="str">
        <f t="shared" si="8"/>
        <v>top_structure/rock_structure + 3anc</v>
      </c>
      <c r="O84" t="s">
        <v>1684</v>
      </c>
      <c r="R84" t="s">
        <v>786</v>
      </c>
      <c r="S84" t="s">
        <v>292</v>
      </c>
      <c r="T84" t="s">
        <v>293</v>
      </c>
      <c r="U84" t="s">
        <v>292</v>
      </c>
      <c r="V84" t="s">
        <v>292</v>
      </c>
      <c r="W84" t="s">
        <v>293</v>
      </c>
      <c r="X84" t="str">
        <f t="shared" si="11"/>
        <v>road-</v>
      </c>
      <c r="Y84" t="str">
        <f t="shared" si="12"/>
        <v/>
      </c>
      <c r="Z84" t="str">
        <f t="shared" si="13"/>
        <v>wood-</v>
      </c>
      <c r="AA84" t="str">
        <f t="shared" si="14"/>
        <v>steel</v>
      </c>
      <c r="AB84" t="str">
        <f t="shared" si="15"/>
        <v>road-wood-steel</v>
      </c>
      <c r="AE84" t="s">
        <v>1684</v>
      </c>
    </row>
    <row r="85" spans="1:31" x14ac:dyDescent="0.3">
      <c r="A85" t="s">
        <v>45</v>
      </c>
      <c r="B85" t="s">
        <v>46</v>
      </c>
      <c r="C85" t="s">
        <v>12</v>
      </c>
      <c r="D85" t="s">
        <v>14</v>
      </c>
      <c r="E85" s="16" t="s">
        <v>272</v>
      </c>
      <c r="F85" s="16">
        <v>3</v>
      </c>
      <c r="G85" t="s">
        <v>1526</v>
      </c>
      <c r="H85" t="s">
        <v>1546</v>
      </c>
      <c r="I85" t="s">
        <v>1567</v>
      </c>
      <c r="J85" t="s">
        <v>345</v>
      </c>
      <c r="L85" t="str">
        <f t="shared" si="9"/>
        <v>continuous/right_overhang</v>
      </c>
      <c r="M85" t="str">
        <f t="shared" si="10"/>
        <v>inclined/straight + arch_truss</v>
      </c>
      <c r="N85" t="str">
        <f t="shared" si="8"/>
        <v>top_structure/rock_structure + 3anc</v>
      </c>
      <c r="O85" t="s">
        <v>1686</v>
      </c>
      <c r="R85" t="s">
        <v>787</v>
      </c>
      <c r="S85" t="s">
        <v>293</v>
      </c>
      <c r="T85" t="s">
        <v>292</v>
      </c>
      <c r="U85" t="s">
        <v>292</v>
      </c>
      <c r="V85" t="s">
        <v>292</v>
      </c>
      <c r="W85" t="s">
        <v>293</v>
      </c>
      <c r="X85" t="str">
        <f t="shared" si="11"/>
        <v/>
      </c>
      <c r="Y85" t="str">
        <f t="shared" si="12"/>
        <v>reinforced_road-</v>
      </c>
      <c r="Z85" t="str">
        <f t="shared" si="13"/>
        <v>wood-</v>
      </c>
      <c r="AA85" t="str">
        <f t="shared" si="14"/>
        <v>steel</v>
      </c>
      <c r="AB85" t="str">
        <f t="shared" si="15"/>
        <v>reinforced_road-wood-steel</v>
      </c>
      <c r="AE85" t="s">
        <v>1686</v>
      </c>
    </row>
    <row r="86" spans="1:31" x14ac:dyDescent="0.3">
      <c r="A86" t="s">
        <v>45</v>
      </c>
      <c r="B86" t="s">
        <v>46</v>
      </c>
      <c r="C86" t="s">
        <v>12</v>
      </c>
      <c r="D86" t="s">
        <v>11</v>
      </c>
      <c r="E86" s="16" t="s">
        <v>272</v>
      </c>
      <c r="F86" s="16">
        <v>3</v>
      </c>
      <c r="G86" t="s">
        <v>1526</v>
      </c>
      <c r="H86" t="s">
        <v>1546</v>
      </c>
      <c r="I86" t="s">
        <v>1567</v>
      </c>
      <c r="J86" t="s">
        <v>345</v>
      </c>
      <c r="L86" t="str">
        <f t="shared" si="9"/>
        <v>continuous/right_overhang</v>
      </c>
      <c r="M86" t="str">
        <f t="shared" si="10"/>
        <v>inclined/straight + arch_truss</v>
      </c>
      <c r="N86" t="str">
        <f t="shared" si="8"/>
        <v>top_structure/rock_structure + 3anc</v>
      </c>
      <c r="O86" t="s">
        <v>1686</v>
      </c>
      <c r="R86" t="s">
        <v>788</v>
      </c>
      <c r="S86" t="s">
        <v>293</v>
      </c>
      <c r="T86" t="s">
        <v>292</v>
      </c>
      <c r="U86" t="s">
        <v>292</v>
      </c>
      <c r="V86" t="s">
        <v>292</v>
      </c>
      <c r="W86" t="s">
        <v>293</v>
      </c>
      <c r="X86" t="str">
        <f t="shared" si="11"/>
        <v/>
      </c>
      <c r="Y86" t="str">
        <f t="shared" si="12"/>
        <v>reinforced_road-</v>
      </c>
      <c r="Z86" t="str">
        <f t="shared" si="13"/>
        <v>wood-</v>
      </c>
      <c r="AA86" t="str">
        <f t="shared" si="14"/>
        <v>steel</v>
      </c>
      <c r="AB86" t="str">
        <f t="shared" si="15"/>
        <v>reinforced_road-wood-steel</v>
      </c>
      <c r="AE86" t="s">
        <v>1686</v>
      </c>
    </row>
    <row r="87" spans="1:31" x14ac:dyDescent="0.3">
      <c r="A87" t="s">
        <v>45</v>
      </c>
      <c r="B87" t="s">
        <v>46</v>
      </c>
      <c r="C87" t="s">
        <v>12</v>
      </c>
      <c r="D87" t="s">
        <v>19</v>
      </c>
      <c r="E87" s="16" t="s">
        <v>272</v>
      </c>
      <c r="F87" s="16">
        <v>3</v>
      </c>
      <c r="G87" t="s">
        <v>1526</v>
      </c>
      <c r="H87" t="s">
        <v>1546</v>
      </c>
      <c r="I87" t="s">
        <v>1567</v>
      </c>
      <c r="J87" t="s">
        <v>1574</v>
      </c>
      <c r="L87" t="str">
        <f t="shared" si="9"/>
        <v>continuous/right_overhang</v>
      </c>
      <c r="M87" t="str">
        <f t="shared" si="10"/>
        <v>inclined/straight + standard_truss/arch_truss</v>
      </c>
      <c r="N87" t="str">
        <f t="shared" si="8"/>
        <v>top_structure/rock_structure + 3anc</v>
      </c>
      <c r="O87" t="s">
        <v>1684</v>
      </c>
      <c r="R87" t="s">
        <v>789</v>
      </c>
      <c r="S87" t="s">
        <v>292</v>
      </c>
      <c r="T87" t="s">
        <v>293</v>
      </c>
      <c r="U87" t="s">
        <v>292</v>
      </c>
      <c r="V87" t="s">
        <v>292</v>
      </c>
      <c r="W87" t="s">
        <v>293</v>
      </c>
      <c r="X87" t="str">
        <f t="shared" si="11"/>
        <v>road-</v>
      </c>
      <c r="Y87" t="str">
        <f t="shared" si="12"/>
        <v/>
      </c>
      <c r="Z87" t="str">
        <f t="shared" si="13"/>
        <v>wood-</v>
      </c>
      <c r="AA87" t="str">
        <f t="shared" si="14"/>
        <v>steel</v>
      </c>
      <c r="AB87" t="str">
        <f t="shared" si="15"/>
        <v>road-wood-steel</v>
      </c>
      <c r="AE87" t="s">
        <v>1684</v>
      </c>
    </row>
    <row r="88" spans="1:31" x14ac:dyDescent="0.3">
      <c r="A88" t="s">
        <v>45</v>
      </c>
      <c r="B88" t="s">
        <v>46</v>
      </c>
      <c r="C88" t="s">
        <v>12</v>
      </c>
      <c r="D88" t="s">
        <v>17</v>
      </c>
      <c r="E88" s="16" t="s">
        <v>272</v>
      </c>
      <c r="F88" s="16">
        <v>3</v>
      </c>
      <c r="G88" t="s">
        <v>1526</v>
      </c>
      <c r="H88" t="s">
        <v>1546</v>
      </c>
      <c r="I88" t="s">
        <v>1567</v>
      </c>
      <c r="J88" t="s">
        <v>345</v>
      </c>
      <c r="L88" t="str">
        <f t="shared" si="9"/>
        <v>continuous/right_overhang</v>
      </c>
      <c r="M88" t="str">
        <f t="shared" si="10"/>
        <v>inclined/straight + arch_truss</v>
      </c>
      <c r="N88" t="str">
        <f t="shared" si="8"/>
        <v>top_structure/rock_structure + 3anc</v>
      </c>
      <c r="O88" t="s">
        <v>1684</v>
      </c>
      <c r="R88" t="s">
        <v>790</v>
      </c>
      <c r="S88" t="s">
        <v>292</v>
      </c>
      <c r="T88" t="s">
        <v>293</v>
      </c>
      <c r="U88" t="s">
        <v>292</v>
      </c>
      <c r="V88" t="s">
        <v>292</v>
      </c>
      <c r="W88" t="s">
        <v>293</v>
      </c>
      <c r="X88" t="str">
        <f t="shared" si="11"/>
        <v>road-</v>
      </c>
      <c r="Y88" t="str">
        <f t="shared" si="12"/>
        <v/>
      </c>
      <c r="Z88" t="str">
        <f t="shared" si="13"/>
        <v>wood-</v>
      </c>
      <c r="AA88" t="str">
        <f t="shared" si="14"/>
        <v>steel</v>
      </c>
      <c r="AB88" t="str">
        <f t="shared" si="15"/>
        <v>road-wood-steel</v>
      </c>
      <c r="AE88" t="s">
        <v>1684</v>
      </c>
    </row>
    <row r="89" spans="1:31" x14ac:dyDescent="0.3">
      <c r="A89" t="s">
        <v>45</v>
      </c>
      <c r="B89" t="s">
        <v>46</v>
      </c>
      <c r="C89" t="s">
        <v>12</v>
      </c>
      <c r="D89" t="s">
        <v>16</v>
      </c>
      <c r="E89" s="16" t="s">
        <v>272</v>
      </c>
      <c r="F89" s="16">
        <v>3</v>
      </c>
      <c r="G89" t="s">
        <v>1526</v>
      </c>
      <c r="H89" t="s">
        <v>1546</v>
      </c>
      <c r="I89" t="s">
        <v>1567</v>
      </c>
      <c r="J89" t="s">
        <v>1622</v>
      </c>
      <c r="L89" t="str">
        <f t="shared" si="9"/>
        <v>continuous/right_overhang</v>
      </c>
      <c r="M89" t="str">
        <f t="shared" si="10"/>
        <v>inclined/straight + arch_truss/square_truss</v>
      </c>
      <c r="N89" t="str">
        <f t="shared" si="8"/>
        <v>top_structure/rock_structure + 3anc</v>
      </c>
      <c r="O89" t="s">
        <v>1684</v>
      </c>
      <c r="R89" t="s">
        <v>791</v>
      </c>
      <c r="S89" t="s">
        <v>292</v>
      </c>
      <c r="T89" t="s">
        <v>293</v>
      </c>
      <c r="U89" t="s">
        <v>292</v>
      </c>
      <c r="V89" t="s">
        <v>292</v>
      </c>
      <c r="W89" t="s">
        <v>293</v>
      </c>
      <c r="X89" t="str">
        <f t="shared" si="11"/>
        <v>road-</v>
      </c>
      <c r="Y89" t="str">
        <f t="shared" si="12"/>
        <v/>
      </c>
      <c r="Z89" t="str">
        <f t="shared" si="13"/>
        <v>wood-</v>
      </c>
      <c r="AA89" t="str">
        <f t="shared" si="14"/>
        <v>steel</v>
      </c>
      <c r="AB89" t="str">
        <f t="shared" si="15"/>
        <v>road-wood-steel</v>
      </c>
      <c r="AE89" t="s">
        <v>1684</v>
      </c>
    </row>
    <row r="90" spans="1:31" x14ac:dyDescent="0.3">
      <c r="A90" t="s">
        <v>45</v>
      </c>
      <c r="B90" t="s">
        <v>46</v>
      </c>
      <c r="C90" t="s">
        <v>12</v>
      </c>
      <c r="D90" t="s">
        <v>20</v>
      </c>
      <c r="E90" s="16" t="s">
        <v>272</v>
      </c>
      <c r="F90" s="16">
        <v>3</v>
      </c>
      <c r="G90" t="s">
        <v>1526</v>
      </c>
      <c r="H90" t="s">
        <v>1546</v>
      </c>
      <c r="I90" t="s">
        <v>1567</v>
      </c>
      <c r="J90" t="s">
        <v>345</v>
      </c>
      <c r="L90" t="str">
        <f t="shared" si="9"/>
        <v>continuous/right_overhang</v>
      </c>
      <c r="M90" t="str">
        <f t="shared" si="10"/>
        <v>inclined/straight + arch_truss</v>
      </c>
      <c r="N90" t="str">
        <f t="shared" si="8"/>
        <v>top_structure/rock_structure + 3anc</v>
      </c>
      <c r="O90" t="s">
        <v>1692</v>
      </c>
      <c r="R90" t="s">
        <v>792</v>
      </c>
      <c r="S90" t="s">
        <v>292</v>
      </c>
      <c r="T90" t="s">
        <v>293</v>
      </c>
      <c r="U90" t="s">
        <v>292</v>
      </c>
      <c r="V90" t="s">
        <v>293</v>
      </c>
      <c r="W90" t="s">
        <v>293</v>
      </c>
      <c r="X90" t="str">
        <f t="shared" si="11"/>
        <v>road-</v>
      </c>
      <c r="Y90" t="str">
        <f t="shared" si="12"/>
        <v/>
      </c>
      <c r="Z90" t="str">
        <f t="shared" si="13"/>
        <v>wood-</v>
      </c>
      <c r="AA90" t="str">
        <f t="shared" si="14"/>
        <v/>
      </c>
      <c r="AB90" t="str">
        <f t="shared" si="15"/>
        <v>road-wood-</v>
      </c>
      <c r="AE90" t="s">
        <v>1692</v>
      </c>
    </row>
    <row r="91" spans="1:31" x14ac:dyDescent="0.3">
      <c r="A91" t="s">
        <v>45</v>
      </c>
      <c r="B91" t="s">
        <v>46</v>
      </c>
      <c r="C91" t="s">
        <v>29</v>
      </c>
      <c r="D91" t="s">
        <v>23</v>
      </c>
      <c r="E91" s="16" t="s">
        <v>272</v>
      </c>
      <c r="F91" s="16">
        <v>3</v>
      </c>
      <c r="G91" t="s">
        <v>1526</v>
      </c>
      <c r="H91" t="s">
        <v>1546</v>
      </c>
      <c r="I91" t="s">
        <v>1567</v>
      </c>
      <c r="J91" t="s">
        <v>345</v>
      </c>
      <c r="L91" t="str">
        <f t="shared" si="9"/>
        <v>continuous/right_overhang</v>
      </c>
      <c r="M91" t="str">
        <f t="shared" si="10"/>
        <v>inclined/straight + arch_truss</v>
      </c>
      <c r="N91" t="str">
        <f t="shared" si="8"/>
        <v>top_structure/rock_structure + 3anc</v>
      </c>
      <c r="O91" t="s">
        <v>1690</v>
      </c>
      <c r="R91" t="s">
        <v>793</v>
      </c>
      <c r="S91" t="s">
        <v>292</v>
      </c>
      <c r="T91" t="s">
        <v>292</v>
      </c>
      <c r="U91" t="s">
        <v>292</v>
      </c>
      <c r="V91" t="s">
        <v>293</v>
      </c>
      <c r="W91" t="s">
        <v>293</v>
      </c>
      <c r="X91" t="str">
        <f t="shared" si="11"/>
        <v>road-</v>
      </c>
      <c r="Y91" t="str">
        <f t="shared" si="12"/>
        <v>reinforced_road-</v>
      </c>
      <c r="Z91" t="str">
        <f t="shared" si="13"/>
        <v>wood-</v>
      </c>
      <c r="AA91" t="str">
        <f t="shared" si="14"/>
        <v/>
      </c>
      <c r="AB91" t="str">
        <f t="shared" si="15"/>
        <v>road-reinforced_road-wood-</v>
      </c>
      <c r="AE91" t="s">
        <v>1690</v>
      </c>
    </row>
    <row r="92" spans="1:31" x14ac:dyDescent="0.3">
      <c r="A92" t="s">
        <v>45</v>
      </c>
      <c r="B92" t="s">
        <v>46</v>
      </c>
      <c r="C92" t="s">
        <v>29</v>
      </c>
      <c r="D92" t="s">
        <v>25</v>
      </c>
      <c r="E92" s="16" t="s">
        <v>272</v>
      </c>
      <c r="F92" s="16">
        <v>3</v>
      </c>
      <c r="G92" t="s">
        <v>1526</v>
      </c>
      <c r="H92" t="s">
        <v>1546</v>
      </c>
      <c r="I92" t="s">
        <v>1567</v>
      </c>
      <c r="J92" t="s">
        <v>345</v>
      </c>
      <c r="L92" t="str">
        <f t="shared" si="9"/>
        <v>continuous/right_overhang</v>
      </c>
      <c r="M92" t="str">
        <f t="shared" si="10"/>
        <v>inclined/straight + arch_truss</v>
      </c>
      <c r="N92" t="str">
        <f t="shared" si="8"/>
        <v>top_structure/rock_structure + 3anc</v>
      </c>
      <c r="O92" t="s">
        <v>1684</v>
      </c>
      <c r="R92" t="s">
        <v>794</v>
      </c>
      <c r="S92" t="s">
        <v>292</v>
      </c>
      <c r="T92" t="s">
        <v>293</v>
      </c>
      <c r="U92" t="s">
        <v>292</v>
      </c>
      <c r="V92" t="s">
        <v>292</v>
      </c>
      <c r="W92" t="s">
        <v>293</v>
      </c>
      <c r="X92" t="str">
        <f t="shared" si="11"/>
        <v>road-</v>
      </c>
      <c r="Y92" t="str">
        <f t="shared" si="12"/>
        <v/>
      </c>
      <c r="Z92" t="str">
        <f t="shared" si="13"/>
        <v>wood-</v>
      </c>
      <c r="AA92" t="str">
        <f t="shared" si="14"/>
        <v>steel</v>
      </c>
      <c r="AB92" t="str">
        <f t="shared" si="15"/>
        <v>road-wood-steel</v>
      </c>
      <c r="AE92" t="s">
        <v>1684</v>
      </c>
    </row>
    <row r="93" spans="1:31" x14ac:dyDescent="0.3">
      <c r="A93" t="s">
        <v>45</v>
      </c>
      <c r="B93" t="s">
        <v>46</v>
      </c>
      <c r="C93" t="s">
        <v>29</v>
      </c>
      <c r="D93" t="s">
        <v>24</v>
      </c>
      <c r="E93" s="16" t="s">
        <v>272</v>
      </c>
      <c r="F93" s="16">
        <v>3</v>
      </c>
      <c r="G93" t="s">
        <v>1526</v>
      </c>
      <c r="H93" t="s">
        <v>1546</v>
      </c>
      <c r="I93" t="s">
        <v>1567</v>
      </c>
      <c r="J93" t="s">
        <v>345</v>
      </c>
      <c r="L93" t="str">
        <f t="shared" si="9"/>
        <v>continuous/right_overhang</v>
      </c>
      <c r="M93" t="str">
        <f t="shared" si="10"/>
        <v>inclined/straight + arch_truss</v>
      </c>
      <c r="N93" t="str">
        <f t="shared" si="8"/>
        <v>top_structure/rock_structure + 3anc</v>
      </c>
      <c r="O93" t="s">
        <v>1690</v>
      </c>
      <c r="R93" t="s">
        <v>795</v>
      </c>
      <c r="S93" t="s">
        <v>292</v>
      </c>
      <c r="T93" t="s">
        <v>292</v>
      </c>
      <c r="U93" t="s">
        <v>292</v>
      </c>
      <c r="V93" t="s">
        <v>293</v>
      </c>
      <c r="W93" t="s">
        <v>293</v>
      </c>
      <c r="X93" t="str">
        <f t="shared" si="11"/>
        <v>road-</v>
      </c>
      <c r="Y93" t="str">
        <f t="shared" si="12"/>
        <v>reinforced_road-</v>
      </c>
      <c r="Z93" t="str">
        <f t="shared" si="13"/>
        <v>wood-</v>
      </c>
      <c r="AA93" t="str">
        <f t="shared" si="14"/>
        <v/>
      </c>
      <c r="AB93" t="str">
        <f t="shared" si="15"/>
        <v>road-reinforced_road-wood-</v>
      </c>
      <c r="AE93" t="s">
        <v>1690</v>
      </c>
    </row>
    <row r="94" spans="1:31" x14ac:dyDescent="0.3">
      <c r="A94" t="s">
        <v>45</v>
      </c>
      <c r="B94" t="s">
        <v>46</v>
      </c>
      <c r="C94" t="s">
        <v>29</v>
      </c>
      <c r="D94" t="s">
        <v>21</v>
      </c>
      <c r="E94" s="16" t="s">
        <v>272</v>
      </c>
      <c r="F94" s="16">
        <v>3</v>
      </c>
      <c r="G94" t="s">
        <v>1526</v>
      </c>
      <c r="H94" t="s">
        <v>1546</v>
      </c>
      <c r="I94" t="s">
        <v>1567</v>
      </c>
      <c r="J94" t="s">
        <v>345</v>
      </c>
      <c r="L94" t="str">
        <f t="shared" si="9"/>
        <v>continuous/right_overhang</v>
      </c>
      <c r="M94" t="str">
        <f t="shared" si="10"/>
        <v>inclined/straight + arch_truss</v>
      </c>
      <c r="N94" t="str">
        <f t="shared" si="8"/>
        <v>top_structure/rock_structure + 3anc</v>
      </c>
      <c r="O94" t="s">
        <v>1690</v>
      </c>
      <c r="R94" t="s">
        <v>796</v>
      </c>
      <c r="S94" t="s">
        <v>292</v>
      </c>
      <c r="T94" t="s">
        <v>292</v>
      </c>
      <c r="U94" t="s">
        <v>292</v>
      </c>
      <c r="V94" t="s">
        <v>293</v>
      </c>
      <c r="W94" t="s">
        <v>293</v>
      </c>
      <c r="X94" t="str">
        <f t="shared" si="11"/>
        <v>road-</v>
      </c>
      <c r="Y94" t="str">
        <f t="shared" si="12"/>
        <v>reinforced_road-</v>
      </c>
      <c r="Z94" t="str">
        <f t="shared" si="13"/>
        <v>wood-</v>
      </c>
      <c r="AA94" t="str">
        <f t="shared" si="14"/>
        <v/>
      </c>
      <c r="AB94" t="str">
        <f t="shared" si="15"/>
        <v>road-reinforced_road-wood-</v>
      </c>
      <c r="AE94" t="s">
        <v>1690</v>
      </c>
    </row>
    <row r="95" spans="1:31" x14ac:dyDescent="0.3">
      <c r="A95" t="s">
        <v>45</v>
      </c>
      <c r="B95" t="s">
        <v>46</v>
      </c>
      <c r="C95" t="s">
        <v>29</v>
      </c>
      <c r="D95" t="s">
        <v>30</v>
      </c>
      <c r="E95" s="16" t="s">
        <v>272</v>
      </c>
      <c r="F95" s="16">
        <v>3</v>
      </c>
      <c r="G95" t="s">
        <v>1526</v>
      </c>
      <c r="H95" t="s">
        <v>1546</v>
      </c>
      <c r="I95" t="s">
        <v>1567</v>
      </c>
      <c r="J95" t="s">
        <v>345</v>
      </c>
      <c r="L95" t="str">
        <f t="shared" si="9"/>
        <v>continuous/right_overhang</v>
      </c>
      <c r="M95" t="str">
        <f t="shared" si="10"/>
        <v>inclined/straight + arch_truss</v>
      </c>
      <c r="N95" t="str">
        <f t="shared" si="8"/>
        <v>top_structure/rock_structure + 3anc</v>
      </c>
      <c r="O95" t="s">
        <v>1684</v>
      </c>
      <c r="R95" t="s">
        <v>797</v>
      </c>
      <c r="S95" t="s">
        <v>292</v>
      </c>
      <c r="T95" t="s">
        <v>293</v>
      </c>
      <c r="U95" t="s">
        <v>292</v>
      </c>
      <c r="V95" t="s">
        <v>292</v>
      </c>
      <c r="W95" t="s">
        <v>293</v>
      </c>
      <c r="X95" t="str">
        <f t="shared" si="11"/>
        <v>road-</v>
      </c>
      <c r="Y95" t="str">
        <f t="shared" si="12"/>
        <v/>
      </c>
      <c r="Z95" t="str">
        <f t="shared" si="13"/>
        <v>wood-</v>
      </c>
      <c r="AA95" t="str">
        <f t="shared" si="14"/>
        <v>steel</v>
      </c>
      <c r="AB95" t="str">
        <f t="shared" si="15"/>
        <v>road-wood-steel</v>
      </c>
      <c r="AE95" t="s">
        <v>1684</v>
      </c>
    </row>
    <row r="96" spans="1:31" x14ac:dyDescent="0.3">
      <c r="A96" t="s">
        <v>45</v>
      </c>
      <c r="B96" t="s">
        <v>46</v>
      </c>
      <c r="C96" t="s">
        <v>29</v>
      </c>
      <c r="D96" t="s">
        <v>26</v>
      </c>
      <c r="E96" s="16" t="s">
        <v>272</v>
      </c>
      <c r="F96" s="16">
        <v>3</v>
      </c>
      <c r="G96" t="s">
        <v>1526</v>
      </c>
      <c r="H96" t="s">
        <v>1658</v>
      </c>
      <c r="I96" t="s">
        <v>1567</v>
      </c>
      <c r="J96" t="s">
        <v>345</v>
      </c>
      <c r="L96" t="str">
        <f t="shared" si="9"/>
        <v>continuous/right_overhang</v>
      </c>
      <c r="M96" t="str">
        <f t="shared" si="10"/>
        <v>other_shape + arch_truss</v>
      </c>
      <c r="N96" t="str">
        <f t="shared" si="8"/>
        <v>top_structure/rock_structure + 3anc</v>
      </c>
      <c r="O96" t="s">
        <v>1684</v>
      </c>
      <c r="R96" t="s">
        <v>798</v>
      </c>
      <c r="S96" t="s">
        <v>292</v>
      </c>
      <c r="T96" t="s">
        <v>293</v>
      </c>
      <c r="U96" t="s">
        <v>292</v>
      </c>
      <c r="V96" t="s">
        <v>292</v>
      </c>
      <c r="W96" t="s">
        <v>293</v>
      </c>
      <c r="X96" t="str">
        <f t="shared" si="11"/>
        <v>road-</v>
      </c>
      <c r="Y96" t="str">
        <f t="shared" si="12"/>
        <v/>
      </c>
      <c r="Z96" t="str">
        <f t="shared" si="13"/>
        <v>wood-</v>
      </c>
      <c r="AA96" t="str">
        <f t="shared" si="14"/>
        <v>steel</v>
      </c>
      <c r="AB96" t="str">
        <f t="shared" si="15"/>
        <v>road-wood-steel</v>
      </c>
      <c r="AE96" t="s">
        <v>1684</v>
      </c>
    </row>
    <row r="97" spans="1:31" x14ac:dyDescent="0.3">
      <c r="A97" t="s">
        <v>45</v>
      </c>
      <c r="B97" t="s">
        <v>46</v>
      </c>
      <c r="C97" t="s">
        <v>29</v>
      </c>
      <c r="D97" t="s">
        <v>22</v>
      </c>
      <c r="E97" s="16" t="s">
        <v>272</v>
      </c>
      <c r="F97" s="16">
        <v>3</v>
      </c>
      <c r="G97" t="s">
        <v>1526</v>
      </c>
      <c r="H97" t="s">
        <v>1546</v>
      </c>
      <c r="I97" t="s">
        <v>1567</v>
      </c>
      <c r="J97" t="s">
        <v>345</v>
      </c>
      <c r="L97" t="str">
        <f t="shared" si="9"/>
        <v>continuous/right_overhang</v>
      </c>
      <c r="M97" t="str">
        <f t="shared" si="10"/>
        <v>inclined/straight + arch_truss</v>
      </c>
      <c r="N97" t="str">
        <f t="shared" si="8"/>
        <v>top_structure/rock_structure + 3anc</v>
      </c>
      <c r="O97" t="s">
        <v>1690</v>
      </c>
      <c r="R97" t="s">
        <v>799</v>
      </c>
      <c r="S97" t="s">
        <v>292</v>
      </c>
      <c r="T97" t="s">
        <v>292</v>
      </c>
      <c r="U97" t="s">
        <v>292</v>
      </c>
      <c r="V97" t="s">
        <v>293</v>
      </c>
      <c r="W97" t="s">
        <v>293</v>
      </c>
      <c r="X97" t="str">
        <f t="shared" si="11"/>
        <v>road-</v>
      </c>
      <c r="Y97" t="str">
        <f t="shared" si="12"/>
        <v>reinforced_road-</v>
      </c>
      <c r="Z97" t="str">
        <f t="shared" si="13"/>
        <v>wood-</v>
      </c>
      <c r="AA97" t="str">
        <f t="shared" si="14"/>
        <v/>
      </c>
      <c r="AB97" t="str">
        <f t="shared" si="15"/>
        <v>road-reinforced_road-wood-</v>
      </c>
      <c r="AE97" t="s">
        <v>1690</v>
      </c>
    </row>
    <row r="98" spans="1:31" x14ac:dyDescent="0.3">
      <c r="A98" t="s">
        <v>45</v>
      </c>
      <c r="B98" t="s">
        <v>46</v>
      </c>
      <c r="C98" t="s">
        <v>29</v>
      </c>
      <c r="D98" t="s">
        <v>27</v>
      </c>
      <c r="E98" s="16" t="s">
        <v>272</v>
      </c>
      <c r="F98" s="16">
        <v>3</v>
      </c>
      <c r="G98" t="s">
        <v>1526</v>
      </c>
      <c r="H98" t="s">
        <v>1546</v>
      </c>
      <c r="I98" t="s">
        <v>1567</v>
      </c>
      <c r="J98" t="s">
        <v>345</v>
      </c>
      <c r="L98" t="str">
        <f t="shared" si="9"/>
        <v>continuous/right_overhang</v>
      </c>
      <c r="M98" t="str">
        <f t="shared" si="10"/>
        <v>inclined/straight + arch_truss</v>
      </c>
      <c r="N98" t="str">
        <f t="shared" si="8"/>
        <v>top_structure/rock_structure + 3anc</v>
      </c>
      <c r="O98" t="s">
        <v>1684</v>
      </c>
      <c r="R98" t="s">
        <v>800</v>
      </c>
      <c r="S98" t="s">
        <v>292</v>
      </c>
      <c r="T98" t="s">
        <v>293</v>
      </c>
      <c r="U98" t="s">
        <v>292</v>
      </c>
      <c r="V98" t="s">
        <v>292</v>
      </c>
      <c r="W98" t="s">
        <v>293</v>
      </c>
      <c r="X98" t="str">
        <f t="shared" si="11"/>
        <v>road-</v>
      </c>
      <c r="Y98" t="str">
        <f t="shared" si="12"/>
        <v/>
      </c>
      <c r="Z98" t="str">
        <f t="shared" si="13"/>
        <v>wood-</v>
      </c>
      <c r="AA98" t="str">
        <f t="shared" si="14"/>
        <v>steel</v>
      </c>
      <c r="AB98" t="str">
        <f t="shared" si="15"/>
        <v>road-wood-steel</v>
      </c>
      <c r="AE98" t="s">
        <v>1684</v>
      </c>
    </row>
    <row r="99" spans="1:31" x14ac:dyDescent="0.3">
      <c r="A99" t="s">
        <v>45</v>
      </c>
      <c r="B99" t="s">
        <v>46</v>
      </c>
      <c r="C99" t="s">
        <v>29</v>
      </c>
      <c r="D99" t="s">
        <v>28</v>
      </c>
      <c r="E99" s="16" t="s">
        <v>272</v>
      </c>
      <c r="F99" s="16">
        <v>3</v>
      </c>
      <c r="G99" t="s">
        <v>1526</v>
      </c>
      <c r="H99" t="s">
        <v>1546</v>
      </c>
      <c r="I99" t="s">
        <v>1567</v>
      </c>
      <c r="J99" t="s">
        <v>345</v>
      </c>
      <c r="L99" t="str">
        <f t="shared" si="9"/>
        <v>continuous/right_overhang</v>
      </c>
      <c r="M99" t="str">
        <f t="shared" si="10"/>
        <v>inclined/straight + arch_truss</v>
      </c>
      <c r="N99" t="str">
        <f t="shared" si="8"/>
        <v>top_structure/rock_structure + 3anc</v>
      </c>
      <c r="O99" t="s">
        <v>1684</v>
      </c>
      <c r="R99" t="s">
        <v>801</v>
      </c>
      <c r="S99" t="s">
        <v>292</v>
      </c>
      <c r="T99" t="s">
        <v>293</v>
      </c>
      <c r="U99" t="s">
        <v>292</v>
      </c>
      <c r="V99" t="s">
        <v>292</v>
      </c>
      <c r="W99" t="s">
        <v>293</v>
      </c>
      <c r="X99" t="str">
        <f t="shared" si="11"/>
        <v>road-</v>
      </c>
      <c r="Y99" t="str">
        <f t="shared" si="12"/>
        <v/>
      </c>
      <c r="Z99" t="str">
        <f t="shared" si="13"/>
        <v>wood-</v>
      </c>
      <c r="AA99" t="str">
        <f t="shared" si="14"/>
        <v>steel</v>
      </c>
      <c r="AB99" t="str">
        <f t="shared" si="15"/>
        <v>road-wood-steel</v>
      </c>
      <c r="AE99" t="s">
        <v>1684</v>
      </c>
    </row>
    <row r="100" spans="1:31" x14ac:dyDescent="0.3">
      <c r="A100" t="s">
        <v>45</v>
      </c>
      <c r="B100" t="s">
        <v>72</v>
      </c>
      <c r="C100" t="s">
        <v>29</v>
      </c>
      <c r="D100" t="s">
        <v>23</v>
      </c>
      <c r="E100" s="16" t="s">
        <v>273</v>
      </c>
      <c r="F100" s="16">
        <v>2</v>
      </c>
      <c r="G100" t="s">
        <v>1525</v>
      </c>
      <c r="H100" t="s">
        <v>273</v>
      </c>
      <c r="I100" t="s">
        <v>1567</v>
      </c>
      <c r="J100" t="s">
        <v>344</v>
      </c>
      <c r="L100" t="str">
        <f t="shared" si="9"/>
        <v>missing_section/right</v>
      </c>
      <c r="M100" t="str">
        <f t="shared" si="10"/>
        <v>ramp + standard_truss</v>
      </c>
      <c r="N100" t="str">
        <f t="shared" si="8"/>
        <v>top_structure/rock_structure + 2anc</v>
      </c>
      <c r="O100" t="s">
        <v>1693</v>
      </c>
      <c r="R100" s="38" t="s">
        <v>802</v>
      </c>
      <c r="S100" s="38" t="s">
        <v>293</v>
      </c>
      <c r="T100" s="38" t="s">
        <v>292</v>
      </c>
      <c r="U100" s="38" t="s">
        <v>292</v>
      </c>
      <c r="V100" s="38" t="s">
        <v>293</v>
      </c>
      <c r="W100" s="38" t="s">
        <v>293</v>
      </c>
      <c r="X100" t="str">
        <f t="shared" si="11"/>
        <v/>
      </c>
      <c r="Y100" t="str">
        <f t="shared" si="12"/>
        <v>reinforced_road-</v>
      </c>
      <c r="Z100" t="str">
        <f t="shared" si="13"/>
        <v>wood-</v>
      </c>
      <c r="AA100" t="str">
        <f t="shared" si="14"/>
        <v/>
      </c>
      <c r="AB100" t="str">
        <f t="shared" si="15"/>
        <v>reinforced_road-wood-</v>
      </c>
      <c r="AE100" t="s">
        <v>1693</v>
      </c>
    </row>
    <row r="101" spans="1:31" x14ac:dyDescent="0.3">
      <c r="A101" t="s">
        <v>45</v>
      </c>
      <c r="B101" t="s">
        <v>72</v>
      </c>
      <c r="C101" t="s">
        <v>29</v>
      </c>
      <c r="D101" t="s">
        <v>25</v>
      </c>
      <c r="E101" s="16" t="s">
        <v>273</v>
      </c>
      <c r="F101" s="16">
        <v>2</v>
      </c>
      <c r="G101" t="s">
        <v>1525</v>
      </c>
      <c r="H101" t="s">
        <v>273</v>
      </c>
      <c r="I101" t="s">
        <v>1567</v>
      </c>
      <c r="J101" t="s">
        <v>344</v>
      </c>
      <c r="L101" t="str">
        <f t="shared" si="9"/>
        <v>missing_section/right</v>
      </c>
      <c r="M101" t="str">
        <f t="shared" si="10"/>
        <v>ramp + standard_truss</v>
      </c>
      <c r="N101" t="str">
        <f t="shared" si="8"/>
        <v>top_structure/rock_structure + 2anc</v>
      </c>
      <c r="O101" t="s">
        <v>1686</v>
      </c>
      <c r="R101" s="38" t="s">
        <v>803</v>
      </c>
      <c r="S101" s="38" t="s">
        <v>293</v>
      </c>
      <c r="T101" s="38" t="s">
        <v>292</v>
      </c>
      <c r="U101" s="38" t="s">
        <v>292</v>
      </c>
      <c r="V101" s="38" t="s">
        <v>292</v>
      </c>
      <c r="W101" s="38" t="s">
        <v>293</v>
      </c>
      <c r="X101" t="str">
        <f t="shared" si="11"/>
        <v/>
      </c>
      <c r="Y101" t="str">
        <f t="shared" si="12"/>
        <v>reinforced_road-</v>
      </c>
      <c r="Z101" t="str">
        <f t="shared" si="13"/>
        <v>wood-</v>
      </c>
      <c r="AA101" t="str">
        <f t="shared" si="14"/>
        <v>steel</v>
      </c>
      <c r="AB101" t="str">
        <f t="shared" si="15"/>
        <v>reinforced_road-wood-steel</v>
      </c>
      <c r="AE101" t="s">
        <v>1686</v>
      </c>
    </row>
    <row r="102" spans="1:31" x14ac:dyDescent="0.3">
      <c r="A102" t="s">
        <v>45</v>
      </c>
      <c r="B102" t="s">
        <v>72</v>
      </c>
      <c r="C102" t="s">
        <v>12</v>
      </c>
      <c r="D102" t="s">
        <v>15</v>
      </c>
      <c r="E102" s="16" t="s">
        <v>272</v>
      </c>
      <c r="F102" s="16">
        <v>3</v>
      </c>
      <c r="G102" t="s">
        <v>1524</v>
      </c>
      <c r="H102" t="s">
        <v>282</v>
      </c>
      <c r="I102" t="s">
        <v>1567</v>
      </c>
      <c r="J102" t="s">
        <v>344</v>
      </c>
      <c r="L102" t="str">
        <f t="shared" si="9"/>
        <v>continuous/fully_connected</v>
      </c>
      <c r="M102" t="str">
        <f t="shared" si="10"/>
        <v>arch + standard_truss</v>
      </c>
      <c r="N102" t="str">
        <f t="shared" si="8"/>
        <v>top_structure/rock_structure + 3anc</v>
      </c>
      <c r="O102" t="s">
        <v>1684</v>
      </c>
      <c r="R102" t="s">
        <v>804</v>
      </c>
      <c r="S102" t="s">
        <v>292</v>
      </c>
      <c r="T102" t="s">
        <v>293</v>
      </c>
      <c r="U102" t="s">
        <v>292</v>
      </c>
      <c r="V102" t="s">
        <v>292</v>
      </c>
      <c r="W102" t="s">
        <v>293</v>
      </c>
      <c r="X102" t="str">
        <f t="shared" si="11"/>
        <v>road-</v>
      </c>
      <c r="Y102" t="str">
        <f t="shared" si="12"/>
        <v/>
      </c>
      <c r="Z102" t="str">
        <f t="shared" si="13"/>
        <v>wood-</v>
      </c>
      <c r="AA102" t="str">
        <f t="shared" si="14"/>
        <v>steel</v>
      </c>
      <c r="AB102" t="str">
        <f t="shared" si="15"/>
        <v>road-wood-steel</v>
      </c>
      <c r="AE102" t="s">
        <v>1684</v>
      </c>
    </row>
    <row r="103" spans="1:31" x14ac:dyDescent="0.3">
      <c r="A103" t="s">
        <v>45</v>
      </c>
      <c r="B103" t="s">
        <v>72</v>
      </c>
      <c r="C103" t="s">
        <v>12</v>
      </c>
      <c r="D103" t="s">
        <v>14</v>
      </c>
      <c r="E103" s="16" t="s">
        <v>272</v>
      </c>
      <c r="F103" s="16">
        <v>2</v>
      </c>
      <c r="G103" t="s">
        <v>1524</v>
      </c>
      <c r="H103" t="s">
        <v>282</v>
      </c>
      <c r="I103" t="s">
        <v>341</v>
      </c>
      <c r="J103" t="s">
        <v>344</v>
      </c>
      <c r="L103" t="str">
        <f t="shared" si="9"/>
        <v>continuous/fully_connected</v>
      </c>
      <c r="M103" t="str">
        <f t="shared" si="10"/>
        <v>arch + standard_truss</v>
      </c>
      <c r="N103" t="str">
        <f t="shared" si="8"/>
        <v>top_structure + 2anc</v>
      </c>
      <c r="O103" t="s">
        <v>1690</v>
      </c>
      <c r="R103" t="s">
        <v>805</v>
      </c>
      <c r="S103" t="s">
        <v>292</v>
      </c>
      <c r="T103" t="s">
        <v>292</v>
      </c>
      <c r="U103" t="s">
        <v>292</v>
      </c>
      <c r="V103" t="s">
        <v>293</v>
      </c>
      <c r="W103" t="s">
        <v>293</v>
      </c>
      <c r="X103" t="str">
        <f t="shared" si="11"/>
        <v>road-</v>
      </c>
      <c r="Y103" t="str">
        <f t="shared" si="12"/>
        <v>reinforced_road-</v>
      </c>
      <c r="Z103" t="str">
        <f t="shared" si="13"/>
        <v>wood-</v>
      </c>
      <c r="AA103" t="str">
        <f t="shared" si="14"/>
        <v/>
      </c>
      <c r="AB103" t="str">
        <f t="shared" si="15"/>
        <v>road-reinforced_road-wood-</v>
      </c>
      <c r="AE103" t="s">
        <v>1690</v>
      </c>
    </row>
    <row r="104" spans="1:31" x14ac:dyDescent="0.3">
      <c r="A104" t="s">
        <v>45</v>
      </c>
      <c r="B104" t="s">
        <v>72</v>
      </c>
      <c r="C104" t="s">
        <v>12</v>
      </c>
      <c r="D104" t="s">
        <v>11</v>
      </c>
      <c r="E104" s="16" t="s">
        <v>272</v>
      </c>
      <c r="F104" s="16">
        <v>2</v>
      </c>
      <c r="G104" t="s">
        <v>1524</v>
      </c>
      <c r="H104" t="s">
        <v>282</v>
      </c>
      <c r="I104" t="s">
        <v>341</v>
      </c>
      <c r="J104" t="s">
        <v>344</v>
      </c>
      <c r="L104" t="str">
        <f t="shared" si="9"/>
        <v>continuous/fully_connected</v>
      </c>
      <c r="M104" t="str">
        <f t="shared" si="10"/>
        <v>arch + standard_truss</v>
      </c>
      <c r="N104" t="str">
        <f t="shared" si="8"/>
        <v>top_structure + 2anc</v>
      </c>
      <c r="O104" t="s">
        <v>1692</v>
      </c>
      <c r="R104" t="s">
        <v>806</v>
      </c>
      <c r="S104" t="s">
        <v>292</v>
      </c>
      <c r="T104" t="s">
        <v>293</v>
      </c>
      <c r="U104" t="s">
        <v>292</v>
      </c>
      <c r="V104" t="s">
        <v>293</v>
      </c>
      <c r="W104" t="s">
        <v>293</v>
      </c>
      <c r="X104" t="str">
        <f t="shared" si="11"/>
        <v>road-</v>
      </c>
      <c r="Y104" t="str">
        <f t="shared" si="12"/>
        <v/>
      </c>
      <c r="Z104" t="str">
        <f t="shared" si="13"/>
        <v>wood-</v>
      </c>
      <c r="AA104" t="str">
        <f t="shared" si="14"/>
        <v/>
      </c>
      <c r="AB104" t="str">
        <f t="shared" si="15"/>
        <v>road-wood-</v>
      </c>
      <c r="AE104" t="s">
        <v>1692</v>
      </c>
    </row>
    <row r="105" spans="1:31" x14ac:dyDescent="0.3">
      <c r="A105" t="s">
        <v>45</v>
      </c>
      <c r="B105" t="s">
        <v>72</v>
      </c>
      <c r="C105" t="s">
        <v>12</v>
      </c>
      <c r="D105" t="s">
        <v>21</v>
      </c>
      <c r="E105" s="16" t="s">
        <v>272</v>
      </c>
      <c r="F105" s="16">
        <v>2</v>
      </c>
      <c r="G105" t="s">
        <v>1524</v>
      </c>
      <c r="H105" t="s">
        <v>282</v>
      </c>
      <c r="I105" t="s">
        <v>341</v>
      </c>
      <c r="J105" t="s">
        <v>344</v>
      </c>
      <c r="L105" t="str">
        <f t="shared" si="9"/>
        <v>continuous/fully_connected</v>
      </c>
      <c r="M105" t="str">
        <f t="shared" si="10"/>
        <v>arch + standard_truss</v>
      </c>
      <c r="N105" t="str">
        <f t="shared" si="8"/>
        <v>top_structure + 2anc</v>
      </c>
      <c r="O105" t="s">
        <v>1693</v>
      </c>
      <c r="R105" t="s">
        <v>807</v>
      </c>
      <c r="S105" t="s">
        <v>293</v>
      </c>
      <c r="T105" t="s">
        <v>292</v>
      </c>
      <c r="U105" t="s">
        <v>292</v>
      </c>
      <c r="V105" t="s">
        <v>293</v>
      </c>
      <c r="W105" t="s">
        <v>293</v>
      </c>
      <c r="X105" t="str">
        <f t="shared" si="11"/>
        <v/>
      </c>
      <c r="Y105" t="str">
        <f t="shared" si="12"/>
        <v>reinforced_road-</v>
      </c>
      <c r="Z105" t="str">
        <f t="shared" si="13"/>
        <v>wood-</v>
      </c>
      <c r="AA105" t="str">
        <f t="shared" si="14"/>
        <v/>
      </c>
      <c r="AB105" t="str">
        <f t="shared" si="15"/>
        <v>reinforced_road-wood-</v>
      </c>
      <c r="AE105" t="s">
        <v>1693</v>
      </c>
    </row>
    <row r="106" spans="1:31" x14ac:dyDescent="0.3">
      <c r="A106" t="s">
        <v>45</v>
      </c>
      <c r="B106" t="s">
        <v>72</v>
      </c>
      <c r="C106" t="s">
        <v>12</v>
      </c>
      <c r="D106" t="s">
        <v>19</v>
      </c>
      <c r="E106" s="16" t="s">
        <v>273</v>
      </c>
      <c r="F106" s="16">
        <v>2</v>
      </c>
      <c r="G106" t="s">
        <v>1525</v>
      </c>
      <c r="H106" t="s">
        <v>273</v>
      </c>
      <c r="I106" t="s">
        <v>1567</v>
      </c>
      <c r="J106" t="s">
        <v>344</v>
      </c>
      <c r="L106" t="str">
        <f t="shared" si="9"/>
        <v>missing_section/right</v>
      </c>
      <c r="M106" t="str">
        <f t="shared" si="10"/>
        <v>ramp + standard_truss</v>
      </c>
      <c r="N106" t="str">
        <f t="shared" si="8"/>
        <v>top_structure/rock_structure + 2anc</v>
      </c>
      <c r="O106" t="s">
        <v>1684</v>
      </c>
      <c r="R106" t="s">
        <v>808</v>
      </c>
      <c r="S106" t="s">
        <v>292</v>
      </c>
      <c r="T106" t="s">
        <v>293</v>
      </c>
      <c r="U106" t="s">
        <v>292</v>
      </c>
      <c r="V106" t="s">
        <v>292</v>
      </c>
      <c r="W106" t="s">
        <v>293</v>
      </c>
      <c r="X106" t="str">
        <f t="shared" si="11"/>
        <v>road-</v>
      </c>
      <c r="Y106" t="str">
        <f t="shared" si="12"/>
        <v/>
      </c>
      <c r="Z106" t="str">
        <f t="shared" si="13"/>
        <v>wood-</v>
      </c>
      <c r="AA106" t="str">
        <f t="shared" si="14"/>
        <v>steel</v>
      </c>
      <c r="AB106" t="str">
        <f t="shared" si="15"/>
        <v>road-wood-steel</v>
      </c>
      <c r="AE106" t="s">
        <v>1684</v>
      </c>
    </row>
    <row r="107" spans="1:31" x14ac:dyDescent="0.3">
      <c r="A107" t="s">
        <v>45</v>
      </c>
      <c r="B107" t="s">
        <v>72</v>
      </c>
      <c r="C107" t="s">
        <v>12</v>
      </c>
      <c r="D107" t="s">
        <v>17</v>
      </c>
      <c r="E107" s="16" t="s">
        <v>273</v>
      </c>
      <c r="F107" s="16">
        <v>2</v>
      </c>
      <c r="G107" t="s">
        <v>1525</v>
      </c>
      <c r="H107" t="s">
        <v>273</v>
      </c>
      <c r="I107" t="s">
        <v>1567</v>
      </c>
      <c r="J107" t="s">
        <v>344</v>
      </c>
      <c r="L107" t="str">
        <f t="shared" si="9"/>
        <v>missing_section/right</v>
      </c>
      <c r="M107" t="str">
        <f t="shared" si="10"/>
        <v>ramp + standard_truss</v>
      </c>
      <c r="N107" t="str">
        <f t="shared" si="8"/>
        <v>top_structure/rock_structure + 2anc</v>
      </c>
      <c r="O107" t="s">
        <v>1684</v>
      </c>
      <c r="R107" t="s">
        <v>809</v>
      </c>
      <c r="S107" t="s">
        <v>292</v>
      </c>
      <c r="T107" t="s">
        <v>293</v>
      </c>
      <c r="U107" t="s">
        <v>292</v>
      </c>
      <c r="V107" t="s">
        <v>292</v>
      </c>
      <c r="W107" t="s">
        <v>293</v>
      </c>
      <c r="X107" t="str">
        <f t="shared" si="11"/>
        <v>road-</v>
      </c>
      <c r="Y107" t="str">
        <f t="shared" si="12"/>
        <v/>
      </c>
      <c r="Z107" t="str">
        <f t="shared" si="13"/>
        <v>wood-</v>
      </c>
      <c r="AA107" t="str">
        <f t="shared" si="14"/>
        <v>steel</v>
      </c>
      <c r="AB107" t="str">
        <f t="shared" si="15"/>
        <v>road-wood-steel</v>
      </c>
      <c r="AE107" t="s">
        <v>1684</v>
      </c>
    </row>
    <row r="108" spans="1:31" x14ac:dyDescent="0.3">
      <c r="A108" t="s">
        <v>45</v>
      </c>
      <c r="B108" t="s">
        <v>72</v>
      </c>
      <c r="C108" t="s">
        <v>12</v>
      </c>
      <c r="D108" t="s">
        <v>16</v>
      </c>
      <c r="E108" s="16" t="s">
        <v>272</v>
      </c>
      <c r="F108" s="16">
        <v>3</v>
      </c>
      <c r="G108" t="s">
        <v>1524</v>
      </c>
      <c r="H108" t="s">
        <v>282</v>
      </c>
      <c r="I108" t="s">
        <v>1568</v>
      </c>
      <c r="J108" t="s">
        <v>291</v>
      </c>
      <c r="L108" t="str">
        <f t="shared" si="9"/>
        <v>continuous/fully_connected</v>
      </c>
      <c r="M108" t="str">
        <f t="shared" si="10"/>
        <v>arch + other</v>
      </c>
      <c r="N108" t="str">
        <f t="shared" si="8"/>
        <v>bottom_structure/rock_structure + 3anc</v>
      </c>
      <c r="O108" t="s">
        <v>1685</v>
      </c>
      <c r="R108" t="s">
        <v>810</v>
      </c>
      <c r="S108" t="s">
        <v>292</v>
      </c>
      <c r="T108" t="s">
        <v>292</v>
      </c>
      <c r="U108" t="s">
        <v>292</v>
      </c>
      <c r="V108" t="s">
        <v>292</v>
      </c>
      <c r="W108" t="s">
        <v>293</v>
      </c>
      <c r="X108" t="str">
        <f t="shared" si="11"/>
        <v>road-</v>
      </c>
      <c r="Y108" t="str">
        <f t="shared" si="12"/>
        <v>reinforced_road-</v>
      </c>
      <c r="Z108" t="str">
        <f t="shared" si="13"/>
        <v>wood-</v>
      </c>
      <c r="AA108" t="str">
        <f t="shared" si="14"/>
        <v>steel</v>
      </c>
      <c r="AB108" t="str">
        <f t="shared" si="15"/>
        <v>road-reinforced_road-wood-steel</v>
      </c>
      <c r="AE108" t="s">
        <v>1685</v>
      </c>
    </row>
    <row r="109" spans="1:31" x14ac:dyDescent="0.3">
      <c r="A109" t="s">
        <v>45</v>
      </c>
      <c r="B109" t="s">
        <v>72</v>
      </c>
      <c r="C109" t="s">
        <v>12</v>
      </c>
      <c r="D109" t="s">
        <v>20</v>
      </c>
      <c r="E109" s="16" t="s">
        <v>272</v>
      </c>
      <c r="F109" s="16">
        <v>3</v>
      </c>
      <c r="G109" t="s">
        <v>1524</v>
      </c>
      <c r="H109" t="s">
        <v>282</v>
      </c>
      <c r="I109" t="s">
        <v>1567</v>
      </c>
      <c r="J109" t="s">
        <v>345</v>
      </c>
      <c r="L109" t="str">
        <f t="shared" si="9"/>
        <v>continuous/fully_connected</v>
      </c>
      <c r="M109" t="str">
        <f t="shared" si="10"/>
        <v>arch + arch_truss</v>
      </c>
      <c r="N109" t="str">
        <f t="shared" si="8"/>
        <v>top_structure/rock_structure + 3anc</v>
      </c>
      <c r="O109" t="s">
        <v>1684</v>
      </c>
      <c r="R109" t="s">
        <v>811</v>
      </c>
      <c r="S109" t="s">
        <v>292</v>
      </c>
      <c r="T109" t="s">
        <v>293</v>
      </c>
      <c r="U109" t="s">
        <v>292</v>
      </c>
      <c r="V109" t="s">
        <v>292</v>
      </c>
      <c r="W109" t="s">
        <v>293</v>
      </c>
      <c r="X109" t="str">
        <f t="shared" si="11"/>
        <v>road-</v>
      </c>
      <c r="Y109" t="str">
        <f t="shared" si="12"/>
        <v/>
      </c>
      <c r="Z109" t="str">
        <f t="shared" si="13"/>
        <v>wood-</v>
      </c>
      <c r="AA109" t="str">
        <f t="shared" si="14"/>
        <v>steel</v>
      </c>
      <c r="AB109" t="str">
        <f t="shared" si="15"/>
        <v>road-wood-steel</v>
      </c>
      <c r="AE109" t="s">
        <v>1684</v>
      </c>
    </row>
    <row r="110" spans="1:31" x14ac:dyDescent="0.3">
      <c r="A110" t="s">
        <v>45</v>
      </c>
      <c r="B110" t="s">
        <v>72</v>
      </c>
      <c r="C110" t="s">
        <v>12</v>
      </c>
      <c r="D110" t="s">
        <v>22</v>
      </c>
      <c r="E110" s="16" t="s">
        <v>272</v>
      </c>
      <c r="F110" s="16">
        <v>2</v>
      </c>
      <c r="G110" t="s">
        <v>1524</v>
      </c>
      <c r="H110" t="s">
        <v>282</v>
      </c>
      <c r="I110" t="s">
        <v>341</v>
      </c>
      <c r="J110" t="s">
        <v>345</v>
      </c>
      <c r="L110" t="str">
        <f t="shared" si="9"/>
        <v>continuous/fully_connected</v>
      </c>
      <c r="M110" t="str">
        <f t="shared" si="10"/>
        <v>arch + arch_truss</v>
      </c>
      <c r="N110" t="str">
        <f t="shared" si="8"/>
        <v>top_structure + 2anc</v>
      </c>
      <c r="O110" t="s">
        <v>1693</v>
      </c>
      <c r="R110" t="s">
        <v>812</v>
      </c>
      <c r="S110" t="s">
        <v>293</v>
      </c>
      <c r="T110" t="s">
        <v>292</v>
      </c>
      <c r="U110" t="s">
        <v>292</v>
      </c>
      <c r="V110" t="s">
        <v>293</v>
      </c>
      <c r="W110" t="s">
        <v>293</v>
      </c>
      <c r="X110" t="str">
        <f t="shared" si="11"/>
        <v/>
      </c>
      <c r="Y110" t="str">
        <f t="shared" si="12"/>
        <v>reinforced_road-</v>
      </c>
      <c r="Z110" t="str">
        <f t="shared" si="13"/>
        <v>wood-</v>
      </c>
      <c r="AA110" t="str">
        <f t="shared" si="14"/>
        <v/>
      </c>
      <c r="AB110" t="str">
        <f t="shared" si="15"/>
        <v>reinforced_road-wood-</v>
      </c>
      <c r="AE110" t="s">
        <v>1693</v>
      </c>
    </row>
    <row r="111" spans="1:31" x14ac:dyDescent="0.3">
      <c r="A111" t="s">
        <v>45</v>
      </c>
      <c r="B111" t="s">
        <v>72</v>
      </c>
      <c r="C111" t="s">
        <v>29</v>
      </c>
      <c r="D111" t="s">
        <v>24</v>
      </c>
      <c r="E111" s="16" t="s">
        <v>272</v>
      </c>
      <c r="F111" s="16">
        <v>2</v>
      </c>
      <c r="G111" t="s">
        <v>1525</v>
      </c>
      <c r="H111" t="s">
        <v>273</v>
      </c>
      <c r="I111" t="s">
        <v>1567</v>
      </c>
      <c r="J111" t="s">
        <v>344</v>
      </c>
      <c r="L111" t="str">
        <f t="shared" si="9"/>
        <v>missing_section/right</v>
      </c>
      <c r="M111" t="str">
        <f t="shared" si="10"/>
        <v>ramp + standard_truss</v>
      </c>
      <c r="N111" t="str">
        <f t="shared" si="8"/>
        <v>top_structure/rock_structure + 2anc</v>
      </c>
      <c r="O111" t="s">
        <v>1686</v>
      </c>
      <c r="R111" t="s">
        <v>813</v>
      </c>
      <c r="S111" t="s">
        <v>293</v>
      </c>
      <c r="T111" t="s">
        <v>292</v>
      </c>
      <c r="U111" t="s">
        <v>292</v>
      </c>
      <c r="V111" t="s">
        <v>292</v>
      </c>
      <c r="W111" t="s">
        <v>293</v>
      </c>
      <c r="X111" t="str">
        <f t="shared" si="11"/>
        <v/>
      </c>
      <c r="Y111" t="str">
        <f t="shared" si="12"/>
        <v>reinforced_road-</v>
      </c>
      <c r="Z111" t="str">
        <f t="shared" si="13"/>
        <v>wood-</v>
      </c>
      <c r="AA111" t="str">
        <f t="shared" si="14"/>
        <v>steel</v>
      </c>
      <c r="AB111" t="str">
        <f t="shared" si="15"/>
        <v>reinforced_road-wood-steel</v>
      </c>
      <c r="AE111" t="s">
        <v>1686</v>
      </c>
    </row>
    <row r="112" spans="1:31" x14ac:dyDescent="0.3">
      <c r="A112" t="s">
        <v>45</v>
      </c>
      <c r="B112" t="s">
        <v>72</v>
      </c>
      <c r="C112" t="s">
        <v>29</v>
      </c>
      <c r="D112" t="s">
        <v>37</v>
      </c>
      <c r="E112" s="16" t="s">
        <v>272</v>
      </c>
      <c r="F112" s="16">
        <v>3</v>
      </c>
      <c r="G112" t="s">
        <v>1524</v>
      </c>
      <c r="H112" t="s">
        <v>282</v>
      </c>
      <c r="I112" t="s">
        <v>1567</v>
      </c>
      <c r="J112" t="s">
        <v>345</v>
      </c>
      <c r="L112" t="str">
        <f t="shared" si="9"/>
        <v>continuous/fully_connected</v>
      </c>
      <c r="M112" t="str">
        <f t="shared" si="10"/>
        <v>arch + arch_truss</v>
      </c>
      <c r="N112" t="str">
        <f t="shared" si="8"/>
        <v>top_structure/rock_structure + 3anc</v>
      </c>
      <c r="O112" t="s">
        <v>1685</v>
      </c>
      <c r="R112" t="s">
        <v>814</v>
      </c>
      <c r="S112" t="s">
        <v>292</v>
      </c>
      <c r="T112" t="s">
        <v>292</v>
      </c>
      <c r="U112" t="s">
        <v>292</v>
      </c>
      <c r="V112" t="s">
        <v>292</v>
      </c>
      <c r="W112" t="s">
        <v>293</v>
      </c>
      <c r="X112" t="str">
        <f t="shared" si="11"/>
        <v>road-</v>
      </c>
      <c r="Y112" t="str">
        <f t="shared" si="12"/>
        <v>reinforced_road-</v>
      </c>
      <c r="Z112" t="str">
        <f t="shared" si="13"/>
        <v>wood-</v>
      </c>
      <c r="AA112" t="str">
        <f t="shared" si="14"/>
        <v>steel</v>
      </c>
      <c r="AB112" t="str">
        <f t="shared" si="15"/>
        <v>road-reinforced_road-wood-steel</v>
      </c>
      <c r="AE112" t="s">
        <v>1685</v>
      </c>
    </row>
    <row r="113" spans="1:31" x14ac:dyDescent="0.3">
      <c r="A113" t="s">
        <v>45</v>
      </c>
      <c r="B113" t="s">
        <v>72</v>
      </c>
      <c r="C113" t="s">
        <v>29</v>
      </c>
      <c r="D113" t="s">
        <v>32</v>
      </c>
      <c r="E113" s="16" t="s">
        <v>272</v>
      </c>
      <c r="F113" s="16">
        <v>3</v>
      </c>
      <c r="G113" t="s">
        <v>1524</v>
      </c>
      <c r="H113" t="s">
        <v>1658</v>
      </c>
      <c r="I113" t="s">
        <v>1567</v>
      </c>
      <c r="J113" t="s">
        <v>1570</v>
      </c>
      <c r="L113" t="str">
        <f t="shared" si="9"/>
        <v>continuous/fully_connected</v>
      </c>
      <c r="M113" t="str">
        <f t="shared" si="10"/>
        <v>other_shape + standard_truss/other</v>
      </c>
      <c r="N113" t="str">
        <f t="shared" si="8"/>
        <v>top_structure/rock_structure + 3anc</v>
      </c>
      <c r="O113" t="s">
        <v>1686</v>
      </c>
      <c r="R113" t="s">
        <v>815</v>
      </c>
      <c r="S113" t="s">
        <v>293</v>
      </c>
      <c r="T113" t="s">
        <v>292</v>
      </c>
      <c r="U113" t="s">
        <v>292</v>
      </c>
      <c r="V113" t="s">
        <v>292</v>
      </c>
      <c r="W113" t="s">
        <v>293</v>
      </c>
      <c r="X113" t="str">
        <f t="shared" si="11"/>
        <v/>
      </c>
      <c r="Y113" t="str">
        <f t="shared" si="12"/>
        <v>reinforced_road-</v>
      </c>
      <c r="Z113" t="str">
        <f t="shared" si="13"/>
        <v>wood-</v>
      </c>
      <c r="AA113" t="str">
        <f t="shared" si="14"/>
        <v>steel</v>
      </c>
      <c r="AB113" t="str">
        <f t="shared" si="15"/>
        <v>reinforced_road-wood-steel</v>
      </c>
      <c r="AE113" t="s">
        <v>1686</v>
      </c>
    </row>
    <row r="114" spans="1:31" x14ac:dyDescent="0.3">
      <c r="A114" t="s">
        <v>45</v>
      </c>
      <c r="B114" t="s">
        <v>72</v>
      </c>
      <c r="C114" t="s">
        <v>29</v>
      </c>
      <c r="D114" t="s">
        <v>30</v>
      </c>
      <c r="E114" s="16" t="s">
        <v>272</v>
      </c>
      <c r="F114" s="16">
        <v>3</v>
      </c>
      <c r="G114" t="s">
        <v>1524</v>
      </c>
      <c r="H114" t="s">
        <v>1658</v>
      </c>
      <c r="I114" t="s">
        <v>1567</v>
      </c>
      <c r="J114" t="s">
        <v>1570</v>
      </c>
      <c r="L114" t="str">
        <f t="shared" si="9"/>
        <v>continuous/fully_connected</v>
      </c>
      <c r="M114" t="str">
        <f t="shared" si="10"/>
        <v>other_shape + standard_truss/other</v>
      </c>
      <c r="N114" t="str">
        <f t="shared" si="8"/>
        <v>top_structure/rock_structure + 3anc</v>
      </c>
      <c r="O114" t="s">
        <v>1686</v>
      </c>
      <c r="R114" t="s">
        <v>816</v>
      </c>
      <c r="S114" t="s">
        <v>293</v>
      </c>
      <c r="T114" t="s">
        <v>292</v>
      </c>
      <c r="U114" t="s">
        <v>292</v>
      </c>
      <c r="V114" t="s">
        <v>292</v>
      </c>
      <c r="W114" t="s">
        <v>293</v>
      </c>
      <c r="X114" t="str">
        <f t="shared" si="11"/>
        <v/>
      </c>
      <c r="Y114" t="str">
        <f t="shared" si="12"/>
        <v>reinforced_road-</v>
      </c>
      <c r="Z114" t="str">
        <f t="shared" si="13"/>
        <v>wood-</v>
      </c>
      <c r="AA114" t="str">
        <f t="shared" si="14"/>
        <v>steel</v>
      </c>
      <c r="AB114" t="str">
        <f t="shared" si="15"/>
        <v>reinforced_road-wood-steel</v>
      </c>
      <c r="AE114" t="s">
        <v>1686</v>
      </c>
    </row>
    <row r="115" spans="1:31" x14ac:dyDescent="0.3">
      <c r="A115" t="s">
        <v>45</v>
      </c>
      <c r="B115" t="s">
        <v>72</v>
      </c>
      <c r="C115" t="s">
        <v>29</v>
      </c>
      <c r="D115" t="s">
        <v>34</v>
      </c>
      <c r="E115" s="16" t="s">
        <v>272</v>
      </c>
      <c r="F115" s="16">
        <v>2</v>
      </c>
      <c r="G115" t="s">
        <v>1524</v>
      </c>
      <c r="H115" t="s">
        <v>282</v>
      </c>
      <c r="I115" t="s">
        <v>341</v>
      </c>
      <c r="J115" t="s">
        <v>1622</v>
      </c>
      <c r="L115" t="str">
        <f t="shared" si="9"/>
        <v>continuous/fully_connected</v>
      </c>
      <c r="M115" t="str">
        <f t="shared" si="10"/>
        <v>arch + arch_truss/square_truss</v>
      </c>
      <c r="N115" t="str">
        <f t="shared" si="8"/>
        <v>top_structure + 2anc</v>
      </c>
      <c r="O115" t="s">
        <v>1692</v>
      </c>
      <c r="R115" t="s">
        <v>817</v>
      </c>
      <c r="S115" t="s">
        <v>292</v>
      </c>
      <c r="T115" t="s">
        <v>293</v>
      </c>
      <c r="U115" t="s">
        <v>292</v>
      </c>
      <c r="V115" t="s">
        <v>293</v>
      </c>
      <c r="W115" t="s">
        <v>293</v>
      </c>
      <c r="X115" t="str">
        <f t="shared" si="11"/>
        <v>road-</v>
      </c>
      <c r="Y115" t="str">
        <f t="shared" si="12"/>
        <v/>
      </c>
      <c r="Z115" t="str">
        <f t="shared" si="13"/>
        <v>wood-</v>
      </c>
      <c r="AA115" t="str">
        <f t="shared" si="14"/>
        <v/>
      </c>
      <c r="AB115" t="str">
        <f t="shared" si="15"/>
        <v>road-wood-</v>
      </c>
      <c r="AE115" t="s">
        <v>1692</v>
      </c>
    </row>
    <row r="116" spans="1:31" x14ac:dyDescent="0.3">
      <c r="A116" t="s">
        <v>45</v>
      </c>
      <c r="B116" t="s">
        <v>72</v>
      </c>
      <c r="C116" t="s">
        <v>29</v>
      </c>
      <c r="D116" t="s">
        <v>36</v>
      </c>
      <c r="E116" s="16" t="s">
        <v>272</v>
      </c>
      <c r="F116" s="16">
        <v>2</v>
      </c>
      <c r="G116" t="s">
        <v>1524</v>
      </c>
      <c r="H116" t="s">
        <v>282</v>
      </c>
      <c r="I116" t="s">
        <v>341</v>
      </c>
      <c r="J116" t="s">
        <v>1622</v>
      </c>
      <c r="L116" t="str">
        <f t="shared" si="9"/>
        <v>continuous/fully_connected</v>
      </c>
      <c r="M116" t="str">
        <f t="shared" si="10"/>
        <v>arch + arch_truss/square_truss</v>
      </c>
      <c r="N116" t="str">
        <f t="shared" si="8"/>
        <v>top_structure + 2anc</v>
      </c>
      <c r="O116" t="s">
        <v>1690</v>
      </c>
      <c r="R116" t="s">
        <v>818</v>
      </c>
      <c r="S116" t="s">
        <v>292</v>
      </c>
      <c r="T116" t="s">
        <v>292</v>
      </c>
      <c r="U116" t="s">
        <v>292</v>
      </c>
      <c r="V116" t="s">
        <v>293</v>
      </c>
      <c r="W116" t="s">
        <v>293</v>
      </c>
      <c r="X116" t="str">
        <f t="shared" si="11"/>
        <v>road-</v>
      </c>
      <c r="Y116" t="str">
        <f t="shared" si="12"/>
        <v>reinforced_road-</v>
      </c>
      <c r="Z116" t="str">
        <f t="shared" si="13"/>
        <v>wood-</v>
      </c>
      <c r="AA116" t="str">
        <f t="shared" si="14"/>
        <v/>
      </c>
      <c r="AB116" t="str">
        <f t="shared" si="15"/>
        <v>road-reinforced_road-wood-</v>
      </c>
      <c r="AE116" t="s">
        <v>1690</v>
      </c>
    </row>
    <row r="117" spans="1:31" x14ac:dyDescent="0.3">
      <c r="A117" t="s">
        <v>45</v>
      </c>
      <c r="B117" t="s">
        <v>72</v>
      </c>
      <c r="C117" t="s">
        <v>29</v>
      </c>
      <c r="D117" t="s">
        <v>33</v>
      </c>
      <c r="E117" s="16" t="s">
        <v>272</v>
      </c>
      <c r="F117" s="16">
        <v>3</v>
      </c>
      <c r="G117" t="s">
        <v>1524</v>
      </c>
      <c r="H117" t="s">
        <v>1658</v>
      </c>
      <c r="I117" t="s">
        <v>341</v>
      </c>
      <c r="J117" t="s">
        <v>344</v>
      </c>
      <c r="L117" t="str">
        <f t="shared" si="9"/>
        <v>continuous/fully_connected</v>
      </c>
      <c r="M117" t="str">
        <f t="shared" si="10"/>
        <v>other_shape + standard_truss</v>
      </c>
      <c r="N117" t="str">
        <f t="shared" si="8"/>
        <v>top_structure + 3anc</v>
      </c>
      <c r="O117" t="s">
        <v>1686</v>
      </c>
      <c r="R117" t="s">
        <v>819</v>
      </c>
      <c r="S117" t="s">
        <v>293</v>
      </c>
      <c r="T117" t="s">
        <v>292</v>
      </c>
      <c r="U117" t="s">
        <v>292</v>
      </c>
      <c r="V117" t="s">
        <v>292</v>
      </c>
      <c r="W117" t="s">
        <v>293</v>
      </c>
      <c r="X117" t="str">
        <f t="shared" si="11"/>
        <v/>
      </c>
      <c r="Y117" t="str">
        <f t="shared" si="12"/>
        <v>reinforced_road-</v>
      </c>
      <c r="Z117" t="str">
        <f t="shared" si="13"/>
        <v>wood-</v>
      </c>
      <c r="AA117" t="str">
        <f t="shared" si="14"/>
        <v>steel</v>
      </c>
      <c r="AB117" t="str">
        <f t="shared" si="15"/>
        <v>reinforced_road-wood-steel</v>
      </c>
      <c r="AE117" t="s">
        <v>1686</v>
      </c>
    </row>
    <row r="118" spans="1:31" x14ac:dyDescent="0.3">
      <c r="A118" t="s">
        <v>45</v>
      </c>
      <c r="B118" t="s">
        <v>72</v>
      </c>
      <c r="C118" t="s">
        <v>29</v>
      </c>
      <c r="D118" t="s">
        <v>26</v>
      </c>
      <c r="E118" s="16" t="s">
        <v>272</v>
      </c>
      <c r="F118" s="16">
        <v>3</v>
      </c>
      <c r="G118" t="s">
        <v>1526</v>
      </c>
      <c r="H118" t="s">
        <v>283</v>
      </c>
      <c r="I118" t="s">
        <v>1566</v>
      </c>
      <c r="J118" t="s">
        <v>1571</v>
      </c>
      <c r="L118" t="str">
        <f t="shared" si="9"/>
        <v>continuous/right_overhang</v>
      </c>
      <c r="M118" t="str">
        <f t="shared" si="10"/>
        <v>inclined + standard_truss/other_truss</v>
      </c>
      <c r="N118" t="str">
        <f t="shared" si="8"/>
        <v>top_structure/bottom_structure/rock_structure + 3anc</v>
      </c>
      <c r="O118" t="s">
        <v>1686</v>
      </c>
      <c r="R118" t="s">
        <v>820</v>
      </c>
      <c r="S118" t="s">
        <v>293</v>
      </c>
      <c r="T118" t="s">
        <v>292</v>
      </c>
      <c r="U118" t="s">
        <v>292</v>
      </c>
      <c r="V118" t="s">
        <v>292</v>
      </c>
      <c r="W118" t="s">
        <v>293</v>
      </c>
      <c r="X118" t="str">
        <f t="shared" si="11"/>
        <v/>
      </c>
      <c r="Y118" t="str">
        <f t="shared" si="12"/>
        <v>reinforced_road-</v>
      </c>
      <c r="Z118" t="str">
        <f t="shared" si="13"/>
        <v>wood-</v>
      </c>
      <c r="AA118" t="str">
        <f t="shared" si="14"/>
        <v>steel</v>
      </c>
      <c r="AB118" t="str">
        <f t="shared" si="15"/>
        <v>reinforced_road-wood-steel</v>
      </c>
      <c r="AE118" t="s">
        <v>1686</v>
      </c>
    </row>
    <row r="119" spans="1:31" x14ac:dyDescent="0.3">
      <c r="A119" t="s">
        <v>45</v>
      </c>
      <c r="B119" t="s">
        <v>72</v>
      </c>
      <c r="C119" t="s">
        <v>29</v>
      </c>
      <c r="D119" t="s">
        <v>31</v>
      </c>
      <c r="E119" s="16" t="s">
        <v>272</v>
      </c>
      <c r="F119" s="16">
        <v>3</v>
      </c>
      <c r="G119" t="s">
        <v>1524</v>
      </c>
      <c r="H119" t="s">
        <v>1658</v>
      </c>
      <c r="I119" t="s">
        <v>1567</v>
      </c>
      <c r="J119" t="s">
        <v>1570</v>
      </c>
      <c r="L119" t="str">
        <f t="shared" si="9"/>
        <v>continuous/fully_connected</v>
      </c>
      <c r="M119" t="str">
        <f t="shared" si="10"/>
        <v>other_shape + standard_truss/other</v>
      </c>
      <c r="N119" t="str">
        <f t="shared" si="8"/>
        <v>top_structure/rock_structure + 3anc</v>
      </c>
      <c r="O119" t="s">
        <v>1686</v>
      </c>
      <c r="R119" t="s">
        <v>821</v>
      </c>
      <c r="S119" t="s">
        <v>293</v>
      </c>
      <c r="T119" t="s">
        <v>292</v>
      </c>
      <c r="U119" t="s">
        <v>292</v>
      </c>
      <c r="V119" t="s">
        <v>292</v>
      </c>
      <c r="W119" t="s">
        <v>293</v>
      </c>
      <c r="X119" t="str">
        <f t="shared" si="11"/>
        <v/>
      </c>
      <c r="Y119" t="str">
        <f t="shared" si="12"/>
        <v>reinforced_road-</v>
      </c>
      <c r="Z119" t="str">
        <f t="shared" si="13"/>
        <v>wood-</v>
      </c>
      <c r="AA119" t="str">
        <f t="shared" si="14"/>
        <v>steel</v>
      </c>
      <c r="AB119" t="str">
        <f t="shared" si="15"/>
        <v>reinforced_road-wood-steel</v>
      </c>
      <c r="AE119" t="s">
        <v>1686</v>
      </c>
    </row>
    <row r="120" spans="1:31" x14ac:dyDescent="0.3">
      <c r="A120" t="s">
        <v>45</v>
      </c>
      <c r="B120" t="s">
        <v>72</v>
      </c>
      <c r="C120" t="s">
        <v>29</v>
      </c>
      <c r="D120" t="s">
        <v>27</v>
      </c>
      <c r="E120" s="16" t="s">
        <v>272</v>
      </c>
      <c r="F120" s="16">
        <v>3</v>
      </c>
      <c r="G120" t="s">
        <v>1526</v>
      </c>
      <c r="H120" t="s">
        <v>283</v>
      </c>
      <c r="I120" t="s">
        <v>1566</v>
      </c>
      <c r="J120" t="s">
        <v>1571</v>
      </c>
      <c r="L120" t="str">
        <f t="shared" si="9"/>
        <v>continuous/right_overhang</v>
      </c>
      <c r="M120" t="str">
        <f t="shared" si="10"/>
        <v>inclined + standard_truss/other_truss</v>
      </c>
      <c r="N120" t="str">
        <f t="shared" si="8"/>
        <v>top_structure/bottom_structure/rock_structure + 3anc</v>
      </c>
      <c r="O120" t="s">
        <v>1686</v>
      </c>
      <c r="R120" t="s">
        <v>822</v>
      </c>
      <c r="S120" t="s">
        <v>293</v>
      </c>
      <c r="T120" t="s">
        <v>292</v>
      </c>
      <c r="U120" t="s">
        <v>292</v>
      </c>
      <c r="V120" t="s">
        <v>292</v>
      </c>
      <c r="W120" t="s">
        <v>293</v>
      </c>
      <c r="X120" t="str">
        <f t="shared" si="11"/>
        <v/>
      </c>
      <c r="Y120" t="str">
        <f t="shared" si="12"/>
        <v>reinforced_road-</v>
      </c>
      <c r="Z120" t="str">
        <f t="shared" si="13"/>
        <v>wood-</v>
      </c>
      <c r="AA120" t="str">
        <f t="shared" si="14"/>
        <v>steel</v>
      </c>
      <c r="AB120" t="str">
        <f t="shared" si="15"/>
        <v>reinforced_road-wood-steel</v>
      </c>
      <c r="AE120" t="s">
        <v>1686</v>
      </c>
    </row>
    <row r="121" spans="1:31" x14ac:dyDescent="0.3">
      <c r="A121" t="s">
        <v>45</v>
      </c>
      <c r="B121" t="s">
        <v>72</v>
      </c>
      <c r="C121" t="s">
        <v>29</v>
      </c>
      <c r="D121" t="s">
        <v>28</v>
      </c>
      <c r="E121" s="16" t="s">
        <v>272</v>
      </c>
      <c r="F121" s="16">
        <v>3</v>
      </c>
      <c r="G121" t="s">
        <v>1524</v>
      </c>
      <c r="H121" t="s">
        <v>1658</v>
      </c>
      <c r="I121" t="s">
        <v>1567</v>
      </c>
      <c r="J121" t="s">
        <v>344</v>
      </c>
      <c r="L121" t="str">
        <f t="shared" si="9"/>
        <v>continuous/fully_connected</v>
      </c>
      <c r="M121" t="str">
        <f t="shared" si="10"/>
        <v>other_shape + standard_truss</v>
      </c>
      <c r="N121" t="str">
        <f t="shared" si="8"/>
        <v>top_structure/rock_structure + 3anc</v>
      </c>
      <c r="O121" t="s">
        <v>1686</v>
      </c>
      <c r="R121" t="s">
        <v>823</v>
      </c>
      <c r="S121" t="s">
        <v>293</v>
      </c>
      <c r="T121" t="s">
        <v>292</v>
      </c>
      <c r="U121" t="s">
        <v>292</v>
      </c>
      <c r="V121" t="s">
        <v>292</v>
      </c>
      <c r="W121" t="s">
        <v>293</v>
      </c>
      <c r="X121" t="str">
        <f t="shared" si="11"/>
        <v/>
      </c>
      <c r="Y121" t="str">
        <f t="shared" si="12"/>
        <v>reinforced_road-</v>
      </c>
      <c r="Z121" t="str">
        <f t="shared" si="13"/>
        <v>wood-</v>
      </c>
      <c r="AA121" t="str">
        <f t="shared" si="14"/>
        <v>steel</v>
      </c>
      <c r="AB121" t="str">
        <f t="shared" si="15"/>
        <v>reinforced_road-wood-steel</v>
      </c>
      <c r="AE121" t="s">
        <v>1686</v>
      </c>
    </row>
    <row r="122" spans="1:31" x14ac:dyDescent="0.3">
      <c r="A122" t="s">
        <v>45</v>
      </c>
      <c r="B122" t="s">
        <v>72</v>
      </c>
      <c r="C122" t="s">
        <v>29</v>
      </c>
      <c r="D122" t="s">
        <v>35</v>
      </c>
      <c r="E122" s="16" t="s">
        <v>272</v>
      </c>
      <c r="F122" s="16">
        <v>2</v>
      </c>
      <c r="G122" t="s">
        <v>1524</v>
      </c>
      <c r="H122" t="s">
        <v>282</v>
      </c>
      <c r="I122" t="s">
        <v>341</v>
      </c>
      <c r="J122" t="s">
        <v>345</v>
      </c>
      <c r="L122" t="str">
        <f t="shared" si="9"/>
        <v>continuous/fully_connected</v>
      </c>
      <c r="M122" t="str">
        <f t="shared" si="10"/>
        <v>arch + arch_truss</v>
      </c>
      <c r="N122" t="str">
        <f t="shared" si="8"/>
        <v>top_structure + 2anc</v>
      </c>
      <c r="O122" t="s">
        <v>1692</v>
      </c>
      <c r="R122" t="s">
        <v>824</v>
      </c>
      <c r="S122" t="s">
        <v>292</v>
      </c>
      <c r="T122" t="s">
        <v>293</v>
      </c>
      <c r="U122" t="s">
        <v>292</v>
      </c>
      <c r="V122" t="s">
        <v>293</v>
      </c>
      <c r="W122" t="s">
        <v>293</v>
      </c>
      <c r="X122" t="str">
        <f t="shared" si="11"/>
        <v>road-</v>
      </c>
      <c r="Y122" t="str">
        <f t="shared" si="12"/>
        <v/>
      </c>
      <c r="Z122" t="str">
        <f t="shared" si="13"/>
        <v>wood-</v>
      </c>
      <c r="AA122" t="str">
        <f t="shared" si="14"/>
        <v/>
      </c>
      <c r="AB122" t="str">
        <f t="shared" si="15"/>
        <v>road-wood-</v>
      </c>
      <c r="AE122" t="s">
        <v>1692</v>
      </c>
    </row>
    <row r="123" spans="1:31" x14ac:dyDescent="0.3">
      <c r="A123" t="s">
        <v>9</v>
      </c>
      <c r="B123" t="s">
        <v>10</v>
      </c>
      <c r="C123" t="s">
        <v>12</v>
      </c>
      <c r="D123" t="s">
        <v>27</v>
      </c>
      <c r="E123" s="16" t="s">
        <v>272</v>
      </c>
      <c r="F123" s="16">
        <v>3</v>
      </c>
      <c r="G123" t="s">
        <v>1524</v>
      </c>
      <c r="H123" t="s">
        <v>1633</v>
      </c>
      <c r="I123" t="s">
        <v>1567</v>
      </c>
      <c r="J123" t="s">
        <v>344</v>
      </c>
      <c r="L123" t="str">
        <f t="shared" si="9"/>
        <v>continuous/fully_connected</v>
      </c>
      <c r="M123" t="str">
        <f t="shared" si="10"/>
        <v>straight/inclined/platform + standard_truss</v>
      </c>
      <c r="N123" t="str">
        <f t="shared" si="8"/>
        <v>top_structure/rock_structure + 3anc</v>
      </c>
      <c r="O123" t="s">
        <v>1684</v>
      </c>
      <c r="R123" s="38" t="s">
        <v>825</v>
      </c>
      <c r="S123" s="38" t="s">
        <v>292</v>
      </c>
      <c r="T123" s="38" t="s">
        <v>293</v>
      </c>
      <c r="U123" s="38" t="s">
        <v>292</v>
      </c>
      <c r="V123" s="38" t="s">
        <v>292</v>
      </c>
      <c r="W123" s="38" t="s">
        <v>293</v>
      </c>
      <c r="X123" t="str">
        <f t="shared" si="11"/>
        <v>road-</v>
      </c>
      <c r="Y123" t="str">
        <f t="shared" si="12"/>
        <v/>
      </c>
      <c r="Z123" t="str">
        <f t="shared" si="13"/>
        <v>wood-</v>
      </c>
      <c r="AA123" t="str">
        <f t="shared" si="14"/>
        <v>steel</v>
      </c>
      <c r="AB123" t="str">
        <f t="shared" si="15"/>
        <v>road-wood-steel</v>
      </c>
      <c r="AE123" t="s">
        <v>1684</v>
      </c>
    </row>
    <row r="124" spans="1:31" x14ac:dyDescent="0.3">
      <c r="A124" t="s">
        <v>9</v>
      </c>
      <c r="B124" t="s">
        <v>10</v>
      </c>
      <c r="C124" t="s">
        <v>12</v>
      </c>
      <c r="D124" t="s">
        <v>15</v>
      </c>
      <c r="E124" s="16" t="s">
        <v>272</v>
      </c>
      <c r="F124" s="16">
        <v>3</v>
      </c>
      <c r="G124" t="s">
        <v>1524</v>
      </c>
      <c r="H124" t="s">
        <v>1634</v>
      </c>
      <c r="I124" t="s">
        <v>1567</v>
      </c>
      <c r="J124" t="s">
        <v>344</v>
      </c>
      <c r="L124" t="str">
        <f t="shared" si="9"/>
        <v>continuous/fully_connected</v>
      </c>
      <c r="M124" t="str">
        <f t="shared" si="10"/>
        <v>inclined/platform + standard_truss</v>
      </c>
      <c r="N124" t="str">
        <f t="shared" si="8"/>
        <v>top_structure/rock_structure + 3anc</v>
      </c>
      <c r="O124" t="s">
        <v>1684</v>
      </c>
      <c r="R124" t="s">
        <v>826</v>
      </c>
      <c r="S124" t="s">
        <v>292</v>
      </c>
      <c r="T124" t="s">
        <v>293</v>
      </c>
      <c r="U124" t="s">
        <v>292</v>
      </c>
      <c r="V124" t="s">
        <v>292</v>
      </c>
      <c r="W124" t="s">
        <v>293</v>
      </c>
      <c r="X124" t="str">
        <f t="shared" si="11"/>
        <v>road-</v>
      </c>
      <c r="Y124" t="str">
        <f t="shared" si="12"/>
        <v/>
      </c>
      <c r="Z124" t="str">
        <f t="shared" si="13"/>
        <v>wood-</v>
      </c>
      <c r="AA124" t="str">
        <f t="shared" si="14"/>
        <v>steel</v>
      </c>
      <c r="AB124" t="str">
        <f t="shared" si="15"/>
        <v>road-wood-steel</v>
      </c>
      <c r="AE124" t="s">
        <v>1684</v>
      </c>
    </row>
    <row r="125" spans="1:31" x14ac:dyDescent="0.3">
      <c r="A125" t="s">
        <v>9</v>
      </c>
      <c r="B125" t="s">
        <v>10</v>
      </c>
      <c r="C125" t="s">
        <v>12</v>
      </c>
      <c r="D125" t="s">
        <v>23</v>
      </c>
      <c r="E125" s="16" t="s">
        <v>272</v>
      </c>
      <c r="F125" s="16">
        <v>3</v>
      </c>
      <c r="G125" t="s">
        <v>1524</v>
      </c>
      <c r="H125" t="s">
        <v>1634</v>
      </c>
      <c r="I125" t="s">
        <v>1567</v>
      </c>
      <c r="J125" t="s">
        <v>344</v>
      </c>
      <c r="L125" t="str">
        <f t="shared" si="9"/>
        <v>continuous/fully_connected</v>
      </c>
      <c r="M125" t="str">
        <f t="shared" si="10"/>
        <v>inclined/platform + standard_truss</v>
      </c>
      <c r="N125" t="str">
        <f t="shared" si="8"/>
        <v>top_structure/rock_structure + 3anc</v>
      </c>
      <c r="O125" t="s">
        <v>1684</v>
      </c>
      <c r="R125" t="s">
        <v>827</v>
      </c>
      <c r="S125" t="s">
        <v>292</v>
      </c>
      <c r="T125" t="s">
        <v>293</v>
      </c>
      <c r="U125" t="s">
        <v>292</v>
      </c>
      <c r="V125" t="s">
        <v>292</v>
      </c>
      <c r="W125" t="s">
        <v>293</v>
      </c>
      <c r="X125" t="str">
        <f t="shared" si="11"/>
        <v>road-</v>
      </c>
      <c r="Y125" t="str">
        <f t="shared" si="12"/>
        <v/>
      </c>
      <c r="Z125" t="str">
        <f t="shared" si="13"/>
        <v>wood-</v>
      </c>
      <c r="AA125" t="str">
        <f t="shared" si="14"/>
        <v>steel</v>
      </c>
      <c r="AB125" t="str">
        <f t="shared" si="15"/>
        <v>road-wood-steel</v>
      </c>
      <c r="AE125" t="s">
        <v>1684</v>
      </c>
    </row>
    <row r="126" spans="1:31" x14ac:dyDescent="0.3">
      <c r="A126" t="s">
        <v>9</v>
      </c>
      <c r="B126" t="s">
        <v>10</v>
      </c>
      <c r="C126" t="s">
        <v>12</v>
      </c>
      <c r="D126" t="s">
        <v>14</v>
      </c>
      <c r="E126" s="16" t="s">
        <v>272</v>
      </c>
      <c r="F126" s="16">
        <v>3</v>
      </c>
      <c r="G126" t="s">
        <v>1524</v>
      </c>
      <c r="H126" t="s">
        <v>1634</v>
      </c>
      <c r="I126" t="s">
        <v>1567</v>
      </c>
      <c r="J126" t="s">
        <v>344</v>
      </c>
      <c r="L126" t="str">
        <f t="shared" si="9"/>
        <v>continuous/fully_connected</v>
      </c>
      <c r="M126" t="str">
        <f t="shared" si="10"/>
        <v>inclined/platform + standard_truss</v>
      </c>
      <c r="N126" t="str">
        <f t="shared" si="8"/>
        <v>top_structure/rock_structure + 3anc</v>
      </c>
      <c r="O126" t="s">
        <v>1684</v>
      </c>
      <c r="R126" t="s">
        <v>828</v>
      </c>
      <c r="S126" t="s">
        <v>292</v>
      </c>
      <c r="T126" t="s">
        <v>293</v>
      </c>
      <c r="U126" t="s">
        <v>292</v>
      </c>
      <c r="V126" t="s">
        <v>292</v>
      </c>
      <c r="W126" t="s">
        <v>293</v>
      </c>
      <c r="X126" t="str">
        <f t="shared" si="11"/>
        <v>road-</v>
      </c>
      <c r="Y126" t="str">
        <f t="shared" si="12"/>
        <v/>
      </c>
      <c r="Z126" t="str">
        <f t="shared" si="13"/>
        <v>wood-</v>
      </c>
      <c r="AA126" t="str">
        <f t="shared" si="14"/>
        <v>steel</v>
      </c>
      <c r="AB126" t="str">
        <f t="shared" si="15"/>
        <v>road-wood-steel</v>
      </c>
      <c r="AE126" t="s">
        <v>1684</v>
      </c>
    </row>
    <row r="127" spans="1:31" x14ac:dyDescent="0.3">
      <c r="A127" t="s">
        <v>9</v>
      </c>
      <c r="B127" t="s">
        <v>10</v>
      </c>
      <c r="C127" t="s">
        <v>12</v>
      </c>
      <c r="D127" t="s">
        <v>25</v>
      </c>
      <c r="E127" s="16" t="s">
        <v>272</v>
      </c>
      <c r="F127" s="16">
        <v>3</v>
      </c>
      <c r="G127" t="s">
        <v>1524</v>
      </c>
      <c r="H127" t="s">
        <v>1633</v>
      </c>
      <c r="I127" t="s">
        <v>1567</v>
      </c>
      <c r="J127" t="s">
        <v>344</v>
      </c>
      <c r="L127" t="str">
        <f t="shared" si="9"/>
        <v>continuous/fully_connected</v>
      </c>
      <c r="M127" t="str">
        <f t="shared" si="10"/>
        <v>straight/inclined/platform + standard_truss</v>
      </c>
      <c r="N127" t="str">
        <f t="shared" si="8"/>
        <v>top_structure/rock_structure + 3anc</v>
      </c>
      <c r="O127" t="s">
        <v>1684</v>
      </c>
      <c r="R127" t="s">
        <v>829</v>
      </c>
      <c r="S127" t="s">
        <v>292</v>
      </c>
      <c r="T127" t="s">
        <v>293</v>
      </c>
      <c r="U127" t="s">
        <v>292</v>
      </c>
      <c r="V127" t="s">
        <v>292</v>
      </c>
      <c r="W127" t="s">
        <v>293</v>
      </c>
      <c r="X127" t="str">
        <f t="shared" si="11"/>
        <v>road-</v>
      </c>
      <c r="Y127" t="str">
        <f t="shared" si="12"/>
        <v/>
      </c>
      <c r="Z127" t="str">
        <f t="shared" si="13"/>
        <v>wood-</v>
      </c>
      <c r="AA127" t="str">
        <f t="shared" si="14"/>
        <v>steel</v>
      </c>
      <c r="AB127" t="str">
        <f t="shared" si="15"/>
        <v>road-wood-steel</v>
      </c>
      <c r="AE127" t="s">
        <v>1684</v>
      </c>
    </row>
    <row r="128" spans="1:31" x14ac:dyDescent="0.3">
      <c r="A128" t="s">
        <v>9</v>
      </c>
      <c r="B128" t="s">
        <v>10</v>
      </c>
      <c r="C128" t="s">
        <v>12</v>
      </c>
      <c r="D128" t="s">
        <v>11</v>
      </c>
      <c r="E128" s="16" t="s">
        <v>272</v>
      </c>
      <c r="F128" s="16">
        <v>3</v>
      </c>
      <c r="G128" t="s">
        <v>1524</v>
      </c>
      <c r="H128" t="s">
        <v>1634</v>
      </c>
      <c r="I128" t="s">
        <v>1567</v>
      </c>
      <c r="J128" t="s">
        <v>344</v>
      </c>
      <c r="L128" t="str">
        <f t="shared" si="9"/>
        <v>continuous/fully_connected</v>
      </c>
      <c r="M128" t="str">
        <f t="shared" si="10"/>
        <v>inclined/platform + standard_truss</v>
      </c>
      <c r="N128" t="str">
        <f t="shared" si="8"/>
        <v>top_structure/rock_structure + 3anc</v>
      </c>
      <c r="O128" t="s">
        <v>1684</v>
      </c>
      <c r="R128" t="s">
        <v>830</v>
      </c>
      <c r="S128" t="s">
        <v>292</v>
      </c>
      <c r="T128" t="s">
        <v>293</v>
      </c>
      <c r="U128" t="s">
        <v>292</v>
      </c>
      <c r="V128" t="s">
        <v>292</v>
      </c>
      <c r="W128" t="s">
        <v>293</v>
      </c>
      <c r="X128" t="str">
        <f t="shared" si="11"/>
        <v>road-</v>
      </c>
      <c r="Y128" t="str">
        <f t="shared" si="12"/>
        <v/>
      </c>
      <c r="Z128" t="str">
        <f t="shared" si="13"/>
        <v>wood-</v>
      </c>
      <c r="AA128" t="str">
        <f t="shared" si="14"/>
        <v>steel</v>
      </c>
      <c r="AB128" t="str">
        <f t="shared" si="15"/>
        <v>road-wood-steel</v>
      </c>
      <c r="AE128" t="s">
        <v>1684</v>
      </c>
    </row>
    <row r="129" spans="1:31" x14ac:dyDescent="0.3">
      <c r="A129" t="s">
        <v>9</v>
      </c>
      <c r="B129" t="s">
        <v>10</v>
      </c>
      <c r="C129" t="s">
        <v>12</v>
      </c>
      <c r="D129" t="s">
        <v>24</v>
      </c>
      <c r="E129" s="16" t="s">
        <v>272</v>
      </c>
      <c r="F129" s="16">
        <v>3</v>
      </c>
      <c r="G129" t="s">
        <v>1524</v>
      </c>
      <c r="H129" t="s">
        <v>1634</v>
      </c>
      <c r="I129" t="s">
        <v>1567</v>
      </c>
      <c r="J129" t="s">
        <v>344</v>
      </c>
      <c r="L129" t="str">
        <f t="shared" si="9"/>
        <v>continuous/fully_connected</v>
      </c>
      <c r="M129" t="str">
        <f t="shared" si="10"/>
        <v>inclined/platform + standard_truss</v>
      </c>
      <c r="N129" t="str">
        <f t="shared" si="8"/>
        <v>top_structure/rock_structure + 3anc</v>
      </c>
      <c r="O129" t="s">
        <v>1684</v>
      </c>
      <c r="R129" t="s">
        <v>831</v>
      </c>
      <c r="S129" t="s">
        <v>292</v>
      </c>
      <c r="T129" t="s">
        <v>293</v>
      </c>
      <c r="U129" t="s">
        <v>292</v>
      </c>
      <c r="V129" t="s">
        <v>292</v>
      </c>
      <c r="W129" t="s">
        <v>293</v>
      </c>
      <c r="X129" t="str">
        <f t="shared" si="11"/>
        <v>road-</v>
      </c>
      <c r="Y129" t="str">
        <f t="shared" si="12"/>
        <v/>
      </c>
      <c r="Z129" t="str">
        <f t="shared" si="13"/>
        <v>wood-</v>
      </c>
      <c r="AA129" t="str">
        <f t="shared" si="14"/>
        <v>steel</v>
      </c>
      <c r="AB129" t="str">
        <f t="shared" si="15"/>
        <v>road-wood-steel</v>
      </c>
      <c r="AE129" t="s">
        <v>1684</v>
      </c>
    </row>
    <row r="130" spans="1:31" x14ac:dyDescent="0.3">
      <c r="A130" t="s">
        <v>9</v>
      </c>
      <c r="B130" t="s">
        <v>10</v>
      </c>
      <c r="C130" t="s">
        <v>12</v>
      </c>
      <c r="D130" t="s">
        <v>21</v>
      </c>
      <c r="E130" s="16" t="s">
        <v>272</v>
      </c>
      <c r="F130" s="16">
        <v>3</v>
      </c>
      <c r="G130" t="s">
        <v>1524</v>
      </c>
      <c r="H130" t="s">
        <v>1634</v>
      </c>
      <c r="I130" t="s">
        <v>1567</v>
      </c>
      <c r="J130" t="s">
        <v>1571</v>
      </c>
      <c r="L130" t="str">
        <f t="shared" si="9"/>
        <v>continuous/fully_connected</v>
      </c>
      <c r="M130" t="str">
        <f t="shared" si="10"/>
        <v>inclined/platform + standard_truss/other_truss</v>
      </c>
      <c r="N130" t="str">
        <f t="shared" ref="N130:N193" si="16">I130&amp;" + "&amp;F130&amp;"anc"</f>
        <v>top_structure/rock_structure + 3anc</v>
      </c>
      <c r="O130" t="s">
        <v>1684</v>
      </c>
      <c r="R130" t="s">
        <v>832</v>
      </c>
      <c r="S130" t="s">
        <v>292</v>
      </c>
      <c r="T130" t="s">
        <v>293</v>
      </c>
      <c r="U130" t="s">
        <v>292</v>
      </c>
      <c r="V130" t="s">
        <v>292</v>
      </c>
      <c r="W130" t="s">
        <v>293</v>
      </c>
      <c r="X130" t="str">
        <f t="shared" si="11"/>
        <v>road-</v>
      </c>
      <c r="Y130" t="str">
        <f t="shared" si="12"/>
        <v/>
      </c>
      <c r="Z130" t="str">
        <f t="shared" si="13"/>
        <v>wood-</v>
      </c>
      <c r="AA130" t="str">
        <f t="shared" si="14"/>
        <v>steel</v>
      </c>
      <c r="AB130" t="str">
        <f t="shared" si="15"/>
        <v>road-wood-steel</v>
      </c>
      <c r="AE130" t="s">
        <v>1684</v>
      </c>
    </row>
    <row r="131" spans="1:31" x14ac:dyDescent="0.3">
      <c r="A131" t="s">
        <v>9</v>
      </c>
      <c r="B131" t="s">
        <v>10</v>
      </c>
      <c r="C131" t="s">
        <v>12</v>
      </c>
      <c r="D131" t="s">
        <v>19</v>
      </c>
      <c r="E131" s="16" t="s">
        <v>272</v>
      </c>
      <c r="F131" s="16">
        <v>3</v>
      </c>
      <c r="G131" t="s">
        <v>1524</v>
      </c>
      <c r="H131" t="s">
        <v>1634</v>
      </c>
      <c r="I131" t="s">
        <v>1567</v>
      </c>
      <c r="J131" t="s">
        <v>344</v>
      </c>
      <c r="L131" t="str">
        <f t="shared" ref="L131:L194" si="17">G131</f>
        <v>continuous/fully_connected</v>
      </c>
      <c r="M131" t="str">
        <f t="shared" ref="M131:M194" si="18">H131&amp;" + "&amp;J131</f>
        <v>inclined/platform + standard_truss</v>
      </c>
      <c r="N131" t="str">
        <f t="shared" si="16"/>
        <v>top_structure/rock_structure + 3anc</v>
      </c>
      <c r="O131" t="s">
        <v>1684</v>
      </c>
      <c r="R131" t="s">
        <v>833</v>
      </c>
      <c r="S131" t="s">
        <v>292</v>
      </c>
      <c r="T131" t="s">
        <v>293</v>
      </c>
      <c r="U131" t="s">
        <v>292</v>
      </c>
      <c r="V131" t="s">
        <v>292</v>
      </c>
      <c r="W131" t="s">
        <v>293</v>
      </c>
      <c r="X131" t="str">
        <f t="shared" ref="X131:X194" si="19">IF(S131="yes","road-","")</f>
        <v>road-</v>
      </c>
      <c r="Y131" t="str">
        <f t="shared" ref="Y131:Y194" si="20">IF(T131="yes","reinforced_road-","")</f>
        <v/>
      </c>
      <c r="Z131" t="str">
        <f t="shared" ref="Z131:Z194" si="21">IF(U131="yes","wood-","")</f>
        <v>wood-</v>
      </c>
      <c r="AA131" t="str">
        <f t="shared" ref="AA131:AA194" si="22">IF(V131="yes","steel","")</f>
        <v>steel</v>
      </c>
      <c r="AB131" t="str">
        <f t="shared" ref="AB131:AB194" si="23">X131&amp;Y131&amp;Z131&amp;AA131</f>
        <v>road-wood-steel</v>
      </c>
      <c r="AE131" t="s">
        <v>1684</v>
      </c>
    </row>
    <row r="132" spans="1:31" x14ac:dyDescent="0.3">
      <c r="A132" t="s">
        <v>9</v>
      </c>
      <c r="B132" t="s">
        <v>10</v>
      </c>
      <c r="C132" t="s">
        <v>12</v>
      </c>
      <c r="D132" t="s">
        <v>17</v>
      </c>
      <c r="E132" s="16" t="s">
        <v>272</v>
      </c>
      <c r="F132" s="16">
        <v>3</v>
      </c>
      <c r="G132" t="s">
        <v>1524</v>
      </c>
      <c r="H132" t="s">
        <v>1634</v>
      </c>
      <c r="I132" t="s">
        <v>1567</v>
      </c>
      <c r="J132" t="s">
        <v>344</v>
      </c>
      <c r="L132" t="str">
        <f t="shared" si="17"/>
        <v>continuous/fully_connected</v>
      </c>
      <c r="M132" t="str">
        <f t="shared" si="18"/>
        <v>inclined/platform + standard_truss</v>
      </c>
      <c r="N132" t="str">
        <f t="shared" si="16"/>
        <v>top_structure/rock_structure + 3anc</v>
      </c>
      <c r="O132" t="s">
        <v>1692</v>
      </c>
      <c r="R132" t="s">
        <v>834</v>
      </c>
      <c r="S132" t="s">
        <v>292</v>
      </c>
      <c r="T132" t="s">
        <v>293</v>
      </c>
      <c r="U132" t="s">
        <v>292</v>
      </c>
      <c r="V132" t="s">
        <v>293</v>
      </c>
      <c r="W132" t="s">
        <v>293</v>
      </c>
      <c r="X132" t="str">
        <f t="shared" si="19"/>
        <v>road-</v>
      </c>
      <c r="Y132" t="str">
        <f t="shared" si="20"/>
        <v/>
      </c>
      <c r="Z132" t="str">
        <f t="shared" si="21"/>
        <v>wood-</v>
      </c>
      <c r="AA132" t="str">
        <f t="shared" si="22"/>
        <v/>
      </c>
      <c r="AB132" t="str">
        <f t="shared" si="23"/>
        <v>road-wood-</v>
      </c>
      <c r="AE132" t="s">
        <v>1692</v>
      </c>
    </row>
    <row r="133" spans="1:31" x14ac:dyDescent="0.3">
      <c r="A133" t="s">
        <v>9</v>
      </c>
      <c r="B133" t="s">
        <v>10</v>
      </c>
      <c r="C133" t="s">
        <v>12</v>
      </c>
      <c r="D133" t="s">
        <v>16</v>
      </c>
      <c r="E133" s="16" t="s">
        <v>272</v>
      </c>
      <c r="F133" s="16">
        <v>3</v>
      </c>
      <c r="G133" t="s">
        <v>1524</v>
      </c>
      <c r="H133" t="s">
        <v>1634</v>
      </c>
      <c r="I133" t="s">
        <v>1567</v>
      </c>
      <c r="J133" t="s">
        <v>344</v>
      </c>
      <c r="L133" t="str">
        <f t="shared" si="17"/>
        <v>continuous/fully_connected</v>
      </c>
      <c r="M133" t="str">
        <f t="shared" si="18"/>
        <v>inclined/platform + standard_truss</v>
      </c>
      <c r="N133" t="str">
        <f t="shared" si="16"/>
        <v>top_structure/rock_structure + 3anc</v>
      </c>
      <c r="O133" t="s">
        <v>1684</v>
      </c>
      <c r="R133" t="s">
        <v>835</v>
      </c>
      <c r="S133" t="s">
        <v>292</v>
      </c>
      <c r="T133" t="s">
        <v>293</v>
      </c>
      <c r="U133" t="s">
        <v>292</v>
      </c>
      <c r="V133" t="s">
        <v>292</v>
      </c>
      <c r="W133" t="s">
        <v>293</v>
      </c>
      <c r="X133" t="str">
        <f t="shared" si="19"/>
        <v>road-</v>
      </c>
      <c r="Y133" t="str">
        <f t="shared" si="20"/>
        <v/>
      </c>
      <c r="Z133" t="str">
        <f t="shared" si="21"/>
        <v>wood-</v>
      </c>
      <c r="AA133" t="str">
        <f t="shared" si="22"/>
        <v>steel</v>
      </c>
      <c r="AB133" t="str">
        <f t="shared" si="23"/>
        <v>road-wood-steel</v>
      </c>
      <c r="AE133" t="s">
        <v>1684</v>
      </c>
    </row>
    <row r="134" spans="1:31" x14ac:dyDescent="0.3">
      <c r="A134" t="s">
        <v>9</v>
      </c>
      <c r="B134" t="s">
        <v>10</v>
      </c>
      <c r="C134" t="s">
        <v>12</v>
      </c>
      <c r="D134" t="s">
        <v>20</v>
      </c>
      <c r="E134" s="16" t="s">
        <v>272</v>
      </c>
      <c r="F134" s="16">
        <v>3</v>
      </c>
      <c r="G134" t="s">
        <v>1524</v>
      </c>
      <c r="H134" t="s">
        <v>1634</v>
      </c>
      <c r="I134" t="s">
        <v>1567</v>
      </c>
      <c r="J134" t="s">
        <v>344</v>
      </c>
      <c r="L134" t="str">
        <f t="shared" si="17"/>
        <v>continuous/fully_connected</v>
      </c>
      <c r="M134" t="str">
        <f t="shared" si="18"/>
        <v>inclined/platform + standard_truss</v>
      </c>
      <c r="N134" t="str">
        <f t="shared" si="16"/>
        <v>top_structure/rock_structure + 3anc</v>
      </c>
      <c r="O134" t="s">
        <v>1684</v>
      </c>
      <c r="R134" t="s">
        <v>836</v>
      </c>
      <c r="S134" t="s">
        <v>292</v>
      </c>
      <c r="T134" t="s">
        <v>293</v>
      </c>
      <c r="U134" t="s">
        <v>292</v>
      </c>
      <c r="V134" t="s">
        <v>292</v>
      </c>
      <c r="W134" t="s">
        <v>293</v>
      </c>
      <c r="X134" t="str">
        <f t="shared" si="19"/>
        <v>road-</v>
      </c>
      <c r="Y134" t="str">
        <f t="shared" si="20"/>
        <v/>
      </c>
      <c r="Z134" t="str">
        <f t="shared" si="21"/>
        <v>wood-</v>
      </c>
      <c r="AA134" t="str">
        <f t="shared" si="22"/>
        <v>steel</v>
      </c>
      <c r="AB134" t="str">
        <f t="shared" si="23"/>
        <v>road-wood-steel</v>
      </c>
      <c r="AE134" t="s">
        <v>1684</v>
      </c>
    </row>
    <row r="135" spans="1:31" x14ac:dyDescent="0.3">
      <c r="A135" t="s">
        <v>9</v>
      </c>
      <c r="B135" t="s">
        <v>10</v>
      </c>
      <c r="C135" t="s">
        <v>12</v>
      </c>
      <c r="D135" t="s">
        <v>26</v>
      </c>
      <c r="E135" s="16" t="s">
        <v>272</v>
      </c>
      <c r="F135" s="16">
        <v>3</v>
      </c>
      <c r="G135" t="s">
        <v>1524</v>
      </c>
      <c r="H135" t="s">
        <v>1633</v>
      </c>
      <c r="I135" t="s">
        <v>1567</v>
      </c>
      <c r="J135" t="s">
        <v>344</v>
      </c>
      <c r="L135" t="str">
        <f t="shared" si="17"/>
        <v>continuous/fully_connected</v>
      </c>
      <c r="M135" t="str">
        <f t="shared" si="18"/>
        <v>straight/inclined/platform + standard_truss</v>
      </c>
      <c r="N135" t="str">
        <f t="shared" si="16"/>
        <v>top_structure/rock_structure + 3anc</v>
      </c>
      <c r="O135" t="s">
        <v>1684</v>
      </c>
      <c r="R135" t="s">
        <v>837</v>
      </c>
      <c r="S135" t="s">
        <v>292</v>
      </c>
      <c r="T135" t="s">
        <v>293</v>
      </c>
      <c r="U135" t="s">
        <v>292</v>
      </c>
      <c r="V135" t="s">
        <v>292</v>
      </c>
      <c r="W135" t="s">
        <v>293</v>
      </c>
      <c r="X135" t="str">
        <f t="shared" si="19"/>
        <v>road-</v>
      </c>
      <c r="Y135" t="str">
        <f t="shared" si="20"/>
        <v/>
      </c>
      <c r="Z135" t="str">
        <f t="shared" si="21"/>
        <v>wood-</v>
      </c>
      <c r="AA135" t="str">
        <f t="shared" si="22"/>
        <v>steel</v>
      </c>
      <c r="AB135" t="str">
        <f t="shared" si="23"/>
        <v>road-wood-steel</v>
      </c>
      <c r="AE135" t="s">
        <v>1684</v>
      </c>
    </row>
    <row r="136" spans="1:31" x14ac:dyDescent="0.3">
      <c r="A136" t="s">
        <v>9</v>
      </c>
      <c r="B136" t="s">
        <v>10</v>
      </c>
      <c r="C136" t="s">
        <v>12</v>
      </c>
      <c r="D136" t="s">
        <v>22</v>
      </c>
      <c r="E136" s="16" t="s">
        <v>272</v>
      </c>
      <c r="F136" s="16">
        <v>3</v>
      </c>
      <c r="G136" t="s">
        <v>1524</v>
      </c>
      <c r="H136" t="s">
        <v>1634</v>
      </c>
      <c r="I136" t="s">
        <v>1567</v>
      </c>
      <c r="J136" t="s">
        <v>344</v>
      </c>
      <c r="L136" t="str">
        <f t="shared" si="17"/>
        <v>continuous/fully_connected</v>
      </c>
      <c r="M136" t="str">
        <f t="shared" si="18"/>
        <v>inclined/platform + standard_truss</v>
      </c>
      <c r="N136" t="str">
        <f t="shared" si="16"/>
        <v>top_structure/rock_structure + 3anc</v>
      </c>
      <c r="O136" t="s">
        <v>1684</v>
      </c>
      <c r="R136" t="s">
        <v>838</v>
      </c>
      <c r="S136" t="s">
        <v>292</v>
      </c>
      <c r="T136" t="s">
        <v>293</v>
      </c>
      <c r="U136" t="s">
        <v>292</v>
      </c>
      <c r="V136" t="s">
        <v>292</v>
      </c>
      <c r="W136" t="s">
        <v>293</v>
      </c>
      <c r="X136" t="str">
        <f t="shared" si="19"/>
        <v>road-</v>
      </c>
      <c r="Y136" t="str">
        <f t="shared" si="20"/>
        <v/>
      </c>
      <c r="Z136" t="str">
        <f t="shared" si="21"/>
        <v>wood-</v>
      </c>
      <c r="AA136" t="str">
        <f t="shared" si="22"/>
        <v>steel</v>
      </c>
      <c r="AB136" t="str">
        <f t="shared" si="23"/>
        <v>road-wood-steel</v>
      </c>
      <c r="AE136" t="s">
        <v>1684</v>
      </c>
    </row>
    <row r="137" spans="1:31" x14ac:dyDescent="0.3">
      <c r="A137" t="s">
        <v>9</v>
      </c>
      <c r="B137" t="s">
        <v>10</v>
      </c>
      <c r="C137" t="s">
        <v>29</v>
      </c>
      <c r="D137" t="s">
        <v>39</v>
      </c>
      <c r="E137" s="16" t="s">
        <v>272</v>
      </c>
      <c r="F137" s="16">
        <v>3</v>
      </c>
      <c r="G137" t="s">
        <v>1529</v>
      </c>
      <c r="H137" t="s">
        <v>1658</v>
      </c>
      <c r="I137" t="s">
        <v>1567</v>
      </c>
      <c r="J137" t="s">
        <v>344</v>
      </c>
      <c r="L137" t="str">
        <f t="shared" si="17"/>
        <v>missing_section/middle</v>
      </c>
      <c r="M137" t="str">
        <f t="shared" si="18"/>
        <v>other_shape + standard_truss</v>
      </c>
      <c r="N137" t="str">
        <f t="shared" si="16"/>
        <v>top_structure/rock_structure + 3anc</v>
      </c>
      <c r="O137" t="s">
        <v>1684</v>
      </c>
      <c r="R137" t="s">
        <v>839</v>
      </c>
      <c r="S137" t="s">
        <v>292</v>
      </c>
      <c r="T137" t="s">
        <v>293</v>
      </c>
      <c r="U137" t="s">
        <v>292</v>
      </c>
      <c r="V137" t="s">
        <v>292</v>
      </c>
      <c r="W137" t="s">
        <v>293</v>
      </c>
      <c r="X137" t="str">
        <f t="shared" si="19"/>
        <v>road-</v>
      </c>
      <c r="Y137" t="str">
        <f t="shared" si="20"/>
        <v/>
      </c>
      <c r="Z137" t="str">
        <f t="shared" si="21"/>
        <v>wood-</v>
      </c>
      <c r="AA137" t="str">
        <f t="shared" si="22"/>
        <v>steel</v>
      </c>
      <c r="AB137" t="str">
        <f t="shared" si="23"/>
        <v>road-wood-steel</v>
      </c>
      <c r="AE137" t="s">
        <v>1684</v>
      </c>
    </row>
    <row r="138" spans="1:31" x14ac:dyDescent="0.3">
      <c r="A138" t="s">
        <v>9</v>
      </c>
      <c r="B138" t="s">
        <v>10</v>
      </c>
      <c r="C138" t="s">
        <v>29</v>
      </c>
      <c r="D138" t="s">
        <v>37</v>
      </c>
      <c r="E138" s="16" t="s">
        <v>272</v>
      </c>
      <c r="F138" s="16">
        <v>3</v>
      </c>
      <c r="G138" t="s">
        <v>1679</v>
      </c>
      <c r="H138" t="s">
        <v>1658</v>
      </c>
      <c r="I138" t="s">
        <v>1567</v>
      </c>
      <c r="J138" t="s">
        <v>344</v>
      </c>
      <c r="L138" t="str">
        <f t="shared" si="17"/>
        <v>missing_section/left</v>
      </c>
      <c r="M138" t="str">
        <f t="shared" si="18"/>
        <v>other_shape + standard_truss</v>
      </c>
      <c r="N138" t="str">
        <f t="shared" si="16"/>
        <v>top_structure/rock_structure + 3anc</v>
      </c>
      <c r="O138" t="s">
        <v>1684</v>
      </c>
      <c r="R138" t="s">
        <v>840</v>
      </c>
      <c r="S138" t="s">
        <v>292</v>
      </c>
      <c r="T138" t="s">
        <v>293</v>
      </c>
      <c r="U138" t="s">
        <v>292</v>
      </c>
      <c r="V138" t="s">
        <v>292</v>
      </c>
      <c r="W138" t="s">
        <v>293</v>
      </c>
      <c r="X138" t="str">
        <f t="shared" si="19"/>
        <v>road-</v>
      </c>
      <c r="Y138" t="str">
        <f t="shared" si="20"/>
        <v/>
      </c>
      <c r="Z138" t="str">
        <f t="shared" si="21"/>
        <v>wood-</v>
      </c>
      <c r="AA138" t="str">
        <f t="shared" si="22"/>
        <v>steel</v>
      </c>
      <c r="AB138" t="str">
        <f t="shared" si="23"/>
        <v>road-wood-steel</v>
      </c>
      <c r="AE138" t="s">
        <v>1684</v>
      </c>
    </row>
    <row r="139" spans="1:31" x14ac:dyDescent="0.3">
      <c r="A139" t="s">
        <v>9</v>
      </c>
      <c r="B139" t="s">
        <v>10</v>
      </c>
      <c r="C139" t="s">
        <v>29</v>
      </c>
      <c r="D139" t="s">
        <v>32</v>
      </c>
      <c r="E139" s="16" t="s">
        <v>273</v>
      </c>
      <c r="F139" s="16">
        <v>2</v>
      </c>
      <c r="G139" t="s">
        <v>1525</v>
      </c>
      <c r="H139" t="s">
        <v>1546</v>
      </c>
      <c r="I139" t="s">
        <v>1566</v>
      </c>
      <c r="J139" t="s">
        <v>1570</v>
      </c>
      <c r="L139" t="str">
        <f t="shared" si="17"/>
        <v>missing_section/right</v>
      </c>
      <c r="M139" t="str">
        <f t="shared" si="18"/>
        <v>inclined/straight + standard_truss/other</v>
      </c>
      <c r="N139" t="str">
        <f t="shared" si="16"/>
        <v>top_structure/bottom_structure/rock_structure + 2anc</v>
      </c>
      <c r="O139" t="s">
        <v>1684</v>
      </c>
      <c r="R139" t="s">
        <v>841</v>
      </c>
      <c r="S139" t="s">
        <v>292</v>
      </c>
      <c r="T139" t="s">
        <v>293</v>
      </c>
      <c r="U139" t="s">
        <v>292</v>
      </c>
      <c r="V139" t="s">
        <v>292</v>
      </c>
      <c r="W139" t="s">
        <v>293</v>
      </c>
      <c r="X139" t="str">
        <f t="shared" si="19"/>
        <v>road-</v>
      </c>
      <c r="Y139" t="str">
        <f t="shared" si="20"/>
        <v/>
      </c>
      <c r="Z139" t="str">
        <f t="shared" si="21"/>
        <v>wood-</v>
      </c>
      <c r="AA139" t="str">
        <f t="shared" si="22"/>
        <v>steel</v>
      </c>
      <c r="AB139" t="str">
        <f t="shared" si="23"/>
        <v>road-wood-steel</v>
      </c>
      <c r="AE139" t="s">
        <v>1684</v>
      </c>
    </row>
    <row r="140" spans="1:31" x14ac:dyDescent="0.3">
      <c r="A140" t="s">
        <v>9</v>
      </c>
      <c r="B140" t="s">
        <v>10</v>
      </c>
      <c r="C140" t="s">
        <v>29</v>
      </c>
      <c r="D140" t="s">
        <v>30</v>
      </c>
      <c r="E140" s="16" t="s">
        <v>273</v>
      </c>
      <c r="F140" s="16">
        <v>2</v>
      </c>
      <c r="G140" t="s">
        <v>1525</v>
      </c>
      <c r="H140" t="s">
        <v>1542</v>
      </c>
      <c r="I140" t="s">
        <v>1566</v>
      </c>
      <c r="J140" t="s">
        <v>1570</v>
      </c>
      <c r="L140" t="str">
        <f t="shared" si="17"/>
        <v>missing_section/right</v>
      </c>
      <c r="M140" t="str">
        <f t="shared" si="18"/>
        <v>inclined/declined + standard_truss/other</v>
      </c>
      <c r="N140" t="str">
        <f t="shared" si="16"/>
        <v>top_structure/bottom_structure/rock_structure + 2anc</v>
      </c>
      <c r="O140" t="s">
        <v>1684</v>
      </c>
      <c r="R140" t="s">
        <v>842</v>
      </c>
      <c r="S140" t="s">
        <v>292</v>
      </c>
      <c r="T140" t="s">
        <v>293</v>
      </c>
      <c r="U140" t="s">
        <v>292</v>
      </c>
      <c r="V140" t="s">
        <v>292</v>
      </c>
      <c r="W140" t="s">
        <v>293</v>
      </c>
      <c r="X140" t="str">
        <f t="shared" si="19"/>
        <v>road-</v>
      </c>
      <c r="Y140" t="str">
        <f t="shared" si="20"/>
        <v/>
      </c>
      <c r="Z140" t="str">
        <f t="shared" si="21"/>
        <v>wood-</v>
      </c>
      <c r="AA140" t="str">
        <f t="shared" si="22"/>
        <v>steel</v>
      </c>
      <c r="AB140" t="str">
        <f t="shared" si="23"/>
        <v>road-wood-steel</v>
      </c>
      <c r="AE140" t="s">
        <v>1684</v>
      </c>
    </row>
    <row r="141" spans="1:31" x14ac:dyDescent="0.3">
      <c r="A141" t="s">
        <v>9</v>
      </c>
      <c r="B141" t="s">
        <v>10</v>
      </c>
      <c r="C141" t="s">
        <v>29</v>
      </c>
      <c r="D141" t="s">
        <v>41</v>
      </c>
      <c r="E141" s="16" t="s">
        <v>272</v>
      </c>
      <c r="F141" s="16">
        <v>3</v>
      </c>
      <c r="G141" t="s">
        <v>1529</v>
      </c>
      <c r="H141" t="s">
        <v>1658</v>
      </c>
      <c r="I141" t="s">
        <v>1567</v>
      </c>
      <c r="J141" t="s">
        <v>344</v>
      </c>
      <c r="L141" t="str">
        <f t="shared" si="17"/>
        <v>missing_section/middle</v>
      </c>
      <c r="M141" t="str">
        <f t="shared" si="18"/>
        <v>other_shape + standard_truss</v>
      </c>
      <c r="N141" t="str">
        <f t="shared" si="16"/>
        <v>top_structure/rock_structure + 3anc</v>
      </c>
      <c r="O141" t="s">
        <v>1684</v>
      </c>
      <c r="R141" t="s">
        <v>843</v>
      </c>
      <c r="S141" t="s">
        <v>292</v>
      </c>
      <c r="T141" t="s">
        <v>293</v>
      </c>
      <c r="U141" t="s">
        <v>292</v>
      </c>
      <c r="V141" t="s">
        <v>292</v>
      </c>
      <c r="W141" t="s">
        <v>293</v>
      </c>
      <c r="X141" t="str">
        <f t="shared" si="19"/>
        <v>road-</v>
      </c>
      <c r="Y141" t="str">
        <f t="shared" si="20"/>
        <v/>
      </c>
      <c r="Z141" t="str">
        <f t="shared" si="21"/>
        <v>wood-</v>
      </c>
      <c r="AA141" t="str">
        <f t="shared" si="22"/>
        <v>steel</v>
      </c>
      <c r="AB141" t="str">
        <f t="shared" si="23"/>
        <v>road-wood-steel</v>
      </c>
      <c r="AE141" t="s">
        <v>1684</v>
      </c>
    </row>
    <row r="142" spans="1:31" x14ac:dyDescent="0.3">
      <c r="A142" t="s">
        <v>9</v>
      </c>
      <c r="B142" t="s">
        <v>10</v>
      </c>
      <c r="C142" t="s">
        <v>29</v>
      </c>
      <c r="D142" t="s">
        <v>40</v>
      </c>
      <c r="E142" s="16" t="s">
        <v>272</v>
      </c>
      <c r="F142" s="16">
        <v>3</v>
      </c>
      <c r="G142" t="s">
        <v>1529</v>
      </c>
      <c r="H142" t="s">
        <v>1658</v>
      </c>
      <c r="I142" t="s">
        <v>1567</v>
      </c>
      <c r="J142" t="s">
        <v>344</v>
      </c>
      <c r="L142" t="str">
        <f t="shared" si="17"/>
        <v>missing_section/middle</v>
      </c>
      <c r="M142" t="str">
        <f t="shared" si="18"/>
        <v>other_shape + standard_truss</v>
      </c>
      <c r="N142" t="str">
        <f t="shared" si="16"/>
        <v>top_structure/rock_structure + 3anc</v>
      </c>
      <c r="O142" t="s">
        <v>1684</v>
      </c>
      <c r="R142" t="s">
        <v>844</v>
      </c>
      <c r="S142" t="s">
        <v>292</v>
      </c>
      <c r="T142" t="s">
        <v>293</v>
      </c>
      <c r="U142" t="s">
        <v>292</v>
      </c>
      <c r="V142" t="s">
        <v>292</v>
      </c>
      <c r="W142" t="s">
        <v>293</v>
      </c>
      <c r="X142" t="str">
        <f t="shared" si="19"/>
        <v>road-</v>
      </c>
      <c r="Y142" t="str">
        <f t="shared" si="20"/>
        <v/>
      </c>
      <c r="Z142" t="str">
        <f t="shared" si="21"/>
        <v>wood-</v>
      </c>
      <c r="AA142" t="str">
        <f t="shared" si="22"/>
        <v>steel</v>
      </c>
      <c r="AB142" t="str">
        <f t="shared" si="23"/>
        <v>road-wood-steel</v>
      </c>
      <c r="AE142" t="s">
        <v>1684</v>
      </c>
    </row>
    <row r="143" spans="1:31" x14ac:dyDescent="0.3">
      <c r="A143" t="s">
        <v>9</v>
      </c>
      <c r="B143" t="s">
        <v>10</v>
      </c>
      <c r="C143" t="s">
        <v>29</v>
      </c>
      <c r="D143" t="s">
        <v>38</v>
      </c>
      <c r="E143" s="16" t="s">
        <v>272</v>
      </c>
      <c r="F143" s="16">
        <v>3</v>
      </c>
      <c r="G143" t="s">
        <v>1524</v>
      </c>
      <c r="H143" t="s">
        <v>1658</v>
      </c>
      <c r="I143" t="s">
        <v>1567</v>
      </c>
      <c r="J143" t="s">
        <v>344</v>
      </c>
      <c r="L143" t="str">
        <f t="shared" si="17"/>
        <v>continuous/fully_connected</v>
      </c>
      <c r="M143" t="str">
        <f t="shared" si="18"/>
        <v>other_shape + standard_truss</v>
      </c>
      <c r="N143" t="str">
        <f t="shared" si="16"/>
        <v>top_structure/rock_structure + 3anc</v>
      </c>
      <c r="O143" t="s">
        <v>1684</v>
      </c>
      <c r="R143" t="s">
        <v>845</v>
      </c>
      <c r="S143" t="s">
        <v>292</v>
      </c>
      <c r="T143" t="s">
        <v>293</v>
      </c>
      <c r="U143" t="s">
        <v>292</v>
      </c>
      <c r="V143" t="s">
        <v>292</v>
      </c>
      <c r="W143" t="s">
        <v>293</v>
      </c>
      <c r="X143" t="str">
        <f t="shared" si="19"/>
        <v>road-</v>
      </c>
      <c r="Y143" t="str">
        <f t="shared" si="20"/>
        <v/>
      </c>
      <c r="Z143" t="str">
        <f t="shared" si="21"/>
        <v>wood-</v>
      </c>
      <c r="AA143" t="str">
        <f t="shared" si="22"/>
        <v>steel</v>
      </c>
      <c r="AB143" t="str">
        <f t="shared" si="23"/>
        <v>road-wood-steel</v>
      </c>
      <c r="AE143" t="s">
        <v>1684</v>
      </c>
    </row>
    <row r="144" spans="1:31" x14ac:dyDescent="0.3">
      <c r="A144" t="s">
        <v>9</v>
      </c>
      <c r="B144" t="s">
        <v>10</v>
      </c>
      <c r="C144" t="s">
        <v>29</v>
      </c>
      <c r="D144" t="s">
        <v>34</v>
      </c>
      <c r="E144" s="16" t="s">
        <v>273</v>
      </c>
      <c r="F144" s="16">
        <v>2</v>
      </c>
      <c r="G144" t="s">
        <v>1525</v>
      </c>
      <c r="H144" t="s">
        <v>1546</v>
      </c>
      <c r="I144" t="s">
        <v>1566</v>
      </c>
      <c r="J144" t="s">
        <v>344</v>
      </c>
      <c r="L144" t="str">
        <f t="shared" si="17"/>
        <v>missing_section/right</v>
      </c>
      <c r="M144" t="str">
        <f t="shared" si="18"/>
        <v>inclined/straight + standard_truss</v>
      </c>
      <c r="N144" t="str">
        <f t="shared" si="16"/>
        <v>top_structure/bottom_structure/rock_structure + 2anc</v>
      </c>
      <c r="O144" t="s">
        <v>1684</v>
      </c>
      <c r="R144" t="s">
        <v>846</v>
      </c>
      <c r="S144" t="s">
        <v>292</v>
      </c>
      <c r="T144" t="s">
        <v>293</v>
      </c>
      <c r="U144" t="s">
        <v>292</v>
      </c>
      <c r="V144" t="s">
        <v>292</v>
      </c>
      <c r="W144" t="s">
        <v>293</v>
      </c>
      <c r="X144" t="str">
        <f t="shared" si="19"/>
        <v>road-</v>
      </c>
      <c r="Y144" t="str">
        <f t="shared" si="20"/>
        <v/>
      </c>
      <c r="Z144" t="str">
        <f t="shared" si="21"/>
        <v>wood-</v>
      </c>
      <c r="AA144" t="str">
        <f t="shared" si="22"/>
        <v>steel</v>
      </c>
      <c r="AB144" t="str">
        <f t="shared" si="23"/>
        <v>road-wood-steel</v>
      </c>
      <c r="AE144" t="s">
        <v>1684</v>
      </c>
    </row>
    <row r="145" spans="1:31" x14ac:dyDescent="0.3">
      <c r="A145" t="s">
        <v>9</v>
      </c>
      <c r="B145" t="s">
        <v>10</v>
      </c>
      <c r="C145" t="s">
        <v>29</v>
      </c>
      <c r="D145" t="s">
        <v>42</v>
      </c>
      <c r="E145" s="16" t="s">
        <v>272</v>
      </c>
      <c r="F145" s="16">
        <v>3</v>
      </c>
      <c r="G145" t="s">
        <v>1529</v>
      </c>
      <c r="H145" t="s">
        <v>1658</v>
      </c>
      <c r="I145" t="s">
        <v>1567</v>
      </c>
      <c r="J145" t="s">
        <v>344</v>
      </c>
      <c r="L145" t="str">
        <f t="shared" si="17"/>
        <v>missing_section/middle</v>
      </c>
      <c r="M145" t="str">
        <f t="shared" si="18"/>
        <v>other_shape + standard_truss</v>
      </c>
      <c r="N145" t="str">
        <f t="shared" si="16"/>
        <v>top_structure/rock_structure + 3anc</v>
      </c>
      <c r="O145" t="s">
        <v>1684</v>
      </c>
      <c r="R145" t="s">
        <v>847</v>
      </c>
      <c r="S145" t="s">
        <v>292</v>
      </c>
      <c r="T145" t="s">
        <v>293</v>
      </c>
      <c r="U145" t="s">
        <v>292</v>
      </c>
      <c r="V145" t="s">
        <v>292</v>
      </c>
      <c r="W145" t="s">
        <v>293</v>
      </c>
      <c r="X145" t="str">
        <f t="shared" si="19"/>
        <v>road-</v>
      </c>
      <c r="Y145" t="str">
        <f t="shared" si="20"/>
        <v/>
      </c>
      <c r="Z145" t="str">
        <f t="shared" si="21"/>
        <v>wood-</v>
      </c>
      <c r="AA145" t="str">
        <f t="shared" si="22"/>
        <v>steel</v>
      </c>
      <c r="AB145" t="str">
        <f t="shared" si="23"/>
        <v>road-wood-steel</v>
      </c>
      <c r="AE145" t="s">
        <v>1684</v>
      </c>
    </row>
    <row r="146" spans="1:31" x14ac:dyDescent="0.3">
      <c r="A146" t="s">
        <v>9</v>
      </c>
      <c r="B146" t="s">
        <v>10</v>
      </c>
      <c r="C146" t="s">
        <v>29</v>
      </c>
      <c r="D146" t="s">
        <v>36</v>
      </c>
      <c r="E146" s="16" t="s">
        <v>272</v>
      </c>
      <c r="F146" s="16">
        <v>3</v>
      </c>
      <c r="G146" t="s">
        <v>1524</v>
      </c>
      <c r="H146" t="s">
        <v>1658</v>
      </c>
      <c r="I146" t="s">
        <v>1567</v>
      </c>
      <c r="J146" t="s">
        <v>344</v>
      </c>
      <c r="L146" t="str">
        <f t="shared" si="17"/>
        <v>continuous/fully_connected</v>
      </c>
      <c r="M146" t="str">
        <f t="shared" si="18"/>
        <v>other_shape + standard_truss</v>
      </c>
      <c r="N146" t="str">
        <f t="shared" si="16"/>
        <v>top_structure/rock_structure + 3anc</v>
      </c>
      <c r="O146" t="s">
        <v>1684</v>
      </c>
      <c r="R146" t="s">
        <v>848</v>
      </c>
      <c r="S146" t="s">
        <v>292</v>
      </c>
      <c r="T146" t="s">
        <v>293</v>
      </c>
      <c r="U146" t="s">
        <v>292</v>
      </c>
      <c r="V146" t="s">
        <v>292</v>
      </c>
      <c r="W146" t="s">
        <v>293</v>
      </c>
      <c r="X146" t="str">
        <f t="shared" si="19"/>
        <v>road-</v>
      </c>
      <c r="Y146" t="str">
        <f t="shared" si="20"/>
        <v/>
      </c>
      <c r="Z146" t="str">
        <f t="shared" si="21"/>
        <v>wood-</v>
      </c>
      <c r="AA146" t="str">
        <f t="shared" si="22"/>
        <v>steel</v>
      </c>
      <c r="AB146" t="str">
        <f t="shared" si="23"/>
        <v>road-wood-steel</v>
      </c>
      <c r="AE146" t="s">
        <v>1684</v>
      </c>
    </row>
    <row r="147" spans="1:31" x14ac:dyDescent="0.3">
      <c r="A147" t="s">
        <v>9</v>
      </c>
      <c r="B147" t="s">
        <v>10</v>
      </c>
      <c r="C147" t="s">
        <v>29</v>
      </c>
      <c r="D147" t="s">
        <v>33</v>
      </c>
      <c r="E147" s="16" t="s">
        <v>273</v>
      </c>
      <c r="F147" s="16">
        <v>2</v>
      </c>
      <c r="G147" t="s">
        <v>1525</v>
      </c>
      <c r="H147" t="s">
        <v>1546</v>
      </c>
      <c r="I147" t="s">
        <v>1566</v>
      </c>
      <c r="J147" t="s">
        <v>344</v>
      </c>
      <c r="L147" t="str">
        <f t="shared" si="17"/>
        <v>missing_section/right</v>
      </c>
      <c r="M147" t="str">
        <f t="shared" si="18"/>
        <v>inclined/straight + standard_truss</v>
      </c>
      <c r="N147" t="str">
        <f t="shared" si="16"/>
        <v>top_structure/bottom_structure/rock_structure + 2anc</v>
      </c>
      <c r="O147" t="s">
        <v>1684</v>
      </c>
      <c r="R147" t="s">
        <v>849</v>
      </c>
      <c r="S147" t="s">
        <v>292</v>
      </c>
      <c r="T147" t="s">
        <v>293</v>
      </c>
      <c r="U147" t="s">
        <v>292</v>
      </c>
      <c r="V147" t="s">
        <v>292</v>
      </c>
      <c r="W147" t="s">
        <v>293</v>
      </c>
      <c r="X147" t="str">
        <f t="shared" si="19"/>
        <v>road-</v>
      </c>
      <c r="Y147" t="str">
        <f t="shared" si="20"/>
        <v/>
      </c>
      <c r="Z147" t="str">
        <f t="shared" si="21"/>
        <v>wood-</v>
      </c>
      <c r="AA147" t="str">
        <f t="shared" si="22"/>
        <v>steel</v>
      </c>
      <c r="AB147" t="str">
        <f t="shared" si="23"/>
        <v>road-wood-steel</v>
      </c>
      <c r="AE147" t="s">
        <v>1684</v>
      </c>
    </row>
    <row r="148" spans="1:31" x14ac:dyDescent="0.3">
      <c r="A148" t="s">
        <v>9</v>
      </c>
      <c r="B148" t="s">
        <v>10</v>
      </c>
      <c r="C148" t="s">
        <v>29</v>
      </c>
      <c r="D148" t="s">
        <v>31</v>
      </c>
      <c r="E148" s="16" t="s">
        <v>273</v>
      </c>
      <c r="F148" s="16">
        <v>2</v>
      </c>
      <c r="G148" t="s">
        <v>1525</v>
      </c>
      <c r="H148" t="s">
        <v>1546</v>
      </c>
      <c r="I148" t="s">
        <v>1566</v>
      </c>
      <c r="J148" t="s">
        <v>344</v>
      </c>
      <c r="L148" t="str">
        <f t="shared" si="17"/>
        <v>missing_section/right</v>
      </c>
      <c r="M148" t="str">
        <f t="shared" si="18"/>
        <v>inclined/straight + standard_truss</v>
      </c>
      <c r="N148" t="str">
        <f t="shared" si="16"/>
        <v>top_structure/bottom_structure/rock_structure + 2anc</v>
      </c>
      <c r="O148" t="s">
        <v>1684</v>
      </c>
      <c r="R148" t="s">
        <v>850</v>
      </c>
      <c r="S148" t="s">
        <v>292</v>
      </c>
      <c r="T148" t="s">
        <v>293</v>
      </c>
      <c r="U148" t="s">
        <v>292</v>
      </c>
      <c r="V148" t="s">
        <v>292</v>
      </c>
      <c r="W148" t="s">
        <v>293</v>
      </c>
      <c r="X148" t="str">
        <f t="shared" si="19"/>
        <v>road-</v>
      </c>
      <c r="Y148" t="str">
        <f t="shared" si="20"/>
        <v/>
      </c>
      <c r="Z148" t="str">
        <f t="shared" si="21"/>
        <v>wood-</v>
      </c>
      <c r="AA148" t="str">
        <f t="shared" si="22"/>
        <v>steel</v>
      </c>
      <c r="AB148" t="str">
        <f t="shared" si="23"/>
        <v>road-wood-steel</v>
      </c>
      <c r="AE148" t="s">
        <v>1684</v>
      </c>
    </row>
    <row r="149" spans="1:31" x14ac:dyDescent="0.3">
      <c r="A149" t="s">
        <v>9</v>
      </c>
      <c r="B149" t="s">
        <v>10</v>
      </c>
      <c r="C149" t="s">
        <v>29</v>
      </c>
      <c r="D149" t="s">
        <v>28</v>
      </c>
      <c r="E149" s="16" t="s">
        <v>273</v>
      </c>
      <c r="F149" s="16">
        <v>2</v>
      </c>
      <c r="G149" t="s">
        <v>1525</v>
      </c>
      <c r="H149" t="s">
        <v>1546</v>
      </c>
      <c r="I149" t="s">
        <v>1567</v>
      </c>
      <c r="J149" t="s">
        <v>344</v>
      </c>
      <c r="L149" t="str">
        <f t="shared" si="17"/>
        <v>missing_section/right</v>
      </c>
      <c r="M149" t="str">
        <f t="shared" si="18"/>
        <v>inclined/straight + standard_truss</v>
      </c>
      <c r="N149" t="str">
        <f t="shared" si="16"/>
        <v>top_structure/rock_structure + 2anc</v>
      </c>
      <c r="O149" t="s">
        <v>1684</v>
      </c>
      <c r="R149" t="s">
        <v>851</v>
      </c>
      <c r="S149" t="s">
        <v>292</v>
      </c>
      <c r="T149" t="s">
        <v>293</v>
      </c>
      <c r="U149" t="s">
        <v>292</v>
      </c>
      <c r="V149" t="s">
        <v>292</v>
      </c>
      <c r="W149" t="s">
        <v>293</v>
      </c>
      <c r="X149" t="str">
        <f t="shared" si="19"/>
        <v>road-</v>
      </c>
      <c r="Y149" t="str">
        <f t="shared" si="20"/>
        <v/>
      </c>
      <c r="Z149" t="str">
        <f t="shared" si="21"/>
        <v>wood-</v>
      </c>
      <c r="AA149" t="str">
        <f t="shared" si="22"/>
        <v>steel</v>
      </c>
      <c r="AB149" t="str">
        <f t="shared" si="23"/>
        <v>road-wood-steel</v>
      </c>
      <c r="AE149" t="s">
        <v>1684</v>
      </c>
    </row>
    <row r="150" spans="1:31" x14ac:dyDescent="0.3">
      <c r="A150" t="s">
        <v>9</v>
      </c>
      <c r="B150" t="s">
        <v>10</v>
      </c>
      <c r="C150" t="s">
        <v>29</v>
      </c>
      <c r="D150" t="s">
        <v>35</v>
      </c>
      <c r="E150" s="16" t="s">
        <v>272</v>
      </c>
      <c r="F150" s="16">
        <v>2</v>
      </c>
      <c r="G150" t="s">
        <v>1525</v>
      </c>
      <c r="H150" t="s">
        <v>1546</v>
      </c>
      <c r="I150" t="s">
        <v>1566</v>
      </c>
      <c r="J150" t="s">
        <v>344</v>
      </c>
      <c r="L150" t="str">
        <f t="shared" si="17"/>
        <v>missing_section/right</v>
      </c>
      <c r="M150" t="str">
        <f t="shared" si="18"/>
        <v>inclined/straight + standard_truss</v>
      </c>
      <c r="N150" t="str">
        <f t="shared" si="16"/>
        <v>top_structure/bottom_structure/rock_structure + 2anc</v>
      </c>
      <c r="O150" t="s">
        <v>1684</v>
      </c>
      <c r="R150" t="s">
        <v>852</v>
      </c>
      <c r="S150" t="s">
        <v>292</v>
      </c>
      <c r="T150" t="s">
        <v>293</v>
      </c>
      <c r="U150" t="s">
        <v>292</v>
      </c>
      <c r="V150" t="s">
        <v>292</v>
      </c>
      <c r="W150" t="s">
        <v>293</v>
      </c>
      <c r="X150" t="str">
        <f t="shared" si="19"/>
        <v>road-</v>
      </c>
      <c r="Y150" t="str">
        <f t="shared" si="20"/>
        <v/>
      </c>
      <c r="Z150" t="str">
        <f t="shared" si="21"/>
        <v>wood-</v>
      </c>
      <c r="AA150" t="str">
        <f t="shared" si="22"/>
        <v>steel</v>
      </c>
      <c r="AB150" t="str">
        <f t="shared" si="23"/>
        <v>road-wood-steel</v>
      </c>
      <c r="AE150" t="s">
        <v>1684</v>
      </c>
    </row>
    <row r="151" spans="1:31" x14ac:dyDescent="0.3">
      <c r="A151" t="s">
        <v>9</v>
      </c>
      <c r="B151" t="s">
        <v>47</v>
      </c>
      <c r="C151" t="s">
        <v>12</v>
      </c>
      <c r="D151" t="s">
        <v>15</v>
      </c>
      <c r="E151" s="16" t="s">
        <v>272</v>
      </c>
      <c r="F151" s="16">
        <v>2</v>
      </c>
      <c r="G151" t="s">
        <v>1524</v>
      </c>
      <c r="H151" t="s">
        <v>282</v>
      </c>
      <c r="I151" t="s">
        <v>341</v>
      </c>
      <c r="J151" t="s">
        <v>344</v>
      </c>
      <c r="L151" t="str">
        <f t="shared" si="17"/>
        <v>continuous/fully_connected</v>
      </c>
      <c r="M151" t="str">
        <f t="shared" si="18"/>
        <v>arch + standard_truss</v>
      </c>
      <c r="N151" t="str">
        <f t="shared" si="16"/>
        <v>top_structure + 2anc</v>
      </c>
      <c r="O151" t="s">
        <v>1692</v>
      </c>
      <c r="R151" t="s">
        <v>853</v>
      </c>
      <c r="S151" t="s">
        <v>292</v>
      </c>
      <c r="T151" t="s">
        <v>293</v>
      </c>
      <c r="U151" t="s">
        <v>292</v>
      </c>
      <c r="V151" t="s">
        <v>293</v>
      </c>
      <c r="W151" t="s">
        <v>293</v>
      </c>
      <c r="X151" t="str">
        <f t="shared" si="19"/>
        <v>road-</v>
      </c>
      <c r="Y151" t="str">
        <f t="shared" si="20"/>
        <v/>
      </c>
      <c r="Z151" t="str">
        <f t="shared" si="21"/>
        <v>wood-</v>
      </c>
      <c r="AA151" t="str">
        <f t="shared" si="22"/>
        <v/>
      </c>
      <c r="AB151" t="str">
        <f t="shared" si="23"/>
        <v>road-wood-</v>
      </c>
      <c r="AE151" t="s">
        <v>1692</v>
      </c>
    </row>
    <row r="152" spans="1:31" x14ac:dyDescent="0.3">
      <c r="A152" t="s">
        <v>9</v>
      </c>
      <c r="B152" t="s">
        <v>47</v>
      </c>
      <c r="C152" t="s">
        <v>12</v>
      </c>
      <c r="D152" t="s">
        <v>14</v>
      </c>
      <c r="E152" s="16" t="s">
        <v>272</v>
      </c>
      <c r="F152" s="16">
        <v>2</v>
      </c>
      <c r="G152" t="s">
        <v>1524</v>
      </c>
      <c r="H152" t="s">
        <v>282</v>
      </c>
      <c r="I152" t="s">
        <v>1654</v>
      </c>
      <c r="J152" t="s">
        <v>344</v>
      </c>
      <c r="L152" t="str">
        <f t="shared" si="17"/>
        <v>continuous/fully_connected</v>
      </c>
      <c r="M152" t="str">
        <f t="shared" si="18"/>
        <v>arch + standard_truss</v>
      </c>
      <c r="N152" t="str">
        <f t="shared" si="16"/>
        <v>top_structure/bottom_structure + 2anc</v>
      </c>
      <c r="O152" t="s">
        <v>1692</v>
      </c>
      <c r="R152" t="s">
        <v>854</v>
      </c>
      <c r="S152" t="s">
        <v>292</v>
      </c>
      <c r="T152" t="s">
        <v>293</v>
      </c>
      <c r="U152" t="s">
        <v>292</v>
      </c>
      <c r="V152" t="s">
        <v>293</v>
      </c>
      <c r="W152" t="s">
        <v>293</v>
      </c>
      <c r="X152" t="str">
        <f t="shared" si="19"/>
        <v>road-</v>
      </c>
      <c r="Y152" t="str">
        <f t="shared" si="20"/>
        <v/>
      </c>
      <c r="Z152" t="str">
        <f t="shared" si="21"/>
        <v>wood-</v>
      </c>
      <c r="AA152" t="str">
        <f t="shared" si="22"/>
        <v/>
      </c>
      <c r="AB152" t="str">
        <f t="shared" si="23"/>
        <v>road-wood-</v>
      </c>
      <c r="AE152" t="s">
        <v>1692</v>
      </c>
    </row>
    <row r="153" spans="1:31" x14ac:dyDescent="0.3">
      <c r="A153" t="s">
        <v>9</v>
      </c>
      <c r="B153" t="s">
        <v>47</v>
      </c>
      <c r="C153" t="s">
        <v>12</v>
      </c>
      <c r="D153" t="s">
        <v>11</v>
      </c>
      <c r="E153" s="16" t="s">
        <v>272</v>
      </c>
      <c r="F153" s="16">
        <v>3</v>
      </c>
      <c r="G153" t="s">
        <v>1524</v>
      </c>
      <c r="H153" t="s">
        <v>1553</v>
      </c>
      <c r="I153" t="s">
        <v>1566</v>
      </c>
      <c r="J153" t="s">
        <v>344</v>
      </c>
      <c r="L153" t="str">
        <f t="shared" si="17"/>
        <v>continuous/fully_connected</v>
      </c>
      <c r="M153" t="str">
        <f t="shared" si="18"/>
        <v>s-shape/arch + standard_truss</v>
      </c>
      <c r="N153" t="str">
        <f t="shared" si="16"/>
        <v>top_structure/bottom_structure/rock_structure + 3anc</v>
      </c>
      <c r="O153" t="s">
        <v>1692</v>
      </c>
      <c r="R153" t="s">
        <v>855</v>
      </c>
      <c r="S153" t="s">
        <v>292</v>
      </c>
      <c r="T153" t="s">
        <v>293</v>
      </c>
      <c r="U153" t="s">
        <v>292</v>
      </c>
      <c r="V153" t="s">
        <v>293</v>
      </c>
      <c r="W153" t="s">
        <v>293</v>
      </c>
      <c r="X153" t="str">
        <f t="shared" si="19"/>
        <v>road-</v>
      </c>
      <c r="Y153" t="str">
        <f t="shared" si="20"/>
        <v/>
      </c>
      <c r="Z153" t="str">
        <f t="shared" si="21"/>
        <v>wood-</v>
      </c>
      <c r="AA153" t="str">
        <f t="shared" si="22"/>
        <v/>
      </c>
      <c r="AB153" t="str">
        <f t="shared" si="23"/>
        <v>road-wood-</v>
      </c>
      <c r="AE153" t="s">
        <v>1692</v>
      </c>
    </row>
    <row r="154" spans="1:31" x14ac:dyDescent="0.3">
      <c r="A154" t="s">
        <v>9</v>
      </c>
      <c r="B154" t="s">
        <v>47</v>
      </c>
      <c r="C154" t="s">
        <v>12</v>
      </c>
      <c r="D154" t="s">
        <v>17</v>
      </c>
      <c r="E154" s="16" t="s">
        <v>272</v>
      </c>
      <c r="F154" s="16">
        <v>3</v>
      </c>
      <c r="G154" t="s">
        <v>1524</v>
      </c>
      <c r="H154" t="s">
        <v>282</v>
      </c>
      <c r="I154" t="s">
        <v>1567</v>
      </c>
      <c r="J154" t="s">
        <v>345</v>
      </c>
      <c r="L154" t="str">
        <f t="shared" si="17"/>
        <v>continuous/fully_connected</v>
      </c>
      <c r="M154" t="str">
        <f t="shared" si="18"/>
        <v>arch + arch_truss</v>
      </c>
      <c r="N154" t="str">
        <f t="shared" si="16"/>
        <v>top_structure/rock_structure + 3anc</v>
      </c>
      <c r="O154" t="s">
        <v>1687</v>
      </c>
      <c r="R154" t="s">
        <v>856</v>
      </c>
      <c r="S154" t="s">
        <v>292</v>
      </c>
      <c r="T154" t="s">
        <v>293</v>
      </c>
      <c r="U154" t="s">
        <v>293</v>
      </c>
      <c r="V154" t="s">
        <v>292</v>
      </c>
      <c r="W154" t="s">
        <v>293</v>
      </c>
      <c r="X154" t="str">
        <f t="shared" si="19"/>
        <v>road-</v>
      </c>
      <c r="Y154" t="str">
        <f t="shared" si="20"/>
        <v/>
      </c>
      <c r="Z154" t="str">
        <f t="shared" si="21"/>
        <v/>
      </c>
      <c r="AA154" t="str">
        <f t="shared" si="22"/>
        <v>steel</v>
      </c>
      <c r="AB154" t="str">
        <f t="shared" si="23"/>
        <v>road-steel</v>
      </c>
      <c r="AE154" t="s">
        <v>1687</v>
      </c>
    </row>
    <row r="155" spans="1:31" x14ac:dyDescent="0.3">
      <c r="A155" t="s">
        <v>9</v>
      </c>
      <c r="B155" t="s">
        <v>47</v>
      </c>
      <c r="C155" t="s">
        <v>12</v>
      </c>
      <c r="D155" t="s">
        <v>16</v>
      </c>
      <c r="E155" s="16" t="s">
        <v>272</v>
      </c>
      <c r="F155" s="16">
        <v>3</v>
      </c>
      <c r="G155" t="s">
        <v>1524</v>
      </c>
      <c r="H155" t="s">
        <v>282</v>
      </c>
      <c r="I155" t="s">
        <v>1567</v>
      </c>
      <c r="J155" t="s">
        <v>344</v>
      </c>
      <c r="L155" t="str">
        <f t="shared" si="17"/>
        <v>continuous/fully_connected</v>
      </c>
      <c r="M155" t="str">
        <f t="shared" si="18"/>
        <v>arch + standard_truss</v>
      </c>
      <c r="N155" t="str">
        <f t="shared" si="16"/>
        <v>top_structure/rock_structure + 3anc</v>
      </c>
      <c r="O155" t="s">
        <v>1684</v>
      </c>
      <c r="R155" t="s">
        <v>857</v>
      </c>
      <c r="S155" t="s">
        <v>292</v>
      </c>
      <c r="T155" t="s">
        <v>293</v>
      </c>
      <c r="U155" t="s">
        <v>292</v>
      </c>
      <c r="V155" t="s">
        <v>292</v>
      </c>
      <c r="W155" t="s">
        <v>293</v>
      </c>
      <c r="X155" t="str">
        <f t="shared" si="19"/>
        <v>road-</v>
      </c>
      <c r="Y155" t="str">
        <f t="shared" si="20"/>
        <v/>
      </c>
      <c r="Z155" t="str">
        <f t="shared" si="21"/>
        <v>wood-</v>
      </c>
      <c r="AA155" t="str">
        <f t="shared" si="22"/>
        <v>steel</v>
      </c>
      <c r="AB155" t="str">
        <f t="shared" si="23"/>
        <v>road-wood-steel</v>
      </c>
      <c r="AE155" t="s">
        <v>1684</v>
      </c>
    </row>
    <row r="156" spans="1:31" x14ac:dyDescent="0.3">
      <c r="A156" t="s">
        <v>9</v>
      </c>
      <c r="B156" t="s">
        <v>47</v>
      </c>
      <c r="C156" t="s">
        <v>29</v>
      </c>
      <c r="D156" t="s">
        <v>23</v>
      </c>
      <c r="E156" s="16" t="s">
        <v>272</v>
      </c>
      <c r="F156" s="16">
        <v>2</v>
      </c>
      <c r="G156" t="s">
        <v>1524</v>
      </c>
      <c r="H156" t="s">
        <v>282</v>
      </c>
      <c r="I156" t="s">
        <v>1654</v>
      </c>
      <c r="J156" t="s">
        <v>345</v>
      </c>
      <c r="L156" t="str">
        <f t="shared" si="17"/>
        <v>continuous/fully_connected</v>
      </c>
      <c r="M156" t="str">
        <f t="shared" si="18"/>
        <v>arch + arch_truss</v>
      </c>
      <c r="N156" t="str">
        <f t="shared" si="16"/>
        <v>top_structure/bottom_structure + 2anc</v>
      </c>
      <c r="O156" t="s">
        <v>1693</v>
      </c>
      <c r="R156" t="s">
        <v>858</v>
      </c>
      <c r="S156" t="s">
        <v>293</v>
      </c>
      <c r="T156" t="s">
        <v>292</v>
      </c>
      <c r="U156" t="s">
        <v>292</v>
      </c>
      <c r="V156" t="s">
        <v>293</v>
      </c>
      <c r="W156" t="s">
        <v>293</v>
      </c>
      <c r="X156" t="str">
        <f t="shared" si="19"/>
        <v/>
      </c>
      <c r="Y156" t="str">
        <f t="shared" si="20"/>
        <v>reinforced_road-</v>
      </c>
      <c r="Z156" t="str">
        <f t="shared" si="21"/>
        <v>wood-</v>
      </c>
      <c r="AA156" t="str">
        <f t="shared" si="22"/>
        <v/>
      </c>
      <c r="AB156" t="str">
        <f t="shared" si="23"/>
        <v>reinforced_road-wood-</v>
      </c>
      <c r="AE156" t="s">
        <v>1693</v>
      </c>
    </row>
    <row r="157" spans="1:31" x14ac:dyDescent="0.3">
      <c r="A157" t="s">
        <v>9</v>
      </c>
      <c r="B157" t="s">
        <v>47</v>
      </c>
      <c r="C157" t="s">
        <v>29</v>
      </c>
      <c r="D157" t="s">
        <v>25</v>
      </c>
      <c r="E157" s="16" t="s">
        <v>272</v>
      </c>
      <c r="F157" s="16">
        <v>2</v>
      </c>
      <c r="G157" t="s">
        <v>1524</v>
      </c>
      <c r="H157" t="s">
        <v>282</v>
      </c>
      <c r="I157" t="s">
        <v>341</v>
      </c>
      <c r="J157" t="s">
        <v>345</v>
      </c>
      <c r="L157" t="str">
        <f t="shared" si="17"/>
        <v>continuous/fully_connected</v>
      </c>
      <c r="M157" t="str">
        <f t="shared" si="18"/>
        <v>arch + arch_truss</v>
      </c>
      <c r="N157" t="str">
        <f t="shared" si="16"/>
        <v>top_structure + 2anc</v>
      </c>
      <c r="O157" t="s">
        <v>1693</v>
      </c>
      <c r="R157" t="s">
        <v>859</v>
      </c>
      <c r="S157" t="s">
        <v>293</v>
      </c>
      <c r="T157" t="s">
        <v>292</v>
      </c>
      <c r="U157" t="s">
        <v>292</v>
      </c>
      <c r="V157" t="s">
        <v>293</v>
      </c>
      <c r="W157" t="s">
        <v>293</v>
      </c>
      <c r="X157" t="str">
        <f t="shared" si="19"/>
        <v/>
      </c>
      <c r="Y157" t="str">
        <f t="shared" si="20"/>
        <v>reinforced_road-</v>
      </c>
      <c r="Z157" t="str">
        <f t="shared" si="21"/>
        <v>wood-</v>
      </c>
      <c r="AA157" t="str">
        <f t="shared" si="22"/>
        <v/>
      </c>
      <c r="AB157" t="str">
        <f t="shared" si="23"/>
        <v>reinforced_road-wood-</v>
      </c>
      <c r="AE157" t="s">
        <v>1693</v>
      </c>
    </row>
    <row r="158" spans="1:31" x14ac:dyDescent="0.3">
      <c r="A158" t="s">
        <v>9</v>
      </c>
      <c r="B158" t="s">
        <v>47</v>
      </c>
      <c r="C158" t="s">
        <v>29</v>
      </c>
      <c r="D158" t="s">
        <v>24</v>
      </c>
      <c r="E158" s="16" t="s">
        <v>272</v>
      </c>
      <c r="F158" s="16">
        <v>2</v>
      </c>
      <c r="G158" t="s">
        <v>1524</v>
      </c>
      <c r="H158" t="s">
        <v>282</v>
      </c>
      <c r="I158" t="s">
        <v>341</v>
      </c>
      <c r="J158" t="s">
        <v>345</v>
      </c>
      <c r="L158" t="str">
        <f t="shared" si="17"/>
        <v>continuous/fully_connected</v>
      </c>
      <c r="M158" t="str">
        <f t="shared" si="18"/>
        <v>arch + arch_truss</v>
      </c>
      <c r="N158" t="str">
        <f t="shared" si="16"/>
        <v>top_structure + 2anc</v>
      </c>
      <c r="O158" t="s">
        <v>1693</v>
      </c>
      <c r="R158" t="s">
        <v>860</v>
      </c>
      <c r="S158" t="s">
        <v>293</v>
      </c>
      <c r="T158" t="s">
        <v>292</v>
      </c>
      <c r="U158" t="s">
        <v>292</v>
      </c>
      <c r="V158" t="s">
        <v>293</v>
      </c>
      <c r="W158" t="s">
        <v>293</v>
      </c>
      <c r="X158" t="str">
        <f t="shared" si="19"/>
        <v/>
      </c>
      <c r="Y158" t="str">
        <f t="shared" si="20"/>
        <v>reinforced_road-</v>
      </c>
      <c r="Z158" t="str">
        <f t="shared" si="21"/>
        <v>wood-</v>
      </c>
      <c r="AA158" t="str">
        <f t="shared" si="22"/>
        <v/>
      </c>
      <c r="AB158" t="str">
        <f t="shared" si="23"/>
        <v>reinforced_road-wood-</v>
      </c>
      <c r="AE158" t="s">
        <v>1693</v>
      </c>
    </row>
    <row r="159" spans="1:31" x14ac:dyDescent="0.3">
      <c r="A159" t="s">
        <v>9</v>
      </c>
      <c r="B159" t="s">
        <v>47</v>
      </c>
      <c r="C159" t="s">
        <v>29</v>
      </c>
      <c r="D159" t="s">
        <v>21</v>
      </c>
      <c r="E159" s="16" t="s">
        <v>272</v>
      </c>
      <c r="F159" s="16">
        <v>2</v>
      </c>
      <c r="G159" t="s">
        <v>1524</v>
      </c>
      <c r="H159" t="s">
        <v>282</v>
      </c>
      <c r="I159" t="s">
        <v>341</v>
      </c>
      <c r="J159" t="s">
        <v>345</v>
      </c>
      <c r="L159" t="str">
        <f t="shared" si="17"/>
        <v>continuous/fully_connected</v>
      </c>
      <c r="M159" t="str">
        <f t="shared" si="18"/>
        <v>arch + arch_truss</v>
      </c>
      <c r="N159" t="str">
        <f t="shared" si="16"/>
        <v>top_structure + 2anc</v>
      </c>
      <c r="O159" t="s">
        <v>1684</v>
      </c>
      <c r="R159" t="s">
        <v>861</v>
      </c>
      <c r="S159" t="s">
        <v>292</v>
      </c>
      <c r="T159" t="s">
        <v>293</v>
      </c>
      <c r="U159" t="s">
        <v>292</v>
      </c>
      <c r="V159" t="s">
        <v>292</v>
      </c>
      <c r="W159" t="s">
        <v>293</v>
      </c>
      <c r="X159" t="str">
        <f t="shared" si="19"/>
        <v>road-</v>
      </c>
      <c r="Y159" t="str">
        <f t="shared" si="20"/>
        <v/>
      </c>
      <c r="Z159" t="str">
        <f t="shared" si="21"/>
        <v>wood-</v>
      </c>
      <c r="AA159" t="str">
        <f t="shared" si="22"/>
        <v>steel</v>
      </c>
      <c r="AB159" t="str">
        <f t="shared" si="23"/>
        <v>road-wood-steel</v>
      </c>
      <c r="AE159" t="s">
        <v>1684</v>
      </c>
    </row>
    <row r="160" spans="1:31" x14ac:dyDescent="0.3">
      <c r="A160" t="s">
        <v>9</v>
      </c>
      <c r="B160" t="s">
        <v>47</v>
      </c>
      <c r="C160" t="s">
        <v>29</v>
      </c>
      <c r="D160" t="s">
        <v>19</v>
      </c>
      <c r="E160" s="16" t="s">
        <v>272</v>
      </c>
      <c r="F160" s="16">
        <v>2</v>
      </c>
      <c r="G160" t="s">
        <v>1524</v>
      </c>
      <c r="H160" t="s">
        <v>282</v>
      </c>
      <c r="I160" t="s">
        <v>341</v>
      </c>
      <c r="J160" t="s">
        <v>1625</v>
      </c>
      <c r="L160" t="str">
        <f t="shared" si="17"/>
        <v>continuous/fully_connected</v>
      </c>
      <c r="M160" t="str">
        <f t="shared" si="18"/>
        <v>arch + arch_truss/a-truss</v>
      </c>
      <c r="N160" t="str">
        <f t="shared" si="16"/>
        <v>top_structure + 2anc</v>
      </c>
      <c r="O160" t="s">
        <v>1687</v>
      </c>
      <c r="R160" t="s">
        <v>862</v>
      </c>
      <c r="S160" t="s">
        <v>292</v>
      </c>
      <c r="T160" t="s">
        <v>293</v>
      </c>
      <c r="U160" t="s">
        <v>293</v>
      </c>
      <c r="V160" t="s">
        <v>292</v>
      </c>
      <c r="W160" t="s">
        <v>293</v>
      </c>
      <c r="X160" t="str">
        <f t="shared" si="19"/>
        <v>road-</v>
      </c>
      <c r="Y160" t="str">
        <f t="shared" si="20"/>
        <v/>
      </c>
      <c r="Z160" t="str">
        <f t="shared" si="21"/>
        <v/>
      </c>
      <c r="AA160" t="str">
        <f t="shared" si="22"/>
        <v>steel</v>
      </c>
      <c r="AB160" t="str">
        <f t="shared" si="23"/>
        <v>road-steel</v>
      </c>
      <c r="AE160" t="s">
        <v>1687</v>
      </c>
    </row>
    <row r="161" spans="1:31" x14ac:dyDescent="0.3">
      <c r="A161" t="s">
        <v>9</v>
      </c>
      <c r="B161" t="s">
        <v>47</v>
      </c>
      <c r="C161" t="s">
        <v>29</v>
      </c>
      <c r="D161" t="s">
        <v>20</v>
      </c>
      <c r="E161" s="16" t="s">
        <v>272</v>
      </c>
      <c r="F161" s="16">
        <v>2</v>
      </c>
      <c r="G161" t="s">
        <v>1524</v>
      </c>
      <c r="H161" t="s">
        <v>282</v>
      </c>
      <c r="I161" t="s">
        <v>341</v>
      </c>
      <c r="J161" t="s">
        <v>1625</v>
      </c>
      <c r="L161" t="str">
        <f t="shared" si="17"/>
        <v>continuous/fully_connected</v>
      </c>
      <c r="M161" t="str">
        <f t="shared" si="18"/>
        <v>arch + arch_truss/a-truss</v>
      </c>
      <c r="N161" t="str">
        <f t="shared" si="16"/>
        <v>top_structure + 2anc</v>
      </c>
      <c r="O161" t="s">
        <v>1684</v>
      </c>
      <c r="R161" t="s">
        <v>863</v>
      </c>
      <c r="S161" t="s">
        <v>292</v>
      </c>
      <c r="T161" t="s">
        <v>293</v>
      </c>
      <c r="U161" t="s">
        <v>292</v>
      </c>
      <c r="V161" t="s">
        <v>292</v>
      </c>
      <c r="W161" t="s">
        <v>293</v>
      </c>
      <c r="X161" t="str">
        <f t="shared" si="19"/>
        <v>road-</v>
      </c>
      <c r="Y161" t="str">
        <f t="shared" si="20"/>
        <v/>
      </c>
      <c r="Z161" t="str">
        <f t="shared" si="21"/>
        <v>wood-</v>
      </c>
      <c r="AA161" t="str">
        <f t="shared" si="22"/>
        <v>steel</v>
      </c>
      <c r="AB161" t="str">
        <f t="shared" si="23"/>
        <v>road-wood-steel</v>
      </c>
      <c r="AE161" t="s">
        <v>1684</v>
      </c>
    </row>
    <row r="162" spans="1:31" x14ac:dyDescent="0.3">
      <c r="A162" t="s">
        <v>9</v>
      </c>
      <c r="B162" t="s">
        <v>47</v>
      </c>
      <c r="C162" t="s">
        <v>29</v>
      </c>
      <c r="D162" t="s">
        <v>26</v>
      </c>
      <c r="E162" s="16" t="s">
        <v>272</v>
      </c>
      <c r="F162" s="16">
        <v>2</v>
      </c>
      <c r="G162" t="s">
        <v>1524</v>
      </c>
      <c r="H162" t="s">
        <v>282</v>
      </c>
      <c r="I162" t="s">
        <v>341</v>
      </c>
      <c r="J162" t="s">
        <v>345</v>
      </c>
      <c r="L162" t="str">
        <f t="shared" si="17"/>
        <v>continuous/fully_connected</v>
      </c>
      <c r="M162" t="str">
        <f t="shared" si="18"/>
        <v>arch + arch_truss</v>
      </c>
      <c r="N162" t="str">
        <f t="shared" si="16"/>
        <v>top_structure + 2anc</v>
      </c>
      <c r="O162" t="s">
        <v>1692</v>
      </c>
      <c r="R162" t="s">
        <v>864</v>
      </c>
      <c r="S162" t="s">
        <v>292</v>
      </c>
      <c r="T162" t="s">
        <v>293</v>
      </c>
      <c r="U162" t="s">
        <v>292</v>
      </c>
      <c r="V162" t="s">
        <v>293</v>
      </c>
      <c r="W162" t="s">
        <v>293</v>
      </c>
      <c r="X162" t="str">
        <f t="shared" si="19"/>
        <v>road-</v>
      </c>
      <c r="Y162" t="str">
        <f t="shared" si="20"/>
        <v/>
      </c>
      <c r="Z162" t="str">
        <f t="shared" si="21"/>
        <v>wood-</v>
      </c>
      <c r="AA162" t="str">
        <f t="shared" si="22"/>
        <v/>
      </c>
      <c r="AB162" t="str">
        <f t="shared" si="23"/>
        <v>road-wood-</v>
      </c>
      <c r="AE162" t="s">
        <v>1692</v>
      </c>
    </row>
    <row r="163" spans="1:31" x14ac:dyDescent="0.3">
      <c r="A163" t="s">
        <v>9</v>
      </c>
      <c r="B163" t="s">
        <v>47</v>
      </c>
      <c r="C163" t="s">
        <v>29</v>
      </c>
      <c r="D163" t="s">
        <v>22</v>
      </c>
      <c r="E163" s="16" t="s">
        <v>272</v>
      </c>
      <c r="F163" s="16">
        <v>2</v>
      </c>
      <c r="G163" t="s">
        <v>1524</v>
      </c>
      <c r="H163" t="s">
        <v>282</v>
      </c>
      <c r="I163" t="s">
        <v>1654</v>
      </c>
      <c r="J163" t="s">
        <v>345</v>
      </c>
      <c r="L163" t="str">
        <f t="shared" si="17"/>
        <v>continuous/fully_connected</v>
      </c>
      <c r="M163" t="str">
        <f t="shared" si="18"/>
        <v>arch + arch_truss</v>
      </c>
      <c r="N163" t="str">
        <f t="shared" si="16"/>
        <v>top_structure/bottom_structure + 2anc</v>
      </c>
      <c r="O163" t="s">
        <v>1692</v>
      </c>
      <c r="R163" t="s">
        <v>865</v>
      </c>
      <c r="S163" t="s">
        <v>292</v>
      </c>
      <c r="T163" t="s">
        <v>293</v>
      </c>
      <c r="U163" t="s">
        <v>292</v>
      </c>
      <c r="V163" t="s">
        <v>293</v>
      </c>
      <c r="W163" t="s">
        <v>293</v>
      </c>
      <c r="X163" t="str">
        <f t="shared" si="19"/>
        <v>road-</v>
      </c>
      <c r="Y163" t="str">
        <f t="shared" si="20"/>
        <v/>
      </c>
      <c r="Z163" t="str">
        <f t="shared" si="21"/>
        <v>wood-</v>
      </c>
      <c r="AA163" t="str">
        <f t="shared" si="22"/>
        <v/>
      </c>
      <c r="AB163" t="str">
        <f t="shared" si="23"/>
        <v>road-wood-</v>
      </c>
      <c r="AE163" t="s">
        <v>1692</v>
      </c>
    </row>
    <row r="164" spans="1:31" x14ac:dyDescent="0.3">
      <c r="A164" t="s">
        <v>9</v>
      </c>
      <c r="B164" t="s">
        <v>47</v>
      </c>
      <c r="C164" t="s">
        <v>29</v>
      </c>
      <c r="D164" t="s">
        <v>27</v>
      </c>
      <c r="E164" s="16" t="s">
        <v>272</v>
      </c>
      <c r="F164" s="16">
        <v>2</v>
      </c>
      <c r="G164" t="s">
        <v>1524</v>
      </c>
      <c r="H164" t="s">
        <v>282</v>
      </c>
      <c r="I164" t="s">
        <v>341</v>
      </c>
      <c r="J164" t="s">
        <v>1572</v>
      </c>
      <c r="L164" t="str">
        <f t="shared" si="17"/>
        <v>continuous/fully_connected</v>
      </c>
      <c r="M164" t="str">
        <f t="shared" si="18"/>
        <v>arch + arch_truss/other</v>
      </c>
      <c r="N164" t="str">
        <f t="shared" si="16"/>
        <v>top_structure + 2anc</v>
      </c>
      <c r="O164" t="s">
        <v>1692</v>
      </c>
      <c r="R164" t="s">
        <v>866</v>
      </c>
      <c r="S164" t="s">
        <v>292</v>
      </c>
      <c r="T164" t="s">
        <v>293</v>
      </c>
      <c r="U164" t="s">
        <v>292</v>
      </c>
      <c r="V164" t="s">
        <v>293</v>
      </c>
      <c r="W164" t="s">
        <v>293</v>
      </c>
      <c r="X164" t="str">
        <f t="shared" si="19"/>
        <v>road-</v>
      </c>
      <c r="Y164" t="str">
        <f t="shared" si="20"/>
        <v/>
      </c>
      <c r="Z164" t="str">
        <f t="shared" si="21"/>
        <v>wood-</v>
      </c>
      <c r="AA164" t="str">
        <f t="shared" si="22"/>
        <v/>
      </c>
      <c r="AB164" t="str">
        <f t="shared" si="23"/>
        <v>road-wood-</v>
      </c>
      <c r="AE164" t="s">
        <v>1692</v>
      </c>
    </row>
    <row r="165" spans="1:31" x14ac:dyDescent="0.3">
      <c r="A165" t="s">
        <v>9</v>
      </c>
      <c r="B165" t="s">
        <v>47</v>
      </c>
      <c r="C165" t="s">
        <v>29</v>
      </c>
      <c r="D165" t="s">
        <v>28</v>
      </c>
      <c r="E165" s="16" t="s">
        <v>272</v>
      </c>
      <c r="F165" s="16">
        <v>2</v>
      </c>
      <c r="G165" t="s">
        <v>1524</v>
      </c>
      <c r="H165" t="s">
        <v>282</v>
      </c>
      <c r="I165" t="s">
        <v>1567</v>
      </c>
      <c r="J165" t="s">
        <v>1572</v>
      </c>
      <c r="L165" t="str">
        <f t="shared" si="17"/>
        <v>continuous/fully_connected</v>
      </c>
      <c r="M165" t="str">
        <f t="shared" si="18"/>
        <v>arch + arch_truss/other</v>
      </c>
      <c r="N165" t="str">
        <f t="shared" si="16"/>
        <v>top_structure/rock_structure + 2anc</v>
      </c>
      <c r="O165" t="s">
        <v>1692</v>
      </c>
      <c r="R165" t="s">
        <v>867</v>
      </c>
      <c r="S165" t="s">
        <v>292</v>
      </c>
      <c r="T165" t="s">
        <v>293</v>
      </c>
      <c r="U165" t="s">
        <v>292</v>
      </c>
      <c r="V165" t="s">
        <v>293</v>
      </c>
      <c r="W165" t="s">
        <v>293</v>
      </c>
      <c r="X165" t="str">
        <f t="shared" si="19"/>
        <v>road-</v>
      </c>
      <c r="Y165" t="str">
        <f t="shared" si="20"/>
        <v/>
      </c>
      <c r="Z165" t="str">
        <f t="shared" si="21"/>
        <v>wood-</v>
      </c>
      <c r="AA165" t="str">
        <f t="shared" si="22"/>
        <v/>
      </c>
      <c r="AB165" t="str">
        <f t="shared" si="23"/>
        <v>road-wood-</v>
      </c>
      <c r="AE165" t="s">
        <v>1692</v>
      </c>
    </row>
    <row r="166" spans="1:31" x14ac:dyDescent="0.3">
      <c r="A166" t="s">
        <v>45</v>
      </c>
      <c r="B166" t="s">
        <v>57</v>
      </c>
      <c r="C166" t="s">
        <v>12</v>
      </c>
      <c r="D166" t="s">
        <v>15</v>
      </c>
      <c r="E166" s="16" t="s">
        <v>272</v>
      </c>
      <c r="F166" s="16">
        <v>3</v>
      </c>
      <c r="G166" t="s">
        <v>1524</v>
      </c>
      <c r="H166" t="s">
        <v>282</v>
      </c>
      <c r="I166" t="s">
        <v>1567</v>
      </c>
      <c r="J166" t="s">
        <v>344</v>
      </c>
      <c r="L166" t="str">
        <f t="shared" si="17"/>
        <v>continuous/fully_connected</v>
      </c>
      <c r="M166" t="str">
        <f t="shared" si="18"/>
        <v>arch + standard_truss</v>
      </c>
      <c r="N166" t="str">
        <f t="shared" si="16"/>
        <v>top_structure/rock_structure + 3anc</v>
      </c>
      <c r="O166" t="s">
        <v>1684</v>
      </c>
      <c r="R166" t="s">
        <v>868</v>
      </c>
      <c r="S166" t="s">
        <v>292</v>
      </c>
      <c r="T166" t="s">
        <v>293</v>
      </c>
      <c r="U166" t="s">
        <v>292</v>
      </c>
      <c r="V166" t="s">
        <v>292</v>
      </c>
      <c r="W166" t="s">
        <v>293</v>
      </c>
      <c r="X166" t="str">
        <f t="shared" si="19"/>
        <v>road-</v>
      </c>
      <c r="Y166" t="str">
        <f t="shared" si="20"/>
        <v/>
      </c>
      <c r="Z166" t="str">
        <f t="shared" si="21"/>
        <v>wood-</v>
      </c>
      <c r="AA166" t="str">
        <f t="shared" si="22"/>
        <v>steel</v>
      </c>
      <c r="AB166" t="str">
        <f t="shared" si="23"/>
        <v>road-wood-steel</v>
      </c>
      <c r="AE166" t="s">
        <v>1684</v>
      </c>
    </row>
    <row r="167" spans="1:31" x14ac:dyDescent="0.3">
      <c r="A167" t="s">
        <v>45</v>
      </c>
      <c r="B167" t="s">
        <v>57</v>
      </c>
      <c r="C167" t="s">
        <v>12</v>
      </c>
      <c r="D167" t="s">
        <v>23</v>
      </c>
      <c r="E167" s="16" t="s">
        <v>272</v>
      </c>
      <c r="F167" s="16">
        <v>3</v>
      </c>
      <c r="G167" t="s">
        <v>1524</v>
      </c>
      <c r="H167" t="s">
        <v>1637</v>
      </c>
      <c r="I167" t="s">
        <v>1566</v>
      </c>
      <c r="J167" t="s">
        <v>1573</v>
      </c>
      <c r="L167" t="str">
        <f t="shared" si="17"/>
        <v>continuous/fully_connected</v>
      </c>
      <c r="M167" t="str">
        <f t="shared" si="18"/>
        <v>inclined/inverted_arch + arch_truss/other_truss</v>
      </c>
      <c r="N167" t="str">
        <f t="shared" si="16"/>
        <v>top_structure/bottom_structure/rock_structure + 3anc</v>
      </c>
      <c r="O167" t="s">
        <v>1685</v>
      </c>
      <c r="R167" t="s">
        <v>869</v>
      </c>
      <c r="S167" t="s">
        <v>292</v>
      </c>
      <c r="T167" t="s">
        <v>292</v>
      </c>
      <c r="U167" t="s">
        <v>292</v>
      </c>
      <c r="V167" t="s">
        <v>292</v>
      </c>
      <c r="W167" t="s">
        <v>293</v>
      </c>
      <c r="X167" t="str">
        <f t="shared" si="19"/>
        <v>road-</v>
      </c>
      <c r="Y167" t="str">
        <f t="shared" si="20"/>
        <v>reinforced_road-</v>
      </c>
      <c r="Z167" t="str">
        <f t="shared" si="21"/>
        <v>wood-</v>
      </c>
      <c r="AA167" t="str">
        <f t="shared" si="22"/>
        <v>steel</v>
      </c>
      <c r="AB167" t="str">
        <f t="shared" si="23"/>
        <v>road-reinforced_road-wood-steel</v>
      </c>
      <c r="AE167" t="s">
        <v>1685</v>
      </c>
    </row>
    <row r="168" spans="1:31" x14ac:dyDescent="0.3">
      <c r="A168" t="s">
        <v>45</v>
      </c>
      <c r="B168" t="s">
        <v>57</v>
      </c>
      <c r="C168" t="s">
        <v>12</v>
      </c>
      <c r="D168" t="s">
        <v>14</v>
      </c>
      <c r="E168" s="16" t="s">
        <v>272</v>
      </c>
      <c r="F168" s="16">
        <v>3</v>
      </c>
      <c r="G168" t="s">
        <v>1524</v>
      </c>
      <c r="H168" t="s">
        <v>282</v>
      </c>
      <c r="I168" t="s">
        <v>1566</v>
      </c>
      <c r="J168" t="s">
        <v>1571</v>
      </c>
      <c r="L168" t="str">
        <f t="shared" si="17"/>
        <v>continuous/fully_connected</v>
      </c>
      <c r="M168" t="str">
        <f t="shared" si="18"/>
        <v>arch + standard_truss/other_truss</v>
      </c>
      <c r="N168" t="str">
        <f t="shared" si="16"/>
        <v>top_structure/bottom_structure/rock_structure + 3anc</v>
      </c>
      <c r="O168" t="s">
        <v>1692</v>
      </c>
      <c r="R168" t="s">
        <v>870</v>
      </c>
      <c r="S168" t="s">
        <v>292</v>
      </c>
      <c r="T168" t="s">
        <v>293</v>
      </c>
      <c r="U168" t="s">
        <v>292</v>
      </c>
      <c r="V168" t="s">
        <v>293</v>
      </c>
      <c r="W168" t="s">
        <v>293</v>
      </c>
      <c r="X168" t="str">
        <f t="shared" si="19"/>
        <v>road-</v>
      </c>
      <c r="Y168" t="str">
        <f t="shared" si="20"/>
        <v/>
      </c>
      <c r="Z168" t="str">
        <f t="shared" si="21"/>
        <v>wood-</v>
      </c>
      <c r="AA168" t="str">
        <f t="shared" si="22"/>
        <v/>
      </c>
      <c r="AB168" t="str">
        <f t="shared" si="23"/>
        <v>road-wood-</v>
      </c>
      <c r="AE168" t="s">
        <v>1692</v>
      </c>
    </row>
    <row r="169" spans="1:31" x14ac:dyDescent="0.3">
      <c r="A169" t="s">
        <v>45</v>
      </c>
      <c r="B169" t="s">
        <v>57</v>
      </c>
      <c r="C169" t="s">
        <v>12</v>
      </c>
      <c r="D169" t="s">
        <v>11</v>
      </c>
      <c r="E169" s="16" t="s">
        <v>272</v>
      </c>
      <c r="F169" s="16">
        <v>3</v>
      </c>
      <c r="G169" t="s">
        <v>1524</v>
      </c>
      <c r="H169" t="s">
        <v>282</v>
      </c>
      <c r="I169" t="s">
        <v>1566</v>
      </c>
      <c r="J169" t="s">
        <v>1571</v>
      </c>
      <c r="L169" t="str">
        <f t="shared" si="17"/>
        <v>continuous/fully_connected</v>
      </c>
      <c r="M169" t="str">
        <f t="shared" si="18"/>
        <v>arch + standard_truss/other_truss</v>
      </c>
      <c r="N169" t="str">
        <f t="shared" si="16"/>
        <v>top_structure/bottom_structure/rock_structure + 3anc</v>
      </c>
      <c r="O169" t="s">
        <v>1692</v>
      </c>
      <c r="R169" t="s">
        <v>871</v>
      </c>
      <c r="S169" t="s">
        <v>292</v>
      </c>
      <c r="T169" t="s">
        <v>293</v>
      </c>
      <c r="U169" t="s">
        <v>292</v>
      </c>
      <c r="V169" t="s">
        <v>293</v>
      </c>
      <c r="W169" t="s">
        <v>293</v>
      </c>
      <c r="X169" t="str">
        <f t="shared" si="19"/>
        <v>road-</v>
      </c>
      <c r="Y169" t="str">
        <f t="shared" si="20"/>
        <v/>
      </c>
      <c r="Z169" t="str">
        <f t="shared" si="21"/>
        <v>wood-</v>
      </c>
      <c r="AA169" t="str">
        <f t="shared" si="22"/>
        <v/>
      </c>
      <c r="AB169" t="str">
        <f t="shared" si="23"/>
        <v>road-wood-</v>
      </c>
      <c r="AE169" t="s">
        <v>1692</v>
      </c>
    </row>
    <row r="170" spans="1:31" x14ac:dyDescent="0.3">
      <c r="A170" t="s">
        <v>45</v>
      </c>
      <c r="B170" t="s">
        <v>57</v>
      </c>
      <c r="C170" t="s">
        <v>12</v>
      </c>
      <c r="D170" t="s">
        <v>24</v>
      </c>
      <c r="E170" s="16" t="s">
        <v>272</v>
      </c>
      <c r="F170" s="16">
        <v>3</v>
      </c>
      <c r="G170" t="s">
        <v>1524</v>
      </c>
      <c r="H170" t="s">
        <v>1637</v>
      </c>
      <c r="I170" t="s">
        <v>1566</v>
      </c>
      <c r="J170" t="s">
        <v>1573</v>
      </c>
      <c r="L170" t="str">
        <f t="shared" si="17"/>
        <v>continuous/fully_connected</v>
      </c>
      <c r="M170" t="str">
        <f t="shared" si="18"/>
        <v>inclined/inverted_arch + arch_truss/other_truss</v>
      </c>
      <c r="N170" t="str">
        <f t="shared" si="16"/>
        <v>top_structure/bottom_structure/rock_structure + 3anc</v>
      </c>
      <c r="O170" t="s">
        <v>1684</v>
      </c>
      <c r="R170" t="s">
        <v>872</v>
      </c>
      <c r="S170" t="s">
        <v>292</v>
      </c>
      <c r="T170" t="s">
        <v>293</v>
      </c>
      <c r="U170" t="s">
        <v>292</v>
      </c>
      <c r="V170" t="s">
        <v>292</v>
      </c>
      <c r="W170" t="s">
        <v>293</v>
      </c>
      <c r="X170" t="str">
        <f t="shared" si="19"/>
        <v>road-</v>
      </c>
      <c r="Y170" t="str">
        <f t="shared" si="20"/>
        <v/>
      </c>
      <c r="Z170" t="str">
        <f t="shared" si="21"/>
        <v>wood-</v>
      </c>
      <c r="AA170" t="str">
        <f t="shared" si="22"/>
        <v>steel</v>
      </c>
      <c r="AB170" t="str">
        <f t="shared" si="23"/>
        <v>road-wood-steel</v>
      </c>
      <c r="AE170" t="s">
        <v>1684</v>
      </c>
    </row>
    <row r="171" spans="1:31" x14ac:dyDescent="0.3">
      <c r="A171" t="s">
        <v>45</v>
      </c>
      <c r="B171" t="s">
        <v>57</v>
      </c>
      <c r="C171" t="s">
        <v>12</v>
      </c>
      <c r="D171" t="s">
        <v>21</v>
      </c>
      <c r="E171" s="16" t="s">
        <v>272</v>
      </c>
      <c r="F171" s="16">
        <v>3</v>
      </c>
      <c r="G171" t="s">
        <v>1524</v>
      </c>
      <c r="H171" t="s">
        <v>1637</v>
      </c>
      <c r="I171" t="s">
        <v>1566</v>
      </c>
      <c r="J171" t="s">
        <v>1573</v>
      </c>
      <c r="L171" t="str">
        <f t="shared" si="17"/>
        <v>continuous/fully_connected</v>
      </c>
      <c r="M171" t="str">
        <f t="shared" si="18"/>
        <v>inclined/inverted_arch + arch_truss/other_truss</v>
      </c>
      <c r="N171" t="str">
        <f t="shared" si="16"/>
        <v>top_structure/bottom_structure/rock_structure + 3anc</v>
      </c>
      <c r="O171" t="s">
        <v>1684</v>
      </c>
      <c r="R171" t="s">
        <v>873</v>
      </c>
      <c r="S171" t="s">
        <v>292</v>
      </c>
      <c r="T171" t="s">
        <v>293</v>
      </c>
      <c r="U171" t="s">
        <v>292</v>
      </c>
      <c r="V171" t="s">
        <v>292</v>
      </c>
      <c r="W171" t="s">
        <v>293</v>
      </c>
      <c r="X171" t="str">
        <f t="shared" si="19"/>
        <v>road-</v>
      </c>
      <c r="Y171" t="str">
        <f t="shared" si="20"/>
        <v/>
      </c>
      <c r="Z171" t="str">
        <f t="shared" si="21"/>
        <v>wood-</v>
      </c>
      <c r="AA171" t="str">
        <f t="shared" si="22"/>
        <v>steel</v>
      </c>
      <c r="AB171" t="str">
        <f t="shared" si="23"/>
        <v>road-wood-steel</v>
      </c>
      <c r="AE171" t="s">
        <v>1684</v>
      </c>
    </row>
    <row r="172" spans="1:31" x14ac:dyDescent="0.3">
      <c r="A172" t="s">
        <v>45</v>
      </c>
      <c r="B172" t="s">
        <v>57</v>
      </c>
      <c r="C172" t="s">
        <v>12</v>
      </c>
      <c r="D172" t="s">
        <v>19</v>
      </c>
      <c r="E172" s="16" t="s">
        <v>272</v>
      </c>
      <c r="F172" s="16">
        <v>3</v>
      </c>
      <c r="G172" t="s">
        <v>1524</v>
      </c>
      <c r="H172" t="s">
        <v>282</v>
      </c>
      <c r="I172" t="s">
        <v>1566</v>
      </c>
      <c r="J172" t="s">
        <v>344</v>
      </c>
      <c r="L172" t="str">
        <f t="shared" si="17"/>
        <v>continuous/fully_connected</v>
      </c>
      <c r="M172" t="str">
        <f t="shared" si="18"/>
        <v>arch + standard_truss</v>
      </c>
      <c r="N172" t="str">
        <f t="shared" si="16"/>
        <v>top_structure/bottom_structure/rock_structure + 3anc</v>
      </c>
      <c r="O172" t="s">
        <v>1684</v>
      </c>
      <c r="R172" t="s">
        <v>874</v>
      </c>
      <c r="S172" t="s">
        <v>292</v>
      </c>
      <c r="T172" t="s">
        <v>293</v>
      </c>
      <c r="U172" t="s">
        <v>292</v>
      </c>
      <c r="V172" t="s">
        <v>292</v>
      </c>
      <c r="W172" t="s">
        <v>293</v>
      </c>
      <c r="X172" t="str">
        <f t="shared" si="19"/>
        <v>road-</v>
      </c>
      <c r="Y172" t="str">
        <f t="shared" si="20"/>
        <v/>
      </c>
      <c r="Z172" t="str">
        <f t="shared" si="21"/>
        <v>wood-</v>
      </c>
      <c r="AA172" t="str">
        <f t="shared" si="22"/>
        <v>steel</v>
      </c>
      <c r="AB172" t="str">
        <f t="shared" si="23"/>
        <v>road-wood-steel</v>
      </c>
      <c r="AE172" t="s">
        <v>1684</v>
      </c>
    </row>
    <row r="173" spans="1:31" x14ac:dyDescent="0.3">
      <c r="A173" t="s">
        <v>45</v>
      </c>
      <c r="B173" t="s">
        <v>57</v>
      </c>
      <c r="C173" t="s">
        <v>12</v>
      </c>
      <c r="D173" t="s">
        <v>17</v>
      </c>
      <c r="E173" s="16" t="s">
        <v>272</v>
      </c>
      <c r="F173" s="16">
        <v>2</v>
      </c>
      <c r="G173" t="s">
        <v>1524</v>
      </c>
      <c r="H173" t="s">
        <v>282</v>
      </c>
      <c r="I173" t="s">
        <v>1566</v>
      </c>
      <c r="J173" t="s">
        <v>344</v>
      </c>
      <c r="L173" t="str">
        <f t="shared" si="17"/>
        <v>continuous/fully_connected</v>
      </c>
      <c r="M173" t="str">
        <f t="shared" si="18"/>
        <v>arch + standard_truss</v>
      </c>
      <c r="N173" t="str">
        <f t="shared" si="16"/>
        <v>top_structure/bottom_structure/rock_structure + 2anc</v>
      </c>
      <c r="O173" t="s">
        <v>1692</v>
      </c>
      <c r="R173" t="s">
        <v>875</v>
      </c>
      <c r="S173" t="s">
        <v>292</v>
      </c>
      <c r="T173" t="s">
        <v>293</v>
      </c>
      <c r="U173" t="s">
        <v>292</v>
      </c>
      <c r="V173" t="s">
        <v>293</v>
      </c>
      <c r="W173" t="s">
        <v>293</v>
      </c>
      <c r="X173" t="str">
        <f t="shared" si="19"/>
        <v>road-</v>
      </c>
      <c r="Y173" t="str">
        <f t="shared" si="20"/>
        <v/>
      </c>
      <c r="Z173" t="str">
        <f t="shared" si="21"/>
        <v>wood-</v>
      </c>
      <c r="AA173" t="str">
        <f t="shared" si="22"/>
        <v/>
      </c>
      <c r="AB173" t="str">
        <f t="shared" si="23"/>
        <v>road-wood-</v>
      </c>
      <c r="AE173" t="s">
        <v>1692</v>
      </c>
    </row>
    <row r="174" spans="1:31" x14ac:dyDescent="0.3">
      <c r="A174" t="s">
        <v>45</v>
      </c>
      <c r="B174" t="s">
        <v>57</v>
      </c>
      <c r="C174" t="s">
        <v>12</v>
      </c>
      <c r="D174" t="s">
        <v>16</v>
      </c>
      <c r="E174" s="16" t="s">
        <v>272</v>
      </c>
      <c r="F174" s="16">
        <v>2</v>
      </c>
      <c r="G174" t="s">
        <v>1524</v>
      </c>
      <c r="H174" t="s">
        <v>282</v>
      </c>
      <c r="I174" t="s">
        <v>1566</v>
      </c>
      <c r="J174" t="s">
        <v>344</v>
      </c>
      <c r="L174" t="str">
        <f t="shared" si="17"/>
        <v>continuous/fully_connected</v>
      </c>
      <c r="M174" t="str">
        <f t="shared" si="18"/>
        <v>arch + standard_truss</v>
      </c>
      <c r="N174" t="str">
        <f t="shared" si="16"/>
        <v>top_structure/bottom_structure/rock_structure + 2anc</v>
      </c>
      <c r="O174" t="s">
        <v>1692</v>
      </c>
      <c r="R174" t="s">
        <v>876</v>
      </c>
      <c r="S174" t="s">
        <v>292</v>
      </c>
      <c r="T174" t="s">
        <v>293</v>
      </c>
      <c r="U174" t="s">
        <v>292</v>
      </c>
      <c r="V174" t="s">
        <v>293</v>
      </c>
      <c r="W174" t="s">
        <v>293</v>
      </c>
      <c r="X174" t="str">
        <f t="shared" si="19"/>
        <v>road-</v>
      </c>
      <c r="Y174" t="str">
        <f t="shared" si="20"/>
        <v/>
      </c>
      <c r="Z174" t="str">
        <f t="shared" si="21"/>
        <v>wood-</v>
      </c>
      <c r="AA174" t="str">
        <f t="shared" si="22"/>
        <v/>
      </c>
      <c r="AB174" t="str">
        <f t="shared" si="23"/>
        <v>road-wood-</v>
      </c>
      <c r="AE174" t="s">
        <v>1692</v>
      </c>
    </row>
    <row r="175" spans="1:31" x14ac:dyDescent="0.3">
      <c r="A175" t="s">
        <v>45</v>
      </c>
      <c r="B175" t="s">
        <v>57</v>
      </c>
      <c r="C175" t="s">
        <v>12</v>
      </c>
      <c r="D175" t="s">
        <v>20</v>
      </c>
      <c r="E175" s="16" t="s">
        <v>272</v>
      </c>
      <c r="F175" s="16">
        <v>3</v>
      </c>
      <c r="G175" t="s">
        <v>1524</v>
      </c>
      <c r="H175" t="s">
        <v>282</v>
      </c>
      <c r="I175" t="s">
        <v>1566</v>
      </c>
      <c r="J175" t="s">
        <v>1573</v>
      </c>
      <c r="L175" t="str">
        <f t="shared" si="17"/>
        <v>continuous/fully_connected</v>
      </c>
      <c r="M175" t="str">
        <f t="shared" si="18"/>
        <v>arch + arch_truss/other_truss</v>
      </c>
      <c r="N175" t="str">
        <f t="shared" si="16"/>
        <v>top_structure/bottom_structure/rock_structure + 3anc</v>
      </c>
      <c r="O175" t="s">
        <v>1684</v>
      </c>
      <c r="R175" t="s">
        <v>877</v>
      </c>
      <c r="S175" t="s">
        <v>292</v>
      </c>
      <c r="T175" t="s">
        <v>293</v>
      </c>
      <c r="U175" t="s">
        <v>292</v>
      </c>
      <c r="V175" t="s">
        <v>292</v>
      </c>
      <c r="W175" t="s">
        <v>293</v>
      </c>
      <c r="X175" t="str">
        <f t="shared" si="19"/>
        <v>road-</v>
      </c>
      <c r="Y175" t="str">
        <f t="shared" si="20"/>
        <v/>
      </c>
      <c r="Z175" t="str">
        <f t="shared" si="21"/>
        <v>wood-</v>
      </c>
      <c r="AA175" t="str">
        <f t="shared" si="22"/>
        <v>steel</v>
      </c>
      <c r="AB175" t="str">
        <f t="shared" si="23"/>
        <v>road-wood-steel</v>
      </c>
      <c r="AE175" t="s">
        <v>1684</v>
      </c>
    </row>
    <row r="176" spans="1:31" x14ac:dyDescent="0.3">
      <c r="A176" t="s">
        <v>45</v>
      </c>
      <c r="B176" t="s">
        <v>57</v>
      </c>
      <c r="C176" t="s">
        <v>12</v>
      </c>
      <c r="D176" t="s">
        <v>22</v>
      </c>
      <c r="E176" s="16" t="s">
        <v>272</v>
      </c>
      <c r="F176" s="16">
        <v>3</v>
      </c>
      <c r="G176" t="s">
        <v>1524</v>
      </c>
      <c r="H176" t="s">
        <v>1637</v>
      </c>
      <c r="I176" t="s">
        <v>1566</v>
      </c>
      <c r="J176" t="s">
        <v>1573</v>
      </c>
      <c r="L176" t="str">
        <f t="shared" si="17"/>
        <v>continuous/fully_connected</v>
      </c>
      <c r="M176" t="str">
        <f t="shared" si="18"/>
        <v>inclined/inverted_arch + arch_truss/other_truss</v>
      </c>
      <c r="N176" t="str">
        <f t="shared" si="16"/>
        <v>top_structure/bottom_structure/rock_structure + 3anc</v>
      </c>
      <c r="O176" t="s">
        <v>1684</v>
      </c>
      <c r="R176" t="s">
        <v>878</v>
      </c>
      <c r="S176" t="s">
        <v>292</v>
      </c>
      <c r="T176" t="s">
        <v>293</v>
      </c>
      <c r="U176" t="s">
        <v>292</v>
      </c>
      <c r="V176" t="s">
        <v>292</v>
      </c>
      <c r="W176" t="s">
        <v>293</v>
      </c>
      <c r="X176" t="str">
        <f t="shared" si="19"/>
        <v>road-</v>
      </c>
      <c r="Y176" t="str">
        <f t="shared" si="20"/>
        <v/>
      </c>
      <c r="Z176" t="str">
        <f t="shared" si="21"/>
        <v>wood-</v>
      </c>
      <c r="AA176" t="str">
        <f t="shared" si="22"/>
        <v>steel</v>
      </c>
      <c r="AB176" t="str">
        <f t="shared" si="23"/>
        <v>road-wood-steel</v>
      </c>
      <c r="AE176" t="s">
        <v>1684</v>
      </c>
    </row>
    <row r="177" spans="1:31" x14ac:dyDescent="0.3">
      <c r="A177" t="s">
        <v>45</v>
      </c>
      <c r="B177" t="s">
        <v>57</v>
      </c>
      <c r="C177" t="s">
        <v>29</v>
      </c>
      <c r="D177" t="s">
        <v>25</v>
      </c>
      <c r="E177" s="16" t="s">
        <v>272</v>
      </c>
      <c r="F177" s="16">
        <v>3</v>
      </c>
      <c r="G177" t="s">
        <v>1524</v>
      </c>
      <c r="H177" t="s">
        <v>1637</v>
      </c>
      <c r="I177" t="s">
        <v>1566</v>
      </c>
      <c r="J177" t="s">
        <v>1573</v>
      </c>
      <c r="L177" t="str">
        <f t="shared" si="17"/>
        <v>continuous/fully_connected</v>
      </c>
      <c r="M177" t="str">
        <f t="shared" si="18"/>
        <v>inclined/inverted_arch + arch_truss/other_truss</v>
      </c>
      <c r="N177" t="str">
        <f t="shared" si="16"/>
        <v>top_structure/bottom_structure/rock_structure + 3anc</v>
      </c>
      <c r="O177" t="s">
        <v>1684</v>
      </c>
      <c r="R177" t="s">
        <v>879</v>
      </c>
      <c r="S177" t="s">
        <v>292</v>
      </c>
      <c r="T177" t="s">
        <v>293</v>
      </c>
      <c r="U177" t="s">
        <v>292</v>
      </c>
      <c r="V177" t="s">
        <v>292</v>
      </c>
      <c r="W177" t="s">
        <v>293</v>
      </c>
      <c r="X177" t="str">
        <f t="shared" si="19"/>
        <v>road-</v>
      </c>
      <c r="Y177" t="str">
        <f t="shared" si="20"/>
        <v/>
      </c>
      <c r="Z177" t="str">
        <f t="shared" si="21"/>
        <v>wood-</v>
      </c>
      <c r="AA177" t="str">
        <f t="shared" si="22"/>
        <v>steel</v>
      </c>
      <c r="AB177" t="str">
        <f t="shared" si="23"/>
        <v>road-wood-steel</v>
      </c>
      <c r="AE177" t="s">
        <v>1684</v>
      </c>
    </row>
    <row r="178" spans="1:31" x14ac:dyDescent="0.3">
      <c r="A178" t="s">
        <v>45</v>
      </c>
      <c r="B178" t="s">
        <v>57</v>
      </c>
      <c r="C178" t="s">
        <v>29</v>
      </c>
      <c r="D178" t="s">
        <v>32</v>
      </c>
      <c r="E178" s="16" t="s">
        <v>272</v>
      </c>
      <c r="F178" s="16">
        <v>3</v>
      </c>
      <c r="G178" t="s">
        <v>1524</v>
      </c>
      <c r="H178" t="s">
        <v>1534</v>
      </c>
      <c r="I178" t="s">
        <v>1566</v>
      </c>
      <c r="J178" t="s">
        <v>344</v>
      </c>
      <c r="L178" t="str">
        <f t="shared" si="17"/>
        <v>continuous/fully_connected</v>
      </c>
      <c r="M178" t="str">
        <f t="shared" si="18"/>
        <v>arch/declined + standard_truss</v>
      </c>
      <c r="N178" t="str">
        <f t="shared" si="16"/>
        <v>top_structure/bottom_structure/rock_structure + 3anc</v>
      </c>
      <c r="O178" t="s">
        <v>1684</v>
      </c>
      <c r="R178" t="s">
        <v>880</v>
      </c>
      <c r="S178" t="s">
        <v>292</v>
      </c>
      <c r="T178" t="s">
        <v>293</v>
      </c>
      <c r="U178" t="s">
        <v>292</v>
      </c>
      <c r="V178" t="s">
        <v>292</v>
      </c>
      <c r="W178" t="s">
        <v>293</v>
      </c>
      <c r="X178" t="str">
        <f t="shared" si="19"/>
        <v>road-</v>
      </c>
      <c r="Y178" t="str">
        <f t="shared" si="20"/>
        <v/>
      </c>
      <c r="Z178" t="str">
        <f t="shared" si="21"/>
        <v>wood-</v>
      </c>
      <c r="AA178" t="str">
        <f t="shared" si="22"/>
        <v>steel</v>
      </c>
      <c r="AB178" t="str">
        <f t="shared" si="23"/>
        <v>road-wood-steel</v>
      </c>
      <c r="AE178" t="s">
        <v>1684</v>
      </c>
    </row>
    <row r="179" spans="1:31" x14ac:dyDescent="0.3">
      <c r="A179" t="s">
        <v>45</v>
      </c>
      <c r="B179" t="s">
        <v>57</v>
      </c>
      <c r="C179" t="s">
        <v>29</v>
      </c>
      <c r="D179" t="s">
        <v>30</v>
      </c>
      <c r="E179" s="16" t="s">
        <v>272</v>
      </c>
      <c r="F179" s="16">
        <v>3</v>
      </c>
      <c r="G179" t="s">
        <v>1524</v>
      </c>
      <c r="H179" t="s">
        <v>1534</v>
      </c>
      <c r="I179" t="s">
        <v>1567</v>
      </c>
      <c r="J179" t="s">
        <v>344</v>
      </c>
      <c r="L179" t="str">
        <f t="shared" si="17"/>
        <v>continuous/fully_connected</v>
      </c>
      <c r="M179" t="str">
        <f t="shared" si="18"/>
        <v>arch/declined + standard_truss</v>
      </c>
      <c r="N179" t="str">
        <f t="shared" si="16"/>
        <v>top_structure/rock_structure + 3anc</v>
      </c>
      <c r="O179" t="s">
        <v>1685</v>
      </c>
      <c r="R179" t="s">
        <v>881</v>
      </c>
      <c r="S179" t="s">
        <v>292</v>
      </c>
      <c r="T179" t="s">
        <v>292</v>
      </c>
      <c r="U179" t="s">
        <v>292</v>
      </c>
      <c r="V179" t="s">
        <v>292</v>
      </c>
      <c r="W179" t="s">
        <v>293</v>
      </c>
      <c r="X179" t="str">
        <f t="shared" si="19"/>
        <v>road-</v>
      </c>
      <c r="Y179" t="str">
        <f t="shared" si="20"/>
        <v>reinforced_road-</v>
      </c>
      <c r="Z179" t="str">
        <f t="shared" si="21"/>
        <v>wood-</v>
      </c>
      <c r="AA179" t="str">
        <f t="shared" si="22"/>
        <v>steel</v>
      </c>
      <c r="AB179" t="str">
        <f t="shared" si="23"/>
        <v>road-reinforced_road-wood-steel</v>
      </c>
      <c r="AE179" t="s">
        <v>1685</v>
      </c>
    </row>
    <row r="180" spans="1:31" x14ac:dyDescent="0.3">
      <c r="A180" t="s">
        <v>45</v>
      </c>
      <c r="B180" t="s">
        <v>57</v>
      </c>
      <c r="C180" t="s">
        <v>29</v>
      </c>
      <c r="D180" t="s">
        <v>34</v>
      </c>
      <c r="E180" s="16" t="s">
        <v>272</v>
      </c>
      <c r="F180" s="16">
        <v>3</v>
      </c>
      <c r="G180" t="s">
        <v>1524</v>
      </c>
      <c r="H180" t="s">
        <v>1658</v>
      </c>
      <c r="I180" t="s">
        <v>1566</v>
      </c>
      <c r="J180" t="s">
        <v>1573</v>
      </c>
      <c r="L180" t="str">
        <f t="shared" si="17"/>
        <v>continuous/fully_connected</v>
      </c>
      <c r="M180" t="str">
        <f t="shared" si="18"/>
        <v>other_shape + arch_truss/other_truss</v>
      </c>
      <c r="N180" t="str">
        <f t="shared" si="16"/>
        <v>top_structure/bottom_structure/rock_structure + 3anc</v>
      </c>
      <c r="O180" t="s">
        <v>1684</v>
      </c>
      <c r="R180" t="s">
        <v>882</v>
      </c>
      <c r="S180" t="s">
        <v>292</v>
      </c>
      <c r="T180" t="s">
        <v>293</v>
      </c>
      <c r="U180" t="s">
        <v>292</v>
      </c>
      <c r="V180" t="s">
        <v>292</v>
      </c>
      <c r="W180" t="s">
        <v>293</v>
      </c>
      <c r="X180" t="str">
        <f t="shared" si="19"/>
        <v>road-</v>
      </c>
      <c r="Y180" t="str">
        <f t="shared" si="20"/>
        <v/>
      </c>
      <c r="Z180" t="str">
        <f t="shared" si="21"/>
        <v>wood-</v>
      </c>
      <c r="AA180" t="str">
        <f t="shared" si="22"/>
        <v>steel</v>
      </c>
      <c r="AB180" t="str">
        <f t="shared" si="23"/>
        <v>road-wood-steel</v>
      </c>
      <c r="AE180" t="s">
        <v>1684</v>
      </c>
    </row>
    <row r="181" spans="1:31" x14ac:dyDescent="0.3">
      <c r="A181" t="s">
        <v>45</v>
      </c>
      <c r="B181" t="s">
        <v>57</v>
      </c>
      <c r="C181" t="s">
        <v>29</v>
      </c>
      <c r="D181" t="s">
        <v>36</v>
      </c>
      <c r="E181" s="16" t="s">
        <v>272</v>
      </c>
      <c r="F181" s="16">
        <v>3</v>
      </c>
      <c r="G181" t="s">
        <v>1524</v>
      </c>
      <c r="H181" t="s">
        <v>1540</v>
      </c>
      <c r="I181" t="s">
        <v>1566</v>
      </c>
      <c r="J181" t="s">
        <v>1574</v>
      </c>
      <c r="L181" t="str">
        <f t="shared" si="17"/>
        <v>continuous/fully_connected</v>
      </c>
      <c r="M181" t="str">
        <f t="shared" si="18"/>
        <v>inclined/arch + standard_truss/arch_truss</v>
      </c>
      <c r="N181" t="str">
        <f t="shared" si="16"/>
        <v>top_structure/bottom_structure/rock_structure + 3anc</v>
      </c>
      <c r="O181" t="s">
        <v>1684</v>
      </c>
      <c r="R181" t="s">
        <v>883</v>
      </c>
      <c r="S181" t="s">
        <v>292</v>
      </c>
      <c r="T181" t="s">
        <v>293</v>
      </c>
      <c r="U181" t="s">
        <v>292</v>
      </c>
      <c r="V181" t="s">
        <v>292</v>
      </c>
      <c r="W181" t="s">
        <v>293</v>
      </c>
      <c r="X181" t="str">
        <f t="shared" si="19"/>
        <v>road-</v>
      </c>
      <c r="Y181" t="str">
        <f t="shared" si="20"/>
        <v/>
      </c>
      <c r="Z181" t="str">
        <f t="shared" si="21"/>
        <v>wood-</v>
      </c>
      <c r="AA181" t="str">
        <f t="shared" si="22"/>
        <v>steel</v>
      </c>
      <c r="AB181" t="str">
        <f t="shared" si="23"/>
        <v>road-wood-steel</v>
      </c>
      <c r="AE181" t="s">
        <v>1684</v>
      </c>
    </row>
    <row r="182" spans="1:31" x14ac:dyDescent="0.3">
      <c r="A182" t="s">
        <v>45</v>
      </c>
      <c r="B182" t="s">
        <v>57</v>
      </c>
      <c r="C182" t="s">
        <v>29</v>
      </c>
      <c r="D182" t="s">
        <v>33</v>
      </c>
      <c r="E182" s="16" t="s">
        <v>272</v>
      </c>
      <c r="F182" s="16">
        <v>3</v>
      </c>
      <c r="G182" t="s">
        <v>1524</v>
      </c>
      <c r="H182" t="s">
        <v>1658</v>
      </c>
      <c r="I182" t="s">
        <v>1566</v>
      </c>
      <c r="J182" t="s">
        <v>1574</v>
      </c>
      <c r="L182" t="str">
        <f t="shared" si="17"/>
        <v>continuous/fully_connected</v>
      </c>
      <c r="M182" t="str">
        <f t="shared" si="18"/>
        <v>other_shape + standard_truss/arch_truss</v>
      </c>
      <c r="N182" t="str">
        <f t="shared" si="16"/>
        <v>top_structure/bottom_structure/rock_structure + 3anc</v>
      </c>
      <c r="O182" t="s">
        <v>1684</v>
      </c>
      <c r="R182" t="s">
        <v>884</v>
      </c>
      <c r="S182" t="s">
        <v>292</v>
      </c>
      <c r="T182" t="s">
        <v>293</v>
      </c>
      <c r="U182" t="s">
        <v>292</v>
      </c>
      <c r="V182" t="s">
        <v>292</v>
      </c>
      <c r="W182" t="s">
        <v>293</v>
      </c>
      <c r="X182" t="str">
        <f t="shared" si="19"/>
        <v>road-</v>
      </c>
      <c r="Y182" t="str">
        <f t="shared" si="20"/>
        <v/>
      </c>
      <c r="Z182" t="str">
        <f t="shared" si="21"/>
        <v>wood-</v>
      </c>
      <c r="AA182" t="str">
        <f t="shared" si="22"/>
        <v>steel</v>
      </c>
      <c r="AB182" t="str">
        <f t="shared" si="23"/>
        <v>road-wood-steel</v>
      </c>
      <c r="AE182" t="s">
        <v>1684</v>
      </c>
    </row>
    <row r="183" spans="1:31" x14ac:dyDescent="0.3">
      <c r="A183" t="s">
        <v>45</v>
      </c>
      <c r="B183" t="s">
        <v>57</v>
      </c>
      <c r="C183" t="s">
        <v>29</v>
      </c>
      <c r="D183" t="s">
        <v>26</v>
      </c>
      <c r="E183" s="16" t="s">
        <v>272</v>
      </c>
      <c r="F183" s="16">
        <v>3</v>
      </c>
      <c r="G183" t="s">
        <v>1524</v>
      </c>
      <c r="H183" t="s">
        <v>1534</v>
      </c>
      <c r="I183" t="s">
        <v>341</v>
      </c>
      <c r="J183" t="s">
        <v>344</v>
      </c>
      <c r="L183" t="str">
        <f t="shared" si="17"/>
        <v>continuous/fully_connected</v>
      </c>
      <c r="M183" t="str">
        <f t="shared" si="18"/>
        <v>arch/declined + standard_truss</v>
      </c>
      <c r="N183" t="str">
        <f t="shared" si="16"/>
        <v>top_structure + 3anc</v>
      </c>
      <c r="O183" t="s">
        <v>1692</v>
      </c>
      <c r="R183" t="s">
        <v>885</v>
      </c>
      <c r="S183" t="s">
        <v>292</v>
      </c>
      <c r="T183" t="s">
        <v>293</v>
      </c>
      <c r="U183" t="s">
        <v>292</v>
      </c>
      <c r="V183" t="s">
        <v>293</v>
      </c>
      <c r="W183" t="s">
        <v>293</v>
      </c>
      <c r="X183" t="str">
        <f t="shared" si="19"/>
        <v>road-</v>
      </c>
      <c r="Y183" t="str">
        <f t="shared" si="20"/>
        <v/>
      </c>
      <c r="Z183" t="str">
        <f t="shared" si="21"/>
        <v>wood-</v>
      </c>
      <c r="AA183" t="str">
        <f t="shared" si="22"/>
        <v/>
      </c>
      <c r="AB183" t="str">
        <f t="shared" si="23"/>
        <v>road-wood-</v>
      </c>
      <c r="AE183" t="s">
        <v>1692</v>
      </c>
    </row>
    <row r="184" spans="1:31" x14ac:dyDescent="0.3">
      <c r="A184" t="s">
        <v>45</v>
      </c>
      <c r="B184" t="s">
        <v>57</v>
      </c>
      <c r="C184" t="s">
        <v>29</v>
      </c>
      <c r="D184" t="s">
        <v>31</v>
      </c>
      <c r="E184" s="16" t="s">
        <v>272</v>
      </c>
      <c r="F184" s="16">
        <v>3</v>
      </c>
      <c r="G184" t="s">
        <v>1524</v>
      </c>
      <c r="H184" t="s">
        <v>1534</v>
      </c>
      <c r="I184" t="s">
        <v>1567</v>
      </c>
      <c r="J184" t="s">
        <v>344</v>
      </c>
      <c r="L184" t="str">
        <f t="shared" si="17"/>
        <v>continuous/fully_connected</v>
      </c>
      <c r="M184" t="str">
        <f t="shared" si="18"/>
        <v>arch/declined + standard_truss</v>
      </c>
      <c r="N184" t="str">
        <f t="shared" si="16"/>
        <v>top_structure/rock_structure + 3anc</v>
      </c>
      <c r="O184" t="s">
        <v>1685</v>
      </c>
      <c r="R184" t="s">
        <v>886</v>
      </c>
      <c r="S184" t="s">
        <v>292</v>
      </c>
      <c r="T184" t="s">
        <v>292</v>
      </c>
      <c r="U184" t="s">
        <v>292</v>
      </c>
      <c r="V184" t="s">
        <v>292</v>
      </c>
      <c r="W184" t="s">
        <v>293</v>
      </c>
      <c r="X184" t="str">
        <f t="shared" si="19"/>
        <v>road-</v>
      </c>
      <c r="Y184" t="str">
        <f t="shared" si="20"/>
        <v>reinforced_road-</v>
      </c>
      <c r="Z184" t="str">
        <f t="shared" si="21"/>
        <v>wood-</v>
      </c>
      <c r="AA184" t="str">
        <f t="shared" si="22"/>
        <v>steel</v>
      </c>
      <c r="AB184" t="str">
        <f t="shared" si="23"/>
        <v>road-reinforced_road-wood-steel</v>
      </c>
      <c r="AE184" t="s">
        <v>1685</v>
      </c>
    </row>
    <row r="185" spans="1:31" x14ac:dyDescent="0.3">
      <c r="A185" t="s">
        <v>45</v>
      </c>
      <c r="B185" t="s">
        <v>57</v>
      </c>
      <c r="C185" t="s">
        <v>29</v>
      </c>
      <c r="D185" t="s">
        <v>27</v>
      </c>
      <c r="E185" s="16" t="s">
        <v>272</v>
      </c>
      <c r="F185" s="16">
        <v>3</v>
      </c>
      <c r="G185" t="s">
        <v>1524</v>
      </c>
      <c r="H185" t="s">
        <v>1658</v>
      </c>
      <c r="I185" t="s">
        <v>341</v>
      </c>
      <c r="J185" t="s">
        <v>344</v>
      </c>
      <c r="L185" t="str">
        <f t="shared" si="17"/>
        <v>continuous/fully_connected</v>
      </c>
      <c r="M185" t="str">
        <f t="shared" si="18"/>
        <v>other_shape + standard_truss</v>
      </c>
      <c r="N185" t="str">
        <f t="shared" si="16"/>
        <v>top_structure + 3anc</v>
      </c>
      <c r="O185" t="s">
        <v>1692</v>
      </c>
      <c r="R185" t="s">
        <v>887</v>
      </c>
      <c r="S185" t="s">
        <v>292</v>
      </c>
      <c r="T185" t="s">
        <v>293</v>
      </c>
      <c r="U185" t="s">
        <v>292</v>
      </c>
      <c r="V185" t="s">
        <v>293</v>
      </c>
      <c r="W185" t="s">
        <v>293</v>
      </c>
      <c r="X185" t="str">
        <f t="shared" si="19"/>
        <v>road-</v>
      </c>
      <c r="Y185" t="str">
        <f t="shared" si="20"/>
        <v/>
      </c>
      <c r="Z185" t="str">
        <f t="shared" si="21"/>
        <v>wood-</v>
      </c>
      <c r="AA185" t="str">
        <f t="shared" si="22"/>
        <v/>
      </c>
      <c r="AB185" t="str">
        <f t="shared" si="23"/>
        <v>road-wood-</v>
      </c>
      <c r="AE185" t="s">
        <v>1692</v>
      </c>
    </row>
    <row r="186" spans="1:31" x14ac:dyDescent="0.3">
      <c r="A186" t="s">
        <v>45</v>
      </c>
      <c r="B186" t="s">
        <v>57</v>
      </c>
      <c r="C186" t="s">
        <v>29</v>
      </c>
      <c r="D186" t="s">
        <v>28</v>
      </c>
      <c r="E186" s="16" t="s">
        <v>272</v>
      </c>
      <c r="F186" s="16">
        <v>3</v>
      </c>
      <c r="G186" t="s">
        <v>1524</v>
      </c>
      <c r="H186" t="s">
        <v>1534</v>
      </c>
      <c r="I186" t="s">
        <v>1567</v>
      </c>
      <c r="J186" t="s">
        <v>344</v>
      </c>
      <c r="L186" t="str">
        <f t="shared" si="17"/>
        <v>continuous/fully_connected</v>
      </c>
      <c r="M186" t="str">
        <f t="shared" si="18"/>
        <v>arch/declined + standard_truss</v>
      </c>
      <c r="N186" t="str">
        <f t="shared" si="16"/>
        <v>top_structure/rock_structure + 3anc</v>
      </c>
      <c r="O186" t="s">
        <v>1684</v>
      </c>
      <c r="R186" t="s">
        <v>888</v>
      </c>
      <c r="S186" t="s">
        <v>292</v>
      </c>
      <c r="T186" t="s">
        <v>293</v>
      </c>
      <c r="U186" t="s">
        <v>292</v>
      </c>
      <c r="V186" t="s">
        <v>292</v>
      </c>
      <c r="W186" t="s">
        <v>293</v>
      </c>
      <c r="X186" t="str">
        <f t="shared" si="19"/>
        <v>road-</v>
      </c>
      <c r="Y186" t="str">
        <f t="shared" si="20"/>
        <v/>
      </c>
      <c r="Z186" t="str">
        <f t="shared" si="21"/>
        <v>wood-</v>
      </c>
      <c r="AA186" t="str">
        <f t="shared" si="22"/>
        <v>steel</v>
      </c>
      <c r="AB186" t="str">
        <f t="shared" si="23"/>
        <v>road-wood-steel</v>
      </c>
      <c r="AE186" t="s">
        <v>1684</v>
      </c>
    </row>
    <row r="187" spans="1:31" x14ac:dyDescent="0.3">
      <c r="A187" t="s">
        <v>45</v>
      </c>
      <c r="B187" t="s">
        <v>57</v>
      </c>
      <c r="C187" t="s">
        <v>29</v>
      </c>
      <c r="D187" t="s">
        <v>35</v>
      </c>
      <c r="E187" s="16" t="s">
        <v>272</v>
      </c>
      <c r="F187" s="16">
        <v>3</v>
      </c>
      <c r="G187" t="s">
        <v>1524</v>
      </c>
      <c r="H187" t="s">
        <v>1658</v>
      </c>
      <c r="I187" t="s">
        <v>1566</v>
      </c>
      <c r="J187" t="s">
        <v>1573</v>
      </c>
      <c r="L187" t="str">
        <f t="shared" si="17"/>
        <v>continuous/fully_connected</v>
      </c>
      <c r="M187" t="str">
        <f t="shared" si="18"/>
        <v>other_shape + arch_truss/other_truss</v>
      </c>
      <c r="N187" t="str">
        <f t="shared" si="16"/>
        <v>top_structure/bottom_structure/rock_structure + 3anc</v>
      </c>
      <c r="O187" t="s">
        <v>1684</v>
      </c>
      <c r="R187" t="s">
        <v>889</v>
      </c>
      <c r="S187" t="s">
        <v>292</v>
      </c>
      <c r="T187" t="s">
        <v>293</v>
      </c>
      <c r="U187" t="s">
        <v>292</v>
      </c>
      <c r="V187" t="s">
        <v>292</v>
      </c>
      <c r="W187" t="s">
        <v>293</v>
      </c>
      <c r="X187" t="str">
        <f t="shared" si="19"/>
        <v>road-</v>
      </c>
      <c r="Y187" t="str">
        <f t="shared" si="20"/>
        <v/>
      </c>
      <c r="Z187" t="str">
        <f t="shared" si="21"/>
        <v>wood-</v>
      </c>
      <c r="AA187" t="str">
        <f t="shared" si="22"/>
        <v>steel</v>
      </c>
      <c r="AB187" t="str">
        <f t="shared" si="23"/>
        <v>road-wood-steel</v>
      </c>
      <c r="AE187" t="s">
        <v>1684</v>
      </c>
    </row>
    <row r="188" spans="1:31" x14ac:dyDescent="0.3">
      <c r="A188" t="s">
        <v>43</v>
      </c>
      <c r="B188" t="s">
        <v>59</v>
      </c>
      <c r="C188" t="s">
        <v>12</v>
      </c>
      <c r="D188" t="s">
        <v>15</v>
      </c>
      <c r="E188" s="16" t="s">
        <v>272</v>
      </c>
      <c r="F188" s="16">
        <v>3</v>
      </c>
      <c r="G188" t="s">
        <v>1524</v>
      </c>
      <c r="H188" t="s">
        <v>282</v>
      </c>
      <c r="I188" t="s">
        <v>1567</v>
      </c>
      <c r="J188" t="s">
        <v>344</v>
      </c>
      <c r="L188" t="str">
        <f t="shared" si="17"/>
        <v>continuous/fully_connected</v>
      </c>
      <c r="M188" t="str">
        <f t="shared" si="18"/>
        <v>arch + standard_truss</v>
      </c>
      <c r="N188" t="str">
        <f t="shared" si="16"/>
        <v>top_structure/rock_structure + 3anc</v>
      </c>
      <c r="O188" t="s">
        <v>1684</v>
      </c>
      <c r="R188" t="s">
        <v>890</v>
      </c>
      <c r="S188" t="s">
        <v>292</v>
      </c>
      <c r="T188" t="s">
        <v>293</v>
      </c>
      <c r="U188" t="s">
        <v>292</v>
      </c>
      <c r="V188" t="s">
        <v>292</v>
      </c>
      <c r="W188" t="s">
        <v>293</v>
      </c>
      <c r="X188" t="str">
        <f t="shared" si="19"/>
        <v>road-</v>
      </c>
      <c r="Y188" t="str">
        <f t="shared" si="20"/>
        <v/>
      </c>
      <c r="Z188" t="str">
        <f t="shared" si="21"/>
        <v>wood-</v>
      </c>
      <c r="AA188" t="str">
        <f t="shared" si="22"/>
        <v>steel</v>
      </c>
      <c r="AB188" t="str">
        <f t="shared" si="23"/>
        <v>road-wood-steel</v>
      </c>
      <c r="AE188" t="s">
        <v>1684</v>
      </c>
    </row>
    <row r="189" spans="1:31" x14ac:dyDescent="0.3">
      <c r="A189" t="s">
        <v>43</v>
      </c>
      <c r="B189" t="s">
        <v>59</v>
      </c>
      <c r="C189" t="s">
        <v>12</v>
      </c>
      <c r="D189" t="s">
        <v>23</v>
      </c>
      <c r="E189" s="16" t="s">
        <v>273</v>
      </c>
      <c r="F189" s="16">
        <v>2</v>
      </c>
      <c r="G189" t="s">
        <v>1525</v>
      </c>
      <c r="H189" t="s">
        <v>282</v>
      </c>
      <c r="I189" t="s">
        <v>1568</v>
      </c>
      <c r="J189" t="s">
        <v>344</v>
      </c>
      <c r="L189" t="str">
        <f t="shared" si="17"/>
        <v>missing_section/right</v>
      </c>
      <c r="M189" t="str">
        <f t="shared" si="18"/>
        <v>arch + standard_truss</v>
      </c>
      <c r="N189" t="str">
        <f t="shared" si="16"/>
        <v>bottom_structure/rock_structure + 2anc</v>
      </c>
      <c r="O189" t="s">
        <v>1684</v>
      </c>
      <c r="R189" t="s">
        <v>891</v>
      </c>
      <c r="S189" t="s">
        <v>292</v>
      </c>
      <c r="T189" t="s">
        <v>293</v>
      </c>
      <c r="U189" t="s">
        <v>292</v>
      </c>
      <c r="V189" t="s">
        <v>292</v>
      </c>
      <c r="W189" t="s">
        <v>293</v>
      </c>
      <c r="X189" t="str">
        <f t="shared" si="19"/>
        <v>road-</v>
      </c>
      <c r="Y189" t="str">
        <f t="shared" si="20"/>
        <v/>
      </c>
      <c r="Z189" t="str">
        <f t="shared" si="21"/>
        <v>wood-</v>
      </c>
      <c r="AA189" t="str">
        <f t="shared" si="22"/>
        <v>steel</v>
      </c>
      <c r="AB189" t="str">
        <f t="shared" si="23"/>
        <v>road-wood-steel</v>
      </c>
      <c r="AE189" t="s">
        <v>1684</v>
      </c>
    </row>
    <row r="190" spans="1:31" x14ac:dyDescent="0.3">
      <c r="A190" t="s">
        <v>43</v>
      </c>
      <c r="B190" t="s">
        <v>59</v>
      </c>
      <c r="C190" t="s">
        <v>12</v>
      </c>
      <c r="D190" t="s">
        <v>14</v>
      </c>
      <c r="E190" s="16" t="s">
        <v>272</v>
      </c>
      <c r="F190" s="16">
        <v>3</v>
      </c>
      <c r="G190" t="s">
        <v>1524</v>
      </c>
      <c r="H190" t="s">
        <v>282</v>
      </c>
      <c r="I190" t="s">
        <v>1567</v>
      </c>
      <c r="J190" t="s">
        <v>344</v>
      </c>
      <c r="L190" t="str">
        <f t="shared" si="17"/>
        <v>continuous/fully_connected</v>
      </c>
      <c r="M190" t="str">
        <f t="shared" si="18"/>
        <v>arch + standard_truss</v>
      </c>
      <c r="N190" t="str">
        <f t="shared" si="16"/>
        <v>top_structure/rock_structure + 3anc</v>
      </c>
      <c r="O190" t="s">
        <v>1684</v>
      </c>
      <c r="R190" t="s">
        <v>892</v>
      </c>
      <c r="S190" t="s">
        <v>292</v>
      </c>
      <c r="T190" t="s">
        <v>293</v>
      </c>
      <c r="U190" t="s">
        <v>292</v>
      </c>
      <c r="V190" t="s">
        <v>292</v>
      </c>
      <c r="W190" t="s">
        <v>293</v>
      </c>
      <c r="X190" t="str">
        <f t="shared" si="19"/>
        <v>road-</v>
      </c>
      <c r="Y190" t="str">
        <f t="shared" si="20"/>
        <v/>
      </c>
      <c r="Z190" t="str">
        <f t="shared" si="21"/>
        <v>wood-</v>
      </c>
      <c r="AA190" t="str">
        <f t="shared" si="22"/>
        <v>steel</v>
      </c>
      <c r="AB190" t="str">
        <f t="shared" si="23"/>
        <v>road-wood-steel</v>
      </c>
      <c r="AE190" t="s">
        <v>1684</v>
      </c>
    </row>
    <row r="191" spans="1:31" x14ac:dyDescent="0.3">
      <c r="A191" t="s">
        <v>43</v>
      </c>
      <c r="B191" t="s">
        <v>59</v>
      </c>
      <c r="C191" t="s">
        <v>12</v>
      </c>
      <c r="D191" t="s">
        <v>25</v>
      </c>
      <c r="E191" s="16" t="s">
        <v>272</v>
      </c>
      <c r="F191" s="16">
        <v>3</v>
      </c>
      <c r="G191" t="s">
        <v>1524</v>
      </c>
      <c r="H191" t="s">
        <v>282</v>
      </c>
      <c r="I191" t="s">
        <v>1567</v>
      </c>
      <c r="J191" t="s">
        <v>377</v>
      </c>
      <c r="L191" t="str">
        <f t="shared" si="17"/>
        <v>continuous/fully_connected</v>
      </c>
      <c r="M191" t="str">
        <f t="shared" si="18"/>
        <v>arch + a-truss</v>
      </c>
      <c r="N191" t="str">
        <f t="shared" si="16"/>
        <v>top_structure/rock_structure + 3anc</v>
      </c>
      <c r="O191" t="s">
        <v>1684</v>
      </c>
      <c r="R191" t="s">
        <v>893</v>
      </c>
      <c r="S191" t="s">
        <v>292</v>
      </c>
      <c r="T191" t="s">
        <v>293</v>
      </c>
      <c r="U191" t="s">
        <v>292</v>
      </c>
      <c r="V191" t="s">
        <v>292</v>
      </c>
      <c r="W191" t="s">
        <v>293</v>
      </c>
      <c r="X191" t="str">
        <f t="shared" si="19"/>
        <v>road-</v>
      </c>
      <c r="Y191" t="str">
        <f t="shared" si="20"/>
        <v/>
      </c>
      <c r="Z191" t="str">
        <f t="shared" si="21"/>
        <v>wood-</v>
      </c>
      <c r="AA191" t="str">
        <f t="shared" si="22"/>
        <v>steel</v>
      </c>
      <c r="AB191" t="str">
        <f t="shared" si="23"/>
        <v>road-wood-steel</v>
      </c>
      <c r="AE191" t="s">
        <v>1684</v>
      </c>
    </row>
    <row r="192" spans="1:31" x14ac:dyDescent="0.3">
      <c r="A192" t="s">
        <v>43</v>
      </c>
      <c r="B192" t="s">
        <v>59</v>
      </c>
      <c r="C192" t="s">
        <v>12</v>
      </c>
      <c r="D192" t="s">
        <v>11</v>
      </c>
      <c r="E192" s="16" t="s">
        <v>272</v>
      </c>
      <c r="F192" s="16">
        <v>3</v>
      </c>
      <c r="G192" t="s">
        <v>1524</v>
      </c>
      <c r="H192" t="s">
        <v>282</v>
      </c>
      <c r="I192" t="s">
        <v>1566</v>
      </c>
      <c r="J192" t="s">
        <v>291</v>
      </c>
      <c r="L192" t="str">
        <f t="shared" si="17"/>
        <v>continuous/fully_connected</v>
      </c>
      <c r="M192" t="str">
        <f t="shared" si="18"/>
        <v>arch + other</v>
      </c>
      <c r="N192" t="str">
        <f t="shared" si="16"/>
        <v>top_structure/bottom_structure/rock_structure + 3anc</v>
      </c>
      <c r="O192" t="s">
        <v>1687</v>
      </c>
      <c r="R192" t="s">
        <v>894</v>
      </c>
      <c r="S192" t="s">
        <v>292</v>
      </c>
      <c r="T192" t="s">
        <v>293</v>
      </c>
      <c r="U192" t="s">
        <v>293</v>
      </c>
      <c r="V192" t="s">
        <v>292</v>
      </c>
      <c r="W192" t="s">
        <v>293</v>
      </c>
      <c r="X192" t="str">
        <f t="shared" si="19"/>
        <v>road-</v>
      </c>
      <c r="Y192" t="str">
        <f t="shared" si="20"/>
        <v/>
      </c>
      <c r="Z192" t="str">
        <f t="shared" si="21"/>
        <v/>
      </c>
      <c r="AA192" t="str">
        <f t="shared" si="22"/>
        <v>steel</v>
      </c>
      <c r="AB192" t="str">
        <f t="shared" si="23"/>
        <v>road-steel</v>
      </c>
      <c r="AE192" t="s">
        <v>1687</v>
      </c>
    </row>
    <row r="193" spans="1:31" x14ac:dyDescent="0.3">
      <c r="A193" t="s">
        <v>43</v>
      </c>
      <c r="B193" t="s">
        <v>59</v>
      </c>
      <c r="C193" t="s">
        <v>12</v>
      </c>
      <c r="D193" t="s">
        <v>24</v>
      </c>
      <c r="E193" s="16" t="s">
        <v>272</v>
      </c>
      <c r="F193" s="16">
        <v>2</v>
      </c>
      <c r="G193" t="s">
        <v>1524</v>
      </c>
      <c r="H193" t="s">
        <v>282</v>
      </c>
      <c r="I193" t="s">
        <v>341</v>
      </c>
      <c r="J193" t="s">
        <v>377</v>
      </c>
      <c r="L193" t="str">
        <f t="shared" si="17"/>
        <v>continuous/fully_connected</v>
      </c>
      <c r="M193" t="str">
        <f t="shared" si="18"/>
        <v>arch + a-truss</v>
      </c>
      <c r="N193" t="str">
        <f t="shared" si="16"/>
        <v>top_structure + 2anc</v>
      </c>
      <c r="O193" t="s">
        <v>1684</v>
      </c>
      <c r="R193" t="s">
        <v>895</v>
      </c>
      <c r="S193" t="s">
        <v>292</v>
      </c>
      <c r="T193" t="s">
        <v>293</v>
      </c>
      <c r="U193" t="s">
        <v>292</v>
      </c>
      <c r="V193" t="s">
        <v>292</v>
      </c>
      <c r="W193" t="s">
        <v>293</v>
      </c>
      <c r="X193" t="str">
        <f t="shared" si="19"/>
        <v>road-</v>
      </c>
      <c r="Y193" t="str">
        <f t="shared" si="20"/>
        <v/>
      </c>
      <c r="Z193" t="str">
        <f t="shared" si="21"/>
        <v>wood-</v>
      </c>
      <c r="AA193" t="str">
        <f t="shared" si="22"/>
        <v>steel</v>
      </c>
      <c r="AB193" t="str">
        <f t="shared" si="23"/>
        <v>road-wood-steel</v>
      </c>
      <c r="AE193" t="s">
        <v>1684</v>
      </c>
    </row>
    <row r="194" spans="1:31" x14ac:dyDescent="0.3">
      <c r="A194" t="s">
        <v>43</v>
      </c>
      <c r="B194" t="s">
        <v>59</v>
      </c>
      <c r="C194" t="s">
        <v>12</v>
      </c>
      <c r="D194" t="s">
        <v>21</v>
      </c>
      <c r="E194" s="16" t="s">
        <v>273</v>
      </c>
      <c r="F194" s="16">
        <v>2</v>
      </c>
      <c r="G194" t="s">
        <v>1525</v>
      </c>
      <c r="H194" t="s">
        <v>282</v>
      </c>
      <c r="I194" t="s">
        <v>1568</v>
      </c>
      <c r="J194" t="s">
        <v>344</v>
      </c>
      <c r="L194" t="str">
        <f t="shared" si="17"/>
        <v>missing_section/right</v>
      </c>
      <c r="M194" t="str">
        <f t="shared" si="18"/>
        <v>arch + standard_truss</v>
      </c>
      <c r="N194" t="str">
        <f t="shared" ref="N194:N257" si="24">I194&amp;" + "&amp;F194&amp;"anc"</f>
        <v>bottom_structure/rock_structure + 2anc</v>
      </c>
      <c r="O194" t="s">
        <v>1684</v>
      </c>
      <c r="R194" t="s">
        <v>896</v>
      </c>
      <c r="S194" t="s">
        <v>292</v>
      </c>
      <c r="T194" t="s">
        <v>293</v>
      </c>
      <c r="U194" t="s">
        <v>292</v>
      </c>
      <c r="V194" t="s">
        <v>292</v>
      </c>
      <c r="W194" t="s">
        <v>293</v>
      </c>
      <c r="X194" t="str">
        <f t="shared" si="19"/>
        <v>road-</v>
      </c>
      <c r="Y194" t="str">
        <f t="shared" si="20"/>
        <v/>
      </c>
      <c r="Z194" t="str">
        <f t="shared" si="21"/>
        <v>wood-</v>
      </c>
      <c r="AA194" t="str">
        <f t="shared" si="22"/>
        <v>steel</v>
      </c>
      <c r="AB194" t="str">
        <f t="shared" si="23"/>
        <v>road-wood-steel</v>
      </c>
      <c r="AE194" t="s">
        <v>1684</v>
      </c>
    </row>
    <row r="195" spans="1:31" x14ac:dyDescent="0.3">
      <c r="A195" t="s">
        <v>43</v>
      </c>
      <c r="B195" t="s">
        <v>59</v>
      </c>
      <c r="C195" t="s">
        <v>12</v>
      </c>
      <c r="D195" t="s">
        <v>19</v>
      </c>
      <c r="E195" s="16" t="s">
        <v>272</v>
      </c>
      <c r="F195" s="16">
        <v>3</v>
      </c>
      <c r="G195" t="s">
        <v>1524</v>
      </c>
      <c r="H195" t="s">
        <v>282</v>
      </c>
      <c r="I195" t="s">
        <v>1567</v>
      </c>
      <c r="J195" t="s">
        <v>377</v>
      </c>
      <c r="L195" t="str">
        <f t="shared" ref="L195:L258" si="25">G195</f>
        <v>continuous/fully_connected</v>
      </c>
      <c r="M195" t="str">
        <f t="shared" ref="M195:M258" si="26">H195&amp;" + "&amp;J195</f>
        <v>arch + a-truss</v>
      </c>
      <c r="N195" t="str">
        <f t="shared" si="24"/>
        <v>top_structure/rock_structure + 3anc</v>
      </c>
      <c r="O195" t="s">
        <v>1688</v>
      </c>
      <c r="R195" t="s">
        <v>897</v>
      </c>
      <c r="S195" t="s">
        <v>293</v>
      </c>
      <c r="T195" t="s">
        <v>292</v>
      </c>
      <c r="U195" t="s">
        <v>293</v>
      </c>
      <c r="V195" t="s">
        <v>292</v>
      </c>
      <c r="W195" t="s">
        <v>293</v>
      </c>
      <c r="X195" t="str">
        <f t="shared" ref="X195:X258" si="27">IF(S195="yes","road-","")</f>
        <v/>
      </c>
      <c r="Y195" t="str">
        <f t="shared" ref="Y195:Y258" si="28">IF(T195="yes","reinforced_road-","")</f>
        <v>reinforced_road-</v>
      </c>
      <c r="Z195" t="str">
        <f t="shared" ref="Z195:Z258" si="29">IF(U195="yes","wood-","")</f>
        <v/>
      </c>
      <c r="AA195" t="str">
        <f t="shared" ref="AA195:AA258" si="30">IF(V195="yes","steel","")</f>
        <v>steel</v>
      </c>
      <c r="AB195" t="str">
        <f t="shared" ref="AB195:AB258" si="31">X195&amp;Y195&amp;Z195&amp;AA195</f>
        <v>reinforced_road-steel</v>
      </c>
      <c r="AE195" t="s">
        <v>1688</v>
      </c>
    </row>
    <row r="196" spans="1:31" x14ac:dyDescent="0.3">
      <c r="A196" t="s">
        <v>43</v>
      </c>
      <c r="B196" t="s">
        <v>59</v>
      </c>
      <c r="C196" t="s">
        <v>12</v>
      </c>
      <c r="D196" t="s">
        <v>17</v>
      </c>
      <c r="E196" s="16" t="s">
        <v>272</v>
      </c>
      <c r="F196" s="16">
        <v>3</v>
      </c>
      <c r="G196" t="s">
        <v>1524</v>
      </c>
      <c r="H196" t="s">
        <v>282</v>
      </c>
      <c r="I196" t="s">
        <v>1567</v>
      </c>
      <c r="J196" t="s">
        <v>377</v>
      </c>
      <c r="L196" t="str">
        <f t="shared" si="25"/>
        <v>continuous/fully_connected</v>
      </c>
      <c r="M196" t="str">
        <f t="shared" si="26"/>
        <v>arch + a-truss</v>
      </c>
      <c r="N196" t="str">
        <f t="shared" si="24"/>
        <v>top_structure/rock_structure + 3anc</v>
      </c>
      <c r="O196" t="s">
        <v>1688</v>
      </c>
      <c r="R196" t="s">
        <v>898</v>
      </c>
      <c r="S196" t="s">
        <v>293</v>
      </c>
      <c r="T196" t="s">
        <v>292</v>
      </c>
      <c r="U196" t="s">
        <v>293</v>
      </c>
      <c r="V196" t="s">
        <v>292</v>
      </c>
      <c r="W196" t="s">
        <v>293</v>
      </c>
      <c r="X196" t="str">
        <f t="shared" si="27"/>
        <v/>
      </c>
      <c r="Y196" t="str">
        <f t="shared" si="28"/>
        <v>reinforced_road-</v>
      </c>
      <c r="Z196" t="str">
        <f t="shared" si="29"/>
        <v/>
      </c>
      <c r="AA196" t="str">
        <f t="shared" si="30"/>
        <v>steel</v>
      </c>
      <c r="AB196" t="str">
        <f t="shared" si="31"/>
        <v>reinforced_road-steel</v>
      </c>
      <c r="AE196" t="s">
        <v>1688</v>
      </c>
    </row>
    <row r="197" spans="1:31" x14ac:dyDescent="0.3">
      <c r="A197" t="s">
        <v>43</v>
      </c>
      <c r="B197" t="s">
        <v>59</v>
      </c>
      <c r="C197" t="s">
        <v>12</v>
      </c>
      <c r="D197" t="s">
        <v>16</v>
      </c>
      <c r="E197" s="16" t="s">
        <v>272</v>
      </c>
      <c r="F197" s="16">
        <v>3</v>
      </c>
      <c r="G197" t="s">
        <v>1524</v>
      </c>
      <c r="H197" t="s">
        <v>282</v>
      </c>
      <c r="I197" t="s">
        <v>1567</v>
      </c>
      <c r="J197" t="s">
        <v>344</v>
      </c>
      <c r="L197" t="str">
        <f t="shared" si="25"/>
        <v>continuous/fully_connected</v>
      </c>
      <c r="M197" t="str">
        <f t="shared" si="26"/>
        <v>arch + standard_truss</v>
      </c>
      <c r="N197" t="str">
        <f t="shared" si="24"/>
        <v>top_structure/rock_structure + 3anc</v>
      </c>
      <c r="O197" t="s">
        <v>1684</v>
      </c>
      <c r="R197" t="s">
        <v>899</v>
      </c>
      <c r="S197" t="s">
        <v>292</v>
      </c>
      <c r="T197" t="s">
        <v>293</v>
      </c>
      <c r="U197" t="s">
        <v>292</v>
      </c>
      <c r="V197" t="s">
        <v>292</v>
      </c>
      <c r="W197" t="s">
        <v>293</v>
      </c>
      <c r="X197" t="str">
        <f t="shared" si="27"/>
        <v>road-</v>
      </c>
      <c r="Y197" t="str">
        <f t="shared" si="28"/>
        <v/>
      </c>
      <c r="Z197" t="str">
        <f t="shared" si="29"/>
        <v>wood-</v>
      </c>
      <c r="AA197" t="str">
        <f t="shared" si="30"/>
        <v>steel</v>
      </c>
      <c r="AB197" t="str">
        <f t="shared" si="31"/>
        <v>road-wood-steel</v>
      </c>
      <c r="AE197" t="s">
        <v>1684</v>
      </c>
    </row>
    <row r="198" spans="1:31" x14ac:dyDescent="0.3">
      <c r="A198" t="s">
        <v>43</v>
      </c>
      <c r="B198" t="s">
        <v>59</v>
      </c>
      <c r="C198" t="s">
        <v>12</v>
      </c>
      <c r="D198" t="s">
        <v>20</v>
      </c>
      <c r="E198" s="16" t="s">
        <v>272</v>
      </c>
      <c r="F198" s="16">
        <v>3</v>
      </c>
      <c r="G198" t="s">
        <v>1524</v>
      </c>
      <c r="H198" t="s">
        <v>282</v>
      </c>
      <c r="I198" t="s">
        <v>1567</v>
      </c>
      <c r="J198" t="s">
        <v>377</v>
      </c>
      <c r="L198" t="str">
        <f t="shared" si="25"/>
        <v>continuous/fully_connected</v>
      </c>
      <c r="M198" t="str">
        <f t="shared" si="26"/>
        <v>arch + a-truss</v>
      </c>
      <c r="N198" t="str">
        <f t="shared" si="24"/>
        <v>top_structure/rock_structure + 3anc</v>
      </c>
      <c r="O198" t="s">
        <v>1688</v>
      </c>
      <c r="R198" t="s">
        <v>900</v>
      </c>
      <c r="S198" t="s">
        <v>293</v>
      </c>
      <c r="T198" t="s">
        <v>292</v>
      </c>
      <c r="U198" t="s">
        <v>293</v>
      </c>
      <c r="V198" t="s">
        <v>292</v>
      </c>
      <c r="W198" t="s">
        <v>293</v>
      </c>
      <c r="X198" t="str">
        <f t="shared" si="27"/>
        <v/>
      </c>
      <c r="Y198" t="str">
        <f t="shared" si="28"/>
        <v>reinforced_road-</v>
      </c>
      <c r="Z198" t="str">
        <f t="shared" si="29"/>
        <v/>
      </c>
      <c r="AA198" t="str">
        <f t="shared" si="30"/>
        <v>steel</v>
      </c>
      <c r="AB198" t="str">
        <f t="shared" si="31"/>
        <v>reinforced_road-steel</v>
      </c>
      <c r="AE198" t="s">
        <v>1688</v>
      </c>
    </row>
    <row r="199" spans="1:31" x14ac:dyDescent="0.3">
      <c r="A199" t="s">
        <v>43</v>
      </c>
      <c r="B199" t="s">
        <v>59</v>
      </c>
      <c r="C199" t="s">
        <v>12</v>
      </c>
      <c r="D199" t="s">
        <v>22</v>
      </c>
      <c r="E199" s="16" t="s">
        <v>273</v>
      </c>
      <c r="F199" s="16">
        <v>2</v>
      </c>
      <c r="G199" t="s">
        <v>1525</v>
      </c>
      <c r="H199" t="s">
        <v>282</v>
      </c>
      <c r="I199" t="s">
        <v>1568</v>
      </c>
      <c r="J199" t="s">
        <v>344</v>
      </c>
      <c r="L199" t="str">
        <f t="shared" si="25"/>
        <v>missing_section/right</v>
      </c>
      <c r="M199" t="str">
        <f t="shared" si="26"/>
        <v>arch + standard_truss</v>
      </c>
      <c r="N199" t="str">
        <f t="shared" si="24"/>
        <v>bottom_structure/rock_structure + 2anc</v>
      </c>
      <c r="O199" t="s">
        <v>1684</v>
      </c>
      <c r="R199" t="s">
        <v>901</v>
      </c>
      <c r="S199" t="s">
        <v>292</v>
      </c>
      <c r="T199" t="s">
        <v>293</v>
      </c>
      <c r="U199" t="s">
        <v>292</v>
      </c>
      <c r="V199" t="s">
        <v>292</v>
      </c>
      <c r="W199" t="s">
        <v>293</v>
      </c>
      <c r="X199" t="str">
        <f t="shared" si="27"/>
        <v>road-</v>
      </c>
      <c r="Y199" t="str">
        <f t="shared" si="28"/>
        <v/>
      </c>
      <c r="Z199" t="str">
        <f t="shared" si="29"/>
        <v>wood-</v>
      </c>
      <c r="AA199" t="str">
        <f t="shared" si="30"/>
        <v>steel</v>
      </c>
      <c r="AB199" t="str">
        <f t="shared" si="31"/>
        <v>road-wood-steel</v>
      </c>
      <c r="AE199" t="s">
        <v>1684</v>
      </c>
    </row>
    <row r="200" spans="1:31" x14ac:dyDescent="0.3">
      <c r="A200" t="s">
        <v>43</v>
      </c>
      <c r="B200" t="s">
        <v>59</v>
      </c>
      <c r="C200" t="s">
        <v>29</v>
      </c>
      <c r="D200" t="s">
        <v>39</v>
      </c>
      <c r="E200" s="16" t="s">
        <v>273</v>
      </c>
      <c r="F200" s="16">
        <v>2</v>
      </c>
      <c r="G200" t="s">
        <v>1525</v>
      </c>
      <c r="H200" t="s">
        <v>283</v>
      </c>
      <c r="I200" t="s">
        <v>1566</v>
      </c>
      <c r="J200" t="s">
        <v>1571</v>
      </c>
      <c r="L200" t="str">
        <f t="shared" si="25"/>
        <v>missing_section/right</v>
      </c>
      <c r="M200" t="str">
        <f t="shared" si="26"/>
        <v>inclined + standard_truss/other_truss</v>
      </c>
      <c r="N200" t="str">
        <f t="shared" si="24"/>
        <v>top_structure/bottom_structure/rock_structure + 2anc</v>
      </c>
      <c r="O200" t="s">
        <v>1685</v>
      </c>
      <c r="R200" t="s">
        <v>902</v>
      </c>
      <c r="S200" t="s">
        <v>292</v>
      </c>
      <c r="T200" t="s">
        <v>292</v>
      </c>
      <c r="U200" t="s">
        <v>292</v>
      </c>
      <c r="V200" t="s">
        <v>292</v>
      </c>
      <c r="W200" t="s">
        <v>293</v>
      </c>
      <c r="X200" t="str">
        <f t="shared" si="27"/>
        <v>road-</v>
      </c>
      <c r="Y200" t="str">
        <f t="shared" si="28"/>
        <v>reinforced_road-</v>
      </c>
      <c r="Z200" t="str">
        <f t="shared" si="29"/>
        <v>wood-</v>
      </c>
      <c r="AA200" t="str">
        <f t="shared" si="30"/>
        <v>steel</v>
      </c>
      <c r="AB200" t="str">
        <f t="shared" si="31"/>
        <v>road-reinforced_road-wood-steel</v>
      </c>
      <c r="AE200" t="s">
        <v>1685</v>
      </c>
    </row>
    <row r="201" spans="1:31" x14ac:dyDescent="0.3">
      <c r="A201" t="s">
        <v>43</v>
      </c>
      <c r="B201" t="s">
        <v>59</v>
      </c>
      <c r="C201" t="s">
        <v>29</v>
      </c>
      <c r="D201" t="s">
        <v>37</v>
      </c>
      <c r="E201" s="16" t="s">
        <v>273</v>
      </c>
      <c r="F201" s="16">
        <v>2</v>
      </c>
      <c r="G201" t="s">
        <v>1525</v>
      </c>
      <c r="H201" t="s">
        <v>283</v>
      </c>
      <c r="I201" t="s">
        <v>1566</v>
      </c>
      <c r="J201" t="s">
        <v>1571</v>
      </c>
      <c r="L201" t="str">
        <f t="shared" si="25"/>
        <v>missing_section/right</v>
      </c>
      <c r="M201" t="str">
        <f t="shared" si="26"/>
        <v>inclined + standard_truss/other_truss</v>
      </c>
      <c r="N201" t="str">
        <f t="shared" si="24"/>
        <v>top_structure/bottom_structure/rock_structure + 2anc</v>
      </c>
      <c r="O201" t="s">
        <v>1685</v>
      </c>
      <c r="R201" t="s">
        <v>903</v>
      </c>
      <c r="S201" t="s">
        <v>292</v>
      </c>
      <c r="T201" t="s">
        <v>292</v>
      </c>
      <c r="U201" t="s">
        <v>292</v>
      </c>
      <c r="V201" t="s">
        <v>292</v>
      </c>
      <c r="W201" t="s">
        <v>293</v>
      </c>
      <c r="X201" t="str">
        <f t="shared" si="27"/>
        <v>road-</v>
      </c>
      <c r="Y201" t="str">
        <f t="shared" si="28"/>
        <v>reinforced_road-</v>
      </c>
      <c r="Z201" t="str">
        <f t="shared" si="29"/>
        <v>wood-</v>
      </c>
      <c r="AA201" t="str">
        <f t="shared" si="30"/>
        <v>steel</v>
      </c>
      <c r="AB201" t="str">
        <f t="shared" si="31"/>
        <v>road-reinforced_road-wood-steel</v>
      </c>
      <c r="AE201" t="s">
        <v>1685</v>
      </c>
    </row>
    <row r="202" spans="1:31" x14ac:dyDescent="0.3">
      <c r="A202" t="s">
        <v>43</v>
      </c>
      <c r="B202" t="s">
        <v>59</v>
      </c>
      <c r="C202" t="s">
        <v>29</v>
      </c>
      <c r="D202" t="s">
        <v>32</v>
      </c>
      <c r="E202" s="16" t="s">
        <v>273</v>
      </c>
      <c r="F202" s="16">
        <v>2</v>
      </c>
      <c r="G202" t="s">
        <v>1525</v>
      </c>
      <c r="H202" t="s">
        <v>282</v>
      </c>
      <c r="I202" t="s">
        <v>1566</v>
      </c>
      <c r="J202" t="s">
        <v>344</v>
      </c>
      <c r="L202" t="str">
        <f t="shared" si="25"/>
        <v>missing_section/right</v>
      </c>
      <c r="M202" t="str">
        <f t="shared" si="26"/>
        <v>arch + standard_truss</v>
      </c>
      <c r="N202" t="str">
        <f t="shared" si="24"/>
        <v>top_structure/bottom_structure/rock_structure + 2anc</v>
      </c>
      <c r="O202" t="s">
        <v>1685</v>
      </c>
      <c r="R202" t="s">
        <v>904</v>
      </c>
      <c r="S202" t="s">
        <v>292</v>
      </c>
      <c r="T202" t="s">
        <v>292</v>
      </c>
      <c r="U202" t="s">
        <v>292</v>
      </c>
      <c r="V202" t="s">
        <v>292</v>
      </c>
      <c r="W202" t="s">
        <v>293</v>
      </c>
      <c r="X202" t="str">
        <f t="shared" si="27"/>
        <v>road-</v>
      </c>
      <c r="Y202" t="str">
        <f t="shared" si="28"/>
        <v>reinforced_road-</v>
      </c>
      <c r="Z202" t="str">
        <f t="shared" si="29"/>
        <v>wood-</v>
      </c>
      <c r="AA202" t="str">
        <f t="shared" si="30"/>
        <v>steel</v>
      </c>
      <c r="AB202" t="str">
        <f t="shared" si="31"/>
        <v>road-reinforced_road-wood-steel</v>
      </c>
      <c r="AE202" t="s">
        <v>1685</v>
      </c>
    </row>
    <row r="203" spans="1:31" x14ac:dyDescent="0.3">
      <c r="A203" t="s">
        <v>43</v>
      </c>
      <c r="B203" t="s">
        <v>59</v>
      </c>
      <c r="C203" t="s">
        <v>29</v>
      </c>
      <c r="D203" t="s">
        <v>30</v>
      </c>
      <c r="E203" s="16" t="s">
        <v>273</v>
      </c>
      <c r="F203" s="16">
        <v>2</v>
      </c>
      <c r="G203" t="s">
        <v>1525</v>
      </c>
      <c r="H203" t="s">
        <v>282</v>
      </c>
      <c r="I203" t="s">
        <v>1566</v>
      </c>
      <c r="J203" t="s">
        <v>344</v>
      </c>
      <c r="L203" t="str">
        <f t="shared" si="25"/>
        <v>missing_section/right</v>
      </c>
      <c r="M203" t="str">
        <f t="shared" si="26"/>
        <v>arch + standard_truss</v>
      </c>
      <c r="N203" t="str">
        <f t="shared" si="24"/>
        <v>top_structure/bottom_structure/rock_structure + 2anc</v>
      </c>
      <c r="O203" t="s">
        <v>1684</v>
      </c>
      <c r="R203" t="s">
        <v>905</v>
      </c>
      <c r="S203" t="s">
        <v>292</v>
      </c>
      <c r="T203" t="s">
        <v>293</v>
      </c>
      <c r="U203" t="s">
        <v>292</v>
      </c>
      <c r="V203" t="s">
        <v>292</v>
      </c>
      <c r="W203" t="s">
        <v>293</v>
      </c>
      <c r="X203" t="str">
        <f t="shared" si="27"/>
        <v>road-</v>
      </c>
      <c r="Y203" t="str">
        <f t="shared" si="28"/>
        <v/>
      </c>
      <c r="Z203" t="str">
        <f t="shared" si="29"/>
        <v>wood-</v>
      </c>
      <c r="AA203" t="str">
        <f t="shared" si="30"/>
        <v>steel</v>
      </c>
      <c r="AB203" t="str">
        <f t="shared" si="31"/>
        <v>road-wood-steel</v>
      </c>
      <c r="AE203" t="s">
        <v>1684</v>
      </c>
    </row>
    <row r="204" spans="1:31" x14ac:dyDescent="0.3">
      <c r="A204" t="s">
        <v>43</v>
      </c>
      <c r="B204" t="s">
        <v>59</v>
      </c>
      <c r="C204" t="s">
        <v>29</v>
      </c>
      <c r="D204" t="s">
        <v>40</v>
      </c>
      <c r="E204" s="16" t="s">
        <v>273</v>
      </c>
      <c r="F204" s="16">
        <v>2</v>
      </c>
      <c r="G204" t="s">
        <v>1525</v>
      </c>
      <c r="H204" t="s">
        <v>283</v>
      </c>
      <c r="I204" t="s">
        <v>1568</v>
      </c>
      <c r="J204" t="s">
        <v>347</v>
      </c>
      <c r="L204" t="str">
        <f t="shared" si="25"/>
        <v>missing_section/right</v>
      </c>
      <c r="M204" t="str">
        <f t="shared" si="26"/>
        <v>inclined + other_truss</v>
      </c>
      <c r="N204" t="str">
        <f t="shared" si="24"/>
        <v>bottom_structure/rock_structure + 2anc</v>
      </c>
      <c r="O204" t="s">
        <v>1684</v>
      </c>
      <c r="R204" t="s">
        <v>906</v>
      </c>
      <c r="S204" t="s">
        <v>292</v>
      </c>
      <c r="T204" t="s">
        <v>293</v>
      </c>
      <c r="U204" t="s">
        <v>292</v>
      </c>
      <c r="V204" t="s">
        <v>292</v>
      </c>
      <c r="W204" t="s">
        <v>293</v>
      </c>
      <c r="X204" t="str">
        <f t="shared" si="27"/>
        <v>road-</v>
      </c>
      <c r="Y204" t="str">
        <f t="shared" si="28"/>
        <v/>
      </c>
      <c r="Z204" t="str">
        <f t="shared" si="29"/>
        <v>wood-</v>
      </c>
      <c r="AA204" t="str">
        <f t="shared" si="30"/>
        <v>steel</v>
      </c>
      <c r="AB204" t="str">
        <f t="shared" si="31"/>
        <v>road-wood-steel</v>
      </c>
      <c r="AE204" t="s">
        <v>1684</v>
      </c>
    </row>
    <row r="205" spans="1:31" x14ac:dyDescent="0.3">
      <c r="A205" t="s">
        <v>43</v>
      </c>
      <c r="B205" t="s">
        <v>59</v>
      </c>
      <c r="C205" t="s">
        <v>29</v>
      </c>
      <c r="D205" t="s">
        <v>38</v>
      </c>
      <c r="E205" s="16" t="s">
        <v>273</v>
      </c>
      <c r="F205" s="16">
        <v>2</v>
      </c>
      <c r="G205" t="s">
        <v>1525</v>
      </c>
      <c r="H205" t="s">
        <v>283</v>
      </c>
      <c r="I205" t="s">
        <v>1566</v>
      </c>
      <c r="J205" t="s">
        <v>1571</v>
      </c>
      <c r="L205" t="str">
        <f t="shared" si="25"/>
        <v>missing_section/right</v>
      </c>
      <c r="M205" t="str">
        <f t="shared" si="26"/>
        <v>inclined + standard_truss/other_truss</v>
      </c>
      <c r="N205" t="str">
        <f t="shared" si="24"/>
        <v>top_structure/bottom_structure/rock_structure + 2anc</v>
      </c>
      <c r="O205" t="s">
        <v>1685</v>
      </c>
      <c r="R205" t="s">
        <v>907</v>
      </c>
      <c r="S205" t="s">
        <v>292</v>
      </c>
      <c r="T205" t="s">
        <v>292</v>
      </c>
      <c r="U205" t="s">
        <v>292</v>
      </c>
      <c r="V205" t="s">
        <v>292</v>
      </c>
      <c r="W205" t="s">
        <v>293</v>
      </c>
      <c r="X205" t="str">
        <f t="shared" si="27"/>
        <v>road-</v>
      </c>
      <c r="Y205" t="str">
        <f t="shared" si="28"/>
        <v>reinforced_road-</v>
      </c>
      <c r="Z205" t="str">
        <f t="shared" si="29"/>
        <v>wood-</v>
      </c>
      <c r="AA205" t="str">
        <f t="shared" si="30"/>
        <v>steel</v>
      </c>
      <c r="AB205" t="str">
        <f t="shared" si="31"/>
        <v>road-reinforced_road-wood-steel</v>
      </c>
      <c r="AE205" t="s">
        <v>1685</v>
      </c>
    </row>
    <row r="206" spans="1:31" x14ac:dyDescent="0.3">
      <c r="A206" t="s">
        <v>43</v>
      </c>
      <c r="B206" t="s">
        <v>59</v>
      </c>
      <c r="C206" t="s">
        <v>29</v>
      </c>
      <c r="D206" t="s">
        <v>34</v>
      </c>
      <c r="E206" s="16" t="s">
        <v>273</v>
      </c>
      <c r="F206" s="16">
        <v>2</v>
      </c>
      <c r="G206" t="s">
        <v>1525</v>
      </c>
      <c r="H206" t="s">
        <v>273</v>
      </c>
      <c r="I206" t="s">
        <v>1568</v>
      </c>
      <c r="J206" t="s">
        <v>347</v>
      </c>
      <c r="L206" t="str">
        <f t="shared" si="25"/>
        <v>missing_section/right</v>
      </c>
      <c r="M206" t="str">
        <f t="shared" si="26"/>
        <v>ramp + other_truss</v>
      </c>
      <c r="N206" t="str">
        <f t="shared" si="24"/>
        <v>bottom_structure/rock_structure + 2anc</v>
      </c>
      <c r="O206" t="s">
        <v>1687</v>
      </c>
      <c r="R206" t="s">
        <v>908</v>
      </c>
      <c r="S206" t="s">
        <v>292</v>
      </c>
      <c r="T206" t="s">
        <v>293</v>
      </c>
      <c r="U206" t="s">
        <v>293</v>
      </c>
      <c r="V206" t="s">
        <v>292</v>
      </c>
      <c r="W206" t="s">
        <v>293</v>
      </c>
      <c r="X206" t="str">
        <f t="shared" si="27"/>
        <v>road-</v>
      </c>
      <c r="Y206" t="str">
        <f t="shared" si="28"/>
        <v/>
      </c>
      <c r="Z206" t="str">
        <f t="shared" si="29"/>
        <v/>
      </c>
      <c r="AA206" t="str">
        <f t="shared" si="30"/>
        <v>steel</v>
      </c>
      <c r="AB206" t="str">
        <f t="shared" si="31"/>
        <v>road-steel</v>
      </c>
      <c r="AE206" t="s">
        <v>1687</v>
      </c>
    </row>
    <row r="207" spans="1:31" x14ac:dyDescent="0.3">
      <c r="A207" t="s">
        <v>43</v>
      </c>
      <c r="B207" t="s">
        <v>59</v>
      </c>
      <c r="C207" t="s">
        <v>29</v>
      </c>
      <c r="D207" t="s">
        <v>36</v>
      </c>
      <c r="E207" s="16" t="s">
        <v>273</v>
      </c>
      <c r="F207" s="16">
        <v>2</v>
      </c>
      <c r="G207" t="s">
        <v>1525</v>
      </c>
      <c r="H207" t="s">
        <v>273</v>
      </c>
      <c r="I207" t="s">
        <v>1568</v>
      </c>
      <c r="J207" t="s">
        <v>347</v>
      </c>
      <c r="L207" t="str">
        <f t="shared" si="25"/>
        <v>missing_section/right</v>
      </c>
      <c r="M207" t="str">
        <f t="shared" si="26"/>
        <v>ramp + other_truss</v>
      </c>
      <c r="N207" t="str">
        <f t="shared" si="24"/>
        <v>bottom_structure/rock_structure + 2anc</v>
      </c>
      <c r="O207" t="s">
        <v>1685</v>
      </c>
      <c r="R207" t="s">
        <v>909</v>
      </c>
      <c r="S207" t="s">
        <v>292</v>
      </c>
      <c r="T207" t="s">
        <v>292</v>
      </c>
      <c r="U207" t="s">
        <v>292</v>
      </c>
      <c r="V207" t="s">
        <v>292</v>
      </c>
      <c r="W207" t="s">
        <v>293</v>
      </c>
      <c r="X207" t="str">
        <f t="shared" si="27"/>
        <v>road-</v>
      </c>
      <c r="Y207" t="str">
        <f t="shared" si="28"/>
        <v>reinforced_road-</v>
      </c>
      <c r="Z207" t="str">
        <f t="shared" si="29"/>
        <v>wood-</v>
      </c>
      <c r="AA207" t="str">
        <f t="shared" si="30"/>
        <v>steel</v>
      </c>
      <c r="AB207" t="str">
        <f t="shared" si="31"/>
        <v>road-reinforced_road-wood-steel</v>
      </c>
      <c r="AE207" t="s">
        <v>1685</v>
      </c>
    </row>
    <row r="208" spans="1:31" x14ac:dyDescent="0.3">
      <c r="A208" t="s">
        <v>43</v>
      </c>
      <c r="B208" t="s">
        <v>59</v>
      </c>
      <c r="C208" t="s">
        <v>29</v>
      </c>
      <c r="D208" t="s">
        <v>33</v>
      </c>
      <c r="E208" s="16" t="s">
        <v>273</v>
      </c>
      <c r="F208" s="16">
        <v>2</v>
      </c>
      <c r="G208" t="s">
        <v>1525</v>
      </c>
      <c r="H208" t="s">
        <v>282</v>
      </c>
      <c r="I208" t="s">
        <v>1568</v>
      </c>
      <c r="J208" t="s">
        <v>347</v>
      </c>
      <c r="L208" t="str">
        <f t="shared" si="25"/>
        <v>missing_section/right</v>
      </c>
      <c r="M208" t="str">
        <f t="shared" si="26"/>
        <v>arch + other_truss</v>
      </c>
      <c r="N208" t="str">
        <f t="shared" si="24"/>
        <v>bottom_structure/rock_structure + 2anc</v>
      </c>
      <c r="O208" t="s">
        <v>1687</v>
      </c>
      <c r="R208" t="s">
        <v>910</v>
      </c>
      <c r="S208" t="s">
        <v>292</v>
      </c>
      <c r="T208" t="s">
        <v>293</v>
      </c>
      <c r="U208" t="s">
        <v>293</v>
      </c>
      <c r="V208" t="s">
        <v>292</v>
      </c>
      <c r="W208" t="s">
        <v>293</v>
      </c>
      <c r="X208" t="str">
        <f t="shared" si="27"/>
        <v>road-</v>
      </c>
      <c r="Y208" t="str">
        <f t="shared" si="28"/>
        <v/>
      </c>
      <c r="Z208" t="str">
        <f t="shared" si="29"/>
        <v/>
      </c>
      <c r="AA208" t="str">
        <f t="shared" si="30"/>
        <v>steel</v>
      </c>
      <c r="AB208" t="str">
        <f t="shared" si="31"/>
        <v>road-steel</v>
      </c>
      <c r="AE208" t="s">
        <v>1687</v>
      </c>
    </row>
    <row r="209" spans="1:31" x14ac:dyDescent="0.3">
      <c r="A209" t="s">
        <v>43</v>
      </c>
      <c r="B209" t="s">
        <v>59</v>
      </c>
      <c r="C209" t="s">
        <v>29</v>
      </c>
      <c r="D209" t="s">
        <v>26</v>
      </c>
      <c r="E209" s="16" t="s">
        <v>272</v>
      </c>
      <c r="F209" s="16">
        <v>2</v>
      </c>
      <c r="G209" t="s">
        <v>1524</v>
      </c>
      <c r="H209" t="s">
        <v>282</v>
      </c>
      <c r="I209" t="s">
        <v>1654</v>
      </c>
      <c r="J209" t="s">
        <v>291</v>
      </c>
      <c r="L209" t="str">
        <f t="shared" si="25"/>
        <v>continuous/fully_connected</v>
      </c>
      <c r="M209" t="str">
        <f t="shared" si="26"/>
        <v>arch + other</v>
      </c>
      <c r="N209" t="str">
        <f t="shared" si="24"/>
        <v>top_structure/bottom_structure + 2anc</v>
      </c>
      <c r="O209" t="s">
        <v>1692</v>
      </c>
      <c r="R209" t="s">
        <v>911</v>
      </c>
      <c r="S209" t="s">
        <v>292</v>
      </c>
      <c r="T209" t="s">
        <v>293</v>
      </c>
      <c r="U209" t="s">
        <v>292</v>
      </c>
      <c r="V209" t="s">
        <v>293</v>
      </c>
      <c r="W209" t="s">
        <v>293</v>
      </c>
      <c r="X209" t="str">
        <f t="shared" si="27"/>
        <v>road-</v>
      </c>
      <c r="Y209" t="str">
        <f t="shared" si="28"/>
        <v/>
      </c>
      <c r="Z209" t="str">
        <f t="shared" si="29"/>
        <v>wood-</v>
      </c>
      <c r="AA209" t="str">
        <f t="shared" si="30"/>
        <v/>
      </c>
      <c r="AB209" t="str">
        <f t="shared" si="31"/>
        <v>road-wood-</v>
      </c>
      <c r="AE209" t="s">
        <v>1692</v>
      </c>
    </row>
    <row r="210" spans="1:31" x14ac:dyDescent="0.3">
      <c r="A210" t="s">
        <v>43</v>
      </c>
      <c r="B210" t="s">
        <v>59</v>
      </c>
      <c r="C210" t="s">
        <v>29</v>
      </c>
      <c r="D210" t="s">
        <v>31</v>
      </c>
      <c r="E210" s="16" t="s">
        <v>273</v>
      </c>
      <c r="F210" s="16">
        <v>2</v>
      </c>
      <c r="G210" t="s">
        <v>1525</v>
      </c>
      <c r="H210" t="s">
        <v>282</v>
      </c>
      <c r="I210" t="s">
        <v>1566</v>
      </c>
      <c r="J210" t="s">
        <v>344</v>
      </c>
      <c r="L210" t="str">
        <f t="shared" si="25"/>
        <v>missing_section/right</v>
      </c>
      <c r="M210" t="str">
        <f t="shared" si="26"/>
        <v>arch + standard_truss</v>
      </c>
      <c r="N210" t="str">
        <f t="shared" si="24"/>
        <v>top_structure/bottom_structure/rock_structure + 2anc</v>
      </c>
      <c r="O210" t="s">
        <v>1685</v>
      </c>
      <c r="R210" t="s">
        <v>912</v>
      </c>
      <c r="S210" t="s">
        <v>292</v>
      </c>
      <c r="T210" t="s">
        <v>292</v>
      </c>
      <c r="U210" t="s">
        <v>292</v>
      </c>
      <c r="V210" t="s">
        <v>292</v>
      </c>
      <c r="W210" t="s">
        <v>293</v>
      </c>
      <c r="X210" t="str">
        <f t="shared" si="27"/>
        <v>road-</v>
      </c>
      <c r="Y210" t="str">
        <f t="shared" si="28"/>
        <v>reinforced_road-</v>
      </c>
      <c r="Z210" t="str">
        <f t="shared" si="29"/>
        <v>wood-</v>
      </c>
      <c r="AA210" t="str">
        <f t="shared" si="30"/>
        <v>steel</v>
      </c>
      <c r="AB210" t="str">
        <f t="shared" si="31"/>
        <v>road-reinforced_road-wood-steel</v>
      </c>
      <c r="AE210" t="s">
        <v>1685</v>
      </c>
    </row>
    <row r="211" spans="1:31" x14ac:dyDescent="0.3">
      <c r="A211" t="s">
        <v>43</v>
      </c>
      <c r="B211" t="s">
        <v>59</v>
      </c>
      <c r="C211" t="s">
        <v>29</v>
      </c>
      <c r="D211" t="s">
        <v>27</v>
      </c>
      <c r="E211" s="16" t="s">
        <v>272</v>
      </c>
      <c r="F211" s="16">
        <v>2</v>
      </c>
      <c r="G211" t="s">
        <v>1524</v>
      </c>
      <c r="H211" t="s">
        <v>282</v>
      </c>
      <c r="I211" t="s">
        <v>1654</v>
      </c>
      <c r="J211" t="s">
        <v>291</v>
      </c>
      <c r="L211" t="str">
        <f t="shared" si="25"/>
        <v>continuous/fully_connected</v>
      </c>
      <c r="M211" t="str">
        <f t="shared" si="26"/>
        <v>arch + other</v>
      </c>
      <c r="N211" t="str">
        <f t="shared" si="24"/>
        <v>top_structure/bottom_structure + 2anc</v>
      </c>
      <c r="O211" t="s">
        <v>1692</v>
      </c>
      <c r="R211" t="s">
        <v>913</v>
      </c>
      <c r="S211" t="s">
        <v>292</v>
      </c>
      <c r="T211" t="s">
        <v>293</v>
      </c>
      <c r="U211" t="s">
        <v>292</v>
      </c>
      <c r="V211" t="s">
        <v>293</v>
      </c>
      <c r="W211" t="s">
        <v>293</v>
      </c>
      <c r="X211" t="str">
        <f t="shared" si="27"/>
        <v>road-</v>
      </c>
      <c r="Y211" t="str">
        <f t="shared" si="28"/>
        <v/>
      </c>
      <c r="Z211" t="str">
        <f t="shared" si="29"/>
        <v>wood-</v>
      </c>
      <c r="AA211" t="str">
        <f t="shared" si="30"/>
        <v/>
      </c>
      <c r="AB211" t="str">
        <f t="shared" si="31"/>
        <v>road-wood-</v>
      </c>
      <c r="AE211" t="s">
        <v>1692</v>
      </c>
    </row>
    <row r="212" spans="1:31" x14ac:dyDescent="0.3">
      <c r="A212" t="s">
        <v>43</v>
      </c>
      <c r="B212" t="s">
        <v>59</v>
      </c>
      <c r="C212" t="s">
        <v>29</v>
      </c>
      <c r="D212" t="s">
        <v>28</v>
      </c>
      <c r="E212" s="16" t="s">
        <v>272</v>
      </c>
      <c r="F212" s="16">
        <v>2</v>
      </c>
      <c r="G212" t="s">
        <v>1524</v>
      </c>
      <c r="H212" t="s">
        <v>282</v>
      </c>
      <c r="I212" t="s">
        <v>1654</v>
      </c>
      <c r="J212" t="s">
        <v>1570</v>
      </c>
      <c r="L212" t="str">
        <f t="shared" si="25"/>
        <v>continuous/fully_connected</v>
      </c>
      <c r="M212" t="str">
        <f t="shared" si="26"/>
        <v>arch + standard_truss/other</v>
      </c>
      <c r="N212" t="str">
        <f t="shared" si="24"/>
        <v>top_structure/bottom_structure + 2anc</v>
      </c>
      <c r="O212" t="s">
        <v>1690</v>
      </c>
      <c r="R212" t="s">
        <v>914</v>
      </c>
      <c r="S212" t="s">
        <v>292</v>
      </c>
      <c r="T212" t="s">
        <v>292</v>
      </c>
      <c r="U212" t="s">
        <v>292</v>
      </c>
      <c r="V212" t="s">
        <v>293</v>
      </c>
      <c r="W212" t="s">
        <v>293</v>
      </c>
      <c r="X212" t="str">
        <f t="shared" si="27"/>
        <v>road-</v>
      </c>
      <c r="Y212" t="str">
        <f t="shared" si="28"/>
        <v>reinforced_road-</v>
      </c>
      <c r="Z212" t="str">
        <f t="shared" si="29"/>
        <v>wood-</v>
      </c>
      <c r="AA212" t="str">
        <f t="shared" si="30"/>
        <v/>
      </c>
      <c r="AB212" t="str">
        <f t="shared" si="31"/>
        <v>road-reinforced_road-wood-</v>
      </c>
      <c r="AE212" t="s">
        <v>1690</v>
      </c>
    </row>
    <row r="213" spans="1:31" x14ac:dyDescent="0.3">
      <c r="A213" t="s">
        <v>43</v>
      </c>
      <c r="B213" t="s">
        <v>59</v>
      </c>
      <c r="C213" t="s">
        <v>29</v>
      </c>
      <c r="D213" t="s">
        <v>35</v>
      </c>
      <c r="E213" s="16" t="s">
        <v>273</v>
      </c>
      <c r="F213" s="16">
        <v>2</v>
      </c>
      <c r="G213" t="s">
        <v>1525</v>
      </c>
      <c r="H213" t="s">
        <v>283</v>
      </c>
      <c r="I213" t="s">
        <v>1568</v>
      </c>
      <c r="J213" t="s">
        <v>347</v>
      </c>
      <c r="L213" t="str">
        <f t="shared" si="25"/>
        <v>missing_section/right</v>
      </c>
      <c r="M213" t="str">
        <f t="shared" si="26"/>
        <v>inclined + other_truss</v>
      </c>
      <c r="N213" t="str">
        <f t="shared" si="24"/>
        <v>bottom_structure/rock_structure + 2anc</v>
      </c>
      <c r="O213" t="s">
        <v>1687</v>
      </c>
      <c r="R213" t="s">
        <v>915</v>
      </c>
      <c r="S213" t="s">
        <v>292</v>
      </c>
      <c r="T213" t="s">
        <v>293</v>
      </c>
      <c r="U213" t="s">
        <v>293</v>
      </c>
      <c r="V213" t="s">
        <v>292</v>
      </c>
      <c r="W213" t="s">
        <v>293</v>
      </c>
      <c r="X213" t="str">
        <f t="shared" si="27"/>
        <v>road-</v>
      </c>
      <c r="Y213" t="str">
        <f t="shared" si="28"/>
        <v/>
      </c>
      <c r="Z213" t="str">
        <f t="shared" si="29"/>
        <v/>
      </c>
      <c r="AA213" t="str">
        <f t="shared" si="30"/>
        <v>steel</v>
      </c>
      <c r="AB213" t="str">
        <f t="shared" si="31"/>
        <v>road-steel</v>
      </c>
      <c r="AE213" t="s">
        <v>1687</v>
      </c>
    </row>
    <row r="214" spans="1:31" x14ac:dyDescent="0.3">
      <c r="A214" t="s">
        <v>43</v>
      </c>
      <c r="B214" t="s">
        <v>49</v>
      </c>
      <c r="C214" t="s">
        <v>12</v>
      </c>
      <c r="D214" t="s">
        <v>15</v>
      </c>
      <c r="E214" s="16" t="s">
        <v>272</v>
      </c>
      <c r="F214" s="16">
        <v>3</v>
      </c>
      <c r="G214" t="s">
        <v>1524</v>
      </c>
      <c r="H214" t="s">
        <v>1546</v>
      </c>
      <c r="I214" t="s">
        <v>1567</v>
      </c>
      <c r="J214" t="s">
        <v>291</v>
      </c>
      <c r="L214" t="str">
        <f t="shared" si="25"/>
        <v>continuous/fully_connected</v>
      </c>
      <c r="M214" t="str">
        <f t="shared" si="26"/>
        <v>inclined/straight + other</v>
      </c>
      <c r="N214" t="str">
        <f t="shared" si="24"/>
        <v>top_structure/rock_structure + 3anc</v>
      </c>
      <c r="O214" t="s">
        <v>1686</v>
      </c>
      <c r="R214" t="s">
        <v>916</v>
      </c>
      <c r="S214" t="s">
        <v>293</v>
      </c>
      <c r="T214" t="s">
        <v>292</v>
      </c>
      <c r="U214" t="s">
        <v>292</v>
      </c>
      <c r="V214" t="s">
        <v>292</v>
      </c>
      <c r="W214" t="s">
        <v>293</v>
      </c>
      <c r="X214" t="str">
        <f t="shared" si="27"/>
        <v/>
      </c>
      <c r="Y214" t="str">
        <f t="shared" si="28"/>
        <v>reinforced_road-</v>
      </c>
      <c r="Z214" t="str">
        <f t="shared" si="29"/>
        <v>wood-</v>
      </c>
      <c r="AA214" t="str">
        <f t="shared" si="30"/>
        <v>steel</v>
      </c>
      <c r="AB214" t="str">
        <f t="shared" si="31"/>
        <v>reinforced_road-wood-steel</v>
      </c>
      <c r="AE214" t="s">
        <v>1686</v>
      </c>
    </row>
    <row r="215" spans="1:31" x14ac:dyDescent="0.3">
      <c r="A215" t="s">
        <v>43</v>
      </c>
      <c r="B215" t="s">
        <v>49</v>
      </c>
      <c r="C215" t="s">
        <v>12</v>
      </c>
      <c r="D215" t="s">
        <v>14</v>
      </c>
      <c r="E215" s="16" t="s">
        <v>272</v>
      </c>
      <c r="F215" s="16">
        <v>3</v>
      </c>
      <c r="G215" t="s">
        <v>1524</v>
      </c>
      <c r="H215" t="s">
        <v>1547</v>
      </c>
      <c r="I215" t="s">
        <v>343</v>
      </c>
      <c r="J215" t="s">
        <v>291</v>
      </c>
      <c r="L215" t="str">
        <f t="shared" si="25"/>
        <v>continuous/fully_connected</v>
      </c>
      <c r="M215" t="str">
        <f t="shared" si="26"/>
        <v>inclined/straight/declined + other</v>
      </c>
      <c r="N215" t="str">
        <f t="shared" si="24"/>
        <v>rock_structure + 3anc</v>
      </c>
      <c r="O215" t="s">
        <v>1688</v>
      </c>
      <c r="R215" t="s">
        <v>917</v>
      </c>
      <c r="S215" t="s">
        <v>293</v>
      </c>
      <c r="T215" t="s">
        <v>292</v>
      </c>
      <c r="U215" t="s">
        <v>293</v>
      </c>
      <c r="V215" t="s">
        <v>292</v>
      </c>
      <c r="W215" t="s">
        <v>293</v>
      </c>
      <c r="X215" t="str">
        <f t="shared" si="27"/>
        <v/>
      </c>
      <c r="Y215" t="str">
        <f t="shared" si="28"/>
        <v>reinforced_road-</v>
      </c>
      <c r="Z215" t="str">
        <f t="shared" si="29"/>
        <v/>
      </c>
      <c r="AA215" t="str">
        <f t="shared" si="30"/>
        <v>steel</v>
      </c>
      <c r="AB215" t="str">
        <f t="shared" si="31"/>
        <v>reinforced_road-steel</v>
      </c>
      <c r="AE215" t="s">
        <v>1688</v>
      </c>
    </row>
    <row r="216" spans="1:31" x14ac:dyDescent="0.3">
      <c r="A216" t="s">
        <v>43</v>
      </c>
      <c r="B216" t="s">
        <v>49</v>
      </c>
      <c r="C216" t="s">
        <v>12</v>
      </c>
      <c r="D216" t="s">
        <v>11</v>
      </c>
      <c r="E216" s="16" t="s">
        <v>272</v>
      </c>
      <c r="F216" s="16">
        <v>3</v>
      </c>
      <c r="G216" t="s">
        <v>1524</v>
      </c>
      <c r="H216" t="s">
        <v>282</v>
      </c>
      <c r="I216" t="s">
        <v>343</v>
      </c>
      <c r="J216" t="s">
        <v>291</v>
      </c>
      <c r="L216" t="str">
        <f t="shared" si="25"/>
        <v>continuous/fully_connected</v>
      </c>
      <c r="M216" t="str">
        <f t="shared" si="26"/>
        <v>arch + other</v>
      </c>
      <c r="N216" t="str">
        <f t="shared" si="24"/>
        <v>rock_structure + 3anc</v>
      </c>
      <c r="O216" t="s">
        <v>1688</v>
      </c>
      <c r="R216" t="s">
        <v>918</v>
      </c>
      <c r="S216" t="s">
        <v>293</v>
      </c>
      <c r="T216" t="s">
        <v>292</v>
      </c>
      <c r="U216" t="s">
        <v>293</v>
      </c>
      <c r="V216" t="s">
        <v>292</v>
      </c>
      <c r="W216" t="s">
        <v>293</v>
      </c>
      <c r="X216" t="str">
        <f t="shared" si="27"/>
        <v/>
      </c>
      <c r="Y216" t="str">
        <f t="shared" si="28"/>
        <v>reinforced_road-</v>
      </c>
      <c r="Z216" t="str">
        <f t="shared" si="29"/>
        <v/>
      </c>
      <c r="AA216" t="str">
        <f t="shared" si="30"/>
        <v>steel</v>
      </c>
      <c r="AB216" t="str">
        <f t="shared" si="31"/>
        <v>reinforced_road-steel</v>
      </c>
      <c r="AE216" t="s">
        <v>1688</v>
      </c>
    </row>
    <row r="217" spans="1:31" x14ac:dyDescent="0.3">
      <c r="A217" t="s">
        <v>43</v>
      </c>
      <c r="B217" t="s">
        <v>49</v>
      </c>
      <c r="C217" t="s">
        <v>12</v>
      </c>
      <c r="D217" t="s">
        <v>19</v>
      </c>
      <c r="E217" s="16" t="s">
        <v>272</v>
      </c>
      <c r="F217" s="16">
        <v>3</v>
      </c>
      <c r="G217" t="s">
        <v>1524</v>
      </c>
      <c r="H217" t="s">
        <v>1547</v>
      </c>
      <c r="I217" t="s">
        <v>1567</v>
      </c>
      <c r="J217" t="s">
        <v>1572</v>
      </c>
      <c r="L217" t="str">
        <f t="shared" si="25"/>
        <v>continuous/fully_connected</v>
      </c>
      <c r="M217" t="str">
        <f t="shared" si="26"/>
        <v>inclined/straight/declined + arch_truss/other</v>
      </c>
      <c r="N217" t="str">
        <f t="shared" si="24"/>
        <v>top_structure/rock_structure + 3anc</v>
      </c>
      <c r="O217" t="s">
        <v>1685</v>
      </c>
      <c r="R217" t="s">
        <v>919</v>
      </c>
      <c r="S217" t="s">
        <v>292</v>
      </c>
      <c r="T217" t="s">
        <v>292</v>
      </c>
      <c r="U217" t="s">
        <v>292</v>
      </c>
      <c r="V217" t="s">
        <v>292</v>
      </c>
      <c r="W217" t="s">
        <v>293</v>
      </c>
      <c r="X217" t="str">
        <f t="shared" si="27"/>
        <v>road-</v>
      </c>
      <c r="Y217" t="str">
        <f t="shared" si="28"/>
        <v>reinforced_road-</v>
      </c>
      <c r="Z217" t="str">
        <f t="shared" si="29"/>
        <v>wood-</v>
      </c>
      <c r="AA217" t="str">
        <f t="shared" si="30"/>
        <v>steel</v>
      </c>
      <c r="AB217" t="str">
        <f t="shared" si="31"/>
        <v>road-reinforced_road-wood-steel</v>
      </c>
      <c r="AE217" t="s">
        <v>1685</v>
      </c>
    </row>
    <row r="218" spans="1:31" x14ac:dyDescent="0.3">
      <c r="A218" t="s">
        <v>43</v>
      </c>
      <c r="B218" t="s">
        <v>49</v>
      </c>
      <c r="C218" t="s">
        <v>12</v>
      </c>
      <c r="D218" t="s">
        <v>17</v>
      </c>
      <c r="E218" s="16" t="s">
        <v>272</v>
      </c>
      <c r="F218" s="16">
        <v>3</v>
      </c>
      <c r="G218" t="s">
        <v>1524</v>
      </c>
      <c r="H218" t="s">
        <v>1547</v>
      </c>
      <c r="I218" t="s">
        <v>1567</v>
      </c>
      <c r="J218" t="s">
        <v>1572</v>
      </c>
      <c r="L218" t="str">
        <f t="shared" si="25"/>
        <v>continuous/fully_connected</v>
      </c>
      <c r="M218" t="str">
        <f t="shared" si="26"/>
        <v>inclined/straight/declined + arch_truss/other</v>
      </c>
      <c r="N218" t="str">
        <f t="shared" si="24"/>
        <v>top_structure/rock_structure + 3anc</v>
      </c>
      <c r="O218" t="s">
        <v>1685</v>
      </c>
      <c r="R218" t="s">
        <v>920</v>
      </c>
      <c r="S218" t="s">
        <v>292</v>
      </c>
      <c r="T218" t="s">
        <v>292</v>
      </c>
      <c r="U218" t="s">
        <v>292</v>
      </c>
      <c r="V218" t="s">
        <v>292</v>
      </c>
      <c r="W218" t="s">
        <v>293</v>
      </c>
      <c r="X218" t="str">
        <f t="shared" si="27"/>
        <v>road-</v>
      </c>
      <c r="Y218" t="str">
        <f t="shared" si="28"/>
        <v>reinforced_road-</v>
      </c>
      <c r="Z218" t="str">
        <f t="shared" si="29"/>
        <v>wood-</v>
      </c>
      <c r="AA218" t="str">
        <f t="shared" si="30"/>
        <v>steel</v>
      </c>
      <c r="AB218" t="str">
        <f t="shared" si="31"/>
        <v>road-reinforced_road-wood-steel</v>
      </c>
      <c r="AE218" t="s">
        <v>1685</v>
      </c>
    </row>
    <row r="219" spans="1:31" x14ac:dyDescent="0.3">
      <c r="A219" t="s">
        <v>43</v>
      </c>
      <c r="B219" t="s">
        <v>49</v>
      </c>
      <c r="C219" t="s">
        <v>12</v>
      </c>
      <c r="D219" t="s">
        <v>16</v>
      </c>
      <c r="E219" s="16" t="s">
        <v>272</v>
      </c>
      <c r="F219" s="16">
        <v>2</v>
      </c>
      <c r="G219" t="s">
        <v>1525</v>
      </c>
      <c r="H219" t="s">
        <v>1547</v>
      </c>
      <c r="I219" t="s">
        <v>1567</v>
      </c>
      <c r="J219" t="s">
        <v>1572</v>
      </c>
      <c r="L219" t="str">
        <f t="shared" si="25"/>
        <v>missing_section/right</v>
      </c>
      <c r="M219" t="str">
        <f t="shared" si="26"/>
        <v>inclined/straight/declined + arch_truss/other</v>
      </c>
      <c r="N219" t="str">
        <f t="shared" si="24"/>
        <v>top_structure/rock_structure + 2anc</v>
      </c>
      <c r="O219" t="s">
        <v>1686</v>
      </c>
      <c r="R219" t="s">
        <v>921</v>
      </c>
      <c r="S219" t="s">
        <v>293</v>
      </c>
      <c r="T219" t="s">
        <v>292</v>
      </c>
      <c r="U219" t="s">
        <v>292</v>
      </c>
      <c r="V219" t="s">
        <v>292</v>
      </c>
      <c r="W219" t="s">
        <v>293</v>
      </c>
      <c r="X219" t="str">
        <f t="shared" si="27"/>
        <v/>
      </c>
      <c r="Y219" t="str">
        <f t="shared" si="28"/>
        <v>reinforced_road-</v>
      </c>
      <c r="Z219" t="str">
        <f t="shared" si="29"/>
        <v>wood-</v>
      </c>
      <c r="AA219" t="str">
        <f t="shared" si="30"/>
        <v>steel</v>
      </c>
      <c r="AB219" t="str">
        <f t="shared" si="31"/>
        <v>reinforced_road-wood-steel</v>
      </c>
      <c r="AE219" t="s">
        <v>1686</v>
      </c>
    </row>
    <row r="220" spans="1:31" x14ac:dyDescent="0.3">
      <c r="A220" t="s">
        <v>43</v>
      </c>
      <c r="B220" t="s">
        <v>49</v>
      </c>
      <c r="C220" t="s">
        <v>12</v>
      </c>
      <c r="D220" t="s">
        <v>20</v>
      </c>
      <c r="E220" s="16" t="s">
        <v>272</v>
      </c>
      <c r="F220" s="16">
        <v>3</v>
      </c>
      <c r="G220" t="s">
        <v>1524</v>
      </c>
      <c r="H220" t="s">
        <v>1547</v>
      </c>
      <c r="I220" t="s">
        <v>1567</v>
      </c>
      <c r="J220" t="s">
        <v>1572</v>
      </c>
      <c r="L220" t="str">
        <f t="shared" si="25"/>
        <v>continuous/fully_connected</v>
      </c>
      <c r="M220" t="str">
        <f t="shared" si="26"/>
        <v>inclined/straight/declined + arch_truss/other</v>
      </c>
      <c r="N220" t="str">
        <f t="shared" si="24"/>
        <v>top_structure/rock_structure + 3anc</v>
      </c>
      <c r="O220" t="s">
        <v>1685</v>
      </c>
      <c r="R220" t="s">
        <v>922</v>
      </c>
      <c r="S220" t="s">
        <v>292</v>
      </c>
      <c r="T220" t="s">
        <v>292</v>
      </c>
      <c r="U220" t="s">
        <v>292</v>
      </c>
      <c r="V220" t="s">
        <v>292</v>
      </c>
      <c r="W220" t="s">
        <v>293</v>
      </c>
      <c r="X220" t="str">
        <f t="shared" si="27"/>
        <v>road-</v>
      </c>
      <c r="Y220" t="str">
        <f t="shared" si="28"/>
        <v>reinforced_road-</v>
      </c>
      <c r="Z220" t="str">
        <f t="shared" si="29"/>
        <v>wood-</v>
      </c>
      <c r="AA220" t="str">
        <f t="shared" si="30"/>
        <v>steel</v>
      </c>
      <c r="AB220" t="str">
        <f t="shared" si="31"/>
        <v>road-reinforced_road-wood-steel</v>
      </c>
      <c r="AE220" t="s">
        <v>1685</v>
      </c>
    </row>
    <row r="221" spans="1:31" x14ac:dyDescent="0.3">
      <c r="A221" t="s">
        <v>43</v>
      </c>
      <c r="B221" t="s">
        <v>49</v>
      </c>
      <c r="C221" t="s">
        <v>29</v>
      </c>
      <c r="D221" t="s">
        <v>23</v>
      </c>
      <c r="E221" s="16" t="s">
        <v>272</v>
      </c>
      <c r="F221" s="16">
        <v>3</v>
      </c>
      <c r="G221" t="s">
        <v>1524</v>
      </c>
      <c r="H221" t="s">
        <v>1547</v>
      </c>
      <c r="I221" t="s">
        <v>1567</v>
      </c>
      <c r="J221" t="s">
        <v>344</v>
      </c>
      <c r="L221" t="str">
        <f t="shared" si="25"/>
        <v>continuous/fully_connected</v>
      </c>
      <c r="M221" t="str">
        <f t="shared" si="26"/>
        <v>inclined/straight/declined + standard_truss</v>
      </c>
      <c r="N221" t="str">
        <f t="shared" si="24"/>
        <v>top_structure/rock_structure + 3anc</v>
      </c>
      <c r="O221" t="s">
        <v>1685</v>
      </c>
      <c r="R221" t="s">
        <v>923</v>
      </c>
      <c r="S221" t="s">
        <v>292</v>
      </c>
      <c r="T221" t="s">
        <v>292</v>
      </c>
      <c r="U221" t="s">
        <v>292</v>
      </c>
      <c r="V221" t="s">
        <v>292</v>
      </c>
      <c r="W221" t="s">
        <v>293</v>
      </c>
      <c r="X221" t="str">
        <f t="shared" si="27"/>
        <v>road-</v>
      </c>
      <c r="Y221" t="str">
        <f t="shared" si="28"/>
        <v>reinforced_road-</v>
      </c>
      <c r="Z221" t="str">
        <f t="shared" si="29"/>
        <v>wood-</v>
      </c>
      <c r="AA221" t="str">
        <f t="shared" si="30"/>
        <v>steel</v>
      </c>
      <c r="AB221" t="str">
        <f t="shared" si="31"/>
        <v>road-reinforced_road-wood-steel</v>
      </c>
      <c r="AE221" t="s">
        <v>1685</v>
      </c>
    </row>
    <row r="222" spans="1:31" x14ac:dyDescent="0.3">
      <c r="A222" t="s">
        <v>43</v>
      </c>
      <c r="B222" t="s">
        <v>49</v>
      </c>
      <c r="C222" t="s">
        <v>29</v>
      </c>
      <c r="D222" t="s">
        <v>25</v>
      </c>
      <c r="E222" s="16" t="s">
        <v>272</v>
      </c>
      <c r="F222" s="16">
        <v>3</v>
      </c>
      <c r="G222" t="s">
        <v>1524</v>
      </c>
      <c r="H222" t="s">
        <v>1547</v>
      </c>
      <c r="I222" t="s">
        <v>1567</v>
      </c>
      <c r="J222" t="s">
        <v>344</v>
      </c>
      <c r="L222" t="str">
        <f t="shared" si="25"/>
        <v>continuous/fully_connected</v>
      </c>
      <c r="M222" t="str">
        <f t="shared" si="26"/>
        <v>inclined/straight/declined + standard_truss</v>
      </c>
      <c r="N222" t="str">
        <f t="shared" si="24"/>
        <v>top_structure/rock_structure + 3anc</v>
      </c>
      <c r="O222" t="s">
        <v>1685</v>
      </c>
      <c r="R222" t="s">
        <v>924</v>
      </c>
      <c r="S222" t="s">
        <v>292</v>
      </c>
      <c r="T222" t="s">
        <v>292</v>
      </c>
      <c r="U222" t="s">
        <v>292</v>
      </c>
      <c r="V222" t="s">
        <v>292</v>
      </c>
      <c r="W222" t="s">
        <v>293</v>
      </c>
      <c r="X222" t="str">
        <f t="shared" si="27"/>
        <v>road-</v>
      </c>
      <c r="Y222" t="str">
        <f t="shared" si="28"/>
        <v>reinforced_road-</v>
      </c>
      <c r="Z222" t="str">
        <f t="shared" si="29"/>
        <v>wood-</v>
      </c>
      <c r="AA222" t="str">
        <f t="shared" si="30"/>
        <v>steel</v>
      </c>
      <c r="AB222" t="str">
        <f t="shared" si="31"/>
        <v>road-reinforced_road-wood-steel</v>
      </c>
      <c r="AE222" t="s">
        <v>1685</v>
      </c>
    </row>
    <row r="223" spans="1:31" x14ac:dyDescent="0.3">
      <c r="A223" t="s">
        <v>43</v>
      </c>
      <c r="B223" t="s">
        <v>49</v>
      </c>
      <c r="C223" t="s">
        <v>29</v>
      </c>
      <c r="D223" t="s">
        <v>24</v>
      </c>
      <c r="E223" s="16" t="s">
        <v>272</v>
      </c>
      <c r="F223" s="16">
        <v>3</v>
      </c>
      <c r="G223" t="s">
        <v>1524</v>
      </c>
      <c r="H223" t="s">
        <v>1547</v>
      </c>
      <c r="I223" t="s">
        <v>1567</v>
      </c>
      <c r="J223" t="s">
        <v>344</v>
      </c>
      <c r="L223" t="str">
        <f t="shared" si="25"/>
        <v>continuous/fully_connected</v>
      </c>
      <c r="M223" t="str">
        <f t="shared" si="26"/>
        <v>inclined/straight/declined + standard_truss</v>
      </c>
      <c r="N223" t="str">
        <f t="shared" si="24"/>
        <v>top_structure/rock_structure + 3anc</v>
      </c>
      <c r="O223" t="s">
        <v>1685</v>
      </c>
      <c r="R223" t="s">
        <v>925</v>
      </c>
      <c r="S223" t="s">
        <v>292</v>
      </c>
      <c r="T223" t="s">
        <v>292</v>
      </c>
      <c r="U223" t="s">
        <v>292</v>
      </c>
      <c r="V223" t="s">
        <v>292</v>
      </c>
      <c r="W223" t="s">
        <v>293</v>
      </c>
      <c r="X223" t="str">
        <f t="shared" si="27"/>
        <v>road-</v>
      </c>
      <c r="Y223" t="str">
        <f t="shared" si="28"/>
        <v>reinforced_road-</v>
      </c>
      <c r="Z223" t="str">
        <f t="shared" si="29"/>
        <v>wood-</v>
      </c>
      <c r="AA223" t="str">
        <f t="shared" si="30"/>
        <v>steel</v>
      </c>
      <c r="AB223" t="str">
        <f t="shared" si="31"/>
        <v>road-reinforced_road-wood-steel</v>
      </c>
      <c r="AE223" t="s">
        <v>1685</v>
      </c>
    </row>
    <row r="224" spans="1:31" x14ac:dyDescent="0.3">
      <c r="A224" t="s">
        <v>43</v>
      </c>
      <c r="B224" t="s">
        <v>49</v>
      </c>
      <c r="C224" t="s">
        <v>29</v>
      </c>
      <c r="D224" t="s">
        <v>21</v>
      </c>
      <c r="E224" s="16" t="s">
        <v>272</v>
      </c>
      <c r="F224" s="16">
        <v>2</v>
      </c>
      <c r="G224" t="s">
        <v>1524</v>
      </c>
      <c r="H224" t="s">
        <v>1547</v>
      </c>
      <c r="I224" t="s">
        <v>1567</v>
      </c>
      <c r="J224" t="s">
        <v>344</v>
      </c>
      <c r="L224" t="str">
        <f t="shared" si="25"/>
        <v>continuous/fully_connected</v>
      </c>
      <c r="M224" t="str">
        <f t="shared" si="26"/>
        <v>inclined/straight/declined + standard_truss</v>
      </c>
      <c r="N224" t="str">
        <f t="shared" si="24"/>
        <v>top_structure/rock_structure + 2anc</v>
      </c>
      <c r="O224" t="s">
        <v>1685</v>
      </c>
      <c r="R224" t="s">
        <v>926</v>
      </c>
      <c r="S224" t="s">
        <v>292</v>
      </c>
      <c r="T224" t="s">
        <v>292</v>
      </c>
      <c r="U224" t="s">
        <v>292</v>
      </c>
      <c r="V224" t="s">
        <v>292</v>
      </c>
      <c r="W224" t="s">
        <v>293</v>
      </c>
      <c r="X224" t="str">
        <f t="shared" si="27"/>
        <v>road-</v>
      </c>
      <c r="Y224" t="str">
        <f t="shared" si="28"/>
        <v>reinforced_road-</v>
      </c>
      <c r="Z224" t="str">
        <f t="shared" si="29"/>
        <v>wood-</v>
      </c>
      <c r="AA224" t="str">
        <f t="shared" si="30"/>
        <v>steel</v>
      </c>
      <c r="AB224" t="str">
        <f t="shared" si="31"/>
        <v>road-reinforced_road-wood-steel</v>
      </c>
      <c r="AE224" t="s">
        <v>1685</v>
      </c>
    </row>
    <row r="225" spans="1:31" x14ac:dyDescent="0.3">
      <c r="A225" t="s">
        <v>43</v>
      </c>
      <c r="B225" t="s">
        <v>49</v>
      </c>
      <c r="C225" t="s">
        <v>29</v>
      </c>
      <c r="D225" t="s">
        <v>26</v>
      </c>
      <c r="E225" s="16" t="s">
        <v>272</v>
      </c>
      <c r="F225" s="16">
        <v>3</v>
      </c>
      <c r="G225" t="s">
        <v>1524</v>
      </c>
      <c r="H225" t="s">
        <v>1547</v>
      </c>
      <c r="I225" t="s">
        <v>1567</v>
      </c>
      <c r="J225" t="s">
        <v>344</v>
      </c>
      <c r="L225" t="str">
        <f t="shared" si="25"/>
        <v>continuous/fully_connected</v>
      </c>
      <c r="M225" t="str">
        <f t="shared" si="26"/>
        <v>inclined/straight/declined + standard_truss</v>
      </c>
      <c r="N225" t="str">
        <f t="shared" si="24"/>
        <v>top_structure/rock_structure + 3anc</v>
      </c>
      <c r="O225" t="s">
        <v>1685</v>
      </c>
      <c r="R225" t="s">
        <v>927</v>
      </c>
      <c r="S225" t="s">
        <v>292</v>
      </c>
      <c r="T225" t="s">
        <v>292</v>
      </c>
      <c r="U225" t="s">
        <v>292</v>
      </c>
      <c r="V225" t="s">
        <v>292</v>
      </c>
      <c r="W225" t="s">
        <v>293</v>
      </c>
      <c r="X225" t="str">
        <f t="shared" si="27"/>
        <v>road-</v>
      </c>
      <c r="Y225" t="str">
        <f t="shared" si="28"/>
        <v>reinforced_road-</v>
      </c>
      <c r="Z225" t="str">
        <f t="shared" si="29"/>
        <v>wood-</v>
      </c>
      <c r="AA225" t="str">
        <f t="shared" si="30"/>
        <v>steel</v>
      </c>
      <c r="AB225" t="str">
        <f t="shared" si="31"/>
        <v>road-reinforced_road-wood-steel</v>
      </c>
      <c r="AE225" t="s">
        <v>1685</v>
      </c>
    </row>
    <row r="226" spans="1:31" x14ac:dyDescent="0.3">
      <c r="A226" t="s">
        <v>43</v>
      </c>
      <c r="B226" t="s">
        <v>49</v>
      </c>
      <c r="C226" t="s">
        <v>29</v>
      </c>
      <c r="D226" t="s">
        <v>22</v>
      </c>
      <c r="E226" s="16" t="s">
        <v>272</v>
      </c>
      <c r="F226" s="16">
        <v>3</v>
      </c>
      <c r="G226" t="s">
        <v>1524</v>
      </c>
      <c r="H226" t="s">
        <v>1547</v>
      </c>
      <c r="I226" t="s">
        <v>1567</v>
      </c>
      <c r="J226" t="s">
        <v>344</v>
      </c>
      <c r="L226" t="str">
        <f t="shared" si="25"/>
        <v>continuous/fully_connected</v>
      </c>
      <c r="M226" t="str">
        <f t="shared" si="26"/>
        <v>inclined/straight/declined + standard_truss</v>
      </c>
      <c r="N226" t="str">
        <f t="shared" si="24"/>
        <v>top_structure/rock_structure + 3anc</v>
      </c>
      <c r="O226" t="s">
        <v>1685</v>
      </c>
      <c r="R226" t="s">
        <v>928</v>
      </c>
      <c r="S226" t="s">
        <v>292</v>
      </c>
      <c r="T226" t="s">
        <v>292</v>
      </c>
      <c r="U226" t="s">
        <v>292</v>
      </c>
      <c r="V226" t="s">
        <v>292</v>
      </c>
      <c r="W226" t="s">
        <v>293</v>
      </c>
      <c r="X226" t="str">
        <f t="shared" si="27"/>
        <v>road-</v>
      </c>
      <c r="Y226" t="str">
        <f t="shared" si="28"/>
        <v>reinforced_road-</v>
      </c>
      <c r="Z226" t="str">
        <f t="shared" si="29"/>
        <v>wood-</v>
      </c>
      <c r="AA226" t="str">
        <f t="shared" si="30"/>
        <v>steel</v>
      </c>
      <c r="AB226" t="str">
        <f t="shared" si="31"/>
        <v>road-reinforced_road-wood-steel</v>
      </c>
      <c r="AE226" t="s">
        <v>1685</v>
      </c>
    </row>
    <row r="227" spans="1:31" x14ac:dyDescent="0.3">
      <c r="A227" t="s">
        <v>43</v>
      </c>
      <c r="B227" t="s">
        <v>49</v>
      </c>
      <c r="C227" t="s">
        <v>29</v>
      </c>
      <c r="D227" t="s">
        <v>27</v>
      </c>
      <c r="E227" s="16" t="s">
        <v>272</v>
      </c>
      <c r="F227" s="16">
        <v>2</v>
      </c>
      <c r="G227" t="s">
        <v>1524</v>
      </c>
      <c r="H227" t="s">
        <v>1547</v>
      </c>
      <c r="I227" t="s">
        <v>341</v>
      </c>
      <c r="J227" t="s">
        <v>344</v>
      </c>
      <c r="L227" t="str">
        <f t="shared" si="25"/>
        <v>continuous/fully_connected</v>
      </c>
      <c r="M227" t="str">
        <f t="shared" si="26"/>
        <v>inclined/straight/declined + standard_truss</v>
      </c>
      <c r="N227" t="str">
        <f t="shared" si="24"/>
        <v>top_structure + 2anc</v>
      </c>
      <c r="O227" t="s">
        <v>1685</v>
      </c>
      <c r="R227" t="s">
        <v>929</v>
      </c>
      <c r="S227" t="s">
        <v>292</v>
      </c>
      <c r="T227" t="s">
        <v>292</v>
      </c>
      <c r="U227" t="s">
        <v>292</v>
      </c>
      <c r="V227" t="s">
        <v>292</v>
      </c>
      <c r="W227" t="s">
        <v>293</v>
      </c>
      <c r="X227" t="str">
        <f t="shared" si="27"/>
        <v>road-</v>
      </c>
      <c r="Y227" t="str">
        <f t="shared" si="28"/>
        <v>reinforced_road-</v>
      </c>
      <c r="Z227" t="str">
        <f t="shared" si="29"/>
        <v>wood-</v>
      </c>
      <c r="AA227" t="str">
        <f t="shared" si="30"/>
        <v>steel</v>
      </c>
      <c r="AB227" t="str">
        <f t="shared" si="31"/>
        <v>road-reinforced_road-wood-steel</v>
      </c>
      <c r="AE227" t="s">
        <v>1685</v>
      </c>
    </row>
    <row r="228" spans="1:31" x14ac:dyDescent="0.3">
      <c r="A228" t="s">
        <v>43</v>
      </c>
      <c r="B228" t="s">
        <v>49</v>
      </c>
      <c r="C228" t="s">
        <v>29</v>
      </c>
      <c r="D228" t="s">
        <v>28</v>
      </c>
      <c r="E228" s="16" t="s">
        <v>272</v>
      </c>
      <c r="F228" s="16">
        <v>2</v>
      </c>
      <c r="G228" t="s">
        <v>1524</v>
      </c>
      <c r="H228" t="s">
        <v>1547</v>
      </c>
      <c r="I228" t="s">
        <v>341</v>
      </c>
      <c r="J228" t="s">
        <v>344</v>
      </c>
      <c r="L228" t="str">
        <f t="shared" si="25"/>
        <v>continuous/fully_connected</v>
      </c>
      <c r="M228" t="str">
        <f t="shared" si="26"/>
        <v>inclined/straight/declined + standard_truss</v>
      </c>
      <c r="N228" t="str">
        <f t="shared" si="24"/>
        <v>top_structure + 2anc</v>
      </c>
      <c r="O228" t="s">
        <v>1685</v>
      </c>
      <c r="R228" t="s">
        <v>930</v>
      </c>
      <c r="S228" t="s">
        <v>292</v>
      </c>
      <c r="T228" t="s">
        <v>292</v>
      </c>
      <c r="U228" t="s">
        <v>292</v>
      </c>
      <c r="V228" t="s">
        <v>292</v>
      </c>
      <c r="W228" t="s">
        <v>293</v>
      </c>
      <c r="X228" t="str">
        <f t="shared" si="27"/>
        <v>road-</v>
      </c>
      <c r="Y228" t="str">
        <f t="shared" si="28"/>
        <v>reinforced_road-</v>
      </c>
      <c r="Z228" t="str">
        <f t="shared" si="29"/>
        <v>wood-</v>
      </c>
      <c r="AA228" t="str">
        <f t="shared" si="30"/>
        <v>steel</v>
      </c>
      <c r="AB228" t="str">
        <f t="shared" si="31"/>
        <v>road-reinforced_road-wood-steel</v>
      </c>
      <c r="AE228" t="s">
        <v>1685</v>
      </c>
    </row>
    <row r="229" spans="1:31" x14ac:dyDescent="0.3">
      <c r="A229" t="s">
        <v>43</v>
      </c>
      <c r="B229" t="s">
        <v>62</v>
      </c>
      <c r="C229" t="s">
        <v>12</v>
      </c>
      <c r="D229" t="s">
        <v>15</v>
      </c>
      <c r="E229" s="16" t="s">
        <v>272</v>
      </c>
      <c r="F229" s="16">
        <v>3</v>
      </c>
      <c r="G229" t="s">
        <v>1524</v>
      </c>
      <c r="H229" t="s">
        <v>282</v>
      </c>
      <c r="I229" t="s">
        <v>1566</v>
      </c>
      <c r="J229" t="s">
        <v>344</v>
      </c>
      <c r="L229" t="str">
        <f t="shared" si="25"/>
        <v>continuous/fully_connected</v>
      </c>
      <c r="M229" t="str">
        <f t="shared" si="26"/>
        <v>arch + standard_truss</v>
      </c>
      <c r="N229" t="str">
        <f t="shared" si="24"/>
        <v>top_structure/bottom_structure/rock_structure + 3anc</v>
      </c>
      <c r="O229" t="s">
        <v>1692</v>
      </c>
      <c r="R229" t="s">
        <v>931</v>
      </c>
      <c r="S229" t="s">
        <v>292</v>
      </c>
      <c r="T229" t="s">
        <v>293</v>
      </c>
      <c r="U229" t="s">
        <v>292</v>
      </c>
      <c r="V229" t="s">
        <v>293</v>
      </c>
      <c r="W229" t="s">
        <v>293</v>
      </c>
      <c r="X229" t="str">
        <f t="shared" si="27"/>
        <v>road-</v>
      </c>
      <c r="Y229" t="str">
        <f t="shared" si="28"/>
        <v/>
      </c>
      <c r="Z229" t="str">
        <f t="shared" si="29"/>
        <v>wood-</v>
      </c>
      <c r="AA229" t="str">
        <f t="shared" si="30"/>
        <v/>
      </c>
      <c r="AB229" t="str">
        <f t="shared" si="31"/>
        <v>road-wood-</v>
      </c>
      <c r="AE229" t="s">
        <v>1692</v>
      </c>
    </row>
    <row r="230" spans="1:31" x14ac:dyDescent="0.3">
      <c r="A230" t="s">
        <v>43</v>
      </c>
      <c r="B230" t="s">
        <v>62</v>
      </c>
      <c r="C230" t="s">
        <v>12</v>
      </c>
      <c r="D230" t="s">
        <v>23</v>
      </c>
      <c r="E230" s="16" t="s">
        <v>272</v>
      </c>
      <c r="F230" s="16">
        <v>3</v>
      </c>
      <c r="G230" t="s">
        <v>1524</v>
      </c>
      <c r="H230" t="s">
        <v>1542</v>
      </c>
      <c r="I230" t="s">
        <v>1567</v>
      </c>
      <c r="J230" t="s">
        <v>344</v>
      </c>
      <c r="L230" t="str">
        <f t="shared" si="25"/>
        <v>continuous/fully_connected</v>
      </c>
      <c r="M230" t="str">
        <f t="shared" si="26"/>
        <v>inclined/declined + standard_truss</v>
      </c>
      <c r="N230" t="str">
        <f t="shared" si="24"/>
        <v>top_structure/rock_structure + 3anc</v>
      </c>
      <c r="O230" t="s">
        <v>1692</v>
      </c>
      <c r="R230" t="s">
        <v>932</v>
      </c>
      <c r="S230" t="s">
        <v>292</v>
      </c>
      <c r="T230" t="s">
        <v>293</v>
      </c>
      <c r="U230" t="s">
        <v>292</v>
      </c>
      <c r="V230" t="s">
        <v>293</v>
      </c>
      <c r="W230" t="s">
        <v>293</v>
      </c>
      <c r="X230" t="str">
        <f t="shared" si="27"/>
        <v>road-</v>
      </c>
      <c r="Y230" t="str">
        <f t="shared" si="28"/>
        <v/>
      </c>
      <c r="Z230" t="str">
        <f t="shared" si="29"/>
        <v>wood-</v>
      </c>
      <c r="AA230" t="str">
        <f t="shared" si="30"/>
        <v/>
      </c>
      <c r="AB230" t="str">
        <f t="shared" si="31"/>
        <v>road-wood-</v>
      </c>
      <c r="AE230" t="s">
        <v>1692</v>
      </c>
    </row>
    <row r="231" spans="1:31" x14ac:dyDescent="0.3">
      <c r="A231" t="s">
        <v>43</v>
      </c>
      <c r="B231" t="s">
        <v>62</v>
      </c>
      <c r="C231" t="s">
        <v>12</v>
      </c>
      <c r="D231" t="s">
        <v>14</v>
      </c>
      <c r="E231" s="16" t="s">
        <v>272</v>
      </c>
      <c r="F231" s="16">
        <v>3</v>
      </c>
      <c r="G231" t="s">
        <v>1524</v>
      </c>
      <c r="H231" t="s">
        <v>282</v>
      </c>
      <c r="I231" t="s">
        <v>1566</v>
      </c>
      <c r="J231" t="s">
        <v>344</v>
      </c>
      <c r="L231" t="str">
        <f t="shared" si="25"/>
        <v>continuous/fully_connected</v>
      </c>
      <c r="M231" t="str">
        <f t="shared" si="26"/>
        <v>arch + standard_truss</v>
      </c>
      <c r="N231" t="str">
        <f t="shared" si="24"/>
        <v>top_structure/bottom_structure/rock_structure + 3anc</v>
      </c>
      <c r="O231" t="s">
        <v>1692</v>
      </c>
      <c r="R231" t="s">
        <v>933</v>
      </c>
      <c r="S231" t="s">
        <v>292</v>
      </c>
      <c r="T231" t="s">
        <v>293</v>
      </c>
      <c r="U231" t="s">
        <v>292</v>
      </c>
      <c r="V231" t="s">
        <v>293</v>
      </c>
      <c r="W231" t="s">
        <v>293</v>
      </c>
      <c r="X231" t="str">
        <f t="shared" si="27"/>
        <v>road-</v>
      </c>
      <c r="Y231" t="str">
        <f t="shared" si="28"/>
        <v/>
      </c>
      <c r="Z231" t="str">
        <f t="shared" si="29"/>
        <v>wood-</v>
      </c>
      <c r="AA231" t="str">
        <f t="shared" si="30"/>
        <v/>
      </c>
      <c r="AB231" t="str">
        <f t="shared" si="31"/>
        <v>road-wood-</v>
      </c>
      <c r="AE231" t="s">
        <v>1692</v>
      </c>
    </row>
    <row r="232" spans="1:31" x14ac:dyDescent="0.3">
      <c r="A232" t="s">
        <v>43</v>
      </c>
      <c r="B232" t="s">
        <v>62</v>
      </c>
      <c r="C232" t="s">
        <v>12</v>
      </c>
      <c r="D232" t="s">
        <v>25</v>
      </c>
      <c r="E232" s="16" t="s">
        <v>272</v>
      </c>
      <c r="F232" s="16">
        <v>3</v>
      </c>
      <c r="G232" t="s">
        <v>1524</v>
      </c>
      <c r="H232" t="s">
        <v>1542</v>
      </c>
      <c r="I232" t="s">
        <v>1567</v>
      </c>
      <c r="J232" t="s">
        <v>344</v>
      </c>
      <c r="L232" t="str">
        <f t="shared" si="25"/>
        <v>continuous/fully_connected</v>
      </c>
      <c r="M232" t="str">
        <f t="shared" si="26"/>
        <v>inclined/declined + standard_truss</v>
      </c>
      <c r="N232" t="str">
        <f t="shared" si="24"/>
        <v>top_structure/rock_structure + 3anc</v>
      </c>
      <c r="O232" t="s">
        <v>1692</v>
      </c>
      <c r="R232" t="s">
        <v>934</v>
      </c>
      <c r="S232" t="s">
        <v>292</v>
      </c>
      <c r="T232" t="s">
        <v>293</v>
      </c>
      <c r="U232" t="s">
        <v>292</v>
      </c>
      <c r="V232" t="s">
        <v>293</v>
      </c>
      <c r="W232" t="s">
        <v>293</v>
      </c>
      <c r="X232" t="str">
        <f t="shared" si="27"/>
        <v>road-</v>
      </c>
      <c r="Y232" t="str">
        <f t="shared" si="28"/>
        <v/>
      </c>
      <c r="Z232" t="str">
        <f t="shared" si="29"/>
        <v>wood-</v>
      </c>
      <c r="AA232" t="str">
        <f t="shared" si="30"/>
        <v/>
      </c>
      <c r="AB232" t="str">
        <f t="shared" si="31"/>
        <v>road-wood-</v>
      </c>
      <c r="AE232" t="s">
        <v>1692</v>
      </c>
    </row>
    <row r="233" spans="1:31" x14ac:dyDescent="0.3">
      <c r="A233" t="s">
        <v>43</v>
      </c>
      <c r="B233" t="s">
        <v>62</v>
      </c>
      <c r="C233" t="s">
        <v>12</v>
      </c>
      <c r="D233" t="s">
        <v>11</v>
      </c>
      <c r="E233" s="16" t="s">
        <v>272</v>
      </c>
      <c r="F233" s="16">
        <v>2</v>
      </c>
      <c r="G233" t="s">
        <v>1524</v>
      </c>
      <c r="H233" t="s">
        <v>282</v>
      </c>
      <c r="I233" t="s">
        <v>341</v>
      </c>
      <c r="J233" t="s">
        <v>344</v>
      </c>
      <c r="L233" t="str">
        <f t="shared" si="25"/>
        <v>continuous/fully_connected</v>
      </c>
      <c r="M233" t="str">
        <f t="shared" si="26"/>
        <v>arch + standard_truss</v>
      </c>
      <c r="N233" t="str">
        <f t="shared" si="24"/>
        <v>top_structure + 2anc</v>
      </c>
      <c r="O233" t="s">
        <v>1692</v>
      </c>
      <c r="R233" t="s">
        <v>935</v>
      </c>
      <c r="S233" t="s">
        <v>292</v>
      </c>
      <c r="T233" t="s">
        <v>293</v>
      </c>
      <c r="U233" t="s">
        <v>292</v>
      </c>
      <c r="V233" t="s">
        <v>293</v>
      </c>
      <c r="W233" t="s">
        <v>293</v>
      </c>
      <c r="X233" t="str">
        <f t="shared" si="27"/>
        <v>road-</v>
      </c>
      <c r="Y233" t="str">
        <f t="shared" si="28"/>
        <v/>
      </c>
      <c r="Z233" t="str">
        <f t="shared" si="29"/>
        <v>wood-</v>
      </c>
      <c r="AA233" t="str">
        <f t="shared" si="30"/>
        <v/>
      </c>
      <c r="AB233" t="str">
        <f t="shared" si="31"/>
        <v>road-wood-</v>
      </c>
      <c r="AE233" t="s">
        <v>1692</v>
      </c>
    </row>
    <row r="234" spans="1:31" x14ac:dyDescent="0.3">
      <c r="A234" t="s">
        <v>43</v>
      </c>
      <c r="B234" t="s">
        <v>62</v>
      </c>
      <c r="C234" t="s">
        <v>12</v>
      </c>
      <c r="D234" t="s">
        <v>24</v>
      </c>
      <c r="E234" s="16" t="s">
        <v>272</v>
      </c>
      <c r="F234" s="16">
        <v>3</v>
      </c>
      <c r="G234" t="s">
        <v>1524</v>
      </c>
      <c r="H234" t="s">
        <v>1542</v>
      </c>
      <c r="I234" t="s">
        <v>1567</v>
      </c>
      <c r="J234" t="s">
        <v>1574</v>
      </c>
      <c r="L234" t="str">
        <f t="shared" si="25"/>
        <v>continuous/fully_connected</v>
      </c>
      <c r="M234" t="str">
        <f t="shared" si="26"/>
        <v>inclined/declined + standard_truss/arch_truss</v>
      </c>
      <c r="N234" t="str">
        <f t="shared" si="24"/>
        <v>top_structure/rock_structure + 3anc</v>
      </c>
      <c r="O234" t="s">
        <v>1692</v>
      </c>
      <c r="R234" t="s">
        <v>936</v>
      </c>
      <c r="S234" t="s">
        <v>292</v>
      </c>
      <c r="T234" t="s">
        <v>293</v>
      </c>
      <c r="U234" t="s">
        <v>292</v>
      </c>
      <c r="V234" t="s">
        <v>293</v>
      </c>
      <c r="W234" t="s">
        <v>293</v>
      </c>
      <c r="X234" t="str">
        <f t="shared" si="27"/>
        <v>road-</v>
      </c>
      <c r="Y234" t="str">
        <f t="shared" si="28"/>
        <v/>
      </c>
      <c r="Z234" t="str">
        <f t="shared" si="29"/>
        <v>wood-</v>
      </c>
      <c r="AA234" t="str">
        <f t="shared" si="30"/>
        <v/>
      </c>
      <c r="AB234" t="str">
        <f t="shared" si="31"/>
        <v>road-wood-</v>
      </c>
      <c r="AE234" t="s">
        <v>1692</v>
      </c>
    </row>
    <row r="235" spans="1:31" x14ac:dyDescent="0.3">
      <c r="A235" t="s">
        <v>43</v>
      </c>
      <c r="B235" t="s">
        <v>62</v>
      </c>
      <c r="C235" t="s">
        <v>12</v>
      </c>
      <c r="D235" t="s">
        <v>21</v>
      </c>
      <c r="E235" s="16" t="s">
        <v>272</v>
      </c>
      <c r="F235" s="16">
        <v>3</v>
      </c>
      <c r="G235" t="s">
        <v>1524</v>
      </c>
      <c r="H235" t="s">
        <v>282</v>
      </c>
      <c r="I235" t="s">
        <v>1566</v>
      </c>
      <c r="J235" t="s">
        <v>344</v>
      </c>
      <c r="L235" t="str">
        <f t="shared" si="25"/>
        <v>continuous/fully_connected</v>
      </c>
      <c r="M235" t="str">
        <f t="shared" si="26"/>
        <v>arch + standard_truss</v>
      </c>
      <c r="N235" t="str">
        <f t="shared" si="24"/>
        <v>top_structure/bottom_structure/rock_structure + 3anc</v>
      </c>
      <c r="O235" t="s">
        <v>1692</v>
      </c>
      <c r="R235" t="s">
        <v>937</v>
      </c>
      <c r="S235" t="s">
        <v>292</v>
      </c>
      <c r="T235" t="s">
        <v>293</v>
      </c>
      <c r="U235" t="s">
        <v>292</v>
      </c>
      <c r="V235" t="s">
        <v>293</v>
      </c>
      <c r="W235" t="s">
        <v>293</v>
      </c>
      <c r="X235" t="str">
        <f t="shared" si="27"/>
        <v>road-</v>
      </c>
      <c r="Y235" t="str">
        <f t="shared" si="28"/>
        <v/>
      </c>
      <c r="Z235" t="str">
        <f t="shared" si="29"/>
        <v>wood-</v>
      </c>
      <c r="AA235" t="str">
        <f t="shared" si="30"/>
        <v/>
      </c>
      <c r="AB235" t="str">
        <f t="shared" si="31"/>
        <v>road-wood-</v>
      </c>
      <c r="AE235" t="s">
        <v>1692</v>
      </c>
    </row>
    <row r="236" spans="1:31" x14ac:dyDescent="0.3">
      <c r="A236" t="s">
        <v>43</v>
      </c>
      <c r="B236" t="s">
        <v>62</v>
      </c>
      <c r="C236" t="s">
        <v>12</v>
      </c>
      <c r="D236" t="s">
        <v>30</v>
      </c>
      <c r="E236" s="16" t="s">
        <v>272</v>
      </c>
      <c r="F236" s="16">
        <v>3</v>
      </c>
      <c r="G236" t="s">
        <v>1524</v>
      </c>
      <c r="H236" t="s">
        <v>1542</v>
      </c>
      <c r="I236" t="s">
        <v>1567</v>
      </c>
      <c r="J236" t="s">
        <v>344</v>
      </c>
      <c r="L236" t="str">
        <f t="shared" si="25"/>
        <v>continuous/fully_connected</v>
      </c>
      <c r="M236" t="str">
        <f t="shared" si="26"/>
        <v>inclined/declined + standard_truss</v>
      </c>
      <c r="N236" t="str">
        <f t="shared" si="24"/>
        <v>top_structure/rock_structure + 3anc</v>
      </c>
      <c r="O236" t="s">
        <v>1692</v>
      </c>
      <c r="R236" t="s">
        <v>938</v>
      </c>
      <c r="S236" t="s">
        <v>292</v>
      </c>
      <c r="T236" t="s">
        <v>293</v>
      </c>
      <c r="U236" t="s">
        <v>292</v>
      </c>
      <c r="V236" t="s">
        <v>293</v>
      </c>
      <c r="W236" t="s">
        <v>293</v>
      </c>
      <c r="X236" t="str">
        <f t="shared" si="27"/>
        <v>road-</v>
      </c>
      <c r="Y236" t="str">
        <f t="shared" si="28"/>
        <v/>
      </c>
      <c r="Z236" t="str">
        <f t="shared" si="29"/>
        <v>wood-</v>
      </c>
      <c r="AA236" t="str">
        <f t="shared" si="30"/>
        <v/>
      </c>
      <c r="AB236" t="str">
        <f t="shared" si="31"/>
        <v>road-wood-</v>
      </c>
      <c r="AE236" t="s">
        <v>1692</v>
      </c>
    </row>
    <row r="237" spans="1:31" x14ac:dyDescent="0.3">
      <c r="A237" t="s">
        <v>43</v>
      </c>
      <c r="B237" t="s">
        <v>62</v>
      </c>
      <c r="C237" t="s">
        <v>12</v>
      </c>
      <c r="D237" t="s">
        <v>19</v>
      </c>
      <c r="E237" s="16" t="s">
        <v>272</v>
      </c>
      <c r="F237" s="16">
        <v>3</v>
      </c>
      <c r="G237" t="s">
        <v>1524</v>
      </c>
      <c r="H237" t="s">
        <v>282</v>
      </c>
      <c r="I237" t="s">
        <v>1566</v>
      </c>
      <c r="J237" t="s">
        <v>344</v>
      </c>
      <c r="L237" t="str">
        <f t="shared" si="25"/>
        <v>continuous/fully_connected</v>
      </c>
      <c r="M237" t="str">
        <f t="shared" si="26"/>
        <v>arch + standard_truss</v>
      </c>
      <c r="N237" t="str">
        <f t="shared" si="24"/>
        <v>top_structure/bottom_structure/rock_structure + 3anc</v>
      </c>
      <c r="O237" t="s">
        <v>1692</v>
      </c>
      <c r="R237" t="s">
        <v>939</v>
      </c>
      <c r="S237" t="s">
        <v>292</v>
      </c>
      <c r="T237" t="s">
        <v>293</v>
      </c>
      <c r="U237" t="s">
        <v>292</v>
      </c>
      <c r="V237" t="s">
        <v>293</v>
      </c>
      <c r="W237" t="s">
        <v>293</v>
      </c>
      <c r="X237" t="str">
        <f t="shared" si="27"/>
        <v>road-</v>
      </c>
      <c r="Y237" t="str">
        <f t="shared" si="28"/>
        <v/>
      </c>
      <c r="Z237" t="str">
        <f t="shared" si="29"/>
        <v>wood-</v>
      </c>
      <c r="AA237" t="str">
        <f t="shared" si="30"/>
        <v/>
      </c>
      <c r="AB237" t="str">
        <f t="shared" si="31"/>
        <v>road-wood-</v>
      </c>
      <c r="AE237" t="s">
        <v>1692</v>
      </c>
    </row>
    <row r="238" spans="1:31" x14ac:dyDescent="0.3">
      <c r="A238" t="s">
        <v>43</v>
      </c>
      <c r="B238" t="s">
        <v>62</v>
      </c>
      <c r="C238" t="s">
        <v>12</v>
      </c>
      <c r="D238" t="s">
        <v>17</v>
      </c>
      <c r="E238" s="16" t="s">
        <v>272</v>
      </c>
      <c r="F238" s="16">
        <v>3</v>
      </c>
      <c r="G238" t="s">
        <v>1524</v>
      </c>
      <c r="H238" t="s">
        <v>282</v>
      </c>
      <c r="I238" t="s">
        <v>1566</v>
      </c>
      <c r="J238" t="s">
        <v>344</v>
      </c>
      <c r="L238" t="str">
        <f t="shared" si="25"/>
        <v>continuous/fully_connected</v>
      </c>
      <c r="M238" t="str">
        <f t="shared" si="26"/>
        <v>arch + standard_truss</v>
      </c>
      <c r="N238" t="str">
        <f t="shared" si="24"/>
        <v>top_structure/bottom_structure/rock_structure + 3anc</v>
      </c>
      <c r="O238" t="s">
        <v>1692</v>
      </c>
      <c r="R238" t="s">
        <v>940</v>
      </c>
      <c r="S238" t="s">
        <v>292</v>
      </c>
      <c r="T238" t="s">
        <v>293</v>
      </c>
      <c r="U238" t="s">
        <v>292</v>
      </c>
      <c r="V238" t="s">
        <v>293</v>
      </c>
      <c r="W238" t="s">
        <v>293</v>
      </c>
      <c r="X238" t="str">
        <f t="shared" si="27"/>
        <v>road-</v>
      </c>
      <c r="Y238" t="str">
        <f t="shared" si="28"/>
        <v/>
      </c>
      <c r="Z238" t="str">
        <f t="shared" si="29"/>
        <v>wood-</v>
      </c>
      <c r="AA238" t="str">
        <f t="shared" si="30"/>
        <v/>
      </c>
      <c r="AB238" t="str">
        <f t="shared" si="31"/>
        <v>road-wood-</v>
      </c>
      <c r="AE238" t="s">
        <v>1692</v>
      </c>
    </row>
    <row r="239" spans="1:31" x14ac:dyDescent="0.3">
      <c r="A239" t="s">
        <v>43</v>
      </c>
      <c r="B239" t="s">
        <v>62</v>
      </c>
      <c r="C239" t="s">
        <v>12</v>
      </c>
      <c r="D239" t="s">
        <v>16</v>
      </c>
      <c r="E239" s="16" t="s">
        <v>272</v>
      </c>
      <c r="F239" s="16">
        <v>3</v>
      </c>
      <c r="G239" t="s">
        <v>1524</v>
      </c>
      <c r="H239" t="s">
        <v>282</v>
      </c>
      <c r="I239" t="s">
        <v>1566</v>
      </c>
      <c r="J239" t="s">
        <v>344</v>
      </c>
      <c r="L239" t="str">
        <f t="shared" si="25"/>
        <v>continuous/fully_connected</v>
      </c>
      <c r="M239" t="str">
        <f t="shared" si="26"/>
        <v>arch + standard_truss</v>
      </c>
      <c r="N239" t="str">
        <f t="shared" si="24"/>
        <v>top_structure/bottom_structure/rock_structure + 3anc</v>
      </c>
      <c r="O239" t="s">
        <v>1692</v>
      </c>
      <c r="R239" t="s">
        <v>941</v>
      </c>
      <c r="S239" t="s">
        <v>292</v>
      </c>
      <c r="T239" t="s">
        <v>293</v>
      </c>
      <c r="U239" t="s">
        <v>292</v>
      </c>
      <c r="V239" t="s">
        <v>293</v>
      </c>
      <c r="W239" t="s">
        <v>293</v>
      </c>
      <c r="X239" t="str">
        <f t="shared" si="27"/>
        <v>road-</v>
      </c>
      <c r="Y239" t="str">
        <f t="shared" si="28"/>
        <v/>
      </c>
      <c r="Z239" t="str">
        <f t="shared" si="29"/>
        <v>wood-</v>
      </c>
      <c r="AA239" t="str">
        <f t="shared" si="30"/>
        <v/>
      </c>
      <c r="AB239" t="str">
        <f t="shared" si="31"/>
        <v>road-wood-</v>
      </c>
      <c r="AE239" t="s">
        <v>1692</v>
      </c>
    </row>
    <row r="240" spans="1:31" x14ac:dyDescent="0.3">
      <c r="A240" t="s">
        <v>43</v>
      </c>
      <c r="B240" t="s">
        <v>62</v>
      </c>
      <c r="C240" t="s">
        <v>12</v>
      </c>
      <c r="D240" t="s">
        <v>20</v>
      </c>
      <c r="E240" s="16" t="s">
        <v>272</v>
      </c>
      <c r="F240" s="16">
        <v>3</v>
      </c>
      <c r="G240" t="s">
        <v>1524</v>
      </c>
      <c r="H240" t="s">
        <v>282</v>
      </c>
      <c r="I240" t="s">
        <v>1566</v>
      </c>
      <c r="J240" t="s">
        <v>345</v>
      </c>
      <c r="L240" t="str">
        <f t="shared" si="25"/>
        <v>continuous/fully_connected</v>
      </c>
      <c r="M240" t="str">
        <f t="shared" si="26"/>
        <v>arch + arch_truss</v>
      </c>
      <c r="N240" t="str">
        <f t="shared" si="24"/>
        <v>top_structure/bottom_structure/rock_structure + 3anc</v>
      </c>
      <c r="O240" t="s">
        <v>1692</v>
      </c>
      <c r="R240" t="s">
        <v>942</v>
      </c>
      <c r="S240" t="s">
        <v>292</v>
      </c>
      <c r="T240" t="s">
        <v>293</v>
      </c>
      <c r="U240" t="s">
        <v>292</v>
      </c>
      <c r="V240" t="s">
        <v>293</v>
      </c>
      <c r="W240" t="s">
        <v>293</v>
      </c>
      <c r="X240" t="str">
        <f t="shared" si="27"/>
        <v>road-</v>
      </c>
      <c r="Y240" t="str">
        <f t="shared" si="28"/>
        <v/>
      </c>
      <c r="Z240" t="str">
        <f t="shared" si="29"/>
        <v>wood-</v>
      </c>
      <c r="AA240" t="str">
        <f t="shared" si="30"/>
        <v/>
      </c>
      <c r="AB240" t="str">
        <f t="shared" si="31"/>
        <v>road-wood-</v>
      </c>
      <c r="AE240" t="s">
        <v>1692</v>
      </c>
    </row>
    <row r="241" spans="1:31" x14ac:dyDescent="0.3">
      <c r="A241" t="s">
        <v>43</v>
      </c>
      <c r="B241" t="s">
        <v>62</v>
      </c>
      <c r="C241" t="s">
        <v>12</v>
      </c>
      <c r="D241" t="s">
        <v>26</v>
      </c>
      <c r="E241" s="16" t="s">
        <v>272</v>
      </c>
      <c r="F241" s="16">
        <v>3</v>
      </c>
      <c r="G241" t="s">
        <v>1524</v>
      </c>
      <c r="H241" t="s">
        <v>1542</v>
      </c>
      <c r="I241" t="s">
        <v>1567</v>
      </c>
      <c r="J241" t="s">
        <v>345</v>
      </c>
      <c r="L241" t="str">
        <f t="shared" si="25"/>
        <v>continuous/fully_connected</v>
      </c>
      <c r="M241" t="str">
        <f t="shared" si="26"/>
        <v>inclined/declined + arch_truss</v>
      </c>
      <c r="N241" t="str">
        <f t="shared" si="24"/>
        <v>top_structure/rock_structure + 3anc</v>
      </c>
      <c r="O241" t="s">
        <v>1692</v>
      </c>
      <c r="R241" t="s">
        <v>943</v>
      </c>
      <c r="S241" t="s">
        <v>292</v>
      </c>
      <c r="T241" t="s">
        <v>293</v>
      </c>
      <c r="U241" t="s">
        <v>292</v>
      </c>
      <c r="V241" t="s">
        <v>293</v>
      </c>
      <c r="W241" t="s">
        <v>293</v>
      </c>
      <c r="X241" t="str">
        <f t="shared" si="27"/>
        <v>road-</v>
      </c>
      <c r="Y241" t="str">
        <f t="shared" si="28"/>
        <v/>
      </c>
      <c r="Z241" t="str">
        <f t="shared" si="29"/>
        <v>wood-</v>
      </c>
      <c r="AA241" t="str">
        <f t="shared" si="30"/>
        <v/>
      </c>
      <c r="AB241" t="str">
        <f t="shared" si="31"/>
        <v>road-wood-</v>
      </c>
      <c r="AE241" t="s">
        <v>1692</v>
      </c>
    </row>
    <row r="242" spans="1:31" x14ac:dyDescent="0.3">
      <c r="A242" t="s">
        <v>43</v>
      </c>
      <c r="B242" t="s">
        <v>62</v>
      </c>
      <c r="C242" t="s">
        <v>12</v>
      </c>
      <c r="D242" t="s">
        <v>22</v>
      </c>
      <c r="E242" s="16" t="s">
        <v>272</v>
      </c>
      <c r="F242" s="16">
        <v>2</v>
      </c>
      <c r="G242" t="s">
        <v>1524</v>
      </c>
      <c r="H242" t="s">
        <v>1542</v>
      </c>
      <c r="I242" t="s">
        <v>341</v>
      </c>
      <c r="J242" t="s">
        <v>344</v>
      </c>
      <c r="L242" t="str">
        <f t="shared" si="25"/>
        <v>continuous/fully_connected</v>
      </c>
      <c r="M242" t="str">
        <f t="shared" si="26"/>
        <v>inclined/declined + standard_truss</v>
      </c>
      <c r="N242" t="str">
        <f t="shared" si="24"/>
        <v>top_structure + 2anc</v>
      </c>
      <c r="O242" t="s">
        <v>1692</v>
      </c>
      <c r="R242" t="s">
        <v>944</v>
      </c>
      <c r="S242" t="s">
        <v>292</v>
      </c>
      <c r="T242" t="s">
        <v>293</v>
      </c>
      <c r="U242" t="s">
        <v>292</v>
      </c>
      <c r="V242" t="s">
        <v>293</v>
      </c>
      <c r="W242" t="s">
        <v>293</v>
      </c>
      <c r="X242" t="str">
        <f t="shared" si="27"/>
        <v>road-</v>
      </c>
      <c r="Y242" t="str">
        <f t="shared" si="28"/>
        <v/>
      </c>
      <c r="Z242" t="str">
        <f t="shared" si="29"/>
        <v>wood-</v>
      </c>
      <c r="AA242" t="str">
        <f t="shared" si="30"/>
        <v/>
      </c>
      <c r="AB242" t="str">
        <f t="shared" si="31"/>
        <v>road-wood-</v>
      </c>
      <c r="AE242" t="s">
        <v>1692</v>
      </c>
    </row>
    <row r="243" spans="1:31" x14ac:dyDescent="0.3">
      <c r="A243" t="s">
        <v>43</v>
      </c>
      <c r="B243" t="s">
        <v>62</v>
      </c>
      <c r="C243" t="s">
        <v>12</v>
      </c>
      <c r="D243" t="s">
        <v>31</v>
      </c>
      <c r="E243" s="16" t="s">
        <v>272</v>
      </c>
      <c r="F243" s="16">
        <v>3</v>
      </c>
      <c r="G243" t="s">
        <v>1524</v>
      </c>
      <c r="H243" t="s">
        <v>1542</v>
      </c>
      <c r="I243" t="s">
        <v>1567</v>
      </c>
      <c r="J243" t="s">
        <v>344</v>
      </c>
      <c r="L243" t="str">
        <f t="shared" si="25"/>
        <v>continuous/fully_connected</v>
      </c>
      <c r="M243" t="str">
        <f t="shared" si="26"/>
        <v>inclined/declined + standard_truss</v>
      </c>
      <c r="N243" t="str">
        <f t="shared" si="24"/>
        <v>top_structure/rock_structure + 3anc</v>
      </c>
      <c r="O243" t="s">
        <v>1692</v>
      </c>
      <c r="R243" t="s">
        <v>945</v>
      </c>
      <c r="S243" t="s">
        <v>292</v>
      </c>
      <c r="T243" t="s">
        <v>293</v>
      </c>
      <c r="U243" t="s">
        <v>292</v>
      </c>
      <c r="V243" t="s">
        <v>293</v>
      </c>
      <c r="W243" t="s">
        <v>293</v>
      </c>
      <c r="X243" t="str">
        <f t="shared" si="27"/>
        <v>road-</v>
      </c>
      <c r="Y243" t="str">
        <f t="shared" si="28"/>
        <v/>
      </c>
      <c r="Z243" t="str">
        <f t="shared" si="29"/>
        <v>wood-</v>
      </c>
      <c r="AA243" t="str">
        <f t="shared" si="30"/>
        <v/>
      </c>
      <c r="AB243" t="str">
        <f t="shared" si="31"/>
        <v>road-wood-</v>
      </c>
      <c r="AE243" t="s">
        <v>1692</v>
      </c>
    </row>
    <row r="244" spans="1:31" x14ac:dyDescent="0.3">
      <c r="A244" t="s">
        <v>43</v>
      </c>
      <c r="B244" t="s">
        <v>62</v>
      </c>
      <c r="C244" t="s">
        <v>12</v>
      </c>
      <c r="D244" t="s">
        <v>27</v>
      </c>
      <c r="E244" s="16" t="s">
        <v>272</v>
      </c>
      <c r="F244" s="16">
        <v>3</v>
      </c>
      <c r="G244" t="s">
        <v>1524</v>
      </c>
      <c r="H244" t="s">
        <v>1542</v>
      </c>
      <c r="I244" t="s">
        <v>1567</v>
      </c>
      <c r="J244" t="s">
        <v>344</v>
      </c>
      <c r="L244" t="str">
        <f t="shared" si="25"/>
        <v>continuous/fully_connected</v>
      </c>
      <c r="M244" t="str">
        <f t="shared" si="26"/>
        <v>inclined/declined + standard_truss</v>
      </c>
      <c r="N244" t="str">
        <f t="shared" si="24"/>
        <v>top_structure/rock_structure + 3anc</v>
      </c>
      <c r="O244" t="s">
        <v>1692</v>
      </c>
      <c r="R244" t="s">
        <v>946</v>
      </c>
      <c r="S244" t="s">
        <v>292</v>
      </c>
      <c r="T244" t="s">
        <v>293</v>
      </c>
      <c r="U244" t="s">
        <v>292</v>
      </c>
      <c r="V244" t="s">
        <v>293</v>
      </c>
      <c r="W244" t="s">
        <v>293</v>
      </c>
      <c r="X244" t="str">
        <f t="shared" si="27"/>
        <v>road-</v>
      </c>
      <c r="Y244" t="str">
        <f t="shared" si="28"/>
        <v/>
      </c>
      <c r="Z244" t="str">
        <f t="shared" si="29"/>
        <v>wood-</v>
      </c>
      <c r="AA244" t="str">
        <f t="shared" si="30"/>
        <v/>
      </c>
      <c r="AB244" t="str">
        <f t="shared" si="31"/>
        <v>road-wood-</v>
      </c>
      <c r="AE244" t="s">
        <v>1692</v>
      </c>
    </row>
    <row r="245" spans="1:31" x14ac:dyDescent="0.3">
      <c r="A245" t="s">
        <v>43</v>
      </c>
      <c r="B245" t="s">
        <v>62</v>
      </c>
      <c r="C245" t="s">
        <v>12</v>
      </c>
      <c r="D245" t="s">
        <v>28</v>
      </c>
      <c r="E245" s="16" t="s">
        <v>272</v>
      </c>
      <c r="F245" s="16">
        <v>3</v>
      </c>
      <c r="G245" t="s">
        <v>1524</v>
      </c>
      <c r="H245" t="s">
        <v>1542</v>
      </c>
      <c r="I245" t="s">
        <v>1567</v>
      </c>
      <c r="J245" t="s">
        <v>344</v>
      </c>
      <c r="L245" t="str">
        <f t="shared" si="25"/>
        <v>continuous/fully_connected</v>
      </c>
      <c r="M245" t="str">
        <f t="shared" si="26"/>
        <v>inclined/declined + standard_truss</v>
      </c>
      <c r="N245" t="str">
        <f t="shared" si="24"/>
        <v>top_structure/rock_structure + 3anc</v>
      </c>
      <c r="O245" t="s">
        <v>1692</v>
      </c>
      <c r="R245" t="s">
        <v>947</v>
      </c>
      <c r="S245" t="s">
        <v>292</v>
      </c>
      <c r="T245" t="s">
        <v>293</v>
      </c>
      <c r="U245" t="s">
        <v>292</v>
      </c>
      <c r="V245" t="s">
        <v>293</v>
      </c>
      <c r="W245" t="s">
        <v>293</v>
      </c>
      <c r="X245" t="str">
        <f t="shared" si="27"/>
        <v>road-</v>
      </c>
      <c r="Y245" t="str">
        <f t="shared" si="28"/>
        <v/>
      </c>
      <c r="Z245" t="str">
        <f t="shared" si="29"/>
        <v>wood-</v>
      </c>
      <c r="AA245" t="str">
        <f t="shared" si="30"/>
        <v/>
      </c>
      <c r="AB245" t="str">
        <f t="shared" si="31"/>
        <v>road-wood-</v>
      </c>
      <c r="AE245" t="s">
        <v>1692</v>
      </c>
    </row>
    <row r="246" spans="1:31" x14ac:dyDescent="0.3">
      <c r="A246" t="s">
        <v>43</v>
      </c>
      <c r="B246" t="s">
        <v>62</v>
      </c>
      <c r="C246" t="s">
        <v>29</v>
      </c>
      <c r="D246" t="s">
        <v>64</v>
      </c>
      <c r="E246" s="16" t="s">
        <v>272</v>
      </c>
      <c r="F246" s="16">
        <v>3</v>
      </c>
      <c r="G246" t="s">
        <v>1524</v>
      </c>
      <c r="H246" t="s">
        <v>282</v>
      </c>
      <c r="I246" t="s">
        <v>1567</v>
      </c>
      <c r="J246" t="s">
        <v>344</v>
      </c>
      <c r="L246" t="str">
        <f t="shared" si="25"/>
        <v>continuous/fully_connected</v>
      </c>
      <c r="M246" t="str">
        <f t="shared" si="26"/>
        <v>arch + standard_truss</v>
      </c>
      <c r="N246" t="str">
        <f t="shared" si="24"/>
        <v>top_structure/rock_structure + 3anc</v>
      </c>
      <c r="O246" t="s">
        <v>1687</v>
      </c>
      <c r="R246" t="s">
        <v>948</v>
      </c>
      <c r="S246" t="s">
        <v>292</v>
      </c>
      <c r="T246" t="s">
        <v>293</v>
      </c>
      <c r="U246" t="s">
        <v>293</v>
      </c>
      <c r="V246" t="s">
        <v>292</v>
      </c>
      <c r="W246" t="s">
        <v>293</v>
      </c>
      <c r="X246" t="str">
        <f t="shared" si="27"/>
        <v>road-</v>
      </c>
      <c r="Y246" t="str">
        <f t="shared" si="28"/>
        <v/>
      </c>
      <c r="Z246" t="str">
        <f t="shared" si="29"/>
        <v/>
      </c>
      <c r="AA246" t="str">
        <f t="shared" si="30"/>
        <v>steel</v>
      </c>
      <c r="AB246" t="str">
        <f t="shared" si="31"/>
        <v>road-steel</v>
      </c>
      <c r="AE246" t="s">
        <v>1687</v>
      </c>
    </row>
    <row r="247" spans="1:31" x14ac:dyDescent="0.3">
      <c r="A247" t="s">
        <v>43</v>
      </c>
      <c r="B247" t="s">
        <v>62</v>
      </c>
      <c r="C247" t="s">
        <v>29</v>
      </c>
      <c r="D247" t="s">
        <v>39</v>
      </c>
      <c r="E247" s="16" t="s">
        <v>272</v>
      </c>
      <c r="F247" s="16">
        <v>2</v>
      </c>
      <c r="G247" t="s">
        <v>1524</v>
      </c>
      <c r="H247" t="s">
        <v>282</v>
      </c>
      <c r="I247" t="s">
        <v>341</v>
      </c>
      <c r="J247" t="s">
        <v>345</v>
      </c>
      <c r="L247" t="str">
        <f t="shared" si="25"/>
        <v>continuous/fully_connected</v>
      </c>
      <c r="M247" t="str">
        <f t="shared" si="26"/>
        <v>arch + arch_truss</v>
      </c>
      <c r="N247" t="str">
        <f t="shared" si="24"/>
        <v>top_structure + 2anc</v>
      </c>
      <c r="O247" t="s">
        <v>1692</v>
      </c>
      <c r="R247" t="s">
        <v>949</v>
      </c>
      <c r="S247" t="s">
        <v>292</v>
      </c>
      <c r="T247" t="s">
        <v>293</v>
      </c>
      <c r="U247" t="s">
        <v>292</v>
      </c>
      <c r="V247" t="s">
        <v>293</v>
      </c>
      <c r="W247" t="s">
        <v>293</v>
      </c>
      <c r="X247" t="str">
        <f t="shared" si="27"/>
        <v>road-</v>
      </c>
      <c r="Y247" t="str">
        <f t="shared" si="28"/>
        <v/>
      </c>
      <c r="Z247" t="str">
        <f t="shared" si="29"/>
        <v>wood-</v>
      </c>
      <c r="AA247" t="str">
        <f t="shared" si="30"/>
        <v/>
      </c>
      <c r="AB247" t="str">
        <f t="shared" si="31"/>
        <v>road-wood-</v>
      </c>
      <c r="AE247" t="s">
        <v>1692</v>
      </c>
    </row>
    <row r="248" spans="1:31" x14ac:dyDescent="0.3">
      <c r="A248" t="s">
        <v>43</v>
      </c>
      <c r="B248" t="s">
        <v>62</v>
      </c>
      <c r="C248" t="s">
        <v>29</v>
      </c>
      <c r="D248" t="s">
        <v>37</v>
      </c>
      <c r="E248" s="16" t="s">
        <v>272</v>
      </c>
      <c r="F248" s="16">
        <v>2</v>
      </c>
      <c r="G248" t="s">
        <v>1524</v>
      </c>
      <c r="H248" t="s">
        <v>282</v>
      </c>
      <c r="I248" t="s">
        <v>341</v>
      </c>
      <c r="J248" t="s">
        <v>344</v>
      </c>
      <c r="L248" t="str">
        <f t="shared" si="25"/>
        <v>continuous/fully_connected</v>
      </c>
      <c r="M248" t="str">
        <f t="shared" si="26"/>
        <v>arch + standard_truss</v>
      </c>
      <c r="N248" t="str">
        <f t="shared" si="24"/>
        <v>top_structure + 2anc</v>
      </c>
      <c r="O248" t="s">
        <v>1692</v>
      </c>
      <c r="R248" t="s">
        <v>950</v>
      </c>
      <c r="S248" t="s">
        <v>292</v>
      </c>
      <c r="T248" t="s">
        <v>293</v>
      </c>
      <c r="U248" t="s">
        <v>292</v>
      </c>
      <c r="V248" t="s">
        <v>293</v>
      </c>
      <c r="W248" t="s">
        <v>293</v>
      </c>
      <c r="X248" t="str">
        <f t="shared" si="27"/>
        <v>road-</v>
      </c>
      <c r="Y248" t="str">
        <f t="shared" si="28"/>
        <v/>
      </c>
      <c r="Z248" t="str">
        <f t="shared" si="29"/>
        <v>wood-</v>
      </c>
      <c r="AA248" t="str">
        <f t="shared" si="30"/>
        <v/>
      </c>
      <c r="AB248" t="str">
        <f t="shared" si="31"/>
        <v>road-wood-</v>
      </c>
      <c r="AE248" t="s">
        <v>1692</v>
      </c>
    </row>
    <row r="249" spans="1:31" x14ac:dyDescent="0.3">
      <c r="A249" t="s">
        <v>43</v>
      </c>
      <c r="B249" t="s">
        <v>62</v>
      </c>
      <c r="C249" t="s">
        <v>29</v>
      </c>
      <c r="D249" t="s">
        <v>32</v>
      </c>
      <c r="E249" s="16" t="s">
        <v>272</v>
      </c>
      <c r="F249" s="16">
        <v>3</v>
      </c>
      <c r="G249" t="s">
        <v>1525</v>
      </c>
      <c r="H249" t="s">
        <v>283</v>
      </c>
      <c r="I249" t="s">
        <v>1567</v>
      </c>
      <c r="J249" t="s">
        <v>344</v>
      </c>
      <c r="L249" t="str">
        <f t="shared" si="25"/>
        <v>missing_section/right</v>
      </c>
      <c r="M249" t="str">
        <f t="shared" si="26"/>
        <v>inclined + standard_truss</v>
      </c>
      <c r="N249" t="str">
        <f t="shared" si="24"/>
        <v>top_structure/rock_structure + 3anc</v>
      </c>
      <c r="O249" t="s">
        <v>1692</v>
      </c>
      <c r="R249" t="s">
        <v>951</v>
      </c>
      <c r="S249" t="s">
        <v>292</v>
      </c>
      <c r="T249" t="s">
        <v>293</v>
      </c>
      <c r="U249" t="s">
        <v>292</v>
      </c>
      <c r="V249" t="s">
        <v>293</v>
      </c>
      <c r="W249" t="s">
        <v>293</v>
      </c>
      <c r="X249" t="str">
        <f t="shared" si="27"/>
        <v>road-</v>
      </c>
      <c r="Y249" t="str">
        <f t="shared" si="28"/>
        <v/>
      </c>
      <c r="Z249" t="str">
        <f t="shared" si="29"/>
        <v>wood-</v>
      </c>
      <c r="AA249" t="str">
        <f t="shared" si="30"/>
        <v/>
      </c>
      <c r="AB249" t="str">
        <f t="shared" si="31"/>
        <v>road-wood-</v>
      </c>
      <c r="AE249" t="s">
        <v>1692</v>
      </c>
    </row>
    <row r="250" spans="1:31" x14ac:dyDescent="0.3">
      <c r="A250" t="s">
        <v>43</v>
      </c>
      <c r="B250" t="s">
        <v>62</v>
      </c>
      <c r="C250" t="s">
        <v>29</v>
      </c>
      <c r="D250" t="s">
        <v>41</v>
      </c>
      <c r="E250" s="16" t="s">
        <v>272</v>
      </c>
      <c r="F250" s="16">
        <v>2</v>
      </c>
      <c r="G250" t="s">
        <v>1524</v>
      </c>
      <c r="H250" t="s">
        <v>282</v>
      </c>
      <c r="I250" t="s">
        <v>341</v>
      </c>
      <c r="J250" t="s">
        <v>345</v>
      </c>
      <c r="L250" t="str">
        <f t="shared" si="25"/>
        <v>continuous/fully_connected</v>
      </c>
      <c r="M250" t="str">
        <f t="shared" si="26"/>
        <v>arch + arch_truss</v>
      </c>
      <c r="N250" t="str">
        <f t="shared" si="24"/>
        <v>top_structure + 2anc</v>
      </c>
      <c r="O250" t="s">
        <v>1692</v>
      </c>
      <c r="R250" t="s">
        <v>952</v>
      </c>
      <c r="S250" t="s">
        <v>292</v>
      </c>
      <c r="T250" t="s">
        <v>293</v>
      </c>
      <c r="U250" t="s">
        <v>292</v>
      </c>
      <c r="V250" t="s">
        <v>293</v>
      </c>
      <c r="W250" t="s">
        <v>293</v>
      </c>
      <c r="X250" t="str">
        <f t="shared" si="27"/>
        <v>road-</v>
      </c>
      <c r="Y250" t="str">
        <f t="shared" si="28"/>
        <v/>
      </c>
      <c r="Z250" t="str">
        <f t="shared" si="29"/>
        <v>wood-</v>
      </c>
      <c r="AA250" t="str">
        <f t="shared" si="30"/>
        <v/>
      </c>
      <c r="AB250" t="str">
        <f t="shared" si="31"/>
        <v>road-wood-</v>
      </c>
      <c r="AE250" t="s">
        <v>1692</v>
      </c>
    </row>
    <row r="251" spans="1:31" x14ac:dyDescent="0.3">
      <c r="A251" t="s">
        <v>43</v>
      </c>
      <c r="B251" t="s">
        <v>62</v>
      </c>
      <c r="C251" t="s">
        <v>29</v>
      </c>
      <c r="D251" t="s">
        <v>40</v>
      </c>
      <c r="E251" s="16" t="s">
        <v>272</v>
      </c>
      <c r="F251" s="16">
        <v>2</v>
      </c>
      <c r="G251" t="s">
        <v>1524</v>
      </c>
      <c r="H251" t="s">
        <v>282</v>
      </c>
      <c r="I251" t="s">
        <v>341</v>
      </c>
      <c r="J251" t="s">
        <v>345</v>
      </c>
      <c r="L251" t="str">
        <f t="shared" si="25"/>
        <v>continuous/fully_connected</v>
      </c>
      <c r="M251" t="str">
        <f t="shared" si="26"/>
        <v>arch + arch_truss</v>
      </c>
      <c r="N251" t="str">
        <f t="shared" si="24"/>
        <v>top_structure + 2anc</v>
      </c>
      <c r="O251" t="s">
        <v>1692</v>
      </c>
      <c r="R251" t="s">
        <v>953</v>
      </c>
      <c r="S251" t="s">
        <v>292</v>
      </c>
      <c r="T251" t="s">
        <v>293</v>
      </c>
      <c r="U251" t="s">
        <v>292</v>
      </c>
      <c r="V251" t="s">
        <v>293</v>
      </c>
      <c r="W251" t="s">
        <v>293</v>
      </c>
      <c r="X251" t="str">
        <f t="shared" si="27"/>
        <v>road-</v>
      </c>
      <c r="Y251" t="str">
        <f t="shared" si="28"/>
        <v/>
      </c>
      <c r="Z251" t="str">
        <f t="shared" si="29"/>
        <v>wood-</v>
      </c>
      <c r="AA251" t="str">
        <f t="shared" si="30"/>
        <v/>
      </c>
      <c r="AB251" t="str">
        <f t="shared" si="31"/>
        <v>road-wood-</v>
      </c>
      <c r="AE251" t="s">
        <v>1692</v>
      </c>
    </row>
    <row r="252" spans="1:31" x14ac:dyDescent="0.3">
      <c r="A252" t="s">
        <v>43</v>
      </c>
      <c r="B252" t="s">
        <v>62</v>
      </c>
      <c r="C252" t="s">
        <v>29</v>
      </c>
      <c r="D252" t="s">
        <v>63</v>
      </c>
      <c r="E252" s="16" t="s">
        <v>272</v>
      </c>
      <c r="F252" s="16">
        <v>2</v>
      </c>
      <c r="G252" t="s">
        <v>1524</v>
      </c>
      <c r="H252" t="s">
        <v>282</v>
      </c>
      <c r="I252" t="s">
        <v>341</v>
      </c>
      <c r="J252" t="s">
        <v>345</v>
      </c>
      <c r="L252" t="str">
        <f t="shared" si="25"/>
        <v>continuous/fully_connected</v>
      </c>
      <c r="M252" t="str">
        <f t="shared" si="26"/>
        <v>arch + arch_truss</v>
      </c>
      <c r="N252" t="str">
        <f t="shared" si="24"/>
        <v>top_structure + 2anc</v>
      </c>
      <c r="O252" t="s">
        <v>1693</v>
      </c>
      <c r="R252" t="s">
        <v>954</v>
      </c>
      <c r="S252" t="s">
        <v>293</v>
      </c>
      <c r="T252" t="s">
        <v>292</v>
      </c>
      <c r="U252" t="s">
        <v>292</v>
      </c>
      <c r="V252" t="s">
        <v>293</v>
      </c>
      <c r="W252" t="s">
        <v>293</v>
      </c>
      <c r="X252" t="str">
        <f t="shared" si="27"/>
        <v/>
      </c>
      <c r="Y252" t="str">
        <f t="shared" si="28"/>
        <v>reinforced_road-</v>
      </c>
      <c r="Z252" t="str">
        <f t="shared" si="29"/>
        <v>wood-</v>
      </c>
      <c r="AA252" t="str">
        <f t="shared" si="30"/>
        <v/>
      </c>
      <c r="AB252" t="str">
        <f t="shared" si="31"/>
        <v>reinforced_road-wood-</v>
      </c>
      <c r="AE252" t="s">
        <v>1693</v>
      </c>
    </row>
    <row r="253" spans="1:31" x14ac:dyDescent="0.3">
      <c r="A253" t="s">
        <v>43</v>
      </c>
      <c r="B253" t="s">
        <v>62</v>
      </c>
      <c r="C253" t="s">
        <v>29</v>
      </c>
      <c r="D253" t="s">
        <v>38</v>
      </c>
      <c r="E253" s="16" t="s">
        <v>272</v>
      </c>
      <c r="F253" s="16">
        <v>2</v>
      </c>
      <c r="G253" t="s">
        <v>1524</v>
      </c>
      <c r="H253" t="s">
        <v>282</v>
      </c>
      <c r="I253" t="s">
        <v>341</v>
      </c>
      <c r="J253" t="s">
        <v>345</v>
      </c>
      <c r="L253" t="str">
        <f t="shared" si="25"/>
        <v>continuous/fully_connected</v>
      </c>
      <c r="M253" t="str">
        <f t="shared" si="26"/>
        <v>arch + arch_truss</v>
      </c>
      <c r="N253" t="str">
        <f t="shared" si="24"/>
        <v>top_structure + 2anc</v>
      </c>
      <c r="O253" t="s">
        <v>1692</v>
      </c>
      <c r="R253" t="s">
        <v>955</v>
      </c>
      <c r="S253" t="s">
        <v>292</v>
      </c>
      <c r="T253" t="s">
        <v>293</v>
      </c>
      <c r="U253" t="s">
        <v>292</v>
      </c>
      <c r="V253" t="s">
        <v>293</v>
      </c>
      <c r="W253" t="s">
        <v>293</v>
      </c>
      <c r="X253" t="str">
        <f t="shared" si="27"/>
        <v>road-</v>
      </c>
      <c r="Y253" t="str">
        <f t="shared" si="28"/>
        <v/>
      </c>
      <c r="Z253" t="str">
        <f t="shared" si="29"/>
        <v>wood-</v>
      </c>
      <c r="AA253" t="str">
        <f t="shared" si="30"/>
        <v/>
      </c>
      <c r="AB253" t="str">
        <f t="shared" si="31"/>
        <v>road-wood-</v>
      </c>
      <c r="AE253" t="s">
        <v>1692</v>
      </c>
    </row>
    <row r="254" spans="1:31" x14ac:dyDescent="0.3">
      <c r="A254" t="s">
        <v>43</v>
      </c>
      <c r="B254" t="s">
        <v>62</v>
      </c>
      <c r="C254" t="s">
        <v>29</v>
      </c>
      <c r="D254" t="s">
        <v>65</v>
      </c>
      <c r="E254" s="16" t="s">
        <v>272</v>
      </c>
      <c r="F254" s="16">
        <v>3</v>
      </c>
      <c r="G254" t="s">
        <v>1524</v>
      </c>
      <c r="H254" t="s">
        <v>282</v>
      </c>
      <c r="I254" t="s">
        <v>1567</v>
      </c>
      <c r="J254" t="s">
        <v>345</v>
      </c>
      <c r="L254" t="str">
        <f t="shared" si="25"/>
        <v>continuous/fully_connected</v>
      </c>
      <c r="M254" t="str">
        <f t="shared" si="26"/>
        <v>arch + arch_truss</v>
      </c>
      <c r="N254" t="str">
        <f t="shared" si="24"/>
        <v>top_structure/rock_structure + 3anc</v>
      </c>
      <c r="O254" t="s">
        <v>1684</v>
      </c>
      <c r="R254" t="s">
        <v>956</v>
      </c>
      <c r="S254" t="s">
        <v>292</v>
      </c>
      <c r="T254" t="s">
        <v>293</v>
      </c>
      <c r="U254" t="s">
        <v>292</v>
      </c>
      <c r="V254" t="s">
        <v>292</v>
      </c>
      <c r="W254" t="s">
        <v>293</v>
      </c>
      <c r="X254" t="str">
        <f t="shared" si="27"/>
        <v>road-</v>
      </c>
      <c r="Y254" t="str">
        <f t="shared" si="28"/>
        <v/>
      </c>
      <c r="Z254" t="str">
        <f t="shared" si="29"/>
        <v>wood-</v>
      </c>
      <c r="AA254" t="str">
        <f t="shared" si="30"/>
        <v>steel</v>
      </c>
      <c r="AB254" t="str">
        <f t="shared" si="31"/>
        <v>road-wood-steel</v>
      </c>
      <c r="AE254" t="s">
        <v>1684</v>
      </c>
    </row>
    <row r="255" spans="1:31" x14ac:dyDescent="0.3">
      <c r="A255" t="s">
        <v>43</v>
      </c>
      <c r="B255" t="s">
        <v>62</v>
      </c>
      <c r="C255" t="s">
        <v>29</v>
      </c>
      <c r="D255" t="s">
        <v>34</v>
      </c>
      <c r="E255" s="16" t="s">
        <v>272</v>
      </c>
      <c r="F255" s="16">
        <v>3</v>
      </c>
      <c r="G255" t="s">
        <v>1525</v>
      </c>
      <c r="H255" t="s">
        <v>283</v>
      </c>
      <c r="I255" t="s">
        <v>1567</v>
      </c>
      <c r="J255" t="s">
        <v>344</v>
      </c>
      <c r="L255" t="str">
        <f t="shared" si="25"/>
        <v>missing_section/right</v>
      </c>
      <c r="M255" t="str">
        <f t="shared" si="26"/>
        <v>inclined + standard_truss</v>
      </c>
      <c r="N255" t="str">
        <f t="shared" si="24"/>
        <v>top_structure/rock_structure + 3anc</v>
      </c>
      <c r="O255" t="s">
        <v>1692</v>
      </c>
      <c r="R255" t="s">
        <v>957</v>
      </c>
      <c r="S255" t="s">
        <v>292</v>
      </c>
      <c r="T255" t="s">
        <v>293</v>
      </c>
      <c r="U255" t="s">
        <v>292</v>
      </c>
      <c r="V255" t="s">
        <v>293</v>
      </c>
      <c r="W255" t="s">
        <v>293</v>
      </c>
      <c r="X255" t="str">
        <f t="shared" si="27"/>
        <v>road-</v>
      </c>
      <c r="Y255" t="str">
        <f t="shared" si="28"/>
        <v/>
      </c>
      <c r="Z255" t="str">
        <f t="shared" si="29"/>
        <v>wood-</v>
      </c>
      <c r="AA255" t="str">
        <f t="shared" si="30"/>
        <v/>
      </c>
      <c r="AB255" t="str">
        <f t="shared" si="31"/>
        <v>road-wood-</v>
      </c>
      <c r="AE255" t="s">
        <v>1692</v>
      </c>
    </row>
    <row r="256" spans="1:31" x14ac:dyDescent="0.3">
      <c r="A256" t="s">
        <v>43</v>
      </c>
      <c r="B256" t="s">
        <v>62</v>
      </c>
      <c r="C256" t="s">
        <v>29</v>
      </c>
      <c r="D256" t="s">
        <v>42</v>
      </c>
      <c r="E256" s="16" t="s">
        <v>272</v>
      </c>
      <c r="F256" s="16">
        <v>3</v>
      </c>
      <c r="G256" t="s">
        <v>1524</v>
      </c>
      <c r="H256" t="s">
        <v>282</v>
      </c>
      <c r="I256" t="s">
        <v>341</v>
      </c>
      <c r="J256" t="s">
        <v>345</v>
      </c>
      <c r="L256" t="str">
        <f t="shared" si="25"/>
        <v>continuous/fully_connected</v>
      </c>
      <c r="M256" t="str">
        <f t="shared" si="26"/>
        <v>arch + arch_truss</v>
      </c>
      <c r="N256" t="str">
        <f t="shared" si="24"/>
        <v>top_structure + 3anc</v>
      </c>
      <c r="O256" t="s">
        <v>1690</v>
      </c>
      <c r="R256" t="s">
        <v>958</v>
      </c>
      <c r="S256" t="s">
        <v>292</v>
      </c>
      <c r="T256" t="s">
        <v>292</v>
      </c>
      <c r="U256" t="s">
        <v>292</v>
      </c>
      <c r="V256" t="s">
        <v>293</v>
      </c>
      <c r="W256" t="s">
        <v>293</v>
      </c>
      <c r="X256" t="str">
        <f t="shared" si="27"/>
        <v>road-</v>
      </c>
      <c r="Y256" t="str">
        <f t="shared" si="28"/>
        <v>reinforced_road-</v>
      </c>
      <c r="Z256" t="str">
        <f t="shared" si="29"/>
        <v>wood-</v>
      </c>
      <c r="AA256" t="str">
        <f t="shared" si="30"/>
        <v/>
      </c>
      <c r="AB256" t="str">
        <f t="shared" si="31"/>
        <v>road-reinforced_road-wood-</v>
      </c>
      <c r="AE256" t="s">
        <v>1690</v>
      </c>
    </row>
    <row r="257" spans="1:31" x14ac:dyDescent="0.3">
      <c r="A257" t="s">
        <v>43</v>
      </c>
      <c r="B257" t="s">
        <v>62</v>
      </c>
      <c r="C257" t="s">
        <v>29</v>
      </c>
      <c r="D257" t="s">
        <v>36</v>
      </c>
      <c r="E257" s="16" t="s">
        <v>272</v>
      </c>
      <c r="F257" s="16">
        <v>3</v>
      </c>
      <c r="G257" t="s">
        <v>1525</v>
      </c>
      <c r="H257" t="s">
        <v>283</v>
      </c>
      <c r="I257" t="s">
        <v>1567</v>
      </c>
      <c r="J257" t="s">
        <v>345</v>
      </c>
      <c r="L257" t="str">
        <f t="shared" si="25"/>
        <v>missing_section/right</v>
      </c>
      <c r="M257" t="str">
        <f t="shared" si="26"/>
        <v>inclined + arch_truss</v>
      </c>
      <c r="N257" t="str">
        <f t="shared" si="24"/>
        <v>top_structure/rock_structure + 3anc</v>
      </c>
      <c r="O257" t="s">
        <v>1692</v>
      </c>
      <c r="R257" t="s">
        <v>959</v>
      </c>
      <c r="S257" t="s">
        <v>292</v>
      </c>
      <c r="T257" t="s">
        <v>293</v>
      </c>
      <c r="U257" t="s">
        <v>292</v>
      </c>
      <c r="V257" t="s">
        <v>293</v>
      </c>
      <c r="W257" t="s">
        <v>293</v>
      </c>
      <c r="X257" t="str">
        <f t="shared" si="27"/>
        <v>road-</v>
      </c>
      <c r="Y257" t="str">
        <f t="shared" si="28"/>
        <v/>
      </c>
      <c r="Z257" t="str">
        <f t="shared" si="29"/>
        <v>wood-</v>
      </c>
      <c r="AA257" t="str">
        <f t="shared" si="30"/>
        <v/>
      </c>
      <c r="AB257" t="str">
        <f t="shared" si="31"/>
        <v>road-wood-</v>
      </c>
      <c r="AE257" t="s">
        <v>1692</v>
      </c>
    </row>
    <row r="258" spans="1:31" x14ac:dyDescent="0.3">
      <c r="A258" t="s">
        <v>43</v>
      </c>
      <c r="B258" t="s">
        <v>62</v>
      </c>
      <c r="C258" t="s">
        <v>29</v>
      </c>
      <c r="D258" t="s">
        <v>33</v>
      </c>
      <c r="E258" s="16" t="s">
        <v>272</v>
      </c>
      <c r="F258" s="16">
        <v>3</v>
      </c>
      <c r="G258" t="s">
        <v>1525</v>
      </c>
      <c r="H258" t="s">
        <v>283</v>
      </c>
      <c r="I258" t="s">
        <v>1567</v>
      </c>
      <c r="J258" t="s">
        <v>344</v>
      </c>
      <c r="L258" t="str">
        <f t="shared" si="25"/>
        <v>missing_section/right</v>
      </c>
      <c r="M258" t="str">
        <f t="shared" si="26"/>
        <v>inclined + standard_truss</v>
      </c>
      <c r="N258" t="str">
        <f t="shared" ref="N258:N321" si="32">I258&amp;" + "&amp;F258&amp;"anc"</f>
        <v>top_structure/rock_structure + 3anc</v>
      </c>
      <c r="O258" t="s">
        <v>1692</v>
      </c>
      <c r="R258" t="s">
        <v>960</v>
      </c>
      <c r="S258" t="s">
        <v>292</v>
      </c>
      <c r="T258" t="s">
        <v>293</v>
      </c>
      <c r="U258" t="s">
        <v>292</v>
      </c>
      <c r="V258" t="s">
        <v>293</v>
      </c>
      <c r="W258" t="s">
        <v>293</v>
      </c>
      <c r="X258" t="str">
        <f t="shared" si="27"/>
        <v>road-</v>
      </c>
      <c r="Y258" t="str">
        <f t="shared" si="28"/>
        <v/>
      </c>
      <c r="Z258" t="str">
        <f t="shared" si="29"/>
        <v>wood-</v>
      </c>
      <c r="AA258" t="str">
        <f t="shared" si="30"/>
        <v/>
      </c>
      <c r="AB258" t="str">
        <f t="shared" si="31"/>
        <v>road-wood-</v>
      </c>
      <c r="AE258" t="s">
        <v>1692</v>
      </c>
    </row>
    <row r="259" spans="1:31" x14ac:dyDescent="0.3">
      <c r="A259" t="s">
        <v>43</v>
      </c>
      <c r="B259" t="s">
        <v>62</v>
      </c>
      <c r="C259" t="s">
        <v>29</v>
      </c>
      <c r="D259" t="s">
        <v>35</v>
      </c>
      <c r="E259" s="16" t="s">
        <v>272</v>
      </c>
      <c r="F259" s="16">
        <v>3</v>
      </c>
      <c r="G259" t="s">
        <v>1525</v>
      </c>
      <c r="H259" t="s">
        <v>283</v>
      </c>
      <c r="I259" t="s">
        <v>1567</v>
      </c>
      <c r="J259" t="s">
        <v>344</v>
      </c>
      <c r="L259" t="str">
        <f t="shared" ref="L259:L322" si="33">G259</f>
        <v>missing_section/right</v>
      </c>
      <c r="M259" t="str">
        <f t="shared" ref="M259:M322" si="34">H259&amp;" + "&amp;J259</f>
        <v>inclined + standard_truss</v>
      </c>
      <c r="N259" t="str">
        <f t="shared" si="32"/>
        <v>top_structure/rock_structure + 3anc</v>
      </c>
      <c r="O259" t="s">
        <v>1692</v>
      </c>
      <c r="R259" t="s">
        <v>961</v>
      </c>
      <c r="S259" t="s">
        <v>292</v>
      </c>
      <c r="T259" t="s">
        <v>293</v>
      </c>
      <c r="U259" t="s">
        <v>292</v>
      </c>
      <c r="V259" t="s">
        <v>293</v>
      </c>
      <c r="W259" t="s">
        <v>293</v>
      </c>
      <c r="X259" t="str">
        <f t="shared" ref="X259:X322" si="35">IF(S259="yes","road-","")</f>
        <v>road-</v>
      </c>
      <c r="Y259" t="str">
        <f t="shared" ref="Y259:Y322" si="36">IF(T259="yes","reinforced_road-","")</f>
        <v/>
      </c>
      <c r="Z259" t="str">
        <f t="shared" ref="Z259:Z322" si="37">IF(U259="yes","wood-","")</f>
        <v>wood-</v>
      </c>
      <c r="AA259" t="str">
        <f t="shared" ref="AA259:AA322" si="38">IF(V259="yes","steel","")</f>
        <v/>
      </c>
      <c r="AB259" t="str">
        <f t="shared" ref="AB259:AB322" si="39">X259&amp;Y259&amp;Z259&amp;AA259</f>
        <v>road-wood-</v>
      </c>
      <c r="AE259" t="s">
        <v>1692</v>
      </c>
    </row>
    <row r="260" spans="1:31" x14ac:dyDescent="0.3">
      <c r="A260" t="s">
        <v>43</v>
      </c>
      <c r="B260" t="s">
        <v>58</v>
      </c>
      <c r="C260" t="s">
        <v>12</v>
      </c>
      <c r="D260" t="s">
        <v>15</v>
      </c>
      <c r="E260" s="16" t="s">
        <v>272</v>
      </c>
      <c r="F260" s="16">
        <v>3</v>
      </c>
      <c r="G260" t="s">
        <v>1524</v>
      </c>
      <c r="H260" t="s">
        <v>1537</v>
      </c>
      <c r="I260" t="s">
        <v>1566</v>
      </c>
      <c r="J260" t="s">
        <v>1572</v>
      </c>
      <c r="L260" t="str">
        <f t="shared" si="33"/>
        <v>continuous/fully_connected</v>
      </c>
      <c r="M260" t="str">
        <f t="shared" si="34"/>
        <v>arch/straight + arch_truss/other</v>
      </c>
      <c r="N260" t="str">
        <f t="shared" si="32"/>
        <v>top_structure/bottom_structure/rock_structure + 3anc</v>
      </c>
      <c r="O260" t="s">
        <v>1684</v>
      </c>
      <c r="R260" t="s">
        <v>962</v>
      </c>
      <c r="S260" t="s">
        <v>292</v>
      </c>
      <c r="T260" t="s">
        <v>293</v>
      </c>
      <c r="U260" t="s">
        <v>292</v>
      </c>
      <c r="V260" t="s">
        <v>292</v>
      </c>
      <c r="W260" t="s">
        <v>293</v>
      </c>
      <c r="X260" t="str">
        <f t="shared" si="35"/>
        <v>road-</v>
      </c>
      <c r="Y260" t="str">
        <f t="shared" si="36"/>
        <v/>
      </c>
      <c r="Z260" t="str">
        <f t="shared" si="37"/>
        <v>wood-</v>
      </c>
      <c r="AA260" t="str">
        <f t="shared" si="38"/>
        <v>steel</v>
      </c>
      <c r="AB260" t="str">
        <f t="shared" si="39"/>
        <v>road-wood-steel</v>
      </c>
      <c r="AE260" t="s">
        <v>1684</v>
      </c>
    </row>
    <row r="261" spans="1:31" x14ac:dyDescent="0.3">
      <c r="A261" t="s">
        <v>43</v>
      </c>
      <c r="B261" t="s">
        <v>58</v>
      </c>
      <c r="C261" t="s">
        <v>12</v>
      </c>
      <c r="D261" t="s">
        <v>14</v>
      </c>
      <c r="E261" s="16" t="s">
        <v>272</v>
      </c>
      <c r="F261" s="16">
        <v>3</v>
      </c>
      <c r="G261" t="s">
        <v>1524</v>
      </c>
      <c r="H261" t="s">
        <v>1557</v>
      </c>
      <c r="I261" t="s">
        <v>1566</v>
      </c>
      <c r="J261" t="s">
        <v>1573</v>
      </c>
      <c r="L261" t="str">
        <f t="shared" si="33"/>
        <v>continuous/fully_connected</v>
      </c>
      <c r="M261" t="str">
        <f t="shared" si="34"/>
        <v>straight/inclined/arch + arch_truss/other_truss</v>
      </c>
      <c r="N261" t="str">
        <f t="shared" si="32"/>
        <v>top_structure/bottom_structure/rock_structure + 3anc</v>
      </c>
      <c r="O261" t="s">
        <v>1684</v>
      </c>
      <c r="R261" t="s">
        <v>963</v>
      </c>
      <c r="S261" t="s">
        <v>292</v>
      </c>
      <c r="T261" t="s">
        <v>293</v>
      </c>
      <c r="U261" t="s">
        <v>292</v>
      </c>
      <c r="V261" t="s">
        <v>292</v>
      </c>
      <c r="W261" t="s">
        <v>293</v>
      </c>
      <c r="X261" t="str">
        <f t="shared" si="35"/>
        <v>road-</v>
      </c>
      <c r="Y261" t="str">
        <f t="shared" si="36"/>
        <v/>
      </c>
      <c r="Z261" t="str">
        <f t="shared" si="37"/>
        <v>wood-</v>
      </c>
      <c r="AA261" t="str">
        <f t="shared" si="38"/>
        <v>steel</v>
      </c>
      <c r="AB261" t="str">
        <f t="shared" si="39"/>
        <v>road-wood-steel</v>
      </c>
      <c r="AE261" t="s">
        <v>1684</v>
      </c>
    </row>
    <row r="262" spans="1:31" x14ac:dyDescent="0.3">
      <c r="A262" t="s">
        <v>43</v>
      </c>
      <c r="B262" t="s">
        <v>58</v>
      </c>
      <c r="C262" t="s">
        <v>12</v>
      </c>
      <c r="D262" t="s">
        <v>11</v>
      </c>
      <c r="E262" s="16" t="s">
        <v>272</v>
      </c>
      <c r="F262" s="16">
        <v>3</v>
      </c>
      <c r="G262" t="s">
        <v>1524</v>
      </c>
      <c r="H262" t="s">
        <v>1557</v>
      </c>
      <c r="I262" t="s">
        <v>1566</v>
      </c>
      <c r="J262" t="s">
        <v>344</v>
      </c>
      <c r="L262" t="str">
        <f t="shared" si="33"/>
        <v>continuous/fully_connected</v>
      </c>
      <c r="M262" t="str">
        <f t="shared" si="34"/>
        <v>straight/inclined/arch + standard_truss</v>
      </c>
      <c r="N262" t="str">
        <f t="shared" si="32"/>
        <v>top_structure/bottom_structure/rock_structure + 3anc</v>
      </c>
      <c r="O262" t="s">
        <v>1684</v>
      </c>
      <c r="R262" t="s">
        <v>964</v>
      </c>
      <c r="S262" t="s">
        <v>292</v>
      </c>
      <c r="T262" t="s">
        <v>293</v>
      </c>
      <c r="U262" t="s">
        <v>292</v>
      </c>
      <c r="V262" t="s">
        <v>292</v>
      </c>
      <c r="W262" t="s">
        <v>293</v>
      </c>
      <c r="X262" t="str">
        <f t="shared" si="35"/>
        <v>road-</v>
      </c>
      <c r="Y262" t="str">
        <f t="shared" si="36"/>
        <v/>
      </c>
      <c r="Z262" t="str">
        <f t="shared" si="37"/>
        <v>wood-</v>
      </c>
      <c r="AA262" t="str">
        <f t="shared" si="38"/>
        <v>steel</v>
      </c>
      <c r="AB262" t="str">
        <f t="shared" si="39"/>
        <v>road-wood-steel</v>
      </c>
      <c r="AE262" t="s">
        <v>1684</v>
      </c>
    </row>
    <row r="263" spans="1:31" x14ac:dyDescent="0.3">
      <c r="A263" t="s">
        <v>43</v>
      </c>
      <c r="B263" t="s">
        <v>58</v>
      </c>
      <c r="C263" t="s">
        <v>12</v>
      </c>
      <c r="D263" t="s">
        <v>16</v>
      </c>
      <c r="E263" s="16" t="s">
        <v>272</v>
      </c>
      <c r="F263" s="16">
        <v>3</v>
      </c>
      <c r="G263" t="s">
        <v>1524</v>
      </c>
      <c r="H263" t="s">
        <v>1557</v>
      </c>
      <c r="I263" t="s">
        <v>1566</v>
      </c>
      <c r="J263" t="s">
        <v>345</v>
      </c>
      <c r="L263" t="str">
        <f t="shared" si="33"/>
        <v>continuous/fully_connected</v>
      </c>
      <c r="M263" t="str">
        <f t="shared" si="34"/>
        <v>straight/inclined/arch + arch_truss</v>
      </c>
      <c r="N263" t="str">
        <f t="shared" si="32"/>
        <v>top_structure/bottom_structure/rock_structure + 3anc</v>
      </c>
      <c r="O263" t="s">
        <v>1684</v>
      </c>
      <c r="R263" t="s">
        <v>965</v>
      </c>
      <c r="S263" t="s">
        <v>292</v>
      </c>
      <c r="T263" t="s">
        <v>293</v>
      </c>
      <c r="U263" t="s">
        <v>292</v>
      </c>
      <c r="V263" t="s">
        <v>292</v>
      </c>
      <c r="W263" t="s">
        <v>293</v>
      </c>
      <c r="X263" t="str">
        <f t="shared" si="35"/>
        <v>road-</v>
      </c>
      <c r="Y263" t="str">
        <f t="shared" si="36"/>
        <v/>
      </c>
      <c r="Z263" t="str">
        <f t="shared" si="37"/>
        <v>wood-</v>
      </c>
      <c r="AA263" t="str">
        <f t="shared" si="38"/>
        <v>steel</v>
      </c>
      <c r="AB263" t="str">
        <f t="shared" si="39"/>
        <v>road-wood-steel</v>
      </c>
      <c r="AE263" t="s">
        <v>1684</v>
      </c>
    </row>
    <row r="264" spans="1:31" x14ac:dyDescent="0.3">
      <c r="A264" t="s">
        <v>43</v>
      </c>
      <c r="B264" t="s">
        <v>58</v>
      </c>
      <c r="C264" t="s">
        <v>29</v>
      </c>
      <c r="D264" t="s">
        <v>19</v>
      </c>
      <c r="E264" s="16" t="s">
        <v>272</v>
      </c>
      <c r="F264" s="16">
        <v>2</v>
      </c>
      <c r="G264" t="s">
        <v>1524</v>
      </c>
      <c r="H264" t="s">
        <v>1537</v>
      </c>
      <c r="I264" t="s">
        <v>341</v>
      </c>
      <c r="J264" t="s">
        <v>1571</v>
      </c>
      <c r="L264" t="str">
        <f t="shared" si="33"/>
        <v>continuous/fully_connected</v>
      </c>
      <c r="M264" t="str">
        <f t="shared" si="34"/>
        <v>arch/straight + standard_truss/other_truss</v>
      </c>
      <c r="N264" t="str">
        <f t="shared" si="32"/>
        <v>top_structure + 2anc</v>
      </c>
      <c r="O264" t="s">
        <v>1684</v>
      </c>
      <c r="R264" t="s">
        <v>966</v>
      </c>
      <c r="S264" t="s">
        <v>292</v>
      </c>
      <c r="T264" t="s">
        <v>293</v>
      </c>
      <c r="U264" t="s">
        <v>292</v>
      </c>
      <c r="V264" t="s">
        <v>292</v>
      </c>
      <c r="W264" t="s">
        <v>293</v>
      </c>
      <c r="X264" t="str">
        <f t="shared" si="35"/>
        <v>road-</v>
      </c>
      <c r="Y264" t="str">
        <f t="shared" si="36"/>
        <v/>
      </c>
      <c r="Z264" t="str">
        <f t="shared" si="37"/>
        <v>wood-</v>
      </c>
      <c r="AA264" t="str">
        <f t="shared" si="38"/>
        <v>steel</v>
      </c>
      <c r="AB264" t="str">
        <f t="shared" si="39"/>
        <v>road-wood-steel</v>
      </c>
      <c r="AE264" t="s">
        <v>1684</v>
      </c>
    </row>
    <row r="265" spans="1:31" x14ac:dyDescent="0.3">
      <c r="A265" t="s">
        <v>43</v>
      </c>
      <c r="B265" t="s">
        <v>58</v>
      </c>
      <c r="C265" t="s">
        <v>29</v>
      </c>
      <c r="D265" t="s">
        <v>17</v>
      </c>
      <c r="E265" s="16" t="s">
        <v>272</v>
      </c>
      <c r="F265" s="16">
        <v>2</v>
      </c>
      <c r="G265" t="s">
        <v>1524</v>
      </c>
      <c r="H265" t="s">
        <v>1537</v>
      </c>
      <c r="I265" t="s">
        <v>341</v>
      </c>
      <c r="J265" t="s">
        <v>1571</v>
      </c>
      <c r="L265" t="str">
        <f t="shared" si="33"/>
        <v>continuous/fully_connected</v>
      </c>
      <c r="M265" t="str">
        <f t="shared" si="34"/>
        <v>arch/straight + standard_truss/other_truss</v>
      </c>
      <c r="N265" t="str">
        <f t="shared" si="32"/>
        <v>top_structure + 2anc</v>
      </c>
      <c r="O265" t="s">
        <v>1684</v>
      </c>
      <c r="R265" t="s">
        <v>967</v>
      </c>
      <c r="S265" t="s">
        <v>292</v>
      </c>
      <c r="T265" t="s">
        <v>293</v>
      </c>
      <c r="U265" t="s">
        <v>292</v>
      </c>
      <c r="V265" t="s">
        <v>292</v>
      </c>
      <c r="W265" t="s">
        <v>293</v>
      </c>
      <c r="X265" t="str">
        <f t="shared" si="35"/>
        <v>road-</v>
      </c>
      <c r="Y265" t="str">
        <f t="shared" si="36"/>
        <v/>
      </c>
      <c r="Z265" t="str">
        <f t="shared" si="37"/>
        <v>wood-</v>
      </c>
      <c r="AA265" t="str">
        <f t="shared" si="38"/>
        <v>steel</v>
      </c>
      <c r="AB265" t="str">
        <f t="shared" si="39"/>
        <v>road-wood-steel</v>
      </c>
      <c r="AE265" t="s">
        <v>1684</v>
      </c>
    </row>
    <row r="266" spans="1:31" x14ac:dyDescent="0.3">
      <c r="A266" t="s">
        <v>45</v>
      </c>
      <c r="B266" t="s">
        <v>61</v>
      </c>
      <c r="C266" t="s">
        <v>12</v>
      </c>
      <c r="D266" t="s">
        <v>15</v>
      </c>
      <c r="E266" s="16" t="s">
        <v>272</v>
      </c>
      <c r="F266" s="16">
        <v>3</v>
      </c>
      <c r="G266" t="s">
        <v>1524</v>
      </c>
      <c r="H266" t="s">
        <v>1542</v>
      </c>
      <c r="I266" t="s">
        <v>1567</v>
      </c>
      <c r="J266" t="s">
        <v>344</v>
      </c>
      <c r="L266" t="str">
        <f t="shared" si="33"/>
        <v>continuous/fully_connected</v>
      </c>
      <c r="M266" t="str">
        <f t="shared" si="34"/>
        <v>inclined/declined + standard_truss</v>
      </c>
      <c r="N266" t="str">
        <f t="shared" si="32"/>
        <v>top_structure/rock_structure + 3anc</v>
      </c>
      <c r="O266" t="s">
        <v>1685</v>
      </c>
      <c r="R266" t="s">
        <v>968</v>
      </c>
      <c r="S266" t="s">
        <v>292</v>
      </c>
      <c r="T266" t="s">
        <v>292</v>
      </c>
      <c r="U266" t="s">
        <v>292</v>
      </c>
      <c r="V266" t="s">
        <v>292</v>
      </c>
      <c r="W266" t="s">
        <v>293</v>
      </c>
      <c r="X266" t="str">
        <f t="shared" si="35"/>
        <v>road-</v>
      </c>
      <c r="Y266" t="str">
        <f t="shared" si="36"/>
        <v>reinforced_road-</v>
      </c>
      <c r="Z266" t="str">
        <f t="shared" si="37"/>
        <v>wood-</v>
      </c>
      <c r="AA266" t="str">
        <f t="shared" si="38"/>
        <v>steel</v>
      </c>
      <c r="AB266" t="str">
        <f t="shared" si="39"/>
        <v>road-reinforced_road-wood-steel</v>
      </c>
      <c r="AE266" t="s">
        <v>1685</v>
      </c>
    </row>
    <row r="267" spans="1:31" x14ac:dyDescent="0.3">
      <c r="A267" t="s">
        <v>45</v>
      </c>
      <c r="B267" t="s">
        <v>61</v>
      </c>
      <c r="C267" t="s">
        <v>12</v>
      </c>
      <c r="D267" t="s">
        <v>14</v>
      </c>
      <c r="E267" s="16" t="s">
        <v>272</v>
      </c>
      <c r="F267" s="16">
        <v>2</v>
      </c>
      <c r="G267" t="s">
        <v>1525</v>
      </c>
      <c r="H267" t="s">
        <v>284</v>
      </c>
      <c r="I267" t="s">
        <v>1567</v>
      </c>
      <c r="J267" t="s">
        <v>344</v>
      </c>
      <c r="L267" t="str">
        <f t="shared" si="33"/>
        <v>missing_section/right</v>
      </c>
      <c r="M267" t="str">
        <f t="shared" si="34"/>
        <v>declined + standard_truss</v>
      </c>
      <c r="N267" t="str">
        <f t="shared" si="32"/>
        <v>top_structure/rock_structure + 2anc</v>
      </c>
      <c r="O267" t="s">
        <v>1684</v>
      </c>
      <c r="R267" t="s">
        <v>969</v>
      </c>
      <c r="S267" t="s">
        <v>292</v>
      </c>
      <c r="T267" t="s">
        <v>293</v>
      </c>
      <c r="U267" t="s">
        <v>292</v>
      </c>
      <c r="V267" t="s">
        <v>292</v>
      </c>
      <c r="W267" t="s">
        <v>293</v>
      </c>
      <c r="X267" t="str">
        <f t="shared" si="35"/>
        <v>road-</v>
      </c>
      <c r="Y267" t="str">
        <f t="shared" si="36"/>
        <v/>
      </c>
      <c r="Z267" t="str">
        <f t="shared" si="37"/>
        <v>wood-</v>
      </c>
      <c r="AA267" t="str">
        <f t="shared" si="38"/>
        <v>steel</v>
      </c>
      <c r="AB267" t="str">
        <f t="shared" si="39"/>
        <v>road-wood-steel</v>
      </c>
      <c r="AE267" t="s">
        <v>1684</v>
      </c>
    </row>
    <row r="268" spans="1:31" x14ac:dyDescent="0.3">
      <c r="A268" t="s">
        <v>45</v>
      </c>
      <c r="B268" t="s">
        <v>61</v>
      </c>
      <c r="C268" t="s">
        <v>12</v>
      </c>
      <c r="D268" t="s">
        <v>11</v>
      </c>
      <c r="E268" s="16" t="s">
        <v>272</v>
      </c>
      <c r="F268" s="16">
        <v>2</v>
      </c>
      <c r="G268" t="s">
        <v>1525</v>
      </c>
      <c r="H268" t="s">
        <v>284</v>
      </c>
      <c r="I268" t="s">
        <v>343</v>
      </c>
      <c r="J268" t="s">
        <v>291</v>
      </c>
      <c r="L268" t="str">
        <f t="shared" si="33"/>
        <v>missing_section/right</v>
      </c>
      <c r="M268" t="str">
        <f t="shared" si="34"/>
        <v>declined + other</v>
      </c>
      <c r="N268" t="str">
        <f t="shared" si="32"/>
        <v>rock_structure + 2anc</v>
      </c>
      <c r="O268" t="s">
        <v>1687</v>
      </c>
      <c r="R268" t="s">
        <v>970</v>
      </c>
      <c r="S268" t="s">
        <v>292</v>
      </c>
      <c r="T268" t="s">
        <v>293</v>
      </c>
      <c r="U268" t="s">
        <v>293</v>
      </c>
      <c r="V268" t="s">
        <v>292</v>
      </c>
      <c r="W268" t="s">
        <v>293</v>
      </c>
      <c r="X268" t="str">
        <f t="shared" si="35"/>
        <v>road-</v>
      </c>
      <c r="Y268" t="str">
        <f t="shared" si="36"/>
        <v/>
      </c>
      <c r="Z268" t="str">
        <f t="shared" si="37"/>
        <v/>
      </c>
      <c r="AA268" t="str">
        <f t="shared" si="38"/>
        <v>steel</v>
      </c>
      <c r="AB268" t="str">
        <f t="shared" si="39"/>
        <v>road-steel</v>
      </c>
      <c r="AE268" t="s">
        <v>1687</v>
      </c>
    </row>
    <row r="269" spans="1:31" x14ac:dyDescent="0.3">
      <c r="A269" t="s">
        <v>45</v>
      </c>
      <c r="B269" t="s">
        <v>61</v>
      </c>
      <c r="C269" t="s">
        <v>29</v>
      </c>
      <c r="D269" t="s">
        <v>16</v>
      </c>
      <c r="E269" s="16" t="s">
        <v>272</v>
      </c>
      <c r="F269" s="16">
        <v>3</v>
      </c>
      <c r="G269" t="s">
        <v>1524</v>
      </c>
      <c r="H269" t="s">
        <v>1537</v>
      </c>
      <c r="I269" t="s">
        <v>1567</v>
      </c>
      <c r="J269" t="s">
        <v>1570</v>
      </c>
      <c r="L269" t="str">
        <f t="shared" si="33"/>
        <v>continuous/fully_connected</v>
      </c>
      <c r="M269" t="str">
        <f t="shared" si="34"/>
        <v>arch/straight + standard_truss/other</v>
      </c>
      <c r="N269" t="str">
        <f t="shared" si="32"/>
        <v>top_structure/rock_structure + 3anc</v>
      </c>
      <c r="O269" t="s">
        <v>1686</v>
      </c>
      <c r="R269" t="s">
        <v>971</v>
      </c>
      <c r="S269" t="s">
        <v>293</v>
      </c>
      <c r="T269" t="s">
        <v>292</v>
      </c>
      <c r="U269" t="s">
        <v>292</v>
      </c>
      <c r="V269" t="s">
        <v>292</v>
      </c>
      <c r="W269" t="s">
        <v>293</v>
      </c>
      <c r="X269" t="str">
        <f t="shared" si="35"/>
        <v/>
      </c>
      <c r="Y269" t="str">
        <f t="shared" si="36"/>
        <v>reinforced_road-</v>
      </c>
      <c r="Z269" t="str">
        <f t="shared" si="37"/>
        <v>wood-</v>
      </c>
      <c r="AA269" t="str">
        <f t="shared" si="38"/>
        <v>steel</v>
      </c>
      <c r="AB269" t="str">
        <f t="shared" si="39"/>
        <v>reinforced_road-wood-steel</v>
      </c>
      <c r="AE269" t="s">
        <v>1686</v>
      </c>
    </row>
    <row r="270" spans="1:31" x14ac:dyDescent="0.3">
      <c r="A270" t="s">
        <v>45</v>
      </c>
      <c r="B270" t="s">
        <v>66</v>
      </c>
      <c r="C270" t="s">
        <v>12</v>
      </c>
      <c r="D270" t="s">
        <v>15</v>
      </c>
      <c r="E270" s="16" t="s">
        <v>272</v>
      </c>
      <c r="F270" s="16">
        <v>3</v>
      </c>
      <c r="G270" t="s">
        <v>1524</v>
      </c>
      <c r="H270" t="s">
        <v>1537</v>
      </c>
      <c r="I270" t="s">
        <v>1567</v>
      </c>
      <c r="J270" t="s">
        <v>344</v>
      </c>
      <c r="L270" t="str">
        <f t="shared" si="33"/>
        <v>continuous/fully_connected</v>
      </c>
      <c r="M270" t="str">
        <f t="shared" si="34"/>
        <v>arch/straight + standard_truss</v>
      </c>
      <c r="N270" t="str">
        <f t="shared" si="32"/>
        <v>top_structure/rock_structure + 3anc</v>
      </c>
      <c r="O270" t="s">
        <v>1685</v>
      </c>
      <c r="R270" t="s">
        <v>972</v>
      </c>
      <c r="S270" t="s">
        <v>292</v>
      </c>
      <c r="T270" t="s">
        <v>292</v>
      </c>
      <c r="U270" t="s">
        <v>292</v>
      </c>
      <c r="V270" t="s">
        <v>292</v>
      </c>
      <c r="W270" t="s">
        <v>293</v>
      </c>
      <c r="X270" t="str">
        <f t="shared" si="35"/>
        <v>road-</v>
      </c>
      <c r="Y270" t="str">
        <f t="shared" si="36"/>
        <v>reinforced_road-</v>
      </c>
      <c r="Z270" t="str">
        <f t="shared" si="37"/>
        <v>wood-</v>
      </c>
      <c r="AA270" t="str">
        <f t="shared" si="38"/>
        <v>steel</v>
      </c>
      <c r="AB270" t="str">
        <f t="shared" si="39"/>
        <v>road-reinforced_road-wood-steel</v>
      </c>
      <c r="AE270" t="s">
        <v>1685</v>
      </c>
    </row>
    <row r="271" spans="1:31" x14ac:dyDescent="0.3">
      <c r="A271" t="s">
        <v>45</v>
      </c>
      <c r="B271" t="s">
        <v>66</v>
      </c>
      <c r="C271" t="s">
        <v>12</v>
      </c>
      <c r="D271" t="s">
        <v>14</v>
      </c>
      <c r="E271" s="16" t="s">
        <v>272</v>
      </c>
      <c r="F271" s="16">
        <v>3</v>
      </c>
      <c r="G271" t="s">
        <v>1524</v>
      </c>
      <c r="H271" t="s">
        <v>1537</v>
      </c>
      <c r="I271" t="s">
        <v>1567</v>
      </c>
      <c r="J271" t="s">
        <v>344</v>
      </c>
      <c r="L271" t="str">
        <f t="shared" si="33"/>
        <v>continuous/fully_connected</v>
      </c>
      <c r="M271" t="str">
        <f t="shared" si="34"/>
        <v>arch/straight + standard_truss</v>
      </c>
      <c r="N271" t="str">
        <f t="shared" si="32"/>
        <v>top_structure/rock_structure + 3anc</v>
      </c>
      <c r="O271" t="s">
        <v>1685</v>
      </c>
      <c r="R271" t="s">
        <v>973</v>
      </c>
      <c r="S271" t="s">
        <v>292</v>
      </c>
      <c r="T271" t="s">
        <v>292</v>
      </c>
      <c r="U271" t="s">
        <v>292</v>
      </c>
      <c r="V271" t="s">
        <v>292</v>
      </c>
      <c r="W271" t="s">
        <v>293</v>
      </c>
      <c r="X271" t="str">
        <f t="shared" si="35"/>
        <v>road-</v>
      </c>
      <c r="Y271" t="str">
        <f t="shared" si="36"/>
        <v>reinforced_road-</v>
      </c>
      <c r="Z271" t="str">
        <f t="shared" si="37"/>
        <v>wood-</v>
      </c>
      <c r="AA271" t="str">
        <f t="shared" si="38"/>
        <v>steel</v>
      </c>
      <c r="AB271" t="str">
        <f t="shared" si="39"/>
        <v>road-reinforced_road-wood-steel</v>
      </c>
      <c r="AE271" t="s">
        <v>1685</v>
      </c>
    </row>
    <row r="272" spans="1:31" x14ac:dyDescent="0.3">
      <c r="A272" t="s">
        <v>45</v>
      </c>
      <c r="B272" t="s">
        <v>66</v>
      </c>
      <c r="C272" t="s">
        <v>12</v>
      </c>
      <c r="D272" t="s">
        <v>11</v>
      </c>
      <c r="E272" s="16" t="s">
        <v>272</v>
      </c>
      <c r="F272" s="16">
        <v>3</v>
      </c>
      <c r="G272" t="s">
        <v>1524</v>
      </c>
      <c r="H272" t="s">
        <v>282</v>
      </c>
      <c r="I272" t="s">
        <v>343</v>
      </c>
      <c r="J272" t="s">
        <v>291</v>
      </c>
      <c r="L272" t="str">
        <f t="shared" si="33"/>
        <v>continuous/fully_connected</v>
      </c>
      <c r="M272" t="str">
        <f t="shared" si="34"/>
        <v>arch + other</v>
      </c>
      <c r="N272" t="str">
        <f t="shared" si="32"/>
        <v>rock_structure + 3anc</v>
      </c>
      <c r="O272" t="s">
        <v>1687</v>
      </c>
      <c r="R272" t="s">
        <v>974</v>
      </c>
      <c r="S272" t="s">
        <v>292</v>
      </c>
      <c r="T272" t="s">
        <v>293</v>
      </c>
      <c r="U272" t="s">
        <v>293</v>
      </c>
      <c r="V272" t="s">
        <v>292</v>
      </c>
      <c r="W272" t="s">
        <v>293</v>
      </c>
      <c r="X272" t="str">
        <f t="shared" si="35"/>
        <v>road-</v>
      </c>
      <c r="Y272" t="str">
        <f t="shared" si="36"/>
        <v/>
      </c>
      <c r="Z272" t="str">
        <f t="shared" si="37"/>
        <v/>
      </c>
      <c r="AA272" t="str">
        <f t="shared" si="38"/>
        <v>steel</v>
      </c>
      <c r="AB272" t="str">
        <f t="shared" si="39"/>
        <v>road-steel</v>
      </c>
      <c r="AE272" t="s">
        <v>1687</v>
      </c>
    </row>
    <row r="273" spans="1:31" x14ac:dyDescent="0.3">
      <c r="A273" t="s">
        <v>45</v>
      </c>
      <c r="B273" t="s">
        <v>66</v>
      </c>
      <c r="C273" t="s">
        <v>12</v>
      </c>
      <c r="D273" t="s">
        <v>19</v>
      </c>
      <c r="E273" s="16" t="s">
        <v>272</v>
      </c>
      <c r="F273" s="16">
        <v>3</v>
      </c>
      <c r="G273" t="s">
        <v>1524</v>
      </c>
      <c r="H273" t="s">
        <v>1537</v>
      </c>
      <c r="I273" t="s">
        <v>1567</v>
      </c>
      <c r="J273" t="s">
        <v>344</v>
      </c>
      <c r="L273" t="str">
        <f t="shared" si="33"/>
        <v>continuous/fully_connected</v>
      </c>
      <c r="M273" t="str">
        <f t="shared" si="34"/>
        <v>arch/straight + standard_truss</v>
      </c>
      <c r="N273" t="str">
        <f t="shared" si="32"/>
        <v>top_structure/rock_structure + 3anc</v>
      </c>
      <c r="O273" t="s">
        <v>1684</v>
      </c>
      <c r="R273" t="s">
        <v>975</v>
      </c>
      <c r="S273" t="s">
        <v>292</v>
      </c>
      <c r="T273" t="s">
        <v>293</v>
      </c>
      <c r="U273" t="s">
        <v>292</v>
      </c>
      <c r="V273" t="s">
        <v>292</v>
      </c>
      <c r="W273" t="s">
        <v>293</v>
      </c>
      <c r="X273" t="str">
        <f t="shared" si="35"/>
        <v>road-</v>
      </c>
      <c r="Y273" t="str">
        <f t="shared" si="36"/>
        <v/>
      </c>
      <c r="Z273" t="str">
        <f t="shared" si="37"/>
        <v>wood-</v>
      </c>
      <c r="AA273" t="str">
        <f t="shared" si="38"/>
        <v>steel</v>
      </c>
      <c r="AB273" t="str">
        <f t="shared" si="39"/>
        <v>road-wood-steel</v>
      </c>
      <c r="AE273" t="s">
        <v>1684</v>
      </c>
    </row>
    <row r="274" spans="1:31" x14ac:dyDescent="0.3">
      <c r="A274" t="s">
        <v>45</v>
      </c>
      <c r="B274" t="s">
        <v>66</v>
      </c>
      <c r="C274" t="s">
        <v>12</v>
      </c>
      <c r="D274" t="s">
        <v>17</v>
      </c>
      <c r="E274" s="16" t="s">
        <v>272</v>
      </c>
      <c r="F274" s="16">
        <v>3</v>
      </c>
      <c r="G274" t="s">
        <v>1524</v>
      </c>
      <c r="H274" t="s">
        <v>1537</v>
      </c>
      <c r="I274" t="s">
        <v>1567</v>
      </c>
      <c r="J274" t="s">
        <v>344</v>
      </c>
      <c r="L274" t="str">
        <f t="shared" si="33"/>
        <v>continuous/fully_connected</v>
      </c>
      <c r="M274" t="str">
        <f t="shared" si="34"/>
        <v>arch/straight + standard_truss</v>
      </c>
      <c r="N274" t="str">
        <f t="shared" si="32"/>
        <v>top_structure/rock_structure + 3anc</v>
      </c>
      <c r="O274" t="s">
        <v>1684</v>
      </c>
      <c r="R274" t="s">
        <v>976</v>
      </c>
      <c r="S274" t="s">
        <v>292</v>
      </c>
      <c r="T274" t="s">
        <v>293</v>
      </c>
      <c r="U274" t="s">
        <v>292</v>
      </c>
      <c r="V274" t="s">
        <v>292</v>
      </c>
      <c r="W274" t="s">
        <v>293</v>
      </c>
      <c r="X274" t="str">
        <f t="shared" si="35"/>
        <v>road-</v>
      </c>
      <c r="Y274" t="str">
        <f t="shared" si="36"/>
        <v/>
      </c>
      <c r="Z274" t="str">
        <f t="shared" si="37"/>
        <v>wood-</v>
      </c>
      <c r="AA274" t="str">
        <f t="shared" si="38"/>
        <v>steel</v>
      </c>
      <c r="AB274" t="str">
        <f t="shared" si="39"/>
        <v>road-wood-steel</v>
      </c>
      <c r="AE274" t="s">
        <v>1684</v>
      </c>
    </row>
    <row r="275" spans="1:31" x14ac:dyDescent="0.3">
      <c r="A275" t="s">
        <v>45</v>
      </c>
      <c r="B275" t="s">
        <v>66</v>
      </c>
      <c r="C275" t="s">
        <v>12</v>
      </c>
      <c r="D275" t="s">
        <v>16</v>
      </c>
      <c r="E275" s="16" t="s">
        <v>272</v>
      </c>
      <c r="F275" s="16">
        <v>3</v>
      </c>
      <c r="G275" t="s">
        <v>1524</v>
      </c>
      <c r="H275" t="s">
        <v>1537</v>
      </c>
      <c r="I275" t="s">
        <v>1567</v>
      </c>
      <c r="J275" t="s">
        <v>344</v>
      </c>
      <c r="L275" t="str">
        <f t="shared" si="33"/>
        <v>continuous/fully_connected</v>
      </c>
      <c r="M275" t="str">
        <f t="shared" si="34"/>
        <v>arch/straight + standard_truss</v>
      </c>
      <c r="N275" t="str">
        <f t="shared" si="32"/>
        <v>top_structure/rock_structure + 3anc</v>
      </c>
      <c r="O275" t="s">
        <v>1685</v>
      </c>
      <c r="R275" t="s">
        <v>977</v>
      </c>
      <c r="S275" t="s">
        <v>292</v>
      </c>
      <c r="T275" t="s">
        <v>292</v>
      </c>
      <c r="U275" t="s">
        <v>292</v>
      </c>
      <c r="V275" t="s">
        <v>292</v>
      </c>
      <c r="W275" t="s">
        <v>293</v>
      </c>
      <c r="X275" t="str">
        <f t="shared" si="35"/>
        <v>road-</v>
      </c>
      <c r="Y275" t="str">
        <f t="shared" si="36"/>
        <v>reinforced_road-</v>
      </c>
      <c r="Z275" t="str">
        <f t="shared" si="37"/>
        <v>wood-</v>
      </c>
      <c r="AA275" t="str">
        <f t="shared" si="38"/>
        <v>steel</v>
      </c>
      <c r="AB275" t="str">
        <f t="shared" si="39"/>
        <v>road-reinforced_road-wood-steel</v>
      </c>
      <c r="AE275" t="s">
        <v>1685</v>
      </c>
    </row>
    <row r="276" spans="1:31" x14ac:dyDescent="0.3">
      <c r="A276" t="s">
        <v>45</v>
      </c>
      <c r="B276" t="s">
        <v>66</v>
      </c>
      <c r="C276" t="s">
        <v>29</v>
      </c>
      <c r="D276" t="s">
        <v>23</v>
      </c>
      <c r="E276" s="16" t="s">
        <v>272</v>
      </c>
      <c r="F276" s="16">
        <v>3</v>
      </c>
      <c r="G276" t="s">
        <v>1524</v>
      </c>
      <c r="H276" t="s">
        <v>1658</v>
      </c>
      <c r="I276" t="s">
        <v>1567</v>
      </c>
      <c r="J276" t="s">
        <v>344</v>
      </c>
      <c r="L276" t="str">
        <f t="shared" si="33"/>
        <v>continuous/fully_connected</v>
      </c>
      <c r="M276" t="str">
        <f t="shared" si="34"/>
        <v>other_shape + standard_truss</v>
      </c>
      <c r="N276" t="str">
        <f t="shared" si="32"/>
        <v>top_structure/rock_structure + 3anc</v>
      </c>
      <c r="O276" t="s">
        <v>1692</v>
      </c>
      <c r="R276" t="s">
        <v>978</v>
      </c>
      <c r="S276" t="s">
        <v>292</v>
      </c>
      <c r="T276" t="s">
        <v>293</v>
      </c>
      <c r="U276" t="s">
        <v>292</v>
      </c>
      <c r="V276" t="s">
        <v>293</v>
      </c>
      <c r="W276" t="s">
        <v>293</v>
      </c>
      <c r="X276" t="str">
        <f t="shared" si="35"/>
        <v>road-</v>
      </c>
      <c r="Y276" t="str">
        <f t="shared" si="36"/>
        <v/>
      </c>
      <c r="Z276" t="str">
        <f t="shared" si="37"/>
        <v>wood-</v>
      </c>
      <c r="AA276" t="str">
        <f t="shared" si="38"/>
        <v/>
      </c>
      <c r="AB276" t="str">
        <f t="shared" si="39"/>
        <v>road-wood-</v>
      </c>
      <c r="AE276" t="s">
        <v>1692</v>
      </c>
    </row>
    <row r="277" spans="1:31" x14ac:dyDescent="0.3">
      <c r="A277" t="s">
        <v>45</v>
      </c>
      <c r="B277" t="s">
        <v>66</v>
      </c>
      <c r="C277" t="s">
        <v>29</v>
      </c>
      <c r="D277" t="s">
        <v>25</v>
      </c>
      <c r="E277" s="16" t="s">
        <v>272</v>
      </c>
      <c r="F277" s="16">
        <v>3</v>
      </c>
      <c r="G277" t="s">
        <v>1524</v>
      </c>
      <c r="H277" t="s">
        <v>1542</v>
      </c>
      <c r="I277" t="s">
        <v>1567</v>
      </c>
      <c r="J277" t="s">
        <v>344</v>
      </c>
      <c r="L277" t="str">
        <f t="shared" si="33"/>
        <v>continuous/fully_connected</v>
      </c>
      <c r="M277" t="str">
        <f t="shared" si="34"/>
        <v>inclined/declined + standard_truss</v>
      </c>
      <c r="N277" t="str">
        <f t="shared" si="32"/>
        <v>top_structure/rock_structure + 3anc</v>
      </c>
      <c r="O277" t="s">
        <v>1692</v>
      </c>
      <c r="R277" t="s">
        <v>979</v>
      </c>
      <c r="S277" t="s">
        <v>292</v>
      </c>
      <c r="T277" t="s">
        <v>293</v>
      </c>
      <c r="U277" t="s">
        <v>292</v>
      </c>
      <c r="V277" t="s">
        <v>293</v>
      </c>
      <c r="W277" t="s">
        <v>293</v>
      </c>
      <c r="X277" t="str">
        <f t="shared" si="35"/>
        <v>road-</v>
      </c>
      <c r="Y277" t="str">
        <f t="shared" si="36"/>
        <v/>
      </c>
      <c r="Z277" t="str">
        <f t="shared" si="37"/>
        <v>wood-</v>
      </c>
      <c r="AA277" t="str">
        <f t="shared" si="38"/>
        <v/>
      </c>
      <c r="AB277" t="str">
        <f t="shared" si="39"/>
        <v>road-wood-</v>
      </c>
      <c r="AE277" t="s">
        <v>1692</v>
      </c>
    </row>
    <row r="278" spans="1:31" x14ac:dyDescent="0.3">
      <c r="A278" t="s">
        <v>45</v>
      </c>
      <c r="B278" t="s">
        <v>66</v>
      </c>
      <c r="C278" t="s">
        <v>29</v>
      </c>
      <c r="D278" t="s">
        <v>24</v>
      </c>
      <c r="E278" s="16" t="s">
        <v>272</v>
      </c>
      <c r="F278" s="16">
        <v>3</v>
      </c>
      <c r="G278" t="s">
        <v>1524</v>
      </c>
      <c r="H278" t="s">
        <v>1658</v>
      </c>
      <c r="I278" t="s">
        <v>1567</v>
      </c>
      <c r="J278" t="s">
        <v>344</v>
      </c>
      <c r="L278" t="str">
        <f t="shared" si="33"/>
        <v>continuous/fully_connected</v>
      </c>
      <c r="M278" t="str">
        <f t="shared" si="34"/>
        <v>other_shape + standard_truss</v>
      </c>
      <c r="N278" t="str">
        <f t="shared" si="32"/>
        <v>top_structure/rock_structure + 3anc</v>
      </c>
      <c r="O278" t="s">
        <v>1692</v>
      </c>
      <c r="R278" t="s">
        <v>980</v>
      </c>
      <c r="S278" t="s">
        <v>292</v>
      </c>
      <c r="T278" t="s">
        <v>293</v>
      </c>
      <c r="U278" t="s">
        <v>292</v>
      </c>
      <c r="V278" t="s">
        <v>293</v>
      </c>
      <c r="W278" t="s">
        <v>293</v>
      </c>
      <c r="X278" t="str">
        <f t="shared" si="35"/>
        <v>road-</v>
      </c>
      <c r="Y278" t="str">
        <f t="shared" si="36"/>
        <v/>
      </c>
      <c r="Z278" t="str">
        <f t="shared" si="37"/>
        <v>wood-</v>
      </c>
      <c r="AA278" t="str">
        <f t="shared" si="38"/>
        <v/>
      </c>
      <c r="AB278" t="str">
        <f t="shared" si="39"/>
        <v>road-wood-</v>
      </c>
      <c r="AE278" t="s">
        <v>1692</v>
      </c>
    </row>
    <row r="279" spans="1:31" x14ac:dyDescent="0.3">
      <c r="A279" t="s">
        <v>45</v>
      </c>
      <c r="B279" t="s">
        <v>66</v>
      </c>
      <c r="C279" t="s">
        <v>29</v>
      </c>
      <c r="D279" t="s">
        <v>21</v>
      </c>
      <c r="E279" s="16" t="s">
        <v>272</v>
      </c>
      <c r="F279" s="16">
        <v>3</v>
      </c>
      <c r="G279" t="s">
        <v>1524</v>
      </c>
      <c r="H279" t="s">
        <v>1534</v>
      </c>
      <c r="I279" t="s">
        <v>1567</v>
      </c>
      <c r="J279" t="s">
        <v>344</v>
      </c>
      <c r="L279" t="str">
        <f t="shared" si="33"/>
        <v>continuous/fully_connected</v>
      </c>
      <c r="M279" t="str">
        <f t="shared" si="34"/>
        <v>arch/declined + standard_truss</v>
      </c>
      <c r="N279" t="str">
        <f t="shared" si="32"/>
        <v>top_structure/rock_structure + 3anc</v>
      </c>
      <c r="O279" t="s">
        <v>1692</v>
      </c>
      <c r="R279" t="s">
        <v>981</v>
      </c>
      <c r="S279" t="s">
        <v>292</v>
      </c>
      <c r="T279" t="s">
        <v>293</v>
      </c>
      <c r="U279" t="s">
        <v>292</v>
      </c>
      <c r="V279" t="s">
        <v>293</v>
      </c>
      <c r="W279" t="s">
        <v>293</v>
      </c>
      <c r="X279" t="str">
        <f t="shared" si="35"/>
        <v>road-</v>
      </c>
      <c r="Y279" t="str">
        <f t="shared" si="36"/>
        <v/>
      </c>
      <c r="Z279" t="str">
        <f t="shared" si="37"/>
        <v>wood-</v>
      </c>
      <c r="AA279" t="str">
        <f t="shared" si="38"/>
        <v/>
      </c>
      <c r="AB279" t="str">
        <f t="shared" si="39"/>
        <v>road-wood-</v>
      </c>
      <c r="AE279" t="s">
        <v>1692</v>
      </c>
    </row>
    <row r="280" spans="1:31" x14ac:dyDescent="0.3">
      <c r="A280" t="s">
        <v>45</v>
      </c>
      <c r="B280" t="s">
        <v>66</v>
      </c>
      <c r="C280" t="s">
        <v>29</v>
      </c>
      <c r="D280" t="s">
        <v>20</v>
      </c>
      <c r="E280" s="16" t="s">
        <v>272</v>
      </c>
      <c r="F280" s="16">
        <v>3</v>
      </c>
      <c r="G280" t="s">
        <v>1524</v>
      </c>
      <c r="H280" t="s">
        <v>1534</v>
      </c>
      <c r="I280" t="s">
        <v>1567</v>
      </c>
      <c r="J280" t="s">
        <v>1570</v>
      </c>
      <c r="L280" t="str">
        <f t="shared" si="33"/>
        <v>continuous/fully_connected</v>
      </c>
      <c r="M280" t="str">
        <f t="shared" si="34"/>
        <v>arch/declined + standard_truss/other</v>
      </c>
      <c r="N280" t="str">
        <f t="shared" si="32"/>
        <v>top_structure/rock_structure + 3anc</v>
      </c>
      <c r="O280" t="s">
        <v>1684</v>
      </c>
      <c r="R280" t="s">
        <v>982</v>
      </c>
      <c r="S280" t="s">
        <v>292</v>
      </c>
      <c r="T280" t="s">
        <v>293</v>
      </c>
      <c r="U280" t="s">
        <v>292</v>
      </c>
      <c r="V280" t="s">
        <v>292</v>
      </c>
      <c r="W280" t="s">
        <v>293</v>
      </c>
      <c r="X280" t="str">
        <f t="shared" si="35"/>
        <v>road-</v>
      </c>
      <c r="Y280" t="str">
        <f t="shared" si="36"/>
        <v/>
      </c>
      <c r="Z280" t="str">
        <f t="shared" si="37"/>
        <v>wood-</v>
      </c>
      <c r="AA280" t="str">
        <f t="shared" si="38"/>
        <v>steel</v>
      </c>
      <c r="AB280" t="str">
        <f t="shared" si="39"/>
        <v>road-wood-steel</v>
      </c>
      <c r="AE280" t="s">
        <v>1684</v>
      </c>
    </row>
    <row r="281" spans="1:31" x14ac:dyDescent="0.3">
      <c r="A281" t="s">
        <v>45</v>
      </c>
      <c r="B281" t="s">
        <v>66</v>
      </c>
      <c r="C281" t="s">
        <v>29</v>
      </c>
      <c r="D281" t="s">
        <v>26</v>
      </c>
      <c r="E281" s="16" t="s">
        <v>272</v>
      </c>
      <c r="F281" s="16">
        <v>3</v>
      </c>
      <c r="G281" t="s">
        <v>1524</v>
      </c>
      <c r="H281" t="s">
        <v>1542</v>
      </c>
      <c r="I281" t="s">
        <v>1567</v>
      </c>
      <c r="J281" t="s">
        <v>344</v>
      </c>
      <c r="L281" t="str">
        <f t="shared" si="33"/>
        <v>continuous/fully_connected</v>
      </c>
      <c r="M281" t="str">
        <f t="shared" si="34"/>
        <v>inclined/declined + standard_truss</v>
      </c>
      <c r="N281" t="str">
        <f t="shared" si="32"/>
        <v>top_structure/rock_structure + 3anc</v>
      </c>
      <c r="O281" t="s">
        <v>1692</v>
      </c>
      <c r="R281" t="s">
        <v>983</v>
      </c>
      <c r="S281" t="s">
        <v>292</v>
      </c>
      <c r="T281" t="s">
        <v>293</v>
      </c>
      <c r="U281" t="s">
        <v>292</v>
      </c>
      <c r="V281" t="s">
        <v>293</v>
      </c>
      <c r="W281" t="s">
        <v>293</v>
      </c>
      <c r="X281" t="str">
        <f t="shared" si="35"/>
        <v>road-</v>
      </c>
      <c r="Y281" t="str">
        <f t="shared" si="36"/>
        <v/>
      </c>
      <c r="Z281" t="str">
        <f t="shared" si="37"/>
        <v>wood-</v>
      </c>
      <c r="AA281" t="str">
        <f t="shared" si="38"/>
        <v/>
      </c>
      <c r="AB281" t="str">
        <f t="shared" si="39"/>
        <v>road-wood-</v>
      </c>
      <c r="AE281" t="s">
        <v>1692</v>
      </c>
    </row>
    <row r="282" spans="1:31" x14ac:dyDescent="0.3">
      <c r="A282" t="s">
        <v>45</v>
      </c>
      <c r="B282" t="s">
        <v>66</v>
      </c>
      <c r="C282" t="s">
        <v>29</v>
      </c>
      <c r="D282" t="s">
        <v>22</v>
      </c>
      <c r="E282" s="16" t="s">
        <v>272</v>
      </c>
      <c r="F282" s="16">
        <v>3</v>
      </c>
      <c r="G282" t="s">
        <v>1524</v>
      </c>
      <c r="H282" t="s">
        <v>1658</v>
      </c>
      <c r="I282" t="s">
        <v>1567</v>
      </c>
      <c r="J282" t="s">
        <v>344</v>
      </c>
      <c r="L282" t="str">
        <f t="shared" si="33"/>
        <v>continuous/fully_connected</v>
      </c>
      <c r="M282" t="str">
        <f t="shared" si="34"/>
        <v>other_shape + standard_truss</v>
      </c>
      <c r="N282" t="str">
        <f t="shared" si="32"/>
        <v>top_structure/rock_structure + 3anc</v>
      </c>
      <c r="O282" t="s">
        <v>1692</v>
      </c>
      <c r="R282" t="s">
        <v>984</v>
      </c>
      <c r="S282" t="s">
        <v>292</v>
      </c>
      <c r="T282" t="s">
        <v>293</v>
      </c>
      <c r="U282" t="s">
        <v>292</v>
      </c>
      <c r="V282" t="s">
        <v>293</v>
      </c>
      <c r="W282" t="s">
        <v>293</v>
      </c>
      <c r="X282" t="str">
        <f t="shared" si="35"/>
        <v>road-</v>
      </c>
      <c r="Y282" t="str">
        <f t="shared" si="36"/>
        <v/>
      </c>
      <c r="Z282" t="str">
        <f t="shared" si="37"/>
        <v>wood-</v>
      </c>
      <c r="AA282" t="str">
        <f t="shared" si="38"/>
        <v/>
      </c>
      <c r="AB282" t="str">
        <f t="shared" si="39"/>
        <v>road-wood-</v>
      </c>
      <c r="AE282" t="s">
        <v>1692</v>
      </c>
    </row>
    <row r="283" spans="1:31" x14ac:dyDescent="0.3">
      <c r="A283" t="s">
        <v>45</v>
      </c>
      <c r="B283" t="s">
        <v>66</v>
      </c>
      <c r="C283" t="s">
        <v>29</v>
      </c>
      <c r="D283" t="s">
        <v>27</v>
      </c>
      <c r="E283" s="16" t="s">
        <v>272</v>
      </c>
      <c r="F283" s="16">
        <v>3</v>
      </c>
      <c r="G283" t="s">
        <v>1524</v>
      </c>
      <c r="H283" t="s">
        <v>1658</v>
      </c>
      <c r="I283" t="s">
        <v>1567</v>
      </c>
      <c r="J283" t="s">
        <v>344</v>
      </c>
      <c r="L283" t="str">
        <f t="shared" si="33"/>
        <v>continuous/fully_connected</v>
      </c>
      <c r="M283" t="str">
        <f t="shared" si="34"/>
        <v>other_shape + standard_truss</v>
      </c>
      <c r="N283" t="str">
        <f t="shared" si="32"/>
        <v>top_structure/rock_structure + 3anc</v>
      </c>
      <c r="O283" t="s">
        <v>1692</v>
      </c>
      <c r="R283" t="s">
        <v>985</v>
      </c>
      <c r="S283" t="s">
        <v>292</v>
      </c>
      <c r="T283" t="s">
        <v>293</v>
      </c>
      <c r="U283" t="s">
        <v>292</v>
      </c>
      <c r="V283" t="s">
        <v>293</v>
      </c>
      <c r="W283" t="s">
        <v>293</v>
      </c>
      <c r="X283" t="str">
        <f t="shared" si="35"/>
        <v>road-</v>
      </c>
      <c r="Y283" t="str">
        <f t="shared" si="36"/>
        <v/>
      </c>
      <c r="Z283" t="str">
        <f t="shared" si="37"/>
        <v>wood-</v>
      </c>
      <c r="AA283" t="str">
        <f t="shared" si="38"/>
        <v/>
      </c>
      <c r="AB283" t="str">
        <f t="shared" si="39"/>
        <v>road-wood-</v>
      </c>
      <c r="AE283" t="s">
        <v>1692</v>
      </c>
    </row>
    <row r="284" spans="1:31" x14ac:dyDescent="0.3">
      <c r="A284" t="s">
        <v>9</v>
      </c>
      <c r="B284" t="s">
        <v>55</v>
      </c>
      <c r="C284" t="s">
        <v>12</v>
      </c>
      <c r="D284" t="s">
        <v>15</v>
      </c>
      <c r="E284" s="16" t="s">
        <v>272</v>
      </c>
      <c r="F284" s="16">
        <v>3</v>
      </c>
      <c r="G284" t="s">
        <v>1524</v>
      </c>
      <c r="H284" t="s">
        <v>1626</v>
      </c>
      <c r="I284" t="s">
        <v>1567</v>
      </c>
      <c r="J284" t="s">
        <v>347</v>
      </c>
      <c r="L284" t="str">
        <f t="shared" si="33"/>
        <v>continuous/fully_connected</v>
      </c>
      <c r="M284" t="str">
        <f t="shared" si="34"/>
        <v>straight/inverted_arch/inclined/arch + other_truss</v>
      </c>
      <c r="N284" t="str">
        <f t="shared" si="32"/>
        <v>top_structure/rock_structure + 3anc</v>
      </c>
      <c r="O284" t="s">
        <v>1684</v>
      </c>
      <c r="R284" t="s">
        <v>986</v>
      </c>
      <c r="S284" t="s">
        <v>292</v>
      </c>
      <c r="T284" t="s">
        <v>293</v>
      </c>
      <c r="U284" t="s">
        <v>292</v>
      </c>
      <c r="V284" t="s">
        <v>292</v>
      </c>
      <c r="W284" t="s">
        <v>293</v>
      </c>
      <c r="X284" t="str">
        <f t="shared" si="35"/>
        <v>road-</v>
      </c>
      <c r="Y284" t="str">
        <f t="shared" si="36"/>
        <v/>
      </c>
      <c r="Z284" t="str">
        <f t="shared" si="37"/>
        <v>wood-</v>
      </c>
      <c r="AA284" t="str">
        <f t="shared" si="38"/>
        <v>steel</v>
      </c>
      <c r="AB284" t="str">
        <f t="shared" si="39"/>
        <v>road-wood-steel</v>
      </c>
      <c r="AE284" t="s">
        <v>1684</v>
      </c>
    </row>
    <row r="285" spans="1:31" x14ac:dyDescent="0.3">
      <c r="A285" t="s">
        <v>9</v>
      </c>
      <c r="B285" t="s">
        <v>55</v>
      </c>
      <c r="C285" t="s">
        <v>12</v>
      </c>
      <c r="D285" t="s">
        <v>14</v>
      </c>
      <c r="E285" s="16" t="s">
        <v>272</v>
      </c>
      <c r="F285" s="16">
        <v>3</v>
      </c>
      <c r="G285" t="s">
        <v>1524</v>
      </c>
      <c r="H285" t="s">
        <v>1626</v>
      </c>
      <c r="I285" t="s">
        <v>1567</v>
      </c>
      <c r="J285" t="s">
        <v>347</v>
      </c>
      <c r="L285" t="str">
        <f t="shared" si="33"/>
        <v>continuous/fully_connected</v>
      </c>
      <c r="M285" t="str">
        <f t="shared" si="34"/>
        <v>straight/inverted_arch/inclined/arch + other_truss</v>
      </c>
      <c r="N285" t="str">
        <f t="shared" si="32"/>
        <v>top_structure/rock_structure + 3anc</v>
      </c>
      <c r="O285" t="s">
        <v>1692</v>
      </c>
      <c r="R285" t="s">
        <v>987</v>
      </c>
      <c r="S285" t="s">
        <v>292</v>
      </c>
      <c r="T285" t="s">
        <v>293</v>
      </c>
      <c r="U285" t="s">
        <v>292</v>
      </c>
      <c r="V285" t="s">
        <v>293</v>
      </c>
      <c r="W285" t="s">
        <v>293</v>
      </c>
      <c r="X285" t="str">
        <f t="shared" si="35"/>
        <v>road-</v>
      </c>
      <c r="Y285" t="str">
        <f t="shared" si="36"/>
        <v/>
      </c>
      <c r="Z285" t="str">
        <f t="shared" si="37"/>
        <v>wood-</v>
      </c>
      <c r="AA285" t="str">
        <f t="shared" si="38"/>
        <v/>
      </c>
      <c r="AB285" t="str">
        <f t="shared" si="39"/>
        <v>road-wood-</v>
      </c>
      <c r="AE285" t="s">
        <v>1692</v>
      </c>
    </row>
    <row r="286" spans="1:31" x14ac:dyDescent="0.3">
      <c r="A286" t="s">
        <v>9</v>
      </c>
      <c r="B286" t="s">
        <v>55</v>
      </c>
      <c r="C286" t="s">
        <v>12</v>
      </c>
      <c r="D286" t="s">
        <v>11</v>
      </c>
      <c r="E286" s="16" t="s">
        <v>272</v>
      </c>
      <c r="F286" s="16">
        <v>3</v>
      </c>
      <c r="G286" t="s">
        <v>1524</v>
      </c>
      <c r="H286" t="s">
        <v>1533</v>
      </c>
      <c r="I286" t="s">
        <v>1567</v>
      </c>
      <c r="J286" t="s">
        <v>347</v>
      </c>
      <c r="L286" t="str">
        <f t="shared" si="33"/>
        <v>continuous/fully_connected</v>
      </c>
      <c r="M286" t="str">
        <f t="shared" si="34"/>
        <v>declined/inclined/arch/straight + other_truss</v>
      </c>
      <c r="N286" t="str">
        <f t="shared" si="32"/>
        <v>top_structure/rock_structure + 3anc</v>
      </c>
      <c r="O286" t="s">
        <v>1692</v>
      </c>
      <c r="R286" t="s">
        <v>988</v>
      </c>
      <c r="S286" t="s">
        <v>292</v>
      </c>
      <c r="T286" t="s">
        <v>293</v>
      </c>
      <c r="U286" t="s">
        <v>292</v>
      </c>
      <c r="V286" t="s">
        <v>293</v>
      </c>
      <c r="W286" t="s">
        <v>293</v>
      </c>
      <c r="X286" t="str">
        <f t="shared" si="35"/>
        <v>road-</v>
      </c>
      <c r="Y286" t="str">
        <f t="shared" si="36"/>
        <v/>
      </c>
      <c r="Z286" t="str">
        <f t="shared" si="37"/>
        <v>wood-</v>
      </c>
      <c r="AA286" t="str">
        <f t="shared" si="38"/>
        <v/>
      </c>
      <c r="AB286" t="str">
        <f t="shared" si="39"/>
        <v>road-wood-</v>
      </c>
      <c r="AE286" t="s">
        <v>1692</v>
      </c>
    </row>
    <row r="287" spans="1:31" x14ac:dyDescent="0.3">
      <c r="A287" t="s">
        <v>9</v>
      </c>
      <c r="B287" t="s">
        <v>55</v>
      </c>
      <c r="C287" t="s">
        <v>29</v>
      </c>
      <c r="D287" t="s">
        <v>19</v>
      </c>
      <c r="E287" s="16" t="s">
        <v>272</v>
      </c>
      <c r="F287" s="16">
        <v>3</v>
      </c>
      <c r="G287" t="s">
        <v>1524</v>
      </c>
      <c r="H287" t="s">
        <v>1658</v>
      </c>
      <c r="I287" t="s">
        <v>341</v>
      </c>
      <c r="J287" t="s">
        <v>1572</v>
      </c>
      <c r="L287" t="str">
        <f t="shared" si="33"/>
        <v>continuous/fully_connected</v>
      </c>
      <c r="M287" t="str">
        <f t="shared" si="34"/>
        <v>other_shape + arch_truss/other</v>
      </c>
      <c r="N287" t="str">
        <f t="shared" si="32"/>
        <v>top_structure + 3anc</v>
      </c>
      <c r="O287" t="s">
        <v>1692</v>
      </c>
      <c r="R287" t="s">
        <v>989</v>
      </c>
      <c r="S287" t="s">
        <v>292</v>
      </c>
      <c r="T287" t="s">
        <v>293</v>
      </c>
      <c r="U287" t="s">
        <v>292</v>
      </c>
      <c r="V287" t="s">
        <v>293</v>
      </c>
      <c r="W287" t="s">
        <v>293</v>
      </c>
      <c r="X287" t="str">
        <f t="shared" si="35"/>
        <v>road-</v>
      </c>
      <c r="Y287" t="str">
        <f t="shared" si="36"/>
        <v/>
      </c>
      <c r="Z287" t="str">
        <f t="shared" si="37"/>
        <v>wood-</v>
      </c>
      <c r="AA287" t="str">
        <f t="shared" si="38"/>
        <v/>
      </c>
      <c r="AB287" t="str">
        <f t="shared" si="39"/>
        <v>road-wood-</v>
      </c>
      <c r="AE287" t="s">
        <v>1692</v>
      </c>
    </row>
    <row r="288" spans="1:31" x14ac:dyDescent="0.3">
      <c r="A288" t="s">
        <v>9</v>
      </c>
      <c r="B288" t="s">
        <v>55</v>
      </c>
      <c r="C288" t="s">
        <v>29</v>
      </c>
      <c r="D288" t="s">
        <v>17</v>
      </c>
      <c r="E288" s="16" t="s">
        <v>272</v>
      </c>
      <c r="F288" s="16">
        <v>2</v>
      </c>
      <c r="G288" t="s">
        <v>1524</v>
      </c>
      <c r="H288" t="s">
        <v>1547</v>
      </c>
      <c r="I288" t="s">
        <v>341</v>
      </c>
      <c r="J288" t="s">
        <v>345</v>
      </c>
      <c r="L288" t="str">
        <f t="shared" si="33"/>
        <v>continuous/fully_connected</v>
      </c>
      <c r="M288" t="str">
        <f t="shared" si="34"/>
        <v>inclined/straight/declined + arch_truss</v>
      </c>
      <c r="N288" t="str">
        <f t="shared" si="32"/>
        <v>top_structure + 2anc</v>
      </c>
      <c r="O288" t="s">
        <v>1692</v>
      </c>
      <c r="R288" t="s">
        <v>990</v>
      </c>
      <c r="S288" t="s">
        <v>292</v>
      </c>
      <c r="T288" t="s">
        <v>293</v>
      </c>
      <c r="U288" t="s">
        <v>292</v>
      </c>
      <c r="V288" t="s">
        <v>293</v>
      </c>
      <c r="W288" t="s">
        <v>293</v>
      </c>
      <c r="X288" t="str">
        <f t="shared" si="35"/>
        <v>road-</v>
      </c>
      <c r="Y288" t="str">
        <f t="shared" si="36"/>
        <v/>
      </c>
      <c r="Z288" t="str">
        <f t="shared" si="37"/>
        <v>wood-</v>
      </c>
      <c r="AA288" t="str">
        <f t="shared" si="38"/>
        <v/>
      </c>
      <c r="AB288" t="str">
        <f t="shared" si="39"/>
        <v>road-wood-</v>
      </c>
      <c r="AE288" t="s">
        <v>1692</v>
      </c>
    </row>
    <row r="289" spans="1:31" x14ac:dyDescent="0.3">
      <c r="A289" t="s">
        <v>9</v>
      </c>
      <c r="B289" t="s">
        <v>55</v>
      </c>
      <c r="C289" t="s">
        <v>29</v>
      </c>
      <c r="D289" t="s">
        <v>16</v>
      </c>
      <c r="E289" s="16" t="s">
        <v>272</v>
      </c>
      <c r="F289" s="16">
        <v>3</v>
      </c>
      <c r="G289" t="s">
        <v>1524</v>
      </c>
      <c r="H289" t="s">
        <v>1547</v>
      </c>
      <c r="I289" t="s">
        <v>341</v>
      </c>
      <c r="J289" t="s">
        <v>345</v>
      </c>
      <c r="L289" t="str">
        <f t="shared" si="33"/>
        <v>continuous/fully_connected</v>
      </c>
      <c r="M289" t="str">
        <f t="shared" si="34"/>
        <v>inclined/straight/declined + arch_truss</v>
      </c>
      <c r="N289" t="str">
        <f t="shared" si="32"/>
        <v>top_structure + 3anc</v>
      </c>
      <c r="O289" t="s">
        <v>1692</v>
      </c>
      <c r="R289" t="s">
        <v>991</v>
      </c>
      <c r="S289" t="s">
        <v>292</v>
      </c>
      <c r="T289" t="s">
        <v>293</v>
      </c>
      <c r="U289" t="s">
        <v>292</v>
      </c>
      <c r="V289" t="s">
        <v>293</v>
      </c>
      <c r="W289" t="s">
        <v>293</v>
      </c>
      <c r="X289" t="str">
        <f t="shared" si="35"/>
        <v>road-</v>
      </c>
      <c r="Y289" t="str">
        <f t="shared" si="36"/>
        <v/>
      </c>
      <c r="Z289" t="str">
        <f t="shared" si="37"/>
        <v>wood-</v>
      </c>
      <c r="AA289" t="str">
        <f t="shared" si="38"/>
        <v/>
      </c>
      <c r="AB289" t="str">
        <f t="shared" si="39"/>
        <v>road-wood-</v>
      </c>
      <c r="AE289" t="s">
        <v>1692</v>
      </c>
    </row>
    <row r="290" spans="1:31" x14ac:dyDescent="0.3">
      <c r="A290" t="s">
        <v>43</v>
      </c>
      <c r="B290" t="s">
        <v>54</v>
      </c>
      <c r="C290" t="s">
        <v>12</v>
      </c>
      <c r="D290" t="s">
        <v>15</v>
      </c>
      <c r="E290" s="16" t="s">
        <v>272</v>
      </c>
      <c r="F290" s="16">
        <v>3</v>
      </c>
      <c r="G290" t="s">
        <v>1524</v>
      </c>
      <c r="H290" t="s">
        <v>1562</v>
      </c>
      <c r="I290" t="s">
        <v>1567</v>
      </c>
      <c r="J290" t="s">
        <v>1574</v>
      </c>
      <c r="L290" t="str">
        <f t="shared" si="33"/>
        <v>continuous/fully_connected</v>
      </c>
      <c r="M290" t="str">
        <f t="shared" si="34"/>
        <v>straight/s-shape/arch + standard_truss/arch_truss</v>
      </c>
      <c r="N290" t="str">
        <f t="shared" si="32"/>
        <v>top_structure/rock_structure + 3anc</v>
      </c>
      <c r="O290" t="s">
        <v>1692</v>
      </c>
      <c r="R290" t="s">
        <v>992</v>
      </c>
      <c r="S290" t="s">
        <v>292</v>
      </c>
      <c r="T290" t="s">
        <v>293</v>
      </c>
      <c r="U290" t="s">
        <v>292</v>
      </c>
      <c r="V290" t="s">
        <v>293</v>
      </c>
      <c r="W290" t="s">
        <v>293</v>
      </c>
      <c r="X290" t="str">
        <f t="shared" si="35"/>
        <v>road-</v>
      </c>
      <c r="Y290" t="str">
        <f t="shared" si="36"/>
        <v/>
      </c>
      <c r="Z290" t="str">
        <f t="shared" si="37"/>
        <v>wood-</v>
      </c>
      <c r="AA290" t="str">
        <f t="shared" si="38"/>
        <v/>
      </c>
      <c r="AB290" t="str">
        <f t="shared" si="39"/>
        <v>road-wood-</v>
      </c>
      <c r="AE290" t="s">
        <v>1692</v>
      </c>
    </row>
    <row r="291" spans="1:31" x14ac:dyDescent="0.3">
      <c r="A291" t="s">
        <v>43</v>
      </c>
      <c r="B291" t="s">
        <v>54</v>
      </c>
      <c r="C291" t="s">
        <v>12</v>
      </c>
      <c r="D291" t="s">
        <v>14</v>
      </c>
      <c r="E291" s="16" t="s">
        <v>272</v>
      </c>
      <c r="F291" s="16">
        <v>3</v>
      </c>
      <c r="G291" t="s">
        <v>1524</v>
      </c>
      <c r="H291" t="s">
        <v>1562</v>
      </c>
      <c r="I291" t="s">
        <v>1567</v>
      </c>
      <c r="J291" t="s">
        <v>1574</v>
      </c>
      <c r="L291" t="str">
        <f t="shared" si="33"/>
        <v>continuous/fully_connected</v>
      </c>
      <c r="M291" t="str">
        <f t="shared" si="34"/>
        <v>straight/s-shape/arch + standard_truss/arch_truss</v>
      </c>
      <c r="N291" t="str">
        <f t="shared" si="32"/>
        <v>top_structure/rock_structure + 3anc</v>
      </c>
      <c r="O291" t="s">
        <v>1692</v>
      </c>
      <c r="R291" t="s">
        <v>993</v>
      </c>
      <c r="S291" t="s">
        <v>292</v>
      </c>
      <c r="T291" t="s">
        <v>293</v>
      </c>
      <c r="U291" t="s">
        <v>292</v>
      </c>
      <c r="V291" t="s">
        <v>293</v>
      </c>
      <c r="W291" t="s">
        <v>293</v>
      </c>
      <c r="X291" t="str">
        <f t="shared" si="35"/>
        <v>road-</v>
      </c>
      <c r="Y291" t="str">
        <f t="shared" si="36"/>
        <v/>
      </c>
      <c r="Z291" t="str">
        <f t="shared" si="37"/>
        <v>wood-</v>
      </c>
      <c r="AA291" t="str">
        <f t="shared" si="38"/>
        <v/>
      </c>
      <c r="AB291" t="str">
        <f t="shared" si="39"/>
        <v>road-wood-</v>
      </c>
      <c r="AE291" t="s">
        <v>1692</v>
      </c>
    </row>
    <row r="292" spans="1:31" x14ac:dyDescent="0.3">
      <c r="A292" t="s">
        <v>43</v>
      </c>
      <c r="B292" t="s">
        <v>54</v>
      </c>
      <c r="C292" t="s">
        <v>12</v>
      </c>
      <c r="D292" t="s">
        <v>11</v>
      </c>
      <c r="E292" s="16" t="s">
        <v>272</v>
      </c>
      <c r="F292" s="16">
        <v>3</v>
      </c>
      <c r="G292" t="s">
        <v>1524</v>
      </c>
      <c r="H292" t="s">
        <v>1562</v>
      </c>
      <c r="I292" t="s">
        <v>1567</v>
      </c>
      <c r="J292" t="s">
        <v>1574</v>
      </c>
      <c r="L292" t="str">
        <f t="shared" si="33"/>
        <v>continuous/fully_connected</v>
      </c>
      <c r="M292" t="str">
        <f t="shared" si="34"/>
        <v>straight/s-shape/arch + standard_truss/arch_truss</v>
      </c>
      <c r="N292" t="str">
        <f t="shared" si="32"/>
        <v>top_structure/rock_structure + 3anc</v>
      </c>
      <c r="O292" t="s">
        <v>1690</v>
      </c>
      <c r="R292" t="s">
        <v>994</v>
      </c>
      <c r="S292" t="s">
        <v>292</v>
      </c>
      <c r="T292" t="s">
        <v>292</v>
      </c>
      <c r="U292" t="s">
        <v>292</v>
      </c>
      <c r="V292" t="s">
        <v>293</v>
      </c>
      <c r="W292" t="s">
        <v>293</v>
      </c>
      <c r="X292" t="str">
        <f t="shared" si="35"/>
        <v>road-</v>
      </c>
      <c r="Y292" t="str">
        <f t="shared" si="36"/>
        <v>reinforced_road-</v>
      </c>
      <c r="Z292" t="str">
        <f t="shared" si="37"/>
        <v>wood-</v>
      </c>
      <c r="AA292" t="str">
        <f t="shared" si="38"/>
        <v/>
      </c>
      <c r="AB292" t="str">
        <f t="shared" si="39"/>
        <v>road-reinforced_road-wood-</v>
      </c>
      <c r="AE292" t="s">
        <v>1690</v>
      </c>
    </row>
    <row r="293" spans="1:31" x14ac:dyDescent="0.3">
      <c r="A293" t="s">
        <v>43</v>
      </c>
      <c r="B293" t="s">
        <v>54</v>
      </c>
      <c r="C293" t="s">
        <v>12</v>
      </c>
      <c r="D293" t="s">
        <v>19</v>
      </c>
      <c r="E293" s="16" t="s">
        <v>272</v>
      </c>
      <c r="F293" s="16">
        <v>3</v>
      </c>
      <c r="G293" t="s">
        <v>1524</v>
      </c>
      <c r="H293" t="s">
        <v>1562</v>
      </c>
      <c r="I293" t="s">
        <v>1567</v>
      </c>
      <c r="J293" t="s">
        <v>1574</v>
      </c>
      <c r="L293" t="str">
        <f t="shared" si="33"/>
        <v>continuous/fully_connected</v>
      </c>
      <c r="M293" t="str">
        <f t="shared" si="34"/>
        <v>straight/s-shape/arch + standard_truss/arch_truss</v>
      </c>
      <c r="N293" t="str">
        <f t="shared" si="32"/>
        <v>top_structure/rock_structure + 3anc</v>
      </c>
      <c r="O293" t="s">
        <v>1692</v>
      </c>
      <c r="R293" t="s">
        <v>995</v>
      </c>
      <c r="S293" t="s">
        <v>292</v>
      </c>
      <c r="T293" t="s">
        <v>293</v>
      </c>
      <c r="U293" t="s">
        <v>292</v>
      </c>
      <c r="V293" t="s">
        <v>293</v>
      </c>
      <c r="W293" t="s">
        <v>293</v>
      </c>
      <c r="X293" t="str">
        <f t="shared" si="35"/>
        <v>road-</v>
      </c>
      <c r="Y293" t="str">
        <f t="shared" si="36"/>
        <v/>
      </c>
      <c r="Z293" t="str">
        <f t="shared" si="37"/>
        <v>wood-</v>
      </c>
      <c r="AA293" t="str">
        <f t="shared" si="38"/>
        <v/>
      </c>
      <c r="AB293" t="str">
        <f t="shared" si="39"/>
        <v>road-wood-</v>
      </c>
      <c r="AE293" t="s">
        <v>1692</v>
      </c>
    </row>
    <row r="294" spans="1:31" x14ac:dyDescent="0.3">
      <c r="A294" t="s">
        <v>43</v>
      </c>
      <c r="B294" t="s">
        <v>54</v>
      </c>
      <c r="C294" t="s">
        <v>12</v>
      </c>
      <c r="D294" t="s">
        <v>17</v>
      </c>
      <c r="E294" s="16" t="s">
        <v>272</v>
      </c>
      <c r="F294" s="16">
        <v>3</v>
      </c>
      <c r="G294" t="s">
        <v>1524</v>
      </c>
      <c r="H294" t="s">
        <v>1562</v>
      </c>
      <c r="I294" t="s">
        <v>1567</v>
      </c>
      <c r="J294" t="s">
        <v>1574</v>
      </c>
      <c r="L294" t="str">
        <f t="shared" si="33"/>
        <v>continuous/fully_connected</v>
      </c>
      <c r="M294" t="str">
        <f t="shared" si="34"/>
        <v>straight/s-shape/arch + standard_truss/arch_truss</v>
      </c>
      <c r="N294" t="str">
        <f t="shared" si="32"/>
        <v>top_structure/rock_structure + 3anc</v>
      </c>
      <c r="O294" t="s">
        <v>1692</v>
      </c>
      <c r="R294" t="s">
        <v>996</v>
      </c>
      <c r="S294" t="s">
        <v>292</v>
      </c>
      <c r="T294" t="s">
        <v>293</v>
      </c>
      <c r="U294" t="s">
        <v>292</v>
      </c>
      <c r="V294" t="s">
        <v>293</v>
      </c>
      <c r="W294" t="s">
        <v>293</v>
      </c>
      <c r="X294" t="str">
        <f t="shared" si="35"/>
        <v>road-</v>
      </c>
      <c r="Y294" t="str">
        <f t="shared" si="36"/>
        <v/>
      </c>
      <c r="Z294" t="str">
        <f t="shared" si="37"/>
        <v>wood-</v>
      </c>
      <c r="AA294" t="str">
        <f t="shared" si="38"/>
        <v/>
      </c>
      <c r="AB294" t="str">
        <f t="shared" si="39"/>
        <v>road-wood-</v>
      </c>
      <c r="AE294" t="s">
        <v>1692</v>
      </c>
    </row>
    <row r="295" spans="1:31" x14ac:dyDescent="0.3">
      <c r="A295" t="s">
        <v>43</v>
      </c>
      <c r="B295" t="s">
        <v>54</v>
      </c>
      <c r="C295" t="s">
        <v>12</v>
      </c>
      <c r="D295" t="s">
        <v>16</v>
      </c>
      <c r="E295" s="16" t="s">
        <v>272</v>
      </c>
      <c r="F295" s="16">
        <v>3</v>
      </c>
      <c r="G295" t="s">
        <v>1524</v>
      </c>
      <c r="H295" t="s">
        <v>1562</v>
      </c>
      <c r="I295" t="s">
        <v>1567</v>
      </c>
      <c r="J295" t="s">
        <v>1574</v>
      </c>
      <c r="L295" t="str">
        <f t="shared" si="33"/>
        <v>continuous/fully_connected</v>
      </c>
      <c r="M295" t="str">
        <f t="shared" si="34"/>
        <v>straight/s-shape/arch + standard_truss/arch_truss</v>
      </c>
      <c r="N295" t="str">
        <f t="shared" si="32"/>
        <v>top_structure/rock_structure + 3anc</v>
      </c>
      <c r="O295" t="s">
        <v>1692</v>
      </c>
      <c r="R295" t="s">
        <v>997</v>
      </c>
      <c r="S295" t="s">
        <v>292</v>
      </c>
      <c r="T295" t="s">
        <v>293</v>
      </c>
      <c r="U295" t="s">
        <v>292</v>
      </c>
      <c r="V295" t="s">
        <v>293</v>
      </c>
      <c r="W295" t="s">
        <v>293</v>
      </c>
      <c r="X295" t="str">
        <f t="shared" si="35"/>
        <v>road-</v>
      </c>
      <c r="Y295" t="str">
        <f t="shared" si="36"/>
        <v/>
      </c>
      <c r="Z295" t="str">
        <f t="shared" si="37"/>
        <v>wood-</v>
      </c>
      <c r="AA295" t="str">
        <f t="shared" si="38"/>
        <v/>
      </c>
      <c r="AB295" t="str">
        <f t="shared" si="39"/>
        <v>road-wood-</v>
      </c>
      <c r="AE295" t="s">
        <v>1692</v>
      </c>
    </row>
    <row r="296" spans="1:31" x14ac:dyDescent="0.3">
      <c r="A296" t="s">
        <v>43</v>
      </c>
      <c r="B296" t="s">
        <v>54</v>
      </c>
      <c r="C296" t="s">
        <v>29</v>
      </c>
      <c r="D296" t="s">
        <v>23</v>
      </c>
      <c r="E296" s="16" t="s">
        <v>272</v>
      </c>
      <c r="F296" s="16">
        <v>3</v>
      </c>
      <c r="G296" t="s">
        <v>1524</v>
      </c>
      <c r="H296" t="s">
        <v>1562</v>
      </c>
      <c r="I296" t="s">
        <v>1568</v>
      </c>
      <c r="J296" t="s">
        <v>1571</v>
      </c>
      <c r="L296" t="str">
        <f t="shared" si="33"/>
        <v>continuous/fully_connected</v>
      </c>
      <c r="M296" t="str">
        <f t="shared" si="34"/>
        <v>straight/s-shape/arch + standard_truss/other_truss</v>
      </c>
      <c r="N296" t="str">
        <f t="shared" si="32"/>
        <v>bottom_structure/rock_structure + 3anc</v>
      </c>
      <c r="O296" t="s">
        <v>1684</v>
      </c>
      <c r="R296" t="s">
        <v>998</v>
      </c>
      <c r="S296" t="s">
        <v>292</v>
      </c>
      <c r="T296" t="s">
        <v>293</v>
      </c>
      <c r="U296" t="s">
        <v>292</v>
      </c>
      <c r="V296" t="s">
        <v>292</v>
      </c>
      <c r="W296" t="s">
        <v>293</v>
      </c>
      <c r="X296" t="str">
        <f t="shared" si="35"/>
        <v>road-</v>
      </c>
      <c r="Y296" t="str">
        <f t="shared" si="36"/>
        <v/>
      </c>
      <c r="Z296" t="str">
        <f t="shared" si="37"/>
        <v>wood-</v>
      </c>
      <c r="AA296" t="str">
        <f t="shared" si="38"/>
        <v>steel</v>
      </c>
      <c r="AB296" t="str">
        <f t="shared" si="39"/>
        <v>road-wood-steel</v>
      </c>
      <c r="AE296" t="s">
        <v>1684</v>
      </c>
    </row>
    <row r="297" spans="1:31" x14ac:dyDescent="0.3">
      <c r="A297" t="s">
        <v>43</v>
      </c>
      <c r="B297" t="s">
        <v>54</v>
      </c>
      <c r="C297" t="s">
        <v>29</v>
      </c>
      <c r="D297" t="s">
        <v>25</v>
      </c>
      <c r="E297" s="16" t="s">
        <v>272</v>
      </c>
      <c r="F297" s="16">
        <v>3</v>
      </c>
      <c r="G297" t="s">
        <v>1524</v>
      </c>
      <c r="H297" t="s">
        <v>1562</v>
      </c>
      <c r="I297" t="s">
        <v>1568</v>
      </c>
      <c r="J297" t="s">
        <v>1571</v>
      </c>
      <c r="L297" t="str">
        <f t="shared" si="33"/>
        <v>continuous/fully_connected</v>
      </c>
      <c r="M297" t="str">
        <f t="shared" si="34"/>
        <v>straight/s-shape/arch + standard_truss/other_truss</v>
      </c>
      <c r="N297" t="str">
        <f t="shared" si="32"/>
        <v>bottom_structure/rock_structure + 3anc</v>
      </c>
      <c r="O297" t="s">
        <v>1684</v>
      </c>
      <c r="R297" t="s">
        <v>999</v>
      </c>
      <c r="S297" t="s">
        <v>292</v>
      </c>
      <c r="T297" t="s">
        <v>293</v>
      </c>
      <c r="U297" t="s">
        <v>292</v>
      </c>
      <c r="V297" t="s">
        <v>292</v>
      </c>
      <c r="W297" t="s">
        <v>293</v>
      </c>
      <c r="X297" t="str">
        <f t="shared" si="35"/>
        <v>road-</v>
      </c>
      <c r="Y297" t="str">
        <f t="shared" si="36"/>
        <v/>
      </c>
      <c r="Z297" t="str">
        <f t="shared" si="37"/>
        <v>wood-</v>
      </c>
      <c r="AA297" t="str">
        <f t="shared" si="38"/>
        <v>steel</v>
      </c>
      <c r="AB297" t="str">
        <f t="shared" si="39"/>
        <v>road-wood-steel</v>
      </c>
      <c r="AE297" t="s">
        <v>1684</v>
      </c>
    </row>
    <row r="298" spans="1:31" x14ac:dyDescent="0.3">
      <c r="A298" t="s">
        <v>43</v>
      </c>
      <c r="B298" t="s">
        <v>54</v>
      </c>
      <c r="C298" t="s">
        <v>29</v>
      </c>
      <c r="D298" t="s">
        <v>24</v>
      </c>
      <c r="E298" s="16" t="s">
        <v>272</v>
      </c>
      <c r="F298" s="16">
        <v>3</v>
      </c>
      <c r="G298" t="s">
        <v>1524</v>
      </c>
      <c r="H298" t="s">
        <v>1562</v>
      </c>
      <c r="I298" t="s">
        <v>1568</v>
      </c>
      <c r="J298" t="s">
        <v>1571</v>
      </c>
      <c r="L298" t="str">
        <f t="shared" si="33"/>
        <v>continuous/fully_connected</v>
      </c>
      <c r="M298" t="str">
        <f t="shared" si="34"/>
        <v>straight/s-shape/arch + standard_truss/other_truss</v>
      </c>
      <c r="N298" t="str">
        <f t="shared" si="32"/>
        <v>bottom_structure/rock_structure + 3anc</v>
      </c>
      <c r="O298" t="s">
        <v>1684</v>
      </c>
      <c r="R298" t="s">
        <v>1000</v>
      </c>
      <c r="S298" t="s">
        <v>292</v>
      </c>
      <c r="T298" t="s">
        <v>293</v>
      </c>
      <c r="U298" t="s">
        <v>292</v>
      </c>
      <c r="V298" t="s">
        <v>292</v>
      </c>
      <c r="W298" t="s">
        <v>293</v>
      </c>
      <c r="X298" t="str">
        <f t="shared" si="35"/>
        <v>road-</v>
      </c>
      <c r="Y298" t="str">
        <f t="shared" si="36"/>
        <v/>
      </c>
      <c r="Z298" t="str">
        <f t="shared" si="37"/>
        <v>wood-</v>
      </c>
      <c r="AA298" t="str">
        <f t="shared" si="38"/>
        <v>steel</v>
      </c>
      <c r="AB298" t="str">
        <f t="shared" si="39"/>
        <v>road-wood-steel</v>
      </c>
      <c r="AE298" t="s">
        <v>1684</v>
      </c>
    </row>
    <row r="299" spans="1:31" x14ac:dyDescent="0.3">
      <c r="A299" t="s">
        <v>43</v>
      </c>
      <c r="B299" t="s">
        <v>54</v>
      </c>
      <c r="C299" t="s">
        <v>29</v>
      </c>
      <c r="D299" t="s">
        <v>32</v>
      </c>
      <c r="E299" s="16" t="s">
        <v>272</v>
      </c>
      <c r="F299" s="16">
        <v>3</v>
      </c>
      <c r="G299" t="s">
        <v>1524</v>
      </c>
      <c r="H299" t="s">
        <v>1562</v>
      </c>
      <c r="I299" t="s">
        <v>1568</v>
      </c>
      <c r="J299" t="s">
        <v>1571</v>
      </c>
      <c r="L299" t="str">
        <f t="shared" si="33"/>
        <v>continuous/fully_connected</v>
      </c>
      <c r="M299" t="str">
        <f t="shared" si="34"/>
        <v>straight/s-shape/arch + standard_truss/other_truss</v>
      </c>
      <c r="N299" t="str">
        <f t="shared" si="32"/>
        <v>bottom_structure/rock_structure + 3anc</v>
      </c>
      <c r="O299" t="s">
        <v>1684</v>
      </c>
      <c r="R299" t="s">
        <v>1001</v>
      </c>
      <c r="S299" t="s">
        <v>292</v>
      </c>
      <c r="T299" t="s">
        <v>293</v>
      </c>
      <c r="U299" t="s">
        <v>292</v>
      </c>
      <c r="V299" t="s">
        <v>292</v>
      </c>
      <c r="W299" t="s">
        <v>293</v>
      </c>
      <c r="X299" t="str">
        <f t="shared" si="35"/>
        <v>road-</v>
      </c>
      <c r="Y299" t="str">
        <f t="shared" si="36"/>
        <v/>
      </c>
      <c r="Z299" t="str">
        <f t="shared" si="37"/>
        <v>wood-</v>
      </c>
      <c r="AA299" t="str">
        <f t="shared" si="38"/>
        <v>steel</v>
      </c>
      <c r="AB299" t="str">
        <f t="shared" si="39"/>
        <v>road-wood-steel</v>
      </c>
      <c r="AE299" t="s">
        <v>1684</v>
      </c>
    </row>
    <row r="300" spans="1:31" x14ac:dyDescent="0.3">
      <c r="A300" t="s">
        <v>43</v>
      </c>
      <c r="B300" t="s">
        <v>54</v>
      </c>
      <c r="C300" t="s">
        <v>29</v>
      </c>
      <c r="D300" t="s">
        <v>21</v>
      </c>
      <c r="E300" s="16" t="s">
        <v>272</v>
      </c>
      <c r="F300" s="16">
        <v>3</v>
      </c>
      <c r="G300" t="s">
        <v>1524</v>
      </c>
      <c r="H300" t="s">
        <v>1562</v>
      </c>
      <c r="I300" t="s">
        <v>1568</v>
      </c>
      <c r="J300" t="s">
        <v>1571</v>
      </c>
      <c r="L300" t="str">
        <f t="shared" si="33"/>
        <v>continuous/fully_connected</v>
      </c>
      <c r="M300" t="str">
        <f t="shared" si="34"/>
        <v>straight/s-shape/arch + standard_truss/other_truss</v>
      </c>
      <c r="N300" t="str">
        <f t="shared" si="32"/>
        <v>bottom_structure/rock_structure + 3anc</v>
      </c>
      <c r="O300" t="s">
        <v>1692</v>
      </c>
      <c r="R300" t="s">
        <v>1002</v>
      </c>
      <c r="S300" t="s">
        <v>292</v>
      </c>
      <c r="T300" t="s">
        <v>293</v>
      </c>
      <c r="U300" t="s">
        <v>292</v>
      </c>
      <c r="V300" t="s">
        <v>293</v>
      </c>
      <c r="W300" t="s">
        <v>293</v>
      </c>
      <c r="X300" t="str">
        <f t="shared" si="35"/>
        <v>road-</v>
      </c>
      <c r="Y300" t="str">
        <f t="shared" si="36"/>
        <v/>
      </c>
      <c r="Z300" t="str">
        <f t="shared" si="37"/>
        <v>wood-</v>
      </c>
      <c r="AA300" t="str">
        <f t="shared" si="38"/>
        <v/>
      </c>
      <c r="AB300" t="str">
        <f t="shared" si="39"/>
        <v>road-wood-</v>
      </c>
      <c r="AE300" t="s">
        <v>1692</v>
      </c>
    </row>
    <row r="301" spans="1:31" x14ac:dyDescent="0.3">
      <c r="A301" t="s">
        <v>43</v>
      </c>
      <c r="B301" t="s">
        <v>54</v>
      </c>
      <c r="C301" t="s">
        <v>29</v>
      </c>
      <c r="D301" t="s">
        <v>30</v>
      </c>
      <c r="E301" s="16" t="s">
        <v>272</v>
      </c>
      <c r="F301" s="16">
        <v>3</v>
      </c>
      <c r="G301" t="s">
        <v>1524</v>
      </c>
      <c r="H301" t="s">
        <v>1562</v>
      </c>
      <c r="I301" t="s">
        <v>1568</v>
      </c>
      <c r="J301" t="s">
        <v>1571</v>
      </c>
      <c r="L301" t="str">
        <f t="shared" si="33"/>
        <v>continuous/fully_connected</v>
      </c>
      <c r="M301" t="str">
        <f t="shared" si="34"/>
        <v>straight/s-shape/arch + standard_truss/other_truss</v>
      </c>
      <c r="N301" t="str">
        <f t="shared" si="32"/>
        <v>bottom_structure/rock_structure + 3anc</v>
      </c>
      <c r="O301" t="s">
        <v>1684</v>
      </c>
      <c r="R301" t="s">
        <v>1003</v>
      </c>
      <c r="S301" t="s">
        <v>292</v>
      </c>
      <c r="T301" t="s">
        <v>293</v>
      </c>
      <c r="U301" t="s">
        <v>292</v>
      </c>
      <c r="V301" t="s">
        <v>292</v>
      </c>
      <c r="W301" t="s">
        <v>293</v>
      </c>
      <c r="X301" t="str">
        <f t="shared" si="35"/>
        <v>road-</v>
      </c>
      <c r="Y301" t="str">
        <f t="shared" si="36"/>
        <v/>
      </c>
      <c r="Z301" t="str">
        <f t="shared" si="37"/>
        <v>wood-</v>
      </c>
      <c r="AA301" t="str">
        <f t="shared" si="38"/>
        <v>steel</v>
      </c>
      <c r="AB301" t="str">
        <f t="shared" si="39"/>
        <v>road-wood-steel</v>
      </c>
      <c r="AE301" t="s">
        <v>1684</v>
      </c>
    </row>
    <row r="302" spans="1:31" x14ac:dyDescent="0.3">
      <c r="A302" t="s">
        <v>43</v>
      </c>
      <c r="B302" t="s">
        <v>54</v>
      </c>
      <c r="C302" t="s">
        <v>29</v>
      </c>
      <c r="D302" t="s">
        <v>20</v>
      </c>
      <c r="E302" s="16" t="s">
        <v>272</v>
      </c>
      <c r="F302" s="16">
        <v>3</v>
      </c>
      <c r="G302" t="s">
        <v>1524</v>
      </c>
      <c r="H302" t="s">
        <v>1562</v>
      </c>
      <c r="I302" t="s">
        <v>1568</v>
      </c>
      <c r="J302" t="s">
        <v>1571</v>
      </c>
      <c r="L302" t="str">
        <f t="shared" si="33"/>
        <v>continuous/fully_connected</v>
      </c>
      <c r="M302" t="str">
        <f t="shared" si="34"/>
        <v>straight/s-shape/arch + standard_truss/other_truss</v>
      </c>
      <c r="N302" t="str">
        <f t="shared" si="32"/>
        <v>bottom_structure/rock_structure + 3anc</v>
      </c>
      <c r="O302" t="s">
        <v>1692</v>
      </c>
      <c r="R302" t="s">
        <v>1004</v>
      </c>
      <c r="S302" t="s">
        <v>292</v>
      </c>
      <c r="T302" t="s">
        <v>293</v>
      </c>
      <c r="U302" t="s">
        <v>292</v>
      </c>
      <c r="V302" t="s">
        <v>293</v>
      </c>
      <c r="W302" t="s">
        <v>293</v>
      </c>
      <c r="X302" t="str">
        <f t="shared" si="35"/>
        <v>road-</v>
      </c>
      <c r="Y302" t="str">
        <f t="shared" si="36"/>
        <v/>
      </c>
      <c r="Z302" t="str">
        <f t="shared" si="37"/>
        <v>wood-</v>
      </c>
      <c r="AA302" t="str">
        <f t="shared" si="38"/>
        <v/>
      </c>
      <c r="AB302" t="str">
        <f t="shared" si="39"/>
        <v>road-wood-</v>
      </c>
      <c r="AE302" t="s">
        <v>1692</v>
      </c>
    </row>
    <row r="303" spans="1:31" x14ac:dyDescent="0.3">
      <c r="A303" t="s">
        <v>43</v>
      </c>
      <c r="B303" t="s">
        <v>54</v>
      </c>
      <c r="C303" t="s">
        <v>29</v>
      </c>
      <c r="D303" t="s">
        <v>33</v>
      </c>
      <c r="E303" s="16" t="s">
        <v>272</v>
      </c>
      <c r="F303" s="16">
        <v>3</v>
      </c>
      <c r="G303" t="s">
        <v>1524</v>
      </c>
      <c r="H303" t="s">
        <v>1562</v>
      </c>
      <c r="I303" t="s">
        <v>1568</v>
      </c>
      <c r="J303" t="s">
        <v>1571</v>
      </c>
      <c r="L303" t="str">
        <f t="shared" si="33"/>
        <v>continuous/fully_connected</v>
      </c>
      <c r="M303" t="str">
        <f t="shared" si="34"/>
        <v>straight/s-shape/arch + standard_truss/other_truss</v>
      </c>
      <c r="N303" t="str">
        <f t="shared" si="32"/>
        <v>bottom_structure/rock_structure + 3anc</v>
      </c>
      <c r="O303" t="s">
        <v>1684</v>
      </c>
      <c r="R303" t="s">
        <v>1005</v>
      </c>
      <c r="S303" t="s">
        <v>292</v>
      </c>
      <c r="T303" t="s">
        <v>293</v>
      </c>
      <c r="U303" t="s">
        <v>292</v>
      </c>
      <c r="V303" t="s">
        <v>292</v>
      </c>
      <c r="W303" t="s">
        <v>293</v>
      </c>
      <c r="X303" t="str">
        <f t="shared" si="35"/>
        <v>road-</v>
      </c>
      <c r="Y303" t="str">
        <f t="shared" si="36"/>
        <v/>
      </c>
      <c r="Z303" t="str">
        <f t="shared" si="37"/>
        <v>wood-</v>
      </c>
      <c r="AA303" t="str">
        <f t="shared" si="38"/>
        <v>steel</v>
      </c>
      <c r="AB303" t="str">
        <f t="shared" si="39"/>
        <v>road-wood-steel</v>
      </c>
      <c r="AE303" t="s">
        <v>1684</v>
      </c>
    </row>
    <row r="304" spans="1:31" x14ac:dyDescent="0.3">
      <c r="A304" t="s">
        <v>43</v>
      </c>
      <c r="B304" t="s">
        <v>54</v>
      </c>
      <c r="C304" t="s">
        <v>29</v>
      </c>
      <c r="D304" t="s">
        <v>26</v>
      </c>
      <c r="E304" s="16" t="s">
        <v>272</v>
      </c>
      <c r="F304" s="16">
        <v>3</v>
      </c>
      <c r="G304" t="s">
        <v>1524</v>
      </c>
      <c r="H304" t="s">
        <v>1562</v>
      </c>
      <c r="I304" t="s">
        <v>1568</v>
      </c>
      <c r="J304" t="s">
        <v>1571</v>
      </c>
      <c r="L304" t="str">
        <f t="shared" si="33"/>
        <v>continuous/fully_connected</v>
      </c>
      <c r="M304" t="str">
        <f t="shared" si="34"/>
        <v>straight/s-shape/arch + standard_truss/other_truss</v>
      </c>
      <c r="N304" t="str">
        <f t="shared" si="32"/>
        <v>bottom_structure/rock_structure + 3anc</v>
      </c>
      <c r="O304" t="s">
        <v>1684</v>
      </c>
      <c r="R304" t="s">
        <v>1006</v>
      </c>
      <c r="S304" t="s">
        <v>292</v>
      </c>
      <c r="T304" t="s">
        <v>293</v>
      </c>
      <c r="U304" t="s">
        <v>292</v>
      </c>
      <c r="V304" t="s">
        <v>292</v>
      </c>
      <c r="W304" t="s">
        <v>293</v>
      </c>
      <c r="X304" t="str">
        <f t="shared" si="35"/>
        <v>road-</v>
      </c>
      <c r="Y304" t="str">
        <f t="shared" si="36"/>
        <v/>
      </c>
      <c r="Z304" t="str">
        <f t="shared" si="37"/>
        <v>wood-</v>
      </c>
      <c r="AA304" t="str">
        <f t="shared" si="38"/>
        <v>steel</v>
      </c>
      <c r="AB304" t="str">
        <f t="shared" si="39"/>
        <v>road-wood-steel</v>
      </c>
      <c r="AE304" t="s">
        <v>1684</v>
      </c>
    </row>
    <row r="305" spans="1:31" x14ac:dyDescent="0.3">
      <c r="A305" t="s">
        <v>43</v>
      </c>
      <c r="B305" t="s">
        <v>54</v>
      </c>
      <c r="C305" t="s">
        <v>29</v>
      </c>
      <c r="D305" t="s">
        <v>22</v>
      </c>
      <c r="E305" s="16" t="s">
        <v>272</v>
      </c>
      <c r="F305" s="16">
        <v>3</v>
      </c>
      <c r="G305" t="s">
        <v>1524</v>
      </c>
      <c r="H305" t="s">
        <v>1562</v>
      </c>
      <c r="I305" t="s">
        <v>1568</v>
      </c>
      <c r="J305" t="s">
        <v>1571</v>
      </c>
      <c r="L305" t="str">
        <f t="shared" si="33"/>
        <v>continuous/fully_connected</v>
      </c>
      <c r="M305" t="str">
        <f t="shared" si="34"/>
        <v>straight/s-shape/arch + standard_truss/other_truss</v>
      </c>
      <c r="N305" t="str">
        <f t="shared" si="32"/>
        <v>bottom_structure/rock_structure + 3anc</v>
      </c>
      <c r="O305" t="s">
        <v>1692</v>
      </c>
      <c r="R305" t="s">
        <v>1007</v>
      </c>
      <c r="S305" t="s">
        <v>292</v>
      </c>
      <c r="T305" t="s">
        <v>293</v>
      </c>
      <c r="U305" t="s">
        <v>292</v>
      </c>
      <c r="V305" t="s">
        <v>293</v>
      </c>
      <c r="W305" t="s">
        <v>293</v>
      </c>
      <c r="X305" t="str">
        <f t="shared" si="35"/>
        <v>road-</v>
      </c>
      <c r="Y305" t="str">
        <f t="shared" si="36"/>
        <v/>
      </c>
      <c r="Z305" t="str">
        <f t="shared" si="37"/>
        <v>wood-</v>
      </c>
      <c r="AA305" t="str">
        <f t="shared" si="38"/>
        <v/>
      </c>
      <c r="AB305" t="str">
        <f t="shared" si="39"/>
        <v>road-wood-</v>
      </c>
      <c r="AE305" t="s">
        <v>1692</v>
      </c>
    </row>
    <row r="306" spans="1:31" x14ac:dyDescent="0.3">
      <c r="A306" t="s">
        <v>43</v>
      </c>
      <c r="B306" t="s">
        <v>54</v>
      </c>
      <c r="C306" t="s">
        <v>29</v>
      </c>
      <c r="D306" t="s">
        <v>31</v>
      </c>
      <c r="E306" s="16" t="s">
        <v>272</v>
      </c>
      <c r="F306" s="16">
        <v>3</v>
      </c>
      <c r="G306" t="s">
        <v>1524</v>
      </c>
      <c r="H306" t="s">
        <v>1562</v>
      </c>
      <c r="I306" t="s">
        <v>1568</v>
      </c>
      <c r="J306" t="s">
        <v>1571</v>
      </c>
      <c r="L306" t="str">
        <f t="shared" si="33"/>
        <v>continuous/fully_connected</v>
      </c>
      <c r="M306" t="str">
        <f t="shared" si="34"/>
        <v>straight/s-shape/arch + standard_truss/other_truss</v>
      </c>
      <c r="N306" t="str">
        <f t="shared" si="32"/>
        <v>bottom_structure/rock_structure + 3anc</v>
      </c>
      <c r="O306" t="s">
        <v>1692</v>
      </c>
      <c r="R306" t="s">
        <v>1008</v>
      </c>
      <c r="S306" t="s">
        <v>292</v>
      </c>
      <c r="T306" t="s">
        <v>293</v>
      </c>
      <c r="U306" t="s">
        <v>292</v>
      </c>
      <c r="V306" t="s">
        <v>293</v>
      </c>
      <c r="W306" t="s">
        <v>293</v>
      </c>
      <c r="X306" t="str">
        <f t="shared" si="35"/>
        <v>road-</v>
      </c>
      <c r="Y306" t="str">
        <f t="shared" si="36"/>
        <v/>
      </c>
      <c r="Z306" t="str">
        <f t="shared" si="37"/>
        <v>wood-</v>
      </c>
      <c r="AA306" t="str">
        <f t="shared" si="38"/>
        <v/>
      </c>
      <c r="AB306" t="str">
        <f t="shared" si="39"/>
        <v>road-wood-</v>
      </c>
      <c r="AE306" t="s">
        <v>1692</v>
      </c>
    </row>
    <row r="307" spans="1:31" x14ac:dyDescent="0.3">
      <c r="A307" t="s">
        <v>43</v>
      </c>
      <c r="B307" t="s">
        <v>54</v>
      </c>
      <c r="C307" t="s">
        <v>29</v>
      </c>
      <c r="D307" t="s">
        <v>27</v>
      </c>
      <c r="E307" s="16" t="s">
        <v>272</v>
      </c>
      <c r="F307" s="16">
        <v>3</v>
      </c>
      <c r="G307" t="s">
        <v>1524</v>
      </c>
      <c r="H307" t="s">
        <v>1562</v>
      </c>
      <c r="I307" t="s">
        <v>1568</v>
      </c>
      <c r="J307" t="s">
        <v>1571</v>
      </c>
      <c r="L307" t="str">
        <f t="shared" si="33"/>
        <v>continuous/fully_connected</v>
      </c>
      <c r="M307" t="str">
        <f t="shared" si="34"/>
        <v>straight/s-shape/arch + standard_truss/other_truss</v>
      </c>
      <c r="N307" t="str">
        <f t="shared" si="32"/>
        <v>bottom_structure/rock_structure + 3anc</v>
      </c>
      <c r="O307" t="s">
        <v>1692</v>
      </c>
      <c r="R307" t="s">
        <v>1009</v>
      </c>
      <c r="S307" t="s">
        <v>292</v>
      </c>
      <c r="T307" t="s">
        <v>293</v>
      </c>
      <c r="U307" t="s">
        <v>292</v>
      </c>
      <c r="V307" t="s">
        <v>293</v>
      </c>
      <c r="W307" t="s">
        <v>293</v>
      </c>
      <c r="X307" t="str">
        <f t="shared" si="35"/>
        <v>road-</v>
      </c>
      <c r="Y307" t="str">
        <f t="shared" si="36"/>
        <v/>
      </c>
      <c r="Z307" t="str">
        <f t="shared" si="37"/>
        <v>wood-</v>
      </c>
      <c r="AA307" t="str">
        <f t="shared" si="38"/>
        <v/>
      </c>
      <c r="AB307" t="str">
        <f t="shared" si="39"/>
        <v>road-wood-</v>
      </c>
      <c r="AE307" t="s">
        <v>1692</v>
      </c>
    </row>
    <row r="308" spans="1:31" x14ac:dyDescent="0.3">
      <c r="A308" t="s">
        <v>43</v>
      </c>
      <c r="B308" t="s">
        <v>54</v>
      </c>
      <c r="C308" t="s">
        <v>29</v>
      </c>
      <c r="D308" t="s">
        <v>28</v>
      </c>
      <c r="E308" s="16" t="s">
        <v>272</v>
      </c>
      <c r="F308" s="16">
        <v>3</v>
      </c>
      <c r="G308" t="s">
        <v>1524</v>
      </c>
      <c r="H308" t="s">
        <v>1562</v>
      </c>
      <c r="I308" t="s">
        <v>1568</v>
      </c>
      <c r="J308" t="s">
        <v>1571</v>
      </c>
      <c r="L308" t="str">
        <f t="shared" si="33"/>
        <v>continuous/fully_connected</v>
      </c>
      <c r="M308" t="str">
        <f t="shared" si="34"/>
        <v>straight/s-shape/arch + standard_truss/other_truss</v>
      </c>
      <c r="N308" t="str">
        <f t="shared" si="32"/>
        <v>bottom_structure/rock_structure + 3anc</v>
      </c>
      <c r="O308" t="s">
        <v>1692</v>
      </c>
      <c r="R308" t="s">
        <v>1010</v>
      </c>
      <c r="S308" t="s">
        <v>292</v>
      </c>
      <c r="T308" t="s">
        <v>293</v>
      </c>
      <c r="U308" t="s">
        <v>292</v>
      </c>
      <c r="V308" t="s">
        <v>293</v>
      </c>
      <c r="W308" t="s">
        <v>293</v>
      </c>
      <c r="X308" t="str">
        <f t="shared" si="35"/>
        <v>road-</v>
      </c>
      <c r="Y308" t="str">
        <f t="shared" si="36"/>
        <v/>
      </c>
      <c r="Z308" t="str">
        <f t="shared" si="37"/>
        <v>wood-</v>
      </c>
      <c r="AA308" t="str">
        <f t="shared" si="38"/>
        <v/>
      </c>
      <c r="AB308" t="str">
        <f t="shared" si="39"/>
        <v>road-wood-</v>
      </c>
      <c r="AE308" t="s">
        <v>1692</v>
      </c>
    </row>
    <row r="309" spans="1:31" x14ac:dyDescent="0.3">
      <c r="A309" t="s">
        <v>9</v>
      </c>
      <c r="B309" t="s">
        <v>52</v>
      </c>
      <c r="C309" t="s">
        <v>12</v>
      </c>
      <c r="D309" t="s">
        <v>15</v>
      </c>
      <c r="E309" s="16" t="s">
        <v>272</v>
      </c>
      <c r="F309" s="16">
        <v>2</v>
      </c>
      <c r="G309" t="s">
        <v>1525</v>
      </c>
      <c r="H309" t="s">
        <v>339</v>
      </c>
      <c r="I309" t="s">
        <v>1567</v>
      </c>
      <c r="J309" t="s">
        <v>345</v>
      </c>
      <c r="L309" t="str">
        <f t="shared" si="33"/>
        <v>missing_section/right</v>
      </c>
      <c r="M309" t="str">
        <f t="shared" si="34"/>
        <v>inverted_arch + arch_truss</v>
      </c>
      <c r="N309" t="str">
        <f t="shared" si="32"/>
        <v>top_structure/rock_structure + 2anc</v>
      </c>
      <c r="O309" t="s">
        <v>1684</v>
      </c>
      <c r="R309" s="38" t="s">
        <v>1011</v>
      </c>
      <c r="S309" s="38" t="s">
        <v>292</v>
      </c>
      <c r="T309" s="38" t="s">
        <v>293</v>
      </c>
      <c r="U309" s="38" t="s">
        <v>292</v>
      </c>
      <c r="V309" s="38" t="s">
        <v>292</v>
      </c>
      <c r="W309" s="38" t="s">
        <v>293</v>
      </c>
      <c r="X309" t="str">
        <f t="shared" si="35"/>
        <v>road-</v>
      </c>
      <c r="Y309" t="str">
        <f t="shared" si="36"/>
        <v/>
      </c>
      <c r="Z309" t="str">
        <f t="shared" si="37"/>
        <v>wood-</v>
      </c>
      <c r="AA309" t="str">
        <f t="shared" si="38"/>
        <v>steel</v>
      </c>
      <c r="AB309" t="str">
        <f t="shared" si="39"/>
        <v>road-wood-steel</v>
      </c>
      <c r="AE309" t="s">
        <v>1684</v>
      </c>
    </row>
    <row r="310" spans="1:31" x14ac:dyDescent="0.3">
      <c r="A310" t="s">
        <v>9</v>
      </c>
      <c r="B310" t="s">
        <v>52</v>
      </c>
      <c r="C310" t="s">
        <v>12</v>
      </c>
      <c r="D310" t="s">
        <v>14</v>
      </c>
      <c r="E310" s="16" t="s">
        <v>272</v>
      </c>
      <c r="F310" s="16">
        <v>3</v>
      </c>
      <c r="G310" t="s">
        <v>1524</v>
      </c>
      <c r="H310" t="s">
        <v>284</v>
      </c>
      <c r="I310" t="s">
        <v>1567</v>
      </c>
      <c r="J310" t="s">
        <v>345</v>
      </c>
      <c r="L310" t="str">
        <f t="shared" si="33"/>
        <v>continuous/fully_connected</v>
      </c>
      <c r="M310" t="str">
        <f t="shared" si="34"/>
        <v>declined + arch_truss</v>
      </c>
      <c r="N310" t="str">
        <f t="shared" si="32"/>
        <v>top_structure/rock_structure + 3anc</v>
      </c>
      <c r="O310" t="s">
        <v>1692</v>
      </c>
      <c r="R310" t="s">
        <v>1012</v>
      </c>
      <c r="S310" t="s">
        <v>292</v>
      </c>
      <c r="T310" t="s">
        <v>293</v>
      </c>
      <c r="U310" t="s">
        <v>292</v>
      </c>
      <c r="V310" t="s">
        <v>293</v>
      </c>
      <c r="W310" t="s">
        <v>293</v>
      </c>
      <c r="X310" t="str">
        <f t="shared" si="35"/>
        <v>road-</v>
      </c>
      <c r="Y310" t="str">
        <f t="shared" si="36"/>
        <v/>
      </c>
      <c r="Z310" t="str">
        <f t="shared" si="37"/>
        <v>wood-</v>
      </c>
      <c r="AA310" t="str">
        <f t="shared" si="38"/>
        <v/>
      </c>
      <c r="AB310" t="str">
        <f t="shared" si="39"/>
        <v>road-wood-</v>
      </c>
      <c r="AE310" t="s">
        <v>1692</v>
      </c>
    </row>
    <row r="311" spans="1:31" x14ac:dyDescent="0.3">
      <c r="A311" t="s">
        <v>9</v>
      </c>
      <c r="B311" t="s">
        <v>52</v>
      </c>
      <c r="C311" t="s">
        <v>12</v>
      </c>
      <c r="D311" t="s">
        <v>11</v>
      </c>
      <c r="E311" s="16" t="s">
        <v>272</v>
      </c>
      <c r="F311" s="16">
        <v>3</v>
      </c>
      <c r="G311" t="s">
        <v>1524</v>
      </c>
      <c r="H311" t="s">
        <v>1534</v>
      </c>
      <c r="I311" t="s">
        <v>1566</v>
      </c>
      <c r="J311" t="s">
        <v>1574</v>
      </c>
      <c r="L311" t="str">
        <f t="shared" si="33"/>
        <v>continuous/fully_connected</v>
      </c>
      <c r="M311" t="str">
        <f t="shared" si="34"/>
        <v>arch/declined + standard_truss/arch_truss</v>
      </c>
      <c r="N311" t="str">
        <f t="shared" si="32"/>
        <v>top_structure/bottom_structure/rock_structure + 3anc</v>
      </c>
      <c r="O311" t="s">
        <v>1684</v>
      </c>
      <c r="R311" t="s">
        <v>1013</v>
      </c>
      <c r="S311" t="s">
        <v>292</v>
      </c>
      <c r="T311" t="s">
        <v>293</v>
      </c>
      <c r="U311" t="s">
        <v>292</v>
      </c>
      <c r="V311" t="s">
        <v>292</v>
      </c>
      <c r="W311" t="s">
        <v>293</v>
      </c>
      <c r="X311" t="str">
        <f t="shared" si="35"/>
        <v>road-</v>
      </c>
      <c r="Y311" t="str">
        <f t="shared" si="36"/>
        <v/>
      </c>
      <c r="Z311" t="str">
        <f t="shared" si="37"/>
        <v>wood-</v>
      </c>
      <c r="AA311" t="str">
        <f t="shared" si="38"/>
        <v>steel</v>
      </c>
      <c r="AB311" t="str">
        <f t="shared" si="39"/>
        <v>road-wood-steel</v>
      </c>
      <c r="AE311" t="s">
        <v>1684</v>
      </c>
    </row>
    <row r="312" spans="1:31" x14ac:dyDescent="0.3">
      <c r="A312" t="s">
        <v>9</v>
      </c>
      <c r="B312" t="s">
        <v>52</v>
      </c>
      <c r="C312" t="s">
        <v>12</v>
      </c>
      <c r="D312" t="s">
        <v>16</v>
      </c>
      <c r="E312" s="16" t="s">
        <v>272</v>
      </c>
      <c r="F312" s="16">
        <v>3</v>
      </c>
      <c r="G312" t="s">
        <v>1524</v>
      </c>
      <c r="H312" t="s">
        <v>1650</v>
      </c>
      <c r="I312" t="s">
        <v>1567</v>
      </c>
      <c r="J312" t="s">
        <v>1625</v>
      </c>
      <c r="L312" t="str">
        <f t="shared" si="33"/>
        <v>continuous/fully_connected</v>
      </c>
      <c r="M312" t="str">
        <f t="shared" si="34"/>
        <v>inclined/inverted_arch/arch + arch_truss/a-truss</v>
      </c>
      <c r="N312" t="str">
        <f t="shared" si="32"/>
        <v>top_structure/rock_structure + 3anc</v>
      </c>
      <c r="O312" t="s">
        <v>1685</v>
      </c>
      <c r="R312" t="s">
        <v>1014</v>
      </c>
      <c r="S312" t="s">
        <v>292</v>
      </c>
      <c r="T312" t="s">
        <v>292</v>
      </c>
      <c r="U312" t="s">
        <v>292</v>
      </c>
      <c r="V312" t="s">
        <v>292</v>
      </c>
      <c r="W312" t="s">
        <v>293</v>
      </c>
      <c r="X312" t="str">
        <f t="shared" si="35"/>
        <v>road-</v>
      </c>
      <c r="Y312" t="str">
        <f t="shared" si="36"/>
        <v>reinforced_road-</v>
      </c>
      <c r="Z312" t="str">
        <f t="shared" si="37"/>
        <v>wood-</v>
      </c>
      <c r="AA312" t="str">
        <f t="shared" si="38"/>
        <v>steel</v>
      </c>
      <c r="AB312" t="str">
        <f t="shared" si="39"/>
        <v>road-reinforced_road-wood-steel</v>
      </c>
      <c r="AE312" t="s">
        <v>1685</v>
      </c>
    </row>
    <row r="313" spans="1:31" x14ac:dyDescent="0.3">
      <c r="A313" t="s">
        <v>9</v>
      </c>
      <c r="B313" t="s">
        <v>52</v>
      </c>
      <c r="C313" t="s">
        <v>29</v>
      </c>
      <c r="D313" t="s">
        <v>23</v>
      </c>
      <c r="E313" s="16" t="s">
        <v>272</v>
      </c>
      <c r="F313" s="16">
        <v>3</v>
      </c>
      <c r="G313" t="s">
        <v>1524</v>
      </c>
      <c r="H313" t="s">
        <v>1650</v>
      </c>
      <c r="I313" t="s">
        <v>1567</v>
      </c>
      <c r="J313" t="s">
        <v>1625</v>
      </c>
      <c r="L313" t="str">
        <f t="shared" si="33"/>
        <v>continuous/fully_connected</v>
      </c>
      <c r="M313" t="str">
        <f t="shared" si="34"/>
        <v>inclined/inverted_arch/arch + arch_truss/a-truss</v>
      </c>
      <c r="N313" t="str">
        <f t="shared" si="32"/>
        <v>top_structure/rock_structure + 3anc</v>
      </c>
      <c r="O313" t="s">
        <v>1685</v>
      </c>
      <c r="R313" t="s">
        <v>1015</v>
      </c>
      <c r="S313" t="s">
        <v>292</v>
      </c>
      <c r="T313" t="s">
        <v>292</v>
      </c>
      <c r="U313" t="s">
        <v>292</v>
      </c>
      <c r="V313" t="s">
        <v>292</v>
      </c>
      <c r="W313" t="s">
        <v>293</v>
      </c>
      <c r="X313" t="str">
        <f t="shared" si="35"/>
        <v>road-</v>
      </c>
      <c r="Y313" t="str">
        <f t="shared" si="36"/>
        <v>reinforced_road-</v>
      </c>
      <c r="Z313" t="str">
        <f t="shared" si="37"/>
        <v>wood-</v>
      </c>
      <c r="AA313" t="str">
        <f t="shared" si="38"/>
        <v>steel</v>
      </c>
      <c r="AB313" t="str">
        <f t="shared" si="39"/>
        <v>road-reinforced_road-wood-steel</v>
      </c>
      <c r="AE313" t="s">
        <v>1685</v>
      </c>
    </row>
    <row r="314" spans="1:31" x14ac:dyDescent="0.3">
      <c r="A314" t="s">
        <v>9</v>
      </c>
      <c r="B314" t="s">
        <v>52</v>
      </c>
      <c r="C314" t="s">
        <v>29</v>
      </c>
      <c r="D314" t="s">
        <v>21</v>
      </c>
      <c r="E314" s="16" t="s">
        <v>272</v>
      </c>
      <c r="F314" s="16">
        <v>3</v>
      </c>
      <c r="G314" t="s">
        <v>1524</v>
      </c>
      <c r="H314" t="s">
        <v>1650</v>
      </c>
      <c r="I314" t="s">
        <v>341</v>
      </c>
      <c r="J314" t="s">
        <v>345</v>
      </c>
      <c r="L314" t="str">
        <f t="shared" si="33"/>
        <v>continuous/fully_connected</v>
      </c>
      <c r="M314" t="str">
        <f t="shared" si="34"/>
        <v>inclined/inverted_arch/arch + arch_truss</v>
      </c>
      <c r="N314" t="str">
        <f t="shared" si="32"/>
        <v>top_structure + 3anc</v>
      </c>
      <c r="O314" t="s">
        <v>1685</v>
      </c>
      <c r="R314" t="s">
        <v>1016</v>
      </c>
      <c r="S314" t="s">
        <v>292</v>
      </c>
      <c r="T314" t="s">
        <v>292</v>
      </c>
      <c r="U314" t="s">
        <v>292</v>
      </c>
      <c r="V314" t="s">
        <v>292</v>
      </c>
      <c r="W314" t="s">
        <v>293</v>
      </c>
      <c r="X314" t="str">
        <f t="shared" si="35"/>
        <v>road-</v>
      </c>
      <c r="Y314" t="str">
        <f t="shared" si="36"/>
        <v>reinforced_road-</v>
      </c>
      <c r="Z314" t="str">
        <f t="shared" si="37"/>
        <v>wood-</v>
      </c>
      <c r="AA314" t="str">
        <f t="shared" si="38"/>
        <v>steel</v>
      </c>
      <c r="AB314" t="str">
        <f t="shared" si="39"/>
        <v>road-reinforced_road-wood-steel</v>
      </c>
      <c r="AE314" t="s">
        <v>1685</v>
      </c>
    </row>
    <row r="315" spans="1:31" x14ac:dyDescent="0.3">
      <c r="A315" t="s">
        <v>9</v>
      </c>
      <c r="B315" t="s">
        <v>52</v>
      </c>
      <c r="C315" t="s">
        <v>29</v>
      </c>
      <c r="D315" t="s">
        <v>19</v>
      </c>
      <c r="E315" s="16" t="s">
        <v>272</v>
      </c>
      <c r="F315" s="16">
        <v>3</v>
      </c>
      <c r="G315" t="s">
        <v>1524</v>
      </c>
      <c r="H315" t="s">
        <v>1658</v>
      </c>
      <c r="I315" t="s">
        <v>1566</v>
      </c>
      <c r="J315" t="s">
        <v>345</v>
      </c>
      <c r="L315" t="str">
        <f t="shared" si="33"/>
        <v>continuous/fully_connected</v>
      </c>
      <c r="M315" t="str">
        <f t="shared" si="34"/>
        <v>other_shape + arch_truss</v>
      </c>
      <c r="N315" t="str">
        <f t="shared" si="32"/>
        <v>top_structure/bottom_structure/rock_structure + 3anc</v>
      </c>
      <c r="O315" t="s">
        <v>1685</v>
      </c>
      <c r="R315" t="s">
        <v>1017</v>
      </c>
      <c r="S315" t="s">
        <v>292</v>
      </c>
      <c r="T315" t="s">
        <v>292</v>
      </c>
      <c r="U315" t="s">
        <v>292</v>
      </c>
      <c r="V315" t="s">
        <v>292</v>
      </c>
      <c r="W315" t="s">
        <v>293</v>
      </c>
      <c r="X315" t="str">
        <f t="shared" si="35"/>
        <v>road-</v>
      </c>
      <c r="Y315" t="str">
        <f t="shared" si="36"/>
        <v>reinforced_road-</v>
      </c>
      <c r="Z315" t="str">
        <f t="shared" si="37"/>
        <v>wood-</v>
      </c>
      <c r="AA315" t="str">
        <f t="shared" si="38"/>
        <v>steel</v>
      </c>
      <c r="AB315" t="str">
        <f t="shared" si="39"/>
        <v>road-reinforced_road-wood-steel</v>
      </c>
      <c r="AE315" t="s">
        <v>1685</v>
      </c>
    </row>
    <row r="316" spans="1:31" x14ac:dyDescent="0.3">
      <c r="A316" t="s">
        <v>9</v>
      </c>
      <c r="B316" t="s">
        <v>52</v>
      </c>
      <c r="C316" t="s">
        <v>29</v>
      </c>
      <c r="D316" t="s">
        <v>17</v>
      </c>
      <c r="E316" s="16" t="s">
        <v>272</v>
      </c>
      <c r="F316" s="16">
        <v>3</v>
      </c>
      <c r="G316" t="s">
        <v>1524</v>
      </c>
      <c r="H316" t="s">
        <v>1658</v>
      </c>
      <c r="I316" t="s">
        <v>1566</v>
      </c>
      <c r="J316" t="s">
        <v>1573</v>
      </c>
      <c r="L316" t="str">
        <f t="shared" si="33"/>
        <v>continuous/fully_connected</v>
      </c>
      <c r="M316" t="str">
        <f t="shared" si="34"/>
        <v>other_shape + arch_truss/other_truss</v>
      </c>
      <c r="N316" t="str">
        <f t="shared" si="32"/>
        <v>top_structure/bottom_structure/rock_structure + 3anc</v>
      </c>
      <c r="O316" t="s">
        <v>1685</v>
      </c>
      <c r="R316" t="s">
        <v>1018</v>
      </c>
      <c r="S316" t="s">
        <v>292</v>
      </c>
      <c r="T316" t="s">
        <v>292</v>
      </c>
      <c r="U316" t="s">
        <v>292</v>
      </c>
      <c r="V316" t="s">
        <v>292</v>
      </c>
      <c r="W316" t="s">
        <v>293</v>
      </c>
      <c r="X316" t="str">
        <f t="shared" si="35"/>
        <v>road-</v>
      </c>
      <c r="Y316" t="str">
        <f t="shared" si="36"/>
        <v>reinforced_road-</v>
      </c>
      <c r="Z316" t="str">
        <f t="shared" si="37"/>
        <v>wood-</v>
      </c>
      <c r="AA316" t="str">
        <f t="shared" si="38"/>
        <v>steel</v>
      </c>
      <c r="AB316" t="str">
        <f t="shared" si="39"/>
        <v>road-reinforced_road-wood-steel</v>
      </c>
      <c r="AE316" t="s">
        <v>1685</v>
      </c>
    </row>
    <row r="317" spans="1:31" x14ac:dyDescent="0.3">
      <c r="A317" t="s">
        <v>9</v>
      </c>
      <c r="B317" t="s">
        <v>52</v>
      </c>
      <c r="C317" t="s">
        <v>29</v>
      </c>
      <c r="D317" t="s">
        <v>20</v>
      </c>
      <c r="E317" s="16" t="s">
        <v>272</v>
      </c>
      <c r="F317" s="16">
        <v>3</v>
      </c>
      <c r="G317" t="s">
        <v>1524</v>
      </c>
      <c r="H317" t="s">
        <v>1658</v>
      </c>
      <c r="I317" t="s">
        <v>1567</v>
      </c>
      <c r="J317" t="s">
        <v>1625</v>
      </c>
      <c r="L317" t="str">
        <f t="shared" si="33"/>
        <v>continuous/fully_connected</v>
      </c>
      <c r="M317" t="str">
        <f t="shared" si="34"/>
        <v>other_shape + arch_truss/a-truss</v>
      </c>
      <c r="N317" t="str">
        <f t="shared" si="32"/>
        <v>top_structure/rock_structure + 3anc</v>
      </c>
      <c r="O317" t="s">
        <v>1685</v>
      </c>
      <c r="R317" t="s">
        <v>1019</v>
      </c>
      <c r="S317" t="s">
        <v>292</v>
      </c>
      <c r="T317" t="s">
        <v>292</v>
      </c>
      <c r="U317" t="s">
        <v>292</v>
      </c>
      <c r="V317" t="s">
        <v>292</v>
      </c>
      <c r="W317" t="s">
        <v>293</v>
      </c>
      <c r="X317" t="str">
        <f t="shared" si="35"/>
        <v>road-</v>
      </c>
      <c r="Y317" t="str">
        <f t="shared" si="36"/>
        <v>reinforced_road-</v>
      </c>
      <c r="Z317" t="str">
        <f t="shared" si="37"/>
        <v>wood-</v>
      </c>
      <c r="AA317" t="str">
        <f t="shared" si="38"/>
        <v>steel</v>
      </c>
      <c r="AB317" t="str">
        <f t="shared" si="39"/>
        <v>road-reinforced_road-wood-steel</v>
      </c>
      <c r="AE317" t="s">
        <v>1685</v>
      </c>
    </row>
    <row r="318" spans="1:31" x14ac:dyDescent="0.3">
      <c r="A318" t="s">
        <v>9</v>
      </c>
      <c r="B318" t="s">
        <v>52</v>
      </c>
      <c r="C318" t="s">
        <v>29</v>
      </c>
      <c r="D318" t="s">
        <v>22</v>
      </c>
      <c r="E318" s="16" t="s">
        <v>272</v>
      </c>
      <c r="F318" s="16">
        <v>3</v>
      </c>
      <c r="G318" t="s">
        <v>1524</v>
      </c>
      <c r="H318" t="s">
        <v>1650</v>
      </c>
      <c r="I318" t="s">
        <v>1567</v>
      </c>
      <c r="J318" t="s">
        <v>1625</v>
      </c>
      <c r="L318" t="str">
        <f t="shared" si="33"/>
        <v>continuous/fully_connected</v>
      </c>
      <c r="M318" t="str">
        <f t="shared" si="34"/>
        <v>inclined/inverted_arch/arch + arch_truss/a-truss</v>
      </c>
      <c r="N318" t="str">
        <f t="shared" si="32"/>
        <v>top_structure/rock_structure + 3anc</v>
      </c>
      <c r="O318" t="s">
        <v>1685</v>
      </c>
      <c r="R318" t="s">
        <v>1020</v>
      </c>
      <c r="S318" t="s">
        <v>292</v>
      </c>
      <c r="T318" t="s">
        <v>292</v>
      </c>
      <c r="U318" t="s">
        <v>292</v>
      </c>
      <c r="V318" t="s">
        <v>292</v>
      </c>
      <c r="W318" t="s">
        <v>293</v>
      </c>
      <c r="X318" t="str">
        <f t="shared" si="35"/>
        <v>road-</v>
      </c>
      <c r="Y318" t="str">
        <f t="shared" si="36"/>
        <v>reinforced_road-</v>
      </c>
      <c r="Z318" t="str">
        <f t="shared" si="37"/>
        <v>wood-</v>
      </c>
      <c r="AA318" t="str">
        <f t="shared" si="38"/>
        <v>steel</v>
      </c>
      <c r="AB318" t="str">
        <f t="shared" si="39"/>
        <v>road-reinforced_road-wood-steel</v>
      </c>
      <c r="AE318" t="s">
        <v>1685</v>
      </c>
    </row>
    <row r="319" spans="1:31" x14ac:dyDescent="0.3">
      <c r="A319" t="s">
        <v>43</v>
      </c>
      <c r="B319" t="s">
        <v>69</v>
      </c>
      <c r="C319" t="s">
        <v>12</v>
      </c>
      <c r="D319" t="s">
        <v>15</v>
      </c>
      <c r="E319" s="16" t="s">
        <v>272</v>
      </c>
      <c r="F319" s="16">
        <v>3</v>
      </c>
      <c r="G319" t="s">
        <v>1524</v>
      </c>
      <c r="H319" t="s">
        <v>1628</v>
      </c>
      <c r="I319" t="s">
        <v>1568</v>
      </c>
      <c r="J319" t="s">
        <v>344</v>
      </c>
      <c r="L319" t="str">
        <f t="shared" si="33"/>
        <v>continuous/fully_connected</v>
      </c>
      <c r="M319" t="str">
        <f t="shared" si="34"/>
        <v>straight/ramp/declined + standard_truss</v>
      </c>
      <c r="N319" t="str">
        <f t="shared" si="32"/>
        <v>bottom_structure/rock_structure + 3anc</v>
      </c>
      <c r="O319" t="s">
        <v>1684</v>
      </c>
      <c r="R319" t="s">
        <v>1021</v>
      </c>
      <c r="S319" t="s">
        <v>292</v>
      </c>
      <c r="T319" t="s">
        <v>293</v>
      </c>
      <c r="U319" t="s">
        <v>292</v>
      </c>
      <c r="V319" t="s">
        <v>292</v>
      </c>
      <c r="W319" t="s">
        <v>293</v>
      </c>
      <c r="X319" t="str">
        <f t="shared" si="35"/>
        <v>road-</v>
      </c>
      <c r="Y319" t="str">
        <f t="shared" si="36"/>
        <v/>
      </c>
      <c r="Z319" t="str">
        <f t="shared" si="37"/>
        <v>wood-</v>
      </c>
      <c r="AA319" t="str">
        <f t="shared" si="38"/>
        <v>steel</v>
      </c>
      <c r="AB319" t="str">
        <f t="shared" si="39"/>
        <v>road-wood-steel</v>
      </c>
      <c r="AE319" t="s">
        <v>1684</v>
      </c>
    </row>
    <row r="320" spans="1:31" x14ac:dyDescent="0.3">
      <c r="A320" t="s">
        <v>43</v>
      </c>
      <c r="B320" t="s">
        <v>69</v>
      </c>
      <c r="C320" t="s">
        <v>12</v>
      </c>
      <c r="D320" t="s">
        <v>23</v>
      </c>
      <c r="E320" s="16" t="s">
        <v>272</v>
      </c>
      <c r="F320" s="16">
        <v>3</v>
      </c>
      <c r="G320" t="s">
        <v>1524</v>
      </c>
      <c r="H320" t="s">
        <v>1540</v>
      </c>
      <c r="I320" t="s">
        <v>1567</v>
      </c>
      <c r="J320" t="s">
        <v>1570</v>
      </c>
      <c r="L320" t="str">
        <f t="shared" si="33"/>
        <v>continuous/fully_connected</v>
      </c>
      <c r="M320" t="str">
        <f t="shared" si="34"/>
        <v>inclined/arch + standard_truss/other</v>
      </c>
      <c r="N320" t="str">
        <f t="shared" si="32"/>
        <v>top_structure/rock_structure + 3anc</v>
      </c>
      <c r="O320" t="s">
        <v>1685</v>
      </c>
      <c r="R320" t="s">
        <v>1022</v>
      </c>
      <c r="S320" t="s">
        <v>292</v>
      </c>
      <c r="T320" t="s">
        <v>292</v>
      </c>
      <c r="U320" t="s">
        <v>292</v>
      </c>
      <c r="V320" t="s">
        <v>292</v>
      </c>
      <c r="W320" t="s">
        <v>293</v>
      </c>
      <c r="X320" t="str">
        <f t="shared" si="35"/>
        <v>road-</v>
      </c>
      <c r="Y320" t="str">
        <f t="shared" si="36"/>
        <v>reinforced_road-</v>
      </c>
      <c r="Z320" t="str">
        <f t="shared" si="37"/>
        <v>wood-</v>
      </c>
      <c r="AA320" t="str">
        <f t="shared" si="38"/>
        <v>steel</v>
      </c>
      <c r="AB320" t="str">
        <f t="shared" si="39"/>
        <v>road-reinforced_road-wood-steel</v>
      </c>
      <c r="AE320" t="s">
        <v>1685</v>
      </c>
    </row>
    <row r="321" spans="1:31" x14ac:dyDescent="0.3">
      <c r="A321" t="s">
        <v>43</v>
      </c>
      <c r="B321" t="s">
        <v>69</v>
      </c>
      <c r="C321" t="s">
        <v>12</v>
      </c>
      <c r="D321" t="s">
        <v>14</v>
      </c>
      <c r="E321" s="16" t="s">
        <v>272</v>
      </c>
      <c r="F321" s="16">
        <v>3</v>
      </c>
      <c r="G321" t="s">
        <v>1524</v>
      </c>
      <c r="H321" t="s">
        <v>1555</v>
      </c>
      <c r="I321" t="s">
        <v>1567</v>
      </c>
      <c r="J321" t="s">
        <v>291</v>
      </c>
      <c r="L321" t="str">
        <f t="shared" si="33"/>
        <v>continuous/fully_connected</v>
      </c>
      <c r="M321" t="str">
        <f t="shared" si="34"/>
        <v>straight/arch/declined + other</v>
      </c>
      <c r="N321" t="str">
        <f t="shared" si="32"/>
        <v>top_structure/rock_structure + 3anc</v>
      </c>
      <c r="O321" t="s">
        <v>1684</v>
      </c>
      <c r="R321" t="s">
        <v>1023</v>
      </c>
      <c r="S321" t="s">
        <v>292</v>
      </c>
      <c r="T321" t="s">
        <v>293</v>
      </c>
      <c r="U321" t="s">
        <v>292</v>
      </c>
      <c r="V321" t="s">
        <v>292</v>
      </c>
      <c r="W321" t="s">
        <v>293</v>
      </c>
      <c r="X321" t="str">
        <f t="shared" si="35"/>
        <v>road-</v>
      </c>
      <c r="Y321" t="str">
        <f t="shared" si="36"/>
        <v/>
      </c>
      <c r="Z321" t="str">
        <f t="shared" si="37"/>
        <v>wood-</v>
      </c>
      <c r="AA321" t="str">
        <f t="shared" si="38"/>
        <v>steel</v>
      </c>
      <c r="AB321" t="str">
        <f t="shared" si="39"/>
        <v>road-wood-steel</v>
      </c>
      <c r="AE321" t="s">
        <v>1684</v>
      </c>
    </row>
    <row r="322" spans="1:31" x14ac:dyDescent="0.3">
      <c r="A322" t="s">
        <v>43</v>
      </c>
      <c r="B322" t="s">
        <v>69</v>
      </c>
      <c r="C322" t="s">
        <v>12</v>
      </c>
      <c r="D322" t="s">
        <v>11</v>
      </c>
      <c r="E322" s="16" t="s">
        <v>272</v>
      </c>
      <c r="F322" s="16">
        <v>3</v>
      </c>
      <c r="G322" t="s">
        <v>1524</v>
      </c>
      <c r="H322" t="s">
        <v>282</v>
      </c>
      <c r="I322" t="s">
        <v>340</v>
      </c>
      <c r="J322" t="s">
        <v>348</v>
      </c>
      <c r="L322" t="str">
        <f t="shared" si="33"/>
        <v>continuous/fully_connected</v>
      </c>
      <c r="M322" t="str">
        <f t="shared" si="34"/>
        <v>arch + no_truss</v>
      </c>
      <c r="N322" t="str">
        <f t="shared" ref="N322:N385" si="40">I322&amp;" + "&amp;F322&amp;"anc"</f>
        <v>no_structure + 3anc</v>
      </c>
      <c r="O322" t="s">
        <v>1691</v>
      </c>
      <c r="R322" t="s">
        <v>1024</v>
      </c>
      <c r="S322" t="s">
        <v>292</v>
      </c>
      <c r="T322" t="s">
        <v>293</v>
      </c>
      <c r="U322" t="s">
        <v>293</v>
      </c>
      <c r="V322" t="s">
        <v>293</v>
      </c>
      <c r="W322" t="s">
        <v>293</v>
      </c>
      <c r="X322" t="str">
        <f t="shared" si="35"/>
        <v>road-</v>
      </c>
      <c r="Y322" t="str">
        <f t="shared" si="36"/>
        <v/>
      </c>
      <c r="Z322" t="str">
        <f t="shared" si="37"/>
        <v/>
      </c>
      <c r="AA322" t="str">
        <f t="shared" si="38"/>
        <v/>
      </c>
      <c r="AB322" t="str">
        <f t="shared" si="39"/>
        <v>road-</v>
      </c>
      <c r="AE322" t="s">
        <v>1691</v>
      </c>
    </row>
    <row r="323" spans="1:31" x14ac:dyDescent="0.3">
      <c r="A323" t="s">
        <v>43</v>
      </c>
      <c r="B323" t="s">
        <v>69</v>
      </c>
      <c r="C323" t="s">
        <v>12</v>
      </c>
      <c r="D323" t="s">
        <v>21</v>
      </c>
      <c r="E323" s="16" t="s">
        <v>272</v>
      </c>
      <c r="F323" s="16">
        <v>3</v>
      </c>
      <c r="G323" t="s">
        <v>1524</v>
      </c>
      <c r="H323" t="s">
        <v>282</v>
      </c>
      <c r="I323" t="s">
        <v>1567</v>
      </c>
      <c r="J323" t="s">
        <v>1570</v>
      </c>
      <c r="L323" t="str">
        <f t="shared" ref="L323:L386" si="41">G323</f>
        <v>continuous/fully_connected</v>
      </c>
      <c r="M323" t="str">
        <f t="shared" ref="M323:M386" si="42">H323&amp;" + "&amp;J323</f>
        <v>arch + standard_truss/other</v>
      </c>
      <c r="N323" t="str">
        <f t="shared" si="40"/>
        <v>top_structure/rock_structure + 3anc</v>
      </c>
      <c r="O323" t="s">
        <v>1687</v>
      </c>
      <c r="R323" t="s">
        <v>1025</v>
      </c>
      <c r="S323" t="s">
        <v>292</v>
      </c>
      <c r="T323" t="s">
        <v>293</v>
      </c>
      <c r="U323" t="s">
        <v>293</v>
      </c>
      <c r="V323" t="s">
        <v>292</v>
      </c>
      <c r="W323" t="s">
        <v>293</v>
      </c>
      <c r="X323" t="str">
        <f t="shared" ref="X323:X386" si="43">IF(S323="yes","road-","")</f>
        <v>road-</v>
      </c>
      <c r="Y323" t="str">
        <f t="shared" ref="Y323:Y386" si="44">IF(T323="yes","reinforced_road-","")</f>
        <v/>
      </c>
      <c r="Z323" t="str">
        <f t="shared" ref="Z323:Z386" si="45">IF(U323="yes","wood-","")</f>
        <v/>
      </c>
      <c r="AA323" t="str">
        <f t="shared" ref="AA323:AA386" si="46">IF(V323="yes","steel","")</f>
        <v>steel</v>
      </c>
      <c r="AB323" t="str">
        <f t="shared" ref="AB323:AB386" si="47">X323&amp;Y323&amp;Z323&amp;AA323</f>
        <v>road-steel</v>
      </c>
      <c r="AE323" t="s">
        <v>1687</v>
      </c>
    </row>
    <row r="324" spans="1:31" x14ac:dyDescent="0.3">
      <c r="A324" t="s">
        <v>43</v>
      </c>
      <c r="B324" t="s">
        <v>69</v>
      </c>
      <c r="C324" t="s">
        <v>12</v>
      </c>
      <c r="D324" t="s">
        <v>19</v>
      </c>
      <c r="E324" s="16" t="s">
        <v>272</v>
      </c>
      <c r="F324" s="16">
        <v>3</v>
      </c>
      <c r="G324" t="s">
        <v>1524</v>
      </c>
      <c r="H324" t="s">
        <v>1547</v>
      </c>
      <c r="I324" t="s">
        <v>1566</v>
      </c>
      <c r="J324" t="s">
        <v>344</v>
      </c>
      <c r="L324" t="str">
        <f t="shared" si="41"/>
        <v>continuous/fully_connected</v>
      </c>
      <c r="M324" t="str">
        <f t="shared" si="42"/>
        <v>inclined/straight/declined + standard_truss</v>
      </c>
      <c r="N324" t="str">
        <f t="shared" si="40"/>
        <v>top_structure/bottom_structure/rock_structure + 3anc</v>
      </c>
      <c r="O324" t="s">
        <v>1685</v>
      </c>
      <c r="R324" t="s">
        <v>1026</v>
      </c>
      <c r="S324" t="s">
        <v>292</v>
      </c>
      <c r="T324" t="s">
        <v>292</v>
      </c>
      <c r="U324" t="s">
        <v>292</v>
      </c>
      <c r="V324" t="s">
        <v>292</v>
      </c>
      <c r="W324" t="s">
        <v>293</v>
      </c>
      <c r="X324" t="str">
        <f t="shared" si="43"/>
        <v>road-</v>
      </c>
      <c r="Y324" t="str">
        <f t="shared" si="44"/>
        <v>reinforced_road-</v>
      </c>
      <c r="Z324" t="str">
        <f t="shared" si="45"/>
        <v>wood-</v>
      </c>
      <c r="AA324" t="str">
        <f t="shared" si="46"/>
        <v>steel</v>
      </c>
      <c r="AB324" t="str">
        <f t="shared" si="47"/>
        <v>road-reinforced_road-wood-steel</v>
      </c>
      <c r="AE324" t="s">
        <v>1685</v>
      </c>
    </row>
    <row r="325" spans="1:31" x14ac:dyDescent="0.3">
      <c r="A325" t="s">
        <v>43</v>
      </c>
      <c r="B325" t="s">
        <v>69</v>
      </c>
      <c r="C325" t="s">
        <v>12</v>
      </c>
      <c r="D325" t="s">
        <v>17</v>
      </c>
      <c r="E325" s="16" t="s">
        <v>272</v>
      </c>
      <c r="F325" s="16">
        <v>3</v>
      </c>
      <c r="G325" t="s">
        <v>1524</v>
      </c>
      <c r="H325" t="s">
        <v>1547</v>
      </c>
      <c r="I325" t="s">
        <v>1566</v>
      </c>
      <c r="J325" t="s">
        <v>344</v>
      </c>
      <c r="L325" t="str">
        <f t="shared" si="41"/>
        <v>continuous/fully_connected</v>
      </c>
      <c r="M325" t="str">
        <f t="shared" si="42"/>
        <v>inclined/straight/declined + standard_truss</v>
      </c>
      <c r="N325" t="str">
        <f t="shared" si="40"/>
        <v>top_structure/bottom_structure/rock_structure + 3anc</v>
      </c>
      <c r="O325" t="s">
        <v>1685</v>
      </c>
      <c r="R325" t="s">
        <v>1027</v>
      </c>
      <c r="S325" t="s">
        <v>292</v>
      </c>
      <c r="T325" t="s">
        <v>292</v>
      </c>
      <c r="U325" t="s">
        <v>292</v>
      </c>
      <c r="V325" t="s">
        <v>292</v>
      </c>
      <c r="W325" t="s">
        <v>293</v>
      </c>
      <c r="X325" t="str">
        <f t="shared" si="43"/>
        <v>road-</v>
      </c>
      <c r="Y325" t="str">
        <f t="shared" si="44"/>
        <v>reinforced_road-</v>
      </c>
      <c r="Z325" t="str">
        <f t="shared" si="45"/>
        <v>wood-</v>
      </c>
      <c r="AA325" t="str">
        <f t="shared" si="46"/>
        <v>steel</v>
      </c>
      <c r="AB325" t="str">
        <f t="shared" si="47"/>
        <v>road-reinforced_road-wood-steel</v>
      </c>
      <c r="AE325" t="s">
        <v>1685</v>
      </c>
    </row>
    <row r="326" spans="1:31" x14ac:dyDescent="0.3">
      <c r="A326" t="s">
        <v>43</v>
      </c>
      <c r="B326" t="s">
        <v>69</v>
      </c>
      <c r="C326" t="s">
        <v>12</v>
      </c>
      <c r="D326" t="s">
        <v>16</v>
      </c>
      <c r="E326" s="16" t="s">
        <v>272</v>
      </c>
      <c r="F326" s="16">
        <v>3</v>
      </c>
      <c r="G326" t="s">
        <v>1524</v>
      </c>
      <c r="H326" t="s">
        <v>1547</v>
      </c>
      <c r="I326" t="s">
        <v>1566</v>
      </c>
      <c r="J326" t="s">
        <v>344</v>
      </c>
      <c r="L326" t="str">
        <f t="shared" si="41"/>
        <v>continuous/fully_connected</v>
      </c>
      <c r="M326" t="str">
        <f t="shared" si="42"/>
        <v>inclined/straight/declined + standard_truss</v>
      </c>
      <c r="N326" t="str">
        <f t="shared" si="40"/>
        <v>top_structure/bottom_structure/rock_structure + 3anc</v>
      </c>
      <c r="O326" t="s">
        <v>1684</v>
      </c>
      <c r="R326" t="s">
        <v>1028</v>
      </c>
      <c r="S326" t="s">
        <v>292</v>
      </c>
      <c r="T326" t="s">
        <v>293</v>
      </c>
      <c r="U326" t="s">
        <v>292</v>
      </c>
      <c r="V326" t="s">
        <v>292</v>
      </c>
      <c r="W326" t="s">
        <v>293</v>
      </c>
      <c r="X326" t="str">
        <f t="shared" si="43"/>
        <v>road-</v>
      </c>
      <c r="Y326" t="str">
        <f t="shared" si="44"/>
        <v/>
      </c>
      <c r="Z326" t="str">
        <f t="shared" si="45"/>
        <v>wood-</v>
      </c>
      <c r="AA326" t="str">
        <f t="shared" si="46"/>
        <v>steel</v>
      </c>
      <c r="AB326" t="str">
        <f t="shared" si="47"/>
        <v>road-wood-steel</v>
      </c>
      <c r="AE326" t="s">
        <v>1684</v>
      </c>
    </row>
    <row r="327" spans="1:31" x14ac:dyDescent="0.3">
      <c r="A327" t="s">
        <v>43</v>
      </c>
      <c r="B327" t="s">
        <v>69</v>
      </c>
      <c r="C327" t="s">
        <v>12</v>
      </c>
      <c r="D327" t="s">
        <v>20</v>
      </c>
      <c r="E327" s="16" t="s">
        <v>272</v>
      </c>
      <c r="F327" s="16">
        <v>2</v>
      </c>
      <c r="G327" t="s">
        <v>1524</v>
      </c>
      <c r="H327" t="s">
        <v>282</v>
      </c>
      <c r="I327" t="s">
        <v>341</v>
      </c>
      <c r="J327" t="s">
        <v>344</v>
      </c>
      <c r="L327" t="str">
        <f t="shared" si="41"/>
        <v>continuous/fully_connected</v>
      </c>
      <c r="M327" t="str">
        <f t="shared" si="42"/>
        <v>arch + standard_truss</v>
      </c>
      <c r="N327" t="str">
        <f t="shared" si="40"/>
        <v>top_structure + 2anc</v>
      </c>
      <c r="O327" t="s">
        <v>1693</v>
      </c>
      <c r="R327" t="s">
        <v>1029</v>
      </c>
      <c r="S327" t="s">
        <v>293</v>
      </c>
      <c r="T327" t="s">
        <v>292</v>
      </c>
      <c r="U327" t="s">
        <v>292</v>
      </c>
      <c r="V327" t="s">
        <v>293</v>
      </c>
      <c r="W327" t="s">
        <v>293</v>
      </c>
      <c r="X327" t="str">
        <f t="shared" si="43"/>
        <v/>
      </c>
      <c r="Y327" t="str">
        <f t="shared" si="44"/>
        <v>reinforced_road-</v>
      </c>
      <c r="Z327" t="str">
        <f t="shared" si="45"/>
        <v>wood-</v>
      </c>
      <c r="AA327" t="str">
        <f t="shared" si="46"/>
        <v/>
      </c>
      <c r="AB327" t="str">
        <f t="shared" si="47"/>
        <v>reinforced_road-wood-</v>
      </c>
      <c r="AE327" t="s">
        <v>1693</v>
      </c>
    </row>
    <row r="328" spans="1:31" x14ac:dyDescent="0.3">
      <c r="A328" t="s">
        <v>43</v>
      </c>
      <c r="B328" t="s">
        <v>69</v>
      </c>
      <c r="C328" t="s">
        <v>12</v>
      </c>
      <c r="D328" t="s">
        <v>22</v>
      </c>
      <c r="E328" s="16" t="s">
        <v>272</v>
      </c>
      <c r="F328" s="16">
        <v>3</v>
      </c>
      <c r="G328" t="s">
        <v>1524</v>
      </c>
      <c r="H328" t="s">
        <v>282</v>
      </c>
      <c r="I328" t="s">
        <v>1567</v>
      </c>
      <c r="J328" t="s">
        <v>1570</v>
      </c>
      <c r="L328" t="str">
        <f t="shared" si="41"/>
        <v>continuous/fully_connected</v>
      </c>
      <c r="M328" t="str">
        <f t="shared" si="42"/>
        <v>arch + standard_truss/other</v>
      </c>
      <c r="N328" t="str">
        <f t="shared" si="40"/>
        <v>top_structure/rock_structure + 3anc</v>
      </c>
      <c r="O328" t="s">
        <v>1685</v>
      </c>
      <c r="R328" t="s">
        <v>1030</v>
      </c>
      <c r="S328" t="s">
        <v>292</v>
      </c>
      <c r="T328" t="s">
        <v>292</v>
      </c>
      <c r="U328" t="s">
        <v>292</v>
      </c>
      <c r="V328" t="s">
        <v>292</v>
      </c>
      <c r="W328" t="s">
        <v>293</v>
      </c>
      <c r="X328" t="str">
        <f t="shared" si="43"/>
        <v>road-</v>
      </c>
      <c r="Y328" t="str">
        <f t="shared" si="44"/>
        <v>reinforced_road-</v>
      </c>
      <c r="Z328" t="str">
        <f t="shared" si="45"/>
        <v>wood-</v>
      </c>
      <c r="AA328" t="str">
        <f t="shared" si="46"/>
        <v>steel</v>
      </c>
      <c r="AB328" t="str">
        <f t="shared" si="47"/>
        <v>road-reinforced_road-wood-steel</v>
      </c>
      <c r="AE328" t="s">
        <v>1685</v>
      </c>
    </row>
    <row r="329" spans="1:31" x14ac:dyDescent="0.3">
      <c r="A329" t="s">
        <v>43</v>
      </c>
      <c r="B329" t="s">
        <v>69</v>
      </c>
      <c r="C329" t="s">
        <v>29</v>
      </c>
      <c r="D329" t="s">
        <v>25</v>
      </c>
      <c r="E329" s="16" t="s">
        <v>272</v>
      </c>
      <c r="F329" s="16">
        <v>2</v>
      </c>
      <c r="G329" t="s">
        <v>1525</v>
      </c>
      <c r="H329" t="s">
        <v>282</v>
      </c>
      <c r="I329" t="s">
        <v>342</v>
      </c>
      <c r="J329" t="s">
        <v>344</v>
      </c>
      <c r="L329" t="str">
        <f t="shared" si="41"/>
        <v>missing_section/right</v>
      </c>
      <c r="M329" t="str">
        <f t="shared" si="42"/>
        <v>arch + standard_truss</v>
      </c>
      <c r="N329" t="str">
        <f t="shared" si="40"/>
        <v>bottom_structure + 2anc</v>
      </c>
      <c r="O329" t="s">
        <v>1684</v>
      </c>
      <c r="R329" t="s">
        <v>1031</v>
      </c>
      <c r="S329" t="s">
        <v>292</v>
      </c>
      <c r="T329" t="s">
        <v>293</v>
      </c>
      <c r="U329" t="s">
        <v>292</v>
      </c>
      <c r="V329" t="s">
        <v>292</v>
      </c>
      <c r="W329" t="s">
        <v>293</v>
      </c>
      <c r="X329" t="str">
        <f t="shared" si="43"/>
        <v>road-</v>
      </c>
      <c r="Y329" t="str">
        <f t="shared" si="44"/>
        <v/>
      </c>
      <c r="Z329" t="str">
        <f t="shared" si="45"/>
        <v>wood-</v>
      </c>
      <c r="AA329" t="str">
        <f t="shared" si="46"/>
        <v>steel</v>
      </c>
      <c r="AB329" t="str">
        <f t="shared" si="47"/>
        <v>road-wood-steel</v>
      </c>
      <c r="AE329" t="s">
        <v>1684</v>
      </c>
    </row>
    <row r="330" spans="1:31" x14ac:dyDescent="0.3">
      <c r="A330" t="s">
        <v>43</v>
      </c>
      <c r="B330" t="s">
        <v>69</v>
      </c>
      <c r="C330" t="s">
        <v>29</v>
      </c>
      <c r="D330" t="s">
        <v>24</v>
      </c>
      <c r="E330" s="16" t="s">
        <v>272</v>
      </c>
      <c r="F330" s="16">
        <v>2</v>
      </c>
      <c r="G330" t="s">
        <v>1525</v>
      </c>
      <c r="H330" t="s">
        <v>282</v>
      </c>
      <c r="I330" t="s">
        <v>342</v>
      </c>
      <c r="J330" t="s">
        <v>344</v>
      </c>
      <c r="L330" t="str">
        <f t="shared" si="41"/>
        <v>missing_section/right</v>
      </c>
      <c r="M330" t="str">
        <f t="shared" si="42"/>
        <v>arch + standard_truss</v>
      </c>
      <c r="N330" t="str">
        <f t="shared" si="40"/>
        <v>bottom_structure + 2anc</v>
      </c>
      <c r="O330" t="s">
        <v>1684</v>
      </c>
      <c r="R330" t="s">
        <v>1032</v>
      </c>
      <c r="S330" t="s">
        <v>292</v>
      </c>
      <c r="T330" t="s">
        <v>293</v>
      </c>
      <c r="U330" t="s">
        <v>292</v>
      </c>
      <c r="V330" t="s">
        <v>292</v>
      </c>
      <c r="W330" t="s">
        <v>293</v>
      </c>
      <c r="X330" t="str">
        <f t="shared" si="43"/>
        <v>road-</v>
      </c>
      <c r="Y330" t="str">
        <f t="shared" si="44"/>
        <v/>
      </c>
      <c r="Z330" t="str">
        <f t="shared" si="45"/>
        <v>wood-</v>
      </c>
      <c r="AA330" t="str">
        <f t="shared" si="46"/>
        <v>steel</v>
      </c>
      <c r="AB330" t="str">
        <f t="shared" si="47"/>
        <v>road-wood-steel</v>
      </c>
      <c r="AE330" t="s">
        <v>1684</v>
      </c>
    </row>
    <row r="331" spans="1:31" x14ac:dyDescent="0.3">
      <c r="A331" t="s">
        <v>43</v>
      </c>
      <c r="B331" t="s">
        <v>69</v>
      </c>
      <c r="C331" t="s">
        <v>29</v>
      </c>
      <c r="D331" t="s">
        <v>32</v>
      </c>
      <c r="E331" s="16" t="s">
        <v>272</v>
      </c>
      <c r="F331" s="16">
        <v>3</v>
      </c>
      <c r="G331" t="s">
        <v>1524</v>
      </c>
      <c r="H331" t="s">
        <v>1658</v>
      </c>
      <c r="I331" t="s">
        <v>1566</v>
      </c>
      <c r="J331" t="s">
        <v>1574</v>
      </c>
      <c r="L331" t="str">
        <f t="shared" si="41"/>
        <v>continuous/fully_connected</v>
      </c>
      <c r="M331" t="str">
        <f t="shared" si="42"/>
        <v>other_shape + standard_truss/arch_truss</v>
      </c>
      <c r="N331" t="str">
        <f t="shared" si="40"/>
        <v>top_structure/bottom_structure/rock_structure + 3anc</v>
      </c>
      <c r="O331" t="s">
        <v>1686</v>
      </c>
      <c r="R331" t="s">
        <v>1033</v>
      </c>
      <c r="S331" t="s">
        <v>293</v>
      </c>
      <c r="T331" t="s">
        <v>292</v>
      </c>
      <c r="U331" t="s">
        <v>292</v>
      </c>
      <c r="V331" t="s">
        <v>292</v>
      </c>
      <c r="W331" t="s">
        <v>293</v>
      </c>
      <c r="X331" t="str">
        <f t="shared" si="43"/>
        <v/>
      </c>
      <c r="Y331" t="str">
        <f t="shared" si="44"/>
        <v>reinforced_road-</v>
      </c>
      <c r="Z331" t="str">
        <f t="shared" si="45"/>
        <v>wood-</v>
      </c>
      <c r="AA331" t="str">
        <f t="shared" si="46"/>
        <v>steel</v>
      </c>
      <c r="AB331" t="str">
        <f t="shared" si="47"/>
        <v>reinforced_road-wood-steel</v>
      </c>
      <c r="AE331" t="s">
        <v>1686</v>
      </c>
    </row>
    <row r="332" spans="1:31" x14ac:dyDescent="0.3">
      <c r="A332" t="s">
        <v>43</v>
      </c>
      <c r="B332" t="s">
        <v>69</v>
      </c>
      <c r="C332" t="s">
        <v>29</v>
      </c>
      <c r="D332" t="s">
        <v>30</v>
      </c>
      <c r="E332" s="16" t="s">
        <v>272</v>
      </c>
      <c r="F332" s="16">
        <v>3</v>
      </c>
      <c r="G332" t="s">
        <v>1524</v>
      </c>
      <c r="H332" t="s">
        <v>1658</v>
      </c>
      <c r="I332" t="s">
        <v>1567</v>
      </c>
      <c r="J332" t="s">
        <v>344</v>
      </c>
      <c r="L332" t="str">
        <f t="shared" si="41"/>
        <v>continuous/fully_connected</v>
      </c>
      <c r="M332" t="str">
        <f t="shared" si="42"/>
        <v>other_shape + standard_truss</v>
      </c>
      <c r="N332" t="str">
        <f t="shared" si="40"/>
        <v>top_structure/rock_structure + 3anc</v>
      </c>
      <c r="O332" t="s">
        <v>1686</v>
      </c>
      <c r="R332" t="s">
        <v>1034</v>
      </c>
      <c r="S332" t="s">
        <v>293</v>
      </c>
      <c r="T332" t="s">
        <v>292</v>
      </c>
      <c r="U332" t="s">
        <v>292</v>
      </c>
      <c r="V332" t="s">
        <v>292</v>
      </c>
      <c r="W332" t="s">
        <v>293</v>
      </c>
      <c r="X332" t="str">
        <f t="shared" si="43"/>
        <v/>
      </c>
      <c r="Y332" t="str">
        <f t="shared" si="44"/>
        <v>reinforced_road-</v>
      </c>
      <c r="Z332" t="str">
        <f t="shared" si="45"/>
        <v>wood-</v>
      </c>
      <c r="AA332" t="str">
        <f t="shared" si="46"/>
        <v>steel</v>
      </c>
      <c r="AB332" t="str">
        <f t="shared" si="47"/>
        <v>reinforced_road-wood-steel</v>
      </c>
      <c r="AE332" t="s">
        <v>1686</v>
      </c>
    </row>
    <row r="333" spans="1:31" x14ac:dyDescent="0.3">
      <c r="A333" t="s">
        <v>43</v>
      </c>
      <c r="B333" t="s">
        <v>69</v>
      </c>
      <c r="C333" t="s">
        <v>29</v>
      </c>
      <c r="D333" t="s">
        <v>34</v>
      </c>
      <c r="E333" s="16" t="s">
        <v>272</v>
      </c>
      <c r="F333" s="16">
        <v>3</v>
      </c>
      <c r="G333" t="s">
        <v>1524</v>
      </c>
      <c r="H333" t="s">
        <v>1551</v>
      </c>
      <c r="I333" t="s">
        <v>1566</v>
      </c>
      <c r="J333" t="s">
        <v>344</v>
      </c>
      <c r="L333" t="str">
        <f t="shared" si="41"/>
        <v>continuous/fully_connected</v>
      </c>
      <c r="M333" t="str">
        <f t="shared" si="42"/>
        <v>inverted_arch/s-shape/arch + standard_truss</v>
      </c>
      <c r="N333" t="str">
        <f t="shared" si="40"/>
        <v>top_structure/bottom_structure/rock_structure + 3anc</v>
      </c>
      <c r="O333" t="s">
        <v>1686</v>
      </c>
      <c r="R333" t="s">
        <v>1035</v>
      </c>
      <c r="S333" t="s">
        <v>293</v>
      </c>
      <c r="T333" t="s">
        <v>292</v>
      </c>
      <c r="U333" t="s">
        <v>292</v>
      </c>
      <c r="V333" t="s">
        <v>292</v>
      </c>
      <c r="W333" t="s">
        <v>293</v>
      </c>
      <c r="X333" t="str">
        <f t="shared" si="43"/>
        <v/>
      </c>
      <c r="Y333" t="str">
        <f t="shared" si="44"/>
        <v>reinforced_road-</v>
      </c>
      <c r="Z333" t="str">
        <f t="shared" si="45"/>
        <v>wood-</v>
      </c>
      <c r="AA333" t="str">
        <f t="shared" si="46"/>
        <v>steel</v>
      </c>
      <c r="AB333" t="str">
        <f t="shared" si="47"/>
        <v>reinforced_road-wood-steel</v>
      </c>
      <c r="AE333" t="s">
        <v>1686</v>
      </c>
    </row>
    <row r="334" spans="1:31" x14ac:dyDescent="0.3">
      <c r="A334" t="s">
        <v>43</v>
      </c>
      <c r="B334" t="s">
        <v>69</v>
      </c>
      <c r="C334" t="s">
        <v>29</v>
      </c>
      <c r="D334" t="s">
        <v>36</v>
      </c>
      <c r="E334" s="16" t="s">
        <v>272</v>
      </c>
      <c r="F334" s="16">
        <v>3</v>
      </c>
      <c r="G334" t="s">
        <v>1524</v>
      </c>
      <c r="H334" t="s">
        <v>283</v>
      </c>
      <c r="I334" t="s">
        <v>1568</v>
      </c>
      <c r="J334" t="s">
        <v>1570</v>
      </c>
      <c r="L334" t="str">
        <f t="shared" si="41"/>
        <v>continuous/fully_connected</v>
      </c>
      <c r="M334" t="str">
        <f t="shared" si="42"/>
        <v>inclined + standard_truss/other</v>
      </c>
      <c r="N334" t="str">
        <f t="shared" si="40"/>
        <v>bottom_structure/rock_structure + 3anc</v>
      </c>
      <c r="O334" t="s">
        <v>1686</v>
      </c>
      <c r="R334" t="s">
        <v>1036</v>
      </c>
      <c r="S334" t="s">
        <v>293</v>
      </c>
      <c r="T334" t="s">
        <v>292</v>
      </c>
      <c r="U334" t="s">
        <v>292</v>
      </c>
      <c r="V334" t="s">
        <v>292</v>
      </c>
      <c r="W334" t="s">
        <v>293</v>
      </c>
      <c r="X334" t="str">
        <f t="shared" si="43"/>
        <v/>
      </c>
      <c r="Y334" t="str">
        <f t="shared" si="44"/>
        <v>reinforced_road-</v>
      </c>
      <c r="Z334" t="str">
        <f t="shared" si="45"/>
        <v>wood-</v>
      </c>
      <c r="AA334" t="str">
        <f t="shared" si="46"/>
        <v>steel</v>
      </c>
      <c r="AB334" t="str">
        <f t="shared" si="47"/>
        <v>reinforced_road-wood-steel</v>
      </c>
      <c r="AE334" t="s">
        <v>1686</v>
      </c>
    </row>
    <row r="335" spans="1:31" x14ac:dyDescent="0.3">
      <c r="A335" t="s">
        <v>43</v>
      </c>
      <c r="B335" t="s">
        <v>69</v>
      </c>
      <c r="C335" t="s">
        <v>29</v>
      </c>
      <c r="D335" t="s">
        <v>33</v>
      </c>
      <c r="E335" s="16" t="s">
        <v>272</v>
      </c>
      <c r="F335" s="16">
        <v>3</v>
      </c>
      <c r="G335" t="s">
        <v>1524</v>
      </c>
      <c r="H335" t="s">
        <v>1658</v>
      </c>
      <c r="I335" t="s">
        <v>1566</v>
      </c>
      <c r="J335" t="s">
        <v>344</v>
      </c>
      <c r="L335" t="str">
        <f t="shared" si="41"/>
        <v>continuous/fully_connected</v>
      </c>
      <c r="M335" t="str">
        <f t="shared" si="42"/>
        <v>other_shape + standard_truss</v>
      </c>
      <c r="N335" t="str">
        <f t="shared" si="40"/>
        <v>top_structure/bottom_structure/rock_structure + 3anc</v>
      </c>
      <c r="O335" t="s">
        <v>1686</v>
      </c>
      <c r="R335" t="s">
        <v>1037</v>
      </c>
      <c r="S335" t="s">
        <v>293</v>
      </c>
      <c r="T335" t="s">
        <v>292</v>
      </c>
      <c r="U335" t="s">
        <v>292</v>
      </c>
      <c r="V335" t="s">
        <v>292</v>
      </c>
      <c r="W335" t="s">
        <v>293</v>
      </c>
      <c r="X335" t="str">
        <f t="shared" si="43"/>
        <v/>
      </c>
      <c r="Y335" t="str">
        <f t="shared" si="44"/>
        <v>reinforced_road-</v>
      </c>
      <c r="Z335" t="str">
        <f t="shared" si="45"/>
        <v>wood-</v>
      </c>
      <c r="AA335" t="str">
        <f t="shared" si="46"/>
        <v>steel</v>
      </c>
      <c r="AB335" t="str">
        <f t="shared" si="47"/>
        <v>reinforced_road-wood-steel</v>
      </c>
      <c r="AE335" t="s">
        <v>1686</v>
      </c>
    </row>
    <row r="336" spans="1:31" x14ac:dyDescent="0.3">
      <c r="A336" t="s">
        <v>43</v>
      </c>
      <c r="B336" t="s">
        <v>69</v>
      </c>
      <c r="C336" t="s">
        <v>29</v>
      </c>
      <c r="D336" t="s">
        <v>26</v>
      </c>
      <c r="E336" s="16" t="s">
        <v>272</v>
      </c>
      <c r="F336" s="16">
        <v>2</v>
      </c>
      <c r="G336" t="s">
        <v>1525</v>
      </c>
      <c r="H336" t="s">
        <v>282</v>
      </c>
      <c r="I336" t="s">
        <v>342</v>
      </c>
      <c r="J336" t="s">
        <v>344</v>
      </c>
      <c r="L336" t="str">
        <f t="shared" si="41"/>
        <v>missing_section/right</v>
      </c>
      <c r="M336" t="str">
        <f t="shared" si="42"/>
        <v>arch + standard_truss</v>
      </c>
      <c r="N336" t="str">
        <f t="shared" si="40"/>
        <v>bottom_structure + 2anc</v>
      </c>
      <c r="O336" t="s">
        <v>1684</v>
      </c>
      <c r="R336" t="s">
        <v>1038</v>
      </c>
      <c r="S336" t="s">
        <v>292</v>
      </c>
      <c r="T336" t="s">
        <v>293</v>
      </c>
      <c r="U336" t="s">
        <v>292</v>
      </c>
      <c r="V336" t="s">
        <v>292</v>
      </c>
      <c r="W336" t="s">
        <v>293</v>
      </c>
      <c r="X336" t="str">
        <f t="shared" si="43"/>
        <v>road-</v>
      </c>
      <c r="Y336" t="str">
        <f t="shared" si="44"/>
        <v/>
      </c>
      <c r="Z336" t="str">
        <f t="shared" si="45"/>
        <v>wood-</v>
      </c>
      <c r="AA336" t="str">
        <f t="shared" si="46"/>
        <v>steel</v>
      </c>
      <c r="AB336" t="str">
        <f t="shared" si="47"/>
        <v>road-wood-steel</v>
      </c>
      <c r="AE336" t="s">
        <v>1684</v>
      </c>
    </row>
    <row r="337" spans="1:31" x14ac:dyDescent="0.3">
      <c r="A337" t="s">
        <v>43</v>
      </c>
      <c r="B337" t="s">
        <v>69</v>
      </c>
      <c r="C337" t="s">
        <v>29</v>
      </c>
      <c r="D337" t="s">
        <v>31</v>
      </c>
      <c r="E337" s="16" t="s">
        <v>272</v>
      </c>
      <c r="F337" s="16">
        <v>3</v>
      </c>
      <c r="G337" t="s">
        <v>1524</v>
      </c>
      <c r="H337" t="s">
        <v>1658</v>
      </c>
      <c r="I337" t="s">
        <v>1567</v>
      </c>
      <c r="J337" t="s">
        <v>344</v>
      </c>
      <c r="L337" t="str">
        <f t="shared" si="41"/>
        <v>continuous/fully_connected</v>
      </c>
      <c r="M337" t="str">
        <f t="shared" si="42"/>
        <v>other_shape + standard_truss</v>
      </c>
      <c r="N337" t="str">
        <f t="shared" si="40"/>
        <v>top_structure/rock_structure + 3anc</v>
      </c>
      <c r="O337" t="s">
        <v>1693</v>
      </c>
      <c r="R337" t="s">
        <v>1039</v>
      </c>
      <c r="S337" t="s">
        <v>293</v>
      </c>
      <c r="T337" t="s">
        <v>292</v>
      </c>
      <c r="U337" t="s">
        <v>292</v>
      </c>
      <c r="V337" t="s">
        <v>293</v>
      </c>
      <c r="W337" t="s">
        <v>293</v>
      </c>
      <c r="X337" t="str">
        <f t="shared" si="43"/>
        <v/>
      </c>
      <c r="Y337" t="str">
        <f t="shared" si="44"/>
        <v>reinforced_road-</v>
      </c>
      <c r="Z337" t="str">
        <f t="shared" si="45"/>
        <v>wood-</v>
      </c>
      <c r="AA337" t="str">
        <f t="shared" si="46"/>
        <v/>
      </c>
      <c r="AB337" t="str">
        <f t="shared" si="47"/>
        <v>reinforced_road-wood-</v>
      </c>
      <c r="AE337" t="s">
        <v>1693</v>
      </c>
    </row>
    <row r="338" spans="1:31" x14ac:dyDescent="0.3">
      <c r="A338" t="s">
        <v>43</v>
      </c>
      <c r="B338" t="s">
        <v>69</v>
      </c>
      <c r="C338" t="s">
        <v>29</v>
      </c>
      <c r="D338" t="s">
        <v>27</v>
      </c>
      <c r="E338" s="16" t="s">
        <v>272</v>
      </c>
      <c r="F338" s="16">
        <v>2</v>
      </c>
      <c r="G338" t="s">
        <v>1525</v>
      </c>
      <c r="H338" t="s">
        <v>282</v>
      </c>
      <c r="I338" t="s">
        <v>1568</v>
      </c>
      <c r="J338" t="s">
        <v>344</v>
      </c>
      <c r="L338" t="str">
        <f t="shared" si="41"/>
        <v>missing_section/right</v>
      </c>
      <c r="M338" t="str">
        <f t="shared" si="42"/>
        <v>arch + standard_truss</v>
      </c>
      <c r="N338" t="str">
        <f t="shared" si="40"/>
        <v>bottom_structure/rock_structure + 2anc</v>
      </c>
      <c r="O338" t="s">
        <v>1686</v>
      </c>
      <c r="R338" t="s">
        <v>1040</v>
      </c>
      <c r="S338" t="s">
        <v>293</v>
      </c>
      <c r="T338" t="s">
        <v>292</v>
      </c>
      <c r="U338" t="s">
        <v>292</v>
      </c>
      <c r="V338" t="s">
        <v>292</v>
      </c>
      <c r="W338" t="s">
        <v>293</v>
      </c>
      <c r="X338" t="str">
        <f t="shared" si="43"/>
        <v/>
      </c>
      <c r="Y338" t="str">
        <f t="shared" si="44"/>
        <v>reinforced_road-</v>
      </c>
      <c r="Z338" t="str">
        <f t="shared" si="45"/>
        <v>wood-</v>
      </c>
      <c r="AA338" t="str">
        <f t="shared" si="46"/>
        <v>steel</v>
      </c>
      <c r="AB338" t="str">
        <f t="shared" si="47"/>
        <v>reinforced_road-wood-steel</v>
      </c>
      <c r="AE338" t="s">
        <v>1686</v>
      </c>
    </row>
    <row r="339" spans="1:31" x14ac:dyDescent="0.3">
      <c r="A339" t="s">
        <v>43</v>
      </c>
      <c r="B339" t="s">
        <v>69</v>
      </c>
      <c r="C339" t="s">
        <v>29</v>
      </c>
      <c r="D339" t="s">
        <v>28</v>
      </c>
      <c r="E339" s="16" t="s">
        <v>272</v>
      </c>
      <c r="F339" s="16">
        <v>3</v>
      </c>
      <c r="G339" t="s">
        <v>1524</v>
      </c>
      <c r="H339" t="s">
        <v>282</v>
      </c>
      <c r="I339" t="s">
        <v>1567</v>
      </c>
      <c r="J339" t="s">
        <v>344</v>
      </c>
      <c r="L339" t="str">
        <f t="shared" si="41"/>
        <v>continuous/fully_connected</v>
      </c>
      <c r="M339" t="str">
        <f t="shared" si="42"/>
        <v>arch + standard_truss</v>
      </c>
      <c r="N339" t="str">
        <f t="shared" si="40"/>
        <v>top_structure/rock_structure + 3anc</v>
      </c>
      <c r="O339" t="s">
        <v>1693</v>
      </c>
      <c r="R339" t="s">
        <v>1041</v>
      </c>
      <c r="S339" t="s">
        <v>293</v>
      </c>
      <c r="T339" t="s">
        <v>292</v>
      </c>
      <c r="U339" t="s">
        <v>292</v>
      </c>
      <c r="V339" t="s">
        <v>293</v>
      </c>
      <c r="W339" t="s">
        <v>293</v>
      </c>
      <c r="X339" t="str">
        <f t="shared" si="43"/>
        <v/>
      </c>
      <c r="Y339" t="str">
        <f t="shared" si="44"/>
        <v>reinforced_road-</v>
      </c>
      <c r="Z339" t="str">
        <f t="shared" si="45"/>
        <v>wood-</v>
      </c>
      <c r="AA339" t="str">
        <f t="shared" si="46"/>
        <v/>
      </c>
      <c r="AB339" t="str">
        <f t="shared" si="47"/>
        <v>reinforced_road-wood-</v>
      </c>
      <c r="AE339" t="s">
        <v>1693</v>
      </c>
    </row>
    <row r="340" spans="1:31" x14ac:dyDescent="0.3">
      <c r="A340" t="s">
        <v>43</v>
      </c>
      <c r="B340" t="s">
        <v>69</v>
      </c>
      <c r="C340" t="s">
        <v>29</v>
      </c>
      <c r="D340" t="s">
        <v>35</v>
      </c>
      <c r="E340" s="16" t="s">
        <v>272</v>
      </c>
      <c r="F340" s="16">
        <v>3</v>
      </c>
      <c r="G340" t="s">
        <v>1524</v>
      </c>
      <c r="H340" t="s">
        <v>1650</v>
      </c>
      <c r="I340" t="s">
        <v>1566</v>
      </c>
      <c r="J340" t="s">
        <v>344</v>
      </c>
      <c r="L340" t="str">
        <f t="shared" si="41"/>
        <v>continuous/fully_connected</v>
      </c>
      <c r="M340" t="str">
        <f t="shared" si="42"/>
        <v>inclined/inverted_arch/arch + standard_truss</v>
      </c>
      <c r="N340" t="str">
        <f t="shared" si="40"/>
        <v>top_structure/bottom_structure/rock_structure + 3anc</v>
      </c>
      <c r="O340" t="s">
        <v>1686</v>
      </c>
      <c r="R340" t="s">
        <v>1042</v>
      </c>
      <c r="S340" t="s">
        <v>293</v>
      </c>
      <c r="T340" t="s">
        <v>292</v>
      </c>
      <c r="U340" t="s">
        <v>292</v>
      </c>
      <c r="V340" t="s">
        <v>292</v>
      </c>
      <c r="W340" t="s">
        <v>293</v>
      </c>
      <c r="X340" t="str">
        <f t="shared" si="43"/>
        <v/>
      </c>
      <c r="Y340" t="str">
        <f t="shared" si="44"/>
        <v>reinforced_road-</v>
      </c>
      <c r="Z340" t="str">
        <f t="shared" si="45"/>
        <v>wood-</v>
      </c>
      <c r="AA340" t="str">
        <f t="shared" si="46"/>
        <v>steel</v>
      </c>
      <c r="AB340" t="str">
        <f t="shared" si="47"/>
        <v>reinforced_road-wood-steel</v>
      </c>
      <c r="AE340" t="s">
        <v>1686</v>
      </c>
    </row>
    <row r="341" spans="1:31" x14ac:dyDescent="0.3">
      <c r="A341" t="s">
        <v>45</v>
      </c>
      <c r="B341" t="s">
        <v>48</v>
      </c>
      <c r="C341" t="s">
        <v>12</v>
      </c>
      <c r="D341" t="s">
        <v>15</v>
      </c>
      <c r="E341" s="16" t="s">
        <v>272</v>
      </c>
      <c r="F341" s="16">
        <v>2</v>
      </c>
      <c r="G341" t="s">
        <v>1524</v>
      </c>
      <c r="H341" t="s">
        <v>282</v>
      </c>
      <c r="I341" t="s">
        <v>341</v>
      </c>
      <c r="J341" t="s">
        <v>344</v>
      </c>
      <c r="L341" t="str">
        <f t="shared" si="41"/>
        <v>continuous/fully_connected</v>
      </c>
      <c r="M341" t="str">
        <f t="shared" si="42"/>
        <v>arch + standard_truss</v>
      </c>
      <c r="N341" t="str">
        <f t="shared" si="40"/>
        <v>top_structure + 2anc</v>
      </c>
      <c r="O341" t="s">
        <v>1692</v>
      </c>
      <c r="R341" t="s">
        <v>1043</v>
      </c>
      <c r="S341" t="s">
        <v>292</v>
      </c>
      <c r="T341" t="s">
        <v>293</v>
      </c>
      <c r="U341" t="s">
        <v>292</v>
      </c>
      <c r="V341" t="s">
        <v>293</v>
      </c>
      <c r="W341" t="s">
        <v>293</v>
      </c>
      <c r="X341" t="str">
        <f t="shared" si="43"/>
        <v>road-</v>
      </c>
      <c r="Y341" t="str">
        <f t="shared" si="44"/>
        <v/>
      </c>
      <c r="Z341" t="str">
        <f t="shared" si="45"/>
        <v>wood-</v>
      </c>
      <c r="AA341" t="str">
        <f t="shared" si="46"/>
        <v/>
      </c>
      <c r="AB341" t="str">
        <f t="shared" si="47"/>
        <v>road-wood-</v>
      </c>
      <c r="AE341" t="s">
        <v>1692</v>
      </c>
    </row>
    <row r="342" spans="1:31" x14ac:dyDescent="0.3">
      <c r="A342" t="s">
        <v>45</v>
      </c>
      <c r="B342" t="s">
        <v>48</v>
      </c>
      <c r="C342" t="s">
        <v>12</v>
      </c>
      <c r="D342" t="s">
        <v>14</v>
      </c>
      <c r="E342" s="16" t="s">
        <v>272</v>
      </c>
      <c r="F342" s="16">
        <v>3</v>
      </c>
      <c r="G342" t="s">
        <v>1524</v>
      </c>
      <c r="H342" t="s">
        <v>1534</v>
      </c>
      <c r="I342" t="s">
        <v>1567</v>
      </c>
      <c r="J342" t="s">
        <v>344</v>
      </c>
      <c r="L342" t="str">
        <f t="shared" si="41"/>
        <v>continuous/fully_connected</v>
      </c>
      <c r="M342" t="str">
        <f t="shared" si="42"/>
        <v>arch/declined + standard_truss</v>
      </c>
      <c r="N342" t="str">
        <f t="shared" si="40"/>
        <v>top_structure/rock_structure + 3anc</v>
      </c>
      <c r="O342" t="s">
        <v>1684</v>
      </c>
      <c r="R342" t="s">
        <v>1044</v>
      </c>
      <c r="S342" t="s">
        <v>292</v>
      </c>
      <c r="T342" t="s">
        <v>293</v>
      </c>
      <c r="U342" t="s">
        <v>292</v>
      </c>
      <c r="V342" t="s">
        <v>292</v>
      </c>
      <c r="W342" t="s">
        <v>293</v>
      </c>
      <c r="X342" t="str">
        <f t="shared" si="43"/>
        <v>road-</v>
      </c>
      <c r="Y342" t="str">
        <f t="shared" si="44"/>
        <v/>
      </c>
      <c r="Z342" t="str">
        <f t="shared" si="45"/>
        <v>wood-</v>
      </c>
      <c r="AA342" t="str">
        <f t="shared" si="46"/>
        <v>steel</v>
      </c>
      <c r="AB342" t="str">
        <f t="shared" si="47"/>
        <v>road-wood-steel</v>
      </c>
      <c r="AE342" t="s">
        <v>1684</v>
      </c>
    </row>
    <row r="343" spans="1:31" x14ac:dyDescent="0.3">
      <c r="A343" t="s">
        <v>45</v>
      </c>
      <c r="B343" t="s">
        <v>48</v>
      </c>
      <c r="C343" t="s">
        <v>12</v>
      </c>
      <c r="D343" t="s">
        <v>11</v>
      </c>
      <c r="E343" s="16" t="s">
        <v>272</v>
      </c>
      <c r="F343" s="16">
        <v>3</v>
      </c>
      <c r="G343" t="s">
        <v>1524</v>
      </c>
      <c r="H343" t="s">
        <v>1534</v>
      </c>
      <c r="I343" t="s">
        <v>1567</v>
      </c>
      <c r="J343" t="s">
        <v>344</v>
      </c>
      <c r="L343" t="str">
        <f t="shared" si="41"/>
        <v>continuous/fully_connected</v>
      </c>
      <c r="M343" t="str">
        <f t="shared" si="42"/>
        <v>arch/declined + standard_truss</v>
      </c>
      <c r="N343" t="str">
        <f t="shared" si="40"/>
        <v>top_structure/rock_structure + 3anc</v>
      </c>
      <c r="O343" t="s">
        <v>1692</v>
      </c>
      <c r="R343" t="s">
        <v>1045</v>
      </c>
      <c r="S343" t="s">
        <v>292</v>
      </c>
      <c r="T343" t="s">
        <v>293</v>
      </c>
      <c r="U343" t="s">
        <v>292</v>
      </c>
      <c r="V343" t="s">
        <v>293</v>
      </c>
      <c r="W343" t="s">
        <v>293</v>
      </c>
      <c r="X343" t="str">
        <f t="shared" si="43"/>
        <v>road-</v>
      </c>
      <c r="Y343" t="str">
        <f t="shared" si="44"/>
        <v/>
      </c>
      <c r="Z343" t="str">
        <f t="shared" si="45"/>
        <v>wood-</v>
      </c>
      <c r="AA343" t="str">
        <f t="shared" si="46"/>
        <v/>
      </c>
      <c r="AB343" t="str">
        <f t="shared" si="47"/>
        <v>road-wood-</v>
      </c>
      <c r="AE343" t="s">
        <v>1692</v>
      </c>
    </row>
    <row r="344" spans="1:31" x14ac:dyDescent="0.3">
      <c r="A344" t="s">
        <v>45</v>
      </c>
      <c r="B344" t="s">
        <v>48</v>
      </c>
      <c r="C344" t="s">
        <v>12</v>
      </c>
      <c r="D344" t="s">
        <v>19</v>
      </c>
      <c r="E344" s="16" t="s">
        <v>272</v>
      </c>
      <c r="F344" s="16">
        <v>2</v>
      </c>
      <c r="G344" t="s">
        <v>1524</v>
      </c>
      <c r="H344" t="s">
        <v>282</v>
      </c>
      <c r="I344" t="s">
        <v>341</v>
      </c>
      <c r="J344" t="s">
        <v>344</v>
      </c>
      <c r="L344" t="str">
        <f t="shared" si="41"/>
        <v>continuous/fully_connected</v>
      </c>
      <c r="M344" t="str">
        <f t="shared" si="42"/>
        <v>arch + standard_truss</v>
      </c>
      <c r="N344" t="str">
        <f t="shared" si="40"/>
        <v>top_structure + 2anc</v>
      </c>
      <c r="O344" t="s">
        <v>1687</v>
      </c>
      <c r="R344" t="s">
        <v>1046</v>
      </c>
      <c r="S344" t="s">
        <v>292</v>
      </c>
      <c r="T344" t="s">
        <v>293</v>
      </c>
      <c r="U344" t="s">
        <v>293</v>
      </c>
      <c r="V344" t="s">
        <v>292</v>
      </c>
      <c r="W344" t="s">
        <v>293</v>
      </c>
      <c r="X344" t="str">
        <f t="shared" si="43"/>
        <v>road-</v>
      </c>
      <c r="Y344" t="str">
        <f t="shared" si="44"/>
        <v/>
      </c>
      <c r="Z344" t="str">
        <f t="shared" si="45"/>
        <v/>
      </c>
      <c r="AA344" t="str">
        <f t="shared" si="46"/>
        <v>steel</v>
      </c>
      <c r="AB344" t="str">
        <f t="shared" si="47"/>
        <v>road-steel</v>
      </c>
      <c r="AE344" t="s">
        <v>1687</v>
      </c>
    </row>
    <row r="345" spans="1:31" x14ac:dyDescent="0.3">
      <c r="A345" t="s">
        <v>45</v>
      </c>
      <c r="B345" t="s">
        <v>48</v>
      </c>
      <c r="C345" t="s">
        <v>12</v>
      </c>
      <c r="D345" t="s">
        <v>17</v>
      </c>
      <c r="E345" s="16" t="s">
        <v>272</v>
      </c>
      <c r="F345" s="16">
        <v>2</v>
      </c>
      <c r="G345" t="s">
        <v>1524</v>
      </c>
      <c r="H345" t="s">
        <v>282</v>
      </c>
      <c r="I345" t="s">
        <v>341</v>
      </c>
      <c r="J345" t="s">
        <v>344</v>
      </c>
      <c r="L345" t="str">
        <f t="shared" si="41"/>
        <v>continuous/fully_connected</v>
      </c>
      <c r="M345" t="str">
        <f t="shared" si="42"/>
        <v>arch + standard_truss</v>
      </c>
      <c r="N345" t="str">
        <f t="shared" si="40"/>
        <v>top_structure + 2anc</v>
      </c>
      <c r="O345" t="s">
        <v>1688</v>
      </c>
      <c r="R345" t="s">
        <v>1047</v>
      </c>
      <c r="S345" t="s">
        <v>293</v>
      </c>
      <c r="T345" t="s">
        <v>292</v>
      </c>
      <c r="U345" t="s">
        <v>293</v>
      </c>
      <c r="V345" t="s">
        <v>292</v>
      </c>
      <c r="W345" t="s">
        <v>293</v>
      </c>
      <c r="X345" t="str">
        <f t="shared" si="43"/>
        <v/>
      </c>
      <c r="Y345" t="str">
        <f t="shared" si="44"/>
        <v>reinforced_road-</v>
      </c>
      <c r="Z345" t="str">
        <f t="shared" si="45"/>
        <v/>
      </c>
      <c r="AA345" t="str">
        <f t="shared" si="46"/>
        <v>steel</v>
      </c>
      <c r="AB345" t="str">
        <f t="shared" si="47"/>
        <v>reinforced_road-steel</v>
      </c>
      <c r="AE345" t="s">
        <v>1688</v>
      </c>
    </row>
    <row r="346" spans="1:31" x14ac:dyDescent="0.3">
      <c r="A346" t="s">
        <v>45</v>
      </c>
      <c r="B346" t="s">
        <v>48</v>
      </c>
      <c r="C346" t="s">
        <v>12</v>
      </c>
      <c r="D346" t="s">
        <v>16</v>
      </c>
      <c r="E346" s="16" t="s">
        <v>272</v>
      </c>
      <c r="F346" s="16">
        <v>2</v>
      </c>
      <c r="G346" t="s">
        <v>1524</v>
      </c>
      <c r="H346" t="s">
        <v>282</v>
      </c>
      <c r="I346" t="s">
        <v>341</v>
      </c>
      <c r="J346" t="s">
        <v>344</v>
      </c>
      <c r="L346" t="str">
        <f t="shared" si="41"/>
        <v>continuous/fully_connected</v>
      </c>
      <c r="M346" t="str">
        <f t="shared" si="42"/>
        <v>arch + standard_truss</v>
      </c>
      <c r="N346" t="str">
        <f t="shared" si="40"/>
        <v>top_structure + 2anc</v>
      </c>
      <c r="O346" t="s">
        <v>1693</v>
      </c>
      <c r="R346" t="s">
        <v>1048</v>
      </c>
      <c r="S346" t="s">
        <v>293</v>
      </c>
      <c r="T346" t="s">
        <v>292</v>
      </c>
      <c r="U346" t="s">
        <v>292</v>
      </c>
      <c r="V346" t="s">
        <v>293</v>
      </c>
      <c r="W346" t="s">
        <v>293</v>
      </c>
      <c r="X346" t="str">
        <f t="shared" si="43"/>
        <v/>
      </c>
      <c r="Y346" t="str">
        <f t="shared" si="44"/>
        <v>reinforced_road-</v>
      </c>
      <c r="Z346" t="str">
        <f t="shared" si="45"/>
        <v>wood-</v>
      </c>
      <c r="AA346" t="str">
        <f t="shared" si="46"/>
        <v/>
      </c>
      <c r="AB346" t="str">
        <f t="shared" si="47"/>
        <v>reinforced_road-wood-</v>
      </c>
      <c r="AE346" t="s">
        <v>1693</v>
      </c>
    </row>
    <row r="347" spans="1:31" x14ac:dyDescent="0.3">
      <c r="A347" t="s">
        <v>45</v>
      </c>
      <c r="B347" t="s">
        <v>48</v>
      </c>
      <c r="C347" t="s">
        <v>12</v>
      </c>
      <c r="D347" t="s">
        <v>20</v>
      </c>
      <c r="E347" s="16" t="s">
        <v>272</v>
      </c>
      <c r="F347" s="16">
        <v>3</v>
      </c>
      <c r="G347" t="s">
        <v>1524</v>
      </c>
      <c r="H347" t="s">
        <v>339</v>
      </c>
      <c r="I347" t="s">
        <v>1567</v>
      </c>
      <c r="J347" t="s">
        <v>344</v>
      </c>
      <c r="L347" t="str">
        <f t="shared" si="41"/>
        <v>continuous/fully_connected</v>
      </c>
      <c r="M347" t="str">
        <f t="shared" si="42"/>
        <v>inverted_arch + standard_truss</v>
      </c>
      <c r="N347" t="str">
        <f t="shared" si="40"/>
        <v>top_structure/rock_structure + 3anc</v>
      </c>
      <c r="O347" t="s">
        <v>1692</v>
      </c>
      <c r="R347" t="s">
        <v>1049</v>
      </c>
      <c r="S347" t="s">
        <v>292</v>
      </c>
      <c r="T347" t="s">
        <v>293</v>
      </c>
      <c r="U347" t="s">
        <v>292</v>
      </c>
      <c r="V347" t="s">
        <v>293</v>
      </c>
      <c r="W347" t="s">
        <v>293</v>
      </c>
      <c r="X347" t="str">
        <f t="shared" si="43"/>
        <v>road-</v>
      </c>
      <c r="Y347" t="str">
        <f t="shared" si="44"/>
        <v/>
      </c>
      <c r="Z347" t="str">
        <f t="shared" si="45"/>
        <v>wood-</v>
      </c>
      <c r="AA347" t="str">
        <f t="shared" si="46"/>
        <v/>
      </c>
      <c r="AB347" t="str">
        <f t="shared" si="47"/>
        <v>road-wood-</v>
      </c>
      <c r="AE347" t="s">
        <v>1692</v>
      </c>
    </row>
    <row r="348" spans="1:31" x14ac:dyDescent="0.3">
      <c r="A348" t="s">
        <v>45</v>
      </c>
      <c r="B348" t="s">
        <v>48</v>
      </c>
      <c r="C348" t="s">
        <v>29</v>
      </c>
      <c r="D348" t="s">
        <v>23</v>
      </c>
      <c r="E348" s="16" t="s">
        <v>272</v>
      </c>
      <c r="F348" s="16">
        <v>3</v>
      </c>
      <c r="G348" t="s">
        <v>1524</v>
      </c>
      <c r="H348" t="s">
        <v>1557</v>
      </c>
      <c r="I348" t="s">
        <v>343</v>
      </c>
      <c r="J348" t="s">
        <v>348</v>
      </c>
      <c r="L348" t="str">
        <f t="shared" si="41"/>
        <v>continuous/fully_connected</v>
      </c>
      <c r="M348" t="str">
        <f t="shared" si="42"/>
        <v>straight/inclined/arch + no_truss</v>
      </c>
      <c r="N348" t="str">
        <f t="shared" si="40"/>
        <v>rock_structure + 3anc</v>
      </c>
      <c r="O348" t="s">
        <v>1688</v>
      </c>
      <c r="R348" t="s">
        <v>1050</v>
      </c>
      <c r="S348" t="s">
        <v>293</v>
      </c>
      <c r="T348" t="s">
        <v>292</v>
      </c>
      <c r="U348" t="s">
        <v>293</v>
      </c>
      <c r="V348" t="s">
        <v>292</v>
      </c>
      <c r="W348" t="s">
        <v>293</v>
      </c>
      <c r="X348" t="str">
        <f t="shared" si="43"/>
        <v/>
      </c>
      <c r="Y348" t="str">
        <f t="shared" si="44"/>
        <v>reinforced_road-</v>
      </c>
      <c r="Z348" t="str">
        <f t="shared" si="45"/>
        <v/>
      </c>
      <c r="AA348" t="str">
        <f t="shared" si="46"/>
        <v>steel</v>
      </c>
      <c r="AB348" t="str">
        <f t="shared" si="47"/>
        <v>reinforced_road-steel</v>
      </c>
      <c r="AE348" t="s">
        <v>1688</v>
      </c>
    </row>
    <row r="349" spans="1:31" x14ac:dyDescent="0.3">
      <c r="A349" t="s">
        <v>45</v>
      </c>
      <c r="B349" t="s">
        <v>48</v>
      </c>
      <c r="C349" t="s">
        <v>29</v>
      </c>
      <c r="D349" t="s">
        <v>25</v>
      </c>
      <c r="E349" s="16" t="s">
        <v>272</v>
      </c>
      <c r="F349" s="16">
        <v>3</v>
      </c>
      <c r="G349" t="s">
        <v>1524</v>
      </c>
      <c r="H349" t="s">
        <v>1557</v>
      </c>
      <c r="I349" t="s">
        <v>1568</v>
      </c>
      <c r="J349" t="s">
        <v>1620</v>
      </c>
      <c r="L349" t="str">
        <f t="shared" si="41"/>
        <v>continuous/fully_connected</v>
      </c>
      <c r="M349" t="str">
        <f t="shared" si="42"/>
        <v>straight/inclined/arch + standard_truss/square_truss</v>
      </c>
      <c r="N349" t="str">
        <f t="shared" si="40"/>
        <v>bottom_structure/rock_structure + 3anc</v>
      </c>
      <c r="O349" t="s">
        <v>1684</v>
      </c>
      <c r="R349" t="s">
        <v>1051</v>
      </c>
      <c r="S349" t="s">
        <v>292</v>
      </c>
      <c r="T349" t="s">
        <v>293</v>
      </c>
      <c r="U349" t="s">
        <v>292</v>
      </c>
      <c r="V349" t="s">
        <v>292</v>
      </c>
      <c r="W349" t="s">
        <v>293</v>
      </c>
      <c r="X349" t="str">
        <f t="shared" si="43"/>
        <v>road-</v>
      </c>
      <c r="Y349" t="str">
        <f t="shared" si="44"/>
        <v/>
      </c>
      <c r="Z349" t="str">
        <f t="shared" si="45"/>
        <v>wood-</v>
      </c>
      <c r="AA349" t="str">
        <f t="shared" si="46"/>
        <v>steel</v>
      </c>
      <c r="AB349" t="str">
        <f t="shared" si="47"/>
        <v>road-wood-steel</v>
      </c>
      <c r="AE349" t="s">
        <v>1684</v>
      </c>
    </row>
    <row r="350" spans="1:31" x14ac:dyDescent="0.3">
      <c r="A350" t="s">
        <v>45</v>
      </c>
      <c r="B350" t="s">
        <v>48</v>
      </c>
      <c r="C350" t="s">
        <v>29</v>
      </c>
      <c r="D350" t="s">
        <v>24</v>
      </c>
      <c r="E350" s="16" t="s">
        <v>272</v>
      </c>
      <c r="F350" s="16">
        <v>3</v>
      </c>
      <c r="G350" t="s">
        <v>1524</v>
      </c>
      <c r="H350" t="s">
        <v>1557</v>
      </c>
      <c r="I350" t="s">
        <v>1567</v>
      </c>
      <c r="J350" t="s">
        <v>1574</v>
      </c>
      <c r="L350" t="str">
        <f t="shared" si="41"/>
        <v>continuous/fully_connected</v>
      </c>
      <c r="M350" t="str">
        <f t="shared" si="42"/>
        <v>straight/inclined/arch + standard_truss/arch_truss</v>
      </c>
      <c r="N350" t="str">
        <f t="shared" si="40"/>
        <v>top_structure/rock_structure + 3anc</v>
      </c>
      <c r="O350" t="s">
        <v>1684</v>
      </c>
      <c r="R350" t="s">
        <v>1052</v>
      </c>
      <c r="S350" t="s">
        <v>292</v>
      </c>
      <c r="T350" t="s">
        <v>293</v>
      </c>
      <c r="U350" t="s">
        <v>292</v>
      </c>
      <c r="V350" t="s">
        <v>292</v>
      </c>
      <c r="W350" t="s">
        <v>293</v>
      </c>
      <c r="X350" t="str">
        <f t="shared" si="43"/>
        <v>road-</v>
      </c>
      <c r="Y350" t="str">
        <f t="shared" si="44"/>
        <v/>
      </c>
      <c r="Z350" t="str">
        <f t="shared" si="45"/>
        <v>wood-</v>
      </c>
      <c r="AA350" t="str">
        <f t="shared" si="46"/>
        <v>steel</v>
      </c>
      <c r="AB350" t="str">
        <f t="shared" si="47"/>
        <v>road-wood-steel</v>
      </c>
      <c r="AE350" t="s">
        <v>1684</v>
      </c>
    </row>
    <row r="351" spans="1:31" x14ac:dyDescent="0.3">
      <c r="A351" t="s">
        <v>45</v>
      </c>
      <c r="B351" t="s">
        <v>48</v>
      </c>
      <c r="C351" t="s">
        <v>29</v>
      </c>
      <c r="D351" t="s">
        <v>21</v>
      </c>
      <c r="E351" s="16" t="s">
        <v>272</v>
      </c>
      <c r="F351" s="16">
        <v>3</v>
      </c>
      <c r="G351" t="s">
        <v>1524</v>
      </c>
      <c r="H351" t="s">
        <v>1557</v>
      </c>
      <c r="I351" t="s">
        <v>1567</v>
      </c>
      <c r="J351" t="s">
        <v>344</v>
      </c>
      <c r="L351" t="str">
        <f t="shared" si="41"/>
        <v>continuous/fully_connected</v>
      </c>
      <c r="M351" t="str">
        <f t="shared" si="42"/>
        <v>straight/inclined/arch + standard_truss</v>
      </c>
      <c r="N351" t="str">
        <f t="shared" si="40"/>
        <v>top_structure/rock_structure + 3anc</v>
      </c>
      <c r="O351" t="s">
        <v>1686</v>
      </c>
      <c r="R351" t="s">
        <v>1053</v>
      </c>
      <c r="S351" t="s">
        <v>293</v>
      </c>
      <c r="T351" t="s">
        <v>292</v>
      </c>
      <c r="U351" t="s">
        <v>292</v>
      </c>
      <c r="V351" t="s">
        <v>292</v>
      </c>
      <c r="W351" t="s">
        <v>293</v>
      </c>
      <c r="X351" t="str">
        <f t="shared" si="43"/>
        <v/>
      </c>
      <c r="Y351" t="str">
        <f t="shared" si="44"/>
        <v>reinforced_road-</v>
      </c>
      <c r="Z351" t="str">
        <f t="shared" si="45"/>
        <v>wood-</v>
      </c>
      <c r="AA351" t="str">
        <f t="shared" si="46"/>
        <v>steel</v>
      </c>
      <c r="AB351" t="str">
        <f t="shared" si="47"/>
        <v>reinforced_road-wood-steel</v>
      </c>
      <c r="AE351" t="s">
        <v>1686</v>
      </c>
    </row>
    <row r="352" spans="1:31" x14ac:dyDescent="0.3">
      <c r="A352" t="s">
        <v>45</v>
      </c>
      <c r="B352" t="s">
        <v>48</v>
      </c>
      <c r="C352" t="s">
        <v>29</v>
      </c>
      <c r="D352" t="s">
        <v>30</v>
      </c>
      <c r="E352" s="16" t="s">
        <v>272</v>
      </c>
      <c r="F352" s="16">
        <v>3</v>
      </c>
      <c r="G352" t="s">
        <v>1525</v>
      </c>
      <c r="H352" t="s">
        <v>1658</v>
      </c>
      <c r="I352" t="s">
        <v>1567</v>
      </c>
      <c r="J352" t="s">
        <v>344</v>
      </c>
      <c r="L352" t="str">
        <f t="shared" si="41"/>
        <v>missing_section/right</v>
      </c>
      <c r="M352" t="str">
        <f t="shared" si="42"/>
        <v>other_shape + standard_truss</v>
      </c>
      <c r="N352" t="str">
        <f t="shared" si="40"/>
        <v>top_structure/rock_structure + 3anc</v>
      </c>
      <c r="O352" t="s">
        <v>1685</v>
      </c>
      <c r="R352" t="s">
        <v>1054</v>
      </c>
      <c r="S352" t="s">
        <v>292</v>
      </c>
      <c r="T352" t="s">
        <v>292</v>
      </c>
      <c r="U352" t="s">
        <v>292</v>
      </c>
      <c r="V352" t="s">
        <v>292</v>
      </c>
      <c r="W352" t="s">
        <v>293</v>
      </c>
      <c r="X352" t="str">
        <f t="shared" si="43"/>
        <v>road-</v>
      </c>
      <c r="Y352" t="str">
        <f t="shared" si="44"/>
        <v>reinforced_road-</v>
      </c>
      <c r="Z352" t="str">
        <f t="shared" si="45"/>
        <v>wood-</v>
      </c>
      <c r="AA352" t="str">
        <f t="shared" si="46"/>
        <v>steel</v>
      </c>
      <c r="AB352" t="str">
        <f t="shared" si="47"/>
        <v>road-reinforced_road-wood-steel</v>
      </c>
      <c r="AE352" t="s">
        <v>1685</v>
      </c>
    </row>
    <row r="353" spans="1:31" x14ac:dyDescent="0.3">
      <c r="A353" t="s">
        <v>45</v>
      </c>
      <c r="B353" t="s">
        <v>48</v>
      </c>
      <c r="C353" t="s">
        <v>29</v>
      </c>
      <c r="D353" t="s">
        <v>26</v>
      </c>
      <c r="E353" s="16" t="s">
        <v>273</v>
      </c>
      <c r="F353" s="16">
        <v>2</v>
      </c>
      <c r="G353" t="s">
        <v>1525</v>
      </c>
      <c r="H353" t="s">
        <v>1658</v>
      </c>
      <c r="I353" t="s">
        <v>1567</v>
      </c>
      <c r="J353" t="s">
        <v>1570</v>
      </c>
      <c r="L353" t="str">
        <f t="shared" si="41"/>
        <v>missing_section/right</v>
      </c>
      <c r="M353" t="str">
        <f t="shared" si="42"/>
        <v>other_shape + standard_truss/other</v>
      </c>
      <c r="N353" t="str">
        <f t="shared" si="40"/>
        <v>top_structure/rock_structure + 2anc</v>
      </c>
      <c r="O353" t="s">
        <v>1684</v>
      </c>
      <c r="R353" t="s">
        <v>1055</v>
      </c>
      <c r="S353" t="s">
        <v>292</v>
      </c>
      <c r="T353" t="s">
        <v>293</v>
      </c>
      <c r="U353" t="s">
        <v>292</v>
      </c>
      <c r="V353" t="s">
        <v>292</v>
      </c>
      <c r="W353" t="s">
        <v>293</v>
      </c>
      <c r="X353" t="str">
        <f t="shared" si="43"/>
        <v>road-</v>
      </c>
      <c r="Y353" t="str">
        <f t="shared" si="44"/>
        <v/>
      </c>
      <c r="Z353" t="str">
        <f t="shared" si="45"/>
        <v>wood-</v>
      </c>
      <c r="AA353" t="str">
        <f t="shared" si="46"/>
        <v>steel</v>
      </c>
      <c r="AB353" t="str">
        <f t="shared" si="47"/>
        <v>road-wood-steel</v>
      </c>
      <c r="AE353" t="s">
        <v>1684</v>
      </c>
    </row>
    <row r="354" spans="1:31" x14ac:dyDescent="0.3">
      <c r="A354" t="s">
        <v>45</v>
      </c>
      <c r="B354" t="s">
        <v>48</v>
      </c>
      <c r="C354" t="s">
        <v>29</v>
      </c>
      <c r="D354" t="s">
        <v>22</v>
      </c>
      <c r="E354" s="16" t="s">
        <v>272</v>
      </c>
      <c r="F354" s="16">
        <v>3</v>
      </c>
      <c r="G354" t="s">
        <v>1524</v>
      </c>
      <c r="H354" t="s">
        <v>1557</v>
      </c>
      <c r="I354" t="s">
        <v>1567</v>
      </c>
      <c r="J354" t="s">
        <v>1574</v>
      </c>
      <c r="L354" t="str">
        <f t="shared" si="41"/>
        <v>continuous/fully_connected</v>
      </c>
      <c r="M354" t="str">
        <f t="shared" si="42"/>
        <v>straight/inclined/arch + standard_truss/arch_truss</v>
      </c>
      <c r="N354" t="str">
        <f t="shared" si="40"/>
        <v>top_structure/rock_structure + 3anc</v>
      </c>
      <c r="O354" t="s">
        <v>1686</v>
      </c>
      <c r="R354" t="s">
        <v>1056</v>
      </c>
      <c r="S354" t="s">
        <v>293</v>
      </c>
      <c r="T354" t="s">
        <v>292</v>
      </c>
      <c r="U354" t="s">
        <v>292</v>
      </c>
      <c r="V354" t="s">
        <v>292</v>
      </c>
      <c r="W354" t="s">
        <v>293</v>
      </c>
      <c r="X354" t="str">
        <f t="shared" si="43"/>
        <v/>
      </c>
      <c r="Y354" t="str">
        <f t="shared" si="44"/>
        <v>reinforced_road-</v>
      </c>
      <c r="Z354" t="str">
        <f t="shared" si="45"/>
        <v>wood-</v>
      </c>
      <c r="AA354" t="str">
        <f t="shared" si="46"/>
        <v>steel</v>
      </c>
      <c r="AB354" t="str">
        <f t="shared" si="47"/>
        <v>reinforced_road-wood-steel</v>
      </c>
      <c r="AE354" t="s">
        <v>1686</v>
      </c>
    </row>
    <row r="355" spans="1:31" x14ac:dyDescent="0.3">
      <c r="A355" t="s">
        <v>45</v>
      </c>
      <c r="B355" t="s">
        <v>48</v>
      </c>
      <c r="C355" t="s">
        <v>29</v>
      </c>
      <c r="D355" t="s">
        <v>31</v>
      </c>
      <c r="E355" s="16" t="s">
        <v>272</v>
      </c>
      <c r="F355" s="16">
        <v>3</v>
      </c>
      <c r="G355" t="s">
        <v>1525</v>
      </c>
      <c r="H355" t="s">
        <v>1658</v>
      </c>
      <c r="I355" t="s">
        <v>1567</v>
      </c>
      <c r="J355" t="s">
        <v>344</v>
      </c>
      <c r="L355" t="str">
        <f t="shared" si="41"/>
        <v>missing_section/right</v>
      </c>
      <c r="M355" t="str">
        <f t="shared" si="42"/>
        <v>other_shape + standard_truss</v>
      </c>
      <c r="N355" t="str">
        <f t="shared" si="40"/>
        <v>top_structure/rock_structure + 3anc</v>
      </c>
      <c r="O355" t="s">
        <v>1685</v>
      </c>
      <c r="R355" t="s">
        <v>1057</v>
      </c>
      <c r="S355" t="s">
        <v>292</v>
      </c>
      <c r="T355" t="s">
        <v>292</v>
      </c>
      <c r="U355" t="s">
        <v>292</v>
      </c>
      <c r="V355" t="s">
        <v>292</v>
      </c>
      <c r="W355" t="s">
        <v>293</v>
      </c>
      <c r="X355" t="str">
        <f t="shared" si="43"/>
        <v>road-</v>
      </c>
      <c r="Y355" t="str">
        <f t="shared" si="44"/>
        <v>reinforced_road-</v>
      </c>
      <c r="Z355" t="str">
        <f t="shared" si="45"/>
        <v>wood-</v>
      </c>
      <c r="AA355" t="str">
        <f t="shared" si="46"/>
        <v>steel</v>
      </c>
      <c r="AB355" t="str">
        <f t="shared" si="47"/>
        <v>road-reinforced_road-wood-steel</v>
      </c>
      <c r="AE355" t="s">
        <v>1685</v>
      </c>
    </row>
    <row r="356" spans="1:31" x14ac:dyDescent="0.3">
      <c r="A356" t="s">
        <v>45</v>
      </c>
      <c r="B356" t="s">
        <v>48</v>
      </c>
      <c r="C356" t="s">
        <v>29</v>
      </c>
      <c r="D356" t="s">
        <v>27</v>
      </c>
      <c r="E356" s="16" t="s">
        <v>273</v>
      </c>
      <c r="F356" s="16">
        <v>2</v>
      </c>
      <c r="G356" t="s">
        <v>1525</v>
      </c>
      <c r="H356" t="s">
        <v>1658</v>
      </c>
      <c r="I356" t="s">
        <v>1567</v>
      </c>
      <c r="J356" t="s">
        <v>344</v>
      </c>
      <c r="L356" t="str">
        <f t="shared" si="41"/>
        <v>missing_section/right</v>
      </c>
      <c r="M356" t="str">
        <f t="shared" si="42"/>
        <v>other_shape + standard_truss</v>
      </c>
      <c r="N356" t="str">
        <f t="shared" si="40"/>
        <v>top_structure/rock_structure + 2anc</v>
      </c>
      <c r="O356" t="s">
        <v>1685</v>
      </c>
      <c r="R356" t="s">
        <v>1058</v>
      </c>
      <c r="S356" t="s">
        <v>292</v>
      </c>
      <c r="T356" t="s">
        <v>292</v>
      </c>
      <c r="U356" t="s">
        <v>292</v>
      </c>
      <c r="V356" t="s">
        <v>292</v>
      </c>
      <c r="W356" t="s">
        <v>293</v>
      </c>
      <c r="X356" t="str">
        <f t="shared" si="43"/>
        <v>road-</v>
      </c>
      <c r="Y356" t="str">
        <f t="shared" si="44"/>
        <v>reinforced_road-</v>
      </c>
      <c r="Z356" t="str">
        <f t="shared" si="45"/>
        <v>wood-</v>
      </c>
      <c r="AA356" t="str">
        <f t="shared" si="46"/>
        <v>steel</v>
      </c>
      <c r="AB356" t="str">
        <f t="shared" si="47"/>
        <v>road-reinforced_road-wood-steel</v>
      </c>
      <c r="AE356" t="s">
        <v>1685</v>
      </c>
    </row>
    <row r="357" spans="1:31" x14ac:dyDescent="0.3">
      <c r="A357" t="s">
        <v>45</v>
      </c>
      <c r="B357" t="s">
        <v>48</v>
      </c>
      <c r="C357" t="s">
        <v>29</v>
      </c>
      <c r="D357" t="s">
        <v>28</v>
      </c>
      <c r="E357" s="16" t="s">
        <v>272</v>
      </c>
      <c r="F357" s="16">
        <v>2</v>
      </c>
      <c r="G357" t="s">
        <v>1525</v>
      </c>
      <c r="H357" t="s">
        <v>1658</v>
      </c>
      <c r="I357" t="s">
        <v>1567</v>
      </c>
      <c r="J357" t="s">
        <v>344</v>
      </c>
      <c r="L357" t="str">
        <f t="shared" si="41"/>
        <v>missing_section/right</v>
      </c>
      <c r="M357" t="str">
        <f t="shared" si="42"/>
        <v>other_shape + standard_truss</v>
      </c>
      <c r="N357" t="str">
        <f t="shared" si="40"/>
        <v>top_structure/rock_structure + 2anc</v>
      </c>
      <c r="O357" t="s">
        <v>1685</v>
      </c>
      <c r="R357" t="s">
        <v>1059</v>
      </c>
      <c r="S357" t="s">
        <v>292</v>
      </c>
      <c r="T357" t="s">
        <v>292</v>
      </c>
      <c r="U357" t="s">
        <v>292</v>
      </c>
      <c r="V357" t="s">
        <v>292</v>
      </c>
      <c r="W357" t="s">
        <v>293</v>
      </c>
      <c r="X357" t="str">
        <f t="shared" si="43"/>
        <v>road-</v>
      </c>
      <c r="Y357" t="str">
        <f t="shared" si="44"/>
        <v>reinforced_road-</v>
      </c>
      <c r="Z357" t="str">
        <f t="shared" si="45"/>
        <v>wood-</v>
      </c>
      <c r="AA357" t="str">
        <f t="shared" si="46"/>
        <v>steel</v>
      </c>
      <c r="AB357" t="str">
        <f t="shared" si="47"/>
        <v>road-reinforced_road-wood-steel</v>
      </c>
      <c r="AE357" t="s">
        <v>1685</v>
      </c>
    </row>
    <row r="358" spans="1:31" x14ac:dyDescent="0.3">
      <c r="A358" t="s">
        <v>9</v>
      </c>
      <c r="B358" t="s">
        <v>56</v>
      </c>
      <c r="C358" t="s">
        <v>12</v>
      </c>
      <c r="D358" t="s">
        <v>14</v>
      </c>
      <c r="E358" s="16" t="s">
        <v>272</v>
      </c>
      <c r="F358" s="16">
        <v>2</v>
      </c>
      <c r="G358" t="s">
        <v>1525</v>
      </c>
      <c r="H358" t="s">
        <v>282</v>
      </c>
      <c r="I358" t="s">
        <v>1568</v>
      </c>
      <c r="J358" t="s">
        <v>344</v>
      </c>
      <c r="L358" t="str">
        <f t="shared" si="41"/>
        <v>missing_section/right</v>
      </c>
      <c r="M358" t="str">
        <f t="shared" si="42"/>
        <v>arch + standard_truss</v>
      </c>
      <c r="N358" t="str">
        <f t="shared" si="40"/>
        <v>bottom_structure/rock_structure + 2anc</v>
      </c>
      <c r="O358" t="s">
        <v>1693</v>
      </c>
      <c r="R358" s="38" t="s">
        <v>1060</v>
      </c>
      <c r="S358" s="38" t="s">
        <v>293</v>
      </c>
      <c r="T358" s="38" t="s">
        <v>292</v>
      </c>
      <c r="U358" s="38" t="s">
        <v>292</v>
      </c>
      <c r="V358" s="38" t="s">
        <v>293</v>
      </c>
      <c r="W358" s="38" t="s">
        <v>293</v>
      </c>
      <c r="X358" t="str">
        <f t="shared" si="43"/>
        <v/>
      </c>
      <c r="Y358" t="str">
        <f t="shared" si="44"/>
        <v>reinforced_road-</v>
      </c>
      <c r="Z358" t="str">
        <f t="shared" si="45"/>
        <v>wood-</v>
      </c>
      <c r="AA358" t="str">
        <f t="shared" si="46"/>
        <v/>
      </c>
      <c r="AB358" t="str">
        <f t="shared" si="47"/>
        <v>reinforced_road-wood-</v>
      </c>
      <c r="AE358" t="s">
        <v>1693</v>
      </c>
    </row>
    <row r="359" spans="1:31" x14ac:dyDescent="0.3">
      <c r="A359" t="s">
        <v>9</v>
      </c>
      <c r="B359" t="s">
        <v>56</v>
      </c>
      <c r="C359" t="s">
        <v>12</v>
      </c>
      <c r="D359" t="s">
        <v>15</v>
      </c>
      <c r="E359" s="16" t="s">
        <v>272</v>
      </c>
      <c r="F359" s="16">
        <v>3</v>
      </c>
      <c r="G359" t="s">
        <v>1524</v>
      </c>
      <c r="H359" t="s">
        <v>1544</v>
      </c>
      <c r="I359" t="s">
        <v>1566</v>
      </c>
      <c r="J359" t="s">
        <v>1620</v>
      </c>
      <c r="L359" t="str">
        <f t="shared" si="41"/>
        <v>continuous/fully_connected</v>
      </c>
      <c r="M359" t="str">
        <f t="shared" si="42"/>
        <v>inclined/platform/arch + standard_truss/square_truss</v>
      </c>
      <c r="N359" t="str">
        <f t="shared" si="40"/>
        <v>top_structure/bottom_structure/rock_structure + 3anc</v>
      </c>
      <c r="O359" t="s">
        <v>1693</v>
      </c>
      <c r="R359" t="s">
        <v>1061</v>
      </c>
      <c r="S359" t="s">
        <v>293</v>
      </c>
      <c r="T359" t="s">
        <v>292</v>
      </c>
      <c r="U359" t="s">
        <v>292</v>
      </c>
      <c r="V359" t="s">
        <v>293</v>
      </c>
      <c r="W359" t="s">
        <v>293</v>
      </c>
      <c r="X359" t="str">
        <f t="shared" si="43"/>
        <v/>
      </c>
      <c r="Y359" t="str">
        <f t="shared" si="44"/>
        <v>reinforced_road-</v>
      </c>
      <c r="Z359" t="str">
        <f t="shared" si="45"/>
        <v>wood-</v>
      </c>
      <c r="AA359" t="str">
        <f t="shared" si="46"/>
        <v/>
      </c>
      <c r="AB359" t="str">
        <f t="shared" si="47"/>
        <v>reinforced_road-wood-</v>
      </c>
      <c r="AE359" t="s">
        <v>1693</v>
      </c>
    </row>
    <row r="360" spans="1:31" x14ac:dyDescent="0.3">
      <c r="A360" t="s">
        <v>9</v>
      </c>
      <c r="B360" t="s">
        <v>56</v>
      </c>
      <c r="C360" t="s">
        <v>12</v>
      </c>
      <c r="D360" t="s">
        <v>11</v>
      </c>
      <c r="E360" s="16" t="s">
        <v>272</v>
      </c>
      <c r="F360" s="16">
        <v>2</v>
      </c>
      <c r="G360" t="s">
        <v>1525</v>
      </c>
      <c r="H360" t="s">
        <v>284</v>
      </c>
      <c r="I360" t="s">
        <v>1567</v>
      </c>
      <c r="J360" t="s">
        <v>345</v>
      </c>
      <c r="L360" t="str">
        <f t="shared" si="41"/>
        <v>missing_section/right</v>
      </c>
      <c r="M360" t="str">
        <f t="shared" si="42"/>
        <v>declined + arch_truss</v>
      </c>
      <c r="N360" t="str">
        <f t="shared" si="40"/>
        <v>top_structure/rock_structure + 2anc</v>
      </c>
      <c r="O360" t="s">
        <v>1692</v>
      </c>
      <c r="R360" t="s">
        <v>1062</v>
      </c>
      <c r="S360" t="s">
        <v>292</v>
      </c>
      <c r="T360" t="s">
        <v>293</v>
      </c>
      <c r="U360" t="s">
        <v>292</v>
      </c>
      <c r="V360" t="s">
        <v>293</v>
      </c>
      <c r="W360" t="s">
        <v>293</v>
      </c>
      <c r="X360" t="str">
        <f t="shared" si="43"/>
        <v>road-</v>
      </c>
      <c r="Y360" t="str">
        <f t="shared" si="44"/>
        <v/>
      </c>
      <c r="Z360" t="str">
        <f t="shared" si="45"/>
        <v>wood-</v>
      </c>
      <c r="AA360" t="str">
        <f t="shared" si="46"/>
        <v/>
      </c>
      <c r="AB360" t="str">
        <f t="shared" si="47"/>
        <v>road-wood-</v>
      </c>
      <c r="AE360" t="s">
        <v>1692</v>
      </c>
    </row>
    <row r="361" spans="1:31" x14ac:dyDescent="0.3">
      <c r="A361" t="s">
        <v>9</v>
      </c>
      <c r="B361" t="s">
        <v>56</v>
      </c>
      <c r="C361" t="s">
        <v>12</v>
      </c>
      <c r="D361" t="s">
        <v>16</v>
      </c>
      <c r="E361" s="16" t="s">
        <v>272</v>
      </c>
      <c r="F361" s="16">
        <v>3</v>
      </c>
      <c r="G361" t="s">
        <v>1524</v>
      </c>
      <c r="H361" t="s">
        <v>1544</v>
      </c>
      <c r="I361" t="s">
        <v>1566</v>
      </c>
      <c r="J361" t="s">
        <v>344</v>
      </c>
      <c r="L361" t="str">
        <f t="shared" si="41"/>
        <v>continuous/fully_connected</v>
      </c>
      <c r="M361" t="str">
        <f t="shared" si="42"/>
        <v>inclined/platform/arch + standard_truss</v>
      </c>
      <c r="N361" t="str">
        <f t="shared" si="40"/>
        <v>top_structure/bottom_structure/rock_structure + 3anc</v>
      </c>
      <c r="O361" t="s">
        <v>1686</v>
      </c>
      <c r="R361" t="s">
        <v>1063</v>
      </c>
      <c r="S361" t="s">
        <v>293</v>
      </c>
      <c r="T361" t="s">
        <v>292</v>
      </c>
      <c r="U361" t="s">
        <v>292</v>
      </c>
      <c r="V361" t="s">
        <v>292</v>
      </c>
      <c r="W361" t="s">
        <v>293</v>
      </c>
      <c r="X361" t="str">
        <f t="shared" si="43"/>
        <v/>
      </c>
      <c r="Y361" t="str">
        <f t="shared" si="44"/>
        <v>reinforced_road-</v>
      </c>
      <c r="Z361" t="str">
        <f t="shared" si="45"/>
        <v>wood-</v>
      </c>
      <c r="AA361" t="str">
        <f t="shared" si="46"/>
        <v>steel</v>
      </c>
      <c r="AB361" t="str">
        <f t="shared" si="47"/>
        <v>reinforced_road-wood-steel</v>
      </c>
      <c r="AE361" t="s">
        <v>1686</v>
      </c>
    </row>
    <row r="362" spans="1:31" x14ac:dyDescent="0.3">
      <c r="A362" t="s">
        <v>9</v>
      </c>
      <c r="B362" t="s">
        <v>56</v>
      </c>
      <c r="C362" t="s">
        <v>29</v>
      </c>
      <c r="D362" t="s">
        <v>23</v>
      </c>
      <c r="E362" s="16" t="s">
        <v>272</v>
      </c>
      <c r="F362" s="16">
        <v>2</v>
      </c>
      <c r="G362" t="s">
        <v>1524</v>
      </c>
      <c r="H362" t="s">
        <v>282</v>
      </c>
      <c r="I362" t="s">
        <v>342</v>
      </c>
      <c r="J362" t="s">
        <v>347</v>
      </c>
      <c r="L362" t="str">
        <f t="shared" si="41"/>
        <v>continuous/fully_connected</v>
      </c>
      <c r="M362" t="str">
        <f t="shared" si="42"/>
        <v>arch + other_truss</v>
      </c>
      <c r="N362" t="str">
        <f t="shared" si="40"/>
        <v>bottom_structure + 2anc</v>
      </c>
      <c r="O362" t="s">
        <v>1688</v>
      </c>
      <c r="R362" t="s">
        <v>1064</v>
      </c>
      <c r="S362" t="s">
        <v>293</v>
      </c>
      <c r="T362" t="s">
        <v>292</v>
      </c>
      <c r="U362" t="s">
        <v>293</v>
      </c>
      <c r="V362" t="s">
        <v>292</v>
      </c>
      <c r="W362" t="s">
        <v>293</v>
      </c>
      <c r="X362" t="str">
        <f t="shared" si="43"/>
        <v/>
      </c>
      <c r="Y362" t="str">
        <f t="shared" si="44"/>
        <v>reinforced_road-</v>
      </c>
      <c r="Z362" t="str">
        <f t="shared" si="45"/>
        <v/>
      </c>
      <c r="AA362" t="str">
        <f t="shared" si="46"/>
        <v>steel</v>
      </c>
      <c r="AB362" t="str">
        <f t="shared" si="47"/>
        <v>reinforced_road-steel</v>
      </c>
      <c r="AE362" t="s">
        <v>1688</v>
      </c>
    </row>
    <row r="363" spans="1:31" x14ac:dyDescent="0.3">
      <c r="A363" t="s">
        <v>9</v>
      </c>
      <c r="B363" t="s">
        <v>56</v>
      </c>
      <c r="C363" t="s">
        <v>29</v>
      </c>
      <c r="D363" t="s">
        <v>25</v>
      </c>
      <c r="E363" s="16" t="s">
        <v>272</v>
      </c>
      <c r="F363" s="16">
        <v>2</v>
      </c>
      <c r="G363" t="s">
        <v>1524</v>
      </c>
      <c r="H363" t="s">
        <v>282</v>
      </c>
      <c r="I363" t="s">
        <v>342</v>
      </c>
      <c r="J363" t="s">
        <v>347</v>
      </c>
      <c r="L363" t="str">
        <f t="shared" si="41"/>
        <v>continuous/fully_connected</v>
      </c>
      <c r="M363" t="str">
        <f t="shared" si="42"/>
        <v>arch + other_truss</v>
      </c>
      <c r="N363" t="str">
        <f t="shared" si="40"/>
        <v>bottom_structure + 2anc</v>
      </c>
      <c r="O363" t="s">
        <v>1688</v>
      </c>
      <c r="R363" t="s">
        <v>1065</v>
      </c>
      <c r="S363" t="s">
        <v>293</v>
      </c>
      <c r="T363" t="s">
        <v>292</v>
      </c>
      <c r="U363" t="s">
        <v>293</v>
      </c>
      <c r="V363" t="s">
        <v>292</v>
      </c>
      <c r="W363" t="s">
        <v>293</v>
      </c>
      <c r="X363" t="str">
        <f t="shared" si="43"/>
        <v/>
      </c>
      <c r="Y363" t="str">
        <f t="shared" si="44"/>
        <v>reinforced_road-</v>
      </c>
      <c r="Z363" t="str">
        <f t="shared" si="45"/>
        <v/>
      </c>
      <c r="AA363" t="str">
        <f t="shared" si="46"/>
        <v>steel</v>
      </c>
      <c r="AB363" t="str">
        <f t="shared" si="47"/>
        <v>reinforced_road-steel</v>
      </c>
      <c r="AE363" t="s">
        <v>1688</v>
      </c>
    </row>
    <row r="364" spans="1:31" x14ac:dyDescent="0.3">
      <c r="A364" t="s">
        <v>9</v>
      </c>
      <c r="B364" t="s">
        <v>56</v>
      </c>
      <c r="C364" t="s">
        <v>29</v>
      </c>
      <c r="D364" t="s">
        <v>24</v>
      </c>
      <c r="E364" s="16" t="s">
        <v>272</v>
      </c>
      <c r="F364" s="16">
        <v>2</v>
      </c>
      <c r="G364" t="s">
        <v>1524</v>
      </c>
      <c r="H364" t="s">
        <v>282</v>
      </c>
      <c r="I364" t="s">
        <v>342</v>
      </c>
      <c r="J364" t="s">
        <v>347</v>
      </c>
      <c r="L364" t="str">
        <f t="shared" si="41"/>
        <v>continuous/fully_connected</v>
      </c>
      <c r="M364" t="str">
        <f t="shared" si="42"/>
        <v>arch + other_truss</v>
      </c>
      <c r="N364" t="str">
        <f t="shared" si="40"/>
        <v>bottom_structure + 2anc</v>
      </c>
      <c r="O364" t="s">
        <v>1688</v>
      </c>
      <c r="R364" t="s">
        <v>1066</v>
      </c>
      <c r="S364" t="s">
        <v>293</v>
      </c>
      <c r="T364" t="s">
        <v>292</v>
      </c>
      <c r="U364" t="s">
        <v>293</v>
      </c>
      <c r="V364" t="s">
        <v>292</v>
      </c>
      <c r="W364" t="s">
        <v>293</v>
      </c>
      <c r="X364" t="str">
        <f t="shared" si="43"/>
        <v/>
      </c>
      <c r="Y364" t="str">
        <f t="shared" si="44"/>
        <v>reinforced_road-</v>
      </c>
      <c r="Z364" t="str">
        <f t="shared" si="45"/>
        <v/>
      </c>
      <c r="AA364" t="str">
        <f t="shared" si="46"/>
        <v>steel</v>
      </c>
      <c r="AB364" t="str">
        <f t="shared" si="47"/>
        <v>reinforced_road-steel</v>
      </c>
      <c r="AE364" t="s">
        <v>1688</v>
      </c>
    </row>
    <row r="365" spans="1:31" x14ac:dyDescent="0.3">
      <c r="A365" t="s">
        <v>9</v>
      </c>
      <c r="B365" t="s">
        <v>56</v>
      </c>
      <c r="C365" t="s">
        <v>29</v>
      </c>
      <c r="D365" t="s">
        <v>21</v>
      </c>
      <c r="E365" s="16" t="s">
        <v>272</v>
      </c>
      <c r="F365" s="16">
        <v>3</v>
      </c>
      <c r="G365" t="s">
        <v>1524</v>
      </c>
      <c r="H365" t="s">
        <v>1658</v>
      </c>
      <c r="I365" t="s">
        <v>1568</v>
      </c>
      <c r="J365" t="s">
        <v>1571</v>
      </c>
      <c r="L365" t="str">
        <f t="shared" si="41"/>
        <v>continuous/fully_connected</v>
      </c>
      <c r="M365" t="str">
        <f t="shared" si="42"/>
        <v>other_shape + standard_truss/other_truss</v>
      </c>
      <c r="N365" t="str">
        <f t="shared" si="40"/>
        <v>bottom_structure/rock_structure + 3anc</v>
      </c>
      <c r="O365" t="s">
        <v>1686</v>
      </c>
      <c r="R365" t="s">
        <v>1067</v>
      </c>
      <c r="S365" t="s">
        <v>293</v>
      </c>
      <c r="T365" t="s">
        <v>292</v>
      </c>
      <c r="U365" t="s">
        <v>292</v>
      </c>
      <c r="V365" t="s">
        <v>292</v>
      </c>
      <c r="W365" t="s">
        <v>293</v>
      </c>
      <c r="X365" t="str">
        <f t="shared" si="43"/>
        <v/>
      </c>
      <c r="Y365" t="str">
        <f t="shared" si="44"/>
        <v>reinforced_road-</v>
      </c>
      <c r="Z365" t="str">
        <f t="shared" si="45"/>
        <v>wood-</v>
      </c>
      <c r="AA365" t="str">
        <f t="shared" si="46"/>
        <v>steel</v>
      </c>
      <c r="AB365" t="str">
        <f t="shared" si="47"/>
        <v>reinforced_road-wood-steel</v>
      </c>
      <c r="AE365" t="s">
        <v>1686</v>
      </c>
    </row>
    <row r="366" spans="1:31" x14ac:dyDescent="0.3">
      <c r="A366" t="s">
        <v>9</v>
      </c>
      <c r="B366" t="s">
        <v>56</v>
      </c>
      <c r="C366" t="s">
        <v>29</v>
      </c>
      <c r="D366" t="s">
        <v>19</v>
      </c>
      <c r="E366" s="16" t="s">
        <v>272</v>
      </c>
      <c r="F366" s="16">
        <v>3</v>
      </c>
      <c r="G366" t="s">
        <v>1524</v>
      </c>
      <c r="H366" t="s">
        <v>1658</v>
      </c>
      <c r="I366" t="s">
        <v>1568</v>
      </c>
      <c r="J366" t="s">
        <v>1571</v>
      </c>
      <c r="L366" t="str">
        <f t="shared" si="41"/>
        <v>continuous/fully_connected</v>
      </c>
      <c r="M366" t="str">
        <f t="shared" si="42"/>
        <v>other_shape + standard_truss/other_truss</v>
      </c>
      <c r="N366" t="str">
        <f t="shared" si="40"/>
        <v>bottom_structure/rock_structure + 3anc</v>
      </c>
      <c r="O366" t="s">
        <v>1686</v>
      </c>
      <c r="R366" t="s">
        <v>1068</v>
      </c>
      <c r="S366" t="s">
        <v>293</v>
      </c>
      <c r="T366" t="s">
        <v>292</v>
      </c>
      <c r="U366" t="s">
        <v>292</v>
      </c>
      <c r="V366" t="s">
        <v>292</v>
      </c>
      <c r="W366" t="s">
        <v>293</v>
      </c>
      <c r="X366" t="str">
        <f t="shared" si="43"/>
        <v/>
      </c>
      <c r="Y366" t="str">
        <f t="shared" si="44"/>
        <v>reinforced_road-</v>
      </c>
      <c r="Z366" t="str">
        <f t="shared" si="45"/>
        <v>wood-</v>
      </c>
      <c r="AA366" t="str">
        <f t="shared" si="46"/>
        <v>steel</v>
      </c>
      <c r="AB366" t="str">
        <f t="shared" si="47"/>
        <v>reinforced_road-wood-steel</v>
      </c>
      <c r="AE366" t="s">
        <v>1686</v>
      </c>
    </row>
    <row r="367" spans="1:31" x14ac:dyDescent="0.3">
      <c r="A367" t="s">
        <v>9</v>
      </c>
      <c r="B367" t="s">
        <v>56</v>
      </c>
      <c r="C367" t="s">
        <v>29</v>
      </c>
      <c r="D367" t="s">
        <v>17</v>
      </c>
      <c r="E367" s="16" t="s">
        <v>272</v>
      </c>
      <c r="F367" s="16">
        <v>3</v>
      </c>
      <c r="G367" t="s">
        <v>1524</v>
      </c>
      <c r="H367" t="s">
        <v>1658</v>
      </c>
      <c r="I367" t="s">
        <v>1568</v>
      </c>
      <c r="J367" t="s">
        <v>1571</v>
      </c>
      <c r="L367" t="str">
        <f t="shared" si="41"/>
        <v>continuous/fully_connected</v>
      </c>
      <c r="M367" t="str">
        <f t="shared" si="42"/>
        <v>other_shape + standard_truss/other_truss</v>
      </c>
      <c r="N367" t="str">
        <f t="shared" si="40"/>
        <v>bottom_structure/rock_structure + 3anc</v>
      </c>
      <c r="O367" t="s">
        <v>1686</v>
      </c>
      <c r="R367" t="s">
        <v>1069</v>
      </c>
      <c r="S367" t="s">
        <v>293</v>
      </c>
      <c r="T367" t="s">
        <v>292</v>
      </c>
      <c r="U367" t="s">
        <v>292</v>
      </c>
      <c r="V367" t="s">
        <v>292</v>
      </c>
      <c r="W367" t="s">
        <v>293</v>
      </c>
      <c r="X367" t="str">
        <f t="shared" si="43"/>
        <v/>
      </c>
      <c r="Y367" t="str">
        <f t="shared" si="44"/>
        <v>reinforced_road-</v>
      </c>
      <c r="Z367" t="str">
        <f t="shared" si="45"/>
        <v>wood-</v>
      </c>
      <c r="AA367" t="str">
        <f t="shared" si="46"/>
        <v>steel</v>
      </c>
      <c r="AB367" t="str">
        <f t="shared" si="47"/>
        <v>reinforced_road-wood-steel</v>
      </c>
      <c r="AE367" t="s">
        <v>1686</v>
      </c>
    </row>
    <row r="368" spans="1:31" x14ac:dyDescent="0.3">
      <c r="A368" t="s">
        <v>9</v>
      </c>
      <c r="B368" t="s">
        <v>56</v>
      </c>
      <c r="C368" t="s">
        <v>29</v>
      </c>
      <c r="D368" t="s">
        <v>20</v>
      </c>
      <c r="E368" s="16" t="s">
        <v>272</v>
      </c>
      <c r="F368" s="16">
        <v>3</v>
      </c>
      <c r="G368" t="s">
        <v>1524</v>
      </c>
      <c r="H368" t="s">
        <v>1658</v>
      </c>
      <c r="I368" t="s">
        <v>1568</v>
      </c>
      <c r="J368" t="s">
        <v>1571</v>
      </c>
      <c r="L368" t="str">
        <f t="shared" si="41"/>
        <v>continuous/fully_connected</v>
      </c>
      <c r="M368" t="str">
        <f t="shared" si="42"/>
        <v>other_shape + standard_truss/other_truss</v>
      </c>
      <c r="N368" t="str">
        <f t="shared" si="40"/>
        <v>bottom_structure/rock_structure + 3anc</v>
      </c>
      <c r="O368" t="s">
        <v>1686</v>
      </c>
      <c r="R368" t="s">
        <v>1070</v>
      </c>
      <c r="S368" t="s">
        <v>293</v>
      </c>
      <c r="T368" t="s">
        <v>292</v>
      </c>
      <c r="U368" t="s">
        <v>292</v>
      </c>
      <c r="V368" t="s">
        <v>292</v>
      </c>
      <c r="W368" t="s">
        <v>293</v>
      </c>
      <c r="X368" t="str">
        <f t="shared" si="43"/>
        <v/>
      </c>
      <c r="Y368" t="str">
        <f t="shared" si="44"/>
        <v>reinforced_road-</v>
      </c>
      <c r="Z368" t="str">
        <f t="shared" si="45"/>
        <v>wood-</v>
      </c>
      <c r="AA368" t="str">
        <f t="shared" si="46"/>
        <v>steel</v>
      </c>
      <c r="AB368" t="str">
        <f t="shared" si="47"/>
        <v>reinforced_road-wood-steel</v>
      </c>
      <c r="AE368" t="s">
        <v>1686</v>
      </c>
    </row>
    <row r="369" spans="1:31" x14ac:dyDescent="0.3">
      <c r="A369" t="s">
        <v>9</v>
      </c>
      <c r="B369" t="s">
        <v>56</v>
      </c>
      <c r="C369" t="s">
        <v>29</v>
      </c>
      <c r="D369" t="s">
        <v>22</v>
      </c>
      <c r="E369" s="16" t="s">
        <v>272</v>
      </c>
      <c r="F369" s="16">
        <v>3</v>
      </c>
      <c r="G369" t="s">
        <v>1524</v>
      </c>
      <c r="H369" t="s">
        <v>1658</v>
      </c>
      <c r="I369" t="s">
        <v>1568</v>
      </c>
      <c r="J369" t="s">
        <v>1571</v>
      </c>
      <c r="L369" t="str">
        <f t="shared" si="41"/>
        <v>continuous/fully_connected</v>
      </c>
      <c r="M369" t="str">
        <f t="shared" si="42"/>
        <v>other_shape + standard_truss/other_truss</v>
      </c>
      <c r="N369" t="str">
        <f t="shared" si="40"/>
        <v>bottom_structure/rock_structure + 3anc</v>
      </c>
      <c r="O369" t="s">
        <v>1686</v>
      </c>
      <c r="R369" t="s">
        <v>1071</v>
      </c>
      <c r="S369" t="s">
        <v>293</v>
      </c>
      <c r="T369" t="s">
        <v>292</v>
      </c>
      <c r="U369" t="s">
        <v>292</v>
      </c>
      <c r="V369" t="s">
        <v>292</v>
      </c>
      <c r="W369" t="s">
        <v>293</v>
      </c>
      <c r="X369" t="str">
        <f t="shared" si="43"/>
        <v/>
      </c>
      <c r="Y369" t="str">
        <f t="shared" si="44"/>
        <v>reinforced_road-</v>
      </c>
      <c r="Z369" t="str">
        <f t="shared" si="45"/>
        <v>wood-</v>
      </c>
      <c r="AA369" t="str">
        <f t="shared" si="46"/>
        <v>steel</v>
      </c>
      <c r="AB369" t="str">
        <f t="shared" si="47"/>
        <v>reinforced_road-wood-steel</v>
      </c>
      <c r="AE369" t="s">
        <v>1686</v>
      </c>
    </row>
    <row r="370" spans="1:31" x14ac:dyDescent="0.3">
      <c r="A370" t="s">
        <v>9</v>
      </c>
      <c r="B370" t="s">
        <v>67</v>
      </c>
      <c r="C370" t="s">
        <v>12</v>
      </c>
      <c r="D370" t="s">
        <v>15</v>
      </c>
      <c r="E370" s="16" t="s">
        <v>272</v>
      </c>
      <c r="F370" s="16">
        <v>3</v>
      </c>
      <c r="G370" t="s">
        <v>1524</v>
      </c>
      <c r="H370" t="s">
        <v>1540</v>
      </c>
      <c r="I370" t="s">
        <v>1566</v>
      </c>
      <c r="J370" t="s">
        <v>344</v>
      </c>
      <c r="L370" t="str">
        <f t="shared" si="41"/>
        <v>continuous/fully_connected</v>
      </c>
      <c r="M370" t="str">
        <f t="shared" si="42"/>
        <v>inclined/arch + standard_truss</v>
      </c>
      <c r="N370" t="str">
        <f t="shared" si="40"/>
        <v>top_structure/bottom_structure/rock_structure + 3anc</v>
      </c>
      <c r="O370" t="s">
        <v>1684</v>
      </c>
      <c r="R370" t="s">
        <v>1072</v>
      </c>
      <c r="S370" t="s">
        <v>292</v>
      </c>
      <c r="T370" t="s">
        <v>293</v>
      </c>
      <c r="U370" t="s">
        <v>292</v>
      </c>
      <c r="V370" t="s">
        <v>292</v>
      </c>
      <c r="W370" t="s">
        <v>293</v>
      </c>
      <c r="X370" t="str">
        <f t="shared" si="43"/>
        <v>road-</v>
      </c>
      <c r="Y370" t="str">
        <f t="shared" si="44"/>
        <v/>
      </c>
      <c r="Z370" t="str">
        <f t="shared" si="45"/>
        <v>wood-</v>
      </c>
      <c r="AA370" t="str">
        <f t="shared" si="46"/>
        <v>steel</v>
      </c>
      <c r="AB370" t="str">
        <f t="shared" si="47"/>
        <v>road-wood-steel</v>
      </c>
      <c r="AE370" t="s">
        <v>1684</v>
      </c>
    </row>
    <row r="371" spans="1:31" x14ac:dyDescent="0.3">
      <c r="A371" t="s">
        <v>9</v>
      </c>
      <c r="B371" t="s">
        <v>67</v>
      </c>
      <c r="C371" t="s">
        <v>12</v>
      </c>
      <c r="D371" t="s">
        <v>14</v>
      </c>
      <c r="E371" s="16" t="s">
        <v>272</v>
      </c>
      <c r="F371" s="16">
        <v>3</v>
      </c>
      <c r="G371" t="s">
        <v>1524</v>
      </c>
      <c r="H371" t="s">
        <v>1540</v>
      </c>
      <c r="I371" t="s">
        <v>1566</v>
      </c>
      <c r="J371" t="s">
        <v>1623</v>
      </c>
      <c r="L371" t="str">
        <f t="shared" si="41"/>
        <v>continuous/fully_connected</v>
      </c>
      <c r="M371" t="str">
        <f t="shared" si="42"/>
        <v>inclined/arch + standard_truss/a-truss</v>
      </c>
      <c r="N371" t="str">
        <f t="shared" si="40"/>
        <v>top_structure/bottom_structure/rock_structure + 3anc</v>
      </c>
      <c r="O371" t="s">
        <v>1684</v>
      </c>
      <c r="R371" t="s">
        <v>1073</v>
      </c>
      <c r="S371" t="s">
        <v>292</v>
      </c>
      <c r="T371" t="s">
        <v>293</v>
      </c>
      <c r="U371" t="s">
        <v>292</v>
      </c>
      <c r="V371" t="s">
        <v>292</v>
      </c>
      <c r="W371" t="s">
        <v>293</v>
      </c>
      <c r="X371" t="str">
        <f t="shared" si="43"/>
        <v>road-</v>
      </c>
      <c r="Y371" t="str">
        <f t="shared" si="44"/>
        <v/>
      </c>
      <c r="Z371" t="str">
        <f t="shared" si="45"/>
        <v>wood-</v>
      </c>
      <c r="AA371" t="str">
        <f t="shared" si="46"/>
        <v>steel</v>
      </c>
      <c r="AB371" t="str">
        <f t="shared" si="47"/>
        <v>road-wood-steel</v>
      </c>
      <c r="AE371" t="s">
        <v>1684</v>
      </c>
    </row>
    <row r="372" spans="1:31" x14ac:dyDescent="0.3">
      <c r="A372" t="s">
        <v>9</v>
      </c>
      <c r="B372" t="s">
        <v>67</v>
      </c>
      <c r="C372" t="s">
        <v>12</v>
      </c>
      <c r="D372" t="s">
        <v>11</v>
      </c>
      <c r="E372" s="16" t="s">
        <v>272</v>
      </c>
      <c r="F372" s="16">
        <v>3</v>
      </c>
      <c r="G372" t="s">
        <v>1524</v>
      </c>
      <c r="H372" t="s">
        <v>1540</v>
      </c>
      <c r="I372" t="s">
        <v>1566</v>
      </c>
      <c r="J372" t="s">
        <v>1623</v>
      </c>
      <c r="L372" t="str">
        <f t="shared" si="41"/>
        <v>continuous/fully_connected</v>
      </c>
      <c r="M372" t="str">
        <f t="shared" si="42"/>
        <v>inclined/arch + standard_truss/a-truss</v>
      </c>
      <c r="N372" t="str">
        <f t="shared" si="40"/>
        <v>top_structure/bottom_structure/rock_structure + 3anc</v>
      </c>
      <c r="O372" t="s">
        <v>1687</v>
      </c>
      <c r="R372" t="s">
        <v>1074</v>
      </c>
      <c r="S372" t="s">
        <v>292</v>
      </c>
      <c r="T372" t="s">
        <v>293</v>
      </c>
      <c r="U372" t="s">
        <v>293</v>
      </c>
      <c r="V372" t="s">
        <v>292</v>
      </c>
      <c r="W372" t="s">
        <v>293</v>
      </c>
      <c r="X372" t="str">
        <f t="shared" si="43"/>
        <v>road-</v>
      </c>
      <c r="Y372" t="str">
        <f t="shared" si="44"/>
        <v/>
      </c>
      <c r="Z372" t="str">
        <f t="shared" si="45"/>
        <v/>
      </c>
      <c r="AA372" t="str">
        <f t="shared" si="46"/>
        <v>steel</v>
      </c>
      <c r="AB372" t="str">
        <f t="shared" si="47"/>
        <v>road-steel</v>
      </c>
      <c r="AE372" t="s">
        <v>1687</v>
      </c>
    </row>
    <row r="373" spans="1:31" x14ac:dyDescent="0.3">
      <c r="A373" t="s">
        <v>9</v>
      </c>
      <c r="B373" t="s">
        <v>67</v>
      </c>
      <c r="C373" t="s">
        <v>12</v>
      </c>
      <c r="D373" t="s">
        <v>19</v>
      </c>
      <c r="E373" s="16" t="s">
        <v>272</v>
      </c>
      <c r="F373" s="16">
        <v>3</v>
      </c>
      <c r="G373" t="s">
        <v>1524</v>
      </c>
      <c r="H373" t="s">
        <v>1650</v>
      </c>
      <c r="I373" t="s">
        <v>1566</v>
      </c>
      <c r="J373" t="s">
        <v>1623</v>
      </c>
      <c r="L373" t="str">
        <f t="shared" si="41"/>
        <v>continuous/fully_connected</v>
      </c>
      <c r="M373" t="str">
        <f t="shared" si="42"/>
        <v>inclined/inverted_arch/arch + standard_truss/a-truss</v>
      </c>
      <c r="N373" t="str">
        <f t="shared" si="40"/>
        <v>top_structure/bottom_structure/rock_structure + 3anc</v>
      </c>
      <c r="O373" t="s">
        <v>1684</v>
      </c>
      <c r="R373" t="s">
        <v>1075</v>
      </c>
      <c r="S373" t="s">
        <v>292</v>
      </c>
      <c r="T373" t="s">
        <v>293</v>
      </c>
      <c r="U373" t="s">
        <v>292</v>
      </c>
      <c r="V373" t="s">
        <v>292</v>
      </c>
      <c r="W373" t="s">
        <v>293</v>
      </c>
      <c r="X373" t="str">
        <f t="shared" si="43"/>
        <v>road-</v>
      </c>
      <c r="Y373" t="str">
        <f t="shared" si="44"/>
        <v/>
      </c>
      <c r="Z373" t="str">
        <f t="shared" si="45"/>
        <v>wood-</v>
      </c>
      <c r="AA373" t="str">
        <f t="shared" si="46"/>
        <v>steel</v>
      </c>
      <c r="AB373" t="str">
        <f t="shared" si="47"/>
        <v>road-wood-steel</v>
      </c>
      <c r="AE373" t="s">
        <v>1684</v>
      </c>
    </row>
    <row r="374" spans="1:31" x14ac:dyDescent="0.3">
      <c r="A374" t="s">
        <v>9</v>
      </c>
      <c r="B374" t="s">
        <v>67</v>
      </c>
      <c r="C374" t="s">
        <v>12</v>
      </c>
      <c r="D374" t="s">
        <v>17</v>
      </c>
      <c r="E374" s="16" t="s">
        <v>272</v>
      </c>
      <c r="F374" s="16">
        <v>3</v>
      </c>
      <c r="G374" t="s">
        <v>1524</v>
      </c>
      <c r="H374" t="s">
        <v>1540</v>
      </c>
      <c r="I374" t="s">
        <v>1566</v>
      </c>
      <c r="J374" t="s">
        <v>344</v>
      </c>
      <c r="L374" t="str">
        <f t="shared" si="41"/>
        <v>continuous/fully_connected</v>
      </c>
      <c r="M374" t="str">
        <f t="shared" si="42"/>
        <v>inclined/arch + standard_truss</v>
      </c>
      <c r="N374" t="str">
        <f t="shared" si="40"/>
        <v>top_structure/bottom_structure/rock_structure + 3anc</v>
      </c>
      <c r="O374" t="s">
        <v>1684</v>
      </c>
      <c r="R374" t="s">
        <v>1076</v>
      </c>
      <c r="S374" t="s">
        <v>292</v>
      </c>
      <c r="T374" t="s">
        <v>293</v>
      </c>
      <c r="U374" t="s">
        <v>292</v>
      </c>
      <c r="V374" t="s">
        <v>292</v>
      </c>
      <c r="W374" t="s">
        <v>293</v>
      </c>
      <c r="X374" t="str">
        <f t="shared" si="43"/>
        <v>road-</v>
      </c>
      <c r="Y374" t="str">
        <f t="shared" si="44"/>
        <v/>
      </c>
      <c r="Z374" t="str">
        <f t="shared" si="45"/>
        <v>wood-</v>
      </c>
      <c r="AA374" t="str">
        <f t="shared" si="46"/>
        <v>steel</v>
      </c>
      <c r="AB374" t="str">
        <f t="shared" si="47"/>
        <v>road-wood-steel</v>
      </c>
      <c r="AE374" t="s">
        <v>1684</v>
      </c>
    </row>
    <row r="375" spans="1:31" x14ac:dyDescent="0.3">
      <c r="A375" t="s">
        <v>9</v>
      </c>
      <c r="B375" t="s">
        <v>67</v>
      </c>
      <c r="C375" t="s">
        <v>12</v>
      </c>
      <c r="D375" t="s">
        <v>16</v>
      </c>
      <c r="E375" s="16" t="s">
        <v>272</v>
      </c>
      <c r="F375" s="16">
        <v>3</v>
      </c>
      <c r="G375" t="s">
        <v>1524</v>
      </c>
      <c r="H375" t="s">
        <v>1540</v>
      </c>
      <c r="I375" t="s">
        <v>1566</v>
      </c>
      <c r="J375" t="s">
        <v>344</v>
      </c>
      <c r="L375" t="str">
        <f t="shared" si="41"/>
        <v>continuous/fully_connected</v>
      </c>
      <c r="M375" t="str">
        <f t="shared" si="42"/>
        <v>inclined/arch + standard_truss</v>
      </c>
      <c r="N375" t="str">
        <f t="shared" si="40"/>
        <v>top_structure/bottom_structure/rock_structure + 3anc</v>
      </c>
      <c r="O375" t="s">
        <v>1684</v>
      </c>
      <c r="R375" t="s">
        <v>1077</v>
      </c>
      <c r="S375" t="s">
        <v>292</v>
      </c>
      <c r="T375" t="s">
        <v>293</v>
      </c>
      <c r="U375" t="s">
        <v>292</v>
      </c>
      <c r="V375" t="s">
        <v>292</v>
      </c>
      <c r="W375" t="s">
        <v>293</v>
      </c>
      <c r="X375" t="str">
        <f t="shared" si="43"/>
        <v>road-</v>
      </c>
      <c r="Y375" t="str">
        <f t="shared" si="44"/>
        <v/>
      </c>
      <c r="Z375" t="str">
        <f t="shared" si="45"/>
        <v>wood-</v>
      </c>
      <c r="AA375" t="str">
        <f t="shared" si="46"/>
        <v>steel</v>
      </c>
      <c r="AB375" t="str">
        <f t="shared" si="47"/>
        <v>road-wood-steel</v>
      </c>
      <c r="AE375" t="s">
        <v>1684</v>
      </c>
    </row>
    <row r="376" spans="1:31" x14ac:dyDescent="0.3">
      <c r="A376" t="s">
        <v>9</v>
      </c>
      <c r="B376" t="s">
        <v>67</v>
      </c>
      <c r="C376" t="s">
        <v>29</v>
      </c>
      <c r="D376" t="s">
        <v>23</v>
      </c>
      <c r="E376" s="16" t="s">
        <v>272</v>
      </c>
      <c r="F376" s="16">
        <v>3</v>
      </c>
      <c r="G376" t="s">
        <v>1524</v>
      </c>
      <c r="H376" t="s">
        <v>282</v>
      </c>
      <c r="I376" t="s">
        <v>1567</v>
      </c>
      <c r="J376" t="s">
        <v>345</v>
      </c>
      <c r="L376" t="str">
        <f t="shared" si="41"/>
        <v>continuous/fully_connected</v>
      </c>
      <c r="M376" t="str">
        <f t="shared" si="42"/>
        <v>arch + arch_truss</v>
      </c>
      <c r="N376" t="str">
        <f t="shared" si="40"/>
        <v>top_structure/rock_structure + 3anc</v>
      </c>
      <c r="O376" t="s">
        <v>1684</v>
      </c>
      <c r="R376" t="s">
        <v>1078</v>
      </c>
      <c r="S376" t="s">
        <v>292</v>
      </c>
      <c r="T376" t="s">
        <v>293</v>
      </c>
      <c r="U376" t="s">
        <v>292</v>
      </c>
      <c r="V376" t="s">
        <v>292</v>
      </c>
      <c r="W376" t="s">
        <v>293</v>
      </c>
      <c r="X376" t="str">
        <f t="shared" si="43"/>
        <v>road-</v>
      </c>
      <c r="Y376" t="str">
        <f t="shared" si="44"/>
        <v/>
      </c>
      <c r="Z376" t="str">
        <f t="shared" si="45"/>
        <v>wood-</v>
      </c>
      <c r="AA376" t="str">
        <f t="shared" si="46"/>
        <v>steel</v>
      </c>
      <c r="AB376" t="str">
        <f t="shared" si="47"/>
        <v>road-wood-steel</v>
      </c>
      <c r="AE376" t="s">
        <v>1684</v>
      </c>
    </row>
    <row r="377" spans="1:31" x14ac:dyDescent="0.3">
      <c r="A377" t="s">
        <v>9</v>
      </c>
      <c r="B377" t="s">
        <v>67</v>
      </c>
      <c r="C377" t="s">
        <v>29</v>
      </c>
      <c r="D377" t="s">
        <v>25</v>
      </c>
      <c r="E377" s="16" t="s">
        <v>272</v>
      </c>
      <c r="F377" s="16">
        <v>3</v>
      </c>
      <c r="G377" t="s">
        <v>1524</v>
      </c>
      <c r="H377" t="s">
        <v>282</v>
      </c>
      <c r="I377" t="s">
        <v>1567</v>
      </c>
      <c r="J377" t="s">
        <v>345</v>
      </c>
      <c r="L377" t="str">
        <f t="shared" si="41"/>
        <v>continuous/fully_connected</v>
      </c>
      <c r="M377" t="str">
        <f t="shared" si="42"/>
        <v>arch + arch_truss</v>
      </c>
      <c r="N377" t="str">
        <f t="shared" si="40"/>
        <v>top_structure/rock_structure + 3anc</v>
      </c>
      <c r="O377" t="s">
        <v>1684</v>
      </c>
      <c r="R377" t="s">
        <v>1079</v>
      </c>
      <c r="S377" t="s">
        <v>292</v>
      </c>
      <c r="T377" t="s">
        <v>293</v>
      </c>
      <c r="U377" t="s">
        <v>292</v>
      </c>
      <c r="V377" t="s">
        <v>292</v>
      </c>
      <c r="W377" t="s">
        <v>293</v>
      </c>
      <c r="X377" t="str">
        <f t="shared" si="43"/>
        <v>road-</v>
      </c>
      <c r="Y377" t="str">
        <f t="shared" si="44"/>
        <v/>
      </c>
      <c r="Z377" t="str">
        <f t="shared" si="45"/>
        <v>wood-</v>
      </c>
      <c r="AA377" t="str">
        <f t="shared" si="46"/>
        <v>steel</v>
      </c>
      <c r="AB377" t="str">
        <f t="shared" si="47"/>
        <v>road-wood-steel</v>
      </c>
      <c r="AE377" t="s">
        <v>1684</v>
      </c>
    </row>
    <row r="378" spans="1:31" x14ac:dyDescent="0.3">
      <c r="A378" t="s">
        <v>9</v>
      </c>
      <c r="B378" t="s">
        <v>67</v>
      </c>
      <c r="C378" t="s">
        <v>29</v>
      </c>
      <c r="D378" t="s">
        <v>24</v>
      </c>
      <c r="E378" s="16" t="s">
        <v>272</v>
      </c>
      <c r="F378" s="16">
        <v>3</v>
      </c>
      <c r="G378" t="s">
        <v>1524</v>
      </c>
      <c r="H378" t="s">
        <v>282</v>
      </c>
      <c r="I378" t="s">
        <v>1567</v>
      </c>
      <c r="J378" t="s">
        <v>345</v>
      </c>
      <c r="L378" t="str">
        <f t="shared" si="41"/>
        <v>continuous/fully_connected</v>
      </c>
      <c r="M378" t="str">
        <f t="shared" si="42"/>
        <v>arch + arch_truss</v>
      </c>
      <c r="N378" t="str">
        <f t="shared" si="40"/>
        <v>top_structure/rock_structure + 3anc</v>
      </c>
      <c r="O378" t="s">
        <v>1684</v>
      </c>
      <c r="R378" t="s">
        <v>1080</v>
      </c>
      <c r="S378" t="s">
        <v>292</v>
      </c>
      <c r="T378" t="s">
        <v>293</v>
      </c>
      <c r="U378" t="s">
        <v>292</v>
      </c>
      <c r="V378" t="s">
        <v>292</v>
      </c>
      <c r="W378" t="s">
        <v>293</v>
      </c>
      <c r="X378" t="str">
        <f t="shared" si="43"/>
        <v>road-</v>
      </c>
      <c r="Y378" t="str">
        <f t="shared" si="44"/>
        <v/>
      </c>
      <c r="Z378" t="str">
        <f t="shared" si="45"/>
        <v>wood-</v>
      </c>
      <c r="AA378" t="str">
        <f t="shared" si="46"/>
        <v>steel</v>
      </c>
      <c r="AB378" t="str">
        <f t="shared" si="47"/>
        <v>road-wood-steel</v>
      </c>
      <c r="AE378" t="s">
        <v>1684</v>
      </c>
    </row>
    <row r="379" spans="1:31" x14ac:dyDescent="0.3">
      <c r="A379" t="s">
        <v>9</v>
      </c>
      <c r="B379" t="s">
        <v>67</v>
      </c>
      <c r="C379" t="s">
        <v>29</v>
      </c>
      <c r="D379" t="s">
        <v>21</v>
      </c>
      <c r="E379" s="16" t="s">
        <v>272</v>
      </c>
      <c r="F379" s="16">
        <v>2</v>
      </c>
      <c r="G379" t="s">
        <v>1524</v>
      </c>
      <c r="H379" t="s">
        <v>282</v>
      </c>
      <c r="I379" t="s">
        <v>341</v>
      </c>
      <c r="J379" t="s">
        <v>345</v>
      </c>
      <c r="L379" t="str">
        <f t="shared" si="41"/>
        <v>continuous/fully_connected</v>
      </c>
      <c r="M379" t="str">
        <f t="shared" si="42"/>
        <v>arch + arch_truss</v>
      </c>
      <c r="N379" t="str">
        <f t="shared" si="40"/>
        <v>top_structure + 2anc</v>
      </c>
      <c r="O379" t="s">
        <v>1684</v>
      </c>
      <c r="R379" t="s">
        <v>1081</v>
      </c>
      <c r="S379" t="s">
        <v>292</v>
      </c>
      <c r="T379" t="s">
        <v>293</v>
      </c>
      <c r="U379" t="s">
        <v>292</v>
      </c>
      <c r="V379" t="s">
        <v>292</v>
      </c>
      <c r="W379" t="s">
        <v>293</v>
      </c>
      <c r="X379" t="str">
        <f t="shared" si="43"/>
        <v>road-</v>
      </c>
      <c r="Y379" t="str">
        <f t="shared" si="44"/>
        <v/>
      </c>
      <c r="Z379" t="str">
        <f t="shared" si="45"/>
        <v>wood-</v>
      </c>
      <c r="AA379" t="str">
        <f t="shared" si="46"/>
        <v>steel</v>
      </c>
      <c r="AB379" t="str">
        <f t="shared" si="47"/>
        <v>road-wood-steel</v>
      </c>
      <c r="AE379" t="s">
        <v>1684</v>
      </c>
    </row>
    <row r="380" spans="1:31" x14ac:dyDescent="0.3">
      <c r="A380" t="s">
        <v>9</v>
      </c>
      <c r="B380" t="s">
        <v>67</v>
      </c>
      <c r="C380" t="s">
        <v>29</v>
      </c>
      <c r="D380" t="s">
        <v>30</v>
      </c>
      <c r="E380" s="16" t="s">
        <v>272</v>
      </c>
      <c r="F380" s="16">
        <v>3</v>
      </c>
      <c r="G380" t="s">
        <v>1524</v>
      </c>
      <c r="H380" t="s">
        <v>282</v>
      </c>
      <c r="I380" t="s">
        <v>1566</v>
      </c>
      <c r="J380" t="s">
        <v>344</v>
      </c>
      <c r="L380" t="str">
        <f t="shared" si="41"/>
        <v>continuous/fully_connected</v>
      </c>
      <c r="M380" t="str">
        <f t="shared" si="42"/>
        <v>arch + standard_truss</v>
      </c>
      <c r="N380" t="str">
        <f t="shared" si="40"/>
        <v>top_structure/bottom_structure/rock_structure + 3anc</v>
      </c>
      <c r="O380" t="s">
        <v>1684</v>
      </c>
      <c r="R380" t="s">
        <v>1082</v>
      </c>
      <c r="S380" t="s">
        <v>292</v>
      </c>
      <c r="T380" t="s">
        <v>293</v>
      </c>
      <c r="U380" t="s">
        <v>292</v>
      </c>
      <c r="V380" t="s">
        <v>292</v>
      </c>
      <c r="W380" t="s">
        <v>293</v>
      </c>
      <c r="X380" t="str">
        <f t="shared" si="43"/>
        <v>road-</v>
      </c>
      <c r="Y380" t="str">
        <f t="shared" si="44"/>
        <v/>
      </c>
      <c r="Z380" t="str">
        <f t="shared" si="45"/>
        <v>wood-</v>
      </c>
      <c r="AA380" t="str">
        <f t="shared" si="46"/>
        <v>steel</v>
      </c>
      <c r="AB380" t="str">
        <f t="shared" si="47"/>
        <v>road-wood-steel</v>
      </c>
      <c r="AE380" t="s">
        <v>1684</v>
      </c>
    </row>
    <row r="381" spans="1:31" x14ac:dyDescent="0.3">
      <c r="A381" t="s">
        <v>9</v>
      </c>
      <c r="B381" t="s">
        <v>67</v>
      </c>
      <c r="C381" t="s">
        <v>29</v>
      </c>
      <c r="D381" t="s">
        <v>20</v>
      </c>
      <c r="E381" s="16" t="s">
        <v>272</v>
      </c>
      <c r="F381" s="16">
        <v>2</v>
      </c>
      <c r="G381" t="s">
        <v>1524</v>
      </c>
      <c r="H381" t="s">
        <v>282</v>
      </c>
      <c r="I381" t="s">
        <v>341</v>
      </c>
      <c r="J381" t="s">
        <v>345</v>
      </c>
      <c r="L381" t="str">
        <f t="shared" si="41"/>
        <v>continuous/fully_connected</v>
      </c>
      <c r="M381" t="str">
        <f t="shared" si="42"/>
        <v>arch + arch_truss</v>
      </c>
      <c r="N381" t="str">
        <f t="shared" si="40"/>
        <v>top_structure + 2anc</v>
      </c>
      <c r="O381" t="s">
        <v>1692</v>
      </c>
      <c r="R381" t="s">
        <v>1083</v>
      </c>
      <c r="S381" t="s">
        <v>292</v>
      </c>
      <c r="T381" t="s">
        <v>293</v>
      </c>
      <c r="U381" t="s">
        <v>292</v>
      </c>
      <c r="V381" t="s">
        <v>293</v>
      </c>
      <c r="W381" t="s">
        <v>293</v>
      </c>
      <c r="X381" t="str">
        <f t="shared" si="43"/>
        <v>road-</v>
      </c>
      <c r="Y381" t="str">
        <f t="shared" si="44"/>
        <v/>
      </c>
      <c r="Z381" t="str">
        <f t="shared" si="45"/>
        <v>wood-</v>
      </c>
      <c r="AA381" t="str">
        <f t="shared" si="46"/>
        <v/>
      </c>
      <c r="AB381" t="str">
        <f t="shared" si="47"/>
        <v>road-wood-</v>
      </c>
      <c r="AE381" t="s">
        <v>1692</v>
      </c>
    </row>
    <row r="382" spans="1:31" x14ac:dyDescent="0.3">
      <c r="A382" t="s">
        <v>9</v>
      </c>
      <c r="B382" t="s">
        <v>67</v>
      </c>
      <c r="C382" t="s">
        <v>29</v>
      </c>
      <c r="D382" t="s">
        <v>26</v>
      </c>
      <c r="E382" s="16" t="s">
        <v>272</v>
      </c>
      <c r="F382" s="16">
        <v>3</v>
      </c>
      <c r="G382" t="s">
        <v>1524</v>
      </c>
      <c r="H382" t="s">
        <v>282</v>
      </c>
      <c r="I382" t="s">
        <v>1567</v>
      </c>
      <c r="J382" t="s">
        <v>344</v>
      </c>
      <c r="L382" t="str">
        <f t="shared" si="41"/>
        <v>continuous/fully_connected</v>
      </c>
      <c r="M382" t="str">
        <f t="shared" si="42"/>
        <v>arch + standard_truss</v>
      </c>
      <c r="N382" t="str">
        <f t="shared" si="40"/>
        <v>top_structure/rock_structure + 3anc</v>
      </c>
      <c r="O382" t="s">
        <v>1684</v>
      </c>
      <c r="R382" t="s">
        <v>1084</v>
      </c>
      <c r="S382" t="s">
        <v>292</v>
      </c>
      <c r="T382" t="s">
        <v>293</v>
      </c>
      <c r="U382" t="s">
        <v>292</v>
      </c>
      <c r="V382" t="s">
        <v>292</v>
      </c>
      <c r="W382" t="s">
        <v>293</v>
      </c>
      <c r="X382" t="str">
        <f t="shared" si="43"/>
        <v>road-</v>
      </c>
      <c r="Y382" t="str">
        <f t="shared" si="44"/>
        <v/>
      </c>
      <c r="Z382" t="str">
        <f t="shared" si="45"/>
        <v>wood-</v>
      </c>
      <c r="AA382" t="str">
        <f t="shared" si="46"/>
        <v>steel</v>
      </c>
      <c r="AB382" t="str">
        <f t="shared" si="47"/>
        <v>road-wood-steel</v>
      </c>
      <c r="AE382" t="s">
        <v>1684</v>
      </c>
    </row>
    <row r="383" spans="1:31" x14ac:dyDescent="0.3">
      <c r="A383" t="s">
        <v>9</v>
      </c>
      <c r="B383" t="s">
        <v>67</v>
      </c>
      <c r="C383" t="s">
        <v>29</v>
      </c>
      <c r="D383" t="s">
        <v>22</v>
      </c>
      <c r="E383" s="16" t="s">
        <v>272</v>
      </c>
      <c r="F383" s="16">
        <v>2</v>
      </c>
      <c r="G383" t="s">
        <v>1524</v>
      </c>
      <c r="H383" t="s">
        <v>282</v>
      </c>
      <c r="I383" t="s">
        <v>341</v>
      </c>
      <c r="J383" t="s">
        <v>345</v>
      </c>
      <c r="L383" t="str">
        <f t="shared" si="41"/>
        <v>continuous/fully_connected</v>
      </c>
      <c r="M383" t="str">
        <f t="shared" si="42"/>
        <v>arch + arch_truss</v>
      </c>
      <c r="N383" t="str">
        <f t="shared" si="40"/>
        <v>top_structure + 2anc</v>
      </c>
      <c r="O383" t="s">
        <v>1687</v>
      </c>
      <c r="R383" t="s">
        <v>1085</v>
      </c>
      <c r="S383" t="s">
        <v>292</v>
      </c>
      <c r="T383" t="s">
        <v>293</v>
      </c>
      <c r="U383" t="s">
        <v>293</v>
      </c>
      <c r="V383" t="s">
        <v>292</v>
      </c>
      <c r="W383" t="s">
        <v>293</v>
      </c>
      <c r="X383" t="str">
        <f t="shared" si="43"/>
        <v>road-</v>
      </c>
      <c r="Y383" t="str">
        <f t="shared" si="44"/>
        <v/>
      </c>
      <c r="Z383" t="str">
        <f t="shared" si="45"/>
        <v/>
      </c>
      <c r="AA383" t="str">
        <f t="shared" si="46"/>
        <v>steel</v>
      </c>
      <c r="AB383" t="str">
        <f t="shared" si="47"/>
        <v>road-steel</v>
      </c>
      <c r="AE383" t="s">
        <v>1687</v>
      </c>
    </row>
    <row r="384" spans="1:31" x14ac:dyDescent="0.3">
      <c r="A384" t="s">
        <v>9</v>
      </c>
      <c r="B384" t="s">
        <v>67</v>
      </c>
      <c r="C384" t="s">
        <v>29</v>
      </c>
      <c r="D384" t="s">
        <v>31</v>
      </c>
      <c r="E384" s="16" t="s">
        <v>272</v>
      </c>
      <c r="F384" s="16">
        <v>3</v>
      </c>
      <c r="G384" t="s">
        <v>1524</v>
      </c>
      <c r="H384" t="s">
        <v>282</v>
      </c>
      <c r="I384" t="s">
        <v>1566</v>
      </c>
      <c r="J384" t="s">
        <v>344</v>
      </c>
      <c r="L384" t="str">
        <f t="shared" si="41"/>
        <v>continuous/fully_connected</v>
      </c>
      <c r="M384" t="str">
        <f t="shared" si="42"/>
        <v>arch + standard_truss</v>
      </c>
      <c r="N384" t="str">
        <f t="shared" si="40"/>
        <v>top_structure/bottom_structure/rock_structure + 3anc</v>
      </c>
      <c r="O384" t="s">
        <v>1684</v>
      </c>
      <c r="R384" t="s">
        <v>1086</v>
      </c>
      <c r="S384" t="s">
        <v>292</v>
      </c>
      <c r="T384" t="s">
        <v>293</v>
      </c>
      <c r="U384" t="s">
        <v>292</v>
      </c>
      <c r="V384" t="s">
        <v>292</v>
      </c>
      <c r="W384" t="s">
        <v>293</v>
      </c>
      <c r="X384" t="str">
        <f t="shared" si="43"/>
        <v>road-</v>
      </c>
      <c r="Y384" t="str">
        <f t="shared" si="44"/>
        <v/>
      </c>
      <c r="Z384" t="str">
        <f t="shared" si="45"/>
        <v>wood-</v>
      </c>
      <c r="AA384" t="str">
        <f t="shared" si="46"/>
        <v>steel</v>
      </c>
      <c r="AB384" t="str">
        <f t="shared" si="47"/>
        <v>road-wood-steel</v>
      </c>
      <c r="AE384" t="s">
        <v>1684</v>
      </c>
    </row>
    <row r="385" spans="1:31" x14ac:dyDescent="0.3">
      <c r="A385" t="s">
        <v>9</v>
      </c>
      <c r="B385" t="s">
        <v>67</v>
      </c>
      <c r="C385" t="s">
        <v>29</v>
      </c>
      <c r="D385" t="s">
        <v>27</v>
      </c>
      <c r="E385" s="16" t="s">
        <v>272</v>
      </c>
      <c r="F385" s="16">
        <v>3</v>
      </c>
      <c r="G385" t="s">
        <v>1524</v>
      </c>
      <c r="H385" t="s">
        <v>282</v>
      </c>
      <c r="I385" t="s">
        <v>1566</v>
      </c>
      <c r="J385" t="s">
        <v>1570</v>
      </c>
      <c r="L385" t="str">
        <f t="shared" si="41"/>
        <v>continuous/fully_connected</v>
      </c>
      <c r="M385" t="str">
        <f t="shared" si="42"/>
        <v>arch + standard_truss/other</v>
      </c>
      <c r="N385" t="str">
        <f t="shared" si="40"/>
        <v>top_structure/bottom_structure/rock_structure + 3anc</v>
      </c>
      <c r="O385" t="s">
        <v>1684</v>
      </c>
      <c r="R385" t="s">
        <v>1087</v>
      </c>
      <c r="S385" t="s">
        <v>292</v>
      </c>
      <c r="T385" t="s">
        <v>293</v>
      </c>
      <c r="U385" t="s">
        <v>292</v>
      </c>
      <c r="V385" t="s">
        <v>292</v>
      </c>
      <c r="W385" t="s">
        <v>293</v>
      </c>
      <c r="X385" t="str">
        <f t="shared" si="43"/>
        <v>road-</v>
      </c>
      <c r="Y385" t="str">
        <f t="shared" si="44"/>
        <v/>
      </c>
      <c r="Z385" t="str">
        <f t="shared" si="45"/>
        <v>wood-</v>
      </c>
      <c r="AA385" t="str">
        <f t="shared" si="46"/>
        <v>steel</v>
      </c>
      <c r="AB385" t="str">
        <f t="shared" si="47"/>
        <v>road-wood-steel</v>
      </c>
      <c r="AE385" t="s">
        <v>1684</v>
      </c>
    </row>
    <row r="386" spans="1:31" x14ac:dyDescent="0.3">
      <c r="A386" t="s">
        <v>9</v>
      </c>
      <c r="B386" t="s">
        <v>67</v>
      </c>
      <c r="C386" t="s">
        <v>29</v>
      </c>
      <c r="D386" t="s">
        <v>28</v>
      </c>
      <c r="E386" s="16" t="s">
        <v>272</v>
      </c>
      <c r="F386" s="16">
        <v>3</v>
      </c>
      <c r="G386" t="s">
        <v>1524</v>
      </c>
      <c r="H386" t="s">
        <v>282</v>
      </c>
      <c r="I386" t="s">
        <v>1566</v>
      </c>
      <c r="J386" t="s">
        <v>1570</v>
      </c>
      <c r="L386" t="str">
        <f t="shared" si="41"/>
        <v>continuous/fully_connected</v>
      </c>
      <c r="M386" t="str">
        <f t="shared" si="42"/>
        <v>arch + standard_truss/other</v>
      </c>
      <c r="N386" t="str">
        <f t="shared" ref="N386:N449" si="48">I386&amp;" + "&amp;F386&amp;"anc"</f>
        <v>top_structure/bottom_structure/rock_structure + 3anc</v>
      </c>
      <c r="O386" t="s">
        <v>1684</v>
      </c>
      <c r="R386" t="s">
        <v>1088</v>
      </c>
      <c r="S386" t="s">
        <v>292</v>
      </c>
      <c r="T386" t="s">
        <v>293</v>
      </c>
      <c r="U386" t="s">
        <v>292</v>
      </c>
      <c r="V386" t="s">
        <v>292</v>
      </c>
      <c r="W386" t="s">
        <v>293</v>
      </c>
      <c r="X386" t="str">
        <f t="shared" si="43"/>
        <v>road-</v>
      </c>
      <c r="Y386" t="str">
        <f t="shared" si="44"/>
        <v/>
      </c>
      <c r="Z386" t="str">
        <f t="shared" si="45"/>
        <v>wood-</v>
      </c>
      <c r="AA386" t="str">
        <f t="shared" si="46"/>
        <v>steel</v>
      </c>
      <c r="AB386" t="str">
        <f t="shared" si="47"/>
        <v>road-wood-steel</v>
      </c>
      <c r="AE386" t="s">
        <v>1684</v>
      </c>
    </row>
    <row r="387" spans="1:31" x14ac:dyDescent="0.3">
      <c r="A387" t="s">
        <v>43</v>
      </c>
      <c r="B387" t="s">
        <v>44</v>
      </c>
      <c r="C387" t="s">
        <v>12</v>
      </c>
      <c r="D387" t="s">
        <v>15</v>
      </c>
      <c r="E387" s="16" t="s">
        <v>272</v>
      </c>
      <c r="F387" s="16">
        <v>3</v>
      </c>
      <c r="G387" t="s">
        <v>1524</v>
      </c>
      <c r="H387" t="s">
        <v>1555</v>
      </c>
      <c r="I387" t="s">
        <v>1566</v>
      </c>
      <c r="J387" t="s">
        <v>1570</v>
      </c>
      <c r="L387" t="str">
        <f t="shared" ref="L387:L450" si="49">G387</f>
        <v>continuous/fully_connected</v>
      </c>
      <c r="M387" t="str">
        <f t="shared" ref="M387:M450" si="50">H387&amp;" + "&amp;J387</f>
        <v>straight/arch/declined + standard_truss/other</v>
      </c>
      <c r="N387" t="str">
        <f t="shared" si="48"/>
        <v>top_structure/bottom_structure/rock_structure + 3anc</v>
      </c>
      <c r="O387" t="s">
        <v>1687</v>
      </c>
      <c r="R387" t="s">
        <v>1089</v>
      </c>
      <c r="S387" t="s">
        <v>292</v>
      </c>
      <c r="T387" t="s">
        <v>293</v>
      </c>
      <c r="U387" t="s">
        <v>293</v>
      </c>
      <c r="V387" t="s">
        <v>292</v>
      </c>
      <c r="W387" t="s">
        <v>293</v>
      </c>
      <c r="X387" t="str">
        <f t="shared" ref="X387:X450" si="51">IF(S387="yes","road-","")</f>
        <v>road-</v>
      </c>
      <c r="Y387" t="str">
        <f t="shared" ref="Y387:Y450" si="52">IF(T387="yes","reinforced_road-","")</f>
        <v/>
      </c>
      <c r="Z387" t="str">
        <f t="shared" ref="Z387:Z450" si="53">IF(U387="yes","wood-","")</f>
        <v/>
      </c>
      <c r="AA387" t="str">
        <f t="shared" ref="AA387:AA450" si="54">IF(V387="yes","steel","")</f>
        <v>steel</v>
      </c>
      <c r="AB387" t="str">
        <f t="shared" ref="AB387:AB450" si="55">X387&amp;Y387&amp;Z387&amp;AA387</f>
        <v>road-steel</v>
      </c>
      <c r="AE387" t="s">
        <v>1687</v>
      </c>
    </row>
    <row r="388" spans="1:31" x14ac:dyDescent="0.3">
      <c r="A388" t="s">
        <v>43</v>
      </c>
      <c r="B388" t="s">
        <v>44</v>
      </c>
      <c r="C388" t="s">
        <v>12</v>
      </c>
      <c r="D388" t="s">
        <v>14</v>
      </c>
      <c r="E388" s="16" t="s">
        <v>272</v>
      </c>
      <c r="F388" s="16">
        <v>3</v>
      </c>
      <c r="G388" t="s">
        <v>1524</v>
      </c>
      <c r="H388" t="s">
        <v>1555</v>
      </c>
      <c r="I388" t="s">
        <v>1566</v>
      </c>
      <c r="J388" t="s">
        <v>1570</v>
      </c>
      <c r="L388" t="str">
        <f t="shared" si="49"/>
        <v>continuous/fully_connected</v>
      </c>
      <c r="M388" t="str">
        <f t="shared" si="50"/>
        <v>straight/arch/declined + standard_truss/other</v>
      </c>
      <c r="N388" t="str">
        <f t="shared" si="48"/>
        <v>top_structure/bottom_structure/rock_structure + 3anc</v>
      </c>
      <c r="O388" t="s">
        <v>1687</v>
      </c>
      <c r="R388" t="s">
        <v>1090</v>
      </c>
      <c r="S388" t="s">
        <v>292</v>
      </c>
      <c r="T388" t="s">
        <v>293</v>
      </c>
      <c r="U388" t="s">
        <v>293</v>
      </c>
      <c r="V388" t="s">
        <v>292</v>
      </c>
      <c r="W388" t="s">
        <v>293</v>
      </c>
      <c r="X388" t="str">
        <f t="shared" si="51"/>
        <v>road-</v>
      </c>
      <c r="Y388" t="str">
        <f t="shared" si="52"/>
        <v/>
      </c>
      <c r="Z388" t="str">
        <f t="shared" si="53"/>
        <v/>
      </c>
      <c r="AA388" t="str">
        <f t="shared" si="54"/>
        <v>steel</v>
      </c>
      <c r="AB388" t="str">
        <f t="shared" si="55"/>
        <v>road-steel</v>
      </c>
      <c r="AE388" t="s">
        <v>1687</v>
      </c>
    </row>
    <row r="389" spans="1:31" x14ac:dyDescent="0.3">
      <c r="A389" t="s">
        <v>43</v>
      </c>
      <c r="B389" t="s">
        <v>44</v>
      </c>
      <c r="C389" t="s">
        <v>12</v>
      </c>
      <c r="D389" t="s">
        <v>11</v>
      </c>
      <c r="E389" s="16" t="s">
        <v>272</v>
      </c>
      <c r="F389" s="16">
        <v>3</v>
      </c>
      <c r="G389" t="s">
        <v>1524</v>
      </c>
      <c r="H389" t="s">
        <v>1555</v>
      </c>
      <c r="I389" t="s">
        <v>343</v>
      </c>
      <c r="J389" t="s">
        <v>291</v>
      </c>
      <c r="L389" t="str">
        <f t="shared" si="49"/>
        <v>continuous/fully_connected</v>
      </c>
      <c r="M389" t="str">
        <f t="shared" si="50"/>
        <v>straight/arch/declined + other</v>
      </c>
      <c r="N389" t="str">
        <f t="shared" si="48"/>
        <v>rock_structure + 3anc</v>
      </c>
      <c r="O389" t="s">
        <v>1687</v>
      </c>
      <c r="R389" t="s">
        <v>1091</v>
      </c>
      <c r="S389" t="s">
        <v>292</v>
      </c>
      <c r="T389" t="s">
        <v>293</v>
      </c>
      <c r="U389" t="s">
        <v>293</v>
      </c>
      <c r="V389" t="s">
        <v>292</v>
      </c>
      <c r="W389" t="s">
        <v>293</v>
      </c>
      <c r="X389" t="str">
        <f t="shared" si="51"/>
        <v>road-</v>
      </c>
      <c r="Y389" t="str">
        <f t="shared" si="52"/>
        <v/>
      </c>
      <c r="Z389" t="str">
        <f t="shared" si="53"/>
        <v/>
      </c>
      <c r="AA389" t="str">
        <f t="shared" si="54"/>
        <v>steel</v>
      </c>
      <c r="AB389" t="str">
        <f t="shared" si="55"/>
        <v>road-steel</v>
      </c>
      <c r="AE389" t="s">
        <v>1687</v>
      </c>
    </row>
    <row r="390" spans="1:31" x14ac:dyDescent="0.3">
      <c r="A390" t="s">
        <v>43</v>
      </c>
      <c r="B390" t="s">
        <v>44</v>
      </c>
      <c r="C390" t="s">
        <v>12</v>
      </c>
      <c r="D390" t="s">
        <v>19</v>
      </c>
      <c r="E390" s="16" t="s">
        <v>272</v>
      </c>
      <c r="F390" s="16">
        <v>3</v>
      </c>
      <c r="G390" t="s">
        <v>1524</v>
      </c>
      <c r="H390" t="s">
        <v>282</v>
      </c>
      <c r="I390" t="s">
        <v>1567</v>
      </c>
      <c r="J390" t="s">
        <v>345</v>
      </c>
      <c r="L390" t="str">
        <f t="shared" si="49"/>
        <v>continuous/fully_connected</v>
      </c>
      <c r="M390" t="str">
        <f t="shared" si="50"/>
        <v>arch + arch_truss</v>
      </c>
      <c r="N390" t="str">
        <f t="shared" si="48"/>
        <v>top_structure/rock_structure + 3anc</v>
      </c>
      <c r="O390" t="s">
        <v>1686</v>
      </c>
      <c r="R390" t="s">
        <v>1092</v>
      </c>
      <c r="S390" t="s">
        <v>293</v>
      </c>
      <c r="T390" t="s">
        <v>292</v>
      </c>
      <c r="U390" t="s">
        <v>292</v>
      </c>
      <c r="V390" t="s">
        <v>292</v>
      </c>
      <c r="W390" t="s">
        <v>293</v>
      </c>
      <c r="X390" t="str">
        <f t="shared" si="51"/>
        <v/>
      </c>
      <c r="Y390" t="str">
        <f t="shared" si="52"/>
        <v>reinforced_road-</v>
      </c>
      <c r="Z390" t="str">
        <f t="shared" si="53"/>
        <v>wood-</v>
      </c>
      <c r="AA390" t="str">
        <f t="shared" si="54"/>
        <v>steel</v>
      </c>
      <c r="AB390" t="str">
        <f t="shared" si="55"/>
        <v>reinforced_road-wood-steel</v>
      </c>
      <c r="AE390" t="s">
        <v>1686</v>
      </c>
    </row>
    <row r="391" spans="1:31" x14ac:dyDescent="0.3">
      <c r="A391" t="s">
        <v>43</v>
      </c>
      <c r="B391" t="s">
        <v>44</v>
      </c>
      <c r="C391" t="s">
        <v>12</v>
      </c>
      <c r="D391" t="s">
        <v>17</v>
      </c>
      <c r="E391" s="16" t="s">
        <v>272</v>
      </c>
      <c r="F391" s="16">
        <v>3</v>
      </c>
      <c r="G391" t="s">
        <v>1524</v>
      </c>
      <c r="H391" t="s">
        <v>282</v>
      </c>
      <c r="I391" t="s">
        <v>343</v>
      </c>
      <c r="J391" t="s">
        <v>348</v>
      </c>
      <c r="L391" t="str">
        <f t="shared" si="49"/>
        <v>continuous/fully_connected</v>
      </c>
      <c r="M391" t="str">
        <f t="shared" si="50"/>
        <v>arch + no_truss</v>
      </c>
      <c r="N391" t="str">
        <f t="shared" si="48"/>
        <v>rock_structure + 3anc</v>
      </c>
      <c r="O391" t="s">
        <v>1688</v>
      </c>
      <c r="R391" t="s">
        <v>1093</v>
      </c>
      <c r="S391" t="s">
        <v>293</v>
      </c>
      <c r="T391" t="s">
        <v>292</v>
      </c>
      <c r="U391" t="s">
        <v>293</v>
      </c>
      <c r="V391" t="s">
        <v>292</v>
      </c>
      <c r="W391" t="s">
        <v>293</v>
      </c>
      <c r="X391" t="str">
        <f t="shared" si="51"/>
        <v/>
      </c>
      <c r="Y391" t="str">
        <f t="shared" si="52"/>
        <v>reinforced_road-</v>
      </c>
      <c r="Z391" t="str">
        <f t="shared" si="53"/>
        <v/>
      </c>
      <c r="AA391" t="str">
        <f t="shared" si="54"/>
        <v>steel</v>
      </c>
      <c r="AB391" t="str">
        <f t="shared" si="55"/>
        <v>reinforced_road-steel</v>
      </c>
      <c r="AE391" t="s">
        <v>1688</v>
      </c>
    </row>
    <row r="392" spans="1:31" x14ac:dyDescent="0.3">
      <c r="A392" t="s">
        <v>43</v>
      </c>
      <c r="B392" t="s">
        <v>44</v>
      </c>
      <c r="C392" t="s">
        <v>12</v>
      </c>
      <c r="D392" t="s">
        <v>16</v>
      </c>
      <c r="E392" s="16" t="s">
        <v>272</v>
      </c>
      <c r="F392" s="16">
        <v>3</v>
      </c>
      <c r="G392" t="s">
        <v>1524</v>
      </c>
      <c r="H392" t="s">
        <v>1555</v>
      </c>
      <c r="I392" t="s">
        <v>1567</v>
      </c>
      <c r="J392" t="s">
        <v>344</v>
      </c>
      <c r="L392" t="str">
        <f t="shared" si="49"/>
        <v>continuous/fully_connected</v>
      </c>
      <c r="M392" t="str">
        <f t="shared" si="50"/>
        <v>straight/arch/declined + standard_truss</v>
      </c>
      <c r="N392" t="str">
        <f t="shared" si="48"/>
        <v>top_structure/rock_structure + 3anc</v>
      </c>
      <c r="O392" t="s">
        <v>1686</v>
      </c>
      <c r="R392" t="s">
        <v>1094</v>
      </c>
      <c r="S392" t="s">
        <v>293</v>
      </c>
      <c r="T392" t="s">
        <v>292</v>
      </c>
      <c r="U392" t="s">
        <v>292</v>
      </c>
      <c r="V392" t="s">
        <v>292</v>
      </c>
      <c r="W392" t="s">
        <v>293</v>
      </c>
      <c r="X392" t="str">
        <f t="shared" si="51"/>
        <v/>
      </c>
      <c r="Y392" t="str">
        <f t="shared" si="52"/>
        <v>reinforced_road-</v>
      </c>
      <c r="Z392" t="str">
        <f t="shared" si="53"/>
        <v>wood-</v>
      </c>
      <c r="AA392" t="str">
        <f t="shared" si="54"/>
        <v>steel</v>
      </c>
      <c r="AB392" t="str">
        <f t="shared" si="55"/>
        <v>reinforced_road-wood-steel</v>
      </c>
      <c r="AE392" t="s">
        <v>1686</v>
      </c>
    </row>
    <row r="393" spans="1:31" x14ac:dyDescent="0.3">
      <c r="A393" t="s">
        <v>43</v>
      </c>
      <c r="B393" t="s">
        <v>44</v>
      </c>
      <c r="C393" t="s">
        <v>12</v>
      </c>
      <c r="D393" t="s">
        <v>20</v>
      </c>
      <c r="E393" s="16" t="s">
        <v>272</v>
      </c>
      <c r="F393" s="16">
        <v>3</v>
      </c>
      <c r="G393" t="s">
        <v>1524</v>
      </c>
      <c r="H393" t="s">
        <v>282</v>
      </c>
      <c r="I393" t="s">
        <v>1567</v>
      </c>
      <c r="J393" t="s">
        <v>345</v>
      </c>
      <c r="L393" t="str">
        <f t="shared" si="49"/>
        <v>continuous/fully_connected</v>
      </c>
      <c r="M393" t="str">
        <f t="shared" si="50"/>
        <v>arch + arch_truss</v>
      </c>
      <c r="N393" t="str">
        <f t="shared" si="48"/>
        <v>top_structure/rock_structure + 3anc</v>
      </c>
      <c r="O393" t="s">
        <v>1686</v>
      </c>
      <c r="R393" t="s">
        <v>1095</v>
      </c>
      <c r="S393" t="s">
        <v>293</v>
      </c>
      <c r="T393" t="s">
        <v>292</v>
      </c>
      <c r="U393" t="s">
        <v>292</v>
      </c>
      <c r="V393" t="s">
        <v>292</v>
      </c>
      <c r="W393" t="s">
        <v>293</v>
      </c>
      <c r="X393" t="str">
        <f t="shared" si="51"/>
        <v/>
      </c>
      <c r="Y393" t="str">
        <f t="shared" si="52"/>
        <v>reinforced_road-</v>
      </c>
      <c r="Z393" t="str">
        <f t="shared" si="53"/>
        <v>wood-</v>
      </c>
      <c r="AA393" t="str">
        <f t="shared" si="54"/>
        <v>steel</v>
      </c>
      <c r="AB393" t="str">
        <f t="shared" si="55"/>
        <v>reinforced_road-wood-steel</v>
      </c>
      <c r="AE393" t="s">
        <v>1686</v>
      </c>
    </row>
    <row r="394" spans="1:31" x14ac:dyDescent="0.3">
      <c r="A394" t="s">
        <v>43</v>
      </c>
      <c r="B394" t="s">
        <v>44</v>
      </c>
      <c r="C394" t="s">
        <v>29</v>
      </c>
      <c r="D394" t="s">
        <v>23</v>
      </c>
      <c r="E394" s="16" t="s">
        <v>272</v>
      </c>
      <c r="F394" s="16">
        <v>3</v>
      </c>
      <c r="G394" t="s">
        <v>1524</v>
      </c>
      <c r="H394" t="s">
        <v>282</v>
      </c>
      <c r="I394" t="s">
        <v>1566</v>
      </c>
      <c r="J394" t="s">
        <v>1574</v>
      </c>
      <c r="L394" t="str">
        <f t="shared" si="49"/>
        <v>continuous/fully_connected</v>
      </c>
      <c r="M394" t="str">
        <f t="shared" si="50"/>
        <v>arch + standard_truss/arch_truss</v>
      </c>
      <c r="N394" t="str">
        <f t="shared" si="48"/>
        <v>top_structure/bottom_structure/rock_structure + 3anc</v>
      </c>
      <c r="O394" t="s">
        <v>1684</v>
      </c>
      <c r="R394" t="s">
        <v>1096</v>
      </c>
      <c r="S394" t="s">
        <v>292</v>
      </c>
      <c r="T394" t="s">
        <v>293</v>
      </c>
      <c r="U394" t="s">
        <v>292</v>
      </c>
      <c r="V394" t="s">
        <v>292</v>
      </c>
      <c r="W394" t="s">
        <v>293</v>
      </c>
      <c r="X394" t="str">
        <f t="shared" si="51"/>
        <v>road-</v>
      </c>
      <c r="Y394" t="str">
        <f t="shared" si="52"/>
        <v/>
      </c>
      <c r="Z394" t="str">
        <f t="shared" si="53"/>
        <v>wood-</v>
      </c>
      <c r="AA394" t="str">
        <f t="shared" si="54"/>
        <v>steel</v>
      </c>
      <c r="AB394" t="str">
        <f t="shared" si="55"/>
        <v>road-wood-steel</v>
      </c>
      <c r="AE394" t="s">
        <v>1684</v>
      </c>
    </row>
    <row r="395" spans="1:31" x14ac:dyDescent="0.3">
      <c r="A395" t="s">
        <v>43</v>
      </c>
      <c r="B395" t="s">
        <v>44</v>
      </c>
      <c r="C395" t="s">
        <v>29</v>
      </c>
      <c r="D395" t="s">
        <v>25</v>
      </c>
      <c r="E395" s="16" t="s">
        <v>272</v>
      </c>
      <c r="F395" s="16">
        <v>3</v>
      </c>
      <c r="G395" t="s">
        <v>1524</v>
      </c>
      <c r="H395" t="s">
        <v>282</v>
      </c>
      <c r="I395" t="s">
        <v>1566</v>
      </c>
      <c r="J395" t="s">
        <v>344</v>
      </c>
      <c r="L395" t="str">
        <f t="shared" si="49"/>
        <v>continuous/fully_connected</v>
      </c>
      <c r="M395" t="str">
        <f t="shared" si="50"/>
        <v>arch + standard_truss</v>
      </c>
      <c r="N395" t="str">
        <f t="shared" si="48"/>
        <v>top_structure/bottom_structure/rock_structure + 3anc</v>
      </c>
      <c r="O395" t="s">
        <v>1686</v>
      </c>
      <c r="R395" t="s">
        <v>1097</v>
      </c>
      <c r="S395" t="s">
        <v>293</v>
      </c>
      <c r="T395" t="s">
        <v>292</v>
      </c>
      <c r="U395" t="s">
        <v>292</v>
      </c>
      <c r="V395" t="s">
        <v>292</v>
      </c>
      <c r="W395" t="s">
        <v>293</v>
      </c>
      <c r="X395" t="str">
        <f t="shared" si="51"/>
        <v/>
      </c>
      <c r="Y395" t="str">
        <f t="shared" si="52"/>
        <v>reinforced_road-</v>
      </c>
      <c r="Z395" t="str">
        <f t="shared" si="53"/>
        <v>wood-</v>
      </c>
      <c r="AA395" t="str">
        <f t="shared" si="54"/>
        <v>steel</v>
      </c>
      <c r="AB395" t="str">
        <f t="shared" si="55"/>
        <v>reinforced_road-wood-steel</v>
      </c>
      <c r="AE395" t="s">
        <v>1686</v>
      </c>
    </row>
    <row r="396" spans="1:31" x14ac:dyDescent="0.3">
      <c r="A396" t="s">
        <v>43</v>
      </c>
      <c r="B396" t="s">
        <v>44</v>
      </c>
      <c r="C396" t="s">
        <v>29</v>
      </c>
      <c r="D396" t="s">
        <v>24</v>
      </c>
      <c r="E396" s="16" t="s">
        <v>272</v>
      </c>
      <c r="F396" s="16">
        <v>3</v>
      </c>
      <c r="G396" t="s">
        <v>1524</v>
      </c>
      <c r="H396" t="s">
        <v>1551</v>
      </c>
      <c r="I396" t="s">
        <v>1567</v>
      </c>
      <c r="J396" t="s">
        <v>344</v>
      </c>
      <c r="L396" t="str">
        <f t="shared" si="49"/>
        <v>continuous/fully_connected</v>
      </c>
      <c r="M396" t="str">
        <f t="shared" si="50"/>
        <v>inverted_arch/s-shape/arch + standard_truss</v>
      </c>
      <c r="N396" t="str">
        <f t="shared" si="48"/>
        <v>top_structure/rock_structure + 3anc</v>
      </c>
      <c r="O396" t="s">
        <v>1692</v>
      </c>
      <c r="R396" t="s">
        <v>1098</v>
      </c>
      <c r="S396" t="s">
        <v>292</v>
      </c>
      <c r="T396" t="s">
        <v>293</v>
      </c>
      <c r="U396" t="s">
        <v>292</v>
      </c>
      <c r="V396" t="s">
        <v>293</v>
      </c>
      <c r="W396" t="s">
        <v>293</v>
      </c>
      <c r="X396" t="str">
        <f t="shared" si="51"/>
        <v>road-</v>
      </c>
      <c r="Y396" t="str">
        <f t="shared" si="52"/>
        <v/>
      </c>
      <c r="Z396" t="str">
        <f t="shared" si="53"/>
        <v>wood-</v>
      </c>
      <c r="AA396" t="str">
        <f t="shared" si="54"/>
        <v/>
      </c>
      <c r="AB396" t="str">
        <f t="shared" si="55"/>
        <v>road-wood-</v>
      </c>
      <c r="AE396" t="s">
        <v>1692</v>
      </c>
    </row>
    <row r="397" spans="1:31" x14ac:dyDescent="0.3">
      <c r="A397" t="s">
        <v>43</v>
      </c>
      <c r="B397" t="s">
        <v>44</v>
      </c>
      <c r="C397" t="s">
        <v>29</v>
      </c>
      <c r="D397" t="s">
        <v>21</v>
      </c>
      <c r="E397" s="16" t="s">
        <v>272</v>
      </c>
      <c r="F397" s="16">
        <v>2</v>
      </c>
      <c r="G397" t="s">
        <v>1524</v>
      </c>
      <c r="H397" t="s">
        <v>282</v>
      </c>
      <c r="I397" t="s">
        <v>341</v>
      </c>
      <c r="J397" t="s">
        <v>345</v>
      </c>
      <c r="L397" t="str">
        <f t="shared" si="49"/>
        <v>continuous/fully_connected</v>
      </c>
      <c r="M397" t="str">
        <f t="shared" si="50"/>
        <v>arch + arch_truss</v>
      </c>
      <c r="N397" t="str">
        <f t="shared" si="48"/>
        <v>top_structure + 2anc</v>
      </c>
      <c r="O397" t="s">
        <v>1692</v>
      </c>
      <c r="R397" t="s">
        <v>1099</v>
      </c>
      <c r="S397" t="s">
        <v>292</v>
      </c>
      <c r="T397" t="s">
        <v>293</v>
      </c>
      <c r="U397" t="s">
        <v>292</v>
      </c>
      <c r="V397" t="s">
        <v>293</v>
      </c>
      <c r="W397" t="s">
        <v>293</v>
      </c>
      <c r="X397" t="str">
        <f t="shared" si="51"/>
        <v>road-</v>
      </c>
      <c r="Y397" t="str">
        <f t="shared" si="52"/>
        <v/>
      </c>
      <c r="Z397" t="str">
        <f t="shared" si="53"/>
        <v>wood-</v>
      </c>
      <c r="AA397" t="str">
        <f t="shared" si="54"/>
        <v/>
      </c>
      <c r="AB397" t="str">
        <f t="shared" si="55"/>
        <v>road-wood-</v>
      </c>
      <c r="AE397" t="s">
        <v>1692</v>
      </c>
    </row>
    <row r="398" spans="1:31" x14ac:dyDescent="0.3">
      <c r="A398" t="s">
        <v>43</v>
      </c>
      <c r="B398" t="s">
        <v>44</v>
      </c>
      <c r="C398" t="s">
        <v>29</v>
      </c>
      <c r="D398" t="s">
        <v>22</v>
      </c>
      <c r="E398" s="16" t="s">
        <v>272</v>
      </c>
      <c r="F398" s="16">
        <v>3</v>
      </c>
      <c r="G398" t="s">
        <v>1524</v>
      </c>
      <c r="H398" t="s">
        <v>282</v>
      </c>
      <c r="I398" t="s">
        <v>1567</v>
      </c>
      <c r="J398" t="s">
        <v>345</v>
      </c>
      <c r="L398" t="str">
        <f t="shared" si="49"/>
        <v>continuous/fully_connected</v>
      </c>
      <c r="M398" t="str">
        <f t="shared" si="50"/>
        <v>arch + arch_truss</v>
      </c>
      <c r="N398" t="str">
        <f t="shared" si="48"/>
        <v>top_structure/rock_structure + 3anc</v>
      </c>
      <c r="O398" t="s">
        <v>1684</v>
      </c>
      <c r="R398" t="s">
        <v>1100</v>
      </c>
      <c r="S398" t="s">
        <v>292</v>
      </c>
      <c r="T398" t="s">
        <v>293</v>
      </c>
      <c r="U398" t="s">
        <v>292</v>
      </c>
      <c r="V398" t="s">
        <v>292</v>
      </c>
      <c r="W398" t="s">
        <v>293</v>
      </c>
      <c r="X398" t="str">
        <f t="shared" si="51"/>
        <v>road-</v>
      </c>
      <c r="Y398" t="str">
        <f t="shared" si="52"/>
        <v/>
      </c>
      <c r="Z398" t="str">
        <f t="shared" si="53"/>
        <v>wood-</v>
      </c>
      <c r="AA398" t="str">
        <f t="shared" si="54"/>
        <v>steel</v>
      </c>
      <c r="AB398" t="str">
        <f t="shared" si="55"/>
        <v>road-wood-steel</v>
      </c>
      <c r="AE398" t="s">
        <v>1684</v>
      </c>
    </row>
    <row r="399" spans="1:31" x14ac:dyDescent="0.3">
      <c r="A399" t="s">
        <v>45</v>
      </c>
      <c r="B399" t="s">
        <v>75</v>
      </c>
      <c r="C399" t="s">
        <v>12</v>
      </c>
      <c r="D399" t="s">
        <v>15</v>
      </c>
      <c r="E399" s="16" t="s">
        <v>272</v>
      </c>
      <c r="F399" s="16">
        <v>2</v>
      </c>
      <c r="G399" t="s">
        <v>1524</v>
      </c>
      <c r="H399" t="s">
        <v>1547</v>
      </c>
      <c r="I399" t="s">
        <v>342</v>
      </c>
      <c r="J399" t="s">
        <v>344</v>
      </c>
      <c r="L399" t="str">
        <f t="shared" si="49"/>
        <v>continuous/fully_connected</v>
      </c>
      <c r="M399" t="str">
        <f t="shared" si="50"/>
        <v>inclined/straight/declined + standard_truss</v>
      </c>
      <c r="N399" t="str">
        <f t="shared" si="48"/>
        <v>bottom_structure + 2anc</v>
      </c>
      <c r="O399" t="s">
        <v>1693</v>
      </c>
      <c r="R399" t="s">
        <v>1101</v>
      </c>
      <c r="S399" t="s">
        <v>293</v>
      </c>
      <c r="T399" t="s">
        <v>292</v>
      </c>
      <c r="U399" t="s">
        <v>292</v>
      </c>
      <c r="V399" t="s">
        <v>293</v>
      </c>
      <c r="W399" t="s">
        <v>293</v>
      </c>
      <c r="X399" t="str">
        <f t="shared" si="51"/>
        <v/>
      </c>
      <c r="Y399" t="str">
        <f t="shared" si="52"/>
        <v>reinforced_road-</v>
      </c>
      <c r="Z399" t="str">
        <f t="shared" si="53"/>
        <v>wood-</v>
      </c>
      <c r="AA399" t="str">
        <f t="shared" si="54"/>
        <v/>
      </c>
      <c r="AB399" t="str">
        <f t="shared" si="55"/>
        <v>reinforced_road-wood-</v>
      </c>
      <c r="AE399" t="s">
        <v>1693</v>
      </c>
    </row>
    <row r="400" spans="1:31" x14ac:dyDescent="0.3">
      <c r="A400" t="s">
        <v>45</v>
      </c>
      <c r="B400" t="s">
        <v>75</v>
      </c>
      <c r="C400" t="s">
        <v>12</v>
      </c>
      <c r="D400" t="s">
        <v>14</v>
      </c>
      <c r="E400" s="16" t="s">
        <v>272</v>
      </c>
      <c r="F400" s="16">
        <v>3</v>
      </c>
      <c r="G400" t="s">
        <v>1524</v>
      </c>
      <c r="H400" t="s">
        <v>1555</v>
      </c>
      <c r="I400" t="s">
        <v>1568</v>
      </c>
      <c r="J400" t="s">
        <v>344</v>
      </c>
      <c r="L400" t="str">
        <f t="shared" si="49"/>
        <v>continuous/fully_connected</v>
      </c>
      <c r="M400" t="str">
        <f t="shared" si="50"/>
        <v>straight/arch/declined + standard_truss</v>
      </c>
      <c r="N400" t="str">
        <f t="shared" si="48"/>
        <v>bottom_structure/rock_structure + 3anc</v>
      </c>
      <c r="O400" t="s">
        <v>1693</v>
      </c>
      <c r="R400" t="s">
        <v>1102</v>
      </c>
      <c r="S400" t="s">
        <v>293</v>
      </c>
      <c r="T400" t="s">
        <v>292</v>
      </c>
      <c r="U400" t="s">
        <v>292</v>
      </c>
      <c r="V400" t="s">
        <v>293</v>
      </c>
      <c r="W400" t="s">
        <v>293</v>
      </c>
      <c r="X400" t="str">
        <f t="shared" si="51"/>
        <v/>
      </c>
      <c r="Y400" t="str">
        <f t="shared" si="52"/>
        <v>reinforced_road-</v>
      </c>
      <c r="Z400" t="str">
        <f t="shared" si="53"/>
        <v>wood-</v>
      </c>
      <c r="AA400" t="str">
        <f t="shared" si="54"/>
        <v/>
      </c>
      <c r="AB400" t="str">
        <f t="shared" si="55"/>
        <v>reinforced_road-wood-</v>
      </c>
      <c r="AE400" t="s">
        <v>1693</v>
      </c>
    </row>
    <row r="401" spans="1:31" x14ac:dyDescent="0.3">
      <c r="A401" t="s">
        <v>45</v>
      </c>
      <c r="B401" t="s">
        <v>75</v>
      </c>
      <c r="C401" t="s">
        <v>12</v>
      </c>
      <c r="D401" t="s">
        <v>11</v>
      </c>
      <c r="E401" s="16" t="s">
        <v>272</v>
      </c>
      <c r="F401" s="16">
        <v>2</v>
      </c>
      <c r="G401" t="s">
        <v>1524</v>
      </c>
      <c r="H401" t="s">
        <v>1555</v>
      </c>
      <c r="I401" t="s">
        <v>342</v>
      </c>
      <c r="J401" t="s">
        <v>344</v>
      </c>
      <c r="L401" t="str">
        <f t="shared" si="49"/>
        <v>continuous/fully_connected</v>
      </c>
      <c r="M401" t="str">
        <f t="shared" si="50"/>
        <v>straight/arch/declined + standard_truss</v>
      </c>
      <c r="N401" t="str">
        <f t="shared" si="48"/>
        <v>bottom_structure + 2anc</v>
      </c>
      <c r="O401" t="s">
        <v>1693</v>
      </c>
      <c r="R401" t="s">
        <v>1103</v>
      </c>
      <c r="S401" t="s">
        <v>293</v>
      </c>
      <c r="T401" t="s">
        <v>292</v>
      </c>
      <c r="U401" t="s">
        <v>292</v>
      </c>
      <c r="V401" t="s">
        <v>293</v>
      </c>
      <c r="W401" t="s">
        <v>293</v>
      </c>
      <c r="X401" t="str">
        <f t="shared" si="51"/>
        <v/>
      </c>
      <c r="Y401" t="str">
        <f t="shared" si="52"/>
        <v>reinforced_road-</v>
      </c>
      <c r="Z401" t="str">
        <f t="shared" si="53"/>
        <v>wood-</v>
      </c>
      <c r="AA401" t="str">
        <f t="shared" si="54"/>
        <v/>
      </c>
      <c r="AB401" t="str">
        <f t="shared" si="55"/>
        <v>reinforced_road-wood-</v>
      </c>
      <c r="AE401" t="s">
        <v>1693</v>
      </c>
    </row>
    <row r="402" spans="1:31" x14ac:dyDescent="0.3">
      <c r="A402" t="s">
        <v>45</v>
      </c>
      <c r="B402" t="s">
        <v>75</v>
      </c>
      <c r="C402" t="s">
        <v>12</v>
      </c>
      <c r="D402" t="s">
        <v>19</v>
      </c>
      <c r="E402" s="16" t="s">
        <v>272</v>
      </c>
      <c r="F402" s="16">
        <v>2</v>
      </c>
      <c r="G402" t="s">
        <v>1524</v>
      </c>
      <c r="H402" t="s">
        <v>282</v>
      </c>
      <c r="I402" t="s">
        <v>342</v>
      </c>
      <c r="J402" t="s">
        <v>347</v>
      </c>
      <c r="L402" t="str">
        <f t="shared" si="49"/>
        <v>continuous/fully_connected</v>
      </c>
      <c r="M402" t="str">
        <f t="shared" si="50"/>
        <v>arch + other_truss</v>
      </c>
      <c r="N402" t="str">
        <f t="shared" si="48"/>
        <v>bottom_structure + 2anc</v>
      </c>
      <c r="O402" t="s">
        <v>1687</v>
      </c>
      <c r="R402" t="s">
        <v>1104</v>
      </c>
      <c r="S402" t="s">
        <v>292</v>
      </c>
      <c r="T402" t="s">
        <v>293</v>
      </c>
      <c r="U402" t="s">
        <v>293</v>
      </c>
      <c r="V402" t="s">
        <v>292</v>
      </c>
      <c r="W402" t="s">
        <v>293</v>
      </c>
      <c r="X402" t="str">
        <f t="shared" si="51"/>
        <v>road-</v>
      </c>
      <c r="Y402" t="str">
        <f t="shared" si="52"/>
        <v/>
      </c>
      <c r="Z402" t="str">
        <f t="shared" si="53"/>
        <v/>
      </c>
      <c r="AA402" t="str">
        <f t="shared" si="54"/>
        <v>steel</v>
      </c>
      <c r="AB402" t="str">
        <f t="shared" si="55"/>
        <v>road-steel</v>
      </c>
      <c r="AE402" t="s">
        <v>1687</v>
      </c>
    </row>
    <row r="403" spans="1:31" x14ac:dyDescent="0.3">
      <c r="A403" t="s">
        <v>45</v>
      </c>
      <c r="B403" t="s">
        <v>75</v>
      </c>
      <c r="C403" t="s">
        <v>12</v>
      </c>
      <c r="D403" t="s">
        <v>17</v>
      </c>
      <c r="E403" s="16" t="s">
        <v>272</v>
      </c>
      <c r="F403" s="16">
        <v>2</v>
      </c>
      <c r="G403" t="s">
        <v>1524</v>
      </c>
      <c r="H403" t="s">
        <v>1555</v>
      </c>
      <c r="I403" t="s">
        <v>342</v>
      </c>
      <c r="J403" t="s">
        <v>344</v>
      </c>
      <c r="L403" t="str">
        <f t="shared" si="49"/>
        <v>continuous/fully_connected</v>
      </c>
      <c r="M403" t="str">
        <f t="shared" si="50"/>
        <v>straight/arch/declined + standard_truss</v>
      </c>
      <c r="N403" t="str">
        <f t="shared" si="48"/>
        <v>bottom_structure + 2anc</v>
      </c>
      <c r="O403" t="s">
        <v>1693</v>
      </c>
      <c r="R403" t="s">
        <v>1105</v>
      </c>
      <c r="S403" t="s">
        <v>293</v>
      </c>
      <c r="T403" t="s">
        <v>292</v>
      </c>
      <c r="U403" t="s">
        <v>292</v>
      </c>
      <c r="V403" t="s">
        <v>293</v>
      </c>
      <c r="W403" t="s">
        <v>293</v>
      </c>
      <c r="X403" t="str">
        <f t="shared" si="51"/>
        <v/>
      </c>
      <c r="Y403" t="str">
        <f t="shared" si="52"/>
        <v>reinforced_road-</v>
      </c>
      <c r="Z403" t="str">
        <f t="shared" si="53"/>
        <v>wood-</v>
      </c>
      <c r="AA403" t="str">
        <f t="shared" si="54"/>
        <v/>
      </c>
      <c r="AB403" t="str">
        <f t="shared" si="55"/>
        <v>reinforced_road-wood-</v>
      </c>
      <c r="AE403" t="s">
        <v>1693</v>
      </c>
    </row>
    <row r="404" spans="1:31" x14ac:dyDescent="0.3">
      <c r="A404" t="s">
        <v>45</v>
      </c>
      <c r="B404" t="s">
        <v>75</v>
      </c>
      <c r="C404" t="s">
        <v>12</v>
      </c>
      <c r="D404" t="s">
        <v>16</v>
      </c>
      <c r="E404" s="16" t="s">
        <v>272</v>
      </c>
      <c r="F404" s="16">
        <v>2</v>
      </c>
      <c r="G404" t="s">
        <v>1524</v>
      </c>
      <c r="H404" t="s">
        <v>282</v>
      </c>
      <c r="I404" t="s">
        <v>342</v>
      </c>
      <c r="J404" t="s">
        <v>347</v>
      </c>
      <c r="L404" t="str">
        <f t="shared" si="49"/>
        <v>continuous/fully_connected</v>
      </c>
      <c r="M404" t="str">
        <f t="shared" si="50"/>
        <v>arch + other_truss</v>
      </c>
      <c r="N404" t="str">
        <f t="shared" si="48"/>
        <v>bottom_structure + 2anc</v>
      </c>
      <c r="O404" t="s">
        <v>1687</v>
      </c>
      <c r="R404" t="s">
        <v>1106</v>
      </c>
      <c r="S404" t="s">
        <v>292</v>
      </c>
      <c r="T404" t="s">
        <v>293</v>
      </c>
      <c r="U404" t="s">
        <v>293</v>
      </c>
      <c r="V404" t="s">
        <v>292</v>
      </c>
      <c r="W404" t="s">
        <v>293</v>
      </c>
      <c r="X404" t="str">
        <f t="shared" si="51"/>
        <v>road-</v>
      </c>
      <c r="Y404" t="str">
        <f t="shared" si="52"/>
        <v/>
      </c>
      <c r="Z404" t="str">
        <f t="shared" si="53"/>
        <v/>
      </c>
      <c r="AA404" t="str">
        <f t="shared" si="54"/>
        <v>steel</v>
      </c>
      <c r="AB404" t="str">
        <f t="shared" si="55"/>
        <v>road-steel</v>
      </c>
      <c r="AE404" t="s">
        <v>1687</v>
      </c>
    </row>
    <row r="405" spans="1:31" x14ac:dyDescent="0.3">
      <c r="A405" t="s">
        <v>45</v>
      </c>
      <c r="B405" t="s">
        <v>75</v>
      </c>
      <c r="C405" t="s">
        <v>12</v>
      </c>
      <c r="D405" t="s">
        <v>20</v>
      </c>
      <c r="E405" s="16" t="s">
        <v>272</v>
      </c>
      <c r="F405" s="16">
        <v>2</v>
      </c>
      <c r="G405" t="s">
        <v>1524</v>
      </c>
      <c r="H405" t="s">
        <v>1555</v>
      </c>
      <c r="I405" t="s">
        <v>342</v>
      </c>
      <c r="J405" t="s">
        <v>344</v>
      </c>
      <c r="L405" t="str">
        <f t="shared" si="49"/>
        <v>continuous/fully_connected</v>
      </c>
      <c r="M405" t="str">
        <f t="shared" si="50"/>
        <v>straight/arch/declined + standard_truss</v>
      </c>
      <c r="N405" t="str">
        <f t="shared" si="48"/>
        <v>bottom_structure + 2anc</v>
      </c>
      <c r="O405" t="s">
        <v>1686</v>
      </c>
      <c r="R405" t="s">
        <v>1107</v>
      </c>
      <c r="S405" t="s">
        <v>293</v>
      </c>
      <c r="T405" t="s">
        <v>292</v>
      </c>
      <c r="U405" t="s">
        <v>292</v>
      </c>
      <c r="V405" t="s">
        <v>292</v>
      </c>
      <c r="W405" t="s">
        <v>293</v>
      </c>
      <c r="X405" t="str">
        <f t="shared" si="51"/>
        <v/>
      </c>
      <c r="Y405" t="str">
        <f t="shared" si="52"/>
        <v>reinforced_road-</v>
      </c>
      <c r="Z405" t="str">
        <f t="shared" si="53"/>
        <v>wood-</v>
      </c>
      <c r="AA405" t="str">
        <f t="shared" si="54"/>
        <v>steel</v>
      </c>
      <c r="AB405" t="str">
        <f t="shared" si="55"/>
        <v>reinforced_road-wood-steel</v>
      </c>
      <c r="AE405" t="s">
        <v>1686</v>
      </c>
    </row>
    <row r="406" spans="1:31" x14ac:dyDescent="0.3">
      <c r="A406" t="s">
        <v>45</v>
      </c>
      <c r="B406" t="s">
        <v>75</v>
      </c>
      <c r="C406" t="s">
        <v>29</v>
      </c>
      <c r="D406" t="s">
        <v>23</v>
      </c>
      <c r="E406" s="16" t="s">
        <v>272</v>
      </c>
      <c r="F406" s="16">
        <v>2</v>
      </c>
      <c r="G406" t="s">
        <v>1524</v>
      </c>
      <c r="H406" t="s">
        <v>1555</v>
      </c>
      <c r="I406" t="s">
        <v>342</v>
      </c>
      <c r="J406" t="s">
        <v>344</v>
      </c>
      <c r="L406" t="str">
        <f t="shared" si="49"/>
        <v>continuous/fully_connected</v>
      </c>
      <c r="M406" t="str">
        <f t="shared" si="50"/>
        <v>straight/arch/declined + standard_truss</v>
      </c>
      <c r="N406" t="str">
        <f t="shared" si="48"/>
        <v>bottom_structure + 2anc</v>
      </c>
      <c r="O406" t="s">
        <v>1685</v>
      </c>
      <c r="R406" t="s">
        <v>1108</v>
      </c>
      <c r="S406" t="s">
        <v>292</v>
      </c>
      <c r="T406" t="s">
        <v>292</v>
      </c>
      <c r="U406" t="s">
        <v>292</v>
      </c>
      <c r="V406" t="s">
        <v>292</v>
      </c>
      <c r="W406" t="s">
        <v>293</v>
      </c>
      <c r="X406" t="str">
        <f t="shared" si="51"/>
        <v>road-</v>
      </c>
      <c r="Y406" t="str">
        <f t="shared" si="52"/>
        <v>reinforced_road-</v>
      </c>
      <c r="Z406" t="str">
        <f t="shared" si="53"/>
        <v>wood-</v>
      </c>
      <c r="AA406" t="str">
        <f t="shared" si="54"/>
        <v>steel</v>
      </c>
      <c r="AB406" t="str">
        <f t="shared" si="55"/>
        <v>road-reinforced_road-wood-steel</v>
      </c>
      <c r="AE406" t="s">
        <v>1685</v>
      </c>
    </row>
    <row r="407" spans="1:31" x14ac:dyDescent="0.3">
      <c r="A407" t="s">
        <v>45</v>
      </c>
      <c r="B407" t="s">
        <v>75</v>
      </c>
      <c r="C407" t="s">
        <v>29</v>
      </c>
      <c r="D407" t="s">
        <v>25</v>
      </c>
      <c r="E407" s="16" t="s">
        <v>272</v>
      </c>
      <c r="F407" s="16">
        <v>3</v>
      </c>
      <c r="G407" t="s">
        <v>1524</v>
      </c>
      <c r="H407" t="s">
        <v>1540</v>
      </c>
      <c r="I407" t="s">
        <v>1568</v>
      </c>
      <c r="J407" t="s">
        <v>347</v>
      </c>
      <c r="L407" t="str">
        <f t="shared" si="49"/>
        <v>continuous/fully_connected</v>
      </c>
      <c r="M407" t="str">
        <f t="shared" si="50"/>
        <v>inclined/arch + other_truss</v>
      </c>
      <c r="N407" t="str">
        <f t="shared" si="48"/>
        <v>bottom_structure/rock_structure + 3anc</v>
      </c>
      <c r="O407" t="s">
        <v>1688</v>
      </c>
      <c r="R407" t="s">
        <v>1109</v>
      </c>
      <c r="S407" t="s">
        <v>293</v>
      </c>
      <c r="T407" t="s">
        <v>292</v>
      </c>
      <c r="U407" t="s">
        <v>293</v>
      </c>
      <c r="V407" t="s">
        <v>292</v>
      </c>
      <c r="W407" t="s">
        <v>293</v>
      </c>
      <c r="X407" t="str">
        <f t="shared" si="51"/>
        <v/>
      </c>
      <c r="Y407" t="str">
        <f t="shared" si="52"/>
        <v>reinforced_road-</v>
      </c>
      <c r="Z407" t="str">
        <f t="shared" si="53"/>
        <v/>
      </c>
      <c r="AA407" t="str">
        <f t="shared" si="54"/>
        <v>steel</v>
      </c>
      <c r="AB407" t="str">
        <f t="shared" si="55"/>
        <v>reinforced_road-steel</v>
      </c>
      <c r="AE407" t="s">
        <v>1688</v>
      </c>
    </row>
    <row r="408" spans="1:31" x14ac:dyDescent="0.3">
      <c r="A408" t="s">
        <v>45</v>
      </c>
      <c r="B408" t="s">
        <v>75</v>
      </c>
      <c r="C408" t="s">
        <v>29</v>
      </c>
      <c r="D408" t="s">
        <v>24</v>
      </c>
      <c r="E408" s="16" t="s">
        <v>272</v>
      </c>
      <c r="F408" s="16">
        <v>2</v>
      </c>
      <c r="G408" t="s">
        <v>1524</v>
      </c>
      <c r="H408" t="s">
        <v>282</v>
      </c>
      <c r="I408" t="s">
        <v>342</v>
      </c>
      <c r="J408" t="s">
        <v>347</v>
      </c>
      <c r="L408" t="str">
        <f t="shared" si="49"/>
        <v>continuous/fully_connected</v>
      </c>
      <c r="M408" t="str">
        <f t="shared" si="50"/>
        <v>arch + other_truss</v>
      </c>
      <c r="N408" t="str">
        <f t="shared" si="48"/>
        <v>bottom_structure + 2anc</v>
      </c>
      <c r="O408" t="s">
        <v>1687</v>
      </c>
      <c r="R408" t="s">
        <v>1110</v>
      </c>
      <c r="S408" t="s">
        <v>292</v>
      </c>
      <c r="T408" t="s">
        <v>293</v>
      </c>
      <c r="U408" t="s">
        <v>293</v>
      </c>
      <c r="V408" t="s">
        <v>292</v>
      </c>
      <c r="W408" t="s">
        <v>293</v>
      </c>
      <c r="X408" t="str">
        <f t="shared" si="51"/>
        <v>road-</v>
      </c>
      <c r="Y408" t="str">
        <f t="shared" si="52"/>
        <v/>
      </c>
      <c r="Z408" t="str">
        <f t="shared" si="53"/>
        <v/>
      </c>
      <c r="AA408" t="str">
        <f t="shared" si="54"/>
        <v>steel</v>
      </c>
      <c r="AB408" t="str">
        <f t="shared" si="55"/>
        <v>road-steel</v>
      </c>
      <c r="AE408" t="s">
        <v>1687</v>
      </c>
    </row>
    <row r="409" spans="1:31" x14ac:dyDescent="0.3">
      <c r="A409" t="s">
        <v>45</v>
      </c>
      <c r="B409" t="s">
        <v>75</v>
      </c>
      <c r="C409" t="s">
        <v>29</v>
      </c>
      <c r="D409" t="s">
        <v>21</v>
      </c>
      <c r="E409" s="16" t="s">
        <v>272</v>
      </c>
      <c r="F409" s="16">
        <v>2</v>
      </c>
      <c r="G409" t="s">
        <v>1524</v>
      </c>
      <c r="H409" t="s">
        <v>1555</v>
      </c>
      <c r="I409" t="s">
        <v>342</v>
      </c>
      <c r="J409" t="s">
        <v>344</v>
      </c>
      <c r="L409" t="str">
        <f t="shared" si="49"/>
        <v>continuous/fully_connected</v>
      </c>
      <c r="M409" t="str">
        <f t="shared" si="50"/>
        <v>straight/arch/declined + standard_truss</v>
      </c>
      <c r="N409" t="str">
        <f t="shared" si="48"/>
        <v>bottom_structure + 2anc</v>
      </c>
      <c r="O409" t="s">
        <v>1693</v>
      </c>
      <c r="R409" t="s">
        <v>1111</v>
      </c>
      <c r="S409" t="s">
        <v>293</v>
      </c>
      <c r="T409" t="s">
        <v>292</v>
      </c>
      <c r="U409" t="s">
        <v>292</v>
      </c>
      <c r="V409" t="s">
        <v>293</v>
      </c>
      <c r="W409" t="s">
        <v>293</v>
      </c>
      <c r="X409" t="str">
        <f t="shared" si="51"/>
        <v/>
      </c>
      <c r="Y409" t="str">
        <f t="shared" si="52"/>
        <v>reinforced_road-</v>
      </c>
      <c r="Z409" t="str">
        <f t="shared" si="53"/>
        <v>wood-</v>
      </c>
      <c r="AA409" t="str">
        <f t="shared" si="54"/>
        <v/>
      </c>
      <c r="AB409" t="str">
        <f t="shared" si="55"/>
        <v>reinforced_road-wood-</v>
      </c>
      <c r="AE409" t="s">
        <v>1693</v>
      </c>
    </row>
    <row r="410" spans="1:31" x14ac:dyDescent="0.3">
      <c r="A410" t="s">
        <v>45</v>
      </c>
      <c r="B410" t="s">
        <v>75</v>
      </c>
      <c r="C410" t="s">
        <v>29</v>
      </c>
      <c r="D410" t="s">
        <v>30</v>
      </c>
      <c r="E410" s="16" t="s">
        <v>272</v>
      </c>
      <c r="F410" s="16">
        <v>2</v>
      </c>
      <c r="G410" t="s">
        <v>1524</v>
      </c>
      <c r="H410" t="s">
        <v>282</v>
      </c>
      <c r="I410" t="s">
        <v>342</v>
      </c>
      <c r="J410" t="s">
        <v>344</v>
      </c>
      <c r="L410" t="str">
        <f t="shared" si="49"/>
        <v>continuous/fully_connected</v>
      </c>
      <c r="M410" t="str">
        <f t="shared" si="50"/>
        <v>arch + standard_truss</v>
      </c>
      <c r="N410" t="str">
        <f t="shared" si="48"/>
        <v>bottom_structure + 2anc</v>
      </c>
      <c r="O410" t="s">
        <v>1688</v>
      </c>
      <c r="R410" t="s">
        <v>1112</v>
      </c>
      <c r="S410" t="s">
        <v>293</v>
      </c>
      <c r="T410" t="s">
        <v>292</v>
      </c>
      <c r="U410" t="s">
        <v>293</v>
      </c>
      <c r="V410" t="s">
        <v>292</v>
      </c>
      <c r="W410" t="s">
        <v>293</v>
      </c>
      <c r="X410" t="str">
        <f t="shared" si="51"/>
        <v/>
      </c>
      <c r="Y410" t="str">
        <f t="shared" si="52"/>
        <v>reinforced_road-</v>
      </c>
      <c r="Z410" t="str">
        <f t="shared" si="53"/>
        <v/>
      </c>
      <c r="AA410" t="str">
        <f t="shared" si="54"/>
        <v>steel</v>
      </c>
      <c r="AB410" t="str">
        <f t="shared" si="55"/>
        <v>reinforced_road-steel</v>
      </c>
      <c r="AE410" t="s">
        <v>1688</v>
      </c>
    </row>
    <row r="411" spans="1:31" x14ac:dyDescent="0.3">
      <c r="A411" t="s">
        <v>45</v>
      </c>
      <c r="B411" t="s">
        <v>75</v>
      </c>
      <c r="C411" t="s">
        <v>29</v>
      </c>
      <c r="D411" t="s">
        <v>26</v>
      </c>
      <c r="E411" s="16" t="s">
        <v>272</v>
      </c>
      <c r="F411" s="16">
        <v>2</v>
      </c>
      <c r="G411" t="s">
        <v>1524</v>
      </c>
      <c r="H411" t="s">
        <v>1555</v>
      </c>
      <c r="I411" t="s">
        <v>342</v>
      </c>
      <c r="J411" t="s">
        <v>344</v>
      </c>
      <c r="L411" t="str">
        <f t="shared" si="49"/>
        <v>continuous/fully_connected</v>
      </c>
      <c r="M411" t="str">
        <f t="shared" si="50"/>
        <v>straight/arch/declined + standard_truss</v>
      </c>
      <c r="N411" t="str">
        <f t="shared" si="48"/>
        <v>bottom_structure + 2anc</v>
      </c>
      <c r="O411" t="s">
        <v>1684</v>
      </c>
      <c r="R411" t="s">
        <v>1113</v>
      </c>
      <c r="S411" t="s">
        <v>292</v>
      </c>
      <c r="T411" t="s">
        <v>293</v>
      </c>
      <c r="U411" t="s">
        <v>292</v>
      </c>
      <c r="V411" t="s">
        <v>292</v>
      </c>
      <c r="W411" t="s">
        <v>293</v>
      </c>
      <c r="X411" t="str">
        <f t="shared" si="51"/>
        <v>road-</v>
      </c>
      <c r="Y411" t="str">
        <f t="shared" si="52"/>
        <v/>
      </c>
      <c r="Z411" t="str">
        <f t="shared" si="53"/>
        <v>wood-</v>
      </c>
      <c r="AA411" t="str">
        <f t="shared" si="54"/>
        <v>steel</v>
      </c>
      <c r="AB411" t="str">
        <f t="shared" si="55"/>
        <v>road-wood-steel</v>
      </c>
      <c r="AE411" t="s">
        <v>1684</v>
      </c>
    </row>
    <row r="412" spans="1:31" x14ac:dyDescent="0.3">
      <c r="A412" t="s">
        <v>45</v>
      </c>
      <c r="B412" t="s">
        <v>75</v>
      </c>
      <c r="C412" t="s">
        <v>29</v>
      </c>
      <c r="D412" t="s">
        <v>22</v>
      </c>
      <c r="E412" s="16" t="s">
        <v>272</v>
      </c>
      <c r="F412" s="16">
        <v>3</v>
      </c>
      <c r="G412" t="s">
        <v>1524</v>
      </c>
      <c r="H412" t="s">
        <v>1555</v>
      </c>
      <c r="I412" t="s">
        <v>1568</v>
      </c>
      <c r="J412" t="s">
        <v>344</v>
      </c>
      <c r="L412" t="str">
        <f t="shared" si="49"/>
        <v>continuous/fully_connected</v>
      </c>
      <c r="M412" t="str">
        <f t="shared" si="50"/>
        <v>straight/arch/declined + standard_truss</v>
      </c>
      <c r="N412" t="str">
        <f t="shared" si="48"/>
        <v>bottom_structure/rock_structure + 3anc</v>
      </c>
      <c r="O412" t="s">
        <v>1686</v>
      </c>
      <c r="R412" t="s">
        <v>1114</v>
      </c>
      <c r="S412" t="s">
        <v>293</v>
      </c>
      <c r="T412" t="s">
        <v>292</v>
      </c>
      <c r="U412" t="s">
        <v>292</v>
      </c>
      <c r="V412" t="s">
        <v>292</v>
      </c>
      <c r="W412" t="s">
        <v>293</v>
      </c>
      <c r="X412" t="str">
        <f t="shared" si="51"/>
        <v/>
      </c>
      <c r="Y412" t="str">
        <f t="shared" si="52"/>
        <v>reinforced_road-</v>
      </c>
      <c r="Z412" t="str">
        <f t="shared" si="53"/>
        <v>wood-</v>
      </c>
      <c r="AA412" t="str">
        <f t="shared" si="54"/>
        <v>steel</v>
      </c>
      <c r="AB412" t="str">
        <f t="shared" si="55"/>
        <v>reinforced_road-wood-steel</v>
      </c>
      <c r="AE412" t="s">
        <v>1686</v>
      </c>
    </row>
    <row r="413" spans="1:31" x14ac:dyDescent="0.3">
      <c r="A413" t="s">
        <v>45</v>
      </c>
      <c r="B413" t="s">
        <v>75</v>
      </c>
      <c r="C413" t="s">
        <v>29</v>
      </c>
      <c r="D413" t="s">
        <v>27</v>
      </c>
      <c r="E413" s="16" t="s">
        <v>272</v>
      </c>
      <c r="F413" s="16">
        <v>2</v>
      </c>
      <c r="G413" t="s">
        <v>1524</v>
      </c>
      <c r="H413" t="s">
        <v>282</v>
      </c>
      <c r="I413" t="s">
        <v>1568</v>
      </c>
      <c r="J413" t="s">
        <v>344</v>
      </c>
      <c r="L413" t="str">
        <f t="shared" si="49"/>
        <v>continuous/fully_connected</v>
      </c>
      <c r="M413" t="str">
        <f t="shared" si="50"/>
        <v>arch + standard_truss</v>
      </c>
      <c r="N413" t="str">
        <f t="shared" si="48"/>
        <v>bottom_structure/rock_structure + 2anc</v>
      </c>
      <c r="O413" t="s">
        <v>1688</v>
      </c>
      <c r="R413" t="s">
        <v>1115</v>
      </c>
      <c r="S413" t="s">
        <v>293</v>
      </c>
      <c r="T413" t="s">
        <v>292</v>
      </c>
      <c r="U413" t="s">
        <v>293</v>
      </c>
      <c r="V413" t="s">
        <v>292</v>
      </c>
      <c r="W413" t="s">
        <v>293</v>
      </c>
      <c r="X413" t="str">
        <f t="shared" si="51"/>
        <v/>
      </c>
      <c r="Y413" t="str">
        <f t="shared" si="52"/>
        <v>reinforced_road-</v>
      </c>
      <c r="Z413" t="str">
        <f t="shared" si="53"/>
        <v/>
      </c>
      <c r="AA413" t="str">
        <f t="shared" si="54"/>
        <v>steel</v>
      </c>
      <c r="AB413" t="str">
        <f t="shared" si="55"/>
        <v>reinforced_road-steel</v>
      </c>
      <c r="AE413" t="s">
        <v>1688</v>
      </c>
    </row>
    <row r="414" spans="1:31" x14ac:dyDescent="0.3">
      <c r="A414" t="s">
        <v>45</v>
      </c>
      <c r="B414" t="s">
        <v>75</v>
      </c>
      <c r="C414" t="s">
        <v>29</v>
      </c>
      <c r="D414" t="s">
        <v>28</v>
      </c>
      <c r="E414" s="16" t="s">
        <v>272</v>
      </c>
      <c r="F414" s="16">
        <v>2</v>
      </c>
      <c r="G414" t="s">
        <v>1524</v>
      </c>
      <c r="H414" t="s">
        <v>282</v>
      </c>
      <c r="I414" t="s">
        <v>1568</v>
      </c>
      <c r="J414" t="s">
        <v>344</v>
      </c>
      <c r="L414" t="str">
        <f t="shared" si="49"/>
        <v>continuous/fully_connected</v>
      </c>
      <c r="M414" t="str">
        <f t="shared" si="50"/>
        <v>arch + standard_truss</v>
      </c>
      <c r="N414" t="str">
        <f t="shared" si="48"/>
        <v>bottom_structure/rock_structure + 2anc</v>
      </c>
      <c r="O414" t="s">
        <v>1688</v>
      </c>
      <c r="R414" t="s">
        <v>1116</v>
      </c>
      <c r="S414" t="s">
        <v>293</v>
      </c>
      <c r="T414" t="s">
        <v>292</v>
      </c>
      <c r="U414" t="s">
        <v>293</v>
      </c>
      <c r="V414" t="s">
        <v>292</v>
      </c>
      <c r="W414" t="s">
        <v>293</v>
      </c>
      <c r="X414" t="str">
        <f t="shared" si="51"/>
        <v/>
      </c>
      <c r="Y414" t="str">
        <f t="shared" si="52"/>
        <v>reinforced_road-</v>
      </c>
      <c r="Z414" t="str">
        <f t="shared" si="53"/>
        <v/>
      </c>
      <c r="AA414" t="str">
        <f t="shared" si="54"/>
        <v>steel</v>
      </c>
      <c r="AB414" t="str">
        <f t="shared" si="55"/>
        <v>reinforced_road-steel</v>
      </c>
      <c r="AE414" t="s">
        <v>1688</v>
      </c>
    </row>
    <row r="415" spans="1:31" x14ac:dyDescent="0.3">
      <c r="A415" t="s">
        <v>43</v>
      </c>
      <c r="B415" t="s">
        <v>71</v>
      </c>
      <c r="C415" t="s">
        <v>12</v>
      </c>
      <c r="D415" t="s">
        <v>14</v>
      </c>
      <c r="E415" s="16" t="s">
        <v>272</v>
      </c>
      <c r="F415" s="16">
        <v>3</v>
      </c>
      <c r="G415" t="s">
        <v>1524</v>
      </c>
      <c r="H415" t="s">
        <v>282</v>
      </c>
      <c r="I415" t="s">
        <v>1567</v>
      </c>
      <c r="J415" t="s">
        <v>291</v>
      </c>
      <c r="L415" t="str">
        <f t="shared" si="49"/>
        <v>continuous/fully_connected</v>
      </c>
      <c r="M415" t="str">
        <f t="shared" si="50"/>
        <v>arch + other</v>
      </c>
      <c r="N415" t="str">
        <f t="shared" si="48"/>
        <v>top_structure/rock_structure + 3anc</v>
      </c>
      <c r="O415" t="s">
        <v>1684</v>
      </c>
      <c r="R415" t="s">
        <v>1117</v>
      </c>
      <c r="S415" t="s">
        <v>292</v>
      </c>
      <c r="T415" t="s">
        <v>293</v>
      </c>
      <c r="U415" t="s">
        <v>292</v>
      </c>
      <c r="V415" t="s">
        <v>292</v>
      </c>
      <c r="W415" t="s">
        <v>293</v>
      </c>
      <c r="X415" t="str">
        <f t="shared" si="51"/>
        <v>road-</v>
      </c>
      <c r="Y415" t="str">
        <f t="shared" si="52"/>
        <v/>
      </c>
      <c r="Z415" t="str">
        <f t="shared" si="53"/>
        <v>wood-</v>
      </c>
      <c r="AA415" t="str">
        <f t="shared" si="54"/>
        <v>steel</v>
      </c>
      <c r="AB415" t="str">
        <f t="shared" si="55"/>
        <v>road-wood-steel</v>
      </c>
      <c r="AE415" t="s">
        <v>1684</v>
      </c>
    </row>
    <row r="416" spans="1:31" x14ac:dyDescent="0.3">
      <c r="A416" t="s">
        <v>43</v>
      </c>
      <c r="B416" t="s">
        <v>71</v>
      </c>
      <c r="C416" t="s">
        <v>12</v>
      </c>
      <c r="D416" t="s">
        <v>11</v>
      </c>
      <c r="E416" s="16" t="s">
        <v>272</v>
      </c>
      <c r="F416" s="16">
        <v>3</v>
      </c>
      <c r="G416" t="s">
        <v>1524</v>
      </c>
      <c r="H416" t="s">
        <v>282</v>
      </c>
      <c r="I416" t="s">
        <v>1567</v>
      </c>
      <c r="J416" t="s">
        <v>291</v>
      </c>
      <c r="L416" t="str">
        <f t="shared" si="49"/>
        <v>continuous/fully_connected</v>
      </c>
      <c r="M416" t="str">
        <f t="shared" si="50"/>
        <v>arch + other</v>
      </c>
      <c r="N416" t="str">
        <f t="shared" si="48"/>
        <v>top_structure/rock_structure + 3anc</v>
      </c>
      <c r="O416" t="s">
        <v>1687</v>
      </c>
      <c r="R416" t="s">
        <v>1118</v>
      </c>
      <c r="S416" t="s">
        <v>292</v>
      </c>
      <c r="T416" t="s">
        <v>293</v>
      </c>
      <c r="U416" t="s">
        <v>293</v>
      </c>
      <c r="V416" t="s">
        <v>292</v>
      </c>
      <c r="W416" t="s">
        <v>293</v>
      </c>
      <c r="X416" t="str">
        <f t="shared" si="51"/>
        <v>road-</v>
      </c>
      <c r="Y416" t="str">
        <f t="shared" si="52"/>
        <v/>
      </c>
      <c r="Z416" t="str">
        <f t="shared" si="53"/>
        <v/>
      </c>
      <c r="AA416" t="str">
        <f t="shared" si="54"/>
        <v>steel</v>
      </c>
      <c r="AB416" t="str">
        <f t="shared" si="55"/>
        <v>road-steel</v>
      </c>
      <c r="AE416" t="s">
        <v>1687</v>
      </c>
    </row>
    <row r="417" spans="1:31" x14ac:dyDescent="0.3">
      <c r="A417" t="s">
        <v>43</v>
      </c>
      <c r="B417" t="s">
        <v>71</v>
      </c>
      <c r="C417" t="s">
        <v>29</v>
      </c>
      <c r="D417" t="s">
        <v>15</v>
      </c>
      <c r="E417" s="16" t="s">
        <v>272</v>
      </c>
      <c r="F417" s="16">
        <v>3</v>
      </c>
      <c r="G417" t="s">
        <v>1524</v>
      </c>
      <c r="H417" t="s">
        <v>282</v>
      </c>
      <c r="I417" t="s">
        <v>1567</v>
      </c>
      <c r="J417" t="s">
        <v>344</v>
      </c>
      <c r="L417" t="str">
        <f t="shared" si="49"/>
        <v>continuous/fully_connected</v>
      </c>
      <c r="M417" t="str">
        <f t="shared" si="50"/>
        <v>arch + standard_truss</v>
      </c>
      <c r="N417" t="str">
        <f t="shared" si="48"/>
        <v>top_structure/rock_structure + 3anc</v>
      </c>
      <c r="O417" t="s">
        <v>1684</v>
      </c>
      <c r="R417" t="s">
        <v>1119</v>
      </c>
      <c r="S417" t="s">
        <v>292</v>
      </c>
      <c r="T417" t="s">
        <v>293</v>
      </c>
      <c r="U417" t="s">
        <v>292</v>
      </c>
      <c r="V417" t="s">
        <v>292</v>
      </c>
      <c r="W417" t="s">
        <v>293</v>
      </c>
      <c r="X417" t="str">
        <f t="shared" si="51"/>
        <v>road-</v>
      </c>
      <c r="Y417" t="str">
        <f t="shared" si="52"/>
        <v/>
      </c>
      <c r="Z417" t="str">
        <f t="shared" si="53"/>
        <v>wood-</v>
      </c>
      <c r="AA417" t="str">
        <f t="shared" si="54"/>
        <v>steel</v>
      </c>
      <c r="AB417" t="str">
        <f t="shared" si="55"/>
        <v>road-wood-steel</v>
      </c>
      <c r="AE417" t="s">
        <v>1684</v>
      </c>
    </row>
    <row r="418" spans="1:31" x14ac:dyDescent="0.3">
      <c r="A418" t="s">
        <v>43</v>
      </c>
      <c r="B418" t="s">
        <v>71</v>
      </c>
      <c r="C418" t="s">
        <v>29</v>
      </c>
      <c r="D418" t="s">
        <v>19</v>
      </c>
      <c r="E418" s="16" t="s">
        <v>272</v>
      </c>
      <c r="F418" s="16">
        <v>3</v>
      </c>
      <c r="G418" t="s">
        <v>1524</v>
      </c>
      <c r="H418" t="s">
        <v>282</v>
      </c>
      <c r="I418" t="s">
        <v>1566</v>
      </c>
      <c r="J418" t="s">
        <v>1571</v>
      </c>
      <c r="L418" t="str">
        <f t="shared" si="49"/>
        <v>continuous/fully_connected</v>
      </c>
      <c r="M418" t="str">
        <f t="shared" si="50"/>
        <v>arch + standard_truss/other_truss</v>
      </c>
      <c r="N418" t="str">
        <f t="shared" si="48"/>
        <v>top_structure/bottom_structure/rock_structure + 3anc</v>
      </c>
      <c r="O418" t="s">
        <v>1692</v>
      </c>
      <c r="R418" t="s">
        <v>1120</v>
      </c>
      <c r="S418" t="s">
        <v>292</v>
      </c>
      <c r="T418" t="s">
        <v>293</v>
      </c>
      <c r="U418" t="s">
        <v>292</v>
      </c>
      <c r="V418" t="s">
        <v>293</v>
      </c>
      <c r="W418" t="s">
        <v>293</v>
      </c>
      <c r="X418" t="str">
        <f t="shared" si="51"/>
        <v>road-</v>
      </c>
      <c r="Y418" t="str">
        <f t="shared" si="52"/>
        <v/>
      </c>
      <c r="Z418" t="str">
        <f t="shared" si="53"/>
        <v>wood-</v>
      </c>
      <c r="AA418" t="str">
        <f t="shared" si="54"/>
        <v/>
      </c>
      <c r="AB418" t="str">
        <f t="shared" si="55"/>
        <v>road-wood-</v>
      </c>
      <c r="AE418" t="s">
        <v>1692</v>
      </c>
    </row>
    <row r="419" spans="1:31" x14ac:dyDescent="0.3">
      <c r="A419" t="s">
        <v>43</v>
      </c>
      <c r="B419" t="s">
        <v>71</v>
      </c>
      <c r="C419" t="s">
        <v>29</v>
      </c>
      <c r="D419" t="s">
        <v>17</v>
      </c>
      <c r="E419" s="16" t="s">
        <v>272</v>
      </c>
      <c r="F419" s="16">
        <v>3</v>
      </c>
      <c r="G419" t="s">
        <v>1524</v>
      </c>
      <c r="H419" t="s">
        <v>282</v>
      </c>
      <c r="I419" t="s">
        <v>1566</v>
      </c>
      <c r="J419" t="s">
        <v>1571</v>
      </c>
      <c r="L419" t="str">
        <f t="shared" si="49"/>
        <v>continuous/fully_connected</v>
      </c>
      <c r="M419" t="str">
        <f t="shared" si="50"/>
        <v>arch + standard_truss/other_truss</v>
      </c>
      <c r="N419" t="str">
        <f t="shared" si="48"/>
        <v>top_structure/bottom_structure/rock_structure + 3anc</v>
      </c>
      <c r="O419" t="s">
        <v>1692</v>
      </c>
      <c r="R419" t="s">
        <v>1121</v>
      </c>
      <c r="S419" t="s">
        <v>292</v>
      </c>
      <c r="T419" t="s">
        <v>293</v>
      </c>
      <c r="U419" t="s">
        <v>292</v>
      </c>
      <c r="V419" t="s">
        <v>293</v>
      </c>
      <c r="W419" t="s">
        <v>293</v>
      </c>
      <c r="X419" t="str">
        <f t="shared" si="51"/>
        <v>road-</v>
      </c>
      <c r="Y419" t="str">
        <f t="shared" si="52"/>
        <v/>
      </c>
      <c r="Z419" t="str">
        <f t="shared" si="53"/>
        <v>wood-</v>
      </c>
      <c r="AA419" t="str">
        <f t="shared" si="54"/>
        <v/>
      </c>
      <c r="AB419" t="str">
        <f t="shared" si="55"/>
        <v>road-wood-</v>
      </c>
      <c r="AE419" t="s">
        <v>1692</v>
      </c>
    </row>
    <row r="420" spans="1:31" x14ac:dyDescent="0.3">
      <c r="A420" t="s">
        <v>43</v>
      </c>
      <c r="B420" t="s">
        <v>71</v>
      </c>
      <c r="C420" t="s">
        <v>29</v>
      </c>
      <c r="D420" t="s">
        <v>16</v>
      </c>
      <c r="E420" s="16" t="s">
        <v>272</v>
      </c>
      <c r="F420" s="16">
        <v>3</v>
      </c>
      <c r="G420" t="s">
        <v>1524</v>
      </c>
      <c r="H420" t="s">
        <v>282</v>
      </c>
      <c r="I420" t="s">
        <v>1566</v>
      </c>
      <c r="J420" t="s">
        <v>1571</v>
      </c>
      <c r="L420" t="str">
        <f t="shared" si="49"/>
        <v>continuous/fully_connected</v>
      </c>
      <c r="M420" t="str">
        <f t="shared" si="50"/>
        <v>arch + standard_truss/other_truss</v>
      </c>
      <c r="N420" t="str">
        <f t="shared" si="48"/>
        <v>top_structure/bottom_structure/rock_structure + 3anc</v>
      </c>
      <c r="O420" t="s">
        <v>1692</v>
      </c>
      <c r="R420" t="s">
        <v>1122</v>
      </c>
      <c r="S420" t="s">
        <v>292</v>
      </c>
      <c r="T420" t="s">
        <v>293</v>
      </c>
      <c r="U420" t="s">
        <v>292</v>
      </c>
      <c r="V420" t="s">
        <v>293</v>
      </c>
      <c r="W420" t="s">
        <v>293</v>
      </c>
      <c r="X420" t="str">
        <f t="shared" si="51"/>
        <v>road-</v>
      </c>
      <c r="Y420" t="str">
        <f t="shared" si="52"/>
        <v/>
      </c>
      <c r="Z420" t="str">
        <f t="shared" si="53"/>
        <v>wood-</v>
      </c>
      <c r="AA420" t="str">
        <f t="shared" si="54"/>
        <v/>
      </c>
      <c r="AB420" t="str">
        <f t="shared" si="55"/>
        <v>road-wood-</v>
      </c>
      <c r="AE420" t="s">
        <v>1692</v>
      </c>
    </row>
    <row r="421" spans="1:31" x14ac:dyDescent="0.3">
      <c r="A421" t="s">
        <v>43</v>
      </c>
      <c r="B421" t="s">
        <v>71</v>
      </c>
      <c r="C421" t="s">
        <v>29</v>
      </c>
      <c r="D421" t="s">
        <v>20</v>
      </c>
      <c r="E421" s="16" t="s">
        <v>272</v>
      </c>
      <c r="F421" s="16">
        <v>3</v>
      </c>
      <c r="G421" t="s">
        <v>1524</v>
      </c>
      <c r="H421" t="s">
        <v>282</v>
      </c>
      <c r="I421" t="s">
        <v>1566</v>
      </c>
      <c r="J421" t="s">
        <v>1571</v>
      </c>
      <c r="L421" t="str">
        <f t="shared" si="49"/>
        <v>continuous/fully_connected</v>
      </c>
      <c r="M421" t="str">
        <f t="shared" si="50"/>
        <v>arch + standard_truss/other_truss</v>
      </c>
      <c r="N421" t="str">
        <f t="shared" si="48"/>
        <v>top_structure/bottom_structure/rock_structure + 3anc</v>
      </c>
      <c r="O421" t="s">
        <v>1692</v>
      </c>
      <c r="R421" t="s">
        <v>1123</v>
      </c>
      <c r="S421" t="s">
        <v>292</v>
      </c>
      <c r="T421" t="s">
        <v>293</v>
      </c>
      <c r="U421" t="s">
        <v>292</v>
      </c>
      <c r="V421" t="s">
        <v>293</v>
      </c>
      <c r="W421" t="s">
        <v>293</v>
      </c>
      <c r="X421" t="str">
        <f t="shared" si="51"/>
        <v>road-</v>
      </c>
      <c r="Y421" t="str">
        <f t="shared" si="52"/>
        <v/>
      </c>
      <c r="Z421" t="str">
        <f t="shared" si="53"/>
        <v>wood-</v>
      </c>
      <c r="AA421" t="str">
        <f t="shared" si="54"/>
        <v/>
      </c>
      <c r="AB421" t="str">
        <f t="shared" si="55"/>
        <v>road-wood-</v>
      </c>
      <c r="AE421" t="s">
        <v>1692</v>
      </c>
    </row>
    <row r="422" spans="1:31" x14ac:dyDescent="0.3">
      <c r="A422" t="s">
        <v>9</v>
      </c>
      <c r="B422" t="s">
        <v>74</v>
      </c>
      <c r="C422" t="s">
        <v>12</v>
      </c>
      <c r="D422" t="s">
        <v>15</v>
      </c>
      <c r="E422" s="16" t="s">
        <v>272</v>
      </c>
      <c r="F422" s="16">
        <v>3</v>
      </c>
      <c r="G422" t="s">
        <v>1524</v>
      </c>
      <c r="H422" t="s">
        <v>1652</v>
      </c>
      <c r="I422" t="s">
        <v>1566</v>
      </c>
      <c r="J422" t="s">
        <v>1570</v>
      </c>
      <c r="L422" t="str">
        <f t="shared" si="49"/>
        <v>continuous/fully_connected</v>
      </c>
      <c r="M422" t="str">
        <f t="shared" si="50"/>
        <v>inclined/ramp/arch + standard_truss/other</v>
      </c>
      <c r="N422" t="str">
        <f t="shared" si="48"/>
        <v>top_structure/bottom_structure/rock_structure + 3anc</v>
      </c>
      <c r="O422" t="s">
        <v>1686</v>
      </c>
      <c r="R422" t="s">
        <v>1124</v>
      </c>
      <c r="S422" t="s">
        <v>293</v>
      </c>
      <c r="T422" t="s">
        <v>292</v>
      </c>
      <c r="U422" t="s">
        <v>292</v>
      </c>
      <c r="V422" t="s">
        <v>292</v>
      </c>
      <c r="W422" t="s">
        <v>293</v>
      </c>
      <c r="X422" t="str">
        <f t="shared" si="51"/>
        <v/>
      </c>
      <c r="Y422" t="str">
        <f t="shared" si="52"/>
        <v>reinforced_road-</v>
      </c>
      <c r="Z422" t="str">
        <f t="shared" si="53"/>
        <v>wood-</v>
      </c>
      <c r="AA422" t="str">
        <f t="shared" si="54"/>
        <v>steel</v>
      </c>
      <c r="AB422" t="str">
        <f t="shared" si="55"/>
        <v>reinforced_road-wood-steel</v>
      </c>
      <c r="AE422" t="s">
        <v>1686</v>
      </c>
    </row>
    <row r="423" spans="1:31" x14ac:dyDescent="0.3">
      <c r="A423" t="s">
        <v>9</v>
      </c>
      <c r="B423" t="s">
        <v>74</v>
      </c>
      <c r="C423" t="s">
        <v>12</v>
      </c>
      <c r="D423" t="s">
        <v>14</v>
      </c>
      <c r="E423" s="16" t="s">
        <v>272</v>
      </c>
      <c r="F423" s="16">
        <v>3</v>
      </c>
      <c r="G423" t="s">
        <v>1524</v>
      </c>
      <c r="H423" t="s">
        <v>1553</v>
      </c>
      <c r="I423" t="s">
        <v>1566</v>
      </c>
      <c r="J423" t="s">
        <v>1570</v>
      </c>
      <c r="L423" t="str">
        <f t="shared" si="49"/>
        <v>continuous/fully_connected</v>
      </c>
      <c r="M423" t="str">
        <f t="shared" si="50"/>
        <v>s-shape/arch + standard_truss/other</v>
      </c>
      <c r="N423" t="str">
        <f t="shared" si="48"/>
        <v>top_structure/bottom_structure/rock_structure + 3anc</v>
      </c>
      <c r="O423" t="s">
        <v>1686</v>
      </c>
      <c r="R423" t="s">
        <v>1125</v>
      </c>
      <c r="S423" t="s">
        <v>293</v>
      </c>
      <c r="T423" t="s">
        <v>292</v>
      </c>
      <c r="U423" t="s">
        <v>292</v>
      </c>
      <c r="V423" t="s">
        <v>292</v>
      </c>
      <c r="W423" t="s">
        <v>293</v>
      </c>
      <c r="X423" t="str">
        <f t="shared" si="51"/>
        <v/>
      </c>
      <c r="Y423" t="str">
        <f t="shared" si="52"/>
        <v>reinforced_road-</v>
      </c>
      <c r="Z423" t="str">
        <f t="shared" si="53"/>
        <v>wood-</v>
      </c>
      <c r="AA423" t="str">
        <f t="shared" si="54"/>
        <v>steel</v>
      </c>
      <c r="AB423" t="str">
        <f t="shared" si="55"/>
        <v>reinforced_road-wood-steel</v>
      </c>
      <c r="AE423" t="s">
        <v>1686</v>
      </c>
    </row>
    <row r="424" spans="1:31" x14ac:dyDescent="0.3">
      <c r="A424" t="s">
        <v>9</v>
      </c>
      <c r="B424" t="s">
        <v>74</v>
      </c>
      <c r="C424" t="s">
        <v>12</v>
      </c>
      <c r="D424" t="s">
        <v>11</v>
      </c>
      <c r="E424" s="16" t="s">
        <v>272</v>
      </c>
      <c r="F424" s="16">
        <v>3</v>
      </c>
      <c r="G424" t="s">
        <v>1524</v>
      </c>
      <c r="H424" t="s">
        <v>282</v>
      </c>
      <c r="I424" t="s">
        <v>1568</v>
      </c>
      <c r="J424" t="s">
        <v>347</v>
      </c>
      <c r="L424" t="str">
        <f t="shared" si="49"/>
        <v>continuous/fully_connected</v>
      </c>
      <c r="M424" t="str">
        <f t="shared" si="50"/>
        <v>arch + other_truss</v>
      </c>
      <c r="N424" t="str">
        <f t="shared" si="48"/>
        <v>bottom_structure/rock_structure + 3anc</v>
      </c>
      <c r="O424" t="s">
        <v>1688</v>
      </c>
      <c r="R424" t="s">
        <v>1126</v>
      </c>
      <c r="S424" t="s">
        <v>293</v>
      </c>
      <c r="T424" t="s">
        <v>292</v>
      </c>
      <c r="U424" t="s">
        <v>293</v>
      </c>
      <c r="V424" t="s">
        <v>292</v>
      </c>
      <c r="W424" t="s">
        <v>293</v>
      </c>
      <c r="X424" t="str">
        <f t="shared" si="51"/>
        <v/>
      </c>
      <c r="Y424" t="str">
        <f t="shared" si="52"/>
        <v>reinforced_road-</v>
      </c>
      <c r="Z424" t="str">
        <f t="shared" si="53"/>
        <v/>
      </c>
      <c r="AA424" t="str">
        <f t="shared" si="54"/>
        <v>steel</v>
      </c>
      <c r="AB424" t="str">
        <f t="shared" si="55"/>
        <v>reinforced_road-steel</v>
      </c>
      <c r="AE424" t="s">
        <v>1688</v>
      </c>
    </row>
    <row r="425" spans="1:31" x14ac:dyDescent="0.3">
      <c r="A425" t="s">
        <v>9</v>
      </c>
      <c r="B425" t="s">
        <v>74</v>
      </c>
      <c r="C425" t="s">
        <v>12</v>
      </c>
      <c r="D425" t="s">
        <v>17</v>
      </c>
      <c r="E425" s="16" t="s">
        <v>272</v>
      </c>
      <c r="F425" s="16">
        <v>3</v>
      </c>
      <c r="G425" t="s">
        <v>1524</v>
      </c>
      <c r="H425" t="s">
        <v>1652</v>
      </c>
      <c r="I425" t="s">
        <v>1568</v>
      </c>
      <c r="J425" t="s">
        <v>344</v>
      </c>
      <c r="L425" t="str">
        <f t="shared" si="49"/>
        <v>continuous/fully_connected</v>
      </c>
      <c r="M425" t="str">
        <f t="shared" si="50"/>
        <v>inclined/ramp/arch + standard_truss</v>
      </c>
      <c r="N425" t="str">
        <f t="shared" si="48"/>
        <v>bottom_structure/rock_structure + 3anc</v>
      </c>
      <c r="O425" t="s">
        <v>1686</v>
      </c>
      <c r="R425" t="s">
        <v>1127</v>
      </c>
      <c r="S425" t="s">
        <v>293</v>
      </c>
      <c r="T425" t="s">
        <v>292</v>
      </c>
      <c r="U425" t="s">
        <v>292</v>
      </c>
      <c r="V425" t="s">
        <v>292</v>
      </c>
      <c r="W425" t="s">
        <v>293</v>
      </c>
      <c r="X425" t="str">
        <f t="shared" si="51"/>
        <v/>
      </c>
      <c r="Y425" t="str">
        <f t="shared" si="52"/>
        <v>reinforced_road-</v>
      </c>
      <c r="Z425" t="str">
        <f t="shared" si="53"/>
        <v>wood-</v>
      </c>
      <c r="AA425" t="str">
        <f t="shared" si="54"/>
        <v>steel</v>
      </c>
      <c r="AB425" t="str">
        <f t="shared" si="55"/>
        <v>reinforced_road-wood-steel</v>
      </c>
      <c r="AE425" t="s">
        <v>1686</v>
      </c>
    </row>
    <row r="426" spans="1:31" x14ac:dyDescent="0.3">
      <c r="A426" t="s">
        <v>9</v>
      </c>
      <c r="B426" t="s">
        <v>74</v>
      </c>
      <c r="C426" t="s">
        <v>12</v>
      </c>
      <c r="D426" t="s">
        <v>16</v>
      </c>
      <c r="E426" s="16" t="s">
        <v>272</v>
      </c>
      <c r="F426" s="16">
        <v>3</v>
      </c>
      <c r="G426" t="s">
        <v>1524</v>
      </c>
      <c r="H426" t="s">
        <v>1652</v>
      </c>
      <c r="I426" t="s">
        <v>1568</v>
      </c>
      <c r="J426" t="s">
        <v>344</v>
      </c>
      <c r="L426" t="str">
        <f t="shared" si="49"/>
        <v>continuous/fully_connected</v>
      </c>
      <c r="M426" t="str">
        <f t="shared" si="50"/>
        <v>inclined/ramp/arch + standard_truss</v>
      </c>
      <c r="N426" t="str">
        <f t="shared" si="48"/>
        <v>bottom_structure/rock_structure + 3anc</v>
      </c>
      <c r="O426" t="s">
        <v>1686</v>
      </c>
      <c r="R426" t="s">
        <v>1128</v>
      </c>
      <c r="S426" t="s">
        <v>293</v>
      </c>
      <c r="T426" t="s">
        <v>292</v>
      </c>
      <c r="U426" t="s">
        <v>292</v>
      </c>
      <c r="V426" t="s">
        <v>292</v>
      </c>
      <c r="W426" t="s">
        <v>293</v>
      </c>
      <c r="X426" t="str">
        <f t="shared" si="51"/>
        <v/>
      </c>
      <c r="Y426" t="str">
        <f t="shared" si="52"/>
        <v>reinforced_road-</v>
      </c>
      <c r="Z426" t="str">
        <f t="shared" si="53"/>
        <v>wood-</v>
      </c>
      <c r="AA426" t="str">
        <f t="shared" si="54"/>
        <v>steel</v>
      </c>
      <c r="AB426" t="str">
        <f t="shared" si="55"/>
        <v>reinforced_road-wood-steel</v>
      </c>
      <c r="AE426" t="s">
        <v>1686</v>
      </c>
    </row>
    <row r="427" spans="1:31" x14ac:dyDescent="0.3">
      <c r="A427" t="s">
        <v>9</v>
      </c>
      <c r="B427" t="s">
        <v>74</v>
      </c>
      <c r="C427" t="s">
        <v>29</v>
      </c>
      <c r="D427" t="s">
        <v>23</v>
      </c>
      <c r="E427" s="16" t="s">
        <v>272</v>
      </c>
      <c r="F427" s="16">
        <v>3</v>
      </c>
      <c r="G427" t="s">
        <v>1524</v>
      </c>
      <c r="H427" t="s">
        <v>1658</v>
      </c>
      <c r="I427" t="s">
        <v>1567</v>
      </c>
      <c r="J427" t="s">
        <v>344</v>
      </c>
      <c r="L427" t="str">
        <f t="shared" si="49"/>
        <v>continuous/fully_connected</v>
      </c>
      <c r="M427" t="str">
        <f t="shared" si="50"/>
        <v>other_shape + standard_truss</v>
      </c>
      <c r="N427" t="str">
        <f t="shared" si="48"/>
        <v>top_structure/rock_structure + 3anc</v>
      </c>
      <c r="O427" t="s">
        <v>1686</v>
      </c>
      <c r="R427" t="s">
        <v>1129</v>
      </c>
      <c r="S427" t="s">
        <v>293</v>
      </c>
      <c r="T427" t="s">
        <v>292</v>
      </c>
      <c r="U427" t="s">
        <v>292</v>
      </c>
      <c r="V427" t="s">
        <v>292</v>
      </c>
      <c r="W427" t="s">
        <v>293</v>
      </c>
      <c r="X427" t="str">
        <f t="shared" si="51"/>
        <v/>
      </c>
      <c r="Y427" t="str">
        <f t="shared" si="52"/>
        <v>reinforced_road-</v>
      </c>
      <c r="Z427" t="str">
        <f t="shared" si="53"/>
        <v>wood-</v>
      </c>
      <c r="AA427" t="str">
        <f t="shared" si="54"/>
        <v>steel</v>
      </c>
      <c r="AB427" t="str">
        <f t="shared" si="55"/>
        <v>reinforced_road-wood-steel</v>
      </c>
      <c r="AE427" t="s">
        <v>1686</v>
      </c>
    </row>
    <row r="428" spans="1:31" x14ac:dyDescent="0.3">
      <c r="A428" t="s">
        <v>9</v>
      </c>
      <c r="B428" t="s">
        <v>74</v>
      </c>
      <c r="C428" t="s">
        <v>29</v>
      </c>
      <c r="D428" t="s">
        <v>24</v>
      </c>
      <c r="E428" s="16" t="s">
        <v>272</v>
      </c>
      <c r="F428" s="16">
        <v>3</v>
      </c>
      <c r="G428" t="s">
        <v>1524</v>
      </c>
      <c r="H428" t="s">
        <v>1658</v>
      </c>
      <c r="I428" t="s">
        <v>1567</v>
      </c>
      <c r="J428" t="s">
        <v>344</v>
      </c>
      <c r="L428" t="str">
        <f t="shared" si="49"/>
        <v>continuous/fully_connected</v>
      </c>
      <c r="M428" t="str">
        <f t="shared" si="50"/>
        <v>other_shape + standard_truss</v>
      </c>
      <c r="N428" t="str">
        <f t="shared" si="48"/>
        <v>top_structure/rock_structure + 3anc</v>
      </c>
      <c r="O428" t="s">
        <v>1684</v>
      </c>
      <c r="R428" t="s">
        <v>1130</v>
      </c>
      <c r="S428" t="s">
        <v>292</v>
      </c>
      <c r="T428" t="s">
        <v>293</v>
      </c>
      <c r="U428" t="s">
        <v>292</v>
      </c>
      <c r="V428" t="s">
        <v>292</v>
      </c>
      <c r="W428" t="s">
        <v>293</v>
      </c>
      <c r="X428" t="str">
        <f t="shared" si="51"/>
        <v>road-</v>
      </c>
      <c r="Y428" t="str">
        <f t="shared" si="52"/>
        <v/>
      </c>
      <c r="Z428" t="str">
        <f t="shared" si="53"/>
        <v>wood-</v>
      </c>
      <c r="AA428" t="str">
        <f t="shared" si="54"/>
        <v>steel</v>
      </c>
      <c r="AB428" t="str">
        <f t="shared" si="55"/>
        <v>road-wood-steel</v>
      </c>
      <c r="AE428" t="s">
        <v>1684</v>
      </c>
    </row>
    <row r="429" spans="1:31" x14ac:dyDescent="0.3">
      <c r="A429" t="s">
        <v>9</v>
      </c>
      <c r="B429" t="s">
        <v>74</v>
      </c>
      <c r="C429" t="s">
        <v>29</v>
      </c>
      <c r="D429" t="s">
        <v>21</v>
      </c>
      <c r="E429" s="16" t="s">
        <v>272</v>
      </c>
      <c r="F429" s="16">
        <v>3</v>
      </c>
      <c r="G429" t="s">
        <v>1524</v>
      </c>
      <c r="H429" t="s">
        <v>282</v>
      </c>
      <c r="I429" t="s">
        <v>1568</v>
      </c>
      <c r="J429" t="s">
        <v>344</v>
      </c>
      <c r="L429" t="str">
        <f t="shared" si="49"/>
        <v>continuous/fully_connected</v>
      </c>
      <c r="M429" t="str">
        <f t="shared" si="50"/>
        <v>arch + standard_truss</v>
      </c>
      <c r="N429" t="str">
        <f t="shared" si="48"/>
        <v>bottom_structure/rock_structure + 3anc</v>
      </c>
      <c r="O429" t="s">
        <v>1686</v>
      </c>
      <c r="R429" t="s">
        <v>1131</v>
      </c>
      <c r="S429" t="s">
        <v>293</v>
      </c>
      <c r="T429" t="s">
        <v>292</v>
      </c>
      <c r="U429" t="s">
        <v>292</v>
      </c>
      <c r="V429" t="s">
        <v>292</v>
      </c>
      <c r="W429" t="s">
        <v>293</v>
      </c>
      <c r="X429" t="str">
        <f t="shared" si="51"/>
        <v/>
      </c>
      <c r="Y429" t="str">
        <f t="shared" si="52"/>
        <v>reinforced_road-</v>
      </c>
      <c r="Z429" t="str">
        <f t="shared" si="53"/>
        <v>wood-</v>
      </c>
      <c r="AA429" t="str">
        <f t="shared" si="54"/>
        <v>steel</v>
      </c>
      <c r="AB429" t="str">
        <f t="shared" si="55"/>
        <v>reinforced_road-wood-steel</v>
      </c>
      <c r="AE429" t="s">
        <v>1686</v>
      </c>
    </row>
    <row r="430" spans="1:31" x14ac:dyDescent="0.3">
      <c r="A430" t="s">
        <v>9</v>
      </c>
      <c r="B430" t="s">
        <v>74</v>
      </c>
      <c r="C430" t="s">
        <v>29</v>
      </c>
      <c r="D430" t="s">
        <v>19</v>
      </c>
      <c r="E430" s="16" t="s">
        <v>272</v>
      </c>
      <c r="F430" s="16">
        <v>3</v>
      </c>
      <c r="G430" t="s">
        <v>1524</v>
      </c>
      <c r="H430" t="s">
        <v>282</v>
      </c>
      <c r="I430" t="s">
        <v>1568</v>
      </c>
      <c r="J430" t="s">
        <v>344</v>
      </c>
      <c r="L430" t="str">
        <f t="shared" si="49"/>
        <v>continuous/fully_connected</v>
      </c>
      <c r="M430" t="str">
        <f t="shared" si="50"/>
        <v>arch + standard_truss</v>
      </c>
      <c r="N430" t="str">
        <f t="shared" si="48"/>
        <v>bottom_structure/rock_structure + 3anc</v>
      </c>
      <c r="O430" t="s">
        <v>1686</v>
      </c>
      <c r="R430" t="s">
        <v>1132</v>
      </c>
      <c r="S430" t="s">
        <v>293</v>
      </c>
      <c r="T430" t="s">
        <v>292</v>
      </c>
      <c r="U430" t="s">
        <v>292</v>
      </c>
      <c r="V430" t="s">
        <v>292</v>
      </c>
      <c r="W430" t="s">
        <v>293</v>
      </c>
      <c r="X430" t="str">
        <f t="shared" si="51"/>
        <v/>
      </c>
      <c r="Y430" t="str">
        <f t="shared" si="52"/>
        <v>reinforced_road-</v>
      </c>
      <c r="Z430" t="str">
        <f t="shared" si="53"/>
        <v>wood-</v>
      </c>
      <c r="AA430" t="str">
        <f t="shared" si="54"/>
        <v>steel</v>
      </c>
      <c r="AB430" t="str">
        <f t="shared" si="55"/>
        <v>reinforced_road-wood-steel</v>
      </c>
      <c r="AE430" t="s">
        <v>1686</v>
      </c>
    </row>
    <row r="431" spans="1:31" x14ac:dyDescent="0.3">
      <c r="A431" t="s">
        <v>9</v>
      </c>
      <c r="B431" t="s">
        <v>74</v>
      </c>
      <c r="C431" t="s">
        <v>29</v>
      </c>
      <c r="D431" t="s">
        <v>20</v>
      </c>
      <c r="E431" s="16" t="s">
        <v>272</v>
      </c>
      <c r="F431" s="16">
        <v>3</v>
      </c>
      <c r="G431" t="s">
        <v>1524</v>
      </c>
      <c r="H431" t="s">
        <v>282</v>
      </c>
      <c r="I431" t="s">
        <v>1568</v>
      </c>
      <c r="J431" t="s">
        <v>344</v>
      </c>
      <c r="L431" t="str">
        <f t="shared" si="49"/>
        <v>continuous/fully_connected</v>
      </c>
      <c r="M431" t="str">
        <f t="shared" si="50"/>
        <v>arch + standard_truss</v>
      </c>
      <c r="N431" t="str">
        <f t="shared" si="48"/>
        <v>bottom_structure/rock_structure + 3anc</v>
      </c>
      <c r="O431" t="s">
        <v>1686</v>
      </c>
      <c r="R431" t="s">
        <v>1133</v>
      </c>
      <c r="S431" t="s">
        <v>293</v>
      </c>
      <c r="T431" t="s">
        <v>292</v>
      </c>
      <c r="U431" t="s">
        <v>292</v>
      </c>
      <c r="V431" t="s">
        <v>292</v>
      </c>
      <c r="W431" t="s">
        <v>293</v>
      </c>
      <c r="X431" t="str">
        <f t="shared" si="51"/>
        <v/>
      </c>
      <c r="Y431" t="str">
        <f t="shared" si="52"/>
        <v>reinforced_road-</v>
      </c>
      <c r="Z431" t="str">
        <f t="shared" si="53"/>
        <v>wood-</v>
      </c>
      <c r="AA431" t="str">
        <f t="shared" si="54"/>
        <v>steel</v>
      </c>
      <c r="AB431" t="str">
        <f t="shared" si="55"/>
        <v>reinforced_road-wood-steel</v>
      </c>
      <c r="AE431" t="s">
        <v>1686</v>
      </c>
    </row>
    <row r="432" spans="1:31" x14ac:dyDescent="0.3">
      <c r="A432" t="s">
        <v>9</v>
      </c>
      <c r="B432" t="s">
        <v>74</v>
      </c>
      <c r="C432" t="s">
        <v>29</v>
      </c>
      <c r="D432" t="s">
        <v>22</v>
      </c>
      <c r="E432" s="16" t="s">
        <v>272</v>
      </c>
      <c r="F432" s="16">
        <v>3</v>
      </c>
      <c r="G432" t="s">
        <v>1524</v>
      </c>
      <c r="H432" t="s">
        <v>1658</v>
      </c>
      <c r="I432" t="s">
        <v>1567</v>
      </c>
      <c r="J432" t="s">
        <v>344</v>
      </c>
      <c r="L432" t="str">
        <f t="shared" si="49"/>
        <v>continuous/fully_connected</v>
      </c>
      <c r="M432" t="str">
        <f t="shared" si="50"/>
        <v>other_shape + standard_truss</v>
      </c>
      <c r="N432" t="str">
        <f t="shared" si="48"/>
        <v>top_structure/rock_structure + 3anc</v>
      </c>
      <c r="O432" t="s">
        <v>1686</v>
      </c>
      <c r="R432" t="s">
        <v>1134</v>
      </c>
      <c r="S432" t="s">
        <v>293</v>
      </c>
      <c r="T432" t="s">
        <v>292</v>
      </c>
      <c r="U432" t="s">
        <v>292</v>
      </c>
      <c r="V432" t="s">
        <v>292</v>
      </c>
      <c r="W432" t="s">
        <v>293</v>
      </c>
      <c r="X432" t="str">
        <f t="shared" si="51"/>
        <v/>
      </c>
      <c r="Y432" t="str">
        <f t="shared" si="52"/>
        <v>reinforced_road-</v>
      </c>
      <c r="Z432" t="str">
        <f t="shared" si="53"/>
        <v>wood-</v>
      </c>
      <c r="AA432" t="str">
        <f t="shared" si="54"/>
        <v>steel</v>
      </c>
      <c r="AB432" t="str">
        <f t="shared" si="55"/>
        <v>reinforced_road-wood-steel</v>
      </c>
      <c r="AE432" t="s">
        <v>1686</v>
      </c>
    </row>
    <row r="433" spans="1:31" x14ac:dyDescent="0.3">
      <c r="A433" t="s">
        <v>45</v>
      </c>
      <c r="B433" t="s">
        <v>51</v>
      </c>
      <c r="C433" t="s">
        <v>12</v>
      </c>
      <c r="D433" t="s">
        <v>15</v>
      </c>
      <c r="E433" s="16" t="s">
        <v>272</v>
      </c>
      <c r="F433" s="16">
        <v>3</v>
      </c>
      <c r="G433" t="s">
        <v>1524</v>
      </c>
      <c r="H433" t="s">
        <v>282</v>
      </c>
      <c r="I433" t="s">
        <v>1567</v>
      </c>
      <c r="J433" t="s">
        <v>344</v>
      </c>
      <c r="L433" t="str">
        <f t="shared" si="49"/>
        <v>continuous/fully_connected</v>
      </c>
      <c r="M433" t="str">
        <f t="shared" si="50"/>
        <v>arch + standard_truss</v>
      </c>
      <c r="N433" t="str">
        <f t="shared" si="48"/>
        <v>top_structure/rock_structure + 3anc</v>
      </c>
      <c r="O433" t="s">
        <v>1684</v>
      </c>
      <c r="R433" t="s">
        <v>1135</v>
      </c>
      <c r="S433" t="s">
        <v>292</v>
      </c>
      <c r="T433" t="s">
        <v>293</v>
      </c>
      <c r="U433" t="s">
        <v>292</v>
      </c>
      <c r="V433" t="s">
        <v>292</v>
      </c>
      <c r="W433" t="s">
        <v>293</v>
      </c>
      <c r="X433" t="str">
        <f t="shared" si="51"/>
        <v>road-</v>
      </c>
      <c r="Y433" t="str">
        <f t="shared" si="52"/>
        <v/>
      </c>
      <c r="Z433" t="str">
        <f t="shared" si="53"/>
        <v>wood-</v>
      </c>
      <c r="AA433" t="str">
        <f t="shared" si="54"/>
        <v>steel</v>
      </c>
      <c r="AB433" t="str">
        <f t="shared" si="55"/>
        <v>road-wood-steel</v>
      </c>
      <c r="AE433" t="s">
        <v>1684</v>
      </c>
    </row>
    <row r="434" spans="1:31" x14ac:dyDescent="0.3">
      <c r="A434" t="s">
        <v>45</v>
      </c>
      <c r="B434" t="s">
        <v>51</v>
      </c>
      <c r="C434" t="s">
        <v>12</v>
      </c>
      <c r="D434" t="s">
        <v>14</v>
      </c>
      <c r="E434" s="16" t="s">
        <v>272</v>
      </c>
      <c r="F434" s="16">
        <v>3</v>
      </c>
      <c r="G434" t="s">
        <v>1524</v>
      </c>
      <c r="H434" t="s">
        <v>282</v>
      </c>
      <c r="I434" t="s">
        <v>1567</v>
      </c>
      <c r="J434" t="s">
        <v>344</v>
      </c>
      <c r="L434" t="str">
        <f t="shared" si="49"/>
        <v>continuous/fully_connected</v>
      </c>
      <c r="M434" t="str">
        <f t="shared" si="50"/>
        <v>arch + standard_truss</v>
      </c>
      <c r="N434" t="str">
        <f t="shared" si="48"/>
        <v>top_structure/rock_structure + 3anc</v>
      </c>
      <c r="O434" t="s">
        <v>1684</v>
      </c>
      <c r="R434" t="s">
        <v>1136</v>
      </c>
      <c r="S434" t="s">
        <v>292</v>
      </c>
      <c r="T434" t="s">
        <v>293</v>
      </c>
      <c r="U434" t="s">
        <v>292</v>
      </c>
      <c r="V434" t="s">
        <v>292</v>
      </c>
      <c r="W434" t="s">
        <v>293</v>
      </c>
      <c r="X434" t="str">
        <f t="shared" si="51"/>
        <v>road-</v>
      </c>
      <c r="Y434" t="str">
        <f t="shared" si="52"/>
        <v/>
      </c>
      <c r="Z434" t="str">
        <f t="shared" si="53"/>
        <v>wood-</v>
      </c>
      <c r="AA434" t="str">
        <f t="shared" si="54"/>
        <v>steel</v>
      </c>
      <c r="AB434" t="str">
        <f t="shared" si="55"/>
        <v>road-wood-steel</v>
      </c>
      <c r="AE434" t="s">
        <v>1684</v>
      </c>
    </row>
    <row r="435" spans="1:31" x14ac:dyDescent="0.3">
      <c r="A435" t="s">
        <v>45</v>
      </c>
      <c r="B435" t="s">
        <v>51</v>
      </c>
      <c r="C435" t="s">
        <v>12</v>
      </c>
      <c r="D435" t="s">
        <v>11</v>
      </c>
      <c r="E435" s="16" t="s">
        <v>272</v>
      </c>
      <c r="F435" s="16">
        <v>3</v>
      </c>
      <c r="G435" t="s">
        <v>1524</v>
      </c>
      <c r="H435" t="s">
        <v>282</v>
      </c>
      <c r="I435" t="s">
        <v>1567</v>
      </c>
      <c r="J435" t="s">
        <v>344</v>
      </c>
      <c r="L435" t="str">
        <f t="shared" si="49"/>
        <v>continuous/fully_connected</v>
      </c>
      <c r="M435" t="str">
        <f t="shared" si="50"/>
        <v>arch + standard_truss</v>
      </c>
      <c r="N435" t="str">
        <f t="shared" si="48"/>
        <v>top_structure/rock_structure + 3anc</v>
      </c>
      <c r="O435" t="s">
        <v>1684</v>
      </c>
      <c r="R435" t="s">
        <v>1137</v>
      </c>
      <c r="S435" t="s">
        <v>292</v>
      </c>
      <c r="T435" t="s">
        <v>293</v>
      </c>
      <c r="U435" t="s">
        <v>292</v>
      </c>
      <c r="V435" t="s">
        <v>292</v>
      </c>
      <c r="W435" t="s">
        <v>293</v>
      </c>
      <c r="X435" t="str">
        <f t="shared" si="51"/>
        <v>road-</v>
      </c>
      <c r="Y435" t="str">
        <f t="shared" si="52"/>
        <v/>
      </c>
      <c r="Z435" t="str">
        <f t="shared" si="53"/>
        <v>wood-</v>
      </c>
      <c r="AA435" t="str">
        <f t="shared" si="54"/>
        <v>steel</v>
      </c>
      <c r="AB435" t="str">
        <f t="shared" si="55"/>
        <v>road-wood-steel</v>
      </c>
      <c r="AE435" t="s">
        <v>1684</v>
      </c>
    </row>
    <row r="436" spans="1:31" x14ac:dyDescent="0.3">
      <c r="A436" t="s">
        <v>45</v>
      </c>
      <c r="B436" t="s">
        <v>51</v>
      </c>
      <c r="C436" t="s">
        <v>12</v>
      </c>
      <c r="D436" t="s">
        <v>21</v>
      </c>
      <c r="E436" s="16" t="s">
        <v>272</v>
      </c>
      <c r="F436" s="16">
        <v>3</v>
      </c>
      <c r="G436" t="s">
        <v>1524</v>
      </c>
      <c r="H436" t="s">
        <v>282</v>
      </c>
      <c r="I436" t="s">
        <v>1567</v>
      </c>
      <c r="J436" t="s">
        <v>344</v>
      </c>
      <c r="L436" t="str">
        <f t="shared" si="49"/>
        <v>continuous/fully_connected</v>
      </c>
      <c r="M436" t="str">
        <f t="shared" si="50"/>
        <v>arch + standard_truss</v>
      </c>
      <c r="N436" t="str">
        <f t="shared" si="48"/>
        <v>top_structure/rock_structure + 3anc</v>
      </c>
      <c r="O436" t="s">
        <v>1685</v>
      </c>
      <c r="R436" t="s">
        <v>1138</v>
      </c>
      <c r="S436" t="s">
        <v>292</v>
      </c>
      <c r="T436" t="s">
        <v>292</v>
      </c>
      <c r="U436" t="s">
        <v>292</v>
      </c>
      <c r="V436" t="s">
        <v>292</v>
      </c>
      <c r="W436" t="s">
        <v>293</v>
      </c>
      <c r="X436" t="str">
        <f t="shared" si="51"/>
        <v>road-</v>
      </c>
      <c r="Y436" t="str">
        <f t="shared" si="52"/>
        <v>reinforced_road-</v>
      </c>
      <c r="Z436" t="str">
        <f t="shared" si="53"/>
        <v>wood-</v>
      </c>
      <c r="AA436" t="str">
        <f t="shared" si="54"/>
        <v>steel</v>
      </c>
      <c r="AB436" t="str">
        <f t="shared" si="55"/>
        <v>road-reinforced_road-wood-steel</v>
      </c>
      <c r="AE436" t="s">
        <v>1685</v>
      </c>
    </row>
    <row r="437" spans="1:31" x14ac:dyDescent="0.3">
      <c r="A437" t="s">
        <v>45</v>
      </c>
      <c r="B437" t="s">
        <v>51</v>
      </c>
      <c r="C437" t="s">
        <v>12</v>
      </c>
      <c r="D437" t="s">
        <v>19</v>
      </c>
      <c r="E437" s="16" t="s">
        <v>272</v>
      </c>
      <c r="F437" s="16">
        <v>3</v>
      </c>
      <c r="G437" t="s">
        <v>1524</v>
      </c>
      <c r="H437" t="s">
        <v>282</v>
      </c>
      <c r="I437" t="s">
        <v>1567</v>
      </c>
      <c r="J437" t="s">
        <v>344</v>
      </c>
      <c r="L437" t="str">
        <f t="shared" si="49"/>
        <v>continuous/fully_connected</v>
      </c>
      <c r="M437" t="str">
        <f t="shared" si="50"/>
        <v>arch + standard_truss</v>
      </c>
      <c r="N437" t="str">
        <f t="shared" si="48"/>
        <v>top_structure/rock_structure + 3anc</v>
      </c>
      <c r="O437" t="s">
        <v>1685</v>
      </c>
      <c r="R437" t="s">
        <v>1139</v>
      </c>
      <c r="S437" t="s">
        <v>292</v>
      </c>
      <c r="T437" t="s">
        <v>292</v>
      </c>
      <c r="U437" t="s">
        <v>292</v>
      </c>
      <c r="V437" t="s">
        <v>292</v>
      </c>
      <c r="W437" t="s">
        <v>293</v>
      </c>
      <c r="X437" t="str">
        <f t="shared" si="51"/>
        <v>road-</v>
      </c>
      <c r="Y437" t="str">
        <f t="shared" si="52"/>
        <v>reinforced_road-</v>
      </c>
      <c r="Z437" t="str">
        <f t="shared" si="53"/>
        <v>wood-</v>
      </c>
      <c r="AA437" t="str">
        <f t="shared" si="54"/>
        <v>steel</v>
      </c>
      <c r="AB437" t="str">
        <f t="shared" si="55"/>
        <v>road-reinforced_road-wood-steel</v>
      </c>
      <c r="AE437" t="s">
        <v>1685</v>
      </c>
    </row>
    <row r="438" spans="1:31" x14ac:dyDescent="0.3">
      <c r="A438" t="s">
        <v>45</v>
      </c>
      <c r="B438" t="s">
        <v>51</v>
      </c>
      <c r="C438" t="s">
        <v>12</v>
      </c>
      <c r="D438" t="s">
        <v>17</v>
      </c>
      <c r="E438" s="16" t="s">
        <v>272</v>
      </c>
      <c r="F438" s="16">
        <v>3</v>
      </c>
      <c r="G438" t="s">
        <v>1524</v>
      </c>
      <c r="H438" t="s">
        <v>282</v>
      </c>
      <c r="I438" t="s">
        <v>1567</v>
      </c>
      <c r="J438" t="s">
        <v>344</v>
      </c>
      <c r="L438" t="str">
        <f t="shared" si="49"/>
        <v>continuous/fully_connected</v>
      </c>
      <c r="M438" t="str">
        <f t="shared" si="50"/>
        <v>arch + standard_truss</v>
      </c>
      <c r="N438" t="str">
        <f t="shared" si="48"/>
        <v>top_structure/rock_structure + 3anc</v>
      </c>
      <c r="O438" t="s">
        <v>1685</v>
      </c>
      <c r="R438" t="s">
        <v>1140</v>
      </c>
      <c r="S438" t="s">
        <v>292</v>
      </c>
      <c r="T438" t="s">
        <v>292</v>
      </c>
      <c r="U438" t="s">
        <v>292</v>
      </c>
      <c r="V438" t="s">
        <v>292</v>
      </c>
      <c r="W438" t="s">
        <v>293</v>
      </c>
      <c r="X438" t="str">
        <f t="shared" si="51"/>
        <v>road-</v>
      </c>
      <c r="Y438" t="str">
        <f t="shared" si="52"/>
        <v>reinforced_road-</v>
      </c>
      <c r="Z438" t="str">
        <f t="shared" si="53"/>
        <v>wood-</v>
      </c>
      <c r="AA438" t="str">
        <f t="shared" si="54"/>
        <v>steel</v>
      </c>
      <c r="AB438" t="str">
        <f t="shared" si="55"/>
        <v>road-reinforced_road-wood-steel</v>
      </c>
      <c r="AE438" t="s">
        <v>1685</v>
      </c>
    </row>
    <row r="439" spans="1:31" x14ac:dyDescent="0.3">
      <c r="A439" t="s">
        <v>45</v>
      </c>
      <c r="B439" t="s">
        <v>51</v>
      </c>
      <c r="C439" t="s">
        <v>12</v>
      </c>
      <c r="D439" t="s">
        <v>16</v>
      </c>
      <c r="E439" s="16" t="s">
        <v>272</v>
      </c>
      <c r="F439" s="16">
        <v>3</v>
      </c>
      <c r="G439" t="s">
        <v>1524</v>
      </c>
      <c r="H439" t="s">
        <v>282</v>
      </c>
      <c r="I439" t="s">
        <v>1567</v>
      </c>
      <c r="J439" t="s">
        <v>344</v>
      </c>
      <c r="L439" t="str">
        <f t="shared" si="49"/>
        <v>continuous/fully_connected</v>
      </c>
      <c r="M439" t="str">
        <f t="shared" si="50"/>
        <v>arch + standard_truss</v>
      </c>
      <c r="N439" t="str">
        <f t="shared" si="48"/>
        <v>top_structure/rock_structure + 3anc</v>
      </c>
      <c r="O439" t="s">
        <v>1685</v>
      </c>
      <c r="R439" t="s">
        <v>1141</v>
      </c>
      <c r="S439" t="s">
        <v>292</v>
      </c>
      <c r="T439" t="s">
        <v>292</v>
      </c>
      <c r="U439" t="s">
        <v>292</v>
      </c>
      <c r="V439" t="s">
        <v>292</v>
      </c>
      <c r="W439" t="s">
        <v>293</v>
      </c>
      <c r="X439" t="str">
        <f t="shared" si="51"/>
        <v>road-</v>
      </c>
      <c r="Y439" t="str">
        <f t="shared" si="52"/>
        <v>reinforced_road-</v>
      </c>
      <c r="Z439" t="str">
        <f t="shared" si="53"/>
        <v>wood-</v>
      </c>
      <c r="AA439" t="str">
        <f t="shared" si="54"/>
        <v>steel</v>
      </c>
      <c r="AB439" t="str">
        <f t="shared" si="55"/>
        <v>road-reinforced_road-wood-steel</v>
      </c>
      <c r="AE439" t="s">
        <v>1685</v>
      </c>
    </row>
    <row r="440" spans="1:31" x14ac:dyDescent="0.3">
      <c r="A440" t="s">
        <v>45</v>
      </c>
      <c r="B440" t="s">
        <v>51</v>
      </c>
      <c r="C440" t="s">
        <v>12</v>
      </c>
      <c r="D440" t="s">
        <v>20</v>
      </c>
      <c r="E440" s="16" t="s">
        <v>272</v>
      </c>
      <c r="F440" s="16">
        <v>2</v>
      </c>
      <c r="G440" t="s">
        <v>1524</v>
      </c>
      <c r="H440" t="s">
        <v>282</v>
      </c>
      <c r="I440" t="s">
        <v>341</v>
      </c>
      <c r="J440" t="s">
        <v>344</v>
      </c>
      <c r="L440" t="str">
        <f t="shared" si="49"/>
        <v>continuous/fully_connected</v>
      </c>
      <c r="M440" t="str">
        <f t="shared" si="50"/>
        <v>arch + standard_truss</v>
      </c>
      <c r="N440" t="str">
        <f t="shared" si="48"/>
        <v>top_structure + 2anc</v>
      </c>
      <c r="O440" t="s">
        <v>1690</v>
      </c>
      <c r="R440" t="s">
        <v>1142</v>
      </c>
      <c r="S440" t="s">
        <v>292</v>
      </c>
      <c r="T440" t="s">
        <v>292</v>
      </c>
      <c r="U440" t="s">
        <v>292</v>
      </c>
      <c r="V440" t="s">
        <v>293</v>
      </c>
      <c r="W440" t="s">
        <v>293</v>
      </c>
      <c r="X440" t="str">
        <f t="shared" si="51"/>
        <v>road-</v>
      </c>
      <c r="Y440" t="str">
        <f t="shared" si="52"/>
        <v>reinforced_road-</v>
      </c>
      <c r="Z440" t="str">
        <f t="shared" si="53"/>
        <v>wood-</v>
      </c>
      <c r="AA440" t="str">
        <f t="shared" si="54"/>
        <v/>
      </c>
      <c r="AB440" t="str">
        <f t="shared" si="55"/>
        <v>road-reinforced_road-wood-</v>
      </c>
      <c r="AE440" t="s">
        <v>1690</v>
      </c>
    </row>
    <row r="441" spans="1:31" x14ac:dyDescent="0.3">
      <c r="A441" t="s">
        <v>45</v>
      </c>
      <c r="B441" t="s">
        <v>51</v>
      </c>
      <c r="C441" t="s">
        <v>12</v>
      </c>
      <c r="D441" t="s">
        <v>22</v>
      </c>
      <c r="E441" s="16" t="s">
        <v>272</v>
      </c>
      <c r="F441" s="16">
        <v>3</v>
      </c>
      <c r="G441" t="s">
        <v>1524</v>
      </c>
      <c r="H441" t="s">
        <v>282</v>
      </c>
      <c r="I441" t="s">
        <v>1567</v>
      </c>
      <c r="J441" t="s">
        <v>344</v>
      </c>
      <c r="L441" t="str">
        <f t="shared" si="49"/>
        <v>continuous/fully_connected</v>
      </c>
      <c r="M441" t="str">
        <f t="shared" si="50"/>
        <v>arch + standard_truss</v>
      </c>
      <c r="N441" t="str">
        <f t="shared" si="48"/>
        <v>top_structure/rock_structure + 3anc</v>
      </c>
      <c r="O441" t="s">
        <v>1685</v>
      </c>
      <c r="R441" t="s">
        <v>1143</v>
      </c>
      <c r="S441" t="s">
        <v>292</v>
      </c>
      <c r="T441" t="s">
        <v>292</v>
      </c>
      <c r="U441" t="s">
        <v>292</v>
      </c>
      <c r="V441" t="s">
        <v>292</v>
      </c>
      <c r="W441" t="s">
        <v>293</v>
      </c>
      <c r="X441" t="str">
        <f t="shared" si="51"/>
        <v>road-</v>
      </c>
      <c r="Y441" t="str">
        <f t="shared" si="52"/>
        <v>reinforced_road-</v>
      </c>
      <c r="Z441" t="str">
        <f t="shared" si="53"/>
        <v>wood-</v>
      </c>
      <c r="AA441" t="str">
        <f t="shared" si="54"/>
        <v>steel</v>
      </c>
      <c r="AB441" t="str">
        <f t="shared" si="55"/>
        <v>road-reinforced_road-wood-steel</v>
      </c>
      <c r="AE441" t="s">
        <v>1685</v>
      </c>
    </row>
    <row r="442" spans="1:31" x14ac:dyDescent="0.3">
      <c r="A442" t="s">
        <v>45</v>
      </c>
      <c r="B442" t="s">
        <v>51</v>
      </c>
      <c r="C442" t="s">
        <v>29</v>
      </c>
      <c r="D442" t="s">
        <v>23</v>
      </c>
      <c r="E442" s="16" t="s">
        <v>272</v>
      </c>
      <c r="F442" s="16">
        <v>3</v>
      </c>
      <c r="G442" t="s">
        <v>1524</v>
      </c>
      <c r="H442" t="s">
        <v>282</v>
      </c>
      <c r="I442" t="s">
        <v>1567</v>
      </c>
      <c r="J442" t="s">
        <v>344</v>
      </c>
      <c r="L442" t="str">
        <f t="shared" si="49"/>
        <v>continuous/fully_connected</v>
      </c>
      <c r="M442" t="str">
        <f t="shared" si="50"/>
        <v>arch + standard_truss</v>
      </c>
      <c r="N442" t="str">
        <f t="shared" si="48"/>
        <v>top_structure/rock_structure + 3anc</v>
      </c>
      <c r="O442" t="s">
        <v>1685</v>
      </c>
      <c r="R442" t="s">
        <v>1144</v>
      </c>
      <c r="S442" t="s">
        <v>292</v>
      </c>
      <c r="T442" t="s">
        <v>292</v>
      </c>
      <c r="U442" t="s">
        <v>292</v>
      </c>
      <c r="V442" t="s">
        <v>292</v>
      </c>
      <c r="W442" t="s">
        <v>293</v>
      </c>
      <c r="X442" t="str">
        <f t="shared" si="51"/>
        <v>road-</v>
      </c>
      <c r="Y442" t="str">
        <f t="shared" si="52"/>
        <v>reinforced_road-</v>
      </c>
      <c r="Z442" t="str">
        <f t="shared" si="53"/>
        <v>wood-</v>
      </c>
      <c r="AA442" t="str">
        <f t="shared" si="54"/>
        <v>steel</v>
      </c>
      <c r="AB442" t="str">
        <f t="shared" si="55"/>
        <v>road-reinforced_road-wood-steel</v>
      </c>
      <c r="AE442" t="s">
        <v>1685</v>
      </c>
    </row>
    <row r="443" spans="1:31" x14ac:dyDescent="0.3">
      <c r="A443" t="s">
        <v>45</v>
      </c>
      <c r="B443" t="s">
        <v>51</v>
      </c>
      <c r="C443" t="s">
        <v>29</v>
      </c>
      <c r="D443" t="s">
        <v>25</v>
      </c>
      <c r="E443" s="16" t="s">
        <v>272</v>
      </c>
      <c r="F443" s="16">
        <v>3</v>
      </c>
      <c r="G443" t="s">
        <v>1524</v>
      </c>
      <c r="H443" t="s">
        <v>1540</v>
      </c>
      <c r="I443" t="s">
        <v>1567</v>
      </c>
      <c r="J443" t="s">
        <v>291</v>
      </c>
      <c r="L443" t="str">
        <f t="shared" si="49"/>
        <v>continuous/fully_connected</v>
      </c>
      <c r="M443" t="str">
        <f t="shared" si="50"/>
        <v>inclined/arch + other</v>
      </c>
      <c r="N443" t="str">
        <f t="shared" si="48"/>
        <v>top_structure/rock_structure + 3anc</v>
      </c>
      <c r="O443" t="s">
        <v>1685</v>
      </c>
      <c r="R443" t="s">
        <v>1145</v>
      </c>
      <c r="S443" t="s">
        <v>292</v>
      </c>
      <c r="T443" t="s">
        <v>292</v>
      </c>
      <c r="U443" t="s">
        <v>292</v>
      </c>
      <c r="V443" t="s">
        <v>292</v>
      </c>
      <c r="W443" t="s">
        <v>293</v>
      </c>
      <c r="X443" t="str">
        <f t="shared" si="51"/>
        <v>road-</v>
      </c>
      <c r="Y443" t="str">
        <f t="shared" si="52"/>
        <v>reinforced_road-</v>
      </c>
      <c r="Z443" t="str">
        <f t="shared" si="53"/>
        <v>wood-</v>
      </c>
      <c r="AA443" t="str">
        <f t="shared" si="54"/>
        <v>steel</v>
      </c>
      <c r="AB443" t="str">
        <f t="shared" si="55"/>
        <v>road-reinforced_road-wood-steel</v>
      </c>
      <c r="AE443" t="s">
        <v>1685</v>
      </c>
    </row>
    <row r="444" spans="1:31" x14ac:dyDescent="0.3">
      <c r="A444" t="s">
        <v>45</v>
      </c>
      <c r="B444" t="s">
        <v>51</v>
      </c>
      <c r="C444" t="s">
        <v>29</v>
      </c>
      <c r="D444" t="s">
        <v>24</v>
      </c>
      <c r="E444" s="16" t="s">
        <v>272</v>
      </c>
      <c r="F444" s="16">
        <v>3</v>
      </c>
      <c r="G444" t="s">
        <v>1524</v>
      </c>
      <c r="H444" t="s">
        <v>282</v>
      </c>
      <c r="I444" t="s">
        <v>1567</v>
      </c>
      <c r="J444" t="s">
        <v>344</v>
      </c>
      <c r="L444" t="str">
        <f t="shared" si="49"/>
        <v>continuous/fully_connected</v>
      </c>
      <c r="M444" t="str">
        <f t="shared" si="50"/>
        <v>arch + standard_truss</v>
      </c>
      <c r="N444" t="str">
        <f t="shared" si="48"/>
        <v>top_structure/rock_structure + 3anc</v>
      </c>
      <c r="O444" t="s">
        <v>1685</v>
      </c>
      <c r="R444" t="s">
        <v>1146</v>
      </c>
      <c r="S444" t="s">
        <v>292</v>
      </c>
      <c r="T444" t="s">
        <v>292</v>
      </c>
      <c r="U444" t="s">
        <v>292</v>
      </c>
      <c r="V444" t="s">
        <v>292</v>
      </c>
      <c r="W444" t="s">
        <v>293</v>
      </c>
      <c r="X444" t="str">
        <f t="shared" si="51"/>
        <v>road-</v>
      </c>
      <c r="Y444" t="str">
        <f t="shared" si="52"/>
        <v>reinforced_road-</v>
      </c>
      <c r="Z444" t="str">
        <f t="shared" si="53"/>
        <v>wood-</v>
      </c>
      <c r="AA444" t="str">
        <f t="shared" si="54"/>
        <v>steel</v>
      </c>
      <c r="AB444" t="str">
        <f t="shared" si="55"/>
        <v>road-reinforced_road-wood-steel</v>
      </c>
      <c r="AE444" t="s">
        <v>1685</v>
      </c>
    </row>
    <row r="445" spans="1:31" x14ac:dyDescent="0.3">
      <c r="A445" t="s">
        <v>45</v>
      </c>
      <c r="B445" t="s">
        <v>51</v>
      </c>
      <c r="C445" t="s">
        <v>29</v>
      </c>
      <c r="D445" t="s">
        <v>32</v>
      </c>
      <c r="E445" s="16" t="s">
        <v>272</v>
      </c>
      <c r="F445" s="16">
        <v>3</v>
      </c>
      <c r="G445" t="s">
        <v>1524</v>
      </c>
      <c r="H445" t="s">
        <v>282</v>
      </c>
      <c r="I445" t="s">
        <v>1567</v>
      </c>
      <c r="J445" t="s">
        <v>344</v>
      </c>
      <c r="L445" t="str">
        <f t="shared" si="49"/>
        <v>continuous/fully_connected</v>
      </c>
      <c r="M445" t="str">
        <f t="shared" si="50"/>
        <v>arch + standard_truss</v>
      </c>
      <c r="N445" t="str">
        <f t="shared" si="48"/>
        <v>top_structure/rock_structure + 3anc</v>
      </c>
      <c r="O445" t="s">
        <v>1685</v>
      </c>
      <c r="R445" t="s">
        <v>1147</v>
      </c>
      <c r="S445" t="s">
        <v>292</v>
      </c>
      <c r="T445" t="s">
        <v>292</v>
      </c>
      <c r="U445" t="s">
        <v>292</v>
      </c>
      <c r="V445" t="s">
        <v>292</v>
      </c>
      <c r="W445" t="s">
        <v>293</v>
      </c>
      <c r="X445" t="str">
        <f t="shared" si="51"/>
        <v>road-</v>
      </c>
      <c r="Y445" t="str">
        <f t="shared" si="52"/>
        <v>reinforced_road-</v>
      </c>
      <c r="Z445" t="str">
        <f t="shared" si="53"/>
        <v>wood-</v>
      </c>
      <c r="AA445" t="str">
        <f t="shared" si="54"/>
        <v>steel</v>
      </c>
      <c r="AB445" t="str">
        <f t="shared" si="55"/>
        <v>road-reinforced_road-wood-steel</v>
      </c>
      <c r="AE445" t="s">
        <v>1685</v>
      </c>
    </row>
    <row r="446" spans="1:31" x14ac:dyDescent="0.3">
      <c r="A446" t="s">
        <v>45</v>
      </c>
      <c r="B446" t="s">
        <v>51</v>
      </c>
      <c r="C446" t="s">
        <v>29</v>
      </c>
      <c r="D446" t="s">
        <v>30</v>
      </c>
      <c r="E446" s="16" t="s">
        <v>272</v>
      </c>
      <c r="F446" s="16">
        <v>3</v>
      </c>
      <c r="G446" t="s">
        <v>1524</v>
      </c>
      <c r="H446" t="s">
        <v>282</v>
      </c>
      <c r="I446" t="s">
        <v>1567</v>
      </c>
      <c r="J446" t="s">
        <v>344</v>
      </c>
      <c r="L446" t="str">
        <f t="shared" si="49"/>
        <v>continuous/fully_connected</v>
      </c>
      <c r="M446" t="str">
        <f t="shared" si="50"/>
        <v>arch + standard_truss</v>
      </c>
      <c r="N446" t="str">
        <f t="shared" si="48"/>
        <v>top_structure/rock_structure + 3anc</v>
      </c>
      <c r="O446" t="s">
        <v>1685</v>
      </c>
      <c r="R446" t="s">
        <v>1148</v>
      </c>
      <c r="S446" t="s">
        <v>292</v>
      </c>
      <c r="T446" t="s">
        <v>292</v>
      </c>
      <c r="U446" t="s">
        <v>292</v>
      </c>
      <c r="V446" t="s">
        <v>292</v>
      </c>
      <c r="W446" t="s">
        <v>293</v>
      </c>
      <c r="X446" t="str">
        <f t="shared" si="51"/>
        <v>road-</v>
      </c>
      <c r="Y446" t="str">
        <f t="shared" si="52"/>
        <v>reinforced_road-</v>
      </c>
      <c r="Z446" t="str">
        <f t="shared" si="53"/>
        <v>wood-</v>
      </c>
      <c r="AA446" t="str">
        <f t="shared" si="54"/>
        <v>steel</v>
      </c>
      <c r="AB446" t="str">
        <f t="shared" si="55"/>
        <v>road-reinforced_road-wood-steel</v>
      </c>
      <c r="AE446" t="s">
        <v>1685</v>
      </c>
    </row>
    <row r="447" spans="1:31" x14ac:dyDescent="0.3">
      <c r="A447" t="s">
        <v>45</v>
      </c>
      <c r="B447" t="s">
        <v>51</v>
      </c>
      <c r="C447" t="s">
        <v>29</v>
      </c>
      <c r="D447" t="s">
        <v>33</v>
      </c>
      <c r="E447" s="16" t="s">
        <v>272</v>
      </c>
      <c r="F447" s="16">
        <v>3</v>
      </c>
      <c r="G447" t="s">
        <v>1524</v>
      </c>
      <c r="H447" t="s">
        <v>282</v>
      </c>
      <c r="I447" t="s">
        <v>1567</v>
      </c>
      <c r="J447" t="s">
        <v>344</v>
      </c>
      <c r="L447" t="str">
        <f t="shared" si="49"/>
        <v>continuous/fully_connected</v>
      </c>
      <c r="M447" t="str">
        <f t="shared" si="50"/>
        <v>arch + standard_truss</v>
      </c>
      <c r="N447" t="str">
        <f t="shared" si="48"/>
        <v>top_structure/rock_structure + 3anc</v>
      </c>
      <c r="O447" t="s">
        <v>1685</v>
      </c>
      <c r="R447" t="s">
        <v>1149</v>
      </c>
      <c r="S447" t="s">
        <v>292</v>
      </c>
      <c r="T447" t="s">
        <v>292</v>
      </c>
      <c r="U447" t="s">
        <v>292</v>
      </c>
      <c r="V447" t="s">
        <v>292</v>
      </c>
      <c r="W447" t="s">
        <v>293</v>
      </c>
      <c r="X447" t="str">
        <f t="shared" si="51"/>
        <v>road-</v>
      </c>
      <c r="Y447" t="str">
        <f t="shared" si="52"/>
        <v>reinforced_road-</v>
      </c>
      <c r="Z447" t="str">
        <f t="shared" si="53"/>
        <v>wood-</v>
      </c>
      <c r="AA447" t="str">
        <f t="shared" si="54"/>
        <v>steel</v>
      </c>
      <c r="AB447" t="str">
        <f t="shared" si="55"/>
        <v>road-reinforced_road-wood-steel</v>
      </c>
      <c r="AE447" t="s">
        <v>1685</v>
      </c>
    </row>
    <row r="448" spans="1:31" x14ac:dyDescent="0.3">
      <c r="A448" t="s">
        <v>45</v>
      </c>
      <c r="B448" t="s">
        <v>51</v>
      </c>
      <c r="C448" t="s">
        <v>29</v>
      </c>
      <c r="D448" t="s">
        <v>26</v>
      </c>
      <c r="E448" s="16" t="s">
        <v>272</v>
      </c>
      <c r="F448" s="16">
        <v>3</v>
      </c>
      <c r="G448" t="s">
        <v>1524</v>
      </c>
      <c r="H448" t="s">
        <v>1540</v>
      </c>
      <c r="I448" t="s">
        <v>1567</v>
      </c>
      <c r="J448" t="s">
        <v>291</v>
      </c>
      <c r="L448" t="str">
        <f t="shared" si="49"/>
        <v>continuous/fully_connected</v>
      </c>
      <c r="M448" t="str">
        <f t="shared" si="50"/>
        <v>inclined/arch + other</v>
      </c>
      <c r="N448" t="str">
        <f t="shared" si="48"/>
        <v>top_structure/rock_structure + 3anc</v>
      </c>
      <c r="O448" t="s">
        <v>1685</v>
      </c>
      <c r="R448" t="s">
        <v>1150</v>
      </c>
      <c r="S448" t="s">
        <v>292</v>
      </c>
      <c r="T448" t="s">
        <v>292</v>
      </c>
      <c r="U448" t="s">
        <v>292</v>
      </c>
      <c r="V448" t="s">
        <v>292</v>
      </c>
      <c r="W448" t="s">
        <v>293</v>
      </c>
      <c r="X448" t="str">
        <f t="shared" si="51"/>
        <v>road-</v>
      </c>
      <c r="Y448" t="str">
        <f t="shared" si="52"/>
        <v>reinforced_road-</v>
      </c>
      <c r="Z448" t="str">
        <f t="shared" si="53"/>
        <v>wood-</v>
      </c>
      <c r="AA448" t="str">
        <f t="shared" si="54"/>
        <v>steel</v>
      </c>
      <c r="AB448" t="str">
        <f t="shared" si="55"/>
        <v>road-reinforced_road-wood-steel</v>
      </c>
      <c r="AE448" t="s">
        <v>1685</v>
      </c>
    </row>
    <row r="449" spans="1:31" x14ac:dyDescent="0.3">
      <c r="A449" t="s">
        <v>45</v>
      </c>
      <c r="B449" t="s">
        <v>51</v>
      </c>
      <c r="C449" t="s">
        <v>29</v>
      </c>
      <c r="D449" t="s">
        <v>31</v>
      </c>
      <c r="E449" s="16" t="s">
        <v>272</v>
      </c>
      <c r="F449" s="16">
        <v>3</v>
      </c>
      <c r="G449" t="s">
        <v>1524</v>
      </c>
      <c r="H449" t="s">
        <v>282</v>
      </c>
      <c r="I449" t="s">
        <v>1567</v>
      </c>
      <c r="J449" t="s">
        <v>344</v>
      </c>
      <c r="L449" t="str">
        <f t="shared" si="49"/>
        <v>continuous/fully_connected</v>
      </c>
      <c r="M449" t="str">
        <f t="shared" si="50"/>
        <v>arch + standard_truss</v>
      </c>
      <c r="N449" t="str">
        <f t="shared" si="48"/>
        <v>top_structure/rock_structure + 3anc</v>
      </c>
      <c r="O449" t="s">
        <v>1685</v>
      </c>
      <c r="R449" t="s">
        <v>1151</v>
      </c>
      <c r="S449" t="s">
        <v>292</v>
      </c>
      <c r="T449" t="s">
        <v>292</v>
      </c>
      <c r="U449" t="s">
        <v>292</v>
      </c>
      <c r="V449" t="s">
        <v>292</v>
      </c>
      <c r="W449" t="s">
        <v>293</v>
      </c>
      <c r="X449" t="str">
        <f t="shared" si="51"/>
        <v>road-</v>
      </c>
      <c r="Y449" t="str">
        <f t="shared" si="52"/>
        <v>reinforced_road-</v>
      </c>
      <c r="Z449" t="str">
        <f t="shared" si="53"/>
        <v>wood-</v>
      </c>
      <c r="AA449" t="str">
        <f t="shared" si="54"/>
        <v>steel</v>
      </c>
      <c r="AB449" t="str">
        <f t="shared" si="55"/>
        <v>road-reinforced_road-wood-steel</v>
      </c>
      <c r="AE449" t="s">
        <v>1685</v>
      </c>
    </row>
    <row r="450" spans="1:31" x14ac:dyDescent="0.3">
      <c r="A450" t="s">
        <v>45</v>
      </c>
      <c r="B450" t="s">
        <v>51</v>
      </c>
      <c r="C450" t="s">
        <v>29</v>
      </c>
      <c r="D450" t="s">
        <v>27</v>
      </c>
      <c r="E450" s="16" t="s">
        <v>272</v>
      </c>
      <c r="F450" s="16">
        <v>3</v>
      </c>
      <c r="G450" t="s">
        <v>1524</v>
      </c>
      <c r="H450" t="s">
        <v>1540</v>
      </c>
      <c r="I450" t="s">
        <v>1567</v>
      </c>
      <c r="J450" t="s">
        <v>1570</v>
      </c>
      <c r="L450" t="str">
        <f t="shared" si="49"/>
        <v>continuous/fully_connected</v>
      </c>
      <c r="M450" t="str">
        <f t="shared" si="50"/>
        <v>inclined/arch + standard_truss/other</v>
      </c>
      <c r="N450" t="str">
        <f t="shared" ref="N450:N460" si="56">I450&amp;" + "&amp;F450&amp;"anc"</f>
        <v>top_structure/rock_structure + 3anc</v>
      </c>
      <c r="O450" t="s">
        <v>1685</v>
      </c>
      <c r="R450" t="s">
        <v>1152</v>
      </c>
      <c r="S450" t="s">
        <v>292</v>
      </c>
      <c r="T450" t="s">
        <v>292</v>
      </c>
      <c r="U450" t="s">
        <v>292</v>
      </c>
      <c r="V450" t="s">
        <v>292</v>
      </c>
      <c r="W450" t="s">
        <v>293</v>
      </c>
      <c r="X450" t="str">
        <f t="shared" si="51"/>
        <v>road-</v>
      </c>
      <c r="Y450" t="str">
        <f t="shared" si="52"/>
        <v>reinforced_road-</v>
      </c>
      <c r="Z450" t="str">
        <f t="shared" si="53"/>
        <v>wood-</v>
      </c>
      <c r="AA450" t="str">
        <f t="shared" si="54"/>
        <v>steel</v>
      </c>
      <c r="AB450" t="str">
        <f t="shared" si="55"/>
        <v>road-reinforced_road-wood-steel</v>
      </c>
      <c r="AE450" t="s">
        <v>1685</v>
      </c>
    </row>
    <row r="451" spans="1:31" x14ac:dyDescent="0.3">
      <c r="A451" t="s">
        <v>45</v>
      </c>
      <c r="B451" t="s">
        <v>51</v>
      </c>
      <c r="C451" t="s">
        <v>29</v>
      </c>
      <c r="D451" t="s">
        <v>28</v>
      </c>
      <c r="E451" s="16" t="s">
        <v>272</v>
      </c>
      <c r="F451" s="16">
        <v>3</v>
      </c>
      <c r="G451" t="s">
        <v>1524</v>
      </c>
      <c r="H451" t="s">
        <v>1658</v>
      </c>
      <c r="I451" t="s">
        <v>340</v>
      </c>
      <c r="J451" t="s">
        <v>348</v>
      </c>
      <c r="L451" t="str">
        <f t="shared" ref="L451:L460" si="57">G451</f>
        <v>continuous/fully_connected</v>
      </c>
      <c r="M451" t="str">
        <f t="shared" ref="M451:M460" si="58">H451&amp;" + "&amp;J451</f>
        <v>other_shape + no_truss</v>
      </c>
      <c r="N451" t="str">
        <f t="shared" si="56"/>
        <v>no_structure + 3anc</v>
      </c>
      <c r="O451" t="s">
        <v>1688</v>
      </c>
      <c r="R451" t="s">
        <v>1153</v>
      </c>
      <c r="S451" t="s">
        <v>293</v>
      </c>
      <c r="T451" t="s">
        <v>292</v>
      </c>
      <c r="U451" t="s">
        <v>293</v>
      </c>
      <c r="V451" t="s">
        <v>292</v>
      </c>
      <c r="W451" t="s">
        <v>293</v>
      </c>
      <c r="X451" t="str">
        <f t="shared" ref="X451:X460" si="59">IF(S451="yes","road-","")</f>
        <v/>
      </c>
      <c r="Y451" t="str">
        <f t="shared" ref="Y451:Y460" si="60">IF(T451="yes","reinforced_road-","")</f>
        <v>reinforced_road-</v>
      </c>
      <c r="Z451" t="str">
        <f t="shared" ref="Z451:Z460" si="61">IF(U451="yes","wood-","")</f>
        <v/>
      </c>
      <c r="AA451" t="str">
        <f t="shared" ref="AA451:AA460" si="62">IF(V451="yes","steel","")</f>
        <v>steel</v>
      </c>
      <c r="AB451" t="str">
        <f t="shared" ref="AB451:AB460" si="63">X451&amp;Y451&amp;Z451&amp;AA451</f>
        <v>reinforced_road-steel</v>
      </c>
      <c r="AE451" t="s">
        <v>1688</v>
      </c>
    </row>
    <row r="452" spans="1:31" x14ac:dyDescent="0.3">
      <c r="A452" t="s">
        <v>9</v>
      </c>
      <c r="B452" t="s">
        <v>70</v>
      </c>
      <c r="C452" t="s">
        <v>12</v>
      </c>
      <c r="D452" t="s">
        <v>14</v>
      </c>
      <c r="E452" s="16" t="s">
        <v>272</v>
      </c>
      <c r="F452" s="16">
        <v>3</v>
      </c>
      <c r="G452" t="s">
        <v>1524</v>
      </c>
      <c r="H452" t="s">
        <v>282</v>
      </c>
      <c r="I452" t="s">
        <v>1567</v>
      </c>
      <c r="J452" t="s">
        <v>291</v>
      </c>
      <c r="L452" t="str">
        <f t="shared" si="57"/>
        <v>continuous/fully_connected</v>
      </c>
      <c r="M452" t="str">
        <f t="shared" si="58"/>
        <v>arch + other</v>
      </c>
      <c r="N452" t="str">
        <f t="shared" si="56"/>
        <v>top_structure/rock_structure + 3anc</v>
      </c>
      <c r="O452" t="s">
        <v>1688</v>
      </c>
      <c r="R452" t="s">
        <v>1154</v>
      </c>
      <c r="S452" t="s">
        <v>293</v>
      </c>
      <c r="T452" t="s">
        <v>292</v>
      </c>
      <c r="U452" t="s">
        <v>293</v>
      </c>
      <c r="V452" t="s">
        <v>292</v>
      </c>
      <c r="W452" t="s">
        <v>293</v>
      </c>
      <c r="X452" t="str">
        <f t="shared" si="59"/>
        <v/>
      </c>
      <c r="Y452" t="str">
        <f t="shared" si="60"/>
        <v>reinforced_road-</v>
      </c>
      <c r="Z452" t="str">
        <f t="shared" si="61"/>
        <v/>
      </c>
      <c r="AA452" t="str">
        <f t="shared" si="62"/>
        <v>steel</v>
      </c>
      <c r="AB452" t="str">
        <f t="shared" si="63"/>
        <v>reinforced_road-steel</v>
      </c>
      <c r="AE452" t="s">
        <v>1688</v>
      </c>
    </row>
    <row r="453" spans="1:31" x14ac:dyDescent="0.3">
      <c r="A453" t="s">
        <v>9</v>
      </c>
      <c r="B453" t="s">
        <v>70</v>
      </c>
      <c r="C453" t="s">
        <v>12</v>
      </c>
      <c r="D453" t="s">
        <v>11</v>
      </c>
      <c r="E453" s="16" t="s">
        <v>272</v>
      </c>
      <c r="F453" s="16">
        <v>3</v>
      </c>
      <c r="G453" t="s">
        <v>1524</v>
      </c>
      <c r="H453" t="s">
        <v>1551</v>
      </c>
      <c r="I453" t="s">
        <v>1567</v>
      </c>
      <c r="J453" t="s">
        <v>291</v>
      </c>
      <c r="L453" t="str">
        <f t="shared" si="57"/>
        <v>continuous/fully_connected</v>
      </c>
      <c r="M453" t="str">
        <f t="shared" si="58"/>
        <v>inverted_arch/s-shape/arch + other</v>
      </c>
      <c r="N453" t="str">
        <f t="shared" si="56"/>
        <v>top_structure/rock_structure + 3anc</v>
      </c>
      <c r="O453" t="s">
        <v>1688</v>
      </c>
      <c r="R453" t="s">
        <v>1155</v>
      </c>
      <c r="S453" t="s">
        <v>293</v>
      </c>
      <c r="T453" t="s">
        <v>292</v>
      </c>
      <c r="U453" t="s">
        <v>293</v>
      </c>
      <c r="V453" t="s">
        <v>292</v>
      </c>
      <c r="W453" t="s">
        <v>293</v>
      </c>
      <c r="X453" t="str">
        <f t="shared" si="59"/>
        <v/>
      </c>
      <c r="Y453" t="str">
        <f t="shared" si="60"/>
        <v>reinforced_road-</v>
      </c>
      <c r="Z453" t="str">
        <f t="shared" si="61"/>
        <v/>
      </c>
      <c r="AA453" t="str">
        <f t="shared" si="62"/>
        <v>steel</v>
      </c>
      <c r="AB453" t="str">
        <f t="shared" si="63"/>
        <v>reinforced_road-steel</v>
      </c>
      <c r="AE453" t="s">
        <v>1688</v>
      </c>
    </row>
    <row r="454" spans="1:31" x14ac:dyDescent="0.3">
      <c r="A454" t="s">
        <v>9</v>
      </c>
      <c r="B454" t="s">
        <v>70</v>
      </c>
      <c r="C454" t="s">
        <v>29</v>
      </c>
      <c r="D454" t="s">
        <v>15</v>
      </c>
      <c r="E454" s="16" t="s">
        <v>272</v>
      </c>
      <c r="F454" s="16">
        <v>3</v>
      </c>
      <c r="G454" t="s">
        <v>1524</v>
      </c>
      <c r="H454" t="s">
        <v>1551</v>
      </c>
      <c r="I454" t="s">
        <v>1567</v>
      </c>
      <c r="J454" t="s">
        <v>291</v>
      </c>
      <c r="L454" t="str">
        <f t="shared" si="57"/>
        <v>continuous/fully_connected</v>
      </c>
      <c r="M454" t="str">
        <f t="shared" si="58"/>
        <v>inverted_arch/s-shape/arch + other</v>
      </c>
      <c r="N454" t="str">
        <f t="shared" si="56"/>
        <v>top_structure/rock_structure + 3anc</v>
      </c>
      <c r="O454" t="s">
        <v>1686</v>
      </c>
      <c r="R454" t="s">
        <v>1156</v>
      </c>
      <c r="S454" t="s">
        <v>293</v>
      </c>
      <c r="T454" t="s">
        <v>292</v>
      </c>
      <c r="U454" t="s">
        <v>292</v>
      </c>
      <c r="V454" t="s">
        <v>292</v>
      </c>
      <c r="W454" t="s">
        <v>293</v>
      </c>
      <c r="X454" t="str">
        <f t="shared" si="59"/>
        <v/>
      </c>
      <c r="Y454" t="str">
        <f t="shared" si="60"/>
        <v>reinforced_road-</v>
      </c>
      <c r="Z454" t="str">
        <f t="shared" si="61"/>
        <v>wood-</v>
      </c>
      <c r="AA454" t="str">
        <f t="shared" si="62"/>
        <v>steel</v>
      </c>
      <c r="AB454" t="str">
        <f t="shared" si="63"/>
        <v>reinforced_road-wood-steel</v>
      </c>
      <c r="AE454" t="s">
        <v>1686</v>
      </c>
    </row>
    <row r="455" spans="1:31" x14ac:dyDescent="0.3">
      <c r="A455" t="s">
        <v>9</v>
      </c>
      <c r="B455" t="s">
        <v>70</v>
      </c>
      <c r="C455" t="s">
        <v>29</v>
      </c>
      <c r="D455" t="s">
        <v>21</v>
      </c>
      <c r="E455" s="16" t="s">
        <v>272</v>
      </c>
      <c r="F455" s="16">
        <v>3</v>
      </c>
      <c r="G455" t="s">
        <v>1524</v>
      </c>
      <c r="H455" t="s">
        <v>282</v>
      </c>
      <c r="I455" t="s">
        <v>1566</v>
      </c>
      <c r="J455" t="s">
        <v>1571</v>
      </c>
      <c r="L455" t="str">
        <f t="shared" si="57"/>
        <v>continuous/fully_connected</v>
      </c>
      <c r="M455" t="str">
        <f t="shared" si="58"/>
        <v>arch + standard_truss/other_truss</v>
      </c>
      <c r="N455" t="str">
        <f t="shared" si="56"/>
        <v>top_structure/bottom_structure/rock_structure + 3anc</v>
      </c>
      <c r="O455" t="s">
        <v>1693</v>
      </c>
      <c r="R455" t="s">
        <v>1157</v>
      </c>
      <c r="S455" t="s">
        <v>293</v>
      </c>
      <c r="T455" t="s">
        <v>292</v>
      </c>
      <c r="U455" t="s">
        <v>292</v>
      </c>
      <c r="V455" t="s">
        <v>293</v>
      </c>
      <c r="W455" t="s">
        <v>293</v>
      </c>
      <c r="X455" t="str">
        <f t="shared" si="59"/>
        <v/>
      </c>
      <c r="Y455" t="str">
        <f t="shared" si="60"/>
        <v>reinforced_road-</v>
      </c>
      <c r="Z455" t="str">
        <f t="shared" si="61"/>
        <v>wood-</v>
      </c>
      <c r="AA455" t="str">
        <f t="shared" si="62"/>
        <v/>
      </c>
      <c r="AB455" t="str">
        <f t="shared" si="63"/>
        <v>reinforced_road-wood-</v>
      </c>
      <c r="AE455" t="s">
        <v>1693</v>
      </c>
    </row>
    <row r="456" spans="1:31" x14ac:dyDescent="0.3">
      <c r="A456" t="s">
        <v>9</v>
      </c>
      <c r="B456" t="s">
        <v>70</v>
      </c>
      <c r="C456" t="s">
        <v>29</v>
      </c>
      <c r="D456" t="s">
        <v>19</v>
      </c>
      <c r="E456" s="16" t="s">
        <v>272</v>
      </c>
      <c r="F456" s="16">
        <v>2</v>
      </c>
      <c r="G456" t="s">
        <v>1524</v>
      </c>
      <c r="H456" t="s">
        <v>282</v>
      </c>
      <c r="I456" t="s">
        <v>341</v>
      </c>
      <c r="J456" t="s">
        <v>344</v>
      </c>
      <c r="L456" t="str">
        <f t="shared" si="57"/>
        <v>continuous/fully_connected</v>
      </c>
      <c r="M456" t="str">
        <f t="shared" si="58"/>
        <v>arch + standard_truss</v>
      </c>
      <c r="N456" t="str">
        <f t="shared" si="56"/>
        <v>top_structure + 2anc</v>
      </c>
      <c r="O456" t="s">
        <v>1686</v>
      </c>
      <c r="R456" t="s">
        <v>1158</v>
      </c>
      <c r="S456" t="s">
        <v>293</v>
      </c>
      <c r="T456" t="s">
        <v>292</v>
      </c>
      <c r="U456" t="s">
        <v>292</v>
      </c>
      <c r="V456" t="s">
        <v>292</v>
      </c>
      <c r="W456" t="s">
        <v>293</v>
      </c>
      <c r="X456" t="str">
        <f t="shared" si="59"/>
        <v/>
      </c>
      <c r="Y456" t="str">
        <f t="shared" si="60"/>
        <v>reinforced_road-</v>
      </c>
      <c r="Z456" t="str">
        <f t="shared" si="61"/>
        <v>wood-</v>
      </c>
      <c r="AA456" t="str">
        <f t="shared" si="62"/>
        <v>steel</v>
      </c>
      <c r="AB456" t="str">
        <f t="shared" si="63"/>
        <v>reinforced_road-wood-steel</v>
      </c>
      <c r="AE456" t="s">
        <v>1686</v>
      </c>
    </row>
    <row r="457" spans="1:31" x14ac:dyDescent="0.3">
      <c r="A457" t="s">
        <v>9</v>
      </c>
      <c r="B457" t="s">
        <v>70</v>
      </c>
      <c r="C457" t="s">
        <v>29</v>
      </c>
      <c r="D457" t="s">
        <v>17</v>
      </c>
      <c r="E457" s="16" t="s">
        <v>272</v>
      </c>
      <c r="F457" s="16">
        <v>3</v>
      </c>
      <c r="G457" t="s">
        <v>1524</v>
      </c>
      <c r="H457" t="s">
        <v>282</v>
      </c>
      <c r="I457" t="s">
        <v>341</v>
      </c>
      <c r="J457" t="s">
        <v>344</v>
      </c>
      <c r="L457" t="str">
        <f t="shared" si="57"/>
        <v>continuous/fully_connected</v>
      </c>
      <c r="M457" t="str">
        <f t="shared" si="58"/>
        <v>arch + standard_truss</v>
      </c>
      <c r="N457" t="str">
        <f t="shared" si="56"/>
        <v>top_structure + 3anc</v>
      </c>
      <c r="O457" t="s">
        <v>1686</v>
      </c>
      <c r="R457" t="s">
        <v>1159</v>
      </c>
      <c r="S457" t="s">
        <v>293</v>
      </c>
      <c r="T457" t="s">
        <v>292</v>
      </c>
      <c r="U457" t="s">
        <v>292</v>
      </c>
      <c r="V457" t="s">
        <v>292</v>
      </c>
      <c r="W457" t="s">
        <v>293</v>
      </c>
      <c r="X457" t="str">
        <f t="shared" si="59"/>
        <v/>
      </c>
      <c r="Y457" t="str">
        <f t="shared" si="60"/>
        <v>reinforced_road-</v>
      </c>
      <c r="Z457" t="str">
        <f t="shared" si="61"/>
        <v>wood-</v>
      </c>
      <c r="AA457" t="str">
        <f t="shared" si="62"/>
        <v>steel</v>
      </c>
      <c r="AB457" t="str">
        <f t="shared" si="63"/>
        <v>reinforced_road-wood-steel</v>
      </c>
      <c r="AE457" t="s">
        <v>1686</v>
      </c>
    </row>
    <row r="458" spans="1:31" x14ac:dyDescent="0.3">
      <c r="A458" t="s">
        <v>9</v>
      </c>
      <c r="B458" t="s">
        <v>70</v>
      </c>
      <c r="C458" t="s">
        <v>29</v>
      </c>
      <c r="D458" t="s">
        <v>16</v>
      </c>
      <c r="E458" s="16" t="s">
        <v>272</v>
      </c>
      <c r="F458" s="16">
        <v>3</v>
      </c>
      <c r="G458" t="s">
        <v>1524</v>
      </c>
      <c r="H458" t="s">
        <v>282</v>
      </c>
      <c r="I458" t="s">
        <v>341</v>
      </c>
      <c r="J458" t="s">
        <v>344</v>
      </c>
      <c r="L458" t="str">
        <f t="shared" si="57"/>
        <v>continuous/fully_connected</v>
      </c>
      <c r="M458" t="str">
        <f t="shared" si="58"/>
        <v>arch + standard_truss</v>
      </c>
      <c r="N458" t="str">
        <f t="shared" si="56"/>
        <v>top_structure + 3anc</v>
      </c>
      <c r="O458" t="s">
        <v>1686</v>
      </c>
      <c r="R458" t="s">
        <v>1160</v>
      </c>
      <c r="S458" t="s">
        <v>293</v>
      </c>
      <c r="T458" t="s">
        <v>292</v>
      </c>
      <c r="U458" t="s">
        <v>292</v>
      </c>
      <c r="V458" t="s">
        <v>292</v>
      </c>
      <c r="W458" t="s">
        <v>293</v>
      </c>
      <c r="X458" t="str">
        <f t="shared" si="59"/>
        <v/>
      </c>
      <c r="Y458" t="str">
        <f t="shared" si="60"/>
        <v>reinforced_road-</v>
      </c>
      <c r="Z458" t="str">
        <f t="shared" si="61"/>
        <v>wood-</v>
      </c>
      <c r="AA458" t="str">
        <f t="shared" si="62"/>
        <v>steel</v>
      </c>
      <c r="AB458" t="str">
        <f t="shared" si="63"/>
        <v>reinforced_road-wood-steel</v>
      </c>
      <c r="AE458" t="s">
        <v>1686</v>
      </c>
    </row>
    <row r="459" spans="1:31" x14ac:dyDescent="0.3">
      <c r="A459" t="s">
        <v>9</v>
      </c>
      <c r="B459" t="s">
        <v>70</v>
      </c>
      <c r="C459" t="s">
        <v>29</v>
      </c>
      <c r="D459" t="s">
        <v>20</v>
      </c>
      <c r="E459" s="16" t="s">
        <v>272</v>
      </c>
      <c r="F459" s="16">
        <v>3</v>
      </c>
      <c r="G459" t="s">
        <v>1524</v>
      </c>
      <c r="H459" t="s">
        <v>282</v>
      </c>
      <c r="I459" t="s">
        <v>1566</v>
      </c>
      <c r="J459" t="s">
        <v>1570</v>
      </c>
      <c r="L459" t="str">
        <f t="shared" si="57"/>
        <v>continuous/fully_connected</v>
      </c>
      <c r="M459" t="str">
        <f t="shared" si="58"/>
        <v>arch + standard_truss/other</v>
      </c>
      <c r="N459" t="str">
        <f t="shared" si="56"/>
        <v>top_structure/bottom_structure/rock_structure + 3anc</v>
      </c>
      <c r="O459" t="s">
        <v>1693</v>
      </c>
      <c r="R459" t="s">
        <v>1161</v>
      </c>
      <c r="S459" t="s">
        <v>293</v>
      </c>
      <c r="T459" t="s">
        <v>292</v>
      </c>
      <c r="U459" t="s">
        <v>292</v>
      </c>
      <c r="V459" t="s">
        <v>293</v>
      </c>
      <c r="W459" t="s">
        <v>293</v>
      </c>
      <c r="X459" t="str">
        <f t="shared" si="59"/>
        <v/>
      </c>
      <c r="Y459" t="str">
        <f t="shared" si="60"/>
        <v>reinforced_road-</v>
      </c>
      <c r="Z459" t="str">
        <f t="shared" si="61"/>
        <v>wood-</v>
      </c>
      <c r="AA459" t="str">
        <f t="shared" si="62"/>
        <v/>
      </c>
      <c r="AB459" t="str">
        <f t="shared" si="63"/>
        <v>reinforced_road-wood-</v>
      </c>
      <c r="AE459" t="s">
        <v>1693</v>
      </c>
    </row>
    <row r="460" spans="1:31" x14ac:dyDescent="0.3">
      <c r="A460" t="s">
        <v>9</v>
      </c>
      <c r="B460" t="s">
        <v>70</v>
      </c>
      <c r="C460" t="s">
        <v>29</v>
      </c>
      <c r="D460" t="s">
        <v>22</v>
      </c>
      <c r="E460" s="16" t="s">
        <v>272</v>
      </c>
      <c r="F460" s="16">
        <v>3</v>
      </c>
      <c r="G460" t="s">
        <v>1524</v>
      </c>
      <c r="H460" t="s">
        <v>282</v>
      </c>
      <c r="I460" t="s">
        <v>1567</v>
      </c>
      <c r="J460" t="s">
        <v>344</v>
      </c>
      <c r="L460" t="str">
        <f t="shared" si="57"/>
        <v>continuous/fully_connected</v>
      </c>
      <c r="M460" t="str">
        <f t="shared" si="58"/>
        <v>arch + standard_truss</v>
      </c>
      <c r="N460" t="str">
        <f t="shared" si="56"/>
        <v>top_structure/rock_structure + 3anc</v>
      </c>
      <c r="O460" t="s">
        <v>1686</v>
      </c>
      <c r="R460" t="s">
        <v>1162</v>
      </c>
      <c r="S460" t="s">
        <v>293</v>
      </c>
      <c r="T460" t="s">
        <v>292</v>
      </c>
      <c r="U460" t="s">
        <v>292</v>
      </c>
      <c r="V460" t="s">
        <v>292</v>
      </c>
      <c r="W460" t="s">
        <v>293</v>
      </c>
      <c r="X460" t="str">
        <f t="shared" si="59"/>
        <v/>
      </c>
      <c r="Y460" t="str">
        <f t="shared" si="60"/>
        <v>reinforced_road-</v>
      </c>
      <c r="Z460" t="str">
        <f t="shared" si="61"/>
        <v>wood-</v>
      </c>
      <c r="AA460" t="str">
        <f t="shared" si="62"/>
        <v>steel</v>
      </c>
      <c r="AB460" t="str">
        <f t="shared" si="63"/>
        <v>reinforced_road-wood-steel</v>
      </c>
      <c r="AE460" t="s">
        <v>1686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DFF69AFD-BF91-45D3-918B-CD4358A040E8}">
          <x14:formula1>
            <xm:f>DimensionsEval!$H$2:$L$2</xm:f>
          </x14:formula1>
          <xm:sqref>E2:E460</xm:sqref>
        </x14:dataValidation>
        <x14:dataValidation type="list" allowBlank="1" showInputMessage="1" showErrorMessage="1" xr:uid="{09AB143E-8FDF-4892-8F7F-6EE9611805CF}">
          <x14:formula1>
            <xm:f>DimensionsEval!$H$3:$K$3</xm:f>
          </x14:formula1>
          <xm:sqref>F2:F460</xm:sqref>
        </x14:dataValidation>
        <x14:dataValidation type="list" allowBlank="1" showInputMessage="1" showErrorMessage="1" xr:uid="{D1A4437E-3A6B-4C52-BE8F-CFDF2E674687}">
          <x14:formula1>
            <xm:f>DimensionsEval!$H$22:$I$22</xm:f>
          </x14:formula1>
          <xm:sqref>T2:W560</xm:sqref>
        </x14:dataValidation>
        <x14:dataValidation type="list" allowBlank="1" showInputMessage="1" showErrorMessage="1" xr:uid="{74162877-3911-4E34-BE2D-1C90889E4F15}">
          <x14:formula1>
            <xm:f>DimensionsEval!$H$21:$I$21</xm:f>
          </x14:formula1>
          <xm:sqref>S2:S560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A330-38BC-4CE5-8FAA-E4105234FA05}">
  <sheetPr>
    <tabColor rgb="FF669900"/>
  </sheetPr>
  <dimension ref="A1:H460"/>
  <sheetViews>
    <sheetView workbookViewId="0"/>
  </sheetViews>
  <sheetFormatPr defaultRowHeight="14.4" x14ac:dyDescent="0.3"/>
  <cols>
    <col min="1" max="1" width="8.44140625" bestFit="1" customWidth="1"/>
    <col min="2" max="2" width="12.44140625" bestFit="1" customWidth="1"/>
  </cols>
  <sheetData>
    <row r="1" spans="1:8" x14ac:dyDescent="0.3">
      <c r="A1" s="101" t="s">
        <v>0</v>
      </c>
      <c r="B1" s="101" t="s">
        <v>1</v>
      </c>
      <c r="C1" s="104" t="s">
        <v>3</v>
      </c>
      <c r="D1" s="104" t="s">
        <v>2</v>
      </c>
      <c r="E1" s="101" t="s">
        <v>1680</v>
      </c>
      <c r="F1" s="101" t="s">
        <v>1681</v>
      </c>
      <c r="G1" s="105" t="s">
        <v>1682</v>
      </c>
      <c r="H1" s="105" t="s">
        <v>1683</v>
      </c>
    </row>
    <row r="2" spans="1:8" x14ac:dyDescent="0.3">
      <c r="A2" t="s">
        <v>43</v>
      </c>
      <c r="B2" t="s">
        <v>50</v>
      </c>
      <c r="C2" t="s">
        <v>12</v>
      </c>
      <c r="D2" t="s">
        <v>11</v>
      </c>
      <c r="E2" t="s">
        <v>1529</v>
      </c>
      <c r="F2" t="s">
        <v>1694</v>
      </c>
      <c r="G2" t="s">
        <v>1695</v>
      </c>
      <c r="H2" t="s">
        <v>1684</v>
      </c>
    </row>
    <row r="3" spans="1:8" x14ac:dyDescent="0.3">
      <c r="A3" t="s">
        <v>43</v>
      </c>
      <c r="B3" t="s">
        <v>50</v>
      </c>
      <c r="C3" t="s">
        <v>29</v>
      </c>
      <c r="D3" t="s">
        <v>20</v>
      </c>
      <c r="E3" t="s">
        <v>1524</v>
      </c>
      <c r="F3" t="s">
        <v>1696</v>
      </c>
      <c r="G3" t="s">
        <v>1697</v>
      </c>
      <c r="H3" t="s">
        <v>1692</v>
      </c>
    </row>
    <row r="4" spans="1:8" x14ac:dyDescent="0.3">
      <c r="A4" t="s">
        <v>43</v>
      </c>
      <c r="B4" t="s">
        <v>50</v>
      </c>
      <c r="C4" t="s">
        <v>29</v>
      </c>
      <c r="D4" t="s">
        <v>27</v>
      </c>
      <c r="E4" t="s">
        <v>1657</v>
      </c>
      <c r="F4" t="s">
        <v>1698</v>
      </c>
      <c r="G4" t="s">
        <v>1699</v>
      </c>
      <c r="H4" t="s">
        <v>1684</v>
      </c>
    </row>
    <row r="5" spans="1:8" x14ac:dyDescent="0.3">
      <c r="A5" t="s">
        <v>43</v>
      </c>
      <c r="B5" t="s">
        <v>50</v>
      </c>
      <c r="C5" t="s">
        <v>12</v>
      </c>
      <c r="D5" t="s">
        <v>15</v>
      </c>
      <c r="E5" t="s">
        <v>1524</v>
      </c>
      <c r="F5" t="s">
        <v>1700</v>
      </c>
      <c r="G5" t="s">
        <v>1695</v>
      </c>
      <c r="H5" t="s">
        <v>1684</v>
      </c>
    </row>
    <row r="6" spans="1:8" x14ac:dyDescent="0.3">
      <c r="A6" t="s">
        <v>43</v>
      </c>
      <c r="B6" t="s">
        <v>50</v>
      </c>
      <c r="C6" t="s">
        <v>12</v>
      </c>
      <c r="D6" t="s">
        <v>14</v>
      </c>
      <c r="E6" t="s">
        <v>1524</v>
      </c>
      <c r="F6" t="s">
        <v>1700</v>
      </c>
      <c r="G6" t="s">
        <v>1695</v>
      </c>
      <c r="H6" t="s">
        <v>1684</v>
      </c>
    </row>
    <row r="7" spans="1:8" x14ac:dyDescent="0.3">
      <c r="A7" t="s">
        <v>43</v>
      </c>
      <c r="B7" t="s">
        <v>50</v>
      </c>
      <c r="C7" t="s">
        <v>12</v>
      </c>
      <c r="D7" t="s">
        <v>19</v>
      </c>
      <c r="E7" t="s">
        <v>1524</v>
      </c>
      <c r="F7" t="s">
        <v>1700</v>
      </c>
      <c r="G7" t="s">
        <v>1695</v>
      </c>
      <c r="H7" t="s">
        <v>1685</v>
      </c>
    </row>
    <row r="8" spans="1:8" x14ac:dyDescent="0.3">
      <c r="A8" t="s">
        <v>43</v>
      </c>
      <c r="B8" t="s">
        <v>50</v>
      </c>
      <c r="C8" t="s">
        <v>12</v>
      </c>
      <c r="D8" t="s">
        <v>17</v>
      </c>
      <c r="E8" t="s">
        <v>1524</v>
      </c>
      <c r="F8" t="s">
        <v>1700</v>
      </c>
      <c r="G8" t="s">
        <v>1695</v>
      </c>
      <c r="H8" t="s">
        <v>1684</v>
      </c>
    </row>
    <row r="9" spans="1:8" x14ac:dyDescent="0.3">
      <c r="A9" t="s">
        <v>43</v>
      </c>
      <c r="B9" t="s">
        <v>50</v>
      </c>
      <c r="C9" t="s">
        <v>12</v>
      </c>
      <c r="D9" t="s">
        <v>16</v>
      </c>
      <c r="E9" t="s">
        <v>1524</v>
      </c>
      <c r="F9" t="s">
        <v>1701</v>
      </c>
      <c r="G9" t="s">
        <v>1695</v>
      </c>
      <c r="H9" t="s">
        <v>1684</v>
      </c>
    </row>
    <row r="10" spans="1:8" x14ac:dyDescent="0.3">
      <c r="A10" t="s">
        <v>43</v>
      </c>
      <c r="B10" t="s">
        <v>50</v>
      </c>
      <c r="C10" t="s">
        <v>29</v>
      </c>
      <c r="D10" t="s">
        <v>23</v>
      </c>
      <c r="E10" t="s">
        <v>1524</v>
      </c>
      <c r="F10" t="s">
        <v>1698</v>
      </c>
      <c r="G10" t="s">
        <v>1699</v>
      </c>
      <c r="H10" t="s">
        <v>1692</v>
      </c>
    </row>
    <row r="11" spans="1:8" x14ac:dyDescent="0.3">
      <c r="A11" t="s">
        <v>43</v>
      </c>
      <c r="B11" t="s">
        <v>50</v>
      </c>
      <c r="C11" t="s">
        <v>29</v>
      </c>
      <c r="D11" t="s">
        <v>25</v>
      </c>
      <c r="E11" t="s">
        <v>1524</v>
      </c>
      <c r="F11" t="s">
        <v>1698</v>
      </c>
      <c r="G11" t="s">
        <v>1702</v>
      </c>
      <c r="H11" t="s">
        <v>1692</v>
      </c>
    </row>
    <row r="12" spans="1:8" x14ac:dyDescent="0.3">
      <c r="A12" t="s">
        <v>43</v>
      </c>
      <c r="B12" t="s">
        <v>50</v>
      </c>
      <c r="C12" t="s">
        <v>29</v>
      </c>
      <c r="D12" t="s">
        <v>24</v>
      </c>
      <c r="E12" t="s">
        <v>1524</v>
      </c>
      <c r="F12" t="s">
        <v>1698</v>
      </c>
      <c r="G12" t="s">
        <v>1702</v>
      </c>
      <c r="H12" t="s">
        <v>1692</v>
      </c>
    </row>
    <row r="13" spans="1:8" x14ac:dyDescent="0.3">
      <c r="A13" t="s">
        <v>43</v>
      </c>
      <c r="B13" t="s">
        <v>50</v>
      </c>
      <c r="C13" t="s">
        <v>29</v>
      </c>
      <c r="D13" t="s">
        <v>21</v>
      </c>
      <c r="E13" t="s">
        <v>1524</v>
      </c>
      <c r="F13" t="s">
        <v>1696</v>
      </c>
      <c r="G13" t="s">
        <v>1697</v>
      </c>
      <c r="H13" t="s">
        <v>1692</v>
      </c>
    </row>
    <row r="14" spans="1:8" x14ac:dyDescent="0.3">
      <c r="A14" t="s">
        <v>43</v>
      </c>
      <c r="B14" t="s">
        <v>50</v>
      </c>
      <c r="C14" t="s">
        <v>29</v>
      </c>
      <c r="D14" t="s">
        <v>26</v>
      </c>
      <c r="E14" t="s">
        <v>1525</v>
      </c>
      <c r="F14" t="s">
        <v>1698</v>
      </c>
      <c r="G14" t="s">
        <v>1702</v>
      </c>
      <c r="H14" t="s">
        <v>1684</v>
      </c>
    </row>
    <row r="15" spans="1:8" x14ac:dyDescent="0.3">
      <c r="A15" t="s">
        <v>43</v>
      </c>
      <c r="B15" t="s">
        <v>50</v>
      </c>
      <c r="C15" t="s">
        <v>29</v>
      </c>
      <c r="D15" t="s">
        <v>22</v>
      </c>
      <c r="E15" t="s">
        <v>1524</v>
      </c>
      <c r="F15" t="s">
        <v>1703</v>
      </c>
      <c r="G15" t="s">
        <v>1697</v>
      </c>
      <c r="H15" t="s">
        <v>1684</v>
      </c>
    </row>
    <row r="16" spans="1:8" x14ac:dyDescent="0.3">
      <c r="A16" t="s">
        <v>43</v>
      </c>
      <c r="B16" t="s">
        <v>50</v>
      </c>
      <c r="C16" t="s">
        <v>29</v>
      </c>
      <c r="D16" t="s">
        <v>28</v>
      </c>
      <c r="E16" t="s">
        <v>1524</v>
      </c>
      <c r="F16" t="s">
        <v>1704</v>
      </c>
      <c r="G16" t="s">
        <v>1705</v>
      </c>
      <c r="H16" t="s">
        <v>1684</v>
      </c>
    </row>
    <row r="17" spans="1:8" x14ac:dyDescent="0.3">
      <c r="A17" t="s">
        <v>45</v>
      </c>
      <c r="B17" t="s">
        <v>68</v>
      </c>
      <c r="C17" t="s">
        <v>12</v>
      </c>
      <c r="D17" t="s">
        <v>15</v>
      </c>
      <c r="E17" t="s">
        <v>1524</v>
      </c>
      <c r="F17" t="s">
        <v>1706</v>
      </c>
      <c r="G17" t="s">
        <v>1707</v>
      </c>
      <c r="H17" t="s">
        <v>1684</v>
      </c>
    </row>
    <row r="18" spans="1:8" x14ac:dyDescent="0.3">
      <c r="A18" t="s">
        <v>45</v>
      </c>
      <c r="B18" t="s">
        <v>68</v>
      </c>
      <c r="C18" t="s">
        <v>12</v>
      </c>
      <c r="D18" t="s">
        <v>14</v>
      </c>
      <c r="E18" t="s">
        <v>1524</v>
      </c>
      <c r="F18" t="s">
        <v>1708</v>
      </c>
      <c r="G18" t="s">
        <v>1695</v>
      </c>
      <c r="H18" t="s">
        <v>1686</v>
      </c>
    </row>
    <row r="19" spans="1:8" x14ac:dyDescent="0.3">
      <c r="A19" t="s">
        <v>45</v>
      </c>
      <c r="B19" t="s">
        <v>68</v>
      </c>
      <c r="C19" t="s">
        <v>12</v>
      </c>
      <c r="D19" t="s">
        <v>11</v>
      </c>
      <c r="E19" t="s">
        <v>1524</v>
      </c>
      <c r="F19" t="s">
        <v>1708</v>
      </c>
      <c r="G19" t="s">
        <v>1695</v>
      </c>
      <c r="H19" t="s">
        <v>1684</v>
      </c>
    </row>
    <row r="20" spans="1:8" x14ac:dyDescent="0.3">
      <c r="A20" t="s">
        <v>45</v>
      </c>
      <c r="B20" t="s">
        <v>68</v>
      </c>
      <c r="C20" t="s">
        <v>12</v>
      </c>
      <c r="D20" t="s">
        <v>17</v>
      </c>
      <c r="E20" t="s">
        <v>1524</v>
      </c>
      <c r="F20" t="s">
        <v>1709</v>
      </c>
      <c r="G20" t="s">
        <v>1697</v>
      </c>
      <c r="H20" t="s">
        <v>1685</v>
      </c>
    </row>
    <row r="21" spans="1:8" x14ac:dyDescent="0.3">
      <c r="A21" t="s">
        <v>45</v>
      </c>
      <c r="B21" t="s">
        <v>68</v>
      </c>
      <c r="C21" t="s">
        <v>12</v>
      </c>
      <c r="D21" t="s">
        <v>16</v>
      </c>
      <c r="E21" t="s">
        <v>1524</v>
      </c>
      <c r="F21" t="s">
        <v>1709</v>
      </c>
      <c r="G21" t="s">
        <v>1697</v>
      </c>
      <c r="H21" t="s">
        <v>1684</v>
      </c>
    </row>
    <row r="22" spans="1:8" x14ac:dyDescent="0.3">
      <c r="A22" t="s">
        <v>45</v>
      </c>
      <c r="B22" t="s">
        <v>68</v>
      </c>
      <c r="C22" t="s">
        <v>29</v>
      </c>
      <c r="D22" t="s">
        <v>23</v>
      </c>
      <c r="E22" t="s">
        <v>1524</v>
      </c>
      <c r="F22" t="s">
        <v>1698</v>
      </c>
      <c r="G22" t="s">
        <v>1699</v>
      </c>
      <c r="H22" t="s">
        <v>1684</v>
      </c>
    </row>
    <row r="23" spans="1:8" x14ac:dyDescent="0.3">
      <c r="A23" t="s">
        <v>45</v>
      </c>
      <c r="B23" t="s">
        <v>68</v>
      </c>
      <c r="C23" t="s">
        <v>29</v>
      </c>
      <c r="D23" t="s">
        <v>25</v>
      </c>
      <c r="E23" t="s">
        <v>1524</v>
      </c>
      <c r="F23" t="s">
        <v>1696</v>
      </c>
      <c r="G23" t="s">
        <v>1695</v>
      </c>
      <c r="H23" t="s">
        <v>1684</v>
      </c>
    </row>
    <row r="24" spans="1:8" x14ac:dyDescent="0.3">
      <c r="A24" t="s">
        <v>45</v>
      </c>
      <c r="B24" t="s">
        <v>68</v>
      </c>
      <c r="C24" t="s">
        <v>29</v>
      </c>
      <c r="D24" t="s">
        <v>24</v>
      </c>
      <c r="E24" t="s">
        <v>1524</v>
      </c>
      <c r="F24" t="s">
        <v>1698</v>
      </c>
      <c r="G24" t="s">
        <v>1699</v>
      </c>
      <c r="H24" t="s">
        <v>1693</v>
      </c>
    </row>
    <row r="25" spans="1:8" x14ac:dyDescent="0.3">
      <c r="A25" t="s">
        <v>45</v>
      </c>
      <c r="B25" t="s">
        <v>68</v>
      </c>
      <c r="C25" t="s">
        <v>29</v>
      </c>
      <c r="D25" t="s">
        <v>21</v>
      </c>
      <c r="E25" t="s">
        <v>1524</v>
      </c>
      <c r="F25" t="s">
        <v>1700</v>
      </c>
      <c r="G25" t="s">
        <v>1707</v>
      </c>
      <c r="H25" t="s">
        <v>1684</v>
      </c>
    </row>
    <row r="26" spans="1:8" x14ac:dyDescent="0.3">
      <c r="A26" t="s">
        <v>45</v>
      </c>
      <c r="B26" t="s">
        <v>68</v>
      </c>
      <c r="C26" t="s">
        <v>29</v>
      </c>
      <c r="D26" t="s">
        <v>19</v>
      </c>
      <c r="E26" t="s">
        <v>1524</v>
      </c>
      <c r="F26" t="s">
        <v>1704</v>
      </c>
      <c r="G26" t="s">
        <v>1697</v>
      </c>
      <c r="H26" t="s">
        <v>1685</v>
      </c>
    </row>
    <row r="27" spans="1:8" x14ac:dyDescent="0.3">
      <c r="A27" t="s">
        <v>45</v>
      </c>
      <c r="B27" t="s">
        <v>68</v>
      </c>
      <c r="C27" t="s">
        <v>29</v>
      </c>
      <c r="D27" t="s">
        <v>20</v>
      </c>
      <c r="E27" t="s">
        <v>1524</v>
      </c>
      <c r="F27" t="s">
        <v>1700</v>
      </c>
      <c r="G27" t="s">
        <v>1707</v>
      </c>
      <c r="H27" t="s">
        <v>1692</v>
      </c>
    </row>
    <row r="28" spans="1:8" x14ac:dyDescent="0.3">
      <c r="A28" t="s">
        <v>45</v>
      </c>
      <c r="B28" t="s">
        <v>68</v>
      </c>
      <c r="C28" t="s">
        <v>29</v>
      </c>
      <c r="D28" t="s">
        <v>26</v>
      </c>
      <c r="E28" t="s">
        <v>1524</v>
      </c>
      <c r="F28" t="s">
        <v>1696</v>
      </c>
      <c r="G28" t="s">
        <v>1695</v>
      </c>
      <c r="H28" t="s">
        <v>1687</v>
      </c>
    </row>
    <row r="29" spans="1:8" x14ac:dyDescent="0.3">
      <c r="A29" t="s">
        <v>45</v>
      </c>
      <c r="B29" t="s">
        <v>68</v>
      </c>
      <c r="C29" t="s">
        <v>29</v>
      </c>
      <c r="D29" t="s">
        <v>22</v>
      </c>
      <c r="E29" t="s">
        <v>1524</v>
      </c>
      <c r="F29" t="s">
        <v>1698</v>
      </c>
      <c r="G29" t="s">
        <v>1710</v>
      </c>
      <c r="H29" t="s">
        <v>1692</v>
      </c>
    </row>
    <row r="30" spans="1:8" x14ac:dyDescent="0.3">
      <c r="A30" t="s">
        <v>45</v>
      </c>
      <c r="B30" t="s">
        <v>68</v>
      </c>
      <c r="C30" t="s">
        <v>29</v>
      </c>
      <c r="D30" t="s">
        <v>27</v>
      </c>
      <c r="E30" t="s">
        <v>1524</v>
      </c>
      <c r="F30" t="s">
        <v>1696</v>
      </c>
      <c r="G30" t="s">
        <v>1695</v>
      </c>
      <c r="H30" t="s">
        <v>1688</v>
      </c>
    </row>
    <row r="31" spans="1:8" x14ac:dyDescent="0.3">
      <c r="A31" t="s">
        <v>9</v>
      </c>
      <c r="B31" t="s">
        <v>60</v>
      </c>
      <c r="C31" t="s">
        <v>12</v>
      </c>
      <c r="D31" t="s">
        <v>15</v>
      </c>
      <c r="E31" t="s">
        <v>1524</v>
      </c>
      <c r="F31" t="s">
        <v>1711</v>
      </c>
      <c r="G31" t="s">
        <v>1695</v>
      </c>
      <c r="H31" t="s">
        <v>1685</v>
      </c>
    </row>
    <row r="32" spans="1:8" x14ac:dyDescent="0.3">
      <c r="A32" t="s">
        <v>9</v>
      </c>
      <c r="B32" t="s">
        <v>60</v>
      </c>
      <c r="C32" t="s">
        <v>12</v>
      </c>
      <c r="D32" t="s">
        <v>14</v>
      </c>
      <c r="E32" t="s">
        <v>1524</v>
      </c>
      <c r="F32" t="s">
        <v>1712</v>
      </c>
      <c r="G32" t="s">
        <v>1695</v>
      </c>
      <c r="H32" t="s">
        <v>1684</v>
      </c>
    </row>
    <row r="33" spans="1:8" x14ac:dyDescent="0.3">
      <c r="A33" t="s">
        <v>9</v>
      </c>
      <c r="B33" t="s">
        <v>60</v>
      </c>
      <c r="C33" t="s">
        <v>12</v>
      </c>
      <c r="D33" t="s">
        <v>11</v>
      </c>
      <c r="E33" t="s">
        <v>1524</v>
      </c>
      <c r="F33" t="s">
        <v>1713</v>
      </c>
      <c r="G33" t="s">
        <v>1695</v>
      </c>
      <c r="H33" t="s">
        <v>1684</v>
      </c>
    </row>
    <row r="34" spans="1:8" x14ac:dyDescent="0.3">
      <c r="A34" t="s">
        <v>9</v>
      </c>
      <c r="B34" t="s">
        <v>60</v>
      </c>
      <c r="C34" t="s">
        <v>12</v>
      </c>
      <c r="D34" t="s">
        <v>16</v>
      </c>
      <c r="E34" t="s">
        <v>1524</v>
      </c>
      <c r="F34" t="s">
        <v>1714</v>
      </c>
      <c r="G34" t="s">
        <v>1697</v>
      </c>
      <c r="H34" t="s">
        <v>1685</v>
      </c>
    </row>
    <row r="35" spans="1:8" x14ac:dyDescent="0.3">
      <c r="A35" t="s">
        <v>9</v>
      </c>
      <c r="B35" t="s">
        <v>60</v>
      </c>
      <c r="C35" t="s">
        <v>29</v>
      </c>
      <c r="D35" t="s">
        <v>21</v>
      </c>
      <c r="E35" t="s">
        <v>1524</v>
      </c>
      <c r="F35" t="s">
        <v>1698</v>
      </c>
      <c r="G35" t="s">
        <v>1699</v>
      </c>
      <c r="H35" t="s">
        <v>1684</v>
      </c>
    </row>
    <row r="36" spans="1:8" x14ac:dyDescent="0.3">
      <c r="A36" t="s">
        <v>9</v>
      </c>
      <c r="B36" t="s">
        <v>60</v>
      </c>
      <c r="C36" t="s">
        <v>29</v>
      </c>
      <c r="D36" t="s">
        <v>19</v>
      </c>
      <c r="E36" t="s">
        <v>1525</v>
      </c>
      <c r="F36" t="s">
        <v>1715</v>
      </c>
      <c r="G36" t="s">
        <v>1716</v>
      </c>
      <c r="H36" t="s">
        <v>1686</v>
      </c>
    </row>
    <row r="37" spans="1:8" x14ac:dyDescent="0.3">
      <c r="A37" t="s">
        <v>9</v>
      </c>
      <c r="B37" t="s">
        <v>60</v>
      </c>
      <c r="C37" t="s">
        <v>29</v>
      </c>
      <c r="D37" t="s">
        <v>17</v>
      </c>
      <c r="E37" t="s">
        <v>1524</v>
      </c>
      <c r="F37" t="s">
        <v>1698</v>
      </c>
      <c r="G37" t="s">
        <v>1710</v>
      </c>
      <c r="H37" t="s">
        <v>1693</v>
      </c>
    </row>
    <row r="38" spans="1:8" x14ac:dyDescent="0.3">
      <c r="A38" t="s">
        <v>9</v>
      </c>
      <c r="B38" t="s">
        <v>60</v>
      </c>
      <c r="C38" t="s">
        <v>29</v>
      </c>
      <c r="D38" t="s">
        <v>20</v>
      </c>
      <c r="E38" t="s">
        <v>1524</v>
      </c>
      <c r="F38" t="s">
        <v>1717</v>
      </c>
      <c r="G38" t="s">
        <v>1710</v>
      </c>
      <c r="H38" t="s">
        <v>1686</v>
      </c>
    </row>
    <row r="39" spans="1:8" x14ac:dyDescent="0.3">
      <c r="A39" t="s">
        <v>9</v>
      </c>
      <c r="B39" t="s">
        <v>60</v>
      </c>
      <c r="C39" t="s">
        <v>29</v>
      </c>
      <c r="D39" t="s">
        <v>22</v>
      </c>
      <c r="E39" t="s">
        <v>1524</v>
      </c>
      <c r="F39" t="s">
        <v>1698</v>
      </c>
      <c r="G39" t="s">
        <v>1695</v>
      </c>
      <c r="H39" t="s">
        <v>1686</v>
      </c>
    </row>
    <row r="40" spans="1:8" x14ac:dyDescent="0.3">
      <c r="A40" t="s">
        <v>45</v>
      </c>
      <c r="B40" t="s">
        <v>53</v>
      </c>
      <c r="C40" t="s">
        <v>12</v>
      </c>
      <c r="D40" t="s">
        <v>15</v>
      </c>
      <c r="E40" t="s">
        <v>1524</v>
      </c>
      <c r="F40" t="s">
        <v>1698</v>
      </c>
      <c r="G40" t="s">
        <v>1695</v>
      </c>
      <c r="H40" t="s">
        <v>1684</v>
      </c>
    </row>
    <row r="41" spans="1:8" x14ac:dyDescent="0.3">
      <c r="A41" t="s">
        <v>45</v>
      </c>
      <c r="B41" t="s">
        <v>53</v>
      </c>
      <c r="C41" t="s">
        <v>12</v>
      </c>
      <c r="D41" t="s">
        <v>14</v>
      </c>
      <c r="E41" t="s">
        <v>1524</v>
      </c>
      <c r="F41" t="s">
        <v>1698</v>
      </c>
      <c r="G41" t="s">
        <v>1695</v>
      </c>
      <c r="H41" t="s">
        <v>1684</v>
      </c>
    </row>
    <row r="42" spans="1:8" x14ac:dyDescent="0.3">
      <c r="A42" t="s">
        <v>45</v>
      </c>
      <c r="B42" t="s">
        <v>53</v>
      </c>
      <c r="C42" t="s">
        <v>12</v>
      </c>
      <c r="D42" t="s">
        <v>11</v>
      </c>
      <c r="E42" t="s">
        <v>1524</v>
      </c>
      <c r="F42" t="s">
        <v>1696</v>
      </c>
      <c r="G42" t="s">
        <v>1695</v>
      </c>
      <c r="H42" t="s">
        <v>1684</v>
      </c>
    </row>
    <row r="43" spans="1:8" x14ac:dyDescent="0.3">
      <c r="A43" t="s">
        <v>45</v>
      </c>
      <c r="B43" t="s">
        <v>53</v>
      </c>
      <c r="C43" t="s">
        <v>12</v>
      </c>
      <c r="D43" t="s">
        <v>16</v>
      </c>
      <c r="E43" t="s">
        <v>1524</v>
      </c>
      <c r="F43" t="s">
        <v>1718</v>
      </c>
      <c r="G43" t="s">
        <v>1707</v>
      </c>
      <c r="H43" t="s">
        <v>1684</v>
      </c>
    </row>
    <row r="44" spans="1:8" x14ac:dyDescent="0.3">
      <c r="A44" t="s">
        <v>45</v>
      </c>
      <c r="B44" t="s">
        <v>53</v>
      </c>
      <c r="C44" t="s">
        <v>29</v>
      </c>
      <c r="D44" t="s">
        <v>19</v>
      </c>
      <c r="E44" t="s">
        <v>1524</v>
      </c>
      <c r="F44" t="s">
        <v>1718</v>
      </c>
      <c r="G44" t="s">
        <v>1719</v>
      </c>
      <c r="H44" t="s">
        <v>1687</v>
      </c>
    </row>
    <row r="45" spans="1:8" x14ac:dyDescent="0.3">
      <c r="A45" t="s">
        <v>45</v>
      </c>
      <c r="B45" t="s">
        <v>53</v>
      </c>
      <c r="C45" t="s">
        <v>29</v>
      </c>
      <c r="D45" t="s">
        <v>17</v>
      </c>
      <c r="E45" t="s">
        <v>1524</v>
      </c>
      <c r="F45" t="s">
        <v>1720</v>
      </c>
      <c r="G45" t="s">
        <v>1695</v>
      </c>
      <c r="H45" t="s">
        <v>1684</v>
      </c>
    </row>
    <row r="46" spans="1:8" x14ac:dyDescent="0.3">
      <c r="A46" t="s">
        <v>9</v>
      </c>
      <c r="B46" t="s">
        <v>76</v>
      </c>
      <c r="C46" t="s">
        <v>12</v>
      </c>
      <c r="D46" t="s">
        <v>15</v>
      </c>
      <c r="E46" t="s">
        <v>334</v>
      </c>
      <c r="F46" t="s">
        <v>1721</v>
      </c>
      <c r="G46" t="s">
        <v>1697</v>
      </c>
      <c r="H46" t="s">
        <v>1689</v>
      </c>
    </row>
    <row r="47" spans="1:8" x14ac:dyDescent="0.3">
      <c r="A47" t="s">
        <v>9</v>
      </c>
      <c r="B47" t="s">
        <v>76</v>
      </c>
      <c r="C47" t="s">
        <v>12</v>
      </c>
      <c r="D47" t="s">
        <v>14</v>
      </c>
      <c r="E47" t="s">
        <v>1524</v>
      </c>
      <c r="F47" t="s">
        <v>1722</v>
      </c>
      <c r="G47" t="s">
        <v>1695</v>
      </c>
      <c r="H47" t="s">
        <v>1686</v>
      </c>
    </row>
    <row r="48" spans="1:8" x14ac:dyDescent="0.3">
      <c r="A48" t="s">
        <v>9</v>
      </c>
      <c r="B48" t="s">
        <v>76</v>
      </c>
      <c r="C48" t="s">
        <v>12</v>
      </c>
      <c r="D48" t="s">
        <v>11</v>
      </c>
      <c r="E48" t="s">
        <v>1524</v>
      </c>
      <c r="F48" t="s">
        <v>1698</v>
      </c>
      <c r="G48" t="s">
        <v>1695</v>
      </c>
      <c r="H48" t="s">
        <v>1684</v>
      </c>
    </row>
    <row r="49" spans="1:8" x14ac:dyDescent="0.3">
      <c r="A49" t="s">
        <v>9</v>
      </c>
      <c r="B49" t="s">
        <v>76</v>
      </c>
      <c r="C49" t="s">
        <v>12</v>
      </c>
      <c r="D49" t="s">
        <v>19</v>
      </c>
      <c r="E49" t="s">
        <v>1524</v>
      </c>
      <c r="F49" t="s">
        <v>1723</v>
      </c>
      <c r="G49" t="s">
        <v>1697</v>
      </c>
      <c r="H49" t="s">
        <v>1684</v>
      </c>
    </row>
    <row r="50" spans="1:8" x14ac:dyDescent="0.3">
      <c r="A50" t="s">
        <v>9</v>
      </c>
      <c r="B50" t="s">
        <v>76</v>
      </c>
      <c r="C50" t="s">
        <v>12</v>
      </c>
      <c r="D50" t="s">
        <v>17</v>
      </c>
      <c r="E50" t="s">
        <v>1524</v>
      </c>
      <c r="F50" t="s">
        <v>1724</v>
      </c>
      <c r="G50" t="s">
        <v>1695</v>
      </c>
      <c r="H50" t="s">
        <v>1684</v>
      </c>
    </row>
    <row r="51" spans="1:8" x14ac:dyDescent="0.3">
      <c r="A51" t="s">
        <v>9</v>
      </c>
      <c r="B51" t="s">
        <v>76</v>
      </c>
      <c r="C51" t="s">
        <v>12</v>
      </c>
      <c r="D51" t="s">
        <v>16</v>
      </c>
      <c r="E51" t="s">
        <v>1524</v>
      </c>
      <c r="F51" t="s">
        <v>1718</v>
      </c>
      <c r="G51" t="s">
        <v>1695</v>
      </c>
      <c r="H51" t="s">
        <v>1684</v>
      </c>
    </row>
    <row r="52" spans="1:8" x14ac:dyDescent="0.3">
      <c r="A52" t="s">
        <v>9</v>
      </c>
      <c r="B52" t="s">
        <v>76</v>
      </c>
      <c r="C52" t="s">
        <v>12</v>
      </c>
      <c r="D52" t="s">
        <v>20</v>
      </c>
      <c r="E52" t="s">
        <v>1524</v>
      </c>
      <c r="F52" t="s">
        <v>1725</v>
      </c>
      <c r="G52" t="s">
        <v>1726</v>
      </c>
      <c r="H52" t="s">
        <v>1692</v>
      </c>
    </row>
    <row r="53" spans="1:8" x14ac:dyDescent="0.3">
      <c r="A53" t="s">
        <v>9</v>
      </c>
      <c r="B53" t="s">
        <v>76</v>
      </c>
      <c r="C53" t="s">
        <v>29</v>
      </c>
      <c r="D53" t="s">
        <v>23</v>
      </c>
      <c r="E53" t="s">
        <v>1524</v>
      </c>
      <c r="F53" t="s">
        <v>1696</v>
      </c>
      <c r="G53" t="s">
        <v>1707</v>
      </c>
      <c r="H53" t="s">
        <v>1684</v>
      </c>
    </row>
    <row r="54" spans="1:8" x14ac:dyDescent="0.3">
      <c r="A54" t="s">
        <v>9</v>
      </c>
      <c r="B54" t="s">
        <v>76</v>
      </c>
      <c r="C54" t="s">
        <v>29</v>
      </c>
      <c r="D54" t="s">
        <v>25</v>
      </c>
      <c r="E54" t="s">
        <v>1524</v>
      </c>
      <c r="F54" t="s">
        <v>1698</v>
      </c>
      <c r="G54" t="s">
        <v>1707</v>
      </c>
      <c r="H54" t="s">
        <v>1684</v>
      </c>
    </row>
    <row r="55" spans="1:8" x14ac:dyDescent="0.3">
      <c r="A55" t="s">
        <v>9</v>
      </c>
      <c r="B55" t="s">
        <v>76</v>
      </c>
      <c r="C55" t="s">
        <v>29</v>
      </c>
      <c r="D55" t="s">
        <v>24</v>
      </c>
      <c r="E55" t="s">
        <v>1524</v>
      </c>
      <c r="F55" t="s">
        <v>1717</v>
      </c>
      <c r="G55" t="s">
        <v>1707</v>
      </c>
      <c r="H55" t="s">
        <v>1684</v>
      </c>
    </row>
    <row r="56" spans="1:8" x14ac:dyDescent="0.3">
      <c r="A56" t="s">
        <v>9</v>
      </c>
      <c r="B56" t="s">
        <v>76</v>
      </c>
      <c r="C56" t="s">
        <v>29</v>
      </c>
      <c r="D56" t="s">
        <v>21</v>
      </c>
      <c r="E56" t="s">
        <v>1524</v>
      </c>
      <c r="F56" t="s">
        <v>1698</v>
      </c>
      <c r="G56" t="s">
        <v>1699</v>
      </c>
      <c r="H56" t="s">
        <v>1692</v>
      </c>
    </row>
    <row r="57" spans="1:8" x14ac:dyDescent="0.3">
      <c r="A57" t="s">
        <v>9</v>
      </c>
      <c r="B57" t="s">
        <v>76</v>
      </c>
      <c r="C57" t="s">
        <v>29</v>
      </c>
      <c r="D57" t="s">
        <v>30</v>
      </c>
      <c r="E57" t="s">
        <v>1524</v>
      </c>
      <c r="F57" t="s">
        <v>1727</v>
      </c>
      <c r="G57" t="s">
        <v>1695</v>
      </c>
      <c r="H57" t="s">
        <v>1686</v>
      </c>
    </row>
    <row r="58" spans="1:8" x14ac:dyDescent="0.3">
      <c r="A58" t="s">
        <v>9</v>
      </c>
      <c r="B58" t="s">
        <v>76</v>
      </c>
      <c r="C58" t="s">
        <v>29</v>
      </c>
      <c r="D58" t="s">
        <v>26</v>
      </c>
      <c r="E58" t="s">
        <v>1524</v>
      </c>
      <c r="F58" t="s">
        <v>1698</v>
      </c>
      <c r="G58" t="s">
        <v>1707</v>
      </c>
      <c r="H58" t="s">
        <v>1686</v>
      </c>
    </row>
    <row r="59" spans="1:8" x14ac:dyDescent="0.3">
      <c r="A59" t="s">
        <v>9</v>
      </c>
      <c r="B59" t="s">
        <v>76</v>
      </c>
      <c r="C59" t="s">
        <v>29</v>
      </c>
      <c r="D59" t="s">
        <v>22</v>
      </c>
      <c r="E59" t="s">
        <v>1524</v>
      </c>
      <c r="F59" t="s">
        <v>1698</v>
      </c>
      <c r="G59" t="s">
        <v>1699</v>
      </c>
      <c r="H59" t="s">
        <v>1692</v>
      </c>
    </row>
    <row r="60" spans="1:8" x14ac:dyDescent="0.3">
      <c r="A60" t="s">
        <v>9</v>
      </c>
      <c r="B60" t="s">
        <v>76</v>
      </c>
      <c r="C60" t="s">
        <v>29</v>
      </c>
      <c r="D60" t="s">
        <v>31</v>
      </c>
      <c r="E60" t="s">
        <v>1524</v>
      </c>
      <c r="F60" t="s">
        <v>1728</v>
      </c>
      <c r="G60" t="s">
        <v>1695</v>
      </c>
      <c r="H60" t="s">
        <v>1686</v>
      </c>
    </row>
    <row r="61" spans="1:8" x14ac:dyDescent="0.3">
      <c r="A61" t="s">
        <v>9</v>
      </c>
      <c r="B61" t="s">
        <v>76</v>
      </c>
      <c r="C61" t="s">
        <v>29</v>
      </c>
      <c r="D61" t="s">
        <v>27</v>
      </c>
      <c r="E61" t="s">
        <v>1524</v>
      </c>
      <c r="F61" t="s">
        <v>1729</v>
      </c>
      <c r="G61" t="s">
        <v>1695</v>
      </c>
      <c r="H61" t="s">
        <v>1686</v>
      </c>
    </row>
    <row r="62" spans="1:8" x14ac:dyDescent="0.3">
      <c r="A62" t="s">
        <v>9</v>
      </c>
      <c r="B62" t="s">
        <v>76</v>
      </c>
      <c r="C62" t="s">
        <v>29</v>
      </c>
      <c r="D62" t="s">
        <v>28</v>
      </c>
      <c r="E62" t="s">
        <v>1524</v>
      </c>
      <c r="F62" t="s">
        <v>1730</v>
      </c>
      <c r="G62" t="s">
        <v>1695</v>
      </c>
      <c r="H62" t="s">
        <v>1686</v>
      </c>
    </row>
    <row r="63" spans="1:8" x14ac:dyDescent="0.3">
      <c r="A63" t="s">
        <v>43</v>
      </c>
      <c r="B63" t="s">
        <v>73</v>
      </c>
      <c r="C63" t="s">
        <v>12</v>
      </c>
      <c r="D63" t="s">
        <v>19</v>
      </c>
      <c r="E63" t="s">
        <v>1525</v>
      </c>
      <c r="F63" t="s">
        <v>1731</v>
      </c>
      <c r="G63" t="s">
        <v>1732</v>
      </c>
      <c r="H63" t="s">
        <v>1684</v>
      </c>
    </row>
    <row r="64" spans="1:8" x14ac:dyDescent="0.3">
      <c r="A64" t="s">
        <v>43</v>
      </c>
      <c r="B64" t="s">
        <v>73</v>
      </c>
      <c r="C64" t="s">
        <v>29</v>
      </c>
      <c r="D64" t="s">
        <v>33</v>
      </c>
      <c r="E64" t="s">
        <v>1525</v>
      </c>
      <c r="F64" t="s">
        <v>1733</v>
      </c>
      <c r="G64" t="s">
        <v>1716</v>
      </c>
      <c r="H64" t="s">
        <v>1688</v>
      </c>
    </row>
    <row r="65" spans="1:8" x14ac:dyDescent="0.3">
      <c r="A65" t="s">
        <v>43</v>
      </c>
      <c r="B65" t="s">
        <v>73</v>
      </c>
      <c r="C65" t="s">
        <v>12</v>
      </c>
      <c r="D65" t="s">
        <v>15</v>
      </c>
      <c r="E65" t="s">
        <v>1524</v>
      </c>
      <c r="F65" t="s">
        <v>1734</v>
      </c>
      <c r="G65" t="s">
        <v>1695</v>
      </c>
      <c r="H65" t="s">
        <v>1684</v>
      </c>
    </row>
    <row r="66" spans="1:8" x14ac:dyDescent="0.3">
      <c r="A66" t="s">
        <v>43</v>
      </c>
      <c r="B66" t="s">
        <v>73</v>
      </c>
      <c r="C66" t="s">
        <v>12</v>
      </c>
      <c r="D66" t="s">
        <v>23</v>
      </c>
      <c r="E66" t="s">
        <v>1524</v>
      </c>
      <c r="F66" t="s">
        <v>1735</v>
      </c>
      <c r="G66" t="s">
        <v>1695</v>
      </c>
      <c r="H66" t="s">
        <v>1686</v>
      </c>
    </row>
    <row r="67" spans="1:8" x14ac:dyDescent="0.3">
      <c r="A67" t="s">
        <v>43</v>
      </c>
      <c r="B67" t="s">
        <v>73</v>
      </c>
      <c r="C67" t="s">
        <v>12</v>
      </c>
      <c r="D67" t="s">
        <v>14</v>
      </c>
      <c r="E67" t="s">
        <v>1524</v>
      </c>
      <c r="F67" t="s">
        <v>1736</v>
      </c>
      <c r="G67" t="s">
        <v>1695</v>
      </c>
      <c r="H67" t="s">
        <v>1684</v>
      </c>
    </row>
    <row r="68" spans="1:8" x14ac:dyDescent="0.3">
      <c r="A68" t="s">
        <v>43</v>
      </c>
      <c r="B68" t="s">
        <v>73</v>
      </c>
      <c r="C68" t="s">
        <v>12</v>
      </c>
      <c r="D68" t="s">
        <v>11</v>
      </c>
      <c r="E68" t="s">
        <v>1524</v>
      </c>
      <c r="F68" t="s">
        <v>1696</v>
      </c>
      <c r="G68" t="s">
        <v>1695</v>
      </c>
      <c r="H68" t="s">
        <v>1684</v>
      </c>
    </row>
    <row r="69" spans="1:8" x14ac:dyDescent="0.3">
      <c r="A69" t="s">
        <v>43</v>
      </c>
      <c r="B69" t="s">
        <v>73</v>
      </c>
      <c r="C69" t="s">
        <v>12</v>
      </c>
      <c r="D69" t="s">
        <v>21</v>
      </c>
      <c r="E69" t="s">
        <v>1524</v>
      </c>
      <c r="F69" t="s">
        <v>1735</v>
      </c>
      <c r="G69" t="s">
        <v>1697</v>
      </c>
      <c r="H69" t="s">
        <v>1684</v>
      </c>
    </row>
    <row r="70" spans="1:8" x14ac:dyDescent="0.3">
      <c r="A70" t="s">
        <v>43</v>
      </c>
      <c r="B70" t="s">
        <v>73</v>
      </c>
      <c r="C70" t="s">
        <v>12</v>
      </c>
      <c r="D70" t="s">
        <v>17</v>
      </c>
      <c r="E70" t="s">
        <v>1524</v>
      </c>
      <c r="F70" t="s">
        <v>1734</v>
      </c>
      <c r="G70" t="s">
        <v>1695</v>
      </c>
      <c r="H70" t="s">
        <v>1686</v>
      </c>
    </row>
    <row r="71" spans="1:8" x14ac:dyDescent="0.3">
      <c r="A71" t="s">
        <v>43</v>
      </c>
      <c r="B71" t="s">
        <v>73</v>
      </c>
      <c r="C71" t="s">
        <v>12</v>
      </c>
      <c r="D71" t="s">
        <v>16</v>
      </c>
      <c r="E71" t="s">
        <v>1524</v>
      </c>
      <c r="F71" t="s">
        <v>1734</v>
      </c>
      <c r="G71" t="s">
        <v>1695</v>
      </c>
      <c r="H71" t="s">
        <v>1686</v>
      </c>
    </row>
    <row r="72" spans="1:8" x14ac:dyDescent="0.3">
      <c r="A72" t="s">
        <v>43</v>
      </c>
      <c r="B72" t="s">
        <v>73</v>
      </c>
      <c r="C72" t="s">
        <v>12</v>
      </c>
      <c r="D72" t="s">
        <v>20</v>
      </c>
      <c r="E72" t="s">
        <v>1524</v>
      </c>
      <c r="F72" t="s">
        <v>1730</v>
      </c>
      <c r="G72" t="s">
        <v>1710</v>
      </c>
      <c r="H72" t="s">
        <v>1684</v>
      </c>
    </row>
    <row r="73" spans="1:8" x14ac:dyDescent="0.3">
      <c r="A73" t="s">
        <v>43</v>
      </c>
      <c r="B73" t="s">
        <v>73</v>
      </c>
      <c r="C73" t="s">
        <v>12</v>
      </c>
      <c r="D73" t="s">
        <v>22</v>
      </c>
      <c r="E73" t="s">
        <v>1524</v>
      </c>
      <c r="F73" t="s">
        <v>1735</v>
      </c>
      <c r="G73" t="s">
        <v>1697</v>
      </c>
      <c r="H73" t="s">
        <v>1685</v>
      </c>
    </row>
    <row r="74" spans="1:8" x14ac:dyDescent="0.3">
      <c r="A74" t="s">
        <v>43</v>
      </c>
      <c r="B74" t="s">
        <v>73</v>
      </c>
      <c r="C74" t="s">
        <v>29</v>
      </c>
      <c r="D74" t="s">
        <v>25</v>
      </c>
      <c r="E74" t="s">
        <v>1524</v>
      </c>
      <c r="F74" t="s">
        <v>1698</v>
      </c>
      <c r="G74" t="s">
        <v>1699</v>
      </c>
      <c r="H74" t="s">
        <v>1684</v>
      </c>
    </row>
    <row r="75" spans="1:8" x14ac:dyDescent="0.3">
      <c r="A75" t="s">
        <v>43</v>
      </c>
      <c r="B75" t="s">
        <v>73</v>
      </c>
      <c r="C75" t="s">
        <v>29</v>
      </c>
      <c r="D75" t="s">
        <v>24</v>
      </c>
      <c r="E75" t="s">
        <v>1524</v>
      </c>
      <c r="F75" t="s">
        <v>1698</v>
      </c>
      <c r="G75" t="s">
        <v>1699</v>
      </c>
      <c r="H75" t="s">
        <v>1684</v>
      </c>
    </row>
    <row r="76" spans="1:8" x14ac:dyDescent="0.3">
      <c r="A76" t="s">
        <v>43</v>
      </c>
      <c r="B76" t="s">
        <v>73</v>
      </c>
      <c r="C76" t="s">
        <v>29</v>
      </c>
      <c r="D76" t="s">
        <v>32</v>
      </c>
      <c r="E76" t="s">
        <v>1525</v>
      </c>
      <c r="F76" t="s">
        <v>1737</v>
      </c>
      <c r="G76" t="s">
        <v>1716</v>
      </c>
      <c r="H76" t="s">
        <v>1688</v>
      </c>
    </row>
    <row r="77" spans="1:8" x14ac:dyDescent="0.3">
      <c r="A77" t="s">
        <v>43</v>
      </c>
      <c r="B77" t="s">
        <v>73</v>
      </c>
      <c r="C77" t="s">
        <v>29</v>
      </c>
      <c r="D77" t="s">
        <v>30</v>
      </c>
      <c r="E77" t="s">
        <v>1524</v>
      </c>
      <c r="F77" t="s">
        <v>1698</v>
      </c>
      <c r="G77" t="s">
        <v>1699</v>
      </c>
      <c r="H77" t="s">
        <v>1686</v>
      </c>
    </row>
    <row r="78" spans="1:8" x14ac:dyDescent="0.3">
      <c r="A78" t="s">
        <v>43</v>
      </c>
      <c r="B78" t="s">
        <v>73</v>
      </c>
      <c r="C78" t="s">
        <v>29</v>
      </c>
      <c r="D78" t="s">
        <v>34</v>
      </c>
      <c r="E78" t="s">
        <v>1529</v>
      </c>
      <c r="F78" t="s">
        <v>1738</v>
      </c>
      <c r="G78" t="s">
        <v>1695</v>
      </c>
      <c r="H78" t="s">
        <v>1688</v>
      </c>
    </row>
    <row r="79" spans="1:8" x14ac:dyDescent="0.3">
      <c r="A79" t="s">
        <v>43</v>
      </c>
      <c r="B79" t="s">
        <v>73</v>
      </c>
      <c r="C79" t="s">
        <v>29</v>
      </c>
      <c r="D79" t="s">
        <v>26</v>
      </c>
      <c r="E79" t="s">
        <v>1524</v>
      </c>
      <c r="F79" t="s">
        <v>1706</v>
      </c>
      <c r="G79" t="s">
        <v>1707</v>
      </c>
      <c r="H79" t="s">
        <v>1684</v>
      </c>
    </row>
    <row r="80" spans="1:8" x14ac:dyDescent="0.3">
      <c r="A80" t="s">
        <v>43</v>
      </c>
      <c r="B80" t="s">
        <v>73</v>
      </c>
      <c r="C80" t="s">
        <v>29</v>
      </c>
      <c r="D80" t="s">
        <v>31</v>
      </c>
      <c r="E80" t="s">
        <v>1524</v>
      </c>
      <c r="F80" t="s">
        <v>1739</v>
      </c>
      <c r="G80" t="s">
        <v>1695</v>
      </c>
      <c r="H80" t="s">
        <v>1686</v>
      </c>
    </row>
    <row r="81" spans="1:8" x14ac:dyDescent="0.3">
      <c r="A81" t="s">
        <v>43</v>
      </c>
      <c r="B81" t="s">
        <v>73</v>
      </c>
      <c r="C81" t="s">
        <v>29</v>
      </c>
      <c r="D81" t="s">
        <v>27</v>
      </c>
      <c r="E81" t="s">
        <v>1526</v>
      </c>
      <c r="F81" t="s">
        <v>1740</v>
      </c>
      <c r="G81" t="s">
        <v>1695</v>
      </c>
      <c r="H81" t="s">
        <v>1684</v>
      </c>
    </row>
    <row r="82" spans="1:8" x14ac:dyDescent="0.3">
      <c r="A82" t="s">
        <v>43</v>
      </c>
      <c r="B82" t="s">
        <v>73</v>
      </c>
      <c r="C82" t="s">
        <v>29</v>
      </c>
      <c r="D82" t="s">
        <v>28</v>
      </c>
      <c r="E82" t="s">
        <v>1524</v>
      </c>
      <c r="F82" t="s">
        <v>1698</v>
      </c>
      <c r="G82" t="s">
        <v>1699</v>
      </c>
      <c r="H82" t="s">
        <v>1686</v>
      </c>
    </row>
    <row r="83" spans="1:8" x14ac:dyDescent="0.3">
      <c r="A83" t="s">
        <v>43</v>
      </c>
      <c r="B83" t="s">
        <v>73</v>
      </c>
      <c r="C83" t="s">
        <v>29</v>
      </c>
      <c r="D83" t="s">
        <v>35</v>
      </c>
      <c r="E83" t="s">
        <v>1529</v>
      </c>
      <c r="F83" t="s">
        <v>1741</v>
      </c>
      <c r="G83" t="s">
        <v>1697</v>
      </c>
      <c r="H83" t="s">
        <v>1688</v>
      </c>
    </row>
    <row r="84" spans="1:8" x14ac:dyDescent="0.3">
      <c r="A84" t="s">
        <v>45</v>
      </c>
      <c r="B84" t="s">
        <v>46</v>
      </c>
      <c r="C84" t="s">
        <v>12</v>
      </c>
      <c r="D84" t="s">
        <v>15</v>
      </c>
      <c r="E84" t="s">
        <v>1526</v>
      </c>
      <c r="F84" t="s">
        <v>1742</v>
      </c>
      <c r="G84" t="s">
        <v>1695</v>
      </c>
      <c r="H84" t="s">
        <v>1684</v>
      </c>
    </row>
    <row r="85" spans="1:8" x14ac:dyDescent="0.3">
      <c r="A85" t="s">
        <v>45</v>
      </c>
      <c r="B85" t="s">
        <v>46</v>
      </c>
      <c r="C85" t="s">
        <v>12</v>
      </c>
      <c r="D85" t="s">
        <v>14</v>
      </c>
      <c r="E85" t="s">
        <v>1526</v>
      </c>
      <c r="F85" t="s">
        <v>1742</v>
      </c>
      <c r="G85" t="s">
        <v>1695</v>
      </c>
      <c r="H85" t="s">
        <v>1686</v>
      </c>
    </row>
    <row r="86" spans="1:8" x14ac:dyDescent="0.3">
      <c r="A86" t="s">
        <v>45</v>
      </c>
      <c r="B86" t="s">
        <v>46</v>
      </c>
      <c r="C86" t="s">
        <v>12</v>
      </c>
      <c r="D86" t="s">
        <v>11</v>
      </c>
      <c r="E86" t="s">
        <v>1526</v>
      </c>
      <c r="F86" t="s">
        <v>1742</v>
      </c>
      <c r="G86" t="s">
        <v>1695</v>
      </c>
      <c r="H86" t="s">
        <v>1686</v>
      </c>
    </row>
    <row r="87" spans="1:8" x14ac:dyDescent="0.3">
      <c r="A87" t="s">
        <v>45</v>
      </c>
      <c r="B87" t="s">
        <v>46</v>
      </c>
      <c r="C87" t="s">
        <v>12</v>
      </c>
      <c r="D87" t="s">
        <v>19</v>
      </c>
      <c r="E87" t="s">
        <v>1526</v>
      </c>
      <c r="F87" t="s">
        <v>1743</v>
      </c>
      <c r="G87" t="s">
        <v>1695</v>
      </c>
      <c r="H87" t="s">
        <v>1684</v>
      </c>
    </row>
    <row r="88" spans="1:8" x14ac:dyDescent="0.3">
      <c r="A88" t="s">
        <v>45</v>
      </c>
      <c r="B88" t="s">
        <v>46</v>
      </c>
      <c r="C88" t="s">
        <v>12</v>
      </c>
      <c r="D88" t="s">
        <v>17</v>
      </c>
      <c r="E88" t="s">
        <v>1526</v>
      </c>
      <c r="F88" t="s">
        <v>1742</v>
      </c>
      <c r="G88" t="s">
        <v>1695</v>
      </c>
      <c r="H88" t="s">
        <v>1684</v>
      </c>
    </row>
    <row r="89" spans="1:8" x14ac:dyDescent="0.3">
      <c r="A89" t="s">
        <v>45</v>
      </c>
      <c r="B89" t="s">
        <v>46</v>
      </c>
      <c r="C89" t="s">
        <v>12</v>
      </c>
      <c r="D89" t="s">
        <v>16</v>
      </c>
      <c r="E89" t="s">
        <v>1526</v>
      </c>
      <c r="F89" t="s">
        <v>1744</v>
      </c>
      <c r="G89" t="s">
        <v>1695</v>
      </c>
      <c r="H89" t="s">
        <v>1684</v>
      </c>
    </row>
    <row r="90" spans="1:8" x14ac:dyDescent="0.3">
      <c r="A90" t="s">
        <v>45</v>
      </c>
      <c r="B90" t="s">
        <v>46</v>
      </c>
      <c r="C90" t="s">
        <v>12</v>
      </c>
      <c r="D90" t="s">
        <v>20</v>
      </c>
      <c r="E90" t="s">
        <v>1526</v>
      </c>
      <c r="F90" t="s">
        <v>1742</v>
      </c>
      <c r="G90" t="s">
        <v>1695</v>
      </c>
      <c r="H90" t="s">
        <v>1692</v>
      </c>
    </row>
    <row r="91" spans="1:8" x14ac:dyDescent="0.3">
      <c r="A91" t="s">
        <v>45</v>
      </c>
      <c r="B91" t="s">
        <v>46</v>
      </c>
      <c r="C91" t="s">
        <v>29</v>
      </c>
      <c r="D91" t="s">
        <v>23</v>
      </c>
      <c r="E91" t="s">
        <v>1526</v>
      </c>
      <c r="F91" t="s">
        <v>1742</v>
      </c>
      <c r="G91" t="s">
        <v>1695</v>
      </c>
      <c r="H91" t="s">
        <v>1690</v>
      </c>
    </row>
    <row r="92" spans="1:8" x14ac:dyDescent="0.3">
      <c r="A92" t="s">
        <v>45</v>
      </c>
      <c r="B92" t="s">
        <v>46</v>
      </c>
      <c r="C92" t="s">
        <v>29</v>
      </c>
      <c r="D92" t="s">
        <v>25</v>
      </c>
      <c r="E92" t="s">
        <v>1526</v>
      </c>
      <c r="F92" t="s">
        <v>1742</v>
      </c>
      <c r="G92" t="s">
        <v>1695</v>
      </c>
      <c r="H92" t="s">
        <v>1684</v>
      </c>
    </row>
    <row r="93" spans="1:8" x14ac:dyDescent="0.3">
      <c r="A93" t="s">
        <v>45</v>
      </c>
      <c r="B93" t="s">
        <v>46</v>
      </c>
      <c r="C93" t="s">
        <v>29</v>
      </c>
      <c r="D93" t="s">
        <v>24</v>
      </c>
      <c r="E93" t="s">
        <v>1526</v>
      </c>
      <c r="F93" t="s">
        <v>1742</v>
      </c>
      <c r="G93" t="s">
        <v>1695</v>
      </c>
      <c r="H93" t="s">
        <v>1690</v>
      </c>
    </row>
    <row r="94" spans="1:8" x14ac:dyDescent="0.3">
      <c r="A94" t="s">
        <v>45</v>
      </c>
      <c r="B94" t="s">
        <v>46</v>
      </c>
      <c r="C94" t="s">
        <v>29</v>
      </c>
      <c r="D94" t="s">
        <v>21</v>
      </c>
      <c r="E94" t="s">
        <v>1526</v>
      </c>
      <c r="F94" t="s">
        <v>1742</v>
      </c>
      <c r="G94" t="s">
        <v>1695</v>
      </c>
      <c r="H94" t="s">
        <v>1690</v>
      </c>
    </row>
    <row r="95" spans="1:8" x14ac:dyDescent="0.3">
      <c r="A95" t="s">
        <v>45</v>
      </c>
      <c r="B95" t="s">
        <v>46</v>
      </c>
      <c r="C95" t="s">
        <v>29</v>
      </c>
      <c r="D95" t="s">
        <v>30</v>
      </c>
      <c r="E95" t="s">
        <v>1526</v>
      </c>
      <c r="F95" t="s">
        <v>1742</v>
      </c>
      <c r="G95" t="s">
        <v>1695</v>
      </c>
      <c r="H95" t="s">
        <v>1684</v>
      </c>
    </row>
    <row r="96" spans="1:8" x14ac:dyDescent="0.3">
      <c r="A96" t="s">
        <v>45</v>
      </c>
      <c r="B96" t="s">
        <v>46</v>
      </c>
      <c r="C96" t="s">
        <v>29</v>
      </c>
      <c r="D96" t="s">
        <v>26</v>
      </c>
      <c r="E96" t="s">
        <v>1526</v>
      </c>
      <c r="F96" t="s">
        <v>1745</v>
      </c>
      <c r="G96" t="s">
        <v>1695</v>
      </c>
      <c r="H96" t="s">
        <v>1684</v>
      </c>
    </row>
    <row r="97" spans="1:8" x14ac:dyDescent="0.3">
      <c r="A97" t="s">
        <v>45</v>
      </c>
      <c r="B97" t="s">
        <v>46</v>
      </c>
      <c r="C97" t="s">
        <v>29</v>
      </c>
      <c r="D97" t="s">
        <v>22</v>
      </c>
      <c r="E97" t="s">
        <v>1526</v>
      </c>
      <c r="F97" t="s">
        <v>1742</v>
      </c>
      <c r="G97" t="s">
        <v>1695</v>
      </c>
      <c r="H97" t="s">
        <v>1690</v>
      </c>
    </row>
    <row r="98" spans="1:8" x14ac:dyDescent="0.3">
      <c r="A98" t="s">
        <v>45</v>
      </c>
      <c r="B98" t="s">
        <v>46</v>
      </c>
      <c r="C98" t="s">
        <v>29</v>
      </c>
      <c r="D98" t="s">
        <v>27</v>
      </c>
      <c r="E98" t="s">
        <v>1526</v>
      </c>
      <c r="F98" t="s">
        <v>1742</v>
      </c>
      <c r="G98" t="s">
        <v>1695</v>
      </c>
      <c r="H98" t="s">
        <v>1684</v>
      </c>
    </row>
    <row r="99" spans="1:8" x14ac:dyDescent="0.3">
      <c r="A99" t="s">
        <v>45</v>
      </c>
      <c r="B99" t="s">
        <v>46</v>
      </c>
      <c r="C99" t="s">
        <v>29</v>
      </c>
      <c r="D99" t="s">
        <v>28</v>
      </c>
      <c r="E99" t="s">
        <v>1526</v>
      </c>
      <c r="F99" t="s">
        <v>1742</v>
      </c>
      <c r="G99" t="s">
        <v>1695</v>
      </c>
      <c r="H99" t="s">
        <v>1684</v>
      </c>
    </row>
    <row r="100" spans="1:8" x14ac:dyDescent="0.3">
      <c r="A100" t="s">
        <v>45</v>
      </c>
      <c r="B100" t="s">
        <v>72</v>
      </c>
      <c r="C100" t="s">
        <v>29</v>
      </c>
      <c r="D100" t="s">
        <v>23</v>
      </c>
      <c r="E100" t="s">
        <v>1525</v>
      </c>
      <c r="F100" t="s">
        <v>1746</v>
      </c>
      <c r="G100" t="s">
        <v>1716</v>
      </c>
      <c r="H100" t="s">
        <v>1693</v>
      </c>
    </row>
    <row r="101" spans="1:8" x14ac:dyDescent="0.3">
      <c r="A101" t="s">
        <v>45</v>
      </c>
      <c r="B101" t="s">
        <v>72</v>
      </c>
      <c r="C101" t="s">
        <v>29</v>
      </c>
      <c r="D101" t="s">
        <v>25</v>
      </c>
      <c r="E101" t="s">
        <v>1525</v>
      </c>
      <c r="F101" t="s">
        <v>1746</v>
      </c>
      <c r="G101" t="s">
        <v>1716</v>
      </c>
      <c r="H101" t="s">
        <v>1686</v>
      </c>
    </row>
    <row r="102" spans="1:8" x14ac:dyDescent="0.3">
      <c r="A102" t="s">
        <v>45</v>
      </c>
      <c r="B102" t="s">
        <v>72</v>
      </c>
      <c r="C102" t="s">
        <v>12</v>
      </c>
      <c r="D102" t="s">
        <v>15</v>
      </c>
      <c r="E102" t="s">
        <v>1524</v>
      </c>
      <c r="F102" t="s">
        <v>1698</v>
      </c>
      <c r="G102" t="s">
        <v>1695</v>
      </c>
      <c r="H102" t="s">
        <v>1684</v>
      </c>
    </row>
    <row r="103" spans="1:8" x14ac:dyDescent="0.3">
      <c r="A103" t="s">
        <v>45</v>
      </c>
      <c r="B103" t="s">
        <v>72</v>
      </c>
      <c r="C103" t="s">
        <v>12</v>
      </c>
      <c r="D103" t="s">
        <v>14</v>
      </c>
      <c r="E103" t="s">
        <v>1524</v>
      </c>
      <c r="F103" t="s">
        <v>1698</v>
      </c>
      <c r="G103" t="s">
        <v>1710</v>
      </c>
      <c r="H103" t="s">
        <v>1690</v>
      </c>
    </row>
    <row r="104" spans="1:8" x14ac:dyDescent="0.3">
      <c r="A104" t="s">
        <v>45</v>
      </c>
      <c r="B104" t="s">
        <v>72</v>
      </c>
      <c r="C104" t="s">
        <v>12</v>
      </c>
      <c r="D104" t="s">
        <v>11</v>
      </c>
      <c r="E104" t="s">
        <v>1524</v>
      </c>
      <c r="F104" t="s">
        <v>1698</v>
      </c>
      <c r="G104" t="s">
        <v>1710</v>
      </c>
      <c r="H104" t="s">
        <v>1692</v>
      </c>
    </row>
    <row r="105" spans="1:8" x14ac:dyDescent="0.3">
      <c r="A105" t="s">
        <v>45</v>
      </c>
      <c r="B105" t="s">
        <v>72</v>
      </c>
      <c r="C105" t="s">
        <v>12</v>
      </c>
      <c r="D105" t="s">
        <v>21</v>
      </c>
      <c r="E105" t="s">
        <v>1524</v>
      </c>
      <c r="F105" t="s">
        <v>1698</v>
      </c>
      <c r="G105" t="s">
        <v>1710</v>
      </c>
      <c r="H105" t="s">
        <v>1693</v>
      </c>
    </row>
    <row r="106" spans="1:8" x14ac:dyDescent="0.3">
      <c r="A106" t="s">
        <v>45</v>
      </c>
      <c r="B106" t="s">
        <v>72</v>
      </c>
      <c r="C106" t="s">
        <v>12</v>
      </c>
      <c r="D106" t="s">
        <v>19</v>
      </c>
      <c r="E106" t="s">
        <v>1525</v>
      </c>
      <c r="F106" t="s">
        <v>1746</v>
      </c>
      <c r="G106" t="s">
        <v>1716</v>
      </c>
      <c r="H106" t="s">
        <v>1684</v>
      </c>
    </row>
    <row r="107" spans="1:8" x14ac:dyDescent="0.3">
      <c r="A107" t="s">
        <v>45</v>
      </c>
      <c r="B107" t="s">
        <v>72</v>
      </c>
      <c r="C107" t="s">
        <v>12</v>
      </c>
      <c r="D107" t="s">
        <v>17</v>
      </c>
      <c r="E107" t="s">
        <v>1525</v>
      </c>
      <c r="F107" t="s">
        <v>1746</v>
      </c>
      <c r="G107" t="s">
        <v>1716</v>
      </c>
      <c r="H107" t="s">
        <v>1684</v>
      </c>
    </row>
    <row r="108" spans="1:8" x14ac:dyDescent="0.3">
      <c r="A108" t="s">
        <v>45</v>
      </c>
      <c r="B108" t="s">
        <v>72</v>
      </c>
      <c r="C108" t="s">
        <v>12</v>
      </c>
      <c r="D108" t="s">
        <v>16</v>
      </c>
      <c r="E108" t="s">
        <v>1524</v>
      </c>
      <c r="F108" t="s">
        <v>1718</v>
      </c>
      <c r="G108" t="s">
        <v>1707</v>
      </c>
      <c r="H108" t="s">
        <v>1685</v>
      </c>
    </row>
    <row r="109" spans="1:8" x14ac:dyDescent="0.3">
      <c r="A109" t="s">
        <v>45</v>
      </c>
      <c r="B109" t="s">
        <v>72</v>
      </c>
      <c r="C109" t="s">
        <v>12</v>
      </c>
      <c r="D109" t="s">
        <v>20</v>
      </c>
      <c r="E109" t="s">
        <v>1524</v>
      </c>
      <c r="F109" t="s">
        <v>1730</v>
      </c>
      <c r="G109" t="s">
        <v>1695</v>
      </c>
      <c r="H109" t="s">
        <v>1684</v>
      </c>
    </row>
    <row r="110" spans="1:8" x14ac:dyDescent="0.3">
      <c r="A110" t="s">
        <v>45</v>
      </c>
      <c r="B110" t="s">
        <v>72</v>
      </c>
      <c r="C110" t="s">
        <v>12</v>
      </c>
      <c r="D110" t="s">
        <v>22</v>
      </c>
      <c r="E110" t="s">
        <v>1524</v>
      </c>
      <c r="F110" t="s">
        <v>1730</v>
      </c>
      <c r="G110" t="s">
        <v>1710</v>
      </c>
      <c r="H110" t="s">
        <v>1693</v>
      </c>
    </row>
    <row r="111" spans="1:8" x14ac:dyDescent="0.3">
      <c r="A111" t="s">
        <v>45</v>
      </c>
      <c r="B111" t="s">
        <v>72</v>
      </c>
      <c r="C111" t="s">
        <v>29</v>
      </c>
      <c r="D111" t="s">
        <v>24</v>
      </c>
      <c r="E111" t="s">
        <v>1525</v>
      </c>
      <c r="F111" t="s">
        <v>1746</v>
      </c>
      <c r="G111" t="s">
        <v>1716</v>
      </c>
      <c r="H111" t="s">
        <v>1686</v>
      </c>
    </row>
    <row r="112" spans="1:8" x14ac:dyDescent="0.3">
      <c r="A112" t="s">
        <v>45</v>
      </c>
      <c r="B112" t="s">
        <v>72</v>
      </c>
      <c r="C112" t="s">
        <v>29</v>
      </c>
      <c r="D112" t="s">
        <v>37</v>
      </c>
      <c r="E112" t="s">
        <v>1524</v>
      </c>
      <c r="F112" t="s">
        <v>1730</v>
      </c>
      <c r="G112" t="s">
        <v>1695</v>
      </c>
      <c r="H112" t="s">
        <v>1685</v>
      </c>
    </row>
    <row r="113" spans="1:8" x14ac:dyDescent="0.3">
      <c r="A113" t="s">
        <v>45</v>
      </c>
      <c r="B113" t="s">
        <v>72</v>
      </c>
      <c r="C113" t="s">
        <v>29</v>
      </c>
      <c r="D113" t="s">
        <v>32</v>
      </c>
      <c r="E113" t="s">
        <v>1524</v>
      </c>
      <c r="F113" t="s">
        <v>1747</v>
      </c>
      <c r="G113" t="s">
        <v>1695</v>
      </c>
      <c r="H113" t="s">
        <v>1686</v>
      </c>
    </row>
    <row r="114" spans="1:8" x14ac:dyDescent="0.3">
      <c r="A114" t="s">
        <v>45</v>
      </c>
      <c r="B114" t="s">
        <v>72</v>
      </c>
      <c r="C114" t="s">
        <v>29</v>
      </c>
      <c r="D114" t="s">
        <v>30</v>
      </c>
      <c r="E114" t="s">
        <v>1524</v>
      </c>
      <c r="F114" t="s">
        <v>1747</v>
      </c>
      <c r="G114" t="s">
        <v>1695</v>
      </c>
      <c r="H114" t="s">
        <v>1686</v>
      </c>
    </row>
    <row r="115" spans="1:8" x14ac:dyDescent="0.3">
      <c r="A115" t="s">
        <v>45</v>
      </c>
      <c r="B115" t="s">
        <v>72</v>
      </c>
      <c r="C115" t="s">
        <v>29</v>
      </c>
      <c r="D115" t="s">
        <v>34</v>
      </c>
      <c r="E115" t="s">
        <v>1524</v>
      </c>
      <c r="F115" t="s">
        <v>1735</v>
      </c>
      <c r="G115" t="s">
        <v>1710</v>
      </c>
      <c r="H115" t="s">
        <v>1692</v>
      </c>
    </row>
    <row r="116" spans="1:8" x14ac:dyDescent="0.3">
      <c r="A116" t="s">
        <v>45</v>
      </c>
      <c r="B116" t="s">
        <v>72</v>
      </c>
      <c r="C116" t="s">
        <v>29</v>
      </c>
      <c r="D116" t="s">
        <v>36</v>
      </c>
      <c r="E116" t="s">
        <v>1524</v>
      </c>
      <c r="F116" t="s">
        <v>1735</v>
      </c>
      <c r="G116" t="s">
        <v>1710</v>
      </c>
      <c r="H116" t="s">
        <v>1690</v>
      </c>
    </row>
    <row r="117" spans="1:8" x14ac:dyDescent="0.3">
      <c r="A117" t="s">
        <v>45</v>
      </c>
      <c r="B117" t="s">
        <v>72</v>
      </c>
      <c r="C117" t="s">
        <v>29</v>
      </c>
      <c r="D117" t="s">
        <v>33</v>
      </c>
      <c r="E117" t="s">
        <v>1524</v>
      </c>
      <c r="F117" t="s">
        <v>1720</v>
      </c>
      <c r="G117" t="s">
        <v>1726</v>
      </c>
      <c r="H117" t="s">
        <v>1686</v>
      </c>
    </row>
    <row r="118" spans="1:8" x14ac:dyDescent="0.3">
      <c r="A118" t="s">
        <v>45</v>
      </c>
      <c r="B118" t="s">
        <v>72</v>
      </c>
      <c r="C118" t="s">
        <v>29</v>
      </c>
      <c r="D118" t="s">
        <v>26</v>
      </c>
      <c r="E118" t="s">
        <v>1526</v>
      </c>
      <c r="F118" t="s">
        <v>1748</v>
      </c>
      <c r="G118" t="s">
        <v>1697</v>
      </c>
      <c r="H118" t="s">
        <v>1686</v>
      </c>
    </row>
    <row r="119" spans="1:8" x14ac:dyDescent="0.3">
      <c r="A119" t="s">
        <v>45</v>
      </c>
      <c r="B119" t="s">
        <v>72</v>
      </c>
      <c r="C119" t="s">
        <v>29</v>
      </c>
      <c r="D119" t="s">
        <v>31</v>
      </c>
      <c r="E119" t="s">
        <v>1524</v>
      </c>
      <c r="F119" t="s">
        <v>1747</v>
      </c>
      <c r="G119" t="s">
        <v>1695</v>
      </c>
      <c r="H119" t="s">
        <v>1686</v>
      </c>
    </row>
    <row r="120" spans="1:8" x14ac:dyDescent="0.3">
      <c r="A120" t="s">
        <v>45</v>
      </c>
      <c r="B120" t="s">
        <v>72</v>
      </c>
      <c r="C120" t="s">
        <v>29</v>
      </c>
      <c r="D120" t="s">
        <v>27</v>
      </c>
      <c r="E120" t="s">
        <v>1526</v>
      </c>
      <c r="F120" t="s">
        <v>1748</v>
      </c>
      <c r="G120" t="s">
        <v>1697</v>
      </c>
      <c r="H120" t="s">
        <v>1686</v>
      </c>
    </row>
    <row r="121" spans="1:8" x14ac:dyDescent="0.3">
      <c r="A121" t="s">
        <v>45</v>
      </c>
      <c r="B121" t="s">
        <v>72</v>
      </c>
      <c r="C121" t="s">
        <v>29</v>
      </c>
      <c r="D121" t="s">
        <v>28</v>
      </c>
      <c r="E121" t="s">
        <v>1524</v>
      </c>
      <c r="F121" t="s">
        <v>1720</v>
      </c>
      <c r="G121" t="s">
        <v>1695</v>
      </c>
      <c r="H121" t="s">
        <v>1686</v>
      </c>
    </row>
    <row r="122" spans="1:8" x14ac:dyDescent="0.3">
      <c r="A122" t="s">
        <v>45</v>
      </c>
      <c r="B122" t="s">
        <v>72</v>
      </c>
      <c r="C122" t="s">
        <v>29</v>
      </c>
      <c r="D122" t="s">
        <v>35</v>
      </c>
      <c r="E122" t="s">
        <v>1524</v>
      </c>
      <c r="F122" t="s">
        <v>1730</v>
      </c>
      <c r="G122" t="s">
        <v>1710</v>
      </c>
      <c r="H122" t="s">
        <v>1692</v>
      </c>
    </row>
    <row r="123" spans="1:8" x14ac:dyDescent="0.3">
      <c r="A123" t="s">
        <v>9</v>
      </c>
      <c r="B123" t="s">
        <v>10</v>
      </c>
      <c r="C123" t="s">
        <v>12</v>
      </c>
      <c r="D123" t="s">
        <v>27</v>
      </c>
      <c r="E123" t="s">
        <v>1524</v>
      </c>
      <c r="F123" t="s">
        <v>1749</v>
      </c>
      <c r="G123" t="s">
        <v>1695</v>
      </c>
      <c r="H123" t="s">
        <v>1684</v>
      </c>
    </row>
    <row r="124" spans="1:8" x14ac:dyDescent="0.3">
      <c r="A124" t="s">
        <v>9</v>
      </c>
      <c r="B124" t="s">
        <v>10</v>
      </c>
      <c r="C124" t="s">
        <v>12</v>
      </c>
      <c r="D124" t="s">
        <v>15</v>
      </c>
      <c r="E124" t="s">
        <v>1524</v>
      </c>
      <c r="F124" t="s">
        <v>1750</v>
      </c>
      <c r="G124" t="s">
        <v>1695</v>
      </c>
      <c r="H124" t="s">
        <v>1684</v>
      </c>
    </row>
    <row r="125" spans="1:8" x14ac:dyDescent="0.3">
      <c r="A125" t="s">
        <v>9</v>
      </c>
      <c r="B125" t="s">
        <v>10</v>
      </c>
      <c r="C125" t="s">
        <v>12</v>
      </c>
      <c r="D125" t="s">
        <v>23</v>
      </c>
      <c r="E125" t="s">
        <v>1524</v>
      </c>
      <c r="F125" t="s">
        <v>1750</v>
      </c>
      <c r="G125" t="s">
        <v>1695</v>
      </c>
      <c r="H125" t="s">
        <v>1684</v>
      </c>
    </row>
    <row r="126" spans="1:8" x14ac:dyDescent="0.3">
      <c r="A126" t="s">
        <v>9</v>
      </c>
      <c r="B126" t="s">
        <v>10</v>
      </c>
      <c r="C126" t="s">
        <v>12</v>
      </c>
      <c r="D126" t="s">
        <v>14</v>
      </c>
      <c r="E126" t="s">
        <v>1524</v>
      </c>
      <c r="F126" t="s">
        <v>1750</v>
      </c>
      <c r="G126" t="s">
        <v>1695</v>
      </c>
      <c r="H126" t="s">
        <v>1684</v>
      </c>
    </row>
    <row r="127" spans="1:8" x14ac:dyDescent="0.3">
      <c r="A127" t="s">
        <v>9</v>
      </c>
      <c r="B127" t="s">
        <v>10</v>
      </c>
      <c r="C127" t="s">
        <v>12</v>
      </c>
      <c r="D127" t="s">
        <v>25</v>
      </c>
      <c r="E127" t="s">
        <v>1524</v>
      </c>
      <c r="F127" t="s">
        <v>1749</v>
      </c>
      <c r="G127" t="s">
        <v>1695</v>
      </c>
      <c r="H127" t="s">
        <v>1684</v>
      </c>
    </row>
    <row r="128" spans="1:8" x14ac:dyDescent="0.3">
      <c r="A128" t="s">
        <v>9</v>
      </c>
      <c r="B128" t="s">
        <v>10</v>
      </c>
      <c r="C128" t="s">
        <v>12</v>
      </c>
      <c r="D128" t="s">
        <v>11</v>
      </c>
      <c r="E128" t="s">
        <v>1524</v>
      </c>
      <c r="F128" t="s">
        <v>1750</v>
      </c>
      <c r="G128" t="s">
        <v>1695</v>
      </c>
      <c r="H128" t="s">
        <v>1684</v>
      </c>
    </row>
    <row r="129" spans="1:8" x14ac:dyDescent="0.3">
      <c r="A129" t="s">
        <v>9</v>
      </c>
      <c r="B129" t="s">
        <v>10</v>
      </c>
      <c r="C129" t="s">
        <v>12</v>
      </c>
      <c r="D129" t="s">
        <v>24</v>
      </c>
      <c r="E129" t="s">
        <v>1524</v>
      </c>
      <c r="F129" t="s">
        <v>1750</v>
      </c>
      <c r="G129" t="s">
        <v>1695</v>
      </c>
      <c r="H129" t="s">
        <v>1684</v>
      </c>
    </row>
    <row r="130" spans="1:8" x14ac:dyDescent="0.3">
      <c r="A130" t="s">
        <v>9</v>
      </c>
      <c r="B130" t="s">
        <v>10</v>
      </c>
      <c r="C130" t="s">
        <v>12</v>
      </c>
      <c r="D130" t="s">
        <v>21</v>
      </c>
      <c r="E130" t="s">
        <v>1524</v>
      </c>
      <c r="F130" t="s">
        <v>1751</v>
      </c>
      <c r="G130" t="s">
        <v>1695</v>
      </c>
      <c r="H130" t="s">
        <v>1684</v>
      </c>
    </row>
    <row r="131" spans="1:8" x14ac:dyDescent="0.3">
      <c r="A131" t="s">
        <v>9</v>
      </c>
      <c r="B131" t="s">
        <v>10</v>
      </c>
      <c r="C131" t="s">
        <v>12</v>
      </c>
      <c r="D131" t="s">
        <v>19</v>
      </c>
      <c r="E131" t="s">
        <v>1524</v>
      </c>
      <c r="F131" t="s">
        <v>1750</v>
      </c>
      <c r="G131" t="s">
        <v>1695</v>
      </c>
      <c r="H131" t="s">
        <v>1684</v>
      </c>
    </row>
    <row r="132" spans="1:8" x14ac:dyDescent="0.3">
      <c r="A132" t="s">
        <v>9</v>
      </c>
      <c r="B132" t="s">
        <v>10</v>
      </c>
      <c r="C132" t="s">
        <v>12</v>
      </c>
      <c r="D132" t="s">
        <v>17</v>
      </c>
      <c r="E132" t="s">
        <v>1524</v>
      </c>
      <c r="F132" t="s">
        <v>1750</v>
      </c>
      <c r="G132" t="s">
        <v>1695</v>
      </c>
      <c r="H132" t="s">
        <v>1692</v>
      </c>
    </row>
    <row r="133" spans="1:8" x14ac:dyDescent="0.3">
      <c r="A133" t="s">
        <v>9</v>
      </c>
      <c r="B133" t="s">
        <v>10</v>
      </c>
      <c r="C133" t="s">
        <v>12</v>
      </c>
      <c r="D133" t="s">
        <v>16</v>
      </c>
      <c r="E133" t="s">
        <v>1524</v>
      </c>
      <c r="F133" t="s">
        <v>1750</v>
      </c>
      <c r="G133" t="s">
        <v>1695</v>
      </c>
      <c r="H133" t="s">
        <v>1684</v>
      </c>
    </row>
    <row r="134" spans="1:8" x14ac:dyDescent="0.3">
      <c r="A134" t="s">
        <v>9</v>
      </c>
      <c r="B134" t="s">
        <v>10</v>
      </c>
      <c r="C134" t="s">
        <v>12</v>
      </c>
      <c r="D134" t="s">
        <v>20</v>
      </c>
      <c r="E134" t="s">
        <v>1524</v>
      </c>
      <c r="F134" t="s">
        <v>1750</v>
      </c>
      <c r="G134" t="s">
        <v>1695</v>
      </c>
      <c r="H134" t="s">
        <v>1684</v>
      </c>
    </row>
    <row r="135" spans="1:8" x14ac:dyDescent="0.3">
      <c r="A135" t="s">
        <v>9</v>
      </c>
      <c r="B135" t="s">
        <v>10</v>
      </c>
      <c r="C135" t="s">
        <v>12</v>
      </c>
      <c r="D135" t="s">
        <v>26</v>
      </c>
      <c r="E135" t="s">
        <v>1524</v>
      </c>
      <c r="F135" t="s">
        <v>1749</v>
      </c>
      <c r="G135" t="s">
        <v>1695</v>
      </c>
      <c r="H135" t="s">
        <v>1684</v>
      </c>
    </row>
    <row r="136" spans="1:8" x14ac:dyDescent="0.3">
      <c r="A136" t="s">
        <v>9</v>
      </c>
      <c r="B136" t="s">
        <v>10</v>
      </c>
      <c r="C136" t="s">
        <v>12</v>
      </c>
      <c r="D136" t="s">
        <v>22</v>
      </c>
      <c r="E136" t="s">
        <v>1524</v>
      </c>
      <c r="F136" t="s">
        <v>1750</v>
      </c>
      <c r="G136" t="s">
        <v>1695</v>
      </c>
      <c r="H136" t="s">
        <v>1684</v>
      </c>
    </row>
    <row r="137" spans="1:8" x14ac:dyDescent="0.3">
      <c r="A137" t="s">
        <v>9</v>
      </c>
      <c r="B137" t="s">
        <v>10</v>
      </c>
      <c r="C137" t="s">
        <v>29</v>
      </c>
      <c r="D137" t="s">
        <v>39</v>
      </c>
      <c r="E137" t="s">
        <v>1529</v>
      </c>
      <c r="F137" t="s">
        <v>1720</v>
      </c>
      <c r="G137" t="s">
        <v>1695</v>
      </c>
      <c r="H137" t="s">
        <v>1684</v>
      </c>
    </row>
    <row r="138" spans="1:8" x14ac:dyDescent="0.3">
      <c r="A138" t="s">
        <v>9</v>
      </c>
      <c r="B138" t="s">
        <v>10</v>
      </c>
      <c r="C138" t="s">
        <v>29</v>
      </c>
      <c r="D138" t="s">
        <v>37</v>
      </c>
      <c r="E138" t="s">
        <v>1679</v>
      </c>
      <c r="F138" t="s">
        <v>1720</v>
      </c>
      <c r="G138" t="s">
        <v>1695</v>
      </c>
      <c r="H138" t="s">
        <v>1684</v>
      </c>
    </row>
    <row r="139" spans="1:8" x14ac:dyDescent="0.3">
      <c r="A139" t="s">
        <v>9</v>
      </c>
      <c r="B139" t="s">
        <v>10</v>
      </c>
      <c r="C139" t="s">
        <v>29</v>
      </c>
      <c r="D139" t="s">
        <v>32</v>
      </c>
      <c r="E139" t="s">
        <v>1525</v>
      </c>
      <c r="F139" t="s">
        <v>1752</v>
      </c>
      <c r="G139" t="s">
        <v>1753</v>
      </c>
      <c r="H139" t="s">
        <v>1684</v>
      </c>
    </row>
    <row r="140" spans="1:8" x14ac:dyDescent="0.3">
      <c r="A140" t="s">
        <v>9</v>
      </c>
      <c r="B140" t="s">
        <v>10</v>
      </c>
      <c r="C140" t="s">
        <v>29</v>
      </c>
      <c r="D140" t="s">
        <v>30</v>
      </c>
      <c r="E140" t="s">
        <v>1525</v>
      </c>
      <c r="F140" t="s">
        <v>1754</v>
      </c>
      <c r="G140" t="s">
        <v>1753</v>
      </c>
      <c r="H140" t="s">
        <v>1684</v>
      </c>
    </row>
    <row r="141" spans="1:8" x14ac:dyDescent="0.3">
      <c r="A141" t="s">
        <v>9</v>
      </c>
      <c r="B141" t="s">
        <v>10</v>
      </c>
      <c r="C141" t="s">
        <v>29</v>
      </c>
      <c r="D141" t="s">
        <v>41</v>
      </c>
      <c r="E141" t="s">
        <v>1529</v>
      </c>
      <c r="F141" t="s">
        <v>1720</v>
      </c>
      <c r="G141" t="s">
        <v>1695</v>
      </c>
      <c r="H141" t="s">
        <v>1684</v>
      </c>
    </row>
    <row r="142" spans="1:8" x14ac:dyDescent="0.3">
      <c r="A142" t="s">
        <v>9</v>
      </c>
      <c r="B142" t="s">
        <v>10</v>
      </c>
      <c r="C142" t="s">
        <v>29</v>
      </c>
      <c r="D142" t="s">
        <v>40</v>
      </c>
      <c r="E142" t="s">
        <v>1529</v>
      </c>
      <c r="F142" t="s">
        <v>1720</v>
      </c>
      <c r="G142" t="s">
        <v>1695</v>
      </c>
      <c r="H142" t="s">
        <v>1684</v>
      </c>
    </row>
    <row r="143" spans="1:8" x14ac:dyDescent="0.3">
      <c r="A143" t="s">
        <v>9</v>
      </c>
      <c r="B143" t="s">
        <v>10</v>
      </c>
      <c r="C143" t="s">
        <v>29</v>
      </c>
      <c r="D143" t="s">
        <v>38</v>
      </c>
      <c r="E143" t="s">
        <v>1524</v>
      </c>
      <c r="F143" t="s">
        <v>1720</v>
      </c>
      <c r="G143" t="s">
        <v>1695</v>
      </c>
      <c r="H143" t="s">
        <v>1684</v>
      </c>
    </row>
    <row r="144" spans="1:8" x14ac:dyDescent="0.3">
      <c r="A144" t="s">
        <v>9</v>
      </c>
      <c r="B144" t="s">
        <v>10</v>
      </c>
      <c r="C144" t="s">
        <v>29</v>
      </c>
      <c r="D144" t="s">
        <v>34</v>
      </c>
      <c r="E144" t="s">
        <v>1525</v>
      </c>
      <c r="F144" t="s">
        <v>1755</v>
      </c>
      <c r="G144" t="s">
        <v>1753</v>
      </c>
      <c r="H144" t="s">
        <v>1684</v>
      </c>
    </row>
    <row r="145" spans="1:8" x14ac:dyDescent="0.3">
      <c r="A145" t="s">
        <v>9</v>
      </c>
      <c r="B145" t="s">
        <v>10</v>
      </c>
      <c r="C145" t="s">
        <v>29</v>
      </c>
      <c r="D145" t="s">
        <v>42</v>
      </c>
      <c r="E145" t="s">
        <v>1529</v>
      </c>
      <c r="F145" t="s">
        <v>1720</v>
      </c>
      <c r="G145" t="s">
        <v>1695</v>
      </c>
      <c r="H145" t="s">
        <v>1684</v>
      </c>
    </row>
    <row r="146" spans="1:8" x14ac:dyDescent="0.3">
      <c r="A146" t="s">
        <v>9</v>
      </c>
      <c r="B146" t="s">
        <v>10</v>
      </c>
      <c r="C146" t="s">
        <v>29</v>
      </c>
      <c r="D146" t="s">
        <v>36</v>
      </c>
      <c r="E146" t="s">
        <v>1524</v>
      </c>
      <c r="F146" t="s">
        <v>1720</v>
      </c>
      <c r="G146" t="s">
        <v>1695</v>
      </c>
      <c r="H146" t="s">
        <v>1684</v>
      </c>
    </row>
    <row r="147" spans="1:8" x14ac:dyDescent="0.3">
      <c r="A147" t="s">
        <v>9</v>
      </c>
      <c r="B147" t="s">
        <v>10</v>
      </c>
      <c r="C147" t="s">
        <v>29</v>
      </c>
      <c r="D147" t="s">
        <v>33</v>
      </c>
      <c r="E147" t="s">
        <v>1525</v>
      </c>
      <c r="F147" t="s">
        <v>1755</v>
      </c>
      <c r="G147" t="s">
        <v>1753</v>
      </c>
      <c r="H147" t="s">
        <v>1684</v>
      </c>
    </row>
    <row r="148" spans="1:8" x14ac:dyDescent="0.3">
      <c r="A148" t="s">
        <v>9</v>
      </c>
      <c r="B148" t="s">
        <v>10</v>
      </c>
      <c r="C148" t="s">
        <v>29</v>
      </c>
      <c r="D148" t="s">
        <v>31</v>
      </c>
      <c r="E148" t="s">
        <v>1525</v>
      </c>
      <c r="F148" t="s">
        <v>1755</v>
      </c>
      <c r="G148" t="s">
        <v>1753</v>
      </c>
      <c r="H148" t="s">
        <v>1684</v>
      </c>
    </row>
    <row r="149" spans="1:8" x14ac:dyDescent="0.3">
      <c r="A149" t="s">
        <v>9</v>
      </c>
      <c r="B149" t="s">
        <v>10</v>
      </c>
      <c r="C149" t="s">
        <v>29</v>
      </c>
      <c r="D149" t="s">
        <v>28</v>
      </c>
      <c r="E149" t="s">
        <v>1525</v>
      </c>
      <c r="F149" t="s">
        <v>1755</v>
      </c>
      <c r="G149" t="s">
        <v>1716</v>
      </c>
      <c r="H149" t="s">
        <v>1684</v>
      </c>
    </row>
    <row r="150" spans="1:8" x14ac:dyDescent="0.3">
      <c r="A150" t="s">
        <v>9</v>
      </c>
      <c r="B150" t="s">
        <v>10</v>
      </c>
      <c r="C150" t="s">
        <v>29</v>
      </c>
      <c r="D150" t="s">
        <v>35</v>
      </c>
      <c r="E150" t="s">
        <v>1525</v>
      </c>
      <c r="F150" t="s">
        <v>1755</v>
      </c>
      <c r="G150" t="s">
        <v>1753</v>
      </c>
      <c r="H150" t="s">
        <v>1684</v>
      </c>
    </row>
    <row r="151" spans="1:8" x14ac:dyDescent="0.3">
      <c r="A151" t="s">
        <v>9</v>
      </c>
      <c r="B151" t="s">
        <v>47</v>
      </c>
      <c r="C151" t="s">
        <v>12</v>
      </c>
      <c r="D151" t="s">
        <v>15</v>
      </c>
      <c r="E151" t="s">
        <v>1524</v>
      </c>
      <c r="F151" t="s">
        <v>1698</v>
      </c>
      <c r="G151" t="s">
        <v>1710</v>
      </c>
      <c r="H151" t="s">
        <v>1692</v>
      </c>
    </row>
    <row r="152" spans="1:8" x14ac:dyDescent="0.3">
      <c r="A152" t="s">
        <v>9</v>
      </c>
      <c r="B152" t="s">
        <v>47</v>
      </c>
      <c r="C152" t="s">
        <v>12</v>
      </c>
      <c r="D152" t="s">
        <v>14</v>
      </c>
      <c r="E152" t="s">
        <v>1524</v>
      </c>
      <c r="F152" t="s">
        <v>1698</v>
      </c>
      <c r="G152" t="s">
        <v>1702</v>
      </c>
      <c r="H152" t="s">
        <v>1692</v>
      </c>
    </row>
    <row r="153" spans="1:8" x14ac:dyDescent="0.3">
      <c r="A153" t="s">
        <v>9</v>
      </c>
      <c r="B153" t="s">
        <v>47</v>
      </c>
      <c r="C153" t="s">
        <v>12</v>
      </c>
      <c r="D153" t="s">
        <v>11</v>
      </c>
      <c r="E153" t="s">
        <v>1524</v>
      </c>
      <c r="F153" t="s">
        <v>1756</v>
      </c>
      <c r="G153" t="s">
        <v>1697</v>
      </c>
      <c r="H153" t="s">
        <v>1692</v>
      </c>
    </row>
    <row r="154" spans="1:8" x14ac:dyDescent="0.3">
      <c r="A154" t="s">
        <v>9</v>
      </c>
      <c r="B154" t="s">
        <v>47</v>
      </c>
      <c r="C154" t="s">
        <v>12</v>
      </c>
      <c r="D154" t="s">
        <v>17</v>
      </c>
      <c r="E154" t="s">
        <v>1524</v>
      </c>
      <c r="F154" t="s">
        <v>1730</v>
      </c>
      <c r="G154" t="s">
        <v>1695</v>
      </c>
      <c r="H154" t="s">
        <v>1687</v>
      </c>
    </row>
    <row r="155" spans="1:8" x14ac:dyDescent="0.3">
      <c r="A155" t="s">
        <v>9</v>
      </c>
      <c r="B155" t="s">
        <v>47</v>
      </c>
      <c r="C155" t="s">
        <v>12</v>
      </c>
      <c r="D155" t="s">
        <v>16</v>
      </c>
      <c r="E155" t="s">
        <v>1524</v>
      </c>
      <c r="F155" t="s">
        <v>1698</v>
      </c>
      <c r="G155" t="s">
        <v>1695</v>
      </c>
      <c r="H155" t="s">
        <v>1684</v>
      </c>
    </row>
    <row r="156" spans="1:8" x14ac:dyDescent="0.3">
      <c r="A156" t="s">
        <v>9</v>
      </c>
      <c r="B156" t="s">
        <v>47</v>
      </c>
      <c r="C156" t="s">
        <v>29</v>
      </c>
      <c r="D156" t="s">
        <v>23</v>
      </c>
      <c r="E156" t="s">
        <v>1524</v>
      </c>
      <c r="F156" t="s">
        <v>1730</v>
      </c>
      <c r="G156" t="s">
        <v>1702</v>
      </c>
      <c r="H156" t="s">
        <v>1693</v>
      </c>
    </row>
    <row r="157" spans="1:8" x14ac:dyDescent="0.3">
      <c r="A157" t="s">
        <v>9</v>
      </c>
      <c r="B157" t="s">
        <v>47</v>
      </c>
      <c r="C157" t="s">
        <v>29</v>
      </c>
      <c r="D157" t="s">
        <v>25</v>
      </c>
      <c r="E157" t="s">
        <v>1524</v>
      </c>
      <c r="F157" t="s">
        <v>1730</v>
      </c>
      <c r="G157" t="s">
        <v>1710</v>
      </c>
      <c r="H157" t="s">
        <v>1693</v>
      </c>
    </row>
    <row r="158" spans="1:8" x14ac:dyDescent="0.3">
      <c r="A158" t="s">
        <v>9</v>
      </c>
      <c r="B158" t="s">
        <v>47</v>
      </c>
      <c r="C158" t="s">
        <v>29</v>
      </c>
      <c r="D158" t="s">
        <v>24</v>
      </c>
      <c r="E158" t="s">
        <v>1524</v>
      </c>
      <c r="F158" t="s">
        <v>1730</v>
      </c>
      <c r="G158" t="s">
        <v>1710</v>
      </c>
      <c r="H158" t="s">
        <v>1693</v>
      </c>
    </row>
    <row r="159" spans="1:8" x14ac:dyDescent="0.3">
      <c r="A159" t="s">
        <v>9</v>
      </c>
      <c r="B159" t="s">
        <v>47</v>
      </c>
      <c r="C159" t="s">
        <v>29</v>
      </c>
      <c r="D159" t="s">
        <v>21</v>
      </c>
      <c r="E159" t="s">
        <v>1524</v>
      </c>
      <c r="F159" t="s">
        <v>1730</v>
      </c>
      <c r="G159" t="s">
        <v>1710</v>
      </c>
      <c r="H159" t="s">
        <v>1684</v>
      </c>
    </row>
    <row r="160" spans="1:8" x14ac:dyDescent="0.3">
      <c r="A160" t="s">
        <v>9</v>
      </c>
      <c r="B160" t="s">
        <v>47</v>
      </c>
      <c r="C160" t="s">
        <v>29</v>
      </c>
      <c r="D160" t="s">
        <v>19</v>
      </c>
      <c r="E160" t="s">
        <v>1524</v>
      </c>
      <c r="F160" t="s">
        <v>1757</v>
      </c>
      <c r="G160" t="s">
        <v>1710</v>
      </c>
      <c r="H160" t="s">
        <v>1687</v>
      </c>
    </row>
    <row r="161" spans="1:8" x14ac:dyDescent="0.3">
      <c r="A161" t="s">
        <v>9</v>
      </c>
      <c r="B161" t="s">
        <v>47</v>
      </c>
      <c r="C161" t="s">
        <v>29</v>
      </c>
      <c r="D161" t="s">
        <v>20</v>
      </c>
      <c r="E161" t="s">
        <v>1524</v>
      </c>
      <c r="F161" t="s">
        <v>1757</v>
      </c>
      <c r="G161" t="s">
        <v>1710</v>
      </c>
      <c r="H161" t="s">
        <v>1684</v>
      </c>
    </row>
    <row r="162" spans="1:8" x14ac:dyDescent="0.3">
      <c r="A162" t="s">
        <v>9</v>
      </c>
      <c r="B162" t="s">
        <v>47</v>
      </c>
      <c r="C162" t="s">
        <v>29</v>
      </c>
      <c r="D162" t="s">
        <v>26</v>
      </c>
      <c r="E162" t="s">
        <v>1524</v>
      </c>
      <c r="F162" t="s">
        <v>1730</v>
      </c>
      <c r="G162" t="s">
        <v>1710</v>
      </c>
      <c r="H162" t="s">
        <v>1692</v>
      </c>
    </row>
    <row r="163" spans="1:8" x14ac:dyDescent="0.3">
      <c r="A163" t="s">
        <v>9</v>
      </c>
      <c r="B163" t="s">
        <v>47</v>
      </c>
      <c r="C163" t="s">
        <v>29</v>
      </c>
      <c r="D163" t="s">
        <v>22</v>
      </c>
      <c r="E163" t="s">
        <v>1524</v>
      </c>
      <c r="F163" t="s">
        <v>1730</v>
      </c>
      <c r="G163" t="s">
        <v>1702</v>
      </c>
      <c r="H163" t="s">
        <v>1692</v>
      </c>
    </row>
    <row r="164" spans="1:8" x14ac:dyDescent="0.3">
      <c r="A164" t="s">
        <v>9</v>
      </c>
      <c r="B164" t="s">
        <v>47</v>
      </c>
      <c r="C164" t="s">
        <v>29</v>
      </c>
      <c r="D164" t="s">
        <v>27</v>
      </c>
      <c r="E164" t="s">
        <v>1524</v>
      </c>
      <c r="F164" t="s">
        <v>1758</v>
      </c>
      <c r="G164" t="s">
        <v>1710</v>
      </c>
      <c r="H164" t="s">
        <v>1692</v>
      </c>
    </row>
    <row r="165" spans="1:8" x14ac:dyDescent="0.3">
      <c r="A165" t="s">
        <v>9</v>
      </c>
      <c r="B165" t="s">
        <v>47</v>
      </c>
      <c r="C165" t="s">
        <v>29</v>
      </c>
      <c r="D165" t="s">
        <v>28</v>
      </c>
      <c r="E165" t="s">
        <v>1524</v>
      </c>
      <c r="F165" t="s">
        <v>1758</v>
      </c>
      <c r="G165" t="s">
        <v>1716</v>
      </c>
      <c r="H165" t="s">
        <v>1692</v>
      </c>
    </row>
    <row r="166" spans="1:8" x14ac:dyDescent="0.3">
      <c r="A166" t="s">
        <v>45</v>
      </c>
      <c r="B166" t="s">
        <v>57</v>
      </c>
      <c r="C166" t="s">
        <v>12</v>
      </c>
      <c r="D166" t="s">
        <v>15</v>
      </c>
      <c r="E166" t="s">
        <v>1524</v>
      </c>
      <c r="F166" t="s">
        <v>1698</v>
      </c>
      <c r="G166" t="s">
        <v>1695</v>
      </c>
      <c r="H166" t="s">
        <v>1684</v>
      </c>
    </row>
    <row r="167" spans="1:8" x14ac:dyDescent="0.3">
      <c r="A167" t="s">
        <v>45</v>
      </c>
      <c r="B167" t="s">
        <v>57</v>
      </c>
      <c r="C167" t="s">
        <v>12</v>
      </c>
      <c r="D167" t="s">
        <v>23</v>
      </c>
      <c r="E167" t="s">
        <v>1524</v>
      </c>
      <c r="F167" t="s">
        <v>1759</v>
      </c>
      <c r="G167" t="s">
        <v>1697</v>
      </c>
      <c r="H167" t="s">
        <v>1685</v>
      </c>
    </row>
    <row r="168" spans="1:8" x14ac:dyDescent="0.3">
      <c r="A168" t="s">
        <v>45</v>
      </c>
      <c r="B168" t="s">
        <v>57</v>
      </c>
      <c r="C168" t="s">
        <v>12</v>
      </c>
      <c r="D168" t="s">
        <v>14</v>
      </c>
      <c r="E168" t="s">
        <v>1524</v>
      </c>
      <c r="F168" t="s">
        <v>1760</v>
      </c>
      <c r="G168" t="s">
        <v>1697</v>
      </c>
      <c r="H168" t="s">
        <v>1692</v>
      </c>
    </row>
    <row r="169" spans="1:8" x14ac:dyDescent="0.3">
      <c r="A169" t="s">
        <v>45</v>
      </c>
      <c r="B169" t="s">
        <v>57</v>
      </c>
      <c r="C169" t="s">
        <v>12</v>
      </c>
      <c r="D169" t="s">
        <v>11</v>
      </c>
      <c r="E169" t="s">
        <v>1524</v>
      </c>
      <c r="F169" t="s">
        <v>1760</v>
      </c>
      <c r="G169" t="s">
        <v>1697</v>
      </c>
      <c r="H169" t="s">
        <v>1692</v>
      </c>
    </row>
    <row r="170" spans="1:8" x14ac:dyDescent="0.3">
      <c r="A170" t="s">
        <v>45</v>
      </c>
      <c r="B170" t="s">
        <v>57</v>
      </c>
      <c r="C170" t="s">
        <v>12</v>
      </c>
      <c r="D170" t="s">
        <v>24</v>
      </c>
      <c r="E170" t="s">
        <v>1524</v>
      </c>
      <c r="F170" t="s">
        <v>1759</v>
      </c>
      <c r="G170" t="s">
        <v>1697</v>
      </c>
      <c r="H170" t="s">
        <v>1684</v>
      </c>
    </row>
    <row r="171" spans="1:8" x14ac:dyDescent="0.3">
      <c r="A171" t="s">
        <v>45</v>
      </c>
      <c r="B171" t="s">
        <v>57</v>
      </c>
      <c r="C171" t="s">
        <v>12</v>
      </c>
      <c r="D171" t="s">
        <v>21</v>
      </c>
      <c r="E171" t="s">
        <v>1524</v>
      </c>
      <c r="F171" t="s">
        <v>1759</v>
      </c>
      <c r="G171" t="s">
        <v>1697</v>
      </c>
      <c r="H171" t="s">
        <v>1684</v>
      </c>
    </row>
    <row r="172" spans="1:8" x14ac:dyDescent="0.3">
      <c r="A172" t="s">
        <v>45</v>
      </c>
      <c r="B172" t="s">
        <v>57</v>
      </c>
      <c r="C172" t="s">
        <v>12</v>
      </c>
      <c r="D172" t="s">
        <v>19</v>
      </c>
      <c r="E172" t="s">
        <v>1524</v>
      </c>
      <c r="F172" t="s">
        <v>1698</v>
      </c>
      <c r="G172" t="s">
        <v>1697</v>
      </c>
      <c r="H172" t="s">
        <v>1684</v>
      </c>
    </row>
    <row r="173" spans="1:8" x14ac:dyDescent="0.3">
      <c r="A173" t="s">
        <v>45</v>
      </c>
      <c r="B173" t="s">
        <v>57</v>
      </c>
      <c r="C173" t="s">
        <v>12</v>
      </c>
      <c r="D173" t="s">
        <v>17</v>
      </c>
      <c r="E173" t="s">
        <v>1524</v>
      </c>
      <c r="F173" t="s">
        <v>1698</v>
      </c>
      <c r="G173" t="s">
        <v>1753</v>
      </c>
      <c r="H173" t="s">
        <v>1692</v>
      </c>
    </row>
    <row r="174" spans="1:8" x14ac:dyDescent="0.3">
      <c r="A174" t="s">
        <v>45</v>
      </c>
      <c r="B174" t="s">
        <v>57</v>
      </c>
      <c r="C174" t="s">
        <v>12</v>
      </c>
      <c r="D174" t="s">
        <v>16</v>
      </c>
      <c r="E174" t="s">
        <v>1524</v>
      </c>
      <c r="F174" t="s">
        <v>1698</v>
      </c>
      <c r="G174" t="s">
        <v>1753</v>
      </c>
      <c r="H174" t="s">
        <v>1692</v>
      </c>
    </row>
    <row r="175" spans="1:8" x14ac:dyDescent="0.3">
      <c r="A175" t="s">
        <v>45</v>
      </c>
      <c r="B175" t="s">
        <v>57</v>
      </c>
      <c r="C175" t="s">
        <v>12</v>
      </c>
      <c r="D175" t="s">
        <v>20</v>
      </c>
      <c r="E175" t="s">
        <v>1524</v>
      </c>
      <c r="F175" t="s">
        <v>1761</v>
      </c>
      <c r="G175" t="s">
        <v>1697</v>
      </c>
      <c r="H175" t="s">
        <v>1684</v>
      </c>
    </row>
    <row r="176" spans="1:8" x14ac:dyDescent="0.3">
      <c r="A176" t="s">
        <v>45</v>
      </c>
      <c r="B176" t="s">
        <v>57</v>
      </c>
      <c r="C176" t="s">
        <v>12</v>
      </c>
      <c r="D176" t="s">
        <v>22</v>
      </c>
      <c r="E176" t="s">
        <v>1524</v>
      </c>
      <c r="F176" t="s">
        <v>1759</v>
      </c>
      <c r="G176" t="s">
        <v>1697</v>
      </c>
      <c r="H176" t="s">
        <v>1684</v>
      </c>
    </row>
    <row r="177" spans="1:8" x14ac:dyDescent="0.3">
      <c r="A177" t="s">
        <v>45</v>
      </c>
      <c r="B177" t="s">
        <v>57</v>
      </c>
      <c r="C177" t="s">
        <v>29</v>
      </c>
      <c r="D177" t="s">
        <v>25</v>
      </c>
      <c r="E177" t="s">
        <v>1524</v>
      </c>
      <c r="F177" t="s">
        <v>1759</v>
      </c>
      <c r="G177" t="s">
        <v>1697</v>
      </c>
      <c r="H177" t="s">
        <v>1684</v>
      </c>
    </row>
    <row r="178" spans="1:8" x14ac:dyDescent="0.3">
      <c r="A178" t="s">
        <v>45</v>
      </c>
      <c r="B178" t="s">
        <v>57</v>
      </c>
      <c r="C178" t="s">
        <v>29</v>
      </c>
      <c r="D178" t="s">
        <v>32</v>
      </c>
      <c r="E178" t="s">
        <v>1524</v>
      </c>
      <c r="F178" t="s">
        <v>1725</v>
      </c>
      <c r="G178" t="s">
        <v>1697</v>
      </c>
      <c r="H178" t="s">
        <v>1684</v>
      </c>
    </row>
    <row r="179" spans="1:8" x14ac:dyDescent="0.3">
      <c r="A179" t="s">
        <v>45</v>
      </c>
      <c r="B179" t="s">
        <v>57</v>
      </c>
      <c r="C179" t="s">
        <v>29</v>
      </c>
      <c r="D179" t="s">
        <v>30</v>
      </c>
      <c r="E179" t="s">
        <v>1524</v>
      </c>
      <c r="F179" t="s">
        <v>1725</v>
      </c>
      <c r="G179" t="s">
        <v>1695</v>
      </c>
      <c r="H179" t="s">
        <v>1685</v>
      </c>
    </row>
    <row r="180" spans="1:8" x14ac:dyDescent="0.3">
      <c r="A180" t="s">
        <v>45</v>
      </c>
      <c r="B180" t="s">
        <v>57</v>
      </c>
      <c r="C180" t="s">
        <v>29</v>
      </c>
      <c r="D180" t="s">
        <v>34</v>
      </c>
      <c r="E180" t="s">
        <v>1524</v>
      </c>
      <c r="F180" t="s">
        <v>1762</v>
      </c>
      <c r="G180" t="s">
        <v>1697</v>
      </c>
      <c r="H180" t="s">
        <v>1684</v>
      </c>
    </row>
    <row r="181" spans="1:8" x14ac:dyDescent="0.3">
      <c r="A181" t="s">
        <v>45</v>
      </c>
      <c r="B181" t="s">
        <v>57</v>
      </c>
      <c r="C181" t="s">
        <v>29</v>
      </c>
      <c r="D181" t="s">
        <v>36</v>
      </c>
      <c r="E181" t="s">
        <v>1524</v>
      </c>
      <c r="F181" t="s">
        <v>1763</v>
      </c>
      <c r="G181" t="s">
        <v>1697</v>
      </c>
      <c r="H181" t="s">
        <v>1684</v>
      </c>
    </row>
    <row r="182" spans="1:8" x14ac:dyDescent="0.3">
      <c r="A182" t="s">
        <v>45</v>
      </c>
      <c r="B182" t="s">
        <v>57</v>
      </c>
      <c r="C182" t="s">
        <v>29</v>
      </c>
      <c r="D182" t="s">
        <v>33</v>
      </c>
      <c r="E182" t="s">
        <v>1524</v>
      </c>
      <c r="F182" t="s">
        <v>1764</v>
      </c>
      <c r="G182" t="s">
        <v>1697</v>
      </c>
      <c r="H182" t="s">
        <v>1684</v>
      </c>
    </row>
    <row r="183" spans="1:8" x14ac:dyDescent="0.3">
      <c r="A183" t="s">
        <v>45</v>
      </c>
      <c r="B183" t="s">
        <v>57</v>
      </c>
      <c r="C183" t="s">
        <v>29</v>
      </c>
      <c r="D183" t="s">
        <v>26</v>
      </c>
      <c r="E183" t="s">
        <v>1524</v>
      </c>
      <c r="F183" t="s">
        <v>1725</v>
      </c>
      <c r="G183" t="s">
        <v>1726</v>
      </c>
      <c r="H183" t="s">
        <v>1692</v>
      </c>
    </row>
    <row r="184" spans="1:8" x14ac:dyDescent="0.3">
      <c r="A184" t="s">
        <v>45</v>
      </c>
      <c r="B184" t="s">
        <v>57</v>
      </c>
      <c r="C184" t="s">
        <v>29</v>
      </c>
      <c r="D184" t="s">
        <v>31</v>
      </c>
      <c r="E184" t="s">
        <v>1524</v>
      </c>
      <c r="F184" t="s">
        <v>1725</v>
      </c>
      <c r="G184" t="s">
        <v>1695</v>
      </c>
      <c r="H184" t="s">
        <v>1685</v>
      </c>
    </row>
    <row r="185" spans="1:8" x14ac:dyDescent="0.3">
      <c r="A185" t="s">
        <v>45</v>
      </c>
      <c r="B185" t="s">
        <v>57</v>
      </c>
      <c r="C185" t="s">
        <v>29</v>
      </c>
      <c r="D185" t="s">
        <v>27</v>
      </c>
      <c r="E185" t="s">
        <v>1524</v>
      </c>
      <c r="F185" t="s">
        <v>1720</v>
      </c>
      <c r="G185" t="s">
        <v>1726</v>
      </c>
      <c r="H185" t="s">
        <v>1692</v>
      </c>
    </row>
    <row r="186" spans="1:8" x14ac:dyDescent="0.3">
      <c r="A186" t="s">
        <v>45</v>
      </c>
      <c r="B186" t="s">
        <v>57</v>
      </c>
      <c r="C186" t="s">
        <v>29</v>
      </c>
      <c r="D186" t="s">
        <v>28</v>
      </c>
      <c r="E186" t="s">
        <v>1524</v>
      </c>
      <c r="F186" t="s">
        <v>1725</v>
      </c>
      <c r="G186" t="s">
        <v>1695</v>
      </c>
      <c r="H186" t="s">
        <v>1684</v>
      </c>
    </row>
    <row r="187" spans="1:8" x14ac:dyDescent="0.3">
      <c r="A187" t="s">
        <v>45</v>
      </c>
      <c r="B187" t="s">
        <v>57</v>
      </c>
      <c r="C187" t="s">
        <v>29</v>
      </c>
      <c r="D187" t="s">
        <v>35</v>
      </c>
      <c r="E187" t="s">
        <v>1524</v>
      </c>
      <c r="F187" t="s">
        <v>1762</v>
      </c>
      <c r="G187" t="s">
        <v>1697</v>
      </c>
      <c r="H187" t="s">
        <v>1684</v>
      </c>
    </row>
    <row r="188" spans="1:8" x14ac:dyDescent="0.3">
      <c r="A188" t="s">
        <v>43</v>
      </c>
      <c r="B188" t="s">
        <v>59</v>
      </c>
      <c r="C188" t="s">
        <v>12</v>
      </c>
      <c r="D188" t="s">
        <v>15</v>
      </c>
      <c r="E188" t="s">
        <v>1524</v>
      </c>
      <c r="F188" t="s">
        <v>1698</v>
      </c>
      <c r="G188" t="s">
        <v>1695</v>
      </c>
      <c r="H188" t="s">
        <v>1684</v>
      </c>
    </row>
    <row r="189" spans="1:8" x14ac:dyDescent="0.3">
      <c r="A189" t="s">
        <v>43</v>
      </c>
      <c r="B189" t="s">
        <v>59</v>
      </c>
      <c r="C189" t="s">
        <v>12</v>
      </c>
      <c r="D189" t="s">
        <v>23</v>
      </c>
      <c r="E189" t="s">
        <v>1525</v>
      </c>
      <c r="F189" t="s">
        <v>1698</v>
      </c>
      <c r="G189" t="s">
        <v>1732</v>
      </c>
      <c r="H189" t="s">
        <v>1684</v>
      </c>
    </row>
    <row r="190" spans="1:8" x14ac:dyDescent="0.3">
      <c r="A190" t="s">
        <v>43</v>
      </c>
      <c r="B190" t="s">
        <v>59</v>
      </c>
      <c r="C190" t="s">
        <v>12</v>
      </c>
      <c r="D190" t="s">
        <v>14</v>
      </c>
      <c r="E190" t="s">
        <v>1524</v>
      </c>
      <c r="F190" t="s">
        <v>1698</v>
      </c>
      <c r="G190" t="s">
        <v>1695</v>
      </c>
      <c r="H190" t="s">
        <v>1684</v>
      </c>
    </row>
    <row r="191" spans="1:8" x14ac:dyDescent="0.3">
      <c r="A191" t="s">
        <v>43</v>
      </c>
      <c r="B191" t="s">
        <v>59</v>
      </c>
      <c r="C191" t="s">
        <v>12</v>
      </c>
      <c r="D191" t="s">
        <v>25</v>
      </c>
      <c r="E191" t="s">
        <v>1524</v>
      </c>
      <c r="F191" t="s">
        <v>1765</v>
      </c>
      <c r="G191" t="s">
        <v>1695</v>
      </c>
      <c r="H191" t="s">
        <v>1684</v>
      </c>
    </row>
    <row r="192" spans="1:8" x14ac:dyDescent="0.3">
      <c r="A192" t="s">
        <v>43</v>
      </c>
      <c r="B192" t="s">
        <v>59</v>
      </c>
      <c r="C192" t="s">
        <v>12</v>
      </c>
      <c r="D192" t="s">
        <v>11</v>
      </c>
      <c r="E192" t="s">
        <v>1524</v>
      </c>
      <c r="F192" t="s">
        <v>1718</v>
      </c>
      <c r="G192" t="s">
        <v>1697</v>
      </c>
      <c r="H192" t="s">
        <v>1687</v>
      </c>
    </row>
    <row r="193" spans="1:8" x14ac:dyDescent="0.3">
      <c r="A193" t="s">
        <v>43</v>
      </c>
      <c r="B193" t="s">
        <v>59</v>
      </c>
      <c r="C193" t="s">
        <v>12</v>
      </c>
      <c r="D193" t="s">
        <v>24</v>
      </c>
      <c r="E193" t="s">
        <v>1524</v>
      </c>
      <c r="F193" t="s">
        <v>1765</v>
      </c>
      <c r="G193" t="s">
        <v>1710</v>
      </c>
      <c r="H193" t="s">
        <v>1684</v>
      </c>
    </row>
    <row r="194" spans="1:8" x14ac:dyDescent="0.3">
      <c r="A194" t="s">
        <v>43</v>
      </c>
      <c r="B194" t="s">
        <v>59</v>
      </c>
      <c r="C194" t="s">
        <v>12</v>
      </c>
      <c r="D194" t="s">
        <v>21</v>
      </c>
      <c r="E194" t="s">
        <v>1525</v>
      </c>
      <c r="F194" t="s">
        <v>1698</v>
      </c>
      <c r="G194" t="s">
        <v>1732</v>
      </c>
      <c r="H194" t="s">
        <v>1684</v>
      </c>
    </row>
    <row r="195" spans="1:8" x14ac:dyDescent="0.3">
      <c r="A195" t="s">
        <v>43</v>
      </c>
      <c r="B195" t="s">
        <v>59</v>
      </c>
      <c r="C195" t="s">
        <v>12</v>
      </c>
      <c r="D195" t="s">
        <v>19</v>
      </c>
      <c r="E195" t="s">
        <v>1524</v>
      </c>
      <c r="F195" t="s">
        <v>1765</v>
      </c>
      <c r="G195" t="s">
        <v>1695</v>
      </c>
      <c r="H195" t="s">
        <v>1688</v>
      </c>
    </row>
    <row r="196" spans="1:8" x14ac:dyDescent="0.3">
      <c r="A196" t="s">
        <v>43</v>
      </c>
      <c r="B196" t="s">
        <v>59</v>
      </c>
      <c r="C196" t="s">
        <v>12</v>
      </c>
      <c r="D196" t="s">
        <v>17</v>
      </c>
      <c r="E196" t="s">
        <v>1524</v>
      </c>
      <c r="F196" t="s">
        <v>1765</v>
      </c>
      <c r="G196" t="s">
        <v>1695</v>
      </c>
      <c r="H196" t="s">
        <v>1688</v>
      </c>
    </row>
    <row r="197" spans="1:8" x14ac:dyDescent="0.3">
      <c r="A197" t="s">
        <v>43</v>
      </c>
      <c r="B197" t="s">
        <v>59</v>
      </c>
      <c r="C197" t="s">
        <v>12</v>
      </c>
      <c r="D197" t="s">
        <v>16</v>
      </c>
      <c r="E197" t="s">
        <v>1524</v>
      </c>
      <c r="F197" t="s">
        <v>1698</v>
      </c>
      <c r="G197" t="s">
        <v>1695</v>
      </c>
      <c r="H197" t="s">
        <v>1684</v>
      </c>
    </row>
    <row r="198" spans="1:8" x14ac:dyDescent="0.3">
      <c r="A198" t="s">
        <v>43</v>
      </c>
      <c r="B198" t="s">
        <v>59</v>
      </c>
      <c r="C198" t="s">
        <v>12</v>
      </c>
      <c r="D198" t="s">
        <v>20</v>
      </c>
      <c r="E198" t="s">
        <v>1524</v>
      </c>
      <c r="F198" t="s">
        <v>1765</v>
      </c>
      <c r="G198" t="s">
        <v>1695</v>
      </c>
      <c r="H198" t="s">
        <v>1688</v>
      </c>
    </row>
    <row r="199" spans="1:8" x14ac:dyDescent="0.3">
      <c r="A199" t="s">
        <v>43</v>
      </c>
      <c r="B199" t="s">
        <v>59</v>
      </c>
      <c r="C199" t="s">
        <v>12</v>
      </c>
      <c r="D199" t="s">
        <v>22</v>
      </c>
      <c r="E199" t="s">
        <v>1525</v>
      </c>
      <c r="F199" t="s">
        <v>1698</v>
      </c>
      <c r="G199" t="s">
        <v>1732</v>
      </c>
      <c r="H199" t="s">
        <v>1684</v>
      </c>
    </row>
    <row r="200" spans="1:8" x14ac:dyDescent="0.3">
      <c r="A200" t="s">
        <v>43</v>
      </c>
      <c r="B200" t="s">
        <v>59</v>
      </c>
      <c r="C200" t="s">
        <v>29</v>
      </c>
      <c r="D200" t="s">
        <v>39</v>
      </c>
      <c r="E200" t="s">
        <v>1525</v>
      </c>
      <c r="F200" t="s">
        <v>1748</v>
      </c>
      <c r="G200" t="s">
        <v>1753</v>
      </c>
      <c r="H200" t="s">
        <v>1685</v>
      </c>
    </row>
    <row r="201" spans="1:8" x14ac:dyDescent="0.3">
      <c r="A201" t="s">
        <v>43</v>
      </c>
      <c r="B201" t="s">
        <v>59</v>
      </c>
      <c r="C201" t="s">
        <v>29</v>
      </c>
      <c r="D201" t="s">
        <v>37</v>
      </c>
      <c r="E201" t="s">
        <v>1525</v>
      </c>
      <c r="F201" t="s">
        <v>1748</v>
      </c>
      <c r="G201" t="s">
        <v>1753</v>
      </c>
      <c r="H201" t="s">
        <v>1685</v>
      </c>
    </row>
    <row r="202" spans="1:8" x14ac:dyDescent="0.3">
      <c r="A202" t="s">
        <v>43</v>
      </c>
      <c r="B202" t="s">
        <v>59</v>
      </c>
      <c r="C202" t="s">
        <v>29</v>
      </c>
      <c r="D202" t="s">
        <v>32</v>
      </c>
      <c r="E202" t="s">
        <v>1525</v>
      </c>
      <c r="F202" t="s">
        <v>1698</v>
      </c>
      <c r="G202" t="s">
        <v>1753</v>
      </c>
      <c r="H202" t="s">
        <v>1685</v>
      </c>
    </row>
    <row r="203" spans="1:8" x14ac:dyDescent="0.3">
      <c r="A203" t="s">
        <v>43</v>
      </c>
      <c r="B203" t="s">
        <v>59</v>
      </c>
      <c r="C203" t="s">
        <v>29</v>
      </c>
      <c r="D203" t="s">
        <v>30</v>
      </c>
      <c r="E203" t="s">
        <v>1525</v>
      </c>
      <c r="F203" t="s">
        <v>1698</v>
      </c>
      <c r="G203" t="s">
        <v>1753</v>
      </c>
      <c r="H203" t="s">
        <v>1684</v>
      </c>
    </row>
    <row r="204" spans="1:8" x14ac:dyDescent="0.3">
      <c r="A204" t="s">
        <v>43</v>
      </c>
      <c r="B204" t="s">
        <v>59</v>
      </c>
      <c r="C204" t="s">
        <v>29</v>
      </c>
      <c r="D204" t="s">
        <v>40</v>
      </c>
      <c r="E204" t="s">
        <v>1525</v>
      </c>
      <c r="F204" t="s">
        <v>1766</v>
      </c>
      <c r="G204" t="s">
        <v>1732</v>
      </c>
      <c r="H204" t="s">
        <v>1684</v>
      </c>
    </row>
    <row r="205" spans="1:8" x14ac:dyDescent="0.3">
      <c r="A205" t="s">
        <v>43</v>
      </c>
      <c r="B205" t="s">
        <v>59</v>
      </c>
      <c r="C205" t="s">
        <v>29</v>
      </c>
      <c r="D205" t="s">
        <v>38</v>
      </c>
      <c r="E205" t="s">
        <v>1525</v>
      </c>
      <c r="F205" t="s">
        <v>1748</v>
      </c>
      <c r="G205" t="s">
        <v>1753</v>
      </c>
      <c r="H205" t="s">
        <v>1685</v>
      </c>
    </row>
    <row r="206" spans="1:8" x14ac:dyDescent="0.3">
      <c r="A206" t="s">
        <v>43</v>
      </c>
      <c r="B206" t="s">
        <v>59</v>
      </c>
      <c r="C206" t="s">
        <v>29</v>
      </c>
      <c r="D206" t="s">
        <v>34</v>
      </c>
      <c r="E206" t="s">
        <v>1525</v>
      </c>
      <c r="F206" t="s">
        <v>1733</v>
      </c>
      <c r="G206" t="s">
        <v>1732</v>
      </c>
      <c r="H206" t="s">
        <v>1687</v>
      </c>
    </row>
    <row r="207" spans="1:8" x14ac:dyDescent="0.3">
      <c r="A207" t="s">
        <v>43</v>
      </c>
      <c r="B207" t="s">
        <v>59</v>
      </c>
      <c r="C207" t="s">
        <v>29</v>
      </c>
      <c r="D207" t="s">
        <v>36</v>
      </c>
      <c r="E207" t="s">
        <v>1525</v>
      </c>
      <c r="F207" t="s">
        <v>1733</v>
      </c>
      <c r="G207" t="s">
        <v>1732</v>
      </c>
      <c r="H207" t="s">
        <v>1685</v>
      </c>
    </row>
    <row r="208" spans="1:8" x14ac:dyDescent="0.3">
      <c r="A208" t="s">
        <v>43</v>
      </c>
      <c r="B208" t="s">
        <v>59</v>
      </c>
      <c r="C208" t="s">
        <v>29</v>
      </c>
      <c r="D208" t="s">
        <v>33</v>
      </c>
      <c r="E208" t="s">
        <v>1525</v>
      </c>
      <c r="F208" t="s">
        <v>1724</v>
      </c>
      <c r="G208" t="s">
        <v>1732</v>
      </c>
      <c r="H208" t="s">
        <v>1687</v>
      </c>
    </row>
    <row r="209" spans="1:8" x14ac:dyDescent="0.3">
      <c r="A209" t="s">
        <v>43</v>
      </c>
      <c r="B209" t="s">
        <v>59</v>
      </c>
      <c r="C209" t="s">
        <v>29</v>
      </c>
      <c r="D209" t="s">
        <v>26</v>
      </c>
      <c r="E209" t="s">
        <v>1524</v>
      </c>
      <c r="F209" t="s">
        <v>1718</v>
      </c>
      <c r="G209" t="s">
        <v>1702</v>
      </c>
      <c r="H209" t="s">
        <v>1692</v>
      </c>
    </row>
    <row r="210" spans="1:8" x14ac:dyDescent="0.3">
      <c r="A210" t="s">
        <v>43</v>
      </c>
      <c r="B210" t="s">
        <v>59</v>
      </c>
      <c r="C210" t="s">
        <v>29</v>
      </c>
      <c r="D210" t="s">
        <v>31</v>
      </c>
      <c r="E210" t="s">
        <v>1525</v>
      </c>
      <c r="F210" t="s">
        <v>1698</v>
      </c>
      <c r="G210" t="s">
        <v>1753</v>
      </c>
      <c r="H210" t="s">
        <v>1685</v>
      </c>
    </row>
    <row r="211" spans="1:8" x14ac:dyDescent="0.3">
      <c r="A211" t="s">
        <v>43</v>
      </c>
      <c r="B211" t="s">
        <v>59</v>
      </c>
      <c r="C211" t="s">
        <v>29</v>
      </c>
      <c r="D211" t="s">
        <v>27</v>
      </c>
      <c r="E211" t="s">
        <v>1524</v>
      </c>
      <c r="F211" t="s">
        <v>1718</v>
      </c>
      <c r="G211" t="s">
        <v>1702</v>
      </c>
      <c r="H211" t="s">
        <v>1692</v>
      </c>
    </row>
    <row r="212" spans="1:8" x14ac:dyDescent="0.3">
      <c r="A212" t="s">
        <v>43</v>
      </c>
      <c r="B212" t="s">
        <v>59</v>
      </c>
      <c r="C212" t="s">
        <v>29</v>
      </c>
      <c r="D212" t="s">
        <v>28</v>
      </c>
      <c r="E212" t="s">
        <v>1524</v>
      </c>
      <c r="F212" t="s">
        <v>1706</v>
      </c>
      <c r="G212" t="s">
        <v>1702</v>
      </c>
      <c r="H212" t="s">
        <v>1690</v>
      </c>
    </row>
    <row r="213" spans="1:8" x14ac:dyDescent="0.3">
      <c r="A213" t="s">
        <v>43</v>
      </c>
      <c r="B213" t="s">
        <v>59</v>
      </c>
      <c r="C213" t="s">
        <v>29</v>
      </c>
      <c r="D213" t="s">
        <v>35</v>
      </c>
      <c r="E213" t="s">
        <v>1525</v>
      </c>
      <c r="F213" t="s">
        <v>1766</v>
      </c>
      <c r="G213" t="s">
        <v>1732</v>
      </c>
      <c r="H213" t="s">
        <v>1687</v>
      </c>
    </row>
    <row r="214" spans="1:8" x14ac:dyDescent="0.3">
      <c r="A214" t="s">
        <v>43</v>
      </c>
      <c r="B214" t="s">
        <v>49</v>
      </c>
      <c r="C214" t="s">
        <v>12</v>
      </c>
      <c r="D214" t="s">
        <v>15</v>
      </c>
      <c r="E214" t="s">
        <v>1524</v>
      </c>
      <c r="F214" t="s">
        <v>1767</v>
      </c>
      <c r="G214" t="s">
        <v>1695</v>
      </c>
      <c r="H214" t="s">
        <v>1686</v>
      </c>
    </row>
    <row r="215" spans="1:8" x14ac:dyDescent="0.3">
      <c r="A215" t="s">
        <v>43</v>
      </c>
      <c r="B215" t="s">
        <v>49</v>
      </c>
      <c r="C215" t="s">
        <v>12</v>
      </c>
      <c r="D215" t="s">
        <v>14</v>
      </c>
      <c r="E215" t="s">
        <v>1524</v>
      </c>
      <c r="F215" t="s">
        <v>1768</v>
      </c>
      <c r="G215" t="s">
        <v>1719</v>
      </c>
      <c r="H215" t="s">
        <v>1688</v>
      </c>
    </row>
    <row r="216" spans="1:8" x14ac:dyDescent="0.3">
      <c r="A216" t="s">
        <v>43</v>
      </c>
      <c r="B216" t="s">
        <v>49</v>
      </c>
      <c r="C216" t="s">
        <v>12</v>
      </c>
      <c r="D216" t="s">
        <v>11</v>
      </c>
      <c r="E216" t="s">
        <v>1524</v>
      </c>
      <c r="F216" t="s">
        <v>1718</v>
      </c>
      <c r="G216" t="s">
        <v>1719</v>
      </c>
      <c r="H216" t="s">
        <v>1688</v>
      </c>
    </row>
    <row r="217" spans="1:8" x14ac:dyDescent="0.3">
      <c r="A217" t="s">
        <v>43</v>
      </c>
      <c r="B217" t="s">
        <v>49</v>
      </c>
      <c r="C217" t="s">
        <v>12</v>
      </c>
      <c r="D217" t="s">
        <v>19</v>
      </c>
      <c r="E217" t="s">
        <v>1524</v>
      </c>
      <c r="F217" t="s">
        <v>1769</v>
      </c>
      <c r="G217" t="s">
        <v>1695</v>
      </c>
      <c r="H217" t="s">
        <v>1685</v>
      </c>
    </row>
    <row r="218" spans="1:8" x14ac:dyDescent="0.3">
      <c r="A218" t="s">
        <v>43</v>
      </c>
      <c r="B218" t="s">
        <v>49</v>
      </c>
      <c r="C218" t="s">
        <v>12</v>
      </c>
      <c r="D218" t="s">
        <v>17</v>
      </c>
      <c r="E218" t="s">
        <v>1524</v>
      </c>
      <c r="F218" t="s">
        <v>1769</v>
      </c>
      <c r="G218" t="s">
        <v>1695</v>
      </c>
      <c r="H218" t="s">
        <v>1685</v>
      </c>
    </row>
    <row r="219" spans="1:8" x14ac:dyDescent="0.3">
      <c r="A219" t="s">
        <v>43</v>
      </c>
      <c r="B219" t="s">
        <v>49</v>
      </c>
      <c r="C219" t="s">
        <v>12</v>
      </c>
      <c r="D219" t="s">
        <v>16</v>
      </c>
      <c r="E219" t="s">
        <v>1525</v>
      </c>
      <c r="F219" t="s">
        <v>1769</v>
      </c>
      <c r="G219" t="s">
        <v>1716</v>
      </c>
      <c r="H219" t="s">
        <v>1686</v>
      </c>
    </row>
    <row r="220" spans="1:8" x14ac:dyDescent="0.3">
      <c r="A220" t="s">
        <v>43</v>
      </c>
      <c r="B220" t="s">
        <v>49</v>
      </c>
      <c r="C220" t="s">
        <v>12</v>
      </c>
      <c r="D220" t="s">
        <v>20</v>
      </c>
      <c r="E220" t="s">
        <v>1524</v>
      </c>
      <c r="F220" t="s">
        <v>1769</v>
      </c>
      <c r="G220" t="s">
        <v>1695</v>
      </c>
      <c r="H220" t="s">
        <v>1685</v>
      </c>
    </row>
    <row r="221" spans="1:8" x14ac:dyDescent="0.3">
      <c r="A221" t="s">
        <v>43</v>
      </c>
      <c r="B221" t="s">
        <v>49</v>
      </c>
      <c r="C221" t="s">
        <v>29</v>
      </c>
      <c r="D221" t="s">
        <v>23</v>
      </c>
      <c r="E221" t="s">
        <v>1524</v>
      </c>
      <c r="F221" t="s">
        <v>1770</v>
      </c>
      <c r="G221" t="s">
        <v>1695</v>
      </c>
      <c r="H221" t="s">
        <v>1685</v>
      </c>
    </row>
    <row r="222" spans="1:8" x14ac:dyDescent="0.3">
      <c r="A222" t="s">
        <v>43</v>
      </c>
      <c r="B222" t="s">
        <v>49</v>
      </c>
      <c r="C222" t="s">
        <v>29</v>
      </c>
      <c r="D222" t="s">
        <v>25</v>
      </c>
      <c r="E222" t="s">
        <v>1524</v>
      </c>
      <c r="F222" t="s">
        <v>1770</v>
      </c>
      <c r="G222" t="s">
        <v>1695</v>
      </c>
      <c r="H222" t="s">
        <v>1685</v>
      </c>
    </row>
    <row r="223" spans="1:8" x14ac:dyDescent="0.3">
      <c r="A223" t="s">
        <v>43</v>
      </c>
      <c r="B223" t="s">
        <v>49</v>
      </c>
      <c r="C223" t="s">
        <v>29</v>
      </c>
      <c r="D223" t="s">
        <v>24</v>
      </c>
      <c r="E223" t="s">
        <v>1524</v>
      </c>
      <c r="F223" t="s">
        <v>1770</v>
      </c>
      <c r="G223" t="s">
        <v>1695</v>
      </c>
      <c r="H223" t="s">
        <v>1685</v>
      </c>
    </row>
    <row r="224" spans="1:8" x14ac:dyDescent="0.3">
      <c r="A224" t="s">
        <v>43</v>
      </c>
      <c r="B224" t="s">
        <v>49</v>
      </c>
      <c r="C224" t="s">
        <v>29</v>
      </c>
      <c r="D224" t="s">
        <v>21</v>
      </c>
      <c r="E224" t="s">
        <v>1524</v>
      </c>
      <c r="F224" t="s">
        <v>1770</v>
      </c>
      <c r="G224" t="s">
        <v>1716</v>
      </c>
      <c r="H224" t="s">
        <v>1685</v>
      </c>
    </row>
    <row r="225" spans="1:8" x14ac:dyDescent="0.3">
      <c r="A225" t="s">
        <v>43</v>
      </c>
      <c r="B225" t="s">
        <v>49</v>
      </c>
      <c r="C225" t="s">
        <v>29</v>
      </c>
      <c r="D225" t="s">
        <v>26</v>
      </c>
      <c r="E225" t="s">
        <v>1524</v>
      </c>
      <c r="F225" t="s">
        <v>1770</v>
      </c>
      <c r="G225" t="s">
        <v>1695</v>
      </c>
      <c r="H225" t="s">
        <v>1685</v>
      </c>
    </row>
    <row r="226" spans="1:8" x14ac:dyDescent="0.3">
      <c r="A226" t="s">
        <v>43</v>
      </c>
      <c r="B226" t="s">
        <v>49</v>
      </c>
      <c r="C226" t="s">
        <v>29</v>
      </c>
      <c r="D226" t="s">
        <v>22</v>
      </c>
      <c r="E226" t="s">
        <v>1524</v>
      </c>
      <c r="F226" t="s">
        <v>1770</v>
      </c>
      <c r="G226" t="s">
        <v>1695</v>
      </c>
      <c r="H226" t="s">
        <v>1685</v>
      </c>
    </row>
    <row r="227" spans="1:8" x14ac:dyDescent="0.3">
      <c r="A227" t="s">
        <v>43</v>
      </c>
      <c r="B227" t="s">
        <v>49</v>
      </c>
      <c r="C227" t="s">
        <v>29</v>
      </c>
      <c r="D227" t="s">
        <v>27</v>
      </c>
      <c r="E227" t="s">
        <v>1524</v>
      </c>
      <c r="F227" t="s">
        <v>1770</v>
      </c>
      <c r="G227" t="s">
        <v>1710</v>
      </c>
      <c r="H227" t="s">
        <v>1685</v>
      </c>
    </row>
    <row r="228" spans="1:8" x14ac:dyDescent="0.3">
      <c r="A228" t="s">
        <v>43</v>
      </c>
      <c r="B228" t="s">
        <v>49</v>
      </c>
      <c r="C228" t="s">
        <v>29</v>
      </c>
      <c r="D228" t="s">
        <v>28</v>
      </c>
      <c r="E228" t="s">
        <v>1524</v>
      </c>
      <c r="F228" t="s">
        <v>1770</v>
      </c>
      <c r="G228" t="s">
        <v>1710</v>
      </c>
      <c r="H228" t="s">
        <v>1685</v>
      </c>
    </row>
    <row r="229" spans="1:8" x14ac:dyDescent="0.3">
      <c r="A229" t="s">
        <v>43</v>
      </c>
      <c r="B229" t="s">
        <v>62</v>
      </c>
      <c r="C229" t="s">
        <v>12</v>
      </c>
      <c r="D229" t="s">
        <v>15</v>
      </c>
      <c r="E229" t="s">
        <v>1524</v>
      </c>
      <c r="F229" t="s">
        <v>1698</v>
      </c>
      <c r="G229" t="s">
        <v>1697</v>
      </c>
      <c r="H229" t="s">
        <v>1692</v>
      </c>
    </row>
    <row r="230" spans="1:8" x14ac:dyDescent="0.3">
      <c r="A230" t="s">
        <v>43</v>
      </c>
      <c r="B230" t="s">
        <v>62</v>
      </c>
      <c r="C230" t="s">
        <v>12</v>
      </c>
      <c r="D230" t="s">
        <v>23</v>
      </c>
      <c r="E230" t="s">
        <v>1524</v>
      </c>
      <c r="F230" t="s">
        <v>1717</v>
      </c>
      <c r="G230" t="s">
        <v>1695</v>
      </c>
      <c r="H230" t="s">
        <v>1692</v>
      </c>
    </row>
    <row r="231" spans="1:8" x14ac:dyDescent="0.3">
      <c r="A231" t="s">
        <v>43</v>
      </c>
      <c r="B231" t="s">
        <v>62</v>
      </c>
      <c r="C231" t="s">
        <v>12</v>
      </c>
      <c r="D231" t="s">
        <v>14</v>
      </c>
      <c r="E231" t="s">
        <v>1524</v>
      </c>
      <c r="F231" t="s">
        <v>1698</v>
      </c>
      <c r="G231" t="s">
        <v>1697</v>
      </c>
      <c r="H231" t="s">
        <v>1692</v>
      </c>
    </row>
    <row r="232" spans="1:8" x14ac:dyDescent="0.3">
      <c r="A232" t="s">
        <v>43</v>
      </c>
      <c r="B232" t="s">
        <v>62</v>
      </c>
      <c r="C232" t="s">
        <v>12</v>
      </c>
      <c r="D232" t="s">
        <v>25</v>
      </c>
      <c r="E232" t="s">
        <v>1524</v>
      </c>
      <c r="F232" t="s">
        <v>1717</v>
      </c>
      <c r="G232" t="s">
        <v>1695</v>
      </c>
      <c r="H232" t="s">
        <v>1692</v>
      </c>
    </row>
    <row r="233" spans="1:8" x14ac:dyDescent="0.3">
      <c r="A233" t="s">
        <v>43</v>
      </c>
      <c r="B233" t="s">
        <v>62</v>
      </c>
      <c r="C233" t="s">
        <v>12</v>
      </c>
      <c r="D233" t="s">
        <v>11</v>
      </c>
      <c r="E233" t="s">
        <v>1524</v>
      </c>
      <c r="F233" t="s">
        <v>1698</v>
      </c>
      <c r="G233" t="s">
        <v>1710</v>
      </c>
      <c r="H233" t="s">
        <v>1692</v>
      </c>
    </row>
    <row r="234" spans="1:8" x14ac:dyDescent="0.3">
      <c r="A234" t="s">
        <v>43</v>
      </c>
      <c r="B234" t="s">
        <v>62</v>
      </c>
      <c r="C234" t="s">
        <v>12</v>
      </c>
      <c r="D234" t="s">
        <v>24</v>
      </c>
      <c r="E234" t="s">
        <v>1524</v>
      </c>
      <c r="F234" t="s">
        <v>1771</v>
      </c>
      <c r="G234" t="s">
        <v>1695</v>
      </c>
      <c r="H234" t="s">
        <v>1692</v>
      </c>
    </row>
    <row r="235" spans="1:8" x14ac:dyDescent="0.3">
      <c r="A235" t="s">
        <v>43</v>
      </c>
      <c r="B235" t="s">
        <v>62</v>
      </c>
      <c r="C235" t="s">
        <v>12</v>
      </c>
      <c r="D235" t="s">
        <v>21</v>
      </c>
      <c r="E235" t="s">
        <v>1524</v>
      </c>
      <c r="F235" t="s">
        <v>1698</v>
      </c>
      <c r="G235" t="s">
        <v>1697</v>
      </c>
      <c r="H235" t="s">
        <v>1692</v>
      </c>
    </row>
    <row r="236" spans="1:8" x14ac:dyDescent="0.3">
      <c r="A236" t="s">
        <v>43</v>
      </c>
      <c r="B236" t="s">
        <v>62</v>
      </c>
      <c r="C236" t="s">
        <v>12</v>
      </c>
      <c r="D236" t="s">
        <v>30</v>
      </c>
      <c r="E236" t="s">
        <v>1524</v>
      </c>
      <c r="F236" t="s">
        <v>1717</v>
      </c>
      <c r="G236" t="s">
        <v>1695</v>
      </c>
      <c r="H236" t="s">
        <v>1692</v>
      </c>
    </row>
    <row r="237" spans="1:8" x14ac:dyDescent="0.3">
      <c r="A237" t="s">
        <v>43</v>
      </c>
      <c r="B237" t="s">
        <v>62</v>
      </c>
      <c r="C237" t="s">
        <v>12</v>
      </c>
      <c r="D237" t="s">
        <v>19</v>
      </c>
      <c r="E237" t="s">
        <v>1524</v>
      </c>
      <c r="F237" t="s">
        <v>1698</v>
      </c>
      <c r="G237" t="s">
        <v>1697</v>
      </c>
      <c r="H237" t="s">
        <v>1692</v>
      </c>
    </row>
    <row r="238" spans="1:8" x14ac:dyDescent="0.3">
      <c r="A238" t="s">
        <v>43</v>
      </c>
      <c r="B238" t="s">
        <v>62</v>
      </c>
      <c r="C238" t="s">
        <v>12</v>
      </c>
      <c r="D238" t="s">
        <v>17</v>
      </c>
      <c r="E238" t="s">
        <v>1524</v>
      </c>
      <c r="F238" t="s">
        <v>1698</v>
      </c>
      <c r="G238" t="s">
        <v>1697</v>
      </c>
      <c r="H238" t="s">
        <v>1692</v>
      </c>
    </row>
    <row r="239" spans="1:8" x14ac:dyDescent="0.3">
      <c r="A239" t="s">
        <v>43</v>
      </c>
      <c r="B239" t="s">
        <v>62</v>
      </c>
      <c r="C239" t="s">
        <v>12</v>
      </c>
      <c r="D239" t="s">
        <v>16</v>
      </c>
      <c r="E239" t="s">
        <v>1524</v>
      </c>
      <c r="F239" t="s">
        <v>1698</v>
      </c>
      <c r="G239" t="s">
        <v>1697</v>
      </c>
      <c r="H239" t="s">
        <v>1692</v>
      </c>
    </row>
    <row r="240" spans="1:8" x14ac:dyDescent="0.3">
      <c r="A240" t="s">
        <v>43</v>
      </c>
      <c r="B240" t="s">
        <v>62</v>
      </c>
      <c r="C240" t="s">
        <v>12</v>
      </c>
      <c r="D240" t="s">
        <v>20</v>
      </c>
      <c r="E240" t="s">
        <v>1524</v>
      </c>
      <c r="F240" t="s">
        <v>1730</v>
      </c>
      <c r="G240" t="s">
        <v>1697</v>
      </c>
      <c r="H240" t="s">
        <v>1692</v>
      </c>
    </row>
    <row r="241" spans="1:8" x14ac:dyDescent="0.3">
      <c r="A241" t="s">
        <v>43</v>
      </c>
      <c r="B241" t="s">
        <v>62</v>
      </c>
      <c r="C241" t="s">
        <v>12</v>
      </c>
      <c r="D241" t="s">
        <v>26</v>
      </c>
      <c r="E241" t="s">
        <v>1524</v>
      </c>
      <c r="F241" t="s">
        <v>1728</v>
      </c>
      <c r="G241" t="s">
        <v>1695</v>
      </c>
      <c r="H241" t="s">
        <v>1692</v>
      </c>
    </row>
    <row r="242" spans="1:8" x14ac:dyDescent="0.3">
      <c r="A242" t="s">
        <v>43</v>
      </c>
      <c r="B242" t="s">
        <v>62</v>
      </c>
      <c r="C242" t="s">
        <v>12</v>
      </c>
      <c r="D242" t="s">
        <v>22</v>
      </c>
      <c r="E242" t="s">
        <v>1524</v>
      </c>
      <c r="F242" t="s">
        <v>1717</v>
      </c>
      <c r="G242" t="s">
        <v>1710</v>
      </c>
      <c r="H242" t="s">
        <v>1692</v>
      </c>
    </row>
    <row r="243" spans="1:8" x14ac:dyDescent="0.3">
      <c r="A243" t="s">
        <v>43</v>
      </c>
      <c r="B243" t="s">
        <v>62</v>
      </c>
      <c r="C243" t="s">
        <v>12</v>
      </c>
      <c r="D243" t="s">
        <v>31</v>
      </c>
      <c r="E243" t="s">
        <v>1524</v>
      </c>
      <c r="F243" t="s">
        <v>1717</v>
      </c>
      <c r="G243" t="s">
        <v>1695</v>
      </c>
      <c r="H243" t="s">
        <v>1692</v>
      </c>
    </row>
    <row r="244" spans="1:8" x14ac:dyDescent="0.3">
      <c r="A244" t="s">
        <v>43</v>
      </c>
      <c r="B244" t="s">
        <v>62</v>
      </c>
      <c r="C244" t="s">
        <v>12</v>
      </c>
      <c r="D244" t="s">
        <v>27</v>
      </c>
      <c r="E244" t="s">
        <v>1524</v>
      </c>
      <c r="F244" t="s">
        <v>1717</v>
      </c>
      <c r="G244" t="s">
        <v>1695</v>
      </c>
      <c r="H244" t="s">
        <v>1692</v>
      </c>
    </row>
    <row r="245" spans="1:8" x14ac:dyDescent="0.3">
      <c r="A245" t="s">
        <v>43</v>
      </c>
      <c r="B245" t="s">
        <v>62</v>
      </c>
      <c r="C245" t="s">
        <v>12</v>
      </c>
      <c r="D245" t="s">
        <v>28</v>
      </c>
      <c r="E245" t="s">
        <v>1524</v>
      </c>
      <c r="F245" t="s">
        <v>1717</v>
      </c>
      <c r="G245" t="s">
        <v>1695</v>
      </c>
      <c r="H245" t="s">
        <v>1692</v>
      </c>
    </row>
    <row r="246" spans="1:8" x14ac:dyDescent="0.3">
      <c r="A246" t="s">
        <v>43</v>
      </c>
      <c r="B246" t="s">
        <v>62</v>
      </c>
      <c r="C246" t="s">
        <v>29</v>
      </c>
      <c r="D246" t="s">
        <v>64</v>
      </c>
      <c r="E246" t="s">
        <v>1524</v>
      </c>
      <c r="F246" t="s">
        <v>1698</v>
      </c>
      <c r="G246" t="s">
        <v>1695</v>
      </c>
      <c r="H246" t="s">
        <v>1687</v>
      </c>
    </row>
    <row r="247" spans="1:8" x14ac:dyDescent="0.3">
      <c r="A247" t="s">
        <v>43</v>
      </c>
      <c r="B247" t="s">
        <v>62</v>
      </c>
      <c r="C247" t="s">
        <v>29</v>
      </c>
      <c r="D247" t="s">
        <v>39</v>
      </c>
      <c r="E247" t="s">
        <v>1524</v>
      </c>
      <c r="F247" t="s">
        <v>1730</v>
      </c>
      <c r="G247" t="s">
        <v>1710</v>
      </c>
      <c r="H247" t="s">
        <v>1692</v>
      </c>
    </row>
    <row r="248" spans="1:8" x14ac:dyDescent="0.3">
      <c r="A248" t="s">
        <v>43</v>
      </c>
      <c r="B248" t="s">
        <v>62</v>
      </c>
      <c r="C248" t="s">
        <v>29</v>
      </c>
      <c r="D248" t="s">
        <v>37</v>
      </c>
      <c r="E248" t="s">
        <v>1524</v>
      </c>
      <c r="F248" t="s">
        <v>1698</v>
      </c>
      <c r="G248" t="s">
        <v>1710</v>
      </c>
      <c r="H248" t="s">
        <v>1692</v>
      </c>
    </row>
    <row r="249" spans="1:8" x14ac:dyDescent="0.3">
      <c r="A249" t="s">
        <v>43</v>
      </c>
      <c r="B249" t="s">
        <v>62</v>
      </c>
      <c r="C249" t="s">
        <v>29</v>
      </c>
      <c r="D249" t="s">
        <v>32</v>
      </c>
      <c r="E249" t="s">
        <v>1525</v>
      </c>
      <c r="F249" t="s">
        <v>1715</v>
      </c>
      <c r="G249" t="s">
        <v>1695</v>
      </c>
      <c r="H249" t="s">
        <v>1692</v>
      </c>
    </row>
    <row r="250" spans="1:8" x14ac:dyDescent="0.3">
      <c r="A250" t="s">
        <v>43</v>
      </c>
      <c r="B250" t="s">
        <v>62</v>
      </c>
      <c r="C250" t="s">
        <v>29</v>
      </c>
      <c r="D250" t="s">
        <v>41</v>
      </c>
      <c r="E250" t="s">
        <v>1524</v>
      </c>
      <c r="F250" t="s">
        <v>1730</v>
      </c>
      <c r="G250" t="s">
        <v>1710</v>
      </c>
      <c r="H250" t="s">
        <v>1692</v>
      </c>
    </row>
    <row r="251" spans="1:8" x14ac:dyDescent="0.3">
      <c r="A251" t="s">
        <v>43</v>
      </c>
      <c r="B251" t="s">
        <v>62</v>
      </c>
      <c r="C251" t="s">
        <v>29</v>
      </c>
      <c r="D251" t="s">
        <v>40</v>
      </c>
      <c r="E251" t="s">
        <v>1524</v>
      </c>
      <c r="F251" t="s">
        <v>1730</v>
      </c>
      <c r="G251" t="s">
        <v>1710</v>
      </c>
      <c r="H251" t="s">
        <v>1692</v>
      </c>
    </row>
    <row r="252" spans="1:8" x14ac:dyDescent="0.3">
      <c r="A252" t="s">
        <v>43</v>
      </c>
      <c r="B252" t="s">
        <v>62</v>
      </c>
      <c r="C252" t="s">
        <v>29</v>
      </c>
      <c r="D252" t="s">
        <v>63</v>
      </c>
      <c r="E252" t="s">
        <v>1524</v>
      </c>
      <c r="F252" t="s">
        <v>1730</v>
      </c>
      <c r="G252" t="s">
        <v>1710</v>
      </c>
      <c r="H252" t="s">
        <v>1693</v>
      </c>
    </row>
    <row r="253" spans="1:8" x14ac:dyDescent="0.3">
      <c r="A253" t="s">
        <v>43</v>
      </c>
      <c r="B253" t="s">
        <v>62</v>
      </c>
      <c r="C253" t="s">
        <v>29</v>
      </c>
      <c r="D253" t="s">
        <v>38</v>
      </c>
      <c r="E253" t="s">
        <v>1524</v>
      </c>
      <c r="F253" t="s">
        <v>1730</v>
      </c>
      <c r="G253" t="s">
        <v>1710</v>
      </c>
      <c r="H253" t="s">
        <v>1692</v>
      </c>
    </row>
    <row r="254" spans="1:8" x14ac:dyDescent="0.3">
      <c r="A254" t="s">
        <v>43</v>
      </c>
      <c r="B254" t="s">
        <v>62</v>
      </c>
      <c r="C254" t="s">
        <v>29</v>
      </c>
      <c r="D254" t="s">
        <v>65</v>
      </c>
      <c r="E254" t="s">
        <v>1524</v>
      </c>
      <c r="F254" t="s">
        <v>1730</v>
      </c>
      <c r="G254" t="s">
        <v>1695</v>
      </c>
      <c r="H254" t="s">
        <v>1684</v>
      </c>
    </row>
    <row r="255" spans="1:8" x14ac:dyDescent="0.3">
      <c r="A255" t="s">
        <v>43</v>
      </c>
      <c r="B255" t="s">
        <v>62</v>
      </c>
      <c r="C255" t="s">
        <v>29</v>
      </c>
      <c r="D255" t="s">
        <v>34</v>
      </c>
      <c r="E255" t="s">
        <v>1525</v>
      </c>
      <c r="F255" t="s">
        <v>1715</v>
      </c>
      <c r="G255" t="s">
        <v>1695</v>
      </c>
      <c r="H255" t="s">
        <v>1692</v>
      </c>
    </row>
    <row r="256" spans="1:8" x14ac:dyDescent="0.3">
      <c r="A256" t="s">
        <v>43</v>
      </c>
      <c r="B256" t="s">
        <v>62</v>
      </c>
      <c r="C256" t="s">
        <v>29</v>
      </c>
      <c r="D256" t="s">
        <v>42</v>
      </c>
      <c r="E256" t="s">
        <v>1524</v>
      </c>
      <c r="F256" t="s">
        <v>1730</v>
      </c>
      <c r="G256" t="s">
        <v>1726</v>
      </c>
      <c r="H256" t="s">
        <v>1690</v>
      </c>
    </row>
    <row r="257" spans="1:8" x14ac:dyDescent="0.3">
      <c r="A257" t="s">
        <v>43</v>
      </c>
      <c r="B257" t="s">
        <v>62</v>
      </c>
      <c r="C257" t="s">
        <v>29</v>
      </c>
      <c r="D257" t="s">
        <v>36</v>
      </c>
      <c r="E257" t="s">
        <v>1525</v>
      </c>
      <c r="F257" t="s">
        <v>1740</v>
      </c>
      <c r="G257" t="s">
        <v>1695</v>
      </c>
      <c r="H257" t="s">
        <v>1692</v>
      </c>
    </row>
    <row r="258" spans="1:8" x14ac:dyDescent="0.3">
      <c r="A258" t="s">
        <v>43</v>
      </c>
      <c r="B258" t="s">
        <v>62</v>
      </c>
      <c r="C258" t="s">
        <v>29</v>
      </c>
      <c r="D258" t="s">
        <v>33</v>
      </c>
      <c r="E258" t="s">
        <v>1525</v>
      </c>
      <c r="F258" t="s">
        <v>1715</v>
      </c>
      <c r="G258" t="s">
        <v>1695</v>
      </c>
      <c r="H258" t="s">
        <v>1692</v>
      </c>
    </row>
    <row r="259" spans="1:8" x14ac:dyDescent="0.3">
      <c r="A259" t="s">
        <v>43</v>
      </c>
      <c r="B259" t="s">
        <v>62</v>
      </c>
      <c r="C259" t="s">
        <v>29</v>
      </c>
      <c r="D259" t="s">
        <v>35</v>
      </c>
      <c r="E259" t="s">
        <v>1525</v>
      </c>
      <c r="F259" t="s">
        <v>1715</v>
      </c>
      <c r="G259" t="s">
        <v>1695</v>
      </c>
      <c r="H259" t="s">
        <v>1692</v>
      </c>
    </row>
    <row r="260" spans="1:8" x14ac:dyDescent="0.3">
      <c r="A260" t="s">
        <v>43</v>
      </c>
      <c r="B260" t="s">
        <v>58</v>
      </c>
      <c r="C260" t="s">
        <v>12</v>
      </c>
      <c r="D260" t="s">
        <v>15</v>
      </c>
      <c r="E260" t="s">
        <v>1524</v>
      </c>
      <c r="F260" t="s">
        <v>1772</v>
      </c>
      <c r="G260" t="s">
        <v>1697</v>
      </c>
      <c r="H260" t="s">
        <v>1684</v>
      </c>
    </row>
    <row r="261" spans="1:8" x14ac:dyDescent="0.3">
      <c r="A261" t="s">
        <v>43</v>
      </c>
      <c r="B261" t="s">
        <v>58</v>
      </c>
      <c r="C261" t="s">
        <v>12</v>
      </c>
      <c r="D261" t="s">
        <v>14</v>
      </c>
      <c r="E261" t="s">
        <v>1524</v>
      </c>
      <c r="F261" t="s">
        <v>1773</v>
      </c>
      <c r="G261" t="s">
        <v>1697</v>
      </c>
      <c r="H261" t="s">
        <v>1684</v>
      </c>
    </row>
    <row r="262" spans="1:8" x14ac:dyDescent="0.3">
      <c r="A262" t="s">
        <v>43</v>
      </c>
      <c r="B262" t="s">
        <v>58</v>
      </c>
      <c r="C262" t="s">
        <v>12</v>
      </c>
      <c r="D262" t="s">
        <v>11</v>
      </c>
      <c r="E262" t="s">
        <v>1524</v>
      </c>
      <c r="F262" t="s">
        <v>1704</v>
      </c>
      <c r="G262" t="s">
        <v>1697</v>
      </c>
      <c r="H262" t="s">
        <v>1684</v>
      </c>
    </row>
    <row r="263" spans="1:8" x14ac:dyDescent="0.3">
      <c r="A263" t="s">
        <v>43</v>
      </c>
      <c r="B263" t="s">
        <v>58</v>
      </c>
      <c r="C263" t="s">
        <v>12</v>
      </c>
      <c r="D263" t="s">
        <v>16</v>
      </c>
      <c r="E263" t="s">
        <v>1524</v>
      </c>
      <c r="F263" t="s">
        <v>1774</v>
      </c>
      <c r="G263" t="s">
        <v>1697</v>
      </c>
      <c r="H263" t="s">
        <v>1684</v>
      </c>
    </row>
    <row r="264" spans="1:8" x14ac:dyDescent="0.3">
      <c r="A264" t="s">
        <v>43</v>
      </c>
      <c r="B264" t="s">
        <v>58</v>
      </c>
      <c r="C264" t="s">
        <v>29</v>
      </c>
      <c r="D264" t="s">
        <v>19</v>
      </c>
      <c r="E264" t="s">
        <v>1524</v>
      </c>
      <c r="F264" t="s">
        <v>1775</v>
      </c>
      <c r="G264" t="s">
        <v>1710</v>
      </c>
      <c r="H264" t="s">
        <v>1684</v>
      </c>
    </row>
    <row r="265" spans="1:8" x14ac:dyDescent="0.3">
      <c r="A265" t="s">
        <v>43</v>
      </c>
      <c r="B265" t="s">
        <v>58</v>
      </c>
      <c r="C265" t="s">
        <v>29</v>
      </c>
      <c r="D265" t="s">
        <v>17</v>
      </c>
      <c r="E265" t="s">
        <v>1524</v>
      </c>
      <c r="F265" t="s">
        <v>1775</v>
      </c>
      <c r="G265" t="s">
        <v>1710</v>
      </c>
      <c r="H265" t="s">
        <v>1684</v>
      </c>
    </row>
    <row r="266" spans="1:8" x14ac:dyDescent="0.3">
      <c r="A266" t="s">
        <v>45</v>
      </c>
      <c r="B266" t="s">
        <v>61</v>
      </c>
      <c r="C266" t="s">
        <v>12</v>
      </c>
      <c r="D266" t="s">
        <v>15</v>
      </c>
      <c r="E266" t="s">
        <v>1524</v>
      </c>
      <c r="F266" t="s">
        <v>1717</v>
      </c>
      <c r="G266" t="s">
        <v>1695</v>
      </c>
      <c r="H266" t="s">
        <v>1685</v>
      </c>
    </row>
    <row r="267" spans="1:8" x14ac:dyDescent="0.3">
      <c r="A267" t="s">
        <v>45</v>
      </c>
      <c r="B267" t="s">
        <v>61</v>
      </c>
      <c r="C267" t="s">
        <v>12</v>
      </c>
      <c r="D267" t="s">
        <v>14</v>
      </c>
      <c r="E267" t="s">
        <v>1525</v>
      </c>
      <c r="F267" t="s">
        <v>1776</v>
      </c>
      <c r="G267" t="s">
        <v>1716</v>
      </c>
      <c r="H267" t="s">
        <v>1684</v>
      </c>
    </row>
    <row r="268" spans="1:8" x14ac:dyDescent="0.3">
      <c r="A268" t="s">
        <v>45</v>
      </c>
      <c r="B268" t="s">
        <v>61</v>
      </c>
      <c r="C268" t="s">
        <v>12</v>
      </c>
      <c r="D268" t="s">
        <v>11</v>
      </c>
      <c r="E268" t="s">
        <v>1525</v>
      </c>
      <c r="F268" t="s">
        <v>1777</v>
      </c>
      <c r="G268" t="s">
        <v>1778</v>
      </c>
      <c r="H268" t="s">
        <v>1687</v>
      </c>
    </row>
    <row r="269" spans="1:8" x14ac:dyDescent="0.3">
      <c r="A269" t="s">
        <v>45</v>
      </c>
      <c r="B269" t="s">
        <v>61</v>
      </c>
      <c r="C269" t="s">
        <v>29</v>
      </c>
      <c r="D269" t="s">
        <v>16</v>
      </c>
      <c r="E269" t="s">
        <v>1524</v>
      </c>
      <c r="F269" t="s">
        <v>1722</v>
      </c>
      <c r="G269" t="s">
        <v>1695</v>
      </c>
      <c r="H269" t="s">
        <v>1686</v>
      </c>
    </row>
    <row r="270" spans="1:8" x14ac:dyDescent="0.3">
      <c r="A270" t="s">
        <v>45</v>
      </c>
      <c r="B270" t="s">
        <v>66</v>
      </c>
      <c r="C270" t="s">
        <v>12</v>
      </c>
      <c r="D270" t="s">
        <v>15</v>
      </c>
      <c r="E270" t="s">
        <v>1524</v>
      </c>
      <c r="F270" t="s">
        <v>1779</v>
      </c>
      <c r="G270" t="s">
        <v>1695</v>
      </c>
      <c r="H270" t="s">
        <v>1685</v>
      </c>
    </row>
    <row r="271" spans="1:8" x14ac:dyDescent="0.3">
      <c r="A271" t="s">
        <v>45</v>
      </c>
      <c r="B271" t="s">
        <v>66</v>
      </c>
      <c r="C271" t="s">
        <v>12</v>
      </c>
      <c r="D271" t="s">
        <v>14</v>
      </c>
      <c r="E271" t="s">
        <v>1524</v>
      </c>
      <c r="F271" t="s">
        <v>1779</v>
      </c>
      <c r="G271" t="s">
        <v>1695</v>
      </c>
      <c r="H271" t="s">
        <v>1685</v>
      </c>
    </row>
    <row r="272" spans="1:8" x14ac:dyDescent="0.3">
      <c r="A272" t="s">
        <v>45</v>
      </c>
      <c r="B272" t="s">
        <v>66</v>
      </c>
      <c r="C272" t="s">
        <v>12</v>
      </c>
      <c r="D272" t="s">
        <v>11</v>
      </c>
      <c r="E272" t="s">
        <v>1524</v>
      </c>
      <c r="F272" t="s">
        <v>1718</v>
      </c>
      <c r="G272" t="s">
        <v>1719</v>
      </c>
      <c r="H272" t="s">
        <v>1687</v>
      </c>
    </row>
    <row r="273" spans="1:8" x14ac:dyDescent="0.3">
      <c r="A273" t="s">
        <v>45</v>
      </c>
      <c r="B273" t="s">
        <v>66</v>
      </c>
      <c r="C273" t="s">
        <v>12</v>
      </c>
      <c r="D273" t="s">
        <v>19</v>
      </c>
      <c r="E273" t="s">
        <v>1524</v>
      </c>
      <c r="F273" t="s">
        <v>1779</v>
      </c>
      <c r="G273" t="s">
        <v>1695</v>
      </c>
      <c r="H273" t="s">
        <v>1684</v>
      </c>
    </row>
    <row r="274" spans="1:8" x14ac:dyDescent="0.3">
      <c r="A274" t="s">
        <v>45</v>
      </c>
      <c r="B274" t="s">
        <v>66</v>
      </c>
      <c r="C274" t="s">
        <v>12</v>
      </c>
      <c r="D274" t="s">
        <v>17</v>
      </c>
      <c r="E274" t="s">
        <v>1524</v>
      </c>
      <c r="F274" t="s">
        <v>1779</v>
      </c>
      <c r="G274" t="s">
        <v>1695</v>
      </c>
      <c r="H274" t="s">
        <v>1684</v>
      </c>
    </row>
    <row r="275" spans="1:8" x14ac:dyDescent="0.3">
      <c r="A275" t="s">
        <v>45</v>
      </c>
      <c r="B275" t="s">
        <v>66</v>
      </c>
      <c r="C275" t="s">
        <v>12</v>
      </c>
      <c r="D275" t="s">
        <v>16</v>
      </c>
      <c r="E275" t="s">
        <v>1524</v>
      </c>
      <c r="F275" t="s">
        <v>1779</v>
      </c>
      <c r="G275" t="s">
        <v>1695</v>
      </c>
      <c r="H275" t="s">
        <v>1685</v>
      </c>
    </row>
    <row r="276" spans="1:8" x14ac:dyDescent="0.3">
      <c r="A276" t="s">
        <v>45</v>
      </c>
      <c r="B276" t="s">
        <v>66</v>
      </c>
      <c r="C276" t="s">
        <v>29</v>
      </c>
      <c r="D276" t="s">
        <v>23</v>
      </c>
      <c r="E276" t="s">
        <v>1524</v>
      </c>
      <c r="F276" t="s">
        <v>1720</v>
      </c>
      <c r="G276" t="s">
        <v>1695</v>
      </c>
      <c r="H276" t="s">
        <v>1692</v>
      </c>
    </row>
    <row r="277" spans="1:8" x14ac:dyDescent="0.3">
      <c r="A277" t="s">
        <v>45</v>
      </c>
      <c r="B277" t="s">
        <v>66</v>
      </c>
      <c r="C277" t="s">
        <v>29</v>
      </c>
      <c r="D277" t="s">
        <v>25</v>
      </c>
      <c r="E277" t="s">
        <v>1524</v>
      </c>
      <c r="F277" t="s">
        <v>1717</v>
      </c>
      <c r="G277" t="s">
        <v>1695</v>
      </c>
      <c r="H277" t="s">
        <v>1692</v>
      </c>
    </row>
    <row r="278" spans="1:8" x14ac:dyDescent="0.3">
      <c r="A278" t="s">
        <v>45</v>
      </c>
      <c r="B278" t="s">
        <v>66</v>
      </c>
      <c r="C278" t="s">
        <v>29</v>
      </c>
      <c r="D278" t="s">
        <v>24</v>
      </c>
      <c r="E278" t="s">
        <v>1524</v>
      </c>
      <c r="F278" t="s">
        <v>1720</v>
      </c>
      <c r="G278" t="s">
        <v>1695</v>
      </c>
      <c r="H278" t="s">
        <v>1692</v>
      </c>
    </row>
    <row r="279" spans="1:8" x14ac:dyDescent="0.3">
      <c r="A279" t="s">
        <v>45</v>
      </c>
      <c r="B279" t="s">
        <v>66</v>
      </c>
      <c r="C279" t="s">
        <v>29</v>
      </c>
      <c r="D279" t="s">
        <v>21</v>
      </c>
      <c r="E279" t="s">
        <v>1524</v>
      </c>
      <c r="F279" t="s">
        <v>1725</v>
      </c>
      <c r="G279" t="s">
        <v>1695</v>
      </c>
      <c r="H279" t="s">
        <v>1692</v>
      </c>
    </row>
    <row r="280" spans="1:8" x14ac:dyDescent="0.3">
      <c r="A280" t="s">
        <v>45</v>
      </c>
      <c r="B280" t="s">
        <v>66</v>
      </c>
      <c r="C280" t="s">
        <v>29</v>
      </c>
      <c r="D280" t="s">
        <v>20</v>
      </c>
      <c r="E280" t="s">
        <v>1524</v>
      </c>
      <c r="F280" t="s">
        <v>1780</v>
      </c>
      <c r="G280" t="s">
        <v>1695</v>
      </c>
      <c r="H280" t="s">
        <v>1684</v>
      </c>
    </row>
    <row r="281" spans="1:8" x14ac:dyDescent="0.3">
      <c r="A281" t="s">
        <v>45</v>
      </c>
      <c r="B281" t="s">
        <v>66</v>
      </c>
      <c r="C281" t="s">
        <v>29</v>
      </c>
      <c r="D281" t="s">
        <v>26</v>
      </c>
      <c r="E281" t="s">
        <v>1524</v>
      </c>
      <c r="F281" t="s">
        <v>1717</v>
      </c>
      <c r="G281" t="s">
        <v>1695</v>
      </c>
      <c r="H281" t="s">
        <v>1692</v>
      </c>
    </row>
    <row r="282" spans="1:8" x14ac:dyDescent="0.3">
      <c r="A282" t="s">
        <v>45</v>
      </c>
      <c r="B282" t="s">
        <v>66</v>
      </c>
      <c r="C282" t="s">
        <v>29</v>
      </c>
      <c r="D282" t="s">
        <v>22</v>
      </c>
      <c r="E282" t="s">
        <v>1524</v>
      </c>
      <c r="F282" t="s">
        <v>1720</v>
      </c>
      <c r="G282" t="s">
        <v>1695</v>
      </c>
      <c r="H282" t="s">
        <v>1692</v>
      </c>
    </row>
    <row r="283" spans="1:8" x14ac:dyDescent="0.3">
      <c r="A283" t="s">
        <v>45</v>
      </c>
      <c r="B283" t="s">
        <v>66</v>
      </c>
      <c r="C283" t="s">
        <v>29</v>
      </c>
      <c r="D283" t="s">
        <v>27</v>
      </c>
      <c r="E283" t="s">
        <v>1524</v>
      </c>
      <c r="F283" t="s">
        <v>1720</v>
      </c>
      <c r="G283" t="s">
        <v>1695</v>
      </c>
      <c r="H283" t="s">
        <v>1692</v>
      </c>
    </row>
    <row r="284" spans="1:8" x14ac:dyDescent="0.3">
      <c r="A284" t="s">
        <v>9</v>
      </c>
      <c r="B284" t="s">
        <v>55</v>
      </c>
      <c r="C284" t="s">
        <v>12</v>
      </c>
      <c r="D284" t="s">
        <v>15</v>
      </c>
      <c r="E284" t="s">
        <v>1524</v>
      </c>
      <c r="F284" t="s">
        <v>1781</v>
      </c>
      <c r="G284" t="s">
        <v>1695</v>
      </c>
      <c r="H284" t="s">
        <v>1684</v>
      </c>
    </row>
    <row r="285" spans="1:8" x14ac:dyDescent="0.3">
      <c r="A285" t="s">
        <v>9</v>
      </c>
      <c r="B285" t="s">
        <v>55</v>
      </c>
      <c r="C285" t="s">
        <v>12</v>
      </c>
      <c r="D285" t="s">
        <v>14</v>
      </c>
      <c r="E285" t="s">
        <v>1524</v>
      </c>
      <c r="F285" t="s">
        <v>1781</v>
      </c>
      <c r="G285" t="s">
        <v>1695</v>
      </c>
      <c r="H285" t="s">
        <v>1692</v>
      </c>
    </row>
    <row r="286" spans="1:8" x14ac:dyDescent="0.3">
      <c r="A286" t="s">
        <v>9</v>
      </c>
      <c r="B286" t="s">
        <v>55</v>
      </c>
      <c r="C286" t="s">
        <v>12</v>
      </c>
      <c r="D286" t="s">
        <v>11</v>
      </c>
      <c r="E286" t="s">
        <v>1524</v>
      </c>
      <c r="F286" t="s">
        <v>1782</v>
      </c>
      <c r="G286" t="s">
        <v>1695</v>
      </c>
      <c r="H286" t="s">
        <v>1692</v>
      </c>
    </row>
    <row r="287" spans="1:8" x14ac:dyDescent="0.3">
      <c r="A287" t="s">
        <v>9</v>
      </c>
      <c r="B287" t="s">
        <v>55</v>
      </c>
      <c r="C287" t="s">
        <v>29</v>
      </c>
      <c r="D287" t="s">
        <v>19</v>
      </c>
      <c r="E287" t="s">
        <v>1524</v>
      </c>
      <c r="F287" t="s">
        <v>1783</v>
      </c>
      <c r="G287" t="s">
        <v>1726</v>
      </c>
      <c r="H287" t="s">
        <v>1692</v>
      </c>
    </row>
    <row r="288" spans="1:8" x14ac:dyDescent="0.3">
      <c r="A288" t="s">
        <v>9</v>
      </c>
      <c r="B288" t="s">
        <v>55</v>
      </c>
      <c r="C288" t="s">
        <v>29</v>
      </c>
      <c r="D288" t="s">
        <v>17</v>
      </c>
      <c r="E288" t="s">
        <v>1524</v>
      </c>
      <c r="F288" t="s">
        <v>1784</v>
      </c>
      <c r="G288" t="s">
        <v>1710</v>
      </c>
      <c r="H288" t="s">
        <v>1692</v>
      </c>
    </row>
    <row r="289" spans="1:8" x14ac:dyDescent="0.3">
      <c r="A289" t="s">
        <v>9</v>
      </c>
      <c r="B289" t="s">
        <v>55</v>
      </c>
      <c r="C289" t="s">
        <v>29</v>
      </c>
      <c r="D289" t="s">
        <v>16</v>
      </c>
      <c r="E289" t="s">
        <v>1524</v>
      </c>
      <c r="F289" t="s">
        <v>1784</v>
      </c>
      <c r="G289" t="s">
        <v>1726</v>
      </c>
      <c r="H289" t="s">
        <v>1692</v>
      </c>
    </row>
    <row r="290" spans="1:8" x14ac:dyDescent="0.3">
      <c r="A290" t="s">
        <v>43</v>
      </c>
      <c r="B290" t="s">
        <v>54</v>
      </c>
      <c r="C290" t="s">
        <v>12</v>
      </c>
      <c r="D290" t="s">
        <v>15</v>
      </c>
      <c r="E290" t="s">
        <v>1524</v>
      </c>
      <c r="F290" t="s">
        <v>1785</v>
      </c>
      <c r="G290" t="s">
        <v>1695</v>
      </c>
      <c r="H290" t="s">
        <v>1692</v>
      </c>
    </row>
    <row r="291" spans="1:8" x14ac:dyDescent="0.3">
      <c r="A291" t="s">
        <v>43</v>
      </c>
      <c r="B291" t="s">
        <v>54</v>
      </c>
      <c r="C291" t="s">
        <v>12</v>
      </c>
      <c r="D291" t="s">
        <v>14</v>
      </c>
      <c r="E291" t="s">
        <v>1524</v>
      </c>
      <c r="F291" t="s">
        <v>1785</v>
      </c>
      <c r="G291" t="s">
        <v>1695</v>
      </c>
      <c r="H291" t="s">
        <v>1692</v>
      </c>
    </row>
    <row r="292" spans="1:8" x14ac:dyDescent="0.3">
      <c r="A292" t="s">
        <v>43</v>
      </c>
      <c r="B292" t="s">
        <v>54</v>
      </c>
      <c r="C292" t="s">
        <v>12</v>
      </c>
      <c r="D292" t="s">
        <v>11</v>
      </c>
      <c r="E292" t="s">
        <v>1524</v>
      </c>
      <c r="F292" t="s">
        <v>1785</v>
      </c>
      <c r="G292" t="s">
        <v>1695</v>
      </c>
      <c r="H292" t="s">
        <v>1690</v>
      </c>
    </row>
    <row r="293" spans="1:8" x14ac:dyDescent="0.3">
      <c r="A293" t="s">
        <v>43</v>
      </c>
      <c r="B293" t="s">
        <v>54</v>
      </c>
      <c r="C293" t="s">
        <v>12</v>
      </c>
      <c r="D293" t="s">
        <v>19</v>
      </c>
      <c r="E293" t="s">
        <v>1524</v>
      </c>
      <c r="F293" t="s">
        <v>1785</v>
      </c>
      <c r="G293" t="s">
        <v>1695</v>
      </c>
      <c r="H293" t="s">
        <v>1692</v>
      </c>
    </row>
    <row r="294" spans="1:8" x14ac:dyDescent="0.3">
      <c r="A294" t="s">
        <v>43</v>
      </c>
      <c r="B294" t="s">
        <v>54</v>
      </c>
      <c r="C294" t="s">
        <v>12</v>
      </c>
      <c r="D294" t="s">
        <v>17</v>
      </c>
      <c r="E294" t="s">
        <v>1524</v>
      </c>
      <c r="F294" t="s">
        <v>1785</v>
      </c>
      <c r="G294" t="s">
        <v>1695</v>
      </c>
      <c r="H294" t="s">
        <v>1692</v>
      </c>
    </row>
    <row r="295" spans="1:8" x14ac:dyDescent="0.3">
      <c r="A295" t="s">
        <v>43</v>
      </c>
      <c r="B295" t="s">
        <v>54</v>
      </c>
      <c r="C295" t="s">
        <v>12</v>
      </c>
      <c r="D295" t="s">
        <v>16</v>
      </c>
      <c r="E295" t="s">
        <v>1524</v>
      </c>
      <c r="F295" t="s">
        <v>1785</v>
      </c>
      <c r="G295" t="s">
        <v>1695</v>
      </c>
      <c r="H295" t="s">
        <v>1692</v>
      </c>
    </row>
    <row r="296" spans="1:8" x14ac:dyDescent="0.3">
      <c r="A296" t="s">
        <v>43</v>
      </c>
      <c r="B296" t="s">
        <v>54</v>
      </c>
      <c r="C296" t="s">
        <v>29</v>
      </c>
      <c r="D296" t="s">
        <v>23</v>
      </c>
      <c r="E296" t="s">
        <v>1524</v>
      </c>
      <c r="F296" t="s">
        <v>1786</v>
      </c>
      <c r="G296" t="s">
        <v>1707</v>
      </c>
      <c r="H296" t="s">
        <v>1684</v>
      </c>
    </row>
    <row r="297" spans="1:8" x14ac:dyDescent="0.3">
      <c r="A297" t="s">
        <v>43</v>
      </c>
      <c r="B297" t="s">
        <v>54</v>
      </c>
      <c r="C297" t="s">
        <v>29</v>
      </c>
      <c r="D297" t="s">
        <v>25</v>
      </c>
      <c r="E297" t="s">
        <v>1524</v>
      </c>
      <c r="F297" t="s">
        <v>1786</v>
      </c>
      <c r="G297" t="s">
        <v>1707</v>
      </c>
      <c r="H297" t="s">
        <v>1684</v>
      </c>
    </row>
    <row r="298" spans="1:8" x14ac:dyDescent="0.3">
      <c r="A298" t="s">
        <v>43</v>
      </c>
      <c r="B298" t="s">
        <v>54</v>
      </c>
      <c r="C298" t="s">
        <v>29</v>
      </c>
      <c r="D298" t="s">
        <v>24</v>
      </c>
      <c r="E298" t="s">
        <v>1524</v>
      </c>
      <c r="F298" t="s">
        <v>1786</v>
      </c>
      <c r="G298" t="s">
        <v>1707</v>
      </c>
      <c r="H298" t="s">
        <v>1684</v>
      </c>
    </row>
    <row r="299" spans="1:8" x14ac:dyDescent="0.3">
      <c r="A299" t="s">
        <v>43</v>
      </c>
      <c r="B299" t="s">
        <v>54</v>
      </c>
      <c r="C299" t="s">
        <v>29</v>
      </c>
      <c r="D299" t="s">
        <v>32</v>
      </c>
      <c r="E299" t="s">
        <v>1524</v>
      </c>
      <c r="F299" t="s">
        <v>1786</v>
      </c>
      <c r="G299" t="s">
        <v>1707</v>
      </c>
      <c r="H299" t="s">
        <v>1684</v>
      </c>
    </row>
    <row r="300" spans="1:8" x14ac:dyDescent="0.3">
      <c r="A300" t="s">
        <v>43</v>
      </c>
      <c r="B300" t="s">
        <v>54</v>
      </c>
      <c r="C300" t="s">
        <v>29</v>
      </c>
      <c r="D300" t="s">
        <v>21</v>
      </c>
      <c r="E300" t="s">
        <v>1524</v>
      </c>
      <c r="F300" t="s">
        <v>1786</v>
      </c>
      <c r="G300" t="s">
        <v>1707</v>
      </c>
      <c r="H300" t="s">
        <v>1692</v>
      </c>
    </row>
    <row r="301" spans="1:8" x14ac:dyDescent="0.3">
      <c r="A301" t="s">
        <v>43</v>
      </c>
      <c r="B301" t="s">
        <v>54</v>
      </c>
      <c r="C301" t="s">
        <v>29</v>
      </c>
      <c r="D301" t="s">
        <v>30</v>
      </c>
      <c r="E301" t="s">
        <v>1524</v>
      </c>
      <c r="F301" t="s">
        <v>1786</v>
      </c>
      <c r="G301" t="s">
        <v>1707</v>
      </c>
      <c r="H301" t="s">
        <v>1684</v>
      </c>
    </row>
    <row r="302" spans="1:8" x14ac:dyDescent="0.3">
      <c r="A302" t="s">
        <v>43</v>
      </c>
      <c r="B302" t="s">
        <v>54</v>
      </c>
      <c r="C302" t="s">
        <v>29</v>
      </c>
      <c r="D302" t="s">
        <v>20</v>
      </c>
      <c r="E302" t="s">
        <v>1524</v>
      </c>
      <c r="F302" t="s">
        <v>1786</v>
      </c>
      <c r="G302" t="s">
        <v>1707</v>
      </c>
      <c r="H302" t="s">
        <v>1692</v>
      </c>
    </row>
    <row r="303" spans="1:8" x14ac:dyDescent="0.3">
      <c r="A303" t="s">
        <v>43</v>
      </c>
      <c r="B303" t="s">
        <v>54</v>
      </c>
      <c r="C303" t="s">
        <v>29</v>
      </c>
      <c r="D303" t="s">
        <v>33</v>
      </c>
      <c r="E303" t="s">
        <v>1524</v>
      </c>
      <c r="F303" t="s">
        <v>1786</v>
      </c>
      <c r="G303" t="s">
        <v>1707</v>
      </c>
      <c r="H303" t="s">
        <v>1684</v>
      </c>
    </row>
    <row r="304" spans="1:8" x14ac:dyDescent="0.3">
      <c r="A304" t="s">
        <v>43</v>
      </c>
      <c r="B304" t="s">
        <v>54</v>
      </c>
      <c r="C304" t="s">
        <v>29</v>
      </c>
      <c r="D304" t="s">
        <v>26</v>
      </c>
      <c r="E304" t="s">
        <v>1524</v>
      </c>
      <c r="F304" t="s">
        <v>1786</v>
      </c>
      <c r="G304" t="s">
        <v>1707</v>
      </c>
      <c r="H304" t="s">
        <v>1684</v>
      </c>
    </row>
    <row r="305" spans="1:8" x14ac:dyDescent="0.3">
      <c r="A305" t="s">
        <v>43</v>
      </c>
      <c r="B305" t="s">
        <v>54</v>
      </c>
      <c r="C305" t="s">
        <v>29</v>
      </c>
      <c r="D305" t="s">
        <v>22</v>
      </c>
      <c r="E305" t="s">
        <v>1524</v>
      </c>
      <c r="F305" t="s">
        <v>1786</v>
      </c>
      <c r="G305" t="s">
        <v>1707</v>
      </c>
      <c r="H305" t="s">
        <v>1692</v>
      </c>
    </row>
    <row r="306" spans="1:8" x14ac:dyDescent="0.3">
      <c r="A306" t="s">
        <v>43</v>
      </c>
      <c r="B306" t="s">
        <v>54</v>
      </c>
      <c r="C306" t="s">
        <v>29</v>
      </c>
      <c r="D306" t="s">
        <v>31</v>
      </c>
      <c r="E306" t="s">
        <v>1524</v>
      </c>
      <c r="F306" t="s">
        <v>1786</v>
      </c>
      <c r="G306" t="s">
        <v>1707</v>
      </c>
      <c r="H306" t="s">
        <v>1692</v>
      </c>
    </row>
    <row r="307" spans="1:8" x14ac:dyDescent="0.3">
      <c r="A307" t="s">
        <v>43</v>
      </c>
      <c r="B307" t="s">
        <v>54</v>
      </c>
      <c r="C307" t="s">
        <v>29</v>
      </c>
      <c r="D307" t="s">
        <v>27</v>
      </c>
      <c r="E307" t="s">
        <v>1524</v>
      </c>
      <c r="F307" t="s">
        <v>1786</v>
      </c>
      <c r="G307" t="s">
        <v>1707</v>
      </c>
      <c r="H307" t="s">
        <v>1692</v>
      </c>
    </row>
    <row r="308" spans="1:8" x14ac:dyDescent="0.3">
      <c r="A308" t="s">
        <v>43</v>
      </c>
      <c r="B308" t="s">
        <v>54</v>
      </c>
      <c r="C308" t="s">
        <v>29</v>
      </c>
      <c r="D308" t="s">
        <v>28</v>
      </c>
      <c r="E308" t="s">
        <v>1524</v>
      </c>
      <c r="F308" t="s">
        <v>1786</v>
      </c>
      <c r="G308" t="s">
        <v>1707</v>
      </c>
      <c r="H308" t="s">
        <v>1692</v>
      </c>
    </row>
    <row r="309" spans="1:8" x14ac:dyDescent="0.3">
      <c r="A309" t="s">
        <v>9</v>
      </c>
      <c r="B309" t="s">
        <v>52</v>
      </c>
      <c r="C309" t="s">
        <v>12</v>
      </c>
      <c r="D309" t="s">
        <v>15</v>
      </c>
      <c r="E309" t="s">
        <v>1525</v>
      </c>
      <c r="F309" t="s">
        <v>1787</v>
      </c>
      <c r="G309" t="s">
        <v>1716</v>
      </c>
      <c r="H309" t="s">
        <v>1684</v>
      </c>
    </row>
    <row r="310" spans="1:8" x14ac:dyDescent="0.3">
      <c r="A310" t="s">
        <v>9</v>
      </c>
      <c r="B310" t="s">
        <v>52</v>
      </c>
      <c r="C310" t="s">
        <v>12</v>
      </c>
      <c r="D310" t="s">
        <v>14</v>
      </c>
      <c r="E310" t="s">
        <v>1524</v>
      </c>
      <c r="F310" t="s">
        <v>1788</v>
      </c>
      <c r="G310" t="s">
        <v>1695</v>
      </c>
      <c r="H310" t="s">
        <v>1692</v>
      </c>
    </row>
    <row r="311" spans="1:8" x14ac:dyDescent="0.3">
      <c r="A311" t="s">
        <v>9</v>
      </c>
      <c r="B311" t="s">
        <v>52</v>
      </c>
      <c r="C311" t="s">
        <v>12</v>
      </c>
      <c r="D311" t="s">
        <v>11</v>
      </c>
      <c r="E311" t="s">
        <v>1524</v>
      </c>
      <c r="F311" t="s">
        <v>1789</v>
      </c>
      <c r="G311" t="s">
        <v>1697</v>
      </c>
      <c r="H311" t="s">
        <v>1684</v>
      </c>
    </row>
    <row r="312" spans="1:8" x14ac:dyDescent="0.3">
      <c r="A312" t="s">
        <v>9</v>
      </c>
      <c r="B312" t="s">
        <v>52</v>
      </c>
      <c r="C312" t="s">
        <v>12</v>
      </c>
      <c r="D312" t="s">
        <v>16</v>
      </c>
      <c r="E312" t="s">
        <v>1524</v>
      </c>
      <c r="F312" t="s">
        <v>1790</v>
      </c>
      <c r="G312" t="s">
        <v>1695</v>
      </c>
      <c r="H312" t="s">
        <v>1685</v>
      </c>
    </row>
    <row r="313" spans="1:8" x14ac:dyDescent="0.3">
      <c r="A313" t="s">
        <v>9</v>
      </c>
      <c r="B313" t="s">
        <v>52</v>
      </c>
      <c r="C313" t="s">
        <v>29</v>
      </c>
      <c r="D313" t="s">
        <v>23</v>
      </c>
      <c r="E313" t="s">
        <v>1524</v>
      </c>
      <c r="F313" t="s">
        <v>1790</v>
      </c>
      <c r="G313" t="s">
        <v>1695</v>
      </c>
      <c r="H313" t="s">
        <v>1685</v>
      </c>
    </row>
    <row r="314" spans="1:8" x14ac:dyDescent="0.3">
      <c r="A314" t="s">
        <v>9</v>
      </c>
      <c r="B314" t="s">
        <v>52</v>
      </c>
      <c r="C314" t="s">
        <v>29</v>
      </c>
      <c r="D314" t="s">
        <v>21</v>
      </c>
      <c r="E314" t="s">
        <v>1524</v>
      </c>
      <c r="F314" t="s">
        <v>1791</v>
      </c>
      <c r="G314" t="s">
        <v>1726</v>
      </c>
      <c r="H314" t="s">
        <v>1685</v>
      </c>
    </row>
    <row r="315" spans="1:8" x14ac:dyDescent="0.3">
      <c r="A315" t="s">
        <v>9</v>
      </c>
      <c r="B315" t="s">
        <v>52</v>
      </c>
      <c r="C315" t="s">
        <v>29</v>
      </c>
      <c r="D315" t="s">
        <v>19</v>
      </c>
      <c r="E315" t="s">
        <v>1524</v>
      </c>
      <c r="F315" t="s">
        <v>1745</v>
      </c>
      <c r="G315" t="s">
        <v>1697</v>
      </c>
      <c r="H315" t="s">
        <v>1685</v>
      </c>
    </row>
    <row r="316" spans="1:8" x14ac:dyDescent="0.3">
      <c r="A316" t="s">
        <v>9</v>
      </c>
      <c r="B316" t="s">
        <v>52</v>
      </c>
      <c r="C316" t="s">
        <v>29</v>
      </c>
      <c r="D316" t="s">
        <v>17</v>
      </c>
      <c r="E316" t="s">
        <v>1524</v>
      </c>
      <c r="F316" t="s">
        <v>1762</v>
      </c>
      <c r="G316" t="s">
        <v>1697</v>
      </c>
      <c r="H316" t="s">
        <v>1685</v>
      </c>
    </row>
    <row r="317" spans="1:8" x14ac:dyDescent="0.3">
      <c r="A317" t="s">
        <v>9</v>
      </c>
      <c r="B317" t="s">
        <v>52</v>
      </c>
      <c r="C317" t="s">
        <v>29</v>
      </c>
      <c r="D317" t="s">
        <v>20</v>
      </c>
      <c r="E317" t="s">
        <v>1524</v>
      </c>
      <c r="F317" t="s">
        <v>1792</v>
      </c>
      <c r="G317" t="s">
        <v>1695</v>
      </c>
      <c r="H317" t="s">
        <v>1685</v>
      </c>
    </row>
    <row r="318" spans="1:8" x14ac:dyDescent="0.3">
      <c r="A318" t="s">
        <v>9</v>
      </c>
      <c r="B318" t="s">
        <v>52</v>
      </c>
      <c r="C318" t="s">
        <v>29</v>
      </c>
      <c r="D318" t="s">
        <v>22</v>
      </c>
      <c r="E318" t="s">
        <v>1524</v>
      </c>
      <c r="F318" t="s">
        <v>1790</v>
      </c>
      <c r="G318" t="s">
        <v>1695</v>
      </c>
      <c r="H318" t="s">
        <v>1685</v>
      </c>
    </row>
    <row r="319" spans="1:8" x14ac:dyDescent="0.3">
      <c r="A319" t="s">
        <v>43</v>
      </c>
      <c r="B319" t="s">
        <v>69</v>
      </c>
      <c r="C319" t="s">
        <v>12</v>
      </c>
      <c r="D319" t="s">
        <v>15</v>
      </c>
      <c r="E319" t="s">
        <v>1524</v>
      </c>
      <c r="F319" t="s">
        <v>1793</v>
      </c>
      <c r="G319" t="s">
        <v>1707</v>
      </c>
      <c r="H319" t="s">
        <v>1684</v>
      </c>
    </row>
    <row r="320" spans="1:8" x14ac:dyDescent="0.3">
      <c r="A320" t="s">
        <v>43</v>
      </c>
      <c r="B320" t="s">
        <v>69</v>
      </c>
      <c r="C320" t="s">
        <v>12</v>
      </c>
      <c r="D320" t="s">
        <v>23</v>
      </c>
      <c r="E320" t="s">
        <v>1524</v>
      </c>
      <c r="F320" t="s">
        <v>1703</v>
      </c>
      <c r="G320" t="s">
        <v>1695</v>
      </c>
      <c r="H320" t="s">
        <v>1685</v>
      </c>
    </row>
    <row r="321" spans="1:8" x14ac:dyDescent="0.3">
      <c r="A321" t="s">
        <v>43</v>
      </c>
      <c r="B321" t="s">
        <v>69</v>
      </c>
      <c r="C321" t="s">
        <v>12</v>
      </c>
      <c r="D321" t="s">
        <v>14</v>
      </c>
      <c r="E321" t="s">
        <v>1524</v>
      </c>
      <c r="F321" t="s">
        <v>1794</v>
      </c>
      <c r="G321" t="s">
        <v>1695</v>
      </c>
      <c r="H321" t="s">
        <v>1684</v>
      </c>
    </row>
    <row r="322" spans="1:8" x14ac:dyDescent="0.3">
      <c r="A322" t="s">
        <v>43</v>
      </c>
      <c r="B322" t="s">
        <v>69</v>
      </c>
      <c r="C322" t="s">
        <v>12</v>
      </c>
      <c r="D322" t="s">
        <v>11</v>
      </c>
      <c r="E322" t="s">
        <v>1524</v>
      </c>
      <c r="F322" t="s">
        <v>1795</v>
      </c>
      <c r="G322" t="s">
        <v>1796</v>
      </c>
      <c r="H322" t="s">
        <v>1691</v>
      </c>
    </row>
    <row r="323" spans="1:8" x14ac:dyDescent="0.3">
      <c r="A323" t="s">
        <v>43</v>
      </c>
      <c r="B323" t="s">
        <v>69</v>
      </c>
      <c r="C323" t="s">
        <v>12</v>
      </c>
      <c r="D323" t="s">
        <v>21</v>
      </c>
      <c r="E323" t="s">
        <v>1524</v>
      </c>
      <c r="F323" t="s">
        <v>1706</v>
      </c>
      <c r="G323" t="s">
        <v>1695</v>
      </c>
      <c r="H323" t="s">
        <v>1687</v>
      </c>
    </row>
    <row r="324" spans="1:8" x14ac:dyDescent="0.3">
      <c r="A324" t="s">
        <v>43</v>
      </c>
      <c r="B324" t="s">
        <v>69</v>
      </c>
      <c r="C324" t="s">
        <v>12</v>
      </c>
      <c r="D324" t="s">
        <v>19</v>
      </c>
      <c r="E324" t="s">
        <v>1524</v>
      </c>
      <c r="F324" t="s">
        <v>1770</v>
      </c>
      <c r="G324" t="s">
        <v>1697</v>
      </c>
      <c r="H324" t="s">
        <v>1685</v>
      </c>
    </row>
    <row r="325" spans="1:8" x14ac:dyDescent="0.3">
      <c r="A325" t="s">
        <v>43</v>
      </c>
      <c r="B325" t="s">
        <v>69</v>
      </c>
      <c r="C325" t="s">
        <v>12</v>
      </c>
      <c r="D325" t="s">
        <v>17</v>
      </c>
      <c r="E325" t="s">
        <v>1524</v>
      </c>
      <c r="F325" t="s">
        <v>1770</v>
      </c>
      <c r="G325" t="s">
        <v>1697</v>
      </c>
      <c r="H325" t="s">
        <v>1685</v>
      </c>
    </row>
    <row r="326" spans="1:8" x14ac:dyDescent="0.3">
      <c r="A326" t="s">
        <v>43</v>
      </c>
      <c r="B326" t="s">
        <v>69</v>
      </c>
      <c r="C326" t="s">
        <v>12</v>
      </c>
      <c r="D326" t="s">
        <v>16</v>
      </c>
      <c r="E326" t="s">
        <v>1524</v>
      </c>
      <c r="F326" t="s">
        <v>1770</v>
      </c>
      <c r="G326" t="s">
        <v>1697</v>
      </c>
      <c r="H326" t="s">
        <v>1684</v>
      </c>
    </row>
    <row r="327" spans="1:8" x14ac:dyDescent="0.3">
      <c r="A327" t="s">
        <v>43</v>
      </c>
      <c r="B327" t="s">
        <v>69</v>
      </c>
      <c r="C327" t="s">
        <v>12</v>
      </c>
      <c r="D327" t="s">
        <v>20</v>
      </c>
      <c r="E327" t="s">
        <v>1524</v>
      </c>
      <c r="F327" t="s">
        <v>1698</v>
      </c>
      <c r="G327" t="s">
        <v>1710</v>
      </c>
      <c r="H327" t="s">
        <v>1693</v>
      </c>
    </row>
    <row r="328" spans="1:8" x14ac:dyDescent="0.3">
      <c r="A328" t="s">
        <v>43</v>
      </c>
      <c r="B328" t="s">
        <v>69</v>
      </c>
      <c r="C328" t="s">
        <v>12</v>
      </c>
      <c r="D328" t="s">
        <v>22</v>
      </c>
      <c r="E328" t="s">
        <v>1524</v>
      </c>
      <c r="F328" t="s">
        <v>1706</v>
      </c>
      <c r="G328" t="s">
        <v>1695</v>
      </c>
      <c r="H328" t="s">
        <v>1685</v>
      </c>
    </row>
    <row r="329" spans="1:8" x14ac:dyDescent="0.3">
      <c r="A329" t="s">
        <v>43</v>
      </c>
      <c r="B329" t="s">
        <v>69</v>
      </c>
      <c r="C329" t="s">
        <v>29</v>
      </c>
      <c r="D329" t="s">
        <v>25</v>
      </c>
      <c r="E329" t="s">
        <v>1525</v>
      </c>
      <c r="F329" t="s">
        <v>1698</v>
      </c>
      <c r="G329" t="s">
        <v>1699</v>
      </c>
      <c r="H329" t="s">
        <v>1684</v>
      </c>
    </row>
    <row r="330" spans="1:8" x14ac:dyDescent="0.3">
      <c r="A330" t="s">
        <v>43</v>
      </c>
      <c r="B330" t="s">
        <v>69</v>
      </c>
      <c r="C330" t="s">
        <v>29</v>
      </c>
      <c r="D330" t="s">
        <v>24</v>
      </c>
      <c r="E330" t="s">
        <v>1525</v>
      </c>
      <c r="F330" t="s">
        <v>1698</v>
      </c>
      <c r="G330" t="s">
        <v>1699</v>
      </c>
      <c r="H330" t="s">
        <v>1684</v>
      </c>
    </row>
    <row r="331" spans="1:8" x14ac:dyDescent="0.3">
      <c r="A331" t="s">
        <v>43</v>
      </c>
      <c r="B331" t="s">
        <v>69</v>
      </c>
      <c r="C331" t="s">
        <v>29</v>
      </c>
      <c r="D331" t="s">
        <v>32</v>
      </c>
      <c r="E331" t="s">
        <v>1524</v>
      </c>
      <c r="F331" t="s">
        <v>1764</v>
      </c>
      <c r="G331" t="s">
        <v>1697</v>
      </c>
      <c r="H331" t="s">
        <v>1686</v>
      </c>
    </row>
    <row r="332" spans="1:8" x14ac:dyDescent="0.3">
      <c r="A332" t="s">
        <v>43</v>
      </c>
      <c r="B332" t="s">
        <v>69</v>
      </c>
      <c r="C332" t="s">
        <v>29</v>
      </c>
      <c r="D332" t="s">
        <v>30</v>
      </c>
      <c r="E332" t="s">
        <v>1524</v>
      </c>
      <c r="F332" t="s">
        <v>1720</v>
      </c>
      <c r="G332" t="s">
        <v>1695</v>
      </c>
      <c r="H332" t="s">
        <v>1686</v>
      </c>
    </row>
    <row r="333" spans="1:8" x14ac:dyDescent="0.3">
      <c r="A333" t="s">
        <v>43</v>
      </c>
      <c r="B333" t="s">
        <v>69</v>
      </c>
      <c r="C333" t="s">
        <v>29</v>
      </c>
      <c r="D333" t="s">
        <v>34</v>
      </c>
      <c r="E333" t="s">
        <v>1524</v>
      </c>
      <c r="F333" t="s">
        <v>1797</v>
      </c>
      <c r="G333" t="s">
        <v>1697</v>
      </c>
      <c r="H333" t="s">
        <v>1686</v>
      </c>
    </row>
    <row r="334" spans="1:8" x14ac:dyDescent="0.3">
      <c r="A334" t="s">
        <v>43</v>
      </c>
      <c r="B334" t="s">
        <v>69</v>
      </c>
      <c r="C334" t="s">
        <v>29</v>
      </c>
      <c r="D334" t="s">
        <v>36</v>
      </c>
      <c r="E334" t="s">
        <v>1524</v>
      </c>
      <c r="F334" t="s">
        <v>1798</v>
      </c>
      <c r="G334" t="s">
        <v>1707</v>
      </c>
      <c r="H334" t="s">
        <v>1686</v>
      </c>
    </row>
    <row r="335" spans="1:8" x14ac:dyDescent="0.3">
      <c r="A335" t="s">
        <v>43</v>
      </c>
      <c r="B335" t="s">
        <v>69</v>
      </c>
      <c r="C335" t="s">
        <v>29</v>
      </c>
      <c r="D335" t="s">
        <v>33</v>
      </c>
      <c r="E335" t="s">
        <v>1524</v>
      </c>
      <c r="F335" t="s">
        <v>1720</v>
      </c>
      <c r="G335" t="s">
        <v>1697</v>
      </c>
      <c r="H335" t="s">
        <v>1686</v>
      </c>
    </row>
    <row r="336" spans="1:8" x14ac:dyDescent="0.3">
      <c r="A336" t="s">
        <v>43</v>
      </c>
      <c r="B336" t="s">
        <v>69</v>
      </c>
      <c r="C336" t="s">
        <v>29</v>
      </c>
      <c r="D336" t="s">
        <v>26</v>
      </c>
      <c r="E336" t="s">
        <v>1525</v>
      </c>
      <c r="F336" t="s">
        <v>1698</v>
      </c>
      <c r="G336" t="s">
        <v>1699</v>
      </c>
      <c r="H336" t="s">
        <v>1684</v>
      </c>
    </row>
    <row r="337" spans="1:8" x14ac:dyDescent="0.3">
      <c r="A337" t="s">
        <v>43</v>
      </c>
      <c r="B337" t="s">
        <v>69</v>
      </c>
      <c r="C337" t="s">
        <v>29</v>
      </c>
      <c r="D337" t="s">
        <v>31</v>
      </c>
      <c r="E337" t="s">
        <v>1524</v>
      </c>
      <c r="F337" t="s">
        <v>1720</v>
      </c>
      <c r="G337" t="s">
        <v>1695</v>
      </c>
      <c r="H337" t="s">
        <v>1693</v>
      </c>
    </row>
    <row r="338" spans="1:8" x14ac:dyDescent="0.3">
      <c r="A338" t="s">
        <v>43</v>
      </c>
      <c r="B338" t="s">
        <v>69</v>
      </c>
      <c r="C338" t="s">
        <v>29</v>
      </c>
      <c r="D338" t="s">
        <v>27</v>
      </c>
      <c r="E338" t="s">
        <v>1525</v>
      </c>
      <c r="F338" t="s">
        <v>1698</v>
      </c>
      <c r="G338" t="s">
        <v>1732</v>
      </c>
      <c r="H338" t="s">
        <v>1686</v>
      </c>
    </row>
    <row r="339" spans="1:8" x14ac:dyDescent="0.3">
      <c r="A339" t="s">
        <v>43</v>
      </c>
      <c r="B339" t="s">
        <v>69</v>
      </c>
      <c r="C339" t="s">
        <v>29</v>
      </c>
      <c r="D339" t="s">
        <v>28</v>
      </c>
      <c r="E339" t="s">
        <v>1524</v>
      </c>
      <c r="F339" t="s">
        <v>1698</v>
      </c>
      <c r="G339" t="s">
        <v>1695</v>
      </c>
      <c r="H339" t="s">
        <v>1693</v>
      </c>
    </row>
    <row r="340" spans="1:8" x14ac:dyDescent="0.3">
      <c r="A340" t="s">
        <v>43</v>
      </c>
      <c r="B340" t="s">
        <v>69</v>
      </c>
      <c r="C340" t="s">
        <v>29</v>
      </c>
      <c r="D340" t="s">
        <v>35</v>
      </c>
      <c r="E340" t="s">
        <v>1524</v>
      </c>
      <c r="F340" t="s">
        <v>1799</v>
      </c>
      <c r="G340" t="s">
        <v>1697</v>
      </c>
      <c r="H340" t="s">
        <v>1686</v>
      </c>
    </row>
    <row r="341" spans="1:8" x14ac:dyDescent="0.3">
      <c r="A341" t="s">
        <v>45</v>
      </c>
      <c r="B341" t="s">
        <v>48</v>
      </c>
      <c r="C341" t="s">
        <v>12</v>
      </c>
      <c r="D341" t="s">
        <v>15</v>
      </c>
      <c r="E341" t="s">
        <v>1524</v>
      </c>
      <c r="F341" t="s">
        <v>1698</v>
      </c>
      <c r="G341" t="s">
        <v>1710</v>
      </c>
      <c r="H341" t="s">
        <v>1692</v>
      </c>
    </row>
    <row r="342" spans="1:8" x14ac:dyDescent="0.3">
      <c r="A342" t="s">
        <v>45</v>
      </c>
      <c r="B342" t="s">
        <v>48</v>
      </c>
      <c r="C342" t="s">
        <v>12</v>
      </c>
      <c r="D342" t="s">
        <v>14</v>
      </c>
      <c r="E342" t="s">
        <v>1524</v>
      </c>
      <c r="F342" t="s">
        <v>1725</v>
      </c>
      <c r="G342" t="s">
        <v>1695</v>
      </c>
      <c r="H342" t="s">
        <v>1684</v>
      </c>
    </row>
    <row r="343" spans="1:8" x14ac:dyDescent="0.3">
      <c r="A343" t="s">
        <v>45</v>
      </c>
      <c r="B343" t="s">
        <v>48</v>
      </c>
      <c r="C343" t="s">
        <v>12</v>
      </c>
      <c r="D343" t="s">
        <v>11</v>
      </c>
      <c r="E343" t="s">
        <v>1524</v>
      </c>
      <c r="F343" t="s">
        <v>1725</v>
      </c>
      <c r="G343" t="s">
        <v>1695</v>
      </c>
      <c r="H343" t="s">
        <v>1692</v>
      </c>
    </row>
    <row r="344" spans="1:8" x14ac:dyDescent="0.3">
      <c r="A344" t="s">
        <v>45</v>
      </c>
      <c r="B344" t="s">
        <v>48</v>
      </c>
      <c r="C344" t="s">
        <v>12</v>
      </c>
      <c r="D344" t="s">
        <v>19</v>
      </c>
      <c r="E344" t="s">
        <v>1524</v>
      </c>
      <c r="F344" t="s">
        <v>1698</v>
      </c>
      <c r="G344" t="s">
        <v>1710</v>
      </c>
      <c r="H344" t="s">
        <v>1687</v>
      </c>
    </row>
    <row r="345" spans="1:8" x14ac:dyDescent="0.3">
      <c r="A345" t="s">
        <v>45</v>
      </c>
      <c r="B345" t="s">
        <v>48</v>
      </c>
      <c r="C345" t="s">
        <v>12</v>
      </c>
      <c r="D345" t="s">
        <v>17</v>
      </c>
      <c r="E345" t="s">
        <v>1524</v>
      </c>
      <c r="F345" t="s">
        <v>1698</v>
      </c>
      <c r="G345" t="s">
        <v>1710</v>
      </c>
      <c r="H345" t="s">
        <v>1688</v>
      </c>
    </row>
    <row r="346" spans="1:8" x14ac:dyDescent="0.3">
      <c r="A346" t="s">
        <v>45</v>
      </c>
      <c r="B346" t="s">
        <v>48</v>
      </c>
      <c r="C346" t="s">
        <v>12</v>
      </c>
      <c r="D346" t="s">
        <v>16</v>
      </c>
      <c r="E346" t="s">
        <v>1524</v>
      </c>
      <c r="F346" t="s">
        <v>1698</v>
      </c>
      <c r="G346" t="s">
        <v>1710</v>
      </c>
      <c r="H346" t="s">
        <v>1693</v>
      </c>
    </row>
    <row r="347" spans="1:8" x14ac:dyDescent="0.3">
      <c r="A347" t="s">
        <v>45</v>
      </c>
      <c r="B347" t="s">
        <v>48</v>
      </c>
      <c r="C347" t="s">
        <v>12</v>
      </c>
      <c r="D347" t="s">
        <v>20</v>
      </c>
      <c r="E347" t="s">
        <v>1524</v>
      </c>
      <c r="F347" t="s">
        <v>1800</v>
      </c>
      <c r="G347" t="s">
        <v>1695</v>
      </c>
      <c r="H347" t="s">
        <v>1692</v>
      </c>
    </row>
    <row r="348" spans="1:8" x14ac:dyDescent="0.3">
      <c r="A348" t="s">
        <v>45</v>
      </c>
      <c r="B348" t="s">
        <v>48</v>
      </c>
      <c r="C348" t="s">
        <v>29</v>
      </c>
      <c r="D348" t="s">
        <v>23</v>
      </c>
      <c r="E348" t="s">
        <v>1524</v>
      </c>
      <c r="F348" t="s">
        <v>1801</v>
      </c>
      <c r="G348" t="s">
        <v>1719</v>
      </c>
      <c r="H348" t="s">
        <v>1688</v>
      </c>
    </row>
    <row r="349" spans="1:8" x14ac:dyDescent="0.3">
      <c r="A349" t="s">
        <v>45</v>
      </c>
      <c r="B349" t="s">
        <v>48</v>
      </c>
      <c r="C349" t="s">
        <v>29</v>
      </c>
      <c r="D349" t="s">
        <v>25</v>
      </c>
      <c r="E349" t="s">
        <v>1524</v>
      </c>
      <c r="F349" t="s">
        <v>1802</v>
      </c>
      <c r="G349" t="s">
        <v>1707</v>
      </c>
      <c r="H349" t="s">
        <v>1684</v>
      </c>
    </row>
    <row r="350" spans="1:8" x14ac:dyDescent="0.3">
      <c r="A350" t="s">
        <v>45</v>
      </c>
      <c r="B350" t="s">
        <v>48</v>
      </c>
      <c r="C350" t="s">
        <v>29</v>
      </c>
      <c r="D350" t="s">
        <v>24</v>
      </c>
      <c r="E350" t="s">
        <v>1524</v>
      </c>
      <c r="F350" t="s">
        <v>1803</v>
      </c>
      <c r="G350" t="s">
        <v>1695</v>
      </c>
      <c r="H350" t="s">
        <v>1684</v>
      </c>
    </row>
    <row r="351" spans="1:8" x14ac:dyDescent="0.3">
      <c r="A351" t="s">
        <v>45</v>
      </c>
      <c r="B351" t="s">
        <v>48</v>
      </c>
      <c r="C351" t="s">
        <v>29</v>
      </c>
      <c r="D351" t="s">
        <v>21</v>
      </c>
      <c r="E351" t="s">
        <v>1524</v>
      </c>
      <c r="F351" t="s">
        <v>1704</v>
      </c>
      <c r="G351" t="s">
        <v>1695</v>
      </c>
      <c r="H351" t="s">
        <v>1686</v>
      </c>
    </row>
    <row r="352" spans="1:8" x14ac:dyDescent="0.3">
      <c r="A352" t="s">
        <v>45</v>
      </c>
      <c r="B352" t="s">
        <v>48</v>
      </c>
      <c r="C352" t="s">
        <v>29</v>
      </c>
      <c r="D352" t="s">
        <v>30</v>
      </c>
      <c r="E352" t="s">
        <v>1525</v>
      </c>
      <c r="F352" t="s">
        <v>1720</v>
      </c>
      <c r="G352" t="s">
        <v>1695</v>
      </c>
      <c r="H352" t="s">
        <v>1685</v>
      </c>
    </row>
    <row r="353" spans="1:8" x14ac:dyDescent="0.3">
      <c r="A353" t="s">
        <v>45</v>
      </c>
      <c r="B353" t="s">
        <v>48</v>
      </c>
      <c r="C353" t="s">
        <v>29</v>
      </c>
      <c r="D353" t="s">
        <v>26</v>
      </c>
      <c r="E353" t="s">
        <v>1525</v>
      </c>
      <c r="F353" t="s">
        <v>1747</v>
      </c>
      <c r="G353" t="s">
        <v>1716</v>
      </c>
      <c r="H353" t="s">
        <v>1684</v>
      </c>
    </row>
    <row r="354" spans="1:8" x14ac:dyDescent="0.3">
      <c r="A354" t="s">
        <v>45</v>
      </c>
      <c r="B354" t="s">
        <v>48</v>
      </c>
      <c r="C354" t="s">
        <v>29</v>
      </c>
      <c r="D354" t="s">
        <v>22</v>
      </c>
      <c r="E354" t="s">
        <v>1524</v>
      </c>
      <c r="F354" t="s">
        <v>1803</v>
      </c>
      <c r="G354" t="s">
        <v>1695</v>
      </c>
      <c r="H354" t="s">
        <v>1686</v>
      </c>
    </row>
    <row r="355" spans="1:8" x14ac:dyDescent="0.3">
      <c r="A355" t="s">
        <v>45</v>
      </c>
      <c r="B355" t="s">
        <v>48</v>
      </c>
      <c r="C355" t="s">
        <v>29</v>
      </c>
      <c r="D355" t="s">
        <v>31</v>
      </c>
      <c r="E355" t="s">
        <v>1525</v>
      </c>
      <c r="F355" t="s">
        <v>1720</v>
      </c>
      <c r="G355" t="s">
        <v>1695</v>
      </c>
      <c r="H355" t="s">
        <v>1685</v>
      </c>
    </row>
    <row r="356" spans="1:8" x14ac:dyDescent="0.3">
      <c r="A356" t="s">
        <v>45</v>
      </c>
      <c r="B356" t="s">
        <v>48</v>
      </c>
      <c r="C356" t="s">
        <v>29</v>
      </c>
      <c r="D356" t="s">
        <v>27</v>
      </c>
      <c r="E356" t="s">
        <v>1525</v>
      </c>
      <c r="F356" t="s">
        <v>1720</v>
      </c>
      <c r="G356" t="s">
        <v>1716</v>
      </c>
      <c r="H356" t="s">
        <v>1685</v>
      </c>
    </row>
    <row r="357" spans="1:8" x14ac:dyDescent="0.3">
      <c r="A357" t="s">
        <v>45</v>
      </c>
      <c r="B357" t="s">
        <v>48</v>
      </c>
      <c r="C357" t="s">
        <v>29</v>
      </c>
      <c r="D357" t="s">
        <v>28</v>
      </c>
      <c r="E357" t="s">
        <v>1525</v>
      </c>
      <c r="F357" t="s">
        <v>1720</v>
      </c>
      <c r="G357" t="s">
        <v>1716</v>
      </c>
      <c r="H357" t="s">
        <v>1685</v>
      </c>
    </row>
    <row r="358" spans="1:8" x14ac:dyDescent="0.3">
      <c r="A358" t="s">
        <v>9</v>
      </c>
      <c r="B358" t="s">
        <v>56</v>
      </c>
      <c r="C358" t="s">
        <v>12</v>
      </c>
      <c r="D358" t="s">
        <v>14</v>
      </c>
      <c r="E358" t="s">
        <v>1525</v>
      </c>
      <c r="F358" t="s">
        <v>1698</v>
      </c>
      <c r="G358" t="s">
        <v>1732</v>
      </c>
      <c r="H358" t="s">
        <v>1693</v>
      </c>
    </row>
    <row r="359" spans="1:8" x14ac:dyDescent="0.3">
      <c r="A359" t="s">
        <v>9</v>
      </c>
      <c r="B359" t="s">
        <v>56</v>
      </c>
      <c r="C359" t="s">
        <v>12</v>
      </c>
      <c r="D359" t="s">
        <v>15</v>
      </c>
      <c r="E359" t="s">
        <v>1524</v>
      </c>
      <c r="F359" t="s">
        <v>1804</v>
      </c>
      <c r="G359" t="s">
        <v>1697</v>
      </c>
      <c r="H359" t="s">
        <v>1693</v>
      </c>
    </row>
    <row r="360" spans="1:8" x14ac:dyDescent="0.3">
      <c r="A360" t="s">
        <v>9</v>
      </c>
      <c r="B360" t="s">
        <v>56</v>
      </c>
      <c r="C360" t="s">
        <v>12</v>
      </c>
      <c r="D360" t="s">
        <v>11</v>
      </c>
      <c r="E360" t="s">
        <v>1525</v>
      </c>
      <c r="F360" t="s">
        <v>1788</v>
      </c>
      <c r="G360" t="s">
        <v>1716</v>
      </c>
      <c r="H360" t="s">
        <v>1692</v>
      </c>
    </row>
    <row r="361" spans="1:8" x14ac:dyDescent="0.3">
      <c r="A361" t="s">
        <v>9</v>
      </c>
      <c r="B361" t="s">
        <v>56</v>
      </c>
      <c r="C361" t="s">
        <v>12</v>
      </c>
      <c r="D361" t="s">
        <v>16</v>
      </c>
      <c r="E361" t="s">
        <v>1524</v>
      </c>
      <c r="F361" t="s">
        <v>1805</v>
      </c>
      <c r="G361" t="s">
        <v>1697</v>
      </c>
      <c r="H361" t="s">
        <v>1686</v>
      </c>
    </row>
    <row r="362" spans="1:8" x14ac:dyDescent="0.3">
      <c r="A362" t="s">
        <v>9</v>
      </c>
      <c r="B362" t="s">
        <v>56</v>
      </c>
      <c r="C362" t="s">
        <v>29</v>
      </c>
      <c r="D362" t="s">
        <v>23</v>
      </c>
      <c r="E362" t="s">
        <v>1524</v>
      </c>
      <c r="F362" t="s">
        <v>1724</v>
      </c>
      <c r="G362" t="s">
        <v>1699</v>
      </c>
      <c r="H362" t="s">
        <v>1688</v>
      </c>
    </row>
    <row r="363" spans="1:8" x14ac:dyDescent="0.3">
      <c r="A363" t="s">
        <v>9</v>
      </c>
      <c r="B363" t="s">
        <v>56</v>
      </c>
      <c r="C363" t="s">
        <v>29</v>
      </c>
      <c r="D363" t="s">
        <v>25</v>
      </c>
      <c r="E363" t="s">
        <v>1524</v>
      </c>
      <c r="F363" t="s">
        <v>1724</v>
      </c>
      <c r="G363" t="s">
        <v>1699</v>
      </c>
      <c r="H363" t="s">
        <v>1688</v>
      </c>
    </row>
    <row r="364" spans="1:8" x14ac:dyDescent="0.3">
      <c r="A364" t="s">
        <v>9</v>
      </c>
      <c r="B364" t="s">
        <v>56</v>
      </c>
      <c r="C364" t="s">
        <v>29</v>
      </c>
      <c r="D364" t="s">
        <v>24</v>
      </c>
      <c r="E364" t="s">
        <v>1524</v>
      </c>
      <c r="F364" t="s">
        <v>1724</v>
      </c>
      <c r="G364" t="s">
        <v>1699</v>
      </c>
      <c r="H364" t="s">
        <v>1688</v>
      </c>
    </row>
    <row r="365" spans="1:8" x14ac:dyDescent="0.3">
      <c r="A365" t="s">
        <v>9</v>
      </c>
      <c r="B365" t="s">
        <v>56</v>
      </c>
      <c r="C365" t="s">
        <v>29</v>
      </c>
      <c r="D365" t="s">
        <v>21</v>
      </c>
      <c r="E365" t="s">
        <v>1524</v>
      </c>
      <c r="F365" t="s">
        <v>1741</v>
      </c>
      <c r="G365" t="s">
        <v>1707</v>
      </c>
      <c r="H365" t="s">
        <v>1686</v>
      </c>
    </row>
    <row r="366" spans="1:8" x14ac:dyDescent="0.3">
      <c r="A366" t="s">
        <v>9</v>
      </c>
      <c r="B366" t="s">
        <v>56</v>
      </c>
      <c r="C366" t="s">
        <v>29</v>
      </c>
      <c r="D366" t="s">
        <v>19</v>
      </c>
      <c r="E366" t="s">
        <v>1524</v>
      </c>
      <c r="F366" t="s">
        <v>1741</v>
      </c>
      <c r="G366" t="s">
        <v>1707</v>
      </c>
      <c r="H366" t="s">
        <v>1686</v>
      </c>
    </row>
    <row r="367" spans="1:8" x14ac:dyDescent="0.3">
      <c r="A367" t="s">
        <v>9</v>
      </c>
      <c r="B367" t="s">
        <v>56</v>
      </c>
      <c r="C367" t="s">
        <v>29</v>
      </c>
      <c r="D367" t="s">
        <v>17</v>
      </c>
      <c r="E367" t="s">
        <v>1524</v>
      </c>
      <c r="F367" t="s">
        <v>1741</v>
      </c>
      <c r="G367" t="s">
        <v>1707</v>
      </c>
      <c r="H367" t="s">
        <v>1686</v>
      </c>
    </row>
    <row r="368" spans="1:8" x14ac:dyDescent="0.3">
      <c r="A368" t="s">
        <v>9</v>
      </c>
      <c r="B368" t="s">
        <v>56</v>
      </c>
      <c r="C368" t="s">
        <v>29</v>
      </c>
      <c r="D368" t="s">
        <v>20</v>
      </c>
      <c r="E368" t="s">
        <v>1524</v>
      </c>
      <c r="F368" t="s">
        <v>1741</v>
      </c>
      <c r="G368" t="s">
        <v>1707</v>
      </c>
      <c r="H368" t="s">
        <v>1686</v>
      </c>
    </row>
    <row r="369" spans="1:8" x14ac:dyDescent="0.3">
      <c r="A369" t="s">
        <v>9</v>
      </c>
      <c r="B369" t="s">
        <v>56</v>
      </c>
      <c r="C369" t="s">
        <v>29</v>
      </c>
      <c r="D369" t="s">
        <v>22</v>
      </c>
      <c r="E369" t="s">
        <v>1524</v>
      </c>
      <c r="F369" t="s">
        <v>1741</v>
      </c>
      <c r="G369" t="s">
        <v>1707</v>
      </c>
      <c r="H369" t="s">
        <v>1686</v>
      </c>
    </row>
    <row r="370" spans="1:8" x14ac:dyDescent="0.3">
      <c r="A370" t="s">
        <v>9</v>
      </c>
      <c r="B370" t="s">
        <v>67</v>
      </c>
      <c r="C370" t="s">
        <v>12</v>
      </c>
      <c r="D370" t="s">
        <v>15</v>
      </c>
      <c r="E370" t="s">
        <v>1524</v>
      </c>
      <c r="F370" t="s">
        <v>1696</v>
      </c>
      <c r="G370" t="s">
        <v>1697</v>
      </c>
      <c r="H370" t="s">
        <v>1684</v>
      </c>
    </row>
    <row r="371" spans="1:8" x14ac:dyDescent="0.3">
      <c r="A371" t="s">
        <v>9</v>
      </c>
      <c r="B371" t="s">
        <v>67</v>
      </c>
      <c r="C371" t="s">
        <v>12</v>
      </c>
      <c r="D371" t="s">
        <v>14</v>
      </c>
      <c r="E371" t="s">
        <v>1524</v>
      </c>
      <c r="F371" t="s">
        <v>1806</v>
      </c>
      <c r="G371" t="s">
        <v>1697</v>
      </c>
      <c r="H371" t="s">
        <v>1684</v>
      </c>
    </row>
    <row r="372" spans="1:8" x14ac:dyDescent="0.3">
      <c r="A372" t="s">
        <v>9</v>
      </c>
      <c r="B372" t="s">
        <v>67</v>
      </c>
      <c r="C372" t="s">
        <v>12</v>
      </c>
      <c r="D372" t="s">
        <v>11</v>
      </c>
      <c r="E372" t="s">
        <v>1524</v>
      </c>
      <c r="F372" t="s">
        <v>1806</v>
      </c>
      <c r="G372" t="s">
        <v>1697</v>
      </c>
      <c r="H372" t="s">
        <v>1687</v>
      </c>
    </row>
    <row r="373" spans="1:8" x14ac:dyDescent="0.3">
      <c r="A373" t="s">
        <v>9</v>
      </c>
      <c r="B373" t="s">
        <v>67</v>
      </c>
      <c r="C373" t="s">
        <v>12</v>
      </c>
      <c r="D373" t="s">
        <v>19</v>
      </c>
      <c r="E373" t="s">
        <v>1524</v>
      </c>
      <c r="F373" t="s">
        <v>1807</v>
      </c>
      <c r="G373" t="s">
        <v>1697</v>
      </c>
      <c r="H373" t="s">
        <v>1684</v>
      </c>
    </row>
    <row r="374" spans="1:8" x14ac:dyDescent="0.3">
      <c r="A374" t="s">
        <v>9</v>
      </c>
      <c r="B374" t="s">
        <v>67</v>
      </c>
      <c r="C374" t="s">
        <v>12</v>
      </c>
      <c r="D374" t="s">
        <v>17</v>
      </c>
      <c r="E374" t="s">
        <v>1524</v>
      </c>
      <c r="F374" t="s">
        <v>1696</v>
      </c>
      <c r="G374" t="s">
        <v>1697</v>
      </c>
      <c r="H374" t="s">
        <v>1684</v>
      </c>
    </row>
    <row r="375" spans="1:8" x14ac:dyDescent="0.3">
      <c r="A375" t="s">
        <v>9</v>
      </c>
      <c r="B375" t="s">
        <v>67</v>
      </c>
      <c r="C375" t="s">
        <v>12</v>
      </c>
      <c r="D375" t="s">
        <v>16</v>
      </c>
      <c r="E375" t="s">
        <v>1524</v>
      </c>
      <c r="F375" t="s">
        <v>1696</v>
      </c>
      <c r="G375" t="s">
        <v>1697</v>
      </c>
      <c r="H375" t="s">
        <v>1684</v>
      </c>
    </row>
    <row r="376" spans="1:8" x14ac:dyDescent="0.3">
      <c r="A376" t="s">
        <v>9</v>
      </c>
      <c r="B376" t="s">
        <v>67</v>
      </c>
      <c r="C376" t="s">
        <v>29</v>
      </c>
      <c r="D376" t="s">
        <v>23</v>
      </c>
      <c r="E376" t="s">
        <v>1524</v>
      </c>
      <c r="F376" t="s">
        <v>1730</v>
      </c>
      <c r="G376" t="s">
        <v>1695</v>
      </c>
      <c r="H376" t="s">
        <v>1684</v>
      </c>
    </row>
    <row r="377" spans="1:8" x14ac:dyDescent="0.3">
      <c r="A377" t="s">
        <v>9</v>
      </c>
      <c r="B377" t="s">
        <v>67</v>
      </c>
      <c r="C377" t="s">
        <v>29</v>
      </c>
      <c r="D377" t="s">
        <v>25</v>
      </c>
      <c r="E377" t="s">
        <v>1524</v>
      </c>
      <c r="F377" t="s">
        <v>1730</v>
      </c>
      <c r="G377" t="s">
        <v>1695</v>
      </c>
      <c r="H377" t="s">
        <v>1684</v>
      </c>
    </row>
    <row r="378" spans="1:8" x14ac:dyDescent="0.3">
      <c r="A378" t="s">
        <v>9</v>
      </c>
      <c r="B378" t="s">
        <v>67</v>
      </c>
      <c r="C378" t="s">
        <v>29</v>
      </c>
      <c r="D378" t="s">
        <v>24</v>
      </c>
      <c r="E378" t="s">
        <v>1524</v>
      </c>
      <c r="F378" t="s">
        <v>1730</v>
      </c>
      <c r="G378" t="s">
        <v>1695</v>
      </c>
      <c r="H378" t="s">
        <v>1684</v>
      </c>
    </row>
    <row r="379" spans="1:8" x14ac:dyDescent="0.3">
      <c r="A379" t="s">
        <v>9</v>
      </c>
      <c r="B379" t="s">
        <v>67</v>
      </c>
      <c r="C379" t="s">
        <v>29</v>
      </c>
      <c r="D379" t="s">
        <v>21</v>
      </c>
      <c r="E379" t="s">
        <v>1524</v>
      </c>
      <c r="F379" t="s">
        <v>1730</v>
      </c>
      <c r="G379" t="s">
        <v>1710</v>
      </c>
      <c r="H379" t="s">
        <v>1684</v>
      </c>
    </row>
    <row r="380" spans="1:8" x14ac:dyDescent="0.3">
      <c r="A380" t="s">
        <v>9</v>
      </c>
      <c r="B380" t="s">
        <v>67</v>
      </c>
      <c r="C380" t="s">
        <v>29</v>
      </c>
      <c r="D380" t="s">
        <v>30</v>
      </c>
      <c r="E380" t="s">
        <v>1524</v>
      </c>
      <c r="F380" t="s">
        <v>1698</v>
      </c>
      <c r="G380" t="s">
        <v>1697</v>
      </c>
      <c r="H380" t="s">
        <v>1684</v>
      </c>
    </row>
    <row r="381" spans="1:8" x14ac:dyDescent="0.3">
      <c r="A381" t="s">
        <v>9</v>
      </c>
      <c r="B381" t="s">
        <v>67</v>
      </c>
      <c r="C381" t="s">
        <v>29</v>
      </c>
      <c r="D381" t="s">
        <v>20</v>
      </c>
      <c r="E381" t="s">
        <v>1524</v>
      </c>
      <c r="F381" t="s">
        <v>1730</v>
      </c>
      <c r="G381" t="s">
        <v>1710</v>
      </c>
      <c r="H381" t="s">
        <v>1692</v>
      </c>
    </row>
    <row r="382" spans="1:8" x14ac:dyDescent="0.3">
      <c r="A382" t="s">
        <v>9</v>
      </c>
      <c r="B382" t="s">
        <v>67</v>
      </c>
      <c r="C382" t="s">
        <v>29</v>
      </c>
      <c r="D382" t="s">
        <v>26</v>
      </c>
      <c r="E382" t="s">
        <v>1524</v>
      </c>
      <c r="F382" t="s">
        <v>1698</v>
      </c>
      <c r="G382" t="s">
        <v>1695</v>
      </c>
      <c r="H382" t="s">
        <v>1684</v>
      </c>
    </row>
    <row r="383" spans="1:8" x14ac:dyDescent="0.3">
      <c r="A383" t="s">
        <v>9</v>
      </c>
      <c r="B383" t="s">
        <v>67</v>
      </c>
      <c r="C383" t="s">
        <v>29</v>
      </c>
      <c r="D383" t="s">
        <v>22</v>
      </c>
      <c r="E383" t="s">
        <v>1524</v>
      </c>
      <c r="F383" t="s">
        <v>1730</v>
      </c>
      <c r="G383" t="s">
        <v>1710</v>
      </c>
      <c r="H383" t="s">
        <v>1687</v>
      </c>
    </row>
    <row r="384" spans="1:8" x14ac:dyDescent="0.3">
      <c r="A384" t="s">
        <v>9</v>
      </c>
      <c r="B384" t="s">
        <v>67</v>
      </c>
      <c r="C384" t="s">
        <v>29</v>
      </c>
      <c r="D384" t="s">
        <v>31</v>
      </c>
      <c r="E384" t="s">
        <v>1524</v>
      </c>
      <c r="F384" t="s">
        <v>1698</v>
      </c>
      <c r="G384" t="s">
        <v>1697</v>
      </c>
      <c r="H384" t="s">
        <v>1684</v>
      </c>
    </row>
    <row r="385" spans="1:8" x14ac:dyDescent="0.3">
      <c r="A385" t="s">
        <v>9</v>
      </c>
      <c r="B385" t="s">
        <v>67</v>
      </c>
      <c r="C385" t="s">
        <v>29</v>
      </c>
      <c r="D385" t="s">
        <v>27</v>
      </c>
      <c r="E385" t="s">
        <v>1524</v>
      </c>
      <c r="F385" t="s">
        <v>1706</v>
      </c>
      <c r="G385" t="s">
        <v>1697</v>
      </c>
      <c r="H385" t="s">
        <v>1684</v>
      </c>
    </row>
    <row r="386" spans="1:8" x14ac:dyDescent="0.3">
      <c r="A386" t="s">
        <v>9</v>
      </c>
      <c r="B386" t="s">
        <v>67</v>
      </c>
      <c r="C386" t="s">
        <v>29</v>
      </c>
      <c r="D386" t="s">
        <v>28</v>
      </c>
      <c r="E386" t="s">
        <v>1524</v>
      </c>
      <c r="F386" t="s">
        <v>1706</v>
      </c>
      <c r="G386" t="s">
        <v>1697</v>
      </c>
      <c r="H386" t="s">
        <v>1684</v>
      </c>
    </row>
    <row r="387" spans="1:8" x14ac:dyDescent="0.3">
      <c r="A387" t="s">
        <v>43</v>
      </c>
      <c r="B387" t="s">
        <v>44</v>
      </c>
      <c r="C387" t="s">
        <v>12</v>
      </c>
      <c r="D387" t="s">
        <v>15</v>
      </c>
      <c r="E387" t="s">
        <v>1524</v>
      </c>
      <c r="F387" t="s">
        <v>1808</v>
      </c>
      <c r="G387" t="s">
        <v>1697</v>
      </c>
      <c r="H387" t="s">
        <v>1687</v>
      </c>
    </row>
    <row r="388" spans="1:8" x14ac:dyDescent="0.3">
      <c r="A388" t="s">
        <v>43</v>
      </c>
      <c r="B388" t="s">
        <v>44</v>
      </c>
      <c r="C388" t="s">
        <v>12</v>
      </c>
      <c r="D388" t="s">
        <v>14</v>
      </c>
      <c r="E388" t="s">
        <v>1524</v>
      </c>
      <c r="F388" t="s">
        <v>1808</v>
      </c>
      <c r="G388" t="s">
        <v>1697</v>
      </c>
      <c r="H388" t="s">
        <v>1687</v>
      </c>
    </row>
    <row r="389" spans="1:8" x14ac:dyDescent="0.3">
      <c r="A389" t="s">
        <v>43</v>
      </c>
      <c r="B389" t="s">
        <v>44</v>
      </c>
      <c r="C389" t="s">
        <v>12</v>
      </c>
      <c r="D389" t="s">
        <v>11</v>
      </c>
      <c r="E389" t="s">
        <v>1524</v>
      </c>
      <c r="F389" t="s">
        <v>1794</v>
      </c>
      <c r="G389" t="s">
        <v>1719</v>
      </c>
      <c r="H389" t="s">
        <v>1687</v>
      </c>
    </row>
    <row r="390" spans="1:8" x14ac:dyDescent="0.3">
      <c r="A390" t="s">
        <v>43</v>
      </c>
      <c r="B390" t="s">
        <v>44</v>
      </c>
      <c r="C390" t="s">
        <v>12</v>
      </c>
      <c r="D390" t="s">
        <v>19</v>
      </c>
      <c r="E390" t="s">
        <v>1524</v>
      </c>
      <c r="F390" t="s">
        <v>1730</v>
      </c>
      <c r="G390" t="s">
        <v>1695</v>
      </c>
      <c r="H390" t="s">
        <v>1686</v>
      </c>
    </row>
    <row r="391" spans="1:8" x14ac:dyDescent="0.3">
      <c r="A391" t="s">
        <v>43</v>
      </c>
      <c r="B391" t="s">
        <v>44</v>
      </c>
      <c r="C391" t="s">
        <v>12</v>
      </c>
      <c r="D391" t="s">
        <v>17</v>
      </c>
      <c r="E391" t="s">
        <v>1524</v>
      </c>
      <c r="F391" t="s">
        <v>1795</v>
      </c>
      <c r="G391" t="s">
        <v>1719</v>
      </c>
      <c r="H391" t="s">
        <v>1688</v>
      </c>
    </row>
    <row r="392" spans="1:8" x14ac:dyDescent="0.3">
      <c r="A392" t="s">
        <v>43</v>
      </c>
      <c r="B392" t="s">
        <v>44</v>
      </c>
      <c r="C392" t="s">
        <v>12</v>
      </c>
      <c r="D392" t="s">
        <v>16</v>
      </c>
      <c r="E392" t="s">
        <v>1524</v>
      </c>
      <c r="F392" t="s">
        <v>1809</v>
      </c>
      <c r="G392" t="s">
        <v>1695</v>
      </c>
      <c r="H392" t="s">
        <v>1686</v>
      </c>
    </row>
    <row r="393" spans="1:8" x14ac:dyDescent="0.3">
      <c r="A393" t="s">
        <v>43</v>
      </c>
      <c r="B393" t="s">
        <v>44</v>
      </c>
      <c r="C393" t="s">
        <v>12</v>
      </c>
      <c r="D393" t="s">
        <v>20</v>
      </c>
      <c r="E393" t="s">
        <v>1524</v>
      </c>
      <c r="F393" t="s">
        <v>1730</v>
      </c>
      <c r="G393" t="s">
        <v>1695</v>
      </c>
      <c r="H393" t="s">
        <v>1686</v>
      </c>
    </row>
    <row r="394" spans="1:8" x14ac:dyDescent="0.3">
      <c r="A394" t="s">
        <v>43</v>
      </c>
      <c r="B394" t="s">
        <v>44</v>
      </c>
      <c r="C394" t="s">
        <v>29</v>
      </c>
      <c r="D394" t="s">
        <v>23</v>
      </c>
      <c r="E394" t="s">
        <v>1524</v>
      </c>
      <c r="F394" t="s">
        <v>1709</v>
      </c>
      <c r="G394" t="s">
        <v>1697</v>
      </c>
      <c r="H394" t="s">
        <v>1684</v>
      </c>
    </row>
    <row r="395" spans="1:8" x14ac:dyDescent="0.3">
      <c r="A395" t="s">
        <v>43</v>
      </c>
      <c r="B395" t="s">
        <v>44</v>
      </c>
      <c r="C395" t="s">
        <v>29</v>
      </c>
      <c r="D395" t="s">
        <v>25</v>
      </c>
      <c r="E395" t="s">
        <v>1524</v>
      </c>
      <c r="F395" t="s">
        <v>1698</v>
      </c>
      <c r="G395" t="s">
        <v>1697</v>
      </c>
      <c r="H395" t="s">
        <v>1686</v>
      </c>
    </row>
    <row r="396" spans="1:8" x14ac:dyDescent="0.3">
      <c r="A396" t="s">
        <v>43</v>
      </c>
      <c r="B396" t="s">
        <v>44</v>
      </c>
      <c r="C396" t="s">
        <v>29</v>
      </c>
      <c r="D396" t="s">
        <v>24</v>
      </c>
      <c r="E396" t="s">
        <v>1524</v>
      </c>
      <c r="F396" t="s">
        <v>1797</v>
      </c>
      <c r="G396" t="s">
        <v>1695</v>
      </c>
      <c r="H396" t="s">
        <v>1692</v>
      </c>
    </row>
    <row r="397" spans="1:8" x14ac:dyDescent="0.3">
      <c r="A397" t="s">
        <v>43</v>
      </c>
      <c r="B397" t="s">
        <v>44</v>
      </c>
      <c r="C397" t="s">
        <v>29</v>
      </c>
      <c r="D397" t="s">
        <v>21</v>
      </c>
      <c r="E397" t="s">
        <v>1524</v>
      </c>
      <c r="F397" t="s">
        <v>1730</v>
      </c>
      <c r="G397" t="s">
        <v>1710</v>
      </c>
      <c r="H397" t="s">
        <v>1692</v>
      </c>
    </row>
    <row r="398" spans="1:8" x14ac:dyDescent="0.3">
      <c r="A398" t="s">
        <v>43</v>
      </c>
      <c r="B398" t="s">
        <v>44</v>
      </c>
      <c r="C398" t="s">
        <v>29</v>
      </c>
      <c r="D398" t="s">
        <v>22</v>
      </c>
      <c r="E398" t="s">
        <v>1524</v>
      </c>
      <c r="F398" t="s">
        <v>1730</v>
      </c>
      <c r="G398" t="s">
        <v>1695</v>
      </c>
      <c r="H398" t="s">
        <v>1684</v>
      </c>
    </row>
    <row r="399" spans="1:8" x14ac:dyDescent="0.3">
      <c r="A399" t="s">
        <v>45</v>
      </c>
      <c r="B399" t="s">
        <v>75</v>
      </c>
      <c r="C399" t="s">
        <v>12</v>
      </c>
      <c r="D399" t="s">
        <v>15</v>
      </c>
      <c r="E399" t="s">
        <v>1524</v>
      </c>
      <c r="F399" t="s">
        <v>1770</v>
      </c>
      <c r="G399" t="s">
        <v>1699</v>
      </c>
      <c r="H399" t="s">
        <v>1693</v>
      </c>
    </row>
    <row r="400" spans="1:8" x14ac:dyDescent="0.3">
      <c r="A400" t="s">
        <v>45</v>
      </c>
      <c r="B400" t="s">
        <v>75</v>
      </c>
      <c r="C400" t="s">
        <v>12</v>
      </c>
      <c r="D400" t="s">
        <v>14</v>
      </c>
      <c r="E400" t="s">
        <v>1524</v>
      </c>
      <c r="F400" t="s">
        <v>1809</v>
      </c>
      <c r="G400" t="s">
        <v>1707</v>
      </c>
      <c r="H400" t="s">
        <v>1693</v>
      </c>
    </row>
    <row r="401" spans="1:8" x14ac:dyDescent="0.3">
      <c r="A401" t="s">
        <v>45</v>
      </c>
      <c r="B401" t="s">
        <v>75</v>
      </c>
      <c r="C401" t="s">
        <v>12</v>
      </c>
      <c r="D401" t="s">
        <v>11</v>
      </c>
      <c r="E401" t="s">
        <v>1524</v>
      </c>
      <c r="F401" t="s">
        <v>1809</v>
      </c>
      <c r="G401" t="s">
        <v>1699</v>
      </c>
      <c r="H401" t="s">
        <v>1693</v>
      </c>
    </row>
    <row r="402" spans="1:8" x14ac:dyDescent="0.3">
      <c r="A402" t="s">
        <v>45</v>
      </c>
      <c r="B402" t="s">
        <v>75</v>
      </c>
      <c r="C402" t="s">
        <v>12</v>
      </c>
      <c r="D402" t="s">
        <v>19</v>
      </c>
      <c r="E402" t="s">
        <v>1524</v>
      </c>
      <c r="F402" t="s">
        <v>1724</v>
      </c>
      <c r="G402" t="s">
        <v>1699</v>
      </c>
      <c r="H402" t="s">
        <v>1687</v>
      </c>
    </row>
    <row r="403" spans="1:8" x14ac:dyDescent="0.3">
      <c r="A403" t="s">
        <v>45</v>
      </c>
      <c r="B403" t="s">
        <v>75</v>
      </c>
      <c r="C403" t="s">
        <v>12</v>
      </c>
      <c r="D403" t="s">
        <v>17</v>
      </c>
      <c r="E403" t="s">
        <v>1524</v>
      </c>
      <c r="F403" t="s">
        <v>1809</v>
      </c>
      <c r="G403" t="s">
        <v>1699</v>
      </c>
      <c r="H403" t="s">
        <v>1693</v>
      </c>
    </row>
    <row r="404" spans="1:8" x14ac:dyDescent="0.3">
      <c r="A404" t="s">
        <v>45</v>
      </c>
      <c r="B404" t="s">
        <v>75</v>
      </c>
      <c r="C404" t="s">
        <v>12</v>
      </c>
      <c r="D404" t="s">
        <v>16</v>
      </c>
      <c r="E404" t="s">
        <v>1524</v>
      </c>
      <c r="F404" t="s">
        <v>1724</v>
      </c>
      <c r="G404" t="s">
        <v>1699</v>
      </c>
      <c r="H404" t="s">
        <v>1687</v>
      </c>
    </row>
    <row r="405" spans="1:8" x14ac:dyDescent="0.3">
      <c r="A405" t="s">
        <v>45</v>
      </c>
      <c r="B405" t="s">
        <v>75</v>
      </c>
      <c r="C405" t="s">
        <v>12</v>
      </c>
      <c r="D405" t="s">
        <v>20</v>
      </c>
      <c r="E405" t="s">
        <v>1524</v>
      </c>
      <c r="F405" t="s">
        <v>1809</v>
      </c>
      <c r="G405" t="s">
        <v>1699</v>
      </c>
      <c r="H405" t="s">
        <v>1686</v>
      </c>
    </row>
    <row r="406" spans="1:8" x14ac:dyDescent="0.3">
      <c r="A406" t="s">
        <v>45</v>
      </c>
      <c r="B406" t="s">
        <v>75</v>
      </c>
      <c r="C406" t="s">
        <v>29</v>
      </c>
      <c r="D406" t="s">
        <v>23</v>
      </c>
      <c r="E406" t="s">
        <v>1524</v>
      </c>
      <c r="F406" t="s">
        <v>1809</v>
      </c>
      <c r="G406" t="s">
        <v>1699</v>
      </c>
      <c r="H406" t="s">
        <v>1685</v>
      </c>
    </row>
    <row r="407" spans="1:8" x14ac:dyDescent="0.3">
      <c r="A407" t="s">
        <v>45</v>
      </c>
      <c r="B407" t="s">
        <v>75</v>
      </c>
      <c r="C407" t="s">
        <v>29</v>
      </c>
      <c r="D407" t="s">
        <v>25</v>
      </c>
      <c r="E407" t="s">
        <v>1524</v>
      </c>
      <c r="F407" t="s">
        <v>1810</v>
      </c>
      <c r="G407" t="s">
        <v>1707</v>
      </c>
      <c r="H407" t="s">
        <v>1688</v>
      </c>
    </row>
    <row r="408" spans="1:8" x14ac:dyDescent="0.3">
      <c r="A408" t="s">
        <v>45</v>
      </c>
      <c r="B408" t="s">
        <v>75</v>
      </c>
      <c r="C408" t="s">
        <v>29</v>
      </c>
      <c r="D408" t="s">
        <v>24</v>
      </c>
      <c r="E408" t="s">
        <v>1524</v>
      </c>
      <c r="F408" t="s">
        <v>1724</v>
      </c>
      <c r="G408" t="s">
        <v>1699</v>
      </c>
      <c r="H408" t="s">
        <v>1687</v>
      </c>
    </row>
    <row r="409" spans="1:8" x14ac:dyDescent="0.3">
      <c r="A409" t="s">
        <v>45</v>
      </c>
      <c r="B409" t="s">
        <v>75</v>
      </c>
      <c r="C409" t="s">
        <v>29</v>
      </c>
      <c r="D409" t="s">
        <v>21</v>
      </c>
      <c r="E409" t="s">
        <v>1524</v>
      </c>
      <c r="F409" t="s">
        <v>1809</v>
      </c>
      <c r="G409" t="s">
        <v>1699</v>
      </c>
      <c r="H409" t="s">
        <v>1693</v>
      </c>
    </row>
    <row r="410" spans="1:8" x14ac:dyDescent="0.3">
      <c r="A410" t="s">
        <v>45</v>
      </c>
      <c r="B410" t="s">
        <v>75</v>
      </c>
      <c r="C410" t="s">
        <v>29</v>
      </c>
      <c r="D410" t="s">
        <v>30</v>
      </c>
      <c r="E410" t="s">
        <v>1524</v>
      </c>
      <c r="F410" t="s">
        <v>1698</v>
      </c>
      <c r="G410" t="s">
        <v>1699</v>
      </c>
      <c r="H410" t="s">
        <v>1688</v>
      </c>
    </row>
    <row r="411" spans="1:8" x14ac:dyDescent="0.3">
      <c r="A411" t="s">
        <v>45</v>
      </c>
      <c r="B411" t="s">
        <v>75</v>
      </c>
      <c r="C411" t="s">
        <v>29</v>
      </c>
      <c r="D411" t="s">
        <v>26</v>
      </c>
      <c r="E411" t="s">
        <v>1524</v>
      </c>
      <c r="F411" t="s">
        <v>1809</v>
      </c>
      <c r="G411" t="s">
        <v>1699</v>
      </c>
      <c r="H411" t="s">
        <v>1684</v>
      </c>
    </row>
    <row r="412" spans="1:8" x14ac:dyDescent="0.3">
      <c r="A412" t="s">
        <v>45</v>
      </c>
      <c r="B412" t="s">
        <v>75</v>
      </c>
      <c r="C412" t="s">
        <v>29</v>
      </c>
      <c r="D412" t="s">
        <v>22</v>
      </c>
      <c r="E412" t="s">
        <v>1524</v>
      </c>
      <c r="F412" t="s">
        <v>1809</v>
      </c>
      <c r="G412" t="s">
        <v>1707</v>
      </c>
      <c r="H412" t="s">
        <v>1686</v>
      </c>
    </row>
    <row r="413" spans="1:8" x14ac:dyDescent="0.3">
      <c r="A413" t="s">
        <v>45</v>
      </c>
      <c r="B413" t="s">
        <v>75</v>
      </c>
      <c r="C413" t="s">
        <v>29</v>
      </c>
      <c r="D413" t="s">
        <v>27</v>
      </c>
      <c r="E413" t="s">
        <v>1524</v>
      </c>
      <c r="F413" t="s">
        <v>1698</v>
      </c>
      <c r="G413" t="s">
        <v>1732</v>
      </c>
      <c r="H413" t="s">
        <v>1688</v>
      </c>
    </row>
    <row r="414" spans="1:8" x14ac:dyDescent="0.3">
      <c r="A414" t="s">
        <v>45</v>
      </c>
      <c r="B414" t="s">
        <v>75</v>
      </c>
      <c r="C414" t="s">
        <v>29</v>
      </c>
      <c r="D414" t="s">
        <v>28</v>
      </c>
      <c r="E414" t="s">
        <v>1524</v>
      </c>
      <c r="F414" t="s">
        <v>1698</v>
      </c>
      <c r="G414" t="s">
        <v>1732</v>
      </c>
      <c r="H414" t="s">
        <v>1688</v>
      </c>
    </row>
    <row r="415" spans="1:8" x14ac:dyDescent="0.3">
      <c r="A415" t="s">
        <v>43</v>
      </c>
      <c r="B415" t="s">
        <v>71</v>
      </c>
      <c r="C415" t="s">
        <v>12</v>
      </c>
      <c r="D415" t="s">
        <v>14</v>
      </c>
      <c r="E415" t="s">
        <v>1524</v>
      </c>
      <c r="F415" t="s">
        <v>1718</v>
      </c>
      <c r="G415" t="s">
        <v>1695</v>
      </c>
      <c r="H415" t="s">
        <v>1684</v>
      </c>
    </row>
    <row r="416" spans="1:8" x14ac:dyDescent="0.3">
      <c r="A416" t="s">
        <v>43</v>
      </c>
      <c r="B416" t="s">
        <v>71</v>
      </c>
      <c r="C416" t="s">
        <v>12</v>
      </c>
      <c r="D416" t="s">
        <v>11</v>
      </c>
      <c r="E416" t="s">
        <v>1524</v>
      </c>
      <c r="F416" t="s">
        <v>1718</v>
      </c>
      <c r="G416" t="s">
        <v>1695</v>
      </c>
      <c r="H416" t="s">
        <v>1687</v>
      </c>
    </row>
    <row r="417" spans="1:8" x14ac:dyDescent="0.3">
      <c r="A417" t="s">
        <v>43</v>
      </c>
      <c r="B417" t="s">
        <v>71</v>
      </c>
      <c r="C417" t="s">
        <v>29</v>
      </c>
      <c r="D417" t="s">
        <v>15</v>
      </c>
      <c r="E417" t="s">
        <v>1524</v>
      </c>
      <c r="F417" t="s">
        <v>1698</v>
      </c>
      <c r="G417" t="s">
        <v>1695</v>
      </c>
      <c r="H417" t="s">
        <v>1684</v>
      </c>
    </row>
    <row r="418" spans="1:8" x14ac:dyDescent="0.3">
      <c r="A418" t="s">
        <v>43</v>
      </c>
      <c r="B418" t="s">
        <v>71</v>
      </c>
      <c r="C418" t="s">
        <v>29</v>
      </c>
      <c r="D418" t="s">
        <v>19</v>
      </c>
      <c r="E418" t="s">
        <v>1524</v>
      </c>
      <c r="F418" t="s">
        <v>1760</v>
      </c>
      <c r="G418" t="s">
        <v>1697</v>
      </c>
      <c r="H418" t="s">
        <v>1692</v>
      </c>
    </row>
    <row r="419" spans="1:8" x14ac:dyDescent="0.3">
      <c r="A419" t="s">
        <v>43</v>
      </c>
      <c r="B419" t="s">
        <v>71</v>
      </c>
      <c r="C419" t="s">
        <v>29</v>
      </c>
      <c r="D419" t="s">
        <v>17</v>
      </c>
      <c r="E419" t="s">
        <v>1524</v>
      </c>
      <c r="F419" t="s">
        <v>1760</v>
      </c>
      <c r="G419" t="s">
        <v>1697</v>
      </c>
      <c r="H419" t="s">
        <v>1692</v>
      </c>
    </row>
    <row r="420" spans="1:8" x14ac:dyDescent="0.3">
      <c r="A420" t="s">
        <v>43</v>
      </c>
      <c r="B420" t="s">
        <v>71</v>
      </c>
      <c r="C420" t="s">
        <v>29</v>
      </c>
      <c r="D420" t="s">
        <v>16</v>
      </c>
      <c r="E420" t="s">
        <v>1524</v>
      </c>
      <c r="F420" t="s">
        <v>1760</v>
      </c>
      <c r="G420" t="s">
        <v>1697</v>
      </c>
      <c r="H420" t="s">
        <v>1692</v>
      </c>
    </row>
    <row r="421" spans="1:8" x14ac:dyDescent="0.3">
      <c r="A421" t="s">
        <v>43</v>
      </c>
      <c r="B421" t="s">
        <v>71</v>
      </c>
      <c r="C421" t="s">
        <v>29</v>
      </c>
      <c r="D421" t="s">
        <v>20</v>
      </c>
      <c r="E421" t="s">
        <v>1524</v>
      </c>
      <c r="F421" t="s">
        <v>1760</v>
      </c>
      <c r="G421" t="s">
        <v>1697</v>
      </c>
      <c r="H421" t="s">
        <v>1692</v>
      </c>
    </row>
    <row r="422" spans="1:8" x14ac:dyDescent="0.3">
      <c r="A422" t="s">
        <v>9</v>
      </c>
      <c r="B422" t="s">
        <v>74</v>
      </c>
      <c r="C422" t="s">
        <v>12</v>
      </c>
      <c r="D422" t="s">
        <v>15</v>
      </c>
      <c r="E422" t="s">
        <v>1524</v>
      </c>
      <c r="F422" t="s">
        <v>1811</v>
      </c>
      <c r="G422" t="s">
        <v>1697</v>
      </c>
      <c r="H422" t="s">
        <v>1686</v>
      </c>
    </row>
    <row r="423" spans="1:8" x14ac:dyDescent="0.3">
      <c r="A423" t="s">
        <v>9</v>
      </c>
      <c r="B423" t="s">
        <v>74</v>
      </c>
      <c r="C423" t="s">
        <v>12</v>
      </c>
      <c r="D423" t="s">
        <v>14</v>
      </c>
      <c r="E423" t="s">
        <v>1524</v>
      </c>
      <c r="F423" t="s">
        <v>1812</v>
      </c>
      <c r="G423" t="s">
        <v>1697</v>
      </c>
      <c r="H423" t="s">
        <v>1686</v>
      </c>
    </row>
    <row r="424" spans="1:8" x14ac:dyDescent="0.3">
      <c r="A424" t="s">
        <v>9</v>
      </c>
      <c r="B424" t="s">
        <v>74</v>
      </c>
      <c r="C424" t="s">
        <v>12</v>
      </c>
      <c r="D424" t="s">
        <v>11</v>
      </c>
      <c r="E424" t="s">
        <v>1524</v>
      </c>
      <c r="F424" t="s">
        <v>1724</v>
      </c>
      <c r="G424" t="s">
        <v>1707</v>
      </c>
      <c r="H424" t="s">
        <v>1688</v>
      </c>
    </row>
    <row r="425" spans="1:8" x14ac:dyDescent="0.3">
      <c r="A425" t="s">
        <v>9</v>
      </c>
      <c r="B425" t="s">
        <v>74</v>
      </c>
      <c r="C425" t="s">
        <v>12</v>
      </c>
      <c r="D425" t="s">
        <v>17</v>
      </c>
      <c r="E425" t="s">
        <v>1524</v>
      </c>
      <c r="F425" t="s">
        <v>1813</v>
      </c>
      <c r="G425" t="s">
        <v>1707</v>
      </c>
      <c r="H425" t="s">
        <v>1686</v>
      </c>
    </row>
    <row r="426" spans="1:8" x14ac:dyDescent="0.3">
      <c r="A426" t="s">
        <v>9</v>
      </c>
      <c r="B426" t="s">
        <v>74</v>
      </c>
      <c r="C426" t="s">
        <v>12</v>
      </c>
      <c r="D426" t="s">
        <v>16</v>
      </c>
      <c r="E426" t="s">
        <v>1524</v>
      </c>
      <c r="F426" t="s">
        <v>1813</v>
      </c>
      <c r="G426" t="s">
        <v>1707</v>
      </c>
      <c r="H426" t="s">
        <v>1686</v>
      </c>
    </row>
    <row r="427" spans="1:8" x14ac:dyDescent="0.3">
      <c r="A427" t="s">
        <v>9</v>
      </c>
      <c r="B427" t="s">
        <v>74</v>
      </c>
      <c r="C427" t="s">
        <v>29</v>
      </c>
      <c r="D427" t="s">
        <v>23</v>
      </c>
      <c r="E427" t="s">
        <v>1524</v>
      </c>
      <c r="F427" t="s">
        <v>1720</v>
      </c>
      <c r="G427" t="s">
        <v>1695</v>
      </c>
      <c r="H427" t="s">
        <v>1686</v>
      </c>
    </row>
    <row r="428" spans="1:8" x14ac:dyDescent="0.3">
      <c r="A428" t="s">
        <v>9</v>
      </c>
      <c r="B428" t="s">
        <v>74</v>
      </c>
      <c r="C428" t="s">
        <v>29</v>
      </c>
      <c r="D428" t="s">
        <v>24</v>
      </c>
      <c r="E428" t="s">
        <v>1524</v>
      </c>
      <c r="F428" t="s">
        <v>1720</v>
      </c>
      <c r="G428" t="s">
        <v>1695</v>
      </c>
      <c r="H428" t="s">
        <v>1684</v>
      </c>
    </row>
    <row r="429" spans="1:8" x14ac:dyDescent="0.3">
      <c r="A429" t="s">
        <v>9</v>
      </c>
      <c r="B429" t="s">
        <v>74</v>
      </c>
      <c r="C429" t="s">
        <v>29</v>
      </c>
      <c r="D429" t="s">
        <v>21</v>
      </c>
      <c r="E429" t="s">
        <v>1524</v>
      </c>
      <c r="F429" t="s">
        <v>1698</v>
      </c>
      <c r="G429" t="s">
        <v>1707</v>
      </c>
      <c r="H429" t="s">
        <v>1686</v>
      </c>
    </row>
    <row r="430" spans="1:8" x14ac:dyDescent="0.3">
      <c r="A430" t="s">
        <v>9</v>
      </c>
      <c r="B430" t="s">
        <v>74</v>
      </c>
      <c r="C430" t="s">
        <v>29</v>
      </c>
      <c r="D430" t="s">
        <v>19</v>
      </c>
      <c r="E430" t="s">
        <v>1524</v>
      </c>
      <c r="F430" t="s">
        <v>1698</v>
      </c>
      <c r="G430" t="s">
        <v>1707</v>
      </c>
      <c r="H430" t="s">
        <v>1686</v>
      </c>
    </row>
    <row r="431" spans="1:8" x14ac:dyDescent="0.3">
      <c r="A431" t="s">
        <v>9</v>
      </c>
      <c r="B431" t="s">
        <v>74</v>
      </c>
      <c r="C431" t="s">
        <v>29</v>
      </c>
      <c r="D431" t="s">
        <v>20</v>
      </c>
      <c r="E431" t="s">
        <v>1524</v>
      </c>
      <c r="F431" t="s">
        <v>1698</v>
      </c>
      <c r="G431" t="s">
        <v>1707</v>
      </c>
      <c r="H431" t="s">
        <v>1686</v>
      </c>
    </row>
    <row r="432" spans="1:8" x14ac:dyDescent="0.3">
      <c r="A432" t="s">
        <v>9</v>
      </c>
      <c r="B432" t="s">
        <v>74</v>
      </c>
      <c r="C432" t="s">
        <v>29</v>
      </c>
      <c r="D432" t="s">
        <v>22</v>
      </c>
      <c r="E432" t="s">
        <v>1524</v>
      </c>
      <c r="F432" t="s">
        <v>1720</v>
      </c>
      <c r="G432" t="s">
        <v>1695</v>
      </c>
      <c r="H432" t="s">
        <v>1686</v>
      </c>
    </row>
    <row r="433" spans="1:8" x14ac:dyDescent="0.3">
      <c r="A433" t="s">
        <v>45</v>
      </c>
      <c r="B433" t="s">
        <v>51</v>
      </c>
      <c r="C433" t="s">
        <v>12</v>
      </c>
      <c r="D433" t="s">
        <v>15</v>
      </c>
      <c r="E433" t="s">
        <v>1524</v>
      </c>
      <c r="F433" t="s">
        <v>1698</v>
      </c>
      <c r="G433" t="s">
        <v>1695</v>
      </c>
      <c r="H433" t="s">
        <v>1684</v>
      </c>
    </row>
    <row r="434" spans="1:8" x14ac:dyDescent="0.3">
      <c r="A434" t="s">
        <v>45</v>
      </c>
      <c r="B434" t="s">
        <v>51</v>
      </c>
      <c r="C434" t="s">
        <v>12</v>
      </c>
      <c r="D434" t="s">
        <v>14</v>
      </c>
      <c r="E434" t="s">
        <v>1524</v>
      </c>
      <c r="F434" t="s">
        <v>1698</v>
      </c>
      <c r="G434" t="s">
        <v>1695</v>
      </c>
      <c r="H434" t="s">
        <v>1684</v>
      </c>
    </row>
    <row r="435" spans="1:8" x14ac:dyDescent="0.3">
      <c r="A435" t="s">
        <v>45</v>
      </c>
      <c r="B435" t="s">
        <v>51</v>
      </c>
      <c r="C435" t="s">
        <v>12</v>
      </c>
      <c r="D435" t="s">
        <v>11</v>
      </c>
      <c r="E435" t="s">
        <v>1524</v>
      </c>
      <c r="F435" t="s">
        <v>1698</v>
      </c>
      <c r="G435" t="s">
        <v>1695</v>
      </c>
      <c r="H435" t="s">
        <v>1684</v>
      </c>
    </row>
    <row r="436" spans="1:8" x14ac:dyDescent="0.3">
      <c r="A436" t="s">
        <v>45</v>
      </c>
      <c r="B436" t="s">
        <v>51</v>
      </c>
      <c r="C436" t="s">
        <v>12</v>
      </c>
      <c r="D436" t="s">
        <v>21</v>
      </c>
      <c r="E436" t="s">
        <v>1524</v>
      </c>
      <c r="F436" t="s">
        <v>1698</v>
      </c>
      <c r="G436" t="s">
        <v>1695</v>
      </c>
      <c r="H436" t="s">
        <v>1685</v>
      </c>
    </row>
    <row r="437" spans="1:8" x14ac:dyDescent="0.3">
      <c r="A437" t="s">
        <v>45</v>
      </c>
      <c r="B437" t="s">
        <v>51</v>
      </c>
      <c r="C437" t="s">
        <v>12</v>
      </c>
      <c r="D437" t="s">
        <v>19</v>
      </c>
      <c r="E437" t="s">
        <v>1524</v>
      </c>
      <c r="F437" t="s">
        <v>1698</v>
      </c>
      <c r="G437" t="s">
        <v>1695</v>
      </c>
      <c r="H437" t="s">
        <v>1685</v>
      </c>
    </row>
    <row r="438" spans="1:8" x14ac:dyDescent="0.3">
      <c r="A438" t="s">
        <v>45</v>
      </c>
      <c r="B438" t="s">
        <v>51</v>
      </c>
      <c r="C438" t="s">
        <v>12</v>
      </c>
      <c r="D438" t="s">
        <v>17</v>
      </c>
      <c r="E438" t="s">
        <v>1524</v>
      </c>
      <c r="F438" t="s">
        <v>1698</v>
      </c>
      <c r="G438" t="s">
        <v>1695</v>
      </c>
      <c r="H438" t="s">
        <v>1685</v>
      </c>
    </row>
    <row r="439" spans="1:8" x14ac:dyDescent="0.3">
      <c r="A439" t="s">
        <v>45</v>
      </c>
      <c r="B439" t="s">
        <v>51</v>
      </c>
      <c r="C439" t="s">
        <v>12</v>
      </c>
      <c r="D439" t="s">
        <v>16</v>
      </c>
      <c r="E439" t="s">
        <v>1524</v>
      </c>
      <c r="F439" t="s">
        <v>1698</v>
      </c>
      <c r="G439" t="s">
        <v>1695</v>
      </c>
      <c r="H439" t="s">
        <v>1685</v>
      </c>
    </row>
    <row r="440" spans="1:8" x14ac:dyDescent="0.3">
      <c r="A440" t="s">
        <v>45</v>
      </c>
      <c r="B440" t="s">
        <v>51</v>
      </c>
      <c r="C440" t="s">
        <v>12</v>
      </c>
      <c r="D440" t="s">
        <v>20</v>
      </c>
      <c r="E440" t="s">
        <v>1524</v>
      </c>
      <c r="F440" t="s">
        <v>1698</v>
      </c>
      <c r="G440" t="s">
        <v>1710</v>
      </c>
      <c r="H440" t="s">
        <v>1690</v>
      </c>
    </row>
    <row r="441" spans="1:8" x14ac:dyDescent="0.3">
      <c r="A441" t="s">
        <v>45</v>
      </c>
      <c r="B441" t="s">
        <v>51</v>
      </c>
      <c r="C441" t="s">
        <v>12</v>
      </c>
      <c r="D441" t="s">
        <v>22</v>
      </c>
      <c r="E441" t="s">
        <v>1524</v>
      </c>
      <c r="F441" t="s">
        <v>1698</v>
      </c>
      <c r="G441" t="s">
        <v>1695</v>
      </c>
      <c r="H441" t="s">
        <v>1685</v>
      </c>
    </row>
    <row r="442" spans="1:8" x14ac:dyDescent="0.3">
      <c r="A442" t="s">
        <v>45</v>
      </c>
      <c r="B442" t="s">
        <v>51</v>
      </c>
      <c r="C442" t="s">
        <v>29</v>
      </c>
      <c r="D442" t="s">
        <v>23</v>
      </c>
      <c r="E442" t="s">
        <v>1524</v>
      </c>
      <c r="F442" t="s">
        <v>1698</v>
      </c>
      <c r="G442" t="s">
        <v>1695</v>
      </c>
      <c r="H442" t="s">
        <v>1685</v>
      </c>
    </row>
    <row r="443" spans="1:8" x14ac:dyDescent="0.3">
      <c r="A443" t="s">
        <v>45</v>
      </c>
      <c r="B443" t="s">
        <v>51</v>
      </c>
      <c r="C443" t="s">
        <v>29</v>
      </c>
      <c r="D443" t="s">
        <v>25</v>
      </c>
      <c r="E443" t="s">
        <v>1524</v>
      </c>
      <c r="F443" t="s">
        <v>1814</v>
      </c>
      <c r="G443" t="s">
        <v>1695</v>
      </c>
      <c r="H443" t="s">
        <v>1685</v>
      </c>
    </row>
    <row r="444" spans="1:8" x14ac:dyDescent="0.3">
      <c r="A444" t="s">
        <v>45</v>
      </c>
      <c r="B444" t="s">
        <v>51</v>
      </c>
      <c r="C444" t="s">
        <v>29</v>
      </c>
      <c r="D444" t="s">
        <v>24</v>
      </c>
      <c r="E444" t="s">
        <v>1524</v>
      </c>
      <c r="F444" t="s">
        <v>1698</v>
      </c>
      <c r="G444" t="s">
        <v>1695</v>
      </c>
      <c r="H444" t="s">
        <v>1685</v>
      </c>
    </row>
    <row r="445" spans="1:8" x14ac:dyDescent="0.3">
      <c r="A445" t="s">
        <v>45</v>
      </c>
      <c r="B445" t="s">
        <v>51</v>
      </c>
      <c r="C445" t="s">
        <v>29</v>
      </c>
      <c r="D445" t="s">
        <v>32</v>
      </c>
      <c r="E445" t="s">
        <v>1524</v>
      </c>
      <c r="F445" t="s">
        <v>1698</v>
      </c>
      <c r="G445" t="s">
        <v>1695</v>
      </c>
      <c r="H445" t="s">
        <v>1685</v>
      </c>
    </row>
    <row r="446" spans="1:8" x14ac:dyDescent="0.3">
      <c r="A446" t="s">
        <v>45</v>
      </c>
      <c r="B446" t="s">
        <v>51</v>
      </c>
      <c r="C446" t="s">
        <v>29</v>
      </c>
      <c r="D446" t="s">
        <v>30</v>
      </c>
      <c r="E446" t="s">
        <v>1524</v>
      </c>
      <c r="F446" t="s">
        <v>1698</v>
      </c>
      <c r="G446" t="s">
        <v>1695</v>
      </c>
      <c r="H446" t="s">
        <v>1685</v>
      </c>
    </row>
    <row r="447" spans="1:8" x14ac:dyDescent="0.3">
      <c r="A447" t="s">
        <v>45</v>
      </c>
      <c r="B447" t="s">
        <v>51</v>
      </c>
      <c r="C447" t="s">
        <v>29</v>
      </c>
      <c r="D447" t="s">
        <v>33</v>
      </c>
      <c r="E447" t="s">
        <v>1524</v>
      </c>
      <c r="F447" t="s">
        <v>1698</v>
      </c>
      <c r="G447" t="s">
        <v>1695</v>
      </c>
      <c r="H447" t="s">
        <v>1685</v>
      </c>
    </row>
    <row r="448" spans="1:8" x14ac:dyDescent="0.3">
      <c r="A448" t="s">
        <v>45</v>
      </c>
      <c r="B448" t="s">
        <v>51</v>
      </c>
      <c r="C448" t="s">
        <v>29</v>
      </c>
      <c r="D448" t="s">
        <v>26</v>
      </c>
      <c r="E448" t="s">
        <v>1524</v>
      </c>
      <c r="F448" t="s">
        <v>1814</v>
      </c>
      <c r="G448" t="s">
        <v>1695</v>
      </c>
      <c r="H448" t="s">
        <v>1685</v>
      </c>
    </row>
    <row r="449" spans="1:8" x14ac:dyDescent="0.3">
      <c r="A449" t="s">
        <v>45</v>
      </c>
      <c r="B449" t="s">
        <v>51</v>
      </c>
      <c r="C449" t="s">
        <v>29</v>
      </c>
      <c r="D449" t="s">
        <v>31</v>
      </c>
      <c r="E449" t="s">
        <v>1524</v>
      </c>
      <c r="F449" t="s">
        <v>1698</v>
      </c>
      <c r="G449" t="s">
        <v>1695</v>
      </c>
      <c r="H449" t="s">
        <v>1685</v>
      </c>
    </row>
    <row r="450" spans="1:8" x14ac:dyDescent="0.3">
      <c r="A450" t="s">
        <v>45</v>
      </c>
      <c r="B450" t="s">
        <v>51</v>
      </c>
      <c r="C450" t="s">
        <v>29</v>
      </c>
      <c r="D450" t="s">
        <v>27</v>
      </c>
      <c r="E450" t="s">
        <v>1524</v>
      </c>
      <c r="F450" t="s">
        <v>1703</v>
      </c>
      <c r="G450" t="s">
        <v>1695</v>
      </c>
      <c r="H450" t="s">
        <v>1685</v>
      </c>
    </row>
    <row r="451" spans="1:8" x14ac:dyDescent="0.3">
      <c r="A451" t="s">
        <v>45</v>
      </c>
      <c r="B451" t="s">
        <v>51</v>
      </c>
      <c r="C451" t="s">
        <v>29</v>
      </c>
      <c r="D451" t="s">
        <v>28</v>
      </c>
      <c r="E451" t="s">
        <v>1524</v>
      </c>
      <c r="F451" t="s">
        <v>1815</v>
      </c>
      <c r="G451" t="s">
        <v>1796</v>
      </c>
      <c r="H451" t="s">
        <v>1688</v>
      </c>
    </row>
    <row r="452" spans="1:8" x14ac:dyDescent="0.3">
      <c r="A452" t="s">
        <v>9</v>
      </c>
      <c r="B452" t="s">
        <v>70</v>
      </c>
      <c r="C452" t="s">
        <v>12</v>
      </c>
      <c r="D452" t="s">
        <v>14</v>
      </c>
      <c r="E452" t="s">
        <v>1524</v>
      </c>
      <c r="F452" t="s">
        <v>1718</v>
      </c>
      <c r="G452" t="s">
        <v>1695</v>
      </c>
      <c r="H452" t="s">
        <v>1688</v>
      </c>
    </row>
    <row r="453" spans="1:8" x14ac:dyDescent="0.3">
      <c r="A453" t="s">
        <v>9</v>
      </c>
      <c r="B453" t="s">
        <v>70</v>
      </c>
      <c r="C453" t="s">
        <v>12</v>
      </c>
      <c r="D453" t="s">
        <v>11</v>
      </c>
      <c r="E453" t="s">
        <v>1524</v>
      </c>
      <c r="F453" t="s">
        <v>1816</v>
      </c>
      <c r="G453" t="s">
        <v>1695</v>
      </c>
      <c r="H453" t="s">
        <v>1688</v>
      </c>
    </row>
    <row r="454" spans="1:8" x14ac:dyDescent="0.3">
      <c r="A454" t="s">
        <v>9</v>
      </c>
      <c r="B454" t="s">
        <v>70</v>
      </c>
      <c r="C454" t="s">
        <v>29</v>
      </c>
      <c r="D454" t="s">
        <v>15</v>
      </c>
      <c r="E454" t="s">
        <v>1524</v>
      </c>
      <c r="F454" t="s">
        <v>1816</v>
      </c>
      <c r="G454" t="s">
        <v>1695</v>
      </c>
      <c r="H454" t="s">
        <v>1686</v>
      </c>
    </row>
    <row r="455" spans="1:8" x14ac:dyDescent="0.3">
      <c r="A455" t="s">
        <v>9</v>
      </c>
      <c r="B455" t="s">
        <v>70</v>
      </c>
      <c r="C455" t="s">
        <v>29</v>
      </c>
      <c r="D455" t="s">
        <v>21</v>
      </c>
      <c r="E455" t="s">
        <v>1524</v>
      </c>
      <c r="F455" t="s">
        <v>1760</v>
      </c>
      <c r="G455" t="s">
        <v>1697</v>
      </c>
      <c r="H455" t="s">
        <v>1693</v>
      </c>
    </row>
    <row r="456" spans="1:8" x14ac:dyDescent="0.3">
      <c r="A456" t="s">
        <v>9</v>
      </c>
      <c r="B456" t="s">
        <v>70</v>
      </c>
      <c r="C456" t="s">
        <v>29</v>
      </c>
      <c r="D456" t="s">
        <v>19</v>
      </c>
      <c r="E456" t="s">
        <v>1524</v>
      </c>
      <c r="F456" t="s">
        <v>1698</v>
      </c>
      <c r="G456" t="s">
        <v>1710</v>
      </c>
      <c r="H456" t="s">
        <v>1686</v>
      </c>
    </row>
    <row r="457" spans="1:8" x14ac:dyDescent="0.3">
      <c r="A457" t="s">
        <v>9</v>
      </c>
      <c r="B457" t="s">
        <v>70</v>
      </c>
      <c r="C457" t="s">
        <v>29</v>
      </c>
      <c r="D457" t="s">
        <v>17</v>
      </c>
      <c r="E457" t="s">
        <v>1524</v>
      </c>
      <c r="F457" t="s">
        <v>1698</v>
      </c>
      <c r="G457" t="s">
        <v>1726</v>
      </c>
      <c r="H457" t="s">
        <v>1686</v>
      </c>
    </row>
    <row r="458" spans="1:8" x14ac:dyDescent="0.3">
      <c r="A458" t="s">
        <v>9</v>
      </c>
      <c r="B458" t="s">
        <v>70</v>
      </c>
      <c r="C458" t="s">
        <v>29</v>
      </c>
      <c r="D458" t="s">
        <v>16</v>
      </c>
      <c r="E458" t="s">
        <v>1524</v>
      </c>
      <c r="F458" t="s">
        <v>1698</v>
      </c>
      <c r="G458" t="s">
        <v>1726</v>
      </c>
      <c r="H458" t="s">
        <v>1686</v>
      </c>
    </row>
    <row r="459" spans="1:8" x14ac:dyDescent="0.3">
      <c r="A459" t="s">
        <v>9</v>
      </c>
      <c r="B459" t="s">
        <v>70</v>
      </c>
      <c r="C459" t="s">
        <v>29</v>
      </c>
      <c r="D459" t="s">
        <v>20</v>
      </c>
      <c r="E459" t="s">
        <v>1524</v>
      </c>
      <c r="F459" t="s">
        <v>1706</v>
      </c>
      <c r="G459" t="s">
        <v>1697</v>
      </c>
      <c r="H459" t="s">
        <v>1693</v>
      </c>
    </row>
    <row r="460" spans="1:8" x14ac:dyDescent="0.3">
      <c r="A460" t="s">
        <v>9</v>
      </c>
      <c r="B460" t="s">
        <v>70</v>
      </c>
      <c r="C460" t="s">
        <v>29</v>
      </c>
      <c r="D460" t="s">
        <v>22</v>
      </c>
      <c r="E460" t="s">
        <v>1524</v>
      </c>
      <c r="F460" t="s">
        <v>1698</v>
      </c>
      <c r="G460" t="s">
        <v>1695</v>
      </c>
      <c r="H460" t="s">
        <v>1686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EB28-1B5C-4003-88AB-23B7716FA59E}">
  <sheetPr>
    <tabColor rgb="FFC00000"/>
  </sheetPr>
  <dimension ref="A1:E31"/>
  <sheetViews>
    <sheetView workbookViewId="0">
      <selection activeCell="N11" sqref="N11"/>
    </sheetView>
  </sheetViews>
  <sheetFormatPr defaultRowHeight="14.4" x14ac:dyDescent="0.3"/>
  <cols>
    <col min="3" max="3" width="15.33203125" bestFit="1" customWidth="1"/>
    <col min="4" max="4" width="15.44140625" bestFit="1" customWidth="1"/>
    <col min="5" max="5" width="17.5546875" bestFit="1" customWidth="1"/>
  </cols>
  <sheetData>
    <row r="1" spans="1:5" ht="15.6" x14ac:dyDescent="0.35">
      <c r="A1" s="1" t="s">
        <v>0</v>
      </c>
      <c r="B1" s="1" t="s">
        <v>1</v>
      </c>
      <c r="C1" s="5" t="s">
        <v>179</v>
      </c>
      <c r="D1" s="5" t="s">
        <v>180</v>
      </c>
      <c r="E1" s="5" t="s">
        <v>181</v>
      </c>
    </row>
    <row r="2" spans="1:5" x14ac:dyDescent="0.3">
      <c r="A2" t="s">
        <v>9</v>
      </c>
      <c r="B2" t="s">
        <v>10</v>
      </c>
      <c r="C2" s="6">
        <v>14</v>
      </c>
      <c r="D2" s="6">
        <v>14</v>
      </c>
      <c r="E2" s="6">
        <v>28</v>
      </c>
    </row>
    <row r="3" spans="1:5" x14ac:dyDescent="0.3">
      <c r="A3" t="s">
        <v>9</v>
      </c>
      <c r="B3" t="s">
        <v>47</v>
      </c>
      <c r="C3" s="6">
        <v>5</v>
      </c>
      <c r="D3" s="6">
        <v>10</v>
      </c>
      <c r="E3" s="6">
        <v>15</v>
      </c>
    </row>
    <row r="4" spans="1:5" x14ac:dyDescent="0.3">
      <c r="A4" t="s">
        <v>9</v>
      </c>
      <c r="B4" t="s">
        <v>52</v>
      </c>
      <c r="C4" s="6">
        <v>4</v>
      </c>
      <c r="D4" s="6">
        <v>6</v>
      </c>
      <c r="E4" s="6">
        <v>10</v>
      </c>
    </row>
    <row r="5" spans="1:5" x14ac:dyDescent="0.3">
      <c r="A5" t="s">
        <v>9</v>
      </c>
      <c r="B5" t="s">
        <v>55</v>
      </c>
      <c r="C5" s="6">
        <v>3</v>
      </c>
      <c r="D5" s="6">
        <v>3</v>
      </c>
      <c r="E5" s="6">
        <v>6</v>
      </c>
    </row>
    <row r="6" spans="1:5" x14ac:dyDescent="0.3">
      <c r="A6" t="s">
        <v>9</v>
      </c>
      <c r="B6" t="s">
        <v>56</v>
      </c>
      <c r="C6" s="6">
        <v>4</v>
      </c>
      <c r="D6" s="6">
        <v>8</v>
      </c>
      <c r="E6" s="6">
        <v>12</v>
      </c>
    </row>
    <row r="7" spans="1:5" x14ac:dyDescent="0.3">
      <c r="A7" t="s">
        <v>9</v>
      </c>
      <c r="B7" t="s">
        <v>60</v>
      </c>
      <c r="C7" s="6">
        <v>4</v>
      </c>
      <c r="D7" s="6">
        <v>5</v>
      </c>
      <c r="E7" s="6">
        <v>9</v>
      </c>
    </row>
    <row r="8" spans="1:5" x14ac:dyDescent="0.3">
      <c r="A8" t="s">
        <v>9</v>
      </c>
      <c r="B8" t="s">
        <v>67</v>
      </c>
      <c r="C8" s="6">
        <v>6</v>
      </c>
      <c r="D8" s="6">
        <v>11</v>
      </c>
      <c r="E8" s="6">
        <v>17</v>
      </c>
    </row>
    <row r="9" spans="1:5" x14ac:dyDescent="0.3">
      <c r="A9" t="s">
        <v>9</v>
      </c>
      <c r="B9" t="s">
        <v>70</v>
      </c>
      <c r="C9" s="6">
        <v>2</v>
      </c>
      <c r="D9" s="6">
        <v>7</v>
      </c>
      <c r="E9" s="6">
        <v>9</v>
      </c>
    </row>
    <row r="10" spans="1:5" x14ac:dyDescent="0.3">
      <c r="A10" t="s">
        <v>9</v>
      </c>
      <c r="B10" t="s">
        <v>74</v>
      </c>
      <c r="C10" s="6">
        <v>5</v>
      </c>
      <c r="D10" s="6">
        <v>6</v>
      </c>
      <c r="E10" s="6">
        <v>11</v>
      </c>
    </row>
    <row r="11" spans="1:5" x14ac:dyDescent="0.3">
      <c r="A11" t="s">
        <v>9</v>
      </c>
      <c r="B11" t="s">
        <v>76</v>
      </c>
      <c r="C11" s="6">
        <v>7</v>
      </c>
      <c r="D11" s="6">
        <v>10</v>
      </c>
      <c r="E11" s="6">
        <v>17</v>
      </c>
    </row>
    <row r="12" spans="1:5" x14ac:dyDescent="0.3">
      <c r="A12" t="s">
        <v>43</v>
      </c>
      <c r="B12" t="s">
        <v>44</v>
      </c>
      <c r="C12" s="6">
        <v>7</v>
      </c>
      <c r="D12" s="6">
        <v>5</v>
      </c>
      <c r="E12" s="6">
        <v>12</v>
      </c>
    </row>
    <row r="13" spans="1:5" x14ac:dyDescent="0.3">
      <c r="A13" t="s">
        <v>43</v>
      </c>
      <c r="B13" t="s">
        <v>49</v>
      </c>
      <c r="C13" s="6">
        <v>7</v>
      </c>
      <c r="D13" s="6">
        <v>8</v>
      </c>
      <c r="E13" s="6">
        <v>15</v>
      </c>
    </row>
    <row r="14" spans="1:5" x14ac:dyDescent="0.3">
      <c r="A14" t="s">
        <v>43</v>
      </c>
      <c r="B14" t="s">
        <v>50</v>
      </c>
      <c r="C14" s="6">
        <v>7</v>
      </c>
      <c r="D14" s="6">
        <v>8</v>
      </c>
      <c r="E14" s="6">
        <v>15</v>
      </c>
    </row>
    <row r="15" spans="1:5" x14ac:dyDescent="0.3">
      <c r="A15" t="s">
        <v>43</v>
      </c>
      <c r="B15" t="s">
        <v>54</v>
      </c>
      <c r="C15" s="6">
        <v>6</v>
      </c>
      <c r="D15" s="6">
        <v>13</v>
      </c>
      <c r="E15" s="6">
        <v>19</v>
      </c>
    </row>
    <row r="16" spans="1:5" x14ac:dyDescent="0.3">
      <c r="A16" t="s">
        <v>43</v>
      </c>
      <c r="B16" t="s">
        <v>58</v>
      </c>
      <c r="C16" s="6">
        <v>4</v>
      </c>
      <c r="D16" s="6">
        <v>2</v>
      </c>
      <c r="E16" s="6">
        <v>6</v>
      </c>
    </row>
    <row r="17" spans="1:5" x14ac:dyDescent="0.3">
      <c r="A17" t="s">
        <v>43</v>
      </c>
      <c r="B17" t="s">
        <v>59</v>
      </c>
      <c r="C17" s="6">
        <v>12</v>
      </c>
      <c r="D17" s="6">
        <v>14</v>
      </c>
      <c r="E17" s="6">
        <v>26</v>
      </c>
    </row>
    <row r="18" spans="1:5" x14ac:dyDescent="0.3">
      <c r="A18" s="8" t="s">
        <v>43</v>
      </c>
      <c r="B18" s="8" t="s">
        <v>62</v>
      </c>
      <c r="C18" s="9">
        <v>17</v>
      </c>
      <c r="D18" s="9">
        <v>14</v>
      </c>
      <c r="E18" s="9">
        <v>31</v>
      </c>
    </row>
    <row r="19" spans="1:5" x14ac:dyDescent="0.3">
      <c r="A19" t="s">
        <v>43</v>
      </c>
      <c r="B19" t="s">
        <v>69</v>
      </c>
      <c r="C19" s="6">
        <v>10</v>
      </c>
      <c r="D19" s="6">
        <v>12</v>
      </c>
      <c r="E19" s="6">
        <v>22</v>
      </c>
    </row>
    <row r="20" spans="1:5" x14ac:dyDescent="0.3">
      <c r="A20" t="s">
        <v>43</v>
      </c>
      <c r="B20" t="s">
        <v>71</v>
      </c>
      <c r="C20" s="6">
        <v>2</v>
      </c>
      <c r="D20" s="6">
        <v>5</v>
      </c>
      <c r="E20" s="6">
        <v>7</v>
      </c>
    </row>
    <row r="21" spans="1:5" x14ac:dyDescent="0.3">
      <c r="A21" t="s">
        <v>43</v>
      </c>
      <c r="B21" t="s">
        <v>73</v>
      </c>
      <c r="C21" s="6">
        <v>10</v>
      </c>
      <c r="D21" s="6">
        <v>11</v>
      </c>
      <c r="E21" s="6">
        <v>21</v>
      </c>
    </row>
    <row r="22" spans="1:5" x14ac:dyDescent="0.3">
      <c r="A22" t="s">
        <v>45</v>
      </c>
      <c r="B22" t="s">
        <v>46</v>
      </c>
      <c r="C22" s="6">
        <v>7</v>
      </c>
      <c r="D22" s="6">
        <v>9</v>
      </c>
      <c r="E22" s="6">
        <v>16</v>
      </c>
    </row>
    <row r="23" spans="1:5" x14ac:dyDescent="0.3">
      <c r="A23" t="s">
        <v>45</v>
      </c>
      <c r="B23" t="s">
        <v>48</v>
      </c>
      <c r="C23" s="6">
        <v>7</v>
      </c>
      <c r="D23" s="6">
        <v>10</v>
      </c>
      <c r="E23" s="6">
        <v>17</v>
      </c>
    </row>
    <row r="24" spans="1:5" x14ac:dyDescent="0.3">
      <c r="A24" t="s">
        <v>45</v>
      </c>
      <c r="B24" t="s">
        <v>51</v>
      </c>
      <c r="C24" s="6">
        <v>9</v>
      </c>
      <c r="D24" s="6">
        <v>10</v>
      </c>
      <c r="E24" s="6">
        <v>19</v>
      </c>
    </row>
    <row r="25" spans="1:5" x14ac:dyDescent="0.3">
      <c r="A25" t="s">
        <v>45</v>
      </c>
      <c r="B25" t="s">
        <v>53</v>
      </c>
      <c r="C25" s="6">
        <v>4</v>
      </c>
      <c r="D25" s="6">
        <v>2</v>
      </c>
      <c r="E25" s="6">
        <v>6</v>
      </c>
    </row>
    <row r="26" spans="1:5" x14ac:dyDescent="0.3">
      <c r="A26" t="s">
        <v>45</v>
      </c>
      <c r="B26" t="s">
        <v>57</v>
      </c>
      <c r="C26" s="6">
        <v>11</v>
      </c>
      <c r="D26" s="6">
        <v>11</v>
      </c>
      <c r="E26" s="6">
        <v>22</v>
      </c>
    </row>
    <row r="27" spans="1:5" x14ac:dyDescent="0.3">
      <c r="A27" t="s">
        <v>45</v>
      </c>
      <c r="B27" t="s">
        <v>61</v>
      </c>
      <c r="C27" s="6">
        <v>3</v>
      </c>
      <c r="D27" s="6">
        <v>1</v>
      </c>
      <c r="E27" s="6">
        <v>4</v>
      </c>
    </row>
    <row r="28" spans="1:5" x14ac:dyDescent="0.3">
      <c r="A28" t="s">
        <v>45</v>
      </c>
      <c r="B28" t="s">
        <v>66</v>
      </c>
      <c r="C28" s="6">
        <v>6</v>
      </c>
      <c r="D28" s="6">
        <v>8</v>
      </c>
      <c r="E28" s="6">
        <v>14</v>
      </c>
    </row>
    <row r="29" spans="1:5" x14ac:dyDescent="0.3">
      <c r="A29" t="s">
        <v>45</v>
      </c>
      <c r="B29" t="s">
        <v>68</v>
      </c>
      <c r="C29" s="6">
        <v>5</v>
      </c>
      <c r="D29" s="6">
        <v>9</v>
      </c>
      <c r="E29" s="6">
        <v>14</v>
      </c>
    </row>
    <row r="30" spans="1:5" x14ac:dyDescent="0.3">
      <c r="A30" t="s">
        <v>45</v>
      </c>
      <c r="B30" t="s">
        <v>72</v>
      </c>
      <c r="C30" s="6">
        <v>9</v>
      </c>
      <c r="D30" s="6">
        <v>14</v>
      </c>
      <c r="E30" s="6">
        <v>23</v>
      </c>
    </row>
    <row r="31" spans="1:5" x14ac:dyDescent="0.3">
      <c r="A31" t="s">
        <v>45</v>
      </c>
      <c r="B31" t="s">
        <v>75</v>
      </c>
      <c r="C31" s="6">
        <v>7</v>
      </c>
      <c r="D31" s="6">
        <v>9</v>
      </c>
      <c r="E31" s="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</vt:i4>
      </vt:variant>
    </vt:vector>
  </HeadingPairs>
  <TitlesOfParts>
    <vt:vector size="29" baseType="lpstr">
      <vt:lpstr>Debrief_raw</vt:lpstr>
      <vt:lpstr>masked_data_raw</vt:lpstr>
      <vt:lpstr>summary</vt:lpstr>
      <vt:lpstr>Fluency-MT1</vt:lpstr>
      <vt:lpstr>masked_data_qualAnalysis_base</vt:lpstr>
      <vt:lpstr>100_rand_gallery</vt:lpstr>
      <vt:lpstr>DimensionsEval</vt:lpstr>
      <vt:lpstr>ExpData-100R-Expanded</vt:lpstr>
      <vt:lpstr>Sheet4</vt:lpstr>
      <vt:lpstr>ExpData-100R-Base</vt:lpstr>
      <vt:lpstr>Sheet2</vt:lpstr>
      <vt:lpstr>Sheet3</vt:lpstr>
      <vt:lpstr>GW_Study</vt:lpstr>
      <vt:lpstr>Gower_Weight</vt:lpstr>
      <vt:lpstr>Jaccard_Weight</vt:lpstr>
      <vt:lpstr>Sheet1</vt:lpstr>
      <vt:lpstr>Scrnsht</vt:lpstr>
      <vt:lpstr>ColorScheme</vt:lpstr>
      <vt:lpstr>Novelty-MT3-Global-Base</vt:lpstr>
      <vt:lpstr>Novelty-MT3-GLOBAL-calc</vt:lpstr>
      <vt:lpstr>Novelty-MT3-GLOBAL-topy</vt:lpstr>
      <vt:lpstr>Novelty-MT3-Local-Base</vt:lpstr>
      <vt:lpstr>Novelty-MT3-LOCAL-calc</vt:lpstr>
      <vt:lpstr>Novelty-MT3-LOCAL-topy</vt:lpstr>
      <vt:lpstr>Novelty-MT3-ALL-topy</vt:lpstr>
      <vt:lpstr>VARIETY-MT2-base</vt:lpstr>
      <vt:lpstr>VARIETY-MT2-topy</vt:lpstr>
      <vt:lpstr>Fluency-MT1-topy</vt:lpstr>
      <vt:lpstr>scrnsht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nc266</dc:creator>
  <cp:lastModifiedBy>Esdras Paravizo</cp:lastModifiedBy>
  <dcterms:created xsi:type="dcterms:W3CDTF">2023-07-14T11:04:41Z</dcterms:created>
  <dcterms:modified xsi:type="dcterms:W3CDTF">2024-06-24T14:39:22Z</dcterms:modified>
</cp:coreProperties>
</file>